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oecd-my.sharepoint.com/personal/wafa_houhamdi_oecd_org/Documents/Documents/cost curve/inputs/"/>
    </mc:Choice>
  </mc:AlternateContent>
  <xr:revisionPtr revIDLastSave="297" documentId="8_{59D109DB-E12D-467D-9869-2C387A042857}" xr6:coauthVersionLast="47" xr6:coauthVersionMax="47" xr10:uidLastSave="{F5360926-6BA2-4461-A58B-BFCB21142D47}"/>
  <bookViews>
    <workbookView xWindow="10" yWindow="10" windowWidth="19180" windowHeight="11260" firstSheet="4" activeTab="6" xr2:uid="{00000000-000D-0000-FFFF-FFFF00000000}"/>
  </bookViews>
  <sheets>
    <sheet name="__snloffice" sheetId="6" state="veryHidden" r:id="rId1"/>
    <sheet name="Ore" sheetId="1" r:id="rId2"/>
    <sheet name="Production Costs Co Product" sheetId="2" r:id="rId3"/>
    <sheet name="Production Costs By Product" sheetId="3" r:id="rId4"/>
    <sheet name="Cash Flow" sheetId="4" r:id="rId5"/>
    <sheet name="Ownership" sheetId="5" r:id="rId6"/>
    <sheet name="Ownership_txt" sheetId="7" r:id="rId7"/>
    <sheet name="Sheet2" sheetId="8" r:id="rId8"/>
    <sheet name="Public Companies Owners" sheetId="9" r:id="rId9"/>
  </sheets>
  <definedNames>
    <definedName name="_xlnm._FilterDatabase" localSheetId="5" hidden="1">Ownership!$A$6:$AN$80</definedName>
    <definedName name="_xlnm._FilterDatabase" localSheetId="6" hidden="1">Ownership_txt!$A$1:$AP$75</definedName>
    <definedName name="_xlnm._FilterDatabase" localSheetId="3" hidden="1">'Production Costs By Product'!$A$6:$AU$51</definedName>
    <definedName name="_xlnm._FilterDatabase" localSheetId="8" hidden="1">'Public Companies Owners'!$A$3:$HG$3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1B041BC_A2C2_41AB_A4EE_D970090E5A27_" localSheetId="7" hidden="1">Sheet2!$BB$3:$BB$78</definedName>
    <definedName name="snl__02BFC563_6AD9_4607_B3E1_38B90D978CE7_" localSheetId="7" hidden="1">Sheet2!$DT$3:$DT$6</definedName>
    <definedName name="snl__03105EE2_5310_4A03_8049_4D8BFD4F9522_" localSheetId="7" hidden="1">Sheet2!$CX$3:$CX$26</definedName>
    <definedName name="snl__0321D4B7_6893_4658_BD63_972C08D3EBC2_" localSheetId="7" hidden="1">Sheet2!$U$3:$U$416</definedName>
    <definedName name="snl__04DD1715_332C_43EB_9AE4_B9A99B795670_" localSheetId="7" hidden="1">Sheet2!$AY$3:$AY$78</definedName>
    <definedName name="snl__05A26744_D4FB_4120_9E88_7B07E9C06061_" localSheetId="7" hidden="1">Sheet2!$BS$3:$BS$503</definedName>
    <definedName name="snl__070BB664_1ACE_4394_B591_830731AF6C51_" localSheetId="7" hidden="1">Sheet2!$R$3:$R$6</definedName>
    <definedName name="snl__0B31A7DC_6F7E_4E9C_ACD2_16AA165C3AB6_" localSheetId="7" hidden="1">Sheet2!$DD$3:$DD$503</definedName>
    <definedName name="snl__0D1F2076_0F59_4CA9_A9CB_0FA9261E53EE_" localSheetId="7" hidden="1">Sheet2!$DW$3:$DW$136</definedName>
    <definedName name="snl__0E9C3177_A87F_458D_A385_A5A414451FCF_" localSheetId="7" hidden="1">Sheet2!$BO$3:$BO$345</definedName>
    <definedName name="snl__10969306_B670_4D8A_9FFF_6D75F4936C40_" localSheetId="7" hidden="1">Sheet2!$EI$3:$EI$503</definedName>
    <definedName name="snl__117F47E3_7DE8_42DE_A3A8_3C1D48D24E7A_" localSheetId="7" hidden="1">Sheet2!$AQ$3:$AQ$292</definedName>
    <definedName name="snl__11CE8AB1_0CE4_4E97_9729_FF3C8C17CE4F_" localSheetId="7" hidden="1">Sheet2!$GT$3:$GT$345</definedName>
    <definedName name="snl__11FEA5AF_5135_4C24_8B94_A77C4D081069_" localSheetId="7" hidden="1">Sheet2!$I$3:$I$251</definedName>
    <definedName name="snl__12151AE5_97BA_4D8C_B093_E7E199F01A82_" localSheetId="7" hidden="1">Sheet2!$EM$3:$EM$26</definedName>
    <definedName name="snl__1294DF2F_7788_49A9_801B_1F8F2EFBAB2B_" localSheetId="7" hidden="1">Sheet2!$CI$3:$CI$292</definedName>
    <definedName name="snl__13636C14_9E85_4CC4_B0C7_FC5E2C055560_" localSheetId="7" hidden="1">Sheet2!$CK$3:$CK$292</definedName>
    <definedName name="snl__13C56B10_4D85_4D49_ACF9_BFD1A773768A_" localSheetId="7" hidden="1">Sheet2!$FJ$3:$FJ$139</definedName>
    <definedName name="snl__1520A2EA_B89B_475C_8A49_95A6E0750A09_" localSheetId="7" hidden="1">Sheet2!$BD$3:$BD$503</definedName>
    <definedName name="snl__18D72A16_BF94_44B7_A27D_C1C639F3F281_" localSheetId="7" hidden="1">Sheet2!$GY$3:$GY$503</definedName>
    <definedName name="snl__1976890E_1903_484D_BA80_78A38A006D29_" localSheetId="7" hidden="1">Sheet2!$EQ$3:$EQ$149</definedName>
    <definedName name="snl__19C824B6_7635_4FBD_9CB6_7015B82D09F8_" localSheetId="7" hidden="1">Sheet2!$EF$3:$EF$503</definedName>
    <definedName name="snl__1A4C334B_DCAC_42D1_BDA7_EF46EE55D05D_" localSheetId="7" hidden="1">Sheet2!$D$3:$D$17</definedName>
    <definedName name="snl__1B64D885_DC7B_4ECE_92B7_522F99587878_" localSheetId="7" hidden="1">Sheet2!$CU$3:$CU$18</definedName>
    <definedName name="snl__1C375A9D_3C8B_41F3_A9B9_3ED06943900E_" localSheetId="7" hidden="1">Sheet2!$AJ$3:$AJ$17</definedName>
    <definedName name="snl__1D73BD87_7A3D_49AE_A980_A8E5AA6C7AD5_" localSheetId="7" hidden="1">Sheet2!$ER$3:$ER$149</definedName>
    <definedName name="snl__1E00CCCE_9815_445C_83FA_6E8D251FDAEE_" localSheetId="7" hidden="1">Sheet2!$BA$3:$BA$78</definedName>
    <definedName name="snl__2011E08F_35F1_46B1_9B0C_3D3AD85E4A8E_" localSheetId="7" hidden="1">Sheet2!$CC$3:$CC$503</definedName>
    <definedName name="snl__20E5384A_2296_42DE_B113_48B79D4B774B_" localSheetId="7" hidden="1">Sheet2!$HE$3:$HE$17</definedName>
    <definedName name="snl__24120A88_D7E5_40D3_9C6D_D75FFC1B5795_" localSheetId="7" hidden="1">Sheet2!$FM$3:$FM$139</definedName>
    <definedName name="snl__243439A9_88D1_4A31_9F0D_FFB9B984F46C_" localSheetId="7" hidden="1">Sheet2!$DY$3:$DY$136</definedName>
    <definedName name="snl__26A4EE9C_AAAF_4008_8E06_9C4A59488A7A_" localSheetId="7" hidden="1">Sheet2!$CF$3:$CF$503</definedName>
    <definedName name="snl__2AA1E313_F363_403F_9BBB_280D78C0F96A_" localSheetId="7" hidden="1">Sheet2!$Z$3:$Z$133</definedName>
    <definedName name="snl__2BC4E704_133B_4910_9959_15CF9A9BE477_" localSheetId="7" hidden="1">Sheet2!$AG$3:$AG$218</definedName>
    <definedName name="snl__2C251C06_7105_41FE_8B50_91A6DFD2B0AB_" localSheetId="7" hidden="1">Sheet2!$AM$3:$AM$17</definedName>
    <definedName name="snl__2D1A0B2A_05C2_4525_9808_354DC463141C_" localSheetId="7" hidden="1">Sheet2!$HC$3:$HC$17</definedName>
    <definedName name="snl__2D35711F_200F_4FC7_80B8_5B5E7D0C6E3C_" localSheetId="7" hidden="1">Sheet2!$BY$3:$BY$416</definedName>
    <definedName name="snl__2E3650B4_7772_4C88_B569_E45C0A6B67CC_" localSheetId="7" hidden="1">Sheet2!$BE$3:$BE$503</definedName>
    <definedName name="snl__301D2A17_5B2F_4E2F_9799_1B9140381975_" localSheetId="7" hidden="1">Sheet2!$CE$3:$CE$503</definedName>
    <definedName name="snl__31082201_585B_40D0_BBE6_FDDF52B732F6_" localSheetId="7" hidden="1">Sheet2!$FB$3:$FB$61</definedName>
    <definedName name="snl__318DD524_2CA1_4D83_B17A_4286049AF6AD_" localSheetId="7" hidden="1">Sheet2!$C$3:$C$17</definedName>
    <definedName name="snl__32AAD794_3E5E_4AD3_AE6D_35DE1B798FCD_" localSheetId="7" hidden="1">Sheet2!$CT$3:$CT$18</definedName>
    <definedName name="snl__37A1365B_F628_436E_978D_C3BC8F2ECE9A_" localSheetId="7" hidden="1">Sheet2!$DN$3:$DN$503</definedName>
    <definedName name="snl__399E281F_EE83_47CB_BA29_DC6C2FC3F698_" localSheetId="7" hidden="1">Sheet2!$S$3:$S$6</definedName>
    <definedName name="snl__3A82D783_336F_4D2B_AA55_174EC2F3BD9B_" localSheetId="7" hidden="1">Sheet2!$AK$3:$AK$17</definedName>
    <definedName name="snl__3B4DD902_5D65_4975_85BC_0D3D6602DB9A_" localSheetId="7" hidden="1">Sheet2!$EW$3:$EW$11</definedName>
    <definedName name="snl__3CAA5C69_848A_42CE_9A71_520E6EB7AAC5_" localSheetId="7" hidden="1">Sheet2!$GD$3:$GD$61</definedName>
    <definedName name="snl__4055FF8F_B25E_4BE5_9159_610CDB8B9009_" localSheetId="7" hidden="1">Sheet2!$BT$3:$BT$503</definedName>
    <definedName name="snl__4088B7DB_77F0_4DA8_A80F_C823F6331816_" localSheetId="7" hidden="1">Sheet2!$DE$3:$DE$503</definedName>
    <definedName name="snl__41E32D68_DED0_4F9D_80AC_10A565010BB0_" localSheetId="7" hidden="1">Sheet2!$EG$3:$EG$503</definedName>
    <definedName name="snl__421FF5BA_8ED6_4BEB_A750_0F05DA254F45_" localSheetId="7" hidden="1">Sheet2!$P$3:$P$6</definedName>
    <definedName name="snl__4224E6B8_FD5F_4417_8D48_02776F808054_" localSheetId="7" hidden="1">Sheet2!$EV$3:$EV$11</definedName>
    <definedName name="snl__42E490EF_A6A5_4130_A0A2_7C5C96F42729_" localSheetId="7" hidden="1">Sheet2!$K$3:$K$133</definedName>
    <definedName name="snl__43FAAB6D_0795_4115_922C_751898CC8D13_" localSheetId="7" hidden="1">Sheet2!$GE$3:$GE$61</definedName>
    <definedName name="snl__4606F50B_F067_462E_BF2E_08C2224F668C_" localSheetId="7" hidden="1">Sheet2!$BG$3:$BG$503</definedName>
    <definedName name="snl__47B96B2D_9D7B_4947_9CAC_90727039CEBD_" localSheetId="7" hidden="1">Sheet2!$ED$3:$ED$503</definedName>
    <definedName name="snl__4B30A030_9F44_48E2_89AD_D47D907DA1CC_" localSheetId="7" hidden="1">Sheet2!$FV$3:$FV$60</definedName>
    <definedName name="snl__4D9ED9CF_008E_425D_9022_7C388305D357_" localSheetId="7" hidden="1">Sheet2!$DM$3:$DM$503</definedName>
    <definedName name="snl__51BAAABD_87B0_40D4_BE75_880C5DA51328_" localSheetId="7" hidden="1">Sheet2!$GF$3:$GF$61</definedName>
    <definedName name="snl__5291531F_C701_414C_AF38_6D989EEA0674_" localSheetId="7" hidden="1">Sheet2!$AF$3:$AF$218</definedName>
    <definedName name="snl__55C99ED5_DF4D_4154_8FE2_C2A21C18408E_" localSheetId="7" hidden="1">Sheet2!$GI$3:$GI$51</definedName>
    <definedName name="snl__57EB2511_71C6_41DE_AD15_2A956FAECE37_" localSheetId="7" hidden="1">Sheet2!$DX$3:$DX$136</definedName>
    <definedName name="snl__5B2FFCC4_2077_4E45_A10F_997B137CD51D_" localSheetId="7" hidden="1">Sheet2!$AC$3:$AC$133</definedName>
    <definedName name="snl__5E418013_7815_477C_8079_7038B95470F6_" localSheetId="7" hidden="1">Sheet2!$CD$3:$CD$503</definedName>
    <definedName name="snl__5E433AE3_B295_457D_A8D4_B55345E1EB16_" localSheetId="7" hidden="1">Sheet2!$DJ$3:$DJ$26</definedName>
    <definedName name="snl__5ED9E0D8_BB3D_4395_A1D2_ADD69033E981_" localSheetId="7" hidden="1">Sheet2!$V$3:$V$416</definedName>
    <definedName name="snl__621C6C6A_F892_45DF_A075_2D104B256D02_" localSheetId="7" hidden="1">Sheet2!$FG$3:$FG$51</definedName>
    <definedName name="snl__62639E26_9D65_45BD_BAFB_1B83C2F810EC_" localSheetId="7" hidden="1">Sheet2!$CH$3:$CH$292</definedName>
    <definedName name="snl__6461BC72_FD25_4678_BED9_DE2D300EEBAE_" localSheetId="7" hidden="1">Sheet2!$CR$3:$CR$18</definedName>
    <definedName name="snl__66AF1133_E03B_4B47_A20D_7207BF3F6C5A_" localSheetId="7" hidden="1">Sheet2!$Q$3:$Q$6</definedName>
    <definedName name="snl__6B8C236B_7885_446B_857F_7E493C66E7FF_" localSheetId="7" hidden="1">Sheet2!$GO$3:$GO$139</definedName>
    <definedName name="snl__6D12AC2C_DBA0_4FEA_B6DA_3E6478D8AB04_" localSheetId="7" hidden="1">Sheet2!$FP$3:$FP$26</definedName>
    <definedName name="snl__6DCED6F9_DDFD_413F_A6F0_DD2B70E65900_" localSheetId="7" hidden="1">Sheet2!$HD$3:$HD$17</definedName>
    <definedName name="snl__6EE2C2A4_DE2B_445A_A0C7_F77F48506467_" localSheetId="7" hidden="1">Sheet2!$AP$3:$AP$292</definedName>
    <definedName name="snl__6FD6BF2A_1869_4D0B_B953_08847102345E_" localSheetId="7" hidden="1">Sheet2!$EA$3:$EA$503</definedName>
    <definedName name="snl__70C6D229_1229_4599_90FA_B8D7E01B27B7_" localSheetId="7" hidden="1">Sheet2!$GL$3:$GL$51</definedName>
    <definedName name="snl__737455F2_04A5_435D_9609_DF426BC26812_" localSheetId="7" hidden="1">Sheet2!$BU$3:$BU$503</definedName>
    <definedName name="snl__73876C9C_E925_41E5_B095_20B7E4DFFA7F_" localSheetId="7" hidden="1">Sheet2!$CO$3:$CO$503</definedName>
    <definedName name="snl__75691D3F_C133_4B29_898E_AD818662A823_" localSheetId="7" hidden="1">Sheet2!$FU$3:$FU$60</definedName>
    <definedName name="snl__75EE5694_B790_462C_8B47_43B812F8E225_" localSheetId="7" hidden="1">Sheet2!$GP$3:$GP$139</definedName>
    <definedName name="snl__77545FEB_7553_4EB4_9C7E_655346955FC8_" localSheetId="7" hidden="1">Sheet2!$FK$3:$FK$139</definedName>
    <definedName name="snl__790F2901_D483_4A0D_A16C_4D0AEEE3D745_" localSheetId="7" hidden="1">Sheet2!$FO$3:$FO$26</definedName>
    <definedName name="snl__796AF718_3ED4_4943_9B0F_73B9762E9C66_" localSheetId="7" hidden="1">Sheet2!$AT$3:$AT$17</definedName>
    <definedName name="snl__7B3AF356_9E36_426B_9E2F_89B1831F12FA_" localSheetId="7" hidden="1">Sheet2!$FR$3:$FR$26</definedName>
    <definedName name="snl__7CDAAEEA_EFA9_4E73_AC5F_6F83E12CEC28_" localSheetId="7" hidden="1">Sheet2!$EN$3:$EN$26</definedName>
    <definedName name="snl__7EDCD0D1_3B01_4B5C_8EE0_145C8C09ABA5_" localSheetId="7" hidden="1">Sheet2!$EX$3:$EX$11</definedName>
    <definedName name="snl__80B0C4CD_0BC6_41FF_B4CF_A99533229FC6_" localSheetId="7" hidden="1">Sheet2!$GG$3:$GG$61</definedName>
    <definedName name="snl__80D1C6F6_CA35_4209_B63A_AF6DCA39B97C_" localSheetId="7" hidden="1">Sheet2!$AA$3:$AA$133</definedName>
    <definedName name="snl__82EC8472_C375_4DD6_90DD_D8D6D9F80CDF_" localSheetId="7" hidden="1">Sheet2!$CW$3:$CW$26</definedName>
    <definedName name="snl__8389870F_C119_4770_B57E_0746A0CF19ED_" localSheetId="7" hidden="1">Sheet2!$B$3:$B$17</definedName>
    <definedName name="snl__838C803A_7B49_43D4_84C5_41B2ED458680_" localSheetId="7" hidden="1">Sheet2!$GB$3:$GB$503</definedName>
    <definedName name="snl__8598944C_F2C3_438B_8BFA_195745244E68_" localSheetId="7" hidden="1">Sheet2!$AL$3:$AL$17</definedName>
    <definedName name="snl__8719A1F6_4CA0_4475_98A5_9CD7568CC559_" localSheetId="7" hidden="1">Sheet2!$EU$3:$EU$11</definedName>
    <definedName name="snl__873FA554_8D80_4F01_85A1_0E7FC0428652_" localSheetId="7" hidden="1">Sheet2!$FY$3:$FY$503</definedName>
    <definedName name="snl__88949EA4_AD5F_46ED_9954_5E8E8108F3C2_" localSheetId="7" hidden="1">Sheet2!$AW$3:$AW$17</definedName>
    <definedName name="snl__8D315874_D58F_4162_B561_DB85855D8865_" localSheetId="7" hidden="1">Sheet2!$AU$3:$AU$17</definedName>
    <definedName name="snl__8E7938C6_DBA2_42CE_9356_3901ECD8A44D_" localSheetId="7" hidden="1">Sheet2!$G$3:$G$251</definedName>
    <definedName name="snl__8F85F40F_0B83_4CFA_A208_FAC7F3A75B25_" localSheetId="7" hidden="1">Sheet2!$BQ$3:$BQ$345</definedName>
    <definedName name="snl__8FBCED88_2507_4FB1_890B_C4E960ACD95A_" localSheetId="7" hidden="1">Sheet2!$FC$3:$FC$61</definedName>
    <definedName name="snl__9434BCAE_8648_4B08_939E_12B68C5CA909_" localSheetId="7" hidden="1">Sheet2!$DV$3:$DV$136</definedName>
    <definedName name="snl__94F92780_9762_4B72_8E05_84E993A0C43C_" localSheetId="7" hidden="1">Sheet2!$DI$3:$DI$26</definedName>
    <definedName name="snl__96344FBA_F40C_4D71_8036_1113957D8F79_" localSheetId="7" hidden="1">Sheet2!$BL$3:$BL$278</definedName>
    <definedName name="snl__97A57157_0075_4C96_9BFC_6E5287B33362_" localSheetId="7" hidden="1">Sheet2!$CM$3:$CM$503</definedName>
    <definedName name="snl__97B29805_A199_4FDD_AEA2_39861FC6F98C_" localSheetId="7" hidden="1">Sheet2!$AB$3:$AB$133</definedName>
    <definedName name="snl__9AAA9833_80B0_49D5_9877_34946F49B03D_" localSheetId="7" hidden="1">Sheet2!$A$3:$A$17</definedName>
    <definedName name="snl__9C883019_442B_4783_8F99_5BF499226D66_" localSheetId="7" hidden="1">Sheet2!$CJ$3:$CJ$292</definedName>
    <definedName name="snl__9E54EF36_F191_49A3_B402_C87D4BF5FA1D_" localSheetId="7" hidden="1">Sheet2!$BX$3:$BX$416</definedName>
    <definedName name="snl__9E60EB8A_3E86_493B_B7DC_C64A900C8E42_" localSheetId="7" hidden="1">Sheet2!$AE$3:$AE$218</definedName>
    <definedName name="snl__A3896EED_6D62_4600_AC05_677874B644BC_" localSheetId="7" hidden="1">Sheet2!$CY$3:$CY$26</definedName>
    <definedName name="snl__A45E5B1D_74DB_4A9F_BBAC_420F48A3DE6C_" localSheetId="7" hidden="1">Sheet2!$GK$3:$GK$51</definedName>
    <definedName name="snl__A56C26E9_3D9F_4209_8D17_4BC7E2FE1BB9_" localSheetId="7" hidden="1">Sheet2!$L$3:$L$133</definedName>
    <definedName name="snl__A8C081B4_E519_473F_AB8E_1378E6315E50_" localSheetId="7" hidden="1">Sheet2!$FH$3:$FH$51</definedName>
    <definedName name="snl__A9F582B5_66C4_4DA7_9B1A_D9AD09AB51BB_" localSheetId="7" hidden="1">Sheet2!$DC$3:$DC$503</definedName>
    <definedName name="snl__AAD4498E_CBCD_4B0E_8C3F_982356266290_" localSheetId="7" hidden="1">Sheet2!$HF$3:$HF$17</definedName>
    <definedName name="snl__AB2D2AF9_0327_4AB4_8882_3E17C7381F78_" localSheetId="7" hidden="1">Sheet2!$HA$3:$HA$503</definedName>
    <definedName name="snl__ADB453B8_D8AA_4D1E_BB33_0BFA58D75B3E_" localSheetId="7" hidden="1">Sheet2!$BI$3:$BI$278</definedName>
    <definedName name="snl__AFF94F09_F7F1_454C_A8E2_DA694667D933_" localSheetId="7" hidden="1">Sheet2!$CS$3:$CS$18</definedName>
    <definedName name="snl__B0779718_716B_4520_9CA6_3840906C202F_" localSheetId="7" hidden="1">Sheet2!$W$3:$W$416</definedName>
    <definedName name="snl__B098950A_A617_406B_8C8A_7BF9DE0A312F_" localSheetId="7" hidden="1">Sheet2!$M$3:$M$133</definedName>
    <definedName name="snl__B27ED09B_598C_4D73_ADDF_2EB9D2BCDD72_" localSheetId="7" hidden="1">Sheet2!$BZ$3:$BZ$416</definedName>
    <definedName name="snl__B2A867FA_1659_45ED_B23F_C2ED6CDD9FED_" localSheetId="7" hidden="1">Sheet2!$BK$3:$BK$278</definedName>
    <definedName name="snl__B2FA68BF_7539_4200_921B_FC5EE0C9C903_" localSheetId="7" hidden="1">Sheet2!$AV$3:$AV$17</definedName>
    <definedName name="snl__B38461A4_2C42_4F5A_B41A_8898D06985C5_" localSheetId="7" hidden="1">Sheet2!$ES$3:$ES$149</definedName>
    <definedName name="snl__B51BB24C_C304_4F25_9ADC_93051DADF84B_" localSheetId="7" hidden="1">Sheet2!$EP$3:$EP$149</definedName>
    <definedName name="snl__BB13EBFD_7C4E_4673_A8F5_D96BAD89F632_" localSheetId="7" hidden="1">Sheet2!$DS$3:$DS$6</definedName>
    <definedName name="snl__BFA0F511_7CD6_42B6_9848_551CC8E23309_" localSheetId="7" hidden="1">Sheet2!$H$3:$H$251</definedName>
    <definedName name="snl__BFC5B1F0_E827_4781_9153_2297AF13DD22_" localSheetId="7" hidden="1">Sheet2!$AR$3:$AR$292</definedName>
    <definedName name="snl__C0AD1EEF_3C51_4E20_852A_447196C38765_" localSheetId="7" hidden="1">Sheet2!$FA$3:$FA$61</definedName>
    <definedName name="snl__C1241E75_0FD2_4268_A3D1_3344AFE47738_" localSheetId="7" hidden="1">Sheet2!$CZ$3:$CZ$26</definedName>
    <definedName name="snl__C2823792_B4A5_4A72_A077_A6E97F3B56AB_" localSheetId="7" hidden="1">Sheet2!$BF$3:$BF$503</definedName>
    <definedName name="snl__C46B23A8_28E6_4A32_BED7_A0122CAD8FF0_" localSheetId="7" hidden="1">Sheet2!$FL$3:$FL$139</definedName>
    <definedName name="snl__C72369BF_3E3B_4AFB_AF4A_EBA26F52E840_" localSheetId="7" hidden="1">Sheet2!$GN$3:$GN$139</definedName>
    <definedName name="snl__CAC8221F_2EA5_45DB_87B2_73F2B3132E3B_" localSheetId="7" hidden="1">Sheet2!$EB$3:$EB$503</definedName>
    <definedName name="snl__D1655257_09FE_472D_A290_21BA801859C4_" localSheetId="7" hidden="1">Sheet2!$FT$3:$FT$60</definedName>
    <definedName name="snl__D1FD43B5_46E1_4E9B_A195_BFB950191E0C_" localSheetId="7" hidden="1">Sheet2!$FE$3:$FE$51</definedName>
    <definedName name="snl__D3675A87_F211_4C2A_8D43_11B77E692747_" localSheetId="7" hidden="1">Sheet2!$GZ$3:$GZ$503</definedName>
    <definedName name="snl__D3C1A0B1_D110_4C40_9999_DB8F1A171911_" localSheetId="7" hidden="1">Sheet2!$DR$3:$DR$6</definedName>
    <definedName name="snl__D4869B7B_E26B_4666_B684_07B9F5A02E5C_" localSheetId="7" hidden="1">Sheet2!$FQ$3:$FQ$26</definedName>
    <definedName name="snl__D4E9A153_B845_45F2_9E5E_9E319D22E165_" localSheetId="7" hidden="1">Sheet2!$DG$3:$DG$26</definedName>
    <definedName name="snl__D545860C_B50F_4ED2_8349_77A6C1171BE4_" localSheetId="7" hidden="1">Sheet2!$GV$3:$GV$345</definedName>
    <definedName name="snl__D65ACE9B_C3FD_4470_9E8E_EAA3FF3B27DF_" localSheetId="7" hidden="1">Sheet2!$FF$3:$FF$51</definedName>
    <definedName name="snl__D7860B75_52CD_4FB8_A08F_D4F5582AA11D_" localSheetId="7" hidden="1">Sheet2!$BN$3:$BN$345</definedName>
    <definedName name="snl__D839D8AD_71C0_47EF_99E6_FB0E2BE60DE4_" localSheetId="7" hidden="1">Sheet2!$BP$3:$BP$345</definedName>
    <definedName name="snl__DA073510_1A36_43D8_9527_9C06EB22DD57_" localSheetId="7" hidden="1">Sheet2!$F$3:$F$251</definedName>
    <definedName name="snl__DCAA6E04_A1B0_47BB_9FE1_5C9D971940BF_" localSheetId="7" hidden="1">Sheet2!$FW$3:$FW$60</definedName>
    <definedName name="snl__DD3794FF_479A_4F41_B9E2_3A89AC722BD1_" localSheetId="7" hidden="1">Sheet2!$CP$3:$CP$503</definedName>
    <definedName name="snl__DE918B29_57E8_4AF1_A85E_69F78FB6842F_" localSheetId="7" hidden="1">Sheet2!$CA$3:$CA$416</definedName>
    <definedName name="snl__DF47D6B0_3935_46ED_BB46_8EEDA22A016A_" localSheetId="7" hidden="1">Sheet2!$BJ$3:$BJ$278</definedName>
    <definedName name="snl__E31DBE04_0F54_48DA_9706_21A0B5235EE8_" localSheetId="7" hidden="1">Sheet2!$GU$3:$GU$345</definedName>
    <definedName name="snl__E3571DCA_D467_4D91_A04D_5BCBABE8429B_" localSheetId="7" hidden="1">Sheet2!$DL$3:$DL$503</definedName>
    <definedName name="snl__E396C3E0_A354_42D5_9CD4_483B08A50C16_" localSheetId="7" hidden="1">Sheet2!$EC$3:$EC$503</definedName>
    <definedName name="snl__E48834D2_676E_419B_898D_663B4C19C7B9_" localSheetId="7" hidden="1">Sheet2!$X$3:$X$416</definedName>
    <definedName name="snl__E7801D80_10E5_481E_9128_865217A8E448_" localSheetId="7" hidden="1">Sheet2!$GQ$3:$GQ$139</definedName>
    <definedName name="snl__E89C1492_6B4E_40D1_9804_17394BDC6847_" localSheetId="7" hidden="1">Sheet2!$GX$3:$GX$503</definedName>
    <definedName name="snl__EA6B8D3C_B51D_4574_AD45_EA7E30821BBA_" localSheetId="7" hidden="1">Sheet2!$DB$3:$DB$503</definedName>
    <definedName name="snl__EACF1BAD_95C4_4C8D_979A_4A1E9CDFF231_" localSheetId="7" hidden="1">Sheet2!$AO$3:$AO$292</definedName>
    <definedName name="snl__EBE75489_B5B1_4B3E_BE2D_5DDD7903557C_" localSheetId="7" hidden="1">Sheet2!$N$3:$N$133</definedName>
    <definedName name="snl__EC2A90ED_7A42_406B_874F_ECA463F14913_" localSheetId="7" hidden="1">Sheet2!$EK$3:$EK$26</definedName>
    <definedName name="snl__EC8AF21B_B504_4DBB_A74F_5DEF982D625B_" localSheetId="7" hidden="1">Sheet2!$DO$3:$DO$503</definedName>
    <definedName name="snl__EDC2EC85_B928_4F25_94E1_C46C80C43366_" localSheetId="7" hidden="1">Sheet2!$AZ$3:$AZ$78</definedName>
    <definedName name="snl__F06E4A85_EFAB_4296_A190_0D484BF344B1_" localSheetId="7" hidden="1">Sheet2!$GS$3:$GS$345</definedName>
    <definedName name="snl__F08B477B_0D2F_4D7D_8737_97AE62695F95_" localSheetId="7" hidden="1">Sheet2!$EH$3:$EH$503</definedName>
    <definedName name="snl__F0B20884_12B1_4D9B_81A3_55F8F90F194D_" localSheetId="7" hidden="1">Sheet2!$AH$3:$AH$218</definedName>
    <definedName name="snl__F4F93163_BF02_461F_96DF_D7409B269983_" localSheetId="7" hidden="1">Sheet2!$DQ$3:$DQ$6</definedName>
    <definedName name="snl__F501F79E_82ED_4C25_BBC7_B506654FD37D_" localSheetId="7" hidden="1">Sheet2!$GJ$3:$GJ$51</definedName>
    <definedName name="snl__F8D2E1FB_6898_4C67_89ED_46B5C5EEB4EF_" localSheetId="7" hidden="1">Sheet2!$EZ$3:$EZ$61</definedName>
    <definedName name="snl__FA5C4131_0ACA_4287_9C36_063D41A24382_" localSheetId="7" hidden="1">Sheet2!$EL$3:$EL$26</definedName>
    <definedName name="snl__FB50130D_1C07_4491_BA42_C9A0EDD996D1_" localSheetId="7" hidden="1">Sheet2!$CN$3:$CN$503</definedName>
    <definedName name="snl__FC19605B_2CCF_4D37_A3E8_7E31E42D3AE9_" localSheetId="7" hidden="1">Sheet2!$FZ$3:$FZ$503</definedName>
    <definedName name="snl__FD69ACA2_F683_41E8_9E5F_B5C97DD93A1B_" localSheetId="7" hidden="1">Sheet2!$GA$3:$GA$503</definedName>
    <definedName name="snl__FD91F522_C029_4884_85BF_245DF0E02D5C_" localSheetId="7" hidden="1">Sheet2!$BV$3:$BV$503</definedName>
    <definedName name="snl__FEAE5684_34C6_490A_8F80_FFCB5F925B9C_" localSheetId="7" hidden="1">Sheet2!$DH$3:$DH$26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7" l="1"/>
  <c r="BK14" i="7" s="1"/>
  <c r="D15" i="7"/>
  <c r="BK15" i="7" s="1"/>
  <c r="D16" i="7"/>
  <c r="BK16" i="7" s="1"/>
  <c r="D17" i="7"/>
  <c r="BK17" i="7" s="1"/>
  <c r="D18" i="7"/>
  <c r="BK18" i="7" s="1"/>
  <c r="D19" i="7"/>
  <c r="BK19" i="7" s="1"/>
  <c r="D20" i="7"/>
  <c r="BK20" i="7" s="1"/>
  <c r="D21" i="7"/>
  <c r="BK21" i="7" s="1"/>
  <c r="D22" i="7"/>
  <c r="BK22" i="7" s="1"/>
  <c r="D23" i="7"/>
  <c r="BK23" i="7" s="1"/>
  <c r="D24" i="7"/>
  <c r="BK24" i="7" s="1"/>
  <c r="D25" i="7"/>
  <c r="BK25" i="7" s="1"/>
  <c r="D26" i="7"/>
  <c r="BK26" i="7" s="1"/>
  <c r="D27" i="7"/>
  <c r="BK27" i="7" s="1"/>
  <c r="D28" i="7"/>
  <c r="D29" i="7"/>
  <c r="BK29" i="7" s="1"/>
  <c r="D30" i="7"/>
  <c r="BK30" i="7" s="1"/>
  <c r="D31" i="7"/>
  <c r="BK31" i="7" s="1"/>
  <c r="D32" i="7"/>
  <c r="BK32" i="7" s="1"/>
  <c r="D33" i="7"/>
  <c r="BK33" i="7" s="1"/>
  <c r="D34" i="7"/>
  <c r="BK34" i="7" s="1"/>
  <c r="D35" i="7"/>
  <c r="BK35" i="7" s="1"/>
  <c r="D36" i="7"/>
  <c r="BK36" i="7" s="1"/>
  <c r="D37" i="7"/>
  <c r="BK37" i="7" s="1"/>
  <c r="D38" i="7"/>
  <c r="BK38" i="7" s="1"/>
  <c r="D39" i="7"/>
  <c r="BK39" i="7" s="1"/>
  <c r="D40" i="7"/>
  <c r="BK40" i="7" s="1"/>
  <c r="D41" i="7"/>
  <c r="BK41" i="7" s="1"/>
  <c r="D42" i="7"/>
  <c r="BK42" i="7" s="1"/>
  <c r="D43" i="7"/>
  <c r="BK43" i="7" s="1"/>
  <c r="D44" i="7"/>
  <c r="BK44" i="7" s="1"/>
  <c r="D45" i="7"/>
  <c r="BK45" i="7" s="1"/>
  <c r="D46" i="7"/>
  <c r="BK46" i="7" s="1"/>
  <c r="D47" i="7"/>
  <c r="BK47" i="7" s="1"/>
  <c r="D48" i="7"/>
  <c r="BK48" i="7" s="1"/>
  <c r="D49" i="7"/>
  <c r="BK49" i="7" s="1"/>
  <c r="D50" i="7"/>
  <c r="BK50" i="7" s="1"/>
  <c r="D51" i="7"/>
  <c r="BK51" i="7" s="1"/>
  <c r="D52" i="7"/>
  <c r="BK52" i="7" s="1"/>
  <c r="D53" i="7"/>
  <c r="BK53" i="7" s="1"/>
  <c r="D54" i="7"/>
  <c r="BK54" i="7" s="1"/>
  <c r="D55" i="7"/>
  <c r="BK55" i="7" s="1"/>
  <c r="D56" i="7"/>
  <c r="BK56" i="7" s="1"/>
  <c r="D57" i="7"/>
  <c r="BK57" i="7" s="1"/>
  <c r="D58" i="7"/>
  <c r="BK58" i="7" s="1"/>
  <c r="D59" i="7"/>
  <c r="BK59" i="7" s="1"/>
  <c r="D60" i="7"/>
  <c r="BK60" i="7" s="1"/>
  <c r="D61" i="7"/>
  <c r="BK61" i="7" s="1"/>
  <c r="D62" i="7"/>
  <c r="BK62" i="7" s="1"/>
  <c r="D63" i="7"/>
  <c r="BK63" i="7" s="1"/>
  <c r="D64" i="7"/>
  <c r="BK64" i="7" s="1"/>
  <c r="D65" i="7"/>
  <c r="D66" i="7"/>
  <c r="BK66" i="7" s="1"/>
  <c r="D67" i="7"/>
  <c r="BK67" i="7" s="1"/>
  <c r="D68" i="7"/>
  <c r="BK68" i="7" s="1"/>
  <c r="D69" i="7"/>
  <c r="BK69" i="7" s="1"/>
  <c r="D70" i="7"/>
  <c r="D71" i="7"/>
  <c r="BK71" i="7" s="1"/>
  <c r="D72" i="7"/>
  <c r="BK72" i="7" s="1"/>
  <c r="D73" i="7"/>
  <c r="BK73" i="7" s="1"/>
  <c r="D74" i="7"/>
  <c r="BK74" i="7" s="1"/>
  <c r="D75" i="7"/>
  <c r="BK75" i="7" s="1"/>
  <c r="D6" i="7"/>
  <c r="BK6" i="7" s="1"/>
  <c r="D7" i="7"/>
  <c r="BK7" i="7" s="1"/>
  <c r="D8" i="7"/>
  <c r="BK8" i="7" s="1"/>
  <c r="D9" i="7"/>
  <c r="BK9" i="7" s="1"/>
  <c r="D10" i="7"/>
  <c r="BK10" i="7" s="1"/>
  <c r="D11" i="7"/>
  <c r="BK11" i="7" s="1"/>
  <c r="D12" i="7"/>
  <c r="BK12" i="7" s="1"/>
  <c r="D13" i="7"/>
  <c r="BK13" i="7" s="1"/>
  <c r="D5" i="7"/>
  <c r="BK5" i="7" s="1"/>
  <c r="AQ6" i="7"/>
  <c r="AX6" i="7" s="1"/>
  <c r="AR6" i="7"/>
  <c r="AY6" i="7" s="1"/>
  <c r="AS6" i="7"/>
  <c r="AZ6" i="7" s="1"/>
  <c r="AT6" i="7"/>
  <c r="BA6" i="7" s="1"/>
  <c r="AU6" i="7"/>
  <c r="BB6" i="7" s="1"/>
  <c r="AW6" i="7"/>
  <c r="AQ7" i="7"/>
  <c r="AX7" i="7" s="1"/>
  <c r="AR7" i="7"/>
  <c r="AY7" i="7" s="1"/>
  <c r="AS7" i="7"/>
  <c r="AZ7" i="7" s="1"/>
  <c r="BF7" i="7" s="1"/>
  <c r="AT7" i="7"/>
  <c r="BA7" i="7" s="1"/>
  <c r="AU7" i="7"/>
  <c r="BB7" i="7" s="1"/>
  <c r="BH7" i="7" s="1"/>
  <c r="AW7" i="7"/>
  <c r="AQ8" i="7"/>
  <c r="AX8" i="7" s="1"/>
  <c r="AR8" i="7"/>
  <c r="AY8" i="7" s="1"/>
  <c r="AS8" i="7"/>
  <c r="AZ8" i="7" s="1"/>
  <c r="AT8" i="7"/>
  <c r="BA8" i="7" s="1"/>
  <c r="AU8" i="7"/>
  <c r="BB8" i="7" s="1"/>
  <c r="AW8" i="7"/>
  <c r="AQ9" i="7"/>
  <c r="AX9" i="7" s="1"/>
  <c r="AR9" i="7"/>
  <c r="AY9" i="7" s="1"/>
  <c r="AS9" i="7"/>
  <c r="AZ9" i="7" s="1"/>
  <c r="AT9" i="7"/>
  <c r="BA9" i="7" s="1"/>
  <c r="AU9" i="7"/>
  <c r="BB9" i="7" s="1"/>
  <c r="AW9" i="7"/>
  <c r="AQ10" i="7"/>
  <c r="AX10" i="7" s="1"/>
  <c r="BD10" i="7" s="1"/>
  <c r="AR10" i="7"/>
  <c r="AY10" i="7" s="1"/>
  <c r="BE10" i="7" s="1"/>
  <c r="AS10" i="7"/>
  <c r="AZ10" i="7" s="1"/>
  <c r="AT10" i="7"/>
  <c r="BA10" i="7" s="1"/>
  <c r="AU10" i="7"/>
  <c r="BB10" i="7" s="1"/>
  <c r="AW10" i="7"/>
  <c r="AQ11" i="7"/>
  <c r="AX11" i="7" s="1"/>
  <c r="AR11" i="7"/>
  <c r="AY11" i="7" s="1"/>
  <c r="AS11" i="7"/>
  <c r="AZ11" i="7" s="1"/>
  <c r="AT11" i="7"/>
  <c r="BA11" i="7" s="1"/>
  <c r="AU11" i="7"/>
  <c r="BB11" i="7" s="1"/>
  <c r="AW11" i="7"/>
  <c r="AQ12" i="7"/>
  <c r="AX12" i="7" s="1"/>
  <c r="AR12" i="7"/>
  <c r="AY12" i="7" s="1"/>
  <c r="AS12" i="7"/>
  <c r="AZ12" i="7" s="1"/>
  <c r="AT12" i="7"/>
  <c r="BA12" i="7" s="1"/>
  <c r="AU12" i="7"/>
  <c r="BB12" i="7" s="1"/>
  <c r="AW12" i="7"/>
  <c r="AQ13" i="7"/>
  <c r="AX13" i="7" s="1"/>
  <c r="AR13" i="7"/>
  <c r="AY13" i="7" s="1"/>
  <c r="AS13" i="7"/>
  <c r="AZ13" i="7" s="1"/>
  <c r="AT13" i="7"/>
  <c r="BA13" i="7" s="1"/>
  <c r="AU13" i="7"/>
  <c r="BB13" i="7" s="1"/>
  <c r="AW13" i="7"/>
  <c r="AQ14" i="7"/>
  <c r="AX14" i="7" s="1"/>
  <c r="AR14" i="7"/>
  <c r="AY14" i="7" s="1"/>
  <c r="AS14" i="7"/>
  <c r="AZ14" i="7" s="1"/>
  <c r="AT14" i="7"/>
  <c r="BA14" i="7" s="1"/>
  <c r="AU14" i="7"/>
  <c r="BB14" i="7" s="1"/>
  <c r="AW14" i="7"/>
  <c r="AQ15" i="7"/>
  <c r="AX15" i="7" s="1"/>
  <c r="AR15" i="7"/>
  <c r="AY15" i="7" s="1"/>
  <c r="AS15" i="7"/>
  <c r="AZ15" i="7" s="1"/>
  <c r="AT15" i="7"/>
  <c r="BA15" i="7" s="1"/>
  <c r="AU15" i="7"/>
  <c r="BB15" i="7" s="1"/>
  <c r="AW15" i="7"/>
  <c r="AQ16" i="7"/>
  <c r="AX16" i="7" s="1"/>
  <c r="AR16" i="7"/>
  <c r="AY16" i="7" s="1"/>
  <c r="AS16" i="7"/>
  <c r="AZ16" i="7" s="1"/>
  <c r="AT16" i="7"/>
  <c r="BA16" i="7" s="1"/>
  <c r="AU16" i="7"/>
  <c r="BB16" i="7" s="1"/>
  <c r="AW16" i="7"/>
  <c r="AQ17" i="7"/>
  <c r="AX17" i="7" s="1"/>
  <c r="AR17" i="7"/>
  <c r="AY17" i="7" s="1"/>
  <c r="AS17" i="7"/>
  <c r="AZ17" i="7" s="1"/>
  <c r="AT17" i="7"/>
  <c r="BA17" i="7" s="1"/>
  <c r="AU17" i="7"/>
  <c r="BB17" i="7" s="1"/>
  <c r="AW17" i="7"/>
  <c r="AQ18" i="7"/>
  <c r="AX18" i="7" s="1"/>
  <c r="AR18" i="7"/>
  <c r="AY18" i="7" s="1"/>
  <c r="AS18" i="7"/>
  <c r="AZ18" i="7" s="1"/>
  <c r="AT18" i="7"/>
  <c r="BA18" i="7" s="1"/>
  <c r="AU18" i="7"/>
  <c r="BB18" i="7" s="1"/>
  <c r="AW18" i="7"/>
  <c r="AQ19" i="7"/>
  <c r="AX19" i="7" s="1"/>
  <c r="AR19" i="7"/>
  <c r="AY19" i="7" s="1"/>
  <c r="AS19" i="7"/>
  <c r="AZ19" i="7" s="1"/>
  <c r="AT19" i="7"/>
  <c r="BA19" i="7" s="1"/>
  <c r="AU19" i="7"/>
  <c r="BB19" i="7" s="1"/>
  <c r="AW19" i="7"/>
  <c r="AQ20" i="7"/>
  <c r="AX20" i="7" s="1"/>
  <c r="AR20" i="7"/>
  <c r="AY20" i="7" s="1"/>
  <c r="AS20" i="7"/>
  <c r="AZ20" i="7" s="1"/>
  <c r="AT20" i="7"/>
  <c r="BA20" i="7" s="1"/>
  <c r="AU20" i="7"/>
  <c r="BB20" i="7" s="1"/>
  <c r="AW20" i="7"/>
  <c r="AQ21" i="7"/>
  <c r="AX21" i="7" s="1"/>
  <c r="AR21" i="7"/>
  <c r="AY21" i="7" s="1"/>
  <c r="AS21" i="7"/>
  <c r="AZ21" i="7" s="1"/>
  <c r="BF21" i="7" s="1"/>
  <c r="AT21" i="7"/>
  <c r="BA21" i="7" s="1"/>
  <c r="AU21" i="7"/>
  <c r="BB21" i="7" s="1"/>
  <c r="BH21" i="7" s="1"/>
  <c r="AW21" i="7"/>
  <c r="AQ22" i="7"/>
  <c r="AX22" i="7" s="1"/>
  <c r="AR22" i="7"/>
  <c r="AY22" i="7" s="1"/>
  <c r="AS22" i="7"/>
  <c r="AZ22" i="7" s="1"/>
  <c r="AT22" i="7"/>
  <c r="BA22" i="7" s="1"/>
  <c r="AU22" i="7"/>
  <c r="BB22" i="7" s="1"/>
  <c r="AW22" i="7"/>
  <c r="AQ23" i="7"/>
  <c r="AX23" i="7" s="1"/>
  <c r="AR23" i="7"/>
  <c r="AS23" i="7"/>
  <c r="AZ23" i="7" s="1"/>
  <c r="AT23" i="7"/>
  <c r="BA23" i="7" s="1"/>
  <c r="AU23" i="7"/>
  <c r="BB23" i="7" s="1"/>
  <c r="AW23" i="7"/>
  <c r="AQ24" i="7"/>
  <c r="AX24" i="7" s="1"/>
  <c r="BD24" i="7" s="1"/>
  <c r="AR24" i="7"/>
  <c r="AY24" i="7" s="1"/>
  <c r="BE24" i="7" s="1"/>
  <c r="AS24" i="7"/>
  <c r="AZ24" i="7" s="1"/>
  <c r="AT24" i="7"/>
  <c r="BA24" i="7" s="1"/>
  <c r="AU24" i="7"/>
  <c r="BB24" i="7" s="1"/>
  <c r="AW24" i="7"/>
  <c r="AQ25" i="7"/>
  <c r="AX25" i="7" s="1"/>
  <c r="AR25" i="7"/>
  <c r="AY25" i="7" s="1"/>
  <c r="AS25" i="7"/>
  <c r="AZ25" i="7" s="1"/>
  <c r="AT25" i="7"/>
  <c r="BA25" i="7" s="1"/>
  <c r="AU25" i="7"/>
  <c r="BB25" i="7" s="1"/>
  <c r="AW25" i="7"/>
  <c r="AQ26" i="7"/>
  <c r="AX26" i="7" s="1"/>
  <c r="AR26" i="7"/>
  <c r="AY26" i="7" s="1"/>
  <c r="AS26" i="7"/>
  <c r="AZ26" i="7" s="1"/>
  <c r="AT26" i="7"/>
  <c r="BA26" i="7" s="1"/>
  <c r="AU26" i="7"/>
  <c r="BB26" i="7" s="1"/>
  <c r="AW26" i="7"/>
  <c r="AQ27" i="7"/>
  <c r="AX27" i="7" s="1"/>
  <c r="AR27" i="7"/>
  <c r="AY27" i="7" s="1"/>
  <c r="AS27" i="7"/>
  <c r="AZ27" i="7" s="1"/>
  <c r="AT27" i="7"/>
  <c r="BA27" i="7" s="1"/>
  <c r="AU27" i="7"/>
  <c r="BB27" i="7" s="1"/>
  <c r="AW27" i="7"/>
  <c r="AQ28" i="7"/>
  <c r="AX28" i="7" s="1"/>
  <c r="AR28" i="7"/>
  <c r="AY28" i="7" s="1"/>
  <c r="AS28" i="7"/>
  <c r="AZ28" i="7" s="1"/>
  <c r="AT28" i="7"/>
  <c r="BA28" i="7" s="1"/>
  <c r="AU28" i="7"/>
  <c r="BB28" i="7" s="1"/>
  <c r="AW28" i="7"/>
  <c r="AQ29" i="7"/>
  <c r="AX29" i="7" s="1"/>
  <c r="AR29" i="7"/>
  <c r="AY29" i="7" s="1"/>
  <c r="AS29" i="7"/>
  <c r="AZ29" i="7" s="1"/>
  <c r="AT29" i="7"/>
  <c r="BA29" i="7" s="1"/>
  <c r="AU29" i="7"/>
  <c r="BB29" i="7" s="1"/>
  <c r="AW29" i="7"/>
  <c r="AQ30" i="7"/>
  <c r="AX30" i="7" s="1"/>
  <c r="AR30" i="7"/>
  <c r="AY30" i="7" s="1"/>
  <c r="AS30" i="7"/>
  <c r="AZ30" i="7" s="1"/>
  <c r="AT30" i="7"/>
  <c r="BA30" i="7" s="1"/>
  <c r="AU30" i="7"/>
  <c r="BB30" i="7" s="1"/>
  <c r="AW30" i="7"/>
  <c r="AQ31" i="7"/>
  <c r="AX31" i="7" s="1"/>
  <c r="AR31" i="7"/>
  <c r="AY31" i="7" s="1"/>
  <c r="AS31" i="7"/>
  <c r="AZ31" i="7" s="1"/>
  <c r="AT31" i="7"/>
  <c r="BA31" i="7" s="1"/>
  <c r="AU31" i="7"/>
  <c r="BB31" i="7" s="1"/>
  <c r="AW31" i="7"/>
  <c r="AQ32" i="7"/>
  <c r="AX32" i="7" s="1"/>
  <c r="AR32" i="7"/>
  <c r="AY32" i="7" s="1"/>
  <c r="AS32" i="7"/>
  <c r="AZ32" i="7" s="1"/>
  <c r="AT32" i="7"/>
  <c r="BA32" i="7" s="1"/>
  <c r="AU32" i="7"/>
  <c r="BB32" i="7" s="1"/>
  <c r="AW32" i="7"/>
  <c r="AQ33" i="7"/>
  <c r="AX33" i="7" s="1"/>
  <c r="AR33" i="7"/>
  <c r="AY33" i="7" s="1"/>
  <c r="AS33" i="7"/>
  <c r="AZ33" i="7" s="1"/>
  <c r="AT33" i="7"/>
  <c r="BA33" i="7" s="1"/>
  <c r="AU33" i="7"/>
  <c r="BB33" i="7" s="1"/>
  <c r="AW33" i="7"/>
  <c r="AQ34" i="7"/>
  <c r="AX34" i="7" s="1"/>
  <c r="AR34" i="7"/>
  <c r="AY34" i="7" s="1"/>
  <c r="AS34" i="7"/>
  <c r="AZ34" i="7" s="1"/>
  <c r="AT34" i="7"/>
  <c r="BA34" i="7" s="1"/>
  <c r="AU34" i="7"/>
  <c r="BB34" i="7" s="1"/>
  <c r="AW34" i="7"/>
  <c r="AQ35" i="7"/>
  <c r="AX35" i="7" s="1"/>
  <c r="AR35" i="7"/>
  <c r="AY35" i="7" s="1"/>
  <c r="AS35" i="7"/>
  <c r="AZ35" i="7" s="1"/>
  <c r="AT35" i="7"/>
  <c r="BA35" i="7" s="1"/>
  <c r="AU35" i="7"/>
  <c r="BB35" i="7" s="1"/>
  <c r="AW35" i="7"/>
  <c r="AQ36" i="7"/>
  <c r="AX36" i="7" s="1"/>
  <c r="AR36" i="7"/>
  <c r="AY36" i="7" s="1"/>
  <c r="AS36" i="7"/>
  <c r="AZ36" i="7" s="1"/>
  <c r="AT36" i="7"/>
  <c r="BA36" i="7" s="1"/>
  <c r="AU36" i="7"/>
  <c r="BB36" i="7" s="1"/>
  <c r="AW36" i="7"/>
  <c r="AQ37" i="7"/>
  <c r="AX37" i="7" s="1"/>
  <c r="AR37" i="7"/>
  <c r="AY37" i="7" s="1"/>
  <c r="AS37" i="7"/>
  <c r="AZ37" i="7" s="1"/>
  <c r="AT37" i="7"/>
  <c r="BA37" i="7" s="1"/>
  <c r="AU37" i="7"/>
  <c r="BB37" i="7" s="1"/>
  <c r="AW37" i="7"/>
  <c r="AQ38" i="7"/>
  <c r="AX38" i="7" s="1"/>
  <c r="AR38" i="7"/>
  <c r="AY38" i="7" s="1"/>
  <c r="BE38" i="7" s="1"/>
  <c r="AS38" i="7"/>
  <c r="AZ38" i="7" s="1"/>
  <c r="AT38" i="7"/>
  <c r="BA38" i="7" s="1"/>
  <c r="AU38" i="7"/>
  <c r="BB38" i="7" s="1"/>
  <c r="AW38" i="7"/>
  <c r="AQ39" i="7"/>
  <c r="AX39" i="7" s="1"/>
  <c r="AR39" i="7"/>
  <c r="AY39" i="7" s="1"/>
  <c r="AS39" i="7"/>
  <c r="AZ39" i="7" s="1"/>
  <c r="AT39" i="7"/>
  <c r="BA39" i="7" s="1"/>
  <c r="AU39" i="7"/>
  <c r="BB39" i="7" s="1"/>
  <c r="AW39" i="7"/>
  <c r="AQ40" i="7"/>
  <c r="AX40" i="7" s="1"/>
  <c r="AR40" i="7"/>
  <c r="AY40" i="7" s="1"/>
  <c r="AS40" i="7"/>
  <c r="AZ40" i="7" s="1"/>
  <c r="AT40" i="7"/>
  <c r="BA40" i="7" s="1"/>
  <c r="AU40" i="7"/>
  <c r="BB40" i="7" s="1"/>
  <c r="AW40" i="7"/>
  <c r="AQ41" i="7"/>
  <c r="AX41" i="7" s="1"/>
  <c r="AR41" i="7"/>
  <c r="AY41" i="7" s="1"/>
  <c r="AS41" i="7"/>
  <c r="AZ41" i="7" s="1"/>
  <c r="AT41" i="7"/>
  <c r="BA41" i="7" s="1"/>
  <c r="AU41" i="7"/>
  <c r="BB41" i="7" s="1"/>
  <c r="AW41" i="7"/>
  <c r="AQ42" i="7"/>
  <c r="AX42" i="7" s="1"/>
  <c r="AR42" i="7"/>
  <c r="AY42" i="7" s="1"/>
  <c r="AS42" i="7"/>
  <c r="AZ42" i="7" s="1"/>
  <c r="AT42" i="7"/>
  <c r="BA42" i="7" s="1"/>
  <c r="AU42" i="7"/>
  <c r="BB42" i="7" s="1"/>
  <c r="AW42" i="7"/>
  <c r="AQ43" i="7"/>
  <c r="AX43" i="7" s="1"/>
  <c r="AR43" i="7"/>
  <c r="AY43" i="7" s="1"/>
  <c r="AS43" i="7"/>
  <c r="AZ43" i="7" s="1"/>
  <c r="BF43" i="7" s="1"/>
  <c r="AT43" i="7"/>
  <c r="BA43" i="7" s="1"/>
  <c r="AU43" i="7"/>
  <c r="BB43" i="7" s="1"/>
  <c r="AW43" i="7"/>
  <c r="AQ44" i="7"/>
  <c r="AX44" i="7" s="1"/>
  <c r="AR44" i="7"/>
  <c r="AY44" i="7" s="1"/>
  <c r="AS44" i="7"/>
  <c r="AZ44" i="7" s="1"/>
  <c r="AT44" i="7"/>
  <c r="BA44" i="7" s="1"/>
  <c r="AU44" i="7"/>
  <c r="BB44" i="7" s="1"/>
  <c r="AW44" i="7"/>
  <c r="AQ45" i="7"/>
  <c r="AX45" i="7" s="1"/>
  <c r="AR45" i="7"/>
  <c r="AY45" i="7" s="1"/>
  <c r="AS45" i="7"/>
  <c r="AZ45" i="7" s="1"/>
  <c r="AT45" i="7"/>
  <c r="BA45" i="7" s="1"/>
  <c r="AU45" i="7"/>
  <c r="BB45" i="7" s="1"/>
  <c r="AW45" i="7"/>
  <c r="AQ46" i="7"/>
  <c r="AX46" i="7" s="1"/>
  <c r="AR46" i="7"/>
  <c r="AY46" i="7" s="1"/>
  <c r="AS46" i="7"/>
  <c r="AZ46" i="7" s="1"/>
  <c r="AT46" i="7"/>
  <c r="BA46" i="7" s="1"/>
  <c r="AU46" i="7"/>
  <c r="BB46" i="7" s="1"/>
  <c r="AW46" i="7"/>
  <c r="AQ47" i="7"/>
  <c r="AX47" i="7" s="1"/>
  <c r="AR47" i="7"/>
  <c r="AY47" i="7" s="1"/>
  <c r="AS47" i="7"/>
  <c r="AZ47" i="7" s="1"/>
  <c r="AT47" i="7"/>
  <c r="BA47" i="7" s="1"/>
  <c r="AU47" i="7"/>
  <c r="BB47" i="7" s="1"/>
  <c r="AW47" i="7"/>
  <c r="AQ48" i="7"/>
  <c r="AX48" i="7" s="1"/>
  <c r="AR48" i="7"/>
  <c r="AY48" i="7" s="1"/>
  <c r="AS48" i="7"/>
  <c r="AZ48" i="7" s="1"/>
  <c r="AT48" i="7"/>
  <c r="BA48" i="7" s="1"/>
  <c r="AU48" i="7"/>
  <c r="BB48" i="7" s="1"/>
  <c r="AW48" i="7"/>
  <c r="AQ49" i="7"/>
  <c r="AX49" i="7" s="1"/>
  <c r="AR49" i="7"/>
  <c r="AY49" i="7" s="1"/>
  <c r="AS49" i="7"/>
  <c r="AZ49" i="7" s="1"/>
  <c r="BF49" i="7" s="1"/>
  <c r="AT49" i="7"/>
  <c r="BA49" i="7" s="1"/>
  <c r="AU49" i="7"/>
  <c r="BB49" i="7" s="1"/>
  <c r="AW49" i="7"/>
  <c r="AQ50" i="7"/>
  <c r="AX50" i="7" s="1"/>
  <c r="AR50" i="7"/>
  <c r="AY50" i="7" s="1"/>
  <c r="AS50" i="7"/>
  <c r="AZ50" i="7" s="1"/>
  <c r="AT50" i="7"/>
  <c r="BA50" i="7" s="1"/>
  <c r="AU50" i="7"/>
  <c r="BB50" i="7" s="1"/>
  <c r="AW50" i="7"/>
  <c r="AQ51" i="7"/>
  <c r="AX51" i="7" s="1"/>
  <c r="AR51" i="7"/>
  <c r="AY51" i="7" s="1"/>
  <c r="AS51" i="7"/>
  <c r="AZ51" i="7" s="1"/>
  <c r="AT51" i="7"/>
  <c r="BA51" i="7" s="1"/>
  <c r="AU51" i="7"/>
  <c r="BB51" i="7" s="1"/>
  <c r="AW51" i="7"/>
  <c r="AQ52" i="7"/>
  <c r="AX52" i="7" s="1"/>
  <c r="BD52" i="7" s="1"/>
  <c r="AR52" i="7"/>
  <c r="AY52" i="7" s="1"/>
  <c r="BE52" i="7" s="1"/>
  <c r="AS52" i="7"/>
  <c r="AZ52" i="7" s="1"/>
  <c r="AT52" i="7"/>
  <c r="BA52" i="7" s="1"/>
  <c r="AU52" i="7"/>
  <c r="BB52" i="7" s="1"/>
  <c r="AW52" i="7"/>
  <c r="AQ53" i="7"/>
  <c r="AX53" i="7" s="1"/>
  <c r="AR53" i="7"/>
  <c r="AY53" i="7" s="1"/>
  <c r="AS53" i="7"/>
  <c r="AZ53" i="7" s="1"/>
  <c r="AT53" i="7"/>
  <c r="BA53" i="7" s="1"/>
  <c r="AU53" i="7"/>
  <c r="BB53" i="7" s="1"/>
  <c r="AW53" i="7"/>
  <c r="AQ54" i="7"/>
  <c r="AX54" i="7" s="1"/>
  <c r="AR54" i="7"/>
  <c r="AY54" i="7" s="1"/>
  <c r="AS54" i="7"/>
  <c r="AZ54" i="7" s="1"/>
  <c r="AT54" i="7"/>
  <c r="BA54" i="7" s="1"/>
  <c r="AU54" i="7"/>
  <c r="BB54" i="7" s="1"/>
  <c r="AW54" i="7"/>
  <c r="AQ55" i="7"/>
  <c r="AX55" i="7" s="1"/>
  <c r="AR55" i="7"/>
  <c r="AY55" i="7" s="1"/>
  <c r="AS55" i="7"/>
  <c r="AZ55" i="7" s="1"/>
  <c r="AT55" i="7"/>
  <c r="BA55" i="7" s="1"/>
  <c r="AU55" i="7"/>
  <c r="BB55" i="7" s="1"/>
  <c r="AW55" i="7"/>
  <c r="AQ56" i="7"/>
  <c r="AX56" i="7" s="1"/>
  <c r="AR56" i="7"/>
  <c r="AY56" i="7" s="1"/>
  <c r="AS56" i="7"/>
  <c r="AZ56" i="7" s="1"/>
  <c r="AT56" i="7"/>
  <c r="BA56" i="7" s="1"/>
  <c r="AU56" i="7"/>
  <c r="BB56" i="7" s="1"/>
  <c r="AW56" i="7"/>
  <c r="AQ57" i="7"/>
  <c r="AX57" i="7" s="1"/>
  <c r="AR57" i="7"/>
  <c r="AY57" i="7" s="1"/>
  <c r="AS57" i="7"/>
  <c r="AZ57" i="7" s="1"/>
  <c r="BF57" i="7" s="1"/>
  <c r="AT57" i="7"/>
  <c r="BA57" i="7" s="1"/>
  <c r="AU57" i="7"/>
  <c r="BB57" i="7" s="1"/>
  <c r="AW57" i="7"/>
  <c r="AQ58" i="7"/>
  <c r="AX58" i="7" s="1"/>
  <c r="AR58" i="7"/>
  <c r="AY58" i="7" s="1"/>
  <c r="AS58" i="7"/>
  <c r="AZ58" i="7" s="1"/>
  <c r="AT58" i="7"/>
  <c r="BA58" i="7" s="1"/>
  <c r="AU58" i="7"/>
  <c r="BB58" i="7" s="1"/>
  <c r="AW58" i="7"/>
  <c r="AQ59" i="7"/>
  <c r="AX59" i="7" s="1"/>
  <c r="AR59" i="7"/>
  <c r="AY59" i="7" s="1"/>
  <c r="AS59" i="7"/>
  <c r="AZ59" i="7" s="1"/>
  <c r="AT59" i="7"/>
  <c r="BA59" i="7" s="1"/>
  <c r="AU59" i="7"/>
  <c r="BB59" i="7" s="1"/>
  <c r="AW59" i="7"/>
  <c r="AQ60" i="7"/>
  <c r="AX60" i="7" s="1"/>
  <c r="AR60" i="7"/>
  <c r="AY60" i="7" s="1"/>
  <c r="AS60" i="7"/>
  <c r="AZ60" i="7" s="1"/>
  <c r="AT60" i="7"/>
  <c r="BA60" i="7" s="1"/>
  <c r="AU60" i="7"/>
  <c r="BB60" i="7" s="1"/>
  <c r="AW60" i="7"/>
  <c r="AQ61" i="7"/>
  <c r="AX61" i="7" s="1"/>
  <c r="AR61" i="7"/>
  <c r="AY61" i="7" s="1"/>
  <c r="AS61" i="7"/>
  <c r="AZ61" i="7" s="1"/>
  <c r="AT61" i="7"/>
  <c r="BA61" i="7" s="1"/>
  <c r="AU61" i="7"/>
  <c r="BB61" i="7" s="1"/>
  <c r="AW61" i="7"/>
  <c r="AQ62" i="7"/>
  <c r="AX62" i="7" s="1"/>
  <c r="AR62" i="7"/>
  <c r="AY62" i="7" s="1"/>
  <c r="AS62" i="7"/>
  <c r="AZ62" i="7" s="1"/>
  <c r="AT62" i="7"/>
  <c r="BA62" i="7" s="1"/>
  <c r="AU62" i="7"/>
  <c r="BB62" i="7" s="1"/>
  <c r="AW62" i="7"/>
  <c r="AQ63" i="7"/>
  <c r="AX63" i="7" s="1"/>
  <c r="AR63" i="7"/>
  <c r="AY63" i="7" s="1"/>
  <c r="AS63" i="7"/>
  <c r="AZ63" i="7" s="1"/>
  <c r="BF63" i="7" s="1"/>
  <c r="AT63" i="7"/>
  <c r="BA63" i="7" s="1"/>
  <c r="AU63" i="7"/>
  <c r="BB63" i="7" s="1"/>
  <c r="BH63" i="7" s="1"/>
  <c r="AW63" i="7"/>
  <c r="AQ64" i="7"/>
  <c r="AX64" i="7" s="1"/>
  <c r="AR64" i="7"/>
  <c r="AY64" i="7" s="1"/>
  <c r="AS64" i="7"/>
  <c r="AZ64" i="7" s="1"/>
  <c r="AT64" i="7"/>
  <c r="BA64" i="7" s="1"/>
  <c r="AU64" i="7"/>
  <c r="BB64" i="7" s="1"/>
  <c r="AW64" i="7"/>
  <c r="AQ65" i="7"/>
  <c r="AX65" i="7" s="1"/>
  <c r="AR65" i="7"/>
  <c r="AY65" i="7" s="1"/>
  <c r="AS65" i="7"/>
  <c r="AZ65" i="7" s="1"/>
  <c r="AT65" i="7"/>
  <c r="BA65" i="7" s="1"/>
  <c r="AU65" i="7"/>
  <c r="BB65" i="7" s="1"/>
  <c r="AW65" i="7"/>
  <c r="AQ66" i="7"/>
  <c r="AX66" i="7" s="1"/>
  <c r="BD66" i="7" s="1"/>
  <c r="AR66" i="7"/>
  <c r="AY66" i="7" s="1"/>
  <c r="BE66" i="7" s="1"/>
  <c r="AS66" i="7"/>
  <c r="AZ66" i="7" s="1"/>
  <c r="AT66" i="7"/>
  <c r="BA66" i="7" s="1"/>
  <c r="AU66" i="7"/>
  <c r="BB66" i="7" s="1"/>
  <c r="AW66" i="7"/>
  <c r="AQ67" i="7"/>
  <c r="AX67" i="7" s="1"/>
  <c r="AR67" i="7"/>
  <c r="AY67" i="7" s="1"/>
  <c r="AS67" i="7"/>
  <c r="AZ67" i="7" s="1"/>
  <c r="AT67" i="7"/>
  <c r="BA67" i="7" s="1"/>
  <c r="AU67" i="7"/>
  <c r="BB67" i="7" s="1"/>
  <c r="AW67" i="7"/>
  <c r="AQ68" i="7"/>
  <c r="AX68" i="7" s="1"/>
  <c r="AR68" i="7"/>
  <c r="AY68" i="7" s="1"/>
  <c r="AS68" i="7"/>
  <c r="AZ68" i="7" s="1"/>
  <c r="AT68" i="7"/>
  <c r="BA68" i="7" s="1"/>
  <c r="AU68" i="7"/>
  <c r="BB68" i="7" s="1"/>
  <c r="AW68" i="7"/>
  <c r="AQ69" i="7"/>
  <c r="AX69" i="7" s="1"/>
  <c r="AR69" i="7"/>
  <c r="AY69" i="7" s="1"/>
  <c r="AS69" i="7"/>
  <c r="AZ69" i="7" s="1"/>
  <c r="AT69" i="7"/>
  <c r="BA69" i="7" s="1"/>
  <c r="AU69" i="7"/>
  <c r="BB69" i="7" s="1"/>
  <c r="AW69" i="7"/>
  <c r="AQ70" i="7"/>
  <c r="AX70" i="7" s="1"/>
  <c r="AR70" i="7"/>
  <c r="AY70" i="7" s="1"/>
  <c r="AS70" i="7"/>
  <c r="AZ70" i="7" s="1"/>
  <c r="AT70" i="7"/>
  <c r="BA70" i="7" s="1"/>
  <c r="AU70" i="7"/>
  <c r="BB70" i="7" s="1"/>
  <c r="AW70" i="7"/>
  <c r="AQ71" i="7"/>
  <c r="AX71" i="7" s="1"/>
  <c r="AR71" i="7"/>
  <c r="AY71" i="7" s="1"/>
  <c r="AS71" i="7"/>
  <c r="AZ71" i="7" s="1"/>
  <c r="BF71" i="7" s="1"/>
  <c r="AT71" i="7"/>
  <c r="BA71" i="7" s="1"/>
  <c r="AU71" i="7"/>
  <c r="BB71" i="7" s="1"/>
  <c r="AW71" i="7"/>
  <c r="AQ72" i="7"/>
  <c r="AX72" i="7" s="1"/>
  <c r="AR72" i="7"/>
  <c r="AY72" i="7" s="1"/>
  <c r="AS72" i="7"/>
  <c r="AZ72" i="7" s="1"/>
  <c r="AT72" i="7"/>
  <c r="BA72" i="7" s="1"/>
  <c r="AU72" i="7"/>
  <c r="BB72" i="7" s="1"/>
  <c r="AW72" i="7"/>
  <c r="AQ73" i="7"/>
  <c r="AX73" i="7" s="1"/>
  <c r="AR73" i="7"/>
  <c r="AY73" i="7" s="1"/>
  <c r="AS73" i="7"/>
  <c r="AZ73" i="7" s="1"/>
  <c r="AT73" i="7"/>
  <c r="BA73" i="7" s="1"/>
  <c r="AU73" i="7"/>
  <c r="BB73" i="7" s="1"/>
  <c r="AW73" i="7"/>
  <c r="AQ74" i="7"/>
  <c r="AX74" i="7" s="1"/>
  <c r="AR74" i="7"/>
  <c r="AY74" i="7" s="1"/>
  <c r="BE74" i="7" s="1"/>
  <c r="AS74" i="7"/>
  <c r="AZ74" i="7" s="1"/>
  <c r="AT74" i="7"/>
  <c r="BA74" i="7" s="1"/>
  <c r="AU74" i="7"/>
  <c r="BB74" i="7" s="1"/>
  <c r="AW74" i="7"/>
  <c r="AQ75" i="7"/>
  <c r="AX75" i="7" s="1"/>
  <c r="AR75" i="7"/>
  <c r="AY75" i="7" s="1"/>
  <c r="AS75" i="7"/>
  <c r="AZ75" i="7" s="1"/>
  <c r="AT75" i="7"/>
  <c r="BA75" i="7" s="1"/>
  <c r="AU75" i="7"/>
  <c r="BB75" i="7" s="1"/>
  <c r="AW75" i="7"/>
  <c r="AW5" i="7"/>
  <c r="AQ5" i="7"/>
  <c r="AX5" i="7" s="1"/>
  <c r="AU5" i="7"/>
  <c r="BB5" i="7" s="1"/>
  <c r="AT5" i="7"/>
  <c r="BA5" i="7" s="1"/>
  <c r="AS5" i="7"/>
  <c r="AZ5" i="7" s="1"/>
  <c r="BF5" i="7" s="1"/>
  <c r="AR5" i="7"/>
  <c r="AY5" i="7" s="1"/>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5" i="7"/>
  <c r="HG503" i="8"/>
  <c r="HG502" i="8"/>
  <c r="HG501" i="8"/>
  <c r="HG500" i="8"/>
  <c r="HG499" i="8"/>
  <c r="HG498" i="8"/>
  <c r="HG497" i="8"/>
  <c r="HG496" i="8"/>
  <c r="HG495" i="8"/>
  <c r="HG494" i="8"/>
  <c r="HG493" i="8"/>
  <c r="HG492" i="8"/>
  <c r="HG491" i="8"/>
  <c r="HG490" i="8"/>
  <c r="HG489" i="8"/>
  <c r="HG488" i="8"/>
  <c r="HG487" i="8"/>
  <c r="HG486" i="8"/>
  <c r="HG485" i="8"/>
  <c r="HG484" i="8"/>
  <c r="HG483" i="8"/>
  <c r="HG482" i="8"/>
  <c r="HG481" i="8"/>
  <c r="HG480" i="8"/>
  <c r="HG479" i="8"/>
  <c r="HG478" i="8"/>
  <c r="HG477" i="8"/>
  <c r="HG476" i="8"/>
  <c r="HG475" i="8"/>
  <c r="HG474" i="8"/>
  <c r="HG473" i="8"/>
  <c r="HG472" i="8"/>
  <c r="HG471" i="8"/>
  <c r="HG470" i="8"/>
  <c r="HG469" i="8"/>
  <c r="HG468" i="8"/>
  <c r="HG467" i="8"/>
  <c r="HG466" i="8"/>
  <c r="HG465" i="8"/>
  <c r="HG464" i="8"/>
  <c r="HG463" i="8"/>
  <c r="HG462" i="8"/>
  <c r="HG461" i="8"/>
  <c r="HG460" i="8"/>
  <c r="HG459" i="8"/>
  <c r="HG458" i="8"/>
  <c r="HG457" i="8"/>
  <c r="HG456" i="8"/>
  <c r="HG455" i="8"/>
  <c r="HG454" i="8"/>
  <c r="HG453" i="8"/>
  <c r="HG452" i="8"/>
  <c r="HG451" i="8"/>
  <c r="HG450" i="8"/>
  <c r="HG449" i="8"/>
  <c r="HG448" i="8"/>
  <c r="HG447" i="8"/>
  <c r="HG446" i="8"/>
  <c r="HG445" i="8"/>
  <c r="HG444" i="8"/>
  <c r="HG443" i="8"/>
  <c r="HG442" i="8"/>
  <c r="HG441" i="8"/>
  <c r="HG440" i="8"/>
  <c r="HG439" i="8"/>
  <c r="HG438" i="8"/>
  <c r="HG437" i="8"/>
  <c r="HG436" i="8"/>
  <c r="HG435" i="8"/>
  <c r="HG434" i="8"/>
  <c r="HG433" i="8"/>
  <c r="HG432" i="8"/>
  <c r="HG431" i="8"/>
  <c r="HG430" i="8"/>
  <c r="HG429" i="8"/>
  <c r="HG428" i="8"/>
  <c r="HG427" i="8"/>
  <c r="HG426" i="8"/>
  <c r="HG425" i="8"/>
  <c r="HG424" i="8"/>
  <c r="HG423" i="8"/>
  <c r="HG422" i="8"/>
  <c r="HG421" i="8"/>
  <c r="HG420" i="8"/>
  <c r="HG419" i="8"/>
  <c r="HG418" i="8"/>
  <c r="HG417" i="8"/>
  <c r="HG416" i="8"/>
  <c r="HG415" i="8"/>
  <c r="HG414" i="8"/>
  <c r="HG413" i="8"/>
  <c r="HG412" i="8"/>
  <c r="HG411" i="8"/>
  <c r="HG410" i="8"/>
  <c r="HG409" i="8"/>
  <c r="HG408" i="8"/>
  <c r="HG407" i="8"/>
  <c r="HG406" i="8"/>
  <c r="HG405" i="8"/>
  <c r="HG404" i="8"/>
  <c r="HG403" i="8"/>
  <c r="HG402" i="8"/>
  <c r="HG401" i="8"/>
  <c r="HG400" i="8"/>
  <c r="HG399" i="8"/>
  <c r="HG398" i="8"/>
  <c r="HG397" i="8"/>
  <c r="HG396" i="8"/>
  <c r="HG395" i="8"/>
  <c r="HG394" i="8"/>
  <c r="HB503" i="8"/>
  <c r="HB502" i="8"/>
  <c r="HB501" i="8"/>
  <c r="HB500" i="8"/>
  <c r="HB499" i="8"/>
  <c r="HB498" i="8"/>
  <c r="HB497" i="8"/>
  <c r="HB496" i="8"/>
  <c r="HB495" i="8"/>
  <c r="HB494" i="8"/>
  <c r="HB493" i="8"/>
  <c r="HB492" i="8"/>
  <c r="HB491" i="8"/>
  <c r="HB490" i="8"/>
  <c r="HB489" i="8"/>
  <c r="HB488" i="8"/>
  <c r="HB487" i="8"/>
  <c r="HB486" i="8"/>
  <c r="HB485" i="8"/>
  <c r="HB484" i="8"/>
  <c r="HB483" i="8"/>
  <c r="HB482" i="8"/>
  <c r="HB481" i="8"/>
  <c r="HB480" i="8"/>
  <c r="HB479" i="8"/>
  <c r="HB478" i="8"/>
  <c r="HB477" i="8"/>
  <c r="HB476" i="8"/>
  <c r="HB475" i="8"/>
  <c r="HB474" i="8"/>
  <c r="HB473" i="8"/>
  <c r="HB472" i="8"/>
  <c r="HB471" i="8"/>
  <c r="HB470" i="8"/>
  <c r="HB469" i="8"/>
  <c r="HB468" i="8"/>
  <c r="HB467" i="8"/>
  <c r="HB466" i="8"/>
  <c r="HB465" i="8"/>
  <c r="HB464" i="8"/>
  <c r="HB463" i="8"/>
  <c r="HB462" i="8"/>
  <c r="HB461" i="8"/>
  <c r="HB460" i="8"/>
  <c r="HB459" i="8"/>
  <c r="HB458" i="8"/>
  <c r="HB457" i="8"/>
  <c r="HB456" i="8"/>
  <c r="HB455" i="8"/>
  <c r="HB454" i="8"/>
  <c r="HB453" i="8"/>
  <c r="HB452" i="8"/>
  <c r="HB451" i="8"/>
  <c r="HB450" i="8"/>
  <c r="HB449" i="8"/>
  <c r="HB448" i="8"/>
  <c r="HB447" i="8"/>
  <c r="HB446" i="8"/>
  <c r="HB445" i="8"/>
  <c r="HB444" i="8"/>
  <c r="HB443" i="8"/>
  <c r="HB442" i="8"/>
  <c r="HB441" i="8"/>
  <c r="HB440" i="8"/>
  <c r="HB439" i="8"/>
  <c r="HB438" i="8"/>
  <c r="HB437" i="8"/>
  <c r="HB436" i="8"/>
  <c r="HB435" i="8"/>
  <c r="HB434" i="8"/>
  <c r="HB433" i="8"/>
  <c r="HB432" i="8"/>
  <c r="HB431" i="8"/>
  <c r="HB430" i="8"/>
  <c r="HB429" i="8"/>
  <c r="HB428" i="8"/>
  <c r="HB427" i="8"/>
  <c r="HB426" i="8"/>
  <c r="HB425" i="8"/>
  <c r="HB424" i="8"/>
  <c r="HB423" i="8"/>
  <c r="HB422" i="8"/>
  <c r="HB421" i="8"/>
  <c r="HB420" i="8"/>
  <c r="HB419" i="8"/>
  <c r="HB418" i="8"/>
  <c r="HB417" i="8"/>
  <c r="HB416" i="8"/>
  <c r="HB415" i="8"/>
  <c r="HB414" i="8"/>
  <c r="HB413" i="8"/>
  <c r="HB412" i="8"/>
  <c r="HB411" i="8"/>
  <c r="HB410" i="8"/>
  <c r="HB409" i="8"/>
  <c r="HB408" i="8"/>
  <c r="HB407" i="8"/>
  <c r="HB406" i="8"/>
  <c r="HB405" i="8"/>
  <c r="HB404" i="8"/>
  <c r="HB403" i="8"/>
  <c r="HB402" i="8"/>
  <c r="HB401" i="8"/>
  <c r="HB400" i="8"/>
  <c r="HB399" i="8"/>
  <c r="HB398" i="8"/>
  <c r="HB397" i="8"/>
  <c r="HB396" i="8"/>
  <c r="HB395" i="8"/>
  <c r="HB394" i="8"/>
  <c r="GW503" i="8"/>
  <c r="GW502" i="8"/>
  <c r="GW501" i="8"/>
  <c r="GW500" i="8"/>
  <c r="GW499" i="8"/>
  <c r="GW498" i="8"/>
  <c r="GW497" i="8"/>
  <c r="GW496" i="8"/>
  <c r="GW495" i="8"/>
  <c r="GW494" i="8"/>
  <c r="GW493" i="8"/>
  <c r="GW492" i="8"/>
  <c r="GW491" i="8"/>
  <c r="GW490" i="8"/>
  <c r="GW489" i="8"/>
  <c r="GW488" i="8"/>
  <c r="GW487" i="8"/>
  <c r="GW486" i="8"/>
  <c r="GW485" i="8"/>
  <c r="GW484" i="8"/>
  <c r="GW483" i="8"/>
  <c r="GW482" i="8"/>
  <c r="GW481" i="8"/>
  <c r="GW480" i="8"/>
  <c r="GW479" i="8"/>
  <c r="GW478" i="8"/>
  <c r="GW477" i="8"/>
  <c r="GW476" i="8"/>
  <c r="GW475" i="8"/>
  <c r="GW474" i="8"/>
  <c r="GW473" i="8"/>
  <c r="GW472" i="8"/>
  <c r="GW471" i="8"/>
  <c r="GW470" i="8"/>
  <c r="GW469" i="8"/>
  <c r="GW468" i="8"/>
  <c r="GW467" i="8"/>
  <c r="GW466" i="8"/>
  <c r="GW465" i="8"/>
  <c r="GW464" i="8"/>
  <c r="GW463" i="8"/>
  <c r="GW462" i="8"/>
  <c r="GW461" i="8"/>
  <c r="GW460" i="8"/>
  <c r="GW459" i="8"/>
  <c r="GW458" i="8"/>
  <c r="GW457" i="8"/>
  <c r="GW456" i="8"/>
  <c r="GW455" i="8"/>
  <c r="GW454" i="8"/>
  <c r="GW453" i="8"/>
  <c r="GW452" i="8"/>
  <c r="GW451" i="8"/>
  <c r="GW450" i="8"/>
  <c r="GW449" i="8"/>
  <c r="GW448" i="8"/>
  <c r="GW447" i="8"/>
  <c r="GW446" i="8"/>
  <c r="GW445" i="8"/>
  <c r="GW444" i="8"/>
  <c r="GW443" i="8"/>
  <c r="GW442" i="8"/>
  <c r="GW441" i="8"/>
  <c r="GW440" i="8"/>
  <c r="GW439" i="8"/>
  <c r="GW438" i="8"/>
  <c r="GW437" i="8"/>
  <c r="GW436" i="8"/>
  <c r="GW435" i="8"/>
  <c r="GW434" i="8"/>
  <c r="GW433" i="8"/>
  <c r="GW432" i="8"/>
  <c r="GW431" i="8"/>
  <c r="GW430" i="8"/>
  <c r="GW429" i="8"/>
  <c r="GW428" i="8"/>
  <c r="GW427" i="8"/>
  <c r="GW426" i="8"/>
  <c r="GW425" i="8"/>
  <c r="GW424" i="8"/>
  <c r="GW423" i="8"/>
  <c r="GW422" i="8"/>
  <c r="GW421" i="8"/>
  <c r="GW420" i="8"/>
  <c r="GW419" i="8"/>
  <c r="GW418" i="8"/>
  <c r="GW417" i="8"/>
  <c r="GW416" i="8"/>
  <c r="GW415" i="8"/>
  <c r="GW414" i="8"/>
  <c r="GW413" i="8"/>
  <c r="GW412" i="8"/>
  <c r="GW411" i="8"/>
  <c r="GW410" i="8"/>
  <c r="GW409" i="8"/>
  <c r="GW408" i="8"/>
  <c r="GW407" i="8"/>
  <c r="GW406" i="8"/>
  <c r="GW405" i="8"/>
  <c r="GW404" i="8"/>
  <c r="GW403" i="8"/>
  <c r="GW402" i="8"/>
  <c r="GW401" i="8"/>
  <c r="GW400" i="8"/>
  <c r="GW399" i="8"/>
  <c r="GW398" i="8"/>
  <c r="GW397" i="8"/>
  <c r="GW396" i="8"/>
  <c r="GW395" i="8"/>
  <c r="GW394" i="8"/>
  <c r="GR503" i="8"/>
  <c r="GR502" i="8"/>
  <c r="GR501" i="8"/>
  <c r="GR500" i="8"/>
  <c r="GR499" i="8"/>
  <c r="GR498" i="8"/>
  <c r="GR497" i="8"/>
  <c r="GR496" i="8"/>
  <c r="GR495" i="8"/>
  <c r="GR494" i="8"/>
  <c r="GR493" i="8"/>
  <c r="GR492" i="8"/>
  <c r="GR491" i="8"/>
  <c r="GR490" i="8"/>
  <c r="GR489" i="8"/>
  <c r="GR488" i="8"/>
  <c r="GR487" i="8"/>
  <c r="GR486" i="8"/>
  <c r="GR485" i="8"/>
  <c r="GR484" i="8"/>
  <c r="GR483" i="8"/>
  <c r="GR482" i="8"/>
  <c r="GR481" i="8"/>
  <c r="GR480" i="8"/>
  <c r="GR479" i="8"/>
  <c r="GR478" i="8"/>
  <c r="GR477" i="8"/>
  <c r="GR476" i="8"/>
  <c r="GR475" i="8"/>
  <c r="GR474" i="8"/>
  <c r="GR473" i="8"/>
  <c r="GR472" i="8"/>
  <c r="GR471" i="8"/>
  <c r="GR470" i="8"/>
  <c r="GR469" i="8"/>
  <c r="GR468" i="8"/>
  <c r="GR467" i="8"/>
  <c r="GR466" i="8"/>
  <c r="GR465" i="8"/>
  <c r="GR464" i="8"/>
  <c r="GR463" i="8"/>
  <c r="GR462" i="8"/>
  <c r="GR461" i="8"/>
  <c r="GR460" i="8"/>
  <c r="GR459" i="8"/>
  <c r="GR458" i="8"/>
  <c r="GR457" i="8"/>
  <c r="GR456" i="8"/>
  <c r="GR455" i="8"/>
  <c r="GR454" i="8"/>
  <c r="GR453" i="8"/>
  <c r="GR452" i="8"/>
  <c r="GR451" i="8"/>
  <c r="GR450" i="8"/>
  <c r="GR449" i="8"/>
  <c r="GR448" i="8"/>
  <c r="GR447" i="8"/>
  <c r="GR446" i="8"/>
  <c r="GR445" i="8"/>
  <c r="GR444" i="8"/>
  <c r="GR443" i="8"/>
  <c r="GR442" i="8"/>
  <c r="GR441" i="8"/>
  <c r="GR440" i="8"/>
  <c r="GR439" i="8"/>
  <c r="GR438" i="8"/>
  <c r="GR437" i="8"/>
  <c r="GR436" i="8"/>
  <c r="GR435" i="8"/>
  <c r="GR434" i="8"/>
  <c r="GR433" i="8"/>
  <c r="GR432" i="8"/>
  <c r="GR431" i="8"/>
  <c r="GR430" i="8"/>
  <c r="GR429" i="8"/>
  <c r="GR428" i="8"/>
  <c r="GR427" i="8"/>
  <c r="GR426" i="8"/>
  <c r="GR425" i="8"/>
  <c r="GR424" i="8"/>
  <c r="GR423" i="8"/>
  <c r="GR422" i="8"/>
  <c r="GR421" i="8"/>
  <c r="GR420" i="8"/>
  <c r="GR419" i="8"/>
  <c r="GR418" i="8"/>
  <c r="GR417" i="8"/>
  <c r="GR416" i="8"/>
  <c r="GR415" i="8"/>
  <c r="GR414" i="8"/>
  <c r="GR413" i="8"/>
  <c r="GR412" i="8"/>
  <c r="GR411" i="8"/>
  <c r="GR410" i="8"/>
  <c r="GR409" i="8"/>
  <c r="GR408" i="8"/>
  <c r="GR407" i="8"/>
  <c r="GR406" i="8"/>
  <c r="GR405" i="8"/>
  <c r="GR404" i="8"/>
  <c r="GR403" i="8"/>
  <c r="GR402" i="8"/>
  <c r="GR401" i="8"/>
  <c r="GR400" i="8"/>
  <c r="GR399" i="8"/>
  <c r="GR398" i="8"/>
  <c r="GR397" i="8"/>
  <c r="GR396" i="8"/>
  <c r="GR395" i="8"/>
  <c r="GR394" i="8"/>
  <c r="GM503" i="8"/>
  <c r="GM502" i="8"/>
  <c r="GM501" i="8"/>
  <c r="GM500" i="8"/>
  <c r="GM499" i="8"/>
  <c r="GM498" i="8"/>
  <c r="GM497" i="8"/>
  <c r="GM496" i="8"/>
  <c r="GM495" i="8"/>
  <c r="GM494" i="8"/>
  <c r="GM493" i="8"/>
  <c r="GM492" i="8"/>
  <c r="GM491" i="8"/>
  <c r="GM490" i="8"/>
  <c r="GM489" i="8"/>
  <c r="GM488" i="8"/>
  <c r="GM487" i="8"/>
  <c r="GM486" i="8"/>
  <c r="GM485" i="8"/>
  <c r="GM484" i="8"/>
  <c r="GM483" i="8"/>
  <c r="GM482" i="8"/>
  <c r="GM481" i="8"/>
  <c r="GM480" i="8"/>
  <c r="GM479" i="8"/>
  <c r="GM478" i="8"/>
  <c r="GM477" i="8"/>
  <c r="GM476" i="8"/>
  <c r="GM475" i="8"/>
  <c r="GM474" i="8"/>
  <c r="GM473" i="8"/>
  <c r="GM472" i="8"/>
  <c r="GM471" i="8"/>
  <c r="GM470" i="8"/>
  <c r="GM469" i="8"/>
  <c r="GM468" i="8"/>
  <c r="GM467" i="8"/>
  <c r="GM466" i="8"/>
  <c r="GM465" i="8"/>
  <c r="GM464" i="8"/>
  <c r="GM463" i="8"/>
  <c r="GM462" i="8"/>
  <c r="GM461" i="8"/>
  <c r="GM460" i="8"/>
  <c r="GM459" i="8"/>
  <c r="GM458" i="8"/>
  <c r="GM457" i="8"/>
  <c r="GM456" i="8"/>
  <c r="GM455" i="8"/>
  <c r="GM454" i="8"/>
  <c r="GM453" i="8"/>
  <c r="GM452" i="8"/>
  <c r="GM451" i="8"/>
  <c r="GM450" i="8"/>
  <c r="GM449" i="8"/>
  <c r="GM448" i="8"/>
  <c r="GM447" i="8"/>
  <c r="GM446" i="8"/>
  <c r="GM445" i="8"/>
  <c r="GM444" i="8"/>
  <c r="GM443" i="8"/>
  <c r="GM442" i="8"/>
  <c r="GM441" i="8"/>
  <c r="GM440" i="8"/>
  <c r="GM439" i="8"/>
  <c r="GM438" i="8"/>
  <c r="GM437" i="8"/>
  <c r="GM436" i="8"/>
  <c r="GM435" i="8"/>
  <c r="GM434" i="8"/>
  <c r="GM433" i="8"/>
  <c r="GM432" i="8"/>
  <c r="GM431" i="8"/>
  <c r="GM430" i="8"/>
  <c r="GM429" i="8"/>
  <c r="GM428" i="8"/>
  <c r="GM427" i="8"/>
  <c r="GM426" i="8"/>
  <c r="GM425" i="8"/>
  <c r="GM424" i="8"/>
  <c r="GM423" i="8"/>
  <c r="GM422" i="8"/>
  <c r="GM421" i="8"/>
  <c r="GM420" i="8"/>
  <c r="GM419" i="8"/>
  <c r="GM418" i="8"/>
  <c r="GM417" i="8"/>
  <c r="GM416" i="8"/>
  <c r="GM415" i="8"/>
  <c r="GM414" i="8"/>
  <c r="GM413" i="8"/>
  <c r="GM412" i="8"/>
  <c r="GM411" i="8"/>
  <c r="GM410" i="8"/>
  <c r="GM409" i="8"/>
  <c r="GM408" i="8"/>
  <c r="GM407" i="8"/>
  <c r="GM406" i="8"/>
  <c r="GM405" i="8"/>
  <c r="GM404" i="8"/>
  <c r="GM403" i="8"/>
  <c r="GM402" i="8"/>
  <c r="GM401" i="8"/>
  <c r="GM400" i="8"/>
  <c r="GM399" i="8"/>
  <c r="GM398" i="8"/>
  <c r="GM397" i="8"/>
  <c r="GM396" i="8"/>
  <c r="GM395" i="8"/>
  <c r="GM394" i="8"/>
  <c r="GH503" i="8"/>
  <c r="GH502" i="8"/>
  <c r="GH501" i="8"/>
  <c r="GH500" i="8"/>
  <c r="GH499" i="8"/>
  <c r="GH498" i="8"/>
  <c r="GH497" i="8"/>
  <c r="GH496" i="8"/>
  <c r="GH495" i="8"/>
  <c r="GH494" i="8"/>
  <c r="GH493" i="8"/>
  <c r="GH492" i="8"/>
  <c r="GH491" i="8"/>
  <c r="GH490" i="8"/>
  <c r="GH489" i="8"/>
  <c r="GH488" i="8"/>
  <c r="GH487" i="8"/>
  <c r="GH486" i="8"/>
  <c r="GH485" i="8"/>
  <c r="GH484" i="8"/>
  <c r="GH483" i="8"/>
  <c r="GH482" i="8"/>
  <c r="GH481" i="8"/>
  <c r="GH480" i="8"/>
  <c r="GH479" i="8"/>
  <c r="GH478" i="8"/>
  <c r="GH477" i="8"/>
  <c r="GH476" i="8"/>
  <c r="GH475" i="8"/>
  <c r="GH474" i="8"/>
  <c r="GH473" i="8"/>
  <c r="GH472" i="8"/>
  <c r="GH471" i="8"/>
  <c r="GH470" i="8"/>
  <c r="GH469" i="8"/>
  <c r="GH468" i="8"/>
  <c r="GH467" i="8"/>
  <c r="GH466" i="8"/>
  <c r="GH465" i="8"/>
  <c r="GH464" i="8"/>
  <c r="GH463" i="8"/>
  <c r="GH462" i="8"/>
  <c r="GH461" i="8"/>
  <c r="GH460" i="8"/>
  <c r="GH459" i="8"/>
  <c r="GH458" i="8"/>
  <c r="GH457" i="8"/>
  <c r="GH456" i="8"/>
  <c r="GH455" i="8"/>
  <c r="GH454" i="8"/>
  <c r="GH453" i="8"/>
  <c r="GH452" i="8"/>
  <c r="GH451" i="8"/>
  <c r="GH450" i="8"/>
  <c r="GH449" i="8"/>
  <c r="GH448" i="8"/>
  <c r="GH447" i="8"/>
  <c r="GH446" i="8"/>
  <c r="GH445" i="8"/>
  <c r="GH444" i="8"/>
  <c r="GH443" i="8"/>
  <c r="GH442" i="8"/>
  <c r="GH441" i="8"/>
  <c r="GH440" i="8"/>
  <c r="GH439" i="8"/>
  <c r="GH438" i="8"/>
  <c r="GH437" i="8"/>
  <c r="GH436" i="8"/>
  <c r="GH435" i="8"/>
  <c r="GH434" i="8"/>
  <c r="GH433" i="8"/>
  <c r="GH432" i="8"/>
  <c r="GH431" i="8"/>
  <c r="GH430" i="8"/>
  <c r="GH429" i="8"/>
  <c r="GH428" i="8"/>
  <c r="GH427" i="8"/>
  <c r="GH426" i="8"/>
  <c r="GH425" i="8"/>
  <c r="GH424" i="8"/>
  <c r="GH423" i="8"/>
  <c r="GH422" i="8"/>
  <c r="GH421" i="8"/>
  <c r="GH420" i="8"/>
  <c r="GH419" i="8"/>
  <c r="GH418" i="8"/>
  <c r="GH417" i="8"/>
  <c r="GH416" i="8"/>
  <c r="GH415" i="8"/>
  <c r="GH414" i="8"/>
  <c r="GH413" i="8"/>
  <c r="GH412" i="8"/>
  <c r="GH411" i="8"/>
  <c r="GH410" i="8"/>
  <c r="GH409" i="8"/>
  <c r="GH408" i="8"/>
  <c r="GH407" i="8"/>
  <c r="GH406" i="8"/>
  <c r="GH405" i="8"/>
  <c r="GH404" i="8"/>
  <c r="GH403" i="8"/>
  <c r="GH402" i="8"/>
  <c r="GH401" i="8"/>
  <c r="GH400" i="8"/>
  <c r="GH399" i="8"/>
  <c r="GH398" i="8"/>
  <c r="GH397" i="8"/>
  <c r="GH396" i="8"/>
  <c r="GH395" i="8"/>
  <c r="GH394" i="8"/>
  <c r="GC503" i="8"/>
  <c r="GC502" i="8"/>
  <c r="GC501" i="8"/>
  <c r="GC500" i="8"/>
  <c r="GC499" i="8"/>
  <c r="GC498" i="8"/>
  <c r="GC497" i="8"/>
  <c r="GC496" i="8"/>
  <c r="GC495" i="8"/>
  <c r="GC494" i="8"/>
  <c r="GC493" i="8"/>
  <c r="GC492" i="8"/>
  <c r="GC491" i="8"/>
  <c r="GC490" i="8"/>
  <c r="GC489" i="8"/>
  <c r="GC488" i="8"/>
  <c r="GC487" i="8"/>
  <c r="GC486" i="8"/>
  <c r="GC485" i="8"/>
  <c r="GC484" i="8"/>
  <c r="GC483" i="8"/>
  <c r="GC482" i="8"/>
  <c r="GC481" i="8"/>
  <c r="GC480" i="8"/>
  <c r="GC479" i="8"/>
  <c r="GC478" i="8"/>
  <c r="GC477" i="8"/>
  <c r="GC476" i="8"/>
  <c r="GC475" i="8"/>
  <c r="GC474" i="8"/>
  <c r="GC473" i="8"/>
  <c r="GC472" i="8"/>
  <c r="GC471" i="8"/>
  <c r="GC470" i="8"/>
  <c r="GC469" i="8"/>
  <c r="GC468" i="8"/>
  <c r="GC467" i="8"/>
  <c r="GC466" i="8"/>
  <c r="GC465" i="8"/>
  <c r="GC464" i="8"/>
  <c r="GC463" i="8"/>
  <c r="GC462" i="8"/>
  <c r="GC461" i="8"/>
  <c r="GC460" i="8"/>
  <c r="GC459" i="8"/>
  <c r="GC458" i="8"/>
  <c r="GC457" i="8"/>
  <c r="GC456" i="8"/>
  <c r="GC455" i="8"/>
  <c r="GC454" i="8"/>
  <c r="GC453" i="8"/>
  <c r="GC452" i="8"/>
  <c r="GC451" i="8"/>
  <c r="GC450" i="8"/>
  <c r="GC449" i="8"/>
  <c r="GC448" i="8"/>
  <c r="GC447" i="8"/>
  <c r="GC446" i="8"/>
  <c r="GC445" i="8"/>
  <c r="GC444" i="8"/>
  <c r="GC443" i="8"/>
  <c r="GC442" i="8"/>
  <c r="GC441" i="8"/>
  <c r="GC440" i="8"/>
  <c r="GC439" i="8"/>
  <c r="GC438" i="8"/>
  <c r="GC437" i="8"/>
  <c r="GC436" i="8"/>
  <c r="GC435" i="8"/>
  <c r="GC434" i="8"/>
  <c r="GC433" i="8"/>
  <c r="GC432" i="8"/>
  <c r="GC431" i="8"/>
  <c r="GC430" i="8"/>
  <c r="GC429" i="8"/>
  <c r="GC428" i="8"/>
  <c r="GC427" i="8"/>
  <c r="GC426" i="8"/>
  <c r="GC425" i="8"/>
  <c r="GC424" i="8"/>
  <c r="GC423" i="8"/>
  <c r="GC422" i="8"/>
  <c r="GC421" i="8"/>
  <c r="GC420" i="8"/>
  <c r="GC419" i="8"/>
  <c r="GC418" i="8"/>
  <c r="GC417" i="8"/>
  <c r="GC416" i="8"/>
  <c r="GC415" i="8"/>
  <c r="GC414" i="8"/>
  <c r="GC413" i="8"/>
  <c r="GC412" i="8"/>
  <c r="GC411" i="8"/>
  <c r="GC410" i="8"/>
  <c r="GC409" i="8"/>
  <c r="GC408" i="8"/>
  <c r="GC407" i="8"/>
  <c r="GC406" i="8"/>
  <c r="GC405" i="8"/>
  <c r="GC404" i="8"/>
  <c r="GC403" i="8"/>
  <c r="GC402" i="8"/>
  <c r="GC401" i="8"/>
  <c r="GC400" i="8"/>
  <c r="GC399" i="8"/>
  <c r="GC398" i="8"/>
  <c r="GC397" i="8"/>
  <c r="GC396" i="8"/>
  <c r="GC395" i="8"/>
  <c r="GC394" i="8"/>
  <c r="FX503" i="8"/>
  <c r="FX502" i="8"/>
  <c r="FX501" i="8"/>
  <c r="FX500" i="8"/>
  <c r="FX499" i="8"/>
  <c r="FX498" i="8"/>
  <c r="FX497" i="8"/>
  <c r="FX496" i="8"/>
  <c r="FX495" i="8"/>
  <c r="FX494" i="8"/>
  <c r="FX493" i="8"/>
  <c r="FX492" i="8"/>
  <c r="FX491" i="8"/>
  <c r="FX490" i="8"/>
  <c r="FX489" i="8"/>
  <c r="FX488" i="8"/>
  <c r="FX487" i="8"/>
  <c r="FX486" i="8"/>
  <c r="FX485" i="8"/>
  <c r="FX484" i="8"/>
  <c r="FX483" i="8"/>
  <c r="FX482" i="8"/>
  <c r="FX481" i="8"/>
  <c r="FX480" i="8"/>
  <c r="FX479" i="8"/>
  <c r="FX478" i="8"/>
  <c r="FX477" i="8"/>
  <c r="FX476" i="8"/>
  <c r="FX475" i="8"/>
  <c r="FX474" i="8"/>
  <c r="FX473" i="8"/>
  <c r="FX472" i="8"/>
  <c r="FX471" i="8"/>
  <c r="FX470" i="8"/>
  <c r="FX469" i="8"/>
  <c r="FX468" i="8"/>
  <c r="FX467" i="8"/>
  <c r="FX466" i="8"/>
  <c r="FX465" i="8"/>
  <c r="FX464" i="8"/>
  <c r="FX463" i="8"/>
  <c r="FX462" i="8"/>
  <c r="FX461" i="8"/>
  <c r="FX460" i="8"/>
  <c r="FX459" i="8"/>
  <c r="FX458" i="8"/>
  <c r="FX457" i="8"/>
  <c r="FX456" i="8"/>
  <c r="FX455" i="8"/>
  <c r="FX454" i="8"/>
  <c r="FX453" i="8"/>
  <c r="FX452" i="8"/>
  <c r="FX451" i="8"/>
  <c r="FX450" i="8"/>
  <c r="FX449" i="8"/>
  <c r="FX448" i="8"/>
  <c r="FX447" i="8"/>
  <c r="FX446" i="8"/>
  <c r="FX445" i="8"/>
  <c r="FX444" i="8"/>
  <c r="FX443" i="8"/>
  <c r="FX442" i="8"/>
  <c r="FX441" i="8"/>
  <c r="FX440" i="8"/>
  <c r="FX439" i="8"/>
  <c r="FX438" i="8"/>
  <c r="FX437" i="8"/>
  <c r="FX436" i="8"/>
  <c r="FX435" i="8"/>
  <c r="FX434" i="8"/>
  <c r="FX433" i="8"/>
  <c r="FX432" i="8"/>
  <c r="FX431" i="8"/>
  <c r="FX430" i="8"/>
  <c r="FX429" i="8"/>
  <c r="FX428" i="8"/>
  <c r="FX427" i="8"/>
  <c r="FX426" i="8"/>
  <c r="FX425" i="8"/>
  <c r="FX424" i="8"/>
  <c r="FX423" i="8"/>
  <c r="FX422" i="8"/>
  <c r="FX421" i="8"/>
  <c r="FX420" i="8"/>
  <c r="FX419" i="8"/>
  <c r="FX418" i="8"/>
  <c r="FX417" i="8"/>
  <c r="FX416" i="8"/>
  <c r="FX415" i="8"/>
  <c r="FX414" i="8"/>
  <c r="FX413" i="8"/>
  <c r="FX412" i="8"/>
  <c r="FX411" i="8"/>
  <c r="FX410" i="8"/>
  <c r="FX409" i="8"/>
  <c r="FX408" i="8"/>
  <c r="FX407" i="8"/>
  <c r="FX406" i="8"/>
  <c r="FX405" i="8"/>
  <c r="FX404" i="8"/>
  <c r="FX403" i="8"/>
  <c r="FX402" i="8"/>
  <c r="FX401" i="8"/>
  <c r="FX400" i="8"/>
  <c r="FX399" i="8"/>
  <c r="FX398" i="8"/>
  <c r="FX397" i="8"/>
  <c r="FX396" i="8"/>
  <c r="FX395" i="8"/>
  <c r="FX394" i="8"/>
  <c r="FS503" i="8"/>
  <c r="FS502" i="8"/>
  <c r="FS501" i="8"/>
  <c r="FS500" i="8"/>
  <c r="FS499" i="8"/>
  <c r="FS498" i="8"/>
  <c r="FS497" i="8"/>
  <c r="FS496" i="8"/>
  <c r="FS495" i="8"/>
  <c r="FS494" i="8"/>
  <c r="FS493" i="8"/>
  <c r="FS492" i="8"/>
  <c r="FS491" i="8"/>
  <c r="FS490" i="8"/>
  <c r="FS489" i="8"/>
  <c r="FS488" i="8"/>
  <c r="FS487" i="8"/>
  <c r="FS486" i="8"/>
  <c r="FS485" i="8"/>
  <c r="FS484" i="8"/>
  <c r="FS483" i="8"/>
  <c r="FS482" i="8"/>
  <c r="FS481" i="8"/>
  <c r="FS480" i="8"/>
  <c r="FS479" i="8"/>
  <c r="FS478" i="8"/>
  <c r="FS477" i="8"/>
  <c r="FS476" i="8"/>
  <c r="FS475" i="8"/>
  <c r="FS474" i="8"/>
  <c r="FS473" i="8"/>
  <c r="FS472" i="8"/>
  <c r="FS471" i="8"/>
  <c r="FS470" i="8"/>
  <c r="FS469" i="8"/>
  <c r="FS468" i="8"/>
  <c r="FS467" i="8"/>
  <c r="FS466" i="8"/>
  <c r="FS465" i="8"/>
  <c r="FS464" i="8"/>
  <c r="FS463" i="8"/>
  <c r="FS462" i="8"/>
  <c r="FS461" i="8"/>
  <c r="FS460" i="8"/>
  <c r="FS459" i="8"/>
  <c r="FS458" i="8"/>
  <c r="FS457" i="8"/>
  <c r="FS456" i="8"/>
  <c r="FS455" i="8"/>
  <c r="FS454" i="8"/>
  <c r="FS453" i="8"/>
  <c r="FS452" i="8"/>
  <c r="FS451" i="8"/>
  <c r="FS450" i="8"/>
  <c r="FS449" i="8"/>
  <c r="FS448" i="8"/>
  <c r="FS447" i="8"/>
  <c r="FS446" i="8"/>
  <c r="FS445" i="8"/>
  <c r="FS444" i="8"/>
  <c r="FS443" i="8"/>
  <c r="FS442" i="8"/>
  <c r="FS441" i="8"/>
  <c r="FS440" i="8"/>
  <c r="FS439" i="8"/>
  <c r="FS438" i="8"/>
  <c r="FS437" i="8"/>
  <c r="FS436" i="8"/>
  <c r="FS435" i="8"/>
  <c r="FS434" i="8"/>
  <c r="FS433" i="8"/>
  <c r="FS432" i="8"/>
  <c r="FS431" i="8"/>
  <c r="FS430" i="8"/>
  <c r="FS429" i="8"/>
  <c r="FS428" i="8"/>
  <c r="FS427" i="8"/>
  <c r="FS426" i="8"/>
  <c r="FS425" i="8"/>
  <c r="FS424" i="8"/>
  <c r="FS423" i="8"/>
  <c r="FS422" i="8"/>
  <c r="FS421" i="8"/>
  <c r="FS420" i="8"/>
  <c r="FS419" i="8"/>
  <c r="FS418" i="8"/>
  <c r="FS417" i="8"/>
  <c r="FS416" i="8"/>
  <c r="FS415" i="8"/>
  <c r="FS414" i="8"/>
  <c r="FS413" i="8"/>
  <c r="FS412" i="8"/>
  <c r="FS411" i="8"/>
  <c r="FS410" i="8"/>
  <c r="FS409" i="8"/>
  <c r="FS408" i="8"/>
  <c r="FS407" i="8"/>
  <c r="FS406" i="8"/>
  <c r="FS405" i="8"/>
  <c r="FS404" i="8"/>
  <c r="FS403" i="8"/>
  <c r="FS402" i="8"/>
  <c r="FS401" i="8"/>
  <c r="FS400" i="8"/>
  <c r="FS399" i="8"/>
  <c r="FS398" i="8"/>
  <c r="FS397" i="8"/>
  <c r="FS396" i="8"/>
  <c r="FS395" i="8"/>
  <c r="FS394" i="8"/>
  <c r="FN503" i="8"/>
  <c r="FN502" i="8"/>
  <c r="FN501" i="8"/>
  <c r="FN500" i="8"/>
  <c r="FN499" i="8"/>
  <c r="FN498" i="8"/>
  <c r="FN497" i="8"/>
  <c r="FN496" i="8"/>
  <c r="FN495" i="8"/>
  <c r="FN494" i="8"/>
  <c r="FN493" i="8"/>
  <c r="FN492" i="8"/>
  <c r="FN491" i="8"/>
  <c r="FN490" i="8"/>
  <c r="FN489" i="8"/>
  <c r="FN488" i="8"/>
  <c r="FN487" i="8"/>
  <c r="FN486" i="8"/>
  <c r="FN485" i="8"/>
  <c r="FN484" i="8"/>
  <c r="FN483" i="8"/>
  <c r="FN482" i="8"/>
  <c r="FN481" i="8"/>
  <c r="FN480" i="8"/>
  <c r="FN479" i="8"/>
  <c r="FN478" i="8"/>
  <c r="FN477" i="8"/>
  <c r="FN476" i="8"/>
  <c r="FN475" i="8"/>
  <c r="FN474" i="8"/>
  <c r="FN473" i="8"/>
  <c r="FN472" i="8"/>
  <c r="FN471" i="8"/>
  <c r="FN470" i="8"/>
  <c r="FN469" i="8"/>
  <c r="FN468" i="8"/>
  <c r="FN467" i="8"/>
  <c r="FN466" i="8"/>
  <c r="FN465" i="8"/>
  <c r="FN464" i="8"/>
  <c r="FN463" i="8"/>
  <c r="FN462" i="8"/>
  <c r="FN461" i="8"/>
  <c r="FN460" i="8"/>
  <c r="FN459" i="8"/>
  <c r="FN458" i="8"/>
  <c r="FN457" i="8"/>
  <c r="FN456" i="8"/>
  <c r="FN455" i="8"/>
  <c r="FN454" i="8"/>
  <c r="FN453" i="8"/>
  <c r="FN452" i="8"/>
  <c r="FN451" i="8"/>
  <c r="FN450" i="8"/>
  <c r="FN449" i="8"/>
  <c r="FN448" i="8"/>
  <c r="FN447" i="8"/>
  <c r="FN446" i="8"/>
  <c r="FN445" i="8"/>
  <c r="FN444" i="8"/>
  <c r="FN443" i="8"/>
  <c r="FN442" i="8"/>
  <c r="FN441" i="8"/>
  <c r="FN440" i="8"/>
  <c r="FN439" i="8"/>
  <c r="FN438" i="8"/>
  <c r="FN437" i="8"/>
  <c r="FN436" i="8"/>
  <c r="FN435" i="8"/>
  <c r="FN434" i="8"/>
  <c r="FN433" i="8"/>
  <c r="FN432" i="8"/>
  <c r="FN431" i="8"/>
  <c r="FN430" i="8"/>
  <c r="FN429" i="8"/>
  <c r="FN428" i="8"/>
  <c r="FN427" i="8"/>
  <c r="FN426" i="8"/>
  <c r="FN425" i="8"/>
  <c r="FN424" i="8"/>
  <c r="FN423" i="8"/>
  <c r="FN422" i="8"/>
  <c r="FN421" i="8"/>
  <c r="FN420" i="8"/>
  <c r="FN419" i="8"/>
  <c r="FN418" i="8"/>
  <c r="FN417" i="8"/>
  <c r="FN416" i="8"/>
  <c r="FN415" i="8"/>
  <c r="FN414" i="8"/>
  <c r="FN413" i="8"/>
  <c r="FN412" i="8"/>
  <c r="FN411" i="8"/>
  <c r="FN410" i="8"/>
  <c r="FN409" i="8"/>
  <c r="FN408" i="8"/>
  <c r="FN407" i="8"/>
  <c r="FN406" i="8"/>
  <c r="FN405" i="8"/>
  <c r="FN404" i="8"/>
  <c r="FN403" i="8"/>
  <c r="FN402" i="8"/>
  <c r="FN401" i="8"/>
  <c r="FN400" i="8"/>
  <c r="FN399" i="8"/>
  <c r="FN398" i="8"/>
  <c r="FN397" i="8"/>
  <c r="FN396" i="8"/>
  <c r="FN395" i="8"/>
  <c r="FN394" i="8"/>
  <c r="FI503" i="8"/>
  <c r="FI502" i="8"/>
  <c r="FI501" i="8"/>
  <c r="FI500" i="8"/>
  <c r="FI499" i="8"/>
  <c r="FI498" i="8"/>
  <c r="FI497" i="8"/>
  <c r="FI496" i="8"/>
  <c r="FI495" i="8"/>
  <c r="FI494" i="8"/>
  <c r="FI493" i="8"/>
  <c r="FI492" i="8"/>
  <c r="FI491" i="8"/>
  <c r="FI490" i="8"/>
  <c r="FI489" i="8"/>
  <c r="FI488" i="8"/>
  <c r="FI487" i="8"/>
  <c r="FI486" i="8"/>
  <c r="FI485" i="8"/>
  <c r="FI484" i="8"/>
  <c r="FI483" i="8"/>
  <c r="FI482" i="8"/>
  <c r="FI481" i="8"/>
  <c r="FI480" i="8"/>
  <c r="FI479" i="8"/>
  <c r="FI478" i="8"/>
  <c r="FI477" i="8"/>
  <c r="FI476" i="8"/>
  <c r="FI475" i="8"/>
  <c r="FI474" i="8"/>
  <c r="FI473" i="8"/>
  <c r="FI472" i="8"/>
  <c r="FI471" i="8"/>
  <c r="FI470" i="8"/>
  <c r="FI469" i="8"/>
  <c r="FI468" i="8"/>
  <c r="FI467" i="8"/>
  <c r="FI466" i="8"/>
  <c r="FI465" i="8"/>
  <c r="FI464" i="8"/>
  <c r="FI463" i="8"/>
  <c r="FI462" i="8"/>
  <c r="FI461" i="8"/>
  <c r="FI460" i="8"/>
  <c r="FI459" i="8"/>
  <c r="FI458" i="8"/>
  <c r="FI457" i="8"/>
  <c r="FI456" i="8"/>
  <c r="FI455" i="8"/>
  <c r="FI454" i="8"/>
  <c r="FI453" i="8"/>
  <c r="FI452" i="8"/>
  <c r="FI451" i="8"/>
  <c r="FI450" i="8"/>
  <c r="FI449" i="8"/>
  <c r="FI448" i="8"/>
  <c r="FI447" i="8"/>
  <c r="FI446" i="8"/>
  <c r="FI445" i="8"/>
  <c r="FI444" i="8"/>
  <c r="FI443" i="8"/>
  <c r="FI442" i="8"/>
  <c r="FI441" i="8"/>
  <c r="FI440" i="8"/>
  <c r="FI439" i="8"/>
  <c r="FI438" i="8"/>
  <c r="FI437" i="8"/>
  <c r="FI436" i="8"/>
  <c r="FI435" i="8"/>
  <c r="FI434" i="8"/>
  <c r="FI433" i="8"/>
  <c r="FI432" i="8"/>
  <c r="FI431" i="8"/>
  <c r="FI430" i="8"/>
  <c r="FI429" i="8"/>
  <c r="FI428" i="8"/>
  <c r="FI427" i="8"/>
  <c r="FI426" i="8"/>
  <c r="FI425" i="8"/>
  <c r="FI424" i="8"/>
  <c r="FI423" i="8"/>
  <c r="FI422" i="8"/>
  <c r="FI421" i="8"/>
  <c r="FI420" i="8"/>
  <c r="FI419" i="8"/>
  <c r="FI418" i="8"/>
  <c r="FI417" i="8"/>
  <c r="FI416" i="8"/>
  <c r="FI415" i="8"/>
  <c r="FI414" i="8"/>
  <c r="FI413" i="8"/>
  <c r="FI412" i="8"/>
  <c r="FI411" i="8"/>
  <c r="FI410" i="8"/>
  <c r="FI409" i="8"/>
  <c r="FI408" i="8"/>
  <c r="FI407" i="8"/>
  <c r="FI406" i="8"/>
  <c r="FI405" i="8"/>
  <c r="FI404" i="8"/>
  <c r="FI403" i="8"/>
  <c r="FI402" i="8"/>
  <c r="FI401" i="8"/>
  <c r="FI400" i="8"/>
  <c r="FI399" i="8"/>
  <c r="FI398" i="8"/>
  <c r="FI397" i="8"/>
  <c r="FI396" i="8"/>
  <c r="FI395" i="8"/>
  <c r="FI394" i="8"/>
  <c r="FD503" i="8"/>
  <c r="FD502" i="8"/>
  <c r="FD501" i="8"/>
  <c r="FD500" i="8"/>
  <c r="FD499" i="8"/>
  <c r="FD498" i="8"/>
  <c r="FD497" i="8"/>
  <c r="FD496" i="8"/>
  <c r="FD495" i="8"/>
  <c r="FD494" i="8"/>
  <c r="FD493" i="8"/>
  <c r="FD492" i="8"/>
  <c r="FD491" i="8"/>
  <c r="FD490" i="8"/>
  <c r="FD489" i="8"/>
  <c r="FD488" i="8"/>
  <c r="FD487" i="8"/>
  <c r="FD486" i="8"/>
  <c r="FD485" i="8"/>
  <c r="FD484" i="8"/>
  <c r="FD483" i="8"/>
  <c r="FD482" i="8"/>
  <c r="FD481" i="8"/>
  <c r="FD480" i="8"/>
  <c r="FD479" i="8"/>
  <c r="FD478" i="8"/>
  <c r="FD477" i="8"/>
  <c r="FD476" i="8"/>
  <c r="FD475" i="8"/>
  <c r="FD474" i="8"/>
  <c r="FD473" i="8"/>
  <c r="FD472" i="8"/>
  <c r="FD471" i="8"/>
  <c r="FD470" i="8"/>
  <c r="FD469" i="8"/>
  <c r="FD468" i="8"/>
  <c r="FD467" i="8"/>
  <c r="FD466" i="8"/>
  <c r="FD465" i="8"/>
  <c r="FD464" i="8"/>
  <c r="FD463" i="8"/>
  <c r="FD462" i="8"/>
  <c r="FD461" i="8"/>
  <c r="FD460" i="8"/>
  <c r="FD459" i="8"/>
  <c r="FD458" i="8"/>
  <c r="FD457" i="8"/>
  <c r="FD456" i="8"/>
  <c r="FD455" i="8"/>
  <c r="FD454" i="8"/>
  <c r="FD453" i="8"/>
  <c r="FD452" i="8"/>
  <c r="FD451" i="8"/>
  <c r="FD450" i="8"/>
  <c r="FD449" i="8"/>
  <c r="FD448" i="8"/>
  <c r="FD447" i="8"/>
  <c r="FD446" i="8"/>
  <c r="FD445" i="8"/>
  <c r="FD444" i="8"/>
  <c r="FD443" i="8"/>
  <c r="FD442" i="8"/>
  <c r="FD441" i="8"/>
  <c r="FD440" i="8"/>
  <c r="FD439" i="8"/>
  <c r="FD438" i="8"/>
  <c r="FD437" i="8"/>
  <c r="FD436" i="8"/>
  <c r="FD435" i="8"/>
  <c r="FD434" i="8"/>
  <c r="FD433" i="8"/>
  <c r="FD432" i="8"/>
  <c r="FD431" i="8"/>
  <c r="FD430" i="8"/>
  <c r="FD429" i="8"/>
  <c r="FD428" i="8"/>
  <c r="FD427" i="8"/>
  <c r="FD426" i="8"/>
  <c r="FD425" i="8"/>
  <c r="FD424" i="8"/>
  <c r="FD423" i="8"/>
  <c r="FD422" i="8"/>
  <c r="FD421" i="8"/>
  <c r="FD420" i="8"/>
  <c r="FD419" i="8"/>
  <c r="FD418" i="8"/>
  <c r="FD417" i="8"/>
  <c r="FD416" i="8"/>
  <c r="FD415" i="8"/>
  <c r="FD414" i="8"/>
  <c r="FD413" i="8"/>
  <c r="FD412" i="8"/>
  <c r="FD411" i="8"/>
  <c r="FD410" i="8"/>
  <c r="FD409" i="8"/>
  <c r="FD408" i="8"/>
  <c r="FD407" i="8"/>
  <c r="FD406" i="8"/>
  <c r="FD405" i="8"/>
  <c r="FD404" i="8"/>
  <c r="FD403" i="8"/>
  <c r="FD402" i="8"/>
  <c r="FD401" i="8"/>
  <c r="FD400" i="8"/>
  <c r="FD399" i="8"/>
  <c r="FD398" i="8"/>
  <c r="FD397" i="8"/>
  <c r="FD396" i="8"/>
  <c r="FD395" i="8"/>
  <c r="FD394" i="8"/>
  <c r="EY503" i="8"/>
  <c r="EY502" i="8"/>
  <c r="EY501" i="8"/>
  <c r="EY500" i="8"/>
  <c r="EY499" i="8"/>
  <c r="EY498" i="8"/>
  <c r="EY497" i="8"/>
  <c r="EY496" i="8"/>
  <c r="EY495" i="8"/>
  <c r="EY494" i="8"/>
  <c r="EY493" i="8"/>
  <c r="EY492" i="8"/>
  <c r="EY491" i="8"/>
  <c r="EY490" i="8"/>
  <c r="EY489" i="8"/>
  <c r="EY488" i="8"/>
  <c r="EY487" i="8"/>
  <c r="EY486" i="8"/>
  <c r="EY485" i="8"/>
  <c r="EY484" i="8"/>
  <c r="EY483" i="8"/>
  <c r="EY482" i="8"/>
  <c r="EY481" i="8"/>
  <c r="EY480" i="8"/>
  <c r="EY479" i="8"/>
  <c r="EY478" i="8"/>
  <c r="EY477" i="8"/>
  <c r="EY476" i="8"/>
  <c r="EY475" i="8"/>
  <c r="EY474" i="8"/>
  <c r="EY473" i="8"/>
  <c r="EY472" i="8"/>
  <c r="EY471" i="8"/>
  <c r="EY470" i="8"/>
  <c r="EY469" i="8"/>
  <c r="EY468" i="8"/>
  <c r="EY467" i="8"/>
  <c r="EY466" i="8"/>
  <c r="EY465" i="8"/>
  <c r="EY464" i="8"/>
  <c r="EY463" i="8"/>
  <c r="EY462" i="8"/>
  <c r="EY461" i="8"/>
  <c r="EY460" i="8"/>
  <c r="EY459" i="8"/>
  <c r="EY458" i="8"/>
  <c r="EY457" i="8"/>
  <c r="EY456" i="8"/>
  <c r="EY455" i="8"/>
  <c r="EY454" i="8"/>
  <c r="EY453" i="8"/>
  <c r="EY452" i="8"/>
  <c r="EY451" i="8"/>
  <c r="EY450" i="8"/>
  <c r="EY449" i="8"/>
  <c r="EY448" i="8"/>
  <c r="EY447" i="8"/>
  <c r="EY446" i="8"/>
  <c r="EY445" i="8"/>
  <c r="EY444" i="8"/>
  <c r="EY443" i="8"/>
  <c r="EY442" i="8"/>
  <c r="EY441" i="8"/>
  <c r="EY440" i="8"/>
  <c r="EY439" i="8"/>
  <c r="EY438" i="8"/>
  <c r="EY437" i="8"/>
  <c r="EY436" i="8"/>
  <c r="EY435" i="8"/>
  <c r="EY434" i="8"/>
  <c r="EY433" i="8"/>
  <c r="EY432" i="8"/>
  <c r="EY431" i="8"/>
  <c r="EY430" i="8"/>
  <c r="EY429" i="8"/>
  <c r="EY428" i="8"/>
  <c r="EY427" i="8"/>
  <c r="EY426" i="8"/>
  <c r="EY425" i="8"/>
  <c r="EY424" i="8"/>
  <c r="EY423" i="8"/>
  <c r="EY422" i="8"/>
  <c r="EY421" i="8"/>
  <c r="EY420" i="8"/>
  <c r="EY419" i="8"/>
  <c r="EY418" i="8"/>
  <c r="EY417" i="8"/>
  <c r="EY416" i="8"/>
  <c r="EY415" i="8"/>
  <c r="EY414" i="8"/>
  <c r="EY413" i="8"/>
  <c r="EY412" i="8"/>
  <c r="EY411" i="8"/>
  <c r="EY410" i="8"/>
  <c r="EY409" i="8"/>
  <c r="EY408" i="8"/>
  <c r="EY407" i="8"/>
  <c r="EY406" i="8"/>
  <c r="EY405" i="8"/>
  <c r="EY404" i="8"/>
  <c r="EY403" i="8"/>
  <c r="EY402" i="8"/>
  <c r="EY401" i="8"/>
  <c r="EY400" i="8"/>
  <c r="EY399" i="8"/>
  <c r="EY398" i="8"/>
  <c r="EY397" i="8"/>
  <c r="EY396" i="8"/>
  <c r="EY395" i="8"/>
  <c r="EY394" i="8"/>
  <c r="ET503" i="8"/>
  <c r="ET502" i="8"/>
  <c r="ET501" i="8"/>
  <c r="ET500" i="8"/>
  <c r="ET499" i="8"/>
  <c r="ET498" i="8"/>
  <c r="ET497" i="8"/>
  <c r="ET496" i="8"/>
  <c r="ET495" i="8"/>
  <c r="ET494" i="8"/>
  <c r="ET493" i="8"/>
  <c r="ET492" i="8"/>
  <c r="ET491" i="8"/>
  <c r="ET490" i="8"/>
  <c r="ET489" i="8"/>
  <c r="ET488" i="8"/>
  <c r="ET487" i="8"/>
  <c r="ET486" i="8"/>
  <c r="ET485" i="8"/>
  <c r="ET484" i="8"/>
  <c r="ET483" i="8"/>
  <c r="ET482" i="8"/>
  <c r="ET481" i="8"/>
  <c r="ET480" i="8"/>
  <c r="ET479" i="8"/>
  <c r="ET478" i="8"/>
  <c r="ET477" i="8"/>
  <c r="ET476" i="8"/>
  <c r="ET475" i="8"/>
  <c r="ET474" i="8"/>
  <c r="ET473" i="8"/>
  <c r="ET472" i="8"/>
  <c r="ET471" i="8"/>
  <c r="ET470" i="8"/>
  <c r="ET469" i="8"/>
  <c r="ET468" i="8"/>
  <c r="ET467" i="8"/>
  <c r="ET466" i="8"/>
  <c r="ET465" i="8"/>
  <c r="ET464" i="8"/>
  <c r="ET463" i="8"/>
  <c r="ET462" i="8"/>
  <c r="ET461" i="8"/>
  <c r="ET460" i="8"/>
  <c r="ET459" i="8"/>
  <c r="ET458" i="8"/>
  <c r="ET457" i="8"/>
  <c r="ET456" i="8"/>
  <c r="ET455" i="8"/>
  <c r="ET454" i="8"/>
  <c r="ET453" i="8"/>
  <c r="ET452" i="8"/>
  <c r="ET451" i="8"/>
  <c r="ET450" i="8"/>
  <c r="ET449" i="8"/>
  <c r="ET448" i="8"/>
  <c r="ET447" i="8"/>
  <c r="ET446" i="8"/>
  <c r="ET445" i="8"/>
  <c r="ET444" i="8"/>
  <c r="ET443" i="8"/>
  <c r="ET442" i="8"/>
  <c r="ET441" i="8"/>
  <c r="ET440" i="8"/>
  <c r="ET439" i="8"/>
  <c r="ET438" i="8"/>
  <c r="ET437" i="8"/>
  <c r="ET436" i="8"/>
  <c r="ET435" i="8"/>
  <c r="ET434" i="8"/>
  <c r="ET433" i="8"/>
  <c r="ET432" i="8"/>
  <c r="ET431" i="8"/>
  <c r="ET430" i="8"/>
  <c r="ET429" i="8"/>
  <c r="ET428" i="8"/>
  <c r="ET427" i="8"/>
  <c r="ET426" i="8"/>
  <c r="ET425" i="8"/>
  <c r="ET424" i="8"/>
  <c r="ET423" i="8"/>
  <c r="ET422" i="8"/>
  <c r="ET421" i="8"/>
  <c r="ET420" i="8"/>
  <c r="ET419" i="8"/>
  <c r="ET418" i="8"/>
  <c r="ET417" i="8"/>
  <c r="ET416" i="8"/>
  <c r="ET415" i="8"/>
  <c r="ET414" i="8"/>
  <c r="ET413" i="8"/>
  <c r="ET412" i="8"/>
  <c r="ET411" i="8"/>
  <c r="ET410" i="8"/>
  <c r="ET409" i="8"/>
  <c r="ET408" i="8"/>
  <c r="ET407" i="8"/>
  <c r="ET406" i="8"/>
  <c r="ET405" i="8"/>
  <c r="ET404" i="8"/>
  <c r="ET403" i="8"/>
  <c r="ET402" i="8"/>
  <c r="ET401" i="8"/>
  <c r="ET400" i="8"/>
  <c r="ET399" i="8"/>
  <c r="ET398" i="8"/>
  <c r="ET397" i="8"/>
  <c r="ET396" i="8"/>
  <c r="ET395" i="8"/>
  <c r="ET394" i="8"/>
  <c r="EO503" i="8"/>
  <c r="EO502" i="8"/>
  <c r="EO501" i="8"/>
  <c r="EO500" i="8"/>
  <c r="EO499" i="8"/>
  <c r="EO498" i="8"/>
  <c r="EO497" i="8"/>
  <c r="EO496" i="8"/>
  <c r="EO495" i="8"/>
  <c r="EO494" i="8"/>
  <c r="EO493" i="8"/>
  <c r="EO492" i="8"/>
  <c r="EO491" i="8"/>
  <c r="EO490" i="8"/>
  <c r="EO489" i="8"/>
  <c r="EO488" i="8"/>
  <c r="EO487" i="8"/>
  <c r="EO486" i="8"/>
  <c r="EO485" i="8"/>
  <c r="EO484" i="8"/>
  <c r="EO483" i="8"/>
  <c r="EO482" i="8"/>
  <c r="EO481" i="8"/>
  <c r="EO480" i="8"/>
  <c r="EO479" i="8"/>
  <c r="EO478" i="8"/>
  <c r="EO477" i="8"/>
  <c r="EO476" i="8"/>
  <c r="EO475" i="8"/>
  <c r="EO474" i="8"/>
  <c r="EO473" i="8"/>
  <c r="EO472" i="8"/>
  <c r="EO471" i="8"/>
  <c r="EO470" i="8"/>
  <c r="EO469" i="8"/>
  <c r="EO468" i="8"/>
  <c r="EO467" i="8"/>
  <c r="EO466" i="8"/>
  <c r="EO465" i="8"/>
  <c r="EO464" i="8"/>
  <c r="EO463" i="8"/>
  <c r="EO462" i="8"/>
  <c r="EO461" i="8"/>
  <c r="EO460" i="8"/>
  <c r="EO459" i="8"/>
  <c r="EO458" i="8"/>
  <c r="EO457" i="8"/>
  <c r="EO456" i="8"/>
  <c r="EO455" i="8"/>
  <c r="EO454" i="8"/>
  <c r="EO453" i="8"/>
  <c r="EO452" i="8"/>
  <c r="EO451" i="8"/>
  <c r="EO450" i="8"/>
  <c r="EO449" i="8"/>
  <c r="EO448" i="8"/>
  <c r="EO447" i="8"/>
  <c r="EO446" i="8"/>
  <c r="EO445" i="8"/>
  <c r="EO444" i="8"/>
  <c r="EO443" i="8"/>
  <c r="EO442" i="8"/>
  <c r="EO441" i="8"/>
  <c r="EO440" i="8"/>
  <c r="EO439" i="8"/>
  <c r="EO438" i="8"/>
  <c r="EO437" i="8"/>
  <c r="EO436" i="8"/>
  <c r="EO435" i="8"/>
  <c r="EO434" i="8"/>
  <c r="EO433" i="8"/>
  <c r="EO432" i="8"/>
  <c r="EO431" i="8"/>
  <c r="EO430" i="8"/>
  <c r="EO429" i="8"/>
  <c r="EO428" i="8"/>
  <c r="EO427" i="8"/>
  <c r="EO426" i="8"/>
  <c r="EO425" i="8"/>
  <c r="EO424" i="8"/>
  <c r="EO423" i="8"/>
  <c r="EO422" i="8"/>
  <c r="EO421" i="8"/>
  <c r="EO420" i="8"/>
  <c r="EO419" i="8"/>
  <c r="EO418" i="8"/>
  <c r="EO417" i="8"/>
  <c r="EO416" i="8"/>
  <c r="EO415" i="8"/>
  <c r="EO414" i="8"/>
  <c r="EO413" i="8"/>
  <c r="EO412" i="8"/>
  <c r="EO411" i="8"/>
  <c r="EO410" i="8"/>
  <c r="EO409" i="8"/>
  <c r="EO408" i="8"/>
  <c r="EO407" i="8"/>
  <c r="EO406" i="8"/>
  <c r="EO405" i="8"/>
  <c r="EO404" i="8"/>
  <c r="EO403" i="8"/>
  <c r="EO402" i="8"/>
  <c r="EO401" i="8"/>
  <c r="EO400" i="8"/>
  <c r="EO399" i="8"/>
  <c r="EO398" i="8"/>
  <c r="EO397" i="8"/>
  <c r="EO396" i="8"/>
  <c r="EO395" i="8"/>
  <c r="EO394" i="8"/>
  <c r="EJ503" i="8"/>
  <c r="EJ502" i="8"/>
  <c r="EJ501" i="8"/>
  <c r="EJ500" i="8"/>
  <c r="EJ499" i="8"/>
  <c r="EJ498" i="8"/>
  <c r="EJ497" i="8"/>
  <c r="EJ496" i="8"/>
  <c r="EJ495" i="8"/>
  <c r="EJ494" i="8"/>
  <c r="EJ493" i="8"/>
  <c r="EJ492" i="8"/>
  <c r="EJ491" i="8"/>
  <c r="EJ490" i="8"/>
  <c r="EJ489" i="8"/>
  <c r="EJ488" i="8"/>
  <c r="EJ487" i="8"/>
  <c r="EJ486" i="8"/>
  <c r="EJ485" i="8"/>
  <c r="EJ484" i="8"/>
  <c r="EJ483" i="8"/>
  <c r="EJ482" i="8"/>
  <c r="EJ481" i="8"/>
  <c r="EJ480" i="8"/>
  <c r="EJ479" i="8"/>
  <c r="EJ478" i="8"/>
  <c r="EJ477" i="8"/>
  <c r="EJ476" i="8"/>
  <c r="EJ475" i="8"/>
  <c r="EJ474" i="8"/>
  <c r="EJ473" i="8"/>
  <c r="EJ472" i="8"/>
  <c r="EJ471" i="8"/>
  <c r="EJ470" i="8"/>
  <c r="EJ469" i="8"/>
  <c r="EJ468" i="8"/>
  <c r="EJ467" i="8"/>
  <c r="EJ466" i="8"/>
  <c r="EJ465" i="8"/>
  <c r="EJ464" i="8"/>
  <c r="EJ463" i="8"/>
  <c r="EJ462" i="8"/>
  <c r="EJ461" i="8"/>
  <c r="EJ460" i="8"/>
  <c r="EJ459" i="8"/>
  <c r="EJ458" i="8"/>
  <c r="EJ457" i="8"/>
  <c r="EJ456" i="8"/>
  <c r="EJ455" i="8"/>
  <c r="EJ454" i="8"/>
  <c r="EJ453" i="8"/>
  <c r="EJ452" i="8"/>
  <c r="EJ451" i="8"/>
  <c r="EJ450" i="8"/>
  <c r="EJ449" i="8"/>
  <c r="EJ448" i="8"/>
  <c r="EJ447" i="8"/>
  <c r="EJ446" i="8"/>
  <c r="EJ445" i="8"/>
  <c r="EJ444" i="8"/>
  <c r="EJ443" i="8"/>
  <c r="EJ442" i="8"/>
  <c r="EJ441" i="8"/>
  <c r="EJ440" i="8"/>
  <c r="EJ439" i="8"/>
  <c r="EJ438" i="8"/>
  <c r="EJ437" i="8"/>
  <c r="EJ436" i="8"/>
  <c r="EJ435" i="8"/>
  <c r="EJ434" i="8"/>
  <c r="EJ433" i="8"/>
  <c r="EJ432" i="8"/>
  <c r="EJ431" i="8"/>
  <c r="EJ430" i="8"/>
  <c r="EJ429" i="8"/>
  <c r="EJ428" i="8"/>
  <c r="EJ427" i="8"/>
  <c r="EJ426" i="8"/>
  <c r="EJ425" i="8"/>
  <c r="EJ424" i="8"/>
  <c r="EJ423" i="8"/>
  <c r="EJ422" i="8"/>
  <c r="EJ421" i="8"/>
  <c r="EJ420" i="8"/>
  <c r="EJ419" i="8"/>
  <c r="EJ418" i="8"/>
  <c r="EJ417" i="8"/>
  <c r="EJ416" i="8"/>
  <c r="EJ415" i="8"/>
  <c r="EJ414" i="8"/>
  <c r="EJ413" i="8"/>
  <c r="EJ412" i="8"/>
  <c r="EJ411" i="8"/>
  <c r="EJ410" i="8"/>
  <c r="EJ409" i="8"/>
  <c r="EJ408" i="8"/>
  <c r="EJ407" i="8"/>
  <c r="EJ406" i="8"/>
  <c r="EJ405" i="8"/>
  <c r="EJ404" i="8"/>
  <c r="EJ403" i="8"/>
  <c r="EJ402" i="8"/>
  <c r="EJ401" i="8"/>
  <c r="EJ400" i="8"/>
  <c r="EJ399" i="8"/>
  <c r="EJ398" i="8"/>
  <c r="EJ397" i="8"/>
  <c r="EJ396" i="8"/>
  <c r="EJ395" i="8"/>
  <c r="EJ394" i="8"/>
  <c r="EE503" i="8"/>
  <c r="EE502" i="8"/>
  <c r="EE501" i="8"/>
  <c r="EE500" i="8"/>
  <c r="EE499" i="8"/>
  <c r="EE498" i="8"/>
  <c r="EE497" i="8"/>
  <c r="EE496" i="8"/>
  <c r="EE495" i="8"/>
  <c r="EE494" i="8"/>
  <c r="EE493" i="8"/>
  <c r="EE492" i="8"/>
  <c r="EE491" i="8"/>
  <c r="EE490" i="8"/>
  <c r="EE489" i="8"/>
  <c r="EE488" i="8"/>
  <c r="EE487" i="8"/>
  <c r="EE486" i="8"/>
  <c r="EE485" i="8"/>
  <c r="EE484" i="8"/>
  <c r="EE483" i="8"/>
  <c r="EE482" i="8"/>
  <c r="EE481" i="8"/>
  <c r="EE480" i="8"/>
  <c r="EE479" i="8"/>
  <c r="EE478" i="8"/>
  <c r="EE477" i="8"/>
  <c r="EE476" i="8"/>
  <c r="EE475" i="8"/>
  <c r="EE474" i="8"/>
  <c r="EE473" i="8"/>
  <c r="EE472" i="8"/>
  <c r="EE471" i="8"/>
  <c r="EE470" i="8"/>
  <c r="EE469" i="8"/>
  <c r="EE468" i="8"/>
  <c r="EE467" i="8"/>
  <c r="EE466" i="8"/>
  <c r="EE465" i="8"/>
  <c r="EE464" i="8"/>
  <c r="EE463" i="8"/>
  <c r="EE462" i="8"/>
  <c r="EE461" i="8"/>
  <c r="EE460" i="8"/>
  <c r="EE459" i="8"/>
  <c r="EE458" i="8"/>
  <c r="EE457" i="8"/>
  <c r="EE456" i="8"/>
  <c r="EE455" i="8"/>
  <c r="EE454" i="8"/>
  <c r="EE453" i="8"/>
  <c r="EE452" i="8"/>
  <c r="EE451" i="8"/>
  <c r="EE450" i="8"/>
  <c r="EE449" i="8"/>
  <c r="EE448" i="8"/>
  <c r="EE447" i="8"/>
  <c r="EE446" i="8"/>
  <c r="EE445" i="8"/>
  <c r="EE444" i="8"/>
  <c r="EE443" i="8"/>
  <c r="EE442" i="8"/>
  <c r="EE441" i="8"/>
  <c r="EE440" i="8"/>
  <c r="EE439" i="8"/>
  <c r="EE438" i="8"/>
  <c r="EE437" i="8"/>
  <c r="EE436" i="8"/>
  <c r="EE435" i="8"/>
  <c r="EE434" i="8"/>
  <c r="EE433" i="8"/>
  <c r="EE432" i="8"/>
  <c r="EE431" i="8"/>
  <c r="EE430" i="8"/>
  <c r="EE429" i="8"/>
  <c r="EE428" i="8"/>
  <c r="EE427" i="8"/>
  <c r="EE426" i="8"/>
  <c r="EE425" i="8"/>
  <c r="EE424" i="8"/>
  <c r="EE423" i="8"/>
  <c r="EE422" i="8"/>
  <c r="EE421" i="8"/>
  <c r="EE420" i="8"/>
  <c r="EE419" i="8"/>
  <c r="EE418" i="8"/>
  <c r="EE417" i="8"/>
  <c r="EE416" i="8"/>
  <c r="EE415" i="8"/>
  <c r="EE414" i="8"/>
  <c r="EE413" i="8"/>
  <c r="EE412" i="8"/>
  <c r="EE411" i="8"/>
  <c r="EE410" i="8"/>
  <c r="EE409" i="8"/>
  <c r="EE408" i="8"/>
  <c r="EE407" i="8"/>
  <c r="EE406" i="8"/>
  <c r="EE405" i="8"/>
  <c r="EE404" i="8"/>
  <c r="EE403" i="8"/>
  <c r="EE402" i="8"/>
  <c r="EE401" i="8"/>
  <c r="EE400" i="8"/>
  <c r="EE399" i="8"/>
  <c r="EE398" i="8"/>
  <c r="EE397" i="8"/>
  <c r="EE396" i="8"/>
  <c r="EE395" i="8"/>
  <c r="EE394" i="8"/>
  <c r="DZ503" i="8"/>
  <c r="DZ502" i="8"/>
  <c r="DZ501" i="8"/>
  <c r="DZ500" i="8"/>
  <c r="DZ499" i="8"/>
  <c r="DZ498" i="8"/>
  <c r="DZ497" i="8"/>
  <c r="DZ496" i="8"/>
  <c r="DZ495" i="8"/>
  <c r="DZ494" i="8"/>
  <c r="DZ493" i="8"/>
  <c r="DZ492" i="8"/>
  <c r="DZ491" i="8"/>
  <c r="DZ490" i="8"/>
  <c r="DZ489" i="8"/>
  <c r="DZ488" i="8"/>
  <c r="DZ487" i="8"/>
  <c r="DZ486" i="8"/>
  <c r="DZ485" i="8"/>
  <c r="DZ484" i="8"/>
  <c r="DZ483" i="8"/>
  <c r="DZ482" i="8"/>
  <c r="DZ481" i="8"/>
  <c r="DZ480" i="8"/>
  <c r="DZ479" i="8"/>
  <c r="DZ478" i="8"/>
  <c r="DZ477" i="8"/>
  <c r="DZ476" i="8"/>
  <c r="DZ475" i="8"/>
  <c r="DZ474" i="8"/>
  <c r="DZ473" i="8"/>
  <c r="DZ472" i="8"/>
  <c r="DZ471" i="8"/>
  <c r="DZ470" i="8"/>
  <c r="DZ469" i="8"/>
  <c r="DZ468" i="8"/>
  <c r="DZ467" i="8"/>
  <c r="DZ466" i="8"/>
  <c r="DZ465" i="8"/>
  <c r="DZ464" i="8"/>
  <c r="DZ463" i="8"/>
  <c r="DZ462" i="8"/>
  <c r="DZ461" i="8"/>
  <c r="DZ460" i="8"/>
  <c r="DZ459" i="8"/>
  <c r="DZ458" i="8"/>
  <c r="DZ457" i="8"/>
  <c r="DZ456" i="8"/>
  <c r="DZ455" i="8"/>
  <c r="DZ454" i="8"/>
  <c r="DZ453" i="8"/>
  <c r="DZ452" i="8"/>
  <c r="DZ451" i="8"/>
  <c r="DZ450" i="8"/>
  <c r="DZ449" i="8"/>
  <c r="DZ448" i="8"/>
  <c r="DZ447" i="8"/>
  <c r="DZ446" i="8"/>
  <c r="DZ445" i="8"/>
  <c r="DZ444" i="8"/>
  <c r="DZ443" i="8"/>
  <c r="DZ442" i="8"/>
  <c r="DZ441" i="8"/>
  <c r="DZ440" i="8"/>
  <c r="DZ439" i="8"/>
  <c r="DZ438" i="8"/>
  <c r="DZ437" i="8"/>
  <c r="DZ436" i="8"/>
  <c r="DZ435" i="8"/>
  <c r="DZ434" i="8"/>
  <c r="DZ433" i="8"/>
  <c r="DZ432" i="8"/>
  <c r="DZ431" i="8"/>
  <c r="DZ430" i="8"/>
  <c r="DZ429" i="8"/>
  <c r="DZ428" i="8"/>
  <c r="DZ427" i="8"/>
  <c r="DZ426" i="8"/>
  <c r="DZ425" i="8"/>
  <c r="DZ424" i="8"/>
  <c r="DZ423" i="8"/>
  <c r="DZ422" i="8"/>
  <c r="DZ421" i="8"/>
  <c r="DZ420" i="8"/>
  <c r="DZ419" i="8"/>
  <c r="DZ418" i="8"/>
  <c r="DZ417" i="8"/>
  <c r="DZ416" i="8"/>
  <c r="DZ415" i="8"/>
  <c r="DZ414" i="8"/>
  <c r="DZ413" i="8"/>
  <c r="DZ412" i="8"/>
  <c r="DZ411" i="8"/>
  <c r="DZ410" i="8"/>
  <c r="DZ409" i="8"/>
  <c r="DZ408" i="8"/>
  <c r="DZ407" i="8"/>
  <c r="DZ406" i="8"/>
  <c r="DZ405" i="8"/>
  <c r="DZ404" i="8"/>
  <c r="DZ403" i="8"/>
  <c r="DZ402" i="8"/>
  <c r="DZ401" i="8"/>
  <c r="DZ400" i="8"/>
  <c r="DZ399" i="8"/>
  <c r="DZ398" i="8"/>
  <c r="DZ397" i="8"/>
  <c r="DZ396" i="8"/>
  <c r="DZ395" i="8"/>
  <c r="DZ394" i="8"/>
  <c r="DP503" i="8"/>
  <c r="DP502" i="8"/>
  <c r="DP501" i="8"/>
  <c r="DP500" i="8"/>
  <c r="DP499" i="8"/>
  <c r="DP498" i="8"/>
  <c r="DP497" i="8"/>
  <c r="DP496" i="8"/>
  <c r="DP495" i="8"/>
  <c r="DP494" i="8"/>
  <c r="DP493" i="8"/>
  <c r="DP492" i="8"/>
  <c r="DP491" i="8"/>
  <c r="DP490" i="8"/>
  <c r="DP489" i="8"/>
  <c r="DP488" i="8"/>
  <c r="DP487" i="8"/>
  <c r="DP486" i="8"/>
  <c r="DP485" i="8"/>
  <c r="DP484" i="8"/>
  <c r="DP483" i="8"/>
  <c r="DP482" i="8"/>
  <c r="DP481" i="8"/>
  <c r="DP480" i="8"/>
  <c r="DP479" i="8"/>
  <c r="DP478" i="8"/>
  <c r="DP477" i="8"/>
  <c r="DP476" i="8"/>
  <c r="DP475" i="8"/>
  <c r="DP474" i="8"/>
  <c r="DP473" i="8"/>
  <c r="DP472" i="8"/>
  <c r="DP471" i="8"/>
  <c r="DP470" i="8"/>
  <c r="DP469" i="8"/>
  <c r="DP468" i="8"/>
  <c r="DP467" i="8"/>
  <c r="DP466" i="8"/>
  <c r="DP465" i="8"/>
  <c r="DP464" i="8"/>
  <c r="DP463" i="8"/>
  <c r="DP462" i="8"/>
  <c r="DP461" i="8"/>
  <c r="DP460" i="8"/>
  <c r="DP459" i="8"/>
  <c r="DP458" i="8"/>
  <c r="DP457" i="8"/>
  <c r="DP456" i="8"/>
  <c r="DP455" i="8"/>
  <c r="DP454" i="8"/>
  <c r="DP453" i="8"/>
  <c r="DP452" i="8"/>
  <c r="DP451" i="8"/>
  <c r="DP450" i="8"/>
  <c r="DP449" i="8"/>
  <c r="DP448" i="8"/>
  <c r="DP447" i="8"/>
  <c r="DP446" i="8"/>
  <c r="DP445" i="8"/>
  <c r="DP444" i="8"/>
  <c r="DP443" i="8"/>
  <c r="DP442" i="8"/>
  <c r="DP441" i="8"/>
  <c r="DP440" i="8"/>
  <c r="DP439" i="8"/>
  <c r="DP438" i="8"/>
  <c r="DP437" i="8"/>
  <c r="DP436" i="8"/>
  <c r="DP435" i="8"/>
  <c r="DP434" i="8"/>
  <c r="DP433" i="8"/>
  <c r="DP432" i="8"/>
  <c r="DP431" i="8"/>
  <c r="DP430" i="8"/>
  <c r="DP429" i="8"/>
  <c r="DP428" i="8"/>
  <c r="DP427" i="8"/>
  <c r="DP426" i="8"/>
  <c r="DP425" i="8"/>
  <c r="DP424" i="8"/>
  <c r="DP423" i="8"/>
  <c r="DP422" i="8"/>
  <c r="DP421" i="8"/>
  <c r="DP420" i="8"/>
  <c r="DP419" i="8"/>
  <c r="DP418" i="8"/>
  <c r="DP417" i="8"/>
  <c r="DP416" i="8"/>
  <c r="DP415" i="8"/>
  <c r="DP414" i="8"/>
  <c r="DP413" i="8"/>
  <c r="DP412" i="8"/>
  <c r="DP411" i="8"/>
  <c r="DP410" i="8"/>
  <c r="DP409" i="8"/>
  <c r="DP408" i="8"/>
  <c r="DP407" i="8"/>
  <c r="DP406" i="8"/>
  <c r="DP405" i="8"/>
  <c r="DP404" i="8"/>
  <c r="DP403" i="8"/>
  <c r="DP402" i="8"/>
  <c r="DP401" i="8"/>
  <c r="DP400" i="8"/>
  <c r="DP399" i="8"/>
  <c r="DP398" i="8"/>
  <c r="DP397" i="8"/>
  <c r="DP396" i="8"/>
  <c r="DP395" i="8"/>
  <c r="DP394" i="8"/>
  <c r="DK503" i="8"/>
  <c r="DK502" i="8"/>
  <c r="DK501" i="8"/>
  <c r="DK500" i="8"/>
  <c r="DK499" i="8"/>
  <c r="DK498" i="8"/>
  <c r="DK497" i="8"/>
  <c r="DK496" i="8"/>
  <c r="DK495" i="8"/>
  <c r="DK494" i="8"/>
  <c r="DK493" i="8"/>
  <c r="DK492" i="8"/>
  <c r="DK491" i="8"/>
  <c r="DK490" i="8"/>
  <c r="DK489" i="8"/>
  <c r="DK488" i="8"/>
  <c r="DK487" i="8"/>
  <c r="DK486" i="8"/>
  <c r="DK485" i="8"/>
  <c r="DK484" i="8"/>
  <c r="DK483" i="8"/>
  <c r="DK482" i="8"/>
  <c r="DK481" i="8"/>
  <c r="DK480" i="8"/>
  <c r="DK479" i="8"/>
  <c r="DK478" i="8"/>
  <c r="DK477" i="8"/>
  <c r="DK476" i="8"/>
  <c r="DK475" i="8"/>
  <c r="DK474" i="8"/>
  <c r="DK473" i="8"/>
  <c r="DK472" i="8"/>
  <c r="DK471" i="8"/>
  <c r="DK470" i="8"/>
  <c r="DK469" i="8"/>
  <c r="DK468" i="8"/>
  <c r="DK467" i="8"/>
  <c r="DK466" i="8"/>
  <c r="DK465" i="8"/>
  <c r="DK464" i="8"/>
  <c r="DK463" i="8"/>
  <c r="DK462" i="8"/>
  <c r="DK461" i="8"/>
  <c r="DK460" i="8"/>
  <c r="DK459" i="8"/>
  <c r="DK458" i="8"/>
  <c r="DK457" i="8"/>
  <c r="DK456" i="8"/>
  <c r="DK455" i="8"/>
  <c r="DK454" i="8"/>
  <c r="DK453" i="8"/>
  <c r="DK452" i="8"/>
  <c r="DK451" i="8"/>
  <c r="DK450" i="8"/>
  <c r="DK449" i="8"/>
  <c r="DK448" i="8"/>
  <c r="DK447" i="8"/>
  <c r="DK446" i="8"/>
  <c r="DK445" i="8"/>
  <c r="DK444" i="8"/>
  <c r="DK443" i="8"/>
  <c r="DK442" i="8"/>
  <c r="DK441" i="8"/>
  <c r="DK440" i="8"/>
  <c r="DK439" i="8"/>
  <c r="DK438" i="8"/>
  <c r="DK437" i="8"/>
  <c r="DK436" i="8"/>
  <c r="DK435" i="8"/>
  <c r="DK434" i="8"/>
  <c r="DK433" i="8"/>
  <c r="DK432" i="8"/>
  <c r="DK431" i="8"/>
  <c r="DK430" i="8"/>
  <c r="DK429" i="8"/>
  <c r="DK428" i="8"/>
  <c r="DK427" i="8"/>
  <c r="DK426" i="8"/>
  <c r="DK425" i="8"/>
  <c r="DK424" i="8"/>
  <c r="DK423" i="8"/>
  <c r="DK422" i="8"/>
  <c r="DK421" i="8"/>
  <c r="DK420" i="8"/>
  <c r="DK419" i="8"/>
  <c r="DK418" i="8"/>
  <c r="DK417" i="8"/>
  <c r="DK416" i="8"/>
  <c r="DK415" i="8"/>
  <c r="DK414" i="8"/>
  <c r="DK413" i="8"/>
  <c r="DK412" i="8"/>
  <c r="DK411" i="8"/>
  <c r="DK410" i="8"/>
  <c r="DK409" i="8"/>
  <c r="DK408" i="8"/>
  <c r="DK407" i="8"/>
  <c r="DK406" i="8"/>
  <c r="DK405" i="8"/>
  <c r="DK404" i="8"/>
  <c r="DK403" i="8"/>
  <c r="DK402" i="8"/>
  <c r="DK401" i="8"/>
  <c r="DK400" i="8"/>
  <c r="DK399" i="8"/>
  <c r="DK398" i="8"/>
  <c r="DK397" i="8"/>
  <c r="DK396" i="8"/>
  <c r="DK395" i="8"/>
  <c r="DK394" i="8"/>
  <c r="DF503" i="8"/>
  <c r="DF502" i="8"/>
  <c r="DF501" i="8"/>
  <c r="DF500" i="8"/>
  <c r="DF499" i="8"/>
  <c r="DF498" i="8"/>
  <c r="DF497" i="8"/>
  <c r="DF496" i="8"/>
  <c r="DF495" i="8"/>
  <c r="DF494" i="8"/>
  <c r="DF493" i="8"/>
  <c r="DF492" i="8"/>
  <c r="DF491" i="8"/>
  <c r="DF490" i="8"/>
  <c r="DF489" i="8"/>
  <c r="DF488" i="8"/>
  <c r="DF487" i="8"/>
  <c r="DF486" i="8"/>
  <c r="DF485" i="8"/>
  <c r="DF484" i="8"/>
  <c r="DF483" i="8"/>
  <c r="DF482" i="8"/>
  <c r="DF481" i="8"/>
  <c r="DF480" i="8"/>
  <c r="DF479" i="8"/>
  <c r="DF478" i="8"/>
  <c r="DF477" i="8"/>
  <c r="DF476" i="8"/>
  <c r="DF475" i="8"/>
  <c r="DF474" i="8"/>
  <c r="DF473" i="8"/>
  <c r="DF472" i="8"/>
  <c r="DF471" i="8"/>
  <c r="DF470" i="8"/>
  <c r="DF469" i="8"/>
  <c r="DF468" i="8"/>
  <c r="DF467" i="8"/>
  <c r="DF466" i="8"/>
  <c r="DF465" i="8"/>
  <c r="DF464" i="8"/>
  <c r="DF463" i="8"/>
  <c r="DF462" i="8"/>
  <c r="DF461" i="8"/>
  <c r="DF460" i="8"/>
  <c r="DF459" i="8"/>
  <c r="DF458" i="8"/>
  <c r="DF457" i="8"/>
  <c r="DF456" i="8"/>
  <c r="DF455" i="8"/>
  <c r="DF454" i="8"/>
  <c r="DF453" i="8"/>
  <c r="DF452" i="8"/>
  <c r="DF451" i="8"/>
  <c r="DF450" i="8"/>
  <c r="DF449" i="8"/>
  <c r="DF448" i="8"/>
  <c r="DF447" i="8"/>
  <c r="DF446" i="8"/>
  <c r="DF445" i="8"/>
  <c r="DF444" i="8"/>
  <c r="DF443" i="8"/>
  <c r="DF442" i="8"/>
  <c r="DF441" i="8"/>
  <c r="DF440" i="8"/>
  <c r="DF439" i="8"/>
  <c r="DF438" i="8"/>
  <c r="DF437" i="8"/>
  <c r="DF436" i="8"/>
  <c r="DF435" i="8"/>
  <c r="DF434" i="8"/>
  <c r="DF433" i="8"/>
  <c r="DF432" i="8"/>
  <c r="DF431" i="8"/>
  <c r="DF430" i="8"/>
  <c r="DF429" i="8"/>
  <c r="DF428" i="8"/>
  <c r="DF427" i="8"/>
  <c r="DF426" i="8"/>
  <c r="DF425" i="8"/>
  <c r="DF424" i="8"/>
  <c r="DF423" i="8"/>
  <c r="DF422" i="8"/>
  <c r="DF421" i="8"/>
  <c r="DF420" i="8"/>
  <c r="DF419" i="8"/>
  <c r="DF418" i="8"/>
  <c r="DF417" i="8"/>
  <c r="DF416" i="8"/>
  <c r="DF415" i="8"/>
  <c r="DF414" i="8"/>
  <c r="DF413" i="8"/>
  <c r="DF412" i="8"/>
  <c r="DF411" i="8"/>
  <c r="DF410" i="8"/>
  <c r="DF409" i="8"/>
  <c r="DF408" i="8"/>
  <c r="DF407" i="8"/>
  <c r="DF406" i="8"/>
  <c r="DF405" i="8"/>
  <c r="DF404" i="8"/>
  <c r="DF403" i="8"/>
  <c r="DF402" i="8"/>
  <c r="DF401" i="8"/>
  <c r="DF400" i="8"/>
  <c r="DF399" i="8"/>
  <c r="DF398" i="8"/>
  <c r="DF397" i="8"/>
  <c r="DF396" i="8"/>
  <c r="DF395" i="8"/>
  <c r="DF394" i="8"/>
  <c r="DA503" i="8"/>
  <c r="DA502" i="8"/>
  <c r="DA501" i="8"/>
  <c r="DA500" i="8"/>
  <c r="DA499" i="8"/>
  <c r="DA498" i="8"/>
  <c r="DA497" i="8"/>
  <c r="DA496" i="8"/>
  <c r="DA495" i="8"/>
  <c r="DA494" i="8"/>
  <c r="DA493" i="8"/>
  <c r="DA492" i="8"/>
  <c r="DA491" i="8"/>
  <c r="DA490" i="8"/>
  <c r="DA489" i="8"/>
  <c r="DA488" i="8"/>
  <c r="DA487" i="8"/>
  <c r="DA486" i="8"/>
  <c r="DA485" i="8"/>
  <c r="DA484" i="8"/>
  <c r="DA483" i="8"/>
  <c r="DA482" i="8"/>
  <c r="DA481" i="8"/>
  <c r="DA480" i="8"/>
  <c r="DA479" i="8"/>
  <c r="DA478" i="8"/>
  <c r="DA477" i="8"/>
  <c r="DA476" i="8"/>
  <c r="DA475" i="8"/>
  <c r="DA474" i="8"/>
  <c r="DA473" i="8"/>
  <c r="DA472" i="8"/>
  <c r="DA471" i="8"/>
  <c r="DA470" i="8"/>
  <c r="DA469" i="8"/>
  <c r="DA468" i="8"/>
  <c r="DA467" i="8"/>
  <c r="DA466" i="8"/>
  <c r="DA465" i="8"/>
  <c r="DA464" i="8"/>
  <c r="DA463" i="8"/>
  <c r="DA462" i="8"/>
  <c r="DA461" i="8"/>
  <c r="DA460" i="8"/>
  <c r="DA459" i="8"/>
  <c r="DA458" i="8"/>
  <c r="DA457" i="8"/>
  <c r="DA456" i="8"/>
  <c r="DA455" i="8"/>
  <c r="DA454" i="8"/>
  <c r="DA453" i="8"/>
  <c r="DA452" i="8"/>
  <c r="DA451" i="8"/>
  <c r="DA450" i="8"/>
  <c r="DA449" i="8"/>
  <c r="DA448" i="8"/>
  <c r="DA447" i="8"/>
  <c r="DA446" i="8"/>
  <c r="DA445" i="8"/>
  <c r="DA444" i="8"/>
  <c r="DA443" i="8"/>
  <c r="DA442" i="8"/>
  <c r="DA441" i="8"/>
  <c r="DA440" i="8"/>
  <c r="DA439" i="8"/>
  <c r="DA438" i="8"/>
  <c r="DA437" i="8"/>
  <c r="DA436" i="8"/>
  <c r="DA435" i="8"/>
  <c r="DA434" i="8"/>
  <c r="DA433" i="8"/>
  <c r="DA432" i="8"/>
  <c r="DA431" i="8"/>
  <c r="DA430" i="8"/>
  <c r="DA429" i="8"/>
  <c r="DA428" i="8"/>
  <c r="DA427" i="8"/>
  <c r="DA426" i="8"/>
  <c r="DA425" i="8"/>
  <c r="DA424" i="8"/>
  <c r="DA423" i="8"/>
  <c r="DA422" i="8"/>
  <c r="DA421" i="8"/>
  <c r="DA420" i="8"/>
  <c r="DA419" i="8"/>
  <c r="DA418" i="8"/>
  <c r="DA417" i="8"/>
  <c r="DA416" i="8"/>
  <c r="DA415" i="8"/>
  <c r="DA414" i="8"/>
  <c r="DA413" i="8"/>
  <c r="DA412" i="8"/>
  <c r="DA411" i="8"/>
  <c r="DA410" i="8"/>
  <c r="DA409" i="8"/>
  <c r="DA408" i="8"/>
  <c r="DA407" i="8"/>
  <c r="DA406" i="8"/>
  <c r="DA405" i="8"/>
  <c r="DA404" i="8"/>
  <c r="DA403" i="8"/>
  <c r="DA402" i="8"/>
  <c r="DA401" i="8"/>
  <c r="DA400" i="8"/>
  <c r="DA399" i="8"/>
  <c r="DA398" i="8"/>
  <c r="DA397" i="8"/>
  <c r="DA396" i="8"/>
  <c r="DA395" i="8"/>
  <c r="DA394" i="8"/>
  <c r="CV503" i="8"/>
  <c r="CV502" i="8"/>
  <c r="CV501" i="8"/>
  <c r="CV500" i="8"/>
  <c r="CV499" i="8"/>
  <c r="CV498" i="8"/>
  <c r="CV497" i="8"/>
  <c r="CV496" i="8"/>
  <c r="CV495" i="8"/>
  <c r="CV494" i="8"/>
  <c r="CV493" i="8"/>
  <c r="CV492" i="8"/>
  <c r="CV491" i="8"/>
  <c r="CV490" i="8"/>
  <c r="CV489" i="8"/>
  <c r="CV488" i="8"/>
  <c r="CV487" i="8"/>
  <c r="CV486" i="8"/>
  <c r="CV485" i="8"/>
  <c r="CV484" i="8"/>
  <c r="CV483" i="8"/>
  <c r="CV482" i="8"/>
  <c r="CV481" i="8"/>
  <c r="CV480" i="8"/>
  <c r="CV479" i="8"/>
  <c r="CV478" i="8"/>
  <c r="CV477" i="8"/>
  <c r="CV476" i="8"/>
  <c r="CV475" i="8"/>
  <c r="CV474" i="8"/>
  <c r="CV473" i="8"/>
  <c r="CV472" i="8"/>
  <c r="CV471" i="8"/>
  <c r="CV470" i="8"/>
  <c r="CV469" i="8"/>
  <c r="CV468" i="8"/>
  <c r="CV467" i="8"/>
  <c r="CV466" i="8"/>
  <c r="CV465" i="8"/>
  <c r="CV464" i="8"/>
  <c r="CV463" i="8"/>
  <c r="CV462" i="8"/>
  <c r="CV461" i="8"/>
  <c r="CV460" i="8"/>
  <c r="CV459" i="8"/>
  <c r="CV458" i="8"/>
  <c r="CV457" i="8"/>
  <c r="CV456" i="8"/>
  <c r="CV455" i="8"/>
  <c r="CV454" i="8"/>
  <c r="CV453" i="8"/>
  <c r="CV452" i="8"/>
  <c r="CV451" i="8"/>
  <c r="CV450" i="8"/>
  <c r="CV449" i="8"/>
  <c r="CV448" i="8"/>
  <c r="CV447" i="8"/>
  <c r="CV446" i="8"/>
  <c r="CV445" i="8"/>
  <c r="CV444" i="8"/>
  <c r="CV443" i="8"/>
  <c r="CV442" i="8"/>
  <c r="CV441" i="8"/>
  <c r="CV440" i="8"/>
  <c r="CV439" i="8"/>
  <c r="CV438" i="8"/>
  <c r="CV437" i="8"/>
  <c r="CV436" i="8"/>
  <c r="CV435" i="8"/>
  <c r="CV434" i="8"/>
  <c r="CV433" i="8"/>
  <c r="CV432" i="8"/>
  <c r="CV431" i="8"/>
  <c r="CV430" i="8"/>
  <c r="CV429" i="8"/>
  <c r="CV428" i="8"/>
  <c r="CV427" i="8"/>
  <c r="CV426" i="8"/>
  <c r="CV425" i="8"/>
  <c r="CV424" i="8"/>
  <c r="CV423" i="8"/>
  <c r="CV422" i="8"/>
  <c r="CV421" i="8"/>
  <c r="CV420" i="8"/>
  <c r="CV419" i="8"/>
  <c r="CV418" i="8"/>
  <c r="CV417" i="8"/>
  <c r="CV416" i="8"/>
  <c r="CV415" i="8"/>
  <c r="CV414" i="8"/>
  <c r="CV413" i="8"/>
  <c r="CV412" i="8"/>
  <c r="CV411" i="8"/>
  <c r="CV410" i="8"/>
  <c r="CV409" i="8"/>
  <c r="CV408" i="8"/>
  <c r="CV407" i="8"/>
  <c r="CV406" i="8"/>
  <c r="CV405" i="8"/>
  <c r="CV404" i="8"/>
  <c r="CV403" i="8"/>
  <c r="CV402" i="8"/>
  <c r="CV401" i="8"/>
  <c r="CV400" i="8"/>
  <c r="CV399" i="8"/>
  <c r="CV398" i="8"/>
  <c r="CV397" i="8"/>
  <c r="CV396" i="8"/>
  <c r="CV395" i="8"/>
  <c r="CV394" i="8"/>
  <c r="CQ503" i="8"/>
  <c r="CQ502" i="8"/>
  <c r="CQ501" i="8"/>
  <c r="CQ500" i="8"/>
  <c r="CQ499" i="8"/>
  <c r="CQ498" i="8"/>
  <c r="CQ497" i="8"/>
  <c r="CQ496" i="8"/>
  <c r="CQ495" i="8"/>
  <c r="CQ494" i="8"/>
  <c r="CQ493" i="8"/>
  <c r="CQ492" i="8"/>
  <c r="CQ491" i="8"/>
  <c r="CQ490" i="8"/>
  <c r="CQ489" i="8"/>
  <c r="CQ488" i="8"/>
  <c r="CQ487" i="8"/>
  <c r="CQ486" i="8"/>
  <c r="CQ485" i="8"/>
  <c r="CQ484" i="8"/>
  <c r="CQ483" i="8"/>
  <c r="CQ482" i="8"/>
  <c r="CQ481" i="8"/>
  <c r="CQ480" i="8"/>
  <c r="CQ479" i="8"/>
  <c r="CQ478" i="8"/>
  <c r="CQ477" i="8"/>
  <c r="CQ476" i="8"/>
  <c r="CQ475" i="8"/>
  <c r="CQ474" i="8"/>
  <c r="CQ473" i="8"/>
  <c r="CQ472" i="8"/>
  <c r="CQ471" i="8"/>
  <c r="CQ470" i="8"/>
  <c r="CQ469" i="8"/>
  <c r="CQ468" i="8"/>
  <c r="CQ467" i="8"/>
  <c r="CQ466" i="8"/>
  <c r="CQ465" i="8"/>
  <c r="CQ464" i="8"/>
  <c r="CQ463" i="8"/>
  <c r="CQ462" i="8"/>
  <c r="CQ461" i="8"/>
  <c r="CQ460" i="8"/>
  <c r="CQ459" i="8"/>
  <c r="CQ458" i="8"/>
  <c r="CQ457" i="8"/>
  <c r="CQ456" i="8"/>
  <c r="CQ455" i="8"/>
  <c r="CQ454" i="8"/>
  <c r="CQ453" i="8"/>
  <c r="CQ452" i="8"/>
  <c r="CQ451" i="8"/>
  <c r="CQ450" i="8"/>
  <c r="CQ449" i="8"/>
  <c r="CQ448" i="8"/>
  <c r="CQ447" i="8"/>
  <c r="CQ446" i="8"/>
  <c r="CQ445" i="8"/>
  <c r="CQ444" i="8"/>
  <c r="CQ443" i="8"/>
  <c r="CQ442" i="8"/>
  <c r="CQ441" i="8"/>
  <c r="CQ440" i="8"/>
  <c r="CQ439" i="8"/>
  <c r="CQ438" i="8"/>
  <c r="CQ437" i="8"/>
  <c r="CQ436" i="8"/>
  <c r="CQ435" i="8"/>
  <c r="CQ434" i="8"/>
  <c r="CQ433" i="8"/>
  <c r="CQ432" i="8"/>
  <c r="CQ431" i="8"/>
  <c r="CQ430" i="8"/>
  <c r="CQ429" i="8"/>
  <c r="CQ428" i="8"/>
  <c r="CQ427" i="8"/>
  <c r="CQ426" i="8"/>
  <c r="CQ425" i="8"/>
  <c r="CQ424" i="8"/>
  <c r="CQ423" i="8"/>
  <c r="CQ422" i="8"/>
  <c r="CQ421" i="8"/>
  <c r="CQ420" i="8"/>
  <c r="CQ419" i="8"/>
  <c r="CQ418" i="8"/>
  <c r="CQ417" i="8"/>
  <c r="CQ416" i="8"/>
  <c r="CQ415" i="8"/>
  <c r="CQ414" i="8"/>
  <c r="CQ413" i="8"/>
  <c r="CQ412" i="8"/>
  <c r="CQ411" i="8"/>
  <c r="CQ410" i="8"/>
  <c r="CQ409" i="8"/>
  <c r="CQ408" i="8"/>
  <c r="CQ407" i="8"/>
  <c r="CQ406" i="8"/>
  <c r="CQ405" i="8"/>
  <c r="CQ404" i="8"/>
  <c r="CQ403" i="8"/>
  <c r="CQ402" i="8"/>
  <c r="CQ401" i="8"/>
  <c r="CQ400" i="8"/>
  <c r="CQ399" i="8"/>
  <c r="CQ398" i="8"/>
  <c r="CQ397" i="8"/>
  <c r="CQ396" i="8"/>
  <c r="CQ395" i="8"/>
  <c r="CQ394" i="8"/>
  <c r="CL503" i="8"/>
  <c r="CL502" i="8"/>
  <c r="CL501" i="8"/>
  <c r="CL500" i="8"/>
  <c r="CL499" i="8"/>
  <c r="CL498" i="8"/>
  <c r="CL497" i="8"/>
  <c r="CL496" i="8"/>
  <c r="CL495" i="8"/>
  <c r="CL494" i="8"/>
  <c r="CL493" i="8"/>
  <c r="CL492" i="8"/>
  <c r="CL491" i="8"/>
  <c r="CL490" i="8"/>
  <c r="CL489" i="8"/>
  <c r="CL488" i="8"/>
  <c r="CL487" i="8"/>
  <c r="CL486" i="8"/>
  <c r="CL485" i="8"/>
  <c r="CL484" i="8"/>
  <c r="CL483" i="8"/>
  <c r="CL482" i="8"/>
  <c r="CL481" i="8"/>
  <c r="CL480" i="8"/>
  <c r="CL479" i="8"/>
  <c r="CL478" i="8"/>
  <c r="CL477" i="8"/>
  <c r="CL476" i="8"/>
  <c r="CL475" i="8"/>
  <c r="CL474" i="8"/>
  <c r="CL473" i="8"/>
  <c r="CL472" i="8"/>
  <c r="CL471" i="8"/>
  <c r="CL470" i="8"/>
  <c r="CL469" i="8"/>
  <c r="CL468" i="8"/>
  <c r="CL467" i="8"/>
  <c r="CL466" i="8"/>
  <c r="CL465" i="8"/>
  <c r="CL464" i="8"/>
  <c r="CL463" i="8"/>
  <c r="CL462" i="8"/>
  <c r="CL461" i="8"/>
  <c r="CL460" i="8"/>
  <c r="CL459" i="8"/>
  <c r="CL458" i="8"/>
  <c r="CL457" i="8"/>
  <c r="CL456" i="8"/>
  <c r="CL455" i="8"/>
  <c r="CL454" i="8"/>
  <c r="CL453" i="8"/>
  <c r="CL452" i="8"/>
  <c r="CL451" i="8"/>
  <c r="CL450" i="8"/>
  <c r="CL449" i="8"/>
  <c r="CL448" i="8"/>
  <c r="CL447" i="8"/>
  <c r="CL446" i="8"/>
  <c r="CL445" i="8"/>
  <c r="CL444" i="8"/>
  <c r="CL443" i="8"/>
  <c r="CL442" i="8"/>
  <c r="CL441" i="8"/>
  <c r="CL440" i="8"/>
  <c r="CL439" i="8"/>
  <c r="CL438" i="8"/>
  <c r="CL437" i="8"/>
  <c r="CL436" i="8"/>
  <c r="CL435" i="8"/>
  <c r="CL434" i="8"/>
  <c r="CL433" i="8"/>
  <c r="CL432" i="8"/>
  <c r="CL431" i="8"/>
  <c r="CL430" i="8"/>
  <c r="CL429" i="8"/>
  <c r="CL428" i="8"/>
  <c r="CL427" i="8"/>
  <c r="CL426" i="8"/>
  <c r="CL425" i="8"/>
  <c r="CL424" i="8"/>
  <c r="CL423" i="8"/>
  <c r="CL422" i="8"/>
  <c r="CL421" i="8"/>
  <c r="CL420" i="8"/>
  <c r="CL419" i="8"/>
  <c r="CL418" i="8"/>
  <c r="CL417" i="8"/>
  <c r="CL416" i="8"/>
  <c r="CL415" i="8"/>
  <c r="CL414" i="8"/>
  <c r="CL413" i="8"/>
  <c r="CL412" i="8"/>
  <c r="CL411" i="8"/>
  <c r="CL410" i="8"/>
  <c r="CL409" i="8"/>
  <c r="CL408" i="8"/>
  <c r="CL407" i="8"/>
  <c r="CL406" i="8"/>
  <c r="CL405" i="8"/>
  <c r="CL404" i="8"/>
  <c r="CL403" i="8"/>
  <c r="CL402" i="8"/>
  <c r="CL401" i="8"/>
  <c r="CL400" i="8"/>
  <c r="CL399" i="8"/>
  <c r="CL398" i="8"/>
  <c r="CL397" i="8"/>
  <c r="CL396" i="8"/>
  <c r="CL395" i="8"/>
  <c r="CL394" i="8"/>
  <c r="CG503" i="8"/>
  <c r="CG502" i="8"/>
  <c r="CG501" i="8"/>
  <c r="CG500" i="8"/>
  <c r="CG499" i="8"/>
  <c r="CG498" i="8"/>
  <c r="CG497" i="8"/>
  <c r="CG496" i="8"/>
  <c r="CG495" i="8"/>
  <c r="CG494" i="8"/>
  <c r="CG493" i="8"/>
  <c r="CG492" i="8"/>
  <c r="CG491" i="8"/>
  <c r="CG490" i="8"/>
  <c r="CG489" i="8"/>
  <c r="CG488" i="8"/>
  <c r="CG487" i="8"/>
  <c r="CG486" i="8"/>
  <c r="CG485" i="8"/>
  <c r="CG484" i="8"/>
  <c r="CG483" i="8"/>
  <c r="CG482" i="8"/>
  <c r="CG481" i="8"/>
  <c r="CG480" i="8"/>
  <c r="CG479" i="8"/>
  <c r="CG478" i="8"/>
  <c r="CG477" i="8"/>
  <c r="CG476" i="8"/>
  <c r="CG475" i="8"/>
  <c r="CG474" i="8"/>
  <c r="CG473" i="8"/>
  <c r="CG472" i="8"/>
  <c r="CG471" i="8"/>
  <c r="CG470" i="8"/>
  <c r="CG469" i="8"/>
  <c r="CG468" i="8"/>
  <c r="CG467" i="8"/>
  <c r="CG466" i="8"/>
  <c r="CG465" i="8"/>
  <c r="CG464" i="8"/>
  <c r="CG463" i="8"/>
  <c r="CG462" i="8"/>
  <c r="CG461" i="8"/>
  <c r="CG460" i="8"/>
  <c r="CG459" i="8"/>
  <c r="CG458" i="8"/>
  <c r="CG457" i="8"/>
  <c r="CG456" i="8"/>
  <c r="CG455" i="8"/>
  <c r="CG454" i="8"/>
  <c r="CG453" i="8"/>
  <c r="CG452" i="8"/>
  <c r="CG451" i="8"/>
  <c r="CG450" i="8"/>
  <c r="CG449" i="8"/>
  <c r="CG448" i="8"/>
  <c r="CG447" i="8"/>
  <c r="CG446" i="8"/>
  <c r="CG445" i="8"/>
  <c r="CG444" i="8"/>
  <c r="CG443" i="8"/>
  <c r="CG442" i="8"/>
  <c r="CG441" i="8"/>
  <c r="CG440" i="8"/>
  <c r="CG439" i="8"/>
  <c r="CG438" i="8"/>
  <c r="CG437" i="8"/>
  <c r="CG436" i="8"/>
  <c r="CG435" i="8"/>
  <c r="CG434" i="8"/>
  <c r="CG433" i="8"/>
  <c r="CG432" i="8"/>
  <c r="CG431" i="8"/>
  <c r="CG430" i="8"/>
  <c r="CG429" i="8"/>
  <c r="CG428" i="8"/>
  <c r="CG427" i="8"/>
  <c r="CG426" i="8"/>
  <c r="CG425" i="8"/>
  <c r="CG424" i="8"/>
  <c r="CG423" i="8"/>
  <c r="CG422" i="8"/>
  <c r="CG421" i="8"/>
  <c r="CG420" i="8"/>
  <c r="CG419" i="8"/>
  <c r="CG418" i="8"/>
  <c r="CG417" i="8"/>
  <c r="CG416" i="8"/>
  <c r="CG415" i="8"/>
  <c r="CG414" i="8"/>
  <c r="CG413" i="8"/>
  <c r="CG412" i="8"/>
  <c r="CG411" i="8"/>
  <c r="CG410" i="8"/>
  <c r="CG409" i="8"/>
  <c r="CG408" i="8"/>
  <c r="CG407" i="8"/>
  <c r="CG406" i="8"/>
  <c r="CG405" i="8"/>
  <c r="CG404" i="8"/>
  <c r="CG403" i="8"/>
  <c r="CG402" i="8"/>
  <c r="CG401" i="8"/>
  <c r="CG400" i="8"/>
  <c r="CG399" i="8"/>
  <c r="CG398" i="8"/>
  <c r="CG397" i="8"/>
  <c r="CG396" i="8"/>
  <c r="CG395" i="8"/>
  <c r="CG394" i="8"/>
  <c r="CB503" i="8"/>
  <c r="CB502" i="8"/>
  <c r="CB501" i="8"/>
  <c r="CB500" i="8"/>
  <c r="CB499" i="8"/>
  <c r="CB498" i="8"/>
  <c r="CB497" i="8"/>
  <c r="CB496" i="8"/>
  <c r="CB495" i="8"/>
  <c r="CB494" i="8"/>
  <c r="CB493" i="8"/>
  <c r="CB492" i="8"/>
  <c r="CB491" i="8"/>
  <c r="CB490" i="8"/>
  <c r="CB489" i="8"/>
  <c r="CB488" i="8"/>
  <c r="CB487" i="8"/>
  <c r="CB486" i="8"/>
  <c r="CB485" i="8"/>
  <c r="CB484" i="8"/>
  <c r="CB483" i="8"/>
  <c r="CB482" i="8"/>
  <c r="CB481" i="8"/>
  <c r="CB480" i="8"/>
  <c r="CB479" i="8"/>
  <c r="CB478" i="8"/>
  <c r="CB477" i="8"/>
  <c r="CB476" i="8"/>
  <c r="CB475" i="8"/>
  <c r="CB474" i="8"/>
  <c r="CB473" i="8"/>
  <c r="CB472" i="8"/>
  <c r="CB471" i="8"/>
  <c r="CB470" i="8"/>
  <c r="CB469" i="8"/>
  <c r="CB468" i="8"/>
  <c r="CB467" i="8"/>
  <c r="CB466" i="8"/>
  <c r="CB465" i="8"/>
  <c r="CB464" i="8"/>
  <c r="CB463" i="8"/>
  <c r="CB462" i="8"/>
  <c r="CB461" i="8"/>
  <c r="CB460" i="8"/>
  <c r="CB459" i="8"/>
  <c r="CB458" i="8"/>
  <c r="CB457" i="8"/>
  <c r="CB456" i="8"/>
  <c r="CB455" i="8"/>
  <c r="CB454" i="8"/>
  <c r="CB453" i="8"/>
  <c r="CB452" i="8"/>
  <c r="CB451" i="8"/>
  <c r="CB450" i="8"/>
  <c r="CB449" i="8"/>
  <c r="CB448" i="8"/>
  <c r="CB447" i="8"/>
  <c r="CB446" i="8"/>
  <c r="CB445" i="8"/>
  <c r="CB444" i="8"/>
  <c r="CB443" i="8"/>
  <c r="CB442" i="8"/>
  <c r="CB441" i="8"/>
  <c r="CB440" i="8"/>
  <c r="CB439" i="8"/>
  <c r="CB438" i="8"/>
  <c r="CB437" i="8"/>
  <c r="CB436" i="8"/>
  <c r="CB435" i="8"/>
  <c r="CB434" i="8"/>
  <c r="CB433" i="8"/>
  <c r="CB432" i="8"/>
  <c r="CB431" i="8"/>
  <c r="CB430" i="8"/>
  <c r="CB429" i="8"/>
  <c r="CB428" i="8"/>
  <c r="CB427" i="8"/>
  <c r="CB426" i="8"/>
  <c r="CB425" i="8"/>
  <c r="CB424" i="8"/>
  <c r="CB423" i="8"/>
  <c r="CB422" i="8"/>
  <c r="CB421" i="8"/>
  <c r="CB420" i="8"/>
  <c r="CB419" i="8"/>
  <c r="CB418" i="8"/>
  <c r="CB417" i="8"/>
  <c r="CB416" i="8"/>
  <c r="CB415" i="8"/>
  <c r="CB414" i="8"/>
  <c r="CB413" i="8"/>
  <c r="CB412" i="8"/>
  <c r="CB411" i="8"/>
  <c r="CB410" i="8"/>
  <c r="CB409" i="8"/>
  <c r="CB408" i="8"/>
  <c r="CB407" i="8"/>
  <c r="CB406" i="8"/>
  <c r="CB405" i="8"/>
  <c r="CB404" i="8"/>
  <c r="CB403" i="8"/>
  <c r="CB402" i="8"/>
  <c r="CB401" i="8"/>
  <c r="CB400" i="8"/>
  <c r="CB399" i="8"/>
  <c r="CB398" i="8"/>
  <c r="CB397" i="8"/>
  <c r="CB396" i="8"/>
  <c r="CB395" i="8"/>
  <c r="CB394" i="8"/>
  <c r="BW503" i="8"/>
  <c r="BW502" i="8"/>
  <c r="BW501" i="8"/>
  <c r="BW500" i="8"/>
  <c r="BW499" i="8"/>
  <c r="BW498" i="8"/>
  <c r="BW497" i="8"/>
  <c r="BW496" i="8"/>
  <c r="BW495" i="8"/>
  <c r="BW494" i="8"/>
  <c r="BW493" i="8"/>
  <c r="BW492" i="8"/>
  <c r="BW491" i="8"/>
  <c r="BW490" i="8"/>
  <c r="BW489" i="8"/>
  <c r="BW488" i="8"/>
  <c r="BW487" i="8"/>
  <c r="BW486" i="8"/>
  <c r="BW485" i="8"/>
  <c r="BW484" i="8"/>
  <c r="BW483" i="8"/>
  <c r="BW482" i="8"/>
  <c r="BW481" i="8"/>
  <c r="BW480" i="8"/>
  <c r="BW479" i="8"/>
  <c r="BW478" i="8"/>
  <c r="BW477" i="8"/>
  <c r="BW476" i="8"/>
  <c r="BW475" i="8"/>
  <c r="BW474" i="8"/>
  <c r="BW473" i="8"/>
  <c r="BW472" i="8"/>
  <c r="BW471" i="8"/>
  <c r="BW470" i="8"/>
  <c r="BW469" i="8"/>
  <c r="BW468" i="8"/>
  <c r="BW467" i="8"/>
  <c r="BW466" i="8"/>
  <c r="BW465" i="8"/>
  <c r="BW464" i="8"/>
  <c r="BW463" i="8"/>
  <c r="BW462" i="8"/>
  <c r="BW461" i="8"/>
  <c r="BW460" i="8"/>
  <c r="BW459" i="8"/>
  <c r="BW458" i="8"/>
  <c r="BW457" i="8"/>
  <c r="BW456" i="8"/>
  <c r="BW455" i="8"/>
  <c r="BW454" i="8"/>
  <c r="BW453" i="8"/>
  <c r="BW452" i="8"/>
  <c r="BW451" i="8"/>
  <c r="BW450" i="8"/>
  <c r="BW449" i="8"/>
  <c r="BW448" i="8"/>
  <c r="BW447" i="8"/>
  <c r="BW446" i="8"/>
  <c r="BW445" i="8"/>
  <c r="BW444" i="8"/>
  <c r="BW443" i="8"/>
  <c r="BW442" i="8"/>
  <c r="BW441" i="8"/>
  <c r="BW440" i="8"/>
  <c r="BW439" i="8"/>
  <c r="BW438" i="8"/>
  <c r="BW437" i="8"/>
  <c r="BW436" i="8"/>
  <c r="BW435" i="8"/>
  <c r="BW434" i="8"/>
  <c r="BW433" i="8"/>
  <c r="BW432" i="8"/>
  <c r="BW431" i="8"/>
  <c r="BW430" i="8"/>
  <c r="BW429" i="8"/>
  <c r="BW428" i="8"/>
  <c r="BW427" i="8"/>
  <c r="BW426" i="8"/>
  <c r="BW425" i="8"/>
  <c r="BW424" i="8"/>
  <c r="BW423" i="8"/>
  <c r="BW422" i="8"/>
  <c r="BW421" i="8"/>
  <c r="BW420" i="8"/>
  <c r="BW419" i="8"/>
  <c r="BW418" i="8"/>
  <c r="BW417" i="8"/>
  <c r="BW416" i="8"/>
  <c r="BW415" i="8"/>
  <c r="BW414" i="8"/>
  <c r="BW413" i="8"/>
  <c r="BW412" i="8"/>
  <c r="BW411" i="8"/>
  <c r="BW410" i="8"/>
  <c r="BW409" i="8"/>
  <c r="BW408" i="8"/>
  <c r="BW407" i="8"/>
  <c r="BW406" i="8"/>
  <c r="BW405" i="8"/>
  <c r="BW404" i="8"/>
  <c r="BW403" i="8"/>
  <c r="BW402" i="8"/>
  <c r="BW401" i="8"/>
  <c r="BW400" i="8"/>
  <c r="BW399" i="8"/>
  <c r="BW398" i="8"/>
  <c r="BW397" i="8"/>
  <c r="BW396" i="8"/>
  <c r="BW395" i="8"/>
  <c r="BW394" i="8"/>
  <c r="BR503" i="8"/>
  <c r="BR502" i="8"/>
  <c r="BR501" i="8"/>
  <c r="BR500" i="8"/>
  <c r="BR499" i="8"/>
  <c r="BR498" i="8"/>
  <c r="BR497" i="8"/>
  <c r="BR496" i="8"/>
  <c r="BR495" i="8"/>
  <c r="BR494" i="8"/>
  <c r="BR493" i="8"/>
  <c r="BR492" i="8"/>
  <c r="BR491" i="8"/>
  <c r="BR490" i="8"/>
  <c r="BR489" i="8"/>
  <c r="BR488" i="8"/>
  <c r="BR487" i="8"/>
  <c r="BR486" i="8"/>
  <c r="BR485" i="8"/>
  <c r="BR484" i="8"/>
  <c r="BR483" i="8"/>
  <c r="BR482" i="8"/>
  <c r="BR481" i="8"/>
  <c r="BR480" i="8"/>
  <c r="BR479" i="8"/>
  <c r="BR478" i="8"/>
  <c r="BR477" i="8"/>
  <c r="BR476" i="8"/>
  <c r="BR475" i="8"/>
  <c r="BR474" i="8"/>
  <c r="BR473" i="8"/>
  <c r="BR472" i="8"/>
  <c r="BR471" i="8"/>
  <c r="BR470" i="8"/>
  <c r="BR469" i="8"/>
  <c r="BR468" i="8"/>
  <c r="BR467" i="8"/>
  <c r="BR466" i="8"/>
  <c r="BR465" i="8"/>
  <c r="BR464" i="8"/>
  <c r="BR463" i="8"/>
  <c r="BR462" i="8"/>
  <c r="BR461" i="8"/>
  <c r="BR460" i="8"/>
  <c r="BR459" i="8"/>
  <c r="BR458" i="8"/>
  <c r="BR457" i="8"/>
  <c r="BR456" i="8"/>
  <c r="BR455" i="8"/>
  <c r="BR454" i="8"/>
  <c r="BR453" i="8"/>
  <c r="BR452" i="8"/>
  <c r="BR451" i="8"/>
  <c r="BR450" i="8"/>
  <c r="BR449" i="8"/>
  <c r="BR448" i="8"/>
  <c r="BR447" i="8"/>
  <c r="BR446" i="8"/>
  <c r="BR445" i="8"/>
  <c r="BR444" i="8"/>
  <c r="BR443" i="8"/>
  <c r="BR442" i="8"/>
  <c r="BR441" i="8"/>
  <c r="BR440" i="8"/>
  <c r="BR439" i="8"/>
  <c r="BR438" i="8"/>
  <c r="BR437" i="8"/>
  <c r="BR436" i="8"/>
  <c r="BR435" i="8"/>
  <c r="BR434" i="8"/>
  <c r="BR433" i="8"/>
  <c r="BR432" i="8"/>
  <c r="BR431" i="8"/>
  <c r="BR430" i="8"/>
  <c r="BR429" i="8"/>
  <c r="BR428" i="8"/>
  <c r="BR427" i="8"/>
  <c r="BR426" i="8"/>
  <c r="BR425" i="8"/>
  <c r="BR424" i="8"/>
  <c r="BR423" i="8"/>
  <c r="BR422" i="8"/>
  <c r="BR421" i="8"/>
  <c r="BR420" i="8"/>
  <c r="BR419" i="8"/>
  <c r="BR418" i="8"/>
  <c r="BR417" i="8"/>
  <c r="BR416" i="8"/>
  <c r="BR415" i="8"/>
  <c r="BR414" i="8"/>
  <c r="BR413" i="8"/>
  <c r="BR412" i="8"/>
  <c r="BR411" i="8"/>
  <c r="BR410" i="8"/>
  <c r="BR409" i="8"/>
  <c r="BR408" i="8"/>
  <c r="BR407" i="8"/>
  <c r="BR406" i="8"/>
  <c r="BR405" i="8"/>
  <c r="BR404" i="8"/>
  <c r="BR403" i="8"/>
  <c r="BR402" i="8"/>
  <c r="BR401" i="8"/>
  <c r="BR400" i="8"/>
  <c r="BR399" i="8"/>
  <c r="BR398" i="8"/>
  <c r="BR397" i="8"/>
  <c r="BR396" i="8"/>
  <c r="BR395" i="8"/>
  <c r="BR394" i="8"/>
  <c r="BM503" i="8"/>
  <c r="BM502" i="8"/>
  <c r="BM501" i="8"/>
  <c r="BM500" i="8"/>
  <c r="BM499" i="8"/>
  <c r="BM498" i="8"/>
  <c r="BM497" i="8"/>
  <c r="BM496" i="8"/>
  <c r="BM495" i="8"/>
  <c r="BM494" i="8"/>
  <c r="BM493" i="8"/>
  <c r="BM492" i="8"/>
  <c r="BM491" i="8"/>
  <c r="BM490" i="8"/>
  <c r="BM489" i="8"/>
  <c r="BM488" i="8"/>
  <c r="BM487" i="8"/>
  <c r="BM486" i="8"/>
  <c r="BM485" i="8"/>
  <c r="BM484" i="8"/>
  <c r="BM483" i="8"/>
  <c r="BM482" i="8"/>
  <c r="BM481" i="8"/>
  <c r="BM480" i="8"/>
  <c r="BM479" i="8"/>
  <c r="BM478" i="8"/>
  <c r="BM477" i="8"/>
  <c r="BM476" i="8"/>
  <c r="BM475" i="8"/>
  <c r="BM474" i="8"/>
  <c r="BM473" i="8"/>
  <c r="BM472" i="8"/>
  <c r="BM471" i="8"/>
  <c r="BM470" i="8"/>
  <c r="BM469" i="8"/>
  <c r="BM468" i="8"/>
  <c r="BM467" i="8"/>
  <c r="BM466" i="8"/>
  <c r="BM465" i="8"/>
  <c r="BM464" i="8"/>
  <c r="BM463" i="8"/>
  <c r="BM462" i="8"/>
  <c r="BM461" i="8"/>
  <c r="BM460" i="8"/>
  <c r="BM459" i="8"/>
  <c r="BM458" i="8"/>
  <c r="BM457" i="8"/>
  <c r="BM456" i="8"/>
  <c r="BM455" i="8"/>
  <c r="BM454" i="8"/>
  <c r="BM453" i="8"/>
  <c r="BM452" i="8"/>
  <c r="BM451" i="8"/>
  <c r="BM450" i="8"/>
  <c r="BM449" i="8"/>
  <c r="BM448" i="8"/>
  <c r="BM447" i="8"/>
  <c r="BM446" i="8"/>
  <c r="BM445" i="8"/>
  <c r="BM444" i="8"/>
  <c r="BM443" i="8"/>
  <c r="BM442" i="8"/>
  <c r="BM441" i="8"/>
  <c r="BM440" i="8"/>
  <c r="BM439" i="8"/>
  <c r="BM438" i="8"/>
  <c r="BM437" i="8"/>
  <c r="BM436" i="8"/>
  <c r="BM435" i="8"/>
  <c r="BM434" i="8"/>
  <c r="BM433" i="8"/>
  <c r="BM432" i="8"/>
  <c r="BM431" i="8"/>
  <c r="BM430" i="8"/>
  <c r="BM429" i="8"/>
  <c r="BM428" i="8"/>
  <c r="BM427" i="8"/>
  <c r="BM426" i="8"/>
  <c r="BM425" i="8"/>
  <c r="BM424" i="8"/>
  <c r="BM423" i="8"/>
  <c r="BM422" i="8"/>
  <c r="BM421" i="8"/>
  <c r="BM420" i="8"/>
  <c r="BM419" i="8"/>
  <c r="BM418" i="8"/>
  <c r="BM417" i="8"/>
  <c r="BM416" i="8"/>
  <c r="BM415" i="8"/>
  <c r="BM414" i="8"/>
  <c r="BM413" i="8"/>
  <c r="BM412" i="8"/>
  <c r="BM411" i="8"/>
  <c r="BM410" i="8"/>
  <c r="BM409" i="8"/>
  <c r="BM408" i="8"/>
  <c r="BM407" i="8"/>
  <c r="BM406" i="8"/>
  <c r="BM405" i="8"/>
  <c r="BM404" i="8"/>
  <c r="BM403" i="8"/>
  <c r="BM402" i="8"/>
  <c r="BM401" i="8"/>
  <c r="BM400" i="8"/>
  <c r="BM399" i="8"/>
  <c r="BM398" i="8"/>
  <c r="BM397" i="8"/>
  <c r="BM396" i="8"/>
  <c r="BM395" i="8"/>
  <c r="BM394" i="8"/>
  <c r="BH503" i="8"/>
  <c r="BH502" i="8"/>
  <c r="BH501" i="8"/>
  <c r="BH500" i="8"/>
  <c r="BH499" i="8"/>
  <c r="BH498" i="8"/>
  <c r="BH497" i="8"/>
  <c r="BH496" i="8"/>
  <c r="BH495" i="8"/>
  <c r="BH494" i="8"/>
  <c r="BH493" i="8"/>
  <c r="BH492" i="8"/>
  <c r="BH491" i="8"/>
  <c r="BH490" i="8"/>
  <c r="BH489" i="8"/>
  <c r="BH488" i="8"/>
  <c r="BH487" i="8"/>
  <c r="BH486" i="8"/>
  <c r="BH485" i="8"/>
  <c r="BH484" i="8"/>
  <c r="BH483" i="8"/>
  <c r="BH482" i="8"/>
  <c r="BH481" i="8"/>
  <c r="BH480" i="8"/>
  <c r="BH479" i="8"/>
  <c r="BH478" i="8"/>
  <c r="BH477" i="8"/>
  <c r="BH476" i="8"/>
  <c r="BH475" i="8"/>
  <c r="BH474" i="8"/>
  <c r="BH473" i="8"/>
  <c r="BH472" i="8"/>
  <c r="BH471" i="8"/>
  <c r="BH470" i="8"/>
  <c r="BH469" i="8"/>
  <c r="BH468" i="8"/>
  <c r="BH467" i="8"/>
  <c r="BH466" i="8"/>
  <c r="BH465" i="8"/>
  <c r="BH464" i="8"/>
  <c r="BH463" i="8"/>
  <c r="BH462" i="8"/>
  <c r="BH461" i="8"/>
  <c r="BH460" i="8"/>
  <c r="BH459" i="8"/>
  <c r="BH458" i="8"/>
  <c r="BH457" i="8"/>
  <c r="BH456" i="8"/>
  <c r="BH455" i="8"/>
  <c r="BH454" i="8"/>
  <c r="BH453" i="8"/>
  <c r="BH452" i="8"/>
  <c r="BH451" i="8"/>
  <c r="BH450" i="8"/>
  <c r="BH449" i="8"/>
  <c r="BH448" i="8"/>
  <c r="BH447" i="8"/>
  <c r="BH446" i="8"/>
  <c r="BH445" i="8"/>
  <c r="BH444" i="8"/>
  <c r="BH443" i="8"/>
  <c r="BH442" i="8"/>
  <c r="BH441" i="8"/>
  <c r="BH440" i="8"/>
  <c r="BH439" i="8"/>
  <c r="BH438" i="8"/>
  <c r="BH437" i="8"/>
  <c r="BH436" i="8"/>
  <c r="BH435" i="8"/>
  <c r="BH434" i="8"/>
  <c r="BH433" i="8"/>
  <c r="BH432" i="8"/>
  <c r="BH431" i="8"/>
  <c r="BH430" i="8"/>
  <c r="BH429" i="8"/>
  <c r="BH428" i="8"/>
  <c r="BH427" i="8"/>
  <c r="BH426" i="8"/>
  <c r="BH425" i="8"/>
  <c r="BH424" i="8"/>
  <c r="BH423" i="8"/>
  <c r="BH422" i="8"/>
  <c r="BH421" i="8"/>
  <c r="BH420" i="8"/>
  <c r="BH419" i="8"/>
  <c r="BH418" i="8"/>
  <c r="BH417" i="8"/>
  <c r="BH416" i="8"/>
  <c r="BH415" i="8"/>
  <c r="BH414" i="8"/>
  <c r="BH413" i="8"/>
  <c r="BH412" i="8"/>
  <c r="BH411" i="8"/>
  <c r="BH410" i="8"/>
  <c r="BH409" i="8"/>
  <c r="BH408" i="8"/>
  <c r="BH407" i="8"/>
  <c r="BH406" i="8"/>
  <c r="BH405" i="8"/>
  <c r="BH404" i="8"/>
  <c r="BH403" i="8"/>
  <c r="BH402" i="8"/>
  <c r="BH401" i="8"/>
  <c r="BH400" i="8"/>
  <c r="BH399" i="8"/>
  <c r="BH398" i="8"/>
  <c r="BH397" i="8"/>
  <c r="BH396" i="8"/>
  <c r="BH395" i="8"/>
  <c r="BH394" i="8"/>
  <c r="BC503" i="8"/>
  <c r="BC502" i="8"/>
  <c r="BC501" i="8"/>
  <c r="BC500" i="8"/>
  <c r="BC499" i="8"/>
  <c r="BC498" i="8"/>
  <c r="BC497" i="8"/>
  <c r="BC496" i="8"/>
  <c r="BC495" i="8"/>
  <c r="BC494" i="8"/>
  <c r="BC493" i="8"/>
  <c r="BC492" i="8"/>
  <c r="BC491" i="8"/>
  <c r="BC490" i="8"/>
  <c r="BC489" i="8"/>
  <c r="BC488" i="8"/>
  <c r="BC487" i="8"/>
  <c r="BC486" i="8"/>
  <c r="BC485" i="8"/>
  <c r="BC484" i="8"/>
  <c r="BC483" i="8"/>
  <c r="BC482" i="8"/>
  <c r="BC481" i="8"/>
  <c r="BC480" i="8"/>
  <c r="BC479" i="8"/>
  <c r="BC478" i="8"/>
  <c r="BC477" i="8"/>
  <c r="BC476" i="8"/>
  <c r="BC475" i="8"/>
  <c r="BC474" i="8"/>
  <c r="BC473" i="8"/>
  <c r="BC472" i="8"/>
  <c r="BC471" i="8"/>
  <c r="BC470" i="8"/>
  <c r="BC469" i="8"/>
  <c r="BC468" i="8"/>
  <c r="BC467" i="8"/>
  <c r="BC466" i="8"/>
  <c r="BC465" i="8"/>
  <c r="BC464" i="8"/>
  <c r="BC463" i="8"/>
  <c r="BC462" i="8"/>
  <c r="BC461" i="8"/>
  <c r="BC460" i="8"/>
  <c r="BC459" i="8"/>
  <c r="BC458" i="8"/>
  <c r="BC457" i="8"/>
  <c r="BC456" i="8"/>
  <c r="BC455" i="8"/>
  <c r="BC454" i="8"/>
  <c r="BC453" i="8"/>
  <c r="BC452" i="8"/>
  <c r="BC451" i="8"/>
  <c r="BC450" i="8"/>
  <c r="BC449" i="8"/>
  <c r="BC448" i="8"/>
  <c r="BC447" i="8"/>
  <c r="BC446" i="8"/>
  <c r="BC445" i="8"/>
  <c r="BC444" i="8"/>
  <c r="BC443" i="8"/>
  <c r="BC442" i="8"/>
  <c r="BC441" i="8"/>
  <c r="BC440" i="8"/>
  <c r="BC439" i="8"/>
  <c r="BC438" i="8"/>
  <c r="BC437" i="8"/>
  <c r="BC436" i="8"/>
  <c r="BC435" i="8"/>
  <c r="BC434" i="8"/>
  <c r="BC433" i="8"/>
  <c r="BC432" i="8"/>
  <c r="BC431" i="8"/>
  <c r="BC430" i="8"/>
  <c r="BC429" i="8"/>
  <c r="BC428" i="8"/>
  <c r="BC427" i="8"/>
  <c r="BC426" i="8"/>
  <c r="BC425" i="8"/>
  <c r="BC424" i="8"/>
  <c r="BC423" i="8"/>
  <c r="BC422" i="8"/>
  <c r="BC421" i="8"/>
  <c r="BC420" i="8"/>
  <c r="BC419" i="8"/>
  <c r="BC418" i="8"/>
  <c r="BC417" i="8"/>
  <c r="BC416" i="8"/>
  <c r="BC415" i="8"/>
  <c r="BC414" i="8"/>
  <c r="BC413" i="8"/>
  <c r="BC412" i="8"/>
  <c r="BC411" i="8"/>
  <c r="BC410" i="8"/>
  <c r="BC409" i="8"/>
  <c r="BC408" i="8"/>
  <c r="BC407" i="8"/>
  <c r="BC406" i="8"/>
  <c r="BC405" i="8"/>
  <c r="BC404" i="8"/>
  <c r="BC403" i="8"/>
  <c r="BC402" i="8"/>
  <c r="BC401" i="8"/>
  <c r="BC400" i="8"/>
  <c r="BC399" i="8"/>
  <c r="BC398" i="8"/>
  <c r="BC397" i="8"/>
  <c r="BC396" i="8"/>
  <c r="BC395" i="8"/>
  <c r="BC394" i="8"/>
  <c r="AX503" i="8"/>
  <c r="AX502" i="8"/>
  <c r="AX501" i="8"/>
  <c r="AX500" i="8"/>
  <c r="AX499" i="8"/>
  <c r="AX498" i="8"/>
  <c r="AX497" i="8"/>
  <c r="AX496" i="8"/>
  <c r="AX495" i="8"/>
  <c r="AX494" i="8"/>
  <c r="AX493" i="8"/>
  <c r="AX492" i="8"/>
  <c r="AX491" i="8"/>
  <c r="AX490" i="8"/>
  <c r="AX489" i="8"/>
  <c r="AX488" i="8"/>
  <c r="AX487" i="8"/>
  <c r="AX486" i="8"/>
  <c r="AX485" i="8"/>
  <c r="AX484" i="8"/>
  <c r="AX483" i="8"/>
  <c r="AX482" i="8"/>
  <c r="AX481" i="8"/>
  <c r="AX480" i="8"/>
  <c r="AX479" i="8"/>
  <c r="AX478" i="8"/>
  <c r="AX477" i="8"/>
  <c r="AX476" i="8"/>
  <c r="AX475" i="8"/>
  <c r="AX474" i="8"/>
  <c r="AX473" i="8"/>
  <c r="AX472" i="8"/>
  <c r="AX471" i="8"/>
  <c r="AX470" i="8"/>
  <c r="AX469" i="8"/>
  <c r="AX468" i="8"/>
  <c r="AX467" i="8"/>
  <c r="AX466" i="8"/>
  <c r="AX465" i="8"/>
  <c r="AX464" i="8"/>
  <c r="AX463" i="8"/>
  <c r="AX462" i="8"/>
  <c r="AX461" i="8"/>
  <c r="AX460" i="8"/>
  <c r="AX459" i="8"/>
  <c r="AX458" i="8"/>
  <c r="AX457" i="8"/>
  <c r="AX456" i="8"/>
  <c r="AX455" i="8"/>
  <c r="AX454" i="8"/>
  <c r="AX453" i="8"/>
  <c r="AX452" i="8"/>
  <c r="AX451" i="8"/>
  <c r="AX450" i="8"/>
  <c r="AX449" i="8"/>
  <c r="AX448" i="8"/>
  <c r="AX447" i="8"/>
  <c r="AX446" i="8"/>
  <c r="AX445" i="8"/>
  <c r="AX444" i="8"/>
  <c r="AX443" i="8"/>
  <c r="AX442" i="8"/>
  <c r="AX441" i="8"/>
  <c r="AX440" i="8"/>
  <c r="AX439" i="8"/>
  <c r="AX438" i="8"/>
  <c r="AX437" i="8"/>
  <c r="AX436" i="8"/>
  <c r="AX435" i="8"/>
  <c r="AX434" i="8"/>
  <c r="AX433" i="8"/>
  <c r="AX432" i="8"/>
  <c r="AX431" i="8"/>
  <c r="AX430" i="8"/>
  <c r="AX429" i="8"/>
  <c r="AX428" i="8"/>
  <c r="AX427" i="8"/>
  <c r="AX426" i="8"/>
  <c r="AX425" i="8"/>
  <c r="AX424" i="8"/>
  <c r="AX423" i="8"/>
  <c r="AX422" i="8"/>
  <c r="AX421" i="8"/>
  <c r="AX420" i="8"/>
  <c r="AX419" i="8"/>
  <c r="AX418" i="8"/>
  <c r="AX417" i="8"/>
  <c r="AX416" i="8"/>
  <c r="AX415" i="8"/>
  <c r="AX414" i="8"/>
  <c r="AX413" i="8"/>
  <c r="AX412" i="8"/>
  <c r="AX411" i="8"/>
  <c r="AX410" i="8"/>
  <c r="AX409" i="8"/>
  <c r="AX408" i="8"/>
  <c r="AX407" i="8"/>
  <c r="AX406" i="8"/>
  <c r="AX405" i="8"/>
  <c r="AX404" i="8"/>
  <c r="AX403" i="8"/>
  <c r="AX402" i="8"/>
  <c r="AX401" i="8"/>
  <c r="AX400" i="8"/>
  <c r="AX399" i="8"/>
  <c r="AX398" i="8"/>
  <c r="AX397" i="8"/>
  <c r="AX396" i="8"/>
  <c r="AX395" i="8"/>
  <c r="AX394" i="8"/>
  <c r="AS503" i="8"/>
  <c r="AS502" i="8"/>
  <c r="AS501" i="8"/>
  <c r="AS500" i="8"/>
  <c r="AS499" i="8"/>
  <c r="AS498" i="8"/>
  <c r="AS497" i="8"/>
  <c r="AS496" i="8"/>
  <c r="AS495" i="8"/>
  <c r="AS494" i="8"/>
  <c r="AS493" i="8"/>
  <c r="AS492" i="8"/>
  <c r="AS491" i="8"/>
  <c r="AS490" i="8"/>
  <c r="AS489" i="8"/>
  <c r="AS488" i="8"/>
  <c r="AS487" i="8"/>
  <c r="AS486" i="8"/>
  <c r="AS485" i="8"/>
  <c r="AS484" i="8"/>
  <c r="AS483" i="8"/>
  <c r="AS482" i="8"/>
  <c r="AS481" i="8"/>
  <c r="AS480" i="8"/>
  <c r="AS479" i="8"/>
  <c r="AS478" i="8"/>
  <c r="AS477" i="8"/>
  <c r="AS476" i="8"/>
  <c r="AS475" i="8"/>
  <c r="AS474" i="8"/>
  <c r="AS473" i="8"/>
  <c r="AS472" i="8"/>
  <c r="AS471" i="8"/>
  <c r="AS470" i="8"/>
  <c r="AS469" i="8"/>
  <c r="AS468" i="8"/>
  <c r="AS467" i="8"/>
  <c r="AS466" i="8"/>
  <c r="AS465" i="8"/>
  <c r="AS464" i="8"/>
  <c r="AS463" i="8"/>
  <c r="AS462" i="8"/>
  <c r="AS461" i="8"/>
  <c r="AS460" i="8"/>
  <c r="AS459" i="8"/>
  <c r="AS458" i="8"/>
  <c r="AS457" i="8"/>
  <c r="AS456" i="8"/>
  <c r="AS455" i="8"/>
  <c r="AS454" i="8"/>
  <c r="AS453" i="8"/>
  <c r="AS452" i="8"/>
  <c r="AS451" i="8"/>
  <c r="AS450" i="8"/>
  <c r="AS449" i="8"/>
  <c r="AS448" i="8"/>
  <c r="AS447" i="8"/>
  <c r="AS446" i="8"/>
  <c r="AS445" i="8"/>
  <c r="AS444" i="8"/>
  <c r="AS443" i="8"/>
  <c r="AS442" i="8"/>
  <c r="AS441" i="8"/>
  <c r="AS440" i="8"/>
  <c r="AS439" i="8"/>
  <c r="AS438" i="8"/>
  <c r="AS437" i="8"/>
  <c r="AS436" i="8"/>
  <c r="AS435" i="8"/>
  <c r="AS434" i="8"/>
  <c r="AS433" i="8"/>
  <c r="AS432" i="8"/>
  <c r="AS431" i="8"/>
  <c r="AS430" i="8"/>
  <c r="AS429" i="8"/>
  <c r="AS428" i="8"/>
  <c r="AS427" i="8"/>
  <c r="AS426" i="8"/>
  <c r="AS425" i="8"/>
  <c r="AS424" i="8"/>
  <c r="AS423" i="8"/>
  <c r="AS422" i="8"/>
  <c r="AS421" i="8"/>
  <c r="AS420" i="8"/>
  <c r="AS419" i="8"/>
  <c r="AS418" i="8"/>
  <c r="AS417" i="8"/>
  <c r="AS416" i="8"/>
  <c r="AS415" i="8"/>
  <c r="AS414" i="8"/>
  <c r="AS413" i="8"/>
  <c r="AS412" i="8"/>
  <c r="AS411" i="8"/>
  <c r="AS410" i="8"/>
  <c r="AS409" i="8"/>
  <c r="AS408" i="8"/>
  <c r="AS407" i="8"/>
  <c r="AS406" i="8"/>
  <c r="AS405" i="8"/>
  <c r="AS404" i="8"/>
  <c r="AS403" i="8"/>
  <c r="AS402" i="8"/>
  <c r="AS401" i="8"/>
  <c r="AS400" i="8"/>
  <c r="AS399" i="8"/>
  <c r="AS398" i="8"/>
  <c r="AS397" i="8"/>
  <c r="AS396" i="8"/>
  <c r="AS395" i="8"/>
  <c r="AS394" i="8"/>
  <c r="AN503" i="8"/>
  <c r="AN502" i="8"/>
  <c r="AN501" i="8"/>
  <c r="AN500" i="8"/>
  <c r="AN499" i="8"/>
  <c r="AN498" i="8"/>
  <c r="AN497" i="8"/>
  <c r="AN496" i="8"/>
  <c r="AN495" i="8"/>
  <c r="AN494" i="8"/>
  <c r="AN493" i="8"/>
  <c r="AN492" i="8"/>
  <c r="AN491" i="8"/>
  <c r="AN490" i="8"/>
  <c r="AN489" i="8"/>
  <c r="AN488" i="8"/>
  <c r="AN487" i="8"/>
  <c r="AN486" i="8"/>
  <c r="AN485" i="8"/>
  <c r="AN484" i="8"/>
  <c r="AN483" i="8"/>
  <c r="AN482" i="8"/>
  <c r="AN481" i="8"/>
  <c r="AN480" i="8"/>
  <c r="AN479" i="8"/>
  <c r="AN478" i="8"/>
  <c r="AN477" i="8"/>
  <c r="AN476" i="8"/>
  <c r="AN475" i="8"/>
  <c r="AN474" i="8"/>
  <c r="AN473" i="8"/>
  <c r="AN472" i="8"/>
  <c r="AN471" i="8"/>
  <c r="AN470" i="8"/>
  <c r="AN469" i="8"/>
  <c r="AN468" i="8"/>
  <c r="AN467" i="8"/>
  <c r="AN466" i="8"/>
  <c r="AN465" i="8"/>
  <c r="AN464" i="8"/>
  <c r="AN463" i="8"/>
  <c r="AN462" i="8"/>
  <c r="AN461" i="8"/>
  <c r="AN460" i="8"/>
  <c r="AN459" i="8"/>
  <c r="AN458" i="8"/>
  <c r="AN457" i="8"/>
  <c r="AN456" i="8"/>
  <c r="AN455" i="8"/>
  <c r="AN454" i="8"/>
  <c r="AN453" i="8"/>
  <c r="AN452" i="8"/>
  <c r="AN451" i="8"/>
  <c r="AN450" i="8"/>
  <c r="AN449" i="8"/>
  <c r="AN448" i="8"/>
  <c r="AN447" i="8"/>
  <c r="AN446" i="8"/>
  <c r="AN445" i="8"/>
  <c r="AN444" i="8"/>
  <c r="AN443" i="8"/>
  <c r="AN442" i="8"/>
  <c r="AN441" i="8"/>
  <c r="AN440" i="8"/>
  <c r="AN439" i="8"/>
  <c r="AN438" i="8"/>
  <c r="AN437" i="8"/>
  <c r="AN436" i="8"/>
  <c r="AN435" i="8"/>
  <c r="AN434" i="8"/>
  <c r="AN433" i="8"/>
  <c r="AN432" i="8"/>
  <c r="AN431" i="8"/>
  <c r="AN430" i="8"/>
  <c r="AN429" i="8"/>
  <c r="AN428" i="8"/>
  <c r="AN427" i="8"/>
  <c r="AN426" i="8"/>
  <c r="AN425" i="8"/>
  <c r="AN424" i="8"/>
  <c r="AN423" i="8"/>
  <c r="AN422" i="8"/>
  <c r="AN421" i="8"/>
  <c r="AN420" i="8"/>
  <c r="AN419" i="8"/>
  <c r="AN418" i="8"/>
  <c r="AN417" i="8"/>
  <c r="AN416" i="8"/>
  <c r="AN415" i="8"/>
  <c r="AN414" i="8"/>
  <c r="AN413" i="8"/>
  <c r="AN412" i="8"/>
  <c r="AN411" i="8"/>
  <c r="AN410" i="8"/>
  <c r="AN409" i="8"/>
  <c r="AN408" i="8"/>
  <c r="AN407" i="8"/>
  <c r="AN406" i="8"/>
  <c r="AN405" i="8"/>
  <c r="AN404" i="8"/>
  <c r="AN403" i="8"/>
  <c r="AN402" i="8"/>
  <c r="AN401" i="8"/>
  <c r="AN400" i="8"/>
  <c r="AN399" i="8"/>
  <c r="AN398" i="8"/>
  <c r="AN397" i="8"/>
  <c r="AN396" i="8"/>
  <c r="AN395" i="8"/>
  <c r="AN394" i="8"/>
  <c r="AI503" i="8"/>
  <c r="AI502" i="8"/>
  <c r="AI501" i="8"/>
  <c r="AI500" i="8"/>
  <c r="AI499" i="8"/>
  <c r="AI498" i="8"/>
  <c r="AI497" i="8"/>
  <c r="AI496" i="8"/>
  <c r="AI495" i="8"/>
  <c r="AI494" i="8"/>
  <c r="AI493" i="8"/>
  <c r="AI492" i="8"/>
  <c r="AI491" i="8"/>
  <c r="AI490" i="8"/>
  <c r="AI489" i="8"/>
  <c r="AI488" i="8"/>
  <c r="AI487" i="8"/>
  <c r="AI486" i="8"/>
  <c r="AI485" i="8"/>
  <c r="AI484" i="8"/>
  <c r="AI483" i="8"/>
  <c r="AI482" i="8"/>
  <c r="AI481" i="8"/>
  <c r="AI480" i="8"/>
  <c r="AI479" i="8"/>
  <c r="AI478" i="8"/>
  <c r="AI477" i="8"/>
  <c r="AI476" i="8"/>
  <c r="AI475" i="8"/>
  <c r="AI474" i="8"/>
  <c r="AI473" i="8"/>
  <c r="AI472" i="8"/>
  <c r="AI471" i="8"/>
  <c r="AI470" i="8"/>
  <c r="AI469" i="8"/>
  <c r="AI468" i="8"/>
  <c r="AI467" i="8"/>
  <c r="AI466" i="8"/>
  <c r="AI465" i="8"/>
  <c r="AI464" i="8"/>
  <c r="AI463" i="8"/>
  <c r="AI462" i="8"/>
  <c r="AI461" i="8"/>
  <c r="AI460" i="8"/>
  <c r="AI459" i="8"/>
  <c r="AI458" i="8"/>
  <c r="AI457" i="8"/>
  <c r="AI456" i="8"/>
  <c r="AI455" i="8"/>
  <c r="AI454" i="8"/>
  <c r="AI453" i="8"/>
  <c r="AI452" i="8"/>
  <c r="AI451" i="8"/>
  <c r="AI450" i="8"/>
  <c r="AI449" i="8"/>
  <c r="AI448" i="8"/>
  <c r="AI447" i="8"/>
  <c r="AI446" i="8"/>
  <c r="AI445" i="8"/>
  <c r="AI444" i="8"/>
  <c r="AI443" i="8"/>
  <c r="AI442" i="8"/>
  <c r="AI441" i="8"/>
  <c r="AI440" i="8"/>
  <c r="AI439" i="8"/>
  <c r="AI438" i="8"/>
  <c r="AI437" i="8"/>
  <c r="AI436" i="8"/>
  <c r="AI435" i="8"/>
  <c r="AI434" i="8"/>
  <c r="AI433" i="8"/>
  <c r="AI432" i="8"/>
  <c r="AI431" i="8"/>
  <c r="AI430" i="8"/>
  <c r="AI429" i="8"/>
  <c r="AI428" i="8"/>
  <c r="AI427" i="8"/>
  <c r="AI426" i="8"/>
  <c r="AI425" i="8"/>
  <c r="AI424" i="8"/>
  <c r="AI423" i="8"/>
  <c r="AI422" i="8"/>
  <c r="AI421" i="8"/>
  <c r="AI420" i="8"/>
  <c r="AI419" i="8"/>
  <c r="AI418" i="8"/>
  <c r="AI417" i="8"/>
  <c r="AI416" i="8"/>
  <c r="AI415" i="8"/>
  <c r="AI414" i="8"/>
  <c r="AI413" i="8"/>
  <c r="AI412" i="8"/>
  <c r="AI411" i="8"/>
  <c r="AI410" i="8"/>
  <c r="AI409" i="8"/>
  <c r="AI408" i="8"/>
  <c r="AI407" i="8"/>
  <c r="AI406" i="8"/>
  <c r="AI405" i="8"/>
  <c r="AI404" i="8"/>
  <c r="AI403" i="8"/>
  <c r="AI402" i="8"/>
  <c r="AI401" i="8"/>
  <c r="AI400" i="8"/>
  <c r="AI399" i="8"/>
  <c r="AI398" i="8"/>
  <c r="AI397" i="8"/>
  <c r="AI396" i="8"/>
  <c r="AI395" i="8"/>
  <c r="AI394" i="8"/>
  <c r="AD503" i="8"/>
  <c r="AD502" i="8"/>
  <c r="AD501" i="8"/>
  <c r="AD500" i="8"/>
  <c r="AD499" i="8"/>
  <c r="AD498" i="8"/>
  <c r="AD497" i="8"/>
  <c r="AD496" i="8"/>
  <c r="AD495" i="8"/>
  <c r="AD494" i="8"/>
  <c r="AD493" i="8"/>
  <c r="AD492" i="8"/>
  <c r="AD491" i="8"/>
  <c r="AD490" i="8"/>
  <c r="AD489" i="8"/>
  <c r="AD488" i="8"/>
  <c r="AD487" i="8"/>
  <c r="AD486" i="8"/>
  <c r="AD485" i="8"/>
  <c r="AD484" i="8"/>
  <c r="AD483" i="8"/>
  <c r="AD482" i="8"/>
  <c r="AD481" i="8"/>
  <c r="AD480" i="8"/>
  <c r="AD479" i="8"/>
  <c r="AD478" i="8"/>
  <c r="AD477" i="8"/>
  <c r="AD476" i="8"/>
  <c r="AD475" i="8"/>
  <c r="AD474" i="8"/>
  <c r="AD473" i="8"/>
  <c r="AD472" i="8"/>
  <c r="AD471" i="8"/>
  <c r="AD470" i="8"/>
  <c r="AD469" i="8"/>
  <c r="AD468" i="8"/>
  <c r="AD467" i="8"/>
  <c r="AD466" i="8"/>
  <c r="AD465" i="8"/>
  <c r="AD464" i="8"/>
  <c r="AD463" i="8"/>
  <c r="AD462" i="8"/>
  <c r="AD461" i="8"/>
  <c r="AD460" i="8"/>
  <c r="AD459" i="8"/>
  <c r="AD458" i="8"/>
  <c r="AD457" i="8"/>
  <c r="AD456" i="8"/>
  <c r="AD455" i="8"/>
  <c r="AD454" i="8"/>
  <c r="AD453" i="8"/>
  <c r="AD452" i="8"/>
  <c r="AD451" i="8"/>
  <c r="AD450" i="8"/>
  <c r="AD449" i="8"/>
  <c r="AD448" i="8"/>
  <c r="AD447" i="8"/>
  <c r="AD446" i="8"/>
  <c r="AD445" i="8"/>
  <c r="AD444" i="8"/>
  <c r="AD443" i="8"/>
  <c r="AD442" i="8"/>
  <c r="AD441" i="8"/>
  <c r="AD440" i="8"/>
  <c r="AD439" i="8"/>
  <c r="AD438" i="8"/>
  <c r="AD437" i="8"/>
  <c r="AD436" i="8"/>
  <c r="AD435" i="8"/>
  <c r="AD434" i="8"/>
  <c r="AD433" i="8"/>
  <c r="AD432" i="8"/>
  <c r="AD431" i="8"/>
  <c r="AD430" i="8"/>
  <c r="AD429" i="8"/>
  <c r="AD428" i="8"/>
  <c r="AD427" i="8"/>
  <c r="AD426" i="8"/>
  <c r="AD425" i="8"/>
  <c r="AD424" i="8"/>
  <c r="AD423" i="8"/>
  <c r="AD422" i="8"/>
  <c r="AD421" i="8"/>
  <c r="AD420" i="8"/>
  <c r="AD419" i="8"/>
  <c r="AD418" i="8"/>
  <c r="AD417" i="8"/>
  <c r="AD416" i="8"/>
  <c r="AD415" i="8"/>
  <c r="AD414" i="8"/>
  <c r="AD413" i="8"/>
  <c r="AD412" i="8"/>
  <c r="AD411" i="8"/>
  <c r="AD410" i="8"/>
  <c r="AD409" i="8"/>
  <c r="AD408" i="8"/>
  <c r="AD407" i="8"/>
  <c r="AD406" i="8"/>
  <c r="AD405" i="8"/>
  <c r="AD404" i="8"/>
  <c r="AD403" i="8"/>
  <c r="AD402" i="8"/>
  <c r="AD401" i="8"/>
  <c r="AD400" i="8"/>
  <c r="AD399" i="8"/>
  <c r="AD398" i="8"/>
  <c r="AD397" i="8"/>
  <c r="AD396" i="8"/>
  <c r="AD395" i="8"/>
  <c r="AD394" i="8"/>
  <c r="Y503" i="8"/>
  <c r="Y502" i="8"/>
  <c r="Y501" i="8"/>
  <c r="Y500" i="8"/>
  <c r="Y499" i="8"/>
  <c r="Y498" i="8"/>
  <c r="Y497" i="8"/>
  <c r="Y496" i="8"/>
  <c r="Y495" i="8"/>
  <c r="Y494" i="8"/>
  <c r="Y493" i="8"/>
  <c r="Y492" i="8"/>
  <c r="Y491" i="8"/>
  <c r="Y490" i="8"/>
  <c r="Y489" i="8"/>
  <c r="Y488" i="8"/>
  <c r="Y487" i="8"/>
  <c r="Y486" i="8"/>
  <c r="Y485" i="8"/>
  <c r="Y484" i="8"/>
  <c r="Y483" i="8"/>
  <c r="Y482" i="8"/>
  <c r="Y481" i="8"/>
  <c r="Y480" i="8"/>
  <c r="Y479" i="8"/>
  <c r="Y478" i="8"/>
  <c r="Y477" i="8"/>
  <c r="Y476" i="8"/>
  <c r="Y475" i="8"/>
  <c r="Y474" i="8"/>
  <c r="Y473" i="8"/>
  <c r="Y472" i="8"/>
  <c r="Y471" i="8"/>
  <c r="Y470" i="8"/>
  <c r="Y469" i="8"/>
  <c r="Y468" i="8"/>
  <c r="Y467" i="8"/>
  <c r="Y466" i="8"/>
  <c r="Y465" i="8"/>
  <c r="Y464" i="8"/>
  <c r="Y463" i="8"/>
  <c r="Y462" i="8"/>
  <c r="Y461" i="8"/>
  <c r="Y460" i="8"/>
  <c r="Y459" i="8"/>
  <c r="Y458" i="8"/>
  <c r="Y457" i="8"/>
  <c r="Y456" i="8"/>
  <c r="Y455" i="8"/>
  <c r="Y454" i="8"/>
  <c r="Y453" i="8"/>
  <c r="Y452" i="8"/>
  <c r="Y451" i="8"/>
  <c r="Y450" i="8"/>
  <c r="Y449" i="8"/>
  <c r="Y448" i="8"/>
  <c r="Y447" i="8"/>
  <c r="Y446" i="8"/>
  <c r="Y445" i="8"/>
  <c r="Y444" i="8"/>
  <c r="Y443" i="8"/>
  <c r="Y442" i="8"/>
  <c r="Y441" i="8"/>
  <c r="Y440" i="8"/>
  <c r="Y439" i="8"/>
  <c r="Y438" i="8"/>
  <c r="Y437" i="8"/>
  <c r="Y436" i="8"/>
  <c r="Y435" i="8"/>
  <c r="Y434" i="8"/>
  <c r="Y433" i="8"/>
  <c r="Y432" i="8"/>
  <c r="Y431" i="8"/>
  <c r="Y430" i="8"/>
  <c r="Y429" i="8"/>
  <c r="Y428" i="8"/>
  <c r="Y427" i="8"/>
  <c r="Y426" i="8"/>
  <c r="Y425" i="8"/>
  <c r="Y424" i="8"/>
  <c r="Y423" i="8"/>
  <c r="Y422" i="8"/>
  <c r="Y421" i="8"/>
  <c r="Y420" i="8"/>
  <c r="Y419" i="8"/>
  <c r="Y418" i="8"/>
  <c r="Y417" i="8"/>
  <c r="Y416" i="8"/>
  <c r="Y415" i="8"/>
  <c r="Y414" i="8"/>
  <c r="Y413" i="8"/>
  <c r="Y412" i="8"/>
  <c r="Y411" i="8"/>
  <c r="Y410" i="8"/>
  <c r="Y409" i="8"/>
  <c r="Y408" i="8"/>
  <c r="Y407" i="8"/>
  <c r="Y406" i="8"/>
  <c r="Y405" i="8"/>
  <c r="Y404" i="8"/>
  <c r="Y403" i="8"/>
  <c r="Y402" i="8"/>
  <c r="Y401" i="8"/>
  <c r="Y400" i="8"/>
  <c r="Y399" i="8"/>
  <c r="Y398" i="8"/>
  <c r="Y397" i="8"/>
  <c r="Y396" i="8"/>
  <c r="Y395" i="8"/>
  <c r="Y394" i="8"/>
  <c r="T503" i="8"/>
  <c r="T502" i="8"/>
  <c r="T501" i="8"/>
  <c r="T500" i="8"/>
  <c r="T499" i="8"/>
  <c r="T498" i="8"/>
  <c r="T497" i="8"/>
  <c r="T496" i="8"/>
  <c r="T495" i="8"/>
  <c r="T494" i="8"/>
  <c r="T493" i="8"/>
  <c r="T492" i="8"/>
  <c r="T491" i="8"/>
  <c r="T490" i="8"/>
  <c r="T489" i="8"/>
  <c r="T488" i="8"/>
  <c r="T487" i="8"/>
  <c r="T486" i="8"/>
  <c r="T485" i="8"/>
  <c r="T484" i="8"/>
  <c r="T483" i="8"/>
  <c r="T482" i="8"/>
  <c r="T481" i="8"/>
  <c r="T480" i="8"/>
  <c r="T479" i="8"/>
  <c r="T478" i="8"/>
  <c r="T477" i="8"/>
  <c r="T476" i="8"/>
  <c r="T475" i="8"/>
  <c r="T474" i="8"/>
  <c r="T473" i="8"/>
  <c r="T472" i="8"/>
  <c r="T471" i="8"/>
  <c r="T470" i="8"/>
  <c r="T469" i="8"/>
  <c r="T468" i="8"/>
  <c r="T467" i="8"/>
  <c r="T466" i="8"/>
  <c r="T465" i="8"/>
  <c r="T464" i="8"/>
  <c r="T463" i="8"/>
  <c r="T462" i="8"/>
  <c r="T461" i="8"/>
  <c r="T460" i="8"/>
  <c r="T459" i="8"/>
  <c r="T458" i="8"/>
  <c r="T457" i="8"/>
  <c r="T456" i="8"/>
  <c r="T455" i="8"/>
  <c r="T454" i="8"/>
  <c r="T453" i="8"/>
  <c r="T452" i="8"/>
  <c r="T451" i="8"/>
  <c r="T450" i="8"/>
  <c r="T449" i="8"/>
  <c r="T448" i="8"/>
  <c r="T447" i="8"/>
  <c r="T446" i="8"/>
  <c r="T445" i="8"/>
  <c r="T444" i="8"/>
  <c r="T443" i="8"/>
  <c r="T442" i="8"/>
  <c r="T441" i="8"/>
  <c r="T440" i="8"/>
  <c r="T439" i="8"/>
  <c r="T438" i="8"/>
  <c r="T437" i="8"/>
  <c r="T436" i="8"/>
  <c r="T435" i="8"/>
  <c r="T434" i="8"/>
  <c r="T433" i="8"/>
  <c r="T432" i="8"/>
  <c r="T431" i="8"/>
  <c r="T430" i="8"/>
  <c r="T429" i="8"/>
  <c r="T428" i="8"/>
  <c r="T427" i="8"/>
  <c r="T426" i="8"/>
  <c r="T425" i="8"/>
  <c r="T424" i="8"/>
  <c r="T423" i="8"/>
  <c r="T422" i="8"/>
  <c r="T421" i="8"/>
  <c r="T420" i="8"/>
  <c r="T419" i="8"/>
  <c r="T418" i="8"/>
  <c r="T417" i="8"/>
  <c r="T416" i="8"/>
  <c r="T415" i="8"/>
  <c r="T414" i="8"/>
  <c r="T413" i="8"/>
  <c r="T412" i="8"/>
  <c r="T411" i="8"/>
  <c r="T410" i="8"/>
  <c r="T409" i="8"/>
  <c r="T408" i="8"/>
  <c r="T407" i="8"/>
  <c r="T406" i="8"/>
  <c r="T405" i="8"/>
  <c r="T404" i="8"/>
  <c r="T403" i="8"/>
  <c r="T402" i="8"/>
  <c r="T401" i="8"/>
  <c r="T400" i="8"/>
  <c r="T399" i="8"/>
  <c r="T398" i="8"/>
  <c r="T397" i="8"/>
  <c r="T396" i="8"/>
  <c r="T395" i="8"/>
  <c r="T394" i="8"/>
  <c r="O503" i="8"/>
  <c r="O502" i="8"/>
  <c r="O501" i="8"/>
  <c r="O500" i="8"/>
  <c r="O499" i="8"/>
  <c r="O498" i="8"/>
  <c r="O497" i="8"/>
  <c r="O496" i="8"/>
  <c r="O495" i="8"/>
  <c r="O494" i="8"/>
  <c r="O493" i="8"/>
  <c r="O492" i="8"/>
  <c r="O491" i="8"/>
  <c r="O490" i="8"/>
  <c r="O489" i="8"/>
  <c r="O488" i="8"/>
  <c r="O487" i="8"/>
  <c r="O486" i="8"/>
  <c r="O485" i="8"/>
  <c r="O484" i="8"/>
  <c r="O483" i="8"/>
  <c r="O482" i="8"/>
  <c r="O481" i="8"/>
  <c r="O480" i="8"/>
  <c r="O479" i="8"/>
  <c r="O478" i="8"/>
  <c r="O477" i="8"/>
  <c r="O476" i="8"/>
  <c r="O475" i="8"/>
  <c r="O474" i="8"/>
  <c r="O473" i="8"/>
  <c r="O472" i="8"/>
  <c r="O471" i="8"/>
  <c r="O470" i="8"/>
  <c r="O469" i="8"/>
  <c r="O468" i="8"/>
  <c r="O467" i="8"/>
  <c r="O466" i="8"/>
  <c r="O465" i="8"/>
  <c r="O464" i="8"/>
  <c r="O463" i="8"/>
  <c r="O462" i="8"/>
  <c r="O461" i="8"/>
  <c r="O460" i="8"/>
  <c r="O459" i="8"/>
  <c r="O458" i="8"/>
  <c r="O457" i="8"/>
  <c r="O456" i="8"/>
  <c r="O455" i="8"/>
  <c r="O454" i="8"/>
  <c r="O453" i="8"/>
  <c r="O452" i="8"/>
  <c r="O451" i="8"/>
  <c r="O450" i="8"/>
  <c r="O449" i="8"/>
  <c r="O448" i="8"/>
  <c r="O447" i="8"/>
  <c r="O446" i="8"/>
  <c r="O445" i="8"/>
  <c r="O444" i="8"/>
  <c r="O443" i="8"/>
  <c r="O442" i="8"/>
  <c r="O441" i="8"/>
  <c r="O440" i="8"/>
  <c r="O439" i="8"/>
  <c r="O438" i="8"/>
  <c r="O437" i="8"/>
  <c r="O436" i="8"/>
  <c r="O435" i="8"/>
  <c r="O434" i="8"/>
  <c r="O433" i="8"/>
  <c r="O432" i="8"/>
  <c r="O431" i="8"/>
  <c r="O430" i="8"/>
  <c r="O429" i="8"/>
  <c r="O428" i="8"/>
  <c r="O427" i="8"/>
  <c r="O426" i="8"/>
  <c r="O425" i="8"/>
  <c r="O424" i="8"/>
  <c r="O423" i="8"/>
  <c r="O422" i="8"/>
  <c r="O421" i="8"/>
  <c r="O420" i="8"/>
  <c r="O419" i="8"/>
  <c r="O418" i="8"/>
  <c r="O417" i="8"/>
  <c r="O416" i="8"/>
  <c r="O415" i="8"/>
  <c r="O414" i="8"/>
  <c r="O413" i="8"/>
  <c r="O412" i="8"/>
  <c r="O411" i="8"/>
  <c r="O410" i="8"/>
  <c r="O409" i="8"/>
  <c r="O408" i="8"/>
  <c r="O407" i="8"/>
  <c r="O406" i="8"/>
  <c r="O405" i="8"/>
  <c r="O404" i="8"/>
  <c r="O403" i="8"/>
  <c r="O402" i="8"/>
  <c r="O401" i="8"/>
  <c r="O400" i="8"/>
  <c r="O399" i="8"/>
  <c r="O398" i="8"/>
  <c r="O397" i="8"/>
  <c r="O396" i="8"/>
  <c r="O395" i="8"/>
  <c r="O394" i="8"/>
  <c r="J503" i="8"/>
  <c r="J502" i="8"/>
  <c r="J501" i="8"/>
  <c r="J500" i="8"/>
  <c r="J499" i="8"/>
  <c r="J498" i="8"/>
  <c r="J497" i="8"/>
  <c r="J496" i="8"/>
  <c r="J495" i="8"/>
  <c r="J494" i="8"/>
  <c r="J493" i="8"/>
  <c r="J492" i="8"/>
  <c r="J491" i="8"/>
  <c r="J490" i="8"/>
  <c r="J489" i="8"/>
  <c r="J488" i="8"/>
  <c r="J487" i="8"/>
  <c r="J486" i="8"/>
  <c r="J485" i="8"/>
  <c r="J484" i="8"/>
  <c r="J483" i="8"/>
  <c r="J482" i="8"/>
  <c r="J481" i="8"/>
  <c r="J480" i="8"/>
  <c r="J479" i="8"/>
  <c r="J478" i="8"/>
  <c r="J477" i="8"/>
  <c r="J476" i="8"/>
  <c r="J475" i="8"/>
  <c r="J474" i="8"/>
  <c r="J473" i="8"/>
  <c r="J472" i="8"/>
  <c r="J471" i="8"/>
  <c r="J470" i="8"/>
  <c r="J469" i="8"/>
  <c r="J468" i="8"/>
  <c r="J467" i="8"/>
  <c r="J466" i="8"/>
  <c r="J465" i="8"/>
  <c r="J464" i="8"/>
  <c r="J463" i="8"/>
  <c r="J462" i="8"/>
  <c r="J461" i="8"/>
  <c r="J460" i="8"/>
  <c r="J459" i="8"/>
  <c r="J458" i="8"/>
  <c r="J457" i="8"/>
  <c r="J456" i="8"/>
  <c r="J455" i="8"/>
  <c r="J454" i="8"/>
  <c r="J453" i="8"/>
  <c r="J452" i="8"/>
  <c r="J451" i="8"/>
  <c r="J450" i="8"/>
  <c r="J449" i="8"/>
  <c r="J448" i="8"/>
  <c r="J447" i="8"/>
  <c r="J446" i="8"/>
  <c r="J445" i="8"/>
  <c r="J444" i="8"/>
  <c r="J443" i="8"/>
  <c r="J442" i="8"/>
  <c r="J441" i="8"/>
  <c r="J440" i="8"/>
  <c r="J439" i="8"/>
  <c r="J438" i="8"/>
  <c r="J437" i="8"/>
  <c r="J436" i="8"/>
  <c r="J435" i="8"/>
  <c r="J434" i="8"/>
  <c r="J433" i="8"/>
  <c r="J432" i="8"/>
  <c r="J431" i="8"/>
  <c r="J430" i="8"/>
  <c r="J429" i="8"/>
  <c r="J428" i="8"/>
  <c r="J427" i="8"/>
  <c r="J426" i="8"/>
  <c r="J425" i="8"/>
  <c r="J424" i="8"/>
  <c r="J423" i="8"/>
  <c r="J422" i="8"/>
  <c r="J421" i="8"/>
  <c r="J420" i="8"/>
  <c r="J419" i="8"/>
  <c r="J418" i="8"/>
  <c r="J417" i="8"/>
  <c r="J416" i="8"/>
  <c r="J415" i="8"/>
  <c r="J414" i="8"/>
  <c r="J413" i="8"/>
  <c r="J412" i="8"/>
  <c r="J411" i="8"/>
  <c r="J410" i="8"/>
  <c r="J409" i="8"/>
  <c r="J408" i="8"/>
  <c r="J407" i="8"/>
  <c r="J406" i="8"/>
  <c r="J405" i="8"/>
  <c r="J404" i="8"/>
  <c r="J403" i="8"/>
  <c r="J402" i="8"/>
  <c r="J401" i="8"/>
  <c r="J400" i="8"/>
  <c r="J399" i="8"/>
  <c r="J398" i="8"/>
  <c r="J397" i="8"/>
  <c r="J396" i="8"/>
  <c r="J395" i="8"/>
  <c r="J394" i="8"/>
  <c r="E503" i="8"/>
  <c r="E502" i="8"/>
  <c r="E501" i="8"/>
  <c r="E500" i="8"/>
  <c r="E499" i="8"/>
  <c r="E498" i="8"/>
  <c r="E497" i="8"/>
  <c r="E496" i="8"/>
  <c r="E495" i="8"/>
  <c r="E494" i="8"/>
  <c r="E493" i="8"/>
  <c r="E492" i="8"/>
  <c r="E491" i="8"/>
  <c r="E490" i="8"/>
  <c r="E489" i="8"/>
  <c r="E488" i="8"/>
  <c r="E487" i="8"/>
  <c r="E486" i="8"/>
  <c r="E485" i="8"/>
  <c r="E484" i="8"/>
  <c r="E483" i="8"/>
  <c r="E482" i="8"/>
  <c r="E481" i="8"/>
  <c r="E480" i="8"/>
  <c r="E479" i="8"/>
  <c r="E478" i="8"/>
  <c r="E477" i="8"/>
  <c r="E476" i="8"/>
  <c r="E475" i="8"/>
  <c r="E474" i="8"/>
  <c r="E473" i="8"/>
  <c r="E472" i="8"/>
  <c r="E471" i="8"/>
  <c r="E470" i="8"/>
  <c r="E469" i="8"/>
  <c r="E468" i="8"/>
  <c r="E467" i="8"/>
  <c r="E466" i="8"/>
  <c r="E465" i="8"/>
  <c r="E464" i="8"/>
  <c r="E463" i="8"/>
  <c r="E462" i="8"/>
  <c r="E461" i="8"/>
  <c r="E460" i="8"/>
  <c r="E459" i="8"/>
  <c r="E458" i="8"/>
  <c r="E457" i="8"/>
  <c r="E456" i="8"/>
  <c r="E455" i="8"/>
  <c r="E454" i="8"/>
  <c r="E453" i="8"/>
  <c r="E452" i="8"/>
  <c r="E451" i="8"/>
  <c r="E450" i="8"/>
  <c r="E449" i="8"/>
  <c r="E448" i="8"/>
  <c r="E447" i="8"/>
  <c r="E446" i="8"/>
  <c r="E445" i="8"/>
  <c r="E444" i="8"/>
  <c r="E443" i="8"/>
  <c r="E442" i="8"/>
  <c r="E441" i="8"/>
  <c r="E440" i="8"/>
  <c r="E439" i="8"/>
  <c r="E438" i="8"/>
  <c r="E437" i="8"/>
  <c r="E436" i="8"/>
  <c r="E435" i="8"/>
  <c r="E434" i="8"/>
  <c r="E433" i="8"/>
  <c r="E432" i="8"/>
  <c r="E431" i="8"/>
  <c r="E430" i="8"/>
  <c r="E429" i="8"/>
  <c r="E428" i="8"/>
  <c r="E427" i="8"/>
  <c r="E426" i="8"/>
  <c r="E425" i="8"/>
  <c r="E424" i="8"/>
  <c r="E423" i="8"/>
  <c r="E422" i="8"/>
  <c r="E421" i="8"/>
  <c r="E420" i="8"/>
  <c r="E419" i="8"/>
  <c r="E418" i="8"/>
  <c r="E417" i="8"/>
  <c r="E416" i="8"/>
  <c r="E415" i="8"/>
  <c r="E414" i="8"/>
  <c r="E413" i="8"/>
  <c r="E412" i="8"/>
  <c r="E411" i="8"/>
  <c r="E410" i="8"/>
  <c r="E409" i="8"/>
  <c r="E408" i="8"/>
  <c r="E407" i="8"/>
  <c r="E406" i="8"/>
  <c r="E405" i="8"/>
  <c r="E404" i="8"/>
  <c r="E403" i="8"/>
  <c r="E402" i="8"/>
  <c r="E401" i="8"/>
  <c r="E400" i="8"/>
  <c r="E399" i="8"/>
  <c r="E398" i="8"/>
  <c r="E397" i="8"/>
  <c r="E396" i="8"/>
  <c r="E395" i="8"/>
  <c r="E394" i="8"/>
  <c r="E393" i="8"/>
  <c r="E392" i="8"/>
  <c r="E391" i="8"/>
  <c r="E390" i="8"/>
  <c r="E389" i="8"/>
  <c r="E388" i="8"/>
  <c r="E387" i="8"/>
  <c r="E386" i="8"/>
  <c r="E385" i="8"/>
  <c r="E384" i="8"/>
  <c r="E383" i="8"/>
  <c r="E382" i="8"/>
  <c r="E381" i="8"/>
  <c r="E380" i="8"/>
  <c r="E379" i="8"/>
  <c r="E378" i="8"/>
  <c r="E377" i="8"/>
  <c r="E376" i="8"/>
  <c r="E375" i="8"/>
  <c r="E374" i="8"/>
  <c r="E373" i="8"/>
  <c r="E372" i="8"/>
  <c r="E371" i="8"/>
  <c r="E370" i="8"/>
  <c r="E369" i="8"/>
  <c r="E368" i="8"/>
  <c r="E367" i="8"/>
  <c r="E366" i="8"/>
  <c r="E365" i="8"/>
  <c r="E364" i="8"/>
  <c r="E363" i="8"/>
  <c r="E362" i="8"/>
  <c r="E361" i="8"/>
  <c r="E360" i="8"/>
  <c r="E359" i="8"/>
  <c r="E358" i="8"/>
  <c r="E357" i="8"/>
  <c r="E356" i="8"/>
  <c r="E355" i="8"/>
  <c r="E354" i="8"/>
  <c r="E353" i="8"/>
  <c r="E352" i="8"/>
  <c r="E351" i="8"/>
  <c r="E350" i="8"/>
  <c r="E349" i="8"/>
  <c r="E348" i="8"/>
  <c r="E347" i="8"/>
  <c r="E346" i="8"/>
  <c r="E345" i="8"/>
  <c r="E344" i="8"/>
  <c r="E343" i="8"/>
  <c r="E342" i="8"/>
  <c r="E341" i="8"/>
  <c r="E340" i="8"/>
  <c r="E339" i="8"/>
  <c r="E338" i="8"/>
  <c r="E337" i="8"/>
  <c r="E336" i="8"/>
  <c r="E335" i="8"/>
  <c r="E334" i="8"/>
  <c r="E333" i="8"/>
  <c r="E332" i="8"/>
  <c r="E331" i="8"/>
  <c r="E330" i="8"/>
  <c r="E329" i="8"/>
  <c r="E328" i="8"/>
  <c r="E327" i="8"/>
  <c r="E326" i="8"/>
  <c r="E325" i="8"/>
  <c r="E324" i="8"/>
  <c r="E323" i="8"/>
  <c r="E322" i="8"/>
  <c r="E321" i="8"/>
  <c r="E320" i="8"/>
  <c r="E319" i="8"/>
  <c r="E318" i="8"/>
  <c r="E317" i="8"/>
  <c r="E316" i="8"/>
  <c r="E315" i="8"/>
  <c r="E314" i="8"/>
  <c r="E313" i="8"/>
  <c r="E312" i="8"/>
  <c r="E311" i="8"/>
  <c r="E310" i="8"/>
  <c r="E309" i="8"/>
  <c r="E308" i="8"/>
  <c r="E307" i="8"/>
  <c r="E306" i="8"/>
  <c r="E305" i="8"/>
  <c r="E304" i="8"/>
  <c r="E303" i="8"/>
  <c r="E302" i="8"/>
  <c r="E301" i="8"/>
  <c r="E300" i="8"/>
  <c r="E299" i="8"/>
  <c r="E298" i="8"/>
  <c r="E297" i="8"/>
  <c r="E296" i="8"/>
  <c r="E295" i="8"/>
  <c r="E294" i="8"/>
  <c r="E293" i="8"/>
  <c r="E292" i="8"/>
  <c r="E291" i="8"/>
  <c r="E290" i="8"/>
  <c r="E289" i="8"/>
  <c r="E288" i="8"/>
  <c r="E287" i="8"/>
  <c r="E286" i="8"/>
  <c r="E285" i="8"/>
  <c r="E284" i="8"/>
  <c r="E283" i="8"/>
  <c r="E282" i="8"/>
  <c r="E281" i="8"/>
  <c r="E280" i="8"/>
  <c r="E279" i="8"/>
  <c r="E278" i="8"/>
  <c r="E277" i="8"/>
  <c r="E276" i="8"/>
  <c r="E275" i="8"/>
  <c r="E274" i="8"/>
  <c r="E273" i="8"/>
  <c r="E272" i="8"/>
  <c r="E271" i="8"/>
  <c r="E270" i="8"/>
  <c r="E269" i="8"/>
  <c r="E268" i="8"/>
  <c r="E267" i="8"/>
  <c r="E266" i="8"/>
  <c r="E265" i="8"/>
  <c r="E264" i="8"/>
  <c r="E263" i="8"/>
  <c r="E262" i="8"/>
  <c r="E261" i="8"/>
  <c r="E260" i="8"/>
  <c r="E259" i="8"/>
  <c r="E258" i="8"/>
  <c r="E257" i="8"/>
  <c r="E256" i="8"/>
  <c r="E255" i="8"/>
  <c r="E254" i="8"/>
  <c r="E253" i="8"/>
  <c r="E252" i="8"/>
  <c r="E251" i="8"/>
  <c r="E250" i="8"/>
  <c r="E249" i="8"/>
  <c r="E248" i="8"/>
  <c r="E247" i="8"/>
  <c r="E246" i="8"/>
  <c r="E245" i="8"/>
  <c r="E244" i="8"/>
  <c r="E243" i="8"/>
  <c r="E242" i="8"/>
  <c r="E241" i="8"/>
  <c r="E240" i="8"/>
  <c r="E239" i="8"/>
  <c r="E238" i="8"/>
  <c r="E237" i="8"/>
  <c r="E236" i="8"/>
  <c r="E235" i="8"/>
  <c r="E234" i="8"/>
  <c r="E233" i="8"/>
  <c r="E232" i="8"/>
  <c r="E231" i="8"/>
  <c r="E230" i="8"/>
  <c r="E229" i="8"/>
  <c r="E228" i="8"/>
  <c r="E227" i="8"/>
  <c r="E226" i="8"/>
  <c r="E225" i="8"/>
  <c r="E224" i="8"/>
  <c r="E223" i="8"/>
  <c r="E222" i="8"/>
  <c r="E221" i="8"/>
  <c r="E220" i="8"/>
  <c r="E219" i="8"/>
  <c r="E218" i="8"/>
  <c r="E217" i="8"/>
  <c r="E216" i="8"/>
  <c r="E215" i="8"/>
  <c r="E214" i="8"/>
  <c r="E213" i="8"/>
  <c r="E212" i="8"/>
  <c r="E211" i="8"/>
  <c r="E210" i="8"/>
  <c r="E209" i="8"/>
  <c r="E208" i="8"/>
  <c r="E207" i="8"/>
  <c r="E206" i="8"/>
  <c r="E205" i="8"/>
  <c r="E204" i="8"/>
  <c r="E203" i="8"/>
  <c r="E202" i="8"/>
  <c r="E201" i="8"/>
  <c r="E200" i="8"/>
  <c r="E199" i="8"/>
  <c r="E198" i="8"/>
  <c r="E197" i="8"/>
  <c r="E196" i="8"/>
  <c r="E195" i="8"/>
  <c r="E194" i="8"/>
  <c r="E193" i="8"/>
  <c r="E192" i="8"/>
  <c r="E191" i="8"/>
  <c r="E190" i="8"/>
  <c r="E189" i="8"/>
  <c r="E188" i="8"/>
  <c r="E187" i="8"/>
  <c r="E186" i="8"/>
  <c r="E185" i="8"/>
  <c r="E184" i="8"/>
  <c r="E183" i="8"/>
  <c r="E182" i="8"/>
  <c r="E181" i="8"/>
  <c r="E180" i="8"/>
  <c r="E179" i="8"/>
  <c r="E178" i="8"/>
  <c r="E177" i="8"/>
  <c r="E176" i="8"/>
  <c r="E175" i="8"/>
  <c r="E174" i="8"/>
  <c r="E173" i="8"/>
  <c r="E172" i="8"/>
  <c r="E171" i="8"/>
  <c r="E170" i="8"/>
  <c r="E169" i="8"/>
  <c r="E168" i="8"/>
  <c r="E167" i="8"/>
  <c r="E166" i="8"/>
  <c r="E165" i="8"/>
  <c r="E164" i="8"/>
  <c r="E163" i="8"/>
  <c r="E162" i="8"/>
  <c r="E161" i="8"/>
  <c r="E160" i="8"/>
  <c r="E159" i="8"/>
  <c r="E158" i="8"/>
  <c r="E157" i="8"/>
  <c r="E156" i="8"/>
  <c r="E155" i="8"/>
  <c r="E154" i="8"/>
  <c r="E153" i="8"/>
  <c r="E152" i="8"/>
  <c r="E151" i="8"/>
  <c r="E150" i="8"/>
  <c r="E149" i="8"/>
  <c r="E148" i="8"/>
  <c r="E147" i="8"/>
  <c r="E146" i="8"/>
  <c r="E145" i="8"/>
  <c r="E144" i="8"/>
  <c r="E143" i="8"/>
  <c r="E142" i="8"/>
  <c r="E141" i="8"/>
  <c r="E140" i="8"/>
  <c r="E139" i="8"/>
  <c r="E138" i="8"/>
  <c r="E137" i="8"/>
  <c r="E136" i="8"/>
  <c r="E135" i="8"/>
  <c r="E134" i="8"/>
  <c r="E133" i="8"/>
  <c r="E132" i="8"/>
  <c r="E131" i="8"/>
  <c r="E130" i="8"/>
  <c r="E129" i="8"/>
  <c r="E128" i="8"/>
  <c r="E127" i="8"/>
  <c r="E126" i="8"/>
  <c r="E125" i="8"/>
  <c r="E124" i="8"/>
  <c r="E123" i="8"/>
  <c r="E122" i="8"/>
  <c r="E121" i="8"/>
  <c r="E120" i="8"/>
  <c r="E119" i="8"/>
  <c r="E118" i="8"/>
  <c r="E117" i="8"/>
  <c r="E116" i="8"/>
  <c r="E115" i="8"/>
  <c r="E114" i="8"/>
  <c r="E113" i="8"/>
  <c r="E112" i="8"/>
  <c r="E111" i="8"/>
  <c r="E110" i="8"/>
  <c r="E109" i="8"/>
  <c r="E108" i="8"/>
  <c r="E107" i="8"/>
  <c r="E106" i="8"/>
  <c r="E105" i="8"/>
  <c r="E104" i="8"/>
  <c r="E103" i="8"/>
  <c r="E102" i="8"/>
  <c r="E101" i="8"/>
  <c r="E100" i="8"/>
  <c r="E99" i="8"/>
  <c r="E98" i="8"/>
  <c r="E97" i="8"/>
  <c r="E96" i="8"/>
  <c r="E95" i="8"/>
  <c r="E94" i="8"/>
  <c r="E93" i="8"/>
  <c r="E92" i="8"/>
  <c r="E91" i="8"/>
  <c r="E90" i="8"/>
  <c r="E89" i="8"/>
  <c r="E88" i="8"/>
  <c r="E87" i="8"/>
  <c r="E86" i="8"/>
  <c r="E85" i="8"/>
  <c r="E84" i="8"/>
  <c r="E83" i="8"/>
  <c r="E82" i="8"/>
  <c r="E81" i="8"/>
  <c r="E80" i="8"/>
  <c r="E79" i="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6" i="8"/>
  <c r="E5" i="8"/>
  <c r="E4" i="8"/>
  <c r="HG393" i="8"/>
  <c r="HG392" i="8"/>
  <c r="HG391" i="8"/>
  <c r="HG390" i="8"/>
  <c r="HG389" i="8"/>
  <c r="HG388" i="8"/>
  <c r="HG387" i="8"/>
  <c r="HG386" i="8"/>
  <c r="HG385" i="8"/>
  <c r="HG384" i="8"/>
  <c r="HG383" i="8"/>
  <c r="HG382" i="8"/>
  <c r="HG381" i="8"/>
  <c r="HG380" i="8"/>
  <c r="HG379" i="8"/>
  <c r="HG378" i="8"/>
  <c r="HG377" i="8"/>
  <c r="HG376" i="8"/>
  <c r="HG375" i="8"/>
  <c r="HG374" i="8"/>
  <c r="HG373" i="8"/>
  <c r="HG372" i="8"/>
  <c r="HG371" i="8"/>
  <c r="HG370" i="8"/>
  <c r="HG369" i="8"/>
  <c r="HG368" i="8"/>
  <c r="HG367" i="8"/>
  <c r="HG366" i="8"/>
  <c r="HG365" i="8"/>
  <c r="HG364" i="8"/>
  <c r="HG363" i="8"/>
  <c r="HG362" i="8"/>
  <c r="HG361" i="8"/>
  <c r="HG360" i="8"/>
  <c r="HG359" i="8"/>
  <c r="HG358" i="8"/>
  <c r="HG357" i="8"/>
  <c r="HG356" i="8"/>
  <c r="HG355" i="8"/>
  <c r="HG354" i="8"/>
  <c r="HG353" i="8"/>
  <c r="HG352" i="8"/>
  <c r="HG351" i="8"/>
  <c r="HG350" i="8"/>
  <c r="HG349" i="8"/>
  <c r="HG348" i="8"/>
  <c r="HG347" i="8"/>
  <c r="HG346" i="8"/>
  <c r="HG345" i="8"/>
  <c r="HG344" i="8"/>
  <c r="HG343" i="8"/>
  <c r="HG342" i="8"/>
  <c r="HG341" i="8"/>
  <c r="HG340" i="8"/>
  <c r="HG339" i="8"/>
  <c r="HG338" i="8"/>
  <c r="HG337" i="8"/>
  <c r="HG336" i="8"/>
  <c r="HG335" i="8"/>
  <c r="HG334" i="8"/>
  <c r="HG333" i="8"/>
  <c r="HG332" i="8"/>
  <c r="HG331" i="8"/>
  <c r="HG330" i="8"/>
  <c r="HG329" i="8"/>
  <c r="HG328" i="8"/>
  <c r="HG327" i="8"/>
  <c r="HG326" i="8"/>
  <c r="HG325" i="8"/>
  <c r="HG324" i="8"/>
  <c r="HG323" i="8"/>
  <c r="HG322" i="8"/>
  <c r="HG321" i="8"/>
  <c r="HG320" i="8"/>
  <c r="HG319" i="8"/>
  <c r="HG318" i="8"/>
  <c r="HG317" i="8"/>
  <c r="HG316" i="8"/>
  <c r="HG315" i="8"/>
  <c r="HG314" i="8"/>
  <c r="HG313" i="8"/>
  <c r="HG312" i="8"/>
  <c r="HG311" i="8"/>
  <c r="HG310" i="8"/>
  <c r="HG309" i="8"/>
  <c r="HG308" i="8"/>
  <c r="HG307" i="8"/>
  <c r="HG306" i="8"/>
  <c r="HG305" i="8"/>
  <c r="HG304" i="8"/>
  <c r="HG303" i="8"/>
  <c r="HG302" i="8"/>
  <c r="HG301" i="8"/>
  <c r="HG300" i="8"/>
  <c r="HG299" i="8"/>
  <c r="HG298" i="8"/>
  <c r="HG297" i="8"/>
  <c r="HG296" i="8"/>
  <c r="HG295" i="8"/>
  <c r="HG294" i="8"/>
  <c r="HG293" i="8"/>
  <c r="HG292" i="8"/>
  <c r="HG291" i="8"/>
  <c r="HG290" i="8"/>
  <c r="HG289" i="8"/>
  <c r="HG288" i="8"/>
  <c r="HG287" i="8"/>
  <c r="HG286" i="8"/>
  <c r="HG285" i="8"/>
  <c r="HG284" i="8"/>
  <c r="HG283" i="8"/>
  <c r="HG282" i="8"/>
  <c r="HG281" i="8"/>
  <c r="HG280" i="8"/>
  <c r="HG279" i="8"/>
  <c r="HG278" i="8"/>
  <c r="HG277" i="8"/>
  <c r="HG276" i="8"/>
  <c r="HG275" i="8"/>
  <c r="HG274" i="8"/>
  <c r="HG273" i="8"/>
  <c r="HG272" i="8"/>
  <c r="HG271" i="8"/>
  <c r="HG270" i="8"/>
  <c r="HG269" i="8"/>
  <c r="HG268" i="8"/>
  <c r="HG267" i="8"/>
  <c r="HG266" i="8"/>
  <c r="HG265" i="8"/>
  <c r="HG264" i="8"/>
  <c r="HG263" i="8"/>
  <c r="HG262" i="8"/>
  <c r="HG261" i="8"/>
  <c r="HG260" i="8"/>
  <c r="HG259" i="8"/>
  <c r="HG258" i="8"/>
  <c r="HG257" i="8"/>
  <c r="HG256" i="8"/>
  <c r="HG255" i="8"/>
  <c r="HG254" i="8"/>
  <c r="HG253" i="8"/>
  <c r="HG252" i="8"/>
  <c r="HG251" i="8"/>
  <c r="HG250" i="8"/>
  <c r="HG249" i="8"/>
  <c r="HG248" i="8"/>
  <c r="HG247" i="8"/>
  <c r="HG246" i="8"/>
  <c r="HG245" i="8"/>
  <c r="HG244" i="8"/>
  <c r="HG243" i="8"/>
  <c r="HG242" i="8"/>
  <c r="HG241" i="8"/>
  <c r="HG240" i="8"/>
  <c r="HG239" i="8"/>
  <c r="HG238" i="8"/>
  <c r="HG237" i="8"/>
  <c r="HG236" i="8"/>
  <c r="HG235" i="8"/>
  <c r="HG234" i="8"/>
  <c r="HG233" i="8"/>
  <c r="HG232" i="8"/>
  <c r="HG231" i="8"/>
  <c r="HG230" i="8"/>
  <c r="HG229" i="8"/>
  <c r="HG228" i="8"/>
  <c r="HG227" i="8"/>
  <c r="HG226" i="8"/>
  <c r="HG225" i="8"/>
  <c r="HG224" i="8"/>
  <c r="HG223" i="8"/>
  <c r="HG222" i="8"/>
  <c r="HG221" i="8"/>
  <c r="HG220" i="8"/>
  <c r="HG219" i="8"/>
  <c r="HG218" i="8"/>
  <c r="HG217" i="8"/>
  <c r="HG216" i="8"/>
  <c r="HG215" i="8"/>
  <c r="HG214" i="8"/>
  <c r="HG213" i="8"/>
  <c r="HG212" i="8"/>
  <c r="HG211" i="8"/>
  <c r="HG210" i="8"/>
  <c r="HG209" i="8"/>
  <c r="HG208" i="8"/>
  <c r="HG207" i="8"/>
  <c r="HG206" i="8"/>
  <c r="HG205" i="8"/>
  <c r="HG204" i="8"/>
  <c r="HG203" i="8"/>
  <c r="HG202" i="8"/>
  <c r="HG201" i="8"/>
  <c r="HG200" i="8"/>
  <c r="HG199" i="8"/>
  <c r="HG198" i="8"/>
  <c r="HG197" i="8"/>
  <c r="HG196" i="8"/>
  <c r="HG195" i="8"/>
  <c r="HG194" i="8"/>
  <c r="HG193" i="8"/>
  <c r="HG192" i="8"/>
  <c r="HG191" i="8"/>
  <c r="HG190" i="8"/>
  <c r="HG189" i="8"/>
  <c r="HG188" i="8"/>
  <c r="HG187" i="8"/>
  <c r="HG186" i="8"/>
  <c r="HG185" i="8"/>
  <c r="HG184" i="8"/>
  <c r="HG183" i="8"/>
  <c r="HG182" i="8"/>
  <c r="HG181" i="8"/>
  <c r="HG180" i="8"/>
  <c r="HG179" i="8"/>
  <c r="HG178" i="8"/>
  <c r="HG177" i="8"/>
  <c r="HG176" i="8"/>
  <c r="HG175" i="8"/>
  <c r="HG174" i="8"/>
  <c r="HG173" i="8"/>
  <c r="HG172" i="8"/>
  <c r="HG171" i="8"/>
  <c r="HG170" i="8"/>
  <c r="HG169" i="8"/>
  <c r="HG168" i="8"/>
  <c r="HG167" i="8"/>
  <c r="HG166" i="8"/>
  <c r="HG165" i="8"/>
  <c r="HG164" i="8"/>
  <c r="HG163" i="8"/>
  <c r="HG162" i="8"/>
  <c r="HG161" i="8"/>
  <c r="HG160" i="8"/>
  <c r="HG159" i="8"/>
  <c r="HG158" i="8"/>
  <c r="HG157" i="8"/>
  <c r="HG156" i="8"/>
  <c r="HG155" i="8"/>
  <c r="HG154" i="8"/>
  <c r="HG153" i="8"/>
  <c r="HG152" i="8"/>
  <c r="HG151" i="8"/>
  <c r="HG150" i="8"/>
  <c r="HG149" i="8"/>
  <c r="HG148" i="8"/>
  <c r="HG147" i="8"/>
  <c r="HG146" i="8"/>
  <c r="HG145" i="8"/>
  <c r="HG144" i="8"/>
  <c r="HG143" i="8"/>
  <c r="HG142" i="8"/>
  <c r="HG141" i="8"/>
  <c r="HG140" i="8"/>
  <c r="HG139" i="8"/>
  <c r="HG138" i="8"/>
  <c r="HG137" i="8"/>
  <c r="HG136" i="8"/>
  <c r="HG135" i="8"/>
  <c r="HG134" i="8"/>
  <c r="HG133" i="8"/>
  <c r="HG132" i="8"/>
  <c r="HG131" i="8"/>
  <c r="HG130" i="8"/>
  <c r="HG129" i="8"/>
  <c r="HG128" i="8"/>
  <c r="HG127" i="8"/>
  <c r="HG126" i="8"/>
  <c r="HG125" i="8"/>
  <c r="HG124" i="8"/>
  <c r="HG123" i="8"/>
  <c r="HG122" i="8"/>
  <c r="HG121" i="8"/>
  <c r="HG120" i="8"/>
  <c r="HG119" i="8"/>
  <c r="HG118" i="8"/>
  <c r="HG117" i="8"/>
  <c r="HG116" i="8"/>
  <c r="HG115" i="8"/>
  <c r="HG114" i="8"/>
  <c r="HG113" i="8"/>
  <c r="HG112" i="8"/>
  <c r="HG111" i="8"/>
  <c r="HG110" i="8"/>
  <c r="HG109" i="8"/>
  <c r="HG108" i="8"/>
  <c r="HG107" i="8"/>
  <c r="HG106" i="8"/>
  <c r="HG105" i="8"/>
  <c r="HG104" i="8"/>
  <c r="HG103" i="8"/>
  <c r="HG102" i="8"/>
  <c r="HG101" i="8"/>
  <c r="HG100" i="8"/>
  <c r="HG99" i="8"/>
  <c r="HG98" i="8"/>
  <c r="HG97" i="8"/>
  <c r="HG96" i="8"/>
  <c r="HG95" i="8"/>
  <c r="HG94" i="8"/>
  <c r="HG93" i="8"/>
  <c r="HG92" i="8"/>
  <c r="HG91" i="8"/>
  <c r="HG90" i="8"/>
  <c r="HG89" i="8"/>
  <c r="HG88" i="8"/>
  <c r="HG87" i="8"/>
  <c r="HG86" i="8"/>
  <c r="HG85" i="8"/>
  <c r="HG84" i="8"/>
  <c r="HG83" i="8"/>
  <c r="HG82" i="8"/>
  <c r="HG81" i="8"/>
  <c r="HG80" i="8"/>
  <c r="HG79" i="8"/>
  <c r="HG78" i="8"/>
  <c r="HG77" i="8"/>
  <c r="HG76" i="8"/>
  <c r="HG75" i="8"/>
  <c r="HG74" i="8"/>
  <c r="HG73" i="8"/>
  <c r="HG72" i="8"/>
  <c r="HG71" i="8"/>
  <c r="HG70" i="8"/>
  <c r="HG69" i="8"/>
  <c r="HG68" i="8"/>
  <c r="HG67" i="8"/>
  <c r="HG66" i="8"/>
  <c r="HG65" i="8"/>
  <c r="HG64" i="8"/>
  <c r="HG63" i="8"/>
  <c r="HG62" i="8"/>
  <c r="HG61" i="8"/>
  <c r="HG60" i="8"/>
  <c r="HG59" i="8"/>
  <c r="HG58" i="8"/>
  <c r="HG57" i="8"/>
  <c r="HG56" i="8"/>
  <c r="HG55" i="8"/>
  <c r="HG54" i="8"/>
  <c r="HG53" i="8"/>
  <c r="HG52" i="8"/>
  <c r="HG51" i="8"/>
  <c r="HG50" i="8"/>
  <c r="HG49" i="8"/>
  <c r="HG48" i="8"/>
  <c r="HG47" i="8"/>
  <c r="HG46" i="8"/>
  <c r="HG45" i="8"/>
  <c r="HG44" i="8"/>
  <c r="HG43" i="8"/>
  <c r="HG42" i="8"/>
  <c r="HG41" i="8"/>
  <c r="HG40" i="8"/>
  <c r="HG39" i="8"/>
  <c r="HG38" i="8"/>
  <c r="HG37" i="8"/>
  <c r="HG36" i="8"/>
  <c r="HG35" i="8"/>
  <c r="HG34" i="8"/>
  <c r="HG33" i="8"/>
  <c r="HG32" i="8"/>
  <c r="HG31" i="8"/>
  <c r="HG30" i="8"/>
  <c r="HG29" i="8"/>
  <c r="HG28" i="8"/>
  <c r="HG27" i="8"/>
  <c r="HG26" i="8"/>
  <c r="HG25" i="8"/>
  <c r="HG24" i="8"/>
  <c r="HG23" i="8"/>
  <c r="HG22" i="8"/>
  <c r="HG21" i="8"/>
  <c r="HG20" i="8"/>
  <c r="HG19" i="8"/>
  <c r="HG18" i="8"/>
  <c r="HG17" i="8"/>
  <c r="HG16" i="8"/>
  <c r="HG15" i="8"/>
  <c r="HG14" i="8"/>
  <c r="HG13" i="8"/>
  <c r="HG12" i="8"/>
  <c r="HG11" i="8"/>
  <c r="HG10" i="8"/>
  <c r="HG9" i="8"/>
  <c r="HG8" i="8"/>
  <c r="HG7" i="8"/>
  <c r="HG6" i="8"/>
  <c r="HG5" i="8"/>
  <c r="HG4" i="8"/>
  <c r="HB393" i="8"/>
  <c r="HB392" i="8"/>
  <c r="HB391" i="8"/>
  <c r="HB390" i="8"/>
  <c r="HB389" i="8"/>
  <c r="HB388" i="8"/>
  <c r="HB387" i="8"/>
  <c r="HB386" i="8"/>
  <c r="HB385" i="8"/>
  <c r="HB384" i="8"/>
  <c r="HB383" i="8"/>
  <c r="HB382" i="8"/>
  <c r="HB381" i="8"/>
  <c r="HB380" i="8"/>
  <c r="HB379" i="8"/>
  <c r="HB378" i="8"/>
  <c r="HB377" i="8"/>
  <c r="HB376" i="8"/>
  <c r="HB375" i="8"/>
  <c r="HB374" i="8"/>
  <c r="HB373" i="8"/>
  <c r="HB372" i="8"/>
  <c r="HB371" i="8"/>
  <c r="HB370" i="8"/>
  <c r="HB369" i="8"/>
  <c r="HB368" i="8"/>
  <c r="HB367" i="8"/>
  <c r="HB366" i="8"/>
  <c r="HB365" i="8"/>
  <c r="HB364" i="8"/>
  <c r="HB363" i="8"/>
  <c r="HB362" i="8"/>
  <c r="HB361" i="8"/>
  <c r="HB360" i="8"/>
  <c r="HB359" i="8"/>
  <c r="HB358" i="8"/>
  <c r="HB357" i="8"/>
  <c r="HB356" i="8"/>
  <c r="HB355" i="8"/>
  <c r="HB354" i="8"/>
  <c r="HB353" i="8"/>
  <c r="HB352" i="8"/>
  <c r="HB351" i="8"/>
  <c r="HB350" i="8"/>
  <c r="HB349" i="8"/>
  <c r="HB348" i="8"/>
  <c r="HB347" i="8"/>
  <c r="HB346" i="8"/>
  <c r="HB345" i="8"/>
  <c r="HB344" i="8"/>
  <c r="HB343" i="8"/>
  <c r="HB342" i="8"/>
  <c r="HB341" i="8"/>
  <c r="HB340" i="8"/>
  <c r="HB339" i="8"/>
  <c r="HB338" i="8"/>
  <c r="HB337" i="8"/>
  <c r="HB336" i="8"/>
  <c r="HB335" i="8"/>
  <c r="HB334" i="8"/>
  <c r="HB333" i="8"/>
  <c r="HB332" i="8"/>
  <c r="HB331" i="8"/>
  <c r="HB330" i="8"/>
  <c r="HB329" i="8"/>
  <c r="HB328" i="8"/>
  <c r="HB327" i="8"/>
  <c r="HB326" i="8"/>
  <c r="HB325" i="8"/>
  <c r="HB324" i="8"/>
  <c r="HB323" i="8"/>
  <c r="HB322" i="8"/>
  <c r="HB321" i="8"/>
  <c r="HB320" i="8"/>
  <c r="HB319" i="8"/>
  <c r="HB318" i="8"/>
  <c r="HB317" i="8"/>
  <c r="HB316" i="8"/>
  <c r="HB315" i="8"/>
  <c r="HB314" i="8"/>
  <c r="HB313" i="8"/>
  <c r="HB312" i="8"/>
  <c r="HB311" i="8"/>
  <c r="HB310" i="8"/>
  <c r="HB309" i="8"/>
  <c r="HB308" i="8"/>
  <c r="HB307" i="8"/>
  <c r="HB306" i="8"/>
  <c r="HB305" i="8"/>
  <c r="HB304" i="8"/>
  <c r="HB303" i="8"/>
  <c r="HB302" i="8"/>
  <c r="HB301" i="8"/>
  <c r="HB300" i="8"/>
  <c r="HB299" i="8"/>
  <c r="HB298" i="8"/>
  <c r="HB297" i="8"/>
  <c r="HB296" i="8"/>
  <c r="HB295" i="8"/>
  <c r="HB294" i="8"/>
  <c r="HB293" i="8"/>
  <c r="HB292" i="8"/>
  <c r="HB291" i="8"/>
  <c r="HB290" i="8"/>
  <c r="HB289" i="8"/>
  <c r="HB288" i="8"/>
  <c r="HB287" i="8"/>
  <c r="HB286" i="8"/>
  <c r="HB285" i="8"/>
  <c r="HB284" i="8"/>
  <c r="HB283" i="8"/>
  <c r="HB282" i="8"/>
  <c r="HB281" i="8"/>
  <c r="HB280" i="8"/>
  <c r="HB279" i="8"/>
  <c r="HB278" i="8"/>
  <c r="HB277" i="8"/>
  <c r="HB276" i="8"/>
  <c r="HB275" i="8"/>
  <c r="HB274" i="8"/>
  <c r="HB273" i="8"/>
  <c r="HB272" i="8"/>
  <c r="HB271" i="8"/>
  <c r="HB270" i="8"/>
  <c r="HB269" i="8"/>
  <c r="HB268" i="8"/>
  <c r="HB267" i="8"/>
  <c r="HB266" i="8"/>
  <c r="HB265" i="8"/>
  <c r="HB264" i="8"/>
  <c r="HB263" i="8"/>
  <c r="HB262" i="8"/>
  <c r="HB261" i="8"/>
  <c r="HB260" i="8"/>
  <c r="HB259" i="8"/>
  <c r="HB258" i="8"/>
  <c r="HB257" i="8"/>
  <c r="HB256" i="8"/>
  <c r="HB255" i="8"/>
  <c r="HB254" i="8"/>
  <c r="HB253" i="8"/>
  <c r="HB252" i="8"/>
  <c r="HB251" i="8"/>
  <c r="HB250" i="8"/>
  <c r="HB249" i="8"/>
  <c r="HB248" i="8"/>
  <c r="HB247" i="8"/>
  <c r="HB246" i="8"/>
  <c r="HB245" i="8"/>
  <c r="HB244" i="8"/>
  <c r="HB243" i="8"/>
  <c r="HB242" i="8"/>
  <c r="HB241" i="8"/>
  <c r="HB240" i="8"/>
  <c r="HB239" i="8"/>
  <c r="HB238" i="8"/>
  <c r="HB237" i="8"/>
  <c r="HB236" i="8"/>
  <c r="HB235" i="8"/>
  <c r="HB234" i="8"/>
  <c r="HB233" i="8"/>
  <c r="HB232" i="8"/>
  <c r="HB231" i="8"/>
  <c r="HB230" i="8"/>
  <c r="HB229" i="8"/>
  <c r="HB228" i="8"/>
  <c r="HB227" i="8"/>
  <c r="HB226" i="8"/>
  <c r="HB225" i="8"/>
  <c r="HB224" i="8"/>
  <c r="HB223" i="8"/>
  <c r="HB222" i="8"/>
  <c r="HB221" i="8"/>
  <c r="HB220" i="8"/>
  <c r="HB219" i="8"/>
  <c r="HB218" i="8"/>
  <c r="HB217" i="8"/>
  <c r="HB216" i="8"/>
  <c r="HB215" i="8"/>
  <c r="HB214" i="8"/>
  <c r="HB213" i="8"/>
  <c r="HB212" i="8"/>
  <c r="HB211" i="8"/>
  <c r="HB210" i="8"/>
  <c r="HB209" i="8"/>
  <c r="HB208" i="8"/>
  <c r="HB207" i="8"/>
  <c r="HB206" i="8"/>
  <c r="HB205" i="8"/>
  <c r="HB204" i="8"/>
  <c r="HB203" i="8"/>
  <c r="HB202" i="8"/>
  <c r="HB201" i="8"/>
  <c r="HB200" i="8"/>
  <c r="HB199" i="8"/>
  <c r="HB198" i="8"/>
  <c r="HB197" i="8"/>
  <c r="HB196" i="8"/>
  <c r="HB195" i="8"/>
  <c r="HB194" i="8"/>
  <c r="HB193" i="8"/>
  <c r="HB192" i="8"/>
  <c r="HB191" i="8"/>
  <c r="HB190" i="8"/>
  <c r="HB189" i="8"/>
  <c r="HB188" i="8"/>
  <c r="HB187" i="8"/>
  <c r="HB186" i="8"/>
  <c r="HB185" i="8"/>
  <c r="HB184" i="8"/>
  <c r="HB183" i="8"/>
  <c r="HB182" i="8"/>
  <c r="HB181" i="8"/>
  <c r="HB180" i="8"/>
  <c r="HB179" i="8"/>
  <c r="HB178" i="8"/>
  <c r="HB177" i="8"/>
  <c r="HB176" i="8"/>
  <c r="HB175" i="8"/>
  <c r="HB174" i="8"/>
  <c r="HB173" i="8"/>
  <c r="HB172" i="8"/>
  <c r="HB171" i="8"/>
  <c r="HB170" i="8"/>
  <c r="HB169" i="8"/>
  <c r="HB168" i="8"/>
  <c r="HB167" i="8"/>
  <c r="HB166" i="8"/>
  <c r="HB165" i="8"/>
  <c r="HB164" i="8"/>
  <c r="HB163" i="8"/>
  <c r="HB162" i="8"/>
  <c r="HB161" i="8"/>
  <c r="HB160" i="8"/>
  <c r="HB159" i="8"/>
  <c r="HB158" i="8"/>
  <c r="HB157" i="8"/>
  <c r="HB156" i="8"/>
  <c r="HB155" i="8"/>
  <c r="HB154" i="8"/>
  <c r="HB153" i="8"/>
  <c r="HB152" i="8"/>
  <c r="HB151" i="8"/>
  <c r="HB150" i="8"/>
  <c r="HB149" i="8"/>
  <c r="HB148" i="8"/>
  <c r="HB147" i="8"/>
  <c r="HB146" i="8"/>
  <c r="HB145" i="8"/>
  <c r="HB144" i="8"/>
  <c r="HB143" i="8"/>
  <c r="HB142" i="8"/>
  <c r="HB141" i="8"/>
  <c r="HB140" i="8"/>
  <c r="HB139" i="8"/>
  <c r="HB138" i="8"/>
  <c r="HB137" i="8"/>
  <c r="HB136" i="8"/>
  <c r="HB135" i="8"/>
  <c r="HB134" i="8"/>
  <c r="HB133" i="8"/>
  <c r="HB132" i="8"/>
  <c r="HB131" i="8"/>
  <c r="HB130" i="8"/>
  <c r="HB129" i="8"/>
  <c r="HB128" i="8"/>
  <c r="HB127" i="8"/>
  <c r="HB126" i="8"/>
  <c r="HB125" i="8"/>
  <c r="HB124" i="8"/>
  <c r="HB123" i="8"/>
  <c r="HB122" i="8"/>
  <c r="HB121" i="8"/>
  <c r="HB120" i="8"/>
  <c r="HB119" i="8"/>
  <c r="HB118" i="8"/>
  <c r="HB117" i="8"/>
  <c r="HB116" i="8"/>
  <c r="HB115" i="8"/>
  <c r="HB114" i="8"/>
  <c r="HB113" i="8"/>
  <c r="HB112" i="8"/>
  <c r="HB111" i="8"/>
  <c r="HB110" i="8"/>
  <c r="HB109" i="8"/>
  <c r="HB108" i="8"/>
  <c r="HB107" i="8"/>
  <c r="HB106" i="8"/>
  <c r="HB105" i="8"/>
  <c r="HB104" i="8"/>
  <c r="HB103" i="8"/>
  <c r="HB102" i="8"/>
  <c r="HB101" i="8"/>
  <c r="HB100" i="8"/>
  <c r="HB99" i="8"/>
  <c r="HB98" i="8"/>
  <c r="HB97" i="8"/>
  <c r="HB96" i="8"/>
  <c r="HB95" i="8"/>
  <c r="HB94" i="8"/>
  <c r="HB93" i="8"/>
  <c r="HB92" i="8"/>
  <c r="HB91" i="8"/>
  <c r="HB90" i="8"/>
  <c r="HB89" i="8"/>
  <c r="HB88" i="8"/>
  <c r="HB87" i="8"/>
  <c r="HB86" i="8"/>
  <c r="HB85" i="8"/>
  <c r="HB84" i="8"/>
  <c r="HB83" i="8"/>
  <c r="HB82" i="8"/>
  <c r="HB81" i="8"/>
  <c r="HB80" i="8"/>
  <c r="HB79" i="8"/>
  <c r="HB78" i="8"/>
  <c r="HB77" i="8"/>
  <c r="HB76" i="8"/>
  <c r="HB75" i="8"/>
  <c r="HB74" i="8"/>
  <c r="HB73" i="8"/>
  <c r="HB72" i="8"/>
  <c r="HB71" i="8"/>
  <c r="HB70" i="8"/>
  <c r="HB69" i="8"/>
  <c r="HB68" i="8"/>
  <c r="HB67" i="8"/>
  <c r="HB66" i="8"/>
  <c r="HB65" i="8"/>
  <c r="HB64" i="8"/>
  <c r="HB63" i="8"/>
  <c r="HB62" i="8"/>
  <c r="HB61" i="8"/>
  <c r="HB60" i="8"/>
  <c r="HB59" i="8"/>
  <c r="HB58" i="8"/>
  <c r="HB57" i="8"/>
  <c r="HB56" i="8"/>
  <c r="HB55" i="8"/>
  <c r="HB54" i="8"/>
  <c r="HB53" i="8"/>
  <c r="HB52" i="8"/>
  <c r="HB51" i="8"/>
  <c r="HB50" i="8"/>
  <c r="HB49" i="8"/>
  <c r="HB48" i="8"/>
  <c r="HB47" i="8"/>
  <c r="HB46" i="8"/>
  <c r="HB45" i="8"/>
  <c r="HB44" i="8"/>
  <c r="HB43" i="8"/>
  <c r="HB42" i="8"/>
  <c r="HB41" i="8"/>
  <c r="HB40" i="8"/>
  <c r="HB39" i="8"/>
  <c r="HB38" i="8"/>
  <c r="HB37" i="8"/>
  <c r="HB36" i="8"/>
  <c r="HB35" i="8"/>
  <c r="HB34" i="8"/>
  <c r="HB33" i="8"/>
  <c r="HB32" i="8"/>
  <c r="HB31" i="8"/>
  <c r="HB30" i="8"/>
  <c r="HB29" i="8"/>
  <c r="HB28" i="8"/>
  <c r="HB27" i="8"/>
  <c r="HB26" i="8"/>
  <c r="HB25" i="8"/>
  <c r="HB24" i="8"/>
  <c r="HB23" i="8"/>
  <c r="HB22" i="8"/>
  <c r="HB21" i="8"/>
  <c r="HB20" i="8"/>
  <c r="HB19" i="8"/>
  <c r="HB18" i="8"/>
  <c r="HB17" i="8"/>
  <c r="HB16" i="8"/>
  <c r="HB15" i="8"/>
  <c r="HB14" i="8"/>
  <c r="HB13" i="8"/>
  <c r="HB12" i="8"/>
  <c r="HB11" i="8"/>
  <c r="HB10" i="8"/>
  <c r="HB9" i="8"/>
  <c r="HB8" i="8"/>
  <c r="HB7" i="8"/>
  <c r="HB6" i="8"/>
  <c r="HB5" i="8"/>
  <c r="HB4" i="8"/>
  <c r="GW393" i="8"/>
  <c r="GW392" i="8"/>
  <c r="GW391" i="8"/>
  <c r="GW390" i="8"/>
  <c r="GW389" i="8"/>
  <c r="GW388" i="8"/>
  <c r="GW387" i="8"/>
  <c r="GW386" i="8"/>
  <c r="GW385" i="8"/>
  <c r="GW384" i="8"/>
  <c r="GW383" i="8"/>
  <c r="GW382" i="8"/>
  <c r="GW381" i="8"/>
  <c r="GW380" i="8"/>
  <c r="GW379" i="8"/>
  <c r="GW378" i="8"/>
  <c r="GW377" i="8"/>
  <c r="GW376" i="8"/>
  <c r="GW375" i="8"/>
  <c r="GW374" i="8"/>
  <c r="GW373" i="8"/>
  <c r="GW372" i="8"/>
  <c r="GW371" i="8"/>
  <c r="GW370" i="8"/>
  <c r="GW369" i="8"/>
  <c r="GW368" i="8"/>
  <c r="GW367" i="8"/>
  <c r="GW366" i="8"/>
  <c r="GW365" i="8"/>
  <c r="GW364" i="8"/>
  <c r="GW363" i="8"/>
  <c r="GW362" i="8"/>
  <c r="GW361" i="8"/>
  <c r="GW360" i="8"/>
  <c r="GW359" i="8"/>
  <c r="GW358" i="8"/>
  <c r="GW357" i="8"/>
  <c r="GW356" i="8"/>
  <c r="GW355" i="8"/>
  <c r="GW354" i="8"/>
  <c r="GW353" i="8"/>
  <c r="GW352" i="8"/>
  <c r="GW351" i="8"/>
  <c r="GW350" i="8"/>
  <c r="GW349" i="8"/>
  <c r="GW348" i="8"/>
  <c r="GW347" i="8"/>
  <c r="GW346" i="8"/>
  <c r="GW345" i="8"/>
  <c r="GW344" i="8"/>
  <c r="GW343" i="8"/>
  <c r="GW342" i="8"/>
  <c r="GW341" i="8"/>
  <c r="GW340" i="8"/>
  <c r="GW339" i="8"/>
  <c r="GW338" i="8"/>
  <c r="GW337" i="8"/>
  <c r="GW336" i="8"/>
  <c r="GW335" i="8"/>
  <c r="GW334" i="8"/>
  <c r="GW333" i="8"/>
  <c r="GW332" i="8"/>
  <c r="GW331" i="8"/>
  <c r="GW330" i="8"/>
  <c r="GW329" i="8"/>
  <c r="GW328" i="8"/>
  <c r="GW327" i="8"/>
  <c r="GW326" i="8"/>
  <c r="GW325" i="8"/>
  <c r="GW324" i="8"/>
  <c r="GW323" i="8"/>
  <c r="GW322" i="8"/>
  <c r="GW321" i="8"/>
  <c r="GW320" i="8"/>
  <c r="GW319" i="8"/>
  <c r="GW318" i="8"/>
  <c r="GW317" i="8"/>
  <c r="GW316" i="8"/>
  <c r="GW315" i="8"/>
  <c r="GW314" i="8"/>
  <c r="GW313" i="8"/>
  <c r="GW312" i="8"/>
  <c r="GW311" i="8"/>
  <c r="GW310" i="8"/>
  <c r="GW309" i="8"/>
  <c r="GW308" i="8"/>
  <c r="GW307" i="8"/>
  <c r="GW306" i="8"/>
  <c r="GW305" i="8"/>
  <c r="GW304" i="8"/>
  <c r="GW303" i="8"/>
  <c r="GW302" i="8"/>
  <c r="GW301" i="8"/>
  <c r="GW300" i="8"/>
  <c r="GW299" i="8"/>
  <c r="GW298" i="8"/>
  <c r="GW297" i="8"/>
  <c r="GW296" i="8"/>
  <c r="GW295" i="8"/>
  <c r="GW294" i="8"/>
  <c r="GW293" i="8"/>
  <c r="GW292" i="8"/>
  <c r="GW291" i="8"/>
  <c r="GW290" i="8"/>
  <c r="GW289" i="8"/>
  <c r="GW288" i="8"/>
  <c r="GW287" i="8"/>
  <c r="GW286" i="8"/>
  <c r="GW285" i="8"/>
  <c r="GW284" i="8"/>
  <c r="GW283" i="8"/>
  <c r="GW282" i="8"/>
  <c r="GW281" i="8"/>
  <c r="GW280" i="8"/>
  <c r="GW279" i="8"/>
  <c r="GW278" i="8"/>
  <c r="GW277" i="8"/>
  <c r="GW276" i="8"/>
  <c r="GW275" i="8"/>
  <c r="GW274" i="8"/>
  <c r="GW273" i="8"/>
  <c r="GW272" i="8"/>
  <c r="GW271" i="8"/>
  <c r="GW270" i="8"/>
  <c r="GW269" i="8"/>
  <c r="GW268" i="8"/>
  <c r="GW267" i="8"/>
  <c r="GW266" i="8"/>
  <c r="GW265" i="8"/>
  <c r="GW264" i="8"/>
  <c r="GW263" i="8"/>
  <c r="GW262" i="8"/>
  <c r="GW261" i="8"/>
  <c r="GW260" i="8"/>
  <c r="GW259" i="8"/>
  <c r="GW258" i="8"/>
  <c r="GW257" i="8"/>
  <c r="GW256" i="8"/>
  <c r="GW255" i="8"/>
  <c r="GW254" i="8"/>
  <c r="GW253" i="8"/>
  <c r="GW252" i="8"/>
  <c r="GW251" i="8"/>
  <c r="GW250" i="8"/>
  <c r="GW249" i="8"/>
  <c r="GW248" i="8"/>
  <c r="GW247" i="8"/>
  <c r="GW246" i="8"/>
  <c r="GW245" i="8"/>
  <c r="GW244" i="8"/>
  <c r="GW243" i="8"/>
  <c r="GW242" i="8"/>
  <c r="GW241" i="8"/>
  <c r="GW240" i="8"/>
  <c r="GW239" i="8"/>
  <c r="GW238" i="8"/>
  <c r="GW237" i="8"/>
  <c r="GW236" i="8"/>
  <c r="GW235" i="8"/>
  <c r="GW234" i="8"/>
  <c r="GW233" i="8"/>
  <c r="GW232" i="8"/>
  <c r="GW231" i="8"/>
  <c r="GW230" i="8"/>
  <c r="GW229" i="8"/>
  <c r="GW228" i="8"/>
  <c r="GW227" i="8"/>
  <c r="GW226" i="8"/>
  <c r="GW225" i="8"/>
  <c r="GW224" i="8"/>
  <c r="GW223" i="8"/>
  <c r="GW222" i="8"/>
  <c r="GW221" i="8"/>
  <c r="GW220" i="8"/>
  <c r="GW219" i="8"/>
  <c r="GW218" i="8"/>
  <c r="GW217" i="8"/>
  <c r="GW216" i="8"/>
  <c r="GW215" i="8"/>
  <c r="GW214" i="8"/>
  <c r="GW213" i="8"/>
  <c r="GW212" i="8"/>
  <c r="GW211" i="8"/>
  <c r="GW210" i="8"/>
  <c r="GW209" i="8"/>
  <c r="GW208" i="8"/>
  <c r="GW207" i="8"/>
  <c r="GW206" i="8"/>
  <c r="GW205" i="8"/>
  <c r="GW204" i="8"/>
  <c r="GW203" i="8"/>
  <c r="GW202" i="8"/>
  <c r="GW201" i="8"/>
  <c r="GW200" i="8"/>
  <c r="GW199" i="8"/>
  <c r="GW198" i="8"/>
  <c r="GW197" i="8"/>
  <c r="GW196" i="8"/>
  <c r="GW195" i="8"/>
  <c r="GW194" i="8"/>
  <c r="GW193" i="8"/>
  <c r="GW192" i="8"/>
  <c r="GW191" i="8"/>
  <c r="GW190" i="8"/>
  <c r="GW189" i="8"/>
  <c r="GW188" i="8"/>
  <c r="GW187" i="8"/>
  <c r="GW186" i="8"/>
  <c r="GW185" i="8"/>
  <c r="GW184" i="8"/>
  <c r="GW183" i="8"/>
  <c r="GW182" i="8"/>
  <c r="GW181" i="8"/>
  <c r="GW180" i="8"/>
  <c r="GW179" i="8"/>
  <c r="GW178" i="8"/>
  <c r="GW177" i="8"/>
  <c r="GW176" i="8"/>
  <c r="GW175" i="8"/>
  <c r="GW174" i="8"/>
  <c r="GW173" i="8"/>
  <c r="GW172" i="8"/>
  <c r="GW171" i="8"/>
  <c r="GW170" i="8"/>
  <c r="GW169" i="8"/>
  <c r="GW168" i="8"/>
  <c r="GW167" i="8"/>
  <c r="GW166" i="8"/>
  <c r="GW165" i="8"/>
  <c r="GW164" i="8"/>
  <c r="GW163" i="8"/>
  <c r="GW162" i="8"/>
  <c r="GW161" i="8"/>
  <c r="GW160" i="8"/>
  <c r="GW159" i="8"/>
  <c r="GW158" i="8"/>
  <c r="GW157" i="8"/>
  <c r="GW156" i="8"/>
  <c r="GW155" i="8"/>
  <c r="GW154" i="8"/>
  <c r="GW153" i="8"/>
  <c r="GW152" i="8"/>
  <c r="GW151" i="8"/>
  <c r="GW150" i="8"/>
  <c r="GW149" i="8"/>
  <c r="GW148" i="8"/>
  <c r="GW147" i="8"/>
  <c r="GW146" i="8"/>
  <c r="GW145" i="8"/>
  <c r="GW144" i="8"/>
  <c r="GW143" i="8"/>
  <c r="GW142" i="8"/>
  <c r="GW141" i="8"/>
  <c r="GW140" i="8"/>
  <c r="GW139" i="8"/>
  <c r="GW138" i="8"/>
  <c r="GW137" i="8"/>
  <c r="GW136" i="8"/>
  <c r="GW135" i="8"/>
  <c r="GW134" i="8"/>
  <c r="GW133" i="8"/>
  <c r="GW132" i="8"/>
  <c r="GW131" i="8"/>
  <c r="GW130" i="8"/>
  <c r="GW129" i="8"/>
  <c r="GW128" i="8"/>
  <c r="GW127" i="8"/>
  <c r="GW126" i="8"/>
  <c r="GW125" i="8"/>
  <c r="GW124" i="8"/>
  <c r="GW123" i="8"/>
  <c r="GW122" i="8"/>
  <c r="GW121" i="8"/>
  <c r="GW120" i="8"/>
  <c r="GW119" i="8"/>
  <c r="GW118" i="8"/>
  <c r="GW117" i="8"/>
  <c r="GW116" i="8"/>
  <c r="GW115" i="8"/>
  <c r="GW114" i="8"/>
  <c r="GW113" i="8"/>
  <c r="GW112" i="8"/>
  <c r="GW111" i="8"/>
  <c r="GW110" i="8"/>
  <c r="GW109" i="8"/>
  <c r="GW108" i="8"/>
  <c r="GW107" i="8"/>
  <c r="GW106" i="8"/>
  <c r="GW105" i="8"/>
  <c r="GW104" i="8"/>
  <c r="GW103" i="8"/>
  <c r="GW102" i="8"/>
  <c r="GW101" i="8"/>
  <c r="GW100" i="8"/>
  <c r="GW99" i="8"/>
  <c r="GW98" i="8"/>
  <c r="GW97" i="8"/>
  <c r="GW96" i="8"/>
  <c r="GW95" i="8"/>
  <c r="GW94" i="8"/>
  <c r="GW93" i="8"/>
  <c r="GW92" i="8"/>
  <c r="GW91" i="8"/>
  <c r="GW90" i="8"/>
  <c r="GW89" i="8"/>
  <c r="GW88" i="8"/>
  <c r="GW87" i="8"/>
  <c r="GW86" i="8"/>
  <c r="GW85" i="8"/>
  <c r="GW84" i="8"/>
  <c r="GW83" i="8"/>
  <c r="GW82" i="8"/>
  <c r="GW81" i="8"/>
  <c r="GW80" i="8"/>
  <c r="GW79" i="8"/>
  <c r="GW78" i="8"/>
  <c r="GW77" i="8"/>
  <c r="GW76" i="8"/>
  <c r="GW75" i="8"/>
  <c r="GW74" i="8"/>
  <c r="GW73" i="8"/>
  <c r="GW72" i="8"/>
  <c r="GW71" i="8"/>
  <c r="GW70" i="8"/>
  <c r="GW69" i="8"/>
  <c r="GW68" i="8"/>
  <c r="GW67" i="8"/>
  <c r="GW66" i="8"/>
  <c r="GW65" i="8"/>
  <c r="GW64" i="8"/>
  <c r="GW63" i="8"/>
  <c r="GW62" i="8"/>
  <c r="GW61" i="8"/>
  <c r="GW60" i="8"/>
  <c r="GW59" i="8"/>
  <c r="GW58" i="8"/>
  <c r="GW57" i="8"/>
  <c r="GW56" i="8"/>
  <c r="GW55" i="8"/>
  <c r="GW54" i="8"/>
  <c r="GW53" i="8"/>
  <c r="GW52" i="8"/>
  <c r="GW51" i="8"/>
  <c r="GW50" i="8"/>
  <c r="GW49" i="8"/>
  <c r="GW48" i="8"/>
  <c r="GW47" i="8"/>
  <c r="GW46" i="8"/>
  <c r="GW45" i="8"/>
  <c r="GW44" i="8"/>
  <c r="GW43" i="8"/>
  <c r="GW42" i="8"/>
  <c r="GW41" i="8"/>
  <c r="GW40" i="8"/>
  <c r="GW39" i="8"/>
  <c r="GW38" i="8"/>
  <c r="GW37" i="8"/>
  <c r="GW36" i="8"/>
  <c r="GW35" i="8"/>
  <c r="GW34" i="8"/>
  <c r="GW33" i="8"/>
  <c r="GW32" i="8"/>
  <c r="GW31" i="8"/>
  <c r="GW30" i="8"/>
  <c r="GW29" i="8"/>
  <c r="GW28" i="8"/>
  <c r="GW27" i="8"/>
  <c r="GW26" i="8"/>
  <c r="GW25" i="8"/>
  <c r="GW24" i="8"/>
  <c r="GW23" i="8"/>
  <c r="GW22" i="8"/>
  <c r="GW21" i="8"/>
  <c r="GW20" i="8"/>
  <c r="GW19" i="8"/>
  <c r="GW18" i="8"/>
  <c r="GW17" i="8"/>
  <c r="GW16" i="8"/>
  <c r="GW15" i="8"/>
  <c r="GW14" i="8"/>
  <c r="GW13" i="8"/>
  <c r="GW12" i="8"/>
  <c r="GW11" i="8"/>
  <c r="GW10" i="8"/>
  <c r="GW9" i="8"/>
  <c r="GW8" i="8"/>
  <c r="GW7" i="8"/>
  <c r="GW6" i="8"/>
  <c r="GW5" i="8"/>
  <c r="GW4" i="8"/>
  <c r="GR393" i="8"/>
  <c r="GR392" i="8"/>
  <c r="GR391" i="8"/>
  <c r="GR390" i="8"/>
  <c r="GR389" i="8"/>
  <c r="GR388" i="8"/>
  <c r="GR387" i="8"/>
  <c r="GR386" i="8"/>
  <c r="GR385" i="8"/>
  <c r="GR384" i="8"/>
  <c r="GR383" i="8"/>
  <c r="GR382" i="8"/>
  <c r="GR381" i="8"/>
  <c r="GR380" i="8"/>
  <c r="GR379" i="8"/>
  <c r="GR378" i="8"/>
  <c r="GR377" i="8"/>
  <c r="GR376" i="8"/>
  <c r="GR375" i="8"/>
  <c r="GR374" i="8"/>
  <c r="GR373" i="8"/>
  <c r="GR372" i="8"/>
  <c r="GR371" i="8"/>
  <c r="GR370" i="8"/>
  <c r="GR369" i="8"/>
  <c r="GR368" i="8"/>
  <c r="GR367" i="8"/>
  <c r="GR366" i="8"/>
  <c r="GR365" i="8"/>
  <c r="GR364" i="8"/>
  <c r="GR363" i="8"/>
  <c r="GR362" i="8"/>
  <c r="GR361" i="8"/>
  <c r="GR360" i="8"/>
  <c r="GR359" i="8"/>
  <c r="GR358" i="8"/>
  <c r="GR357" i="8"/>
  <c r="GR356" i="8"/>
  <c r="GR355" i="8"/>
  <c r="GR354" i="8"/>
  <c r="GR353" i="8"/>
  <c r="GR352" i="8"/>
  <c r="GR351" i="8"/>
  <c r="GR350" i="8"/>
  <c r="GR349" i="8"/>
  <c r="GR348" i="8"/>
  <c r="GR347" i="8"/>
  <c r="GR346" i="8"/>
  <c r="GR345" i="8"/>
  <c r="GR344" i="8"/>
  <c r="GR343" i="8"/>
  <c r="GR342" i="8"/>
  <c r="GR341" i="8"/>
  <c r="GR340" i="8"/>
  <c r="GR339" i="8"/>
  <c r="GR338" i="8"/>
  <c r="GR337" i="8"/>
  <c r="GR336" i="8"/>
  <c r="GR335" i="8"/>
  <c r="GR334" i="8"/>
  <c r="GR333" i="8"/>
  <c r="GR332" i="8"/>
  <c r="GR331" i="8"/>
  <c r="GR330" i="8"/>
  <c r="GR329" i="8"/>
  <c r="GR328" i="8"/>
  <c r="GR327" i="8"/>
  <c r="GR326" i="8"/>
  <c r="GR325" i="8"/>
  <c r="GR324" i="8"/>
  <c r="GR323" i="8"/>
  <c r="GR322" i="8"/>
  <c r="GR321" i="8"/>
  <c r="GR320" i="8"/>
  <c r="GR319" i="8"/>
  <c r="GR318" i="8"/>
  <c r="GR317" i="8"/>
  <c r="GR316" i="8"/>
  <c r="GR315" i="8"/>
  <c r="GR314" i="8"/>
  <c r="GR313" i="8"/>
  <c r="GR312" i="8"/>
  <c r="GR311" i="8"/>
  <c r="GR310" i="8"/>
  <c r="GR309" i="8"/>
  <c r="GR308" i="8"/>
  <c r="GR307" i="8"/>
  <c r="GR306" i="8"/>
  <c r="GR305" i="8"/>
  <c r="GR304" i="8"/>
  <c r="GR303" i="8"/>
  <c r="GR302" i="8"/>
  <c r="GR301" i="8"/>
  <c r="GR300" i="8"/>
  <c r="GR299" i="8"/>
  <c r="GR298" i="8"/>
  <c r="GR297" i="8"/>
  <c r="GR296" i="8"/>
  <c r="GR295" i="8"/>
  <c r="GR294" i="8"/>
  <c r="GR293" i="8"/>
  <c r="GR292" i="8"/>
  <c r="GR291" i="8"/>
  <c r="GR290" i="8"/>
  <c r="GR289" i="8"/>
  <c r="GR288" i="8"/>
  <c r="GR287" i="8"/>
  <c r="GR286" i="8"/>
  <c r="GR285" i="8"/>
  <c r="GR284" i="8"/>
  <c r="GR283" i="8"/>
  <c r="GR282" i="8"/>
  <c r="GR281" i="8"/>
  <c r="GR280" i="8"/>
  <c r="GR279" i="8"/>
  <c r="GR278" i="8"/>
  <c r="GR277" i="8"/>
  <c r="GR276" i="8"/>
  <c r="GR275" i="8"/>
  <c r="GR274" i="8"/>
  <c r="GR273" i="8"/>
  <c r="GR272" i="8"/>
  <c r="GR271" i="8"/>
  <c r="GR270" i="8"/>
  <c r="GR269" i="8"/>
  <c r="GR268" i="8"/>
  <c r="GR267" i="8"/>
  <c r="GR266" i="8"/>
  <c r="GR265" i="8"/>
  <c r="GR264" i="8"/>
  <c r="GR263" i="8"/>
  <c r="GR262" i="8"/>
  <c r="GR261" i="8"/>
  <c r="GR260" i="8"/>
  <c r="GR259" i="8"/>
  <c r="GR258" i="8"/>
  <c r="GR257" i="8"/>
  <c r="GR256" i="8"/>
  <c r="GR255" i="8"/>
  <c r="GR254" i="8"/>
  <c r="GR253" i="8"/>
  <c r="GR252" i="8"/>
  <c r="GR251" i="8"/>
  <c r="GR250" i="8"/>
  <c r="GR249" i="8"/>
  <c r="GR248" i="8"/>
  <c r="GR247" i="8"/>
  <c r="GR246" i="8"/>
  <c r="GR245" i="8"/>
  <c r="GR244" i="8"/>
  <c r="GR243" i="8"/>
  <c r="GR242" i="8"/>
  <c r="GR241" i="8"/>
  <c r="GR240" i="8"/>
  <c r="GR239" i="8"/>
  <c r="GR238" i="8"/>
  <c r="GR237" i="8"/>
  <c r="GR236" i="8"/>
  <c r="GR235" i="8"/>
  <c r="GR234" i="8"/>
  <c r="GR233" i="8"/>
  <c r="GR232" i="8"/>
  <c r="GR231" i="8"/>
  <c r="GR230" i="8"/>
  <c r="GR229" i="8"/>
  <c r="GR228" i="8"/>
  <c r="GR227" i="8"/>
  <c r="GR226" i="8"/>
  <c r="GR225" i="8"/>
  <c r="GR224" i="8"/>
  <c r="GR223" i="8"/>
  <c r="GR222" i="8"/>
  <c r="GR221" i="8"/>
  <c r="GR220" i="8"/>
  <c r="GR219" i="8"/>
  <c r="GR218" i="8"/>
  <c r="GR217" i="8"/>
  <c r="GR216" i="8"/>
  <c r="GR215" i="8"/>
  <c r="GR214" i="8"/>
  <c r="GR213" i="8"/>
  <c r="GR212" i="8"/>
  <c r="GR211" i="8"/>
  <c r="GR210" i="8"/>
  <c r="GR209" i="8"/>
  <c r="GR208" i="8"/>
  <c r="GR207" i="8"/>
  <c r="GR206" i="8"/>
  <c r="GR205" i="8"/>
  <c r="GR204" i="8"/>
  <c r="GR203" i="8"/>
  <c r="GR202" i="8"/>
  <c r="GR201" i="8"/>
  <c r="GR200" i="8"/>
  <c r="GR199" i="8"/>
  <c r="GR198" i="8"/>
  <c r="GR197" i="8"/>
  <c r="GR196" i="8"/>
  <c r="GR195" i="8"/>
  <c r="GR194" i="8"/>
  <c r="GR193" i="8"/>
  <c r="GR192" i="8"/>
  <c r="GR191" i="8"/>
  <c r="GR190" i="8"/>
  <c r="GR189" i="8"/>
  <c r="GR188" i="8"/>
  <c r="GR187" i="8"/>
  <c r="GR186" i="8"/>
  <c r="GR185" i="8"/>
  <c r="GR184" i="8"/>
  <c r="GR183" i="8"/>
  <c r="GR182" i="8"/>
  <c r="GR181" i="8"/>
  <c r="GR180" i="8"/>
  <c r="GR179" i="8"/>
  <c r="GR178" i="8"/>
  <c r="GR177" i="8"/>
  <c r="GR176" i="8"/>
  <c r="GR175" i="8"/>
  <c r="GR174" i="8"/>
  <c r="GR173" i="8"/>
  <c r="GR172" i="8"/>
  <c r="GR171" i="8"/>
  <c r="GR170" i="8"/>
  <c r="GR169" i="8"/>
  <c r="GR168" i="8"/>
  <c r="GR167" i="8"/>
  <c r="GR166" i="8"/>
  <c r="GR165" i="8"/>
  <c r="GR164" i="8"/>
  <c r="GR163" i="8"/>
  <c r="GR162" i="8"/>
  <c r="GR161" i="8"/>
  <c r="GR160" i="8"/>
  <c r="GR159" i="8"/>
  <c r="GR158" i="8"/>
  <c r="GR157" i="8"/>
  <c r="GR156" i="8"/>
  <c r="GR155" i="8"/>
  <c r="GR154" i="8"/>
  <c r="GR153" i="8"/>
  <c r="GR152" i="8"/>
  <c r="GR151" i="8"/>
  <c r="GR150" i="8"/>
  <c r="GR149" i="8"/>
  <c r="GR148" i="8"/>
  <c r="GR147" i="8"/>
  <c r="GR146" i="8"/>
  <c r="GR145" i="8"/>
  <c r="GR144" i="8"/>
  <c r="GR143" i="8"/>
  <c r="GR142" i="8"/>
  <c r="GR141" i="8"/>
  <c r="GR140" i="8"/>
  <c r="GR139" i="8"/>
  <c r="GR138" i="8"/>
  <c r="GR137" i="8"/>
  <c r="GR136" i="8"/>
  <c r="GR135" i="8"/>
  <c r="GR134" i="8"/>
  <c r="GR133" i="8"/>
  <c r="GR132" i="8"/>
  <c r="GR131" i="8"/>
  <c r="GR130" i="8"/>
  <c r="GR129" i="8"/>
  <c r="GR128" i="8"/>
  <c r="GR127" i="8"/>
  <c r="GR126" i="8"/>
  <c r="GR125" i="8"/>
  <c r="GR124" i="8"/>
  <c r="GR123" i="8"/>
  <c r="GR122" i="8"/>
  <c r="GR121" i="8"/>
  <c r="GR120" i="8"/>
  <c r="GR119" i="8"/>
  <c r="GR118" i="8"/>
  <c r="GR117" i="8"/>
  <c r="GR116" i="8"/>
  <c r="GR115" i="8"/>
  <c r="GR114" i="8"/>
  <c r="GR113" i="8"/>
  <c r="GR112" i="8"/>
  <c r="GR111" i="8"/>
  <c r="GR110" i="8"/>
  <c r="GR109" i="8"/>
  <c r="GR108" i="8"/>
  <c r="GR107" i="8"/>
  <c r="GR106" i="8"/>
  <c r="GR105" i="8"/>
  <c r="GR104" i="8"/>
  <c r="GR103" i="8"/>
  <c r="GR102" i="8"/>
  <c r="GR101" i="8"/>
  <c r="GR100" i="8"/>
  <c r="GR99" i="8"/>
  <c r="GR98" i="8"/>
  <c r="GR97" i="8"/>
  <c r="GR96" i="8"/>
  <c r="GR95" i="8"/>
  <c r="GR94" i="8"/>
  <c r="GR93" i="8"/>
  <c r="GR92" i="8"/>
  <c r="GR91" i="8"/>
  <c r="GR90" i="8"/>
  <c r="GR89" i="8"/>
  <c r="GR88" i="8"/>
  <c r="GR87" i="8"/>
  <c r="GR86" i="8"/>
  <c r="GR85" i="8"/>
  <c r="GR84" i="8"/>
  <c r="GR83" i="8"/>
  <c r="GR82" i="8"/>
  <c r="GR81" i="8"/>
  <c r="GR80" i="8"/>
  <c r="GR79" i="8"/>
  <c r="GR78" i="8"/>
  <c r="GR77" i="8"/>
  <c r="GR76" i="8"/>
  <c r="GR75" i="8"/>
  <c r="GR74" i="8"/>
  <c r="GR73" i="8"/>
  <c r="GR72" i="8"/>
  <c r="GR71" i="8"/>
  <c r="GR70" i="8"/>
  <c r="GR69" i="8"/>
  <c r="GR68" i="8"/>
  <c r="GR67" i="8"/>
  <c r="GR66" i="8"/>
  <c r="GR65" i="8"/>
  <c r="GR64" i="8"/>
  <c r="GR63" i="8"/>
  <c r="GR62" i="8"/>
  <c r="GR61" i="8"/>
  <c r="GR60" i="8"/>
  <c r="GR59" i="8"/>
  <c r="GR58" i="8"/>
  <c r="GR57" i="8"/>
  <c r="GR56" i="8"/>
  <c r="GR55" i="8"/>
  <c r="GR54" i="8"/>
  <c r="GR53" i="8"/>
  <c r="GR52" i="8"/>
  <c r="GR51" i="8"/>
  <c r="GR50" i="8"/>
  <c r="GR49" i="8"/>
  <c r="GR48" i="8"/>
  <c r="GR47" i="8"/>
  <c r="GR46" i="8"/>
  <c r="GR45" i="8"/>
  <c r="GR44" i="8"/>
  <c r="GR43" i="8"/>
  <c r="GR42" i="8"/>
  <c r="GR41" i="8"/>
  <c r="GR40" i="8"/>
  <c r="GR39" i="8"/>
  <c r="GR38" i="8"/>
  <c r="GR37" i="8"/>
  <c r="GR36" i="8"/>
  <c r="GR35" i="8"/>
  <c r="GR34" i="8"/>
  <c r="GR33" i="8"/>
  <c r="GR32" i="8"/>
  <c r="GR31" i="8"/>
  <c r="GR30" i="8"/>
  <c r="GR29" i="8"/>
  <c r="GR28" i="8"/>
  <c r="GR27" i="8"/>
  <c r="GR26" i="8"/>
  <c r="GR25" i="8"/>
  <c r="GR24" i="8"/>
  <c r="GR23" i="8"/>
  <c r="GR22" i="8"/>
  <c r="GR21" i="8"/>
  <c r="GR20" i="8"/>
  <c r="GR19" i="8"/>
  <c r="GR18" i="8"/>
  <c r="GR17" i="8"/>
  <c r="GR16" i="8"/>
  <c r="GR15" i="8"/>
  <c r="GR14" i="8"/>
  <c r="GR13" i="8"/>
  <c r="GR12" i="8"/>
  <c r="GR11" i="8"/>
  <c r="GR10" i="8"/>
  <c r="GR9" i="8"/>
  <c r="GR8" i="8"/>
  <c r="GR7" i="8"/>
  <c r="GR6" i="8"/>
  <c r="GR5" i="8"/>
  <c r="GR4" i="8"/>
  <c r="GM393" i="8"/>
  <c r="GM392" i="8"/>
  <c r="GM391" i="8"/>
  <c r="GM390" i="8"/>
  <c r="GM389" i="8"/>
  <c r="GM388" i="8"/>
  <c r="GM387" i="8"/>
  <c r="GM386" i="8"/>
  <c r="GM385" i="8"/>
  <c r="GM384" i="8"/>
  <c r="GM383" i="8"/>
  <c r="GM382" i="8"/>
  <c r="GM381" i="8"/>
  <c r="GM380" i="8"/>
  <c r="GM379" i="8"/>
  <c r="GM378" i="8"/>
  <c r="GM377" i="8"/>
  <c r="GM376" i="8"/>
  <c r="GM375" i="8"/>
  <c r="GM374" i="8"/>
  <c r="GM373" i="8"/>
  <c r="GM372" i="8"/>
  <c r="GM371" i="8"/>
  <c r="GM370" i="8"/>
  <c r="GM369" i="8"/>
  <c r="GM368" i="8"/>
  <c r="GM367" i="8"/>
  <c r="GM366" i="8"/>
  <c r="GM365" i="8"/>
  <c r="GM364" i="8"/>
  <c r="GM363" i="8"/>
  <c r="GM362" i="8"/>
  <c r="GM361" i="8"/>
  <c r="GM360" i="8"/>
  <c r="GM359" i="8"/>
  <c r="GM358" i="8"/>
  <c r="GM357" i="8"/>
  <c r="GM356" i="8"/>
  <c r="GM355" i="8"/>
  <c r="GM354" i="8"/>
  <c r="GM353" i="8"/>
  <c r="GM352" i="8"/>
  <c r="GM351" i="8"/>
  <c r="GM350" i="8"/>
  <c r="GM349" i="8"/>
  <c r="GM348" i="8"/>
  <c r="GM347" i="8"/>
  <c r="GM346" i="8"/>
  <c r="GM345" i="8"/>
  <c r="GM344" i="8"/>
  <c r="GM343" i="8"/>
  <c r="GM342" i="8"/>
  <c r="GM341" i="8"/>
  <c r="GM340" i="8"/>
  <c r="GM339" i="8"/>
  <c r="GM338" i="8"/>
  <c r="GM337" i="8"/>
  <c r="GM336" i="8"/>
  <c r="GM335" i="8"/>
  <c r="GM334" i="8"/>
  <c r="GM333" i="8"/>
  <c r="GM332" i="8"/>
  <c r="GM331" i="8"/>
  <c r="GM330" i="8"/>
  <c r="GM329" i="8"/>
  <c r="GM328" i="8"/>
  <c r="GM327" i="8"/>
  <c r="GM326" i="8"/>
  <c r="GM325" i="8"/>
  <c r="GM324" i="8"/>
  <c r="GM323" i="8"/>
  <c r="GM322" i="8"/>
  <c r="GM321" i="8"/>
  <c r="GM320" i="8"/>
  <c r="GM319" i="8"/>
  <c r="GM318" i="8"/>
  <c r="GM317" i="8"/>
  <c r="GM316" i="8"/>
  <c r="GM315" i="8"/>
  <c r="GM314" i="8"/>
  <c r="GM313" i="8"/>
  <c r="GM312" i="8"/>
  <c r="GM311" i="8"/>
  <c r="GM310" i="8"/>
  <c r="GM309" i="8"/>
  <c r="GM308" i="8"/>
  <c r="GM307" i="8"/>
  <c r="GM306" i="8"/>
  <c r="GM305" i="8"/>
  <c r="GM304" i="8"/>
  <c r="GM303" i="8"/>
  <c r="GM302" i="8"/>
  <c r="GM301" i="8"/>
  <c r="GM300" i="8"/>
  <c r="GM299" i="8"/>
  <c r="GM298" i="8"/>
  <c r="GM297" i="8"/>
  <c r="GM296" i="8"/>
  <c r="GM295" i="8"/>
  <c r="GM294" i="8"/>
  <c r="GM293" i="8"/>
  <c r="GM292" i="8"/>
  <c r="GM291" i="8"/>
  <c r="GM290" i="8"/>
  <c r="GM289" i="8"/>
  <c r="GM288" i="8"/>
  <c r="GM287" i="8"/>
  <c r="GM286" i="8"/>
  <c r="GM285" i="8"/>
  <c r="GM284" i="8"/>
  <c r="GM283" i="8"/>
  <c r="GM282" i="8"/>
  <c r="GM281" i="8"/>
  <c r="GM280" i="8"/>
  <c r="GM279" i="8"/>
  <c r="GM278" i="8"/>
  <c r="GM277" i="8"/>
  <c r="GM276" i="8"/>
  <c r="GM275" i="8"/>
  <c r="GM274" i="8"/>
  <c r="GM273" i="8"/>
  <c r="GM272" i="8"/>
  <c r="GM271" i="8"/>
  <c r="GM270" i="8"/>
  <c r="GM269" i="8"/>
  <c r="GM268" i="8"/>
  <c r="GM267" i="8"/>
  <c r="GM266" i="8"/>
  <c r="GM265" i="8"/>
  <c r="GM264" i="8"/>
  <c r="GM263" i="8"/>
  <c r="GM262" i="8"/>
  <c r="GM261" i="8"/>
  <c r="GM260" i="8"/>
  <c r="GM259" i="8"/>
  <c r="GM258" i="8"/>
  <c r="GM257" i="8"/>
  <c r="GM256" i="8"/>
  <c r="GM255" i="8"/>
  <c r="GM254" i="8"/>
  <c r="GM253" i="8"/>
  <c r="GM252" i="8"/>
  <c r="GM251" i="8"/>
  <c r="GM250" i="8"/>
  <c r="GM249" i="8"/>
  <c r="GM248" i="8"/>
  <c r="GM247" i="8"/>
  <c r="GM246" i="8"/>
  <c r="GM245" i="8"/>
  <c r="GM244" i="8"/>
  <c r="GM243" i="8"/>
  <c r="GM242" i="8"/>
  <c r="GM241" i="8"/>
  <c r="GM240" i="8"/>
  <c r="GM239" i="8"/>
  <c r="GM238" i="8"/>
  <c r="GM237" i="8"/>
  <c r="GM236" i="8"/>
  <c r="GM235" i="8"/>
  <c r="GM234" i="8"/>
  <c r="GM233" i="8"/>
  <c r="GM232" i="8"/>
  <c r="GM231" i="8"/>
  <c r="GM230" i="8"/>
  <c r="GM229" i="8"/>
  <c r="GM228" i="8"/>
  <c r="GM227" i="8"/>
  <c r="GM226" i="8"/>
  <c r="GM225" i="8"/>
  <c r="GM224" i="8"/>
  <c r="GM223" i="8"/>
  <c r="GM222" i="8"/>
  <c r="GM221" i="8"/>
  <c r="GM220" i="8"/>
  <c r="GM219" i="8"/>
  <c r="GM218" i="8"/>
  <c r="GM217" i="8"/>
  <c r="GM216" i="8"/>
  <c r="GM215" i="8"/>
  <c r="GM214" i="8"/>
  <c r="GM213" i="8"/>
  <c r="GM212" i="8"/>
  <c r="GM211" i="8"/>
  <c r="GM210" i="8"/>
  <c r="GM209" i="8"/>
  <c r="GM208" i="8"/>
  <c r="GM207" i="8"/>
  <c r="GM206" i="8"/>
  <c r="GM205" i="8"/>
  <c r="GM204" i="8"/>
  <c r="GM203" i="8"/>
  <c r="GM202" i="8"/>
  <c r="GM201" i="8"/>
  <c r="GM200" i="8"/>
  <c r="GM199" i="8"/>
  <c r="GM198" i="8"/>
  <c r="GM197" i="8"/>
  <c r="GM196" i="8"/>
  <c r="GM195" i="8"/>
  <c r="GM194" i="8"/>
  <c r="GM193" i="8"/>
  <c r="GM192" i="8"/>
  <c r="GM191" i="8"/>
  <c r="GM190" i="8"/>
  <c r="GM189" i="8"/>
  <c r="GM188" i="8"/>
  <c r="GM187" i="8"/>
  <c r="GM186" i="8"/>
  <c r="GM185" i="8"/>
  <c r="GM184" i="8"/>
  <c r="GM183" i="8"/>
  <c r="GM182" i="8"/>
  <c r="GM181" i="8"/>
  <c r="GM180" i="8"/>
  <c r="GM179" i="8"/>
  <c r="GM178" i="8"/>
  <c r="GM177" i="8"/>
  <c r="GM176" i="8"/>
  <c r="GM175" i="8"/>
  <c r="GM174" i="8"/>
  <c r="GM173" i="8"/>
  <c r="GM172" i="8"/>
  <c r="GM171" i="8"/>
  <c r="GM170" i="8"/>
  <c r="GM169" i="8"/>
  <c r="GM168" i="8"/>
  <c r="GM167" i="8"/>
  <c r="GM166" i="8"/>
  <c r="GM165" i="8"/>
  <c r="GM164" i="8"/>
  <c r="GM163" i="8"/>
  <c r="GM162" i="8"/>
  <c r="GM161" i="8"/>
  <c r="GM160" i="8"/>
  <c r="GM159" i="8"/>
  <c r="GM158" i="8"/>
  <c r="GM157" i="8"/>
  <c r="GM156" i="8"/>
  <c r="GM155" i="8"/>
  <c r="GM154" i="8"/>
  <c r="GM153" i="8"/>
  <c r="GM152" i="8"/>
  <c r="GM151" i="8"/>
  <c r="GM150" i="8"/>
  <c r="GM149" i="8"/>
  <c r="GM148" i="8"/>
  <c r="GM147" i="8"/>
  <c r="GM146" i="8"/>
  <c r="GM145" i="8"/>
  <c r="GM144" i="8"/>
  <c r="GM143" i="8"/>
  <c r="GM142" i="8"/>
  <c r="GM141" i="8"/>
  <c r="GM140" i="8"/>
  <c r="GM139" i="8"/>
  <c r="GM138" i="8"/>
  <c r="GM137" i="8"/>
  <c r="GM136" i="8"/>
  <c r="GM135" i="8"/>
  <c r="GM134" i="8"/>
  <c r="GM133" i="8"/>
  <c r="GM132" i="8"/>
  <c r="GM131" i="8"/>
  <c r="GM130" i="8"/>
  <c r="GM129" i="8"/>
  <c r="GM128" i="8"/>
  <c r="GM127" i="8"/>
  <c r="GM126" i="8"/>
  <c r="GM125" i="8"/>
  <c r="GM124" i="8"/>
  <c r="GM123" i="8"/>
  <c r="GM122" i="8"/>
  <c r="GM121" i="8"/>
  <c r="GM120" i="8"/>
  <c r="GM119" i="8"/>
  <c r="GM118" i="8"/>
  <c r="GM117" i="8"/>
  <c r="GM116" i="8"/>
  <c r="GM115" i="8"/>
  <c r="GM114" i="8"/>
  <c r="GM113" i="8"/>
  <c r="GM112" i="8"/>
  <c r="GM111" i="8"/>
  <c r="GM110" i="8"/>
  <c r="GM109" i="8"/>
  <c r="GM108" i="8"/>
  <c r="GM107" i="8"/>
  <c r="GM106" i="8"/>
  <c r="GM105" i="8"/>
  <c r="GM104" i="8"/>
  <c r="GM103" i="8"/>
  <c r="GM102" i="8"/>
  <c r="GM101" i="8"/>
  <c r="GM100" i="8"/>
  <c r="GM99" i="8"/>
  <c r="GM98" i="8"/>
  <c r="GM97" i="8"/>
  <c r="GM96" i="8"/>
  <c r="GM95" i="8"/>
  <c r="GM94" i="8"/>
  <c r="GM93" i="8"/>
  <c r="GM92" i="8"/>
  <c r="GM91" i="8"/>
  <c r="GM90" i="8"/>
  <c r="GM89" i="8"/>
  <c r="GM88" i="8"/>
  <c r="GM87" i="8"/>
  <c r="GM86" i="8"/>
  <c r="GM85" i="8"/>
  <c r="GM84" i="8"/>
  <c r="GM83" i="8"/>
  <c r="GM82" i="8"/>
  <c r="GM81" i="8"/>
  <c r="GM80" i="8"/>
  <c r="GM79" i="8"/>
  <c r="GM78" i="8"/>
  <c r="GM77" i="8"/>
  <c r="GM76" i="8"/>
  <c r="GM75" i="8"/>
  <c r="GM74" i="8"/>
  <c r="GM73" i="8"/>
  <c r="GM72" i="8"/>
  <c r="GM71" i="8"/>
  <c r="GM70" i="8"/>
  <c r="GM69" i="8"/>
  <c r="GM68" i="8"/>
  <c r="GM67" i="8"/>
  <c r="GM66" i="8"/>
  <c r="GM65" i="8"/>
  <c r="GM64" i="8"/>
  <c r="GM63" i="8"/>
  <c r="GM62" i="8"/>
  <c r="GM61" i="8"/>
  <c r="GM60" i="8"/>
  <c r="GM59" i="8"/>
  <c r="GM58" i="8"/>
  <c r="GM57" i="8"/>
  <c r="GM56" i="8"/>
  <c r="GM55" i="8"/>
  <c r="GM54" i="8"/>
  <c r="GM53" i="8"/>
  <c r="GM52" i="8"/>
  <c r="GM51" i="8"/>
  <c r="GM50" i="8"/>
  <c r="GM49" i="8"/>
  <c r="GM48" i="8"/>
  <c r="GM47" i="8"/>
  <c r="GM46" i="8"/>
  <c r="GM45" i="8"/>
  <c r="GM44" i="8"/>
  <c r="GM43" i="8"/>
  <c r="GM42" i="8"/>
  <c r="GM41" i="8"/>
  <c r="GM40" i="8"/>
  <c r="GM39" i="8"/>
  <c r="GM38" i="8"/>
  <c r="GM37" i="8"/>
  <c r="GM36" i="8"/>
  <c r="GM35" i="8"/>
  <c r="GM34" i="8"/>
  <c r="GM33" i="8"/>
  <c r="GM32" i="8"/>
  <c r="GM31" i="8"/>
  <c r="GM30" i="8"/>
  <c r="GM29" i="8"/>
  <c r="GM28" i="8"/>
  <c r="GM27" i="8"/>
  <c r="GM26" i="8"/>
  <c r="GM25" i="8"/>
  <c r="GM24" i="8"/>
  <c r="GM23" i="8"/>
  <c r="GM22" i="8"/>
  <c r="GM21" i="8"/>
  <c r="GM20" i="8"/>
  <c r="GM19" i="8"/>
  <c r="GM18" i="8"/>
  <c r="GM17" i="8"/>
  <c r="GM16" i="8"/>
  <c r="GM15" i="8"/>
  <c r="GM14" i="8"/>
  <c r="GM13" i="8"/>
  <c r="GM12" i="8"/>
  <c r="GM11" i="8"/>
  <c r="GM10" i="8"/>
  <c r="GM9" i="8"/>
  <c r="GM8" i="8"/>
  <c r="GM7" i="8"/>
  <c r="GM6" i="8"/>
  <c r="GM5" i="8"/>
  <c r="GM4" i="8"/>
  <c r="GH393" i="8"/>
  <c r="GH392" i="8"/>
  <c r="GH391" i="8"/>
  <c r="GH390" i="8"/>
  <c r="GH389" i="8"/>
  <c r="GH388" i="8"/>
  <c r="GH387" i="8"/>
  <c r="GH386" i="8"/>
  <c r="GH385" i="8"/>
  <c r="GH384" i="8"/>
  <c r="GH383" i="8"/>
  <c r="GH382" i="8"/>
  <c r="GH381" i="8"/>
  <c r="GH380" i="8"/>
  <c r="GH379" i="8"/>
  <c r="GH378" i="8"/>
  <c r="GH377" i="8"/>
  <c r="GH376" i="8"/>
  <c r="GH375" i="8"/>
  <c r="GH374" i="8"/>
  <c r="GH373" i="8"/>
  <c r="GH372" i="8"/>
  <c r="GH371" i="8"/>
  <c r="GH370" i="8"/>
  <c r="GH369" i="8"/>
  <c r="GH368" i="8"/>
  <c r="GH367" i="8"/>
  <c r="GH366" i="8"/>
  <c r="GH365" i="8"/>
  <c r="GH364" i="8"/>
  <c r="GH363" i="8"/>
  <c r="GH362" i="8"/>
  <c r="GH361" i="8"/>
  <c r="GH360" i="8"/>
  <c r="GH359" i="8"/>
  <c r="GH358" i="8"/>
  <c r="GH357" i="8"/>
  <c r="GH356" i="8"/>
  <c r="GH355" i="8"/>
  <c r="GH354" i="8"/>
  <c r="GH353" i="8"/>
  <c r="GH352" i="8"/>
  <c r="GH351" i="8"/>
  <c r="GH350" i="8"/>
  <c r="GH349" i="8"/>
  <c r="GH348" i="8"/>
  <c r="GH347" i="8"/>
  <c r="GH346" i="8"/>
  <c r="GH345" i="8"/>
  <c r="GH344" i="8"/>
  <c r="GH343" i="8"/>
  <c r="GH342" i="8"/>
  <c r="GH341" i="8"/>
  <c r="GH340" i="8"/>
  <c r="GH339" i="8"/>
  <c r="GH338" i="8"/>
  <c r="GH337" i="8"/>
  <c r="GH336" i="8"/>
  <c r="GH335" i="8"/>
  <c r="GH334" i="8"/>
  <c r="GH333" i="8"/>
  <c r="GH332" i="8"/>
  <c r="GH331" i="8"/>
  <c r="GH330" i="8"/>
  <c r="GH329" i="8"/>
  <c r="GH328" i="8"/>
  <c r="GH327" i="8"/>
  <c r="GH326" i="8"/>
  <c r="GH325" i="8"/>
  <c r="GH324" i="8"/>
  <c r="GH323" i="8"/>
  <c r="GH322" i="8"/>
  <c r="GH321" i="8"/>
  <c r="GH320" i="8"/>
  <c r="GH319" i="8"/>
  <c r="GH318" i="8"/>
  <c r="GH317" i="8"/>
  <c r="GH316" i="8"/>
  <c r="GH315" i="8"/>
  <c r="GH314" i="8"/>
  <c r="GH313" i="8"/>
  <c r="GH312" i="8"/>
  <c r="GH311" i="8"/>
  <c r="GH310" i="8"/>
  <c r="GH309" i="8"/>
  <c r="GH308" i="8"/>
  <c r="GH307" i="8"/>
  <c r="GH306" i="8"/>
  <c r="GH305" i="8"/>
  <c r="GH304" i="8"/>
  <c r="GH303" i="8"/>
  <c r="GH302" i="8"/>
  <c r="GH301" i="8"/>
  <c r="GH300" i="8"/>
  <c r="GH299" i="8"/>
  <c r="GH298" i="8"/>
  <c r="GH297" i="8"/>
  <c r="GH296" i="8"/>
  <c r="GH295" i="8"/>
  <c r="GH294" i="8"/>
  <c r="GH293" i="8"/>
  <c r="GH292" i="8"/>
  <c r="GH291" i="8"/>
  <c r="GH290" i="8"/>
  <c r="GH289" i="8"/>
  <c r="GH288" i="8"/>
  <c r="GH287" i="8"/>
  <c r="GH286" i="8"/>
  <c r="GH285" i="8"/>
  <c r="GH284" i="8"/>
  <c r="GH283" i="8"/>
  <c r="GH282" i="8"/>
  <c r="GH281" i="8"/>
  <c r="GH280" i="8"/>
  <c r="GH279" i="8"/>
  <c r="GH278" i="8"/>
  <c r="GH277" i="8"/>
  <c r="GH276" i="8"/>
  <c r="GH275" i="8"/>
  <c r="GH274" i="8"/>
  <c r="GH273" i="8"/>
  <c r="GH272" i="8"/>
  <c r="GH271" i="8"/>
  <c r="GH270" i="8"/>
  <c r="GH269" i="8"/>
  <c r="GH268" i="8"/>
  <c r="GH267" i="8"/>
  <c r="GH266" i="8"/>
  <c r="GH265" i="8"/>
  <c r="GH264" i="8"/>
  <c r="GH263" i="8"/>
  <c r="GH262" i="8"/>
  <c r="GH261" i="8"/>
  <c r="GH260" i="8"/>
  <c r="GH259" i="8"/>
  <c r="GH258" i="8"/>
  <c r="GH257" i="8"/>
  <c r="GH256" i="8"/>
  <c r="GH255" i="8"/>
  <c r="GH254" i="8"/>
  <c r="GH253" i="8"/>
  <c r="GH252" i="8"/>
  <c r="GH251" i="8"/>
  <c r="GH250" i="8"/>
  <c r="GH249" i="8"/>
  <c r="GH248" i="8"/>
  <c r="GH247" i="8"/>
  <c r="GH246" i="8"/>
  <c r="GH245" i="8"/>
  <c r="GH244" i="8"/>
  <c r="GH243" i="8"/>
  <c r="GH242" i="8"/>
  <c r="GH241" i="8"/>
  <c r="GH240" i="8"/>
  <c r="GH239" i="8"/>
  <c r="GH238" i="8"/>
  <c r="GH237" i="8"/>
  <c r="GH236" i="8"/>
  <c r="GH235" i="8"/>
  <c r="GH234" i="8"/>
  <c r="GH233" i="8"/>
  <c r="GH232" i="8"/>
  <c r="GH231" i="8"/>
  <c r="GH230" i="8"/>
  <c r="GH229" i="8"/>
  <c r="GH228" i="8"/>
  <c r="GH227" i="8"/>
  <c r="GH226" i="8"/>
  <c r="GH225" i="8"/>
  <c r="GH224" i="8"/>
  <c r="GH223" i="8"/>
  <c r="GH222" i="8"/>
  <c r="GH221" i="8"/>
  <c r="GH220" i="8"/>
  <c r="GH219" i="8"/>
  <c r="GH218" i="8"/>
  <c r="GH217" i="8"/>
  <c r="GH216" i="8"/>
  <c r="GH215" i="8"/>
  <c r="GH214" i="8"/>
  <c r="GH213" i="8"/>
  <c r="GH212" i="8"/>
  <c r="GH211" i="8"/>
  <c r="GH210" i="8"/>
  <c r="GH209" i="8"/>
  <c r="GH208" i="8"/>
  <c r="GH207" i="8"/>
  <c r="GH206" i="8"/>
  <c r="GH205" i="8"/>
  <c r="GH204" i="8"/>
  <c r="GH203" i="8"/>
  <c r="GH202" i="8"/>
  <c r="GH201" i="8"/>
  <c r="GH200" i="8"/>
  <c r="GH199" i="8"/>
  <c r="GH198" i="8"/>
  <c r="GH197" i="8"/>
  <c r="GH196" i="8"/>
  <c r="GH195" i="8"/>
  <c r="GH194" i="8"/>
  <c r="GH193" i="8"/>
  <c r="GH192" i="8"/>
  <c r="GH191" i="8"/>
  <c r="GH190" i="8"/>
  <c r="GH189" i="8"/>
  <c r="GH188" i="8"/>
  <c r="GH187" i="8"/>
  <c r="GH186" i="8"/>
  <c r="GH185" i="8"/>
  <c r="GH184" i="8"/>
  <c r="GH183" i="8"/>
  <c r="GH182" i="8"/>
  <c r="GH181" i="8"/>
  <c r="GH180" i="8"/>
  <c r="GH179" i="8"/>
  <c r="GH178" i="8"/>
  <c r="GH177" i="8"/>
  <c r="GH176" i="8"/>
  <c r="GH175" i="8"/>
  <c r="GH174" i="8"/>
  <c r="GH173" i="8"/>
  <c r="GH172" i="8"/>
  <c r="GH171" i="8"/>
  <c r="GH170" i="8"/>
  <c r="GH169" i="8"/>
  <c r="GH168" i="8"/>
  <c r="GH167" i="8"/>
  <c r="GH166" i="8"/>
  <c r="GH165" i="8"/>
  <c r="GH164" i="8"/>
  <c r="GH163" i="8"/>
  <c r="GH162" i="8"/>
  <c r="GH161" i="8"/>
  <c r="GH160" i="8"/>
  <c r="GH159" i="8"/>
  <c r="GH158" i="8"/>
  <c r="GH157" i="8"/>
  <c r="GH156" i="8"/>
  <c r="GH155" i="8"/>
  <c r="GH154" i="8"/>
  <c r="GH153" i="8"/>
  <c r="GH152" i="8"/>
  <c r="GH151" i="8"/>
  <c r="GH150" i="8"/>
  <c r="GH149" i="8"/>
  <c r="GH148" i="8"/>
  <c r="GH147" i="8"/>
  <c r="GH146" i="8"/>
  <c r="GH145" i="8"/>
  <c r="GH144" i="8"/>
  <c r="GH143" i="8"/>
  <c r="GH142" i="8"/>
  <c r="GH141" i="8"/>
  <c r="GH140" i="8"/>
  <c r="GH139" i="8"/>
  <c r="GH138" i="8"/>
  <c r="GH137" i="8"/>
  <c r="GH136" i="8"/>
  <c r="GH135" i="8"/>
  <c r="GH134" i="8"/>
  <c r="GH133" i="8"/>
  <c r="GH132" i="8"/>
  <c r="GH131" i="8"/>
  <c r="GH130" i="8"/>
  <c r="GH129" i="8"/>
  <c r="GH128" i="8"/>
  <c r="GH127" i="8"/>
  <c r="GH126" i="8"/>
  <c r="GH125" i="8"/>
  <c r="GH124" i="8"/>
  <c r="GH123" i="8"/>
  <c r="GH122" i="8"/>
  <c r="GH121" i="8"/>
  <c r="GH120" i="8"/>
  <c r="GH119" i="8"/>
  <c r="GH118" i="8"/>
  <c r="GH117" i="8"/>
  <c r="GH116" i="8"/>
  <c r="GH115" i="8"/>
  <c r="GH114" i="8"/>
  <c r="GH113" i="8"/>
  <c r="GH112" i="8"/>
  <c r="GH111" i="8"/>
  <c r="GH110" i="8"/>
  <c r="GH109" i="8"/>
  <c r="GH108" i="8"/>
  <c r="GH107" i="8"/>
  <c r="GH106" i="8"/>
  <c r="GH105" i="8"/>
  <c r="GH104" i="8"/>
  <c r="GH103" i="8"/>
  <c r="GH102" i="8"/>
  <c r="GH101" i="8"/>
  <c r="GH100" i="8"/>
  <c r="GH99" i="8"/>
  <c r="GH98" i="8"/>
  <c r="GH97" i="8"/>
  <c r="GH96" i="8"/>
  <c r="GH95" i="8"/>
  <c r="GH94" i="8"/>
  <c r="GH93" i="8"/>
  <c r="GH92" i="8"/>
  <c r="GH91" i="8"/>
  <c r="GH90" i="8"/>
  <c r="GH89" i="8"/>
  <c r="GH88" i="8"/>
  <c r="GH87" i="8"/>
  <c r="GH86" i="8"/>
  <c r="GH85" i="8"/>
  <c r="GH84" i="8"/>
  <c r="GH83" i="8"/>
  <c r="GH82" i="8"/>
  <c r="GH81" i="8"/>
  <c r="GH80" i="8"/>
  <c r="GH79" i="8"/>
  <c r="GH78" i="8"/>
  <c r="GH77" i="8"/>
  <c r="GH76" i="8"/>
  <c r="GH75" i="8"/>
  <c r="GH74" i="8"/>
  <c r="GH73" i="8"/>
  <c r="GH72" i="8"/>
  <c r="GH71" i="8"/>
  <c r="GH70" i="8"/>
  <c r="GH69" i="8"/>
  <c r="GH68" i="8"/>
  <c r="GH67" i="8"/>
  <c r="GH66" i="8"/>
  <c r="GH65" i="8"/>
  <c r="GH64" i="8"/>
  <c r="GH63" i="8"/>
  <c r="GH62" i="8"/>
  <c r="GH61" i="8"/>
  <c r="GH60" i="8"/>
  <c r="GH59" i="8"/>
  <c r="GH58" i="8"/>
  <c r="GH57" i="8"/>
  <c r="GH56" i="8"/>
  <c r="GH55" i="8"/>
  <c r="GH54" i="8"/>
  <c r="GH53" i="8"/>
  <c r="GH52" i="8"/>
  <c r="GH51" i="8"/>
  <c r="GH50" i="8"/>
  <c r="GH49" i="8"/>
  <c r="GH48" i="8"/>
  <c r="GH47" i="8"/>
  <c r="GH46" i="8"/>
  <c r="GH45" i="8"/>
  <c r="GH44" i="8"/>
  <c r="GH43" i="8"/>
  <c r="GH42" i="8"/>
  <c r="GH41" i="8"/>
  <c r="GH40" i="8"/>
  <c r="GH39" i="8"/>
  <c r="GH38" i="8"/>
  <c r="GH37" i="8"/>
  <c r="GH36" i="8"/>
  <c r="GH35" i="8"/>
  <c r="GH34" i="8"/>
  <c r="GH33" i="8"/>
  <c r="GH32" i="8"/>
  <c r="GH31" i="8"/>
  <c r="GH30" i="8"/>
  <c r="GH29" i="8"/>
  <c r="GH28" i="8"/>
  <c r="GH27" i="8"/>
  <c r="GH26" i="8"/>
  <c r="GH25" i="8"/>
  <c r="GH24" i="8"/>
  <c r="GH23" i="8"/>
  <c r="GH22" i="8"/>
  <c r="GH21" i="8"/>
  <c r="GH20" i="8"/>
  <c r="GH19" i="8"/>
  <c r="GH18" i="8"/>
  <c r="GH17" i="8"/>
  <c r="GH16" i="8"/>
  <c r="GH15" i="8"/>
  <c r="GH14" i="8"/>
  <c r="GH13" i="8"/>
  <c r="GH12" i="8"/>
  <c r="GH11" i="8"/>
  <c r="GH10" i="8"/>
  <c r="GH9" i="8"/>
  <c r="GH8" i="8"/>
  <c r="GH7" i="8"/>
  <c r="GH6" i="8"/>
  <c r="GH5" i="8"/>
  <c r="GH4" i="8"/>
  <c r="GC393" i="8"/>
  <c r="GC392" i="8"/>
  <c r="GC391" i="8"/>
  <c r="GC390" i="8"/>
  <c r="GC389" i="8"/>
  <c r="GC388" i="8"/>
  <c r="GC387" i="8"/>
  <c r="GC386" i="8"/>
  <c r="GC385" i="8"/>
  <c r="GC384" i="8"/>
  <c r="GC383" i="8"/>
  <c r="GC382" i="8"/>
  <c r="GC381" i="8"/>
  <c r="GC380" i="8"/>
  <c r="GC379" i="8"/>
  <c r="GC378" i="8"/>
  <c r="GC377" i="8"/>
  <c r="GC376" i="8"/>
  <c r="GC375" i="8"/>
  <c r="GC374" i="8"/>
  <c r="GC373" i="8"/>
  <c r="GC372" i="8"/>
  <c r="GC371" i="8"/>
  <c r="GC370" i="8"/>
  <c r="GC369" i="8"/>
  <c r="GC368" i="8"/>
  <c r="GC367" i="8"/>
  <c r="GC366" i="8"/>
  <c r="GC365" i="8"/>
  <c r="GC364" i="8"/>
  <c r="GC363" i="8"/>
  <c r="GC362" i="8"/>
  <c r="GC361" i="8"/>
  <c r="GC360" i="8"/>
  <c r="GC359" i="8"/>
  <c r="GC358" i="8"/>
  <c r="GC357" i="8"/>
  <c r="GC356" i="8"/>
  <c r="GC355" i="8"/>
  <c r="GC354" i="8"/>
  <c r="GC353" i="8"/>
  <c r="GC352" i="8"/>
  <c r="GC351" i="8"/>
  <c r="GC350" i="8"/>
  <c r="GC349" i="8"/>
  <c r="GC348" i="8"/>
  <c r="GC347" i="8"/>
  <c r="GC346" i="8"/>
  <c r="GC345" i="8"/>
  <c r="GC344" i="8"/>
  <c r="GC343" i="8"/>
  <c r="GC342" i="8"/>
  <c r="GC341" i="8"/>
  <c r="GC340" i="8"/>
  <c r="GC339" i="8"/>
  <c r="GC338" i="8"/>
  <c r="GC337" i="8"/>
  <c r="GC336" i="8"/>
  <c r="GC335" i="8"/>
  <c r="GC334" i="8"/>
  <c r="GC333" i="8"/>
  <c r="GC332" i="8"/>
  <c r="GC331" i="8"/>
  <c r="GC330" i="8"/>
  <c r="GC329" i="8"/>
  <c r="GC328" i="8"/>
  <c r="GC327" i="8"/>
  <c r="GC326" i="8"/>
  <c r="GC325" i="8"/>
  <c r="GC324" i="8"/>
  <c r="GC323" i="8"/>
  <c r="GC322" i="8"/>
  <c r="GC321" i="8"/>
  <c r="GC320" i="8"/>
  <c r="GC319" i="8"/>
  <c r="GC318" i="8"/>
  <c r="GC317" i="8"/>
  <c r="GC316" i="8"/>
  <c r="GC315" i="8"/>
  <c r="GC314" i="8"/>
  <c r="GC313" i="8"/>
  <c r="GC312" i="8"/>
  <c r="GC311" i="8"/>
  <c r="GC310" i="8"/>
  <c r="GC309" i="8"/>
  <c r="GC308" i="8"/>
  <c r="GC307" i="8"/>
  <c r="GC306" i="8"/>
  <c r="GC305" i="8"/>
  <c r="GC304" i="8"/>
  <c r="GC303" i="8"/>
  <c r="GC302" i="8"/>
  <c r="GC301" i="8"/>
  <c r="GC300" i="8"/>
  <c r="GC299" i="8"/>
  <c r="GC298" i="8"/>
  <c r="GC297" i="8"/>
  <c r="GC296" i="8"/>
  <c r="GC295" i="8"/>
  <c r="GC294" i="8"/>
  <c r="GC293" i="8"/>
  <c r="GC292" i="8"/>
  <c r="GC291" i="8"/>
  <c r="GC290" i="8"/>
  <c r="GC289" i="8"/>
  <c r="GC288" i="8"/>
  <c r="GC287" i="8"/>
  <c r="GC286" i="8"/>
  <c r="GC285" i="8"/>
  <c r="GC284" i="8"/>
  <c r="GC283" i="8"/>
  <c r="GC282" i="8"/>
  <c r="GC281" i="8"/>
  <c r="GC280" i="8"/>
  <c r="GC279" i="8"/>
  <c r="GC278" i="8"/>
  <c r="GC277" i="8"/>
  <c r="GC276" i="8"/>
  <c r="GC275" i="8"/>
  <c r="GC274" i="8"/>
  <c r="GC273" i="8"/>
  <c r="GC272" i="8"/>
  <c r="GC271" i="8"/>
  <c r="GC270" i="8"/>
  <c r="GC269" i="8"/>
  <c r="GC268" i="8"/>
  <c r="GC267" i="8"/>
  <c r="GC266" i="8"/>
  <c r="GC265" i="8"/>
  <c r="GC264" i="8"/>
  <c r="GC263" i="8"/>
  <c r="GC262" i="8"/>
  <c r="GC261" i="8"/>
  <c r="GC260" i="8"/>
  <c r="GC259" i="8"/>
  <c r="GC258" i="8"/>
  <c r="GC257" i="8"/>
  <c r="GC256" i="8"/>
  <c r="GC255" i="8"/>
  <c r="GC254" i="8"/>
  <c r="GC253" i="8"/>
  <c r="GC252" i="8"/>
  <c r="GC251" i="8"/>
  <c r="GC250" i="8"/>
  <c r="GC249" i="8"/>
  <c r="GC248" i="8"/>
  <c r="GC247" i="8"/>
  <c r="GC246" i="8"/>
  <c r="GC245" i="8"/>
  <c r="GC244" i="8"/>
  <c r="GC243" i="8"/>
  <c r="GC242" i="8"/>
  <c r="GC241" i="8"/>
  <c r="GC240" i="8"/>
  <c r="GC239" i="8"/>
  <c r="GC238" i="8"/>
  <c r="GC237" i="8"/>
  <c r="GC236" i="8"/>
  <c r="GC235" i="8"/>
  <c r="GC234" i="8"/>
  <c r="GC233" i="8"/>
  <c r="GC232" i="8"/>
  <c r="GC231" i="8"/>
  <c r="GC230" i="8"/>
  <c r="GC229" i="8"/>
  <c r="GC228" i="8"/>
  <c r="GC227" i="8"/>
  <c r="GC226" i="8"/>
  <c r="GC225" i="8"/>
  <c r="GC224" i="8"/>
  <c r="GC223" i="8"/>
  <c r="GC222" i="8"/>
  <c r="GC221" i="8"/>
  <c r="GC220" i="8"/>
  <c r="GC219" i="8"/>
  <c r="GC218" i="8"/>
  <c r="GC217" i="8"/>
  <c r="GC216" i="8"/>
  <c r="GC215" i="8"/>
  <c r="GC214" i="8"/>
  <c r="GC213" i="8"/>
  <c r="GC212" i="8"/>
  <c r="GC211" i="8"/>
  <c r="GC210" i="8"/>
  <c r="GC209" i="8"/>
  <c r="GC208" i="8"/>
  <c r="GC207" i="8"/>
  <c r="GC206" i="8"/>
  <c r="GC205" i="8"/>
  <c r="GC204" i="8"/>
  <c r="GC203" i="8"/>
  <c r="GC202" i="8"/>
  <c r="GC201" i="8"/>
  <c r="GC200" i="8"/>
  <c r="GC199" i="8"/>
  <c r="GC198" i="8"/>
  <c r="GC197" i="8"/>
  <c r="GC196" i="8"/>
  <c r="GC195" i="8"/>
  <c r="GC194" i="8"/>
  <c r="GC193" i="8"/>
  <c r="GC192" i="8"/>
  <c r="GC191" i="8"/>
  <c r="GC190" i="8"/>
  <c r="GC189" i="8"/>
  <c r="GC188" i="8"/>
  <c r="GC187" i="8"/>
  <c r="GC186" i="8"/>
  <c r="GC185" i="8"/>
  <c r="GC184" i="8"/>
  <c r="GC183" i="8"/>
  <c r="GC182" i="8"/>
  <c r="GC181" i="8"/>
  <c r="GC180" i="8"/>
  <c r="GC179" i="8"/>
  <c r="GC178" i="8"/>
  <c r="GC177" i="8"/>
  <c r="GC176" i="8"/>
  <c r="GC175" i="8"/>
  <c r="GC174" i="8"/>
  <c r="GC173" i="8"/>
  <c r="GC172" i="8"/>
  <c r="GC171" i="8"/>
  <c r="GC170" i="8"/>
  <c r="GC169" i="8"/>
  <c r="GC168" i="8"/>
  <c r="GC167" i="8"/>
  <c r="GC166" i="8"/>
  <c r="GC165" i="8"/>
  <c r="GC164" i="8"/>
  <c r="GC163" i="8"/>
  <c r="GC162" i="8"/>
  <c r="GC161" i="8"/>
  <c r="GC160" i="8"/>
  <c r="GC159" i="8"/>
  <c r="GC158" i="8"/>
  <c r="GC157" i="8"/>
  <c r="GC156" i="8"/>
  <c r="GC155" i="8"/>
  <c r="GC154" i="8"/>
  <c r="GC153" i="8"/>
  <c r="GC152" i="8"/>
  <c r="GC151" i="8"/>
  <c r="GC150" i="8"/>
  <c r="GC149" i="8"/>
  <c r="GC148" i="8"/>
  <c r="GC147" i="8"/>
  <c r="GC146" i="8"/>
  <c r="GC145" i="8"/>
  <c r="GC144" i="8"/>
  <c r="GC143" i="8"/>
  <c r="GC142" i="8"/>
  <c r="GC141" i="8"/>
  <c r="GC140" i="8"/>
  <c r="GC139" i="8"/>
  <c r="GC138" i="8"/>
  <c r="GC137" i="8"/>
  <c r="GC136" i="8"/>
  <c r="GC135" i="8"/>
  <c r="GC134" i="8"/>
  <c r="GC133" i="8"/>
  <c r="GC132" i="8"/>
  <c r="GC131" i="8"/>
  <c r="GC130" i="8"/>
  <c r="GC129" i="8"/>
  <c r="GC128" i="8"/>
  <c r="GC127" i="8"/>
  <c r="GC126" i="8"/>
  <c r="GC125" i="8"/>
  <c r="GC124" i="8"/>
  <c r="GC123" i="8"/>
  <c r="GC122" i="8"/>
  <c r="GC121" i="8"/>
  <c r="GC120" i="8"/>
  <c r="GC119" i="8"/>
  <c r="GC118" i="8"/>
  <c r="GC117" i="8"/>
  <c r="GC116" i="8"/>
  <c r="GC115" i="8"/>
  <c r="GC114" i="8"/>
  <c r="GC113" i="8"/>
  <c r="GC112" i="8"/>
  <c r="GC111" i="8"/>
  <c r="GC110" i="8"/>
  <c r="GC109" i="8"/>
  <c r="GC108" i="8"/>
  <c r="GC107" i="8"/>
  <c r="GC106" i="8"/>
  <c r="GC105" i="8"/>
  <c r="GC104" i="8"/>
  <c r="GC103" i="8"/>
  <c r="GC102" i="8"/>
  <c r="GC101" i="8"/>
  <c r="GC100" i="8"/>
  <c r="GC99" i="8"/>
  <c r="GC98" i="8"/>
  <c r="GC97" i="8"/>
  <c r="GC96" i="8"/>
  <c r="GC95" i="8"/>
  <c r="GC94" i="8"/>
  <c r="GC93" i="8"/>
  <c r="GC92" i="8"/>
  <c r="GC91" i="8"/>
  <c r="GC90" i="8"/>
  <c r="GC89" i="8"/>
  <c r="GC88" i="8"/>
  <c r="GC87" i="8"/>
  <c r="GC86" i="8"/>
  <c r="GC85" i="8"/>
  <c r="GC84" i="8"/>
  <c r="GC83" i="8"/>
  <c r="GC82" i="8"/>
  <c r="GC81" i="8"/>
  <c r="GC80" i="8"/>
  <c r="GC79" i="8"/>
  <c r="GC78" i="8"/>
  <c r="GC77" i="8"/>
  <c r="GC76" i="8"/>
  <c r="GC75" i="8"/>
  <c r="GC74" i="8"/>
  <c r="GC73" i="8"/>
  <c r="GC72" i="8"/>
  <c r="GC71" i="8"/>
  <c r="GC70" i="8"/>
  <c r="GC69" i="8"/>
  <c r="GC68" i="8"/>
  <c r="GC67" i="8"/>
  <c r="GC66" i="8"/>
  <c r="GC65" i="8"/>
  <c r="GC64" i="8"/>
  <c r="GC63" i="8"/>
  <c r="GC62" i="8"/>
  <c r="GC61" i="8"/>
  <c r="GC60" i="8"/>
  <c r="GC59" i="8"/>
  <c r="GC58" i="8"/>
  <c r="GC57" i="8"/>
  <c r="GC56" i="8"/>
  <c r="GC55" i="8"/>
  <c r="GC54" i="8"/>
  <c r="GC53" i="8"/>
  <c r="GC52" i="8"/>
  <c r="GC51" i="8"/>
  <c r="GC50" i="8"/>
  <c r="GC49" i="8"/>
  <c r="GC48" i="8"/>
  <c r="GC47" i="8"/>
  <c r="GC46" i="8"/>
  <c r="GC45" i="8"/>
  <c r="GC44" i="8"/>
  <c r="GC43" i="8"/>
  <c r="GC42" i="8"/>
  <c r="GC41" i="8"/>
  <c r="GC40" i="8"/>
  <c r="GC39" i="8"/>
  <c r="GC38" i="8"/>
  <c r="GC37" i="8"/>
  <c r="GC36" i="8"/>
  <c r="GC35" i="8"/>
  <c r="GC34" i="8"/>
  <c r="GC33" i="8"/>
  <c r="GC32" i="8"/>
  <c r="GC31" i="8"/>
  <c r="GC30" i="8"/>
  <c r="GC29" i="8"/>
  <c r="GC28" i="8"/>
  <c r="GC27" i="8"/>
  <c r="GC26" i="8"/>
  <c r="GC25" i="8"/>
  <c r="GC24" i="8"/>
  <c r="GC23" i="8"/>
  <c r="GC22" i="8"/>
  <c r="GC21" i="8"/>
  <c r="GC20" i="8"/>
  <c r="GC19" i="8"/>
  <c r="GC18" i="8"/>
  <c r="GC17" i="8"/>
  <c r="GC16" i="8"/>
  <c r="GC15" i="8"/>
  <c r="GC14" i="8"/>
  <c r="GC13" i="8"/>
  <c r="GC12" i="8"/>
  <c r="GC11" i="8"/>
  <c r="GC10" i="8"/>
  <c r="GC9" i="8"/>
  <c r="GC8" i="8"/>
  <c r="GC7" i="8"/>
  <c r="GC6" i="8"/>
  <c r="GC5" i="8"/>
  <c r="GC4" i="8"/>
  <c r="FX393" i="8"/>
  <c r="FX392" i="8"/>
  <c r="FX391" i="8"/>
  <c r="FX390" i="8"/>
  <c r="FX389" i="8"/>
  <c r="FX388" i="8"/>
  <c r="FX387" i="8"/>
  <c r="FX386" i="8"/>
  <c r="FX385" i="8"/>
  <c r="FX384" i="8"/>
  <c r="FX383" i="8"/>
  <c r="FX382" i="8"/>
  <c r="FX381" i="8"/>
  <c r="FX380" i="8"/>
  <c r="FX379" i="8"/>
  <c r="FX378" i="8"/>
  <c r="FX377" i="8"/>
  <c r="FX376" i="8"/>
  <c r="FX375" i="8"/>
  <c r="FX374" i="8"/>
  <c r="FX373" i="8"/>
  <c r="FX372" i="8"/>
  <c r="FX371" i="8"/>
  <c r="FX370" i="8"/>
  <c r="FX369" i="8"/>
  <c r="FX368" i="8"/>
  <c r="FX367" i="8"/>
  <c r="FX366" i="8"/>
  <c r="FX365" i="8"/>
  <c r="FX364" i="8"/>
  <c r="FX363" i="8"/>
  <c r="FX362" i="8"/>
  <c r="FX361" i="8"/>
  <c r="FX360" i="8"/>
  <c r="FX359" i="8"/>
  <c r="FX358" i="8"/>
  <c r="FX357" i="8"/>
  <c r="FX356" i="8"/>
  <c r="FX355" i="8"/>
  <c r="FX354" i="8"/>
  <c r="FX353" i="8"/>
  <c r="FX352" i="8"/>
  <c r="FX351" i="8"/>
  <c r="FX350" i="8"/>
  <c r="FX349" i="8"/>
  <c r="FX348" i="8"/>
  <c r="FX347" i="8"/>
  <c r="FX346" i="8"/>
  <c r="FX345" i="8"/>
  <c r="FX344" i="8"/>
  <c r="FX343" i="8"/>
  <c r="FX342" i="8"/>
  <c r="FX341" i="8"/>
  <c r="FX340" i="8"/>
  <c r="FX339" i="8"/>
  <c r="FX338" i="8"/>
  <c r="FX337" i="8"/>
  <c r="FX336" i="8"/>
  <c r="FX335" i="8"/>
  <c r="FX334" i="8"/>
  <c r="FX333" i="8"/>
  <c r="FX332" i="8"/>
  <c r="FX331" i="8"/>
  <c r="FX330" i="8"/>
  <c r="FX329" i="8"/>
  <c r="FX328" i="8"/>
  <c r="FX327" i="8"/>
  <c r="FX326" i="8"/>
  <c r="FX325" i="8"/>
  <c r="FX324" i="8"/>
  <c r="FX323" i="8"/>
  <c r="FX322" i="8"/>
  <c r="FX321" i="8"/>
  <c r="FX320" i="8"/>
  <c r="FX319" i="8"/>
  <c r="FX318" i="8"/>
  <c r="FX317" i="8"/>
  <c r="FX316" i="8"/>
  <c r="FX315" i="8"/>
  <c r="FX314" i="8"/>
  <c r="FX313" i="8"/>
  <c r="FX312" i="8"/>
  <c r="FX311" i="8"/>
  <c r="FX310" i="8"/>
  <c r="FX309" i="8"/>
  <c r="FX308" i="8"/>
  <c r="FX307" i="8"/>
  <c r="FX306" i="8"/>
  <c r="FX305" i="8"/>
  <c r="FX304" i="8"/>
  <c r="FX303" i="8"/>
  <c r="FX302" i="8"/>
  <c r="FX301" i="8"/>
  <c r="FX300" i="8"/>
  <c r="FX299" i="8"/>
  <c r="FX298" i="8"/>
  <c r="FX297" i="8"/>
  <c r="FX296" i="8"/>
  <c r="FX295" i="8"/>
  <c r="FX294" i="8"/>
  <c r="FX293" i="8"/>
  <c r="FX292" i="8"/>
  <c r="FX291" i="8"/>
  <c r="FX290" i="8"/>
  <c r="FX289" i="8"/>
  <c r="FX288" i="8"/>
  <c r="FX287" i="8"/>
  <c r="FX286" i="8"/>
  <c r="FX285" i="8"/>
  <c r="FX284" i="8"/>
  <c r="FX283" i="8"/>
  <c r="FX282" i="8"/>
  <c r="FX281" i="8"/>
  <c r="FX280" i="8"/>
  <c r="FX279" i="8"/>
  <c r="FX278" i="8"/>
  <c r="FX277" i="8"/>
  <c r="FX276" i="8"/>
  <c r="FX275" i="8"/>
  <c r="FX274" i="8"/>
  <c r="FX273" i="8"/>
  <c r="FX272" i="8"/>
  <c r="FX271" i="8"/>
  <c r="FX270" i="8"/>
  <c r="FX269" i="8"/>
  <c r="FX268" i="8"/>
  <c r="FX267" i="8"/>
  <c r="FX266" i="8"/>
  <c r="FX265" i="8"/>
  <c r="FX264" i="8"/>
  <c r="FX263" i="8"/>
  <c r="FX262" i="8"/>
  <c r="FX261" i="8"/>
  <c r="FX260" i="8"/>
  <c r="FX259" i="8"/>
  <c r="FX258" i="8"/>
  <c r="FX257" i="8"/>
  <c r="FX256" i="8"/>
  <c r="FX255" i="8"/>
  <c r="FX254" i="8"/>
  <c r="FX253" i="8"/>
  <c r="FX252" i="8"/>
  <c r="FX251" i="8"/>
  <c r="FX250" i="8"/>
  <c r="FX249" i="8"/>
  <c r="FX248" i="8"/>
  <c r="FX247" i="8"/>
  <c r="FX246" i="8"/>
  <c r="FX245" i="8"/>
  <c r="FX244" i="8"/>
  <c r="FX243" i="8"/>
  <c r="FX242" i="8"/>
  <c r="FX241" i="8"/>
  <c r="FX240" i="8"/>
  <c r="FX239" i="8"/>
  <c r="FX238" i="8"/>
  <c r="FX237" i="8"/>
  <c r="FX236" i="8"/>
  <c r="FX235" i="8"/>
  <c r="FX234" i="8"/>
  <c r="FX233" i="8"/>
  <c r="FX232" i="8"/>
  <c r="FX231" i="8"/>
  <c r="FX230" i="8"/>
  <c r="FX229" i="8"/>
  <c r="FX228" i="8"/>
  <c r="FX227" i="8"/>
  <c r="FX226" i="8"/>
  <c r="FX225" i="8"/>
  <c r="FX224" i="8"/>
  <c r="FX223" i="8"/>
  <c r="FX222" i="8"/>
  <c r="FX221" i="8"/>
  <c r="FX220" i="8"/>
  <c r="FX219" i="8"/>
  <c r="FX218" i="8"/>
  <c r="FX217" i="8"/>
  <c r="FX216" i="8"/>
  <c r="FX215" i="8"/>
  <c r="FX214" i="8"/>
  <c r="FX213" i="8"/>
  <c r="FX212" i="8"/>
  <c r="FX211" i="8"/>
  <c r="FX210" i="8"/>
  <c r="FX209" i="8"/>
  <c r="FX208" i="8"/>
  <c r="FX207" i="8"/>
  <c r="FX206" i="8"/>
  <c r="FX205" i="8"/>
  <c r="FX204" i="8"/>
  <c r="FX203" i="8"/>
  <c r="FX202" i="8"/>
  <c r="FX201" i="8"/>
  <c r="FX200" i="8"/>
  <c r="FX199" i="8"/>
  <c r="FX198" i="8"/>
  <c r="FX197" i="8"/>
  <c r="FX196" i="8"/>
  <c r="FX195" i="8"/>
  <c r="FX194" i="8"/>
  <c r="FX193" i="8"/>
  <c r="FX192" i="8"/>
  <c r="FX191" i="8"/>
  <c r="FX190" i="8"/>
  <c r="FX189" i="8"/>
  <c r="FX188" i="8"/>
  <c r="FX187" i="8"/>
  <c r="FX186" i="8"/>
  <c r="FX185" i="8"/>
  <c r="FX184" i="8"/>
  <c r="FX183" i="8"/>
  <c r="FX182" i="8"/>
  <c r="FX181" i="8"/>
  <c r="FX180" i="8"/>
  <c r="FX179" i="8"/>
  <c r="FX178" i="8"/>
  <c r="FX177" i="8"/>
  <c r="FX176" i="8"/>
  <c r="FX175" i="8"/>
  <c r="FX174" i="8"/>
  <c r="FX173" i="8"/>
  <c r="FX172" i="8"/>
  <c r="FX171" i="8"/>
  <c r="FX170" i="8"/>
  <c r="FX169" i="8"/>
  <c r="FX168" i="8"/>
  <c r="FX167" i="8"/>
  <c r="FX166" i="8"/>
  <c r="FX165" i="8"/>
  <c r="FX164" i="8"/>
  <c r="FX163" i="8"/>
  <c r="FX162" i="8"/>
  <c r="FX161" i="8"/>
  <c r="FX160" i="8"/>
  <c r="FX159" i="8"/>
  <c r="FX158" i="8"/>
  <c r="FX157" i="8"/>
  <c r="FX156" i="8"/>
  <c r="FX155" i="8"/>
  <c r="FX154" i="8"/>
  <c r="FX153" i="8"/>
  <c r="FX152" i="8"/>
  <c r="FX151" i="8"/>
  <c r="FX150" i="8"/>
  <c r="FX149" i="8"/>
  <c r="FX148" i="8"/>
  <c r="FX147" i="8"/>
  <c r="FX146" i="8"/>
  <c r="FX145" i="8"/>
  <c r="FX144" i="8"/>
  <c r="FX143" i="8"/>
  <c r="FX142" i="8"/>
  <c r="FX141" i="8"/>
  <c r="FX140" i="8"/>
  <c r="FX139" i="8"/>
  <c r="FX138" i="8"/>
  <c r="FX137" i="8"/>
  <c r="FX136" i="8"/>
  <c r="FX135" i="8"/>
  <c r="FX134" i="8"/>
  <c r="FX133" i="8"/>
  <c r="FX132" i="8"/>
  <c r="FX131" i="8"/>
  <c r="FX130" i="8"/>
  <c r="FX129" i="8"/>
  <c r="FX128" i="8"/>
  <c r="FX127" i="8"/>
  <c r="FX126" i="8"/>
  <c r="FX125" i="8"/>
  <c r="FX124" i="8"/>
  <c r="FX123" i="8"/>
  <c r="FX122" i="8"/>
  <c r="FX121" i="8"/>
  <c r="FX120" i="8"/>
  <c r="FX119" i="8"/>
  <c r="FX118" i="8"/>
  <c r="FX117" i="8"/>
  <c r="FX116" i="8"/>
  <c r="FX115" i="8"/>
  <c r="FX114" i="8"/>
  <c r="FX113" i="8"/>
  <c r="FX112" i="8"/>
  <c r="FX111" i="8"/>
  <c r="FX110" i="8"/>
  <c r="FX109" i="8"/>
  <c r="FX108" i="8"/>
  <c r="FX107" i="8"/>
  <c r="FX106" i="8"/>
  <c r="FX105" i="8"/>
  <c r="FX104" i="8"/>
  <c r="FX103" i="8"/>
  <c r="FX102" i="8"/>
  <c r="FX101" i="8"/>
  <c r="FX100" i="8"/>
  <c r="FX99" i="8"/>
  <c r="FX98" i="8"/>
  <c r="FX97" i="8"/>
  <c r="FX96" i="8"/>
  <c r="FX95" i="8"/>
  <c r="FX94" i="8"/>
  <c r="FX93" i="8"/>
  <c r="FX92" i="8"/>
  <c r="FX91" i="8"/>
  <c r="FX90" i="8"/>
  <c r="FX89" i="8"/>
  <c r="FX88" i="8"/>
  <c r="FX87" i="8"/>
  <c r="FX86" i="8"/>
  <c r="FX85" i="8"/>
  <c r="FX84" i="8"/>
  <c r="FX83" i="8"/>
  <c r="FX82" i="8"/>
  <c r="FX81" i="8"/>
  <c r="FX80" i="8"/>
  <c r="FX79" i="8"/>
  <c r="FX78" i="8"/>
  <c r="FX77" i="8"/>
  <c r="FX76" i="8"/>
  <c r="FX75" i="8"/>
  <c r="FX74" i="8"/>
  <c r="FX73" i="8"/>
  <c r="FX72" i="8"/>
  <c r="FX71" i="8"/>
  <c r="FX70" i="8"/>
  <c r="FX69" i="8"/>
  <c r="FX68" i="8"/>
  <c r="FX67" i="8"/>
  <c r="FX66" i="8"/>
  <c r="FX65" i="8"/>
  <c r="FX64" i="8"/>
  <c r="FX63" i="8"/>
  <c r="FX62" i="8"/>
  <c r="FX61" i="8"/>
  <c r="FX60" i="8"/>
  <c r="FX59" i="8"/>
  <c r="FX58" i="8"/>
  <c r="FX57" i="8"/>
  <c r="FX56" i="8"/>
  <c r="FX55" i="8"/>
  <c r="FX54" i="8"/>
  <c r="FX53" i="8"/>
  <c r="FX52" i="8"/>
  <c r="FX51" i="8"/>
  <c r="FX50" i="8"/>
  <c r="FX49" i="8"/>
  <c r="FX48" i="8"/>
  <c r="FX47" i="8"/>
  <c r="FX46" i="8"/>
  <c r="FX45" i="8"/>
  <c r="FX44" i="8"/>
  <c r="FX43" i="8"/>
  <c r="FX42" i="8"/>
  <c r="FX41" i="8"/>
  <c r="FX40" i="8"/>
  <c r="FX39" i="8"/>
  <c r="FX38" i="8"/>
  <c r="FX37" i="8"/>
  <c r="FX36" i="8"/>
  <c r="FX35" i="8"/>
  <c r="FX34" i="8"/>
  <c r="FX33" i="8"/>
  <c r="FX32" i="8"/>
  <c r="FX31" i="8"/>
  <c r="FX30" i="8"/>
  <c r="FX29" i="8"/>
  <c r="FX28" i="8"/>
  <c r="FX27" i="8"/>
  <c r="FX26" i="8"/>
  <c r="FX25" i="8"/>
  <c r="FX24" i="8"/>
  <c r="FX23" i="8"/>
  <c r="FX22" i="8"/>
  <c r="FX21" i="8"/>
  <c r="FX20" i="8"/>
  <c r="FX19" i="8"/>
  <c r="FX18" i="8"/>
  <c r="FX17" i="8"/>
  <c r="FX16" i="8"/>
  <c r="FX15" i="8"/>
  <c r="FX14" i="8"/>
  <c r="FX13" i="8"/>
  <c r="FX12" i="8"/>
  <c r="FX11" i="8"/>
  <c r="FX10" i="8"/>
  <c r="FX9" i="8"/>
  <c r="FX8" i="8"/>
  <c r="FX7" i="8"/>
  <c r="FX6" i="8"/>
  <c r="FX5" i="8"/>
  <c r="FX4" i="8"/>
  <c r="FS393" i="8"/>
  <c r="FS392" i="8"/>
  <c r="FS391" i="8"/>
  <c r="FS390" i="8"/>
  <c r="FS389" i="8"/>
  <c r="FS388" i="8"/>
  <c r="FS387" i="8"/>
  <c r="FS386" i="8"/>
  <c r="FS385" i="8"/>
  <c r="FS384" i="8"/>
  <c r="FS383" i="8"/>
  <c r="FS382" i="8"/>
  <c r="FS381" i="8"/>
  <c r="FS380" i="8"/>
  <c r="FS379" i="8"/>
  <c r="FS378" i="8"/>
  <c r="FS377" i="8"/>
  <c r="FS376" i="8"/>
  <c r="FS375" i="8"/>
  <c r="FS374" i="8"/>
  <c r="FS373" i="8"/>
  <c r="FS372" i="8"/>
  <c r="FS371" i="8"/>
  <c r="FS370" i="8"/>
  <c r="FS369" i="8"/>
  <c r="FS368" i="8"/>
  <c r="FS367" i="8"/>
  <c r="FS366" i="8"/>
  <c r="FS365" i="8"/>
  <c r="FS364" i="8"/>
  <c r="FS363" i="8"/>
  <c r="FS362" i="8"/>
  <c r="FS361" i="8"/>
  <c r="FS360" i="8"/>
  <c r="FS359" i="8"/>
  <c r="FS358" i="8"/>
  <c r="FS357" i="8"/>
  <c r="FS356" i="8"/>
  <c r="FS355" i="8"/>
  <c r="FS354" i="8"/>
  <c r="FS353" i="8"/>
  <c r="FS352" i="8"/>
  <c r="FS351" i="8"/>
  <c r="FS350" i="8"/>
  <c r="FS349" i="8"/>
  <c r="FS348" i="8"/>
  <c r="FS347" i="8"/>
  <c r="FS346" i="8"/>
  <c r="FS345" i="8"/>
  <c r="FS344" i="8"/>
  <c r="FS343" i="8"/>
  <c r="FS342" i="8"/>
  <c r="FS341" i="8"/>
  <c r="FS340" i="8"/>
  <c r="FS339" i="8"/>
  <c r="FS338" i="8"/>
  <c r="FS337" i="8"/>
  <c r="FS336" i="8"/>
  <c r="FS335" i="8"/>
  <c r="FS334" i="8"/>
  <c r="FS333" i="8"/>
  <c r="FS332" i="8"/>
  <c r="FS331" i="8"/>
  <c r="FS330" i="8"/>
  <c r="FS329" i="8"/>
  <c r="FS328" i="8"/>
  <c r="FS327" i="8"/>
  <c r="FS326" i="8"/>
  <c r="FS325" i="8"/>
  <c r="FS324" i="8"/>
  <c r="FS323" i="8"/>
  <c r="FS322" i="8"/>
  <c r="FS321" i="8"/>
  <c r="FS320" i="8"/>
  <c r="FS319" i="8"/>
  <c r="FS318" i="8"/>
  <c r="FS317" i="8"/>
  <c r="FS316" i="8"/>
  <c r="FS315" i="8"/>
  <c r="FS314" i="8"/>
  <c r="FS313" i="8"/>
  <c r="FS312" i="8"/>
  <c r="FS311" i="8"/>
  <c r="FS310" i="8"/>
  <c r="FS309" i="8"/>
  <c r="FS308" i="8"/>
  <c r="FS307" i="8"/>
  <c r="FS306" i="8"/>
  <c r="FS305" i="8"/>
  <c r="FS304" i="8"/>
  <c r="FS303" i="8"/>
  <c r="FS302" i="8"/>
  <c r="FS301" i="8"/>
  <c r="FS300" i="8"/>
  <c r="FS299" i="8"/>
  <c r="FS298" i="8"/>
  <c r="FS297" i="8"/>
  <c r="FS296" i="8"/>
  <c r="FS295" i="8"/>
  <c r="FS294" i="8"/>
  <c r="FS293" i="8"/>
  <c r="FS292" i="8"/>
  <c r="FS291" i="8"/>
  <c r="FS290" i="8"/>
  <c r="FS289" i="8"/>
  <c r="FS288" i="8"/>
  <c r="FS287" i="8"/>
  <c r="FS286" i="8"/>
  <c r="FS285" i="8"/>
  <c r="FS284" i="8"/>
  <c r="FS283" i="8"/>
  <c r="FS282" i="8"/>
  <c r="FS281" i="8"/>
  <c r="FS280" i="8"/>
  <c r="FS279" i="8"/>
  <c r="FS278" i="8"/>
  <c r="FS277" i="8"/>
  <c r="FS276" i="8"/>
  <c r="FS275" i="8"/>
  <c r="FS274" i="8"/>
  <c r="FS273" i="8"/>
  <c r="FS272" i="8"/>
  <c r="FS271" i="8"/>
  <c r="FS270" i="8"/>
  <c r="FS269" i="8"/>
  <c r="FS268" i="8"/>
  <c r="FS267" i="8"/>
  <c r="FS266" i="8"/>
  <c r="FS265" i="8"/>
  <c r="FS264" i="8"/>
  <c r="FS263" i="8"/>
  <c r="FS262" i="8"/>
  <c r="FS261" i="8"/>
  <c r="FS260" i="8"/>
  <c r="FS259" i="8"/>
  <c r="FS258" i="8"/>
  <c r="FS257" i="8"/>
  <c r="FS256" i="8"/>
  <c r="FS255" i="8"/>
  <c r="FS254" i="8"/>
  <c r="FS253" i="8"/>
  <c r="FS252" i="8"/>
  <c r="FS251" i="8"/>
  <c r="FS250" i="8"/>
  <c r="FS249" i="8"/>
  <c r="FS248" i="8"/>
  <c r="FS247" i="8"/>
  <c r="FS246" i="8"/>
  <c r="FS245" i="8"/>
  <c r="FS244" i="8"/>
  <c r="FS243" i="8"/>
  <c r="FS242" i="8"/>
  <c r="FS241" i="8"/>
  <c r="FS240" i="8"/>
  <c r="FS239" i="8"/>
  <c r="FS238" i="8"/>
  <c r="FS237" i="8"/>
  <c r="FS236" i="8"/>
  <c r="FS235" i="8"/>
  <c r="FS234" i="8"/>
  <c r="FS233" i="8"/>
  <c r="FS232" i="8"/>
  <c r="FS231" i="8"/>
  <c r="FS230" i="8"/>
  <c r="FS229" i="8"/>
  <c r="FS228" i="8"/>
  <c r="FS227" i="8"/>
  <c r="FS226" i="8"/>
  <c r="FS225" i="8"/>
  <c r="FS224" i="8"/>
  <c r="FS223" i="8"/>
  <c r="FS222" i="8"/>
  <c r="FS221" i="8"/>
  <c r="FS220" i="8"/>
  <c r="FS219" i="8"/>
  <c r="FS218" i="8"/>
  <c r="FS217" i="8"/>
  <c r="FS216" i="8"/>
  <c r="FS215" i="8"/>
  <c r="FS214" i="8"/>
  <c r="FS213" i="8"/>
  <c r="FS212" i="8"/>
  <c r="FS211" i="8"/>
  <c r="FS210" i="8"/>
  <c r="FS209" i="8"/>
  <c r="FS208" i="8"/>
  <c r="FS207" i="8"/>
  <c r="FS206" i="8"/>
  <c r="FS205" i="8"/>
  <c r="FS204" i="8"/>
  <c r="FS203" i="8"/>
  <c r="FS202" i="8"/>
  <c r="FS201" i="8"/>
  <c r="FS200" i="8"/>
  <c r="FS199" i="8"/>
  <c r="FS198" i="8"/>
  <c r="FS197" i="8"/>
  <c r="FS196" i="8"/>
  <c r="FS195" i="8"/>
  <c r="FS194" i="8"/>
  <c r="FS193" i="8"/>
  <c r="FS192" i="8"/>
  <c r="FS191" i="8"/>
  <c r="FS190" i="8"/>
  <c r="FS189" i="8"/>
  <c r="FS188" i="8"/>
  <c r="FS187" i="8"/>
  <c r="FS186" i="8"/>
  <c r="FS185" i="8"/>
  <c r="FS184" i="8"/>
  <c r="FS183" i="8"/>
  <c r="FS182" i="8"/>
  <c r="FS181" i="8"/>
  <c r="FS180" i="8"/>
  <c r="FS179" i="8"/>
  <c r="FS178" i="8"/>
  <c r="FS177" i="8"/>
  <c r="FS176" i="8"/>
  <c r="FS175" i="8"/>
  <c r="FS174" i="8"/>
  <c r="FS173" i="8"/>
  <c r="FS172" i="8"/>
  <c r="FS171" i="8"/>
  <c r="FS170" i="8"/>
  <c r="FS169" i="8"/>
  <c r="FS168" i="8"/>
  <c r="FS167" i="8"/>
  <c r="FS166" i="8"/>
  <c r="FS165" i="8"/>
  <c r="FS164" i="8"/>
  <c r="FS163" i="8"/>
  <c r="FS162" i="8"/>
  <c r="FS161" i="8"/>
  <c r="FS160" i="8"/>
  <c r="FS159" i="8"/>
  <c r="FS158" i="8"/>
  <c r="FS157" i="8"/>
  <c r="FS156" i="8"/>
  <c r="FS155" i="8"/>
  <c r="FS154" i="8"/>
  <c r="FS153" i="8"/>
  <c r="FS152" i="8"/>
  <c r="FS151" i="8"/>
  <c r="FS150" i="8"/>
  <c r="FS149" i="8"/>
  <c r="FS148" i="8"/>
  <c r="FS147" i="8"/>
  <c r="FS146" i="8"/>
  <c r="FS145" i="8"/>
  <c r="FS144" i="8"/>
  <c r="FS143" i="8"/>
  <c r="FS142" i="8"/>
  <c r="FS141" i="8"/>
  <c r="FS140" i="8"/>
  <c r="FS139" i="8"/>
  <c r="FS138" i="8"/>
  <c r="FS137" i="8"/>
  <c r="FS136" i="8"/>
  <c r="FS135" i="8"/>
  <c r="FS134" i="8"/>
  <c r="FS133" i="8"/>
  <c r="FS132" i="8"/>
  <c r="FS131" i="8"/>
  <c r="FS130" i="8"/>
  <c r="FS129" i="8"/>
  <c r="FS128" i="8"/>
  <c r="FS127" i="8"/>
  <c r="FS126" i="8"/>
  <c r="FS125" i="8"/>
  <c r="FS124" i="8"/>
  <c r="FS123" i="8"/>
  <c r="FS122" i="8"/>
  <c r="FS121" i="8"/>
  <c r="FS120" i="8"/>
  <c r="FS119" i="8"/>
  <c r="FS118" i="8"/>
  <c r="FS117" i="8"/>
  <c r="FS116" i="8"/>
  <c r="FS115" i="8"/>
  <c r="FS114" i="8"/>
  <c r="FS113" i="8"/>
  <c r="FS112" i="8"/>
  <c r="FS111" i="8"/>
  <c r="FS110" i="8"/>
  <c r="FS109" i="8"/>
  <c r="FS108" i="8"/>
  <c r="FS107" i="8"/>
  <c r="FS106" i="8"/>
  <c r="FS105" i="8"/>
  <c r="FS104" i="8"/>
  <c r="FS103" i="8"/>
  <c r="FS102" i="8"/>
  <c r="FS101" i="8"/>
  <c r="FS100" i="8"/>
  <c r="FS99" i="8"/>
  <c r="FS98" i="8"/>
  <c r="FS97" i="8"/>
  <c r="FS96" i="8"/>
  <c r="FS95" i="8"/>
  <c r="FS94" i="8"/>
  <c r="FS93" i="8"/>
  <c r="FS92" i="8"/>
  <c r="FS91" i="8"/>
  <c r="FS90" i="8"/>
  <c r="FS89" i="8"/>
  <c r="FS88" i="8"/>
  <c r="FS87" i="8"/>
  <c r="FS86" i="8"/>
  <c r="FS85" i="8"/>
  <c r="FS84" i="8"/>
  <c r="FS83" i="8"/>
  <c r="FS82" i="8"/>
  <c r="FS81" i="8"/>
  <c r="FS80" i="8"/>
  <c r="FS79" i="8"/>
  <c r="FS78" i="8"/>
  <c r="FS77" i="8"/>
  <c r="FS76" i="8"/>
  <c r="FS75" i="8"/>
  <c r="FS74" i="8"/>
  <c r="FS73" i="8"/>
  <c r="FS72" i="8"/>
  <c r="FS71" i="8"/>
  <c r="FS70" i="8"/>
  <c r="FS69" i="8"/>
  <c r="FS68" i="8"/>
  <c r="FS67" i="8"/>
  <c r="FS66" i="8"/>
  <c r="FS65" i="8"/>
  <c r="FS64" i="8"/>
  <c r="FS63" i="8"/>
  <c r="FS62" i="8"/>
  <c r="FS61" i="8"/>
  <c r="FS60" i="8"/>
  <c r="FS59" i="8"/>
  <c r="FS58" i="8"/>
  <c r="FS57" i="8"/>
  <c r="FS56" i="8"/>
  <c r="FS55" i="8"/>
  <c r="FS54" i="8"/>
  <c r="FS53" i="8"/>
  <c r="FS52" i="8"/>
  <c r="FS51" i="8"/>
  <c r="FS50" i="8"/>
  <c r="FS49" i="8"/>
  <c r="FS48" i="8"/>
  <c r="FS47" i="8"/>
  <c r="FS46" i="8"/>
  <c r="FS45" i="8"/>
  <c r="FS44" i="8"/>
  <c r="FS43" i="8"/>
  <c r="FS42" i="8"/>
  <c r="FS41" i="8"/>
  <c r="FS40" i="8"/>
  <c r="FS39" i="8"/>
  <c r="FS38" i="8"/>
  <c r="FS37" i="8"/>
  <c r="FS36" i="8"/>
  <c r="FS35" i="8"/>
  <c r="FS34" i="8"/>
  <c r="FS33" i="8"/>
  <c r="FS32" i="8"/>
  <c r="FS31" i="8"/>
  <c r="FS30" i="8"/>
  <c r="FS29" i="8"/>
  <c r="FS28" i="8"/>
  <c r="FS27" i="8"/>
  <c r="FS26" i="8"/>
  <c r="FS25" i="8"/>
  <c r="FS24" i="8"/>
  <c r="FS23" i="8"/>
  <c r="FS22" i="8"/>
  <c r="FS21" i="8"/>
  <c r="FS20" i="8"/>
  <c r="FS19" i="8"/>
  <c r="FS18" i="8"/>
  <c r="FS17" i="8"/>
  <c r="FS16" i="8"/>
  <c r="FS15" i="8"/>
  <c r="FS14" i="8"/>
  <c r="FS13" i="8"/>
  <c r="FS12" i="8"/>
  <c r="FS11" i="8"/>
  <c r="FS10" i="8"/>
  <c r="FS9" i="8"/>
  <c r="FS8" i="8"/>
  <c r="FS7" i="8"/>
  <c r="FS6" i="8"/>
  <c r="FS5" i="8"/>
  <c r="FS4" i="8"/>
  <c r="FN393" i="8"/>
  <c r="FN392" i="8"/>
  <c r="FN391" i="8"/>
  <c r="FN390" i="8"/>
  <c r="FN389" i="8"/>
  <c r="FN388" i="8"/>
  <c r="FN387" i="8"/>
  <c r="FN386" i="8"/>
  <c r="FN385" i="8"/>
  <c r="FN384" i="8"/>
  <c r="FN383" i="8"/>
  <c r="FN382" i="8"/>
  <c r="FN381" i="8"/>
  <c r="FN380" i="8"/>
  <c r="FN379" i="8"/>
  <c r="FN378" i="8"/>
  <c r="FN377" i="8"/>
  <c r="FN376" i="8"/>
  <c r="FN375" i="8"/>
  <c r="FN374" i="8"/>
  <c r="FN373" i="8"/>
  <c r="FN372" i="8"/>
  <c r="FN371" i="8"/>
  <c r="FN370" i="8"/>
  <c r="FN369" i="8"/>
  <c r="FN368" i="8"/>
  <c r="FN367" i="8"/>
  <c r="FN366" i="8"/>
  <c r="FN365" i="8"/>
  <c r="FN364" i="8"/>
  <c r="FN363" i="8"/>
  <c r="FN362" i="8"/>
  <c r="FN361" i="8"/>
  <c r="FN360" i="8"/>
  <c r="FN359" i="8"/>
  <c r="FN358" i="8"/>
  <c r="FN357" i="8"/>
  <c r="FN356" i="8"/>
  <c r="FN355" i="8"/>
  <c r="FN354" i="8"/>
  <c r="FN353" i="8"/>
  <c r="FN352" i="8"/>
  <c r="FN351" i="8"/>
  <c r="FN350" i="8"/>
  <c r="FN349" i="8"/>
  <c r="FN348" i="8"/>
  <c r="FN347" i="8"/>
  <c r="FN346" i="8"/>
  <c r="FN345" i="8"/>
  <c r="FN344" i="8"/>
  <c r="FN343" i="8"/>
  <c r="FN342" i="8"/>
  <c r="FN341" i="8"/>
  <c r="FN340" i="8"/>
  <c r="FN339" i="8"/>
  <c r="FN338" i="8"/>
  <c r="FN337" i="8"/>
  <c r="FN336" i="8"/>
  <c r="FN335" i="8"/>
  <c r="FN334" i="8"/>
  <c r="FN333" i="8"/>
  <c r="FN332" i="8"/>
  <c r="FN331" i="8"/>
  <c r="FN330" i="8"/>
  <c r="FN329" i="8"/>
  <c r="FN328" i="8"/>
  <c r="FN327" i="8"/>
  <c r="FN326" i="8"/>
  <c r="FN325" i="8"/>
  <c r="FN324" i="8"/>
  <c r="FN323" i="8"/>
  <c r="FN322" i="8"/>
  <c r="FN321" i="8"/>
  <c r="FN320" i="8"/>
  <c r="FN319" i="8"/>
  <c r="FN318" i="8"/>
  <c r="FN317" i="8"/>
  <c r="FN316" i="8"/>
  <c r="FN315" i="8"/>
  <c r="FN314" i="8"/>
  <c r="FN313" i="8"/>
  <c r="FN312" i="8"/>
  <c r="FN311" i="8"/>
  <c r="FN310" i="8"/>
  <c r="FN309" i="8"/>
  <c r="FN308" i="8"/>
  <c r="FN307" i="8"/>
  <c r="FN306" i="8"/>
  <c r="FN305" i="8"/>
  <c r="FN304" i="8"/>
  <c r="FN303" i="8"/>
  <c r="FN302" i="8"/>
  <c r="FN301" i="8"/>
  <c r="FN300" i="8"/>
  <c r="FN299" i="8"/>
  <c r="FN298" i="8"/>
  <c r="FN297" i="8"/>
  <c r="FN296" i="8"/>
  <c r="FN295" i="8"/>
  <c r="FN294" i="8"/>
  <c r="FN293" i="8"/>
  <c r="FN292" i="8"/>
  <c r="FN291" i="8"/>
  <c r="FN290" i="8"/>
  <c r="FN289" i="8"/>
  <c r="FN288" i="8"/>
  <c r="FN287" i="8"/>
  <c r="FN286" i="8"/>
  <c r="FN285" i="8"/>
  <c r="FN284" i="8"/>
  <c r="FN283" i="8"/>
  <c r="FN282" i="8"/>
  <c r="FN281" i="8"/>
  <c r="FN280" i="8"/>
  <c r="FN279" i="8"/>
  <c r="FN278" i="8"/>
  <c r="FN277" i="8"/>
  <c r="FN276" i="8"/>
  <c r="FN275" i="8"/>
  <c r="FN274" i="8"/>
  <c r="FN273" i="8"/>
  <c r="FN272" i="8"/>
  <c r="FN271" i="8"/>
  <c r="FN270" i="8"/>
  <c r="FN269" i="8"/>
  <c r="FN268" i="8"/>
  <c r="FN267" i="8"/>
  <c r="FN266" i="8"/>
  <c r="FN265" i="8"/>
  <c r="FN264" i="8"/>
  <c r="FN263" i="8"/>
  <c r="FN262" i="8"/>
  <c r="FN261" i="8"/>
  <c r="FN260" i="8"/>
  <c r="FN259" i="8"/>
  <c r="FN258" i="8"/>
  <c r="FN257" i="8"/>
  <c r="FN256" i="8"/>
  <c r="FN255" i="8"/>
  <c r="FN254" i="8"/>
  <c r="FN253" i="8"/>
  <c r="FN252" i="8"/>
  <c r="FN251" i="8"/>
  <c r="FN250" i="8"/>
  <c r="FN249" i="8"/>
  <c r="FN248" i="8"/>
  <c r="FN247" i="8"/>
  <c r="FN246" i="8"/>
  <c r="FN245" i="8"/>
  <c r="FN244" i="8"/>
  <c r="FN243" i="8"/>
  <c r="FN242" i="8"/>
  <c r="FN241" i="8"/>
  <c r="FN240" i="8"/>
  <c r="FN239" i="8"/>
  <c r="FN238" i="8"/>
  <c r="FN237" i="8"/>
  <c r="FN236" i="8"/>
  <c r="FN235" i="8"/>
  <c r="FN234" i="8"/>
  <c r="FN233" i="8"/>
  <c r="FN232" i="8"/>
  <c r="FN231" i="8"/>
  <c r="FN230" i="8"/>
  <c r="FN229" i="8"/>
  <c r="FN228" i="8"/>
  <c r="FN227" i="8"/>
  <c r="FN226" i="8"/>
  <c r="FN225" i="8"/>
  <c r="FN224" i="8"/>
  <c r="FN223" i="8"/>
  <c r="FN222" i="8"/>
  <c r="FN221" i="8"/>
  <c r="FN220" i="8"/>
  <c r="FN219" i="8"/>
  <c r="FN218" i="8"/>
  <c r="FN217" i="8"/>
  <c r="FN216" i="8"/>
  <c r="FN215" i="8"/>
  <c r="FN214" i="8"/>
  <c r="FN213" i="8"/>
  <c r="FN212" i="8"/>
  <c r="FN211" i="8"/>
  <c r="FN210" i="8"/>
  <c r="FN209" i="8"/>
  <c r="FN208" i="8"/>
  <c r="FN207" i="8"/>
  <c r="FN206" i="8"/>
  <c r="FN205" i="8"/>
  <c r="FN204" i="8"/>
  <c r="FN203" i="8"/>
  <c r="FN202" i="8"/>
  <c r="FN201" i="8"/>
  <c r="FN200" i="8"/>
  <c r="FN199" i="8"/>
  <c r="FN198" i="8"/>
  <c r="FN197" i="8"/>
  <c r="FN196" i="8"/>
  <c r="FN195" i="8"/>
  <c r="FN194" i="8"/>
  <c r="FN193" i="8"/>
  <c r="FN192" i="8"/>
  <c r="FN191" i="8"/>
  <c r="FN190" i="8"/>
  <c r="FN189" i="8"/>
  <c r="FN188" i="8"/>
  <c r="FN187" i="8"/>
  <c r="FN186" i="8"/>
  <c r="FN185" i="8"/>
  <c r="FN184" i="8"/>
  <c r="FN183" i="8"/>
  <c r="FN182" i="8"/>
  <c r="FN181" i="8"/>
  <c r="FN180" i="8"/>
  <c r="FN179" i="8"/>
  <c r="FN178" i="8"/>
  <c r="FN177" i="8"/>
  <c r="FN176" i="8"/>
  <c r="FN175" i="8"/>
  <c r="FN174" i="8"/>
  <c r="FN173" i="8"/>
  <c r="FN172" i="8"/>
  <c r="FN171" i="8"/>
  <c r="FN170" i="8"/>
  <c r="FN169" i="8"/>
  <c r="FN168" i="8"/>
  <c r="FN167" i="8"/>
  <c r="FN166" i="8"/>
  <c r="FN165" i="8"/>
  <c r="FN164" i="8"/>
  <c r="FN163" i="8"/>
  <c r="FN162" i="8"/>
  <c r="FN161" i="8"/>
  <c r="FN160" i="8"/>
  <c r="FN159" i="8"/>
  <c r="FN158" i="8"/>
  <c r="FN157" i="8"/>
  <c r="FN156" i="8"/>
  <c r="FN155" i="8"/>
  <c r="FN154" i="8"/>
  <c r="FN153" i="8"/>
  <c r="FN152" i="8"/>
  <c r="FN151" i="8"/>
  <c r="FN150" i="8"/>
  <c r="FN149" i="8"/>
  <c r="FN148" i="8"/>
  <c r="FN147" i="8"/>
  <c r="FN146" i="8"/>
  <c r="FN145" i="8"/>
  <c r="FN144" i="8"/>
  <c r="FN143" i="8"/>
  <c r="FN142" i="8"/>
  <c r="FN141" i="8"/>
  <c r="FN140" i="8"/>
  <c r="FN139" i="8"/>
  <c r="FN138" i="8"/>
  <c r="FN137" i="8"/>
  <c r="FN136" i="8"/>
  <c r="FN135" i="8"/>
  <c r="FN134" i="8"/>
  <c r="FN133" i="8"/>
  <c r="FN132" i="8"/>
  <c r="FN131" i="8"/>
  <c r="FN130" i="8"/>
  <c r="FN129" i="8"/>
  <c r="FN128" i="8"/>
  <c r="FN127" i="8"/>
  <c r="FN126" i="8"/>
  <c r="FN125" i="8"/>
  <c r="FN124" i="8"/>
  <c r="FN123" i="8"/>
  <c r="FN122" i="8"/>
  <c r="FN121" i="8"/>
  <c r="FN120" i="8"/>
  <c r="FN119" i="8"/>
  <c r="FN118" i="8"/>
  <c r="FN117" i="8"/>
  <c r="FN116" i="8"/>
  <c r="FN115" i="8"/>
  <c r="FN114" i="8"/>
  <c r="FN113" i="8"/>
  <c r="FN112" i="8"/>
  <c r="FN111" i="8"/>
  <c r="FN110" i="8"/>
  <c r="FN109" i="8"/>
  <c r="FN108" i="8"/>
  <c r="FN107" i="8"/>
  <c r="FN106" i="8"/>
  <c r="FN105" i="8"/>
  <c r="FN104" i="8"/>
  <c r="FN103" i="8"/>
  <c r="FN102" i="8"/>
  <c r="FN101" i="8"/>
  <c r="FN100" i="8"/>
  <c r="FN99" i="8"/>
  <c r="FN98" i="8"/>
  <c r="FN97" i="8"/>
  <c r="FN96" i="8"/>
  <c r="FN95" i="8"/>
  <c r="FN94" i="8"/>
  <c r="FN93" i="8"/>
  <c r="FN92" i="8"/>
  <c r="FN91" i="8"/>
  <c r="FN90" i="8"/>
  <c r="FN89" i="8"/>
  <c r="FN88" i="8"/>
  <c r="FN87" i="8"/>
  <c r="FN86" i="8"/>
  <c r="FN85" i="8"/>
  <c r="FN84" i="8"/>
  <c r="FN83" i="8"/>
  <c r="FN82" i="8"/>
  <c r="FN81" i="8"/>
  <c r="FN80" i="8"/>
  <c r="FN79" i="8"/>
  <c r="FN78" i="8"/>
  <c r="FN77" i="8"/>
  <c r="FN76" i="8"/>
  <c r="FN75" i="8"/>
  <c r="FN74" i="8"/>
  <c r="FN73" i="8"/>
  <c r="FN72" i="8"/>
  <c r="FN71" i="8"/>
  <c r="FN70" i="8"/>
  <c r="FN69" i="8"/>
  <c r="FN68" i="8"/>
  <c r="FN67" i="8"/>
  <c r="FN66" i="8"/>
  <c r="FN65" i="8"/>
  <c r="FN64" i="8"/>
  <c r="FN63" i="8"/>
  <c r="FN62" i="8"/>
  <c r="FN61" i="8"/>
  <c r="FN60" i="8"/>
  <c r="FN59" i="8"/>
  <c r="FN58" i="8"/>
  <c r="FN57" i="8"/>
  <c r="FN56" i="8"/>
  <c r="FN55" i="8"/>
  <c r="FN54" i="8"/>
  <c r="FN53" i="8"/>
  <c r="FN52" i="8"/>
  <c r="FN51" i="8"/>
  <c r="FN50" i="8"/>
  <c r="FN49" i="8"/>
  <c r="FN48" i="8"/>
  <c r="FN47" i="8"/>
  <c r="FN46" i="8"/>
  <c r="FN45" i="8"/>
  <c r="FN44" i="8"/>
  <c r="FN43" i="8"/>
  <c r="FN42" i="8"/>
  <c r="FN41" i="8"/>
  <c r="FN40" i="8"/>
  <c r="FN39" i="8"/>
  <c r="FN38" i="8"/>
  <c r="FN37" i="8"/>
  <c r="FN36" i="8"/>
  <c r="FN35" i="8"/>
  <c r="FN34" i="8"/>
  <c r="FN33" i="8"/>
  <c r="FN32" i="8"/>
  <c r="FN31" i="8"/>
  <c r="FN30" i="8"/>
  <c r="FN29" i="8"/>
  <c r="FN28" i="8"/>
  <c r="FN27" i="8"/>
  <c r="FN26" i="8"/>
  <c r="FN25" i="8"/>
  <c r="FN24" i="8"/>
  <c r="FN23" i="8"/>
  <c r="FN22" i="8"/>
  <c r="FN21" i="8"/>
  <c r="FN20" i="8"/>
  <c r="FN19" i="8"/>
  <c r="FN18" i="8"/>
  <c r="FN17" i="8"/>
  <c r="FN16" i="8"/>
  <c r="FN15" i="8"/>
  <c r="FN14" i="8"/>
  <c r="FN13" i="8"/>
  <c r="FN12" i="8"/>
  <c r="FN11" i="8"/>
  <c r="FN10" i="8"/>
  <c r="FN9" i="8"/>
  <c r="FN8" i="8"/>
  <c r="FN7" i="8"/>
  <c r="FN6" i="8"/>
  <c r="FN5" i="8"/>
  <c r="FN4" i="8"/>
  <c r="FI393" i="8"/>
  <c r="FI392" i="8"/>
  <c r="FI391" i="8"/>
  <c r="FI390" i="8"/>
  <c r="FI389" i="8"/>
  <c r="FI388" i="8"/>
  <c r="FI387" i="8"/>
  <c r="FI386" i="8"/>
  <c r="FI385" i="8"/>
  <c r="FI384" i="8"/>
  <c r="FI383" i="8"/>
  <c r="FI382" i="8"/>
  <c r="FI381" i="8"/>
  <c r="FI380" i="8"/>
  <c r="FI379" i="8"/>
  <c r="FI378" i="8"/>
  <c r="FI377" i="8"/>
  <c r="FI376" i="8"/>
  <c r="FI375" i="8"/>
  <c r="FI374" i="8"/>
  <c r="FI373" i="8"/>
  <c r="FI372" i="8"/>
  <c r="FI371" i="8"/>
  <c r="FI370" i="8"/>
  <c r="FI369" i="8"/>
  <c r="FI368" i="8"/>
  <c r="FI367" i="8"/>
  <c r="FI366" i="8"/>
  <c r="FI365" i="8"/>
  <c r="FI364" i="8"/>
  <c r="FI363" i="8"/>
  <c r="FI362" i="8"/>
  <c r="FI361" i="8"/>
  <c r="FI360" i="8"/>
  <c r="FI359" i="8"/>
  <c r="FI358" i="8"/>
  <c r="FI357" i="8"/>
  <c r="FI356" i="8"/>
  <c r="FI355" i="8"/>
  <c r="FI354" i="8"/>
  <c r="FI353" i="8"/>
  <c r="FI352" i="8"/>
  <c r="FI351" i="8"/>
  <c r="FI350" i="8"/>
  <c r="FI349" i="8"/>
  <c r="FI348" i="8"/>
  <c r="FI347" i="8"/>
  <c r="FI346" i="8"/>
  <c r="FI345" i="8"/>
  <c r="FI344" i="8"/>
  <c r="FI343" i="8"/>
  <c r="FI342" i="8"/>
  <c r="FI341" i="8"/>
  <c r="FI340" i="8"/>
  <c r="FI339" i="8"/>
  <c r="FI338" i="8"/>
  <c r="FI337" i="8"/>
  <c r="FI336" i="8"/>
  <c r="FI335" i="8"/>
  <c r="FI334" i="8"/>
  <c r="FI333" i="8"/>
  <c r="FI332" i="8"/>
  <c r="FI331" i="8"/>
  <c r="FI330" i="8"/>
  <c r="FI329" i="8"/>
  <c r="FI328" i="8"/>
  <c r="FI327" i="8"/>
  <c r="FI326" i="8"/>
  <c r="FI325" i="8"/>
  <c r="FI324" i="8"/>
  <c r="FI323" i="8"/>
  <c r="FI322" i="8"/>
  <c r="FI321" i="8"/>
  <c r="FI320" i="8"/>
  <c r="FI319" i="8"/>
  <c r="FI318" i="8"/>
  <c r="FI317" i="8"/>
  <c r="FI316" i="8"/>
  <c r="FI315" i="8"/>
  <c r="FI314" i="8"/>
  <c r="FI313" i="8"/>
  <c r="FI312" i="8"/>
  <c r="FI311" i="8"/>
  <c r="FI310" i="8"/>
  <c r="FI309" i="8"/>
  <c r="FI308" i="8"/>
  <c r="FI307" i="8"/>
  <c r="FI306" i="8"/>
  <c r="FI305" i="8"/>
  <c r="FI304" i="8"/>
  <c r="FI303" i="8"/>
  <c r="FI302" i="8"/>
  <c r="FI301" i="8"/>
  <c r="FI300" i="8"/>
  <c r="FI299" i="8"/>
  <c r="FI298" i="8"/>
  <c r="FI297" i="8"/>
  <c r="FI296" i="8"/>
  <c r="FI295" i="8"/>
  <c r="FI294" i="8"/>
  <c r="FI293" i="8"/>
  <c r="FI292" i="8"/>
  <c r="FI291" i="8"/>
  <c r="FI290" i="8"/>
  <c r="FI289" i="8"/>
  <c r="FI288" i="8"/>
  <c r="FI287" i="8"/>
  <c r="FI286" i="8"/>
  <c r="FI285" i="8"/>
  <c r="FI284" i="8"/>
  <c r="FI283" i="8"/>
  <c r="FI282" i="8"/>
  <c r="FI281" i="8"/>
  <c r="FI280" i="8"/>
  <c r="FI279" i="8"/>
  <c r="FI278" i="8"/>
  <c r="FI277" i="8"/>
  <c r="FI276" i="8"/>
  <c r="FI275" i="8"/>
  <c r="FI274" i="8"/>
  <c r="FI273" i="8"/>
  <c r="FI272" i="8"/>
  <c r="FI271" i="8"/>
  <c r="FI270" i="8"/>
  <c r="FI269" i="8"/>
  <c r="FI268" i="8"/>
  <c r="FI267" i="8"/>
  <c r="FI266" i="8"/>
  <c r="FI265" i="8"/>
  <c r="FI264" i="8"/>
  <c r="FI263" i="8"/>
  <c r="FI262" i="8"/>
  <c r="FI261" i="8"/>
  <c r="FI260" i="8"/>
  <c r="FI259" i="8"/>
  <c r="FI258" i="8"/>
  <c r="FI257" i="8"/>
  <c r="FI256" i="8"/>
  <c r="FI255" i="8"/>
  <c r="FI254" i="8"/>
  <c r="FI253" i="8"/>
  <c r="FI252" i="8"/>
  <c r="FI251" i="8"/>
  <c r="FI250" i="8"/>
  <c r="FI249" i="8"/>
  <c r="FI248" i="8"/>
  <c r="FI247" i="8"/>
  <c r="FI246" i="8"/>
  <c r="FI245" i="8"/>
  <c r="FI244" i="8"/>
  <c r="FI243" i="8"/>
  <c r="FI242" i="8"/>
  <c r="FI241" i="8"/>
  <c r="FI240" i="8"/>
  <c r="FI239" i="8"/>
  <c r="FI238" i="8"/>
  <c r="FI237" i="8"/>
  <c r="FI236" i="8"/>
  <c r="FI235" i="8"/>
  <c r="FI234" i="8"/>
  <c r="FI233" i="8"/>
  <c r="FI232" i="8"/>
  <c r="FI231" i="8"/>
  <c r="FI230" i="8"/>
  <c r="FI229" i="8"/>
  <c r="FI228" i="8"/>
  <c r="FI227" i="8"/>
  <c r="FI226" i="8"/>
  <c r="FI225" i="8"/>
  <c r="FI224" i="8"/>
  <c r="FI223" i="8"/>
  <c r="FI222" i="8"/>
  <c r="FI221" i="8"/>
  <c r="FI220" i="8"/>
  <c r="FI219" i="8"/>
  <c r="FI218" i="8"/>
  <c r="FI217" i="8"/>
  <c r="FI216" i="8"/>
  <c r="FI215" i="8"/>
  <c r="FI214" i="8"/>
  <c r="FI213" i="8"/>
  <c r="FI212" i="8"/>
  <c r="FI211" i="8"/>
  <c r="FI210" i="8"/>
  <c r="FI209" i="8"/>
  <c r="FI208" i="8"/>
  <c r="FI207" i="8"/>
  <c r="FI206" i="8"/>
  <c r="FI205" i="8"/>
  <c r="FI204" i="8"/>
  <c r="FI203" i="8"/>
  <c r="FI202" i="8"/>
  <c r="FI201" i="8"/>
  <c r="FI200" i="8"/>
  <c r="FI199" i="8"/>
  <c r="FI198" i="8"/>
  <c r="FI197" i="8"/>
  <c r="FI196" i="8"/>
  <c r="FI195" i="8"/>
  <c r="FI194" i="8"/>
  <c r="FI193" i="8"/>
  <c r="FI192" i="8"/>
  <c r="FI191" i="8"/>
  <c r="FI190" i="8"/>
  <c r="FI189" i="8"/>
  <c r="FI188" i="8"/>
  <c r="FI187" i="8"/>
  <c r="FI186" i="8"/>
  <c r="FI185" i="8"/>
  <c r="FI184" i="8"/>
  <c r="FI183" i="8"/>
  <c r="FI182" i="8"/>
  <c r="FI181" i="8"/>
  <c r="FI180" i="8"/>
  <c r="FI179" i="8"/>
  <c r="FI178" i="8"/>
  <c r="FI177" i="8"/>
  <c r="FI176" i="8"/>
  <c r="FI175" i="8"/>
  <c r="FI174" i="8"/>
  <c r="FI173" i="8"/>
  <c r="FI172" i="8"/>
  <c r="FI171" i="8"/>
  <c r="FI170" i="8"/>
  <c r="FI169" i="8"/>
  <c r="FI168" i="8"/>
  <c r="FI167" i="8"/>
  <c r="FI166" i="8"/>
  <c r="FI165" i="8"/>
  <c r="FI164" i="8"/>
  <c r="FI163" i="8"/>
  <c r="FI162" i="8"/>
  <c r="FI161" i="8"/>
  <c r="FI160" i="8"/>
  <c r="FI159" i="8"/>
  <c r="FI158" i="8"/>
  <c r="FI157" i="8"/>
  <c r="FI156" i="8"/>
  <c r="FI155" i="8"/>
  <c r="FI154" i="8"/>
  <c r="FI153" i="8"/>
  <c r="FI152" i="8"/>
  <c r="FI151" i="8"/>
  <c r="FI150" i="8"/>
  <c r="FI149" i="8"/>
  <c r="FI148" i="8"/>
  <c r="FI147" i="8"/>
  <c r="FI146" i="8"/>
  <c r="FI145" i="8"/>
  <c r="FI144" i="8"/>
  <c r="FI143" i="8"/>
  <c r="FI142" i="8"/>
  <c r="FI141" i="8"/>
  <c r="FI140" i="8"/>
  <c r="FI139" i="8"/>
  <c r="FI138" i="8"/>
  <c r="FI137" i="8"/>
  <c r="FI136" i="8"/>
  <c r="FI135" i="8"/>
  <c r="FI134" i="8"/>
  <c r="FI133" i="8"/>
  <c r="FI132" i="8"/>
  <c r="FI131" i="8"/>
  <c r="FI130" i="8"/>
  <c r="FI129" i="8"/>
  <c r="FI128" i="8"/>
  <c r="FI127" i="8"/>
  <c r="FI126" i="8"/>
  <c r="FI125" i="8"/>
  <c r="FI124" i="8"/>
  <c r="FI123" i="8"/>
  <c r="FI122" i="8"/>
  <c r="FI121" i="8"/>
  <c r="FI120" i="8"/>
  <c r="FI119" i="8"/>
  <c r="FI118" i="8"/>
  <c r="FI117" i="8"/>
  <c r="FI116" i="8"/>
  <c r="FI115" i="8"/>
  <c r="FI114" i="8"/>
  <c r="FI113" i="8"/>
  <c r="FI112" i="8"/>
  <c r="FI111" i="8"/>
  <c r="FI110" i="8"/>
  <c r="FI109" i="8"/>
  <c r="FI108" i="8"/>
  <c r="FI107" i="8"/>
  <c r="FI106" i="8"/>
  <c r="FI105" i="8"/>
  <c r="FI104" i="8"/>
  <c r="FI103" i="8"/>
  <c r="FI102" i="8"/>
  <c r="FI101" i="8"/>
  <c r="FI100" i="8"/>
  <c r="FI99" i="8"/>
  <c r="FI98" i="8"/>
  <c r="FI97" i="8"/>
  <c r="FI96" i="8"/>
  <c r="FI95" i="8"/>
  <c r="FI94" i="8"/>
  <c r="FI93" i="8"/>
  <c r="FI92" i="8"/>
  <c r="FI91" i="8"/>
  <c r="FI90" i="8"/>
  <c r="FI89" i="8"/>
  <c r="FI88" i="8"/>
  <c r="FI87" i="8"/>
  <c r="FI86" i="8"/>
  <c r="FI85" i="8"/>
  <c r="FI84" i="8"/>
  <c r="FI83" i="8"/>
  <c r="FI82" i="8"/>
  <c r="FI81" i="8"/>
  <c r="FI80" i="8"/>
  <c r="FI79" i="8"/>
  <c r="FI78" i="8"/>
  <c r="FI77" i="8"/>
  <c r="FI76" i="8"/>
  <c r="FI75" i="8"/>
  <c r="FI74" i="8"/>
  <c r="FI73" i="8"/>
  <c r="FI72" i="8"/>
  <c r="FI71" i="8"/>
  <c r="FI70" i="8"/>
  <c r="FI69" i="8"/>
  <c r="FI68" i="8"/>
  <c r="FI67" i="8"/>
  <c r="FI66" i="8"/>
  <c r="FI65" i="8"/>
  <c r="FI64" i="8"/>
  <c r="FI63" i="8"/>
  <c r="FI62" i="8"/>
  <c r="FI61" i="8"/>
  <c r="FI60" i="8"/>
  <c r="FI59" i="8"/>
  <c r="FI58" i="8"/>
  <c r="FI57" i="8"/>
  <c r="FI56" i="8"/>
  <c r="FI55" i="8"/>
  <c r="FI54" i="8"/>
  <c r="FI53" i="8"/>
  <c r="FI52" i="8"/>
  <c r="FI51" i="8"/>
  <c r="FI50" i="8"/>
  <c r="FI49" i="8"/>
  <c r="FI48" i="8"/>
  <c r="FI47" i="8"/>
  <c r="FI46" i="8"/>
  <c r="FI45" i="8"/>
  <c r="FI44" i="8"/>
  <c r="FI43" i="8"/>
  <c r="FI42" i="8"/>
  <c r="FI41" i="8"/>
  <c r="FI40" i="8"/>
  <c r="FI39" i="8"/>
  <c r="FI38" i="8"/>
  <c r="FI37" i="8"/>
  <c r="FI36" i="8"/>
  <c r="FI35" i="8"/>
  <c r="FI34" i="8"/>
  <c r="FI33" i="8"/>
  <c r="FI32" i="8"/>
  <c r="FI31" i="8"/>
  <c r="FI30" i="8"/>
  <c r="FI29" i="8"/>
  <c r="FI28" i="8"/>
  <c r="FI27" i="8"/>
  <c r="FI26" i="8"/>
  <c r="FI25" i="8"/>
  <c r="FI24" i="8"/>
  <c r="FI23" i="8"/>
  <c r="FI22" i="8"/>
  <c r="FI21" i="8"/>
  <c r="FI20" i="8"/>
  <c r="FI19" i="8"/>
  <c r="FI18" i="8"/>
  <c r="FI17" i="8"/>
  <c r="FI16" i="8"/>
  <c r="FI15" i="8"/>
  <c r="FI14" i="8"/>
  <c r="FI13" i="8"/>
  <c r="FI12" i="8"/>
  <c r="FI11" i="8"/>
  <c r="FI10" i="8"/>
  <c r="FI9" i="8"/>
  <c r="FI8" i="8"/>
  <c r="FI7" i="8"/>
  <c r="FI6" i="8"/>
  <c r="FI5" i="8"/>
  <c r="FI4" i="8"/>
  <c r="FD393" i="8"/>
  <c r="FD392" i="8"/>
  <c r="FD391" i="8"/>
  <c r="FD390" i="8"/>
  <c r="FD389" i="8"/>
  <c r="FD388" i="8"/>
  <c r="FD387" i="8"/>
  <c r="FD386" i="8"/>
  <c r="FD385" i="8"/>
  <c r="FD384" i="8"/>
  <c r="FD383" i="8"/>
  <c r="FD382" i="8"/>
  <c r="FD381" i="8"/>
  <c r="FD380" i="8"/>
  <c r="FD379" i="8"/>
  <c r="FD378" i="8"/>
  <c r="FD377" i="8"/>
  <c r="FD376" i="8"/>
  <c r="FD375" i="8"/>
  <c r="FD374" i="8"/>
  <c r="FD373" i="8"/>
  <c r="FD372" i="8"/>
  <c r="FD371" i="8"/>
  <c r="FD370" i="8"/>
  <c r="FD369" i="8"/>
  <c r="FD368" i="8"/>
  <c r="FD367" i="8"/>
  <c r="FD366" i="8"/>
  <c r="FD365" i="8"/>
  <c r="FD364" i="8"/>
  <c r="FD363" i="8"/>
  <c r="FD362" i="8"/>
  <c r="FD361" i="8"/>
  <c r="FD360" i="8"/>
  <c r="FD359" i="8"/>
  <c r="FD358" i="8"/>
  <c r="FD357" i="8"/>
  <c r="FD356" i="8"/>
  <c r="FD355" i="8"/>
  <c r="FD354" i="8"/>
  <c r="FD353" i="8"/>
  <c r="FD352" i="8"/>
  <c r="FD351" i="8"/>
  <c r="FD350" i="8"/>
  <c r="FD349" i="8"/>
  <c r="FD348" i="8"/>
  <c r="FD347" i="8"/>
  <c r="FD346" i="8"/>
  <c r="FD345" i="8"/>
  <c r="FD344" i="8"/>
  <c r="FD343" i="8"/>
  <c r="FD342" i="8"/>
  <c r="FD341" i="8"/>
  <c r="FD340" i="8"/>
  <c r="FD339" i="8"/>
  <c r="FD338" i="8"/>
  <c r="FD337" i="8"/>
  <c r="FD336" i="8"/>
  <c r="FD335" i="8"/>
  <c r="FD334" i="8"/>
  <c r="FD333" i="8"/>
  <c r="FD332" i="8"/>
  <c r="FD331" i="8"/>
  <c r="FD330" i="8"/>
  <c r="FD329" i="8"/>
  <c r="FD328" i="8"/>
  <c r="FD327" i="8"/>
  <c r="FD326" i="8"/>
  <c r="FD325" i="8"/>
  <c r="FD324" i="8"/>
  <c r="FD323" i="8"/>
  <c r="FD322" i="8"/>
  <c r="FD321" i="8"/>
  <c r="FD320" i="8"/>
  <c r="FD319" i="8"/>
  <c r="FD318" i="8"/>
  <c r="FD317" i="8"/>
  <c r="FD316" i="8"/>
  <c r="FD315" i="8"/>
  <c r="FD314" i="8"/>
  <c r="FD313" i="8"/>
  <c r="FD312" i="8"/>
  <c r="FD311" i="8"/>
  <c r="FD310" i="8"/>
  <c r="FD309" i="8"/>
  <c r="FD308" i="8"/>
  <c r="FD307" i="8"/>
  <c r="FD306" i="8"/>
  <c r="FD305" i="8"/>
  <c r="FD304" i="8"/>
  <c r="FD303" i="8"/>
  <c r="FD302" i="8"/>
  <c r="FD301" i="8"/>
  <c r="FD300" i="8"/>
  <c r="FD299" i="8"/>
  <c r="FD298" i="8"/>
  <c r="FD297" i="8"/>
  <c r="FD296" i="8"/>
  <c r="FD295" i="8"/>
  <c r="FD294" i="8"/>
  <c r="FD293" i="8"/>
  <c r="FD292" i="8"/>
  <c r="FD291" i="8"/>
  <c r="FD290" i="8"/>
  <c r="FD289" i="8"/>
  <c r="FD288" i="8"/>
  <c r="FD287" i="8"/>
  <c r="FD286" i="8"/>
  <c r="FD285" i="8"/>
  <c r="FD284" i="8"/>
  <c r="FD283" i="8"/>
  <c r="FD282" i="8"/>
  <c r="FD281" i="8"/>
  <c r="FD280" i="8"/>
  <c r="FD279" i="8"/>
  <c r="FD278" i="8"/>
  <c r="FD277" i="8"/>
  <c r="FD276" i="8"/>
  <c r="FD275" i="8"/>
  <c r="FD274" i="8"/>
  <c r="FD273" i="8"/>
  <c r="FD272" i="8"/>
  <c r="FD271" i="8"/>
  <c r="FD270" i="8"/>
  <c r="FD269" i="8"/>
  <c r="FD268" i="8"/>
  <c r="FD267" i="8"/>
  <c r="FD266" i="8"/>
  <c r="FD265" i="8"/>
  <c r="FD264" i="8"/>
  <c r="FD263" i="8"/>
  <c r="FD262" i="8"/>
  <c r="FD261" i="8"/>
  <c r="FD260" i="8"/>
  <c r="FD259" i="8"/>
  <c r="FD258" i="8"/>
  <c r="FD257" i="8"/>
  <c r="FD256" i="8"/>
  <c r="FD255" i="8"/>
  <c r="FD254" i="8"/>
  <c r="FD253" i="8"/>
  <c r="FD252" i="8"/>
  <c r="FD251" i="8"/>
  <c r="FD250" i="8"/>
  <c r="FD249" i="8"/>
  <c r="FD248" i="8"/>
  <c r="FD247" i="8"/>
  <c r="FD246" i="8"/>
  <c r="FD245" i="8"/>
  <c r="FD244" i="8"/>
  <c r="FD243" i="8"/>
  <c r="FD242" i="8"/>
  <c r="FD241" i="8"/>
  <c r="FD240" i="8"/>
  <c r="FD239" i="8"/>
  <c r="FD238" i="8"/>
  <c r="FD237" i="8"/>
  <c r="FD236" i="8"/>
  <c r="FD235" i="8"/>
  <c r="FD234" i="8"/>
  <c r="FD233" i="8"/>
  <c r="FD232" i="8"/>
  <c r="FD231" i="8"/>
  <c r="FD230" i="8"/>
  <c r="FD229" i="8"/>
  <c r="FD228" i="8"/>
  <c r="FD227" i="8"/>
  <c r="FD226" i="8"/>
  <c r="FD225" i="8"/>
  <c r="FD224" i="8"/>
  <c r="FD223" i="8"/>
  <c r="FD222" i="8"/>
  <c r="FD221" i="8"/>
  <c r="FD220" i="8"/>
  <c r="FD219" i="8"/>
  <c r="FD218" i="8"/>
  <c r="FD217" i="8"/>
  <c r="FD216" i="8"/>
  <c r="FD215" i="8"/>
  <c r="FD214" i="8"/>
  <c r="FD213" i="8"/>
  <c r="FD212" i="8"/>
  <c r="FD211" i="8"/>
  <c r="FD210" i="8"/>
  <c r="FD209" i="8"/>
  <c r="FD208" i="8"/>
  <c r="FD207" i="8"/>
  <c r="FD206" i="8"/>
  <c r="FD205" i="8"/>
  <c r="FD204" i="8"/>
  <c r="FD203" i="8"/>
  <c r="FD202" i="8"/>
  <c r="FD201" i="8"/>
  <c r="FD200" i="8"/>
  <c r="FD199" i="8"/>
  <c r="FD198" i="8"/>
  <c r="FD197" i="8"/>
  <c r="FD196" i="8"/>
  <c r="FD195" i="8"/>
  <c r="FD194" i="8"/>
  <c r="FD193" i="8"/>
  <c r="FD192" i="8"/>
  <c r="FD191" i="8"/>
  <c r="FD190" i="8"/>
  <c r="FD189" i="8"/>
  <c r="FD188" i="8"/>
  <c r="FD187" i="8"/>
  <c r="FD186" i="8"/>
  <c r="FD185" i="8"/>
  <c r="FD184" i="8"/>
  <c r="FD183" i="8"/>
  <c r="FD182" i="8"/>
  <c r="FD181" i="8"/>
  <c r="FD180" i="8"/>
  <c r="FD179" i="8"/>
  <c r="FD178" i="8"/>
  <c r="FD177" i="8"/>
  <c r="FD176" i="8"/>
  <c r="FD175" i="8"/>
  <c r="FD174" i="8"/>
  <c r="FD173" i="8"/>
  <c r="FD172" i="8"/>
  <c r="FD171" i="8"/>
  <c r="FD170" i="8"/>
  <c r="FD169" i="8"/>
  <c r="FD168" i="8"/>
  <c r="FD167" i="8"/>
  <c r="FD166" i="8"/>
  <c r="FD165" i="8"/>
  <c r="FD164" i="8"/>
  <c r="FD163" i="8"/>
  <c r="FD162" i="8"/>
  <c r="FD161" i="8"/>
  <c r="FD160" i="8"/>
  <c r="FD159" i="8"/>
  <c r="FD158" i="8"/>
  <c r="FD157" i="8"/>
  <c r="FD156" i="8"/>
  <c r="FD155" i="8"/>
  <c r="FD154" i="8"/>
  <c r="FD153" i="8"/>
  <c r="FD152" i="8"/>
  <c r="FD151" i="8"/>
  <c r="FD150" i="8"/>
  <c r="FD149" i="8"/>
  <c r="FD148" i="8"/>
  <c r="FD147" i="8"/>
  <c r="FD146" i="8"/>
  <c r="FD145" i="8"/>
  <c r="FD144" i="8"/>
  <c r="FD143" i="8"/>
  <c r="FD142" i="8"/>
  <c r="FD141" i="8"/>
  <c r="FD140" i="8"/>
  <c r="FD139" i="8"/>
  <c r="FD138" i="8"/>
  <c r="FD137" i="8"/>
  <c r="FD136" i="8"/>
  <c r="FD135" i="8"/>
  <c r="FD134" i="8"/>
  <c r="FD133" i="8"/>
  <c r="FD132" i="8"/>
  <c r="FD131" i="8"/>
  <c r="FD130" i="8"/>
  <c r="FD129" i="8"/>
  <c r="FD128" i="8"/>
  <c r="FD127" i="8"/>
  <c r="FD126" i="8"/>
  <c r="FD125" i="8"/>
  <c r="FD124" i="8"/>
  <c r="FD123" i="8"/>
  <c r="FD122" i="8"/>
  <c r="FD121" i="8"/>
  <c r="FD120" i="8"/>
  <c r="FD119" i="8"/>
  <c r="FD118" i="8"/>
  <c r="FD117" i="8"/>
  <c r="FD116" i="8"/>
  <c r="FD115" i="8"/>
  <c r="FD114" i="8"/>
  <c r="FD113" i="8"/>
  <c r="FD112" i="8"/>
  <c r="FD111" i="8"/>
  <c r="FD110" i="8"/>
  <c r="FD109" i="8"/>
  <c r="FD108" i="8"/>
  <c r="FD107" i="8"/>
  <c r="FD106" i="8"/>
  <c r="FD105" i="8"/>
  <c r="FD104" i="8"/>
  <c r="FD103" i="8"/>
  <c r="FD102" i="8"/>
  <c r="FD101" i="8"/>
  <c r="FD100" i="8"/>
  <c r="FD99" i="8"/>
  <c r="FD98" i="8"/>
  <c r="FD97" i="8"/>
  <c r="FD96" i="8"/>
  <c r="FD95" i="8"/>
  <c r="FD94" i="8"/>
  <c r="FD93" i="8"/>
  <c r="FD92" i="8"/>
  <c r="FD91" i="8"/>
  <c r="FD90" i="8"/>
  <c r="FD89" i="8"/>
  <c r="FD88" i="8"/>
  <c r="FD87" i="8"/>
  <c r="FD86" i="8"/>
  <c r="FD85" i="8"/>
  <c r="FD84" i="8"/>
  <c r="FD83" i="8"/>
  <c r="FD82" i="8"/>
  <c r="FD81" i="8"/>
  <c r="FD80" i="8"/>
  <c r="FD79" i="8"/>
  <c r="FD78" i="8"/>
  <c r="FD77" i="8"/>
  <c r="FD76" i="8"/>
  <c r="FD75" i="8"/>
  <c r="FD74" i="8"/>
  <c r="FD73" i="8"/>
  <c r="FD72" i="8"/>
  <c r="FD71" i="8"/>
  <c r="FD70" i="8"/>
  <c r="FD69" i="8"/>
  <c r="FD68" i="8"/>
  <c r="FD67" i="8"/>
  <c r="FD66" i="8"/>
  <c r="FD65" i="8"/>
  <c r="FD64" i="8"/>
  <c r="FD63" i="8"/>
  <c r="FD62" i="8"/>
  <c r="FD61" i="8"/>
  <c r="FD60" i="8"/>
  <c r="FD59" i="8"/>
  <c r="FD58" i="8"/>
  <c r="FD57" i="8"/>
  <c r="FD56" i="8"/>
  <c r="FD55" i="8"/>
  <c r="FD54" i="8"/>
  <c r="FD53" i="8"/>
  <c r="FD52" i="8"/>
  <c r="FD51" i="8"/>
  <c r="FD50" i="8"/>
  <c r="FD49" i="8"/>
  <c r="FD48" i="8"/>
  <c r="FD47" i="8"/>
  <c r="FD46" i="8"/>
  <c r="FD45" i="8"/>
  <c r="FD44" i="8"/>
  <c r="FD43" i="8"/>
  <c r="FD42" i="8"/>
  <c r="FD41" i="8"/>
  <c r="FD40" i="8"/>
  <c r="FD39" i="8"/>
  <c r="FD38" i="8"/>
  <c r="FD37" i="8"/>
  <c r="FD36" i="8"/>
  <c r="FD35" i="8"/>
  <c r="FD34" i="8"/>
  <c r="FD33" i="8"/>
  <c r="FD32" i="8"/>
  <c r="FD31" i="8"/>
  <c r="FD30" i="8"/>
  <c r="FD29" i="8"/>
  <c r="FD28" i="8"/>
  <c r="FD27" i="8"/>
  <c r="FD26" i="8"/>
  <c r="FD25" i="8"/>
  <c r="FD24" i="8"/>
  <c r="FD23" i="8"/>
  <c r="FD22" i="8"/>
  <c r="FD21" i="8"/>
  <c r="FD20" i="8"/>
  <c r="FD19" i="8"/>
  <c r="FD18" i="8"/>
  <c r="FD17" i="8"/>
  <c r="FD16" i="8"/>
  <c r="FD15" i="8"/>
  <c r="FD14" i="8"/>
  <c r="FD13" i="8"/>
  <c r="FD12" i="8"/>
  <c r="FD11" i="8"/>
  <c r="FD10" i="8"/>
  <c r="FD9" i="8"/>
  <c r="FD8" i="8"/>
  <c r="FD7" i="8"/>
  <c r="FD6" i="8"/>
  <c r="FD5" i="8"/>
  <c r="FD4" i="8"/>
  <c r="EY393" i="8"/>
  <c r="EY392" i="8"/>
  <c r="EY391" i="8"/>
  <c r="EY390" i="8"/>
  <c r="EY389" i="8"/>
  <c r="EY388" i="8"/>
  <c r="EY387" i="8"/>
  <c r="EY386" i="8"/>
  <c r="EY385" i="8"/>
  <c r="EY384" i="8"/>
  <c r="EY383" i="8"/>
  <c r="EY382" i="8"/>
  <c r="EY381" i="8"/>
  <c r="EY380" i="8"/>
  <c r="EY379" i="8"/>
  <c r="EY378" i="8"/>
  <c r="EY377" i="8"/>
  <c r="EY376" i="8"/>
  <c r="EY375" i="8"/>
  <c r="EY374" i="8"/>
  <c r="EY373" i="8"/>
  <c r="EY372" i="8"/>
  <c r="EY371" i="8"/>
  <c r="EY370" i="8"/>
  <c r="EY369" i="8"/>
  <c r="EY368" i="8"/>
  <c r="EY367" i="8"/>
  <c r="EY366" i="8"/>
  <c r="EY365" i="8"/>
  <c r="EY364" i="8"/>
  <c r="EY363" i="8"/>
  <c r="EY362" i="8"/>
  <c r="EY361" i="8"/>
  <c r="EY360" i="8"/>
  <c r="EY359" i="8"/>
  <c r="EY358" i="8"/>
  <c r="EY357" i="8"/>
  <c r="EY356" i="8"/>
  <c r="EY355" i="8"/>
  <c r="EY354" i="8"/>
  <c r="EY353" i="8"/>
  <c r="EY352" i="8"/>
  <c r="EY351" i="8"/>
  <c r="EY350" i="8"/>
  <c r="EY349" i="8"/>
  <c r="EY348" i="8"/>
  <c r="EY347" i="8"/>
  <c r="EY346" i="8"/>
  <c r="EY345" i="8"/>
  <c r="EY344" i="8"/>
  <c r="EY343" i="8"/>
  <c r="EY342" i="8"/>
  <c r="EY341" i="8"/>
  <c r="EY340" i="8"/>
  <c r="EY339" i="8"/>
  <c r="EY338" i="8"/>
  <c r="EY337" i="8"/>
  <c r="EY336" i="8"/>
  <c r="EY335" i="8"/>
  <c r="EY334" i="8"/>
  <c r="EY333" i="8"/>
  <c r="EY332" i="8"/>
  <c r="EY331" i="8"/>
  <c r="EY330" i="8"/>
  <c r="EY329" i="8"/>
  <c r="EY328" i="8"/>
  <c r="EY327" i="8"/>
  <c r="EY326" i="8"/>
  <c r="EY325" i="8"/>
  <c r="EY324" i="8"/>
  <c r="EY323" i="8"/>
  <c r="EY322" i="8"/>
  <c r="EY321" i="8"/>
  <c r="EY320" i="8"/>
  <c r="EY319" i="8"/>
  <c r="EY318" i="8"/>
  <c r="EY317" i="8"/>
  <c r="EY316" i="8"/>
  <c r="EY315" i="8"/>
  <c r="EY314" i="8"/>
  <c r="EY313" i="8"/>
  <c r="EY312" i="8"/>
  <c r="EY311" i="8"/>
  <c r="EY310" i="8"/>
  <c r="EY309" i="8"/>
  <c r="EY308" i="8"/>
  <c r="EY307" i="8"/>
  <c r="EY306" i="8"/>
  <c r="EY305" i="8"/>
  <c r="EY304" i="8"/>
  <c r="EY303" i="8"/>
  <c r="EY302" i="8"/>
  <c r="EY301" i="8"/>
  <c r="EY300" i="8"/>
  <c r="EY299" i="8"/>
  <c r="EY298" i="8"/>
  <c r="EY297" i="8"/>
  <c r="EY296" i="8"/>
  <c r="EY295" i="8"/>
  <c r="EY294" i="8"/>
  <c r="EY293" i="8"/>
  <c r="EY292" i="8"/>
  <c r="EY291" i="8"/>
  <c r="EY290" i="8"/>
  <c r="EY289" i="8"/>
  <c r="EY288" i="8"/>
  <c r="EY287" i="8"/>
  <c r="EY286" i="8"/>
  <c r="EY285" i="8"/>
  <c r="EY284" i="8"/>
  <c r="EY283" i="8"/>
  <c r="EY282" i="8"/>
  <c r="EY281" i="8"/>
  <c r="EY280" i="8"/>
  <c r="EY279" i="8"/>
  <c r="EY278" i="8"/>
  <c r="EY277" i="8"/>
  <c r="EY276" i="8"/>
  <c r="EY275" i="8"/>
  <c r="EY274" i="8"/>
  <c r="EY273" i="8"/>
  <c r="EY272" i="8"/>
  <c r="EY271" i="8"/>
  <c r="EY270" i="8"/>
  <c r="EY269" i="8"/>
  <c r="EY268" i="8"/>
  <c r="EY267" i="8"/>
  <c r="EY266" i="8"/>
  <c r="EY265" i="8"/>
  <c r="EY264" i="8"/>
  <c r="EY263" i="8"/>
  <c r="EY262" i="8"/>
  <c r="EY261" i="8"/>
  <c r="EY260" i="8"/>
  <c r="EY259" i="8"/>
  <c r="EY258" i="8"/>
  <c r="EY257" i="8"/>
  <c r="EY256" i="8"/>
  <c r="EY255" i="8"/>
  <c r="EY254" i="8"/>
  <c r="EY253" i="8"/>
  <c r="EY252" i="8"/>
  <c r="EY251" i="8"/>
  <c r="EY250" i="8"/>
  <c r="EY249" i="8"/>
  <c r="EY248" i="8"/>
  <c r="EY247" i="8"/>
  <c r="EY246" i="8"/>
  <c r="EY245" i="8"/>
  <c r="EY244" i="8"/>
  <c r="EY243" i="8"/>
  <c r="EY242" i="8"/>
  <c r="EY241" i="8"/>
  <c r="EY240" i="8"/>
  <c r="EY239" i="8"/>
  <c r="EY238" i="8"/>
  <c r="EY237" i="8"/>
  <c r="EY236" i="8"/>
  <c r="EY235" i="8"/>
  <c r="EY234" i="8"/>
  <c r="EY233" i="8"/>
  <c r="EY232" i="8"/>
  <c r="EY231" i="8"/>
  <c r="EY230" i="8"/>
  <c r="EY229" i="8"/>
  <c r="EY228" i="8"/>
  <c r="EY227" i="8"/>
  <c r="EY226" i="8"/>
  <c r="EY225" i="8"/>
  <c r="EY224" i="8"/>
  <c r="EY223" i="8"/>
  <c r="EY222" i="8"/>
  <c r="EY221" i="8"/>
  <c r="EY220" i="8"/>
  <c r="EY219" i="8"/>
  <c r="EY218" i="8"/>
  <c r="EY217" i="8"/>
  <c r="EY216" i="8"/>
  <c r="EY215" i="8"/>
  <c r="EY214" i="8"/>
  <c r="EY213" i="8"/>
  <c r="EY212" i="8"/>
  <c r="EY211" i="8"/>
  <c r="EY210" i="8"/>
  <c r="EY209" i="8"/>
  <c r="EY208" i="8"/>
  <c r="EY207" i="8"/>
  <c r="EY206" i="8"/>
  <c r="EY205" i="8"/>
  <c r="EY204" i="8"/>
  <c r="EY203" i="8"/>
  <c r="EY202" i="8"/>
  <c r="EY201" i="8"/>
  <c r="EY200" i="8"/>
  <c r="EY199" i="8"/>
  <c r="EY198" i="8"/>
  <c r="EY197" i="8"/>
  <c r="EY196" i="8"/>
  <c r="EY195" i="8"/>
  <c r="EY194" i="8"/>
  <c r="EY193" i="8"/>
  <c r="EY192" i="8"/>
  <c r="EY191" i="8"/>
  <c r="EY190" i="8"/>
  <c r="EY189" i="8"/>
  <c r="EY188" i="8"/>
  <c r="EY187" i="8"/>
  <c r="EY186" i="8"/>
  <c r="EY185" i="8"/>
  <c r="EY184" i="8"/>
  <c r="EY183" i="8"/>
  <c r="EY182" i="8"/>
  <c r="EY181" i="8"/>
  <c r="EY180" i="8"/>
  <c r="EY179" i="8"/>
  <c r="EY178" i="8"/>
  <c r="EY177" i="8"/>
  <c r="EY176" i="8"/>
  <c r="EY175" i="8"/>
  <c r="EY174" i="8"/>
  <c r="EY173" i="8"/>
  <c r="EY172" i="8"/>
  <c r="EY171" i="8"/>
  <c r="EY170" i="8"/>
  <c r="EY169" i="8"/>
  <c r="EY168" i="8"/>
  <c r="EY167" i="8"/>
  <c r="EY166" i="8"/>
  <c r="EY165" i="8"/>
  <c r="EY164" i="8"/>
  <c r="EY163" i="8"/>
  <c r="EY162" i="8"/>
  <c r="EY161" i="8"/>
  <c r="EY160" i="8"/>
  <c r="EY159" i="8"/>
  <c r="EY158" i="8"/>
  <c r="EY157" i="8"/>
  <c r="EY156" i="8"/>
  <c r="EY155" i="8"/>
  <c r="EY154" i="8"/>
  <c r="EY153" i="8"/>
  <c r="EY152" i="8"/>
  <c r="EY151" i="8"/>
  <c r="EY150" i="8"/>
  <c r="EY149" i="8"/>
  <c r="EY148" i="8"/>
  <c r="EY147" i="8"/>
  <c r="EY146" i="8"/>
  <c r="EY145" i="8"/>
  <c r="EY144" i="8"/>
  <c r="EY143" i="8"/>
  <c r="EY142" i="8"/>
  <c r="EY141" i="8"/>
  <c r="EY140" i="8"/>
  <c r="EY139" i="8"/>
  <c r="EY138" i="8"/>
  <c r="EY137" i="8"/>
  <c r="EY136" i="8"/>
  <c r="EY135" i="8"/>
  <c r="EY134" i="8"/>
  <c r="EY133" i="8"/>
  <c r="EY132" i="8"/>
  <c r="EY131" i="8"/>
  <c r="EY130" i="8"/>
  <c r="EY129" i="8"/>
  <c r="EY128" i="8"/>
  <c r="EY127" i="8"/>
  <c r="EY126" i="8"/>
  <c r="EY125" i="8"/>
  <c r="EY124" i="8"/>
  <c r="EY123" i="8"/>
  <c r="EY122" i="8"/>
  <c r="EY121" i="8"/>
  <c r="EY120" i="8"/>
  <c r="EY119" i="8"/>
  <c r="EY118" i="8"/>
  <c r="EY117" i="8"/>
  <c r="EY116" i="8"/>
  <c r="EY115" i="8"/>
  <c r="EY114" i="8"/>
  <c r="EY113" i="8"/>
  <c r="EY112" i="8"/>
  <c r="EY111" i="8"/>
  <c r="EY110" i="8"/>
  <c r="EY109" i="8"/>
  <c r="EY108" i="8"/>
  <c r="EY107" i="8"/>
  <c r="EY106" i="8"/>
  <c r="EY105" i="8"/>
  <c r="EY104" i="8"/>
  <c r="EY103" i="8"/>
  <c r="EY102" i="8"/>
  <c r="EY101" i="8"/>
  <c r="EY100" i="8"/>
  <c r="EY99" i="8"/>
  <c r="EY98" i="8"/>
  <c r="EY97" i="8"/>
  <c r="EY96" i="8"/>
  <c r="EY95" i="8"/>
  <c r="EY94" i="8"/>
  <c r="EY93" i="8"/>
  <c r="EY92" i="8"/>
  <c r="EY91" i="8"/>
  <c r="EY90" i="8"/>
  <c r="EY89" i="8"/>
  <c r="EY88" i="8"/>
  <c r="EY87" i="8"/>
  <c r="EY86" i="8"/>
  <c r="EY85" i="8"/>
  <c r="EY84" i="8"/>
  <c r="EY83" i="8"/>
  <c r="EY82" i="8"/>
  <c r="EY81" i="8"/>
  <c r="EY80" i="8"/>
  <c r="EY79" i="8"/>
  <c r="EY78" i="8"/>
  <c r="EY77" i="8"/>
  <c r="EY76" i="8"/>
  <c r="EY75" i="8"/>
  <c r="EY74" i="8"/>
  <c r="EY73" i="8"/>
  <c r="EY72" i="8"/>
  <c r="EY71" i="8"/>
  <c r="EY70" i="8"/>
  <c r="EY69" i="8"/>
  <c r="EY68" i="8"/>
  <c r="EY67" i="8"/>
  <c r="EY66" i="8"/>
  <c r="EY65" i="8"/>
  <c r="EY64" i="8"/>
  <c r="EY63" i="8"/>
  <c r="EY62" i="8"/>
  <c r="EY61" i="8"/>
  <c r="EY60" i="8"/>
  <c r="EY59" i="8"/>
  <c r="EY58" i="8"/>
  <c r="EY57" i="8"/>
  <c r="EY56" i="8"/>
  <c r="EY55" i="8"/>
  <c r="EY54" i="8"/>
  <c r="EY53" i="8"/>
  <c r="EY52" i="8"/>
  <c r="EY51" i="8"/>
  <c r="EY50" i="8"/>
  <c r="EY49" i="8"/>
  <c r="EY48" i="8"/>
  <c r="EY47" i="8"/>
  <c r="EY46" i="8"/>
  <c r="EY45" i="8"/>
  <c r="EY44" i="8"/>
  <c r="EY43" i="8"/>
  <c r="EY42" i="8"/>
  <c r="EY41" i="8"/>
  <c r="EY40" i="8"/>
  <c r="EY39" i="8"/>
  <c r="EY38" i="8"/>
  <c r="EY37" i="8"/>
  <c r="EY36" i="8"/>
  <c r="EY35" i="8"/>
  <c r="EY34" i="8"/>
  <c r="EY33" i="8"/>
  <c r="EY32" i="8"/>
  <c r="EY31" i="8"/>
  <c r="EY30" i="8"/>
  <c r="EY29" i="8"/>
  <c r="EY28" i="8"/>
  <c r="EY27" i="8"/>
  <c r="EY26" i="8"/>
  <c r="EY25" i="8"/>
  <c r="EY24" i="8"/>
  <c r="EY23" i="8"/>
  <c r="EY22" i="8"/>
  <c r="EY21" i="8"/>
  <c r="EY20" i="8"/>
  <c r="EY19" i="8"/>
  <c r="EY18" i="8"/>
  <c r="EY17" i="8"/>
  <c r="EY16" i="8"/>
  <c r="EY15" i="8"/>
  <c r="EY14" i="8"/>
  <c r="EY13" i="8"/>
  <c r="EY12" i="8"/>
  <c r="EY11" i="8"/>
  <c r="EY10" i="8"/>
  <c r="EY9" i="8"/>
  <c r="EY8" i="8"/>
  <c r="EY7" i="8"/>
  <c r="EY6" i="8"/>
  <c r="EY5" i="8"/>
  <c r="EY4" i="8"/>
  <c r="ET393" i="8"/>
  <c r="ET392" i="8"/>
  <c r="ET391" i="8"/>
  <c r="ET390" i="8"/>
  <c r="ET389" i="8"/>
  <c r="ET388" i="8"/>
  <c r="ET387" i="8"/>
  <c r="ET386" i="8"/>
  <c r="ET385" i="8"/>
  <c r="ET384" i="8"/>
  <c r="ET383" i="8"/>
  <c r="ET382" i="8"/>
  <c r="ET381" i="8"/>
  <c r="ET380" i="8"/>
  <c r="ET379" i="8"/>
  <c r="ET378" i="8"/>
  <c r="ET377" i="8"/>
  <c r="ET376" i="8"/>
  <c r="ET375" i="8"/>
  <c r="ET374" i="8"/>
  <c r="ET373" i="8"/>
  <c r="ET372" i="8"/>
  <c r="ET371" i="8"/>
  <c r="ET370" i="8"/>
  <c r="ET369" i="8"/>
  <c r="ET368" i="8"/>
  <c r="ET367" i="8"/>
  <c r="ET366" i="8"/>
  <c r="ET365" i="8"/>
  <c r="ET364" i="8"/>
  <c r="ET363" i="8"/>
  <c r="ET362" i="8"/>
  <c r="ET361" i="8"/>
  <c r="ET360" i="8"/>
  <c r="ET359" i="8"/>
  <c r="ET358" i="8"/>
  <c r="ET357" i="8"/>
  <c r="ET356" i="8"/>
  <c r="ET355" i="8"/>
  <c r="ET354" i="8"/>
  <c r="ET353" i="8"/>
  <c r="ET352" i="8"/>
  <c r="ET351" i="8"/>
  <c r="ET350" i="8"/>
  <c r="ET349" i="8"/>
  <c r="ET348" i="8"/>
  <c r="ET347" i="8"/>
  <c r="ET346" i="8"/>
  <c r="ET345" i="8"/>
  <c r="ET344" i="8"/>
  <c r="ET343" i="8"/>
  <c r="ET342" i="8"/>
  <c r="ET341" i="8"/>
  <c r="ET340" i="8"/>
  <c r="ET339" i="8"/>
  <c r="ET338" i="8"/>
  <c r="ET337" i="8"/>
  <c r="ET336" i="8"/>
  <c r="ET335" i="8"/>
  <c r="ET334" i="8"/>
  <c r="ET333" i="8"/>
  <c r="ET332" i="8"/>
  <c r="ET331" i="8"/>
  <c r="ET330" i="8"/>
  <c r="ET329" i="8"/>
  <c r="ET328" i="8"/>
  <c r="ET327" i="8"/>
  <c r="ET326" i="8"/>
  <c r="ET325" i="8"/>
  <c r="ET324" i="8"/>
  <c r="ET323" i="8"/>
  <c r="ET322" i="8"/>
  <c r="ET321" i="8"/>
  <c r="ET320" i="8"/>
  <c r="ET319" i="8"/>
  <c r="ET318" i="8"/>
  <c r="ET317" i="8"/>
  <c r="ET316" i="8"/>
  <c r="ET315" i="8"/>
  <c r="ET314" i="8"/>
  <c r="ET313" i="8"/>
  <c r="ET312" i="8"/>
  <c r="ET311" i="8"/>
  <c r="ET310" i="8"/>
  <c r="ET309" i="8"/>
  <c r="ET308" i="8"/>
  <c r="ET307" i="8"/>
  <c r="ET306" i="8"/>
  <c r="ET305" i="8"/>
  <c r="ET304" i="8"/>
  <c r="ET303" i="8"/>
  <c r="ET302" i="8"/>
  <c r="ET301" i="8"/>
  <c r="ET300" i="8"/>
  <c r="ET299" i="8"/>
  <c r="ET298" i="8"/>
  <c r="ET297" i="8"/>
  <c r="ET296" i="8"/>
  <c r="ET295" i="8"/>
  <c r="ET294" i="8"/>
  <c r="ET293" i="8"/>
  <c r="ET292" i="8"/>
  <c r="ET291" i="8"/>
  <c r="ET290" i="8"/>
  <c r="ET289" i="8"/>
  <c r="ET288" i="8"/>
  <c r="ET287" i="8"/>
  <c r="ET286" i="8"/>
  <c r="ET285" i="8"/>
  <c r="ET284" i="8"/>
  <c r="ET283" i="8"/>
  <c r="ET282" i="8"/>
  <c r="ET281" i="8"/>
  <c r="ET280" i="8"/>
  <c r="ET279" i="8"/>
  <c r="ET278" i="8"/>
  <c r="ET277" i="8"/>
  <c r="ET276" i="8"/>
  <c r="ET275" i="8"/>
  <c r="ET274" i="8"/>
  <c r="ET273" i="8"/>
  <c r="ET272" i="8"/>
  <c r="ET271" i="8"/>
  <c r="ET270" i="8"/>
  <c r="ET269" i="8"/>
  <c r="ET268" i="8"/>
  <c r="ET267" i="8"/>
  <c r="ET266" i="8"/>
  <c r="ET265" i="8"/>
  <c r="ET264" i="8"/>
  <c r="ET263" i="8"/>
  <c r="ET262" i="8"/>
  <c r="ET261" i="8"/>
  <c r="ET260" i="8"/>
  <c r="ET259" i="8"/>
  <c r="ET258" i="8"/>
  <c r="ET257" i="8"/>
  <c r="ET256" i="8"/>
  <c r="ET255" i="8"/>
  <c r="ET254" i="8"/>
  <c r="ET253" i="8"/>
  <c r="ET252" i="8"/>
  <c r="ET251" i="8"/>
  <c r="ET250" i="8"/>
  <c r="ET249" i="8"/>
  <c r="ET248" i="8"/>
  <c r="ET247" i="8"/>
  <c r="ET246" i="8"/>
  <c r="ET245" i="8"/>
  <c r="ET244" i="8"/>
  <c r="ET243" i="8"/>
  <c r="ET242" i="8"/>
  <c r="ET241" i="8"/>
  <c r="ET240" i="8"/>
  <c r="ET239" i="8"/>
  <c r="ET238" i="8"/>
  <c r="ET237" i="8"/>
  <c r="ET236" i="8"/>
  <c r="ET235" i="8"/>
  <c r="ET234" i="8"/>
  <c r="ET233" i="8"/>
  <c r="ET232" i="8"/>
  <c r="ET231" i="8"/>
  <c r="ET230" i="8"/>
  <c r="ET229" i="8"/>
  <c r="ET228" i="8"/>
  <c r="ET227" i="8"/>
  <c r="ET226" i="8"/>
  <c r="ET225" i="8"/>
  <c r="ET224" i="8"/>
  <c r="ET223" i="8"/>
  <c r="ET222" i="8"/>
  <c r="ET221" i="8"/>
  <c r="ET220" i="8"/>
  <c r="ET219" i="8"/>
  <c r="ET218" i="8"/>
  <c r="ET217" i="8"/>
  <c r="ET216" i="8"/>
  <c r="ET215" i="8"/>
  <c r="ET214" i="8"/>
  <c r="ET213" i="8"/>
  <c r="ET212" i="8"/>
  <c r="ET211" i="8"/>
  <c r="ET210" i="8"/>
  <c r="ET209" i="8"/>
  <c r="ET208" i="8"/>
  <c r="ET207" i="8"/>
  <c r="ET206" i="8"/>
  <c r="ET205" i="8"/>
  <c r="ET204" i="8"/>
  <c r="ET203" i="8"/>
  <c r="ET202" i="8"/>
  <c r="ET201" i="8"/>
  <c r="ET200" i="8"/>
  <c r="ET199" i="8"/>
  <c r="ET198" i="8"/>
  <c r="ET197" i="8"/>
  <c r="ET196" i="8"/>
  <c r="ET195" i="8"/>
  <c r="ET194" i="8"/>
  <c r="ET193" i="8"/>
  <c r="ET192" i="8"/>
  <c r="ET191" i="8"/>
  <c r="ET190" i="8"/>
  <c r="ET189" i="8"/>
  <c r="ET188" i="8"/>
  <c r="ET187" i="8"/>
  <c r="ET186" i="8"/>
  <c r="ET185" i="8"/>
  <c r="ET184" i="8"/>
  <c r="ET183" i="8"/>
  <c r="ET182" i="8"/>
  <c r="ET181" i="8"/>
  <c r="ET180" i="8"/>
  <c r="ET179" i="8"/>
  <c r="ET178" i="8"/>
  <c r="ET177" i="8"/>
  <c r="ET176" i="8"/>
  <c r="ET175" i="8"/>
  <c r="ET174" i="8"/>
  <c r="ET173" i="8"/>
  <c r="ET172" i="8"/>
  <c r="ET171" i="8"/>
  <c r="ET170" i="8"/>
  <c r="ET169" i="8"/>
  <c r="ET168" i="8"/>
  <c r="ET167" i="8"/>
  <c r="ET166" i="8"/>
  <c r="ET165" i="8"/>
  <c r="ET164" i="8"/>
  <c r="ET163" i="8"/>
  <c r="ET162" i="8"/>
  <c r="ET161" i="8"/>
  <c r="ET160" i="8"/>
  <c r="ET159" i="8"/>
  <c r="ET158" i="8"/>
  <c r="ET157" i="8"/>
  <c r="ET156" i="8"/>
  <c r="ET155" i="8"/>
  <c r="ET154" i="8"/>
  <c r="ET153" i="8"/>
  <c r="ET152" i="8"/>
  <c r="ET151" i="8"/>
  <c r="ET150" i="8"/>
  <c r="ET149" i="8"/>
  <c r="ET148" i="8"/>
  <c r="ET147" i="8"/>
  <c r="ET146" i="8"/>
  <c r="ET145" i="8"/>
  <c r="ET144" i="8"/>
  <c r="ET143" i="8"/>
  <c r="ET142" i="8"/>
  <c r="ET141" i="8"/>
  <c r="ET140" i="8"/>
  <c r="ET139" i="8"/>
  <c r="ET138" i="8"/>
  <c r="ET137" i="8"/>
  <c r="ET136" i="8"/>
  <c r="ET135" i="8"/>
  <c r="ET134" i="8"/>
  <c r="ET133" i="8"/>
  <c r="ET132" i="8"/>
  <c r="ET131" i="8"/>
  <c r="ET130" i="8"/>
  <c r="ET129" i="8"/>
  <c r="ET128" i="8"/>
  <c r="ET127" i="8"/>
  <c r="ET126" i="8"/>
  <c r="ET125" i="8"/>
  <c r="ET124" i="8"/>
  <c r="ET123" i="8"/>
  <c r="ET122" i="8"/>
  <c r="ET121" i="8"/>
  <c r="ET120" i="8"/>
  <c r="ET119" i="8"/>
  <c r="ET118" i="8"/>
  <c r="ET117" i="8"/>
  <c r="ET116" i="8"/>
  <c r="ET115" i="8"/>
  <c r="ET114" i="8"/>
  <c r="ET113" i="8"/>
  <c r="ET112" i="8"/>
  <c r="ET111" i="8"/>
  <c r="ET110" i="8"/>
  <c r="ET109" i="8"/>
  <c r="ET108" i="8"/>
  <c r="ET107" i="8"/>
  <c r="ET106" i="8"/>
  <c r="ET105" i="8"/>
  <c r="ET104" i="8"/>
  <c r="ET103" i="8"/>
  <c r="ET102" i="8"/>
  <c r="ET101" i="8"/>
  <c r="ET100" i="8"/>
  <c r="ET99" i="8"/>
  <c r="ET98" i="8"/>
  <c r="ET97" i="8"/>
  <c r="ET96" i="8"/>
  <c r="ET95" i="8"/>
  <c r="ET94" i="8"/>
  <c r="ET93" i="8"/>
  <c r="ET92" i="8"/>
  <c r="ET91" i="8"/>
  <c r="ET90" i="8"/>
  <c r="ET89" i="8"/>
  <c r="ET88" i="8"/>
  <c r="ET87" i="8"/>
  <c r="ET86" i="8"/>
  <c r="ET85" i="8"/>
  <c r="ET84" i="8"/>
  <c r="ET83" i="8"/>
  <c r="ET82" i="8"/>
  <c r="ET81" i="8"/>
  <c r="ET80" i="8"/>
  <c r="ET79" i="8"/>
  <c r="ET78" i="8"/>
  <c r="ET77" i="8"/>
  <c r="ET76" i="8"/>
  <c r="ET75" i="8"/>
  <c r="ET74" i="8"/>
  <c r="ET73" i="8"/>
  <c r="ET72" i="8"/>
  <c r="ET71" i="8"/>
  <c r="ET70" i="8"/>
  <c r="ET69" i="8"/>
  <c r="ET68" i="8"/>
  <c r="ET67" i="8"/>
  <c r="ET66" i="8"/>
  <c r="ET65" i="8"/>
  <c r="ET64" i="8"/>
  <c r="ET63" i="8"/>
  <c r="ET62" i="8"/>
  <c r="ET61" i="8"/>
  <c r="ET60" i="8"/>
  <c r="ET59" i="8"/>
  <c r="ET58" i="8"/>
  <c r="ET57" i="8"/>
  <c r="ET56" i="8"/>
  <c r="ET55" i="8"/>
  <c r="ET54" i="8"/>
  <c r="ET53" i="8"/>
  <c r="ET52" i="8"/>
  <c r="ET51" i="8"/>
  <c r="ET50" i="8"/>
  <c r="ET49" i="8"/>
  <c r="ET48" i="8"/>
  <c r="ET47" i="8"/>
  <c r="ET46" i="8"/>
  <c r="ET45" i="8"/>
  <c r="ET44" i="8"/>
  <c r="ET43" i="8"/>
  <c r="ET42" i="8"/>
  <c r="ET41" i="8"/>
  <c r="ET40" i="8"/>
  <c r="ET39" i="8"/>
  <c r="ET38" i="8"/>
  <c r="ET37" i="8"/>
  <c r="ET36" i="8"/>
  <c r="ET35" i="8"/>
  <c r="ET34" i="8"/>
  <c r="ET33" i="8"/>
  <c r="ET32" i="8"/>
  <c r="ET31" i="8"/>
  <c r="ET30" i="8"/>
  <c r="ET29" i="8"/>
  <c r="ET28" i="8"/>
  <c r="ET27" i="8"/>
  <c r="ET26" i="8"/>
  <c r="ET25" i="8"/>
  <c r="ET24" i="8"/>
  <c r="ET23" i="8"/>
  <c r="ET22" i="8"/>
  <c r="ET21" i="8"/>
  <c r="ET20" i="8"/>
  <c r="ET19" i="8"/>
  <c r="ET18" i="8"/>
  <c r="ET17" i="8"/>
  <c r="ET16" i="8"/>
  <c r="ET15" i="8"/>
  <c r="ET14" i="8"/>
  <c r="ET13" i="8"/>
  <c r="ET12" i="8"/>
  <c r="ET11" i="8"/>
  <c r="ET10" i="8"/>
  <c r="ET9" i="8"/>
  <c r="ET8" i="8"/>
  <c r="ET7" i="8"/>
  <c r="ET6" i="8"/>
  <c r="ET5" i="8"/>
  <c r="ET4" i="8"/>
  <c r="EO393" i="8"/>
  <c r="EO392" i="8"/>
  <c r="EO391" i="8"/>
  <c r="EO390" i="8"/>
  <c r="EO389" i="8"/>
  <c r="EO388" i="8"/>
  <c r="EO387" i="8"/>
  <c r="EO386" i="8"/>
  <c r="EO385" i="8"/>
  <c r="EO384" i="8"/>
  <c r="EO383" i="8"/>
  <c r="EO382" i="8"/>
  <c r="EO381" i="8"/>
  <c r="EO380" i="8"/>
  <c r="EO379" i="8"/>
  <c r="EO378" i="8"/>
  <c r="EO377" i="8"/>
  <c r="EO376" i="8"/>
  <c r="EO375" i="8"/>
  <c r="EO374" i="8"/>
  <c r="EO373" i="8"/>
  <c r="EO372" i="8"/>
  <c r="EO371" i="8"/>
  <c r="EO370" i="8"/>
  <c r="EO369" i="8"/>
  <c r="EO368" i="8"/>
  <c r="EO367" i="8"/>
  <c r="EO366" i="8"/>
  <c r="EO365" i="8"/>
  <c r="EO364" i="8"/>
  <c r="EO363" i="8"/>
  <c r="EO362" i="8"/>
  <c r="EO361" i="8"/>
  <c r="EO360" i="8"/>
  <c r="EO359" i="8"/>
  <c r="EO358" i="8"/>
  <c r="EO357" i="8"/>
  <c r="EO356" i="8"/>
  <c r="EO355" i="8"/>
  <c r="EO354" i="8"/>
  <c r="EO353" i="8"/>
  <c r="EO352" i="8"/>
  <c r="EO351" i="8"/>
  <c r="EO350" i="8"/>
  <c r="EO349" i="8"/>
  <c r="EO348" i="8"/>
  <c r="EO347" i="8"/>
  <c r="EO346" i="8"/>
  <c r="EO345" i="8"/>
  <c r="EO344" i="8"/>
  <c r="EO343" i="8"/>
  <c r="EO342" i="8"/>
  <c r="EO341" i="8"/>
  <c r="EO340" i="8"/>
  <c r="EO339" i="8"/>
  <c r="EO338" i="8"/>
  <c r="EO337" i="8"/>
  <c r="EO336" i="8"/>
  <c r="EO335" i="8"/>
  <c r="EO334" i="8"/>
  <c r="EO333" i="8"/>
  <c r="EO332" i="8"/>
  <c r="EO331" i="8"/>
  <c r="EO330" i="8"/>
  <c r="EO329" i="8"/>
  <c r="EO328" i="8"/>
  <c r="EO327" i="8"/>
  <c r="EO326" i="8"/>
  <c r="EO325" i="8"/>
  <c r="EO324" i="8"/>
  <c r="EO323" i="8"/>
  <c r="EO322" i="8"/>
  <c r="EO321" i="8"/>
  <c r="EO320" i="8"/>
  <c r="EO319" i="8"/>
  <c r="EO318" i="8"/>
  <c r="EO317" i="8"/>
  <c r="EO316" i="8"/>
  <c r="EO315" i="8"/>
  <c r="EO314" i="8"/>
  <c r="EO313" i="8"/>
  <c r="EO312" i="8"/>
  <c r="EO311" i="8"/>
  <c r="EO310" i="8"/>
  <c r="EO309" i="8"/>
  <c r="EO308" i="8"/>
  <c r="EO307" i="8"/>
  <c r="EO306" i="8"/>
  <c r="EO305" i="8"/>
  <c r="EO304" i="8"/>
  <c r="EO303" i="8"/>
  <c r="EO302" i="8"/>
  <c r="EO301" i="8"/>
  <c r="EO300" i="8"/>
  <c r="EO299" i="8"/>
  <c r="EO298" i="8"/>
  <c r="EO297" i="8"/>
  <c r="EO296" i="8"/>
  <c r="EO295" i="8"/>
  <c r="EO294" i="8"/>
  <c r="EO293" i="8"/>
  <c r="EO292" i="8"/>
  <c r="EO291" i="8"/>
  <c r="EO290" i="8"/>
  <c r="EO289" i="8"/>
  <c r="EO288" i="8"/>
  <c r="EO287" i="8"/>
  <c r="EO286" i="8"/>
  <c r="EO285" i="8"/>
  <c r="EO284" i="8"/>
  <c r="EO283" i="8"/>
  <c r="EO282" i="8"/>
  <c r="EO281" i="8"/>
  <c r="EO280" i="8"/>
  <c r="EO279" i="8"/>
  <c r="EO278" i="8"/>
  <c r="EO277" i="8"/>
  <c r="EO276" i="8"/>
  <c r="EO275" i="8"/>
  <c r="EO274" i="8"/>
  <c r="EO273" i="8"/>
  <c r="EO272" i="8"/>
  <c r="EO271" i="8"/>
  <c r="EO270" i="8"/>
  <c r="EO269" i="8"/>
  <c r="EO268" i="8"/>
  <c r="EO267" i="8"/>
  <c r="EO266" i="8"/>
  <c r="EO265" i="8"/>
  <c r="EO264" i="8"/>
  <c r="EO263" i="8"/>
  <c r="EO262" i="8"/>
  <c r="EO261" i="8"/>
  <c r="EO260" i="8"/>
  <c r="EO259" i="8"/>
  <c r="EO258" i="8"/>
  <c r="EO257" i="8"/>
  <c r="EO256" i="8"/>
  <c r="EO255" i="8"/>
  <c r="EO254" i="8"/>
  <c r="EO253" i="8"/>
  <c r="EO252" i="8"/>
  <c r="EO251" i="8"/>
  <c r="EO250" i="8"/>
  <c r="EO249" i="8"/>
  <c r="EO248" i="8"/>
  <c r="EO247" i="8"/>
  <c r="EO246" i="8"/>
  <c r="EO245" i="8"/>
  <c r="EO244" i="8"/>
  <c r="EO243" i="8"/>
  <c r="EO242" i="8"/>
  <c r="EO241" i="8"/>
  <c r="EO240" i="8"/>
  <c r="EO239" i="8"/>
  <c r="EO238" i="8"/>
  <c r="EO237" i="8"/>
  <c r="EO236" i="8"/>
  <c r="EO235" i="8"/>
  <c r="EO234" i="8"/>
  <c r="EO233" i="8"/>
  <c r="EO232" i="8"/>
  <c r="EO231" i="8"/>
  <c r="EO230" i="8"/>
  <c r="EO229" i="8"/>
  <c r="EO228" i="8"/>
  <c r="EO227" i="8"/>
  <c r="EO226" i="8"/>
  <c r="EO225" i="8"/>
  <c r="EO224" i="8"/>
  <c r="EO223" i="8"/>
  <c r="EO222" i="8"/>
  <c r="EO221" i="8"/>
  <c r="EO220" i="8"/>
  <c r="EO219" i="8"/>
  <c r="EO218" i="8"/>
  <c r="EO217" i="8"/>
  <c r="EO216" i="8"/>
  <c r="EO215" i="8"/>
  <c r="EO214" i="8"/>
  <c r="EO213" i="8"/>
  <c r="EO212" i="8"/>
  <c r="EO211" i="8"/>
  <c r="EO210" i="8"/>
  <c r="EO209" i="8"/>
  <c r="EO208" i="8"/>
  <c r="EO207" i="8"/>
  <c r="EO206" i="8"/>
  <c r="EO205" i="8"/>
  <c r="EO204" i="8"/>
  <c r="EO203" i="8"/>
  <c r="EO202" i="8"/>
  <c r="EO201" i="8"/>
  <c r="EO200" i="8"/>
  <c r="EO199" i="8"/>
  <c r="EO198" i="8"/>
  <c r="EO197" i="8"/>
  <c r="EO196" i="8"/>
  <c r="EO195" i="8"/>
  <c r="EO194" i="8"/>
  <c r="EO193" i="8"/>
  <c r="EO192" i="8"/>
  <c r="EO191" i="8"/>
  <c r="EO190" i="8"/>
  <c r="EO189" i="8"/>
  <c r="EO188" i="8"/>
  <c r="EO187" i="8"/>
  <c r="EO186" i="8"/>
  <c r="EO185" i="8"/>
  <c r="EO184" i="8"/>
  <c r="EO183" i="8"/>
  <c r="EO182" i="8"/>
  <c r="EO181" i="8"/>
  <c r="EO180" i="8"/>
  <c r="EO179" i="8"/>
  <c r="EO178" i="8"/>
  <c r="EO177" i="8"/>
  <c r="EO176" i="8"/>
  <c r="EO175" i="8"/>
  <c r="EO174" i="8"/>
  <c r="EO173" i="8"/>
  <c r="EO172" i="8"/>
  <c r="EO171" i="8"/>
  <c r="EO170" i="8"/>
  <c r="EO169" i="8"/>
  <c r="EO168" i="8"/>
  <c r="EO167" i="8"/>
  <c r="EO166" i="8"/>
  <c r="EO165" i="8"/>
  <c r="EO164" i="8"/>
  <c r="EO163" i="8"/>
  <c r="EO162" i="8"/>
  <c r="EO161" i="8"/>
  <c r="EO160" i="8"/>
  <c r="EO159" i="8"/>
  <c r="EO158" i="8"/>
  <c r="EO157" i="8"/>
  <c r="EO156" i="8"/>
  <c r="EO155" i="8"/>
  <c r="EO154" i="8"/>
  <c r="EO153" i="8"/>
  <c r="EO152" i="8"/>
  <c r="EO151" i="8"/>
  <c r="EO150" i="8"/>
  <c r="EO149" i="8"/>
  <c r="EO148" i="8"/>
  <c r="EO147" i="8"/>
  <c r="EO146" i="8"/>
  <c r="EO145" i="8"/>
  <c r="EO144" i="8"/>
  <c r="EO143" i="8"/>
  <c r="EO142" i="8"/>
  <c r="EO141" i="8"/>
  <c r="EO140" i="8"/>
  <c r="EO139" i="8"/>
  <c r="EO138" i="8"/>
  <c r="EO137" i="8"/>
  <c r="EO136" i="8"/>
  <c r="EO135" i="8"/>
  <c r="EO134" i="8"/>
  <c r="EO133" i="8"/>
  <c r="EO132" i="8"/>
  <c r="EO131" i="8"/>
  <c r="EO130" i="8"/>
  <c r="EO129" i="8"/>
  <c r="EO128" i="8"/>
  <c r="EO127" i="8"/>
  <c r="EO126" i="8"/>
  <c r="EO125" i="8"/>
  <c r="EO124" i="8"/>
  <c r="EO123" i="8"/>
  <c r="EO122" i="8"/>
  <c r="EO121" i="8"/>
  <c r="EO120" i="8"/>
  <c r="EO119" i="8"/>
  <c r="EO118" i="8"/>
  <c r="EO117" i="8"/>
  <c r="EO116" i="8"/>
  <c r="EO115" i="8"/>
  <c r="EO114" i="8"/>
  <c r="EO113" i="8"/>
  <c r="EO112" i="8"/>
  <c r="EO111" i="8"/>
  <c r="EO110" i="8"/>
  <c r="EO109" i="8"/>
  <c r="EO108" i="8"/>
  <c r="EO107" i="8"/>
  <c r="EO106" i="8"/>
  <c r="EO105" i="8"/>
  <c r="EO104" i="8"/>
  <c r="EO103" i="8"/>
  <c r="EO102" i="8"/>
  <c r="EO101" i="8"/>
  <c r="EO100" i="8"/>
  <c r="EO99" i="8"/>
  <c r="EO98" i="8"/>
  <c r="EO97" i="8"/>
  <c r="EO96" i="8"/>
  <c r="EO95" i="8"/>
  <c r="EO94" i="8"/>
  <c r="EO93" i="8"/>
  <c r="EO92" i="8"/>
  <c r="EO91" i="8"/>
  <c r="EO90" i="8"/>
  <c r="EO89" i="8"/>
  <c r="EO88" i="8"/>
  <c r="EO87" i="8"/>
  <c r="EO86" i="8"/>
  <c r="EO85" i="8"/>
  <c r="EO84" i="8"/>
  <c r="EO83" i="8"/>
  <c r="EO82" i="8"/>
  <c r="EO81" i="8"/>
  <c r="EO80" i="8"/>
  <c r="EO79" i="8"/>
  <c r="EO78" i="8"/>
  <c r="EO77" i="8"/>
  <c r="EO76" i="8"/>
  <c r="EO75" i="8"/>
  <c r="EO74" i="8"/>
  <c r="EO73" i="8"/>
  <c r="EO72" i="8"/>
  <c r="EO71" i="8"/>
  <c r="EO70" i="8"/>
  <c r="EO69" i="8"/>
  <c r="EO68" i="8"/>
  <c r="EO67" i="8"/>
  <c r="EO66" i="8"/>
  <c r="EO65" i="8"/>
  <c r="EO64" i="8"/>
  <c r="EO63" i="8"/>
  <c r="EO62" i="8"/>
  <c r="EO61" i="8"/>
  <c r="EO60" i="8"/>
  <c r="EO59" i="8"/>
  <c r="EO58" i="8"/>
  <c r="EO57" i="8"/>
  <c r="EO56" i="8"/>
  <c r="EO55" i="8"/>
  <c r="EO54" i="8"/>
  <c r="EO53" i="8"/>
  <c r="EO52" i="8"/>
  <c r="EO51" i="8"/>
  <c r="EO50" i="8"/>
  <c r="EO49" i="8"/>
  <c r="EO48" i="8"/>
  <c r="EO47" i="8"/>
  <c r="EO46" i="8"/>
  <c r="EO45" i="8"/>
  <c r="EO44" i="8"/>
  <c r="EO43" i="8"/>
  <c r="EO42" i="8"/>
  <c r="EO41" i="8"/>
  <c r="EO40" i="8"/>
  <c r="EO39" i="8"/>
  <c r="EO38" i="8"/>
  <c r="EO37" i="8"/>
  <c r="EO36" i="8"/>
  <c r="EO35" i="8"/>
  <c r="EO34" i="8"/>
  <c r="EO33" i="8"/>
  <c r="EO32" i="8"/>
  <c r="EO31" i="8"/>
  <c r="EO30" i="8"/>
  <c r="EO29" i="8"/>
  <c r="EO28" i="8"/>
  <c r="EO27" i="8"/>
  <c r="EO26" i="8"/>
  <c r="EO25" i="8"/>
  <c r="EO24" i="8"/>
  <c r="EO23" i="8"/>
  <c r="EO22" i="8"/>
  <c r="EO21" i="8"/>
  <c r="EO20" i="8"/>
  <c r="EO19" i="8"/>
  <c r="EO18" i="8"/>
  <c r="EO17" i="8"/>
  <c r="EO16" i="8"/>
  <c r="EO15" i="8"/>
  <c r="EO14" i="8"/>
  <c r="EO13" i="8"/>
  <c r="EO12" i="8"/>
  <c r="EO11" i="8"/>
  <c r="EO10" i="8"/>
  <c r="EO9" i="8"/>
  <c r="EO8" i="8"/>
  <c r="EO7" i="8"/>
  <c r="EO6" i="8"/>
  <c r="EO5" i="8"/>
  <c r="EO4" i="8"/>
  <c r="EJ393" i="8"/>
  <c r="EJ392" i="8"/>
  <c r="EJ391" i="8"/>
  <c r="EJ390" i="8"/>
  <c r="EJ389" i="8"/>
  <c r="EJ388" i="8"/>
  <c r="EJ387" i="8"/>
  <c r="EJ386" i="8"/>
  <c r="EJ385" i="8"/>
  <c r="EJ384" i="8"/>
  <c r="EJ383" i="8"/>
  <c r="EJ382" i="8"/>
  <c r="EJ381" i="8"/>
  <c r="EJ380" i="8"/>
  <c r="EJ379" i="8"/>
  <c r="EJ378" i="8"/>
  <c r="EJ377" i="8"/>
  <c r="EJ376" i="8"/>
  <c r="EJ375" i="8"/>
  <c r="EJ374" i="8"/>
  <c r="EJ373" i="8"/>
  <c r="EJ372" i="8"/>
  <c r="EJ371" i="8"/>
  <c r="EJ370" i="8"/>
  <c r="EJ369" i="8"/>
  <c r="EJ368" i="8"/>
  <c r="EJ367" i="8"/>
  <c r="EJ366" i="8"/>
  <c r="EJ365" i="8"/>
  <c r="EJ364" i="8"/>
  <c r="EJ363" i="8"/>
  <c r="EJ362" i="8"/>
  <c r="EJ361" i="8"/>
  <c r="EJ360" i="8"/>
  <c r="EJ359" i="8"/>
  <c r="EJ358" i="8"/>
  <c r="EJ357" i="8"/>
  <c r="EJ356" i="8"/>
  <c r="EJ355" i="8"/>
  <c r="EJ354" i="8"/>
  <c r="EJ353" i="8"/>
  <c r="EJ352" i="8"/>
  <c r="EJ351" i="8"/>
  <c r="EJ350" i="8"/>
  <c r="EJ349" i="8"/>
  <c r="EJ348" i="8"/>
  <c r="EJ347" i="8"/>
  <c r="EJ346" i="8"/>
  <c r="EJ345" i="8"/>
  <c r="EJ344" i="8"/>
  <c r="EJ343" i="8"/>
  <c r="EJ342" i="8"/>
  <c r="EJ341" i="8"/>
  <c r="EJ340" i="8"/>
  <c r="EJ339" i="8"/>
  <c r="EJ338" i="8"/>
  <c r="EJ337" i="8"/>
  <c r="EJ336" i="8"/>
  <c r="EJ335" i="8"/>
  <c r="EJ334" i="8"/>
  <c r="EJ333" i="8"/>
  <c r="EJ332" i="8"/>
  <c r="EJ331" i="8"/>
  <c r="EJ330" i="8"/>
  <c r="EJ329" i="8"/>
  <c r="EJ328" i="8"/>
  <c r="EJ327" i="8"/>
  <c r="EJ326" i="8"/>
  <c r="EJ325" i="8"/>
  <c r="EJ324" i="8"/>
  <c r="EJ323" i="8"/>
  <c r="EJ322" i="8"/>
  <c r="EJ321" i="8"/>
  <c r="EJ320" i="8"/>
  <c r="EJ319" i="8"/>
  <c r="EJ318" i="8"/>
  <c r="EJ317" i="8"/>
  <c r="EJ316" i="8"/>
  <c r="EJ315" i="8"/>
  <c r="EJ314" i="8"/>
  <c r="EJ313" i="8"/>
  <c r="EJ312" i="8"/>
  <c r="EJ311" i="8"/>
  <c r="EJ310" i="8"/>
  <c r="EJ309" i="8"/>
  <c r="EJ308" i="8"/>
  <c r="EJ307" i="8"/>
  <c r="EJ306" i="8"/>
  <c r="EJ305" i="8"/>
  <c r="EJ304" i="8"/>
  <c r="EJ303" i="8"/>
  <c r="EJ302" i="8"/>
  <c r="EJ301" i="8"/>
  <c r="EJ300" i="8"/>
  <c r="EJ299" i="8"/>
  <c r="EJ298" i="8"/>
  <c r="EJ297" i="8"/>
  <c r="EJ296" i="8"/>
  <c r="EJ295" i="8"/>
  <c r="EJ294" i="8"/>
  <c r="EJ293" i="8"/>
  <c r="EJ292" i="8"/>
  <c r="EJ291" i="8"/>
  <c r="EJ290" i="8"/>
  <c r="EJ289" i="8"/>
  <c r="EJ288" i="8"/>
  <c r="EJ287" i="8"/>
  <c r="EJ286" i="8"/>
  <c r="EJ285" i="8"/>
  <c r="EJ284" i="8"/>
  <c r="EJ283" i="8"/>
  <c r="EJ282" i="8"/>
  <c r="EJ281" i="8"/>
  <c r="EJ280" i="8"/>
  <c r="EJ279" i="8"/>
  <c r="EJ278" i="8"/>
  <c r="EJ277" i="8"/>
  <c r="EJ276" i="8"/>
  <c r="EJ275" i="8"/>
  <c r="EJ274" i="8"/>
  <c r="EJ273" i="8"/>
  <c r="EJ272" i="8"/>
  <c r="EJ271" i="8"/>
  <c r="EJ270" i="8"/>
  <c r="EJ269" i="8"/>
  <c r="EJ268" i="8"/>
  <c r="EJ267" i="8"/>
  <c r="EJ266" i="8"/>
  <c r="EJ265" i="8"/>
  <c r="EJ264" i="8"/>
  <c r="EJ263" i="8"/>
  <c r="EJ262" i="8"/>
  <c r="EJ261" i="8"/>
  <c r="EJ260" i="8"/>
  <c r="EJ259" i="8"/>
  <c r="EJ258" i="8"/>
  <c r="EJ257" i="8"/>
  <c r="EJ256" i="8"/>
  <c r="EJ255" i="8"/>
  <c r="EJ254" i="8"/>
  <c r="EJ253" i="8"/>
  <c r="EJ252" i="8"/>
  <c r="EJ251" i="8"/>
  <c r="EJ250" i="8"/>
  <c r="EJ249" i="8"/>
  <c r="EJ248" i="8"/>
  <c r="EJ247" i="8"/>
  <c r="EJ246" i="8"/>
  <c r="EJ245" i="8"/>
  <c r="EJ244" i="8"/>
  <c r="EJ243" i="8"/>
  <c r="EJ242" i="8"/>
  <c r="EJ241" i="8"/>
  <c r="EJ240" i="8"/>
  <c r="EJ239" i="8"/>
  <c r="EJ238" i="8"/>
  <c r="EJ237" i="8"/>
  <c r="EJ236" i="8"/>
  <c r="EJ235" i="8"/>
  <c r="EJ234" i="8"/>
  <c r="EJ233" i="8"/>
  <c r="EJ232" i="8"/>
  <c r="EJ231" i="8"/>
  <c r="EJ230" i="8"/>
  <c r="EJ229" i="8"/>
  <c r="EJ228" i="8"/>
  <c r="EJ227" i="8"/>
  <c r="EJ226" i="8"/>
  <c r="EJ225" i="8"/>
  <c r="EJ224" i="8"/>
  <c r="EJ223" i="8"/>
  <c r="EJ222" i="8"/>
  <c r="EJ221" i="8"/>
  <c r="EJ220" i="8"/>
  <c r="EJ219" i="8"/>
  <c r="EJ218" i="8"/>
  <c r="EJ217" i="8"/>
  <c r="EJ216" i="8"/>
  <c r="EJ215" i="8"/>
  <c r="EJ214" i="8"/>
  <c r="EJ213" i="8"/>
  <c r="EJ212" i="8"/>
  <c r="EJ211" i="8"/>
  <c r="EJ210" i="8"/>
  <c r="EJ209" i="8"/>
  <c r="EJ208" i="8"/>
  <c r="EJ207" i="8"/>
  <c r="EJ206" i="8"/>
  <c r="EJ205" i="8"/>
  <c r="EJ204" i="8"/>
  <c r="EJ203" i="8"/>
  <c r="EJ202" i="8"/>
  <c r="EJ201" i="8"/>
  <c r="EJ200" i="8"/>
  <c r="EJ199" i="8"/>
  <c r="EJ198" i="8"/>
  <c r="EJ197" i="8"/>
  <c r="EJ196" i="8"/>
  <c r="EJ195" i="8"/>
  <c r="EJ194" i="8"/>
  <c r="EJ193" i="8"/>
  <c r="EJ192" i="8"/>
  <c r="EJ191" i="8"/>
  <c r="EJ190" i="8"/>
  <c r="EJ189" i="8"/>
  <c r="EJ188" i="8"/>
  <c r="EJ187" i="8"/>
  <c r="EJ186" i="8"/>
  <c r="EJ185" i="8"/>
  <c r="EJ184" i="8"/>
  <c r="EJ183" i="8"/>
  <c r="EJ182" i="8"/>
  <c r="EJ181" i="8"/>
  <c r="EJ180" i="8"/>
  <c r="EJ179" i="8"/>
  <c r="EJ178" i="8"/>
  <c r="EJ177" i="8"/>
  <c r="EJ176" i="8"/>
  <c r="EJ175" i="8"/>
  <c r="EJ174" i="8"/>
  <c r="EJ173" i="8"/>
  <c r="EJ172" i="8"/>
  <c r="EJ171" i="8"/>
  <c r="EJ170" i="8"/>
  <c r="EJ169" i="8"/>
  <c r="EJ168" i="8"/>
  <c r="EJ167" i="8"/>
  <c r="EJ166" i="8"/>
  <c r="EJ165" i="8"/>
  <c r="EJ164" i="8"/>
  <c r="EJ163" i="8"/>
  <c r="EJ162" i="8"/>
  <c r="EJ161" i="8"/>
  <c r="EJ160" i="8"/>
  <c r="EJ159" i="8"/>
  <c r="EJ158" i="8"/>
  <c r="EJ157" i="8"/>
  <c r="EJ156" i="8"/>
  <c r="EJ155" i="8"/>
  <c r="EJ154" i="8"/>
  <c r="EJ153" i="8"/>
  <c r="EJ152" i="8"/>
  <c r="EJ151" i="8"/>
  <c r="EJ150" i="8"/>
  <c r="EJ149" i="8"/>
  <c r="EJ148" i="8"/>
  <c r="EJ147" i="8"/>
  <c r="EJ146" i="8"/>
  <c r="EJ145" i="8"/>
  <c r="EJ144" i="8"/>
  <c r="EJ143" i="8"/>
  <c r="EJ142" i="8"/>
  <c r="EJ141" i="8"/>
  <c r="EJ140" i="8"/>
  <c r="EJ139" i="8"/>
  <c r="EJ138" i="8"/>
  <c r="EJ137" i="8"/>
  <c r="EJ136" i="8"/>
  <c r="EJ135" i="8"/>
  <c r="EJ134" i="8"/>
  <c r="EJ133" i="8"/>
  <c r="EJ132" i="8"/>
  <c r="EJ131" i="8"/>
  <c r="EJ130" i="8"/>
  <c r="EJ129" i="8"/>
  <c r="EJ128" i="8"/>
  <c r="EJ127" i="8"/>
  <c r="EJ126" i="8"/>
  <c r="EJ125" i="8"/>
  <c r="EJ124" i="8"/>
  <c r="EJ123" i="8"/>
  <c r="EJ122" i="8"/>
  <c r="EJ121" i="8"/>
  <c r="EJ120" i="8"/>
  <c r="EJ119" i="8"/>
  <c r="EJ118" i="8"/>
  <c r="EJ117" i="8"/>
  <c r="EJ116" i="8"/>
  <c r="EJ115" i="8"/>
  <c r="EJ114" i="8"/>
  <c r="EJ113" i="8"/>
  <c r="EJ112" i="8"/>
  <c r="EJ111" i="8"/>
  <c r="EJ110" i="8"/>
  <c r="EJ109" i="8"/>
  <c r="EJ108" i="8"/>
  <c r="EJ107" i="8"/>
  <c r="EJ106" i="8"/>
  <c r="EJ105" i="8"/>
  <c r="EJ104" i="8"/>
  <c r="EJ103" i="8"/>
  <c r="EJ102" i="8"/>
  <c r="EJ101" i="8"/>
  <c r="EJ100" i="8"/>
  <c r="EJ99" i="8"/>
  <c r="EJ98" i="8"/>
  <c r="EJ97" i="8"/>
  <c r="EJ96" i="8"/>
  <c r="EJ95" i="8"/>
  <c r="EJ94" i="8"/>
  <c r="EJ93" i="8"/>
  <c r="EJ92" i="8"/>
  <c r="EJ91" i="8"/>
  <c r="EJ90" i="8"/>
  <c r="EJ89" i="8"/>
  <c r="EJ88" i="8"/>
  <c r="EJ87" i="8"/>
  <c r="EJ86" i="8"/>
  <c r="EJ85" i="8"/>
  <c r="EJ84" i="8"/>
  <c r="EJ83" i="8"/>
  <c r="EJ82" i="8"/>
  <c r="EJ81" i="8"/>
  <c r="EJ80" i="8"/>
  <c r="EJ79" i="8"/>
  <c r="EJ78" i="8"/>
  <c r="EJ77" i="8"/>
  <c r="EJ76" i="8"/>
  <c r="EJ75" i="8"/>
  <c r="EJ74" i="8"/>
  <c r="EJ73" i="8"/>
  <c r="EJ72" i="8"/>
  <c r="EJ71" i="8"/>
  <c r="EJ70" i="8"/>
  <c r="EJ69" i="8"/>
  <c r="EJ68" i="8"/>
  <c r="EJ67" i="8"/>
  <c r="EJ66" i="8"/>
  <c r="EJ65" i="8"/>
  <c r="EJ64" i="8"/>
  <c r="EJ63" i="8"/>
  <c r="EJ62" i="8"/>
  <c r="EJ61" i="8"/>
  <c r="EJ60" i="8"/>
  <c r="EJ59" i="8"/>
  <c r="EJ58" i="8"/>
  <c r="EJ57" i="8"/>
  <c r="EJ56" i="8"/>
  <c r="EJ55" i="8"/>
  <c r="EJ54" i="8"/>
  <c r="EJ53" i="8"/>
  <c r="EJ52" i="8"/>
  <c r="EJ51" i="8"/>
  <c r="EJ50" i="8"/>
  <c r="EJ49" i="8"/>
  <c r="EJ48" i="8"/>
  <c r="EJ47" i="8"/>
  <c r="EJ46" i="8"/>
  <c r="EJ45" i="8"/>
  <c r="EJ44" i="8"/>
  <c r="EJ43" i="8"/>
  <c r="EJ42" i="8"/>
  <c r="EJ41" i="8"/>
  <c r="EJ40" i="8"/>
  <c r="EJ39" i="8"/>
  <c r="EJ38" i="8"/>
  <c r="EJ37" i="8"/>
  <c r="EJ36" i="8"/>
  <c r="EJ35" i="8"/>
  <c r="EJ34" i="8"/>
  <c r="EJ33" i="8"/>
  <c r="EJ32" i="8"/>
  <c r="EJ31" i="8"/>
  <c r="EJ30" i="8"/>
  <c r="EJ29" i="8"/>
  <c r="EJ28" i="8"/>
  <c r="EJ27" i="8"/>
  <c r="EJ26" i="8"/>
  <c r="EJ25" i="8"/>
  <c r="EJ24" i="8"/>
  <c r="EJ23" i="8"/>
  <c r="EJ22" i="8"/>
  <c r="EJ21" i="8"/>
  <c r="EJ20" i="8"/>
  <c r="EJ19" i="8"/>
  <c r="EJ18" i="8"/>
  <c r="EJ17" i="8"/>
  <c r="EJ16" i="8"/>
  <c r="EJ15" i="8"/>
  <c r="EJ14" i="8"/>
  <c r="EJ13" i="8"/>
  <c r="EJ12" i="8"/>
  <c r="EJ11" i="8"/>
  <c r="EJ10" i="8"/>
  <c r="EJ9" i="8"/>
  <c r="EJ8" i="8"/>
  <c r="EJ7" i="8"/>
  <c r="EJ6" i="8"/>
  <c r="EJ5" i="8"/>
  <c r="EJ4" i="8"/>
  <c r="EE393" i="8"/>
  <c r="EE392" i="8"/>
  <c r="EE391" i="8"/>
  <c r="EE390" i="8"/>
  <c r="EE389" i="8"/>
  <c r="EE388" i="8"/>
  <c r="EE387" i="8"/>
  <c r="EE386" i="8"/>
  <c r="EE385" i="8"/>
  <c r="EE384" i="8"/>
  <c r="EE383" i="8"/>
  <c r="EE382" i="8"/>
  <c r="EE381" i="8"/>
  <c r="EE380" i="8"/>
  <c r="EE379" i="8"/>
  <c r="EE378" i="8"/>
  <c r="EE377" i="8"/>
  <c r="EE376" i="8"/>
  <c r="EE375" i="8"/>
  <c r="EE374" i="8"/>
  <c r="EE373" i="8"/>
  <c r="EE372" i="8"/>
  <c r="EE371" i="8"/>
  <c r="EE370" i="8"/>
  <c r="EE369" i="8"/>
  <c r="EE368" i="8"/>
  <c r="EE367" i="8"/>
  <c r="EE366" i="8"/>
  <c r="EE365" i="8"/>
  <c r="EE364" i="8"/>
  <c r="EE363" i="8"/>
  <c r="EE362" i="8"/>
  <c r="EE361" i="8"/>
  <c r="EE360" i="8"/>
  <c r="EE359" i="8"/>
  <c r="EE358" i="8"/>
  <c r="EE357" i="8"/>
  <c r="EE356" i="8"/>
  <c r="EE355" i="8"/>
  <c r="EE354" i="8"/>
  <c r="EE353" i="8"/>
  <c r="EE352" i="8"/>
  <c r="EE351" i="8"/>
  <c r="EE350" i="8"/>
  <c r="EE349" i="8"/>
  <c r="EE348" i="8"/>
  <c r="EE347" i="8"/>
  <c r="EE346" i="8"/>
  <c r="EE345" i="8"/>
  <c r="EE344" i="8"/>
  <c r="EE343" i="8"/>
  <c r="EE342" i="8"/>
  <c r="EE341" i="8"/>
  <c r="EE340" i="8"/>
  <c r="EE339" i="8"/>
  <c r="EE338" i="8"/>
  <c r="EE337" i="8"/>
  <c r="EE336" i="8"/>
  <c r="EE335" i="8"/>
  <c r="EE334" i="8"/>
  <c r="EE333" i="8"/>
  <c r="EE332" i="8"/>
  <c r="EE331" i="8"/>
  <c r="EE330" i="8"/>
  <c r="EE329" i="8"/>
  <c r="EE328" i="8"/>
  <c r="EE327" i="8"/>
  <c r="EE326" i="8"/>
  <c r="EE325" i="8"/>
  <c r="EE324" i="8"/>
  <c r="EE323" i="8"/>
  <c r="EE322" i="8"/>
  <c r="EE321" i="8"/>
  <c r="EE320" i="8"/>
  <c r="EE319" i="8"/>
  <c r="EE318" i="8"/>
  <c r="EE317" i="8"/>
  <c r="EE316" i="8"/>
  <c r="EE315" i="8"/>
  <c r="EE314" i="8"/>
  <c r="EE313" i="8"/>
  <c r="EE312" i="8"/>
  <c r="EE311" i="8"/>
  <c r="EE310" i="8"/>
  <c r="EE309" i="8"/>
  <c r="EE308" i="8"/>
  <c r="EE307" i="8"/>
  <c r="EE306" i="8"/>
  <c r="EE305" i="8"/>
  <c r="EE304" i="8"/>
  <c r="EE303" i="8"/>
  <c r="EE302" i="8"/>
  <c r="EE301" i="8"/>
  <c r="EE300" i="8"/>
  <c r="EE299" i="8"/>
  <c r="EE298" i="8"/>
  <c r="EE297" i="8"/>
  <c r="EE296" i="8"/>
  <c r="EE295" i="8"/>
  <c r="EE294" i="8"/>
  <c r="EE293" i="8"/>
  <c r="EE292" i="8"/>
  <c r="EE291" i="8"/>
  <c r="EE290" i="8"/>
  <c r="EE289" i="8"/>
  <c r="EE288" i="8"/>
  <c r="EE287" i="8"/>
  <c r="EE286" i="8"/>
  <c r="EE285" i="8"/>
  <c r="EE284" i="8"/>
  <c r="EE283" i="8"/>
  <c r="EE282" i="8"/>
  <c r="EE281" i="8"/>
  <c r="EE280" i="8"/>
  <c r="EE279" i="8"/>
  <c r="EE278" i="8"/>
  <c r="EE277" i="8"/>
  <c r="EE276" i="8"/>
  <c r="EE275" i="8"/>
  <c r="EE274" i="8"/>
  <c r="EE273" i="8"/>
  <c r="EE272" i="8"/>
  <c r="EE271" i="8"/>
  <c r="EE270" i="8"/>
  <c r="EE269" i="8"/>
  <c r="EE268" i="8"/>
  <c r="EE267" i="8"/>
  <c r="EE266" i="8"/>
  <c r="EE265" i="8"/>
  <c r="EE264" i="8"/>
  <c r="EE263" i="8"/>
  <c r="EE262" i="8"/>
  <c r="EE261" i="8"/>
  <c r="EE260" i="8"/>
  <c r="EE259" i="8"/>
  <c r="EE258" i="8"/>
  <c r="EE257" i="8"/>
  <c r="EE256" i="8"/>
  <c r="EE255" i="8"/>
  <c r="EE254" i="8"/>
  <c r="EE253" i="8"/>
  <c r="EE252" i="8"/>
  <c r="EE251" i="8"/>
  <c r="EE250" i="8"/>
  <c r="EE249" i="8"/>
  <c r="EE248" i="8"/>
  <c r="EE247" i="8"/>
  <c r="EE246" i="8"/>
  <c r="EE245" i="8"/>
  <c r="EE244" i="8"/>
  <c r="EE243" i="8"/>
  <c r="EE242" i="8"/>
  <c r="EE241" i="8"/>
  <c r="EE240" i="8"/>
  <c r="EE239" i="8"/>
  <c r="EE238" i="8"/>
  <c r="EE237" i="8"/>
  <c r="EE236" i="8"/>
  <c r="EE235" i="8"/>
  <c r="EE234" i="8"/>
  <c r="EE233" i="8"/>
  <c r="EE232" i="8"/>
  <c r="EE231" i="8"/>
  <c r="EE230" i="8"/>
  <c r="EE229" i="8"/>
  <c r="EE228" i="8"/>
  <c r="EE227" i="8"/>
  <c r="EE226" i="8"/>
  <c r="EE225" i="8"/>
  <c r="EE224" i="8"/>
  <c r="EE223" i="8"/>
  <c r="EE222" i="8"/>
  <c r="EE221" i="8"/>
  <c r="EE220" i="8"/>
  <c r="EE219" i="8"/>
  <c r="EE218" i="8"/>
  <c r="EE217" i="8"/>
  <c r="EE216" i="8"/>
  <c r="EE215" i="8"/>
  <c r="EE214" i="8"/>
  <c r="EE213" i="8"/>
  <c r="EE212" i="8"/>
  <c r="EE211" i="8"/>
  <c r="EE210" i="8"/>
  <c r="EE209" i="8"/>
  <c r="EE208" i="8"/>
  <c r="EE207" i="8"/>
  <c r="EE206" i="8"/>
  <c r="EE205" i="8"/>
  <c r="EE204" i="8"/>
  <c r="EE203" i="8"/>
  <c r="EE202" i="8"/>
  <c r="EE201" i="8"/>
  <c r="EE200" i="8"/>
  <c r="EE199" i="8"/>
  <c r="EE198" i="8"/>
  <c r="EE197" i="8"/>
  <c r="EE196" i="8"/>
  <c r="EE195" i="8"/>
  <c r="EE194" i="8"/>
  <c r="EE193" i="8"/>
  <c r="EE192" i="8"/>
  <c r="EE191" i="8"/>
  <c r="EE190" i="8"/>
  <c r="EE189" i="8"/>
  <c r="EE188" i="8"/>
  <c r="EE187" i="8"/>
  <c r="EE186" i="8"/>
  <c r="EE185" i="8"/>
  <c r="EE184" i="8"/>
  <c r="EE183" i="8"/>
  <c r="EE182" i="8"/>
  <c r="EE181" i="8"/>
  <c r="EE180" i="8"/>
  <c r="EE179" i="8"/>
  <c r="EE178" i="8"/>
  <c r="EE177" i="8"/>
  <c r="EE176" i="8"/>
  <c r="EE175" i="8"/>
  <c r="EE174" i="8"/>
  <c r="EE173" i="8"/>
  <c r="EE172" i="8"/>
  <c r="EE171" i="8"/>
  <c r="EE170" i="8"/>
  <c r="EE169" i="8"/>
  <c r="EE168" i="8"/>
  <c r="EE167" i="8"/>
  <c r="EE166" i="8"/>
  <c r="EE165" i="8"/>
  <c r="EE164" i="8"/>
  <c r="EE163" i="8"/>
  <c r="EE162" i="8"/>
  <c r="EE161" i="8"/>
  <c r="EE160" i="8"/>
  <c r="EE159" i="8"/>
  <c r="EE158" i="8"/>
  <c r="EE157" i="8"/>
  <c r="EE156" i="8"/>
  <c r="EE155" i="8"/>
  <c r="EE154" i="8"/>
  <c r="EE153" i="8"/>
  <c r="EE152" i="8"/>
  <c r="EE151" i="8"/>
  <c r="EE150" i="8"/>
  <c r="EE149" i="8"/>
  <c r="EE148" i="8"/>
  <c r="EE147" i="8"/>
  <c r="EE146" i="8"/>
  <c r="EE145" i="8"/>
  <c r="EE144" i="8"/>
  <c r="EE143" i="8"/>
  <c r="EE142" i="8"/>
  <c r="EE141" i="8"/>
  <c r="EE140" i="8"/>
  <c r="EE139" i="8"/>
  <c r="EE138" i="8"/>
  <c r="EE137" i="8"/>
  <c r="EE136" i="8"/>
  <c r="EE135" i="8"/>
  <c r="EE134" i="8"/>
  <c r="EE133" i="8"/>
  <c r="EE132" i="8"/>
  <c r="EE131" i="8"/>
  <c r="EE130" i="8"/>
  <c r="EE129" i="8"/>
  <c r="EE128" i="8"/>
  <c r="EE127" i="8"/>
  <c r="EE126" i="8"/>
  <c r="EE125" i="8"/>
  <c r="EE124" i="8"/>
  <c r="EE123" i="8"/>
  <c r="EE122" i="8"/>
  <c r="EE121" i="8"/>
  <c r="EE120" i="8"/>
  <c r="EE119" i="8"/>
  <c r="EE118" i="8"/>
  <c r="EE117" i="8"/>
  <c r="EE116" i="8"/>
  <c r="EE115" i="8"/>
  <c r="EE114" i="8"/>
  <c r="EE113" i="8"/>
  <c r="EE112" i="8"/>
  <c r="EE111" i="8"/>
  <c r="EE110" i="8"/>
  <c r="EE109" i="8"/>
  <c r="EE108" i="8"/>
  <c r="EE107" i="8"/>
  <c r="EE106" i="8"/>
  <c r="EE105" i="8"/>
  <c r="EE104" i="8"/>
  <c r="EE103" i="8"/>
  <c r="EE102" i="8"/>
  <c r="EE101" i="8"/>
  <c r="EE100" i="8"/>
  <c r="EE99" i="8"/>
  <c r="EE98" i="8"/>
  <c r="EE97" i="8"/>
  <c r="EE96" i="8"/>
  <c r="EE95" i="8"/>
  <c r="EE94" i="8"/>
  <c r="EE93" i="8"/>
  <c r="EE92" i="8"/>
  <c r="EE91" i="8"/>
  <c r="EE90" i="8"/>
  <c r="EE89" i="8"/>
  <c r="EE88" i="8"/>
  <c r="EE87" i="8"/>
  <c r="EE86" i="8"/>
  <c r="EE85" i="8"/>
  <c r="EE84" i="8"/>
  <c r="EE83" i="8"/>
  <c r="EE82" i="8"/>
  <c r="EE81" i="8"/>
  <c r="EE80" i="8"/>
  <c r="EE79" i="8"/>
  <c r="EE78" i="8"/>
  <c r="EE77" i="8"/>
  <c r="EE76" i="8"/>
  <c r="EE75" i="8"/>
  <c r="EE74" i="8"/>
  <c r="EE73" i="8"/>
  <c r="EE72" i="8"/>
  <c r="EE71" i="8"/>
  <c r="EE70" i="8"/>
  <c r="EE69" i="8"/>
  <c r="EE68" i="8"/>
  <c r="EE67" i="8"/>
  <c r="EE66" i="8"/>
  <c r="EE65" i="8"/>
  <c r="EE64" i="8"/>
  <c r="EE63" i="8"/>
  <c r="EE62" i="8"/>
  <c r="EE61" i="8"/>
  <c r="EE60" i="8"/>
  <c r="EE59" i="8"/>
  <c r="EE58" i="8"/>
  <c r="EE57" i="8"/>
  <c r="EE56" i="8"/>
  <c r="EE55" i="8"/>
  <c r="EE54" i="8"/>
  <c r="EE53" i="8"/>
  <c r="EE52" i="8"/>
  <c r="EE51" i="8"/>
  <c r="EE50" i="8"/>
  <c r="EE49" i="8"/>
  <c r="EE48" i="8"/>
  <c r="EE47" i="8"/>
  <c r="EE46" i="8"/>
  <c r="EE45" i="8"/>
  <c r="EE44" i="8"/>
  <c r="EE43" i="8"/>
  <c r="EE42" i="8"/>
  <c r="EE41" i="8"/>
  <c r="EE40" i="8"/>
  <c r="EE39" i="8"/>
  <c r="EE38" i="8"/>
  <c r="EE37" i="8"/>
  <c r="EE36" i="8"/>
  <c r="EE35" i="8"/>
  <c r="EE34" i="8"/>
  <c r="EE33" i="8"/>
  <c r="EE32" i="8"/>
  <c r="EE31" i="8"/>
  <c r="EE30" i="8"/>
  <c r="EE29" i="8"/>
  <c r="EE28" i="8"/>
  <c r="EE27" i="8"/>
  <c r="EE26" i="8"/>
  <c r="EE25" i="8"/>
  <c r="EE24" i="8"/>
  <c r="EE23" i="8"/>
  <c r="EE22" i="8"/>
  <c r="EE21" i="8"/>
  <c r="EE20" i="8"/>
  <c r="EE19" i="8"/>
  <c r="EE18" i="8"/>
  <c r="EE17" i="8"/>
  <c r="EE16" i="8"/>
  <c r="EE15" i="8"/>
  <c r="EE14" i="8"/>
  <c r="EE13" i="8"/>
  <c r="EE12" i="8"/>
  <c r="EE11" i="8"/>
  <c r="EE10" i="8"/>
  <c r="EE9" i="8"/>
  <c r="EE8" i="8"/>
  <c r="EE7" i="8"/>
  <c r="EE6" i="8"/>
  <c r="EE5" i="8"/>
  <c r="EE4" i="8"/>
  <c r="DZ393" i="8"/>
  <c r="DZ392" i="8"/>
  <c r="DZ391" i="8"/>
  <c r="DZ390" i="8"/>
  <c r="DZ389" i="8"/>
  <c r="DZ388" i="8"/>
  <c r="DZ387" i="8"/>
  <c r="DZ386" i="8"/>
  <c r="DZ385" i="8"/>
  <c r="DZ384" i="8"/>
  <c r="DZ383" i="8"/>
  <c r="DZ382" i="8"/>
  <c r="DZ381" i="8"/>
  <c r="DZ380" i="8"/>
  <c r="DZ379" i="8"/>
  <c r="DZ378" i="8"/>
  <c r="DZ377" i="8"/>
  <c r="DZ376" i="8"/>
  <c r="DZ375" i="8"/>
  <c r="DZ374" i="8"/>
  <c r="DZ373" i="8"/>
  <c r="DZ372" i="8"/>
  <c r="DZ371" i="8"/>
  <c r="DZ370" i="8"/>
  <c r="DZ369" i="8"/>
  <c r="DZ368" i="8"/>
  <c r="DZ367" i="8"/>
  <c r="DZ366" i="8"/>
  <c r="DZ365" i="8"/>
  <c r="DZ364" i="8"/>
  <c r="DZ363" i="8"/>
  <c r="DZ362" i="8"/>
  <c r="DZ361" i="8"/>
  <c r="DZ360" i="8"/>
  <c r="DZ359" i="8"/>
  <c r="DZ358" i="8"/>
  <c r="DZ357" i="8"/>
  <c r="DZ356" i="8"/>
  <c r="DZ355" i="8"/>
  <c r="DZ354" i="8"/>
  <c r="DZ353" i="8"/>
  <c r="DZ352" i="8"/>
  <c r="DZ351" i="8"/>
  <c r="DZ350" i="8"/>
  <c r="DZ349" i="8"/>
  <c r="DZ348" i="8"/>
  <c r="DZ347" i="8"/>
  <c r="DZ346" i="8"/>
  <c r="DZ345" i="8"/>
  <c r="DZ344" i="8"/>
  <c r="DZ343" i="8"/>
  <c r="DZ342" i="8"/>
  <c r="DZ341" i="8"/>
  <c r="DZ340" i="8"/>
  <c r="DZ339" i="8"/>
  <c r="DZ338" i="8"/>
  <c r="DZ337" i="8"/>
  <c r="DZ336" i="8"/>
  <c r="DZ335" i="8"/>
  <c r="DZ334" i="8"/>
  <c r="DZ333" i="8"/>
  <c r="DZ332" i="8"/>
  <c r="DZ331" i="8"/>
  <c r="DZ330" i="8"/>
  <c r="DZ329" i="8"/>
  <c r="DZ328" i="8"/>
  <c r="DZ327" i="8"/>
  <c r="DZ326" i="8"/>
  <c r="DZ325" i="8"/>
  <c r="DZ324" i="8"/>
  <c r="DZ323" i="8"/>
  <c r="DZ322" i="8"/>
  <c r="DZ321" i="8"/>
  <c r="DZ320" i="8"/>
  <c r="DZ319" i="8"/>
  <c r="DZ318" i="8"/>
  <c r="DZ317" i="8"/>
  <c r="DZ316" i="8"/>
  <c r="DZ315" i="8"/>
  <c r="DZ314" i="8"/>
  <c r="DZ313" i="8"/>
  <c r="DZ312" i="8"/>
  <c r="DZ311" i="8"/>
  <c r="DZ310" i="8"/>
  <c r="DZ309" i="8"/>
  <c r="DZ308" i="8"/>
  <c r="DZ307" i="8"/>
  <c r="DZ306" i="8"/>
  <c r="DZ305" i="8"/>
  <c r="DZ304" i="8"/>
  <c r="DZ303" i="8"/>
  <c r="DZ302" i="8"/>
  <c r="DZ301" i="8"/>
  <c r="DZ300" i="8"/>
  <c r="DZ299" i="8"/>
  <c r="DZ298" i="8"/>
  <c r="DZ297" i="8"/>
  <c r="DZ296" i="8"/>
  <c r="DZ295" i="8"/>
  <c r="DZ294" i="8"/>
  <c r="DZ293" i="8"/>
  <c r="DZ292" i="8"/>
  <c r="DZ291" i="8"/>
  <c r="DZ290" i="8"/>
  <c r="DZ289" i="8"/>
  <c r="DZ288" i="8"/>
  <c r="DZ287" i="8"/>
  <c r="DZ286" i="8"/>
  <c r="DZ285" i="8"/>
  <c r="DZ284" i="8"/>
  <c r="DZ283" i="8"/>
  <c r="DZ282" i="8"/>
  <c r="DZ281" i="8"/>
  <c r="DZ280" i="8"/>
  <c r="DZ279" i="8"/>
  <c r="DZ278" i="8"/>
  <c r="DZ277" i="8"/>
  <c r="DZ276" i="8"/>
  <c r="DZ275" i="8"/>
  <c r="DZ274" i="8"/>
  <c r="DZ273" i="8"/>
  <c r="DZ272" i="8"/>
  <c r="DZ271" i="8"/>
  <c r="DZ270" i="8"/>
  <c r="DZ269" i="8"/>
  <c r="DZ268" i="8"/>
  <c r="DZ267" i="8"/>
  <c r="DZ266" i="8"/>
  <c r="DZ265" i="8"/>
  <c r="DZ264" i="8"/>
  <c r="DZ263" i="8"/>
  <c r="DZ262" i="8"/>
  <c r="DZ261" i="8"/>
  <c r="DZ260" i="8"/>
  <c r="DZ259" i="8"/>
  <c r="DZ258" i="8"/>
  <c r="DZ257" i="8"/>
  <c r="DZ256" i="8"/>
  <c r="DZ255" i="8"/>
  <c r="DZ254" i="8"/>
  <c r="DZ253" i="8"/>
  <c r="DZ252" i="8"/>
  <c r="DZ251" i="8"/>
  <c r="DZ250" i="8"/>
  <c r="DZ249" i="8"/>
  <c r="DZ248" i="8"/>
  <c r="DZ247" i="8"/>
  <c r="DZ246" i="8"/>
  <c r="DZ245" i="8"/>
  <c r="DZ244" i="8"/>
  <c r="DZ243" i="8"/>
  <c r="DZ242" i="8"/>
  <c r="DZ241" i="8"/>
  <c r="DZ240" i="8"/>
  <c r="DZ239" i="8"/>
  <c r="DZ238" i="8"/>
  <c r="DZ237" i="8"/>
  <c r="DZ236" i="8"/>
  <c r="DZ235" i="8"/>
  <c r="DZ234" i="8"/>
  <c r="DZ233" i="8"/>
  <c r="DZ232" i="8"/>
  <c r="DZ231" i="8"/>
  <c r="DZ230" i="8"/>
  <c r="DZ229" i="8"/>
  <c r="DZ228" i="8"/>
  <c r="DZ227" i="8"/>
  <c r="DZ226" i="8"/>
  <c r="DZ225" i="8"/>
  <c r="DZ224" i="8"/>
  <c r="DZ223" i="8"/>
  <c r="DZ222" i="8"/>
  <c r="DZ221" i="8"/>
  <c r="DZ220" i="8"/>
  <c r="DZ219" i="8"/>
  <c r="DZ218" i="8"/>
  <c r="DZ217" i="8"/>
  <c r="DZ216" i="8"/>
  <c r="DZ215" i="8"/>
  <c r="DZ214" i="8"/>
  <c r="DZ213" i="8"/>
  <c r="DZ212" i="8"/>
  <c r="DZ211" i="8"/>
  <c r="DZ210" i="8"/>
  <c r="DZ209" i="8"/>
  <c r="DZ208" i="8"/>
  <c r="DZ207" i="8"/>
  <c r="DZ206" i="8"/>
  <c r="DZ205" i="8"/>
  <c r="DZ204" i="8"/>
  <c r="DZ203" i="8"/>
  <c r="DZ202" i="8"/>
  <c r="DZ201" i="8"/>
  <c r="DZ200" i="8"/>
  <c r="DZ199" i="8"/>
  <c r="DZ198" i="8"/>
  <c r="DZ197" i="8"/>
  <c r="DZ196" i="8"/>
  <c r="DZ195" i="8"/>
  <c r="DZ194" i="8"/>
  <c r="DZ193" i="8"/>
  <c r="DZ192" i="8"/>
  <c r="DZ191" i="8"/>
  <c r="DZ190" i="8"/>
  <c r="DZ189" i="8"/>
  <c r="DZ188" i="8"/>
  <c r="DZ187" i="8"/>
  <c r="DZ186" i="8"/>
  <c r="DZ185" i="8"/>
  <c r="DZ184" i="8"/>
  <c r="DZ183" i="8"/>
  <c r="DZ182" i="8"/>
  <c r="DZ181" i="8"/>
  <c r="DZ180" i="8"/>
  <c r="DZ179" i="8"/>
  <c r="DZ178" i="8"/>
  <c r="DZ177" i="8"/>
  <c r="DZ176" i="8"/>
  <c r="DZ175" i="8"/>
  <c r="DZ174" i="8"/>
  <c r="DZ173" i="8"/>
  <c r="DZ172" i="8"/>
  <c r="DZ171" i="8"/>
  <c r="DZ170" i="8"/>
  <c r="DZ169" i="8"/>
  <c r="DZ168" i="8"/>
  <c r="DZ167" i="8"/>
  <c r="DZ166" i="8"/>
  <c r="DZ165" i="8"/>
  <c r="DZ164" i="8"/>
  <c r="DZ163" i="8"/>
  <c r="DZ162" i="8"/>
  <c r="DZ161" i="8"/>
  <c r="DZ160" i="8"/>
  <c r="DZ159" i="8"/>
  <c r="DZ158" i="8"/>
  <c r="DZ157" i="8"/>
  <c r="DZ156" i="8"/>
  <c r="DZ155" i="8"/>
  <c r="DZ154" i="8"/>
  <c r="DZ153" i="8"/>
  <c r="DZ152" i="8"/>
  <c r="DZ151" i="8"/>
  <c r="DZ150" i="8"/>
  <c r="DZ149" i="8"/>
  <c r="DZ148" i="8"/>
  <c r="DZ147" i="8"/>
  <c r="DZ146" i="8"/>
  <c r="DZ145" i="8"/>
  <c r="DZ144" i="8"/>
  <c r="DZ143" i="8"/>
  <c r="DZ142" i="8"/>
  <c r="DZ141" i="8"/>
  <c r="DZ140" i="8"/>
  <c r="DZ139" i="8"/>
  <c r="DZ138" i="8"/>
  <c r="DZ137" i="8"/>
  <c r="DZ136" i="8"/>
  <c r="DZ135" i="8"/>
  <c r="DZ134" i="8"/>
  <c r="DZ133" i="8"/>
  <c r="DZ132" i="8"/>
  <c r="DZ131" i="8"/>
  <c r="DZ130" i="8"/>
  <c r="DZ129" i="8"/>
  <c r="DZ128" i="8"/>
  <c r="DZ127" i="8"/>
  <c r="DZ126" i="8"/>
  <c r="DZ125" i="8"/>
  <c r="DZ124" i="8"/>
  <c r="DZ123" i="8"/>
  <c r="DZ122" i="8"/>
  <c r="DZ121" i="8"/>
  <c r="DZ120" i="8"/>
  <c r="DZ119" i="8"/>
  <c r="DZ118" i="8"/>
  <c r="DZ117" i="8"/>
  <c r="DZ116" i="8"/>
  <c r="DZ115" i="8"/>
  <c r="DZ114" i="8"/>
  <c r="DZ113" i="8"/>
  <c r="DZ112" i="8"/>
  <c r="DZ111" i="8"/>
  <c r="DZ110" i="8"/>
  <c r="DZ109" i="8"/>
  <c r="DZ108" i="8"/>
  <c r="DZ107" i="8"/>
  <c r="DZ106" i="8"/>
  <c r="DZ105" i="8"/>
  <c r="DZ104" i="8"/>
  <c r="DZ103" i="8"/>
  <c r="DZ102" i="8"/>
  <c r="DZ101" i="8"/>
  <c r="DZ100" i="8"/>
  <c r="DZ99" i="8"/>
  <c r="DZ98" i="8"/>
  <c r="DZ97" i="8"/>
  <c r="DZ96" i="8"/>
  <c r="DZ95" i="8"/>
  <c r="DZ94" i="8"/>
  <c r="DZ93" i="8"/>
  <c r="DZ92" i="8"/>
  <c r="DZ91" i="8"/>
  <c r="DZ90" i="8"/>
  <c r="DZ89" i="8"/>
  <c r="DZ88" i="8"/>
  <c r="DZ87" i="8"/>
  <c r="DZ86" i="8"/>
  <c r="DZ85" i="8"/>
  <c r="DZ84" i="8"/>
  <c r="DZ83" i="8"/>
  <c r="DZ82" i="8"/>
  <c r="DZ81" i="8"/>
  <c r="DZ80" i="8"/>
  <c r="DZ79" i="8"/>
  <c r="DZ78" i="8"/>
  <c r="DZ77" i="8"/>
  <c r="DZ76" i="8"/>
  <c r="DZ75" i="8"/>
  <c r="DZ74" i="8"/>
  <c r="DZ73" i="8"/>
  <c r="DZ72" i="8"/>
  <c r="DZ71" i="8"/>
  <c r="DZ70" i="8"/>
  <c r="DZ69" i="8"/>
  <c r="DZ68" i="8"/>
  <c r="DZ67" i="8"/>
  <c r="DZ66" i="8"/>
  <c r="DZ65" i="8"/>
  <c r="DZ64" i="8"/>
  <c r="DZ63" i="8"/>
  <c r="DZ62" i="8"/>
  <c r="DZ61" i="8"/>
  <c r="DZ60" i="8"/>
  <c r="DZ59" i="8"/>
  <c r="DZ58" i="8"/>
  <c r="DZ57" i="8"/>
  <c r="DZ56" i="8"/>
  <c r="DZ55" i="8"/>
  <c r="DZ54" i="8"/>
  <c r="DZ53" i="8"/>
  <c r="DZ52" i="8"/>
  <c r="DZ51" i="8"/>
  <c r="DZ50" i="8"/>
  <c r="DZ49" i="8"/>
  <c r="DZ48" i="8"/>
  <c r="DZ47" i="8"/>
  <c r="DZ46" i="8"/>
  <c r="DZ45" i="8"/>
  <c r="DZ44" i="8"/>
  <c r="DZ43" i="8"/>
  <c r="DZ42" i="8"/>
  <c r="DZ41" i="8"/>
  <c r="DZ40" i="8"/>
  <c r="DZ39" i="8"/>
  <c r="DZ38" i="8"/>
  <c r="DZ37" i="8"/>
  <c r="DZ36" i="8"/>
  <c r="DZ35" i="8"/>
  <c r="DZ34" i="8"/>
  <c r="DZ33" i="8"/>
  <c r="DZ32" i="8"/>
  <c r="DZ31" i="8"/>
  <c r="DZ30" i="8"/>
  <c r="DZ29" i="8"/>
  <c r="DZ28" i="8"/>
  <c r="DZ27" i="8"/>
  <c r="DZ26" i="8"/>
  <c r="DZ25" i="8"/>
  <c r="DZ24" i="8"/>
  <c r="DZ23" i="8"/>
  <c r="DZ22" i="8"/>
  <c r="DZ21" i="8"/>
  <c r="DZ20" i="8"/>
  <c r="DZ19" i="8"/>
  <c r="DZ18" i="8"/>
  <c r="DZ17" i="8"/>
  <c r="DZ16" i="8"/>
  <c r="DZ15" i="8"/>
  <c r="DZ14" i="8"/>
  <c r="DZ13" i="8"/>
  <c r="DZ12" i="8"/>
  <c r="DZ11" i="8"/>
  <c r="DZ10" i="8"/>
  <c r="DZ9" i="8"/>
  <c r="DZ8" i="8"/>
  <c r="DZ7" i="8"/>
  <c r="DZ6" i="8"/>
  <c r="DZ5" i="8"/>
  <c r="DZ4" i="8"/>
  <c r="DP393" i="8"/>
  <c r="DP392" i="8"/>
  <c r="DP391" i="8"/>
  <c r="DP390" i="8"/>
  <c r="DP389" i="8"/>
  <c r="DP388" i="8"/>
  <c r="DP387" i="8"/>
  <c r="DP386" i="8"/>
  <c r="DP385" i="8"/>
  <c r="DP384" i="8"/>
  <c r="DP383" i="8"/>
  <c r="DP382" i="8"/>
  <c r="DP381" i="8"/>
  <c r="DP380" i="8"/>
  <c r="DP379" i="8"/>
  <c r="DP378" i="8"/>
  <c r="DP377" i="8"/>
  <c r="DP376" i="8"/>
  <c r="DP375" i="8"/>
  <c r="DP374" i="8"/>
  <c r="DP373" i="8"/>
  <c r="DP372" i="8"/>
  <c r="DP371" i="8"/>
  <c r="DP370" i="8"/>
  <c r="DP369" i="8"/>
  <c r="DP368" i="8"/>
  <c r="DP367" i="8"/>
  <c r="DP366" i="8"/>
  <c r="DP365" i="8"/>
  <c r="DP364" i="8"/>
  <c r="DP363" i="8"/>
  <c r="DP362" i="8"/>
  <c r="DP361" i="8"/>
  <c r="DP360" i="8"/>
  <c r="DP359" i="8"/>
  <c r="DP358" i="8"/>
  <c r="DP357" i="8"/>
  <c r="DP356" i="8"/>
  <c r="DP355" i="8"/>
  <c r="DP354" i="8"/>
  <c r="DP353" i="8"/>
  <c r="DP352" i="8"/>
  <c r="DP351" i="8"/>
  <c r="DP350" i="8"/>
  <c r="DP349" i="8"/>
  <c r="DP348" i="8"/>
  <c r="DP347" i="8"/>
  <c r="DP346" i="8"/>
  <c r="DP345" i="8"/>
  <c r="DP344" i="8"/>
  <c r="DP343" i="8"/>
  <c r="DP342" i="8"/>
  <c r="DP341" i="8"/>
  <c r="DP340" i="8"/>
  <c r="DP339" i="8"/>
  <c r="DP338" i="8"/>
  <c r="DP337" i="8"/>
  <c r="DP336" i="8"/>
  <c r="DP335" i="8"/>
  <c r="DP334" i="8"/>
  <c r="DP333" i="8"/>
  <c r="DP332" i="8"/>
  <c r="DP331" i="8"/>
  <c r="DP330" i="8"/>
  <c r="DP329" i="8"/>
  <c r="DP328" i="8"/>
  <c r="DP327" i="8"/>
  <c r="DP326" i="8"/>
  <c r="DP325" i="8"/>
  <c r="DP324" i="8"/>
  <c r="DP323" i="8"/>
  <c r="DP322" i="8"/>
  <c r="DP321" i="8"/>
  <c r="DP320" i="8"/>
  <c r="DP319" i="8"/>
  <c r="DP318" i="8"/>
  <c r="DP317" i="8"/>
  <c r="DP316" i="8"/>
  <c r="DP315" i="8"/>
  <c r="DP314" i="8"/>
  <c r="DP313" i="8"/>
  <c r="DP312" i="8"/>
  <c r="DP311" i="8"/>
  <c r="DP310" i="8"/>
  <c r="DP309" i="8"/>
  <c r="DP308" i="8"/>
  <c r="DP307" i="8"/>
  <c r="DP306" i="8"/>
  <c r="DP305" i="8"/>
  <c r="DP304" i="8"/>
  <c r="DP303" i="8"/>
  <c r="DP302" i="8"/>
  <c r="DP301" i="8"/>
  <c r="DP300" i="8"/>
  <c r="DP299" i="8"/>
  <c r="DP298" i="8"/>
  <c r="DP297" i="8"/>
  <c r="DP296" i="8"/>
  <c r="DP295" i="8"/>
  <c r="DP294" i="8"/>
  <c r="DP293" i="8"/>
  <c r="DP292" i="8"/>
  <c r="DP291" i="8"/>
  <c r="DP290" i="8"/>
  <c r="DP289" i="8"/>
  <c r="DP288" i="8"/>
  <c r="DP287" i="8"/>
  <c r="DP286" i="8"/>
  <c r="DP285" i="8"/>
  <c r="DP284" i="8"/>
  <c r="DP283" i="8"/>
  <c r="DP282" i="8"/>
  <c r="DP281" i="8"/>
  <c r="DP280" i="8"/>
  <c r="DP279" i="8"/>
  <c r="DP278" i="8"/>
  <c r="DP277" i="8"/>
  <c r="DP276" i="8"/>
  <c r="DP275" i="8"/>
  <c r="DP274" i="8"/>
  <c r="DP273" i="8"/>
  <c r="DP272" i="8"/>
  <c r="DP271" i="8"/>
  <c r="DP270" i="8"/>
  <c r="DP269" i="8"/>
  <c r="DP268" i="8"/>
  <c r="DP267" i="8"/>
  <c r="DP266" i="8"/>
  <c r="DP265" i="8"/>
  <c r="DP264" i="8"/>
  <c r="DP263" i="8"/>
  <c r="DP262" i="8"/>
  <c r="DP261" i="8"/>
  <c r="DP260" i="8"/>
  <c r="DP259" i="8"/>
  <c r="DP258" i="8"/>
  <c r="DP257" i="8"/>
  <c r="DP256" i="8"/>
  <c r="DP255" i="8"/>
  <c r="DP254" i="8"/>
  <c r="DP253" i="8"/>
  <c r="DP252" i="8"/>
  <c r="DP251" i="8"/>
  <c r="DP250" i="8"/>
  <c r="DP249" i="8"/>
  <c r="DP248" i="8"/>
  <c r="DP247" i="8"/>
  <c r="DP246" i="8"/>
  <c r="DP245" i="8"/>
  <c r="DP244" i="8"/>
  <c r="DP243" i="8"/>
  <c r="DP242" i="8"/>
  <c r="DP241" i="8"/>
  <c r="DP240" i="8"/>
  <c r="DP239" i="8"/>
  <c r="DP238" i="8"/>
  <c r="DP237" i="8"/>
  <c r="DP236" i="8"/>
  <c r="DP235" i="8"/>
  <c r="DP234" i="8"/>
  <c r="DP233" i="8"/>
  <c r="DP232" i="8"/>
  <c r="DP231" i="8"/>
  <c r="DP230" i="8"/>
  <c r="DP229" i="8"/>
  <c r="DP228" i="8"/>
  <c r="DP227" i="8"/>
  <c r="DP226" i="8"/>
  <c r="DP225" i="8"/>
  <c r="DP224" i="8"/>
  <c r="DP223" i="8"/>
  <c r="DP222" i="8"/>
  <c r="DP221" i="8"/>
  <c r="DP220" i="8"/>
  <c r="DP219" i="8"/>
  <c r="DP218" i="8"/>
  <c r="DP217" i="8"/>
  <c r="DP216" i="8"/>
  <c r="DP215" i="8"/>
  <c r="DP214" i="8"/>
  <c r="DP213" i="8"/>
  <c r="DP212" i="8"/>
  <c r="DP211" i="8"/>
  <c r="DP210" i="8"/>
  <c r="DP209" i="8"/>
  <c r="DP208" i="8"/>
  <c r="DP207" i="8"/>
  <c r="DP206" i="8"/>
  <c r="DP205" i="8"/>
  <c r="DP204" i="8"/>
  <c r="DP203" i="8"/>
  <c r="DP202" i="8"/>
  <c r="DP201" i="8"/>
  <c r="DP200" i="8"/>
  <c r="DP199" i="8"/>
  <c r="DP198" i="8"/>
  <c r="DP197" i="8"/>
  <c r="DP196" i="8"/>
  <c r="DP195" i="8"/>
  <c r="DP194" i="8"/>
  <c r="DP193" i="8"/>
  <c r="DP192" i="8"/>
  <c r="DP191" i="8"/>
  <c r="DP190" i="8"/>
  <c r="DP189" i="8"/>
  <c r="DP188" i="8"/>
  <c r="DP187" i="8"/>
  <c r="DP186" i="8"/>
  <c r="DP185" i="8"/>
  <c r="DP184" i="8"/>
  <c r="DP183" i="8"/>
  <c r="DP182" i="8"/>
  <c r="DP181" i="8"/>
  <c r="DP180" i="8"/>
  <c r="DP179" i="8"/>
  <c r="DP178" i="8"/>
  <c r="DP177" i="8"/>
  <c r="DP176" i="8"/>
  <c r="DP175" i="8"/>
  <c r="DP174" i="8"/>
  <c r="DP173" i="8"/>
  <c r="DP172" i="8"/>
  <c r="DP171" i="8"/>
  <c r="DP170" i="8"/>
  <c r="DP169" i="8"/>
  <c r="DP168" i="8"/>
  <c r="DP167" i="8"/>
  <c r="DP166" i="8"/>
  <c r="DP165" i="8"/>
  <c r="DP164" i="8"/>
  <c r="DP163" i="8"/>
  <c r="DP162" i="8"/>
  <c r="DP161" i="8"/>
  <c r="DP160" i="8"/>
  <c r="DP159" i="8"/>
  <c r="DP158" i="8"/>
  <c r="DP157" i="8"/>
  <c r="DP156" i="8"/>
  <c r="DP155" i="8"/>
  <c r="DP154" i="8"/>
  <c r="DP153" i="8"/>
  <c r="DP152" i="8"/>
  <c r="DP151" i="8"/>
  <c r="DP150" i="8"/>
  <c r="DP149" i="8"/>
  <c r="DP148" i="8"/>
  <c r="DP147" i="8"/>
  <c r="DP146" i="8"/>
  <c r="DP145" i="8"/>
  <c r="DP144" i="8"/>
  <c r="DP143" i="8"/>
  <c r="DP142" i="8"/>
  <c r="DP141" i="8"/>
  <c r="DP140" i="8"/>
  <c r="DP139" i="8"/>
  <c r="DP138" i="8"/>
  <c r="DP137" i="8"/>
  <c r="DP136" i="8"/>
  <c r="DP135" i="8"/>
  <c r="DP134" i="8"/>
  <c r="DP133" i="8"/>
  <c r="DP132" i="8"/>
  <c r="DP131" i="8"/>
  <c r="DP130" i="8"/>
  <c r="DP129" i="8"/>
  <c r="DP128" i="8"/>
  <c r="DP127" i="8"/>
  <c r="DP126" i="8"/>
  <c r="DP125" i="8"/>
  <c r="DP124" i="8"/>
  <c r="DP123" i="8"/>
  <c r="DP122" i="8"/>
  <c r="DP121" i="8"/>
  <c r="DP120" i="8"/>
  <c r="DP119" i="8"/>
  <c r="DP118" i="8"/>
  <c r="DP117" i="8"/>
  <c r="DP116" i="8"/>
  <c r="DP115" i="8"/>
  <c r="DP114" i="8"/>
  <c r="DP113" i="8"/>
  <c r="DP112" i="8"/>
  <c r="DP111" i="8"/>
  <c r="DP110" i="8"/>
  <c r="DP109" i="8"/>
  <c r="DP108" i="8"/>
  <c r="DP107" i="8"/>
  <c r="DP106" i="8"/>
  <c r="DP105" i="8"/>
  <c r="DP104" i="8"/>
  <c r="DP103" i="8"/>
  <c r="DP102" i="8"/>
  <c r="DP101" i="8"/>
  <c r="DP100" i="8"/>
  <c r="DP99" i="8"/>
  <c r="DP98" i="8"/>
  <c r="DP97" i="8"/>
  <c r="DP96" i="8"/>
  <c r="DP95" i="8"/>
  <c r="DP94" i="8"/>
  <c r="DP93" i="8"/>
  <c r="DP92" i="8"/>
  <c r="DP91" i="8"/>
  <c r="DP90" i="8"/>
  <c r="DP89" i="8"/>
  <c r="DP88" i="8"/>
  <c r="DP87" i="8"/>
  <c r="DP86" i="8"/>
  <c r="DP85" i="8"/>
  <c r="DP84" i="8"/>
  <c r="DP83" i="8"/>
  <c r="DP82" i="8"/>
  <c r="DP81" i="8"/>
  <c r="DP80" i="8"/>
  <c r="DP79" i="8"/>
  <c r="DP78" i="8"/>
  <c r="DP77" i="8"/>
  <c r="DP76" i="8"/>
  <c r="DP75" i="8"/>
  <c r="DP74" i="8"/>
  <c r="DP73" i="8"/>
  <c r="DP72" i="8"/>
  <c r="DP71" i="8"/>
  <c r="DP70" i="8"/>
  <c r="DP69" i="8"/>
  <c r="DP68" i="8"/>
  <c r="DP67" i="8"/>
  <c r="DP66" i="8"/>
  <c r="DP65" i="8"/>
  <c r="DP64" i="8"/>
  <c r="DP63" i="8"/>
  <c r="DP62" i="8"/>
  <c r="DP61" i="8"/>
  <c r="DP60" i="8"/>
  <c r="DP59" i="8"/>
  <c r="DP58" i="8"/>
  <c r="DP57" i="8"/>
  <c r="DP56" i="8"/>
  <c r="DP55" i="8"/>
  <c r="DP54" i="8"/>
  <c r="DP53" i="8"/>
  <c r="DP52" i="8"/>
  <c r="DP51" i="8"/>
  <c r="DP50" i="8"/>
  <c r="DP49" i="8"/>
  <c r="DP48" i="8"/>
  <c r="DP47" i="8"/>
  <c r="DP46" i="8"/>
  <c r="DP45" i="8"/>
  <c r="DP44" i="8"/>
  <c r="DP43" i="8"/>
  <c r="DP42" i="8"/>
  <c r="DP41" i="8"/>
  <c r="DP40" i="8"/>
  <c r="DP39" i="8"/>
  <c r="DP38" i="8"/>
  <c r="DP37" i="8"/>
  <c r="DP36" i="8"/>
  <c r="DP35" i="8"/>
  <c r="DP34" i="8"/>
  <c r="DP33" i="8"/>
  <c r="DP32" i="8"/>
  <c r="DP31" i="8"/>
  <c r="DP30" i="8"/>
  <c r="DP29" i="8"/>
  <c r="DP28" i="8"/>
  <c r="DP27" i="8"/>
  <c r="DP26" i="8"/>
  <c r="DP25" i="8"/>
  <c r="DP24" i="8"/>
  <c r="DP23" i="8"/>
  <c r="DP22" i="8"/>
  <c r="DP21" i="8"/>
  <c r="DP20" i="8"/>
  <c r="DP19" i="8"/>
  <c r="DP18" i="8"/>
  <c r="DP17" i="8"/>
  <c r="DP16" i="8"/>
  <c r="DP15" i="8"/>
  <c r="DP14" i="8"/>
  <c r="DP13" i="8"/>
  <c r="DP12" i="8"/>
  <c r="DP11" i="8"/>
  <c r="DP10" i="8"/>
  <c r="DP9" i="8"/>
  <c r="DP8" i="8"/>
  <c r="DP7" i="8"/>
  <c r="DP6" i="8"/>
  <c r="DP5" i="8"/>
  <c r="DP4" i="8"/>
  <c r="DK393" i="8"/>
  <c r="DK392" i="8"/>
  <c r="DK391" i="8"/>
  <c r="DK390" i="8"/>
  <c r="DK389" i="8"/>
  <c r="DK388" i="8"/>
  <c r="DK387" i="8"/>
  <c r="DK386" i="8"/>
  <c r="DK385" i="8"/>
  <c r="DK384" i="8"/>
  <c r="DK383" i="8"/>
  <c r="DK382" i="8"/>
  <c r="DK381" i="8"/>
  <c r="DK380" i="8"/>
  <c r="DK379" i="8"/>
  <c r="DK378" i="8"/>
  <c r="DK377" i="8"/>
  <c r="DK376" i="8"/>
  <c r="DK375" i="8"/>
  <c r="DK374" i="8"/>
  <c r="DK373" i="8"/>
  <c r="DK372" i="8"/>
  <c r="DK371" i="8"/>
  <c r="DK370" i="8"/>
  <c r="DK369" i="8"/>
  <c r="DK368" i="8"/>
  <c r="DK367" i="8"/>
  <c r="DK366" i="8"/>
  <c r="DK365" i="8"/>
  <c r="DK364" i="8"/>
  <c r="DK363" i="8"/>
  <c r="DK362" i="8"/>
  <c r="DK361" i="8"/>
  <c r="DK360" i="8"/>
  <c r="DK359" i="8"/>
  <c r="DK358" i="8"/>
  <c r="DK357" i="8"/>
  <c r="DK356" i="8"/>
  <c r="DK355" i="8"/>
  <c r="DK354" i="8"/>
  <c r="DK353" i="8"/>
  <c r="DK352" i="8"/>
  <c r="DK351" i="8"/>
  <c r="DK350" i="8"/>
  <c r="DK349" i="8"/>
  <c r="DK348" i="8"/>
  <c r="DK347" i="8"/>
  <c r="DK346" i="8"/>
  <c r="DK345" i="8"/>
  <c r="DK344" i="8"/>
  <c r="DK343" i="8"/>
  <c r="DK342" i="8"/>
  <c r="DK341" i="8"/>
  <c r="DK340" i="8"/>
  <c r="DK339" i="8"/>
  <c r="DK338" i="8"/>
  <c r="DK337" i="8"/>
  <c r="DK336" i="8"/>
  <c r="DK335" i="8"/>
  <c r="DK334" i="8"/>
  <c r="DK333" i="8"/>
  <c r="DK332" i="8"/>
  <c r="DK331" i="8"/>
  <c r="DK330" i="8"/>
  <c r="DK329" i="8"/>
  <c r="DK328" i="8"/>
  <c r="DK327" i="8"/>
  <c r="DK326" i="8"/>
  <c r="DK325" i="8"/>
  <c r="DK324" i="8"/>
  <c r="DK323" i="8"/>
  <c r="DK322" i="8"/>
  <c r="DK321" i="8"/>
  <c r="DK320" i="8"/>
  <c r="DK319" i="8"/>
  <c r="DK318" i="8"/>
  <c r="DK317" i="8"/>
  <c r="DK316" i="8"/>
  <c r="DK315" i="8"/>
  <c r="DK314" i="8"/>
  <c r="DK313" i="8"/>
  <c r="DK312" i="8"/>
  <c r="DK311" i="8"/>
  <c r="DK310" i="8"/>
  <c r="DK309" i="8"/>
  <c r="DK308" i="8"/>
  <c r="DK307" i="8"/>
  <c r="DK306" i="8"/>
  <c r="DK305" i="8"/>
  <c r="DK304" i="8"/>
  <c r="DK303" i="8"/>
  <c r="DK302" i="8"/>
  <c r="DK301" i="8"/>
  <c r="DK300" i="8"/>
  <c r="DK299" i="8"/>
  <c r="DK298" i="8"/>
  <c r="DK297" i="8"/>
  <c r="DK296" i="8"/>
  <c r="DK295" i="8"/>
  <c r="DK294" i="8"/>
  <c r="DK293" i="8"/>
  <c r="DK292" i="8"/>
  <c r="DK291" i="8"/>
  <c r="DK290" i="8"/>
  <c r="DK289" i="8"/>
  <c r="DK288" i="8"/>
  <c r="DK287" i="8"/>
  <c r="DK286" i="8"/>
  <c r="DK285" i="8"/>
  <c r="DK284" i="8"/>
  <c r="DK283" i="8"/>
  <c r="DK282" i="8"/>
  <c r="DK281" i="8"/>
  <c r="DK280" i="8"/>
  <c r="DK279" i="8"/>
  <c r="DK278" i="8"/>
  <c r="DK277" i="8"/>
  <c r="DK276" i="8"/>
  <c r="DK275" i="8"/>
  <c r="DK274" i="8"/>
  <c r="DK273" i="8"/>
  <c r="DK272" i="8"/>
  <c r="DK271" i="8"/>
  <c r="DK270" i="8"/>
  <c r="DK269" i="8"/>
  <c r="DK268" i="8"/>
  <c r="DK267" i="8"/>
  <c r="DK266" i="8"/>
  <c r="DK265" i="8"/>
  <c r="DK264" i="8"/>
  <c r="DK263" i="8"/>
  <c r="DK262" i="8"/>
  <c r="DK261" i="8"/>
  <c r="DK260" i="8"/>
  <c r="DK259" i="8"/>
  <c r="DK258" i="8"/>
  <c r="DK257" i="8"/>
  <c r="DK256" i="8"/>
  <c r="DK255" i="8"/>
  <c r="DK254" i="8"/>
  <c r="DK253" i="8"/>
  <c r="DK252" i="8"/>
  <c r="DK251" i="8"/>
  <c r="DK250" i="8"/>
  <c r="DK249" i="8"/>
  <c r="DK248" i="8"/>
  <c r="DK247" i="8"/>
  <c r="DK246" i="8"/>
  <c r="DK245" i="8"/>
  <c r="DK244" i="8"/>
  <c r="DK243" i="8"/>
  <c r="DK242" i="8"/>
  <c r="DK241" i="8"/>
  <c r="DK240" i="8"/>
  <c r="DK239" i="8"/>
  <c r="DK238" i="8"/>
  <c r="DK237" i="8"/>
  <c r="DK236" i="8"/>
  <c r="DK235" i="8"/>
  <c r="DK234" i="8"/>
  <c r="DK233" i="8"/>
  <c r="DK232" i="8"/>
  <c r="DK231" i="8"/>
  <c r="DK230" i="8"/>
  <c r="DK229" i="8"/>
  <c r="DK228" i="8"/>
  <c r="DK227" i="8"/>
  <c r="DK226" i="8"/>
  <c r="DK225" i="8"/>
  <c r="DK224" i="8"/>
  <c r="DK223" i="8"/>
  <c r="DK222" i="8"/>
  <c r="DK221" i="8"/>
  <c r="DK220" i="8"/>
  <c r="DK219" i="8"/>
  <c r="DK218" i="8"/>
  <c r="DK217" i="8"/>
  <c r="DK216" i="8"/>
  <c r="DK215" i="8"/>
  <c r="DK214" i="8"/>
  <c r="DK213" i="8"/>
  <c r="DK212" i="8"/>
  <c r="DK211" i="8"/>
  <c r="DK210" i="8"/>
  <c r="DK209" i="8"/>
  <c r="DK208" i="8"/>
  <c r="DK207" i="8"/>
  <c r="DK206" i="8"/>
  <c r="DK205" i="8"/>
  <c r="DK204" i="8"/>
  <c r="DK203" i="8"/>
  <c r="DK202" i="8"/>
  <c r="DK201" i="8"/>
  <c r="DK200" i="8"/>
  <c r="DK199" i="8"/>
  <c r="DK198" i="8"/>
  <c r="DK197" i="8"/>
  <c r="DK196" i="8"/>
  <c r="DK195" i="8"/>
  <c r="DK194" i="8"/>
  <c r="DK193" i="8"/>
  <c r="DK192" i="8"/>
  <c r="DK191" i="8"/>
  <c r="DK190" i="8"/>
  <c r="DK189" i="8"/>
  <c r="DK188" i="8"/>
  <c r="DK187" i="8"/>
  <c r="DK186" i="8"/>
  <c r="DK185" i="8"/>
  <c r="DK184" i="8"/>
  <c r="DK183" i="8"/>
  <c r="DK182" i="8"/>
  <c r="DK181" i="8"/>
  <c r="DK180" i="8"/>
  <c r="DK179" i="8"/>
  <c r="DK178" i="8"/>
  <c r="DK177" i="8"/>
  <c r="DK176" i="8"/>
  <c r="DK175" i="8"/>
  <c r="DK174" i="8"/>
  <c r="DK173" i="8"/>
  <c r="DK172" i="8"/>
  <c r="DK171" i="8"/>
  <c r="DK170" i="8"/>
  <c r="DK169" i="8"/>
  <c r="DK168" i="8"/>
  <c r="DK167" i="8"/>
  <c r="DK166" i="8"/>
  <c r="DK165" i="8"/>
  <c r="DK164" i="8"/>
  <c r="DK163" i="8"/>
  <c r="DK162" i="8"/>
  <c r="DK161" i="8"/>
  <c r="DK160" i="8"/>
  <c r="DK159" i="8"/>
  <c r="DK158" i="8"/>
  <c r="DK157" i="8"/>
  <c r="DK156" i="8"/>
  <c r="DK155" i="8"/>
  <c r="DK154" i="8"/>
  <c r="DK153" i="8"/>
  <c r="DK152" i="8"/>
  <c r="DK151" i="8"/>
  <c r="DK150" i="8"/>
  <c r="DK149" i="8"/>
  <c r="DK148" i="8"/>
  <c r="DK147" i="8"/>
  <c r="DK146" i="8"/>
  <c r="DK145" i="8"/>
  <c r="DK144" i="8"/>
  <c r="DK143" i="8"/>
  <c r="DK142" i="8"/>
  <c r="DK141" i="8"/>
  <c r="DK140" i="8"/>
  <c r="DK139" i="8"/>
  <c r="DK138" i="8"/>
  <c r="DK137" i="8"/>
  <c r="DK136" i="8"/>
  <c r="DK135" i="8"/>
  <c r="DK134" i="8"/>
  <c r="DK133" i="8"/>
  <c r="DK132" i="8"/>
  <c r="DK131" i="8"/>
  <c r="DK130" i="8"/>
  <c r="DK129" i="8"/>
  <c r="DK128" i="8"/>
  <c r="DK127" i="8"/>
  <c r="DK126" i="8"/>
  <c r="DK125" i="8"/>
  <c r="DK124" i="8"/>
  <c r="DK123" i="8"/>
  <c r="DK122" i="8"/>
  <c r="DK121" i="8"/>
  <c r="DK120" i="8"/>
  <c r="DK119" i="8"/>
  <c r="DK118" i="8"/>
  <c r="DK117" i="8"/>
  <c r="DK116" i="8"/>
  <c r="DK115" i="8"/>
  <c r="DK114" i="8"/>
  <c r="DK113" i="8"/>
  <c r="DK112" i="8"/>
  <c r="DK111" i="8"/>
  <c r="DK110" i="8"/>
  <c r="DK109" i="8"/>
  <c r="DK108" i="8"/>
  <c r="DK107" i="8"/>
  <c r="DK106" i="8"/>
  <c r="DK105" i="8"/>
  <c r="DK104" i="8"/>
  <c r="DK103" i="8"/>
  <c r="DK102" i="8"/>
  <c r="DK101" i="8"/>
  <c r="DK100" i="8"/>
  <c r="DK99" i="8"/>
  <c r="DK98" i="8"/>
  <c r="DK97" i="8"/>
  <c r="DK96" i="8"/>
  <c r="DK95" i="8"/>
  <c r="DK94" i="8"/>
  <c r="DK93" i="8"/>
  <c r="DK92" i="8"/>
  <c r="DK91" i="8"/>
  <c r="DK90" i="8"/>
  <c r="DK89" i="8"/>
  <c r="DK88" i="8"/>
  <c r="DK87" i="8"/>
  <c r="DK86" i="8"/>
  <c r="DK85" i="8"/>
  <c r="DK84" i="8"/>
  <c r="DK83" i="8"/>
  <c r="DK82" i="8"/>
  <c r="DK81" i="8"/>
  <c r="DK80" i="8"/>
  <c r="DK79" i="8"/>
  <c r="DK78" i="8"/>
  <c r="DK77" i="8"/>
  <c r="DK76" i="8"/>
  <c r="DK75" i="8"/>
  <c r="DK74" i="8"/>
  <c r="DK73" i="8"/>
  <c r="DK72" i="8"/>
  <c r="DK71" i="8"/>
  <c r="DK70" i="8"/>
  <c r="DK69" i="8"/>
  <c r="DK68" i="8"/>
  <c r="DK67" i="8"/>
  <c r="DK66" i="8"/>
  <c r="DK65" i="8"/>
  <c r="DK64" i="8"/>
  <c r="DK63" i="8"/>
  <c r="DK62" i="8"/>
  <c r="DK61" i="8"/>
  <c r="DK60" i="8"/>
  <c r="DK59" i="8"/>
  <c r="DK58" i="8"/>
  <c r="DK57" i="8"/>
  <c r="DK56" i="8"/>
  <c r="DK55" i="8"/>
  <c r="DK54" i="8"/>
  <c r="DK53" i="8"/>
  <c r="DK52" i="8"/>
  <c r="DK51" i="8"/>
  <c r="DK50" i="8"/>
  <c r="DK49" i="8"/>
  <c r="DK48" i="8"/>
  <c r="DK47" i="8"/>
  <c r="DK46" i="8"/>
  <c r="DK45" i="8"/>
  <c r="DK44" i="8"/>
  <c r="DK43" i="8"/>
  <c r="DK42" i="8"/>
  <c r="DK41" i="8"/>
  <c r="DK40" i="8"/>
  <c r="DK39" i="8"/>
  <c r="DK38" i="8"/>
  <c r="DK37" i="8"/>
  <c r="DK36" i="8"/>
  <c r="DK35" i="8"/>
  <c r="DK34" i="8"/>
  <c r="DK33" i="8"/>
  <c r="DK32" i="8"/>
  <c r="DK31" i="8"/>
  <c r="DK30" i="8"/>
  <c r="DK29" i="8"/>
  <c r="DK28" i="8"/>
  <c r="DK27" i="8"/>
  <c r="DK26" i="8"/>
  <c r="DK25" i="8"/>
  <c r="DK24" i="8"/>
  <c r="DK23" i="8"/>
  <c r="DK22" i="8"/>
  <c r="DK21" i="8"/>
  <c r="DK20" i="8"/>
  <c r="DK19" i="8"/>
  <c r="DK18" i="8"/>
  <c r="DK17" i="8"/>
  <c r="DK16" i="8"/>
  <c r="DK15" i="8"/>
  <c r="DK14" i="8"/>
  <c r="DK13" i="8"/>
  <c r="DK12" i="8"/>
  <c r="DK11" i="8"/>
  <c r="DK10" i="8"/>
  <c r="DK9" i="8"/>
  <c r="DK8" i="8"/>
  <c r="DK7" i="8"/>
  <c r="DK6" i="8"/>
  <c r="DK5" i="8"/>
  <c r="DK4" i="8"/>
  <c r="DF393" i="8"/>
  <c r="DF392" i="8"/>
  <c r="DF391" i="8"/>
  <c r="DF390" i="8"/>
  <c r="DF389" i="8"/>
  <c r="DF388" i="8"/>
  <c r="DF387" i="8"/>
  <c r="DF386" i="8"/>
  <c r="DF385" i="8"/>
  <c r="DF384" i="8"/>
  <c r="DF383" i="8"/>
  <c r="DF382" i="8"/>
  <c r="DF381" i="8"/>
  <c r="DF380" i="8"/>
  <c r="DF379" i="8"/>
  <c r="DF378" i="8"/>
  <c r="DF377" i="8"/>
  <c r="DF376" i="8"/>
  <c r="DF375" i="8"/>
  <c r="DF374" i="8"/>
  <c r="DF373" i="8"/>
  <c r="DF372" i="8"/>
  <c r="DF371" i="8"/>
  <c r="DF370" i="8"/>
  <c r="DF369" i="8"/>
  <c r="DF368" i="8"/>
  <c r="DF367" i="8"/>
  <c r="DF366" i="8"/>
  <c r="DF365" i="8"/>
  <c r="DF364" i="8"/>
  <c r="DF363" i="8"/>
  <c r="DF362" i="8"/>
  <c r="DF361" i="8"/>
  <c r="DF360" i="8"/>
  <c r="DF359" i="8"/>
  <c r="DF358" i="8"/>
  <c r="DF357" i="8"/>
  <c r="DF356" i="8"/>
  <c r="DF355" i="8"/>
  <c r="DF354" i="8"/>
  <c r="DF353" i="8"/>
  <c r="DF352" i="8"/>
  <c r="DF351" i="8"/>
  <c r="DF350" i="8"/>
  <c r="DF349" i="8"/>
  <c r="DF348" i="8"/>
  <c r="DF347" i="8"/>
  <c r="DF346" i="8"/>
  <c r="DF345" i="8"/>
  <c r="DF344" i="8"/>
  <c r="DF343" i="8"/>
  <c r="DF342" i="8"/>
  <c r="DF341" i="8"/>
  <c r="DF340" i="8"/>
  <c r="DF339" i="8"/>
  <c r="DF338" i="8"/>
  <c r="DF337" i="8"/>
  <c r="DF336" i="8"/>
  <c r="DF335" i="8"/>
  <c r="DF334" i="8"/>
  <c r="DF333" i="8"/>
  <c r="DF332" i="8"/>
  <c r="DF331" i="8"/>
  <c r="DF330" i="8"/>
  <c r="DF329" i="8"/>
  <c r="DF328" i="8"/>
  <c r="DF327" i="8"/>
  <c r="DF326" i="8"/>
  <c r="DF325" i="8"/>
  <c r="DF324" i="8"/>
  <c r="DF323" i="8"/>
  <c r="DF322" i="8"/>
  <c r="DF321" i="8"/>
  <c r="DF320" i="8"/>
  <c r="DF319" i="8"/>
  <c r="DF318" i="8"/>
  <c r="DF317" i="8"/>
  <c r="DF316" i="8"/>
  <c r="DF315" i="8"/>
  <c r="DF314" i="8"/>
  <c r="DF313" i="8"/>
  <c r="DF312" i="8"/>
  <c r="DF311" i="8"/>
  <c r="DF310" i="8"/>
  <c r="DF309" i="8"/>
  <c r="DF308" i="8"/>
  <c r="DF307" i="8"/>
  <c r="DF306" i="8"/>
  <c r="DF305" i="8"/>
  <c r="DF304" i="8"/>
  <c r="DF303" i="8"/>
  <c r="DF302" i="8"/>
  <c r="DF301" i="8"/>
  <c r="DF300" i="8"/>
  <c r="DF299" i="8"/>
  <c r="DF298" i="8"/>
  <c r="DF297" i="8"/>
  <c r="DF296" i="8"/>
  <c r="DF295" i="8"/>
  <c r="DF294" i="8"/>
  <c r="DF293" i="8"/>
  <c r="DF292" i="8"/>
  <c r="DF291" i="8"/>
  <c r="DF290" i="8"/>
  <c r="DF289" i="8"/>
  <c r="DF288" i="8"/>
  <c r="DF287" i="8"/>
  <c r="DF286" i="8"/>
  <c r="DF285" i="8"/>
  <c r="DF284" i="8"/>
  <c r="DF283" i="8"/>
  <c r="DF282" i="8"/>
  <c r="DF281" i="8"/>
  <c r="DF280" i="8"/>
  <c r="DF279" i="8"/>
  <c r="DF278" i="8"/>
  <c r="DF277" i="8"/>
  <c r="DF276" i="8"/>
  <c r="DF275" i="8"/>
  <c r="DF274" i="8"/>
  <c r="DF273" i="8"/>
  <c r="DF272" i="8"/>
  <c r="DF271" i="8"/>
  <c r="DF270" i="8"/>
  <c r="DF269" i="8"/>
  <c r="DF268" i="8"/>
  <c r="DF267" i="8"/>
  <c r="DF266" i="8"/>
  <c r="DF265" i="8"/>
  <c r="DF264" i="8"/>
  <c r="DF263" i="8"/>
  <c r="DF262" i="8"/>
  <c r="DF261" i="8"/>
  <c r="DF260" i="8"/>
  <c r="DF259" i="8"/>
  <c r="DF258" i="8"/>
  <c r="DF257" i="8"/>
  <c r="DF256" i="8"/>
  <c r="DF255" i="8"/>
  <c r="DF254" i="8"/>
  <c r="DF253" i="8"/>
  <c r="DF252" i="8"/>
  <c r="DF251" i="8"/>
  <c r="DF250" i="8"/>
  <c r="DF249" i="8"/>
  <c r="DF248" i="8"/>
  <c r="DF247" i="8"/>
  <c r="DF246" i="8"/>
  <c r="DF245" i="8"/>
  <c r="DF244" i="8"/>
  <c r="DF243" i="8"/>
  <c r="DF242" i="8"/>
  <c r="DF241" i="8"/>
  <c r="DF240" i="8"/>
  <c r="DF239" i="8"/>
  <c r="DF238" i="8"/>
  <c r="DF237" i="8"/>
  <c r="DF236" i="8"/>
  <c r="DF235" i="8"/>
  <c r="DF234" i="8"/>
  <c r="DF233" i="8"/>
  <c r="DF232" i="8"/>
  <c r="DF231" i="8"/>
  <c r="DF230" i="8"/>
  <c r="DF229" i="8"/>
  <c r="DF228" i="8"/>
  <c r="DF227" i="8"/>
  <c r="DF226" i="8"/>
  <c r="DF225" i="8"/>
  <c r="DF224" i="8"/>
  <c r="DF223" i="8"/>
  <c r="DF222" i="8"/>
  <c r="DF221" i="8"/>
  <c r="DF220" i="8"/>
  <c r="DF219" i="8"/>
  <c r="DF218" i="8"/>
  <c r="DF217" i="8"/>
  <c r="DF216" i="8"/>
  <c r="DF215" i="8"/>
  <c r="DF214" i="8"/>
  <c r="DF213" i="8"/>
  <c r="DF212" i="8"/>
  <c r="DF211" i="8"/>
  <c r="DF210" i="8"/>
  <c r="DF209" i="8"/>
  <c r="DF208" i="8"/>
  <c r="DF207" i="8"/>
  <c r="DF206" i="8"/>
  <c r="DF205" i="8"/>
  <c r="DF204" i="8"/>
  <c r="DF203" i="8"/>
  <c r="DF202" i="8"/>
  <c r="DF201" i="8"/>
  <c r="DF200" i="8"/>
  <c r="DF199" i="8"/>
  <c r="DF198" i="8"/>
  <c r="DF197" i="8"/>
  <c r="DF196" i="8"/>
  <c r="DF195" i="8"/>
  <c r="DF194" i="8"/>
  <c r="DF193" i="8"/>
  <c r="DF192" i="8"/>
  <c r="DF191" i="8"/>
  <c r="DF190" i="8"/>
  <c r="DF189" i="8"/>
  <c r="DF188" i="8"/>
  <c r="DF187" i="8"/>
  <c r="DF186" i="8"/>
  <c r="DF185" i="8"/>
  <c r="DF184" i="8"/>
  <c r="DF183" i="8"/>
  <c r="DF182" i="8"/>
  <c r="DF181" i="8"/>
  <c r="DF180" i="8"/>
  <c r="DF179" i="8"/>
  <c r="DF178" i="8"/>
  <c r="DF177" i="8"/>
  <c r="DF176" i="8"/>
  <c r="DF175" i="8"/>
  <c r="DF174" i="8"/>
  <c r="DF173" i="8"/>
  <c r="DF172" i="8"/>
  <c r="DF171" i="8"/>
  <c r="DF170" i="8"/>
  <c r="DF169" i="8"/>
  <c r="DF168" i="8"/>
  <c r="DF167" i="8"/>
  <c r="DF166" i="8"/>
  <c r="DF165" i="8"/>
  <c r="DF164" i="8"/>
  <c r="DF163" i="8"/>
  <c r="DF162" i="8"/>
  <c r="DF161" i="8"/>
  <c r="DF160" i="8"/>
  <c r="DF159" i="8"/>
  <c r="DF158" i="8"/>
  <c r="DF157" i="8"/>
  <c r="DF156" i="8"/>
  <c r="DF155" i="8"/>
  <c r="DF154" i="8"/>
  <c r="DF153" i="8"/>
  <c r="DF152" i="8"/>
  <c r="DF151" i="8"/>
  <c r="DF150" i="8"/>
  <c r="DF149" i="8"/>
  <c r="DF148" i="8"/>
  <c r="DF147" i="8"/>
  <c r="DF146" i="8"/>
  <c r="DF145" i="8"/>
  <c r="DF144" i="8"/>
  <c r="DF143" i="8"/>
  <c r="DF142" i="8"/>
  <c r="DF141" i="8"/>
  <c r="DF140" i="8"/>
  <c r="DF139" i="8"/>
  <c r="DF138" i="8"/>
  <c r="DF137" i="8"/>
  <c r="DF136" i="8"/>
  <c r="DF135" i="8"/>
  <c r="DF134" i="8"/>
  <c r="DF133" i="8"/>
  <c r="DF132" i="8"/>
  <c r="DF131" i="8"/>
  <c r="DF130" i="8"/>
  <c r="DF129" i="8"/>
  <c r="DF128" i="8"/>
  <c r="DF127" i="8"/>
  <c r="DF126" i="8"/>
  <c r="DF125" i="8"/>
  <c r="DF124" i="8"/>
  <c r="DF123" i="8"/>
  <c r="DF122" i="8"/>
  <c r="DF121" i="8"/>
  <c r="DF120" i="8"/>
  <c r="DF119" i="8"/>
  <c r="DF118" i="8"/>
  <c r="DF117" i="8"/>
  <c r="DF116" i="8"/>
  <c r="DF115" i="8"/>
  <c r="DF114" i="8"/>
  <c r="DF113" i="8"/>
  <c r="DF112" i="8"/>
  <c r="DF111" i="8"/>
  <c r="DF110" i="8"/>
  <c r="DF109" i="8"/>
  <c r="DF108" i="8"/>
  <c r="DF107" i="8"/>
  <c r="DF106" i="8"/>
  <c r="DF105" i="8"/>
  <c r="DF104" i="8"/>
  <c r="DF103" i="8"/>
  <c r="DF102" i="8"/>
  <c r="DF101" i="8"/>
  <c r="DF100" i="8"/>
  <c r="DF99" i="8"/>
  <c r="DF98" i="8"/>
  <c r="DF97" i="8"/>
  <c r="DF96" i="8"/>
  <c r="DF95" i="8"/>
  <c r="DF94" i="8"/>
  <c r="DF93" i="8"/>
  <c r="DF92" i="8"/>
  <c r="DF91" i="8"/>
  <c r="DF90" i="8"/>
  <c r="DF89" i="8"/>
  <c r="DF88" i="8"/>
  <c r="DF87" i="8"/>
  <c r="DF86" i="8"/>
  <c r="DF85" i="8"/>
  <c r="DF84" i="8"/>
  <c r="DF83" i="8"/>
  <c r="DF82" i="8"/>
  <c r="DF81" i="8"/>
  <c r="DF80" i="8"/>
  <c r="DF79" i="8"/>
  <c r="DF78" i="8"/>
  <c r="DF77" i="8"/>
  <c r="DF76" i="8"/>
  <c r="DF75" i="8"/>
  <c r="DF74" i="8"/>
  <c r="DF73" i="8"/>
  <c r="DF72" i="8"/>
  <c r="DF71" i="8"/>
  <c r="DF70" i="8"/>
  <c r="DF69" i="8"/>
  <c r="DF68" i="8"/>
  <c r="DF67" i="8"/>
  <c r="DF66" i="8"/>
  <c r="DF65" i="8"/>
  <c r="DF64" i="8"/>
  <c r="DF63" i="8"/>
  <c r="DF62" i="8"/>
  <c r="DF61" i="8"/>
  <c r="DF60" i="8"/>
  <c r="DF59" i="8"/>
  <c r="DF58" i="8"/>
  <c r="DF57" i="8"/>
  <c r="DF56" i="8"/>
  <c r="DF55" i="8"/>
  <c r="DF54" i="8"/>
  <c r="DF53" i="8"/>
  <c r="DF52" i="8"/>
  <c r="DF51" i="8"/>
  <c r="DF50" i="8"/>
  <c r="DF49" i="8"/>
  <c r="DF48" i="8"/>
  <c r="DF47" i="8"/>
  <c r="DF46" i="8"/>
  <c r="DF45" i="8"/>
  <c r="DF44" i="8"/>
  <c r="DF43" i="8"/>
  <c r="DF42" i="8"/>
  <c r="DF41" i="8"/>
  <c r="DF40" i="8"/>
  <c r="DF39" i="8"/>
  <c r="DF38" i="8"/>
  <c r="DF37" i="8"/>
  <c r="DF36" i="8"/>
  <c r="DF35" i="8"/>
  <c r="DF34" i="8"/>
  <c r="DF33" i="8"/>
  <c r="DF32" i="8"/>
  <c r="DF31" i="8"/>
  <c r="DF30" i="8"/>
  <c r="DF29" i="8"/>
  <c r="DF28" i="8"/>
  <c r="DF27" i="8"/>
  <c r="DF26" i="8"/>
  <c r="DF25" i="8"/>
  <c r="DF24" i="8"/>
  <c r="DF23" i="8"/>
  <c r="DF22" i="8"/>
  <c r="DF21" i="8"/>
  <c r="DF20" i="8"/>
  <c r="DF19" i="8"/>
  <c r="DF18" i="8"/>
  <c r="DF17" i="8"/>
  <c r="DF16" i="8"/>
  <c r="DF15" i="8"/>
  <c r="DF14" i="8"/>
  <c r="DF13" i="8"/>
  <c r="DF12" i="8"/>
  <c r="DF11" i="8"/>
  <c r="DF10" i="8"/>
  <c r="DF9" i="8"/>
  <c r="DF8" i="8"/>
  <c r="DF7" i="8"/>
  <c r="DF6" i="8"/>
  <c r="DF5" i="8"/>
  <c r="DF4" i="8"/>
  <c r="DA393" i="8"/>
  <c r="DA392" i="8"/>
  <c r="DA391" i="8"/>
  <c r="DA390" i="8"/>
  <c r="DA389" i="8"/>
  <c r="DA388" i="8"/>
  <c r="DA387" i="8"/>
  <c r="DA386" i="8"/>
  <c r="DA385" i="8"/>
  <c r="DA384" i="8"/>
  <c r="DA383" i="8"/>
  <c r="DA382" i="8"/>
  <c r="DA381" i="8"/>
  <c r="DA380" i="8"/>
  <c r="DA379" i="8"/>
  <c r="DA378" i="8"/>
  <c r="DA377" i="8"/>
  <c r="DA376" i="8"/>
  <c r="DA375" i="8"/>
  <c r="DA374" i="8"/>
  <c r="DA373" i="8"/>
  <c r="DA372" i="8"/>
  <c r="DA371" i="8"/>
  <c r="DA370" i="8"/>
  <c r="DA369" i="8"/>
  <c r="DA368" i="8"/>
  <c r="DA367" i="8"/>
  <c r="DA366" i="8"/>
  <c r="DA365" i="8"/>
  <c r="DA364" i="8"/>
  <c r="DA363" i="8"/>
  <c r="DA362" i="8"/>
  <c r="DA361" i="8"/>
  <c r="DA360" i="8"/>
  <c r="DA359" i="8"/>
  <c r="DA358" i="8"/>
  <c r="DA357" i="8"/>
  <c r="DA356" i="8"/>
  <c r="DA355" i="8"/>
  <c r="DA354" i="8"/>
  <c r="DA353" i="8"/>
  <c r="DA352" i="8"/>
  <c r="DA351" i="8"/>
  <c r="DA350" i="8"/>
  <c r="DA349" i="8"/>
  <c r="DA348" i="8"/>
  <c r="DA347" i="8"/>
  <c r="DA346" i="8"/>
  <c r="DA345" i="8"/>
  <c r="DA344" i="8"/>
  <c r="DA343" i="8"/>
  <c r="DA342" i="8"/>
  <c r="DA341" i="8"/>
  <c r="DA340" i="8"/>
  <c r="DA339" i="8"/>
  <c r="DA338" i="8"/>
  <c r="DA337" i="8"/>
  <c r="DA336" i="8"/>
  <c r="DA335" i="8"/>
  <c r="DA334" i="8"/>
  <c r="DA333" i="8"/>
  <c r="DA332" i="8"/>
  <c r="DA331" i="8"/>
  <c r="DA330" i="8"/>
  <c r="DA329" i="8"/>
  <c r="DA328" i="8"/>
  <c r="DA327" i="8"/>
  <c r="DA326" i="8"/>
  <c r="DA325" i="8"/>
  <c r="DA324" i="8"/>
  <c r="DA323" i="8"/>
  <c r="DA322" i="8"/>
  <c r="DA321" i="8"/>
  <c r="DA320" i="8"/>
  <c r="DA319" i="8"/>
  <c r="DA318" i="8"/>
  <c r="DA317" i="8"/>
  <c r="DA316" i="8"/>
  <c r="DA315" i="8"/>
  <c r="DA314" i="8"/>
  <c r="DA313" i="8"/>
  <c r="DA312" i="8"/>
  <c r="DA311" i="8"/>
  <c r="DA310" i="8"/>
  <c r="DA309" i="8"/>
  <c r="DA308" i="8"/>
  <c r="DA307" i="8"/>
  <c r="DA306" i="8"/>
  <c r="DA305" i="8"/>
  <c r="DA304" i="8"/>
  <c r="DA303" i="8"/>
  <c r="DA302" i="8"/>
  <c r="DA301" i="8"/>
  <c r="DA300" i="8"/>
  <c r="DA299" i="8"/>
  <c r="DA298" i="8"/>
  <c r="DA297" i="8"/>
  <c r="DA296" i="8"/>
  <c r="DA295" i="8"/>
  <c r="DA294" i="8"/>
  <c r="DA293" i="8"/>
  <c r="DA292" i="8"/>
  <c r="DA291" i="8"/>
  <c r="DA290" i="8"/>
  <c r="DA289" i="8"/>
  <c r="DA288" i="8"/>
  <c r="DA287" i="8"/>
  <c r="DA286" i="8"/>
  <c r="DA285" i="8"/>
  <c r="DA284" i="8"/>
  <c r="DA283" i="8"/>
  <c r="DA282" i="8"/>
  <c r="DA281" i="8"/>
  <c r="DA280" i="8"/>
  <c r="DA279" i="8"/>
  <c r="DA278" i="8"/>
  <c r="DA277" i="8"/>
  <c r="DA276" i="8"/>
  <c r="DA275" i="8"/>
  <c r="DA274" i="8"/>
  <c r="DA273" i="8"/>
  <c r="DA272" i="8"/>
  <c r="DA271" i="8"/>
  <c r="DA270" i="8"/>
  <c r="DA269" i="8"/>
  <c r="DA268" i="8"/>
  <c r="DA267" i="8"/>
  <c r="DA266" i="8"/>
  <c r="DA265" i="8"/>
  <c r="DA264" i="8"/>
  <c r="DA263" i="8"/>
  <c r="DA262" i="8"/>
  <c r="DA261" i="8"/>
  <c r="DA260" i="8"/>
  <c r="DA259" i="8"/>
  <c r="DA258" i="8"/>
  <c r="DA257" i="8"/>
  <c r="DA256" i="8"/>
  <c r="DA255" i="8"/>
  <c r="DA254" i="8"/>
  <c r="DA253" i="8"/>
  <c r="DA252" i="8"/>
  <c r="DA251" i="8"/>
  <c r="DA250" i="8"/>
  <c r="DA249" i="8"/>
  <c r="DA248" i="8"/>
  <c r="DA247" i="8"/>
  <c r="DA246" i="8"/>
  <c r="DA245" i="8"/>
  <c r="DA244" i="8"/>
  <c r="DA243" i="8"/>
  <c r="DA242" i="8"/>
  <c r="DA241" i="8"/>
  <c r="DA240" i="8"/>
  <c r="DA239" i="8"/>
  <c r="DA238" i="8"/>
  <c r="DA237" i="8"/>
  <c r="DA236" i="8"/>
  <c r="DA235" i="8"/>
  <c r="DA234" i="8"/>
  <c r="DA233" i="8"/>
  <c r="DA232" i="8"/>
  <c r="DA231" i="8"/>
  <c r="DA230" i="8"/>
  <c r="DA229" i="8"/>
  <c r="DA228" i="8"/>
  <c r="DA227" i="8"/>
  <c r="DA226" i="8"/>
  <c r="DA225" i="8"/>
  <c r="DA224" i="8"/>
  <c r="DA223" i="8"/>
  <c r="DA222" i="8"/>
  <c r="DA221" i="8"/>
  <c r="DA220" i="8"/>
  <c r="DA219" i="8"/>
  <c r="DA218" i="8"/>
  <c r="DA217" i="8"/>
  <c r="DA216" i="8"/>
  <c r="DA215" i="8"/>
  <c r="DA214" i="8"/>
  <c r="DA213" i="8"/>
  <c r="DA212" i="8"/>
  <c r="DA211" i="8"/>
  <c r="DA210" i="8"/>
  <c r="DA209" i="8"/>
  <c r="DA208" i="8"/>
  <c r="DA207" i="8"/>
  <c r="DA206" i="8"/>
  <c r="DA205" i="8"/>
  <c r="DA204" i="8"/>
  <c r="DA203" i="8"/>
  <c r="DA202" i="8"/>
  <c r="DA201" i="8"/>
  <c r="DA200" i="8"/>
  <c r="DA199" i="8"/>
  <c r="DA198" i="8"/>
  <c r="DA197" i="8"/>
  <c r="DA196" i="8"/>
  <c r="DA195" i="8"/>
  <c r="DA194" i="8"/>
  <c r="DA193" i="8"/>
  <c r="DA192" i="8"/>
  <c r="DA191" i="8"/>
  <c r="DA190" i="8"/>
  <c r="DA189" i="8"/>
  <c r="DA188" i="8"/>
  <c r="DA187" i="8"/>
  <c r="DA186" i="8"/>
  <c r="DA185" i="8"/>
  <c r="DA184" i="8"/>
  <c r="DA183" i="8"/>
  <c r="DA182" i="8"/>
  <c r="DA181" i="8"/>
  <c r="DA180" i="8"/>
  <c r="DA179" i="8"/>
  <c r="DA178" i="8"/>
  <c r="DA177" i="8"/>
  <c r="DA176" i="8"/>
  <c r="DA175" i="8"/>
  <c r="DA174" i="8"/>
  <c r="DA173" i="8"/>
  <c r="DA172" i="8"/>
  <c r="DA171" i="8"/>
  <c r="DA170" i="8"/>
  <c r="DA169" i="8"/>
  <c r="DA168" i="8"/>
  <c r="DA167" i="8"/>
  <c r="DA166" i="8"/>
  <c r="DA165" i="8"/>
  <c r="DA164" i="8"/>
  <c r="DA163" i="8"/>
  <c r="DA162" i="8"/>
  <c r="DA161" i="8"/>
  <c r="DA160" i="8"/>
  <c r="DA159" i="8"/>
  <c r="DA158" i="8"/>
  <c r="DA157" i="8"/>
  <c r="DA156" i="8"/>
  <c r="DA155" i="8"/>
  <c r="DA154" i="8"/>
  <c r="DA153" i="8"/>
  <c r="DA152" i="8"/>
  <c r="DA151" i="8"/>
  <c r="DA150" i="8"/>
  <c r="DA149" i="8"/>
  <c r="DA148" i="8"/>
  <c r="DA147" i="8"/>
  <c r="DA146" i="8"/>
  <c r="DA145" i="8"/>
  <c r="DA144" i="8"/>
  <c r="DA143" i="8"/>
  <c r="DA142" i="8"/>
  <c r="DA141" i="8"/>
  <c r="DA140" i="8"/>
  <c r="DA139" i="8"/>
  <c r="DA138" i="8"/>
  <c r="DA137" i="8"/>
  <c r="DA136" i="8"/>
  <c r="DA135" i="8"/>
  <c r="DA134" i="8"/>
  <c r="DA133" i="8"/>
  <c r="DA132" i="8"/>
  <c r="DA131" i="8"/>
  <c r="DA130" i="8"/>
  <c r="DA129" i="8"/>
  <c r="DA128" i="8"/>
  <c r="DA127" i="8"/>
  <c r="DA126" i="8"/>
  <c r="DA125" i="8"/>
  <c r="DA124" i="8"/>
  <c r="DA123" i="8"/>
  <c r="DA122" i="8"/>
  <c r="DA121" i="8"/>
  <c r="DA120" i="8"/>
  <c r="DA119" i="8"/>
  <c r="DA118" i="8"/>
  <c r="DA117" i="8"/>
  <c r="DA116" i="8"/>
  <c r="DA115" i="8"/>
  <c r="DA114" i="8"/>
  <c r="DA113" i="8"/>
  <c r="DA112" i="8"/>
  <c r="DA111" i="8"/>
  <c r="DA110" i="8"/>
  <c r="DA109" i="8"/>
  <c r="DA108" i="8"/>
  <c r="DA107" i="8"/>
  <c r="DA106" i="8"/>
  <c r="DA105" i="8"/>
  <c r="DA104" i="8"/>
  <c r="DA103" i="8"/>
  <c r="DA102" i="8"/>
  <c r="DA101" i="8"/>
  <c r="DA100" i="8"/>
  <c r="DA99" i="8"/>
  <c r="DA98" i="8"/>
  <c r="DA97" i="8"/>
  <c r="DA96" i="8"/>
  <c r="DA95" i="8"/>
  <c r="DA94" i="8"/>
  <c r="DA93" i="8"/>
  <c r="DA92" i="8"/>
  <c r="DA91" i="8"/>
  <c r="DA90" i="8"/>
  <c r="DA89" i="8"/>
  <c r="DA88" i="8"/>
  <c r="DA87" i="8"/>
  <c r="DA86" i="8"/>
  <c r="DA85" i="8"/>
  <c r="DA84" i="8"/>
  <c r="DA83" i="8"/>
  <c r="DA82" i="8"/>
  <c r="DA81" i="8"/>
  <c r="DA80" i="8"/>
  <c r="DA79" i="8"/>
  <c r="DA78" i="8"/>
  <c r="DA77" i="8"/>
  <c r="DA76" i="8"/>
  <c r="DA75" i="8"/>
  <c r="DA74" i="8"/>
  <c r="DA73" i="8"/>
  <c r="DA72" i="8"/>
  <c r="DA71" i="8"/>
  <c r="DA70" i="8"/>
  <c r="DA69" i="8"/>
  <c r="DA68" i="8"/>
  <c r="DA67" i="8"/>
  <c r="DA66" i="8"/>
  <c r="DA65" i="8"/>
  <c r="DA64" i="8"/>
  <c r="DA63" i="8"/>
  <c r="DA62" i="8"/>
  <c r="DA61" i="8"/>
  <c r="DA60" i="8"/>
  <c r="DA59" i="8"/>
  <c r="DA58" i="8"/>
  <c r="DA57" i="8"/>
  <c r="DA56" i="8"/>
  <c r="DA55" i="8"/>
  <c r="DA54" i="8"/>
  <c r="DA53" i="8"/>
  <c r="DA52" i="8"/>
  <c r="DA51" i="8"/>
  <c r="DA50" i="8"/>
  <c r="DA49" i="8"/>
  <c r="DA48" i="8"/>
  <c r="DA47" i="8"/>
  <c r="DA46" i="8"/>
  <c r="DA45" i="8"/>
  <c r="DA44" i="8"/>
  <c r="DA43" i="8"/>
  <c r="DA42" i="8"/>
  <c r="DA41" i="8"/>
  <c r="DA40" i="8"/>
  <c r="DA39" i="8"/>
  <c r="DA38" i="8"/>
  <c r="DA37" i="8"/>
  <c r="DA36" i="8"/>
  <c r="DA35" i="8"/>
  <c r="DA34" i="8"/>
  <c r="DA33" i="8"/>
  <c r="DA32" i="8"/>
  <c r="DA31" i="8"/>
  <c r="DA30" i="8"/>
  <c r="DA29" i="8"/>
  <c r="DA28" i="8"/>
  <c r="DA27" i="8"/>
  <c r="DA26" i="8"/>
  <c r="DA25" i="8"/>
  <c r="DA24" i="8"/>
  <c r="DA23" i="8"/>
  <c r="DA22" i="8"/>
  <c r="DA21" i="8"/>
  <c r="DA20" i="8"/>
  <c r="DA19" i="8"/>
  <c r="DA18" i="8"/>
  <c r="DA17" i="8"/>
  <c r="DA16" i="8"/>
  <c r="DA15" i="8"/>
  <c r="DA14" i="8"/>
  <c r="DA13" i="8"/>
  <c r="DA12" i="8"/>
  <c r="DA11" i="8"/>
  <c r="DA10" i="8"/>
  <c r="DA9" i="8"/>
  <c r="DA8" i="8"/>
  <c r="DA7" i="8"/>
  <c r="DA6" i="8"/>
  <c r="DA5" i="8"/>
  <c r="DA4" i="8"/>
  <c r="CV393" i="8"/>
  <c r="CV392" i="8"/>
  <c r="CV391" i="8"/>
  <c r="CV390" i="8"/>
  <c r="CV389" i="8"/>
  <c r="CV388" i="8"/>
  <c r="CV387" i="8"/>
  <c r="CV386" i="8"/>
  <c r="CV385" i="8"/>
  <c r="CV384" i="8"/>
  <c r="CV383" i="8"/>
  <c r="CV382" i="8"/>
  <c r="CV381" i="8"/>
  <c r="CV380" i="8"/>
  <c r="CV379" i="8"/>
  <c r="CV378" i="8"/>
  <c r="CV377" i="8"/>
  <c r="CV376" i="8"/>
  <c r="CV375" i="8"/>
  <c r="CV374" i="8"/>
  <c r="CV373" i="8"/>
  <c r="CV372" i="8"/>
  <c r="CV371" i="8"/>
  <c r="CV370" i="8"/>
  <c r="CV369" i="8"/>
  <c r="CV368" i="8"/>
  <c r="CV367" i="8"/>
  <c r="CV366" i="8"/>
  <c r="CV365" i="8"/>
  <c r="CV364" i="8"/>
  <c r="CV363" i="8"/>
  <c r="CV362" i="8"/>
  <c r="CV361" i="8"/>
  <c r="CV360" i="8"/>
  <c r="CV359" i="8"/>
  <c r="CV358" i="8"/>
  <c r="CV357" i="8"/>
  <c r="CV356" i="8"/>
  <c r="CV355" i="8"/>
  <c r="CV354" i="8"/>
  <c r="CV353" i="8"/>
  <c r="CV352" i="8"/>
  <c r="CV351" i="8"/>
  <c r="CV350" i="8"/>
  <c r="CV349" i="8"/>
  <c r="CV348" i="8"/>
  <c r="CV347" i="8"/>
  <c r="CV346" i="8"/>
  <c r="CV345" i="8"/>
  <c r="CV344" i="8"/>
  <c r="CV343" i="8"/>
  <c r="CV342" i="8"/>
  <c r="CV341" i="8"/>
  <c r="CV340" i="8"/>
  <c r="CV339" i="8"/>
  <c r="CV338" i="8"/>
  <c r="CV337" i="8"/>
  <c r="CV336" i="8"/>
  <c r="CV335" i="8"/>
  <c r="CV334" i="8"/>
  <c r="CV333" i="8"/>
  <c r="CV332" i="8"/>
  <c r="CV331" i="8"/>
  <c r="CV330" i="8"/>
  <c r="CV329" i="8"/>
  <c r="CV328" i="8"/>
  <c r="CV327" i="8"/>
  <c r="CV326" i="8"/>
  <c r="CV325" i="8"/>
  <c r="CV324" i="8"/>
  <c r="CV323" i="8"/>
  <c r="CV322" i="8"/>
  <c r="CV321" i="8"/>
  <c r="CV320" i="8"/>
  <c r="CV319" i="8"/>
  <c r="CV318" i="8"/>
  <c r="CV317" i="8"/>
  <c r="CV316" i="8"/>
  <c r="CV315" i="8"/>
  <c r="CV314" i="8"/>
  <c r="CV313" i="8"/>
  <c r="CV312" i="8"/>
  <c r="CV311" i="8"/>
  <c r="CV310" i="8"/>
  <c r="CV309" i="8"/>
  <c r="CV308" i="8"/>
  <c r="CV307" i="8"/>
  <c r="CV306" i="8"/>
  <c r="CV305" i="8"/>
  <c r="CV304" i="8"/>
  <c r="CV303" i="8"/>
  <c r="CV302" i="8"/>
  <c r="CV301" i="8"/>
  <c r="CV300" i="8"/>
  <c r="CV299" i="8"/>
  <c r="CV298" i="8"/>
  <c r="CV297" i="8"/>
  <c r="CV296" i="8"/>
  <c r="CV295" i="8"/>
  <c r="CV294" i="8"/>
  <c r="CV293" i="8"/>
  <c r="CV292" i="8"/>
  <c r="CV291" i="8"/>
  <c r="CV290" i="8"/>
  <c r="CV289" i="8"/>
  <c r="CV288" i="8"/>
  <c r="CV287" i="8"/>
  <c r="CV286" i="8"/>
  <c r="CV285" i="8"/>
  <c r="CV284" i="8"/>
  <c r="CV283" i="8"/>
  <c r="CV282" i="8"/>
  <c r="CV281" i="8"/>
  <c r="CV280" i="8"/>
  <c r="CV279" i="8"/>
  <c r="CV278" i="8"/>
  <c r="CV277" i="8"/>
  <c r="CV276" i="8"/>
  <c r="CV275" i="8"/>
  <c r="CV274" i="8"/>
  <c r="CV273" i="8"/>
  <c r="CV272" i="8"/>
  <c r="CV271" i="8"/>
  <c r="CV270" i="8"/>
  <c r="CV269" i="8"/>
  <c r="CV268" i="8"/>
  <c r="CV267" i="8"/>
  <c r="CV266" i="8"/>
  <c r="CV265" i="8"/>
  <c r="CV264" i="8"/>
  <c r="CV263" i="8"/>
  <c r="CV262" i="8"/>
  <c r="CV261" i="8"/>
  <c r="CV260" i="8"/>
  <c r="CV259" i="8"/>
  <c r="CV258" i="8"/>
  <c r="CV257" i="8"/>
  <c r="CV256" i="8"/>
  <c r="CV255" i="8"/>
  <c r="CV254" i="8"/>
  <c r="CV253" i="8"/>
  <c r="CV252" i="8"/>
  <c r="CV251" i="8"/>
  <c r="CV250" i="8"/>
  <c r="CV249" i="8"/>
  <c r="CV248" i="8"/>
  <c r="CV247" i="8"/>
  <c r="CV246" i="8"/>
  <c r="CV245" i="8"/>
  <c r="CV244" i="8"/>
  <c r="CV243" i="8"/>
  <c r="CV242" i="8"/>
  <c r="CV241" i="8"/>
  <c r="CV240" i="8"/>
  <c r="CV239" i="8"/>
  <c r="CV238" i="8"/>
  <c r="CV237" i="8"/>
  <c r="CV236" i="8"/>
  <c r="CV235" i="8"/>
  <c r="CV234" i="8"/>
  <c r="CV233" i="8"/>
  <c r="CV232" i="8"/>
  <c r="CV231" i="8"/>
  <c r="CV230" i="8"/>
  <c r="CV229" i="8"/>
  <c r="CV228" i="8"/>
  <c r="CV227" i="8"/>
  <c r="CV226" i="8"/>
  <c r="CV225" i="8"/>
  <c r="CV224" i="8"/>
  <c r="CV223" i="8"/>
  <c r="CV222" i="8"/>
  <c r="CV221" i="8"/>
  <c r="CV220" i="8"/>
  <c r="CV219" i="8"/>
  <c r="CV218" i="8"/>
  <c r="CV217" i="8"/>
  <c r="CV216" i="8"/>
  <c r="CV215" i="8"/>
  <c r="CV214" i="8"/>
  <c r="CV213" i="8"/>
  <c r="CV212" i="8"/>
  <c r="CV211" i="8"/>
  <c r="CV210" i="8"/>
  <c r="CV209" i="8"/>
  <c r="CV208" i="8"/>
  <c r="CV207" i="8"/>
  <c r="CV206" i="8"/>
  <c r="CV205" i="8"/>
  <c r="CV204" i="8"/>
  <c r="CV203" i="8"/>
  <c r="CV202" i="8"/>
  <c r="CV201" i="8"/>
  <c r="CV200" i="8"/>
  <c r="CV199" i="8"/>
  <c r="CV198" i="8"/>
  <c r="CV197" i="8"/>
  <c r="CV196" i="8"/>
  <c r="CV195" i="8"/>
  <c r="CV194" i="8"/>
  <c r="CV193" i="8"/>
  <c r="CV192" i="8"/>
  <c r="CV191" i="8"/>
  <c r="CV190" i="8"/>
  <c r="CV189" i="8"/>
  <c r="CV188" i="8"/>
  <c r="CV187" i="8"/>
  <c r="CV186" i="8"/>
  <c r="CV185" i="8"/>
  <c r="CV184" i="8"/>
  <c r="CV183" i="8"/>
  <c r="CV182" i="8"/>
  <c r="CV181" i="8"/>
  <c r="CV180" i="8"/>
  <c r="CV179" i="8"/>
  <c r="CV178" i="8"/>
  <c r="CV177" i="8"/>
  <c r="CV176" i="8"/>
  <c r="CV175" i="8"/>
  <c r="CV174" i="8"/>
  <c r="CV173" i="8"/>
  <c r="CV172" i="8"/>
  <c r="CV171" i="8"/>
  <c r="CV170" i="8"/>
  <c r="CV169" i="8"/>
  <c r="CV168" i="8"/>
  <c r="CV167" i="8"/>
  <c r="CV166" i="8"/>
  <c r="CV165" i="8"/>
  <c r="CV164" i="8"/>
  <c r="CV163" i="8"/>
  <c r="CV162" i="8"/>
  <c r="CV161" i="8"/>
  <c r="CV160" i="8"/>
  <c r="CV159" i="8"/>
  <c r="CV158" i="8"/>
  <c r="CV157" i="8"/>
  <c r="CV156" i="8"/>
  <c r="CV155" i="8"/>
  <c r="CV154" i="8"/>
  <c r="CV153" i="8"/>
  <c r="CV152" i="8"/>
  <c r="CV151" i="8"/>
  <c r="CV150" i="8"/>
  <c r="CV149" i="8"/>
  <c r="CV148" i="8"/>
  <c r="CV147" i="8"/>
  <c r="CV146" i="8"/>
  <c r="CV145" i="8"/>
  <c r="CV144" i="8"/>
  <c r="CV143" i="8"/>
  <c r="CV142" i="8"/>
  <c r="CV141" i="8"/>
  <c r="CV140" i="8"/>
  <c r="CV139" i="8"/>
  <c r="CV138" i="8"/>
  <c r="CV137" i="8"/>
  <c r="CV136" i="8"/>
  <c r="CV135" i="8"/>
  <c r="CV134" i="8"/>
  <c r="CV133" i="8"/>
  <c r="CV132" i="8"/>
  <c r="CV131" i="8"/>
  <c r="CV130" i="8"/>
  <c r="CV129" i="8"/>
  <c r="CV128" i="8"/>
  <c r="CV127" i="8"/>
  <c r="CV126" i="8"/>
  <c r="CV125" i="8"/>
  <c r="CV124" i="8"/>
  <c r="CV123" i="8"/>
  <c r="CV122" i="8"/>
  <c r="CV121" i="8"/>
  <c r="CV120" i="8"/>
  <c r="CV119" i="8"/>
  <c r="CV118" i="8"/>
  <c r="CV117" i="8"/>
  <c r="CV116" i="8"/>
  <c r="CV115" i="8"/>
  <c r="CV114" i="8"/>
  <c r="CV113" i="8"/>
  <c r="CV112" i="8"/>
  <c r="CV111" i="8"/>
  <c r="CV110" i="8"/>
  <c r="CV109" i="8"/>
  <c r="CV108" i="8"/>
  <c r="CV107" i="8"/>
  <c r="CV106" i="8"/>
  <c r="CV105" i="8"/>
  <c r="CV104" i="8"/>
  <c r="CV103" i="8"/>
  <c r="CV102" i="8"/>
  <c r="CV101" i="8"/>
  <c r="CV100" i="8"/>
  <c r="CV99" i="8"/>
  <c r="CV98" i="8"/>
  <c r="CV97" i="8"/>
  <c r="CV96" i="8"/>
  <c r="CV95" i="8"/>
  <c r="CV94" i="8"/>
  <c r="CV93" i="8"/>
  <c r="CV92" i="8"/>
  <c r="CV91" i="8"/>
  <c r="CV90" i="8"/>
  <c r="CV89" i="8"/>
  <c r="CV88" i="8"/>
  <c r="CV87" i="8"/>
  <c r="CV86" i="8"/>
  <c r="CV85" i="8"/>
  <c r="CV84" i="8"/>
  <c r="CV83" i="8"/>
  <c r="CV82" i="8"/>
  <c r="CV81" i="8"/>
  <c r="CV80" i="8"/>
  <c r="CV79" i="8"/>
  <c r="CV78" i="8"/>
  <c r="CV77" i="8"/>
  <c r="CV76" i="8"/>
  <c r="CV75" i="8"/>
  <c r="CV74" i="8"/>
  <c r="CV73" i="8"/>
  <c r="CV72" i="8"/>
  <c r="CV71" i="8"/>
  <c r="CV70" i="8"/>
  <c r="CV69" i="8"/>
  <c r="CV68" i="8"/>
  <c r="CV67" i="8"/>
  <c r="CV66" i="8"/>
  <c r="CV65" i="8"/>
  <c r="CV64" i="8"/>
  <c r="CV63" i="8"/>
  <c r="CV62" i="8"/>
  <c r="CV61" i="8"/>
  <c r="CV60" i="8"/>
  <c r="CV59" i="8"/>
  <c r="CV58" i="8"/>
  <c r="CV57" i="8"/>
  <c r="CV56" i="8"/>
  <c r="CV55" i="8"/>
  <c r="CV54" i="8"/>
  <c r="CV53" i="8"/>
  <c r="CV52" i="8"/>
  <c r="CV51" i="8"/>
  <c r="CV50" i="8"/>
  <c r="CV49" i="8"/>
  <c r="CV48" i="8"/>
  <c r="CV47" i="8"/>
  <c r="CV46" i="8"/>
  <c r="CV45" i="8"/>
  <c r="CV44" i="8"/>
  <c r="CV43" i="8"/>
  <c r="CV42" i="8"/>
  <c r="CV41" i="8"/>
  <c r="CV40" i="8"/>
  <c r="CV39" i="8"/>
  <c r="CV38" i="8"/>
  <c r="CV37" i="8"/>
  <c r="CV36" i="8"/>
  <c r="CV35" i="8"/>
  <c r="CV34" i="8"/>
  <c r="CV33" i="8"/>
  <c r="CV32" i="8"/>
  <c r="CV31" i="8"/>
  <c r="CV30" i="8"/>
  <c r="CV29" i="8"/>
  <c r="CV28" i="8"/>
  <c r="CV27" i="8"/>
  <c r="CV26" i="8"/>
  <c r="CV25" i="8"/>
  <c r="CV24" i="8"/>
  <c r="CV23" i="8"/>
  <c r="CV22" i="8"/>
  <c r="CV21" i="8"/>
  <c r="CV20" i="8"/>
  <c r="CV19" i="8"/>
  <c r="CV18" i="8"/>
  <c r="CV17" i="8"/>
  <c r="CV16" i="8"/>
  <c r="CV15" i="8"/>
  <c r="CV14" i="8"/>
  <c r="CV13" i="8"/>
  <c r="CV12" i="8"/>
  <c r="CV11" i="8"/>
  <c r="CV10" i="8"/>
  <c r="CV9" i="8"/>
  <c r="CV8" i="8"/>
  <c r="CV7" i="8"/>
  <c r="CV6" i="8"/>
  <c r="CV5" i="8"/>
  <c r="CV4" i="8"/>
  <c r="CQ393" i="8"/>
  <c r="CQ392" i="8"/>
  <c r="CQ391" i="8"/>
  <c r="CQ390" i="8"/>
  <c r="CQ389" i="8"/>
  <c r="CQ388" i="8"/>
  <c r="CQ387" i="8"/>
  <c r="CQ386" i="8"/>
  <c r="CQ385" i="8"/>
  <c r="CQ384" i="8"/>
  <c r="CQ383" i="8"/>
  <c r="CQ382" i="8"/>
  <c r="CQ381" i="8"/>
  <c r="CQ380" i="8"/>
  <c r="CQ379" i="8"/>
  <c r="CQ378" i="8"/>
  <c r="CQ377" i="8"/>
  <c r="CQ376" i="8"/>
  <c r="CQ375" i="8"/>
  <c r="CQ374" i="8"/>
  <c r="CQ373" i="8"/>
  <c r="CQ372" i="8"/>
  <c r="CQ371" i="8"/>
  <c r="CQ370" i="8"/>
  <c r="CQ369" i="8"/>
  <c r="CQ368" i="8"/>
  <c r="CQ367" i="8"/>
  <c r="CQ366" i="8"/>
  <c r="CQ365" i="8"/>
  <c r="CQ364" i="8"/>
  <c r="CQ363" i="8"/>
  <c r="CQ362" i="8"/>
  <c r="CQ361" i="8"/>
  <c r="CQ360" i="8"/>
  <c r="CQ359" i="8"/>
  <c r="CQ358" i="8"/>
  <c r="CQ357" i="8"/>
  <c r="CQ356" i="8"/>
  <c r="CQ355" i="8"/>
  <c r="CQ354" i="8"/>
  <c r="CQ353" i="8"/>
  <c r="CQ352" i="8"/>
  <c r="CQ351" i="8"/>
  <c r="CQ350" i="8"/>
  <c r="CQ349" i="8"/>
  <c r="CQ348" i="8"/>
  <c r="CQ347" i="8"/>
  <c r="CQ346" i="8"/>
  <c r="CQ345" i="8"/>
  <c r="CQ344" i="8"/>
  <c r="CQ343" i="8"/>
  <c r="CQ342" i="8"/>
  <c r="CQ341" i="8"/>
  <c r="CQ340" i="8"/>
  <c r="CQ339" i="8"/>
  <c r="CQ338" i="8"/>
  <c r="CQ337" i="8"/>
  <c r="CQ336" i="8"/>
  <c r="CQ335" i="8"/>
  <c r="CQ334" i="8"/>
  <c r="CQ333" i="8"/>
  <c r="CQ332" i="8"/>
  <c r="CQ331" i="8"/>
  <c r="CQ330" i="8"/>
  <c r="CQ329" i="8"/>
  <c r="CQ328" i="8"/>
  <c r="CQ327" i="8"/>
  <c r="CQ326" i="8"/>
  <c r="CQ325" i="8"/>
  <c r="CQ324" i="8"/>
  <c r="CQ323" i="8"/>
  <c r="CQ322" i="8"/>
  <c r="CQ321" i="8"/>
  <c r="CQ320" i="8"/>
  <c r="CQ319" i="8"/>
  <c r="CQ318" i="8"/>
  <c r="CQ317" i="8"/>
  <c r="CQ316" i="8"/>
  <c r="CQ315" i="8"/>
  <c r="CQ314" i="8"/>
  <c r="CQ313" i="8"/>
  <c r="CQ312" i="8"/>
  <c r="CQ311" i="8"/>
  <c r="CQ310" i="8"/>
  <c r="CQ309" i="8"/>
  <c r="CQ308" i="8"/>
  <c r="CQ307" i="8"/>
  <c r="CQ306" i="8"/>
  <c r="CQ305" i="8"/>
  <c r="CQ304" i="8"/>
  <c r="CQ303" i="8"/>
  <c r="CQ302" i="8"/>
  <c r="CQ301" i="8"/>
  <c r="CQ300" i="8"/>
  <c r="CQ299" i="8"/>
  <c r="CQ298" i="8"/>
  <c r="CQ297" i="8"/>
  <c r="CQ296" i="8"/>
  <c r="CQ295" i="8"/>
  <c r="CQ294" i="8"/>
  <c r="CQ293" i="8"/>
  <c r="CQ292" i="8"/>
  <c r="CQ291" i="8"/>
  <c r="CQ290" i="8"/>
  <c r="CQ289" i="8"/>
  <c r="CQ288" i="8"/>
  <c r="CQ287" i="8"/>
  <c r="CQ286" i="8"/>
  <c r="CQ285" i="8"/>
  <c r="CQ284" i="8"/>
  <c r="CQ283" i="8"/>
  <c r="CQ282" i="8"/>
  <c r="CQ281" i="8"/>
  <c r="CQ280" i="8"/>
  <c r="CQ279" i="8"/>
  <c r="CQ278" i="8"/>
  <c r="CQ277" i="8"/>
  <c r="CQ276" i="8"/>
  <c r="CQ275" i="8"/>
  <c r="CQ274" i="8"/>
  <c r="CQ273" i="8"/>
  <c r="CQ272" i="8"/>
  <c r="CQ271" i="8"/>
  <c r="CQ270" i="8"/>
  <c r="CQ269" i="8"/>
  <c r="CQ268" i="8"/>
  <c r="CQ267" i="8"/>
  <c r="CQ266" i="8"/>
  <c r="CQ265" i="8"/>
  <c r="CQ264" i="8"/>
  <c r="CQ263" i="8"/>
  <c r="CQ262" i="8"/>
  <c r="CQ261" i="8"/>
  <c r="CQ260" i="8"/>
  <c r="CQ259" i="8"/>
  <c r="CQ258" i="8"/>
  <c r="CQ257" i="8"/>
  <c r="CQ256" i="8"/>
  <c r="CQ255" i="8"/>
  <c r="CQ254" i="8"/>
  <c r="CQ253" i="8"/>
  <c r="CQ252" i="8"/>
  <c r="CQ251" i="8"/>
  <c r="CQ250" i="8"/>
  <c r="CQ249" i="8"/>
  <c r="CQ248" i="8"/>
  <c r="CQ247" i="8"/>
  <c r="CQ246" i="8"/>
  <c r="CQ245" i="8"/>
  <c r="CQ244" i="8"/>
  <c r="CQ243" i="8"/>
  <c r="CQ242" i="8"/>
  <c r="CQ241" i="8"/>
  <c r="CQ240" i="8"/>
  <c r="CQ239" i="8"/>
  <c r="CQ238" i="8"/>
  <c r="CQ237" i="8"/>
  <c r="CQ236" i="8"/>
  <c r="CQ235" i="8"/>
  <c r="CQ234" i="8"/>
  <c r="CQ233" i="8"/>
  <c r="CQ232" i="8"/>
  <c r="CQ231" i="8"/>
  <c r="CQ230" i="8"/>
  <c r="CQ229" i="8"/>
  <c r="CQ228" i="8"/>
  <c r="CQ227" i="8"/>
  <c r="CQ226" i="8"/>
  <c r="CQ225" i="8"/>
  <c r="CQ224" i="8"/>
  <c r="CQ223" i="8"/>
  <c r="CQ222" i="8"/>
  <c r="CQ221" i="8"/>
  <c r="CQ220" i="8"/>
  <c r="CQ219" i="8"/>
  <c r="CQ218" i="8"/>
  <c r="CQ217" i="8"/>
  <c r="CQ216" i="8"/>
  <c r="CQ215" i="8"/>
  <c r="CQ214" i="8"/>
  <c r="CQ213" i="8"/>
  <c r="CQ212" i="8"/>
  <c r="CQ211" i="8"/>
  <c r="CQ210" i="8"/>
  <c r="CQ209" i="8"/>
  <c r="CQ208" i="8"/>
  <c r="CQ207" i="8"/>
  <c r="CQ206" i="8"/>
  <c r="CQ205" i="8"/>
  <c r="CQ204" i="8"/>
  <c r="CQ203" i="8"/>
  <c r="CQ202" i="8"/>
  <c r="CQ201" i="8"/>
  <c r="CQ200" i="8"/>
  <c r="CQ199" i="8"/>
  <c r="CQ198" i="8"/>
  <c r="CQ197" i="8"/>
  <c r="CQ196" i="8"/>
  <c r="CQ195" i="8"/>
  <c r="CQ194" i="8"/>
  <c r="CQ193" i="8"/>
  <c r="CQ192" i="8"/>
  <c r="CQ191" i="8"/>
  <c r="CQ190" i="8"/>
  <c r="CQ189" i="8"/>
  <c r="CQ188" i="8"/>
  <c r="CQ187" i="8"/>
  <c r="CQ186" i="8"/>
  <c r="CQ185" i="8"/>
  <c r="CQ184" i="8"/>
  <c r="CQ183" i="8"/>
  <c r="CQ182" i="8"/>
  <c r="CQ181" i="8"/>
  <c r="CQ180" i="8"/>
  <c r="CQ179" i="8"/>
  <c r="CQ178" i="8"/>
  <c r="CQ177" i="8"/>
  <c r="CQ176" i="8"/>
  <c r="CQ175" i="8"/>
  <c r="CQ174" i="8"/>
  <c r="CQ173" i="8"/>
  <c r="CQ172" i="8"/>
  <c r="CQ171" i="8"/>
  <c r="CQ170" i="8"/>
  <c r="CQ169" i="8"/>
  <c r="CQ168" i="8"/>
  <c r="CQ167" i="8"/>
  <c r="CQ166" i="8"/>
  <c r="CQ165" i="8"/>
  <c r="CQ164" i="8"/>
  <c r="CQ163" i="8"/>
  <c r="CQ162" i="8"/>
  <c r="CQ161" i="8"/>
  <c r="CQ160" i="8"/>
  <c r="CQ159" i="8"/>
  <c r="CQ158" i="8"/>
  <c r="CQ157" i="8"/>
  <c r="CQ156" i="8"/>
  <c r="CQ155" i="8"/>
  <c r="CQ154" i="8"/>
  <c r="CQ153" i="8"/>
  <c r="CQ152" i="8"/>
  <c r="CQ151" i="8"/>
  <c r="CQ150" i="8"/>
  <c r="CQ149" i="8"/>
  <c r="CQ148" i="8"/>
  <c r="CQ147" i="8"/>
  <c r="CQ146" i="8"/>
  <c r="CQ145" i="8"/>
  <c r="CQ144" i="8"/>
  <c r="CQ143" i="8"/>
  <c r="CQ142" i="8"/>
  <c r="CQ141" i="8"/>
  <c r="CQ140" i="8"/>
  <c r="CQ139" i="8"/>
  <c r="CQ138" i="8"/>
  <c r="CQ137" i="8"/>
  <c r="CQ136" i="8"/>
  <c r="CQ135" i="8"/>
  <c r="CQ134" i="8"/>
  <c r="CQ133" i="8"/>
  <c r="CQ132" i="8"/>
  <c r="CQ131" i="8"/>
  <c r="CQ130" i="8"/>
  <c r="CQ129" i="8"/>
  <c r="CQ128" i="8"/>
  <c r="CQ127" i="8"/>
  <c r="CQ126" i="8"/>
  <c r="CQ125" i="8"/>
  <c r="CQ124" i="8"/>
  <c r="CQ123" i="8"/>
  <c r="CQ122" i="8"/>
  <c r="CQ121" i="8"/>
  <c r="CQ120" i="8"/>
  <c r="CQ119" i="8"/>
  <c r="CQ118" i="8"/>
  <c r="CQ117" i="8"/>
  <c r="CQ116" i="8"/>
  <c r="CQ115" i="8"/>
  <c r="CQ114" i="8"/>
  <c r="CQ113" i="8"/>
  <c r="CQ112" i="8"/>
  <c r="CQ111" i="8"/>
  <c r="CQ110" i="8"/>
  <c r="CQ109" i="8"/>
  <c r="CQ108" i="8"/>
  <c r="CQ107" i="8"/>
  <c r="CQ106" i="8"/>
  <c r="CQ105" i="8"/>
  <c r="CQ104" i="8"/>
  <c r="CQ103" i="8"/>
  <c r="CQ102" i="8"/>
  <c r="CQ101" i="8"/>
  <c r="CQ100" i="8"/>
  <c r="CQ99" i="8"/>
  <c r="CQ98" i="8"/>
  <c r="CQ97" i="8"/>
  <c r="CQ96" i="8"/>
  <c r="CQ95" i="8"/>
  <c r="CQ94" i="8"/>
  <c r="CQ93" i="8"/>
  <c r="CQ92" i="8"/>
  <c r="CQ91" i="8"/>
  <c r="CQ90" i="8"/>
  <c r="CQ89" i="8"/>
  <c r="CQ88" i="8"/>
  <c r="CQ87" i="8"/>
  <c r="CQ86" i="8"/>
  <c r="CQ85" i="8"/>
  <c r="CQ84" i="8"/>
  <c r="CQ83" i="8"/>
  <c r="CQ82" i="8"/>
  <c r="CQ81" i="8"/>
  <c r="CQ80" i="8"/>
  <c r="CQ79" i="8"/>
  <c r="CQ78" i="8"/>
  <c r="CQ77" i="8"/>
  <c r="CQ76" i="8"/>
  <c r="CQ75" i="8"/>
  <c r="CQ74" i="8"/>
  <c r="CQ73" i="8"/>
  <c r="CQ72" i="8"/>
  <c r="CQ71" i="8"/>
  <c r="CQ70" i="8"/>
  <c r="CQ69" i="8"/>
  <c r="CQ68" i="8"/>
  <c r="CQ67" i="8"/>
  <c r="CQ66" i="8"/>
  <c r="CQ65" i="8"/>
  <c r="CQ64" i="8"/>
  <c r="CQ63" i="8"/>
  <c r="CQ62" i="8"/>
  <c r="CQ61" i="8"/>
  <c r="CQ60" i="8"/>
  <c r="CQ59" i="8"/>
  <c r="CQ58" i="8"/>
  <c r="CQ57" i="8"/>
  <c r="CQ56" i="8"/>
  <c r="CQ55" i="8"/>
  <c r="CQ54" i="8"/>
  <c r="CQ53" i="8"/>
  <c r="CQ52" i="8"/>
  <c r="CQ51" i="8"/>
  <c r="CQ50" i="8"/>
  <c r="CQ49" i="8"/>
  <c r="CQ48" i="8"/>
  <c r="CQ47" i="8"/>
  <c r="CQ46" i="8"/>
  <c r="CQ45" i="8"/>
  <c r="CQ44" i="8"/>
  <c r="CQ43" i="8"/>
  <c r="CQ42" i="8"/>
  <c r="CQ41" i="8"/>
  <c r="CQ40" i="8"/>
  <c r="CQ39" i="8"/>
  <c r="CQ38" i="8"/>
  <c r="CQ37" i="8"/>
  <c r="CQ36" i="8"/>
  <c r="CQ35" i="8"/>
  <c r="CQ34" i="8"/>
  <c r="CQ33" i="8"/>
  <c r="CQ32" i="8"/>
  <c r="CQ31" i="8"/>
  <c r="CQ30" i="8"/>
  <c r="CQ29" i="8"/>
  <c r="CQ28" i="8"/>
  <c r="CQ27" i="8"/>
  <c r="CQ26" i="8"/>
  <c r="CQ25" i="8"/>
  <c r="CQ24" i="8"/>
  <c r="CQ23" i="8"/>
  <c r="CQ22" i="8"/>
  <c r="CQ21" i="8"/>
  <c r="CQ20" i="8"/>
  <c r="CQ19" i="8"/>
  <c r="CQ18" i="8"/>
  <c r="CQ17" i="8"/>
  <c r="CQ16" i="8"/>
  <c r="CQ15" i="8"/>
  <c r="CQ14" i="8"/>
  <c r="CQ13" i="8"/>
  <c r="CQ12" i="8"/>
  <c r="CQ11" i="8"/>
  <c r="CQ10" i="8"/>
  <c r="CQ9" i="8"/>
  <c r="CQ8" i="8"/>
  <c r="CQ7" i="8"/>
  <c r="CQ6" i="8"/>
  <c r="CQ5" i="8"/>
  <c r="CQ4" i="8"/>
  <c r="CL393" i="8"/>
  <c r="CL392" i="8"/>
  <c r="CL391" i="8"/>
  <c r="CL390" i="8"/>
  <c r="CL389" i="8"/>
  <c r="CL388" i="8"/>
  <c r="CL387" i="8"/>
  <c r="CL386" i="8"/>
  <c r="CL385" i="8"/>
  <c r="CL384" i="8"/>
  <c r="CL383" i="8"/>
  <c r="CL382" i="8"/>
  <c r="CL381" i="8"/>
  <c r="CL380" i="8"/>
  <c r="CL379" i="8"/>
  <c r="CL378" i="8"/>
  <c r="CL377" i="8"/>
  <c r="CL376" i="8"/>
  <c r="CL375" i="8"/>
  <c r="CL374" i="8"/>
  <c r="CL373" i="8"/>
  <c r="CL372" i="8"/>
  <c r="CL371" i="8"/>
  <c r="CL370" i="8"/>
  <c r="CL369" i="8"/>
  <c r="CL368" i="8"/>
  <c r="CL367" i="8"/>
  <c r="CL366" i="8"/>
  <c r="CL365" i="8"/>
  <c r="CL364" i="8"/>
  <c r="CL363" i="8"/>
  <c r="CL362" i="8"/>
  <c r="CL361" i="8"/>
  <c r="CL360" i="8"/>
  <c r="CL359" i="8"/>
  <c r="CL358" i="8"/>
  <c r="CL357" i="8"/>
  <c r="CL356" i="8"/>
  <c r="CL355" i="8"/>
  <c r="CL354" i="8"/>
  <c r="CL353" i="8"/>
  <c r="CL352" i="8"/>
  <c r="CL351" i="8"/>
  <c r="CL350" i="8"/>
  <c r="CL349" i="8"/>
  <c r="CL348" i="8"/>
  <c r="CL347" i="8"/>
  <c r="CL346" i="8"/>
  <c r="CL345" i="8"/>
  <c r="CL344" i="8"/>
  <c r="CL343" i="8"/>
  <c r="CL342" i="8"/>
  <c r="CL341" i="8"/>
  <c r="CL340" i="8"/>
  <c r="CL339" i="8"/>
  <c r="CL338" i="8"/>
  <c r="CL337" i="8"/>
  <c r="CL336" i="8"/>
  <c r="CL335" i="8"/>
  <c r="CL334" i="8"/>
  <c r="CL333" i="8"/>
  <c r="CL332" i="8"/>
  <c r="CL331" i="8"/>
  <c r="CL330" i="8"/>
  <c r="CL329" i="8"/>
  <c r="CL328" i="8"/>
  <c r="CL327" i="8"/>
  <c r="CL326" i="8"/>
  <c r="CL325" i="8"/>
  <c r="CL324" i="8"/>
  <c r="CL323" i="8"/>
  <c r="CL322" i="8"/>
  <c r="CL321" i="8"/>
  <c r="CL320" i="8"/>
  <c r="CL319" i="8"/>
  <c r="CL318" i="8"/>
  <c r="CL317" i="8"/>
  <c r="CL316" i="8"/>
  <c r="CL315" i="8"/>
  <c r="CL314" i="8"/>
  <c r="CL313" i="8"/>
  <c r="CL312" i="8"/>
  <c r="CL311" i="8"/>
  <c r="CL310" i="8"/>
  <c r="CL309" i="8"/>
  <c r="CL308" i="8"/>
  <c r="CL307" i="8"/>
  <c r="CL306" i="8"/>
  <c r="CL305" i="8"/>
  <c r="CL304" i="8"/>
  <c r="CL303" i="8"/>
  <c r="CL302" i="8"/>
  <c r="CL301" i="8"/>
  <c r="CL300" i="8"/>
  <c r="CL299" i="8"/>
  <c r="CL298" i="8"/>
  <c r="CL297" i="8"/>
  <c r="CL296" i="8"/>
  <c r="CL295" i="8"/>
  <c r="CL294" i="8"/>
  <c r="CL293" i="8"/>
  <c r="CL292" i="8"/>
  <c r="CL291" i="8"/>
  <c r="CL290" i="8"/>
  <c r="CL289" i="8"/>
  <c r="CL288" i="8"/>
  <c r="CL287" i="8"/>
  <c r="CL286" i="8"/>
  <c r="CL285" i="8"/>
  <c r="CL284" i="8"/>
  <c r="CL283" i="8"/>
  <c r="CL282" i="8"/>
  <c r="CL281" i="8"/>
  <c r="CL280" i="8"/>
  <c r="CL279" i="8"/>
  <c r="CL278" i="8"/>
  <c r="CL277" i="8"/>
  <c r="CL276" i="8"/>
  <c r="CL275" i="8"/>
  <c r="CL274" i="8"/>
  <c r="CL273" i="8"/>
  <c r="CL272" i="8"/>
  <c r="CL271" i="8"/>
  <c r="CL270" i="8"/>
  <c r="CL269" i="8"/>
  <c r="CL268" i="8"/>
  <c r="CL267" i="8"/>
  <c r="CL266" i="8"/>
  <c r="CL265" i="8"/>
  <c r="CL264" i="8"/>
  <c r="CL263" i="8"/>
  <c r="CL262" i="8"/>
  <c r="CL261" i="8"/>
  <c r="CL260" i="8"/>
  <c r="CL259" i="8"/>
  <c r="CL258" i="8"/>
  <c r="CL257" i="8"/>
  <c r="CL256" i="8"/>
  <c r="CL255" i="8"/>
  <c r="CL254" i="8"/>
  <c r="CL253" i="8"/>
  <c r="CL252" i="8"/>
  <c r="CL251" i="8"/>
  <c r="CL250" i="8"/>
  <c r="CL249" i="8"/>
  <c r="CL248" i="8"/>
  <c r="CL247" i="8"/>
  <c r="CL246" i="8"/>
  <c r="CL245" i="8"/>
  <c r="CL244" i="8"/>
  <c r="CL243" i="8"/>
  <c r="CL242" i="8"/>
  <c r="CL241" i="8"/>
  <c r="CL240" i="8"/>
  <c r="CL239" i="8"/>
  <c r="CL238" i="8"/>
  <c r="CL237" i="8"/>
  <c r="CL236" i="8"/>
  <c r="CL235" i="8"/>
  <c r="CL234" i="8"/>
  <c r="CL233" i="8"/>
  <c r="CL232" i="8"/>
  <c r="CL231" i="8"/>
  <c r="CL230" i="8"/>
  <c r="CL229" i="8"/>
  <c r="CL228" i="8"/>
  <c r="CL227" i="8"/>
  <c r="CL226" i="8"/>
  <c r="CL225" i="8"/>
  <c r="CL224" i="8"/>
  <c r="CL223" i="8"/>
  <c r="CL222" i="8"/>
  <c r="CL221" i="8"/>
  <c r="CL220" i="8"/>
  <c r="CL219" i="8"/>
  <c r="CL218" i="8"/>
  <c r="CL217" i="8"/>
  <c r="CL216" i="8"/>
  <c r="CL215" i="8"/>
  <c r="CL214" i="8"/>
  <c r="CL213" i="8"/>
  <c r="CL212" i="8"/>
  <c r="CL211" i="8"/>
  <c r="CL210" i="8"/>
  <c r="CL209" i="8"/>
  <c r="CL208" i="8"/>
  <c r="CL207" i="8"/>
  <c r="CL206" i="8"/>
  <c r="CL205" i="8"/>
  <c r="CL204" i="8"/>
  <c r="CL203" i="8"/>
  <c r="CL202" i="8"/>
  <c r="CL201" i="8"/>
  <c r="CL200" i="8"/>
  <c r="CL199" i="8"/>
  <c r="CL198" i="8"/>
  <c r="CL197" i="8"/>
  <c r="CL196" i="8"/>
  <c r="CL195" i="8"/>
  <c r="CL194" i="8"/>
  <c r="CL193" i="8"/>
  <c r="CL192" i="8"/>
  <c r="CL191" i="8"/>
  <c r="CL190" i="8"/>
  <c r="CL189" i="8"/>
  <c r="CL188" i="8"/>
  <c r="CL187" i="8"/>
  <c r="CL186" i="8"/>
  <c r="CL185" i="8"/>
  <c r="CL184" i="8"/>
  <c r="CL183" i="8"/>
  <c r="CL182" i="8"/>
  <c r="CL181" i="8"/>
  <c r="CL180" i="8"/>
  <c r="CL179" i="8"/>
  <c r="CL178" i="8"/>
  <c r="CL177" i="8"/>
  <c r="CL176" i="8"/>
  <c r="CL175" i="8"/>
  <c r="CL174" i="8"/>
  <c r="CL173" i="8"/>
  <c r="CL172" i="8"/>
  <c r="CL171" i="8"/>
  <c r="CL170" i="8"/>
  <c r="CL169" i="8"/>
  <c r="CL168" i="8"/>
  <c r="CL167" i="8"/>
  <c r="CL166" i="8"/>
  <c r="CL165" i="8"/>
  <c r="CL164" i="8"/>
  <c r="CL163" i="8"/>
  <c r="CL162" i="8"/>
  <c r="CL161" i="8"/>
  <c r="CL160" i="8"/>
  <c r="CL159" i="8"/>
  <c r="CL158" i="8"/>
  <c r="CL157" i="8"/>
  <c r="CL156" i="8"/>
  <c r="CL155" i="8"/>
  <c r="CL154" i="8"/>
  <c r="CL153" i="8"/>
  <c r="CL152" i="8"/>
  <c r="CL151" i="8"/>
  <c r="CL150" i="8"/>
  <c r="CL149" i="8"/>
  <c r="CL148" i="8"/>
  <c r="CL147" i="8"/>
  <c r="CL146" i="8"/>
  <c r="CL145" i="8"/>
  <c r="CL144" i="8"/>
  <c r="CL143" i="8"/>
  <c r="CL142" i="8"/>
  <c r="CL141" i="8"/>
  <c r="CL140" i="8"/>
  <c r="CL139" i="8"/>
  <c r="CL138" i="8"/>
  <c r="CL137" i="8"/>
  <c r="CL136" i="8"/>
  <c r="CL135" i="8"/>
  <c r="CL134" i="8"/>
  <c r="CL133" i="8"/>
  <c r="CL132" i="8"/>
  <c r="CL131" i="8"/>
  <c r="CL130" i="8"/>
  <c r="CL129" i="8"/>
  <c r="CL128" i="8"/>
  <c r="CL127" i="8"/>
  <c r="CL126" i="8"/>
  <c r="CL125" i="8"/>
  <c r="CL124" i="8"/>
  <c r="CL123" i="8"/>
  <c r="CL122" i="8"/>
  <c r="CL121" i="8"/>
  <c r="CL120" i="8"/>
  <c r="CL119" i="8"/>
  <c r="CL118" i="8"/>
  <c r="CL117" i="8"/>
  <c r="CL116" i="8"/>
  <c r="CL115" i="8"/>
  <c r="CL114" i="8"/>
  <c r="CL113" i="8"/>
  <c r="CL112" i="8"/>
  <c r="CL111" i="8"/>
  <c r="CL110" i="8"/>
  <c r="CL109" i="8"/>
  <c r="CL108" i="8"/>
  <c r="CL107" i="8"/>
  <c r="CL106" i="8"/>
  <c r="CL105" i="8"/>
  <c r="CL104" i="8"/>
  <c r="CL103" i="8"/>
  <c r="CL102" i="8"/>
  <c r="CL101" i="8"/>
  <c r="CL100" i="8"/>
  <c r="CL99" i="8"/>
  <c r="CL98" i="8"/>
  <c r="CL97" i="8"/>
  <c r="CL96" i="8"/>
  <c r="CL95" i="8"/>
  <c r="CL94" i="8"/>
  <c r="CL93" i="8"/>
  <c r="CL92" i="8"/>
  <c r="CL91" i="8"/>
  <c r="CL90" i="8"/>
  <c r="CL89" i="8"/>
  <c r="CL88" i="8"/>
  <c r="CL87" i="8"/>
  <c r="CL86" i="8"/>
  <c r="CL85" i="8"/>
  <c r="CL84" i="8"/>
  <c r="CL83" i="8"/>
  <c r="CL82" i="8"/>
  <c r="CL81" i="8"/>
  <c r="CL80" i="8"/>
  <c r="CL79" i="8"/>
  <c r="CL78" i="8"/>
  <c r="CL77" i="8"/>
  <c r="CL76" i="8"/>
  <c r="CL75" i="8"/>
  <c r="CL74" i="8"/>
  <c r="CL73" i="8"/>
  <c r="CL72" i="8"/>
  <c r="CL71" i="8"/>
  <c r="CL70" i="8"/>
  <c r="CL69" i="8"/>
  <c r="CL68" i="8"/>
  <c r="CL67" i="8"/>
  <c r="CL66" i="8"/>
  <c r="CL65" i="8"/>
  <c r="CL64" i="8"/>
  <c r="CL63" i="8"/>
  <c r="CL62" i="8"/>
  <c r="CL61" i="8"/>
  <c r="CL60" i="8"/>
  <c r="CL59" i="8"/>
  <c r="CL58" i="8"/>
  <c r="CL57" i="8"/>
  <c r="CL56" i="8"/>
  <c r="CL55" i="8"/>
  <c r="CL54" i="8"/>
  <c r="CL53" i="8"/>
  <c r="CL52" i="8"/>
  <c r="CL51" i="8"/>
  <c r="CL50" i="8"/>
  <c r="CL49" i="8"/>
  <c r="CL48" i="8"/>
  <c r="CL47" i="8"/>
  <c r="CL46" i="8"/>
  <c r="CL45" i="8"/>
  <c r="CL44" i="8"/>
  <c r="CL43" i="8"/>
  <c r="CL42" i="8"/>
  <c r="CL41" i="8"/>
  <c r="CL40" i="8"/>
  <c r="CL39" i="8"/>
  <c r="CL38" i="8"/>
  <c r="CL37" i="8"/>
  <c r="CL36" i="8"/>
  <c r="CL35" i="8"/>
  <c r="CL34" i="8"/>
  <c r="CL33" i="8"/>
  <c r="CL32" i="8"/>
  <c r="CL31" i="8"/>
  <c r="CL30" i="8"/>
  <c r="CL29" i="8"/>
  <c r="CL28" i="8"/>
  <c r="CL27" i="8"/>
  <c r="CL26" i="8"/>
  <c r="CL25" i="8"/>
  <c r="CL24" i="8"/>
  <c r="CL23" i="8"/>
  <c r="CL22" i="8"/>
  <c r="CL21" i="8"/>
  <c r="CL20" i="8"/>
  <c r="CL19" i="8"/>
  <c r="CL18" i="8"/>
  <c r="CL17" i="8"/>
  <c r="CL16" i="8"/>
  <c r="CL15" i="8"/>
  <c r="CL14" i="8"/>
  <c r="CL13" i="8"/>
  <c r="CL12" i="8"/>
  <c r="CL11" i="8"/>
  <c r="CL10" i="8"/>
  <c r="CL9" i="8"/>
  <c r="CL8" i="8"/>
  <c r="CL7" i="8"/>
  <c r="CL6" i="8"/>
  <c r="CL5" i="8"/>
  <c r="CL4" i="8"/>
  <c r="CG393" i="8"/>
  <c r="CG392" i="8"/>
  <c r="CG391" i="8"/>
  <c r="CG390" i="8"/>
  <c r="CG389" i="8"/>
  <c r="CG388" i="8"/>
  <c r="CG387" i="8"/>
  <c r="CG386" i="8"/>
  <c r="CG385" i="8"/>
  <c r="CG384" i="8"/>
  <c r="CG383" i="8"/>
  <c r="CG382" i="8"/>
  <c r="CG381" i="8"/>
  <c r="CG380" i="8"/>
  <c r="CG379" i="8"/>
  <c r="CG378" i="8"/>
  <c r="CG377" i="8"/>
  <c r="CG376" i="8"/>
  <c r="CG375" i="8"/>
  <c r="CG374" i="8"/>
  <c r="CG373" i="8"/>
  <c r="CG372" i="8"/>
  <c r="CG371" i="8"/>
  <c r="CG370" i="8"/>
  <c r="CG369" i="8"/>
  <c r="CG368" i="8"/>
  <c r="CG367" i="8"/>
  <c r="CG366" i="8"/>
  <c r="CG365" i="8"/>
  <c r="CG364" i="8"/>
  <c r="CG363" i="8"/>
  <c r="CG362" i="8"/>
  <c r="CG361" i="8"/>
  <c r="CG360" i="8"/>
  <c r="CG359" i="8"/>
  <c r="CG358" i="8"/>
  <c r="CG357" i="8"/>
  <c r="CG356" i="8"/>
  <c r="CG355" i="8"/>
  <c r="CG354" i="8"/>
  <c r="CG353" i="8"/>
  <c r="CG352" i="8"/>
  <c r="CG351" i="8"/>
  <c r="CG350" i="8"/>
  <c r="CG349" i="8"/>
  <c r="CG348" i="8"/>
  <c r="CG347" i="8"/>
  <c r="CG346" i="8"/>
  <c r="CG345" i="8"/>
  <c r="CG344" i="8"/>
  <c r="CG343" i="8"/>
  <c r="CG342" i="8"/>
  <c r="CG341" i="8"/>
  <c r="CG340" i="8"/>
  <c r="CG339" i="8"/>
  <c r="CG338" i="8"/>
  <c r="CG337" i="8"/>
  <c r="CG336" i="8"/>
  <c r="CG335" i="8"/>
  <c r="CG334" i="8"/>
  <c r="CG333" i="8"/>
  <c r="CG332" i="8"/>
  <c r="CG331" i="8"/>
  <c r="CG330" i="8"/>
  <c r="CG329" i="8"/>
  <c r="CG328" i="8"/>
  <c r="CG327" i="8"/>
  <c r="CG326" i="8"/>
  <c r="CG325" i="8"/>
  <c r="CG324" i="8"/>
  <c r="CG323" i="8"/>
  <c r="CG322" i="8"/>
  <c r="CG321" i="8"/>
  <c r="CG320" i="8"/>
  <c r="CG319" i="8"/>
  <c r="CG318" i="8"/>
  <c r="CG317" i="8"/>
  <c r="CG316" i="8"/>
  <c r="CG315" i="8"/>
  <c r="CG314" i="8"/>
  <c r="CG313" i="8"/>
  <c r="CG312" i="8"/>
  <c r="CG311" i="8"/>
  <c r="CG310" i="8"/>
  <c r="CG309" i="8"/>
  <c r="CG308" i="8"/>
  <c r="CG307" i="8"/>
  <c r="CG306" i="8"/>
  <c r="CG305" i="8"/>
  <c r="CG304" i="8"/>
  <c r="CG303" i="8"/>
  <c r="CG302" i="8"/>
  <c r="CG301" i="8"/>
  <c r="CG300" i="8"/>
  <c r="CG299" i="8"/>
  <c r="CG298" i="8"/>
  <c r="CG297" i="8"/>
  <c r="CG296" i="8"/>
  <c r="CG295" i="8"/>
  <c r="CG294" i="8"/>
  <c r="CG293" i="8"/>
  <c r="CG292" i="8"/>
  <c r="CG291" i="8"/>
  <c r="CG290" i="8"/>
  <c r="CG289" i="8"/>
  <c r="CG288" i="8"/>
  <c r="CG287" i="8"/>
  <c r="CG286" i="8"/>
  <c r="CG285" i="8"/>
  <c r="CG284" i="8"/>
  <c r="CG283" i="8"/>
  <c r="CG282" i="8"/>
  <c r="CG281" i="8"/>
  <c r="CG280" i="8"/>
  <c r="CG279" i="8"/>
  <c r="CG278" i="8"/>
  <c r="CG277" i="8"/>
  <c r="CG276" i="8"/>
  <c r="CG275" i="8"/>
  <c r="CG274" i="8"/>
  <c r="CG273" i="8"/>
  <c r="CG272" i="8"/>
  <c r="CG271" i="8"/>
  <c r="CG270" i="8"/>
  <c r="CG269" i="8"/>
  <c r="CG268" i="8"/>
  <c r="CG267" i="8"/>
  <c r="CG266" i="8"/>
  <c r="CG265" i="8"/>
  <c r="CG264" i="8"/>
  <c r="CG263" i="8"/>
  <c r="CG262" i="8"/>
  <c r="CG261" i="8"/>
  <c r="CG260" i="8"/>
  <c r="CG259" i="8"/>
  <c r="CG258" i="8"/>
  <c r="CG257" i="8"/>
  <c r="CG256" i="8"/>
  <c r="CG255" i="8"/>
  <c r="CG254" i="8"/>
  <c r="CG253" i="8"/>
  <c r="CG252" i="8"/>
  <c r="CG251" i="8"/>
  <c r="CG250" i="8"/>
  <c r="CG249" i="8"/>
  <c r="CG248" i="8"/>
  <c r="CG247" i="8"/>
  <c r="CG246" i="8"/>
  <c r="CG245" i="8"/>
  <c r="CG244" i="8"/>
  <c r="CG243" i="8"/>
  <c r="CG242" i="8"/>
  <c r="CG241" i="8"/>
  <c r="CG240" i="8"/>
  <c r="CG239" i="8"/>
  <c r="CG238" i="8"/>
  <c r="CG237" i="8"/>
  <c r="CG236" i="8"/>
  <c r="CG235" i="8"/>
  <c r="CG234" i="8"/>
  <c r="CG233" i="8"/>
  <c r="CG232" i="8"/>
  <c r="CG231" i="8"/>
  <c r="CG230" i="8"/>
  <c r="CG229" i="8"/>
  <c r="CG228" i="8"/>
  <c r="CG227" i="8"/>
  <c r="CG226" i="8"/>
  <c r="CG225" i="8"/>
  <c r="CG224" i="8"/>
  <c r="CG223" i="8"/>
  <c r="CG222" i="8"/>
  <c r="CG221" i="8"/>
  <c r="CG220" i="8"/>
  <c r="CG219" i="8"/>
  <c r="CG218" i="8"/>
  <c r="CG217" i="8"/>
  <c r="CG216" i="8"/>
  <c r="CG215" i="8"/>
  <c r="CG214" i="8"/>
  <c r="CG213" i="8"/>
  <c r="CG212" i="8"/>
  <c r="CG211" i="8"/>
  <c r="CG210" i="8"/>
  <c r="CG209" i="8"/>
  <c r="CG208" i="8"/>
  <c r="CG207" i="8"/>
  <c r="CG206" i="8"/>
  <c r="CG205" i="8"/>
  <c r="CG204" i="8"/>
  <c r="CG203" i="8"/>
  <c r="CG202" i="8"/>
  <c r="CG201" i="8"/>
  <c r="CG200" i="8"/>
  <c r="CG199" i="8"/>
  <c r="CG198" i="8"/>
  <c r="CG197" i="8"/>
  <c r="CG196" i="8"/>
  <c r="CG195" i="8"/>
  <c r="CG194" i="8"/>
  <c r="CG193" i="8"/>
  <c r="CG192" i="8"/>
  <c r="CG191" i="8"/>
  <c r="CG190" i="8"/>
  <c r="CG189" i="8"/>
  <c r="CG188" i="8"/>
  <c r="CG187" i="8"/>
  <c r="CG186" i="8"/>
  <c r="CG185" i="8"/>
  <c r="CG184" i="8"/>
  <c r="CG183" i="8"/>
  <c r="CG182" i="8"/>
  <c r="CG181" i="8"/>
  <c r="CG180" i="8"/>
  <c r="CG179" i="8"/>
  <c r="CG178" i="8"/>
  <c r="CG177" i="8"/>
  <c r="CG176" i="8"/>
  <c r="CG175" i="8"/>
  <c r="CG174" i="8"/>
  <c r="CG173" i="8"/>
  <c r="CG172" i="8"/>
  <c r="CG171" i="8"/>
  <c r="CG170" i="8"/>
  <c r="CG169" i="8"/>
  <c r="CG168" i="8"/>
  <c r="CG167" i="8"/>
  <c r="CG166" i="8"/>
  <c r="CG165" i="8"/>
  <c r="CG164" i="8"/>
  <c r="CG163" i="8"/>
  <c r="CG162" i="8"/>
  <c r="CG161" i="8"/>
  <c r="CG160" i="8"/>
  <c r="CG159" i="8"/>
  <c r="CG158" i="8"/>
  <c r="CG157" i="8"/>
  <c r="CG156" i="8"/>
  <c r="CG155" i="8"/>
  <c r="CG154" i="8"/>
  <c r="CG153" i="8"/>
  <c r="CG152" i="8"/>
  <c r="CG151" i="8"/>
  <c r="CG150" i="8"/>
  <c r="CG149" i="8"/>
  <c r="CG148" i="8"/>
  <c r="CG147" i="8"/>
  <c r="CG146" i="8"/>
  <c r="CG145" i="8"/>
  <c r="CG144" i="8"/>
  <c r="CG143" i="8"/>
  <c r="CG142" i="8"/>
  <c r="CG141" i="8"/>
  <c r="CG140" i="8"/>
  <c r="CG139" i="8"/>
  <c r="CG138" i="8"/>
  <c r="CG137" i="8"/>
  <c r="CG136" i="8"/>
  <c r="CG135" i="8"/>
  <c r="CG134" i="8"/>
  <c r="CG133" i="8"/>
  <c r="CG132" i="8"/>
  <c r="CG131" i="8"/>
  <c r="CG130" i="8"/>
  <c r="CG129" i="8"/>
  <c r="CG128" i="8"/>
  <c r="CG127" i="8"/>
  <c r="CG126" i="8"/>
  <c r="CG125" i="8"/>
  <c r="CG124" i="8"/>
  <c r="CG123" i="8"/>
  <c r="CG122" i="8"/>
  <c r="CG121" i="8"/>
  <c r="CG120" i="8"/>
  <c r="CG119" i="8"/>
  <c r="CG118" i="8"/>
  <c r="CG117" i="8"/>
  <c r="CG116" i="8"/>
  <c r="CG115" i="8"/>
  <c r="CG114" i="8"/>
  <c r="CG113" i="8"/>
  <c r="CG112" i="8"/>
  <c r="CG111" i="8"/>
  <c r="CG110" i="8"/>
  <c r="CG109" i="8"/>
  <c r="CG108" i="8"/>
  <c r="CG107" i="8"/>
  <c r="CG106" i="8"/>
  <c r="CG105" i="8"/>
  <c r="CG104" i="8"/>
  <c r="CG103" i="8"/>
  <c r="CG102" i="8"/>
  <c r="CG101" i="8"/>
  <c r="CG100" i="8"/>
  <c r="CG99" i="8"/>
  <c r="CG98" i="8"/>
  <c r="CG97" i="8"/>
  <c r="CG96" i="8"/>
  <c r="CG95" i="8"/>
  <c r="CG94" i="8"/>
  <c r="CG93" i="8"/>
  <c r="CG92" i="8"/>
  <c r="CG91" i="8"/>
  <c r="CG90" i="8"/>
  <c r="CG89" i="8"/>
  <c r="CG88" i="8"/>
  <c r="CG87" i="8"/>
  <c r="CG86" i="8"/>
  <c r="CG85" i="8"/>
  <c r="CG84" i="8"/>
  <c r="CG83" i="8"/>
  <c r="CG82" i="8"/>
  <c r="CG81" i="8"/>
  <c r="CG80" i="8"/>
  <c r="CG79" i="8"/>
  <c r="CG78" i="8"/>
  <c r="CG77" i="8"/>
  <c r="CG76" i="8"/>
  <c r="CG75" i="8"/>
  <c r="CG74" i="8"/>
  <c r="CG73" i="8"/>
  <c r="CG72" i="8"/>
  <c r="CG71" i="8"/>
  <c r="CG70" i="8"/>
  <c r="CG69" i="8"/>
  <c r="CG68" i="8"/>
  <c r="CG67" i="8"/>
  <c r="CG66" i="8"/>
  <c r="CG65" i="8"/>
  <c r="CG64" i="8"/>
  <c r="CG63" i="8"/>
  <c r="CG62" i="8"/>
  <c r="CG61" i="8"/>
  <c r="CG60" i="8"/>
  <c r="CG59" i="8"/>
  <c r="CG58" i="8"/>
  <c r="CG57" i="8"/>
  <c r="CG56" i="8"/>
  <c r="CG55" i="8"/>
  <c r="CG54" i="8"/>
  <c r="CG53" i="8"/>
  <c r="CG52" i="8"/>
  <c r="CG51" i="8"/>
  <c r="CG50" i="8"/>
  <c r="CG49" i="8"/>
  <c r="CG48" i="8"/>
  <c r="CG47" i="8"/>
  <c r="CG46" i="8"/>
  <c r="CG45" i="8"/>
  <c r="CG44" i="8"/>
  <c r="CG43" i="8"/>
  <c r="CG42" i="8"/>
  <c r="CG41" i="8"/>
  <c r="CG40" i="8"/>
  <c r="CG39" i="8"/>
  <c r="CG38" i="8"/>
  <c r="CG37" i="8"/>
  <c r="CG36" i="8"/>
  <c r="CG35" i="8"/>
  <c r="CG34" i="8"/>
  <c r="CG33" i="8"/>
  <c r="CG32" i="8"/>
  <c r="CG31" i="8"/>
  <c r="CG30" i="8"/>
  <c r="CG29" i="8"/>
  <c r="CG28" i="8"/>
  <c r="CG27" i="8"/>
  <c r="CG26" i="8"/>
  <c r="CG25" i="8"/>
  <c r="CG24" i="8"/>
  <c r="CG23" i="8"/>
  <c r="CG22" i="8"/>
  <c r="CG21" i="8"/>
  <c r="CG20" i="8"/>
  <c r="CG19" i="8"/>
  <c r="CG18" i="8"/>
  <c r="CG17" i="8"/>
  <c r="CG16" i="8"/>
  <c r="CG15" i="8"/>
  <c r="CG14" i="8"/>
  <c r="CG13" i="8"/>
  <c r="CG12" i="8"/>
  <c r="CG11" i="8"/>
  <c r="CG10" i="8"/>
  <c r="CG9" i="8"/>
  <c r="CG8" i="8"/>
  <c r="CG7" i="8"/>
  <c r="CG6" i="8"/>
  <c r="CG5" i="8"/>
  <c r="CG4" i="8"/>
  <c r="CB393" i="8"/>
  <c r="CB392" i="8"/>
  <c r="CB391" i="8"/>
  <c r="CB390" i="8"/>
  <c r="CB389" i="8"/>
  <c r="CB388" i="8"/>
  <c r="CB387" i="8"/>
  <c r="CB386" i="8"/>
  <c r="CB385" i="8"/>
  <c r="CB384" i="8"/>
  <c r="CB383" i="8"/>
  <c r="CB382" i="8"/>
  <c r="CB381" i="8"/>
  <c r="CB380" i="8"/>
  <c r="CB379" i="8"/>
  <c r="CB378" i="8"/>
  <c r="CB377" i="8"/>
  <c r="CB376" i="8"/>
  <c r="CB375" i="8"/>
  <c r="CB374" i="8"/>
  <c r="CB373" i="8"/>
  <c r="CB372" i="8"/>
  <c r="CB371" i="8"/>
  <c r="CB370" i="8"/>
  <c r="CB369" i="8"/>
  <c r="CB368" i="8"/>
  <c r="CB367" i="8"/>
  <c r="CB366" i="8"/>
  <c r="CB365" i="8"/>
  <c r="CB364" i="8"/>
  <c r="CB363" i="8"/>
  <c r="CB362" i="8"/>
  <c r="CB361" i="8"/>
  <c r="CB360" i="8"/>
  <c r="CB359" i="8"/>
  <c r="CB358" i="8"/>
  <c r="CB357" i="8"/>
  <c r="CB356" i="8"/>
  <c r="CB355" i="8"/>
  <c r="CB354" i="8"/>
  <c r="CB353" i="8"/>
  <c r="CB352" i="8"/>
  <c r="CB351" i="8"/>
  <c r="CB350" i="8"/>
  <c r="CB349" i="8"/>
  <c r="CB348" i="8"/>
  <c r="CB347" i="8"/>
  <c r="CB346" i="8"/>
  <c r="CB345" i="8"/>
  <c r="CB344" i="8"/>
  <c r="CB343" i="8"/>
  <c r="CB342" i="8"/>
  <c r="CB341" i="8"/>
  <c r="CB340" i="8"/>
  <c r="CB339" i="8"/>
  <c r="CB338" i="8"/>
  <c r="CB337" i="8"/>
  <c r="CB336" i="8"/>
  <c r="CB335" i="8"/>
  <c r="CB334" i="8"/>
  <c r="CB333" i="8"/>
  <c r="CB332" i="8"/>
  <c r="CB331" i="8"/>
  <c r="CB330" i="8"/>
  <c r="CB329" i="8"/>
  <c r="CB328" i="8"/>
  <c r="CB327" i="8"/>
  <c r="CB326" i="8"/>
  <c r="CB325" i="8"/>
  <c r="CB324" i="8"/>
  <c r="CB323" i="8"/>
  <c r="CB322" i="8"/>
  <c r="CB321" i="8"/>
  <c r="CB320" i="8"/>
  <c r="CB319" i="8"/>
  <c r="CB318" i="8"/>
  <c r="CB317" i="8"/>
  <c r="CB316" i="8"/>
  <c r="CB315" i="8"/>
  <c r="CB314" i="8"/>
  <c r="CB313" i="8"/>
  <c r="CB312" i="8"/>
  <c r="CB311" i="8"/>
  <c r="CB310" i="8"/>
  <c r="CB309" i="8"/>
  <c r="CB308" i="8"/>
  <c r="CB307" i="8"/>
  <c r="CB306" i="8"/>
  <c r="CB305" i="8"/>
  <c r="CB304" i="8"/>
  <c r="CB303" i="8"/>
  <c r="CB302" i="8"/>
  <c r="CB301" i="8"/>
  <c r="CB300" i="8"/>
  <c r="CB299" i="8"/>
  <c r="CB298" i="8"/>
  <c r="CB297" i="8"/>
  <c r="CB296" i="8"/>
  <c r="CB295" i="8"/>
  <c r="CB294" i="8"/>
  <c r="CB293" i="8"/>
  <c r="CB292" i="8"/>
  <c r="CB291" i="8"/>
  <c r="CB290" i="8"/>
  <c r="CB289" i="8"/>
  <c r="CB288" i="8"/>
  <c r="CB287" i="8"/>
  <c r="CB286" i="8"/>
  <c r="CB285" i="8"/>
  <c r="CB284" i="8"/>
  <c r="CB283" i="8"/>
  <c r="CB282" i="8"/>
  <c r="CB281" i="8"/>
  <c r="CB280" i="8"/>
  <c r="CB279" i="8"/>
  <c r="CB278" i="8"/>
  <c r="CB277" i="8"/>
  <c r="CB276" i="8"/>
  <c r="CB275" i="8"/>
  <c r="CB274" i="8"/>
  <c r="CB273" i="8"/>
  <c r="CB272" i="8"/>
  <c r="CB271" i="8"/>
  <c r="CB270" i="8"/>
  <c r="CB269" i="8"/>
  <c r="CB268" i="8"/>
  <c r="CB267" i="8"/>
  <c r="CB266" i="8"/>
  <c r="CB265" i="8"/>
  <c r="CB264" i="8"/>
  <c r="CB263" i="8"/>
  <c r="CB262" i="8"/>
  <c r="CB261" i="8"/>
  <c r="CB260" i="8"/>
  <c r="CB259" i="8"/>
  <c r="CB258" i="8"/>
  <c r="CB257" i="8"/>
  <c r="CB256" i="8"/>
  <c r="CB255" i="8"/>
  <c r="CB254" i="8"/>
  <c r="CB253" i="8"/>
  <c r="CB252" i="8"/>
  <c r="CB251" i="8"/>
  <c r="CB250" i="8"/>
  <c r="CB249" i="8"/>
  <c r="CB248" i="8"/>
  <c r="CB247" i="8"/>
  <c r="CB246" i="8"/>
  <c r="CB245" i="8"/>
  <c r="CB244" i="8"/>
  <c r="CB243" i="8"/>
  <c r="CB242" i="8"/>
  <c r="CB241" i="8"/>
  <c r="CB240" i="8"/>
  <c r="CB239" i="8"/>
  <c r="CB238" i="8"/>
  <c r="CB237" i="8"/>
  <c r="CB236" i="8"/>
  <c r="CB235" i="8"/>
  <c r="CB234" i="8"/>
  <c r="CB233" i="8"/>
  <c r="CB232" i="8"/>
  <c r="CB231" i="8"/>
  <c r="CB230" i="8"/>
  <c r="CB229" i="8"/>
  <c r="CB228" i="8"/>
  <c r="CB227" i="8"/>
  <c r="CB226" i="8"/>
  <c r="CB225" i="8"/>
  <c r="CB224" i="8"/>
  <c r="CB223" i="8"/>
  <c r="CB222" i="8"/>
  <c r="CB221" i="8"/>
  <c r="CB220" i="8"/>
  <c r="CB219" i="8"/>
  <c r="CB218" i="8"/>
  <c r="CB217" i="8"/>
  <c r="CB216" i="8"/>
  <c r="CB215" i="8"/>
  <c r="CB214" i="8"/>
  <c r="CB213" i="8"/>
  <c r="CB212" i="8"/>
  <c r="CB211" i="8"/>
  <c r="CB210" i="8"/>
  <c r="CB209" i="8"/>
  <c r="CB208" i="8"/>
  <c r="CB207" i="8"/>
  <c r="CB206" i="8"/>
  <c r="CB205" i="8"/>
  <c r="CB204" i="8"/>
  <c r="CB203" i="8"/>
  <c r="CB202" i="8"/>
  <c r="CB201" i="8"/>
  <c r="CB200" i="8"/>
  <c r="CB199" i="8"/>
  <c r="CB198" i="8"/>
  <c r="CB197" i="8"/>
  <c r="CB196" i="8"/>
  <c r="CB195" i="8"/>
  <c r="CB194" i="8"/>
  <c r="CB193" i="8"/>
  <c r="CB192" i="8"/>
  <c r="CB191" i="8"/>
  <c r="CB190" i="8"/>
  <c r="CB189" i="8"/>
  <c r="CB188" i="8"/>
  <c r="CB187" i="8"/>
  <c r="CB186" i="8"/>
  <c r="CB185" i="8"/>
  <c r="CB184" i="8"/>
  <c r="CB183" i="8"/>
  <c r="CB182" i="8"/>
  <c r="CB181" i="8"/>
  <c r="CB180" i="8"/>
  <c r="CB179" i="8"/>
  <c r="CB178" i="8"/>
  <c r="CB177" i="8"/>
  <c r="CB176" i="8"/>
  <c r="CB175" i="8"/>
  <c r="CB174" i="8"/>
  <c r="CB173" i="8"/>
  <c r="CB172" i="8"/>
  <c r="CB171" i="8"/>
  <c r="CB170" i="8"/>
  <c r="CB169" i="8"/>
  <c r="CB168" i="8"/>
  <c r="CB167" i="8"/>
  <c r="CB166" i="8"/>
  <c r="CB165" i="8"/>
  <c r="CB164" i="8"/>
  <c r="CB163" i="8"/>
  <c r="CB162" i="8"/>
  <c r="CB161" i="8"/>
  <c r="CB160" i="8"/>
  <c r="CB159" i="8"/>
  <c r="CB158" i="8"/>
  <c r="CB157" i="8"/>
  <c r="CB156" i="8"/>
  <c r="CB155" i="8"/>
  <c r="CB154" i="8"/>
  <c r="CB153" i="8"/>
  <c r="CB152" i="8"/>
  <c r="CB151" i="8"/>
  <c r="CB150" i="8"/>
  <c r="CB149" i="8"/>
  <c r="CB148" i="8"/>
  <c r="CB147" i="8"/>
  <c r="CB146" i="8"/>
  <c r="CB145" i="8"/>
  <c r="CB144" i="8"/>
  <c r="CB143" i="8"/>
  <c r="CB142" i="8"/>
  <c r="CB141" i="8"/>
  <c r="CB140" i="8"/>
  <c r="CB139" i="8"/>
  <c r="CB138" i="8"/>
  <c r="CB137" i="8"/>
  <c r="CB136" i="8"/>
  <c r="CB135" i="8"/>
  <c r="CB134" i="8"/>
  <c r="CB133" i="8"/>
  <c r="CB132" i="8"/>
  <c r="CB131" i="8"/>
  <c r="CB130" i="8"/>
  <c r="CB129" i="8"/>
  <c r="CB128" i="8"/>
  <c r="CB127" i="8"/>
  <c r="CB126" i="8"/>
  <c r="CB125" i="8"/>
  <c r="CB124" i="8"/>
  <c r="CB123" i="8"/>
  <c r="CB122" i="8"/>
  <c r="CB121" i="8"/>
  <c r="CB120" i="8"/>
  <c r="CB119" i="8"/>
  <c r="CB118" i="8"/>
  <c r="CB117" i="8"/>
  <c r="CB116" i="8"/>
  <c r="CB115" i="8"/>
  <c r="CB114" i="8"/>
  <c r="CB113" i="8"/>
  <c r="CB112" i="8"/>
  <c r="CB111" i="8"/>
  <c r="CB110" i="8"/>
  <c r="CB109" i="8"/>
  <c r="CB108" i="8"/>
  <c r="CB107" i="8"/>
  <c r="CB106" i="8"/>
  <c r="CB105" i="8"/>
  <c r="CB104" i="8"/>
  <c r="CB103" i="8"/>
  <c r="CB102" i="8"/>
  <c r="CB101" i="8"/>
  <c r="CB100" i="8"/>
  <c r="CB99" i="8"/>
  <c r="CB98" i="8"/>
  <c r="CB97" i="8"/>
  <c r="CB96" i="8"/>
  <c r="CB95" i="8"/>
  <c r="CB94" i="8"/>
  <c r="CB93" i="8"/>
  <c r="CB92" i="8"/>
  <c r="CB91" i="8"/>
  <c r="CB90" i="8"/>
  <c r="CB89" i="8"/>
  <c r="CB88" i="8"/>
  <c r="CB87" i="8"/>
  <c r="CB86" i="8"/>
  <c r="CB85" i="8"/>
  <c r="CB84" i="8"/>
  <c r="CB83" i="8"/>
  <c r="CB82" i="8"/>
  <c r="CB81" i="8"/>
  <c r="CB80" i="8"/>
  <c r="CB79" i="8"/>
  <c r="CB78" i="8"/>
  <c r="CB77" i="8"/>
  <c r="CB76" i="8"/>
  <c r="CB75" i="8"/>
  <c r="CB74" i="8"/>
  <c r="CB73" i="8"/>
  <c r="CB72" i="8"/>
  <c r="CB71" i="8"/>
  <c r="CB70" i="8"/>
  <c r="CB69" i="8"/>
  <c r="CB68" i="8"/>
  <c r="CB67" i="8"/>
  <c r="CB66" i="8"/>
  <c r="CB65" i="8"/>
  <c r="CB64" i="8"/>
  <c r="CB63" i="8"/>
  <c r="CB62" i="8"/>
  <c r="CB61" i="8"/>
  <c r="CB60" i="8"/>
  <c r="CB59" i="8"/>
  <c r="CB58" i="8"/>
  <c r="CB57" i="8"/>
  <c r="CB56" i="8"/>
  <c r="CB55" i="8"/>
  <c r="CB54" i="8"/>
  <c r="CB53" i="8"/>
  <c r="CB52" i="8"/>
  <c r="CB51" i="8"/>
  <c r="CB50" i="8"/>
  <c r="CB49" i="8"/>
  <c r="CB48" i="8"/>
  <c r="CB47" i="8"/>
  <c r="CB46" i="8"/>
  <c r="CB45" i="8"/>
  <c r="CB44" i="8"/>
  <c r="CB43" i="8"/>
  <c r="CB42" i="8"/>
  <c r="CB41" i="8"/>
  <c r="CB40" i="8"/>
  <c r="CB39" i="8"/>
  <c r="CB38" i="8"/>
  <c r="CB37" i="8"/>
  <c r="CB36" i="8"/>
  <c r="CB35" i="8"/>
  <c r="CB34" i="8"/>
  <c r="CB33" i="8"/>
  <c r="CB32" i="8"/>
  <c r="CB31" i="8"/>
  <c r="CB30" i="8"/>
  <c r="CB29" i="8"/>
  <c r="CB28" i="8"/>
  <c r="CB27" i="8"/>
  <c r="CB26" i="8"/>
  <c r="CB25" i="8"/>
  <c r="CB24" i="8"/>
  <c r="CB23" i="8"/>
  <c r="CB22" i="8"/>
  <c r="CB21" i="8"/>
  <c r="CB20" i="8"/>
  <c r="CB19" i="8"/>
  <c r="CB18" i="8"/>
  <c r="CB17" i="8"/>
  <c r="CB16" i="8"/>
  <c r="CB15" i="8"/>
  <c r="CB14" i="8"/>
  <c r="CB13" i="8"/>
  <c r="CB12" i="8"/>
  <c r="CB11" i="8"/>
  <c r="CB10" i="8"/>
  <c r="CB9" i="8"/>
  <c r="CB8" i="8"/>
  <c r="CB7" i="8"/>
  <c r="CB6" i="8"/>
  <c r="CB5" i="8"/>
  <c r="CB4" i="8"/>
  <c r="BW393" i="8"/>
  <c r="BW392" i="8"/>
  <c r="BW391" i="8"/>
  <c r="BW390" i="8"/>
  <c r="BW389" i="8"/>
  <c r="BW388" i="8"/>
  <c r="BW387" i="8"/>
  <c r="BW386" i="8"/>
  <c r="BW385" i="8"/>
  <c r="BW384" i="8"/>
  <c r="BW383" i="8"/>
  <c r="BW382" i="8"/>
  <c r="BW381" i="8"/>
  <c r="BW380" i="8"/>
  <c r="BW379" i="8"/>
  <c r="BW378" i="8"/>
  <c r="BW377" i="8"/>
  <c r="BW376" i="8"/>
  <c r="BW375" i="8"/>
  <c r="BW374" i="8"/>
  <c r="BW373" i="8"/>
  <c r="BW372" i="8"/>
  <c r="BW371" i="8"/>
  <c r="BW370" i="8"/>
  <c r="BW369" i="8"/>
  <c r="BW368" i="8"/>
  <c r="BW367" i="8"/>
  <c r="BW366" i="8"/>
  <c r="BW365" i="8"/>
  <c r="BW364" i="8"/>
  <c r="BW363" i="8"/>
  <c r="BW362" i="8"/>
  <c r="BW361" i="8"/>
  <c r="BW360" i="8"/>
  <c r="BW359" i="8"/>
  <c r="BW358" i="8"/>
  <c r="BW357" i="8"/>
  <c r="BW356" i="8"/>
  <c r="BW355" i="8"/>
  <c r="BW354" i="8"/>
  <c r="BW353" i="8"/>
  <c r="BW352" i="8"/>
  <c r="BW351" i="8"/>
  <c r="BW350" i="8"/>
  <c r="BW349" i="8"/>
  <c r="BW348" i="8"/>
  <c r="BW347" i="8"/>
  <c r="BW346" i="8"/>
  <c r="BW345" i="8"/>
  <c r="BW344" i="8"/>
  <c r="BW343" i="8"/>
  <c r="BW342" i="8"/>
  <c r="BW341" i="8"/>
  <c r="BW340" i="8"/>
  <c r="BW339" i="8"/>
  <c r="BW338" i="8"/>
  <c r="BW337" i="8"/>
  <c r="BW336" i="8"/>
  <c r="BW335" i="8"/>
  <c r="BW334" i="8"/>
  <c r="BW333" i="8"/>
  <c r="BW332" i="8"/>
  <c r="BW331" i="8"/>
  <c r="BW330" i="8"/>
  <c r="BW329" i="8"/>
  <c r="BW328" i="8"/>
  <c r="BW327" i="8"/>
  <c r="BW326" i="8"/>
  <c r="BW325" i="8"/>
  <c r="BW324" i="8"/>
  <c r="BW323" i="8"/>
  <c r="BW322" i="8"/>
  <c r="BW321" i="8"/>
  <c r="BW320" i="8"/>
  <c r="BW319" i="8"/>
  <c r="BW318" i="8"/>
  <c r="BW317" i="8"/>
  <c r="BW316" i="8"/>
  <c r="BW315" i="8"/>
  <c r="BW314" i="8"/>
  <c r="BW313" i="8"/>
  <c r="BW312" i="8"/>
  <c r="BW311" i="8"/>
  <c r="BW310" i="8"/>
  <c r="BW309" i="8"/>
  <c r="BW308" i="8"/>
  <c r="BW307" i="8"/>
  <c r="BW306" i="8"/>
  <c r="BW305" i="8"/>
  <c r="BW304" i="8"/>
  <c r="BW303" i="8"/>
  <c r="BW302" i="8"/>
  <c r="BW301" i="8"/>
  <c r="BW300" i="8"/>
  <c r="BW299" i="8"/>
  <c r="BW298" i="8"/>
  <c r="BW297" i="8"/>
  <c r="BW296" i="8"/>
  <c r="BW295" i="8"/>
  <c r="BW294" i="8"/>
  <c r="BW293" i="8"/>
  <c r="BW292" i="8"/>
  <c r="BW291" i="8"/>
  <c r="BW290" i="8"/>
  <c r="BW289" i="8"/>
  <c r="BW288" i="8"/>
  <c r="BW287" i="8"/>
  <c r="BW286" i="8"/>
  <c r="BW285" i="8"/>
  <c r="BW284" i="8"/>
  <c r="BW283" i="8"/>
  <c r="BW282" i="8"/>
  <c r="BW281" i="8"/>
  <c r="BW280" i="8"/>
  <c r="BW279" i="8"/>
  <c r="BW278" i="8"/>
  <c r="BW277" i="8"/>
  <c r="BW276" i="8"/>
  <c r="BW275" i="8"/>
  <c r="BW274" i="8"/>
  <c r="BW273" i="8"/>
  <c r="BW272" i="8"/>
  <c r="BW271" i="8"/>
  <c r="BW270" i="8"/>
  <c r="BW269" i="8"/>
  <c r="BW268" i="8"/>
  <c r="BW267" i="8"/>
  <c r="BW266" i="8"/>
  <c r="BW265" i="8"/>
  <c r="BW264" i="8"/>
  <c r="BW263" i="8"/>
  <c r="BW262" i="8"/>
  <c r="BW261" i="8"/>
  <c r="BW260" i="8"/>
  <c r="BW259" i="8"/>
  <c r="BW258" i="8"/>
  <c r="BW257" i="8"/>
  <c r="BW256" i="8"/>
  <c r="BW255" i="8"/>
  <c r="BW254" i="8"/>
  <c r="BW253" i="8"/>
  <c r="BW252" i="8"/>
  <c r="BW251" i="8"/>
  <c r="BW250" i="8"/>
  <c r="BW249" i="8"/>
  <c r="BW248" i="8"/>
  <c r="BW247" i="8"/>
  <c r="BW246" i="8"/>
  <c r="BW245" i="8"/>
  <c r="BW244" i="8"/>
  <c r="BW243" i="8"/>
  <c r="BW242" i="8"/>
  <c r="BW241" i="8"/>
  <c r="BW240" i="8"/>
  <c r="BW239" i="8"/>
  <c r="BW238" i="8"/>
  <c r="BW237" i="8"/>
  <c r="BW236" i="8"/>
  <c r="BW235" i="8"/>
  <c r="BW234" i="8"/>
  <c r="BW233" i="8"/>
  <c r="BW232" i="8"/>
  <c r="BW231" i="8"/>
  <c r="BW230" i="8"/>
  <c r="BW229" i="8"/>
  <c r="BW228" i="8"/>
  <c r="BW227" i="8"/>
  <c r="BW226" i="8"/>
  <c r="BW225" i="8"/>
  <c r="BW224" i="8"/>
  <c r="BW223" i="8"/>
  <c r="BW222" i="8"/>
  <c r="BW221" i="8"/>
  <c r="BW220" i="8"/>
  <c r="BW219" i="8"/>
  <c r="BW218" i="8"/>
  <c r="BW217" i="8"/>
  <c r="BW216" i="8"/>
  <c r="BW215" i="8"/>
  <c r="BW214" i="8"/>
  <c r="BW213" i="8"/>
  <c r="BW212" i="8"/>
  <c r="BW211" i="8"/>
  <c r="BW210" i="8"/>
  <c r="BW209" i="8"/>
  <c r="BW208" i="8"/>
  <c r="BW207" i="8"/>
  <c r="BW206" i="8"/>
  <c r="BW205" i="8"/>
  <c r="BW204" i="8"/>
  <c r="BW203" i="8"/>
  <c r="BW202" i="8"/>
  <c r="BW201" i="8"/>
  <c r="BW200" i="8"/>
  <c r="BW199" i="8"/>
  <c r="BW198" i="8"/>
  <c r="BW197" i="8"/>
  <c r="BW196" i="8"/>
  <c r="BW195" i="8"/>
  <c r="BW194" i="8"/>
  <c r="BW193" i="8"/>
  <c r="BW192" i="8"/>
  <c r="BW191" i="8"/>
  <c r="BW190" i="8"/>
  <c r="BW189" i="8"/>
  <c r="BW188" i="8"/>
  <c r="BW187" i="8"/>
  <c r="BW186" i="8"/>
  <c r="BW185" i="8"/>
  <c r="BW184" i="8"/>
  <c r="BW183" i="8"/>
  <c r="BW182" i="8"/>
  <c r="BW181" i="8"/>
  <c r="BW180" i="8"/>
  <c r="BW179" i="8"/>
  <c r="BW178" i="8"/>
  <c r="BW177" i="8"/>
  <c r="BW176" i="8"/>
  <c r="BW175" i="8"/>
  <c r="BW174" i="8"/>
  <c r="BW173" i="8"/>
  <c r="BW172" i="8"/>
  <c r="BW171" i="8"/>
  <c r="BW170" i="8"/>
  <c r="BW169" i="8"/>
  <c r="BW168" i="8"/>
  <c r="BW167" i="8"/>
  <c r="BW166" i="8"/>
  <c r="BW165" i="8"/>
  <c r="BW164" i="8"/>
  <c r="BW163" i="8"/>
  <c r="BW162" i="8"/>
  <c r="BW161" i="8"/>
  <c r="BW160" i="8"/>
  <c r="BW159" i="8"/>
  <c r="BW158" i="8"/>
  <c r="BW157" i="8"/>
  <c r="BW156" i="8"/>
  <c r="BW155" i="8"/>
  <c r="BW154" i="8"/>
  <c r="BW153" i="8"/>
  <c r="BW152" i="8"/>
  <c r="BW151" i="8"/>
  <c r="BW150" i="8"/>
  <c r="BW149" i="8"/>
  <c r="BW148" i="8"/>
  <c r="BW147" i="8"/>
  <c r="BW146" i="8"/>
  <c r="BW145" i="8"/>
  <c r="BW144" i="8"/>
  <c r="BW143" i="8"/>
  <c r="BW142" i="8"/>
  <c r="BW141" i="8"/>
  <c r="BW140" i="8"/>
  <c r="BW139" i="8"/>
  <c r="BW138" i="8"/>
  <c r="BW137" i="8"/>
  <c r="BW136" i="8"/>
  <c r="BW135" i="8"/>
  <c r="BW134" i="8"/>
  <c r="BW133" i="8"/>
  <c r="BW132" i="8"/>
  <c r="BW131" i="8"/>
  <c r="BW130" i="8"/>
  <c r="BW129" i="8"/>
  <c r="BW128" i="8"/>
  <c r="BW127" i="8"/>
  <c r="BW126" i="8"/>
  <c r="BW125" i="8"/>
  <c r="BW124" i="8"/>
  <c r="BW123" i="8"/>
  <c r="BW122" i="8"/>
  <c r="BW121" i="8"/>
  <c r="BW120" i="8"/>
  <c r="BW119" i="8"/>
  <c r="BW118" i="8"/>
  <c r="BW117" i="8"/>
  <c r="BW116" i="8"/>
  <c r="BW115" i="8"/>
  <c r="BW114" i="8"/>
  <c r="BW113" i="8"/>
  <c r="BW112" i="8"/>
  <c r="BW111" i="8"/>
  <c r="BW110" i="8"/>
  <c r="BW109" i="8"/>
  <c r="BW108" i="8"/>
  <c r="BW107" i="8"/>
  <c r="BW106" i="8"/>
  <c r="BW105" i="8"/>
  <c r="BW104" i="8"/>
  <c r="BW103" i="8"/>
  <c r="BW102" i="8"/>
  <c r="BW101" i="8"/>
  <c r="BW100" i="8"/>
  <c r="BW99" i="8"/>
  <c r="BW98" i="8"/>
  <c r="BW97" i="8"/>
  <c r="BW96" i="8"/>
  <c r="BW95" i="8"/>
  <c r="BW94" i="8"/>
  <c r="BW93" i="8"/>
  <c r="BW92" i="8"/>
  <c r="BW91" i="8"/>
  <c r="BW90" i="8"/>
  <c r="BW89" i="8"/>
  <c r="BW88" i="8"/>
  <c r="BW87" i="8"/>
  <c r="BW86" i="8"/>
  <c r="BW85" i="8"/>
  <c r="BW84" i="8"/>
  <c r="BW83" i="8"/>
  <c r="BW82" i="8"/>
  <c r="BW81" i="8"/>
  <c r="BW80" i="8"/>
  <c r="BW79" i="8"/>
  <c r="BW78" i="8"/>
  <c r="BW77" i="8"/>
  <c r="BW76" i="8"/>
  <c r="BW75" i="8"/>
  <c r="BW74" i="8"/>
  <c r="BW73" i="8"/>
  <c r="BW72" i="8"/>
  <c r="BW71" i="8"/>
  <c r="BW70" i="8"/>
  <c r="BW69" i="8"/>
  <c r="BW68" i="8"/>
  <c r="BW67" i="8"/>
  <c r="BW66" i="8"/>
  <c r="BW65" i="8"/>
  <c r="BW64" i="8"/>
  <c r="BW63" i="8"/>
  <c r="BW62" i="8"/>
  <c r="BW61" i="8"/>
  <c r="BW60" i="8"/>
  <c r="BW59" i="8"/>
  <c r="BW58" i="8"/>
  <c r="BW57" i="8"/>
  <c r="BW56" i="8"/>
  <c r="BW55" i="8"/>
  <c r="BW54" i="8"/>
  <c r="BW53" i="8"/>
  <c r="BW52" i="8"/>
  <c r="BW51" i="8"/>
  <c r="BW50" i="8"/>
  <c r="BW49" i="8"/>
  <c r="BW48" i="8"/>
  <c r="BW47" i="8"/>
  <c r="BW46" i="8"/>
  <c r="BW45" i="8"/>
  <c r="BW44" i="8"/>
  <c r="BW43" i="8"/>
  <c r="BW42" i="8"/>
  <c r="BW41" i="8"/>
  <c r="BW40" i="8"/>
  <c r="BW39" i="8"/>
  <c r="BW38" i="8"/>
  <c r="BW37" i="8"/>
  <c r="BW36" i="8"/>
  <c r="BW35" i="8"/>
  <c r="BW34" i="8"/>
  <c r="BW33" i="8"/>
  <c r="BW32" i="8"/>
  <c r="BW31" i="8"/>
  <c r="BW30" i="8"/>
  <c r="BW29" i="8"/>
  <c r="BW28" i="8"/>
  <c r="BW27" i="8"/>
  <c r="BW26" i="8"/>
  <c r="BW25" i="8"/>
  <c r="BW24" i="8"/>
  <c r="BW23" i="8"/>
  <c r="BW22" i="8"/>
  <c r="BW21" i="8"/>
  <c r="BW20" i="8"/>
  <c r="BW19" i="8"/>
  <c r="BW18" i="8"/>
  <c r="BW17" i="8"/>
  <c r="BW16" i="8"/>
  <c r="BW15" i="8"/>
  <c r="BW14" i="8"/>
  <c r="BW13" i="8"/>
  <c r="BW12" i="8"/>
  <c r="BW11" i="8"/>
  <c r="BW10" i="8"/>
  <c r="BW9" i="8"/>
  <c r="BW8" i="8"/>
  <c r="BW7" i="8"/>
  <c r="BW6" i="8"/>
  <c r="BW5" i="8"/>
  <c r="BW4" i="8"/>
  <c r="BR393" i="8"/>
  <c r="BR392" i="8"/>
  <c r="BR391" i="8"/>
  <c r="BR390" i="8"/>
  <c r="BR389" i="8"/>
  <c r="BR388" i="8"/>
  <c r="BR387" i="8"/>
  <c r="BR386" i="8"/>
  <c r="BR385" i="8"/>
  <c r="BR384" i="8"/>
  <c r="BR383" i="8"/>
  <c r="BR382" i="8"/>
  <c r="BR381" i="8"/>
  <c r="BR380" i="8"/>
  <c r="BR379" i="8"/>
  <c r="BR378" i="8"/>
  <c r="BR377" i="8"/>
  <c r="BR376" i="8"/>
  <c r="BR375" i="8"/>
  <c r="BR374" i="8"/>
  <c r="BR373" i="8"/>
  <c r="BR372" i="8"/>
  <c r="BR371" i="8"/>
  <c r="BR370" i="8"/>
  <c r="BR369" i="8"/>
  <c r="BR368" i="8"/>
  <c r="BR367" i="8"/>
  <c r="BR366" i="8"/>
  <c r="BR365" i="8"/>
  <c r="BR364" i="8"/>
  <c r="BR363" i="8"/>
  <c r="BR362" i="8"/>
  <c r="BR361" i="8"/>
  <c r="BR360" i="8"/>
  <c r="BR359" i="8"/>
  <c r="BR358" i="8"/>
  <c r="BR357" i="8"/>
  <c r="BR356" i="8"/>
  <c r="BR355" i="8"/>
  <c r="BR354" i="8"/>
  <c r="BR353" i="8"/>
  <c r="BR352" i="8"/>
  <c r="BR351" i="8"/>
  <c r="BR350" i="8"/>
  <c r="BR349" i="8"/>
  <c r="BR348" i="8"/>
  <c r="BR347" i="8"/>
  <c r="BR346" i="8"/>
  <c r="BR345" i="8"/>
  <c r="BR344" i="8"/>
  <c r="BR343" i="8"/>
  <c r="BR342" i="8"/>
  <c r="BR341" i="8"/>
  <c r="BR340" i="8"/>
  <c r="BR339" i="8"/>
  <c r="BR338" i="8"/>
  <c r="BR337" i="8"/>
  <c r="BR336" i="8"/>
  <c r="BR335" i="8"/>
  <c r="BR334" i="8"/>
  <c r="BR333" i="8"/>
  <c r="BR332" i="8"/>
  <c r="BR331" i="8"/>
  <c r="BR330" i="8"/>
  <c r="BR329" i="8"/>
  <c r="BR328" i="8"/>
  <c r="BR327" i="8"/>
  <c r="BR326" i="8"/>
  <c r="BR325" i="8"/>
  <c r="BR324" i="8"/>
  <c r="BR323" i="8"/>
  <c r="BR322" i="8"/>
  <c r="BR321" i="8"/>
  <c r="BR320" i="8"/>
  <c r="BR319" i="8"/>
  <c r="BR318" i="8"/>
  <c r="BR317" i="8"/>
  <c r="BR316" i="8"/>
  <c r="BR315" i="8"/>
  <c r="BR314" i="8"/>
  <c r="BR313" i="8"/>
  <c r="BR312" i="8"/>
  <c r="BR311" i="8"/>
  <c r="BR310" i="8"/>
  <c r="BR309" i="8"/>
  <c r="BR308" i="8"/>
  <c r="BR307" i="8"/>
  <c r="BR306" i="8"/>
  <c r="BR305" i="8"/>
  <c r="BR304" i="8"/>
  <c r="BR303" i="8"/>
  <c r="BR302" i="8"/>
  <c r="BR301" i="8"/>
  <c r="BR300" i="8"/>
  <c r="BR299" i="8"/>
  <c r="BR298" i="8"/>
  <c r="BR297" i="8"/>
  <c r="BR296" i="8"/>
  <c r="BR295" i="8"/>
  <c r="BR294" i="8"/>
  <c r="BR293" i="8"/>
  <c r="BR292" i="8"/>
  <c r="BR291" i="8"/>
  <c r="BR290" i="8"/>
  <c r="BR289" i="8"/>
  <c r="BR288" i="8"/>
  <c r="BR287" i="8"/>
  <c r="BR286" i="8"/>
  <c r="BR285" i="8"/>
  <c r="BR284" i="8"/>
  <c r="BR283" i="8"/>
  <c r="BR282" i="8"/>
  <c r="BR281" i="8"/>
  <c r="BR280" i="8"/>
  <c r="BR279" i="8"/>
  <c r="BR278" i="8"/>
  <c r="BR277" i="8"/>
  <c r="BR276" i="8"/>
  <c r="BR275" i="8"/>
  <c r="BR274" i="8"/>
  <c r="BR273" i="8"/>
  <c r="BR272" i="8"/>
  <c r="BR271" i="8"/>
  <c r="BR270" i="8"/>
  <c r="BR269" i="8"/>
  <c r="BR268" i="8"/>
  <c r="BR267" i="8"/>
  <c r="BR266" i="8"/>
  <c r="BR265" i="8"/>
  <c r="BR264" i="8"/>
  <c r="BR263" i="8"/>
  <c r="BR262" i="8"/>
  <c r="BR261" i="8"/>
  <c r="BR260" i="8"/>
  <c r="BR259" i="8"/>
  <c r="BR258" i="8"/>
  <c r="BR257" i="8"/>
  <c r="BR256" i="8"/>
  <c r="BR255" i="8"/>
  <c r="BR254" i="8"/>
  <c r="BR253" i="8"/>
  <c r="BR252" i="8"/>
  <c r="BR251" i="8"/>
  <c r="BR250" i="8"/>
  <c r="BR249" i="8"/>
  <c r="BR248" i="8"/>
  <c r="BR247" i="8"/>
  <c r="BR246" i="8"/>
  <c r="BR245" i="8"/>
  <c r="BR244" i="8"/>
  <c r="BR243" i="8"/>
  <c r="BR242" i="8"/>
  <c r="BR241" i="8"/>
  <c r="BR240" i="8"/>
  <c r="BR239" i="8"/>
  <c r="BR238" i="8"/>
  <c r="BR237" i="8"/>
  <c r="BR236" i="8"/>
  <c r="BR235" i="8"/>
  <c r="BR234" i="8"/>
  <c r="BR233" i="8"/>
  <c r="BR232" i="8"/>
  <c r="BR231" i="8"/>
  <c r="BR230" i="8"/>
  <c r="BR229" i="8"/>
  <c r="BR228" i="8"/>
  <c r="BR227" i="8"/>
  <c r="BR226" i="8"/>
  <c r="BR225" i="8"/>
  <c r="BR224" i="8"/>
  <c r="BR223" i="8"/>
  <c r="BR222" i="8"/>
  <c r="BR221" i="8"/>
  <c r="BR220" i="8"/>
  <c r="BR219" i="8"/>
  <c r="BR218" i="8"/>
  <c r="BR217" i="8"/>
  <c r="BR216" i="8"/>
  <c r="BR215" i="8"/>
  <c r="BR214" i="8"/>
  <c r="BR213" i="8"/>
  <c r="BR212" i="8"/>
  <c r="BR211" i="8"/>
  <c r="BR210" i="8"/>
  <c r="BR209" i="8"/>
  <c r="BR208" i="8"/>
  <c r="BR207" i="8"/>
  <c r="BR206" i="8"/>
  <c r="BR205" i="8"/>
  <c r="BR204" i="8"/>
  <c r="BR203" i="8"/>
  <c r="BR202" i="8"/>
  <c r="BR201" i="8"/>
  <c r="BR200" i="8"/>
  <c r="BR199" i="8"/>
  <c r="BR198" i="8"/>
  <c r="BR197" i="8"/>
  <c r="BR196" i="8"/>
  <c r="BR195" i="8"/>
  <c r="BR194" i="8"/>
  <c r="BR193" i="8"/>
  <c r="BR192" i="8"/>
  <c r="BR191" i="8"/>
  <c r="BR190" i="8"/>
  <c r="BR189" i="8"/>
  <c r="BR188" i="8"/>
  <c r="BR187" i="8"/>
  <c r="BR186" i="8"/>
  <c r="BR185" i="8"/>
  <c r="BR184" i="8"/>
  <c r="BR183" i="8"/>
  <c r="BR182" i="8"/>
  <c r="BR181" i="8"/>
  <c r="BR180" i="8"/>
  <c r="BR179" i="8"/>
  <c r="BR178" i="8"/>
  <c r="BR177" i="8"/>
  <c r="BR176" i="8"/>
  <c r="BR175" i="8"/>
  <c r="BR174" i="8"/>
  <c r="BR173" i="8"/>
  <c r="BR172" i="8"/>
  <c r="BR171" i="8"/>
  <c r="BR170" i="8"/>
  <c r="BR169" i="8"/>
  <c r="BR168" i="8"/>
  <c r="BR167" i="8"/>
  <c r="BR166" i="8"/>
  <c r="BR165" i="8"/>
  <c r="BR164" i="8"/>
  <c r="BR163" i="8"/>
  <c r="BR162" i="8"/>
  <c r="BR161" i="8"/>
  <c r="BR160" i="8"/>
  <c r="BR159" i="8"/>
  <c r="BR158" i="8"/>
  <c r="BR157" i="8"/>
  <c r="BR156" i="8"/>
  <c r="BR155" i="8"/>
  <c r="BR154" i="8"/>
  <c r="BR153" i="8"/>
  <c r="BR152" i="8"/>
  <c r="BR151" i="8"/>
  <c r="BR150" i="8"/>
  <c r="BR149" i="8"/>
  <c r="BR148" i="8"/>
  <c r="BR147" i="8"/>
  <c r="BR146" i="8"/>
  <c r="BR145" i="8"/>
  <c r="BR144" i="8"/>
  <c r="BR143" i="8"/>
  <c r="BR142" i="8"/>
  <c r="BR141" i="8"/>
  <c r="BR140" i="8"/>
  <c r="BR139" i="8"/>
  <c r="BR138" i="8"/>
  <c r="BR137" i="8"/>
  <c r="BR136" i="8"/>
  <c r="BR135" i="8"/>
  <c r="BR134" i="8"/>
  <c r="BR133" i="8"/>
  <c r="BR132" i="8"/>
  <c r="BR131" i="8"/>
  <c r="BR130" i="8"/>
  <c r="BR129" i="8"/>
  <c r="BR128" i="8"/>
  <c r="BR127" i="8"/>
  <c r="BR126" i="8"/>
  <c r="BR125" i="8"/>
  <c r="BR124" i="8"/>
  <c r="BR123" i="8"/>
  <c r="BR122" i="8"/>
  <c r="BR121" i="8"/>
  <c r="BR120" i="8"/>
  <c r="BR119" i="8"/>
  <c r="BR118" i="8"/>
  <c r="BR117" i="8"/>
  <c r="BR116" i="8"/>
  <c r="BR115" i="8"/>
  <c r="BR114" i="8"/>
  <c r="BR113" i="8"/>
  <c r="BR112" i="8"/>
  <c r="BR111" i="8"/>
  <c r="BR110" i="8"/>
  <c r="BR109" i="8"/>
  <c r="BR108" i="8"/>
  <c r="BR107" i="8"/>
  <c r="BR106" i="8"/>
  <c r="BR105" i="8"/>
  <c r="BR104" i="8"/>
  <c r="BR103" i="8"/>
  <c r="BR102" i="8"/>
  <c r="BR101" i="8"/>
  <c r="BR100" i="8"/>
  <c r="BR99" i="8"/>
  <c r="BR98" i="8"/>
  <c r="BR97" i="8"/>
  <c r="BR96" i="8"/>
  <c r="BR95" i="8"/>
  <c r="BR94" i="8"/>
  <c r="BR93" i="8"/>
  <c r="BR92" i="8"/>
  <c r="BR91" i="8"/>
  <c r="BR90" i="8"/>
  <c r="BR89" i="8"/>
  <c r="BR88" i="8"/>
  <c r="BR87" i="8"/>
  <c r="BR86" i="8"/>
  <c r="BR85" i="8"/>
  <c r="BR84" i="8"/>
  <c r="BR83" i="8"/>
  <c r="BR82" i="8"/>
  <c r="BR81" i="8"/>
  <c r="BR80" i="8"/>
  <c r="BR79" i="8"/>
  <c r="BR78" i="8"/>
  <c r="BR77" i="8"/>
  <c r="BR76" i="8"/>
  <c r="BR75" i="8"/>
  <c r="BR74" i="8"/>
  <c r="BR73" i="8"/>
  <c r="BR72" i="8"/>
  <c r="BR71" i="8"/>
  <c r="BR70" i="8"/>
  <c r="BR69" i="8"/>
  <c r="BR68" i="8"/>
  <c r="BR67" i="8"/>
  <c r="BR66" i="8"/>
  <c r="BR65" i="8"/>
  <c r="BR64" i="8"/>
  <c r="BR63" i="8"/>
  <c r="BR62" i="8"/>
  <c r="BR61" i="8"/>
  <c r="BR60" i="8"/>
  <c r="BR59" i="8"/>
  <c r="BR58" i="8"/>
  <c r="BR57" i="8"/>
  <c r="BR56" i="8"/>
  <c r="BR55" i="8"/>
  <c r="BR54" i="8"/>
  <c r="BR53" i="8"/>
  <c r="BR52" i="8"/>
  <c r="BR51" i="8"/>
  <c r="BR50" i="8"/>
  <c r="BR49" i="8"/>
  <c r="BR48" i="8"/>
  <c r="BR47" i="8"/>
  <c r="BR46" i="8"/>
  <c r="BR45" i="8"/>
  <c r="BR44" i="8"/>
  <c r="BR43" i="8"/>
  <c r="BR42" i="8"/>
  <c r="BR41" i="8"/>
  <c r="BR40" i="8"/>
  <c r="BR39" i="8"/>
  <c r="BR38" i="8"/>
  <c r="BR37" i="8"/>
  <c r="BR36" i="8"/>
  <c r="BR35" i="8"/>
  <c r="BR34" i="8"/>
  <c r="BR33" i="8"/>
  <c r="BR32" i="8"/>
  <c r="BR31" i="8"/>
  <c r="BR30" i="8"/>
  <c r="BR29" i="8"/>
  <c r="BR28" i="8"/>
  <c r="BR27" i="8"/>
  <c r="BR26" i="8"/>
  <c r="BR25" i="8"/>
  <c r="BR24" i="8"/>
  <c r="BR23" i="8"/>
  <c r="BR22" i="8"/>
  <c r="BR21" i="8"/>
  <c r="BR20" i="8"/>
  <c r="BR19" i="8"/>
  <c r="BR18" i="8"/>
  <c r="BR17" i="8"/>
  <c r="BR16" i="8"/>
  <c r="BR15" i="8"/>
  <c r="BR14" i="8"/>
  <c r="BR13" i="8"/>
  <c r="BR12" i="8"/>
  <c r="BR11" i="8"/>
  <c r="BR10" i="8"/>
  <c r="BR9" i="8"/>
  <c r="BR8" i="8"/>
  <c r="BR7" i="8"/>
  <c r="BR6" i="8"/>
  <c r="BR5" i="8"/>
  <c r="BR4" i="8"/>
  <c r="BM393" i="8"/>
  <c r="BM392" i="8"/>
  <c r="BM391" i="8"/>
  <c r="BM390" i="8"/>
  <c r="BM389" i="8"/>
  <c r="BM388" i="8"/>
  <c r="BM387" i="8"/>
  <c r="BM386" i="8"/>
  <c r="BM385" i="8"/>
  <c r="BM384" i="8"/>
  <c r="BM383" i="8"/>
  <c r="BM382" i="8"/>
  <c r="BM381" i="8"/>
  <c r="BM380" i="8"/>
  <c r="BM379" i="8"/>
  <c r="BM378" i="8"/>
  <c r="BM377" i="8"/>
  <c r="BM376" i="8"/>
  <c r="BM375" i="8"/>
  <c r="BM374" i="8"/>
  <c r="BM373" i="8"/>
  <c r="BM372" i="8"/>
  <c r="BM371" i="8"/>
  <c r="BM370" i="8"/>
  <c r="BM369" i="8"/>
  <c r="BM368" i="8"/>
  <c r="BM367" i="8"/>
  <c r="BM366" i="8"/>
  <c r="BM365" i="8"/>
  <c r="BM364" i="8"/>
  <c r="BM363" i="8"/>
  <c r="BM362" i="8"/>
  <c r="BM361" i="8"/>
  <c r="BM360" i="8"/>
  <c r="BM359" i="8"/>
  <c r="BM358" i="8"/>
  <c r="BM357" i="8"/>
  <c r="BM356" i="8"/>
  <c r="BM355" i="8"/>
  <c r="BM354" i="8"/>
  <c r="BM353" i="8"/>
  <c r="BM352" i="8"/>
  <c r="BM351" i="8"/>
  <c r="BM350" i="8"/>
  <c r="BM349" i="8"/>
  <c r="BM348" i="8"/>
  <c r="BM347" i="8"/>
  <c r="BM346" i="8"/>
  <c r="BM345" i="8"/>
  <c r="BM344" i="8"/>
  <c r="BM343" i="8"/>
  <c r="BM342" i="8"/>
  <c r="BM341" i="8"/>
  <c r="BM340" i="8"/>
  <c r="BM339" i="8"/>
  <c r="BM338" i="8"/>
  <c r="BM337" i="8"/>
  <c r="BM336" i="8"/>
  <c r="BM335" i="8"/>
  <c r="BM334" i="8"/>
  <c r="BM333" i="8"/>
  <c r="BM332" i="8"/>
  <c r="BM331" i="8"/>
  <c r="BM330" i="8"/>
  <c r="BM329" i="8"/>
  <c r="BM328" i="8"/>
  <c r="BM327" i="8"/>
  <c r="BM326" i="8"/>
  <c r="BM325" i="8"/>
  <c r="BM324" i="8"/>
  <c r="BM323" i="8"/>
  <c r="BM322" i="8"/>
  <c r="BM321" i="8"/>
  <c r="BM320" i="8"/>
  <c r="BM319" i="8"/>
  <c r="BM318" i="8"/>
  <c r="BM317" i="8"/>
  <c r="BM316" i="8"/>
  <c r="BM315" i="8"/>
  <c r="BM314" i="8"/>
  <c r="BM313" i="8"/>
  <c r="BM312" i="8"/>
  <c r="BM311" i="8"/>
  <c r="BM310" i="8"/>
  <c r="BM309" i="8"/>
  <c r="BM308" i="8"/>
  <c r="BM307" i="8"/>
  <c r="BM306" i="8"/>
  <c r="BM305" i="8"/>
  <c r="BM304" i="8"/>
  <c r="BM303" i="8"/>
  <c r="BM302" i="8"/>
  <c r="BM301" i="8"/>
  <c r="BM300" i="8"/>
  <c r="BM299" i="8"/>
  <c r="BM298" i="8"/>
  <c r="BM297" i="8"/>
  <c r="BM296" i="8"/>
  <c r="BM295" i="8"/>
  <c r="BM294" i="8"/>
  <c r="BM293" i="8"/>
  <c r="BM292" i="8"/>
  <c r="BM291" i="8"/>
  <c r="BM290" i="8"/>
  <c r="BM289" i="8"/>
  <c r="BM288" i="8"/>
  <c r="BM287" i="8"/>
  <c r="BM286" i="8"/>
  <c r="BM285" i="8"/>
  <c r="BM284" i="8"/>
  <c r="BM283" i="8"/>
  <c r="BM282" i="8"/>
  <c r="BM281" i="8"/>
  <c r="BM280" i="8"/>
  <c r="BM279" i="8"/>
  <c r="BM278" i="8"/>
  <c r="BM277" i="8"/>
  <c r="BM276" i="8"/>
  <c r="BM275" i="8"/>
  <c r="BM274" i="8"/>
  <c r="BM273" i="8"/>
  <c r="BM272" i="8"/>
  <c r="BM271" i="8"/>
  <c r="BM270" i="8"/>
  <c r="BM269" i="8"/>
  <c r="BM268" i="8"/>
  <c r="BM267" i="8"/>
  <c r="BM266" i="8"/>
  <c r="BM265" i="8"/>
  <c r="BM264" i="8"/>
  <c r="BM263" i="8"/>
  <c r="BM262" i="8"/>
  <c r="BM261" i="8"/>
  <c r="BM260" i="8"/>
  <c r="BM259" i="8"/>
  <c r="BM258" i="8"/>
  <c r="BM257" i="8"/>
  <c r="BM256" i="8"/>
  <c r="BM255" i="8"/>
  <c r="BM254" i="8"/>
  <c r="BM253" i="8"/>
  <c r="BM252" i="8"/>
  <c r="BM251" i="8"/>
  <c r="BM250" i="8"/>
  <c r="BM249" i="8"/>
  <c r="BM248" i="8"/>
  <c r="BM247" i="8"/>
  <c r="BM246" i="8"/>
  <c r="BM245" i="8"/>
  <c r="BM244" i="8"/>
  <c r="BM243" i="8"/>
  <c r="BM242" i="8"/>
  <c r="BM241" i="8"/>
  <c r="BM240" i="8"/>
  <c r="BM239" i="8"/>
  <c r="BM238" i="8"/>
  <c r="BM237" i="8"/>
  <c r="BM236" i="8"/>
  <c r="BM235" i="8"/>
  <c r="BM234" i="8"/>
  <c r="BM233" i="8"/>
  <c r="BM232" i="8"/>
  <c r="BM231" i="8"/>
  <c r="BM230" i="8"/>
  <c r="BM229" i="8"/>
  <c r="BM228" i="8"/>
  <c r="BM227" i="8"/>
  <c r="BM226" i="8"/>
  <c r="BM225" i="8"/>
  <c r="BM224" i="8"/>
  <c r="BM223" i="8"/>
  <c r="BM222" i="8"/>
  <c r="BM221" i="8"/>
  <c r="BM220" i="8"/>
  <c r="BM219" i="8"/>
  <c r="BM218" i="8"/>
  <c r="BM217" i="8"/>
  <c r="BM216" i="8"/>
  <c r="BM215" i="8"/>
  <c r="BM214" i="8"/>
  <c r="BM213" i="8"/>
  <c r="BM212" i="8"/>
  <c r="BM211" i="8"/>
  <c r="BM210" i="8"/>
  <c r="BM209" i="8"/>
  <c r="BM208" i="8"/>
  <c r="BM207" i="8"/>
  <c r="BM206" i="8"/>
  <c r="BM205" i="8"/>
  <c r="BM204" i="8"/>
  <c r="BM203" i="8"/>
  <c r="BM202" i="8"/>
  <c r="BM201" i="8"/>
  <c r="BM200" i="8"/>
  <c r="BM199" i="8"/>
  <c r="BM198" i="8"/>
  <c r="BM197" i="8"/>
  <c r="BM196" i="8"/>
  <c r="BM195" i="8"/>
  <c r="BM194" i="8"/>
  <c r="BM193" i="8"/>
  <c r="BM192" i="8"/>
  <c r="BM191" i="8"/>
  <c r="BM190" i="8"/>
  <c r="BM189" i="8"/>
  <c r="BM188" i="8"/>
  <c r="BM187" i="8"/>
  <c r="BM186" i="8"/>
  <c r="BM185" i="8"/>
  <c r="BM184" i="8"/>
  <c r="BM183" i="8"/>
  <c r="BM182" i="8"/>
  <c r="BM181" i="8"/>
  <c r="BM180" i="8"/>
  <c r="BM179" i="8"/>
  <c r="BM178" i="8"/>
  <c r="BM177" i="8"/>
  <c r="BM176" i="8"/>
  <c r="BM175" i="8"/>
  <c r="BM174" i="8"/>
  <c r="BM173" i="8"/>
  <c r="BM172" i="8"/>
  <c r="BM171" i="8"/>
  <c r="BM170" i="8"/>
  <c r="BM169" i="8"/>
  <c r="BM168" i="8"/>
  <c r="BM167" i="8"/>
  <c r="BM166" i="8"/>
  <c r="BM165" i="8"/>
  <c r="BM164" i="8"/>
  <c r="BM163" i="8"/>
  <c r="BM162" i="8"/>
  <c r="BM161" i="8"/>
  <c r="BM160" i="8"/>
  <c r="BM159" i="8"/>
  <c r="BM158" i="8"/>
  <c r="BM157" i="8"/>
  <c r="BM156" i="8"/>
  <c r="BM155" i="8"/>
  <c r="BM154" i="8"/>
  <c r="BM153" i="8"/>
  <c r="BM152" i="8"/>
  <c r="BM151" i="8"/>
  <c r="BM150" i="8"/>
  <c r="BM149" i="8"/>
  <c r="BM148" i="8"/>
  <c r="BM147" i="8"/>
  <c r="BM146" i="8"/>
  <c r="BM145" i="8"/>
  <c r="BM144" i="8"/>
  <c r="BM143" i="8"/>
  <c r="BM142" i="8"/>
  <c r="BM141" i="8"/>
  <c r="BM140" i="8"/>
  <c r="BM139" i="8"/>
  <c r="BM138" i="8"/>
  <c r="BM137" i="8"/>
  <c r="BM136" i="8"/>
  <c r="BM135" i="8"/>
  <c r="BM134" i="8"/>
  <c r="BM133" i="8"/>
  <c r="BM132" i="8"/>
  <c r="BM131" i="8"/>
  <c r="BM130" i="8"/>
  <c r="BM129" i="8"/>
  <c r="BM128" i="8"/>
  <c r="BM127" i="8"/>
  <c r="BM126" i="8"/>
  <c r="BM125" i="8"/>
  <c r="BM124" i="8"/>
  <c r="BM123" i="8"/>
  <c r="BM122" i="8"/>
  <c r="BM121" i="8"/>
  <c r="BM120" i="8"/>
  <c r="BM119" i="8"/>
  <c r="BM118" i="8"/>
  <c r="BM117" i="8"/>
  <c r="BM116" i="8"/>
  <c r="BM115" i="8"/>
  <c r="BM114" i="8"/>
  <c r="BM113" i="8"/>
  <c r="BM112" i="8"/>
  <c r="BM111" i="8"/>
  <c r="BM110" i="8"/>
  <c r="BM109" i="8"/>
  <c r="BM108" i="8"/>
  <c r="BM107" i="8"/>
  <c r="BM106" i="8"/>
  <c r="BM105" i="8"/>
  <c r="BM104" i="8"/>
  <c r="BM103" i="8"/>
  <c r="BM102" i="8"/>
  <c r="BM101" i="8"/>
  <c r="BM100" i="8"/>
  <c r="BM99" i="8"/>
  <c r="BM98" i="8"/>
  <c r="BM97" i="8"/>
  <c r="BM96" i="8"/>
  <c r="BM95" i="8"/>
  <c r="BM94" i="8"/>
  <c r="BM93" i="8"/>
  <c r="BM92" i="8"/>
  <c r="BM91" i="8"/>
  <c r="BM90" i="8"/>
  <c r="BM89" i="8"/>
  <c r="BM88" i="8"/>
  <c r="BM87" i="8"/>
  <c r="BM86" i="8"/>
  <c r="BM85" i="8"/>
  <c r="BM84" i="8"/>
  <c r="BM83" i="8"/>
  <c r="BM82" i="8"/>
  <c r="BM81" i="8"/>
  <c r="BM80" i="8"/>
  <c r="BM79" i="8"/>
  <c r="BM78" i="8"/>
  <c r="BM77" i="8"/>
  <c r="BM76" i="8"/>
  <c r="BM75" i="8"/>
  <c r="BM74" i="8"/>
  <c r="BM73" i="8"/>
  <c r="BM72" i="8"/>
  <c r="BM71" i="8"/>
  <c r="BM70" i="8"/>
  <c r="BM69" i="8"/>
  <c r="BM68" i="8"/>
  <c r="BM67" i="8"/>
  <c r="BM66" i="8"/>
  <c r="BM65" i="8"/>
  <c r="BM64" i="8"/>
  <c r="BM63" i="8"/>
  <c r="BM62" i="8"/>
  <c r="BM61" i="8"/>
  <c r="BM60" i="8"/>
  <c r="BM59" i="8"/>
  <c r="BM58" i="8"/>
  <c r="BM57" i="8"/>
  <c r="BM56" i="8"/>
  <c r="BM55" i="8"/>
  <c r="BM54" i="8"/>
  <c r="BM53" i="8"/>
  <c r="BM52" i="8"/>
  <c r="BM51" i="8"/>
  <c r="BM50" i="8"/>
  <c r="BM49" i="8"/>
  <c r="BM48" i="8"/>
  <c r="BM47" i="8"/>
  <c r="BM46" i="8"/>
  <c r="BM45" i="8"/>
  <c r="BM44" i="8"/>
  <c r="BM43" i="8"/>
  <c r="BM42" i="8"/>
  <c r="BM41" i="8"/>
  <c r="BM40" i="8"/>
  <c r="BM39" i="8"/>
  <c r="BM38" i="8"/>
  <c r="BM37" i="8"/>
  <c r="BM36" i="8"/>
  <c r="BM35" i="8"/>
  <c r="BM34" i="8"/>
  <c r="BM33" i="8"/>
  <c r="BM32" i="8"/>
  <c r="BM31" i="8"/>
  <c r="BM30" i="8"/>
  <c r="BM29" i="8"/>
  <c r="BM28" i="8"/>
  <c r="BM27" i="8"/>
  <c r="BM26" i="8"/>
  <c r="BM25" i="8"/>
  <c r="BM24" i="8"/>
  <c r="BM23" i="8"/>
  <c r="BM22" i="8"/>
  <c r="BM21" i="8"/>
  <c r="BM20" i="8"/>
  <c r="BM19" i="8"/>
  <c r="BM18" i="8"/>
  <c r="BM17" i="8"/>
  <c r="BM16" i="8"/>
  <c r="BM15" i="8"/>
  <c r="BM14" i="8"/>
  <c r="BM13" i="8"/>
  <c r="BM12" i="8"/>
  <c r="BM11" i="8"/>
  <c r="BM10" i="8"/>
  <c r="BM9" i="8"/>
  <c r="BM8" i="8"/>
  <c r="BM7" i="8"/>
  <c r="BM6" i="8"/>
  <c r="BM5" i="8"/>
  <c r="BM4" i="8"/>
  <c r="BH393" i="8"/>
  <c r="BH392" i="8"/>
  <c r="BH391" i="8"/>
  <c r="BH390" i="8"/>
  <c r="BH389" i="8"/>
  <c r="BH388" i="8"/>
  <c r="BH387" i="8"/>
  <c r="BH386" i="8"/>
  <c r="BH385" i="8"/>
  <c r="BH384" i="8"/>
  <c r="BH383" i="8"/>
  <c r="BH382" i="8"/>
  <c r="BH381" i="8"/>
  <c r="BH380" i="8"/>
  <c r="BH379" i="8"/>
  <c r="BH378" i="8"/>
  <c r="BH377" i="8"/>
  <c r="BH376" i="8"/>
  <c r="BH375" i="8"/>
  <c r="BH374" i="8"/>
  <c r="BH373" i="8"/>
  <c r="BH372" i="8"/>
  <c r="BH371" i="8"/>
  <c r="BH370" i="8"/>
  <c r="BH369" i="8"/>
  <c r="BH368" i="8"/>
  <c r="BH367" i="8"/>
  <c r="BH366" i="8"/>
  <c r="BH365" i="8"/>
  <c r="BH364" i="8"/>
  <c r="BH363" i="8"/>
  <c r="BH362" i="8"/>
  <c r="BH361" i="8"/>
  <c r="BH360" i="8"/>
  <c r="BH359" i="8"/>
  <c r="BH358" i="8"/>
  <c r="BH357" i="8"/>
  <c r="BH356" i="8"/>
  <c r="BH355" i="8"/>
  <c r="BH354" i="8"/>
  <c r="BH353" i="8"/>
  <c r="BH352" i="8"/>
  <c r="BH351" i="8"/>
  <c r="BH350" i="8"/>
  <c r="BH349" i="8"/>
  <c r="BH348" i="8"/>
  <c r="BH347" i="8"/>
  <c r="BH346" i="8"/>
  <c r="BH345" i="8"/>
  <c r="BH344" i="8"/>
  <c r="BH343" i="8"/>
  <c r="BH342" i="8"/>
  <c r="BH341" i="8"/>
  <c r="BH340" i="8"/>
  <c r="BH339" i="8"/>
  <c r="BH338" i="8"/>
  <c r="BH337" i="8"/>
  <c r="BH336" i="8"/>
  <c r="BH335" i="8"/>
  <c r="BH334" i="8"/>
  <c r="BH333" i="8"/>
  <c r="BH332" i="8"/>
  <c r="BH331" i="8"/>
  <c r="BH330" i="8"/>
  <c r="BH329" i="8"/>
  <c r="BH328" i="8"/>
  <c r="BH327" i="8"/>
  <c r="BH326" i="8"/>
  <c r="BH325" i="8"/>
  <c r="BH324" i="8"/>
  <c r="BH323" i="8"/>
  <c r="BH322" i="8"/>
  <c r="BH321" i="8"/>
  <c r="BH320" i="8"/>
  <c r="BH319" i="8"/>
  <c r="BH318" i="8"/>
  <c r="BH317" i="8"/>
  <c r="BH316" i="8"/>
  <c r="BH315" i="8"/>
  <c r="BH314" i="8"/>
  <c r="BH313" i="8"/>
  <c r="BH312" i="8"/>
  <c r="BH311" i="8"/>
  <c r="BH310" i="8"/>
  <c r="BH309" i="8"/>
  <c r="BH308" i="8"/>
  <c r="BH307" i="8"/>
  <c r="BH306" i="8"/>
  <c r="BH305" i="8"/>
  <c r="BH304" i="8"/>
  <c r="BH303" i="8"/>
  <c r="BH302" i="8"/>
  <c r="BH301" i="8"/>
  <c r="BH300" i="8"/>
  <c r="BH299" i="8"/>
  <c r="BH298" i="8"/>
  <c r="BH297" i="8"/>
  <c r="BH296" i="8"/>
  <c r="BH295" i="8"/>
  <c r="BH294" i="8"/>
  <c r="BH293" i="8"/>
  <c r="BH292" i="8"/>
  <c r="BH291" i="8"/>
  <c r="BH290" i="8"/>
  <c r="BH289" i="8"/>
  <c r="BH288" i="8"/>
  <c r="BH287" i="8"/>
  <c r="BH286" i="8"/>
  <c r="BH285" i="8"/>
  <c r="BH284" i="8"/>
  <c r="BH283" i="8"/>
  <c r="BH282" i="8"/>
  <c r="BH281" i="8"/>
  <c r="BH280" i="8"/>
  <c r="BH279" i="8"/>
  <c r="BH278" i="8"/>
  <c r="BH277" i="8"/>
  <c r="BH276" i="8"/>
  <c r="BH275" i="8"/>
  <c r="BH274" i="8"/>
  <c r="BH273" i="8"/>
  <c r="BH272" i="8"/>
  <c r="BH271" i="8"/>
  <c r="BH270" i="8"/>
  <c r="BH269" i="8"/>
  <c r="BH268" i="8"/>
  <c r="BH267" i="8"/>
  <c r="BH266" i="8"/>
  <c r="BH265" i="8"/>
  <c r="BH264" i="8"/>
  <c r="BH263" i="8"/>
  <c r="BH262" i="8"/>
  <c r="BH261" i="8"/>
  <c r="BH260" i="8"/>
  <c r="BH259" i="8"/>
  <c r="BH258" i="8"/>
  <c r="BH257" i="8"/>
  <c r="BH256" i="8"/>
  <c r="BH255" i="8"/>
  <c r="BH254" i="8"/>
  <c r="BH253" i="8"/>
  <c r="BH252" i="8"/>
  <c r="BH251" i="8"/>
  <c r="BH250" i="8"/>
  <c r="BH249" i="8"/>
  <c r="BH248" i="8"/>
  <c r="BH247" i="8"/>
  <c r="BH246" i="8"/>
  <c r="BH245" i="8"/>
  <c r="BH244" i="8"/>
  <c r="BH243" i="8"/>
  <c r="BH242" i="8"/>
  <c r="BH241" i="8"/>
  <c r="BH240" i="8"/>
  <c r="BH239" i="8"/>
  <c r="BH238" i="8"/>
  <c r="BH237" i="8"/>
  <c r="BH236" i="8"/>
  <c r="BH235" i="8"/>
  <c r="BH234" i="8"/>
  <c r="BH233" i="8"/>
  <c r="BH232" i="8"/>
  <c r="BH231" i="8"/>
  <c r="BH230" i="8"/>
  <c r="BH229" i="8"/>
  <c r="BH228" i="8"/>
  <c r="BH227" i="8"/>
  <c r="BH226" i="8"/>
  <c r="BH225" i="8"/>
  <c r="BH224" i="8"/>
  <c r="BH223" i="8"/>
  <c r="BH222" i="8"/>
  <c r="BH221" i="8"/>
  <c r="BH220" i="8"/>
  <c r="BH219" i="8"/>
  <c r="BH218" i="8"/>
  <c r="BH217" i="8"/>
  <c r="BH216" i="8"/>
  <c r="BH215" i="8"/>
  <c r="BH214" i="8"/>
  <c r="BH213" i="8"/>
  <c r="BH212" i="8"/>
  <c r="BH211" i="8"/>
  <c r="BH210" i="8"/>
  <c r="BH209" i="8"/>
  <c r="BH208" i="8"/>
  <c r="BH207" i="8"/>
  <c r="BH206" i="8"/>
  <c r="BH205" i="8"/>
  <c r="BH204" i="8"/>
  <c r="BH203" i="8"/>
  <c r="BH202" i="8"/>
  <c r="BH201" i="8"/>
  <c r="BH200" i="8"/>
  <c r="BH199" i="8"/>
  <c r="BH198" i="8"/>
  <c r="BH197" i="8"/>
  <c r="BH196" i="8"/>
  <c r="BH195" i="8"/>
  <c r="BH194" i="8"/>
  <c r="BH193" i="8"/>
  <c r="BH192" i="8"/>
  <c r="BH191" i="8"/>
  <c r="BH190" i="8"/>
  <c r="BH189" i="8"/>
  <c r="BH188" i="8"/>
  <c r="BH187" i="8"/>
  <c r="BH186" i="8"/>
  <c r="BH185" i="8"/>
  <c r="BH184" i="8"/>
  <c r="BH183" i="8"/>
  <c r="BH182" i="8"/>
  <c r="BH181" i="8"/>
  <c r="BH180" i="8"/>
  <c r="BH179" i="8"/>
  <c r="BH178" i="8"/>
  <c r="BH177" i="8"/>
  <c r="BH176" i="8"/>
  <c r="BH175" i="8"/>
  <c r="BH174" i="8"/>
  <c r="BH173" i="8"/>
  <c r="BH172" i="8"/>
  <c r="BH171" i="8"/>
  <c r="BH170" i="8"/>
  <c r="BH169" i="8"/>
  <c r="BH168" i="8"/>
  <c r="BH167" i="8"/>
  <c r="BH166" i="8"/>
  <c r="BH165" i="8"/>
  <c r="BH164" i="8"/>
  <c r="BH163" i="8"/>
  <c r="BH162" i="8"/>
  <c r="BH161" i="8"/>
  <c r="BH160" i="8"/>
  <c r="BH159" i="8"/>
  <c r="BH158" i="8"/>
  <c r="BH157" i="8"/>
  <c r="BH156" i="8"/>
  <c r="BH155" i="8"/>
  <c r="BH154" i="8"/>
  <c r="BH153" i="8"/>
  <c r="BH152" i="8"/>
  <c r="BH151" i="8"/>
  <c r="BH150" i="8"/>
  <c r="BH149" i="8"/>
  <c r="BH148" i="8"/>
  <c r="BH147" i="8"/>
  <c r="BH146" i="8"/>
  <c r="BH145" i="8"/>
  <c r="BH144" i="8"/>
  <c r="BH143" i="8"/>
  <c r="BH142" i="8"/>
  <c r="BH141" i="8"/>
  <c r="BH140" i="8"/>
  <c r="BH139" i="8"/>
  <c r="BH138" i="8"/>
  <c r="BH137" i="8"/>
  <c r="BH136" i="8"/>
  <c r="BH135" i="8"/>
  <c r="BH134" i="8"/>
  <c r="BH133" i="8"/>
  <c r="BH132" i="8"/>
  <c r="BH131" i="8"/>
  <c r="BH130" i="8"/>
  <c r="BH129" i="8"/>
  <c r="BH128" i="8"/>
  <c r="BH127" i="8"/>
  <c r="BH126" i="8"/>
  <c r="BH125" i="8"/>
  <c r="BH124" i="8"/>
  <c r="BH123" i="8"/>
  <c r="BH122" i="8"/>
  <c r="BH121" i="8"/>
  <c r="BH120" i="8"/>
  <c r="BH119" i="8"/>
  <c r="BH118" i="8"/>
  <c r="BH117" i="8"/>
  <c r="BH116" i="8"/>
  <c r="BH115" i="8"/>
  <c r="BH114" i="8"/>
  <c r="BH113" i="8"/>
  <c r="BH112" i="8"/>
  <c r="BH111" i="8"/>
  <c r="BH110" i="8"/>
  <c r="BH109" i="8"/>
  <c r="BH108" i="8"/>
  <c r="BH107" i="8"/>
  <c r="BH106" i="8"/>
  <c r="BH105" i="8"/>
  <c r="BH104" i="8"/>
  <c r="BH103" i="8"/>
  <c r="BH102" i="8"/>
  <c r="BH101" i="8"/>
  <c r="BH100" i="8"/>
  <c r="BH99" i="8"/>
  <c r="BH98" i="8"/>
  <c r="BH97" i="8"/>
  <c r="BH96" i="8"/>
  <c r="BH95" i="8"/>
  <c r="BH94" i="8"/>
  <c r="BH93" i="8"/>
  <c r="BH92" i="8"/>
  <c r="BH91" i="8"/>
  <c r="BH90" i="8"/>
  <c r="BH89" i="8"/>
  <c r="BH88" i="8"/>
  <c r="BH87" i="8"/>
  <c r="BH86" i="8"/>
  <c r="BH85" i="8"/>
  <c r="BH84" i="8"/>
  <c r="BH83" i="8"/>
  <c r="BH82" i="8"/>
  <c r="BH81" i="8"/>
  <c r="BH80" i="8"/>
  <c r="BH79" i="8"/>
  <c r="BH78" i="8"/>
  <c r="BH77" i="8"/>
  <c r="BH76" i="8"/>
  <c r="BH75" i="8"/>
  <c r="BH74" i="8"/>
  <c r="BH73" i="8"/>
  <c r="BH72" i="8"/>
  <c r="BH71" i="8"/>
  <c r="BH70" i="8"/>
  <c r="BH69" i="8"/>
  <c r="BH68" i="8"/>
  <c r="BH67" i="8"/>
  <c r="BH66" i="8"/>
  <c r="BH65" i="8"/>
  <c r="BH64" i="8"/>
  <c r="BH63" i="8"/>
  <c r="BH62" i="8"/>
  <c r="BH61" i="8"/>
  <c r="BH60" i="8"/>
  <c r="BH59" i="8"/>
  <c r="BH58" i="8"/>
  <c r="BH57" i="8"/>
  <c r="BH56" i="8"/>
  <c r="BH55" i="8"/>
  <c r="BH54" i="8"/>
  <c r="BH53" i="8"/>
  <c r="BH52" i="8"/>
  <c r="BH51" i="8"/>
  <c r="BH50" i="8"/>
  <c r="BH49" i="8"/>
  <c r="BH48" i="8"/>
  <c r="BH47" i="8"/>
  <c r="BH46" i="8"/>
  <c r="BH45" i="8"/>
  <c r="BH44" i="8"/>
  <c r="BH43" i="8"/>
  <c r="BH42" i="8"/>
  <c r="BH41" i="8"/>
  <c r="BH40" i="8"/>
  <c r="BH39" i="8"/>
  <c r="BH38" i="8"/>
  <c r="BH37" i="8"/>
  <c r="BH36" i="8"/>
  <c r="BH35" i="8"/>
  <c r="BH34" i="8"/>
  <c r="BH33" i="8"/>
  <c r="BH32" i="8"/>
  <c r="BH31" i="8"/>
  <c r="BH30" i="8"/>
  <c r="BH29" i="8"/>
  <c r="BH28" i="8"/>
  <c r="BH27" i="8"/>
  <c r="BH26" i="8"/>
  <c r="BH25" i="8"/>
  <c r="BH24" i="8"/>
  <c r="BH23" i="8"/>
  <c r="BH22" i="8"/>
  <c r="BH21" i="8"/>
  <c r="BH20" i="8"/>
  <c r="BH19" i="8"/>
  <c r="BH18" i="8"/>
  <c r="BH17" i="8"/>
  <c r="BH16" i="8"/>
  <c r="BH15" i="8"/>
  <c r="BH14" i="8"/>
  <c r="BH13" i="8"/>
  <c r="BH12" i="8"/>
  <c r="BH11" i="8"/>
  <c r="BH10" i="8"/>
  <c r="BH9" i="8"/>
  <c r="BH8" i="8"/>
  <c r="BH7" i="8"/>
  <c r="BH6" i="8"/>
  <c r="BH5" i="8"/>
  <c r="BH4" i="8"/>
  <c r="BC393" i="8"/>
  <c r="BC392" i="8"/>
  <c r="BC391" i="8"/>
  <c r="BC390" i="8"/>
  <c r="BC389" i="8"/>
  <c r="BC388" i="8"/>
  <c r="BC387" i="8"/>
  <c r="BC386" i="8"/>
  <c r="BC385" i="8"/>
  <c r="BC384" i="8"/>
  <c r="BC383" i="8"/>
  <c r="BC382" i="8"/>
  <c r="BC381" i="8"/>
  <c r="BC380" i="8"/>
  <c r="BC379" i="8"/>
  <c r="BC378" i="8"/>
  <c r="BC377" i="8"/>
  <c r="BC376" i="8"/>
  <c r="BC375" i="8"/>
  <c r="BC374" i="8"/>
  <c r="BC373" i="8"/>
  <c r="BC372" i="8"/>
  <c r="BC371" i="8"/>
  <c r="BC370" i="8"/>
  <c r="BC369" i="8"/>
  <c r="BC368" i="8"/>
  <c r="BC367" i="8"/>
  <c r="BC366" i="8"/>
  <c r="BC365" i="8"/>
  <c r="BC364" i="8"/>
  <c r="BC363" i="8"/>
  <c r="BC362" i="8"/>
  <c r="BC361" i="8"/>
  <c r="BC360" i="8"/>
  <c r="BC359" i="8"/>
  <c r="BC358" i="8"/>
  <c r="BC357" i="8"/>
  <c r="BC356" i="8"/>
  <c r="BC355" i="8"/>
  <c r="BC354" i="8"/>
  <c r="BC353" i="8"/>
  <c r="BC352" i="8"/>
  <c r="BC351" i="8"/>
  <c r="BC350" i="8"/>
  <c r="BC349" i="8"/>
  <c r="BC348" i="8"/>
  <c r="BC347" i="8"/>
  <c r="BC346" i="8"/>
  <c r="BC345" i="8"/>
  <c r="BC344" i="8"/>
  <c r="BC343" i="8"/>
  <c r="BC342" i="8"/>
  <c r="BC341" i="8"/>
  <c r="BC340" i="8"/>
  <c r="BC339" i="8"/>
  <c r="BC338" i="8"/>
  <c r="BC337" i="8"/>
  <c r="BC336" i="8"/>
  <c r="BC335" i="8"/>
  <c r="BC334" i="8"/>
  <c r="BC333" i="8"/>
  <c r="BC332" i="8"/>
  <c r="BC331" i="8"/>
  <c r="BC330" i="8"/>
  <c r="BC329" i="8"/>
  <c r="BC328" i="8"/>
  <c r="BC327" i="8"/>
  <c r="BC326" i="8"/>
  <c r="BC325" i="8"/>
  <c r="BC324" i="8"/>
  <c r="BC323" i="8"/>
  <c r="BC322" i="8"/>
  <c r="BC321" i="8"/>
  <c r="BC320" i="8"/>
  <c r="BC319" i="8"/>
  <c r="BC318" i="8"/>
  <c r="BC317" i="8"/>
  <c r="BC316" i="8"/>
  <c r="BC315" i="8"/>
  <c r="BC314" i="8"/>
  <c r="BC313" i="8"/>
  <c r="BC312" i="8"/>
  <c r="BC311" i="8"/>
  <c r="BC310" i="8"/>
  <c r="BC309" i="8"/>
  <c r="BC308" i="8"/>
  <c r="BC307" i="8"/>
  <c r="BC306" i="8"/>
  <c r="BC305" i="8"/>
  <c r="BC304" i="8"/>
  <c r="BC303" i="8"/>
  <c r="BC302" i="8"/>
  <c r="BC301" i="8"/>
  <c r="BC300" i="8"/>
  <c r="BC299" i="8"/>
  <c r="BC298" i="8"/>
  <c r="BC297" i="8"/>
  <c r="BC296" i="8"/>
  <c r="BC295" i="8"/>
  <c r="BC294" i="8"/>
  <c r="BC293" i="8"/>
  <c r="BC292" i="8"/>
  <c r="BC291" i="8"/>
  <c r="BC290" i="8"/>
  <c r="BC289" i="8"/>
  <c r="BC288" i="8"/>
  <c r="BC287" i="8"/>
  <c r="BC286" i="8"/>
  <c r="BC285" i="8"/>
  <c r="BC284" i="8"/>
  <c r="BC283" i="8"/>
  <c r="BC282" i="8"/>
  <c r="BC281" i="8"/>
  <c r="BC280" i="8"/>
  <c r="BC279" i="8"/>
  <c r="BC278" i="8"/>
  <c r="BC277" i="8"/>
  <c r="BC276" i="8"/>
  <c r="BC275" i="8"/>
  <c r="BC274" i="8"/>
  <c r="BC273" i="8"/>
  <c r="BC272" i="8"/>
  <c r="BC271" i="8"/>
  <c r="BC270" i="8"/>
  <c r="BC269" i="8"/>
  <c r="BC268" i="8"/>
  <c r="BC267" i="8"/>
  <c r="BC266" i="8"/>
  <c r="BC265" i="8"/>
  <c r="BC264" i="8"/>
  <c r="BC263" i="8"/>
  <c r="BC262" i="8"/>
  <c r="BC261" i="8"/>
  <c r="BC260" i="8"/>
  <c r="BC259" i="8"/>
  <c r="BC258" i="8"/>
  <c r="BC257" i="8"/>
  <c r="BC256" i="8"/>
  <c r="BC255" i="8"/>
  <c r="BC254" i="8"/>
  <c r="BC253" i="8"/>
  <c r="BC252" i="8"/>
  <c r="BC251" i="8"/>
  <c r="BC250" i="8"/>
  <c r="BC249" i="8"/>
  <c r="BC248" i="8"/>
  <c r="BC247" i="8"/>
  <c r="BC246" i="8"/>
  <c r="BC245" i="8"/>
  <c r="BC244" i="8"/>
  <c r="BC243" i="8"/>
  <c r="BC242" i="8"/>
  <c r="BC241" i="8"/>
  <c r="BC240" i="8"/>
  <c r="BC239" i="8"/>
  <c r="BC238" i="8"/>
  <c r="BC237" i="8"/>
  <c r="BC236" i="8"/>
  <c r="BC235" i="8"/>
  <c r="BC234" i="8"/>
  <c r="BC233" i="8"/>
  <c r="BC232" i="8"/>
  <c r="BC231" i="8"/>
  <c r="BC230" i="8"/>
  <c r="BC229" i="8"/>
  <c r="BC228" i="8"/>
  <c r="BC227" i="8"/>
  <c r="BC226" i="8"/>
  <c r="BC225" i="8"/>
  <c r="BC224" i="8"/>
  <c r="BC223" i="8"/>
  <c r="BC222" i="8"/>
  <c r="BC221" i="8"/>
  <c r="BC220" i="8"/>
  <c r="BC219" i="8"/>
  <c r="BC218" i="8"/>
  <c r="BC217" i="8"/>
  <c r="BC216" i="8"/>
  <c r="BC215" i="8"/>
  <c r="BC214" i="8"/>
  <c r="BC213" i="8"/>
  <c r="BC212" i="8"/>
  <c r="BC211" i="8"/>
  <c r="BC210" i="8"/>
  <c r="BC209" i="8"/>
  <c r="BC208" i="8"/>
  <c r="BC207" i="8"/>
  <c r="BC206" i="8"/>
  <c r="BC205" i="8"/>
  <c r="BC204" i="8"/>
  <c r="BC203" i="8"/>
  <c r="BC202" i="8"/>
  <c r="BC201" i="8"/>
  <c r="BC200" i="8"/>
  <c r="BC199" i="8"/>
  <c r="BC198" i="8"/>
  <c r="BC197" i="8"/>
  <c r="BC196" i="8"/>
  <c r="BC195" i="8"/>
  <c r="BC194" i="8"/>
  <c r="BC193" i="8"/>
  <c r="BC192" i="8"/>
  <c r="BC191" i="8"/>
  <c r="BC190" i="8"/>
  <c r="BC189" i="8"/>
  <c r="BC188" i="8"/>
  <c r="BC187" i="8"/>
  <c r="BC186" i="8"/>
  <c r="BC185" i="8"/>
  <c r="BC184" i="8"/>
  <c r="BC183" i="8"/>
  <c r="BC182" i="8"/>
  <c r="BC181" i="8"/>
  <c r="BC180" i="8"/>
  <c r="BC179" i="8"/>
  <c r="BC178" i="8"/>
  <c r="BC177" i="8"/>
  <c r="BC176" i="8"/>
  <c r="BC175" i="8"/>
  <c r="BC174" i="8"/>
  <c r="BC173" i="8"/>
  <c r="BC172" i="8"/>
  <c r="BC171" i="8"/>
  <c r="BC170" i="8"/>
  <c r="BC169" i="8"/>
  <c r="BC168" i="8"/>
  <c r="BC167" i="8"/>
  <c r="BC166" i="8"/>
  <c r="BC165" i="8"/>
  <c r="BC164" i="8"/>
  <c r="BC163" i="8"/>
  <c r="BC162" i="8"/>
  <c r="BC161" i="8"/>
  <c r="BC160" i="8"/>
  <c r="BC159" i="8"/>
  <c r="BC158" i="8"/>
  <c r="BC157" i="8"/>
  <c r="BC156" i="8"/>
  <c r="BC155" i="8"/>
  <c r="BC154" i="8"/>
  <c r="BC153" i="8"/>
  <c r="BC152" i="8"/>
  <c r="BC151" i="8"/>
  <c r="BC150" i="8"/>
  <c r="BC149" i="8"/>
  <c r="BC148" i="8"/>
  <c r="BC147" i="8"/>
  <c r="BC146" i="8"/>
  <c r="BC145" i="8"/>
  <c r="BC144" i="8"/>
  <c r="BC143" i="8"/>
  <c r="BC142" i="8"/>
  <c r="BC141" i="8"/>
  <c r="BC140" i="8"/>
  <c r="BC139" i="8"/>
  <c r="BC138" i="8"/>
  <c r="BC137" i="8"/>
  <c r="BC136" i="8"/>
  <c r="BC135" i="8"/>
  <c r="BC134" i="8"/>
  <c r="BC133" i="8"/>
  <c r="BC132" i="8"/>
  <c r="BC131" i="8"/>
  <c r="BC130" i="8"/>
  <c r="BC129" i="8"/>
  <c r="BC128" i="8"/>
  <c r="BC127" i="8"/>
  <c r="BC126" i="8"/>
  <c r="BC125" i="8"/>
  <c r="BC124" i="8"/>
  <c r="BC123" i="8"/>
  <c r="BC122" i="8"/>
  <c r="BC121" i="8"/>
  <c r="BC120" i="8"/>
  <c r="BC119" i="8"/>
  <c r="BC118" i="8"/>
  <c r="BC117" i="8"/>
  <c r="BC116" i="8"/>
  <c r="BC115" i="8"/>
  <c r="BC114" i="8"/>
  <c r="BC113" i="8"/>
  <c r="BC112" i="8"/>
  <c r="BC111" i="8"/>
  <c r="BC110" i="8"/>
  <c r="BC109" i="8"/>
  <c r="BC108" i="8"/>
  <c r="BC107" i="8"/>
  <c r="BC106" i="8"/>
  <c r="BC105" i="8"/>
  <c r="BC104" i="8"/>
  <c r="BC103" i="8"/>
  <c r="BC102" i="8"/>
  <c r="BC101" i="8"/>
  <c r="BC100" i="8"/>
  <c r="BC99" i="8"/>
  <c r="BC98" i="8"/>
  <c r="BC97" i="8"/>
  <c r="BC96" i="8"/>
  <c r="BC95" i="8"/>
  <c r="BC94" i="8"/>
  <c r="BC93" i="8"/>
  <c r="BC92" i="8"/>
  <c r="BC91" i="8"/>
  <c r="BC90" i="8"/>
  <c r="BC89" i="8"/>
  <c r="BC88" i="8"/>
  <c r="BC87" i="8"/>
  <c r="BC86" i="8"/>
  <c r="BC85" i="8"/>
  <c r="BC84" i="8"/>
  <c r="BC83" i="8"/>
  <c r="BC82" i="8"/>
  <c r="BC81" i="8"/>
  <c r="BC80" i="8"/>
  <c r="BC79" i="8"/>
  <c r="BC78" i="8"/>
  <c r="BC77" i="8"/>
  <c r="BC76" i="8"/>
  <c r="BC75" i="8"/>
  <c r="BC74" i="8"/>
  <c r="BC73" i="8"/>
  <c r="BC72" i="8"/>
  <c r="BC71" i="8"/>
  <c r="BC70" i="8"/>
  <c r="BC69" i="8"/>
  <c r="BC68" i="8"/>
  <c r="BC67" i="8"/>
  <c r="BC66" i="8"/>
  <c r="BC65" i="8"/>
  <c r="BC64" i="8"/>
  <c r="BC63" i="8"/>
  <c r="BC62" i="8"/>
  <c r="BC61" i="8"/>
  <c r="BC60" i="8"/>
  <c r="BC59" i="8"/>
  <c r="BC58" i="8"/>
  <c r="BC57" i="8"/>
  <c r="BC56" i="8"/>
  <c r="BC55" i="8"/>
  <c r="BC54" i="8"/>
  <c r="BC53" i="8"/>
  <c r="BC52" i="8"/>
  <c r="BC51" i="8"/>
  <c r="BC50" i="8"/>
  <c r="BC49" i="8"/>
  <c r="BC48" i="8"/>
  <c r="BC47" i="8"/>
  <c r="BC46" i="8"/>
  <c r="BC45" i="8"/>
  <c r="BC44" i="8"/>
  <c r="BC43" i="8"/>
  <c r="BC42" i="8"/>
  <c r="BC41" i="8"/>
  <c r="BC40" i="8"/>
  <c r="BC39" i="8"/>
  <c r="BC38" i="8"/>
  <c r="BC37" i="8"/>
  <c r="BC36" i="8"/>
  <c r="BC35" i="8"/>
  <c r="BC34" i="8"/>
  <c r="BC33" i="8"/>
  <c r="BC32" i="8"/>
  <c r="BC31" i="8"/>
  <c r="BC30" i="8"/>
  <c r="BC29" i="8"/>
  <c r="BC28" i="8"/>
  <c r="BC27" i="8"/>
  <c r="BC26" i="8"/>
  <c r="BC25" i="8"/>
  <c r="BC24" i="8"/>
  <c r="BC23" i="8"/>
  <c r="BC22" i="8"/>
  <c r="BC21" i="8"/>
  <c r="BC20" i="8"/>
  <c r="BC19" i="8"/>
  <c r="BC18" i="8"/>
  <c r="BC17" i="8"/>
  <c r="BC16" i="8"/>
  <c r="BC15" i="8"/>
  <c r="BC14" i="8"/>
  <c r="BC13" i="8"/>
  <c r="BC12" i="8"/>
  <c r="BC11" i="8"/>
  <c r="BC10" i="8"/>
  <c r="BC9" i="8"/>
  <c r="BC8" i="8"/>
  <c r="BC7" i="8"/>
  <c r="BC6" i="8"/>
  <c r="BC5" i="8"/>
  <c r="BC4" i="8"/>
  <c r="AX393" i="8"/>
  <c r="AX392" i="8"/>
  <c r="AX391" i="8"/>
  <c r="AX390" i="8"/>
  <c r="AX389" i="8"/>
  <c r="AX388" i="8"/>
  <c r="AX387" i="8"/>
  <c r="AX386" i="8"/>
  <c r="AX385" i="8"/>
  <c r="AX384" i="8"/>
  <c r="AX383" i="8"/>
  <c r="AX382" i="8"/>
  <c r="AX381" i="8"/>
  <c r="AX380" i="8"/>
  <c r="AX379" i="8"/>
  <c r="AX378" i="8"/>
  <c r="AX377" i="8"/>
  <c r="AX376" i="8"/>
  <c r="AX375" i="8"/>
  <c r="AX374" i="8"/>
  <c r="AX373" i="8"/>
  <c r="AX372" i="8"/>
  <c r="AX371" i="8"/>
  <c r="AX370" i="8"/>
  <c r="AX369" i="8"/>
  <c r="AX368" i="8"/>
  <c r="AX367" i="8"/>
  <c r="AX366" i="8"/>
  <c r="AX365" i="8"/>
  <c r="AX364" i="8"/>
  <c r="AX363" i="8"/>
  <c r="AX362" i="8"/>
  <c r="AX361" i="8"/>
  <c r="AX360" i="8"/>
  <c r="AX359" i="8"/>
  <c r="AX358" i="8"/>
  <c r="AX357" i="8"/>
  <c r="AX356" i="8"/>
  <c r="AX355" i="8"/>
  <c r="AX354" i="8"/>
  <c r="AX353" i="8"/>
  <c r="AX352" i="8"/>
  <c r="AX351" i="8"/>
  <c r="AX350" i="8"/>
  <c r="AX349" i="8"/>
  <c r="AX348" i="8"/>
  <c r="AX347" i="8"/>
  <c r="AX346" i="8"/>
  <c r="AX345" i="8"/>
  <c r="AX344" i="8"/>
  <c r="AX343" i="8"/>
  <c r="AX342" i="8"/>
  <c r="AX341" i="8"/>
  <c r="AX340" i="8"/>
  <c r="AX339" i="8"/>
  <c r="AX338" i="8"/>
  <c r="AX337" i="8"/>
  <c r="AX336" i="8"/>
  <c r="AX335" i="8"/>
  <c r="AX334" i="8"/>
  <c r="AX333" i="8"/>
  <c r="AX332" i="8"/>
  <c r="AX331" i="8"/>
  <c r="AX330" i="8"/>
  <c r="AX329" i="8"/>
  <c r="AX328" i="8"/>
  <c r="AX327" i="8"/>
  <c r="AX326" i="8"/>
  <c r="AX325" i="8"/>
  <c r="AX324" i="8"/>
  <c r="AX323" i="8"/>
  <c r="AX322" i="8"/>
  <c r="AX321" i="8"/>
  <c r="AX320" i="8"/>
  <c r="AX319" i="8"/>
  <c r="AX318" i="8"/>
  <c r="AX317" i="8"/>
  <c r="AX316" i="8"/>
  <c r="AX315" i="8"/>
  <c r="AX314" i="8"/>
  <c r="AX313" i="8"/>
  <c r="AX312" i="8"/>
  <c r="AX311" i="8"/>
  <c r="AX310" i="8"/>
  <c r="AX309" i="8"/>
  <c r="AX308" i="8"/>
  <c r="AX307" i="8"/>
  <c r="AX306" i="8"/>
  <c r="AX305" i="8"/>
  <c r="AX304" i="8"/>
  <c r="AX303" i="8"/>
  <c r="AX302" i="8"/>
  <c r="AX301" i="8"/>
  <c r="AX300" i="8"/>
  <c r="AX299" i="8"/>
  <c r="AX298" i="8"/>
  <c r="AX297" i="8"/>
  <c r="AX296" i="8"/>
  <c r="AX295" i="8"/>
  <c r="AX294" i="8"/>
  <c r="AX293" i="8"/>
  <c r="AX292" i="8"/>
  <c r="AX291" i="8"/>
  <c r="AX290" i="8"/>
  <c r="AX289" i="8"/>
  <c r="AX288" i="8"/>
  <c r="AX287" i="8"/>
  <c r="AX286" i="8"/>
  <c r="AX285" i="8"/>
  <c r="AX284" i="8"/>
  <c r="AX283" i="8"/>
  <c r="AX282" i="8"/>
  <c r="AX281" i="8"/>
  <c r="AX280" i="8"/>
  <c r="AX279" i="8"/>
  <c r="AX278" i="8"/>
  <c r="AX277" i="8"/>
  <c r="AX276" i="8"/>
  <c r="AX275" i="8"/>
  <c r="AX274" i="8"/>
  <c r="AX273" i="8"/>
  <c r="AX272" i="8"/>
  <c r="AX271" i="8"/>
  <c r="AX270" i="8"/>
  <c r="AX269" i="8"/>
  <c r="AX268" i="8"/>
  <c r="AX267" i="8"/>
  <c r="AX266" i="8"/>
  <c r="AX265" i="8"/>
  <c r="AX264" i="8"/>
  <c r="AX263" i="8"/>
  <c r="AX262" i="8"/>
  <c r="AX261" i="8"/>
  <c r="AX260" i="8"/>
  <c r="AX259" i="8"/>
  <c r="AX258" i="8"/>
  <c r="AX257" i="8"/>
  <c r="AX256" i="8"/>
  <c r="AX255" i="8"/>
  <c r="AX254" i="8"/>
  <c r="AX253" i="8"/>
  <c r="AX252" i="8"/>
  <c r="AX251" i="8"/>
  <c r="AX250" i="8"/>
  <c r="AX249" i="8"/>
  <c r="AX248" i="8"/>
  <c r="AX247" i="8"/>
  <c r="AX246" i="8"/>
  <c r="AX245" i="8"/>
  <c r="AX244" i="8"/>
  <c r="AX243" i="8"/>
  <c r="AX242" i="8"/>
  <c r="AX241" i="8"/>
  <c r="AX240" i="8"/>
  <c r="AX239" i="8"/>
  <c r="AX238" i="8"/>
  <c r="AX237" i="8"/>
  <c r="AX236" i="8"/>
  <c r="AX235" i="8"/>
  <c r="AX234" i="8"/>
  <c r="AX233" i="8"/>
  <c r="AX232" i="8"/>
  <c r="AX231" i="8"/>
  <c r="AX230" i="8"/>
  <c r="AX229" i="8"/>
  <c r="AX228" i="8"/>
  <c r="AX227" i="8"/>
  <c r="AX226" i="8"/>
  <c r="AX225" i="8"/>
  <c r="AX224" i="8"/>
  <c r="AX223" i="8"/>
  <c r="AX222" i="8"/>
  <c r="AX221" i="8"/>
  <c r="AX220" i="8"/>
  <c r="AX219" i="8"/>
  <c r="AX218" i="8"/>
  <c r="AX217" i="8"/>
  <c r="AX216" i="8"/>
  <c r="AX215" i="8"/>
  <c r="AX214" i="8"/>
  <c r="AX213" i="8"/>
  <c r="AX212" i="8"/>
  <c r="AX211" i="8"/>
  <c r="AX210" i="8"/>
  <c r="AX209" i="8"/>
  <c r="AX208" i="8"/>
  <c r="AX207" i="8"/>
  <c r="AX206" i="8"/>
  <c r="AX205" i="8"/>
  <c r="AX204" i="8"/>
  <c r="AX203" i="8"/>
  <c r="AX202" i="8"/>
  <c r="AX201" i="8"/>
  <c r="AX200" i="8"/>
  <c r="AX199" i="8"/>
  <c r="AX198" i="8"/>
  <c r="AX197" i="8"/>
  <c r="AX196" i="8"/>
  <c r="AX195" i="8"/>
  <c r="AX194" i="8"/>
  <c r="AX193" i="8"/>
  <c r="AX192" i="8"/>
  <c r="AX191" i="8"/>
  <c r="AX190" i="8"/>
  <c r="AX189" i="8"/>
  <c r="AX188" i="8"/>
  <c r="AX187" i="8"/>
  <c r="AX186" i="8"/>
  <c r="AX185" i="8"/>
  <c r="AX184" i="8"/>
  <c r="AX183" i="8"/>
  <c r="AX182" i="8"/>
  <c r="AX181" i="8"/>
  <c r="AX180" i="8"/>
  <c r="AX179" i="8"/>
  <c r="AX178" i="8"/>
  <c r="AX177" i="8"/>
  <c r="AX176" i="8"/>
  <c r="AX175" i="8"/>
  <c r="AX174" i="8"/>
  <c r="AX173" i="8"/>
  <c r="AX172" i="8"/>
  <c r="AX171" i="8"/>
  <c r="AX170" i="8"/>
  <c r="AX169" i="8"/>
  <c r="AX168" i="8"/>
  <c r="AX167" i="8"/>
  <c r="AX166" i="8"/>
  <c r="AX165" i="8"/>
  <c r="AX164" i="8"/>
  <c r="AX163" i="8"/>
  <c r="AX162" i="8"/>
  <c r="AX161" i="8"/>
  <c r="AX160" i="8"/>
  <c r="AX159" i="8"/>
  <c r="AX158" i="8"/>
  <c r="AX157" i="8"/>
  <c r="AX156" i="8"/>
  <c r="AX155" i="8"/>
  <c r="AX154" i="8"/>
  <c r="AX153" i="8"/>
  <c r="AX152" i="8"/>
  <c r="AX151" i="8"/>
  <c r="AX150" i="8"/>
  <c r="AX149" i="8"/>
  <c r="AX148" i="8"/>
  <c r="AX147" i="8"/>
  <c r="AX146" i="8"/>
  <c r="AX145" i="8"/>
  <c r="AX144" i="8"/>
  <c r="AX143" i="8"/>
  <c r="AX142" i="8"/>
  <c r="AX141" i="8"/>
  <c r="AX140" i="8"/>
  <c r="AX139" i="8"/>
  <c r="AX138" i="8"/>
  <c r="AX137" i="8"/>
  <c r="AX136" i="8"/>
  <c r="AX135" i="8"/>
  <c r="AX134" i="8"/>
  <c r="AX133" i="8"/>
  <c r="AX132" i="8"/>
  <c r="AX131" i="8"/>
  <c r="AX130" i="8"/>
  <c r="AX129" i="8"/>
  <c r="AX128" i="8"/>
  <c r="AX127" i="8"/>
  <c r="AX126" i="8"/>
  <c r="AX125" i="8"/>
  <c r="AX124" i="8"/>
  <c r="AX123" i="8"/>
  <c r="AX122" i="8"/>
  <c r="AX121" i="8"/>
  <c r="AX120" i="8"/>
  <c r="AX119" i="8"/>
  <c r="AX118" i="8"/>
  <c r="AX117" i="8"/>
  <c r="AX116" i="8"/>
  <c r="AX115" i="8"/>
  <c r="AX114" i="8"/>
  <c r="AX113" i="8"/>
  <c r="AX112" i="8"/>
  <c r="AX111" i="8"/>
  <c r="AX110" i="8"/>
  <c r="AX109" i="8"/>
  <c r="AX108" i="8"/>
  <c r="AX107" i="8"/>
  <c r="AX106" i="8"/>
  <c r="AX105" i="8"/>
  <c r="AX104" i="8"/>
  <c r="AX103" i="8"/>
  <c r="AX102" i="8"/>
  <c r="AX101" i="8"/>
  <c r="AX100" i="8"/>
  <c r="AX99" i="8"/>
  <c r="AX98" i="8"/>
  <c r="AX97" i="8"/>
  <c r="AX96" i="8"/>
  <c r="AX95" i="8"/>
  <c r="AX94" i="8"/>
  <c r="AX93" i="8"/>
  <c r="AX92" i="8"/>
  <c r="AX91" i="8"/>
  <c r="AX90" i="8"/>
  <c r="AX89" i="8"/>
  <c r="AX88" i="8"/>
  <c r="AX87" i="8"/>
  <c r="AX86" i="8"/>
  <c r="AX85" i="8"/>
  <c r="AX84" i="8"/>
  <c r="AX83" i="8"/>
  <c r="AX82" i="8"/>
  <c r="AX81" i="8"/>
  <c r="AX80" i="8"/>
  <c r="AX79" i="8"/>
  <c r="AX78" i="8"/>
  <c r="AX77" i="8"/>
  <c r="AX76" i="8"/>
  <c r="AX75" i="8"/>
  <c r="AX74" i="8"/>
  <c r="AX73" i="8"/>
  <c r="AX72" i="8"/>
  <c r="AX71" i="8"/>
  <c r="AX70" i="8"/>
  <c r="AX69" i="8"/>
  <c r="AX68" i="8"/>
  <c r="AX67" i="8"/>
  <c r="AX66" i="8"/>
  <c r="AX65" i="8"/>
  <c r="AX64" i="8"/>
  <c r="AX63" i="8"/>
  <c r="AX62" i="8"/>
  <c r="AX61" i="8"/>
  <c r="AX60" i="8"/>
  <c r="AX59" i="8"/>
  <c r="AX58" i="8"/>
  <c r="AX57" i="8"/>
  <c r="AX56" i="8"/>
  <c r="AX55" i="8"/>
  <c r="AX54" i="8"/>
  <c r="AX53" i="8"/>
  <c r="AX52" i="8"/>
  <c r="AX51" i="8"/>
  <c r="AX50" i="8"/>
  <c r="AX49" i="8"/>
  <c r="AX48" i="8"/>
  <c r="AX47" i="8"/>
  <c r="AX46" i="8"/>
  <c r="AX45" i="8"/>
  <c r="AX44" i="8"/>
  <c r="AX43" i="8"/>
  <c r="AX42" i="8"/>
  <c r="AX41" i="8"/>
  <c r="AX40" i="8"/>
  <c r="AX39" i="8"/>
  <c r="AX38" i="8"/>
  <c r="AX37" i="8"/>
  <c r="AX36" i="8"/>
  <c r="AX35" i="8"/>
  <c r="AX34" i="8"/>
  <c r="AX33" i="8"/>
  <c r="AX32" i="8"/>
  <c r="AX31" i="8"/>
  <c r="AX30" i="8"/>
  <c r="AX29" i="8"/>
  <c r="AX28" i="8"/>
  <c r="AX27" i="8"/>
  <c r="AX26" i="8"/>
  <c r="AX25" i="8"/>
  <c r="AX24" i="8"/>
  <c r="AX23" i="8"/>
  <c r="AX22" i="8"/>
  <c r="AX21" i="8"/>
  <c r="AX20" i="8"/>
  <c r="AX19" i="8"/>
  <c r="AX18" i="8"/>
  <c r="AX17" i="8"/>
  <c r="AX16" i="8"/>
  <c r="AX15" i="8"/>
  <c r="AX14" i="8"/>
  <c r="AX13" i="8"/>
  <c r="AX12" i="8"/>
  <c r="AX11" i="8"/>
  <c r="AX10" i="8"/>
  <c r="AX9" i="8"/>
  <c r="AX8" i="8"/>
  <c r="AX7" i="8"/>
  <c r="AX6" i="8"/>
  <c r="AX5" i="8"/>
  <c r="AX4" i="8"/>
  <c r="AS393" i="8"/>
  <c r="AS392" i="8"/>
  <c r="AS391" i="8"/>
  <c r="AS390" i="8"/>
  <c r="AS389" i="8"/>
  <c r="AS388" i="8"/>
  <c r="AS387" i="8"/>
  <c r="AS386" i="8"/>
  <c r="AS385" i="8"/>
  <c r="AS384" i="8"/>
  <c r="AS383" i="8"/>
  <c r="AS382" i="8"/>
  <c r="AS381" i="8"/>
  <c r="AS380" i="8"/>
  <c r="AS379" i="8"/>
  <c r="AS378" i="8"/>
  <c r="AS377" i="8"/>
  <c r="AS376" i="8"/>
  <c r="AS375" i="8"/>
  <c r="AS374" i="8"/>
  <c r="AS373" i="8"/>
  <c r="AS372" i="8"/>
  <c r="AS371" i="8"/>
  <c r="AS370" i="8"/>
  <c r="AS369" i="8"/>
  <c r="AS368" i="8"/>
  <c r="AS367" i="8"/>
  <c r="AS366" i="8"/>
  <c r="AS365" i="8"/>
  <c r="AS364" i="8"/>
  <c r="AS363" i="8"/>
  <c r="AS362" i="8"/>
  <c r="AS361" i="8"/>
  <c r="AS360" i="8"/>
  <c r="AS359" i="8"/>
  <c r="AS358" i="8"/>
  <c r="AS357" i="8"/>
  <c r="AS356" i="8"/>
  <c r="AS355" i="8"/>
  <c r="AS354" i="8"/>
  <c r="AS353" i="8"/>
  <c r="AS352" i="8"/>
  <c r="AS351" i="8"/>
  <c r="AS350" i="8"/>
  <c r="AS349" i="8"/>
  <c r="AS348" i="8"/>
  <c r="AS347" i="8"/>
  <c r="AS346" i="8"/>
  <c r="AS345" i="8"/>
  <c r="AS344" i="8"/>
  <c r="AS343" i="8"/>
  <c r="AS342" i="8"/>
  <c r="AS341" i="8"/>
  <c r="AS340" i="8"/>
  <c r="AS339" i="8"/>
  <c r="AS338" i="8"/>
  <c r="AS337" i="8"/>
  <c r="AS336" i="8"/>
  <c r="AS335" i="8"/>
  <c r="AS334" i="8"/>
  <c r="AS333" i="8"/>
  <c r="AS332" i="8"/>
  <c r="AS331" i="8"/>
  <c r="AS330" i="8"/>
  <c r="AS329" i="8"/>
  <c r="AS328" i="8"/>
  <c r="AS327" i="8"/>
  <c r="AS326" i="8"/>
  <c r="AS325" i="8"/>
  <c r="AS324" i="8"/>
  <c r="AS323" i="8"/>
  <c r="AS322" i="8"/>
  <c r="AS321" i="8"/>
  <c r="AS320" i="8"/>
  <c r="AS319" i="8"/>
  <c r="AS318" i="8"/>
  <c r="AS317" i="8"/>
  <c r="AS316" i="8"/>
  <c r="AS315" i="8"/>
  <c r="AS314" i="8"/>
  <c r="AS313" i="8"/>
  <c r="AS312" i="8"/>
  <c r="AS311" i="8"/>
  <c r="AS310" i="8"/>
  <c r="AS309" i="8"/>
  <c r="AS308" i="8"/>
  <c r="AS307" i="8"/>
  <c r="AS306" i="8"/>
  <c r="AS305" i="8"/>
  <c r="AS304" i="8"/>
  <c r="AS303" i="8"/>
  <c r="AS302" i="8"/>
  <c r="AS301" i="8"/>
  <c r="AS300" i="8"/>
  <c r="AS299" i="8"/>
  <c r="AS298" i="8"/>
  <c r="AS297" i="8"/>
  <c r="AS296" i="8"/>
  <c r="AS295" i="8"/>
  <c r="AS294" i="8"/>
  <c r="AS293" i="8"/>
  <c r="AS292" i="8"/>
  <c r="AS291" i="8"/>
  <c r="AS290" i="8"/>
  <c r="AS289" i="8"/>
  <c r="AS288" i="8"/>
  <c r="AS287" i="8"/>
  <c r="AS286" i="8"/>
  <c r="AS285" i="8"/>
  <c r="AS284" i="8"/>
  <c r="AS283" i="8"/>
  <c r="AS282" i="8"/>
  <c r="AS281" i="8"/>
  <c r="AS280" i="8"/>
  <c r="AS279" i="8"/>
  <c r="AS278" i="8"/>
  <c r="AS277" i="8"/>
  <c r="AS276" i="8"/>
  <c r="AS275" i="8"/>
  <c r="AS274" i="8"/>
  <c r="AS273" i="8"/>
  <c r="AS272" i="8"/>
  <c r="AS271" i="8"/>
  <c r="AS270" i="8"/>
  <c r="AS269" i="8"/>
  <c r="AS268" i="8"/>
  <c r="AS267" i="8"/>
  <c r="AS266" i="8"/>
  <c r="AS265" i="8"/>
  <c r="AS264" i="8"/>
  <c r="AS263" i="8"/>
  <c r="AS262" i="8"/>
  <c r="AS261" i="8"/>
  <c r="AS260" i="8"/>
  <c r="AS259" i="8"/>
  <c r="AS258" i="8"/>
  <c r="AS257" i="8"/>
  <c r="AS256" i="8"/>
  <c r="AS255" i="8"/>
  <c r="AS254" i="8"/>
  <c r="AS253" i="8"/>
  <c r="AS252" i="8"/>
  <c r="AS251" i="8"/>
  <c r="AS250" i="8"/>
  <c r="AS249" i="8"/>
  <c r="AS248" i="8"/>
  <c r="AS247" i="8"/>
  <c r="AS246" i="8"/>
  <c r="AS245" i="8"/>
  <c r="AS244" i="8"/>
  <c r="AS243" i="8"/>
  <c r="AS242" i="8"/>
  <c r="AS241" i="8"/>
  <c r="AS240" i="8"/>
  <c r="AS239" i="8"/>
  <c r="AS238" i="8"/>
  <c r="AS237" i="8"/>
  <c r="AS236" i="8"/>
  <c r="AS235" i="8"/>
  <c r="AS234" i="8"/>
  <c r="AS233" i="8"/>
  <c r="AS232" i="8"/>
  <c r="AS231" i="8"/>
  <c r="AS230" i="8"/>
  <c r="AS229" i="8"/>
  <c r="AS228" i="8"/>
  <c r="AS227" i="8"/>
  <c r="AS226" i="8"/>
  <c r="AS225" i="8"/>
  <c r="AS224" i="8"/>
  <c r="AS223" i="8"/>
  <c r="AS222" i="8"/>
  <c r="AS221" i="8"/>
  <c r="AS220" i="8"/>
  <c r="AS219" i="8"/>
  <c r="AS218" i="8"/>
  <c r="AS217" i="8"/>
  <c r="AS216" i="8"/>
  <c r="AS215" i="8"/>
  <c r="AS214" i="8"/>
  <c r="AS213" i="8"/>
  <c r="AS212" i="8"/>
  <c r="AS211" i="8"/>
  <c r="AS210" i="8"/>
  <c r="AS209" i="8"/>
  <c r="AS208" i="8"/>
  <c r="AS207" i="8"/>
  <c r="AS206" i="8"/>
  <c r="AS205" i="8"/>
  <c r="AS204" i="8"/>
  <c r="AS203" i="8"/>
  <c r="AS202" i="8"/>
  <c r="AS201" i="8"/>
  <c r="AS200" i="8"/>
  <c r="AS199" i="8"/>
  <c r="AS198" i="8"/>
  <c r="AS197" i="8"/>
  <c r="AS196" i="8"/>
  <c r="AS195" i="8"/>
  <c r="AS194" i="8"/>
  <c r="AS193" i="8"/>
  <c r="AS192" i="8"/>
  <c r="AS191" i="8"/>
  <c r="AS190" i="8"/>
  <c r="AS189" i="8"/>
  <c r="AS188" i="8"/>
  <c r="AS187" i="8"/>
  <c r="AS186" i="8"/>
  <c r="AS185" i="8"/>
  <c r="AS184" i="8"/>
  <c r="AS183" i="8"/>
  <c r="AS182" i="8"/>
  <c r="AS181" i="8"/>
  <c r="AS180" i="8"/>
  <c r="AS179" i="8"/>
  <c r="AS178" i="8"/>
  <c r="AS177" i="8"/>
  <c r="AS176" i="8"/>
  <c r="AS175" i="8"/>
  <c r="AS174" i="8"/>
  <c r="AS173" i="8"/>
  <c r="AS172" i="8"/>
  <c r="AS171" i="8"/>
  <c r="AS170" i="8"/>
  <c r="AS169" i="8"/>
  <c r="AS168" i="8"/>
  <c r="AS167" i="8"/>
  <c r="AS166" i="8"/>
  <c r="AS165" i="8"/>
  <c r="AS164" i="8"/>
  <c r="AS163" i="8"/>
  <c r="AS162" i="8"/>
  <c r="AS161" i="8"/>
  <c r="AS160" i="8"/>
  <c r="AS159" i="8"/>
  <c r="AS158" i="8"/>
  <c r="AS157" i="8"/>
  <c r="AS156" i="8"/>
  <c r="AS155" i="8"/>
  <c r="AS154" i="8"/>
  <c r="AS153" i="8"/>
  <c r="AS152" i="8"/>
  <c r="AS151" i="8"/>
  <c r="AS150" i="8"/>
  <c r="AS149" i="8"/>
  <c r="AS148" i="8"/>
  <c r="AS147" i="8"/>
  <c r="AS146" i="8"/>
  <c r="AS145" i="8"/>
  <c r="AS144" i="8"/>
  <c r="AS143" i="8"/>
  <c r="AS142" i="8"/>
  <c r="AS141" i="8"/>
  <c r="AS140" i="8"/>
  <c r="AS139" i="8"/>
  <c r="AS138" i="8"/>
  <c r="AS137" i="8"/>
  <c r="AS136" i="8"/>
  <c r="AS135" i="8"/>
  <c r="AS134" i="8"/>
  <c r="AS133" i="8"/>
  <c r="AS132" i="8"/>
  <c r="AS131" i="8"/>
  <c r="AS130" i="8"/>
  <c r="AS129" i="8"/>
  <c r="AS128" i="8"/>
  <c r="AS127" i="8"/>
  <c r="AS126" i="8"/>
  <c r="AS125" i="8"/>
  <c r="AS124" i="8"/>
  <c r="AS123" i="8"/>
  <c r="AS122" i="8"/>
  <c r="AS121" i="8"/>
  <c r="AS120" i="8"/>
  <c r="AS119" i="8"/>
  <c r="AS118" i="8"/>
  <c r="AS117" i="8"/>
  <c r="AS116" i="8"/>
  <c r="AS115" i="8"/>
  <c r="AS114" i="8"/>
  <c r="AS113" i="8"/>
  <c r="AS112" i="8"/>
  <c r="AS111" i="8"/>
  <c r="AS110" i="8"/>
  <c r="AS109" i="8"/>
  <c r="AS108" i="8"/>
  <c r="AS107" i="8"/>
  <c r="AS106" i="8"/>
  <c r="AS105" i="8"/>
  <c r="AS104" i="8"/>
  <c r="AS103" i="8"/>
  <c r="AS102" i="8"/>
  <c r="AS101" i="8"/>
  <c r="AS100" i="8"/>
  <c r="AS99" i="8"/>
  <c r="AS98" i="8"/>
  <c r="AS97" i="8"/>
  <c r="AS96" i="8"/>
  <c r="AS95" i="8"/>
  <c r="AS94" i="8"/>
  <c r="AS93" i="8"/>
  <c r="AS92" i="8"/>
  <c r="AS91" i="8"/>
  <c r="AS90" i="8"/>
  <c r="AS89" i="8"/>
  <c r="AS88" i="8"/>
  <c r="AS87" i="8"/>
  <c r="AS86" i="8"/>
  <c r="AS85" i="8"/>
  <c r="AS84" i="8"/>
  <c r="AS83" i="8"/>
  <c r="AS82" i="8"/>
  <c r="AS81" i="8"/>
  <c r="AS80" i="8"/>
  <c r="AS79" i="8"/>
  <c r="AS78" i="8"/>
  <c r="AS77" i="8"/>
  <c r="AS76" i="8"/>
  <c r="AS75" i="8"/>
  <c r="AS74" i="8"/>
  <c r="AS73" i="8"/>
  <c r="AS72" i="8"/>
  <c r="AS71" i="8"/>
  <c r="AS70" i="8"/>
  <c r="AS69" i="8"/>
  <c r="AS68" i="8"/>
  <c r="AS67" i="8"/>
  <c r="AS66" i="8"/>
  <c r="AS65" i="8"/>
  <c r="AS64" i="8"/>
  <c r="AS63" i="8"/>
  <c r="AS62" i="8"/>
  <c r="AS61" i="8"/>
  <c r="AS60" i="8"/>
  <c r="AS59" i="8"/>
  <c r="AS58" i="8"/>
  <c r="AS57" i="8"/>
  <c r="AS56" i="8"/>
  <c r="AS55" i="8"/>
  <c r="AS54" i="8"/>
  <c r="AS53" i="8"/>
  <c r="AS52" i="8"/>
  <c r="AS51" i="8"/>
  <c r="AS50" i="8"/>
  <c r="AS49" i="8"/>
  <c r="AS48" i="8"/>
  <c r="AS47" i="8"/>
  <c r="AS46" i="8"/>
  <c r="AS45" i="8"/>
  <c r="AS44" i="8"/>
  <c r="AS43" i="8"/>
  <c r="AS42" i="8"/>
  <c r="AS41" i="8"/>
  <c r="AS40" i="8"/>
  <c r="AS39" i="8"/>
  <c r="AS38" i="8"/>
  <c r="AS37" i="8"/>
  <c r="AS36" i="8"/>
  <c r="AS35" i="8"/>
  <c r="AS34" i="8"/>
  <c r="AS33" i="8"/>
  <c r="AS32" i="8"/>
  <c r="AS31" i="8"/>
  <c r="AS30" i="8"/>
  <c r="AS29" i="8"/>
  <c r="AS28" i="8"/>
  <c r="AS27" i="8"/>
  <c r="AS26" i="8"/>
  <c r="AS25" i="8"/>
  <c r="AS24" i="8"/>
  <c r="AS23" i="8"/>
  <c r="AS22" i="8"/>
  <c r="AS21" i="8"/>
  <c r="AS20" i="8"/>
  <c r="AS19" i="8"/>
  <c r="AS18" i="8"/>
  <c r="AS17" i="8"/>
  <c r="AS16" i="8"/>
  <c r="AS15" i="8"/>
  <c r="AS14" i="8"/>
  <c r="AS13" i="8"/>
  <c r="AS12" i="8"/>
  <c r="AS11" i="8"/>
  <c r="AS10" i="8"/>
  <c r="AS9" i="8"/>
  <c r="AS8" i="8"/>
  <c r="AS7" i="8"/>
  <c r="AS6" i="8"/>
  <c r="AS5" i="8"/>
  <c r="AS4" i="8"/>
  <c r="AN393" i="8"/>
  <c r="AN392" i="8"/>
  <c r="AN391" i="8"/>
  <c r="AN390" i="8"/>
  <c r="AN389" i="8"/>
  <c r="AN388" i="8"/>
  <c r="AN387" i="8"/>
  <c r="AN386" i="8"/>
  <c r="AN385" i="8"/>
  <c r="AN384" i="8"/>
  <c r="AN383" i="8"/>
  <c r="AN382" i="8"/>
  <c r="AN381" i="8"/>
  <c r="AN380" i="8"/>
  <c r="AN379" i="8"/>
  <c r="AN378" i="8"/>
  <c r="AN377" i="8"/>
  <c r="AN376" i="8"/>
  <c r="AN375" i="8"/>
  <c r="AN374" i="8"/>
  <c r="AN373" i="8"/>
  <c r="AN372" i="8"/>
  <c r="AN371" i="8"/>
  <c r="AN370" i="8"/>
  <c r="AN369" i="8"/>
  <c r="AN368" i="8"/>
  <c r="AN367" i="8"/>
  <c r="AN366" i="8"/>
  <c r="AN365" i="8"/>
  <c r="AN364" i="8"/>
  <c r="AN363" i="8"/>
  <c r="AN362" i="8"/>
  <c r="AN361" i="8"/>
  <c r="AN360" i="8"/>
  <c r="AN359" i="8"/>
  <c r="AN358" i="8"/>
  <c r="AN357" i="8"/>
  <c r="AN356" i="8"/>
  <c r="AN355" i="8"/>
  <c r="AN354" i="8"/>
  <c r="AN353" i="8"/>
  <c r="AN352" i="8"/>
  <c r="AN351" i="8"/>
  <c r="AN350" i="8"/>
  <c r="AN349" i="8"/>
  <c r="AN348" i="8"/>
  <c r="AN347" i="8"/>
  <c r="AN346" i="8"/>
  <c r="AN345" i="8"/>
  <c r="AN344" i="8"/>
  <c r="AN343" i="8"/>
  <c r="AN342" i="8"/>
  <c r="AN341" i="8"/>
  <c r="AN340" i="8"/>
  <c r="AN339" i="8"/>
  <c r="AN338" i="8"/>
  <c r="AN337" i="8"/>
  <c r="AN336" i="8"/>
  <c r="AN335" i="8"/>
  <c r="AN334" i="8"/>
  <c r="AN333" i="8"/>
  <c r="AN332" i="8"/>
  <c r="AN331" i="8"/>
  <c r="AN330" i="8"/>
  <c r="AN329" i="8"/>
  <c r="AN328" i="8"/>
  <c r="AN327" i="8"/>
  <c r="AN326" i="8"/>
  <c r="AN325" i="8"/>
  <c r="AN324" i="8"/>
  <c r="AN323" i="8"/>
  <c r="AN322" i="8"/>
  <c r="AN321" i="8"/>
  <c r="AN320" i="8"/>
  <c r="AN319" i="8"/>
  <c r="AN318" i="8"/>
  <c r="AN317" i="8"/>
  <c r="AN316" i="8"/>
  <c r="AN315" i="8"/>
  <c r="AN314" i="8"/>
  <c r="AN313" i="8"/>
  <c r="AN312" i="8"/>
  <c r="AN311" i="8"/>
  <c r="AN310" i="8"/>
  <c r="AN309" i="8"/>
  <c r="AN308" i="8"/>
  <c r="AN307" i="8"/>
  <c r="AN306" i="8"/>
  <c r="AN305" i="8"/>
  <c r="AN304" i="8"/>
  <c r="AN303" i="8"/>
  <c r="AN302" i="8"/>
  <c r="AN301" i="8"/>
  <c r="AN300" i="8"/>
  <c r="AN299" i="8"/>
  <c r="AN298" i="8"/>
  <c r="AN297" i="8"/>
  <c r="AN296" i="8"/>
  <c r="AN295" i="8"/>
  <c r="AN294" i="8"/>
  <c r="AN293" i="8"/>
  <c r="AN292" i="8"/>
  <c r="AN291" i="8"/>
  <c r="AN290" i="8"/>
  <c r="AN289" i="8"/>
  <c r="AN288" i="8"/>
  <c r="AN287" i="8"/>
  <c r="AN286" i="8"/>
  <c r="AN285" i="8"/>
  <c r="AN284" i="8"/>
  <c r="AN283" i="8"/>
  <c r="AN282" i="8"/>
  <c r="AN281" i="8"/>
  <c r="AN280" i="8"/>
  <c r="AN279" i="8"/>
  <c r="AN278" i="8"/>
  <c r="AN277" i="8"/>
  <c r="AN276" i="8"/>
  <c r="AN275" i="8"/>
  <c r="AN274" i="8"/>
  <c r="AN273" i="8"/>
  <c r="AN272" i="8"/>
  <c r="AN271" i="8"/>
  <c r="AN270" i="8"/>
  <c r="AN269" i="8"/>
  <c r="AN268" i="8"/>
  <c r="AN267" i="8"/>
  <c r="AN266" i="8"/>
  <c r="AN265" i="8"/>
  <c r="AN264" i="8"/>
  <c r="AN263" i="8"/>
  <c r="AN262" i="8"/>
  <c r="AN261" i="8"/>
  <c r="AN260" i="8"/>
  <c r="AN259" i="8"/>
  <c r="AN258" i="8"/>
  <c r="AN257" i="8"/>
  <c r="AN256" i="8"/>
  <c r="AN255" i="8"/>
  <c r="AN254" i="8"/>
  <c r="AN253" i="8"/>
  <c r="AN252" i="8"/>
  <c r="AN251" i="8"/>
  <c r="AN250" i="8"/>
  <c r="AN249" i="8"/>
  <c r="AN248" i="8"/>
  <c r="AN247" i="8"/>
  <c r="AN246" i="8"/>
  <c r="AN245" i="8"/>
  <c r="AN244" i="8"/>
  <c r="AN243" i="8"/>
  <c r="AN242" i="8"/>
  <c r="AN241" i="8"/>
  <c r="AN240" i="8"/>
  <c r="AN239" i="8"/>
  <c r="AN238" i="8"/>
  <c r="AN237" i="8"/>
  <c r="AN236" i="8"/>
  <c r="AN235" i="8"/>
  <c r="AN234" i="8"/>
  <c r="AN233" i="8"/>
  <c r="AN232" i="8"/>
  <c r="AN231" i="8"/>
  <c r="AN230" i="8"/>
  <c r="AN229" i="8"/>
  <c r="AN228" i="8"/>
  <c r="AN227" i="8"/>
  <c r="AN226" i="8"/>
  <c r="AN225" i="8"/>
  <c r="AN224" i="8"/>
  <c r="AN223" i="8"/>
  <c r="AN222" i="8"/>
  <c r="AN221" i="8"/>
  <c r="AN220" i="8"/>
  <c r="AN219" i="8"/>
  <c r="AN218" i="8"/>
  <c r="AN217" i="8"/>
  <c r="AN216" i="8"/>
  <c r="AN215" i="8"/>
  <c r="AN214" i="8"/>
  <c r="AN213" i="8"/>
  <c r="AN212" i="8"/>
  <c r="AN211" i="8"/>
  <c r="AN210" i="8"/>
  <c r="AN209" i="8"/>
  <c r="AN208" i="8"/>
  <c r="AN207" i="8"/>
  <c r="AN206" i="8"/>
  <c r="AN205" i="8"/>
  <c r="AN204" i="8"/>
  <c r="AN203" i="8"/>
  <c r="AN202" i="8"/>
  <c r="AN201" i="8"/>
  <c r="AN200" i="8"/>
  <c r="AN199" i="8"/>
  <c r="AN198" i="8"/>
  <c r="AN197" i="8"/>
  <c r="AN196" i="8"/>
  <c r="AN195" i="8"/>
  <c r="AN194" i="8"/>
  <c r="AN193" i="8"/>
  <c r="AN192" i="8"/>
  <c r="AN191" i="8"/>
  <c r="AN190" i="8"/>
  <c r="AN189" i="8"/>
  <c r="AN188" i="8"/>
  <c r="AN187" i="8"/>
  <c r="AN186" i="8"/>
  <c r="AN185" i="8"/>
  <c r="AN184" i="8"/>
  <c r="AN183" i="8"/>
  <c r="AN182" i="8"/>
  <c r="AN181" i="8"/>
  <c r="AN180" i="8"/>
  <c r="AN179" i="8"/>
  <c r="AN178" i="8"/>
  <c r="AN177" i="8"/>
  <c r="AN176" i="8"/>
  <c r="AN175" i="8"/>
  <c r="AN174" i="8"/>
  <c r="AN173" i="8"/>
  <c r="AN172" i="8"/>
  <c r="AN171" i="8"/>
  <c r="AN170" i="8"/>
  <c r="AN169" i="8"/>
  <c r="AN168" i="8"/>
  <c r="AN167" i="8"/>
  <c r="AN166" i="8"/>
  <c r="AN165" i="8"/>
  <c r="AN164" i="8"/>
  <c r="AN163" i="8"/>
  <c r="AN162" i="8"/>
  <c r="AN161" i="8"/>
  <c r="AN160" i="8"/>
  <c r="AN159" i="8"/>
  <c r="AN158" i="8"/>
  <c r="AN157" i="8"/>
  <c r="AN156" i="8"/>
  <c r="AN155" i="8"/>
  <c r="AN154" i="8"/>
  <c r="AN153" i="8"/>
  <c r="AN152" i="8"/>
  <c r="AN151" i="8"/>
  <c r="AN150" i="8"/>
  <c r="AN149" i="8"/>
  <c r="AN148" i="8"/>
  <c r="AN147" i="8"/>
  <c r="AN146" i="8"/>
  <c r="AN145" i="8"/>
  <c r="AN144" i="8"/>
  <c r="AN143" i="8"/>
  <c r="AN142" i="8"/>
  <c r="AN141" i="8"/>
  <c r="AN140" i="8"/>
  <c r="AN139" i="8"/>
  <c r="AN138" i="8"/>
  <c r="AN137" i="8"/>
  <c r="AN136" i="8"/>
  <c r="AN135" i="8"/>
  <c r="AN134" i="8"/>
  <c r="AN133" i="8"/>
  <c r="AN132" i="8"/>
  <c r="AN131" i="8"/>
  <c r="AN130" i="8"/>
  <c r="AN129" i="8"/>
  <c r="AN128" i="8"/>
  <c r="AN127" i="8"/>
  <c r="AN126" i="8"/>
  <c r="AN125" i="8"/>
  <c r="AN124" i="8"/>
  <c r="AN123" i="8"/>
  <c r="AN122" i="8"/>
  <c r="AN121" i="8"/>
  <c r="AN120" i="8"/>
  <c r="AN119" i="8"/>
  <c r="AN118" i="8"/>
  <c r="AN117" i="8"/>
  <c r="AN116" i="8"/>
  <c r="AN115" i="8"/>
  <c r="AN114" i="8"/>
  <c r="AN113" i="8"/>
  <c r="AN112" i="8"/>
  <c r="AN111" i="8"/>
  <c r="AN110" i="8"/>
  <c r="AN109" i="8"/>
  <c r="AN108" i="8"/>
  <c r="AN107" i="8"/>
  <c r="AN106" i="8"/>
  <c r="AN105" i="8"/>
  <c r="AN104" i="8"/>
  <c r="AN103" i="8"/>
  <c r="AN102" i="8"/>
  <c r="AN101" i="8"/>
  <c r="AN100" i="8"/>
  <c r="AN99" i="8"/>
  <c r="AN98" i="8"/>
  <c r="AN97" i="8"/>
  <c r="AN96" i="8"/>
  <c r="AN95" i="8"/>
  <c r="AN94" i="8"/>
  <c r="AN93" i="8"/>
  <c r="AN92" i="8"/>
  <c r="AN91" i="8"/>
  <c r="AN90" i="8"/>
  <c r="AN89" i="8"/>
  <c r="AN88" i="8"/>
  <c r="AN87" i="8"/>
  <c r="AN86" i="8"/>
  <c r="AN85" i="8"/>
  <c r="AN84" i="8"/>
  <c r="AN83" i="8"/>
  <c r="AN82" i="8"/>
  <c r="AN81" i="8"/>
  <c r="AN80" i="8"/>
  <c r="AN79" i="8"/>
  <c r="AN78" i="8"/>
  <c r="AN77" i="8"/>
  <c r="AN76" i="8"/>
  <c r="AN75" i="8"/>
  <c r="AN74" i="8"/>
  <c r="AN73" i="8"/>
  <c r="AN72" i="8"/>
  <c r="AN71" i="8"/>
  <c r="AN70" i="8"/>
  <c r="AN69" i="8"/>
  <c r="AN68" i="8"/>
  <c r="AN67" i="8"/>
  <c r="AN66" i="8"/>
  <c r="AN65" i="8"/>
  <c r="AN64" i="8"/>
  <c r="AN63" i="8"/>
  <c r="AN62" i="8"/>
  <c r="AN61" i="8"/>
  <c r="AN60" i="8"/>
  <c r="AN59" i="8"/>
  <c r="AN58" i="8"/>
  <c r="AN57" i="8"/>
  <c r="AN56" i="8"/>
  <c r="AN55" i="8"/>
  <c r="AN54" i="8"/>
  <c r="AN53" i="8"/>
  <c r="AN52" i="8"/>
  <c r="AN51" i="8"/>
  <c r="AN50" i="8"/>
  <c r="AN49" i="8"/>
  <c r="AN48" i="8"/>
  <c r="AN47" i="8"/>
  <c r="AN46" i="8"/>
  <c r="AN45" i="8"/>
  <c r="AN44" i="8"/>
  <c r="AN43" i="8"/>
  <c r="AN42" i="8"/>
  <c r="AN41" i="8"/>
  <c r="AN40" i="8"/>
  <c r="AN39" i="8"/>
  <c r="AN38" i="8"/>
  <c r="AN37" i="8"/>
  <c r="AN36" i="8"/>
  <c r="AN35" i="8"/>
  <c r="AN34" i="8"/>
  <c r="AN33" i="8"/>
  <c r="AN32" i="8"/>
  <c r="AN31" i="8"/>
  <c r="AN30" i="8"/>
  <c r="AN29" i="8"/>
  <c r="AN28" i="8"/>
  <c r="AN27" i="8"/>
  <c r="AN26" i="8"/>
  <c r="AN25" i="8"/>
  <c r="AN24" i="8"/>
  <c r="AN23" i="8"/>
  <c r="AN22" i="8"/>
  <c r="AN21" i="8"/>
  <c r="AN20" i="8"/>
  <c r="AN19" i="8"/>
  <c r="AN18" i="8"/>
  <c r="AN17" i="8"/>
  <c r="AN16" i="8"/>
  <c r="AN15" i="8"/>
  <c r="AN14" i="8"/>
  <c r="AN13" i="8"/>
  <c r="AN12" i="8"/>
  <c r="AN11" i="8"/>
  <c r="AN10" i="8"/>
  <c r="AN9" i="8"/>
  <c r="AN8" i="8"/>
  <c r="AN7" i="8"/>
  <c r="AN6" i="8"/>
  <c r="AN5" i="8"/>
  <c r="AN4" i="8"/>
  <c r="AI393" i="8"/>
  <c r="AI392" i="8"/>
  <c r="AI391" i="8"/>
  <c r="AI390" i="8"/>
  <c r="AI389" i="8"/>
  <c r="AI388" i="8"/>
  <c r="AI387" i="8"/>
  <c r="AI386" i="8"/>
  <c r="AI385" i="8"/>
  <c r="AI384" i="8"/>
  <c r="AI383" i="8"/>
  <c r="AI382" i="8"/>
  <c r="AI381" i="8"/>
  <c r="AI380" i="8"/>
  <c r="AI379" i="8"/>
  <c r="AI378" i="8"/>
  <c r="AI377" i="8"/>
  <c r="AI376" i="8"/>
  <c r="AI375" i="8"/>
  <c r="AI374" i="8"/>
  <c r="AI373" i="8"/>
  <c r="AI372" i="8"/>
  <c r="AI371" i="8"/>
  <c r="AI370" i="8"/>
  <c r="AI369" i="8"/>
  <c r="AI368" i="8"/>
  <c r="AI367" i="8"/>
  <c r="AI366" i="8"/>
  <c r="AI365" i="8"/>
  <c r="AI364" i="8"/>
  <c r="AI363" i="8"/>
  <c r="AI362" i="8"/>
  <c r="AI361" i="8"/>
  <c r="AI360" i="8"/>
  <c r="AI359" i="8"/>
  <c r="AI358" i="8"/>
  <c r="AI357" i="8"/>
  <c r="AI356" i="8"/>
  <c r="AI355" i="8"/>
  <c r="AI354" i="8"/>
  <c r="AI353" i="8"/>
  <c r="AI352" i="8"/>
  <c r="AI351" i="8"/>
  <c r="AI350" i="8"/>
  <c r="AI349" i="8"/>
  <c r="AI348" i="8"/>
  <c r="AI347" i="8"/>
  <c r="AI346" i="8"/>
  <c r="AI345" i="8"/>
  <c r="AI344" i="8"/>
  <c r="AI343" i="8"/>
  <c r="AI342" i="8"/>
  <c r="AI341" i="8"/>
  <c r="AI340" i="8"/>
  <c r="AI339" i="8"/>
  <c r="AI338" i="8"/>
  <c r="AI337" i="8"/>
  <c r="AI336" i="8"/>
  <c r="AI335" i="8"/>
  <c r="AI334" i="8"/>
  <c r="AI333" i="8"/>
  <c r="AI332" i="8"/>
  <c r="AI331" i="8"/>
  <c r="AI330" i="8"/>
  <c r="AI329" i="8"/>
  <c r="AI328" i="8"/>
  <c r="AI327" i="8"/>
  <c r="AI326" i="8"/>
  <c r="AI325" i="8"/>
  <c r="AI324" i="8"/>
  <c r="AI323" i="8"/>
  <c r="AI322" i="8"/>
  <c r="AI321" i="8"/>
  <c r="AI320" i="8"/>
  <c r="AI319" i="8"/>
  <c r="AI318" i="8"/>
  <c r="AI317" i="8"/>
  <c r="AI316" i="8"/>
  <c r="AI315" i="8"/>
  <c r="AI314" i="8"/>
  <c r="AI313" i="8"/>
  <c r="AI312" i="8"/>
  <c r="AI311" i="8"/>
  <c r="AI310" i="8"/>
  <c r="AI309" i="8"/>
  <c r="AI308" i="8"/>
  <c r="AI307" i="8"/>
  <c r="AI306" i="8"/>
  <c r="AI305" i="8"/>
  <c r="AI304" i="8"/>
  <c r="AI303" i="8"/>
  <c r="AI302" i="8"/>
  <c r="AI301" i="8"/>
  <c r="AI300" i="8"/>
  <c r="AI299" i="8"/>
  <c r="AI298" i="8"/>
  <c r="AI297" i="8"/>
  <c r="AI296" i="8"/>
  <c r="AI295" i="8"/>
  <c r="AI294" i="8"/>
  <c r="AI293" i="8"/>
  <c r="AI292" i="8"/>
  <c r="AI291" i="8"/>
  <c r="AI290" i="8"/>
  <c r="AI289" i="8"/>
  <c r="AI288" i="8"/>
  <c r="AI287" i="8"/>
  <c r="AI286" i="8"/>
  <c r="AI285" i="8"/>
  <c r="AI284" i="8"/>
  <c r="AI283" i="8"/>
  <c r="AI282" i="8"/>
  <c r="AI281" i="8"/>
  <c r="AI280" i="8"/>
  <c r="AI279" i="8"/>
  <c r="AI278" i="8"/>
  <c r="AI277" i="8"/>
  <c r="AI276" i="8"/>
  <c r="AI275" i="8"/>
  <c r="AI274" i="8"/>
  <c r="AI273" i="8"/>
  <c r="AI272" i="8"/>
  <c r="AI271" i="8"/>
  <c r="AI270" i="8"/>
  <c r="AI269" i="8"/>
  <c r="AI268" i="8"/>
  <c r="AI267" i="8"/>
  <c r="AI266" i="8"/>
  <c r="AI265" i="8"/>
  <c r="AI264" i="8"/>
  <c r="AI263" i="8"/>
  <c r="AI262" i="8"/>
  <c r="AI261" i="8"/>
  <c r="AI260" i="8"/>
  <c r="AI259" i="8"/>
  <c r="AI258" i="8"/>
  <c r="AI257" i="8"/>
  <c r="AI256" i="8"/>
  <c r="AI255" i="8"/>
  <c r="AI254" i="8"/>
  <c r="AI253" i="8"/>
  <c r="AI252" i="8"/>
  <c r="AI251" i="8"/>
  <c r="AI250" i="8"/>
  <c r="AI249" i="8"/>
  <c r="AI248" i="8"/>
  <c r="AI247" i="8"/>
  <c r="AI246" i="8"/>
  <c r="AI245" i="8"/>
  <c r="AI244" i="8"/>
  <c r="AI243" i="8"/>
  <c r="AI242" i="8"/>
  <c r="AI241" i="8"/>
  <c r="AI240" i="8"/>
  <c r="AI239" i="8"/>
  <c r="AI238" i="8"/>
  <c r="AI237" i="8"/>
  <c r="AI236" i="8"/>
  <c r="AI235" i="8"/>
  <c r="AI234" i="8"/>
  <c r="AI233" i="8"/>
  <c r="AI232" i="8"/>
  <c r="AI231" i="8"/>
  <c r="AI230" i="8"/>
  <c r="AI229" i="8"/>
  <c r="AI228" i="8"/>
  <c r="AI227" i="8"/>
  <c r="AI226" i="8"/>
  <c r="AI225" i="8"/>
  <c r="AI224" i="8"/>
  <c r="AI223" i="8"/>
  <c r="AI222" i="8"/>
  <c r="AI221" i="8"/>
  <c r="AI220" i="8"/>
  <c r="AI219" i="8"/>
  <c r="AI218" i="8"/>
  <c r="AI217" i="8"/>
  <c r="AI216" i="8"/>
  <c r="AI215" i="8"/>
  <c r="AI214" i="8"/>
  <c r="AI213" i="8"/>
  <c r="AI212" i="8"/>
  <c r="AI211" i="8"/>
  <c r="AI210" i="8"/>
  <c r="AI209" i="8"/>
  <c r="AI208" i="8"/>
  <c r="AI207" i="8"/>
  <c r="AI206" i="8"/>
  <c r="AI205" i="8"/>
  <c r="AI204" i="8"/>
  <c r="AI203" i="8"/>
  <c r="AI202" i="8"/>
  <c r="AI201" i="8"/>
  <c r="AI200" i="8"/>
  <c r="AI199" i="8"/>
  <c r="AI198" i="8"/>
  <c r="AI197" i="8"/>
  <c r="AI196" i="8"/>
  <c r="AI195" i="8"/>
  <c r="AI194" i="8"/>
  <c r="AI193" i="8"/>
  <c r="AI192" i="8"/>
  <c r="AI191" i="8"/>
  <c r="AI190" i="8"/>
  <c r="AI189" i="8"/>
  <c r="AI188" i="8"/>
  <c r="AI187" i="8"/>
  <c r="AI186" i="8"/>
  <c r="AI185" i="8"/>
  <c r="AI184" i="8"/>
  <c r="AI183" i="8"/>
  <c r="AI182" i="8"/>
  <c r="AI181" i="8"/>
  <c r="AI180" i="8"/>
  <c r="AI179" i="8"/>
  <c r="AI178" i="8"/>
  <c r="AI177" i="8"/>
  <c r="AI176" i="8"/>
  <c r="AI175" i="8"/>
  <c r="AI174" i="8"/>
  <c r="AI173" i="8"/>
  <c r="AI172" i="8"/>
  <c r="AI171" i="8"/>
  <c r="AI170" i="8"/>
  <c r="AI169" i="8"/>
  <c r="AI168" i="8"/>
  <c r="AI167" i="8"/>
  <c r="AI166" i="8"/>
  <c r="AI165" i="8"/>
  <c r="AI164" i="8"/>
  <c r="AI163" i="8"/>
  <c r="AI162" i="8"/>
  <c r="AI161" i="8"/>
  <c r="AI160" i="8"/>
  <c r="AI159" i="8"/>
  <c r="AI158" i="8"/>
  <c r="AI157" i="8"/>
  <c r="AI156" i="8"/>
  <c r="AI155" i="8"/>
  <c r="AI154" i="8"/>
  <c r="AI153" i="8"/>
  <c r="AI152" i="8"/>
  <c r="AI151" i="8"/>
  <c r="AI150" i="8"/>
  <c r="AI149" i="8"/>
  <c r="AI148" i="8"/>
  <c r="AI147" i="8"/>
  <c r="AI146" i="8"/>
  <c r="AI145" i="8"/>
  <c r="AI144" i="8"/>
  <c r="AI143" i="8"/>
  <c r="AI142" i="8"/>
  <c r="AI141" i="8"/>
  <c r="AI140" i="8"/>
  <c r="AI139" i="8"/>
  <c r="AI138" i="8"/>
  <c r="AI137" i="8"/>
  <c r="AI136" i="8"/>
  <c r="AI135" i="8"/>
  <c r="AI134" i="8"/>
  <c r="AI133" i="8"/>
  <c r="AI132" i="8"/>
  <c r="AI131" i="8"/>
  <c r="AI130" i="8"/>
  <c r="AI129" i="8"/>
  <c r="AI128" i="8"/>
  <c r="AI127" i="8"/>
  <c r="AI126" i="8"/>
  <c r="AI125" i="8"/>
  <c r="AI124" i="8"/>
  <c r="AI123" i="8"/>
  <c r="AI122" i="8"/>
  <c r="AI121" i="8"/>
  <c r="AI120" i="8"/>
  <c r="AI119" i="8"/>
  <c r="AI118" i="8"/>
  <c r="AI117" i="8"/>
  <c r="AI116" i="8"/>
  <c r="AI115" i="8"/>
  <c r="AI114" i="8"/>
  <c r="AI113" i="8"/>
  <c r="AI112" i="8"/>
  <c r="AI111" i="8"/>
  <c r="AI110" i="8"/>
  <c r="AI109" i="8"/>
  <c r="AI108" i="8"/>
  <c r="AI107" i="8"/>
  <c r="AI106" i="8"/>
  <c r="AI105" i="8"/>
  <c r="AI104" i="8"/>
  <c r="AI103" i="8"/>
  <c r="AI102" i="8"/>
  <c r="AI101" i="8"/>
  <c r="AI100" i="8"/>
  <c r="AI99" i="8"/>
  <c r="AI98" i="8"/>
  <c r="AI97" i="8"/>
  <c r="AI96" i="8"/>
  <c r="AI95" i="8"/>
  <c r="AI94" i="8"/>
  <c r="AI93" i="8"/>
  <c r="AI92" i="8"/>
  <c r="AI91" i="8"/>
  <c r="AI90" i="8"/>
  <c r="AI89" i="8"/>
  <c r="AI88" i="8"/>
  <c r="AI87" i="8"/>
  <c r="AI86" i="8"/>
  <c r="AI85" i="8"/>
  <c r="AI84" i="8"/>
  <c r="AI83" i="8"/>
  <c r="AI82" i="8"/>
  <c r="AI81" i="8"/>
  <c r="AI80" i="8"/>
  <c r="AI79" i="8"/>
  <c r="AI78" i="8"/>
  <c r="AI77" i="8"/>
  <c r="AI76" i="8"/>
  <c r="AI75" i="8"/>
  <c r="AI74" i="8"/>
  <c r="AI73" i="8"/>
  <c r="AI72" i="8"/>
  <c r="AI71" i="8"/>
  <c r="AI70" i="8"/>
  <c r="AI69" i="8"/>
  <c r="AI68" i="8"/>
  <c r="AI67" i="8"/>
  <c r="AI66" i="8"/>
  <c r="AI65" i="8"/>
  <c r="AI64" i="8"/>
  <c r="AI63" i="8"/>
  <c r="AI62" i="8"/>
  <c r="AI61" i="8"/>
  <c r="AI60" i="8"/>
  <c r="AI59" i="8"/>
  <c r="AI58" i="8"/>
  <c r="AI57" i="8"/>
  <c r="AI56" i="8"/>
  <c r="AI55" i="8"/>
  <c r="AI54" i="8"/>
  <c r="AI53" i="8"/>
  <c r="AI52" i="8"/>
  <c r="AI51" i="8"/>
  <c r="AI50" i="8"/>
  <c r="AI49" i="8"/>
  <c r="AI48" i="8"/>
  <c r="AI47" i="8"/>
  <c r="AI46" i="8"/>
  <c r="AI45" i="8"/>
  <c r="AI44" i="8"/>
  <c r="AI43" i="8"/>
  <c r="AI42" i="8"/>
  <c r="AI41" i="8"/>
  <c r="AI40" i="8"/>
  <c r="AI39" i="8"/>
  <c r="AI38" i="8"/>
  <c r="AI37" i="8"/>
  <c r="AI36" i="8"/>
  <c r="AI35" i="8"/>
  <c r="AI34" i="8"/>
  <c r="AI33" i="8"/>
  <c r="AI32" i="8"/>
  <c r="AI31" i="8"/>
  <c r="AI30" i="8"/>
  <c r="AI29" i="8"/>
  <c r="AI28" i="8"/>
  <c r="AI27" i="8"/>
  <c r="AI26" i="8"/>
  <c r="AI25" i="8"/>
  <c r="AI24" i="8"/>
  <c r="AI23" i="8"/>
  <c r="AI22" i="8"/>
  <c r="AI21" i="8"/>
  <c r="AI20" i="8"/>
  <c r="AI19" i="8"/>
  <c r="AI18" i="8"/>
  <c r="AI17" i="8"/>
  <c r="AI16" i="8"/>
  <c r="AI15" i="8"/>
  <c r="AI14" i="8"/>
  <c r="AI13" i="8"/>
  <c r="AI12" i="8"/>
  <c r="AI11" i="8"/>
  <c r="AI10" i="8"/>
  <c r="AI9" i="8"/>
  <c r="AI8" i="8"/>
  <c r="AI7" i="8"/>
  <c r="AI6" i="8"/>
  <c r="AI5" i="8"/>
  <c r="AI4" i="8"/>
  <c r="AD393" i="8"/>
  <c r="AD392" i="8"/>
  <c r="AD391" i="8"/>
  <c r="AD390" i="8"/>
  <c r="AD389" i="8"/>
  <c r="AD388" i="8"/>
  <c r="AD387" i="8"/>
  <c r="AD386" i="8"/>
  <c r="AD385" i="8"/>
  <c r="AD384" i="8"/>
  <c r="AD383" i="8"/>
  <c r="AD382" i="8"/>
  <c r="AD381" i="8"/>
  <c r="AD380" i="8"/>
  <c r="AD379" i="8"/>
  <c r="AD378" i="8"/>
  <c r="AD377" i="8"/>
  <c r="AD376" i="8"/>
  <c r="AD375" i="8"/>
  <c r="AD374" i="8"/>
  <c r="AD373" i="8"/>
  <c r="AD372" i="8"/>
  <c r="AD371" i="8"/>
  <c r="AD370" i="8"/>
  <c r="AD369" i="8"/>
  <c r="AD368" i="8"/>
  <c r="AD367" i="8"/>
  <c r="AD366" i="8"/>
  <c r="AD365" i="8"/>
  <c r="AD364" i="8"/>
  <c r="AD363" i="8"/>
  <c r="AD362" i="8"/>
  <c r="AD361" i="8"/>
  <c r="AD360" i="8"/>
  <c r="AD359" i="8"/>
  <c r="AD358" i="8"/>
  <c r="AD357" i="8"/>
  <c r="AD356" i="8"/>
  <c r="AD355" i="8"/>
  <c r="AD354" i="8"/>
  <c r="AD353" i="8"/>
  <c r="AD352" i="8"/>
  <c r="AD351" i="8"/>
  <c r="AD350" i="8"/>
  <c r="AD349" i="8"/>
  <c r="AD348" i="8"/>
  <c r="AD347" i="8"/>
  <c r="AD346" i="8"/>
  <c r="AD345" i="8"/>
  <c r="AD344" i="8"/>
  <c r="AD343" i="8"/>
  <c r="AD342" i="8"/>
  <c r="AD341" i="8"/>
  <c r="AD340" i="8"/>
  <c r="AD339" i="8"/>
  <c r="AD338" i="8"/>
  <c r="AD337" i="8"/>
  <c r="AD336" i="8"/>
  <c r="AD335" i="8"/>
  <c r="AD334" i="8"/>
  <c r="AD333" i="8"/>
  <c r="AD332" i="8"/>
  <c r="AD331" i="8"/>
  <c r="AD330" i="8"/>
  <c r="AD329" i="8"/>
  <c r="AD328" i="8"/>
  <c r="AD327" i="8"/>
  <c r="AD326" i="8"/>
  <c r="AD325" i="8"/>
  <c r="AD324" i="8"/>
  <c r="AD323" i="8"/>
  <c r="AD322" i="8"/>
  <c r="AD321" i="8"/>
  <c r="AD320" i="8"/>
  <c r="AD319" i="8"/>
  <c r="AD318" i="8"/>
  <c r="AD317" i="8"/>
  <c r="AD316" i="8"/>
  <c r="AD315" i="8"/>
  <c r="AD314" i="8"/>
  <c r="AD313" i="8"/>
  <c r="AD312" i="8"/>
  <c r="AD311" i="8"/>
  <c r="AD310" i="8"/>
  <c r="AD309" i="8"/>
  <c r="AD308" i="8"/>
  <c r="AD307" i="8"/>
  <c r="AD306" i="8"/>
  <c r="AD305" i="8"/>
  <c r="AD304" i="8"/>
  <c r="AD303" i="8"/>
  <c r="AD302" i="8"/>
  <c r="AD301" i="8"/>
  <c r="AD300" i="8"/>
  <c r="AD299" i="8"/>
  <c r="AD298" i="8"/>
  <c r="AD297" i="8"/>
  <c r="AD296" i="8"/>
  <c r="AD295" i="8"/>
  <c r="AD294" i="8"/>
  <c r="AD293" i="8"/>
  <c r="AD292" i="8"/>
  <c r="AD291" i="8"/>
  <c r="AD290" i="8"/>
  <c r="AD289" i="8"/>
  <c r="AD288" i="8"/>
  <c r="AD287" i="8"/>
  <c r="AD286" i="8"/>
  <c r="AD285" i="8"/>
  <c r="AD284" i="8"/>
  <c r="AD283" i="8"/>
  <c r="AD282" i="8"/>
  <c r="AD281" i="8"/>
  <c r="AD280" i="8"/>
  <c r="AD279" i="8"/>
  <c r="AD278" i="8"/>
  <c r="AD277" i="8"/>
  <c r="AD276" i="8"/>
  <c r="AD275" i="8"/>
  <c r="AD274" i="8"/>
  <c r="AD273" i="8"/>
  <c r="AD272" i="8"/>
  <c r="AD271" i="8"/>
  <c r="AD270" i="8"/>
  <c r="AD269" i="8"/>
  <c r="AD268" i="8"/>
  <c r="AD267" i="8"/>
  <c r="AD266" i="8"/>
  <c r="AD265" i="8"/>
  <c r="AD264" i="8"/>
  <c r="AD263" i="8"/>
  <c r="AD262" i="8"/>
  <c r="AD261" i="8"/>
  <c r="AD260" i="8"/>
  <c r="AD259" i="8"/>
  <c r="AD258" i="8"/>
  <c r="AD257" i="8"/>
  <c r="AD256" i="8"/>
  <c r="AD255" i="8"/>
  <c r="AD254" i="8"/>
  <c r="AD253" i="8"/>
  <c r="AD252" i="8"/>
  <c r="AD251" i="8"/>
  <c r="AD250" i="8"/>
  <c r="AD249" i="8"/>
  <c r="AD248" i="8"/>
  <c r="AD247" i="8"/>
  <c r="AD246" i="8"/>
  <c r="AD245" i="8"/>
  <c r="AD244" i="8"/>
  <c r="AD243" i="8"/>
  <c r="AD242" i="8"/>
  <c r="AD241" i="8"/>
  <c r="AD240" i="8"/>
  <c r="AD239" i="8"/>
  <c r="AD238" i="8"/>
  <c r="AD237" i="8"/>
  <c r="AD236" i="8"/>
  <c r="AD235" i="8"/>
  <c r="AD234" i="8"/>
  <c r="AD233" i="8"/>
  <c r="AD232" i="8"/>
  <c r="AD231" i="8"/>
  <c r="AD230" i="8"/>
  <c r="AD229" i="8"/>
  <c r="AD228" i="8"/>
  <c r="AD227" i="8"/>
  <c r="AD226" i="8"/>
  <c r="AD225" i="8"/>
  <c r="AD224" i="8"/>
  <c r="AD223" i="8"/>
  <c r="AD222" i="8"/>
  <c r="AD221" i="8"/>
  <c r="AD220" i="8"/>
  <c r="AD219" i="8"/>
  <c r="AD218" i="8"/>
  <c r="AD217" i="8"/>
  <c r="AD216" i="8"/>
  <c r="AD215" i="8"/>
  <c r="AD214" i="8"/>
  <c r="AD213" i="8"/>
  <c r="AD212" i="8"/>
  <c r="AD211" i="8"/>
  <c r="AD210" i="8"/>
  <c r="AD209" i="8"/>
  <c r="AD208" i="8"/>
  <c r="AD207" i="8"/>
  <c r="AD206" i="8"/>
  <c r="AD205" i="8"/>
  <c r="AD204" i="8"/>
  <c r="AD203" i="8"/>
  <c r="AD202" i="8"/>
  <c r="AD201" i="8"/>
  <c r="AD200" i="8"/>
  <c r="AD199" i="8"/>
  <c r="AD198" i="8"/>
  <c r="AD197" i="8"/>
  <c r="AD196" i="8"/>
  <c r="AD195" i="8"/>
  <c r="AD194" i="8"/>
  <c r="AD193" i="8"/>
  <c r="AD192" i="8"/>
  <c r="AD191" i="8"/>
  <c r="AD190" i="8"/>
  <c r="AD189" i="8"/>
  <c r="AD188" i="8"/>
  <c r="AD187" i="8"/>
  <c r="AD186" i="8"/>
  <c r="AD185" i="8"/>
  <c r="AD184" i="8"/>
  <c r="AD183" i="8"/>
  <c r="AD182" i="8"/>
  <c r="AD181" i="8"/>
  <c r="AD180" i="8"/>
  <c r="AD179" i="8"/>
  <c r="AD178" i="8"/>
  <c r="AD177" i="8"/>
  <c r="AD176" i="8"/>
  <c r="AD175" i="8"/>
  <c r="AD174" i="8"/>
  <c r="AD173" i="8"/>
  <c r="AD172" i="8"/>
  <c r="AD171" i="8"/>
  <c r="AD170" i="8"/>
  <c r="AD169" i="8"/>
  <c r="AD168" i="8"/>
  <c r="AD167" i="8"/>
  <c r="AD166" i="8"/>
  <c r="AD165" i="8"/>
  <c r="AD164" i="8"/>
  <c r="AD163" i="8"/>
  <c r="AD162" i="8"/>
  <c r="AD161" i="8"/>
  <c r="AD160" i="8"/>
  <c r="AD159" i="8"/>
  <c r="AD158" i="8"/>
  <c r="AD157" i="8"/>
  <c r="AD156" i="8"/>
  <c r="AD155" i="8"/>
  <c r="AD154" i="8"/>
  <c r="AD153" i="8"/>
  <c r="AD152" i="8"/>
  <c r="AD151" i="8"/>
  <c r="AD150" i="8"/>
  <c r="AD149" i="8"/>
  <c r="AD148" i="8"/>
  <c r="AD147" i="8"/>
  <c r="AD146" i="8"/>
  <c r="AD145" i="8"/>
  <c r="AD144" i="8"/>
  <c r="AD143" i="8"/>
  <c r="AD142" i="8"/>
  <c r="AD141" i="8"/>
  <c r="AD140" i="8"/>
  <c r="AD139" i="8"/>
  <c r="AD138" i="8"/>
  <c r="AD137" i="8"/>
  <c r="AD136" i="8"/>
  <c r="AD135" i="8"/>
  <c r="AD134" i="8"/>
  <c r="AD133" i="8"/>
  <c r="AD132" i="8"/>
  <c r="AD131" i="8"/>
  <c r="AD130" i="8"/>
  <c r="AD129" i="8"/>
  <c r="AD128" i="8"/>
  <c r="AD127" i="8"/>
  <c r="AD126" i="8"/>
  <c r="AD125" i="8"/>
  <c r="AD124" i="8"/>
  <c r="AD123" i="8"/>
  <c r="AD122" i="8"/>
  <c r="AD121" i="8"/>
  <c r="AD120" i="8"/>
  <c r="AD119" i="8"/>
  <c r="AD118" i="8"/>
  <c r="AD117" i="8"/>
  <c r="AD116" i="8"/>
  <c r="AD115" i="8"/>
  <c r="AD114" i="8"/>
  <c r="AD113" i="8"/>
  <c r="AD112" i="8"/>
  <c r="AD111" i="8"/>
  <c r="AD110" i="8"/>
  <c r="AD109" i="8"/>
  <c r="AD108" i="8"/>
  <c r="AD107" i="8"/>
  <c r="AD106" i="8"/>
  <c r="AD105" i="8"/>
  <c r="AD104" i="8"/>
  <c r="AD103" i="8"/>
  <c r="AD102" i="8"/>
  <c r="AD101" i="8"/>
  <c r="AD100" i="8"/>
  <c r="AD99" i="8"/>
  <c r="AD98" i="8"/>
  <c r="AD97" i="8"/>
  <c r="AD96" i="8"/>
  <c r="AD95" i="8"/>
  <c r="AD94" i="8"/>
  <c r="AD93" i="8"/>
  <c r="AD92" i="8"/>
  <c r="AD91" i="8"/>
  <c r="AD90" i="8"/>
  <c r="AD89" i="8"/>
  <c r="AD88" i="8"/>
  <c r="AD87" i="8"/>
  <c r="AD86" i="8"/>
  <c r="AD85" i="8"/>
  <c r="AD84" i="8"/>
  <c r="AD83" i="8"/>
  <c r="AD82" i="8"/>
  <c r="AD81" i="8"/>
  <c r="AD80" i="8"/>
  <c r="AD79" i="8"/>
  <c r="AD78" i="8"/>
  <c r="AD77" i="8"/>
  <c r="AD76" i="8"/>
  <c r="AD75" i="8"/>
  <c r="AD74" i="8"/>
  <c r="AD73" i="8"/>
  <c r="AD72" i="8"/>
  <c r="AD71" i="8"/>
  <c r="AD70" i="8"/>
  <c r="AD69" i="8"/>
  <c r="AD68" i="8"/>
  <c r="AD67" i="8"/>
  <c r="AD66" i="8"/>
  <c r="AD65" i="8"/>
  <c r="AD64" i="8"/>
  <c r="AD63" i="8"/>
  <c r="AD62" i="8"/>
  <c r="AD61" i="8"/>
  <c r="AD60" i="8"/>
  <c r="AD59" i="8"/>
  <c r="AD58" i="8"/>
  <c r="AD57" i="8"/>
  <c r="AD56" i="8"/>
  <c r="AD55" i="8"/>
  <c r="AD54" i="8"/>
  <c r="AD53" i="8"/>
  <c r="AD52" i="8"/>
  <c r="AD51" i="8"/>
  <c r="AD50" i="8"/>
  <c r="AD49" i="8"/>
  <c r="AD48" i="8"/>
  <c r="AD47" i="8"/>
  <c r="AD46" i="8"/>
  <c r="AD45" i="8"/>
  <c r="AD44" i="8"/>
  <c r="AD43" i="8"/>
  <c r="AD42" i="8"/>
  <c r="AD41" i="8"/>
  <c r="AD40" i="8"/>
  <c r="AD39" i="8"/>
  <c r="AD38" i="8"/>
  <c r="AD37" i="8"/>
  <c r="AD36" i="8"/>
  <c r="AD35" i="8"/>
  <c r="AD34" i="8"/>
  <c r="AD33" i="8"/>
  <c r="AD32" i="8"/>
  <c r="AD31" i="8"/>
  <c r="AD30" i="8"/>
  <c r="AD29" i="8"/>
  <c r="AD28" i="8"/>
  <c r="AD27" i="8"/>
  <c r="AD26" i="8"/>
  <c r="AD25" i="8"/>
  <c r="AD24" i="8"/>
  <c r="AD23" i="8"/>
  <c r="AD22" i="8"/>
  <c r="AD21" i="8"/>
  <c r="AD20" i="8"/>
  <c r="AD19" i="8"/>
  <c r="AD18" i="8"/>
  <c r="AD17" i="8"/>
  <c r="AD16" i="8"/>
  <c r="AD15" i="8"/>
  <c r="AD14" i="8"/>
  <c r="AD13" i="8"/>
  <c r="AD12" i="8"/>
  <c r="AD11" i="8"/>
  <c r="AD10" i="8"/>
  <c r="AD9" i="8"/>
  <c r="AD8" i="8"/>
  <c r="AD7" i="8"/>
  <c r="AD6" i="8"/>
  <c r="AD5" i="8"/>
  <c r="AD4" i="8"/>
  <c r="Y393" i="8"/>
  <c r="Y392" i="8"/>
  <c r="Y391" i="8"/>
  <c r="Y390" i="8"/>
  <c r="Y389" i="8"/>
  <c r="Y388" i="8"/>
  <c r="Y387" i="8"/>
  <c r="Y386" i="8"/>
  <c r="Y385" i="8"/>
  <c r="Y384" i="8"/>
  <c r="Y383" i="8"/>
  <c r="Y382" i="8"/>
  <c r="Y381" i="8"/>
  <c r="Y380" i="8"/>
  <c r="Y379" i="8"/>
  <c r="Y378" i="8"/>
  <c r="Y377" i="8"/>
  <c r="Y376" i="8"/>
  <c r="Y375" i="8"/>
  <c r="Y374" i="8"/>
  <c r="Y373" i="8"/>
  <c r="Y372" i="8"/>
  <c r="Y371" i="8"/>
  <c r="Y370" i="8"/>
  <c r="Y369" i="8"/>
  <c r="Y368" i="8"/>
  <c r="Y367" i="8"/>
  <c r="Y366" i="8"/>
  <c r="Y365" i="8"/>
  <c r="Y364" i="8"/>
  <c r="Y363" i="8"/>
  <c r="Y362" i="8"/>
  <c r="Y361" i="8"/>
  <c r="Y360" i="8"/>
  <c r="Y359" i="8"/>
  <c r="Y358" i="8"/>
  <c r="Y357" i="8"/>
  <c r="Y356" i="8"/>
  <c r="Y355" i="8"/>
  <c r="Y354" i="8"/>
  <c r="Y353" i="8"/>
  <c r="Y352" i="8"/>
  <c r="Y351" i="8"/>
  <c r="Y350" i="8"/>
  <c r="Y349" i="8"/>
  <c r="Y348" i="8"/>
  <c r="Y347" i="8"/>
  <c r="Y346" i="8"/>
  <c r="Y345" i="8"/>
  <c r="Y344" i="8"/>
  <c r="Y343" i="8"/>
  <c r="Y342" i="8"/>
  <c r="Y341" i="8"/>
  <c r="Y340" i="8"/>
  <c r="Y339" i="8"/>
  <c r="Y338" i="8"/>
  <c r="Y337" i="8"/>
  <c r="Y336" i="8"/>
  <c r="Y335" i="8"/>
  <c r="Y334" i="8"/>
  <c r="Y333" i="8"/>
  <c r="Y332" i="8"/>
  <c r="Y331" i="8"/>
  <c r="Y330" i="8"/>
  <c r="Y329" i="8"/>
  <c r="Y328" i="8"/>
  <c r="Y327" i="8"/>
  <c r="Y326" i="8"/>
  <c r="Y325" i="8"/>
  <c r="Y324" i="8"/>
  <c r="Y323" i="8"/>
  <c r="Y322" i="8"/>
  <c r="Y321" i="8"/>
  <c r="Y320" i="8"/>
  <c r="Y319" i="8"/>
  <c r="Y318" i="8"/>
  <c r="Y317" i="8"/>
  <c r="Y316" i="8"/>
  <c r="Y315" i="8"/>
  <c r="Y314" i="8"/>
  <c r="Y313" i="8"/>
  <c r="Y312" i="8"/>
  <c r="Y311" i="8"/>
  <c r="Y310" i="8"/>
  <c r="Y309" i="8"/>
  <c r="Y308" i="8"/>
  <c r="Y307" i="8"/>
  <c r="Y306" i="8"/>
  <c r="Y305" i="8"/>
  <c r="Y304" i="8"/>
  <c r="Y303" i="8"/>
  <c r="Y302" i="8"/>
  <c r="Y301" i="8"/>
  <c r="Y300" i="8"/>
  <c r="Y299" i="8"/>
  <c r="Y298" i="8"/>
  <c r="Y297" i="8"/>
  <c r="Y296" i="8"/>
  <c r="Y295" i="8"/>
  <c r="Y294" i="8"/>
  <c r="Y293" i="8"/>
  <c r="Y292" i="8"/>
  <c r="Y291" i="8"/>
  <c r="Y290" i="8"/>
  <c r="Y289" i="8"/>
  <c r="Y288" i="8"/>
  <c r="Y287" i="8"/>
  <c r="Y286" i="8"/>
  <c r="Y285" i="8"/>
  <c r="Y284" i="8"/>
  <c r="Y283" i="8"/>
  <c r="Y282" i="8"/>
  <c r="Y281" i="8"/>
  <c r="Y280" i="8"/>
  <c r="Y279" i="8"/>
  <c r="Y278" i="8"/>
  <c r="Y277" i="8"/>
  <c r="Y276" i="8"/>
  <c r="Y275" i="8"/>
  <c r="Y274" i="8"/>
  <c r="Y273" i="8"/>
  <c r="Y272" i="8"/>
  <c r="Y271" i="8"/>
  <c r="Y270" i="8"/>
  <c r="Y269" i="8"/>
  <c r="Y268" i="8"/>
  <c r="Y267" i="8"/>
  <c r="Y266" i="8"/>
  <c r="Y265" i="8"/>
  <c r="Y264" i="8"/>
  <c r="Y263" i="8"/>
  <c r="Y262" i="8"/>
  <c r="Y261" i="8"/>
  <c r="Y260" i="8"/>
  <c r="Y259" i="8"/>
  <c r="Y258" i="8"/>
  <c r="Y257" i="8"/>
  <c r="Y256" i="8"/>
  <c r="Y255" i="8"/>
  <c r="Y254" i="8"/>
  <c r="Y253" i="8"/>
  <c r="Y252" i="8"/>
  <c r="Y251" i="8"/>
  <c r="Y250" i="8"/>
  <c r="Y249" i="8"/>
  <c r="Y248" i="8"/>
  <c r="Y247" i="8"/>
  <c r="Y246" i="8"/>
  <c r="Y245" i="8"/>
  <c r="Y244" i="8"/>
  <c r="Y243" i="8"/>
  <c r="Y242" i="8"/>
  <c r="Y241" i="8"/>
  <c r="Y240" i="8"/>
  <c r="Y239" i="8"/>
  <c r="Y238" i="8"/>
  <c r="Y237" i="8"/>
  <c r="Y236" i="8"/>
  <c r="Y235" i="8"/>
  <c r="Y234" i="8"/>
  <c r="Y233" i="8"/>
  <c r="Y232" i="8"/>
  <c r="Y231" i="8"/>
  <c r="Y230" i="8"/>
  <c r="Y229" i="8"/>
  <c r="Y228" i="8"/>
  <c r="Y227" i="8"/>
  <c r="Y226" i="8"/>
  <c r="Y225" i="8"/>
  <c r="Y224" i="8"/>
  <c r="Y223" i="8"/>
  <c r="Y222" i="8"/>
  <c r="Y221" i="8"/>
  <c r="Y220" i="8"/>
  <c r="Y219" i="8"/>
  <c r="Y218" i="8"/>
  <c r="Y217" i="8"/>
  <c r="Y216" i="8"/>
  <c r="Y215" i="8"/>
  <c r="Y214" i="8"/>
  <c r="Y213" i="8"/>
  <c r="Y212" i="8"/>
  <c r="Y211" i="8"/>
  <c r="Y210" i="8"/>
  <c r="Y209" i="8"/>
  <c r="Y208" i="8"/>
  <c r="Y207" i="8"/>
  <c r="Y206" i="8"/>
  <c r="Y205" i="8"/>
  <c r="Y204" i="8"/>
  <c r="Y203" i="8"/>
  <c r="Y202" i="8"/>
  <c r="Y201" i="8"/>
  <c r="Y200" i="8"/>
  <c r="Y199" i="8"/>
  <c r="Y198" i="8"/>
  <c r="Y197" i="8"/>
  <c r="Y196" i="8"/>
  <c r="Y195" i="8"/>
  <c r="Y194" i="8"/>
  <c r="Y193" i="8"/>
  <c r="Y192" i="8"/>
  <c r="Y191" i="8"/>
  <c r="Y190" i="8"/>
  <c r="Y189" i="8"/>
  <c r="Y188" i="8"/>
  <c r="Y187" i="8"/>
  <c r="Y186" i="8"/>
  <c r="Y185" i="8"/>
  <c r="Y184" i="8"/>
  <c r="Y183" i="8"/>
  <c r="Y182" i="8"/>
  <c r="Y181" i="8"/>
  <c r="Y180" i="8"/>
  <c r="Y179" i="8"/>
  <c r="Y178" i="8"/>
  <c r="Y177" i="8"/>
  <c r="Y176" i="8"/>
  <c r="Y175" i="8"/>
  <c r="Y174" i="8"/>
  <c r="Y173" i="8"/>
  <c r="Y172" i="8"/>
  <c r="Y171" i="8"/>
  <c r="Y170" i="8"/>
  <c r="Y169" i="8"/>
  <c r="Y168" i="8"/>
  <c r="Y167" i="8"/>
  <c r="Y166" i="8"/>
  <c r="Y165" i="8"/>
  <c r="Y164" i="8"/>
  <c r="Y163" i="8"/>
  <c r="Y162" i="8"/>
  <c r="Y161" i="8"/>
  <c r="Y160" i="8"/>
  <c r="Y159" i="8"/>
  <c r="Y158" i="8"/>
  <c r="Y157" i="8"/>
  <c r="Y156" i="8"/>
  <c r="Y155" i="8"/>
  <c r="Y154" i="8"/>
  <c r="Y153" i="8"/>
  <c r="Y152" i="8"/>
  <c r="Y151" i="8"/>
  <c r="Y150" i="8"/>
  <c r="Y149" i="8"/>
  <c r="Y148" i="8"/>
  <c r="Y147" i="8"/>
  <c r="Y146" i="8"/>
  <c r="Y145" i="8"/>
  <c r="Y144" i="8"/>
  <c r="Y143" i="8"/>
  <c r="Y142" i="8"/>
  <c r="Y141" i="8"/>
  <c r="Y140" i="8"/>
  <c r="Y139" i="8"/>
  <c r="Y138" i="8"/>
  <c r="Y137" i="8"/>
  <c r="Y136" i="8"/>
  <c r="Y135" i="8"/>
  <c r="Y134" i="8"/>
  <c r="Y133" i="8"/>
  <c r="Y132" i="8"/>
  <c r="Y131" i="8"/>
  <c r="Y130" i="8"/>
  <c r="Y129" i="8"/>
  <c r="Y128" i="8"/>
  <c r="Y127" i="8"/>
  <c r="Y126" i="8"/>
  <c r="Y125" i="8"/>
  <c r="Y124" i="8"/>
  <c r="Y123" i="8"/>
  <c r="Y122" i="8"/>
  <c r="Y121" i="8"/>
  <c r="Y120" i="8"/>
  <c r="Y119" i="8"/>
  <c r="Y118" i="8"/>
  <c r="Y117" i="8"/>
  <c r="Y116" i="8"/>
  <c r="Y115" i="8"/>
  <c r="Y114" i="8"/>
  <c r="Y113" i="8"/>
  <c r="Y112" i="8"/>
  <c r="Y111" i="8"/>
  <c r="Y110" i="8"/>
  <c r="Y109" i="8"/>
  <c r="Y108" i="8"/>
  <c r="Y107" i="8"/>
  <c r="Y106" i="8"/>
  <c r="Y105" i="8"/>
  <c r="Y104" i="8"/>
  <c r="Y103" i="8"/>
  <c r="Y102" i="8"/>
  <c r="Y101" i="8"/>
  <c r="Y100" i="8"/>
  <c r="Y99" i="8"/>
  <c r="Y98" i="8"/>
  <c r="Y97" i="8"/>
  <c r="Y96" i="8"/>
  <c r="Y95" i="8"/>
  <c r="Y94" i="8"/>
  <c r="Y93" i="8"/>
  <c r="Y92" i="8"/>
  <c r="Y91" i="8"/>
  <c r="Y90" i="8"/>
  <c r="Y89" i="8"/>
  <c r="Y88" i="8"/>
  <c r="Y87" i="8"/>
  <c r="Y86" i="8"/>
  <c r="Y85" i="8"/>
  <c r="Y84" i="8"/>
  <c r="Y83" i="8"/>
  <c r="Y82" i="8"/>
  <c r="Y81" i="8"/>
  <c r="Y80" i="8"/>
  <c r="Y79" i="8"/>
  <c r="Y78" i="8"/>
  <c r="Y77" i="8"/>
  <c r="Y76" i="8"/>
  <c r="Y75" i="8"/>
  <c r="Y74" i="8"/>
  <c r="Y73" i="8"/>
  <c r="Y72" i="8"/>
  <c r="Y71" i="8"/>
  <c r="Y70" i="8"/>
  <c r="Y69" i="8"/>
  <c r="Y68" i="8"/>
  <c r="Y67" i="8"/>
  <c r="Y66" i="8"/>
  <c r="Y65" i="8"/>
  <c r="Y64" i="8"/>
  <c r="Y63" i="8"/>
  <c r="Y62" i="8"/>
  <c r="Y61" i="8"/>
  <c r="Y60" i="8"/>
  <c r="Y59" i="8"/>
  <c r="Y58" i="8"/>
  <c r="Y57" i="8"/>
  <c r="Y56" i="8"/>
  <c r="Y55" i="8"/>
  <c r="Y54" i="8"/>
  <c r="Y53" i="8"/>
  <c r="Y52" i="8"/>
  <c r="Y51" i="8"/>
  <c r="Y50" i="8"/>
  <c r="Y49" i="8"/>
  <c r="Y48" i="8"/>
  <c r="Y47" i="8"/>
  <c r="Y46" i="8"/>
  <c r="Y45" i="8"/>
  <c r="Y44" i="8"/>
  <c r="Y43" i="8"/>
  <c r="Y42" i="8"/>
  <c r="Y41" i="8"/>
  <c r="Y40" i="8"/>
  <c r="Y39" i="8"/>
  <c r="Y38" i="8"/>
  <c r="Y37" i="8"/>
  <c r="Y36" i="8"/>
  <c r="Y35" i="8"/>
  <c r="Y34" i="8"/>
  <c r="Y33" i="8"/>
  <c r="Y32" i="8"/>
  <c r="Y31" i="8"/>
  <c r="Y30" i="8"/>
  <c r="Y29" i="8"/>
  <c r="Y28" i="8"/>
  <c r="Y27" i="8"/>
  <c r="Y26" i="8"/>
  <c r="Y25" i="8"/>
  <c r="Y24" i="8"/>
  <c r="Y23" i="8"/>
  <c r="Y22" i="8"/>
  <c r="Y21" i="8"/>
  <c r="Y20" i="8"/>
  <c r="Y19" i="8"/>
  <c r="Y18" i="8"/>
  <c r="Y17" i="8"/>
  <c r="Y16" i="8"/>
  <c r="Y15" i="8"/>
  <c r="Y14" i="8"/>
  <c r="Y13" i="8"/>
  <c r="Y12" i="8"/>
  <c r="Y11" i="8"/>
  <c r="Y10" i="8"/>
  <c r="Y9" i="8"/>
  <c r="Y8" i="8"/>
  <c r="Y7" i="8"/>
  <c r="Y6" i="8"/>
  <c r="Y5" i="8"/>
  <c r="Y4" i="8"/>
  <c r="T393" i="8"/>
  <c r="T392" i="8"/>
  <c r="T391" i="8"/>
  <c r="T390" i="8"/>
  <c r="T389" i="8"/>
  <c r="T388" i="8"/>
  <c r="T387" i="8"/>
  <c r="T386" i="8"/>
  <c r="T385" i="8"/>
  <c r="T384" i="8"/>
  <c r="T383" i="8"/>
  <c r="T382" i="8"/>
  <c r="T381" i="8"/>
  <c r="T380" i="8"/>
  <c r="T379" i="8"/>
  <c r="T378" i="8"/>
  <c r="T377" i="8"/>
  <c r="T376" i="8"/>
  <c r="T375" i="8"/>
  <c r="T374" i="8"/>
  <c r="T373" i="8"/>
  <c r="T372" i="8"/>
  <c r="T371" i="8"/>
  <c r="T370" i="8"/>
  <c r="T369" i="8"/>
  <c r="T368" i="8"/>
  <c r="T367" i="8"/>
  <c r="T366" i="8"/>
  <c r="T365" i="8"/>
  <c r="T364" i="8"/>
  <c r="T363" i="8"/>
  <c r="T362" i="8"/>
  <c r="T361" i="8"/>
  <c r="T360" i="8"/>
  <c r="T359" i="8"/>
  <c r="T358" i="8"/>
  <c r="T357" i="8"/>
  <c r="T356" i="8"/>
  <c r="T355" i="8"/>
  <c r="T354" i="8"/>
  <c r="T353" i="8"/>
  <c r="T352" i="8"/>
  <c r="T351" i="8"/>
  <c r="T350" i="8"/>
  <c r="T349" i="8"/>
  <c r="T348" i="8"/>
  <c r="T347" i="8"/>
  <c r="T346" i="8"/>
  <c r="T345" i="8"/>
  <c r="T344" i="8"/>
  <c r="T343" i="8"/>
  <c r="T342" i="8"/>
  <c r="T341" i="8"/>
  <c r="T340" i="8"/>
  <c r="T339" i="8"/>
  <c r="T338" i="8"/>
  <c r="T337" i="8"/>
  <c r="T336" i="8"/>
  <c r="T335" i="8"/>
  <c r="T334" i="8"/>
  <c r="T333" i="8"/>
  <c r="T332" i="8"/>
  <c r="T331" i="8"/>
  <c r="T330" i="8"/>
  <c r="T329" i="8"/>
  <c r="T328" i="8"/>
  <c r="T327" i="8"/>
  <c r="T326" i="8"/>
  <c r="T325" i="8"/>
  <c r="T324" i="8"/>
  <c r="T323" i="8"/>
  <c r="T322" i="8"/>
  <c r="T321" i="8"/>
  <c r="T320" i="8"/>
  <c r="T319" i="8"/>
  <c r="T318" i="8"/>
  <c r="T317" i="8"/>
  <c r="T316" i="8"/>
  <c r="T315" i="8"/>
  <c r="T314" i="8"/>
  <c r="T313" i="8"/>
  <c r="T312" i="8"/>
  <c r="T311" i="8"/>
  <c r="T310" i="8"/>
  <c r="T309" i="8"/>
  <c r="T308" i="8"/>
  <c r="T307" i="8"/>
  <c r="T306" i="8"/>
  <c r="T305" i="8"/>
  <c r="T304" i="8"/>
  <c r="T303" i="8"/>
  <c r="T302" i="8"/>
  <c r="T301" i="8"/>
  <c r="T300" i="8"/>
  <c r="T299" i="8"/>
  <c r="T298" i="8"/>
  <c r="T297" i="8"/>
  <c r="T296" i="8"/>
  <c r="T295" i="8"/>
  <c r="T294" i="8"/>
  <c r="T293" i="8"/>
  <c r="T292" i="8"/>
  <c r="T291" i="8"/>
  <c r="T290" i="8"/>
  <c r="T289" i="8"/>
  <c r="T288" i="8"/>
  <c r="T287" i="8"/>
  <c r="T286" i="8"/>
  <c r="T285" i="8"/>
  <c r="T284" i="8"/>
  <c r="T283" i="8"/>
  <c r="T282" i="8"/>
  <c r="T281" i="8"/>
  <c r="T280" i="8"/>
  <c r="T279" i="8"/>
  <c r="T278" i="8"/>
  <c r="T277" i="8"/>
  <c r="T276" i="8"/>
  <c r="T275" i="8"/>
  <c r="T274" i="8"/>
  <c r="T273" i="8"/>
  <c r="T272" i="8"/>
  <c r="T271" i="8"/>
  <c r="T270" i="8"/>
  <c r="T269" i="8"/>
  <c r="T268" i="8"/>
  <c r="T267" i="8"/>
  <c r="T266" i="8"/>
  <c r="T265" i="8"/>
  <c r="T264" i="8"/>
  <c r="T263" i="8"/>
  <c r="T262" i="8"/>
  <c r="T261" i="8"/>
  <c r="T260" i="8"/>
  <c r="T259" i="8"/>
  <c r="T258" i="8"/>
  <c r="T257" i="8"/>
  <c r="T256" i="8"/>
  <c r="T255" i="8"/>
  <c r="T254" i="8"/>
  <c r="T253" i="8"/>
  <c r="T252" i="8"/>
  <c r="T251" i="8"/>
  <c r="T250" i="8"/>
  <c r="T249" i="8"/>
  <c r="T248" i="8"/>
  <c r="T247" i="8"/>
  <c r="T246" i="8"/>
  <c r="T245" i="8"/>
  <c r="T244" i="8"/>
  <c r="T243" i="8"/>
  <c r="T242" i="8"/>
  <c r="T241" i="8"/>
  <c r="T240" i="8"/>
  <c r="T239" i="8"/>
  <c r="T238" i="8"/>
  <c r="T237" i="8"/>
  <c r="T236" i="8"/>
  <c r="T235" i="8"/>
  <c r="T234" i="8"/>
  <c r="T233" i="8"/>
  <c r="T232" i="8"/>
  <c r="T231" i="8"/>
  <c r="T230" i="8"/>
  <c r="T229" i="8"/>
  <c r="T228" i="8"/>
  <c r="T227" i="8"/>
  <c r="T226" i="8"/>
  <c r="T225" i="8"/>
  <c r="T224" i="8"/>
  <c r="T223" i="8"/>
  <c r="T222" i="8"/>
  <c r="T221" i="8"/>
  <c r="T220" i="8"/>
  <c r="T219" i="8"/>
  <c r="T218" i="8"/>
  <c r="T217" i="8"/>
  <c r="T216" i="8"/>
  <c r="T215" i="8"/>
  <c r="T214" i="8"/>
  <c r="T213" i="8"/>
  <c r="T212" i="8"/>
  <c r="T211" i="8"/>
  <c r="T210" i="8"/>
  <c r="T209" i="8"/>
  <c r="T208" i="8"/>
  <c r="T207" i="8"/>
  <c r="T206" i="8"/>
  <c r="T205" i="8"/>
  <c r="T204" i="8"/>
  <c r="T203" i="8"/>
  <c r="T202" i="8"/>
  <c r="T201" i="8"/>
  <c r="T200" i="8"/>
  <c r="T199" i="8"/>
  <c r="T198" i="8"/>
  <c r="T197" i="8"/>
  <c r="T196" i="8"/>
  <c r="T195" i="8"/>
  <c r="T194" i="8"/>
  <c r="T193" i="8"/>
  <c r="T192" i="8"/>
  <c r="T191" i="8"/>
  <c r="T190" i="8"/>
  <c r="T189" i="8"/>
  <c r="T188" i="8"/>
  <c r="T187" i="8"/>
  <c r="T186" i="8"/>
  <c r="T185" i="8"/>
  <c r="T184" i="8"/>
  <c r="T183" i="8"/>
  <c r="T182" i="8"/>
  <c r="T181" i="8"/>
  <c r="T180" i="8"/>
  <c r="T179" i="8"/>
  <c r="T178" i="8"/>
  <c r="T177" i="8"/>
  <c r="T176" i="8"/>
  <c r="T175" i="8"/>
  <c r="T174" i="8"/>
  <c r="T173" i="8"/>
  <c r="T172" i="8"/>
  <c r="T171" i="8"/>
  <c r="T170" i="8"/>
  <c r="T169" i="8"/>
  <c r="T168" i="8"/>
  <c r="T167" i="8"/>
  <c r="T166" i="8"/>
  <c r="T165" i="8"/>
  <c r="T164" i="8"/>
  <c r="T163" i="8"/>
  <c r="T162" i="8"/>
  <c r="T161" i="8"/>
  <c r="T160" i="8"/>
  <c r="T159" i="8"/>
  <c r="T158" i="8"/>
  <c r="T157" i="8"/>
  <c r="T156" i="8"/>
  <c r="T155" i="8"/>
  <c r="T154" i="8"/>
  <c r="T153" i="8"/>
  <c r="T152" i="8"/>
  <c r="T151" i="8"/>
  <c r="T150" i="8"/>
  <c r="T149" i="8"/>
  <c r="T148" i="8"/>
  <c r="T147" i="8"/>
  <c r="T146" i="8"/>
  <c r="T145" i="8"/>
  <c r="T144" i="8"/>
  <c r="T143" i="8"/>
  <c r="T142" i="8"/>
  <c r="T141" i="8"/>
  <c r="T140" i="8"/>
  <c r="T139" i="8"/>
  <c r="T138" i="8"/>
  <c r="T137" i="8"/>
  <c r="T136" i="8"/>
  <c r="T135" i="8"/>
  <c r="T134" i="8"/>
  <c r="T133" i="8"/>
  <c r="T132" i="8"/>
  <c r="T131" i="8"/>
  <c r="T130" i="8"/>
  <c r="T129" i="8"/>
  <c r="T128" i="8"/>
  <c r="T127" i="8"/>
  <c r="T126" i="8"/>
  <c r="T125" i="8"/>
  <c r="T124" i="8"/>
  <c r="T123" i="8"/>
  <c r="T122" i="8"/>
  <c r="T121" i="8"/>
  <c r="T120" i="8"/>
  <c r="T119" i="8"/>
  <c r="T118" i="8"/>
  <c r="T117" i="8"/>
  <c r="T116" i="8"/>
  <c r="T115" i="8"/>
  <c r="T114" i="8"/>
  <c r="T113" i="8"/>
  <c r="T112" i="8"/>
  <c r="T111" i="8"/>
  <c r="T110" i="8"/>
  <c r="T109" i="8"/>
  <c r="T108" i="8"/>
  <c r="T107" i="8"/>
  <c r="T106" i="8"/>
  <c r="T105" i="8"/>
  <c r="T104" i="8"/>
  <c r="T103" i="8"/>
  <c r="T102" i="8"/>
  <c r="T101" i="8"/>
  <c r="T100" i="8"/>
  <c r="T99" i="8"/>
  <c r="T98" i="8"/>
  <c r="T97" i="8"/>
  <c r="T96" i="8"/>
  <c r="T95" i="8"/>
  <c r="T94" i="8"/>
  <c r="T93" i="8"/>
  <c r="T92" i="8"/>
  <c r="T91" i="8"/>
  <c r="T90" i="8"/>
  <c r="T89" i="8"/>
  <c r="T88" i="8"/>
  <c r="T87" i="8"/>
  <c r="T86" i="8"/>
  <c r="T85" i="8"/>
  <c r="T84" i="8"/>
  <c r="T83" i="8"/>
  <c r="T82" i="8"/>
  <c r="T81" i="8"/>
  <c r="T80" i="8"/>
  <c r="T79" i="8"/>
  <c r="T78" i="8"/>
  <c r="T77" i="8"/>
  <c r="T76" i="8"/>
  <c r="T75" i="8"/>
  <c r="T74" i="8"/>
  <c r="T73" i="8"/>
  <c r="T72" i="8"/>
  <c r="T71" i="8"/>
  <c r="T70" i="8"/>
  <c r="T69" i="8"/>
  <c r="T68" i="8"/>
  <c r="T67" i="8"/>
  <c r="T66" i="8"/>
  <c r="T65" i="8"/>
  <c r="T64" i="8"/>
  <c r="T63" i="8"/>
  <c r="T62" i="8"/>
  <c r="T61" i="8"/>
  <c r="T60" i="8"/>
  <c r="T59" i="8"/>
  <c r="T58" i="8"/>
  <c r="T57" i="8"/>
  <c r="T56" i="8"/>
  <c r="T55" i="8"/>
  <c r="T54" i="8"/>
  <c r="T53" i="8"/>
  <c r="T52" i="8"/>
  <c r="T51" i="8"/>
  <c r="T50" i="8"/>
  <c r="T49" i="8"/>
  <c r="T48" i="8"/>
  <c r="T47" i="8"/>
  <c r="T46" i="8"/>
  <c r="T45" i="8"/>
  <c r="T44" i="8"/>
  <c r="T43" i="8"/>
  <c r="T42" i="8"/>
  <c r="T41" i="8"/>
  <c r="T40" i="8"/>
  <c r="T39" i="8"/>
  <c r="T38" i="8"/>
  <c r="T37" i="8"/>
  <c r="T36" i="8"/>
  <c r="T35" i="8"/>
  <c r="T34" i="8"/>
  <c r="T33" i="8"/>
  <c r="T32" i="8"/>
  <c r="T31" i="8"/>
  <c r="T30" i="8"/>
  <c r="T29" i="8"/>
  <c r="T28" i="8"/>
  <c r="T27" i="8"/>
  <c r="T26" i="8"/>
  <c r="T25" i="8"/>
  <c r="T24" i="8"/>
  <c r="T23" i="8"/>
  <c r="T22" i="8"/>
  <c r="T21" i="8"/>
  <c r="T20" i="8"/>
  <c r="T19" i="8"/>
  <c r="T18" i="8"/>
  <c r="T17" i="8"/>
  <c r="T16" i="8"/>
  <c r="T15" i="8"/>
  <c r="T14" i="8"/>
  <c r="T13" i="8"/>
  <c r="T12" i="8"/>
  <c r="T11" i="8"/>
  <c r="T10" i="8"/>
  <c r="T9" i="8"/>
  <c r="T8" i="8"/>
  <c r="T7" i="8"/>
  <c r="T6" i="8"/>
  <c r="T5" i="8"/>
  <c r="T4" i="8"/>
  <c r="O393" i="8"/>
  <c r="O392" i="8"/>
  <c r="O391" i="8"/>
  <c r="O390" i="8"/>
  <c r="O389" i="8"/>
  <c r="O388" i="8"/>
  <c r="O387" i="8"/>
  <c r="O386" i="8"/>
  <c r="O385" i="8"/>
  <c r="O384" i="8"/>
  <c r="O383" i="8"/>
  <c r="O382" i="8"/>
  <c r="O381" i="8"/>
  <c r="O380" i="8"/>
  <c r="O379" i="8"/>
  <c r="O378" i="8"/>
  <c r="O377" i="8"/>
  <c r="O376" i="8"/>
  <c r="O375" i="8"/>
  <c r="O374" i="8"/>
  <c r="O373" i="8"/>
  <c r="O372" i="8"/>
  <c r="O371" i="8"/>
  <c r="O370" i="8"/>
  <c r="O369" i="8"/>
  <c r="O368" i="8"/>
  <c r="O367" i="8"/>
  <c r="O366" i="8"/>
  <c r="O365" i="8"/>
  <c r="O364" i="8"/>
  <c r="O363" i="8"/>
  <c r="O362" i="8"/>
  <c r="O361" i="8"/>
  <c r="O360" i="8"/>
  <c r="O359" i="8"/>
  <c r="O358" i="8"/>
  <c r="O357" i="8"/>
  <c r="O356" i="8"/>
  <c r="O355" i="8"/>
  <c r="O354" i="8"/>
  <c r="O353" i="8"/>
  <c r="O352" i="8"/>
  <c r="O351" i="8"/>
  <c r="O350" i="8"/>
  <c r="O349" i="8"/>
  <c r="O348" i="8"/>
  <c r="O347" i="8"/>
  <c r="O346" i="8"/>
  <c r="O345" i="8"/>
  <c r="O344" i="8"/>
  <c r="O343" i="8"/>
  <c r="O342" i="8"/>
  <c r="O341" i="8"/>
  <c r="O340" i="8"/>
  <c r="O339" i="8"/>
  <c r="O338" i="8"/>
  <c r="O337" i="8"/>
  <c r="O336" i="8"/>
  <c r="O335" i="8"/>
  <c r="O334" i="8"/>
  <c r="O333" i="8"/>
  <c r="O332" i="8"/>
  <c r="O331" i="8"/>
  <c r="O330" i="8"/>
  <c r="O329" i="8"/>
  <c r="O328" i="8"/>
  <c r="O327" i="8"/>
  <c r="O326" i="8"/>
  <c r="O325" i="8"/>
  <c r="O324" i="8"/>
  <c r="O323" i="8"/>
  <c r="O322" i="8"/>
  <c r="O321" i="8"/>
  <c r="O320" i="8"/>
  <c r="O319" i="8"/>
  <c r="O318" i="8"/>
  <c r="O317" i="8"/>
  <c r="O316" i="8"/>
  <c r="O315" i="8"/>
  <c r="O314" i="8"/>
  <c r="O313" i="8"/>
  <c r="O312" i="8"/>
  <c r="O311" i="8"/>
  <c r="O310" i="8"/>
  <c r="O309" i="8"/>
  <c r="O308" i="8"/>
  <c r="O307" i="8"/>
  <c r="O306" i="8"/>
  <c r="O305" i="8"/>
  <c r="O304" i="8"/>
  <c r="O303" i="8"/>
  <c r="O302" i="8"/>
  <c r="O301" i="8"/>
  <c r="O300" i="8"/>
  <c r="O299" i="8"/>
  <c r="O298" i="8"/>
  <c r="O297" i="8"/>
  <c r="O296" i="8"/>
  <c r="O295" i="8"/>
  <c r="O294" i="8"/>
  <c r="O293" i="8"/>
  <c r="O292" i="8"/>
  <c r="O291" i="8"/>
  <c r="O290" i="8"/>
  <c r="O289" i="8"/>
  <c r="O288" i="8"/>
  <c r="O287" i="8"/>
  <c r="O286" i="8"/>
  <c r="O285" i="8"/>
  <c r="O284" i="8"/>
  <c r="O283" i="8"/>
  <c r="O282" i="8"/>
  <c r="O281" i="8"/>
  <c r="O280" i="8"/>
  <c r="O279" i="8"/>
  <c r="O278" i="8"/>
  <c r="O277" i="8"/>
  <c r="O276" i="8"/>
  <c r="O275" i="8"/>
  <c r="O274" i="8"/>
  <c r="O273" i="8"/>
  <c r="O272" i="8"/>
  <c r="O271" i="8"/>
  <c r="O270" i="8"/>
  <c r="O269" i="8"/>
  <c r="O268" i="8"/>
  <c r="O267" i="8"/>
  <c r="O266" i="8"/>
  <c r="O265" i="8"/>
  <c r="O264" i="8"/>
  <c r="O263" i="8"/>
  <c r="O262" i="8"/>
  <c r="O261" i="8"/>
  <c r="O260" i="8"/>
  <c r="O259" i="8"/>
  <c r="O258" i="8"/>
  <c r="O257" i="8"/>
  <c r="O256" i="8"/>
  <c r="O255" i="8"/>
  <c r="O254" i="8"/>
  <c r="O253" i="8"/>
  <c r="O252" i="8"/>
  <c r="O251" i="8"/>
  <c r="O250" i="8"/>
  <c r="O249" i="8"/>
  <c r="O248" i="8"/>
  <c r="O247" i="8"/>
  <c r="O246" i="8"/>
  <c r="O245" i="8"/>
  <c r="O244" i="8"/>
  <c r="O243" i="8"/>
  <c r="O242" i="8"/>
  <c r="O241" i="8"/>
  <c r="O240" i="8"/>
  <c r="O239" i="8"/>
  <c r="O238" i="8"/>
  <c r="O237" i="8"/>
  <c r="O236" i="8"/>
  <c r="O235" i="8"/>
  <c r="O234" i="8"/>
  <c r="O233" i="8"/>
  <c r="O232" i="8"/>
  <c r="O231" i="8"/>
  <c r="O230" i="8"/>
  <c r="O229" i="8"/>
  <c r="O228" i="8"/>
  <c r="O227" i="8"/>
  <c r="O226" i="8"/>
  <c r="O225" i="8"/>
  <c r="O224" i="8"/>
  <c r="O223" i="8"/>
  <c r="O222" i="8"/>
  <c r="O221" i="8"/>
  <c r="O220" i="8"/>
  <c r="O219" i="8"/>
  <c r="O218" i="8"/>
  <c r="O217" i="8"/>
  <c r="O216" i="8"/>
  <c r="O215" i="8"/>
  <c r="O214" i="8"/>
  <c r="O213" i="8"/>
  <c r="O212" i="8"/>
  <c r="O211" i="8"/>
  <c r="O210" i="8"/>
  <c r="O209" i="8"/>
  <c r="O208" i="8"/>
  <c r="O207" i="8"/>
  <c r="O206" i="8"/>
  <c r="O205" i="8"/>
  <c r="O204" i="8"/>
  <c r="O203" i="8"/>
  <c r="O202" i="8"/>
  <c r="O201" i="8"/>
  <c r="O200" i="8"/>
  <c r="O199" i="8"/>
  <c r="O198" i="8"/>
  <c r="O197" i="8"/>
  <c r="O196" i="8"/>
  <c r="O195" i="8"/>
  <c r="O194" i="8"/>
  <c r="O193" i="8"/>
  <c r="O192" i="8"/>
  <c r="O191" i="8"/>
  <c r="O190" i="8"/>
  <c r="O189" i="8"/>
  <c r="O188" i="8"/>
  <c r="O187" i="8"/>
  <c r="O186" i="8"/>
  <c r="O185" i="8"/>
  <c r="O184" i="8"/>
  <c r="O183" i="8"/>
  <c r="O182" i="8"/>
  <c r="O181" i="8"/>
  <c r="O180" i="8"/>
  <c r="O179" i="8"/>
  <c r="O178" i="8"/>
  <c r="O177" i="8"/>
  <c r="O176" i="8"/>
  <c r="O175" i="8"/>
  <c r="O174" i="8"/>
  <c r="O173" i="8"/>
  <c r="O172" i="8"/>
  <c r="O171" i="8"/>
  <c r="O170" i="8"/>
  <c r="O169" i="8"/>
  <c r="O168" i="8"/>
  <c r="O167" i="8"/>
  <c r="O166" i="8"/>
  <c r="O165" i="8"/>
  <c r="O164" i="8"/>
  <c r="O163" i="8"/>
  <c r="O162" i="8"/>
  <c r="O161" i="8"/>
  <c r="O160" i="8"/>
  <c r="O159" i="8"/>
  <c r="O158" i="8"/>
  <c r="O157" i="8"/>
  <c r="O156" i="8"/>
  <c r="O155" i="8"/>
  <c r="O154" i="8"/>
  <c r="O153" i="8"/>
  <c r="O152" i="8"/>
  <c r="O151" i="8"/>
  <c r="O150" i="8"/>
  <c r="O149" i="8"/>
  <c r="O148" i="8"/>
  <c r="O147" i="8"/>
  <c r="O146" i="8"/>
  <c r="O145" i="8"/>
  <c r="O144" i="8"/>
  <c r="O143" i="8"/>
  <c r="O142" i="8"/>
  <c r="O141" i="8"/>
  <c r="O140" i="8"/>
  <c r="O139" i="8"/>
  <c r="O138" i="8"/>
  <c r="O137" i="8"/>
  <c r="O136" i="8"/>
  <c r="O135" i="8"/>
  <c r="O134" i="8"/>
  <c r="O133" i="8"/>
  <c r="O132" i="8"/>
  <c r="O131" i="8"/>
  <c r="O130" i="8"/>
  <c r="O129" i="8"/>
  <c r="O128" i="8"/>
  <c r="O127" i="8"/>
  <c r="O126" i="8"/>
  <c r="O125" i="8"/>
  <c r="O124" i="8"/>
  <c r="O123" i="8"/>
  <c r="O122" i="8"/>
  <c r="O121" i="8"/>
  <c r="O120" i="8"/>
  <c r="O119" i="8"/>
  <c r="O118" i="8"/>
  <c r="O117" i="8"/>
  <c r="O116" i="8"/>
  <c r="O115" i="8"/>
  <c r="O114" i="8"/>
  <c r="O113" i="8"/>
  <c r="O112" i="8"/>
  <c r="O111" i="8"/>
  <c r="O110" i="8"/>
  <c r="O109" i="8"/>
  <c r="O108" i="8"/>
  <c r="O107" i="8"/>
  <c r="O106" i="8"/>
  <c r="O105" i="8"/>
  <c r="O104" i="8"/>
  <c r="O103" i="8"/>
  <c r="O102" i="8"/>
  <c r="O101" i="8"/>
  <c r="O100" i="8"/>
  <c r="O99" i="8"/>
  <c r="O98" i="8"/>
  <c r="O97" i="8"/>
  <c r="O96" i="8"/>
  <c r="O95" i="8"/>
  <c r="O94" i="8"/>
  <c r="O93" i="8"/>
  <c r="O92" i="8"/>
  <c r="O91" i="8"/>
  <c r="O90" i="8"/>
  <c r="O89" i="8"/>
  <c r="O88" i="8"/>
  <c r="O87" i="8"/>
  <c r="O86" i="8"/>
  <c r="O85" i="8"/>
  <c r="O84" i="8"/>
  <c r="O83" i="8"/>
  <c r="O82" i="8"/>
  <c r="O81" i="8"/>
  <c r="O80" i="8"/>
  <c r="O79" i="8"/>
  <c r="O78" i="8"/>
  <c r="O77" i="8"/>
  <c r="O76" i="8"/>
  <c r="O75" i="8"/>
  <c r="O74" i="8"/>
  <c r="O73" i="8"/>
  <c r="O72" i="8"/>
  <c r="O71" i="8"/>
  <c r="O70" i="8"/>
  <c r="O69" i="8"/>
  <c r="O68" i="8"/>
  <c r="O67" i="8"/>
  <c r="O66" i="8"/>
  <c r="O65" i="8"/>
  <c r="O64" i="8"/>
  <c r="O63" i="8"/>
  <c r="O62" i="8"/>
  <c r="O61" i="8"/>
  <c r="O60" i="8"/>
  <c r="O59" i="8"/>
  <c r="O58" i="8"/>
  <c r="O57" i="8"/>
  <c r="O56" i="8"/>
  <c r="O55" i="8"/>
  <c r="O54" i="8"/>
  <c r="O53" i="8"/>
  <c r="O52" i="8"/>
  <c r="O51" i="8"/>
  <c r="O50" i="8"/>
  <c r="O49" i="8"/>
  <c r="O48" i="8"/>
  <c r="O47" i="8"/>
  <c r="O46" i="8"/>
  <c r="O45" i="8"/>
  <c r="O44" i="8"/>
  <c r="O43" i="8"/>
  <c r="O42" i="8"/>
  <c r="O41" i="8"/>
  <c r="O40" i="8"/>
  <c r="O39" i="8"/>
  <c r="O38" i="8"/>
  <c r="O37" i="8"/>
  <c r="O36" i="8"/>
  <c r="O35" i="8"/>
  <c r="O34" i="8"/>
  <c r="O33" i="8"/>
  <c r="O32" i="8"/>
  <c r="O31" i="8"/>
  <c r="O30" i="8"/>
  <c r="O29" i="8"/>
  <c r="O28" i="8"/>
  <c r="O27" i="8"/>
  <c r="O26" i="8"/>
  <c r="O25" i="8"/>
  <c r="O24" i="8"/>
  <c r="O23" i="8"/>
  <c r="O22" i="8"/>
  <c r="O21" i="8"/>
  <c r="O20" i="8"/>
  <c r="O19" i="8"/>
  <c r="O18" i="8"/>
  <c r="O17" i="8"/>
  <c r="O16" i="8"/>
  <c r="O15" i="8"/>
  <c r="O14" i="8"/>
  <c r="O13" i="8"/>
  <c r="O12" i="8"/>
  <c r="O11" i="8"/>
  <c r="O10" i="8"/>
  <c r="O9" i="8"/>
  <c r="O8" i="8"/>
  <c r="O7" i="8"/>
  <c r="O6" i="8"/>
  <c r="O5" i="8"/>
  <c r="O4" i="8"/>
  <c r="J393" i="8"/>
  <c r="J392" i="8"/>
  <c r="J391" i="8"/>
  <c r="J390" i="8"/>
  <c r="J389" i="8"/>
  <c r="J388" i="8"/>
  <c r="J387" i="8"/>
  <c r="J386" i="8"/>
  <c r="J385" i="8"/>
  <c r="J384" i="8"/>
  <c r="J383" i="8"/>
  <c r="J382" i="8"/>
  <c r="J381" i="8"/>
  <c r="J380" i="8"/>
  <c r="J379" i="8"/>
  <c r="J378" i="8"/>
  <c r="J377" i="8"/>
  <c r="J376" i="8"/>
  <c r="J375" i="8"/>
  <c r="J374" i="8"/>
  <c r="J373" i="8"/>
  <c r="J372" i="8"/>
  <c r="J371" i="8"/>
  <c r="J370" i="8"/>
  <c r="J369" i="8"/>
  <c r="J368" i="8"/>
  <c r="J367" i="8"/>
  <c r="J366" i="8"/>
  <c r="J365" i="8"/>
  <c r="J364" i="8"/>
  <c r="J363" i="8"/>
  <c r="J362" i="8"/>
  <c r="J361" i="8"/>
  <c r="J360" i="8"/>
  <c r="J359" i="8"/>
  <c r="J358" i="8"/>
  <c r="J357" i="8"/>
  <c r="J356" i="8"/>
  <c r="J355" i="8"/>
  <c r="J354" i="8"/>
  <c r="J353" i="8"/>
  <c r="J352" i="8"/>
  <c r="J351" i="8"/>
  <c r="J350" i="8"/>
  <c r="J349" i="8"/>
  <c r="J348" i="8"/>
  <c r="J347" i="8"/>
  <c r="J346" i="8"/>
  <c r="J345" i="8"/>
  <c r="J344" i="8"/>
  <c r="J343" i="8"/>
  <c r="J342" i="8"/>
  <c r="J341" i="8"/>
  <c r="J340" i="8"/>
  <c r="J339" i="8"/>
  <c r="J338" i="8"/>
  <c r="J337" i="8"/>
  <c r="J336" i="8"/>
  <c r="J335" i="8"/>
  <c r="J334" i="8"/>
  <c r="J333" i="8"/>
  <c r="J332" i="8"/>
  <c r="J331" i="8"/>
  <c r="J330" i="8"/>
  <c r="J329" i="8"/>
  <c r="J328" i="8"/>
  <c r="J327" i="8"/>
  <c r="J326" i="8"/>
  <c r="J325" i="8"/>
  <c r="J324" i="8"/>
  <c r="J323" i="8"/>
  <c r="J322" i="8"/>
  <c r="J321" i="8"/>
  <c r="J320" i="8"/>
  <c r="J319" i="8"/>
  <c r="J318" i="8"/>
  <c r="J317" i="8"/>
  <c r="J316" i="8"/>
  <c r="J315" i="8"/>
  <c r="J314" i="8"/>
  <c r="J313" i="8"/>
  <c r="J312" i="8"/>
  <c r="J311" i="8"/>
  <c r="J310" i="8"/>
  <c r="J309" i="8"/>
  <c r="J308" i="8"/>
  <c r="J307" i="8"/>
  <c r="J306" i="8"/>
  <c r="J305" i="8"/>
  <c r="J304" i="8"/>
  <c r="J303" i="8"/>
  <c r="J302" i="8"/>
  <c r="J301" i="8"/>
  <c r="J300" i="8"/>
  <c r="J299" i="8"/>
  <c r="J298" i="8"/>
  <c r="J297" i="8"/>
  <c r="J296" i="8"/>
  <c r="J295" i="8"/>
  <c r="J294" i="8"/>
  <c r="J293" i="8"/>
  <c r="J292" i="8"/>
  <c r="J291" i="8"/>
  <c r="J290" i="8"/>
  <c r="J289" i="8"/>
  <c r="J288" i="8"/>
  <c r="J287" i="8"/>
  <c r="J286" i="8"/>
  <c r="J285" i="8"/>
  <c r="J284" i="8"/>
  <c r="J283" i="8"/>
  <c r="J282" i="8"/>
  <c r="J281" i="8"/>
  <c r="J280" i="8"/>
  <c r="J279" i="8"/>
  <c r="J278" i="8"/>
  <c r="J277" i="8"/>
  <c r="J276" i="8"/>
  <c r="J275" i="8"/>
  <c r="J274" i="8"/>
  <c r="J273" i="8"/>
  <c r="J272" i="8"/>
  <c r="J271" i="8"/>
  <c r="J270" i="8"/>
  <c r="J269" i="8"/>
  <c r="J268" i="8"/>
  <c r="J267" i="8"/>
  <c r="J266" i="8"/>
  <c r="J265" i="8"/>
  <c r="J264" i="8"/>
  <c r="J263" i="8"/>
  <c r="J262" i="8"/>
  <c r="J261" i="8"/>
  <c r="J260" i="8"/>
  <c r="J259" i="8"/>
  <c r="J258" i="8"/>
  <c r="J257" i="8"/>
  <c r="J256" i="8"/>
  <c r="J255" i="8"/>
  <c r="J254" i="8"/>
  <c r="J253" i="8"/>
  <c r="J252" i="8"/>
  <c r="J251" i="8"/>
  <c r="J250" i="8"/>
  <c r="J249" i="8"/>
  <c r="J248" i="8"/>
  <c r="J247" i="8"/>
  <c r="J246" i="8"/>
  <c r="J245" i="8"/>
  <c r="J244" i="8"/>
  <c r="J243" i="8"/>
  <c r="J242" i="8"/>
  <c r="J241" i="8"/>
  <c r="J240" i="8"/>
  <c r="J239" i="8"/>
  <c r="J238" i="8"/>
  <c r="J237" i="8"/>
  <c r="J236" i="8"/>
  <c r="J235" i="8"/>
  <c r="J234" i="8"/>
  <c r="J233" i="8"/>
  <c r="J232" i="8"/>
  <c r="J231" i="8"/>
  <c r="J230" i="8"/>
  <c r="J229" i="8"/>
  <c r="J228" i="8"/>
  <c r="J227" i="8"/>
  <c r="J226" i="8"/>
  <c r="J225" i="8"/>
  <c r="J224" i="8"/>
  <c r="J223" i="8"/>
  <c r="J222" i="8"/>
  <c r="J221" i="8"/>
  <c r="J220" i="8"/>
  <c r="J219" i="8"/>
  <c r="J218" i="8"/>
  <c r="J217" i="8"/>
  <c r="J216" i="8"/>
  <c r="J215" i="8"/>
  <c r="J214" i="8"/>
  <c r="J213" i="8"/>
  <c r="J212" i="8"/>
  <c r="J211" i="8"/>
  <c r="J210" i="8"/>
  <c r="J209" i="8"/>
  <c r="J208" i="8"/>
  <c r="J207" i="8"/>
  <c r="J206" i="8"/>
  <c r="J205" i="8"/>
  <c r="J204" i="8"/>
  <c r="J203" i="8"/>
  <c r="J202" i="8"/>
  <c r="J201" i="8"/>
  <c r="J200" i="8"/>
  <c r="J199" i="8"/>
  <c r="J198" i="8"/>
  <c r="J197" i="8"/>
  <c r="J196" i="8"/>
  <c r="J195" i="8"/>
  <c r="J194" i="8"/>
  <c r="J193" i="8"/>
  <c r="J192" i="8"/>
  <c r="J191" i="8"/>
  <c r="J190" i="8"/>
  <c r="J189" i="8"/>
  <c r="J188" i="8"/>
  <c r="J187" i="8"/>
  <c r="J186" i="8"/>
  <c r="J185" i="8"/>
  <c r="J184" i="8"/>
  <c r="J183" i="8"/>
  <c r="J182" i="8"/>
  <c r="J181" i="8"/>
  <c r="J180" i="8"/>
  <c r="J179" i="8"/>
  <c r="J178" i="8"/>
  <c r="J177" i="8"/>
  <c r="J176" i="8"/>
  <c r="J175" i="8"/>
  <c r="J174" i="8"/>
  <c r="J173" i="8"/>
  <c r="J172" i="8"/>
  <c r="J171" i="8"/>
  <c r="J170" i="8"/>
  <c r="J169" i="8"/>
  <c r="J168" i="8"/>
  <c r="J167" i="8"/>
  <c r="J166" i="8"/>
  <c r="J165" i="8"/>
  <c r="J164" i="8"/>
  <c r="J163" i="8"/>
  <c r="J162" i="8"/>
  <c r="J161" i="8"/>
  <c r="J160" i="8"/>
  <c r="J159" i="8"/>
  <c r="J158" i="8"/>
  <c r="J157" i="8"/>
  <c r="J156" i="8"/>
  <c r="J155" i="8"/>
  <c r="J154" i="8"/>
  <c r="J153" i="8"/>
  <c r="J152" i="8"/>
  <c r="J151" i="8"/>
  <c r="J150" i="8"/>
  <c r="J149" i="8"/>
  <c r="J148" i="8"/>
  <c r="J147" i="8"/>
  <c r="J146" i="8"/>
  <c r="J145" i="8"/>
  <c r="J144" i="8"/>
  <c r="J143" i="8"/>
  <c r="J142" i="8"/>
  <c r="J141" i="8"/>
  <c r="J140" i="8"/>
  <c r="J139" i="8"/>
  <c r="J138" i="8"/>
  <c r="J137" i="8"/>
  <c r="J136" i="8"/>
  <c r="J135" i="8"/>
  <c r="J134" i="8"/>
  <c r="J133" i="8"/>
  <c r="J132" i="8"/>
  <c r="J131" i="8"/>
  <c r="J130" i="8"/>
  <c r="J129" i="8"/>
  <c r="J128" i="8"/>
  <c r="J127" i="8"/>
  <c r="J126" i="8"/>
  <c r="J125" i="8"/>
  <c r="J124" i="8"/>
  <c r="J123" i="8"/>
  <c r="J122" i="8"/>
  <c r="J121" i="8"/>
  <c r="J120" i="8"/>
  <c r="J119" i="8"/>
  <c r="J118" i="8"/>
  <c r="J117" i="8"/>
  <c r="J116" i="8"/>
  <c r="J115" i="8"/>
  <c r="J114" i="8"/>
  <c r="J113" i="8"/>
  <c r="J112" i="8"/>
  <c r="J111" i="8"/>
  <c r="J110" i="8"/>
  <c r="J109" i="8"/>
  <c r="J108" i="8"/>
  <c r="J107" i="8"/>
  <c r="J106" i="8"/>
  <c r="J105" i="8"/>
  <c r="J104" i="8"/>
  <c r="J103" i="8"/>
  <c r="J102" i="8"/>
  <c r="J101" i="8"/>
  <c r="J100" i="8"/>
  <c r="J99" i="8"/>
  <c r="J98" i="8"/>
  <c r="J97" i="8"/>
  <c r="J96" i="8"/>
  <c r="J95" i="8"/>
  <c r="J94" i="8"/>
  <c r="J93" i="8"/>
  <c r="J92" i="8"/>
  <c r="J91" i="8"/>
  <c r="J90" i="8"/>
  <c r="J89" i="8"/>
  <c r="J88" i="8"/>
  <c r="J87" i="8"/>
  <c r="J86" i="8"/>
  <c r="J85" i="8"/>
  <c r="J84" i="8"/>
  <c r="J83" i="8"/>
  <c r="J82" i="8"/>
  <c r="J81" i="8"/>
  <c r="J80" i="8"/>
  <c r="J79" i="8"/>
  <c r="J78" i="8"/>
  <c r="J77" i="8"/>
  <c r="J76" i="8"/>
  <c r="J75" i="8"/>
  <c r="J74" i="8"/>
  <c r="J73" i="8"/>
  <c r="J72" i="8"/>
  <c r="J71" i="8"/>
  <c r="J70" i="8"/>
  <c r="J69" i="8"/>
  <c r="J68" i="8"/>
  <c r="J67" i="8"/>
  <c r="J66" i="8"/>
  <c r="J65" i="8"/>
  <c r="J64" i="8"/>
  <c r="J63" i="8"/>
  <c r="J62" i="8"/>
  <c r="J61" i="8"/>
  <c r="J60" i="8"/>
  <c r="J59" i="8"/>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J13" i="8"/>
  <c r="J12" i="8"/>
  <c r="J11" i="8"/>
  <c r="J10" i="8"/>
  <c r="J9" i="8"/>
  <c r="J8" i="8"/>
  <c r="J7" i="8"/>
  <c r="J6" i="8"/>
  <c r="J5" i="8"/>
  <c r="J4" i="8"/>
  <c r="DU6" i="8"/>
  <c r="DU5" i="8"/>
  <c r="DU4" i="8"/>
  <c r="DU503" i="8"/>
  <c r="DU502" i="8"/>
  <c r="DU501" i="8"/>
  <c r="DU500" i="8"/>
  <c r="DU499" i="8"/>
  <c r="DU498" i="8"/>
  <c r="DU497" i="8"/>
  <c r="DU496" i="8"/>
  <c r="DU495" i="8"/>
  <c r="DU494" i="8"/>
  <c r="DU493" i="8"/>
  <c r="DU492" i="8"/>
  <c r="DU491" i="8"/>
  <c r="DU490" i="8"/>
  <c r="DU489" i="8"/>
  <c r="DU488" i="8"/>
  <c r="DU487" i="8"/>
  <c r="DU486" i="8"/>
  <c r="DU485" i="8"/>
  <c r="DU484" i="8"/>
  <c r="DU483" i="8"/>
  <c r="DU482" i="8"/>
  <c r="DU481" i="8"/>
  <c r="DU480" i="8"/>
  <c r="DU479" i="8"/>
  <c r="DU478" i="8"/>
  <c r="DU477" i="8"/>
  <c r="DU476" i="8"/>
  <c r="DU475" i="8"/>
  <c r="DU474" i="8"/>
  <c r="DU473" i="8"/>
  <c r="DU472" i="8"/>
  <c r="DU471" i="8"/>
  <c r="DU470" i="8"/>
  <c r="DU469" i="8"/>
  <c r="DU468" i="8"/>
  <c r="DU467" i="8"/>
  <c r="DU466" i="8"/>
  <c r="DU465" i="8"/>
  <c r="DU464" i="8"/>
  <c r="DU463" i="8"/>
  <c r="DU462" i="8"/>
  <c r="DU461" i="8"/>
  <c r="DU460" i="8"/>
  <c r="DU459" i="8"/>
  <c r="DU458" i="8"/>
  <c r="DU457" i="8"/>
  <c r="DU456" i="8"/>
  <c r="DU455" i="8"/>
  <c r="DU454" i="8"/>
  <c r="DU453" i="8"/>
  <c r="DU452" i="8"/>
  <c r="DU451" i="8"/>
  <c r="DU450" i="8"/>
  <c r="DU449" i="8"/>
  <c r="DU448" i="8"/>
  <c r="DU447" i="8"/>
  <c r="DU446" i="8"/>
  <c r="DU445" i="8"/>
  <c r="DU444" i="8"/>
  <c r="DU443" i="8"/>
  <c r="DU442" i="8"/>
  <c r="DU441" i="8"/>
  <c r="DU440" i="8"/>
  <c r="DU439" i="8"/>
  <c r="DU438" i="8"/>
  <c r="DU437" i="8"/>
  <c r="DU436" i="8"/>
  <c r="DU435" i="8"/>
  <c r="DU434" i="8"/>
  <c r="DU433" i="8"/>
  <c r="DU432" i="8"/>
  <c r="DU431" i="8"/>
  <c r="DU430" i="8"/>
  <c r="DU429" i="8"/>
  <c r="DU428" i="8"/>
  <c r="DU427" i="8"/>
  <c r="DU426" i="8"/>
  <c r="DU425" i="8"/>
  <c r="DU424" i="8"/>
  <c r="DU423" i="8"/>
  <c r="DU422" i="8"/>
  <c r="DU421" i="8"/>
  <c r="DU420" i="8"/>
  <c r="DU419" i="8"/>
  <c r="DU418" i="8"/>
  <c r="DU417" i="8"/>
  <c r="DU416" i="8"/>
  <c r="DU415" i="8"/>
  <c r="DU414" i="8"/>
  <c r="DU413" i="8"/>
  <c r="DU412" i="8"/>
  <c r="DU411" i="8"/>
  <c r="DU410" i="8"/>
  <c r="DU409" i="8"/>
  <c r="DU408" i="8"/>
  <c r="DU407" i="8"/>
  <c r="DU406" i="8"/>
  <c r="DU405" i="8"/>
  <c r="DU404" i="8"/>
  <c r="DU403" i="8"/>
  <c r="DU402" i="8"/>
  <c r="DU401" i="8"/>
  <c r="DU400" i="8"/>
  <c r="DU399" i="8"/>
  <c r="DU398" i="8"/>
  <c r="DU397" i="8"/>
  <c r="DU396" i="8"/>
  <c r="DU395" i="8"/>
  <c r="DU394" i="8"/>
  <c r="DU393" i="8"/>
  <c r="DU392" i="8"/>
  <c r="DU391" i="8"/>
  <c r="DU390" i="8"/>
  <c r="DU389" i="8"/>
  <c r="DU388" i="8"/>
  <c r="DU387" i="8"/>
  <c r="DU386" i="8"/>
  <c r="DU385" i="8"/>
  <c r="DU384" i="8"/>
  <c r="DU383" i="8"/>
  <c r="DU382" i="8"/>
  <c r="DU381" i="8"/>
  <c r="DU380" i="8"/>
  <c r="DU379" i="8"/>
  <c r="DU378" i="8"/>
  <c r="DU377" i="8"/>
  <c r="DU376" i="8"/>
  <c r="DU375" i="8"/>
  <c r="DU374" i="8"/>
  <c r="DU373" i="8"/>
  <c r="DU372" i="8"/>
  <c r="DU371" i="8"/>
  <c r="DU370" i="8"/>
  <c r="DU369" i="8"/>
  <c r="DU368" i="8"/>
  <c r="DU367" i="8"/>
  <c r="DU366" i="8"/>
  <c r="DU365" i="8"/>
  <c r="DU364" i="8"/>
  <c r="DU363" i="8"/>
  <c r="DU362" i="8"/>
  <c r="DU361" i="8"/>
  <c r="DU360" i="8"/>
  <c r="DU359" i="8"/>
  <c r="DU358" i="8"/>
  <c r="DU357" i="8"/>
  <c r="DU356" i="8"/>
  <c r="DU355" i="8"/>
  <c r="DU354" i="8"/>
  <c r="DU353" i="8"/>
  <c r="DU352" i="8"/>
  <c r="DU351" i="8"/>
  <c r="DU350" i="8"/>
  <c r="DU349" i="8"/>
  <c r="DU348" i="8"/>
  <c r="DU347" i="8"/>
  <c r="DU346" i="8"/>
  <c r="DU345" i="8"/>
  <c r="DU344" i="8"/>
  <c r="DU343" i="8"/>
  <c r="DU342" i="8"/>
  <c r="DU341" i="8"/>
  <c r="DU340" i="8"/>
  <c r="DU339" i="8"/>
  <c r="DU338" i="8"/>
  <c r="DU337" i="8"/>
  <c r="DU336" i="8"/>
  <c r="DU335" i="8"/>
  <c r="DU334" i="8"/>
  <c r="DU333" i="8"/>
  <c r="DU332" i="8"/>
  <c r="DU331" i="8"/>
  <c r="DU330" i="8"/>
  <c r="DU329" i="8"/>
  <c r="DU328" i="8"/>
  <c r="DU327" i="8"/>
  <c r="DU326" i="8"/>
  <c r="DU325" i="8"/>
  <c r="DU324" i="8"/>
  <c r="DU323" i="8"/>
  <c r="DU322" i="8"/>
  <c r="DU321" i="8"/>
  <c r="DU320" i="8"/>
  <c r="DU319" i="8"/>
  <c r="DU318" i="8"/>
  <c r="DU317" i="8"/>
  <c r="DU316" i="8"/>
  <c r="DU315" i="8"/>
  <c r="DU314" i="8"/>
  <c r="DU313" i="8"/>
  <c r="DU312" i="8"/>
  <c r="DU311" i="8"/>
  <c r="DU310" i="8"/>
  <c r="DU309" i="8"/>
  <c r="DU308" i="8"/>
  <c r="DU307" i="8"/>
  <c r="DU306" i="8"/>
  <c r="DU305" i="8"/>
  <c r="DU304" i="8"/>
  <c r="DU303" i="8"/>
  <c r="DU302" i="8"/>
  <c r="DU301" i="8"/>
  <c r="DU300" i="8"/>
  <c r="DU299" i="8"/>
  <c r="DU298" i="8"/>
  <c r="DU297" i="8"/>
  <c r="DU296" i="8"/>
  <c r="DU295" i="8"/>
  <c r="DU294" i="8"/>
  <c r="DU293" i="8"/>
  <c r="DU292" i="8"/>
  <c r="DU291" i="8"/>
  <c r="DU290" i="8"/>
  <c r="DU289" i="8"/>
  <c r="DU288" i="8"/>
  <c r="DU287" i="8"/>
  <c r="DU286" i="8"/>
  <c r="DU285" i="8"/>
  <c r="DU284" i="8"/>
  <c r="DU283" i="8"/>
  <c r="DU282" i="8"/>
  <c r="DU281" i="8"/>
  <c r="DU280" i="8"/>
  <c r="DU279" i="8"/>
  <c r="DU278" i="8"/>
  <c r="DU277" i="8"/>
  <c r="DU276" i="8"/>
  <c r="DU275" i="8"/>
  <c r="DU274" i="8"/>
  <c r="DU273" i="8"/>
  <c r="DU272" i="8"/>
  <c r="DU271" i="8"/>
  <c r="DU270" i="8"/>
  <c r="DU269" i="8"/>
  <c r="DU268" i="8"/>
  <c r="DU267" i="8"/>
  <c r="DU266" i="8"/>
  <c r="DU265" i="8"/>
  <c r="DU264" i="8"/>
  <c r="DU263" i="8"/>
  <c r="DU262" i="8"/>
  <c r="DU261" i="8"/>
  <c r="DU260" i="8"/>
  <c r="DU259" i="8"/>
  <c r="DU258" i="8"/>
  <c r="DU257" i="8"/>
  <c r="DU256" i="8"/>
  <c r="DU255" i="8"/>
  <c r="DU254" i="8"/>
  <c r="DU253" i="8"/>
  <c r="DU252" i="8"/>
  <c r="DU251" i="8"/>
  <c r="DU250" i="8"/>
  <c r="DU249" i="8"/>
  <c r="DU248" i="8"/>
  <c r="DU247" i="8"/>
  <c r="DU246" i="8"/>
  <c r="DU245" i="8"/>
  <c r="DU244" i="8"/>
  <c r="DU243" i="8"/>
  <c r="DU242" i="8"/>
  <c r="DU241" i="8"/>
  <c r="DU240" i="8"/>
  <c r="DU239" i="8"/>
  <c r="DU238" i="8"/>
  <c r="DU237" i="8"/>
  <c r="DU236" i="8"/>
  <c r="DU235" i="8"/>
  <c r="DU234" i="8"/>
  <c r="DU233" i="8"/>
  <c r="DU232" i="8"/>
  <c r="DU231" i="8"/>
  <c r="DU230" i="8"/>
  <c r="DU229" i="8"/>
  <c r="DU228" i="8"/>
  <c r="DU227" i="8"/>
  <c r="DU226" i="8"/>
  <c r="DU225" i="8"/>
  <c r="DU224" i="8"/>
  <c r="DU223" i="8"/>
  <c r="DU222" i="8"/>
  <c r="DU221" i="8"/>
  <c r="DU220" i="8"/>
  <c r="DU219" i="8"/>
  <c r="DU218" i="8"/>
  <c r="DU217" i="8"/>
  <c r="DU216" i="8"/>
  <c r="DU215" i="8"/>
  <c r="DU214" i="8"/>
  <c r="DU213" i="8"/>
  <c r="DU212" i="8"/>
  <c r="DU211" i="8"/>
  <c r="DU210" i="8"/>
  <c r="DU209" i="8"/>
  <c r="DU208" i="8"/>
  <c r="DU207" i="8"/>
  <c r="DU206" i="8"/>
  <c r="DU205" i="8"/>
  <c r="DU204" i="8"/>
  <c r="DU203" i="8"/>
  <c r="DU202" i="8"/>
  <c r="DU201" i="8"/>
  <c r="DU200" i="8"/>
  <c r="DU199" i="8"/>
  <c r="DU198" i="8"/>
  <c r="DU197" i="8"/>
  <c r="DU196" i="8"/>
  <c r="DU195" i="8"/>
  <c r="DU194" i="8"/>
  <c r="DU193" i="8"/>
  <c r="DU192" i="8"/>
  <c r="DU191" i="8"/>
  <c r="DU190" i="8"/>
  <c r="DU189" i="8"/>
  <c r="DU188" i="8"/>
  <c r="DU187" i="8"/>
  <c r="DU186" i="8"/>
  <c r="DU185" i="8"/>
  <c r="DU184" i="8"/>
  <c r="DU183" i="8"/>
  <c r="DU182" i="8"/>
  <c r="DU181" i="8"/>
  <c r="DU180" i="8"/>
  <c r="DU179" i="8"/>
  <c r="DU178" i="8"/>
  <c r="DU177" i="8"/>
  <c r="DU176" i="8"/>
  <c r="DU175" i="8"/>
  <c r="DU174" i="8"/>
  <c r="DU173" i="8"/>
  <c r="DU172" i="8"/>
  <c r="DU171" i="8"/>
  <c r="DU170" i="8"/>
  <c r="DU169" i="8"/>
  <c r="DU168" i="8"/>
  <c r="DU167" i="8"/>
  <c r="DU166" i="8"/>
  <c r="DU165" i="8"/>
  <c r="DU164" i="8"/>
  <c r="DU163" i="8"/>
  <c r="DU162" i="8"/>
  <c r="DU161" i="8"/>
  <c r="DU160" i="8"/>
  <c r="DU159" i="8"/>
  <c r="DU158" i="8"/>
  <c r="DU157" i="8"/>
  <c r="DU156" i="8"/>
  <c r="DU155" i="8"/>
  <c r="DU154" i="8"/>
  <c r="DU153" i="8"/>
  <c r="DU152" i="8"/>
  <c r="DU151" i="8"/>
  <c r="DU150" i="8"/>
  <c r="DU149" i="8"/>
  <c r="DU148" i="8"/>
  <c r="DU147" i="8"/>
  <c r="DU146" i="8"/>
  <c r="DU145" i="8"/>
  <c r="DU144" i="8"/>
  <c r="DU143" i="8"/>
  <c r="DU142" i="8"/>
  <c r="DU141" i="8"/>
  <c r="DU140" i="8"/>
  <c r="DU139" i="8"/>
  <c r="DU138" i="8"/>
  <c r="DU137" i="8"/>
  <c r="DU136" i="8"/>
  <c r="DU135" i="8"/>
  <c r="DU134" i="8"/>
  <c r="DU133" i="8"/>
  <c r="DU132" i="8"/>
  <c r="DU131" i="8"/>
  <c r="DU130" i="8"/>
  <c r="DU129" i="8"/>
  <c r="DU128" i="8"/>
  <c r="DU127" i="8"/>
  <c r="DU126" i="8"/>
  <c r="DU125" i="8"/>
  <c r="DU124" i="8"/>
  <c r="DU123" i="8"/>
  <c r="DU122" i="8"/>
  <c r="DU121" i="8"/>
  <c r="DU120" i="8"/>
  <c r="DU119" i="8"/>
  <c r="DU118" i="8"/>
  <c r="DU117" i="8"/>
  <c r="DU116" i="8"/>
  <c r="DU115" i="8"/>
  <c r="DU114" i="8"/>
  <c r="DU113" i="8"/>
  <c r="DU112" i="8"/>
  <c r="DU111" i="8"/>
  <c r="DU110" i="8"/>
  <c r="DU109" i="8"/>
  <c r="DU108" i="8"/>
  <c r="DU107" i="8"/>
  <c r="DU106" i="8"/>
  <c r="DU105" i="8"/>
  <c r="DU104" i="8"/>
  <c r="DU103" i="8"/>
  <c r="DU102" i="8"/>
  <c r="DU101" i="8"/>
  <c r="DU100" i="8"/>
  <c r="DU99" i="8"/>
  <c r="DU98" i="8"/>
  <c r="DU97" i="8"/>
  <c r="DU96" i="8"/>
  <c r="DU95" i="8"/>
  <c r="DU94" i="8"/>
  <c r="DU93" i="8"/>
  <c r="DU92" i="8"/>
  <c r="DU91" i="8"/>
  <c r="DU90" i="8"/>
  <c r="DU89" i="8"/>
  <c r="DU88" i="8"/>
  <c r="DU87" i="8"/>
  <c r="DU86" i="8"/>
  <c r="DU85" i="8"/>
  <c r="DU84" i="8"/>
  <c r="DU83" i="8"/>
  <c r="DU82" i="8"/>
  <c r="DU81" i="8"/>
  <c r="DU80" i="8"/>
  <c r="DU79" i="8"/>
  <c r="DU78" i="8"/>
  <c r="DU77" i="8"/>
  <c r="DU76" i="8"/>
  <c r="DU75" i="8"/>
  <c r="DU74" i="8"/>
  <c r="DU73" i="8"/>
  <c r="DU72" i="8"/>
  <c r="DU71" i="8"/>
  <c r="DU70" i="8"/>
  <c r="DU69" i="8"/>
  <c r="DU68" i="8"/>
  <c r="DU67" i="8"/>
  <c r="DU66" i="8"/>
  <c r="DU65" i="8"/>
  <c r="DU64" i="8"/>
  <c r="DU63" i="8"/>
  <c r="DU62" i="8"/>
  <c r="DU61" i="8"/>
  <c r="DU60" i="8"/>
  <c r="DU59" i="8"/>
  <c r="DU58" i="8"/>
  <c r="DU57" i="8"/>
  <c r="DU56" i="8"/>
  <c r="DU55" i="8"/>
  <c r="DU54" i="8"/>
  <c r="DU53" i="8"/>
  <c r="DU52" i="8"/>
  <c r="DU51" i="8"/>
  <c r="DU50" i="8"/>
  <c r="DU49" i="8"/>
  <c r="DU48" i="8"/>
  <c r="DU47" i="8"/>
  <c r="DU46" i="8"/>
  <c r="DU45" i="8"/>
  <c r="DU44" i="8"/>
  <c r="DU43" i="8"/>
  <c r="DU42" i="8"/>
  <c r="DU41" i="8"/>
  <c r="DU40" i="8"/>
  <c r="DU39" i="8"/>
  <c r="DU38" i="8"/>
  <c r="DU37" i="8"/>
  <c r="DU36" i="8"/>
  <c r="DU35" i="8"/>
  <c r="DU34" i="8"/>
  <c r="DU33" i="8"/>
  <c r="DU32" i="8"/>
  <c r="DU31" i="8"/>
  <c r="DU30" i="8"/>
  <c r="DU29" i="8"/>
  <c r="DU28" i="8"/>
  <c r="DU27" i="8"/>
  <c r="DU26" i="8"/>
  <c r="DU25" i="8"/>
  <c r="DU24" i="8"/>
  <c r="DU23" i="8"/>
  <c r="DU22" i="8"/>
  <c r="DU21" i="8"/>
  <c r="DU20" i="8"/>
  <c r="DU19" i="8"/>
  <c r="DU18" i="8"/>
  <c r="DU17" i="8"/>
  <c r="DU16" i="8"/>
  <c r="DU15" i="8"/>
  <c r="DU14" i="8"/>
  <c r="DU13" i="8"/>
  <c r="DU12" i="8"/>
  <c r="DU11" i="8"/>
  <c r="DU10" i="8"/>
  <c r="DU9" i="8"/>
  <c r="DU8" i="8"/>
  <c r="DU7" i="8"/>
  <c r="HF3" i="8"/>
  <c r="HE3" i="8"/>
  <c r="HD3" i="8"/>
  <c r="HC3" i="8"/>
  <c r="HA3" i="8"/>
  <c r="GZ3" i="8"/>
  <c r="GY3" i="8"/>
  <c r="GX3" i="8"/>
  <c r="GV3" i="8"/>
  <c r="GU3" i="8"/>
  <c r="GT3" i="8"/>
  <c r="GS3" i="8"/>
  <c r="GQ3" i="8"/>
  <c r="GP3" i="8"/>
  <c r="GO3" i="8"/>
  <c r="GN3" i="8"/>
  <c r="GL3" i="8"/>
  <c r="GK3" i="8"/>
  <c r="GJ3" i="8"/>
  <c r="GI3" i="8"/>
  <c r="GG3" i="8"/>
  <c r="GF3" i="8"/>
  <c r="GE3" i="8"/>
  <c r="GD3" i="8"/>
  <c r="GB3" i="8"/>
  <c r="GA3" i="8"/>
  <c r="FZ3" i="8"/>
  <c r="FY3" i="8"/>
  <c r="FW3" i="8"/>
  <c r="FV3" i="8"/>
  <c r="FU3" i="8"/>
  <c r="FT3" i="8"/>
  <c r="FR3" i="8"/>
  <c r="FQ3" i="8"/>
  <c r="FP3" i="8"/>
  <c r="FO3" i="8"/>
  <c r="FM3" i="8"/>
  <c r="FL3" i="8"/>
  <c r="FK3" i="8"/>
  <c r="FJ3" i="8"/>
  <c r="FH3" i="8"/>
  <c r="FG3" i="8"/>
  <c r="FF3" i="8"/>
  <c r="FE3" i="8"/>
  <c r="FC3" i="8"/>
  <c r="FB3" i="8"/>
  <c r="FA3" i="8"/>
  <c r="EZ3" i="8"/>
  <c r="EX3" i="8"/>
  <c r="EW3" i="8"/>
  <c r="EV3" i="8"/>
  <c r="EU3" i="8"/>
  <c r="ES3" i="8"/>
  <c r="ER3" i="8"/>
  <c r="EQ3" i="8"/>
  <c r="EP3" i="8"/>
  <c r="EN3" i="8"/>
  <c r="EM3" i="8"/>
  <c r="EL3" i="8"/>
  <c r="EK3" i="8"/>
  <c r="EI3" i="8"/>
  <c r="EH3" i="8"/>
  <c r="EG3" i="8"/>
  <c r="EF3" i="8"/>
  <c r="ED3" i="8"/>
  <c r="EC3" i="8"/>
  <c r="EB3" i="8"/>
  <c r="EA3" i="8"/>
  <c r="DY3" i="8"/>
  <c r="DX3" i="8"/>
  <c r="DW3" i="8"/>
  <c r="DV3" i="8"/>
  <c r="DT3" i="8"/>
  <c r="DS3" i="8"/>
  <c r="DR3" i="8"/>
  <c r="DQ3" i="8"/>
  <c r="DO3" i="8"/>
  <c r="DN3" i="8"/>
  <c r="DM3" i="8"/>
  <c r="DL3" i="8"/>
  <c r="DJ3" i="8"/>
  <c r="DI3" i="8"/>
  <c r="DH3" i="8"/>
  <c r="DG3" i="8"/>
  <c r="DE3" i="8"/>
  <c r="DD3" i="8"/>
  <c r="DC3" i="8"/>
  <c r="DB3" i="8"/>
  <c r="CZ3" i="8"/>
  <c r="CY3" i="8"/>
  <c r="CX3" i="8"/>
  <c r="CW3" i="8"/>
  <c r="CU3" i="8"/>
  <c r="CT3" i="8"/>
  <c r="CS3" i="8"/>
  <c r="CR3" i="8"/>
  <c r="CP3" i="8"/>
  <c r="CO3" i="8"/>
  <c r="CN3" i="8"/>
  <c r="CM3" i="8"/>
  <c r="CK3" i="8"/>
  <c r="CJ3" i="8"/>
  <c r="CI3" i="8"/>
  <c r="CH3" i="8"/>
  <c r="CF3" i="8"/>
  <c r="CE3" i="8"/>
  <c r="CD3" i="8"/>
  <c r="CC3" i="8"/>
  <c r="CA3" i="8"/>
  <c r="BZ3" i="8"/>
  <c r="BY3" i="8"/>
  <c r="BX3" i="8"/>
  <c r="BV3" i="8"/>
  <c r="BU3" i="8"/>
  <c r="BT3" i="8"/>
  <c r="BS3" i="8"/>
  <c r="BQ3" i="8"/>
  <c r="BP3" i="8"/>
  <c r="BO3" i="8"/>
  <c r="BN3" i="8"/>
  <c r="BL3" i="8"/>
  <c r="BK3" i="8"/>
  <c r="BJ3" i="8"/>
  <c r="BI3" i="8"/>
  <c r="BG3" i="8"/>
  <c r="BF3" i="8"/>
  <c r="BE3" i="8"/>
  <c r="BD3" i="8"/>
  <c r="BB3" i="8"/>
  <c r="BA3" i="8"/>
  <c r="AZ3" i="8"/>
  <c r="AY3" i="8"/>
  <c r="AW3" i="8"/>
  <c r="AV3" i="8"/>
  <c r="AU3" i="8"/>
  <c r="AT3" i="8"/>
  <c r="AR3" i="8"/>
  <c r="AQ3" i="8"/>
  <c r="AP3" i="8"/>
  <c r="AO3" i="8"/>
  <c r="AM3" i="8"/>
  <c r="AL3" i="8"/>
  <c r="AK3" i="8"/>
  <c r="AJ3" i="8"/>
  <c r="AH3" i="8"/>
  <c r="AG3" i="8"/>
  <c r="AF3" i="8"/>
  <c r="AE3" i="8"/>
  <c r="AC3" i="8"/>
  <c r="AB3" i="8"/>
  <c r="AA3" i="8"/>
  <c r="Z3" i="8"/>
  <c r="X3" i="8"/>
  <c r="W3" i="8"/>
  <c r="V3" i="8"/>
  <c r="U3" i="8"/>
  <c r="S3" i="8"/>
  <c r="R3" i="8"/>
  <c r="Q3" i="8"/>
  <c r="P3" i="8"/>
  <c r="N3" i="8"/>
  <c r="M3" i="8"/>
  <c r="L3" i="8"/>
  <c r="K3" i="8"/>
  <c r="I3" i="8"/>
  <c r="H3" i="8"/>
  <c r="G3" i="8"/>
  <c r="F3" i="8"/>
  <c r="D3" i="8"/>
  <c r="C3" i="8"/>
  <c r="B3" i="8"/>
  <c r="A3" i="8"/>
  <c r="P63" i="5"/>
  <c r="P62" i="5"/>
  <c r="P61" i="5"/>
  <c r="P59" i="5"/>
  <c r="P50" i="5"/>
  <c r="P49" i="5"/>
  <c r="P45" i="5"/>
  <c r="P42" i="5"/>
  <c r="P41" i="5"/>
  <c r="P39" i="5"/>
  <c r="P35" i="5"/>
  <c r="P33" i="5"/>
  <c r="P31" i="5"/>
  <c r="P28" i="5"/>
  <c r="P26" i="5"/>
  <c r="P24" i="5"/>
  <c r="P21" i="5"/>
  <c r="P20" i="5"/>
  <c r="P19" i="5"/>
  <c r="P18" i="5"/>
  <c r="P13" i="5"/>
  <c r="P12" i="5"/>
  <c r="AN80" i="5"/>
  <c r="AM80" i="5"/>
  <c r="AL80" i="5"/>
  <c r="AK80" i="5"/>
  <c r="AJ80" i="5"/>
  <c r="AI80" i="5"/>
  <c r="AH80" i="5"/>
  <c r="AG80" i="5"/>
  <c r="AF80" i="5"/>
  <c r="AE80" i="5"/>
  <c r="AD80" i="5"/>
  <c r="AC80" i="5"/>
  <c r="AB80" i="5"/>
  <c r="AA80" i="5"/>
  <c r="Z80" i="5"/>
  <c r="Y80" i="5"/>
  <c r="X80" i="5"/>
  <c r="W80" i="5"/>
  <c r="V80" i="5"/>
  <c r="U80" i="5"/>
  <c r="T80" i="5"/>
  <c r="S80" i="5"/>
  <c r="R80" i="5"/>
  <c r="Q80" i="5"/>
  <c r="AN79" i="5"/>
  <c r="AM79" i="5"/>
  <c r="AL79" i="5"/>
  <c r="AK79" i="5"/>
  <c r="AJ79" i="5"/>
  <c r="AI79" i="5"/>
  <c r="AH79" i="5"/>
  <c r="AG79" i="5"/>
  <c r="AF79" i="5"/>
  <c r="AE79" i="5"/>
  <c r="AD79" i="5"/>
  <c r="AC79" i="5"/>
  <c r="AB79" i="5"/>
  <c r="AA79" i="5"/>
  <c r="Z79" i="5"/>
  <c r="Y79" i="5"/>
  <c r="X79" i="5"/>
  <c r="W79" i="5"/>
  <c r="V79" i="5"/>
  <c r="U79" i="5"/>
  <c r="T79" i="5"/>
  <c r="S79" i="5"/>
  <c r="R79" i="5"/>
  <c r="Q79" i="5"/>
  <c r="AN78" i="5"/>
  <c r="AM78" i="5"/>
  <c r="AL78" i="5"/>
  <c r="AK78" i="5"/>
  <c r="AJ78" i="5"/>
  <c r="AI78" i="5"/>
  <c r="AH78" i="5"/>
  <c r="AG78" i="5"/>
  <c r="AF78" i="5"/>
  <c r="AE78" i="5"/>
  <c r="AD78" i="5"/>
  <c r="AC78" i="5"/>
  <c r="AB78" i="5"/>
  <c r="AA78" i="5"/>
  <c r="Z78" i="5"/>
  <c r="Y78" i="5"/>
  <c r="X78" i="5"/>
  <c r="W78" i="5"/>
  <c r="V78" i="5"/>
  <c r="U78" i="5"/>
  <c r="T78" i="5"/>
  <c r="S78" i="5"/>
  <c r="R78" i="5"/>
  <c r="Q78" i="5"/>
  <c r="AN77" i="5"/>
  <c r="AM77" i="5"/>
  <c r="AL77" i="5"/>
  <c r="AK77" i="5"/>
  <c r="AJ77" i="5"/>
  <c r="AI77" i="5"/>
  <c r="AH77" i="5"/>
  <c r="AG77" i="5"/>
  <c r="AF77" i="5"/>
  <c r="AE77" i="5"/>
  <c r="AD77" i="5"/>
  <c r="AC77" i="5"/>
  <c r="AB77" i="5"/>
  <c r="AA77" i="5"/>
  <c r="Z77" i="5"/>
  <c r="Y77" i="5"/>
  <c r="X77" i="5"/>
  <c r="W77" i="5"/>
  <c r="V77" i="5"/>
  <c r="U77" i="5"/>
  <c r="T77" i="5"/>
  <c r="S77" i="5"/>
  <c r="R77" i="5"/>
  <c r="Q77" i="5"/>
  <c r="AN76" i="5"/>
  <c r="AM76" i="5"/>
  <c r="AL76" i="5"/>
  <c r="AK76" i="5"/>
  <c r="AJ76" i="5"/>
  <c r="AI76" i="5"/>
  <c r="AH76" i="5"/>
  <c r="AG76" i="5"/>
  <c r="AF76" i="5"/>
  <c r="AE76" i="5"/>
  <c r="AD76" i="5"/>
  <c r="AC76" i="5"/>
  <c r="AB76" i="5"/>
  <c r="AA76" i="5"/>
  <c r="Z76" i="5"/>
  <c r="Y76" i="5"/>
  <c r="X76" i="5"/>
  <c r="W76" i="5"/>
  <c r="V76" i="5"/>
  <c r="U76" i="5"/>
  <c r="T76" i="5"/>
  <c r="S76" i="5"/>
  <c r="R76" i="5"/>
  <c r="Q76" i="5"/>
  <c r="AN75" i="5"/>
  <c r="AM75" i="5"/>
  <c r="AL75" i="5"/>
  <c r="AK75" i="5"/>
  <c r="AJ75" i="5"/>
  <c r="AI75" i="5"/>
  <c r="AH75" i="5"/>
  <c r="AG75" i="5"/>
  <c r="AF75" i="5"/>
  <c r="AE75" i="5"/>
  <c r="AD75" i="5"/>
  <c r="AC75" i="5"/>
  <c r="AB75" i="5"/>
  <c r="AA75" i="5"/>
  <c r="Z75" i="5"/>
  <c r="Y75" i="5"/>
  <c r="X75" i="5"/>
  <c r="W75" i="5"/>
  <c r="V75" i="5"/>
  <c r="U75" i="5"/>
  <c r="T75" i="5"/>
  <c r="S75" i="5"/>
  <c r="R75" i="5"/>
  <c r="Q75" i="5"/>
  <c r="AN74" i="5"/>
  <c r="AM74" i="5"/>
  <c r="AL74" i="5"/>
  <c r="AK74" i="5"/>
  <c r="AJ74" i="5"/>
  <c r="AI74" i="5"/>
  <c r="AH74" i="5"/>
  <c r="AG74" i="5"/>
  <c r="AF74" i="5"/>
  <c r="AE74" i="5"/>
  <c r="AD74" i="5"/>
  <c r="AC74" i="5"/>
  <c r="AB74" i="5"/>
  <c r="AA74" i="5"/>
  <c r="Z74" i="5"/>
  <c r="Y74" i="5"/>
  <c r="X74" i="5"/>
  <c r="W74" i="5"/>
  <c r="V74" i="5"/>
  <c r="U74" i="5"/>
  <c r="T74" i="5"/>
  <c r="S74" i="5"/>
  <c r="R74" i="5"/>
  <c r="Q74" i="5"/>
  <c r="AN73" i="5"/>
  <c r="AM73" i="5"/>
  <c r="AL73" i="5"/>
  <c r="AK73" i="5"/>
  <c r="AJ73" i="5"/>
  <c r="AI73" i="5"/>
  <c r="AH73" i="5"/>
  <c r="AG73" i="5"/>
  <c r="AF73" i="5"/>
  <c r="AE73" i="5"/>
  <c r="AD73" i="5"/>
  <c r="AC73" i="5"/>
  <c r="AB73" i="5"/>
  <c r="AA73" i="5"/>
  <c r="Z73" i="5"/>
  <c r="Y73" i="5"/>
  <c r="X73" i="5"/>
  <c r="W73" i="5"/>
  <c r="V73" i="5"/>
  <c r="U73" i="5"/>
  <c r="T73" i="5"/>
  <c r="S73" i="5"/>
  <c r="R73" i="5"/>
  <c r="Q73" i="5"/>
  <c r="AN72" i="5"/>
  <c r="AM72" i="5"/>
  <c r="AL72" i="5"/>
  <c r="AK72" i="5"/>
  <c r="AJ72" i="5"/>
  <c r="AI72" i="5"/>
  <c r="AH72" i="5"/>
  <c r="AG72" i="5"/>
  <c r="AF72" i="5"/>
  <c r="AE72" i="5"/>
  <c r="AD72" i="5"/>
  <c r="AC72" i="5"/>
  <c r="AB72" i="5"/>
  <c r="AA72" i="5"/>
  <c r="Z72" i="5"/>
  <c r="Y72" i="5"/>
  <c r="X72" i="5"/>
  <c r="W72" i="5"/>
  <c r="V72" i="5"/>
  <c r="U72" i="5"/>
  <c r="T72" i="5"/>
  <c r="S72" i="5"/>
  <c r="R72" i="5"/>
  <c r="Q72" i="5"/>
  <c r="AN71" i="5"/>
  <c r="AM71" i="5"/>
  <c r="AL71" i="5"/>
  <c r="AK71" i="5"/>
  <c r="AJ71" i="5"/>
  <c r="AI71" i="5"/>
  <c r="AH71" i="5"/>
  <c r="AG71" i="5"/>
  <c r="AF71" i="5"/>
  <c r="AE71" i="5"/>
  <c r="AD71" i="5"/>
  <c r="AC71" i="5"/>
  <c r="AB71" i="5"/>
  <c r="AA71" i="5"/>
  <c r="Z71" i="5"/>
  <c r="Y71" i="5"/>
  <c r="X71" i="5"/>
  <c r="W71" i="5"/>
  <c r="V71" i="5"/>
  <c r="U71" i="5"/>
  <c r="T71" i="5"/>
  <c r="S71" i="5"/>
  <c r="R71" i="5"/>
  <c r="Q71" i="5"/>
  <c r="AN70" i="5"/>
  <c r="AM70" i="5"/>
  <c r="AL70" i="5"/>
  <c r="AK70" i="5"/>
  <c r="AJ70" i="5"/>
  <c r="AI70" i="5"/>
  <c r="AH70" i="5"/>
  <c r="AG70" i="5"/>
  <c r="AF70" i="5"/>
  <c r="AE70" i="5"/>
  <c r="AD70" i="5"/>
  <c r="AC70" i="5"/>
  <c r="AB70" i="5"/>
  <c r="AA70" i="5"/>
  <c r="Z70" i="5"/>
  <c r="Y70" i="5"/>
  <c r="X70" i="5"/>
  <c r="W70" i="5"/>
  <c r="V70" i="5"/>
  <c r="U70" i="5"/>
  <c r="T70" i="5"/>
  <c r="S70" i="5"/>
  <c r="R70" i="5"/>
  <c r="Q70" i="5"/>
  <c r="AN69" i="5"/>
  <c r="AM69" i="5"/>
  <c r="AL69" i="5"/>
  <c r="AK69" i="5"/>
  <c r="AJ69" i="5"/>
  <c r="AI69" i="5"/>
  <c r="AH69" i="5"/>
  <c r="AG69" i="5"/>
  <c r="AF69" i="5"/>
  <c r="AE69" i="5"/>
  <c r="AD69" i="5"/>
  <c r="AC69" i="5"/>
  <c r="AB69" i="5"/>
  <c r="AA69" i="5"/>
  <c r="Z69" i="5"/>
  <c r="Y69" i="5"/>
  <c r="X69" i="5"/>
  <c r="W69" i="5"/>
  <c r="V69" i="5"/>
  <c r="U69" i="5"/>
  <c r="T69" i="5"/>
  <c r="S69" i="5"/>
  <c r="R69" i="5"/>
  <c r="Q69" i="5"/>
  <c r="AN68" i="5"/>
  <c r="AM68" i="5"/>
  <c r="AL68" i="5"/>
  <c r="AK68" i="5"/>
  <c r="AJ68" i="5"/>
  <c r="AI68" i="5"/>
  <c r="AH68" i="5"/>
  <c r="AG68" i="5"/>
  <c r="AF68" i="5"/>
  <c r="AE68" i="5"/>
  <c r="AD68" i="5"/>
  <c r="AC68" i="5"/>
  <c r="AB68" i="5"/>
  <c r="AA68" i="5"/>
  <c r="Z68" i="5"/>
  <c r="Y68" i="5"/>
  <c r="X68" i="5"/>
  <c r="W68" i="5"/>
  <c r="V68" i="5"/>
  <c r="U68" i="5"/>
  <c r="T68" i="5"/>
  <c r="S68" i="5"/>
  <c r="R68" i="5"/>
  <c r="Q68" i="5"/>
  <c r="AN67" i="5"/>
  <c r="AM67" i="5"/>
  <c r="AL67" i="5"/>
  <c r="AK67" i="5"/>
  <c r="AJ67" i="5"/>
  <c r="AI67" i="5"/>
  <c r="AH67" i="5"/>
  <c r="AG67" i="5"/>
  <c r="AF67" i="5"/>
  <c r="AE67" i="5"/>
  <c r="AD67" i="5"/>
  <c r="AC67" i="5"/>
  <c r="AB67" i="5"/>
  <c r="AA67" i="5"/>
  <c r="Z67" i="5"/>
  <c r="Y67" i="5"/>
  <c r="X67" i="5"/>
  <c r="W67" i="5"/>
  <c r="V67" i="5"/>
  <c r="U67" i="5"/>
  <c r="T67" i="5"/>
  <c r="S67" i="5"/>
  <c r="R67" i="5"/>
  <c r="Q67" i="5"/>
  <c r="AN66" i="5"/>
  <c r="AM66" i="5"/>
  <c r="AL66" i="5"/>
  <c r="AK66" i="5"/>
  <c r="AJ66" i="5"/>
  <c r="AI66" i="5"/>
  <c r="AH66" i="5"/>
  <c r="AG66" i="5"/>
  <c r="AF66" i="5"/>
  <c r="AE66" i="5"/>
  <c r="AD66" i="5"/>
  <c r="AC66" i="5"/>
  <c r="AB66" i="5"/>
  <c r="AA66" i="5"/>
  <c r="Z66" i="5"/>
  <c r="Y66" i="5"/>
  <c r="X66" i="5"/>
  <c r="W66" i="5"/>
  <c r="V66" i="5"/>
  <c r="U66" i="5"/>
  <c r="T66" i="5"/>
  <c r="S66" i="5"/>
  <c r="R66" i="5"/>
  <c r="Q66" i="5"/>
  <c r="AN65" i="5"/>
  <c r="AM65" i="5"/>
  <c r="AL65" i="5"/>
  <c r="AK65" i="5"/>
  <c r="AJ65" i="5"/>
  <c r="AI65" i="5"/>
  <c r="AH65" i="5"/>
  <c r="AG65" i="5"/>
  <c r="AF65" i="5"/>
  <c r="AE65" i="5"/>
  <c r="AD65" i="5"/>
  <c r="AC65" i="5"/>
  <c r="AB65" i="5"/>
  <c r="AA65" i="5"/>
  <c r="Z65" i="5"/>
  <c r="Y65" i="5"/>
  <c r="X65" i="5"/>
  <c r="W65" i="5"/>
  <c r="V65" i="5"/>
  <c r="U65" i="5"/>
  <c r="T65" i="5"/>
  <c r="S65" i="5"/>
  <c r="R65" i="5"/>
  <c r="Q65" i="5"/>
  <c r="AN64" i="5"/>
  <c r="AM64" i="5"/>
  <c r="AL64" i="5"/>
  <c r="AK64" i="5"/>
  <c r="AJ64" i="5"/>
  <c r="AI64" i="5"/>
  <c r="AH64" i="5"/>
  <c r="AG64" i="5"/>
  <c r="AF64" i="5"/>
  <c r="AE64" i="5"/>
  <c r="AD64" i="5"/>
  <c r="AC64" i="5"/>
  <c r="AB64" i="5"/>
  <c r="AA64" i="5"/>
  <c r="Z64" i="5"/>
  <c r="Y64" i="5"/>
  <c r="X64" i="5"/>
  <c r="W64" i="5"/>
  <c r="V64" i="5"/>
  <c r="U64" i="5"/>
  <c r="T64" i="5"/>
  <c r="S64" i="5"/>
  <c r="R64" i="5"/>
  <c r="Q64" i="5"/>
  <c r="AN63" i="5"/>
  <c r="AM63" i="5"/>
  <c r="AL63" i="5"/>
  <c r="AK63" i="5"/>
  <c r="AJ63" i="5"/>
  <c r="AI63" i="5"/>
  <c r="AH63" i="5"/>
  <c r="AG63" i="5"/>
  <c r="AF63" i="5"/>
  <c r="AE63" i="5"/>
  <c r="AD63" i="5"/>
  <c r="AC63" i="5"/>
  <c r="AB63" i="5"/>
  <c r="AA63" i="5"/>
  <c r="Z63" i="5"/>
  <c r="Y63" i="5"/>
  <c r="X63" i="5"/>
  <c r="W63" i="5"/>
  <c r="V63" i="5"/>
  <c r="U63" i="5"/>
  <c r="T63" i="5"/>
  <c r="S63" i="5"/>
  <c r="R63" i="5"/>
  <c r="Q63" i="5"/>
  <c r="AN62" i="5"/>
  <c r="AM62" i="5"/>
  <c r="AL62" i="5"/>
  <c r="AK62" i="5"/>
  <c r="AJ62" i="5"/>
  <c r="AI62" i="5"/>
  <c r="AH62" i="5"/>
  <c r="AG62" i="5"/>
  <c r="AF62" i="5"/>
  <c r="AE62" i="5"/>
  <c r="AD62" i="5"/>
  <c r="AC62" i="5"/>
  <c r="AB62" i="5"/>
  <c r="AA62" i="5"/>
  <c r="Z62" i="5"/>
  <c r="Y62" i="5"/>
  <c r="X62" i="5"/>
  <c r="W62" i="5"/>
  <c r="V62" i="5"/>
  <c r="U62" i="5"/>
  <c r="T62" i="5"/>
  <c r="S62" i="5"/>
  <c r="R62" i="5"/>
  <c r="Q62" i="5"/>
  <c r="AN61" i="5"/>
  <c r="AM61" i="5"/>
  <c r="AL61" i="5"/>
  <c r="AK61" i="5"/>
  <c r="AJ61" i="5"/>
  <c r="AI61" i="5"/>
  <c r="AH61" i="5"/>
  <c r="AG61" i="5"/>
  <c r="AF61" i="5"/>
  <c r="AE61" i="5"/>
  <c r="AD61" i="5"/>
  <c r="AC61" i="5"/>
  <c r="AB61" i="5"/>
  <c r="AA61" i="5"/>
  <c r="Z61" i="5"/>
  <c r="Y61" i="5"/>
  <c r="X61" i="5"/>
  <c r="W61" i="5"/>
  <c r="V61" i="5"/>
  <c r="U61" i="5"/>
  <c r="T61" i="5"/>
  <c r="S61" i="5"/>
  <c r="R61" i="5"/>
  <c r="Q61" i="5"/>
  <c r="AN60" i="5"/>
  <c r="AM60" i="5"/>
  <c r="AL60" i="5"/>
  <c r="AK60" i="5"/>
  <c r="AJ60" i="5"/>
  <c r="AI60" i="5"/>
  <c r="AH60" i="5"/>
  <c r="AG60" i="5"/>
  <c r="AF60" i="5"/>
  <c r="AE60" i="5"/>
  <c r="AD60" i="5"/>
  <c r="AC60" i="5"/>
  <c r="AB60" i="5"/>
  <c r="AA60" i="5"/>
  <c r="Z60" i="5"/>
  <c r="Y60" i="5"/>
  <c r="X60" i="5"/>
  <c r="W60" i="5"/>
  <c r="V60" i="5"/>
  <c r="U60" i="5"/>
  <c r="T60" i="5"/>
  <c r="S60" i="5"/>
  <c r="R60" i="5"/>
  <c r="Q60" i="5"/>
  <c r="AN59" i="5"/>
  <c r="AM59" i="5"/>
  <c r="AL59" i="5"/>
  <c r="AK59" i="5"/>
  <c r="AJ59" i="5"/>
  <c r="AI59" i="5"/>
  <c r="AH59" i="5"/>
  <c r="AG59" i="5"/>
  <c r="AF59" i="5"/>
  <c r="AE59" i="5"/>
  <c r="AD59" i="5"/>
  <c r="AC59" i="5"/>
  <c r="AB59" i="5"/>
  <c r="AA59" i="5"/>
  <c r="Z59" i="5"/>
  <c r="Y59" i="5"/>
  <c r="X59" i="5"/>
  <c r="W59" i="5"/>
  <c r="V59" i="5"/>
  <c r="U59" i="5"/>
  <c r="T59" i="5"/>
  <c r="S59" i="5"/>
  <c r="R59" i="5"/>
  <c r="Q59" i="5"/>
  <c r="AN58" i="5"/>
  <c r="AM58" i="5"/>
  <c r="AL58" i="5"/>
  <c r="AK58" i="5"/>
  <c r="AJ58" i="5"/>
  <c r="AI58" i="5"/>
  <c r="AH58" i="5"/>
  <c r="AG58" i="5"/>
  <c r="AF58" i="5"/>
  <c r="AE58" i="5"/>
  <c r="AD58" i="5"/>
  <c r="AC58" i="5"/>
  <c r="AB58" i="5"/>
  <c r="AA58" i="5"/>
  <c r="Z58" i="5"/>
  <c r="Y58" i="5"/>
  <c r="X58" i="5"/>
  <c r="W58" i="5"/>
  <c r="V58" i="5"/>
  <c r="U58" i="5"/>
  <c r="T58" i="5"/>
  <c r="S58" i="5"/>
  <c r="R58" i="5"/>
  <c r="Q58" i="5"/>
  <c r="AN57" i="5"/>
  <c r="AM57" i="5"/>
  <c r="AL57" i="5"/>
  <c r="AK57" i="5"/>
  <c r="AJ57" i="5"/>
  <c r="AI57" i="5"/>
  <c r="AH57" i="5"/>
  <c r="AG57" i="5"/>
  <c r="AF57" i="5"/>
  <c r="AE57" i="5"/>
  <c r="AD57" i="5"/>
  <c r="AC57" i="5"/>
  <c r="AB57" i="5"/>
  <c r="AA57" i="5"/>
  <c r="Z57" i="5"/>
  <c r="Y57" i="5"/>
  <c r="X57" i="5"/>
  <c r="W57" i="5"/>
  <c r="V57" i="5"/>
  <c r="U57" i="5"/>
  <c r="T57" i="5"/>
  <c r="S57" i="5"/>
  <c r="R57" i="5"/>
  <c r="Q57" i="5"/>
  <c r="AN56" i="5"/>
  <c r="AM56" i="5"/>
  <c r="AL56" i="5"/>
  <c r="AK56" i="5"/>
  <c r="AJ56" i="5"/>
  <c r="AI56" i="5"/>
  <c r="AH56" i="5"/>
  <c r="AG56" i="5"/>
  <c r="AF56" i="5"/>
  <c r="AE56" i="5"/>
  <c r="AD56" i="5"/>
  <c r="AC56" i="5"/>
  <c r="AB56" i="5"/>
  <c r="AA56" i="5"/>
  <c r="Z56" i="5"/>
  <c r="Y56" i="5"/>
  <c r="X56" i="5"/>
  <c r="W56" i="5"/>
  <c r="V56" i="5"/>
  <c r="U56" i="5"/>
  <c r="T56" i="5"/>
  <c r="S56" i="5"/>
  <c r="R56" i="5"/>
  <c r="Q56" i="5"/>
  <c r="AN55" i="5"/>
  <c r="AM55" i="5"/>
  <c r="AL55" i="5"/>
  <c r="AK55" i="5"/>
  <c r="AJ55" i="5"/>
  <c r="AI55" i="5"/>
  <c r="AH55" i="5"/>
  <c r="AG55" i="5"/>
  <c r="AF55" i="5"/>
  <c r="AE55" i="5"/>
  <c r="AD55" i="5"/>
  <c r="AC55" i="5"/>
  <c r="AB55" i="5"/>
  <c r="AA55" i="5"/>
  <c r="Z55" i="5"/>
  <c r="Y55" i="5"/>
  <c r="X55" i="5"/>
  <c r="W55" i="5"/>
  <c r="V55" i="5"/>
  <c r="U55" i="5"/>
  <c r="T55" i="5"/>
  <c r="S55" i="5"/>
  <c r="R55" i="5"/>
  <c r="Q55" i="5"/>
  <c r="AN54" i="5"/>
  <c r="AM54" i="5"/>
  <c r="AL54" i="5"/>
  <c r="AK54" i="5"/>
  <c r="AJ54" i="5"/>
  <c r="AI54" i="5"/>
  <c r="AH54" i="5"/>
  <c r="AG54" i="5"/>
  <c r="AF54" i="5"/>
  <c r="AE54" i="5"/>
  <c r="AD54" i="5"/>
  <c r="AC54" i="5"/>
  <c r="AB54" i="5"/>
  <c r="AA54" i="5"/>
  <c r="Z54" i="5"/>
  <c r="Y54" i="5"/>
  <c r="X54" i="5"/>
  <c r="W54" i="5"/>
  <c r="V54" i="5"/>
  <c r="U54" i="5"/>
  <c r="T54" i="5"/>
  <c r="S54" i="5"/>
  <c r="R54" i="5"/>
  <c r="Q54" i="5"/>
  <c r="AN53" i="5"/>
  <c r="AM53" i="5"/>
  <c r="AL53" i="5"/>
  <c r="AK53" i="5"/>
  <c r="AJ53" i="5"/>
  <c r="AI53" i="5"/>
  <c r="AH53" i="5"/>
  <c r="AG53" i="5"/>
  <c r="AF53" i="5"/>
  <c r="AE53" i="5"/>
  <c r="AD53" i="5"/>
  <c r="AC53" i="5"/>
  <c r="AB53" i="5"/>
  <c r="AA53" i="5"/>
  <c r="Z53" i="5"/>
  <c r="Y53" i="5"/>
  <c r="X53" i="5"/>
  <c r="W53" i="5"/>
  <c r="V53" i="5"/>
  <c r="U53" i="5"/>
  <c r="T53" i="5"/>
  <c r="S53" i="5"/>
  <c r="R53" i="5"/>
  <c r="Q53" i="5"/>
  <c r="AN52" i="5"/>
  <c r="AM52" i="5"/>
  <c r="AL52" i="5"/>
  <c r="AK52" i="5"/>
  <c r="AJ52" i="5"/>
  <c r="AI52" i="5"/>
  <c r="AH52" i="5"/>
  <c r="AG52" i="5"/>
  <c r="AF52" i="5"/>
  <c r="AE52" i="5"/>
  <c r="AD52" i="5"/>
  <c r="AC52" i="5"/>
  <c r="AB52" i="5"/>
  <c r="AA52" i="5"/>
  <c r="Z52" i="5"/>
  <c r="Y52" i="5"/>
  <c r="X52" i="5"/>
  <c r="W52" i="5"/>
  <c r="V52" i="5"/>
  <c r="U52" i="5"/>
  <c r="T52" i="5"/>
  <c r="S52" i="5"/>
  <c r="R52" i="5"/>
  <c r="Q52" i="5"/>
  <c r="AN51" i="5"/>
  <c r="AM51" i="5"/>
  <c r="AL51" i="5"/>
  <c r="AK51" i="5"/>
  <c r="AJ51" i="5"/>
  <c r="AI51" i="5"/>
  <c r="AH51" i="5"/>
  <c r="AG51" i="5"/>
  <c r="AF51" i="5"/>
  <c r="AE51" i="5"/>
  <c r="AD51" i="5"/>
  <c r="AC51" i="5"/>
  <c r="AB51" i="5"/>
  <c r="AA51" i="5"/>
  <c r="Z51" i="5"/>
  <c r="Y51" i="5"/>
  <c r="X51" i="5"/>
  <c r="W51" i="5"/>
  <c r="V51" i="5"/>
  <c r="U51" i="5"/>
  <c r="T51" i="5"/>
  <c r="S51" i="5"/>
  <c r="R51" i="5"/>
  <c r="Q51" i="5"/>
  <c r="AN50" i="5"/>
  <c r="AM50" i="5"/>
  <c r="AL50" i="5"/>
  <c r="AK50" i="5"/>
  <c r="AJ50" i="5"/>
  <c r="AI50" i="5"/>
  <c r="AH50" i="5"/>
  <c r="AG50" i="5"/>
  <c r="AF50" i="5"/>
  <c r="AE50" i="5"/>
  <c r="AD50" i="5"/>
  <c r="AC50" i="5"/>
  <c r="AB50" i="5"/>
  <c r="AA50" i="5"/>
  <c r="Z50" i="5"/>
  <c r="Y50" i="5"/>
  <c r="X50" i="5"/>
  <c r="W50" i="5"/>
  <c r="V50" i="5"/>
  <c r="U50" i="5"/>
  <c r="T50" i="5"/>
  <c r="S50" i="5"/>
  <c r="R50" i="5"/>
  <c r="Q50" i="5"/>
  <c r="AN49" i="5"/>
  <c r="AM49" i="5"/>
  <c r="AL49" i="5"/>
  <c r="AK49" i="5"/>
  <c r="AJ49" i="5"/>
  <c r="AI49" i="5"/>
  <c r="AH49" i="5"/>
  <c r="AG49" i="5"/>
  <c r="AF49" i="5"/>
  <c r="AE49" i="5"/>
  <c r="AD49" i="5"/>
  <c r="AC49" i="5"/>
  <c r="AB49" i="5"/>
  <c r="AA49" i="5"/>
  <c r="Z49" i="5"/>
  <c r="Y49" i="5"/>
  <c r="X49" i="5"/>
  <c r="W49" i="5"/>
  <c r="V49" i="5"/>
  <c r="U49" i="5"/>
  <c r="T49" i="5"/>
  <c r="S49" i="5"/>
  <c r="R49" i="5"/>
  <c r="Q49" i="5"/>
  <c r="AN48" i="5"/>
  <c r="AM48" i="5"/>
  <c r="AL48" i="5"/>
  <c r="AK48" i="5"/>
  <c r="AJ48" i="5"/>
  <c r="AI48" i="5"/>
  <c r="AH48" i="5"/>
  <c r="AG48" i="5"/>
  <c r="AF48" i="5"/>
  <c r="AE48" i="5"/>
  <c r="AD48" i="5"/>
  <c r="AC48" i="5"/>
  <c r="AB48" i="5"/>
  <c r="AA48" i="5"/>
  <c r="Z48" i="5"/>
  <c r="Y48" i="5"/>
  <c r="X48" i="5"/>
  <c r="W48" i="5"/>
  <c r="V48" i="5"/>
  <c r="U48" i="5"/>
  <c r="T48" i="5"/>
  <c r="S48" i="5"/>
  <c r="R48" i="5"/>
  <c r="Q48" i="5"/>
  <c r="AN47" i="5"/>
  <c r="AM47" i="5"/>
  <c r="AL47" i="5"/>
  <c r="AK47" i="5"/>
  <c r="AJ47" i="5"/>
  <c r="AI47" i="5"/>
  <c r="AH47" i="5"/>
  <c r="AG47" i="5"/>
  <c r="AF47" i="5"/>
  <c r="AE47" i="5"/>
  <c r="AD47" i="5"/>
  <c r="AC47" i="5"/>
  <c r="AB47" i="5"/>
  <c r="AA47" i="5"/>
  <c r="Z47" i="5"/>
  <c r="Y47" i="5"/>
  <c r="X47" i="5"/>
  <c r="W47" i="5"/>
  <c r="V47" i="5"/>
  <c r="U47" i="5"/>
  <c r="T47" i="5"/>
  <c r="S47" i="5"/>
  <c r="R47" i="5"/>
  <c r="Q47" i="5"/>
  <c r="AN46" i="5"/>
  <c r="AM46" i="5"/>
  <c r="AL46" i="5"/>
  <c r="AK46" i="5"/>
  <c r="AJ46" i="5"/>
  <c r="AI46" i="5"/>
  <c r="AH46" i="5"/>
  <c r="AG46" i="5"/>
  <c r="AF46" i="5"/>
  <c r="AE46" i="5"/>
  <c r="AD46" i="5"/>
  <c r="AC46" i="5"/>
  <c r="AB46" i="5"/>
  <c r="AA46" i="5"/>
  <c r="Z46" i="5"/>
  <c r="Y46" i="5"/>
  <c r="X46" i="5"/>
  <c r="W46" i="5"/>
  <c r="V46" i="5"/>
  <c r="U46" i="5"/>
  <c r="T46" i="5"/>
  <c r="S46" i="5"/>
  <c r="R46" i="5"/>
  <c r="Q46" i="5"/>
  <c r="AN45" i="5"/>
  <c r="AM45" i="5"/>
  <c r="AL45" i="5"/>
  <c r="AK45" i="5"/>
  <c r="AJ45" i="5"/>
  <c r="AI45" i="5"/>
  <c r="AH45" i="5"/>
  <c r="AG45" i="5"/>
  <c r="AF45" i="5"/>
  <c r="AE45" i="5"/>
  <c r="AD45" i="5"/>
  <c r="AC45" i="5"/>
  <c r="AB45" i="5"/>
  <c r="AA45" i="5"/>
  <c r="Z45" i="5"/>
  <c r="Y45" i="5"/>
  <c r="X45" i="5"/>
  <c r="W45" i="5"/>
  <c r="V45" i="5"/>
  <c r="U45" i="5"/>
  <c r="T45" i="5"/>
  <c r="S45" i="5"/>
  <c r="R45" i="5"/>
  <c r="Q45" i="5"/>
  <c r="AN44" i="5"/>
  <c r="AM44" i="5"/>
  <c r="AL44" i="5"/>
  <c r="AK44" i="5"/>
  <c r="AJ44" i="5"/>
  <c r="AI44" i="5"/>
  <c r="AH44" i="5"/>
  <c r="AG44" i="5"/>
  <c r="AF44" i="5"/>
  <c r="AE44" i="5"/>
  <c r="AD44" i="5"/>
  <c r="AC44" i="5"/>
  <c r="AB44" i="5"/>
  <c r="AA44" i="5"/>
  <c r="Z44" i="5"/>
  <c r="Y44" i="5"/>
  <c r="X44" i="5"/>
  <c r="W44" i="5"/>
  <c r="V44" i="5"/>
  <c r="U44" i="5"/>
  <c r="T44" i="5"/>
  <c r="S44" i="5"/>
  <c r="R44" i="5"/>
  <c r="Q44" i="5"/>
  <c r="AN43" i="5"/>
  <c r="AM43" i="5"/>
  <c r="AL43" i="5"/>
  <c r="AK43" i="5"/>
  <c r="AJ43" i="5"/>
  <c r="AI43" i="5"/>
  <c r="AH43" i="5"/>
  <c r="AG43" i="5"/>
  <c r="AF43" i="5"/>
  <c r="AE43" i="5"/>
  <c r="AD43" i="5"/>
  <c r="AC43" i="5"/>
  <c r="AB43" i="5"/>
  <c r="AA43" i="5"/>
  <c r="Z43" i="5"/>
  <c r="Y43" i="5"/>
  <c r="X43" i="5"/>
  <c r="W43" i="5"/>
  <c r="V43" i="5"/>
  <c r="U43" i="5"/>
  <c r="T43" i="5"/>
  <c r="S43" i="5"/>
  <c r="R43" i="5"/>
  <c r="Q43" i="5"/>
  <c r="AN42" i="5"/>
  <c r="AM42" i="5"/>
  <c r="AL42" i="5"/>
  <c r="AK42" i="5"/>
  <c r="AJ42" i="5"/>
  <c r="AI42" i="5"/>
  <c r="AH42" i="5"/>
  <c r="AG42" i="5"/>
  <c r="AF42" i="5"/>
  <c r="AE42" i="5"/>
  <c r="AD42" i="5"/>
  <c r="AC42" i="5"/>
  <c r="AB42" i="5"/>
  <c r="AA42" i="5"/>
  <c r="Z42" i="5"/>
  <c r="Y42" i="5"/>
  <c r="X42" i="5"/>
  <c r="W42" i="5"/>
  <c r="V42" i="5"/>
  <c r="U42" i="5"/>
  <c r="T42" i="5"/>
  <c r="S42" i="5"/>
  <c r="R42" i="5"/>
  <c r="Q42" i="5"/>
  <c r="AN41" i="5"/>
  <c r="AM41" i="5"/>
  <c r="AL41" i="5"/>
  <c r="AK41" i="5"/>
  <c r="AJ41" i="5"/>
  <c r="AI41" i="5"/>
  <c r="AH41" i="5"/>
  <c r="AG41" i="5"/>
  <c r="AF41" i="5"/>
  <c r="AE41" i="5"/>
  <c r="AD41" i="5"/>
  <c r="AC41" i="5"/>
  <c r="AB41" i="5"/>
  <c r="AA41" i="5"/>
  <c r="Z41" i="5"/>
  <c r="Y41" i="5"/>
  <c r="X41" i="5"/>
  <c r="W41" i="5"/>
  <c r="V41" i="5"/>
  <c r="U41" i="5"/>
  <c r="T41" i="5"/>
  <c r="S41" i="5"/>
  <c r="R41" i="5"/>
  <c r="Q41" i="5"/>
  <c r="AN40" i="5"/>
  <c r="AM40" i="5"/>
  <c r="AL40" i="5"/>
  <c r="AK40" i="5"/>
  <c r="AJ40" i="5"/>
  <c r="AI40" i="5"/>
  <c r="AH40" i="5"/>
  <c r="AG40" i="5"/>
  <c r="AF40" i="5"/>
  <c r="AE40" i="5"/>
  <c r="AD40" i="5"/>
  <c r="AC40" i="5"/>
  <c r="AB40" i="5"/>
  <c r="AA40" i="5"/>
  <c r="Z40" i="5"/>
  <c r="Y40" i="5"/>
  <c r="X40" i="5"/>
  <c r="W40" i="5"/>
  <c r="V40" i="5"/>
  <c r="U40" i="5"/>
  <c r="T40" i="5"/>
  <c r="S40" i="5"/>
  <c r="R40" i="5"/>
  <c r="Q40" i="5"/>
  <c r="AN39" i="5"/>
  <c r="AM39" i="5"/>
  <c r="AL39" i="5"/>
  <c r="AK39" i="5"/>
  <c r="AJ39" i="5"/>
  <c r="AI39" i="5"/>
  <c r="AH39" i="5"/>
  <c r="AG39" i="5"/>
  <c r="AF39" i="5"/>
  <c r="AE39" i="5"/>
  <c r="AD39" i="5"/>
  <c r="AC39" i="5"/>
  <c r="AB39" i="5"/>
  <c r="AA39" i="5"/>
  <c r="Z39" i="5"/>
  <c r="Y39" i="5"/>
  <c r="X39" i="5"/>
  <c r="W39" i="5"/>
  <c r="V39" i="5"/>
  <c r="U39" i="5"/>
  <c r="T39" i="5"/>
  <c r="S39" i="5"/>
  <c r="R39" i="5"/>
  <c r="Q39" i="5"/>
  <c r="AN38" i="5"/>
  <c r="AM38" i="5"/>
  <c r="AL38" i="5"/>
  <c r="AK38" i="5"/>
  <c r="AJ38" i="5"/>
  <c r="AI38" i="5"/>
  <c r="AH38" i="5"/>
  <c r="AG38" i="5"/>
  <c r="AF38" i="5"/>
  <c r="AE38" i="5"/>
  <c r="AD38" i="5"/>
  <c r="AC38" i="5"/>
  <c r="AB38" i="5"/>
  <c r="AA38" i="5"/>
  <c r="Z38" i="5"/>
  <c r="Y38" i="5"/>
  <c r="X38" i="5"/>
  <c r="W38" i="5"/>
  <c r="V38" i="5"/>
  <c r="U38" i="5"/>
  <c r="T38" i="5"/>
  <c r="S38" i="5"/>
  <c r="R38" i="5"/>
  <c r="Q38" i="5"/>
  <c r="AN37" i="5"/>
  <c r="AM37" i="5"/>
  <c r="AL37" i="5"/>
  <c r="AK37" i="5"/>
  <c r="AJ37" i="5"/>
  <c r="AI37" i="5"/>
  <c r="AH37" i="5"/>
  <c r="AG37" i="5"/>
  <c r="AF37" i="5"/>
  <c r="AE37" i="5"/>
  <c r="AD37" i="5"/>
  <c r="AC37" i="5"/>
  <c r="AB37" i="5"/>
  <c r="AA37" i="5"/>
  <c r="Z37" i="5"/>
  <c r="Y37" i="5"/>
  <c r="X37" i="5"/>
  <c r="W37" i="5"/>
  <c r="V37" i="5"/>
  <c r="U37" i="5"/>
  <c r="T37" i="5"/>
  <c r="S37" i="5"/>
  <c r="R37" i="5"/>
  <c r="Q37" i="5"/>
  <c r="AN36" i="5"/>
  <c r="AM36" i="5"/>
  <c r="AL36" i="5"/>
  <c r="AK36" i="5"/>
  <c r="AJ36" i="5"/>
  <c r="AI36" i="5"/>
  <c r="AH36" i="5"/>
  <c r="AG36" i="5"/>
  <c r="AF36" i="5"/>
  <c r="AE36" i="5"/>
  <c r="AD36" i="5"/>
  <c r="AC36" i="5"/>
  <c r="AB36" i="5"/>
  <c r="AA36" i="5"/>
  <c r="Z36" i="5"/>
  <c r="Y36" i="5"/>
  <c r="X36" i="5"/>
  <c r="W36" i="5"/>
  <c r="V36" i="5"/>
  <c r="U36" i="5"/>
  <c r="T36" i="5"/>
  <c r="S36" i="5"/>
  <c r="R36" i="5"/>
  <c r="Q36" i="5"/>
  <c r="AN35" i="5"/>
  <c r="AM35" i="5"/>
  <c r="AL35" i="5"/>
  <c r="AK35" i="5"/>
  <c r="AJ35" i="5"/>
  <c r="AI35" i="5"/>
  <c r="AH35" i="5"/>
  <c r="AG35" i="5"/>
  <c r="AF35" i="5"/>
  <c r="AE35" i="5"/>
  <c r="AD35" i="5"/>
  <c r="AC35" i="5"/>
  <c r="AB35" i="5"/>
  <c r="AA35" i="5"/>
  <c r="Z35" i="5"/>
  <c r="Y35" i="5"/>
  <c r="X35" i="5"/>
  <c r="W35" i="5"/>
  <c r="V35" i="5"/>
  <c r="U35" i="5"/>
  <c r="T35" i="5"/>
  <c r="S35" i="5"/>
  <c r="R35" i="5"/>
  <c r="Q35" i="5"/>
  <c r="AN34" i="5"/>
  <c r="AM34" i="5"/>
  <c r="AL34" i="5"/>
  <c r="AK34" i="5"/>
  <c r="AJ34" i="5"/>
  <c r="AI34" i="5"/>
  <c r="AH34" i="5"/>
  <c r="AG34" i="5"/>
  <c r="AF34" i="5"/>
  <c r="AE34" i="5"/>
  <c r="AD34" i="5"/>
  <c r="AC34" i="5"/>
  <c r="AB34" i="5"/>
  <c r="AA34" i="5"/>
  <c r="Z34" i="5"/>
  <c r="Y34" i="5"/>
  <c r="X34" i="5"/>
  <c r="W34" i="5"/>
  <c r="V34" i="5"/>
  <c r="U34" i="5"/>
  <c r="T34" i="5"/>
  <c r="S34" i="5"/>
  <c r="R34" i="5"/>
  <c r="Q34" i="5"/>
  <c r="AN33" i="5"/>
  <c r="AM33" i="5"/>
  <c r="AL33" i="5"/>
  <c r="AK33" i="5"/>
  <c r="AJ33" i="5"/>
  <c r="AI33" i="5"/>
  <c r="AH33" i="5"/>
  <c r="AG33" i="5"/>
  <c r="AF33" i="5"/>
  <c r="AE33" i="5"/>
  <c r="AD33" i="5"/>
  <c r="AC33" i="5"/>
  <c r="AB33" i="5"/>
  <c r="AA33" i="5"/>
  <c r="Z33" i="5"/>
  <c r="Y33" i="5"/>
  <c r="X33" i="5"/>
  <c r="W33" i="5"/>
  <c r="V33" i="5"/>
  <c r="U33" i="5"/>
  <c r="T33" i="5"/>
  <c r="S33" i="5"/>
  <c r="R33" i="5"/>
  <c r="Q33" i="5"/>
  <c r="AN32" i="5"/>
  <c r="AM32" i="5"/>
  <c r="AL32" i="5"/>
  <c r="AK32" i="5"/>
  <c r="AJ32" i="5"/>
  <c r="AI32" i="5"/>
  <c r="AH32" i="5"/>
  <c r="AG32" i="5"/>
  <c r="AF32" i="5"/>
  <c r="AE32" i="5"/>
  <c r="AD32" i="5"/>
  <c r="AC32" i="5"/>
  <c r="AB32" i="5"/>
  <c r="AA32" i="5"/>
  <c r="Z32" i="5"/>
  <c r="Y32" i="5"/>
  <c r="X32" i="5"/>
  <c r="W32" i="5"/>
  <c r="V32" i="5"/>
  <c r="U32" i="5"/>
  <c r="T32" i="5"/>
  <c r="S32" i="5"/>
  <c r="R32" i="5"/>
  <c r="Q32" i="5"/>
  <c r="AN31" i="5"/>
  <c r="AM31" i="5"/>
  <c r="AL31" i="5"/>
  <c r="AK31" i="5"/>
  <c r="AJ31" i="5"/>
  <c r="AI31" i="5"/>
  <c r="AH31" i="5"/>
  <c r="AG31" i="5"/>
  <c r="AF31" i="5"/>
  <c r="AE31" i="5"/>
  <c r="AD31" i="5"/>
  <c r="AC31" i="5"/>
  <c r="AB31" i="5"/>
  <c r="AA31" i="5"/>
  <c r="Z31" i="5"/>
  <c r="Y31" i="5"/>
  <c r="X31" i="5"/>
  <c r="W31" i="5"/>
  <c r="V31" i="5"/>
  <c r="U31" i="5"/>
  <c r="T31" i="5"/>
  <c r="S31" i="5"/>
  <c r="R31" i="5"/>
  <c r="Q31" i="5"/>
  <c r="AN30" i="5"/>
  <c r="AM30" i="5"/>
  <c r="AL30" i="5"/>
  <c r="AK30" i="5"/>
  <c r="AJ30" i="5"/>
  <c r="AI30" i="5"/>
  <c r="AH30" i="5"/>
  <c r="AG30" i="5"/>
  <c r="AF30" i="5"/>
  <c r="AE30" i="5"/>
  <c r="AD30" i="5"/>
  <c r="AC30" i="5"/>
  <c r="AB30" i="5"/>
  <c r="AA30" i="5"/>
  <c r="Z30" i="5"/>
  <c r="Y30" i="5"/>
  <c r="X30" i="5"/>
  <c r="W30" i="5"/>
  <c r="V30" i="5"/>
  <c r="U30" i="5"/>
  <c r="T30" i="5"/>
  <c r="S30" i="5"/>
  <c r="R30" i="5"/>
  <c r="Q30" i="5"/>
  <c r="AN29" i="5"/>
  <c r="AM29" i="5"/>
  <c r="AL29" i="5"/>
  <c r="AK29" i="5"/>
  <c r="AJ29" i="5"/>
  <c r="AI29" i="5"/>
  <c r="AH29" i="5"/>
  <c r="AG29" i="5"/>
  <c r="AF29" i="5"/>
  <c r="AE29" i="5"/>
  <c r="AD29" i="5"/>
  <c r="AC29" i="5"/>
  <c r="AB29" i="5"/>
  <c r="AA29" i="5"/>
  <c r="Z29" i="5"/>
  <c r="Y29" i="5"/>
  <c r="X29" i="5"/>
  <c r="W29" i="5"/>
  <c r="V29" i="5"/>
  <c r="U29" i="5"/>
  <c r="T29" i="5"/>
  <c r="S29" i="5"/>
  <c r="R29" i="5"/>
  <c r="Q29" i="5"/>
  <c r="AN28" i="5"/>
  <c r="AM28" i="5"/>
  <c r="AL28" i="5"/>
  <c r="AK28" i="5"/>
  <c r="AJ28" i="5"/>
  <c r="AI28" i="5"/>
  <c r="AH28" i="5"/>
  <c r="AG28" i="5"/>
  <c r="AF28" i="5"/>
  <c r="AE28" i="5"/>
  <c r="AD28" i="5"/>
  <c r="AC28" i="5"/>
  <c r="AB28" i="5"/>
  <c r="AA28" i="5"/>
  <c r="Z28" i="5"/>
  <c r="Y28" i="5"/>
  <c r="X28" i="5"/>
  <c r="W28" i="5"/>
  <c r="V28" i="5"/>
  <c r="U28" i="5"/>
  <c r="T28" i="5"/>
  <c r="S28" i="5"/>
  <c r="R28" i="5"/>
  <c r="Q28" i="5"/>
  <c r="AN27" i="5"/>
  <c r="AM27" i="5"/>
  <c r="AL27" i="5"/>
  <c r="AK27" i="5"/>
  <c r="AJ27" i="5"/>
  <c r="AI27" i="5"/>
  <c r="AH27" i="5"/>
  <c r="AG27" i="5"/>
  <c r="AF27" i="5"/>
  <c r="AE27" i="5"/>
  <c r="AD27" i="5"/>
  <c r="AC27" i="5"/>
  <c r="AB27" i="5"/>
  <c r="AA27" i="5"/>
  <c r="Z27" i="5"/>
  <c r="Y27" i="5"/>
  <c r="X27" i="5"/>
  <c r="W27" i="5"/>
  <c r="V27" i="5"/>
  <c r="U27" i="5"/>
  <c r="T27" i="5"/>
  <c r="S27" i="5"/>
  <c r="R27" i="5"/>
  <c r="Q27" i="5"/>
  <c r="AN26" i="5"/>
  <c r="AM26" i="5"/>
  <c r="AL26" i="5"/>
  <c r="AK26" i="5"/>
  <c r="AJ26" i="5"/>
  <c r="AI26" i="5"/>
  <c r="AH26" i="5"/>
  <c r="AG26" i="5"/>
  <c r="AF26" i="5"/>
  <c r="AE26" i="5"/>
  <c r="AD26" i="5"/>
  <c r="AC26" i="5"/>
  <c r="AB26" i="5"/>
  <c r="AA26" i="5"/>
  <c r="Z26" i="5"/>
  <c r="Y26" i="5"/>
  <c r="X26" i="5"/>
  <c r="W26" i="5"/>
  <c r="V26" i="5"/>
  <c r="U26" i="5"/>
  <c r="T26" i="5"/>
  <c r="S26" i="5"/>
  <c r="R26" i="5"/>
  <c r="Q26" i="5"/>
  <c r="AN25" i="5"/>
  <c r="AM25" i="5"/>
  <c r="AL25" i="5"/>
  <c r="AK25" i="5"/>
  <c r="AJ25" i="5"/>
  <c r="AI25" i="5"/>
  <c r="AH25" i="5"/>
  <c r="AG25" i="5"/>
  <c r="AF25" i="5"/>
  <c r="AE25" i="5"/>
  <c r="AD25" i="5"/>
  <c r="AC25" i="5"/>
  <c r="AB25" i="5"/>
  <c r="AA25" i="5"/>
  <c r="Z25" i="5"/>
  <c r="Y25" i="5"/>
  <c r="X25" i="5"/>
  <c r="W25" i="5"/>
  <c r="V25" i="5"/>
  <c r="U25" i="5"/>
  <c r="T25" i="5"/>
  <c r="S25" i="5"/>
  <c r="R25" i="5"/>
  <c r="Q25" i="5"/>
  <c r="AN24" i="5"/>
  <c r="AM24" i="5"/>
  <c r="AL24" i="5"/>
  <c r="AK24" i="5"/>
  <c r="AJ24" i="5"/>
  <c r="AI24" i="5"/>
  <c r="AH24" i="5"/>
  <c r="AG24" i="5"/>
  <c r="AF24" i="5"/>
  <c r="AE24" i="5"/>
  <c r="AD24" i="5"/>
  <c r="AC24" i="5"/>
  <c r="AB24" i="5"/>
  <c r="AA24" i="5"/>
  <c r="Z24" i="5"/>
  <c r="Y24" i="5"/>
  <c r="X24" i="5"/>
  <c r="W24" i="5"/>
  <c r="V24" i="5"/>
  <c r="U24" i="5"/>
  <c r="T24" i="5"/>
  <c r="S24" i="5"/>
  <c r="R24" i="5"/>
  <c r="Q24" i="5"/>
  <c r="AN23" i="5"/>
  <c r="AM23" i="5"/>
  <c r="AL23" i="5"/>
  <c r="AK23" i="5"/>
  <c r="AJ23" i="5"/>
  <c r="AI23" i="5"/>
  <c r="AH23" i="5"/>
  <c r="AG23" i="5"/>
  <c r="AF23" i="5"/>
  <c r="AE23" i="5"/>
  <c r="AD23" i="5"/>
  <c r="AC23" i="5"/>
  <c r="AB23" i="5"/>
  <c r="AA23" i="5"/>
  <c r="Z23" i="5"/>
  <c r="Y23" i="5"/>
  <c r="X23" i="5"/>
  <c r="W23" i="5"/>
  <c r="V23" i="5"/>
  <c r="U23" i="5"/>
  <c r="T23" i="5"/>
  <c r="S23" i="5"/>
  <c r="R23" i="5"/>
  <c r="Q23" i="5"/>
  <c r="AN22" i="5"/>
  <c r="AM22" i="5"/>
  <c r="AL22" i="5"/>
  <c r="AK22" i="5"/>
  <c r="AJ22" i="5"/>
  <c r="AI22" i="5"/>
  <c r="AH22" i="5"/>
  <c r="AG22" i="5"/>
  <c r="AF22" i="5"/>
  <c r="AE22" i="5"/>
  <c r="AD22" i="5"/>
  <c r="AC22" i="5"/>
  <c r="AB22" i="5"/>
  <c r="AA22" i="5"/>
  <c r="Z22" i="5"/>
  <c r="Y22" i="5"/>
  <c r="X22" i="5"/>
  <c r="W22" i="5"/>
  <c r="V22" i="5"/>
  <c r="U22" i="5"/>
  <c r="T22" i="5"/>
  <c r="S22" i="5"/>
  <c r="R22" i="5"/>
  <c r="Q22" i="5"/>
  <c r="AN21" i="5"/>
  <c r="AM21" i="5"/>
  <c r="AL21" i="5"/>
  <c r="AK21" i="5"/>
  <c r="AJ21" i="5"/>
  <c r="AI21" i="5"/>
  <c r="AH21" i="5"/>
  <c r="AG21" i="5"/>
  <c r="AF21" i="5"/>
  <c r="AE21" i="5"/>
  <c r="AD21" i="5"/>
  <c r="AC21" i="5"/>
  <c r="AB21" i="5"/>
  <c r="AA21" i="5"/>
  <c r="Z21" i="5"/>
  <c r="Y21" i="5"/>
  <c r="X21" i="5"/>
  <c r="W21" i="5"/>
  <c r="V21" i="5"/>
  <c r="U21" i="5"/>
  <c r="T21" i="5"/>
  <c r="S21" i="5"/>
  <c r="R21" i="5"/>
  <c r="Q21" i="5"/>
  <c r="AN20" i="5"/>
  <c r="AM20" i="5"/>
  <c r="AL20" i="5"/>
  <c r="AK20" i="5"/>
  <c r="AJ20" i="5"/>
  <c r="AI20" i="5"/>
  <c r="AH20" i="5"/>
  <c r="AG20" i="5"/>
  <c r="AF20" i="5"/>
  <c r="AE20" i="5"/>
  <c r="AD20" i="5"/>
  <c r="AC20" i="5"/>
  <c r="AB20" i="5"/>
  <c r="AA20" i="5"/>
  <c r="Z20" i="5"/>
  <c r="Y20" i="5"/>
  <c r="X20" i="5"/>
  <c r="W20" i="5"/>
  <c r="V20" i="5"/>
  <c r="U20" i="5"/>
  <c r="T20" i="5"/>
  <c r="S20" i="5"/>
  <c r="R20" i="5"/>
  <c r="Q20" i="5"/>
  <c r="AN19" i="5"/>
  <c r="AM19" i="5"/>
  <c r="AL19" i="5"/>
  <c r="AK19" i="5"/>
  <c r="AJ19" i="5"/>
  <c r="AI19" i="5"/>
  <c r="AH19" i="5"/>
  <c r="AG19" i="5"/>
  <c r="AF19" i="5"/>
  <c r="AE19" i="5"/>
  <c r="AD19" i="5"/>
  <c r="AC19" i="5"/>
  <c r="AB19" i="5"/>
  <c r="AA19" i="5"/>
  <c r="Z19" i="5"/>
  <c r="Y19" i="5"/>
  <c r="X19" i="5"/>
  <c r="W19" i="5"/>
  <c r="V19" i="5"/>
  <c r="U19" i="5"/>
  <c r="T19" i="5"/>
  <c r="S19" i="5"/>
  <c r="R19" i="5"/>
  <c r="Q19" i="5"/>
  <c r="AN18" i="5"/>
  <c r="AM18" i="5"/>
  <c r="AL18" i="5"/>
  <c r="AK18" i="5"/>
  <c r="AJ18" i="5"/>
  <c r="AI18" i="5"/>
  <c r="AH18" i="5"/>
  <c r="AG18" i="5"/>
  <c r="AF18" i="5"/>
  <c r="AE18" i="5"/>
  <c r="AD18" i="5"/>
  <c r="AC18" i="5"/>
  <c r="AB18" i="5"/>
  <c r="AA18" i="5"/>
  <c r="Z18" i="5"/>
  <c r="Y18" i="5"/>
  <c r="X18" i="5"/>
  <c r="W18" i="5"/>
  <c r="V18" i="5"/>
  <c r="U18" i="5"/>
  <c r="T18" i="5"/>
  <c r="S18" i="5"/>
  <c r="R18" i="5"/>
  <c r="Q18" i="5"/>
  <c r="AN17" i="5"/>
  <c r="AM17" i="5"/>
  <c r="AL17" i="5"/>
  <c r="AK17" i="5"/>
  <c r="AJ17" i="5"/>
  <c r="AI17" i="5"/>
  <c r="AH17" i="5"/>
  <c r="AG17" i="5"/>
  <c r="AF17" i="5"/>
  <c r="AE17" i="5"/>
  <c r="AD17" i="5"/>
  <c r="AC17" i="5"/>
  <c r="AB17" i="5"/>
  <c r="AA17" i="5"/>
  <c r="Z17" i="5"/>
  <c r="Y17" i="5"/>
  <c r="X17" i="5"/>
  <c r="W17" i="5"/>
  <c r="V17" i="5"/>
  <c r="U17" i="5"/>
  <c r="T17" i="5"/>
  <c r="S17" i="5"/>
  <c r="R17" i="5"/>
  <c r="Q17" i="5"/>
  <c r="AN16" i="5"/>
  <c r="AM16" i="5"/>
  <c r="AL16" i="5"/>
  <c r="AK16" i="5"/>
  <c r="AJ16" i="5"/>
  <c r="AI16" i="5"/>
  <c r="AH16" i="5"/>
  <c r="AG16" i="5"/>
  <c r="AF16" i="5"/>
  <c r="AE16" i="5"/>
  <c r="AD16" i="5"/>
  <c r="AC16" i="5"/>
  <c r="AB16" i="5"/>
  <c r="AA16" i="5"/>
  <c r="Z16" i="5"/>
  <c r="Y16" i="5"/>
  <c r="X16" i="5"/>
  <c r="W16" i="5"/>
  <c r="V16" i="5"/>
  <c r="U16" i="5"/>
  <c r="T16" i="5"/>
  <c r="S16" i="5"/>
  <c r="R16" i="5"/>
  <c r="Q16" i="5"/>
  <c r="AN15" i="5"/>
  <c r="AM15" i="5"/>
  <c r="AL15" i="5"/>
  <c r="AK15" i="5"/>
  <c r="AJ15" i="5"/>
  <c r="AI15" i="5"/>
  <c r="AH15" i="5"/>
  <c r="AG15" i="5"/>
  <c r="AF15" i="5"/>
  <c r="AE15" i="5"/>
  <c r="AD15" i="5"/>
  <c r="AC15" i="5"/>
  <c r="AB15" i="5"/>
  <c r="AA15" i="5"/>
  <c r="Z15" i="5"/>
  <c r="Y15" i="5"/>
  <c r="X15" i="5"/>
  <c r="W15" i="5"/>
  <c r="V15" i="5"/>
  <c r="U15" i="5"/>
  <c r="T15" i="5"/>
  <c r="S15" i="5"/>
  <c r="R15" i="5"/>
  <c r="Q15" i="5"/>
  <c r="AN14" i="5"/>
  <c r="AM14" i="5"/>
  <c r="AL14" i="5"/>
  <c r="AK14" i="5"/>
  <c r="AJ14" i="5"/>
  <c r="AI14" i="5"/>
  <c r="AH14" i="5"/>
  <c r="AG14" i="5"/>
  <c r="AF14" i="5"/>
  <c r="AE14" i="5"/>
  <c r="AD14" i="5"/>
  <c r="AC14" i="5"/>
  <c r="AB14" i="5"/>
  <c r="AA14" i="5"/>
  <c r="Z14" i="5"/>
  <c r="Y14" i="5"/>
  <c r="X14" i="5"/>
  <c r="W14" i="5"/>
  <c r="V14" i="5"/>
  <c r="U14" i="5"/>
  <c r="T14" i="5"/>
  <c r="S14" i="5"/>
  <c r="R14" i="5"/>
  <c r="Q14" i="5"/>
  <c r="AN13" i="5"/>
  <c r="AM13" i="5"/>
  <c r="AL13" i="5"/>
  <c r="AK13" i="5"/>
  <c r="AJ13" i="5"/>
  <c r="AI13" i="5"/>
  <c r="AH13" i="5"/>
  <c r="AG13" i="5"/>
  <c r="AF13" i="5"/>
  <c r="AE13" i="5"/>
  <c r="AD13" i="5"/>
  <c r="AC13" i="5"/>
  <c r="AB13" i="5"/>
  <c r="AA13" i="5"/>
  <c r="Z13" i="5"/>
  <c r="Y13" i="5"/>
  <c r="X13" i="5"/>
  <c r="W13" i="5"/>
  <c r="V13" i="5"/>
  <c r="U13" i="5"/>
  <c r="T13" i="5"/>
  <c r="S13" i="5"/>
  <c r="R13" i="5"/>
  <c r="Q13" i="5"/>
  <c r="AN12" i="5"/>
  <c r="AM12" i="5"/>
  <c r="AL12" i="5"/>
  <c r="AK12" i="5"/>
  <c r="AJ12" i="5"/>
  <c r="AI12" i="5"/>
  <c r="AH12" i="5"/>
  <c r="AG12" i="5"/>
  <c r="AF12" i="5"/>
  <c r="AE12" i="5"/>
  <c r="AD12" i="5"/>
  <c r="AC12" i="5"/>
  <c r="AB12" i="5"/>
  <c r="AA12" i="5"/>
  <c r="Z12" i="5"/>
  <c r="Y12" i="5"/>
  <c r="X12" i="5"/>
  <c r="W12" i="5"/>
  <c r="V12" i="5"/>
  <c r="U12" i="5"/>
  <c r="T12" i="5"/>
  <c r="S12" i="5"/>
  <c r="R12" i="5"/>
  <c r="Q12" i="5"/>
  <c r="AN11" i="5"/>
  <c r="AM11" i="5"/>
  <c r="AL11" i="5"/>
  <c r="AK11" i="5"/>
  <c r="AJ11" i="5"/>
  <c r="AI11" i="5"/>
  <c r="AH11" i="5"/>
  <c r="AG11" i="5"/>
  <c r="AF11" i="5"/>
  <c r="AE11" i="5"/>
  <c r="AD11" i="5"/>
  <c r="AC11" i="5"/>
  <c r="AB11" i="5"/>
  <c r="AA11" i="5"/>
  <c r="Z11" i="5"/>
  <c r="Y11" i="5"/>
  <c r="X11" i="5"/>
  <c r="W11" i="5"/>
  <c r="V11" i="5"/>
  <c r="U11" i="5"/>
  <c r="T11" i="5"/>
  <c r="S11" i="5"/>
  <c r="R11" i="5"/>
  <c r="Q11" i="5"/>
  <c r="AN10" i="5"/>
  <c r="AM10" i="5"/>
  <c r="AL10" i="5"/>
  <c r="AK10" i="5"/>
  <c r="AJ10" i="5"/>
  <c r="AI10" i="5"/>
  <c r="AH10" i="5"/>
  <c r="AG10" i="5"/>
  <c r="AF10" i="5"/>
  <c r="AE10" i="5"/>
  <c r="AD10" i="5"/>
  <c r="AC10" i="5"/>
  <c r="AB10" i="5"/>
  <c r="AA10" i="5"/>
  <c r="Z10" i="5"/>
  <c r="Y10" i="5"/>
  <c r="X10" i="5"/>
  <c r="W10" i="5"/>
  <c r="V10" i="5"/>
  <c r="U10" i="5"/>
  <c r="T10" i="5"/>
  <c r="S10" i="5"/>
  <c r="R10" i="5"/>
  <c r="Q10" i="5"/>
  <c r="O80" i="5"/>
  <c r="P80" i="5" s="1"/>
  <c r="N80" i="5"/>
  <c r="M80" i="5"/>
  <c r="O79" i="5"/>
  <c r="P79" i="5" s="1"/>
  <c r="N79" i="5"/>
  <c r="M79" i="5"/>
  <c r="O78" i="5"/>
  <c r="P78" i="5" s="1"/>
  <c r="N78" i="5"/>
  <c r="M78" i="5"/>
  <c r="O77" i="5"/>
  <c r="P77" i="5" s="1"/>
  <c r="N77" i="5"/>
  <c r="M77" i="5"/>
  <c r="O76" i="5"/>
  <c r="P76" i="5" s="1"/>
  <c r="N76" i="5"/>
  <c r="M76" i="5"/>
  <c r="O75" i="5"/>
  <c r="P75" i="5" s="1"/>
  <c r="N75" i="5"/>
  <c r="M75" i="5"/>
  <c r="O74" i="5"/>
  <c r="P74" i="5" s="1"/>
  <c r="N74" i="5"/>
  <c r="M74" i="5"/>
  <c r="O73" i="5"/>
  <c r="P73" i="5" s="1"/>
  <c r="N73" i="5"/>
  <c r="M73" i="5"/>
  <c r="O72" i="5"/>
  <c r="P72" i="5" s="1"/>
  <c r="N72" i="5"/>
  <c r="M72" i="5"/>
  <c r="O71" i="5"/>
  <c r="P71" i="5" s="1"/>
  <c r="N71" i="5"/>
  <c r="M71" i="5"/>
  <c r="O70" i="5"/>
  <c r="P70" i="5" s="1"/>
  <c r="N70" i="5"/>
  <c r="M70" i="5"/>
  <c r="O69" i="5"/>
  <c r="P69" i="5" s="1"/>
  <c r="N69" i="5"/>
  <c r="M69" i="5"/>
  <c r="O68" i="5"/>
  <c r="P68" i="5" s="1"/>
  <c r="N68" i="5"/>
  <c r="M68" i="5"/>
  <c r="O67" i="5"/>
  <c r="P67" i="5" s="1"/>
  <c r="N67" i="5"/>
  <c r="M67" i="5"/>
  <c r="O66" i="5"/>
  <c r="P66" i="5" s="1"/>
  <c r="N66" i="5"/>
  <c r="M66" i="5"/>
  <c r="O65" i="5"/>
  <c r="P65" i="5" s="1"/>
  <c r="N65" i="5"/>
  <c r="M65" i="5"/>
  <c r="O64" i="5"/>
  <c r="P64" i="5" s="1"/>
  <c r="N64" i="5"/>
  <c r="M64" i="5"/>
  <c r="O63" i="5"/>
  <c r="N63" i="5"/>
  <c r="M63" i="5"/>
  <c r="O62" i="5"/>
  <c r="N62" i="5"/>
  <c r="M62" i="5"/>
  <c r="O61" i="5"/>
  <c r="N61" i="5"/>
  <c r="M61" i="5"/>
  <c r="O60" i="5"/>
  <c r="P60" i="5" s="1"/>
  <c r="N60" i="5"/>
  <c r="M60" i="5"/>
  <c r="O59" i="5"/>
  <c r="N59" i="5"/>
  <c r="M59" i="5"/>
  <c r="O58" i="5"/>
  <c r="P58" i="5" s="1"/>
  <c r="N58" i="5"/>
  <c r="M58" i="5"/>
  <c r="O57" i="5"/>
  <c r="P57" i="5" s="1"/>
  <c r="N57" i="5"/>
  <c r="M57" i="5"/>
  <c r="O56" i="5"/>
  <c r="P56" i="5" s="1"/>
  <c r="N56" i="5"/>
  <c r="M56" i="5"/>
  <c r="O55" i="5"/>
  <c r="P55" i="5" s="1"/>
  <c r="N55" i="5"/>
  <c r="M55" i="5"/>
  <c r="O54" i="5"/>
  <c r="P54" i="5" s="1"/>
  <c r="N54" i="5"/>
  <c r="M54" i="5"/>
  <c r="O53" i="5"/>
  <c r="P53" i="5" s="1"/>
  <c r="N53" i="5"/>
  <c r="M53" i="5"/>
  <c r="O52" i="5"/>
  <c r="P52" i="5" s="1"/>
  <c r="N52" i="5"/>
  <c r="M52" i="5"/>
  <c r="O51" i="5"/>
  <c r="P51" i="5" s="1"/>
  <c r="N51" i="5"/>
  <c r="M51" i="5"/>
  <c r="O50" i="5"/>
  <c r="N50" i="5"/>
  <c r="M50" i="5"/>
  <c r="O49" i="5"/>
  <c r="N49" i="5"/>
  <c r="M49" i="5"/>
  <c r="O48" i="5"/>
  <c r="P48" i="5" s="1"/>
  <c r="N48" i="5"/>
  <c r="M48" i="5"/>
  <c r="O47" i="5"/>
  <c r="P47" i="5" s="1"/>
  <c r="N47" i="5"/>
  <c r="M47" i="5"/>
  <c r="O46" i="5"/>
  <c r="P46" i="5" s="1"/>
  <c r="N46" i="5"/>
  <c r="M46" i="5"/>
  <c r="O45" i="5"/>
  <c r="N45" i="5"/>
  <c r="M45" i="5"/>
  <c r="O44" i="5"/>
  <c r="P44" i="5" s="1"/>
  <c r="N44" i="5"/>
  <c r="M44" i="5"/>
  <c r="O43" i="5"/>
  <c r="P43" i="5" s="1"/>
  <c r="N43" i="5"/>
  <c r="M43" i="5"/>
  <c r="O42" i="5"/>
  <c r="N42" i="5"/>
  <c r="M42" i="5"/>
  <c r="O41" i="5"/>
  <c r="N41" i="5"/>
  <c r="M41" i="5"/>
  <c r="O40" i="5"/>
  <c r="P40" i="5" s="1"/>
  <c r="N40" i="5"/>
  <c r="M40" i="5"/>
  <c r="O39" i="5"/>
  <c r="N39" i="5"/>
  <c r="M39" i="5"/>
  <c r="O38" i="5"/>
  <c r="P38" i="5" s="1"/>
  <c r="N38" i="5"/>
  <c r="M38" i="5"/>
  <c r="O37" i="5"/>
  <c r="P37" i="5" s="1"/>
  <c r="N37" i="5"/>
  <c r="M37" i="5"/>
  <c r="O36" i="5"/>
  <c r="P36" i="5" s="1"/>
  <c r="N36" i="5"/>
  <c r="M36" i="5"/>
  <c r="O35" i="5"/>
  <c r="N35" i="5"/>
  <c r="M35" i="5"/>
  <c r="O34" i="5"/>
  <c r="P34" i="5" s="1"/>
  <c r="N34" i="5"/>
  <c r="M34" i="5"/>
  <c r="O33" i="5"/>
  <c r="N33" i="5"/>
  <c r="M33" i="5"/>
  <c r="O32" i="5"/>
  <c r="P32" i="5" s="1"/>
  <c r="N32" i="5"/>
  <c r="M32" i="5"/>
  <c r="O31" i="5"/>
  <c r="N31" i="5"/>
  <c r="M31" i="5"/>
  <c r="O30" i="5"/>
  <c r="P30" i="5" s="1"/>
  <c r="N30" i="5"/>
  <c r="M30" i="5"/>
  <c r="O29" i="5"/>
  <c r="P29" i="5" s="1"/>
  <c r="N29" i="5"/>
  <c r="M29" i="5"/>
  <c r="O28" i="5"/>
  <c r="N28" i="5"/>
  <c r="M28" i="5"/>
  <c r="O27" i="5"/>
  <c r="P27" i="5" s="1"/>
  <c r="N27" i="5"/>
  <c r="M27" i="5"/>
  <c r="O26" i="5"/>
  <c r="N26" i="5"/>
  <c r="M26" i="5"/>
  <c r="O25" i="5"/>
  <c r="P25" i="5" s="1"/>
  <c r="N25" i="5"/>
  <c r="M25" i="5"/>
  <c r="O24" i="5"/>
  <c r="N24" i="5"/>
  <c r="M24" i="5"/>
  <c r="O23" i="5"/>
  <c r="P23" i="5" s="1"/>
  <c r="N23" i="5"/>
  <c r="M23" i="5"/>
  <c r="O22" i="5"/>
  <c r="P22" i="5" s="1"/>
  <c r="N22" i="5"/>
  <c r="M22" i="5"/>
  <c r="O21" i="5"/>
  <c r="N21" i="5"/>
  <c r="M21" i="5"/>
  <c r="O20" i="5"/>
  <c r="N20" i="5"/>
  <c r="M20" i="5"/>
  <c r="O19" i="5"/>
  <c r="N19" i="5"/>
  <c r="M19" i="5"/>
  <c r="O18" i="5"/>
  <c r="N18" i="5"/>
  <c r="M18" i="5"/>
  <c r="O17" i="5"/>
  <c r="P17" i="5" s="1"/>
  <c r="N17" i="5"/>
  <c r="M17" i="5"/>
  <c r="O16" i="5"/>
  <c r="P16" i="5" s="1"/>
  <c r="N16" i="5"/>
  <c r="M16" i="5"/>
  <c r="O15" i="5"/>
  <c r="P15" i="5" s="1"/>
  <c r="N15" i="5"/>
  <c r="M15" i="5"/>
  <c r="O14" i="5"/>
  <c r="P14" i="5" s="1"/>
  <c r="N14" i="5"/>
  <c r="M14" i="5"/>
  <c r="O13" i="5"/>
  <c r="N13" i="5"/>
  <c r="M13" i="5"/>
  <c r="O12" i="5"/>
  <c r="N12" i="5"/>
  <c r="M12" i="5"/>
  <c r="O11" i="5"/>
  <c r="P11" i="5" s="1"/>
  <c r="N11" i="5"/>
  <c r="M11" i="5"/>
  <c r="O10" i="5"/>
  <c r="P10" i="5" s="1"/>
  <c r="N10" i="5"/>
  <c r="M10" i="5"/>
  <c r="K80" i="5"/>
  <c r="L80" i="5" s="1"/>
  <c r="J80" i="5"/>
  <c r="K79" i="5"/>
  <c r="L79" i="5" s="1"/>
  <c r="J79" i="5"/>
  <c r="K78" i="5"/>
  <c r="L78" i="5" s="1"/>
  <c r="J78" i="5"/>
  <c r="K77" i="5"/>
  <c r="L77" i="5" s="1"/>
  <c r="J77" i="5"/>
  <c r="K76" i="5"/>
  <c r="L76" i="5" s="1"/>
  <c r="J76" i="5"/>
  <c r="K75" i="5"/>
  <c r="L75" i="5" s="1"/>
  <c r="J75" i="5"/>
  <c r="K74" i="5"/>
  <c r="L74" i="5" s="1"/>
  <c r="J74" i="5"/>
  <c r="K73" i="5"/>
  <c r="L73" i="5" s="1"/>
  <c r="J73" i="5"/>
  <c r="K72" i="5"/>
  <c r="L72" i="5" s="1"/>
  <c r="J72" i="5"/>
  <c r="K71" i="5"/>
  <c r="L71" i="5" s="1"/>
  <c r="J71" i="5"/>
  <c r="K70" i="5"/>
  <c r="L70" i="5" s="1"/>
  <c r="J70" i="5"/>
  <c r="K69" i="5"/>
  <c r="L69" i="5" s="1"/>
  <c r="J69" i="5"/>
  <c r="K68" i="5"/>
  <c r="L68" i="5" s="1"/>
  <c r="J68" i="5"/>
  <c r="K67" i="5"/>
  <c r="L67" i="5" s="1"/>
  <c r="J67" i="5"/>
  <c r="K66" i="5"/>
  <c r="L66" i="5" s="1"/>
  <c r="J66" i="5"/>
  <c r="K65" i="5"/>
  <c r="L65" i="5" s="1"/>
  <c r="J65" i="5"/>
  <c r="K64" i="5"/>
  <c r="L64" i="5" s="1"/>
  <c r="J64" i="5"/>
  <c r="K63" i="5"/>
  <c r="L63" i="5" s="1"/>
  <c r="J63" i="5"/>
  <c r="K62" i="5"/>
  <c r="L62" i="5" s="1"/>
  <c r="J62" i="5"/>
  <c r="K61" i="5"/>
  <c r="L61" i="5" s="1"/>
  <c r="J61" i="5"/>
  <c r="K60" i="5"/>
  <c r="L60" i="5" s="1"/>
  <c r="J60" i="5"/>
  <c r="K59" i="5"/>
  <c r="L59" i="5" s="1"/>
  <c r="J59" i="5"/>
  <c r="K58" i="5"/>
  <c r="L58" i="5" s="1"/>
  <c r="J58" i="5"/>
  <c r="K57" i="5"/>
  <c r="L57" i="5" s="1"/>
  <c r="J57" i="5"/>
  <c r="K56" i="5"/>
  <c r="L56" i="5" s="1"/>
  <c r="J56" i="5"/>
  <c r="K55" i="5"/>
  <c r="L55" i="5" s="1"/>
  <c r="J55" i="5"/>
  <c r="K54" i="5"/>
  <c r="L54" i="5" s="1"/>
  <c r="J54" i="5"/>
  <c r="K53" i="5"/>
  <c r="L53" i="5" s="1"/>
  <c r="J53" i="5"/>
  <c r="K52" i="5"/>
  <c r="L52" i="5" s="1"/>
  <c r="J52" i="5"/>
  <c r="K51" i="5"/>
  <c r="L51" i="5" s="1"/>
  <c r="J51" i="5"/>
  <c r="K50" i="5"/>
  <c r="L50" i="5" s="1"/>
  <c r="J50" i="5"/>
  <c r="K49" i="5"/>
  <c r="L49" i="5" s="1"/>
  <c r="J49" i="5"/>
  <c r="K48" i="5"/>
  <c r="L48" i="5" s="1"/>
  <c r="J48" i="5"/>
  <c r="K47" i="5"/>
  <c r="L47" i="5" s="1"/>
  <c r="J47" i="5"/>
  <c r="K46" i="5"/>
  <c r="L46" i="5" s="1"/>
  <c r="J46" i="5"/>
  <c r="K45" i="5"/>
  <c r="L45" i="5" s="1"/>
  <c r="J45" i="5"/>
  <c r="K44" i="5"/>
  <c r="L44" i="5" s="1"/>
  <c r="J44" i="5"/>
  <c r="K43" i="5"/>
  <c r="L43" i="5" s="1"/>
  <c r="J43" i="5"/>
  <c r="K42" i="5"/>
  <c r="L42" i="5" s="1"/>
  <c r="J42" i="5"/>
  <c r="K41" i="5"/>
  <c r="L41" i="5" s="1"/>
  <c r="J41" i="5"/>
  <c r="K40" i="5"/>
  <c r="L40" i="5" s="1"/>
  <c r="J40" i="5"/>
  <c r="K39" i="5"/>
  <c r="L39" i="5" s="1"/>
  <c r="J39" i="5"/>
  <c r="K38" i="5"/>
  <c r="L38" i="5" s="1"/>
  <c r="J38" i="5"/>
  <c r="K37" i="5"/>
  <c r="L37" i="5" s="1"/>
  <c r="J37" i="5"/>
  <c r="K36" i="5"/>
  <c r="L36" i="5" s="1"/>
  <c r="J36" i="5"/>
  <c r="K35" i="5"/>
  <c r="L35" i="5" s="1"/>
  <c r="J35" i="5"/>
  <c r="K34" i="5"/>
  <c r="L34" i="5" s="1"/>
  <c r="J34" i="5"/>
  <c r="K33" i="5"/>
  <c r="L33" i="5" s="1"/>
  <c r="J33" i="5"/>
  <c r="K32" i="5"/>
  <c r="L32" i="5" s="1"/>
  <c r="J32" i="5"/>
  <c r="K31" i="5"/>
  <c r="L31" i="5" s="1"/>
  <c r="J31" i="5"/>
  <c r="K30" i="5"/>
  <c r="L30" i="5" s="1"/>
  <c r="J30" i="5"/>
  <c r="K29" i="5"/>
  <c r="L29" i="5" s="1"/>
  <c r="J29" i="5"/>
  <c r="K28" i="5"/>
  <c r="L28" i="5" s="1"/>
  <c r="J28" i="5"/>
  <c r="K27" i="5"/>
  <c r="L27" i="5" s="1"/>
  <c r="J27" i="5"/>
  <c r="K26" i="5"/>
  <c r="L26" i="5" s="1"/>
  <c r="J26" i="5"/>
  <c r="K25" i="5"/>
  <c r="L25" i="5" s="1"/>
  <c r="J25" i="5"/>
  <c r="K24" i="5"/>
  <c r="L24" i="5" s="1"/>
  <c r="J24" i="5"/>
  <c r="K23" i="5"/>
  <c r="L23" i="5" s="1"/>
  <c r="J23" i="5"/>
  <c r="K22" i="5"/>
  <c r="L22" i="5" s="1"/>
  <c r="J22" i="5"/>
  <c r="K21" i="5"/>
  <c r="L21" i="5" s="1"/>
  <c r="J21" i="5"/>
  <c r="K20" i="5"/>
  <c r="L20" i="5" s="1"/>
  <c r="J20" i="5"/>
  <c r="K19" i="5"/>
  <c r="L19" i="5" s="1"/>
  <c r="J19" i="5"/>
  <c r="K18" i="5"/>
  <c r="L18" i="5" s="1"/>
  <c r="J18" i="5"/>
  <c r="K17" i="5"/>
  <c r="L17" i="5" s="1"/>
  <c r="J17" i="5"/>
  <c r="K16" i="5"/>
  <c r="L16" i="5" s="1"/>
  <c r="J16" i="5"/>
  <c r="K15" i="5"/>
  <c r="L15" i="5" s="1"/>
  <c r="J15" i="5"/>
  <c r="K14" i="5"/>
  <c r="L14" i="5" s="1"/>
  <c r="J14" i="5"/>
  <c r="K13" i="5"/>
  <c r="L13" i="5" s="1"/>
  <c r="J13" i="5"/>
  <c r="K12" i="5"/>
  <c r="L12" i="5" s="1"/>
  <c r="J12" i="5"/>
  <c r="K11" i="5"/>
  <c r="L11" i="5" s="1"/>
  <c r="J11" i="5"/>
  <c r="K10" i="5"/>
  <c r="L10" i="5" s="1"/>
  <c r="J10" i="5"/>
  <c r="H80" i="5"/>
  <c r="G80" i="5"/>
  <c r="H79" i="5"/>
  <c r="G79" i="5"/>
  <c r="H78" i="5"/>
  <c r="G78" i="5"/>
  <c r="H77" i="5"/>
  <c r="G77" i="5"/>
  <c r="H76" i="5"/>
  <c r="G76" i="5"/>
  <c r="H75" i="5"/>
  <c r="G75" i="5"/>
  <c r="H74" i="5"/>
  <c r="G74" i="5"/>
  <c r="H73" i="5"/>
  <c r="G73" i="5"/>
  <c r="H72" i="5"/>
  <c r="G72" i="5"/>
  <c r="H71" i="5"/>
  <c r="G71" i="5"/>
  <c r="H70" i="5"/>
  <c r="G70" i="5"/>
  <c r="H69" i="5"/>
  <c r="G69" i="5"/>
  <c r="H68" i="5"/>
  <c r="G68" i="5"/>
  <c r="H67" i="5"/>
  <c r="G67" i="5"/>
  <c r="H66" i="5"/>
  <c r="G66" i="5"/>
  <c r="H65" i="5"/>
  <c r="G65" i="5"/>
  <c r="H64" i="5"/>
  <c r="G64" i="5"/>
  <c r="H63" i="5"/>
  <c r="G63" i="5"/>
  <c r="H62" i="5"/>
  <c r="G62" i="5"/>
  <c r="H61" i="5"/>
  <c r="G61" i="5"/>
  <c r="H60" i="5"/>
  <c r="G60" i="5"/>
  <c r="H59" i="5"/>
  <c r="G59" i="5"/>
  <c r="H58" i="5"/>
  <c r="G58" i="5"/>
  <c r="H57" i="5"/>
  <c r="G57" i="5"/>
  <c r="H56" i="5"/>
  <c r="G56" i="5"/>
  <c r="H55" i="5"/>
  <c r="G55" i="5"/>
  <c r="H54" i="5"/>
  <c r="G54" i="5"/>
  <c r="H53" i="5"/>
  <c r="G53" i="5"/>
  <c r="H52" i="5"/>
  <c r="G52" i="5"/>
  <c r="H51" i="5"/>
  <c r="G51" i="5"/>
  <c r="H50" i="5"/>
  <c r="G50" i="5"/>
  <c r="H49" i="5"/>
  <c r="G49" i="5"/>
  <c r="H48" i="5"/>
  <c r="G48" i="5"/>
  <c r="H47" i="5"/>
  <c r="G47" i="5"/>
  <c r="H46" i="5"/>
  <c r="G46" i="5"/>
  <c r="H45" i="5"/>
  <c r="G45" i="5"/>
  <c r="H44" i="5"/>
  <c r="G44" i="5"/>
  <c r="H43" i="5"/>
  <c r="G43" i="5"/>
  <c r="H42" i="5"/>
  <c r="G42" i="5"/>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H11" i="5"/>
  <c r="G11" i="5"/>
  <c r="H10" i="5"/>
  <c r="G10" i="5"/>
  <c r="BE63" i="7" l="1"/>
  <c r="BE7" i="7"/>
  <c r="BF35" i="7"/>
  <c r="BF29" i="7"/>
  <c r="BF15" i="7"/>
  <c r="D79" i="7"/>
  <c r="BE18" i="7"/>
  <c r="BH37" i="7"/>
  <c r="BD30" i="7"/>
  <c r="BD38" i="7"/>
  <c r="BG49" i="7"/>
  <c r="BE60" i="7"/>
  <c r="BE46" i="7"/>
  <c r="BE32" i="7"/>
  <c r="BG54" i="7"/>
  <c r="BG26" i="7"/>
  <c r="BD63" i="7"/>
  <c r="BE15" i="7"/>
  <c r="BG68" i="7"/>
  <c r="BG40" i="7"/>
  <c r="BH57" i="7"/>
  <c r="BH15" i="7"/>
  <c r="BG15" i="7"/>
  <c r="BG75" i="7"/>
  <c r="BE73" i="7"/>
  <c r="BG61" i="7"/>
  <c r="BE59" i="7"/>
  <c r="BG47" i="7"/>
  <c r="BE45" i="7"/>
  <c r="BG33" i="7"/>
  <c r="BE31" i="7"/>
  <c r="BG19" i="7"/>
  <c r="BE17" i="7"/>
  <c r="BF75" i="7"/>
  <c r="BD73" i="7"/>
  <c r="BF61" i="7"/>
  <c r="BD59" i="7"/>
  <c r="BH56" i="7"/>
  <c r="BF47" i="7"/>
  <c r="BD45" i="7"/>
  <c r="BF33" i="7"/>
  <c r="BD31" i="7"/>
  <c r="BH28" i="7"/>
  <c r="BF19" i="7"/>
  <c r="BD17" i="7"/>
  <c r="BD75" i="7"/>
  <c r="BH72" i="7"/>
  <c r="BF70" i="7"/>
  <c r="BD61" i="7"/>
  <c r="BH58" i="7"/>
  <c r="BF56" i="7"/>
  <c r="BD47" i="7"/>
  <c r="BH44" i="7"/>
  <c r="BF42" i="7"/>
  <c r="BD33" i="7"/>
  <c r="BH30" i="7"/>
  <c r="BF28" i="7"/>
  <c r="BD19" i="7"/>
  <c r="BH16" i="7"/>
  <c r="BF14" i="7"/>
  <c r="BG72" i="7"/>
  <c r="BG58" i="7"/>
  <c r="BG44" i="7"/>
  <c r="BE42" i="7"/>
  <c r="BG30" i="7"/>
  <c r="BE28" i="7"/>
  <c r="BG16" i="7"/>
  <c r="BE14" i="7"/>
  <c r="BF72" i="7"/>
  <c r="BD70" i="7"/>
  <c r="BF58" i="7"/>
  <c r="BD56" i="7"/>
  <c r="BH46" i="7"/>
  <c r="BF44" i="7"/>
  <c r="BD42" i="7"/>
  <c r="BH32" i="7"/>
  <c r="BF30" i="7"/>
  <c r="BF16" i="7"/>
  <c r="BD14" i="7"/>
  <c r="BH75" i="7"/>
  <c r="BD71" i="7"/>
  <c r="BH68" i="7"/>
  <c r="BH61" i="7"/>
  <c r="BH54" i="7"/>
  <c r="BH47" i="7"/>
  <c r="BH40" i="7"/>
  <c r="BF31" i="7"/>
  <c r="BH26" i="7"/>
  <c r="BH19" i="7"/>
  <c r="BF17" i="7"/>
  <c r="BD15" i="7"/>
  <c r="BE75" i="7"/>
  <c r="BG70" i="7"/>
  <c r="BE61" i="7"/>
  <c r="BE47" i="7"/>
  <c r="BG42" i="7"/>
  <c r="BE33" i="7"/>
  <c r="BE26" i="7"/>
  <c r="BE19" i="7"/>
  <c r="BF66" i="7"/>
  <c r="BD64" i="7"/>
  <c r="BF52" i="7"/>
  <c r="BD50" i="7"/>
  <c r="BF38" i="7"/>
  <c r="BF24" i="7"/>
  <c r="BG5" i="7"/>
  <c r="BD49" i="7"/>
  <c r="BD35" i="7"/>
  <c r="BD7" i="7"/>
  <c r="BH5" i="7"/>
  <c r="BH51" i="7"/>
  <c r="BE5" i="7"/>
  <c r="BE72" i="7"/>
  <c r="BE58" i="7"/>
  <c r="BE44" i="7"/>
  <c r="BE30" i="7"/>
  <c r="BE16" i="7"/>
  <c r="BH9" i="7"/>
  <c r="BH67" i="7"/>
  <c r="BH25" i="7"/>
  <c r="BD21" i="7"/>
  <c r="BE53" i="7"/>
  <c r="BG20" i="7"/>
  <c r="BG6" i="7"/>
  <c r="BE68" i="7"/>
  <c r="BE54" i="7"/>
  <c r="BE40" i="7"/>
  <c r="BD68" i="7"/>
  <c r="BD54" i="7"/>
  <c r="BD40" i="7"/>
  <c r="BD26" i="7"/>
  <c r="BF25" i="7"/>
  <c r="BD67" i="7"/>
  <c r="BD39" i="7"/>
  <c r="BH22" i="7"/>
  <c r="BF6" i="7"/>
  <c r="BF54" i="7"/>
  <c r="BF40" i="7"/>
  <c r="BE13" i="7"/>
  <c r="BH66" i="7"/>
  <c r="BH52" i="7"/>
  <c r="BH38" i="7"/>
  <c r="BH24" i="7"/>
  <c r="BF68" i="7"/>
  <c r="BF26" i="7"/>
  <c r="BG66" i="7"/>
  <c r="BG52" i="7"/>
  <c r="BG51" i="7"/>
  <c r="BG22" i="7"/>
  <c r="BF37" i="7"/>
  <c r="BH18" i="7"/>
  <c r="BH11" i="7"/>
  <c r="BG74" i="7"/>
  <c r="BG46" i="7"/>
  <c r="BG59" i="7"/>
  <c r="BF74" i="7"/>
  <c r="BD72" i="7"/>
  <c r="BH69" i="7"/>
  <c r="BD58" i="7"/>
  <c r="BH55" i="7"/>
  <c r="BF46" i="7"/>
  <c r="BD44" i="7"/>
  <c r="BH41" i="7"/>
  <c r="BD37" i="7"/>
  <c r="BH27" i="7"/>
  <c r="BD16" i="7"/>
  <c r="BH13" i="7"/>
  <c r="BG12" i="7"/>
  <c r="BF12" i="7"/>
  <c r="BF27" i="7"/>
  <c r="BG69" i="7"/>
  <c r="BG55" i="7"/>
  <c r="BG41" i="7"/>
  <c r="BG27" i="7"/>
  <c r="BG13" i="7"/>
  <c r="BE69" i="7"/>
  <c r="BF69" i="7"/>
  <c r="BF55" i="7"/>
  <c r="BD46" i="7"/>
  <c r="BF41" i="7"/>
  <c r="BH36" i="7"/>
  <c r="BD32" i="7"/>
  <c r="BD18" i="7"/>
  <c r="BF13" i="7"/>
  <c r="BE55" i="7"/>
  <c r="BE41" i="7"/>
  <c r="BE34" i="7"/>
  <c r="BE27" i="7"/>
  <c r="BG8" i="7"/>
  <c r="BH73" i="7"/>
  <c r="BD69" i="7"/>
  <c r="BD55" i="7"/>
  <c r="BD41" i="7"/>
  <c r="BD27" i="7"/>
  <c r="BD13" i="7"/>
  <c r="BE64" i="7"/>
  <c r="BE43" i="7"/>
  <c r="BE36" i="7"/>
  <c r="BG31" i="7"/>
  <c r="BE29" i="7"/>
  <c r="BG63" i="7"/>
  <c r="BG35" i="7"/>
  <c r="BG21" i="7"/>
  <c r="BG7" i="7"/>
  <c r="BH65" i="7"/>
  <c r="BD12" i="7"/>
  <c r="BJ12" i="7" s="1"/>
  <c r="BE12" i="7"/>
  <c r="BH39" i="7"/>
  <c r="BG67" i="7"/>
  <c r="BG53" i="7"/>
  <c r="BG39" i="7"/>
  <c r="BG25" i="7"/>
  <c r="BG11" i="7"/>
  <c r="BE9" i="7"/>
  <c r="BF20" i="7"/>
  <c r="BF62" i="7"/>
  <c r="BF39" i="7"/>
  <c r="BH53" i="7"/>
  <c r="BF67" i="7"/>
  <c r="BF53" i="7"/>
  <c r="BF11" i="7"/>
  <c r="BE67" i="7"/>
  <c r="BG62" i="7"/>
  <c r="BG48" i="7"/>
  <c r="BE39" i="7"/>
  <c r="BG34" i="7"/>
  <c r="BE25" i="7"/>
  <c r="BE11" i="7"/>
  <c r="BD65" i="7"/>
  <c r="BJ65" i="7" s="1"/>
  <c r="BH64" i="7"/>
  <c r="BH50" i="7"/>
  <c r="BD25" i="7"/>
  <c r="BD11" i="7"/>
  <c r="BJ11" i="7" s="1"/>
  <c r="BH8" i="7"/>
  <c r="BD36" i="7"/>
  <c r="BG64" i="7"/>
  <c r="BE62" i="7"/>
  <c r="BG50" i="7"/>
  <c r="BE48" i="7"/>
  <c r="BG36" i="7"/>
  <c r="BE20" i="7"/>
  <c r="BE6" i="7"/>
  <c r="BD53" i="7"/>
  <c r="BF51" i="7"/>
  <c r="BF22" i="7"/>
  <c r="BF64" i="7"/>
  <c r="BD62" i="7"/>
  <c r="BH59" i="7"/>
  <c r="BF50" i="7"/>
  <c r="BD48" i="7"/>
  <c r="BH45" i="7"/>
  <c r="BF36" i="7"/>
  <c r="BD34" i="7"/>
  <c r="BH31" i="7"/>
  <c r="BD20" i="7"/>
  <c r="BH17" i="7"/>
  <c r="BH10" i="7"/>
  <c r="BF8" i="7"/>
  <c r="BD6" i="7"/>
  <c r="BG73" i="7"/>
  <c r="BE50" i="7"/>
  <c r="BG45" i="7"/>
  <c r="BG38" i="7"/>
  <c r="BG24" i="7"/>
  <c r="BE22" i="7"/>
  <c r="BG17" i="7"/>
  <c r="BG10" i="7"/>
  <c r="BE8" i="7"/>
  <c r="BE70" i="7"/>
  <c r="BD28" i="7"/>
  <c r="BK70" i="7"/>
  <c r="BF73" i="7"/>
  <c r="BF59" i="7"/>
  <c r="BF45" i="7"/>
  <c r="BH33" i="7"/>
  <c r="BD22" i="7"/>
  <c r="BH12" i="7"/>
  <c r="BF10" i="7"/>
  <c r="BD8" i="7"/>
  <c r="BK28" i="7"/>
  <c r="BF65" i="7"/>
  <c r="BG18" i="7"/>
  <c r="BH71" i="7"/>
  <c r="BD60" i="7"/>
  <c r="BF48" i="7"/>
  <c r="BH43" i="7"/>
  <c r="BF34" i="7"/>
  <c r="BH29" i="7"/>
  <c r="BG65" i="7"/>
  <c r="BE65" i="7"/>
  <c r="BH23" i="7"/>
  <c r="BD51" i="7"/>
  <c r="BE71" i="7"/>
  <c r="BE57" i="7"/>
  <c r="BE37" i="7"/>
  <c r="BG60" i="7"/>
  <c r="BG32" i="7"/>
  <c r="BG28" i="7"/>
  <c r="BG43" i="7"/>
  <c r="BD29" i="7"/>
  <c r="BD74" i="7"/>
  <c r="BD43" i="7"/>
  <c r="BF32" i="7"/>
  <c r="BG14" i="7"/>
  <c r="BG57" i="7"/>
  <c r="BG29" i="7"/>
  <c r="BK65" i="7"/>
  <c r="BH70" i="7"/>
  <c r="BH49" i="7"/>
  <c r="BH42" i="7"/>
  <c r="BH35" i="7"/>
  <c r="BH14" i="7"/>
  <c r="BG56" i="7"/>
  <c r="BH20" i="7"/>
  <c r="BE56" i="7"/>
  <c r="BE35" i="7"/>
  <c r="BG23" i="7"/>
  <c r="BE21" i="7"/>
  <c r="BG9" i="7"/>
  <c r="BH34" i="7"/>
  <c r="BH74" i="7"/>
  <c r="BH60" i="7"/>
  <c r="BF23" i="7"/>
  <c r="BF9" i="7"/>
  <c r="BE49" i="7"/>
  <c r="BG37" i="7"/>
  <c r="BE51" i="7"/>
  <c r="AY23" i="7"/>
  <c r="BE23" i="7" s="1"/>
  <c r="BF60" i="7"/>
  <c r="BH62" i="7"/>
  <c r="BH48" i="7"/>
  <c r="BD23" i="7"/>
  <c r="BF18" i="7"/>
  <c r="BD9" i="7"/>
  <c r="BH6" i="7"/>
  <c r="BD5" i="7"/>
  <c r="BD57" i="7"/>
  <c r="BG71" i="7"/>
  <c r="AV73" i="7"/>
  <c r="BC73" i="7" s="1"/>
  <c r="BI73" i="7" s="1"/>
  <c r="AV66" i="7"/>
  <c r="BC66" i="7" s="1"/>
  <c r="BI66" i="7" s="1"/>
  <c r="AV59" i="7"/>
  <c r="BC59" i="7" s="1"/>
  <c r="BI59" i="7" s="1"/>
  <c r="AV52" i="7"/>
  <c r="BC52" i="7" s="1"/>
  <c r="BI52" i="7" s="1"/>
  <c r="AV45" i="7"/>
  <c r="BC45" i="7" s="1"/>
  <c r="BI45" i="7" s="1"/>
  <c r="AV38" i="7"/>
  <c r="BC38" i="7" s="1"/>
  <c r="BI38" i="7" s="1"/>
  <c r="AV31" i="7"/>
  <c r="BC31" i="7" s="1"/>
  <c r="BI31" i="7" s="1"/>
  <c r="AV17" i="7"/>
  <c r="BC17" i="7" s="1"/>
  <c r="BI17" i="7" s="1"/>
  <c r="AV10" i="7"/>
  <c r="BC10" i="7" s="1"/>
  <c r="BI10" i="7" s="1"/>
  <c r="AV5" i="7"/>
  <c r="BC5" i="7" s="1"/>
  <c r="BI5" i="7" s="1"/>
  <c r="AV69" i="7"/>
  <c r="BC69" i="7" s="1"/>
  <c r="BI69" i="7" s="1"/>
  <c r="AV62" i="7"/>
  <c r="BC62" i="7" s="1"/>
  <c r="BI62" i="7" s="1"/>
  <c r="AV55" i="7"/>
  <c r="BC55" i="7" s="1"/>
  <c r="BI55" i="7" s="1"/>
  <c r="AV48" i="7"/>
  <c r="BC48" i="7" s="1"/>
  <c r="BI48" i="7" s="1"/>
  <c r="AV41" i="7"/>
  <c r="BC41" i="7" s="1"/>
  <c r="BI41" i="7" s="1"/>
  <c r="AV34" i="7"/>
  <c r="BC34" i="7" s="1"/>
  <c r="BI34" i="7" s="1"/>
  <c r="AV27" i="7"/>
  <c r="BC27" i="7" s="1"/>
  <c r="BI27" i="7" s="1"/>
  <c r="AV20" i="7"/>
  <c r="BC20" i="7" s="1"/>
  <c r="BI20" i="7" s="1"/>
  <c r="AV13" i="7"/>
  <c r="BC13" i="7" s="1"/>
  <c r="BI13" i="7" s="1"/>
  <c r="AV6" i="7"/>
  <c r="BC6" i="7" s="1"/>
  <c r="BI6" i="7" s="1"/>
  <c r="AV71" i="7"/>
  <c r="BC71" i="7" s="1"/>
  <c r="BI71" i="7" s="1"/>
  <c r="AV64" i="7"/>
  <c r="BC64" i="7" s="1"/>
  <c r="BI64" i="7" s="1"/>
  <c r="AV57" i="7"/>
  <c r="BC57" i="7" s="1"/>
  <c r="BI57" i="7" s="1"/>
  <c r="AV50" i="7"/>
  <c r="BC50" i="7" s="1"/>
  <c r="BI50" i="7" s="1"/>
  <c r="AV43" i="7"/>
  <c r="BC43" i="7" s="1"/>
  <c r="BI43" i="7" s="1"/>
  <c r="AV36" i="7"/>
  <c r="BC36" i="7" s="1"/>
  <c r="BI36" i="7" s="1"/>
  <c r="AV29" i="7"/>
  <c r="BC29" i="7" s="1"/>
  <c r="BI29" i="7" s="1"/>
  <c r="AV22" i="7"/>
  <c r="BC22" i="7" s="1"/>
  <c r="BI22" i="7" s="1"/>
  <c r="AV15" i="7"/>
  <c r="BC15" i="7" s="1"/>
  <c r="BI15" i="7" s="1"/>
  <c r="AV8" i="7"/>
  <c r="BC8" i="7" s="1"/>
  <c r="BI8" i="7" s="1"/>
  <c r="AV24" i="7"/>
  <c r="BC24" i="7" s="1"/>
  <c r="BI24" i="7" s="1"/>
  <c r="AV75" i="7"/>
  <c r="BC75" i="7" s="1"/>
  <c r="BI75" i="7" s="1"/>
  <c r="AV68" i="7"/>
  <c r="BC68" i="7" s="1"/>
  <c r="BI68" i="7" s="1"/>
  <c r="AV61" i="7"/>
  <c r="BC61" i="7" s="1"/>
  <c r="BI61" i="7" s="1"/>
  <c r="AV54" i="7"/>
  <c r="BC54" i="7" s="1"/>
  <c r="BI54" i="7" s="1"/>
  <c r="AV47" i="7"/>
  <c r="BC47" i="7" s="1"/>
  <c r="BI47" i="7" s="1"/>
  <c r="AV40" i="7"/>
  <c r="BC40" i="7" s="1"/>
  <c r="BI40" i="7" s="1"/>
  <c r="AV33" i="7"/>
  <c r="BC33" i="7" s="1"/>
  <c r="BI33" i="7" s="1"/>
  <c r="AV26" i="7"/>
  <c r="BC26" i="7" s="1"/>
  <c r="BI26" i="7" s="1"/>
  <c r="AV19" i="7"/>
  <c r="BC19" i="7" s="1"/>
  <c r="BI19" i="7" s="1"/>
  <c r="AV12" i="7"/>
  <c r="BC12" i="7" s="1"/>
  <c r="BI12" i="7" s="1"/>
  <c r="AV70" i="7"/>
  <c r="BC70" i="7" s="1"/>
  <c r="BI70" i="7" s="1"/>
  <c r="AV63" i="7"/>
  <c r="BC63" i="7" s="1"/>
  <c r="BI63" i="7" s="1"/>
  <c r="AV56" i="7"/>
  <c r="BC56" i="7" s="1"/>
  <c r="BI56" i="7" s="1"/>
  <c r="AV49" i="7"/>
  <c r="BC49" i="7" s="1"/>
  <c r="BI49" i="7" s="1"/>
  <c r="AV42" i="7"/>
  <c r="BC42" i="7" s="1"/>
  <c r="BI42" i="7" s="1"/>
  <c r="AV35" i="7"/>
  <c r="BC35" i="7" s="1"/>
  <c r="BI35" i="7" s="1"/>
  <c r="AV28" i="7"/>
  <c r="BC28" i="7" s="1"/>
  <c r="BI28" i="7" s="1"/>
  <c r="AV21" i="7"/>
  <c r="BC21" i="7" s="1"/>
  <c r="BI21" i="7" s="1"/>
  <c r="AV14" i="7"/>
  <c r="BC14" i="7" s="1"/>
  <c r="BI14" i="7" s="1"/>
  <c r="AV7" i="7"/>
  <c r="BC7" i="7" s="1"/>
  <c r="BI7" i="7" s="1"/>
  <c r="AV72" i="7"/>
  <c r="BC72" i="7" s="1"/>
  <c r="BI72" i="7" s="1"/>
  <c r="AV65" i="7"/>
  <c r="BC65" i="7" s="1"/>
  <c r="BI65" i="7" s="1"/>
  <c r="AV58" i="7"/>
  <c r="BC58" i="7" s="1"/>
  <c r="BI58" i="7" s="1"/>
  <c r="AV51" i="7"/>
  <c r="BC51" i="7" s="1"/>
  <c r="BI51" i="7" s="1"/>
  <c r="AV44" i="7"/>
  <c r="BC44" i="7" s="1"/>
  <c r="BI44" i="7" s="1"/>
  <c r="AV37" i="7"/>
  <c r="BC37" i="7" s="1"/>
  <c r="BI37" i="7" s="1"/>
  <c r="AV30" i="7"/>
  <c r="BC30" i="7" s="1"/>
  <c r="BI30" i="7" s="1"/>
  <c r="AV23" i="7"/>
  <c r="BC23" i="7" s="1"/>
  <c r="BI23" i="7" s="1"/>
  <c r="AV16" i="7"/>
  <c r="BC16" i="7" s="1"/>
  <c r="BI16" i="7" s="1"/>
  <c r="AV9" i="7"/>
  <c r="BC9" i="7" s="1"/>
  <c r="BI9" i="7" s="1"/>
  <c r="AV74" i="7"/>
  <c r="BC74" i="7" s="1"/>
  <c r="BI74" i="7" s="1"/>
  <c r="AV67" i="7"/>
  <c r="BC67" i="7" s="1"/>
  <c r="BI67" i="7" s="1"/>
  <c r="AV60" i="7"/>
  <c r="BC60" i="7" s="1"/>
  <c r="BI60" i="7" s="1"/>
  <c r="AV53" i="7"/>
  <c r="BC53" i="7" s="1"/>
  <c r="BI53" i="7" s="1"/>
  <c r="AV46" i="7"/>
  <c r="BC46" i="7" s="1"/>
  <c r="BI46" i="7" s="1"/>
  <c r="AV39" i="7"/>
  <c r="BC39" i="7" s="1"/>
  <c r="BI39" i="7" s="1"/>
  <c r="AV32" i="7"/>
  <c r="BC32" i="7" s="1"/>
  <c r="BI32" i="7" s="1"/>
  <c r="AV25" i="7"/>
  <c r="BC25" i="7" s="1"/>
  <c r="BI25" i="7" s="1"/>
  <c r="AV18" i="7"/>
  <c r="BC18" i="7" s="1"/>
  <c r="BI18" i="7" s="1"/>
  <c r="AV11" i="7"/>
  <c r="BC11" i="7" s="1"/>
  <c r="BI11" i="7" s="1"/>
  <c r="BK77" i="7" l="1"/>
  <c r="BI77" i="7" s="1"/>
  <c r="BJ61" i="7"/>
  <c r="BJ38" i="7"/>
  <c r="BJ7" i="7"/>
  <c r="BJ52" i="7"/>
  <c r="BJ75" i="7"/>
  <c r="BJ30" i="7"/>
  <c r="BJ15" i="7"/>
  <c r="BJ19" i="7"/>
  <c r="BJ47" i="7"/>
  <c r="BJ21" i="7"/>
  <c r="BJ54" i="7"/>
  <c r="BJ59" i="7"/>
  <c r="BJ63" i="7"/>
  <c r="BJ5" i="7"/>
  <c r="BJ20" i="7"/>
  <c r="BJ44" i="7"/>
  <c r="BJ18" i="7"/>
  <c r="BJ53" i="7"/>
  <c r="BJ8" i="7"/>
  <c r="BJ68" i="7"/>
  <c r="BJ66" i="7"/>
  <c r="BJ22" i="7"/>
  <c r="BJ25" i="7"/>
  <c r="BJ55" i="7"/>
  <c r="BJ26" i="7"/>
  <c r="BJ40" i="7"/>
  <c r="BJ45" i="7"/>
  <c r="BJ27" i="7"/>
  <c r="BJ10" i="7"/>
  <c r="BJ13" i="7"/>
  <c r="BJ16" i="7"/>
  <c r="BJ37" i="7"/>
  <c r="BJ41" i="7"/>
  <c r="BJ14" i="7"/>
  <c r="BJ69" i="7"/>
  <c r="BJ71" i="7"/>
  <c r="BJ73" i="7"/>
  <c r="BJ46" i="7"/>
  <c r="BJ72" i="7"/>
  <c r="BJ58" i="7"/>
  <c r="BJ36" i="7"/>
  <c r="BJ70" i="7"/>
  <c r="BJ39" i="7"/>
  <c r="BJ50" i="7"/>
  <c r="BJ29" i="7"/>
  <c r="BJ49" i="7"/>
  <c r="BJ35" i="7"/>
  <c r="BJ32" i="7"/>
  <c r="BJ64" i="7"/>
  <c r="BJ17" i="7"/>
  <c r="BJ42" i="7"/>
  <c r="BJ62" i="7"/>
  <c r="BJ33" i="7"/>
  <c r="BJ67" i="7"/>
  <c r="BJ31" i="7"/>
  <c r="BJ28" i="7"/>
  <c r="BJ6" i="7"/>
  <c r="BJ34" i="7"/>
  <c r="BJ60" i="7"/>
  <c r="BJ24" i="7"/>
  <c r="BJ56" i="7"/>
  <c r="BJ48" i="7"/>
  <c r="BJ9" i="7"/>
  <c r="BJ43" i="7"/>
  <c r="BJ51" i="7"/>
  <c r="BJ57" i="7"/>
  <c r="BJ74" i="7"/>
  <c r="BJ23" i="7"/>
  <c r="BE77" i="7" l="1"/>
  <c r="BH77" i="7"/>
  <c r="BG77" i="7"/>
  <c r="BF77" i="7"/>
  <c r="BD77" i="7"/>
</calcChain>
</file>

<file path=xl/sharedStrings.xml><?xml version="1.0" encoding="utf-8"?>
<sst xmlns="http://schemas.openxmlformats.org/spreadsheetml/2006/main" count="62122" uniqueCount="2247">
  <si>
    <t>Commodity: Cobalt</t>
  </si>
  <si>
    <t>Scenario:  Market Intelligence 2024 Constant USD</t>
  </si>
  <si>
    <t xml:space="preserve"> Period Ended</t>
  </si>
  <si>
    <t xml:space="preserve"> Property</t>
  </si>
  <si>
    <t xml:space="preserve"> Property ID</t>
  </si>
  <si>
    <t xml:space="preserve"> Country/Region</t>
  </si>
  <si>
    <t xml:space="preserve"> Waste Mined:
Open Pit
(kilotonnes)</t>
  </si>
  <si>
    <t xml:space="preserve"> Waste Mined:
Underground (kilotonnes)</t>
  </si>
  <si>
    <t xml:space="preserve"> Waste Mined:
Total (kilotonnes)</t>
  </si>
  <si>
    <t xml:space="preserve"> Open Pit
Strip Ratio
(x)</t>
  </si>
  <si>
    <t xml:space="preserve"> Ore Mined:
Open Pit
(kilotonnes)</t>
  </si>
  <si>
    <t xml:space="preserve"> Ore Mined:
Underground (kilotonnes)</t>
  </si>
  <si>
    <t xml:space="preserve"> Ore Mined:
Total (kilotonnes)</t>
  </si>
  <si>
    <t xml:space="preserve"> Ore Treated
(kilotonnes)</t>
  </si>
  <si>
    <t xml:space="preserve"> Mine: Labor
Cost ($/tonne)</t>
  </si>
  <si>
    <t xml:space="preserve"> Mine: Fuel
Cost ($/tonne)</t>
  </si>
  <si>
    <t xml:space="preserve"> Mine: Electricity
Cost ($/tonne)</t>
  </si>
  <si>
    <t xml:space="preserve"> Mine: Other
Cost ($/tonne)</t>
  </si>
  <si>
    <t xml:space="preserve"> Mine: Total
Cost ($/tonne)</t>
  </si>
  <si>
    <t xml:space="preserve"> Mill: Labor
Cost ($/tonne)</t>
  </si>
  <si>
    <t xml:space="preserve"> Mill: Reagents
Cost ($/tonne)</t>
  </si>
  <si>
    <t xml:space="preserve"> Mill: Electricity
Cost ($/tonne)</t>
  </si>
  <si>
    <t xml:space="preserve"> Mill: Other
Cost ($/tonne)</t>
  </si>
  <si>
    <t xml:space="preserve"> Mill: Total
Cost ($/tonne)</t>
  </si>
  <si>
    <t xml:space="preserve"> Total Minesite
Cost ($/tonne)</t>
  </si>
  <si>
    <t xml:space="preserve"> Transport and
Offsite Cost
($/tonne)</t>
  </si>
  <si>
    <t xml:space="preserve"> Treatment &amp;
Refining Charges
($/tonne)</t>
  </si>
  <si>
    <t xml:space="preserve"> Cash Operating
Cost ($/tonne)</t>
  </si>
  <si>
    <t xml:space="preserve"> Royalty Cost
($/tonne)</t>
  </si>
  <si>
    <t xml:space="preserve"> Total Cash
Cost ($/tonne)</t>
  </si>
  <si>
    <t xml:space="preserve"> Reclamation, Closure
Provision ($/tonne)</t>
  </si>
  <si>
    <t xml:space="preserve"> Depreciation ($/tonne)</t>
  </si>
  <si>
    <t xml:space="preserve"> Deferred Stripping
Amortized ($/tonne)</t>
  </si>
  <si>
    <t xml:space="preserve"> Inventory Change
($/tonne)</t>
  </si>
  <si>
    <t xml:space="preserve"> Total Production
Cost ($/tonne)</t>
  </si>
  <si>
    <t xml:space="preserve"> Corporate Overhead
Charges ($/tonne)</t>
  </si>
  <si>
    <t xml:space="preserve"> Exploration and
Other Sustaining
Costs ($/tonne)</t>
  </si>
  <si>
    <t xml:space="preserve"> Sustaining Capex
($/tonne)</t>
  </si>
  <si>
    <t xml:space="preserve"> All-in-Sustaining Cost
($/tonne)</t>
  </si>
  <si>
    <t xml:space="preserve"> Development and
Expansion Capex
($/tonne)</t>
  </si>
  <si>
    <t xml:space="preserve"> Interest Charges
($/tonne)</t>
  </si>
  <si>
    <t xml:space="preserve"> Extraordinary Cash
Charges ($/tonne)</t>
  </si>
  <si>
    <t xml:space="preserve"> Extraordinary Non-Cash
Charges ($/tonne)</t>
  </si>
  <si>
    <t xml:space="preserve"> Other All-in-Cost
($/tonne)</t>
  </si>
  <si>
    <t xml:space="preserve"> All-in-Cost ($/tonne)</t>
  </si>
  <si>
    <t xml:space="preserve"> Gross Revenue
($/tonne)</t>
  </si>
  <si>
    <t xml:space="preserve"> Cash Operating
Margin ($/tonne)</t>
  </si>
  <si>
    <t xml:space="preserve"> Total Cash
Margin ($/tonne)</t>
  </si>
  <si>
    <t>Alex</t>
  </si>
  <si>
    <t>81253</t>
  </si>
  <si>
    <t>China</t>
  </si>
  <si>
    <t>Eagle</t>
  </si>
  <si>
    <t>33795</t>
  </si>
  <si>
    <t>USA</t>
  </si>
  <si>
    <t>Etoile</t>
  </si>
  <si>
    <t>36399</t>
  </si>
  <si>
    <t>Dem. Rep. Congo</t>
  </si>
  <si>
    <t>Goro</t>
  </si>
  <si>
    <t>27742</t>
  </si>
  <si>
    <t>New Caledonia</t>
  </si>
  <si>
    <t>Impala Bafokeng</t>
  </si>
  <si>
    <t>30267</t>
  </si>
  <si>
    <t>South Africa</t>
  </si>
  <si>
    <t>Kamoto SX-EW</t>
  </si>
  <si>
    <t>79271</t>
  </si>
  <si>
    <t>Kevitsa</t>
  </si>
  <si>
    <t>29179</t>
  </si>
  <si>
    <t>Finland</t>
  </si>
  <si>
    <t>Munali</t>
  </si>
  <si>
    <t>27453</t>
  </si>
  <si>
    <t>Zambia</t>
  </si>
  <si>
    <t>Musonoi</t>
  </si>
  <si>
    <t>37355</t>
  </si>
  <si>
    <t>Nchanga</t>
  </si>
  <si>
    <t>28264</t>
  </si>
  <si>
    <t>Norilsk</t>
  </si>
  <si>
    <t>75972</t>
  </si>
  <si>
    <t>Russia</t>
  </si>
  <si>
    <t>Raglan</t>
  </si>
  <si>
    <t>26073</t>
  </si>
  <si>
    <t>Canada</t>
  </si>
  <si>
    <t>Ramu</t>
  </si>
  <si>
    <t>27187</t>
  </si>
  <si>
    <t>Papua New Guinea</t>
  </si>
  <si>
    <t>Ruashi</t>
  </si>
  <si>
    <t>29830</t>
  </si>
  <si>
    <t>Ambatovy</t>
  </si>
  <si>
    <t>30428</t>
  </si>
  <si>
    <t>Madagascar</t>
  </si>
  <si>
    <t>Chambishi</t>
  </si>
  <si>
    <t>28268</t>
  </si>
  <si>
    <t>Deerni</t>
  </si>
  <si>
    <t>30531</t>
  </si>
  <si>
    <t>Kalatongke</t>
  </si>
  <si>
    <t>34844</t>
  </si>
  <si>
    <t>Kalongwe</t>
  </si>
  <si>
    <t>38132</t>
  </si>
  <si>
    <t>Kisanfu</t>
  </si>
  <si>
    <t>35320</t>
  </si>
  <si>
    <t>Kolwezi</t>
  </si>
  <si>
    <t>78612</t>
  </si>
  <si>
    <t>Jinchuan</t>
  </si>
  <si>
    <t>27136</t>
  </si>
  <si>
    <t>Manitoba Division</t>
  </si>
  <si>
    <t>26560</t>
  </si>
  <si>
    <t>Metalkol RTR</t>
  </si>
  <si>
    <t>29829</t>
  </si>
  <si>
    <t>Mimosa</t>
  </si>
  <si>
    <t>27951</t>
  </si>
  <si>
    <t>Zimbabwe</t>
  </si>
  <si>
    <t>Ontario Division</t>
  </si>
  <si>
    <t>27672</t>
  </si>
  <si>
    <t>Piaui</t>
  </si>
  <si>
    <t>37657</t>
  </si>
  <si>
    <t>Brazil</t>
  </si>
  <si>
    <t>Sudbury Operations</t>
  </si>
  <si>
    <t>27146</t>
  </si>
  <si>
    <t>Santa Rita</t>
  </si>
  <si>
    <t>33832</t>
  </si>
  <si>
    <t>Tulaergen</t>
  </si>
  <si>
    <t>80826</t>
  </si>
  <si>
    <t>East Yellow Mountain</t>
  </si>
  <si>
    <t>33386</t>
  </si>
  <si>
    <t>Murrin Murrin</t>
  </si>
  <si>
    <t>28725</t>
  </si>
  <si>
    <t>Australia</t>
  </si>
  <si>
    <t>Rio Tuba</t>
  </si>
  <si>
    <t>34257</t>
  </si>
  <si>
    <t>Philippines</t>
  </si>
  <si>
    <t>Sichuan La-La</t>
  </si>
  <si>
    <t>31591</t>
  </si>
  <si>
    <t>Taganito</t>
  </si>
  <si>
    <t>29157</t>
  </si>
  <si>
    <t>Tenke Fungurume</t>
  </si>
  <si>
    <t>28371</t>
  </si>
  <si>
    <t>Moa Bay</t>
  </si>
  <si>
    <t>28629</t>
  </si>
  <si>
    <t>Cuba</t>
  </si>
  <si>
    <t>Mutanda SX-EW</t>
  </si>
  <si>
    <t>76076</t>
  </si>
  <si>
    <t>Ta Khoa</t>
  </si>
  <si>
    <t>27531</t>
  </si>
  <si>
    <t>Vietnam</t>
  </si>
  <si>
    <t>Terrafame</t>
  </si>
  <si>
    <t>35352</t>
  </si>
  <si>
    <t>Voisey's Bay</t>
  </si>
  <si>
    <t>28992</t>
  </si>
  <si>
    <t>Zimplats</t>
  </si>
  <si>
    <t>29249</t>
  </si>
  <si>
    <t>Ore</t>
  </si>
  <si>
    <t xml:space="preserve"> Head Grade
(%)</t>
  </si>
  <si>
    <t xml:space="preserve"> Recovery Rate
(%)</t>
  </si>
  <si>
    <t xml:space="preserve"> Recovered Cobalt
(kilotonnes)</t>
  </si>
  <si>
    <t xml:space="preserve"> Payability (%)</t>
  </si>
  <si>
    <t xml:space="preserve"> Paid Cobalt
Produced (kilotonnes)</t>
  </si>
  <si>
    <t xml:space="preserve"> Commodity Net
Revenue (%)</t>
  </si>
  <si>
    <t xml:space="preserve"> Mine: Labor
Cost (¢/lb)</t>
  </si>
  <si>
    <t xml:space="preserve"> Mine: Fuel
Cost (¢/lb)</t>
  </si>
  <si>
    <t xml:space="preserve"> Mine: Electricity
Cost (¢/lb)</t>
  </si>
  <si>
    <t xml:space="preserve"> Mine: Other
Cost (¢/lb)</t>
  </si>
  <si>
    <t xml:space="preserve"> Mine: Total
Cost (¢/lb)</t>
  </si>
  <si>
    <t xml:space="preserve"> Mill: Labor
Cost (¢/lb)</t>
  </si>
  <si>
    <t xml:space="preserve"> Mill: Reagents
Cost (¢/lb)</t>
  </si>
  <si>
    <t xml:space="preserve"> Mill: Electricity
Cost (¢/lb)</t>
  </si>
  <si>
    <t xml:space="preserve"> Mill: Other
Cost (¢/lb)</t>
  </si>
  <si>
    <t xml:space="preserve"> Mill: Total
Cost (¢/lb)</t>
  </si>
  <si>
    <t xml:space="preserve"> Total Minesite
Cost (¢/lb)</t>
  </si>
  <si>
    <t xml:space="preserve"> Transport and
Offsite Cost
(¢/lb)</t>
  </si>
  <si>
    <t xml:space="preserve"> Treatment &amp;
Refining Charges
(¢/lb)</t>
  </si>
  <si>
    <t xml:space="preserve"> Cash Operating
Cost (¢/lb)</t>
  </si>
  <si>
    <t xml:space="preserve"> Royalty Cost
(¢/lb)</t>
  </si>
  <si>
    <t xml:space="preserve"> Total Cash
Cost (¢/lb)</t>
  </si>
  <si>
    <t xml:space="preserve"> Reclamation, Closure
Provision (¢/lb)</t>
  </si>
  <si>
    <t xml:space="preserve"> Depreciation (¢/lb)</t>
  </si>
  <si>
    <t xml:space="preserve"> Deferred Stripping
Amortized (¢/lb)</t>
  </si>
  <si>
    <t xml:space="preserve"> Inventory Change
(¢/lb)</t>
  </si>
  <si>
    <t xml:space="preserve"> Total Production
Cost (¢/lb)</t>
  </si>
  <si>
    <t xml:space="preserve"> Corporate Overhead
Charges (¢/lb)</t>
  </si>
  <si>
    <t xml:space="preserve"> Exploration and
Other Sustaining
Costs (¢/lb)</t>
  </si>
  <si>
    <t xml:space="preserve"> Sustaining Capex
(¢/lb)</t>
  </si>
  <si>
    <t xml:space="preserve"> All-in-Sustaining Cost
(¢/lb)</t>
  </si>
  <si>
    <t xml:space="preserve"> Development and
Expansion Capex
(¢/lb)</t>
  </si>
  <si>
    <t xml:space="preserve"> Interest Charges
(¢/lb)</t>
  </si>
  <si>
    <t xml:space="preserve"> Extraordinary Cash
Charges (¢/lb)</t>
  </si>
  <si>
    <t xml:space="preserve"> Extraordinary Non-Cash
Charges (¢/lb)</t>
  </si>
  <si>
    <t xml:space="preserve"> Other All-in-Cost
(¢/lb)</t>
  </si>
  <si>
    <t xml:space="preserve"> All-in-Cost (¢/lb)</t>
  </si>
  <si>
    <t xml:space="preserve"> Realized Price
(¢/lb)</t>
  </si>
  <si>
    <t xml:space="preserve"> Gross Revenue
($M)</t>
  </si>
  <si>
    <t xml:space="preserve"> Cash Operating
Margin (¢/lb)</t>
  </si>
  <si>
    <t xml:space="preserve"> Total Cash
Margin (¢/lb)</t>
  </si>
  <si>
    <t>Production Costs Co Product</t>
  </si>
  <si>
    <t xml:space="preserve"> By-product Credits
(¢/lb)</t>
  </si>
  <si>
    <t>Production Costs By Product</t>
  </si>
  <si>
    <t xml:space="preserve"> Realization Cost
($M)</t>
  </si>
  <si>
    <t xml:space="preserve"> Net Revenue
($M)</t>
  </si>
  <si>
    <t xml:space="preserve"> Royalties ($M)</t>
  </si>
  <si>
    <t xml:space="preserve"> Total Minesite
Costs ($M)</t>
  </si>
  <si>
    <t xml:space="preserve"> Indirect and
Extraordinary Costs
($M)</t>
  </si>
  <si>
    <t xml:space="preserve"> Working Capital
($M)</t>
  </si>
  <si>
    <t xml:space="preserve"> Sustaining Capex
($M)</t>
  </si>
  <si>
    <t xml:space="preserve"> Development and
Expansion Capex
($M)</t>
  </si>
  <si>
    <t xml:space="preserve"> Pre-tax Cash
Flow ($M)</t>
  </si>
  <si>
    <t xml:space="preserve"> Tax ($M)</t>
  </si>
  <si>
    <t xml:space="preserve"> Post-tax Cash
Flow ($M)</t>
  </si>
  <si>
    <t xml:space="preserve"> Corporate Tax
Rate (%)</t>
  </si>
  <si>
    <t xml:space="preserve"> Depreciation ($M)</t>
  </si>
  <si>
    <t xml:space="preserve"> NPV Discounted
at 8%
($M)</t>
  </si>
  <si>
    <t xml:space="preserve"> NPV Discounted
at 10%
($M)</t>
  </si>
  <si>
    <t xml:space="preserve"> NPV Discounted
at 12%
($M)</t>
  </si>
  <si>
    <t xml:space="preserve"> NPV Discounted
at 14%
($M)</t>
  </si>
  <si>
    <t>Cash Flow</t>
  </si>
  <si>
    <t xml:space="preserve"> Owner</t>
  </si>
  <si>
    <t xml:space="preserve"> KeyInstn</t>
  </si>
  <si>
    <t xml:space="preserve"> Equity Ownership
(%)</t>
  </si>
  <si>
    <t>Xinjiang Xinxin Mining Industry Co. Ltd.</t>
  </si>
  <si>
    <t>Korea Mine Rehabilitation and Mineral Resources Corp.</t>
  </si>
  <si>
    <t>Sumitomo Corp.</t>
  </si>
  <si>
    <t>China Nonferrous Mining Corp. Ltd.</t>
  </si>
  <si>
    <t>ZCCM Investments Holdings PLC</t>
  </si>
  <si>
    <t>Zijin Mining Group Co. Ltd.</t>
  </si>
  <si>
    <t>Deziwa</t>
  </si>
  <si>
    <t>36928</t>
  </si>
  <si>
    <t>Gécamines SA</t>
  </si>
  <si>
    <t>Lundin Mining Corp.</t>
  </si>
  <si>
    <t>Shalina Resources Ltd.</t>
  </si>
  <si>
    <t>Prony Resources New Caledonia consortium</t>
  </si>
  <si>
    <t>Societe de Participation Miniere du Sud Caledonia SAS</t>
  </si>
  <si>
    <t>Impala Platinum Holdings Ltd.</t>
  </si>
  <si>
    <t>Private Interest</t>
  </si>
  <si>
    <t>JinChuan Group Co.Ltd.</t>
  </si>
  <si>
    <t>Chengtun Mining Group Co. Ltd.</t>
  </si>
  <si>
    <t>La Generale Industrielle et Commerciale au Congo SPRL</t>
  </si>
  <si>
    <t>Glencore PLC</t>
  </si>
  <si>
    <t>Boliden AB (publ)</t>
  </si>
  <si>
    <t>CMOC Group Ltd.</t>
  </si>
  <si>
    <t>Contemporary Amperex Technology Co. Ltd.</t>
  </si>
  <si>
    <t>Vale SA</t>
  </si>
  <si>
    <t>Eurasian Group LLP</t>
  </si>
  <si>
    <t>Sibanye Stillwater Ltd.</t>
  </si>
  <si>
    <t>General Nickel Company SA</t>
  </si>
  <si>
    <t>Sherritt International Corp.</t>
  </si>
  <si>
    <t>Consolidated Mining and Investments Ltd</t>
  </si>
  <si>
    <t>Jinchuan Group International Resources Co. Ltd.</t>
  </si>
  <si>
    <t>Vedanta Inc.</t>
  </si>
  <si>
    <t>PJSC Mining and Metallurgical Co. Norilsk Nickel</t>
  </si>
  <si>
    <t>Ji Lin Ji En Nickel Industry Co. Ltd.</t>
  </si>
  <si>
    <t>Jiuquan Iron and Steel (Group) Co. Ltd.</t>
  </si>
  <si>
    <t>Metallurgical Corp. of China Ltd.</t>
  </si>
  <si>
    <t>Mineral Resources Development Corp.</t>
  </si>
  <si>
    <t>Nickel 28 Capital Corp.</t>
  </si>
  <si>
    <t>Nickel Asia Corporation</t>
  </si>
  <si>
    <t>Pacific Metals Co. Ltd.</t>
  </si>
  <si>
    <t>Sojitz Corp.</t>
  </si>
  <si>
    <t>China State-Owned Mining Enterprise</t>
  </si>
  <si>
    <t>Sorowako</t>
  </si>
  <si>
    <t>27363</t>
  </si>
  <si>
    <t>PT Vale Indonesia Tbk</t>
  </si>
  <si>
    <t>Terrafame Oy</t>
  </si>
  <si>
    <t>Zimplats Holdings Ltd.</t>
  </si>
  <si>
    <t>Ownership</t>
  </si>
  <si>
    <t>Company type</t>
  </si>
  <si>
    <t>Owner country</t>
  </si>
  <si>
    <t>Parent Company Name</t>
  </si>
  <si>
    <t>Parent Company Country</t>
  </si>
  <si>
    <t>Parent company KeyInstn</t>
  </si>
  <si>
    <t>Parent company type</t>
  </si>
  <si>
    <t>Ultimate Parent Company Name</t>
  </si>
  <si>
    <t>Ultimate Parent Company Country</t>
  </si>
  <si>
    <t>Ultimate Parent company KeyInstn</t>
  </si>
  <si>
    <t>Ultimate Parent company type</t>
  </si>
  <si>
    <t>Perecnt Owned All-Insitutions</t>
  </si>
  <si>
    <t>Insitutions- Banks/ investment banks</t>
  </si>
  <si>
    <t>charitable foundations</t>
  </si>
  <si>
    <t>Corpotate Pensions sponsors</t>
  </si>
  <si>
    <t>Educational/cultural endowments</t>
  </si>
  <si>
    <t>Family Offices/Trusts</t>
  </si>
  <si>
    <t>gov pensions sponsors</t>
  </si>
  <si>
    <t>insurance companies</t>
  </si>
  <si>
    <t>Investment manager</t>
  </si>
  <si>
    <t>REIT</t>
  </si>
  <si>
    <t>Unclassified</t>
  </si>
  <si>
    <t>Union Pensions sponsors</t>
  </si>
  <si>
    <t>Hedge Fund Managers &lt;5% stake</t>
  </si>
  <si>
    <t>Soverign Welth Funds &lt;5% stake</t>
  </si>
  <si>
    <t>VC/PE firms &lt;5% stake</t>
  </si>
  <si>
    <t>Insiders</t>
  </si>
  <si>
    <t>Strategic Hedge Funds Manaegrs &gt;=5% stake</t>
  </si>
  <si>
    <t>StrategicVC/PE frims &gt;=5% stake</t>
  </si>
  <si>
    <t>Soverign Wealth Funds &gt;=5% stake</t>
  </si>
  <si>
    <t>strategic company controlled fuondations</t>
  </si>
  <si>
    <t>strategicESOP</t>
  </si>
  <si>
    <t>strategic State Owner</t>
  </si>
  <si>
    <t>strategic Corporation (Private)</t>
  </si>
  <si>
    <t>strategic Corporation (Public)</t>
  </si>
  <si>
    <t>䅁䅁兂㑃潈牘払敩睐杷允䅁䅁䅍䅁䑁䅁䅷䅁䙁䅁䅁䕁元噮䉂权乁䅁䅁允䅁䅁䅅䅁䭁䙁䅁䅁䵁䅉䅅䅁䑁䅁䅁睁䵁䅁䅁兂䅁䅁䅄砶典兑䅯䅊䅁䅁䅅䅁䉁䅁䅁兂㝂䭆䠵場啱睐杷允䅁䅁䅍䅁䑁䅁䅷䅁䙁䅁䅁䅁敃汋䉆权坁䅁䅁允䅁䅁䅅䅁䭁䅁䅕䅁䵁䅉䅅䅁䑁䅁䅁睁䵁䅁䅁兂䅁䅁䅁灦剸兑䅯杉䅁䅁䅅䅁䉁䅁䅁权䙁䅁䅁䍄䉁䅁䅁睁䅁䅁䅍䅄䅁䅁䅕䅁䅁䩁焴啕䭅䍁䅑䅁䉁䅁䅁允䅁䅁䅯兂䅁䅁杷允䅁䅁䅍䅁䑁䅁䅷䅁䙁䅁䅁䅁敃汋䉆权潁䅁䅁允䅁䅁䅅䅁䭁䅁䅕䅁䵁䅉䅅䅁䑁䅁䅁睁䵁䅁䅁兂䅁䅁䅄㥹橊兑䅯兇䅁䅁䅅䅁䉁䅁䅁权䙁䅁䅁䍄䉁䅁䅁睁䅁䅁䅍䅄䅁䅁䅕䅁䅁䑧婗䕕䭅䅁䄰䅁䉁䅁䅁允䅁䅁䅯充䅁䅁杷允䅁䅁䅍䅁䑁䅁䅷䅁䙁䅁䅁䅁敄ㅇ䉬权塁䅁䅁允䅁䅁䅅䅁䭁䉁䅅䅁䵁䅉䅅䅁䑁䅁䅁睁䵁䅁䅁兂䅁䅁䅃婎公兑䅯䅅䅁䅁䅅䅁䉁䅁䅁权剁䅁䅁䍄䉁䅁䅁睁䅁䅁䅍䅄䅁䅁䅕䅁䅁䭁䘷䕕䭅䅁䅫䅁䉁䅁䅁允䅁䅁䅯杒䅁䅁杷允䅁䅁䅍䅁䑁䅁䅷䅁䙁䅁䅁䥁ㅁ噭䉂权扁䅁䅁允䅁䅁䅅䅁䭁䅁䅕䅁䵁䅉䅅䅁䑁䅁䅁睁䵁䅁䅁兂䅁䅁睂㌹礵兑䅯杇䅁䅁䅅䅁䉁䅁䅁权䙁䅁䅁䍄䉁䅁䅁睁䅁䅁䅍䅄䅁䅁䅕䅁䅁䑧婗䕕䭅䅁䅣䅁䉁䅁䅁允䅁䅁䅯兂䅁䅁杷允䅁䅁䅍䅁䑁䅁䅷䅁䙁䅁䅁䡁㍄湦䉊权歁䅁䅁允䅁䅁䅅䅁䙁䭁睒児塲⽯⽷䍄䉁䅁䅁睁䅁䅁䅍䅄䅁䅁䅕䅁䅁䉁乚ご䭅䅁䅧䅁䉁䅁䅁允䅁䅁䅯兂䅁䅁杷允䅁䅁䅍䅁䑁䅁䅷䅁䙁䅁䅁䥁ㅁ噭䉂权楁䅁䅁允䅁䅁䅅䅁䙁䑁䬰㘱睎剐䅰䍄䉁䅁䅁睁䅁䅁䅍䅄䅁䅁䅕䅁䅁乑慗䕕䭅䅁䄴䅁䉁䅁䅁允䅁䅁䅯兂䅁䅁杷允䅁䅁䅍䅁䑁䅁䅷䅁䙁䅁䅁䅁䥄䙶䉆权流䅁䅁允䅁䅁䅅䅁䭁䅁䅕䅁䵁䅉䅅䅁䑁䅁䅁睁䵁䅁䅁兂䅁䅁䅃婎公兑䅯睊䅁䅁䅅䅁䉁䅁䅁兂畃⭒㙆䭆渷睐杷允䅁䅁䅍䅁䑁䅁䅷䅁䙁䅁䅁䥁㝃汬䉂权䝁䅁䅁允䅁䅁䅅䅁䙁䡁啳歲桦潥⽑䍄䉁䅁䅁睁䅁䅁䅍䅄䅁䅁䅕䅁䅁䅧獖啕䭅䉁䅫䅁䉁䅁䅁允䅁䅁䅯兂䅁䅁杷允䅁䅁䅍䅁䑁䅁䅷䅁䙁䅁䅁䕁㡂ㅭ䉂权䕁䅁䅁允䅁䅁䅅䅁䭁䅁䅕䅁䵁䅉䅅䅁䑁䅁䅁睁䵁䅁䅁兂䅁䅁睂㌹礵兑䅯杈䅁䅁䅅䅁䉁䅁䅁权䙁䅁䅁䍄䉁䅁䅁睁䅁䅁䅍䅄䅁䅁䅕䅁䅁䡷婋䕕䭅䉁䅫䅁䉁䅁䅁允䅁䅁䅯兂䅁䅁杷允䅁䅁䅍䅁䑁䅁䅷䅁䙁䅁䅁䅁獂ㅭ䉂权䩁䅁䅁允䅁䅁䅅䅁䭁䅁䅯䅁䵁䅉䅅䅁䑁䅁䅁睁䵁䅁䅁兂䅁䅁䅃っ偂兑䅯䅃䅁䅁䅅䅁䉁䅁䅁权䙁䅁䅁䍄䉁䅁䅁睁䅁䅁䅍䅄䅁䅁䅕䅁䅁䩷椵啕䭅䍁䅙䅁䉁䅁䅁允䅁䅁䅯兂䅁䅁杷允䅁䅁䅍䅁䑁䅁䅷䅁䙁䅁䅁䕁䕁䘫䈹权十䅁䅁允䅁䅁䅅䅁䭁䕁䅅䅁䵁䅉䅅䅁䑁䅁䅁睁䵁䅁䅁兂䅁䅁䅁歆倱兑䅯杊䅁䅁䅅䅁䉁䅁䅁权䙁䅁䅁䍄䉁䅁䅁睁䅁䅁䅍䅄䅁䅁䅕䅁䅁䵁慭䕕䭅䅁䅣䅁䉁䅁䅁允䅁䅁䅯兂䅁䅁杷允䅁䅁䅍䅁䑁䅁䅷䅁䙁䅁䅁䡁㍄湦䉊权乁䅁䅁允䅁䅁䅅䅁䭁䉁䅅䅁䵁䅉䅅䅁䑁䅁䅁睁䵁䅁䅁兂䅁䅁䅁䩢兴兑䅯杉䅁䅁䅅䅁䉁䅁䅁权䙁䅁䅁䍄䉁䅁䅁睁䅁䅁䅍䅄䅁䅁䅕䅁䅁乁㜶啕䭅䉁䅳䅁䉁䅁䅁允䅁䅁䅯兂䅁䅁杷允䅁䅁䅍䅁䑁䅁䅷䅁䙁䅁䅁䕁穂噭䉂权䥁䅁䅁允䅁䅁䅅䅁䭁䅁䅕䅁䵁䅉䅅䅁䑁䅁䅁睁䵁䅁䅁兂䅁䅁䅁䩢兴兑䅯睉䅁䅁䅅䅁䉁䅁䅁权䙁䅁䅁䍄䉁䅁䅁睁䅁䅁䅍䅄䅁䅁䅕䅁䅁䝁批䕕䭅䍁䅣䅁䉁䅁䅁允䅁䅁䅯兂䅁䅁杷允䅁䅁䅍䅁䑁䅁䅷䅁䙁䅁䅁䅁獂ㅭ䉂权潁䅁䅁允䅁䅁䅅䅁䭁䅁䅕䅁䵁䅉䅅䅁䑁䅁䅁睁䵁䅁䅁兂䅁䅁䅁㕎兤兑䅯杉䅁䅁䅅䅁䉁䅁䅁权䙁䅁䅁䍄䉁䅁䅁睁䅁䅁䅍䅄䅁䅁䅕䅁䅁乑慗䕕䭅䉁䅷䅁䉁䅁䅁允䅁䅁䅕䉵䘶ㄶ㑇䕃䵁䅉䅅䅁䑁䅁䅁睁䵁䅁䅁兂䅁䅁䅁獲兖兑䅯睄䅁䅁䅅䅁䉁䅁䅁权䙁䅁䅁䍄䉁䅁䅁睁䅁䅁䅍䅄䅁䅁䅕䅁䅁䝁批䕕䭅䅁䄴䅁䉁䅁䅁允䅁䅁䅯兂䅁䅁杷允䅁䅁䅍䅁䑁䅁䅷䅁䙁䅁䅁䕁穂噭䉂权乁䅁䅁允䅁䅁䅅䅁䭁䅁䅯䅁䵁䅉䅅䅁䑁䅁䅁睁䵁䅁䅁兂䅁䅁䅂婏兰兑䅯䅂䅁䅁䅅䅁䉁䅁䅁权䙁䅁䅁䍄䉁䅁䅁睁䅁䅁䅍䅄䅁䅁䅕䅁䅁䡷婋䕕䭅䉁䅉䅁䉁䅁䅁允䅁䅁䅯充䅁䅁杷允䅁䅁䅍䅁䑁䅁䅷䅁䙁䅁䅁䕁穂噭䉂权啁䅁䅁允䅁䅁䅅䅁啁䍁匸䅧䅁䅁䅁䍄䉁䅁䅁睁䅁䅁䅍䅄䅁䅁䅕䅁䅁䡑婏䕕䭅䉁䅳䅁䉁䅁䅁允䅁䅁䅯兂䅁䅁杷允䅁䅁䅍䅁䑁䅁䅷䅁䙁䅁䅁佁䙂流䉂权䅁䅁䅁允䅁䅁䅅䅁䭁䅁䅍䅁䵁䅉䅅䅁䑁䅁䅁睁䵁䅁䅁兂䅁䅁䅂娱兰兑䅯元䅁䅁䅅䅁䉁䅁䅁权䕂䅁䅁䍄䉁䅁䅁睁䅁䅁䅍䅄䅁䅁䅕䅁䅁䡑婏䕕䭅䍁䅁䅁䉁䅁䅁允䅁䅁䅯兂䅁䅁杷允䅁䅁䅍䅁䑁䅁䅷䅁䙁䅁䅁䵁㕁ㅯ䉂权潁䅁䅁允䅁䅁䅅䅁䭁䅁䅕䅁䵁䅉䅅䅁䑁䅁䅁睁䵁䅁䅁兂䅁䅁䅃坂剸兑䅯睋䅁䅁䅅䅁䉁䅁䅁权䙁䅁䅁䍄䉁䅁䅁睁䅁䅁䅍䅄䅁䅁䅕䅁䅁䡁婩䕕䭅䅁䄸䅁䉁䅁䅁允䅁䅁䅯兂䅁䅁杷允䅁䅁䅍䅁䑁䅁䅷䅁䙁䅁䅁䕁噄汭䉂权敁䅁䅁允䅁䅁䅅䅁䭁䅁䅕䅁䵁䅉䅅䅁䑁䅁䅁睁䵁䅁䅁兂䅁䅁䅂㕣公兑䅯杂䅁䅁䅅䅁䉁䅁䅁权䙁䅁䅁䍄䉁䅁䅁睁䅁䅁䅍䅄䅁䅁䅕䅁䅁佷捳䕕䭅䉁䅙䅁䉁䅁䅁允䅁䅁䅯兂䅁䅁杷允䅁䅁䅍䅁䑁䅁䅷䅁䙁䅁䅁䅁䩄汭䉂权䝁䅁䅁允䅁䅁䅅䅁䭁䅁䅕䅁䵁䅉䅅䅁䑁䅁䅁睁䵁䅁䅁兂䅁䅁䅃っ偂兑䅯睇䅁䅁䅅䅁䉁䅁䅁权䙁䅁䅁䍄䉁䅁䅁睁䅁䅁䅍䅄䅁䅁䅕䅁䅁䡑婏䕕䭅䅁䄸䅁䉁䅁䅁允䅁䅁䅯兂䅁䅁杷允䅁䅁䅍䅁䑁䅁䅷䅁䙁䅁䅁䕁穂噭䉂权䕁䅁䅁允䅁䅁䅅䅁䭁䅁䅕䅁䵁䅉䅅䅁䑁䅁䅁睁䵁䅁䅁兂䅁䅁䅃坂剸兑䅯杅䅁䅁䅅䅁䉁䅁䅁权剁䅁䅁䍄䉁䅁䅁睁䅁䅁䅍䅄䅁䅁䅕䅁䅁䡑婏䕕䭅䉁䄸䅁䉁䅁䅁允䅁䅁䅯兂䅁䅁杷允䅁䅁䅍䅁䑁䅁䅷䅁䙁䅁䅁䡁㍄湦䉊权捁䅁䅁允䅁䅁䅅䅁䙁䥁牘払敧摨⽳䍄䉁䅁䅁睁䅁䅁䅍䅄䅁䅁䅕䅁䅁䡑婏䕕䭅䉁䅯䅁䉁䅁䅁允䅁䅁䅯兂䅁䅁杷允䅁䅁䅍䅁䑁䅁䅷䅁䙁䅁䅁䕁元噮䉂权敁䅁䅁允䅁䅁䅅䅁䙁䡁啳歲桦灥⽑䍄䉁䅁䅁睁䅁䅁䅍䅄䅁䅁䅕䅁䅁䍑ㅏ䕕䭅䉁䅷䅁䉁䅁䅁允䅁䅁䅕䥘䌯匹䵪䕗䵁䅉䅅䅁䑁䅁䅁睁䵁䅁䅁兂䅁䅁䅂娱兰兑䅯睂䅁䅁䅅䅁䉁䅁䅁权䙁䅁䅁䍄䉁䅁䅁睁䅁䅁䅍䅄䅁䅁䅕䅁䅁䭁䘷䕕䭅䍁䅳䅁䉁䅁䅁允䅁䅁䅯兂䅁䅁杷允䅁䅁䅍䅁䑁䅁䅷䅁䙁䅁䅁䅁楃歙䈹权婁䅁䅁允䅁䅁䅅䅁䭁䅁䅕䅁䵁䅉䅅䅁䑁䅁䅁睁䵁䅁䅁兂䅁䅁䅂㝉兖兑䅯睋䅁䅁䅅䅁䉁䅁䅁权䙁䅁䅁䍄䉁䅁䅁睁䅁䅁䅍䅄䅁䅁䅕䅁䅁䵁㡩啕䭅䉁䄴䅁䉁䅁䅁允䅁䅁䅕灭婭婭婭い䵁䅉䅅䅁䑁䅁䅁睁䵁䅁䅁兂䅁䅁䅁䱹剸兑䅯䅃䅁䅁䅅䅁䉁䅁䅁权䙁䅁䅁䍄䉁䅁䅁睁䅁䅁䅍䅄䅁䅁䅕䅁䅁䵁㡩啕䭅䅁䅣䅁䉁䅁䅁允䅁䅁䅯兂䅁䅁杷允䅁䅁䅍䅁䑁䅁䅷䅁䙁䅁䅁䵁敃汙䉆权婁䅁䅁允䅁䅁䅅䅁䭁䅁䅕䅁䵁䅉䅅䅁䑁䅁䅁睁䵁䅁䅁兂䅁䅁䅁䱹剸兑䅯杉䅁䅁䅅䅁䉁䅁䅁权䙁䅁䅁䍄䉁䅁䅁睁䅁䅁䅍䅄䅁䅁䅕䅁䅁䱧坵䕕䭅䅁䅣䅁䉁䅁䅁允䅁䅁䅯兂䅁䅁杷允䅁䅁䅍䅁䑁䅁䅷䅁䙁䅁䅁䅁敄ㅇ䉬权捁䅁䅁允䅁䅁䅅䅁䙁佁剸䉵䘶ぱ䅎䍄䉁䅁䅁睁䅁䅁䅍䅄䅁䅁䅕䅁䅁䭁楊ご䭅䅁䄰䅁䉁䅁䅁允䅁䅁䅯充䅁䅁杷允䅁䅁䅍䅁䑁䅁䅷䅁䙁䅁䅁䥁䝃䙌䉆权汁䅁䅁允䅁䅁䅅䅁䭁䅁䅕䅁䵁䅉䅅䅁䑁䅁䅁睁䵁䅁䅁兂䅁䅁䅁䱹剸兑䅯睃䅁䅁䅅䅁䉁䅁䅁权䙁䅁䅁䍄䉁䅁䅁睁䅁䅁䅍䅄䅁䅁䅕䅁䅁䵁㡩啕䭅䅁䅑䅁䉁䅁䅁允䅁䅁䅯兂䅁䅁杷允䅁䅁䅍䅁䑁䅁䅷䅁䙁䅁䅁䅁䥄䙶䉆权晁䅁䅁允䅁䅁䅅䅁䭁䅁䅕䅁䵁䅉䅅䅁䑁䅁䅁睁䵁䅁䅁兂䅁䅁䅂偂晨兑䅯䅉䅁䅁䅅䅁䉁䅁䅁权䙁䅁䅁䍄䉁䅁䅁睁䅁䅁䅍䅄䅁䅁䅕䅁䅁䉁乚ご䭅䉁䅙䅁䉁䅁䅁允䅁䅁䅯兂䅁䅁杷允䅁䅁䅍䅁䑁䅁䅷䅁䙁䅁䅁䅁㑂噭䉂权敁䅁䅁允䅁䅁䅅䅁䭁䅁䅕䅁䵁䅉䅅䅁䑁䅁䅁睁䵁䅁䅁兂䅁䅁䅃楨剸兑䅯睃䅁䅁䅅䅁䉁䅁䅁权䙁䅁䅁䍄䉁䅁䅁睁䅁䅁䅍䅄䅁䅁䅕䅁䅁䵁慭䕕䭅䉁䅙䅁䉁䅁䅁允䅁䅁䅯兂䅁䅁杷允䅁䅁䅍䅁䑁䅁䅷䅁䙁䅁䅁䅁䥄䙶䉆权婁䅁䅁允䅁䅁䅅䅁䭁䅁䅕䅁䵁䅉䅅䅁䑁䅁䅁睁䵁䅁䅁兂䅁䅁䅁浯偊兑䅯䅆䅁䅁䅅䅁䉁䅁䅁权䙁䅁䅁䍄䉁䅁䅁睁䅁䅁䅍䅄䅁䅁䅕䅁䅁䱧坵䕕䭅䉁䅙䅁䉁䅁䅁允䅁䅁䅯兂䅁䅁杷允䅁䅁䅍䅁䑁䅁䅷䅁䙁䅁䅁䅁䩄汭䉂权䥁䅁䅁允䅁䅁䅅䅁䭁䅁䅕䅁䵁䅉䅅䅁䑁䅁䅁睁䵁䅁䅁兂䅁䅁䅃坂剸兑䅯䅃䅁䅁䅅䅁䉁䅁䅁权䙁䅁䅁䍄䉁䅁䅁睁䅁䅁䅍䅄䅁䅁䅕䅁䅁䝑愲䕕䭅䉁䄸䅁䉁䅁䅁允䅁䅁䅯兂䅁䅁杷允䅁䅁䅍䅁䑁䅁䅷䅁䙁䅁䅁䥁䙁䙢䉆权楁䅁䅁允䅁䅁䅅䅁䭁䅁䅕䅁䵁䅉䅅䅁䑁䅁䅁睁䵁䅁䅁兂䅁䅁䅂䩫儱兑䅯睄䅁䅁䅅䅁䉁䅁䅁权䙁䅁䅁䍄䉁䅁䅁睁䅁䅁䅍䅄䅁䅁䅕䅁䅁䉁乚ご䭅䉁䅯䅁䉁䅁䅁允䅁䅁䅯兂䅁䅁杷允䅁䅁䅍䅁䑁䅁䅷䅁䙁䅁䅁䥁䝃䙌䉆权乁䅁䅁允䅁䅁䅅䅁䭁䉁䅅䅁䵁䅉䅅䅁䑁䅁䅁睁䵁䅁䅁兂䅁䅁䅃㕵党兑䅯䅃䅁䅁䅅䅁䉁䅁䅁权䙁䅁䅁䍄䉁䅁䅁睁䅁䅁䅍䅄䅁䅁䅕䅁䅁䵷卶す䭅䉁䅷䅁䉁䅁䅁允䅁䅁䅯兂䅁䅁杷允䅁䅁䅍䅁䑁䅁䅷䅁䙁䅁䅁䥁䙁䙢䉆权歁䅁䅁允䅁䅁䅅䅁䭁䅁䅕䅁䵁䅉䅅䅁䑁䅁䅁睁䵁䅁䅁兂䅁䅁䅂娱兰兑䅯睈䅁䅁䅅䅁䉁䅁䅁权䙁䅁䅁䍄䉁䅁䅁睁䅁䅁䅍䅄䅁䅁䅕䅁䅁䭁楊ご䭅䅁䅷䅁䉁䅁䅁允䅁䅁䅕㘱睎児塯こ䵁䅉䅅䅁䑁䅁䅁睁䵁䅁䅁兂䅁䅁䅁栳婴兑䅯杉䅁䅁䅅䅁䉁䅁䅁权䙁䅁䅁䍄䉁䅁䅁睁䅁䅁䅍䅄䅁䅁䅕䅁䅁乑慗䕕䭅䍁䅙䅁䉁䅁䅁允䅁䉁䅑䅁䅁䅁䅁䅁䵁䅉䅅䅁䑁䅁䅁睁䵁䅁䅁兂䅁䅁䅃っ偂兑䅯睋䅁䅁䅅䅁䉁䅁䅁权䙁䅁䅁䍄䉁䅁䅁睁䅁䅁䅍䅄䅁䅁䅕䅁䅁䭁楊ご䭅䉁䄴䅁䉁䅁䅁允䅁䅁䅕呣䬰㘱睎啄䵁䅉䅅䅁䑁䅁䅁睁䵁䅁䅁兂䅁䅁䅁浯偊兑䅯䅃䅁䅁䅅䅁䉁䅁䅁兂㑃潈牘払敩睐杷允䅁䅁䅍䅁䑁䅁䅷䅁䙁䅁䅁䅁楃歙䈹权楁䅁䅁允䅁䅁䅅䅁啁䅁䅁䅁䅁䅁䅁䍄䉁䅁䅁睁䅁䅁䅍䅄䅁䅁䅕䅁䅁佷捳䕕䭅䍁䅧䅁䉁䅁䅁允䅁䅁䅯兂䅁䅁杷允䅁䅁䅍䅁䑁䅁䅷䅁䙁䅁䅁䅁畃噸䉂权允䅁䅁允䅁䅁䅅䅁䭁䕁䅙䅁䵁䅉䅅䅁䑁䅁䅁睁䵁䅁䅁兂䅁䅁䅂婏兰兑䅯睋䅁䅁䅅䅁䉁䅁䅁权䙁䅁䅁䍄䉁䅁䅁睁䅁䅁䅍䅄䅁䅁䅕䅁䅁䅑㑔じ䭅䍁䅧䅁䉁䅁䅁允䅁䅁䅯兂䅁䅁杷允䅁䅁䅍䅁䑁䅁䅷䅁䙁䅁䅁䅁楃歙䈹权杁䅁䅁允䅁䅁䅅䅁䙁䥁䌯匹捨㥪⽉䍄䉁䅁䅁睁䅁䅁䅍䅄䅁䅁䅕䅁䅁䩑摃䕕䭅䉁䅫䅁䉁䅁䅁允䅁䅁䅕䅁䅁䅁䅄啖䵁䅉䅅䅁䑁䅁䅁睁䵁䅁䅁兂䅁䅁䅁浯偊兑䅯睊䅁䅁䅅䅁䉁䅁䅁兂䅁䅁䅁䅁兄睐杷允䅁䅁䅍䅁䑁䅁䅷䅁䙁䅁䅁䅁楃歙䈹权偁䅁䅁允䅁䅁䅅䅁䙁䵁ㅐ䙋偹癷⽅䍄䉁䅁䅁睁䅁䅁䅍䅄䅁䅁䅕䅁䅁䭁楊ご䭅䉁䅯䅁䉁䅁䅁允䅁䅁䅯兂䅁䅁杷允䅁䅁䅍䅁䑁䅁䅷䅁䙁䅁䅁䥁㝃汬䉂权塁䅁䅁允䅁䅁䅅䅁䭁䉁䅅䅁䵁䅉䅅䅁䑁䅁䅁睁䵁䅁䅁兂䅁䅁䅃㕵党兑䅯杉䅁䅁䅅䅁䉁䅁䅁䅆䅁䅁䅁䅁䅁䅁杷允䅁䅁䅍䅁䑁䅁䅷䅁䙁䅁䅁䡁㍄湦䉊权䩁䅁䅁允䅁䅁䅅䅁䭁䑁䅧䅁䵁䅉䅅䅁䑁䅁䅁睁䵁䅁䅁兂䅁䅁䅃㕵党兑䅯睉䅁䅁䅅䅁䉁䅁䅁兂䅁䅁䅁䅁䥁䅑杷允䅁䅁䅍䅁䑁䅁䅷䅁䙁䅁䅁䥁㝃汬䉂权䱁䅁䅁允䅁䅁䅅䅁䙁䵁ㅐ䙋偹獷⽕䍄䉁䅁䅁睁䅁䅁䅍䅄䅁䅁䅕䅁䅁䑁塥䕕䭅䅁䄰䅁䉁䅁䅁允䅁䅁䅯充䅁䅁杷允䅁䅁䅍䅁䑁䅁䅷䅁䙁䅁䅁䅁㍁ㅬ䉂权敁䅁䅁允䅁䅁䅅䅁䙁䱁敧敨剴䭵⼴䍄䉁䅁䅁睁䅁䅁䅍䅄䅁䅁䅕䅁䅁䑁塥䕕䭅䉁䅳䅁䉁䅁䅁允䅁䅁䅯兂䅁䅁杷允䅁䅁䅍䅁䑁䅁䅷䅁䙁䅁䅁䕁噄汭䉂权扁䅁䅁允䅁䅁䅅䅁䭁䅁䅕䅁䵁䅉䅅䅁䑁䅁䅁睁䵁䅁䅁兂䅁䅁䅁㕎兤兑䅯䅃䅁䅁䅅䅁䉁䅁䅁䅆䅁䅁䅁䅁䅁䅁杷允䅁䅁䅍䅁䑁䅁䅷䅁䙁䅁䅁䅁㍁ㅬ䉂权䡁䅁䅁允䅁䅁䅅䅁䭁䅁䅕䅁䵁䅉䅅䅁䑁䅁䅁睁䵁䅁䅁兂䅁䅁䅁㕎兤兑䅯兊䅁䅁䅅䅁䉁䅁䅁权䙁䅁䅁䍄䉁䅁䅁睁䅁䅁䅍䅄䅁䅁䅕䅁䅁䝑愲䕕䭅䍁䅳䅁䉁䅁䅁允䅁䅁䅯兂䅁䅁杷允䅁䅁䅍䅁䑁䅁䅷䅁䙁䅁䅁䅁䩄汭䉂权橁䅁䅁允䅁䅁䅅䅁䭁䅁䅕䅁䵁䅉䅅䅁䑁䅁䅁睁䵁䅁䅁权⭁䅁䅁权䅁䅁䅁允䅁䅁䅅䅁䭁䅁䅉䅁䵁䅉䅅䅁䑁䅁䅁睁䵁䅁䅁兂䅁䅁䅁獲兖兑䅯睈䅁䅁䅅䅁䉁䅁䅁权䙁䅁䅁䍄䉁䅁䅁睁䅁䅁䅍䅄䅁䅁䅕䅁䅁佷捳䕕䭅䍁䅁䅁䉁䅁䅁允䅁䅁䅕椹捨㡪ㅌ䐹䴸䅉䅅䅁䑁䅁䅁睁䵁䅁䅁兂䅁䅁䅁歆倱兑䅯䅋䅁䅁䅅䅁䉁䅁䅁权䙁䅁䅁䍄䉁䅁䅁睁䅁䅁䅍䅄䅁䅁䅕䅁䅁䑁塥䕕䭅䅁䄴䅁䉁䅁䅁允䅁䅁䅯兂䅁䅁杷允䅁䅁䅍䅁䑁䅁䅷䅁䙁䅁䅁䅁敄ㅇ䉬权䩁䅁䅁允䅁䅁䅅䅁䭁䅁䅯䅁䵁䅉䅅䅁䑁䅁䅁睁䵁䅁䅁兂䅁䅁䅁栳婴兑䅯杊䅁䅁䅅䅁䉁䅁䅁权䙁䅁䅁䍄䉁䅁䅁睁䅁䅁䅍䅄䅁䅁䅕䅁䅁乁戴啗䭅䉁䅉䅁䉁䅁䅁允䅁䅁䅯充䅁䅁杷允䅁䅁䅍䅁䑁䅁䅷䅁䙁䅁䅁䅁敄ㅇ䉬权啁䅁䅁允䅁䅁䅅䅁䭁䅁䅕䅁䵁䅉䅅䅁䑁䅁䅁睁䵁䅁䅁兂䅁䅁䅁栳婴兑䅯睇䅁䅁䅅䅁䉁䅁䅁权䙁䅁䅁䍄䉁䅁䅁睁䅁䅁䅍䅄䅁䅁䅕䅁䅁䵁慭䕕䭅䉁䅁䅁䉁䅁䅁允䅁䅁䅯充䅁䅁杷允䅁䅁䅍䅁䑁䅁䅷䅁䙁䅁䅁䅁敄ㅇ䉬权杁䅁䅁允䅁䅁䅅䅁䙁䩁婱婭婭慭⽫䍄䉁䅁䅁睁䅁䅁䅍䅄䅁䅁䅕䅁䅁乁戴啗䭅䍁䅣䅁䉁䅁䅁允䅁䅁䅕䉵䘶ㄶ㑇橮䴸䅉䅅䅁䑁䅁䅁睁䵁䅁䅁兂䅁䅁䅁栳婴兑䅯䅄䅁䅁䅅䅁䉁䅁䅁兂㥁瑃橥䱣〰䅑杷允䅁䅁䅍䅁䑁䅁䅷䅁䙁䅁䅁䅁敄ㅇ䉬权橁䅁䅁允䅁䅁䅅䅁䭁䅁䅕䅁䵁䅉䅅䅁䑁䅁䅁睁䵁䅁䅁兂䅁䅁䅁栳婴兑䅯杆䅁䅁䅅䅁䉁䅁䅁权䙁䅁䅁䍄䉁䅁䅁睁䅁䅁䅍䅄䅁䅁䅕䅁䅁乁戴啗䭅䍁䅳䅁䉁䅁䅁允䅁䅁䅯兂䅁䅁杷允䅁䅁䅍䅁䑁䅁䅷䅁䙁䅁䅁䵁牄䙈䉂权䥁䅁䅁允䅁䅁䅅䅁䙁䕁桪桥畓硒䄱䍄䉁䅁䅁睁䅁䅁䅍䅄䅁䅁䅕䅁䅁佷捳䕕䭅䅁䅣䅁䉁䅁䅁允䅁䅁䅯兂䅁䅁杷允䅁䅁䅍䅁䑁䅁䅷䅁䙁䅁䅁䵁牄䙈䉂权流䅁䅁允䅁䅁䅅䅁啁䅁䅁䅁䅁䅁䅁䍄䉁䅁䅁睁䅁䅁䅍䅄䅁䅁䅕䅁䅁佷捳䕕䭅䍁䅍䅁䉁䅁䅁允䅁䅁䅯兂䅁䅁杷允䅁䅁䅍䅁䑁䅁䅷䅁䙁䅁䅁䅁䩄汭䉂权扁䅁䅁允䅁䅁䅅䅁䭁䅁䅕䅁䵁䅉䅅䅁䑁䅁䅁睁䵁䅁䅁兂䅁䅁䅄砶典兑䅯睈䅁䅁䅅䅁䉁䅁䅁权䙁䅁䅁䍄䉁䅁䅁睁䅁䅁䅍䅄䅁䅁䅕䅁䅁䩷椵啕䭅䅁䅣䅁䉁䅁䅁允䅁䅁䅯兂䅁䅁杷允䅁䅁䅍䅁䑁䅁䅷䅁䙁䅁䅁䵁敃汙䉆权湁䅁䅁允䅁䅁䅅䅁䙁䉁䘫ㄶ㑇杈䅎䍄䉁䅁䅁睁䅁䅁䅍䅄䅁䅁䅕䅁䅁䥧獙啕䭅䍁䅙䅁䉁䅁䅁允䅁䅁䅯兂䅁䅁杷允䅁䅁䅍䅁䑁䅁䅷䅁䙁䅁䅁䵁牄䙈䉂权牁䅁䅁允䅁䅁䅅䅁啁䅁䅁䅁䅁䅁䅁䍄䉁䅁䅁睁䅁䅁䅍䅄䅁䅁䅕䅁䅁佷捳䕕䭅䉁䅫䅁䉁䅁䅁允䅁䅁䅕䘷㑇潈牘歇䵁䅉䅅䅁䑁䅁䅁睁䵁䅁䅁兂䅁䅁䅃っ偂兑䅯杊䅁䅁䅅䅁䉁䅁䅁兂慃婭婭婭灭睐杷允䅁䅁䅍䅁䑁䅁䅷䅁䙁䅁䅁䕁䕁䘫䈹权䩁䅁䅁允䅁䅁䅅䅁䭁䕁䅧䅁䵁䅉䅅䅁䑁䅁䅁睁䵁䅁䅁兂䅁䅁䅁歆倱兑䅯睄䅁䅁䅅䅁䉁䅁䅁权䙁䅁䅁䍄䉁䅁䅁睁䅁䅁䅍䅄䅁䅁䅕䅁䅁乁㜶啕䭅䅁䄴䅁䉁䅁䅁允䅁䅁䅯兂䅁䅁杷允䅁䅁䅍䅁䑁䅁䅷䅁䙁䅁䅁䕁䕁䘫䈹权塁䅁䅁允䅁䅁䅅䅁䭁䕁䅫䅁䵁䅉䅅䅁䑁䅁䅁睁䵁䅁䅁兂䅁䅁䅂偂晨兑䅯䅅䅁䅁䅅䅁䉁䅁䅁权煁䅁䅁䍄䉁䅁䅁睁䅁䅁䅍䅄䅁䅁䅕䅁䅁䅑㑔じ䭅䉁䄴䅁䉁䅁䅁允䅁䅁䅯兂䅁䅁杷允䅁䅁䅍䅁䑁䅁䅷䅁䙁䅁䅁䕁䕁䘫䈹权䡁䅁䅁允䅁䅁䅅䅁䭁䅁䅕䅁䵁䅉䅅䅁䑁䅁䅁睁䵁䅁䅁兂䅁䅁䅂偂晨兑䅯杉䅁䅁䅅䅁䉁䅁䅁权䙁䅁䅁䍄䉁䅁䅁睁䅁䅁䅍䅄䅁䅁䅕䅁䅁䅑㑔じ䭅䍁䅕䅁䉁䅁䅁允䅁䅁䅯兂䅁䅁杷允䅁䅁䅍䅁䑁䅁䅷䅁䙁䅁䅁䕁䕁䘫䈹权䱁䅁䅁允䅁䅁䅅䅁䭁䅁䅕䅁䵁䅉䅅䅁䑁䅁䅁睁䵁䅁䅁兂䅁䅁䅂偂晨兑䅯䅊䅁䅁䅅䅁䉁䅁䅁权䙁䅁䅁䍄䉁䅁䅁睁䅁䅁䅍䅄䅁䅁䅕䅁䅁䅑㑔じ䭅䉁䅙䅁䉁䅁䅁允䅁䅁䅯兂䅁䅁杷允䅁䅁䅍䅁䑁䅁䅷䅁䙁䅁䅁䕁橁噴䉂权䩁䅁䅁允䅁䅁䅅䅁䭁䕁䅁䅁䵁䅉䅅䅁䑁䅁䅁睁䵁䅁䅁兂䅁䅁䅃っ偂兑䅯䅉䅁䅁䅅䅁䉁䅁䅁兂㑃潈牘払敩睐杷允䅁䅁䅍䅁䑁䅁䅷䅁䙁䅁䅁䕁橁噴䉂权䕁䅁䅁允䅁䅁䅅䅁䭁䅁䅕䅁䵁䅉䅅䅁䑁䅁䅁睁䵁䅁䅁兂䅁䅁䅂㝉兖兑䅯杇䅁䅁䅅䅁䉁䅁䅁权䙁䅁䅁䍄䉁䅁䅁睁䅁䅁䅍䅄䅁䅁䅕䅁䅁䥧獙啕䭅䉁䅫䅁䉁䅁䅁允䅁䅁䅯兂䅁䅁杷允䅁䅁䅍䅁䑁䅁䅷䅁䙁䅁䅁䵁祂噭䉂权杁䅁䅁允䅁䅁䅅䅁䭁䅁䅕䅁䵁䅉䅅䅁䑁䅁䅁睁䵁䅁䅁兂䅁䅁䅁䩥公兑䅯睈䅁䅁䅅䅁䉁䅁䅁权䙁䅁䅁䍄䉁䅁䅁睁䅁䅁䅍䅄䅁䅁䅕䅁䅁䥧獙啕䭅䅁䅫䅁䉁䅁䅁允䅁䅁䅯杓䅁䅁杷允䅁䅁䅍䅁䑁䅁䅷䅁䙁䅁䅁䅁坁啔䈹权牁䅁䅁允䅁䅁䅅䅁䭁䅁䅕䅁䵁䅉䅅䅁䑁䅁䅁睁䵁䅁䅁兂䅁䅁䅃楨剸兑䅯杅䅁䅁䅅䅁䉁䅁䅁权剁䅁䅁䍄䉁䅁䅁睁䅁䅁䅍䅄䅁䅁䅕䅁䅁䡁婩䕕䭅䍁䅁䅁䉁䅁䅁允䅁䅁䅯兂䅁䅁杷允䅁䅁䅍䅁䑁䅁䅷䅁䙁䅁䅁䥁䝃䙌䉆权敁䅁䅁允䅁䅁䅅䅁䭁䅁䅕䅁䵁䅉䅅䅁䑁䅁䅁睁䵁䅁䅁兂䅁䅁䅃楨剸兑䅯睇䅁䅁䅅䅁䉁䅁䅁权䙁䅁䅁䍄䉁䅁䅁睁䅁䅁䅍䅄䅁䅁䅕䅁䅁䥧獙啕䭅䅁䅣䅁䉁䅁䅁允䅁䅁䅯兂䅁䅁杷允䅁䅁䅍䅁䑁䅁䅷䅁䙁䅁䅁䥁䝃䙌䉆权潁䅁䅁允䅁䅁䅅䅁䭁䅁䅕䅁䵁䅉䅅䅁䑁䅁䅁睁䵁䅁䅁兂䅁䅁䅁歆倱兑䅯元䅁䅁䅅䅁䉁䅁䅁权㑁䅁䅁䍄䉁䅁䅁睁䅁䅁䅍䅄䅁䅁䅕䅁䅁乁㜶啕䭅䉁䅷䅁䉁䅁䅁允䅁䅁䅯兂䅁䅁杷允䅁䅁䅍䅁䑁䅁䅷䅁䙁䅁䅁䡁㍄湦䉊权允䅁䅁允䅁䅁䅅䅁䭁䉁䅅䅁䵁䅉䅅䅁䑁䅁䅁睁䵁䅁䅁兂䅁䅁䅁歆倱兑䅯兄䅁䅁䅅䅁䉁䅁䅁权剁䅁䅁䍄䉁䅁䅁睁䅁䅁䅍䅄䅁䅁䅕䅁䅁偣⭤正䭅䅁䅷䅁䉁䅁䅁允䅁䅁䅕敨剴䉵䘶稲䴸䅉䅅䅁䑁䅁䅁睁䵁䅁䅁兂䅁䅁䅁䩥公兑䅯杂䅁䅁䅅䅁䉁䅁䅁权䙁䅁䅁䍄䉁䅁䅁睁䅁䅁䅍䅄䅁䅁䅕䅁䅁䉁乚ご䭅䅁䅣䅁䉁䅁䅁允䅁䅁䅯兂䅁䅁杷允䅁䅁䅍䅁䑁䅁䅷䅁䙁䅁䅁䅁坁啔䈹权䵁䅁䅁允䅁䅁䅅䅁䙁䵁䴳䵺䵺佺⽷䍄䉁䅁䅁睁䅁䅁䅍䅄䅁䅁䅕䅁䅁䡷婋䕕䭅䉁䄸䅁䉁䅁䅁允䅁䅁䅯兂䅁䅁杷允䅁䅁䅍䅁䑁䅁䅷䅁䙁䅁䅁䅁⭂䙮䉆权歁䅁䅁允䅁䅁䅅䅁䭁䅁䅕䅁䵁䅉䅅䅁䑁䅁䅁睁䵁䅁䅁兂䅁䅁睂㌹礵兑䅯䅂䅁䅁䅅䅁䉁䅁䅁兂歃䑣䬰㈱硍䅑杷允䅁䅁䅍䅁䑁䅁䅷䅁䙁䅁䅁䅁坁啔䈹权䱁䅁䅁允䅁䅁䅅䅁䭁䅁䅕䅁䵁䅉䅅䅁䑁䅁䅁睁䵁䅁䅁兂䅁䅁䅂娱兰兑䅯兊䅁䅁䅅䅁䉁䅁䅁权䙁䅁䅁䍄䉁䅁䅁睁䅁䅁䅍䅄䅁䅁䅕䅁䅁䉁乚ご䭅䍁䅑䅁䉁䅁䅁允䅁䅁䅕䉵䘶ㄶ㑇橺䴸䅉䅅䅁䑁䅁䅁睁䵁䅁䅁兂䅁䅁䅂婏兰兑䅯䅋䅁䅁䅅䅁䉁䅁䅁权䙁䅁䅁䍄䉁䅁䅁睁䅁䅁䅍䅄䅁䅁䅕䅁䅁䉁乚ご䭅䉁䄸䅁䉁䅁䅁允䅁䅁䅯兂䅁䅁杷允䅁䅁䅍䅁䑁䅁䅷䅁䙁䅁䅁䅁⭂䙮䉆权乁䅁䅁允䅁䅁䅅䅁䭁䉁䅅䅁䵁䅉䅅䅁䑁䅁䅁睁䵁䅁䅁兂䅁䅁䅁灦剸兑䅯杈䅁䅁䅅䅁䉁䅁䅁权䙁䅁䅁䍄䉁䅁䅁睁䅁䅁䅍䅄䅁䅁䅕䅁䅁䵁慭䕕䭅䉁䅯䅁䉁䅁䅁允䅁䅁䅯兂䅁䅁杷允䅁䅁䅍䅁䑁䅁䅷䅁䙁䅁䅁䅁⭂䙮䉆权䥁䅁䅁允䅁䅁䅅䅁䭁䅁䅕䅁䵁䅉䅅䅁䑁䅁䅁睁䵁䅁䅁兂䅁䅁䅁灦剸兑䅯兇䅁䅁䅅䅁䉁䅁䅁权䙁䅁䅁䍄䉁䅁䅁睁䅁䅁䅍䅄䅁䅁䅕䅁䅁䡁挶啕䭅䅁䅣䅁䉁䅁䅁允䅁䅁䅯兂䅁䅁杷允䅁䅁䅍䅁䑁䅁䅷䅁䙁䅁䅁䅁⭂䙮䉆权杁䅁䅁允䅁䅁䅅䅁䭁䅁䅕䅁䵁䅉䅅䅁䑁䅁䅁睁䵁䅁䅁兂䅁䅁䅁灦剸兑䅯睊䅁䅁䅅䅁䉁䅁䅁权䙁䅁䅁䍄䉁䅁䅁睁䅁䅁䅍䅄䅁䅁䅕䅁䅁䑑慭䕕䭅䉁䅑䅁䉁䅁䅁允䅁䉁䅑倲䝆䅁䅁䅁䵁䅉䅅䅁䑁䅁䅁睁䵁䅁䅁兂䅁䅁䅁爳剴兑䅯杊䅁䅁䅅䅁䉁䅁䅁权䙁䅁䅁䍄䉁䅁䅁睁䅁䅁䅍䅄䅁䅁䅕䅁䅁䡷婋䕕䭅䍁䅙䅁䉁䅁䅁允䅁䅁䅯兂䅁䅁杷允䅁䅁䅍䅁䑁䅁䅷䅁䙁䅁䅁䅁⭂䙮䉆权䕁䅁䅁允䅁䅁䅅䅁䭁䅁䅕䅁䵁䅉䅅䅁䑁䅁䅁睁䵁䅁䅁兂䅁䅁䅂婢兰兑䅯䅅䅁䅁䅅䅁䉁䅁䅁权剁䅁䅁䍄䉁䅁䅁睁䅁䅁䅍䅄䅁䅁䅯充䅁䅁䅯䅁䅁䅁䅅䅁䉁䅁䅁权啂䅁䅁䍄䉁䅁䅁睁䅁䅁䅍䅄䅁䅁䅕䅁䅁䡁挶啕䭅䍁䅳䅁䉁䅁䅁允䅁䅁䅯兂䅁䅁杷允䅁䅁䅍䅁䑁䅁䅷䅁䙁䅁䅁䵁㕁ㅯ䉂权䩁䅁䅁允䅁䅁䅅䅁䭁䕁䅷䅁䵁䅉䅅䅁䑁䅁䅁睁䵁䅁䅁兂䅁䅁䅄慏兎兑䅯睆䅁䅁䅅䅁䉁䅁䅁权䍂䅁䅁䍄䉁䅁䅁睁䅁䅁䅍䅄䅁䅁䅕䅁䅁䑷橭䕕䭅䉁䅑䅁䉁䅁䅁允䅁䉁䅑硌䅋䅁䅁䅁䵁䅉䅅䅁䑁䅁䅁睁䵁䅁䅁兂䅁䅁䅄慏兎兑䅯睂䅁䅁䅅䅁䉁䅁䅁权䙁䅁䅁䍄䉁䅁䅁睁䅁䅁䅍䅄䅁䅁䅕䅁䅁䑷橭䕕䭅䍁䅁䅁䉁䅁䅁允䅁䅁䅯兂䅁䅁杷允䅁䅁䅍䅁䑁䅁䅷䅁䙁䅁䅁䵁㕁ㅯ䉂权䵁䅁䅁允䅁䅁䅅䅁䙁佁㙆䭆䠵卙䅤䍄䉁䅁䅁睁䅁䅁䅍䅄䅁䅁䅕䅁䅁䩷椵啕䭅䅁䅙䅁䉁䅁䅁允䅁䅁䅕歲桦桥畓稹䴸䅉䅅䅁䑁䅁䅁睁䵁䅁䅁兂䅁䅁䅄慏兎兑䅯睈䅁䅁䅅䅁䉁䅁䅁权䙁䅁䅁䍄䉁䅁䅁睁䅁䅁䅍䅄䅁䅁䅕䅁䅁䑷橭䕕䭅䍁䅳䅁䉁䅁䅁允䅁䅁䅯兂䅁䅁杷允䅁䅁䅍䅁䑁䅁䅷䅁䙁䅁䅁䅁畃噸䉂权乁䅁䅁允䅁䅁䅅䅁䭁䕁䅙䅁䵁䅉䅅䅁䑁䅁䅁睁䵁䅁䅁兂䅁䅁䅁獲兖兑䅯䅆䅁䅁䅅䅁䉁䅁䅁䅆啃㙏䅣䅁䅁䅁杷允䅁䅁䅍䅁䑁䅁䅷䅁䙁䅁䅁䅁畃噸䉂权捁䅁䅁允䅁䅁䅅䅁䭁䅁䅕䅁䵁䅉䅅䅁䑁䅁䅁睁䵁䅁䅁兂䅁䅁䅁獲兖兑䅯䅃䅁䅁䅅䅁䉁䅁䅁权䙁䅁䅁䍄䉁䅁䅁睁䅁䅁䅍䅄䅁䅁䅕䅁䅁䩑摃䕕䭅䍁䅧䅁䉁䅁䅁允䅁䅁䅯兂䅁䅁杷允䅁䅁䅍䅁䑁䅁䅷䅁䙁䅁䅁䕁噄汭䉂权䥁䅁䅁允䅁䅁䅅䅁䭁䅁䅕䅁䵁䅉䅅䅁䑁䅁䅁睁䵁䅁䅁兂䅁䅁䅁獲兖兑䅯䅉䅁䅁䅅䅁䉁䅁䅁权䙁䅁䅁䍄䉁䅁䅁睁䅁䅁䅍䅄䅁䅁䅕䅁䅁䡷婋䕕䭅䉁䅁䅁䉁䅁䅁允䅁䅁䅯充䅁䅁杷允䅁䅁䅍䅁䑁䅁䅷䅁䙁䅁䅁䅁畃噸䉂权汁䅁䅁允䅁䅁䅅䅁䭁䅁䅕䅁䵁䅉䅅䅁䑁䅁䅁睁䵁䅁䅁兂䅁䅁睂㌹礵兑䅯睄䅁䅁䅅䅁䉁䅁䅁权䙁䅁䅁䍄䉁䅁䅁睁䅁䅁䅍䅄䅁䅁䅕䅁䅁䡧䅎ご䭅䉁䅁䅁䉁䅁䅁允䅁䅁䅯充䅁䅁杷允䅁䅁䅍䅁䑁䅁䅷䅁䙁䅁䅁䅁畃噸䉂权歁䅁䅁允䅁䅁䅅䅁䭁䅁䅕䅁䵁䅉䅅䅁䑁䅁䅁睁䵁䅁䅁兂䅁䅁䅁獲兖兑䅯䅂䅁䅁䅅䅁䉁䅁䅁权䙁䅁䅁䍄䉁䅁䅁睁䅁䅁䅍䅄䅁䅁䅕䅁䅁䭁䘷䕕䭅䉁䅯䅁䉁䅁䅁允䅁䅁䅯兂䅁䅁杷允䅁䅁䅍䅁䑁䅁䅷䅁䙁䅁䅁䕁噄汭䉂权乁䅁䅁允䅁䅁䅅䅁䭁䉁䅅䅁䵁䅉䅅䅁䑁䅁䅁睁䵁䅁䅁兂䅁䅁䅂婢兰兑䅯元䅁䅁䅅䅁䉁䅁䅁权乂䅁䅁䍄䉁䅁䅁睁䅁䅁䅍䅄䅁䅁䅕䅁䅁乑慗䕕䭅䍁䅑䅁䉁䅁䅁允䅁䅁䅯兂䅁䅁杷允䅁䅁䅍䅁䑁䅁䅷䅁䙁䅁䅁䕁㡂ㅭ䉂权坁䅁䅁允䅁䅁䅅䅁䭁䅁䅕䅁䵁䅉䅅䅁䑁䅁䅁睁䵁䅁䅁兂䅁䅁䅂婏兰兑䅯䅈䅁䅁䅅䅁䉁䅁䅁兂䭁㘱睎奐湯䅑杷允䅁䅁䅍䅁䑁䅁䅷䅁䙁䅁䅁䕁噄汭䉂权楁䅁䅁允䅁䅁䅅䅁啁䅁䅁䅁䅁䅁䅁䍄䉁䅁䅁睁䅁䅁䅍䅄䅁䅁䅕䅁䅁乑慗䕕䭅䅁䅙䅁䉁䅁䅁允䅁䉁䅑䅁䅁䅁䅁䅁䵁䅉䅅䅁䑁䅁䅁睁䵁䅁䅁兂䅁䅁䅂娱兰兑䅯睃䅁䅁䅅䅁䉁䅁䅁兂㑃潈牘払畩睐杷允䅁䅁䅍䅁䑁䅁䅷䅁䙁䅁䅁䅁䩄汭䉂权䕁䅁䅁允䅁䅁䅅䅁䭁䅁䅕䅁䵁䅉䅅䅁䑁䅁䅁睁䵁䅁䅁兂䅁䅁䅂娱兰兑䅯杇䅁䅁䅅䅁䉁䅁䅁权䙁䅁䅁䍄䉁䅁䅁睁䅁䅁䅍䅄䅁䅁䅕䅁䅁乑慗䕕䭅䉁䅙䅁䉁䅁䅁允䅁䅁䅯兂䅁䅁杷允䅁䅁䅍䅁䑁䅁䅷䅁䙁䅁䅁䕁噄汭䉂权牁䅁䅁允䅁䅁䅅䅁䭁䅁䅕䅁䵁䅉䅅䅁䑁䅁䅁睁䵁䅁䅁兂䅁䅁䅄灣公兑䅯睆䅁䅁䅅䅁䉁䅁䅁权剁䅁䅁䍄䉁䅁䅁睁䅁䅁䅍䅄䅁䅁䅕䅁䅁䡷婋䕕䭅䉁䅑䅁䉁䅁䅁允䅁䅁䅯兂䅁䅁杷允䅁䅁䅍䅁䑁䅁䅷䅁䙁䅁䅁䵁祂噭䉂权扁䅁䅁允䅁䅁䅅䅁䭁䅁䅕䅁䵁䅉䅅䅁䑁䅁䅁睁䵁䅁䅁兂䅁䅁䅄灣公兑䅯䅃䅁䅁䅅䅁䉁䅁䅁权䙁䅁䅁䍄䉁䅁䅁睁䅁䅁䅍䅄䅁䅁䅕䅁䅁䡷婋䕕䭅䅁䅙䅁䉁䅁䅁允䅁䅁䅯兂䅁䅁杷允䅁䅁䅍䅁䑁䅁䅷䅁䙁䅁䅁䵁祂噭䉂权汁䅁䅁允䅁䅁䅅䅁䭁䅁䅕䅁䵁䅉䅅䅁䑁䅁䅁睁䵁䅁䅁兂䅁䅁䅄灣公兑䅯睊䅁䅁䅅䅁䉁䅁䅁权䙁䅁䅁䍄䉁䅁䅁睁䅁䅁䅍䅄䅁䅁䅕䅁䅁䡷婋䕕䭅䍁䅧䅁䉁䅁䅁允䅁䅁䅯兂䅁䅁杷允䅁䅁䅍䅁䑁䅁䅷䅁䙁䅁䅁䅁㑂噭䉂权塁䅁䅁允䅁䅁䅅䅁䭁䕁䅉䅁䵁䅉䅅䅁䑁䅁䅁睁䵁䅁䅁兂䅁䅁䅁䩥公兑䅯䅅䅁䅁䅅䅁䉁䅁䅁权䭁䅁䅁䍄䉁䅁䅁睁䅁䅁䅍䅄䅁䅁䅕䅁䅁䡁婩䕕䭅䅁䅷䅁䉁䅁䅁允䅁䅁䅯兂䅁䅁杷允䅁䅁䅍䅁䑁䅁䅷䅁䙁䅁䅁䅁㑂噭䉂权橁䅁䅁允䅁䅁䅅䅁䭁䅁䅕䅁䵁䅉䅅䅁䑁䅁䅁睁䵁䅁䅁兂䅁䅁䅁䩥公兑䅯杄䅁䅁䅅䅁䉁䅁䅁权䙁䅁䅁䍄䉁䅁䅁睁䅁䅁䅍䅄䅁䅁䅕䅁䅁偣⭤正䭅䍁䅕䅁䉁䅁䅁允䅁䅁䅯兂䅁䅁杷允䅁䅁䅍䅁䑁䅁䅷䅁䙁䅁䅁䕁㕁汭䉂权允䅁䅁允䅁䅁䅅䅁䭁䅁䅯䅁䵁䅉䅅䅁䑁䅁䅁睁䵁䅁䅁兂䅁䅁䅃儳剬兑䅯䅁䅁䅁䅅䅁䉁䅁䅁权䑁䅁䅁䍄䉁䅁䅁睁䅁䅁䅍䅄䅁䅁䅕䅁䅁䑑慭䕕䭅䉁䄴䅁䉁䅁䅁允䅁䅁䅕⽷潕䥘䌯い䵁䅉䅅䅁䑁䅁䅁睁䵁䅁䅁兂䅁䅁䅂婏兰兑䅯杉䅁䅁䅅䅁䉁䅁䅁权䙁䅁䅁䍄䉁䅁䅁睁䅁䅁䅍䅄䅁䅁䅕䅁䅁䑑慭䕕䭅䉁䅯䅁䉁䅁䅁允䅁䅁䅯兂䅁䅁杷允䅁䅁䅍䅁䑁䅁䅷䅁䙁䅁䅁䕁㕁汭䉂权坁䅁䅁允䅁䅁䅅䅁䭁䅁䅕䅁䵁䅉䅅䅁䑁䅁䅁睁䵁䅁䅁兂䅁䅁䅂婏兰兑䅯杄䅁䅁䅅䅁䉁䅁䅁兂乄䵺䵺䥺䱸䅑杷允䅁䅁䅍䅁䑁䅁䅷䅁䙁䅁䅁䕁瑂汭䉂权乁䅁䅁允䅁䅁䅅䅁䭁䉁䅅䅁䵁䅉䅅䅁䑁䅁䅁睁䵁䅁䅁兂䅁䅁䅂䩫儱兑䅯元䅁䅁䅅䅁䉁䅁䅁权佂䅁䅁䍄䉁䅁䅁睁䅁䅁䅍䅄䅁䅁䅕䅁䅁䝑愲䕕䭅䉁䅷䅁䉁䅁䅁允䅁䅁䅯兂䅁䅁杷允䅁䅁䅍䅁䑁䅁䅷䅁䙁䅁䅁䕁瑂汭䉂权敁䅁䅁允䅁䅁䅅䅁䭁䅁䅕䅁䵁䅉䅅䅁䑁䅁䅁睁䵁䅁䅁兂䅁䅁䅂䩫儱兑䅯睊䅁䅁䅅䅁䉁䅁䅁权䙁䅁䅁䍄䉁䅁䅁睁䅁䅁䅍䅄䅁䅁䅕䅁䅁䩷椵啕䭅䉁䅯䅁䉁䅁䅁允䅁䅁䅯兂䅁䅁杷允䅁䅁䅍䅁䑁䅁䅷䅁䙁䅁䅁䕁瑂汭䉂权杁䅁䅁允䅁䅁䅅䅁䭁䅁䅕䅁䵁䅉䅅䅁䑁䅁䅁睁䵁䅁䅁兂䅁䅁䅂婢兰兑䅯䅄䅁䅁䅅䅁䉁䅁䅁权䙁䅁䅁䍄䉁䅁䅁睁䅁䅁䅍䅄䅁䅁䅕䅁䅁䝑愲䕕䭅䅁䅳䅁䉁䅁䅁允䅁䅁䅯兂䅁䅁杷允䅁䅁䅍䅁䑁䅁䅷䅁䙁䅁䅁䕁㡂ㅭ䉂权敁䅁䅁允䅁䅁䅅䅁䙁䙁㑋潈牘捕⽧䍄䉁䅁䅁睁䅁䅁䅍䅄䅁䅁䅕䅁䅁偣⭤正䭅䅁䄴䅁䉁䅁䅁允䅁䅁䅯兂䅁䅁杷允䅁䅁䅍䅁䑁䅁䅷䅁䙁䅁䅁䡁㍄湦䉊权橁䅁䅁允䅁䅁䅅䅁䭁䅁䅕䅁䵁䅉䅅䅁䑁䅁䅁睁䵁䅁䅁兂䅁䅁睂㌹礵兑䅯杂䅁䅁䅅䅁䉁䅁䅁权䙁䅁䅁䍄䉁䅁䅁睁䅁䅁䅍䅄䅁䅁䅕䅁䅁偣⭤正䭅䅁䅳䅁䉁䅁䅁允䅁䅁䅯兂䅁䅁杷允䅁䅁䅍䅁䑁䅁䅷䅁䙁䅁䅁䕁㡂ㅭ䉂权十䅁䅁允䅁䅁䅅䅁䭁䉁䅅䅁䵁䅉䅅䅁䑁䅁䅁睁䵁䅁䅁兂䅁䅁睂㌹礵兑䅯杆䅁䅁䅅䅁䉁䅁䅁权䙁䅁䅁䍄䉁䅁䅁睁䅁䅁䅍䅄䅁䅁䅕䅁䅁偣⭤正䭅䉁䅫䅁䉁䅁䅁允䅁䅁䅯兂䅁䅁杷允䅁䅁䅍䅁䑁䅁䅷䅁䙁䅁䅁䅁䩄汭䉂权䩁䅁䅁允䅁䅁䅅䅁䭁䕁䄸䅁䵁䅉䅅䅁䑁䅁䅁睁䵁䅁䅁兂䅁䅁䅁婹兰兑䅯杅䅁䅁䅅䅁䉁䅁䅁权剁䅁䅁䍄䉁䅁䅁睁䅁䅁䅍䅄䅁䅁䅕䅁䅁䵁慭䕕䭅䉁䅑䅁䉁䅁䅁允䅁䅁䅯兂䅁䅁杷允䅁䅁䅍䅁䑁䅁䅷䅁䙁䅁䅁䅁䩄汭䉂权流䅁䅁允䅁䅁䅅䅁䭁䅁䅕䅁䵁䅉䅅䅁䑁䅁䅁睁䵁䅁䅁兂䅁䅁䅁婹兰兑䅯䅄䅁䅁䅅䅁䉁䅁䅁兂獄払敧敨灶睐杷允䅁䅁䅍䅁䑁䅁䅷䅁䭁䙁䅅䅁䭁䅁䅁䅁䉁䅁䅁允䅁䅁䅯杁䅁䅁杷允䅁䅁䅍䅁䑁䅁䅷䅁䙁䅁䅁䅁䩄汭䉂权汁䅁䅁允䅁䅁䅅䅁䭁䅁䅕䅁䵁䅉䅅䅁䑁䅁䅁睁䵁䅁䅁兂䅁䅁䅁婹兰兑䅯睈䅁䅁䅅䅁䉁䅁䅁权䙁䅁䅁䍄䉁䅁䅁睁䅁䅁䅍䅄䅁䅁䅕䅁䅁䵁慭䕕䭅䍁䅳䅁䉁䅁䅁允䅁䅁䅯兂䅁䅁杷允䅁䅁䅍䅁䑁䅁䅷䅁䙁䅁䅁䵁敃汙䉆权乁䅁䅁允䅁䅁䅅䅁䭁䉁䅅䅁䵁䅉䅅䅁䑁䅁䅁睁䵁䅁䅁兂䅁䅁䅄浮削兑䅯䅅䅁䅁䅅䅁䉁䅁䅁权剁䅁䅁䍄䉁䅁䅁睁䅁䅁䅍䅄䅁䅁䅕䅁䅁䩷椵啕䭅䉁䅑䅁䉁䅁䅁允䅁䅁䅯兂䅁䅁杷允䅁䅁䅍䅁䑁䅁䅷䅁䙁䅁䅁䵁敃汙䉆权扁䅁䅁允䅁䅁䅅䅁䭁䅁䅕䅁䵁䅉䅅䅁䑁䅁䅁睁䵁䅁䅁兂䅁䅁䅄浮削兑䅯䅃䅁䅁䅅䅁䉁䅁䅁权䙁䅁䅁䍄䉁䅁䅁睁䅁䅁䅍䅄䅁䅁䅕䅁䅁䩷椵啕䭅䅁䄸䅁䉁䅁䅁允䅁䅁䅯兂䅁䅁杷允䅁䅁䅍䅁䑁䅁䅷䅁䙁䅁䅁䵁敃汙䉆权潁䅁䅁允䅁䅁䅅䅁䭁䅁䅕䅁䵁䅉䅅䅁䑁䅁䅁睁䵁䅁䅁兂䅁䅁䅄浮削兑䅯杆䅁䅁䅅䅁䉁䅁䅁兂浂浚浚浚㉢睐杷允䅁䅁䅍䅁䑁䅁䅷䅁䙁䅁䅁䥁穂䕑䈹权捁䅁䅁允䅁䅁䅅䅁䙁䕁桪桥畓ず䅎䍄䉁䅁䅁睁䅁䅁䅍䅄䅁䅁䅕䅁䅁䡧䅎ご䭅䉁䄴䅁䉁䅁䅁允䅁䅁䅕䥘䌯匹捨啄䵁䅉䅅䅁䑁䅁䅁睁䵁䅁䅁兂䅁䅁䅃っ偂兑䅯睂䅁䅁䅅䅁䉁䅁䅁权䙁䅁䅁䍄䉁䅁䅁睁䅁䅁䅍䅄䅁䅁䅕䅁䅁䡧䅎ご䭅䍁䅉䅁䉁䅁䅁允䅁䅁䅯兂䅁䅁杷允䅁䅁䅍䅁䑁䅁䅷䅁䙁䅁䅁䥁穂䕑䈹权䵁䅁䅁允䅁䅁䅅䅁䙁䡁㥅瑃橥䑍䄹䍄䉁䅁䅁睁䅁䅁䅍䅄䅁䅁䅕䅁䅁䡧䅎ご䭅䍁䅍䅁䉁䅁䅁允䅁䅁䅯兂䅁䅁杷允䅁䅁䅍䅁䑁䅁䅷䅁䙁䅁䅁䥁穂䕑䈹权汁䅁䅁允䅁䅁䅅䅁䭁䅁䅕䅁䵁䅉䅅䅁䑁䅁䅁睁䵁䅁䅁兂䅁䅁䅃っ偂兑䅯杇䅁䅁䅅䅁䉁䅁䅁权䙁䅁䅁䍄䉁䅁䅁睁䅁䅁䅍䅄䅁䅁䅕䅁䅁䡧䅎ご䭅䉁䅙䅁䉁䅁䅁允䅁䅁䅯兂䅁䅁杷允䅁䅁䅍䅁䑁䅁䅷䅁䙁䅁䅁䥁穂䕑䈹权佁䅁䅁允䅁䅁䅅䅁䭁䅁䅕䅁䵁䅉䅅䅁䑁䅁䅁睁䵁䅁䅁兂䅁䅁䅄㥹橊兑䅯兄䅁䅁䅅䅁䉁䅁䅁权剁䅁䅁䍄䉁䅁䅁睁䅁䅁䅍䅄䅁䅁䅕䅁䅁䵷卶す䭅䉁䅉䅁䉁䅁䅁允䅁䅁䅯充䅁䅁杷允䅁䅁䅍䅁䑁䅁䅷䅁䙁䅁䅁䵁䱄洰䉎权敁䅁䅁允䅁䅁䅅䅁䭁䅁䅕䅁䵁䅉䅅䅁䑁䅁䅁睁䵁䅁䅁兂䅁䅁䅂䩦兴兑䅯䅃䅁䅁䅅䅁䉁䅁䅁兂䑄匹捨㡪䙌睐杷允䅁䅁䅍䅁䑁䅁䅷䅁䙁䅁䅁䵁䱄洰䉎权䡁䅁䅁允䅁䅁䅅䅁䭁䅁䅕䅁䵁䅉䅅䅁䑁䅁䅁睁䵁䅁䅁兂䅁䅁䅄㥹橊兑䅯杊䅁䅁䅅䅁䉁䅁䅁权䙁䅁䅁䍄䉁䅁䅁睁䅁䅁䅍䅄䅁䅁䅕䅁䅁䩑摃䕕䭅䍁䅳䅁䉁䅁䅁允䅁䅁䅯兂䅁䅁杷允䅁䅁䅍䅁䑁䅁䅷䅁䙁䅁䅁䵁䱄洰䉎权汁䅁䅁允䅁䅁䅅䅁䭁䅁䅕䅁䵁䅉䅅䅁䑁䅁䅁睁䵁䅁䅁兂䅁䅁䅄㥹橊兑䅯睄䅁䅁䅅䅁䉁䅁䅁权䙁䅁䅁䍄䉁䅁䅁睁䅁䅁䅍䅄䅁䅁䅕䅁䅁䡷欯䕘䭅䅁䅁䅁䉁䅁䅁允䅁䅁䅯杁䅁䅁杷允䅁䅁䅍䅁䑁䅁䅷䅁䙁䅁䅁䵁䱄洰䉎权歁䅁䅁允䅁䅁䅅䅁䭁䅁䅕䅁䵁䅉䅅䅁䑁䅁䅁睁䵁䅁䅁兂䅁䅁䅄㥹橊兑䅯䅋䅁䅁䅅䅁䉁䅁䅁权䙁䅁䅁䍄䉁䅁䅁睁䅁䅁䅍䅄䅁䅁䅕䅁䅁䵷卶す䭅䉁䅯䅁䉁䅁䅁允䅁䅁䅯兂䅁䅁杷允䅁䅁䅍䅁䑁䅁䅷䅁䙁䅁䅁䵁䱄洰䉎权牁䅁䅁允䅁䅁䅅䅁䭁䅁䅕䅁䵁䅉䅅䅁䑁䅁䅁睁䵁䅁䅁兂䅁䅁䅂䩦兴兑䅯睇䅁䅁䅅䅁䉁䅁䅁权䙁䅁䅁䍄䉁䅁䅁睁䅁䅁䅍䅄䅁䅁䅕䅁䅁䡑批䕕䭅䍁䅁䅁䉁䅁䅁允䅁䅁䅯兂䅁䅁杷允䅁䅁䅍䅁䑁䅁䅷䅁䙁䅁䅁䕁㡂ㅭ䉂权橁䅁䅁允䅁䅁䅅䅁䭁䅁䅕䅁䵁䅉䅅䅁䑁䅁䅁睁䵁䅁䅁兂䅁䅁䅂䩦兴兑䅯睊䅁䅁䅅䅁䉁䅁䅁权䙁䅁䅁䍄䉁䅁䅁睁䅁䅁䅍䅄䅁䅁䅕䅁䅁䡑批䕕䭅䅁䅳䅁䉁䅁䅁允䅁䅁䅯兂䅁䅁杷允䅁䅁䅍䅁䑁䅁䅷䅁䙁䅁䅁䕁元噮䉂权杁䅁䅁允䅁䅁䅅䅁䭁䅁䅕䅁䵁䅉䅅䅁䑁䅁䅁睁䵁䅁䅁兂䅁䅁䅂䩦兴兑䅯䅊䅁䅁䅅䅁䉁䅁䅁䅆䅁䅁䅁䅁䅁䅁杷允䅁䅁䅍䅁䑁䅁䅷䅁䙁䅁䅁䕁㡂ㅭ䉂权晁䅁䅁允䅁䅁䅅䅁䭁䅁䅕䅁䵁䅉䅅䅁䑁䅁䅁睁䵁䅁䅁兂䅁䅁䅂䩦兴兑䅯杇䅁䅁䅅䅁䉁䅁䅁权䙁䅁䅁䍄䉁䅁䅁睁䅁䅁䅍䅄䅁䅁䅕䅁䅁䡑批䕕䭅䍁䅳䅁䉁䅁䅁允䅁䅁䅕灭婭婭婭含䴸䅉䅅䅁䑁䅁䅁睁䵁䅁䅁兂䅁䅁䅂䩦兴兑䅯杄䅁䅁䅅䅁䉁䅁䅁兂乄䵺䵺䝺䍸䅑杷允䅁䅁䅍䅁䑁䅁䅷䅁䙁䅁䅁䅁敄ㅵ䉆权敁䅁䅁允䅁䅁䅅䅁䭁䅁䅕䅁䵁䅉䅅䅁䑁䅁䅁睁䵁䅁䅁兂䅁䅁䅁爳剴兑䅯䅉䅁䅁䅅䅁䉁䅁䅁权䙁䅁䅁䍄䉁䅁䅁睁䅁䅁䅍䅄䅁䅁䅕䅁䅁乁㜶啕䭅䍁䅍䅁䉁䅁䅁允䅁䅁䅯兂䅁䅁杷允䅁䅁䅍䅁䑁䅁䅷䅁䙁䅁䅁䅁敄ㅵ䉆权䕁䅁䅁允䅁䅁䅅䅁䭁䅁䅕䅁䵁䅉䅅䅁䑁䅁䅁睁䵁䅁䅁兂䅁䅁䅁爳剴兑䅯䅊䅁䅁䅅䅁䉁䅁䅁权䙁䅁䅁䍄䉁䅁䅁睁䅁䅁䅍䅄䅁䅁䅕䅁䅁乁㜶啕䭅䉁䄸䅁䉁䅁䅁允䅁䅁䅯兂䅁䅁杷允䅁䅁䅍䅁䑁䅁䅷䅁䙁䅁䅁䅁敄ㅵ䉆权潁䅁䅁允䅁䅁䅅䅁䭁䅁䅕䅁䵁䅉䅅䅁䑁䅁䅁睁䵁䅁䅁兂䅁䅁䅁爳剴兑䅯杆䅁䅁䅅䅁䉁䅁䅁权䙁䅁䅁䍄䉁䅁䅁睁䅁䅁䅍䅄䅁䅁䅕䅁䅁䩑摃䕕䭅䉁䅑䅁䉁䅁䅁允䅁䉁䅑洱䍒䅁䅁䅁䵁䅉䅅䅁䑁䅁䅁睁䵁䅁䅁兂䅁䅁䅂䩫儱兑䅯䅃䅁䅁䅅䅁䉁䅁䅁权䙁䅁䅁䍄䉁䅁䅁睁䅁䅁䅍䅄䅁䅁䅕䅁䅁䩑摃䕕䭅䅁䅣䅁䉁䅁䅁允䅁䅁䅯兂䅁䅁杷允䅁䅁䅍䅁䑁䅁䅷䅁䙁䅁䅁䕁元噮䉂权流䅁䅁允䅁䅁䅅䅁䭁䅁䅕䅁䵁䅉䅅䅁䑁䅁䅁睁䵁䅁䅁兂䅁䅁䅂䩫儱兑䅯䅊䅁䅁䅅䅁䉁䅁䅁兂䭁㘱睎児塲睐杷允䅁䅁䅍䅁䑁䅁䅷䅁䙁䅁䅁䕁元噮䉂权坁䅁䅁允䅁䅁䅅䅁䭁䅁䅕䅁䵁䅉䅅䅁䑁䅁䅁睁䵁䅁䅁权呁䅁䅁权䅁䅁䅁允䅁䅁䅅䅁䭁䅁䅉䅁䵁䅉䅅䅁䑁䅁䅁睁䵁䅁䅁权䙁䅁䅁权䅁䅁䅁允䅁䅁䅅䅁䭁䅁䅅䅁䵁䅉䅅䅁䑁䅁䅁睁䵁䅁䅁兂䅁䅁䅁ㅏ瀱兑䅯䅁䅁䅁䅅䅁䉁䅁䅁权䍁䅁䅁䍄䉁䅁䅁睁䅁䅁䅍䅄䅁䅁䅕䅁䅁䅑夯䕕䭅䅁䅁䅁䉁䅁䅁允䅁䅁䅯杁䅁䅁杷允䅁䅁䅍䅁䑁䅁䅷䅁䙁䅁䅁䅁潃噥䉆权䅁䅁䅁允䅁䅁䅅䅁䭁䅁䅉䅁䵁䅉䅅䅁䑁䅁䅁睁䵁䅁䅁兂䅁䅁䅄䑲剸兑䅯䅁䅁䅁䅅䅁䉁䅁䅁权䑁䅁䅁䍄䉁䅁䅁睁䅁䅁䅍䅄䅁䅁䅯兑䅁䅁䅯䅁䅁䅁䅅䅁䉁䅁䅁权䍁䅁䅁䍄䉁䅁䅁睁䅁䅁䅍䅄䅁䅁䅯杕䅁䅁䅯䅁䅁䅁䅅䅁䉁䅁䅁权䍁䅁䅁䍄䉁䅁䅁睁䅁䅁䅍䅄䅁䅁䅯睎䅁䅁䅯䅁䅁䅁䅅䅁䉁䅁䅁权䑁䅁䅁䍄䉁䅁䅁睁䅁䅁䅍䅄䅁䅁䅯睑䅁䅁䅯䅁䅁䅁䅅䅁䉁䅁䅁权䑁䅁䅁䍄䉁䅁䅁睁䅁䅁䅍䅄䅁䅁䅯睒䅁䅁䅯䅁䅁䅁䅅䅁䉁䅁䅁权䍁䅁䅁䍄䉁䅁䅁睁䅁䅁䅍䅄䅁䅁䅯睌䅁䅁䅯䅁䅁䅁䅅䅁䉁䅁䅁权䍁䅁䅁䍄䉁䅁䅁睁䅁䅁䅍䅄䅁䅁䅯兌䅁䅁䅯䅁䅁䅁䅅䅁䉁䅁䅁权䑁䅁䅁</t>
  </si>
  <si>
    <t>Public Company</t>
  </si>
  <si>
    <t>4415549</t>
  </si>
  <si>
    <t>Private Company</t>
  </si>
  <si>
    <t>Xinjiang NonFerrous Metal Industry (Group) Co.Ltd</t>
  </si>
  <si>
    <t>NA</t>
  </si>
  <si>
    <t>South Korea</t>
  </si>
  <si>
    <t>4518579</t>
  </si>
  <si>
    <t>Government Institution</t>
  </si>
  <si>
    <t>Japan</t>
  </si>
  <si>
    <t/>
  </si>
  <si>
    <t>#INVALID COMPANY ID</t>
  </si>
  <si>
    <t>BVI</t>
  </si>
  <si>
    <t>4416391</t>
  </si>
  <si>
    <t>State-owned Assets Supervision and Administration Commission of the State Counci</t>
  </si>
  <si>
    <t>4466550</t>
  </si>
  <si>
    <t>Industrial Development Corporation (Zambia) Limited</t>
  </si>
  <si>
    <t>4350734</t>
  </si>
  <si>
    <t>United Kingdom</t>
  </si>
  <si>
    <t>United Arab Emirates</t>
  </si>
  <si>
    <t>7574015</t>
  </si>
  <si>
    <t>Shalina Group Limited</t>
  </si>
  <si>
    <t>France</t>
  </si>
  <si>
    <t>8393263</t>
  </si>
  <si>
    <t>State-Owned Assets Supervision And Administration Commission Of Gansu Provincial</t>
  </si>
  <si>
    <t>Switzerland</t>
  </si>
  <si>
    <t>Sweden</t>
  </si>
  <si>
    <t>Kazakhstan</t>
  </si>
  <si>
    <t>Luxembourg</t>
  </si>
  <si>
    <t>4581024</t>
  </si>
  <si>
    <t>Eurasian Resources Group S.à r.l.</t>
  </si>
  <si>
    <t>Hong Kong</t>
  </si>
  <si>
    <t>4575436</t>
  </si>
  <si>
    <t>Bahamas</t>
  </si>
  <si>
    <t>10959764</t>
  </si>
  <si>
    <t>Conclave PTC Limited</t>
  </si>
  <si>
    <t>6511866</t>
  </si>
  <si>
    <t>Indonesia</t>
  </si>
  <si>
    <t>13298136</t>
  </si>
  <si>
    <t>Finnish Minerals Group Oy</t>
  </si>
  <si>
    <t>Guernsey</t>
  </si>
  <si>
    <t>Netherlands</t>
  </si>
  <si>
    <t>4410131</t>
  </si>
  <si>
    <t>Impala Platinum Holdings Limited</t>
  </si>
  <si>
    <t>允䅁䙁䅕䅁佁䅁䅁杗桂䝁䄰杙灂䝁䅅䅁祁䅁䅁䅙䅁䙁䅁睑啂䙁䄸睔塂䕁䄴兒䕂䙁䄸兓佂䙁䅍䅖佂䙁䄸兒䕂䙁䅕睑䉂䙁䅑兓偂䕁䄴兑䵂䍁䄸睑噂䕁䅷䅖噂䙁䅉兑䵂䙁䄸兒佂䕁䅑睔塂䕁䄰兒佂䙁䅑睕䅁䅁䅣䅁允䅁䅁䅎ぁ䑁䅅兎ㅁ䑁䅑兏䅁䉁䅍䅁杁䅁䅁睕兂䙁䄸睑偂䙁䅕杔啂䙁䅉兗時䕁䄴兑乂䕁䅕䅁䩁䅁䅁䅉䅁䙁䅍䅕時䕁䅍睔乂䙁䅁兑佂䙁䅫睘啂䙁䅫䅕䙂䅁䅁䅁䅁䉁䄴䅁兂䡁䅕杙獂䝁䅫睙杁䕁䅍睢瑂䡁䅁兙畂䡁䅫䅁䉁䅁䅁䅅䅁䑁䅑兎㍁䑁䅕䅎穁䑁䅙䅁⽁䅁䅁杣䅁䙁䅁睑啂䙁䄸睔塂䕁䄴兒䕂䙁䄸睕啂䙁䅉兑啂䕁䅕睒䩂䕁䅍睘䥂䕁䅕䅒䡂䕁䅕睘䝂䙁䅕杔䕂䙁䄸兔䡂䙁䅉睕時䕁䄰睔卂䕁䅕睘䙂䙁䅅兖䉂䕁䅷兎兂䕁䅍䅖時䙁䅍䅖䉂䕁䅳兒䅁䅁䅑䅁䅃䅁䅁䅕䑂䙁䅑睘偂䙁䅣杔䙂䕁䅑睘呂䙁䅑杕䉂䙁䅑兒䡂䕁䅫睑時䙁䅍睔坂䕁䅕杕䙂䕁䅫睒佂䙁䄸睖䙂䕁䅅䅔啂䕁䅧睘䝂䙁䅕杔䕂䙁䅍睘乂䕁䄸杕䙂䙁䄸兒剂䙁䅕兑䵂䑁䅕䅕䑂䙁䅑睘呂䙁䅑兑䱂䕁䅕䅁潁䅁䅁杚䅁䙁䅁睑啂䙁䄸睔塂䕁䄴兒䕂䙁䄸睕啂䙁䅉兑啂䕁䅕睒䩂䕁䅍睘䑂䕁䄸兔兂䕁䅅杔婂䙁䄸睑偂䕁䄴䅖卂䕁䄸䅔䵂䕁䅕䅒時䕁䅙睔噂䕁䄴䅒䉂䙁䅑兓偂䕁䄴睕䅁䉁䅯䅁杁䅁䅁䅕祂䝁䅫杤桂䡁䅑党杁䕁䅍睢瑂䡁䅁兙畂䡁䅫䅁䍁䅁䅁杌䅁䕁䅣睢㉂䝁䅕杣畂䝁䄰党畂䡁䅑䅉䩂䝁䄴督あ䝁䅫䅤ㅂ䡁䅑兡療䝁䄴䅁䑁䅁䅁杋䅁䙁䅕杢灂䡁䅑党歂䍁䅁兑祂䝁䅅杙杁䕁䅕兢灂䡁䅉兙あ䝁䅕督䅁䑁䅷䅁䝁䅁䅁杔䉂䅁䅁兂䅁䍁䅷䅁呂䝁䅧兙獂䝁䅫杢桂䍁䅁睒祂䝁䄸兤睂䍁䅁䅔灂䝁䄰兡あ䝁䅕䅚䅁䉁䄰䅁㙁䅁䅁䅕䑂䙁䅑睘偂䙁䅣杔䙂䕁䅑睘䩂䕁䄴睕啂䕁䄴睘噂䕁䄴睑䵂䕁䅅睕呂䕁䅫杒䩂䕁䅕䅒䅁䅁䅙䅁楁䅁䅁䅕桂䡁䅁兤桂䍁䅁杔求䡁䅣䅉䡂䡁䅕兡畂䝁䅕兙䅁䕁䄰䅁佁䅁䅁睑桂䝁䄴兙歂䝁䅅䅁㑁䅁䅁杕䅁䙁䅁睑啂䙁䄸睔塂䕁䄴兒䕂䙁䄸睕啂䙁䅉兑啂䕁䅕睒䩂䕁䅍睘䑂䕁䄸杕兂䕁䄸杕䉂䙁䅑兓偂䕁䄴睕時䙁䅁杕䩂䙁䅙兑啂䕁䅕䅁佁䅁䅁䅅䅁䑁䅑䅎㉁䑁䅙兎ㅁ䑁䅁䅁穁䅁䅁条䅁䙁䅁睑啂䙁䄸睔塂䕁䄴兒䕂䙁䄸睕啂䙁䅉兑啂䕁䅕睒䩂䕁䅍睘坂䕁䅍睌兂䕁䅕睘䝂䕁䅫杕乂䙁䅍睘乂䕁䄸杕䙂䙁䄸兒剂䙁䅕兑䵂䑁䅕䅕䑂䙁䅑睘呂䙁䅑兑䱂䕁䅕䅁晁䅁䅁䅔䅁䙁䅁睑啂䙁䄸睔塂䕁䄴兒䕂䙁䄸兓佂䙁䅍䅖佂䙁䄸睑偂䙁䅉䅕時䙁䅁兒佂䙁䅍兓偂䕁䄴睘呂䙁䅁睔佂䙁䅍睔卂䙁䅍䅁䥁䅁䅁杔䅁䙁䅁睑啂䙁䄸睔塂䕁䄴兒䕂䙁䄸兓佂䙁䅍䅖佂䙁䄸兖佂䕁䅫睔佂䙁䄸䅕䙂䕁䄴睕䩂䕁䄸杔時䙁䅍䅕偂䕁䄴睕偂䙁䅉睕䅁䍁䅕䅁獁䅁䅁睕兂䙁䄸兖䵂䙁䅑睘兂䕁䅅杕䙂䕁䄴䅖時䕁䅍睔噂䕁䄴䅖卂䙁䅫䅁允䅁䅁䅄䅁䕁䅍䅡灂䝁䄴兙䅁䅁䅯䅁坂䅁䅁䅕䑂䙁䅑睘偂䙁䅣杔䙂䕁䅑睘䩂䕁䄴睕啂䕁䄴睘坂䕁䅍睌兂䕁䅕睘䝂䕁䅫杕乂䙁䅍睘䵂䕁䅕睕呂䑁䅕䅕䑂䙁䅑睘呂䙁䅑兑䱂䕁䅕䅁䱁䅁䅁䅏䅁䙁䅁睑啂䙁䄸睔塂䕁䄴兒䕂䙁䄸兓佂䙁䅍䅖佂䙁䄸兓佂䙁䅙兒呂䙁䅑睘乂䕁䅣杕呂䅁䅁䅄䅁䍁䅑䅁呂䙁䅁睘兂䕁䅅杕䙂䕁䄴䅖時䕁䅍睔噂䕁䄴䅖卂䙁䅫䅁乁䅁䅁杘䅁䙁䅁睑啂䙁䄸睔塂䕁䄴兒䕂䙁䄸兓佂䙁䅍䅖佂䙁䄸䅓䙂䕁䅑睒䙂䙁䄸杒噂䕁䄴䅒時䕁䄰睒卂䙁䅍睘䵂䕁䅕睕呂䑁䅕䅕䑂䙁䅑睘呂䙁䅑兑䱂䕁䅕䅁湁䅁䅁䅢䅁䙁䅁睑啂䙁䄸睔塂䕁䄴兒䕂䙁䄸兓佂䙁䅍䅖佂䙁䄸睕偂䙁䅙兒卂䕁䅕兓䡂䕁䄴睘塂䕁䅕兑䵂䙁䅑䅓時䕁䅙兖佂䕁䅑睕時䕁䅷兒呂䙁䅍兎兂䕁䅍䅖時䙁䅍䅖䉂䕁䅳兒䅁䅁䄸䅁䍁䅁䅁䅁剁䅁䅁李䅁䙁䅍䅕時䙁䅕䅔啂䙁䄸䅕䉂䙁䅉兒佂䙁䅑睘䑂䕁䄸兔兂䕁䅅杔婂䙁䄸杔䉂䕁䄰兒䅁䉁䅣䅁煁䅁䅁睕兂䙁䄸䅕䉂䙁䅉兒佂䙁䅑睘䑂䕁䄸兔兂䕁䅅杔婂䙁䄸兓䕂䅁䅁杅䅁䑁䅉䅁呂䙁䅁睘噂䕁䅷䅖時䙁䅁兑卂䕁䅕杔啂䙁䄸睑偂䕁䄰䅕䉂䕁䄴兗時䕁䅫䅒䅁䉁䅑䅁奁䅁䅁睕療䡁䅕䅤潂䍁䅁睓療䡁䅉党桂䅁䅁兆䅁䅁䄴䅁䍂䡁䅉兙㙂䝁䅫䅢䅁䑁䅯䅁祁䅁䅁䅕䑂䙁䅑睘偂䙁䅣杔䙂䕁䅑睘呂䙁䅑杕䉂䙁䅑兒䡂䕁䅫睑時䕁䅕睕偂䙁䅁䅁坁䅁䅁䅚䅁䙁䅧兡畂䝁䅯兡桂䝁䄴睚杁䕁䄴睢畂䕁䅙党祂䡁䅉睢ㅂ䡁䅍䅉乂䝁䅕䅤桂䝁䅷䅉䩂䝁䄴䅚ㅂ䡁䅍䅤祂䡁䅫䅉潁䕁䅣杣療䡁䅕䅣灁䍁䅁睑療䍁䄴䅔あ䝁䅑䅁奁䅁䅁杓䅁䙁䅍䅕時䙁䅁睑啂䙁䄸睕䥂䕁䅅杕䙂䙁䅍睘偂䙁䅣杔䙂䕁䅑睘䉂䕁䅷䅔時䕁䅫杔呂䙁䅑兓啂䙁䅕䅖䩂䕁䄸杔呂䅁䅁䅈䅁䙁䅁䅁兂䕁䅍䅖時䕁䄸睖佂䕁䅕䅒時䙁䅍䅖卂䕁䅅䅖䙂䕁䅣兓䑂䙁䄸睑偂䙁䅉䅕偂䙁䅉兑啂䕁䅫睔佂䙁䅍睘兂䙁䅕村䵂䕁䅫睑䅁䉁䅫䅁佂䅁䅁䅕䑂䙁䅑睘偂䙁䅣杔䙂䕁䅑睘䩂䕁䄴睕啂䕁䄴睘䑂䕁䅧兑卂䕁䅫䅖䉂䕁䅉䅔䙂䙁䄸杒偂䙁䅕杔䕂䕁䅅䅖䩂䕁䄸杔呂䅁䅁睇䅁䉁䄴䅁噂䝁䄴兡あ䝁䅕䅚杁䕁䅳兡畂䝁䅣䅚療䝁䄰䅁㝁䅁䅁杒䅁䙁䅁睑啂䙁䄸睔塂䕁䄴兒䕂䙁䄸兓佂䙁䅍䅖佂䙁䄸村䉂䕁䄴睓呂䍁䄸兓佂䙁䅙兒呂䙁䅑睘䍂䕁䅅杔䱂䙁䅍䅁敁䅁䅁杆䅁䕁䅷兤㑂䝁䅕兢楂䝁䄸兤祂䝁䅣䅁煁䅁䅁䅔䅁䙁䅁睑啂䙁䄸睔塂䕁䄴兒䕂䙁䄸兓佂䙁䅍䅖佂䙁䄸睒偂䙁䅙䅖時䙁䅁兒佂䙁䅍兓偂䕁䄴睘呂䙁䅁睔佂䙁䅍睔卂䙁䅍䅁杁䅁䅁䅉䅁䕁䅑党瑂䍁䄴䅉卂䝁䅕䅣畁䍁䅁睑療䝁䄴睚療䅁䅁光䅁䕁䅷䅁兂䕁䅍䅖時䕁䄸睖佂䕁䅕䅒時䕁䅫杔呂䙁䅑杔時䕁䅙兑乂䕁䅫䅔婂䙁䄸睔䝂䕁䅙兓䑂䕁䅕睕癁䙁䅑杕噂䙁䅍䅖呂䅁䅁杉䅁䝁䅧䅁䩂䝁䄴䅚ㅂ䡁䅍䅤祂䝁䅫兙獂䍁䅁䅒求䡁䅙党獂䝁䄸䅣瑂䝁䅕杢あ䍁䅁睑療䡁䅉䅣療䡁䅉兙あ䝁䅫睢畂䍁䅁䅋慂䝁䅅兢楂䝁䅫兙灁䍁䅁䅔灂䝁䄰兡あ䝁䅕䅚䅁䑁䅑䅁煁䅁䅁䅕䑂䙁䅑睘偂䙁䅣杔䙂䕁䅑睘䩂䕁䄴睕啂䕁䄴睘卂䕁䅕兓啂䅁䅁睉䅁䍁䅙䅁兂䕁䅍䅖時䕁䄸睖佂䕁䅕䅒時䕁䅫杔呂䕁䅫䅒䙂䙁䅉睕䅁䍁䅑䅁䥂䅁䅁䅕䑂䙁䅑睘偂䙁䅣杔䙂䕁䅑睘䩂䕁䄴睕啂䕁䄴睘䩂䕁䄴睕噂䙁䅉兑佂䕁䅍兒時䕁䅍睔乂䙁䅁兑佂䕁䅫兒呂䅁䅁杊䅁䅁䅷䅁䭂䝁䅅䅣桂䝁䄴䅁灁䅁䅁䅑䅁䙁䅁睑啂䙁䄸睔塂䕁䄴兒䕂䙁䄸睕啂䙁䅉兑啂䕁䅕睒䩂䕁䅍睘呂䙁䅑兑啂䕁䅕睘偂䙁䅣杔䙂䙁䅉䅁牁䅁䅁杄䅁䕁䅙杣桂䝁䄴睙求䅁䅁䅌䅁䉁䅧䅁呂䡁䅣兡あ䡁䅯党祂䝁䅷兙畂䝁䅑䅁硁䅁䅁䅅䅁䑁䅑兎硁䑁䅧兎㍁䑁䅫䅁瑁䅁䅁䅃䅁䕁䅉杖䩂䅁䅁杌䅁䉁䅁䅁ぁ䑁䅑免㉁䑁䅍兏硁䅁䅁睌䅁䭁䅉䅁呂䡁䅑兙あ䝁䅕兌療䡁䅣杢求䝁䅑䅉䉂䡁䅍督求䡁䅑督杁䙁䅍兤睂䝁䅕杣㉂䝁䅫督灂䝁䄸杢杁䝁䅅杢歂䍁䅁兑歂䝁䄰兡畂䝁䅫督あ䡁䅉兙あ䝁䅫睢畂䍁䅁睑療䝁䄰兢灂䡁䅍督灂䝁䄸杢杁䝁䄸杚杁䡁䅑䅡求䍁䅁睕あ䝁䅅䅤求䍁䅁睑療䡁䅕杢橂䝁䅫䅁睁䅁䅁䅎䅁䕁䅙兡畂䝁䄴兡穂䝁䅧䅉乂䝁䅫杢求䡁䅉兙獂䡁䅍䅉䡂䡁䅉睢ㅂ䡁䅁䅉偂䡁䅫䅁ㅁ䅁䅁杋䅁䕁䅍睢畂䝁䅍䅢桂䡁䅙党杁䙁䅁䅖䑂䍁䅁䅔灂䝁䄰兡あ䝁䅕䅚䅁䑁䅙䅁允䅁䅁䅎穁䑁䅕䅍㍁䑁䅍䅎䅁䑁䅣䅁佁䅁䅁睕㍂䝁䅕䅚求䝁䄴䅁㕁䅁䅁䅅䅁䑁䅣兎㍁䑁䅑䅍硁䑁䅕䅁㥁䅁䅁䅅䅁䑁䅙兎硁䑁䅅䅏㉁䑁䅙䅁⭁䅁䅁杇䅁䙁䅍睢ㅂ䡁䅑䅡杁䕁䅅杚祂䝁䅫睙桂䅁䅁䅑䅁䉁䅁䅁ぁ䑁䅕䅏硁䑁䅁杍ぁ䅁䅁兑䅁䭁䅉䅁呂䡁䅑兙あ䝁䅕兌偂䡁䅣杢求䝁䅑䅉䉂䡁䅍督求䡁䅑督杁䙁䅍兤睂䝁䅕杣㉂䝁䅫督灂䝁䄸杢杁䕁䅅杢歂䍁䅁兑歂䝁䄰兡畂䝁䅫督あ䡁䅉兙あ䝁䅫睢畂䍁䅁睑療䝁䄰兢灂䡁䅍督灂䝁䄸杢杁䕁䄸杚杁䕁䅣兙畂䡁䅍兤杁䙁䅁杣療䡁䅙兡畂䝁䅍兡桂䝁䅷䅁䍂䅁䅁村䅁䕁䅫兢睂䝁䅅䅢桂䍁䅁䅕獂䝁䅅䅤灂䝁䄴兤瑂䍁䅁䅓療䝁䅷䅚灂䝁䄴睚穂䍁䅁䅔灂䝁䄰兡あ䝁䅕䅚䅁䙁䅍䅁允䅁䅁䅏穁䑁䅫睍祁䑁䅙睍䅁䕁䅍䅁佁䅁䅁杕ㅂ䡁䅍督灂䝁䅅䅁䕂䅁䅁䅅䅁䕁䅙兡畂䝁䅷兙畂䝁䅑䅁䙂䅁䅁䅅䅁䕁䅉兙潂䝁䅅兢桂䡁䅍䅁䝂䅁䅁杅䅁䑁䅅䅍㕁䑁䅕兏㍁䑁䅙䅎䅁䕁䅣䅁坁䅁䅁睓桂䡁䅯兙牂䝁䅧督あ䝁䅅杢䅁䕁䅧䅁䕂䅁䅁兒ㅂ䡁䅉兙穂䝁䅫兙畂䍁䅁杕求䡁䅍睢ㅂ䡁䅉睙求䡁䅍䅉䡂䡁䅉睢ㅂ䡁䅁䅉呂䍁䄴䄴杁䡁䅉杌獂䍁䄴䅁䩂䅁䅁权䅁䕁䅍兤楂䝁䅅䅁䭂䅁䅁䅆䅁䕁䅫杢歂䝁䄸杢求䡁䅍兡桂䅁䅁睓䅁䉁䅑䅁䥂䝁䄸杢湂䍁䅁睓療䝁䄴睚䅁䕁䅷䅁十䅁䅁睒ㅂ䝁䅕杣畂䡁䅍党㕂䅁䅁杔䅁䉁䅧䅁兂䝁䅧兡獂䝁䅫䅣睂䝁䅫杢求䡁䅍䅁偂䅁䅁䅇䅁䕁䄴党あ䝁䅧党祂䝁䅷兙畂䝁䅑督䅁䙁䅁䅁十䅁䅁免穁䑁䅉兏㑁䑁䅅睍㉁䅁䅁兕䅁䉁䅁䅁ぁ䑁䅑免睁䑁䅅睍硁䅁䅁杕䅁䍁䅧䅁橁䕁䅫杔坂䕁䅅䅔䩂䕁䅑䅉䑂䕁䄸兔兂䕁䅅杔婂䍁䅁兓䕂䅁䅁䅖䅁䍁䘴䅁䵁䅉䅅䅁䑁䅁䅁睁䵁䅁䅁兂䅁䅁䅃っ偂兑䅯䅁䅁䅁䅅䅁䉁䅁䅁权䉁䅁䅁䍄䉁䅁䅁睁䅁䅁䅍䅄䅁䅁䅕䅁䅁䡑批䕕䭅䅁䅣䅁䉁䅁䅁允䅁䅁䅯兂䅁䅁杷允䅁䅁䅍䅁䑁䅁䅷䅁䙁䅁䅁䥁浂噮䉂权䅁䅁䅁允䅁䅁䅅䅁䭁䅁䅅䅁䵁䅉䅅䅁䑁䅁䅁睁䵁䅁䅁兂䅁䅁䅁楮剰兑䅯䅂䅁䅁䅅䅁䉁䅁䅁权䙁䅁䅁䍄䉁䅁䅁睁䅁䅁䅍䅄䅁䅁䅕䅁䅁䥧摓䕕䭅䅁䅁䅁䉁䅁䅁允䅁䅁䅯允䅁䅁杷允䅁䅁䅍䅁䑁䅁䅷䅁䙁䅁䅁䵁牄䙈䉂权慁䅁䅁允䅁䅁䅅䅁䭁䅁䅕䅁䵁䅉䅅䅁䑁䅁䅁睁䵁䅁䅁兂䅁䅁䅃坂剸兑䅯䅁䅁䅁䅅䅁䉁䅁䅁权䍁䅁䅁䍄䉁䅁䅁睁䅁䅁䅍䅄䅁䅁䅕䅁䅁䡁挶啕䭅䉁䅳䅁䉁䅁䅁允䅁䅁䅯兂䅁䅁杷允䅁䅁䅍䅁䑁䅁䅷䅁䙁䅁䅁䅁敄ㅵ䉆权䝁䅁䅁允䅁䅁䅅䅁䭁䅁䅕䅁䵁䅉䅅䅁䑁䅁䅁睁䵁䅁䅁兂䅁䅁䅄婲公兑䅯䅁䅁䅁䅅䅁䉁䅁䅁权䍁䅁䅁䍄䉁䅁䅁睁䅁䅁䅍䅄䅁䅁䅕䅁䅁䥧搶䕕䭅䍁䅧䅁䉁䅁䅁允䅁䅁䅯兂䅁䅁杷允䅁䅁䅍䅁䑁䅁䅷䅁䙁䅁䅁䵁敃汙䉆权橁䅁䅁允䅁䅁䅅䅁䭁䅁䅕䅁䵁䅉䅅䅁䑁䅁䅁睁䵁䅁䅁兂䅁䅁䅂婢兰兑䅯兊䅁䅁䅅䅁䉁䅁䅁权䙁䅁䅁䍄䉁䅁䅁睁䅁䅁䅍䅄䅁䅁䅕䅁䅁䅑㑔じ䭅䅁䅙䅁䉁䅁䅁允䅁䅁䅯兂䅁䅁杷允䅁䅁䅍䅁䑁䅁䅷䅁䙁䅁䅁䅁捁唴䈵权扁䅁䅁允䅁䅁䅅䅁䭁䅁䅕䅁䵁䅉䅅䅁䑁䅁䅁睁䵁䅁䅁兂䅁䅁䅂娱兰兑䅯䅄䅁䅁䅅䅁䉁䅁䅁兂硂児塲㍯䡁䅑杷允䅁䅁䅍䅁䑁䅁䅷䅁䙁䅁䅁䅁獂ㅭ䉂权敁䅁䅁允䅁䅁䅅䅁䭁䅁䅕䅁䵁䅉䅅䅁䑁䅁䅁睁䵁䅁䅁兂䅁䅁䅁灏兤兑䅯杂䅁䅁䅅䅁䉁䅁䅁权䙁䅁䅁䍄䉁䅁䅁睁䅁䅁䅍䅄䅁䅁䅕䅁䅁䥧搶䕕䭅䅁䅫䅁䉁䅁䅁允䅁䅁䅯权䅁䅁杷允䅁䅁䅍䅁䑁䅁䅷䅁䙁䅁䅁䅁敄ㅇ䉬权䅁䅁䅁允䅁䅁䅅䅁䭁䅁䅅䅁䵁䅉䅅䅁䑁䅁䅁睁䵁䅁䅁兂䅁䅁䅁佈但兑䅯䅁䅁䅁䅅䅁䉁䅁䅁权䉁䅁䅁䍄䉁䅁䅁睁䅁䅁䅍䅄䅁䅁䅕䅁䅁䡑婏䕕䭅䍁䅧䅁䉁䅁䅁允䅁䅁䅯兂䅁䅁杷允䅁䅁䅍䅁䑁䅁䅷䅁䙁䅁䅁䅁敄ㅵ䉆权䥁䅁䅁允䅁䅁䅅䅁䭁䅁䅕䅁䵁䅉䅅䅁䑁䅁䅁睁䵁䅁䅁兂䅁䅁䅃㕵党兑䅯杅䅁䅁䅅䅁䉁䅁䅁权剁䅁䅁䍄䉁䅁䅁睁䅁䅁䅍䅄䅁䅁䅕䅁䅁乁㜶啕䭅䉁䅣䅁䉁䅁䅁允䅁䅁䅯兎䅁䅁杷允䅁䅁䅍䅁䑁䅁䅷䅁䙁䅁䅁䥁ㅁ噭䉂权塁䅁䅁允䅁䅁䅅䅁䭁䉁䅅䅁䵁䅉䅅䅁䑁䅁䅁睁䵁䅁䅁兂䅁䅁䅃䩨儱兑䅯睂䅁䅁䅅䅁䉁䅁䅁权䙁䅁䅁䍄䉁䅁䅁睁䅁䅁䅍䅄䅁䅁䅕䅁䅁䩁焴啕䭅䅁䅁䅁䉁䅁䅁允䅁䅁䅯杁䅁䅁杷允䅁䅁䅍䅁䑁䅁䅷䅁䙁䅁䅁䅁捁唴䈵权佁䅁䅁允䅁䅁䅅䅁䭁䅁䅕䅁䵁䅉䅅䅁䑁䅁䅁睁䵁䅁䅁兂䅁䅁䅂㕣公兑䅯䅁䅁䅁䅅䅁䉁䅁䅁权䍁䅁䅁䍄䉁䅁䅁睁䅁䅁䅍䅄䅁䅁䅕䅁䅁䍑ㅏ䕕䭅䅁䅁䅁䉁䅁䅁允䅁䅁䅯允䅁䅁杷允䅁䅁䅍䅁䑁䅁䅷䅁䙁䅁䅁䕁穂噭䉂权敁䅁䅁允䅁䅁䅅䅁䭁䅁䅕䅁䵁䅉䅅䅁䑁䅁䅁睁䵁䅁䅁兂䅁䅁䅄煤兤兑䅯杈䅁䅁䅅䅁䉁䅁䅁权䙁䅁䅁䍄䉁䅁䅁睁䅁䅁䅍䅄䅁䅁䅕䅁䅁䑧婗䕕䭅䅁䅑䅁䉁䅁䅁允䅁䅁䅯兂䅁䅁杷允䅁䅁䅍䅁䑁䅁䅷䅁䙁䅁䅁䕁噄汭䉂权允䅁䅁允䅁䅁䅅䅁䭁䉁䅅䅁䵁䅉䅅䅁䑁䅁䅁睁䵁䅁䅁兂䅁䅁䅃灪儱兑䅯䅁䅁䅁䅅䅁䉁䅁䅁权䉁䅁䅁䍄䉁䅁䅁睁䅁䅁䅍䅄䅁䅁䅕䅁䅁䥧獙啕䭅䉁䄸䅁䉁䅁䅁允䅁䅁䅯兂䅁䅁杷允䅁䅁䅍䅁䑁䅁䅷䅁䙁䅁䅁䕁橁噴䉂权䝁䅁䅁允䅁䅁䅅䅁䙁䝁浚浚浚癚⽙䍄䉁䅁䅁睁䅁䅁䅍䅄䅁䅁䅕䅁䅁䭁䘷䕕䭅䍁䅙䅁䉁䅁䅁允䅁䅁䅯兂䅁䅁杷允䅁䅁䅍䅁䑁䅁䅷䅁䙁䅁䅁䕁䕁䘫䈹权䅁䅁䅁允䅁䅁䅅䅁䭁䅁䅉䅁䵁䅉䅅䅁䑁䅁䅁睁䵁䅁䅁兂䅁䅁䅁灚全兑䅯䅁䅁䅁䅅䅁䉁䅁䅁权䍁䅁䅁䍄䉁䅁䅁睁䅁䅁䅍䅄䅁䅁䅕䅁䅁䩷椵啕䭅䉁䅷䅁䉁䅁䅁允䅁䅁䅕䅁䅁䅁䅃䕍䵁䅉䅅䅁䑁䅁䅁睁䵁䅁䅁兂䅁䅁䅃坂剸兑䅯䅄䅁䅁䅅䅁䉁䅁䅁权䙁䅁䅁䍄䉁䅁䅁睁䅁䅁䅍䅄䅁䅁䅕䅁䅁䩷椵啕䭅䍁䅕䅁䉁䅁䅁允䅁䅁䅯兂䅁䅁杷允䅁䅁䅍䅁䑁䅁䅷䅁䙁䅁䅁䵁畄噭䉂权䅁䅁䅁允䅁䅁䅅䅁䭁䅁䅅䅁䵁䅉䅅䅁䑁䅁䅁睁䵁䅁䅁兂䅁䅁䅄煤兤兑䅯元䅁䅁䅅䅁䉁䅁䅁权㝁䅁䅁䍄䉁䅁䅁睁䅁䅁䅍䅄䅁䅁䅕䅁䅁䭷娲䕕䭅䉁䅫䅁䉁䅁䅁允䅁䅁䅯兂䅁䅁杷允䅁䅁䅍䅁䑁䅁䅷䅁䙁䅁䅁䵁㕁ㅯ䉂权流䅁䅁允䅁䅁䅅䅁䭁䅁䅕䅁䵁䅉䅅䅁䑁䅁䅁睁䵁䅁䅁兂䅁䅁䅂婢兰兑䅯睂䅁䅁䅅䅁䉁䅁䅁权䙁䅁䅁䍄䉁䅁䅁睁䅁䅁䅍䅄䅁䅁䅕䅁䅁䡑批䕕䭅䅁䅁䅁䉁䅁䅁允䅁䅁䅯允䅁䅁杷允䅁䅁䅍䅁䑁䅁䅷䅁䙁䅁䅁䅁敃汋䉆权牁䅁䅁允䅁䅁䅅䅁䭁䅁䅕䅁䵁䅉䅅䅁䑁䅁䅁睁䵁䅁䅁兂䅁䅁䅁灏兤兑䅯䅁䅁䅁䅅䅁䉁䅁䅁权䉁䅁䅁䍄䉁䅁䅁睁䅁䅁䅍䅄䅁䅁䅕䅁䅁䑁塱䕕䭅䅁䅳䅁䉁䅁䅁允䅁䅁䅯兂䅁䅁杷允䅁䅁䅍䅁䑁䅁䅷䅁䙁䅁䅁䅁獂ㅭ䉂权䕁䅁䅁允䅁䅁䅅䅁䭁䅁䅕䅁䵁䅉䅅䅁䑁䅁䅁睁䵁䅁䅁兂䅁䅁䅃楨剸兑䅯睉䅁䅁䅅䅁䉁䅁䅁权䙁䅁䅁䍄䉁䅁䅁睁䅁䅁䅍䅄䅁䅁䅕䅁䅁䵧奏䕕䭅䅁䅁䅁䉁䅁䅁允䅁䅁䅯睁䅁䅁杷允䅁䅁䅍䅁䑁䅁䅷䅁䙁䅁䅁䅁楃歙䈹权䅁䅁䅁允䅁䅁䅅䅁䭁䅁䅅䅁䵁䅉䅅䅁䑁䅁䅁睁䵁䅁䅁兂䅁䅁䅁爳剴兑䅯䅁䅁䅁䅅䅁䉁䅁䅁权䍁䅁䅁䍄䉁䅁䅁睁䅁䅁䅍䅄䅁䅁䅕䅁䅁䭷娲䕕䭅䅁䅙䅁䉁䅁䅁允䅁䅁䅯兂䅁䅁杷允䅁䅁䅍䅁䑁䅁䅷䅁䙁䅁䅁䵁瑃噭䉂权杁䅁䅁允䅁䅁䅅䅁䭁䅁䅕䅁䵁䅉䅅䅁䑁䅁䅁睁䵁䅁䅁兂䅁䅁䅁灚全兑䅯杉䅁䅁䅅䅁䉁䅁䅁权䙁䅁䅁䍄䉁䅁䅁睁䅁䅁䅍䅄䅁䅁䅕䅁䅁䩑摃䕕䭅䉁䄸䅁䉁䅁䅁允䅁䅁䅯兂䅁䅁杷允䅁䅁䅍䅁䑁䅁䅷䅁䙁䅁䅁䵁㉂ㅰ䉂权䅁䅁䅁允䅁䅁䅅䅁䭁䅁䅉䅁䵁䅉䅅䅁䑁䅁䅁睁䵁䅁䅁兂䅁䅁䅃㕵党兑䅯䅆䅁䅁䅅䅁䉁䅁䅁权䙁䅁䅁䍄䉁䅁䅁睁䅁䅁䅍䅄䅁䅁䅕䅁䅁䩁焴啕䭅䅁䅳䅁䉁䅁䅁允䅁䅁䅯兂䅁䅁杷允䅁䅁䅍䅁䑁䅁䅷䅁䙁䅁䅁䥁䑄䙭䉂权佁䅁䅁允䅁䅁䅅䅁䭁䅁䅕䅁䵁䅉䅅䅁䑁䅁䅁睁䵁䅁䅁兂䅁䅁䅃楨剸兑䅯䅁䅁䅁䅅䅁䉁䅁䅁权䍁䅁䅁䍄䉁䅁䅁睁䅁䅁䅍䅄䅁䅁䅕䅁䅁䥧獙啕䭅䅁䄴䅁䉁䅁䅁允䅁䅁䅯兂䅁䅁杷允䅁䅁䅍䅁䑁䅁䅷䅁䙁䅁䅁䵁瑃噭䉂权捁䅁䅁允䅁䅁䅅䅁䭁䅁䅕䅁䵁䅉䅅䅁䑁䅁䅁睁䵁䅁䅁兂䅁䅁䅄㥹橊兑䅯杄䅁䅁䅅䅁䉁䅁䅁权䙁䅁䅁䍄䉁䅁䅁睁䅁䅁䅍䅄䅁䅁䅕䅁䅁䥧摓䕕䭅䍁䅑䅁䉁䅁䅁允䅁䅁䅯兂䅁䅁杷允䅁䅁䅍䅁䑁䅁䅷䅁䙁䅁䅁䥁坁湘䉴权䅁䅁䅁允䅁䅁䅅䅁䭁䅁䅉䅁䵁䅉䅅䅁䑁䅁䅁睁䵁䅁䅁兂䅁䅁䅃婎公兑䅯䅁䅁䅁䅅䅁䉁䅁䅁权䉁䅁䅁䍄䉁䅁䅁睁䅁䅁䅍䅄䅁䅁䅕䅁䅁䉧敚づ䭅䉁䅣䅁䉁䅁䅁允䅁䅁䅯充䅁䅁杷允䅁䅁䅍䅁䑁䅁䅷䅁䙁䅁䅁䵁䱄洰䉎权扁䅁䅁允䅁䅁䅅䅁䭁䅁䅕䅁䵁䅉䅅䅁䑁䅁䅁睁䵁䅁䅁兂䅁䅁䅃坂剸兑䅯元䅁䅁䅅䅁䉁䅁䅁权桁䅁䅁䍄䉁䅁䅁睁䅁䅁䅍䅄䅁䅁䅕䅁䅁䥧搶䕕䭅䍁䅍䅁䉁䅁䅁允䅁䅁䅯兂䅁䅁杷允䅁䅁䅍䅁䑁䅁䅷䅁䙁䅁䅁䕁元噮䉂权佁䅁䅁允䅁䅁䅅䅁䙁䵁ㅐ䙋偹瑷⽕䍄䉁䅁䅁睁䅁䅁䅍䅄䅁䅁䅕䅁䅁䍑ㅏ䕕䭅䍁䅍䅁䉁䅁䅁允䅁䅁䅯兂䅁䅁杷允䅁䅁䅍䅁䑁䅁䅷䅁䙁䅁䅁䅁㍁ㅬ䉂权婁䅁䅁允䅁䅁䅅䅁䙁䍁捬㡪ㅌ䐶䅨䍄䉁䅁䅁睁䅁䅁䅍䅄䅁䅁䅕䅁䅁䝑愲䕕䭅䅁䅁䅁䉁䅁䅁允䅁䅁䅯杁䅁䅁杷允䅁䅁䅍䅁䑁䅁䅷䅁䙁䅁䅁䕁㕁汭䉂权乁䅁䅁允䅁䅁䅅䅁䭁䅁䅯䅁䵁䅉䅅䅁䑁䅁䅁睁䵁䅁䅁兂䅁䅁䅃汆㜵兑䅯元䅁䅁䅅䅁䉁䅁䅁权獁䅁䅁䍄䉁䅁䅁睁䅁䅁䅍䅄䅁䅁䅕䅁䅁䭁楊ご䭅䉁䅷䅁䉁䅁䅁允䅁䅁䅕⽷潕䥘椯歔䵁䅉䅅䅁䑁䅁䅁睁䵁䅁䅁兂䅁䅁䅁䩢兴兑䅯䅁䅁䅁䅅䅁䉁䅁䅁权䍁䅁䅁䍄䉁䅁䅁睁䅁䅁䅍䅄䅁䅁䅕䅁䅁䝁奡䕕䭅䍁䅁䅁䉁䅁䅁允䅁䅁䅯兂䅁䅁杷允䅁䅁䅍䅁䑁䅁䅷䅁䙁䅁䅁䡁㍄湦䉊权䡁䅁䅁允䅁䅁䅅䅁䭁䅁䅕䅁䵁䅉䅅䅁䑁䅁䅁睁䵁䅁䅁兂䅁䅁䅃灪儱兑䅯䅈䅁䅁䅅䅁䉁䅁䅁兂獄払敧敨⽳䅑杷允䅁䅁䅍䅁䑁䅁䅷䅁䙁䅁䅁䵁祂噭䉂权䅁䅁䅁允䅁䅁䅅䅁䭁䅁䅉䅁䵁䅉䅅䅁䑁䅁䅁睁䵁䅁䅁兂䅁䅁䅄瀷公兑䅯杂䅁䅁䅅䅁䉁䅁䅁兂穁積積積䑐睐杷允䅁䅁䅍䅁䑁䅁䅷䅁䙁䅁䅁䅁畃噸䉂权䱁䅁䅁允䅁䅁䅅䅁䭁䅁䅕䅁䵁䅉䅅䅁䑁䅁䅁睁䵁䅁䅁兂䅁䅁䅁䱹剸兑䅯䅁䅁䅁䅅䅁䉁䅁䅁权䉁䅁䅁䍄䉁䅁䅁睁䅁䅁䅍䅄䅁䅁䅕䅁䅁䱧坵䕕䭅䅁䅁䅁䉁䅁䅁允䅁䅁䅯允䅁䅁杷允䅁䅁䅍䅁䑁䅁䅷䅁䙁䅁䅁䵁瑃噭䉂权䡁䅁䅁允䅁䅁䅅䅁䭁䅁䅕䅁䵁䅉䅅䅁䑁䅁䅁睁䵁䅁䅁兂䅁䅁䅁䱹剸兑䅯䅋䅁䅁䅅䅁䉁䅁䅁权䙁䅁䅁䍄䉁䅁䅁睁䅁䅁䅍䅄䅁䅁䅕䅁䅁䍑ㅏ䕕䭅䅁䅧䅁䉁䅁䅁允䅁䉁䅑䅁䅁䅁䅁䅁䵁䅉䅅䅁䑁䅁䅁睁䵁䅁䅁兂䅁䅁䅁婹兰兑䅯睊䅁䅁䅅䅁䉁䅁䅁权䙁䅁䅁䍄䉁䅁䅁睁䅁䅁䅍䅄䅁䅁䅕䅁䅁䉧敚づ䭅䍁䅕䅁䉁䅁䅁允䅁䅁䅯兂䅁䅁杷允䅁䅁䅍䅁䑁䅁䅷䅁䙁䅁䅁䅁㍁ㅬ䉂权䅁䅁䅁允䅁䅁䅅䅁䭁䅁䅅䅁䵁䅉䅅䅁䑁䅁䅁睁䵁䅁䅁兂䅁䅁䅁㕎兤兑䅯杊䅁䅁䅅䅁䉁䅁䅁权䙁䅁䅁䍄䉁䅁䅁睁䅁䅁䅍䅄䅁䅁䅕䅁䅁䝁奡䕕䭅䉁䅣䅁䉁䅁䅁允䅁䅁䅯光䅁䅁杷允䅁䅁䅍䅁䑁䅁䅷䅁䙁䅁䅁䵁牄䙈䉂权䅁䅁䅁允䅁䅁䅅䅁䭁䅁䅅䅁䵁䅉䅅䅁䑁䅁䅁睁䵁䅁䅁兂䅁䅁䅁灦剸兑䅯杂䅁䅁䅅䅁䉁䅁䅁权䙁䅁䅁䍄䉁䅁䅁睁䅁䅁䅍䅄䅁䅁䅕䅁䅁䉁乚ご䭅䅁䅁䅁䉁䅁䅁允䅁䅁䅯允䅁䅁杷允䅁䅁䅍䅁䑁䅁䅷䅁䙁䅁䅁䥁䕃噮䉂权流䅁䅁允䅁䅁䅅䅁䭁䅁䅕䅁䵁䅉䅅䅁䑁䅁䅁睁䵁䅁䅁兂䅁䅁䅃㕵党兑䅯兇䅁䅁䅅䅁䉁䅁䅁权䙁䅁䅁䍄䉁䅁䅁睁䅁䅁䅍䅄䅁䅁䅕䅁䅁䡷婋䕕䭅䅁䄰䅁䉁䅁䅁允䅁䅁䅯充䅁䅁杷允䅁䅁䅍䅁䑁䅁䅷䅁䙁䅁䅁䕁㡂ㅭ䉂权啁䅁䅁允䅁䅁䅅䅁䭁䅁䅕䅁䵁䅉䅅䅁䑁䅁䅁睁䵁䅁䅁兂䅁䅁䅁獲兖兑䅯䅁䅁䅁䅅䅁䉁䅁䅁权䍁䅁䅁䍄䉁䅁䅁睁䅁䅁䅍䅄䅁䅁䅕䅁䅁䡑婏䕕䭅䉁䅉䅁䉁䅁䅁允䅁䅁䅯睑䅁䅁杷允䅁䅁䅍䅁䑁䅁䅷䅁䙁䅁䅁䅁⭂䙮䉆权䅁䅁䅁允䅁䅁䅅䅁䭁䅁䅉䅁䵁䅉䅅䅁䑁䅁䅁睁䵁䅁䅁兂䅁䅁䅃灪儱兑䅯杅䅁䅁䅅䅁䉁䅁䅁权剁䅁䅁䍄䉁䅁䅁睁䅁䅁䅍䅄䅁䅁䅕䅁䅁䡑婏䕕䭅䅁䅷䅁䉁䅁䅁允䅁䅁䅯兂䅁䅁杷允䅁䅁䅍䅁䑁䅁䅷䅁䙁䅁䅁䅁敄ㅇ䉬权允䅁䅁允䅁䅁䅅䅁䭁䉁䅅䅁䵁䅉䅅䅁䑁䅁䅁睁䵁䅁䅁兂䅁䅁䅄慏兎兑䅯䅁䅁䅁䅅䅁䉁䅁䅁权䉁䅁䅁䍄䉁䅁䅁睁䅁䅁䅍䅄䅁䅁䅕䅁䅁䑁塱䕕䭅䍁䅣䅁䉁䅁䅁允䅁䅁䅯兂䅁䅁杷允䅁䅁䅍䅁䑁䅁䅷䅁䙁䅁䅁䕁㕁汭䉂权䡁䅁䅁允䅁䅁䅅䅁䭁䅁䅕䅁䵁䅉䅅䅁䑁䅁䅁睁䵁䅁䅁兂䅁䅁䅃坂剸兑䅯杆䅁䅁䅅䅁䉁䅁䅁权䙁䅁䅁䍄䉁䅁䅁睁䅁䅁䅍䅄䅁䅁䅕䅁䅁䑑慭䕕䭅䅁䅁䅁䉁䅁䅁允䅁䅁䅯允䅁䅁杷允䅁䅁䅍䅁䑁䅁䅷䅁䙁䅁䅁䕁㡂ㅭ䉂权捁䅁䅁允䅁䅁䅅䅁䙁䅁䅁䅁䅁䉁䄵䍄䉁䅁䅁睁䅁䅁䅍䅄䅁䅁䅕䅁䅁䅑㑔じ䭅䉁䅑䅁䉁䅁䅁允䅁䉁䅑佯䙚䅁䅁䅁䵁䅉䅅䅁䑁䅁䅁睁䵁䅁䅁兂䅁䅁䅂娱兰兑䅯䅁䅁䅁䅅䅁䉁䅁䅁权䉁䅁䅁䍄䉁䅁䅁睁䅁䅁䅍䅄䅁䅁䅕䅁䅁䱧坵䕕䭅䅁䄴䅁䉁䅁䅁允䅁䅁䅯兂䅁䅁杷允䅁䅁䅍䅁䑁䅁䅷䅁䙁䅁䅁䅁敄ㅵ䉆权汁䅁䅁允䅁䅁䅅䅁䭁䅁䅕䅁䵁䅉䅅䅁䑁䅁䅁睁䵁䅁䅁兂䅁䅁䅁䩥公兑䅯䅁䅁䅁䅅䅁䉁䅁䅁权䍁䅁䅁䍄䉁䅁䅁睁䅁䅁䅍䅄䅁䅁䅕䅁䅁䥧摓䕕䭅䍁䅳䅁䉁䅁䅁允䅁䅁䅕㡪ㅌ䙋偺歐䵁䅉䅅䅁䑁䅁䅁睁䵁䅁䅁兂䅁䅁䅃灪儱兑䅯睄䅁䅁䅅䅁䉁䅁䅁兂獄払敧敨㕶睐杷允䅁䅁䅍䅁䑁䅁䅷䅁䙁䅁䅁䅁敄ㅵ䉆权十䅁䅁允䅁䅁䅅䅁䭁䙁䅅䅁䵁䅉䅅䅁䑁䅁䅁睁䵁䅁䅁兂䅁䅁䅁栳婴兑䅯杈䅁䅁䅅䅁䉁䅁䅁兂䑄匹捨㡪湉䅑杷允䅁䅁䅍䅁䑁䅁䅷䅁䙁䅁䅁䥁坁湘䉴权䕁䅁䅁允䅁䅁䅅䅁䭁䅁䅕䅁䵁䅉䅅䅁䑁䅁䅁睁䵁䅁䅁兂䅁䅁䅁灏兤兑䅯睄䅁䅁䅅䅁䉁䅁䅁权䙁䅁䅁䍄䉁䅁䅁睁䅁䅁䅍䅄䅁䅁䅕䅁䅁䵷卶す䭅䅁䅁䅁䉁䅁䅁允䅁䅁䅯杁䅁䅁杷允䅁䅁䅍䅁䑁䅁䅷䅁䙁䅁䅁䵁敃汙䉆权䅁䅁䅁允䅁䅁䅅䅁䭁䅁䅅䅁䵁䅉䅅䅁䑁䅁䅁睁䵁䅁䅁兂䅁䅁䅄浮削兑䅯䅉䅁䅁䅅䅁䉁䅁䅁权䙁䅁䅁䍄䉁䅁䅁睁䅁䅁䅍䅄䅁䅁䅕䅁䅁䵁㡩啕䭅䉁䅉䅁䉁䅁䅁允䅁䅁䅯充䅁䅁杷允䅁䅁䅍䅁䑁䅁䅷䅁䙁䅁䅁䡁㍄湦䉊权䅁䅁䅁允䅁䅁䅅䅁䭁䅁䅅䅁䵁䅉䅅䅁䑁䅁䅁睁䵁䅁䅁兂䅁䅁䅁婹兰兑䅯䅁䅁䅁䅅䅁䉁䅁䅁权䉁䅁䅁䍄䉁䅁䅁睁䅁䅁䅍䅄䅁䅁䅕䅁䅁佷捳䕕䭅䉁䅁䅁䉁䅁䅁允䅁䅁䅯充䅁䅁杷允䅁䅁䅍䅁䑁䅁䅷䅁䙁䅁䅁䕁穂噭䉂权流䅁䅁允䅁䅁䅅䅁䭁䅁䅕䅁䵁䅉䅅䅁䑁䅁䅁睁䵁䅁䅁兂䅁䅁䅂䩫儱兑䅯䅁䅁䅁䅅䅁䉁䅁䅁权䉁䅁䅁䍄䉁䅁䅁睁䅁䅁䅍䅄䅁䅁䅕䅁䅁䭁楊ご䭅䉁䅁䅁䉁䅁䅁允䅁䅁䅯充䅁䅁杷允䅁䅁䅍䅁䑁䅁䅷䅁䙁䅁䅁䵁祂噭䉂权䕁䅁䅁允䅁䅁䅅䅁䭁䅁䅕䅁䵁䅉䅅䅁䑁䅁䅁睁䵁䅁䅁兂䅁䅁䅁灦剸兑䅯元䅁䅁䅅䅁䉁䅁䅁权㝁䅁䅁䍄䉁䅁䅁睁䅁䅁䅍䅄䅁䅁䅕䅁䅁䑁塥䕕䭅䍁䅑䅁䉁䅁䅁允䅁䅁䅕䉵䘶ㄶ㑇橶䴸䅉䅅䅁䑁䅁䅁睁䵁䅁䅁兂䅁䅁䅃楨剸兑䅯杆䅁䅁䅅䅁䉁䅁䅁权䙁䅁䅁䍄䉁䅁䅁睁䅁䅁䅍䅄䅁䅁䅕䅁䅁䝧摡䕕䭅䉁䅣䅁䉁䅁䅁允䅁䅁䅯䅇䅁䅁杷允䅁䅁䅍䅁䑁䅁䅷䅁䙁䅁䅁䥁䕃噮䉂权汁䅁䅁允䅁䅁䅅䅁䭁䅁䅕䅁䵁䅉䅅䅁䑁䅁䅁睁䵁䅁䅁兂䅁䅁䅂㕣公兑䅯杆䅁䅁䅅䅁䉁䅁䅁权䙁䅁䅁䍄䉁䅁䅁睁䅁䅁䅍䅄䅁䅁䅕䅁䅁佷娶䕕䭅䅁䅧䅁䉁䅁䅁允䅁䅁䅯兂䅁䅁杷允䅁䅁䅍䅁䑁䅁䅷䅁䙁䅁䅁䅁㙁ㅬ䉂权䕁䅁䅁允䅁䅁䅅䅁䭁䅁䅕䅁䵁䅉䅅䅁䑁䅁䅁睁䵁䅁䅁兂䅁䅁䅁䩥公兑䅯䅈䅁䅁䅅䅁䉁䅁䅁权䙁䅁䅁䍄䉁䅁䅁睁䅁䅁䅍䅄䅁䅁䅕䅁䅁䝧摡䕕䭅䅁䅫䅁䉁䅁䅁允䅁䅁䅯权䅁䅁杷允䅁䅁䅍䅁䑁䅁䅷䅁䙁䅁䅁䥁坁湘䉴权敁䅁䅁允䅁䅁䅅䅁䭁䅁䅕䅁䵁䅉䅅䅁䑁䅁䅁睁䵁䅁䅁兂䅁䅁䅁佈但兑䅯䅄䅁䅁䅅䅁䉁䅁䅁兂硂児塲⽯⽁䅑杷允䅁䅁䅍䅁䑁䅁䅷䅁䙁䅁䅁䥁穂䕑䈹权䱁䅁䅁允䅁䅁䅅䅁䙁䱁敧敨剴䭵⼴䍄䉁䅁䅁睁䅁䅁䅍䅄䅁䅁䅕䅁䅁䱧坵䕕䭅䍁䅧䅁䉁䅁䅁允䅁䅁䅯兂䅁䅁杷允䅁䅁䅍䅁䑁䅁䅷䅁䙁䅁䅁䥁䑄䙭䉂权䩁䅁䅁允䅁䅁䅅䅁䭁䍁䅅䅁䵁䅉䅅䅁䑁䅁䅁睁䵁䅁䅁兂䅁䅁䅁灦剸兑䅯兊䅁䅁䅅䅁䉁䅁䅁权䙁䅁䅁䍄䉁䅁䅁睁䅁䅁䅍䅄䅁䅁䅕䅁䅁䝁奡䕕䭅䉁䅷䅁䉁䅁䅁允䅁䅁䅯兂䅁䅁杷允䅁䅁䅍䅁䑁䅁䅷䅁䙁䅁䅁䕁㕁汭䉂权扁䅁䅁允䅁䅁䅅䅁䭁䅁䅕䅁䵁䅉䅅䅁䑁䅁䅁睁䵁䅁䅁兂䅁䅁䅃灚儱兑䅯兄䅁䅁䅅䅁䉁䅁䅁权䭁䅁䅁䍄䉁䅁䅁睁䅁䅁䅍䅄䅁䅁䅕䅁䅁䉁桺歔䭅䅁䅙䅁䉁䅁䅁允䅁䅁䅕積積積積啁䵁䅉䅅䅁䑁䅁䅁睁䵁䅁䅁兂䅁䅁䅃㕵党兑䅯睄䅁䅁䅅䅁䉁䅁䅁兂灁䥘䌯匹䵪睐杷允䅁䅁䅍䅁䑁䅁䅷䅁䙁䅁䅁䥁䑄䙭䉂权坁䅁䅁允䅁䅁䅅䅁䭁䅁䅕䅁䵁䅉䅅䅁䑁䅁䅁睁䵁䅁䅁兂䅁䅁䅁灚全兑䅯兇䅁䅁䅅䅁䉁䅁䅁权䙁䅁䅁䍄䉁䅁䅁睁䅁䅁䅍䅄䅁䅁䅕䅁䅁䝧摡䕕䭅䉁䅉䅁䉁䅁䅁允䅁䅁䅯睅䅁䅁杷允䅁䅁䅍䅁䑁䅁䅷䅁䙁䅁䅁䥁穂䕑䈹权啁䅁䅁允䅁䅁䅅䅁䭁䅁䅕䅁䵁䅉䅅䅁䑁䅁䅁睁䵁䅁䅁兂䅁䅁䅄瀷公兑䅯睋䅁䅁䅅䅁䉁䅁䅁权䙁䅁䅁䍄䉁䅁䅁睁䅁䅁䅍䅄䅁䅁䅕䅁䅁䡁挶啕䭅䉁䅁䅁䉁䅁䅁允䅁䅁䅯充䅁䅁杷允䅁䅁䅍䅁䑁䅁䅷䅁䙁䅁䅁䵁瑃噭䉂权乁䅁䅁允䅁䅁䅅䅁䭁䉁䅕䅁䵁䅉䅅䅁䑁䅁䅁睁䵁䅁䅁兂䅁䅁䅃坂剸兑䅯睄䅁䅁䅅䅁䉁䅁䅁权䙁䅁䅁䍄䉁䅁䅁睁䅁䅁䅍䅄䅁䅁䅕䅁䅁䝧摡䕕䭅䉁䅯䅁䉁䅁䅁允䅁䅁䅯兂䅁䅁杷允䅁䅁䅍䅁䑁䅁䅷䅁䙁䅁䅁䅁浂䙭䉂权坁䅁䅁允䅁䅁䅅䅁䭁䅁䅕䅁䵁䅉䅅䅁䑁䅁䅁睁䵁䅁䅁兂䅁䅁䅃㕷全兑䅯睇䅁䅁䅅䅁䉁䅁䅁权䙁䅁䅁䍄䉁䅁䅁睁䅁䅁䅍䅄䅁䅁䅕䅁䅁乁㜶啕䭅䍁䅉䅁䉁䅁䅁允䅁䅁䅯兂䅁䅁杷允䅁䅁䅍䅁䑁䅁䅷䅁䙁䅁䅁䥁佃噮䉂权䝁䅁䅁允䅁䅁䅅䅁䙁䡁啳歲桦灥⽑䍄䉁䅁䅁睁䅁䅁䅍䅄䅁䅁䅕䅁䅁䡷湡䕕䭅䉁䅷䅁䉁䅁䅁允䅁䅁䅯兂䅁䅁杷允䅁䅁䅍䅁䑁䅁䅷䅁䙁䅁䅁䥁浂噮䉂权允䅁䅁允䅁䅁䅅䅁䭁䅁䅯䅁䵁䅉䅅䅁䑁䅁䅁睁䵁䅁䅁兂䅁䅁䅄慏兎兑䅯䅅䅁䅁䅅䅁䉁䅁䅁权䭁䅁䅁䍄䉁䅁䅁睁䅁䅁䅍䅄䅁䅁䅕䅁䅁乁戴啗䭅䅁䅙䅁䉁䅁䅁允䅁䅁䅕硥畓⭒㙆䑬䴸䅉䅅䅁䑁䅁䅁睁䵁䅁䅁兂䅁䅁䅄慏兎兑䅯䅃䅁䅁䅅䅁䉁䅁䅁权䙁䅁䅁䍄䉁䅁䅁睁䅁䅁䅍䅄䅁䅁䅕䅁䅁䉁乚ご䭅䍁䅕䅁䉁䅁䅁允䅁䅁䅯兂䅁䅁杷允䅁䅁䅍䅁䑁䅁䅷䅁䙁䅁䅁䅁䩄汭䉂权楁䅁䅁允䅁䅁䅅䅁䭁䅁䅕䅁䵁䅉䅅䅁䑁䅁䅁睁䵁䅁䅁兂䅁䅁䅃灚儱兑䅯睇䅁䅁䅅䅁䉁䅁䅁权䙁䅁䅁䍄䉁䅁䅁睁䅁䅁䅍䅄䅁䅁䅕䅁䅁佷娶䕕䭅䍁䅍䅁䉁䅁䅁允䅁䅁䅯兂䅁䅁杷允䅁䅁䅍䅁䑁䅁䅷䅁䙁䅁䅁䕁瑂汭䉂权坁䅁䅁允䅁䅁䅅䅁䭁䅁䅕䅁䵁䅉䅅䅁䑁䅁䅁睁䵁䅁䅁兂䅁䅁䅃灚儱兑䅯䅆䅁䅁䅅䅁䉁䅁䅁䅆㥁䕙䅍䅁䅁䅁杷允䅁䅁䅍䅁䑁䅁䅷䅁䙁䅁䅁䥁佃噮䉂权䕁䅁䅁允䅁䅁䅅䅁䭁䅁䅕䅁䵁䅉䅅䅁䑁䅁䅁睁䵁䅁䅁兂䅁䅁䅄㥹橊兑䅯䅄䅁䅁䅅䅁䉁䅁䅁权䙁䅁䅁䍄䉁䅁䅁睁䅁䅁䅍䅄䅁䅁䅕䅁䅁䱧坵䕕䭅䉁䅯䅁䉁䅁䅁允䅁䅁䅯兂䅁䅁杷允䅁䅁䅍䅁䑁䅁䅷䅁䙁䅁䅁䕁㡂ㅭ䉂权塁䅁䅁允䅁䅁䅅䅁䭁䉁䅅䅁䵁䅉䅅䅁䑁䅁䅁睁䵁䅁䅁兂䅁䅁䅂偂晨兑䅯睈䅁䅁䅅䅁䉁䅁䅁权䙁䅁䅁䍄䉁䅁䅁睁䅁䅁䅍䅄䅁䅁䅕䅁䅁䝑愲䕕䭅䍁䅧䅁䉁䅁䅁允䅁䅁䅯兂䅁䅁杷允䅁䅁䅍䅁䑁䅁䅷䅁䙁䅁䅁䅁敄ㅇ䉬权婁䅁䅁允䅁䅁䅅䅁䙁䵁䴳䵺䵺佺⽷䍄䉁䅁䅁睁䅁䅁䅍䅄䅁䅁䅕䅁䅁䝧摡䕕䭅䉁䅷䅁䉁䅁䅁允䅁䅁䅕児塲㍯㥁歆䵁䅉䅅䅁䑁䅁䅁睁䵁䅁䅁兂䅁䅁䅁㕎兤兑䅯䅂䅁䅁䅅䅁䉁䅁䅁权䙁䅁䅁䍄䉁䅁䅁睁䅁䅁䅍䅄䅁䅁䅕䅁䅁䡷婋䕕䭅䍁䅑䅁䉁䅁䅁允䅁䅁䅯兂䅁䅁杷允䅁䅁䅍䅁䑁䅁䅷䅁䙁䅁䅁䕁穂噭䉂权湁䅁䅁允䅁䅁䅅䅁䭁䅁䅕䅁䵁䅉䅅䅁䑁䅁䅁睁䵁䅁䅁兂䅁䅁䅂婏兰兑䅯䅄䅁䅁䅅䅁䉁䅁䅁兂㥁瑃橥䑣搰䅑杷允䅁䅁䅍䅁䑁䅁䅷䅁䙁䅁䅁䵁㉂ㅰ䉂权塁䅁䅁允䅁䅁䅅䅁䭁䉁䄰䅁䵁䅉䅅䅁䑁䅁䅁睁䵁䅁䅁兂䅁䅁䅁灚全兑䅯睃䅁䅁䅅䅁䉁䅁䅁权䙁䅁䅁䍄䉁䅁䅁睁䅁䅁䅍䅄䅁䅁䅕䅁䅁䑧婗䕕䭅䅁䅧䅁䉁䅁䅁允䅁䅁䅕硥畓⭒㙆䑨䴸䅉䅅䅁䑁䅁䅁睁䵁䅁䅁兂䅁䅁䅄婲公兑䅯睇䅁䅁䅅䅁䉁䅁䅁权䙁䅁䅁䍄䉁䅁䅁睁䅁䅁䅍䅄䅁䅁䅕䅁䅁佷捳䕕䭅䉁䅷䅁䉁䅁䅁允䅁䅁䅕椹捨㡪噊歓䵁䅉䅅䅁䑁䅁䅁睁䵁䅁䅁兂䅁䅁䅂䩦兴兑䅯杊䅁䅁䅅䅁䉁䅁䅁兂乄䵺䵺䵺歺睐杷允䅁䅁䅍䅁䑁䅁䅷䅁䙁䅁䅁䅁坁啔䈹权佁䅁䅁允䅁䅁䅅䅁䙁乁橥䑣䬰砱䅚䍄䉁䅁䅁睁䅁䅁䅍䅄䅁䅁䅕䅁䅁䅧獖啕䭅䉁䄴䅁䉁䅁䅁允䅁䅁䅯兂䅁䅁杷允䅁䅁䅍䅁䑁䅁䅷䅁䙁䅁䅁䕁元噮䉂权橁䅁䅁允䅁䅁䅅䅁䭁䅁䅕䅁䵁䅉䅅䅁䑁䅁䅁睁䵁䅁䅁兂䅁䅁䅃灚儱兑䅯杈䅁䅁䅅䅁䉁䅁䅁权䙁䅁䅁䍄䉁䅁䅁睁䅁䅁䅍䅄䅁䅁䅕䅁䅁䥧摓䕕䭅䉁䄸䅁䉁䅁䅁允䅁䅁䅯兂䅁䅁杷允䅁䅁䅍䅁䑁䅁䅷䅁䙁䅁䅁䕁㡂ㅭ䉂权楁䅁䅁允䅁䅁䅅䅁䭁䅁䅕䅁䵁䅉䅅䅁䑁䅁䅁睁䵁䅁䅁兂䅁䅁䅃灚儱兑䅯䅊䅁䅁䅅䅁䉁䅁䅁兂慃婭婭婭火䅑杷允䅁䅁䅍䅁䑁䅁䅷䅁䙁䅁䅁䥁浂噮䉂权䥁䅁䅁允䅁䅁䅅䅁䭁䅁䅕䅁䵁䅉䅅䅁䑁䅁䅁睁䵁䅁䅁兂䅁䅁䅄婲公兑䅯睈䅁䅁䅅䅁䉁䅁䅁权䙁䅁䅁䍄䉁䅁䅁睁䅁䅁䅍䅄䅁䅁䅕䅁䅁佷娶䕕䭅䉁䄴䅁䉁䅁䅁允䅁䅁䅕硥畓⭒㙆䑨䴸䅉䅅䅁䑁䅁䅁睁䵁䅁䅁兂䅁䅁䅁婹兰兑䅯䅈䅁䅁䅅䅁䉁䅁䅁兂䙃ㄶ㑇杈硕䅑杷允䅁䅁䅍䅁䑁䅁䅷䅁䙁䅁䅁䵁䱄洰䉎权允䅁䅁允䅁䅁䅅䅁䭁䉁䅅䅁䵁䅉䅅䅁䑁䅁䅁睁䵁䅁䅁兂䅁䅁䅂娱兰兑䅯䅉䅁䅁䅅䅁䉁䅁䅁兂䭁㘱睎児㍱睐杷允䅁䅁䅍䅁䑁䅁䅷䅁䙁䅁䅁䅁㍁ㅬ䉂权牁䅁䅁允䅁䅁䅅䅁䭁䅁䅕䅁䵁䅉䅅䅁䑁䅁䅁睁䵁䅁䅁兂䅁䅁䅃灚儱兑䅯兇䅁䅁䅅䅁䉁䅁䅁兂䙃ㄶ㑇潈䙕䅑杷允䅁䅁䅍䅁䑁䅁䅷䅁䙁䅁䅁䵁㕁ㅯ䉂权捁䅁䅁允䅁䅁䅅䅁䙁佁㙆䭆䠵卙䅤䍄䉁䅁䅁睁䅁䅁䅍䅄䅁䅁䅕䅁䅁䩁焴啕䭅䉁䅉䅁䉁䅁䅁允䅁䅁䅯充䅁䅁杷允䅁䅁䅍䅁䑁䅁䅷䅁䙁䅁䅁䅁㑂噭䉂权䥁䅁䅁允䅁䅁䅅䅁䭁䅁䅕䅁䵁䅉䅅䅁䑁䅁䅁睁䵁䅁䅁兂䅁䅁䅃灪儱兑䅯䅄䅁䅁䅅䅁䉁䅁䅁兂卂䉵䘶㤶㝅䅑杷允䅁䅁䅍䅁䑁䅁䅷䅁䙁䅁䅁䥁浂噮䉂权䡁䅁䅁允䅁䅁䅅䅁䭁䅁䅕䅁䵁䅉䅅䅁䑁䅁䅁睁䵁䅁䅁兂䅁䅁䅃灪儱兑䅯睃䅁䅁䅅䅁䉁䅁䅁兂㝂䭆䠵場歱睐杷允䅁䅁䅍䅁䑁䅁䅷䅁䙁䅁䅁䥁坁湘䉴权楁䅁䅁允䅁䅁䅅䅁䭁䅁䅕䅁䵁䅉䅅䅁䑁䅁䅁睁䵁䅁䅁兂䅁䅁䅁楮剰兑䅯䅅䅁䅁䅅䅁䉁䅁䅁权剁䅁䅁䍄䉁䅁䅁睁䅁䅁䅍䅄䅁䅁䅕䅁䅁偣⭤正䭅䉁䅳䅁䉁䅁䅁允䅁䅁䅯兂䅁䅁杷允䅁䅁䅍䅁䑁䅁䅷䅁䙁䅁䅁䥁㝃汬䉂权䕁䅁䅁允䅁䅁䅅䅁䭁䅁䅕䅁䵁䅉䅅䅁䑁䅁䅁睁䵁䅁䅁兂䅁䅁䅄慏兎兑䅯杆䅁䅁䅅䅁䉁䅁䅁权䙁䅁䅁䍄䉁䅁䅁睁䅁䅁䅍䅄䅁䅁䅕䅁䅁䉧敚づ䭅䉁䄸䅁䉁䅁䅁允䅁䅁䅯兂䅁䅁杷允䅁䅁䅍䅁䑁䅁䅷䅁䙁䅁䅁䵁祂噭䉂权佁䅁䅁允䅁䅁䅅䅁䭁䅁䅕䅁䵁䅉䅅䅁䑁䅁䅁睁䵁䅁䅁兂䅁䅁䅃灚儱兑䅯杉䅁䅁䅅䅁䉁䅁䅁权䙁䅁䅁䍄䉁䅁䅁睁䅁䅁䅍䅄䅁䅁䅕䅁䅁䝧摡䕕䭅䉁䅙䅁䉁䅁䅁允䅁䅁䅯兂䅁䅁杷允䅁䅁䅍䅁䑁䅁䅷䅁䙁䅁䅁䵁敃汙䉆权䵁䅁䅁允䅁䅁䅅䅁䙁䱁敧敨剴䑥䅒䍄䉁䅁䅁睁䅁䅁䅍䅄䅁䅁䅕䅁䅁䡁挶啕䭅䉁䅙䅁䉁䅁䅁允䅁䅁䅯兂䅁䅁杷允䅁䅁䅍䅁䑁䅁䅷䅁䙁䅁䅁䅁䥄䙶䉆权佁䅁䅁允䅁䅁䅅䅁䙁䡁㥅瑃橥䐸䅆䍄䉁䅁䅁睁䅁䅁䅍䅄䅁䅁䅕䅁䅁䑑慭䕕䭅䍁䅍䅁䉁䅁䅁允䅁䅁䅯兂䅁䅁杷允䅁䅁䅍䅁䑁䅁䅷䅁䙁䅁䅁䥁浂噮䉂权佁䅁䅁允䅁䅁䅅䅁䙁䭁䠵場啯歔䅤䍄䉁䅁䅁睁䅁䅁䅍䅄䅁䅁䅕䅁䅁䑁塥䕕䭅䍁䅍䅁䉁䅁䅁允䅁䅁䅯兂䅁䅁杷允䅁䅁䅍䅁䑁䅁䅷䅁䙁䅁䅁䅁㑂噭䉂权歁䅁䅁允䅁䅁䅅䅁䭁䅁䅕䅁䵁䅉䅅䅁䑁䅁䅁睁䵁䅁䅁兂䅁䅁䅁婹兰兑䅯䅋䅁䅁䅅䅁䉁䅁䅁权䙁䅁䅁䍄䉁䅁䅁睁䅁䅁䅍䅄䅁䅁䅕䅁䅁䩑摃䕕䭅䉁䅣䅁䉁䅁䅁允䅁䅁䅯睕䅁䅁杷允䅁䅁䅍䅁䑁䅁䅷䅁䙁䅁䅁䡁㍄湦䉊权䥁䅁䅁允䅁䅁䅅䅁䭁䅁䅕䅁䵁䅉䅅䅁䑁䅁䅁睁䵁䅁䅁兂䅁䅁䅁灚全兑䅯睋䅁䅁䅅䅁䉁䅁䅁权䙁䅁䅁䍄䉁䅁䅁睁䅁䅁䅍䅄䅁䅁䅕䅁䅁䝁批䕕䭅䅁䄰䅁䉁䅁䅁允䅁䅁䅯充䅁䅁杷允䅁䅁䅍䅁䑁䅁䅷䅁䙁䅁䅁䥁浂噮䉂权杁䅁䅁允䅁䅁䅅䅁䭁䅁䅕䅁䵁䅉䅅䅁䑁䅁䅁睁䵁䅁䅁兂䅁䅁䅁䩢兴兑䅯杆䅁䅁䅅䅁䉁䅁䅁权䙁䅁䅁䍄䉁䅁䅁睁䅁䅁䅍䅄䅁䅁䅕䅁䅁䝁奡䕕䭅䉁䄸䅁䉁䅁䅁允䅁䅁䅯兂䅁䅁杷允䅁䅁䅍䅁䑁䅁䅷䅁䙁䅁䅁䥁浂噮䉂权流䅁䅁允䅁䅁䅅䅁䭁䅁䅕䅁䵁䅉䅅䅁䑁䅁䅁睁䵁䅁䅁兂䅁䅁䅄煤兤兑䅯睋䅁䅁䅅䅁䉁䅁䅁权䙁䅁䅁䍄䉁䅁䅁睁䅁䅁䅍䅄䅁䅁䅕䅁䅁乁戴啗䭅䉁䄸䅁䉁䅁䅁允䅁䅁䅯兂䅁䅁杷允䅁䅁䅍䅁䑁䅁䅷䅁䙁䅁䅁䥁㝃汬䉂权敁䅁䅁允䅁䅁䅅䅁啁䅁䅁䅁䅁䅁䅁䍄䉁䅁䅁睁䅁䅁䅍䅄䅁䅁䅕䅁䅁䝑愲䕕䭅䉁䅣䅁䉁䅁䅁允䅁䅁䅯充䅁䅁杷允䅁䅁䅍䅁䑁䅁䅷䅁䙁䅁䅁䅁敃汋䉆权偁䅁䅁允䅁䅁䅅䅁䭁䅁䅕䅁䵁䅉䅅䅁䑁䅁䅁睁䵁䅁䅁兂䅁䅁䅃坂剸兑䅯䅋䅁䅁䅅䅁䉁䅁䅁权䙁䅁䅁䍄䉁䅁䅁睁䅁䅁䅍䅄䅁䅁䅕䅁䅁䝧摡䕕䭅䅁䅷䅁䉁䅁䅁允䅁䅁䅕児塲㍯㥁歆䵁䅉䅅䅁䑁䅁䅁睁䵁䅁䅁兂䅁䅁䅄砶典兑䅯兄䅁䅁䅅䅁䉁䅁䅁权剁䅁䅁䍄䉁䅁䅁睁䅁䅁䅍䅄䅁䅁䅕䅁䅁乁㜶啕䭅䅁䅣䅁䉁䅁䅁允䅁䅁䅯兂䅁䅁杷允䅁䅁䅍䅁䑁䅁䅷䅁䙁䅁䅁䅁楃歙䈹权汁䅁䅁允䅁䅁䅅䅁䭁䅁䅕䅁䵁䅉䅅䅁䑁䅁䅁睁䵁䅁䅁兂䅁䅁䅃䩨儱兑䅯睇䅁䅁䅅䅁䉁䅁䅁权䙁䅁䅁䍄䉁䅁䅁睁䅁䅁䅍䅄䅁䅁䅕䅁䅁䵧奏䕕䭅䍁䅍䅁䉁䅁䅁允䅁䅁䅯兂䅁䅁杷允䅁䅁䅍䅁䑁䅁䅷䅁䙁䅁䅁䅁敃汋䉆权婁䅁䅁允䅁䅁䅅䅁䭁䅁䅕䅁䵁䅉䅅䅁䑁䅁䅁睁䵁䅁䅁兂䅁䅁䅁䩢兴兑䅯兊䅁䅁䅅䅁䉁䅁䅁权䙁䅁䅁䍄䉁䅁䅁睁䅁䅁䅍䅄䅁䅁䅕䅁䅁䑷橭䕕䭅䅁䅙䅁䉁䅁䅁允䅁䅁䅯兂䅁䅁杷允䅁䅁䅍䅁䑁䅁䅷䅁䙁䅁䅁䅁捁唴䈵权䩁䅁䅁允䅁䅁䅅䅁䭁䍁䅫䅁䵁䅉䅅䅁䑁䅁䅁睁䵁䅁䅁兂䅁䅁䅃灚儱兑䅯睉䅁䅁䅅䅁䉁䅁䅁权䙁䅁䅁䍄䉁䅁䅁睁䅁䅁䅍䅄䅁䅁䅕䅁䅁䵧奏䕕䭅䍁䅧䅁䉁䅁䅁允䅁䅁䅯兂䅁䅁杷允䅁䅁䅍䅁䑁䅁䅷䅁䙁䅁䅁䅁䥄䙶䉆权汁䅁䅁允䅁䅁䅅䅁䭁䅁䅕䅁䵁䅉䅅䅁䑁䅁䅁睁䵁䅁䅁兂䅁䅁䅃っ偂兑䅯䅂䅁䅁䅅䅁䉁䅁䅁权䙁䅁䅁䍄䉁䅁䅁睁䅁䅁䅍䅄䅁䅁䅕䅁䅁佷捳䕕䭅䉁䅣䅁䉁䅁䅁允䅁䅁䅯充䅁䅁杷允䅁䅁䅍䅁䑁䅁䅷䅁䙁䅁䅁䅁畃噸䉂权䝁䅁䅁允䅁䅁䅅䅁䭁䅁䅕䅁䵁䅉䅅䅁䑁䅁䅁睁䵁䅁䅁兂䅁䅁䅄㥹橊兑䅯杉䅁䅁䅅䅁䉁䅁䅁权䙁䅁䅁䍄䉁䅁䅁睁䅁䅁䅍䅄䅁䅁䅕䅁䅁䉁桺歔䭅䉁䄸䅁䉁䅁䅁允䅁䅁䅯兂䅁䅁杷允䅁䅁䅍䅁䑁䅁䅷䅁䙁䅁䅁䥁浂噮䉂权䝁䅁䅁允䅁䅁䅅䅁䭁䅁䅕䅁䵁䅉䅅䅁䑁䅁䅁睁䵁䅁䅁兂䅁䅁䅂䩫儱兑䅯杂䅁䅁䅅䅁䉁䅁䅁权䙁䅁䅁䍄䉁䅁䅁睁䅁䅁䅍䅄䅁䅁䅕䅁䅁䵷卶す䭅䅁䅑䅁䉁䅁䅁允䅁䅁䅯兂䅁䅁杷允䅁䅁䅍䅁䑁䅁䅷䅁䙁䅁䅁䵁祂噭䉂权楁䅁䅁允䅁䅁䅅䅁䭁䅁䅕䅁䵁䅉䅅䅁䑁䅁䅁睁䵁䅁䅁兂䅁䅁䅂䩫儱兑䅯睃䅁䅁䅅䅁䉁䅁䅁权䙁䅁䅁䍄䉁䅁䅁睁䅁䅁䅍䅄䅁䅁䅕䅁䅁䍑ㅏ䕕䭅䅁䅷䅁䉁䅁䅁允䅁䅁䅕体㙆䭆㌵さ䵁䅉䅅䅁䑁䅁䅁睁䵁䅁䅁兂䅁䅁䅂㕣公兑䅯睆䅁䅁䅅䅁䉁䅁䅁权䍂䅁䅁䍄䉁䅁䅁睁䅁䅁䅍䅄䅁䅁䅕䅁䅁䑷橭䕕䭅䍁䅕䅁䉁䅁䅁允䅁䅁䅯兂䅁䅁杷允䅁䅁䅍䅁䑁䅁䅷䅁䙁䅁䅁䥁坁湘䉴权十䅁䅁允䅁䅁䅅䅁䭁䉁䅅䅁䵁䅉䅅䅁䑁䅁䅁睁䵁䅁䅁兂䅁䅁䅃㕷全兑䅯睆䅁䅁䅅䅁䉁䅁䅁权剁䅁䅁䍄䉁䅁䅁睁䅁䅁䅍䅄䅁䅁䅕䅁䅁䭷娲䕕䭅䅁䅳䅁䉁䅁䅁允䅁䅁䅯兂䅁䅁杷允䅁䅁䅍䅁䑁䅁䅷䅁䙁䅁䅁䅁䩄汭䉂权杁䅁䅁允䅁䅁䅅䅁䭁䅁䅕䅁䵁䅉䅅䅁䑁䅁䅁睁䵁䅁䅁兂䅁䅁䅃灚儱兑䅯兊䅁䅁䅅䅁䉁䅁䅁权䙁䅁䅁䍄䉁䅁䅁睁䅁䅁䅍䅄䅁䅁䅕䅁䅁䅧獖啕䭅䍁䅙䅁䉁䅁䅁允䅁䅁䅯兂䅁䅁杷允䅁䅁䅍䅁䑁䅁䅷䅁䙁䅁䅁䅁㍁ㅬ䉂权䱁䅁䅁允䅁䅁䅅䅁䙁䩁婱婭婭敭⽅䍄䉁䅁䅁睁䅁䅁䅍䅄䅁䅁䅕䅁䅁䵁慭䕕䭅䅁䅳䅁䉁䅁䅁允䅁䅁䅯兂䅁䅁杷允䅁䅁䅍䅁䑁䅁䅷䅁䙁䅁䅁䵁畄噭䉂权扁䅁䅁允䅁䅁䅅䅁䭁䅁䅕䅁䵁䅉䅅䅁䑁䅁䅁睁䵁䅁䅁兂䅁䅁䅁爳剴兑䅯兇䅁䅁䅅䅁䉁䅁䅁权䙁䅁䅁䍄䉁䅁䅁睁䅁䅁䅍䅄䅁䅁䅕䅁䅁䝧摡䕕䭅䅁䅳䅁䉁䅁䅁允䅁䅁䅯兂䅁䅁杷允䅁䅁䅍䅁䑁䅁䅷䅁䙁䅁䅁䕁元噮䉂权楁䅁䅁允䅁䅁䅅䅁䭁䅁䅕䅁䵁䅉䅅䅁䑁䅁䅁睁䵁䅁䅁兂䅁䅁䅄㥹橊兑䅯睃䅁䅁䅅䅁䉁䅁䅁权䙁䅁䅁䍄䉁䅁䅁睁䅁䅁䅍䅄䅁䅁䅕䅁䅁䵁慭䕕䭅䅁䄴䅁䉁䅁䅁允䅁䅁䅕場啯歲桥問䵁䅉䅅䅁䑁䅁䅁睁䵁䅁䅁兂䅁䅁䅄婲公兑䅯杈䅁䅁䅅䅁䉁䅁䅁权䙁䅁䅁䍄䉁䅁䅁睁䅁䅁䅍䅄䅁䅁䅕䅁䅁䭁楊ご䭅䉁䅣䅁䉁䅁䅁允䅁䅁䅯充䅁䅁杷允䅁䅁䅍䅁䑁䅁䅷䅁䙁䅁䅁䅁⭂䙮䉆权䱁䅁䅁允䅁䅁䅅䅁䭁䅁䅕䅁䵁䅉䅅䅁䑁䅁䅁睁䵁䅁䅁兂䅁䅁䅂偂晨兑䅯睊䅁䅁䅅䅁䉁䅁䅁权䙁䅁䅁䍄䉁䅁䅁睁䅁䅁䅍䅄䅁䅁䅕䅁䅁䭷娲䕕䭅䅁䅑䅁䉁䅁䅁允䅁䅁䅯兂䅁䅁杷允䅁䅁䅍䅁䑁䅁䅷䅁䙁䅁䅁䵁瑃噭䉂权湁䅁䅁允䅁䅁䅅䅁䭁䅁䅕䅁䵁䅉䅅䅁䑁䅁䅁睁䵁䅁䅁兂䅁䅁䅁䱹剸兑䅯䅈䅁䅁䅅䅁䉁䅁䅁兂㑃潈牘払瑧䅑杷允䅁䅁䅍䅁䑁䅁䅷䅁䙁䅁䅁䥁穂䕑䈹权潁䅁䅁允䅁䅁䅅䅁䭁䅁䅕䅁䵁䅉䅅䅁䑁䅁䅁睁䵁䅁䅁兂䅁䅁䅁灦剸兑䅯䅋䅁䅁䅅䅁䉁䅁䅁权䙁䅁䅁䍄䉁䅁䅁睁䅁䅁䅍䅄䅁䅁䅕䅁䅁䭁楊ご䭅䍁䅙䅁䉁䅁䅁允䅁䅁䅕硥畓⭒㙆䑴䴸䅉䅅䅁䑁䅁䅁睁䵁䅁䅁兂䅁䅁䅁獲兖兑䅯杉䅁䅁䅅䅁䉁䅁䅁权䙁䅁䅁䍄䉁䅁䅁睁䅁䅁䅍䅄䅁䅁䅕䅁䅁䵁㡩啕䭅䅁䅙䅁䉁䅁䅁允䅁䉁䅑䅁䅁䅁䅁䅁䵁䅉䅅䅁䑁䅁䅁睁䵁䅁䅁兂䅁䅁䅃っ偂兑䅯兇䅁䅁䅅䅁䉁䅁䅁权䙁䅁䅁䍄䉁䅁䅁睁䅁䅁䅍䅄䅁䅁䅕䅁䅁䥧獙啕䭅䍁䅑䅁䉁䅁䅁允䅁䅁䅯兂䅁䅁杷允䅁䅁䅍䅁䑁䅁䅷䅁䙁䅁䅁䅁捁唴䈵权塁䅁䅁允䅁䅁䅅䅁䭁䉁䅅䅁䵁䅉䅅䅁䑁䅁䅁睁䵁䅁䅁兂䅁䅁䅁浯偊兑䅯杂䅁䅁䅅䅁䉁䅁䅁兂穁積積積䑐睐杷允䅁䅁䅍䅁䑁䅁䅷䅁䙁䅁䅁䥁祂㈵䉒权䅁䅁䅁允䅁䅁䅅䅁䭁䅁䅉䅁䵁䅉䅅䅁䑁䅁䅁睁䵁䅁䅁兂䅁䅁䅃楨剸兑䅯杇䅁䅁䅅䅁䉁䅁䅁权䙁䅁䅁䍄䉁䅁䅁睁䅁䅁䅍䅄䅁䅁䅕䅁䅁䭷娲䕕䭅䅁䄸䅁䉁䅁䅁允䅁䅁䅯兂䅁䅁杷允䅁䅁䅍䅁䑁䅁䅷䅁䙁䅁䅁䥁䕃噮䉂权䕁䅁䅁允䅁䅁䅅䅁䭁䅁䅕䅁䵁䅉䅅䅁䑁䅁䅁睁䵁䅁䅁兂䅁䅁䅁楮剰兑䅯杉䅁䅁䅅䅁䉁䅁䅁权䙁䅁䅁䍄䉁䅁䅁睁䅁䅁䅍䅄䅁䅁䅕䅁䅁䑧婗䕕䭅䉁䅯䅁䉁䅁䅁允䅁䅁䅯兂䅁䅁杷允䅁䅁䅍䅁䑁䅁䅷䅁䙁䅁䅁䵁瑃噭䉂权慁䅁䅁允䅁䅁䅅䅁䭁䅁䅕䅁䵁䅉䅅䅁䑁䅁䅁睁䵁䅁䅁兂䅁䅁䅃っ偂兑䅯杂䅁䅁䅅䅁䉁䅁䅁兂偃癷潕䥘⬯睐杷允䅁䅁䅍䅁䑁䅁䅷䅁䙁䅁䅁䥁穂䕑䈹权䩁䅁䅁允䅁䅁䅅䅁䭁䍁䅫䅁䵁䅉䅅䅁䑁䅁䅁睁䵁䅁䅁兂䅁䅁䅁獲兖兑䅯杆䅁䅁䅅䅁䉁䅁䅁权䙁䅁䅁䍄䉁䅁䅁睁䅁䅁䅍䅄䅁䅁䅕䅁䅁䡷湡䕕䭅䉁䅑䅁䉁䅁䅁允䅁䉁䅑㔯穆䅁䅁䅁䵁䅉䅅䅁䑁䅁䅁睁䵁䅁䅁兂䅁䅁䅁灏兤兑䅯䅈䅁䅁䅅䅁䉁䅁䅁兂㝂䭆䠵場橯䅑杷允䅁䅁䅍䅁䑁䅁䅷䅁䙁䅁䅁䥁ㅁ噭䉂权歁䅁䅁允䅁䅁䅅䅁䙁䱁敧敨剴䭵⼴䍄䉁䅁䅁睁䅁䅁䅍䅄䅁䅁䅕䅁䅁䩷椵啕䭅䉁䄸䅁䉁䅁䅁允䅁䅁䅯兂䅁䅁杷允䅁䅁䅍䅁䑁䅁䅷䅁䙁䅁䅁䥁ㅁ噭䉂权十䅁䅁允䅁䅁䅅䅁䭁䉁䅅䅁䵁䅉䅅䅁䑁䅁䅁睁䵁䅁䅁兂䅁䅁䅃灚儱兑䅯睊䅁䅁䅅䅁䉁䅁䅁权䙁䅁䅁䍄䉁䅁䅁睁䅁䅁䅍䅄䅁䅁䅕䅁䅁䭷娲䕕䭅䍁䅧䅁䉁䅁䅁允䅁䅁䅯兂䅁䅁杷允䅁䅁䅍䅁䑁䅁䅷䅁䙁䅁䅁䥁浂噮䉂权偁䅁䅁允䅁䅁䅅䅁䭁䅁䅕䅁䵁䅉䅅䅁䑁䅁䅁睁䵁䅁䅁兂䅁䅁䅁歆倱兑䅯䅆䅁䅁䅅䅁䉁䅁䅁权䙁䅁䅁䍄䉁䅁䅁睁䅁䅁䅍䅄䅁䅁䅕䅁䅁䅑㑔じ䭅䅁䄴䅁䉁䅁䅁允䅁䅁䅯兂䅁䅁杷允䅁䅁䅍䅁䑁䅁䅷䅁䙁䅁䅁䅁䥄䙶䉆权䵁䅁䅁允䅁䅁䅅䅁䙁䵁䴳䵺䵺䍺䅖䍄䉁䅁䅁睁䅁䅁䅍䅄䅁䅁䅕䅁䅁䝧摡䕕䭅䅁䅑䅁䉁䅁䅁允䅁䅁䅯兂䅁䅁杷允䅁䅁䅍䅁䑁䅁䅷䅁䙁䅁䅁䡁㍄湦䉊权晁䅁䅁允䅁䅁䅅䅁䭁䅁䅕䅁䵁䅉䅅䅁䑁䅁䅁睁䵁䅁䅁兂䅁䅁䅃㕵党兑䅯元䅁䅁䅅䅁䉁䅁䅁权㕁䅁䅁䍄䉁䅁䅁睁䅁䅁䅍䅄䅁䅁䅕䅁䅁䑁塥䕕䭅䅁䄸䅁䉁䅁䅁允䅁䅁䅯兂䅁䅁杷允䅁䅁䅍䅁䑁䅁䅷䅁䙁䅁䅁䥁䙁䙢䉆权啁䅁䅁允䅁䅁䅅䅁䭁䅁䅕䅁䵁䅉䅅䅁䑁䅁䅁睁䵁䅁䅁兂䅁䅁䅁灚全兑䅯䅂䅁䅁䅅䅁䉁䅁䅁权䙁䅁䅁䍄䉁䅁䅁睁䅁䅁䅍䅄䅁䅁䅕䅁䅁䑧婗䕕䭅䅁䄴䅁䉁䅁䅁允䅁䅁䅯兂䅁䅁杷允䅁䅁䅍䅁䑁䅁䅷䅁䙁䅁䅁䅁楃歙䈹权佁䅁䅁允䅁䅁䅅䅁䙁䡁啳歲桦灥⽑䍄䉁䅁䅁睁䅁䅁䅍䅄䅁䅁䅕䅁䅁䑧婗䕕䭅䅁䅳䅁䉁䅁䅁允䅁䅁䅯兂䅁䅁杷允䅁䅁䅍䅁䑁䅁䅷䅁䙁䅁䅁䵁瑃噭䉂权䥁䅁䅁允䅁䅁䅅䅁䭁䅁䅕䅁䵁䅉䅅䅁䑁䅁䅁睁䵁䅁䅁兂䅁䅁䅁灏兤兑䅯兇䅁䅁䅅䅁䉁䅁䅁权䙁䅁䅁䍄䉁䅁䅁睁䅁䅁䅍䅄䅁䅁䅕䅁䅁䅑㑔じ䭅䅁䅧䅁䉁䅁䅁允䅁䅁䅯兂䅁䅁杷允䅁䅁䅍䅁䑁䅁䅷䅁䙁䅁䅁䅁䩄汭䉂权偁䅁䅁允䅁䅁䅅䅁䙁䡁啳歲桦来䅨䍄䉁䅁䅁睁䅁䅁䅍䅄䅁䅁䅕䅁䅁䝧摡䕕䭅䍁䅳䅁䉁䅁䅁允䅁䅁䅯兂䅁䅁杷允䅁䅁䅍䅁䑁䅁䅷䅁䙁䅁䅁䅁獂ㅭ䉂权婁䅁䅁允䅁䅁䅅䅁䭁䅁䅕䅁䵁䅉䅅䅁䑁䅁䅁睁䵁䅁䅁兂䅁䅁䅃灚儱兑䅯睈䅁䅁䅅䅁䉁䅁䅁权䙁䅁䅁䍄䉁䅁䅁睁䅁䅁䅍䅄䅁䅁䅕䅁䅁䉁桺歔䭅䉁䅯䅁䉁䅁䅁允䅁䅁䅯兂䅁䅁杷允䅁䅁䅍䅁䑁䅁䅷䅁䙁䅁䅁䕁瑂汭䉂权䝁䅁䅁允䅁䅁䅅䅁䭁䅁䅕䅁䵁䅉䅅䅁䑁䅁䅁睁䵁䅁䅁兂䅁䅁䅄砶典兑䅯兊䅁䅁䅅䅁䉁䅁䅁权䙁䅁䅁䍄䉁䅁䅁睁䅁䅁䅍䅄䅁䅁䅕䅁䅁䡁挶啕䭅䉁䅷䅁䉁䅁䅁允䅁䅁䅯兂䅁䅁杷允䅁䅁䅍䅁䑁䅁䅷䅁䙁䅁䅁䅁䥄䙶䉆权乁䅁䅁允䅁䅁䅅䅁䭁䉁䅅䅁䵁䅉䅅䅁䑁䅁䅁睁䵁䅁䅁兂䅁䅁䅂婏兰兑䅯杊䅁䅁䅅䅁䉁䅁䅁权䙁䅁䅁䍄䉁䅁䅁睁䅁䅁䅍䅄䅁䅁䅕䅁䅁䥧搶䕕䭅䉁䅯䅁䉁䅁䅁允䅁䅁䅯兂䅁䅁杷允䅁䅁䅍䅁䑁䅁䅷䅁䙁䅁䅁䵁祂噭䉂权偁䅁䅁允䅁䅁䅅䅁䭁䅁䅕䅁䵁䅉䅅䅁䑁䅁䅁睁䵁䅁䅁兂䅁䅁䅁䱹剸兑䅯䅆䅁䅁䅅䅁䉁䅁䅁权䙁䅁䅁䍄䉁䅁䅁睁䅁䅁䅍䅄䅁䅁䅕䅁䅁乁㜶啕䭅䉁䅯䅁䉁䅁䅁允䅁䅁䅯兂䅁䅁杷允䅁䅁䅍䅁䑁䅁䅷䅁䙁䅁䅁䅁䥄䙶䉆权橁䅁䅁允䅁䅁䅅䅁䭁䅁䅕䅁䵁䅉䅅䅁䑁䅁䅁睁䵁䅁䅁兂䅁䅁䅁灏兤兑䅯睂䅁䅁䅅䅁䉁䅁䅁权䙁䅁䅁䍄䉁䅁䅁睁䅁䅁䅍䅄䅁䅁䅯児䅁䅁䅯䅁䅁䅁䅅䅁䉁䅁䅁权䍁䅁䅁䍄䉁䅁䅁睁䅁䅁䅍䅄䅁䅁䅕䅁䅁䅑㑔じ䭅䅁䄰䅁䉁䅁䅁允䅁䅁䅯杋䅁䅁杷允䅁䅁䅍䅁䑁䅁䅷䅁䙁䅁䅁䵁畄噭䉂权偁䅁䅁允䅁䅁䅅䅁䭁䅁䅕䅁䵁䅉䅅䅁䑁䅁䅁睁䵁䅁䅁兂䅁䅁䅃灚儱兑䅯䅋䅁䅁䅅䅁䉁䅁䅁权䙁䅁䅁䍄䉁䅁䅁睁䅁䅁䅍䅄䅁䅁䅕䅁䅁䡁㡡啕䭅䅁䅁䅁䉁䅁䅁允䅁䅁䅯睁䅁䅁杷允䅁䅁䅍䅁䑁䅁䅷䅁䙁䅁䅁䕁橁噴䉂权婁䅁䅁允䅁䅁䅅䅁䭁䅁䅕䅁䵁䅉䅅䅁䑁䅁䅁睁䵁䅁䅁兂䅁䅁䅁獲兖兑䅯睂䅁䅁䅅䅁䉁䅁䅁权䙁䅁䅁䍄䉁䅁䅁睁䅁䅁䅍䅄䅁䅁䅕䅁䅁䩁焴啕䭅䍁䅁䅁䉁䅁䅁允䅁䅁䅯兂䅁䅁杷允䅁䅁䅍䅁䑁䅁䅷䅁䙁䅁䅁䅁坁啔䈹权楁䅁䅁允䅁䅁䅅䅁䭁䅁䅕䅁䵁䅉䅅䅁䑁䅁䅁睁䵁䅁䅁兂䅁䅁䅃汆㜵兑䅯兄䅁䅁䅅䅁䉁䅁䅁权剁䅁䅁䍄䉁䅁䅁睁䅁䅁䅍䅄䅁䅁䅕䅁䅁䑁塥䕕䭅䉁䅯䅁䉁䅁䅁允䅁䅁䅯兂䅁䅁杷允䅁䅁䅍䅁䑁䅁䅷䅁䙁䅁䅁䅁㑂噭䉂权潁䅁䅁允䅁䅁䅅䅁䭁䅁䅕䅁䵁䅉䅅䅁䑁䅁䅁睁䵁䅁䅁兂䅁䅁䅄瀷公兑䅯䅆䅁䅁䅅䅁䉁䅁䅁权䙁䅁䅁䍄䉁䅁䅁睁䅁䅁䅍䅄䅁䅁䅕䅁䅁䅧獖啕䭅䉁䅣䅁䉁䅁䅁允䅁䅁䅯充䅁䅁杷允䅁䅁䅍䅁䑁䅁䅷䅁䙁䅁䅁䥁䑄䙭䉂权歁䅁䅁允䅁䅁䅅䅁䭁䅁䅕䅁䵁䅉䅅䅁䑁䅁䅁睁䵁䅁䅁兂䅁䅁䅄婲公兑䅯睉䅁䅁䅅䅁䉁䅁䅁权䙁䅁䅁䍄䉁䅁䅁睁䅁䅁䅍䅄䅁䅁䅕䅁䅁䡑婏䕕䭅䅁䄴䅁䉁䅁䅁允䅁䅁䅯兂䅁䅁杷允䅁䅁䅍䅁䑁䅁䅷䅁䙁䅁䅁䅁㑂噭䉂权十䅁䅁允䅁䅁䅅䅁䭁䕁䅍䅁䵁䅉䅅䅁䑁䅁䅁睁䵁䅁䅁兂䅁䅁䅃坂剸兑䅯兊䅁䅁䅅䅁䉁䅁䅁权䙁䅁䅁䍄䉁䅁䅁睁䅁䅁䅍䅄䅁䅁䅕䅁䅁䭷娲䕕䭅䍁䅙䅁䉁䅁䅁允䅁䅁䅯兂䅁䅁杷允䅁䅁䅍䅁䑁䅁䅷䅁䙁䅁䅁䥁䝃䙌䉆权塁䅁䅁允䅁䅁䅅䅁䭁䉁䅅䅁䵁䅉䅅䅁䑁䅁䅁睁䵁䅁䅁兂䅁䅁䅁䩢兴兑䅯杅䅁䅁䅅䅁䉁䅁䅁权剁䅁䅁䍄䉁䅁䅁睁䅁䅁䅍䅄䅁䅁䅕䅁䅁䑷橭䕕䭅䅁䄸䅁䉁䅁䅁允䅁䅁䅯兂䅁䅁杷允䅁䅁䅍䅁䑁䅁䅷䅁䙁䅁䅁䕁穂噭䉂权汁䅁䅁允䅁䅁䅅䅁䭁䅁䅕䅁䵁䅉䅅䅁䑁䅁䅁睁䵁䅁䅁兂䅁䅁䅄婲公兑䅯元䅁䅁䅅䅁䉁䅁䅁权噁䅁䅁䍄䉁䅁䅁睁䅁䅁䅍䅄䅁䅁䅕䅁䅁䑁塱䕕䭅䅁䄰䅁䉁䅁䅁允䅁䅁䅯杌䅁䅁杷允䅁䅁䅍䅁䑁䅁䅷䅁䙁䅁䅁䅁㑂噭䉂权䩁䅁䅁允䅁䅁䅅䅁䭁䅁䅯䅁䵁䅉䅅䅁䑁䅁䅁睁䵁䅁䅁兂䅁䅁䅁獲兖兑䅯睊䅁䅁䅅䅁䉁䅁䅁权䙁䅁䅁䍄䉁䅁䅁睁䅁䅁䅍䅄䅁䅁䅕䅁䅁偣⭤正䭅䉁䅣䅁䉁䅁䅁允䅁䅁䅯充䅁䅁杷允䅁䅁䅍䅁䑁䅁䅷䅁䙁䅁䅁䵁瑃噭䉂权十䅁䅁允䅁䅁䅅䅁䭁䍁䄰䅁䵁䅉䅅䅁䑁䅁䅁睁䵁䅁䅁兂䅁䅁䅁灚全兑䅯睇䅁䅁䅅䅁䉁䅁䅁权䙁䅁䅁䍄䉁䅁䅁睁䅁䅁䅍䅄䅁䅁䅕䅁䅁䭷娲䕕䭅䅁䅷䅁䉁䅁䅁允䅁䅁䅯兂䅁䅁杷允䅁䅁䅍䅁䑁䅁䅷䅁䙁䅁䅁䅁㙁ㅬ䉂权䩁䅁䅁允䅁䅁䅅䅁䭁䅁䅯䅁䵁䅉䅅䅁䑁䅁䅁睁䵁䅁䅁兂䅁䅁䅁䩢兴兑䅯杇䅁䅁䅅䅁䉁䅁䅁权䙁䅁䅁䍄䉁䅁䅁睁䅁䅁䅍䅄䅁䅁䅕䅁䅁䭷娲䕕䭅䉁䅣䅁䉁䅁䅁允䅁䅁䅯兆䅁䅁杷允䅁䅁䅍䅁䑁䅁䅷䅁䙁䅁䅁䕁㕁汭䉂权䝁䅁䅁允䅁䅁䅅䅁啁䅁䅁䅁䅁䅁䅁䍄䉁䅁䅁睁䅁䅁䅍䅄䅁䅁䅕䅁䅁䭁䘷䕕䭅䉁䅉䅁䉁䅁䅁允䅁䅁䅯睒䅁䅁杷允䅁䅁䅍䅁䑁䅁䅷䅁䙁䅁䅁䵁瑃噭䉂权允䅁䅁允䅁䅁䅅䅁䭁䉁䅕䅁䵁䅉䅅䅁䑁䅁䅁睁䵁䅁䅁兂䅁䅁䅂䩫儱兑䅯䅅䅁䅁䅅䅁䉁䅁䅁权䅂䅁䅁䍄䉁䅁䅁睁䅁䅁䅍䅄䅁䅁䅕䅁䅁䡷湡䕕䭅䅁䅳䅁䉁䅁䅁允䅁䅁䅯兂䅁䅁杷允䅁䅁䅍䅁䑁䅁䅷䅁䙁䅁䅁䵁敃汙䉆权十䅁䅁允䅁䅁䅅䅁䭁䉁䅅䅁䵁䅉䅅䅁䑁䅁䅁睁䵁䅁䅁兂䅁䅁䅄婲公兑䅯䅆䅁䅁䅅䅁䉁䅁䅁䅆穃欸䅑䅁䅁䅁杷允䅁䅁䅍䅁䑁䅁䅷䅁䙁䅁䅁䵁瑃噭䉂权楁䅁䅁允䅁䅁䅅䅁䭁䅁䅕䅁䵁䅉䅅䅁䑁䅁䅁睁䵁䅁䅁兂䅁䅁睂㌹礵兑䅯杊䅁䅁䅅䅁䉁䅁䅁权䙁䅁䅁䍄䉁䅁䅁睁䅁䅁䅍䅄䅁䅁䅕䅁䅁䡷湡䕕䭅䉁䄸䅁䉁䅁䅁允䅁䅁䅯兂䅁䅁杷允䅁䅁䅍䅁䑁䅁䅷䅁䙁䅁䅁䅁獂ㅭ䉂权杁䅁䅁允䅁䅁䅅䅁䭁䅁䅕䅁䵁䅉䅅䅁䑁䅁䅁睁䵁䅁䅁兂䅁䅁䅃㕷全兑䅯睂䅁䅁䅅䅁䉁䅁䅁权䙁䅁䅁䍄䉁䅁䅁睁䅁䅁䅍䅄䅁䅁䅕䅁䅁䍑ㅏ䕕䭅䉁䅁䅁䉁䅁䅁允䅁䅁䅯充䅁䅁杷允䅁䅁䅍䅁䑁䅁䅷䅁䙁䅁䅁䕁㕁汭䉂权歁䅁䅁允䅁䅁䅅䅁啁䅁䅁䅁䅁䅁䅁䍄䉁䅁䅁睁䅁䅁䅍䅄䅁䅁䅕䅁䅁䵷卶す䭅䉁䅑䅁䉁䅁䅁允䅁䅁䅯兂䅁䅁杷允䅁䅁䅍䅁䑁䅁䅷䅁䙁䅁䅁䵁牄䙈䉂权楁䅁䅁允䅁䅁䅅䅁䙁䅁塲㍯㥁牃⽣䍄䉁䅁䅁睁䅁䅁䅍䅄䅁䅁䅕䅁䅁䑑慭䕕䭅䉁䅣䅁䉁䅁䅁允䅁䅁䅯䅍䅁䅁杷允䅁䅁䅍䅁䑁䅁䅷䅁䙁䅁䅁䕁瑂汭䉂权湁䅁䅁允䅁䅁䅅䅁䭁䅁䅕䅁䵁䅉䅅䅁䑁䅁䅁睁䵁䅁䅁兂䅁䅁䅃㕵党兑䅯䅅䅁䅁䅅䅁䉁䅁䅁权剁䅁䅁䍄䉁䅁䅁睁䅁䅁䅍䅄䅁䅁䅕䅁䅁䥧搶䕕䭅䍁䅙䅁䉁䅁䅁允䅁䅁䅯兂䅁䅁杷允䅁䅁䅍䅁䑁䅁䅷䅁䙁䅁䅁䵁瑃噭䉂权汁䅁䅁允䅁䅁䅅䅁䭁䅁䅕䅁䵁䅉䅅䅁䑁䅁䅁睁䵁䅁䅁兂䅁䅁䅂娱兰兑䅯䅂䅁䅁䅅䅁䉁䅁䅁权䙁䅁䅁䍄䉁䅁䅁睁䅁䅁䅍䅄䅁䅁䅕䅁䅁䅑㑔じ䭅䉁䅳䅁䉁䅁䅁允䅁䅁䅯兂䅁䅁杷允䅁䅁䅍䅁䑁䅁䅷䅁䙁䅁䅁䵁瑃噭䉂权牁䅁䅁允䅁䅁䅅䅁䭁䅁䅕䅁䵁䅉䅅䅁䑁䅁䅁睁䵁䅁䅁兂䅁䅁䅁䩥公兑䅯䅆䅁䅁䅅䅁䉁䅁䅁䅆癁潅䅁䅁䅁䅁杷允䅁䅁䅍䅁䑁䅁䅷䅁䙁䅁䅁䅁敃汋䉆权流䅁䅁允䅁䅁䅅䅁䭁䅁䅕䅁䵁䅉䅅䅁䑁䅁䅁睁䵁䅁䅁兂䅁䅁䅄瀷公兑䅯睃䅁䅁䅅䅁䉁䅁䅁䅆䅁䅁䅁䅁䅁䅁杷允䅁䅁䅍䅁䑁䅁䅷䅁䙁䅁䅁䅁獂ㅭ䉂权䥁䅁䅁允䅁䅁䅅䅁䭁䅁䅕䅁䵁䅉䅅䅁䑁䅁䅁睁䵁䅁䅁兂䅁䅁䅁灦剸兑䅯杇䅁䅁䅅䅁䉁䅁䅁权䙁䅁䅁䍄䉁䅁䅁睁䅁䅁䅍䅄䅁䅁䅯睍䅁䅁䅯䅁䅁䅁䅅䅁䉁䅁䅁权䑁䅁䅁䍄䉁䅁䅁睁䅁䅁䅍䅄䅁䅁䅕䅁䅁䡑批䕕䭅䅁䄰䅁䉁䅁䅁允䅁䅁䅯充䅁䅁杷允䅁䅁䅍䅁䑁䅁䅷䅁䙁䅁䅁䵁㕁ㅯ䉂权敁䅁䅁允䅁䅁䅅䅁䭁䅁䅕䅁䵁䅉䅅䅁䑁䅁䅁睁䵁䅁䅁兂䅁䅁䅄婲公兑䅯䅊䅁䅁䅅䅁䉁䅁䅁权䙁䅁䅁䍄䉁䅁䅁睁䅁䅁䅍䅄䅁䅁䅕䅁䅁䝑愲䕕䭅䉁䅳䅁䉁䅁䅁允䅁䅁䅯兂䅁䅁杷允䅁䅁䅍䅁䑁䅁䅷䅁䙁䅁䅁䥁䙁䙢䉆权䱁䅁䅁允䅁䅁䅅䅁䭁䅁䅕䅁䵁䅉䅅䅁䑁䅁䅁睁䵁䅁䅁兂䅁䅁䅄瀷公兑䅯杆䅁䅁䅅䅁䉁䅁䅁权䙁䅁䅁䍄䉁䅁䅁睁䅁䅁䅍䅄䅁䅁䅕䅁䅁䑑慭䕕䭅䍁䅕䅁䉁䅁䅁允䅁䅁䅯兂䅁䅁杷允䅁䅁䅍䅁䑁䅁䅷䅁䙁䅁䅁䕁橁噴䉂权䡁䅁䅁允䅁䅁䅅䅁䭁䅁䅕䅁䵁䅉䅅䅁䑁䅁䅁睁䵁䅁䅁兂䅁䅁䅃㕵党兑䅯䅈䅁䅁䅅䅁䉁䅁䅁兂灁䥘䌯儹䝨䅑杷允䅁䅁䅍䅁䑁䅁䅷䅁䙁䅁䅁䅁獂ㅭ䉂权塁䅁䅁允䅁䅁䅅䅁䭁䉁䅅䅁䵁䅉䅅䅁䑁䅁䅁睁䵁䅁䅁兂䅁䅁䅁獲兖兑䅯䅄䅁䅁䅅䅁䉁䅁䅁权䙁䅁䅁䍄䉁䅁䅁睁䅁䅁䅍䅄䅁䅁䅕䅁䅁䭷娲䕕䭅䉁䅙䅁䉁䅁䅁允䅁䅁䅯兂䅁䅁杷允䅁䅁䅍䅁䑁䅁䅷䅁䙁䅁䅁䵁畄噭䉂权䵁䅁䅁允䅁䅁䅅䅁䙁䥁牘払敧啚䅤䍄䉁䅁䅁睁䅁䅁䅍䅄䅁䅁䅕䅁䅁䭷娲䕕䭅䅁䄴䅁䉁䅁䅁允䅁䅁䅯兂䅁䅁杷允䅁䅁䅍䅁䑁䅁䅷䅁䙁䅁䅁䕁橁噴䉂权十䅁䅁允䅁䅁䅅䅁䭁䉁䅅䅁䵁䅉䅅䅁䑁䅁䅁睁䵁䅁䅁兂䅁䅁䅁栳婴兑䅯䅃䅁䅁䅅䅁䉁䅁䅁䅆䅁䅁䅁䅁䅁䅁杷允䅁䅁䅍䅁䑁䅁䅷䅁䙁䅁䅁䵁敃汙䉆权䩁䅁䅁允䅁䅁䅅䅁䭁䍁䅫䅁䵁䅉䅅䅁䑁䅁䅁睁䵁䅁䅁兂䅁䅁䅄慏兎兑䅯杄䅁䅁䅅䅁䉁䅁䅁兂䥂場啯潲兤䅑杷允䅁䅁䅍䅁䑁䅁䅷䅁䙁䅁䅁䅁捁唴䈵权乁䅁䅁允䅁䅁䅅䅁䭁䉁䅅䅁䵁䅉䅅䅁䑁䅁䅁睁䵁䅁䅁兂䅁䅁䅁爳剴兑䅯䅆䅁䅁䅅䅁䉁䅁䅁䅆奄挶䅯䅁䅁䅁杷允䅁䅁䅍䅁䑁䅁䅷䅁䙁䅁䅁䅁㙁ㅬ䉂权歁䅁䅁允䅁䅁䅅䅁䭁䅁䅕䅁䵁䅉䅅䅁䑁䅁䅁睁䵁䅁䅁兂䅁䅁䅂偂晨兑䅯睉䅁䅁䅅䅁䉁䅁䅁权䙁䅁䅁䍄䉁䅁䅁睁䅁䅁䅍䅄䅁䅁䅕䅁䅁䉁桺歔䭅䉁䅉䅁䉁䅁䅁允䅁䅁䅯充䅁䅁杷允䅁䅁䅍䅁䑁䅁䅷䅁䙁䅁䅁䡁㍄湦䉊权啁䅁䅁允䅁䅁䅅䅁䭁䅁䅕䅁䵁䅉䅅䅁䑁䅁䅁睁䵁䅁䅁兂䅁䅁䅄慏兎兑䅯兇䅁䅁䅅䅁䉁䅁䅁权䙁䅁䅁䍄䉁䅁䅁睁䅁䅁䅍䅄䅁䅁䅕䅁䅁乁㜶啕䭅䅁䅳䅁䉁䅁䅁允䅁䅁䅯兂䅁䅁杷允䅁䅁䅍䅁䑁䅁䅷䅁䙁䅁䅁䕁䕁䘫䈹权牁䅁䅁允䅁䅁䅅䅁䭁䅁䅕䅁䵁䅉䅅䅁䑁䅁䅁睁䵁䅁䅁兂䅁䅁䅃っ偂兑䅯䅊䅁䅁䅅䅁䉁䅁䅁兂䭁㘱睎児䡲睐杷允䅁䅁䅍䅁䑁䅁䅷䅁䙁䅁䅁䅁浂䙭䉂权啁䅁䅁允䅁䅁䅅䅁啁䅁樵村䅁䅁䅁䍄䉁䅁䅁睁䅁䅁䅍䅄䅁䅁䅕䅁䅁䉧敚づ䭅䉁䅳䅁䉁䅁䅁允䅁䅁䅯兂䅁䅁杷允䅁䅁䅍䅁䑁䅁䅷䅁䙁䅁䅁䥁㝃汬䉂权牁䅁䅁允䅁䅁䅅䅁䭁䅁䅕䅁䵁䅉䅅䅁䑁䅁䅁睁䵁䅁䅁兂䅁䅁䅃坂剸兑䅯兄䅁䅁䅅䅁䉁䅁䅁权剁䅁䅁䍄䉁䅁䅁睁䅁䅁䅍䅄䅁䅁䅕䅁䅁䑁塥䕕䭅䅁䅙䅁䉁䅁䅁允䅁䅁䅕硥畓⭒㙆䑬䴸䅉䅅䅁䑁䅁䅁睁䵁䅁䅁兂䅁䅁䅂䩦兴兑䅯䅄䅁䅁䅅䅁䉁䅁䅁兂硂児塲㍯呁䅑杷允䅁䅁䅍䅁䑁䅁䅷䅁䙁䅁䅁䕁㕁汭䉂权䩁䅁䅁允䅁䅁䅅䅁䭁䅁䅯䅁䵁䅉䅅䅁䑁䅁䅁睁䵁䅁䅁兂䅁䅁䅁佈但兑䅯䅅䅁䅁䅅䅁䉁䅁䅁权剁䅁䅁䍄䉁䅁䅁睁䅁䅁䅍䅄䅁䅁䅕䅁䅁䩑摃䕕䭅䍁䅕䅁䉁䅁䅁允䅁䅁䅯兂䅁䅁杷允䅁䅁䅍䅁䑁䅁䅷䅁䙁䅁䅁䅁捁唴䈵权䡁䅁䅁允䅁䅁䅅䅁䭁䅁䅕䅁䵁䅉䅅䅁䑁䅁䅁睁䵁䅁䅁兂䅁䅁䅁灚全兑䅯䅊䅁䅁䅅䅁䉁䅁䅁权䙁䅁䅁䍄䉁䅁䅁睁䅁䅁䅍䅄䅁䅁䅕䅁䅁佷娶䕕䭅䉁䅉䅁䉁䅁䅁允䅁䅁䅯充䅁䅁杷允䅁䅁䅍䅁䑁䅁䅷䅁䙁䅁䅁䥁䙁䙢䉆权䡁䅁䅁允䅁䅁䅅䅁䭁䅁䅕䅁䵁䅉䅅䅁䑁䅁䅁睁䵁䅁䅁兂䅁䅁䅁栳婴兑䅯兄䅁䅁䅅䅁䉁䅁䅁权剁䅁䅁䍄䉁䅁䅁睁䅁䅁䅍䅄䅁䅁䅕䅁䅁䉁桺歔䭅䍁䅍䅁䉁䅁䅁允䅁䅁䅯兂䅁䅁杷允䅁䅁䅍䅁䑁䅁䅷䅁䙁䅁䅁䅁捁唴䈵权啁䅁䅁允䅁䅁䅅䅁䭁䅁䅕䅁䵁䅉䅅䅁䑁䅁䅁睁䵁䅁䅁兂䅁䅁䅃灪儱兑䅯兄䅁䅁䅅䅁䉁䅁䅁权剁䅁䅁䍄䉁䅁䅁睁䅁䅁䅍䅄䅁䅁䅕䅁䅁䱧坵䕕䭅䉁䅳䅁䉁䅁䅁允䅁䅁䅯兂䅁䅁杷允䅁䅁䅍䅁䑁䅁䅷䅁䙁䅁䅁䅁㙁ㅬ䉂权流䅁䅁允䅁䅁䅅䅁䭁䅁䅕䅁䵁䅉䅅䅁䑁䅁䅁睁䵁䅁䅁兂䅁䅁䅁佈但兑䅯䅈䅁䅁䅅䅁䉁䅁䅁兂畃⭒㙆䝆䨵䅑杷允䅁䅁䅍䅁䑁䅁䅷䅁䙁䅁䅁䅁浂䙭䉂权敁䅁䅁允䅁䅁䅅䅁䭁䅁䅕䅁䵁䅉䅅䅁䑁䅁䅁睁䵁䅁䅁兂䅁䅁䅁楮剰兑䅯睆䅁䅁䅅䅁䉁䅁䅁权剁䅁䅁䍄䉁䅁䅁睁䅁䅁䅍䅄䅁䅁䅕䅁䅁䵧奏䕕䭅䉁䄸䅁䉁䅁䅁允䅁䅁䅯兂䅁䅁杷允䅁䅁䅍䅁䑁䅁䅷䅁䙁䅁䅁䅁捁唴䈵权敁䅁䅁允䅁䅁䅅䅁䙁䥁䌯匹捨⭪⽉䍄䉁䅁䅁睁䅁䅁䅍䅄䅁䅁䅕䅁䅁䑁塥䕕䭅䍁䅣䅁䉁䅁䅁允䅁䅁䅕䉵䘶ㄶ㑇橮䴸䅉䅅䅁䑁䅁䅁睁䵁䅁䅁兂䅁䅁䅂偂晨兑䅯睄䅁䅁䅅䅁䉁䅁䅁权䙁䅁䅁䍄䉁䅁䅁睁䅁䅁䅍䅄䅁䅁䅕䅁䅁䉁桺歔䭅䍁䅉䅁䉁䅁䅁允䅁䉁䅑䅁䅁䅁䅁䅁䵁䅉䅅䅁䑁䅁䅁睁䵁䅁䅁兂䅁䅁䅁栳婴兑䅯杄䅁䅁䅅䅁䉁䅁䅁兂歃䑣䬰㘱㑐睐杷允䅁䅁䅍䅁䑁䅁䅷䅁䙁䅁䅁䥁坁湘䉴权湁䅁䅁允䅁䅁䅅䅁䭁䅁䅕䅁䵁䅉䅅䅁䑁䅁䅁睁䵁䅁䅁兂䅁䅁䅁佈但兑䅯䅃䅁䅁䅅䅁䉁䅁䅁权䙁䅁䅁䍄䉁䅁䅁睁䅁䅁䅍䅄䅁䅁䅕䅁䅁乑慗䕕䭅䉁䅣䅁䉁䅁䅁允䅁䅁䅯充䅁䅁杷允䅁䅁䅍䅁䑁䅁䅷䅁䙁䅁䅁䅁㙁ㅬ䉂权允䅁䅁允䅁䅁䅅䅁䭁䅁䅯䅁䵁䅉䅅䅁䑁䅁䅁睁䵁䅁䅁兂䅁䅁䅁栳婴兑䅯䅂䅁䅁䅅䅁䉁䅁䅁权䙁䅁䅁䍄䉁䅁䅁睁䅁䅁䅍䅄䅁䅁䅕䅁䅁佷娶䕕䭅䅁䄴䅁䉁䅁䅁允䅁䅁䅕歲桦桥畑䕎䵁䅉䅅䅁䑁䅁䅁睁䵁䅁䅁兂䅁䅁䅂䩫儱兑䅯䅄䅁䅁䅅䅁䉁䅁䅁兂灁䥘䌯匹捪睐杷允䅁䅁䅍䅁䑁䅁䅷䅁䙁䅁䅁䅁敃汋䉆权慁䅁䅁允䅁䅁䅅䅁䭁䅁䅕䅁䵁䅉䅅䅁䑁䅁䅁睁䵁䅁䅁兂䅁䅁䅄㥹橊兑䅯杂䅁䅁䅅䅁䉁䅁䅁权䙁䅁䅁䍄䉁䅁䅁睁䅁䅁䅍䅄䅁䅁䅕䅁䅁䉁桺歔䭅䍁䅁䅁䉁䅁䅁允䅁䅁䅕浚浚浚浚樱䴸䅉䅅䅁䑁䅁䅁睁䵁䅁䅁兂䅁䅁䅁歆倱兑䅯睉䅁䅁䅅䅁䉁䅁䅁权䙁䅁䅁䍄䉁䅁䅁睁䅁䅁䅍䅄䅁䅁䅕䅁䅁䝁奡䕕䭅䅁䄴䅁䉁䅁䅁允䅁䅁䅯兂䅁䅁杷允䅁䅁䅍䅁䑁䅁䅷䅁䙁䅁䅁䥁佃噮䉂权䥁䅁䅁允䅁䅁䅅䅁䭁䅁䅕䅁䵁䅉䅅䅁䑁䅁䅁睁䵁䅁䅁兂䅁䅁䅁浯偊兑䅯䅂䅁䅁䅅䅁䉁䅁䅁权䙁䅁䅁䍄䉁䅁䅁睁䅁䅁䅍䅄䅁䅁䅕䅁䅁䉁乚ご䭅䍁䅣䅁䉁䅁䅁允䅁䅁䅯兂䅁䅁杷允䅁䅁䅍䅁䑁䅁䅷䅁䙁䅁䅁䥁坁湘䉴权䥁䅁䅁允䅁䅁䅅䅁䭁䅁䅕䅁䵁䅉䅅䅁䑁䅁䅁睁䵁䅁䅁兂䅁䅁䅃灪儱兑䅯䅅䅁䅁䅅䅁䉁䅁䅁权剁䅁䅁䍄䉁䅁䅁睁䅁䅁䅍䅄䅁䅁䅕䅁䅁䉁桺歔䭅䍁䅙䅁䉁䅁䅁允䅁䅁䅕呣䬰㘱睎䕌䵁䅉䅅䅁䑁䅁䅁睁䵁䅁䅁兂䅁䅁䅁歆倱兑䅯䅈䅁䅁䅅䅁䉁䅁䅁兂乄䵺䵺䵺獺睐杷允䅁䅁䅍䅁䑁䅁䅷䅁䙁䅁䅁䅁楃歙䈹权晁䅁䅁允䅁䅁䅅䅁䙁䙁偹癷潕䌳䅆䍄䉁䅁䅁睁䅁䅁䅍䅄䅁䅁䅕䅁䅁䡷婋䕕䭅䅁䅫䅁䉁䅁䅁允䅁䅁䅯权䅁䅁杷允䅁䅁䅍䅁䑁䅁䅷䅁䙁䅁䅁䕁㡂ㅭ䉂权潁䅁䅁允䅁䅁䅅䅁䭁䅁䅕䅁䵁䅉䅅䅁䑁䅁䅁睁䵁䅁䅁兂䅁䅁䅃䩨儱兑䅯杄䅁䅁䅅䅁䉁䅁䅁权䙁䅁䅁䍄䉁䅁䅁睁䅁䅁䅍䅄䅁䅁䅕䅁䅁䉁桺歔䭅䍁䅕䅁䉁䅁䅁允䅁䅁䅯兂䅁䅁杷允䅁䅁䅍䅁䑁䅁䅷䅁䙁䅁䅁䕁瑂汭䉂权歁䅁䅁允䅁䅁䅅䅁䭁䅁䅕䅁䵁䅉䅅䅁䑁䅁䅁睁䵁䅁䅁兂䅁䅁䅁佈但兑䅯睊䅁䅁䅅䅁䉁䅁䅁兂歃䑣䬰㘱児睐杷允䅁䅁䅍䅁䑁䅁䅷䅁䙁䅁䅁䕁橁噴䉂权杁䅁䅁允䅁䅁䅅䅁䙁䑁積積積⭍⽍䍄䉁䅁䅁睁䅁䅁䅍䅄䅁䅁䅕䅁䅁䉁桺歔䭅䅁䄸䅁䉁䅁䅁允䅁䅁䅕体㙆䭆䠵吹䴸䅉䅅䅁䑁䅁䅁睁䵁䅁䅁兂䅁䅁䅁䩥公兑䅯睋䅁䅁䅅䅁䉁䅁䅁权䙁䅁䅁䍄䉁䅁䅁睁䅁䅁䅍䅄䅁䅁䅕䅁䅁佷娶䕕䭅䍁䅉䅁䉁䅁䅁允䅁䅁䅯兂䅁䅁杷允䅁䅁䅍䅁䑁䅁䅷䅁䙁䅁䅁䅁⭂䙮䉆权佁䅁䅁允䅁䅁䅅䅁䭁䅁䅕䅁䵁䅉䅅䅁䑁䅁䅁睁䵁䅁䅁兂䅁䅁䅁歆倱兑䅯睆䅁䅁䅅䅁䉁䅁䅁权剁䅁䅁䍄䉁䅁䅁睁䅁䅁䅍䅄䅁䅁䅕䅁䅁䡁婩䕕䭅䍁䅙䅁䉁䅁䅁允䅁䅁䅯兂䅁䅁杷允䅁䅁䅍䅁䑁䅁䅷䅁䙁䅁䅁䅁捁唴䈵权䱁䅁䅁允䅁䅁䅅䅁䙁䡁啳歲桦灥⽑䍄䉁䅁䅁睁䅁䅁䅍䅄䅁䅁䅕䅁䅁䡧䅎ご䭅䅁䄰䅁䉁䅁䅁允䅁䅁䅯充䅁䅁杷允䅁䅁䅍䅁䑁䅁䅷䅁䙁䅁䅁䕁穂噭䉂权捁䅁䅁允䅁䅁䅅䅁䭁䅁䅕䅁䵁䅉䅅䅁䑁䅁䅁睁䵁䅁䅁兂䅁䅁䅁䩥公兑䅯䅂䅁䅁䅅䅁䉁䅁䅁权䙁䅁䅁䍄䉁䅁䅁睁䅁䅁䅍䅄䅁䅁䅕䅁䅁䝁奡䕕䭅䉁䅯䅁䉁䅁䅁允䅁䅁䅯兂䅁䅁杷允䅁䅁䅍䅁䑁䅁䅷䅁䙁䅁䅁䅁浂䙭䉂权偁䅁䅁允䅁䅁䅅䅁䭁䅁䅕䅁䵁䅉䅅䅁䑁䅁䅁睁䵁䅁䅁兂䅁䅁䅂㕣公兑䅯兇䅁䅁䅅䅁䉁䅁䅁权䙁䅁䅁䍄䉁䅁䅁睁䅁䅁䅍䅄䅁䅁䅕䅁䅁䡑婏䕕䭅䍁䅑䅁䉁䅁䅁允䅁䅁䅯兂䅁䅁杷允䅁䅁䅍䅁䑁䅁䅷䅁䙁䅁䅁䥁坁湘䉴权䡁䅁䅁允䅁䅁䅅䅁䭁䅁䅕䅁䵁䅉䅅䅁䑁䅁䅁睁䵁䅁䅁兂䅁䅁䅃䩨儱兑䅯䅃䅁䅁䅅䅁䉁䅁䅁权䙁䅁䅁䍄䉁䅁䅁睁䅁䅁䅍䅄䅁䅁䅕䅁䅁䉁桺歔䭅䍁䅑䅁䉁䅁䅁允䅁䅁䅕灭婭婭婭呱䴸䅉䅅䅁䑁䅁䅁睁䵁䅁䅁兂䅁䅁䅁爳剴兑䅯睋䅁䅁䅅䅁䉁䅁䅁权䙁䅁䅁䍄䉁䅁䅁睁䅁䅁䅍䅄䅁䅁䅕䅁䅁䉁桺歔䭅䅁䅑䅁䉁䅁䅁允䅁䅁䅯兂䅁䅁杷允䅁䅁䅍䅁䑁䅁䅷䅁䙁䅁䅁䕁㡂ㅭ䉂权偁䅁䅁允䅁䅁䅅䅁䙁䵁ㅐ䙋偹癷⽫䍄䉁䅁䅁睁䅁䅁䅍䅄䅁䅁䅕䅁䅁䩷椵啕䭅䅁䄴䅁䉁䅁䅁允䅁䅁䅕歲桦桥畓商䵁䅉䅅䅁䑁䅁䅁睁䵁䅁䅁兂䅁䅁䅁㕎兤兑䅯䅄䅁䅁䅅䅁䉁䅁䅁兂塄㍯㥁瑃汣䅑杷允䅁䅁䅍䅁䑁䅁䅷䅁䙁䅁䅁䅁㍁ㅬ䉂权塁䅁䅁允䅁䅁䅅䅁䭁䉁䅅䅁䵁䅉䅅䅁䑁䅁䅁睁䵁䅁䅁兂䅁䅁䅁䱹剸兑䅯䅊䅁䅁䅅䅁䉁䅁䅁兂䭁㘱睎児㍲睐杷允䅁䅁䅍䅁䑁䅁䅷䅁䙁䅁䅁䵁牄䙈䉂权扁䅁䅁允䅁䅁䅅䅁䭁䅁䅕䅁䵁䅉䅅䅁䑁䅁䅁睁䵁䅁䅁兂䅁䅁䅁婹兰兑䅯䅊䅁䅁䅅䅁䉁䅁䅁兂畃⭒㙆䭆栴䅑杷允䅁䅁䅍䅁䑁䅁䅷䅁䙁䅁䅁䅁敃汋䉆权䡁䅁䅁允䅁䅁䅅䅁䭁䅁䅕䅁䵁䅉䅅䅁䑁䅁䅁睁䵁䅁䅁兂䅁䅁䅃灪儱兑䅯兊䅁䅁䅅䅁䉁䅁䅁权䙁䅁䅁䍄䉁䅁䅁睁䅁䅁䅍䅄䅁䅁䅕䅁䅁䑁塱䕕䭅䍁䅧䅁䉁䅁䅁允䅁䅁䅯兂䅁䅁杷允䅁䅁䅍䅁䑁䅁䅷䅁䙁䅁䅁䥁佃噮䉂权湁䅁䅁允䅁䅁䅅䅁䙁䱁敧敨剴䭵⼴䍄䉁䅁䅁睁䅁䅁䅍䅄䅁䅁䅕䅁䅁䡷湡䕕䭅䍁䅕䅁䉁䅁䅁允䅁䅁䅯兂䅁䅁杷允䅁䅁䅍䅁䑁䅁䅷䅁䙁䅁䅁䅁捁唴䈵权潁䅁䅁允䅁䅁䅅䅁䭁䅁䅕䅁䵁䅉䅅䅁䑁䅁䅁睁䵁䅁䅁兂䅁䅁䅁灚全兑䅯睉䅁䅁䅅䅁䉁䅁䅁权䙁䅁䅁䍄䉁䅁䅁睁䅁䅁䅍䅄䅁䅁䅕䅁䅁䵧奏䕕䭅䉁䅉䅁䉁䅁䅁允䅁䅁䅯充䅁䅁杷允䅁䅁䅍䅁䑁䅁䅷䅁䙁䅁䅁䕁橁噴䉂权汁䅁䅁允䅁䅁䅅䅁䭁䅁䅕䅁䵁䅉䅅䅁䑁䅁䅁睁䵁䅁䅁兂䅁䅁䅄煤兤兑䅯睂䅁䅁䅅䅁䉁䅁䅁权䙁䅁䅁䍄䉁䅁䅁睁䅁䅁䅍䅄䅁䅁䅕䅁䅁䉁桺歔䭅䉁䅙䅁䉁䅁䅁允䅁䅁䅯兂䅁䅁杷允䅁䅁䅍䅁䑁䅁䅷䅁䙁䅁䅁䥁䑄䙭䉂权流䅁䅁允䅁䅁䅅䅁䭁䅁䅕䅁䵁䅉䅅䅁䑁䅁䅁睁䵁䅁䅁兂䅁䅁䅄煤兤兑䅯杄䅁䅁䅅䅁䉁䅁䅁权䙁䅁䅁䍄䉁䅁䅁睁䅁䅁䅍䅄䅁䅁䅕䅁䅁䉁桺歔䭅䍁䅳䅁䉁䅁䅁允䅁䅁䅯兂䅁䅁杷允䅁䅁䅍䅁䑁䅁䅷䅁䙁䅁䅁䵁祂噭䉂权牁䅁䅁允䅁䅁䅅䅁䭁䅁䅕䅁䵁䅉䅅䅁䑁䅁䅁睁䵁䅁䅁兂䅁䅁䅁㕎兤兑䅯睈䅁䅁䅅䅁䉁䅁䅁兂䭁㘱睎奐㍯䅑杷允䅁䅁䅍䅁䑁䅁䅷䅁䙁䅁䅁䅁㙁ㅬ䉂权橁䅁䅁允䅁䅁䅅䅁䭁䅁䅕䅁䵁䅉䅅䅁䑁䅁䅁睁䵁䅁䅁兂䅁䅁䅁䩥公兑䅯睃䅁䅁䅅䅁䉁䅁䅁权䙁䅁䅁䍄䉁䅁䅁睁䅁䅁䅍䅄䅁䅁䅕䅁䅁䝁批䕕䭅䍁䅳䅁䉁䅁䅁允䅁䅁䅯兂䅁䅁杷允䅁䅁䅍䅁䑁䅁䅷䅁䙁䅁䅁䅁捁唴䈵权婁䅁䅁允䅁䅁䅅䅁䭁䅁䅕䅁䵁䅉䅅䅁䑁䅁䅁睁䵁䅁䅁兂䅁䅁䅁灏兤兑䅯睆䅁䅁䅅䅁䉁䅁䅁权睁䅁䅁䍄䉁䅁䅁睁䅁䅁䅍䅄䅁䅁䅕䅁䅁䵷卶す䭅䍁䅣䅁䉁䅁䅁允䅁䅁䅯兂䅁䅁杷允䅁䅁䅍䅁䑁䅁䅷䅁䙁䅁䅁䥁䙁䙢䉆权捁䅁䅁允䅁䅁䅅䅁䭁䅁䅕䅁䵁䅉䅅䅁䑁䅁䅁睁䵁䅁䅁兂䅁䅁䅄㥹橊兑䅯杆䅁䅁䅅䅁䉁䅁䅁权䙁䅁䅁䍄䉁䅁䅁睁䅁䅁䅍䅄䅁䅁䅕䅁䅁䥧摓䕕䭅䅁䄸䅁䉁䅁䅁允䅁䅁䅯兂䅁䅁杷允䅁䅁䅍䅁䑁䅁䅷䅁䙁䅁䅁䡁㍄湦䉊权牁䅁䅁允䅁䅁䅅䅁䭁䅁䅕䅁䵁䅉䅅䅁䑁䅁䅁睁䵁䅁䅁兂䅁䅁䅄瀷公兑䅯兄䅁䅁䅅䅁䉁䅁䅁权剁䅁䅁䍄䉁䅁䅁睁䅁䅁䅍䅄䅁䅁䅕䅁䅁䡑批䕕䭅䅁䅙䅁䉁䅁䅁允䅁䅁䅕硥畓⭒㙆䑨䴸䅉䅅䅁䑁䅁䅁睁䵁䅁䅁兂䅁䅁䅃坂剸兑䅯杇䅁䅁䅅䅁䉁䅁䅁权䙁䅁䅁䍄䉁䅁䅁睁䅁䅁䅍䅄䅁䅁䅕䅁䅁䑁塱䕕䭅䉁䅉䅁䉁䅁䅁允䅁䅁䅯睌䅁䅁杷允䅁䅁䅍䅁䑁䅁䅷䅁䙁䅁䅁䕁橁噴䉂权坁䅁䅁允䅁䅁䅅䅁䭁䅁䅕䅁䵁䅉䅅䅁䑁䅁䅁睁䵁䅁䅁兂䅁䅁䅃楨剸兑䅯䅃䅁䅁䅅䅁䉁䅁䅁权䙁䅁䅁䍄䉁䅁䅁睁䅁䅁䅍䅄䅁䅁䅕䅁䅁䑑慭䕕䭅䍁䅁䅁䉁䅁䅁允䅁䅁䅯兂䅁䅁杷允䅁䅁䅍䅁䑁䅁䅷䅁䙁䅁䅁䕁㕁汭䉂权婁䅁䅁允䅁䅁䅅䅁䭁䅁䅕䅁䵁䅉䅅䅁䑁䅁䅁睁䵁䅁䅁兂䅁䅁䅃汆㜵兑䅯杇䅁䅁䅅䅁䉁䅁䅁权䙁䅁䅁䍄䉁䅁䅁睁䅁䅁䅍䅄䅁䅁䅕䅁䅁䵷卶す䭅䉁䅣䅁䉁䅁䅁允䅁䅁䅯充䅁䅁杷允䅁䅁䅍䅁䑁䅁䅷䅁䙁䅁䅁䥁ㅁ噭䉂权坁䅁䅁允䅁䅁䅅䅁䭁䅁䅕䅁䵁䅉䅅䅁䑁䅁䅁睁䵁䅁䅁兂䅁䅁䅁獲兖兑䅯睇䅁䅁䅅䅁䉁䅁䅁权䙁䅁䅁䍄䉁䅁䅁睁䅁䅁䅍䅄䅁䅁䅕䅁䅁䑁塱䕕䭅䉁䅑䅁䉁䅁䅁允䅁䉁䅑倲䝆䅁䅁䅁䵁䅉䅅䅁䑁䅁䅁睁䵁䅁䅁兂䅁䅁䅁㕎兤兑䅯䅈䅁䅁䅅䅁䉁䅁䅁兂乄䵺䵺䕺湷䅑杷允䅁䅁䅍䅁䑁䅁䅷䅁䙁䅁䅁䥁佃噮䉂权塁䅁䅁允䅁䅁䅅䅁䭁䉁䅅䅁䵁䅉䅅䅁䑁䅁䅁睁䵁䅁䅁兂䅁䅁䅁婹兰兑䅯睆䅁䅁䅅䅁䉁䅁䅁权剁䅁䅁䍄䉁䅁䅁睁䅁䅁䅍䅄䅁䅁䅕䅁䅁䉧敚づ䭅䅁䅳䅁䉁䅁䅁允䅁䅁䅯兂䅁䅁杷允䅁䅁䅍䅁䑁䅁䅷䅁䙁䅁䅁䕁㡂ㅭ䉂权允䅁䅁允䅁䅁䅅䅁䭁䉁䅅䅁䵁䅉䅅䅁䑁䅁䅁睁䵁䅁䅁兂䅁䅁䅄慏兎兑䅯兄䅁䅁䅅䅁䉁䅁䅁权畁䅁䅁䍄䉁䅁䅁睁䅁䅁䅍䅄䅁䅁䅕䅁䅁䝁批䕕䭅䉁䅁䅁䉁䅁䅁允䅁䅁䅯充䅁䅁杷允䅁䅁䅍䅁䑁䅁䅷䅁䙁䅁䅁䵁㕁ㅯ䉂权䱁䅁䅁允䅁䅁䅅䅁䭁䅁䅕䅁䵁䅉䅅䅁䑁䅁䅁睁䵁䅁䅁兂䅁䅁䅄慏兎兑䅯杇䅁䅁䅅䅁䉁䅁䅁权䙁䅁䅁䍄䉁䅁䅁睁䅁䅁䅍䅄䅁䅁䅕䅁䅁䑁塱䕕䭅䉁䄴䅁䉁䅁䅁允䅁䅁䅕䉵䘶ㄶ㑇橲䴸䅉䅅䅁䑁䅁䅁睁䵁䅁䅁兂䅁䅁䅃婎公兑䅯䅄䅁䅁䅅䅁䉁䅁䅁兂䙃ㄶ㑇杈乖䅑杷允䅁䅁䅍䅁䑁䅁䅷䅁䙁䅁䅁䅁㍁ㅬ䉂权允䅁䅁允䅁䅁䅅䅁䭁䉁䅅䅁䵁䅉䅅䅁䑁䅁䅁睁䵁䅁䅁兂䅁䅁䅂婢兰兑䅯睄䅁䅁䅅䅁䉁䅁䅁权䙁䅁䅁䍄䉁䅁䅁睁䅁䅁䅍䅄䅁䅁䅕䅁䅁䝁奡䕕䭅䍁䅕䅁䉁䅁䅁允䅁䅁䅯兂䅁䅁杷允䅁䅁䅍䅁䑁䅁䅷䅁䙁䅁䅁䵁㕁ㅯ䉂权䕁䅁䅁允䅁䅁䅅䅁䭁䅁䅕䅁䵁䅉䅅䅁䑁䅁䅁睁䵁䅁䅁兂䅁䅁䅃楨剸兑䅯䅆䅁䅁䅅䅁䉁䅁䅁权䙁䅁䅁䍄䉁䅁䅁睁䅁䅁䅍䅄䅁䅁䅕䅁䅁䩁焴啕䭅䅁䅙䅁䉁䅁䅁允䅁䅁䅯兂䅁䅁杷允䅁䅁䅍䅁䑁䅁䅷䅁䙁䅁䅁䅁㙁ㅬ䉂权扁䅁䅁允䅁䅁䅅䅁䭁䅁䅕䅁䵁䅉䅅䅁䑁䅁䅁睁䵁䅁䅁兂䅁䅁䅁䱹剸兑䅯睆䅁䅁䅅䅁䉁䅁䅁权剁䅁䅁䍄䉁䅁䅁睁䅁䅁䅍䅄䅁䅁䅕䅁䅁䅑㑔じ䭅䉁䅷䅁䉁䅁䅁允䅁䅁䅯兂䅁䅁杷允䅁䅁䅍䅁䑁䅁䅷䅁䙁䅁䅁䅁獂ㅭ䉂权䵁䅁䅁允䅁䅁䅅䅁䭁䅁䅕䅁䵁䅉䅅䅁䑁䅁䅁睁䵁䅁䅁兂䅁䅁䅁灏兤兑䅯䅃䅁䅁䅅䅁䉁䅁䅁权䙁䅁䅁䍄䉁䅁䅁睁䅁䅁䅍䅄䅁䅁䅕䅁䅁䩁焴啕䭅䅁䅧䅁䉁䅁䅁允䅁䅁䅯兂䅁䅁杷允䅁䅁䅍䅁䑁䅁䅷䅁䙁䅁䅁䥁䙁䙢䉆权晁䅁䅁允䅁䅁䅅䅁䭁䅁䅕䅁䵁䅉䅅䅁䑁䅁䅁睁䵁䅁䅁兂䅁䅁䅃灪儱兑䅯䅆䅁䅁䅅䅁䉁䅁䅁权䙁䅁䅁䍄䉁䅁䅁睁䅁䅁䅍䅄䅁䅁䅕䅁䅁乁戴啗䭅䉁䅯䅁䉁䅁䅁允䅁䅁䅯兂䅁䅁杷允䅁䅁䅍䅁䑁䅁䅷䅁䙁䅁䅁䅁㙁ㅬ䉂权楁䅁䅁允䅁䅁䅅䅁䭁䅁䅕䅁䵁䅉䅅䅁䑁䅁䅁睁䵁䅁䅁兂䅁䅁䅁䩢兴兑䅯睈䅁䅁䅅䅁䉁䅁䅁权䙁䅁䅁䍄䉁䅁䅁睁䅁䅁䅍䅄䅁䅁䅕䅁䅁䑧婗䕕䭅䉁䄴䅁䉁䅁䅁允䅁䉁䅑䅁䅁䅁䅁䅁䵁䅉䅅䅁䑁䅁䅁睁䵁䅁䅁兂䅁䅁䅄灣公兑䅯睂䅁䅁䅅䅁䉁䅁䅁权䙁䅁䅁䍄䉁䅁䅁睁䅁䅁䅍䅄䅁䅁䅕䅁䅁䑧婗䕕䭅䍁䅧䅁䉁䅁䅁允䅁䅁䅯兂䅁䅁杷允䅁䅁䅍䅁䑁䅁䅷䅁䙁䅁䅁䕁瑂汭䉂权流䅁䅁允䅁䅁䅅䅁䭁䅁䅕䅁䵁䅉䅅䅁䑁䅁䅁睁䵁䅁䅁兂䅁䅁䅁灏兤兑䅯䅉䅁䅁䅅䅁䉁䅁䅁权䙁䅁䅁䍄䉁䅁䅁睁䅁䅁䅍䅄䅁䅁䅕䅁䅁䥧摓䕕䭅䉁䅯䅁䉁䅁䅁允䅁䅁䅯兂䅁䅁杷允䅁䅁䅍䅁䑁䅁䅷䅁䙁䅁䅁䅁䩄汭䉂权乁䅁䅁允䅁䅁䅅䅁䭁䉁䅅䅁䵁䅉䅅䅁䑁䅁䅁睁䵁䅁䅁兂䅁䅁䅂㝉兖兑䅯杊䅁䅁䅅䅁䉁䅁䅁权䙁䅁䅁䍄䉁䅁䅁睁䅁䅁䅍䅄䅁䅁䅕䅁䅁䡁挶啕䭅䉁䅉䅁䉁䅁䅁允䅁䅁䅯充䅁䅁杷允䅁䅁䅍䅁䑁䅁䅷䅁䙁䅁䅁䥁䑄䙭䉂权湁䅁䅁允䅁䅁䅅䅁䭁䅁䅕䅁䵁䅉䅅䅁䑁䅁䅁睁䵁䅁䅁兂䅁䅁䅃汆㜵兑䅯睉䅁䅁䅅䅁䉁䅁䅁权䙁䅁䅁䍄䉁䅁䅁睁䅁䅁䅍䅄䅁䅁䅕䅁䅁䝑愲䕕䭅䍁䅉䅁䉁䅁䅁允䅁䅁䅯兂䅁䅁杷允䅁䅁䅍䅁䑁䅁䅷䅁䙁䅁䅁䥁佃噮䉂权坁䅁䅁允䅁䅁䅅䅁䙁䡁啳歲桦獥⽑䍄䉁䅁䅁睁䅁䅁䅍䅄䅁䅁䅕䅁䅁䩁焴啕䭅䅁䄴䅁䉁䅁䅁允䅁䅁䅯兂䅁䅁杷允䅁䅁䅍䅁䑁䅁䅷䅁䙁䅁䅁䅁楃歙䈹权䩁䅁䅁允䅁䅁䅅䅁䭁䑁䅅䅁䵁䅉䅅䅁䑁䅁䅁睁䵁䅁䅁兂䅁䅁䅁灚全兑䅯睂䅁䅁䅅䅁䉁䅁䅁权䙁䅁䅁䍄䉁䅁䅁睁䅁䅁䅍䅄䅁䅁䅕䅁䅁䭁䘷䕕䭅䉁䅫䅁䉁䅁䅁允䅁䅁䅯兂䅁䅁杷允䅁䅁䅍䅁䑁䅁䅷䅁䙁䅁䅁䥁佃噮䉂权敁䅁䅁允䅁䅁䅅䅁䙁䱁敧敨剴䅵䅊䍄䉁䅁䅁睁䅁䅁䅍䅄䅁䅁䅕䅁䅁䑁塱䕕䭅䅁䅷䅁䉁䅁䅁允䅁䅁䅕場啯歲桤ぉ䵁䅉䅅䅁䑁䅁䅁睁䵁䅁䅁兂䅁䅁䅂㝉兖兑䅯杄䅁䅁䅅䅁䉁䅁䅁权䙁䅁䅁䍄䉁䅁䅁睁䅁䅁䅍䅄䅁䅁䅕䅁䅁䝑愲䕕䭅䅁䄴䅁䉁䅁䅁允䅁䅁䅯兂䅁䅁杷允䅁䅁䅍䅁䑁䅁䅷䅁䙁䅁䅁䥁䕃噮䉂权允䅁䅁允䅁䅁䅅䅁䭁䑁䅉䅁䵁䅉䅅䅁䑁䅁䅁睁䵁䅁䅁兂䅁䅁䅁栳婴兑䅯䅋䅁䅁䅅䅁䉁䅁䅁权䙁䅁䅁䍄䉁䅁䅁睁䅁䅁䅍䅄䅁䅁䅕䅁䅁䥧搶䕕䭅䍁䅉䅁䉁䅁䅁允䅁䅁䅯兂䅁䅁杷允䅁䅁䅍䅁䑁䅁䅷䅁䙁䅁䅁䅁敃汋䉆权汁䅁䅁允䅁䅁䅅䅁䭁䅁䅕䅁䵁䅉䅅䅁䑁䅁䅁睁䵁䅁䅁兂䅁䅁䅄㥹橊兑䅯䅃䅁䅁䅅䅁䉁䅁䅁权䙁䅁䅁䍄䉁䅁䅁睁䅁䅁䅍䅄䅁䅁䅕䅁䅁䑁塱䕕䭅䍁䅕䅁䉁䅁䅁允䅁䅁䅯兂䅁䅁杷允䅁䅁䅍䅁䑁䅁䅷䅁䙁䅁䅁䅁䩄汭䉂权敁䅁䅁允䅁䅁䅅䅁䙁䕁桪桥畓祒䅰䍄䉁䅁䅁睁䅁䅁䅍䅄䅁䅁䅕䅁䅁䱧坵䕕䭅䉁䄸䅁䉁䅁䅁允䅁䅁䅯兂䅁䅁杷允䅁䅁䅍䅁䑁䅁䅷䅁䙁䅁䅁䅁獂ㅭ䉂权捁䅁䅁允䅁䅁䅅䅁䭁䅁䅕䅁䵁䅉䅅䅁䑁䅁䅁睁䵁䅁䅁兂䅁䅁䅄浮削兑䅯睆䅁䅁䅅䅁䉁䅁䅁权剁䅁䅁䍄䉁䅁䅁睁䅁䅁䅍䅄䅁䅁䅕䅁䅁佷捳䕕䭅䉁䄴䅁䉁䅁䅁允䅁䅁䅕⽷潕䥘䌯启䴸䅉䅅䅁䑁䅁䅁睁䵁䅁䅁兂䅁䅁䅂㕣公兑䅯元䅁䅁䅅䅁䉁䅁䅁权䭁䅁䅁䍄䉁䅁䅁睁䅁䅁䅍䅄䅁䅁䅕䅁䅁䥧摓䕕䭅䅁䅙䅁䉁䅁䅁允䅁䅁䅯兂䅁䅁杷允䅁䅁䅍䅁䑁䅁䅷䅁䙁䅁䅁䥁ㅁ噭䉂权汁䅁䅁允䅁䅁䅅䅁䭁䅁䅕䅁䵁䅉䅅䅁䑁䅁䅁睁䵁䅁䅁兂䅁䅁䅄瀷公兑䅯元䅁䅁䅅䅁䉁䅁䅁权㑁䅁䅁䍄䉁䅁䅁睁䅁䅁䅍䅄䅁䅁䅕䅁䅁䝁批䕕䭅䅁䅳䅁䉁䅁䅁允䅁䅁䅯兂䅁䅁杷允䅁䅁䅍䅁䑁䅁䅷䅁䙁䅁䅁䅁畃噸䉂权敁䅁䅁允䅁䅁䅅䅁䭁䅁䅕䅁䵁䅉䅅䅁䑁䅁䅁睁䵁䅁䅁兂䅁䅁䅁歆倱兑䅯兇䅁䅁䅅䅁䉁䅁䅁权䙁䅁䅁䍄䉁䅁䅁睁䅁䅁䅍䅄䅁䅁䅕䅁䅁䑧婗䕕䭅䅁䄸䅁䉁䅁䅁允䅁䅁䅕䭆䠵場啯歂䵁䅉䅅䅁䑁䅁䅁睁䵁䅁䅁兂䅁䅁䅁灚全兑䅯䅃䅁䅁䅅䅁䉁䅁䅁权䙁䅁䅁䍄䉁䅁䅁睁䅁䅁䅍䅄䅁䅁䅕䅁䅁䉧敚づ䭅䅁䄸䅁䉁䅁䅁允䅁䅁䅯兂䅁䅁杷允䅁䅁䅍䅁䑁䅁䅷䅁䙁䅁䅁䥁䑄䙭䉂权偁䅁䅁允䅁䅁䅅䅁䭁䅁䅕䅁䵁䅉䅅䅁䑁䅁䅁睁䵁䅁䅁兂䅁䅁䅄瀷公兑䅯睂䅁䅁䅅䅁䉁䅁䅁权䙁䅁䅁䍄䉁䅁䅁睁䅁䅁䅍䅄䅁䅁䅕䅁䅁䅑㑔じ䭅䍁䅙䅁䉁䅁䅁允䅁䅁䅯兂䅁䅁杷允䅁䅁䅍䅁䑁䅁䅷䅁䙁䅁䅁䅁㙁ㅬ䉂权晁䅁䅁允䅁䅁䅅䅁䭁䅁䅕䅁䵁䅉䅅䅁䑁䅁䅁睁䵁䅁䅁兂䅁䅁䅄灣公兑䅯睉䅁䅁䅅䅁䉁䅁䅁权䙁䅁䅁䍄䉁䅁䅁睁䅁䅁䅍䅄䅁䅁䅕䅁䅁䝑愲䕕䭅䍁䅍䅁䉁䅁䅁允䅁䅁䅯兂䅁䅁杷允䅁䅁䅍䅁䑁䅁䅷䅁䙁䅁䅁䅁獂ㅭ䉂权䝁䅁䅁允䅁䅁䅅䅁䭁䅁䅕䅁䵁䅉䅅䅁䑁䅁䅁睁䵁䅁䅁兂䅁䅁䅃婎公兑䅯杊䅁䅁䅅䅁䉁䅁䅁权䙁䅁䅁䍄䉁䅁䅁睁䅁䅁䅍䅄䅁䅁䅕䅁䅁䝁奡䕕䭅䅁䅷䅁䉁䅁䅁允䅁䅁䅯兂䅁䅁杷允䅁䅁䅍䅁䑁䅁䅷䅁䙁䅁䅁䵁㉂ㅰ䉂权楁䅁䅁允䅁䅁䅅䅁䭁䅁䅕䅁䵁䅉䅅䅁䑁䅁䅁睁䵁䅁䅁兂䅁䅁䅃㕵党兑䅯兄䅁䅁䅅䅁䉁䅁䅁权剁䅁䅁䍄䉁䅁䅁睁䅁䅁䅍䅄䅁䅁䅕䅁䅁䑁塱䕕䭅䉁䅙䅁䉁䅁䅁允䅁䅁䅯兂䅁䅁杷允䅁䅁䅍䅁䑁䅁䅷䅁䙁䅁䅁䕁噄汭䉂权婁䅁䅁允䅁䅁䅅䅁䭁䅁䅕䅁䵁䅉䅅䅁䑁䅁䅁睁䵁䅁䅁兂䅁䅁䅁灦剸兑䅯䅄䅁䅁䅅䅁䉁䅁䅁权䙁䅁䅁䍄䉁䅁䅁睁䅁䅁䅍䅄䅁䅁䅕䅁䅁䑁塱䕕䭅䉁䅯䅁䉁䅁䅁允䅁䅁䅯兂䅁䅁杷允䅁䅁䅍䅁䑁䅁䅷䅁䙁䅁䅁䵁㉂ㅰ䉂权湁䅁䅁允䅁䅁䅅䅁䭁䅁䅕䅁䵁䅉䅅䅁䑁䅁䅁睁䵁䅁䅁兂䅁䅁䅃楨剸兑䅯䅈䅁䅁䅅䅁䉁䅁䅁权䙁䅁䅁䍄䉁䅁䅁睁䅁䅁䅍䅄䅁䅁䅕䅁䅁䝁奡䕕䭅䅁䅫䅁䉁䅁䅁允䅁䅁䅯光䅁䅁杷允䅁䅁䅍䅁䑁䅁䅷䅁䙁䅁䅁䥁ㅁ噭䉂权䝁䅁䅁允䅁䅁䅅䅁䙁䑁䬰㘱睎敐⽯䍄䉁䅁䅁睁䅁䅁䅍䅄䅁䅁䅕䅁䅁䅧獖啕䭅䅁䄴䅁䉁䅁䅁允䅁䅁䅯兂䅁䅁杷允䅁䅁䅍䅁䑁䅁䅷䅁䙁䅁䅁䅁坁啔䈹权䝁䅁䅁允䅁䅁䅅䅁䭁䅁䅕䅁䵁䅉䅅䅁䑁䅁䅁睁䵁䅁䅁兂䅁䅁䅁灚全兑䅯兄䅁䅁䅅䅁䉁䅁䅁权桁䅁䅁䍄䉁䅁䅁睁䅁䅁䅍䅄䅁䅁䅕䅁䅁䑁塱䕕䭅䍁䅳䅁䉁䅁䅁允䅁䅁䅯兂䅁䅁杷允䅁䅁䅍䅁䑁䅁䅷䅁䙁䅁䅁䵁畄噭䉂权捁䅁䅁允䅁䅁䅅䅁䙁䅁塲㍯㥁歓䅤䍄䉁䅁䅁睁䅁䅁䅍䅄䅁䅁䅕䅁䅁䅑㑔じ䭅䉁䅫䅁䉁䅁䅁允䅁䅁䅯兂䅁䅁杷允䅁䅁䅍䅁䑁䅁䅷䅁䙁䅁䅁䅁䥄䙶䉆权坁䅁䅁允䅁䅁䅅䅁䭁䅁䅕䅁䵁䅉䅅䅁䑁䅁䅁睁䵁䅁䅁兂䅁䅁䅁㕎兤兑䅯䅆䅁䅁䅅䅁䉁䅁䅁权䙁䅁䅁䍄䉁䅁䅁睁䅁䅁䅍䅄䅁䅁䅕䅁䅁䥧獙啕䭅䅁䅷䅁䉁䅁䅁允䅁䅁䅯兂䅁䅁杷允䅁䅁䅍䅁䑁䅁䅷䅁䙁䅁䅁䅁㙁ㅬ䉂权佁䅁䅁允䅁䅁䅅䅁䙁䱁敧敨剴䙱䅂䍄䉁䅁䅁睁䅁䅁䅍䅄䅁䅁䅕䅁䅁䡧䅎ご䭅䉁䅣䅁䉁䅁䅁允䅁䅁䅯充䅁䅁杷允䅁䅁䅍䅁䑁䅁䅷䅁䙁䅁䅁䥁䕃噮䉂权䩁䅁䅁允䅁䅁䅅䅁䭁䑁䅉䅁䵁䅉䅅䅁䑁䅁䅁睁䵁䅁䅁兂䅁䅁䅃楨剸兑䅯睄䅁䅁䅅䅁䉁䅁䅁权䙁䅁䅁䍄䉁䅁䅁睁䅁䅁䅍䅄䅁䅁䅕䅁䅁䑧婗䕕䭅䍁䅍䅁䉁䅁䅁允䅁䅁䅯兂䅁䅁杷允䅁䅁䅍䅁䑁䅁䅷䅁䙁䅁䅁䥁䕃噮䉂权乁䅁䅁允䅁䅁䅅䅁䭁䑁䅉䅁䵁䅉䅅䅁䑁䅁䅁睁䵁䅁䅁兂䅁䅁䅃䩨儱兑䅯䅋䅁䅁䅅䅁䉁䅁䅁权䙁䅁䅁䍄䉁䅁䅁睁䅁䅁䅍䅄䅁䅁䅕䅁䅁䡁婩䕕䭅䉁䅙䅁䉁䅁䅁允䅁䅁䅯兂䅁䅁杷允䅁䅁䅍䅁䑁䅁䅷䅁䙁䅁䅁䕁㡂ㅭ䉂权婁䅁䅁允䅁䅁䅅䅁䙁䭁䠵場啯歲䅚䍄䉁䅁䅁睁䅁䅁䅍䅄䅁䅁䅕䅁䅁䉧敚づ䭅䅁䄴䅁䉁䅁䅁允䅁䅁䅯兂䅁䅁杷允䅁䅁䅍䅁䑁䅁䅷䅁䙁䅁䅁䥁䕃噮䉂权十䅁䅁允䅁䅁䅅䅁䭁䑁䅍䅁䵁䅉䅅䅁䑁䅁䅁睁䵁䅁䅁兂䅁䅁䅃䩨儱兑䅯睆䅁䅁䅅䅁䉁䅁䅁权ぁ䅁䅁䍄䉁䅁䅁睁䅁䅁䅍䅄䅁䅁䅕䅁䅁䩑摃䕕䭅䉁䅳䅁䉁䅁䅁允䅁䅁䅯兂䅁䅁杷允䅁䅁䅍䅁䑁䅁䅷䅁䙁䅁䅁䅁䥄䙶䉆权允䅁䅁允䅁䅁䅅䅁䭁䉁䅅䅁䵁䅉䅅䅁䑁䅁䅁睁䵁䅁䅁兂䅁䅁䅃䩨儱兑䅯䅆䅁䅁䅅䅁䉁䅁䅁䅆㉂お䅑䅁䅁䅁杷允䅁䅁䅍䅁䑁䅁䅷䅁䙁䅁䅁䥁䕃噮䉂权捁䅁䅁允䅁䅁䅅䅁䙁乁橥䑣䬰砱䅤䍄䉁䅁䅁睁䅁䅁䅍䅄䅁䅁䅕䅁䅁䡷湡䕕䭅䍁䅁䅁䉁䅁䅁允䅁䅁䅯兂䅁䅁杷允䅁䅁䅍䅁䑁䅁䅷䅁䙁䅁䅁䵁䱄洰䉎权晁䅁䅁允䅁䅁䅅䅁䭁䅁䅕䅁䵁䅉䅅䅁䑁䅁䅁睁䵁䅁䅁兂䅁䅁䅁㕎兤兑䅯杆䅁䅁䅅䅁䉁䅁䅁权䙁䅁䅁䍄䉁䅁䅁睁䅁䅁䅍䅄䅁䅁䅕䅁䅁䝁批䕕䭅䉁䅑䅁䉁䅁䅁允䅁䅁䅯兂䅁䅁杷允䅁䅁䅍䅁䑁䅁䅷䅁䙁䅁䅁䥁䕃噮䉂权敁䅁䅁允䅁䅁䅅䅁䭁䅁䅕䅁䵁䅉䅅䅁䑁䅁䅁睁䵁䅁䅁兂䅁䅁䅄煤兤兑䅯䅋䅁䅁䅅䅁䉁䅁䅁权䙁䅁䅁䍄䉁䅁䅁睁䅁䅁䅍䅄䅁䅁䅕䅁䅁䑧婗䕕䭅䍁䅳䅁䉁䅁䅁允䅁䅁䅯兂䅁䅁杷允䅁䅁䅍䅁䑁䅁䅷䅁䙁䅁䅁䅁⭂䙮䉆权流䅁䅁允䅁䅁䅅䅁䭁䅁䅕䅁䵁䅉䅅䅁䑁䅁䅁睁䵁䅁䅁兂䅁䅁䅁歆倱兑䅯䅂䅁䅁䅅䅁䉁䅁䅁兂捂㡪ㅌ之煷䅑杷允䅁䅁䅍䅁䑁䅁䅷䅁䙁䅁䅁䵁祂噭䉂权坁䅁䅁允䅁䅁䅅䅁䭁䅁䅕䅁䵁䅉䅅䅁䑁䅁䅁睁䵁䅁䅁兂䅁䅁䅁浯偊兑䅯杅䅁䅁䅅䅁䉁䅁䅁权剁䅁䅁䍄䉁䅁䅁睁䅁䅁䅍䅄䅁䅁䅕䅁䅁䡑婏䕕䭅䍁䅉䅁䉁䅁䅁允䅁䅁䅯兂䅁䅁杷允䅁䅁䅍䅁䑁䅁䅷䅁䙁䅁䅁䥁䕃噮䉂权楁䅁䅁允䅁䅁䅅䅁䭁䅁䅕䅁䵁䅉䅅䅁䑁䅁䅁睁䵁䅁䅁兂䅁䅁䅃䩨儱兑䅯䅉䅁䅁䅅䅁䉁䅁䅁兂塄㍯㥁瑃塣䅑杷允䅁䅁䅍䅁䑁䅁䅷䅁䙁䅁䅁䡁㍄湦䉊权杁䅁䅁允䅁䅁䅅䅁䭁䅁䅕䅁䵁䅉䅅䅁䑁䅁䅁睁䵁䅁䅁兂䅁䅁䅁浯偊兑䅯杆䅁䅁䅅䅁䉁䅁䅁兂卂䉵䘶ㄶ䥈睐杷允䅁䅁䅍䅁䑁䅁䅷䅁䙁䅁䅁䵁敃汙䉆权䱁䅁䅁允䅁䅁䅅䅁䭁䅁䅕䅁䵁䅉䅅䅁䑁䅁䅁睁䵁䅁䅁兂䅁䅁䅄浮削兑䅯睋䅁䅁䅅䅁䉁䅁䅁权䙁䅁䅁䍄䉁䅁䅁睁䅁䅁䅍䅄䅁䅁䅕䅁䅁䵁㡩啕䭅䉁䅯䅁䉁䅁䅁允䅁䅁䅯兂䅁䅁杷允䅁䅁䅍䅁䑁䅁䅷䅁䙁䅁䅁䅁坁啔䈹权杁䅁䅁允䅁䅁䅅䅁䭁䅁䅕䅁䵁䅉䅅䅁䑁䅁䅁睁䵁䅁䅁兂䅁䅁䅃坂剸兑䅯杂䅁䅁䅅䅁䉁䅁䅁权䙁䅁䅁䍄䉁䅁䅁睁䅁䅁䅍䅄䅁䅁䅕䅁䅁䅑㑔じ䭅䉁䅯䅁䉁䅁䅁允䅁䅁䅯兂䅁䅁杷允䅁䅁䅍䅁䑁䅁䅷䅁䙁䅁䅁䥁䕃噮䉂权䵁䅁䅁允䅁䅁䅅䅁䭁䅁䅕䅁䵁䅉䅅䅁䑁䅁䅁睁䵁䅁䅁兂䅁䅁䅁灦剸兑䅯睄䅁䅁䅅䅁䉁䅁䅁权䙁䅁䅁䍄䉁䅁䅁睁䅁䅁䅍䅄䅁䅁䅕䅁䅁䍑ㅏ䕕䭅䍁䅑䅁䉁䅁䅁允䅁䅁䅕呣䬰㘱睎呺䴸䅉䅅䅁䑁䅁䅁睁䵁䅁䅁兂䅁䅁䅃坂剸兑䅯睇䅁䅁䅅䅁䉁䅁䅁权䙁䅁䅁䍄䉁䅁䅁睁䅁䅁䅍䅄䅁䅁䅕䅁䅁䡁婩䕕䭅䍁䅕䅁䉁䅁䅁允䅁䅁䅯兂䅁䅁杷允䅁䅁䅍䅁䑁䅁䅷䅁䙁䅁䅁䥁䕃噮䉂权橁䅁䅁允䅁䅁䅅䅁䭁䅁䅕䅁䵁䅉䅅䅁䑁䅁䅁睁䵁䅁䅁兂䅁䅁䅁灚全兑䅯杂䅁䅁䅅䅁䉁䅁䅁权䙁䅁䅁䍄䉁䅁䅁睁䅁䅁䅍䅄䅁䅁䅕䅁䅁䡁婩䕕䭅䉁䅳䅁䉁䅁䅁允䅁䅁䅯兂䅁䅁杷允䅁䅁䅍䅁䑁䅁䅷䅁䙁䅁䅁䥁䕃噮䉂权湁䅁䅁允䅁䅁䅅䅁䭁䅁䅕䅁䵁䅉䅅䅁䑁䅁䅁睁䵁䅁䅁兂䅁䅁䅁歆倱兑䅯䅅䅁䅁䅅䅁䉁䅁䅁权剁䅁䅁䍄䉁䅁䅁睁䅁䅁䅍䅄䅁䅁䅕䅁䅁䡁婩䕕䭅䅁䄰䅁䉁䅁䅁允䅁䅁䅯权䅁䅁杷允䅁䅁䅍䅁䑁䅁䅷䅁䙁䅁䅁䥁佃噮䉂权牁䅁䅁允䅁䅁䅅䅁䭁䅁䅕䅁䵁䅉䅅䅁䑁䅁䅁睁䵁䅁䅁兂䅁䅁䅄煤兤兑䅯睄䅁䅁䅅䅁䉁䅁䅁权䙁䅁䅁䍄䉁䅁䅁睁䅁䅁䅍䅄䅁䅁䅕䅁䅁䥧獙啕䭅䉁䅁䅁䉁䅁䅁允䅁䅁䅯充䅁䅁杷允䅁䅁䅍䅁䑁䅁䅷䅁䙁䅁䅁䅁敄ㅵ䉆权允䅁䅁允䅁䅁䅅䅁䭁䕁䅕䅁䵁䅉䅅䅁䑁䅁䅁睁䵁䅁䅁兂䅁䅁䅁䩥公兑䅯睊䅁䅁䅅䅁䉁䅁䅁权䙁䅁䅁䍄䉁䅁䅁睁䅁䅁䅍䅄䅁䅁䅕䅁䅁䡑批䕕䭅䍁䅕䅁䉁䅁䅁允䅁䅁䅯兂䅁䅁杷允䅁䅁䅍䅁䑁䅁䅷䅁䙁䅁䅁䵁䱄洰䉎权䩁䅁䅁允䅁䅁䅅䅁䭁䅁䅯䅁䵁䅉䅅䅁䑁䅁䅁睁䵁䅁䅁兂䅁䅁䅃䩨儱兑䅯睃䅁䅁䅅䅁䉁䅁䅁权䙁䅁䅁䍄䉁䅁䅁睁䅁䅁䅍䅄䅁䅁䅕䅁䅁䝑愲䕕䭅䉁䅉䅁䉁䅁䅁允䅁䅁䅯充䅁䅁杷允䅁䅁䅍䅁䑁䅁䅷䅁䙁䅁䅁䥁䕃噮䉂权坁䅁䅁允䅁䅁䅅䅁䭁䅁䅕䅁䵁䅉䅅䅁䑁䅁䅁睁䵁䅁䅁兂䅁䅁䅃䩨儱兑䅯兇䅁䅁䅅䅁䉁䅁䅁权䙁䅁䅁䍄䉁䅁䅁睁䅁䅁䅍䅄䅁䅁䅕䅁䅁佷捳䕕䭅䅁䄸䅁䉁䅁䅁允䅁䉁䅑䅁䅁䅁䅁䅁䵁䅉䅅䅁䑁䅁䅁睁䵁䅁䅁兂䅁䅁䅂㝉兖兑䅯兄䅁䅁䅅䅁䉁䅁䅁权剁䅁䅁䍄䉁䅁䅁睁䅁䅁䅍䅄䅁䅁䅕䅁䅁䡑婏䕕䭅䅁䅣䅁䉁䅁䅁允䅁䅁䅯兂䅁䅁杷允䅁䅁䅍䅁䑁䅁䅷䅁䙁䅁䅁䅁坁啔䈹权敁䅁䅁允䅁䅁䅅䅁䭁䅁䅕䅁䵁䅉䅅䅁䑁䅁䅁睁䵁䅁䅁兂䅁䅁䅃㕷全兑䅯䅃䅁䅁䅅䅁䉁䅁䅁权䙁䅁䅁䍄䉁䅁䅁睁䅁䅁䅍䅄䅁䅁䅕䅁䅁䥧獙啕䭅䍁䅉䅁䉁䅁䅁允䅁䅁䅯兂䅁䅁杷允䅁䅁䅍䅁䑁䅁䅷䅁䙁䅁䅁䵁牄䙈䉂权湁䅁䅁允䅁䅁䅅䅁䙁乁橥䑣䬰眱䅎䍄䉁䅁䅁睁䅁䅁䅍䅄䅁䅁䅕䅁䅁乁㜶啕䭅䍁䅣䅁䉁䅁䅁允䅁䅁䅯兂䅁䅁杷允䅁䅁䅍䅁䑁䅁䅷䅁䙁䅁䅁䅁㍁ㅬ䉂权䩁䅁䅁允䅁䅁䅅䅁䭁䅁䅯䅁䵁䅉䅅䅁䑁䅁䅁睁䵁䅁䅁兂䅁䅁䅃㕷全兑䅯䅉䅁䅁䅅䅁䉁䅁䅁权䙁䅁䅁䍄䉁䅁䅁睁䅁䅁䅍䅄䅁䅁䅕䅁䅁䵧奏䕕䭅䅁䅙䅁䉁䅁䅁允䅁䅁䅯兂䅁䅁杷允䅁䅁䅍䅁䑁䅁䅷䅁䙁䅁䅁䕁瑂汭䉂权婁䅁䅁允䅁䅁䅅䅁䭁䅁䅕䅁䵁䅉䅅䅁䑁䅁䅁睁䵁䅁䅁兂䅁䅁䅃灪儱兑䅯睇䅁䅁䅅䅁䉁䅁䅁权䙁䅁䅁䍄䉁䅁䅁睁䅁䅁䅍䅄䅁䅁䅕䅁䅁䭁䘷䕕䭅䍁䅍䅁䉁䅁䅁允䅁䅁䅯兂䅁䅁杷允䅁䅁䅍䅁䑁䅁䅷䅁䙁䅁䅁䅁敃汋䉆权敁䅁䅁允䅁䅁䅅䅁䭁䅁䅕䅁䵁䅉䅅䅁䑁䅁䅁睁䵁䅁䅁兂䅁䅁䅃灪儱兑䅯睂䅁䅁䅅䅁䉁䅁䅁权䙁䅁䅁䍄䉁䅁䅁睁䅁䅁䅍䅄䅁䅁䅕䅁䅁䍑ㅏ䕕䭅䉁䅣䅁䉁䅁䅁允䅁䅁䅯充䅁䅁杷允䅁䅁䅍䅁䑁䅁䅷䅁䙁䅁䅁䕁穂噭䉂权牁䅁䅁允䅁䅁䅅䅁䭁䅁䅕䅁䵁䅉䅅䅁䑁䅁䅁睁䵁䅁䅁兂䅁䅁䅃灪儱兑䅯䅉䅁䅁䅅䅁䉁䅁䅁兂㝂䭆䠵場啱睐杷允䅁䅁䅍䅁䑁䅁䅷䅁䙁䅁䅁䅁楃歙䈹权潁䅁䅁允䅁䅁䅅䅁䭁䅁䅕䅁䵁䅉䅅䅁䑁䅁䅁睁䵁䅁䅁兂䅁䅁䅂婢兰兑䅯䅃䅁䅁䅅䅁䉁䅁䅁权䙁䅁䅁䍄䉁䅁䅁睁䅁䅁䅍䅄䅁䅁䅕䅁䅁䵷卶す䭅䍁䅁䅁䉁䅁䅁允䅁䅁䅯兂䅁䅁杷允䅁䅁䅍䅁䑁䅁䅷䅁䙁䅁䅁䅁浂䙭䉂权允䅁䅁允䅁䅁䅅䅁䭁䍁䅅䅁䵁䅉䅅䅁䑁䅁䅁睁䵁䅁䅁兂䅁䅁䅂娱兰兑䅯䅋䅁䅁䅅䅁䉁䅁䅁权䙁䅁䅁䍄䉁䅁䅁睁䅁䅁䅍䅄䅁䅁䅕䅁䅁䑑慭䕕䭅䅁䅳䅁䉁䅁䅁允䅁䅁䅯兂䅁䅁杷允䅁䅁䅍䅁䑁䅁䅷䅁䙁䅁䅁䅁敃汋䉆权橁䅁䅁允䅁䅁䅅䅁䭁䅁䅕䅁䵁䅉䅅䅁䑁䅁䅁睁䵁䅁䅁兂䅁䅁䅄砶典兑䅯䅆䅁䅁䅅䅁䉁䅁䅁权䙁䅁䅁䍄䉁䅁䅁睁䅁䅁䅍䅄䅁䅁䅕䅁䅁䥧獙啕䭅䅁䅑䅁䉁䅁䅁允䅁䅁䅯兂䅁䅁杷允䅁䅁䅍䅁䑁䅁䅷䅁䙁䅁䅁䥁佃噮䉂权歁䅁䅁允䅁䅁䅅䅁䙁䅁塲㍯㥁牃⽣䍄䉁䅁䅁睁䅁䅁䅍䅄䅁䅁䅕䅁䅁䥧搶䕕䭅䉁䄸䅁䉁䅁䅁允䅁䅁䅯兂䅁䅁杷允䅁䅁䅍䅁䑁䅁䅷䅁䙁䅁䅁䅁⭂䙮䉆权橁䅁䅁允䅁䅁䅅䅁䭁䅁䅕䅁䵁䅉䅅䅁䑁䅁䅁睁䵁䅁䅁兂䅁䅁䅂娱兰兑䅯睉䅁䅁䅅䅁䉁䅁䅁权䙁䅁䅁䍄䉁䅁䅁睁䅁䅁䅍䅄䅁䅁䅕䅁䅁䩁焴啕䭅䅁䅷䅁䉁䅁䅁允䅁䅁䅯兂䅁䅁杷允䅁䅁䅍䅁䑁䅁䅷䅁䙁䅁䅁䅁䥄䙶䉆权偁䅁䅁允䅁䅁䅅䅁䭁䅁䅕䅁䵁䅉䅅䅁䑁䅁䅁睁䵁䅁䅁兂䅁䅁䅄㥹橊兑䅯睉䅁䅁䅅䅁䉁䅁䅁权䙁䅁䅁䍄䉁䅁䅁睁䅁䅁䅍䅄䅁䅁䅕䅁䅁䥧搶䕕䭅䅁䄴䅁䉁䅁䅁允䅁䅁䅕䅁䅁䅁䅁䕏䵁䅉䅅䅁䑁䅁䅁睁䵁䅁䅁兂䅁䅁䅄浮削兑䅯䅂䅁䅁䅅䅁䉁䅁䅁权䙁䅁䅁䍄䉁䅁䅁睁䅁䅁䅍䅄䅁䅁䅕䅁䅁䑧婗䕕䭅䍁䅁䅁䉁䅁䅁允䅁䅁䅕䉵䘶ㄶ㑇橺䴸䅉䅅䅁䑁䅁䅁睁䵁䅁䅁兂䅁䅁䅃灪儱兑䅯兇䅁䅁䅅䅁䉁䅁䅁权䙁䅁䅁䍄䉁䅁䅁睁䅁䅁䅍䅄䅁䅁䅕䅁䅁佷捳䕕䭅䅁䄴䅁䉁䅁䅁允䅁䅁䅕䘷㑇潈牘吰䴸䅉䅅䅁䑁䅁䅁睁䵁䅁䅁兂䅁䅁䅃汆㜵兑䅯䅊䅁䅁䅅䅁䉁䅁䅁权䙁䅁䅁䍄䉁䅁䅁睁䅁䅁䅍䅄䅁䅁䅕䅁䅁䡁挶啕䭅䉁䅑䅁䉁䅁䅁允䅁䅁䅯兂䅁䅁杷允䅁䅁䅍䅁䑁䅁䅷䅁䙁䅁䅁䅁畃噸䉂权塁䅁䅁允䅁䅁䅅䅁䭁䑁䅙䅁䵁䅉䅅䅁䑁䅁䅁睁䵁䅁䅁兂䅁䅁䅂㝉兖兑䅯䅋䅁䅁䅅䅁䉁䅁䅁权䙁䅁䅁䍄䉁䅁䅁睁䅁䅁䅍䅄䅁䅁䅕䅁䅁䝑愲䕕䭅䉁䅑䅁䉁䅁䅁允䅁䅁䅯兂䅁䅁杷允䅁䅁䅍䅁䑁䅁䅷䅁䙁䅁䅁䅁浂䙭䉂权十䅁䅁允䅁䅁䅅䅁䭁䑁䅣䅁䵁䅉䅅䅁䑁䅁䅁睁䵁䅁䅁兂䅁䅁䅃っ偂兑䅯杅䅁䅁䅅䅁䉁䅁䅁权剁䅁䅁䍄䉁䅁䅁睁䅁䅁䅍䅄䅁䅁䅕䅁䅁䩑摃䕕䭅䉁䅉䅁䉁䅁䅁允䅁䅁䅯杕䅁䅁杷允䅁䅁䅍䅁䑁䅁䅷䅁䙁䅁䅁䵁畄噭䉂权允䅁䅁允䅁䅁䅅䅁䭁䉁䅅䅁䵁䅉䅅䅁䑁䅁䅁睁䵁䅁䅁兂䅁䅁䅁爳剴兑䅯兄䅁䅁䅅䅁䉁䅁䅁权䙂䅁䅁䍄䉁䅁䅁睁䅁䅁䅍䅄䅁䅁䅕䅁䅁䭁䘷䕕䭅䍁䅧䅁䉁䅁䅁允䅁䅁䅯兂䅁䅁杷允䅁䅁䅍䅁䑁䅁䅷䅁䙁䅁䅁䅁浂䙭䉂权流䅁䅁允䅁䅁䅅䅁䭁䅁䅕䅁䵁䅉䅅䅁䑁䅁䅁睁䵁䅁䅁兂䅁䅁䅁灚全兑䅯睊䅁䅁䅅䅁䉁䅁䅁权䙁䅁䅁䍄䉁䅁䅁睁䅁䅁䅍䅄䅁䅁䅕䅁䅁䩷椵啕䭅䍁䅉䅁䉁䅁䅁允䅁䅁䅯兂䅁䅁杷允䅁䅁䅍䅁䑁䅁䅷䅁䙁䅁䅁䅁䥄䙶䉆权扁䅁䅁允䅁䅁䅅䅁䭁䅁䅕䅁䵁䅉䅅䅁䑁䅁䅁睁䵁䅁䅁兂䅁䅁䅃婎公兑䅯䅆䅁䅁䅅䅁䉁䅁䅁权䙁䅁䅁䍄䉁䅁䅁睁䅁䅁䅍䅄䅁䅁䅕䅁䅁䉁乚ご䭅䉁䅉䅁䉁䅁䅁允䅁䅁䅯充䅁䅁杷允䅁䅁䅍䅁䑁䅁䅷䅁䙁䅁䅁䕁㕁汭䉂权十䅁䅁允䅁䅁䅅䅁䭁䑁䄴䅁䵁䅉䅅䅁䑁䅁䅁睁䵁䅁䅁兂䅁䅁䅁䱹剸兑䅯䅉䅁䅁䅅䅁䉁䅁䅁权䙁䅁䅁䍄䉁䅁䅁睁䅁䅁䅍䅄䅁䅁䅕䅁䅁䝁奡䕕䭅䍁䅧䅁䉁䅁䅁允䅁䅁䅯兂䅁䅁杷允䅁䅁䅍䅁䑁䅁䅷䅁䙁䅁䅁䵁㉂ㅰ䉂权䕁䅁䅁允䅁䅁䅅䅁䭁䅁䅕䅁䵁䅉䅅䅁䑁䅁䅁睁䵁䅁䅁兂䅁䅁䅃楨剸兑䅯睋䅁䅁䅅䅁䉁䅁䅁权䙁䅁䅁䍄䉁䅁䅁睁䅁䅁䅍䅄䅁䅁䅕䅁䅁䩷椵啕䭅䍁䅑䅁䉁䅁䅁允䅁䅁䅕噋偹癷潕䑺䴸䅉䅅䅁䑁䅁䅁睁䵁䅁䅁兂䅁䅁睂㌹礵兑䅯睊䅁䅁䅅䅁䉁䅁䅁权䙁䅁䅁䍄䉁䅁䅁睁䅁䅁䅍䅄䅁䅁䅕䅁䅁䑑慭䕕䭅䉁䄸䅁䉁䅁䅁允䅁䅁䅯兂䅁䅁杷允䅁䅁䅍䅁䑁䅁䅷䅁䙁䅁䅁䅁敃汋䉆权捁䅁䅁允䅁䅁䅅䅁䭁䅁䅕䅁䵁䅉䅅䅁䑁䅁䅁睁䵁䅁䅁兂䅁䅁䅁䩢兴兑䅯睇䅁䅁䅅䅁䉁䅁䅁权䙁䅁䅁䍄䉁䅁䅁睁䅁䅁䅍䅄䅁䅁䅕䅁䅁䡑婏䕕䭅䉁䅁䅁䉁䅁䅁允䅁䅁䅯权䅁䅁杷允䅁䅁䅍䅁䑁䅁䅷䅁䙁䅁䅁䵁㉂ㅰ䉂权婁䅁䅁允䅁䅁䅅䅁䭁䅁䅕䅁䵁䅉䅅䅁䑁䅁䅁睁䵁䅁䅁兂䅁䅁䅄灣公兑䅯杇䅁䅁䅅䅁䉁䅁䅁权䙁䅁䅁䍄䉁䅁䅁睁䅁䅁䅍䅄䅁䅁䅕䅁䅁䡑婏䕕䭅䍁䅍䅁䉁䅁䅁允䅁䅁䅯兂䅁䅁杷允䅁䅁䅍䅁䑁䅁䅷䅁䙁䅁䅁䵁㉂ㅰ䉂权十䅁䅁允䅁䅁䅅䅁䭁䑁䄰䅁䵁䅉䅅䅁䑁䅁䅁睁䵁䅁䅁兂䅁䅁䅁䩥公兑䅯杇䅁䅁䅅䅁䉁䅁䅁权䙁䅁䅁䍄䉁䅁䅁睁䅁䅁䅍䅄䅁䅁䅕䅁䅁佷娶䕕䭅䉁䅣䅁䉁䅁䅁允䅁䅁䅯充䅁䅁杷允䅁䅁䅍䅁䑁䅁䅷䅁䙁䅁䅁䕁橁噴䉂权晁䅁䅁允䅁䅁䅅䅁䭁䅁䅕䅁䵁䅉䅅䅁䑁䅁䅁睁䵁䅁䅁兂䅁䅁䅃坂剸兑䅯睊䅁䅁䅅䅁䉁䅁䅁权䙁䅁䅁䍄䉁䅁䅁睁䅁䅁䅍䅄䅁䅁䅕䅁䅁佷娶䕕䭅䍁䅁䅁䉁䅁䅁允䅁䅁䅕䅁䅁䅁䅁䐰䴸䅉䅅䅁䑁䅁䅁睁䵁䅁䅁兂䅁䅁䅃楨剸兑䅯䅉䅁䅁䅅䅁䉁䅁䅁权䙁䅁䅁䍄䉁䅁䅁睁䅁䅁䅍䅄䅁䅁䅕䅁䅁䩷椵啕䭅䉁䄴䅁䉁䅁䅁允䅁䅁䅕䥘䌯匹捨㡈䵁䅉䅅䅁䑁䅁䅁睁䵁䅁䅁兂䅁䅁䅄瀷公兑䅯杊䅁䅁䅅䅁䉁䅁䅁权䙁䅁䅁䍄䉁䅁䅁睁䅁䅁䅍䅄䅁䅁䅕䅁䅁䵁慭䕕䭅䉁䅫䅁䉁䅁䅁允䅁䅁䅕呣䬰㘱睐問䵁䅉䅅䅁䑁䅁䅁睁䵁䅁䅁兂䅁䅁䅂娱兰兑䅯杅䅁䅁䅅䅁䉁䅁䅁权剁䅁䅁䍄䉁䅁䅁睁䅁䅁䅍䅄䅁䅁䅕䅁䅁佷娶䕕䭅䅁䅑䅁䉁䅁䅁允䅁䅁䅯兂䅁䅁杷允䅁䅁䅍䅁䑁䅁䅷䅁䙁䅁䅁䕁噄汭䉂权湁䅁䅁允䅁䅁䅅䅁啁䅁䅁䅁䅁䅁䅁䍄䉁䅁䅁睁䅁䅁䅍䅄䅁䅁䅕䅁䅁䩑摃䕕䭅䉁䅯䅁䉁䅁䅁允䅁䅁䅯兂䅁䅁杷允䅁䅁䅍䅁䑁䅁䅷䅁䙁䅁䅁䥁䙁䙢䉆权允䅁䅁允䅁䅁䅅䅁䭁䉁䅅䅁䵁䅉䅅䅁䑁䅁䅁睁䵁䅁䅁兂䅁䅁䅄慏兎兑䅯杉䅁䅁䅅䅁䉁䅁䅁权䙁䅁䅁䍄䉁䅁䅁睁䅁䅁䅍䅄䅁䅁䅕䅁䅁䑧婗䕕䭅䉁䄸䅁䉁䅁䅁允䅁䅁䅯兂䅁䅁杷允䅁䅁䅍䅁䑁䅁䅷䅁䙁䅁䅁䥁穂䕑䈹权湁䅁䅁允䅁䅁䅅䅁䙁䵁ㅐ䙋偹獷⽕䍄䉁䅁䅁睁䅁䅁䅍䅄䅁䅁䅕䅁䅁䑧婗䕕䭅䅁䅫䅁䉁䅁䅁允䅁䅁䅯䅑䅁䅁杷允䅁䅁䅍䅁䑁䅁䅷䅁䙁䅁䅁䵁祂噭䉂权䵁䅁䅁允䅁䅁䅅䅁䭁䅁䅕䅁䵁䅉䅅䅁䑁䅁䅁睁䵁䅁䅁兂䅁䅁䅁䱹剸兑䅯睋䅁䅁䅅䅁䉁䅁䅁权䙁䅁䅁䍄䉁䅁䅁睁䅁䅁䅍䅄䅁䅁䅕䅁䅁乁戴啗䭅䅁䄸䅁䉁䅁䅁允䅁䅁䅕体㙆䭆䠵吶䴸䅉䅅䅁䑁䅁䅁睁䵁䅁䅁兂䅁䅁䅄瀷公兑䅯兊䅁䅁䅅䅁䉁䅁䅁权䙁䅁䅁䍄䉁䅁䅁睁䅁䅁䅍䅄䅁䅁䅕䅁䅁䍑ㅏ䕕䭅䍁䅣䅁䉁䅁䅁允䅁䅁䅕体㙆䭆䠵う䵁䅉䅅䅁䑁䅁䅁睁䵁䅁䅁兂䅁䅁䅄瀷公兑䅯睊䅁䅁䅅䅁䉁䅁䅁兂灁䥘䌯匹歪睶杷允䅁䅁䅍䅁䑁䅁䅷䅁䙁䅁䅁䅁獂ㅭ䉂权歁䅁䅁允䅁䅁䅅䅁䭁䅁䅕䅁䵁䅉䅅䅁䑁䅁䅁睁䵁䅁䅁兂䅁䅁䅂偂晨兑䅯䅄䅁䅁䅅䅁䉁䅁䅁权䙁䅁䅁䍄䉁䅁䅁睁䅁䅁䅍䅄䅁䅁䅕䅁䅁乁戴啗䭅䍁䅕䅁䉁䅁䅁允䅁䅁䅯兂䅁䅁杷允䅁䅁䅍䅁䑁䅁䅷䅁䙁䅁䅁䵁㕁ㅯ䉂权湁䅁䅁允䅁䅁䅅䅁䭁䅁䅕䅁䵁䅉䅅䅁䑁䅁䅁睁䵁䅁䅁兂䅁䅁䅁䩥公兑䅯兇䅁䅁䅅䅁䉁䅁䅁权䙁䅁䅁䍄䉁䅁䅁睁䅁䅁䅍䅄䅁䅁䅕䅁䅁佷娶䕕䭅䍁䅑䅁䉁䅁䅁允䅁䅁䅕体㙆䭆䠵吶䴸䅉䅅䅁䑁䅁䅁睁䵁䅁䅁兂䅁䅁䅄灣公兑䅯睃䅁䅁䅅䅁䉁䅁䅁权䙁䅁䅁䍄䉁䅁䅁睁䅁䅁䅍䅄䅁䅁䅕䅁䅁䑷橭䕕䭅䍁䅑䅁䉁䅁䅁允䅁䅁䅯兂䅁䅁杷允䅁䅁䅍䅁䑁䅁䅷䅁䙁䅁䅁䅁敄ㅵ䉆权䩁䅁䅁允䅁䅁䅅䅁䭁䕁䅕䅁䵁䅉䅅䅁䑁䅁䅁睁䵁䅁䅁兂䅁䅁䅂婏兰兑䅯睊䅁䅁䅅䅁䉁䅁䅁权䙁䅁䅁䍄䉁䅁䅁睁䅁䅁䅍䅄䅁䅁䅕䅁䅁䩁焴啕䭅䅁䄰䅁䉁䅁䅁允䅁䅁䅯充䅁䅁杷允䅁䅁䅍䅁䑁䅁䅷䅁䙁䅁䅁䥁穂䕑䈹权偁䅁䅁允䅁䅁䅅䅁䙁䥁牘払敧晨⽳䍄䉁䅁䅁睁䅁䅁䅍䅄䅁䅁䅕䅁䅁佷娶䕕䭅䉁䄸䅁䉁䅁䅁允䅁䅁䅯兂䅁䅁杷允䅁䅁䅍䅁䑁䅁䅷䅁䙁䅁䅁䕁噄汭䉂权偁䅁䅁允䅁䅁䅅䅁䭁䅁䅕䅁䵁䅉䅅䅁䑁䅁䅁睁䵁䅁䅁兂䅁䅁䅄煤兤兑䅯䅅䅁䅁䅅䅁䉁䅁䅁权㡁䅁䅁䍄䉁䅁䅁睁䅁䅁䅍䅄䅁䅁䅕䅁䅁乁㜶啕䭅䅁䅷䅁䉁䅁䅁允䅁䅁䅯兂䅁䅁杷允䅁䅁䅍䅁䑁䅁䅷䅁䙁䅁䅁䥁坁湘䉴权䝁䅁䅁允䅁䅁䅅䅁䭁䅁䅕䅁䵁䅉䅅䅁䑁䅁䅁睁䵁䅁䅁兂䅁䅁䅃㕷全兑䅯杈䅁䅁䅅䅁䉁䅁䅁权䙁䅁䅁䍄䉁䅁䅁睁䅁䅁䅍䅄䅁䅁䅕䅁䅁䍑ㅏ䕕䭅䉁䄴䅁䉁䅁䅁允䅁䅁䅕積積積積歈䵁䅉䅅䅁䑁䅁䅁睁䵁䅁䅁兂䅁䅁䅁䩥公兑䅯杉䅁䅁䅅䅁䉁䅁䅁权䙁䅁䅁䍄䉁䅁䅁睁䅁䅁䅍䅄䅁䅁䅕䅁䅁䅧獖啕䭅䍁䅁䅁䉁䅁䅁允䅁䅁䅯兂䅁䅁杷允䅁䅁䅍䅁䑁䅁䅷䅁䙁䅁䅁䵁畄噭䉂权潁䅁䅁允䅁䅁䅅䅁䭁䅁䅕䅁䵁䅉䅅䅁䑁䅁䅁睁䵁䅁䅁兂䅁䅁䅂㝉兖兑䅯杉䅁䅁䅅䅁䉁䅁䅁兂獄払敧敨噳䅑杷允䅁䅁䅍䅁䑁䅁䅷䅁䙁䅁䅁䵁畄噭䉂权慁䅁䅁允䅁䅁䅅䅁䭁䅁䅕䅁䵁䅉䅅䅁䑁䅁䅁睁䵁䅁䅁兂䅁䅁䅄瀷公兑䅯兇䅁䅁䅅䅁䉁䅁䅁权䙁䅁䅁䍄䉁䅁䅁睁䅁䅁䅍䅄䅁䅁䅕䅁䅁䱧坵䕕䭅䍁䅁䅁䉁䅁䅁允䅁䅁䅕児塲㍯㥁樴䴸䅉䅅䅁䑁䅁䅁睁䵁䅁䅁兂䅁䅁䅁獲兖兑䅯杄䅁䅁䅅䅁䉁䅁䅁权䙁䅁䅁䍄䉁䅁䅁睁䅁䅁䅍䅄䅁䅁䅕䅁䅁䩁焴啕䭅䅁䅫䅁䉁䅁䅁允䅁䅁䅯䅌䅁䅁杷允䅁䅁䅍䅁䑁䅁䅷䅁䙁䅁䅁䅁坁啔䈹权扁䅁䅁允䅁䅁䅅䅁䭁䅁䅕䅁䵁䅉䅅䅁䑁䅁䅁睁䵁䅁䅁兂䅁䅁䅃㕷全兑䅯兄䅁䅁䅅䅁䉁䅁䅁权剁䅁䅁䍄䉁䅁䅁睁䅁䅁䅍䅄䅁䅁䅕䅁䅁䵧奏䕕䭅䉁䅁䅁䉁䅁䅁允䅁䅁䅯充䅁䅁杷允䅁䅁䅍䅁䑁䅁䅷䅁䙁䅁䅁䅁楃歙䈹权歁䅁䅁允䅁䅁䅅䅁䙁䍁捬㡪ㅌ䍱䅬䍄䉁䅁䅁睁䅁䅁䅍䅄䅁䅁䅕䅁䅁乁戴啗䭅䍁䅑䅁䉁䅁䅁允䅁䅁䅕䡰㥁瑃䑥䕒䵁䅉䅅䅁䑁䅁䅁睁䵁䅁䅁兂䅁䅁䅃㕷全兑䅯䅆䅁䅁䅅䅁䉁䅁䅁权䙁䅁䅁䍄䉁䅁䅁睁䅁䅁䅍䅄䅁䅁䅕䅁䅁䉧敚づ䭅䉁䅙䅁䉁䅁䅁允䅁䅁䅯兂䅁䅁杷允䅁䅁䅍䅁䑁䅁䅷䅁䙁䅁䅁䥁䑄䙭䉂权捁䅁䅁允䅁䅁䅅䅁䭁䅁䅕䅁䵁䅉䅅䅁䑁䅁䅁睁䵁䅁䅁兂䅁䅁䅁浯偊兑䅯睃䅁䅁䅅䅁䉁䅁䅁兂硂児塲㍯乄睐杷允䅁䅁䅍䅁䑁䅁䅷䅁䙁䅁䅁䥁䑄䙭䉂权楁䅁䅁允䅁䅁䅅䅁䭁䅁䅕䅁䵁䅉䅅䅁䑁䅁䅁睁䵁䅁䅁兂䅁䅁䅄砶典兑䅯元䅁䅁䅅䅁䉁䅁䅁权㙁䅁䅁䍄䉁䅁䅁睁䅁䅁䅍䅄䅁䅁䅕䅁䅁䥧獙啕䭅䅁䅙䅁䉁䅁䅁允䅁䅁䅯兂䅁䅁杷允䅁䅁䅍䅁䑁䅁䅷䅁䙁䅁䅁䅁䥄䙶䉆权湁䅁䅁允䅁䅁䅅䅁䭁䅁䅕䅁䵁䅉䅅䅁䑁䅁䅁睁䵁䅁䅁兂䅁䅁䅃㕵党兑䅯杊䅁䅁䅅䅁䉁䅁䅁䅆䅁䅁䅁䅁䅁䅁杷允䅁䅁䅍䅁䑁䅁䅷䅁䙁䅁䅁䥁䑄䙭䉂权䵁䅁䅁允䅁䅁䅅䅁䭁䅁䅕䅁䵁䅉䅅䅁䑁䅁䅁睁䵁䅁䅁兂䅁䅁䅂䩫儱兑䅯䅂䅁䅁䅅䅁䉁䅁䅁权䙁䅁䅁䍄䉁䅁䅁睁䅁䅁䅍䅄䅁䅁䅕䅁䅁䑧婗䕕䭅䉁䅷䅁䉁䅁䅁允䅁䅁䅕硥畓⭒䭆啕䵁䅉䅅䅁䑁䅁䅁睁䵁䅁䅁兂䅁䅁䅂䩫儱兑䅯䅈䅁䅁䅅䅁䉁䅁䅁兂硂児塲㍯摄睐杷允䅁䅁䅍䅁䑁䅁䅷䅁䙁䅁䅁䥁䑄䙭䉂权汁䅁䅁允䅁䅁䅅䅁䭁䅁䅕䅁䵁䅉䅅䅁䑁䅁䅁睁䵁䅁䅁兂䅁䅁䅃汆㜵兑䅯杊䅁䅁䅅䅁䉁䅁䅁权䙁䅁䅁䍄䉁䅁䅁睁䅁䅁䅍䅄䅁䅁䅕䅁䅁䭁楊ご䭅䍁䅳䅁䉁䅁䅁允䅁䅁䅕灭婭婭婭呱䴸䅉䅅䅁䑁䅁䅁睁䵁䅁䅁兂䅁䅁䅃㕷全兑䅯睃䅁䅁䅅䅁䉁䅁䅁权䙁䅁䅁䍄䉁䅁䅁睁䅁䅁䅍䅄䅁䅁䅕䅁䅁䝑愲䕕䭅䉁䅯䅁䉁䅁䅁允䅁䅁䅯兂䅁䅁杷允䅁䅁䅍䅁䑁䅁䅷䅁䙁䅁䅁䥁䑄䙭䉂权䕁䅁䅁允䅁䅁䅅䅁䭁䅁䅕䅁䵁䅉䅅䅁䑁䅁䅁睁䵁䅁䅁兂䅁䅁䅃㕷全兑䅯杇䅁䅁䅅䅁䉁䅁䅁权䙁䅁䅁䍄䉁䅁䅁睁䅁䅁䅍䅄䅁䅁䅕䅁䅁䡑批䕕䭅䅁䅫䅁䉁䅁䅁允䅁䅁䅯睓䅁䅁杷允䅁䅁䅍䅁䑁䅁䅷䅁䙁䅁䅁䵁㕁ㅯ䉂权扁䅁䅁允䅁䅁䅅䅁䭁䅁䅕䅁䵁䅉䅅䅁䑁䅁䅁睁䵁䅁䅁兂䅁䅁睂㌹礵兑䅯䅋䅁䅁䅅䅁䉁䅁䅁权䙁䅁䅁䍄䉁䅁䅁睁䅁䅁䅍䅄䅁䅁䅕䅁䅁䡷湡䕕䭅䅁䅙䅁䉁䅁䅁允䅁䅁䅯兂䅁䅁杷允䅁䅁䅍䅁䑁䅁䅷䅁䙁䅁䅁䅁㍁ㅬ䉂权潁䅁䅁允䅁䅁䅅䅁䭁䅁䅕䅁䵁䅉䅅䅁䑁䅁䅁睁䵁䅁䅁兂䅁䅁䅂㝉兖兑䅯䅆䅁䅁䅅䅁䉁䅁䅁权䙁䅁䅁䍄䉁䅁䅁睁䅁䅁䅍䅄䅁䅁䅕䅁䅁䵧奏䕕䭅䍁䅳䅁䉁䅁䅁允䅁䅁䅯兂䅁䅁杷允䅁䅁䅍䅁䑁䅁䅷䅁䙁䅁䅁䥁䑄䙭䉂权婁䅁䅁允䅁䅁䅅䅁䭁䅁䅕䅁䵁䅉䅅䅁䑁䅁䅁睁䵁䅁䅁兂䅁䅁䅁浯偊兑䅯睂䅁䅁䅅䅁䉁䅁䅁权䙁䅁䅁䍄䉁䅁䅁睁䅁䅁䅍䅄䅁䅁䅕䅁䅁䑧婗䕕䭅䉁䅫䅁䉁䅁䅁允䅁䅁䅯兂䅁䅁杷允䅁䅁䅍䅁䑁䅁䅷䅁䙁䅁䅁䅁⭂䙮䉆权晁䅁䅁允䅁䅁䅅䅁䭁䅁䅕䅁䵁䅉䅅䅁䑁䅁䅁睁䵁䅁䅁兂䅁䅁䅁㕎兤兑䅯䅉䅁䅁䅅䅁䉁䅁䅁兂㝂䭆䠵場ぱ睐杷允䅁䅁䅍䅁䑁䅁䅷䅁䙁䅁䅁䵁祂噭䉂权捁䅁䅁允䅁䅁䅅䅁䭁䅁䅕䅁䵁䅉䅅䅁䑁䅁䅁睁䵁䅁䅁兂䅁䅁䅁䩥公兑䅯睂䅁䅁䅅䅁䉁䅁䅁权䙁䅁䅁䍄䉁䅁䅁睁䅁䅁䅍䅄䅁䅁䅕䅁䅁䱧坵䕕䭅䍁䅣䅁䉁䅁䅁允䅁䅁䅕体㙆䭆䠵戯䴸䅉䅅䅁䑁䅁䅁睁䵁䅁䅁兂䅁䅁䅁楮剰兑䅯睊䅁䅁䅅䅁䉁䅁䅁权䙁䅁䅁䍄䉁䅁䅁睁䅁䅁䅍䅄䅁䅁䅕䅁䅁䅧獖啕䭅䅁䅑䅁䉁䅁䅁允䅁䅁䅯兂䅁䅁杷允䅁䅁䅍䅁䑁䅁䅷䅁䙁䅁䅁䅁䥄䙶䉆权䩁䅁䅁允䅁䅁䅅䅁䭁䅁䅯䅁䵁䅉䅅䅁䑁䅁䅁睁䵁䅁䅁兂䅁䅁䅄煤兤兑䅯兄䅁䅁䅅䅁䉁䅁䅁权㡁䅁䅁䍄䉁䅁䅁睁䅁䅁䅍䅄䅁䅁䅕䅁䅁䭁楊ご䭅䉁䅳䅁䉁䅁䅁允䅁䅁䅕牕敧敨剴䐯䴸䅉䅅䅁䑁䅁䅁睁䵁䅁䅁兂䅁䅁䅄砶典兑䅯䅂䅁䅁䅅䅁䉁䅁䅁权䙁䅁䅁䍄䉁䅁䅁睁䅁䅁䅍䅄䅁䅁䅕䅁䅁䡧䅎ご䭅䉁䄸䅁䉁䅁䅁允䅁䅁䅯兂䅁䅁杷允䅁䅁䅍䅁䑁䅁䅷䅁䙁䅁䅁䵁㉂ㅰ䉂权扁䅁䅁允䅁䅁䅅䅁䭁䅁䅕䅁䵁䅉䅅䅁䑁䅁䅁睁䵁䅁䅁兂䅁䅁䅁䩢兴兑䅯杊䅁䅁䅅䅁䉁䅁䅁权䙁䅁䅁䍄䉁䅁䅁睁䅁䅁䅍䅄䅁䅁䅕䅁䅁䡁挶啕䭅䉁䅣䅁䉁䅁䅁允䅁䅁䅯充䅁䅁杷允䅁䅁䅍䅁䑁䅁䅷䅁䙁䅁䅁䅁敃汋䉆权晁䅁䅁允䅁䅁䅅䅁䭁䅁䅕䅁䵁䅉䅅䅁䑁䅁䅁睁䵁䅁䅁兂䅁䅁䅂婏兰兑䅯睄䅁䅁䅅䅁䉁䅁䅁兂㑃潈牘払敪睐杷允䅁䅁䅍䅁䑁䅁䅷䅁䙁䅁䅁䵁㉂ㅰ䉂权䥁䅁䅁允䅁䅁䅅䅁䭁䅁䅕䅁䵁䅉䅅䅁䑁䅁䅁睁䵁䅁䅁兂䅁䅁䅂㕣公兑䅯睃䅁䅁䅅䅁䉁䅁䅁权䙁䅁䅁䍄䉁䅁䅁睁䅁䅁䅍䅄䅁䅁䅕䅁䅁䉧敚づ䭅䍁䅧䅁䉁䅁䅁允䅁䅁䅯兂䅁䅁杷允䅁䅁䅍䅁䑁䅁䅷䅁䙁䅁䅁䵁㕁ㅯ䉂权橁䅁䅁允䅁䅁䅅䅁䭁䅁䅕䅁䵁䅉䅅䅁䑁䅁䅁睁䵁䅁䅁兂䅁䅁睂㌹礵兑䅯杉䅁䅁䅅䅁䉁䅁䅁权䙁䅁䅁䍄䉁䅁䅁睁䅁䅁䅍䅄䅁䅁䅕䅁䅁䡷湡䕕䭅䍁䅙䅁䉁䅁䅁允䅁䅁䅯兂䅁䅁杷允䅁䅁䅍䅁䑁䅁䅷䅁䙁䅁䅁䥁㝃汬䉂权歁䅁䅁允䅁䅁䅅䅁䙁䕁桪桥畓⽒⼰䍄䉁䅁䅁睁䅁䅁䅍䅄䅁䅁䅕䅁䅁䡷湡䕕䭅䅁䅷䅁䉁䅁䅁允䅁䅁䅯兂䅁䅁杷允䅁䅁䅍䅁䑁䅁䅷䅁䙁䅁䅁䵁㉂ㅰ䉂权橁䅁䅁允䅁䅁䅅䅁䭁䅁䅕䅁䵁䅉䅅䅁䑁䅁䅁睁䵁䅁䅁兂䅁䅁䅁浯偊兑䅯睉䅁䅁䅅䅁䉁䅁䅁权䙁䅁䅁䍄䉁䅁䅁睁䅁䅁䅍䅄䅁䅁䅕䅁䅁䍑ㅏ䕕䭅䅁䅳䅁䉁䅁䅁允䅁䉁䅑䅁䅁䅁䅁䅁䵁䅉䅅䅁䑁䅁䅁睁䵁䅁䅁兂䅁䅁䅄砶典兑䅯䅄䅁䅁䅅䅁䉁䅁䅁兂乄䵺䵺䥺䑸䅑杷允䅁䅁䅍䅁䑁䅁䅷䅁䙁䅁䅁䕁㕁汭䉂权䥁䅁䅁允䅁䅁䅅䅁䭁䅁䅕䅁䵁䅉䅅䅁䑁䅁䅁睁䵁䅁䅁兂䅁䅁䅂㝉兖兑䅯睇䅁䅁䅅䅁䉁䅁䅁权䙁䅁䅁䍄䉁䅁䅁睁䅁䅁䅍䅄䅁䅁䅕䅁䅁䝑愲䕕䭅䅁䅑䅁䉁䅁䅁允䅁䅁䅯兂䅁䅁杷允䅁䅁䅍䅁䑁䅁䅷䅁䙁䅁䅁䵁㉂ㅰ䉂权歁䅁䅁允䅁䅁䅅䅁䭁䅁䅕䅁䵁䅉䅅䅁䑁䅁䅁睁䵁䅁䅁兂䅁䅁䅃坂剸兑䅯睉䅁䅁䅅䅁䉁䅁䅁权䙁䅁䅁䍄䉁䅁䅁睁䅁䅁䅍䅄䅁䅁䅕䅁䅁䡷湡䕕䭅䉁䅯䅁䉁䅁䅁允䅁䅁䅯兂䅁䅁杷允䅁䅁䅍䅁䑁䅁䅷䅁䙁䅁䅁䵁㉂ㅰ䉂权坁䅁䅁允䅁䅁䅅䅁䭁䅁䅕䅁䵁䅉䅅䅁䑁䅁䅁睁䵁䅁䅁兂䅁䅁䅁栳婴兑䅯睃䅁䅁䅅䅁䉁䅁䅁兂䥂場啯歲塣䅑杷允䅁䅁䅍䅁䑁䅁䅷䅁䙁䅁䅁䵁牄䙈䉂权䝁䅁䅁允䅁䅁䅅䅁䙁䙁偹癷潕乘⼸䍄䉁䅁䅁睁䅁䅁䅍䅄䅁䅁䅕䅁䅁䝁批䕕䭅䅁䅣䅁䉁䅁䅁允䅁䅁䅯兂䅁䅁杷允䅁䅁䅍䅁䑁䅁䅷䅁䙁䅁䅁䕁橁噴䉂权偁䅁䅁允䅁䅁䅅䅁䙁䡁㥅瑃橥乣⼰䍄䉁䅁䅁睁䅁䅁䅍䅄䅁䅁䅕䅁䅁乑慗䕕䭅䉁䅑䅁䉁䅁䅁允䅁䅁䅯兂䅁䅁杷允䅁䅁䅍䅁䑁䅁䅷䅁䙁䅁䅁䵁㕁ㅯ䉂权十䅁䅁允䅁䅁䅅䅁䭁䑁䄸䅁䵁䅉䅅䅁䑁䅁䅁睁䵁䅁䅁兂䅁䅁䅄砶典兑䅯杅䅁䅁䅅䅁䉁䅁䅁权剁䅁䅁䍄䉁䅁䅁睁䅁䅁䅍䅄䅁䅁䅕䅁䅁乁㜶啕䭅䅁䄸䅁䉁䅁䅁允䅁䅁䅯兂䅁䅁杷允䅁䅁䅍䅁䑁䅁䅷䅁䙁䅁䅁䥁坁湘䉴权允䅁䅁允䅁䅁䅅䅁䭁䉁䅅䅁䵁䅉䅅䅁䑁䅁䅁睁䵁䅁䅁兂䅁䅁䅃㕵党兑䅯兊䅁䅁䅅䅁䉁䅁䅁权䙁䅁䅁䍄䉁䅁䅁睁䅁䅁䅍䅄䅁䅁䅕䅁䅁䱧坵䕕䭅䅁䅷䅁䉁䅁䅁允䅁䅁䅕椹捨㡪ㅌ䕒䵁䅉䅅䅁䑁䅁䅁睁䵁䅁䅁兂䅁䅁䅃汆㜵兑䅯䅆䅁䅁䅅䅁䉁䅁䅁权䙁䅁䅁䍄䉁䅁䅁睁䅁䅁䅍䅄䅁䅁䅕䅁䅁䉧敚づ䭅䉁䅷䅁䉁䅁䅁允䅁䅁䅯兂䅁䅁杷允䅁䅁䅍䅁䑁䅁䅷䅁䙁䅁䅁䵁祂噭䉂权敁䅁䅁允䅁䅁䅅䅁䭁䅁䅕䅁䵁䅉䅅䅁䑁䅁䅁睁䵁䅁䅁兂䅁䅁䅂偂晨兑䅯䅂䅁䅁䅅䅁䉁䅁䅁权䙁䅁䅁䍄䉁䅁䅁睁䅁䅁䅍䅄䅁䅁䅕䅁䅁䉧敚づ䭅䍁䅁䅁䉁䅁䅁允䅁䅁䅯兂䅁䅁杷允䅁䅁䅍䅁䑁䅁䅷䅁䙁䅁䅁䥁坁湘䉴权䵁䅁䅁允䅁䅁䅅䅁䭁䅁䅕䅁䵁䅉䅅䅁䑁䅁䅁睁䵁䅁䅁兂䅁䅁䅃汆㜵兑䅯睋䅁䅁䅅䅁䉁䅁䅁权䙁䅁䅁䍄䉁䅁䅁睁䅁䅁䅍䅄䅁䅁䅕䅁䅁䉧敚づ䭅䉁䅫䅁䉁䅁䅁允䅁䅁䅯兂䅁䅁杷允䅁䅁䅍䅁䑁䅁䅷䅁䙁䅁䅁䅁敃汋䉆权啁䅁䅁允䅁䅁䅅䅁䭁䅁䅕䅁䵁䅉䅅䅁䑁䅁䅁睁䵁䅁䅁权⽁䅁䅁权䅁䅁䅁允䅁䅁䅅䅁䭁䅁䅉䅁䵁䅉䅅䅁䑁䅁䅁睁䵁䅁䅁兂䅁䅁睂㌹礵兑䅯杅䅁䅁䅅䅁䉁䅁䅁权剁䅁䅁䍄䉁䅁䅁睁䅁䅁䅍䅄䅁䅁䅕䅁䅁䑁塥䕕䭅䉁䅉䅁䉁䅁䅁允䅁䅁䅯充䅁䅁杷允䅁䅁䅍䅁䑁䅁䅷䅁䙁䅁䅁䅁獂ㅭ䉂权偁䅁䅁允䅁䅁䅅䅁䭁䅁䅕䅁䵁䅉䅅䅁䑁䅁䅁睁䵁䅁䅁兂䅁䅁䅁楮剰兑䅯睇䅁䅁䅅䅁䉁䅁䅁权䙁䅁䅁䍄䉁䅁䅁睁䅁䅁䅍䅄䅁䅁䅕䅁䅁䥧獙啕䭅䍁䅣䅁䉁䅁䅁允䅁䅁䅯兂䅁䅁杷允䅁䅁䅍䅁䑁䅁䅷䅁䙁䅁䅁䅁敄ㅇ䉬权䡁䅁䅁允䅁䅁䅅䅁䭁䅁䅕䅁䵁䅉䅅䅁䑁䅁䅁睁䵁䅁䅁兂䅁䅁䅄砶典兑䅯睃䅁䅁䅅䅁䉁</t>
  </si>
  <si>
    <t>Holder Name</t>
  </si>
  <si>
    <t>Holder ID</t>
  </si>
  <si>
    <t>Holder Type</t>
  </si>
  <si>
    <t>Percent Held by Holder</t>
  </si>
  <si>
    <t>Holder Country</t>
  </si>
  <si>
    <t>Swedbank Robur Fonder AB</t>
  </si>
  <si>
    <t>Traditional Investment Managers</t>
  </si>
  <si>
    <t>Xinjiang NonFerrous Metal Industry (Group) Co.Ltd.</t>
  </si>
  <si>
    <t>Chuanyou Zhou</t>
  </si>
  <si>
    <t>Zhongjin Investment (Group) Ltd.</t>
  </si>
  <si>
    <t>China Capital Investment (Group) Company Ltd.</t>
  </si>
  <si>
    <t>Dimensional Fund Advisors LP</t>
  </si>
  <si>
    <t>ALPS Advisors Inc.</t>
  </si>
  <si>
    <t>BlackRock Inc.</t>
  </si>
  <si>
    <t>State Street Global Advisors Inc.</t>
  </si>
  <si>
    <t>American Century Investment Management Inc</t>
  </si>
  <si>
    <t>BetaShares Capital Ltd.</t>
  </si>
  <si>
    <t>Teachers Insurance and Annuity Association-College Retirement Equities Fund</t>
  </si>
  <si>
    <t>Axa Investment Managers Asia (Singapore) Ltd.</t>
  </si>
  <si>
    <t>AXA Investment Managers SA</t>
  </si>
  <si>
    <t>Hedge Fund Managers (&gt;5% stake)</t>
  </si>
  <si>
    <t>Individuals/Insiders</t>
  </si>
  <si>
    <t>Sovereign Wealth Funds (&lt;5% stake)</t>
  </si>
  <si>
    <t>Government Pension Sponsors</t>
  </si>
  <si>
    <t>Hedge Fund Managers (&lt;5% stake)</t>
  </si>
  <si>
    <t>Corporate Pension Sponsors</t>
  </si>
  <si>
    <t>Banks/Investment Banks</t>
  </si>
  <si>
    <t>Corporations (Public)</t>
  </si>
  <si>
    <t>VC/PE Firms (&gt;5% stake)</t>
  </si>
  <si>
    <t>VC/PE Firms (&lt;5% stake)</t>
  </si>
  <si>
    <t>Corporations (Private)</t>
  </si>
  <si>
    <t>PT Mineral Industri Indonesia (Persero)</t>
  </si>
  <si>
    <t>Sumitomo Metal Mining Co. Ltd.</t>
  </si>
  <si>
    <t>Djs Ketenagakerjaan Program Jht</t>
  </si>
  <si>
    <t>Norges Bank Investment Management</t>
  </si>
  <si>
    <t>Norway</t>
  </si>
  <si>
    <t>PPM America Inc.</t>
  </si>
  <si>
    <t>AIA Group Ltd.</t>
  </si>
  <si>
    <t>GWL Investment Management Ltd.</t>
  </si>
  <si>
    <t>Vanguard Capital Management LLC</t>
  </si>
  <si>
    <t>UBS Asset Management AG</t>
  </si>
  <si>
    <t>PT Asuransi Allianz Life Indonesia p.l.c.</t>
  </si>
  <si>
    <t>PT Ashmore Asset Management Indonesia Tbk</t>
  </si>
  <si>
    <t>Morgan Stanley</t>
  </si>
  <si>
    <t>Astra Pension Fund</t>
  </si>
  <si>
    <t>Vanguard Fiduciary Trust Co.</t>
  </si>
  <si>
    <t>Aberdeen Group PLC</t>
  </si>
  <si>
    <t>Fidelity International Ltd.</t>
  </si>
  <si>
    <t>BNY Asset Management</t>
  </si>
  <si>
    <t>Van Eck Associates Corp.</t>
  </si>
  <si>
    <t>First Sentier Investors (Australia) IM Ltd</t>
  </si>
  <si>
    <t>BNPP Asset Management Holding</t>
  </si>
  <si>
    <t>JOHCM (USA) Inc</t>
  </si>
  <si>
    <t>Vanguard Asset Management Ltd.</t>
  </si>
  <si>
    <t>Charles Schwab Investment Management Inc.</t>
  </si>
  <si>
    <t>ProShare Advisors LLC</t>
  </si>
  <si>
    <t>Geode Capital Management LLC</t>
  </si>
  <si>
    <t>Lingohr Asset Management GmbH</t>
  </si>
  <si>
    <t>Amova Asset Management Co. Ltd.</t>
  </si>
  <si>
    <t>Amundi Asset Management SAS</t>
  </si>
  <si>
    <t>Phoenix Unit Trust Managers Limited</t>
  </si>
  <si>
    <t>Legal &amp; General Investment Management Ltd.</t>
  </si>
  <si>
    <t>Ashmore Investment Management Ltd.</t>
  </si>
  <si>
    <t>First Trust Advisors LP</t>
  </si>
  <si>
    <t>Krane Funds Advisors LLC</t>
  </si>
  <si>
    <t>Connor Clark &amp; Lunn Investment Management Ltd.</t>
  </si>
  <si>
    <t>HSBC Global Asset Management (UK) Ltd.</t>
  </si>
  <si>
    <t>Eaton Vance Management</t>
  </si>
  <si>
    <t>Vanguard Investments Australia Ltd.</t>
  </si>
  <si>
    <t>Franklin Resources Inc.</t>
  </si>
  <si>
    <t>Mercer Global Investments Europe Limited</t>
  </si>
  <si>
    <t>Northern Trust Global Investments</t>
  </si>
  <si>
    <t>Pacific Investment Management Co. LLC</t>
  </si>
  <si>
    <t>CI Global Asset Management</t>
  </si>
  <si>
    <t>. Budiawansyah</t>
  </si>
  <si>
    <t>Goldman Sachs Asset Management LP</t>
  </si>
  <si>
    <t>Abu Ashar</t>
  </si>
  <si>
    <t>Slamet Sugiharto</t>
  </si>
  <si>
    <t>Vanguard Group Inc.</t>
  </si>
  <si>
    <t>Tidal Investments LLC</t>
  </si>
  <si>
    <t>BNY Mellon ETF Investment Adviser LLC</t>
  </si>
  <si>
    <t>New England Asset Management Inc.</t>
  </si>
  <si>
    <t>Nomura Asset Management Co. Ltd.</t>
  </si>
  <si>
    <t>Sumitomo Mitsui Trust Asset Management Co. Ltd.</t>
  </si>
  <si>
    <t>Sumitomo Life Insurance Co.</t>
  </si>
  <si>
    <t>Daiwa Asset Management Co. Ltd.</t>
  </si>
  <si>
    <t>JPMorgan Chase &amp; Co.</t>
  </si>
  <si>
    <t>MS&amp;AD Insurance Group Holdings Inc.</t>
  </si>
  <si>
    <t>Nissay Asset Management Corp.</t>
  </si>
  <si>
    <t>Mitsubishi UFJ Asset Management Co. Ltd.</t>
  </si>
  <si>
    <t>T. Rowe Price Group Inc.</t>
  </si>
  <si>
    <t>Nomura Holdings Inc.</t>
  </si>
  <si>
    <t>JP Morgan Asset Management</t>
  </si>
  <si>
    <t>FMR LLC</t>
  </si>
  <si>
    <t>Asset Management One Co. Ltd.</t>
  </si>
  <si>
    <t>Columbia Management Investment Advisers LLC</t>
  </si>
  <si>
    <t>Deutsche Asset &amp; Wealth Management</t>
  </si>
  <si>
    <t>Strategic Advisers LLC</t>
  </si>
  <si>
    <t>Man Group PLC</t>
  </si>
  <si>
    <t>Australian Super Pty Ltd</t>
  </si>
  <si>
    <t>Sumitomo Mitsui DS Asset Management Co. Ltd.</t>
  </si>
  <si>
    <t>Canada Pension Plan Investment Board</t>
  </si>
  <si>
    <t>Invesco Capital Management LLC</t>
  </si>
  <si>
    <t>Matthews International Capital Management LLC</t>
  </si>
  <si>
    <t>BMO Asset Management Corp.</t>
  </si>
  <si>
    <t>CTBC Securities Investment Trust Co. Ltd.</t>
  </si>
  <si>
    <t>Pacer Advisors Inc.</t>
  </si>
  <si>
    <t>Norinchukin Zenkyoren Asset Management Co. Ltd.</t>
  </si>
  <si>
    <t>Meiji Yasuda Asset Management Co. Ltd.</t>
  </si>
  <si>
    <t>TD Asset Management Inc.</t>
  </si>
  <si>
    <t>ClariVest Asset Management LLC</t>
  </si>
  <si>
    <t>Manulife Asset Management</t>
  </si>
  <si>
    <t>BNP Paribas Asset Management Europe</t>
  </si>
  <si>
    <t>DBX Advisors LLC</t>
  </si>
  <si>
    <t>WisdomTree Asset Management Inc.</t>
  </si>
  <si>
    <t>AQR Capital Management LLC</t>
  </si>
  <si>
    <t>Schroder Investment Management Ltd.</t>
  </si>
  <si>
    <t>Grantham Mayo Van Otterloo &amp; Co. LLC</t>
  </si>
  <si>
    <t>AllianceBernstein LP</t>
  </si>
  <si>
    <t>Fideuram Asset Management (Ireland) DAC</t>
  </si>
  <si>
    <t>Vanguard Global Advisers LLC</t>
  </si>
  <si>
    <t>Deka Investment GmbH</t>
  </si>
  <si>
    <t>Schroder Investment Management North America Inc.</t>
  </si>
  <si>
    <t>KLP Kapitalforvaltning AS</t>
  </si>
  <si>
    <t>Resona Asset Management Co. Ltd.</t>
  </si>
  <si>
    <t>PGIM Inc.</t>
  </si>
  <si>
    <t>Pictet Asset Management Ltd.</t>
  </si>
  <si>
    <t>LGPS Central Limited</t>
  </si>
  <si>
    <t>Empowered Funds LLC</t>
  </si>
  <si>
    <t>LSV Asset Management</t>
  </si>
  <si>
    <t>Lord Abbett &amp; Co. LLC</t>
  </si>
  <si>
    <t>Thrivent Investment Management Inc.</t>
  </si>
  <si>
    <t>Voya Investment Management LLC</t>
  </si>
  <si>
    <t>Shinkin Asset Management Co. Ltd.</t>
  </si>
  <si>
    <t>Masayuki Hyodo</t>
  </si>
  <si>
    <t>GuideStone Capital Management LLC</t>
  </si>
  <si>
    <t>Tokio Marine Asset Management Co. Ltd.</t>
  </si>
  <si>
    <t>Mercer Investments LLC</t>
  </si>
  <si>
    <t>Anchor Capital (Pty) Ltd.</t>
  </si>
  <si>
    <t>Universal-Investment-Luxembourg S.A. Niederlassung Frankfurt Am Main</t>
  </si>
  <si>
    <t>Lincoln Financial Investments Corp.</t>
  </si>
  <si>
    <t>Aviva Investors Global Services Ltd.</t>
  </si>
  <si>
    <t>CIBC Asset Management Inc.</t>
  </si>
  <si>
    <t>Massachusetts Financial Services Company</t>
  </si>
  <si>
    <t>Lazard Asset Management LLC</t>
  </si>
  <si>
    <t>Hitachi Investment Management, Ltd.</t>
  </si>
  <si>
    <t>BBK Gestion SGIIC SA</t>
  </si>
  <si>
    <t>KBC Asset Management NV</t>
  </si>
  <si>
    <t>Nationwide Fund Advisors</t>
  </si>
  <si>
    <t>Eurizon Capital SGR SpA</t>
  </si>
  <si>
    <t>Shingo Ueno</t>
  </si>
  <si>
    <t>Mackenzie Financial Corp.</t>
  </si>
  <si>
    <t>Victory Capital Management Inc.</t>
  </si>
  <si>
    <t>Tomokazu Nanbu</t>
  </si>
  <si>
    <t>Knights of Columbus Asset Advisors LLC</t>
  </si>
  <si>
    <t>Chibagin Asset Management Co. Ltd.</t>
  </si>
  <si>
    <t>Acadian Asset Management LLC</t>
  </si>
  <si>
    <t>Royal London Asset Management Ltd.</t>
  </si>
  <si>
    <t>MetLife Investment Management LLC</t>
  </si>
  <si>
    <t>New York Life Investment Management LLC</t>
  </si>
  <si>
    <t>Empower Capital Management LLC</t>
  </si>
  <si>
    <t>Russell Investment Management LLC</t>
  </si>
  <si>
    <t>Mediolanum International Funds Ltd.</t>
  </si>
  <si>
    <t>Takayuki Seishima</t>
  </si>
  <si>
    <t>Universal Investment GmbH</t>
  </si>
  <si>
    <t>Robert Beer Management GmbH</t>
  </si>
  <si>
    <t>LBBW Asset Management Investment GmbH</t>
  </si>
  <si>
    <t>Zürcher Kantonalbank</t>
  </si>
  <si>
    <t>MD Financial Management Inc</t>
  </si>
  <si>
    <t>Desjardins Global Asset Management Inc.</t>
  </si>
  <si>
    <t>Principal Global Investors LLC</t>
  </si>
  <si>
    <t>Reiji Morooka</t>
  </si>
  <si>
    <t>Simplex Asset Management Co. Ltd.</t>
  </si>
  <si>
    <t>Lion Global Investors Ltd.</t>
  </si>
  <si>
    <t>Norihiko Nonaka</t>
  </si>
  <si>
    <t>Neuberger Berman Investment Advisers LLC</t>
  </si>
  <si>
    <t>SBI Asset Management Co. Ltd.</t>
  </si>
  <si>
    <t>SunAmerica Asset Management LLC</t>
  </si>
  <si>
    <t>Fürstlich Castell'sche Bank Credit-Casse AG</t>
  </si>
  <si>
    <t>Rhumbline Advisers Ltd Partnership</t>
  </si>
  <si>
    <t>Invesco Ltd.</t>
  </si>
  <si>
    <t>Daisuke Mikogami</t>
  </si>
  <si>
    <t>Horizon Investments LLC</t>
  </si>
  <si>
    <t>Lombard Odier Asset Management (Switzerland) SA</t>
  </si>
  <si>
    <t>Janus Henderson Group Ltd.</t>
  </si>
  <si>
    <t>Greiff Capital Management AG</t>
  </si>
  <si>
    <t>1832 Asset Management LP</t>
  </si>
  <si>
    <t>SBI Okasan Asset Management Co. Ltd.</t>
  </si>
  <si>
    <t>Purpose Investments Inc.</t>
  </si>
  <si>
    <t>Allspring Global Investments LLC</t>
  </si>
  <si>
    <t>SEI Investments Co.</t>
  </si>
  <si>
    <t>Envestnet Asset Management Inc.</t>
  </si>
  <si>
    <t>Capital Investment Trust Corp.</t>
  </si>
  <si>
    <t>Degroof Petercam Asset Management</t>
  </si>
  <si>
    <t>Russell Investment Group (Japan)</t>
  </si>
  <si>
    <t>Henry James International Management Inc.</t>
  </si>
  <si>
    <t>Tangerine Investment Management Inc.</t>
  </si>
  <si>
    <t>Global Systematic Investors LLP</t>
  </si>
  <si>
    <t>Azimut Capital Management Sgr SpA</t>
  </si>
  <si>
    <t>Chugin Asset Management Co. Ltd.</t>
  </si>
  <si>
    <t>RBC Global Asset Management Inc.</t>
  </si>
  <si>
    <t>RWC Partners Ltd.</t>
  </si>
  <si>
    <t>Oberweis Asset Management Inc.</t>
  </si>
  <si>
    <t>BOCI-Prudential Asset Management Ltd.</t>
  </si>
  <si>
    <t>Green Arrow Capital SGR SpA</t>
  </si>
  <si>
    <t>Kazunari Sakata</t>
  </si>
  <si>
    <t>Boston Partners Global Investors Inc.</t>
  </si>
  <si>
    <t>IG Investment Management Ltd.</t>
  </si>
  <si>
    <t>GAMMA Investing LLC</t>
  </si>
  <si>
    <t>Vident Asset Management</t>
  </si>
  <si>
    <t>BBVA Asset Management S.A. S.G.I.I.C</t>
  </si>
  <si>
    <t>E Fund Management Co. Ltd.</t>
  </si>
  <si>
    <t>Baillie Gifford &amp; Co.</t>
  </si>
  <si>
    <t>Picton Mahoney Asset Management</t>
  </si>
  <si>
    <t>CSOP Asset Management Ltd.</t>
  </si>
  <si>
    <t>Santander Private Banking Gestion S.A. S.G.I.I.C.</t>
  </si>
  <si>
    <t>CGS International Securities Singapore Pte. Ltd.</t>
  </si>
  <si>
    <t>Global X Japan Co. Ltd.</t>
  </si>
  <si>
    <t>Jennison Associates LLC</t>
  </si>
  <si>
    <t>GAMCO Investors Inc.</t>
  </si>
  <si>
    <t>Causeway Capital Management LLC</t>
  </si>
  <si>
    <t>Vvb Vermögensverwaltung Braunenberg GmbH</t>
  </si>
  <si>
    <t>Mirae Asset Global Investments Co. Ltd.</t>
  </si>
  <si>
    <t>Hamco Am Sgiic SA</t>
  </si>
  <si>
    <t>Anima SGR SpA</t>
  </si>
  <si>
    <t>Putnam LLC</t>
  </si>
  <si>
    <t>Wespath Institutional Investments LLC</t>
  </si>
  <si>
    <t>T&amp;D Asset Management Co. Ltd.</t>
  </si>
  <si>
    <t>Macquarie Investment Management Ltd.</t>
  </si>
  <si>
    <t>Summit Global Investments LLC</t>
  </si>
  <si>
    <t>Dws (CH)</t>
  </si>
  <si>
    <t>Simplify Asset Management Inc.</t>
  </si>
  <si>
    <t>Fund Development &amp; Advisory AG</t>
  </si>
  <si>
    <t>Tressis Gestion SGIIC, S.A.</t>
  </si>
  <si>
    <t>Zacks Investment Management Inc.</t>
  </si>
  <si>
    <t>National Bank Investments Inc.</t>
  </si>
  <si>
    <t>Sanlam Investment Management (Pty.) Ltd.</t>
  </si>
  <si>
    <t>Wilmington Funds Management Corp.</t>
  </si>
  <si>
    <t>Fondaco Lux S.A.</t>
  </si>
  <si>
    <t>Quaestio Capital Management SGR S.p.A Unipersonale</t>
  </si>
  <si>
    <t>Penn Mutual Asset Management LLC</t>
  </si>
  <si>
    <t>Ultramarin Capital GmbH</t>
  </si>
  <si>
    <t>Brighthouse Investment Advisers LLC</t>
  </si>
  <si>
    <t>Wellington Management Group LLP</t>
  </si>
  <si>
    <t>Hang Seng Investment Management Ltd.</t>
  </si>
  <si>
    <t>Singular Asset Management SA SGIIC</t>
  </si>
  <si>
    <t>Swiss Rock Asset Management AG</t>
  </si>
  <si>
    <t>Fivestar Asset Management Co., Ltd.</t>
  </si>
  <si>
    <t>Driehaus Capital Management LLC</t>
  </si>
  <si>
    <t>Swiss Life Asset Mgmt AG</t>
  </si>
  <si>
    <t>I.C.M. InvestmentBank AG</t>
  </si>
  <si>
    <t>Morgan Stanley Investment Management Inc.</t>
  </si>
  <si>
    <t>Putnam Fiduciary Trust Co.</t>
  </si>
  <si>
    <t>Asahi Life Asset Management Co. Ltd.</t>
  </si>
  <si>
    <t>Zantke Asset Management GmbH &amp; Co. KG</t>
  </si>
  <si>
    <t>ALPS Family Office AG</t>
  </si>
  <si>
    <t>Harvest Fund Management Co. Ltd.</t>
  </si>
  <si>
    <t>Macquarie Investment Management Global Ltd.</t>
  </si>
  <si>
    <t>Baloise Asset Management</t>
  </si>
  <si>
    <t>Lumyna Investments Ltd.</t>
  </si>
  <si>
    <t>Atlas Capital Advisors Inc.</t>
  </si>
  <si>
    <t>HC Capital Solutions</t>
  </si>
  <si>
    <t>Towarzystwo Funduszy Inwestycyjnych PZU SA</t>
  </si>
  <si>
    <t>Federated Hermes, Inc.</t>
  </si>
  <si>
    <t>Yuanta Securities Investment Trust Co. Ltd.</t>
  </si>
  <si>
    <t>PanAgora Asset Management Inc.</t>
  </si>
  <si>
    <t>European And Global Advisers LLP</t>
  </si>
  <si>
    <t>Russell Investments Ltd.</t>
  </si>
  <si>
    <t>Mondrian Investment Partners Ltd.</t>
  </si>
  <si>
    <t>Innovator Capital Management LLC</t>
  </si>
  <si>
    <t>Salomon and Ludwin LLC</t>
  </si>
  <si>
    <t>Horizon Kinetics Holding Corp.</t>
  </si>
  <si>
    <t>Assenagon Asset Management S.A.</t>
  </si>
  <si>
    <t>Legal &amp; General Investment Management Limited</t>
  </si>
  <si>
    <t>Tolomeo Capital AG</t>
  </si>
  <si>
    <t>TCW Group Inc.</t>
  </si>
  <si>
    <t>Mercer Global Investments Canada Limited</t>
  </si>
  <si>
    <t>Ancora Advisors LLC</t>
  </si>
  <si>
    <t>PNC Financial Services Group Inc.</t>
  </si>
  <si>
    <t>The Gleason Group Inc.</t>
  </si>
  <si>
    <t>IMA Advisory Services Inc.</t>
  </si>
  <si>
    <t>Hantz Financial Services Inc.</t>
  </si>
  <si>
    <t>The Glenmede Trust Company NA</t>
  </si>
  <si>
    <t>Bank J. Safra Sarasin AG</t>
  </si>
  <si>
    <t>Industrielle Alliance Gestion de placements inc.</t>
  </si>
  <si>
    <t>Barrow Hanley Mewhinney &amp; Strauss LLC</t>
  </si>
  <si>
    <t>Constellation Investments Inc.</t>
  </si>
  <si>
    <t>Penserra Capital Management LLC</t>
  </si>
  <si>
    <t>Lombard Odier Asset Management (Europe) Ltd.</t>
  </si>
  <si>
    <t>Russell Investment Management Ltd.</t>
  </si>
  <si>
    <t>Yousif Capital Management LLC</t>
  </si>
  <si>
    <t>Themes Management Co.</t>
  </si>
  <si>
    <t>Signature Equity Partners LLC</t>
  </si>
  <si>
    <t>Barclays PLC</t>
  </si>
  <si>
    <t>Insurance Companies</t>
  </si>
  <si>
    <t>China Nonferrous Metal Mining (Group) Co. Ltd.</t>
  </si>
  <si>
    <t>China Asset Management Co. Ltd.</t>
  </si>
  <si>
    <t>HuaAn Fund Management Company Ltd.</t>
  </si>
  <si>
    <t>Fullgoal Fund Management Co. Ltd.</t>
  </si>
  <si>
    <t>ICBC Credit Suisse Fund Management Co. Ltd.</t>
  </si>
  <si>
    <t>China Universal Asset Management Co. Ltd.</t>
  </si>
  <si>
    <t>HSBC Jintrust Fund Management Co. Ltd.</t>
  </si>
  <si>
    <t>Invesco Great Wall Fund Management Co. Ltd</t>
  </si>
  <si>
    <t>Global X Management (Aus) Ltd.</t>
  </si>
  <si>
    <t>GF Fund Management Co. Ltd.</t>
  </si>
  <si>
    <t>Evli Fund Management Co. Ltd.</t>
  </si>
  <si>
    <t>China Southern Asset Management Co. Ltd.</t>
  </si>
  <si>
    <t>Ping An UOB Fund Management Co. Ltd.</t>
  </si>
  <si>
    <t>China Merchants Bank Co. Ltd.</t>
  </si>
  <si>
    <t>Wanjia Asset Management Co. Ltd.</t>
  </si>
  <si>
    <t>Franklin Templeton Sealand Fund Management Co. Ltd.</t>
  </si>
  <si>
    <t>Huashang Fund Management Co. Ltd.</t>
  </si>
  <si>
    <t>CoreCommodity Management LLC</t>
  </si>
  <si>
    <t>HSBC Global Asset Management (Hong Kong) Ltd.</t>
  </si>
  <si>
    <t>Allianz Asset Management GmbH</t>
  </si>
  <si>
    <t>Bosera Asset Management (International) Co. Ltd.</t>
  </si>
  <si>
    <t>ChangAn Fund Management Co.Ltd</t>
  </si>
  <si>
    <t>MD Pvt. Investment Counsel</t>
  </si>
  <si>
    <t>China Merchants Fund Management Co. Ltd.</t>
  </si>
  <si>
    <t>Plutos Vermoegensverwaltung AG</t>
  </si>
  <si>
    <t>National Bank Trust Inc.</t>
  </si>
  <si>
    <t>Scotia Wealth Management</t>
  </si>
  <si>
    <t>Minsheng Royal Fund Management Co. Ltd.</t>
  </si>
  <si>
    <t>Danske Bank A/S</t>
  </si>
  <si>
    <t>Great Wall Fund Management Co. Ltd.</t>
  </si>
  <si>
    <t>Hwabao WP Fund Management Co. Ltd.</t>
  </si>
  <si>
    <t>CPIC Fund Management Co. Ltd.</t>
  </si>
  <si>
    <t>BEA Union Investment Management Ltd.</t>
  </si>
  <si>
    <t>Taikang Fund Management Co. Ltd.</t>
  </si>
  <si>
    <t>Zhong Ou Fund Management Co., Ltd</t>
  </si>
  <si>
    <t>Guotai Asset Mgmt Co. Ltd.</t>
  </si>
  <si>
    <t>China Galaxy International Asset Management (Hong Kong) Co. Ltd</t>
  </si>
  <si>
    <t>Rongtong Fund Management Co. Ltd.</t>
  </si>
  <si>
    <t>Essence Fund Management Co. Ltd</t>
  </si>
  <si>
    <t>Tianhong Asset Management Co. Ltd.</t>
  </si>
  <si>
    <t>Caitong Fund Management</t>
  </si>
  <si>
    <t>Broad Asset Management Co. Ltd.</t>
  </si>
  <si>
    <t>Penghua Fund Management Co. Ltd.</t>
  </si>
  <si>
    <t>Hongde Fund Management Co. Ltd.</t>
  </si>
  <si>
    <t>CCB Principal Asset Management Co. Ltd.</t>
  </si>
  <si>
    <t>Finlabo Sim SpA</t>
  </si>
  <si>
    <t>Truvalue Asset Management Co.,Ltd.</t>
  </si>
  <si>
    <t>Rayliant Investment Research</t>
  </si>
  <si>
    <t>Dacheng Fund Management Co. Ltd.</t>
  </si>
  <si>
    <t>Yinhua Fund Management Co. Ltd.</t>
  </si>
  <si>
    <t>ICBC UBS Asset Management (International) Company Ltd.</t>
  </si>
  <si>
    <t>HFT Investment Management Co. Ltd. (Group</t>
  </si>
  <si>
    <t>First State Cinda Fund Management Co. Ltd.</t>
  </si>
  <si>
    <t>Straits Investment Management Pte. Ltd.</t>
  </si>
  <si>
    <t>Loomis Sayles &amp; Company LP</t>
  </si>
  <si>
    <t>ESOP</t>
  </si>
  <si>
    <t>Tamil Nadu Industrial Development Corporation Ltd.</t>
  </si>
  <si>
    <t>National Pension Scheme Authority</t>
  </si>
  <si>
    <t>Kyma Capital Ltd.</t>
  </si>
  <si>
    <t>SC2 Inc.</t>
  </si>
  <si>
    <t>Leon Binedell</t>
  </si>
  <si>
    <t>Fulcra Asset Management, Inc.</t>
  </si>
  <si>
    <t>Scheer Rowlett &amp; Associates Investment Management Ltd.</t>
  </si>
  <si>
    <t>Chad Ross</t>
  </si>
  <si>
    <t>Peter James Hancock</t>
  </si>
  <si>
    <t>Elvin Saruk</t>
  </si>
  <si>
    <t>Chih-Ting Lo</t>
  </si>
  <si>
    <t>Gregory Honig</t>
  </si>
  <si>
    <t>Yasmin Gabriel</t>
  </si>
  <si>
    <t>NBC Securities Inc.</t>
  </si>
  <si>
    <t>State Owned Shares</t>
  </si>
  <si>
    <t>Minxi Xinghang State-owned Assets Investment Operation Co.Ltd.</t>
  </si>
  <si>
    <t>China Securities Finance Corporation Ltd.</t>
  </si>
  <si>
    <t>GIC Pte. Ltd.</t>
  </si>
  <si>
    <t>Guoxin Investment Co. Ltd.</t>
  </si>
  <si>
    <t>China Life AMP Asset Management Co. Ltd.</t>
  </si>
  <si>
    <t>China Life Asset Management Company Ltd.</t>
  </si>
  <si>
    <t>Perseverance Asset Management LLP</t>
  </si>
  <si>
    <t>BNP Paribas SA</t>
  </si>
  <si>
    <t>China Asset Management (Hong Kong) Ltd.</t>
  </si>
  <si>
    <t>Abu Dhabi Investment Authority</t>
  </si>
  <si>
    <t>BNP Paribas Financial Markets SNC</t>
  </si>
  <si>
    <t>Huatai-PineBridge Fund Management Co. Ltd.</t>
  </si>
  <si>
    <t>Ping An Asset Management Co. Ltd.</t>
  </si>
  <si>
    <t>Schroder Investment Management (Hong Kong) Ltd.</t>
  </si>
  <si>
    <t>AEGON-Industrial Fund Mgmt Co.</t>
  </si>
  <si>
    <t>Bosera Asset Management Co. Ltd.</t>
  </si>
  <si>
    <t>Shanghai Orient Securities Asset Management Co. Ltd.</t>
  </si>
  <si>
    <t>Maxwealth Fund Management Co. Ltd.</t>
  </si>
  <si>
    <t>Zijin Mining Group Company Limited ESOP</t>
  </si>
  <si>
    <t>Capital Research and Management Co.</t>
  </si>
  <si>
    <t>Bank of Communications Schroder Fund Management Co. Ltd.</t>
  </si>
  <si>
    <t>Ruiyuan Fund Management Company LTD</t>
  </si>
  <si>
    <t>ABC-CA Fund Management Co. Ltd.</t>
  </si>
  <si>
    <t>Value Partners Hong Kong Ltd.</t>
  </si>
  <si>
    <t>Taikang Asset Management Co. Ltd.</t>
  </si>
  <si>
    <t>UBS SDIC Fund Management Co. Ltd.</t>
  </si>
  <si>
    <t>Lion Fund Management Co. Ltd.</t>
  </si>
  <si>
    <t>First Seafront Fund Management Co., Ltd</t>
  </si>
  <si>
    <t>China Post &amp; Capital Fund Management Co. Ltd.</t>
  </si>
  <si>
    <t>CITIC-Prudential Fund Management Company Ltd.</t>
  </si>
  <si>
    <t>Schroder Investment Mgmt (Singapore) Ltd.</t>
  </si>
  <si>
    <t>Invesco Hong Kong Ltd.</t>
  </si>
  <si>
    <t>Pinebridge Investments Asia Ltd.</t>
  </si>
  <si>
    <t>Changsheng Fund Management Co. Ltd.</t>
  </si>
  <si>
    <t>Jupiter Fund Management PLC</t>
  </si>
  <si>
    <t>CIB Fund Management Co. Ltd</t>
  </si>
  <si>
    <t>Fullerton Fund Management Co. Ltd.</t>
  </si>
  <si>
    <t>Bank of China Investment Management Co. Ltd.</t>
  </si>
  <si>
    <t>Cullen Capital Management LLC</t>
  </si>
  <si>
    <t>Value Partners Ltd.</t>
  </si>
  <si>
    <t>AXA SPDB Investment Managers Co. Ltd.</t>
  </si>
  <si>
    <t>Chang Xin Asset Management Corp. Ltd.</t>
  </si>
  <si>
    <t>Baoying Fund Management Co. Ltd.</t>
  </si>
  <si>
    <t>Nomura Investment Management Business Trust</t>
  </si>
  <si>
    <t>Golden Eagle Asset Management Co. Ltd.</t>
  </si>
  <si>
    <t>Golden Trust SinoPac Fund Management Co. Ltd.</t>
  </si>
  <si>
    <t>Baring Asset Management Ltd.</t>
  </si>
  <si>
    <t>Border To Coast Pensions Partnership Ltd.</t>
  </si>
  <si>
    <t>Peng Yang Fund Management Co. Ltd.</t>
  </si>
  <si>
    <t>Laichang Zou</t>
  </si>
  <si>
    <t>TT International Asset Management Ltd</t>
  </si>
  <si>
    <t>AZ Investment Management Singapore Ltd.</t>
  </si>
  <si>
    <t>Western Leadbank Fund Management Co. Ltd.</t>
  </si>
  <si>
    <t>Da Cheng International Asset Management Co., Ltd.</t>
  </si>
  <si>
    <t>CICC Fund Management Co. Ltd.</t>
  </si>
  <si>
    <t>Focusbridge Investments Ltd.</t>
  </si>
  <si>
    <t>Fullgoal Asset Management (HK) Ltd</t>
  </si>
  <si>
    <t>Numeric Investors LLC</t>
  </si>
  <si>
    <t>Jpmorgan Asset Management (China) Company Ltd.</t>
  </si>
  <si>
    <t>Huatai Baoxing Fund Management Co. Ltd.</t>
  </si>
  <si>
    <t>Morgan Stanley Fund Management (China) Co. Ltd.</t>
  </si>
  <si>
    <t>Rothschild &amp; Cie Gestion</t>
  </si>
  <si>
    <t>Hongfu Lin</t>
  </si>
  <si>
    <t>Belgrave Capital Management Ltd.</t>
  </si>
  <si>
    <t>Shaoyang Shen</t>
  </si>
  <si>
    <t>Pzena Investment Management Inc.</t>
  </si>
  <si>
    <t>Everbright Pramerica Fund Management Co.</t>
  </si>
  <si>
    <t>Schroder Investment Management (Japan) Ltd.</t>
  </si>
  <si>
    <t>Tibet Eastmoney Fund Management Co.Ltd.</t>
  </si>
  <si>
    <t>Hangzhou Huisheng Investment Management Co. Ltd.</t>
  </si>
  <si>
    <t>Zhonghai Fund Management Co. Ltd.</t>
  </si>
  <si>
    <t>BlackRock Fund Management Ltd.</t>
  </si>
  <si>
    <t>PICC Asset Management Co. Ltd.</t>
  </si>
  <si>
    <t>Hongying Lin</t>
  </si>
  <si>
    <t>Youcheng Zheng</t>
  </si>
  <si>
    <t>AFH Independent Financial Services Limited</t>
  </si>
  <si>
    <t>Eastspring Investments (Singapore) Ltd.</t>
  </si>
  <si>
    <t>Honghui Wu</t>
  </si>
  <si>
    <t>Xionghui Xie</t>
  </si>
  <si>
    <t>SWS MU Fund Management Co. Ltd.</t>
  </si>
  <si>
    <t>Taiping Fund Management Co. Ltd.</t>
  </si>
  <si>
    <t>Yi Long</t>
  </si>
  <si>
    <t>Shanghai Guotai Junan Securities Asset Management Co. Ltd.</t>
  </si>
  <si>
    <t>Oaktree Fund Advisors LLC</t>
  </si>
  <si>
    <t>Fortune And Royal Asset Management Co. Ltd.</t>
  </si>
  <si>
    <t>RHB Asset Management Sdn. Bhd.</t>
  </si>
  <si>
    <t>Mega International Investment Trust Co. Ltd.</t>
  </si>
  <si>
    <t>Yingda Asset Management Co., Ltd.</t>
  </si>
  <si>
    <t>Jianhui Wu</t>
  </si>
  <si>
    <t>China Universal Fund Management Co. Ltd.</t>
  </si>
  <si>
    <t>Xiangcai Fund Management Co. Ltd.</t>
  </si>
  <si>
    <t>Galaxy Asset Management Co. Ltd.</t>
  </si>
  <si>
    <t>Chun Wang</t>
  </si>
  <si>
    <t>Gfund Management Co., Ltd.</t>
  </si>
  <si>
    <t>Horizon Asset Management Co. Ltd.</t>
  </si>
  <si>
    <t>Yuanhang Liao</t>
  </si>
  <si>
    <t>New China Fund Management Co. Ltd.</t>
  </si>
  <si>
    <t>Jyah Asset Management Co., Ltd.</t>
  </si>
  <si>
    <t>Banor Capital Ltd.</t>
  </si>
  <si>
    <t>Brookfield Corp.</t>
  </si>
  <si>
    <t>First-Trust Fund Management Co. Ltd.</t>
  </si>
  <si>
    <t>BOSC Asset Management Ltd.</t>
  </si>
  <si>
    <t>Orient Fund Management Co. Ltd.</t>
  </si>
  <si>
    <t>FountainCap Research &amp; Investment (Hong Kong) Co. Ltd.</t>
  </si>
  <si>
    <t>Neuberger Berman Fund management (China) Co. Ltd.</t>
  </si>
  <si>
    <t>PGIM Securities Investment Trust Enterprise</t>
  </si>
  <si>
    <t>Chaoyang Que</t>
  </si>
  <si>
    <t>Caitong Securities Asset Management Co.Ltd.</t>
  </si>
  <si>
    <t>Myriad Asset Management Advisors LLC</t>
  </si>
  <si>
    <t>Fiera Capital Corporation</t>
  </si>
  <si>
    <t>Santander Asset Management SA SGIIC</t>
  </si>
  <si>
    <t>Veritas Asset Management LLP</t>
  </si>
  <si>
    <t>Zheshang Fund Management Co., Ltd.</t>
  </si>
  <si>
    <t>Springs Fund Management Co.Ltd.</t>
  </si>
  <si>
    <t>Fuhwa Securities Investment Trust Co. Ltd.</t>
  </si>
  <si>
    <t>Cathay Securities Investment Trust Co. LTD</t>
  </si>
  <si>
    <t>Purekind Fund Management Co.Ltd.</t>
  </si>
  <si>
    <t>Nomura Asset Management Taiwan Ltd.</t>
  </si>
  <si>
    <t>Prescient Investment Management Pty Ltd</t>
  </si>
  <si>
    <t>China Fund Management Co. Ltd.</t>
  </si>
  <si>
    <t>Nuode Asset Management Co. Ltd.</t>
  </si>
  <si>
    <t>Huafu Fund Management Co. Ltd.</t>
  </si>
  <si>
    <t>BOCHK Asset Management Ltd.</t>
  </si>
  <si>
    <t>NS Partners Ltd</t>
  </si>
  <si>
    <t>Huatai Securities (Shanghai) Asset Management Co. Ltd.</t>
  </si>
  <si>
    <t>Quanguo Fund Management Co. Ltd.</t>
  </si>
  <si>
    <t>Zhonggeng Fund Management Co. Ltd.</t>
  </si>
  <si>
    <t>Virtus Investment Advisers LLC</t>
  </si>
  <si>
    <t>AMG Funds LLC</t>
  </si>
  <si>
    <t>Guolian Fund Management Company Ltd.</t>
  </si>
  <si>
    <t>Bank of Beijing Scotiabank Asset Management Co. Ltd.</t>
  </si>
  <si>
    <t>Mercer Global Investments Management Ltd</t>
  </si>
  <si>
    <t>BOC International (China) Co. Ltd.</t>
  </si>
  <si>
    <t>St James's Place Unit Trust Group Ltd.</t>
  </si>
  <si>
    <t>Taikang Asset Management (Hong Kong) Co. Ltd.</t>
  </si>
  <si>
    <t>Uni-President Assets Management Corp.</t>
  </si>
  <si>
    <t>Rosefinch Fund Management Co. Ltd.</t>
  </si>
  <si>
    <t>Highbridge Capital Management LLC</t>
  </si>
  <si>
    <t>Nippon Life India Asset Management Ltd.</t>
  </si>
  <si>
    <t>Taiping Assets Management (HK) Company Ltd.</t>
  </si>
  <si>
    <t>Zhongtai Securities (Shanghai) Asset Management Co.Ltd.</t>
  </si>
  <si>
    <t>Nanhua Fund Management Co. Ltd.</t>
  </si>
  <si>
    <t>DWS Investments Singapore Ltd</t>
  </si>
  <si>
    <t>Founder Fubon Fund Management Co. Ltd.</t>
  </si>
  <si>
    <t>JT Asset Management Co. Ltd</t>
  </si>
  <si>
    <t>AXA Investment Managers UK Ltd.</t>
  </si>
  <si>
    <t>Changjiang Securities(shanghai)Asset Management Co.Ltd.</t>
  </si>
  <si>
    <t>JK Capital Management Ltd.</t>
  </si>
  <si>
    <t>Goldstate Capital Fund Management Co., Ltd.</t>
  </si>
  <si>
    <t>10X Asset Management Pty. LTD</t>
  </si>
  <si>
    <t>Sarasin &amp; Partners LLP</t>
  </si>
  <si>
    <t>Allianz Global Investors U.S. LLC</t>
  </si>
  <si>
    <t>AllianceBernstein Fund Management Ltd.</t>
  </si>
  <si>
    <t>Arrowstreet Capital Ltd. Partnership</t>
  </si>
  <si>
    <t>Harding Loevner LP</t>
  </si>
  <si>
    <t>Fuanda Fund Management Co. Ltd.</t>
  </si>
  <si>
    <t>Taishin Securities Investment Trust Co. Ltd.</t>
  </si>
  <si>
    <t>AHAM Asset Management Bhd.</t>
  </si>
  <si>
    <t>Yimin Asset Management Co., Ltd.</t>
  </si>
  <si>
    <t>China Merchants Securities Asset Management Co. Ltd.</t>
  </si>
  <si>
    <t>CR Yuanta Fund Management Co.Ltd.</t>
  </si>
  <si>
    <t>Xin Yuan Asset Management Co.</t>
  </si>
  <si>
    <t>Baring Asset Management Ltd. (Japan)</t>
  </si>
  <si>
    <t>Ping An of China Asset Management (Hong Kong) Co. Ltd.</t>
  </si>
  <si>
    <t>Qianhai Alliance Asset Management</t>
  </si>
  <si>
    <t>CCM Partners LP</t>
  </si>
  <si>
    <t>Frank Russell Co.</t>
  </si>
  <si>
    <t>azValor Asset Management SGIIC S.A.U.</t>
  </si>
  <si>
    <t>SPARX Asset Management Co. Ltd.</t>
  </si>
  <si>
    <t>Soochow Asset Management Co. Ltd.</t>
  </si>
  <si>
    <t>Xingyin Fund Management Co. Ltd.</t>
  </si>
  <si>
    <t>MSCI Inc.</t>
  </si>
  <si>
    <t>Marlborough Fund Managers Ltd.</t>
  </si>
  <si>
    <t>Hongta Hotland Asset Management Co., Ltd.</t>
  </si>
  <si>
    <t>Liontrust Asset Management PLC</t>
  </si>
  <si>
    <t>Tebon Fund Management Co. Ltd.</t>
  </si>
  <si>
    <t>Segall Bryant &amp; Hamill LLC</t>
  </si>
  <si>
    <t>Keywise Capital Management (HK) Ltd.</t>
  </si>
  <si>
    <t>Fubon Asset Management Co. Ltd.</t>
  </si>
  <si>
    <t>CCB International Asset Management Ltd.</t>
  </si>
  <si>
    <t>Dongxing Asset Management Co. Ltd.</t>
  </si>
  <si>
    <t>Zhejiang Zheshang Securities Asset Management Co. Ltd.</t>
  </si>
  <si>
    <t>Shin Kong Investment Trust Co. Ltd.</t>
  </si>
  <si>
    <t>Guotai Junan Assets (Asia) Ltd.</t>
  </si>
  <si>
    <t>ABN AMRO Investment Solutions SA</t>
  </si>
  <si>
    <t>Principal Asset Management Bhd.</t>
  </si>
  <si>
    <t>Abacus FCF Advisors LLC</t>
  </si>
  <si>
    <t>East Capital Asset Management S.A.</t>
  </si>
  <si>
    <t>UOB Asset Management Ltd.</t>
  </si>
  <si>
    <t>Huisheng Fund Management Co. Ltd.</t>
  </si>
  <si>
    <t>Cambria Investment Management L.P.</t>
  </si>
  <si>
    <t>Tongtai Fund Management Co. Ltd.</t>
  </si>
  <si>
    <t>Integrity Fund Management Co. Ltd.</t>
  </si>
  <si>
    <t>China International Capital Corporation Hong Kong Asset Management Ltd.</t>
  </si>
  <si>
    <t>Sygnia Asset Management (Pty) Ltd.</t>
  </si>
  <si>
    <t>Old Mutual Multi-Managers</t>
  </si>
  <si>
    <t>Intelligent Alpha LLC</t>
  </si>
  <si>
    <t>Hexa Asset Management Co. Ltd.</t>
  </si>
  <si>
    <t>Hood River Capital Management LLC</t>
  </si>
  <si>
    <t>Wilshire Advisors LLC</t>
  </si>
  <si>
    <t>AVIC Fund Management Co., Ltd.</t>
  </si>
  <si>
    <t>Thompson Siegel &amp; Walmsley LLC</t>
  </si>
  <si>
    <t>China International Capital Corp. Ltd.</t>
  </si>
  <si>
    <t>Green Fund Management Co. Ltd.</t>
  </si>
  <si>
    <t>Virtus ETF Advisers LLC</t>
  </si>
  <si>
    <t>Topright Fund Management Co. Ltd.</t>
  </si>
  <si>
    <t>Bohai Huijin Securities Asset Management Co. Ltd.</t>
  </si>
  <si>
    <t>NFJ Investment Group LLC</t>
  </si>
  <si>
    <t>Dongxing Securities Corporation Ltd.</t>
  </si>
  <si>
    <t>China Reform Securities Company Ltd.</t>
  </si>
  <si>
    <t>United Vision Asset Management Co. Ltd.</t>
  </si>
  <si>
    <t>Shanxi Securities Co. Ltd.</t>
  </si>
  <si>
    <t>Hang Seng Qianhai Fund Management Co. Ltd.</t>
  </si>
  <si>
    <t>CCB Fund Management Co. Ltd.</t>
  </si>
  <si>
    <t>ICBC Asset Management (Global) Co. Ltd.</t>
  </si>
  <si>
    <t>Beixin Ruifeng Fund Management Co. Ltd.</t>
  </si>
  <si>
    <t>Geometria Quant S.L.</t>
  </si>
  <si>
    <t>Sustainable Growth Advisers LP</t>
  </si>
  <si>
    <t>Astute Fund Management Bhd.</t>
  </si>
  <si>
    <t>Heron View Partners LLC</t>
  </si>
  <si>
    <t>Old Mutual Investment Group (Pty) Ltd.</t>
  </si>
  <si>
    <t>Yimi Fund Management Co. Ltd.</t>
  </si>
  <si>
    <t>Donghai Funds Management Co. Ltd.</t>
  </si>
  <si>
    <t>Jinxin Fund Management Co. Ltd.</t>
  </si>
  <si>
    <t>CS Richland Asset Management Co., Ltd.</t>
  </si>
  <si>
    <t>BNP Paribas Securities Corp.</t>
  </si>
  <si>
    <t>Lombard Odier (Hong Kong) Ltd.</t>
  </si>
  <si>
    <t>Jih Sun Securities Investment Trust Co. Ltd.</t>
  </si>
  <si>
    <t>Premia Partners</t>
  </si>
  <si>
    <t>UBS Securities LLC</t>
  </si>
  <si>
    <t>Bank of America Corp.</t>
  </si>
  <si>
    <t>Citigroup Inc.</t>
  </si>
  <si>
    <t>Yuqun Zeng</t>
  </si>
  <si>
    <t>Hong Kong Exchanges and Clearing Ltd.</t>
  </si>
  <si>
    <t>Huang Shilin</t>
  </si>
  <si>
    <t>Zhenhua Pei</t>
  </si>
  <si>
    <t>ZJU Joint Innovation Investment</t>
  </si>
  <si>
    <t>Ping Li</t>
  </si>
  <si>
    <t>Honda Motor Co. Ltd.</t>
  </si>
  <si>
    <t>Ningbo Meishan Bonded Port Area Chunhe Ruize Investment Mgmt Partnership Entpr (</t>
  </si>
  <si>
    <t>CMB International Capital Management (Shenzhen) Co Ltd.</t>
  </si>
  <si>
    <t>Tibet Hongshang Capital Investment Co. Ltd.</t>
  </si>
  <si>
    <t>Jian Pan</t>
  </si>
  <si>
    <t>Kuwait Investment Authority</t>
  </si>
  <si>
    <t>Hillhouse Investment Management Ltd.</t>
  </si>
  <si>
    <t>China Petrochemical Corp.</t>
  </si>
  <si>
    <t>Artisan Partners LP</t>
  </si>
  <si>
    <t>Goldman Sachs Group Inc.</t>
  </si>
  <si>
    <t>Nordea Investment Management AB</t>
  </si>
  <si>
    <t>Ninety One UK Ltd.</t>
  </si>
  <si>
    <t>RobecoSAM AG</t>
  </si>
  <si>
    <t>Vontobel Asset Management AG</t>
  </si>
  <si>
    <t>Robeco (Schweiz) AG</t>
  </si>
  <si>
    <t>Sands Capital Management LLC</t>
  </si>
  <si>
    <t>Orbis Investment Management Ltd.</t>
  </si>
  <si>
    <t>M&amp;G Investment Management Ltd.</t>
  </si>
  <si>
    <t>Impax Asset Management Group Plc</t>
  </si>
  <si>
    <t>AGF Management Ltd.</t>
  </si>
  <si>
    <t>Thornburg Investment Management Inc.</t>
  </si>
  <si>
    <t>Axiom Investors LLC</t>
  </si>
  <si>
    <t>Polar Capital Holdings PLC</t>
  </si>
  <si>
    <t>Munro Partners</t>
  </si>
  <si>
    <t>W1M Investment Management Ltd.</t>
  </si>
  <si>
    <t>C WorldWide Asset Management Fondsmaeglerselskab A/S</t>
  </si>
  <si>
    <t>Comgest S.A.</t>
  </si>
  <si>
    <t>Baron Capital Group Inc.</t>
  </si>
  <si>
    <t>Candriam Société En Commandite Par Actions</t>
  </si>
  <si>
    <t>Fideuram Asset Management Sgr</t>
  </si>
  <si>
    <t>Artemis Investment Management LLP</t>
  </si>
  <si>
    <t>Pacific Capital Funds LLC</t>
  </si>
  <si>
    <t>Pacific Asset Management LLP</t>
  </si>
  <si>
    <t>William Blair Investment Management LLC</t>
  </si>
  <si>
    <t>Union Asset Management Holding AG</t>
  </si>
  <si>
    <t>Barclays Bank PLC</t>
  </si>
  <si>
    <t>Hermes Investment Management Ltd.</t>
  </si>
  <si>
    <t>Sycomore Asset Management SA</t>
  </si>
  <si>
    <t>Mackenzie Investments Europe Ltd.</t>
  </si>
  <si>
    <t>Boston Common Asset Management LLC</t>
  </si>
  <si>
    <t>ClearBridge Investments LLC</t>
  </si>
  <si>
    <t>Oddo BHF Trust GmbH</t>
  </si>
  <si>
    <t>Union Bancaire Privée UBP SA</t>
  </si>
  <si>
    <t>WCM Investment Management LLC</t>
  </si>
  <si>
    <t>Vontobel Asset Management SA</t>
  </si>
  <si>
    <t>Genesis Investment Management LLP</t>
  </si>
  <si>
    <t>Carmignac Gestion SA</t>
  </si>
  <si>
    <t>Magellan Investment Partners</t>
  </si>
  <si>
    <t>Kenanga Investors Bhd.</t>
  </si>
  <si>
    <t>Heptagon Capital LLP</t>
  </si>
  <si>
    <t>East Capital Financial Services AB</t>
  </si>
  <si>
    <t>Stifel Europe AG</t>
  </si>
  <si>
    <t>Tundra Fonder AB</t>
  </si>
  <si>
    <t>Bin Yuan Capital Ltd.</t>
  </si>
  <si>
    <t>ZKB Asset Management</t>
  </si>
  <si>
    <t>Jackson National Asset Management LLC</t>
  </si>
  <si>
    <t>ODDO BHF Asset Management SAS</t>
  </si>
  <si>
    <t>Dodge &amp; Cox</t>
  </si>
  <si>
    <t>Vontobel Asset Management Inc.</t>
  </si>
  <si>
    <t>First Eagle Investment Management LLC</t>
  </si>
  <si>
    <t>Calamos Advisors LLC</t>
  </si>
  <si>
    <t>GLG LLC</t>
  </si>
  <si>
    <t>Hony Horizon Fund Management Co. Ltd.</t>
  </si>
  <si>
    <t>Architas Multi-Manager Europe Ltd.</t>
  </si>
  <si>
    <t>Bank Julius Bär &amp; Co. AG</t>
  </si>
  <si>
    <t>GAM Holding AG</t>
  </si>
  <si>
    <t>Raiffeisen Kapitalanlage-Gesellschaft m.b.H.</t>
  </si>
  <si>
    <t>DSP BlackRock Invts Magrs Pvt. Ltd</t>
  </si>
  <si>
    <t>La Banque Postale Asset Management</t>
  </si>
  <si>
    <t>Bg Fund Management Luxembourg S.A.</t>
  </si>
  <si>
    <t>Mainfirst Affiliated Fund Managers (Switzerland) Ag</t>
  </si>
  <si>
    <t>North of South Capital LLP</t>
  </si>
  <si>
    <t>Robeco Hong Kong Ltd.</t>
  </si>
  <si>
    <t>Ofi Invest Asset Management</t>
  </si>
  <si>
    <t>Morningstar Investment Management LLC</t>
  </si>
  <si>
    <t>Epoch Investment Partners Inc.</t>
  </si>
  <si>
    <t>American Beacon Advisors Inc.</t>
  </si>
  <si>
    <t>Libin Tan</t>
  </si>
  <si>
    <t>Swisscanto Asset Management Ltd.</t>
  </si>
  <si>
    <t>Bank of Singapore Ltd.</t>
  </si>
  <si>
    <t>Schroder Unit Trusts Limited</t>
  </si>
  <si>
    <t>Edmond de Rothschild Asset Management (France)</t>
  </si>
  <si>
    <t>CA Indosuez Wealth (Europe)</t>
  </si>
  <si>
    <t>Ashmore Investment Advisors Ltd.</t>
  </si>
  <si>
    <t>TBF Global Asset Management GmbH</t>
  </si>
  <si>
    <t>Vaughan Nelson Investment Management L.P.</t>
  </si>
  <si>
    <t>Oriental Alpha Fund Management Co. Ltd.</t>
  </si>
  <si>
    <t>DJE Kapital AG</t>
  </si>
  <si>
    <t>DNB Asset Management AS</t>
  </si>
  <si>
    <t>Acatis Anlageberatung fur Investmentfonds GmbH</t>
  </si>
  <si>
    <t>SEB Funds AB</t>
  </si>
  <si>
    <t>Clearbridge Inc.</t>
  </si>
  <si>
    <t>Asia Growth Capital Management AB</t>
  </si>
  <si>
    <t>Societe d'Administration et de Gestion Atlantas SAGA S.A.</t>
  </si>
  <si>
    <t>Danske Capital Denmark</t>
  </si>
  <si>
    <t>Swisscanto Asset Management International S.A.</t>
  </si>
  <si>
    <t>Sparinvest SA (Luxembourg)</t>
  </si>
  <si>
    <t>Mackenzie Investments Asia Ltd.</t>
  </si>
  <si>
    <t>AIA Investment Management Private Limited</t>
  </si>
  <si>
    <t>Green Court Capital Management Ltd.</t>
  </si>
  <si>
    <t>RAM Active Investments SA</t>
  </si>
  <si>
    <t>ID-Sparinvest, Filial af Sparinvest S.A., Luxembourg</t>
  </si>
  <si>
    <t>Natixis Investment Managers International</t>
  </si>
  <si>
    <t>Li Jiang</t>
  </si>
  <si>
    <t>Shu Zheng</t>
  </si>
  <si>
    <t>Avadis Vorsorge AG</t>
  </si>
  <si>
    <t>Cape Capital AG</t>
  </si>
  <si>
    <t>Deka VermÖGensmanagement GmbH</t>
  </si>
  <si>
    <t>Thematica SA</t>
  </si>
  <si>
    <t>Française Inflection Point</t>
  </si>
  <si>
    <t>Green Alpha Advisors LLC</t>
  </si>
  <si>
    <t>Active Niche Funds SA</t>
  </si>
  <si>
    <t>Euromobiliare Asset Management SGR SpA</t>
  </si>
  <si>
    <t>Vontobel Europe SA</t>
  </si>
  <si>
    <t>Red Gate Asset Management Company Ltd.</t>
  </si>
  <si>
    <t>Hartford Funds Management Co LLC</t>
  </si>
  <si>
    <t>Momentum Global Investment Management Ltd.</t>
  </si>
  <si>
    <t>ODDO BHF ASSET MANAGEMENT GmbH</t>
  </si>
  <si>
    <t>Nevastar Finance (Luxembourg) S.A.</t>
  </si>
  <si>
    <t>Quaero Capital SA</t>
  </si>
  <si>
    <t>Thome Asset Management &amp; Asset Controlling</t>
  </si>
  <si>
    <t>First Securities Investment Trust Co. Ltd.</t>
  </si>
  <si>
    <t>HSBC Global Asset Management (France)</t>
  </si>
  <si>
    <t>Storebrand Asset Management AS</t>
  </si>
  <si>
    <t>Zevenbergen Capital Investments LLC</t>
  </si>
  <si>
    <t>Goldman Sachs Asset Management (Singapore) Pte. Ltd.</t>
  </si>
  <si>
    <t>ABS Investment Management LLC</t>
  </si>
  <si>
    <t>Stanley-Laman Group Ltd.</t>
  </si>
  <si>
    <t>Universal-Investment-Luxembourg SA</t>
  </si>
  <si>
    <t>Decalia Asset Management SA</t>
  </si>
  <si>
    <t>Fourton Fund Management Co. Ltd</t>
  </si>
  <si>
    <t>Manulife Investment Management (M) Bhd.</t>
  </si>
  <si>
    <t>PPS Multi-Managers Proprietary Ltd</t>
  </si>
  <si>
    <t>Societe Generale Investment Solutions (Europe)</t>
  </si>
  <si>
    <t>Mainfirst Affiliated Fund Managers (Deutschland) GmbH</t>
  </si>
  <si>
    <t>Valori Asset Management SA</t>
  </si>
  <si>
    <t>AXA Investment Managers Asia Ltd.</t>
  </si>
  <si>
    <t>Threadneedle Asset Management Ltd</t>
  </si>
  <si>
    <t>HANSAINVEST Hanseatische Investment-GmbH</t>
  </si>
  <si>
    <t>Backes, Kröger &amp; Partner Vermögensverwaltungs AG</t>
  </si>
  <si>
    <t>Controlfida (Suisse) SA</t>
  </si>
  <si>
    <t>Fil Fund Management (China) Company Ltd.</t>
  </si>
  <si>
    <t>Barclays Investment Solutions Ltd.</t>
  </si>
  <si>
    <t>Taichung Bank Securities Investment Trust Co. Ltd.</t>
  </si>
  <si>
    <t>Fenggang Zhao</t>
  </si>
  <si>
    <t>Kenanga Islamic Investors Bhd</t>
  </si>
  <si>
    <t>SIGNAL IDUNA Asset Management GmbH</t>
  </si>
  <si>
    <t>Weisshorn Asset Management Sa</t>
  </si>
  <si>
    <t>Canada Life Investment Management Ltd.</t>
  </si>
  <si>
    <t>First Sentier Investors (UK) IM Ltd.</t>
  </si>
  <si>
    <t>Merchbanc S.A. S.G.I.I.C</t>
  </si>
  <si>
    <t>Caja Ingenieros Gestión SGIIC SAU</t>
  </si>
  <si>
    <t>SinoPac Securities Investment Trust Co.Ltd.</t>
  </si>
  <si>
    <t>Financiere de l'Echiquier</t>
  </si>
  <si>
    <t>Keppler Asset Management Inc.</t>
  </si>
  <si>
    <t>Ocean Joy Securities Ltd.</t>
  </si>
  <si>
    <t>IS Asset Management</t>
  </si>
  <si>
    <t>Fred Alger Management LLC</t>
  </si>
  <si>
    <t>IPConcept Fund Management SA</t>
  </si>
  <si>
    <t>Trilogy Global Advisors LP</t>
  </si>
  <si>
    <t>Baader Bank AG</t>
  </si>
  <si>
    <t>Aubrey Capital Management Ltd.</t>
  </si>
  <si>
    <t>Polen Capital Management LLC</t>
  </si>
  <si>
    <t>Nemesia S.à.r.l</t>
  </si>
  <si>
    <t>Bestinver Gestión S.A. SGIIC</t>
  </si>
  <si>
    <t>Nationale-Nederlanden Powszechne Towarzystwo Emerytalne S.A.</t>
  </si>
  <si>
    <t>Adam I. Lundin</t>
  </si>
  <si>
    <t>Konwave AG (Gold 2000)</t>
  </si>
  <si>
    <t>Charles Ashley Heppenstall</t>
  </si>
  <si>
    <t>Beutel Goodman &amp; Co. Ltd.</t>
  </si>
  <si>
    <t>Jack O. A. Lundin</t>
  </si>
  <si>
    <t>Sjunde AP-fonden</t>
  </si>
  <si>
    <t>Northern Trust Fund Managers (Ireland) Ltd</t>
  </si>
  <si>
    <t>Baker Steel Capital Managers LLP</t>
  </si>
  <si>
    <t>Polaris Capital Management LLC</t>
  </si>
  <si>
    <t>Waratah Capital Advisors Ltd.</t>
  </si>
  <si>
    <t>Goehring &amp; Rozencwajg Associates LLC</t>
  </si>
  <si>
    <t>Teitur Poulsen</t>
  </si>
  <si>
    <t>Fisher Asset Management LLC</t>
  </si>
  <si>
    <t>Banque Carnegie Luxembourg SA</t>
  </si>
  <si>
    <t>Pekao Towarzystwo Funduszy Inwestycyjnych SA</t>
  </si>
  <si>
    <t>Kingwest &amp; Co.</t>
  </si>
  <si>
    <t>Amundi Luxembourg S.A.</t>
  </si>
  <si>
    <t>Canoe Financial LP</t>
  </si>
  <si>
    <t>Brompton Funds Ltd.</t>
  </si>
  <si>
    <t>Financiere Arbevel</t>
  </si>
  <si>
    <t>Juan Andres Morel Lara</t>
  </si>
  <si>
    <t>CaixaBank Asset Management SGIIC S.A.U.</t>
  </si>
  <si>
    <t>Investors Fund Open TFI SA</t>
  </si>
  <si>
    <t>Montrusco Bolton Investments Inc.</t>
  </si>
  <si>
    <t>OceanRock Investments Inc.</t>
  </si>
  <si>
    <t>Donald Kinloch Charter</t>
  </si>
  <si>
    <t>Société Générale SA</t>
  </si>
  <si>
    <t>Confluence Investment Management LLC</t>
  </si>
  <si>
    <t>Lombard Odier (Europe) SA</t>
  </si>
  <si>
    <t>Westbeck Capital Management LLP</t>
  </si>
  <si>
    <t>Dale Canfield Peniuk</t>
  </si>
  <si>
    <t>OP Varainhoito Oy</t>
  </si>
  <si>
    <t>Park Avenue Institutional Advisers LLC</t>
  </si>
  <si>
    <t>MandG Investments Southern Africa (Pty) Ltd.</t>
  </si>
  <si>
    <t>Swiss Life Asset Management AG</t>
  </si>
  <si>
    <t>Chesapeake Capital Corp.</t>
  </si>
  <si>
    <t>Crossinvest SA</t>
  </si>
  <si>
    <t>SIA Funds AG</t>
  </si>
  <si>
    <t>Goodman &amp; Co. Investment Counsel Inc.</t>
  </si>
  <si>
    <t>Sutterluty Investment Management GmbH</t>
  </si>
  <si>
    <t>Northwest &amp; Ethical Investments LP</t>
  </si>
  <si>
    <t>R.E.G.A.R. Private Wealth Inc.</t>
  </si>
  <si>
    <t>PKO Towarzystwo Funduszy Inwestycyjnych SA</t>
  </si>
  <si>
    <t>Marquest Asset Management Inc.</t>
  </si>
  <si>
    <t>DNB Carnegie Investment Bank AB</t>
  </si>
  <si>
    <t>Jacinta Zaleski</t>
  </si>
  <si>
    <t>Eurizon Capital Sgr S.P.A. - Luxembourg Branch</t>
  </si>
  <si>
    <t>Albert D. Mason Inc.</t>
  </si>
  <si>
    <t>Tresides Asset Management GmbH</t>
  </si>
  <si>
    <t>Alantra Wealth Management Gestión SGIIC SA</t>
  </si>
  <si>
    <t>Quadriga Asset Managers Sgiic S.A</t>
  </si>
  <si>
    <t>Q Cantar Holdings Inc</t>
  </si>
  <si>
    <t>Renta 4 Gestora S.G.I.I.C. SA</t>
  </si>
  <si>
    <t>Antea VermÖGensverwaltung GmbH</t>
  </si>
  <si>
    <t>Nathan Monash</t>
  </si>
  <si>
    <t>Osmosis Investment Management UK Ltd.</t>
  </si>
  <si>
    <t>Victoria Jane McMillan</t>
  </si>
  <si>
    <t>Alicanto Capital Sgr SpA</t>
  </si>
  <si>
    <t>Yapi Kredi Portföy Yönetimi A.S.</t>
  </si>
  <si>
    <t>Michael Steinmann</t>
  </si>
  <si>
    <t>Natasha Nella Domini Vaz</t>
  </si>
  <si>
    <t>Global Portföy Yönetimi A.S.</t>
  </si>
  <si>
    <t>Transamerica Asset Management Inc.</t>
  </si>
  <si>
    <t>Garanti Portföy Yönetimi AS</t>
  </si>
  <si>
    <t>Faircourt Asset Management Inc.</t>
  </si>
  <si>
    <t>Bantleon Invest Kapitalverwaltungsgesellschaft mbH</t>
  </si>
  <si>
    <t>Munich Re Investment Partners GmbH</t>
  </si>
  <si>
    <t>Nano-Cap New Millennium Advisors, Llc</t>
  </si>
  <si>
    <t>Robeco Institutional Asset Management (UK) Ltd.</t>
  </si>
  <si>
    <t>Nykredit Portefølje Administration A/S</t>
  </si>
  <si>
    <t>Timothy Partners Ltd.</t>
  </si>
  <si>
    <t>PVV Private Vermögensverwaltung AG</t>
  </si>
  <si>
    <t>Lummis Asset Management L.P.</t>
  </si>
  <si>
    <t>Folio Financial Inc.</t>
  </si>
  <si>
    <t>The Huntington Trust Company NA</t>
  </si>
  <si>
    <t>Marathon Asset Management Ltd.</t>
  </si>
  <si>
    <t>Los Angeles Capital Management LLC</t>
  </si>
  <si>
    <t>DRW Holdings LLC</t>
  </si>
  <si>
    <t>Kopernik Global Investors LLC</t>
  </si>
  <si>
    <t>White Oak Capital Partners Pte. Ltd.</t>
  </si>
  <si>
    <t>Marshall Wace LLP</t>
  </si>
  <si>
    <t>First Asset Management JSC</t>
  </si>
  <si>
    <t>East Capital AB</t>
  </si>
  <si>
    <t>VTB Capital Asset Management</t>
  </si>
  <si>
    <t>Montes Auri Asset Management</t>
  </si>
  <si>
    <t>GQG Partners LLC</t>
  </si>
  <si>
    <t>East Capital Asset Management AB</t>
  </si>
  <si>
    <t>Promsvyaz Management Company</t>
  </si>
  <si>
    <t>Aton-Management Asset Management Company</t>
  </si>
  <si>
    <t>Probus Capital Management SA</t>
  </si>
  <si>
    <t>StarCapital AG</t>
  </si>
  <si>
    <t>Alfa-Capital Management Company LLC</t>
  </si>
  <si>
    <t>Taunus Trust AG</t>
  </si>
  <si>
    <t>ZAO Kapital Asset Management</t>
  </si>
  <si>
    <t>Solid Management CJSC</t>
  </si>
  <si>
    <t>REGION Asset Management JSC</t>
  </si>
  <si>
    <t>Mori Capital Management Ltd</t>
  </si>
  <si>
    <t>Sk VermÖGensverwaltung GmbH</t>
  </si>
  <si>
    <t>Transfingroup Asset Management CJSC</t>
  </si>
  <si>
    <t>Mutual of America Capital Management LLC</t>
  </si>
  <si>
    <t>Momentum Asset Management (Pty) Ltd.</t>
  </si>
  <si>
    <t>Altrafin Advisory AG</t>
  </si>
  <si>
    <t>Mahrberg Wealth AG</t>
  </si>
  <si>
    <t>APELSO CAPITAL Befektetési Alapkezelo Zrt</t>
  </si>
  <si>
    <t>Banca Popolare di Sondrio (SUISSE) SA</t>
  </si>
  <si>
    <t>Alterarea Eafi SL</t>
  </si>
  <si>
    <t>Davy Global Fund Management Luxembourg SA</t>
  </si>
  <si>
    <t>Obsidian Capital (Pty) Ltd</t>
  </si>
  <si>
    <t>Ashburton Fund Managers (Pty) Ltd.</t>
  </si>
  <si>
    <t>Carrera Asset Management Co., Ltd</t>
  </si>
  <si>
    <t>Ramirez Asset Management Inc.</t>
  </si>
  <si>
    <t>BayernInvest Luxembourg S.A.</t>
  </si>
  <si>
    <t>Main Street Group Ltd.</t>
  </si>
  <si>
    <t>Shenzhen Chengtun Industrial Development Co. Ltd.</t>
  </si>
  <si>
    <t>Xiongjie Yao</t>
  </si>
  <si>
    <t>Robina Wood Ltd..</t>
  </si>
  <si>
    <t>CITIC Asset Management Corporation Ltd.</t>
  </si>
  <si>
    <t>Dong Chen</t>
  </si>
  <si>
    <t>Xiong Weng</t>
  </si>
  <si>
    <t>Xin Jin</t>
  </si>
  <si>
    <t>Xiong Bo</t>
  </si>
  <si>
    <t>Yapeng Zou</t>
  </si>
  <si>
    <t>Yicong Wu</t>
  </si>
  <si>
    <t>Cathay Fortune Corporation Ltd.</t>
  </si>
  <si>
    <t>Chengtong Fund Management Co., Ltd.</t>
  </si>
  <si>
    <t>Ruiwen Sun</t>
  </si>
  <si>
    <t>Honglin Yuan</t>
  </si>
  <si>
    <t>Chaochun Li</t>
  </si>
  <si>
    <t>Dajun Liu</t>
  </si>
  <si>
    <t>Harbor Capital Advisors Inc.</t>
  </si>
  <si>
    <t>Zhenhao Zhang</t>
  </si>
  <si>
    <t>Royal Bank of Canada</t>
  </si>
  <si>
    <t>Via Am</t>
  </si>
  <si>
    <t>Li Qun Zhang</t>
  </si>
  <si>
    <t>Ruida Fund Management Co. Ltd.</t>
  </si>
  <si>
    <t>DFP Deutsche Finanz Portfolioverwaltung GmbH</t>
  </si>
  <si>
    <t>Asm Mara Unit Trust Management Bhd.</t>
  </si>
  <si>
    <t>ShariaPortfolio Inc.</t>
  </si>
  <si>
    <t>South China Yongchang Securities Investment Trust Co. Ltd.</t>
  </si>
  <si>
    <t>Sinvo Fund Management Co. Ltd.</t>
  </si>
  <si>
    <t>AHL Partners LLP</t>
  </si>
  <si>
    <t>Symmetry Partners LLC</t>
  </si>
  <si>
    <t>Tobam SAS</t>
  </si>
  <si>
    <t>Boyuan Asset Management Co. Ltd.</t>
  </si>
  <si>
    <t>China CITIC Financial Asset Management Co. Ltd.</t>
  </si>
  <si>
    <t>Public Investment Corporation Ltd.</t>
  </si>
  <si>
    <t>Lingotto Investment Management LLP</t>
  </si>
  <si>
    <t>36one Asset Management (Pty) Ltd.</t>
  </si>
  <si>
    <t>Truffle Asset Management</t>
  </si>
  <si>
    <t>Old Mutual Customised Solutions (Pty) Ltd.</t>
  </si>
  <si>
    <t>STANLIB Asset Management (Pty) Ltd.</t>
  </si>
  <si>
    <t>Taquanta Asset Managers (Pty) Ltd.</t>
  </si>
  <si>
    <t>Fairtree Asset Management (Pty) Ltd.</t>
  </si>
  <si>
    <t>Citadel Investment Services Ltd.</t>
  </si>
  <si>
    <t>Aylett &amp; Co. (Pty) Ltd.</t>
  </si>
  <si>
    <t>Bessemer Investment Management LLC</t>
  </si>
  <si>
    <t>10X Investments (Pty) Ltd</t>
  </si>
  <si>
    <t>Momentum Multi-Manager (Pty) Ltd.</t>
  </si>
  <si>
    <t>Stanlib Collective Investments</t>
  </si>
  <si>
    <t>Laurium Capital (Pty) Ltd.</t>
  </si>
  <si>
    <t>Bateleur Capital Proprietary Limited</t>
  </si>
  <si>
    <t>M&amp;G Investment Managers (Pty) Ltd.</t>
  </si>
  <si>
    <t>CapSolutions GmbH</t>
  </si>
  <si>
    <t>Ashburton Management Co. (Pty) Ltd.</t>
  </si>
  <si>
    <t>Portfoliometrix Asset Management SA (Pty) Ltd.</t>
  </si>
  <si>
    <t>Abax Investments Pty. Ltd.</t>
  </si>
  <si>
    <t>Personal Trust International Management Company (Pty) Ltd</t>
  </si>
  <si>
    <t>Nicolaas Johannes Muller</t>
  </si>
  <si>
    <t>Methodical Investment Management (Pty) Ltd.</t>
  </si>
  <si>
    <t>Aeon Investment Management (Pty) Ltd.</t>
  </si>
  <si>
    <t>All Weather Capital (Pty) Ltd.</t>
  </si>
  <si>
    <t>Sentio Capital Management (Pty) Ltd.</t>
  </si>
  <si>
    <t>U.S. Global Investors Inc.</t>
  </si>
  <si>
    <t>Nest Asset Management (Pty) Ltd.</t>
  </si>
  <si>
    <t>Investment Solutions Ltd.</t>
  </si>
  <si>
    <t>Celerity Investments (Pty) Ltd.</t>
  </si>
  <si>
    <t>Stanlib Multi-Manager Ltd.</t>
  </si>
  <si>
    <t>Novare Investments (Pty) Ltd</t>
  </si>
  <si>
    <t>Price Value Partners Ltd.</t>
  </si>
  <si>
    <t>ClucasGray Investment Management Pty. LTD</t>
  </si>
  <si>
    <t>Efficient Select (Pty) Ltd.</t>
  </si>
  <si>
    <t>Mianzo Investment Management</t>
  </si>
  <si>
    <t>Mazi Asset Management (Pty) Ltd</t>
  </si>
  <si>
    <t>Sanlam Multi Manager International (Pty) Ltd</t>
  </si>
  <si>
    <t>Polaris Capital South Africa</t>
  </si>
  <si>
    <t>Peregrine Capital (Pty) Ltd</t>
  </si>
  <si>
    <t>Sanlam Namibia Trust Managers Ltd</t>
  </si>
  <si>
    <t>Visio Fund Management (Pty) Ltd.</t>
  </si>
  <si>
    <t>Investec Investment Management (Pty) Ltd.</t>
  </si>
  <si>
    <t>Seed Investment Consultants (Pty) Ltd.</t>
  </si>
  <si>
    <t>Apis Asset Management</t>
  </si>
  <si>
    <t>Vunani Fund Managers (Pty) Ltd.</t>
  </si>
  <si>
    <t>Meroonisha Kerber</t>
  </si>
  <si>
    <t>Absa Multi Management</t>
  </si>
  <si>
    <t>Warwick Funds (Pty) Ltd</t>
  </si>
  <si>
    <t>Hollard Investment Managers (Pty) Ltd</t>
  </si>
  <si>
    <t>Matrix Fund Managers Proprietary Limited</t>
  </si>
  <si>
    <t>Boutique Investment Partners (Pty) Ltd.</t>
  </si>
  <si>
    <t>Alexander Forbes Investments (Pty) Ltd.</t>
  </si>
  <si>
    <t>Capita Asset Management (Pty) Ltd.</t>
  </si>
  <si>
    <t>Lee-Ann N. Samuel</t>
  </si>
  <si>
    <t>Ampersand Asset Management (Pty) Ltd</t>
  </si>
  <si>
    <t>Excelsia Capital (Pty) Ltd</t>
  </si>
  <si>
    <t>Boutique Collective Investments (Pty) Ltd.</t>
  </si>
  <si>
    <t>New Road Capital (Pty) Ltd.</t>
  </si>
  <si>
    <t>Mack &amp; Weise GmbH</t>
  </si>
  <si>
    <t>Sasfin Asset Managers (Pty) Ltd.</t>
  </si>
  <si>
    <t>Wealth Associates Asset Management</t>
  </si>
  <si>
    <t>Prudential Portfolio Managers (Namibia) (Pty) Ltd.</t>
  </si>
  <si>
    <t>1nvest Fund Managers (Pty) Ltd.</t>
  </si>
  <si>
    <t>Domini Impact Investments LLC</t>
  </si>
  <si>
    <t>Camissa Asset Management Pty. Ltd.</t>
  </si>
  <si>
    <t>Ampega Investment GmbH</t>
  </si>
  <si>
    <t>Corion Capital (Pty) Ltd.</t>
  </si>
  <si>
    <t>BlueAlpha Investment Management (Pty) Ltd</t>
  </si>
  <si>
    <t>Old Mutual Unit Trust Managers (RF) (Pty) Ltd.</t>
  </si>
  <si>
    <t>Gryphon Asset Management (Pty) Ltd.</t>
  </si>
  <si>
    <t>Differential Capital (Pty) Ltd.</t>
  </si>
  <si>
    <t>27four Investment Managers (Pty) Ltd</t>
  </si>
  <si>
    <t>NewFunds (Pty) Ltd</t>
  </si>
  <si>
    <t>Oyster Catcher Investments (Pty) Ltd.</t>
  </si>
  <si>
    <t>Prudential Portfolio Managers Unit Trusts Ltd</t>
  </si>
  <si>
    <t>Perpetua Investment Managers (Pty) Ltd.</t>
  </si>
  <si>
    <t>ALUWANI Capital Partners (Pty) Ltd.</t>
  </si>
  <si>
    <t>Visio Capital Management (Pty) Ltd.</t>
  </si>
  <si>
    <t>Salvo Investment Managers (Pty) Ltd</t>
  </si>
  <si>
    <t>Accorn Investment Management</t>
  </si>
  <si>
    <t>Curate Investments (Pty) Ltd.</t>
  </si>
  <si>
    <t>Counterpoint Boutique Pty Ltd</t>
  </si>
  <si>
    <t>2Ip Independent Investment Partners</t>
  </si>
  <si>
    <t>Prime Collective Investment Schemes Management Co</t>
  </si>
  <si>
    <t>Lodestar Fund Managers (Pty) Ltd.</t>
  </si>
  <si>
    <t>Noble Private Portfolios Pty Ltd.</t>
  </si>
  <si>
    <t>ID Capital (Pty) Ltd.</t>
  </si>
  <si>
    <t>Genera Capital (Pty) Ltd.</t>
  </si>
  <si>
    <t>Orchard Investment Management (Pty) Ltd.</t>
  </si>
  <si>
    <t>Sequoia Capital Management (Pty) Ltd.</t>
  </si>
  <si>
    <t>Flagship Pvt. Asset Management (Pty) Ltd.</t>
  </si>
  <si>
    <t>Tresor Wealth (Pty) Ltd</t>
  </si>
  <si>
    <t>Cadiz Asset Management (Pty) Ltd.</t>
  </si>
  <si>
    <t>Orion Portfolio Solutions LLC</t>
  </si>
  <si>
    <t>Security Kapitalanlage AG</t>
  </si>
  <si>
    <t>RSA Multi Asset Managers (Pty) Ltd</t>
  </si>
  <si>
    <t>Baymont Wealth Pty. LTD</t>
  </si>
  <si>
    <t>Mergence Investment Managers (Pty) Ltd.</t>
  </si>
  <si>
    <t>FCA Corp</t>
  </si>
  <si>
    <t>Sygnia Collective Investments (RF) Proprietary Limited</t>
  </si>
  <si>
    <t>Alusi Asset Management</t>
  </si>
  <si>
    <t>Terebinth Capital (Pty) Ltd</t>
  </si>
  <si>
    <t>N-e-FG Fund Management (Pty) Ltd.</t>
  </si>
  <si>
    <t>Tuttle Capital Management LLC</t>
  </si>
  <si>
    <t>Quantum Asset Management Company Private Ltd.</t>
  </si>
  <si>
    <t>Novare CIS (RF) (Pty) Ltd</t>
  </si>
  <si>
    <t>CAEP ASSET MANAGERS (PTY) LTD</t>
  </si>
  <si>
    <t>Imali Asset Management (Pty) Ltd</t>
  </si>
  <si>
    <t>Satrix Managers (RF) (Pty) Ltd</t>
  </si>
  <si>
    <t>Southerncross Capital (Pty) Ltd.</t>
  </si>
  <si>
    <t>Investec Wealth &amp; Investment Management (Pty) Ltd</t>
  </si>
  <si>
    <t>Prowess Investment Managers</t>
  </si>
  <si>
    <t>K2 Capital (Pty) Ltd</t>
  </si>
  <si>
    <t>Lima Mbeu Investment Managers (Pty) Ltd.</t>
  </si>
  <si>
    <t>Argon Asset Management (pty.) Ltd.</t>
  </si>
  <si>
    <t>Altinvest MultiAsset Fund Management</t>
  </si>
  <si>
    <t>Gesiuris</t>
  </si>
  <si>
    <t>Aureus Nobilis (Pty) Ltd</t>
  </si>
  <si>
    <t>Tantalum Capital (Pty) Ltd.</t>
  </si>
  <si>
    <t>DePrince Race &amp; Zollo Inc.</t>
  </si>
  <si>
    <t>4D Wealth Management</t>
  </si>
  <si>
    <t>Boutique Asset Management Pty Ltd.</t>
  </si>
  <si>
    <t>Bidvest Asset Management (Pty) Ltd.</t>
  </si>
  <si>
    <t>Amplify</t>
  </si>
  <si>
    <t>Golden State Equity Advisors LLC</t>
  </si>
  <si>
    <t>Noluthando Dorian Bahedile Orleyn</t>
  </si>
  <si>
    <t>Umthombo Wealth (Pty) Ltd</t>
  </si>
  <si>
    <t>ORG Partners LLC</t>
  </si>
  <si>
    <t>Strategic Investment Solutions Inc.</t>
  </si>
  <si>
    <t>REITs</t>
  </si>
  <si>
    <t>Ivan Glasenberg</t>
  </si>
  <si>
    <t>Qatar Holding LLC</t>
  </si>
  <si>
    <t>Tor Peterson</t>
  </si>
  <si>
    <t>Allan &amp; Gill Gray Foundation</t>
  </si>
  <si>
    <t>Allan Gray Pty. Ltd.</t>
  </si>
  <si>
    <t>Perpetual Ltd.</t>
  </si>
  <si>
    <t>SAFE Investment Co. Ltd.</t>
  </si>
  <si>
    <t>PRIMECAP Management Co.</t>
  </si>
  <si>
    <t>Harris Associates LP</t>
  </si>
  <si>
    <t>Hargreaves Lansdown Asset Management Ltd.</t>
  </si>
  <si>
    <t>Interactive Brokers Group Inc.</t>
  </si>
  <si>
    <t>PSG Collective Investments Ltd</t>
  </si>
  <si>
    <t>First Pacific Advisors LP</t>
  </si>
  <si>
    <t>Coronation Fund Managers Ltd.</t>
  </si>
  <si>
    <t>Glencore Plc ESOP</t>
  </si>
  <si>
    <t>Lombard Odier Darier Hentsch &amp; Cie Asset Management</t>
  </si>
  <si>
    <t>Temasek Holdings (Pvt.) Ltd.</t>
  </si>
  <si>
    <t>J O Hambro Capital Management Ltd.</t>
  </si>
  <si>
    <t>TrinityBridge Ltd.</t>
  </si>
  <si>
    <t>Prescient Management Company (RF) (Pty) Ltd.</t>
  </si>
  <si>
    <t>Union Bancaire Privee Asset Management LLC</t>
  </si>
  <si>
    <t>West Yorkshire Pension Fund</t>
  </si>
  <si>
    <t>BPER Banca SpA</t>
  </si>
  <si>
    <t>Sumitomo Mitsui Financial Group Inc.</t>
  </si>
  <si>
    <t>Canadian Imperial Bank of Commerce</t>
  </si>
  <si>
    <t>DZ Bank AG</t>
  </si>
  <si>
    <t>Merrill Lynch Pierce Fenner &amp; Smith Inc.</t>
  </si>
  <si>
    <t>CapitalatWork Foyer Group, S.A</t>
  </si>
  <si>
    <t>Natixis SA</t>
  </si>
  <si>
    <t>HBOS Investment Fund Managers Ltd.</t>
  </si>
  <si>
    <t>N.F.U. Mutual Unit Managers Ltd.</t>
  </si>
  <si>
    <t>Odey Asset Management LLP</t>
  </si>
  <si>
    <t>Rabobank</t>
  </si>
  <si>
    <t>Ceská Národní Banka</t>
  </si>
  <si>
    <t>Polunin Capital Partners Ltd.</t>
  </si>
  <si>
    <t>The Toronto-Dominion Bank</t>
  </si>
  <si>
    <t>BNY Mellon Advisors Inc.</t>
  </si>
  <si>
    <t>DWS Investment Management Americas Inc.</t>
  </si>
  <si>
    <t>Rathbones Investment Management Ltd.</t>
  </si>
  <si>
    <t>Canaccord Genuity Wealth (International) Ltd.</t>
  </si>
  <si>
    <t>Crocodile Capital Partners GmbH</t>
  </si>
  <si>
    <t>ING Groep NV</t>
  </si>
  <si>
    <t>Handelsbanken Asset Management</t>
  </si>
  <si>
    <t>Quilter Cheviot Ltd.</t>
  </si>
  <si>
    <t>Bank Pictet &amp; Cie (Europe) AG</t>
  </si>
  <si>
    <t>Raymond James Wealth Management Ltd.</t>
  </si>
  <si>
    <t>S.W. Mitchell Capital LLP</t>
  </si>
  <si>
    <t>Jane Street Group LLC</t>
  </si>
  <si>
    <t>ANIMA Asset Management LTD</t>
  </si>
  <si>
    <t>Quintet Asset Management SA</t>
  </si>
  <si>
    <t>Haitong International Asset Management (HK) Ltd.</t>
  </si>
  <si>
    <t>Cartesio Inversiones S.G.I.I.C. S.A.</t>
  </si>
  <si>
    <t>Saxo Bank A/S</t>
  </si>
  <si>
    <t>Aviva Investors UK Fund Services Limited</t>
  </si>
  <si>
    <t>Commonwealth Bank Officers Superannuation Corp. Pty Ltd</t>
  </si>
  <si>
    <t>Gary Nagle</t>
  </si>
  <si>
    <t>Superannuation and Investments HoldCo Pty Ltd.</t>
  </si>
  <si>
    <t>Skandinaviska Enskilda Banken AB (publ)</t>
  </si>
  <si>
    <t>Deutsche Bank AG</t>
  </si>
  <si>
    <t>Research Affiliates LLC</t>
  </si>
  <si>
    <t>RREEF America L.L.C.</t>
  </si>
  <si>
    <t>Royal London Unit Trust Managers Ltd.</t>
  </si>
  <si>
    <t>AS LHV Varahaldus</t>
  </si>
  <si>
    <t>Santander Asset Management UK Ltd.</t>
  </si>
  <si>
    <t>Commerzbank AG</t>
  </si>
  <si>
    <t>State of Wisconsin Investment Board</t>
  </si>
  <si>
    <t>Canada Life Asset Management Ltd.</t>
  </si>
  <si>
    <t>BlackRock Global Funds - MLIIF World Natural Resources Fund</t>
  </si>
  <si>
    <t>Aegis Financial Corp.</t>
  </si>
  <si>
    <t>UniCredit SpA</t>
  </si>
  <si>
    <t>Cohen &amp; Steers Capital Management Inc.</t>
  </si>
  <si>
    <t>Smead Capital Management Inc.</t>
  </si>
  <si>
    <t>Osmosis Investment Management LLP</t>
  </si>
  <si>
    <t>U.S. Bancorp Asset Management Inc.</t>
  </si>
  <si>
    <t>Professionals' Financial - Mutual Funds Inc.</t>
  </si>
  <si>
    <t>RLUM Ltd.</t>
  </si>
  <si>
    <t>Waystone Management (UK) Ltd.</t>
  </si>
  <si>
    <t>Diamond Hill Capital Management Inc.</t>
  </si>
  <si>
    <t>Hansa Capital Partners LLP</t>
  </si>
  <si>
    <t>Ruffer LLP</t>
  </si>
  <si>
    <t>State Farm Mutual Automobile Insurance Co.</t>
  </si>
  <si>
    <t>Sanlam Investments Uk Ltd.</t>
  </si>
  <si>
    <t>Aldebaran Capital LLC</t>
  </si>
  <si>
    <t>Macquarie Group Ltd.</t>
  </si>
  <si>
    <t>Nedgroup Investments</t>
  </si>
  <si>
    <t>Recurrent Investment Advisors LLC</t>
  </si>
  <si>
    <t>FundRock Management Company (Ireland) Ltd.</t>
  </si>
  <si>
    <t>Aramea Asset Management AG</t>
  </si>
  <si>
    <t>Nuveen Fund Advisors LLC</t>
  </si>
  <si>
    <t>Nuveen Asset Management</t>
  </si>
  <si>
    <t>Steyn Capital Management (Pty) Ltd.</t>
  </si>
  <si>
    <t>ARGA Investment Management LP</t>
  </si>
  <si>
    <t>Stonewood Asset Management (Pty) Ltd.</t>
  </si>
  <si>
    <t>Lansdowne Partners Ltd.</t>
  </si>
  <si>
    <t>Exchange Traded Concepts LLC</t>
  </si>
  <si>
    <t>Equitile Investments Ltd</t>
  </si>
  <si>
    <t>Payden &amp; Rygel</t>
  </si>
  <si>
    <t>FundRock Partners Ltd.</t>
  </si>
  <si>
    <t>Sanlam Private Wealth (Pty) Ltd</t>
  </si>
  <si>
    <t>Northstar Asset Management (Pty) Ltd.</t>
  </si>
  <si>
    <t>National-Bank AG</t>
  </si>
  <si>
    <t>Compagnie de Gestion Privée du Patrimoine</t>
  </si>
  <si>
    <t>Aspiriant LLC</t>
  </si>
  <si>
    <t>Bank of New York Mellon Capital Management Corp.</t>
  </si>
  <si>
    <t>Universal-Investment Ireland Fund Management Ltd.</t>
  </si>
  <si>
    <t>Azimut Investments S.A.</t>
  </si>
  <si>
    <t>Denker Capital</t>
  </si>
  <si>
    <t>Ausbil Investment Management Ltd.</t>
  </si>
  <si>
    <t>Element Investment Managers (Pty) Ltd.</t>
  </si>
  <si>
    <t>Clay Asset Management</t>
  </si>
  <si>
    <t>Steinbeis &amp; HÄCker VermÖGensverwaltung GmbH</t>
  </si>
  <si>
    <t>Integrity Asset Management (Pty) Ltd</t>
  </si>
  <si>
    <t>KBL Espana Asset Management SGIIC SA</t>
  </si>
  <si>
    <t>X-Square Capital LLC</t>
  </si>
  <si>
    <t>Wealthpoint Capital (Pty) Ltd.</t>
  </si>
  <si>
    <t>Spirit Asset Management SA</t>
  </si>
  <si>
    <t>Skarbiec TFI S.A.</t>
  </si>
  <si>
    <t>Harvard House Investment Management (Pty)</t>
  </si>
  <si>
    <t>Gesalcalá SA SGIIC</t>
  </si>
  <si>
    <t>African Alliance Advisory (Pty) Ltd</t>
  </si>
  <si>
    <t>Metagestion SGIIC</t>
  </si>
  <si>
    <t>Gesinter SGIIC SA</t>
  </si>
  <si>
    <t>Ayalon Mutual Funds Ltd.</t>
  </si>
  <si>
    <t>Martin James Gilbert</t>
  </si>
  <si>
    <t>Yellowfin Asset Management GmbH</t>
  </si>
  <si>
    <t>Ibercaja Gestion SGIIC SA</t>
  </si>
  <si>
    <t>Bovay &amp; Partenaires SA</t>
  </si>
  <si>
    <t>Fussell Asset Management (Pty) Ltd.</t>
  </si>
  <si>
    <t>Counterpoint Pvt. Capital (Pty) Ltd</t>
  </si>
  <si>
    <t>Autus Fund Managers (Pty) Ltd</t>
  </si>
  <si>
    <t>Elizabeth A. Hewitt</t>
  </si>
  <si>
    <t>MFI Asset Management GmbH</t>
  </si>
  <si>
    <t>Cohesive Capital (Pty) Ltd</t>
  </si>
  <si>
    <t>IM Global Partner Fund Management LLC</t>
  </si>
  <si>
    <t>María Margarita Zuleta</t>
  </si>
  <si>
    <t>P &amp; S VermÖGensberatungs Ag Performance &amp; Sicherheit</t>
  </si>
  <si>
    <t>S-BRO Fonds Bestuurders (Edms) Bpk</t>
  </si>
  <si>
    <t>Baumann &amp; Partners SA</t>
  </si>
  <si>
    <t>Spinoza Capital Gmbh</t>
  </si>
  <si>
    <t>Myriad Asset Management US LP</t>
  </si>
  <si>
    <t>Siemens Fonds Invest GmbH</t>
  </si>
  <si>
    <t>Charteris Treasury Portfolio Managers Ltd.</t>
  </si>
  <si>
    <t>Nest Egg Capital (Pty) Ltd</t>
  </si>
  <si>
    <t>Altshuler Shaham Ltd.</t>
  </si>
  <si>
    <t>AGF Investments LLC</t>
  </si>
  <si>
    <t>Banca Finnat Euramerica SpA</t>
  </si>
  <si>
    <t>Edge Asset Management (Pty) Ltd</t>
  </si>
  <si>
    <t>Asesores y Gestores Financieros Fondos SGIIC S.A.</t>
  </si>
  <si>
    <t>Affinity Capital Management (Pty) Ltd.</t>
  </si>
  <si>
    <t>Empureon Capital Management GmbH</t>
  </si>
  <si>
    <t>Ak Portföy Yönetimi AS</t>
  </si>
  <si>
    <t>Andbank España Banca Privada SAU</t>
  </si>
  <si>
    <t>Contrarius Investment Services (South Africa) Pty Ltd.</t>
  </si>
  <si>
    <t>Albatros Activos XXI Eafi S.L.</t>
  </si>
  <si>
    <t>Apex Investment Consulting SA (Pty) Ltd.</t>
  </si>
  <si>
    <t>Point Capital Group AG</t>
  </si>
  <si>
    <t>Migrosbank Asset Management</t>
  </si>
  <si>
    <t>Alken IM LLP</t>
  </si>
  <si>
    <t>GLG Partners Inc.</t>
  </si>
  <si>
    <t>David Wormsley</t>
  </si>
  <si>
    <t>Plexus Wealth</t>
  </si>
  <si>
    <t>Helaba Invest Kapitalanlagegesellschaft mbH</t>
  </si>
  <si>
    <t>Yorkville Asset Management Inc.</t>
  </si>
  <si>
    <t>Mitonoptimal (South Africa) Pty. Ltd.</t>
  </si>
  <si>
    <t>Hotchkis &amp; Wiley Capital Management LLC</t>
  </si>
  <si>
    <t>Instit (Pty) Ltd</t>
  </si>
  <si>
    <t>A&amp;G Fondos Sgiic S.A</t>
  </si>
  <si>
    <t>Charitable Foundations</t>
  </si>
  <si>
    <t>Alecta Real Estate Investment LLC</t>
  </si>
  <si>
    <t>Handelsbanken Funds</t>
  </si>
  <si>
    <t>Tomas Söderblom</t>
  </si>
  <si>
    <t>Clartan Associés</t>
  </si>
  <si>
    <t>Generali Asset Management SGR SpA</t>
  </si>
  <si>
    <t>Debeka Asset Management GmbH</t>
  </si>
  <si>
    <t>Argenta Bank- en Verzekeringsgroep nv</t>
  </si>
  <si>
    <t>Ruth Asset Management</t>
  </si>
  <si>
    <t>Danske Capital AB</t>
  </si>
  <si>
    <t>Alfred Berg Kapitalforvaltning AB</t>
  </si>
  <si>
    <t>Pax-Bank für Kirche und Caritas eG</t>
  </si>
  <si>
    <t>Mikael Staffas</t>
  </si>
  <si>
    <t>European Capital Partners Luxembourg S.A.</t>
  </si>
  <si>
    <t>Warburg Invest Kapitalanlage GmbH</t>
  </si>
  <si>
    <t>Argenta Asset Management NV Luxembourg Branch</t>
  </si>
  <si>
    <t>Evovest Inc.</t>
  </si>
  <si>
    <t>GSP Asset Management GmbH</t>
  </si>
  <si>
    <t>Spiekermann &amp; Co Aktiengesellschaft</t>
  </si>
  <si>
    <t>State Street Global Advisors AG</t>
  </si>
  <si>
    <t>Thomson Horstmann &amp; Bryant Inc.</t>
  </si>
  <si>
    <t>AXS Investments LLC</t>
  </si>
  <si>
    <t>Credi-Invest SA</t>
  </si>
  <si>
    <t>FIM Asset Management Ltd.</t>
  </si>
  <si>
    <t>IQ EQ Fund Management (Ireland) Ltd.</t>
  </si>
  <si>
    <t>Ossiam</t>
  </si>
  <si>
    <t>Winkel Andreas Vermogensverwaltungen</t>
  </si>
  <si>
    <t>Daniel Peltonen</t>
  </si>
  <si>
    <t>Karl-Henrik Sundstrom</t>
  </si>
  <si>
    <t>HUK-COBURG Asset Management GmbH</t>
  </si>
  <si>
    <t>Stefan Romedahl</t>
  </si>
  <si>
    <t>ODDO BHF Asset Management Lux</t>
  </si>
  <si>
    <t>Håkan Gabrielsson</t>
  </si>
  <si>
    <t>Quaestio Capital Management SGR SpA</t>
  </si>
  <si>
    <t>Åsa Jackson</t>
  </si>
  <si>
    <t>Davy Global Fund Management Ltd.</t>
  </si>
  <si>
    <t>HRK Lunis AG</t>
  </si>
  <si>
    <t>St. Galler Kantonalbank AG</t>
  </si>
  <si>
    <t>Helene Bistrom</t>
  </si>
  <si>
    <t>Per Lindberg</t>
  </si>
  <si>
    <t>Tomas Eliasson</t>
  </si>
  <si>
    <t>Linn Andersson</t>
  </si>
  <si>
    <t>Elisabeth Nilsson</t>
  </si>
  <si>
    <t>Pia Christina Rudengren</t>
  </si>
  <si>
    <t>Arca Fondi S.P.A. Societa' Di Gestione Del Risparmio</t>
  </si>
  <si>
    <t>Westside Investment Management LLC</t>
  </si>
  <si>
    <t>Gard Folkvord</t>
  </si>
  <si>
    <t>Ola Holmström</t>
  </si>
  <si>
    <t>Controlfida Management Co. Ltd</t>
  </si>
  <si>
    <t>Andreas Martensson</t>
  </si>
  <si>
    <t>Mikael Norrby-Holtkamp</t>
  </si>
  <si>
    <t>Tweedy Browne Co. LLC</t>
  </si>
  <si>
    <t>Altrinsic Global Advisors LLC</t>
  </si>
  <si>
    <t>Swiss Life Asset Management (France)</t>
  </si>
  <si>
    <t>Millennium Capital Partners LLP</t>
  </si>
  <si>
    <t>Millennium Management LLC</t>
  </si>
  <si>
    <t>Caixa de Previdencia dos Funcionarios do Banco do Brasil</t>
  </si>
  <si>
    <t>Mitsui &amp; Co. Ltd.</t>
  </si>
  <si>
    <t>Itaú Unibanco Holding SA</t>
  </si>
  <si>
    <t>Caixa Econômica Federal</t>
  </si>
  <si>
    <t>BB Gestão de Recursos - Distribuidora de Títulos e Valores Mobiliários SA</t>
  </si>
  <si>
    <t>Renaissance Technologies LLC</t>
  </si>
  <si>
    <t>Bradesco Asset Management SA Distribuidora de Títulos e Valores Mobiliários</t>
  </si>
  <si>
    <t>Itau USA Asset Management Inc.</t>
  </si>
  <si>
    <t>Genial Investimentos Corretora de Valores Mobiliários SA</t>
  </si>
  <si>
    <t>JPMorgan Chase Bank NA</t>
  </si>
  <si>
    <t>Two Sigma Investments LP</t>
  </si>
  <si>
    <t>BB&amp;T Trust</t>
  </si>
  <si>
    <t>Holocene Advisors LP</t>
  </si>
  <si>
    <t>OMERS Administration Corp.</t>
  </si>
  <si>
    <t>Itau Unibanco Asset Management Ltda</t>
  </si>
  <si>
    <t>Banco Bradesco SA</t>
  </si>
  <si>
    <t>SPX Equities Gestao De Recursos Ltda.</t>
  </si>
  <si>
    <t>Todd Asset Management LLC</t>
  </si>
  <si>
    <t>LarrainVial Asset Management Administradora General de Fondos SA</t>
  </si>
  <si>
    <t>Oceana Investimentos Administradora de Carteira Ltda.</t>
  </si>
  <si>
    <t>Vinci Equities Gestora de Recursos Ltda.</t>
  </si>
  <si>
    <t>Voloridge Investment Management LLC</t>
  </si>
  <si>
    <t>Bridgewater Associates LP</t>
  </si>
  <si>
    <t>Teachers' Retirement System of the State of Kentucky</t>
  </si>
  <si>
    <t>Davis Selected Advisers LP</t>
  </si>
  <si>
    <t>D.E. Shaw &amp; Co. LP</t>
  </si>
  <si>
    <t>Point72 Asset Management LP</t>
  </si>
  <si>
    <t>Citadel Advisors LLC</t>
  </si>
  <si>
    <t>Turim Investimentos Ltda.</t>
  </si>
  <si>
    <t>O'Shaughnessy Asset Management LLC</t>
  </si>
  <si>
    <t>Itaú Investment Solutions SA</t>
  </si>
  <si>
    <t>Tempo Capital Gestao De Recursos</t>
  </si>
  <si>
    <t>Santander Brasil Asset Management Dtvm S.A.</t>
  </si>
  <si>
    <t>BNP Paribas Asset Management Brasil Ltda.</t>
  </si>
  <si>
    <t>Nuveen Investments Inc.</t>
  </si>
  <si>
    <t>Wells Fargo &amp; Co.</t>
  </si>
  <si>
    <t>Fundação CESP</t>
  </si>
  <si>
    <t>REAL Investor Gestao de Recursos Ltda.</t>
  </si>
  <si>
    <t>Foundations Investment Advisors LLC</t>
  </si>
  <si>
    <t>Jgp Gestao De Recursos Ltda.</t>
  </si>
  <si>
    <t>Gemsstock Ltd</t>
  </si>
  <si>
    <t>Apolo Investimentos Ltda.</t>
  </si>
  <si>
    <t>Trexquant Investment LP</t>
  </si>
  <si>
    <t>Sharp Capital Gestora De Recursos Ltda</t>
  </si>
  <si>
    <t>Susquehanna International Group LLP</t>
  </si>
  <si>
    <t>LPL Financial LLC</t>
  </si>
  <si>
    <t>Moneda Administradora de Fondos de Invers</t>
  </si>
  <si>
    <t>Raymond James Financial Inc.</t>
  </si>
  <si>
    <t>BCI Asset Management Administradora General De Fondos SA</t>
  </si>
  <si>
    <t>Balyasny Asset Management LP</t>
  </si>
  <si>
    <t>Opportunity Asset Administração de Recursos de Terceiros Ltda</t>
  </si>
  <si>
    <t>SG Americas Securities LLC</t>
  </si>
  <si>
    <t>Ibirapuera Performance Investimentos Ltda.</t>
  </si>
  <si>
    <t>Kiltearn Partners LLP</t>
  </si>
  <si>
    <t>Caption Management LLC</t>
  </si>
  <si>
    <t>SPX Gestão de Recursos Ltda</t>
  </si>
  <si>
    <t>Quatrinvest Administradora de Recursos Ltda</t>
  </si>
  <si>
    <t>Auerbach Brasil Gestao De Recursos Ltda.</t>
  </si>
  <si>
    <t>Himension Capital (Singapore) Pte Ltd.</t>
  </si>
  <si>
    <t>Safra Asset Management Ltda.</t>
  </si>
  <si>
    <t>Brasil Plural Capital Gestão de Recursos Ltda</t>
  </si>
  <si>
    <t>ARX Investimentos Ltda</t>
  </si>
  <si>
    <t>Euro Pacific Asset Management LLC</t>
  </si>
  <si>
    <t>Icatu Vanguarda Gestão de Recursos Ltda.</t>
  </si>
  <si>
    <t>Alaska Investimentos LTDA.</t>
  </si>
  <si>
    <t>Greenline Partners LLC</t>
  </si>
  <si>
    <t>Trek Financial LLC</t>
  </si>
  <si>
    <t>Fora Capital LLC</t>
  </si>
  <si>
    <t>Larch Capital Partners LLC</t>
  </si>
  <si>
    <t>Nlb Skladi d.o.o.</t>
  </si>
  <si>
    <t>Osaic Wealth Inc.</t>
  </si>
  <si>
    <t>BTG Pactual Global Asset Management Ltd.</t>
  </si>
  <si>
    <t>R.I. Vermögensbetreuung Ag</t>
  </si>
  <si>
    <t>Squarepoint OPS LLC</t>
  </si>
  <si>
    <t>Covalis Capital LLP</t>
  </si>
  <si>
    <t>Hudson River Trading LLC</t>
  </si>
  <si>
    <t>Lifetime Wealth Management P.C.</t>
  </si>
  <si>
    <t>Premier Fund Managers Ltd.</t>
  </si>
  <si>
    <t>Kawa Capital Management Inc.</t>
  </si>
  <si>
    <t>Ohio Public Employees Retirement System</t>
  </si>
  <si>
    <t>Capital Fund Management S.A.</t>
  </si>
  <si>
    <t>Group One Trading LLC</t>
  </si>
  <si>
    <t>Natixis Advisors LLC</t>
  </si>
  <si>
    <t>Investfort Gestão de Investimentos Ltda</t>
  </si>
  <si>
    <t>Pacific Heights Asset Management LLC</t>
  </si>
  <si>
    <t>BW Gestao de Investimentos Ltda.</t>
  </si>
  <si>
    <t>MGO One Seven LLC</t>
  </si>
  <si>
    <t>SAFRA ASSET CORRETORA DE TITULOS E VALORES MOBILIARIOS SA</t>
  </si>
  <si>
    <t>New Jersey Division of Investment</t>
  </si>
  <si>
    <t>Engineers Gate Manager LP</t>
  </si>
  <si>
    <t>Cambridge Investment Research Advisors Inc.</t>
  </si>
  <si>
    <t>Leap Investments LP</t>
  </si>
  <si>
    <t>Crestline Investors Inc</t>
  </si>
  <si>
    <t>LAPB Gestão de Recursos</t>
  </si>
  <si>
    <t>Edward Jones Trust Co.</t>
  </si>
  <si>
    <t>Ritholtz Wealth Management</t>
  </si>
  <si>
    <t>Real Investor Asset Management LTDA</t>
  </si>
  <si>
    <t>Credicorp Capital Asset Management S.A. Administradora General De Fondos</t>
  </si>
  <si>
    <t>Pacific Life Fund Advisors LLC</t>
  </si>
  <si>
    <t>Courtiers Asset Management Limited</t>
  </si>
  <si>
    <t>GTI Administracao de Recursos</t>
  </si>
  <si>
    <t>Quantitas Gestão de Recursos S.A.</t>
  </si>
  <si>
    <t>Managed Account Advisors LLC</t>
  </si>
  <si>
    <t>Robert W. Baird &amp; Co. Inc.</t>
  </si>
  <si>
    <t>HighTower Advisors LLC</t>
  </si>
  <si>
    <t>Trópico Investimentos E Participações Ltda.</t>
  </si>
  <si>
    <t>BRZ Investimentos Ltda.</t>
  </si>
  <si>
    <t>Creative Planning LLC</t>
  </si>
  <si>
    <t>Carlos Henrique Senn Medeiros</t>
  </si>
  <si>
    <t>Bank of America Merrill Lynch Banco Múltiplo SA</t>
  </si>
  <si>
    <t>Oxbow Advisors LLC</t>
  </si>
  <si>
    <t>Osaic Advisory Services LLC</t>
  </si>
  <si>
    <t>Manning &amp; Napier Advisors LLC</t>
  </si>
  <si>
    <t>Genoa Capital Gestora De Recursos Ltda</t>
  </si>
  <si>
    <t>Jordan Park Group LLC</t>
  </si>
  <si>
    <t>Quantinno Capital Management LP</t>
  </si>
  <si>
    <t>LMR Partners LLP</t>
  </si>
  <si>
    <t>Guide Gestão de Recursos Ltda.</t>
  </si>
  <si>
    <t>Vinci Gestao de Patrimonio Ltda</t>
  </si>
  <si>
    <t>J. Safra Serviços de Administração Fiduciária Ltda.</t>
  </si>
  <si>
    <t>Verde Asset Management S.A.</t>
  </si>
  <si>
    <t>Gustavo Duarte Pimenta</t>
  </si>
  <si>
    <t>Ventor Investimentos LTDA</t>
  </si>
  <si>
    <t>XTX Markets Ltd.</t>
  </si>
  <si>
    <t>Advisors Asset Management Inc.</t>
  </si>
  <si>
    <t>Metis Global Partners LLC</t>
  </si>
  <si>
    <t>Waverly Advisors LLC</t>
  </si>
  <si>
    <t>Banco do Nordeste do Brasil SA</t>
  </si>
  <si>
    <t>Norte Asset Management GestÃ£o de Recursos SA</t>
  </si>
  <si>
    <t>Simplex Trading LLC</t>
  </si>
  <si>
    <t>RBC Dominion Securities Inc.</t>
  </si>
  <si>
    <t>XP Allocation Asset Management Ltda.</t>
  </si>
  <si>
    <t>Credit Suisse Hedging-Griffo Wealth Management SA</t>
  </si>
  <si>
    <t>Gap Prudential Lt Gestao de Recursos Ltda</t>
  </si>
  <si>
    <t>BTG Pactual Asset Management US LLC</t>
  </si>
  <si>
    <t>Verde Servicos Internacionais S.A.</t>
  </si>
  <si>
    <t>Squadra Investimentos Gestao de Recursos LTDA</t>
  </si>
  <si>
    <t>GVC Gaesco Gestion SGIIC SA</t>
  </si>
  <si>
    <t>NKCFO LLC</t>
  </si>
  <si>
    <t>Schroder Investment Management Brasil Ltd.a</t>
  </si>
  <si>
    <t>ProFund Advisors LLC</t>
  </si>
  <si>
    <t>Mariner LLC</t>
  </si>
  <si>
    <t>Commonwealth Equity Services LLC</t>
  </si>
  <si>
    <t>Evolve Funds Group Inc.</t>
  </si>
  <si>
    <t>Abbington Investment Group LLC</t>
  </si>
  <si>
    <t>Quadrature Capital Limited</t>
  </si>
  <si>
    <t>Oppenheimer Asset Management Inc.</t>
  </si>
  <si>
    <t>Administradora General de Fondos Security SA</t>
  </si>
  <si>
    <t>EOS Investimentos</t>
  </si>
  <si>
    <t>Dahlia Capital Gestao De Recursos Ltda.</t>
  </si>
  <si>
    <t>Rubik Capital Asset Management Ltda</t>
  </si>
  <si>
    <t>Davidson Investment Advisors Inc.</t>
  </si>
  <si>
    <t>Quantitative Investment Management LLC</t>
  </si>
  <si>
    <t>Scotiabank Global Banking and Markets Asset Management Division</t>
  </si>
  <si>
    <t>Greater Midwest Financial Group LLC</t>
  </si>
  <si>
    <t>Burney Co.</t>
  </si>
  <si>
    <t>BTG Pactual Asset Management SA Distribuidora de Títulos e Valores Mobiliários</t>
  </si>
  <si>
    <t>MAPFRE Investimentos Ltda.</t>
  </si>
  <si>
    <t>Marex Group Ltd.</t>
  </si>
  <si>
    <t>Independent Solutions Wealth Management LLC</t>
  </si>
  <si>
    <t>CMT Capital Markets Trading GMBH</t>
  </si>
  <si>
    <t>Barometer Capital Management Inc.</t>
  </si>
  <si>
    <t>Julius Baer Brasil Gestão de Patrimônio e Consultoria de Valores Mobiliários Ltd</t>
  </si>
  <si>
    <t>Brevan Howard Capital Management LP</t>
  </si>
  <si>
    <t>Stifel Asset Management Corp.</t>
  </si>
  <si>
    <t>Verition Fund Management LLC</t>
  </si>
  <si>
    <t>Impacto Investimentos Ltda.</t>
  </si>
  <si>
    <t>Cetera Investment Advisers LLC</t>
  </si>
  <si>
    <t>Porto Seguro Investimentos Ltda.</t>
  </si>
  <si>
    <t>Crossmark Global Investments Inc.</t>
  </si>
  <si>
    <t>Navellier &amp; Associates Inc.</t>
  </si>
  <si>
    <t>Daycoval Asset Management Administração de Recursos Ltda.</t>
  </si>
  <si>
    <t>Vinci Solucoes De Investimentos Ltda</t>
  </si>
  <si>
    <t>Caixa Beneficente dos Empregados da CSN - CBS</t>
  </si>
  <si>
    <t>Qtron Investments LLC</t>
  </si>
  <si>
    <t>Credit Suisse Hedging-Griffo Asset Management SA</t>
  </si>
  <si>
    <t>Clough Capital Partners LP</t>
  </si>
  <si>
    <t>Kathmere Capital Management LLC</t>
  </si>
  <si>
    <t>Walleye Capital LLC</t>
  </si>
  <si>
    <t>LVW Advisors LLC</t>
  </si>
  <si>
    <t>Banco BNP Paribas Brasil SA</t>
  </si>
  <si>
    <t>MidWestOne Financial Group Inc.</t>
  </si>
  <si>
    <t>Level Four Advisory Services LLC</t>
  </si>
  <si>
    <t>Leonteq AG</t>
  </si>
  <si>
    <t>Greenway Capital Advisors Llc</t>
  </si>
  <si>
    <t>Claritas Administracao de Recursos Ltda</t>
  </si>
  <si>
    <t>Sprott Inc.</t>
  </si>
  <si>
    <t>Perigon Wealth Management LLC</t>
  </si>
  <si>
    <t>Longfellow Investment Management Co. LLC</t>
  </si>
  <si>
    <t>Kinea Investimentos Ltda.</t>
  </si>
  <si>
    <t>Banco Alfa de Investimento SA</t>
  </si>
  <si>
    <t>Summit Securities Group LLC</t>
  </si>
  <si>
    <t>Insigneo Advisory Services LLC</t>
  </si>
  <si>
    <t>Schonfeld Strategic Advisors LLC</t>
  </si>
  <si>
    <t>Ion Asset Management Ltd.</t>
  </si>
  <si>
    <t>The Bank of Nova Scotia</t>
  </si>
  <si>
    <t>QRG Capital Management Inc.</t>
  </si>
  <si>
    <t>Moran Wealth Management LLC</t>
  </si>
  <si>
    <t>Wealth High Governance Capital Ltda.</t>
  </si>
  <si>
    <t>Compound Planning Inc.</t>
  </si>
  <si>
    <t>Pinpoint Asset Management (Singapore) Pte. Ltd.</t>
  </si>
  <si>
    <t>Sul América Investimentos Gestora de Recursos S.A.</t>
  </si>
  <si>
    <t>Marcelo Feriozzi Bacci</t>
  </si>
  <si>
    <t>ARGA Investment Management LLC</t>
  </si>
  <si>
    <t>Administradora General de Fondos Sura, S.A.</t>
  </si>
  <si>
    <t>V&amp;B Gestão de Patrimônio Ltda.</t>
  </si>
  <si>
    <t>TLS Advisors LLC</t>
  </si>
  <si>
    <t>Truxt Investimentos Ltda</t>
  </si>
  <si>
    <t>Mercer Global Advisors Inc.</t>
  </si>
  <si>
    <t>Zeitgeist Tech Investimentos LTDA</t>
  </si>
  <si>
    <t>Old West Investment Management LLC</t>
  </si>
  <si>
    <t>Advisory Resource Group LLC</t>
  </si>
  <si>
    <t>Prospera Financial Services Inc.</t>
  </si>
  <si>
    <t>Compass Group LLC</t>
  </si>
  <si>
    <t>Northwestern Mutual Wealth Management Co.</t>
  </si>
  <si>
    <t>WaterFront Wealth Inc.</t>
  </si>
  <si>
    <t>BTG Pactual Gestora de Recursos Ltda</t>
  </si>
  <si>
    <t>Summit Equities Inc.</t>
  </si>
  <si>
    <t>Modulo Capital Gestao de Recursos Ltda.</t>
  </si>
  <si>
    <t>Rogério Tavares Nogueira</t>
  </si>
  <si>
    <t>Mainstay Capital Management LLC</t>
  </si>
  <si>
    <t>Fédération des caisses Desjardins du Québec</t>
  </si>
  <si>
    <t>Centiva Capital LP</t>
  </si>
  <si>
    <t>Pekin Hardy Strauss Inc.</t>
  </si>
  <si>
    <t>Arkadios Wealth Advisors LLC</t>
  </si>
  <si>
    <t>Tocqueville Asset Management LP</t>
  </si>
  <si>
    <t>Guggenheim Partners LLC</t>
  </si>
  <si>
    <t>180 Wealth Advisors LLC</t>
  </si>
  <si>
    <t>Redhawk Wealth Advisors Inc.</t>
  </si>
  <si>
    <t>Commons Capital LLC</t>
  </si>
  <si>
    <t>LaSalle St. Investment Advisors L.L.C.</t>
  </si>
  <si>
    <t>G5 Administradora de Recursos Ltda.</t>
  </si>
  <si>
    <t>Integrated Wealth Concepts LLC</t>
  </si>
  <si>
    <t>Jain Global LLC</t>
  </si>
  <si>
    <t>Rafael Jabur Bittar</t>
  </si>
  <si>
    <t>Callan Family Office LLC</t>
  </si>
  <si>
    <t>Inter-Acao Administracao de Recursos e Co</t>
  </si>
  <si>
    <t>Calamos Asset Management Inc.</t>
  </si>
  <si>
    <t>SAVA INFOND druzba za upravljanje d.o.o.</t>
  </si>
  <si>
    <t>Mml Investors Services LLC Brokerage Investments</t>
  </si>
  <si>
    <t>Quadrant Capital Group LLC</t>
  </si>
  <si>
    <t>AssetMark Inc.</t>
  </si>
  <si>
    <t>Fernando Jorge Buso Gomes</t>
  </si>
  <si>
    <t>Tática Asset Management</t>
  </si>
  <si>
    <t>Wealth Enhancement Advisory Services LLC</t>
  </si>
  <si>
    <t>Savant Capital LLC</t>
  </si>
  <si>
    <t>Clear Street LLC</t>
  </si>
  <si>
    <t>Cloverfields Capital Group LP</t>
  </si>
  <si>
    <t>Polymer Capital Management (US) LLC</t>
  </si>
  <si>
    <t>Verus Capital Partners LLC</t>
  </si>
  <si>
    <t>Cary Street Partners Investment Advisory LLC</t>
  </si>
  <si>
    <t>Rockefeller &amp; Co. LLC</t>
  </si>
  <si>
    <t>D'Orazio Wealth Advisors</t>
  </si>
  <si>
    <t>Vinci Gestora de Recursos Ltda</t>
  </si>
  <si>
    <t>IEQ Capital LLC</t>
  </si>
  <si>
    <t>Solidus Administracao de Patrimonio Ltda.</t>
  </si>
  <si>
    <t>V8 Capital Gestão de Investimentos Ltda</t>
  </si>
  <si>
    <t>Windmill Hill Asset Management Ltd.</t>
  </si>
  <si>
    <t>Andbank Gestao De Patrimonio Financeiro Ltd.a</t>
  </si>
  <si>
    <t>Itaú Administradora General de Fondos SA</t>
  </si>
  <si>
    <t>Mercury Gestão de Recursos Ltda</t>
  </si>
  <si>
    <t>Laird Norton Tyee Trust Co.</t>
  </si>
  <si>
    <t>Aprio Wealth Management LLC</t>
  </si>
  <si>
    <t>Equitable Holdings Inc.</t>
  </si>
  <si>
    <t>Burgundy Asset Management Ltd.</t>
  </si>
  <si>
    <t>Fator Administracao de Recursos Ltda.</t>
  </si>
  <si>
    <t>Vinland Capital Management Gestora De Recursos Ltda.</t>
  </si>
  <si>
    <t>Pursuit Wealth Management LLC</t>
  </si>
  <si>
    <t>GF Gestão de Recursos SA</t>
  </si>
  <si>
    <t>Turmalina Gestao e Administracao de Recursos SA</t>
  </si>
  <si>
    <t>Kestra Advisory Services LLC</t>
  </si>
  <si>
    <t>Jump Trading LLC</t>
  </si>
  <si>
    <t>The Ascent Group LLC</t>
  </si>
  <si>
    <t>Centerbook Partners LP</t>
  </si>
  <si>
    <t>RiverFront Investment Group LLC</t>
  </si>
  <si>
    <t>Gauss Capital Gestora de Recursos</t>
  </si>
  <si>
    <t>Security Investors LLC</t>
  </si>
  <si>
    <t>Naviter Wealth LLC</t>
  </si>
  <si>
    <t>4UM Gestão de Recursos Ltda.</t>
  </si>
  <si>
    <t>Tower Research Capital Europe Limited</t>
  </si>
  <si>
    <t>Deltec Asset Management LLC</t>
  </si>
  <si>
    <t>HUB Investment Partners LLC</t>
  </si>
  <si>
    <t>Oliveira Trust Servicer SA</t>
  </si>
  <si>
    <t>Knollwood Investment Advisory, LLC</t>
  </si>
  <si>
    <t>LOYS AG</t>
  </si>
  <si>
    <t>Graham Capital Management L.P.</t>
  </si>
  <si>
    <t>Vanguard Personalized Indexing Management</t>
  </si>
  <si>
    <t>Aaron Wealth Advisors LLC</t>
  </si>
  <si>
    <t>Farringdon Capital Ltd.</t>
  </si>
  <si>
    <t>Farther Finance Advisors LLC</t>
  </si>
  <si>
    <t>Maxam Capital Management Ltd.</t>
  </si>
  <si>
    <t>Cadence Wealth Management LLC</t>
  </si>
  <si>
    <t>AMF Capital AG</t>
  </si>
  <si>
    <t>Alpha Key Capital Management Investimentos Ltda</t>
  </si>
  <si>
    <t>Empirical Financial Services LLC</t>
  </si>
  <si>
    <t>Bramshill Investments LLC</t>
  </si>
  <si>
    <t>One8zero8 LLC</t>
  </si>
  <si>
    <t>Fox Run Management LLC</t>
  </si>
  <si>
    <t>Cerity Partners LLC</t>
  </si>
  <si>
    <t>IRIS Investimentos</t>
  </si>
  <si>
    <t>Everstar Asset Management LLC</t>
  </si>
  <si>
    <t>Mantra Resources Corp.</t>
  </si>
  <si>
    <t>Asiasec Equities Inc.</t>
  </si>
  <si>
    <t>Luis Juan L. Virata</t>
  </si>
  <si>
    <t>Gerard H. Brimo</t>
  </si>
  <si>
    <t>Ni Capital Corp.</t>
  </si>
  <si>
    <t>Martin Antonio G. Zamora</t>
  </si>
  <si>
    <t>William R. Enrile</t>
  </si>
  <si>
    <t>William T. Enrile</t>
  </si>
  <si>
    <t>Nelly R. Enrile</t>
  </si>
  <si>
    <t>PHEIM Asset Management Sdn Bhd</t>
  </si>
  <si>
    <t>Cynthia E. Rosero</t>
  </si>
  <si>
    <t>Ronaldo B. Zamora</t>
  </si>
  <si>
    <t>Megastar Agri-Farming Corp.</t>
  </si>
  <si>
    <t>Harvey T. Ang</t>
  </si>
  <si>
    <t>Teng Ong-Chong Koh</t>
  </si>
  <si>
    <t>Ricardo Sy Po</t>
  </si>
  <si>
    <t>Maria Angela G. Villamor</t>
  </si>
  <si>
    <t>Maria Patricia-Zamor Riingen</t>
  </si>
  <si>
    <t>Ryan Rene C. Jornada</t>
  </si>
  <si>
    <t>Edwin R. Enrile</t>
  </si>
  <si>
    <t>Chs Capital Holdings Corp.</t>
  </si>
  <si>
    <t>Romeo T. Tanalgo</t>
  </si>
  <si>
    <t>Eva Policar-Bautista</t>
  </si>
  <si>
    <t>Rolando R. Cruz</t>
  </si>
  <si>
    <t>Patrick S. Garcia</t>
  </si>
  <si>
    <t>Jose B. Anievas</t>
  </si>
  <si>
    <t>Jeffrey B. Escoto</t>
  </si>
  <si>
    <t>Charlene Sarte Yee</t>
  </si>
  <si>
    <t>Dixie Jill-Sarte Yee</t>
  </si>
  <si>
    <t>Jose Bayani D. Baylon</t>
  </si>
  <si>
    <t>Jessie A. Payuyo</t>
  </si>
  <si>
    <t>Philipp D. Ines</t>
  </si>
  <si>
    <t>Georgina Carolina Y. Martinez</t>
  </si>
  <si>
    <t>Edwin P. Nerva</t>
  </si>
  <si>
    <t>Florencia Gozon Tarriela</t>
  </si>
  <si>
    <t>Remedios C. Camo</t>
  </si>
  <si>
    <t>Remedios Collado-Camo</t>
  </si>
  <si>
    <t>Teody A. Pascual</t>
  </si>
  <si>
    <t>Koichi S. Ishihara</t>
  </si>
  <si>
    <t>Iryan Jean U. Padillo</t>
  </si>
  <si>
    <t>Iryan Jean Ungson-Padillo</t>
  </si>
  <si>
    <t>Fernando P. Cruz</t>
  </si>
  <si>
    <t>Shiro Imai</t>
  </si>
  <si>
    <t>Naoki Kawai</t>
  </si>
  <si>
    <t>James J. K. Hung</t>
  </si>
  <si>
    <t>Jose Isidro Navato Camacho</t>
  </si>
  <si>
    <t>Estate Of Salvador C. Cabauatan</t>
  </si>
  <si>
    <t>Leonides Juan Marian Virata</t>
  </si>
  <si>
    <t>Condire Invrs LLC</t>
  </si>
  <si>
    <t>Qube Research &amp; Technologies Ltd.</t>
  </si>
  <si>
    <t>TSP Capital Management Group LLC</t>
  </si>
  <si>
    <t>MAC Alpha Capital Management LP</t>
  </si>
  <si>
    <t>Charl A. Keyter</t>
  </si>
  <si>
    <t>Neal John Froneman</t>
  </si>
  <si>
    <t>BCGM Wealth Management LLC</t>
  </si>
  <si>
    <t>Hohimer Wealth Management LLC</t>
  </si>
  <si>
    <t>Glenorchy Capital Ltd.</t>
  </si>
  <si>
    <t>Hartree Partners LP</t>
  </si>
  <si>
    <t>Dorsey Wright &amp; Associates LLC</t>
  </si>
  <si>
    <t>New York State Common Retirement Fund</t>
  </si>
  <si>
    <t>Medivalor, A.V. Agencia de Valores, S.A.</t>
  </si>
  <si>
    <t>Aquatic Capital Management LLC</t>
  </si>
  <si>
    <t>Voleon Capital Management LP</t>
  </si>
  <si>
    <t>Richard Andrew Stewart</t>
  </si>
  <si>
    <t>Diversify Wealth Management LLC</t>
  </si>
  <si>
    <t>Pathstone Family Office LLC</t>
  </si>
  <si>
    <t>Charles Carter</t>
  </si>
  <si>
    <t>Foster Group Inc.</t>
  </si>
  <si>
    <t>De Lisle Partners Llp</t>
  </si>
  <si>
    <t>Erste Asset Management GmbH</t>
  </si>
  <si>
    <t>Old Mission Capital LLC</t>
  </si>
  <si>
    <t>Headlands Tech Holdings, LLC</t>
  </si>
  <si>
    <t>Financial Sense Advisors Inc.</t>
  </si>
  <si>
    <t>Nokomis Capital L.L.C.</t>
  </si>
  <si>
    <t>AdvisorShares Investments LLC</t>
  </si>
  <si>
    <t>Engelberg (Pty) Ltd</t>
  </si>
  <si>
    <t>Janney Montgomery Scott LLC</t>
  </si>
  <si>
    <t>Swissinvest Institut Fur Angewandte Finanzmarktanalysen GmbH</t>
  </si>
  <si>
    <t>IMC Trading BV</t>
  </si>
  <si>
    <t>Seaview Investment Managers LLC</t>
  </si>
  <si>
    <t>Employees Retirement System of Texas</t>
  </si>
  <si>
    <t>Evergreen Capital Management LLC</t>
  </si>
  <si>
    <t>Themba George Nkosi</t>
  </si>
  <si>
    <t>Independent Securities (Pty) Ltd.</t>
  </si>
  <si>
    <t>Sampo Oyj</t>
  </si>
  <si>
    <t>Essex Financial Services Inc.</t>
  </si>
  <si>
    <t>Steadtrust LLC</t>
  </si>
  <si>
    <t>Thabane Vincent Maphai</t>
  </si>
  <si>
    <t>Papamarkou Wellner Asset Management Inc.</t>
  </si>
  <si>
    <t>STRS Ohio</t>
  </si>
  <si>
    <t>Petra Financial Advisors Inc.</t>
  </si>
  <si>
    <t>Quantbot Technologies LP</t>
  </si>
  <si>
    <t>Capricorn Fund Managers (Pty) Ltd.</t>
  </si>
  <si>
    <t>Blueshift Asset Management LLC</t>
  </si>
  <si>
    <t>Robert Van Niekerk</t>
  </si>
  <si>
    <t>Atria Investments Inc.</t>
  </si>
  <si>
    <t>Campbell &amp; Co. LP</t>
  </si>
  <si>
    <t>Tudor Investment Corp.</t>
  </si>
  <si>
    <t>Manatuck Hill Partners LLC</t>
  </si>
  <si>
    <t>United Capital Financial Advisors</t>
  </si>
  <si>
    <t>Melanie Naidoo-Vermaak</t>
  </si>
  <si>
    <t>Absa Alternative Asset Management Proprietary Ltd.</t>
  </si>
  <si>
    <t>PCM Encore LLC</t>
  </si>
  <si>
    <t>WAY Fund Managers Limited</t>
  </si>
  <si>
    <t>Pine Valley Investments LLC</t>
  </si>
  <si>
    <t>Regions Investment Management Inc.</t>
  </si>
  <si>
    <t>Linden Thomas Advisory Services LLC</t>
  </si>
  <si>
    <t>Personal CFO Solutions LLC</t>
  </si>
  <si>
    <t>Carson Wealth Management Group</t>
  </si>
  <si>
    <t>Sigma Planning Corp.</t>
  </si>
  <si>
    <t>Caitong International Asset Management Co. Ltd</t>
  </si>
  <si>
    <t>Integrity Alliance LLC.</t>
  </si>
  <si>
    <t>AXQ Capital LP</t>
  </si>
  <si>
    <t>Corient Private Wealth LP</t>
  </si>
  <si>
    <t>Pinnacle Wealth Management Advisory Group LLC</t>
  </si>
  <si>
    <t>Pinnacle Associates Ltd.</t>
  </si>
  <si>
    <t>Absolute Gestao de Investimentos Ltda</t>
  </si>
  <si>
    <t>Venturi Wealth Management LLC</t>
  </si>
  <si>
    <t>M4 Invest GmbH</t>
  </si>
  <si>
    <t>Basecamp Wealth Advisors LLC</t>
  </si>
  <si>
    <t>SBI Holdings Inc.</t>
  </si>
  <si>
    <t>Axxion SA</t>
  </si>
  <si>
    <t>Wealthspire Retirement LLC</t>
  </si>
  <si>
    <t>Hussman Strategic Advisors Inc</t>
  </si>
  <si>
    <t>ABN AMRO Bank NV</t>
  </si>
  <si>
    <t>Keith Alfred Rayner</t>
  </si>
  <si>
    <t>Pvt. Advisor Group LLC</t>
  </si>
  <si>
    <t>Steward Partners Investment Advisory LLC</t>
  </si>
  <si>
    <t>The Oxford Asset Management Co. Ltd</t>
  </si>
  <si>
    <t>Total Wealth Planning and Management Inc.</t>
  </si>
  <si>
    <t>Sentix Asset Management GmbH</t>
  </si>
  <si>
    <t>Scientech Research LLC</t>
  </si>
  <si>
    <t>Blackstone Inc.</t>
  </si>
  <si>
    <t>Quantum Portfolio Management LLC</t>
  </si>
  <si>
    <t>SmartHarvest Portfolios LLC</t>
  </si>
  <si>
    <t>Comprehensive Money Management Services LLC</t>
  </si>
  <si>
    <t>Hara Capital LLC</t>
  </si>
  <si>
    <t>Beverly Hills Pvt. Wealth LLC</t>
  </si>
  <si>
    <t>Crystal Cove Asset Management LLC</t>
  </si>
  <si>
    <t>Virtu Financial Inc.</t>
  </si>
  <si>
    <t>Moors &amp; Cabot Inc.</t>
  </si>
  <si>
    <t>Bingham Private Wealth LLC</t>
  </si>
  <si>
    <t>Ballentine Partners LLC</t>
  </si>
  <si>
    <t>Optivise Advisory Services LLC</t>
  </si>
  <si>
    <t>Ashton Thomas Pvt. Wealth LLC</t>
  </si>
  <si>
    <t>Meridian Wealth Management LLC</t>
  </si>
  <si>
    <t>Sowell Financial Services LLC</t>
  </si>
  <si>
    <t>&amp;Partners LLC</t>
  </si>
  <si>
    <t>Fermata Advisors LLC</t>
  </si>
  <si>
    <t>EverSource Wealth Advisors LLC</t>
  </si>
  <si>
    <t>SwitchPoint Financial Planning LLC</t>
  </si>
  <si>
    <t>R Squared Ltd.</t>
  </si>
  <si>
    <t>Jonathan Roberts Advisory Group Inc.</t>
  </si>
  <si>
    <t>Rossby Financial LLC</t>
  </si>
  <si>
    <t>Stevens Capital Partners Inc</t>
  </si>
  <si>
    <t>SignatureFD LLC</t>
  </si>
  <si>
    <t>Pyxis Investment Management (Pty) Ltd.</t>
  </si>
  <si>
    <t>Richard Peter Menell</t>
  </si>
  <si>
    <t>Private Capital Consult</t>
  </si>
  <si>
    <t>MAI Capital Management LLC</t>
  </si>
  <si>
    <t>GeoWealth Management LLC</t>
  </si>
  <si>
    <t>Parallel Advisors LLC</t>
  </si>
  <si>
    <t>Timothy John Cumming</t>
  </si>
  <si>
    <t>Sit Investment Associates Inc</t>
  </si>
  <si>
    <t>Rakuten Investment Management, Inc.</t>
  </si>
  <si>
    <t>Harry James Rodolph Kenyon-Slaney</t>
  </si>
  <si>
    <t>Thrivent Trust Co.</t>
  </si>
  <si>
    <t>Pinnacle Wealth Planning Services Inc.</t>
  </si>
  <si>
    <t>Allworth Financial L.P.</t>
  </si>
  <si>
    <t>Innovative Asset Advisors Group LLC</t>
  </si>
  <si>
    <t>Hilltop National Bank</t>
  </si>
  <si>
    <t>AdvisorNet Wealth Management</t>
  </si>
  <si>
    <t>NISA Investment Advisors LLC</t>
  </si>
  <si>
    <t>IFP Advisors LLC</t>
  </si>
  <si>
    <t>Stance Capital LLC</t>
  </si>
  <si>
    <t>RBC Pvt. Counsel (USA) Inc.</t>
  </si>
  <si>
    <t>Harbour Investments Inc.</t>
  </si>
  <si>
    <t>Smartleaf Asset Management LLC</t>
  </si>
  <si>
    <t>Ascentis Wealth Management LLC</t>
  </si>
  <si>
    <t>NewEdge Advisors LLC</t>
  </si>
  <si>
    <t>Harbor Investment Advisory LLC</t>
  </si>
  <si>
    <t>Bayforest Capital Limited</t>
  </si>
  <si>
    <t>Atlatl Advisers LLC</t>
  </si>
  <si>
    <t>JFS Wealth Advisors LLC</t>
  </si>
  <si>
    <t>Bryn Mawr Trust Co.</t>
  </si>
  <si>
    <t>Skhulumi Jeremiah Vilakazi</t>
  </si>
  <si>
    <t>Avion Wealth LLC</t>
  </si>
  <si>
    <t>Legacy Wealth Management LLC</t>
  </si>
  <si>
    <t>Hurley Capital LLC</t>
  </si>
  <si>
    <t>West Branch Capital LLC</t>
  </si>
  <si>
    <t>55I LLC</t>
  </si>
  <si>
    <t>MJT &amp; Associates Financial Advisory Group Inc.</t>
  </si>
  <si>
    <t>Global Retirement Partners LLC</t>
  </si>
  <si>
    <t>Bell Investment Advisors Inc</t>
  </si>
  <si>
    <t>Highline Wealth Partners LLC</t>
  </si>
  <si>
    <t>Advisory Services Network LLC</t>
  </si>
  <si>
    <t>DV Equities LLC</t>
  </si>
  <si>
    <t>Physician Wealth Advisors Inc.</t>
  </si>
  <si>
    <t>Geneos Wealth Management Inc.</t>
  </si>
  <si>
    <t>Pvt. Trust Co. NA</t>
  </si>
  <si>
    <t>Swan Capital LLC</t>
  </si>
  <si>
    <t>Oakworth Capital Inc.</t>
  </si>
  <si>
    <t>Versant Capital Management Inc.</t>
  </si>
  <si>
    <t>True Wealth Design LLC</t>
  </si>
  <si>
    <t>Larson Financial Group LLC</t>
  </si>
  <si>
    <t>Arax Advisory Partners LLC</t>
  </si>
  <si>
    <t>RBC Rochdale LLC</t>
  </si>
  <si>
    <t>Parkside Financial Bank &amp; Trust</t>
  </si>
  <si>
    <t>Cornerstone Financial Management LLC</t>
  </si>
  <si>
    <t>MCF Advisors LLC</t>
  </si>
  <si>
    <t>Root Financial Partners LLC</t>
  </si>
  <si>
    <t>Hollencrest Capital Management LLC</t>
  </si>
  <si>
    <t>Stone House Investment Management LLC</t>
  </si>
  <si>
    <t>North Star Investment Management Corp.</t>
  </si>
  <si>
    <t>LRI Investments LLC</t>
  </si>
  <si>
    <t>Operose Advisors LLC</t>
  </si>
  <si>
    <t>Abound Wealth Management LLC</t>
  </si>
  <si>
    <t>Ethic Inc.</t>
  </si>
  <si>
    <t>China Minmetals Corp.</t>
  </si>
  <si>
    <t>China National Petroleum Corp.</t>
  </si>
  <si>
    <t>National Council for Social Security Fund</t>
  </si>
  <si>
    <t>Yang Qu</t>
  </si>
  <si>
    <t>Shanghai International Asset Management (Hong Kong) Co., Ltd.</t>
  </si>
  <si>
    <t>Hongying Zou</t>
  </si>
  <si>
    <t>Sisong Yin</t>
  </si>
  <si>
    <t>Gansu Xinye Asset Operation Co.</t>
  </si>
  <si>
    <t>Gansu Economic Cooperation General Co.</t>
  </si>
  <si>
    <t>PART V Capital Management LLC</t>
  </si>
  <si>
    <t>Craig T. Lennon</t>
  </si>
  <si>
    <t>Niche Asset Management Limited</t>
  </si>
  <si>
    <t>Brett Allan Richards</t>
  </si>
  <si>
    <t>Clark Wang</t>
  </si>
  <si>
    <t>Charles Ian Ross</t>
  </si>
  <si>
    <t>David Edward Whittle</t>
  </si>
  <si>
    <t>Tachibana Securities Co. Ltd.</t>
  </si>
  <si>
    <t>Nihon Kisetsu Co.Ltd.</t>
  </si>
  <si>
    <t>Effissimo Capital Management Pte Ltd.</t>
  </si>
  <si>
    <t>Pacific Metals Co. Ltd. Clients' Shareholding Association</t>
  </si>
  <si>
    <t>Kiichi Tatsunaka</t>
  </si>
  <si>
    <t>Yoshiharu Inomata</t>
  </si>
  <si>
    <t>Terunobu Matsuyama</t>
  </si>
  <si>
    <t>Kenichi Hara</t>
  </si>
  <si>
    <t>Kazuo Iwadate</t>
  </si>
  <si>
    <t>Mitsubishi UFJ Trust and Banking Corp.</t>
  </si>
  <si>
    <t>Japan Securities Finance Co. Ltd.</t>
  </si>
  <si>
    <t>Mitsubishi UFJ Morgan Stanley Securities Co. Ltd.</t>
  </si>
  <si>
    <t>Rainier Investment Management LLC</t>
  </si>
  <si>
    <t>Masayoshi Fujimoto</t>
  </si>
  <si>
    <t>Yoshiki Manabe</t>
  </si>
  <si>
    <t>SG Value Partners AG</t>
  </si>
  <si>
    <t>Commons Asset Management Inc.</t>
  </si>
  <si>
    <t>Kosuke Uemura</t>
  </si>
  <si>
    <t>Makoto Shibuya</t>
  </si>
  <si>
    <t>Tomomi Arakawa</t>
  </si>
  <si>
    <t>Seligson &amp; Co Rahastoyhtio Oy</t>
  </si>
  <si>
    <t>ANZ New Zealand Investments Ltd.</t>
  </si>
  <si>
    <t>Zurich Invest Bank AG</t>
  </si>
  <si>
    <t>Tsuyoshi Kameoka</t>
  </si>
  <si>
    <t>Tomoko Suzuki</t>
  </si>
  <si>
    <t>Emanuel Jose Fernandes Dias</t>
  </si>
  <si>
    <t>David Samuel Kleinman</t>
  </si>
  <si>
    <t>Tierra De Suenos SA</t>
  </si>
  <si>
    <t>Swiss Trading Overseas Corp</t>
  </si>
  <si>
    <t>Willem Ravesteyn</t>
  </si>
  <si>
    <t>Codica Pty. Ltd.</t>
  </si>
  <si>
    <t>Montana Finance Corporation Pty Ltd.</t>
  </si>
  <si>
    <t>South Gippsland Wines Pty. Ltd.</t>
  </si>
  <si>
    <t>FinClear Pty Ltd.</t>
  </si>
  <si>
    <t>India</t>
  </si>
  <si>
    <t>Qatar</t>
  </si>
  <si>
    <t>Singapore</t>
  </si>
  <si>
    <t>Argentina</t>
  </si>
  <si>
    <t>Latvia</t>
  </si>
  <si>
    <t>Spain</t>
  </si>
  <si>
    <t>Germany</t>
  </si>
  <si>
    <t>Ireland</t>
  </si>
  <si>
    <t>Poland</t>
  </si>
  <si>
    <t>Malaysia</t>
  </si>
  <si>
    <t>Bermuda</t>
  </si>
  <si>
    <t>Kuwait</t>
  </si>
  <si>
    <t>Taiwan</t>
  </si>
  <si>
    <t>Belgium</t>
  </si>
  <si>
    <t>Denmark</t>
  </si>
  <si>
    <t>Italy</t>
  </si>
  <si>
    <t>Chile</t>
  </si>
  <si>
    <t>Malta</t>
  </si>
  <si>
    <t>New Zealand</t>
  </si>
  <si>
    <t>Liechtenstein</t>
  </si>
  <si>
    <t>Czechia</t>
  </si>
  <si>
    <t>Hungary</t>
  </si>
  <si>
    <t>Jersey</t>
  </si>
  <si>
    <t>Namibia</t>
  </si>
  <si>
    <t>Austria</t>
  </si>
  <si>
    <t>Estonia</t>
  </si>
  <si>
    <t>Türkiye</t>
  </si>
  <si>
    <t>Andorra</t>
  </si>
  <si>
    <t>Slovenia</t>
  </si>
  <si>
    <t>Israel</t>
  </si>
  <si>
    <t>Sudan</t>
  </si>
  <si>
    <t>Percent Owned All-Insitutions</t>
  </si>
  <si>
    <t>Insitutions- Banks/ Investment banks</t>
  </si>
  <si>
    <t>Corporate Pensions sponsors</t>
  </si>
  <si>
    <t>Gov pensions sponsors</t>
  </si>
  <si>
    <t>Insurance companies</t>
  </si>
  <si>
    <t>Strategic Hedge Funds Managers &gt;=5% stake</t>
  </si>
  <si>
    <t>Strategic VC/PE firms &gt;=5% stake</t>
  </si>
  <si>
    <t>Sovereign Wealth Funds &gt;=5% stake</t>
  </si>
  <si>
    <t>Strategic company controlled foundations</t>
  </si>
  <si>
    <t>Strategic ESOP</t>
  </si>
  <si>
    <t>Strategic State Owner</t>
  </si>
  <si>
    <t>Strategic Corporation (Private)</t>
  </si>
  <si>
    <t>Strategic Corporation (Public)</t>
  </si>
  <si>
    <t>Country</t>
  </si>
  <si>
    <t>Insitutional Investors</t>
  </si>
  <si>
    <t>Public Sector</t>
  </si>
  <si>
    <t>Strategic Individual</t>
  </si>
  <si>
    <t>Private Corporation</t>
  </si>
  <si>
    <t xml:space="preserve">Unclassified </t>
  </si>
  <si>
    <t>Public and Other</t>
  </si>
  <si>
    <t>Production (paid metal kt)</t>
  </si>
  <si>
    <t>Insitutional Investors % share of the mine</t>
  </si>
  <si>
    <t>Public Sector % share of the mine</t>
  </si>
  <si>
    <t>Strategic Individual % share of the mine</t>
  </si>
  <si>
    <t>Private Corporation % share of the mine</t>
  </si>
  <si>
    <t>Unclassified % share of the mine</t>
  </si>
  <si>
    <t>Public and Other % share of the mine</t>
  </si>
  <si>
    <t>Insitutional Investors holds this amount of metal (kt)</t>
  </si>
  <si>
    <t>Public Sector holds this amount of metal (kt)</t>
  </si>
  <si>
    <t>Strategic Individual holds this amount of metal (kt)</t>
  </si>
  <si>
    <t>Private Corporation holds this amount of metal (kt)</t>
  </si>
  <si>
    <t>Unclassified holds this amount of metal (kt)</t>
  </si>
  <si>
    <t>Public and Other holds this amount of metal (kt)</t>
  </si>
  <si>
    <t>Total metal hold by the public company (kt)</t>
  </si>
  <si>
    <t>check</t>
  </si>
  <si>
    <t>Share of the metal output owned</t>
  </si>
  <si>
    <t>Total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</si>
</sst>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00\)"/>
    <numFmt numFmtId="166" formatCode="0.0"/>
    <numFmt numFmtId="167" formatCode="0.0%"/>
  </numFmts>
  <fonts count="10" x14ac:knownFonts="1">
    <font>
      <sz val="11"/>
      <color theme="1"/>
      <name val="Calibri"/>
      <family val="2"/>
      <scheme val="minor"/>
    </font>
    <font>
      <b/>
      <sz val="14"/>
      <name val="Calibri"/>
      <family val="2"/>
    </font>
    <font>
      <b/>
      <sz val="11"/>
      <color theme="1"/>
      <name val="Calibri"/>
      <family val="2"/>
      <scheme val="minor"/>
    </font>
    <font>
      <sz val="11"/>
      <name val="Calibri"/>
      <family val="2"/>
      <scheme val="minor"/>
    </font>
    <font>
      <b/>
      <sz val="11"/>
      <color theme="3"/>
      <name val="Calibri"/>
      <family val="2"/>
      <scheme val="minor"/>
    </font>
    <font>
      <b/>
      <sz val="11"/>
      <color rgb="FF7030A0"/>
      <name val="Calibri"/>
      <family val="2"/>
      <scheme val="minor"/>
    </font>
    <font>
      <b/>
      <sz val="11"/>
      <color theme="6" tint="-0.499984740745262"/>
      <name val="Calibri"/>
      <family val="2"/>
      <scheme val="minor"/>
    </font>
    <font>
      <b/>
      <sz val="11"/>
      <color theme="9" tint="-0.499984740745262"/>
      <name val="Calibri"/>
      <family val="2"/>
      <scheme val="minor"/>
    </font>
    <font>
      <sz val="11"/>
      <color theme="1"/>
      <name val="Calibri"/>
      <family val="2"/>
      <scheme val="minor"/>
    </font>
    <font>
      <b/>
      <sz val="11"/>
      <color rgb="FFFF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8" fillId="0" borderId="0" applyFont="0" applyFill="0" applyBorder="0" applyAlignment="0" applyProtection="0"/>
  </cellStyleXfs>
  <cellXfs count="33">
    <xf numFmtId="0" fontId="0" fillId="0" borderId="0" xfId="0"/>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xf numFmtId="0" fontId="0" fillId="0" borderId="0" xfId="0" applyAlignment="1">
      <alignment horizontal="left"/>
    </xf>
    <xf numFmtId="0" fontId="3" fillId="0" borderId="0" xfId="0" applyFont="1" applyAlignment="1">
      <alignment horizontal="left"/>
    </xf>
    <xf numFmtId="4" fontId="0" fillId="0" borderId="0" xfId="0" applyNumberFormat="1" applyAlignment="1">
      <alignment horizontal="right"/>
    </xf>
    <xf numFmtId="0" fontId="2" fillId="0" borderId="0" xfId="0" applyFont="1" applyAlignment="1">
      <alignment wrapText="1"/>
    </xf>
    <xf numFmtId="2" fontId="0" fillId="0" borderId="0" xfId="0" applyNumberFormat="1"/>
    <xf numFmtId="166" fontId="0" fillId="0" borderId="0" xfId="0" applyNumberFormat="1"/>
    <xf numFmtId="167" fontId="0" fillId="0" borderId="0" xfId="1" applyNumberFormat="1" applyFont="1"/>
    <xf numFmtId="0" fontId="0" fillId="0" borderId="0" xfId="0" applyAlignment="1">
      <alignment horizontal="center"/>
    </xf>
    <xf numFmtId="0" fontId="0" fillId="0" borderId="0" xfId="0" applyAlignment="1">
      <alignment horizontal="center" vertical="center"/>
    </xf>
    <xf numFmtId="0" fontId="2" fillId="0" borderId="0" xfId="0" applyFont="1" applyAlignment="1">
      <alignment horizontal="right" vertical="top" wrapText="1"/>
    </xf>
    <xf numFmtId="0" fontId="6" fillId="0" borderId="0" xfId="0" applyFont="1" applyAlignment="1">
      <alignment horizontal="right" vertical="top" wrapText="1"/>
    </xf>
    <xf numFmtId="0" fontId="7" fillId="0" borderId="0" xfId="0" applyFont="1" applyAlignment="1">
      <alignment horizontal="right" vertical="top" wrapText="1"/>
    </xf>
    <xf numFmtId="0" fontId="5" fillId="0" borderId="0" xfId="0" applyFont="1" applyAlignment="1">
      <alignment horizontal="right" vertical="top" wrapText="1"/>
    </xf>
    <xf numFmtId="0" fontId="4" fillId="0" borderId="0" xfId="0" applyFont="1" applyAlignment="1">
      <alignment horizontal="right" vertical="top" wrapText="1"/>
    </xf>
    <xf numFmtId="0" fontId="2" fillId="0" borderId="0" xfId="0" applyFont="1" applyAlignment="1">
      <alignment horizontal="center" vertical="top" wrapText="1"/>
    </xf>
    <xf numFmtId="0" fontId="2" fillId="0" borderId="0" xfId="0" applyFont="1" applyAlignment="1">
      <alignment horizontal="center" wrapText="1"/>
    </xf>
    <xf numFmtId="0" fontId="2" fillId="0" borderId="0" xfId="0" applyFont="1" applyAlignment="1">
      <alignment horizontal="center" vertical="center" wrapText="1"/>
    </xf>
    <xf numFmtId="0" fontId="9" fillId="0" borderId="0" xfId="0" applyFont="1" applyAlignment="1">
      <alignment horizontal="center" wrapText="1"/>
    </xf>
    <xf numFmtId="0" fontId="9" fillId="0" borderId="0" xfId="0" applyFont="1" applyAlignment="1">
      <alignment horizontal="center" vertical="center" wrapText="1"/>
    </xf>
    <xf numFmtId="0" fontId="2" fillId="0" borderId="0" xfId="0" applyFont="1" applyAlignment="1">
      <alignment horizontal="left" vertical="top" wrapText="1"/>
    </xf>
    <xf numFmtId="0" fontId="0" fillId="0" borderId="0" xfId="0" applyAlignment="1">
      <alignment horizontal="right" vertical="top" wrapText="1"/>
    </xf>
    <xf numFmtId="0" fontId="0" fillId="0" borderId="0" xfId="0" applyAlignment="1">
      <alignment horizontal="right" vertical="top"/>
    </xf>
    <xf numFmtId="0" fontId="0" fillId="0" borderId="0" xfId="0" applyAlignment="1">
      <alignment horizontal="right" wrapText="1"/>
    </xf>
    <xf numFmtId="0" fontId="2" fillId="0" borderId="0" xfId="0" applyFont="1" applyAlignment="1">
      <alignment horizontal="right" vertical="top"/>
    </xf>
  </cellXfs>
  <cellStyles count="2">
    <cellStyle name="Normal" xfId="0" builtinId="0"/>
    <cellStyle name="Percent" xfId="1" builtinId="5"/>
  </cellStyles>
  <dxfs count="2">
    <dxf>
      <border>
        <right style="thin">
          <color auto="1"/>
        </right>
        <vertical/>
        <horizontal/>
      </border>
    </dxf>
    <dxf>
      <border>
        <right style="thin">
          <color auto="1"/>
        </right>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1B77C-A598-4539-9897-76FC76D00FDD}">
  <dimension ref="A1:A2"/>
  <sheetViews>
    <sheetView workbookViewId="0"/>
  </sheetViews>
  <sheetFormatPr defaultRowHeight="14.5" x14ac:dyDescent="0.35"/>
  <sheetData>
    <row r="1" spans="1:1" x14ac:dyDescent="0.35">
      <c r="A1" t="s">
        <v>339</v>
      </c>
    </row>
    <row r="2" spans="1:1" x14ac:dyDescent="0.35">
      <c r="A2" t="s">
        <v>295</v>
      </c>
    </row>
  </sheetData>
  <pageMargins left="0.7" right="0.7" top="0.75" bottom="0.75" header="0.3" footer="0.3"/>
  <headerFooter>
    <oddFooter>&amp;C_x000D_&amp;1#&amp;"Aptos"&amp;10&amp;K0000FF Restricted Use - À usage restreint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1"/>
  <sheetViews>
    <sheetView workbookViewId="0">
      <selection sqref="A1:D1"/>
    </sheetView>
  </sheetViews>
  <sheetFormatPr defaultRowHeight="14.5" x14ac:dyDescent="0.35"/>
  <cols>
    <col min="1" max="1" width="48.54296875" customWidth="1"/>
    <col min="2" max="2" width="23.7265625" customWidth="1"/>
    <col min="3" max="3" width="16.1796875" customWidth="1"/>
    <col min="4" max="4" width="20.81640625" customWidth="1"/>
    <col min="5" max="5" width="23.54296875" customWidth="1"/>
    <col min="6" max="6" width="16.1796875" customWidth="1"/>
    <col min="7" max="7" width="23.54296875" customWidth="1"/>
    <col min="8" max="8" width="17.54296875" customWidth="1"/>
    <col min="9" max="9" width="23.54296875" customWidth="1"/>
    <col min="10" max="10" width="19.54296875" customWidth="1"/>
    <col min="11" max="12" width="23.54296875" customWidth="1"/>
    <col min="13" max="13" width="23.81640625" customWidth="1"/>
    <col min="14" max="14" width="17.54296875" customWidth="1"/>
    <col min="15" max="15" width="25.1796875" customWidth="1"/>
    <col min="16" max="17" width="21.1796875" customWidth="1"/>
    <col min="18" max="18" width="22.453125" customWidth="1"/>
    <col min="19" max="20" width="21.1796875" customWidth="1"/>
    <col min="21" max="21" width="22.453125" customWidth="1"/>
    <col min="22" max="23" width="21.1796875" customWidth="1"/>
    <col min="24" max="25" width="22.453125" customWidth="1"/>
    <col min="26" max="28" width="21.1796875" customWidth="1"/>
    <col min="29" max="29" width="23.81640625" customWidth="1"/>
    <col min="30" max="30" width="21.1796875" customWidth="1"/>
    <col min="31" max="32" width="16.1796875" customWidth="1"/>
    <col min="33" max="33" width="21.1796875" customWidth="1"/>
    <col min="34" max="36" width="22.453125" customWidth="1"/>
    <col min="37" max="37" width="21.1796875" customWidth="1"/>
    <col min="38" max="38" width="17.54296875" customWidth="1"/>
    <col min="39" max="39" width="21.1796875" customWidth="1"/>
    <col min="40" max="41" width="16.1796875" customWidth="1"/>
    <col min="42" max="42" width="20.54296875" customWidth="1"/>
    <col min="43" max="44" width="21.1796875" customWidth="1"/>
    <col min="45" max="46" width="22" customWidth="1"/>
  </cols>
  <sheetData>
    <row r="1" spans="1:46" ht="40" customHeight="1" x14ac:dyDescent="0.35">
      <c r="A1" s="16"/>
      <c r="B1" s="16"/>
      <c r="C1" s="16"/>
      <c r="D1" s="16"/>
    </row>
    <row r="2" spans="1:46" ht="30" customHeight="1" x14ac:dyDescent="0.45">
      <c r="A2" s="1" t="s">
        <v>149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28" t="s">
        <v>2</v>
      </c>
      <c r="B6" s="28" t="s">
        <v>3</v>
      </c>
      <c r="C6" s="28" t="s">
        <v>4</v>
      </c>
      <c r="D6" s="28" t="s">
        <v>5</v>
      </c>
      <c r="E6" s="18" t="s">
        <v>6</v>
      </c>
      <c r="F6" s="18" t="s">
        <v>7</v>
      </c>
      <c r="G6" s="18" t="s">
        <v>8</v>
      </c>
      <c r="H6" s="18" t="s">
        <v>9</v>
      </c>
      <c r="I6" s="18" t="s">
        <v>10</v>
      </c>
      <c r="J6" s="18" t="s">
        <v>11</v>
      </c>
      <c r="K6" s="18" t="s">
        <v>12</v>
      </c>
      <c r="L6" s="18" t="s">
        <v>13</v>
      </c>
      <c r="M6" s="18" t="s">
        <v>14</v>
      </c>
      <c r="N6" s="18" t="s">
        <v>15</v>
      </c>
      <c r="O6" s="18" t="s">
        <v>16</v>
      </c>
      <c r="P6" s="18" t="s">
        <v>17</v>
      </c>
      <c r="Q6" s="18" t="s">
        <v>18</v>
      </c>
      <c r="R6" s="18" t="s">
        <v>19</v>
      </c>
      <c r="S6" s="18" t="s">
        <v>20</v>
      </c>
      <c r="T6" s="18" t="s">
        <v>21</v>
      </c>
      <c r="U6" s="18" t="s">
        <v>22</v>
      </c>
      <c r="V6" s="18" t="s">
        <v>23</v>
      </c>
      <c r="W6" s="18" t="s">
        <v>24</v>
      </c>
      <c r="X6" s="18" t="s">
        <v>25</v>
      </c>
      <c r="Y6" s="18" t="s">
        <v>26</v>
      </c>
      <c r="Z6" s="18" t="s">
        <v>27</v>
      </c>
      <c r="AA6" s="18" t="s">
        <v>28</v>
      </c>
      <c r="AB6" s="18" t="s">
        <v>29</v>
      </c>
      <c r="AC6" s="18" t="s">
        <v>30</v>
      </c>
      <c r="AD6" s="18" t="s">
        <v>31</v>
      </c>
      <c r="AE6" s="18" t="s">
        <v>32</v>
      </c>
      <c r="AF6" s="18" t="s">
        <v>33</v>
      </c>
      <c r="AG6" s="18" t="s">
        <v>34</v>
      </c>
      <c r="AH6" s="18" t="s">
        <v>35</v>
      </c>
      <c r="AI6" s="18" t="s">
        <v>36</v>
      </c>
      <c r="AJ6" s="18" t="s">
        <v>37</v>
      </c>
      <c r="AK6" s="18" t="s">
        <v>38</v>
      </c>
      <c r="AL6" s="18" t="s">
        <v>39</v>
      </c>
      <c r="AM6" s="18" t="s">
        <v>40</v>
      </c>
      <c r="AN6" s="18" t="s">
        <v>41</v>
      </c>
      <c r="AO6" s="18" t="s">
        <v>42</v>
      </c>
      <c r="AP6" s="18" t="s">
        <v>43</v>
      </c>
      <c r="AQ6" s="18" t="s">
        <v>44</v>
      </c>
      <c r="AR6" s="18" t="s">
        <v>45</v>
      </c>
      <c r="AS6" s="18" t="s">
        <v>46</v>
      </c>
      <c r="AT6" s="18" t="s">
        <v>47</v>
      </c>
    </row>
    <row r="7" spans="1:46" x14ac:dyDescent="0.35">
      <c r="A7" s="28"/>
      <c r="B7" s="28"/>
      <c r="C7" s="28"/>
      <c r="D7" s="2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row>
    <row r="8" spans="1:46" x14ac:dyDescent="0.35">
      <c r="A8" s="28"/>
      <c r="B8" s="28"/>
      <c r="C8" s="28"/>
      <c r="D8" s="2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row>
    <row r="9" spans="1:46" x14ac:dyDescent="0.35">
      <c r="A9" s="28"/>
      <c r="B9" s="28"/>
      <c r="C9" s="28"/>
      <c r="D9" s="2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row>
    <row r="10" spans="1:46" x14ac:dyDescent="0.35">
      <c r="A10" s="5">
        <v>46022</v>
      </c>
      <c r="B10" s="4" t="s">
        <v>48</v>
      </c>
      <c r="C10" s="4" t="s">
        <v>49</v>
      </c>
      <c r="D10" s="4" t="s">
        <v>50</v>
      </c>
      <c r="E10" s="6">
        <v>0</v>
      </c>
      <c r="F10" s="6">
        <v>0</v>
      </c>
      <c r="G10" s="6">
        <v>0</v>
      </c>
      <c r="H10" s="6">
        <v>0</v>
      </c>
      <c r="I10" s="6">
        <v>0</v>
      </c>
      <c r="J10" s="6">
        <v>165</v>
      </c>
      <c r="K10" s="6">
        <v>165</v>
      </c>
      <c r="L10" s="6">
        <v>165</v>
      </c>
      <c r="M10" s="7">
        <v>3.209079</v>
      </c>
      <c r="N10" s="7">
        <v>0</v>
      </c>
      <c r="O10" s="7">
        <v>0.84201700000000002</v>
      </c>
      <c r="P10" s="7">
        <v>5.391343</v>
      </c>
      <c r="Q10" s="7">
        <v>9.4424390000000002</v>
      </c>
      <c r="R10" s="7">
        <v>3.4739140000000002</v>
      </c>
      <c r="S10" s="7">
        <v>1.7833669999999999</v>
      </c>
      <c r="T10" s="7">
        <v>2.8105519999999999</v>
      </c>
      <c r="U10" s="7">
        <v>2.4982540000000002</v>
      </c>
      <c r="V10" s="7">
        <v>10.566087</v>
      </c>
      <c r="W10" s="7">
        <v>20.008526</v>
      </c>
      <c r="X10" s="7">
        <v>5.9160325099830304</v>
      </c>
      <c r="Y10" s="7">
        <v>12.75393673590915</v>
      </c>
      <c r="Z10" s="7">
        <v>38.678495245892179</v>
      </c>
      <c r="AA10" s="7">
        <v>7.4754258571483829</v>
      </c>
      <c r="AB10" s="7">
        <v>46.15392110304056</v>
      </c>
      <c r="AC10" s="7">
        <v>0</v>
      </c>
      <c r="AD10" s="7">
        <v>3.919365</v>
      </c>
      <c r="AE10" s="7">
        <v>0</v>
      </c>
      <c r="AF10" s="7">
        <v>0</v>
      </c>
      <c r="AG10" s="7">
        <v>50.073286103040559</v>
      </c>
      <c r="AH10" s="7">
        <v>2.247665</v>
      </c>
      <c r="AI10" s="7">
        <v>0</v>
      </c>
      <c r="AJ10" s="7">
        <v>1.0816889999999999</v>
      </c>
      <c r="AK10" s="7">
        <v>49.483275103040562</v>
      </c>
      <c r="AL10" s="7">
        <v>0</v>
      </c>
      <c r="AM10" s="7">
        <v>0</v>
      </c>
      <c r="AN10" s="7">
        <v>0</v>
      </c>
      <c r="AO10" s="7">
        <v>0</v>
      </c>
      <c r="AP10" s="7">
        <v>0</v>
      </c>
      <c r="AQ10" s="7">
        <v>49.483275103040562</v>
      </c>
      <c r="AR10" s="7">
        <v>49.386031568977522</v>
      </c>
      <c r="AS10" s="7">
        <v>10.707536323085341</v>
      </c>
      <c r="AT10" s="7">
        <v>3.2321104659369562</v>
      </c>
    </row>
    <row r="11" spans="1:46" x14ac:dyDescent="0.35">
      <c r="A11" s="5">
        <v>46022</v>
      </c>
      <c r="B11" s="4" t="s">
        <v>51</v>
      </c>
      <c r="C11" s="4" t="s">
        <v>52</v>
      </c>
      <c r="D11" s="4" t="s">
        <v>53</v>
      </c>
      <c r="E11" s="6">
        <v>0</v>
      </c>
      <c r="F11" s="6">
        <v>0</v>
      </c>
      <c r="G11" s="6">
        <v>0</v>
      </c>
      <c r="H11" s="6">
        <v>0</v>
      </c>
      <c r="I11" s="6">
        <v>0</v>
      </c>
      <c r="J11" s="6">
        <v>684</v>
      </c>
      <c r="K11" s="6">
        <v>684</v>
      </c>
      <c r="L11" s="6">
        <v>684</v>
      </c>
      <c r="M11" s="7">
        <v>28.923463999999999</v>
      </c>
      <c r="N11" s="7">
        <v>28.070563</v>
      </c>
      <c r="O11" s="7">
        <v>7.9793979999999998</v>
      </c>
      <c r="P11" s="7">
        <v>25.373466000000001</v>
      </c>
      <c r="Q11" s="7">
        <v>90.346890999999999</v>
      </c>
      <c r="R11" s="7">
        <v>13.207618</v>
      </c>
      <c r="S11" s="7">
        <v>6.7431419999999997</v>
      </c>
      <c r="T11" s="7">
        <v>11.63256</v>
      </c>
      <c r="U11" s="7">
        <v>18.534276999999999</v>
      </c>
      <c r="V11" s="7">
        <v>50.117597000000004</v>
      </c>
      <c r="W11" s="7">
        <v>140.46448799999999</v>
      </c>
      <c r="X11" s="7">
        <v>6.0276686289122807</v>
      </c>
      <c r="Y11" s="7">
        <v>60.021592101226467</v>
      </c>
      <c r="Z11" s="7">
        <v>206.5137487301387</v>
      </c>
      <c r="AA11" s="7">
        <v>14.41890192297058</v>
      </c>
      <c r="AB11" s="7">
        <v>220.93265065310931</v>
      </c>
      <c r="AC11" s="7">
        <v>0</v>
      </c>
      <c r="AD11" s="7">
        <v>88.792868999999996</v>
      </c>
      <c r="AE11" s="7">
        <v>0</v>
      </c>
      <c r="AF11" s="7">
        <v>0</v>
      </c>
      <c r="AG11" s="7">
        <v>309.7255196531093</v>
      </c>
      <c r="AH11" s="7">
        <v>13.630139</v>
      </c>
      <c r="AI11" s="7">
        <v>0</v>
      </c>
      <c r="AJ11" s="7">
        <v>36.549708000000003</v>
      </c>
      <c r="AK11" s="7">
        <v>271.1124976531093</v>
      </c>
      <c r="AL11" s="7">
        <v>0</v>
      </c>
      <c r="AM11" s="7">
        <v>0</v>
      </c>
      <c r="AN11" s="7">
        <v>0</v>
      </c>
      <c r="AO11" s="7">
        <v>0</v>
      </c>
      <c r="AP11" s="7">
        <v>0</v>
      </c>
      <c r="AQ11" s="7">
        <v>271.1124976531093</v>
      </c>
      <c r="AR11" s="7">
        <v>364.20827662377968</v>
      </c>
      <c r="AS11" s="7">
        <v>157.6945278936409</v>
      </c>
      <c r="AT11" s="7">
        <v>143.27562597067029</v>
      </c>
    </row>
    <row r="12" spans="1:46" x14ac:dyDescent="0.35">
      <c r="A12" s="5">
        <v>46022</v>
      </c>
      <c r="B12" s="4" t="s">
        <v>54</v>
      </c>
      <c r="C12" s="4" t="s">
        <v>55</v>
      </c>
      <c r="D12" s="4" t="s">
        <v>56</v>
      </c>
      <c r="E12" s="6">
        <v>4926.4612390000002</v>
      </c>
      <c r="F12" s="6">
        <v>0</v>
      </c>
      <c r="G12" s="6">
        <v>4926.4612390000002</v>
      </c>
      <c r="H12" s="6">
        <v>3.4347840000000001</v>
      </c>
      <c r="I12" s="6">
        <v>1434.2857140000001</v>
      </c>
      <c r="J12" s="6">
        <v>0</v>
      </c>
      <c r="K12" s="6">
        <v>1434.2857140000001</v>
      </c>
      <c r="L12" s="6">
        <v>1434.2857140000001</v>
      </c>
      <c r="M12" s="7">
        <v>9.6338229999999996</v>
      </c>
      <c r="N12" s="7">
        <v>7.1443479999999999</v>
      </c>
      <c r="O12" s="7">
        <v>2.227646</v>
      </c>
      <c r="P12" s="7">
        <v>21.152474999999999</v>
      </c>
      <c r="Q12" s="7">
        <v>40.158292000000003</v>
      </c>
      <c r="R12" s="7">
        <v>7.6295840000000013</v>
      </c>
      <c r="S12" s="7">
        <v>15.646722</v>
      </c>
      <c r="T12" s="7">
        <v>25.903389000000001</v>
      </c>
      <c r="U12" s="7">
        <v>12.650836</v>
      </c>
      <c r="V12" s="7">
        <v>61.830531000000008</v>
      </c>
      <c r="W12" s="7">
        <v>101.988823</v>
      </c>
      <c r="X12" s="7">
        <v>1.1845952046884149</v>
      </c>
      <c r="Y12" s="7">
        <v>0.180905426039769</v>
      </c>
      <c r="Z12" s="7">
        <v>103.3543236307282</v>
      </c>
      <c r="AA12" s="7">
        <v>10.529851108775141</v>
      </c>
      <c r="AB12" s="7">
        <v>113.88417473950329</v>
      </c>
      <c r="AC12" s="7">
        <v>0</v>
      </c>
      <c r="AD12" s="7">
        <v>12.878450000000001</v>
      </c>
      <c r="AE12" s="7">
        <v>0</v>
      </c>
      <c r="AF12" s="7">
        <v>0</v>
      </c>
      <c r="AG12" s="7">
        <v>126.76262473950329</v>
      </c>
      <c r="AH12" s="7">
        <v>1.857572</v>
      </c>
      <c r="AI12" s="7">
        <v>0</v>
      </c>
      <c r="AJ12" s="7">
        <v>7.3761429999999999</v>
      </c>
      <c r="AK12" s="7">
        <v>123.1178897395033</v>
      </c>
      <c r="AL12" s="7">
        <v>0</v>
      </c>
      <c r="AM12" s="7">
        <v>0</v>
      </c>
      <c r="AN12" s="7">
        <v>0</v>
      </c>
      <c r="AO12" s="7">
        <v>0</v>
      </c>
      <c r="AP12" s="7">
        <v>0</v>
      </c>
      <c r="AQ12" s="7">
        <v>123.1178897395033</v>
      </c>
      <c r="AR12" s="7">
        <v>210.08056794794291</v>
      </c>
      <c r="AS12" s="7">
        <v>106.72624431721469</v>
      </c>
      <c r="AT12" s="7">
        <v>96.196393208439545</v>
      </c>
    </row>
    <row r="13" spans="1:46" x14ac:dyDescent="0.35">
      <c r="A13" s="5">
        <v>46022</v>
      </c>
      <c r="B13" s="4" t="s">
        <v>57</v>
      </c>
      <c r="C13" s="4" t="s">
        <v>58</v>
      </c>
      <c r="D13" s="4" t="s">
        <v>59</v>
      </c>
      <c r="E13" s="6">
        <v>6123.4570309999999</v>
      </c>
      <c r="F13" s="6">
        <v>0</v>
      </c>
      <c r="G13" s="6">
        <v>6123.4570309999999</v>
      </c>
      <c r="H13" s="6">
        <v>2</v>
      </c>
      <c r="I13" s="6">
        <v>3061.7285160000001</v>
      </c>
      <c r="J13" s="6">
        <v>0</v>
      </c>
      <c r="K13" s="6">
        <v>3061.7285160000001</v>
      </c>
      <c r="L13" s="6">
        <v>2296.2963869999999</v>
      </c>
      <c r="M13" s="7">
        <v>13.054637080332411</v>
      </c>
      <c r="N13" s="7">
        <v>10.172679</v>
      </c>
      <c r="O13" s="7">
        <v>3.8392434387100538</v>
      </c>
      <c r="P13" s="7">
        <v>48.419694096510277</v>
      </c>
      <c r="Q13" s="7">
        <v>75.486253615552741</v>
      </c>
      <c r="R13" s="7">
        <v>13.27775569631337</v>
      </c>
      <c r="S13" s="7">
        <v>85.137464141663969</v>
      </c>
      <c r="T13" s="7">
        <v>20.983163220354911</v>
      </c>
      <c r="U13" s="7">
        <v>29.599269509173901</v>
      </c>
      <c r="V13" s="7">
        <v>148.99765256750609</v>
      </c>
      <c r="W13" s="7">
        <v>224.48390618305891</v>
      </c>
      <c r="X13" s="7">
        <v>1.171095897251974</v>
      </c>
      <c r="Y13" s="7">
        <v>65.303129272272486</v>
      </c>
      <c r="Z13" s="7">
        <v>290.95813135258339</v>
      </c>
      <c r="AA13" s="7">
        <v>0</v>
      </c>
      <c r="AB13" s="7">
        <v>290.95813135258339</v>
      </c>
      <c r="AC13" s="7">
        <v>0</v>
      </c>
      <c r="AD13" s="7">
        <v>61.480649140570897</v>
      </c>
      <c r="AE13" s="7">
        <v>0</v>
      </c>
      <c r="AF13" s="7">
        <v>0</v>
      </c>
      <c r="AG13" s="7">
        <v>352.43878049315418</v>
      </c>
      <c r="AH13" s="7">
        <v>6.9464171758527078</v>
      </c>
      <c r="AI13" s="7">
        <v>0</v>
      </c>
      <c r="AJ13" s="7">
        <v>31.413471093415769</v>
      </c>
      <c r="AK13" s="7">
        <v>329.31801962185182</v>
      </c>
      <c r="AL13" s="7">
        <v>0</v>
      </c>
      <c r="AM13" s="7">
        <v>0</v>
      </c>
      <c r="AN13" s="7">
        <v>0</v>
      </c>
      <c r="AO13" s="7">
        <v>0</v>
      </c>
      <c r="AP13" s="7">
        <v>0</v>
      </c>
      <c r="AQ13" s="7">
        <v>329.31801962185182</v>
      </c>
      <c r="AR13" s="7">
        <v>251.03563840331029</v>
      </c>
      <c r="AS13" s="7">
        <v>-39.922492949273021</v>
      </c>
      <c r="AT13" s="7">
        <v>-39.922492949273021</v>
      </c>
    </row>
    <row r="14" spans="1:46" x14ac:dyDescent="0.35">
      <c r="A14" s="5">
        <v>46022</v>
      </c>
      <c r="B14" s="4" t="s">
        <v>60</v>
      </c>
      <c r="C14" s="4" t="s">
        <v>61</v>
      </c>
      <c r="D14" s="4" t="s">
        <v>62</v>
      </c>
      <c r="E14" s="6">
        <v>0</v>
      </c>
      <c r="F14" s="6">
        <v>0</v>
      </c>
      <c r="G14" s="6">
        <v>0</v>
      </c>
      <c r="H14" s="6">
        <v>0</v>
      </c>
      <c r="I14" s="6">
        <v>0</v>
      </c>
      <c r="J14" s="6">
        <v>4540</v>
      </c>
      <c r="K14" s="6">
        <v>4540</v>
      </c>
      <c r="L14" s="6">
        <v>4540</v>
      </c>
      <c r="M14" s="7">
        <v>62.126660999999991</v>
      </c>
      <c r="N14" s="7">
        <v>0.70789599999999997</v>
      </c>
      <c r="O14" s="7">
        <v>17.476870999999999</v>
      </c>
      <c r="P14" s="7">
        <v>25.787011</v>
      </c>
      <c r="Q14" s="7">
        <v>106.098439</v>
      </c>
      <c r="R14" s="7">
        <v>3.5362450000000001</v>
      </c>
      <c r="S14" s="7">
        <v>1.8480799999999999</v>
      </c>
      <c r="T14" s="7">
        <v>6.6289399999999992</v>
      </c>
      <c r="U14" s="7">
        <v>8.0463459999999998</v>
      </c>
      <c r="V14" s="7">
        <v>20.059611</v>
      </c>
      <c r="W14" s="7">
        <v>126.15805</v>
      </c>
      <c r="X14" s="7">
        <v>0.106300272</v>
      </c>
      <c r="Y14" s="7">
        <v>5.7621602927086357</v>
      </c>
      <c r="Z14" s="7">
        <v>132.02651056470859</v>
      </c>
      <c r="AA14" s="7">
        <v>1.9717262937683679</v>
      </c>
      <c r="AB14" s="7">
        <v>133.99823685847699</v>
      </c>
      <c r="AC14" s="7">
        <v>0</v>
      </c>
      <c r="AD14" s="7">
        <v>30.956178999999999</v>
      </c>
      <c r="AE14" s="7">
        <v>0</v>
      </c>
      <c r="AF14" s="7">
        <v>0</v>
      </c>
      <c r="AG14" s="7">
        <v>164.95441585847701</v>
      </c>
      <c r="AH14" s="7">
        <v>0.72082299999999988</v>
      </c>
      <c r="AI14" s="7">
        <v>0</v>
      </c>
      <c r="AJ14" s="7">
        <v>18.923708000000001</v>
      </c>
      <c r="AK14" s="7">
        <v>153.64276785847699</v>
      </c>
      <c r="AL14" s="7">
        <v>0</v>
      </c>
      <c r="AM14" s="7">
        <v>0</v>
      </c>
      <c r="AN14" s="7">
        <v>0</v>
      </c>
      <c r="AO14" s="7">
        <v>0</v>
      </c>
      <c r="AP14" s="7">
        <v>0</v>
      </c>
      <c r="AQ14" s="7">
        <v>153.64276785847699</v>
      </c>
      <c r="AR14" s="7">
        <v>143.8399565600144</v>
      </c>
      <c r="AS14" s="7">
        <v>11.81344599530575</v>
      </c>
      <c r="AT14" s="7">
        <v>9.8417197015373841</v>
      </c>
    </row>
    <row r="15" spans="1:46" x14ac:dyDescent="0.35">
      <c r="A15" s="5">
        <v>46022</v>
      </c>
      <c r="B15" s="4" t="s">
        <v>63</v>
      </c>
      <c r="C15" s="4" t="s">
        <v>64</v>
      </c>
      <c r="D15" s="4" t="s">
        <v>56</v>
      </c>
      <c r="E15" s="6">
        <v>84500</v>
      </c>
      <c r="F15" s="6">
        <v>0</v>
      </c>
      <c r="G15" s="6">
        <v>84500</v>
      </c>
      <c r="H15" s="6">
        <v>12.518519</v>
      </c>
      <c r="I15" s="6">
        <v>6750</v>
      </c>
      <c r="J15" s="6">
        <v>700</v>
      </c>
      <c r="K15" s="6">
        <v>7450</v>
      </c>
      <c r="L15" s="6">
        <v>8450</v>
      </c>
      <c r="M15" s="7">
        <v>9.6213780000000018</v>
      </c>
      <c r="N15" s="7">
        <v>10.666748999999999</v>
      </c>
      <c r="O15" s="7">
        <v>2.5202429999999998</v>
      </c>
      <c r="P15" s="7">
        <v>19.112535000000001</v>
      </c>
      <c r="Q15" s="7">
        <v>41.920904999999998</v>
      </c>
      <c r="R15" s="7">
        <v>2.17347</v>
      </c>
      <c r="S15" s="7">
        <v>13.256164</v>
      </c>
      <c r="T15" s="7">
        <v>33.155878999999999</v>
      </c>
      <c r="U15" s="7">
        <v>23.796147000000001</v>
      </c>
      <c r="V15" s="7">
        <v>72.381659999999997</v>
      </c>
      <c r="W15" s="7">
        <v>114.302565</v>
      </c>
      <c r="X15" s="7">
        <v>6.8874830769230773</v>
      </c>
      <c r="Y15" s="7">
        <v>10.584483294674561</v>
      </c>
      <c r="Z15" s="7">
        <v>131.77453137159759</v>
      </c>
      <c r="AA15" s="7">
        <v>16.086007898819609</v>
      </c>
      <c r="AB15" s="7">
        <v>147.86053927041721</v>
      </c>
      <c r="AC15" s="7">
        <v>0.55683899999999997</v>
      </c>
      <c r="AD15" s="7">
        <v>64.498697000000007</v>
      </c>
      <c r="AE15" s="7">
        <v>0</v>
      </c>
      <c r="AF15" s="7">
        <v>0</v>
      </c>
      <c r="AG15" s="7">
        <v>212.91607527041731</v>
      </c>
      <c r="AH15" s="7">
        <v>1.1393310000000001</v>
      </c>
      <c r="AI15" s="7">
        <v>0</v>
      </c>
      <c r="AJ15" s="7">
        <v>38.80097700000001</v>
      </c>
      <c r="AK15" s="7">
        <v>188.3576862704173</v>
      </c>
      <c r="AL15" s="7">
        <v>0</v>
      </c>
      <c r="AM15" s="7">
        <v>0</v>
      </c>
      <c r="AN15" s="7">
        <v>0</v>
      </c>
      <c r="AO15" s="7">
        <v>0</v>
      </c>
      <c r="AP15" s="7">
        <v>0</v>
      </c>
      <c r="AQ15" s="7">
        <v>188.3576862704173</v>
      </c>
      <c r="AR15" s="7">
        <v>234.07226623659011</v>
      </c>
      <c r="AS15" s="7">
        <v>102.29773486499251</v>
      </c>
      <c r="AT15" s="7">
        <v>86.211726966172904</v>
      </c>
    </row>
    <row r="16" spans="1:46" x14ac:dyDescent="0.35">
      <c r="A16" s="5">
        <v>46022</v>
      </c>
      <c r="B16" s="4" t="s">
        <v>65</v>
      </c>
      <c r="C16" s="4" t="s">
        <v>66</v>
      </c>
      <c r="D16" s="4" t="s">
        <v>67</v>
      </c>
      <c r="E16" s="6">
        <v>21422.666667000001</v>
      </c>
      <c r="F16" s="6">
        <v>0</v>
      </c>
      <c r="G16" s="6">
        <v>21422.666667000001</v>
      </c>
      <c r="H16" s="6">
        <v>2.1351499999999999</v>
      </c>
      <c r="I16" s="6">
        <v>10033.333333</v>
      </c>
      <c r="J16" s="6">
        <v>0</v>
      </c>
      <c r="K16" s="6">
        <v>10033.333333</v>
      </c>
      <c r="L16" s="6">
        <v>10033.333333</v>
      </c>
      <c r="M16" s="7">
        <v>0.78895499999999996</v>
      </c>
      <c r="N16" s="7">
        <v>0.41878500000000002</v>
      </c>
      <c r="O16" s="7">
        <v>4.3568000000000003E-2</v>
      </c>
      <c r="P16" s="7">
        <v>1.089772</v>
      </c>
      <c r="Q16" s="7">
        <v>2.3410799999999998</v>
      </c>
      <c r="R16" s="7">
        <v>0.33812500000000001</v>
      </c>
      <c r="S16" s="7">
        <v>0.88496699999999995</v>
      </c>
      <c r="T16" s="7">
        <v>1.1640280000000001</v>
      </c>
      <c r="U16" s="7">
        <v>0.54234300000000002</v>
      </c>
      <c r="V16" s="7">
        <v>2.9294630000000002</v>
      </c>
      <c r="W16" s="7">
        <v>5.270543</v>
      </c>
      <c r="X16" s="7">
        <v>2.2312527007745229</v>
      </c>
      <c r="Y16" s="7">
        <v>6.4463036519407346</v>
      </c>
      <c r="Z16" s="7">
        <v>13.948099352715261</v>
      </c>
      <c r="AA16" s="7">
        <v>0</v>
      </c>
      <c r="AB16" s="7">
        <v>13.948099352715261</v>
      </c>
      <c r="AC16" s="7">
        <v>0</v>
      </c>
      <c r="AD16" s="7">
        <v>0.84586300000000014</v>
      </c>
      <c r="AE16" s="7">
        <v>0</v>
      </c>
      <c r="AF16" s="7">
        <v>0</v>
      </c>
      <c r="AG16" s="7">
        <v>14.79396235271526</v>
      </c>
      <c r="AH16" s="7">
        <v>0.647841</v>
      </c>
      <c r="AI16" s="7">
        <v>0</v>
      </c>
      <c r="AJ16" s="7">
        <v>11.165891999999999</v>
      </c>
      <c r="AK16" s="7">
        <v>25.76183235271526</v>
      </c>
      <c r="AL16" s="7">
        <v>1.0605279999999999</v>
      </c>
      <c r="AM16" s="7">
        <v>0</v>
      </c>
      <c r="AN16" s="7">
        <v>0</v>
      </c>
      <c r="AO16" s="7">
        <v>0</v>
      </c>
      <c r="AP16" s="7">
        <v>0</v>
      </c>
      <c r="AQ16" s="7">
        <v>26.822360352715261</v>
      </c>
      <c r="AR16" s="7">
        <v>45.54317694059047</v>
      </c>
      <c r="AS16" s="7">
        <v>31.59507758787521</v>
      </c>
      <c r="AT16" s="7">
        <v>31.59507758787521</v>
      </c>
    </row>
    <row r="17" spans="1:46" x14ac:dyDescent="0.35">
      <c r="A17" s="5">
        <v>46022</v>
      </c>
      <c r="B17" s="4" t="s">
        <v>68</v>
      </c>
      <c r="C17" s="4" t="s">
        <v>69</v>
      </c>
      <c r="D17" s="4" t="s">
        <v>70</v>
      </c>
      <c r="E17" s="6">
        <v>0</v>
      </c>
      <c r="F17" s="6">
        <v>0</v>
      </c>
      <c r="G17" s="6">
        <v>0</v>
      </c>
      <c r="H17" s="6">
        <v>0</v>
      </c>
      <c r="I17" s="6">
        <v>0</v>
      </c>
      <c r="J17" s="6">
        <v>564.02439800000002</v>
      </c>
      <c r="K17" s="6">
        <v>564.02439800000002</v>
      </c>
      <c r="L17" s="6">
        <v>564.02439800000002</v>
      </c>
      <c r="M17" s="7">
        <v>4.7019219999999997</v>
      </c>
      <c r="N17" s="7">
        <v>5.4781959999999996</v>
      </c>
      <c r="O17" s="7">
        <v>2.9246669999999999</v>
      </c>
      <c r="P17" s="7">
        <v>11.113153000000001</v>
      </c>
      <c r="Q17" s="7">
        <v>24.217938</v>
      </c>
      <c r="R17" s="7">
        <v>0.88205699999999998</v>
      </c>
      <c r="S17" s="7">
        <v>1.747803</v>
      </c>
      <c r="T17" s="7">
        <v>4.533747</v>
      </c>
      <c r="U17" s="7">
        <v>6.2532269999999999</v>
      </c>
      <c r="V17" s="7">
        <v>13.416834</v>
      </c>
      <c r="W17" s="7">
        <v>37.634771999999998</v>
      </c>
      <c r="X17" s="7">
        <v>12.79491499986336</v>
      </c>
      <c r="Y17" s="7">
        <v>15.83811773068471</v>
      </c>
      <c r="Z17" s="7">
        <v>66.267804730548065</v>
      </c>
      <c r="AA17" s="7">
        <v>5.8518374749914237</v>
      </c>
      <c r="AB17" s="7">
        <v>72.119642205539492</v>
      </c>
      <c r="AC17" s="7">
        <v>0.53189200000000003</v>
      </c>
      <c r="AD17" s="7">
        <v>41.278582</v>
      </c>
      <c r="AE17" s="7">
        <v>0</v>
      </c>
      <c r="AF17" s="7">
        <v>0</v>
      </c>
      <c r="AG17" s="7">
        <v>113.93011620553951</v>
      </c>
      <c r="AH17" s="7">
        <v>7.6256779999999997</v>
      </c>
      <c r="AI17" s="7">
        <v>0</v>
      </c>
      <c r="AJ17" s="7">
        <v>8.5102700000000002</v>
      </c>
      <c r="AK17" s="7">
        <v>88.78748220553949</v>
      </c>
      <c r="AL17" s="7">
        <v>0</v>
      </c>
      <c r="AM17" s="7">
        <v>0</v>
      </c>
      <c r="AN17" s="7">
        <v>0</v>
      </c>
      <c r="AO17" s="7">
        <v>0</v>
      </c>
      <c r="AP17" s="7">
        <v>0</v>
      </c>
      <c r="AQ17" s="7">
        <v>88.78748220553949</v>
      </c>
      <c r="AR17" s="7">
        <v>117.03721040642471</v>
      </c>
      <c r="AS17" s="7">
        <v>50.769405675876641</v>
      </c>
      <c r="AT17" s="7">
        <v>44.917568200885221</v>
      </c>
    </row>
    <row r="18" spans="1:46" x14ac:dyDescent="0.35">
      <c r="A18" s="5">
        <v>46022</v>
      </c>
      <c r="B18" s="4" t="s">
        <v>71</v>
      </c>
      <c r="C18" s="4" t="s">
        <v>72</v>
      </c>
      <c r="D18" s="4" t="s">
        <v>56</v>
      </c>
      <c r="E18" s="6">
        <v>0</v>
      </c>
      <c r="F18" s="6">
        <v>0</v>
      </c>
      <c r="G18" s="6">
        <v>0</v>
      </c>
      <c r="H18" s="6">
        <v>0</v>
      </c>
      <c r="I18" s="6">
        <v>0</v>
      </c>
      <c r="J18" s="6">
        <v>1230.1587300000001</v>
      </c>
      <c r="K18" s="6">
        <v>1230.1587300000001</v>
      </c>
      <c r="L18" s="6">
        <v>1230.1587300000001</v>
      </c>
      <c r="M18" s="7">
        <v>30.835650999999999</v>
      </c>
      <c r="N18" s="7">
        <v>4.0874300000000003</v>
      </c>
      <c r="O18" s="7">
        <v>7.5149439999999998</v>
      </c>
      <c r="P18" s="7">
        <v>29.977764000000001</v>
      </c>
      <c r="Q18" s="7">
        <v>72.415789000000004</v>
      </c>
      <c r="R18" s="7">
        <v>9.7072880000000001</v>
      </c>
      <c r="S18" s="7">
        <v>1.1921029999999999</v>
      </c>
      <c r="T18" s="7">
        <v>8.9247460000000007</v>
      </c>
      <c r="U18" s="7">
        <v>9.8673260000000003</v>
      </c>
      <c r="V18" s="7">
        <v>29.691462999999999</v>
      </c>
      <c r="W18" s="7">
        <v>102.107252</v>
      </c>
      <c r="X18" s="7">
        <v>21.26447634563468</v>
      </c>
      <c r="Y18" s="7">
        <v>36.982889118582797</v>
      </c>
      <c r="Z18" s="7">
        <v>160.35461746421751</v>
      </c>
      <c r="AA18" s="7">
        <v>36.469616385377442</v>
      </c>
      <c r="AB18" s="7">
        <v>196.82423384959489</v>
      </c>
      <c r="AC18" s="7">
        <v>0</v>
      </c>
      <c r="AD18" s="7">
        <v>37.825876000000001</v>
      </c>
      <c r="AE18" s="7">
        <v>0</v>
      </c>
      <c r="AF18" s="7">
        <v>0</v>
      </c>
      <c r="AG18" s="7">
        <v>234.65010984959491</v>
      </c>
      <c r="AH18" s="7">
        <v>6.2593550000000011</v>
      </c>
      <c r="AI18" s="7">
        <v>0</v>
      </c>
      <c r="AJ18" s="7">
        <v>6.5032259999999997</v>
      </c>
      <c r="AK18" s="7">
        <v>209.5868148495949</v>
      </c>
      <c r="AL18" s="7">
        <v>0</v>
      </c>
      <c r="AM18" s="7">
        <v>0</v>
      </c>
      <c r="AN18" s="7">
        <v>0</v>
      </c>
      <c r="AO18" s="7">
        <v>0</v>
      </c>
      <c r="AP18" s="7">
        <v>0</v>
      </c>
      <c r="AQ18" s="7">
        <v>209.5868148495949</v>
      </c>
      <c r="AR18" s="7">
        <v>356.90742295521738</v>
      </c>
      <c r="AS18" s="7">
        <v>196.5528054909999</v>
      </c>
      <c r="AT18" s="7">
        <v>160.08318910562249</v>
      </c>
    </row>
    <row r="19" spans="1:46" x14ac:dyDescent="0.35">
      <c r="A19" s="5">
        <v>46022</v>
      </c>
      <c r="B19" s="4" t="s">
        <v>73</v>
      </c>
      <c r="C19" s="4" t="s">
        <v>74</v>
      </c>
      <c r="D19" s="4" t="s">
        <v>70</v>
      </c>
      <c r="E19" s="6">
        <v>3406.3120570000001</v>
      </c>
      <c r="F19" s="6">
        <v>0</v>
      </c>
      <c r="G19" s="6">
        <v>3406.3120570000001</v>
      </c>
      <c r="H19" s="6">
        <v>3</v>
      </c>
      <c r="I19" s="6">
        <v>1135.4373519999999</v>
      </c>
      <c r="J19" s="6">
        <v>820.03808800000002</v>
      </c>
      <c r="K19" s="6">
        <v>1955.4754399999999</v>
      </c>
      <c r="L19" s="6">
        <v>1955.4754399999999</v>
      </c>
      <c r="M19" s="7">
        <v>21.348671</v>
      </c>
      <c r="N19" s="7">
        <v>13.820074999999999</v>
      </c>
      <c r="O19" s="7">
        <v>2.5167090000000001</v>
      </c>
      <c r="P19" s="7">
        <v>4.6312490000000004</v>
      </c>
      <c r="Q19" s="7">
        <v>42.316704000000001</v>
      </c>
      <c r="R19" s="7">
        <v>10.659794</v>
      </c>
      <c r="S19" s="7">
        <v>1.582408</v>
      </c>
      <c r="T19" s="7">
        <v>8.5298370000000006</v>
      </c>
      <c r="U19" s="7">
        <v>3.6578970000000002</v>
      </c>
      <c r="V19" s="7">
        <v>24.429936000000001</v>
      </c>
      <c r="W19" s="7">
        <v>66.746639999999999</v>
      </c>
      <c r="X19" s="7">
        <v>0.1283398885337062</v>
      </c>
      <c r="Y19" s="7">
        <v>2.9630472490028579</v>
      </c>
      <c r="Z19" s="7">
        <v>69.838027137536557</v>
      </c>
      <c r="AA19" s="7">
        <v>4.4445930833020544</v>
      </c>
      <c r="AB19" s="7">
        <v>74.282620220838623</v>
      </c>
      <c r="AC19" s="7">
        <v>0</v>
      </c>
      <c r="AD19" s="7">
        <v>2.5182380000000002</v>
      </c>
      <c r="AE19" s="7">
        <v>0</v>
      </c>
      <c r="AF19" s="7">
        <v>0</v>
      </c>
      <c r="AG19" s="7">
        <v>76.80085822083862</v>
      </c>
      <c r="AH19" s="7">
        <v>0.69699299999999997</v>
      </c>
      <c r="AI19" s="7">
        <v>0</v>
      </c>
      <c r="AJ19" s="7">
        <v>2.0541960000000001</v>
      </c>
      <c r="AK19" s="7">
        <v>77.03380922083862</v>
      </c>
      <c r="AL19" s="7">
        <v>0</v>
      </c>
      <c r="AM19" s="7">
        <v>0</v>
      </c>
      <c r="AN19" s="7">
        <v>0</v>
      </c>
      <c r="AO19" s="7">
        <v>0</v>
      </c>
      <c r="AP19" s="7">
        <v>0</v>
      </c>
      <c r="AQ19" s="7">
        <v>77.03380922083862</v>
      </c>
      <c r="AR19" s="7">
        <v>44.445561077931188</v>
      </c>
      <c r="AS19" s="7">
        <v>-25.392466059605368</v>
      </c>
      <c r="AT19" s="7">
        <v>-29.837059142907421</v>
      </c>
    </row>
    <row r="20" spans="1:46" x14ac:dyDescent="0.35">
      <c r="A20" s="5">
        <v>46022</v>
      </c>
      <c r="B20" s="4" t="s">
        <v>75</v>
      </c>
      <c r="C20" s="4" t="s">
        <v>76</v>
      </c>
      <c r="D20" s="4" t="s">
        <v>77</v>
      </c>
      <c r="E20" s="6">
        <v>18000</v>
      </c>
      <c r="F20" s="6">
        <v>0</v>
      </c>
      <c r="G20" s="6">
        <v>18000</v>
      </c>
      <c r="H20" s="6">
        <v>3</v>
      </c>
      <c r="I20" s="6">
        <v>6000</v>
      </c>
      <c r="J20" s="6">
        <v>27740</v>
      </c>
      <c r="K20" s="6">
        <v>33740</v>
      </c>
      <c r="L20" s="6">
        <v>33740</v>
      </c>
      <c r="M20" s="7">
        <v>31.17626383622353</v>
      </c>
      <c r="N20" s="7">
        <v>2.860535</v>
      </c>
      <c r="O20" s="7">
        <v>1.798213454208456</v>
      </c>
      <c r="P20" s="7">
        <v>28.69123264730705</v>
      </c>
      <c r="Q20" s="7">
        <v>64.526244937739037</v>
      </c>
      <c r="R20" s="7">
        <v>1.962037422346276</v>
      </c>
      <c r="S20" s="7">
        <v>1.835029795462771</v>
      </c>
      <c r="T20" s="7">
        <v>2.0133684472504649</v>
      </c>
      <c r="U20" s="7">
        <v>2.8935857293140912</v>
      </c>
      <c r="V20" s="7">
        <v>8.7040213943736031</v>
      </c>
      <c r="W20" s="7">
        <v>73.230266332112635</v>
      </c>
      <c r="X20" s="7">
        <v>4.655598037192326</v>
      </c>
      <c r="Y20" s="7">
        <v>33.674814461964218</v>
      </c>
      <c r="Z20" s="7">
        <v>111.5606788312692</v>
      </c>
      <c r="AA20" s="7">
        <v>25.776469696234511</v>
      </c>
      <c r="AB20" s="7">
        <v>137.3371485275037</v>
      </c>
      <c r="AC20" s="7">
        <v>0</v>
      </c>
      <c r="AD20" s="7">
        <v>26.94366399898265</v>
      </c>
      <c r="AE20" s="7">
        <v>0</v>
      </c>
      <c r="AF20" s="7">
        <v>0</v>
      </c>
      <c r="AG20" s="7">
        <v>164.2808125264863</v>
      </c>
      <c r="AH20" s="7">
        <v>20.376122428467671</v>
      </c>
      <c r="AI20" s="7">
        <v>0</v>
      </c>
      <c r="AJ20" s="7">
        <v>27.299921281251759</v>
      </c>
      <c r="AK20" s="7">
        <v>185.01319223722311</v>
      </c>
      <c r="AL20" s="7">
        <v>0</v>
      </c>
      <c r="AM20" s="7">
        <v>4.5858405191194933</v>
      </c>
      <c r="AN20" s="7">
        <v>0</v>
      </c>
      <c r="AO20" s="7">
        <v>0</v>
      </c>
      <c r="AP20" s="7">
        <v>1.481921</v>
      </c>
      <c r="AQ20" s="7">
        <v>191.08095375634261</v>
      </c>
      <c r="AR20" s="7">
        <v>384.51395079116497</v>
      </c>
      <c r="AS20" s="7">
        <v>272.9532719598958</v>
      </c>
      <c r="AT20" s="7">
        <v>247.1768022636613</v>
      </c>
    </row>
    <row r="21" spans="1:46" x14ac:dyDescent="0.35">
      <c r="A21" s="5">
        <v>46022</v>
      </c>
      <c r="B21" s="4" t="s">
        <v>78</v>
      </c>
      <c r="C21" s="4" t="s">
        <v>79</v>
      </c>
      <c r="D21" s="4" t="s">
        <v>80</v>
      </c>
      <c r="E21" s="6">
        <v>0</v>
      </c>
      <c r="F21" s="6">
        <v>0</v>
      </c>
      <c r="G21" s="6">
        <v>0</v>
      </c>
      <c r="H21" s="6">
        <v>0</v>
      </c>
      <c r="I21" s="6">
        <v>0</v>
      </c>
      <c r="J21" s="6">
        <v>1350</v>
      </c>
      <c r="K21" s="6">
        <v>1350</v>
      </c>
      <c r="L21" s="6">
        <v>1350</v>
      </c>
      <c r="M21" s="7">
        <v>86.881849000000017</v>
      </c>
      <c r="N21" s="7">
        <v>6.9469159999999999</v>
      </c>
      <c r="O21" s="7">
        <v>11.850735</v>
      </c>
      <c r="P21" s="7">
        <v>166.048169</v>
      </c>
      <c r="Q21" s="7">
        <v>271.72766899999999</v>
      </c>
      <c r="R21" s="7">
        <v>10.242015</v>
      </c>
      <c r="S21" s="7">
        <v>9.4480459999999997</v>
      </c>
      <c r="T21" s="7">
        <v>6.485671</v>
      </c>
      <c r="U21" s="7">
        <v>27.329287000000001</v>
      </c>
      <c r="V21" s="7">
        <v>53.505019000000011</v>
      </c>
      <c r="W21" s="7">
        <v>325.232688</v>
      </c>
      <c r="X21" s="7">
        <v>30.0768551428297</v>
      </c>
      <c r="Y21" s="7">
        <v>72.864782839862755</v>
      </c>
      <c r="Z21" s="7">
        <v>428.17432598269249</v>
      </c>
      <c r="AA21" s="7">
        <v>23.587163531603782</v>
      </c>
      <c r="AB21" s="7">
        <v>451.76148951429627</v>
      </c>
      <c r="AC21" s="7">
        <v>0</v>
      </c>
      <c r="AD21" s="7">
        <v>127.77133499999999</v>
      </c>
      <c r="AE21" s="7">
        <v>0</v>
      </c>
      <c r="AF21" s="7">
        <v>0</v>
      </c>
      <c r="AG21" s="7">
        <v>579.53282451429629</v>
      </c>
      <c r="AH21" s="7">
        <v>1.601561</v>
      </c>
      <c r="AI21" s="7">
        <v>0</v>
      </c>
      <c r="AJ21" s="7">
        <v>33.659337999999998</v>
      </c>
      <c r="AK21" s="7">
        <v>487.02238851429632</v>
      </c>
      <c r="AL21" s="7">
        <v>0</v>
      </c>
      <c r="AM21" s="7">
        <v>0</v>
      </c>
      <c r="AN21" s="7">
        <v>0</v>
      </c>
      <c r="AO21" s="7">
        <v>0</v>
      </c>
      <c r="AP21" s="7">
        <v>0</v>
      </c>
      <c r="AQ21" s="7">
        <v>487.02238851429632</v>
      </c>
      <c r="AR21" s="7">
        <v>593.16027555786366</v>
      </c>
      <c r="AS21" s="7">
        <v>164.98594957517111</v>
      </c>
      <c r="AT21" s="7">
        <v>141.3987860435673</v>
      </c>
    </row>
    <row r="22" spans="1:46" x14ac:dyDescent="0.35">
      <c r="A22" s="5">
        <v>46022</v>
      </c>
      <c r="B22" s="4" t="s">
        <v>81</v>
      </c>
      <c r="C22" s="4" t="s">
        <v>82</v>
      </c>
      <c r="D22" s="4" t="s">
        <v>83</v>
      </c>
      <c r="E22" s="6">
        <v>2991.15</v>
      </c>
      <c r="F22" s="6">
        <v>0</v>
      </c>
      <c r="G22" s="6">
        <v>2991.15</v>
      </c>
      <c r="H22" s="6">
        <v>0.51</v>
      </c>
      <c r="I22" s="6">
        <v>5865</v>
      </c>
      <c r="J22" s="6">
        <v>0</v>
      </c>
      <c r="K22" s="6">
        <v>5865</v>
      </c>
      <c r="L22" s="6">
        <v>3450</v>
      </c>
      <c r="M22" s="7">
        <v>6.4676590000000003</v>
      </c>
      <c r="N22" s="7">
        <v>4.6543830000000002</v>
      </c>
      <c r="O22" s="7">
        <v>0.26098199999999999</v>
      </c>
      <c r="P22" s="7">
        <v>9.1878810000000009</v>
      </c>
      <c r="Q22" s="7">
        <v>20.570905</v>
      </c>
      <c r="R22" s="7">
        <v>5.6604359999999998</v>
      </c>
      <c r="S22" s="7">
        <v>7.1833710000000002</v>
      </c>
      <c r="T22" s="7">
        <v>29.642658999999998</v>
      </c>
      <c r="U22" s="7">
        <v>12.475237</v>
      </c>
      <c r="V22" s="7">
        <v>54.961703</v>
      </c>
      <c r="W22" s="7">
        <v>75.532607999999996</v>
      </c>
      <c r="X22" s="7">
        <v>0.78974405797101455</v>
      </c>
      <c r="Y22" s="7">
        <v>47.401138217585483</v>
      </c>
      <c r="Z22" s="7">
        <v>123.7234902755565</v>
      </c>
      <c r="AA22" s="7">
        <v>3.0126933302988879</v>
      </c>
      <c r="AB22" s="7">
        <v>126.7361836058554</v>
      </c>
      <c r="AC22" s="7">
        <v>0.10397000000000001</v>
      </c>
      <c r="AD22" s="7">
        <v>24.933166</v>
      </c>
      <c r="AE22" s="7">
        <v>0</v>
      </c>
      <c r="AF22" s="7">
        <v>0</v>
      </c>
      <c r="AG22" s="7">
        <v>151.77331960585539</v>
      </c>
      <c r="AH22" s="7">
        <v>5.3043480000000001</v>
      </c>
      <c r="AI22" s="7">
        <v>0</v>
      </c>
      <c r="AJ22" s="7">
        <v>2.2608700000000002</v>
      </c>
      <c r="AK22" s="7">
        <v>134.40537160585541</v>
      </c>
      <c r="AL22" s="7">
        <v>0</v>
      </c>
      <c r="AM22" s="7">
        <v>0</v>
      </c>
      <c r="AN22" s="7">
        <v>0</v>
      </c>
      <c r="AO22" s="7">
        <v>0</v>
      </c>
      <c r="AP22" s="7">
        <v>0</v>
      </c>
      <c r="AQ22" s="7">
        <v>134.40537160585541</v>
      </c>
      <c r="AR22" s="7">
        <v>172.15433347217649</v>
      </c>
      <c r="AS22" s="7">
        <v>48.430843196619989</v>
      </c>
      <c r="AT22" s="7">
        <v>45.418149866321102</v>
      </c>
    </row>
    <row r="23" spans="1:46" x14ac:dyDescent="0.35">
      <c r="A23" s="5">
        <v>46022</v>
      </c>
      <c r="B23" s="4" t="s">
        <v>84</v>
      </c>
      <c r="C23" s="4" t="s">
        <v>85</v>
      </c>
      <c r="D23" s="4" t="s">
        <v>56</v>
      </c>
      <c r="E23" s="6">
        <v>8000</v>
      </c>
      <c r="F23" s="6">
        <v>0</v>
      </c>
      <c r="G23" s="6">
        <v>8000</v>
      </c>
      <c r="H23" s="6">
        <v>4</v>
      </c>
      <c r="I23" s="6">
        <v>2000</v>
      </c>
      <c r="J23" s="6">
        <v>0</v>
      </c>
      <c r="K23" s="6">
        <v>2000</v>
      </c>
      <c r="L23" s="6">
        <v>1500</v>
      </c>
      <c r="M23" s="7">
        <v>11.330092</v>
      </c>
      <c r="N23" s="7">
        <v>8.4105100000000004</v>
      </c>
      <c r="O23" s="7">
        <v>0.41845399999999999</v>
      </c>
      <c r="P23" s="7">
        <v>5.568638</v>
      </c>
      <c r="Q23" s="7">
        <v>25.727694</v>
      </c>
      <c r="R23" s="7">
        <v>7.8801519999999998</v>
      </c>
      <c r="S23" s="7">
        <v>23.805702</v>
      </c>
      <c r="T23" s="7">
        <v>8.0439500000000006</v>
      </c>
      <c r="U23" s="7">
        <v>3.5759449999999999</v>
      </c>
      <c r="V23" s="7">
        <v>43.305748999999999</v>
      </c>
      <c r="W23" s="7">
        <v>69.033443000000005</v>
      </c>
      <c r="X23" s="7">
        <v>9.5528136161266666</v>
      </c>
      <c r="Y23" s="7">
        <v>0</v>
      </c>
      <c r="Z23" s="7">
        <v>78.586256616126676</v>
      </c>
      <c r="AA23" s="7">
        <v>12.57329747640331</v>
      </c>
      <c r="AB23" s="7">
        <v>91.159554092529973</v>
      </c>
      <c r="AC23" s="7">
        <v>0</v>
      </c>
      <c r="AD23" s="7">
        <v>15.524632</v>
      </c>
      <c r="AE23" s="7">
        <v>0</v>
      </c>
      <c r="AF23" s="7">
        <v>0</v>
      </c>
      <c r="AG23" s="7">
        <v>106.68418609253</v>
      </c>
      <c r="AH23" s="7">
        <v>4.3333329999999997</v>
      </c>
      <c r="AI23" s="7">
        <v>0</v>
      </c>
      <c r="AJ23" s="7">
        <v>0.73333300000000012</v>
      </c>
      <c r="AK23" s="7">
        <v>96.226220092529985</v>
      </c>
      <c r="AL23" s="7">
        <v>0</v>
      </c>
      <c r="AM23" s="7">
        <v>0</v>
      </c>
      <c r="AN23" s="7">
        <v>0</v>
      </c>
      <c r="AO23" s="7">
        <v>0</v>
      </c>
      <c r="AP23" s="7">
        <v>0</v>
      </c>
      <c r="AQ23" s="7">
        <v>96.226220092529985</v>
      </c>
      <c r="AR23" s="7">
        <v>188.40860122619119</v>
      </c>
      <c r="AS23" s="7">
        <v>109.8223446100645</v>
      </c>
      <c r="AT23" s="7">
        <v>97.249047133661165</v>
      </c>
    </row>
    <row r="24" spans="1:46" x14ac:dyDescent="0.35">
      <c r="A24" s="5">
        <v>46022</v>
      </c>
      <c r="B24" s="4" t="s">
        <v>86</v>
      </c>
      <c r="C24" s="4" t="s">
        <v>87</v>
      </c>
      <c r="D24" s="4" t="s">
        <v>88</v>
      </c>
      <c r="E24" s="6">
        <v>1450.0546810000001</v>
      </c>
      <c r="F24" s="6">
        <v>0</v>
      </c>
      <c r="G24" s="6">
        <v>1450.0546810000001</v>
      </c>
      <c r="H24" s="6">
        <v>0.269787</v>
      </c>
      <c r="I24" s="6">
        <v>5374.8216130000001</v>
      </c>
      <c r="J24" s="6">
        <v>0</v>
      </c>
      <c r="K24" s="6">
        <v>5374.8216130000001</v>
      </c>
      <c r="L24" s="6">
        <v>3045.8785459999999</v>
      </c>
      <c r="M24" s="7">
        <v>8.6891359999999995</v>
      </c>
      <c r="N24" s="7">
        <v>0.86759699999999995</v>
      </c>
      <c r="O24" s="7">
        <v>9.2355389999999993</v>
      </c>
      <c r="P24" s="7">
        <v>69.208303999999998</v>
      </c>
      <c r="Q24" s="7">
        <v>88.000575999999995</v>
      </c>
      <c r="R24" s="7">
        <v>9.1557019999999998</v>
      </c>
      <c r="S24" s="7">
        <v>15.744299</v>
      </c>
      <c r="T24" s="7">
        <v>8.6165850000000006</v>
      </c>
      <c r="U24" s="7">
        <v>26.234753999999999</v>
      </c>
      <c r="V24" s="7">
        <v>59.751339999999999</v>
      </c>
      <c r="W24" s="7">
        <v>147.75191599999999</v>
      </c>
      <c r="X24" s="7">
        <v>8.1876885231807925</v>
      </c>
      <c r="Y24" s="7">
        <v>19.424472538376349</v>
      </c>
      <c r="Z24" s="7">
        <v>175.36407706155711</v>
      </c>
      <c r="AA24" s="7">
        <v>2.6507828254636778</v>
      </c>
      <c r="AB24" s="7">
        <v>178.0148598870208</v>
      </c>
      <c r="AC24" s="7">
        <v>0</v>
      </c>
      <c r="AD24" s="7">
        <v>84.048000000000016</v>
      </c>
      <c r="AE24" s="7">
        <v>0</v>
      </c>
      <c r="AF24" s="7">
        <v>0</v>
      </c>
      <c r="AG24" s="7">
        <v>262.06285988702081</v>
      </c>
      <c r="AH24" s="7">
        <v>14.574709</v>
      </c>
      <c r="AI24" s="7">
        <v>2.954812</v>
      </c>
      <c r="AJ24" s="7">
        <v>26.265000000000001</v>
      </c>
      <c r="AK24" s="7">
        <v>221.80938088702081</v>
      </c>
      <c r="AL24" s="7">
        <v>0</v>
      </c>
      <c r="AM24" s="7">
        <v>2.5974119999999998</v>
      </c>
      <c r="AN24" s="7">
        <v>0</v>
      </c>
      <c r="AO24" s="7">
        <v>0</v>
      </c>
      <c r="AP24" s="7">
        <v>0</v>
      </c>
      <c r="AQ24" s="7">
        <v>224.4067928870208</v>
      </c>
      <c r="AR24" s="7">
        <v>172.64721582741441</v>
      </c>
      <c r="AS24" s="7">
        <v>-2.7168612341427099</v>
      </c>
      <c r="AT24" s="7">
        <v>-5.3676440596063877</v>
      </c>
    </row>
    <row r="25" spans="1:46" x14ac:dyDescent="0.35">
      <c r="A25" s="5">
        <v>46022</v>
      </c>
      <c r="B25" s="4" t="s">
        <v>89</v>
      </c>
      <c r="C25" s="4" t="s">
        <v>90</v>
      </c>
      <c r="D25" s="4" t="s">
        <v>70</v>
      </c>
      <c r="E25" s="6">
        <v>0</v>
      </c>
      <c r="F25" s="6">
        <v>0</v>
      </c>
      <c r="G25" s="6">
        <v>0</v>
      </c>
      <c r="H25" s="6">
        <v>0</v>
      </c>
      <c r="I25" s="6">
        <v>0</v>
      </c>
      <c r="J25" s="6">
        <v>5600</v>
      </c>
      <c r="K25" s="6">
        <v>5600</v>
      </c>
      <c r="L25" s="6">
        <v>5600</v>
      </c>
      <c r="M25" s="7">
        <v>17.379308000000002</v>
      </c>
      <c r="N25" s="7">
        <v>1.124978</v>
      </c>
      <c r="O25" s="7">
        <v>1.4244760000000001</v>
      </c>
      <c r="P25" s="7">
        <v>13.723706</v>
      </c>
      <c r="Q25" s="7">
        <v>33.652467999999999</v>
      </c>
      <c r="R25" s="7">
        <v>2.092158</v>
      </c>
      <c r="S25" s="7">
        <v>1.160952</v>
      </c>
      <c r="T25" s="7">
        <v>2.8474390000000001</v>
      </c>
      <c r="U25" s="7">
        <v>4.66099</v>
      </c>
      <c r="V25" s="7">
        <v>10.761539000000001</v>
      </c>
      <c r="W25" s="7">
        <v>44.414006999999998</v>
      </c>
      <c r="X25" s="7">
        <v>0.88857489910214293</v>
      </c>
      <c r="Y25" s="7">
        <v>12.690147900730469</v>
      </c>
      <c r="Z25" s="7">
        <v>57.99272979983261</v>
      </c>
      <c r="AA25" s="7">
        <v>11.16775277193544</v>
      </c>
      <c r="AB25" s="7">
        <v>69.160482571768057</v>
      </c>
      <c r="AC25" s="7">
        <v>0</v>
      </c>
      <c r="AD25" s="7">
        <v>18.163267999999999</v>
      </c>
      <c r="AE25" s="7">
        <v>0</v>
      </c>
      <c r="AF25" s="7">
        <v>0</v>
      </c>
      <c r="AG25" s="7">
        <v>87.323750571768059</v>
      </c>
      <c r="AH25" s="7">
        <v>1.9791529999999999</v>
      </c>
      <c r="AI25" s="7">
        <v>0</v>
      </c>
      <c r="AJ25" s="7">
        <v>4.3532270000000004</v>
      </c>
      <c r="AK25" s="7">
        <v>75.492862571768057</v>
      </c>
      <c r="AL25" s="7">
        <v>0</v>
      </c>
      <c r="AM25" s="7">
        <v>0</v>
      </c>
      <c r="AN25" s="7">
        <v>0</v>
      </c>
      <c r="AO25" s="7">
        <v>0</v>
      </c>
      <c r="AP25" s="7">
        <v>0</v>
      </c>
      <c r="AQ25" s="7">
        <v>75.492862571768057</v>
      </c>
      <c r="AR25" s="7">
        <v>148.90365017527839</v>
      </c>
      <c r="AS25" s="7">
        <v>90.910920375445798</v>
      </c>
      <c r="AT25" s="7">
        <v>79.743167603510358</v>
      </c>
    </row>
    <row r="26" spans="1:46" x14ac:dyDescent="0.35">
      <c r="A26" s="5">
        <v>46022</v>
      </c>
      <c r="B26" s="4" t="s">
        <v>91</v>
      </c>
      <c r="C26" s="4" t="s">
        <v>92</v>
      </c>
      <c r="D26" s="4" t="s">
        <v>50</v>
      </c>
      <c r="E26" s="6">
        <v>1428.0961150000001</v>
      </c>
      <c r="F26" s="6">
        <v>0</v>
      </c>
      <c r="G26" s="6">
        <v>1428.0961150000001</v>
      </c>
      <c r="H26" s="6">
        <v>1.9860720000000001</v>
      </c>
      <c r="I26" s="6">
        <v>719.05570799999998</v>
      </c>
      <c r="J26" s="6">
        <v>0</v>
      </c>
      <c r="K26" s="6">
        <v>719.05570799999998</v>
      </c>
      <c r="L26" s="6">
        <v>719.05570799999998</v>
      </c>
      <c r="M26" s="7">
        <v>8.0157150000000001</v>
      </c>
      <c r="N26" s="7">
        <v>0.89746499999999996</v>
      </c>
      <c r="O26" s="7">
        <v>9.3023999999999996E-2</v>
      </c>
      <c r="P26" s="7">
        <v>2.9356629999999999</v>
      </c>
      <c r="Q26" s="7">
        <v>11.941867</v>
      </c>
      <c r="R26" s="7">
        <v>3.2059989999999998</v>
      </c>
      <c r="S26" s="7">
        <v>0.52496900000000002</v>
      </c>
      <c r="T26" s="7">
        <v>4.3355969999999999</v>
      </c>
      <c r="U26" s="7">
        <v>4.5520810000000003</v>
      </c>
      <c r="V26" s="7">
        <v>12.618646</v>
      </c>
      <c r="W26" s="7">
        <v>24.560513</v>
      </c>
      <c r="X26" s="7">
        <v>1.8544912559502269</v>
      </c>
      <c r="Y26" s="7">
        <v>12.109377471011809</v>
      </c>
      <c r="Z26" s="7">
        <v>38.524381726962041</v>
      </c>
      <c r="AA26" s="7">
        <v>4.5308844130767829</v>
      </c>
      <c r="AB26" s="7">
        <v>43.055266140038817</v>
      </c>
      <c r="AC26" s="7">
        <v>0</v>
      </c>
      <c r="AD26" s="7">
        <v>2.1774249999999999</v>
      </c>
      <c r="AE26" s="7">
        <v>0</v>
      </c>
      <c r="AF26" s="7">
        <v>0</v>
      </c>
      <c r="AG26" s="7">
        <v>45.232691140038817</v>
      </c>
      <c r="AH26" s="7">
        <v>2.9346070000000002</v>
      </c>
      <c r="AI26" s="7">
        <v>0</v>
      </c>
      <c r="AJ26" s="7">
        <v>2.6311719999999998</v>
      </c>
      <c r="AK26" s="7">
        <v>48.621045140038817</v>
      </c>
      <c r="AL26" s="7">
        <v>0</v>
      </c>
      <c r="AM26" s="7">
        <v>0</v>
      </c>
      <c r="AN26" s="7">
        <v>0</v>
      </c>
      <c r="AO26" s="7">
        <v>0</v>
      </c>
      <c r="AP26" s="7">
        <v>0</v>
      </c>
      <c r="AQ26" s="7">
        <v>48.621045140038817</v>
      </c>
      <c r="AR26" s="7">
        <v>101.74007345579371</v>
      </c>
      <c r="AS26" s="7">
        <v>63.215691728831651</v>
      </c>
      <c r="AT26" s="7">
        <v>58.684807315754867</v>
      </c>
    </row>
    <row r="27" spans="1:46" x14ac:dyDescent="0.35">
      <c r="A27" s="5">
        <v>46022</v>
      </c>
      <c r="B27" s="4" t="s">
        <v>93</v>
      </c>
      <c r="C27" s="4" t="s">
        <v>94</v>
      </c>
      <c r="D27" s="4" t="s">
        <v>50</v>
      </c>
      <c r="E27" s="6">
        <v>0</v>
      </c>
      <c r="F27" s="6">
        <v>0</v>
      </c>
      <c r="G27" s="6">
        <v>0</v>
      </c>
      <c r="H27" s="6">
        <v>0</v>
      </c>
      <c r="I27" s="6">
        <v>0</v>
      </c>
      <c r="J27" s="6">
        <v>1000</v>
      </c>
      <c r="K27" s="6">
        <v>1000</v>
      </c>
      <c r="L27" s="6">
        <v>1000</v>
      </c>
      <c r="M27" s="7">
        <v>10.206897</v>
      </c>
      <c r="N27" s="7">
        <v>0.58650800000000003</v>
      </c>
      <c r="O27" s="7">
        <v>1.3786369999999999</v>
      </c>
      <c r="P27" s="7">
        <v>5.1442119999999996</v>
      </c>
      <c r="Q27" s="7">
        <v>17.316254000000001</v>
      </c>
      <c r="R27" s="7">
        <v>3.291039</v>
      </c>
      <c r="S27" s="7">
        <v>1.480966</v>
      </c>
      <c r="T27" s="7">
        <v>3.6191979999999999</v>
      </c>
      <c r="U27" s="7">
        <v>8.4341790000000003</v>
      </c>
      <c r="V27" s="7">
        <v>16.825382000000001</v>
      </c>
      <c r="W27" s="7">
        <v>34.141635999999998</v>
      </c>
      <c r="X27" s="7">
        <v>0.32970631190439997</v>
      </c>
      <c r="Y27" s="7">
        <v>18.49761667546348</v>
      </c>
      <c r="Z27" s="7">
        <v>52.968958987367877</v>
      </c>
      <c r="AA27" s="7">
        <v>3.0961640090817322</v>
      </c>
      <c r="AB27" s="7">
        <v>56.06512299644961</v>
      </c>
      <c r="AC27" s="7">
        <v>0</v>
      </c>
      <c r="AD27" s="7">
        <v>4.2143709999999999</v>
      </c>
      <c r="AE27" s="7">
        <v>0</v>
      </c>
      <c r="AF27" s="7">
        <v>0</v>
      </c>
      <c r="AG27" s="7">
        <v>60.279493996449609</v>
      </c>
      <c r="AH27" s="7">
        <v>2.8484050000000001</v>
      </c>
      <c r="AI27" s="7">
        <v>1.5264409999999999</v>
      </c>
      <c r="AJ27" s="7">
        <v>1.7174199999999999</v>
      </c>
      <c r="AK27" s="7">
        <v>62.157388996449612</v>
      </c>
      <c r="AL27" s="7">
        <v>0</v>
      </c>
      <c r="AM27" s="7">
        <v>0</v>
      </c>
      <c r="AN27" s="7">
        <v>0</v>
      </c>
      <c r="AO27" s="7">
        <v>0</v>
      </c>
      <c r="AP27" s="7">
        <v>0</v>
      </c>
      <c r="AQ27" s="7">
        <v>62.157388996449612</v>
      </c>
      <c r="AR27" s="7">
        <v>126.2168529963658</v>
      </c>
      <c r="AS27" s="7">
        <v>73.247894008997903</v>
      </c>
      <c r="AT27" s="7">
        <v>70.151729999916185</v>
      </c>
    </row>
    <row r="28" spans="1:46" x14ac:dyDescent="0.35">
      <c r="A28" s="5">
        <v>46022</v>
      </c>
      <c r="B28" s="4" t="s">
        <v>95</v>
      </c>
      <c r="C28" s="4" t="s">
        <v>96</v>
      </c>
      <c r="D28" s="4" t="s">
        <v>56</v>
      </c>
      <c r="E28" s="6">
        <v>1510</v>
      </c>
      <c r="F28" s="6">
        <v>0</v>
      </c>
      <c r="G28" s="6">
        <v>1510</v>
      </c>
      <c r="H28" s="6">
        <v>1.51</v>
      </c>
      <c r="I28" s="6">
        <v>1000</v>
      </c>
      <c r="J28" s="6">
        <v>0</v>
      </c>
      <c r="K28" s="6">
        <v>1000</v>
      </c>
      <c r="L28" s="6">
        <v>2100</v>
      </c>
      <c r="M28" s="7">
        <v>3.1402030000000001</v>
      </c>
      <c r="N28" s="7">
        <v>4.6438449999999998</v>
      </c>
      <c r="O28" s="7">
        <v>1.4705859999999999</v>
      </c>
      <c r="P28" s="7">
        <v>16.034414999999999</v>
      </c>
      <c r="Q28" s="7">
        <v>25.289048999999999</v>
      </c>
      <c r="R28" s="7">
        <v>4.649114</v>
      </c>
      <c r="S28" s="7">
        <v>2.0886689999999999</v>
      </c>
      <c r="T28" s="7">
        <v>5.8373249999999999</v>
      </c>
      <c r="U28" s="7">
        <v>5.6927240000000001</v>
      </c>
      <c r="V28" s="7">
        <v>18.267831999999999</v>
      </c>
      <c r="W28" s="7">
        <v>43.556880999999997</v>
      </c>
      <c r="X28" s="7">
        <v>2.362579000521714</v>
      </c>
      <c r="Y28" s="7">
        <v>51.140688191907643</v>
      </c>
      <c r="Z28" s="7">
        <v>97.060148192429367</v>
      </c>
      <c r="AA28" s="7">
        <v>27.26642882517254</v>
      </c>
      <c r="AB28" s="7">
        <v>124.32657701760191</v>
      </c>
      <c r="AC28" s="7">
        <v>1.4762000000000001E-2</v>
      </c>
      <c r="AD28" s="7">
        <v>11.770244999999999</v>
      </c>
      <c r="AE28" s="7">
        <v>0</v>
      </c>
      <c r="AF28" s="7">
        <v>0</v>
      </c>
      <c r="AG28" s="7">
        <v>136.1115840176019</v>
      </c>
      <c r="AH28" s="7">
        <v>0.37440600000000002</v>
      </c>
      <c r="AI28" s="7">
        <v>1.019048</v>
      </c>
      <c r="AJ28" s="7">
        <v>0.238095</v>
      </c>
      <c r="AK28" s="7">
        <v>125.9728880176019</v>
      </c>
      <c r="AL28" s="7">
        <v>0</v>
      </c>
      <c r="AM28" s="7">
        <v>0</v>
      </c>
      <c r="AN28" s="7">
        <v>0</v>
      </c>
      <c r="AO28" s="7">
        <v>0</v>
      </c>
      <c r="AP28" s="7">
        <v>0</v>
      </c>
      <c r="AQ28" s="7">
        <v>125.9728880176019</v>
      </c>
      <c r="AR28" s="7">
        <v>324.94197341225117</v>
      </c>
      <c r="AS28" s="7">
        <v>227.88182521982179</v>
      </c>
      <c r="AT28" s="7">
        <v>200.61539639464931</v>
      </c>
    </row>
    <row r="29" spans="1:46" x14ac:dyDescent="0.35">
      <c r="A29" s="5">
        <v>46022</v>
      </c>
      <c r="B29" s="4" t="s">
        <v>97</v>
      </c>
      <c r="C29" s="4" t="s">
        <v>98</v>
      </c>
      <c r="D29" s="4" t="s">
        <v>56</v>
      </c>
      <c r="E29" s="6">
        <v>46038.900678999998</v>
      </c>
      <c r="F29" s="6">
        <v>0</v>
      </c>
      <c r="G29" s="6">
        <v>46038.900678999998</v>
      </c>
      <c r="H29" s="6">
        <v>6</v>
      </c>
      <c r="I29" s="6">
        <v>7673.1501129999997</v>
      </c>
      <c r="J29" s="6">
        <v>0</v>
      </c>
      <c r="K29" s="6">
        <v>7673.1501129999997</v>
      </c>
      <c r="L29" s="6">
        <v>7673.1501129999997</v>
      </c>
      <c r="M29" s="7">
        <v>4.2177220000000002</v>
      </c>
      <c r="N29" s="7">
        <v>4.3070959999999996</v>
      </c>
      <c r="O29" s="7">
        <v>0.53629599999999999</v>
      </c>
      <c r="P29" s="7">
        <v>7.7865789999999997</v>
      </c>
      <c r="Q29" s="7">
        <v>16.847693</v>
      </c>
      <c r="R29" s="7">
        <v>2.6321340000000002</v>
      </c>
      <c r="S29" s="7">
        <v>44.088315000000001</v>
      </c>
      <c r="T29" s="7">
        <v>5.1562970000000012</v>
      </c>
      <c r="U29" s="7">
        <v>3.446615</v>
      </c>
      <c r="V29" s="7">
        <v>55.323361000000013</v>
      </c>
      <c r="W29" s="7">
        <v>72.171054000000012</v>
      </c>
      <c r="X29" s="7">
        <v>0</v>
      </c>
      <c r="Y29" s="7">
        <v>46.528900786887156</v>
      </c>
      <c r="Z29" s="7">
        <v>118.6999547868872</v>
      </c>
      <c r="AA29" s="7">
        <v>30.609296836970771</v>
      </c>
      <c r="AB29" s="7">
        <v>149.3092516238579</v>
      </c>
      <c r="AC29" s="7">
        <v>1.9873350000000001</v>
      </c>
      <c r="AD29" s="7">
        <v>10.682774</v>
      </c>
      <c r="AE29" s="7">
        <v>0</v>
      </c>
      <c r="AF29" s="7">
        <v>0</v>
      </c>
      <c r="AG29" s="7">
        <v>161.9793606238579</v>
      </c>
      <c r="AH29" s="7">
        <v>0.81273799999999996</v>
      </c>
      <c r="AI29" s="7">
        <v>0</v>
      </c>
      <c r="AJ29" s="7">
        <v>0.28438099999999999</v>
      </c>
      <c r="AK29" s="7">
        <v>152.3937056238579</v>
      </c>
      <c r="AL29" s="7">
        <v>12.120184999999999</v>
      </c>
      <c r="AM29" s="7">
        <v>0</v>
      </c>
      <c r="AN29" s="7">
        <v>0</v>
      </c>
      <c r="AO29" s="7">
        <v>0</v>
      </c>
      <c r="AP29" s="7">
        <v>0</v>
      </c>
      <c r="AQ29" s="7">
        <v>164.51389062385789</v>
      </c>
      <c r="AR29" s="7">
        <v>346.25204370572698</v>
      </c>
      <c r="AS29" s="7">
        <v>227.5520889188399</v>
      </c>
      <c r="AT29" s="7">
        <v>196.9427920818691</v>
      </c>
    </row>
    <row r="30" spans="1:46" x14ac:dyDescent="0.35">
      <c r="A30" s="5">
        <v>46022</v>
      </c>
      <c r="B30" s="4" t="s">
        <v>99</v>
      </c>
      <c r="C30" s="4" t="s">
        <v>100</v>
      </c>
      <c r="D30" s="4" t="s">
        <v>56</v>
      </c>
      <c r="E30" s="6">
        <v>13399.479901999999</v>
      </c>
      <c r="F30" s="6">
        <v>0</v>
      </c>
      <c r="G30" s="6">
        <v>13399.479901999999</v>
      </c>
      <c r="H30" s="6">
        <v>3.3171020000000002</v>
      </c>
      <c r="I30" s="6">
        <v>4039.5137890000001</v>
      </c>
      <c r="J30" s="6">
        <v>0</v>
      </c>
      <c r="K30" s="6">
        <v>4039.5137890000001</v>
      </c>
      <c r="L30" s="6">
        <v>4039.5137890000001</v>
      </c>
      <c r="M30" s="7">
        <v>6.0651359999999999</v>
      </c>
      <c r="N30" s="7">
        <v>14.922669000000001</v>
      </c>
      <c r="O30" s="7">
        <v>2.2164799999999998</v>
      </c>
      <c r="P30" s="7">
        <v>26.851189000000002</v>
      </c>
      <c r="Q30" s="7">
        <v>50.055473999999997</v>
      </c>
      <c r="R30" s="7">
        <v>3.54217</v>
      </c>
      <c r="S30" s="7">
        <v>3.2957139999999998</v>
      </c>
      <c r="T30" s="7">
        <v>9.0870149999999992</v>
      </c>
      <c r="U30" s="7">
        <v>11.799246999999999</v>
      </c>
      <c r="V30" s="7">
        <v>27.724146000000001</v>
      </c>
      <c r="W30" s="7">
        <v>77.779619999999994</v>
      </c>
      <c r="X30" s="7">
        <v>5.5144317829268337</v>
      </c>
      <c r="Y30" s="7">
        <v>12.152331452294581</v>
      </c>
      <c r="Z30" s="7">
        <v>95.446383235221418</v>
      </c>
      <c r="AA30" s="7">
        <v>8.5994387203602436</v>
      </c>
      <c r="AB30" s="7">
        <v>104.0458219555817</v>
      </c>
      <c r="AC30" s="7">
        <v>0</v>
      </c>
      <c r="AD30" s="7">
        <v>13.088615000000001</v>
      </c>
      <c r="AE30" s="7">
        <v>0</v>
      </c>
      <c r="AF30" s="7">
        <v>0</v>
      </c>
      <c r="AG30" s="7">
        <v>117.13443695558171</v>
      </c>
      <c r="AH30" s="7">
        <v>1.21</v>
      </c>
      <c r="AI30" s="7">
        <v>0</v>
      </c>
      <c r="AJ30" s="7">
        <v>2.95</v>
      </c>
      <c r="AK30" s="7">
        <v>108.2058219555817</v>
      </c>
      <c r="AL30" s="7">
        <v>0</v>
      </c>
      <c r="AM30" s="7">
        <v>0</v>
      </c>
      <c r="AN30" s="7">
        <v>0</v>
      </c>
      <c r="AO30" s="7">
        <v>0</v>
      </c>
      <c r="AP30" s="7">
        <v>0</v>
      </c>
      <c r="AQ30" s="7">
        <v>108.2058219555817</v>
      </c>
      <c r="AR30" s="7">
        <v>245.6984204572133</v>
      </c>
      <c r="AS30" s="7">
        <v>150.25203722199191</v>
      </c>
      <c r="AT30" s="7">
        <v>141.65259850163159</v>
      </c>
    </row>
    <row r="31" spans="1:46" x14ac:dyDescent="0.35">
      <c r="A31" s="5">
        <v>46022</v>
      </c>
      <c r="B31" s="4" t="s">
        <v>101</v>
      </c>
      <c r="C31" s="4" t="s">
        <v>102</v>
      </c>
      <c r="D31" s="4" t="s">
        <v>50</v>
      </c>
      <c r="E31" s="6">
        <v>0</v>
      </c>
      <c r="F31" s="6">
        <v>0</v>
      </c>
      <c r="G31" s="6">
        <v>0</v>
      </c>
      <c r="H31" s="6">
        <v>0</v>
      </c>
      <c r="I31" s="6">
        <v>0</v>
      </c>
      <c r="J31" s="6">
        <v>12000</v>
      </c>
      <c r="K31" s="6">
        <v>12000</v>
      </c>
      <c r="L31" s="6">
        <v>13500</v>
      </c>
      <c r="M31" s="7">
        <v>33.463132000000002</v>
      </c>
      <c r="N31" s="7">
        <v>0.86302199999999996</v>
      </c>
      <c r="O31" s="7">
        <v>1.7986759999999999</v>
      </c>
      <c r="P31" s="7">
        <v>6.9927359999999998</v>
      </c>
      <c r="Q31" s="7">
        <v>43.117565999999997</v>
      </c>
      <c r="R31" s="7">
        <v>1.1343399999999999</v>
      </c>
      <c r="S31" s="7">
        <v>0.70357899999999995</v>
      </c>
      <c r="T31" s="7">
        <v>2.373335</v>
      </c>
      <c r="U31" s="7">
        <v>1.8374889999999999</v>
      </c>
      <c r="V31" s="7">
        <v>6.048743</v>
      </c>
      <c r="W31" s="7">
        <v>49.166308999999998</v>
      </c>
      <c r="X31" s="7">
        <v>1.2008003088000001</v>
      </c>
      <c r="Y31" s="7">
        <v>19.037828709271931</v>
      </c>
      <c r="Z31" s="7">
        <v>69.404938018071931</v>
      </c>
      <c r="AA31" s="7">
        <v>3.6086366000158381</v>
      </c>
      <c r="AB31" s="7">
        <v>73.013574618087773</v>
      </c>
      <c r="AC31" s="7">
        <v>0</v>
      </c>
      <c r="AD31" s="7">
        <v>17.847380000000001</v>
      </c>
      <c r="AE31" s="7">
        <v>0</v>
      </c>
      <c r="AF31" s="7">
        <v>0</v>
      </c>
      <c r="AG31" s="7">
        <v>90.860954618087774</v>
      </c>
      <c r="AH31" s="7">
        <v>2.5925929999999999</v>
      </c>
      <c r="AI31" s="7">
        <v>0</v>
      </c>
      <c r="AJ31" s="7">
        <v>13.333333</v>
      </c>
      <c r="AK31" s="7">
        <v>88.939500618087763</v>
      </c>
      <c r="AL31" s="7">
        <v>0</v>
      </c>
      <c r="AM31" s="7">
        <v>0</v>
      </c>
      <c r="AN31" s="7">
        <v>0</v>
      </c>
      <c r="AO31" s="7">
        <v>0</v>
      </c>
      <c r="AP31" s="7">
        <v>0</v>
      </c>
      <c r="AQ31" s="7">
        <v>88.939500618087763</v>
      </c>
      <c r="AR31" s="7">
        <v>235.89031317092429</v>
      </c>
      <c r="AS31" s="7">
        <v>166.48537515285241</v>
      </c>
      <c r="AT31" s="7">
        <v>162.87673855283651</v>
      </c>
    </row>
    <row r="32" spans="1:46" x14ac:dyDescent="0.35">
      <c r="A32" s="5">
        <v>46022</v>
      </c>
      <c r="B32" s="4" t="s">
        <v>103</v>
      </c>
      <c r="C32" s="4" t="s">
        <v>104</v>
      </c>
      <c r="D32" s="4" t="s">
        <v>80</v>
      </c>
      <c r="E32" s="6">
        <v>0</v>
      </c>
      <c r="F32" s="6">
        <v>0</v>
      </c>
      <c r="G32" s="6">
        <v>0</v>
      </c>
      <c r="H32" s="6">
        <v>0</v>
      </c>
      <c r="I32" s="6">
        <v>0</v>
      </c>
      <c r="J32" s="6">
        <v>880</v>
      </c>
      <c r="K32" s="6">
        <v>880</v>
      </c>
      <c r="L32" s="6">
        <v>880</v>
      </c>
      <c r="M32" s="7">
        <v>37.408580802919708</v>
      </c>
      <c r="N32" s="7">
        <v>2.8194710000000001</v>
      </c>
      <c r="O32" s="7">
        <v>7.8738428467153287</v>
      </c>
      <c r="P32" s="7">
        <v>95.184980875912416</v>
      </c>
      <c r="Q32" s="7">
        <v>143.28687552554749</v>
      </c>
      <c r="R32" s="7">
        <v>16.14708839416058</v>
      </c>
      <c r="S32" s="7">
        <v>11.03860649635037</v>
      </c>
      <c r="T32" s="7">
        <v>11.33048306569343</v>
      </c>
      <c r="U32" s="7">
        <v>20.58796810218978</v>
      </c>
      <c r="V32" s="7">
        <v>59.104146058394157</v>
      </c>
      <c r="W32" s="7">
        <v>202.39102158394161</v>
      </c>
      <c r="X32" s="7">
        <v>53.314783629137949</v>
      </c>
      <c r="Y32" s="7">
        <v>55.60179271362513</v>
      </c>
      <c r="Z32" s="7">
        <v>311.30759792670472</v>
      </c>
      <c r="AA32" s="7">
        <v>0</v>
      </c>
      <c r="AB32" s="7">
        <v>311.30759792670472</v>
      </c>
      <c r="AC32" s="7">
        <v>0</v>
      </c>
      <c r="AD32" s="7">
        <v>38.960198175182491</v>
      </c>
      <c r="AE32" s="7">
        <v>0</v>
      </c>
      <c r="AF32" s="7">
        <v>0</v>
      </c>
      <c r="AG32" s="7">
        <v>350.2677961018872</v>
      </c>
      <c r="AH32" s="7">
        <v>1.725282189781022</v>
      </c>
      <c r="AI32" s="7">
        <v>0</v>
      </c>
      <c r="AJ32" s="7">
        <v>22.0932504379562</v>
      </c>
      <c r="AK32" s="7">
        <v>335.12613055444189</v>
      </c>
      <c r="AL32" s="7">
        <v>0</v>
      </c>
      <c r="AM32" s="7">
        <v>0</v>
      </c>
      <c r="AN32" s="7">
        <v>0</v>
      </c>
      <c r="AO32" s="7">
        <v>0</v>
      </c>
      <c r="AP32" s="7">
        <v>0</v>
      </c>
      <c r="AQ32" s="7">
        <v>335.12613055444189</v>
      </c>
      <c r="AR32" s="7">
        <v>315.16019842095682</v>
      </c>
      <c r="AS32" s="7">
        <v>3.852600494252064</v>
      </c>
      <c r="AT32" s="7">
        <v>3.852600494252064</v>
      </c>
    </row>
    <row r="33" spans="1:46" x14ac:dyDescent="0.35">
      <c r="A33" s="5">
        <v>46022</v>
      </c>
      <c r="B33" s="4" t="s">
        <v>105</v>
      </c>
      <c r="C33" s="4" t="s">
        <v>106</v>
      </c>
      <c r="D33" s="4" t="s">
        <v>56</v>
      </c>
      <c r="E33" s="6">
        <v>0</v>
      </c>
      <c r="F33" s="6">
        <v>0</v>
      </c>
      <c r="G33" s="6">
        <v>0</v>
      </c>
      <c r="H33" s="6">
        <v>0</v>
      </c>
      <c r="I33" s="6">
        <v>8200</v>
      </c>
      <c r="J33" s="6">
        <v>0</v>
      </c>
      <c r="K33" s="6">
        <v>8200</v>
      </c>
      <c r="L33" s="6">
        <v>8200</v>
      </c>
      <c r="M33" s="7">
        <v>0.49427500000000002</v>
      </c>
      <c r="N33" s="7">
        <v>8.3409999999999998E-2</v>
      </c>
      <c r="O33" s="7">
        <v>0.86991600000000013</v>
      </c>
      <c r="P33" s="7">
        <v>6.1452E-2</v>
      </c>
      <c r="Q33" s="7">
        <v>1.509053</v>
      </c>
      <c r="R33" s="7">
        <v>0.52680000000000005</v>
      </c>
      <c r="S33" s="7">
        <v>4.0822190000000003</v>
      </c>
      <c r="T33" s="7">
        <v>8.3208409999999997</v>
      </c>
      <c r="U33" s="7">
        <v>0.581013</v>
      </c>
      <c r="V33" s="7">
        <v>13.510873</v>
      </c>
      <c r="W33" s="7">
        <v>15.019926</v>
      </c>
      <c r="X33" s="7">
        <v>3.400909599907707</v>
      </c>
      <c r="Y33" s="7">
        <v>0</v>
      </c>
      <c r="Z33" s="7">
        <v>18.420835599907711</v>
      </c>
      <c r="AA33" s="7">
        <v>11.78611356434007</v>
      </c>
      <c r="AB33" s="7">
        <v>30.206949164247781</v>
      </c>
      <c r="AC33" s="7">
        <v>0</v>
      </c>
      <c r="AD33" s="7">
        <v>7.4949589999999997</v>
      </c>
      <c r="AE33" s="7">
        <v>0</v>
      </c>
      <c r="AF33" s="7">
        <v>0</v>
      </c>
      <c r="AG33" s="7">
        <v>37.701908164247783</v>
      </c>
      <c r="AH33" s="7">
        <v>3.3512970000000002</v>
      </c>
      <c r="AI33" s="7">
        <v>0</v>
      </c>
      <c r="AJ33" s="7">
        <v>1.5019929999999999</v>
      </c>
      <c r="AK33" s="7">
        <v>35.060239164247783</v>
      </c>
      <c r="AL33" s="7">
        <v>0</v>
      </c>
      <c r="AM33" s="7">
        <v>0</v>
      </c>
      <c r="AN33" s="7">
        <v>0</v>
      </c>
      <c r="AO33" s="7">
        <v>0</v>
      </c>
      <c r="AP33" s="7">
        <v>0</v>
      </c>
      <c r="AQ33" s="7">
        <v>35.060239164247783</v>
      </c>
      <c r="AR33" s="7">
        <v>167.5314054061983</v>
      </c>
      <c r="AS33" s="7">
        <v>149.11056980629061</v>
      </c>
      <c r="AT33" s="7">
        <v>137.32445624195049</v>
      </c>
    </row>
    <row r="34" spans="1:46" x14ac:dyDescent="0.35">
      <c r="A34" s="5">
        <v>46022</v>
      </c>
      <c r="B34" s="4" t="s">
        <v>107</v>
      </c>
      <c r="C34" s="4" t="s">
        <v>108</v>
      </c>
      <c r="D34" s="4" t="s">
        <v>109</v>
      </c>
      <c r="E34" s="6">
        <v>0</v>
      </c>
      <c r="F34" s="6">
        <v>0</v>
      </c>
      <c r="G34" s="6">
        <v>0</v>
      </c>
      <c r="H34" s="6">
        <v>0</v>
      </c>
      <c r="I34" s="6">
        <v>0</v>
      </c>
      <c r="J34" s="6">
        <v>2770</v>
      </c>
      <c r="K34" s="6">
        <v>2770</v>
      </c>
      <c r="L34" s="6">
        <v>2780</v>
      </c>
      <c r="M34" s="7">
        <v>23.911916999999999</v>
      </c>
      <c r="N34" s="7">
        <v>4.504874</v>
      </c>
      <c r="O34" s="7">
        <v>12.308109</v>
      </c>
      <c r="P34" s="7">
        <v>27.052257999999998</v>
      </c>
      <c r="Q34" s="7">
        <v>67.777158</v>
      </c>
      <c r="R34" s="7">
        <v>0.87679200000000002</v>
      </c>
      <c r="S34" s="7">
        <v>2.4020549999999998</v>
      </c>
      <c r="T34" s="7">
        <v>22.311806000000001</v>
      </c>
      <c r="U34" s="7">
        <v>0.902563</v>
      </c>
      <c r="V34" s="7">
        <v>26.493216</v>
      </c>
      <c r="W34" s="7">
        <v>94.270374000000004</v>
      </c>
      <c r="X34" s="7">
        <v>1.274936676</v>
      </c>
      <c r="Y34" s="7">
        <v>11.641278576928149</v>
      </c>
      <c r="Z34" s="7">
        <v>107.1865892529282</v>
      </c>
      <c r="AA34" s="7">
        <v>4.8945439051000621</v>
      </c>
      <c r="AB34" s="7">
        <v>112.08113315802819</v>
      </c>
      <c r="AC34" s="7">
        <v>0</v>
      </c>
      <c r="AD34" s="7">
        <v>20.367115999999999</v>
      </c>
      <c r="AE34" s="7">
        <v>0</v>
      </c>
      <c r="AF34" s="7">
        <v>0</v>
      </c>
      <c r="AG34" s="7">
        <v>132.4482491580282</v>
      </c>
      <c r="AH34" s="7">
        <v>2.3896009999999999</v>
      </c>
      <c r="AI34" s="7">
        <v>0</v>
      </c>
      <c r="AJ34" s="7">
        <v>19.475429999999999</v>
      </c>
      <c r="AK34" s="7">
        <v>133.94616415802821</v>
      </c>
      <c r="AL34" s="7">
        <v>0</v>
      </c>
      <c r="AM34" s="7">
        <v>0</v>
      </c>
      <c r="AN34" s="7">
        <v>0</v>
      </c>
      <c r="AO34" s="7">
        <v>0</v>
      </c>
      <c r="AP34" s="7">
        <v>0</v>
      </c>
      <c r="AQ34" s="7">
        <v>133.94616415802821</v>
      </c>
      <c r="AR34" s="7">
        <v>129.32729930714879</v>
      </c>
      <c r="AS34" s="7">
        <v>22.14071005422069</v>
      </c>
      <c r="AT34" s="7">
        <v>17.246166149120629</v>
      </c>
    </row>
    <row r="35" spans="1:46" x14ac:dyDescent="0.35">
      <c r="A35" s="5">
        <v>46022</v>
      </c>
      <c r="B35" s="4" t="s">
        <v>110</v>
      </c>
      <c r="C35" s="4" t="s">
        <v>111</v>
      </c>
      <c r="D35" s="4" t="s">
        <v>80</v>
      </c>
      <c r="E35" s="6">
        <v>0</v>
      </c>
      <c r="F35" s="6">
        <v>0</v>
      </c>
      <c r="G35" s="6">
        <v>0</v>
      </c>
      <c r="H35" s="6">
        <v>0</v>
      </c>
      <c r="I35" s="6">
        <v>0</v>
      </c>
      <c r="J35" s="6">
        <v>3500</v>
      </c>
      <c r="K35" s="6">
        <v>3500</v>
      </c>
      <c r="L35" s="6">
        <v>4200</v>
      </c>
      <c r="M35" s="7">
        <v>43.224615693430657</v>
      </c>
      <c r="N35" s="7">
        <v>11.523400000000001</v>
      </c>
      <c r="O35" s="7">
        <v>9.8304775912408768</v>
      </c>
      <c r="P35" s="7">
        <v>86.032045255474458</v>
      </c>
      <c r="Q35" s="7">
        <v>150.610538540146</v>
      </c>
      <c r="R35" s="7">
        <v>15.32159408759124</v>
      </c>
      <c r="S35" s="7">
        <v>10.8076297080292</v>
      </c>
      <c r="T35" s="7">
        <v>11.712817810218979</v>
      </c>
      <c r="U35" s="7">
        <v>13.0195797080292</v>
      </c>
      <c r="V35" s="7">
        <v>50.861621313868611</v>
      </c>
      <c r="W35" s="7">
        <v>201.47215985401459</v>
      </c>
      <c r="X35" s="7">
        <v>2.5208646903092862</v>
      </c>
      <c r="Y35" s="7">
        <v>48.967267703951563</v>
      </c>
      <c r="Z35" s="7">
        <v>252.96029224827549</v>
      </c>
      <c r="AA35" s="7">
        <v>0</v>
      </c>
      <c r="AB35" s="7">
        <v>252.96029224827549</v>
      </c>
      <c r="AC35" s="7">
        <v>0</v>
      </c>
      <c r="AD35" s="7">
        <v>44.700288394160587</v>
      </c>
      <c r="AE35" s="7">
        <v>0</v>
      </c>
      <c r="AF35" s="7">
        <v>0</v>
      </c>
      <c r="AG35" s="7">
        <v>297.660580642436</v>
      </c>
      <c r="AH35" s="7">
        <v>4.9486682481751831</v>
      </c>
      <c r="AI35" s="7">
        <v>0</v>
      </c>
      <c r="AJ35" s="7">
        <v>38.435884452554752</v>
      </c>
      <c r="AK35" s="7">
        <v>296.34484494900539</v>
      </c>
      <c r="AL35" s="7">
        <v>0</v>
      </c>
      <c r="AM35" s="7">
        <v>0</v>
      </c>
      <c r="AN35" s="7">
        <v>0</v>
      </c>
      <c r="AO35" s="7">
        <v>0</v>
      </c>
      <c r="AP35" s="7">
        <v>0</v>
      </c>
      <c r="AQ35" s="7">
        <v>296.34484494900539</v>
      </c>
      <c r="AR35" s="7">
        <v>371.76362717175999</v>
      </c>
      <c r="AS35" s="7">
        <v>118.8033349234846</v>
      </c>
      <c r="AT35" s="7">
        <v>118.8033349234846</v>
      </c>
    </row>
    <row r="36" spans="1:46" x14ac:dyDescent="0.35">
      <c r="A36" s="5">
        <v>46022</v>
      </c>
      <c r="B36" s="4" t="s">
        <v>112</v>
      </c>
      <c r="C36" s="4" t="s">
        <v>113</v>
      </c>
      <c r="D36" s="4" t="s">
        <v>114</v>
      </c>
      <c r="E36" s="6">
        <v>5450</v>
      </c>
      <c r="F36" s="6">
        <v>0</v>
      </c>
      <c r="G36" s="6">
        <v>5450</v>
      </c>
      <c r="H36" s="6">
        <v>1.816667</v>
      </c>
      <c r="I36" s="6">
        <v>3000</v>
      </c>
      <c r="J36" s="6">
        <v>0</v>
      </c>
      <c r="K36" s="6">
        <v>3000</v>
      </c>
      <c r="L36" s="6">
        <v>2500</v>
      </c>
      <c r="M36" s="7">
        <v>0.63358599999999987</v>
      </c>
      <c r="N36" s="7">
        <v>0.15995799999999999</v>
      </c>
      <c r="O36" s="7">
        <v>4.4399000000000001E-2</v>
      </c>
      <c r="P36" s="7">
        <v>0.734545</v>
      </c>
      <c r="Q36" s="7">
        <v>1.5724880000000001</v>
      </c>
      <c r="R36" s="7">
        <v>1.043928</v>
      </c>
      <c r="S36" s="7">
        <v>28.567529</v>
      </c>
      <c r="T36" s="7">
        <v>3.4298099999999998</v>
      </c>
      <c r="U36" s="7">
        <v>15.766895</v>
      </c>
      <c r="V36" s="7">
        <v>48.808162000000003</v>
      </c>
      <c r="W36" s="7">
        <v>50.380650000000003</v>
      </c>
      <c r="X36" s="7">
        <v>0.85131507285887997</v>
      </c>
      <c r="Y36" s="7">
        <v>29.86607334483125</v>
      </c>
      <c r="Z36" s="7">
        <v>81.098038417690134</v>
      </c>
      <c r="AA36" s="7">
        <v>9.2436605526549283</v>
      </c>
      <c r="AB36" s="7">
        <v>90.341698970345064</v>
      </c>
      <c r="AC36" s="7">
        <v>0</v>
      </c>
      <c r="AD36" s="7">
        <v>17.742628</v>
      </c>
      <c r="AE36" s="7">
        <v>0</v>
      </c>
      <c r="AF36" s="7">
        <v>0</v>
      </c>
      <c r="AG36" s="7">
        <v>108.0843269703451</v>
      </c>
      <c r="AH36" s="7">
        <v>0.59999999999999987</v>
      </c>
      <c r="AI36" s="7">
        <v>0</v>
      </c>
      <c r="AJ36" s="7">
        <v>7.557097999999999</v>
      </c>
      <c r="AK36" s="7">
        <v>98.498796970345055</v>
      </c>
      <c r="AL36" s="7">
        <v>0</v>
      </c>
      <c r="AM36" s="7">
        <v>0</v>
      </c>
      <c r="AN36" s="7">
        <v>0</v>
      </c>
      <c r="AO36" s="7">
        <v>0</v>
      </c>
      <c r="AP36" s="7">
        <v>0</v>
      </c>
      <c r="AQ36" s="7">
        <v>98.498796970345055</v>
      </c>
      <c r="AR36" s="7">
        <v>168.0663189712545</v>
      </c>
      <c r="AS36" s="7">
        <v>86.968280553564398</v>
      </c>
      <c r="AT36" s="7">
        <v>77.724620000909468</v>
      </c>
    </row>
    <row r="37" spans="1:46" x14ac:dyDescent="0.35">
      <c r="A37" s="5">
        <v>46022</v>
      </c>
      <c r="B37" s="4" t="s">
        <v>115</v>
      </c>
      <c r="C37" s="4" t="s">
        <v>116</v>
      </c>
      <c r="D37" s="4" t="s">
        <v>80</v>
      </c>
      <c r="E37" s="6">
        <v>0</v>
      </c>
      <c r="F37" s="6">
        <v>300</v>
      </c>
      <c r="G37" s="6">
        <v>300</v>
      </c>
      <c r="H37" s="6">
        <v>0</v>
      </c>
      <c r="I37" s="6">
        <v>0</v>
      </c>
      <c r="J37" s="6">
        <v>1000</v>
      </c>
      <c r="K37" s="6">
        <v>1000</v>
      </c>
      <c r="L37" s="6">
        <v>1000</v>
      </c>
      <c r="M37" s="7">
        <v>68.086607999999998</v>
      </c>
      <c r="N37" s="7">
        <v>9.9942130000000002</v>
      </c>
      <c r="O37" s="7">
        <v>9.6457300000000004</v>
      </c>
      <c r="P37" s="7">
        <v>115.817108</v>
      </c>
      <c r="Q37" s="7">
        <v>203.54365899999999</v>
      </c>
      <c r="R37" s="7">
        <v>4.3315429999999999</v>
      </c>
      <c r="S37" s="7">
        <v>7.8041669999999996</v>
      </c>
      <c r="T37" s="7">
        <v>3.148301</v>
      </c>
      <c r="U37" s="7">
        <v>12.194663</v>
      </c>
      <c r="V37" s="7">
        <v>27.478674000000002</v>
      </c>
      <c r="W37" s="7">
        <v>231.022333</v>
      </c>
      <c r="X37" s="7">
        <v>12.3457448149216</v>
      </c>
      <c r="Y37" s="7">
        <v>32.708790361245413</v>
      </c>
      <c r="Z37" s="7">
        <v>276.07686817616701</v>
      </c>
      <c r="AA37" s="7">
        <v>0</v>
      </c>
      <c r="AB37" s="7">
        <v>276.07686817616701</v>
      </c>
      <c r="AC37" s="7">
        <v>0</v>
      </c>
      <c r="AD37" s="7">
        <v>110.48586299999999</v>
      </c>
      <c r="AE37" s="7">
        <v>0</v>
      </c>
      <c r="AF37" s="7">
        <v>0</v>
      </c>
      <c r="AG37" s="7">
        <v>386.56273117616701</v>
      </c>
      <c r="AH37" s="7">
        <v>1.0373760000000001</v>
      </c>
      <c r="AI37" s="7">
        <v>0</v>
      </c>
      <c r="AJ37" s="7">
        <v>41.53421800000001</v>
      </c>
      <c r="AK37" s="7">
        <v>318.64846217616702</v>
      </c>
      <c r="AL37" s="7">
        <v>200</v>
      </c>
      <c r="AM37" s="7">
        <v>0</v>
      </c>
      <c r="AN37" s="7">
        <v>0</v>
      </c>
      <c r="AO37" s="7">
        <v>0</v>
      </c>
      <c r="AP37" s="7">
        <v>0</v>
      </c>
      <c r="AQ37" s="7">
        <v>518.64846217616696</v>
      </c>
      <c r="AR37" s="7">
        <v>268.04984798736371</v>
      </c>
      <c r="AS37" s="7">
        <v>-8.0270201888032808</v>
      </c>
      <c r="AT37" s="7">
        <v>-8.0270201888032808</v>
      </c>
    </row>
    <row r="38" spans="1:46" x14ac:dyDescent="0.35">
      <c r="A38" s="5">
        <v>46022</v>
      </c>
      <c r="B38" s="4" t="s">
        <v>117</v>
      </c>
      <c r="C38" s="4" t="s">
        <v>118</v>
      </c>
      <c r="D38" s="4" t="s">
        <v>114</v>
      </c>
      <c r="E38" s="6">
        <v>33000</v>
      </c>
      <c r="F38" s="6">
        <v>0</v>
      </c>
      <c r="G38" s="6">
        <v>33000</v>
      </c>
      <c r="H38" s="6">
        <v>5</v>
      </c>
      <c r="I38" s="6">
        <v>6600</v>
      </c>
      <c r="J38" s="6">
        <v>0</v>
      </c>
      <c r="K38" s="6">
        <v>6600</v>
      </c>
      <c r="L38" s="6">
        <v>6600</v>
      </c>
      <c r="M38" s="7">
        <v>1.386412</v>
      </c>
      <c r="N38" s="7">
        <v>1.9798709999999999</v>
      </c>
      <c r="O38" s="7">
        <v>0.11181199999999999</v>
      </c>
      <c r="P38" s="7">
        <v>3.0547119999999999</v>
      </c>
      <c r="Q38" s="7">
        <v>6.532807</v>
      </c>
      <c r="R38" s="7">
        <v>0.62582099999999985</v>
      </c>
      <c r="S38" s="7">
        <v>1.6257870000000001</v>
      </c>
      <c r="T38" s="7">
        <v>1.7122390000000001</v>
      </c>
      <c r="U38" s="7">
        <v>3.2195589999999998</v>
      </c>
      <c r="V38" s="7">
        <v>7.1834059999999997</v>
      </c>
      <c r="W38" s="7">
        <v>13.716213</v>
      </c>
      <c r="X38" s="7">
        <v>0.4421016516423788</v>
      </c>
      <c r="Y38" s="7">
        <v>6.0064147553832816</v>
      </c>
      <c r="Z38" s="7">
        <v>20.164729407025661</v>
      </c>
      <c r="AA38" s="7">
        <v>2.2946225906798001</v>
      </c>
      <c r="AB38" s="7">
        <v>22.459351997705461</v>
      </c>
      <c r="AC38" s="7">
        <v>0.15151500000000001</v>
      </c>
      <c r="AD38" s="7">
        <v>10.734522999999999</v>
      </c>
      <c r="AE38" s="7">
        <v>0</v>
      </c>
      <c r="AF38" s="7">
        <v>0</v>
      </c>
      <c r="AG38" s="7">
        <v>33.34538999770546</v>
      </c>
      <c r="AH38" s="7">
        <v>1.1363639999999999</v>
      </c>
      <c r="AI38" s="7">
        <v>0</v>
      </c>
      <c r="AJ38" s="7">
        <v>5.4864850000000001</v>
      </c>
      <c r="AK38" s="7">
        <v>29.23371599770546</v>
      </c>
      <c r="AL38" s="7">
        <v>0</v>
      </c>
      <c r="AM38" s="7">
        <v>0</v>
      </c>
      <c r="AN38" s="7">
        <v>0</v>
      </c>
      <c r="AO38" s="7">
        <v>0</v>
      </c>
      <c r="AP38" s="7">
        <v>0</v>
      </c>
      <c r="AQ38" s="7">
        <v>29.23371599770546</v>
      </c>
      <c r="AR38" s="7">
        <v>43.27252914942828</v>
      </c>
      <c r="AS38" s="7">
        <v>23.107799742402619</v>
      </c>
      <c r="AT38" s="7">
        <v>20.813177151722819</v>
      </c>
    </row>
    <row r="39" spans="1:46" x14ac:dyDescent="0.35">
      <c r="A39" s="5">
        <v>46022</v>
      </c>
      <c r="B39" s="4" t="s">
        <v>119</v>
      </c>
      <c r="C39" s="4" t="s">
        <v>120</v>
      </c>
      <c r="D39" s="4" t="s">
        <v>50</v>
      </c>
      <c r="E39" s="6">
        <v>0</v>
      </c>
      <c r="F39" s="6">
        <v>0</v>
      </c>
      <c r="G39" s="6">
        <v>0</v>
      </c>
      <c r="H39" s="6">
        <v>0</v>
      </c>
      <c r="I39" s="6">
        <v>0</v>
      </c>
      <c r="J39" s="6">
        <v>705</v>
      </c>
      <c r="K39" s="6">
        <v>705</v>
      </c>
      <c r="L39" s="6">
        <v>705</v>
      </c>
      <c r="M39" s="7">
        <v>5.7118830000000003</v>
      </c>
      <c r="N39" s="7">
        <v>1.158515</v>
      </c>
      <c r="O39" s="7">
        <v>0.68005899999999997</v>
      </c>
      <c r="P39" s="7">
        <v>3.6288689999999999</v>
      </c>
      <c r="Q39" s="7">
        <v>11.179326</v>
      </c>
      <c r="R39" s="7">
        <v>1.515506</v>
      </c>
      <c r="S39" s="7">
        <v>1.6082920000000001</v>
      </c>
      <c r="T39" s="7">
        <v>3.1755849999999999</v>
      </c>
      <c r="U39" s="7">
        <v>2.7208909999999999</v>
      </c>
      <c r="V39" s="7">
        <v>9.0202740000000006</v>
      </c>
      <c r="W39" s="7">
        <v>20.1996</v>
      </c>
      <c r="X39" s="7">
        <v>2.0462986226825528</v>
      </c>
      <c r="Y39" s="7">
        <v>15.431001278306059</v>
      </c>
      <c r="Z39" s="7">
        <v>37.676899900988609</v>
      </c>
      <c r="AA39" s="7">
        <v>1.4475184893998549</v>
      </c>
      <c r="AB39" s="7">
        <v>39.12441839038847</v>
      </c>
      <c r="AC39" s="7">
        <v>0</v>
      </c>
      <c r="AD39" s="7">
        <v>0.31045899999999998</v>
      </c>
      <c r="AE39" s="7">
        <v>0</v>
      </c>
      <c r="AF39" s="7">
        <v>0</v>
      </c>
      <c r="AG39" s="7">
        <v>39.434877390388472</v>
      </c>
      <c r="AH39" s="7">
        <v>3.2071360000000002</v>
      </c>
      <c r="AI39" s="7">
        <v>0</v>
      </c>
      <c r="AJ39" s="7">
        <v>2.4302869999999999</v>
      </c>
      <c r="AK39" s="7">
        <v>44.761841390388469</v>
      </c>
      <c r="AL39" s="7">
        <v>0</v>
      </c>
      <c r="AM39" s="7">
        <v>0</v>
      </c>
      <c r="AN39" s="7">
        <v>0</v>
      </c>
      <c r="AO39" s="7">
        <v>0</v>
      </c>
      <c r="AP39" s="7">
        <v>0</v>
      </c>
      <c r="AQ39" s="7">
        <v>44.761841390388469</v>
      </c>
      <c r="AR39" s="7">
        <v>69.967010102109683</v>
      </c>
      <c r="AS39" s="7">
        <v>32.290110201121067</v>
      </c>
      <c r="AT39" s="7">
        <v>30.842591711721209</v>
      </c>
    </row>
    <row r="40" spans="1:46" x14ac:dyDescent="0.35">
      <c r="A40" s="5">
        <v>46022</v>
      </c>
      <c r="B40" s="4" t="s">
        <v>121</v>
      </c>
      <c r="C40" s="4" t="s">
        <v>122</v>
      </c>
      <c r="D40" s="4" t="s">
        <v>50</v>
      </c>
      <c r="E40" s="6">
        <v>0</v>
      </c>
      <c r="F40" s="6">
        <v>0</v>
      </c>
      <c r="G40" s="6">
        <v>0</v>
      </c>
      <c r="H40" s="6">
        <v>0</v>
      </c>
      <c r="I40" s="6">
        <v>0</v>
      </c>
      <c r="J40" s="6">
        <v>1500</v>
      </c>
      <c r="K40" s="6">
        <v>1500</v>
      </c>
      <c r="L40" s="6">
        <v>1500</v>
      </c>
      <c r="M40" s="7">
        <v>12.863141000000001</v>
      </c>
      <c r="N40" s="7">
        <v>2.3866499999999999</v>
      </c>
      <c r="O40" s="7">
        <v>0.76189200000000001</v>
      </c>
      <c r="P40" s="7">
        <v>4.3155570000000001</v>
      </c>
      <c r="Q40" s="7">
        <v>20.32724</v>
      </c>
      <c r="R40" s="7">
        <v>3.4367380000000001</v>
      </c>
      <c r="S40" s="7">
        <v>1.8297669999999999</v>
      </c>
      <c r="T40" s="7">
        <v>2.4054579999999999</v>
      </c>
      <c r="U40" s="7">
        <v>3.1986669999999999</v>
      </c>
      <c r="V40" s="7">
        <v>10.87063</v>
      </c>
      <c r="W40" s="7">
        <v>31.197870000000002</v>
      </c>
      <c r="X40" s="7">
        <v>7.2390580216610667</v>
      </c>
      <c r="Y40" s="7">
        <v>16.976567266116732</v>
      </c>
      <c r="Z40" s="7">
        <v>55.413495287777799</v>
      </c>
      <c r="AA40" s="7">
        <v>6.0026608446215386</v>
      </c>
      <c r="AB40" s="7">
        <v>61.41615613239933</v>
      </c>
      <c r="AC40" s="7">
        <v>0</v>
      </c>
      <c r="AD40" s="7">
        <v>4.110417</v>
      </c>
      <c r="AE40" s="7">
        <v>0</v>
      </c>
      <c r="AF40" s="7">
        <v>0</v>
      </c>
      <c r="AG40" s="7">
        <v>65.526573132399335</v>
      </c>
      <c r="AH40" s="7">
        <v>2.247665</v>
      </c>
      <c r="AI40" s="7">
        <v>1.407977</v>
      </c>
      <c r="AJ40" s="7">
        <v>1.0816889999999999</v>
      </c>
      <c r="AK40" s="7">
        <v>66.153487132399334</v>
      </c>
      <c r="AL40" s="7">
        <v>0</v>
      </c>
      <c r="AM40" s="7">
        <v>0</v>
      </c>
      <c r="AN40" s="7">
        <v>0</v>
      </c>
      <c r="AO40" s="7">
        <v>0</v>
      </c>
      <c r="AP40" s="7">
        <v>0</v>
      </c>
      <c r="AQ40" s="7">
        <v>66.153487132399334</v>
      </c>
      <c r="AR40" s="7">
        <v>100.04396387397919</v>
      </c>
      <c r="AS40" s="7">
        <v>44.630468586201403</v>
      </c>
      <c r="AT40" s="7">
        <v>38.627807741579858</v>
      </c>
    </row>
    <row r="41" spans="1:46" x14ac:dyDescent="0.35">
      <c r="A41" s="5">
        <v>46022</v>
      </c>
      <c r="B41" s="4" t="s">
        <v>123</v>
      </c>
      <c r="C41" s="4" t="s">
        <v>124</v>
      </c>
      <c r="D41" s="4" t="s">
        <v>125</v>
      </c>
      <c r="E41" s="6">
        <v>9152.9833020000005</v>
      </c>
      <c r="F41" s="6">
        <v>0</v>
      </c>
      <c r="G41" s="6">
        <v>9152.9833020000005</v>
      </c>
      <c r="H41" s="6">
        <v>2</v>
      </c>
      <c r="I41" s="6">
        <v>4576.4916510000003</v>
      </c>
      <c r="J41" s="6">
        <v>0</v>
      </c>
      <c r="K41" s="6">
        <v>4576.4916510000003</v>
      </c>
      <c r="L41" s="6">
        <v>3850.0167390000001</v>
      </c>
      <c r="M41" s="7">
        <v>43.522627677631583</v>
      </c>
      <c r="N41" s="7">
        <v>11.71421</v>
      </c>
      <c r="O41" s="7">
        <v>1.504931565789474</v>
      </c>
      <c r="P41" s="7">
        <v>21.207650980263161</v>
      </c>
      <c r="Q41" s="7">
        <v>77.949420223684214</v>
      </c>
      <c r="R41" s="7">
        <v>20.216435322368419</v>
      </c>
      <c r="S41" s="7">
        <v>22.760304506578951</v>
      </c>
      <c r="T41" s="7">
        <v>13.93170107894737</v>
      </c>
      <c r="U41" s="7">
        <v>16.444956006578948</v>
      </c>
      <c r="V41" s="7">
        <v>73.353396914473677</v>
      </c>
      <c r="W41" s="7">
        <v>151.30281713815791</v>
      </c>
      <c r="X41" s="7">
        <v>2.147169263044781</v>
      </c>
      <c r="Y41" s="7">
        <v>6.4832365829014886</v>
      </c>
      <c r="Z41" s="7">
        <v>159.93322298410419</v>
      </c>
      <c r="AA41" s="7">
        <v>4.2978976291641011</v>
      </c>
      <c r="AB41" s="7">
        <v>164.2311206132683</v>
      </c>
      <c r="AC41" s="7">
        <v>0</v>
      </c>
      <c r="AD41" s="7">
        <v>11.717311907894739</v>
      </c>
      <c r="AE41" s="7">
        <v>0</v>
      </c>
      <c r="AF41" s="7">
        <v>0</v>
      </c>
      <c r="AG41" s="7">
        <v>175.948432521163</v>
      </c>
      <c r="AH41" s="7">
        <v>0.94129326973684213</v>
      </c>
      <c r="AI41" s="7">
        <v>0</v>
      </c>
      <c r="AJ41" s="7">
        <v>6.9574432171052631</v>
      </c>
      <c r="AK41" s="7">
        <v>172.1298571001104</v>
      </c>
      <c r="AL41" s="7">
        <v>0</v>
      </c>
      <c r="AM41" s="7">
        <v>0</v>
      </c>
      <c r="AN41" s="7">
        <v>0</v>
      </c>
      <c r="AO41" s="7">
        <v>0</v>
      </c>
      <c r="AP41" s="7">
        <v>0</v>
      </c>
      <c r="AQ41" s="7">
        <v>172.1298571001104</v>
      </c>
      <c r="AR41" s="7">
        <v>165.3226877829496</v>
      </c>
      <c r="AS41" s="7">
        <v>5.389464798845446</v>
      </c>
      <c r="AT41" s="7">
        <v>1.0915671696813449</v>
      </c>
    </row>
    <row r="42" spans="1:46" x14ac:dyDescent="0.35">
      <c r="A42" s="5">
        <v>46022</v>
      </c>
      <c r="B42" s="4" t="s">
        <v>126</v>
      </c>
      <c r="C42" s="4" t="s">
        <v>127</v>
      </c>
      <c r="D42" s="4" t="s">
        <v>128</v>
      </c>
      <c r="E42" s="6">
        <v>330</v>
      </c>
      <c r="F42" s="6">
        <v>0</v>
      </c>
      <c r="G42" s="6">
        <v>330</v>
      </c>
      <c r="H42" s="6">
        <v>0.1</v>
      </c>
      <c r="I42" s="6">
        <v>3300</v>
      </c>
      <c r="J42" s="6">
        <v>0</v>
      </c>
      <c r="K42" s="6">
        <v>3300</v>
      </c>
      <c r="L42" s="6">
        <v>2211</v>
      </c>
      <c r="M42" s="7">
        <v>4.2643820124019829</v>
      </c>
      <c r="N42" s="7">
        <v>2.089537</v>
      </c>
      <c r="O42" s="7">
        <v>0.31055195732116703</v>
      </c>
      <c r="P42" s="7">
        <v>9.5883234703459195</v>
      </c>
      <c r="Q42" s="7">
        <v>16.252794440069071</v>
      </c>
      <c r="R42" s="7">
        <v>5.1895030308999299</v>
      </c>
      <c r="S42" s="7">
        <v>30.781888779106509</v>
      </c>
      <c r="T42" s="7">
        <v>4.9969435169527516</v>
      </c>
      <c r="U42" s="7">
        <v>13.48056176089438</v>
      </c>
      <c r="V42" s="7">
        <v>54.448897087853567</v>
      </c>
      <c r="W42" s="7">
        <v>70.701691527922634</v>
      </c>
      <c r="X42" s="7">
        <v>0.6982631026684758</v>
      </c>
      <c r="Y42" s="7">
        <v>59.835444694879307</v>
      </c>
      <c r="Z42" s="7">
        <v>131.23539932547041</v>
      </c>
      <c r="AA42" s="7">
        <v>0</v>
      </c>
      <c r="AB42" s="7">
        <v>131.23539932547041</v>
      </c>
      <c r="AC42" s="7">
        <v>0</v>
      </c>
      <c r="AD42" s="7">
        <v>16.817002287382859</v>
      </c>
      <c r="AE42" s="7">
        <v>0</v>
      </c>
      <c r="AF42" s="7">
        <v>0</v>
      </c>
      <c r="AG42" s="7">
        <v>148.05240161285329</v>
      </c>
      <c r="AH42" s="7">
        <v>2.6140415667581092</v>
      </c>
      <c r="AI42" s="7">
        <v>0</v>
      </c>
      <c r="AJ42" s="7">
        <v>8.7134728524680867</v>
      </c>
      <c r="AK42" s="7">
        <v>142.5629137446966</v>
      </c>
      <c r="AL42" s="7">
        <v>0</v>
      </c>
      <c r="AM42" s="7">
        <v>0</v>
      </c>
      <c r="AN42" s="7">
        <v>0</v>
      </c>
      <c r="AO42" s="7">
        <v>0</v>
      </c>
      <c r="AP42" s="7">
        <v>0</v>
      </c>
      <c r="AQ42" s="7">
        <v>142.5629137446966</v>
      </c>
      <c r="AR42" s="7">
        <v>187.82667497521749</v>
      </c>
      <c r="AS42" s="7">
        <v>56.591275649747097</v>
      </c>
      <c r="AT42" s="7">
        <v>56.591275649747097</v>
      </c>
    </row>
    <row r="43" spans="1:46" x14ac:dyDescent="0.35">
      <c r="A43" s="5">
        <v>46022</v>
      </c>
      <c r="B43" s="4" t="s">
        <v>129</v>
      </c>
      <c r="C43" s="4" t="s">
        <v>130</v>
      </c>
      <c r="D43" s="4" t="s">
        <v>50</v>
      </c>
      <c r="E43" s="6">
        <v>4900</v>
      </c>
      <c r="F43" s="6">
        <v>0</v>
      </c>
      <c r="G43" s="6">
        <v>4900</v>
      </c>
      <c r="H43" s="6">
        <v>2.8</v>
      </c>
      <c r="I43" s="6">
        <v>1750</v>
      </c>
      <c r="J43" s="6">
        <v>0</v>
      </c>
      <c r="K43" s="6">
        <v>1750</v>
      </c>
      <c r="L43" s="6">
        <v>1750</v>
      </c>
      <c r="M43" s="7">
        <v>1.642123</v>
      </c>
      <c r="N43" s="7">
        <v>0.37498399999999998</v>
      </c>
      <c r="O43" s="7">
        <v>0.97783600000000015</v>
      </c>
      <c r="P43" s="7">
        <v>2.630709</v>
      </c>
      <c r="Q43" s="7">
        <v>5.6256519999999997</v>
      </c>
      <c r="R43" s="7">
        <v>0.70722099999999999</v>
      </c>
      <c r="S43" s="7">
        <v>1.027512</v>
      </c>
      <c r="T43" s="7">
        <v>4.1020459999999996</v>
      </c>
      <c r="U43" s="7">
        <v>3.0832030000000001</v>
      </c>
      <c r="V43" s="7">
        <v>8.9199819999999992</v>
      </c>
      <c r="W43" s="7">
        <v>14.545634</v>
      </c>
      <c r="X43" s="7">
        <v>1.6496363126711999</v>
      </c>
      <c r="Y43" s="7">
        <v>4.9292278912906999</v>
      </c>
      <c r="Z43" s="7">
        <v>21.124498203961899</v>
      </c>
      <c r="AA43" s="7">
        <v>7.056983694026469</v>
      </c>
      <c r="AB43" s="7">
        <v>28.18148189798837</v>
      </c>
      <c r="AC43" s="7">
        <v>0</v>
      </c>
      <c r="AD43" s="7">
        <v>2.4541689999999998</v>
      </c>
      <c r="AE43" s="7">
        <v>0</v>
      </c>
      <c r="AF43" s="7">
        <v>0</v>
      </c>
      <c r="AG43" s="7">
        <v>30.63565089798837</v>
      </c>
      <c r="AH43" s="7">
        <v>0.81196900000000005</v>
      </c>
      <c r="AI43" s="7">
        <v>0</v>
      </c>
      <c r="AJ43" s="7">
        <v>2.799747</v>
      </c>
      <c r="AK43" s="7">
        <v>31.793197897988371</v>
      </c>
      <c r="AL43" s="7">
        <v>0</v>
      </c>
      <c r="AM43" s="7">
        <v>0</v>
      </c>
      <c r="AN43" s="7">
        <v>0</v>
      </c>
      <c r="AO43" s="7">
        <v>0</v>
      </c>
      <c r="AP43" s="7">
        <v>0</v>
      </c>
      <c r="AQ43" s="7">
        <v>31.793197897988371</v>
      </c>
      <c r="AR43" s="7">
        <v>82.167410303441926</v>
      </c>
      <c r="AS43" s="7">
        <v>61.042912099480027</v>
      </c>
      <c r="AT43" s="7">
        <v>53.985928405453564</v>
      </c>
    </row>
    <row r="44" spans="1:46" x14ac:dyDescent="0.35">
      <c r="A44" s="5">
        <v>46022</v>
      </c>
      <c r="B44" s="4" t="s">
        <v>131</v>
      </c>
      <c r="C44" s="4" t="s">
        <v>132</v>
      </c>
      <c r="D44" s="4" t="s">
        <v>128</v>
      </c>
      <c r="E44" s="6">
        <v>2181.0825420000001</v>
      </c>
      <c r="F44" s="6">
        <v>0</v>
      </c>
      <c r="G44" s="6">
        <v>2181.0825420000001</v>
      </c>
      <c r="H44" s="6">
        <v>0.5</v>
      </c>
      <c r="I44" s="6">
        <v>4362.1650829999999</v>
      </c>
      <c r="J44" s="6">
        <v>0</v>
      </c>
      <c r="K44" s="6">
        <v>4362.1650829999999</v>
      </c>
      <c r="L44" s="6">
        <v>3350</v>
      </c>
      <c r="M44" s="7">
        <v>1.119674115983027E-2</v>
      </c>
      <c r="N44" s="7">
        <v>1.3226260000000001</v>
      </c>
      <c r="O44" s="7">
        <v>8.8046732673267326E-3</v>
      </c>
      <c r="P44" s="7">
        <v>2.3068578161244702</v>
      </c>
      <c r="Q44" s="7">
        <v>3.649485230551627</v>
      </c>
      <c r="R44" s="7">
        <v>4.6818976690240452</v>
      </c>
      <c r="S44" s="7">
        <v>18.073176803394631</v>
      </c>
      <c r="T44" s="7">
        <v>4.4564326110325316</v>
      </c>
      <c r="U44" s="7">
        <v>14.80968121074965</v>
      </c>
      <c r="V44" s="7">
        <v>42.021188294200847</v>
      </c>
      <c r="W44" s="7">
        <v>45.67067352475248</v>
      </c>
      <c r="X44" s="7">
        <v>0.59575761194029853</v>
      </c>
      <c r="Y44" s="7">
        <v>41.135811672225678</v>
      </c>
      <c r="Z44" s="7">
        <v>87.402242808918444</v>
      </c>
      <c r="AA44" s="7">
        <v>6.5861143338427768</v>
      </c>
      <c r="AB44" s="7">
        <v>93.988357142761231</v>
      </c>
      <c r="AC44" s="7">
        <v>0</v>
      </c>
      <c r="AD44" s="7">
        <v>23.740333007072142</v>
      </c>
      <c r="AE44" s="7">
        <v>0</v>
      </c>
      <c r="AF44" s="7">
        <v>0</v>
      </c>
      <c r="AG44" s="7">
        <v>117.7286901498334</v>
      </c>
      <c r="AH44" s="7">
        <v>2.2673056520509189</v>
      </c>
      <c r="AI44" s="7">
        <v>0</v>
      </c>
      <c r="AJ44" s="7">
        <v>6.0461480678925037</v>
      </c>
      <c r="AK44" s="7">
        <v>102.3018108627047</v>
      </c>
      <c r="AL44" s="7">
        <v>0</v>
      </c>
      <c r="AM44" s="7">
        <v>0</v>
      </c>
      <c r="AN44" s="7">
        <v>0</v>
      </c>
      <c r="AO44" s="7">
        <v>0</v>
      </c>
      <c r="AP44" s="7">
        <v>0</v>
      </c>
      <c r="AQ44" s="7">
        <v>102.3018108627047</v>
      </c>
      <c r="AR44" s="7">
        <v>180.09455965204251</v>
      </c>
      <c r="AS44" s="7">
        <v>92.692316843124075</v>
      </c>
      <c r="AT44" s="7">
        <v>86.106202509281303</v>
      </c>
    </row>
    <row r="45" spans="1:46" x14ac:dyDescent="0.35">
      <c r="A45" s="5">
        <v>46022</v>
      </c>
      <c r="B45" s="4" t="s">
        <v>133</v>
      </c>
      <c r="C45" s="4" t="s">
        <v>134</v>
      </c>
      <c r="D45" s="4" t="s">
        <v>56</v>
      </c>
      <c r="E45" s="6">
        <v>46214</v>
      </c>
      <c r="F45" s="6">
        <v>0</v>
      </c>
      <c r="G45" s="6">
        <v>46214</v>
      </c>
      <c r="H45" s="6">
        <v>2.0107910000000002</v>
      </c>
      <c r="I45" s="6">
        <v>22983</v>
      </c>
      <c r="J45" s="6">
        <v>0</v>
      </c>
      <c r="K45" s="6">
        <v>22983</v>
      </c>
      <c r="L45" s="6">
        <v>20258.980785</v>
      </c>
      <c r="M45" s="7">
        <v>2.4694660000000002</v>
      </c>
      <c r="N45" s="7">
        <v>2.3432379999999999</v>
      </c>
      <c r="O45" s="7">
        <v>3.2708010000000001</v>
      </c>
      <c r="P45" s="7">
        <v>33.388720999999997</v>
      </c>
      <c r="Q45" s="7">
        <v>41.472225999999999</v>
      </c>
      <c r="R45" s="7">
        <v>3.1422319999999999</v>
      </c>
      <c r="S45" s="7">
        <v>19.829716000000001</v>
      </c>
      <c r="T45" s="7">
        <v>41.338574999999999</v>
      </c>
      <c r="U45" s="7">
        <v>21.32386</v>
      </c>
      <c r="V45" s="7">
        <v>85.634383</v>
      </c>
      <c r="W45" s="7">
        <v>127.10660900000001</v>
      </c>
      <c r="X45" s="7">
        <v>0</v>
      </c>
      <c r="Y45" s="7">
        <v>22.238458415047301</v>
      </c>
      <c r="Z45" s="7">
        <v>149.34506741504731</v>
      </c>
      <c r="AA45" s="7">
        <v>13.90697646992821</v>
      </c>
      <c r="AB45" s="7">
        <v>163.25204388497551</v>
      </c>
      <c r="AC45" s="7">
        <v>0</v>
      </c>
      <c r="AD45" s="7">
        <v>17.256067000000002</v>
      </c>
      <c r="AE45" s="7">
        <v>0</v>
      </c>
      <c r="AF45" s="7">
        <v>0</v>
      </c>
      <c r="AG45" s="7">
        <v>180.50811088497551</v>
      </c>
      <c r="AH45" s="7">
        <v>2.0364450000000001</v>
      </c>
      <c r="AI45" s="7">
        <v>0</v>
      </c>
      <c r="AJ45" s="7">
        <v>0.32807900000000001</v>
      </c>
      <c r="AK45" s="7">
        <v>165.6165678849755</v>
      </c>
      <c r="AL45" s="7">
        <v>2.5667629999999999</v>
      </c>
      <c r="AM45" s="7">
        <v>0</v>
      </c>
      <c r="AN45" s="7">
        <v>0</v>
      </c>
      <c r="AO45" s="7">
        <v>0</v>
      </c>
      <c r="AP45" s="7">
        <v>0</v>
      </c>
      <c r="AQ45" s="7">
        <v>168.1833308849755</v>
      </c>
      <c r="AR45" s="7">
        <v>286.36101250022602</v>
      </c>
      <c r="AS45" s="7">
        <v>137.0159450851786</v>
      </c>
      <c r="AT45" s="7">
        <v>123.1089686152504</v>
      </c>
    </row>
    <row r="46" spans="1:46" x14ac:dyDescent="0.35">
      <c r="A46" s="5">
        <v>46022</v>
      </c>
      <c r="B46" s="4" t="s">
        <v>135</v>
      </c>
      <c r="C46" s="4" t="s">
        <v>136</v>
      </c>
      <c r="D46" s="4" t="s">
        <v>137</v>
      </c>
      <c r="E46" s="6">
        <v>2537.6931709999999</v>
      </c>
      <c r="F46" s="6">
        <v>0</v>
      </c>
      <c r="G46" s="6">
        <v>2537.6931709999999</v>
      </c>
      <c r="H46" s="6">
        <v>0.72505500000000001</v>
      </c>
      <c r="I46" s="6">
        <v>3500</v>
      </c>
      <c r="J46" s="6">
        <v>0</v>
      </c>
      <c r="K46" s="6">
        <v>3500</v>
      </c>
      <c r="L46" s="6">
        <v>3500</v>
      </c>
      <c r="M46" s="7">
        <v>0.22810154166666671</v>
      </c>
      <c r="N46" s="7">
        <v>2.4339409999999999</v>
      </c>
      <c r="O46" s="7">
        <v>3.1921250000000001E-3</v>
      </c>
      <c r="P46" s="7">
        <v>0.22908387499999999</v>
      </c>
      <c r="Q46" s="7">
        <v>2.8943185416666668</v>
      </c>
      <c r="R46" s="7">
        <v>0.3732775416666666</v>
      </c>
      <c r="S46" s="7">
        <v>1.333124666666667</v>
      </c>
      <c r="T46" s="7">
        <v>1.189648041666667</v>
      </c>
      <c r="U46" s="7">
        <v>0.83776941666666671</v>
      </c>
      <c r="V46" s="7">
        <v>3.7338196666666672</v>
      </c>
      <c r="W46" s="7">
        <v>6.6281382083333327</v>
      </c>
      <c r="X46" s="7">
        <v>14.94299241913863</v>
      </c>
      <c r="Y46" s="7">
        <v>53.028937574809738</v>
      </c>
      <c r="Z46" s="7">
        <v>74.600068202281705</v>
      </c>
      <c r="AA46" s="7">
        <v>9.3059164925889828</v>
      </c>
      <c r="AB46" s="7">
        <v>83.905984694870682</v>
      </c>
      <c r="AC46" s="7">
        <v>8.3333333333333329E-2</v>
      </c>
      <c r="AD46" s="7">
        <v>0.93864912499999997</v>
      </c>
      <c r="AE46" s="7">
        <v>0</v>
      </c>
      <c r="AF46" s="7">
        <v>0</v>
      </c>
      <c r="AG46" s="7">
        <v>84.927967153204023</v>
      </c>
      <c r="AH46" s="7">
        <v>0.2310579583333334</v>
      </c>
      <c r="AI46" s="7">
        <v>0</v>
      </c>
      <c r="AJ46" s="7">
        <v>0.71428570833333327</v>
      </c>
      <c r="AK46" s="7">
        <v>84.934661694870684</v>
      </c>
      <c r="AL46" s="7">
        <v>2.8571430000000002</v>
      </c>
      <c r="AM46" s="7">
        <v>0</v>
      </c>
      <c r="AN46" s="7">
        <v>0</v>
      </c>
      <c r="AO46" s="7">
        <v>0</v>
      </c>
      <c r="AP46" s="7">
        <v>0</v>
      </c>
      <c r="AQ46" s="7">
        <v>87.791804694870677</v>
      </c>
      <c r="AR46" s="7">
        <v>186.11820976324819</v>
      </c>
      <c r="AS46" s="7">
        <v>111.5181415609664</v>
      </c>
      <c r="AT46" s="7">
        <v>102.21222506837751</v>
      </c>
    </row>
    <row r="47" spans="1:46" x14ac:dyDescent="0.35">
      <c r="A47" s="5">
        <v>46022</v>
      </c>
      <c r="B47" s="4" t="s">
        <v>138</v>
      </c>
      <c r="C47" s="4" t="s">
        <v>139</v>
      </c>
      <c r="D47" s="4" t="s">
        <v>56</v>
      </c>
      <c r="E47" s="6">
        <v>6750</v>
      </c>
      <c r="F47" s="6">
        <v>0</v>
      </c>
      <c r="G47" s="6">
        <v>6750</v>
      </c>
      <c r="H47" s="6">
        <v>3</v>
      </c>
      <c r="I47" s="6">
        <v>2250</v>
      </c>
      <c r="J47" s="6">
        <v>0</v>
      </c>
      <c r="K47" s="6">
        <v>2250</v>
      </c>
      <c r="L47" s="6">
        <v>2500</v>
      </c>
      <c r="M47" s="7">
        <v>12.28691797961674</v>
      </c>
      <c r="N47" s="7">
        <v>7.1170600000000004</v>
      </c>
      <c r="O47" s="7">
        <v>2.1311456519216359</v>
      </c>
      <c r="P47" s="7">
        <v>21.056125917717591</v>
      </c>
      <c r="Q47" s="7">
        <v>42.59124954925597</v>
      </c>
      <c r="R47" s="7">
        <v>13.42407264828177</v>
      </c>
      <c r="S47" s="7">
        <v>4.4578581469007599</v>
      </c>
      <c r="T47" s="7">
        <v>8.0442676829889734</v>
      </c>
      <c r="U47" s="7">
        <v>1.0868525222353069</v>
      </c>
      <c r="V47" s="7">
        <v>27.013051000406811</v>
      </c>
      <c r="W47" s="7">
        <v>69.604300549662767</v>
      </c>
      <c r="X47" s="7">
        <v>9.9553373673240007</v>
      </c>
      <c r="Y47" s="7">
        <v>26.464730877197081</v>
      </c>
      <c r="Z47" s="7">
        <v>106.0243687941838</v>
      </c>
      <c r="AA47" s="7">
        <v>25.08262352572423</v>
      </c>
      <c r="AB47" s="7">
        <v>131.1069923199081</v>
      </c>
      <c r="AC47" s="7">
        <v>0</v>
      </c>
      <c r="AD47" s="7">
        <v>44.042180593962101</v>
      </c>
      <c r="AE47" s="7">
        <v>0</v>
      </c>
      <c r="AF47" s="7">
        <v>0</v>
      </c>
      <c r="AG47" s="7">
        <v>175.14917291387019</v>
      </c>
      <c r="AH47" s="7">
        <v>0.4953916948078364</v>
      </c>
      <c r="AI47" s="7">
        <v>0</v>
      </c>
      <c r="AJ47" s="7">
        <v>21.847400472090779</v>
      </c>
      <c r="AK47" s="7">
        <v>153.44978448680669</v>
      </c>
      <c r="AL47" s="7">
        <v>0</v>
      </c>
      <c r="AM47" s="7">
        <v>0</v>
      </c>
      <c r="AN47" s="7">
        <v>0</v>
      </c>
      <c r="AO47" s="7">
        <v>0</v>
      </c>
      <c r="AP47" s="7">
        <v>0</v>
      </c>
      <c r="AQ47" s="7">
        <v>153.44978448680669</v>
      </c>
      <c r="AR47" s="7">
        <v>231.61254669459171</v>
      </c>
      <c r="AS47" s="7">
        <v>125.5881779004078</v>
      </c>
      <c r="AT47" s="7">
        <v>100.5055543746836</v>
      </c>
    </row>
    <row r="48" spans="1:46" x14ac:dyDescent="0.35">
      <c r="A48" s="5">
        <v>46022</v>
      </c>
      <c r="B48" s="4" t="s">
        <v>140</v>
      </c>
      <c r="C48" s="4" t="s">
        <v>141</v>
      </c>
      <c r="D48" s="4" t="s">
        <v>142</v>
      </c>
      <c r="E48" s="6">
        <v>27620</v>
      </c>
      <c r="F48" s="6">
        <v>0</v>
      </c>
      <c r="G48" s="6">
        <v>27620</v>
      </c>
      <c r="H48" s="6">
        <v>15.873563000000001</v>
      </c>
      <c r="I48" s="6">
        <v>1740</v>
      </c>
      <c r="J48" s="6">
        <v>0</v>
      </c>
      <c r="K48" s="6">
        <v>1740</v>
      </c>
      <c r="L48" s="6">
        <v>1740</v>
      </c>
      <c r="M48" s="7">
        <v>0.31725900000000001</v>
      </c>
      <c r="N48" s="7">
        <v>1.1703600000000001</v>
      </c>
      <c r="O48" s="7">
        <v>0.48348999999999998</v>
      </c>
      <c r="P48" s="7">
        <v>5.0328989999999996</v>
      </c>
      <c r="Q48" s="7">
        <v>7.0040079999999998</v>
      </c>
      <c r="R48" s="7">
        <v>0.74605699999999997</v>
      </c>
      <c r="S48" s="7">
        <v>0.83452999999999999</v>
      </c>
      <c r="T48" s="7">
        <v>1.2781260000000001</v>
      </c>
      <c r="U48" s="7">
        <v>6.2082899999999999</v>
      </c>
      <c r="V48" s="7">
        <v>9.0670029999999997</v>
      </c>
      <c r="W48" s="7">
        <v>16.071010999999999</v>
      </c>
      <c r="X48" s="7">
        <v>0.18965517241379309</v>
      </c>
      <c r="Y48" s="7">
        <v>6.0938160026131882</v>
      </c>
      <c r="Z48" s="7">
        <v>22.35448217502698</v>
      </c>
      <c r="AA48" s="7">
        <v>1.8616430406814199</v>
      </c>
      <c r="AB48" s="7">
        <v>24.216125215708399</v>
      </c>
      <c r="AC48" s="7">
        <v>3.28E-4</v>
      </c>
      <c r="AD48" s="7">
        <v>10.153327000000001</v>
      </c>
      <c r="AE48" s="7">
        <v>0</v>
      </c>
      <c r="AF48" s="7">
        <v>0</v>
      </c>
      <c r="AG48" s="7">
        <v>34.369780215708403</v>
      </c>
      <c r="AH48" s="7">
        <v>1.1494249999999999</v>
      </c>
      <c r="AI48" s="7">
        <v>0</v>
      </c>
      <c r="AJ48" s="7">
        <v>3.6810339999999999</v>
      </c>
      <c r="AK48" s="7">
        <v>29.046912215708399</v>
      </c>
      <c r="AL48" s="7">
        <v>1.1494249999999999</v>
      </c>
      <c r="AM48" s="7">
        <v>0</v>
      </c>
      <c r="AN48" s="7">
        <v>0</v>
      </c>
      <c r="AO48" s="7">
        <v>0</v>
      </c>
      <c r="AP48" s="7">
        <v>0</v>
      </c>
      <c r="AQ48" s="7">
        <v>30.1963372157084</v>
      </c>
      <c r="AR48" s="7">
        <v>29.271557551346572</v>
      </c>
      <c r="AS48" s="7">
        <v>6.9170753763195902</v>
      </c>
      <c r="AT48" s="7">
        <v>5.0554323356381703</v>
      </c>
    </row>
    <row r="49" spans="1:46" x14ac:dyDescent="0.35">
      <c r="A49" s="5">
        <v>46022</v>
      </c>
      <c r="B49" s="4" t="s">
        <v>143</v>
      </c>
      <c r="C49" s="4" t="s">
        <v>144</v>
      </c>
      <c r="D49" s="4" t="s">
        <v>67</v>
      </c>
      <c r="E49" s="6">
        <v>18000</v>
      </c>
      <c r="F49" s="6">
        <v>0</v>
      </c>
      <c r="G49" s="6">
        <v>18000</v>
      </c>
      <c r="H49" s="6">
        <v>1</v>
      </c>
      <c r="I49" s="6">
        <v>18000</v>
      </c>
      <c r="J49" s="6">
        <v>0</v>
      </c>
      <c r="K49" s="6">
        <v>18000</v>
      </c>
      <c r="L49" s="6">
        <v>18000</v>
      </c>
      <c r="M49" s="7">
        <v>1.6158819719316511</v>
      </c>
      <c r="N49" s="7">
        <v>1.0399719999999999</v>
      </c>
      <c r="O49" s="7">
        <v>0.1648519547882934</v>
      </c>
      <c r="P49" s="7">
        <v>2.7009477811951341</v>
      </c>
      <c r="Q49" s="7">
        <v>5.5216537079150783</v>
      </c>
      <c r="R49" s="7">
        <v>1.9793045894367529</v>
      </c>
      <c r="S49" s="7">
        <v>12.15341489009008</v>
      </c>
      <c r="T49" s="7">
        <v>1.5449034870937459</v>
      </c>
      <c r="U49" s="7">
        <v>3.7376696268151619</v>
      </c>
      <c r="V49" s="7">
        <v>19.415292593435741</v>
      </c>
      <c r="W49" s="7">
        <v>24.936946301350819</v>
      </c>
      <c r="X49" s="7">
        <v>0.46778779319444441</v>
      </c>
      <c r="Y49" s="7">
        <v>4.3061743880495182</v>
      </c>
      <c r="Z49" s="7">
        <v>29.710908482594778</v>
      </c>
      <c r="AA49" s="7">
        <v>0</v>
      </c>
      <c r="AB49" s="7">
        <v>29.710908482594778</v>
      </c>
      <c r="AC49" s="7">
        <v>0</v>
      </c>
      <c r="AD49" s="7">
        <v>6.8183758676761492</v>
      </c>
      <c r="AE49" s="7">
        <v>0</v>
      </c>
      <c r="AF49" s="7">
        <v>0</v>
      </c>
      <c r="AG49" s="7">
        <v>36.529284350270927</v>
      </c>
      <c r="AH49" s="7">
        <v>1.148429858846832</v>
      </c>
      <c r="AI49" s="7">
        <v>0.28710772310845217</v>
      </c>
      <c r="AJ49" s="7">
        <v>4.2210141732478901</v>
      </c>
      <c r="AK49" s="7">
        <v>35.367460237797957</v>
      </c>
      <c r="AL49" s="7">
        <v>0</v>
      </c>
      <c r="AM49" s="7">
        <v>0</v>
      </c>
      <c r="AN49" s="7">
        <v>0</v>
      </c>
      <c r="AO49" s="7">
        <v>0</v>
      </c>
      <c r="AP49" s="7">
        <v>0</v>
      </c>
      <c r="AQ49" s="7">
        <v>35.367460237797957</v>
      </c>
      <c r="AR49" s="7">
        <v>36.65278510248757</v>
      </c>
      <c r="AS49" s="7">
        <v>6.9418766198927893</v>
      </c>
      <c r="AT49" s="7">
        <v>6.9418766198927893</v>
      </c>
    </row>
    <row r="50" spans="1:46" x14ac:dyDescent="0.35">
      <c r="A50" s="5">
        <v>46022</v>
      </c>
      <c r="B50" s="4" t="s">
        <v>145</v>
      </c>
      <c r="C50" s="4" t="s">
        <v>146</v>
      </c>
      <c r="D50" s="4" t="s">
        <v>80</v>
      </c>
      <c r="E50" s="6">
        <v>0</v>
      </c>
      <c r="F50" s="6">
        <v>0</v>
      </c>
      <c r="G50" s="6">
        <v>0</v>
      </c>
      <c r="H50" s="6">
        <v>0</v>
      </c>
      <c r="I50" s="6">
        <v>0</v>
      </c>
      <c r="J50" s="6">
        <v>1900</v>
      </c>
      <c r="K50" s="6">
        <v>1900</v>
      </c>
      <c r="L50" s="6">
        <v>2100</v>
      </c>
      <c r="M50" s="7">
        <v>57.065989927007301</v>
      </c>
      <c r="N50" s="7">
        <v>29.422446999999998</v>
      </c>
      <c r="O50" s="7">
        <v>17.599277591240881</v>
      </c>
      <c r="P50" s="7">
        <v>157.56700766423361</v>
      </c>
      <c r="Q50" s="7">
        <v>261.65472218248181</v>
      </c>
      <c r="R50" s="7">
        <v>17.135251605839422</v>
      </c>
      <c r="S50" s="7">
        <v>11.266532554744529</v>
      </c>
      <c r="T50" s="7">
        <v>11.30644255474453</v>
      </c>
      <c r="U50" s="7">
        <v>20.368299416058392</v>
      </c>
      <c r="V50" s="7">
        <v>60.076526131386863</v>
      </c>
      <c r="W50" s="7">
        <v>321.7312483138686</v>
      </c>
      <c r="X50" s="7">
        <v>0</v>
      </c>
      <c r="Y50" s="7">
        <v>48.86302245832163</v>
      </c>
      <c r="Z50" s="7">
        <v>370.59427077219033</v>
      </c>
      <c r="AA50" s="7">
        <v>7.6250884014860798</v>
      </c>
      <c r="AB50" s="7">
        <v>378.21935917367631</v>
      </c>
      <c r="AC50" s="7">
        <v>0</v>
      </c>
      <c r="AD50" s="7">
        <v>154.35380810218979</v>
      </c>
      <c r="AE50" s="7">
        <v>0</v>
      </c>
      <c r="AF50" s="7">
        <v>0</v>
      </c>
      <c r="AG50" s="7">
        <v>532.57316727586613</v>
      </c>
      <c r="AH50" s="7">
        <v>4.9128821897810218</v>
      </c>
      <c r="AI50" s="7">
        <v>0</v>
      </c>
      <c r="AJ50" s="7">
        <v>20.073877883211679</v>
      </c>
      <c r="AK50" s="7">
        <v>403.206119246669</v>
      </c>
      <c r="AL50" s="7">
        <v>24.761904999999999</v>
      </c>
      <c r="AM50" s="7">
        <v>0</v>
      </c>
      <c r="AN50" s="7">
        <v>0</v>
      </c>
      <c r="AO50" s="7">
        <v>0</v>
      </c>
      <c r="AP50" s="7">
        <v>0</v>
      </c>
      <c r="AQ50" s="7">
        <v>427.96802424666902</v>
      </c>
      <c r="AR50" s="7">
        <v>272.32199682709353</v>
      </c>
      <c r="AS50" s="7">
        <v>-98.272273945096742</v>
      </c>
      <c r="AT50" s="7">
        <v>-105.8973623465828</v>
      </c>
    </row>
    <row r="51" spans="1:46" x14ac:dyDescent="0.35">
      <c r="A51" s="5">
        <v>46022</v>
      </c>
      <c r="B51" s="4" t="s">
        <v>147</v>
      </c>
      <c r="C51" s="4" t="s">
        <v>148</v>
      </c>
      <c r="D51" s="4" t="s">
        <v>109</v>
      </c>
      <c r="E51" s="6">
        <v>0</v>
      </c>
      <c r="F51" s="6">
        <v>0</v>
      </c>
      <c r="G51" s="6">
        <v>0</v>
      </c>
      <c r="H51" s="6">
        <v>0</v>
      </c>
      <c r="I51" s="6">
        <v>0</v>
      </c>
      <c r="J51" s="6">
        <v>7560</v>
      </c>
      <c r="K51" s="6">
        <v>7560</v>
      </c>
      <c r="L51" s="6">
        <v>7560</v>
      </c>
      <c r="M51" s="7">
        <v>10.507244999999999</v>
      </c>
      <c r="N51" s="7">
        <v>0.48755599999999999</v>
      </c>
      <c r="O51" s="7">
        <v>0.58813700000000002</v>
      </c>
      <c r="P51" s="7">
        <v>34.178694</v>
      </c>
      <c r="Q51" s="7">
        <v>45.761631999999999</v>
      </c>
      <c r="R51" s="7">
        <v>3.0943320000000001</v>
      </c>
      <c r="S51" s="7">
        <v>0.66054900000000005</v>
      </c>
      <c r="T51" s="7">
        <v>4.6249880000000001</v>
      </c>
      <c r="U51" s="7">
        <v>5.9076680000000001</v>
      </c>
      <c r="V51" s="7">
        <v>14.287537</v>
      </c>
      <c r="W51" s="7">
        <v>60.049168999999999</v>
      </c>
      <c r="X51" s="7">
        <v>0</v>
      </c>
      <c r="Y51" s="7">
        <v>14.516270165387841</v>
      </c>
      <c r="Z51" s="7">
        <v>74.565439165387843</v>
      </c>
      <c r="AA51" s="7">
        <v>4.0532799633628773</v>
      </c>
      <c r="AB51" s="7">
        <v>78.618719128750726</v>
      </c>
      <c r="AC51" s="7">
        <v>0</v>
      </c>
      <c r="AD51" s="7">
        <v>24.135255000000001</v>
      </c>
      <c r="AE51" s="7">
        <v>0</v>
      </c>
      <c r="AF51" s="7">
        <v>0</v>
      </c>
      <c r="AG51" s="7">
        <v>102.7539741287507</v>
      </c>
      <c r="AH51" s="7">
        <v>6.0363199999999999</v>
      </c>
      <c r="AI51" s="7">
        <v>0</v>
      </c>
      <c r="AJ51" s="7">
        <v>16.203382999999999</v>
      </c>
      <c r="AK51" s="7">
        <v>100.8584221287507</v>
      </c>
      <c r="AL51" s="7">
        <v>13.227513</v>
      </c>
      <c r="AM51" s="7">
        <v>0</v>
      </c>
      <c r="AN51" s="7">
        <v>0</v>
      </c>
      <c r="AO51" s="7">
        <v>0</v>
      </c>
      <c r="AP51" s="7">
        <v>0</v>
      </c>
      <c r="AQ51" s="7">
        <v>114.08593512875071</v>
      </c>
      <c r="AR51" s="7">
        <v>123.222615564905</v>
      </c>
      <c r="AS51" s="7">
        <v>48.65717639951712</v>
      </c>
      <c r="AT51" s="7">
        <v>44.603896436154237</v>
      </c>
    </row>
  </sheetData>
  <mergeCells count="47">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AA6:AA9"/>
    <mergeCell ref="AB6:AB9"/>
    <mergeCell ref="AC6:AC9"/>
    <mergeCell ref="AD6:AD9"/>
    <mergeCell ref="AE6:AE9"/>
    <mergeCell ref="AF6:AF9"/>
    <mergeCell ref="AG6:AG9"/>
    <mergeCell ref="AH6:AH9"/>
    <mergeCell ref="AI6:AI9"/>
    <mergeCell ref="AJ6:AJ9"/>
    <mergeCell ref="AK6:AK9"/>
    <mergeCell ref="AL6:AL9"/>
    <mergeCell ref="AM6:AM9"/>
    <mergeCell ref="AS6:AS9"/>
    <mergeCell ref="AT6:AT9"/>
    <mergeCell ref="AN6:AN9"/>
    <mergeCell ref="AO6:AO9"/>
    <mergeCell ref="AP6:AP9"/>
    <mergeCell ref="AQ6:AQ9"/>
    <mergeCell ref="AR6:AR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51"/>
  <sheetViews>
    <sheetView workbookViewId="0">
      <selection activeCell="J11" sqref="J11"/>
    </sheetView>
  </sheetViews>
  <sheetFormatPr defaultRowHeight="14.5" x14ac:dyDescent="0.35"/>
  <cols>
    <col min="1" max="1" width="48.54296875" customWidth="1"/>
    <col min="2" max="2" width="23.7265625" customWidth="1"/>
    <col min="3" max="3" width="16.1796875" customWidth="1"/>
    <col min="4" max="4" width="20.81640625" customWidth="1"/>
    <col min="5" max="5" width="23.54296875" customWidth="1"/>
    <col min="6" max="6" width="20.54296875" customWidth="1"/>
    <col min="7" max="7" width="17.54296875" customWidth="1"/>
    <col min="8" max="9" width="16.1796875" customWidth="1"/>
    <col min="10" max="10" width="17.54296875" customWidth="1"/>
    <col min="11" max="11" width="22.453125" customWidth="1"/>
    <col min="12" max="12" width="23.81640625" customWidth="1"/>
    <col min="13" max="13" width="22.453125" customWidth="1"/>
    <col min="14" max="14" width="23.81640625" customWidth="1"/>
    <col min="15" max="15" width="22.453125" customWidth="1"/>
    <col min="16" max="22" width="21.1796875" customWidth="1"/>
    <col min="23" max="23" width="22.453125" customWidth="1"/>
    <col min="24" max="27" width="21.1796875" customWidth="1"/>
    <col min="28" max="28" width="23.81640625" customWidth="1"/>
    <col min="29" max="29" width="21.1796875" customWidth="1"/>
    <col min="30" max="31" width="16.1796875" customWidth="1"/>
    <col min="32" max="32" width="21.1796875" customWidth="1"/>
    <col min="33" max="33" width="22.453125" customWidth="1"/>
    <col min="34" max="34" width="21.1796875" customWidth="1"/>
    <col min="35" max="35" width="22.453125" customWidth="1"/>
    <col min="36" max="38" width="21.1796875" customWidth="1"/>
    <col min="39" max="40" width="16.1796875" customWidth="1"/>
    <col min="41" max="43" width="21.1796875" customWidth="1"/>
    <col min="44" max="44" width="21.54296875" customWidth="1"/>
    <col min="45" max="46" width="22" customWidth="1"/>
  </cols>
  <sheetData>
    <row r="1" spans="1:46" ht="40" customHeight="1" x14ac:dyDescent="0.35">
      <c r="A1" s="16"/>
      <c r="B1" s="16"/>
      <c r="C1" s="16"/>
      <c r="D1" s="16"/>
    </row>
    <row r="2" spans="1:46" ht="30" customHeight="1" x14ac:dyDescent="0.45">
      <c r="A2" s="1" t="s">
        <v>191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row>
    <row r="3" spans="1:46" x14ac:dyDescent="0.35">
      <c r="A3" s="3" t="s">
        <v>0</v>
      </c>
    </row>
    <row r="4" spans="1:46" x14ac:dyDescent="0.35">
      <c r="A4" s="3" t="s">
        <v>1</v>
      </c>
    </row>
    <row r="5" spans="1:46" x14ac:dyDescent="0.35">
      <c r="A5" s="4"/>
    </row>
    <row r="6" spans="1:46" x14ac:dyDescent="0.35">
      <c r="A6" s="28" t="s">
        <v>2</v>
      </c>
      <c r="B6" s="28" t="s">
        <v>3</v>
      </c>
      <c r="C6" s="28" t="s">
        <v>4</v>
      </c>
      <c r="D6" s="28" t="s">
        <v>5</v>
      </c>
      <c r="E6" s="18" t="s">
        <v>13</v>
      </c>
      <c r="F6" s="18" t="s">
        <v>150</v>
      </c>
      <c r="G6" s="18" t="s">
        <v>151</v>
      </c>
      <c r="H6" s="18" t="s">
        <v>152</v>
      </c>
      <c r="I6" s="18" t="s">
        <v>153</v>
      </c>
      <c r="J6" s="18" t="s">
        <v>154</v>
      </c>
      <c r="K6" s="18" t="s">
        <v>155</v>
      </c>
      <c r="L6" s="18" t="s">
        <v>156</v>
      </c>
      <c r="M6" s="18" t="s">
        <v>157</v>
      </c>
      <c r="N6" s="18" t="s">
        <v>158</v>
      </c>
      <c r="O6" s="18" t="s">
        <v>159</v>
      </c>
      <c r="P6" s="18" t="s">
        <v>160</v>
      </c>
      <c r="Q6" s="18" t="s">
        <v>161</v>
      </c>
      <c r="R6" s="18" t="s">
        <v>162</v>
      </c>
      <c r="S6" s="18" t="s">
        <v>163</v>
      </c>
      <c r="T6" s="18" t="s">
        <v>164</v>
      </c>
      <c r="U6" s="18" t="s">
        <v>165</v>
      </c>
      <c r="V6" s="18" t="s">
        <v>166</v>
      </c>
      <c r="W6" s="18" t="s">
        <v>167</v>
      </c>
      <c r="X6" s="18" t="s">
        <v>168</v>
      </c>
      <c r="Y6" s="18" t="s">
        <v>169</v>
      </c>
      <c r="Z6" s="18" t="s">
        <v>170</v>
      </c>
      <c r="AA6" s="18" t="s">
        <v>171</v>
      </c>
      <c r="AB6" s="18" t="s">
        <v>172</v>
      </c>
      <c r="AC6" s="18" t="s">
        <v>173</v>
      </c>
      <c r="AD6" s="18" t="s">
        <v>174</v>
      </c>
      <c r="AE6" s="18" t="s">
        <v>175</v>
      </c>
      <c r="AF6" s="18" t="s">
        <v>176</v>
      </c>
      <c r="AG6" s="18" t="s">
        <v>177</v>
      </c>
      <c r="AH6" s="18" t="s">
        <v>178</v>
      </c>
      <c r="AI6" s="18" t="s">
        <v>179</v>
      </c>
      <c r="AJ6" s="18" t="s">
        <v>180</v>
      </c>
      <c r="AK6" s="18" t="s">
        <v>181</v>
      </c>
      <c r="AL6" s="18" t="s">
        <v>182</v>
      </c>
      <c r="AM6" s="18" t="s">
        <v>183</v>
      </c>
      <c r="AN6" s="18" t="s">
        <v>184</v>
      </c>
      <c r="AO6" s="18" t="s">
        <v>185</v>
      </c>
      <c r="AP6" s="18" t="s">
        <v>186</v>
      </c>
      <c r="AQ6" s="18" t="s">
        <v>187</v>
      </c>
      <c r="AR6" s="18" t="s">
        <v>188</v>
      </c>
      <c r="AS6" s="18" t="s">
        <v>189</v>
      </c>
      <c r="AT6" s="18" t="s">
        <v>190</v>
      </c>
    </row>
    <row r="7" spans="1:46" x14ac:dyDescent="0.35">
      <c r="A7" s="28"/>
      <c r="B7" s="28"/>
      <c r="C7" s="28"/>
      <c r="D7" s="2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row>
    <row r="8" spans="1:46" x14ac:dyDescent="0.35">
      <c r="A8" s="28"/>
      <c r="B8" s="28"/>
      <c r="C8" s="28"/>
      <c r="D8" s="2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row>
    <row r="9" spans="1:46" x14ac:dyDescent="0.35">
      <c r="A9" s="28"/>
      <c r="B9" s="28"/>
      <c r="C9" s="28"/>
      <c r="D9" s="2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row>
    <row r="10" spans="1:46" x14ac:dyDescent="0.35">
      <c r="A10" s="5">
        <v>46022</v>
      </c>
      <c r="B10" s="4" t="s">
        <v>48</v>
      </c>
      <c r="C10" s="4" t="s">
        <v>49</v>
      </c>
      <c r="D10" s="4" t="s">
        <v>50</v>
      </c>
      <c r="E10" s="6">
        <v>165</v>
      </c>
      <c r="F10" s="7">
        <v>2.9000000000000001E-2</v>
      </c>
      <c r="G10" s="6">
        <v>60</v>
      </c>
      <c r="H10" s="6">
        <v>2.9000000000000001E-2</v>
      </c>
      <c r="I10" s="6">
        <v>95</v>
      </c>
      <c r="J10" s="6">
        <v>2.7274E-2</v>
      </c>
      <c r="K10" s="8">
        <v>7.3604261011137382</v>
      </c>
      <c r="L10" s="6">
        <v>64.81629670439446</v>
      </c>
      <c r="M10" s="6">
        <v>0</v>
      </c>
      <c r="N10" s="6">
        <v>17.006880697590841</v>
      </c>
      <c r="O10" s="6">
        <v>108.8932019196661</v>
      </c>
      <c r="P10" s="6">
        <v>190.7163793216514</v>
      </c>
      <c r="Q10" s="6">
        <v>70.165377838797298</v>
      </c>
      <c r="R10" s="6">
        <v>36.020068251615442</v>
      </c>
      <c r="S10" s="6">
        <v>56.76693292222761</v>
      </c>
      <c r="T10" s="6">
        <v>50.459204185045088</v>
      </c>
      <c r="U10" s="6">
        <v>213.41158319768539</v>
      </c>
      <c r="V10" s="6">
        <v>404.12796251933679</v>
      </c>
      <c r="W10" s="6">
        <v>164.43149500268811</v>
      </c>
      <c r="X10" s="6">
        <v>422.3216612034812</v>
      </c>
      <c r="Y10" s="6">
        <v>990.88111872550621</v>
      </c>
      <c r="Z10" s="6">
        <v>150.98706524477331</v>
      </c>
      <c r="AA10" s="6">
        <v>1141.868183970279</v>
      </c>
      <c r="AB10" s="6">
        <v>0</v>
      </c>
      <c r="AC10" s="6">
        <v>79.162502616114779</v>
      </c>
      <c r="AD10" s="6">
        <v>0</v>
      </c>
      <c r="AE10" s="6">
        <v>0</v>
      </c>
      <c r="AF10" s="6">
        <v>1221.030686586394</v>
      </c>
      <c r="AG10" s="6">
        <v>45.397860735769598</v>
      </c>
      <c r="AH10" s="6">
        <v>0</v>
      </c>
      <c r="AI10" s="6">
        <v>21.847724897355199</v>
      </c>
      <c r="AJ10" s="6">
        <v>1209.1137696034041</v>
      </c>
      <c r="AK10" s="6">
        <v>0</v>
      </c>
      <c r="AL10" s="6">
        <v>0</v>
      </c>
      <c r="AM10" s="6">
        <v>0</v>
      </c>
      <c r="AN10" s="6">
        <v>0</v>
      </c>
      <c r="AO10" s="6">
        <v>0</v>
      </c>
      <c r="AP10" s="6">
        <v>1209.1137696034041</v>
      </c>
      <c r="AQ10" s="6">
        <v>1207.1496653365989</v>
      </c>
      <c r="AR10" s="6">
        <v>8.148695</v>
      </c>
      <c r="AS10" s="6">
        <v>216.2685466110932</v>
      </c>
      <c r="AT10" s="6">
        <v>65.281481366319866</v>
      </c>
    </row>
    <row r="11" spans="1:46" x14ac:dyDescent="0.35">
      <c r="A11" s="5">
        <v>46022</v>
      </c>
      <c r="B11" s="4" t="s">
        <v>86</v>
      </c>
      <c r="C11" s="4" t="s">
        <v>87</v>
      </c>
      <c r="D11" s="4" t="s">
        <v>88</v>
      </c>
      <c r="E11" s="6">
        <v>3045.8785459999999</v>
      </c>
      <c r="F11" s="7">
        <v>0.1</v>
      </c>
      <c r="G11" s="6">
        <v>75</v>
      </c>
      <c r="H11" s="6">
        <v>2.2839999999999998</v>
      </c>
      <c r="I11" s="6">
        <v>100</v>
      </c>
      <c r="J11" s="6">
        <v>2.2844090000000001</v>
      </c>
      <c r="K11" s="8">
        <v>11.782001796964892</v>
      </c>
      <c r="L11" s="6">
        <v>61.915607624176843</v>
      </c>
      <c r="M11" s="6">
        <v>6.1821791519793168</v>
      </c>
      <c r="N11" s="6">
        <v>65.809075714982782</v>
      </c>
      <c r="O11" s="6">
        <v>493.15308159508021</v>
      </c>
      <c r="P11" s="6">
        <v>627.05994408621916</v>
      </c>
      <c r="Q11" s="6">
        <v>65.240186430030704</v>
      </c>
      <c r="R11" s="6">
        <v>112.1881207983993</v>
      </c>
      <c r="S11" s="6">
        <v>61.398635712499832</v>
      </c>
      <c r="T11" s="6">
        <v>186.93926931064311</v>
      </c>
      <c r="U11" s="6">
        <v>425.76621225157288</v>
      </c>
      <c r="V11" s="6">
        <v>1052.8261563377921</v>
      </c>
      <c r="W11" s="6">
        <v>59.706295061976412</v>
      </c>
      <c r="X11" s="6">
        <v>112.82215650717541</v>
      </c>
      <c r="Y11" s="6">
        <v>1225.354607906944</v>
      </c>
      <c r="Z11" s="6">
        <v>18.88850966520906</v>
      </c>
      <c r="AA11" s="6">
        <v>1244.2431175721531</v>
      </c>
      <c r="AB11" s="6">
        <v>0</v>
      </c>
      <c r="AC11" s="6">
        <v>598.89533200962865</v>
      </c>
      <c r="AD11" s="6">
        <v>0</v>
      </c>
      <c r="AE11" s="6">
        <v>0</v>
      </c>
      <c r="AF11" s="6">
        <v>1843.1384495817811</v>
      </c>
      <c r="AG11" s="6">
        <v>103.8540498940929</v>
      </c>
      <c r="AH11" s="6">
        <v>21.054910453146231</v>
      </c>
      <c r="AI11" s="6">
        <v>187.15479125300891</v>
      </c>
      <c r="AJ11" s="6">
        <v>1556.3068691724011</v>
      </c>
      <c r="AK11" s="6">
        <v>0</v>
      </c>
      <c r="AL11" s="6">
        <v>18.508208667735019</v>
      </c>
      <c r="AM11" s="6">
        <v>0</v>
      </c>
      <c r="AN11" s="6">
        <v>0</v>
      </c>
      <c r="AO11" s="6">
        <v>0</v>
      </c>
      <c r="AP11" s="6">
        <v>1574.8150778401359</v>
      </c>
      <c r="AQ11" s="6">
        <v>1205.995247650352</v>
      </c>
      <c r="AR11" s="6">
        <v>525.86245099999996</v>
      </c>
      <c r="AS11" s="6">
        <v>-19.359360256591319</v>
      </c>
      <c r="AT11" s="6">
        <v>-38.24786992180038</v>
      </c>
    </row>
    <row r="12" spans="1:46" x14ac:dyDescent="0.35">
      <c r="A12" s="5">
        <v>46022</v>
      </c>
      <c r="B12" s="4" t="s">
        <v>89</v>
      </c>
      <c r="C12" s="4" t="s">
        <v>90</v>
      </c>
      <c r="D12" s="4" t="s">
        <v>70</v>
      </c>
      <c r="E12" s="6">
        <v>5600</v>
      </c>
      <c r="F12" s="7">
        <v>0.16769999999999999</v>
      </c>
      <c r="G12" s="6">
        <v>60</v>
      </c>
      <c r="H12" s="6">
        <v>5.6349999999999998</v>
      </c>
      <c r="I12" s="6">
        <v>100</v>
      </c>
      <c r="J12" s="6">
        <v>5.6349130000000001</v>
      </c>
      <c r="K12" s="8">
        <v>15.629156718497969</v>
      </c>
      <c r="L12" s="6">
        <v>122.44317383331131</v>
      </c>
      <c r="M12" s="6">
        <v>7.9258550923115534</v>
      </c>
      <c r="N12" s="6">
        <v>10.03592102110049</v>
      </c>
      <c r="O12" s="6">
        <v>96.688206423135924</v>
      </c>
      <c r="P12" s="6">
        <v>237.09315636985929</v>
      </c>
      <c r="Q12" s="6">
        <v>14.73996926003918</v>
      </c>
      <c r="R12" s="6">
        <v>8.179304236286649</v>
      </c>
      <c r="S12" s="6">
        <v>20.061182439297941</v>
      </c>
      <c r="T12" s="6">
        <v>32.838270016580971</v>
      </c>
      <c r="U12" s="6">
        <v>75.81872595220473</v>
      </c>
      <c r="V12" s="6">
        <v>312.911882322064</v>
      </c>
      <c r="W12" s="6">
        <v>2.587358088882731</v>
      </c>
      <c r="X12" s="6">
        <v>249.99942323865511</v>
      </c>
      <c r="Y12" s="6">
        <v>565.49866364960189</v>
      </c>
      <c r="Z12" s="6">
        <v>78.680641023309789</v>
      </c>
      <c r="AA12" s="6">
        <v>644.17930467291171</v>
      </c>
      <c r="AB12" s="6">
        <v>0</v>
      </c>
      <c r="AC12" s="6">
        <v>127.9664403844515</v>
      </c>
      <c r="AD12" s="6">
        <v>0</v>
      </c>
      <c r="AE12" s="6">
        <v>0</v>
      </c>
      <c r="AF12" s="6">
        <v>772.14574505736323</v>
      </c>
      <c r="AG12" s="6">
        <v>13.94381035319241</v>
      </c>
      <c r="AH12" s="6">
        <v>0</v>
      </c>
      <c r="AI12" s="6">
        <v>30.669974333665319</v>
      </c>
      <c r="AJ12" s="6">
        <v>688.7930893597694</v>
      </c>
      <c r="AK12" s="6">
        <v>0</v>
      </c>
      <c r="AL12" s="6">
        <v>0</v>
      </c>
      <c r="AM12" s="6">
        <v>0</v>
      </c>
      <c r="AN12" s="6">
        <v>0</v>
      </c>
      <c r="AO12" s="6">
        <v>0</v>
      </c>
      <c r="AP12" s="6">
        <v>688.7930893597694</v>
      </c>
      <c r="AQ12" s="6">
        <v>1205.997216691934</v>
      </c>
      <c r="AR12" s="6">
        <v>833.86044100000004</v>
      </c>
      <c r="AS12" s="6">
        <v>640.49855304233245</v>
      </c>
      <c r="AT12" s="6">
        <v>561.81791201902286</v>
      </c>
    </row>
    <row r="13" spans="1:46" x14ac:dyDescent="0.35">
      <c r="A13" s="5">
        <v>46022</v>
      </c>
      <c r="B13" s="4" t="s">
        <v>91</v>
      </c>
      <c r="C13" s="4" t="s">
        <v>92</v>
      </c>
      <c r="D13" s="4" t="s">
        <v>50</v>
      </c>
      <c r="E13" s="6">
        <v>719.05570799999998</v>
      </c>
      <c r="F13" s="7">
        <v>0.09</v>
      </c>
      <c r="G13" s="6">
        <v>65</v>
      </c>
      <c r="H13" s="6">
        <v>0.42099999999999999</v>
      </c>
      <c r="I13" s="6">
        <v>90</v>
      </c>
      <c r="J13" s="6">
        <v>0.378583</v>
      </c>
      <c r="K13" s="8">
        <v>7.7773368503888776</v>
      </c>
      <c r="L13" s="6">
        <v>53.708169041314612</v>
      </c>
      <c r="M13" s="6">
        <v>6.0133377906603984</v>
      </c>
      <c r="N13" s="6">
        <v>0.6232942060563843</v>
      </c>
      <c r="O13" s="6">
        <v>19.669996332495948</v>
      </c>
      <c r="P13" s="6">
        <v>80.014797370527333</v>
      </c>
      <c r="Q13" s="6">
        <v>21.481344613460632</v>
      </c>
      <c r="R13" s="6">
        <v>3.5174808227899681</v>
      </c>
      <c r="S13" s="6">
        <v>29.050056865921071</v>
      </c>
      <c r="T13" s="6">
        <v>30.500577407973768</v>
      </c>
      <c r="U13" s="6">
        <v>84.549459710145442</v>
      </c>
      <c r="V13" s="6">
        <v>164.5642570806728</v>
      </c>
      <c r="W13" s="6">
        <v>7.894668752084721</v>
      </c>
      <c r="X13" s="6">
        <v>610.02739161557702</v>
      </c>
      <c r="Y13" s="6">
        <v>782.48631744833449</v>
      </c>
      <c r="Z13" s="6">
        <v>30.358552663634551</v>
      </c>
      <c r="AA13" s="6">
        <v>812.84487011196904</v>
      </c>
      <c r="AB13" s="6">
        <v>0</v>
      </c>
      <c r="AC13" s="6">
        <v>14.58952943995445</v>
      </c>
      <c r="AD13" s="6">
        <v>0</v>
      </c>
      <c r="AE13" s="6">
        <v>0</v>
      </c>
      <c r="AF13" s="6">
        <v>827.43439955192355</v>
      </c>
      <c r="AG13" s="6">
        <v>19.662920753273429</v>
      </c>
      <c r="AH13" s="6">
        <v>0</v>
      </c>
      <c r="AI13" s="6">
        <v>17.629797286052941</v>
      </c>
      <c r="AJ13" s="6">
        <v>850.13758815129552</v>
      </c>
      <c r="AK13" s="6">
        <v>0</v>
      </c>
      <c r="AL13" s="6">
        <v>0</v>
      </c>
      <c r="AM13" s="6">
        <v>0</v>
      </c>
      <c r="AN13" s="6">
        <v>0</v>
      </c>
      <c r="AO13" s="6">
        <v>0</v>
      </c>
      <c r="AP13" s="6">
        <v>850.13758815129552</v>
      </c>
      <c r="AQ13" s="6">
        <v>1206.054153559739</v>
      </c>
      <c r="AR13" s="6">
        <v>73.156780999999995</v>
      </c>
      <c r="AS13" s="6">
        <v>423.56783611140418</v>
      </c>
      <c r="AT13" s="6">
        <v>393.20928344776962</v>
      </c>
    </row>
    <row r="14" spans="1:46" x14ac:dyDescent="0.35">
      <c r="A14" s="5">
        <v>46022</v>
      </c>
      <c r="B14" s="4" t="s">
        <v>51</v>
      </c>
      <c r="C14" s="4" t="s">
        <v>52</v>
      </c>
      <c r="D14" s="4" t="s">
        <v>53</v>
      </c>
      <c r="E14" s="6">
        <v>684</v>
      </c>
      <c r="F14" s="7">
        <v>0.04</v>
      </c>
      <c r="G14" s="6">
        <v>84.2</v>
      </c>
      <c r="H14" s="6">
        <v>0.23</v>
      </c>
      <c r="I14" s="6">
        <v>75</v>
      </c>
      <c r="J14" s="6">
        <v>0.17277799999999999</v>
      </c>
      <c r="K14" s="8">
        <v>1.9297216131813699</v>
      </c>
      <c r="L14" s="6">
        <v>100.2255309335079</v>
      </c>
      <c r="M14" s="6">
        <v>97.270060054960268</v>
      </c>
      <c r="N14" s="6">
        <v>27.65019435707185</v>
      </c>
      <c r="O14" s="6">
        <v>87.924084800952954</v>
      </c>
      <c r="P14" s="6">
        <v>313.06987014649292</v>
      </c>
      <c r="Q14" s="6">
        <v>45.767012084615978</v>
      </c>
      <c r="R14" s="6">
        <v>23.36632248163761</v>
      </c>
      <c r="S14" s="6">
        <v>40.309124180834161</v>
      </c>
      <c r="T14" s="6">
        <v>64.224940442600627</v>
      </c>
      <c r="U14" s="6">
        <v>173.66739918968841</v>
      </c>
      <c r="V14" s="6">
        <v>486.73726933618133</v>
      </c>
      <c r="W14" s="6">
        <v>22.789658753018958</v>
      </c>
      <c r="X14" s="6">
        <v>150.18386221018139</v>
      </c>
      <c r="Y14" s="6">
        <v>659.71079029938176</v>
      </c>
      <c r="Z14" s="6">
        <v>49.964350767525779</v>
      </c>
      <c r="AA14" s="6">
        <v>709.67514106690749</v>
      </c>
      <c r="AB14" s="6">
        <v>0</v>
      </c>
      <c r="AC14" s="6">
        <v>307.68487614880468</v>
      </c>
      <c r="AD14" s="6">
        <v>0</v>
      </c>
      <c r="AE14" s="6">
        <v>0</v>
      </c>
      <c r="AF14" s="6">
        <v>1017.360017215712</v>
      </c>
      <c r="AG14" s="6">
        <v>47.231131028168413</v>
      </c>
      <c r="AH14" s="6">
        <v>0</v>
      </c>
      <c r="AI14" s="6">
        <v>126.6519767398774</v>
      </c>
      <c r="AJ14" s="6">
        <v>883.55824883495325</v>
      </c>
      <c r="AK14" s="6">
        <v>0</v>
      </c>
      <c r="AL14" s="6">
        <v>0</v>
      </c>
      <c r="AM14" s="6">
        <v>0</v>
      </c>
      <c r="AN14" s="6">
        <v>0</v>
      </c>
      <c r="AO14" s="6">
        <v>0</v>
      </c>
      <c r="AP14" s="6">
        <v>883.55824883495325</v>
      </c>
      <c r="AQ14" s="6">
        <v>1206.1535602058159</v>
      </c>
      <c r="AR14" s="6">
        <v>249.118461</v>
      </c>
      <c r="AS14" s="6">
        <v>546.44276990643391</v>
      </c>
      <c r="AT14" s="6">
        <v>496.47841913890812</v>
      </c>
    </row>
    <row r="15" spans="1:46" x14ac:dyDescent="0.35">
      <c r="A15" s="5">
        <v>46022</v>
      </c>
      <c r="B15" s="4" t="s">
        <v>121</v>
      </c>
      <c r="C15" s="4" t="s">
        <v>122</v>
      </c>
      <c r="D15" s="4" t="s">
        <v>50</v>
      </c>
      <c r="E15" s="6">
        <v>1500</v>
      </c>
      <c r="F15" s="7">
        <v>2.8400000000000002E-2</v>
      </c>
      <c r="G15" s="6">
        <v>60</v>
      </c>
      <c r="H15" s="6">
        <v>0.255</v>
      </c>
      <c r="I15" s="6">
        <v>95</v>
      </c>
      <c r="J15" s="6">
        <v>0.24258099999999999</v>
      </c>
      <c r="K15" s="8">
        <v>0.85032832383585699</v>
      </c>
      <c r="L15" s="6">
        <v>30.678483882099631</v>
      </c>
      <c r="M15" s="6">
        <v>5.6921403222753337</v>
      </c>
      <c r="N15" s="6">
        <v>1.8171060584580889</v>
      </c>
      <c r="O15" s="6">
        <v>10.29256741155074</v>
      </c>
      <c r="P15" s="6">
        <v>48.480297674383792</v>
      </c>
      <c r="Q15" s="6">
        <v>8.1965914343937687</v>
      </c>
      <c r="R15" s="6">
        <v>4.3639790170610571</v>
      </c>
      <c r="S15" s="6">
        <v>5.7369972452348614</v>
      </c>
      <c r="T15" s="6">
        <v>7.6287940872065354</v>
      </c>
      <c r="U15" s="6">
        <v>25.926361783896219</v>
      </c>
      <c r="V15" s="6">
        <v>74.406659458280004</v>
      </c>
      <c r="W15" s="6">
        <v>17.15210356057683</v>
      </c>
      <c r="X15" s="6">
        <v>1008.092400211372</v>
      </c>
      <c r="Y15" s="6">
        <v>1099.651163230229</v>
      </c>
      <c r="Z15" s="6">
        <v>14.31629599422352</v>
      </c>
      <c r="AA15" s="6">
        <v>1113.9674592244521</v>
      </c>
      <c r="AB15" s="6">
        <v>0</v>
      </c>
      <c r="AC15" s="6">
        <v>9.8033102244007342</v>
      </c>
      <c r="AD15" s="6">
        <v>0</v>
      </c>
      <c r="AE15" s="6">
        <v>0</v>
      </c>
      <c r="AF15" s="6">
        <v>1123.7707694488529</v>
      </c>
      <c r="AG15" s="6">
        <v>5.360662257753332</v>
      </c>
      <c r="AH15" s="6">
        <v>3.3580133888656731</v>
      </c>
      <c r="AI15" s="6">
        <v>2.5798192332607139</v>
      </c>
      <c r="AJ15" s="6">
        <v>1125.265954104332</v>
      </c>
      <c r="AK15" s="6">
        <v>0</v>
      </c>
      <c r="AL15" s="6">
        <v>0</v>
      </c>
      <c r="AM15" s="6">
        <v>0</v>
      </c>
      <c r="AN15" s="6">
        <v>0</v>
      </c>
      <c r="AO15" s="6">
        <v>0</v>
      </c>
      <c r="AP15" s="6">
        <v>1125.265954104332</v>
      </c>
      <c r="AQ15" s="6">
        <v>1206.0944581589199</v>
      </c>
      <c r="AR15" s="6">
        <v>150.065946</v>
      </c>
      <c r="AS15" s="6">
        <v>106.4432949286907</v>
      </c>
      <c r="AT15" s="6">
        <v>92.126998934467153</v>
      </c>
    </row>
    <row r="16" spans="1:46" x14ac:dyDescent="0.35">
      <c r="A16" s="5">
        <v>46022</v>
      </c>
      <c r="B16" s="4" t="s">
        <v>54</v>
      </c>
      <c r="C16" s="4" t="s">
        <v>55</v>
      </c>
      <c r="D16" s="4" t="s">
        <v>56</v>
      </c>
      <c r="E16" s="6">
        <v>1434.2857140000001</v>
      </c>
      <c r="F16" s="7">
        <v>0.5857</v>
      </c>
      <c r="G16" s="6">
        <v>31.43</v>
      </c>
      <c r="H16" s="6">
        <v>2.64</v>
      </c>
      <c r="I16" s="6">
        <v>100</v>
      </c>
      <c r="J16" s="6">
        <v>2.6402800000000002</v>
      </c>
      <c r="K16" s="8">
        <v>23.250349545993604</v>
      </c>
      <c r="L16" s="6">
        <v>55.19243776769175</v>
      </c>
      <c r="M16" s="6">
        <v>40.930166807168142</v>
      </c>
      <c r="N16" s="6">
        <v>12.76224539556596</v>
      </c>
      <c r="O16" s="6">
        <v>121.1831128795033</v>
      </c>
      <c r="P16" s="6">
        <v>230.06796284992919</v>
      </c>
      <c r="Q16" s="6">
        <v>43.710097239006437</v>
      </c>
      <c r="R16" s="6">
        <v>89.640502036769135</v>
      </c>
      <c r="S16" s="6">
        <v>148.40123026495411</v>
      </c>
      <c r="T16" s="6">
        <v>72.476988485181266</v>
      </c>
      <c r="U16" s="6">
        <v>354.22881802591098</v>
      </c>
      <c r="V16" s="6">
        <v>584.29678087584023</v>
      </c>
      <c r="W16" s="6">
        <v>5.8171354321871842</v>
      </c>
      <c r="X16" s="6">
        <v>4.4576197660096648</v>
      </c>
      <c r="Y16" s="6">
        <v>594.571536074037</v>
      </c>
      <c r="Z16" s="6">
        <v>60.325807524607001</v>
      </c>
      <c r="AA16" s="6">
        <v>654.89734359864406</v>
      </c>
      <c r="AB16" s="6">
        <v>0</v>
      </c>
      <c r="AC16" s="6">
        <v>73.78099537113458</v>
      </c>
      <c r="AD16" s="6">
        <v>0</v>
      </c>
      <c r="AE16" s="6">
        <v>0</v>
      </c>
      <c r="AF16" s="6">
        <v>728.67833896977857</v>
      </c>
      <c r="AG16" s="6">
        <v>10.64208123908927</v>
      </c>
      <c r="AH16" s="6">
        <v>0</v>
      </c>
      <c r="AI16" s="6">
        <v>42.258126757476766</v>
      </c>
      <c r="AJ16" s="6">
        <v>707.79755159521005</v>
      </c>
      <c r="AK16" s="6">
        <v>0</v>
      </c>
      <c r="AL16" s="6">
        <v>0</v>
      </c>
      <c r="AM16" s="6">
        <v>0</v>
      </c>
      <c r="AN16" s="6">
        <v>0</v>
      </c>
      <c r="AO16" s="6">
        <v>0</v>
      </c>
      <c r="AP16" s="6">
        <v>707.79755159521005</v>
      </c>
      <c r="AQ16" s="6">
        <v>1206.0091343833831</v>
      </c>
      <c r="AR16" s="6">
        <v>301.31555700000001</v>
      </c>
      <c r="AS16" s="6">
        <v>611.43759830934584</v>
      </c>
      <c r="AT16" s="6">
        <v>551.11179078473879</v>
      </c>
    </row>
    <row r="17" spans="1:46" x14ac:dyDescent="0.35">
      <c r="A17" s="5">
        <v>46022</v>
      </c>
      <c r="B17" s="4" t="s">
        <v>57</v>
      </c>
      <c r="C17" s="4" t="s">
        <v>58</v>
      </c>
      <c r="D17" s="4" t="s">
        <v>59</v>
      </c>
      <c r="E17" s="6">
        <v>2296.2963869999999</v>
      </c>
      <c r="F17" s="7">
        <v>0.12</v>
      </c>
      <c r="G17" s="6">
        <v>72</v>
      </c>
      <c r="H17" s="6">
        <v>1.984</v>
      </c>
      <c r="I17" s="6">
        <v>90</v>
      </c>
      <c r="J17" s="6">
        <v>1.7856000000000001</v>
      </c>
      <c r="K17" s="8">
        <v>7.4904566535965742</v>
      </c>
      <c r="L17" s="6">
        <v>57.04040544859263</v>
      </c>
      <c r="M17" s="6">
        <v>44.448093890911053</v>
      </c>
      <c r="N17" s="6">
        <v>16.77503564536428</v>
      </c>
      <c r="O17" s="6">
        <v>211.56306115339731</v>
      </c>
      <c r="P17" s="6">
        <v>329.8265961382653</v>
      </c>
      <c r="Q17" s="6">
        <v>58.015290942564441</v>
      </c>
      <c r="R17" s="6">
        <v>371.99620668289572</v>
      </c>
      <c r="S17" s="6">
        <v>91.6829882223401</v>
      </c>
      <c r="T17" s="6">
        <v>129.32985600412059</v>
      </c>
      <c r="U17" s="6">
        <v>651.02434185192089</v>
      </c>
      <c r="V17" s="6">
        <v>980.85093799018625</v>
      </c>
      <c r="W17" s="6">
        <v>6.0782627064968171</v>
      </c>
      <c r="X17" s="6">
        <v>393.506531</v>
      </c>
      <c r="Y17" s="6">
        <v>1380.435731696683</v>
      </c>
      <c r="Z17" s="6">
        <v>0</v>
      </c>
      <c r="AA17" s="6">
        <v>1380.435731696683</v>
      </c>
      <c r="AB17" s="6">
        <v>0</v>
      </c>
      <c r="AC17" s="6">
        <v>268.63107205823121</v>
      </c>
      <c r="AD17" s="6">
        <v>0</v>
      </c>
      <c r="AE17" s="6">
        <v>0</v>
      </c>
      <c r="AF17" s="6">
        <v>1649.066803754914</v>
      </c>
      <c r="AG17" s="6">
        <v>30.351395422753271</v>
      </c>
      <c r="AH17" s="6">
        <v>0</v>
      </c>
      <c r="AI17" s="6">
        <v>137.25675533451559</v>
      </c>
      <c r="AJ17" s="6">
        <v>1548.0438824539519</v>
      </c>
      <c r="AK17" s="6">
        <v>0</v>
      </c>
      <c r="AL17" s="6">
        <v>0</v>
      </c>
      <c r="AM17" s="6">
        <v>0</v>
      </c>
      <c r="AN17" s="6">
        <v>0</v>
      </c>
      <c r="AO17" s="6">
        <v>0</v>
      </c>
      <c r="AP17" s="6">
        <v>1548.0438824539519</v>
      </c>
      <c r="AQ17" s="6">
        <v>1205.9999989886601</v>
      </c>
      <c r="AR17" s="6">
        <v>576.45222899999999</v>
      </c>
      <c r="AS17" s="6">
        <v>-174.43573270802329</v>
      </c>
      <c r="AT17" s="6">
        <v>-174.43573270802329</v>
      </c>
    </row>
    <row r="18" spans="1:46" x14ac:dyDescent="0.35">
      <c r="A18" s="5">
        <v>46022</v>
      </c>
      <c r="B18" s="4" t="s">
        <v>60</v>
      </c>
      <c r="C18" s="4" t="s">
        <v>61</v>
      </c>
      <c r="D18" s="4" t="s">
        <v>62</v>
      </c>
      <c r="E18" s="6">
        <v>4540</v>
      </c>
      <c r="F18" s="7">
        <v>4.1999999999999997E-3</v>
      </c>
      <c r="G18" s="6">
        <v>40</v>
      </c>
      <c r="H18" s="6">
        <v>7.6999999999999999E-2</v>
      </c>
      <c r="I18" s="6">
        <v>95</v>
      </c>
      <c r="J18" s="6">
        <v>7.2811000000000001E-2</v>
      </c>
      <c r="K18" s="8">
        <v>0.30876868363650301</v>
      </c>
      <c r="L18" s="6">
        <v>542.54511435463439</v>
      </c>
      <c r="M18" s="6">
        <v>6.1819758230880666</v>
      </c>
      <c r="N18" s="6">
        <v>152.6235407252322</v>
      </c>
      <c r="O18" s="6">
        <v>225.19505485510021</v>
      </c>
      <c r="P18" s="6">
        <v>926.5456857580549</v>
      </c>
      <c r="Q18" s="6">
        <v>30.881628225779011</v>
      </c>
      <c r="R18" s="6">
        <v>16.139073930538661</v>
      </c>
      <c r="S18" s="6">
        <v>57.88978439304843</v>
      </c>
      <c r="T18" s="6">
        <v>70.267830918950494</v>
      </c>
      <c r="U18" s="6">
        <v>175.17831746831661</v>
      </c>
      <c r="V18" s="6">
        <v>1101.724003226371</v>
      </c>
      <c r="W18" s="6">
        <v>0.92830827003759553</v>
      </c>
      <c r="X18" s="6">
        <v>0</v>
      </c>
      <c r="Y18" s="6">
        <v>1102.6523114964091</v>
      </c>
      <c r="Z18" s="6">
        <v>17.21886305025469</v>
      </c>
      <c r="AA18" s="6">
        <v>1119.871174546664</v>
      </c>
      <c r="AB18" s="6">
        <v>0</v>
      </c>
      <c r="AC18" s="6">
        <v>270.33681522877163</v>
      </c>
      <c r="AD18" s="6">
        <v>0</v>
      </c>
      <c r="AE18" s="6">
        <v>0</v>
      </c>
      <c r="AF18" s="6">
        <v>1390.207989775435</v>
      </c>
      <c r="AG18" s="6">
        <v>6.2948658542014782</v>
      </c>
      <c r="AH18" s="6">
        <v>0</v>
      </c>
      <c r="AI18" s="6">
        <v>165.25860485039931</v>
      </c>
      <c r="AJ18" s="6">
        <v>1291.424645251265</v>
      </c>
      <c r="AK18" s="6">
        <v>0</v>
      </c>
      <c r="AL18" s="6">
        <v>0</v>
      </c>
      <c r="AM18" s="6">
        <v>0</v>
      </c>
      <c r="AN18" s="6">
        <v>0</v>
      </c>
      <c r="AO18" s="6">
        <v>0</v>
      </c>
      <c r="AP18" s="6">
        <v>1291.424645251265</v>
      </c>
      <c r="AQ18" s="6">
        <v>1205.817801243966</v>
      </c>
      <c r="AR18" s="6">
        <v>653.03340300000002</v>
      </c>
      <c r="AS18" s="6">
        <v>103.1654897475572</v>
      </c>
      <c r="AT18" s="6">
        <v>85.946626697302463</v>
      </c>
    </row>
    <row r="19" spans="1:46" x14ac:dyDescent="0.35">
      <c r="A19" s="5">
        <v>46022</v>
      </c>
      <c r="B19" s="4" t="s">
        <v>101</v>
      </c>
      <c r="C19" s="4" t="s">
        <v>102</v>
      </c>
      <c r="D19" s="4" t="s">
        <v>50</v>
      </c>
      <c r="E19" s="6">
        <v>13500</v>
      </c>
      <c r="F19" s="7">
        <v>0.03</v>
      </c>
      <c r="G19" s="6">
        <v>75</v>
      </c>
      <c r="H19" s="6">
        <v>3.0369999999999999</v>
      </c>
      <c r="I19" s="6">
        <v>95</v>
      </c>
      <c r="J19" s="6">
        <v>2.8856250000000001</v>
      </c>
      <c r="K19" s="8">
        <v>1.0977968054403271</v>
      </c>
      <c r="L19" s="6">
        <v>77.955752190260355</v>
      </c>
      <c r="M19" s="6">
        <v>2.0104970797934532</v>
      </c>
      <c r="N19" s="6">
        <v>4.1901977533534129</v>
      </c>
      <c r="O19" s="6">
        <v>16.290286119897932</v>
      </c>
      <c r="P19" s="6">
        <v>100.4467331433052</v>
      </c>
      <c r="Q19" s="6">
        <v>2.642559815964026</v>
      </c>
      <c r="R19" s="6">
        <v>1.639058476961188</v>
      </c>
      <c r="S19" s="6">
        <v>5.5289240446611974</v>
      </c>
      <c r="T19" s="6">
        <v>4.2806165644127177</v>
      </c>
      <c r="U19" s="6">
        <v>14.09115890199913</v>
      </c>
      <c r="V19" s="6">
        <v>114.5378920453043</v>
      </c>
      <c r="W19" s="6">
        <v>2.7973858304811312</v>
      </c>
      <c r="X19" s="6">
        <v>700.80974438799217</v>
      </c>
      <c r="Y19" s="6">
        <v>818.14502226377761</v>
      </c>
      <c r="Z19" s="6">
        <v>8.4066841243532835</v>
      </c>
      <c r="AA19" s="6">
        <v>826.55170638813092</v>
      </c>
      <c r="AB19" s="6">
        <v>0</v>
      </c>
      <c r="AC19" s="6">
        <v>41.577277719413971</v>
      </c>
      <c r="AD19" s="6">
        <v>0</v>
      </c>
      <c r="AE19" s="6">
        <v>0</v>
      </c>
      <c r="AF19" s="6">
        <v>868.12898410754485</v>
      </c>
      <c r="AG19" s="6">
        <v>6.0397077427840182</v>
      </c>
      <c r="AH19" s="6">
        <v>0</v>
      </c>
      <c r="AI19" s="6">
        <v>31.06134844814348</v>
      </c>
      <c r="AJ19" s="6">
        <v>863.65276257905839</v>
      </c>
      <c r="AK19" s="6">
        <v>0</v>
      </c>
      <c r="AL19" s="6">
        <v>0</v>
      </c>
      <c r="AM19" s="6">
        <v>0</v>
      </c>
      <c r="AN19" s="6">
        <v>0</v>
      </c>
      <c r="AO19" s="6">
        <v>0</v>
      </c>
      <c r="AP19" s="6">
        <v>863.65276257905839</v>
      </c>
      <c r="AQ19" s="6">
        <v>1205.989550645588</v>
      </c>
      <c r="AR19" s="6">
        <v>3184.5192280000001</v>
      </c>
      <c r="AS19" s="6">
        <v>387.8445283818109</v>
      </c>
      <c r="AT19" s="6">
        <v>379.43784425745758</v>
      </c>
    </row>
    <row r="20" spans="1:46" x14ac:dyDescent="0.35">
      <c r="A20" s="5">
        <v>46022</v>
      </c>
      <c r="B20" s="4" t="s">
        <v>93</v>
      </c>
      <c r="C20" s="4" t="s">
        <v>94</v>
      </c>
      <c r="D20" s="4" t="s">
        <v>50</v>
      </c>
      <c r="E20" s="6">
        <v>1000</v>
      </c>
      <c r="F20" s="7">
        <v>2.5999999999999999E-2</v>
      </c>
      <c r="G20" s="6">
        <v>70</v>
      </c>
      <c r="H20" s="6">
        <v>0.182</v>
      </c>
      <c r="I20" s="6">
        <v>95</v>
      </c>
      <c r="J20" s="6">
        <v>0.172925</v>
      </c>
      <c r="K20" s="8">
        <v>2.1080498652281059</v>
      </c>
      <c r="L20" s="6">
        <v>56.439423395003921</v>
      </c>
      <c r="M20" s="6">
        <v>3.2431181912149172</v>
      </c>
      <c r="N20" s="6">
        <v>7.6232254867486189</v>
      </c>
      <c r="O20" s="6">
        <v>28.445115014059599</v>
      </c>
      <c r="P20" s="6">
        <v>95.750882087027065</v>
      </c>
      <c r="Q20" s="6">
        <v>18.19792474936019</v>
      </c>
      <c r="R20" s="6">
        <v>8.1890575664284047</v>
      </c>
      <c r="S20" s="6">
        <v>20.01249236397226</v>
      </c>
      <c r="T20" s="6">
        <v>46.637112098833839</v>
      </c>
      <c r="U20" s="6">
        <v>93.036586778594696</v>
      </c>
      <c r="V20" s="6">
        <v>188.7874688656218</v>
      </c>
      <c r="W20" s="6">
        <v>2.0993625102192208</v>
      </c>
      <c r="X20" s="6">
        <v>609.91181147896486</v>
      </c>
      <c r="Y20" s="6">
        <v>800.79864285480585</v>
      </c>
      <c r="Z20" s="6">
        <v>17.120356109103149</v>
      </c>
      <c r="AA20" s="6">
        <v>817.91899896390896</v>
      </c>
      <c r="AB20" s="6">
        <v>0</v>
      </c>
      <c r="AC20" s="6">
        <v>23.30352400074441</v>
      </c>
      <c r="AD20" s="6">
        <v>0</v>
      </c>
      <c r="AE20" s="6">
        <v>0</v>
      </c>
      <c r="AF20" s="6">
        <v>841.22252296465342</v>
      </c>
      <c r="AG20" s="6">
        <v>15.750363288220321</v>
      </c>
      <c r="AH20" s="6">
        <v>8.4405133006136115</v>
      </c>
      <c r="AI20" s="6">
        <v>9.4965389115857288</v>
      </c>
      <c r="AJ20" s="6">
        <v>851.60641446432874</v>
      </c>
      <c r="AK20" s="6">
        <v>0</v>
      </c>
      <c r="AL20" s="6">
        <v>0</v>
      </c>
      <c r="AM20" s="6">
        <v>0</v>
      </c>
      <c r="AN20" s="6">
        <v>0</v>
      </c>
      <c r="AO20" s="6">
        <v>0</v>
      </c>
      <c r="AP20" s="6">
        <v>851.60641446432874</v>
      </c>
      <c r="AQ20" s="6">
        <v>1205.825645945579</v>
      </c>
      <c r="AR20" s="6">
        <v>126.216853</v>
      </c>
      <c r="AS20" s="6">
        <v>405.02700309077329</v>
      </c>
      <c r="AT20" s="6">
        <v>387.90664698167012</v>
      </c>
    </row>
    <row r="21" spans="1:46" x14ac:dyDescent="0.35">
      <c r="A21" s="5">
        <v>46022</v>
      </c>
      <c r="B21" s="4" t="s">
        <v>95</v>
      </c>
      <c r="C21" s="4" t="s">
        <v>96</v>
      </c>
      <c r="D21" s="4" t="s">
        <v>56</v>
      </c>
      <c r="E21" s="6">
        <v>2100</v>
      </c>
      <c r="F21" s="7">
        <v>0.55000000000000004</v>
      </c>
      <c r="G21" s="6">
        <v>68</v>
      </c>
      <c r="H21" s="6">
        <v>7.8540000000000001</v>
      </c>
      <c r="I21" s="6">
        <v>100</v>
      </c>
      <c r="J21" s="6">
        <v>7.8540000000000001</v>
      </c>
      <c r="K21" s="8">
        <v>21.751121402745795</v>
      </c>
      <c r="L21" s="6">
        <v>8.2838745795907016</v>
      </c>
      <c r="M21" s="6">
        <v>12.250491304880409</v>
      </c>
      <c r="N21" s="6">
        <v>3.8794147965918029</v>
      </c>
      <c r="O21" s="6">
        <v>42.298884122175487</v>
      </c>
      <c r="P21" s="6">
        <v>66.712664803238397</v>
      </c>
      <c r="Q21" s="6">
        <v>12.264390958870891</v>
      </c>
      <c r="R21" s="6">
        <v>5.5099215032528566</v>
      </c>
      <c r="S21" s="6">
        <v>15.39889879103653</v>
      </c>
      <c r="T21" s="6">
        <v>15.01744047509855</v>
      </c>
      <c r="U21" s="6">
        <v>48.190651728258828</v>
      </c>
      <c r="V21" s="6">
        <v>114.9033165314972</v>
      </c>
      <c r="W21" s="6">
        <v>6.2324977454403019</v>
      </c>
      <c r="X21" s="6">
        <v>483.71054620834741</v>
      </c>
      <c r="Y21" s="6">
        <v>604.84636048528489</v>
      </c>
      <c r="Z21" s="6">
        <v>71.929004787609585</v>
      </c>
      <c r="AA21" s="6">
        <v>676.77536527289453</v>
      </c>
      <c r="AB21" s="6">
        <v>3.8942245626769331E-2</v>
      </c>
      <c r="AC21" s="6">
        <v>31.049977772473479</v>
      </c>
      <c r="AD21" s="6">
        <v>0</v>
      </c>
      <c r="AE21" s="6">
        <v>0</v>
      </c>
      <c r="AF21" s="6">
        <v>707.86428529099476</v>
      </c>
      <c r="AG21" s="6">
        <v>0.98768530118792841</v>
      </c>
      <c r="AH21" s="6">
        <v>2.6882548111006659</v>
      </c>
      <c r="AI21" s="6">
        <v>0.62809605558228176</v>
      </c>
      <c r="AJ21" s="6">
        <v>681.11834368639222</v>
      </c>
      <c r="AK21" s="6">
        <v>0</v>
      </c>
      <c r="AL21" s="6">
        <v>0</v>
      </c>
      <c r="AM21" s="6">
        <v>0</v>
      </c>
      <c r="AN21" s="6">
        <v>0</v>
      </c>
      <c r="AO21" s="6">
        <v>0</v>
      </c>
      <c r="AP21" s="6">
        <v>681.11834368639222</v>
      </c>
      <c r="AQ21" s="6">
        <v>1205.9999989886601</v>
      </c>
      <c r="AR21" s="6">
        <v>682.37814400000002</v>
      </c>
      <c r="AS21" s="6">
        <v>601.15363850337485</v>
      </c>
      <c r="AT21" s="6">
        <v>529.22463371576521</v>
      </c>
    </row>
    <row r="22" spans="1:46" x14ac:dyDescent="0.35">
      <c r="A22" s="5">
        <v>46022</v>
      </c>
      <c r="B22" s="4" t="s">
        <v>63</v>
      </c>
      <c r="C22" s="4" t="s">
        <v>64</v>
      </c>
      <c r="D22" s="4" t="s">
        <v>56</v>
      </c>
      <c r="E22" s="6">
        <v>8450</v>
      </c>
      <c r="F22" s="7">
        <v>0.58260000000000001</v>
      </c>
      <c r="G22" s="6">
        <v>45</v>
      </c>
      <c r="H22" s="6">
        <v>22.152999999999999</v>
      </c>
      <c r="I22" s="6">
        <v>100</v>
      </c>
      <c r="J22" s="6">
        <v>22.152958000000002</v>
      </c>
      <c r="K22" s="8">
        <v>26.245287211490684</v>
      </c>
      <c r="L22" s="6">
        <v>43.689727152280973</v>
      </c>
      <c r="M22" s="6">
        <v>48.436653607400707</v>
      </c>
      <c r="N22" s="6">
        <v>11.44417452754128</v>
      </c>
      <c r="O22" s="6">
        <v>86.788133606061464</v>
      </c>
      <c r="P22" s="6">
        <v>190.35868889328441</v>
      </c>
      <c r="Q22" s="6">
        <v>9.8695125868319611</v>
      </c>
      <c r="R22" s="6">
        <v>60.194931354520058</v>
      </c>
      <c r="S22" s="6">
        <v>150.55757158735909</v>
      </c>
      <c r="T22" s="6">
        <v>108.0559530771548</v>
      </c>
      <c r="U22" s="6">
        <v>328.677968605866</v>
      </c>
      <c r="V22" s="6">
        <v>519.03665749915035</v>
      </c>
      <c r="W22" s="6">
        <v>39.311342282415907</v>
      </c>
      <c r="X22" s="6">
        <v>183.13037604793141</v>
      </c>
      <c r="Y22" s="6">
        <v>741.47837582949762</v>
      </c>
      <c r="Z22" s="6">
        <v>73.044972982962008</v>
      </c>
      <c r="AA22" s="6">
        <v>814.52334881245974</v>
      </c>
      <c r="AB22" s="6">
        <v>2.5285508975688291</v>
      </c>
      <c r="AC22" s="6">
        <v>292.88221225770809</v>
      </c>
      <c r="AD22" s="6">
        <v>0</v>
      </c>
      <c r="AE22" s="6">
        <v>0</v>
      </c>
      <c r="AF22" s="6">
        <v>1109.934111967737</v>
      </c>
      <c r="AG22" s="6">
        <v>5.1735895342782952</v>
      </c>
      <c r="AH22" s="6">
        <v>0</v>
      </c>
      <c r="AI22" s="6">
        <v>176.19140401426171</v>
      </c>
      <c r="AJ22" s="6">
        <v>998.41689325856851</v>
      </c>
      <c r="AK22" s="6">
        <v>0</v>
      </c>
      <c r="AL22" s="6">
        <v>0</v>
      </c>
      <c r="AM22" s="6">
        <v>0</v>
      </c>
      <c r="AN22" s="6">
        <v>0</v>
      </c>
      <c r="AO22" s="6">
        <v>0</v>
      </c>
      <c r="AP22" s="6">
        <v>998.41689325856851</v>
      </c>
      <c r="AQ22" s="6">
        <v>1206.0022854553231</v>
      </c>
      <c r="AR22" s="6">
        <v>1977.91065</v>
      </c>
      <c r="AS22" s="6">
        <v>464.52390962582513</v>
      </c>
      <c r="AT22" s="6">
        <v>391.47893664286312</v>
      </c>
    </row>
    <row r="23" spans="1:46" x14ac:dyDescent="0.35">
      <c r="A23" s="5">
        <v>46022</v>
      </c>
      <c r="B23" s="4" t="s">
        <v>65</v>
      </c>
      <c r="C23" s="4" t="s">
        <v>66</v>
      </c>
      <c r="D23" s="4" t="s">
        <v>67</v>
      </c>
      <c r="E23" s="6">
        <v>10033.333333</v>
      </c>
      <c r="F23" s="7">
        <v>1.06E-2</v>
      </c>
      <c r="G23" s="6">
        <v>48.69</v>
      </c>
      <c r="H23" s="6">
        <v>0.52</v>
      </c>
      <c r="I23" s="6">
        <v>50</v>
      </c>
      <c r="J23" s="6">
        <v>0.26</v>
      </c>
      <c r="K23" s="8">
        <v>0.706554433263203</v>
      </c>
      <c r="L23" s="6">
        <v>9.7574310714576313</v>
      </c>
      <c r="M23" s="6">
        <v>5.1793394696280322</v>
      </c>
      <c r="N23" s="6">
        <v>0.53882890268933725</v>
      </c>
      <c r="O23" s="6">
        <v>13.47779679906272</v>
      </c>
      <c r="P23" s="6">
        <v>28.953396242837719</v>
      </c>
      <c r="Q23" s="6">
        <v>4.1817738413935039</v>
      </c>
      <c r="R23" s="6">
        <v>10.94486314557186</v>
      </c>
      <c r="S23" s="6">
        <v>14.396160712900841</v>
      </c>
      <c r="T23" s="6">
        <v>6.7074477499826308</v>
      </c>
      <c r="U23" s="6">
        <v>36.230245449848837</v>
      </c>
      <c r="V23" s="6">
        <v>65.18364169268655</v>
      </c>
      <c r="W23" s="6">
        <v>40.638734658771263</v>
      </c>
      <c r="X23" s="6">
        <v>709.42429480348744</v>
      </c>
      <c r="Y23" s="6">
        <v>815.24667115494515</v>
      </c>
      <c r="Z23" s="6">
        <v>0</v>
      </c>
      <c r="AA23" s="6">
        <v>815.24667115494515</v>
      </c>
      <c r="AB23" s="6">
        <v>0</v>
      </c>
      <c r="AC23" s="6">
        <v>10.46124293324254</v>
      </c>
      <c r="AD23" s="6">
        <v>0</v>
      </c>
      <c r="AE23" s="6">
        <v>0</v>
      </c>
      <c r="AF23" s="6">
        <v>825.70791408818775</v>
      </c>
      <c r="AG23" s="6">
        <v>8.0121982911118934</v>
      </c>
      <c r="AH23" s="6">
        <v>0</v>
      </c>
      <c r="AI23" s="6">
        <v>138.09459543489831</v>
      </c>
      <c r="AJ23" s="6">
        <v>961.35346488095536</v>
      </c>
      <c r="AK23" s="6">
        <v>13.11612051302142</v>
      </c>
      <c r="AL23" s="6">
        <v>0</v>
      </c>
      <c r="AM23" s="6">
        <v>0</v>
      </c>
      <c r="AN23" s="6">
        <v>0</v>
      </c>
      <c r="AO23" s="6">
        <v>0</v>
      </c>
      <c r="AP23" s="6">
        <v>974.46958539397679</v>
      </c>
      <c r="AQ23" s="6">
        <v>1205.9999989886601</v>
      </c>
      <c r="AR23" s="6">
        <v>456.94987500000002</v>
      </c>
      <c r="AS23" s="6">
        <v>390.75332783371448</v>
      </c>
      <c r="AT23" s="6">
        <v>390.75332783371448</v>
      </c>
    </row>
    <row r="24" spans="1:46" x14ac:dyDescent="0.35">
      <c r="A24" s="5">
        <v>46022</v>
      </c>
      <c r="B24" s="4" t="s">
        <v>97</v>
      </c>
      <c r="C24" s="4" t="s">
        <v>98</v>
      </c>
      <c r="D24" s="4" t="s">
        <v>56</v>
      </c>
      <c r="E24" s="6">
        <v>7673.1501129999997</v>
      </c>
      <c r="F24" s="7">
        <v>1.1200000000000001</v>
      </c>
      <c r="G24" s="6">
        <v>72</v>
      </c>
      <c r="H24" s="6">
        <v>61.875999999999998</v>
      </c>
      <c r="I24" s="6">
        <v>63</v>
      </c>
      <c r="J24" s="6">
        <v>38.982058000000002</v>
      </c>
      <c r="K24" s="8">
        <v>29.542435700449072</v>
      </c>
      <c r="L24" s="6">
        <v>11.12497187545171</v>
      </c>
      <c r="M24" s="6">
        <v>11.360711271361779</v>
      </c>
      <c r="N24" s="6">
        <v>1.41457353446179</v>
      </c>
      <c r="O24" s="6">
        <v>20.538449992906809</v>
      </c>
      <c r="P24" s="6">
        <v>44.4387066741821</v>
      </c>
      <c r="Q24" s="6">
        <v>6.9427090553669073</v>
      </c>
      <c r="R24" s="6">
        <v>116.2905626333494</v>
      </c>
      <c r="S24" s="6">
        <v>13.60062590812672</v>
      </c>
      <c r="T24" s="6">
        <v>9.0910436819946892</v>
      </c>
      <c r="U24" s="6">
        <v>145.92494127883779</v>
      </c>
      <c r="V24" s="6">
        <v>190.36364795301989</v>
      </c>
      <c r="W24" s="6">
        <v>0</v>
      </c>
      <c r="X24" s="6">
        <v>415.42962592346379</v>
      </c>
      <c r="Y24" s="6">
        <v>605.79327387648368</v>
      </c>
      <c r="Z24" s="6">
        <v>80.737318969494169</v>
      </c>
      <c r="AA24" s="6">
        <v>686.53059284597794</v>
      </c>
      <c r="AB24" s="6">
        <v>5.2419400762072108</v>
      </c>
      <c r="AC24" s="6">
        <v>28.177665645532539</v>
      </c>
      <c r="AD24" s="6">
        <v>0</v>
      </c>
      <c r="AE24" s="6">
        <v>0</v>
      </c>
      <c r="AF24" s="6">
        <v>719.95019856771762</v>
      </c>
      <c r="AG24" s="6">
        <v>2.1437371624092041</v>
      </c>
      <c r="AH24" s="6">
        <v>0</v>
      </c>
      <c r="AI24" s="6">
        <v>0.75010411471235738</v>
      </c>
      <c r="AJ24" s="6">
        <v>694.66637419930657</v>
      </c>
      <c r="AK24" s="6">
        <v>31.969085978229881</v>
      </c>
      <c r="AL24" s="6">
        <v>0</v>
      </c>
      <c r="AM24" s="6">
        <v>0</v>
      </c>
      <c r="AN24" s="6">
        <v>0</v>
      </c>
      <c r="AO24" s="6">
        <v>0</v>
      </c>
      <c r="AP24" s="6">
        <v>726.63546017753652</v>
      </c>
      <c r="AQ24" s="6">
        <v>1206.0012983556651</v>
      </c>
      <c r="AR24" s="6">
        <v>2656.8439079999998</v>
      </c>
      <c r="AS24" s="6">
        <v>600.20802447918106</v>
      </c>
      <c r="AT24" s="6">
        <v>519.47070550968692</v>
      </c>
    </row>
    <row r="25" spans="1:46" x14ac:dyDescent="0.35">
      <c r="A25" s="5">
        <v>46022</v>
      </c>
      <c r="B25" s="4" t="s">
        <v>99</v>
      </c>
      <c r="C25" s="4" t="s">
        <v>100</v>
      </c>
      <c r="D25" s="4" t="s">
        <v>56</v>
      </c>
      <c r="E25" s="6">
        <v>4039.5137890000001</v>
      </c>
      <c r="F25" s="7">
        <v>6.1600000000000002E-2</v>
      </c>
      <c r="G25" s="6">
        <v>9.77</v>
      </c>
      <c r="H25" s="6">
        <v>0.24299999999999999</v>
      </c>
      <c r="I25" s="6">
        <v>70</v>
      </c>
      <c r="J25" s="6">
        <v>0.1701</v>
      </c>
      <c r="K25" s="8">
        <v>0.38386904494497398</v>
      </c>
      <c r="L25" s="6">
        <v>25.079227651504809</v>
      </c>
      <c r="M25" s="6">
        <v>61.704966388066751</v>
      </c>
      <c r="N25" s="6">
        <v>9.1651047074636693</v>
      </c>
      <c r="O25" s="6">
        <v>111.0291808204436</v>
      </c>
      <c r="P25" s="6">
        <v>206.97847956747881</v>
      </c>
      <c r="Q25" s="6">
        <v>14.6468088778769</v>
      </c>
      <c r="R25" s="6">
        <v>13.62771777586711</v>
      </c>
      <c r="S25" s="6">
        <v>37.574642655603917</v>
      </c>
      <c r="T25" s="6">
        <v>48.789672915716181</v>
      </c>
      <c r="U25" s="6">
        <v>114.6388422250641</v>
      </c>
      <c r="V25" s="6">
        <v>321.6173217925429</v>
      </c>
      <c r="W25" s="6">
        <v>13.093221099384801</v>
      </c>
      <c r="X25" s="6">
        <v>250</v>
      </c>
      <c r="Y25" s="6">
        <v>584.71054289192773</v>
      </c>
      <c r="Z25" s="6">
        <v>35.558523558759397</v>
      </c>
      <c r="AA25" s="6">
        <v>620.26906645068709</v>
      </c>
      <c r="AB25" s="6">
        <v>0</v>
      </c>
      <c r="AC25" s="6">
        <v>54.121186273135613</v>
      </c>
      <c r="AD25" s="6">
        <v>0</v>
      </c>
      <c r="AE25" s="6">
        <v>0</v>
      </c>
      <c r="AF25" s="6">
        <v>674.39025272382275</v>
      </c>
      <c r="AG25" s="6">
        <v>5.0033281130581111</v>
      </c>
      <c r="AH25" s="6">
        <v>0</v>
      </c>
      <c r="AI25" s="6">
        <v>12.19819663927391</v>
      </c>
      <c r="AJ25" s="6">
        <v>637.47059120301913</v>
      </c>
      <c r="AK25" s="6">
        <v>0</v>
      </c>
      <c r="AL25" s="6">
        <v>0</v>
      </c>
      <c r="AM25" s="6">
        <v>0</v>
      </c>
      <c r="AN25" s="6">
        <v>0</v>
      </c>
      <c r="AO25" s="6">
        <v>0</v>
      </c>
      <c r="AP25" s="6">
        <v>637.47059120301913</v>
      </c>
      <c r="AQ25" s="6">
        <v>1205.9999989886601</v>
      </c>
      <c r="AR25" s="6">
        <v>992.50215700000001</v>
      </c>
      <c r="AS25" s="6">
        <v>621.28945609673201</v>
      </c>
      <c r="AT25" s="6">
        <v>585.73093253797265</v>
      </c>
    </row>
    <row r="26" spans="1:46" x14ac:dyDescent="0.35">
      <c r="A26" s="5">
        <v>46022</v>
      </c>
      <c r="B26" s="4" t="s">
        <v>103</v>
      </c>
      <c r="C26" s="4" t="s">
        <v>104</v>
      </c>
      <c r="D26" s="4" t="s">
        <v>80</v>
      </c>
      <c r="E26" s="6">
        <v>880</v>
      </c>
      <c r="F26" s="7">
        <v>0.03</v>
      </c>
      <c r="G26" s="6">
        <v>44.5</v>
      </c>
      <c r="H26" s="6">
        <v>0.11700000000000001</v>
      </c>
      <c r="I26" s="6">
        <v>100</v>
      </c>
      <c r="J26" s="6">
        <v>0.11748</v>
      </c>
      <c r="K26" s="8">
        <v>0.57146840577745195</v>
      </c>
      <c r="L26" s="6">
        <v>72.63533304695423</v>
      </c>
      <c r="M26" s="6">
        <v>5.4744983826075853</v>
      </c>
      <c r="N26" s="6">
        <v>15.28844947483034</v>
      </c>
      <c r="O26" s="6">
        <v>184.81836623030219</v>
      </c>
      <c r="P26" s="6">
        <v>278.21664713469443</v>
      </c>
      <c r="Q26" s="6">
        <v>31.352409475981069</v>
      </c>
      <c r="R26" s="6">
        <v>21.433394211365059</v>
      </c>
      <c r="S26" s="6">
        <v>22.000123859157029</v>
      </c>
      <c r="T26" s="6">
        <v>39.975157778396913</v>
      </c>
      <c r="U26" s="6">
        <v>114.76108532490009</v>
      </c>
      <c r="V26" s="6">
        <v>392.97773245959439</v>
      </c>
      <c r="W26" s="6">
        <v>82.772244688595066</v>
      </c>
      <c r="X26" s="6">
        <v>722.97483254596534</v>
      </c>
      <c r="Y26" s="6">
        <v>1198.7248096941551</v>
      </c>
      <c r="Z26" s="6">
        <v>0</v>
      </c>
      <c r="AA26" s="6">
        <v>1198.7248096941551</v>
      </c>
      <c r="AB26" s="6">
        <v>0</v>
      </c>
      <c r="AC26" s="6">
        <v>75.648070824671535</v>
      </c>
      <c r="AD26" s="6">
        <v>0</v>
      </c>
      <c r="AE26" s="6">
        <v>0</v>
      </c>
      <c r="AF26" s="6">
        <v>1274.3728805188259</v>
      </c>
      <c r="AG26" s="6">
        <v>3.3499385372283941</v>
      </c>
      <c r="AH26" s="6">
        <v>0</v>
      </c>
      <c r="AI26" s="6">
        <v>42.897927940785898</v>
      </c>
      <c r="AJ26" s="6">
        <v>1244.972676172169</v>
      </c>
      <c r="AK26" s="6">
        <v>0</v>
      </c>
      <c r="AL26" s="6">
        <v>0</v>
      </c>
      <c r="AM26" s="6">
        <v>0</v>
      </c>
      <c r="AN26" s="6">
        <v>0</v>
      </c>
      <c r="AO26" s="6">
        <v>0</v>
      </c>
      <c r="AP26" s="6">
        <v>1244.972676172169</v>
      </c>
      <c r="AQ26" s="6">
        <v>1206.205310530878</v>
      </c>
      <c r="AR26" s="6">
        <v>277.34097500000001</v>
      </c>
      <c r="AS26" s="6">
        <v>7.4805008367229604</v>
      </c>
      <c r="AT26" s="6">
        <v>7.4805008367229604</v>
      </c>
    </row>
    <row r="27" spans="1:46" x14ac:dyDescent="0.35">
      <c r="A27" s="5">
        <v>46022</v>
      </c>
      <c r="B27" s="4" t="s">
        <v>105</v>
      </c>
      <c r="C27" s="4" t="s">
        <v>106</v>
      </c>
      <c r="D27" s="4" t="s">
        <v>56</v>
      </c>
      <c r="E27" s="6">
        <v>8200</v>
      </c>
      <c r="F27" s="7">
        <v>0.32200000000000001</v>
      </c>
      <c r="G27" s="6">
        <v>85</v>
      </c>
      <c r="H27" s="6">
        <v>22.443000000000001</v>
      </c>
      <c r="I27" s="6">
        <v>69.5</v>
      </c>
      <c r="J27" s="6">
        <v>15.598163</v>
      </c>
      <c r="K27" s="8">
        <v>30.14087161440262</v>
      </c>
      <c r="L27" s="6">
        <v>3.5524714017430981</v>
      </c>
      <c r="M27" s="6">
        <v>0.59948741008424811</v>
      </c>
      <c r="N27" s="6">
        <v>6.2522921691745461</v>
      </c>
      <c r="O27" s="6">
        <v>0.44167006743192933</v>
      </c>
      <c r="P27" s="6">
        <v>10.845921048433819</v>
      </c>
      <c r="Q27" s="6">
        <v>3.7862362742163049</v>
      </c>
      <c r="R27" s="6">
        <v>29.33987406434132</v>
      </c>
      <c r="S27" s="6">
        <v>59.803853504529741</v>
      </c>
      <c r="T27" s="6">
        <v>4.1758779354427444</v>
      </c>
      <c r="U27" s="6">
        <v>97.105841778530106</v>
      </c>
      <c r="V27" s="6">
        <v>107.9517628269639</v>
      </c>
      <c r="W27" s="6">
        <v>26.358142688720431</v>
      </c>
      <c r="X27" s="6">
        <v>0</v>
      </c>
      <c r="Y27" s="6">
        <v>134.30990551568439</v>
      </c>
      <c r="Z27" s="6">
        <v>84.709587527215646</v>
      </c>
      <c r="AA27" s="6">
        <v>219.0194930429</v>
      </c>
      <c r="AB27" s="6">
        <v>0</v>
      </c>
      <c r="AC27" s="6">
        <v>53.868044114586098</v>
      </c>
      <c r="AD27" s="6">
        <v>0</v>
      </c>
      <c r="AE27" s="6">
        <v>0</v>
      </c>
      <c r="AF27" s="6">
        <v>272.88753715748612</v>
      </c>
      <c r="AG27" s="6">
        <v>24.08656466794282</v>
      </c>
      <c r="AH27" s="6">
        <v>0</v>
      </c>
      <c r="AI27" s="6">
        <v>10.795179157591059</v>
      </c>
      <c r="AJ27" s="6">
        <v>253.9012368684339</v>
      </c>
      <c r="AK27" s="6">
        <v>0</v>
      </c>
      <c r="AL27" s="6">
        <v>0</v>
      </c>
      <c r="AM27" s="6">
        <v>0</v>
      </c>
      <c r="AN27" s="6">
        <v>0</v>
      </c>
      <c r="AO27" s="6">
        <v>0</v>
      </c>
      <c r="AP27" s="6">
        <v>253.9012368684339</v>
      </c>
      <c r="AQ27" s="6">
        <v>1206.0028597101409</v>
      </c>
      <c r="AR27" s="6">
        <v>1373.7575240000001</v>
      </c>
      <c r="AS27" s="6">
        <v>1071.6929541944569</v>
      </c>
      <c r="AT27" s="6">
        <v>986.98336666724094</v>
      </c>
    </row>
    <row r="28" spans="1:46" x14ac:dyDescent="0.35">
      <c r="A28" s="5">
        <v>46022</v>
      </c>
      <c r="B28" s="4" t="s">
        <v>107</v>
      </c>
      <c r="C28" s="4" t="s">
        <v>108</v>
      </c>
      <c r="D28" s="4" t="s">
        <v>109</v>
      </c>
      <c r="E28" s="6">
        <v>2780</v>
      </c>
      <c r="F28" s="7">
        <v>0.01</v>
      </c>
      <c r="G28" s="6">
        <v>60</v>
      </c>
      <c r="H28" s="6">
        <v>0.16700000000000001</v>
      </c>
      <c r="I28" s="6">
        <v>90</v>
      </c>
      <c r="J28" s="6">
        <v>0.15012</v>
      </c>
      <c r="K28" s="8">
        <v>1.0979561324016309</v>
      </c>
      <c r="L28" s="6">
        <v>220.53187199778611</v>
      </c>
      <c r="M28" s="6">
        <v>41.546995012326057</v>
      </c>
      <c r="N28" s="6">
        <v>113.5137060957011</v>
      </c>
      <c r="O28" s="6">
        <v>249.4942207480515</v>
      </c>
      <c r="P28" s="6">
        <v>625.08679385386483</v>
      </c>
      <c r="Q28" s="6">
        <v>8.0863688642229263</v>
      </c>
      <c r="R28" s="6">
        <v>22.153375900043571</v>
      </c>
      <c r="S28" s="6">
        <v>205.77456608064659</v>
      </c>
      <c r="T28" s="6">
        <v>8.324046457084048</v>
      </c>
      <c r="U28" s="6">
        <v>244.33835730199709</v>
      </c>
      <c r="V28" s="6">
        <v>869.42515115586195</v>
      </c>
      <c r="W28" s="6">
        <v>11.75832835870086</v>
      </c>
      <c r="X28" s="6">
        <v>120.45924446775911</v>
      </c>
      <c r="Y28" s="6">
        <v>1001.642723982322</v>
      </c>
      <c r="Z28" s="6">
        <v>45.140794440155972</v>
      </c>
      <c r="AA28" s="6">
        <v>1046.783518422478</v>
      </c>
      <c r="AB28" s="6">
        <v>0</v>
      </c>
      <c r="AC28" s="6">
        <v>187.83931956087261</v>
      </c>
      <c r="AD28" s="6">
        <v>0</v>
      </c>
      <c r="AE28" s="6">
        <v>0</v>
      </c>
      <c r="AF28" s="6">
        <v>1234.6228379833501</v>
      </c>
      <c r="AG28" s="6">
        <v>22.038516688468839</v>
      </c>
      <c r="AH28" s="6">
        <v>0</v>
      </c>
      <c r="AI28" s="6">
        <v>179.6155881547198</v>
      </c>
      <c r="AJ28" s="6">
        <v>1248.4376232656659</v>
      </c>
      <c r="AK28" s="6">
        <v>0</v>
      </c>
      <c r="AL28" s="6">
        <v>0</v>
      </c>
      <c r="AM28" s="6">
        <v>0</v>
      </c>
      <c r="AN28" s="6">
        <v>0</v>
      </c>
      <c r="AO28" s="6">
        <v>0</v>
      </c>
      <c r="AP28" s="6">
        <v>1248.4376232656659</v>
      </c>
      <c r="AQ28" s="6">
        <v>1205.839327525965</v>
      </c>
      <c r="AR28" s="6">
        <v>359.52989200000002</v>
      </c>
      <c r="AS28" s="6">
        <v>204.19660354364279</v>
      </c>
      <c r="AT28" s="6">
        <v>159.05580910348681</v>
      </c>
    </row>
    <row r="29" spans="1:46" x14ac:dyDescent="0.35">
      <c r="A29" s="5">
        <v>46022</v>
      </c>
      <c r="B29" s="4" t="s">
        <v>135</v>
      </c>
      <c r="C29" s="4" t="s">
        <v>136</v>
      </c>
      <c r="D29" s="4" t="s">
        <v>137</v>
      </c>
      <c r="E29" s="6">
        <v>3500</v>
      </c>
      <c r="F29" s="7">
        <v>0.12</v>
      </c>
      <c r="G29" s="6">
        <v>82</v>
      </c>
      <c r="H29" s="6">
        <v>3.444</v>
      </c>
      <c r="I29" s="6">
        <v>100</v>
      </c>
      <c r="J29" s="6">
        <v>3.444</v>
      </c>
      <c r="K29" s="8">
        <v>15.844367110404336</v>
      </c>
      <c r="L29" s="6">
        <v>1.665995250751346</v>
      </c>
      <c r="M29" s="6">
        <v>17.77688180878063</v>
      </c>
      <c r="N29" s="6">
        <v>2.3314463597866118E-2</v>
      </c>
      <c r="O29" s="6">
        <v>1.673169961873552</v>
      </c>
      <c r="P29" s="6">
        <v>21.139361485003391</v>
      </c>
      <c r="Q29" s="6">
        <v>2.7263235797747432</v>
      </c>
      <c r="R29" s="6">
        <v>9.7368011943195842</v>
      </c>
      <c r="S29" s="6">
        <v>8.6888846651400602</v>
      </c>
      <c r="T29" s="6">
        <v>6.1188532931136894</v>
      </c>
      <c r="U29" s="6">
        <v>27.270862732348078</v>
      </c>
      <c r="V29" s="6">
        <v>48.41022421735147</v>
      </c>
      <c r="W29" s="6">
        <v>109.1397900748418</v>
      </c>
      <c r="X29" s="6">
        <v>233.95003500000001</v>
      </c>
      <c r="Y29" s="6">
        <v>391.5000492921933</v>
      </c>
      <c r="Z29" s="6">
        <v>67.96803111132796</v>
      </c>
      <c r="AA29" s="6">
        <v>459.46808040352118</v>
      </c>
      <c r="AB29" s="6">
        <v>0.60864532763874946</v>
      </c>
      <c r="AC29" s="6">
        <v>6.8556528506814063</v>
      </c>
      <c r="AD29" s="6">
        <v>0</v>
      </c>
      <c r="AE29" s="6">
        <v>0</v>
      </c>
      <c r="AF29" s="6">
        <v>466.93237858184142</v>
      </c>
      <c r="AG29" s="6">
        <v>1.6875881610399861</v>
      </c>
      <c r="AH29" s="6">
        <v>0</v>
      </c>
      <c r="AI29" s="6">
        <v>5.2169599077146147</v>
      </c>
      <c r="AJ29" s="6">
        <v>466.98127379991462</v>
      </c>
      <c r="AK29" s="6">
        <v>20.867840848149122</v>
      </c>
      <c r="AL29" s="6">
        <v>0</v>
      </c>
      <c r="AM29" s="6">
        <v>0</v>
      </c>
      <c r="AN29" s="6">
        <v>0</v>
      </c>
      <c r="AO29" s="6">
        <v>0</v>
      </c>
      <c r="AP29" s="6">
        <v>487.84911464806368</v>
      </c>
      <c r="AQ29" s="6">
        <v>1205.9999989886601</v>
      </c>
      <c r="AR29" s="6">
        <v>651.41373399999998</v>
      </c>
      <c r="AS29" s="6">
        <v>814.4999496964665</v>
      </c>
      <c r="AT29" s="6">
        <v>746.53191858513856</v>
      </c>
    </row>
    <row r="30" spans="1:46" x14ac:dyDescent="0.35">
      <c r="A30" s="5">
        <v>46022</v>
      </c>
      <c r="B30" s="4" t="s">
        <v>68</v>
      </c>
      <c r="C30" s="4" t="s">
        <v>69</v>
      </c>
      <c r="D30" s="4" t="s">
        <v>70</v>
      </c>
      <c r="E30" s="6">
        <v>564.02439800000002</v>
      </c>
      <c r="F30" s="7">
        <v>5.3499999999999999E-2</v>
      </c>
      <c r="G30" s="6">
        <v>70</v>
      </c>
      <c r="H30" s="6">
        <v>0.21099999999999999</v>
      </c>
      <c r="I30" s="6">
        <v>30</v>
      </c>
      <c r="J30" s="6">
        <v>6.3377000000000003E-2</v>
      </c>
      <c r="K30" s="8">
        <v>1.4524552419962371</v>
      </c>
      <c r="L30" s="6">
        <v>27.568309271934599</v>
      </c>
      <c r="M30" s="6">
        <v>32.119759022007393</v>
      </c>
      <c r="N30" s="6">
        <v>17.14790767975758</v>
      </c>
      <c r="O30" s="6">
        <v>65.158639145933904</v>
      </c>
      <c r="P30" s="6">
        <v>141.99461511963349</v>
      </c>
      <c r="Q30" s="6">
        <v>5.1716766402068801</v>
      </c>
      <c r="R30" s="6">
        <v>10.24771862451464</v>
      </c>
      <c r="S30" s="6">
        <v>26.582265604726249</v>
      </c>
      <c r="T30" s="6">
        <v>36.663920814426902</v>
      </c>
      <c r="U30" s="6">
        <v>78.665581683874663</v>
      </c>
      <c r="V30" s="6">
        <v>220.66019680350809</v>
      </c>
      <c r="W30" s="6">
        <v>97.99670864750145</v>
      </c>
      <c r="X30" s="6">
        <v>590.10957866380306</v>
      </c>
      <c r="Y30" s="6">
        <v>908.76648411481267</v>
      </c>
      <c r="Z30" s="6">
        <v>34.310493734192193</v>
      </c>
      <c r="AA30" s="6">
        <v>943.07697784900495</v>
      </c>
      <c r="AB30" s="6">
        <v>3.1185891971980482</v>
      </c>
      <c r="AC30" s="6">
        <v>242.02458375168979</v>
      </c>
      <c r="AD30" s="6">
        <v>0</v>
      </c>
      <c r="AE30" s="6">
        <v>0</v>
      </c>
      <c r="AF30" s="6">
        <v>1188.220150797893</v>
      </c>
      <c r="AG30" s="6">
        <v>44.710875576453127</v>
      </c>
      <c r="AH30" s="6">
        <v>0</v>
      </c>
      <c r="AI30" s="6">
        <v>49.897415428768667</v>
      </c>
      <c r="AJ30" s="6">
        <v>1040.8038580514251</v>
      </c>
      <c r="AK30" s="6">
        <v>0</v>
      </c>
      <c r="AL30" s="6">
        <v>0</v>
      </c>
      <c r="AM30" s="6">
        <v>0</v>
      </c>
      <c r="AN30" s="6">
        <v>0</v>
      </c>
      <c r="AO30" s="6">
        <v>0</v>
      </c>
      <c r="AP30" s="6">
        <v>1040.8038580514251</v>
      </c>
      <c r="AQ30" s="6">
        <v>1206.4376656497</v>
      </c>
      <c r="AR30" s="6">
        <v>66.011842000000001</v>
      </c>
      <c r="AS30" s="6">
        <v>297.67118153488701</v>
      </c>
      <c r="AT30" s="6">
        <v>263.36068780069479</v>
      </c>
    </row>
    <row r="31" spans="1:46" x14ac:dyDescent="0.35">
      <c r="A31" s="5">
        <v>46022</v>
      </c>
      <c r="B31" s="4" t="s">
        <v>123</v>
      </c>
      <c r="C31" s="4" t="s">
        <v>124</v>
      </c>
      <c r="D31" s="4" t="s">
        <v>125</v>
      </c>
      <c r="E31" s="6">
        <v>3850.0167390000001</v>
      </c>
      <c r="F31" s="7">
        <v>8.6599999999999996E-2</v>
      </c>
      <c r="G31" s="6">
        <v>68.959999999999994</v>
      </c>
      <c r="H31" s="6">
        <v>2.2999999999999998</v>
      </c>
      <c r="I31" s="6">
        <v>99.99</v>
      </c>
      <c r="J31" s="6">
        <v>2.2997700000000001</v>
      </c>
      <c r="K31" s="8">
        <v>9.6040422256875289</v>
      </c>
      <c r="L31" s="6">
        <v>317.40453146682268</v>
      </c>
      <c r="M31" s="6">
        <v>85.430120720052628</v>
      </c>
      <c r="N31" s="6">
        <v>10.97525871064396</v>
      </c>
      <c r="O31" s="6">
        <v>154.66447873417189</v>
      </c>
      <c r="P31" s="6">
        <v>568.47438963169134</v>
      </c>
      <c r="Q31" s="6">
        <v>147.4356794115071</v>
      </c>
      <c r="R31" s="6">
        <v>165.98776713258491</v>
      </c>
      <c r="S31" s="6">
        <v>101.6019778551145</v>
      </c>
      <c r="T31" s="6">
        <v>119.9308000179264</v>
      </c>
      <c r="U31" s="6">
        <v>534.95622441713294</v>
      </c>
      <c r="V31" s="6">
        <v>1103.4306140488241</v>
      </c>
      <c r="W31" s="6">
        <v>15.849560024711691</v>
      </c>
      <c r="X31" s="6">
        <v>47.430932165484172</v>
      </c>
      <c r="Y31" s="6">
        <v>1166.71110623902</v>
      </c>
      <c r="Z31" s="6">
        <v>31.343975675860101</v>
      </c>
      <c r="AA31" s="6">
        <v>1198.05508191488</v>
      </c>
      <c r="AB31" s="6">
        <v>0</v>
      </c>
      <c r="AC31" s="6">
        <v>85.452742507258918</v>
      </c>
      <c r="AD31" s="6">
        <v>0</v>
      </c>
      <c r="AE31" s="6">
        <v>0</v>
      </c>
      <c r="AF31" s="6">
        <v>1283.507824422139</v>
      </c>
      <c r="AG31" s="6">
        <v>6.864722219133129</v>
      </c>
      <c r="AH31" s="6">
        <v>0</v>
      </c>
      <c r="AI31" s="6">
        <v>50.739675483042731</v>
      </c>
      <c r="AJ31" s="6">
        <v>1255.6594796170559</v>
      </c>
      <c r="AK31" s="6">
        <v>0</v>
      </c>
      <c r="AL31" s="6">
        <v>0</v>
      </c>
      <c r="AM31" s="6">
        <v>0</v>
      </c>
      <c r="AN31" s="6">
        <v>0</v>
      </c>
      <c r="AO31" s="6">
        <v>0</v>
      </c>
      <c r="AP31" s="6">
        <v>1255.6594796170559</v>
      </c>
      <c r="AQ31" s="6">
        <v>1206.0157309966301</v>
      </c>
      <c r="AR31" s="6">
        <v>636.49511500000006</v>
      </c>
      <c r="AS31" s="6">
        <v>39.304624757609837</v>
      </c>
      <c r="AT31" s="6">
        <v>7.9606490817497404</v>
      </c>
    </row>
    <row r="32" spans="1:46" x14ac:dyDescent="0.35">
      <c r="A32" s="5">
        <v>46022</v>
      </c>
      <c r="B32" s="4" t="s">
        <v>71</v>
      </c>
      <c r="C32" s="4" t="s">
        <v>72</v>
      </c>
      <c r="D32" s="4" t="s">
        <v>56</v>
      </c>
      <c r="E32" s="6">
        <v>1230.1587300000001</v>
      </c>
      <c r="F32" s="7">
        <v>0.87</v>
      </c>
      <c r="G32" s="6">
        <v>81</v>
      </c>
      <c r="H32" s="6">
        <v>8.6690000000000005</v>
      </c>
      <c r="I32" s="6">
        <v>70</v>
      </c>
      <c r="J32" s="6">
        <v>6.0682499999999999</v>
      </c>
      <c r="K32" s="8">
        <v>32.157078267180907</v>
      </c>
      <c r="L32" s="6">
        <v>91.178644879895472</v>
      </c>
      <c r="M32" s="6">
        <v>12.08621567423471</v>
      </c>
      <c r="N32" s="6">
        <v>22.22111056673657</v>
      </c>
      <c r="O32" s="6">
        <v>88.641939099950093</v>
      </c>
      <c r="P32" s="6">
        <v>214.1279102208168</v>
      </c>
      <c r="Q32" s="6">
        <v>28.703702908651771</v>
      </c>
      <c r="R32" s="6">
        <v>3.5249567488378322</v>
      </c>
      <c r="S32" s="6">
        <v>26.389786490230659</v>
      </c>
      <c r="T32" s="6">
        <v>29.176922947667279</v>
      </c>
      <c r="U32" s="6">
        <v>87.795369095387557</v>
      </c>
      <c r="V32" s="6">
        <v>301.9232793162044</v>
      </c>
      <c r="W32" s="6">
        <v>62.877418717112242</v>
      </c>
      <c r="X32" s="6">
        <v>259.99785770197337</v>
      </c>
      <c r="Y32" s="6">
        <v>624.79855573529005</v>
      </c>
      <c r="Z32" s="6">
        <v>107.83784656624719</v>
      </c>
      <c r="AA32" s="6">
        <v>732.63640230153715</v>
      </c>
      <c r="AB32" s="6">
        <v>0</v>
      </c>
      <c r="AC32" s="6">
        <v>111.84820178030169</v>
      </c>
      <c r="AD32" s="6">
        <v>0</v>
      </c>
      <c r="AE32" s="6">
        <v>0</v>
      </c>
      <c r="AF32" s="6">
        <v>844.48460408183894</v>
      </c>
      <c r="AG32" s="6">
        <v>18.50843060593072</v>
      </c>
      <c r="AH32" s="6">
        <v>0</v>
      </c>
      <c r="AI32" s="6">
        <v>19.229538368679261</v>
      </c>
      <c r="AJ32" s="6">
        <v>770.37437127614714</v>
      </c>
      <c r="AK32" s="6">
        <v>0</v>
      </c>
      <c r="AL32" s="6">
        <v>0</v>
      </c>
      <c r="AM32" s="6">
        <v>0</v>
      </c>
      <c r="AN32" s="6">
        <v>0</v>
      </c>
      <c r="AO32" s="6">
        <v>0</v>
      </c>
      <c r="AP32" s="6">
        <v>770.37437127614714</v>
      </c>
      <c r="AQ32" s="6">
        <v>1205.9900620216681</v>
      </c>
      <c r="AR32" s="6">
        <v>439.05278199999998</v>
      </c>
      <c r="AS32" s="6">
        <v>581.19150628637772</v>
      </c>
      <c r="AT32" s="6">
        <v>473.35365972013051</v>
      </c>
    </row>
    <row r="33" spans="1:46" x14ac:dyDescent="0.35">
      <c r="A33" s="5">
        <v>46022</v>
      </c>
      <c r="B33" s="4" t="s">
        <v>138</v>
      </c>
      <c r="C33" s="4" t="s">
        <v>139</v>
      </c>
      <c r="D33" s="4" t="s">
        <v>56</v>
      </c>
      <c r="E33" s="6">
        <v>2500</v>
      </c>
      <c r="F33" s="7">
        <v>0.6</v>
      </c>
      <c r="G33" s="6">
        <v>70.2</v>
      </c>
      <c r="H33" s="6">
        <v>10.53</v>
      </c>
      <c r="I33" s="6">
        <v>95</v>
      </c>
      <c r="J33" s="6">
        <v>10.003500000000001</v>
      </c>
      <c r="K33" s="8">
        <v>38.713268672936238</v>
      </c>
      <c r="L33" s="6">
        <v>53.920830608228627</v>
      </c>
      <c r="M33" s="6">
        <v>31.233038856874501</v>
      </c>
      <c r="N33" s="6">
        <v>9.3524791074021554</v>
      </c>
      <c r="O33" s="6">
        <v>92.404279149440313</v>
      </c>
      <c r="P33" s="6">
        <v>186.91062772194559</v>
      </c>
      <c r="Q33" s="6">
        <v>58.911205278765479</v>
      </c>
      <c r="R33" s="6">
        <v>19.56319838818079</v>
      </c>
      <c r="S33" s="6">
        <v>35.302066459731179</v>
      </c>
      <c r="T33" s="6">
        <v>4.769624965739701</v>
      </c>
      <c r="U33" s="6">
        <v>118.5460950924172</v>
      </c>
      <c r="V33" s="6">
        <v>305.45672281436282</v>
      </c>
      <c r="W33" s="6">
        <v>49.402715278715583</v>
      </c>
      <c r="X33" s="6">
        <v>300</v>
      </c>
      <c r="Y33" s="6">
        <v>654.85943809307832</v>
      </c>
      <c r="Z33" s="6">
        <v>110.07446265892089</v>
      </c>
      <c r="AA33" s="6">
        <v>764.9339007519992</v>
      </c>
      <c r="AB33" s="6">
        <v>0</v>
      </c>
      <c r="AC33" s="6">
        <v>193.27800212906769</v>
      </c>
      <c r="AD33" s="6">
        <v>0</v>
      </c>
      <c r="AE33" s="6">
        <v>0</v>
      </c>
      <c r="AF33" s="6">
        <v>958.21190288106686</v>
      </c>
      <c r="AG33" s="6">
        <v>2.1740139964122922</v>
      </c>
      <c r="AH33" s="6">
        <v>0</v>
      </c>
      <c r="AI33" s="6">
        <v>95.876767635303025</v>
      </c>
      <c r="AJ33" s="6">
        <v>862.98468238371447</v>
      </c>
      <c r="AK33" s="6">
        <v>0</v>
      </c>
      <c r="AL33" s="6">
        <v>0</v>
      </c>
      <c r="AM33" s="6">
        <v>0</v>
      </c>
      <c r="AN33" s="6">
        <v>0</v>
      </c>
      <c r="AO33" s="6">
        <v>0</v>
      </c>
      <c r="AP33" s="6">
        <v>862.98468238371447</v>
      </c>
      <c r="AQ33" s="6">
        <v>1205.9999989886601</v>
      </c>
      <c r="AR33" s="6">
        <v>579.03136700000005</v>
      </c>
      <c r="AS33" s="6">
        <v>551.1405608955813</v>
      </c>
      <c r="AT33" s="6">
        <v>441.06609823666042</v>
      </c>
    </row>
    <row r="34" spans="1:46" x14ac:dyDescent="0.35">
      <c r="A34" s="5">
        <v>46022</v>
      </c>
      <c r="B34" s="4" t="s">
        <v>73</v>
      </c>
      <c r="C34" s="4" t="s">
        <v>74</v>
      </c>
      <c r="D34" s="4" t="s">
        <v>70</v>
      </c>
      <c r="E34" s="6">
        <v>1955.4754399999999</v>
      </c>
      <c r="F34" s="7">
        <v>0.12</v>
      </c>
      <c r="G34" s="6">
        <v>37</v>
      </c>
      <c r="H34" s="6">
        <v>0.86799999999999999</v>
      </c>
      <c r="I34" s="6">
        <v>15</v>
      </c>
      <c r="J34" s="6">
        <v>0.13023499999999999</v>
      </c>
      <c r="K34" s="8">
        <v>2.4879225828161831</v>
      </c>
      <c r="L34" s="6">
        <v>361.74130300536041</v>
      </c>
      <c r="M34" s="6">
        <v>234.17344986635501</v>
      </c>
      <c r="N34" s="6">
        <v>42.644227968350712</v>
      </c>
      <c r="O34" s="6">
        <v>78.473926915744443</v>
      </c>
      <c r="P34" s="6">
        <v>717.03290775581058</v>
      </c>
      <c r="Q34" s="6">
        <v>180.62425390923511</v>
      </c>
      <c r="R34" s="6">
        <v>26.81301949925157</v>
      </c>
      <c r="S34" s="6">
        <v>144.53332251002109</v>
      </c>
      <c r="T34" s="6">
        <v>61.981021068683809</v>
      </c>
      <c r="U34" s="6">
        <v>413.95161698719153</v>
      </c>
      <c r="V34" s="6">
        <v>1130.9845247430021</v>
      </c>
      <c r="W34" s="6">
        <v>5.0868914037148478</v>
      </c>
      <c r="X34" s="6">
        <v>499.86562751948401</v>
      </c>
      <c r="Y34" s="6">
        <v>1635.9370436662009</v>
      </c>
      <c r="Z34" s="6">
        <v>75.311146688348771</v>
      </c>
      <c r="AA34" s="6">
        <v>1711.2481903545499</v>
      </c>
      <c r="AB34" s="6">
        <v>0</v>
      </c>
      <c r="AC34" s="6">
        <v>42.67013601912798</v>
      </c>
      <c r="AD34" s="6">
        <v>0</v>
      </c>
      <c r="AE34" s="6">
        <v>0</v>
      </c>
      <c r="AF34" s="6">
        <v>1753.9183263736779</v>
      </c>
      <c r="AG34" s="6">
        <v>11.8101569884896</v>
      </c>
      <c r="AH34" s="6">
        <v>0</v>
      </c>
      <c r="AI34" s="6">
        <v>34.807203580419568</v>
      </c>
      <c r="AJ34" s="6">
        <v>1757.8655509234591</v>
      </c>
      <c r="AK34" s="6">
        <v>0</v>
      </c>
      <c r="AL34" s="6">
        <v>0</v>
      </c>
      <c r="AM34" s="6">
        <v>0</v>
      </c>
      <c r="AN34" s="6">
        <v>0</v>
      </c>
      <c r="AO34" s="6">
        <v>0</v>
      </c>
      <c r="AP34" s="6">
        <v>1757.8655509234591</v>
      </c>
      <c r="AQ34" s="6">
        <v>1205.6758925659269</v>
      </c>
      <c r="AR34" s="6">
        <v>86.912203000000005</v>
      </c>
      <c r="AS34" s="6">
        <v>-430.26115110027399</v>
      </c>
      <c r="AT34" s="6">
        <v>-505.57229778862279</v>
      </c>
    </row>
    <row r="35" spans="1:46" x14ac:dyDescent="0.35">
      <c r="A35" s="5">
        <v>46022</v>
      </c>
      <c r="B35" s="4" t="s">
        <v>75</v>
      </c>
      <c r="C35" s="4" t="s">
        <v>76</v>
      </c>
      <c r="D35" s="4" t="s">
        <v>77</v>
      </c>
      <c r="E35" s="6">
        <v>33740</v>
      </c>
      <c r="F35" s="7">
        <v>0.02</v>
      </c>
      <c r="G35" s="6">
        <v>70</v>
      </c>
      <c r="H35" s="6">
        <v>4.7236000000000002</v>
      </c>
      <c r="I35" s="6">
        <v>91</v>
      </c>
      <c r="J35" s="6">
        <v>4.298476</v>
      </c>
      <c r="K35" s="8">
        <v>0.63296859948285999</v>
      </c>
      <c r="L35" s="6">
        <v>70.25909422570102</v>
      </c>
      <c r="M35" s="6">
        <v>6.4465260865350951</v>
      </c>
      <c r="N35" s="6">
        <v>4.0524691855590644</v>
      </c>
      <c r="O35" s="6">
        <v>64.658806732206472</v>
      </c>
      <c r="P35" s="6">
        <v>145.4168962300017</v>
      </c>
      <c r="Q35" s="6">
        <v>4.4216642781554301</v>
      </c>
      <c r="R35" s="6">
        <v>4.1354388063840899</v>
      </c>
      <c r="S35" s="6">
        <v>4.5373443139156766</v>
      </c>
      <c r="T35" s="6">
        <v>6.5210094921575754</v>
      </c>
      <c r="U35" s="6">
        <v>19.615456890612769</v>
      </c>
      <c r="V35" s="6">
        <v>165.0323531206144</v>
      </c>
      <c r="W35" s="6">
        <v>8.4111143078290844</v>
      </c>
      <c r="X35" s="6">
        <v>417.42670860941269</v>
      </c>
      <c r="Y35" s="6">
        <v>590.87017603785625</v>
      </c>
      <c r="Z35" s="6">
        <v>58.090072072377062</v>
      </c>
      <c r="AA35" s="6">
        <v>648.96024811023324</v>
      </c>
      <c r="AB35" s="6">
        <v>0</v>
      </c>
      <c r="AC35" s="6">
        <v>60.720471113368014</v>
      </c>
      <c r="AD35" s="6">
        <v>0</v>
      </c>
      <c r="AE35" s="6">
        <v>0</v>
      </c>
      <c r="AF35" s="6">
        <v>709.68071922360116</v>
      </c>
      <c r="AG35" s="6">
        <v>45.919803385572862</v>
      </c>
      <c r="AH35" s="6">
        <v>0</v>
      </c>
      <c r="AI35" s="6">
        <v>61.523335564831093</v>
      </c>
      <c r="AJ35" s="6">
        <v>756.40338706063721</v>
      </c>
      <c r="AK35" s="6">
        <v>0</v>
      </c>
      <c r="AL35" s="6">
        <v>10.33468932741374</v>
      </c>
      <c r="AM35" s="6">
        <v>0</v>
      </c>
      <c r="AN35" s="6">
        <v>0</v>
      </c>
      <c r="AO35" s="6">
        <v>3.3396698116555732</v>
      </c>
      <c r="AP35" s="6">
        <v>770.07774619970655</v>
      </c>
      <c r="AQ35" s="6">
        <v>1205.9999989886601</v>
      </c>
      <c r="AR35" s="6">
        <v>12973.500700000001</v>
      </c>
      <c r="AS35" s="6">
        <v>615.1298229508036</v>
      </c>
      <c r="AT35" s="6">
        <v>557.0397508784265</v>
      </c>
    </row>
    <row r="36" spans="1:46" x14ac:dyDescent="0.35">
      <c r="A36" s="5">
        <v>46022</v>
      </c>
      <c r="B36" s="4" t="s">
        <v>110</v>
      </c>
      <c r="C36" s="4" t="s">
        <v>111</v>
      </c>
      <c r="D36" s="4" t="s">
        <v>80</v>
      </c>
      <c r="E36" s="6">
        <v>4200</v>
      </c>
      <c r="F36" s="7">
        <v>0.03</v>
      </c>
      <c r="G36" s="6">
        <v>27.78</v>
      </c>
      <c r="H36" s="6">
        <v>0.35</v>
      </c>
      <c r="I36" s="6">
        <v>100</v>
      </c>
      <c r="J36" s="6">
        <v>0.35</v>
      </c>
      <c r="K36" s="8">
        <v>0.27232339500936598</v>
      </c>
      <c r="L36" s="6">
        <v>64.071232746794777</v>
      </c>
      <c r="M36" s="6">
        <v>17.0809718395397</v>
      </c>
      <c r="N36" s="6">
        <v>14.57157704368602</v>
      </c>
      <c r="O36" s="6">
        <v>127.5240764276832</v>
      </c>
      <c r="P36" s="6">
        <v>223.2478580577037</v>
      </c>
      <c r="Q36" s="6">
        <v>22.71098088645746</v>
      </c>
      <c r="R36" s="6">
        <v>16.019995721316569</v>
      </c>
      <c r="S36" s="6">
        <v>17.36174316417112</v>
      </c>
      <c r="T36" s="6">
        <v>19.298737729792361</v>
      </c>
      <c r="U36" s="6">
        <v>75.391457501737506</v>
      </c>
      <c r="V36" s="6">
        <v>298.63931555944117</v>
      </c>
      <c r="W36" s="6">
        <v>3.9515021499652341</v>
      </c>
      <c r="X36" s="6">
        <v>727.30868851917876</v>
      </c>
      <c r="Y36" s="6">
        <v>1029.8995062285851</v>
      </c>
      <c r="Z36" s="6">
        <v>0</v>
      </c>
      <c r="AA36" s="6">
        <v>1029.8995062285851</v>
      </c>
      <c r="AB36" s="6">
        <v>0</v>
      </c>
      <c r="AC36" s="6">
        <v>66.258601391946854</v>
      </c>
      <c r="AD36" s="6">
        <v>0</v>
      </c>
      <c r="AE36" s="6">
        <v>0</v>
      </c>
      <c r="AF36" s="6">
        <v>1096.1581076205321</v>
      </c>
      <c r="AG36" s="6">
        <v>7.3353405236566083</v>
      </c>
      <c r="AH36" s="6">
        <v>0</v>
      </c>
      <c r="AI36" s="6">
        <v>56.972964573119867</v>
      </c>
      <c r="AJ36" s="6">
        <v>1094.2078113253619</v>
      </c>
      <c r="AK36" s="6">
        <v>0</v>
      </c>
      <c r="AL36" s="6">
        <v>0</v>
      </c>
      <c r="AM36" s="6">
        <v>0</v>
      </c>
      <c r="AN36" s="6">
        <v>0</v>
      </c>
      <c r="AO36" s="6">
        <v>0</v>
      </c>
      <c r="AP36" s="6">
        <v>1094.2078113253619</v>
      </c>
      <c r="AQ36" s="6">
        <v>1205.9999989886601</v>
      </c>
      <c r="AR36" s="6">
        <v>1561.407234</v>
      </c>
      <c r="AS36" s="6">
        <v>176.10049276007459</v>
      </c>
      <c r="AT36" s="6">
        <v>176.10049276007459</v>
      </c>
    </row>
    <row r="37" spans="1:46" x14ac:dyDescent="0.35">
      <c r="A37" s="5">
        <v>46022</v>
      </c>
      <c r="B37" s="4" t="s">
        <v>112</v>
      </c>
      <c r="C37" s="4" t="s">
        <v>113</v>
      </c>
      <c r="D37" s="4" t="s">
        <v>114</v>
      </c>
      <c r="E37" s="6">
        <v>2500</v>
      </c>
      <c r="F37" s="7">
        <v>0.05</v>
      </c>
      <c r="G37" s="6">
        <v>75</v>
      </c>
      <c r="H37" s="6">
        <v>0.93799999999999994</v>
      </c>
      <c r="I37" s="6">
        <v>100</v>
      </c>
      <c r="J37" s="6">
        <v>0.9375</v>
      </c>
      <c r="K37" s="8">
        <v>7.2144631536316703</v>
      </c>
      <c r="L37" s="6">
        <v>5.5289678530997337</v>
      </c>
      <c r="M37" s="6">
        <v>1.395868342807649</v>
      </c>
      <c r="N37" s="6">
        <v>0.38744644564396169</v>
      </c>
      <c r="O37" s="6">
        <v>6.4099833197942253</v>
      </c>
      <c r="P37" s="6">
        <v>13.72226596134557</v>
      </c>
      <c r="Q37" s="6">
        <v>9.1098041196470554</v>
      </c>
      <c r="R37" s="6">
        <v>249.2936230969346</v>
      </c>
      <c r="S37" s="6">
        <v>29.93012666353107</v>
      </c>
      <c r="T37" s="6">
        <v>137.58930215976829</v>
      </c>
      <c r="U37" s="6">
        <v>425.92285603988103</v>
      </c>
      <c r="V37" s="6">
        <v>439.64512200122653</v>
      </c>
      <c r="W37" s="6">
        <v>7.428973605703912</v>
      </c>
      <c r="X37" s="6">
        <v>0</v>
      </c>
      <c r="Y37" s="6">
        <v>447.07409560693043</v>
      </c>
      <c r="Z37" s="6">
        <v>80.664506539909695</v>
      </c>
      <c r="AA37" s="6">
        <v>527.73860214684009</v>
      </c>
      <c r="AB37" s="6">
        <v>0</v>
      </c>
      <c r="AC37" s="6">
        <v>154.83047264539809</v>
      </c>
      <c r="AD37" s="6">
        <v>0</v>
      </c>
      <c r="AE37" s="6">
        <v>0</v>
      </c>
      <c r="AF37" s="6">
        <v>682.56907479223833</v>
      </c>
      <c r="AG37" s="6">
        <v>5.2358807042135398</v>
      </c>
      <c r="AH37" s="6">
        <v>0</v>
      </c>
      <c r="AI37" s="6">
        <v>65.946772663417903</v>
      </c>
      <c r="AJ37" s="6">
        <v>598.92125551447157</v>
      </c>
      <c r="AK37" s="6">
        <v>0</v>
      </c>
      <c r="AL37" s="6">
        <v>0</v>
      </c>
      <c r="AM37" s="6">
        <v>0</v>
      </c>
      <c r="AN37" s="6">
        <v>0</v>
      </c>
      <c r="AO37" s="6">
        <v>0</v>
      </c>
      <c r="AP37" s="6">
        <v>598.92125551447157</v>
      </c>
      <c r="AQ37" s="6">
        <v>1205.9999989886601</v>
      </c>
      <c r="AR37" s="6">
        <v>420.165797</v>
      </c>
      <c r="AS37" s="6">
        <v>758.92590338172931</v>
      </c>
      <c r="AT37" s="6">
        <v>678.26139684181965</v>
      </c>
    </row>
    <row r="38" spans="1:46" x14ac:dyDescent="0.35">
      <c r="A38" s="5">
        <v>46022</v>
      </c>
      <c r="B38" s="4" t="s">
        <v>78</v>
      </c>
      <c r="C38" s="4" t="s">
        <v>79</v>
      </c>
      <c r="D38" s="4" t="s">
        <v>80</v>
      </c>
      <c r="E38" s="6">
        <v>1350</v>
      </c>
      <c r="F38" s="7">
        <v>5.9200000000000003E-2</v>
      </c>
      <c r="G38" s="6">
        <v>88</v>
      </c>
      <c r="H38" s="6">
        <v>0.70399999999999996</v>
      </c>
      <c r="I38" s="6">
        <v>70</v>
      </c>
      <c r="J38" s="6">
        <v>0.49252200000000002</v>
      </c>
      <c r="K38" s="8">
        <v>1.702679995820271</v>
      </c>
      <c r="L38" s="6">
        <v>183.92296659327491</v>
      </c>
      <c r="M38" s="6">
        <v>14.706148799783101</v>
      </c>
      <c r="N38" s="6">
        <v>25.087200175847482</v>
      </c>
      <c r="O38" s="6">
        <v>351.51268292945127</v>
      </c>
      <c r="P38" s="6">
        <v>575.22899849835687</v>
      </c>
      <c r="Q38" s="6">
        <v>21.68164932462269</v>
      </c>
      <c r="R38" s="6">
        <v>20.000870939449332</v>
      </c>
      <c r="S38" s="6">
        <v>13.729724498243259</v>
      </c>
      <c r="T38" s="6">
        <v>57.854242258576051</v>
      </c>
      <c r="U38" s="6">
        <v>113.2664870208913</v>
      </c>
      <c r="V38" s="6">
        <v>688.49548551924818</v>
      </c>
      <c r="W38" s="6">
        <v>63.67065718239526</v>
      </c>
      <c r="X38" s="6">
        <v>104.515949976958</v>
      </c>
      <c r="Y38" s="6">
        <v>856.68209267860152</v>
      </c>
      <c r="Z38" s="6">
        <v>49.932421330642647</v>
      </c>
      <c r="AA38" s="6">
        <v>906.61451400924409</v>
      </c>
      <c r="AB38" s="6">
        <v>0</v>
      </c>
      <c r="AC38" s="6">
        <v>270.48322807659332</v>
      </c>
      <c r="AD38" s="6">
        <v>0</v>
      </c>
      <c r="AE38" s="6">
        <v>0</v>
      </c>
      <c r="AF38" s="6">
        <v>1177.0977420858369</v>
      </c>
      <c r="AG38" s="6">
        <v>3.3903957350181622</v>
      </c>
      <c r="AH38" s="6">
        <v>0</v>
      </c>
      <c r="AI38" s="6">
        <v>71.254529798574495</v>
      </c>
      <c r="AJ38" s="6">
        <v>981.25943954283684</v>
      </c>
      <c r="AK38" s="6">
        <v>0</v>
      </c>
      <c r="AL38" s="6">
        <v>0</v>
      </c>
      <c r="AM38" s="6">
        <v>0</v>
      </c>
      <c r="AN38" s="6">
        <v>0</v>
      </c>
      <c r="AO38" s="6">
        <v>0</v>
      </c>
      <c r="AP38" s="6">
        <v>981.25943954283684</v>
      </c>
      <c r="AQ38" s="6">
        <v>1205.9461293138479</v>
      </c>
      <c r="AR38" s="6">
        <v>800.76637200000005</v>
      </c>
      <c r="AS38" s="6">
        <v>349.26403663524621</v>
      </c>
      <c r="AT38" s="6">
        <v>299.33161530460359</v>
      </c>
    </row>
    <row r="39" spans="1:46" x14ac:dyDescent="0.35">
      <c r="A39" s="5">
        <v>46022</v>
      </c>
      <c r="B39" s="4" t="s">
        <v>81</v>
      </c>
      <c r="C39" s="4" t="s">
        <v>82</v>
      </c>
      <c r="D39" s="4" t="s">
        <v>83</v>
      </c>
      <c r="E39" s="6">
        <v>3450</v>
      </c>
      <c r="F39" s="7">
        <v>9.4E-2</v>
      </c>
      <c r="G39" s="6">
        <v>88</v>
      </c>
      <c r="H39" s="6">
        <v>2.8540000000000001</v>
      </c>
      <c r="I39" s="6">
        <v>100</v>
      </c>
      <c r="J39" s="6">
        <v>2.8538399999999999</v>
      </c>
      <c r="K39" s="8">
        <v>9.7043016363689496</v>
      </c>
      <c r="L39" s="6">
        <v>34.416493154355379</v>
      </c>
      <c r="M39" s="6">
        <v>24.767468516390249</v>
      </c>
      <c r="N39" s="6">
        <v>1.3887691383250069</v>
      </c>
      <c r="O39" s="6">
        <v>48.8916690783376</v>
      </c>
      <c r="P39" s="6">
        <v>109.46439988740821</v>
      </c>
      <c r="Q39" s="6">
        <v>30.12100001633771</v>
      </c>
      <c r="R39" s="6">
        <v>38.225026836865538</v>
      </c>
      <c r="S39" s="6">
        <v>157.7381198591934</v>
      </c>
      <c r="T39" s="6">
        <v>66.384747372961513</v>
      </c>
      <c r="U39" s="6">
        <v>292.46889408535822</v>
      </c>
      <c r="V39" s="6">
        <v>401.93329397276642</v>
      </c>
      <c r="W39" s="6">
        <v>4.2024820685603306</v>
      </c>
      <c r="X39" s="6">
        <v>542.13123027226482</v>
      </c>
      <c r="Y39" s="6">
        <v>948.26700631359154</v>
      </c>
      <c r="Z39" s="6">
        <v>16.03150991392771</v>
      </c>
      <c r="AA39" s="6">
        <v>964.29851622751914</v>
      </c>
      <c r="AB39" s="6">
        <v>0.55325780058261098</v>
      </c>
      <c r="AC39" s="6">
        <v>132.67739331269729</v>
      </c>
      <c r="AD39" s="6">
        <v>0</v>
      </c>
      <c r="AE39" s="6">
        <v>0</v>
      </c>
      <c r="AF39" s="6">
        <v>1097.5291673407989</v>
      </c>
      <c r="AG39" s="6">
        <v>28.226141271566519</v>
      </c>
      <c r="AH39" s="6">
        <v>0</v>
      </c>
      <c r="AI39" s="6">
        <v>12.03081623163612</v>
      </c>
      <c r="AJ39" s="6">
        <v>1005.108731531304</v>
      </c>
      <c r="AK39" s="6">
        <v>0</v>
      </c>
      <c r="AL39" s="6">
        <v>0</v>
      </c>
      <c r="AM39" s="6">
        <v>0</v>
      </c>
      <c r="AN39" s="6">
        <v>0</v>
      </c>
      <c r="AO39" s="6">
        <v>0</v>
      </c>
      <c r="AP39" s="6">
        <v>1005.108731531304</v>
      </c>
      <c r="AQ39" s="6">
        <v>1205.9830954481811</v>
      </c>
      <c r="AR39" s="6">
        <v>593.93245000000002</v>
      </c>
      <c r="AS39" s="6">
        <v>257.71608913458959</v>
      </c>
      <c r="AT39" s="6">
        <v>241.6845792206619</v>
      </c>
    </row>
    <row r="40" spans="1:46" x14ac:dyDescent="0.35">
      <c r="A40" s="5">
        <v>46022</v>
      </c>
      <c r="B40" s="4" t="s">
        <v>126</v>
      </c>
      <c r="C40" s="4" t="s">
        <v>127</v>
      </c>
      <c r="D40" s="4" t="s">
        <v>128</v>
      </c>
      <c r="E40" s="6">
        <v>2211</v>
      </c>
      <c r="F40" s="7">
        <v>9.1228000000000004E-2</v>
      </c>
      <c r="G40" s="6">
        <v>74.365936000000005</v>
      </c>
      <c r="H40" s="6">
        <v>1.5</v>
      </c>
      <c r="I40" s="6">
        <v>100</v>
      </c>
      <c r="J40" s="6">
        <v>1.5</v>
      </c>
      <c r="K40" s="8">
        <v>9.4945949139843346</v>
      </c>
      <c r="L40" s="6">
        <v>27.070468198946362</v>
      </c>
      <c r="M40" s="6">
        <v>13.264464755858199</v>
      </c>
      <c r="N40" s="6">
        <v>1.9713962914987391</v>
      </c>
      <c r="O40" s="6">
        <v>60.86706229187206</v>
      </c>
      <c r="P40" s="6">
        <v>103.17339153817539</v>
      </c>
      <c r="Q40" s="6">
        <v>32.943173561315952</v>
      </c>
      <c r="R40" s="6">
        <v>195.4046656408598</v>
      </c>
      <c r="S40" s="6">
        <v>31.720798036901918</v>
      </c>
      <c r="T40" s="6">
        <v>85.575147205602619</v>
      </c>
      <c r="U40" s="6">
        <v>345.64378444468031</v>
      </c>
      <c r="V40" s="6">
        <v>448.8171759828557</v>
      </c>
      <c r="W40" s="6">
        <v>4.4326024491573293</v>
      </c>
      <c r="X40" s="6">
        <v>393.506531</v>
      </c>
      <c r="Y40" s="6">
        <v>846.75630943201304</v>
      </c>
      <c r="Z40" s="6">
        <v>0</v>
      </c>
      <c r="AA40" s="6">
        <v>846.75630943201304</v>
      </c>
      <c r="AB40" s="6">
        <v>0</v>
      </c>
      <c r="AC40" s="6">
        <v>106.755005601804</v>
      </c>
      <c r="AD40" s="6">
        <v>0</v>
      </c>
      <c r="AE40" s="6">
        <v>0</v>
      </c>
      <c r="AF40" s="6">
        <v>953.51131503381703</v>
      </c>
      <c r="AG40" s="6">
        <v>16.59404080071867</v>
      </c>
      <c r="AH40" s="6">
        <v>0</v>
      </c>
      <c r="AI40" s="6">
        <v>55.313475450633398</v>
      </c>
      <c r="AJ40" s="6">
        <v>918.66382568336508</v>
      </c>
      <c r="AK40" s="6">
        <v>0</v>
      </c>
      <c r="AL40" s="6">
        <v>0</v>
      </c>
      <c r="AM40" s="6">
        <v>0</v>
      </c>
      <c r="AN40" s="6">
        <v>0</v>
      </c>
      <c r="AO40" s="6">
        <v>0</v>
      </c>
      <c r="AP40" s="6">
        <v>918.66382568336508</v>
      </c>
      <c r="AQ40" s="6">
        <v>1205.9999989886601</v>
      </c>
      <c r="AR40" s="6">
        <v>415.28477800000002</v>
      </c>
      <c r="AS40" s="6">
        <v>359.2436895566467</v>
      </c>
      <c r="AT40" s="6">
        <v>359.2436895566467</v>
      </c>
    </row>
    <row r="41" spans="1:46" x14ac:dyDescent="0.35">
      <c r="A41" s="5">
        <v>46022</v>
      </c>
      <c r="B41" s="4" t="s">
        <v>84</v>
      </c>
      <c r="C41" s="4" t="s">
        <v>85</v>
      </c>
      <c r="D41" s="4" t="s">
        <v>56</v>
      </c>
      <c r="E41" s="6">
        <v>1500</v>
      </c>
      <c r="F41" s="7">
        <v>0.2</v>
      </c>
      <c r="G41" s="6">
        <v>65.400000000000006</v>
      </c>
      <c r="H41" s="6">
        <v>1.962</v>
      </c>
      <c r="I41" s="6">
        <v>69.5</v>
      </c>
      <c r="J41" s="6">
        <v>1.3635900000000001</v>
      </c>
      <c r="K41" s="8">
        <v>12.76168524200642</v>
      </c>
      <c r="L41" s="6">
        <v>72.146398647627265</v>
      </c>
      <c r="M41" s="6">
        <v>53.555435144732762</v>
      </c>
      <c r="N41" s="6">
        <v>2.6645811084053168</v>
      </c>
      <c r="O41" s="6">
        <v>35.4593040438088</v>
      </c>
      <c r="P41" s="6">
        <v>163.82571894457411</v>
      </c>
      <c r="Q41" s="6">
        <v>50.1782851892021</v>
      </c>
      <c r="R41" s="6">
        <v>151.58708919385799</v>
      </c>
      <c r="S41" s="6">
        <v>51.221298415015632</v>
      </c>
      <c r="T41" s="6">
        <v>22.770472959265419</v>
      </c>
      <c r="U41" s="6">
        <v>275.75714575734122</v>
      </c>
      <c r="V41" s="6">
        <v>439.5828647019153</v>
      </c>
      <c r="W41" s="6">
        <v>67.11244656538976</v>
      </c>
      <c r="X41" s="6">
        <v>0</v>
      </c>
      <c r="Y41" s="6">
        <v>506.6953112673051</v>
      </c>
      <c r="Z41" s="6">
        <v>80.062733122361152</v>
      </c>
      <c r="AA41" s="6">
        <v>586.75804438966634</v>
      </c>
      <c r="AB41" s="6">
        <v>0</v>
      </c>
      <c r="AC41" s="6">
        <v>98.855886530286867</v>
      </c>
      <c r="AD41" s="6">
        <v>0</v>
      </c>
      <c r="AE41" s="6">
        <v>0</v>
      </c>
      <c r="AF41" s="6">
        <v>685.61393091995308</v>
      </c>
      <c r="AG41" s="6">
        <v>27.59327727355776</v>
      </c>
      <c r="AH41" s="6">
        <v>0</v>
      </c>
      <c r="AI41" s="6">
        <v>4.6696297752445819</v>
      </c>
      <c r="AJ41" s="6">
        <v>619.02095143846861</v>
      </c>
      <c r="AK41" s="6">
        <v>0</v>
      </c>
      <c r="AL41" s="6">
        <v>0</v>
      </c>
      <c r="AM41" s="6">
        <v>0</v>
      </c>
      <c r="AN41" s="6">
        <v>0</v>
      </c>
      <c r="AO41" s="6">
        <v>0</v>
      </c>
      <c r="AP41" s="6">
        <v>619.02095143846861</v>
      </c>
      <c r="AQ41" s="6">
        <v>1206.0088432893581</v>
      </c>
      <c r="AR41" s="6">
        <v>282.61290200000002</v>
      </c>
      <c r="AS41" s="6">
        <v>699.31353202205344</v>
      </c>
      <c r="AT41" s="6">
        <v>619.2507988996922</v>
      </c>
    </row>
    <row r="42" spans="1:46" x14ac:dyDescent="0.35">
      <c r="A42" s="5">
        <v>46022</v>
      </c>
      <c r="B42" s="4" t="s">
        <v>117</v>
      </c>
      <c r="C42" s="4" t="s">
        <v>118</v>
      </c>
      <c r="D42" s="4" t="s">
        <v>114</v>
      </c>
      <c r="E42" s="6">
        <v>6600</v>
      </c>
      <c r="F42" s="7">
        <v>1.0999999999999999E-2</v>
      </c>
      <c r="G42" s="6">
        <v>40</v>
      </c>
      <c r="H42" s="6">
        <v>0.28999999999999998</v>
      </c>
      <c r="I42" s="6">
        <v>100</v>
      </c>
      <c r="J42" s="6">
        <v>0.29039999999999999</v>
      </c>
      <c r="K42" s="8">
        <v>1.2576309375554691</v>
      </c>
      <c r="L42" s="6">
        <v>17.97457312605512</v>
      </c>
      <c r="M42" s="6">
        <v>25.668658428847909</v>
      </c>
      <c r="N42" s="6">
        <v>1.4496217360860091</v>
      </c>
      <c r="O42" s="6">
        <v>39.603771622748582</v>
      </c>
      <c r="P42" s="6">
        <v>84.696624913737622</v>
      </c>
      <c r="Q42" s="6">
        <v>8.1136525998916227</v>
      </c>
      <c r="R42" s="6">
        <v>21.078025376936861</v>
      </c>
      <c r="S42" s="6">
        <v>22.19885944061614</v>
      </c>
      <c r="T42" s="6">
        <v>41.740982247087381</v>
      </c>
      <c r="U42" s="6">
        <v>93.131519664531993</v>
      </c>
      <c r="V42" s="6">
        <v>177.82814457826959</v>
      </c>
      <c r="W42" s="6">
        <v>5.7317654898313153</v>
      </c>
      <c r="X42" s="6">
        <v>722.85177299999998</v>
      </c>
      <c r="Y42" s="6">
        <v>906.41168306810096</v>
      </c>
      <c r="Z42" s="6">
        <v>29.749354126242501</v>
      </c>
      <c r="AA42" s="6">
        <v>936.16103719434352</v>
      </c>
      <c r="AB42" s="6">
        <v>1.9643637296808181</v>
      </c>
      <c r="AC42" s="6">
        <v>139.17108957281141</v>
      </c>
      <c r="AD42" s="6">
        <v>0</v>
      </c>
      <c r="AE42" s="6">
        <v>0</v>
      </c>
      <c r="AF42" s="6">
        <v>1077.296490496836</v>
      </c>
      <c r="AG42" s="6">
        <v>14.7327474198265</v>
      </c>
      <c r="AH42" s="6">
        <v>0</v>
      </c>
      <c r="AI42" s="6">
        <v>71.131255238345133</v>
      </c>
      <c r="AJ42" s="6">
        <v>1023.989403582196</v>
      </c>
      <c r="AK42" s="6">
        <v>0</v>
      </c>
      <c r="AL42" s="6">
        <v>0</v>
      </c>
      <c r="AM42" s="6">
        <v>0</v>
      </c>
      <c r="AN42" s="6">
        <v>0</v>
      </c>
      <c r="AO42" s="6">
        <v>0</v>
      </c>
      <c r="AP42" s="6">
        <v>1023.989403582196</v>
      </c>
      <c r="AQ42" s="6">
        <v>1205.9999989886601</v>
      </c>
      <c r="AR42" s="6">
        <v>285.59869200000003</v>
      </c>
      <c r="AS42" s="6">
        <v>299.58831592055878</v>
      </c>
      <c r="AT42" s="6">
        <v>269.83896179431628</v>
      </c>
    </row>
    <row r="43" spans="1:46" x14ac:dyDescent="0.35">
      <c r="A43" s="5">
        <v>46022</v>
      </c>
      <c r="B43" s="4" t="s">
        <v>129</v>
      </c>
      <c r="C43" s="4" t="s">
        <v>130</v>
      </c>
      <c r="D43" s="4" t="s">
        <v>50</v>
      </c>
      <c r="E43" s="6">
        <v>1750</v>
      </c>
      <c r="F43" s="7">
        <v>2.3400000000000001E-2</v>
      </c>
      <c r="G43" s="6">
        <v>40</v>
      </c>
      <c r="H43" s="6">
        <v>0.16400000000000001</v>
      </c>
      <c r="I43" s="6">
        <v>90</v>
      </c>
      <c r="J43" s="6">
        <v>0.14716699999999999</v>
      </c>
      <c r="K43" s="8">
        <v>1.440331407246364</v>
      </c>
      <c r="L43" s="6">
        <v>12.75737927363781</v>
      </c>
      <c r="M43" s="6">
        <v>2.913188055672931</v>
      </c>
      <c r="N43" s="6">
        <v>7.5966445384522991</v>
      </c>
      <c r="O43" s="6">
        <v>20.43753876632411</v>
      </c>
      <c r="P43" s="6">
        <v>43.704750634087162</v>
      </c>
      <c r="Q43" s="6">
        <v>5.4942818091466998</v>
      </c>
      <c r="R43" s="6">
        <v>7.9825690841758723</v>
      </c>
      <c r="S43" s="6">
        <v>31.868110135421581</v>
      </c>
      <c r="T43" s="6">
        <v>23.9528890641066</v>
      </c>
      <c r="U43" s="6">
        <v>69.297850092850751</v>
      </c>
      <c r="V43" s="6">
        <v>113.0026007269379</v>
      </c>
      <c r="W43" s="6">
        <v>8.8988553483948412</v>
      </c>
      <c r="X43" s="6">
        <v>610.13678338214413</v>
      </c>
      <c r="Y43" s="6">
        <v>732.03823945747695</v>
      </c>
      <c r="Z43" s="6">
        <v>54.824527463882589</v>
      </c>
      <c r="AA43" s="6">
        <v>786.86276692135948</v>
      </c>
      <c r="AB43" s="6">
        <v>0</v>
      </c>
      <c r="AC43" s="6">
        <v>19.066028996977959</v>
      </c>
      <c r="AD43" s="6">
        <v>0</v>
      </c>
      <c r="AE43" s="6">
        <v>0</v>
      </c>
      <c r="AF43" s="6">
        <v>805.92879591833741</v>
      </c>
      <c r="AG43" s="6">
        <v>6.3080515232028418</v>
      </c>
      <c r="AH43" s="6">
        <v>0</v>
      </c>
      <c r="AI43" s="6">
        <v>21.750766750864361</v>
      </c>
      <c r="AJ43" s="6">
        <v>814.9215851954267</v>
      </c>
      <c r="AK43" s="6">
        <v>0</v>
      </c>
      <c r="AL43" s="6">
        <v>0</v>
      </c>
      <c r="AM43" s="6">
        <v>0</v>
      </c>
      <c r="AN43" s="6">
        <v>0</v>
      </c>
      <c r="AO43" s="6">
        <v>0</v>
      </c>
      <c r="AP43" s="6">
        <v>814.9215851954267</v>
      </c>
      <c r="AQ43" s="6">
        <v>1206.2704264619831</v>
      </c>
      <c r="AR43" s="6">
        <v>143.792968</v>
      </c>
      <c r="AS43" s="6">
        <v>474.23218700450661</v>
      </c>
      <c r="AT43" s="6">
        <v>419.40765954062402</v>
      </c>
    </row>
    <row r="44" spans="1:46" x14ac:dyDescent="0.35">
      <c r="A44" s="5">
        <v>46022</v>
      </c>
      <c r="B44" s="4" t="s">
        <v>115</v>
      </c>
      <c r="C44" s="4" t="s">
        <v>116</v>
      </c>
      <c r="D44" s="4" t="s">
        <v>80</v>
      </c>
      <c r="E44" s="6">
        <v>1000</v>
      </c>
      <c r="F44" s="7">
        <v>3.9300000000000002E-2</v>
      </c>
      <c r="G44" s="6">
        <v>55</v>
      </c>
      <c r="H44" s="6">
        <v>0.216</v>
      </c>
      <c r="I44" s="6">
        <v>70</v>
      </c>
      <c r="J44" s="6">
        <v>0.15116599999999999</v>
      </c>
      <c r="K44" s="8">
        <v>1.5146649974999811</v>
      </c>
      <c r="L44" s="6">
        <v>309.44958686813959</v>
      </c>
      <c r="M44" s="6">
        <v>45.423104113545939</v>
      </c>
      <c r="N44" s="6">
        <v>43.839269589426749</v>
      </c>
      <c r="O44" s="6">
        <v>526.38187267109424</v>
      </c>
      <c r="P44" s="6">
        <v>925.09383324220641</v>
      </c>
      <c r="Q44" s="6">
        <v>19.686605504735699</v>
      </c>
      <c r="R44" s="6">
        <v>35.46947520134897</v>
      </c>
      <c r="S44" s="6">
        <v>14.30884093662811</v>
      </c>
      <c r="T44" s="6">
        <v>55.42401858741718</v>
      </c>
      <c r="U44" s="6">
        <v>124.88894023013</v>
      </c>
      <c r="V44" s="6">
        <v>1049.982773472336</v>
      </c>
      <c r="W44" s="6">
        <v>63.323092354432411</v>
      </c>
      <c r="X44" s="6">
        <v>129.44771433350729</v>
      </c>
      <c r="Y44" s="6">
        <v>1242.753580160276</v>
      </c>
      <c r="Z44" s="6">
        <v>0</v>
      </c>
      <c r="AA44" s="6">
        <v>1242.753580160276</v>
      </c>
      <c r="AB44" s="6">
        <v>0</v>
      </c>
      <c r="AC44" s="6">
        <v>502.15168099018632</v>
      </c>
      <c r="AD44" s="6">
        <v>0</v>
      </c>
      <c r="AE44" s="6">
        <v>0</v>
      </c>
      <c r="AF44" s="6">
        <v>1744.9052611504619</v>
      </c>
      <c r="AG44" s="6">
        <v>4.7148122671483819</v>
      </c>
      <c r="AH44" s="6">
        <v>0</v>
      </c>
      <c r="AI44" s="6">
        <v>188.77055236752651</v>
      </c>
      <c r="AJ44" s="6">
        <v>1436.2389447949511</v>
      </c>
      <c r="AK44" s="6">
        <v>908.98811369231237</v>
      </c>
      <c r="AL44" s="6">
        <v>0</v>
      </c>
      <c r="AM44" s="6">
        <v>0</v>
      </c>
      <c r="AN44" s="6">
        <v>0</v>
      </c>
      <c r="AO44" s="6">
        <v>0</v>
      </c>
      <c r="AP44" s="6">
        <v>2345.2270584872631</v>
      </c>
      <c r="AQ44" s="6">
        <v>1206.2712504603239</v>
      </c>
      <c r="AR44" s="6">
        <v>268.049848</v>
      </c>
      <c r="AS44" s="6">
        <v>-36.482329699952018</v>
      </c>
      <c r="AT44" s="6">
        <v>-36.482329699952018</v>
      </c>
    </row>
    <row r="45" spans="1:46" x14ac:dyDescent="0.35">
      <c r="A45" s="5">
        <v>46022</v>
      </c>
      <c r="B45" s="4" t="s">
        <v>140</v>
      </c>
      <c r="C45" s="4" t="s">
        <v>141</v>
      </c>
      <c r="D45" s="4" t="s">
        <v>142</v>
      </c>
      <c r="E45" s="6">
        <v>1740</v>
      </c>
      <c r="F45" s="7">
        <v>4.5100000000000001E-2</v>
      </c>
      <c r="G45" s="6">
        <v>74</v>
      </c>
      <c r="H45" s="6">
        <v>0.58099999999999996</v>
      </c>
      <c r="I45" s="6">
        <v>30</v>
      </c>
      <c r="J45" s="6">
        <v>0.17430000000000001</v>
      </c>
      <c r="K45" s="8">
        <v>7.2619385339436597</v>
      </c>
      <c r="L45" s="6">
        <v>10.43239738011974</v>
      </c>
      <c r="M45" s="6">
        <v>38.484836041836303</v>
      </c>
      <c r="N45" s="6">
        <v>15.89855546828961</v>
      </c>
      <c r="O45" s="6">
        <v>165.49633687935491</v>
      </c>
      <c r="P45" s="6">
        <v>230.31212576960061</v>
      </c>
      <c r="Q45" s="6">
        <v>24.532521038709682</v>
      </c>
      <c r="R45" s="6">
        <v>27.4417702433385</v>
      </c>
      <c r="S45" s="6">
        <v>42.028495121849737</v>
      </c>
      <c r="T45" s="6">
        <v>204.14660681343511</v>
      </c>
      <c r="U45" s="6">
        <v>298.149393217333</v>
      </c>
      <c r="V45" s="6">
        <v>528.46151898693358</v>
      </c>
      <c r="W45" s="6">
        <v>6.2364129124799152</v>
      </c>
      <c r="X45" s="6">
        <v>443.84853847695382</v>
      </c>
      <c r="Y45" s="6">
        <v>978.54647037636732</v>
      </c>
      <c r="Z45" s="6">
        <v>61.216230210405371</v>
      </c>
      <c r="AA45" s="6">
        <v>1039.762700586773</v>
      </c>
      <c r="AB45" s="6">
        <v>1.078559265672298E-2</v>
      </c>
      <c r="AC45" s="6">
        <v>333.87088150154619</v>
      </c>
      <c r="AD45" s="6">
        <v>0</v>
      </c>
      <c r="AE45" s="6">
        <v>0</v>
      </c>
      <c r="AF45" s="6">
        <v>1373.6443676809761</v>
      </c>
      <c r="AG45" s="6">
        <v>37.796432437359172</v>
      </c>
      <c r="AH45" s="6">
        <v>0</v>
      </c>
      <c r="AI45" s="6">
        <v>121.0430892669135</v>
      </c>
      <c r="AJ45" s="6">
        <v>1198.613007883702</v>
      </c>
      <c r="AK45" s="6">
        <v>37.796432437359172</v>
      </c>
      <c r="AL45" s="6">
        <v>0</v>
      </c>
      <c r="AM45" s="6">
        <v>0</v>
      </c>
      <c r="AN45" s="6">
        <v>0</v>
      </c>
      <c r="AO45" s="6">
        <v>0</v>
      </c>
      <c r="AP45" s="6">
        <v>1236.4094403210611</v>
      </c>
      <c r="AQ45" s="6">
        <v>1205.9999989886601</v>
      </c>
      <c r="AR45" s="6">
        <v>50.932510000000001</v>
      </c>
      <c r="AS45" s="6">
        <v>227.45352861229239</v>
      </c>
      <c r="AT45" s="6">
        <v>166.23729840188699</v>
      </c>
    </row>
    <row r="46" spans="1:46" x14ac:dyDescent="0.35">
      <c r="A46" s="5">
        <v>46022</v>
      </c>
      <c r="B46" s="4" t="s">
        <v>131</v>
      </c>
      <c r="C46" s="4" t="s">
        <v>132</v>
      </c>
      <c r="D46" s="4" t="s">
        <v>128</v>
      </c>
      <c r="E46" s="6">
        <v>3350</v>
      </c>
      <c r="F46" s="7">
        <v>0.1079</v>
      </c>
      <c r="G46" s="6">
        <v>69.02</v>
      </c>
      <c r="H46" s="6">
        <v>2.4950000000000001</v>
      </c>
      <c r="I46" s="6">
        <v>100</v>
      </c>
      <c r="J46" s="6">
        <v>2.4947370000000002</v>
      </c>
      <c r="K46" s="8">
        <v>10.684309565238738</v>
      </c>
      <c r="L46" s="6">
        <v>7.2865824027841655E-2</v>
      </c>
      <c r="M46" s="6">
        <v>8.6073467265996015</v>
      </c>
      <c r="N46" s="6">
        <v>5.7298794690489811E-2</v>
      </c>
      <c r="O46" s="6">
        <v>15.01250169915733</v>
      </c>
      <c r="P46" s="6">
        <v>23.75001304447526</v>
      </c>
      <c r="Q46" s="6">
        <v>30.46871645933803</v>
      </c>
      <c r="R46" s="6">
        <v>117.6160904125237</v>
      </c>
      <c r="S46" s="6">
        <v>29.001441561622539</v>
      </c>
      <c r="T46" s="6">
        <v>96.378009423169956</v>
      </c>
      <c r="U46" s="6">
        <v>273.46425785665423</v>
      </c>
      <c r="V46" s="6">
        <v>297.21427090112951</v>
      </c>
      <c r="W46" s="6">
        <v>4.3637261843950412</v>
      </c>
      <c r="X46" s="6">
        <v>301.18377201015579</v>
      </c>
      <c r="Y46" s="6">
        <v>602.76176909568028</v>
      </c>
      <c r="Z46" s="6">
        <v>42.860921872405612</v>
      </c>
      <c r="AA46" s="6">
        <v>645.62269096808586</v>
      </c>
      <c r="AB46" s="6">
        <v>0</v>
      </c>
      <c r="AC46" s="6">
        <v>154.49664349317709</v>
      </c>
      <c r="AD46" s="6">
        <v>0</v>
      </c>
      <c r="AE46" s="6">
        <v>0</v>
      </c>
      <c r="AF46" s="6">
        <v>800.11933446126295</v>
      </c>
      <c r="AG46" s="6">
        <v>14.755105284775331</v>
      </c>
      <c r="AH46" s="6">
        <v>0</v>
      </c>
      <c r="AI46" s="6">
        <v>39.346945229196351</v>
      </c>
      <c r="AJ46" s="6">
        <v>699.72474148205765</v>
      </c>
      <c r="AK46" s="6">
        <v>0</v>
      </c>
      <c r="AL46" s="6">
        <v>0</v>
      </c>
      <c r="AM46" s="6">
        <v>0</v>
      </c>
      <c r="AN46" s="6">
        <v>0</v>
      </c>
      <c r="AO46" s="6">
        <v>0</v>
      </c>
      <c r="AP46" s="6">
        <v>699.72474148205765</v>
      </c>
      <c r="AQ46" s="6">
        <v>1205.98211253411</v>
      </c>
      <c r="AR46" s="6">
        <v>603.31677500000001</v>
      </c>
      <c r="AS46" s="6">
        <v>603.22034343843018</v>
      </c>
      <c r="AT46" s="6">
        <v>560.35942156602448</v>
      </c>
    </row>
    <row r="47" spans="1:46" x14ac:dyDescent="0.35">
      <c r="A47" s="5">
        <v>46022</v>
      </c>
      <c r="B47" s="4" t="s">
        <v>133</v>
      </c>
      <c r="C47" s="4" t="s">
        <v>134</v>
      </c>
      <c r="D47" s="4" t="s">
        <v>56</v>
      </c>
      <c r="E47" s="6">
        <v>20258.980785</v>
      </c>
      <c r="F47" s="7">
        <v>0.28999999999999998</v>
      </c>
      <c r="G47" s="6">
        <v>83.9</v>
      </c>
      <c r="H47" s="6">
        <v>49.292000000000002</v>
      </c>
      <c r="I47" s="6">
        <v>100</v>
      </c>
      <c r="J47" s="6">
        <v>49.292126000000003</v>
      </c>
      <c r="K47" s="8">
        <v>16.072901844381445</v>
      </c>
      <c r="L47" s="6">
        <v>7.3995128167330559</v>
      </c>
      <c r="M47" s="6">
        <v>7.0212829873567522</v>
      </c>
      <c r="N47" s="6">
        <v>9.8006345989308183</v>
      </c>
      <c r="O47" s="6">
        <v>100.0460297788364</v>
      </c>
      <c r="P47" s="6">
        <v>124.2674601818571</v>
      </c>
      <c r="Q47" s="6">
        <v>9.4153901925147956</v>
      </c>
      <c r="R47" s="6">
        <v>59.417800323704213</v>
      </c>
      <c r="S47" s="6">
        <v>123.8669880605688</v>
      </c>
      <c r="T47" s="6">
        <v>63.894856366607733</v>
      </c>
      <c r="U47" s="6">
        <v>256.5950349433956</v>
      </c>
      <c r="V47" s="6">
        <v>380.86249512525262</v>
      </c>
      <c r="W47" s="6">
        <v>0</v>
      </c>
      <c r="X47" s="6">
        <v>414.5820183268774</v>
      </c>
      <c r="Y47" s="6">
        <v>795.44451345212997</v>
      </c>
      <c r="Z47" s="6">
        <v>41.670891857283628</v>
      </c>
      <c r="AA47" s="6">
        <v>837.11540530941363</v>
      </c>
      <c r="AB47" s="6">
        <v>0</v>
      </c>
      <c r="AC47" s="6">
        <v>51.706113359286718</v>
      </c>
      <c r="AD47" s="6">
        <v>0</v>
      </c>
      <c r="AE47" s="6">
        <v>0</v>
      </c>
      <c r="AF47" s="6">
        <v>888.82151866870026</v>
      </c>
      <c r="AG47" s="6">
        <v>6.1020078341114834</v>
      </c>
      <c r="AH47" s="6">
        <v>0</v>
      </c>
      <c r="AI47" s="6">
        <v>0.98305656583284162</v>
      </c>
      <c r="AJ47" s="6">
        <v>844.20046970935789</v>
      </c>
      <c r="AK47" s="6">
        <v>7.6910537403698553</v>
      </c>
      <c r="AL47" s="6">
        <v>0</v>
      </c>
      <c r="AM47" s="6">
        <v>0</v>
      </c>
      <c r="AN47" s="6">
        <v>0</v>
      </c>
      <c r="AO47" s="6">
        <v>0</v>
      </c>
      <c r="AP47" s="6">
        <v>851.89152344972786</v>
      </c>
      <c r="AQ47" s="6">
        <v>1205.9993628627201</v>
      </c>
      <c r="AR47" s="6">
        <v>5801.3822499999997</v>
      </c>
      <c r="AS47" s="6">
        <v>410.5548494105899</v>
      </c>
      <c r="AT47" s="6">
        <v>368.88395755330629</v>
      </c>
    </row>
    <row r="48" spans="1:46" x14ac:dyDescent="0.35">
      <c r="A48" s="5">
        <v>46022</v>
      </c>
      <c r="B48" s="4" t="s">
        <v>143</v>
      </c>
      <c r="C48" s="4" t="s">
        <v>144</v>
      </c>
      <c r="D48" s="4" t="s">
        <v>67</v>
      </c>
      <c r="E48" s="6">
        <v>18000</v>
      </c>
      <c r="F48" s="7">
        <v>1.4999999999999999E-2</v>
      </c>
      <c r="G48" s="6">
        <v>45</v>
      </c>
      <c r="H48" s="6">
        <v>1.2150000000000001</v>
      </c>
      <c r="I48" s="6">
        <v>30</v>
      </c>
      <c r="J48" s="6">
        <v>0.36449999999999999</v>
      </c>
      <c r="K48" s="8">
        <v>1.2316186832810281</v>
      </c>
      <c r="L48" s="6">
        <v>44.5786196869945</v>
      </c>
      <c r="M48" s="6">
        <v>28.690533763244439</v>
      </c>
      <c r="N48" s="6">
        <v>4.5479018423480442</v>
      </c>
      <c r="O48" s="6">
        <v>74.513192190885107</v>
      </c>
      <c r="P48" s="6">
        <v>152.33024748347211</v>
      </c>
      <c r="Q48" s="6">
        <v>54.604648154930949</v>
      </c>
      <c r="R48" s="6">
        <v>335.28591177728549</v>
      </c>
      <c r="S48" s="6">
        <v>42.62047983735831</v>
      </c>
      <c r="T48" s="6">
        <v>103.1140613631845</v>
      </c>
      <c r="U48" s="6">
        <v>535.62510113275926</v>
      </c>
      <c r="V48" s="6">
        <v>687.95534861623128</v>
      </c>
      <c r="W48" s="6">
        <v>5.7924948389501454</v>
      </c>
      <c r="X48" s="6">
        <v>320.74109029007627</v>
      </c>
      <c r="Y48" s="6">
        <v>1014.488933745258</v>
      </c>
      <c r="Z48" s="6">
        <v>0</v>
      </c>
      <c r="AA48" s="6">
        <v>1014.488933745258</v>
      </c>
      <c r="AB48" s="6">
        <v>0</v>
      </c>
      <c r="AC48" s="6">
        <v>188.10395187760221</v>
      </c>
      <c r="AD48" s="6">
        <v>0</v>
      </c>
      <c r="AE48" s="6">
        <v>0</v>
      </c>
      <c r="AF48" s="6">
        <v>1202.59288562286</v>
      </c>
      <c r="AG48" s="6">
        <v>31.682646878918941</v>
      </c>
      <c r="AH48" s="6">
        <v>7.9206688483259979</v>
      </c>
      <c r="AI48" s="6">
        <v>116.44847135567301</v>
      </c>
      <c r="AJ48" s="6">
        <v>1170.5407208281761</v>
      </c>
      <c r="AK48" s="6">
        <v>0</v>
      </c>
      <c r="AL48" s="6">
        <v>0</v>
      </c>
      <c r="AM48" s="6">
        <v>0</v>
      </c>
      <c r="AN48" s="6">
        <v>0</v>
      </c>
      <c r="AO48" s="6">
        <v>0</v>
      </c>
      <c r="AP48" s="6">
        <v>1170.5407208281761</v>
      </c>
      <c r="AQ48" s="6">
        <v>1205.9999989886601</v>
      </c>
      <c r="AR48" s="6">
        <v>659.75013200000001</v>
      </c>
      <c r="AS48" s="6">
        <v>191.51106524340199</v>
      </c>
      <c r="AT48" s="6">
        <v>191.51106524340199</v>
      </c>
    </row>
    <row r="49" spans="1:46" x14ac:dyDescent="0.35">
      <c r="A49" s="5">
        <v>46022</v>
      </c>
      <c r="B49" s="4" t="s">
        <v>119</v>
      </c>
      <c r="C49" s="4" t="s">
        <v>120</v>
      </c>
      <c r="D49" s="4" t="s">
        <v>50</v>
      </c>
      <c r="E49" s="6">
        <v>705</v>
      </c>
      <c r="F49" s="7">
        <v>2.4E-2</v>
      </c>
      <c r="G49" s="6">
        <v>90</v>
      </c>
      <c r="H49" s="6">
        <v>0.152</v>
      </c>
      <c r="I49" s="6">
        <v>92</v>
      </c>
      <c r="J49" s="6">
        <v>0.140098</v>
      </c>
      <c r="K49" s="8">
        <v>4.4203127525369652</v>
      </c>
      <c r="L49" s="6">
        <v>57.630876308587943</v>
      </c>
      <c r="M49" s="6">
        <v>11.68900600146112</v>
      </c>
      <c r="N49" s="6">
        <v>6.8615544316194859</v>
      </c>
      <c r="O49" s="6">
        <v>36.61400285668828</v>
      </c>
      <c r="P49" s="6">
        <v>112.79543959835679</v>
      </c>
      <c r="Q49" s="6">
        <v>15.290918744470581</v>
      </c>
      <c r="R49" s="6">
        <v>16.22709661946709</v>
      </c>
      <c r="S49" s="6">
        <v>32.04052785086936</v>
      </c>
      <c r="T49" s="6">
        <v>27.452826444475519</v>
      </c>
      <c r="U49" s="6">
        <v>91.011369659282536</v>
      </c>
      <c r="V49" s="6">
        <v>203.8068092576394</v>
      </c>
      <c r="W49" s="6">
        <v>21.301639902700369</v>
      </c>
      <c r="X49" s="6">
        <v>655.11299164629315</v>
      </c>
      <c r="Y49" s="6">
        <v>880.22144080663293</v>
      </c>
      <c r="Z49" s="6">
        <v>14.60494884383961</v>
      </c>
      <c r="AA49" s="6">
        <v>894.82638965047249</v>
      </c>
      <c r="AB49" s="6">
        <v>0</v>
      </c>
      <c r="AC49" s="6">
        <v>3.1324213447453149</v>
      </c>
      <c r="AD49" s="6">
        <v>0</v>
      </c>
      <c r="AE49" s="6">
        <v>0</v>
      </c>
      <c r="AF49" s="6">
        <v>897.95881099521785</v>
      </c>
      <c r="AG49" s="6">
        <v>32.358866265436369</v>
      </c>
      <c r="AH49" s="6">
        <v>0</v>
      </c>
      <c r="AI49" s="6">
        <v>24.520735017045912</v>
      </c>
      <c r="AJ49" s="6">
        <v>951.70599093295482</v>
      </c>
      <c r="AK49" s="6">
        <v>0</v>
      </c>
      <c r="AL49" s="6">
        <v>0</v>
      </c>
      <c r="AM49" s="6">
        <v>0</v>
      </c>
      <c r="AN49" s="6">
        <v>0</v>
      </c>
      <c r="AO49" s="6">
        <v>0</v>
      </c>
      <c r="AP49" s="6">
        <v>951.70599093295482</v>
      </c>
      <c r="AQ49" s="6">
        <v>1206.0172155085099</v>
      </c>
      <c r="AR49" s="6">
        <v>49.326742000000003</v>
      </c>
      <c r="AS49" s="6">
        <v>325.79577470187712</v>
      </c>
      <c r="AT49" s="6">
        <v>311.1908258580375</v>
      </c>
    </row>
    <row r="50" spans="1:46" x14ac:dyDescent="0.35">
      <c r="A50" s="5">
        <v>46022</v>
      </c>
      <c r="B50" s="4" t="s">
        <v>145</v>
      </c>
      <c r="C50" s="4" t="s">
        <v>146</v>
      </c>
      <c r="D50" s="4" t="s">
        <v>80</v>
      </c>
      <c r="E50" s="6">
        <v>2100</v>
      </c>
      <c r="F50" s="7">
        <v>0.12</v>
      </c>
      <c r="G50" s="6">
        <v>50</v>
      </c>
      <c r="H50" s="6">
        <v>1.26</v>
      </c>
      <c r="I50" s="6">
        <v>100</v>
      </c>
      <c r="J50" s="6">
        <v>1.26</v>
      </c>
      <c r="K50" s="8">
        <v>5.455669843453375</v>
      </c>
      <c r="L50" s="6">
        <v>235.36394033014949</v>
      </c>
      <c r="M50" s="6">
        <v>121.35044128617911</v>
      </c>
      <c r="N50" s="6">
        <v>72.586760102415795</v>
      </c>
      <c r="O50" s="6">
        <v>649.87204878634009</v>
      </c>
      <c r="P50" s="6">
        <v>1079.173190505084</v>
      </c>
      <c r="Q50" s="6">
        <v>70.672923428779455</v>
      </c>
      <c r="R50" s="6">
        <v>46.467878667037809</v>
      </c>
      <c r="S50" s="6">
        <v>46.63248415045431</v>
      </c>
      <c r="T50" s="6">
        <v>84.007360855734035</v>
      </c>
      <c r="U50" s="6">
        <v>247.78064710200559</v>
      </c>
      <c r="V50" s="6">
        <v>1326.95383760709</v>
      </c>
      <c r="W50" s="6">
        <v>0</v>
      </c>
      <c r="X50" s="6">
        <v>284.36200100000002</v>
      </c>
      <c r="Y50" s="6">
        <v>1611.31583860709</v>
      </c>
      <c r="Z50" s="6">
        <v>31.449044410427909</v>
      </c>
      <c r="AA50" s="6">
        <v>1642.7648830175181</v>
      </c>
      <c r="AB50" s="6">
        <v>0</v>
      </c>
      <c r="AC50" s="6">
        <v>636.61947381205005</v>
      </c>
      <c r="AD50" s="6">
        <v>0</v>
      </c>
      <c r="AE50" s="6">
        <v>0</v>
      </c>
      <c r="AF50" s="6">
        <v>2279.3843568295679</v>
      </c>
      <c r="AG50" s="6">
        <v>20.262774939043538</v>
      </c>
      <c r="AH50" s="6">
        <v>0</v>
      </c>
      <c r="AI50" s="6">
        <v>82.793043673512528</v>
      </c>
      <c r="AJ50" s="6">
        <v>1745.8207016300739</v>
      </c>
      <c r="AK50" s="6">
        <v>102.1284225216361</v>
      </c>
      <c r="AL50" s="6">
        <v>0</v>
      </c>
      <c r="AM50" s="6">
        <v>0</v>
      </c>
      <c r="AN50" s="6">
        <v>0</v>
      </c>
      <c r="AO50" s="6">
        <v>0</v>
      </c>
      <c r="AP50" s="6">
        <v>1847.9491241517101</v>
      </c>
      <c r="AQ50" s="6">
        <v>1205.9999989886601</v>
      </c>
      <c r="AR50" s="6">
        <v>571.87619299999994</v>
      </c>
      <c r="AS50" s="6">
        <v>-405.31583961843029</v>
      </c>
      <c r="AT50" s="6">
        <v>-436.76488402885821</v>
      </c>
    </row>
    <row r="51" spans="1:46" x14ac:dyDescent="0.35">
      <c r="A51" s="5">
        <v>46022</v>
      </c>
      <c r="B51" s="4" t="s">
        <v>147</v>
      </c>
      <c r="C51" s="4" t="s">
        <v>148</v>
      </c>
      <c r="D51" s="4" t="s">
        <v>109</v>
      </c>
      <c r="E51" s="6">
        <v>7560</v>
      </c>
      <c r="F51" s="7">
        <v>1.1000000000000001E-3</v>
      </c>
      <c r="G51" s="6">
        <v>70</v>
      </c>
      <c r="H51" s="6">
        <v>5.7000000000000002E-2</v>
      </c>
      <c r="I51" s="6">
        <v>100</v>
      </c>
      <c r="J51" s="6">
        <v>5.7089000000000001E-2</v>
      </c>
      <c r="K51" s="8">
        <v>0.17095237235709901</v>
      </c>
      <c r="L51" s="6">
        <v>107.8944464557289</v>
      </c>
      <c r="M51" s="6">
        <v>5.0065059619500047</v>
      </c>
      <c r="N51" s="6">
        <v>6.0393296297110277</v>
      </c>
      <c r="O51" s="6">
        <v>350.96652545074789</v>
      </c>
      <c r="P51" s="6">
        <v>469.90680749813788</v>
      </c>
      <c r="Q51" s="6">
        <v>31.774384083577441</v>
      </c>
      <c r="R51" s="6">
        <v>6.7828977730970683</v>
      </c>
      <c r="S51" s="6">
        <v>47.492041931485261</v>
      </c>
      <c r="T51" s="6">
        <v>60.663339315322261</v>
      </c>
      <c r="U51" s="6">
        <v>146.71266310348199</v>
      </c>
      <c r="V51" s="6">
        <v>616.61947060161992</v>
      </c>
      <c r="W51" s="6">
        <v>0</v>
      </c>
      <c r="X51" s="6">
        <v>89.972976450669876</v>
      </c>
      <c r="Y51" s="6">
        <v>706.5924470522898</v>
      </c>
      <c r="Z51" s="6">
        <v>41.621414364767823</v>
      </c>
      <c r="AA51" s="6">
        <v>748.21386141705761</v>
      </c>
      <c r="AB51" s="6">
        <v>0</v>
      </c>
      <c r="AC51" s="6">
        <v>247.834706271041</v>
      </c>
      <c r="AD51" s="6">
        <v>0</v>
      </c>
      <c r="AE51" s="6">
        <v>0</v>
      </c>
      <c r="AF51" s="6">
        <v>996.04856768809861</v>
      </c>
      <c r="AG51" s="6">
        <v>61.984412186985807</v>
      </c>
      <c r="AH51" s="6">
        <v>0</v>
      </c>
      <c r="AI51" s="6">
        <v>166.3856738369733</v>
      </c>
      <c r="AJ51" s="6">
        <v>976.58394744101668</v>
      </c>
      <c r="AK51" s="6">
        <v>135.82772583307599</v>
      </c>
      <c r="AL51" s="6">
        <v>0</v>
      </c>
      <c r="AM51" s="6">
        <v>0</v>
      </c>
      <c r="AN51" s="6">
        <v>0</v>
      </c>
      <c r="AO51" s="6">
        <v>0</v>
      </c>
      <c r="AP51" s="6">
        <v>1112.4116732740929</v>
      </c>
      <c r="AQ51" s="6">
        <v>1206.2323730009721</v>
      </c>
      <c r="AR51" s="6">
        <v>931.56297400000005</v>
      </c>
      <c r="AS51" s="6">
        <v>499.63992594868182</v>
      </c>
      <c r="AT51" s="6">
        <v>458.01851158391401</v>
      </c>
    </row>
  </sheetData>
  <mergeCells count="47">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AA6:AA9"/>
    <mergeCell ref="AB6:AB9"/>
    <mergeCell ref="AC6:AC9"/>
    <mergeCell ref="AD6:AD9"/>
    <mergeCell ref="AE6:AE9"/>
    <mergeCell ref="AF6:AF9"/>
    <mergeCell ref="AG6:AG9"/>
    <mergeCell ref="AH6:AH9"/>
    <mergeCell ref="AI6:AI9"/>
    <mergeCell ref="AJ6:AJ9"/>
    <mergeCell ref="AK6:AK9"/>
    <mergeCell ref="AL6:AL9"/>
    <mergeCell ref="AM6:AM9"/>
    <mergeCell ref="AS6:AS9"/>
    <mergeCell ref="AT6:AT9"/>
    <mergeCell ref="AN6:AN9"/>
    <mergeCell ref="AO6:AO9"/>
    <mergeCell ref="AP6:AP9"/>
    <mergeCell ref="AQ6:AQ9"/>
    <mergeCell ref="AR6:AR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AU51"/>
  <sheetViews>
    <sheetView zoomScale="40" workbookViewId="0">
      <selection activeCell="J10" sqref="J10:J51"/>
    </sheetView>
  </sheetViews>
  <sheetFormatPr defaultRowHeight="14.5" x14ac:dyDescent="0.35"/>
  <cols>
    <col min="1" max="1" width="48.54296875" customWidth="1"/>
    <col min="2" max="2" width="23.7265625" customWidth="1"/>
    <col min="3" max="3" width="16.1796875" customWidth="1"/>
    <col min="4" max="4" width="20.81640625" customWidth="1"/>
    <col min="5" max="5" width="23.54296875" customWidth="1"/>
    <col min="6" max="6" width="20.54296875" customWidth="1"/>
    <col min="7" max="7" width="17.54296875" customWidth="1"/>
    <col min="8" max="9" width="16.1796875" customWidth="1"/>
    <col min="10" max="10" width="17.54296875" customWidth="1"/>
    <col min="11" max="12" width="22.453125" customWidth="1"/>
    <col min="13" max="13" width="21.1796875" customWidth="1"/>
    <col min="14" max="14" width="22.453125" customWidth="1"/>
    <col min="15" max="24" width="21.1796875" customWidth="1"/>
    <col min="25" max="26" width="22" customWidth="1"/>
    <col min="27" max="27" width="21.1796875" customWidth="1"/>
    <col min="28" max="28" width="22" customWidth="1"/>
    <col min="29" max="29" width="22.453125" customWidth="1"/>
    <col min="30" max="30" width="21.1796875" customWidth="1"/>
    <col min="31" max="32" width="16.1796875" customWidth="1"/>
    <col min="33" max="33" width="22" customWidth="1"/>
    <col min="34" max="36" width="21.1796875" customWidth="1"/>
    <col min="37" max="37" width="22" customWidth="1"/>
    <col min="38" max="39" width="21.1796875" customWidth="1"/>
    <col min="40" max="41" width="16.1796875" customWidth="1"/>
    <col min="42" max="42" width="21.1796875" customWidth="1"/>
    <col min="43" max="43" width="22" customWidth="1"/>
    <col min="44" max="44" width="21.1796875" customWidth="1"/>
    <col min="45" max="45" width="21.54296875" customWidth="1"/>
    <col min="46" max="47" width="22" customWidth="1"/>
  </cols>
  <sheetData>
    <row r="1" spans="1:47" ht="40" customHeight="1" x14ac:dyDescent="0.35">
      <c r="A1" s="16"/>
      <c r="B1" s="16"/>
      <c r="C1" s="16"/>
      <c r="D1" s="16"/>
    </row>
    <row r="2" spans="1:47" ht="30" customHeight="1" x14ac:dyDescent="0.45">
      <c r="A2" s="1" t="s">
        <v>193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row>
    <row r="3" spans="1:47" x14ac:dyDescent="0.35">
      <c r="A3" s="3" t="s">
        <v>0</v>
      </c>
    </row>
    <row r="4" spans="1:47" x14ac:dyDescent="0.35">
      <c r="A4" s="3" t="s">
        <v>1</v>
      </c>
    </row>
    <row r="5" spans="1:47" x14ac:dyDescent="0.35">
      <c r="A5" s="4"/>
    </row>
    <row r="6" spans="1:47" x14ac:dyDescent="0.35">
      <c r="A6" s="28" t="s">
        <v>2</v>
      </c>
      <c r="B6" s="28" t="s">
        <v>3</v>
      </c>
      <c r="C6" s="28" t="s">
        <v>4</v>
      </c>
      <c r="D6" s="28" t="s">
        <v>5</v>
      </c>
      <c r="E6" s="18" t="s">
        <v>13</v>
      </c>
      <c r="F6" s="18" t="s">
        <v>150</v>
      </c>
      <c r="G6" s="18" t="s">
        <v>151</v>
      </c>
      <c r="H6" s="18" t="s">
        <v>152</v>
      </c>
      <c r="I6" s="18" t="s">
        <v>153</v>
      </c>
      <c r="J6" s="18" t="s">
        <v>154</v>
      </c>
      <c r="K6" s="18" t="s">
        <v>155</v>
      </c>
      <c r="L6" s="18" t="s">
        <v>156</v>
      </c>
      <c r="M6" s="18" t="s">
        <v>157</v>
      </c>
      <c r="N6" s="18" t="s">
        <v>158</v>
      </c>
      <c r="O6" s="18" t="s">
        <v>159</v>
      </c>
      <c r="P6" s="18" t="s">
        <v>160</v>
      </c>
      <c r="Q6" s="18" t="s">
        <v>161</v>
      </c>
      <c r="R6" s="18" t="s">
        <v>162</v>
      </c>
      <c r="S6" s="18" t="s">
        <v>163</v>
      </c>
      <c r="T6" s="18" t="s">
        <v>164</v>
      </c>
      <c r="U6" s="18" t="s">
        <v>165</v>
      </c>
      <c r="V6" s="18" t="s">
        <v>166</v>
      </c>
      <c r="W6" s="18" t="s">
        <v>167</v>
      </c>
      <c r="X6" s="18" t="s">
        <v>168</v>
      </c>
      <c r="Y6" s="18" t="s">
        <v>192</v>
      </c>
      <c r="Z6" s="18" t="s">
        <v>169</v>
      </c>
      <c r="AA6" s="18" t="s">
        <v>170</v>
      </c>
      <c r="AB6" s="18" t="s">
        <v>171</v>
      </c>
      <c r="AC6" s="18" t="s">
        <v>172</v>
      </c>
      <c r="AD6" s="18" t="s">
        <v>173</v>
      </c>
      <c r="AE6" s="18" t="s">
        <v>174</v>
      </c>
      <c r="AF6" s="18" t="s">
        <v>175</v>
      </c>
      <c r="AG6" s="18" t="s">
        <v>176</v>
      </c>
      <c r="AH6" s="18" t="s">
        <v>177</v>
      </c>
      <c r="AI6" s="18" t="s">
        <v>178</v>
      </c>
      <c r="AJ6" s="18" t="s">
        <v>179</v>
      </c>
      <c r="AK6" s="18" t="s">
        <v>180</v>
      </c>
      <c r="AL6" s="18" t="s">
        <v>181</v>
      </c>
      <c r="AM6" s="18" t="s">
        <v>182</v>
      </c>
      <c r="AN6" s="18" t="s">
        <v>183</v>
      </c>
      <c r="AO6" s="18" t="s">
        <v>184</v>
      </c>
      <c r="AP6" s="18" t="s">
        <v>185</v>
      </c>
      <c r="AQ6" s="18" t="s">
        <v>186</v>
      </c>
      <c r="AR6" s="18" t="s">
        <v>187</v>
      </c>
      <c r="AS6" s="18" t="s">
        <v>188</v>
      </c>
      <c r="AT6" s="18" t="s">
        <v>189</v>
      </c>
      <c r="AU6" s="18" t="s">
        <v>190</v>
      </c>
    </row>
    <row r="7" spans="1:47" hidden="1" x14ac:dyDescent="0.35">
      <c r="A7" s="28"/>
      <c r="B7" s="28"/>
      <c r="C7" s="28"/>
      <c r="D7" s="2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row>
    <row r="8" spans="1:47" hidden="1" x14ac:dyDescent="0.35">
      <c r="A8" s="28"/>
      <c r="B8" s="28"/>
      <c r="C8" s="28"/>
      <c r="D8" s="2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row>
    <row r="9" spans="1:47" hidden="1" x14ac:dyDescent="0.35">
      <c r="A9" s="28"/>
      <c r="B9" s="28"/>
      <c r="C9" s="28"/>
      <c r="D9" s="2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row>
    <row r="10" spans="1:47" hidden="1" x14ac:dyDescent="0.35">
      <c r="A10" s="5">
        <v>46022</v>
      </c>
      <c r="B10" s="4" t="s">
        <v>48</v>
      </c>
      <c r="C10" s="4" t="s">
        <v>49</v>
      </c>
      <c r="D10" s="4" t="s">
        <v>50</v>
      </c>
      <c r="E10" s="6">
        <v>165</v>
      </c>
      <c r="F10" s="7">
        <v>2.9000000000000001E-2</v>
      </c>
      <c r="G10" s="6">
        <v>60</v>
      </c>
      <c r="H10" s="6">
        <v>2.9000000000000001E-2</v>
      </c>
      <c r="I10" s="6">
        <v>95</v>
      </c>
      <c r="J10" s="6">
        <v>2.7274E-2</v>
      </c>
      <c r="K10" s="8">
        <v>7.3440000000000003</v>
      </c>
      <c r="L10" s="6">
        <v>880.60522331155289</v>
      </c>
      <c r="M10" s="6">
        <v>0</v>
      </c>
      <c r="N10" s="6">
        <v>231.05837167521389</v>
      </c>
      <c r="O10" s="6">
        <v>1479.4415489503931</v>
      </c>
      <c r="P10" s="6">
        <v>2591.1051439371599</v>
      </c>
      <c r="Q10" s="6">
        <v>953.27874874228087</v>
      </c>
      <c r="R10" s="6">
        <v>489.374769297189</v>
      </c>
      <c r="S10" s="6">
        <v>771.24519888377063</v>
      </c>
      <c r="T10" s="6">
        <v>685.54732418833578</v>
      </c>
      <c r="U10" s="6">
        <v>2899.4460411115761</v>
      </c>
      <c r="V10" s="6">
        <v>5490.5511850487364</v>
      </c>
      <c r="W10" s="6">
        <v>1255.301550909757</v>
      </c>
      <c r="X10" s="6">
        <v>3224.084511807474</v>
      </c>
      <c r="Y10" s="6">
        <v>-11701.048904598651</v>
      </c>
      <c r="Z10" s="6">
        <v>-1731.111656832679</v>
      </c>
      <c r="AA10" s="6">
        <v>2051.335930428359</v>
      </c>
      <c r="AB10" s="6">
        <v>320.22427359568042</v>
      </c>
      <c r="AC10" s="6">
        <v>0</v>
      </c>
      <c r="AD10" s="6">
        <v>1075.5152151332161</v>
      </c>
      <c r="AE10" s="6">
        <v>0</v>
      </c>
      <c r="AF10" s="6">
        <v>0</v>
      </c>
      <c r="AG10" s="6">
        <v>1395.739488728896</v>
      </c>
      <c r="AH10" s="6">
        <v>616.78305185212378</v>
      </c>
      <c r="AI10" s="6">
        <v>0</v>
      </c>
      <c r="AJ10" s="6">
        <v>296.82690373114849</v>
      </c>
      <c r="AK10" s="6">
        <v>1233.8342291789529</v>
      </c>
      <c r="AL10" s="6">
        <v>0</v>
      </c>
      <c r="AM10" s="6">
        <v>0</v>
      </c>
      <c r="AN10" s="6">
        <v>0</v>
      </c>
      <c r="AO10" s="6">
        <v>0</v>
      </c>
      <c r="AP10" s="6">
        <v>0</v>
      </c>
      <c r="AQ10" s="6">
        <v>1233.8342291789529</v>
      </c>
      <c r="AR10" s="6">
        <v>1207.1496653365989</v>
      </c>
      <c r="AS10" s="6">
        <v>8.148695</v>
      </c>
      <c r="AT10" s="6">
        <v>2938.2613221692782</v>
      </c>
      <c r="AU10" s="6">
        <v>886.92539174091894</v>
      </c>
    </row>
    <row r="11" spans="1:47" hidden="1" x14ac:dyDescent="0.35">
      <c r="A11" s="5">
        <v>46022</v>
      </c>
      <c r="B11" s="4" t="s">
        <v>86</v>
      </c>
      <c r="C11" s="4" t="s">
        <v>87</v>
      </c>
      <c r="D11" s="4" t="s">
        <v>88</v>
      </c>
      <c r="E11" s="6">
        <v>3045.8785459999999</v>
      </c>
      <c r="F11" s="7">
        <v>0.1</v>
      </c>
      <c r="G11" s="6">
        <v>75</v>
      </c>
      <c r="H11" s="6">
        <v>2.2839999999999998</v>
      </c>
      <c r="I11" s="6">
        <v>100</v>
      </c>
      <c r="J11" s="6">
        <v>2.2844090000000001</v>
      </c>
      <c r="K11" s="8">
        <v>11.778</v>
      </c>
      <c r="L11" s="6">
        <v>525.51008471350474</v>
      </c>
      <c r="M11" s="6">
        <v>52.471381845926047</v>
      </c>
      <c r="N11" s="6">
        <v>558.55598097036068</v>
      </c>
      <c r="O11" s="6">
        <v>4185.6476521852101</v>
      </c>
      <c r="P11" s="6">
        <v>5322.1850997150013</v>
      </c>
      <c r="Q11" s="6">
        <v>553.72752062248821</v>
      </c>
      <c r="R11" s="6">
        <v>952.19914859713867</v>
      </c>
      <c r="S11" s="6">
        <v>521.12227421588454</v>
      </c>
      <c r="T11" s="6">
        <v>1586.6511695728959</v>
      </c>
      <c r="U11" s="6">
        <v>3613.7001130084068</v>
      </c>
      <c r="V11" s="6">
        <v>8935.8852127234095</v>
      </c>
      <c r="W11" s="6">
        <v>495.18305265615919</v>
      </c>
      <c r="X11" s="6">
        <v>112.82215650717541</v>
      </c>
      <c r="Y11" s="6">
        <v>-7973.2207923149344</v>
      </c>
      <c r="Z11" s="6">
        <v>1570.6696295718091</v>
      </c>
      <c r="AA11" s="6">
        <v>160.3166422031513</v>
      </c>
      <c r="AB11" s="6">
        <v>1730.98627177496</v>
      </c>
      <c r="AC11" s="6">
        <v>0</v>
      </c>
      <c r="AD11" s="6">
        <v>5083.1373337925252</v>
      </c>
      <c r="AE11" s="6">
        <v>0</v>
      </c>
      <c r="AF11" s="6">
        <v>0</v>
      </c>
      <c r="AG11" s="6">
        <v>6814.1236055674854</v>
      </c>
      <c r="AH11" s="6">
        <v>881.46353806232048</v>
      </c>
      <c r="AI11" s="6">
        <v>178.70401665165329</v>
      </c>
      <c r="AJ11" s="6">
        <v>1588.4804168101639</v>
      </c>
      <c r="AK11" s="6">
        <v>4379.6342432990978</v>
      </c>
      <c r="AL11" s="6">
        <v>0</v>
      </c>
      <c r="AM11" s="6">
        <v>157.088829102902</v>
      </c>
      <c r="AN11" s="6">
        <v>0</v>
      </c>
      <c r="AO11" s="6">
        <v>0</v>
      </c>
      <c r="AP11" s="6">
        <v>0</v>
      </c>
      <c r="AQ11" s="6">
        <v>4536.7230724020001</v>
      </c>
      <c r="AR11" s="6">
        <v>1205.995247650352</v>
      </c>
      <c r="AS11" s="6">
        <v>525.86245099999996</v>
      </c>
      <c r="AT11" s="6">
        <v>-364.67438192145647</v>
      </c>
      <c r="AU11" s="6">
        <v>-524.99102412460775</v>
      </c>
    </row>
    <row r="12" spans="1:47" hidden="1" x14ac:dyDescent="0.35">
      <c r="A12" s="5">
        <v>46022</v>
      </c>
      <c r="B12" s="4" t="s">
        <v>89</v>
      </c>
      <c r="C12" s="4" t="s">
        <v>90</v>
      </c>
      <c r="D12" s="4" t="s">
        <v>70</v>
      </c>
      <c r="E12" s="6">
        <v>5600</v>
      </c>
      <c r="F12" s="7">
        <v>0.16769999999999999</v>
      </c>
      <c r="G12" s="6">
        <v>60</v>
      </c>
      <c r="H12" s="6">
        <v>5.6349999999999998</v>
      </c>
      <c r="I12" s="6">
        <v>100</v>
      </c>
      <c r="J12" s="6">
        <v>5.6349130000000001</v>
      </c>
      <c r="K12" s="8">
        <v>15.602</v>
      </c>
      <c r="L12" s="6">
        <v>783.42789722233113</v>
      </c>
      <c r="M12" s="6">
        <v>50.711981683124762</v>
      </c>
      <c r="N12" s="6">
        <v>64.212812001702105</v>
      </c>
      <c r="O12" s="6">
        <v>618.63994433365747</v>
      </c>
      <c r="P12" s="6">
        <v>1516.9926352408149</v>
      </c>
      <c r="Q12" s="6">
        <v>94.310713786583321</v>
      </c>
      <c r="R12" s="6">
        <v>52.333624798873451</v>
      </c>
      <c r="S12" s="6">
        <v>128.35742068895129</v>
      </c>
      <c r="T12" s="6">
        <v>210.1090328035105</v>
      </c>
      <c r="U12" s="6">
        <v>485.11079207791857</v>
      </c>
      <c r="V12" s="6">
        <v>2002.103427318734</v>
      </c>
      <c r="W12" s="6">
        <v>2.587358088882731</v>
      </c>
      <c r="X12" s="6">
        <v>249.99942323865511</v>
      </c>
      <c r="Y12" s="6">
        <v>-5146.7935139647689</v>
      </c>
      <c r="Z12" s="6">
        <v>-2892.103305318497</v>
      </c>
      <c r="AA12" s="6">
        <v>503.42217715551419</v>
      </c>
      <c r="AB12" s="6">
        <v>-2388.681128162983</v>
      </c>
      <c r="AC12" s="6">
        <v>0</v>
      </c>
      <c r="AD12" s="6">
        <v>818.76740178180023</v>
      </c>
      <c r="AE12" s="6">
        <v>0</v>
      </c>
      <c r="AF12" s="6">
        <v>0</v>
      </c>
      <c r="AG12" s="6">
        <v>-1569.9137263811831</v>
      </c>
      <c r="AH12" s="6">
        <v>89.21665195595061</v>
      </c>
      <c r="AI12" s="6">
        <v>0</v>
      </c>
      <c r="AJ12" s="6">
        <v>196.2356311736622</v>
      </c>
      <c r="AK12" s="6">
        <v>-2103.2288450333699</v>
      </c>
      <c r="AL12" s="6">
        <v>0</v>
      </c>
      <c r="AM12" s="6">
        <v>0</v>
      </c>
      <c r="AN12" s="6">
        <v>0</v>
      </c>
      <c r="AO12" s="6">
        <v>0</v>
      </c>
      <c r="AP12" s="6">
        <v>0</v>
      </c>
      <c r="AQ12" s="6">
        <v>-2103.2288450333699</v>
      </c>
      <c r="AR12" s="6">
        <v>1205.997216691934</v>
      </c>
      <c r="AS12" s="6">
        <v>833.86044100000004</v>
      </c>
      <c r="AT12" s="6">
        <v>4098.1005220104307</v>
      </c>
      <c r="AU12" s="6">
        <v>3594.6783448549172</v>
      </c>
    </row>
    <row r="13" spans="1:47" hidden="1" x14ac:dyDescent="0.35">
      <c r="A13" s="5">
        <v>46022</v>
      </c>
      <c r="B13" s="4" t="s">
        <v>91</v>
      </c>
      <c r="C13" s="4" t="s">
        <v>92</v>
      </c>
      <c r="D13" s="4" t="s">
        <v>50</v>
      </c>
      <c r="E13" s="6">
        <v>719.05570799999998</v>
      </c>
      <c r="F13" s="7">
        <v>0.09</v>
      </c>
      <c r="G13" s="6">
        <v>65</v>
      </c>
      <c r="H13" s="6">
        <v>0.42099999999999999</v>
      </c>
      <c r="I13" s="6">
        <v>90</v>
      </c>
      <c r="J13" s="6">
        <v>0.378583</v>
      </c>
      <c r="K13" s="8">
        <v>7.7519999999999998</v>
      </c>
      <c r="L13" s="6">
        <v>690.57275098775142</v>
      </c>
      <c r="M13" s="6">
        <v>77.318726272730785</v>
      </c>
      <c r="N13" s="6">
        <v>8.0142369817146175</v>
      </c>
      <c r="O13" s="6">
        <v>252.9142907255254</v>
      </c>
      <c r="P13" s="6">
        <v>1028.8200049677221</v>
      </c>
      <c r="Q13" s="6">
        <v>276.20437466825848</v>
      </c>
      <c r="R13" s="6">
        <v>45.227317402538489</v>
      </c>
      <c r="S13" s="6">
        <v>373.521906338267</v>
      </c>
      <c r="T13" s="6">
        <v>392.17251347996711</v>
      </c>
      <c r="U13" s="6">
        <v>1087.1261118890311</v>
      </c>
      <c r="V13" s="6">
        <v>2115.9461168567532</v>
      </c>
      <c r="W13" s="6">
        <v>7.894668752084721</v>
      </c>
      <c r="X13" s="6">
        <v>610.02739161557702</v>
      </c>
      <c r="Y13" s="6">
        <v>-6973.9948974007521</v>
      </c>
      <c r="Z13" s="6">
        <v>-4240.1267201763367</v>
      </c>
      <c r="AA13" s="6">
        <v>390.34637752788831</v>
      </c>
      <c r="AB13" s="6">
        <v>-3849.7803426484488</v>
      </c>
      <c r="AC13" s="6">
        <v>0</v>
      </c>
      <c r="AD13" s="6">
        <v>187.59029884664119</v>
      </c>
      <c r="AE13" s="6">
        <v>0</v>
      </c>
      <c r="AF13" s="6">
        <v>0</v>
      </c>
      <c r="AG13" s="6">
        <v>-3662.1900438018079</v>
      </c>
      <c r="AH13" s="6">
        <v>252.82331383512411</v>
      </c>
      <c r="AI13" s="6">
        <v>0</v>
      </c>
      <c r="AJ13" s="6">
        <v>226.68167298387519</v>
      </c>
      <c r="AK13" s="6">
        <v>-3370.2753558294498</v>
      </c>
      <c r="AL13" s="6">
        <v>0</v>
      </c>
      <c r="AM13" s="6">
        <v>0</v>
      </c>
      <c r="AN13" s="6">
        <v>0</v>
      </c>
      <c r="AO13" s="6">
        <v>0</v>
      </c>
      <c r="AP13" s="6">
        <v>0</v>
      </c>
      <c r="AQ13" s="6">
        <v>-3370.2753558294498</v>
      </c>
      <c r="AR13" s="6">
        <v>1206.054153559739</v>
      </c>
      <c r="AS13" s="6">
        <v>73.156780999999995</v>
      </c>
      <c r="AT13" s="6">
        <v>5446.1808737360761</v>
      </c>
      <c r="AU13" s="6">
        <v>5055.8344962081883</v>
      </c>
    </row>
    <row r="14" spans="1:47" hidden="1" x14ac:dyDescent="0.35">
      <c r="A14" s="5">
        <v>46022</v>
      </c>
      <c r="B14" s="4" t="s">
        <v>51</v>
      </c>
      <c r="C14" s="4" t="s">
        <v>52</v>
      </c>
      <c r="D14" s="4" t="s">
        <v>53</v>
      </c>
      <c r="E14" s="6">
        <v>684</v>
      </c>
      <c r="F14" s="7">
        <v>0.04</v>
      </c>
      <c r="G14" s="6">
        <v>84.2</v>
      </c>
      <c r="H14" s="6">
        <v>0.23</v>
      </c>
      <c r="I14" s="6">
        <v>75</v>
      </c>
      <c r="J14" s="6">
        <v>0.17277799999999999</v>
      </c>
      <c r="K14" s="8">
        <v>1.9279999999999999</v>
      </c>
      <c r="L14" s="6">
        <v>5193.7818516876341</v>
      </c>
      <c r="M14" s="6">
        <v>5040.6265541379971</v>
      </c>
      <c r="N14" s="6">
        <v>1432.8592356639101</v>
      </c>
      <c r="O14" s="6">
        <v>4556.309272817849</v>
      </c>
      <c r="P14" s="6">
        <v>16223.57691430739</v>
      </c>
      <c r="Q14" s="6">
        <v>2371.6898733990829</v>
      </c>
      <c r="R14" s="6">
        <v>1210.8649414521251</v>
      </c>
      <c r="S14" s="6">
        <v>2088.8569576820919</v>
      </c>
      <c r="T14" s="6">
        <v>3328.1971867806542</v>
      </c>
      <c r="U14" s="6">
        <v>8999.608959313955</v>
      </c>
      <c r="V14" s="6">
        <v>25223.18587362134</v>
      </c>
      <c r="W14" s="6">
        <v>784.76663294761602</v>
      </c>
      <c r="X14" s="6">
        <v>5171.6124908689071</v>
      </c>
      <c r="Y14" s="6">
        <v>-58290.592806933411</v>
      </c>
      <c r="Z14" s="6">
        <v>-27111.027809495539</v>
      </c>
      <c r="AA14" s="6">
        <v>2589.1999356919541</v>
      </c>
      <c r="AB14" s="6">
        <v>-24521.827873803592</v>
      </c>
      <c r="AC14" s="6">
        <v>0</v>
      </c>
      <c r="AD14" s="6">
        <v>15944.52142978025</v>
      </c>
      <c r="AE14" s="6">
        <v>0</v>
      </c>
      <c r="AF14" s="6">
        <v>0</v>
      </c>
      <c r="AG14" s="6">
        <v>-8577.3064440233393</v>
      </c>
      <c r="AH14" s="6">
        <v>2447.5619024809698</v>
      </c>
      <c r="AI14" s="6">
        <v>0</v>
      </c>
      <c r="AJ14" s="6">
        <v>6563.2252794783626</v>
      </c>
      <c r="AK14" s="6">
        <v>-15511.04069184426</v>
      </c>
      <c r="AL14" s="6">
        <v>0</v>
      </c>
      <c r="AM14" s="6">
        <v>0</v>
      </c>
      <c r="AN14" s="6">
        <v>0</v>
      </c>
      <c r="AO14" s="6">
        <v>0</v>
      </c>
      <c r="AP14" s="6">
        <v>0</v>
      </c>
      <c r="AQ14" s="6">
        <v>-15511.04069184426</v>
      </c>
      <c r="AR14" s="6">
        <v>1206.1535602058159</v>
      </c>
      <c r="AS14" s="6">
        <v>249.118461</v>
      </c>
      <c r="AT14" s="6">
        <v>28317.18136970136</v>
      </c>
      <c r="AU14" s="6">
        <v>25727.981434009402</v>
      </c>
    </row>
    <row r="15" spans="1:47" hidden="1" x14ac:dyDescent="0.35">
      <c r="A15" s="5">
        <v>46022</v>
      </c>
      <c r="B15" s="4" t="s">
        <v>121</v>
      </c>
      <c r="C15" s="4" t="s">
        <v>122</v>
      </c>
      <c r="D15" s="4" t="s">
        <v>50</v>
      </c>
      <c r="E15" s="6">
        <v>1500</v>
      </c>
      <c r="F15" s="7">
        <v>2.8400000000000002E-2</v>
      </c>
      <c r="G15" s="6">
        <v>60</v>
      </c>
      <c r="H15" s="6">
        <v>0.255</v>
      </c>
      <c r="I15" s="6">
        <v>95</v>
      </c>
      <c r="J15" s="6">
        <v>0.24258099999999999</v>
      </c>
      <c r="K15" s="8">
        <v>0.84599999999999997</v>
      </c>
      <c r="L15" s="6">
        <v>3607.8398216477199</v>
      </c>
      <c r="M15" s="6">
        <v>669.40500071759527</v>
      </c>
      <c r="N15" s="6">
        <v>213.69464094304999</v>
      </c>
      <c r="O15" s="6">
        <v>1210.422741785274</v>
      </c>
      <c r="P15" s="6">
        <v>5701.3622050936392</v>
      </c>
      <c r="Q15" s="6">
        <v>963.93254283459555</v>
      </c>
      <c r="R15" s="6">
        <v>513.21106150798494</v>
      </c>
      <c r="S15" s="6">
        <v>674.68024813698923</v>
      </c>
      <c r="T15" s="6">
        <v>897.15864723790605</v>
      </c>
      <c r="U15" s="6">
        <v>3048.982499717476</v>
      </c>
      <c r="V15" s="6">
        <v>8750.3447048111157</v>
      </c>
      <c r="W15" s="6">
        <v>1762.9904298907829</v>
      </c>
      <c r="X15" s="6">
        <v>2475.2897692694842</v>
      </c>
      <c r="Y15" s="6">
        <v>-24300.43586556986</v>
      </c>
      <c r="Z15" s="6">
        <v>-11311.81096159847</v>
      </c>
      <c r="AA15" s="6">
        <v>1683.619796367864</v>
      </c>
      <c r="AB15" s="6">
        <v>-9628.1911652306117</v>
      </c>
      <c r="AC15" s="6">
        <v>0</v>
      </c>
      <c r="AD15" s="6">
        <v>1152.8852973140661</v>
      </c>
      <c r="AE15" s="6">
        <v>0</v>
      </c>
      <c r="AF15" s="6">
        <v>0</v>
      </c>
      <c r="AG15" s="6">
        <v>-8475.3058679165442</v>
      </c>
      <c r="AH15" s="6">
        <v>630.42263881922941</v>
      </c>
      <c r="AI15" s="6">
        <v>394.90786026244223</v>
      </c>
      <c r="AJ15" s="6">
        <v>303.3909562865166</v>
      </c>
      <c r="AK15" s="6">
        <v>-8299.469709862422</v>
      </c>
      <c r="AL15" s="6">
        <v>0</v>
      </c>
      <c r="AM15" s="6">
        <v>0</v>
      </c>
      <c r="AN15" s="6">
        <v>0</v>
      </c>
      <c r="AO15" s="6">
        <v>0</v>
      </c>
      <c r="AP15" s="6">
        <v>0</v>
      </c>
      <c r="AQ15" s="6">
        <v>-8299.469709862422</v>
      </c>
      <c r="AR15" s="6">
        <v>1206.0944581589199</v>
      </c>
      <c r="AS15" s="6">
        <v>150.065946</v>
      </c>
      <c r="AT15" s="6">
        <v>12517.90541975739</v>
      </c>
      <c r="AU15" s="6">
        <v>10834.285623389531</v>
      </c>
    </row>
    <row r="16" spans="1:47" hidden="1" x14ac:dyDescent="0.35">
      <c r="A16" s="5">
        <v>46022</v>
      </c>
      <c r="B16" s="4" t="s">
        <v>54</v>
      </c>
      <c r="C16" s="4" t="s">
        <v>55</v>
      </c>
      <c r="D16" s="4" t="s">
        <v>56</v>
      </c>
      <c r="E16" s="6">
        <v>1434.2857140000001</v>
      </c>
      <c r="F16" s="7">
        <v>0.5857</v>
      </c>
      <c r="G16" s="6">
        <v>31.43</v>
      </c>
      <c r="H16" s="6">
        <v>2.64</v>
      </c>
      <c r="I16" s="6">
        <v>100</v>
      </c>
      <c r="J16" s="6">
        <v>2.6402800000000002</v>
      </c>
      <c r="K16" s="8">
        <v>23.218</v>
      </c>
      <c r="L16" s="6">
        <v>237.38326023232739</v>
      </c>
      <c r="M16" s="6">
        <v>176.0410815596579</v>
      </c>
      <c r="N16" s="6">
        <v>54.890552807904321</v>
      </c>
      <c r="O16" s="6">
        <v>521.20985381221965</v>
      </c>
      <c r="P16" s="6">
        <v>989.52474841210926</v>
      </c>
      <c r="Q16" s="6">
        <v>187.9975918320693</v>
      </c>
      <c r="R16" s="6">
        <v>385.54475002383612</v>
      </c>
      <c r="S16" s="6">
        <v>638.27526537348751</v>
      </c>
      <c r="T16" s="6">
        <v>311.72429619523803</v>
      </c>
      <c r="U16" s="6">
        <v>1523.5419034246311</v>
      </c>
      <c r="V16" s="6">
        <v>2513.0666518367402</v>
      </c>
      <c r="W16" s="6">
        <v>5.8171354321871842</v>
      </c>
      <c r="X16" s="6">
        <v>4.4576197660096648</v>
      </c>
      <c r="Y16" s="6">
        <v>-3947.1318714666031</v>
      </c>
      <c r="Z16" s="6">
        <v>-1423.7904644316659</v>
      </c>
      <c r="AA16" s="6">
        <v>259.46193800343133</v>
      </c>
      <c r="AB16" s="6">
        <v>-1164.328526428234</v>
      </c>
      <c r="AC16" s="6">
        <v>0</v>
      </c>
      <c r="AD16" s="6">
        <v>317.33284364255161</v>
      </c>
      <c r="AE16" s="6">
        <v>0</v>
      </c>
      <c r="AF16" s="6">
        <v>0</v>
      </c>
      <c r="AG16" s="6">
        <v>-846.99568278568279</v>
      </c>
      <c r="AH16" s="6">
        <v>45.771704283573079</v>
      </c>
      <c r="AI16" s="6">
        <v>0</v>
      </c>
      <c r="AJ16" s="6">
        <v>181.75265139081961</v>
      </c>
      <c r="AK16" s="6">
        <v>-936.80417075384173</v>
      </c>
      <c r="AL16" s="6">
        <v>0</v>
      </c>
      <c r="AM16" s="6">
        <v>0</v>
      </c>
      <c r="AN16" s="6">
        <v>0</v>
      </c>
      <c r="AO16" s="6">
        <v>0</v>
      </c>
      <c r="AP16" s="6">
        <v>0</v>
      </c>
      <c r="AQ16" s="6">
        <v>-936.80417075384173</v>
      </c>
      <c r="AR16" s="6">
        <v>1206.0091343833831</v>
      </c>
      <c r="AS16" s="6">
        <v>301.31555700000001</v>
      </c>
      <c r="AT16" s="6">
        <v>2629.7995988150492</v>
      </c>
      <c r="AU16" s="6">
        <v>2370.3376608116168</v>
      </c>
    </row>
    <row r="17" spans="1:47" hidden="1" x14ac:dyDescent="0.35">
      <c r="A17" s="5">
        <v>46022</v>
      </c>
      <c r="B17" s="4" t="s">
        <v>57</v>
      </c>
      <c r="C17" s="4" t="s">
        <v>58</v>
      </c>
      <c r="D17" s="4" t="s">
        <v>59</v>
      </c>
      <c r="E17" s="6">
        <v>2296.2963869999999</v>
      </c>
      <c r="F17" s="7">
        <v>0.12</v>
      </c>
      <c r="G17" s="6">
        <v>72</v>
      </c>
      <c r="H17" s="6">
        <v>1.984</v>
      </c>
      <c r="I17" s="6">
        <v>90</v>
      </c>
      <c r="J17" s="6">
        <v>1.7856000000000001</v>
      </c>
      <c r="K17" s="8">
        <v>7.9486680030822798</v>
      </c>
      <c r="L17" s="6">
        <v>761.50771690540967</v>
      </c>
      <c r="M17" s="6">
        <v>593.39631675952785</v>
      </c>
      <c r="N17" s="6">
        <v>223.9521089453161</v>
      </c>
      <c r="O17" s="6">
        <v>2824.4347566154652</v>
      </c>
      <c r="P17" s="6">
        <v>4403.290899225718</v>
      </c>
      <c r="Q17" s="6">
        <v>774.52275108898937</v>
      </c>
      <c r="R17" s="6">
        <v>4966.2687321510648</v>
      </c>
      <c r="S17" s="6">
        <v>1223.9973136793751</v>
      </c>
      <c r="T17" s="6">
        <v>1726.5950793804061</v>
      </c>
      <c r="U17" s="6">
        <v>8691.3838762998366</v>
      </c>
      <c r="V17" s="6">
        <v>13094.674775525549</v>
      </c>
      <c r="W17" s="6">
        <v>6.0782627064968171</v>
      </c>
      <c r="X17" s="6">
        <v>393.506531</v>
      </c>
      <c r="Y17" s="6">
        <v>-9959.4867205076098</v>
      </c>
      <c r="Z17" s="6">
        <v>3534.7728487244408</v>
      </c>
      <c r="AA17" s="6">
        <v>0</v>
      </c>
      <c r="AB17" s="6">
        <v>3534.7728487244408</v>
      </c>
      <c r="AC17" s="6">
        <v>0</v>
      </c>
      <c r="AD17" s="6">
        <v>3586.311015220238</v>
      </c>
      <c r="AE17" s="6">
        <v>0</v>
      </c>
      <c r="AF17" s="6">
        <v>0</v>
      </c>
      <c r="AG17" s="6">
        <v>7121.0838639446793</v>
      </c>
      <c r="AH17" s="6">
        <v>405.2008686036508</v>
      </c>
      <c r="AI17" s="6">
        <v>0</v>
      </c>
      <c r="AJ17" s="6">
        <v>1832.4217291693581</v>
      </c>
      <c r="AK17" s="6">
        <v>5772.3954464974486</v>
      </c>
      <c r="AL17" s="6">
        <v>0</v>
      </c>
      <c r="AM17" s="6">
        <v>0</v>
      </c>
      <c r="AN17" s="6">
        <v>0</v>
      </c>
      <c r="AO17" s="6">
        <v>0</v>
      </c>
      <c r="AP17" s="6">
        <v>0</v>
      </c>
      <c r="AQ17" s="6">
        <v>5772.3954464974486</v>
      </c>
      <c r="AR17" s="6">
        <v>1205.9999989886601</v>
      </c>
      <c r="AS17" s="6">
        <v>576.45222899999999</v>
      </c>
      <c r="AT17" s="6">
        <v>-2328.7728497357812</v>
      </c>
      <c r="AU17" s="6">
        <v>-2328.7728497357812</v>
      </c>
    </row>
    <row r="18" spans="1:47" hidden="1" x14ac:dyDescent="0.35">
      <c r="A18" s="5">
        <v>46022</v>
      </c>
      <c r="B18" s="4" t="s">
        <v>60</v>
      </c>
      <c r="C18" s="4" t="s">
        <v>61</v>
      </c>
      <c r="D18" s="4" t="s">
        <v>62</v>
      </c>
      <c r="E18" s="6">
        <v>4540</v>
      </c>
      <c r="F18" s="7">
        <v>4.1999999999999997E-3</v>
      </c>
      <c r="G18" s="6">
        <v>40</v>
      </c>
      <c r="H18" s="6">
        <v>7.6999999999999999E-2</v>
      </c>
      <c r="I18" s="6">
        <v>95</v>
      </c>
      <c r="J18" s="6">
        <v>7.2811000000000001E-2</v>
      </c>
      <c r="K18" s="8">
        <v>0.35599999999999998</v>
      </c>
      <c r="L18" s="6">
        <v>175712.48093065829</v>
      </c>
      <c r="M18" s="6">
        <v>2002.138218902337</v>
      </c>
      <c r="N18" s="6">
        <v>49429.734559774181</v>
      </c>
      <c r="O18" s="6">
        <v>72933.256120044432</v>
      </c>
      <c r="P18" s="6">
        <v>300077.60982937919</v>
      </c>
      <c r="Q18" s="6">
        <v>10001.54156246439</v>
      </c>
      <c r="R18" s="6">
        <v>5226.9141223979659</v>
      </c>
      <c r="S18" s="6">
        <v>18748.593189974879</v>
      </c>
      <c r="T18" s="6">
        <v>22757.434494773159</v>
      </c>
      <c r="U18" s="6">
        <v>56734.483369610403</v>
      </c>
      <c r="V18" s="6">
        <v>356812.09319898958</v>
      </c>
      <c r="W18" s="6">
        <v>300.64845295200701</v>
      </c>
      <c r="X18" s="6">
        <v>0</v>
      </c>
      <c r="Y18" s="6">
        <v>-389318.82599117549</v>
      </c>
      <c r="Z18" s="6">
        <v>-32206.084339233908</v>
      </c>
      <c r="AA18" s="6">
        <v>5576.6222297742988</v>
      </c>
      <c r="AB18" s="6">
        <v>-26629.462109459611</v>
      </c>
      <c r="AC18" s="6">
        <v>0</v>
      </c>
      <c r="AD18" s="6">
        <v>87553.184489080217</v>
      </c>
      <c r="AE18" s="6">
        <v>0</v>
      </c>
      <c r="AF18" s="6">
        <v>0</v>
      </c>
      <c r="AG18" s="6">
        <v>60923.722379620587</v>
      </c>
      <c r="AH18" s="6">
        <v>2038.6995792656539</v>
      </c>
      <c r="AI18" s="6">
        <v>0</v>
      </c>
      <c r="AJ18" s="6">
        <v>53521.815393995603</v>
      </c>
      <c r="AK18" s="6">
        <v>28931.05286380164</v>
      </c>
      <c r="AL18" s="6">
        <v>0</v>
      </c>
      <c r="AM18" s="6">
        <v>0</v>
      </c>
      <c r="AN18" s="6">
        <v>0</v>
      </c>
      <c r="AO18" s="6">
        <v>0</v>
      </c>
      <c r="AP18" s="6">
        <v>0</v>
      </c>
      <c r="AQ18" s="6">
        <v>28931.05286380164</v>
      </c>
      <c r="AR18" s="6">
        <v>1205.817801243966</v>
      </c>
      <c r="AS18" s="6">
        <v>653.03340300000002</v>
      </c>
      <c r="AT18" s="6">
        <v>33411.902140477883</v>
      </c>
      <c r="AU18" s="6">
        <v>27835.279910703579</v>
      </c>
    </row>
    <row r="19" spans="1:47" hidden="1" x14ac:dyDescent="0.35">
      <c r="A19" s="5">
        <v>46022</v>
      </c>
      <c r="B19" s="4" t="s">
        <v>101</v>
      </c>
      <c r="C19" s="4" t="s">
        <v>102</v>
      </c>
      <c r="D19" s="4" t="s">
        <v>50</v>
      </c>
      <c r="E19" s="6">
        <v>13500</v>
      </c>
      <c r="F19" s="7">
        <v>0.03</v>
      </c>
      <c r="G19" s="6">
        <v>75</v>
      </c>
      <c r="H19" s="6">
        <v>3.0369999999999999</v>
      </c>
      <c r="I19" s="6">
        <v>95</v>
      </c>
      <c r="J19" s="6">
        <v>2.8856250000000001</v>
      </c>
      <c r="K19" s="8">
        <v>2.976</v>
      </c>
      <c r="L19" s="6">
        <v>7101.1094042118548</v>
      </c>
      <c r="M19" s="6">
        <v>183.13927220684911</v>
      </c>
      <c r="N19" s="6">
        <v>381.69156009455901</v>
      </c>
      <c r="O19" s="6">
        <v>1483.907225742372</v>
      </c>
      <c r="P19" s="6">
        <v>9149.847462255635</v>
      </c>
      <c r="Q19" s="6">
        <v>240.71483929160229</v>
      </c>
      <c r="R19" s="6">
        <v>149.30435840572159</v>
      </c>
      <c r="S19" s="6">
        <v>503.63819763927478</v>
      </c>
      <c r="T19" s="6">
        <v>389.92794870593212</v>
      </c>
      <c r="U19" s="6">
        <v>1283.585344042531</v>
      </c>
      <c r="V19" s="6">
        <v>10433.432806298169</v>
      </c>
      <c r="W19" s="6">
        <v>254.81817916506381</v>
      </c>
      <c r="X19" s="6">
        <v>700.80974438799217</v>
      </c>
      <c r="Y19" s="6">
        <v>-45512.425980849672</v>
      </c>
      <c r="Z19" s="6">
        <v>-34123.365250998453</v>
      </c>
      <c r="AA19" s="6">
        <v>765.77779081633958</v>
      </c>
      <c r="AB19" s="6">
        <v>-33357.587460182112</v>
      </c>
      <c r="AC19" s="6">
        <v>0</v>
      </c>
      <c r="AD19" s="6">
        <v>3787.3381953172402</v>
      </c>
      <c r="AE19" s="6">
        <v>0</v>
      </c>
      <c r="AF19" s="6">
        <v>0</v>
      </c>
      <c r="AG19" s="6">
        <v>-29570.249264864869</v>
      </c>
      <c r="AH19" s="6">
        <v>550.16627055691686</v>
      </c>
      <c r="AI19" s="6">
        <v>0</v>
      </c>
      <c r="AJ19" s="6">
        <v>2829.426018932963</v>
      </c>
      <c r="AK19" s="6">
        <v>-29977.995170692229</v>
      </c>
      <c r="AL19" s="6">
        <v>0</v>
      </c>
      <c r="AM19" s="6">
        <v>0</v>
      </c>
      <c r="AN19" s="6">
        <v>0</v>
      </c>
      <c r="AO19" s="6">
        <v>0</v>
      </c>
      <c r="AP19" s="6">
        <v>0</v>
      </c>
      <c r="AQ19" s="6">
        <v>-29977.995170692229</v>
      </c>
      <c r="AR19" s="6">
        <v>1205.989550645588</v>
      </c>
      <c r="AS19" s="6">
        <v>3184.5192280000001</v>
      </c>
      <c r="AT19" s="6">
        <v>35329.35480164404</v>
      </c>
      <c r="AU19" s="6">
        <v>34563.577010827699</v>
      </c>
    </row>
    <row r="20" spans="1:47" hidden="1" x14ac:dyDescent="0.35">
      <c r="A20" s="5">
        <v>46022</v>
      </c>
      <c r="B20" s="4" t="s">
        <v>93</v>
      </c>
      <c r="C20" s="4" t="s">
        <v>94</v>
      </c>
      <c r="D20" s="4" t="s">
        <v>50</v>
      </c>
      <c r="E20" s="6">
        <v>1000</v>
      </c>
      <c r="F20" s="7">
        <v>2.5999999999999999E-2</v>
      </c>
      <c r="G20" s="6">
        <v>70</v>
      </c>
      <c r="H20" s="6">
        <v>0.182</v>
      </c>
      <c r="I20" s="6">
        <v>95</v>
      </c>
      <c r="J20" s="6">
        <v>0.172925</v>
      </c>
      <c r="K20" s="8">
        <v>2.1030000000000002</v>
      </c>
      <c r="L20" s="6">
        <v>2677.3286688309322</v>
      </c>
      <c r="M20" s="6">
        <v>153.84447231109439</v>
      </c>
      <c r="N20" s="6">
        <v>361.62453329460169</v>
      </c>
      <c r="O20" s="6">
        <v>1349.356838434257</v>
      </c>
      <c r="P20" s="6">
        <v>4542.1545128708858</v>
      </c>
      <c r="Q20" s="6">
        <v>863.25874209768972</v>
      </c>
      <c r="R20" s="6">
        <v>388.46602736991179</v>
      </c>
      <c r="S20" s="6">
        <v>949.33676352133</v>
      </c>
      <c r="T20" s="6">
        <v>2212.3343886738362</v>
      </c>
      <c r="U20" s="6">
        <v>4413.3959216627673</v>
      </c>
      <c r="V20" s="6">
        <v>8955.5504345336522</v>
      </c>
      <c r="W20" s="6">
        <v>79.077964272765414</v>
      </c>
      <c r="X20" s="6">
        <v>609.91181147896486</v>
      </c>
      <c r="Y20" s="6">
        <v>-27652.064883400759</v>
      </c>
      <c r="Z20" s="6">
        <v>-18007.524673115371</v>
      </c>
      <c r="AA20" s="6">
        <v>812.14189434036962</v>
      </c>
      <c r="AB20" s="6">
        <v>-17195.382778775001</v>
      </c>
      <c r="AC20" s="6">
        <v>0</v>
      </c>
      <c r="AD20" s="6">
        <v>1105.454115916883</v>
      </c>
      <c r="AE20" s="6">
        <v>0</v>
      </c>
      <c r="AF20" s="6">
        <v>0</v>
      </c>
      <c r="AG20" s="6">
        <v>-16089.928662858119</v>
      </c>
      <c r="AH20" s="6">
        <v>747.15325989293046</v>
      </c>
      <c r="AI20" s="6">
        <v>400.39438534345521</v>
      </c>
      <c r="AJ20" s="6">
        <v>450.48929193893298</v>
      </c>
      <c r="AK20" s="6">
        <v>-15597.34584159969</v>
      </c>
      <c r="AL20" s="6">
        <v>0</v>
      </c>
      <c r="AM20" s="6">
        <v>0</v>
      </c>
      <c r="AN20" s="6">
        <v>0</v>
      </c>
      <c r="AO20" s="6">
        <v>0</v>
      </c>
      <c r="AP20" s="6">
        <v>0</v>
      </c>
      <c r="AQ20" s="6">
        <v>-15597.34584159969</v>
      </c>
      <c r="AR20" s="6">
        <v>1205.825645945579</v>
      </c>
      <c r="AS20" s="6">
        <v>126.216853</v>
      </c>
      <c r="AT20" s="6">
        <v>19213.350319060952</v>
      </c>
      <c r="AU20" s="6">
        <v>18401.208424720578</v>
      </c>
    </row>
    <row r="21" spans="1:47" hidden="1" x14ac:dyDescent="0.35">
      <c r="A21" s="5">
        <v>46022</v>
      </c>
      <c r="B21" s="4" t="s">
        <v>95</v>
      </c>
      <c r="C21" s="4" t="s">
        <v>96</v>
      </c>
      <c r="D21" s="4" t="s">
        <v>56</v>
      </c>
      <c r="E21" s="6">
        <v>2100</v>
      </c>
      <c r="F21" s="7">
        <v>0.55000000000000004</v>
      </c>
      <c r="G21" s="6">
        <v>68</v>
      </c>
      <c r="H21" s="6">
        <v>7.8540000000000001</v>
      </c>
      <c r="I21" s="6">
        <v>100</v>
      </c>
      <c r="J21" s="6">
        <v>7.8540000000000001</v>
      </c>
      <c r="K21" s="8">
        <v>33.542000000000002</v>
      </c>
      <c r="L21" s="6">
        <v>38.084816070885289</v>
      </c>
      <c r="M21" s="6">
        <v>56.321194103279403</v>
      </c>
      <c r="N21" s="6">
        <v>17.835470294888228</v>
      </c>
      <c r="O21" s="6">
        <v>194.4676016420735</v>
      </c>
      <c r="P21" s="6">
        <v>306.70908211112641</v>
      </c>
      <c r="Q21" s="6">
        <v>56.385097263641171</v>
      </c>
      <c r="R21" s="6">
        <v>25.331666359773529</v>
      </c>
      <c r="S21" s="6">
        <v>70.795884524338234</v>
      </c>
      <c r="T21" s="6">
        <v>69.042143607376474</v>
      </c>
      <c r="U21" s="6">
        <v>221.5547917551294</v>
      </c>
      <c r="V21" s="6">
        <v>528.26387386625595</v>
      </c>
      <c r="W21" s="6">
        <v>28.65368471013036</v>
      </c>
      <c r="X21" s="6">
        <v>620.24133583952937</v>
      </c>
      <c r="Y21" s="6">
        <v>-2734.9411741770919</v>
      </c>
      <c r="Z21" s="6">
        <v>-1557.7822797611771</v>
      </c>
      <c r="AA21" s="6">
        <v>330.69101797450071</v>
      </c>
      <c r="AB21" s="6">
        <v>-1227.0912617866761</v>
      </c>
      <c r="AC21" s="6">
        <v>0.1790355766294118</v>
      </c>
      <c r="AD21" s="6">
        <v>142.75115842327941</v>
      </c>
      <c r="AE21" s="6">
        <v>0</v>
      </c>
      <c r="AF21" s="6">
        <v>0</v>
      </c>
      <c r="AG21" s="6">
        <v>-1084.161067786767</v>
      </c>
      <c r="AH21" s="6">
        <v>4.5408477241235303</v>
      </c>
      <c r="AI21" s="6">
        <v>12.3591550124</v>
      </c>
      <c r="AJ21" s="6">
        <v>2.8876490731323532</v>
      </c>
      <c r="AK21" s="6">
        <v>-1207.1245744003911</v>
      </c>
      <c r="AL21" s="6">
        <v>0</v>
      </c>
      <c r="AM21" s="6">
        <v>0</v>
      </c>
      <c r="AN21" s="6">
        <v>0</v>
      </c>
      <c r="AO21" s="6">
        <v>0</v>
      </c>
      <c r="AP21" s="6">
        <v>0</v>
      </c>
      <c r="AQ21" s="6">
        <v>-1207.1245744003911</v>
      </c>
      <c r="AR21" s="6">
        <v>1205.9999989886601</v>
      </c>
      <c r="AS21" s="6">
        <v>682.37814400000002</v>
      </c>
      <c r="AT21" s="6">
        <v>2763.7822787498362</v>
      </c>
      <c r="AU21" s="6">
        <v>2433.0912607753362</v>
      </c>
    </row>
    <row r="22" spans="1:47" hidden="1" x14ac:dyDescent="0.35">
      <c r="A22" s="5">
        <v>46022</v>
      </c>
      <c r="B22" s="4" t="s">
        <v>63</v>
      </c>
      <c r="C22" s="4" t="s">
        <v>64</v>
      </c>
      <c r="D22" s="4" t="s">
        <v>56</v>
      </c>
      <c r="E22" s="6">
        <v>8450</v>
      </c>
      <c r="F22" s="7">
        <v>0.58260000000000001</v>
      </c>
      <c r="G22" s="6">
        <v>45</v>
      </c>
      <c r="H22" s="6">
        <v>22.152999999999999</v>
      </c>
      <c r="I22" s="6">
        <v>100</v>
      </c>
      <c r="J22" s="6">
        <v>22.152958000000002</v>
      </c>
      <c r="K22" s="8">
        <v>26.206</v>
      </c>
      <c r="L22" s="6">
        <v>166.4669424274876</v>
      </c>
      <c r="M22" s="6">
        <v>184.5537189861432</v>
      </c>
      <c r="N22" s="6">
        <v>43.60468390123313</v>
      </c>
      <c r="O22" s="6">
        <v>330.68083007323298</v>
      </c>
      <c r="P22" s="6">
        <v>725.30617538809702</v>
      </c>
      <c r="Q22" s="6">
        <v>37.604894575171201</v>
      </c>
      <c r="R22" s="6">
        <v>229.35520144799781</v>
      </c>
      <c r="S22" s="6">
        <v>573.65564481779495</v>
      </c>
      <c r="T22" s="6">
        <v>411.71564329403049</v>
      </c>
      <c r="U22" s="6">
        <v>1252.3313841349941</v>
      </c>
      <c r="V22" s="6">
        <v>1977.6375595230911</v>
      </c>
      <c r="W22" s="6">
        <v>39.311342282415907</v>
      </c>
      <c r="X22" s="6">
        <v>183.13037604793141</v>
      </c>
      <c r="Y22" s="6">
        <v>-2764.0096507278531</v>
      </c>
      <c r="Z22" s="6">
        <v>-563.93037287441393</v>
      </c>
      <c r="AA22" s="6">
        <v>278.31653124749022</v>
      </c>
      <c r="AB22" s="6">
        <v>-285.61384162692372</v>
      </c>
      <c r="AC22" s="6">
        <v>9.6343045408235461</v>
      </c>
      <c r="AD22" s="6">
        <v>1115.942111425928</v>
      </c>
      <c r="AE22" s="6">
        <v>0</v>
      </c>
      <c r="AF22" s="6">
        <v>0</v>
      </c>
      <c r="AG22" s="6">
        <v>839.9625743398276</v>
      </c>
      <c r="AH22" s="6">
        <v>19.712451582595751</v>
      </c>
      <c r="AI22" s="6">
        <v>0</v>
      </c>
      <c r="AJ22" s="6">
        <v>671.32587498269709</v>
      </c>
      <c r="AK22" s="6">
        <v>415.05878947919268</v>
      </c>
      <c r="AL22" s="6">
        <v>0</v>
      </c>
      <c r="AM22" s="6">
        <v>0</v>
      </c>
      <c r="AN22" s="6">
        <v>0</v>
      </c>
      <c r="AO22" s="6">
        <v>0</v>
      </c>
      <c r="AP22" s="6">
        <v>0</v>
      </c>
      <c r="AQ22" s="6">
        <v>415.05878947919268</v>
      </c>
      <c r="AR22" s="6">
        <v>1206.0022854553231</v>
      </c>
      <c r="AS22" s="6">
        <v>1977.91065</v>
      </c>
      <c r="AT22" s="6">
        <v>1769.932658329737</v>
      </c>
      <c r="AU22" s="6">
        <v>1491.6161270822461</v>
      </c>
    </row>
    <row r="23" spans="1:47" hidden="1" x14ac:dyDescent="0.35">
      <c r="A23" s="5">
        <v>46022</v>
      </c>
      <c r="B23" s="4" t="s">
        <v>65</v>
      </c>
      <c r="C23" s="4" t="s">
        <v>66</v>
      </c>
      <c r="D23" s="4" t="s">
        <v>67</v>
      </c>
      <c r="E23" s="6">
        <v>10033.333333</v>
      </c>
      <c r="F23" s="7">
        <v>1.06E-2</v>
      </c>
      <c r="G23" s="6">
        <v>48.69</v>
      </c>
      <c r="H23" s="6">
        <v>0.52</v>
      </c>
      <c r="I23" s="6">
        <v>50</v>
      </c>
      <c r="J23" s="6">
        <v>0.26</v>
      </c>
      <c r="K23" s="8">
        <v>0.70499999999999996</v>
      </c>
      <c r="L23" s="6">
        <v>1380.987877521791</v>
      </c>
      <c r="M23" s="6">
        <v>733.0418189731522</v>
      </c>
      <c r="N23" s="6">
        <v>76.261484936237679</v>
      </c>
      <c r="O23" s="6">
        <v>1907.538352963955</v>
      </c>
      <c r="P23" s="6">
        <v>4097.8295343951359</v>
      </c>
      <c r="Q23" s="6">
        <v>591.85444808266084</v>
      </c>
      <c r="R23" s="6">
        <v>1549.0474095567261</v>
      </c>
      <c r="S23" s="6">
        <v>2037.5161537678771</v>
      </c>
      <c r="T23" s="6">
        <v>949.31790591199854</v>
      </c>
      <c r="U23" s="6">
        <v>5127.7359173192617</v>
      </c>
      <c r="V23" s="6">
        <v>9225.5654517143976</v>
      </c>
      <c r="W23" s="6">
        <v>2376.6201193168422</v>
      </c>
      <c r="X23" s="6">
        <v>5116.7890133817382</v>
      </c>
      <c r="Y23" s="6">
        <v>-70817.040265875927</v>
      </c>
      <c r="Z23" s="6">
        <v>-54098.06568146294</v>
      </c>
      <c r="AA23" s="6">
        <v>0</v>
      </c>
      <c r="AB23" s="6">
        <v>-54098.06568146294</v>
      </c>
      <c r="AC23" s="6">
        <v>0</v>
      </c>
      <c r="AD23" s="6">
        <v>1480.599716136174</v>
      </c>
      <c r="AE23" s="6">
        <v>0</v>
      </c>
      <c r="AF23" s="6">
        <v>0</v>
      </c>
      <c r="AG23" s="6">
        <v>-52617.465965326774</v>
      </c>
      <c r="AH23" s="6">
        <v>1133.981744917764</v>
      </c>
      <c r="AI23" s="6">
        <v>0</v>
      </c>
      <c r="AJ23" s="6">
        <v>19544.792153820621</v>
      </c>
      <c r="AK23" s="6">
        <v>-33419.291782724562</v>
      </c>
      <c r="AL23" s="6">
        <v>1856.3496166098571</v>
      </c>
      <c r="AM23" s="6">
        <v>0</v>
      </c>
      <c r="AN23" s="6">
        <v>0</v>
      </c>
      <c r="AO23" s="6">
        <v>0</v>
      </c>
      <c r="AP23" s="6">
        <v>0</v>
      </c>
      <c r="AQ23" s="6">
        <v>-31562.942166114699</v>
      </c>
      <c r="AR23" s="6">
        <v>1205.9999989886601</v>
      </c>
      <c r="AS23" s="6">
        <v>456.94987500000002</v>
      </c>
      <c r="AT23" s="6">
        <v>55304.065680451597</v>
      </c>
      <c r="AU23" s="6">
        <v>55304.065680451597</v>
      </c>
    </row>
    <row r="24" spans="1:47" hidden="1" x14ac:dyDescent="0.35">
      <c r="A24" s="5">
        <v>46022</v>
      </c>
      <c r="B24" s="4" t="s">
        <v>97</v>
      </c>
      <c r="C24" s="4" t="s">
        <v>98</v>
      </c>
      <c r="D24" s="4" t="s">
        <v>56</v>
      </c>
      <c r="E24" s="6">
        <v>7673.1501129999997</v>
      </c>
      <c r="F24" s="7">
        <v>1.1200000000000001</v>
      </c>
      <c r="G24" s="6">
        <v>72</v>
      </c>
      <c r="H24" s="6">
        <v>61.875999999999998</v>
      </c>
      <c r="I24" s="6">
        <v>63</v>
      </c>
      <c r="J24" s="6">
        <v>38.982058000000002</v>
      </c>
      <c r="K24" s="8">
        <v>28.686</v>
      </c>
      <c r="L24" s="6">
        <v>37.657598676884326</v>
      </c>
      <c r="M24" s="6">
        <v>38.455567396526781</v>
      </c>
      <c r="N24" s="6">
        <v>4.7882765957591218</v>
      </c>
      <c r="O24" s="6">
        <v>69.521857307773075</v>
      </c>
      <c r="P24" s="6">
        <v>150.4232999769433</v>
      </c>
      <c r="Q24" s="6">
        <v>23.500801104430838</v>
      </c>
      <c r="R24" s="6">
        <v>393.63904795291381</v>
      </c>
      <c r="S24" s="6">
        <v>46.037591639473298</v>
      </c>
      <c r="T24" s="6">
        <v>30.772830562026058</v>
      </c>
      <c r="U24" s="6">
        <v>493.950271258844</v>
      </c>
      <c r="V24" s="6">
        <v>644.37357123578727</v>
      </c>
      <c r="W24" s="6">
        <v>0</v>
      </c>
      <c r="X24" s="6">
        <v>415.42962592346379</v>
      </c>
      <c r="Y24" s="6">
        <v>-1885.4828018152241</v>
      </c>
      <c r="Z24" s="6">
        <v>-825.67960465597332</v>
      </c>
      <c r="AA24" s="6">
        <v>273.29269593118511</v>
      </c>
      <c r="AB24" s="6">
        <v>-552.38690872478821</v>
      </c>
      <c r="AC24" s="6">
        <v>17.743764019185221</v>
      </c>
      <c r="AD24" s="6">
        <v>95.380306252487543</v>
      </c>
      <c r="AE24" s="6">
        <v>0</v>
      </c>
      <c r="AF24" s="6">
        <v>0</v>
      </c>
      <c r="AG24" s="6">
        <v>-439.26283845311548</v>
      </c>
      <c r="AH24" s="6">
        <v>7.2564672193789939</v>
      </c>
      <c r="AI24" s="6">
        <v>0</v>
      </c>
      <c r="AJ24" s="6">
        <v>2.539073359821022</v>
      </c>
      <c r="AK24" s="6">
        <v>-524.84760412640298</v>
      </c>
      <c r="AL24" s="6">
        <v>108.2141171512947</v>
      </c>
      <c r="AM24" s="6">
        <v>0</v>
      </c>
      <c r="AN24" s="6">
        <v>0</v>
      </c>
      <c r="AO24" s="6">
        <v>0</v>
      </c>
      <c r="AP24" s="6">
        <v>0</v>
      </c>
      <c r="AQ24" s="6">
        <v>-416.63348697510821</v>
      </c>
      <c r="AR24" s="6">
        <v>1206.0012983556651</v>
      </c>
      <c r="AS24" s="6">
        <v>2656.8439079999998</v>
      </c>
      <c r="AT24" s="6">
        <v>2031.6809030116381</v>
      </c>
      <c r="AU24" s="6">
        <v>1758.388207080453</v>
      </c>
    </row>
    <row r="25" spans="1:47" hidden="1" x14ac:dyDescent="0.35">
      <c r="A25" s="5">
        <v>46022</v>
      </c>
      <c r="B25" s="4" t="s">
        <v>99</v>
      </c>
      <c r="C25" s="4" t="s">
        <v>100</v>
      </c>
      <c r="D25" s="4" t="s">
        <v>56</v>
      </c>
      <c r="E25" s="6">
        <v>4039.5137890000001</v>
      </c>
      <c r="F25" s="7">
        <v>6.1600000000000002E-2</v>
      </c>
      <c r="G25" s="6">
        <v>9.77</v>
      </c>
      <c r="H25" s="6">
        <v>0.24299999999999999</v>
      </c>
      <c r="I25" s="6">
        <v>70</v>
      </c>
      <c r="J25" s="6">
        <v>0.1701</v>
      </c>
      <c r="K25" s="8">
        <v>0.38300000000000001</v>
      </c>
      <c r="L25" s="6">
        <v>6533.276903090692</v>
      </c>
      <c r="M25" s="6">
        <v>16074.48352521155</v>
      </c>
      <c r="N25" s="6">
        <v>2387.5602443477701</v>
      </c>
      <c r="O25" s="6">
        <v>28923.712990808919</v>
      </c>
      <c r="P25" s="6">
        <v>53919.033663458933</v>
      </c>
      <c r="Q25" s="6">
        <v>3815.5743659863119</v>
      </c>
      <c r="R25" s="6">
        <v>3550.0955222426401</v>
      </c>
      <c r="S25" s="6">
        <v>9788.4013182125946</v>
      </c>
      <c r="T25" s="6">
        <v>12709.978457030829</v>
      </c>
      <c r="U25" s="6">
        <v>29864.049663472371</v>
      </c>
      <c r="V25" s="6">
        <v>83783.083326931315</v>
      </c>
      <c r="W25" s="6">
        <v>13.093221099384801</v>
      </c>
      <c r="X25" s="6">
        <v>250</v>
      </c>
      <c r="Y25" s="6">
        <v>-244689.50091998579</v>
      </c>
      <c r="Z25" s="6">
        <v>-160643.3243719551</v>
      </c>
      <c r="AA25" s="6">
        <v>9263.1911916358258</v>
      </c>
      <c r="AB25" s="6">
        <v>-151380.1331803193</v>
      </c>
      <c r="AC25" s="6">
        <v>0</v>
      </c>
      <c r="AD25" s="6">
        <v>14098.86704485215</v>
      </c>
      <c r="AE25" s="6">
        <v>0</v>
      </c>
      <c r="AF25" s="6">
        <v>0</v>
      </c>
      <c r="AG25" s="6">
        <v>-137281.26613546719</v>
      </c>
      <c r="AH25" s="6">
        <v>1303.3945244986651</v>
      </c>
      <c r="AI25" s="6">
        <v>0</v>
      </c>
      <c r="AJ25" s="6">
        <v>3177.6973944388951</v>
      </c>
      <c r="AK25" s="6">
        <v>-146899.04126138179</v>
      </c>
      <c r="AL25" s="6">
        <v>0</v>
      </c>
      <c r="AM25" s="6">
        <v>0</v>
      </c>
      <c r="AN25" s="6">
        <v>0</v>
      </c>
      <c r="AO25" s="6">
        <v>0</v>
      </c>
      <c r="AP25" s="6">
        <v>0</v>
      </c>
      <c r="AQ25" s="6">
        <v>-146899.04126138179</v>
      </c>
      <c r="AR25" s="6">
        <v>1205.9999989886601</v>
      </c>
      <c r="AS25" s="6">
        <v>992.50215700000001</v>
      </c>
      <c r="AT25" s="6">
        <v>161849.3243709438</v>
      </c>
      <c r="AU25" s="6">
        <v>152586.133179308</v>
      </c>
    </row>
    <row r="26" spans="1:47" hidden="1" x14ac:dyDescent="0.35">
      <c r="A26" s="5">
        <v>46022</v>
      </c>
      <c r="B26" s="4" t="s">
        <v>103</v>
      </c>
      <c r="C26" s="4" t="s">
        <v>104</v>
      </c>
      <c r="D26" s="4" t="s">
        <v>80</v>
      </c>
      <c r="E26" s="6">
        <v>880</v>
      </c>
      <c r="F26" s="7">
        <v>0.03</v>
      </c>
      <c r="G26" s="6">
        <v>44.5</v>
      </c>
      <c r="H26" s="6">
        <v>0.11700000000000001</v>
      </c>
      <c r="I26" s="6">
        <v>100</v>
      </c>
      <c r="J26" s="6">
        <v>0.11748</v>
      </c>
      <c r="K26" s="8">
        <v>0.57999999999999996</v>
      </c>
      <c r="L26" s="6">
        <v>12710.2972469909</v>
      </c>
      <c r="M26" s="6">
        <v>957.97043673128826</v>
      </c>
      <c r="N26" s="6">
        <v>2675.2921631828858</v>
      </c>
      <c r="O26" s="6">
        <v>32340.9595984343</v>
      </c>
      <c r="P26" s="6">
        <v>48684.519445339371</v>
      </c>
      <c r="Q26" s="6">
        <v>5486.2892084695077</v>
      </c>
      <c r="R26" s="6">
        <v>3750.5825334658871</v>
      </c>
      <c r="S26" s="6">
        <v>3849.7533086237818</v>
      </c>
      <c r="T26" s="6">
        <v>6995.1649774956286</v>
      </c>
      <c r="U26" s="6">
        <v>20081.790028054798</v>
      </c>
      <c r="V26" s="6">
        <v>68766.309473394169</v>
      </c>
      <c r="W26" s="6">
        <v>10908.84582132528</v>
      </c>
      <c r="X26" s="6">
        <v>722.97483254596534</v>
      </c>
      <c r="Y26" s="6">
        <v>-80500.921147202855</v>
      </c>
      <c r="Z26" s="6">
        <v>-102.7910199374361</v>
      </c>
      <c r="AA26" s="6">
        <v>0</v>
      </c>
      <c r="AB26" s="6">
        <v>-102.7910199374361</v>
      </c>
      <c r="AC26" s="6">
        <v>0</v>
      </c>
      <c r="AD26" s="6">
        <v>13237.48960745371</v>
      </c>
      <c r="AE26" s="6">
        <v>0</v>
      </c>
      <c r="AF26" s="6">
        <v>0</v>
      </c>
      <c r="AG26" s="6">
        <v>13134.69858751627</v>
      </c>
      <c r="AH26" s="6">
        <v>586.19838006109615</v>
      </c>
      <c r="AI26" s="6">
        <v>0</v>
      </c>
      <c r="AJ26" s="6">
        <v>7506.6141027386448</v>
      </c>
      <c r="AK26" s="6">
        <v>7990.0214628623062</v>
      </c>
      <c r="AL26" s="6">
        <v>0</v>
      </c>
      <c r="AM26" s="6">
        <v>0</v>
      </c>
      <c r="AN26" s="6">
        <v>0</v>
      </c>
      <c r="AO26" s="6">
        <v>0</v>
      </c>
      <c r="AP26" s="6">
        <v>0</v>
      </c>
      <c r="AQ26" s="6">
        <v>7990.0214628623062</v>
      </c>
      <c r="AR26" s="6">
        <v>1206.205310530878</v>
      </c>
      <c r="AS26" s="6">
        <v>277.34097500000001</v>
      </c>
      <c r="AT26" s="6">
        <v>1308.996330468314</v>
      </c>
      <c r="AU26" s="6">
        <v>1308.996330468314</v>
      </c>
    </row>
    <row r="27" spans="1:47" hidden="1" x14ac:dyDescent="0.35">
      <c r="A27" s="5">
        <v>46022</v>
      </c>
      <c r="B27" s="4" t="s">
        <v>105</v>
      </c>
      <c r="C27" s="4" t="s">
        <v>106</v>
      </c>
      <c r="D27" s="4" t="s">
        <v>56</v>
      </c>
      <c r="E27" s="6">
        <v>8200</v>
      </c>
      <c r="F27" s="7">
        <v>0.32200000000000001</v>
      </c>
      <c r="G27" s="6">
        <v>85</v>
      </c>
      <c r="H27" s="6">
        <v>22.443000000000001</v>
      </c>
      <c r="I27" s="6">
        <v>69.5</v>
      </c>
      <c r="J27" s="6">
        <v>15.598163</v>
      </c>
      <c r="K27" s="8">
        <v>30.103000000000002</v>
      </c>
      <c r="L27" s="6">
        <v>11.786226513919299</v>
      </c>
      <c r="M27" s="6">
        <v>1.9889518052218069</v>
      </c>
      <c r="N27" s="6">
        <v>20.743567900627429</v>
      </c>
      <c r="O27" s="6">
        <v>1.4653526715560541</v>
      </c>
      <c r="P27" s="6">
        <v>35.984098891324592</v>
      </c>
      <c r="Q27" s="6">
        <v>12.561800875085099</v>
      </c>
      <c r="R27" s="6">
        <v>97.342487104193282</v>
      </c>
      <c r="S27" s="6">
        <v>198.41447941390271</v>
      </c>
      <c r="T27" s="6">
        <v>13.85453608928591</v>
      </c>
      <c r="U27" s="6">
        <v>322.17330348246702</v>
      </c>
      <c r="V27" s="6">
        <v>358.15740237379163</v>
      </c>
      <c r="W27" s="6">
        <v>26.358142688720431</v>
      </c>
      <c r="X27" s="6">
        <v>0</v>
      </c>
      <c r="Y27" s="6">
        <v>-2734.126366045949</v>
      </c>
      <c r="Z27" s="6">
        <v>-2349.610820983437</v>
      </c>
      <c r="AA27" s="6">
        <v>281.0455802702723</v>
      </c>
      <c r="AB27" s="6">
        <v>-2068.5652407131652</v>
      </c>
      <c r="AC27" s="6">
        <v>0</v>
      </c>
      <c r="AD27" s="6">
        <v>178.72092354769731</v>
      </c>
      <c r="AE27" s="6">
        <v>0</v>
      </c>
      <c r="AF27" s="6">
        <v>0</v>
      </c>
      <c r="AG27" s="6">
        <v>-1889.8443171654681</v>
      </c>
      <c r="AH27" s="6">
        <v>79.913298381302326</v>
      </c>
      <c r="AI27" s="6">
        <v>0</v>
      </c>
      <c r="AJ27" s="6">
        <v>35.815749775572691</v>
      </c>
      <c r="AK27" s="6">
        <v>-1952.8361925562899</v>
      </c>
      <c r="AL27" s="6">
        <v>0</v>
      </c>
      <c r="AM27" s="6">
        <v>0</v>
      </c>
      <c r="AN27" s="6">
        <v>0</v>
      </c>
      <c r="AO27" s="6">
        <v>0</v>
      </c>
      <c r="AP27" s="6">
        <v>0</v>
      </c>
      <c r="AQ27" s="6">
        <v>-1952.8361925562899</v>
      </c>
      <c r="AR27" s="6">
        <v>1206.0028597101409</v>
      </c>
      <c r="AS27" s="6">
        <v>1373.7575240000001</v>
      </c>
      <c r="AT27" s="6">
        <v>3555.6136806935779</v>
      </c>
      <c r="AU27" s="6">
        <v>3274.5681004233061</v>
      </c>
    </row>
    <row r="28" spans="1:47" hidden="1" x14ac:dyDescent="0.35">
      <c r="A28" s="5">
        <v>46022</v>
      </c>
      <c r="B28" s="4" t="s">
        <v>107</v>
      </c>
      <c r="C28" s="4" t="s">
        <v>108</v>
      </c>
      <c r="D28" s="4" t="s">
        <v>109</v>
      </c>
      <c r="E28" s="6">
        <v>2780</v>
      </c>
      <c r="F28" s="7">
        <v>0.01</v>
      </c>
      <c r="G28" s="6">
        <v>60</v>
      </c>
      <c r="H28" s="6">
        <v>0.16700000000000001</v>
      </c>
      <c r="I28" s="6">
        <v>90</v>
      </c>
      <c r="J28" s="6">
        <v>0.15012</v>
      </c>
      <c r="K28" s="8">
        <v>1.179</v>
      </c>
      <c r="L28" s="6">
        <v>20085.672413469048</v>
      </c>
      <c r="M28" s="6">
        <v>3784.0305077988519</v>
      </c>
      <c r="N28" s="6">
        <v>10338.63765097839</v>
      </c>
      <c r="O28" s="6">
        <v>22723.514481613809</v>
      </c>
      <c r="P28" s="6">
        <v>56931.855053860098</v>
      </c>
      <c r="Q28" s="6">
        <v>736.49289125377766</v>
      </c>
      <c r="R28" s="6">
        <v>2017.6922598525</v>
      </c>
      <c r="S28" s="6">
        <v>18741.60178244485</v>
      </c>
      <c r="T28" s="6">
        <v>758.14016711909255</v>
      </c>
      <c r="U28" s="6">
        <v>22253.927100670218</v>
      </c>
      <c r="V28" s="6">
        <v>79185.782154530316</v>
      </c>
      <c r="W28" s="6">
        <v>1070.928793456967</v>
      </c>
      <c r="X28" s="6">
        <v>120.45924446775911</v>
      </c>
      <c r="Y28" s="6">
        <v>-97769.214493017425</v>
      </c>
      <c r="Z28" s="6">
        <v>-17392.044300562371</v>
      </c>
      <c r="AA28" s="6">
        <v>4111.3477221914673</v>
      </c>
      <c r="AB28" s="6">
        <v>-13280.696578370909</v>
      </c>
      <c r="AC28" s="6">
        <v>0</v>
      </c>
      <c r="AD28" s="6">
        <v>17108.089660194291</v>
      </c>
      <c r="AE28" s="6">
        <v>0</v>
      </c>
      <c r="AF28" s="6">
        <v>0</v>
      </c>
      <c r="AG28" s="6">
        <v>3827.393081823388</v>
      </c>
      <c r="AH28" s="6">
        <v>2007.2310758229071</v>
      </c>
      <c r="AI28" s="6">
        <v>0</v>
      </c>
      <c r="AJ28" s="6">
        <v>16359.086019387219</v>
      </c>
      <c r="AK28" s="6">
        <v>5085.6205168392207</v>
      </c>
      <c r="AL28" s="6">
        <v>0</v>
      </c>
      <c r="AM28" s="6">
        <v>0</v>
      </c>
      <c r="AN28" s="6">
        <v>0</v>
      </c>
      <c r="AO28" s="6">
        <v>0</v>
      </c>
      <c r="AP28" s="6">
        <v>0</v>
      </c>
      <c r="AQ28" s="6">
        <v>5085.6205168392207</v>
      </c>
      <c r="AR28" s="6">
        <v>1205.839327525965</v>
      </c>
      <c r="AS28" s="6">
        <v>359.52989200000002</v>
      </c>
      <c r="AT28" s="6">
        <v>18597.883628088341</v>
      </c>
      <c r="AU28" s="6">
        <v>14486.53590589687</v>
      </c>
    </row>
    <row r="29" spans="1:47" x14ac:dyDescent="0.35">
      <c r="A29" s="5">
        <v>46022</v>
      </c>
      <c r="B29" s="4" t="s">
        <v>135</v>
      </c>
      <c r="C29" s="4" t="s">
        <v>136</v>
      </c>
      <c r="D29" s="4" t="s">
        <v>137</v>
      </c>
      <c r="E29" s="6">
        <v>3500</v>
      </c>
      <c r="F29" s="7">
        <v>0.12</v>
      </c>
      <c r="G29" s="6">
        <v>82</v>
      </c>
      <c r="H29" s="6">
        <v>3.444</v>
      </c>
      <c r="I29" s="6">
        <v>100</v>
      </c>
      <c r="J29" s="6">
        <v>3.444</v>
      </c>
      <c r="K29" s="8">
        <v>15.84</v>
      </c>
      <c r="L29" s="6">
        <v>10.514747854190761</v>
      </c>
      <c r="M29" s="6">
        <v>112.1968563648547</v>
      </c>
      <c r="N29" s="6">
        <v>0.1471467016347815</v>
      </c>
      <c r="O29" s="6">
        <v>10.560030263214809</v>
      </c>
      <c r="P29" s="6">
        <v>133.41878118389499</v>
      </c>
      <c r="Q29" s="6">
        <v>17.206894795971252</v>
      </c>
      <c r="R29" s="6">
        <v>61.452761896218831</v>
      </c>
      <c r="S29" s="6">
        <v>54.838950679414843</v>
      </c>
      <c r="T29" s="6">
        <v>38.61847715643809</v>
      </c>
      <c r="U29" s="6">
        <v>172.11708452804299</v>
      </c>
      <c r="V29" s="6">
        <v>305.53586571193802</v>
      </c>
      <c r="W29" s="6">
        <v>688.82391730580525</v>
      </c>
      <c r="X29" s="6">
        <v>233.95003500000001</v>
      </c>
      <c r="Y29" s="6">
        <v>-5162.9376839853921</v>
      </c>
      <c r="Z29" s="6">
        <v>-3934.6278659676491</v>
      </c>
      <c r="AA29" s="6">
        <v>428.97283708287841</v>
      </c>
      <c r="AB29" s="6">
        <v>-3505.6550288847711</v>
      </c>
      <c r="AC29" s="6">
        <v>3.841398797425474</v>
      </c>
      <c r="AD29" s="6">
        <v>43.268707439753683</v>
      </c>
      <c r="AE29" s="6">
        <v>0</v>
      </c>
      <c r="AF29" s="6">
        <v>0</v>
      </c>
      <c r="AG29" s="6">
        <v>-3458.5449226475912</v>
      </c>
      <c r="AH29" s="6">
        <v>10.65102915932702</v>
      </c>
      <c r="AI29" s="6">
        <v>0</v>
      </c>
      <c r="AJ29" s="6">
        <v>32.926275132118427</v>
      </c>
      <c r="AK29" s="6">
        <v>-3458.2363257959</v>
      </c>
      <c r="AL29" s="6">
        <v>131.70510821127129</v>
      </c>
      <c r="AM29" s="6">
        <v>0</v>
      </c>
      <c r="AN29" s="6">
        <v>0</v>
      </c>
      <c r="AO29" s="6">
        <v>0</v>
      </c>
      <c r="AP29" s="6">
        <v>0</v>
      </c>
      <c r="AQ29" s="6">
        <v>-3326.5312175846279</v>
      </c>
      <c r="AR29" s="6">
        <v>1205.9999989886601</v>
      </c>
      <c r="AS29" s="6">
        <v>651.41373399999998</v>
      </c>
      <c r="AT29" s="6">
        <v>5140.6278649563092</v>
      </c>
      <c r="AU29" s="6">
        <v>4711.6550278734303</v>
      </c>
    </row>
    <row r="30" spans="1:47" hidden="1" x14ac:dyDescent="0.35">
      <c r="A30" s="5">
        <v>46022</v>
      </c>
      <c r="B30" s="4" t="s">
        <v>68</v>
      </c>
      <c r="C30" s="4" t="s">
        <v>69</v>
      </c>
      <c r="D30" s="4" t="s">
        <v>70</v>
      </c>
      <c r="E30" s="6">
        <v>564.02439800000002</v>
      </c>
      <c r="F30" s="7">
        <v>5.3499999999999999E-2</v>
      </c>
      <c r="G30" s="6">
        <v>70</v>
      </c>
      <c r="H30" s="6">
        <v>0.21099999999999999</v>
      </c>
      <c r="I30" s="6">
        <v>30</v>
      </c>
      <c r="J30" s="6">
        <v>6.3377000000000003E-2</v>
      </c>
      <c r="K30" s="8">
        <v>1.4530000000000001</v>
      </c>
      <c r="L30" s="6">
        <v>1898.048798670384</v>
      </c>
      <c r="M30" s="6">
        <v>2211.4112774905461</v>
      </c>
      <c r="N30" s="6">
        <v>1180.6152220009001</v>
      </c>
      <c r="O30" s="6">
        <v>4486.103066169574</v>
      </c>
      <c r="P30" s="6">
        <v>9776.1783643314029</v>
      </c>
      <c r="Q30" s="6">
        <v>356.06444113892212</v>
      </c>
      <c r="R30" s="6">
        <v>705.5445378427147</v>
      </c>
      <c r="S30" s="6">
        <v>1830.160739975154</v>
      </c>
      <c r="T30" s="6">
        <v>2524.2719881706262</v>
      </c>
      <c r="U30" s="6">
        <v>5416.0417071274169</v>
      </c>
      <c r="V30" s="6">
        <v>15192.22007145882</v>
      </c>
      <c r="W30" s="6">
        <v>4707.5030683892865</v>
      </c>
      <c r="X30" s="6">
        <v>4820.0910649535308</v>
      </c>
      <c r="Y30" s="6">
        <v>-44007.721208246243</v>
      </c>
      <c r="Z30" s="6">
        <v>-19287.907003444601</v>
      </c>
      <c r="AA30" s="6">
        <v>2362.2410345007429</v>
      </c>
      <c r="AB30" s="6">
        <v>-16925.66596894386</v>
      </c>
      <c r="AC30" s="6">
        <v>214.7115523444217</v>
      </c>
      <c r="AD30" s="6">
        <v>16663.13541056549</v>
      </c>
      <c r="AE30" s="6">
        <v>0</v>
      </c>
      <c r="AF30" s="6">
        <v>0</v>
      </c>
      <c r="AG30" s="6">
        <v>-47.819006033944</v>
      </c>
      <c r="AH30" s="6">
        <v>3078.2962726619398</v>
      </c>
      <c r="AI30" s="6">
        <v>0</v>
      </c>
      <c r="AJ30" s="6">
        <v>3435.3840301605619</v>
      </c>
      <c r="AK30" s="6">
        <v>-10197.274113776941</v>
      </c>
      <c r="AL30" s="6">
        <v>0</v>
      </c>
      <c r="AM30" s="6">
        <v>0</v>
      </c>
      <c r="AN30" s="6">
        <v>0</v>
      </c>
      <c r="AO30" s="6">
        <v>0</v>
      </c>
      <c r="AP30" s="6">
        <v>0</v>
      </c>
      <c r="AQ30" s="6">
        <v>-10197.274113776941</v>
      </c>
      <c r="AR30" s="6">
        <v>1206.4376656497</v>
      </c>
      <c r="AS30" s="6">
        <v>66.011842000000001</v>
      </c>
      <c r="AT30" s="6">
        <v>20494.344669094298</v>
      </c>
      <c r="AU30" s="6">
        <v>18132.103634593561</v>
      </c>
    </row>
    <row r="31" spans="1:47" hidden="1" x14ac:dyDescent="0.35">
      <c r="A31" s="5">
        <v>46022</v>
      </c>
      <c r="B31" s="4" t="s">
        <v>123</v>
      </c>
      <c r="C31" s="4" t="s">
        <v>124</v>
      </c>
      <c r="D31" s="4" t="s">
        <v>125</v>
      </c>
      <c r="E31" s="6">
        <v>3850.0167390000001</v>
      </c>
      <c r="F31" s="7">
        <v>8.6599999999999996E-2</v>
      </c>
      <c r="G31" s="6">
        <v>68.959999999999994</v>
      </c>
      <c r="H31" s="6">
        <v>2.2999999999999998</v>
      </c>
      <c r="I31" s="6">
        <v>99.99</v>
      </c>
      <c r="J31" s="6">
        <v>2.2997700000000001</v>
      </c>
      <c r="K31" s="8">
        <v>9.173</v>
      </c>
      <c r="L31" s="6">
        <v>3304.9056221126789</v>
      </c>
      <c r="M31" s="6">
        <v>889.52254386758398</v>
      </c>
      <c r="N31" s="6">
        <v>114.2774932964049</v>
      </c>
      <c r="O31" s="6">
        <v>1610.410232480001</v>
      </c>
      <c r="P31" s="6">
        <v>5919.1158917566681</v>
      </c>
      <c r="Q31" s="6">
        <v>1535.1419323955811</v>
      </c>
      <c r="R31" s="6">
        <v>1728.3115091750051</v>
      </c>
      <c r="S31" s="6">
        <v>1057.9084875674951</v>
      </c>
      <c r="T31" s="6">
        <v>1248.753360300235</v>
      </c>
      <c r="U31" s="6">
        <v>5570.1152894383158</v>
      </c>
      <c r="V31" s="6">
        <v>11489.23118119498</v>
      </c>
      <c r="W31" s="6">
        <v>163.0460325517366</v>
      </c>
      <c r="X31" s="6">
        <v>47.430932165484172</v>
      </c>
      <c r="Y31" s="6">
        <v>-10759.89461193133</v>
      </c>
      <c r="Z31" s="6">
        <v>939.81353398087765</v>
      </c>
      <c r="AA31" s="6">
        <v>326.3623268130338</v>
      </c>
      <c r="AB31" s="6">
        <v>1266.1758607939109</v>
      </c>
      <c r="AC31" s="6">
        <v>0</v>
      </c>
      <c r="AD31" s="6">
        <v>889.75808830475637</v>
      </c>
      <c r="AE31" s="6">
        <v>0</v>
      </c>
      <c r="AF31" s="6">
        <v>0</v>
      </c>
      <c r="AG31" s="6">
        <v>2155.9339490986681</v>
      </c>
      <c r="AH31" s="6">
        <v>71.47742646083276</v>
      </c>
      <c r="AI31" s="6">
        <v>0</v>
      </c>
      <c r="AJ31" s="6">
        <v>528.31583088349464</v>
      </c>
      <c r="AK31" s="6">
        <v>1865.9691181382391</v>
      </c>
      <c r="AL31" s="6">
        <v>0</v>
      </c>
      <c r="AM31" s="6">
        <v>0</v>
      </c>
      <c r="AN31" s="6">
        <v>0</v>
      </c>
      <c r="AO31" s="6">
        <v>0</v>
      </c>
      <c r="AP31" s="6">
        <v>0</v>
      </c>
      <c r="AQ31" s="6">
        <v>1865.9691181382391</v>
      </c>
      <c r="AR31" s="6">
        <v>1206.0157309966301</v>
      </c>
      <c r="AS31" s="6">
        <v>636.49511500000006</v>
      </c>
      <c r="AT31" s="6">
        <v>266.20219701575229</v>
      </c>
      <c r="AU31" s="6">
        <v>-60.160129797281563</v>
      </c>
    </row>
    <row r="32" spans="1:47" hidden="1" x14ac:dyDescent="0.35">
      <c r="A32" s="5">
        <v>46022</v>
      </c>
      <c r="B32" s="4" t="s">
        <v>71</v>
      </c>
      <c r="C32" s="4" t="s">
        <v>72</v>
      </c>
      <c r="D32" s="4" t="s">
        <v>56</v>
      </c>
      <c r="E32" s="6">
        <v>1230.1587300000001</v>
      </c>
      <c r="F32" s="7">
        <v>0.87</v>
      </c>
      <c r="G32" s="6">
        <v>81</v>
      </c>
      <c r="H32" s="6">
        <v>8.6690000000000005</v>
      </c>
      <c r="I32" s="6">
        <v>70</v>
      </c>
      <c r="J32" s="6">
        <v>6.0682499999999999</v>
      </c>
      <c r="K32" s="8">
        <v>32.112000000000002</v>
      </c>
      <c r="L32" s="6">
        <v>283.54144652796771</v>
      </c>
      <c r="M32" s="6">
        <v>37.58493098724626</v>
      </c>
      <c r="N32" s="6">
        <v>69.101770944828502</v>
      </c>
      <c r="O32" s="6">
        <v>275.65296313134547</v>
      </c>
      <c r="P32" s="6">
        <v>665.88111159138793</v>
      </c>
      <c r="Q32" s="6">
        <v>89.260916897249317</v>
      </c>
      <c r="R32" s="6">
        <v>10.961682275828389</v>
      </c>
      <c r="S32" s="6">
        <v>82.065249432700284</v>
      </c>
      <c r="T32" s="6">
        <v>90.732505936165438</v>
      </c>
      <c r="U32" s="6">
        <v>273.02035454194339</v>
      </c>
      <c r="V32" s="6">
        <v>938.90146613333127</v>
      </c>
      <c r="W32" s="6">
        <v>195.5321255484767</v>
      </c>
      <c r="X32" s="6">
        <v>259.99785770197337</v>
      </c>
      <c r="Y32" s="6">
        <v>-1995.793101707477</v>
      </c>
      <c r="Z32" s="6">
        <v>-601.36165232369603</v>
      </c>
      <c r="AA32" s="6">
        <v>335.3471533398141</v>
      </c>
      <c r="AB32" s="6">
        <v>-266.01449898388188</v>
      </c>
      <c r="AC32" s="6">
        <v>0</v>
      </c>
      <c r="AD32" s="6">
        <v>347.81829633587228</v>
      </c>
      <c r="AE32" s="6">
        <v>0</v>
      </c>
      <c r="AF32" s="6">
        <v>0</v>
      </c>
      <c r="AG32" s="6">
        <v>81.803797351990397</v>
      </c>
      <c r="AH32" s="6">
        <v>57.556319178475178</v>
      </c>
      <c r="AI32" s="6">
        <v>0</v>
      </c>
      <c r="AJ32" s="6">
        <v>59.798773411279342</v>
      </c>
      <c r="AK32" s="6">
        <v>-148.65940639412739</v>
      </c>
      <c r="AL32" s="6">
        <v>0</v>
      </c>
      <c r="AM32" s="6">
        <v>0</v>
      </c>
      <c r="AN32" s="6">
        <v>0</v>
      </c>
      <c r="AO32" s="6">
        <v>0</v>
      </c>
      <c r="AP32" s="6">
        <v>0</v>
      </c>
      <c r="AQ32" s="6">
        <v>-148.65940639412739</v>
      </c>
      <c r="AR32" s="6">
        <v>1205.9900620216681</v>
      </c>
      <c r="AS32" s="6">
        <v>439.05278199999998</v>
      </c>
      <c r="AT32" s="6">
        <v>1807.3517143453639</v>
      </c>
      <c r="AU32" s="6">
        <v>1472.0045610055499</v>
      </c>
    </row>
    <row r="33" spans="1:47" hidden="1" x14ac:dyDescent="0.35">
      <c r="A33" s="5">
        <v>46022</v>
      </c>
      <c r="B33" s="4" t="s">
        <v>138</v>
      </c>
      <c r="C33" s="4" t="s">
        <v>139</v>
      </c>
      <c r="D33" s="4" t="s">
        <v>56</v>
      </c>
      <c r="E33" s="6">
        <v>2500</v>
      </c>
      <c r="F33" s="7">
        <v>0.6</v>
      </c>
      <c r="G33" s="6">
        <v>70.2</v>
      </c>
      <c r="H33" s="6">
        <v>10.53</v>
      </c>
      <c r="I33" s="6">
        <v>95</v>
      </c>
      <c r="J33" s="6">
        <v>10.003500000000001</v>
      </c>
      <c r="K33" s="8">
        <v>38.659999999999997</v>
      </c>
      <c r="L33" s="6">
        <v>139.28255726420679</v>
      </c>
      <c r="M33" s="6">
        <v>80.677865567856244</v>
      </c>
      <c r="N33" s="6">
        <v>24.158329761341768</v>
      </c>
      <c r="O33" s="6">
        <v>238.68891033228229</v>
      </c>
      <c r="P33" s="6">
        <v>482.80766292568711</v>
      </c>
      <c r="Q33" s="6">
        <v>152.1731625827536</v>
      </c>
      <c r="R33" s="6">
        <v>50.533574298408652</v>
      </c>
      <c r="S33" s="6">
        <v>91.188545090252816</v>
      </c>
      <c r="T33" s="6">
        <v>12.32038814917755</v>
      </c>
      <c r="U33" s="6">
        <v>306.21567012059262</v>
      </c>
      <c r="V33" s="6">
        <v>789.02333304627973</v>
      </c>
      <c r="W33" s="6">
        <v>49.402715278715583</v>
      </c>
      <c r="X33" s="6">
        <v>300</v>
      </c>
      <c r="Y33" s="6">
        <v>-1356.0737524600349</v>
      </c>
      <c r="Z33" s="6">
        <v>-217.64770413503999</v>
      </c>
      <c r="AA33" s="6">
        <v>284.33264984382993</v>
      </c>
      <c r="AB33" s="6">
        <v>66.684945708789897</v>
      </c>
      <c r="AC33" s="6">
        <v>0</v>
      </c>
      <c r="AD33" s="6">
        <v>499.25518757393098</v>
      </c>
      <c r="AE33" s="6">
        <v>0</v>
      </c>
      <c r="AF33" s="6">
        <v>0</v>
      </c>
      <c r="AG33" s="6">
        <v>565.94013328272092</v>
      </c>
      <c r="AH33" s="6">
        <v>5.6156818345130004</v>
      </c>
      <c r="AI33" s="6">
        <v>0</v>
      </c>
      <c r="AJ33" s="6">
        <v>247.6586734261702</v>
      </c>
      <c r="AK33" s="6">
        <v>319.95930096947308</v>
      </c>
      <c r="AL33" s="6">
        <v>0</v>
      </c>
      <c r="AM33" s="6">
        <v>0</v>
      </c>
      <c r="AN33" s="6">
        <v>0</v>
      </c>
      <c r="AO33" s="6">
        <v>0</v>
      </c>
      <c r="AP33" s="6">
        <v>0</v>
      </c>
      <c r="AQ33" s="6">
        <v>319.95930096947308</v>
      </c>
      <c r="AR33" s="6">
        <v>1205.9999989886601</v>
      </c>
      <c r="AS33" s="6">
        <v>579.03136700000005</v>
      </c>
      <c r="AT33" s="6">
        <v>1423.6477031237</v>
      </c>
      <c r="AU33" s="6">
        <v>1139.31505327987</v>
      </c>
    </row>
    <row r="34" spans="1:47" hidden="1" x14ac:dyDescent="0.35">
      <c r="A34" s="5">
        <v>46022</v>
      </c>
      <c r="B34" s="4" t="s">
        <v>73</v>
      </c>
      <c r="C34" s="4" t="s">
        <v>74</v>
      </c>
      <c r="D34" s="4" t="s">
        <v>70</v>
      </c>
      <c r="E34" s="6">
        <v>1955.4754399999999</v>
      </c>
      <c r="F34" s="7">
        <v>0.12</v>
      </c>
      <c r="G34" s="6">
        <v>37</v>
      </c>
      <c r="H34" s="6">
        <v>0.86799999999999999</v>
      </c>
      <c r="I34" s="6">
        <v>15</v>
      </c>
      <c r="J34" s="6">
        <v>0.13023499999999999</v>
      </c>
      <c r="K34" s="8">
        <v>2.4820000000000002</v>
      </c>
      <c r="L34" s="6">
        <v>14539.89386582481</v>
      </c>
      <c r="M34" s="6">
        <v>9412.409030882478</v>
      </c>
      <c r="N34" s="6">
        <v>1714.0496357438881</v>
      </c>
      <c r="O34" s="6">
        <v>3154.1948876446372</v>
      </c>
      <c r="P34" s="6">
        <v>28820.54742009582</v>
      </c>
      <c r="Q34" s="6">
        <v>7260.0431844940676</v>
      </c>
      <c r="R34" s="6">
        <v>1077.7272445873621</v>
      </c>
      <c r="S34" s="6">
        <v>5809.3979092555946</v>
      </c>
      <c r="T34" s="6">
        <v>2491.2761151323662</v>
      </c>
      <c r="U34" s="6">
        <v>16638.44445346939</v>
      </c>
      <c r="V34" s="6">
        <v>45458.99187356521</v>
      </c>
      <c r="W34" s="6">
        <v>23.999454401343719</v>
      </c>
      <c r="X34" s="6">
        <v>499.86562751948401</v>
      </c>
      <c r="Y34" s="6">
        <v>-27483.188142868879</v>
      </c>
      <c r="Z34" s="6">
        <v>18499.668812617161</v>
      </c>
      <c r="AA34" s="6">
        <v>3027.0695402065512</v>
      </c>
      <c r="AB34" s="6">
        <v>21526.738352823711</v>
      </c>
      <c r="AC34" s="6">
        <v>0</v>
      </c>
      <c r="AD34" s="6">
        <v>1715.090988515723</v>
      </c>
      <c r="AE34" s="6">
        <v>0</v>
      </c>
      <c r="AF34" s="6">
        <v>0</v>
      </c>
      <c r="AG34" s="6">
        <v>23241.829341339431</v>
      </c>
      <c r="AH34" s="6">
        <v>474.69953727905761</v>
      </c>
      <c r="AI34" s="6">
        <v>0</v>
      </c>
      <c r="AJ34" s="6">
        <v>1399.0468924085189</v>
      </c>
      <c r="AK34" s="6">
        <v>23400.484782511281</v>
      </c>
      <c r="AL34" s="6">
        <v>0</v>
      </c>
      <c r="AM34" s="6">
        <v>0</v>
      </c>
      <c r="AN34" s="6">
        <v>0</v>
      </c>
      <c r="AO34" s="6">
        <v>0</v>
      </c>
      <c r="AP34" s="6">
        <v>0</v>
      </c>
      <c r="AQ34" s="6">
        <v>23400.484782511281</v>
      </c>
      <c r="AR34" s="6">
        <v>1205.6758925659269</v>
      </c>
      <c r="AS34" s="6">
        <v>86.912203000000005</v>
      </c>
      <c r="AT34" s="6">
        <v>-17293.992920051231</v>
      </c>
      <c r="AU34" s="6">
        <v>-20321.062460257781</v>
      </c>
    </row>
    <row r="35" spans="1:47" hidden="1" x14ac:dyDescent="0.35">
      <c r="A35" s="5">
        <v>46022</v>
      </c>
      <c r="B35" s="4" t="s">
        <v>75</v>
      </c>
      <c r="C35" s="4" t="s">
        <v>76</v>
      </c>
      <c r="D35" s="4" t="s">
        <v>77</v>
      </c>
      <c r="E35" s="6">
        <v>33740</v>
      </c>
      <c r="F35" s="7">
        <v>0.02</v>
      </c>
      <c r="G35" s="6">
        <v>70</v>
      </c>
      <c r="H35" s="6">
        <v>4.7236000000000002</v>
      </c>
      <c r="I35" s="6">
        <v>91</v>
      </c>
      <c r="J35" s="6">
        <v>4.298476</v>
      </c>
      <c r="K35" s="8">
        <v>0.79221624135971103</v>
      </c>
      <c r="L35" s="6">
        <v>11099.933595932431</v>
      </c>
      <c r="M35" s="6">
        <v>1018.459066026648</v>
      </c>
      <c r="N35" s="6">
        <v>640.23226252770814</v>
      </c>
      <c r="O35" s="6">
        <v>10215.16814341709</v>
      </c>
      <c r="P35" s="6">
        <v>22973.79306790388</v>
      </c>
      <c r="Q35" s="6">
        <v>698.55981509477101</v>
      </c>
      <c r="R35" s="6">
        <v>653.34027782148621</v>
      </c>
      <c r="S35" s="6">
        <v>716.8356088473771</v>
      </c>
      <c r="T35" s="6">
        <v>1030.2263805005939</v>
      </c>
      <c r="U35" s="6">
        <v>3098.9620822642291</v>
      </c>
      <c r="V35" s="6">
        <v>26072.755150168108</v>
      </c>
      <c r="W35" s="6">
        <v>903.31828866980436</v>
      </c>
      <c r="X35" s="6">
        <v>2962.4329671441469</v>
      </c>
      <c r="Y35" s="6">
        <v>-125914.235687564</v>
      </c>
      <c r="Z35" s="6">
        <v>-95975.729281581967</v>
      </c>
      <c r="AA35" s="6">
        <v>9177.4018679342153</v>
      </c>
      <c r="AB35" s="6">
        <v>-86798.327413647756</v>
      </c>
      <c r="AC35" s="6">
        <v>0</v>
      </c>
      <c r="AD35" s="6">
        <v>9592.9673546171252</v>
      </c>
      <c r="AE35" s="6">
        <v>0</v>
      </c>
      <c r="AF35" s="6">
        <v>0</v>
      </c>
      <c r="AG35" s="6">
        <v>-77205.360059030616</v>
      </c>
      <c r="AH35" s="6">
        <v>7254.673205446471</v>
      </c>
      <c r="AI35" s="6">
        <v>0</v>
      </c>
      <c r="AJ35" s="6">
        <v>9719.8084731369108</v>
      </c>
      <c r="AK35" s="6">
        <v>-69823.845735064373</v>
      </c>
      <c r="AL35" s="6">
        <v>0</v>
      </c>
      <c r="AM35" s="6">
        <v>1632.7333355647099</v>
      </c>
      <c r="AN35" s="6">
        <v>0</v>
      </c>
      <c r="AO35" s="6">
        <v>0</v>
      </c>
      <c r="AP35" s="6">
        <v>527.62014014346153</v>
      </c>
      <c r="AQ35" s="6">
        <v>-67663.492259356193</v>
      </c>
      <c r="AR35" s="6">
        <v>1205.9999989886601</v>
      </c>
      <c r="AS35" s="6">
        <v>12973.500700000001</v>
      </c>
      <c r="AT35" s="6">
        <v>97181.729280570624</v>
      </c>
      <c r="AU35" s="6">
        <v>88004.327412636412</v>
      </c>
    </row>
    <row r="36" spans="1:47" hidden="1" x14ac:dyDescent="0.35">
      <c r="A36" s="5">
        <v>46022</v>
      </c>
      <c r="B36" s="4" t="s">
        <v>110</v>
      </c>
      <c r="C36" s="4" t="s">
        <v>111</v>
      </c>
      <c r="D36" s="4" t="s">
        <v>80</v>
      </c>
      <c r="E36" s="6">
        <v>4200</v>
      </c>
      <c r="F36" s="7">
        <v>0.03</v>
      </c>
      <c r="G36" s="6">
        <v>27.78</v>
      </c>
      <c r="H36" s="6">
        <v>0.35</v>
      </c>
      <c r="I36" s="6">
        <v>100</v>
      </c>
      <c r="J36" s="6">
        <v>0.35</v>
      </c>
      <c r="K36" s="8">
        <v>0.27500000000000002</v>
      </c>
      <c r="L36" s="6">
        <v>23527.627049666891</v>
      </c>
      <c r="M36" s="6">
        <v>6272.3115797496002</v>
      </c>
      <c r="N36" s="6">
        <v>5350.835554611409</v>
      </c>
      <c r="O36" s="6">
        <v>46828.1751640535</v>
      </c>
      <c r="P36" s="6">
        <v>81978.949348081384</v>
      </c>
      <c r="Q36" s="6">
        <v>8339.7098092421984</v>
      </c>
      <c r="R36" s="6">
        <v>5882.7100480168456</v>
      </c>
      <c r="S36" s="6">
        <v>6375.413747898524</v>
      </c>
      <c r="T36" s="6">
        <v>7086.6984194026463</v>
      </c>
      <c r="U36" s="6">
        <v>27684.532024560209</v>
      </c>
      <c r="V36" s="6">
        <v>109663.4813726416</v>
      </c>
      <c r="W36" s="6">
        <v>900.46294457148542</v>
      </c>
      <c r="X36" s="6">
        <v>5739.2569850044274</v>
      </c>
      <c r="Y36" s="6">
        <v>-179763.14486628689</v>
      </c>
      <c r="Z36" s="6">
        <v>-63459.94356406937</v>
      </c>
      <c r="AA36" s="6">
        <v>0</v>
      </c>
      <c r="AB36" s="6">
        <v>-63459.94356406937</v>
      </c>
      <c r="AC36" s="6">
        <v>0</v>
      </c>
      <c r="AD36" s="6">
        <v>24330.851702868949</v>
      </c>
      <c r="AE36" s="6">
        <v>0</v>
      </c>
      <c r="AF36" s="6">
        <v>0</v>
      </c>
      <c r="AG36" s="6">
        <v>-39129.091861200417</v>
      </c>
      <c r="AH36" s="6">
        <v>2693.6137908402352</v>
      </c>
      <c r="AI36" s="6">
        <v>0</v>
      </c>
      <c r="AJ36" s="6">
        <v>20921.068706256548</v>
      </c>
      <c r="AK36" s="6">
        <v>-39845.261066972576</v>
      </c>
      <c r="AL36" s="6">
        <v>0</v>
      </c>
      <c r="AM36" s="6">
        <v>0</v>
      </c>
      <c r="AN36" s="6">
        <v>0</v>
      </c>
      <c r="AO36" s="6">
        <v>0</v>
      </c>
      <c r="AP36" s="6">
        <v>0</v>
      </c>
      <c r="AQ36" s="6">
        <v>-39845.261066972576</v>
      </c>
      <c r="AR36" s="6">
        <v>1205.9999989886601</v>
      </c>
      <c r="AS36" s="6">
        <v>1561.407234</v>
      </c>
      <c r="AT36" s="6">
        <v>64665.943563058026</v>
      </c>
      <c r="AU36" s="6">
        <v>64665.943563058026</v>
      </c>
    </row>
    <row r="37" spans="1:47" hidden="1" x14ac:dyDescent="0.35">
      <c r="A37" s="5">
        <v>46022</v>
      </c>
      <c r="B37" s="4" t="s">
        <v>112</v>
      </c>
      <c r="C37" s="4" t="s">
        <v>113</v>
      </c>
      <c r="D37" s="4" t="s">
        <v>114</v>
      </c>
      <c r="E37" s="6">
        <v>2500</v>
      </c>
      <c r="F37" s="7">
        <v>0.05</v>
      </c>
      <c r="G37" s="6">
        <v>75</v>
      </c>
      <c r="H37" s="6">
        <v>0.93799999999999994</v>
      </c>
      <c r="I37" s="6">
        <v>100</v>
      </c>
      <c r="J37" s="6">
        <v>0.9375</v>
      </c>
      <c r="K37" s="8">
        <v>7.0060000000000002</v>
      </c>
      <c r="L37" s="6">
        <v>76.637273423685315</v>
      </c>
      <c r="M37" s="6">
        <v>19.348194218789331</v>
      </c>
      <c r="N37" s="6">
        <v>5.370412702834666</v>
      </c>
      <c r="O37" s="6">
        <v>88.849068645773315</v>
      </c>
      <c r="P37" s="6">
        <v>190.2049489910826</v>
      </c>
      <c r="Q37" s="6">
        <v>126.27140683449601</v>
      </c>
      <c r="R37" s="6">
        <v>3455.470182440994</v>
      </c>
      <c r="S37" s="6">
        <v>414.86283907991992</v>
      </c>
      <c r="T37" s="6">
        <v>1907.1315388243061</v>
      </c>
      <c r="U37" s="6">
        <v>5903.7359671797167</v>
      </c>
      <c r="V37" s="6">
        <v>6093.940916170799</v>
      </c>
      <c r="W37" s="6">
        <v>102.9733390706085</v>
      </c>
      <c r="X37" s="6">
        <v>0</v>
      </c>
      <c r="Y37" s="6">
        <v>-15510.42051967678</v>
      </c>
      <c r="Z37" s="6">
        <v>-9313.5062644353675</v>
      </c>
      <c r="AA37" s="6">
        <v>1118.0943726811361</v>
      </c>
      <c r="AB37" s="6">
        <v>-8195.4118917542328</v>
      </c>
      <c r="AC37" s="6">
        <v>0</v>
      </c>
      <c r="AD37" s="6">
        <v>2146.1121825462292</v>
      </c>
      <c r="AE37" s="6">
        <v>0</v>
      </c>
      <c r="AF37" s="6">
        <v>0</v>
      </c>
      <c r="AG37" s="6">
        <v>-6049.2997092080041</v>
      </c>
      <c r="AH37" s="6">
        <v>72.574779199999995</v>
      </c>
      <c r="AI37" s="6">
        <v>0</v>
      </c>
      <c r="AJ37" s="6">
        <v>914.0911979046025</v>
      </c>
      <c r="AK37" s="6">
        <v>-7208.7459146496303</v>
      </c>
      <c r="AL37" s="6">
        <v>0</v>
      </c>
      <c r="AM37" s="6">
        <v>0</v>
      </c>
      <c r="AN37" s="6">
        <v>0</v>
      </c>
      <c r="AO37" s="6">
        <v>0</v>
      </c>
      <c r="AP37" s="6">
        <v>0</v>
      </c>
      <c r="AQ37" s="6">
        <v>-7208.7459146496303</v>
      </c>
      <c r="AR37" s="6">
        <v>1205.9999989886601</v>
      </c>
      <c r="AS37" s="6">
        <v>420.165797</v>
      </c>
      <c r="AT37" s="6">
        <v>10519.506263424029</v>
      </c>
      <c r="AU37" s="6">
        <v>9401.4118907428929</v>
      </c>
    </row>
    <row r="38" spans="1:47" hidden="1" x14ac:dyDescent="0.35">
      <c r="A38" s="5">
        <v>46022</v>
      </c>
      <c r="B38" s="4" t="s">
        <v>78</v>
      </c>
      <c r="C38" s="4" t="s">
        <v>79</v>
      </c>
      <c r="D38" s="4" t="s">
        <v>80</v>
      </c>
      <c r="E38" s="6">
        <v>1350</v>
      </c>
      <c r="F38" s="7">
        <v>5.9200000000000003E-2</v>
      </c>
      <c r="G38" s="6">
        <v>88</v>
      </c>
      <c r="H38" s="6">
        <v>0.70399999999999996</v>
      </c>
      <c r="I38" s="6">
        <v>70</v>
      </c>
      <c r="J38" s="6">
        <v>0.49252200000000002</v>
      </c>
      <c r="K38" s="8">
        <v>1.704</v>
      </c>
      <c r="L38" s="6">
        <v>10801.969074915311</v>
      </c>
      <c r="M38" s="6">
        <v>863.7059715204075</v>
      </c>
      <c r="N38" s="6">
        <v>1473.3948973049189</v>
      </c>
      <c r="O38" s="6">
        <v>20644.670977068072</v>
      </c>
      <c r="P38" s="6">
        <v>33783.740920808712</v>
      </c>
      <c r="Q38" s="6">
        <v>1273.3836879417549</v>
      </c>
      <c r="R38" s="6">
        <v>1174.6699901653481</v>
      </c>
      <c r="S38" s="6">
        <v>806.35965254463042</v>
      </c>
      <c r="T38" s="6">
        <v>3397.8341438553521</v>
      </c>
      <c r="U38" s="6">
        <v>6652.2474745070858</v>
      </c>
      <c r="V38" s="6">
        <v>40435.988395315791</v>
      </c>
      <c r="W38" s="6">
        <v>3739.4376715388948</v>
      </c>
      <c r="X38" s="6">
        <v>6138.3201919985049</v>
      </c>
      <c r="Y38" s="6">
        <v>-69620.405998391172</v>
      </c>
      <c r="Z38" s="6">
        <v>-19306.659739537979</v>
      </c>
      <c r="AA38" s="6">
        <v>2932.5781387704369</v>
      </c>
      <c r="AB38" s="6">
        <v>-16374.08160076754</v>
      </c>
      <c r="AC38" s="6">
        <v>0</v>
      </c>
      <c r="AD38" s="6">
        <v>15885.73476757664</v>
      </c>
      <c r="AE38" s="6">
        <v>0</v>
      </c>
      <c r="AF38" s="6">
        <v>0</v>
      </c>
      <c r="AG38" s="6">
        <v>-488.34683319090237</v>
      </c>
      <c r="AH38" s="6">
        <v>199.1211351129329</v>
      </c>
      <c r="AI38" s="6">
        <v>0</v>
      </c>
      <c r="AJ38" s="6">
        <v>4184.8456535279502</v>
      </c>
      <c r="AK38" s="6">
        <v>-11990.11481212666</v>
      </c>
      <c r="AL38" s="6">
        <v>0</v>
      </c>
      <c r="AM38" s="6">
        <v>0</v>
      </c>
      <c r="AN38" s="6">
        <v>0</v>
      </c>
      <c r="AO38" s="6">
        <v>0</v>
      </c>
      <c r="AP38" s="6">
        <v>0</v>
      </c>
      <c r="AQ38" s="6">
        <v>-11990.11481212666</v>
      </c>
      <c r="AR38" s="6">
        <v>1205.9461293138479</v>
      </c>
      <c r="AS38" s="6">
        <v>800.76637200000005</v>
      </c>
      <c r="AT38" s="6">
        <v>20512.605868851831</v>
      </c>
      <c r="AU38" s="6">
        <v>17580.02773008139</v>
      </c>
    </row>
    <row r="39" spans="1:47" hidden="1" x14ac:dyDescent="0.35">
      <c r="A39" s="5">
        <v>46022</v>
      </c>
      <c r="B39" s="4" t="s">
        <v>81</v>
      </c>
      <c r="C39" s="4" t="s">
        <v>82</v>
      </c>
      <c r="D39" s="4" t="s">
        <v>83</v>
      </c>
      <c r="E39" s="6">
        <v>3450</v>
      </c>
      <c r="F39" s="7">
        <v>9.4E-2</v>
      </c>
      <c r="G39" s="6">
        <v>88</v>
      </c>
      <c r="H39" s="6">
        <v>2.8540000000000001</v>
      </c>
      <c r="I39" s="6">
        <v>100</v>
      </c>
      <c r="J39" s="6">
        <v>2.8538399999999999</v>
      </c>
      <c r="K39" s="8">
        <v>9.6959999999999997</v>
      </c>
      <c r="L39" s="6">
        <v>354.65193111240688</v>
      </c>
      <c r="M39" s="6">
        <v>255.22154447022609</v>
      </c>
      <c r="N39" s="6">
        <v>14.31086120736702</v>
      </c>
      <c r="O39" s="6">
        <v>503.81440015328462</v>
      </c>
      <c r="P39" s="6">
        <v>1127.9987369432849</v>
      </c>
      <c r="Q39" s="6">
        <v>310.38812626611701</v>
      </c>
      <c r="R39" s="6">
        <v>393.89776069623667</v>
      </c>
      <c r="S39" s="6">
        <v>1625.44535165762</v>
      </c>
      <c r="T39" s="6">
        <v>684.07547354227393</v>
      </c>
      <c r="U39" s="6">
        <v>3013.8067121622471</v>
      </c>
      <c r="V39" s="6">
        <v>4141.8054491055318</v>
      </c>
      <c r="W39" s="6">
        <v>43.305352870948958</v>
      </c>
      <c r="X39" s="6">
        <v>542.13123027226482</v>
      </c>
      <c r="Y39" s="6">
        <v>-6176.9481207545841</v>
      </c>
      <c r="Z39" s="6">
        <v>-1449.7060885058379</v>
      </c>
      <c r="AA39" s="6">
        <v>165.20003720665679</v>
      </c>
      <c r="AB39" s="6">
        <v>-1284.506051299182</v>
      </c>
      <c r="AC39" s="6">
        <v>5.701160385505319</v>
      </c>
      <c r="AD39" s="6">
        <v>1367.201868658537</v>
      </c>
      <c r="AE39" s="6">
        <v>0</v>
      </c>
      <c r="AF39" s="6">
        <v>0</v>
      </c>
      <c r="AG39" s="6">
        <v>88.396977744861005</v>
      </c>
      <c r="AH39" s="6">
        <v>290.86215916643619</v>
      </c>
      <c r="AI39" s="6">
        <v>0</v>
      </c>
      <c r="AJ39" s="6">
        <v>123.974054830984</v>
      </c>
      <c r="AK39" s="6">
        <v>-863.96867691625596</v>
      </c>
      <c r="AL39" s="6">
        <v>0</v>
      </c>
      <c r="AM39" s="6">
        <v>0</v>
      </c>
      <c r="AN39" s="6">
        <v>0</v>
      </c>
      <c r="AO39" s="6">
        <v>0</v>
      </c>
      <c r="AP39" s="6">
        <v>0</v>
      </c>
      <c r="AQ39" s="6">
        <v>-863.96867691625596</v>
      </c>
      <c r="AR39" s="6">
        <v>1205.9830954481811</v>
      </c>
      <c r="AS39" s="6">
        <v>593.93245000000002</v>
      </c>
      <c r="AT39" s="6">
        <v>2655.689183954019</v>
      </c>
      <c r="AU39" s="6">
        <v>2490.4891467473631</v>
      </c>
    </row>
    <row r="40" spans="1:47" hidden="1" x14ac:dyDescent="0.35">
      <c r="A40" s="5">
        <v>46022</v>
      </c>
      <c r="B40" s="4" t="s">
        <v>126</v>
      </c>
      <c r="C40" s="4" t="s">
        <v>127</v>
      </c>
      <c r="D40" s="4" t="s">
        <v>128</v>
      </c>
      <c r="E40" s="6">
        <v>2211</v>
      </c>
      <c r="F40" s="7">
        <v>9.1228000000000004E-2</v>
      </c>
      <c r="G40" s="6">
        <v>74.365936000000005</v>
      </c>
      <c r="H40" s="6">
        <v>1.5</v>
      </c>
      <c r="I40" s="6">
        <v>100</v>
      </c>
      <c r="J40" s="6">
        <v>1.5</v>
      </c>
      <c r="K40" s="8">
        <v>9.8362636566162092</v>
      </c>
      <c r="L40" s="6">
        <v>285.1145145652817</v>
      </c>
      <c r="M40" s="6">
        <v>139.70543110081849</v>
      </c>
      <c r="N40" s="6">
        <v>20.76335335376049</v>
      </c>
      <c r="O40" s="6">
        <v>641.07066013129838</v>
      </c>
      <c r="P40" s="6">
        <v>1086.6539591511589</v>
      </c>
      <c r="Q40" s="6">
        <v>346.96765749105128</v>
      </c>
      <c r="R40" s="6">
        <v>2058.0621649592808</v>
      </c>
      <c r="S40" s="6">
        <v>334.09322171482222</v>
      </c>
      <c r="T40" s="6">
        <v>901.30382581737399</v>
      </c>
      <c r="U40" s="6">
        <v>3640.4268699825288</v>
      </c>
      <c r="V40" s="6">
        <v>4727.080829133688</v>
      </c>
      <c r="W40" s="6">
        <v>46.685532622822421</v>
      </c>
      <c r="X40" s="6">
        <v>393.506531</v>
      </c>
      <c r="Y40" s="6">
        <v>-7744.9376891469856</v>
      </c>
      <c r="Z40" s="6">
        <v>-2577.6647963904761</v>
      </c>
      <c r="AA40" s="6">
        <v>0</v>
      </c>
      <c r="AB40" s="6">
        <v>-2577.6647963904761</v>
      </c>
      <c r="AC40" s="6">
        <v>0</v>
      </c>
      <c r="AD40" s="6">
        <v>1124.3766223724549</v>
      </c>
      <c r="AE40" s="6">
        <v>0</v>
      </c>
      <c r="AF40" s="6">
        <v>0</v>
      </c>
      <c r="AG40" s="6">
        <v>-1453.288174018021</v>
      </c>
      <c r="AH40" s="6">
        <v>174.77355222683329</v>
      </c>
      <c r="AI40" s="6">
        <v>0</v>
      </c>
      <c r="AJ40" s="6">
        <v>582.57857182683665</v>
      </c>
      <c r="AK40" s="6">
        <v>-1820.3126723368059</v>
      </c>
      <c r="AL40" s="6">
        <v>0</v>
      </c>
      <c r="AM40" s="6">
        <v>0</v>
      </c>
      <c r="AN40" s="6">
        <v>0</v>
      </c>
      <c r="AO40" s="6">
        <v>0</v>
      </c>
      <c r="AP40" s="6">
        <v>0</v>
      </c>
      <c r="AQ40" s="6">
        <v>-1820.3126723368059</v>
      </c>
      <c r="AR40" s="6">
        <v>1205.9999989886601</v>
      </c>
      <c r="AS40" s="6">
        <v>415.28477800000002</v>
      </c>
      <c r="AT40" s="6">
        <v>3783.6647953791348</v>
      </c>
      <c r="AU40" s="6">
        <v>3783.6647953791348</v>
      </c>
    </row>
    <row r="41" spans="1:47" hidden="1" x14ac:dyDescent="0.35">
      <c r="A41" s="5">
        <v>46022</v>
      </c>
      <c r="B41" s="4" t="s">
        <v>84</v>
      </c>
      <c r="C41" s="4" t="s">
        <v>85</v>
      </c>
      <c r="D41" s="4" t="s">
        <v>56</v>
      </c>
      <c r="E41" s="6">
        <v>1500</v>
      </c>
      <c r="F41" s="7">
        <v>0.2</v>
      </c>
      <c r="G41" s="6">
        <v>65.400000000000006</v>
      </c>
      <c r="H41" s="6">
        <v>1.962</v>
      </c>
      <c r="I41" s="6">
        <v>69.5</v>
      </c>
      <c r="J41" s="6">
        <v>1.3635900000000001</v>
      </c>
      <c r="K41" s="8">
        <v>10.128</v>
      </c>
      <c r="L41" s="6">
        <v>565.33598250918965</v>
      </c>
      <c r="M41" s="6">
        <v>419.65801639151431</v>
      </c>
      <c r="N41" s="6">
        <v>20.87953947990011</v>
      </c>
      <c r="O41" s="6">
        <v>277.85753504631822</v>
      </c>
      <c r="P41" s="6">
        <v>1283.731073426922</v>
      </c>
      <c r="Q41" s="6">
        <v>393.19481900427252</v>
      </c>
      <c r="R41" s="6">
        <v>1187.8297130765559</v>
      </c>
      <c r="S41" s="6">
        <v>401.36782441879518</v>
      </c>
      <c r="T41" s="6">
        <v>178.42841699553929</v>
      </c>
      <c r="U41" s="6">
        <v>2160.8207734951629</v>
      </c>
      <c r="V41" s="6">
        <v>3444.5518469220851</v>
      </c>
      <c r="W41" s="6">
        <v>67.11244656538976</v>
      </c>
      <c r="X41" s="6">
        <v>0</v>
      </c>
      <c r="Y41" s="6">
        <v>-7785.4452924963562</v>
      </c>
      <c r="Z41" s="6">
        <v>-4273.7809990088808</v>
      </c>
      <c r="AA41" s="6">
        <v>627.36802862702098</v>
      </c>
      <c r="AB41" s="6">
        <v>-3646.4129703818599</v>
      </c>
      <c r="AC41" s="6">
        <v>0</v>
      </c>
      <c r="AD41" s="6">
        <v>774.63034588012226</v>
      </c>
      <c r="AE41" s="6">
        <v>0</v>
      </c>
      <c r="AF41" s="6">
        <v>0</v>
      </c>
      <c r="AG41" s="6">
        <v>-2871.7826245017382</v>
      </c>
      <c r="AH41" s="6">
        <v>216.21969787134071</v>
      </c>
      <c r="AI41" s="6">
        <v>0</v>
      </c>
      <c r="AJ41" s="6">
        <v>36.591011976020283</v>
      </c>
      <c r="AK41" s="6">
        <v>-3393.6022605344988</v>
      </c>
      <c r="AL41" s="6">
        <v>0</v>
      </c>
      <c r="AM41" s="6">
        <v>0</v>
      </c>
      <c r="AN41" s="6">
        <v>0</v>
      </c>
      <c r="AO41" s="6">
        <v>0</v>
      </c>
      <c r="AP41" s="6">
        <v>0</v>
      </c>
      <c r="AQ41" s="6">
        <v>-3393.6022605344988</v>
      </c>
      <c r="AR41" s="6">
        <v>1206.0088432893581</v>
      </c>
      <c r="AS41" s="6">
        <v>282.61290200000002</v>
      </c>
      <c r="AT41" s="6">
        <v>5479.7898422982398</v>
      </c>
      <c r="AU41" s="6">
        <v>4852.4218136712188</v>
      </c>
    </row>
    <row r="42" spans="1:47" hidden="1" x14ac:dyDescent="0.35">
      <c r="A42" s="5">
        <v>46022</v>
      </c>
      <c r="B42" s="4" t="s">
        <v>117</v>
      </c>
      <c r="C42" s="4" t="s">
        <v>118</v>
      </c>
      <c r="D42" s="4" t="s">
        <v>114</v>
      </c>
      <c r="E42" s="6">
        <v>6600</v>
      </c>
      <c r="F42" s="7">
        <v>1.0999999999999999E-2</v>
      </c>
      <c r="G42" s="6">
        <v>40</v>
      </c>
      <c r="H42" s="6">
        <v>0.28999999999999998</v>
      </c>
      <c r="I42" s="6">
        <v>100</v>
      </c>
      <c r="J42" s="6">
        <v>0.29039999999999999</v>
      </c>
      <c r="K42" s="8">
        <v>17.245000000000001</v>
      </c>
      <c r="L42" s="6">
        <v>1429.2406929010001</v>
      </c>
      <c r="M42" s="6">
        <v>2041.0326799642501</v>
      </c>
      <c r="N42" s="6">
        <v>115.266068351</v>
      </c>
      <c r="O42" s="6">
        <v>3149.0773994259998</v>
      </c>
      <c r="P42" s="6">
        <v>6734.6168406422494</v>
      </c>
      <c r="Q42" s="6">
        <v>645.15370587674988</v>
      </c>
      <c r="R42" s="6">
        <v>1676.0104055572499</v>
      </c>
      <c r="S42" s="6">
        <v>1765.1330591282499</v>
      </c>
      <c r="T42" s="6">
        <v>3319.01681173825</v>
      </c>
      <c r="U42" s="6">
        <v>7405.3139823004994</v>
      </c>
      <c r="V42" s="6">
        <v>14139.93082294275</v>
      </c>
      <c r="W42" s="6">
        <v>455.75894533950219</v>
      </c>
      <c r="X42" s="6">
        <v>722.85177299999998</v>
      </c>
      <c r="Y42" s="6">
        <v>-37934.181706629272</v>
      </c>
      <c r="Z42" s="6">
        <v>-22615.64016534702</v>
      </c>
      <c r="AA42" s="6">
        <v>2365.5074980954319</v>
      </c>
      <c r="AB42" s="6">
        <v>-20250.132667251579</v>
      </c>
      <c r="AC42" s="6">
        <v>156.19556350125001</v>
      </c>
      <c r="AD42" s="6">
        <v>11066.131200885249</v>
      </c>
      <c r="AE42" s="6">
        <v>0</v>
      </c>
      <c r="AF42" s="6">
        <v>0</v>
      </c>
      <c r="AG42" s="6">
        <v>-9027.8059028650841</v>
      </c>
      <c r="AH42" s="6">
        <v>1171.4682725969999</v>
      </c>
      <c r="AI42" s="6">
        <v>0</v>
      </c>
      <c r="AJ42" s="6">
        <v>5655.972122998749</v>
      </c>
      <c r="AK42" s="6">
        <v>-13266.49670815458</v>
      </c>
      <c r="AL42" s="6">
        <v>0</v>
      </c>
      <c r="AM42" s="6">
        <v>0</v>
      </c>
      <c r="AN42" s="6">
        <v>0</v>
      </c>
      <c r="AO42" s="6">
        <v>0</v>
      </c>
      <c r="AP42" s="6">
        <v>0</v>
      </c>
      <c r="AQ42" s="6">
        <v>-13266.49670815458</v>
      </c>
      <c r="AR42" s="6">
        <v>1205.9999989886601</v>
      </c>
      <c r="AS42" s="6">
        <v>285.59869200000003</v>
      </c>
      <c r="AT42" s="6">
        <v>23821.640164335669</v>
      </c>
      <c r="AU42" s="6">
        <v>21456.132666240239</v>
      </c>
    </row>
    <row r="43" spans="1:47" hidden="1" x14ac:dyDescent="0.35">
      <c r="A43" s="5">
        <v>46022</v>
      </c>
      <c r="B43" s="4" t="s">
        <v>129</v>
      </c>
      <c r="C43" s="4" t="s">
        <v>130</v>
      </c>
      <c r="D43" s="4" t="s">
        <v>50</v>
      </c>
      <c r="E43" s="6">
        <v>1750</v>
      </c>
      <c r="F43" s="7">
        <v>2.3400000000000001E-2</v>
      </c>
      <c r="G43" s="6">
        <v>40</v>
      </c>
      <c r="H43" s="6">
        <v>0.16400000000000001</v>
      </c>
      <c r="I43" s="6">
        <v>90</v>
      </c>
      <c r="J43" s="6">
        <v>0.14716699999999999</v>
      </c>
      <c r="K43" s="8">
        <v>1.4330000000000001</v>
      </c>
      <c r="L43" s="6">
        <v>885.72527193775954</v>
      </c>
      <c r="M43" s="6">
        <v>202.2581775983339</v>
      </c>
      <c r="N43" s="6">
        <v>527.42337633084185</v>
      </c>
      <c r="O43" s="6">
        <v>1418.9469634212001</v>
      </c>
      <c r="P43" s="6">
        <v>3034.353789288135</v>
      </c>
      <c r="Q43" s="6">
        <v>381.4595572591665</v>
      </c>
      <c r="R43" s="6">
        <v>554.21752549553912</v>
      </c>
      <c r="S43" s="6">
        <v>2212.5539979960081</v>
      </c>
      <c r="T43" s="6">
        <v>1663.0123417151549</v>
      </c>
      <c r="U43" s="6">
        <v>4811.2434224658691</v>
      </c>
      <c r="V43" s="6">
        <v>7845.5972117540041</v>
      </c>
      <c r="W43" s="6">
        <v>8.8988553483948412</v>
      </c>
      <c r="X43" s="6">
        <v>610.13678338214413</v>
      </c>
      <c r="Y43" s="6">
        <v>-40183.575570520901</v>
      </c>
      <c r="Z43" s="6">
        <v>-31718.942720036361</v>
      </c>
      <c r="AA43" s="6">
        <v>3806.3828357875309</v>
      </c>
      <c r="AB43" s="6">
        <v>-27912.559884248822</v>
      </c>
      <c r="AC43" s="6">
        <v>0</v>
      </c>
      <c r="AD43" s="6">
        <v>1323.725144161685</v>
      </c>
      <c r="AE43" s="6">
        <v>0</v>
      </c>
      <c r="AF43" s="6">
        <v>0</v>
      </c>
      <c r="AG43" s="6">
        <v>-26588.834740087139</v>
      </c>
      <c r="AH43" s="6">
        <v>437.95834010608871</v>
      </c>
      <c r="AI43" s="6">
        <v>0</v>
      </c>
      <c r="AJ43" s="6">
        <v>1510.1223677714311</v>
      </c>
      <c r="AK43" s="6">
        <v>-25964.4791763713</v>
      </c>
      <c r="AL43" s="6">
        <v>0</v>
      </c>
      <c r="AM43" s="6">
        <v>0</v>
      </c>
      <c r="AN43" s="6">
        <v>0</v>
      </c>
      <c r="AO43" s="6">
        <v>0</v>
      </c>
      <c r="AP43" s="6">
        <v>0</v>
      </c>
      <c r="AQ43" s="6">
        <v>-25964.4791763713</v>
      </c>
      <c r="AR43" s="6">
        <v>1206.2704264619831</v>
      </c>
      <c r="AS43" s="6">
        <v>143.792968</v>
      </c>
      <c r="AT43" s="6">
        <v>32925.213146498339</v>
      </c>
      <c r="AU43" s="6">
        <v>29118.830310710811</v>
      </c>
    </row>
    <row r="44" spans="1:47" hidden="1" x14ac:dyDescent="0.35">
      <c r="A44" s="5">
        <v>46022</v>
      </c>
      <c r="B44" s="4" t="s">
        <v>115</v>
      </c>
      <c r="C44" s="4" t="s">
        <v>116</v>
      </c>
      <c r="D44" s="4" t="s">
        <v>80</v>
      </c>
      <c r="E44" s="6">
        <v>1000</v>
      </c>
      <c r="F44" s="7">
        <v>3.9300000000000002E-2</v>
      </c>
      <c r="G44" s="6">
        <v>55</v>
      </c>
      <c r="H44" s="6">
        <v>0.216</v>
      </c>
      <c r="I44" s="6">
        <v>70</v>
      </c>
      <c r="J44" s="6">
        <v>0.15116599999999999</v>
      </c>
      <c r="K44" s="8">
        <v>1.5129999999999999</v>
      </c>
      <c r="L44" s="6">
        <v>20430.232914796288</v>
      </c>
      <c r="M44" s="6">
        <v>2998.887819321018</v>
      </c>
      <c r="N44" s="6">
        <v>2894.3211642036572</v>
      </c>
      <c r="O44" s="6">
        <v>34752.362637276878</v>
      </c>
      <c r="P44" s="6">
        <v>61075.804535597839</v>
      </c>
      <c r="Q44" s="6">
        <v>1299.7333098229169</v>
      </c>
      <c r="R44" s="6">
        <v>2341.7372989996361</v>
      </c>
      <c r="S44" s="6">
        <v>944.68684232126941</v>
      </c>
      <c r="T44" s="6">
        <v>3659.1601891439282</v>
      </c>
      <c r="U44" s="6">
        <v>8245.3176402877507</v>
      </c>
      <c r="V44" s="6">
        <v>69321.122175885597</v>
      </c>
      <c r="W44" s="6">
        <v>2908.5843670193399</v>
      </c>
      <c r="X44" s="6">
        <v>5945.849835466388</v>
      </c>
      <c r="Y44" s="6">
        <v>-74560.67784580744</v>
      </c>
      <c r="Z44" s="6">
        <v>3614.8785325638769</v>
      </c>
      <c r="AA44" s="6">
        <v>0</v>
      </c>
      <c r="AB44" s="6">
        <v>3614.8785325638769</v>
      </c>
      <c r="AC44" s="6">
        <v>0</v>
      </c>
      <c r="AD44" s="6">
        <v>33152.656317998299</v>
      </c>
      <c r="AE44" s="6">
        <v>0</v>
      </c>
      <c r="AF44" s="6">
        <v>0</v>
      </c>
      <c r="AG44" s="6">
        <v>36767.534850562181</v>
      </c>
      <c r="AH44" s="6">
        <v>311.27756137036113</v>
      </c>
      <c r="AI44" s="6">
        <v>0</v>
      </c>
      <c r="AJ44" s="6">
        <v>12462.85830062095</v>
      </c>
      <c r="AK44" s="6">
        <v>16389.01439455519</v>
      </c>
      <c r="AL44" s="6">
        <v>60012.485611843927</v>
      </c>
      <c r="AM44" s="6">
        <v>0</v>
      </c>
      <c r="AN44" s="6">
        <v>0</v>
      </c>
      <c r="AO44" s="6">
        <v>0</v>
      </c>
      <c r="AP44" s="6">
        <v>0</v>
      </c>
      <c r="AQ44" s="6">
        <v>76401.500006399117</v>
      </c>
      <c r="AR44" s="6">
        <v>1206.2712504603239</v>
      </c>
      <c r="AS44" s="6">
        <v>268.049848</v>
      </c>
      <c r="AT44" s="6">
        <v>-2408.6072821035532</v>
      </c>
      <c r="AU44" s="6">
        <v>-2408.6072821035532</v>
      </c>
    </row>
    <row r="45" spans="1:47" hidden="1" x14ac:dyDescent="0.35">
      <c r="A45" s="5">
        <v>46022</v>
      </c>
      <c r="B45" s="4" t="s">
        <v>140</v>
      </c>
      <c r="C45" s="4" t="s">
        <v>141</v>
      </c>
      <c r="D45" s="4" t="s">
        <v>142</v>
      </c>
      <c r="E45" s="6">
        <v>1740</v>
      </c>
      <c r="F45" s="7">
        <v>4.5100000000000001E-2</v>
      </c>
      <c r="G45" s="6">
        <v>74</v>
      </c>
      <c r="H45" s="6">
        <v>0.58099999999999996</v>
      </c>
      <c r="I45" s="6">
        <v>30</v>
      </c>
      <c r="J45" s="6">
        <v>0.17430000000000001</v>
      </c>
      <c r="K45" s="8">
        <v>8.2149999999999999</v>
      </c>
      <c r="L45" s="6">
        <v>143.65857451638789</v>
      </c>
      <c r="M45" s="6">
        <v>529.9526546796144</v>
      </c>
      <c r="N45" s="6">
        <v>218.9299096099036</v>
      </c>
      <c r="O45" s="6">
        <v>2278.9553520150862</v>
      </c>
      <c r="P45" s="6">
        <v>3171.4964908209922</v>
      </c>
      <c r="Q45" s="6">
        <v>337.8233088043927</v>
      </c>
      <c r="R45" s="6">
        <v>377.88491482089148</v>
      </c>
      <c r="S45" s="6">
        <v>578.75035605714208</v>
      </c>
      <c r="T45" s="6">
        <v>2811.1861021573732</v>
      </c>
      <c r="U45" s="6">
        <v>4105.644681839799</v>
      </c>
      <c r="V45" s="6">
        <v>7277.1411726607921</v>
      </c>
      <c r="W45" s="6">
        <v>85.87807349397589</v>
      </c>
      <c r="X45" s="6">
        <v>1637.2263483915549</v>
      </c>
      <c r="Y45" s="6">
        <v>-10926.377978697161</v>
      </c>
      <c r="Z45" s="6">
        <v>-1926.1323841508331</v>
      </c>
      <c r="AA45" s="6">
        <v>842.97367602699001</v>
      </c>
      <c r="AB45" s="6">
        <v>-1083.1587081238431</v>
      </c>
      <c r="AC45" s="6">
        <v>0.1485222245590361</v>
      </c>
      <c r="AD45" s="6">
        <v>4597.5448558394046</v>
      </c>
      <c r="AE45" s="6">
        <v>0</v>
      </c>
      <c r="AF45" s="6">
        <v>0</v>
      </c>
      <c r="AG45" s="6">
        <v>3514.5346699401211</v>
      </c>
      <c r="AH45" s="6">
        <v>520.47304257246981</v>
      </c>
      <c r="AI45" s="6">
        <v>0</v>
      </c>
      <c r="AJ45" s="6">
        <v>1666.8151169434359</v>
      </c>
      <c r="AK45" s="6">
        <v>1104.2779736166219</v>
      </c>
      <c r="AL45" s="6">
        <v>520.47304257246981</v>
      </c>
      <c r="AM45" s="6">
        <v>0</v>
      </c>
      <c r="AN45" s="6">
        <v>0</v>
      </c>
      <c r="AO45" s="6">
        <v>0</v>
      </c>
      <c r="AP45" s="6">
        <v>0</v>
      </c>
      <c r="AQ45" s="6">
        <v>1624.7510161890909</v>
      </c>
      <c r="AR45" s="6">
        <v>1205.9999989886601</v>
      </c>
      <c r="AS45" s="6">
        <v>50.932510000000001</v>
      </c>
      <c r="AT45" s="6">
        <v>3132.132383139493</v>
      </c>
      <c r="AU45" s="6">
        <v>2289.1587071125032</v>
      </c>
    </row>
    <row r="46" spans="1:47" hidden="1" x14ac:dyDescent="0.35">
      <c r="A46" s="5">
        <v>46022</v>
      </c>
      <c r="B46" s="4" t="s">
        <v>131</v>
      </c>
      <c r="C46" s="4" t="s">
        <v>132</v>
      </c>
      <c r="D46" s="4" t="s">
        <v>128</v>
      </c>
      <c r="E46" s="6">
        <v>3350</v>
      </c>
      <c r="F46" s="7">
        <v>0.1079</v>
      </c>
      <c r="G46" s="6">
        <v>69.02</v>
      </c>
      <c r="H46" s="6">
        <v>2.4950000000000001</v>
      </c>
      <c r="I46" s="6">
        <v>100</v>
      </c>
      <c r="J46" s="6">
        <v>2.4947370000000002</v>
      </c>
      <c r="K46" s="8">
        <v>10.679</v>
      </c>
      <c r="L46" s="6">
        <v>0.68198907550291932</v>
      </c>
      <c r="M46" s="6">
        <v>80.560626534104671</v>
      </c>
      <c r="N46" s="6">
        <v>0.5362891662827769</v>
      </c>
      <c r="O46" s="6">
        <v>140.50979717023839</v>
      </c>
      <c r="P46" s="6">
        <v>222.2887019461287</v>
      </c>
      <c r="Q46" s="6">
        <v>285.17253523304493</v>
      </c>
      <c r="R46" s="6">
        <v>1100.830050780128</v>
      </c>
      <c r="S46" s="6">
        <v>271.43954772686823</v>
      </c>
      <c r="T46" s="6">
        <v>902.05182501202103</v>
      </c>
      <c r="U46" s="6">
        <v>2559.4939587520621</v>
      </c>
      <c r="V46" s="6">
        <v>2781.7826606981912</v>
      </c>
      <c r="W46" s="6">
        <v>36.287360508845623</v>
      </c>
      <c r="X46" s="6">
        <v>301.18377201015579</v>
      </c>
      <c r="Y46" s="6">
        <v>-6619.2171872628151</v>
      </c>
      <c r="Z46" s="6">
        <v>-3499.963394045622</v>
      </c>
      <c r="AA46" s="6">
        <v>401.15761913014069</v>
      </c>
      <c r="AB46" s="6">
        <v>-3098.8057749154809</v>
      </c>
      <c r="AC46" s="6">
        <v>0</v>
      </c>
      <c r="AD46" s="6">
        <v>1446.0142936688201</v>
      </c>
      <c r="AE46" s="6">
        <v>0</v>
      </c>
      <c r="AF46" s="6">
        <v>0</v>
      </c>
      <c r="AG46" s="6">
        <v>-1652.791481246662</v>
      </c>
      <c r="AH46" s="6">
        <v>138.1006905002161</v>
      </c>
      <c r="AI46" s="6">
        <v>0</v>
      </c>
      <c r="AJ46" s="6">
        <v>368.2684874389181</v>
      </c>
      <c r="AK46" s="6">
        <v>-2592.4365969763471</v>
      </c>
      <c r="AL46" s="6">
        <v>0</v>
      </c>
      <c r="AM46" s="6">
        <v>0</v>
      </c>
      <c r="AN46" s="6">
        <v>0</v>
      </c>
      <c r="AO46" s="6">
        <v>0</v>
      </c>
      <c r="AP46" s="6">
        <v>0</v>
      </c>
      <c r="AQ46" s="6">
        <v>-2592.4365969763471</v>
      </c>
      <c r="AR46" s="6">
        <v>1205.98211253411</v>
      </c>
      <c r="AS46" s="6">
        <v>603.31677500000001</v>
      </c>
      <c r="AT46" s="6">
        <v>4705.9455065797329</v>
      </c>
      <c r="AU46" s="6">
        <v>4304.7878874495918</v>
      </c>
    </row>
    <row r="47" spans="1:47" hidden="1" x14ac:dyDescent="0.35">
      <c r="A47" s="5">
        <v>46022</v>
      </c>
      <c r="B47" s="4" t="s">
        <v>133</v>
      </c>
      <c r="C47" s="4" t="s">
        <v>134</v>
      </c>
      <c r="D47" s="4" t="s">
        <v>56</v>
      </c>
      <c r="E47" s="6">
        <v>20258.980785</v>
      </c>
      <c r="F47" s="7">
        <v>0.28999999999999998</v>
      </c>
      <c r="G47" s="6">
        <v>83.9</v>
      </c>
      <c r="H47" s="6">
        <v>49.292000000000002</v>
      </c>
      <c r="I47" s="6">
        <v>100</v>
      </c>
      <c r="J47" s="6">
        <v>49.292126000000003</v>
      </c>
      <c r="K47" s="8">
        <v>15.677</v>
      </c>
      <c r="L47" s="6">
        <v>46.037192837830219</v>
      </c>
      <c r="M47" s="6">
        <v>43.683978508281378</v>
      </c>
      <c r="N47" s="6">
        <v>60.976136691563241</v>
      </c>
      <c r="O47" s="6">
        <v>622.45156940225593</v>
      </c>
      <c r="P47" s="6">
        <v>773.14887743993074</v>
      </c>
      <c r="Q47" s="6">
        <v>58.579280105577851</v>
      </c>
      <c r="R47" s="6">
        <v>369.67686917390529</v>
      </c>
      <c r="S47" s="6">
        <v>770.65727931306094</v>
      </c>
      <c r="T47" s="6">
        <v>397.53155332646583</v>
      </c>
      <c r="U47" s="6">
        <v>1596.4449819190099</v>
      </c>
      <c r="V47" s="6">
        <v>2369.5938593589408</v>
      </c>
      <c r="W47" s="6">
        <v>0</v>
      </c>
      <c r="X47" s="6">
        <v>414.5820183268774</v>
      </c>
      <c r="Y47" s="6">
        <v>-4132.5058657275013</v>
      </c>
      <c r="Z47" s="6">
        <v>-1348.329988041683</v>
      </c>
      <c r="AA47" s="6">
        <v>259.26178272438341</v>
      </c>
      <c r="AB47" s="6">
        <v>-1089.0682053173</v>
      </c>
      <c r="AC47" s="6">
        <v>0</v>
      </c>
      <c r="AD47" s="6">
        <v>321.69743746280312</v>
      </c>
      <c r="AE47" s="6">
        <v>0</v>
      </c>
      <c r="AF47" s="6">
        <v>0</v>
      </c>
      <c r="AG47" s="6">
        <v>-767.37076785449688</v>
      </c>
      <c r="AH47" s="6">
        <v>37.964568521548848</v>
      </c>
      <c r="AI47" s="6">
        <v>0</v>
      </c>
      <c r="AJ47" s="6">
        <v>6.1162357323577243</v>
      </c>
      <c r="AK47" s="6">
        <v>-1044.987401063393</v>
      </c>
      <c r="AL47" s="6">
        <v>47.851058973886502</v>
      </c>
      <c r="AM47" s="6">
        <v>0</v>
      </c>
      <c r="AN47" s="6">
        <v>0</v>
      </c>
      <c r="AO47" s="6">
        <v>0</v>
      </c>
      <c r="AP47" s="6">
        <v>0</v>
      </c>
      <c r="AQ47" s="6">
        <v>-997.13634208950691</v>
      </c>
      <c r="AR47" s="6">
        <v>1205.9993628627201</v>
      </c>
      <c r="AS47" s="6">
        <v>5801.3822499999997</v>
      </c>
      <c r="AT47" s="6">
        <v>2554.3293509044029</v>
      </c>
      <c r="AU47" s="6">
        <v>2295.0675681800199</v>
      </c>
    </row>
    <row r="48" spans="1:47" hidden="1" x14ac:dyDescent="0.35">
      <c r="A48" s="5">
        <v>46022</v>
      </c>
      <c r="B48" s="4" t="s">
        <v>143</v>
      </c>
      <c r="C48" s="4" t="s">
        <v>144</v>
      </c>
      <c r="D48" s="4" t="s">
        <v>67</v>
      </c>
      <c r="E48" s="6">
        <v>18000</v>
      </c>
      <c r="F48" s="7">
        <v>1.4999999999999999E-2</v>
      </c>
      <c r="G48" s="6">
        <v>45</v>
      </c>
      <c r="H48" s="6">
        <v>1.2150000000000001</v>
      </c>
      <c r="I48" s="6">
        <v>30</v>
      </c>
      <c r="J48" s="6">
        <v>0.36449999999999999</v>
      </c>
      <c r="K48" s="8">
        <v>2.3507285118103001</v>
      </c>
      <c r="L48" s="6">
        <v>3619.5147322901289</v>
      </c>
      <c r="M48" s="6">
        <v>2329.4980948821722</v>
      </c>
      <c r="N48" s="6">
        <v>369.26216726693758</v>
      </c>
      <c r="O48" s="6">
        <v>6050.0212608323072</v>
      </c>
      <c r="P48" s="6">
        <v>12368.296255271551</v>
      </c>
      <c r="Q48" s="6">
        <v>4433.5677020962648</v>
      </c>
      <c r="R48" s="6">
        <v>27223.191425132089</v>
      </c>
      <c r="S48" s="6">
        <v>3460.5256006524278</v>
      </c>
      <c r="T48" s="6">
        <v>8372.2391323659485</v>
      </c>
      <c r="U48" s="6">
        <v>43489.523860246729</v>
      </c>
      <c r="V48" s="6">
        <v>55857.820115518283</v>
      </c>
      <c r="W48" s="6">
        <v>375.34102602036558</v>
      </c>
      <c r="X48" s="6">
        <v>1643.9773925925931</v>
      </c>
      <c r="Y48" s="6">
        <v>-72220.679258469463</v>
      </c>
      <c r="Z48" s="6">
        <v>-14343.540724338231</v>
      </c>
      <c r="AA48" s="6">
        <v>0</v>
      </c>
      <c r="AB48" s="6">
        <v>-14343.540724338231</v>
      </c>
      <c r="AC48" s="6">
        <v>0</v>
      </c>
      <c r="AD48" s="6">
        <v>15272.905033926079</v>
      </c>
      <c r="AE48" s="6">
        <v>0</v>
      </c>
      <c r="AF48" s="6">
        <v>0</v>
      </c>
      <c r="AG48" s="6">
        <v>929.36430958784615</v>
      </c>
      <c r="AH48" s="6">
        <v>2572.4396121140749</v>
      </c>
      <c r="AI48" s="6">
        <v>643.11048182748925</v>
      </c>
      <c r="AJ48" s="6">
        <v>9454.9127044301276</v>
      </c>
      <c r="AK48" s="6">
        <v>-1673.0779259665389</v>
      </c>
      <c r="AL48" s="6">
        <v>0</v>
      </c>
      <c r="AM48" s="6">
        <v>0</v>
      </c>
      <c r="AN48" s="6">
        <v>0</v>
      </c>
      <c r="AO48" s="6">
        <v>0</v>
      </c>
      <c r="AP48" s="6">
        <v>0</v>
      </c>
      <c r="AQ48" s="6">
        <v>-1673.0779259665389</v>
      </c>
      <c r="AR48" s="6">
        <v>1205.9999989886601</v>
      </c>
      <c r="AS48" s="6">
        <v>659.75013200000001</v>
      </c>
      <c r="AT48" s="6">
        <v>15549.540723326891</v>
      </c>
      <c r="AU48" s="6">
        <v>15549.540723326891</v>
      </c>
    </row>
    <row r="49" spans="1:47" hidden="1" x14ac:dyDescent="0.35">
      <c r="A49" s="5">
        <v>46022</v>
      </c>
      <c r="B49" s="4" t="s">
        <v>119</v>
      </c>
      <c r="C49" s="4" t="s">
        <v>120</v>
      </c>
      <c r="D49" s="4" t="s">
        <v>50</v>
      </c>
      <c r="E49" s="6">
        <v>705</v>
      </c>
      <c r="F49" s="7">
        <v>2.4E-2</v>
      </c>
      <c r="G49" s="6">
        <v>90</v>
      </c>
      <c r="H49" s="6">
        <v>0.152</v>
      </c>
      <c r="I49" s="6">
        <v>92</v>
      </c>
      <c r="J49" s="6">
        <v>0.140098</v>
      </c>
      <c r="K49" s="8">
        <v>4.3979999999999997</v>
      </c>
      <c r="L49" s="6">
        <v>1303.7737267688051</v>
      </c>
      <c r="M49" s="6">
        <v>264.43843808907889</v>
      </c>
      <c r="N49" s="6">
        <v>155.22780436025511</v>
      </c>
      <c r="O49" s="6">
        <v>828.31249521143673</v>
      </c>
      <c r="P49" s="6">
        <v>2551.7524644295759</v>
      </c>
      <c r="Q49" s="6">
        <v>345.92391082949081</v>
      </c>
      <c r="R49" s="6">
        <v>367.10290714506141</v>
      </c>
      <c r="S49" s="6">
        <v>724.84753103680794</v>
      </c>
      <c r="T49" s="6">
        <v>621.06072536879697</v>
      </c>
      <c r="U49" s="6">
        <v>2058.9350743801569</v>
      </c>
      <c r="V49" s="6">
        <v>4610.6875388097333</v>
      </c>
      <c r="W49" s="6">
        <v>343.03519103306729</v>
      </c>
      <c r="X49" s="6">
        <v>1336.3544995242969</v>
      </c>
      <c r="Y49" s="6">
        <v>-12454.48370684202</v>
      </c>
      <c r="Z49" s="6">
        <v>-6164.4064774749259</v>
      </c>
      <c r="AA49" s="6">
        <v>330.40532789127508</v>
      </c>
      <c r="AB49" s="6">
        <v>-5834.0011495836507</v>
      </c>
      <c r="AC49" s="6">
        <v>0</v>
      </c>
      <c r="AD49" s="6">
        <v>70.864246946045014</v>
      </c>
      <c r="AE49" s="6">
        <v>0</v>
      </c>
      <c r="AF49" s="6">
        <v>0</v>
      </c>
      <c r="AG49" s="6">
        <v>-5763.136902637606</v>
      </c>
      <c r="AH49" s="6">
        <v>732.04924802808443</v>
      </c>
      <c r="AI49" s="6">
        <v>0</v>
      </c>
      <c r="AJ49" s="6">
        <v>554.72850881360466</v>
      </c>
      <c r="AK49" s="6">
        <v>-4547.223392741962</v>
      </c>
      <c r="AL49" s="6">
        <v>0</v>
      </c>
      <c r="AM49" s="6">
        <v>0</v>
      </c>
      <c r="AN49" s="6">
        <v>0</v>
      </c>
      <c r="AO49" s="6">
        <v>0</v>
      </c>
      <c r="AP49" s="6">
        <v>0</v>
      </c>
      <c r="AQ49" s="6">
        <v>-4547.223392741962</v>
      </c>
      <c r="AR49" s="6">
        <v>1206.0172155085099</v>
      </c>
      <c r="AS49" s="6">
        <v>49.326742000000003</v>
      </c>
      <c r="AT49" s="6">
        <v>7370.423692983436</v>
      </c>
      <c r="AU49" s="6">
        <v>7040.0183650921608</v>
      </c>
    </row>
    <row r="50" spans="1:47" hidden="1" x14ac:dyDescent="0.35">
      <c r="A50" s="5">
        <v>46022</v>
      </c>
      <c r="B50" s="4" t="s">
        <v>145</v>
      </c>
      <c r="C50" s="4" t="s">
        <v>146</v>
      </c>
      <c r="D50" s="4" t="s">
        <v>80</v>
      </c>
      <c r="E50" s="6">
        <v>2100</v>
      </c>
      <c r="F50" s="7">
        <v>0.12</v>
      </c>
      <c r="G50" s="6">
        <v>50</v>
      </c>
      <c r="H50" s="6">
        <v>1.26</v>
      </c>
      <c r="I50" s="6">
        <v>100</v>
      </c>
      <c r="J50" s="6">
        <v>1.26</v>
      </c>
      <c r="K50" s="8">
        <v>1.1919999999999999</v>
      </c>
      <c r="L50" s="6">
        <v>4314.1162695645608</v>
      </c>
      <c r="M50" s="6">
        <v>2224.2995776548978</v>
      </c>
      <c r="N50" s="6">
        <v>1330.48300548314</v>
      </c>
      <c r="O50" s="6">
        <v>11911.86540670465</v>
      </c>
      <c r="P50" s="6">
        <v>19780.764259407239</v>
      </c>
      <c r="Q50" s="6">
        <v>1295.4032310731679</v>
      </c>
      <c r="R50" s="6">
        <v>851.73553386478727</v>
      </c>
      <c r="S50" s="6">
        <v>854.7526791125706</v>
      </c>
      <c r="T50" s="6">
        <v>1539.8175341665899</v>
      </c>
      <c r="U50" s="6">
        <v>4541.7089782171161</v>
      </c>
      <c r="V50" s="6">
        <v>24322.473237624359</v>
      </c>
      <c r="W50" s="6">
        <v>0</v>
      </c>
      <c r="X50" s="6">
        <v>284.36200100000002</v>
      </c>
      <c r="Y50" s="6">
        <v>-15971.576291041551</v>
      </c>
      <c r="Z50" s="6">
        <v>8635.2589475828063</v>
      </c>
      <c r="AA50" s="6">
        <v>576.446986581597</v>
      </c>
      <c r="AB50" s="6">
        <v>9211.7059341644035</v>
      </c>
      <c r="AC50" s="6">
        <v>0</v>
      </c>
      <c r="AD50" s="6">
        <v>11668.951605932911</v>
      </c>
      <c r="AE50" s="6">
        <v>0</v>
      </c>
      <c r="AF50" s="6">
        <v>0</v>
      </c>
      <c r="AG50" s="6">
        <v>20880.657540097309</v>
      </c>
      <c r="AH50" s="6">
        <v>371.40764599892719</v>
      </c>
      <c r="AI50" s="6">
        <v>0</v>
      </c>
      <c r="AJ50" s="6">
        <v>1517.5596406894281</v>
      </c>
      <c r="AK50" s="6">
        <v>11100.673220852759</v>
      </c>
      <c r="AL50" s="6">
        <v>1871.968529110808</v>
      </c>
      <c r="AM50" s="6">
        <v>0</v>
      </c>
      <c r="AN50" s="6">
        <v>0</v>
      </c>
      <c r="AO50" s="6">
        <v>0</v>
      </c>
      <c r="AP50" s="6">
        <v>0</v>
      </c>
      <c r="AQ50" s="6">
        <v>12972.64174996357</v>
      </c>
      <c r="AR50" s="6">
        <v>1205.9999989886601</v>
      </c>
      <c r="AS50" s="6">
        <v>571.87619299999994</v>
      </c>
      <c r="AT50" s="6">
        <v>-7429.2589485941462</v>
      </c>
      <c r="AU50" s="6">
        <v>-8005.7059351757434</v>
      </c>
    </row>
    <row r="51" spans="1:47" hidden="1" x14ac:dyDescent="0.35">
      <c r="A51" s="5">
        <v>46022</v>
      </c>
      <c r="B51" s="4" t="s">
        <v>147</v>
      </c>
      <c r="C51" s="4" t="s">
        <v>148</v>
      </c>
      <c r="D51" s="4" t="s">
        <v>109</v>
      </c>
      <c r="E51" s="6">
        <v>7560</v>
      </c>
      <c r="F51" s="7">
        <v>1.1000000000000001E-3</v>
      </c>
      <c r="G51" s="6">
        <v>70</v>
      </c>
      <c r="H51" s="6">
        <v>5.7000000000000002E-2</v>
      </c>
      <c r="I51" s="6">
        <v>100</v>
      </c>
      <c r="J51" s="6">
        <v>5.7089000000000001E-2</v>
      </c>
      <c r="K51" s="8">
        <v>0.192</v>
      </c>
      <c r="L51" s="6">
        <v>63113.746225381612</v>
      </c>
      <c r="M51" s="6">
        <v>2928.59694950124</v>
      </c>
      <c r="N51" s="6">
        <v>3532.7556713255731</v>
      </c>
      <c r="O51" s="6">
        <v>205300.76337146159</v>
      </c>
      <c r="P51" s="6">
        <v>274875.86221767002</v>
      </c>
      <c r="Q51" s="6">
        <v>18586.68800290443</v>
      </c>
      <c r="R51" s="6">
        <v>3967.711988768664</v>
      </c>
      <c r="S51" s="6">
        <v>27780.861579551562</v>
      </c>
      <c r="T51" s="6">
        <v>35485.520603717508</v>
      </c>
      <c r="U51" s="6">
        <v>85820.782174942171</v>
      </c>
      <c r="V51" s="6">
        <v>360696.64439261222</v>
      </c>
      <c r="W51" s="6">
        <v>0</v>
      </c>
      <c r="X51" s="6">
        <v>52630.434552481391</v>
      </c>
      <c r="Y51" s="6">
        <v>-704389.34161714115</v>
      </c>
      <c r="Z51" s="6">
        <v>-291062.2626720476</v>
      </c>
      <c r="AA51" s="6">
        <v>24346.78957120622</v>
      </c>
      <c r="AB51" s="6">
        <v>-266715.47310084139</v>
      </c>
      <c r="AC51" s="6">
        <v>0</v>
      </c>
      <c r="AD51" s="6">
        <v>144972.95524705789</v>
      </c>
      <c r="AE51" s="6">
        <v>0</v>
      </c>
      <c r="AF51" s="6">
        <v>0</v>
      </c>
      <c r="AG51" s="6">
        <v>-121742.5178537835</v>
      </c>
      <c r="AH51" s="6">
        <v>36258.293074463909</v>
      </c>
      <c r="AI51" s="6">
        <v>0</v>
      </c>
      <c r="AJ51" s="6">
        <v>97328.6720405456</v>
      </c>
      <c r="AK51" s="6">
        <v>-133128.50798583191</v>
      </c>
      <c r="AL51" s="6">
        <v>79453.548354010607</v>
      </c>
      <c r="AM51" s="6">
        <v>0</v>
      </c>
      <c r="AN51" s="6">
        <v>0</v>
      </c>
      <c r="AO51" s="6">
        <v>0</v>
      </c>
      <c r="AP51" s="6">
        <v>0</v>
      </c>
      <c r="AQ51" s="6">
        <v>-53674.959631821257</v>
      </c>
      <c r="AR51" s="6">
        <v>1206.2323730009721</v>
      </c>
      <c r="AS51" s="6">
        <v>931.56297400000005</v>
      </c>
      <c r="AT51" s="6">
        <v>292268.49504504859</v>
      </c>
      <c r="AU51" s="6">
        <v>267921.70547384239</v>
      </c>
    </row>
  </sheetData>
  <autoFilter ref="A6:AU51" xr:uid="{00000000-0001-0000-0200-000000000000}">
    <filterColumn colId="3">
      <filters>
        <filter val="Cuba"/>
      </filters>
    </filterColumn>
  </autoFilter>
  <mergeCells count="48">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AA6:AA9"/>
    <mergeCell ref="AB6:AB9"/>
    <mergeCell ref="AC6:AC9"/>
    <mergeCell ref="AD6:AD9"/>
    <mergeCell ref="AE6:AE9"/>
    <mergeCell ref="AF6:AF9"/>
    <mergeCell ref="AG6:AG9"/>
    <mergeCell ref="AH6:AH9"/>
    <mergeCell ref="AI6:AI9"/>
    <mergeCell ref="AJ6:AJ9"/>
    <mergeCell ref="AK6:AK9"/>
    <mergeCell ref="AL6:AL9"/>
    <mergeCell ref="AM6:AM9"/>
    <mergeCell ref="AS6:AS9"/>
    <mergeCell ref="AT6:AT9"/>
    <mergeCell ref="AU6:AU9"/>
    <mergeCell ref="AN6:AN9"/>
    <mergeCell ref="AO6:AO9"/>
    <mergeCell ref="AP6:AP9"/>
    <mergeCell ref="AQ6:AQ9"/>
    <mergeCell ref="AR6:AR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51"/>
  <sheetViews>
    <sheetView workbookViewId="0">
      <selection sqref="A1:D1"/>
    </sheetView>
  </sheetViews>
  <sheetFormatPr defaultRowHeight="14.5" x14ac:dyDescent="0.35"/>
  <cols>
    <col min="1" max="1" width="48.54296875" customWidth="1"/>
    <col min="2" max="2" width="23.7265625" customWidth="1"/>
    <col min="3" max="3" width="16.1796875" customWidth="1"/>
    <col min="4" max="4" width="20.81640625" customWidth="1"/>
    <col min="5" max="6" width="21.54296875" customWidth="1"/>
    <col min="7" max="7" width="23.54296875" customWidth="1"/>
    <col min="8" max="8" width="19.54296875" customWidth="1"/>
    <col min="9" max="9" width="21.54296875" customWidth="1"/>
    <col min="10" max="10" width="19.54296875" customWidth="1"/>
    <col min="11" max="11" width="20.7265625" customWidth="1"/>
    <col min="12" max="12" width="19.54296875" customWidth="1"/>
    <col min="13" max="13" width="17.54296875" customWidth="1"/>
    <col min="14" max="16" width="21.54296875" customWidth="1"/>
    <col min="17" max="17" width="16.1796875" customWidth="1"/>
    <col min="18" max="18" width="19.54296875" customWidth="1"/>
    <col min="19" max="22" width="23.54296875" customWidth="1"/>
  </cols>
  <sheetData>
    <row r="1" spans="1:22" ht="40" customHeight="1" x14ac:dyDescent="0.35">
      <c r="A1" s="16"/>
      <c r="B1" s="16"/>
      <c r="C1" s="16"/>
      <c r="D1" s="16"/>
    </row>
    <row r="2" spans="1:22" ht="30" customHeight="1" x14ac:dyDescent="0.45">
      <c r="A2" s="1" t="s">
        <v>211</v>
      </c>
      <c r="B2" s="2"/>
      <c r="C2" s="2"/>
      <c r="D2" s="2"/>
      <c r="E2" s="2"/>
      <c r="F2" s="2"/>
      <c r="G2" s="2"/>
      <c r="H2" s="2"/>
      <c r="I2" s="2"/>
      <c r="J2" s="2"/>
      <c r="K2" s="2"/>
      <c r="L2" s="2"/>
      <c r="M2" s="2"/>
      <c r="N2" s="2"/>
      <c r="O2" s="2"/>
      <c r="P2" s="2"/>
      <c r="Q2" s="2"/>
      <c r="R2" s="2"/>
      <c r="S2" s="2"/>
      <c r="T2" s="2"/>
      <c r="U2" s="2"/>
      <c r="V2" s="2"/>
    </row>
    <row r="3" spans="1:22" x14ac:dyDescent="0.35">
      <c r="A3" s="3" t="s">
        <v>0</v>
      </c>
    </row>
    <row r="4" spans="1:22" x14ac:dyDescent="0.35">
      <c r="A4" s="3" t="s">
        <v>1</v>
      </c>
    </row>
    <row r="5" spans="1:22" x14ac:dyDescent="0.35">
      <c r="A5" s="4"/>
    </row>
    <row r="6" spans="1:22" x14ac:dyDescent="0.35">
      <c r="A6" s="28" t="s">
        <v>2</v>
      </c>
      <c r="B6" s="28" t="s">
        <v>3</v>
      </c>
      <c r="C6" s="28" t="s">
        <v>4</v>
      </c>
      <c r="D6" s="28" t="s">
        <v>5</v>
      </c>
      <c r="E6" s="18" t="s">
        <v>188</v>
      </c>
      <c r="F6" s="18" t="s">
        <v>194</v>
      </c>
      <c r="G6" s="18" t="s">
        <v>195</v>
      </c>
      <c r="H6" s="18" t="s">
        <v>196</v>
      </c>
      <c r="I6" s="18" t="s">
        <v>197</v>
      </c>
      <c r="J6" s="18" t="s">
        <v>198</v>
      </c>
      <c r="K6" s="18" t="s">
        <v>199</v>
      </c>
      <c r="L6" s="18" t="s">
        <v>200</v>
      </c>
      <c r="M6" s="18" t="s">
        <v>201</v>
      </c>
      <c r="N6" s="18" t="s">
        <v>202</v>
      </c>
      <c r="O6" s="18" t="s">
        <v>203</v>
      </c>
      <c r="P6" s="18" t="s">
        <v>204</v>
      </c>
      <c r="Q6" s="18" t="s">
        <v>205</v>
      </c>
      <c r="R6" s="18" t="s">
        <v>206</v>
      </c>
      <c r="S6" s="18" t="s">
        <v>207</v>
      </c>
      <c r="T6" s="18" t="s">
        <v>208</v>
      </c>
      <c r="U6" s="18" t="s">
        <v>209</v>
      </c>
      <c r="V6" s="18" t="s">
        <v>210</v>
      </c>
    </row>
    <row r="7" spans="1:22" x14ac:dyDescent="0.35">
      <c r="A7" s="28"/>
      <c r="B7" s="28"/>
      <c r="C7" s="28"/>
      <c r="D7" s="28"/>
      <c r="E7" s="18"/>
      <c r="F7" s="18"/>
      <c r="G7" s="18"/>
      <c r="H7" s="18"/>
      <c r="I7" s="18"/>
      <c r="J7" s="18"/>
      <c r="K7" s="18"/>
      <c r="L7" s="18"/>
      <c r="M7" s="18"/>
      <c r="N7" s="18"/>
      <c r="O7" s="18"/>
      <c r="P7" s="18"/>
      <c r="Q7" s="18"/>
      <c r="R7" s="18"/>
      <c r="S7" s="18"/>
      <c r="T7" s="18"/>
      <c r="U7" s="18"/>
      <c r="V7" s="18"/>
    </row>
    <row r="8" spans="1:22" x14ac:dyDescent="0.35">
      <c r="A8" s="28"/>
      <c r="B8" s="28"/>
      <c r="C8" s="28"/>
      <c r="D8" s="28"/>
      <c r="E8" s="18"/>
      <c r="F8" s="18"/>
      <c r="G8" s="18"/>
      <c r="H8" s="18"/>
      <c r="I8" s="18"/>
      <c r="J8" s="18"/>
      <c r="K8" s="18"/>
      <c r="L8" s="18"/>
      <c r="M8" s="18"/>
      <c r="N8" s="18"/>
      <c r="O8" s="18"/>
      <c r="P8" s="18"/>
      <c r="Q8" s="18"/>
      <c r="R8" s="18"/>
      <c r="S8" s="18"/>
      <c r="T8" s="18"/>
      <c r="U8" s="18"/>
      <c r="V8" s="18"/>
    </row>
    <row r="9" spans="1:22" x14ac:dyDescent="0.35">
      <c r="A9" s="28"/>
      <c r="B9" s="28"/>
      <c r="C9" s="28"/>
      <c r="D9" s="28"/>
      <c r="E9" s="18"/>
      <c r="F9" s="18"/>
      <c r="G9" s="18"/>
      <c r="H9" s="18"/>
      <c r="I9" s="18"/>
      <c r="J9" s="18"/>
      <c r="K9" s="18"/>
      <c r="L9" s="18"/>
      <c r="M9" s="18"/>
      <c r="N9" s="18"/>
      <c r="O9" s="18"/>
      <c r="P9" s="18"/>
      <c r="Q9" s="18"/>
      <c r="R9" s="18"/>
      <c r="S9" s="18"/>
      <c r="T9" s="18"/>
      <c r="U9" s="18"/>
      <c r="V9" s="18"/>
    </row>
    <row r="10" spans="1:22" x14ac:dyDescent="0.35">
      <c r="A10" s="5">
        <v>46022</v>
      </c>
      <c r="B10" s="4" t="s">
        <v>48</v>
      </c>
      <c r="C10" s="4" t="s">
        <v>49</v>
      </c>
      <c r="D10" s="4" t="s">
        <v>50</v>
      </c>
      <c r="E10" s="6">
        <v>8.148695</v>
      </c>
      <c r="F10" s="6">
        <v>3.0805449999999999</v>
      </c>
      <c r="G10" s="6">
        <v>5.0681500000000002</v>
      </c>
      <c r="H10" s="6">
        <v>1.2334449999999999</v>
      </c>
      <c r="I10" s="6">
        <v>3.3014070000000002</v>
      </c>
      <c r="J10" s="6">
        <v>0.370865</v>
      </c>
      <c r="K10" s="6">
        <v>5.9199999999999997E-4</v>
      </c>
      <c r="L10" s="6">
        <v>0.178479</v>
      </c>
      <c r="M10" s="6">
        <v>0</v>
      </c>
      <c r="N10" s="6">
        <v>-1.6638E-2</v>
      </c>
      <c r="O10" s="6">
        <v>0</v>
      </c>
      <c r="P10" s="6">
        <v>-1.6638E-2</v>
      </c>
      <c r="Q10" s="7">
        <v>25</v>
      </c>
      <c r="R10" s="6">
        <v>0.64669500000000002</v>
      </c>
      <c r="S10" s="6">
        <v>-2.9160999999999999E-2</v>
      </c>
      <c r="T10" s="6">
        <v>-2.8386000000000002E-2</v>
      </c>
      <c r="U10" s="6">
        <v>-2.7646E-2</v>
      </c>
      <c r="V10" s="6">
        <v>-2.6941E-2</v>
      </c>
    </row>
    <row r="11" spans="1:22" x14ac:dyDescent="0.35">
      <c r="A11" s="5">
        <v>46022</v>
      </c>
      <c r="B11" s="4" t="s">
        <v>51</v>
      </c>
      <c r="C11" s="4" t="s">
        <v>52</v>
      </c>
      <c r="D11" s="4" t="s">
        <v>53</v>
      </c>
      <c r="E11" s="6">
        <v>249.118461</v>
      </c>
      <c r="F11" s="6">
        <v>45.177694000000002</v>
      </c>
      <c r="G11" s="6">
        <v>203.94076699999999</v>
      </c>
      <c r="H11" s="6">
        <v>9.8625290000000003</v>
      </c>
      <c r="I11" s="6">
        <v>96.077709999999996</v>
      </c>
      <c r="J11" s="6">
        <v>9.3230149999999998</v>
      </c>
      <c r="K11" s="6">
        <v>7.4008050000000001</v>
      </c>
      <c r="L11" s="6">
        <v>25</v>
      </c>
      <c r="M11" s="6">
        <v>0</v>
      </c>
      <c r="N11" s="6">
        <v>56.276707999999999</v>
      </c>
      <c r="O11" s="6">
        <v>7.5446609999999996</v>
      </c>
      <c r="P11" s="6">
        <v>48.732045999999997</v>
      </c>
      <c r="Q11" s="7">
        <v>27</v>
      </c>
      <c r="R11" s="6">
        <v>60.734321999999999</v>
      </c>
      <c r="S11" s="6">
        <v>57.246267000000003</v>
      </c>
      <c r="T11" s="6">
        <v>55.952384000000002</v>
      </c>
      <c r="U11" s="6">
        <v>54.714848000000003</v>
      </c>
      <c r="V11" s="6">
        <v>53.530104999999999</v>
      </c>
    </row>
    <row r="12" spans="1:22" x14ac:dyDescent="0.35">
      <c r="A12" s="5">
        <v>46022</v>
      </c>
      <c r="B12" s="4" t="s">
        <v>54</v>
      </c>
      <c r="C12" s="4" t="s">
        <v>55</v>
      </c>
      <c r="D12" s="4" t="s">
        <v>56</v>
      </c>
      <c r="E12" s="6">
        <v>301.31555700000001</v>
      </c>
      <c r="F12" s="6">
        <v>1.958518</v>
      </c>
      <c r="G12" s="6">
        <v>299.35703899999999</v>
      </c>
      <c r="H12" s="6">
        <v>15.102815</v>
      </c>
      <c r="I12" s="6">
        <v>146.28111200000001</v>
      </c>
      <c r="J12" s="6">
        <v>2.6642890000000001</v>
      </c>
      <c r="K12" s="6">
        <v>0.67088300000000001</v>
      </c>
      <c r="L12" s="6">
        <v>10.579497</v>
      </c>
      <c r="M12" s="6">
        <v>0</v>
      </c>
      <c r="N12" s="6">
        <v>124.05844399999999</v>
      </c>
      <c r="O12" s="6">
        <v>35.051234000000001</v>
      </c>
      <c r="P12" s="6">
        <v>89.007210000000001</v>
      </c>
      <c r="Q12" s="7">
        <v>30</v>
      </c>
      <c r="R12" s="6">
        <v>18.471377</v>
      </c>
      <c r="S12" s="6">
        <v>499.33357899999999</v>
      </c>
      <c r="T12" s="6">
        <v>465.894926</v>
      </c>
      <c r="U12" s="6">
        <v>435.79984100000001</v>
      </c>
      <c r="V12" s="6">
        <v>408.635356</v>
      </c>
    </row>
    <row r="13" spans="1:22" x14ac:dyDescent="0.35">
      <c r="A13" s="5">
        <v>46022</v>
      </c>
      <c r="B13" s="4" t="s">
        <v>57</v>
      </c>
      <c r="C13" s="4" t="s">
        <v>58</v>
      </c>
      <c r="D13" s="4" t="s">
        <v>59</v>
      </c>
      <c r="E13" s="6">
        <v>576.45222899999999</v>
      </c>
      <c r="F13" s="6">
        <v>152.64452299999999</v>
      </c>
      <c r="G13" s="6">
        <v>423.807706</v>
      </c>
      <c r="H13" s="6">
        <v>0</v>
      </c>
      <c r="I13" s="6">
        <v>515.481583</v>
      </c>
      <c r="J13" s="6">
        <v>15.951033000000001</v>
      </c>
      <c r="K13" s="6">
        <v>-21.194997999999998</v>
      </c>
      <c r="L13" s="6">
        <v>72.134640000000005</v>
      </c>
      <c r="M13" s="6">
        <v>0</v>
      </c>
      <c r="N13" s="6">
        <v>-158.56455099999999</v>
      </c>
      <c r="O13" s="6">
        <v>0</v>
      </c>
      <c r="P13" s="6">
        <v>-158.56455099999999</v>
      </c>
      <c r="Q13" s="7">
        <v>35</v>
      </c>
      <c r="R13" s="6">
        <v>141.17779200000001</v>
      </c>
      <c r="S13" s="6">
        <v>-1591.631167</v>
      </c>
      <c r="T13" s="6">
        <v>-1403.6001209999999</v>
      </c>
      <c r="U13" s="6">
        <v>-1248.2890130000001</v>
      </c>
      <c r="V13" s="6">
        <v>-1118.8541070000001</v>
      </c>
    </row>
    <row r="14" spans="1:22" x14ac:dyDescent="0.35">
      <c r="A14" s="5">
        <v>46022</v>
      </c>
      <c r="B14" s="4" t="s">
        <v>60</v>
      </c>
      <c r="C14" s="4" t="s">
        <v>61</v>
      </c>
      <c r="D14" s="4" t="s">
        <v>62</v>
      </c>
      <c r="E14" s="6">
        <v>653.03340300000002</v>
      </c>
      <c r="F14" s="6">
        <v>26.642810999999998</v>
      </c>
      <c r="G14" s="6">
        <v>626.39059199999997</v>
      </c>
      <c r="H14" s="6">
        <v>8.9516369999999998</v>
      </c>
      <c r="I14" s="6">
        <v>572.75754700000005</v>
      </c>
      <c r="J14" s="6">
        <v>3.2725360000000001</v>
      </c>
      <c r="K14" s="6">
        <v>11.973136999999999</v>
      </c>
      <c r="L14" s="6">
        <v>85.913634000000002</v>
      </c>
      <c r="M14" s="6">
        <v>0</v>
      </c>
      <c r="N14" s="6">
        <v>-56.477901000000003</v>
      </c>
      <c r="O14" s="6">
        <v>0</v>
      </c>
      <c r="P14" s="6">
        <v>-56.477901000000003</v>
      </c>
      <c r="Q14" s="7">
        <v>27</v>
      </c>
      <c r="R14" s="6">
        <v>140.54105300000001</v>
      </c>
      <c r="S14" s="6">
        <v>-416.10983199999998</v>
      </c>
      <c r="T14" s="6">
        <v>-348.90926400000001</v>
      </c>
      <c r="U14" s="6">
        <v>-298.74026800000001</v>
      </c>
      <c r="V14" s="6">
        <v>-260.49148200000002</v>
      </c>
    </row>
    <row r="15" spans="1:22" x14ac:dyDescent="0.35">
      <c r="A15" s="5">
        <v>46022</v>
      </c>
      <c r="B15" s="4" t="s">
        <v>63</v>
      </c>
      <c r="C15" s="4" t="s">
        <v>64</v>
      </c>
      <c r="D15" s="4" t="s">
        <v>56</v>
      </c>
      <c r="E15" s="6">
        <v>1977.91065</v>
      </c>
      <c r="F15" s="6">
        <v>147.638116</v>
      </c>
      <c r="G15" s="6">
        <v>1830.272534</v>
      </c>
      <c r="H15" s="6">
        <v>135.92676700000001</v>
      </c>
      <c r="I15" s="6">
        <v>965.856674</v>
      </c>
      <c r="J15" s="6">
        <v>14.332637</v>
      </c>
      <c r="K15" s="6">
        <v>-33.808497000000003</v>
      </c>
      <c r="L15" s="6">
        <v>327.86825599999997</v>
      </c>
      <c r="M15" s="6">
        <v>0</v>
      </c>
      <c r="N15" s="6">
        <v>420.096698</v>
      </c>
      <c r="O15" s="6">
        <v>59.199863000000001</v>
      </c>
      <c r="P15" s="6">
        <v>360.89683500000001</v>
      </c>
      <c r="Q15" s="7">
        <v>35</v>
      </c>
      <c r="R15" s="6">
        <v>545.01399000000004</v>
      </c>
      <c r="S15" s="6">
        <v>6201.6439540000001</v>
      </c>
      <c r="T15" s="6">
        <v>5413.8514020000002</v>
      </c>
      <c r="U15" s="6">
        <v>4766.6258129999997</v>
      </c>
      <c r="V15" s="6">
        <v>4230.095577</v>
      </c>
    </row>
    <row r="16" spans="1:22" x14ac:dyDescent="0.35">
      <c r="A16" s="5">
        <v>46022</v>
      </c>
      <c r="B16" s="4" t="s">
        <v>65</v>
      </c>
      <c r="C16" s="4" t="s">
        <v>66</v>
      </c>
      <c r="D16" s="4" t="s">
        <v>67</v>
      </c>
      <c r="E16" s="6">
        <v>456.94987500000002</v>
      </c>
      <c r="F16" s="6">
        <v>87.064814999999996</v>
      </c>
      <c r="G16" s="6">
        <v>369.88506000000001</v>
      </c>
      <c r="H16" s="6">
        <v>0</v>
      </c>
      <c r="I16" s="6">
        <v>52.881115000000001</v>
      </c>
      <c r="J16" s="6">
        <v>6.5000049999999998</v>
      </c>
      <c r="K16" s="6">
        <v>-2.8262640000000001</v>
      </c>
      <c r="L16" s="6">
        <v>112.031116</v>
      </c>
      <c r="M16" s="6">
        <v>10.640631000000001</v>
      </c>
      <c r="N16" s="6">
        <v>190.658457</v>
      </c>
      <c r="O16" s="6">
        <v>60.403422999999997</v>
      </c>
      <c r="P16" s="6">
        <v>130.25503399999999</v>
      </c>
      <c r="Q16" s="7">
        <v>20</v>
      </c>
      <c r="R16" s="6">
        <v>8.4868249999999996</v>
      </c>
      <c r="S16" s="6">
        <v>991.94268899999997</v>
      </c>
      <c r="T16" s="6">
        <v>918.43934400000001</v>
      </c>
      <c r="U16" s="6">
        <v>852.88245300000005</v>
      </c>
      <c r="V16" s="6">
        <v>794.21925899999997</v>
      </c>
    </row>
    <row r="17" spans="1:22" x14ac:dyDescent="0.35">
      <c r="A17" s="5">
        <v>46022</v>
      </c>
      <c r="B17" s="4" t="s">
        <v>68</v>
      </c>
      <c r="C17" s="4" t="s">
        <v>69</v>
      </c>
      <c r="D17" s="4" t="s">
        <v>70</v>
      </c>
      <c r="E17" s="6">
        <v>66.011842000000001</v>
      </c>
      <c r="F17" s="6">
        <v>16.149729000000001</v>
      </c>
      <c r="G17" s="6">
        <v>49.862113000000001</v>
      </c>
      <c r="H17" s="6">
        <v>3.3005789999999999</v>
      </c>
      <c r="I17" s="6">
        <v>21.226929999999999</v>
      </c>
      <c r="J17" s="6">
        <v>4.6010689999999999</v>
      </c>
      <c r="K17" s="6">
        <v>1.1038969999999999</v>
      </c>
      <c r="L17" s="6">
        <v>4.8</v>
      </c>
      <c r="M17" s="6">
        <v>0</v>
      </c>
      <c r="N17" s="6">
        <v>14.829639</v>
      </c>
      <c r="O17" s="6">
        <v>0</v>
      </c>
      <c r="P17" s="6">
        <v>14.829639</v>
      </c>
      <c r="Q17" s="7">
        <v>35</v>
      </c>
      <c r="R17" s="6">
        <v>23.282126999999999</v>
      </c>
      <c r="S17" s="6">
        <v>91.495197000000005</v>
      </c>
      <c r="T17" s="6">
        <v>85.837744000000001</v>
      </c>
      <c r="U17" s="6">
        <v>80.697924</v>
      </c>
      <c r="V17" s="6">
        <v>76.016963000000004</v>
      </c>
    </row>
    <row r="18" spans="1:22" x14ac:dyDescent="0.35">
      <c r="A18" s="5">
        <v>46022</v>
      </c>
      <c r="B18" s="4" t="s">
        <v>71</v>
      </c>
      <c r="C18" s="4" t="s">
        <v>72</v>
      </c>
      <c r="D18" s="4" t="s">
        <v>56</v>
      </c>
      <c r="E18" s="6">
        <v>439.05278199999998</v>
      </c>
      <c r="F18" s="6">
        <v>71.653504999999996</v>
      </c>
      <c r="G18" s="6">
        <v>367.39927699999998</v>
      </c>
      <c r="H18" s="6">
        <v>44.863416999999998</v>
      </c>
      <c r="I18" s="6">
        <v>125.608127</v>
      </c>
      <c r="J18" s="6">
        <v>7.7</v>
      </c>
      <c r="K18" s="6">
        <v>18.016862</v>
      </c>
      <c r="L18" s="6">
        <v>8</v>
      </c>
      <c r="M18" s="6">
        <v>0</v>
      </c>
      <c r="N18" s="6">
        <v>163.21087</v>
      </c>
      <c r="O18" s="6">
        <v>49.943565</v>
      </c>
      <c r="P18" s="6">
        <v>113.26730499999999</v>
      </c>
      <c r="Q18" s="7">
        <v>35</v>
      </c>
      <c r="R18" s="6">
        <v>46.531832000000001</v>
      </c>
      <c r="S18" s="6">
        <v>1186.1916799999999</v>
      </c>
      <c r="T18" s="6">
        <v>1048.6104290000001</v>
      </c>
      <c r="U18" s="6">
        <v>934.69497100000001</v>
      </c>
      <c r="V18" s="6">
        <v>839.52185099999997</v>
      </c>
    </row>
    <row r="19" spans="1:22" x14ac:dyDescent="0.35">
      <c r="A19" s="5">
        <v>46022</v>
      </c>
      <c r="B19" s="4" t="s">
        <v>73</v>
      </c>
      <c r="C19" s="4" t="s">
        <v>74</v>
      </c>
      <c r="D19" s="4" t="s">
        <v>70</v>
      </c>
      <c r="E19" s="6">
        <v>86.912203000000005</v>
      </c>
      <c r="F19" s="6">
        <v>6.0451319999999997</v>
      </c>
      <c r="G19" s="6">
        <v>80.867070999999996</v>
      </c>
      <c r="H19" s="6">
        <v>8.6912929999999999</v>
      </c>
      <c r="I19" s="6">
        <v>130.52141499999999</v>
      </c>
      <c r="J19" s="6">
        <v>1.3629530000000001</v>
      </c>
      <c r="K19" s="6">
        <v>3.1151300000000002</v>
      </c>
      <c r="L19" s="6">
        <v>4.0169300000000003</v>
      </c>
      <c r="M19" s="6">
        <v>0</v>
      </c>
      <c r="N19" s="6">
        <v>-66.840648999999999</v>
      </c>
      <c r="O19" s="6">
        <v>0</v>
      </c>
      <c r="P19" s="6">
        <v>-66.840648999999999</v>
      </c>
      <c r="Q19" s="7">
        <v>35</v>
      </c>
      <c r="R19" s="6">
        <v>4.924353</v>
      </c>
      <c r="S19" s="6">
        <v>-457.17895800000002</v>
      </c>
      <c r="T19" s="6">
        <v>-391.15255300000001</v>
      </c>
      <c r="U19" s="6">
        <v>-340.38237500000002</v>
      </c>
      <c r="V19" s="6">
        <v>-300.57791900000001</v>
      </c>
    </row>
    <row r="20" spans="1:22" x14ac:dyDescent="0.35">
      <c r="A20" s="5">
        <v>46022</v>
      </c>
      <c r="B20" s="4" t="s">
        <v>75</v>
      </c>
      <c r="C20" s="4" t="s">
        <v>76</v>
      </c>
      <c r="D20" s="4" t="s">
        <v>77</v>
      </c>
      <c r="E20" s="6">
        <v>12973.500700000001</v>
      </c>
      <c r="F20" s="6">
        <v>1293.268118</v>
      </c>
      <c r="G20" s="6">
        <v>11680.232582000001</v>
      </c>
      <c r="H20" s="6">
        <v>869.69808799999998</v>
      </c>
      <c r="I20" s="6">
        <v>2470.789186</v>
      </c>
      <c r="J20" s="6">
        <v>687.49037099999998</v>
      </c>
      <c r="K20" s="6">
        <v>-218.41431299999999</v>
      </c>
      <c r="L20" s="6">
        <v>921.09934399999997</v>
      </c>
      <c r="M20" s="6">
        <v>0</v>
      </c>
      <c r="N20" s="6">
        <v>6949.5699070000001</v>
      </c>
      <c r="O20" s="6">
        <v>1348.635143</v>
      </c>
      <c r="P20" s="6">
        <v>5600.9347639999996</v>
      </c>
      <c r="Q20" s="7">
        <v>20</v>
      </c>
      <c r="R20" s="6">
        <v>909.07922299999996</v>
      </c>
      <c r="S20" s="6">
        <v>45629.862123999999</v>
      </c>
      <c r="T20" s="6">
        <v>40529.839362999999</v>
      </c>
      <c r="U20" s="6">
        <v>36295.332324000003</v>
      </c>
      <c r="V20" s="6">
        <v>32747.614527000002</v>
      </c>
    </row>
    <row r="21" spans="1:22" x14ac:dyDescent="0.35">
      <c r="A21" s="5">
        <v>46022</v>
      </c>
      <c r="B21" s="4" t="s">
        <v>78</v>
      </c>
      <c r="C21" s="4" t="s">
        <v>79</v>
      </c>
      <c r="D21" s="4" t="s">
        <v>80</v>
      </c>
      <c r="E21" s="6">
        <v>800.76637200000005</v>
      </c>
      <c r="F21" s="6">
        <v>138.97121100000001</v>
      </c>
      <c r="G21" s="6">
        <v>661.79516100000001</v>
      </c>
      <c r="H21" s="6">
        <v>31.842670999999999</v>
      </c>
      <c r="I21" s="6">
        <v>439.06412899999998</v>
      </c>
      <c r="J21" s="6">
        <v>2.1621069999999998</v>
      </c>
      <c r="K21" s="6">
        <v>-13.231147999999999</v>
      </c>
      <c r="L21" s="6">
        <v>45.440106</v>
      </c>
      <c r="M21" s="6">
        <v>0</v>
      </c>
      <c r="N21" s="6">
        <v>156.51729599999999</v>
      </c>
      <c r="O21" s="6">
        <v>4.2697919999999998</v>
      </c>
      <c r="P21" s="6">
        <v>152.24750299999999</v>
      </c>
      <c r="Q21" s="7">
        <v>26.3</v>
      </c>
      <c r="R21" s="6">
        <v>172.49130199999999</v>
      </c>
      <c r="S21" s="6">
        <v>605.79816300000005</v>
      </c>
      <c r="T21" s="6">
        <v>559.16337999999996</v>
      </c>
      <c r="U21" s="6">
        <v>518.28038900000001</v>
      </c>
      <c r="V21" s="6">
        <v>482.27167700000001</v>
      </c>
    </row>
    <row r="22" spans="1:22" x14ac:dyDescent="0.35">
      <c r="A22" s="5">
        <v>46022</v>
      </c>
      <c r="B22" s="4" t="s">
        <v>81</v>
      </c>
      <c r="C22" s="4" t="s">
        <v>82</v>
      </c>
      <c r="D22" s="4" t="s">
        <v>83</v>
      </c>
      <c r="E22" s="6">
        <v>593.93245000000002</v>
      </c>
      <c r="F22" s="6">
        <v>166.258544</v>
      </c>
      <c r="G22" s="6">
        <v>427.67390699999999</v>
      </c>
      <c r="H22" s="6">
        <v>10.393791999999999</v>
      </c>
      <c r="I22" s="6">
        <v>260.58749799999998</v>
      </c>
      <c r="J22" s="6">
        <v>18.658697</v>
      </c>
      <c r="K22" s="6">
        <v>3.8017789999999998</v>
      </c>
      <c r="L22" s="6">
        <v>7.8000020000000001</v>
      </c>
      <c r="M22" s="6">
        <v>0</v>
      </c>
      <c r="N22" s="6">
        <v>126.43213900000001</v>
      </c>
      <c r="O22" s="6">
        <v>15.604348999999999</v>
      </c>
      <c r="P22" s="6">
        <v>110.82778999999999</v>
      </c>
      <c r="Q22" s="7">
        <v>30</v>
      </c>
      <c r="R22" s="6">
        <v>86.019423000000003</v>
      </c>
      <c r="S22" s="6">
        <v>858.24320899999998</v>
      </c>
      <c r="T22" s="6">
        <v>763.24742400000002</v>
      </c>
      <c r="U22" s="6">
        <v>684.28070700000001</v>
      </c>
      <c r="V22" s="6">
        <v>618.04830900000002</v>
      </c>
    </row>
    <row r="23" spans="1:22" x14ac:dyDescent="0.35">
      <c r="A23" s="5">
        <v>46022</v>
      </c>
      <c r="B23" s="4" t="s">
        <v>84</v>
      </c>
      <c r="C23" s="4" t="s">
        <v>85</v>
      </c>
      <c r="D23" s="4" t="s">
        <v>56</v>
      </c>
      <c r="E23" s="6">
        <v>282.61290200000002</v>
      </c>
      <c r="F23" s="6">
        <v>14.329219999999999</v>
      </c>
      <c r="G23" s="6">
        <v>268.283681</v>
      </c>
      <c r="H23" s="6">
        <v>18.859946000000001</v>
      </c>
      <c r="I23" s="6">
        <v>103.55016500000001</v>
      </c>
      <c r="J23" s="6">
        <v>6.4999989999999999</v>
      </c>
      <c r="K23" s="6">
        <v>-0.75034800000000001</v>
      </c>
      <c r="L23" s="6">
        <v>1.1000000000000001</v>
      </c>
      <c r="M23" s="6">
        <v>0</v>
      </c>
      <c r="N23" s="6">
        <v>139.02392</v>
      </c>
      <c r="O23" s="6">
        <v>40.630318000000003</v>
      </c>
      <c r="P23" s="6">
        <v>98.393602000000001</v>
      </c>
      <c r="Q23" s="7">
        <v>35</v>
      </c>
      <c r="R23" s="6">
        <v>23.286947999999999</v>
      </c>
      <c r="S23" s="6">
        <v>495.20372900000001</v>
      </c>
      <c r="T23" s="6">
        <v>462.52869800000002</v>
      </c>
      <c r="U23" s="6">
        <v>433.12614500000001</v>
      </c>
      <c r="V23" s="6">
        <v>406.59022599999997</v>
      </c>
    </row>
    <row r="24" spans="1:22" x14ac:dyDescent="0.35">
      <c r="A24" s="5">
        <v>46022</v>
      </c>
      <c r="B24" s="4" t="s">
        <v>86</v>
      </c>
      <c r="C24" s="4" t="s">
        <v>87</v>
      </c>
      <c r="D24" s="4" t="s">
        <v>88</v>
      </c>
      <c r="E24" s="6">
        <v>525.86245099999996</v>
      </c>
      <c r="F24" s="6">
        <v>84.103289000000004</v>
      </c>
      <c r="G24" s="6">
        <v>441.759162</v>
      </c>
      <c r="H24" s="6">
        <v>8.0739629999999991</v>
      </c>
      <c r="I24" s="6">
        <v>450.03439100000003</v>
      </c>
      <c r="J24" s="6">
        <v>53.392792</v>
      </c>
      <c r="K24" s="6">
        <v>6.1836000000000002E-2</v>
      </c>
      <c r="L24" s="6">
        <v>80</v>
      </c>
      <c r="M24" s="6">
        <v>0</v>
      </c>
      <c r="N24" s="6">
        <v>-149.80382</v>
      </c>
      <c r="O24" s="6">
        <v>0</v>
      </c>
      <c r="P24" s="6">
        <v>-149.80382</v>
      </c>
      <c r="Q24" s="7">
        <v>20</v>
      </c>
      <c r="R24" s="6">
        <v>256</v>
      </c>
      <c r="S24" s="6">
        <v>-713.07228799999996</v>
      </c>
      <c r="T24" s="6">
        <v>-626.921108</v>
      </c>
      <c r="U24" s="6">
        <v>-555.82557599999996</v>
      </c>
      <c r="V24" s="6">
        <v>-496.81897099999998</v>
      </c>
    </row>
    <row r="25" spans="1:22" x14ac:dyDescent="0.35">
      <c r="A25" s="5">
        <v>46022</v>
      </c>
      <c r="B25" s="4" t="s">
        <v>89</v>
      </c>
      <c r="C25" s="4" t="s">
        <v>90</v>
      </c>
      <c r="D25" s="4" t="s">
        <v>70</v>
      </c>
      <c r="E25" s="6">
        <v>833.86044100000004</v>
      </c>
      <c r="F25" s="6">
        <v>76.040847999999997</v>
      </c>
      <c r="G25" s="6">
        <v>757.81959300000005</v>
      </c>
      <c r="H25" s="6">
        <v>62.539416000000003</v>
      </c>
      <c r="I25" s="6">
        <v>248.71843899999999</v>
      </c>
      <c r="J25" s="6">
        <v>11.083257</v>
      </c>
      <c r="K25" s="6">
        <v>12.696196</v>
      </c>
      <c r="L25" s="6">
        <v>24.378070999999998</v>
      </c>
      <c r="M25" s="6">
        <v>0</v>
      </c>
      <c r="N25" s="6">
        <v>398.40421500000002</v>
      </c>
      <c r="O25" s="6">
        <v>116.817463</v>
      </c>
      <c r="P25" s="6">
        <v>281.58675099999999</v>
      </c>
      <c r="Q25" s="7">
        <v>35</v>
      </c>
      <c r="R25" s="6">
        <v>101.71430100000001</v>
      </c>
      <c r="S25" s="6">
        <v>1725.338606</v>
      </c>
      <c r="T25" s="6">
        <v>1567.7406470000001</v>
      </c>
      <c r="U25" s="6">
        <v>1436.3412579999999</v>
      </c>
      <c r="V25" s="6">
        <v>1325.052238</v>
      </c>
    </row>
    <row r="26" spans="1:22" x14ac:dyDescent="0.35">
      <c r="A26" s="5">
        <v>46022</v>
      </c>
      <c r="B26" s="4" t="s">
        <v>91</v>
      </c>
      <c r="C26" s="4" t="s">
        <v>92</v>
      </c>
      <c r="D26" s="4" t="s">
        <v>50</v>
      </c>
      <c r="E26" s="6">
        <v>73.156780999999995</v>
      </c>
      <c r="F26" s="6">
        <v>10.040800000000001</v>
      </c>
      <c r="G26" s="6">
        <v>63.115980999999998</v>
      </c>
      <c r="H26" s="6">
        <v>3.2579579999999999</v>
      </c>
      <c r="I26" s="6">
        <v>17.660377</v>
      </c>
      <c r="J26" s="6">
        <v>2.1101459999999999</v>
      </c>
      <c r="K26" s="6">
        <v>-8.5554000000000005E-2</v>
      </c>
      <c r="L26" s="6">
        <v>1.8919589999999999</v>
      </c>
      <c r="M26" s="6">
        <v>0</v>
      </c>
      <c r="N26" s="6">
        <v>38.281095000000001</v>
      </c>
      <c r="O26" s="6">
        <v>9.630452</v>
      </c>
      <c r="P26" s="6">
        <v>28.650642000000001</v>
      </c>
      <c r="Q26" s="7">
        <v>25</v>
      </c>
      <c r="R26" s="6">
        <v>1.56569</v>
      </c>
      <c r="S26" s="6">
        <v>268.79905000000002</v>
      </c>
      <c r="T26" s="6">
        <v>233.71507600000001</v>
      </c>
      <c r="U26" s="6">
        <v>205.58562499999999</v>
      </c>
      <c r="V26" s="6">
        <v>182.74210199999999</v>
      </c>
    </row>
    <row r="27" spans="1:22" x14ac:dyDescent="0.35">
      <c r="A27" s="5">
        <v>46022</v>
      </c>
      <c r="B27" s="4" t="s">
        <v>93</v>
      </c>
      <c r="C27" s="4" t="s">
        <v>94</v>
      </c>
      <c r="D27" s="4" t="s">
        <v>50</v>
      </c>
      <c r="E27" s="6">
        <v>126.216853</v>
      </c>
      <c r="F27" s="6">
        <v>18.827323</v>
      </c>
      <c r="G27" s="6">
        <v>107.38952999999999</v>
      </c>
      <c r="H27" s="6">
        <v>3.0961639999999999</v>
      </c>
      <c r="I27" s="6">
        <v>34.141635999999998</v>
      </c>
      <c r="J27" s="6">
        <v>4.3748459999999998</v>
      </c>
      <c r="K27" s="6">
        <v>0.49551200000000001</v>
      </c>
      <c r="L27" s="6">
        <v>1.7174199999999999</v>
      </c>
      <c r="M27" s="6">
        <v>0</v>
      </c>
      <c r="N27" s="6">
        <v>63.563952</v>
      </c>
      <c r="O27" s="6">
        <v>9.2343770000000003</v>
      </c>
      <c r="P27" s="6">
        <v>54.329574999999998</v>
      </c>
      <c r="Q27" s="7">
        <v>15</v>
      </c>
      <c r="R27" s="6">
        <v>4.2143709999999999</v>
      </c>
      <c r="S27" s="6">
        <v>462.13207799999998</v>
      </c>
      <c r="T27" s="6">
        <v>409.68100500000003</v>
      </c>
      <c r="U27" s="6">
        <v>366.23570000000001</v>
      </c>
      <c r="V27" s="6">
        <v>329.91973200000001</v>
      </c>
    </row>
    <row r="28" spans="1:22" x14ac:dyDescent="0.35">
      <c r="A28" s="5">
        <v>46022</v>
      </c>
      <c r="B28" s="4" t="s">
        <v>95</v>
      </c>
      <c r="C28" s="4" t="s">
        <v>96</v>
      </c>
      <c r="D28" s="4" t="s">
        <v>56</v>
      </c>
      <c r="E28" s="6">
        <v>682.37814400000002</v>
      </c>
      <c r="F28" s="6">
        <v>112.35686099999999</v>
      </c>
      <c r="G28" s="6">
        <v>570.02128300000004</v>
      </c>
      <c r="H28" s="6">
        <v>57.259501</v>
      </c>
      <c r="I28" s="6">
        <v>91.469449999999995</v>
      </c>
      <c r="J28" s="6">
        <v>2.9572539999999998</v>
      </c>
      <c r="K28" s="6">
        <v>47.025463999999999</v>
      </c>
      <c r="L28" s="6">
        <v>0.5</v>
      </c>
      <c r="M28" s="6">
        <v>0</v>
      </c>
      <c r="N28" s="6">
        <v>370.80961600000001</v>
      </c>
      <c r="O28" s="6">
        <v>118.085269</v>
      </c>
      <c r="P28" s="6">
        <v>252.724346</v>
      </c>
      <c r="Q28" s="7">
        <v>30</v>
      </c>
      <c r="R28" s="6">
        <v>24.717514000000001</v>
      </c>
      <c r="S28" s="6">
        <v>1146.817648</v>
      </c>
      <c r="T28" s="6">
        <v>1082.403722</v>
      </c>
      <c r="U28" s="6">
        <v>1023.558781</v>
      </c>
      <c r="V28" s="6">
        <v>969.675478</v>
      </c>
    </row>
    <row r="29" spans="1:22" x14ac:dyDescent="0.35">
      <c r="A29" s="5">
        <v>46022</v>
      </c>
      <c r="B29" s="4" t="s">
        <v>97</v>
      </c>
      <c r="C29" s="4" t="s">
        <v>98</v>
      </c>
      <c r="D29" s="4" t="s">
        <v>56</v>
      </c>
      <c r="E29" s="6">
        <v>2656.8439079999998</v>
      </c>
      <c r="F29" s="6">
        <v>357.02323999999999</v>
      </c>
      <c r="G29" s="6">
        <v>2299.8206679999998</v>
      </c>
      <c r="H29" s="6">
        <v>234.86972900000001</v>
      </c>
      <c r="I29" s="6">
        <v>553.77933099999996</v>
      </c>
      <c r="J29" s="6">
        <v>21.485379999999999</v>
      </c>
      <c r="K29" s="6">
        <v>35.110253999999998</v>
      </c>
      <c r="L29" s="6">
        <v>2.1820979999999999</v>
      </c>
      <c r="M29" s="6">
        <v>92.999999000000003</v>
      </c>
      <c r="N29" s="6">
        <v>1359.3938760000001</v>
      </c>
      <c r="O29" s="6">
        <v>422.31470999999999</v>
      </c>
      <c r="P29" s="6">
        <v>937.07916699999998</v>
      </c>
      <c r="Q29" s="7">
        <v>30</v>
      </c>
      <c r="R29" s="6">
        <v>81.970528999999999</v>
      </c>
      <c r="S29" s="6">
        <v>8753.4360049999996</v>
      </c>
      <c r="T29" s="6">
        <v>7777.9773729999997</v>
      </c>
      <c r="U29" s="6">
        <v>6965.8779910000003</v>
      </c>
      <c r="V29" s="6">
        <v>6283.857763</v>
      </c>
    </row>
    <row r="30" spans="1:22" x14ac:dyDescent="0.35">
      <c r="A30" s="5">
        <v>46022</v>
      </c>
      <c r="B30" s="4" t="s">
        <v>99</v>
      </c>
      <c r="C30" s="4" t="s">
        <v>100</v>
      </c>
      <c r="D30" s="4" t="s">
        <v>56</v>
      </c>
      <c r="E30" s="6">
        <v>992.50215700000001</v>
      </c>
      <c r="F30" s="6">
        <v>71.365133999999998</v>
      </c>
      <c r="G30" s="6">
        <v>921.137024</v>
      </c>
      <c r="H30" s="6">
        <v>34.737551000000003</v>
      </c>
      <c r="I30" s="6">
        <v>314.191847</v>
      </c>
      <c r="J30" s="6">
        <v>4.8878120000000003</v>
      </c>
      <c r="K30" s="6">
        <v>19.409519</v>
      </c>
      <c r="L30" s="6">
        <v>11.916566</v>
      </c>
      <c r="M30" s="6">
        <v>0</v>
      </c>
      <c r="N30" s="6">
        <v>535.99372900000003</v>
      </c>
      <c r="O30" s="6">
        <v>180.05686</v>
      </c>
      <c r="P30" s="6">
        <v>355.936868</v>
      </c>
      <c r="Q30" s="7">
        <v>35</v>
      </c>
      <c r="R30" s="6">
        <v>52.871640999999997</v>
      </c>
      <c r="S30" s="6">
        <v>1928.3800309999999</v>
      </c>
      <c r="T30" s="6">
        <v>1777.277006</v>
      </c>
      <c r="U30" s="6">
        <v>1644.5049730000001</v>
      </c>
      <c r="V30" s="6">
        <v>1527.3099589999999</v>
      </c>
    </row>
    <row r="31" spans="1:22" x14ac:dyDescent="0.35">
      <c r="A31" s="5">
        <v>46022</v>
      </c>
      <c r="B31" s="4" t="s">
        <v>101</v>
      </c>
      <c r="C31" s="4" t="s">
        <v>102</v>
      </c>
      <c r="D31" s="4" t="s">
        <v>50</v>
      </c>
      <c r="E31" s="6">
        <v>3184.5192280000001</v>
      </c>
      <c r="F31" s="6">
        <v>273.22149200000001</v>
      </c>
      <c r="G31" s="6">
        <v>2911.297736</v>
      </c>
      <c r="H31" s="6">
        <v>48.716594000000001</v>
      </c>
      <c r="I31" s="6">
        <v>663.74517200000003</v>
      </c>
      <c r="J31" s="6">
        <v>35.000005000000002</v>
      </c>
      <c r="K31" s="6">
        <v>-93.335697999999994</v>
      </c>
      <c r="L31" s="6">
        <v>179.99999600000001</v>
      </c>
      <c r="M31" s="6">
        <v>0</v>
      </c>
      <c r="N31" s="6">
        <v>2077.171668</v>
      </c>
      <c r="O31" s="6">
        <v>480.724084</v>
      </c>
      <c r="P31" s="6">
        <v>1596.447584</v>
      </c>
      <c r="Q31" s="7">
        <v>25</v>
      </c>
      <c r="R31" s="6">
        <v>240.93962999999999</v>
      </c>
      <c r="S31" s="6">
        <v>13102.889639000001</v>
      </c>
      <c r="T31" s="6">
        <v>11623.905826</v>
      </c>
      <c r="U31" s="6">
        <v>10395.851436000001</v>
      </c>
      <c r="V31" s="6">
        <v>9367.1929650000002</v>
      </c>
    </row>
    <row r="32" spans="1:22" x14ac:dyDescent="0.35">
      <c r="A32" s="5">
        <v>46022</v>
      </c>
      <c r="B32" s="4" t="s">
        <v>103</v>
      </c>
      <c r="C32" s="4" t="s">
        <v>104</v>
      </c>
      <c r="D32" s="4" t="s">
        <v>80</v>
      </c>
      <c r="E32" s="6">
        <v>277.34097500000001</v>
      </c>
      <c r="F32" s="6">
        <v>95.846587</v>
      </c>
      <c r="G32" s="6">
        <v>181.49438699999999</v>
      </c>
      <c r="H32" s="6">
        <v>0</v>
      </c>
      <c r="I32" s="6">
        <v>178.10409899999999</v>
      </c>
      <c r="J32" s="6">
        <v>1.518248</v>
      </c>
      <c r="K32" s="6">
        <v>3.6203829999999999</v>
      </c>
      <c r="L32" s="6">
        <v>19.442060000000001</v>
      </c>
      <c r="M32" s="6">
        <v>0</v>
      </c>
      <c r="N32" s="6">
        <v>-21.190403</v>
      </c>
      <c r="O32" s="6">
        <v>0</v>
      </c>
      <c r="P32" s="6">
        <v>-21.190403</v>
      </c>
      <c r="Q32" s="7">
        <v>26.5</v>
      </c>
      <c r="R32" s="6">
        <v>34.284973999999998</v>
      </c>
      <c r="S32" s="6">
        <v>-50.294263000000001</v>
      </c>
      <c r="T32" s="6">
        <v>-49.315286</v>
      </c>
      <c r="U32" s="6">
        <v>-48.195498999999998</v>
      </c>
      <c r="V32" s="6">
        <v>-46.988275999999999</v>
      </c>
    </row>
    <row r="33" spans="1:22" x14ac:dyDescent="0.35">
      <c r="A33" s="5">
        <v>46022</v>
      </c>
      <c r="B33" s="4" t="s">
        <v>105</v>
      </c>
      <c r="C33" s="4" t="s">
        <v>106</v>
      </c>
      <c r="D33" s="4" t="s">
        <v>56</v>
      </c>
      <c r="E33" s="6">
        <v>1373.7575240000001</v>
      </c>
      <c r="F33" s="6">
        <v>27.887459</v>
      </c>
      <c r="G33" s="6">
        <v>1345.870066</v>
      </c>
      <c r="H33" s="6">
        <v>96.646130999999997</v>
      </c>
      <c r="I33" s="6">
        <v>123.163393</v>
      </c>
      <c r="J33" s="6">
        <v>27.480634999999999</v>
      </c>
      <c r="K33" s="6">
        <v>-4.5081000000000003E-2</v>
      </c>
      <c r="L33" s="6">
        <v>12.316343</v>
      </c>
      <c r="M33" s="6">
        <v>0</v>
      </c>
      <c r="N33" s="6">
        <v>1086.3086450000001</v>
      </c>
      <c r="O33" s="6">
        <v>362.992435</v>
      </c>
      <c r="P33" s="6">
        <v>723.31620999999996</v>
      </c>
      <c r="Q33" s="7">
        <v>35</v>
      </c>
      <c r="R33" s="6">
        <v>61.458663999999999</v>
      </c>
      <c r="S33" s="6">
        <v>4387.0117369999998</v>
      </c>
      <c r="T33" s="6">
        <v>4054.407385</v>
      </c>
      <c r="U33" s="6">
        <v>3759.7021669999999</v>
      </c>
      <c r="V33" s="6">
        <v>3497.5825690000001</v>
      </c>
    </row>
    <row r="34" spans="1:22" x14ac:dyDescent="0.35">
      <c r="A34" s="5">
        <v>46022</v>
      </c>
      <c r="B34" s="4" t="s">
        <v>107</v>
      </c>
      <c r="C34" s="4" t="s">
        <v>108</v>
      </c>
      <c r="D34" s="4" t="s">
        <v>109</v>
      </c>
      <c r="E34" s="6">
        <v>359.52989200000002</v>
      </c>
      <c r="F34" s="6">
        <v>35.907077999999998</v>
      </c>
      <c r="G34" s="6">
        <v>323.62281400000001</v>
      </c>
      <c r="H34" s="6">
        <v>13.606832000000001</v>
      </c>
      <c r="I34" s="6">
        <v>262.07164</v>
      </c>
      <c r="J34" s="6">
        <v>6.6430910000000001</v>
      </c>
      <c r="K34" s="6">
        <v>-2.447282</v>
      </c>
      <c r="L34" s="6">
        <v>54.141694999999999</v>
      </c>
      <c r="M34" s="6">
        <v>0</v>
      </c>
      <c r="N34" s="6">
        <v>-10.393162</v>
      </c>
      <c r="O34" s="6">
        <v>0</v>
      </c>
      <c r="P34" s="6">
        <v>-10.393162</v>
      </c>
      <c r="Q34" s="7">
        <v>24.72</v>
      </c>
      <c r="R34" s="6">
        <v>56.620581999999999</v>
      </c>
      <c r="S34" s="6">
        <v>-81.842534999999998</v>
      </c>
      <c r="T34" s="6">
        <v>-75.289433000000002</v>
      </c>
      <c r="U34" s="6">
        <v>-69.504925</v>
      </c>
      <c r="V34" s="6">
        <v>-64.378879999999995</v>
      </c>
    </row>
    <row r="35" spans="1:22" x14ac:dyDescent="0.35">
      <c r="A35" s="5">
        <v>46022</v>
      </c>
      <c r="B35" s="4" t="s">
        <v>110</v>
      </c>
      <c r="C35" s="4" t="s">
        <v>111</v>
      </c>
      <c r="D35" s="4" t="s">
        <v>80</v>
      </c>
      <c r="E35" s="6">
        <v>1561.407234</v>
      </c>
      <c r="F35" s="6">
        <v>216.250156</v>
      </c>
      <c r="G35" s="6">
        <v>1345.157078</v>
      </c>
      <c r="H35" s="6">
        <v>0</v>
      </c>
      <c r="I35" s="6">
        <v>846.18307100000004</v>
      </c>
      <c r="J35" s="6">
        <v>20.784407000000002</v>
      </c>
      <c r="K35" s="6">
        <v>36.684888999999998</v>
      </c>
      <c r="L35" s="6">
        <v>161.43071499999999</v>
      </c>
      <c r="M35" s="6">
        <v>0</v>
      </c>
      <c r="N35" s="6">
        <v>280.07399600000002</v>
      </c>
      <c r="O35" s="6">
        <v>76.968823</v>
      </c>
      <c r="P35" s="6">
        <v>203.10517300000001</v>
      </c>
      <c r="Q35" s="7">
        <v>26.5</v>
      </c>
      <c r="R35" s="6">
        <v>187.74121099999999</v>
      </c>
      <c r="S35" s="6">
        <v>2369.210337</v>
      </c>
      <c r="T35" s="6">
        <v>2041.3699469999999</v>
      </c>
      <c r="U35" s="6">
        <v>1781.12033</v>
      </c>
      <c r="V35" s="6">
        <v>1571.6869799999999</v>
      </c>
    </row>
    <row r="36" spans="1:22" x14ac:dyDescent="0.35">
      <c r="A36" s="5">
        <v>46022</v>
      </c>
      <c r="B36" s="4" t="s">
        <v>112</v>
      </c>
      <c r="C36" s="4" t="s">
        <v>113</v>
      </c>
      <c r="D36" s="4" t="s">
        <v>114</v>
      </c>
      <c r="E36" s="6">
        <v>420.165797</v>
      </c>
      <c r="F36" s="6">
        <v>76.793470999999997</v>
      </c>
      <c r="G36" s="6">
        <v>343.37232599999999</v>
      </c>
      <c r="H36" s="6">
        <v>23.109151000000001</v>
      </c>
      <c r="I36" s="6">
        <v>125.95162500000001</v>
      </c>
      <c r="J36" s="6">
        <v>1.5</v>
      </c>
      <c r="K36" s="6">
        <v>21.163851000000001</v>
      </c>
      <c r="L36" s="6">
        <v>18.892745000000001</v>
      </c>
      <c r="M36" s="6">
        <v>0</v>
      </c>
      <c r="N36" s="6">
        <v>152.754954</v>
      </c>
      <c r="O36" s="6">
        <v>50.474693000000002</v>
      </c>
      <c r="P36" s="6">
        <v>102.280261</v>
      </c>
      <c r="Q36" s="7">
        <v>34</v>
      </c>
      <c r="R36" s="6">
        <v>44.356569999999998</v>
      </c>
      <c r="S36" s="6">
        <v>1157.9724180000001</v>
      </c>
      <c r="T36" s="6">
        <v>1025.079958</v>
      </c>
      <c r="U36" s="6">
        <v>914.74844800000005</v>
      </c>
      <c r="V36" s="6">
        <v>822.35062200000004</v>
      </c>
    </row>
    <row r="37" spans="1:22" x14ac:dyDescent="0.35">
      <c r="A37" s="5">
        <v>46022</v>
      </c>
      <c r="B37" s="4" t="s">
        <v>115</v>
      </c>
      <c r="C37" s="4" t="s">
        <v>116</v>
      </c>
      <c r="D37" s="4" t="s">
        <v>80</v>
      </c>
      <c r="E37" s="6">
        <v>268.049848</v>
      </c>
      <c r="F37" s="6">
        <v>45.054535000000001</v>
      </c>
      <c r="G37" s="6">
        <v>222.99531300000001</v>
      </c>
      <c r="H37" s="6">
        <v>0</v>
      </c>
      <c r="I37" s="6">
        <v>231.022333</v>
      </c>
      <c r="J37" s="6">
        <v>1.0373760000000001</v>
      </c>
      <c r="K37" s="6">
        <v>-0.16750899999999999</v>
      </c>
      <c r="L37" s="6">
        <v>41.534218000000003</v>
      </c>
      <c r="M37" s="6">
        <v>200</v>
      </c>
      <c r="N37" s="6">
        <v>-250.431105</v>
      </c>
      <c r="O37" s="6">
        <v>0</v>
      </c>
      <c r="P37" s="6">
        <v>-250.431105</v>
      </c>
      <c r="Q37" s="7">
        <v>26.3</v>
      </c>
      <c r="R37" s="6">
        <v>110.48586299999999</v>
      </c>
      <c r="S37" s="6">
        <v>147.24093500000001</v>
      </c>
      <c r="T37" s="6">
        <v>82.792170999999996</v>
      </c>
      <c r="U37" s="6">
        <v>31.089046</v>
      </c>
      <c r="V37" s="6">
        <v>-10.578538</v>
      </c>
    </row>
    <row r="38" spans="1:22" x14ac:dyDescent="0.35">
      <c r="A38" s="5">
        <v>46022</v>
      </c>
      <c r="B38" s="4" t="s">
        <v>117</v>
      </c>
      <c r="C38" s="4" t="s">
        <v>118</v>
      </c>
      <c r="D38" s="4" t="s">
        <v>114</v>
      </c>
      <c r="E38" s="6">
        <v>285.59869200000003</v>
      </c>
      <c r="F38" s="6">
        <v>42.560208000000003</v>
      </c>
      <c r="G38" s="6">
        <v>243.03848400000001</v>
      </c>
      <c r="H38" s="6">
        <v>15.144508999999999</v>
      </c>
      <c r="I38" s="6">
        <v>90.527006</v>
      </c>
      <c r="J38" s="6">
        <v>8.5000009999999993</v>
      </c>
      <c r="K38" s="6">
        <v>-7.7597160000000001</v>
      </c>
      <c r="L38" s="6">
        <v>36.210800999999996</v>
      </c>
      <c r="M38" s="6">
        <v>0</v>
      </c>
      <c r="N38" s="6">
        <v>100.415882</v>
      </c>
      <c r="O38" s="6">
        <v>19.726499</v>
      </c>
      <c r="P38" s="6">
        <v>80.689383000000007</v>
      </c>
      <c r="Q38" s="7">
        <v>34</v>
      </c>
      <c r="R38" s="6">
        <v>70.847852000000003</v>
      </c>
      <c r="S38" s="6">
        <v>282.37928499999998</v>
      </c>
      <c r="T38" s="6">
        <v>268.88841400000001</v>
      </c>
      <c r="U38" s="6">
        <v>256.42336299999999</v>
      </c>
      <c r="V38" s="6">
        <v>244.88378</v>
      </c>
    </row>
    <row r="39" spans="1:22" x14ac:dyDescent="0.35">
      <c r="A39" s="5">
        <v>46022</v>
      </c>
      <c r="B39" s="4" t="s">
        <v>119</v>
      </c>
      <c r="C39" s="4" t="s">
        <v>120</v>
      </c>
      <c r="D39" s="4" t="s">
        <v>50</v>
      </c>
      <c r="E39" s="6">
        <v>49.326742000000003</v>
      </c>
      <c r="F39" s="6">
        <v>12.321496</v>
      </c>
      <c r="G39" s="6">
        <v>37.005246</v>
      </c>
      <c r="H39" s="6">
        <v>1.0205010000000001</v>
      </c>
      <c r="I39" s="6">
        <v>14.240717999999999</v>
      </c>
      <c r="J39" s="6">
        <v>2.261031</v>
      </c>
      <c r="K39" s="6">
        <v>7.8960000000000002E-3</v>
      </c>
      <c r="L39" s="6">
        <v>1.713352</v>
      </c>
      <c r="M39" s="6">
        <v>0</v>
      </c>
      <c r="N39" s="6">
        <v>17.761748000000001</v>
      </c>
      <c r="O39" s="6">
        <v>4.8160309999999997</v>
      </c>
      <c r="P39" s="6">
        <v>12.945717</v>
      </c>
      <c r="Q39" s="7">
        <v>25</v>
      </c>
      <c r="R39" s="6">
        <v>0.21887400000000001</v>
      </c>
      <c r="S39" s="6">
        <v>116.383275</v>
      </c>
      <c r="T39" s="6">
        <v>102.621758</v>
      </c>
      <c r="U39" s="6">
        <v>91.289927000000006</v>
      </c>
      <c r="V39" s="6">
        <v>81.870345999999998</v>
      </c>
    </row>
    <row r="40" spans="1:22" x14ac:dyDescent="0.35">
      <c r="A40" s="5">
        <v>46022</v>
      </c>
      <c r="B40" s="4" t="s">
        <v>121</v>
      </c>
      <c r="C40" s="4" t="s">
        <v>122</v>
      </c>
      <c r="D40" s="4" t="s">
        <v>50</v>
      </c>
      <c r="E40" s="6">
        <v>150.065946</v>
      </c>
      <c r="F40" s="6">
        <v>36.323438000000003</v>
      </c>
      <c r="G40" s="6">
        <v>113.742508</v>
      </c>
      <c r="H40" s="6">
        <v>9.0039909999999992</v>
      </c>
      <c r="I40" s="6">
        <v>46.796804999999999</v>
      </c>
      <c r="J40" s="6">
        <v>5.4834630000000004</v>
      </c>
      <c r="K40" s="6">
        <v>1.6712340000000001</v>
      </c>
      <c r="L40" s="6">
        <v>1.622533</v>
      </c>
      <c r="M40" s="6">
        <v>0</v>
      </c>
      <c r="N40" s="6">
        <v>49.164482</v>
      </c>
      <c r="O40" s="6">
        <v>6.9438930000000001</v>
      </c>
      <c r="P40" s="6">
        <v>42.220587999999999</v>
      </c>
      <c r="Q40" s="7">
        <v>15</v>
      </c>
      <c r="R40" s="6">
        <v>6.1656259999999996</v>
      </c>
      <c r="S40" s="6">
        <v>355.26693899999998</v>
      </c>
      <c r="T40" s="6">
        <v>316.72362500000003</v>
      </c>
      <c r="U40" s="6">
        <v>284.48176100000001</v>
      </c>
      <c r="V40" s="6">
        <v>257.28963099999999</v>
      </c>
    </row>
    <row r="41" spans="1:22" x14ac:dyDescent="0.35">
      <c r="A41" s="5">
        <v>46022</v>
      </c>
      <c r="B41" s="4" t="s">
        <v>123</v>
      </c>
      <c r="C41" s="4" t="s">
        <v>124</v>
      </c>
      <c r="D41" s="4" t="s">
        <v>125</v>
      </c>
      <c r="E41" s="6">
        <v>636.49511500000006</v>
      </c>
      <c r="F41" s="6">
        <v>33.227207</v>
      </c>
      <c r="G41" s="6">
        <v>603.26790800000003</v>
      </c>
      <c r="H41" s="6">
        <v>16.546977999999999</v>
      </c>
      <c r="I41" s="6">
        <v>582.51837899999998</v>
      </c>
      <c r="J41" s="6">
        <v>3.6239949999999999</v>
      </c>
      <c r="K41" s="6">
        <v>-8.5284390000000005</v>
      </c>
      <c r="L41" s="6">
        <v>26.786273000000001</v>
      </c>
      <c r="M41" s="6">
        <v>0</v>
      </c>
      <c r="N41" s="6">
        <v>-17.679276999999999</v>
      </c>
      <c r="O41" s="6">
        <v>0</v>
      </c>
      <c r="P41" s="6">
        <v>-17.679276999999999</v>
      </c>
      <c r="Q41" s="7">
        <v>30</v>
      </c>
      <c r="R41" s="6">
        <v>45.111846999999997</v>
      </c>
      <c r="S41" s="6">
        <v>378.25216999999998</v>
      </c>
      <c r="T41" s="6">
        <v>280.64890100000002</v>
      </c>
      <c r="U41" s="6">
        <v>211.15465499999999</v>
      </c>
      <c r="V41" s="6">
        <v>160.86180100000001</v>
      </c>
    </row>
    <row r="42" spans="1:22" x14ac:dyDescent="0.35">
      <c r="A42" s="5">
        <v>46022</v>
      </c>
      <c r="B42" s="4" t="s">
        <v>126</v>
      </c>
      <c r="C42" s="4" t="s">
        <v>127</v>
      </c>
      <c r="D42" s="4" t="s">
        <v>128</v>
      </c>
      <c r="E42" s="6">
        <v>415.28477800000002</v>
      </c>
      <c r="F42" s="6">
        <v>133.84002799999999</v>
      </c>
      <c r="G42" s="6">
        <v>281.44475</v>
      </c>
      <c r="H42" s="6">
        <v>0</v>
      </c>
      <c r="I42" s="6">
        <v>156.32144</v>
      </c>
      <c r="J42" s="6">
        <v>5.7796459999999996</v>
      </c>
      <c r="K42" s="6">
        <v>-18.247897999999999</v>
      </c>
      <c r="L42" s="6">
        <v>19.265488000000001</v>
      </c>
      <c r="M42" s="6">
        <v>0</v>
      </c>
      <c r="N42" s="6">
        <v>118.32607400000001</v>
      </c>
      <c r="O42" s="6">
        <v>24.648382000000002</v>
      </c>
      <c r="P42" s="6">
        <v>93.677691999999993</v>
      </c>
      <c r="Q42" s="7">
        <v>30</v>
      </c>
      <c r="R42" s="6">
        <v>37.182392</v>
      </c>
      <c r="S42" s="6">
        <v>363.751237</v>
      </c>
      <c r="T42" s="6">
        <v>344.99284399999999</v>
      </c>
      <c r="U42" s="6">
        <v>327.73317700000001</v>
      </c>
      <c r="V42" s="6">
        <v>311.82049799999999</v>
      </c>
    </row>
    <row r="43" spans="1:22" x14ac:dyDescent="0.35">
      <c r="A43" s="5">
        <v>46022</v>
      </c>
      <c r="B43" s="4" t="s">
        <v>129</v>
      </c>
      <c r="C43" s="4" t="s">
        <v>130</v>
      </c>
      <c r="D43" s="4" t="s">
        <v>50</v>
      </c>
      <c r="E43" s="6">
        <v>143.792968</v>
      </c>
      <c r="F43" s="6">
        <v>11.513012</v>
      </c>
      <c r="G43" s="6">
        <v>132.279956</v>
      </c>
      <c r="H43" s="6">
        <v>12.349721000000001</v>
      </c>
      <c r="I43" s="6">
        <v>25.45486</v>
      </c>
      <c r="J43" s="6">
        <v>1.420946</v>
      </c>
      <c r="K43" s="6">
        <v>-5.6294999999999998E-2</v>
      </c>
      <c r="L43" s="6">
        <v>4.8995569999999997</v>
      </c>
      <c r="M43" s="6">
        <v>0</v>
      </c>
      <c r="N43" s="6">
        <v>88.211167000000003</v>
      </c>
      <c r="O43" s="6">
        <v>22.189907999999999</v>
      </c>
      <c r="P43" s="6">
        <v>66.021259000000001</v>
      </c>
      <c r="Q43" s="7">
        <v>25</v>
      </c>
      <c r="R43" s="6">
        <v>4.2947959999999998</v>
      </c>
      <c r="S43" s="6">
        <v>117.685119</v>
      </c>
      <c r="T43" s="6">
        <v>114.535825</v>
      </c>
      <c r="U43" s="6">
        <v>111.534417</v>
      </c>
      <c r="V43" s="6">
        <v>108.67128200000001</v>
      </c>
    </row>
    <row r="44" spans="1:22" x14ac:dyDescent="0.35">
      <c r="A44" s="5">
        <v>46022</v>
      </c>
      <c r="B44" s="4" t="s">
        <v>131</v>
      </c>
      <c r="C44" s="4" t="s">
        <v>132</v>
      </c>
      <c r="D44" s="4" t="s">
        <v>128</v>
      </c>
      <c r="E44" s="6">
        <v>603.31677500000001</v>
      </c>
      <c r="F44" s="6">
        <v>139.800757</v>
      </c>
      <c r="G44" s="6">
        <v>463.51601799999997</v>
      </c>
      <c r="H44" s="6">
        <v>22.063483000000002</v>
      </c>
      <c r="I44" s="6">
        <v>152.996756</v>
      </c>
      <c r="J44" s="6">
        <v>7.5954740000000003</v>
      </c>
      <c r="K44" s="6">
        <v>-8.8429380000000002</v>
      </c>
      <c r="L44" s="6">
        <v>20.254595999999999</v>
      </c>
      <c r="M44" s="6">
        <v>0</v>
      </c>
      <c r="N44" s="6">
        <v>269.44864699999999</v>
      </c>
      <c r="O44" s="6">
        <v>50.332546999999998</v>
      </c>
      <c r="P44" s="6">
        <v>219.11609899999999</v>
      </c>
      <c r="Q44" s="7">
        <v>25</v>
      </c>
      <c r="R44" s="6">
        <v>79.530116000000007</v>
      </c>
      <c r="S44" s="6">
        <v>2027.901055</v>
      </c>
      <c r="T44" s="6">
        <v>1767.197349</v>
      </c>
      <c r="U44" s="6">
        <v>1556.894372</v>
      </c>
      <c r="V44" s="6">
        <v>1385.2501319999999</v>
      </c>
    </row>
    <row r="45" spans="1:22" x14ac:dyDescent="0.35">
      <c r="A45" s="5">
        <v>46022</v>
      </c>
      <c r="B45" s="4" t="s">
        <v>133</v>
      </c>
      <c r="C45" s="4" t="s">
        <v>134</v>
      </c>
      <c r="D45" s="4" t="s">
        <v>56</v>
      </c>
      <c r="E45" s="6">
        <v>5801.3822499999997</v>
      </c>
      <c r="F45" s="6">
        <v>450.528502</v>
      </c>
      <c r="G45" s="6">
        <v>5350.8537480000005</v>
      </c>
      <c r="H45" s="6">
        <v>281.74116900000001</v>
      </c>
      <c r="I45" s="6">
        <v>2575.0503490000001</v>
      </c>
      <c r="J45" s="6">
        <v>41.256300000000003</v>
      </c>
      <c r="K45" s="6">
        <v>52.404778</v>
      </c>
      <c r="L45" s="6">
        <v>6.6465459999999998</v>
      </c>
      <c r="M45" s="6">
        <v>52.000002000000002</v>
      </c>
      <c r="N45" s="6">
        <v>2341.7546029999999</v>
      </c>
      <c r="O45" s="6">
        <v>630.96468000000004</v>
      </c>
      <c r="P45" s="6">
        <v>1710.789923</v>
      </c>
      <c r="Q45" s="7">
        <v>30</v>
      </c>
      <c r="R45" s="6">
        <v>349.59032999999999</v>
      </c>
      <c r="S45" s="6">
        <v>13404.948016</v>
      </c>
      <c r="T45" s="6">
        <v>12093.733076</v>
      </c>
      <c r="U45" s="6">
        <v>10975.037235</v>
      </c>
      <c r="V45" s="6">
        <v>10014.411904000001</v>
      </c>
    </row>
    <row r="46" spans="1:22" x14ac:dyDescent="0.35">
      <c r="A46" s="5">
        <v>46022</v>
      </c>
      <c r="B46" s="4" t="s">
        <v>135</v>
      </c>
      <c r="C46" s="4" t="s">
        <v>136</v>
      </c>
      <c r="D46" s="4" t="s">
        <v>137</v>
      </c>
      <c r="E46" s="6">
        <v>651.41373399999998</v>
      </c>
      <c r="F46" s="6">
        <v>237.90175500000001</v>
      </c>
      <c r="G46" s="6">
        <v>413.511979</v>
      </c>
      <c r="H46" s="6">
        <v>32.570708000000003</v>
      </c>
      <c r="I46" s="6">
        <v>23.198484000000001</v>
      </c>
      <c r="J46" s="6">
        <v>1.1003700000000001</v>
      </c>
      <c r="K46" s="6">
        <v>38.368862</v>
      </c>
      <c r="L46" s="6">
        <v>2.5</v>
      </c>
      <c r="M46" s="6">
        <v>10.000000999999999</v>
      </c>
      <c r="N46" s="6">
        <v>305.77355599999999</v>
      </c>
      <c r="O46" s="6">
        <v>0</v>
      </c>
      <c r="P46" s="6">
        <v>305.77355599999999</v>
      </c>
      <c r="Q46" s="7">
        <v>0</v>
      </c>
      <c r="R46" s="6">
        <v>3.285272</v>
      </c>
      <c r="S46" s="6">
        <v>3517.6745310000001</v>
      </c>
      <c r="T46" s="6">
        <v>3007.2424470000001</v>
      </c>
      <c r="U46" s="6">
        <v>2609.3484830000002</v>
      </c>
      <c r="V46" s="6">
        <v>2293.9194379999999</v>
      </c>
    </row>
    <row r="47" spans="1:22" x14ac:dyDescent="0.35">
      <c r="A47" s="5">
        <v>46022</v>
      </c>
      <c r="B47" s="4" t="s">
        <v>138</v>
      </c>
      <c r="C47" s="4" t="s">
        <v>139</v>
      </c>
      <c r="D47" s="4" t="s">
        <v>56</v>
      </c>
      <c r="E47" s="6">
        <v>579.03136700000005</v>
      </c>
      <c r="F47" s="6">
        <v>91.050171000000006</v>
      </c>
      <c r="G47" s="6">
        <v>487.98119600000001</v>
      </c>
      <c r="H47" s="6">
        <v>62.706558999999999</v>
      </c>
      <c r="I47" s="6">
        <v>174.010751</v>
      </c>
      <c r="J47" s="6">
        <v>1.2384790000000001</v>
      </c>
      <c r="K47" s="6">
        <v>13.712875</v>
      </c>
      <c r="L47" s="6">
        <v>54.618501000000002</v>
      </c>
      <c r="M47" s="6">
        <v>0</v>
      </c>
      <c r="N47" s="6">
        <v>181.69403</v>
      </c>
      <c r="O47" s="6">
        <v>41.975987000000003</v>
      </c>
      <c r="P47" s="6">
        <v>139.71804399999999</v>
      </c>
      <c r="Q47" s="7">
        <v>30</v>
      </c>
      <c r="R47" s="6">
        <v>110.105451</v>
      </c>
      <c r="S47" s="6">
        <v>663.71887200000003</v>
      </c>
      <c r="T47" s="6">
        <v>625.92734700000005</v>
      </c>
      <c r="U47" s="6">
        <v>591.43384900000001</v>
      </c>
      <c r="V47" s="6">
        <v>559.875497</v>
      </c>
    </row>
    <row r="48" spans="1:22" x14ac:dyDescent="0.35">
      <c r="A48" s="5">
        <v>46022</v>
      </c>
      <c r="B48" s="4" t="s">
        <v>140</v>
      </c>
      <c r="C48" s="4" t="s">
        <v>141</v>
      </c>
      <c r="D48" s="4" t="s">
        <v>142</v>
      </c>
      <c r="E48" s="6">
        <v>50.932510000000001</v>
      </c>
      <c r="F48" s="6">
        <v>10.93324</v>
      </c>
      <c r="G48" s="6">
        <v>39.999270000000003</v>
      </c>
      <c r="H48" s="6">
        <v>3.2392590000000001</v>
      </c>
      <c r="I48" s="6">
        <v>27.963559</v>
      </c>
      <c r="J48" s="6">
        <v>2.0005700000000002</v>
      </c>
      <c r="K48" s="6">
        <v>5.1754699999999998</v>
      </c>
      <c r="L48" s="6">
        <v>6.4049990000000001</v>
      </c>
      <c r="M48" s="6">
        <v>1.9999990000000001</v>
      </c>
      <c r="N48" s="6">
        <v>-6.7845870000000001</v>
      </c>
      <c r="O48" s="6">
        <v>0</v>
      </c>
      <c r="P48" s="6">
        <v>-6.7845870000000001</v>
      </c>
      <c r="Q48" s="7">
        <v>50</v>
      </c>
      <c r="R48" s="6">
        <v>17.666789000000001</v>
      </c>
      <c r="S48" s="6">
        <v>-203.90649500000001</v>
      </c>
      <c r="T48" s="6">
        <v>-189.61282</v>
      </c>
      <c r="U48" s="6">
        <v>-176.68725499999999</v>
      </c>
      <c r="V48" s="6">
        <v>-164.971239</v>
      </c>
    </row>
    <row r="49" spans="1:22" x14ac:dyDescent="0.35">
      <c r="A49" s="5">
        <v>46022</v>
      </c>
      <c r="B49" s="4" t="s">
        <v>143</v>
      </c>
      <c r="C49" s="4" t="s">
        <v>144</v>
      </c>
      <c r="D49" s="4" t="s">
        <v>67</v>
      </c>
      <c r="E49" s="6">
        <v>659.75013200000001</v>
      </c>
      <c r="F49" s="6">
        <v>85.931319000000002</v>
      </c>
      <c r="G49" s="6">
        <v>573.81881299999998</v>
      </c>
      <c r="H49" s="6">
        <v>0</v>
      </c>
      <c r="I49" s="6">
        <v>448.86503299999998</v>
      </c>
      <c r="J49" s="6">
        <v>25.839676000000001</v>
      </c>
      <c r="K49" s="6">
        <v>-50.066937000000003</v>
      </c>
      <c r="L49" s="6">
        <v>75.978255000000004</v>
      </c>
      <c r="M49" s="6">
        <v>0</v>
      </c>
      <c r="N49" s="6">
        <v>73.202783999999994</v>
      </c>
      <c r="O49" s="6">
        <v>0</v>
      </c>
      <c r="P49" s="6">
        <v>73.202783999999994</v>
      </c>
      <c r="Q49" s="7">
        <v>20</v>
      </c>
      <c r="R49" s="6">
        <v>122.730766</v>
      </c>
      <c r="S49" s="6">
        <v>250.691079</v>
      </c>
      <c r="T49" s="6">
        <v>226.15006199999999</v>
      </c>
      <c r="U49" s="6">
        <v>205.73857599999999</v>
      </c>
      <c r="V49" s="6">
        <v>188.600076</v>
      </c>
    </row>
    <row r="50" spans="1:22" x14ac:dyDescent="0.35">
      <c r="A50" s="5">
        <v>46022</v>
      </c>
      <c r="B50" s="4" t="s">
        <v>145</v>
      </c>
      <c r="C50" s="4" t="s">
        <v>146</v>
      </c>
      <c r="D50" s="4" t="s">
        <v>80</v>
      </c>
      <c r="E50" s="6">
        <v>571.87619299999994</v>
      </c>
      <c r="F50" s="6">
        <v>102.612347</v>
      </c>
      <c r="G50" s="6">
        <v>469.263846</v>
      </c>
      <c r="H50" s="6">
        <v>16.012685999999999</v>
      </c>
      <c r="I50" s="6">
        <v>675.63562100000001</v>
      </c>
      <c r="J50" s="6">
        <v>10.317053</v>
      </c>
      <c r="K50" s="6">
        <v>11.260429999999999</v>
      </c>
      <c r="L50" s="6">
        <v>42.155144</v>
      </c>
      <c r="M50" s="6">
        <v>52</v>
      </c>
      <c r="N50" s="6">
        <v>-338.11708800000002</v>
      </c>
      <c r="O50" s="6">
        <v>0</v>
      </c>
      <c r="P50" s="6">
        <v>-338.11708800000002</v>
      </c>
      <c r="Q50" s="7">
        <v>26.5</v>
      </c>
      <c r="R50" s="6">
        <v>324.14299699999998</v>
      </c>
      <c r="S50" s="6">
        <v>-2607.5667779999999</v>
      </c>
      <c r="T50" s="6">
        <v>-2362.5077460000002</v>
      </c>
      <c r="U50" s="6">
        <v>-2150.8092240000001</v>
      </c>
      <c r="V50" s="6">
        <v>-1966.9915659999999</v>
      </c>
    </row>
    <row r="51" spans="1:22" x14ac:dyDescent="0.35">
      <c r="A51" s="5">
        <v>46022</v>
      </c>
      <c r="B51" s="4" t="s">
        <v>147</v>
      </c>
      <c r="C51" s="4" t="s">
        <v>148</v>
      </c>
      <c r="D51" s="4" t="s">
        <v>109</v>
      </c>
      <c r="E51" s="6">
        <v>931.56297400000005</v>
      </c>
      <c r="F51" s="6">
        <v>109.743002</v>
      </c>
      <c r="G51" s="6">
        <v>821.81997100000001</v>
      </c>
      <c r="H51" s="6">
        <v>30.642797000000002</v>
      </c>
      <c r="I51" s="6">
        <v>453.97171800000001</v>
      </c>
      <c r="J51" s="6">
        <v>45.634579000000002</v>
      </c>
      <c r="K51" s="6">
        <v>23.047618</v>
      </c>
      <c r="L51" s="6">
        <v>122.497575</v>
      </c>
      <c r="M51" s="6">
        <v>99.999998000000005</v>
      </c>
      <c r="N51" s="6">
        <v>46.025686</v>
      </c>
      <c r="O51" s="6">
        <v>27.277087999999999</v>
      </c>
      <c r="P51" s="6">
        <v>18.748598999999999</v>
      </c>
      <c r="Q51" s="7">
        <v>25</v>
      </c>
      <c r="R51" s="6">
        <v>182.46252799999999</v>
      </c>
      <c r="S51" s="6">
        <v>1306.010933</v>
      </c>
      <c r="T51" s="6">
        <v>1108.7061409999999</v>
      </c>
      <c r="U51" s="6">
        <v>954.23820699999999</v>
      </c>
      <c r="V51" s="6">
        <v>831.40682100000004</v>
      </c>
    </row>
  </sheetData>
  <mergeCells count="23">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T6:T9"/>
    <mergeCell ref="U6:U9"/>
    <mergeCell ref="V6:V9"/>
    <mergeCell ref="O6:O9"/>
    <mergeCell ref="P6:P9"/>
    <mergeCell ref="Q6:Q9"/>
    <mergeCell ref="R6:R9"/>
    <mergeCell ref="S6:S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N80"/>
  <sheetViews>
    <sheetView workbookViewId="0">
      <selection activeCell="D18" sqref="D18"/>
    </sheetView>
  </sheetViews>
  <sheetFormatPr defaultRowHeight="14.5" x14ac:dyDescent="0.35"/>
  <cols>
    <col min="1" max="1" width="48.54296875" customWidth="1"/>
    <col min="2" max="2" width="23.7265625" customWidth="1"/>
    <col min="3" max="3" width="16.1796875" customWidth="1"/>
    <col min="4" max="4" width="48.54296875" customWidth="1"/>
    <col min="5" max="5" width="16.54296875" customWidth="1"/>
    <col min="6" max="6" width="16.1796875" customWidth="1"/>
    <col min="7" max="7" width="18.54296875" customWidth="1"/>
  </cols>
  <sheetData>
    <row r="1" spans="1:40" ht="40" customHeight="1" x14ac:dyDescent="0.35">
      <c r="A1" s="16"/>
      <c r="B1" s="16"/>
      <c r="C1" s="16"/>
      <c r="D1" s="16"/>
    </row>
    <row r="2" spans="1:40" ht="30" customHeight="1" x14ac:dyDescent="0.45">
      <c r="A2" s="1" t="s">
        <v>260</v>
      </c>
      <c r="B2" s="2"/>
      <c r="C2" s="2"/>
      <c r="D2" s="2"/>
      <c r="E2" s="2"/>
      <c r="F2" s="2"/>
      <c r="G2" s="2"/>
      <c r="H2" s="2"/>
      <c r="I2" s="2"/>
      <c r="J2" s="2"/>
      <c r="K2" s="2"/>
      <c r="L2" s="2"/>
    </row>
    <row r="3" spans="1:40" x14ac:dyDescent="0.35">
      <c r="A3" s="3" t="s">
        <v>0</v>
      </c>
    </row>
    <row r="4" spans="1:40" x14ac:dyDescent="0.35">
      <c r="A4" s="3" t="s">
        <v>1</v>
      </c>
    </row>
    <row r="5" spans="1:40" x14ac:dyDescent="0.35">
      <c r="A5" s="4"/>
    </row>
    <row r="6" spans="1:40" x14ac:dyDescent="0.35">
      <c r="A6" s="28" t="s">
        <v>2</v>
      </c>
      <c r="B6" s="28" t="s">
        <v>3</v>
      </c>
      <c r="C6" s="28" t="s">
        <v>4</v>
      </c>
      <c r="D6" s="28" t="s">
        <v>212</v>
      </c>
      <c r="E6" s="18" t="s">
        <v>213</v>
      </c>
      <c r="F6" s="18" t="s">
        <v>214</v>
      </c>
      <c r="G6" s="18" t="s">
        <v>261</v>
      </c>
      <c r="H6" s="18" t="s">
        <v>262</v>
      </c>
      <c r="I6" s="18" t="s">
        <v>263</v>
      </c>
      <c r="J6" s="32" t="s">
        <v>264</v>
      </c>
      <c r="K6" s="32" t="s">
        <v>265</v>
      </c>
      <c r="L6" s="32" t="s">
        <v>266</v>
      </c>
      <c r="M6" s="18" t="s">
        <v>267</v>
      </c>
      <c r="N6" s="18" t="s">
        <v>268</v>
      </c>
      <c r="O6" s="18" t="s">
        <v>269</v>
      </c>
      <c r="P6" s="18" t="s">
        <v>270</v>
      </c>
      <c r="Q6" s="29" t="s">
        <v>271</v>
      </c>
      <c r="R6" s="29" t="s">
        <v>272</v>
      </c>
      <c r="S6" s="31" t="s">
        <v>273</v>
      </c>
      <c r="T6" s="30" t="s">
        <v>274</v>
      </c>
      <c r="U6" s="29" t="s">
        <v>275</v>
      </c>
      <c r="V6" s="29" t="s">
        <v>276</v>
      </c>
      <c r="W6" s="29" t="s">
        <v>277</v>
      </c>
      <c r="X6" s="29" t="s">
        <v>278</v>
      </c>
      <c r="Y6" s="29" t="s">
        <v>279</v>
      </c>
      <c r="Z6" s="29" t="s">
        <v>280</v>
      </c>
      <c r="AA6" s="29" t="s">
        <v>281</v>
      </c>
      <c r="AB6" s="29" t="s">
        <v>282</v>
      </c>
      <c r="AC6" s="29" t="s">
        <v>283</v>
      </c>
      <c r="AD6" s="29" t="s">
        <v>284</v>
      </c>
      <c r="AE6" s="29" t="s">
        <v>285</v>
      </c>
      <c r="AF6" s="29" t="s">
        <v>286</v>
      </c>
      <c r="AG6" s="29" t="s">
        <v>287</v>
      </c>
      <c r="AH6" s="29" t="s">
        <v>288</v>
      </c>
      <c r="AI6" s="29" t="s">
        <v>289</v>
      </c>
      <c r="AJ6" s="29" t="s">
        <v>290</v>
      </c>
      <c r="AK6" s="29" t="s">
        <v>291</v>
      </c>
      <c r="AL6" s="29" t="s">
        <v>292</v>
      </c>
      <c r="AM6" s="29" t="s">
        <v>293</v>
      </c>
      <c r="AN6" s="29" t="s">
        <v>294</v>
      </c>
    </row>
    <row r="7" spans="1:40" hidden="1" x14ac:dyDescent="0.35">
      <c r="A7" s="28"/>
      <c r="B7" s="28"/>
      <c r="C7" s="28"/>
      <c r="D7" s="28"/>
      <c r="E7" s="18"/>
      <c r="F7" s="18"/>
      <c r="G7" s="18"/>
      <c r="H7" s="18"/>
      <c r="I7" s="18"/>
      <c r="J7" s="32"/>
      <c r="K7" s="32"/>
      <c r="L7" s="32"/>
      <c r="M7" s="18"/>
      <c r="N7" s="18"/>
      <c r="O7" s="18"/>
      <c r="P7" s="18"/>
      <c r="Q7" s="29"/>
      <c r="R7" s="29"/>
      <c r="S7" s="31"/>
      <c r="T7" s="30"/>
      <c r="U7" s="29"/>
      <c r="V7" s="29"/>
      <c r="W7" s="29"/>
      <c r="X7" s="29"/>
      <c r="Y7" s="29"/>
      <c r="Z7" s="29"/>
      <c r="AA7" s="29"/>
      <c r="AB7" s="29"/>
      <c r="AC7" s="29"/>
      <c r="AD7" s="29"/>
      <c r="AE7" s="29"/>
      <c r="AF7" s="29"/>
      <c r="AG7" s="29"/>
      <c r="AH7" s="29"/>
      <c r="AI7" s="29"/>
      <c r="AJ7" s="29"/>
      <c r="AK7" s="29"/>
      <c r="AL7" s="29"/>
      <c r="AM7" s="29"/>
      <c r="AN7" s="29"/>
    </row>
    <row r="8" spans="1:40" hidden="1" x14ac:dyDescent="0.35">
      <c r="A8" s="28"/>
      <c r="B8" s="28"/>
      <c r="C8" s="28"/>
      <c r="D8" s="28"/>
      <c r="E8" s="18"/>
      <c r="F8" s="18"/>
      <c r="G8" s="18"/>
      <c r="H8" s="18"/>
      <c r="I8" s="18"/>
      <c r="J8" s="32"/>
      <c r="K8" s="32"/>
      <c r="L8" s="32"/>
      <c r="M8" s="18"/>
      <c r="N8" s="18"/>
      <c r="O8" s="18"/>
      <c r="P8" s="18"/>
      <c r="Q8" s="29"/>
      <c r="R8" s="29"/>
      <c r="S8" s="31"/>
      <c r="T8" s="30"/>
      <c r="U8" s="29"/>
      <c r="V8" s="29"/>
      <c r="W8" s="29"/>
      <c r="X8" s="29"/>
      <c r="Y8" s="29"/>
      <c r="Z8" s="29"/>
      <c r="AA8" s="29"/>
      <c r="AB8" s="29"/>
      <c r="AC8" s="29"/>
      <c r="AD8" s="29"/>
      <c r="AE8" s="29"/>
      <c r="AF8" s="29"/>
      <c r="AG8" s="29"/>
      <c r="AH8" s="29"/>
      <c r="AI8" s="29"/>
      <c r="AJ8" s="29"/>
      <c r="AK8" s="29"/>
      <c r="AL8" s="29"/>
      <c r="AM8" s="29"/>
      <c r="AN8" s="29"/>
    </row>
    <row r="9" spans="1:40" hidden="1" x14ac:dyDescent="0.35">
      <c r="A9" s="28"/>
      <c r="B9" s="28"/>
      <c r="C9" s="28"/>
      <c r="D9" s="28"/>
      <c r="E9" s="18"/>
      <c r="F9" s="18"/>
      <c r="G9" s="18"/>
      <c r="H9" s="18"/>
      <c r="I9" s="18"/>
      <c r="J9" s="32"/>
      <c r="K9" s="32"/>
      <c r="L9" s="32"/>
      <c r="M9" s="18"/>
      <c r="N9" s="18"/>
      <c r="O9" s="18"/>
      <c r="P9" s="18"/>
      <c r="Q9" s="29"/>
      <c r="R9" s="29"/>
      <c r="S9" s="31"/>
      <c r="T9" s="30"/>
      <c r="U9" s="29"/>
      <c r="V9" s="29"/>
      <c r="W9" s="29"/>
      <c r="X9" s="29"/>
      <c r="Y9" s="29"/>
      <c r="Z9" s="29"/>
      <c r="AA9" s="29"/>
      <c r="AB9" s="29"/>
      <c r="AC9" s="29"/>
      <c r="AD9" s="29"/>
      <c r="AE9" s="29"/>
      <c r="AF9" s="29"/>
      <c r="AG9" s="29"/>
      <c r="AH9" s="29"/>
      <c r="AI9" s="29"/>
      <c r="AJ9" s="29"/>
      <c r="AK9" s="29"/>
      <c r="AL9" s="29"/>
      <c r="AM9" s="29"/>
      <c r="AN9" s="29"/>
    </row>
    <row r="10" spans="1:40" x14ac:dyDescent="0.35">
      <c r="A10" s="5">
        <v>46022</v>
      </c>
      <c r="B10" s="4" t="s">
        <v>48</v>
      </c>
      <c r="C10" s="4" t="s">
        <v>49</v>
      </c>
      <c r="D10" s="4" t="s">
        <v>215</v>
      </c>
      <c r="E10" s="8">
        <v>4355482</v>
      </c>
      <c r="F10" s="7">
        <v>100</v>
      </c>
      <c r="G10" s="9" t="str">
        <f>_xll.SNL.Clients.Office.Excel.Functions.SPG(E10, "SP_COMPANY_TYPE")</f>
        <v>Public Company</v>
      </c>
      <c r="H10" s="10" t="str">
        <f>_xll.SNL.Clients.Office.Excel.Functions.SPG(E10, "SP_COUNTRY_NAME")</f>
        <v>China</v>
      </c>
      <c r="J10" t="str">
        <f>_xll.SNL.Clients.Office.Excel.Functions.SPG(E10, "SP_PARENT_COUNTRY")</f>
        <v>China</v>
      </c>
      <c r="K10" s="9" t="str">
        <f>_xll.SNL.Clients.Office.Excel.Functions.SPG(E10, "SP_PARENT_COMPANY_ID")</f>
        <v>4415549</v>
      </c>
      <c r="L10" t="str">
        <f>_xll.SNL.Clients.Office.Excel.Functions.SPG(K10, "SP_COMPANY_TYPE")</f>
        <v>Private Company</v>
      </c>
      <c r="M10" s="9" t="str">
        <f>_xll.SNL.Clients.Office.Excel.Functions.SPG(E10, "SP_ULT_PARENT_COMPANY_NAME")</f>
        <v>Xinjiang NonFerrous Metal Industry (Group) Co.Ltd</v>
      </c>
      <c r="N10" s="9" t="str">
        <f>_xll.SNL.Clients.Office.Excel.Functions.SPG(E10, "SP_ULT_PARENT_COUNTRY")</f>
        <v>China</v>
      </c>
      <c r="O10" s="9">
        <f>_xll.SNL.Clients.Office.Excel.Functions.SPG(E10, "SP_ULT_PARENT_COMPANY_ID")</f>
        <v>4415549</v>
      </c>
      <c r="P10" t="str">
        <f>_xll.SNL.Clients.Office.Excel.Functions.SPG(O10, "SP_COMPANY_TYPE")</f>
        <v>Private Company</v>
      </c>
      <c r="Q10" s="11">
        <f>_xll.SNL.Clients.Office.Excel.Functions.SPG(E10, "SP_PCT_SHARES_OWNED_ALL_INSTITUTIONS")</f>
        <v>5.56</v>
      </c>
      <c r="R10" s="11" t="str">
        <f>_xll.SNL.Clients.Office.Excel.Functions.SPG(E10, "PCT_OWNED_INSTN_BANKS/INVEST_BANKS")</f>
        <v>NA</v>
      </c>
      <c r="S10" s="11" t="str">
        <f>_xll.SNL.Clients.Office.Excel.Functions.SPG(E10, "PCT_OWNED_INSTN_CHARITABLE_FOUNDATIONS")</f>
        <v>NA</v>
      </c>
      <c r="T10" s="11" t="str">
        <f>_xll.SNL.Clients.Office.Excel.Functions.SPG(E10, "PCT_OWNED_INSTN_CORP_PENSION_SPONSORS")</f>
        <v>NA</v>
      </c>
      <c r="U10" s="11" t="str">
        <f>_xll.SNL.Clients.Office.Excel.Functions.SPG(E10, "PCT_OWNED_INSTN_EDUCATIONAL/CULTURAL_ENDOWMENTS")</f>
        <v>NA</v>
      </c>
      <c r="V10" s="11" t="str">
        <f>_xll.SNL.Clients.Office.Excel.Functions.SPG(E10, "PCT_OWNED_INSTN_FAMILY_OFFICES/TRUSTS")</f>
        <v>NA</v>
      </c>
      <c r="W10" s="11" t="str">
        <f>_xll.SNL.Clients.Office.Excel.Functions.SPG(E10, "PCT_OWNED_INSTN_GOVT_PENSION_SPONSORS")</f>
        <v>NA</v>
      </c>
      <c r="X10" s="11" t="str">
        <f>_xll.SNL.Clients.Office.Excel.Functions.SPG(E10, "PCT_OWNED_INSTN_INSURANCE_COMPANIES")</f>
        <v>NA</v>
      </c>
      <c r="Y10" s="11">
        <f>_xll.SNL.Clients.Office.Excel.Functions.SPG(E10, "PCT_OWNED_INSTN_INVEST_MGRS")</f>
        <v>5.56</v>
      </c>
      <c r="Z10" s="11" t="str">
        <f>_xll.SNL.Clients.Office.Excel.Functions.SPG(E10, "PCT_OWNED_INSTN_REIT")</f>
        <v>NA</v>
      </c>
      <c r="AA10" s="11" t="str">
        <f>_xll.SNL.Clients.Office.Excel.Functions.SPG(E10, "PCT_OWNED_INSTN_UNCLASSIFIED")</f>
        <v>NA</v>
      </c>
      <c r="AB10" s="11" t="str">
        <f>_xll.SNL.Clients.Office.Excel.Functions.SPG(E10, "PCT_OWNED_INSTN_UNION_PENSION_SPONSORS")</f>
        <v>NA</v>
      </c>
      <c r="AC10" s="11" t="str">
        <f>_xll.SNL.Clients.Office.Excel.Functions.SPG(E10, "PCT_OWNED_INSTN_HEDGE_FUND_MGRS_LESS5PCT_STAKE")</f>
        <v>NA</v>
      </c>
      <c r="AD10" s="11" t="str">
        <f>_xll.SNL.Clients.Office.Excel.Functions.SPG(E10, "PCT_OWNED_INSTN_SOVEREIGN_WEALTH_FUNDS_LESS5PCT_STAKE")</f>
        <v>NA</v>
      </c>
      <c r="AE10" s="11" t="str">
        <f>_xll.SNL.Clients.Office.Excel.Functions.SPG(E10, "PCT_OWNED_INSTN_VC/PE_FIRMS_LESS5PCT_STAKE")</f>
        <v>NA</v>
      </c>
      <c r="AF10" s="11">
        <f>_xll.SNL.Clients.Office.Excel.Functions.SPG(E10, "PCT_OWNED_INSIDERS")</f>
        <v>12.8</v>
      </c>
      <c r="AG10" s="11" t="str">
        <f>_xll.SNL.Clients.Office.Excel.Functions.SPG(E10, "PCT_OWNED_STRATEGIC_HEDGE_FUND_MGRS_MORE_EQUAL5PCT_STAKE")</f>
        <v>NA</v>
      </c>
      <c r="AH10" s="11" t="str">
        <f>_xll.SNL.Clients.Office.Excel.Functions.SPG(E10, "PCT_OWNED_STRATEGIC_VC/PE_FIRMS_MORE_EQUAL5PCT_STAKE")</f>
        <v>NA</v>
      </c>
      <c r="AI10" s="11" t="str">
        <f>_xll.SNL.Clients.Office.Excel.Functions.SPG(E10, "PCT_OWNED_STRATEGIC_SOVEREIGN_WEALTH_FUNDS_MORE_EQUAL5PCT_STAKE")</f>
        <v>NA</v>
      </c>
      <c r="AJ10" s="11" t="str">
        <f>_xll.SNL.Clients.Office.Excel.Functions.SPG(E10, "PCT_OWNED_STRATEGIC_COMPANY_CONTROLLED_FOUNDATIONS")</f>
        <v>NA</v>
      </c>
      <c r="AK10" s="11" t="str">
        <f>_xll.SNL.Clients.Office.Excel.Functions.SPG(E10, "PCT_OWNED_STRATEGIC_ESOP")</f>
        <v>NA</v>
      </c>
      <c r="AL10" s="11" t="str">
        <f>_xll.SNL.Clients.Office.Excel.Functions.SPG(E10, "PCT_OWNED_STRATEGIC_STATE_OWNER")</f>
        <v>NA</v>
      </c>
      <c r="AM10" s="11">
        <f>_xll.SNL.Clients.Office.Excel.Functions.SPG(E10, "PCT_OWNED_STRATEGIC_CORPORATIONS_PRIVATE")</f>
        <v>46.61</v>
      </c>
      <c r="AN10" s="11">
        <f>_xll.SNL.Clients.Office.Excel.Functions.SPG(E10, "PCT_OWNED_STRATEGIC_CORPORATIONS_PUBLIC")</f>
        <v>2.69</v>
      </c>
    </row>
    <row r="11" spans="1:40" hidden="1" x14ac:dyDescent="0.35">
      <c r="A11" s="5">
        <v>46022</v>
      </c>
      <c r="B11" s="4" t="s">
        <v>86</v>
      </c>
      <c r="C11" s="4" t="s">
        <v>87</v>
      </c>
      <c r="D11" s="4" t="s">
        <v>216</v>
      </c>
      <c r="E11" s="8">
        <v>4351671</v>
      </c>
      <c r="F11" s="7">
        <v>45.82</v>
      </c>
      <c r="G11" s="9" t="str">
        <f>_xll.SNL.Clients.Office.Excel.Functions.SPG(E11, "SP_COMPANY_TYPE")</f>
        <v>Private Company</v>
      </c>
      <c r="H11" s="10" t="str">
        <f>_xll.SNL.Clients.Office.Excel.Functions.SPG(E11, "SP_COUNTRY_NAME")</f>
        <v>South Korea</v>
      </c>
      <c r="J11" t="str">
        <f>_xll.SNL.Clients.Office.Excel.Functions.SPG(E11, "SP_PARENT_COUNTRY")</f>
        <v>South Korea</v>
      </c>
      <c r="K11" s="9" t="str">
        <f>_xll.SNL.Clients.Office.Excel.Functions.SPG(E11, "SP_PARENT_COMPANY_ID")</f>
        <v>4518579</v>
      </c>
      <c r="L11" t="str">
        <f>_xll.SNL.Clients.Office.Excel.Functions.SPG(K11, "SP_COMPANY_TYPE")</f>
        <v>Government Institution</v>
      </c>
      <c r="M11" s="9" t="str">
        <f>_xll.SNL.Clients.Office.Excel.Functions.SPG(E11, "SP_ULT_PARENT_COMPANY_NAME")</f>
        <v>South Korea</v>
      </c>
      <c r="N11" s="9" t="str">
        <f>_xll.SNL.Clients.Office.Excel.Functions.SPG(E11, "SP_ULT_PARENT_COUNTRY")</f>
        <v>South Korea</v>
      </c>
      <c r="O11" s="9">
        <f>_xll.SNL.Clients.Office.Excel.Functions.SPG(E11, "SP_ULT_PARENT_COMPANY_ID")</f>
        <v>4518579</v>
      </c>
      <c r="P11" t="str">
        <f>_xll.SNL.Clients.Office.Excel.Functions.SPG(O11, "SP_COMPANY_TYPE")</f>
        <v>Government Institution</v>
      </c>
      <c r="Q11" s="11" t="str">
        <f>_xll.SNL.Clients.Office.Excel.Functions.SPG(E11, "SP_PCT_SHARES_OWNED_ALL_INSTITUTIONS")</f>
        <v>NA</v>
      </c>
      <c r="R11" s="11" t="str">
        <f>_xll.SNL.Clients.Office.Excel.Functions.SPG(E11, "PCT_OWNED_INSTN_BANKS/INVEST_BANKS")</f>
        <v>NA</v>
      </c>
      <c r="S11" s="11" t="str">
        <f>_xll.SNL.Clients.Office.Excel.Functions.SPG(E11, "PCT_OWNED_INSTN_CHARITABLE_FOUNDATIONS")</f>
        <v>NA</v>
      </c>
      <c r="T11" s="11" t="str">
        <f>_xll.SNL.Clients.Office.Excel.Functions.SPG(E11, "PCT_OWNED_INSTN_CORP_PENSION_SPONSORS")</f>
        <v>NA</v>
      </c>
      <c r="U11" s="11" t="str">
        <f>_xll.SNL.Clients.Office.Excel.Functions.SPG(E11, "PCT_OWNED_INSTN_EDUCATIONAL/CULTURAL_ENDOWMENTS")</f>
        <v>NA</v>
      </c>
      <c r="V11" s="11" t="str">
        <f>_xll.SNL.Clients.Office.Excel.Functions.SPG(E11, "PCT_OWNED_INSTN_FAMILY_OFFICES/TRUSTS")</f>
        <v>NA</v>
      </c>
      <c r="W11" s="11" t="str">
        <f>_xll.SNL.Clients.Office.Excel.Functions.SPG(E11, "PCT_OWNED_INSTN_GOVT_PENSION_SPONSORS")</f>
        <v>NA</v>
      </c>
      <c r="X11" s="11" t="str">
        <f>_xll.SNL.Clients.Office.Excel.Functions.SPG(E11, "PCT_OWNED_INSTN_INSURANCE_COMPANIES")</f>
        <v>NA</v>
      </c>
      <c r="Y11" s="11" t="str">
        <f>_xll.SNL.Clients.Office.Excel.Functions.SPG(E11, "PCT_OWNED_INSTN_INVEST_MGRS")</f>
        <v>NA</v>
      </c>
      <c r="Z11" s="11" t="str">
        <f>_xll.SNL.Clients.Office.Excel.Functions.SPG(E11, "PCT_OWNED_INSTN_REIT")</f>
        <v>NA</v>
      </c>
      <c r="AA11" s="11" t="str">
        <f>_xll.SNL.Clients.Office.Excel.Functions.SPG(E11, "PCT_OWNED_INSTN_UNCLASSIFIED")</f>
        <v>NA</v>
      </c>
      <c r="AB11" s="11" t="str">
        <f>_xll.SNL.Clients.Office.Excel.Functions.SPG(E11, "PCT_OWNED_INSTN_UNION_PENSION_SPONSORS")</f>
        <v>NA</v>
      </c>
      <c r="AC11" s="11" t="str">
        <f>_xll.SNL.Clients.Office.Excel.Functions.SPG(E11, "PCT_OWNED_INSTN_HEDGE_FUND_MGRS_LESS5PCT_STAKE")</f>
        <v>NA</v>
      </c>
      <c r="AD11" s="11" t="str">
        <f>_xll.SNL.Clients.Office.Excel.Functions.SPG(E11, "PCT_OWNED_INSTN_SOVEREIGN_WEALTH_FUNDS_LESS5PCT_STAKE")</f>
        <v>NA</v>
      </c>
      <c r="AE11" s="11" t="str">
        <f>_xll.SNL.Clients.Office.Excel.Functions.SPG(E11, "PCT_OWNED_INSTN_VC/PE_FIRMS_LESS5PCT_STAKE")</f>
        <v>NA</v>
      </c>
      <c r="AF11" s="11" t="str">
        <f>_xll.SNL.Clients.Office.Excel.Functions.SPG(E11, "PCT_OWNED_INSIDERS")</f>
        <v>NA</v>
      </c>
      <c r="AG11" s="11" t="str">
        <f>_xll.SNL.Clients.Office.Excel.Functions.SPG(E11, "PCT_OWNED_STRATEGIC_HEDGE_FUND_MGRS_MORE_EQUAL5PCT_STAKE")</f>
        <v>NA</v>
      </c>
      <c r="AH11" s="11" t="str">
        <f>_xll.SNL.Clients.Office.Excel.Functions.SPG(E11, "PCT_OWNED_STRATEGIC_VC/PE_FIRMS_MORE_EQUAL5PCT_STAKE")</f>
        <v>NA</v>
      </c>
      <c r="AI11" s="11" t="str">
        <f>_xll.SNL.Clients.Office.Excel.Functions.SPG(E11, "PCT_OWNED_STRATEGIC_SOVEREIGN_WEALTH_FUNDS_MORE_EQUAL5PCT_STAKE")</f>
        <v>NA</v>
      </c>
      <c r="AJ11" s="11" t="str">
        <f>_xll.SNL.Clients.Office.Excel.Functions.SPG(E11, "PCT_OWNED_STRATEGIC_COMPANY_CONTROLLED_FOUNDATIONS")</f>
        <v>NA</v>
      </c>
      <c r="AK11" s="11" t="str">
        <f>_xll.SNL.Clients.Office.Excel.Functions.SPG(E11, "PCT_OWNED_STRATEGIC_ESOP")</f>
        <v>NA</v>
      </c>
      <c r="AL11" s="11" t="str">
        <f>_xll.SNL.Clients.Office.Excel.Functions.SPG(E11, "PCT_OWNED_STRATEGIC_STATE_OWNER")</f>
        <v>NA</v>
      </c>
      <c r="AM11" s="11" t="str">
        <f>_xll.SNL.Clients.Office.Excel.Functions.SPG(E11, "PCT_OWNED_STRATEGIC_CORPORATIONS_PRIVATE")</f>
        <v>NA</v>
      </c>
      <c r="AN11" s="11" t="str">
        <f>_xll.SNL.Clients.Office.Excel.Functions.SPG(E11, "PCT_OWNED_STRATEGIC_CORPORATIONS_PUBLIC")</f>
        <v>NA</v>
      </c>
    </row>
    <row r="12" spans="1:40" x14ac:dyDescent="0.35">
      <c r="A12" s="5">
        <v>46022</v>
      </c>
      <c r="B12" s="4" t="s">
        <v>86</v>
      </c>
      <c r="C12" s="4" t="s">
        <v>87</v>
      </c>
      <c r="D12" s="4" t="s">
        <v>217</v>
      </c>
      <c r="E12" s="8">
        <v>4047416</v>
      </c>
      <c r="F12" s="7">
        <v>54.17</v>
      </c>
      <c r="G12" s="9" t="str">
        <f>_xll.SNL.Clients.Office.Excel.Functions.SPG(E12, "SP_COMPANY_TYPE")</f>
        <v>Public Company</v>
      </c>
      <c r="H12" s="10" t="str">
        <f>_xll.SNL.Clients.Office.Excel.Functions.SPG(E12, "SP_COUNTRY_NAME")</f>
        <v>Japan</v>
      </c>
      <c r="J12" t="str">
        <f>_xll.SNL.Clients.Office.Excel.Functions.SPG(E12, "SP_PARENT_COUNTRY")</f>
        <v/>
      </c>
      <c r="K12" s="9" t="str">
        <f>_xll.SNL.Clients.Office.Excel.Functions.SPG(E12, "SP_PARENT_COMPANY_ID")</f>
        <v/>
      </c>
      <c r="L12" t="str">
        <f>_xll.SNL.Clients.Office.Excel.Functions.SPG(K12, "SP_COMPANY_TYPE")</f>
        <v>#INVALID COMPANY ID</v>
      </c>
      <c r="M12" s="9" t="str">
        <f>_xll.SNL.Clients.Office.Excel.Functions.SPG(E12, "SP_ULT_PARENT_COMPANY_NAME")</f>
        <v/>
      </c>
      <c r="N12" s="9" t="str">
        <f>_xll.SNL.Clients.Office.Excel.Functions.SPG(E12, "SP_ULT_PARENT_COUNTRY")</f>
        <v/>
      </c>
      <c r="O12" s="9" t="str">
        <f>_xll.SNL.Clients.Office.Excel.Functions.SPG(E12, "SP_ULT_PARENT_COMPANY_ID")</f>
        <v>NA</v>
      </c>
      <c r="P12" t="str">
        <f>_xll.SNL.Clients.Office.Excel.Functions.SPG(O12, "SP_COMPANY_TYPE")</f>
        <v>Public Company</v>
      </c>
      <c r="Q12" s="11">
        <f>_xll.SNL.Clients.Office.Excel.Functions.SPG(E12, "SP_PCT_SHARES_OWNED_ALL_INSTITUTIONS")</f>
        <v>50.86</v>
      </c>
      <c r="R12" s="11">
        <f>_xll.SNL.Clients.Office.Excel.Functions.SPG(E12, "PCT_OWNED_INSTN_BANKS/INVEST_BANKS")</f>
        <v>0.57999999999999996</v>
      </c>
      <c r="S12" s="11" t="str">
        <f>_xll.SNL.Clients.Office.Excel.Functions.SPG(E12, "PCT_OWNED_INSTN_CHARITABLE_FOUNDATIONS")</f>
        <v>NA</v>
      </c>
      <c r="T12" s="11" t="str">
        <f>_xll.SNL.Clients.Office.Excel.Functions.SPG(E12, "PCT_OWNED_INSTN_CORP_PENSION_SPONSORS")</f>
        <v>NA</v>
      </c>
      <c r="U12" s="11" t="str">
        <f>_xll.SNL.Clients.Office.Excel.Functions.SPG(E12, "PCT_OWNED_INSTN_EDUCATIONAL/CULTURAL_ENDOWMENTS")</f>
        <v>NA</v>
      </c>
      <c r="V12" s="11">
        <f>_xll.SNL.Clients.Office.Excel.Functions.SPG(E12, "PCT_OWNED_INSTN_FAMILY_OFFICES/TRUSTS")</f>
        <v>0</v>
      </c>
      <c r="W12" s="11">
        <f>_xll.SNL.Clients.Office.Excel.Functions.SPG(E12, "PCT_OWNED_INSTN_GOVT_PENSION_SPONSORS")</f>
        <v>0.35</v>
      </c>
      <c r="X12" s="11">
        <f>_xll.SNL.Clients.Office.Excel.Functions.SPG(E12, "PCT_OWNED_INSTN_INSURANCE_COMPANIES")</f>
        <v>14.22</v>
      </c>
      <c r="Y12" s="11">
        <f>_xll.SNL.Clients.Office.Excel.Functions.SPG(E12, "PCT_OWNED_INSTN_INVEST_MGRS")</f>
        <v>31.94</v>
      </c>
      <c r="Z12" s="11" t="str">
        <f>_xll.SNL.Clients.Office.Excel.Functions.SPG(E12, "PCT_OWNED_INSTN_REIT")</f>
        <v>NA</v>
      </c>
      <c r="AA12" s="11">
        <f>_xll.SNL.Clients.Office.Excel.Functions.SPG(E12, "PCT_OWNED_INSTN_UNCLASSIFIED")</f>
        <v>2.15</v>
      </c>
      <c r="AB12" s="11" t="str">
        <f>_xll.SNL.Clients.Office.Excel.Functions.SPG(E12, "PCT_OWNED_INSTN_UNION_PENSION_SPONSORS")</f>
        <v>NA</v>
      </c>
      <c r="AC12" s="11">
        <f>_xll.SNL.Clients.Office.Excel.Functions.SPG(E12, "PCT_OWNED_INSTN_HEDGE_FUND_MGRS_LESS5PCT_STAKE")</f>
        <v>0.26</v>
      </c>
      <c r="AD12" s="11">
        <f>_xll.SNL.Clients.Office.Excel.Functions.SPG(E12, "PCT_OWNED_INSTN_SOVEREIGN_WEALTH_FUNDS_LESS5PCT_STAKE")</f>
        <v>1.33</v>
      </c>
      <c r="AE12" s="11">
        <f>_xll.SNL.Clients.Office.Excel.Functions.SPG(E12, "PCT_OWNED_INSTN_VC/PE_FIRMS_LESS5PCT_STAKE")</f>
        <v>0.02</v>
      </c>
      <c r="AF12" s="11">
        <f>_xll.SNL.Clients.Office.Excel.Functions.SPG(E12, "PCT_OWNED_INSIDERS")</f>
        <v>0.05</v>
      </c>
      <c r="AG12" s="11" t="str">
        <f>_xll.SNL.Clients.Office.Excel.Functions.SPG(E12, "PCT_OWNED_STRATEGIC_HEDGE_FUND_MGRS_MORE_EQUAL5PCT_STAKE")</f>
        <v>NA</v>
      </c>
      <c r="AH12" s="11" t="str">
        <f>_xll.SNL.Clients.Office.Excel.Functions.SPG(E12, "PCT_OWNED_STRATEGIC_VC/PE_FIRMS_MORE_EQUAL5PCT_STAKE")</f>
        <v>NA</v>
      </c>
      <c r="AI12" s="11" t="str">
        <f>_xll.SNL.Clients.Office.Excel.Functions.SPG(E12, "PCT_OWNED_STRATEGIC_SOVEREIGN_WEALTH_FUNDS_MORE_EQUAL5PCT_STAKE")</f>
        <v>NA</v>
      </c>
      <c r="AJ12" s="11" t="str">
        <f>_xll.SNL.Clients.Office.Excel.Functions.SPG(E12, "PCT_OWNED_STRATEGIC_COMPANY_CONTROLLED_FOUNDATIONS")</f>
        <v>NA</v>
      </c>
      <c r="AK12" s="11" t="str">
        <f>_xll.SNL.Clients.Office.Excel.Functions.SPG(E12, "PCT_OWNED_STRATEGIC_ESOP")</f>
        <v>NA</v>
      </c>
      <c r="AL12" s="11" t="str">
        <f>_xll.SNL.Clients.Office.Excel.Functions.SPG(E12, "PCT_OWNED_STRATEGIC_STATE_OWNER")</f>
        <v>NA</v>
      </c>
      <c r="AM12" s="11" t="str">
        <f>_xll.SNL.Clients.Office.Excel.Functions.SPG(E12, "PCT_OWNED_STRATEGIC_CORPORATIONS_PRIVATE")</f>
        <v>NA</v>
      </c>
      <c r="AN12" s="11" t="str">
        <f>_xll.SNL.Clients.Office.Excel.Functions.SPG(E12, "PCT_OWNED_STRATEGIC_CORPORATIONS_PUBLIC")</f>
        <v>NA</v>
      </c>
    </row>
    <row r="13" spans="1:40" x14ac:dyDescent="0.35">
      <c r="A13" s="5">
        <v>46022</v>
      </c>
      <c r="B13" s="4" t="s">
        <v>89</v>
      </c>
      <c r="C13" s="4" t="s">
        <v>90</v>
      </c>
      <c r="D13" s="4" t="s">
        <v>218</v>
      </c>
      <c r="E13" s="8">
        <v>4349160</v>
      </c>
      <c r="F13" s="7">
        <v>85</v>
      </c>
      <c r="G13" s="9" t="str">
        <f>_xll.SNL.Clients.Office.Excel.Functions.SPG(E13, "SP_COMPANY_TYPE")</f>
        <v>Public Company</v>
      </c>
      <c r="H13" s="10" t="str">
        <f>_xll.SNL.Clients.Office.Excel.Functions.SPG(E13, "SP_COUNTRY_NAME")</f>
        <v>China</v>
      </c>
      <c r="J13" t="str">
        <f>_xll.SNL.Clients.Office.Excel.Functions.SPG(E13, "SP_PARENT_COUNTRY")</f>
        <v>BVI</v>
      </c>
      <c r="K13" s="9" t="str">
        <f>_xll.SNL.Clients.Office.Excel.Functions.SPG(E13, "SP_PARENT_COMPANY_ID")</f>
        <v>4416391</v>
      </c>
      <c r="L13" t="str">
        <f>_xll.SNL.Clients.Office.Excel.Functions.SPG(K13, "SP_COMPANY_TYPE")</f>
        <v>Private Company</v>
      </c>
      <c r="M13" s="9" t="str">
        <f>_xll.SNL.Clients.Office.Excel.Functions.SPG(E13, "SP_ULT_PARENT_COMPANY_NAME")</f>
        <v>State-owned Assets Supervision and Administration Commission of the State Counci</v>
      </c>
      <c r="N13" s="9" t="str">
        <f>_xll.SNL.Clients.Office.Excel.Functions.SPG(E13, "SP_ULT_PARENT_COUNTRY")</f>
        <v>China</v>
      </c>
      <c r="O13" s="9">
        <f>_xll.SNL.Clients.Office.Excel.Functions.SPG(E13, "SP_ULT_PARENT_COMPANY_ID")</f>
        <v>4649432</v>
      </c>
      <c r="P13" t="str">
        <f>_xll.SNL.Clients.Office.Excel.Functions.SPG(O13, "SP_COMPANY_TYPE")</f>
        <v>Government Institution</v>
      </c>
      <c r="Q13" s="11">
        <f>_xll.SNL.Clients.Office.Excel.Functions.SPG(E13, "SP_PCT_SHARES_OWNED_ALL_INSTITUTIONS")</f>
        <v>9.74</v>
      </c>
      <c r="R13" s="11">
        <f>_xll.SNL.Clients.Office.Excel.Functions.SPG(E13, "PCT_OWNED_INSTN_BANKS/INVEST_BANKS")</f>
        <v>0.06</v>
      </c>
      <c r="S13" s="11" t="str">
        <f>_xll.SNL.Clients.Office.Excel.Functions.SPG(E13, "PCT_OWNED_INSTN_CHARITABLE_FOUNDATIONS")</f>
        <v>NA</v>
      </c>
      <c r="T13" s="11" t="str">
        <f>_xll.SNL.Clients.Office.Excel.Functions.SPG(E13, "PCT_OWNED_INSTN_CORP_PENSION_SPONSORS")</f>
        <v>NA</v>
      </c>
      <c r="U13" s="11" t="str">
        <f>_xll.SNL.Clients.Office.Excel.Functions.SPG(E13, "PCT_OWNED_INSTN_EDUCATIONAL/CULTURAL_ENDOWMENTS")</f>
        <v>NA</v>
      </c>
      <c r="V13" s="11" t="str">
        <f>_xll.SNL.Clients.Office.Excel.Functions.SPG(E13, "PCT_OWNED_INSTN_FAMILY_OFFICES/TRUSTS")</f>
        <v>NA</v>
      </c>
      <c r="W13" s="11" t="str">
        <f>_xll.SNL.Clients.Office.Excel.Functions.SPG(E13, "PCT_OWNED_INSTN_GOVT_PENSION_SPONSORS")</f>
        <v>NA</v>
      </c>
      <c r="X13" s="11" t="str">
        <f>_xll.SNL.Clients.Office.Excel.Functions.SPG(E13, "PCT_OWNED_INSTN_INSURANCE_COMPANIES")</f>
        <v>NA</v>
      </c>
      <c r="Y13" s="11">
        <f>_xll.SNL.Clients.Office.Excel.Functions.SPG(E13, "PCT_OWNED_INSTN_INVEST_MGRS")</f>
        <v>9.69</v>
      </c>
      <c r="Z13" s="11" t="str">
        <f>_xll.SNL.Clients.Office.Excel.Functions.SPG(E13, "PCT_OWNED_INSTN_REIT")</f>
        <v>NA</v>
      </c>
      <c r="AA13" s="11" t="str">
        <f>_xll.SNL.Clients.Office.Excel.Functions.SPG(E13, "PCT_OWNED_INSTN_UNCLASSIFIED")</f>
        <v>NA</v>
      </c>
      <c r="AB13" s="11" t="str">
        <f>_xll.SNL.Clients.Office.Excel.Functions.SPG(E13, "PCT_OWNED_INSTN_UNION_PENSION_SPONSORS")</f>
        <v>NA</v>
      </c>
      <c r="AC13" s="11" t="str">
        <f>_xll.SNL.Clients.Office.Excel.Functions.SPG(E13, "PCT_OWNED_INSTN_HEDGE_FUND_MGRS_LESS5PCT_STAKE")</f>
        <v>NA</v>
      </c>
      <c r="AD13" s="11" t="str">
        <f>_xll.SNL.Clients.Office.Excel.Functions.SPG(E13, "PCT_OWNED_INSTN_SOVEREIGN_WEALTH_FUNDS_LESS5PCT_STAKE")</f>
        <v>NA</v>
      </c>
      <c r="AE13" s="11" t="str">
        <f>_xll.SNL.Clients.Office.Excel.Functions.SPG(E13, "PCT_OWNED_INSTN_VC/PE_FIRMS_LESS5PCT_STAKE")</f>
        <v>NA</v>
      </c>
      <c r="AF13" s="11" t="str">
        <f>_xll.SNL.Clients.Office.Excel.Functions.SPG(E13, "PCT_OWNED_INSIDERS")</f>
        <v>NA</v>
      </c>
      <c r="AG13" s="11" t="str">
        <f>_xll.SNL.Clients.Office.Excel.Functions.SPG(E13, "PCT_OWNED_STRATEGIC_HEDGE_FUND_MGRS_MORE_EQUAL5PCT_STAKE")</f>
        <v>NA</v>
      </c>
      <c r="AH13" s="11" t="str">
        <f>_xll.SNL.Clients.Office.Excel.Functions.SPG(E13, "PCT_OWNED_STRATEGIC_VC/PE_FIRMS_MORE_EQUAL5PCT_STAKE")</f>
        <v>NA</v>
      </c>
      <c r="AI13" s="11" t="str">
        <f>_xll.SNL.Clients.Office.Excel.Functions.SPG(E13, "PCT_OWNED_STRATEGIC_SOVEREIGN_WEALTH_FUNDS_MORE_EQUAL5PCT_STAKE")</f>
        <v>NA</v>
      </c>
      <c r="AJ13" s="11" t="str">
        <f>_xll.SNL.Clients.Office.Excel.Functions.SPG(E13, "PCT_OWNED_STRATEGIC_COMPANY_CONTROLLED_FOUNDATIONS")</f>
        <v>NA</v>
      </c>
      <c r="AK13" s="11" t="str">
        <f>_xll.SNL.Clients.Office.Excel.Functions.SPG(E13, "PCT_OWNED_STRATEGIC_ESOP")</f>
        <v>NA</v>
      </c>
      <c r="AL13" s="11" t="str">
        <f>_xll.SNL.Clients.Office.Excel.Functions.SPG(E13, "PCT_OWNED_STRATEGIC_STATE_OWNER")</f>
        <v>NA</v>
      </c>
      <c r="AM13" s="11">
        <f>_xll.SNL.Clients.Office.Excel.Functions.SPG(E13, "PCT_OWNED_STRATEGIC_CORPORATIONS_PRIVATE")</f>
        <v>66.63</v>
      </c>
      <c r="AN13" s="11" t="str">
        <f>_xll.SNL.Clients.Office.Excel.Functions.SPG(E13, "PCT_OWNED_STRATEGIC_CORPORATIONS_PUBLIC")</f>
        <v>NA</v>
      </c>
    </row>
    <row r="14" spans="1:40" x14ac:dyDescent="0.35">
      <c r="A14" s="5">
        <v>46022</v>
      </c>
      <c r="B14" s="4" t="s">
        <v>89</v>
      </c>
      <c r="C14" s="4" t="s">
        <v>90</v>
      </c>
      <c r="D14" s="4" t="s">
        <v>219</v>
      </c>
      <c r="E14" s="8">
        <v>4355602</v>
      </c>
      <c r="F14" s="7">
        <v>15</v>
      </c>
      <c r="G14" s="9" t="str">
        <f>_xll.SNL.Clients.Office.Excel.Functions.SPG(E14, "SP_COMPANY_TYPE")</f>
        <v>Public Company</v>
      </c>
      <c r="H14" s="10" t="str">
        <f>_xll.SNL.Clients.Office.Excel.Functions.SPG(E14, "SP_COUNTRY_NAME")</f>
        <v>Zambia</v>
      </c>
      <c r="J14" t="str">
        <f>_xll.SNL.Clients.Office.Excel.Functions.SPG(E14, "SP_PARENT_COUNTRY")</f>
        <v>Zambia</v>
      </c>
      <c r="K14" s="9" t="str">
        <f>_xll.SNL.Clients.Office.Excel.Functions.SPG(E14, "SP_PARENT_COMPANY_ID")</f>
        <v>4466550</v>
      </c>
      <c r="L14" t="str">
        <f>_xll.SNL.Clients.Office.Excel.Functions.SPG(K14, "SP_COMPANY_TYPE")</f>
        <v>Government Institution</v>
      </c>
      <c r="M14" s="9" t="str">
        <f>_xll.SNL.Clients.Office.Excel.Functions.SPG(E14, "SP_ULT_PARENT_COMPANY_NAME")</f>
        <v>Industrial Development Corporation (Zambia) Limited</v>
      </c>
      <c r="N14" s="9" t="str">
        <f>_xll.SNL.Clients.Office.Excel.Functions.SPG(E14, "SP_ULT_PARENT_COUNTRY")</f>
        <v>Zambia</v>
      </c>
      <c r="O14" s="9">
        <f>_xll.SNL.Clients.Office.Excel.Functions.SPG(E14, "SP_ULT_PARENT_COMPANY_ID")</f>
        <v>4466550</v>
      </c>
      <c r="P14" t="str">
        <f>_xll.SNL.Clients.Office.Excel.Functions.SPG(O14, "SP_COMPANY_TYPE")</f>
        <v>Government Institution</v>
      </c>
      <c r="Q14" s="11">
        <f>_xll.SNL.Clients.Office.Excel.Functions.SPG(E14, "SP_PCT_SHARES_OWNED_ALL_INSTITUTIONS")</f>
        <v>5.96</v>
      </c>
      <c r="R14" s="11" t="str">
        <f>_xll.SNL.Clients.Office.Excel.Functions.SPG(E14, "PCT_OWNED_INSTN_BANKS/INVEST_BANKS")</f>
        <v>NA</v>
      </c>
      <c r="S14" s="11" t="str">
        <f>_xll.SNL.Clients.Office.Excel.Functions.SPG(E14, "PCT_OWNED_INSTN_CHARITABLE_FOUNDATIONS")</f>
        <v>NA</v>
      </c>
      <c r="T14" s="11" t="str">
        <f>_xll.SNL.Clients.Office.Excel.Functions.SPG(E14, "PCT_OWNED_INSTN_CORP_PENSION_SPONSORS")</f>
        <v>NA</v>
      </c>
      <c r="U14" s="11" t="str">
        <f>_xll.SNL.Clients.Office.Excel.Functions.SPG(E14, "PCT_OWNED_INSTN_EDUCATIONAL/CULTURAL_ENDOWMENTS")</f>
        <v>NA</v>
      </c>
      <c r="V14" s="11" t="str">
        <f>_xll.SNL.Clients.Office.Excel.Functions.SPG(E14, "PCT_OWNED_INSTN_FAMILY_OFFICES/TRUSTS")</f>
        <v>NA</v>
      </c>
      <c r="W14" s="11">
        <f>_xll.SNL.Clients.Office.Excel.Functions.SPG(E14, "PCT_OWNED_INSTN_GOVT_PENSION_SPONSORS")</f>
        <v>5.96</v>
      </c>
      <c r="X14" s="11" t="str">
        <f>_xll.SNL.Clients.Office.Excel.Functions.SPG(E14, "PCT_OWNED_INSTN_INSURANCE_COMPANIES")</f>
        <v>NA</v>
      </c>
      <c r="Y14" s="11" t="str">
        <f>_xll.SNL.Clients.Office.Excel.Functions.SPG(E14, "PCT_OWNED_INSTN_INVEST_MGRS")</f>
        <v>NA</v>
      </c>
      <c r="Z14" s="11" t="str">
        <f>_xll.SNL.Clients.Office.Excel.Functions.SPG(E14, "PCT_OWNED_INSTN_REIT")</f>
        <v>NA</v>
      </c>
      <c r="AA14" s="11" t="str">
        <f>_xll.SNL.Clients.Office.Excel.Functions.SPG(E14, "PCT_OWNED_INSTN_UNCLASSIFIED")</f>
        <v>NA</v>
      </c>
      <c r="AB14" s="11" t="str">
        <f>_xll.SNL.Clients.Office.Excel.Functions.SPG(E14, "PCT_OWNED_INSTN_UNION_PENSION_SPONSORS")</f>
        <v>NA</v>
      </c>
      <c r="AC14" s="11" t="str">
        <f>_xll.SNL.Clients.Office.Excel.Functions.SPG(E14, "PCT_OWNED_INSTN_HEDGE_FUND_MGRS_LESS5PCT_STAKE")</f>
        <v>NA</v>
      </c>
      <c r="AD14" s="11" t="str">
        <f>_xll.SNL.Clients.Office.Excel.Functions.SPG(E14, "PCT_OWNED_INSTN_SOVEREIGN_WEALTH_FUNDS_LESS5PCT_STAKE")</f>
        <v>NA</v>
      </c>
      <c r="AE14" s="11" t="str">
        <f>_xll.SNL.Clients.Office.Excel.Functions.SPG(E14, "PCT_OWNED_INSTN_VC/PE_FIRMS_LESS5PCT_STAKE")</f>
        <v>NA</v>
      </c>
      <c r="AF14" s="11" t="str">
        <f>_xll.SNL.Clients.Office.Excel.Functions.SPG(E14, "PCT_OWNED_INSIDERS")</f>
        <v>NA</v>
      </c>
      <c r="AG14" s="11" t="str">
        <f>_xll.SNL.Clients.Office.Excel.Functions.SPG(E14, "PCT_OWNED_STRATEGIC_HEDGE_FUND_MGRS_MORE_EQUAL5PCT_STAKE")</f>
        <v>NA</v>
      </c>
      <c r="AH14" s="11" t="str">
        <f>_xll.SNL.Clients.Office.Excel.Functions.SPG(E14, "PCT_OWNED_STRATEGIC_VC/PE_FIRMS_MORE_EQUAL5PCT_STAKE")</f>
        <v>NA</v>
      </c>
      <c r="AI14" s="11" t="str">
        <f>_xll.SNL.Clients.Office.Excel.Functions.SPG(E14, "PCT_OWNED_STRATEGIC_SOVEREIGN_WEALTH_FUNDS_MORE_EQUAL5PCT_STAKE")</f>
        <v>NA</v>
      </c>
      <c r="AJ14" s="11" t="str">
        <f>_xll.SNL.Clients.Office.Excel.Functions.SPG(E14, "PCT_OWNED_STRATEGIC_COMPANY_CONTROLLED_FOUNDATIONS")</f>
        <v>NA</v>
      </c>
      <c r="AK14" s="11" t="str">
        <f>_xll.SNL.Clients.Office.Excel.Functions.SPG(E14, "PCT_OWNED_STRATEGIC_ESOP")</f>
        <v>NA</v>
      </c>
      <c r="AL14" s="11">
        <f>_xll.SNL.Clients.Office.Excel.Functions.SPG(E14, "PCT_OWNED_STRATEGIC_STATE_OWNER")</f>
        <v>30.81</v>
      </c>
      <c r="AM14" s="11" t="str">
        <f>_xll.SNL.Clients.Office.Excel.Functions.SPG(E14, "PCT_OWNED_STRATEGIC_CORPORATIONS_PRIVATE")</f>
        <v>NA</v>
      </c>
      <c r="AN14" s="11" t="str">
        <f>_xll.SNL.Clients.Office.Excel.Functions.SPG(E14, "PCT_OWNED_STRATEGIC_CORPORATIONS_PUBLIC")</f>
        <v>NA</v>
      </c>
    </row>
    <row r="15" spans="1:40" x14ac:dyDescent="0.35">
      <c r="A15" s="5">
        <v>46022</v>
      </c>
      <c r="B15" s="4" t="s">
        <v>91</v>
      </c>
      <c r="C15" s="4" t="s">
        <v>92</v>
      </c>
      <c r="D15" s="4" t="s">
        <v>220</v>
      </c>
      <c r="E15" s="8">
        <v>4355642</v>
      </c>
      <c r="F15" s="7">
        <v>100</v>
      </c>
      <c r="G15" s="9" t="str">
        <f>_xll.SNL.Clients.Office.Excel.Functions.SPG(E15, "SP_COMPANY_TYPE")</f>
        <v>Public Company</v>
      </c>
      <c r="H15" s="10" t="str">
        <f>_xll.SNL.Clients.Office.Excel.Functions.SPG(E15, "SP_COUNTRY_NAME")</f>
        <v>China</v>
      </c>
      <c r="J15" t="str">
        <f>_xll.SNL.Clients.Office.Excel.Functions.SPG(E15, "SP_PARENT_COUNTRY")</f>
        <v/>
      </c>
      <c r="K15" s="9" t="str">
        <f>_xll.SNL.Clients.Office.Excel.Functions.SPG(E15, "SP_PARENT_COMPANY_ID")</f>
        <v/>
      </c>
      <c r="L15" t="str">
        <f>_xll.SNL.Clients.Office.Excel.Functions.SPG(K15, "SP_COMPANY_TYPE")</f>
        <v>#INVALID COMPANY ID</v>
      </c>
      <c r="M15" s="9" t="str">
        <f>_xll.SNL.Clients.Office.Excel.Functions.SPG(E15, "SP_ULT_PARENT_COMPANY_NAME")</f>
        <v/>
      </c>
      <c r="N15" s="9" t="str">
        <f>_xll.SNL.Clients.Office.Excel.Functions.SPG(E15, "SP_ULT_PARENT_COUNTRY")</f>
        <v/>
      </c>
      <c r="O15" s="9" t="str">
        <f>_xll.SNL.Clients.Office.Excel.Functions.SPG(E15, "SP_ULT_PARENT_COMPANY_ID")</f>
        <v>NA</v>
      </c>
      <c r="P15" t="str">
        <f>_xll.SNL.Clients.Office.Excel.Functions.SPG(O15, "SP_COMPANY_TYPE")</f>
        <v>Public Company</v>
      </c>
      <c r="Q15" s="11">
        <f>_xll.SNL.Clients.Office.Excel.Functions.SPG(E15, "SP_PCT_SHARES_OWNED_ALL_INSTITUTIONS")</f>
        <v>31.92</v>
      </c>
      <c r="R15" s="11">
        <f>_xll.SNL.Clients.Office.Excel.Functions.SPG(E15, "PCT_OWNED_INSTN_BANKS/INVEST_BANKS")</f>
        <v>2.34</v>
      </c>
      <c r="S15" s="11" t="str">
        <f>_xll.SNL.Clients.Office.Excel.Functions.SPG(E15, "PCT_OWNED_INSTN_CHARITABLE_FOUNDATIONS")</f>
        <v>NA</v>
      </c>
      <c r="T15" s="11" t="str">
        <f>_xll.SNL.Clients.Office.Excel.Functions.SPG(E15, "PCT_OWNED_INSTN_CORP_PENSION_SPONSORS")</f>
        <v>NA</v>
      </c>
      <c r="U15" s="11" t="str">
        <f>_xll.SNL.Clients.Office.Excel.Functions.SPG(E15, "PCT_OWNED_INSTN_EDUCATIONAL/CULTURAL_ENDOWMENTS")</f>
        <v>NA</v>
      </c>
      <c r="V15" s="11" t="str">
        <f>_xll.SNL.Clients.Office.Excel.Functions.SPG(E15, "PCT_OWNED_INSTN_FAMILY_OFFICES/TRUSTS")</f>
        <v>NA</v>
      </c>
      <c r="W15" s="11">
        <f>_xll.SNL.Clients.Office.Excel.Functions.SPG(E15, "PCT_OWNED_INSTN_GOVT_PENSION_SPONSORS")</f>
        <v>0.02</v>
      </c>
      <c r="X15" s="11" t="str">
        <f>_xll.SNL.Clients.Office.Excel.Functions.SPG(E15, "PCT_OWNED_INSTN_INSURANCE_COMPANIES")</f>
        <v>NA</v>
      </c>
      <c r="Y15" s="11">
        <f>_xll.SNL.Clients.Office.Excel.Functions.SPG(E15, "PCT_OWNED_INSTN_INVEST_MGRS")</f>
        <v>27.82</v>
      </c>
      <c r="Z15" s="11" t="str">
        <f>_xll.SNL.Clients.Office.Excel.Functions.SPG(E15, "PCT_OWNED_INSTN_REIT")</f>
        <v>NA</v>
      </c>
      <c r="AA15" s="11">
        <f>_xll.SNL.Clients.Office.Excel.Functions.SPG(E15, "PCT_OWNED_INSTN_UNCLASSIFIED")</f>
        <v>0.02</v>
      </c>
      <c r="AB15" s="11" t="str">
        <f>_xll.SNL.Clients.Office.Excel.Functions.SPG(E15, "PCT_OWNED_INSTN_UNION_PENSION_SPONSORS")</f>
        <v>NA</v>
      </c>
      <c r="AC15" s="11">
        <f>_xll.SNL.Clients.Office.Excel.Functions.SPG(E15, "PCT_OWNED_INSTN_HEDGE_FUND_MGRS_LESS5PCT_STAKE")</f>
        <v>0.06</v>
      </c>
      <c r="AD15" s="11">
        <f>_xll.SNL.Clients.Office.Excel.Functions.SPG(E15, "PCT_OWNED_INSTN_SOVEREIGN_WEALTH_FUNDS_LESS5PCT_STAKE")</f>
        <v>1.62</v>
      </c>
      <c r="AE15" s="11">
        <f>_xll.SNL.Clients.Office.Excel.Functions.SPG(E15, "PCT_OWNED_INSTN_VC/PE_FIRMS_LESS5PCT_STAKE")</f>
        <v>0.04</v>
      </c>
      <c r="AF15" s="11">
        <f>_xll.SNL.Clients.Office.Excel.Functions.SPG(E15, "PCT_OWNED_INSIDERS")</f>
        <v>0.09</v>
      </c>
      <c r="AG15" s="11" t="str">
        <f>_xll.SNL.Clients.Office.Excel.Functions.SPG(E15, "PCT_OWNED_STRATEGIC_HEDGE_FUND_MGRS_MORE_EQUAL5PCT_STAKE")</f>
        <v>NA</v>
      </c>
      <c r="AH15" s="11" t="str">
        <f>_xll.SNL.Clients.Office.Excel.Functions.SPG(E15, "PCT_OWNED_STRATEGIC_VC/PE_FIRMS_MORE_EQUAL5PCT_STAKE")</f>
        <v>NA</v>
      </c>
      <c r="AI15" s="11" t="str">
        <f>_xll.SNL.Clients.Office.Excel.Functions.SPG(E15, "PCT_OWNED_STRATEGIC_SOVEREIGN_WEALTH_FUNDS_MORE_EQUAL5PCT_STAKE")</f>
        <v>NA</v>
      </c>
      <c r="AJ15" s="11" t="str">
        <f>_xll.SNL.Clients.Office.Excel.Functions.SPG(E15, "PCT_OWNED_STRATEGIC_COMPANY_CONTROLLED_FOUNDATIONS")</f>
        <v>NA</v>
      </c>
      <c r="AK15" s="11">
        <f>_xll.SNL.Clients.Office.Excel.Functions.SPG(E15, "PCT_OWNED_STRATEGIC_ESOP")</f>
        <v>0.16</v>
      </c>
      <c r="AL15" s="11" t="str">
        <f>_xll.SNL.Clients.Office.Excel.Functions.SPG(E15, "PCT_OWNED_STRATEGIC_STATE_OWNER")</f>
        <v>NA</v>
      </c>
      <c r="AM15" s="11">
        <f>_xll.SNL.Clients.Office.Excel.Functions.SPG(E15, "PCT_OWNED_STRATEGIC_CORPORATIONS_PRIVATE")</f>
        <v>24</v>
      </c>
      <c r="AN15" s="11" t="str">
        <f>_xll.SNL.Clients.Office.Excel.Functions.SPG(E15, "PCT_OWNED_STRATEGIC_CORPORATIONS_PUBLIC")</f>
        <v>NA</v>
      </c>
    </row>
    <row r="16" spans="1:40" x14ac:dyDescent="0.35">
      <c r="A16" s="5">
        <v>46022</v>
      </c>
      <c r="B16" s="4" t="s">
        <v>221</v>
      </c>
      <c r="C16" s="4" t="s">
        <v>222</v>
      </c>
      <c r="D16" s="4" t="s">
        <v>218</v>
      </c>
      <c r="E16" s="8">
        <v>4349160</v>
      </c>
      <c r="F16" s="7">
        <v>51</v>
      </c>
      <c r="G16" s="9" t="str">
        <f>_xll.SNL.Clients.Office.Excel.Functions.SPG(E16, "SP_COMPANY_TYPE")</f>
        <v>Public Company</v>
      </c>
      <c r="H16" s="10" t="str">
        <f>_xll.SNL.Clients.Office.Excel.Functions.SPG(E16, "SP_COUNTRY_NAME")</f>
        <v>China</v>
      </c>
      <c r="J16" t="str">
        <f>_xll.SNL.Clients.Office.Excel.Functions.SPG(E16, "SP_PARENT_COUNTRY")</f>
        <v>BVI</v>
      </c>
      <c r="K16" s="9" t="str">
        <f>_xll.SNL.Clients.Office.Excel.Functions.SPG(E16, "SP_PARENT_COMPANY_ID")</f>
        <v>4416391</v>
      </c>
      <c r="L16" t="str">
        <f>_xll.SNL.Clients.Office.Excel.Functions.SPG(K16, "SP_COMPANY_TYPE")</f>
        <v>Private Company</v>
      </c>
      <c r="M16" s="9" t="str">
        <f>_xll.SNL.Clients.Office.Excel.Functions.SPG(E16, "SP_ULT_PARENT_COMPANY_NAME")</f>
        <v>State-owned Assets Supervision and Administration Commission of the State Counci</v>
      </c>
      <c r="N16" s="9" t="str">
        <f>_xll.SNL.Clients.Office.Excel.Functions.SPG(E16, "SP_ULT_PARENT_COUNTRY")</f>
        <v>China</v>
      </c>
      <c r="O16" s="9">
        <f>_xll.SNL.Clients.Office.Excel.Functions.SPG(E16, "SP_ULT_PARENT_COMPANY_ID")</f>
        <v>4649432</v>
      </c>
      <c r="P16" t="str">
        <f>_xll.SNL.Clients.Office.Excel.Functions.SPG(O16, "SP_COMPANY_TYPE")</f>
        <v>Government Institution</v>
      </c>
      <c r="Q16" s="11">
        <f>_xll.SNL.Clients.Office.Excel.Functions.SPG(E16, "SP_PCT_SHARES_OWNED_ALL_INSTITUTIONS")</f>
        <v>9.74</v>
      </c>
      <c r="R16" s="11">
        <f>_xll.SNL.Clients.Office.Excel.Functions.SPG(E16, "PCT_OWNED_INSTN_BANKS/INVEST_BANKS")</f>
        <v>0.06</v>
      </c>
      <c r="S16" s="11" t="str">
        <f>_xll.SNL.Clients.Office.Excel.Functions.SPG(E16, "PCT_OWNED_INSTN_CHARITABLE_FOUNDATIONS")</f>
        <v>NA</v>
      </c>
      <c r="T16" s="11" t="str">
        <f>_xll.SNL.Clients.Office.Excel.Functions.SPG(E16, "PCT_OWNED_INSTN_CORP_PENSION_SPONSORS")</f>
        <v>NA</v>
      </c>
      <c r="U16" s="11" t="str">
        <f>_xll.SNL.Clients.Office.Excel.Functions.SPG(E16, "PCT_OWNED_INSTN_EDUCATIONAL/CULTURAL_ENDOWMENTS")</f>
        <v>NA</v>
      </c>
      <c r="V16" s="11" t="str">
        <f>_xll.SNL.Clients.Office.Excel.Functions.SPG(E16, "PCT_OWNED_INSTN_FAMILY_OFFICES/TRUSTS")</f>
        <v>NA</v>
      </c>
      <c r="W16" s="11" t="str">
        <f>_xll.SNL.Clients.Office.Excel.Functions.SPG(E16, "PCT_OWNED_INSTN_GOVT_PENSION_SPONSORS")</f>
        <v>NA</v>
      </c>
      <c r="X16" s="11" t="str">
        <f>_xll.SNL.Clients.Office.Excel.Functions.SPG(E16, "PCT_OWNED_INSTN_INSURANCE_COMPANIES")</f>
        <v>NA</v>
      </c>
      <c r="Y16" s="11">
        <f>_xll.SNL.Clients.Office.Excel.Functions.SPG(E16, "PCT_OWNED_INSTN_INVEST_MGRS")</f>
        <v>9.69</v>
      </c>
      <c r="Z16" s="11" t="str">
        <f>_xll.SNL.Clients.Office.Excel.Functions.SPG(E16, "PCT_OWNED_INSTN_REIT")</f>
        <v>NA</v>
      </c>
      <c r="AA16" s="11" t="str">
        <f>_xll.SNL.Clients.Office.Excel.Functions.SPG(E16, "PCT_OWNED_INSTN_UNCLASSIFIED")</f>
        <v>NA</v>
      </c>
      <c r="AB16" s="11" t="str">
        <f>_xll.SNL.Clients.Office.Excel.Functions.SPG(E16, "PCT_OWNED_INSTN_UNION_PENSION_SPONSORS")</f>
        <v>NA</v>
      </c>
      <c r="AC16" s="11" t="str">
        <f>_xll.SNL.Clients.Office.Excel.Functions.SPG(E16, "PCT_OWNED_INSTN_HEDGE_FUND_MGRS_LESS5PCT_STAKE")</f>
        <v>NA</v>
      </c>
      <c r="AD16" s="11" t="str">
        <f>_xll.SNL.Clients.Office.Excel.Functions.SPG(E16, "PCT_OWNED_INSTN_SOVEREIGN_WEALTH_FUNDS_LESS5PCT_STAKE")</f>
        <v>NA</v>
      </c>
      <c r="AE16" s="11" t="str">
        <f>_xll.SNL.Clients.Office.Excel.Functions.SPG(E16, "PCT_OWNED_INSTN_VC/PE_FIRMS_LESS5PCT_STAKE")</f>
        <v>NA</v>
      </c>
      <c r="AF16" s="11" t="str">
        <f>_xll.SNL.Clients.Office.Excel.Functions.SPG(E16, "PCT_OWNED_INSIDERS")</f>
        <v>NA</v>
      </c>
      <c r="AG16" s="11" t="str">
        <f>_xll.SNL.Clients.Office.Excel.Functions.SPG(E16, "PCT_OWNED_STRATEGIC_HEDGE_FUND_MGRS_MORE_EQUAL5PCT_STAKE")</f>
        <v>NA</v>
      </c>
      <c r="AH16" s="11" t="str">
        <f>_xll.SNL.Clients.Office.Excel.Functions.SPG(E16, "PCT_OWNED_STRATEGIC_VC/PE_FIRMS_MORE_EQUAL5PCT_STAKE")</f>
        <v>NA</v>
      </c>
      <c r="AI16" s="11" t="str">
        <f>_xll.SNL.Clients.Office.Excel.Functions.SPG(E16, "PCT_OWNED_STRATEGIC_SOVEREIGN_WEALTH_FUNDS_MORE_EQUAL5PCT_STAKE")</f>
        <v>NA</v>
      </c>
      <c r="AJ16" s="11" t="str">
        <f>_xll.SNL.Clients.Office.Excel.Functions.SPG(E16, "PCT_OWNED_STRATEGIC_COMPANY_CONTROLLED_FOUNDATIONS")</f>
        <v>NA</v>
      </c>
      <c r="AK16" s="11" t="str">
        <f>_xll.SNL.Clients.Office.Excel.Functions.SPG(E16, "PCT_OWNED_STRATEGIC_ESOP")</f>
        <v>NA</v>
      </c>
      <c r="AL16" s="11" t="str">
        <f>_xll.SNL.Clients.Office.Excel.Functions.SPG(E16, "PCT_OWNED_STRATEGIC_STATE_OWNER")</f>
        <v>NA</v>
      </c>
      <c r="AM16" s="11">
        <f>_xll.SNL.Clients.Office.Excel.Functions.SPG(E16, "PCT_OWNED_STRATEGIC_CORPORATIONS_PRIVATE")</f>
        <v>66.63</v>
      </c>
      <c r="AN16" s="11" t="str">
        <f>_xll.SNL.Clients.Office.Excel.Functions.SPG(E16, "PCT_OWNED_STRATEGIC_CORPORATIONS_PUBLIC")</f>
        <v>NA</v>
      </c>
    </row>
    <row r="17" spans="1:40" hidden="1" x14ac:dyDescent="0.35">
      <c r="A17" s="5">
        <v>46022</v>
      </c>
      <c r="B17" s="4" t="s">
        <v>221</v>
      </c>
      <c r="C17" s="4" t="s">
        <v>222</v>
      </c>
      <c r="D17" s="4" t="s">
        <v>223</v>
      </c>
      <c r="E17" s="8">
        <v>4350360</v>
      </c>
      <c r="F17" s="7">
        <v>49</v>
      </c>
      <c r="G17" s="9" t="str">
        <f>_xll.SNL.Clients.Office.Excel.Functions.SPG(E17, "SP_COMPANY_TYPE")</f>
        <v>Private Company</v>
      </c>
      <c r="H17" s="10" t="str">
        <f>_xll.SNL.Clients.Office.Excel.Functions.SPG(E17, "SP_COUNTRY_NAME")</f>
        <v>Dem. Rep. Congo</v>
      </c>
      <c r="J17" t="str">
        <f>_xll.SNL.Clients.Office.Excel.Functions.SPG(E17, "SP_PARENT_COUNTRY")</f>
        <v>Dem. Rep. Congo</v>
      </c>
      <c r="K17" s="9" t="str">
        <f>_xll.SNL.Clients.Office.Excel.Functions.SPG(E17, "SP_PARENT_COMPANY_ID")</f>
        <v>4350734</v>
      </c>
      <c r="L17" t="str">
        <f>_xll.SNL.Clients.Office.Excel.Functions.SPG(K17, "SP_COMPANY_TYPE")</f>
        <v>Government Institution</v>
      </c>
      <c r="M17" s="9" t="str">
        <f>_xll.SNL.Clients.Office.Excel.Functions.SPG(E17, "SP_ULT_PARENT_COMPANY_NAME")</f>
        <v>Dem. Rep. Congo</v>
      </c>
      <c r="N17" s="9" t="str">
        <f>_xll.SNL.Clients.Office.Excel.Functions.SPG(E17, "SP_ULT_PARENT_COUNTRY")</f>
        <v>Dem. Rep. Congo</v>
      </c>
      <c r="O17" s="9">
        <f>_xll.SNL.Clients.Office.Excel.Functions.SPG(E17, "SP_ULT_PARENT_COMPANY_ID")</f>
        <v>4350734</v>
      </c>
      <c r="P17" t="str">
        <f>_xll.SNL.Clients.Office.Excel.Functions.SPG(O17, "SP_COMPANY_TYPE")</f>
        <v>Government Institution</v>
      </c>
      <c r="Q17" s="11" t="str">
        <f>_xll.SNL.Clients.Office.Excel.Functions.SPG(E17, "SP_PCT_SHARES_OWNED_ALL_INSTITUTIONS")</f>
        <v>NA</v>
      </c>
      <c r="R17" s="11" t="str">
        <f>_xll.SNL.Clients.Office.Excel.Functions.SPG(E17, "PCT_OWNED_INSTN_BANKS/INVEST_BANKS")</f>
        <v>NA</v>
      </c>
      <c r="S17" s="11" t="str">
        <f>_xll.SNL.Clients.Office.Excel.Functions.SPG(E17, "PCT_OWNED_INSTN_CHARITABLE_FOUNDATIONS")</f>
        <v>NA</v>
      </c>
      <c r="T17" s="11" t="str">
        <f>_xll.SNL.Clients.Office.Excel.Functions.SPG(E17, "PCT_OWNED_INSTN_CORP_PENSION_SPONSORS")</f>
        <v>NA</v>
      </c>
      <c r="U17" s="11" t="str">
        <f>_xll.SNL.Clients.Office.Excel.Functions.SPG(E17, "PCT_OWNED_INSTN_EDUCATIONAL/CULTURAL_ENDOWMENTS")</f>
        <v>NA</v>
      </c>
      <c r="V17" s="11" t="str">
        <f>_xll.SNL.Clients.Office.Excel.Functions.SPG(E17, "PCT_OWNED_INSTN_FAMILY_OFFICES/TRUSTS")</f>
        <v>NA</v>
      </c>
      <c r="W17" s="11" t="str">
        <f>_xll.SNL.Clients.Office.Excel.Functions.SPG(E17, "PCT_OWNED_INSTN_GOVT_PENSION_SPONSORS")</f>
        <v>NA</v>
      </c>
      <c r="X17" s="11" t="str">
        <f>_xll.SNL.Clients.Office.Excel.Functions.SPG(E17, "PCT_OWNED_INSTN_INSURANCE_COMPANIES")</f>
        <v>NA</v>
      </c>
      <c r="Y17" s="11" t="str">
        <f>_xll.SNL.Clients.Office.Excel.Functions.SPG(E17, "PCT_OWNED_INSTN_INVEST_MGRS")</f>
        <v>NA</v>
      </c>
      <c r="Z17" s="11" t="str">
        <f>_xll.SNL.Clients.Office.Excel.Functions.SPG(E17, "PCT_OWNED_INSTN_REIT")</f>
        <v>NA</v>
      </c>
      <c r="AA17" s="11" t="str">
        <f>_xll.SNL.Clients.Office.Excel.Functions.SPG(E17, "PCT_OWNED_INSTN_UNCLASSIFIED")</f>
        <v>NA</v>
      </c>
      <c r="AB17" s="11" t="str">
        <f>_xll.SNL.Clients.Office.Excel.Functions.SPG(E17, "PCT_OWNED_INSTN_UNION_PENSION_SPONSORS")</f>
        <v>NA</v>
      </c>
      <c r="AC17" s="11" t="str">
        <f>_xll.SNL.Clients.Office.Excel.Functions.SPG(E17, "PCT_OWNED_INSTN_HEDGE_FUND_MGRS_LESS5PCT_STAKE")</f>
        <v>NA</v>
      </c>
      <c r="AD17" s="11" t="str">
        <f>_xll.SNL.Clients.Office.Excel.Functions.SPG(E17, "PCT_OWNED_INSTN_SOVEREIGN_WEALTH_FUNDS_LESS5PCT_STAKE")</f>
        <v>NA</v>
      </c>
      <c r="AE17" s="11" t="str">
        <f>_xll.SNL.Clients.Office.Excel.Functions.SPG(E17, "PCT_OWNED_INSTN_VC/PE_FIRMS_LESS5PCT_STAKE")</f>
        <v>NA</v>
      </c>
      <c r="AF17" s="11" t="str">
        <f>_xll.SNL.Clients.Office.Excel.Functions.SPG(E17, "PCT_OWNED_INSIDERS")</f>
        <v>NA</v>
      </c>
      <c r="AG17" s="11" t="str">
        <f>_xll.SNL.Clients.Office.Excel.Functions.SPG(E17, "PCT_OWNED_STRATEGIC_HEDGE_FUND_MGRS_MORE_EQUAL5PCT_STAKE")</f>
        <v>NA</v>
      </c>
      <c r="AH17" s="11" t="str">
        <f>_xll.SNL.Clients.Office.Excel.Functions.SPG(E17, "PCT_OWNED_STRATEGIC_VC/PE_FIRMS_MORE_EQUAL5PCT_STAKE")</f>
        <v>NA</v>
      </c>
      <c r="AI17" s="11" t="str">
        <f>_xll.SNL.Clients.Office.Excel.Functions.SPG(E17, "PCT_OWNED_STRATEGIC_SOVEREIGN_WEALTH_FUNDS_MORE_EQUAL5PCT_STAKE")</f>
        <v>NA</v>
      </c>
      <c r="AJ17" s="11" t="str">
        <f>_xll.SNL.Clients.Office.Excel.Functions.SPG(E17, "PCT_OWNED_STRATEGIC_COMPANY_CONTROLLED_FOUNDATIONS")</f>
        <v>NA</v>
      </c>
      <c r="AK17" s="11" t="str">
        <f>_xll.SNL.Clients.Office.Excel.Functions.SPG(E17, "PCT_OWNED_STRATEGIC_ESOP")</f>
        <v>NA</v>
      </c>
      <c r="AL17" s="11" t="str">
        <f>_xll.SNL.Clients.Office.Excel.Functions.SPG(E17, "PCT_OWNED_STRATEGIC_STATE_OWNER")</f>
        <v>NA</v>
      </c>
      <c r="AM17" s="11" t="str">
        <f>_xll.SNL.Clients.Office.Excel.Functions.SPG(E17, "PCT_OWNED_STRATEGIC_CORPORATIONS_PRIVATE")</f>
        <v>NA</v>
      </c>
      <c r="AN17" s="11" t="str">
        <f>_xll.SNL.Clients.Office.Excel.Functions.SPG(E17, "PCT_OWNED_STRATEGIC_CORPORATIONS_PUBLIC")</f>
        <v>NA</v>
      </c>
    </row>
    <row r="18" spans="1:40" x14ac:dyDescent="0.35">
      <c r="A18" s="5">
        <v>46022</v>
      </c>
      <c r="B18" s="4" t="s">
        <v>51</v>
      </c>
      <c r="C18" s="4" t="s">
        <v>52</v>
      </c>
      <c r="D18" s="4" t="s">
        <v>224</v>
      </c>
      <c r="E18" s="8">
        <v>4351931</v>
      </c>
      <c r="F18" s="7">
        <v>100</v>
      </c>
      <c r="G18" s="9" t="str">
        <f>_xll.SNL.Clients.Office.Excel.Functions.SPG(E18, "SP_COMPANY_TYPE")</f>
        <v>Public Company</v>
      </c>
      <c r="H18" s="10" t="str">
        <f>_xll.SNL.Clients.Office.Excel.Functions.SPG(E18, "SP_COUNTRY_NAME")</f>
        <v>Canada</v>
      </c>
      <c r="J18" t="str">
        <f>_xll.SNL.Clients.Office.Excel.Functions.SPG(E18, "SP_PARENT_COUNTRY")</f>
        <v/>
      </c>
      <c r="K18" s="9" t="str">
        <f>_xll.SNL.Clients.Office.Excel.Functions.SPG(E18, "SP_PARENT_COMPANY_ID")</f>
        <v/>
      </c>
      <c r="L18" t="str">
        <f>_xll.SNL.Clients.Office.Excel.Functions.SPG(K18, "SP_COMPANY_TYPE")</f>
        <v>#INVALID COMPANY ID</v>
      </c>
      <c r="M18" s="9" t="str">
        <f>_xll.SNL.Clients.Office.Excel.Functions.SPG(E18, "SP_ULT_PARENT_COMPANY_NAME")</f>
        <v/>
      </c>
      <c r="N18" s="9" t="str">
        <f>_xll.SNL.Clients.Office.Excel.Functions.SPG(E18, "SP_ULT_PARENT_COUNTRY")</f>
        <v/>
      </c>
      <c r="O18" s="9" t="str">
        <f>_xll.SNL.Clients.Office.Excel.Functions.SPG(E18, "SP_ULT_PARENT_COMPANY_ID")</f>
        <v>NA</v>
      </c>
      <c r="P18" t="str">
        <f>_xll.SNL.Clients.Office.Excel.Functions.SPG(O18, "SP_COMPANY_TYPE")</f>
        <v>Public Company</v>
      </c>
      <c r="Q18" s="11">
        <f>_xll.SNL.Clients.Office.Excel.Functions.SPG(E18, "SP_PCT_SHARES_OWNED_ALL_INSTITUTIONS")</f>
        <v>46.58</v>
      </c>
      <c r="R18" s="11">
        <f>_xll.SNL.Clients.Office.Excel.Functions.SPG(E18, "PCT_OWNED_INSTN_BANKS/INVEST_BANKS")</f>
        <v>0.01</v>
      </c>
      <c r="S18" s="11" t="str">
        <f>_xll.SNL.Clients.Office.Excel.Functions.SPG(E18, "PCT_OWNED_INSTN_CHARITABLE_FOUNDATIONS")</f>
        <v>NA</v>
      </c>
      <c r="T18" s="11" t="str">
        <f>_xll.SNL.Clients.Office.Excel.Functions.SPG(E18, "PCT_OWNED_INSTN_CORP_PENSION_SPONSORS")</f>
        <v>NA</v>
      </c>
      <c r="U18" s="11" t="str">
        <f>_xll.SNL.Clients.Office.Excel.Functions.SPG(E18, "PCT_OWNED_INSTN_EDUCATIONAL/CULTURAL_ENDOWMENTS")</f>
        <v>NA</v>
      </c>
      <c r="V18" s="11" t="str">
        <f>_xll.SNL.Clients.Office.Excel.Functions.SPG(E18, "PCT_OWNED_INSTN_FAMILY_OFFICES/TRUSTS")</f>
        <v>NA</v>
      </c>
      <c r="W18" s="11">
        <f>_xll.SNL.Clients.Office.Excel.Functions.SPG(E18, "PCT_OWNED_INSTN_GOVT_PENSION_SPONSORS")</f>
        <v>0.25</v>
      </c>
      <c r="X18" s="11" t="str">
        <f>_xll.SNL.Clients.Office.Excel.Functions.SPG(E18, "PCT_OWNED_INSTN_INSURANCE_COMPANIES")</f>
        <v>NA</v>
      </c>
      <c r="Y18" s="11">
        <f>_xll.SNL.Clients.Office.Excel.Functions.SPG(E18, "PCT_OWNED_INSTN_INVEST_MGRS")</f>
        <v>46.79</v>
      </c>
      <c r="Z18" s="11" t="str">
        <f>_xll.SNL.Clients.Office.Excel.Functions.SPG(E18, "PCT_OWNED_INSTN_REIT")</f>
        <v>NA</v>
      </c>
      <c r="AA18" s="11">
        <f>_xll.SNL.Clients.Office.Excel.Functions.SPG(E18, "PCT_OWNED_INSTN_UNCLASSIFIED")</f>
        <v>0.15</v>
      </c>
      <c r="AB18" s="11" t="str">
        <f>_xll.SNL.Clients.Office.Excel.Functions.SPG(E18, "PCT_OWNED_INSTN_UNION_PENSION_SPONSORS")</f>
        <v>NA</v>
      </c>
      <c r="AC18" s="11">
        <f>_xll.SNL.Clients.Office.Excel.Functions.SPG(E18, "PCT_OWNED_INSTN_HEDGE_FUND_MGRS_LESS5PCT_STAKE")</f>
        <v>-0.63</v>
      </c>
      <c r="AD18" s="11" t="str">
        <f>_xll.SNL.Clients.Office.Excel.Functions.SPG(E18, "PCT_OWNED_INSTN_SOVEREIGN_WEALTH_FUNDS_LESS5PCT_STAKE")</f>
        <v>NA</v>
      </c>
      <c r="AE18" s="11">
        <f>_xll.SNL.Clients.Office.Excel.Functions.SPG(E18, "PCT_OWNED_INSTN_VC/PE_FIRMS_LESS5PCT_STAKE")</f>
        <v>0</v>
      </c>
      <c r="AF18" s="11">
        <f>_xll.SNL.Clients.Office.Excel.Functions.SPG(E18, "PCT_OWNED_INSIDERS")</f>
        <v>0.79</v>
      </c>
      <c r="AG18" s="11" t="str">
        <f>_xll.SNL.Clients.Office.Excel.Functions.SPG(E18, "PCT_OWNED_STRATEGIC_HEDGE_FUND_MGRS_MORE_EQUAL5PCT_STAKE")</f>
        <v>NA</v>
      </c>
      <c r="AH18" s="11" t="str">
        <f>_xll.SNL.Clients.Office.Excel.Functions.SPG(E18, "PCT_OWNED_STRATEGIC_VC/PE_FIRMS_MORE_EQUAL5PCT_STAKE")</f>
        <v>NA</v>
      </c>
      <c r="AI18" s="11" t="str">
        <f>_xll.SNL.Clients.Office.Excel.Functions.SPG(E18, "PCT_OWNED_STRATEGIC_SOVEREIGN_WEALTH_FUNDS_MORE_EQUAL5PCT_STAKE")</f>
        <v>NA</v>
      </c>
      <c r="AJ18" s="11" t="str">
        <f>_xll.SNL.Clients.Office.Excel.Functions.SPG(E18, "PCT_OWNED_STRATEGIC_COMPANY_CONTROLLED_FOUNDATIONS")</f>
        <v>NA</v>
      </c>
      <c r="AK18" s="11" t="str">
        <f>_xll.SNL.Clients.Office.Excel.Functions.SPG(E18, "PCT_OWNED_STRATEGIC_ESOP")</f>
        <v>NA</v>
      </c>
      <c r="AL18" s="11" t="str">
        <f>_xll.SNL.Clients.Office.Excel.Functions.SPG(E18, "PCT_OWNED_STRATEGIC_STATE_OWNER")</f>
        <v>NA</v>
      </c>
      <c r="AM18" s="11">
        <f>_xll.SNL.Clients.Office.Excel.Functions.SPG(E18, "PCT_OWNED_STRATEGIC_CORPORATIONS_PRIVATE")</f>
        <v>20.18</v>
      </c>
      <c r="AN18" s="11" t="str">
        <f>_xll.SNL.Clients.Office.Excel.Functions.SPG(E18, "PCT_OWNED_STRATEGIC_CORPORATIONS_PUBLIC")</f>
        <v>NA</v>
      </c>
    </row>
    <row r="19" spans="1:40" x14ac:dyDescent="0.35">
      <c r="A19" s="5">
        <v>46022</v>
      </c>
      <c r="B19" s="4" t="s">
        <v>121</v>
      </c>
      <c r="C19" s="4" t="s">
        <v>122</v>
      </c>
      <c r="D19" s="4" t="s">
        <v>215</v>
      </c>
      <c r="E19" s="8">
        <v>4355482</v>
      </c>
      <c r="F19" s="7">
        <v>100</v>
      </c>
      <c r="G19" s="9" t="str">
        <f>_xll.SNL.Clients.Office.Excel.Functions.SPG(E19, "SP_COMPANY_TYPE")</f>
        <v>Public Company</v>
      </c>
      <c r="H19" s="10" t="str">
        <f>_xll.SNL.Clients.Office.Excel.Functions.SPG(E19, "SP_COUNTRY_NAME")</f>
        <v>China</v>
      </c>
      <c r="J19" t="str">
        <f>_xll.SNL.Clients.Office.Excel.Functions.SPG(E19, "SP_PARENT_COUNTRY")</f>
        <v>China</v>
      </c>
      <c r="K19" s="9" t="str">
        <f>_xll.SNL.Clients.Office.Excel.Functions.SPG(E19, "SP_PARENT_COMPANY_ID")</f>
        <v>4415549</v>
      </c>
      <c r="L19" t="str">
        <f>_xll.SNL.Clients.Office.Excel.Functions.SPG(K19, "SP_COMPANY_TYPE")</f>
        <v>Private Company</v>
      </c>
      <c r="M19" s="9" t="str">
        <f>_xll.SNL.Clients.Office.Excel.Functions.SPG(E19, "SP_ULT_PARENT_COMPANY_NAME")</f>
        <v>Xinjiang NonFerrous Metal Industry (Group) Co.Ltd</v>
      </c>
      <c r="N19" s="9" t="str">
        <f>_xll.SNL.Clients.Office.Excel.Functions.SPG(E19, "SP_ULT_PARENT_COUNTRY")</f>
        <v>China</v>
      </c>
      <c r="O19" s="9">
        <f>_xll.SNL.Clients.Office.Excel.Functions.SPG(E19, "SP_ULT_PARENT_COMPANY_ID")</f>
        <v>4415549</v>
      </c>
      <c r="P19" t="str">
        <f>_xll.SNL.Clients.Office.Excel.Functions.SPG(O19, "SP_COMPANY_TYPE")</f>
        <v>Private Company</v>
      </c>
      <c r="Q19" s="11">
        <f>_xll.SNL.Clients.Office.Excel.Functions.SPG(E19, "SP_PCT_SHARES_OWNED_ALL_INSTITUTIONS")</f>
        <v>5.56</v>
      </c>
      <c r="R19" s="11" t="str">
        <f>_xll.SNL.Clients.Office.Excel.Functions.SPG(E19, "PCT_OWNED_INSTN_BANKS/INVEST_BANKS")</f>
        <v>NA</v>
      </c>
      <c r="S19" s="11" t="str">
        <f>_xll.SNL.Clients.Office.Excel.Functions.SPG(E19, "PCT_OWNED_INSTN_CHARITABLE_FOUNDATIONS")</f>
        <v>NA</v>
      </c>
      <c r="T19" s="11" t="str">
        <f>_xll.SNL.Clients.Office.Excel.Functions.SPG(E19, "PCT_OWNED_INSTN_CORP_PENSION_SPONSORS")</f>
        <v>NA</v>
      </c>
      <c r="U19" s="11" t="str">
        <f>_xll.SNL.Clients.Office.Excel.Functions.SPG(E19, "PCT_OWNED_INSTN_EDUCATIONAL/CULTURAL_ENDOWMENTS")</f>
        <v>NA</v>
      </c>
      <c r="V19" s="11" t="str">
        <f>_xll.SNL.Clients.Office.Excel.Functions.SPG(E19, "PCT_OWNED_INSTN_FAMILY_OFFICES/TRUSTS")</f>
        <v>NA</v>
      </c>
      <c r="W19" s="11" t="str">
        <f>_xll.SNL.Clients.Office.Excel.Functions.SPG(E19, "PCT_OWNED_INSTN_GOVT_PENSION_SPONSORS")</f>
        <v>NA</v>
      </c>
      <c r="X19" s="11" t="str">
        <f>_xll.SNL.Clients.Office.Excel.Functions.SPG(E19, "PCT_OWNED_INSTN_INSURANCE_COMPANIES")</f>
        <v>NA</v>
      </c>
      <c r="Y19" s="11">
        <f>_xll.SNL.Clients.Office.Excel.Functions.SPG(E19, "PCT_OWNED_INSTN_INVEST_MGRS")</f>
        <v>5.56</v>
      </c>
      <c r="Z19" s="11" t="str">
        <f>_xll.SNL.Clients.Office.Excel.Functions.SPG(E19, "PCT_OWNED_INSTN_REIT")</f>
        <v>NA</v>
      </c>
      <c r="AA19" s="11" t="str">
        <f>_xll.SNL.Clients.Office.Excel.Functions.SPG(E19, "PCT_OWNED_INSTN_UNCLASSIFIED")</f>
        <v>NA</v>
      </c>
      <c r="AB19" s="11" t="str">
        <f>_xll.SNL.Clients.Office.Excel.Functions.SPG(E19, "PCT_OWNED_INSTN_UNION_PENSION_SPONSORS")</f>
        <v>NA</v>
      </c>
      <c r="AC19" s="11" t="str">
        <f>_xll.SNL.Clients.Office.Excel.Functions.SPG(E19, "PCT_OWNED_INSTN_HEDGE_FUND_MGRS_LESS5PCT_STAKE")</f>
        <v>NA</v>
      </c>
      <c r="AD19" s="11" t="str">
        <f>_xll.SNL.Clients.Office.Excel.Functions.SPG(E19, "PCT_OWNED_INSTN_SOVEREIGN_WEALTH_FUNDS_LESS5PCT_STAKE")</f>
        <v>NA</v>
      </c>
      <c r="AE19" s="11" t="str">
        <f>_xll.SNL.Clients.Office.Excel.Functions.SPG(E19, "PCT_OWNED_INSTN_VC/PE_FIRMS_LESS5PCT_STAKE")</f>
        <v>NA</v>
      </c>
      <c r="AF19" s="11">
        <f>_xll.SNL.Clients.Office.Excel.Functions.SPG(E19, "PCT_OWNED_INSIDERS")</f>
        <v>12.8</v>
      </c>
      <c r="AG19" s="11" t="str">
        <f>_xll.SNL.Clients.Office.Excel.Functions.SPG(E19, "PCT_OWNED_STRATEGIC_HEDGE_FUND_MGRS_MORE_EQUAL5PCT_STAKE")</f>
        <v>NA</v>
      </c>
      <c r="AH19" s="11" t="str">
        <f>_xll.SNL.Clients.Office.Excel.Functions.SPG(E19, "PCT_OWNED_STRATEGIC_VC/PE_FIRMS_MORE_EQUAL5PCT_STAKE")</f>
        <v>NA</v>
      </c>
      <c r="AI19" s="11" t="str">
        <f>_xll.SNL.Clients.Office.Excel.Functions.SPG(E19, "PCT_OWNED_STRATEGIC_SOVEREIGN_WEALTH_FUNDS_MORE_EQUAL5PCT_STAKE")</f>
        <v>NA</v>
      </c>
      <c r="AJ19" s="11" t="str">
        <f>_xll.SNL.Clients.Office.Excel.Functions.SPG(E19, "PCT_OWNED_STRATEGIC_COMPANY_CONTROLLED_FOUNDATIONS")</f>
        <v>NA</v>
      </c>
      <c r="AK19" s="11" t="str">
        <f>_xll.SNL.Clients.Office.Excel.Functions.SPG(E19, "PCT_OWNED_STRATEGIC_ESOP")</f>
        <v>NA</v>
      </c>
      <c r="AL19" s="11" t="str">
        <f>_xll.SNL.Clients.Office.Excel.Functions.SPG(E19, "PCT_OWNED_STRATEGIC_STATE_OWNER")</f>
        <v>NA</v>
      </c>
      <c r="AM19" s="11">
        <f>_xll.SNL.Clients.Office.Excel.Functions.SPG(E19, "PCT_OWNED_STRATEGIC_CORPORATIONS_PRIVATE")</f>
        <v>46.61</v>
      </c>
      <c r="AN19" s="11">
        <f>_xll.SNL.Clients.Office.Excel.Functions.SPG(E19, "PCT_OWNED_STRATEGIC_CORPORATIONS_PUBLIC")</f>
        <v>2.69</v>
      </c>
    </row>
    <row r="20" spans="1:40" hidden="1" x14ac:dyDescent="0.35">
      <c r="A20" s="5">
        <v>46022</v>
      </c>
      <c r="B20" s="4" t="s">
        <v>54</v>
      </c>
      <c r="C20" s="4" t="s">
        <v>55</v>
      </c>
      <c r="D20" s="4" t="s">
        <v>56</v>
      </c>
      <c r="E20" s="8">
        <v>4350734</v>
      </c>
      <c r="F20" s="7">
        <v>5</v>
      </c>
      <c r="G20" s="9" t="str">
        <f>_xll.SNL.Clients.Office.Excel.Functions.SPG(E20, "SP_COMPANY_TYPE")</f>
        <v>Government Institution</v>
      </c>
      <c r="H20" s="10" t="str">
        <f>_xll.SNL.Clients.Office.Excel.Functions.SPG(E20, "SP_COUNTRY_NAME")</f>
        <v>Dem. Rep. Congo</v>
      </c>
      <c r="J20" t="str">
        <f>_xll.SNL.Clients.Office.Excel.Functions.SPG(E20, "SP_PARENT_COUNTRY")</f>
        <v/>
      </c>
      <c r="K20" s="9" t="str">
        <f>_xll.SNL.Clients.Office.Excel.Functions.SPG(E20, "SP_PARENT_COMPANY_ID")</f>
        <v/>
      </c>
      <c r="L20" t="str">
        <f>_xll.SNL.Clients.Office.Excel.Functions.SPG(K20, "SP_COMPANY_TYPE")</f>
        <v>#INVALID COMPANY ID</v>
      </c>
      <c r="M20" s="9" t="str">
        <f>_xll.SNL.Clients.Office.Excel.Functions.SPG(E20, "SP_ULT_PARENT_COMPANY_NAME")</f>
        <v/>
      </c>
      <c r="N20" s="9" t="str">
        <f>_xll.SNL.Clients.Office.Excel.Functions.SPG(E20, "SP_ULT_PARENT_COUNTRY")</f>
        <v/>
      </c>
      <c r="O20" s="9" t="str">
        <f>_xll.SNL.Clients.Office.Excel.Functions.SPG(E20, "SP_ULT_PARENT_COMPANY_ID")</f>
        <v>NA</v>
      </c>
      <c r="P20" t="str">
        <f>_xll.SNL.Clients.Office.Excel.Functions.SPG(O20, "SP_COMPANY_TYPE")</f>
        <v>Public Company</v>
      </c>
      <c r="Q20" s="11" t="str">
        <f>_xll.SNL.Clients.Office.Excel.Functions.SPG(E20, "SP_PCT_SHARES_OWNED_ALL_INSTITUTIONS")</f>
        <v>NA</v>
      </c>
      <c r="R20" s="11" t="str">
        <f>_xll.SNL.Clients.Office.Excel.Functions.SPG(E20, "PCT_OWNED_INSTN_BANKS/INVEST_BANKS")</f>
        <v>NA</v>
      </c>
      <c r="S20" s="11" t="str">
        <f>_xll.SNL.Clients.Office.Excel.Functions.SPG(E20, "PCT_OWNED_INSTN_CHARITABLE_FOUNDATIONS")</f>
        <v>NA</v>
      </c>
      <c r="T20" s="11" t="str">
        <f>_xll.SNL.Clients.Office.Excel.Functions.SPG(E20, "PCT_OWNED_INSTN_CORP_PENSION_SPONSORS")</f>
        <v>NA</v>
      </c>
      <c r="U20" s="11" t="str">
        <f>_xll.SNL.Clients.Office.Excel.Functions.SPG(E20, "PCT_OWNED_INSTN_EDUCATIONAL/CULTURAL_ENDOWMENTS")</f>
        <v>NA</v>
      </c>
      <c r="V20" s="11" t="str">
        <f>_xll.SNL.Clients.Office.Excel.Functions.SPG(E20, "PCT_OWNED_INSTN_FAMILY_OFFICES/TRUSTS")</f>
        <v>NA</v>
      </c>
      <c r="W20" s="11" t="str">
        <f>_xll.SNL.Clients.Office.Excel.Functions.SPG(E20, "PCT_OWNED_INSTN_GOVT_PENSION_SPONSORS")</f>
        <v>NA</v>
      </c>
      <c r="X20" s="11" t="str">
        <f>_xll.SNL.Clients.Office.Excel.Functions.SPG(E20, "PCT_OWNED_INSTN_INSURANCE_COMPANIES")</f>
        <v>NA</v>
      </c>
      <c r="Y20" s="11" t="str">
        <f>_xll.SNL.Clients.Office.Excel.Functions.SPG(E20, "PCT_OWNED_INSTN_INVEST_MGRS")</f>
        <v>NA</v>
      </c>
      <c r="Z20" s="11" t="str">
        <f>_xll.SNL.Clients.Office.Excel.Functions.SPG(E20, "PCT_OWNED_INSTN_REIT")</f>
        <v>NA</v>
      </c>
      <c r="AA20" s="11" t="str">
        <f>_xll.SNL.Clients.Office.Excel.Functions.SPG(E20, "PCT_OWNED_INSTN_UNCLASSIFIED")</f>
        <v>NA</v>
      </c>
      <c r="AB20" s="11" t="str">
        <f>_xll.SNL.Clients.Office.Excel.Functions.SPG(E20, "PCT_OWNED_INSTN_UNION_PENSION_SPONSORS")</f>
        <v>NA</v>
      </c>
      <c r="AC20" s="11" t="str">
        <f>_xll.SNL.Clients.Office.Excel.Functions.SPG(E20, "PCT_OWNED_INSTN_HEDGE_FUND_MGRS_LESS5PCT_STAKE")</f>
        <v>NA</v>
      </c>
      <c r="AD20" s="11" t="str">
        <f>_xll.SNL.Clients.Office.Excel.Functions.SPG(E20, "PCT_OWNED_INSTN_SOVEREIGN_WEALTH_FUNDS_LESS5PCT_STAKE")</f>
        <v>NA</v>
      </c>
      <c r="AE20" s="11" t="str">
        <f>_xll.SNL.Clients.Office.Excel.Functions.SPG(E20, "PCT_OWNED_INSTN_VC/PE_FIRMS_LESS5PCT_STAKE")</f>
        <v>NA</v>
      </c>
      <c r="AF20" s="11" t="str">
        <f>_xll.SNL.Clients.Office.Excel.Functions.SPG(E20, "PCT_OWNED_INSIDERS")</f>
        <v>NA</v>
      </c>
      <c r="AG20" s="11" t="str">
        <f>_xll.SNL.Clients.Office.Excel.Functions.SPG(E20, "PCT_OWNED_STRATEGIC_HEDGE_FUND_MGRS_MORE_EQUAL5PCT_STAKE")</f>
        <v>NA</v>
      </c>
      <c r="AH20" s="11" t="str">
        <f>_xll.SNL.Clients.Office.Excel.Functions.SPG(E20, "PCT_OWNED_STRATEGIC_VC/PE_FIRMS_MORE_EQUAL5PCT_STAKE")</f>
        <v>NA</v>
      </c>
      <c r="AI20" s="11" t="str">
        <f>_xll.SNL.Clients.Office.Excel.Functions.SPG(E20, "PCT_OWNED_STRATEGIC_SOVEREIGN_WEALTH_FUNDS_MORE_EQUAL5PCT_STAKE")</f>
        <v>NA</v>
      </c>
      <c r="AJ20" s="11" t="str">
        <f>_xll.SNL.Clients.Office.Excel.Functions.SPG(E20, "PCT_OWNED_STRATEGIC_COMPANY_CONTROLLED_FOUNDATIONS")</f>
        <v>NA</v>
      </c>
      <c r="AK20" s="11" t="str">
        <f>_xll.SNL.Clients.Office.Excel.Functions.SPG(E20, "PCT_OWNED_STRATEGIC_ESOP")</f>
        <v>NA</v>
      </c>
      <c r="AL20" s="11" t="str">
        <f>_xll.SNL.Clients.Office.Excel.Functions.SPG(E20, "PCT_OWNED_STRATEGIC_STATE_OWNER")</f>
        <v>NA</v>
      </c>
      <c r="AM20" s="11" t="str">
        <f>_xll.SNL.Clients.Office.Excel.Functions.SPG(E20, "PCT_OWNED_STRATEGIC_CORPORATIONS_PRIVATE")</f>
        <v>NA</v>
      </c>
      <c r="AN20" s="11" t="str">
        <f>_xll.SNL.Clients.Office.Excel.Functions.SPG(E20, "PCT_OWNED_STRATEGIC_CORPORATIONS_PUBLIC")</f>
        <v>NA</v>
      </c>
    </row>
    <row r="21" spans="1:40" hidden="1" x14ac:dyDescent="0.35">
      <c r="A21" s="5">
        <v>46022</v>
      </c>
      <c r="B21" s="4" t="s">
        <v>54</v>
      </c>
      <c r="C21" s="4" t="s">
        <v>55</v>
      </c>
      <c r="D21" s="4" t="s">
        <v>225</v>
      </c>
      <c r="E21" s="8">
        <v>4365787</v>
      </c>
      <c r="F21" s="7">
        <v>95</v>
      </c>
      <c r="G21" s="9" t="str">
        <f>_xll.SNL.Clients.Office.Excel.Functions.SPG(E21, "SP_COMPANY_TYPE")</f>
        <v>Private Company</v>
      </c>
      <c r="H21" s="10" t="str">
        <f>_xll.SNL.Clients.Office.Excel.Functions.SPG(E21, "SP_COUNTRY_NAME")</f>
        <v>United Kingdom</v>
      </c>
      <c r="J21" t="str">
        <f>_xll.SNL.Clients.Office.Excel.Functions.SPG(E21, "SP_PARENT_COUNTRY")</f>
        <v>United Arab Emirates</v>
      </c>
      <c r="K21" s="9" t="str">
        <f>_xll.SNL.Clients.Office.Excel.Functions.SPG(E21, "SP_PARENT_COMPANY_ID")</f>
        <v>7574015</v>
      </c>
      <c r="L21" t="str">
        <f>_xll.SNL.Clients.Office.Excel.Functions.SPG(K21, "SP_COMPANY_TYPE")</f>
        <v>Private Company</v>
      </c>
      <c r="M21" s="9" t="str">
        <f>_xll.SNL.Clients.Office.Excel.Functions.SPG(E21, "SP_ULT_PARENT_COMPANY_NAME")</f>
        <v>Shalina Group Limited</v>
      </c>
      <c r="N21" s="9" t="str">
        <f>_xll.SNL.Clients.Office.Excel.Functions.SPG(E21, "SP_ULT_PARENT_COUNTRY")</f>
        <v>United Arab Emirates</v>
      </c>
      <c r="O21" s="9">
        <f>_xll.SNL.Clients.Office.Excel.Functions.SPG(E21, "SP_ULT_PARENT_COMPANY_ID")</f>
        <v>7574015</v>
      </c>
      <c r="P21" t="str">
        <f>_xll.SNL.Clients.Office.Excel.Functions.SPG(O21, "SP_COMPANY_TYPE")</f>
        <v>Private Company</v>
      </c>
      <c r="Q21" s="11" t="str">
        <f>_xll.SNL.Clients.Office.Excel.Functions.SPG(E21, "SP_PCT_SHARES_OWNED_ALL_INSTITUTIONS")</f>
        <v>NA</v>
      </c>
      <c r="R21" s="11" t="str">
        <f>_xll.SNL.Clients.Office.Excel.Functions.SPG(E21, "PCT_OWNED_INSTN_BANKS/INVEST_BANKS")</f>
        <v>NA</v>
      </c>
      <c r="S21" s="11" t="str">
        <f>_xll.SNL.Clients.Office.Excel.Functions.SPG(E21, "PCT_OWNED_INSTN_CHARITABLE_FOUNDATIONS")</f>
        <v>NA</v>
      </c>
      <c r="T21" s="11" t="str">
        <f>_xll.SNL.Clients.Office.Excel.Functions.SPG(E21, "PCT_OWNED_INSTN_CORP_PENSION_SPONSORS")</f>
        <v>NA</v>
      </c>
      <c r="U21" s="11" t="str">
        <f>_xll.SNL.Clients.Office.Excel.Functions.SPG(E21, "PCT_OWNED_INSTN_EDUCATIONAL/CULTURAL_ENDOWMENTS")</f>
        <v>NA</v>
      </c>
      <c r="V21" s="11" t="str">
        <f>_xll.SNL.Clients.Office.Excel.Functions.SPG(E21, "PCT_OWNED_INSTN_FAMILY_OFFICES/TRUSTS")</f>
        <v>NA</v>
      </c>
      <c r="W21" s="11" t="str">
        <f>_xll.SNL.Clients.Office.Excel.Functions.SPG(E21, "PCT_OWNED_INSTN_GOVT_PENSION_SPONSORS")</f>
        <v>NA</v>
      </c>
      <c r="X21" s="11" t="str">
        <f>_xll.SNL.Clients.Office.Excel.Functions.SPG(E21, "PCT_OWNED_INSTN_INSURANCE_COMPANIES")</f>
        <v>NA</v>
      </c>
      <c r="Y21" s="11" t="str">
        <f>_xll.SNL.Clients.Office.Excel.Functions.SPG(E21, "PCT_OWNED_INSTN_INVEST_MGRS")</f>
        <v>NA</v>
      </c>
      <c r="Z21" s="11" t="str">
        <f>_xll.SNL.Clients.Office.Excel.Functions.SPG(E21, "PCT_OWNED_INSTN_REIT")</f>
        <v>NA</v>
      </c>
      <c r="AA21" s="11" t="str">
        <f>_xll.SNL.Clients.Office.Excel.Functions.SPG(E21, "PCT_OWNED_INSTN_UNCLASSIFIED")</f>
        <v>NA</v>
      </c>
      <c r="AB21" s="11" t="str">
        <f>_xll.SNL.Clients.Office.Excel.Functions.SPG(E21, "PCT_OWNED_INSTN_UNION_PENSION_SPONSORS")</f>
        <v>NA</v>
      </c>
      <c r="AC21" s="11" t="str">
        <f>_xll.SNL.Clients.Office.Excel.Functions.SPG(E21, "PCT_OWNED_INSTN_HEDGE_FUND_MGRS_LESS5PCT_STAKE")</f>
        <v>NA</v>
      </c>
      <c r="AD21" s="11" t="str">
        <f>_xll.SNL.Clients.Office.Excel.Functions.SPG(E21, "PCT_OWNED_INSTN_SOVEREIGN_WEALTH_FUNDS_LESS5PCT_STAKE")</f>
        <v>NA</v>
      </c>
      <c r="AE21" s="11" t="str">
        <f>_xll.SNL.Clients.Office.Excel.Functions.SPG(E21, "PCT_OWNED_INSTN_VC/PE_FIRMS_LESS5PCT_STAKE")</f>
        <v>NA</v>
      </c>
      <c r="AF21" s="11" t="str">
        <f>_xll.SNL.Clients.Office.Excel.Functions.SPG(E21, "PCT_OWNED_INSIDERS")</f>
        <v>NA</v>
      </c>
      <c r="AG21" s="11" t="str">
        <f>_xll.SNL.Clients.Office.Excel.Functions.SPG(E21, "PCT_OWNED_STRATEGIC_HEDGE_FUND_MGRS_MORE_EQUAL5PCT_STAKE")</f>
        <v>NA</v>
      </c>
      <c r="AH21" s="11" t="str">
        <f>_xll.SNL.Clients.Office.Excel.Functions.SPG(E21, "PCT_OWNED_STRATEGIC_VC/PE_FIRMS_MORE_EQUAL5PCT_STAKE")</f>
        <v>NA</v>
      </c>
      <c r="AI21" s="11" t="str">
        <f>_xll.SNL.Clients.Office.Excel.Functions.SPG(E21, "PCT_OWNED_STRATEGIC_SOVEREIGN_WEALTH_FUNDS_MORE_EQUAL5PCT_STAKE")</f>
        <v>NA</v>
      </c>
      <c r="AJ21" s="11" t="str">
        <f>_xll.SNL.Clients.Office.Excel.Functions.SPG(E21, "PCT_OWNED_STRATEGIC_COMPANY_CONTROLLED_FOUNDATIONS")</f>
        <v>NA</v>
      </c>
      <c r="AK21" s="11" t="str">
        <f>_xll.SNL.Clients.Office.Excel.Functions.SPG(E21, "PCT_OWNED_STRATEGIC_ESOP")</f>
        <v>NA</v>
      </c>
      <c r="AL21" s="11" t="str">
        <f>_xll.SNL.Clients.Office.Excel.Functions.SPG(E21, "PCT_OWNED_STRATEGIC_STATE_OWNER")</f>
        <v>NA</v>
      </c>
      <c r="AM21" s="11" t="str">
        <f>_xll.SNL.Clients.Office.Excel.Functions.SPG(E21, "PCT_OWNED_STRATEGIC_CORPORATIONS_PRIVATE")</f>
        <v>NA</v>
      </c>
      <c r="AN21" s="11" t="str">
        <f>_xll.SNL.Clients.Office.Excel.Functions.SPG(E21, "PCT_OWNED_STRATEGIC_CORPORATIONS_PUBLIC")</f>
        <v>NA</v>
      </c>
    </row>
    <row r="22" spans="1:40" hidden="1" x14ac:dyDescent="0.35">
      <c r="A22" s="5">
        <v>46022</v>
      </c>
      <c r="B22" s="4" t="s">
        <v>57</v>
      </c>
      <c r="C22" s="4" t="s">
        <v>58</v>
      </c>
      <c r="D22" s="4" t="s">
        <v>226</v>
      </c>
      <c r="E22" s="8">
        <v>28696936</v>
      </c>
      <c r="F22" s="7">
        <v>95</v>
      </c>
      <c r="G22" s="9" t="str">
        <f>_xll.SNL.Clients.Office.Excel.Functions.SPG(E22, "SP_COMPANY_TYPE")</f>
        <v>Private Company</v>
      </c>
      <c r="H22" s="10" t="str">
        <f>_xll.SNL.Clients.Office.Excel.Functions.SPG(E22, "SP_COUNTRY_NAME")</f>
        <v>France</v>
      </c>
      <c r="J22" t="str">
        <f>_xll.SNL.Clients.Office.Excel.Functions.SPG(E22, "SP_PARENT_COUNTRY")</f>
        <v/>
      </c>
      <c r="K22" s="9" t="str">
        <f>_xll.SNL.Clients.Office.Excel.Functions.SPG(E22, "SP_PARENT_COMPANY_ID")</f>
        <v/>
      </c>
      <c r="L22" t="str">
        <f>_xll.SNL.Clients.Office.Excel.Functions.SPG(K22, "SP_COMPANY_TYPE")</f>
        <v>#INVALID COMPANY ID</v>
      </c>
      <c r="M22" s="9" t="str">
        <f>_xll.SNL.Clients.Office.Excel.Functions.SPG(E22, "SP_ULT_PARENT_COMPANY_NAME")</f>
        <v/>
      </c>
      <c r="N22" s="9" t="str">
        <f>_xll.SNL.Clients.Office.Excel.Functions.SPG(E22, "SP_ULT_PARENT_COUNTRY")</f>
        <v/>
      </c>
      <c r="O22" s="9" t="str">
        <f>_xll.SNL.Clients.Office.Excel.Functions.SPG(E22, "SP_ULT_PARENT_COMPANY_ID")</f>
        <v>NA</v>
      </c>
      <c r="P22" t="str">
        <f>_xll.SNL.Clients.Office.Excel.Functions.SPG(O22, "SP_COMPANY_TYPE")</f>
        <v>Public Company</v>
      </c>
      <c r="Q22" s="11" t="str">
        <f>_xll.SNL.Clients.Office.Excel.Functions.SPG(E22, "SP_PCT_SHARES_OWNED_ALL_INSTITUTIONS")</f>
        <v>NA</v>
      </c>
      <c r="R22" s="11" t="str">
        <f>_xll.SNL.Clients.Office.Excel.Functions.SPG(E22, "PCT_OWNED_INSTN_BANKS/INVEST_BANKS")</f>
        <v>NA</v>
      </c>
      <c r="S22" s="11" t="str">
        <f>_xll.SNL.Clients.Office.Excel.Functions.SPG(E22, "PCT_OWNED_INSTN_CHARITABLE_FOUNDATIONS")</f>
        <v>NA</v>
      </c>
      <c r="T22" s="11" t="str">
        <f>_xll.SNL.Clients.Office.Excel.Functions.SPG(E22, "PCT_OWNED_INSTN_CORP_PENSION_SPONSORS")</f>
        <v>NA</v>
      </c>
      <c r="U22" s="11" t="str">
        <f>_xll.SNL.Clients.Office.Excel.Functions.SPG(E22, "PCT_OWNED_INSTN_EDUCATIONAL/CULTURAL_ENDOWMENTS")</f>
        <v>NA</v>
      </c>
      <c r="V22" s="11" t="str">
        <f>_xll.SNL.Clients.Office.Excel.Functions.SPG(E22, "PCT_OWNED_INSTN_FAMILY_OFFICES/TRUSTS")</f>
        <v>NA</v>
      </c>
      <c r="W22" s="11" t="str">
        <f>_xll.SNL.Clients.Office.Excel.Functions.SPG(E22, "PCT_OWNED_INSTN_GOVT_PENSION_SPONSORS")</f>
        <v>NA</v>
      </c>
      <c r="X22" s="11" t="str">
        <f>_xll.SNL.Clients.Office.Excel.Functions.SPG(E22, "PCT_OWNED_INSTN_INSURANCE_COMPANIES")</f>
        <v>NA</v>
      </c>
      <c r="Y22" s="11" t="str">
        <f>_xll.SNL.Clients.Office.Excel.Functions.SPG(E22, "PCT_OWNED_INSTN_INVEST_MGRS")</f>
        <v>NA</v>
      </c>
      <c r="Z22" s="11" t="str">
        <f>_xll.SNL.Clients.Office.Excel.Functions.SPG(E22, "PCT_OWNED_INSTN_REIT")</f>
        <v>NA</v>
      </c>
      <c r="AA22" s="11" t="str">
        <f>_xll.SNL.Clients.Office.Excel.Functions.SPG(E22, "PCT_OWNED_INSTN_UNCLASSIFIED")</f>
        <v>NA</v>
      </c>
      <c r="AB22" s="11" t="str">
        <f>_xll.SNL.Clients.Office.Excel.Functions.SPG(E22, "PCT_OWNED_INSTN_UNION_PENSION_SPONSORS")</f>
        <v>NA</v>
      </c>
      <c r="AC22" s="11" t="str">
        <f>_xll.SNL.Clients.Office.Excel.Functions.SPG(E22, "PCT_OWNED_INSTN_HEDGE_FUND_MGRS_LESS5PCT_STAKE")</f>
        <v>NA</v>
      </c>
      <c r="AD22" s="11" t="str">
        <f>_xll.SNL.Clients.Office.Excel.Functions.SPG(E22, "PCT_OWNED_INSTN_SOVEREIGN_WEALTH_FUNDS_LESS5PCT_STAKE")</f>
        <v>NA</v>
      </c>
      <c r="AE22" s="11" t="str">
        <f>_xll.SNL.Clients.Office.Excel.Functions.SPG(E22, "PCT_OWNED_INSTN_VC/PE_FIRMS_LESS5PCT_STAKE")</f>
        <v>NA</v>
      </c>
      <c r="AF22" s="11" t="str">
        <f>_xll.SNL.Clients.Office.Excel.Functions.SPG(E22, "PCT_OWNED_INSIDERS")</f>
        <v>NA</v>
      </c>
      <c r="AG22" s="11" t="str">
        <f>_xll.SNL.Clients.Office.Excel.Functions.SPG(E22, "PCT_OWNED_STRATEGIC_HEDGE_FUND_MGRS_MORE_EQUAL5PCT_STAKE")</f>
        <v>NA</v>
      </c>
      <c r="AH22" s="11" t="str">
        <f>_xll.SNL.Clients.Office.Excel.Functions.SPG(E22, "PCT_OWNED_STRATEGIC_VC/PE_FIRMS_MORE_EQUAL5PCT_STAKE")</f>
        <v>NA</v>
      </c>
      <c r="AI22" s="11" t="str">
        <f>_xll.SNL.Clients.Office.Excel.Functions.SPG(E22, "PCT_OWNED_STRATEGIC_SOVEREIGN_WEALTH_FUNDS_MORE_EQUAL5PCT_STAKE")</f>
        <v>NA</v>
      </c>
      <c r="AJ22" s="11" t="str">
        <f>_xll.SNL.Clients.Office.Excel.Functions.SPG(E22, "PCT_OWNED_STRATEGIC_COMPANY_CONTROLLED_FOUNDATIONS")</f>
        <v>NA</v>
      </c>
      <c r="AK22" s="11" t="str">
        <f>_xll.SNL.Clients.Office.Excel.Functions.SPG(E22, "PCT_OWNED_STRATEGIC_ESOP")</f>
        <v>NA</v>
      </c>
      <c r="AL22" s="11" t="str">
        <f>_xll.SNL.Clients.Office.Excel.Functions.SPG(E22, "PCT_OWNED_STRATEGIC_STATE_OWNER")</f>
        <v>NA</v>
      </c>
      <c r="AM22" s="11" t="str">
        <f>_xll.SNL.Clients.Office.Excel.Functions.SPG(E22, "PCT_OWNED_STRATEGIC_CORPORATIONS_PRIVATE")</f>
        <v>NA</v>
      </c>
      <c r="AN22" s="11" t="str">
        <f>_xll.SNL.Clients.Office.Excel.Functions.SPG(E22, "PCT_OWNED_STRATEGIC_CORPORATIONS_PUBLIC")</f>
        <v>NA</v>
      </c>
    </row>
    <row r="23" spans="1:40" hidden="1" x14ac:dyDescent="0.35">
      <c r="A23" s="5">
        <v>46022</v>
      </c>
      <c r="B23" s="4" t="s">
        <v>57</v>
      </c>
      <c r="C23" s="4" t="s">
        <v>58</v>
      </c>
      <c r="D23" s="4" t="s">
        <v>227</v>
      </c>
      <c r="E23" s="8">
        <v>4500088</v>
      </c>
      <c r="F23" s="7">
        <v>5</v>
      </c>
      <c r="G23" s="9" t="str">
        <f>_xll.SNL.Clients.Office.Excel.Functions.SPG(E23, "SP_COMPANY_TYPE")</f>
        <v>Private Company</v>
      </c>
      <c r="H23" s="10" t="str">
        <f>_xll.SNL.Clients.Office.Excel.Functions.SPG(E23, "SP_COUNTRY_NAME")</f>
        <v>France</v>
      </c>
      <c r="J23" t="str">
        <f>_xll.SNL.Clients.Office.Excel.Functions.SPG(E23, "SP_PARENT_COUNTRY")</f>
        <v/>
      </c>
      <c r="K23" s="9" t="str">
        <f>_xll.SNL.Clients.Office.Excel.Functions.SPG(E23, "SP_PARENT_COMPANY_ID")</f>
        <v/>
      </c>
      <c r="L23" t="str">
        <f>_xll.SNL.Clients.Office.Excel.Functions.SPG(K23, "SP_COMPANY_TYPE")</f>
        <v>#INVALID COMPANY ID</v>
      </c>
      <c r="M23" s="9" t="str">
        <f>_xll.SNL.Clients.Office.Excel.Functions.SPG(E23, "SP_ULT_PARENT_COMPANY_NAME")</f>
        <v/>
      </c>
      <c r="N23" s="9" t="str">
        <f>_xll.SNL.Clients.Office.Excel.Functions.SPG(E23, "SP_ULT_PARENT_COUNTRY")</f>
        <v/>
      </c>
      <c r="O23" s="9" t="str">
        <f>_xll.SNL.Clients.Office.Excel.Functions.SPG(E23, "SP_ULT_PARENT_COMPANY_ID")</f>
        <v>NA</v>
      </c>
      <c r="P23" t="str">
        <f>_xll.SNL.Clients.Office.Excel.Functions.SPG(O23, "SP_COMPANY_TYPE")</f>
        <v>Public Company</v>
      </c>
      <c r="Q23" s="11" t="str">
        <f>_xll.SNL.Clients.Office.Excel.Functions.SPG(E23, "SP_PCT_SHARES_OWNED_ALL_INSTITUTIONS")</f>
        <v>NA</v>
      </c>
      <c r="R23" s="11" t="str">
        <f>_xll.SNL.Clients.Office.Excel.Functions.SPG(E23, "PCT_OWNED_INSTN_BANKS/INVEST_BANKS")</f>
        <v>NA</v>
      </c>
      <c r="S23" s="11" t="str">
        <f>_xll.SNL.Clients.Office.Excel.Functions.SPG(E23, "PCT_OWNED_INSTN_CHARITABLE_FOUNDATIONS")</f>
        <v>NA</v>
      </c>
      <c r="T23" s="11" t="str">
        <f>_xll.SNL.Clients.Office.Excel.Functions.SPG(E23, "PCT_OWNED_INSTN_CORP_PENSION_SPONSORS")</f>
        <v>NA</v>
      </c>
      <c r="U23" s="11" t="str">
        <f>_xll.SNL.Clients.Office.Excel.Functions.SPG(E23, "PCT_OWNED_INSTN_EDUCATIONAL/CULTURAL_ENDOWMENTS")</f>
        <v>NA</v>
      </c>
      <c r="V23" s="11" t="str">
        <f>_xll.SNL.Clients.Office.Excel.Functions.SPG(E23, "PCT_OWNED_INSTN_FAMILY_OFFICES/TRUSTS")</f>
        <v>NA</v>
      </c>
      <c r="W23" s="11" t="str">
        <f>_xll.SNL.Clients.Office.Excel.Functions.SPG(E23, "PCT_OWNED_INSTN_GOVT_PENSION_SPONSORS")</f>
        <v>NA</v>
      </c>
      <c r="X23" s="11" t="str">
        <f>_xll.SNL.Clients.Office.Excel.Functions.SPG(E23, "PCT_OWNED_INSTN_INSURANCE_COMPANIES")</f>
        <v>NA</v>
      </c>
      <c r="Y23" s="11" t="str">
        <f>_xll.SNL.Clients.Office.Excel.Functions.SPG(E23, "PCT_OWNED_INSTN_INVEST_MGRS")</f>
        <v>NA</v>
      </c>
      <c r="Z23" s="11" t="str">
        <f>_xll.SNL.Clients.Office.Excel.Functions.SPG(E23, "PCT_OWNED_INSTN_REIT")</f>
        <v>NA</v>
      </c>
      <c r="AA23" s="11" t="str">
        <f>_xll.SNL.Clients.Office.Excel.Functions.SPG(E23, "PCT_OWNED_INSTN_UNCLASSIFIED")</f>
        <v>NA</v>
      </c>
      <c r="AB23" s="11" t="str">
        <f>_xll.SNL.Clients.Office.Excel.Functions.SPG(E23, "PCT_OWNED_INSTN_UNION_PENSION_SPONSORS")</f>
        <v>NA</v>
      </c>
      <c r="AC23" s="11" t="str">
        <f>_xll.SNL.Clients.Office.Excel.Functions.SPG(E23, "PCT_OWNED_INSTN_HEDGE_FUND_MGRS_LESS5PCT_STAKE")</f>
        <v>NA</v>
      </c>
      <c r="AD23" s="11" t="str">
        <f>_xll.SNL.Clients.Office.Excel.Functions.SPG(E23, "PCT_OWNED_INSTN_SOVEREIGN_WEALTH_FUNDS_LESS5PCT_STAKE")</f>
        <v>NA</v>
      </c>
      <c r="AE23" s="11" t="str">
        <f>_xll.SNL.Clients.Office.Excel.Functions.SPG(E23, "PCT_OWNED_INSTN_VC/PE_FIRMS_LESS5PCT_STAKE")</f>
        <v>NA</v>
      </c>
      <c r="AF23" s="11" t="str">
        <f>_xll.SNL.Clients.Office.Excel.Functions.SPG(E23, "PCT_OWNED_INSIDERS")</f>
        <v>NA</v>
      </c>
      <c r="AG23" s="11" t="str">
        <f>_xll.SNL.Clients.Office.Excel.Functions.SPG(E23, "PCT_OWNED_STRATEGIC_HEDGE_FUND_MGRS_MORE_EQUAL5PCT_STAKE")</f>
        <v>NA</v>
      </c>
      <c r="AH23" s="11" t="str">
        <f>_xll.SNL.Clients.Office.Excel.Functions.SPG(E23, "PCT_OWNED_STRATEGIC_VC/PE_FIRMS_MORE_EQUAL5PCT_STAKE")</f>
        <v>NA</v>
      </c>
      <c r="AI23" s="11" t="str">
        <f>_xll.SNL.Clients.Office.Excel.Functions.SPG(E23, "PCT_OWNED_STRATEGIC_SOVEREIGN_WEALTH_FUNDS_MORE_EQUAL5PCT_STAKE")</f>
        <v>NA</v>
      </c>
      <c r="AJ23" s="11" t="str">
        <f>_xll.SNL.Clients.Office.Excel.Functions.SPG(E23, "PCT_OWNED_STRATEGIC_COMPANY_CONTROLLED_FOUNDATIONS")</f>
        <v>NA</v>
      </c>
      <c r="AK23" s="11" t="str">
        <f>_xll.SNL.Clients.Office.Excel.Functions.SPG(E23, "PCT_OWNED_STRATEGIC_ESOP")</f>
        <v>NA</v>
      </c>
      <c r="AL23" s="11" t="str">
        <f>_xll.SNL.Clients.Office.Excel.Functions.SPG(E23, "PCT_OWNED_STRATEGIC_STATE_OWNER")</f>
        <v>NA</v>
      </c>
      <c r="AM23" s="11" t="str">
        <f>_xll.SNL.Clients.Office.Excel.Functions.SPG(E23, "PCT_OWNED_STRATEGIC_CORPORATIONS_PRIVATE")</f>
        <v>NA</v>
      </c>
      <c r="AN23" s="11" t="str">
        <f>_xll.SNL.Clients.Office.Excel.Functions.SPG(E23, "PCT_OWNED_STRATEGIC_CORPORATIONS_PUBLIC")</f>
        <v>NA</v>
      </c>
    </row>
    <row r="24" spans="1:40" x14ac:dyDescent="0.35">
      <c r="A24" s="5">
        <v>46022</v>
      </c>
      <c r="B24" s="4" t="s">
        <v>60</v>
      </c>
      <c r="C24" s="4" t="s">
        <v>61</v>
      </c>
      <c r="D24" s="4" t="s">
        <v>228</v>
      </c>
      <c r="E24" s="8">
        <v>4351190</v>
      </c>
      <c r="F24" s="7">
        <v>87</v>
      </c>
      <c r="G24" s="9" t="str">
        <f>_xll.SNL.Clients.Office.Excel.Functions.SPG(E24, "SP_COMPANY_TYPE")</f>
        <v>Public Company</v>
      </c>
      <c r="H24" s="10" t="str">
        <f>_xll.SNL.Clients.Office.Excel.Functions.SPG(E24, "SP_COUNTRY_NAME")</f>
        <v>South Africa</v>
      </c>
      <c r="J24" t="str">
        <f>_xll.SNL.Clients.Office.Excel.Functions.SPG(E24, "SP_PARENT_COUNTRY")</f>
        <v/>
      </c>
      <c r="K24" s="9" t="str">
        <f>_xll.SNL.Clients.Office.Excel.Functions.SPG(E24, "SP_PARENT_COMPANY_ID")</f>
        <v/>
      </c>
      <c r="L24" t="str">
        <f>_xll.SNL.Clients.Office.Excel.Functions.SPG(K24, "SP_COMPANY_TYPE")</f>
        <v>#INVALID COMPANY ID</v>
      </c>
      <c r="M24" s="9" t="str">
        <f>_xll.SNL.Clients.Office.Excel.Functions.SPG(E24, "SP_ULT_PARENT_COMPANY_NAME")</f>
        <v/>
      </c>
      <c r="N24" s="9" t="str">
        <f>_xll.SNL.Clients.Office.Excel.Functions.SPG(E24, "SP_ULT_PARENT_COUNTRY")</f>
        <v/>
      </c>
      <c r="O24" s="9" t="str">
        <f>_xll.SNL.Clients.Office.Excel.Functions.SPG(E24, "SP_ULT_PARENT_COMPANY_ID")</f>
        <v>NA</v>
      </c>
      <c r="P24" t="str">
        <f>_xll.SNL.Clients.Office.Excel.Functions.SPG(O24, "SP_COMPANY_TYPE")</f>
        <v>Public Company</v>
      </c>
      <c r="Q24" s="11">
        <f>_xll.SNL.Clients.Office.Excel.Functions.SPG(E24, "SP_PCT_SHARES_OWNED_ALL_INSTITUTIONS")</f>
        <v>69.17</v>
      </c>
      <c r="R24" s="11">
        <f>_xll.SNL.Clients.Office.Excel.Functions.SPG(E24, "PCT_OWNED_INSTN_BANKS/INVEST_BANKS")</f>
        <v>0</v>
      </c>
      <c r="S24" s="11" t="str">
        <f>_xll.SNL.Clients.Office.Excel.Functions.SPG(E24, "PCT_OWNED_INSTN_CHARITABLE_FOUNDATIONS")</f>
        <v>NA</v>
      </c>
      <c r="T24" s="11">
        <f>_xll.SNL.Clients.Office.Excel.Functions.SPG(E24, "PCT_OWNED_INSTN_CORP_PENSION_SPONSORS")</f>
        <v>0.01</v>
      </c>
      <c r="U24" s="11" t="str">
        <f>_xll.SNL.Clients.Office.Excel.Functions.SPG(E24, "PCT_OWNED_INSTN_EDUCATIONAL/CULTURAL_ENDOWMENTS")</f>
        <v>NA</v>
      </c>
      <c r="V24" s="11">
        <f>_xll.SNL.Clients.Office.Excel.Functions.SPG(E24, "PCT_OWNED_INSTN_FAMILY_OFFICES/TRUSTS")</f>
        <v>6.56</v>
      </c>
      <c r="W24" s="11">
        <f>_xll.SNL.Clients.Office.Excel.Functions.SPG(E24, "PCT_OWNED_INSTN_GOVT_PENSION_SPONSORS")</f>
        <v>0.24</v>
      </c>
      <c r="X24" s="11" t="str">
        <f>_xll.SNL.Clients.Office.Excel.Functions.SPG(E24, "PCT_OWNED_INSTN_INSURANCE_COMPANIES")</f>
        <v>NA</v>
      </c>
      <c r="Y24" s="11">
        <f>_xll.SNL.Clients.Office.Excel.Functions.SPG(E24, "PCT_OWNED_INSTN_INVEST_MGRS")</f>
        <v>58.04</v>
      </c>
      <c r="Z24" s="11" t="str">
        <f>_xll.SNL.Clients.Office.Excel.Functions.SPG(E24, "PCT_OWNED_INSTN_REIT")</f>
        <v>NA</v>
      </c>
      <c r="AA24" s="11">
        <f>_xll.SNL.Clients.Office.Excel.Functions.SPG(E24, "PCT_OWNED_INSTN_UNCLASSIFIED")</f>
        <v>0.82</v>
      </c>
      <c r="AB24" s="11" t="str">
        <f>_xll.SNL.Clients.Office.Excel.Functions.SPG(E24, "PCT_OWNED_INSTN_UNION_PENSION_SPONSORS")</f>
        <v>NA</v>
      </c>
      <c r="AC24" s="11">
        <f>_xll.SNL.Clients.Office.Excel.Functions.SPG(E24, "PCT_OWNED_INSTN_HEDGE_FUND_MGRS_LESS5PCT_STAKE")</f>
        <v>0.74</v>
      </c>
      <c r="AD24" s="11">
        <f>_xll.SNL.Clients.Office.Excel.Functions.SPG(E24, "PCT_OWNED_INSTN_SOVEREIGN_WEALTH_FUNDS_LESS5PCT_STAKE")</f>
        <v>2.76</v>
      </c>
      <c r="AE24" s="11" t="str">
        <f>_xll.SNL.Clients.Office.Excel.Functions.SPG(E24, "PCT_OWNED_INSTN_VC/PE_FIRMS_LESS5PCT_STAKE")</f>
        <v>NA</v>
      </c>
      <c r="AF24" s="11">
        <f>_xll.SNL.Clients.Office.Excel.Functions.SPG(E24, "PCT_OWNED_INSIDERS")</f>
        <v>0.06</v>
      </c>
      <c r="AG24" s="11" t="str">
        <f>_xll.SNL.Clients.Office.Excel.Functions.SPG(E24, "PCT_OWNED_STRATEGIC_HEDGE_FUND_MGRS_MORE_EQUAL5PCT_STAKE")</f>
        <v>NA</v>
      </c>
      <c r="AH24" s="11" t="str">
        <f>_xll.SNL.Clients.Office.Excel.Functions.SPG(E24, "PCT_OWNED_STRATEGIC_VC/PE_FIRMS_MORE_EQUAL5PCT_STAKE")</f>
        <v>NA</v>
      </c>
      <c r="AI24" s="11" t="str">
        <f>_xll.SNL.Clients.Office.Excel.Functions.SPG(E24, "PCT_OWNED_STRATEGIC_SOVEREIGN_WEALTH_FUNDS_MORE_EQUAL5PCT_STAKE")</f>
        <v>NA</v>
      </c>
      <c r="AJ24" s="11" t="str">
        <f>_xll.SNL.Clients.Office.Excel.Functions.SPG(E24, "PCT_OWNED_STRATEGIC_COMPANY_CONTROLLED_FOUNDATIONS")</f>
        <v>NA</v>
      </c>
      <c r="AK24" s="11" t="str">
        <f>_xll.SNL.Clients.Office.Excel.Functions.SPG(E24, "PCT_OWNED_STRATEGIC_ESOP")</f>
        <v>NA</v>
      </c>
      <c r="AL24" s="11" t="str">
        <f>_xll.SNL.Clients.Office.Excel.Functions.SPG(E24, "PCT_OWNED_STRATEGIC_STATE_OWNER")</f>
        <v>NA</v>
      </c>
      <c r="AM24" s="11" t="str">
        <f>_xll.SNL.Clients.Office.Excel.Functions.SPG(E24, "PCT_OWNED_STRATEGIC_CORPORATIONS_PRIVATE")</f>
        <v>NA</v>
      </c>
      <c r="AN24" s="11" t="str">
        <f>_xll.SNL.Clients.Office.Excel.Functions.SPG(E24, "PCT_OWNED_STRATEGIC_CORPORATIONS_PUBLIC")</f>
        <v>NA</v>
      </c>
    </row>
    <row r="25" spans="1:40" hidden="1" x14ac:dyDescent="0.35">
      <c r="A25" s="5">
        <v>46022</v>
      </c>
      <c r="B25" s="4" t="s">
        <v>60</v>
      </c>
      <c r="C25" s="4" t="s">
        <v>61</v>
      </c>
      <c r="D25" s="4" t="s">
        <v>229</v>
      </c>
      <c r="E25" s="8">
        <v>4353456</v>
      </c>
      <c r="F25" s="7">
        <v>13</v>
      </c>
      <c r="G25" s="9" t="str">
        <f>_xll.SNL.Clients.Office.Excel.Functions.SPG(E25, "SP_COMPANY_TYPE")</f>
        <v>Private Company</v>
      </c>
      <c r="H25" s="10" t="str">
        <f>_xll.SNL.Clients.Office.Excel.Functions.SPG(E25, "SP_COUNTRY_NAME")</f>
        <v>China</v>
      </c>
      <c r="J25" t="str">
        <f>_xll.SNL.Clients.Office.Excel.Functions.SPG(E25, "SP_PARENT_COUNTRY")</f>
        <v/>
      </c>
      <c r="K25" s="9" t="str">
        <f>_xll.SNL.Clients.Office.Excel.Functions.SPG(E25, "SP_PARENT_COMPANY_ID")</f>
        <v/>
      </c>
      <c r="L25" t="str">
        <f>_xll.SNL.Clients.Office.Excel.Functions.SPG(K25, "SP_COMPANY_TYPE")</f>
        <v>#INVALID COMPANY ID</v>
      </c>
      <c r="M25" s="9" t="str">
        <f>_xll.SNL.Clients.Office.Excel.Functions.SPG(E25, "SP_ULT_PARENT_COMPANY_NAME")</f>
        <v/>
      </c>
      <c r="N25" s="9" t="str">
        <f>_xll.SNL.Clients.Office.Excel.Functions.SPG(E25, "SP_ULT_PARENT_COUNTRY")</f>
        <v/>
      </c>
      <c r="O25" s="9" t="str">
        <f>_xll.SNL.Clients.Office.Excel.Functions.SPG(E25, "SP_ULT_PARENT_COMPANY_ID")</f>
        <v>NA</v>
      </c>
      <c r="P25" t="str">
        <f>_xll.SNL.Clients.Office.Excel.Functions.SPG(O25, "SP_COMPANY_TYPE")</f>
        <v>Public Company</v>
      </c>
      <c r="Q25" s="11" t="str">
        <f>_xll.SNL.Clients.Office.Excel.Functions.SPG(E25, "SP_PCT_SHARES_OWNED_ALL_INSTITUTIONS")</f>
        <v>NA</v>
      </c>
      <c r="R25" s="11" t="str">
        <f>_xll.SNL.Clients.Office.Excel.Functions.SPG(E25, "PCT_OWNED_INSTN_BANKS/INVEST_BANKS")</f>
        <v>NA</v>
      </c>
      <c r="S25" s="11" t="str">
        <f>_xll.SNL.Clients.Office.Excel.Functions.SPG(E25, "PCT_OWNED_INSTN_CHARITABLE_FOUNDATIONS")</f>
        <v>NA</v>
      </c>
      <c r="T25" s="11" t="str">
        <f>_xll.SNL.Clients.Office.Excel.Functions.SPG(E25, "PCT_OWNED_INSTN_CORP_PENSION_SPONSORS")</f>
        <v>NA</v>
      </c>
      <c r="U25" s="11" t="str">
        <f>_xll.SNL.Clients.Office.Excel.Functions.SPG(E25, "PCT_OWNED_INSTN_EDUCATIONAL/CULTURAL_ENDOWMENTS")</f>
        <v>NA</v>
      </c>
      <c r="V25" s="11" t="str">
        <f>_xll.SNL.Clients.Office.Excel.Functions.SPG(E25, "PCT_OWNED_INSTN_FAMILY_OFFICES/TRUSTS")</f>
        <v>NA</v>
      </c>
      <c r="W25" s="11" t="str">
        <f>_xll.SNL.Clients.Office.Excel.Functions.SPG(E25, "PCT_OWNED_INSTN_GOVT_PENSION_SPONSORS")</f>
        <v>NA</v>
      </c>
      <c r="X25" s="11" t="str">
        <f>_xll.SNL.Clients.Office.Excel.Functions.SPG(E25, "PCT_OWNED_INSTN_INSURANCE_COMPANIES")</f>
        <v>NA</v>
      </c>
      <c r="Y25" s="11" t="str">
        <f>_xll.SNL.Clients.Office.Excel.Functions.SPG(E25, "PCT_OWNED_INSTN_INVEST_MGRS")</f>
        <v>NA</v>
      </c>
      <c r="Z25" s="11" t="str">
        <f>_xll.SNL.Clients.Office.Excel.Functions.SPG(E25, "PCT_OWNED_INSTN_REIT")</f>
        <v>NA</v>
      </c>
      <c r="AA25" s="11" t="str">
        <f>_xll.SNL.Clients.Office.Excel.Functions.SPG(E25, "PCT_OWNED_INSTN_UNCLASSIFIED")</f>
        <v>NA</v>
      </c>
      <c r="AB25" s="11" t="str">
        <f>_xll.SNL.Clients.Office.Excel.Functions.SPG(E25, "PCT_OWNED_INSTN_UNION_PENSION_SPONSORS")</f>
        <v>NA</v>
      </c>
      <c r="AC25" s="11" t="str">
        <f>_xll.SNL.Clients.Office.Excel.Functions.SPG(E25, "PCT_OWNED_INSTN_HEDGE_FUND_MGRS_LESS5PCT_STAKE")</f>
        <v>NA</v>
      </c>
      <c r="AD25" s="11" t="str">
        <f>_xll.SNL.Clients.Office.Excel.Functions.SPG(E25, "PCT_OWNED_INSTN_SOVEREIGN_WEALTH_FUNDS_LESS5PCT_STAKE")</f>
        <v>NA</v>
      </c>
      <c r="AE25" s="11" t="str">
        <f>_xll.SNL.Clients.Office.Excel.Functions.SPG(E25, "PCT_OWNED_INSTN_VC/PE_FIRMS_LESS5PCT_STAKE")</f>
        <v>NA</v>
      </c>
      <c r="AF25" s="11" t="str">
        <f>_xll.SNL.Clients.Office.Excel.Functions.SPG(E25, "PCT_OWNED_INSIDERS")</f>
        <v>NA</v>
      </c>
      <c r="AG25" s="11" t="str">
        <f>_xll.SNL.Clients.Office.Excel.Functions.SPG(E25, "PCT_OWNED_STRATEGIC_HEDGE_FUND_MGRS_MORE_EQUAL5PCT_STAKE")</f>
        <v>NA</v>
      </c>
      <c r="AH25" s="11" t="str">
        <f>_xll.SNL.Clients.Office.Excel.Functions.SPG(E25, "PCT_OWNED_STRATEGIC_VC/PE_FIRMS_MORE_EQUAL5PCT_STAKE")</f>
        <v>NA</v>
      </c>
      <c r="AI25" s="11" t="str">
        <f>_xll.SNL.Clients.Office.Excel.Functions.SPG(E25, "PCT_OWNED_STRATEGIC_SOVEREIGN_WEALTH_FUNDS_MORE_EQUAL5PCT_STAKE")</f>
        <v>NA</v>
      </c>
      <c r="AJ25" s="11" t="str">
        <f>_xll.SNL.Clients.Office.Excel.Functions.SPG(E25, "PCT_OWNED_STRATEGIC_COMPANY_CONTROLLED_FOUNDATIONS")</f>
        <v>NA</v>
      </c>
      <c r="AK25" s="11" t="str">
        <f>_xll.SNL.Clients.Office.Excel.Functions.SPG(E25, "PCT_OWNED_STRATEGIC_ESOP")</f>
        <v>NA</v>
      </c>
      <c r="AL25" s="11" t="str">
        <f>_xll.SNL.Clients.Office.Excel.Functions.SPG(E25, "PCT_OWNED_STRATEGIC_STATE_OWNER")</f>
        <v>NA</v>
      </c>
      <c r="AM25" s="11" t="str">
        <f>_xll.SNL.Clients.Office.Excel.Functions.SPG(E25, "PCT_OWNED_STRATEGIC_CORPORATIONS_PRIVATE")</f>
        <v>NA</v>
      </c>
      <c r="AN25" s="11" t="str">
        <f>_xll.SNL.Clients.Office.Excel.Functions.SPG(E25, "PCT_OWNED_STRATEGIC_CORPORATIONS_PUBLIC")</f>
        <v>NA</v>
      </c>
    </row>
    <row r="26" spans="1:40" hidden="1" x14ac:dyDescent="0.35">
      <c r="A26" s="5">
        <v>46022</v>
      </c>
      <c r="B26" s="4" t="s">
        <v>101</v>
      </c>
      <c r="C26" s="4" t="s">
        <v>102</v>
      </c>
      <c r="D26" s="4" t="s">
        <v>230</v>
      </c>
      <c r="E26" s="8">
        <v>4351437</v>
      </c>
      <c r="F26" s="7">
        <v>100</v>
      </c>
      <c r="G26" s="9" t="str">
        <f>_xll.SNL.Clients.Office.Excel.Functions.SPG(E26, "SP_COMPANY_TYPE")</f>
        <v>Private Company</v>
      </c>
      <c r="H26" s="10" t="str">
        <f>_xll.SNL.Clients.Office.Excel.Functions.SPG(E26, "SP_COUNTRY_NAME")</f>
        <v>China</v>
      </c>
      <c r="J26" t="str">
        <f>_xll.SNL.Clients.Office.Excel.Functions.SPG(E26, "SP_PARENT_COUNTRY")</f>
        <v>China</v>
      </c>
      <c r="K26" s="9" t="str">
        <f>_xll.SNL.Clients.Office.Excel.Functions.SPG(E26, "SP_PARENT_COMPANY_ID")</f>
        <v>8393263</v>
      </c>
      <c r="L26" t="str">
        <f>_xll.SNL.Clients.Office.Excel.Functions.SPG(K26, "SP_COMPANY_TYPE")</f>
        <v>Government Institution</v>
      </c>
      <c r="M26" s="9" t="str">
        <f>_xll.SNL.Clients.Office.Excel.Functions.SPG(E26, "SP_ULT_PARENT_COMPANY_NAME")</f>
        <v>State-Owned Assets Supervision And Administration Commission Of Gansu Provincial</v>
      </c>
      <c r="N26" s="9" t="str">
        <f>_xll.SNL.Clients.Office.Excel.Functions.SPG(E26, "SP_ULT_PARENT_COUNTRY")</f>
        <v>China</v>
      </c>
      <c r="O26" s="9">
        <f>_xll.SNL.Clients.Office.Excel.Functions.SPG(E26, "SP_ULT_PARENT_COMPANY_ID")</f>
        <v>8393263</v>
      </c>
      <c r="P26" t="str">
        <f>_xll.SNL.Clients.Office.Excel.Functions.SPG(O26, "SP_COMPANY_TYPE")</f>
        <v>Government Institution</v>
      </c>
      <c r="Q26" s="11" t="str">
        <f>_xll.SNL.Clients.Office.Excel.Functions.SPG(E26, "SP_PCT_SHARES_OWNED_ALL_INSTITUTIONS")</f>
        <v>NA</v>
      </c>
      <c r="R26" s="11" t="str">
        <f>_xll.SNL.Clients.Office.Excel.Functions.SPG(E26, "PCT_OWNED_INSTN_BANKS/INVEST_BANKS")</f>
        <v>NA</v>
      </c>
      <c r="S26" s="11" t="str">
        <f>_xll.SNL.Clients.Office.Excel.Functions.SPG(E26, "PCT_OWNED_INSTN_CHARITABLE_FOUNDATIONS")</f>
        <v>NA</v>
      </c>
      <c r="T26" s="11" t="str">
        <f>_xll.SNL.Clients.Office.Excel.Functions.SPG(E26, "PCT_OWNED_INSTN_CORP_PENSION_SPONSORS")</f>
        <v>NA</v>
      </c>
      <c r="U26" s="11" t="str">
        <f>_xll.SNL.Clients.Office.Excel.Functions.SPG(E26, "PCT_OWNED_INSTN_EDUCATIONAL/CULTURAL_ENDOWMENTS")</f>
        <v>NA</v>
      </c>
      <c r="V26" s="11" t="str">
        <f>_xll.SNL.Clients.Office.Excel.Functions.SPG(E26, "PCT_OWNED_INSTN_FAMILY_OFFICES/TRUSTS")</f>
        <v>NA</v>
      </c>
      <c r="W26" s="11" t="str">
        <f>_xll.SNL.Clients.Office.Excel.Functions.SPG(E26, "PCT_OWNED_INSTN_GOVT_PENSION_SPONSORS")</f>
        <v>NA</v>
      </c>
      <c r="X26" s="11" t="str">
        <f>_xll.SNL.Clients.Office.Excel.Functions.SPG(E26, "PCT_OWNED_INSTN_INSURANCE_COMPANIES")</f>
        <v>NA</v>
      </c>
      <c r="Y26" s="11" t="str">
        <f>_xll.SNL.Clients.Office.Excel.Functions.SPG(E26, "PCT_OWNED_INSTN_INVEST_MGRS")</f>
        <v>NA</v>
      </c>
      <c r="Z26" s="11" t="str">
        <f>_xll.SNL.Clients.Office.Excel.Functions.SPG(E26, "PCT_OWNED_INSTN_REIT")</f>
        <v>NA</v>
      </c>
      <c r="AA26" s="11" t="str">
        <f>_xll.SNL.Clients.Office.Excel.Functions.SPG(E26, "PCT_OWNED_INSTN_UNCLASSIFIED")</f>
        <v>NA</v>
      </c>
      <c r="AB26" s="11" t="str">
        <f>_xll.SNL.Clients.Office.Excel.Functions.SPG(E26, "PCT_OWNED_INSTN_UNION_PENSION_SPONSORS")</f>
        <v>NA</v>
      </c>
      <c r="AC26" s="11" t="str">
        <f>_xll.SNL.Clients.Office.Excel.Functions.SPG(E26, "PCT_OWNED_INSTN_HEDGE_FUND_MGRS_LESS5PCT_STAKE")</f>
        <v>NA</v>
      </c>
      <c r="AD26" s="11" t="str">
        <f>_xll.SNL.Clients.Office.Excel.Functions.SPG(E26, "PCT_OWNED_INSTN_SOVEREIGN_WEALTH_FUNDS_LESS5PCT_STAKE")</f>
        <v>NA</v>
      </c>
      <c r="AE26" s="11" t="str">
        <f>_xll.SNL.Clients.Office.Excel.Functions.SPG(E26, "PCT_OWNED_INSTN_VC/PE_FIRMS_LESS5PCT_STAKE")</f>
        <v>NA</v>
      </c>
      <c r="AF26" s="11" t="str">
        <f>_xll.SNL.Clients.Office.Excel.Functions.SPG(E26, "PCT_OWNED_INSIDERS")</f>
        <v>NA</v>
      </c>
      <c r="AG26" s="11" t="str">
        <f>_xll.SNL.Clients.Office.Excel.Functions.SPG(E26, "PCT_OWNED_STRATEGIC_HEDGE_FUND_MGRS_MORE_EQUAL5PCT_STAKE")</f>
        <v>NA</v>
      </c>
      <c r="AH26" s="11" t="str">
        <f>_xll.SNL.Clients.Office.Excel.Functions.SPG(E26, "PCT_OWNED_STRATEGIC_VC/PE_FIRMS_MORE_EQUAL5PCT_STAKE")</f>
        <v>NA</v>
      </c>
      <c r="AI26" s="11" t="str">
        <f>_xll.SNL.Clients.Office.Excel.Functions.SPG(E26, "PCT_OWNED_STRATEGIC_SOVEREIGN_WEALTH_FUNDS_MORE_EQUAL5PCT_STAKE")</f>
        <v>NA</v>
      </c>
      <c r="AJ26" s="11" t="str">
        <f>_xll.SNL.Clients.Office.Excel.Functions.SPG(E26, "PCT_OWNED_STRATEGIC_COMPANY_CONTROLLED_FOUNDATIONS")</f>
        <v>NA</v>
      </c>
      <c r="AK26" s="11" t="str">
        <f>_xll.SNL.Clients.Office.Excel.Functions.SPG(E26, "PCT_OWNED_STRATEGIC_ESOP")</f>
        <v>NA</v>
      </c>
      <c r="AL26" s="11" t="str">
        <f>_xll.SNL.Clients.Office.Excel.Functions.SPG(E26, "PCT_OWNED_STRATEGIC_STATE_OWNER")</f>
        <v>NA</v>
      </c>
      <c r="AM26" s="11" t="str">
        <f>_xll.SNL.Clients.Office.Excel.Functions.SPG(E26, "PCT_OWNED_STRATEGIC_CORPORATIONS_PRIVATE")</f>
        <v>NA</v>
      </c>
      <c r="AN26" s="11" t="str">
        <f>_xll.SNL.Clients.Office.Excel.Functions.SPG(E26, "PCT_OWNED_STRATEGIC_CORPORATIONS_PUBLIC")</f>
        <v>NA</v>
      </c>
    </row>
    <row r="27" spans="1:40" x14ac:dyDescent="0.35">
      <c r="A27" s="5">
        <v>46022</v>
      </c>
      <c r="B27" s="4" t="s">
        <v>93</v>
      </c>
      <c r="C27" s="4" t="s">
        <v>94</v>
      </c>
      <c r="D27" s="4" t="s">
        <v>215</v>
      </c>
      <c r="E27" s="8">
        <v>4355482</v>
      </c>
      <c r="F27" s="7">
        <v>100</v>
      </c>
      <c r="G27" s="9" t="str">
        <f>_xll.SNL.Clients.Office.Excel.Functions.SPG(E27, "SP_COMPANY_TYPE")</f>
        <v>Public Company</v>
      </c>
      <c r="H27" s="10" t="str">
        <f>_xll.SNL.Clients.Office.Excel.Functions.SPG(E27, "SP_COUNTRY_NAME")</f>
        <v>China</v>
      </c>
      <c r="J27" t="str">
        <f>_xll.SNL.Clients.Office.Excel.Functions.SPG(E27, "SP_PARENT_COUNTRY")</f>
        <v>China</v>
      </c>
      <c r="K27" s="9" t="str">
        <f>_xll.SNL.Clients.Office.Excel.Functions.SPG(E27, "SP_PARENT_COMPANY_ID")</f>
        <v>4415549</v>
      </c>
      <c r="L27" t="str">
        <f>_xll.SNL.Clients.Office.Excel.Functions.SPG(K27, "SP_COMPANY_TYPE")</f>
        <v>Private Company</v>
      </c>
      <c r="M27" s="9" t="str">
        <f>_xll.SNL.Clients.Office.Excel.Functions.SPG(E27, "SP_ULT_PARENT_COMPANY_NAME")</f>
        <v>Xinjiang NonFerrous Metal Industry (Group) Co.Ltd</v>
      </c>
      <c r="N27" s="9" t="str">
        <f>_xll.SNL.Clients.Office.Excel.Functions.SPG(E27, "SP_ULT_PARENT_COUNTRY")</f>
        <v>China</v>
      </c>
      <c r="O27" s="9">
        <f>_xll.SNL.Clients.Office.Excel.Functions.SPG(E27, "SP_ULT_PARENT_COMPANY_ID")</f>
        <v>4415549</v>
      </c>
      <c r="P27" t="str">
        <f>_xll.SNL.Clients.Office.Excel.Functions.SPG(O27, "SP_COMPANY_TYPE")</f>
        <v>Private Company</v>
      </c>
      <c r="Q27" s="11">
        <f>_xll.SNL.Clients.Office.Excel.Functions.SPG(E27, "SP_PCT_SHARES_OWNED_ALL_INSTITUTIONS")</f>
        <v>5.56</v>
      </c>
      <c r="R27" s="11" t="str">
        <f>_xll.SNL.Clients.Office.Excel.Functions.SPG(E27, "PCT_OWNED_INSTN_BANKS/INVEST_BANKS")</f>
        <v>NA</v>
      </c>
      <c r="S27" s="11" t="str">
        <f>_xll.SNL.Clients.Office.Excel.Functions.SPG(E27, "PCT_OWNED_INSTN_CHARITABLE_FOUNDATIONS")</f>
        <v>NA</v>
      </c>
      <c r="T27" s="11" t="str">
        <f>_xll.SNL.Clients.Office.Excel.Functions.SPG(E27, "PCT_OWNED_INSTN_CORP_PENSION_SPONSORS")</f>
        <v>NA</v>
      </c>
      <c r="U27" s="11" t="str">
        <f>_xll.SNL.Clients.Office.Excel.Functions.SPG(E27, "PCT_OWNED_INSTN_EDUCATIONAL/CULTURAL_ENDOWMENTS")</f>
        <v>NA</v>
      </c>
      <c r="V27" s="11" t="str">
        <f>_xll.SNL.Clients.Office.Excel.Functions.SPG(E27, "PCT_OWNED_INSTN_FAMILY_OFFICES/TRUSTS")</f>
        <v>NA</v>
      </c>
      <c r="W27" s="11" t="str">
        <f>_xll.SNL.Clients.Office.Excel.Functions.SPG(E27, "PCT_OWNED_INSTN_GOVT_PENSION_SPONSORS")</f>
        <v>NA</v>
      </c>
      <c r="X27" s="11" t="str">
        <f>_xll.SNL.Clients.Office.Excel.Functions.SPG(E27, "PCT_OWNED_INSTN_INSURANCE_COMPANIES")</f>
        <v>NA</v>
      </c>
      <c r="Y27" s="11">
        <f>_xll.SNL.Clients.Office.Excel.Functions.SPG(E27, "PCT_OWNED_INSTN_INVEST_MGRS")</f>
        <v>5.56</v>
      </c>
      <c r="Z27" s="11" t="str">
        <f>_xll.SNL.Clients.Office.Excel.Functions.SPG(E27, "PCT_OWNED_INSTN_REIT")</f>
        <v>NA</v>
      </c>
      <c r="AA27" s="11" t="str">
        <f>_xll.SNL.Clients.Office.Excel.Functions.SPG(E27, "PCT_OWNED_INSTN_UNCLASSIFIED")</f>
        <v>NA</v>
      </c>
      <c r="AB27" s="11" t="str">
        <f>_xll.SNL.Clients.Office.Excel.Functions.SPG(E27, "PCT_OWNED_INSTN_UNION_PENSION_SPONSORS")</f>
        <v>NA</v>
      </c>
      <c r="AC27" s="11" t="str">
        <f>_xll.SNL.Clients.Office.Excel.Functions.SPG(E27, "PCT_OWNED_INSTN_HEDGE_FUND_MGRS_LESS5PCT_STAKE")</f>
        <v>NA</v>
      </c>
      <c r="AD27" s="11" t="str">
        <f>_xll.SNL.Clients.Office.Excel.Functions.SPG(E27, "PCT_OWNED_INSTN_SOVEREIGN_WEALTH_FUNDS_LESS5PCT_STAKE")</f>
        <v>NA</v>
      </c>
      <c r="AE27" s="11" t="str">
        <f>_xll.SNL.Clients.Office.Excel.Functions.SPG(E27, "PCT_OWNED_INSTN_VC/PE_FIRMS_LESS5PCT_STAKE")</f>
        <v>NA</v>
      </c>
      <c r="AF27" s="11">
        <f>_xll.SNL.Clients.Office.Excel.Functions.SPG(E27, "PCT_OWNED_INSIDERS")</f>
        <v>12.8</v>
      </c>
      <c r="AG27" s="11" t="str">
        <f>_xll.SNL.Clients.Office.Excel.Functions.SPG(E27, "PCT_OWNED_STRATEGIC_HEDGE_FUND_MGRS_MORE_EQUAL5PCT_STAKE")</f>
        <v>NA</v>
      </c>
      <c r="AH27" s="11" t="str">
        <f>_xll.SNL.Clients.Office.Excel.Functions.SPG(E27, "PCT_OWNED_STRATEGIC_VC/PE_FIRMS_MORE_EQUAL5PCT_STAKE")</f>
        <v>NA</v>
      </c>
      <c r="AI27" s="11" t="str">
        <f>_xll.SNL.Clients.Office.Excel.Functions.SPG(E27, "PCT_OWNED_STRATEGIC_SOVEREIGN_WEALTH_FUNDS_MORE_EQUAL5PCT_STAKE")</f>
        <v>NA</v>
      </c>
      <c r="AJ27" s="11" t="str">
        <f>_xll.SNL.Clients.Office.Excel.Functions.SPG(E27, "PCT_OWNED_STRATEGIC_COMPANY_CONTROLLED_FOUNDATIONS")</f>
        <v>NA</v>
      </c>
      <c r="AK27" s="11" t="str">
        <f>_xll.SNL.Clients.Office.Excel.Functions.SPG(E27, "PCT_OWNED_STRATEGIC_ESOP")</f>
        <v>NA</v>
      </c>
      <c r="AL27" s="11" t="str">
        <f>_xll.SNL.Clients.Office.Excel.Functions.SPG(E27, "PCT_OWNED_STRATEGIC_STATE_OWNER")</f>
        <v>NA</v>
      </c>
      <c r="AM27" s="11">
        <f>_xll.SNL.Clients.Office.Excel.Functions.SPG(E27, "PCT_OWNED_STRATEGIC_CORPORATIONS_PRIVATE")</f>
        <v>46.61</v>
      </c>
      <c r="AN27" s="11">
        <f>_xll.SNL.Clients.Office.Excel.Functions.SPG(E27, "PCT_OWNED_STRATEGIC_CORPORATIONS_PUBLIC")</f>
        <v>2.69</v>
      </c>
    </row>
    <row r="28" spans="1:40" x14ac:dyDescent="0.35">
      <c r="A28" s="5">
        <v>46022</v>
      </c>
      <c r="B28" s="4" t="s">
        <v>95</v>
      </c>
      <c r="C28" s="4" t="s">
        <v>96</v>
      </c>
      <c r="D28" s="4" t="s">
        <v>231</v>
      </c>
      <c r="E28" s="8">
        <v>4649760</v>
      </c>
      <c r="F28" s="7">
        <v>85</v>
      </c>
      <c r="G28" s="9" t="str">
        <f>_xll.SNL.Clients.Office.Excel.Functions.SPG(E28, "SP_COMPANY_TYPE")</f>
        <v>Public Company</v>
      </c>
      <c r="H28" s="10" t="str">
        <f>_xll.SNL.Clients.Office.Excel.Functions.SPG(E28, "SP_COUNTRY_NAME")</f>
        <v>China</v>
      </c>
      <c r="J28" t="str">
        <f>_xll.SNL.Clients.Office.Excel.Functions.SPG(E28, "SP_PARENT_COUNTRY")</f>
        <v/>
      </c>
      <c r="K28" s="9" t="str">
        <f>_xll.SNL.Clients.Office.Excel.Functions.SPG(E28, "SP_PARENT_COMPANY_ID")</f>
        <v/>
      </c>
      <c r="L28" t="str">
        <f>_xll.SNL.Clients.Office.Excel.Functions.SPG(K28, "SP_COMPANY_TYPE")</f>
        <v>#INVALID COMPANY ID</v>
      </c>
      <c r="M28" s="9" t="str">
        <f>_xll.SNL.Clients.Office.Excel.Functions.SPG(E28, "SP_ULT_PARENT_COMPANY_NAME")</f>
        <v/>
      </c>
      <c r="N28" s="9" t="str">
        <f>_xll.SNL.Clients.Office.Excel.Functions.SPG(E28, "SP_ULT_PARENT_COUNTRY")</f>
        <v/>
      </c>
      <c r="O28" s="9" t="str">
        <f>_xll.SNL.Clients.Office.Excel.Functions.SPG(E28, "SP_ULT_PARENT_COMPANY_ID")</f>
        <v>NA</v>
      </c>
      <c r="P28" t="str">
        <f>_xll.SNL.Clients.Office.Excel.Functions.SPG(O28, "SP_COMPANY_TYPE")</f>
        <v>Public Company</v>
      </c>
      <c r="Q28" s="11">
        <f>_xll.SNL.Clients.Office.Excel.Functions.SPG(E28, "SP_PCT_SHARES_OWNED_ALL_INSTITUTIONS")</f>
        <v>14.86</v>
      </c>
      <c r="R28" s="11">
        <f>_xll.SNL.Clients.Office.Excel.Functions.SPG(E28, "PCT_OWNED_INSTN_BANKS/INVEST_BANKS")</f>
        <v>3.95</v>
      </c>
      <c r="S28" s="11" t="str">
        <f>_xll.SNL.Clients.Office.Excel.Functions.SPG(E28, "PCT_OWNED_INSTN_CHARITABLE_FOUNDATIONS")</f>
        <v>NA</v>
      </c>
      <c r="T28" s="11" t="str">
        <f>_xll.SNL.Clients.Office.Excel.Functions.SPG(E28, "PCT_OWNED_INSTN_CORP_PENSION_SPONSORS")</f>
        <v>NA</v>
      </c>
      <c r="U28" s="11" t="str">
        <f>_xll.SNL.Clients.Office.Excel.Functions.SPG(E28, "PCT_OWNED_INSTN_EDUCATIONAL/CULTURAL_ENDOWMENTS")</f>
        <v>NA</v>
      </c>
      <c r="V28" s="11" t="str">
        <f>_xll.SNL.Clients.Office.Excel.Functions.SPG(E28, "PCT_OWNED_INSTN_FAMILY_OFFICES/TRUSTS")</f>
        <v>NA</v>
      </c>
      <c r="W28" s="11" t="str">
        <f>_xll.SNL.Clients.Office.Excel.Functions.SPG(E28, "PCT_OWNED_INSTN_GOVT_PENSION_SPONSORS")</f>
        <v>NA</v>
      </c>
      <c r="X28" s="11" t="str">
        <f>_xll.SNL.Clients.Office.Excel.Functions.SPG(E28, "PCT_OWNED_INSTN_INSURANCE_COMPANIES")</f>
        <v>NA</v>
      </c>
      <c r="Y28" s="11">
        <f>_xll.SNL.Clients.Office.Excel.Functions.SPG(E28, "PCT_OWNED_INSTN_INVEST_MGRS")</f>
        <v>10.9</v>
      </c>
      <c r="Z28" s="11" t="str">
        <f>_xll.SNL.Clients.Office.Excel.Functions.SPG(E28, "PCT_OWNED_INSTN_REIT")</f>
        <v>NA</v>
      </c>
      <c r="AA28" s="11">
        <f>_xll.SNL.Clients.Office.Excel.Functions.SPG(E28, "PCT_OWNED_INSTN_UNCLASSIFIED")</f>
        <v>0</v>
      </c>
      <c r="AB28" s="11" t="str">
        <f>_xll.SNL.Clients.Office.Excel.Functions.SPG(E28, "PCT_OWNED_INSTN_UNION_PENSION_SPONSORS")</f>
        <v>NA</v>
      </c>
      <c r="AC28" s="11" t="str">
        <f>_xll.SNL.Clients.Office.Excel.Functions.SPG(E28, "PCT_OWNED_INSTN_HEDGE_FUND_MGRS_LESS5PCT_STAKE")</f>
        <v>NA</v>
      </c>
      <c r="AD28" s="11" t="str">
        <f>_xll.SNL.Clients.Office.Excel.Functions.SPG(E28, "PCT_OWNED_INSTN_SOVEREIGN_WEALTH_FUNDS_LESS5PCT_STAKE")</f>
        <v>NA</v>
      </c>
      <c r="AE28" s="11" t="str">
        <f>_xll.SNL.Clients.Office.Excel.Functions.SPG(E28, "PCT_OWNED_INSTN_VC/PE_FIRMS_LESS5PCT_STAKE")</f>
        <v>NA</v>
      </c>
      <c r="AF28" s="11">
        <f>_xll.SNL.Clients.Office.Excel.Functions.SPG(E28, "PCT_OWNED_INSIDERS")</f>
        <v>1.44</v>
      </c>
      <c r="AG28" s="11" t="str">
        <f>_xll.SNL.Clients.Office.Excel.Functions.SPG(E28, "PCT_OWNED_STRATEGIC_HEDGE_FUND_MGRS_MORE_EQUAL5PCT_STAKE")</f>
        <v>NA</v>
      </c>
      <c r="AH28" s="11" t="str">
        <f>_xll.SNL.Clients.Office.Excel.Functions.SPG(E28, "PCT_OWNED_STRATEGIC_VC/PE_FIRMS_MORE_EQUAL5PCT_STAKE")</f>
        <v>NA</v>
      </c>
      <c r="AI28" s="11" t="str">
        <f>_xll.SNL.Clients.Office.Excel.Functions.SPG(E28, "PCT_OWNED_STRATEGIC_SOVEREIGN_WEALTH_FUNDS_MORE_EQUAL5PCT_STAKE")</f>
        <v>NA</v>
      </c>
      <c r="AJ28" s="11" t="str">
        <f>_xll.SNL.Clients.Office.Excel.Functions.SPG(E28, "PCT_OWNED_STRATEGIC_COMPANY_CONTROLLED_FOUNDATIONS")</f>
        <v>NA</v>
      </c>
      <c r="AK28" s="11" t="str">
        <f>_xll.SNL.Clients.Office.Excel.Functions.SPG(E28, "PCT_OWNED_STRATEGIC_ESOP")</f>
        <v>NA</v>
      </c>
      <c r="AL28" s="11" t="str">
        <f>_xll.SNL.Clients.Office.Excel.Functions.SPG(E28, "PCT_OWNED_STRATEGIC_STATE_OWNER")</f>
        <v>NA</v>
      </c>
      <c r="AM28" s="11">
        <f>_xll.SNL.Clients.Office.Excel.Functions.SPG(E28, "PCT_OWNED_STRATEGIC_CORPORATIONS_PRIVATE")</f>
        <v>17.940000000000001</v>
      </c>
      <c r="AN28" s="11" t="str">
        <f>_xll.SNL.Clients.Office.Excel.Functions.SPG(E28, "PCT_OWNED_STRATEGIC_CORPORATIONS_PUBLIC")</f>
        <v>NA</v>
      </c>
    </row>
    <row r="29" spans="1:40" hidden="1" x14ac:dyDescent="0.35">
      <c r="A29" s="5">
        <v>46022</v>
      </c>
      <c r="B29" s="4" t="s">
        <v>95</v>
      </c>
      <c r="C29" s="4" t="s">
        <v>96</v>
      </c>
      <c r="D29" s="4" t="s">
        <v>56</v>
      </c>
      <c r="E29" s="8">
        <v>4350734</v>
      </c>
      <c r="F29" s="7">
        <v>5</v>
      </c>
      <c r="G29" s="9" t="str">
        <f>_xll.SNL.Clients.Office.Excel.Functions.SPG(E29, "SP_COMPANY_TYPE")</f>
        <v>Government Institution</v>
      </c>
      <c r="H29" s="10" t="str">
        <f>_xll.SNL.Clients.Office.Excel.Functions.SPG(E29, "SP_COUNTRY_NAME")</f>
        <v>Dem. Rep. Congo</v>
      </c>
      <c r="J29" t="str">
        <f>_xll.SNL.Clients.Office.Excel.Functions.SPG(E29, "SP_PARENT_COUNTRY")</f>
        <v/>
      </c>
      <c r="K29" s="9" t="str">
        <f>_xll.SNL.Clients.Office.Excel.Functions.SPG(E29, "SP_PARENT_COMPANY_ID")</f>
        <v/>
      </c>
      <c r="L29" t="str">
        <f>_xll.SNL.Clients.Office.Excel.Functions.SPG(K29, "SP_COMPANY_TYPE")</f>
        <v>#INVALID COMPANY ID</v>
      </c>
      <c r="M29" s="9" t="str">
        <f>_xll.SNL.Clients.Office.Excel.Functions.SPG(E29, "SP_ULT_PARENT_COMPANY_NAME")</f>
        <v/>
      </c>
      <c r="N29" s="9" t="str">
        <f>_xll.SNL.Clients.Office.Excel.Functions.SPG(E29, "SP_ULT_PARENT_COUNTRY")</f>
        <v/>
      </c>
      <c r="O29" s="9" t="str">
        <f>_xll.SNL.Clients.Office.Excel.Functions.SPG(E29, "SP_ULT_PARENT_COMPANY_ID")</f>
        <v>NA</v>
      </c>
      <c r="P29" t="str">
        <f>_xll.SNL.Clients.Office.Excel.Functions.SPG(O29, "SP_COMPANY_TYPE")</f>
        <v>Public Company</v>
      </c>
      <c r="Q29" s="11" t="str">
        <f>_xll.SNL.Clients.Office.Excel.Functions.SPG(E29, "SP_PCT_SHARES_OWNED_ALL_INSTITUTIONS")</f>
        <v>NA</v>
      </c>
      <c r="R29" s="11" t="str">
        <f>_xll.SNL.Clients.Office.Excel.Functions.SPG(E29, "PCT_OWNED_INSTN_BANKS/INVEST_BANKS")</f>
        <v>NA</v>
      </c>
      <c r="S29" s="11" t="str">
        <f>_xll.SNL.Clients.Office.Excel.Functions.SPG(E29, "PCT_OWNED_INSTN_CHARITABLE_FOUNDATIONS")</f>
        <v>NA</v>
      </c>
      <c r="T29" s="11" t="str">
        <f>_xll.SNL.Clients.Office.Excel.Functions.SPG(E29, "PCT_OWNED_INSTN_CORP_PENSION_SPONSORS")</f>
        <v>NA</v>
      </c>
      <c r="U29" s="11" t="str">
        <f>_xll.SNL.Clients.Office.Excel.Functions.SPG(E29, "PCT_OWNED_INSTN_EDUCATIONAL/CULTURAL_ENDOWMENTS")</f>
        <v>NA</v>
      </c>
      <c r="V29" s="11" t="str">
        <f>_xll.SNL.Clients.Office.Excel.Functions.SPG(E29, "PCT_OWNED_INSTN_FAMILY_OFFICES/TRUSTS")</f>
        <v>NA</v>
      </c>
      <c r="W29" s="11" t="str">
        <f>_xll.SNL.Clients.Office.Excel.Functions.SPG(E29, "PCT_OWNED_INSTN_GOVT_PENSION_SPONSORS")</f>
        <v>NA</v>
      </c>
      <c r="X29" s="11" t="str">
        <f>_xll.SNL.Clients.Office.Excel.Functions.SPG(E29, "PCT_OWNED_INSTN_INSURANCE_COMPANIES")</f>
        <v>NA</v>
      </c>
      <c r="Y29" s="11" t="str">
        <f>_xll.SNL.Clients.Office.Excel.Functions.SPG(E29, "PCT_OWNED_INSTN_INVEST_MGRS")</f>
        <v>NA</v>
      </c>
      <c r="Z29" s="11" t="str">
        <f>_xll.SNL.Clients.Office.Excel.Functions.SPG(E29, "PCT_OWNED_INSTN_REIT")</f>
        <v>NA</v>
      </c>
      <c r="AA29" s="11" t="str">
        <f>_xll.SNL.Clients.Office.Excel.Functions.SPG(E29, "PCT_OWNED_INSTN_UNCLASSIFIED")</f>
        <v>NA</v>
      </c>
      <c r="AB29" s="11" t="str">
        <f>_xll.SNL.Clients.Office.Excel.Functions.SPG(E29, "PCT_OWNED_INSTN_UNION_PENSION_SPONSORS")</f>
        <v>NA</v>
      </c>
      <c r="AC29" s="11" t="str">
        <f>_xll.SNL.Clients.Office.Excel.Functions.SPG(E29, "PCT_OWNED_INSTN_HEDGE_FUND_MGRS_LESS5PCT_STAKE")</f>
        <v>NA</v>
      </c>
      <c r="AD29" s="11" t="str">
        <f>_xll.SNL.Clients.Office.Excel.Functions.SPG(E29, "PCT_OWNED_INSTN_SOVEREIGN_WEALTH_FUNDS_LESS5PCT_STAKE")</f>
        <v>NA</v>
      </c>
      <c r="AE29" s="11" t="str">
        <f>_xll.SNL.Clients.Office.Excel.Functions.SPG(E29, "PCT_OWNED_INSTN_VC/PE_FIRMS_LESS5PCT_STAKE")</f>
        <v>NA</v>
      </c>
      <c r="AF29" s="11" t="str">
        <f>_xll.SNL.Clients.Office.Excel.Functions.SPG(E29, "PCT_OWNED_INSIDERS")</f>
        <v>NA</v>
      </c>
      <c r="AG29" s="11" t="str">
        <f>_xll.SNL.Clients.Office.Excel.Functions.SPG(E29, "PCT_OWNED_STRATEGIC_HEDGE_FUND_MGRS_MORE_EQUAL5PCT_STAKE")</f>
        <v>NA</v>
      </c>
      <c r="AH29" s="11" t="str">
        <f>_xll.SNL.Clients.Office.Excel.Functions.SPG(E29, "PCT_OWNED_STRATEGIC_VC/PE_FIRMS_MORE_EQUAL5PCT_STAKE")</f>
        <v>NA</v>
      </c>
      <c r="AI29" s="11" t="str">
        <f>_xll.SNL.Clients.Office.Excel.Functions.SPG(E29, "PCT_OWNED_STRATEGIC_SOVEREIGN_WEALTH_FUNDS_MORE_EQUAL5PCT_STAKE")</f>
        <v>NA</v>
      </c>
      <c r="AJ29" s="11" t="str">
        <f>_xll.SNL.Clients.Office.Excel.Functions.SPG(E29, "PCT_OWNED_STRATEGIC_COMPANY_CONTROLLED_FOUNDATIONS")</f>
        <v>NA</v>
      </c>
      <c r="AK29" s="11" t="str">
        <f>_xll.SNL.Clients.Office.Excel.Functions.SPG(E29, "PCT_OWNED_STRATEGIC_ESOP")</f>
        <v>NA</v>
      </c>
      <c r="AL29" s="11" t="str">
        <f>_xll.SNL.Clients.Office.Excel.Functions.SPG(E29, "PCT_OWNED_STRATEGIC_STATE_OWNER")</f>
        <v>NA</v>
      </c>
      <c r="AM29" s="11" t="str">
        <f>_xll.SNL.Clients.Office.Excel.Functions.SPG(E29, "PCT_OWNED_STRATEGIC_CORPORATIONS_PRIVATE")</f>
        <v>NA</v>
      </c>
      <c r="AN29" s="11" t="str">
        <f>_xll.SNL.Clients.Office.Excel.Functions.SPG(E29, "PCT_OWNED_STRATEGIC_CORPORATIONS_PUBLIC")</f>
        <v>NA</v>
      </c>
    </row>
    <row r="30" spans="1:40" hidden="1" x14ac:dyDescent="0.35">
      <c r="A30" s="5">
        <v>46022</v>
      </c>
      <c r="B30" s="4" t="s">
        <v>95</v>
      </c>
      <c r="C30" s="4" t="s">
        <v>96</v>
      </c>
      <c r="D30" s="4" t="s">
        <v>232</v>
      </c>
      <c r="E30" s="8">
        <v>4567062</v>
      </c>
      <c r="F30" s="7">
        <v>10</v>
      </c>
      <c r="G30" s="9" t="str">
        <f>_xll.SNL.Clients.Office.Excel.Functions.SPG(E30, "SP_COMPANY_TYPE")</f>
        <v>Private Company</v>
      </c>
      <c r="H30" s="10" t="str">
        <f>_xll.SNL.Clients.Office.Excel.Functions.SPG(E30, "SP_COUNTRY_NAME")</f>
        <v>Dem. Rep. Congo</v>
      </c>
      <c r="J30" t="str">
        <f>_xll.SNL.Clients.Office.Excel.Functions.SPG(E30, "SP_PARENT_COUNTRY")</f>
        <v/>
      </c>
      <c r="K30" s="9" t="str">
        <f>_xll.SNL.Clients.Office.Excel.Functions.SPG(E30, "SP_PARENT_COMPANY_ID")</f>
        <v/>
      </c>
      <c r="L30" t="str">
        <f>_xll.SNL.Clients.Office.Excel.Functions.SPG(K30, "SP_COMPANY_TYPE")</f>
        <v>#INVALID COMPANY ID</v>
      </c>
      <c r="M30" s="9" t="str">
        <f>_xll.SNL.Clients.Office.Excel.Functions.SPG(E30, "SP_ULT_PARENT_COMPANY_NAME")</f>
        <v/>
      </c>
      <c r="N30" s="9" t="str">
        <f>_xll.SNL.Clients.Office.Excel.Functions.SPG(E30, "SP_ULT_PARENT_COUNTRY")</f>
        <v/>
      </c>
      <c r="O30" s="9" t="str">
        <f>_xll.SNL.Clients.Office.Excel.Functions.SPG(E30, "SP_ULT_PARENT_COMPANY_ID")</f>
        <v>NA</v>
      </c>
      <c r="P30" t="str">
        <f>_xll.SNL.Clients.Office.Excel.Functions.SPG(O30, "SP_COMPANY_TYPE")</f>
        <v>Public Company</v>
      </c>
      <c r="Q30" s="11" t="str">
        <f>_xll.SNL.Clients.Office.Excel.Functions.SPG(E30, "SP_PCT_SHARES_OWNED_ALL_INSTITUTIONS")</f>
        <v>NA</v>
      </c>
      <c r="R30" s="11" t="str">
        <f>_xll.SNL.Clients.Office.Excel.Functions.SPG(E30, "PCT_OWNED_INSTN_BANKS/INVEST_BANKS")</f>
        <v>NA</v>
      </c>
      <c r="S30" s="11" t="str">
        <f>_xll.SNL.Clients.Office.Excel.Functions.SPG(E30, "PCT_OWNED_INSTN_CHARITABLE_FOUNDATIONS")</f>
        <v>NA</v>
      </c>
      <c r="T30" s="11" t="str">
        <f>_xll.SNL.Clients.Office.Excel.Functions.SPG(E30, "PCT_OWNED_INSTN_CORP_PENSION_SPONSORS")</f>
        <v>NA</v>
      </c>
      <c r="U30" s="11" t="str">
        <f>_xll.SNL.Clients.Office.Excel.Functions.SPG(E30, "PCT_OWNED_INSTN_EDUCATIONAL/CULTURAL_ENDOWMENTS")</f>
        <v>NA</v>
      </c>
      <c r="V30" s="11" t="str">
        <f>_xll.SNL.Clients.Office.Excel.Functions.SPG(E30, "PCT_OWNED_INSTN_FAMILY_OFFICES/TRUSTS")</f>
        <v>NA</v>
      </c>
      <c r="W30" s="11" t="str">
        <f>_xll.SNL.Clients.Office.Excel.Functions.SPG(E30, "PCT_OWNED_INSTN_GOVT_PENSION_SPONSORS")</f>
        <v>NA</v>
      </c>
      <c r="X30" s="11" t="str">
        <f>_xll.SNL.Clients.Office.Excel.Functions.SPG(E30, "PCT_OWNED_INSTN_INSURANCE_COMPANIES")</f>
        <v>NA</v>
      </c>
      <c r="Y30" s="11" t="str">
        <f>_xll.SNL.Clients.Office.Excel.Functions.SPG(E30, "PCT_OWNED_INSTN_INVEST_MGRS")</f>
        <v>NA</v>
      </c>
      <c r="Z30" s="11" t="str">
        <f>_xll.SNL.Clients.Office.Excel.Functions.SPG(E30, "PCT_OWNED_INSTN_REIT")</f>
        <v>NA</v>
      </c>
      <c r="AA30" s="11" t="str">
        <f>_xll.SNL.Clients.Office.Excel.Functions.SPG(E30, "PCT_OWNED_INSTN_UNCLASSIFIED")</f>
        <v>NA</v>
      </c>
      <c r="AB30" s="11" t="str">
        <f>_xll.SNL.Clients.Office.Excel.Functions.SPG(E30, "PCT_OWNED_INSTN_UNION_PENSION_SPONSORS")</f>
        <v>NA</v>
      </c>
      <c r="AC30" s="11" t="str">
        <f>_xll.SNL.Clients.Office.Excel.Functions.SPG(E30, "PCT_OWNED_INSTN_HEDGE_FUND_MGRS_LESS5PCT_STAKE")</f>
        <v>NA</v>
      </c>
      <c r="AD30" s="11" t="str">
        <f>_xll.SNL.Clients.Office.Excel.Functions.SPG(E30, "PCT_OWNED_INSTN_SOVEREIGN_WEALTH_FUNDS_LESS5PCT_STAKE")</f>
        <v>NA</v>
      </c>
      <c r="AE30" s="11" t="str">
        <f>_xll.SNL.Clients.Office.Excel.Functions.SPG(E30, "PCT_OWNED_INSTN_VC/PE_FIRMS_LESS5PCT_STAKE")</f>
        <v>NA</v>
      </c>
      <c r="AF30" s="11" t="str">
        <f>_xll.SNL.Clients.Office.Excel.Functions.SPG(E30, "PCT_OWNED_INSIDERS")</f>
        <v>NA</v>
      </c>
      <c r="AG30" s="11" t="str">
        <f>_xll.SNL.Clients.Office.Excel.Functions.SPG(E30, "PCT_OWNED_STRATEGIC_HEDGE_FUND_MGRS_MORE_EQUAL5PCT_STAKE")</f>
        <v>NA</v>
      </c>
      <c r="AH30" s="11" t="str">
        <f>_xll.SNL.Clients.Office.Excel.Functions.SPG(E30, "PCT_OWNED_STRATEGIC_VC/PE_FIRMS_MORE_EQUAL5PCT_STAKE")</f>
        <v>NA</v>
      </c>
      <c r="AI30" s="11" t="str">
        <f>_xll.SNL.Clients.Office.Excel.Functions.SPG(E30, "PCT_OWNED_STRATEGIC_SOVEREIGN_WEALTH_FUNDS_MORE_EQUAL5PCT_STAKE")</f>
        <v>NA</v>
      </c>
      <c r="AJ30" s="11" t="str">
        <f>_xll.SNL.Clients.Office.Excel.Functions.SPG(E30, "PCT_OWNED_STRATEGIC_COMPANY_CONTROLLED_FOUNDATIONS")</f>
        <v>NA</v>
      </c>
      <c r="AK30" s="11" t="str">
        <f>_xll.SNL.Clients.Office.Excel.Functions.SPG(E30, "PCT_OWNED_STRATEGIC_ESOP")</f>
        <v>NA</v>
      </c>
      <c r="AL30" s="11" t="str">
        <f>_xll.SNL.Clients.Office.Excel.Functions.SPG(E30, "PCT_OWNED_STRATEGIC_STATE_OWNER")</f>
        <v>NA</v>
      </c>
      <c r="AM30" s="11" t="str">
        <f>_xll.SNL.Clients.Office.Excel.Functions.SPG(E30, "PCT_OWNED_STRATEGIC_CORPORATIONS_PRIVATE")</f>
        <v>NA</v>
      </c>
      <c r="AN30" s="11" t="str">
        <f>_xll.SNL.Clients.Office.Excel.Functions.SPG(E30, "PCT_OWNED_STRATEGIC_CORPORATIONS_PUBLIC")</f>
        <v>NA</v>
      </c>
    </row>
    <row r="31" spans="1:40" hidden="1" x14ac:dyDescent="0.35">
      <c r="A31" s="5">
        <v>46022</v>
      </c>
      <c r="B31" s="4" t="s">
        <v>63</v>
      </c>
      <c r="C31" s="4" t="s">
        <v>64</v>
      </c>
      <c r="D31" s="4" t="s">
        <v>56</v>
      </c>
      <c r="E31" s="8">
        <v>4350734</v>
      </c>
      <c r="F31" s="7">
        <v>25</v>
      </c>
      <c r="G31" s="9" t="str">
        <f>_xll.SNL.Clients.Office.Excel.Functions.SPG(E31, "SP_COMPANY_TYPE")</f>
        <v>Government Institution</v>
      </c>
      <c r="H31" s="10" t="str">
        <f>_xll.SNL.Clients.Office.Excel.Functions.SPG(E31, "SP_COUNTRY_NAME")</f>
        <v>Dem. Rep. Congo</v>
      </c>
      <c r="J31" t="str">
        <f>_xll.SNL.Clients.Office.Excel.Functions.SPG(E31, "SP_PARENT_COUNTRY")</f>
        <v/>
      </c>
      <c r="K31" s="9" t="str">
        <f>_xll.SNL.Clients.Office.Excel.Functions.SPG(E31, "SP_PARENT_COMPANY_ID")</f>
        <v/>
      </c>
      <c r="L31" t="str">
        <f>_xll.SNL.Clients.Office.Excel.Functions.SPG(K31, "SP_COMPANY_TYPE")</f>
        <v>#INVALID COMPANY ID</v>
      </c>
      <c r="M31" s="9" t="str">
        <f>_xll.SNL.Clients.Office.Excel.Functions.SPG(E31, "SP_ULT_PARENT_COMPANY_NAME")</f>
        <v/>
      </c>
      <c r="N31" s="9" t="str">
        <f>_xll.SNL.Clients.Office.Excel.Functions.SPG(E31, "SP_ULT_PARENT_COUNTRY")</f>
        <v/>
      </c>
      <c r="O31" s="9" t="str">
        <f>_xll.SNL.Clients.Office.Excel.Functions.SPG(E31, "SP_ULT_PARENT_COMPANY_ID")</f>
        <v>NA</v>
      </c>
      <c r="P31" t="str">
        <f>_xll.SNL.Clients.Office.Excel.Functions.SPG(O31, "SP_COMPANY_TYPE")</f>
        <v>Public Company</v>
      </c>
      <c r="Q31" s="11" t="str">
        <f>_xll.SNL.Clients.Office.Excel.Functions.SPG(E31, "SP_PCT_SHARES_OWNED_ALL_INSTITUTIONS")</f>
        <v>NA</v>
      </c>
      <c r="R31" s="11" t="str">
        <f>_xll.SNL.Clients.Office.Excel.Functions.SPG(E31, "PCT_OWNED_INSTN_BANKS/INVEST_BANKS")</f>
        <v>NA</v>
      </c>
      <c r="S31" s="11" t="str">
        <f>_xll.SNL.Clients.Office.Excel.Functions.SPG(E31, "PCT_OWNED_INSTN_CHARITABLE_FOUNDATIONS")</f>
        <v>NA</v>
      </c>
      <c r="T31" s="11" t="str">
        <f>_xll.SNL.Clients.Office.Excel.Functions.SPG(E31, "PCT_OWNED_INSTN_CORP_PENSION_SPONSORS")</f>
        <v>NA</v>
      </c>
      <c r="U31" s="11" t="str">
        <f>_xll.SNL.Clients.Office.Excel.Functions.SPG(E31, "PCT_OWNED_INSTN_EDUCATIONAL/CULTURAL_ENDOWMENTS")</f>
        <v>NA</v>
      </c>
      <c r="V31" s="11" t="str">
        <f>_xll.SNL.Clients.Office.Excel.Functions.SPG(E31, "PCT_OWNED_INSTN_FAMILY_OFFICES/TRUSTS")</f>
        <v>NA</v>
      </c>
      <c r="W31" s="11" t="str">
        <f>_xll.SNL.Clients.Office.Excel.Functions.SPG(E31, "PCT_OWNED_INSTN_GOVT_PENSION_SPONSORS")</f>
        <v>NA</v>
      </c>
      <c r="X31" s="11" t="str">
        <f>_xll.SNL.Clients.Office.Excel.Functions.SPG(E31, "PCT_OWNED_INSTN_INSURANCE_COMPANIES")</f>
        <v>NA</v>
      </c>
      <c r="Y31" s="11" t="str">
        <f>_xll.SNL.Clients.Office.Excel.Functions.SPG(E31, "PCT_OWNED_INSTN_INVEST_MGRS")</f>
        <v>NA</v>
      </c>
      <c r="Z31" s="11" t="str">
        <f>_xll.SNL.Clients.Office.Excel.Functions.SPG(E31, "PCT_OWNED_INSTN_REIT")</f>
        <v>NA</v>
      </c>
      <c r="AA31" s="11" t="str">
        <f>_xll.SNL.Clients.Office.Excel.Functions.SPG(E31, "PCT_OWNED_INSTN_UNCLASSIFIED")</f>
        <v>NA</v>
      </c>
      <c r="AB31" s="11" t="str">
        <f>_xll.SNL.Clients.Office.Excel.Functions.SPG(E31, "PCT_OWNED_INSTN_UNION_PENSION_SPONSORS")</f>
        <v>NA</v>
      </c>
      <c r="AC31" s="11" t="str">
        <f>_xll.SNL.Clients.Office.Excel.Functions.SPG(E31, "PCT_OWNED_INSTN_HEDGE_FUND_MGRS_LESS5PCT_STAKE")</f>
        <v>NA</v>
      </c>
      <c r="AD31" s="11" t="str">
        <f>_xll.SNL.Clients.Office.Excel.Functions.SPG(E31, "PCT_OWNED_INSTN_SOVEREIGN_WEALTH_FUNDS_LESS5PCT_STAKE")</f>
        <v>NA</v>
      </c>
      <c r="AE31" s="11" t="str">
        <f>_xll.SNL.Clients.Office.Excel.Functions.SPG(E31, "PCT_OWNED_INSTN_VC/PE_FIRMS_LESS5PCT_STAKE")</f>
        <v>NA</v>
      </c>
      <c r="AF31" s="11" t="str">
        <f>_xll.SNL.Clients.Office.Excel.Functions.SPG(E31, "PCT_OWNED_INSIDERS")</f>
        <v>NA</v>
      </c>
      <c r="AG31" s="11" t="str">
        <f>_xll.SNL.Clients.Office.Excel.Functions.SPG(E31, "PCT_OWNED_STRATEGIC_HEDGE_FUND_MGRS_MORE_EQUAL5PCT_STAKE")</f>
        <v>NA</v>
      </c>
      <c r="AH31" s="11" t="str">
        <f>_xll.SNL.Clients.Office.Excel.Functions.SPG(E31, "PCT_OWNED_STRATEGIC_VC/PE_FIRMS_MORE_EQUAL5PCT_STAKE")</f>
        <v>NA</v>
      </c>
      <c r="AI31" s="11" t="str">
        <f>_xll.SNL.Clients.Office.Excel.Functions.SPG(E31, "PCT_OWNED_STRATEGIC_SOVEREIGN_WEALTH_FUNDS_MORE_EQUAL5PCT_STAKE")</f>
        <v>NA</v>
      </c>
      <c r="AJ31" s="11" t="str">
        <f>_xll.SNL.Clients.Office.Excel.Functions.SPG(E31, "PCT_OWNED_STRATEGIC_COMPANY_CONTROLLED_FOUNDATIONS")</f>
        <v>NA</v>
      </c>
      <c r="AK31" s="11" t="str">
        <f>_xll.SNL.Clients.Office.Excel.Functions.SPG(E31, "PCT_OWNED_STRATEGIC_ESOP")</f>
        <v>NA</v>
      </c>
      <c r="AL31" s="11" t="str">
        <f>_xll.SNL.Clients.Office.Excel.Functions.SPG(E31, "PCT_OWNED_STRATEGIC_STATE_OWNER")</f>
        <v>NA</v>
      </c>
      <c r="AM31" s="11" t="str">
        <f>_xll.SNL.Clients.Office.Excel.Functions.SPG(E31, "PCT_OWNED_STRATEGIC_CORPORATIONS_PRIVATE")</f>
        <v>NA</v>
      </c>
      <c r="AN31" s="11" t="str">
        <f>_xll.SNL.Clients.Office.Excel.Functions.SPG(E31, "PCT_OWNED_STRATEGIC_CORPORATIONS_PUBLIC")</f>
        <v>NA</v>
      </c>
    </row>
    <row r="32" spans="1:40" x14ac:dyDescent="0.35">
      <c r="A32" s="5">
        <v>46022</v>
      </c>
      <c r="B32" s="4" t="s">
        <v>63</v>
      </c>
      <c r="C32" s="4" t="s">
        <v>64</v>
      </c>
      <c r="D32" s="4" t="s">
        <v>233</v>
      </c>
      <c r="E32" s="8">
        <v>4113732</v>
      </c>
      <c r="F32" s="7">
        <v>75</v>
      </c>
      <c r="G32" s="9" t="str">
        <f>_xll.SNL.Clients.Office.Excel.Functions.SPG(E32, "SP_COMPANY_TYPE")</f>
        <v>Public Company</v>
      </c>
      <c r="H32" s="10" t="str">
        <f>_xll.SNL.Clients.Office.Excel.Functions.SPG(E32, "SP_COUNTRY_NAME")</f>
        <v>Switzerland</v>
      </c>
      <c r="J32" t="str">
        <f>_xll.SNL.Clients.Office.Excel.Functions.SPG(E32, "SP_PARENT_COUNTRY")</f>
        <v/>
      </c>
      <c r="K32" s="9" t="str">
        <f>_xll.SNL.Clients.Office.Excel.Functions.SPG(E32, "SP_PARENT_COMPANY_ID")</f>
        <v/>
      </c>
      <c r="L32" t="str">
        <f>_xll.SNL.Clients.Office.Excel.Functions.SPG(K32, "SP_COMPANY_TYPE")</f>
        <v>#INVALID COMPANY ID</v>
      </c>
      <c r="M32" s="9" t="str">
        <f>_xll.SNL.Clients.Office.Excel.Functions.SPG(E32, "SP_ULT_PARENT_COMPANY_NAME")</f>
        <v/>
      </c>
      <c r="N32" s="9" t="str">
        <f>_xll.SNL.Clients.Office.Excel.Functions.SPG(E32, "SP_ULT_PARENT_COUNTRY")</f>
        <v/>
      </c>
      <c r="O32" s="9" t="str">
        <f>_xll.SNL.Clients.Office.Excel.Functions.SPG(E32, "SP_ULT_PARENT_COMPANY_ID")</f>
        <v>NA</v>
      </c>
      <c r="P32" t="str">
        <f>_xll.SNL.Clients.Office.Excel.Functions.SPG(O32, "SP_COMPANY_TYPE")</f>
        <v>Public Company</v>
      </c>
      <c r="Q32" s="11">
        <f>_xll.SNL.Clients.Office.Excel.Functions.SPG(E32, "SP_PCT_SHARES_OWNED_ALL_INSTITUTIONS")</f>
        <v>61.77</v>
      </c>
      <c r="R32" s="11">
        <f>_xll.SNL.Clients.Office.Excel.Functions.SPG(E32, "PCT_OWNED_INSTN_BANKS/INVEST_BANKS")</f>
        <v>3.68</v>
      </c>
      <c r="S32" s="11">
        <f>_xll.SNL.Clients.Office.Excel.Functions.SPG(E32, "PCT_OWNED_INSTN_CHARITABLE_FOUNDATIONS")</f>
        <v>1.77</v>
      </c>
      <c r="T32" s="11">
        <f>_xll.SNL.Clients.Office.Excel.Functions.SPG(E32, "PCT_OWNED_INSTN_CORP_PENSION_SPONSORS")</f>
        <v>0.03</v>
      </c>
      <c r="U32" s="11" t="str">
        <f>_xll.SNL.Clients.Office.Excel.Functions.SPG(E32, "PCT_OWNED_INSTN_EDUCATIONAL/CULTURAL_ENDOWMENTS")</f>
        <v>NA</v>
      </c>
      <c r="V32" s="11">
        <f>_xll.SNL.Clients.Office.Excel.Functions.SPG(E32, "PCT_OWNED_INSTN_FAMILY_OFFICES/TRUSTS")</f>
        <v>0</v>
      </c>
      <c r="W32" s="11">
        <f>_xll.SNL.Clients.Office.Excel.Functions.SPG(E32, "PCT_OWNED_INSTN_GOVT_PENSION_SPONSORS")</f>
        <v>0.28999999999999998</v>
      </c>
      <c r="X32" s="11">
        <f>_xll.SNL.Clients.Office.Excel.Functions.SPG(E32, "PCT_OWNED_INSTN_INSURANCE_COMPANIES")</f>
        <v>0.08</v>
      </c>
      <c r="Y32" s="11">
        <f>_xll.SNL.Clients.Office.Excel.Functions.SPG(E32, "PCT_OWNED_INSTN_INVEST_MGRS")</f>
        <v>54.18</v>
      </c>
      <c r="Z32" s="11" t="str">
        <f>_xll.SNL.Clients.Office.Excel.Functions.SPG(E32, "PCT_OWNED_INSTN_REIT")</f>
        <v>NA</v>
      </c>
      <c r="AA32" s="11">
        <f>_xll.SNL.Clients.Office.Excel.Functions.SPG(E32, "PCT_OWNED_INSTN_UNCLASSIFIED")</f>
        <v>0.15</v>
      </c>
      <c r="AB32" s="11" t="str">
        <f>_xll.SNL.Clients.Office.Excel.Functions.SPG(E32, "PCT_OWNED_INSTN_UNION_PENSION_SPONSORS")</f>
        <v>NA</v>
      </c>
      <c r="AC32" s="11">
        <f>_xll.SNL.Clients.Office.Excel.Functions.SPG(E32, "PCT_OWNED_INSTN_HEDGE_FUND_MGRS_LESS5PCT_STAKE")</f>
        <v>0.25</v>
      </c>
      <c r="AD32" s="11">
        <f>_xll.SNL.Clients.Office.Excel.Functions.SPG(E32, "PCT_OWNED_INSTN_SOVEREIGN_WEALTH_FUNDS_LESS5PCT_STAKE")</f>
        <v>1.1100000000000001</v>
      </c>
      <c r="AE32" s="11">
        <f>_xll.SNL.Clients.Office.Excel.Functions.SPG(E32, "PCT_OWNED_INSTN_VC/PE_FIRMS_LESS5PCT_STAKE")</f>
        <v>0.23</v>
      </c>
      <c r="AF32" s="11">
        <f>_xll.SNL.Clients.Office.Excel.Functions.SPG(E32, "PCT_OWNED_INSIDERS")</f>
        <v>12.83</v>
      </c>
      <c r="AG32" s="11" t="str">
        <f>_xll.SNL.Clients.Office.Excel.Functions.SPG(E32, "PCT_OWNED_STRATEGIC_HEDGE_FUND_MGRS_MORE_EQUAL5PCT_STAKE")</f>
        <v>NA</v>
      </c>
      <c r="AH32" s="11">
        <f>_xll.SNL.Clients.Office.Excel.Functions.SPG(E32, "PCT_OWNED_STRATEGIC_VC/PE_FIRMS_MORE_EQUAL5PCT_STAKE")</f>
        <v>8.93</v>
      </c>
      <c r="AI32" s="11" t="str">
        <f>_xll.SNL.Clients.Office.Excel.Functions.SPG(E32, "PCT_OWNED_STRATEGIC_SOVEREIGN_WEALTH_FUNDS_MORE_EQUAL5PCT_STAKE")</f>
        <v>NA</v>
      </c>
      <c r="AJ32" s="11" t="str">
        <f>_xll.SNL.Clients.Office.Excel.Functions.SPG(E32, "PCT_OWNED_STRATEGIC_COMPANY_CONTROLLED_FOUNDATIONS")</f>
        <v>NA</v>
      </c>
      <c r="AK32" s="11">
        <f>_xll.SNL.Clients.Office.Excel.Functions.SPG(E32, "PCT_OWNED_STRATEGIC_ESOP")</f>
        <v>0.19</v>
      </c>
      <c r="AL32" s="11">
        <f>_xll.SNL.Clients.Office.Excel.Functions.SPG(E32, "PCT_OWNED_STRATEGIC_STATE_OWNER")</f>
        <v>0.05</v>
      </c>
      <c r="AM32" s="11">
        <f>_xll.SNL.Clients.Office.Excel.Functions.SPG(E32, "PCT_OWNED_STRATEGIC_CORPORATIONS_PRIVATE")</f>
        <v>0.02</v>
      </c>
      <c r="AN32" s="11" t="str">
        <f>_xll.SNL.Clients.Office.Excel.Functions.SPG(E32, "PCT_OWNED_STRATEGIC_CORPORATIONS_PUBLIC")</f>
        <v>NA</v>
      </c>
    </row>
    <row r="33" spans="1:40" x14ac:dyDescent="0.35">
      <c r="A33" s="5">
        <v>46022</v>
      </c>
      <c r="B33" s="4" t="s">
        <v>65</v>
      </c>
      <c r="C33" s="4" t="s">
        <v>66</v>
      </c>
      <c r="D33" s="4" t="s">
        <v>234</v>
      </c>
      <c r="E33" s="8">
        <v>4348654</v>
      </c>
      <c r="F33" s="7">
        <v>100</v>
      </c>
      <c r="G33" s="9" t="str">
        <f>_xll.SNL.Clients.Office.Excel.Functions.SPG(E33, "SP_COMPANY_TYPE")</f>
        <v>Public Company</v>
      </c>
      <c r="H33" s="10" t="str">
        <f>_xll.SNL.Clients.Office.Excel.Functions.SPG(E33, "SP_COUNTRY_NAME")</f>
        <v>Sweden</v>
      </c>
      <c r="J33" t="str">
        <f>_xll.SNL.Clients.Office.Excel.Functions.SPG(E33, "SP_PARENT_COUNTRY")</f>
        <v/>
      </c>
      <c r="K33" s="9" t="str">
        <f>_xll.SNL.Clients.Office.Excel.Functions.SPG(E33, "SP_PARENT_COMPANY_ID")</f>
        <v/>
      </c>
      <c r="L33" t="str">
        <f>_xll.SNL.Clients.Office.Excel.Functions.SPG(K33, "SP_COMPANY_TYPE")</f>
        <v>#INVALID COMPANY ID</v>
      </c>
      <c r="M33" s="9" t="str">
        <f>_xll.SNL.Clients.Office.Excel.Functions.SPG(E33, "SP_ULT_PARENT_COMPANY_NAME")</f>
        <v/>
      </c>
      <c r="N33" s="9" t="str">
        <f>_xll.SNL.Clients.Office.Excel.Functions.SPG(E33, "SP_ULT_PARENT_COUNTRY")</f>
        <v/>
      </c>
      <c r="O33" s="9" t="str">
        <f>_xll.SNL.Clients.Office.Excel.Functions.SPG(E33, "SP_ULT_PARENT_COMPANY_ID")</f>
        <v>NA</v>
      </c>
      <c r="P33" t="str">
        <f>_xll.SNL.Clients.Office.Excel.Functions.SPG(O33, "SP_COMPANY_TYPE")</f>
        <v>Public Company</v>
      </c>
      <c r="Q33" s="11">
        <f>_xll.SNL.Clients.Office.Excel.Functions.SPG(E33, "SP_PCT_SHARES_OWNED_ALL_INSTITUTIONS")</f>
        <v>44.07</v>
      </c>
      <c r="R33" s="11">
        <f>_xll.SNL.Clients.Office.Excel.Functions.SPG(E33, "PCT_OWNED_INSTN_BANKS/INVEST_BANKS")</f>
        <v>0</v>
      </c>
      <c r="S33" s="11" t="str">
        <f>_xll.SNL.Clients.Office.Excel.Functions.SPG(E33, "PCT_OWNED_INSTN_CHARITABLE_FOUNDATIONS")</f>
        <v>NA</v>
      </c>
      <c r="T33" s="11" t="str">
        <f>_xll.SNL.Clients.Office.Excel.Functions.SPG(E33, "PCT_OWNED_INSTN_CORP_PENSION_SPONSORS")</f>
        <v>NA</v>
      </c>
      <c r="U33" s="11" t="str">
        <f>_xll.SNL.Clients.Office.Excel.Functions.SPG(E33, "PCT_OWNED_INSTN_EDUCATIONAL/CULTURAL_ENDOWMENTS")</f>
        <v>NA</v>
      </c>
      <c r="V33" s="11">
        <f>_xll.SNL.Clients.Office.Excel.Functions.SPG(E33, "PCT_OWNED_INSTN_FAMILY_OFFICES/TRUSTS")</f>
        <v>0</v>
      </c>
      <c r="W33" s="11">
        <f>_xll.SNL.Clients.Office.Excel.Functions.SPG(E33, "PCT_OWNED_INSTN_GOVT_PENSION_SPONSORS")</f>
        <v>0.56999999999999995</v>
      </c>
      <c r="X33" s="11">
        <f>_xll.SNL.Clients.Office.Excel.Functions.SPG(E33, "PCT_OWNED_INSTN_INSURANCE_COMPANIES")</f>
        <v>0</v>
      </c>
      <c r="Y33" s="11">
        <f>_xll.SNL.Clients.Office.Excel.Functions.SPG(E33, "PCT_OWNED_INSTN_INVEST_MGRS")</f>
        <v>41.92</v>
      </c>
      <c r="Z33" s="11">
        <f>_xll.SNL.Clients.Office.Excel.Functions.SPG(E33, "PCT_OWNED_INSTN_REIT")</f>
        <v>3</v>
      </c>
      <c r="AA33" s="11">
        <f>_xll.SNL.Clients.Office.Excel.Functions.SPG(E33, "PCT_OWNED_INSTN_UNCLASSIFIED")</f>
        <v>0.01</v>
      </c>
      <c r="AB33" s="11" t="str">
        <f>_xll.SNL.Clients.Office.Excel.Functions.SPG(E33, "PCT_OWNED_INSTN_UNION_PENSION_SPONSORS")</f>
        <v>NA</v>
      </c>
      <c r="AC33" s="11">
        <f>_xll.SNL.Clients.Office.Excel.Functions.SPG(E33, "PCT_OWNED_INSTN_HEDGE_FUND_MGRS_LESS5PCT_STAKE")</f>
        <v>-1.83</v>
      </c>
      <c r="AD33" s="11">
        <f>_xll.SNL.Clients.Office.Excel.Functions.SPG(E33, "PCT_OWNED_INSTN_SOVEREIGN_WEALTH_FUNDS_LESS5PCT_STAKE")</f>
        <v>0.22</v>
      </c>
      <c r="AE33" s="11">
        <f>_xll.SNL.Clients.Office.Excel.Functions.SPG(E33, "PCT_OWNED_INSTN_VC/PE_FIRMS_LESS5PCT_STAKE")</f>
        <v>0.17</v>
      </c>
      <c r="AF33" s="11">
        <f>_xll.SNL.Clients.Office.Excel.Functions.SPG(E33, "PCT_OWNED_INSIDERS")</f>
        <v>1.83</v>
      </c>
      <c r="AG33" s="11" t="str">
        <f>_xll.SNL.Clients.Office.Excel.Functions.SPG(E33, "PCT_OWNED_STRATEGIC_HEDGE_FUND_MGRS_MORE_EQUAL5PCT_STAKE")</f>
        <v>NA</v>
      </c>
      <c r="AH33" s="11" t="str">
        <f>_xll.SNL.Clients.Office.Excel.Functions.SPG(E33, "PCT_OWNED_STRATEGIC_VC/PE_FIRMS_MORE_EQUAL5PCT_STAKE")</f>
        <v>NA</v>
      </c>
      <c r="AI33" s="11" t="str">
        <f>_xll.SNL.Clients.Office.Excel.Functions.SPG(E33, "PCT_OWNED_STRATEGIC_SOVEREIGN_WEALTH_FUNDS_MORE_EQUAL5PCT_STAKE")</f>
        <v>NA</v>
      </c>
      <c r="AJ33" s="11" t="str">
        <f>_xll.SNL.Clients.Office.Excel.Functions.SPG(E33, "PCT_OWNED_STRATEGIC_COMPANY_CONTROLLED_FOUNDATIONS")</f>
        <v>NA</v>
      </c>
      <c r="AK33" s="11" t="str">
        <f>_xll.SNL.Clients.Office.Excel.Functions.SPG(E33, "PCT_OWNED_STRATEGIC_ESOP")</f>
        <v>NA</v>
      </c>
      <c r="AL33" s="11" t="str">
        <f>_xll.SNL.Clients.Office.Excel.Functions.SPG(E33, "PCT_OWNED_STRATEGIC_STATE_OWNER")</f>
        <v>NA</v>
      </c>
      <c r="AM33" s="11" t="str">
        <f>_xll.SNL.Clients.Office.Excel.Functions.SPG(E33, "PCT_OWNED_STRATEGIC_CORPORATIONS_PRIVATE")</f>
        <v>NA</v>
      </c>
      <c r="AN33" s="11" t="str">
        <f>_xll.SNL.Clients.Office.Excel.Functions.SPG(E33, "PCT_OWNED_STRATEGIC_CORPORATIONS_PUBLIC")</f>
        <v>NA</v>
      </c>
    </row>
    <row r="34" spans="1:40" x14ac:dyDescent="0.35">
      <c r="A34" s="5">
        <v>46022</v>
      </c>
      <c r="B34" s="4" t="s">
        <v>97</v>
      </c>
      <c r="C34" s="4" t="s">
        <v>98</v>
      </c>
      <c r="D34" s="4" t="s">
        <v>235</v>
      </c>
      <c r="E34" s="8">
        <v>4349148</v>
      </c>
      <c r="F34" s="7">
        <v>71.25</v>
      </c>
      <c r="G34" s="9" t="str">
        <f>_xll.SNL.Clients.Office.Excel.Functions.SPG(E34, "SP_COMPANY_TYPE")</f>
        <v>Public Company</v>
      </c>
      <c r="H34" s="10" t="str">
        <f>_xll.SNL.Clients.Office.Excel.Functions.SPG(E34, "SP_COUNTRY_NAME")</f>
        <v>China</v>
      </c>
      <c r="J34" t="str">
        <f>_xll.SNL.Clients.Office.Excel.Functions.SPG(E34, "SP_PARENT_COUNTRY")</f>
        <v/>
      </c>
      <c r="K34" s="9" t="str">
        <f>_xll.SNL.Clients.Office.Excel.Functions.SPG(E34, "SP_PARENT_COMPANY_ID")</f>
        <v/>
      </c>
      <c r="L34" t="str">
        <f>_xll.SNL.Clients.Office.Excel.Functions.SPG(K34, "SP_COMPANY_TYPE")</f>
        <v>#INVALID COMPANY ID</v>
      </c>
      <c r="M34" s="9" t="str">
        <f>_xll.SNL.Clients.Office.Excel.Functions.SPG(E34, "SP_ULT_PARENT_COMPANY_NAME")</f>
        <v/>
      </c>
      <c r="N34" s="9" t="str">
        <f>_xll.SNL.Clients.Office.Excel.Functions.SPG(E34, "SP_ULT_PARENT_COUNTRY")</f>
        <v/>
      </c>
      <c r="O34" s="9" t="str">
        <f>_xll.SNL.Clients.Office.Excel.Functions.SPG(E34, "SP_ULT_PARENT_COMPANY_ID")</f>
        <v>NA</v>
      </c>
      <c r="P34" t="str">
        <f>_xll.SNL.Clients.Office.Excel.Functions.SPG(O34, "SP_COMPANY_TYPE")</f>
        <v>Public Company</v>
      </c>
      <c r="Q34" s="11">
        <f>_xll.SNL.Clients.Office.Excel.Functions.SPG(E34, "SP_PCT_SHARES_OWNED_ALL_INSTITUTIONS")</f>
        <v>11.65</v>
      </c>
      <c r="R34" s="11">
        <f>_xll.SNL.Clients.Office.Excel.Functions.SPG(E34, "PCT_OWNED_INSTN_BANKS/INVEST_BANKS")</f>
        <v>0.06</v>
      </c>
      <c r="S34" s="11" t="str">
        <f>_xll.SNL.Clients.Office.Excel.Functions.SPG(E34, "PCT_OWNED_INSTN_CHARITABLE_FOUNDATIONS")</f>
        <v>NA</v>
      </c>
      <c r="T34" s="11">
        <f>_xll.SNL.Clients.Office.Excel.Functions.SPG(E34, "PCT_OWNED_INSTN_CORP_PENSION_SPONSORS")</f>
        <v>0</v>
      </c>
      <c r="U34" s="11" t="str">
        <f>_xll.SNL.Clients.Office.Excel.Functions.SPG(E34, "PCT_OWNED_INSTN_EDUCATIONAL/CULTURAL_ENDOWMENTS")</f>
        <v>NA</v>
      </c>
      <c r="V34" s="11" t="str">
        <f>_xll.SNL.Clients.Office.Excel.Functions.SPG(E34, "PCT_OWNED_INSTN_FAMILY_OFFICES/TRUSTS")</f>
        <v>NA</v>
      </c>
      <c r="W34" s="11">
        <f>_xll.SNL.Clients.Office.Excel.Functions.SPG(E34, "PCT_OWNED_INSTN_GOVT_PENSION_SPONSORS")</f>
        <v>0.08</v>
      </c>
      <c r="X34" s="11" t="str">
        <f>_xll.SNL.Clients.Office.Excel.Functions.SPG(E34, "PCT_OWNED_INSTN_INSURANCE_COMPANIES")</f>
        <v>NA</v>
      </c>
      <c r="Y34" s="11">
        <f>_xll.SNL.Clients.Office.Excel.Functions.SPG(E34, "PCT_OWNED_INSTN_INVEST_MGRS")</f>
        <v>10.92</v>
      </c>
      <c r="Z34" s="11" t="str">
        <f>_xll.SNL.Clients.Office.Excel.Functions.SPG(E34, "PCT_OWNED_INSTN_REIT")</f>
        <v>NA</v>
      </c>
      <c r="AA34" s="11">
        <f>_xll.SNL.Clients.Office.Excel.Functions.SPG(E34, "PCT_OWNED_INSTN_UNCLASSIFIED")</f>
        <v>0.02</v>
      </c>
      <c r="AB34" s="11" t="str">
        <f>_xll.SNL.Clients.Office.Excel.Functions.SPG(E34, "PCT_OWNED_INSTN_UNION_PENSION_SPONSORS")</f>
        <v>NA</v>
      </c>
      <c r="AC34" s="11">
        <f>_xll.SNL.Clients.Office.Excel.Functions.SPG(E34, "PCT_OWNED_INSTN_HEDGE_FUND_MGRS_LESS5PCT_STAKE")</f>
        <v>0.03</v>
      </c>
      <c r="AD34" s="11" t="str">
        <f>_xll.SNL.Clients.Office.Excel.Functions.SPG(E34, "PCT_OWNED_INSTN_SOVEREIGN_WEALTH_FUNDS_LESS5PCT_STAKE")</f>
        <v>NA</v>
      </c>
      <c r="AE34" s="11">
        <f>_xll.SNL.Clients.Office.Excel.Functions.SPG(E34, "PCT_OWNED_INSTN_VC/PE_FIRMS_LESS5PCT_STAKE")</f>
        <v>0.55000000000000004</v>
      </c>
      <c r="AF34" s="11">
        <f>_xll.SNL.Clients.Office.Excel.Functions.SPG(E34, "PCT_OWNED_INSIDERS")</f>
        <v>0.12</v>
      </c>
      <c r="AG34" s="11" t="str">
        <f>_xll.SNL.Clients.Office.Excel.Functions.SPG(E34, "PCT_OWNED_STRATEGIC_HEDGE_FUND_MGRS_MORE_EQUAL5PCT_STAKE")</f>
        <v>NA</v>
      </c>
      <c r="AH34" s="11">
        <f>_xll.SNL.Clients.Office.Excel.Functions.SPG(E34, "PCT_OWNED_STRATEGIC_VC/PE_FIRMS_MORE_EQUAL5PCT_STAKE")</f>
        <v>23.54</v>
      </c>
      <c r="AI34" s="11" t="str">
        <f>_xll.SNL.Clients.Office.Excel.Functions.SPG(E34, "PCT_OWNED_STRATEGIC_SOVEREIGN_WEALTH_FUNDS_MORE_EQUAL5PCT_STAKE")</f>
        <v>NA</v>
      </c>
      <c r="AJ34" s="11" t="str">
        <f>_xll.SNL.Clients.Office.Excel.Functions.SPG(E34, "PCT_OWNED_STRATEGIC_COMPANY_CONTROLLED_FOUNDATIONS")</f>
        <v>NA</v>
      </c>
      <c r="AK34" s="11" t="str">
        <f>_xll.SNL.Clients.Office.Excel.Functions.SPG(E34, "PCT_OWNED_STRATEGIC_ESOP")</f>
        <v>NA</v>
      </c>
      <c r="AL34" s="11" t="str">
        <f>_xll.SNL.Clients.Office.Excel.Functions.SPG(E34, "PCT_OWNED_STRATEGIC_STATE_OWNER")</f>
        <v>NA</v>
      </c>
      <c r="AM34" s="11" t="str">
        <f>_xll.SNL.Clients.Office.Excel.Functions.SPG(E34, "PCT_OWNED_STRATEGIC_CORPORATIONS_PRIVATE")</f>
        <v>NA</v>
      </c>
      <c r="AN34" s="11">
        <f>_xll.SNL.Clients.Office.Excel.Functions.SPG(E34, "PCT_OWNED_STRATEGIC_CORPORATIONS_PUBLIC")</f>
        <v>24.91</v>
      </c>
    </row>
    <row r="35" spans="1:40" x14ac:dyDescent="0.35">
      <c r="A35" s="5">
        <v>46022</v>
      </c>
      <c r="B35" s="4" t="s">
        <v>97</v>
      </c>
      <c r="C35" s="4" t="s">
        <v>98</v>
      </c>
      <c r="D35" s="4" t="s">
        <v>236</v>
      </c>
      <c r="E35" s="8">
        <v>6582136</v>
      </c>
      <c r="F35" s="7">
        <v>23.75</v>
      </c>
      <c r="G35" s="9" t="str">
        <f>_xll.SNL.Clients.Office.Excel.Functions.SPG(E35, "SP_COMPANY_TYPE")</f>
        <v>Public Company</v>
      </c>
      <c r="H35" s="10" t="str">
        <f>_xll.SNL.Clients.Office.Excel.Functions.SPG(E35, "SP_COUNTRY_NAME")</f>
        <v>China</v>
      </c>
      <c r="J35" t="str">
        <f>_xll.SNL.Clients.Office.Excel.Functions.SPG(E35, "SP_PARENT_COUNTRY")</f>
        <v/>
      </c>
      <c r="K35" s="9" t="str">
        <f>_xll.SNL.Clients.Office.Excel.Functions.SPG(E35, "SP_PARENT_COMPANY_ID")</f>
        <v/>
      </c>
      <c r="L35" t="str">
        <f>_xll.SNL.Clients.Office.Excel.Functions.SPG(K35, "SP_COMPANY_TYPE")</f>
        <v>#INVALID COMPANY ID</v>
      </c>
      <c r="M35" s="9" t="str">
        <f>_xll.SNL.Clients.Office.Excel.Functions.SPG(E35, "SP_ULT_PARENT_COMPANY_NAME")</f>
        <v/>
      </c>
      <c r="N35" s="9" t="str">
        <f>_xll.SNL.Clients.Office.Excel.Functions.SPG(E35, "SP_ULT_PARENT_COUNTRY")</f>
        <v/>
      </c>
      <c r="O35" s="9" t="str">
        <f>_xll.SNL.Clients.Office.Excel.Functions.SPG(E35, "SP_ULT_PARENT_COMPANY_ID")</f>
        <v>NA</v>
      </c>
      <c r="P35" t="str">
        <f>_xll.SNL.Clients.Office.Excel.Functions.SPG(O35, "SP_COMPANY_TYPE")</f>
        <v>Public Company</v>
      </c>
      <c r="Q35" s="11">
        <f>_xll.SNL.Clients.Office.Excel.Functions.SPG(E35, "SP_PCT_SHARES_OWNED_ALL_INSTITUTIONS")</f>
        <v>39.340000000000003</v>
      </c>
      <c r="R35" s="11">
        <f>_xll.SNL.Clients.Office.Excel.Functions.SPG(E35, "PCT_OWNED_INSTN_BANKS/INVEST_BANKS")</f>
        <v>11.88</v>
      </c>
      <c r="S35" s="11" t="str">
        <f>_xll.SNL.Clients.Office.Excel.Functions.SPG(E35, "PCT_OWNED_INSTN_CHARITABLE_FOUNDATIONS")</f>
        <v>NA</v>
      </c>
      <c r="T35" s="11">
        <f>_xll.SNL.Clients.Office.Excel.Functions.SPG(E35, "PCT_OWNED_INSTN_CORP_PENSION_SPONSORS")</f>
        <v>0</v>
      </c>
      <c r="U35" s="11" t="str">
        <f>_xll.SNL.Clients.Office.Excel.Functions.SPG(E35, "PCT_OWNED_INSTN_EDUCATIONAL/CULTURAL_ENDOWMENTS")</f>
        <v>NA</v>
      </c>
      <c r="V35" s="11" t="str">
        <f>_xll.SNL.Clients.Office.Excel.Functions.SPG(E35, "PCT_OWNED_INSTN_FAMILY_OFFICES/TRUSTS")</f>
        <v>NA</v>
      </c>
      <c r="W35" s="11">
        <f>_xll.SNL.Clients.Office.Excel.Functions.SPG(E35, "PCT_OWNED_INSTN_GOVT_PENSION_SPONSORS")</f>
        <v>0.05</v>
      </c>
      <c r="X35" s="11" t="str">
        <f>_xll.SNL.Clients.Office.Excel.Functions.SPG(E35, "PCT_OWNED_INSTN_INSURANCE_COMPANIES")</f>
        <v>NA</v>
      </c>
      <c r="Y35" s="11">
        <f>_xll.SNL.Clients.Office.Excel.Functions.SPG(E35, "PCT_OWNED_INSTN_INVEST_MGRS")</f>
        <v>20.74</v>
      </c>
      <c r="Z35" s="11" t="str">
        <f>_xll.SNL.Clients.Office.Excel.Functions.SPG(E35, "PCT_OWNED_INSTN_REIT")</f>
        <v>NA</v>
      </c>
      <c r="AA35" s="11">
        <f>_xll.SNL.Clients.Office.Excel.Functions.SPG(E35, "PCT_OWNED_INSTN_UNCLASSIFIED")</f>
        <v>0.02</v>
      </c>
      <c r="AB35" s="11" t="str">
        <f>_xll.SNL.Clients.Office.Excel.Functions.SPG(E35, "PCT_OWNED_INSTN_UNION_PENSION_SPONSORS")</f>
        <v>NA</v>
      </c>
      <c r="AC35" s="11">
        <f>_xll.SNL.Clients.Office.Excel.Functions.SPG(E35, "PCT_OWNED_INSTN_HEDGE_FUND_MGRS_LESS5PCT_STAKE")</f>
        <v>0.03</v>
      </c>
      <c r="AD35" s="11">
        <f>_xll.SNL.Clients.Office.Excel.Functions.SPG(E35, "PCT_OWNED_INSTN_SOVEREIGN_WEALTH_FUNDS_LESS5PCT_STAKE")</f>
        <v>0.79</v>
      </c>
      <c r="AE35" s="11">
        <f>_xll.SNL.Clients.Office.Excel.Functions.SPG(E35, "PCT_OWNED_INSTN_VC/PE_FIRMS_LESS5PCT_STAKE")</f>
        <v>5.82</v>
      </c>
      <c r="AF35" s="11">
        <f>_xll.SNL.Clients.Office.Excel.Functions.SPG(E35, "PCT_OWNED_INSIDERS")</f>
        <v>41.03</v>
      </c>
      <c r="AG35" s="11" t="str">
        <f>_xll.SNL.Clients.Office.Excel.Functions.SPG(E35, "PCT_OWNED_STRATEGIC_HEDGE_FUND_MGRS_MORE_EQUAL5PCT_STAKE")</f>
        <v>NA</v>
      </c>
      <c r="AH35" s="11" t="str">
        <f>_xll.SNL.Clients.Office.Excel.Functions.SPG(E35, "PCT_OWNED_STRATEGIC_VC/PE_FIRMS_MORE_EQUAL5PCT_STAKE")</f>
        <v>NA</v>
      </c>
      <c r="AI35" s="11" t="str">
        <f>_xll.SNL.Clients.Office.Excel.Functions.SPG(E35, "PCT_OWNED_STRATEGIC_SOVEREIGN_WEALTH_FUNDS_MORE_EQUAL5PCT_STAKE")</f>
        <v>NA</v>
      </c>
      <c r="AJ35" s="11" t="str">
        <f>_xll.SNL.Clients.Office.Excel.Functions.SPG(E35, "PCT_OWNED_STRATEGIC_COMPANY_CONTROLLED_FOUNDATIONS")</f>
        <v>NA</v>
      </c>
      <c r="AK35" s="11" t="str">
        <f>_xll.SNL.Clients.Office.Excel.Functions.SPG(E35, "PCT_OWNED_STRATEGIC_ESOP")</f>
        <v>NA</v>
      </c>
      <c r="AL35" s="11" t="str">
        <f>_xll.SNL.Clients.Office.Excel.Functions.SPG(E35, "PCT_OWNED_STRATEGIC_STATE_OWNER")</f>
        <v>NA</v>
      </c>
      <c r="AM35" s="11">
        <f>_xll.SNL.Clients.Office.Excel.Functions.SPG(E35, "PCT_OWNED_STRATEGIC_CORPORATIONS_PRIVATE")</f>
        <v>1.54</v>
      </c>
      <c r="AN35" s="11">
        <f>_xll.SNL.Clients.Office.Excel.Functions.SPG(E35, "PCT_OWNED_STRATEGIC_CORPORATIONS_PUBLIC")</f>
        <v>0.9</v>
      </c>
    </row>
    <row r="36" spans="1:40" hidden="1" x14ac:dyDescent="0.35">
      <c r="A36" s="5">
        <v>46022</v>
      </c>
      <c r="B36" s="4" t="s">
        <v>99</v>
      </c>
      <c r="C36" s="4" t="s">
        <v>100</v>
      </c>
      <c r="D36" s="4" t="s">
        <v>223</v>
      </c>
      <c r="E36" s="8">
        <v>4350360</v>
      </c>
      <c r="F36" s="7">
        <v>33</v>
      </c>
      <c r="G36" s="9" t="str">
        <f>_xll.SNL.Clients.Office.Excel.Functions.SPG(E36, "SP_COMPANY_TYPE")</f>
        <v>Private Company</v>
      </c>
      <c r="H36" s="10" t="str">
        <f>_xll.SNL.Clients.Office.Excel.Functions.SPG(E36, "SP_COUNTRY_NAME")</f>
        <v>Dem. Rep. Congo</v>
      </c>
      <c r="J36" t="str">
        <f>_xll.SNL.Clients.Office.Excel.Functions.SPG(E36, "SP_PARENT_COUNTRY")</f>
        <v>Dem. Rep. Congo</v>
      </c>
      <c r="K36" s="9" t="str">
        <f>_xll.SNL.Clients.Office.Excel.Functions.SPG(E36, "SP_PARENT_COMPANY_ID")</f>
        <v>4350734</v>
      </c>
      <c r="L36" t="str">
        <f>_xll.SNL.Clients.Office.Excel.Functions.SPG(K36, "SP_COMPANY_TYPE")</f>
        <v>Government Institution</v>
      </c>
      <c r="M36" s="9" t="str">
        <f>_xll.SNL.Clients.Office.Excel.Functions.SPG(E36, "SP_ULT_PARENT_COMPANY_NAME")</f>
        <v>Dem. Rep. Congo</v>
      </c>
      <c r="N36" s="9" t="str">
        <f>_xll.SNL.Clients.Office.Excel.Functions.SPG(E36, "SP_ULT_PARENT_COUNTRY")</f>
        <v>Dem. Rep. Congo</v>
      </c>
      <c r="O36" s="9">
        <f>_xll.SNL.Clients.Office.Excel.Functions.SPG(E36, "SP_ULT_PARENT_COMPANY_ID")</f>
        <v>4350734</v>
      </c>
      <c r="P36" t="str">
        <f>_xll.SNL.Clients.Office.Excel.Functions.SPG(O36, "SP_COMPANY_TYPE")</f>
        <v>Government Institution</v>
      </c>
      <c r="Q36" s="11" t="str">
        <f>_xll.SNL.Clients.Office.Excel.Functions.SPG(E36, "SP_PCT_SHARES_OWNED_ALL_INSTITUTIONS")</f>
        <v>NA</v>
      </c>
      <c r="R36" s="11" t="str">
        <f>_xll.SNL.Clients.Office.Excel.Functions.SPG(E36, "PCT_OWNED_INSTN_BANKS/INVEST_BANKS")</f>
        <v>NA</v>
      </c>
      <c r="S36" s="11" t="str">
        <f>_xll.SNL.Clients.Office.Excel.Functions.SPG(E36, "PCT_OWNED_INSTN_CHARITABLE_FOUNDATIONS")</f>
        <v>NA</v>
      </c>
      <c r="T36" s="11" t="str">
        <f>_xll.SNL.Clients.Office.Excel.Functions.SPG(E36, "PCT_OWNED_INSTN_CORP_PENSION_SPONSORS")</f>
        <v>NA</v>
      </c>
      <c r="U36" s="11" t="str">
        <f>_xll.SNL.Clients.Office.Excel.Functions.SPG(E36, "PCT_OWNED_INSTN_EDUCATIONAL/CULTURAL_ENDOWMENTS")</f>
        <v>NA</v>
      </c>
      <c r="V36" s="11" t="str">
        <f>_xll.SNL.Clients.Office.Excel.Functions.SPG(E36, "PCT_OWNED_INSTN_FAMILY_OFFICES/TRUSTS")</f>
        <v>NA</v>
      </c>
      <c r="W36" s="11" t="str">
        <f>_xll.SNL.Clients.Office.Excel.Functions.SPG(E36, "PCT_OWNED_INSTN_GOVT_PENSION_SPONSORS")</f>
        <v>NA</v>
      </c>
      <c r="X36" s="11" t="str">
        <f>_xll.SNL.Clients.Office.Excel.Functions.SPG(E36, "PCT_OWNED_INSTN_INSURANCE_COMPANIES")</f>
        <v>NA</v>
      </c>
      <c r="Y36" s="11" t="str">
        <f>_xll.SNL.Clients.Office.Excel.Functions.SPG(E36, "PCT_OWNED_INSTN_INVEST_MGRS")</f>
        <v>NA</v>
      </c>
      <c r="Z36" s="11" t="str">
        <f>_xll.SNL.Clients.Office.Excel.Functions.SPG(E36, "PCT_OWNED_INSTN_REIT")</f>
        <v>NA</v>
      </c>
      <c r="AA36" s="11" t="str">
        <f>_xll.SNL.Clients.Office.Excel.Functions.SPG(E36, "PCT_OWNED_INSTN_UNCLASSIFIED")</f>
        <v>NA</v>
      </c>
      <c r="AB36" s="11" t="str">
        <f>_xll.SNL.Clients.Office.Excel.Functions.SPG(E36, "PCT_OWNED_INSTN_UNION_PENSION_SPONSORS")</f>
        <v>NA</v>
      </c>
      <c r="AC36" s="11" t="str">
        <f>_xll.SNL.Clients.Office.Excel.Functions.SPG(E36, "PCT_OWNED_INSTN_HEDGE_FUND_MGRS_LESS5PCT_STAKE")</f>
        <v>NA</v>
      </c>
      <c r="AD36" s="11" t="str">
        <f>_xll.SNL.Clients.Office.Excel.Functions.SPG(E36, "PCT_OWNED_INSTN_SOVEREIGN_WEALTH_FUNDS_LESS5PCT_STAKE")</f>
        <v>NA</v>
      </c>
      <c r="AE36" s="11" t="str">
        <f>_xll.SNL.Clients.Office.Excel.Functions.SPG(E36, "PCT_OWNED_INSTN_VC/PE_FIRMS_LESS5PCT_STAKE")</f>
        <v>NA</v>
      </c>
      <c r="AF36" s="11" t="str">
        <f>_xll.SNL.Clients.Office.Excel.Functions.SPG(E36, "PCT_OWNED_INSIDERS")</f>
        <v>NA</v>
      </c>
      <c r="AG36" s="11" t="str">
        <f>_xll.SNL.Clients.Office.Excel.Functions.SPG(E36, "PCT_OWNED_STRATEGIC_HEDGE_FUND_MGRS_MORE_EQUAL5PCT_STAKE")</f>
        <v>NA</v>
      </c>
      <c r="AH36" s="11" t="str">
        <f>_xll.SNL.Clients.Office.Excel.Functions.SPG(E36, "PCT_OWNED_STRATEGIC_VC/PE_FIRMS_MORE_EQUAL5PCT_STAKE")</f>
        <v>NA</v>
      </c>
      <c r="AI36" s="11" t="str">
        <f>_xll.SNL.Clients.Office.Excel.Functions.SPG(E36, "PCT_OWNED_STRATEGIC_SOVEREIGN_WEALTH_FUNDS_MORE_EQUAL5PCT_STAKE")</f>
        <v>NA</v>
      </c>
      <c r="AJ36" s="11" t="str">
        <f>_xll.SNL.Clients.Office.Excel.Functions.SPG(E36, "PCT_OWNED_STRATEGIC_COMPANY_CONTROLLED_FOUNDATIONS")</f>
        <v>NA</v>
      </c>
      <c r="AK36" s="11" t="str">
        <f>_xll.SNL.Clients.Office.Excel.Functions.SPG(E36, "PCT_OWNED_STRATEGIC_ESOP")</f>
        <v>NA</v>
      </c>
      <c r="AL36" s="11" t="str">
        <f>_xll.SNL.Clients.Office.Excel.Functions.SPG(E36, "PCT_OWNED_STRATEGIC_STATE_OWNER")</f>
        <v>NA</v>
      </c>
      <c r="AM36" s="11" t="str">
        <f>_xll.SNL.Clients.Office.Excel.Functions.SPG(E36, "PCT_OWNED_STRATEGIC_CORPORATIONS_PRIVATE")</f>
        <v>NA</v>
      </c>
      <c r="AN36" s="11" t="str">
        <f>_xll.SNL.Clients.Office.Excel.Functions.SPG(E36, "PCT_OWNED_STRATEGIC_CORPORATIONS_PUBLIC")</f>
        <v>NA</v>
      </c>
    </row>
    <row r="37" spans="1:40" x14ac:dyDescent="0.35">
      <c r="A37" s="5">
        <v>46022</v>
      </c>
      <c r="B37" s="4" t="s">
        <v>99</v>
      </c>
      <c r="C37" s="4" t="s">
        <v>100</v>
      </c>
      <c r="D37" s="4" t="s">
        <v>220</v>
      </c>
      <c r="E37" s="8">
        <v>4355642</v>
      </c>
      <c r="F37" s="7">
        <v>67</v>
      </c>
      <c r="G37" s="9" t="str">
        <f>_xll.SNL.Clients.Office.Excel.Functions.SPG(E37, "SP_COMPANY_TYPE")</f>
        <v>Public Company</v>
      </c>
      <c r="H37" s="10" t="str">
        <f>_xll.SNL.Clients.Office.Excel.Functions.SPG(E37, "SP_COUNTRY_NAME")</f>
        <v>China</v>
      </c>
      <c r="J37" t="str">
        <f>_xll.SNL.Clients.Office.Excel.Functions.SPG(E37, "SP_PARENT_COUNTRY")</f>
        <v/>
      </c>
      <c r="K37" s="9" t="str">
        <f>_xll.SNL.Clients.Office.Excel.Functions.SPG(E37, "SP_PARENT_COMPANY_ID")</f>
        <v/>
      </c>
      <c r="L37" t="str">
        <f>_xll.SNL.Clients.Office.Excel.Functions.SPG(K37, "SP_COMPANY_TYPE")</f>
        <v>#INVALID COMPANY ID</v>
      </c>
      <c r="M37" s="9" t="str">
        <f>_xll.SNL.Clients.Office.Excel.Functions.SPG(E37, "SP_ULT_PARENT_COMPANY_NAME")</f>
        <v/>
      </c>
      <c r="N37" s="9" t="str">
        <f>_xll.SNL.Clients.Office.Excel.Functions.SPG(E37, "SP_ULT_PARENT_COUNTRY")</f>
        <v/>
      </c>
      <c r="O37" s="9" t="str">
        <f>_xll.SNL.Clients.Office.Excel.Functions.SPG(E37, "SP_ULT_PARENT_COMPANY_ID")</f>
        <v>NA</v>
      </c>
      <c r="P37" t="str">
        <f>_xll.SNL.Clients.Office.Excel.Functions.SPG(O37, "SP_COMPANY_TYPE")</f>
        <v>Public Company</v>
      </c>
      <c r="Q37" s="11">
        <f>_xll.SNL.Clients.Office.Excel.Functions.SPG(E37, "SP_PCT_SHARES_OWNED_ALL_INSTITUTIONS")</f>
        <v>31.92</v>
      </c>
      <c r="R37" s="11">
        <f>_xll.SNL.Clients.Office.Excel.Functions.SPG(E37, "PCT_OWNED_INSTN_BANKS/INVEST_BANKS")</f>
        <v>2.34</v>
      </c>
      <c r="S37" s="11" t="str">
        <f>_xll.SNL.Clients.Office.Excel.Functions.SPG(E37, "PCT_OWNED_INSTN_CHARITABLE_FOUNDATIONS")</f>
        <v>NA</v>
      </c>
      <c r="T37" s="11" t="str">
        <f>_xll.SNL.Clients.Office.Excel.Functions.SPG(E37, "PCT_OWNED_INSTN_CORP_PENSION_SPONSORS")</f>
        <v>NA</v>
      </c>
      <c r="U37" s="11" t="str">
        <f>_xll.SNL.Clients.Office.Excel.Functions.SPG(E37, "PCT_OWNED_INSTN_EDUCATIONAL/CULTURAL_ENDOWMENTS")</f>
        <v>NA</v>
      </c>
      <c r="V37" s="11" t="str">
        <f>_xll.SNL.Clients.Office.Excel.Functions.SPG(E37, "PCT_OWNED_INSTN_FAMILY_OFFICES/TRUSTS")</f>
        <v>NA</v>
      </c>
      <c r="W37" s="11">
        <f>_xll.SNL.Clients.Office.Excel.Functions.SPG(E37, "PCT_OWNED_INSTN_GOVT_PENSION_SPONSORS")</f>
        <v>0.02</v>
      </c>
      <c r="X37" s="11" t="str">
        <f>_xll.SNL.Clients.Office.Excel.Functions.SPG(E37, "PCT_OWNED_INSTN_INSURANCE_COMPANIES")</f>
        <v>NA</v>
      </c>
      <c r="Y37" s="11">
        <f>_xll.SNL.Clients.Office.Excel.Functions.SPG(E37, "PCT_OWNED_INSTN_INVEST_MGRS")</f>
        <v>27.82</v>
      </c>
      <c r="Z37" s="11" t="str">
        <f>_xll.SNL.Clients.Office.Excel.Functions.SPG(E37, "PCT_OWNED_INSTN_REIT")</f>
        <v>NA</v>
      </c>
      <c r="AA37" s="11">
        <f>_xll.SNL.Clients.Office.Excel.Functions.SPG(E37, "PCT_OWNED_INSTN_UNCLASSIFIED")</f>
        <v>0.02</v>
      </c>
      <c r="AB37" s="11" t="str">
        <f>_xll.SNL.Clients.Office.Excel.Functions.SPG(E37, "PCT_OWNED_INSTN_UNION_PENSION_SPONSORS")</f>
        <v>NA</v>
      </c>
      <c r="AC37" s="11">
        <f>_xll.SNL.Clients.Office.Excel.Functions.SPG(E37, "PCT_OWNED_INSTN_HEDGE_FUND_MGRS_LESS5PCT_STAKE")</f>
        <v>0.06</v>
      </c>
      <c r="AD37" s="11">
        <f>_xll.SNL.Clients.Office.Excel.Functions.SPG(E37, "PCT_OWNED_INSTN_SOVEREIGN_WEALTH_FUNDS_LESS5PCT_STAKE")</f>
        <v>1.62</v>
      </c>
      <c r="AE37" s="11">
        <f>_xll.SNL.Clients.Office.Excel.Functions.SPG(E37, "PCT_OWNED_INSTN_VC/PE_FIRMS_LESS5PCT_STAKE")</f>
        <v>0.04</v>
      </c>
      <c r="AF37" s="11">
        <f>_xll.SNL.Clients.Office.Excel.Functions.SPG(E37, "PCT_OWNED_INSIDERS")</f>
        <v>0.09</v>
      </c>
      <c r="AG37" s="11" t="str">
        <f>_xll.SNL.Clients.Office.Excel.Functions.SPG(E37, "PCT_OWNED_STRATEGIC_HEDGE_FUND_MGRS_MORE_EQUAL5PCT_STAKE")</f>
        <v>NA</v>
      </c>
      <c r="AH37" s="11" t="str">
        <f>_xll.SNL.Clients.Office.Excel.Functions.SPG(E37, "PCT_OWNED_STRATEGIC_VC/PE_FIRMS_MORE_EQUAL5PCT_STAKE")</f>
        <v>NA</v>
      </c>
      <c r="AI37" s="11" t="str">
        <f>_xll.SNL.Clients.Office.Excel.Functions.SPG(E37, "PCT_OWNED_STRATEGIC_SOVEREIGN_WEALTH_FUNDS_MORE_EQUAL5PCT_STAKE")</f>
        <v>NA</v>
      </c>
      <c r="AJ37" s="11" t="str">
        <f>_xll.SNL.Clients.Office.Excel.Functions.SPG(E37, "PCT_OWNED_STRATEGIC_COMPANY_CONTROLLED_FOUNDATIONS")</f>
        <v>NA</v>
      </c>
      <c r="AK37" s="11">
        <f>_xll.SNL.Clients.Office.Excel.Functions.SPG(E37, "PCT_OWNED_STRATEGIC_ESOP")</f>
        <v>0.16</v>
      </c>
      <c r="AL37" s="11" t="str">
        <f>_xll.SNL.Clients.Office.Excel.Functions.SPG(E37, "PCT_OWNED_STRATEGIC_STATE_OWNER")</f>
        <v>NA</v>
      </c>
      <c r="AM37" s="11">
        <f>_xll.SNL.Clients.Office.Excel.Functions.SPG(E37, "PCT_OWNED_STRATEGIC_CORPORATIONS_PRIVATE")</f>
        <v>24</v>
      </c>
      <c r="AN37" s="11" t="str">
        <f>_xll.SNL.Clients.Office.Excel.Functions.SPG(E37, "PCT_OWNED_STRATEGIC_CORPORATIONS_PUBLIC")</f>
        <v>NA</v>
      </c>
    </row>
    <row r="38" spans="1:40" x14ac:dyDescent="0.35">
      <c r="A38" s="5">
        <v>46022</v>
      </c>
      <c r="B38" s="4" t="s">
        <v>103</v>
      </c>
      <c r="C38" s="4" t="s">
        <v>104</v>
      </c>
      <c r="D38" s="4" t="s">
        <v>237</v>
      </c>
      <c r="E38" s="8">
        <v>4223919</v>
      </c>
      <c r="F38" s="7">
        <v>100</v>
      </c>
      <c r="G38" s="9" t="str">
        <f>_xll.SNL.Clients.Office.Excel.Functions.SPG(E38, "SP_COMPANY_TYPE")</f>
        <v>Public Company</v>
      </c>
      <c r="H38" s="10" t="str">
        <f>_xll.SNL.Clients.Office.Excel.Functions.SPG(E38, "SP_COUNTRY_NAME")</f>
        <v>Brazil</v>
      </c>
      <c r="J38" t="str">
        <f>_xll.SNL.Clients.Office.Excel.Functions.SPG(E38, "SP_PARENT_COUNTRY")</f>
        <v/>
      </c>
      <c r="K38" s="9" t="str">
        <f>_xll.SNL.Clients.Office.Excel.Functions.SPG(E38, "SP_PARENT_COMPANY_ID")</f>
        <v/>
      </c>
      <c r="L38" t="str">
        <f>_xll.SNL.Clients.Office.Excel.Functions.SPG(K38, "SP_COMPANY_TYPE")</f>
        <v>#INVALID COMPANY ID</v>
      </c>
      <c r="M38" s="9" t="str">
        <f>_xll.SNL.Clients.Office.Excel.Functions.SPG(E38, "SP_ULT_PARENT_COMPANY_NAME")</f>
        <v/>
      </c>
      <c r="N38" s="9" t="str">
        <f>_xll.SNL.Clients.Office.Excel.Functions.SPG(E38, "SP_ULT_PARENT_COUNTRY")</f>
        <v/>
      </c>
      <c r="O38" s="9" t="str">
        <f>_xll.SNL.Clients.Office.Excel.Functions.SPG(E38, "SP_ULT_PARENT_COMPANY_ID")</f>
        <v>NA</v>
      </c>
      <c r="P38" t="str">
        <f>_xll.SNL.Clients.Office.Excel.Functions.SPG(O38, "SP_COMPANY_TYPE")</f>
        <v>Public Company</v>
      </c>
      <c r="Q38" s="11">
        <f>_xll.SNL.Clients.Office.Excel.Functions.SPG(E38, "SP_PCT_SHARES_OWNED_ALL_INSTITUTIONS")</f>
        <v>52.67</v>
      </c>
      <c r="R38" s="11">
        <f>_xll.SNL.Clients.Office.Excel.Functions.SPG(E38, "PCT_OWNED_INSTN_BANKS/INVEST_BANKS")</f>
        <v>1.86</v>
      </c>
      <c r="S38" s="11" t="str">
        <f>_xll.SNL.Clients.Office.Excel.Functions.SPG(E38, "PCT_OWNED_INSTN_CHARITABLE_FOUNDATIONS")</f>
        <v>NA</v>
      </c>
      <c r="T38" s="11">
        <f>_xll.SNL.Clients.Office.Excel.Functions.SPG(E38, "PCT_OWNED_INSTN_CORP_PENSION_SPONSORS")</f>
        <v>7.32</v>
      </c>
      <c r="U38" s="11" t="str">
        <f>_xll.SNL.Clients.Office.Excel.Functions.SPG(E38, "PCT_OWNED_INSTN_EDUCATIONAL/CULTURAL_ENDOWMENTS")</f>
        <v>NA</v>
      </c>
      <c r="V38" s="11">
        <f>_xll.SNL.Clients.Office.Excel.Functions.SPG(E38, "PCT_OWNED_INSTN_FAMILY_OFFICES/TRUSTS")</f>
        <v>0.09</v>
      </c>
      <c r="W38" s="11">
        <f>_xll.SNL.Clients.Office.Excel.Functions.SPG(E38, "PCT_OWNED_INSTN_GOVT_PENSION_SPONSORS")</f>
        <v>1.31</v>
      </c>
      <c r="X38" s="11">
        <f>_xll.SNL.Clients.Office.Excel.Functions.SPG(E38, "PCT_OWNED_INSTN_INSURANCE_COMPANIES")</f>
        <v>0</v>
      </c>
      <c r="Y38" s="11">
        <f>_xll.SNL.Clients.Office.Excel.Functions.SPG(E38, "PCT_OWNED_INSTN_INVEST_MGRS")</f>
        <v>39.1</v>
      </c>
      <c r="Z38" s="11" t="str">
        <f>_xll.SNL.Clients.Office.Excel.Functions.SPG(E38, "PCT_OWNED_INSTN_REIT")</f>
        <v>NA</v>
      </c>
      <c r="AA38" s="11">
        <f>_xll.SNL.Clients.Office.Excel.Functions.SPG(E38, "PCT_OWNED_INSTN_UNCLASSIFIED")</f>
        <v>0.49</v>
      </c>
      <c r="AB38" s="11" t="str">
        <f>_xll.SNL.Clients.Office.Excel.Functions.SPG(E38, "PCT_OWNED_INSTN_UNION_PENSION_SPONSORS")</f>
        <v>NA</v>
      </c>
      <c r="AC38" s="11">
        <f>_xll.SNL.Clients.Office.Excel.Functions.SPG(E38, "PCT_OWNED_INSTN_HEDGE_FUND_MGRS_LESS5PCT_STAKE")</f>
        <v>2.48</v>
      </c>
      <c r="AD38" s="11">
        <f>_xll.SNL.Clients.Office.Excel.Functions.SPG(E38, "PCT_OWNED_INSTN_SOVEREIGN_WEALTH_FUNDS_LESS5PCT_STAKE")</f>
        <v>0</v>
      </c>
      <c r="AE38" s="11">
        <f>_xll.SNL.Clients.Office.Excel.Functions.SPG(E38, "PCT_OWNED_INSTN_VC/PE_FIRMS_LESS5PCT_STAKE")</f>
        <v>0.03</v>
      </c>
      <c r="AF38" s="11">
        <f>_xll.SNL.Clients.Office.Excel.Functions.SPG(E38, "PCT_OWNED_INSIDERS")</f>
        <v>0.02</v>
      </c>
      <c r="AG38" s="11" t="str">
        <f>_xll.SNL.Clients.Office.Excel.Functions.SPG(E38, "PCT_OWNED_STRATEGIC_HEDGE_FUND_MGRS_MORE_EQUAL5PCT_STAKE")</f>
        <v>NA</v>
      </c>
      <c r="AH38" s="11" t="str">
        <f>_xll.SNL.Clients.Office.Excel.Functions.SPG(E38, "PCT_OWNED_STRATEGIC_VC/PE_FIRMS_MORE_EQUAL5PCT_STAKE")</f>
        <v>NA</v>
      </c>
      <c r="AI38" s="11" t="str">
        <f>_xll.SNL.Clients.Office.Excel.Functions.SPG(E38, "PCT_OWNED_STRATEGIC_SOVEREIGN_WEALTH_FUNDS_MORE_EQUAL5PCT_STAKE")</f>
        <v>NA</v>
      </c>
      <c r="AJ38" s="11" t="str">
        <f>_xll.SNL.Clients.Office.Excel.Functions.SPG(E38, "PCT_OWNED_STRATEGIC_COMPANY_CONTROLLED_FOUNDATIONS")</f>
        <v>NA</v>
      </c>
      <c r="AK38" s="11" t="str">
        <f>_xll.SNL.Clients.Office.Excel.Functions.SPG(E38, "PCT_OWNED_STRATEGIC_ESOP")</f>
        <v>NA</v>
      </c>
      <c r="AL38" s="11">
        <f>_xll.SNL.Clients.Office.Excel.Functions.SPG(E38, "PCT_OWNED_STRATEGIC_STATE_OWNER")</f>
        <v>0</v>
      </c>
      <c r="AM38" s="11">
        <f>_xll.SNL.Clients.Office.Excel.Functions.SPG(E38, "PCT_OWNED_STRATEGIC_CORPORATIONS_PRIVATE")</f>
        <v>0.28000000000000003</v>
      </c>
      <c r="AN38" s="11">
        <f>_xll.SNL.Clients.Office.Excel.Functions.SPG(E38, "PCT_OWNED_STRATEGIC_CORPORATIONS_PUBLIC")</f>
        <v>6.73</v>
      </c>
    </row>
    <row r="39" spans="1:40" hidden="1" x14ac:dyDescent="0.35">
      <c r="A39" s="5">
        <v>46022</v>
      </c>
      <c r="B39" s="4" t="s">
        <v>105</v>
      </c>
      <c r="C39" s="4" t="s">
        <v>106</v>
      </c>
      <c r="D39" s="4" t="s">
        <v>238</v>
      </c>
      <c r="E39" s="8">
        <v>8380433</v>
      </c>
      <c r="F39" s="7">
        <v>100</v>
      </c>
      <c r="G39" s="9" t="str">
        <f>_xll.SNL.Clients.Office.Excel.Functions.SPG(E39, "SP_COMPANY_TYPE")</f>
        <v>Private Company</v>
      </c>
      <c r="H39" s="10" t="str">
        <f>_xll.SNL.Clients.Office.Excel.Functions.SPG(E39, "SP_COUNTRY_NAME")</f>
        <v>Kazakhstan</v>
      </c>
      <c r="J39" t="str">
        <f>_xll.SNL.Clients.Office.Excel.Functions.SPG(E39, "SP_PARENT_COUNTRY")</f>
        <v>Luxembourg</v>
      </c>
      <c r="K39" s="9" t="str">
        <f>_xll.SNL.Clients.Office.Excel.Functions.SPG(E39, "SP_PARENT_COMPANY_ID")</f>
        <v>4581024</v>
      </c>
      <c r="L39" t="str">
        <f>_xll.SNL.Clients.Office.Excel.Functions.SPG(K39, "SP_COMPANY_TYPE")</f>
        <v>Private Company</v>
      </c>
      <c r="M39" s="9" t="str">
        <f>_xll.SNL.Clients.Office.Excel.Functions.SPG(E39, "SP_ULT_PARENT_COMPANY_NAME")</f>
        <v>Eurasian Resources Group S.à r.l.</v>
      </c>
      <c r="N39" s="9" t="str">
        <f>_xll.SNL.Clients.Office.Excel.Functions.SPG(E39, "SP_ULT_PARENT_COUNTRY")</f>
        <v>Luxembourg</v>
      </c>
      <c r="O39" s="9">
        <f>_xll.SNL.Clients.Office.Excel.Functions.SPG(E39, "SP_ULT_PARENT_COMPANY_ID")</f>
        <v>4581024</v>
      </c>
      <c r="P39" t="str">
        <f>_xll.SNL.Clients.Office.Excel.Functions.SPG(O39, "SP_COMPANY_TYPE")</f>
        <v>Private Company</v>
      </c>
      <c r="Q39" s="11" t="str">
        <f>_xll.SNL.Clients.Office.Excel.Functions.SPG(E39, "SP_PCT_SHARES_OWNED_ALL_INSTITUTIONS")</f>
        <v>NA</v>
      </c>
      <c r="R39" s="11" t="str">
        <f>_xll.SNL.Clients.Office.Excel.Functions.SPG(E39, "PCT_OWNED_INSTN_BANKS/INVEST_BANKS")</f>
        <v>NA</v>
      </c>
      <c r="S39" s="11" t="str">
        <f>_xll.SNL.Clients.Office.Excel.Functions.SPG(E39, "PCT_OWNED_INSTN_CHARITABLE_FOUNDATIONS")</f>
        <v>NA</v>
      </c>
      <c r="T39" s="11" t="str">
        <f>_xll.SNL.Clients.Office.Excel.Functions.SPG(E39, "PCT_OWNED_INSTN_CORP_PENSION_SPONSORS")</f>
        <v>NA</v>
      </c>
      <c r="U39" s="11" t="str">
        <f>_xll.SNL.Clients.Office.Excel.Functions.SPG(E39, "PCT_OWNED_INSTN_EDUCATIONAL/CULTURAL_ENDOWMENTS")</f>
        <v>NA</v>
      </c>
      <c r="V39" s="11" t="str">
        <f>_xll.SNL.Clients.Office.Excel.Functions.SPG(E39, "PCT_OWNED_INSTN_FAMILY_OFFICES/TRUSTS")</f>
        <v>NA</v>
      </c>
      <c r="W39" s="11" t="str">
        <f>_xll.SNL.Clients.Office.Excel.Functions.SPG(E39, "PCT_OWNED_INSTN_GOVT_PENSION_SPONSORS")</f>
        <v>NA</v>
      </c>
      <c r="X39" s="11" t="str">
        <f>_xll.SNL.Clients.Office.Excel.Functions.SPG(E39, "PCT_OWNED_INSTN_INSURANCE_COMPANIES")</f>
        <v>NA</v>
      </c>
      <c r="Y39" s="11" t="str">
        <f>_xll.SNL.Clients.Office.Excel.Functions.SPG(E39, "PCT_OWNED_INSTN_INVEST_MGRS")</f>
        <v>NA</v>
      </c>
      <c r="Z39" s="11" t="str">
        <f>_xll.SNL.Clients.Office.Excel.Functions.SPG(E39, "PCT_OWNED_INSTN_REIT")</f>
        <v>NA</v>
      </c>
      <c r="AA39" s="11" t="str">
        <f>_xll.SNL.Clients.Office.Excel.Functions.SPG(E39, "PCT_OWNED_INSTN_UNCLASSIFIED")</f>
        <v>NA</v>
      </c>
      <c r="AB39" s="11" t="str">
        <f>_xll.SNL.Clients.Office.Excel.Functions.SPG(E39, "PCT_OWNED_INSTN_UNION_PENSION_SPONSORS")</f>
        <v>NA</v>
      </c>
      <c r="AC39" s="11" t="str">
        <f>_xll.SNL.Clients.Office.Excel.Functions.SPG(E39, "PCT_OWNED_INSTN_HEDGE_FUND_MGRS_LESS5PCT_STAKE")</f>
        <v>NA</v>
      </c>
      <c r="AD39" s="11" t="str">
        <f>_xll.SNL.Clients.Office.Excel.Functions.SPG(E39, "PCT_OWNED_INSTN_SOVEREIGN_WEALTH_FUNDS_LESS5PCT_STAKE")</f>
        <v>NA</v>
      </c>
      <c r="AE39" s="11" t="str">
        <f>_xll.SNL.Clients.Office.Excel.Functions.SPG(E39, "PCT_OWNED_INSTN_VC/PE_FIRMS_LESS5PCT_STAKE")</f>
        <v>NA</v>
      </c>
      <c r="AF39" s="11" t="str">
        <f>_xll.SNL.Clients.Office.Excel.Functions.SPG(E39, "PCT_OWNED_INSIDERS")</f>
        <v>NA</v>
      </c>
      <c r="AG39" s="11" t="str">
        <f>_xll.SNL.Clients.Office.Excel.Functions.SPG(E39, "PCT_OWNED_STRATEGIC_HEDGE_FUND_MGRS_MORE_EQUAL5PCT_STAKE")</f>
        <v>NA</v>
      </c>
      <c r="AH39" s="11" t="str">
        <f>_xll.SNL.Clients.Office.Excel.Functions.SPG(E39, "PCT_OWNED_STRATEGIC_VC/PE_FIRMS_MORE_EQUAL5PCT_STAKE")</f>
        <v>NA</v>
      </c>
      <c r="AI39" s="11" t="str">
        <f>_xll.SNL.Clients.Office.Excel.Functions.SPG(E39, "PCT_OWNED_STRATEGIC_SOVEREIGN_WEALTH_FUNDS_MORE_EQUAL5PCT_STAKE")</f>
        <v>NA</v>
      </c>
      <c r="AJ39" s="11" t="str">
        <f>_xll.SNL.Clients.Office.Excel.Functions.SPG(E39, "PCT_OWNED_STRATEGIC_COMPANY_CONTROLLED_FOUNDATIONS")</f>
        <v>NA</v>
      </c>
      <c r="AK39" s="11" t="str">
        <f>_xll.SNL.Clients.Office.Excel.Functions.SPG(E39, "PCT_OWNED_STRATEGIC_ESOP")</f>
        <v>NA</v>
      </c>
      <c r="AL39" s="11" t="str">
        <f>_xll.SNL.Clients.Office.Excel.Functions.SPG(E39, "PCT_OWNED_STRATEGIC_STATE_OWNER")</f>
        <v>NA</v>
      </c>
      <c r="AM39" s="11" t="str">
        <f>_xll.SNL.Clients.Office.Excel.Functions.SPG(E39, "PCT_OWNED_STRATEGIC_CORPORATIONS_PRIVATE")</f>
        <v>NA</v>
      </c>
      <c r="AN39" s="11" t="str">
        <f>_xll.SNL.Clients.Office.Excel.Functions.SPG(E39, "PCT_OWNED_STRATEGIC_CORPORATIONS_PUBLIC")</f>
        <v>NA</v>
      </c>
    </row>
    <row r="40" spans="1:40" x14ac:dyDescent="0.35">
      <c r="A40" s="5">
        <v>46022</v>
      </c>
      <c r="B40" s="4" t="s">
        <v>107</v>
      </c>
      <c r="C40" s="4" t="s">
        <v>108</v>
      </c>
      <c r="D40" s="4" t="s">
        <v>228</v>
      </c>
      <c r="E40" s="8">
        <v>4351190</v>
      </c>
      <c r="F40" s="7">
        <v>50</v>
      </c>
      <c r="G40" s="9" t="str">
        <f>_xll.SNL.Clients.Office.Excel.Functions.SPG(E40, "SP_COMPANY_TYPE")</f>
        <v>Public Company</v>
      </c>
      <c r="H40" s="10" t="str">
        <f>_xll.SNL.Clients.Office.Excel.Functions.SPG(E40, "SP_COUNTRY_NAME")</f>
        <v>South Africa</v>
      </c>
      <c r="J40" t="str">
        <f>_xll.SNL.Clients.Office.Excel.Functions.SPG(E40, "SP_PARENT_COUNTRY")</f>
        <v/>
      </c>
      <c r="K40" s="9" t="str">
        <f>_xll.SNL.Clients.Office.Excel.Functions.SPG(E40, "SP_PARENT_COMPANY_ID")</f>
        <v/>
      </c>
      <c r="L40" t="str">
        <f>_xll.SNL.Clients.Office.Excel.Functions.SPG(K40, "SP_COMPANY_TYPE")</f>
        <v>#INVALID COMPANY ID</v>
      </c>
      <c r="M40" s="9" t="str">
        <f>_xll.SNL.Clients.Office.Excel.Functions.SPG(E40, "SP_ULT_PARENT_COMPANY_NAME")</f>
        <v/>
      </c>
      <c r="N40" s="9" t="str">
        <f>_xll.SNL.Clients.Office.Excel.Functions.SPG(E40, "SP_ULT_PARENT_COUNTRY")</f>
        <v/>
      </c>
      <c r="O40" s="9" t="str">
        <f>_xll.SNL.Clients.Office.Excel.Functions.SPG(E40, "SP_ULT_PARENT_COMPANY_ID")</f>
        <v>NA</v>
      </c>
      <c r="P40" t="str">
        <f>_xll.SNL.Clients.Office.Excel.Functions.SPG(O40, "SP_COMPANY_TYPE")</f>
        <v>Public Company</v>
      </c>
      <c r="Q40" s="11">
        <f>_xll.SNL.Clients.Office.Excel.Functions.SPG(E40, "SP_PCT_SHARES_OWNED_ALL_INSTITUTIONS")</f>
        <v>69.17</v>
      </c>
      <c r="R40" s="11">
        <f>_xll.SNL.Clients.Office.Excel.Functions.SPG(E40, "PCT_OWNED_INSTN_BANKS/INVEST_BANKS")</f>
        <v>0</v>
      </c>
      <c r="S40" s="11" t="str">
        <f>_xll.SNL.Clients.Office.Excel.Functions.SPG(E40, "PCT_OWNED_INSTN_CHARITABLE_FOUNDATIONS")</f>
        <v>NA</v>
      </c>
      <c r="T40" s="11">
        <f>_xll.SNL.Clients.Office.Excel.Functions.SPG(E40, "PCT_OWNED_INSTN_CORP_PENSION_SPONSORS")</f>
        <v>0.01</v>
      </c>
      <c r="U40" s="11" t="str">
        <f>_xll.SNL.Clients.Office.Excel.Functions.SPG(E40, "PCT_OWNED_INSTN_EDUCATIONAL/CULTURAL_ENDOWMENTS")</f>
        <v>NA</v>
      </c>
      <c r="V40" s="11">
        <f>_xll.SNL.Clients.Office.Excel.Functions.SPG(E40, "PCT_OWNED_INSTN_FAMILY_OFFICES/TRUSTS")</f>
        <v>6.56</v>
      </c>
      <c r="W40" s="11">
        <f>_xll.SNL.Clients.Office.Excel.Functions.SPG(E40, "PCT_OWNED_INSTN_GOVT_PENSION_SPONSORS")</f>
        <v>0.24</v>
      </c>
      <c r="X40" s="11" t="str">
        <f>_xll.SNL.Clients.Office.Excel.Functions.SPG(E40, "PCT_OWNED_INSTN_INSURANCE_COMPANIES")</f>
        <v>NA</v>
      </c>
      <c r="Y40" s="11">
        <f>_xll.SNL.Clients.Office.Excel.Functions.SPG(E40, "PCT_OWNED_INSTN_INVEST_MGRS")</f>
        <v>58.04</v>
      </c>
      <c r="Z40" s="11" t="str">
        <f>_xll.SNL.Clients.Office.Excel.Functions.SPG(E40, "PCT_OWNED_INSTN_REIT")</f>
        <v>NA</v>
      </c>
      <c r="AA40" s="11">
        <f>_xll.SNL.Clients.Office.Excel.Functions.SPG(E40, "PCT_OWNED_INSTN_UNCLASSIFIED")</f>
        <v>0.82</v>
      </c>
      <c r="AB40" s="11" t="str">
        <f>_xll.SNL.Clients.Office.Excel.Functions.SPG(E40, "PCT_OWNED_INSTN_UNION_PENSION_SPONSORS")</f>
        <v>NA</v>
      </c>
      <c r="AC40" s="11">
        <f>_xll.SNL.Clients.Office.Excel.Functions.SPG(E40, "PCT_OWNED_INSTN_HEDGE_FUND_MGRS_LESS5PCT_STAKE")</f>
        <v>0.74</v>
      </c>
      <c r="AD40" s="11">
        <f>_xll.SNL.Clients.Office.Excel.Functions.SPG(E40, "PCT_OWNED_INSTN_SOVEREIGN_WEALTH_FUNDS_LESS5PCT_STAKE")</f>
        <v>2.76</v>
      </c>
      <c r="AE40" s="11" t="str">
        <f>_xll.SNL.Clients.Office.Excel.Functions.SPG(E40, "PCT_OWNED_INSTN_VC/PE_FIRMS_LESS5PCT_STAKE")</f>
        <v>NA</v>
      </c>
      <c r="AF40" s="11">
        <f>_xll.SNL.Clients.Office.Excel.Functions.SPG(E40, "PCT_OWNED_INSIDERS")</f>
        <v>0.06</v>
      </c>
      <c r="AG40" s="11" t="str">
        <f>_xll.SNL.Clients.Office.Excel.Functions.SPG(E40, "PCT_OWNED_STRATEGIC_HEDGE_FUND_MGRS_MORE_EQUAL5PCT_STAKE")</f>
        <v>NA</v>
      </c>
      <c r="AH40" s="11" t="str">
        <f>_xll.SNL.Clients.Office.Excel.Functions.SPG(E40, "PCT_OWNED_STRATEGIC_VC/PE_FIRMS_MORE_EQUAL5PCT_STAKE")</f>
        <v>NA</v>
      </c>
      <c r="AI40" s="11" t="str">
        <f>_xll.SNL.Clients.Office.Excel.Functions.SPG(E40, "PCT_OWNED_STRATEGIC_SOVEREIGN_WEALTH_FUNDS_MORE_EQUAL5PCT_STAKE")</f>
        <v>NA</v>
      </c>
      <c r="AJ40" s="11" t="str">
        <f>_xll.SNL.Clients.Office.Excel.Functions.SPG(E40, "PCT_OWNED_STRATEGIC_COMPANY_CONTROLLED_FOUNDATIONS")</f>
        <v>NA</v>
      </c>
      <c r="AK40" s="11" t="str">
        <f>_xll.SNL.Clients.Office.Excel.Functions.SPG(E40, "PCT_OWNED_STRATEGIC_ESOP")</f>
        <v>NA</v>
      </c>
      <c r="AL40" s="11" t="str">
        <f>_xll.SNL.Clients.Office.Excel.Functions.SPG(E40, "PCT_OWNED_STRATEGIC_STATE_OWNER")</f>
        <v>NA</v>
      </c>
      <c r="AM40" s="11" t="str">
        <f>_xll.SNL.Clients.Office.Excel.Functions.SPG(E40, "PCT_OWNED_STRATEGIC_CORPORATIONS_PRIVATE")</f>
        <v>NA</v>
      </c>
      <c r="AN40" s="11" t="str">
        <f>_xll.SNL.Clients.Office.Excel.Functions.SPG(E40, "PCT_OWNED_STRATEGIC_CORPORATIONS_PUBLIC")</f>
        <v>NA</v>
      </c>
    </row>
    <row r="41" spans="1:40" x14ac:dyDescent="0.35">
      <c r="A41" s="5">
        <v>46022</v>
      </c>
      <c r="B41" s="4" t="s">
        <v>107</v>
      </c>
      <c r="C41" s="4" t="s">
        <v>108</v>
      </c>
      <c r="D41" s="4" t="s">
        <v>239</v>
      </c>
      <c r="E41" s="8">
        <v>4379789</v>
      </c>
      <c r="F41" s="7">
        <v>50</v>
      </c>
      <c r="G41" s="9" t="str">
        <f>_xll.SNL.Clients.Office.Excel.Functions.SPG(E41, "SP_COMPANY_TYPE")</f>
        <v>Public Company</v>
      </c>
      <c r="H41" s="10" t="str">
        <f>_xll.SNL.Clients.Office.Excel.Functions.SPG(E41, "SP_COUNTRY_NAME")</f>
        <v>South Africa</v>
      </c>
      <c r="J41" t="str">
        <f>_xll.SNL.Clients.Office.Excel.Functions.SPG(E41, "SP_PARENT_COUNTRY")</f>
        <v/>
      </c>
      <c r="K41" s="9" t="str">
        <f>_xll.SNL.Clients.Office.Excel.Functions.SPG(E41, "SP_PARENT_COMPANY_ID")</f>
        <v/>
      </c>
      <c r="L41" t="str">
        <f>_xll.SNL.Clients.Office.Excel.Functions.SPG(K41, "SP_COMPANY_TYPE")</f>
        <v>#INVALID COMPANY ID</v>
      </c>
      <c r="M41" s="9" t="str">
        <f>_xll.SNL.Clients.Office.Excel.Functions.SPG(E41, "SP_ULT_PARENT_COMPANY_NAME")</f>
        <v/>
      </c>
      <c r="N41" s="9" t="str">
        <f>_xll.SNL.Clients.Office.Excel.Functions.SPG(E41, "SP_ULT_PARENT_COUNTRY")</f>
        <v/>
      </c>
      <c r="O41" s="9" t="str">
        <f>_xll.SNL.Clients.Office.Excel.Functions.SPG(E41, "SP_ULT_PARENT_COMPANY_ID")</f>
        <v>NA</v>
      </c>
      <c r="P41" t="str">
        <f>_xll.SNL.Clients.Office.Excel.Functions.SPG(O41, "SP_COMPANY_TYPE")</f>
        <v>Public Company</v>
      </c>
      <c r="Q41" s="11">
        <f>_xll.SNL.Clients.Office.Excel.Functions.SPG(E41, "SP_PCT_SHARES_OWNED_ALL_INSTITUTIONS")</f>
        <v>99.19</v>
      </c>
      <c r="R41" s="11">
        <f>_xll.SNL.Clients.Office.Excel.Functions.SPG(E41, "PCT_OWNED_INSTN_BANKS/INVEST_BANKS")</f>
        <v>7.55</v>
      </c>
      <c r="S41" s="11" t="str">
        <f>_xll.SNL.Clients.Office.Excel.Functions.SPG(E41, "PCT_OWNED_INSTN_CHARITABLE_FOUNDATIONS")</f>
        <v>NA</v>
      </c>
      <c r="T41" s="11">
        <f>_xll.SNL.Clients.Office.Excel.Functions.SPG(E41, "PCT_OWNED_INSTN_CORP_PENSION_SPONSORS")</f>
        <v>0</v>
      </c>
      <c r="U41" s="11" t="str">
        <f>_xll.SNL.Clients.Office.Excel.Functions.SPG(E41, "PCT_OWNED_INSTN_EDUCATIONAL/CULTURAL_ENDOWMENTS")</f>
        <v>NA</v>
      </c>
      <c r="V41" s="11">
        <f>_xll.SNL.Clients.Office.Excel.Functions.SPG(E41, "PCT_OWNED_INSTN_FAMILY_OFFICES/TRUSTS")</f>
        <v>5.48</v>
      </c>
      <c r="W41" s="11">
        <f>_xll.SNL.Clients.Office.Excel.Functions.SPG(E41, "PCT_OWNED_INSTN_GOVT_PENSION_SPONSORS")</f>
        <v>0.6</v>
      </c>
      <c r="X41" s="11" t="str">
        <f>_xll.SNL.Clients.Office.Excel.Functions.SPG(E41, "PCT_OWNED_INSTN_INSURANCE_COMPANIES")</f>
        <v>NA</v>
      </c>
      <c r="Y41" s="11">
        <f>_xll.SNL.Clients.Office.Excel.Functions.SPG(E41, "PCT_OWNED_INSTN_INVEST_MGRS")</f>
        <v>77.87</v>
      </c>
      <c r="Z41" s="11" t="str">
        <f>_xll.SNL.Clients.Office.Excel.Functions.SPG(E41, "PCT_OWNED_INSTN_REIT")</f>
        <v>NA</v>
      </c>
      <c r="AA41" s="11">
        <f>_xll.SNL.Clients.Office.Excel.Functions.SPG(E41, "PCT_OWNED_INSTN_UNCLASSIFIED")</f>
        <v>1.4</v>
      </c>
      <c r="AB41" s="11" t="str">
        <f>_xll.SNL.Clients.Office.Excel.Functions.SPG(E41, "PCT_OWNED_INSTN_UNION_PENSION_SPONSORS")</f>
        <v>NA</v>
      </c>
      <c r="AC41" s="11">
        <f>_xll.SNL.Clients.Office.Excel.Functions.SPG(E41, "PCT_OWNED_INSTN_HEDGE_FUND_MGRS_LESS5PCT_STAKE")</f>
        <v>5.82</v>
      </c>
      <c r="AD41" s="11">
        <f>_xll.SNL.Clients.Office.Excel.Functions.SPG(E41, "PCT_OWNED_INSTN_SOVEREIGN_WEALTH_FUNDS_LESS5PCT_STAKE")</f>
        <v>0.46</v>
      </c>
      <c r="AE41" s="11">
        <f>_xll.SNL.Clients.Office.Excel.Functions.SPG(E41, "PCT_OWNED_INSTN_VC/PE_FIRMS_LESS5PCT_STAKE")</f>
        <v>0</v>
      </c>
      <c r="AF41" s="11">
        <f>_xll.SNL.Clients.Office.Excel.Functions.SPG(E41, "PCT_OWNED_INSIDERS")</f>
        <v>0.23</v>
      </c>
      <c r="AG41" s="11" t="str">
        <f>_xll.SNL.Clients.Office.Excel.Functions.SPG(E41, "PCT_OWNED_STRATEGIC_HEDGE_FUND_MGRS_MORE_EQUAL5PCT_STAKE")</f>
        <v>NA</v>
      </c>
      <c r="AH41" s="11" t="str">
        <f>_xll.SNL.Clients.Office.Excel.Functions.SPG(E41, "PCT_OWNED_STRATEGIC_VC/PE_FIRMS_MORE_EQUAL5PCT_STAKE")</f>
        <v>NA</v>
      </c>
      <c r="AI41" s="11" t="str">
        <f>_xll.SNL.Clients.Office.Excel.Functions.SPG(E41, "PCT_OWNED_STRATEGIC_SOVEREIGN_WEALTH_FUNDS_MORE_EQUAL5PCT_STAKE")</f>
        <v>NA</v>
      </c>
      <c r="AJ41" s="11" t="str">
        <f>_xll.SNL.Clients.Office.Excel.Functions.SPG(E41, "PCT_OWNED_STRATEGIC_COMPANY_CONTROLLED_FOUNDATIONS")</f>
        <v>NA</v>
      </c>
      <c r="AK41" s="11" t="str">
        <f>_xll.SNL.Clients.Office.Excel.Functions.SPG(E41, "PCT_OWNED_STRATEGIC_ESOP")</f>
        <v>NA</v>
      </c>
      <c r="AL41" s="11" t="str">
        <f>_xll.SNL.Clients.Office.Excel.Functions.SPG(E41, "PCT_OWNED_STRATEGIC_STATE_OWNER")</f>
        <v>NA</v>
      </c>
      <c r="AM41" s="11" t="str">
        <f>_xll.SNL.Clients.Office.Excel.Functions.SPG(E41, "PCT_OWNED_STRATEGIC_CORPORATIONS_PRIVATE")</f>
        <v>NA</v>
      </c>
      <c r="AN41" s="11" t="str">
        <f>_xll.SNL.Clients.Office.Excel.Functions.SPG(E41, "PCT_OWNED_STRATEGIC_CORPORATIONS_PUBLIC")</f>
        <v>NA</v>
      </c>
    </row>
    <row r="42" spans="1:40" hidden="1" x14ac:dyDescent="0.35">
      <c r="A42" s="5">
        <v>46022</v>
      </c>
      <c r="B42" s="4" t="s">
        <v>135</v>
      </c>
      <c r="C42" s="4" t="s">
        <v>136</v>
      </c>
      <c r="D42" s="4" t="s">
        <v>240</v>
      </c>
      <c r="E42" s="8">
        <v>4502042</v>
      </c>
      <c r="F42" s="7">
        <v>50</v>
      </c>
      <c r="G42" s="9" t="str">
        <f>_xll.SNL.Clients.Office.Excel.Functions.SPG(E42, "SP_COMPANY_TYPE")</f>
        <v>Private Company</v>
      </c>
      <c r="H42" s="10" t="str">
        <f>_xll.SNL.Clients.Office.Excel.Functions.SPG(E42, "SP_COUNTRY_NAME")</f>
        <v>Cuba</v>
      </c>
      <c r="J42" t="str">
        <f>_xll.SNL.Clients.Office.Excel.Functions.SPG(E42, "SP_PARENT_COUNTRY")</f>
        <v/>
      </c>
      <c r="K42" s="9" t="str">
        <f>_xll.SNL.Clients.Office.Excel.Functions.SPG(E42, "SP_PARENT_COMPANY_ID")</f>
        <v/>
      </c>
      <c r="L42" t="str">
        <f>_xll.SNL.Clients.Office.Excel.Functions.SPG(K42, "SP_COMPANY_TYPE")</f>
        <v>#INVALID COMPANY ID</v>
      </c>
      <c r="M42" s="9" t="str">
        <f>_xll.SNL.Clients.Office.Excel.Functions.SPG(E42, "SP_ULT_PARENT_COMPANY_NAME")</f>
        <v/>
      </c>
      <c r="N42" s="9" t="str">
        <f>_xll.SNL.Clients.Office.Excel.Functions.SPG(E42, "SP_ULT_PARENT_COUNTRY")</f>
        <v/>
      </c>
      <c r="O42" s="9" t="str">
        <f>_xll.SNL.Clients.Office.Excel.Functions.SPG(E42, "SP_ULT_PARENT_COMPANY_ID")</f>
        <v>NA</v>
      </c>
      <c r="P42" t="str">
        <f>_xll.SNL.Clients.Office.Excel.Functions.SPG(O42, "SP_COMPANY_TYPE")</f>
        <v>Public Company</v>
      </c>
      <c r="Q42" s="11" t="str">
        <f>_xll.SNL.Clients.Office.Excel.Functions.SPG(E42, "SP_PCT_SHARES_OWNED_ALL_INSTITUTIONS")</f>
        <v>NA</v>
      </c>
      <c r="R42" s="11" t="str">
        <f>_xll.SNL.Clients.Office.Excel.Functions.SPG(E42, "PCT_OWNED_INSTN_BANKS/INVEST_BANKS")</f>
        <v>NA</v>
      </c>
      <c r="S42" s="11" t="str">
        <f>_xll.SNL.Clients.Office.Excel.Functions.SPG(E42, "PCT_OWNED_INSTN_CHARITABLE_FOUNDATIONS")</f>
        <v>NA</v>
      </c>
      <c r="T42" s="11" t="str">
        <f>_xll.SNL.Clients.Office.Excel.Functions.SPG(E42, "PCT_OWNED_INSTN_CORP_PENSION_SPONSORS")</f>
        <v>NA</v>
      </c>
      <c r="U42" s="11" t="str">
        <f>_xll.SNL.Clients.Office.Excel.Functions.SPG(E42, "PCT_OWNED_INSTN_EDUCATIONAL/CULTURAL_ENDOWMENTS")</f>
        <v>NA</v>
      </c>
      <c r="V42" s="11" t="str">
        <f>_xll.SNL.Clients.Office.Excel.Functions.SPG(E42, "PCT_OWNED_INSTN_FAMILY_OFFICES/TRUSTS")</f>
        <v>NA</v>
      </c>
      <c r="W42" s="11" t="str">
        <f>_xll.SNL.Clients.Office.Excel.Functions.SPG(E42, "PCT_OWNED_INSTN_GOVT_PENSION_SPONSORS")</f>
        <v>NA</v>
      </c>
      <c r="X42" s="11" t="str">
        <f>_xll.SNL.Clients.Office.Excel.Functions.SPG(E42, "PCT_OWNED_INSTN_INSURANCE_COMPANIES")</f>
        <v>NA</v>
      </c>
      <c r="Y42" s="11" t="str">
        <f>_xll.SNL.Clients.Office.Excel.Functions.SPG(E42, "PCT_OWNED_INSTN_INVEST_MGRS")</f>
        <v>NA</v>
      </c>
      <c r="Z42" s="11" t="str">
        <f>_xll.SNL.Clients.Office.Excel.Functions.SPG(E42, "PCT_OWNED_INSTN_REIT")</f>
        <v>NA</v>
      </c>
      <c r="AA42" s="11" t="str">
        <f>_xll.SNL.Clients.Office.Excel.Functions.SPG(E42, "PCT_OWNED_INSTN_UNCLASSIFIED")</f>
        <v>NA</v>
      </c>
      <c r="AB42" s="11" t="str">
        <f>_xll.SNL.Clients.Office.Excel.Functions.SPG(E42, "PCT_OWNED_INSTN_UNION_PENSION_SPONSORS")</f>
        <v>NA</v>
      </c>
      <c r="AC42" s="11" t="str">
        <f>_xll.SNL.Clients.Office.Excel.Functions.SPG(E42, "PCT_OWNED_INSTN_HEDGE_FUND_MGRS_LESS5PCT_STAKE")</f>
        <v>NA</v>
      </c>
      <c r="AD42" s="11" t="str">
        <f>_xll.SNL.Clients.Office.Excel.Functions.SPG(E42, "PCT_OWNED_INSTN_SOVEREIGN_WEALTH_FUNDS_LESS5PCT_STAKE")</f>
        <v>NA</v>
      </c>
      <c r="AE42" s="11" t="str">
        <f>_xll.SNL.Clients.Office.Excel.Functions.SPG(E42, "PCT_OWNED_INSTN_VC/PE_FIRMS_LESS5PCT_STAKE")</f>
        <v>NA</v>
      </c>
      <c r="AF42" s="11" t="str">
        <f>_xll.SNL.Clients.Office.Excel.Functions.SPG(E42, "PCT_OWNED_INSIDERS")</f>
        <v>NA</v>
      </c>
      <c r="AG42" s="11" t="str">
        <f>_xll.SNL.Clients.Office.Excel.Functions.SPG(E42, "PCT_OWNED_STRATEGIC_HEDGE_FUND_MGRS_MORE_EQUAL5PCT_STAKE")</f>
        <v>NA</v>
      </c>
      <c r="AH42" s="11" t="str">
        <f>_xll.SNL.Clients.Office.Excel.Functions.SPG(E42, "PCT_OWNED_STRATEGIC_VC/PE_FIRMS_MORE_EQUAL5PCT_STAKE")</f>
        <v>NA</v>
      </c>
      <c r="AI42" s="11" t="str">
        <f>_xll.SNL.Clients.Office.Excel.Functions.SPG(E42, "PCT_OWNED_STRATEGIC_SOVEREIGN_WEALTH_FUNDS_MORE_EQUAL5PCT_STAKE")</f>
        <v>NA</v>
      </c>
      <c r="AJ42" s="11" t="str">
        <f>_xll.SNL.Clients.Office.Excel.Functions.SPG(E42, "PCT_OWNED_STRATEGIC_COMPANY_CONTROLLED_FOUNDATIONS")</f>
        <v>NA</v>
      </c>
      <c r="AK42" s="11" t="str">
        <f>_xll.SNL.Clients.Office.Excel.Functions.SPG(E42, "PCT_OWNED_STRATEGIC_ESOP")</f>
        <v>NA</v>
      </c>
      <c r="AL42" s="11" t="str">
        <f>_xll.SNL.Clients.Office.Excel.Functions.SPG(E42, "PCT_OWNED_STRATEGIC_STATE_OWNER")</f>
        <v>NA</v>
      </c>
      <c r="AM42" s="11" t="str">
        <f>_xll.SNL.Clients.Office.Excel.Functions.SPG(E42, "PCT_OWNED_STRATEGIC_CORPORATIONS_PRIVATE")</f>
        <v>NA</v>
      </c>
      <c r="AN42" s="11" t="str">
        <f>_xll.SNL.Clients.Office.Excel.Functions.SPG(E42, "PCT_OWNED_STRATEGIC_CORPORATIONS_PUBLIC")</f>
        <v>NA</v>
      </c>
    </row>
    <row r="43" spans="1:40" x14ac:dyDescent="0.35">
      <c r="A43" s="5">
        <v>46022</v>
      </c>
      <c r="B43" s="4" t="s">
        <v>135</v>
      </c>
      <c r="C43" s="4" t="s">
        <v>136</v>
      </c>
      <c r="D43" s="4" t="s">
        <v>241</v>
      </c>
      <c r="E43" s="8">
        <v>4102700</v>
      </c>
      <c r="F43" s="7">
        <v>50</v>
      </c>
      <c r="G43" s="9" t="str">
        <f>_xll.SNL.Clients.Office.Excel.Functions.SPG(E43, "SP_COMPANY_TYPE")</f>
        <v>Public Company</v>
      </c>
      <c r="H43" s="10" t="str">
        <f>_xll.SNL.Clients.Office.Excel.Functions.SPG(E43, "SP_COUNTRY_NAME")</f>
        <v>Canada</v>
      </c>
      <c r="J43" t="str">
        <f>_xll.SNL.Clients.Office.Excel.Functions.SPG(E43, "SP_PARENT_COUNTRY")</f>
        <v/>
      </c>
      <c r="K43" s="9" t="str">
        <f>_xll.SNL.Clients.Office.Excel.Functions.SPG(E43, "SP_PARENT_COMPANY_ID")</f>
        <v/>
      </c>
      <c r="L43" t="str">
        <f>_xll.SNL.Clients.Office.Excel.Functions.SPG(K43, "SP_COMPANY_TYPE")</f>
        <v>#INVALID COMPANY ID</v>
      </c>
      <c r="M43" s="9" t="str">
        <f>_xll.SNL.Clients.Office.Excel.Functions.SPG(E43, "SP_ULT_PARENT_COMPANY_NAME")</f>
        <v/>
      </c>
      <c r="N43" s="9" t="str">
        <f>_xll.SNL.Clients.Office.Excel.Functions.SPG(E43, "SP_ULT_PARENT_COUNTRY")</f>
        <v/>
      </c>
      <c r="O43" s="9" t="str">
        <f>_xll.SNL.Clients.Office.Excel.Functions.SPG(E43, "SP_ULT_PARENT_COMPANY_ID")</f>
        <v>NA</v>
      </c>
      <c r="P43" t="str">
        <f>_xll.SNL.Clients.Office.Excel.Functions.SPG(O43, "SP_COMPANY_TYPE")</f>
        <v>Public Company</v>
      </c>
      <c r="Q43" s="11">
        <f>_xll.SNL.Clients.Office.Excel.Functions.SPG(E43, "SP_PCT_SHARES_OWNED_ALL_INSTITUTIONS")</f>
        <v>0.9</v>
      </c>
      <c r="R43" s="11" t="str">
        <f>_xll.SNL.Clients.Office.Excel.Functions.SPG(E43, "PCT_OWNED_INSTN_BANKS/INVEST_BANKS")</f>
        <v>NA</v>
      </c>
      <c r="S43" s="11" t="str">
        <f>_xll.SNL.Clients.Office.Excel.Functions.SPG(E43, "PCT_OWNED_INSTN_CHARITABLE_FOUNDATIONS")</f>
        <v>NA</v>
      </c>
      <c r="T43" s="11" t="str">
        <f>_xll.SNL.Clients.Office.Excel.Functions.SPG(E43, "PCT_OWNED_INSTN_CORP_PENSION_SPONSORS")</f>
        <v>NA</v>
      </c>
      <c r="U43" s="11" t="str">
        <f>_xll.SNL.Clients.Office.Excel.Functions.SPG(E43, "PCT_OWNED_INSTN_EDUCATIONAL/CULTURAL_ENDOWMENTS")</f>
        <v>NA</v>
      </c>
      <c r="V43" s="11" t="str">
        <f>_xll.SNL.Clients.Office.Excel.Functions.SPG(E43, "PCT_OWNED_INSTN_FAMILY_OFFICES/TRUSTS")</f>
        <v>NA</v>
      </c>
      <c r="W43" s="11" t="str">
        <f>_xll.SNL.Clients.Office.Excel.Functions.SPG(E43, "PCT_OWNED_INSTN_GOVT_PENSION_SPONSORS")</f>
        <v>NA</v>
      </c>
      <c r="X43" s="11" t="str">
        <f>_xll.SNL.Clients.Office.Excel.Functions.SPG(E43, "PCT_OWNED_INSTN_INSURANCE_COMPANIES")</f>
        <v>NA</v>
      </c>
      <c r="Y43" s="11">
        <f>_xll.SNL.Clients.Office.Excel.Functions.SPG(E43, "PCT_OWNED_INSTN_INVEST_MGRS")</f>
        <v>0.9</v>
      </c>
      <c r="Z43" s="11" t="str">
        <f>_xll.SNL.Clients.Office.Excel.Functions.SPG(E43, "PCT_OWNED_INSTN_REIT")</f>
        <v>NA</v>
      </c>
      <c r="AA43" s="11" t="str">
        <f>_xll.SNL.Clients.Office.Excel.Functions.SPG(E43, "PCT_OWNED_INSTN_UNCLASSIFIED")</f>
        <v>NA</v>
      </c>
      <c r="AB43" s="11" t="str">
        <f>_xll.SNL.Clients.Office.Excel.Functions.SPG(E43, "PCT_OWNED_INSTN_UNION_PENSION_SPONSORS")</f>
        <v>NA</v>
      </c>
      <c r="AC43" s="11" t="str">
        <f>_xll.SNL.Clients.Office.Excel.Functions.SPG(E43, "PCT_OWNED_INSTN_HEDGE_FUND_MGRS_LESS5PCT_STAKE")</f>
        <v>NA</v>
      </c>
      <c r="AD43" s="11" t="str">
        <f>_xll.SNL.Clients.Office.Excel.Functions.SPG(E43, "PCT_OWNED_INSTN_SOVEREIGN_WEALTH_FUNDS_LESS5PCT_STAKE")</f>
        <v>NA</v>
      </c>
      <c r="AE43" s="11" t="str">
        <f>_xll.SNL.Clients.Office.Excel.Functions.SPG(E43, "PCT_OWNED_INSTN_VC/PE_FIRMS_LESS5PCT_STAKE")</f>
        <v>NA</v>
      </c>
      <c r="AF43" s="11">
        <f>_xll.SNL.Clients.Office.Excel.Functions.SPG(E43, "PCT_OWNED_INSIDERS")</f>
        <v>0.24</v>
      </c>
      <c r="AG43" s="11">
        <f>_xll.SNL.Clients.Office.Excel.Functions.SPG(E43, "PCT_OWNED_STRATEGIC_HEDGE_FUND_MGRS_MORE_EQUAL5PCT_STAKE")</f>
        <v>13.43</v>
      </c>
      <c r="AH43" s="11" t="str">
        <f>_xll.SNL.Clients.Office.Excel.Functions.SPG(E43, "PCT_OWNED_STRATEGIC_VC/PE_FIRMS_MORE_EQUAL5PCT_STAKE")</f>
        <v>NA</v>
      </c>
      <c r="AI43" s="11" t="str">
        <f>_xll.SNL.Clients.Office.Excel.Functions.SPG(E43, "PCT_OWNED_STRATEGIC_SOVEREIGN_WEALTH_FUNDS_MORE_EQUAL5PCT_STAKE")</f>
        <v>NA</v>
      </c>
      <c r="AJ43" s="11" t="str">
        <f>_xll.SNL.Clients.Office.Excel.Functions.SPG(E43, "PCT_OWNED_STRATEGIC_COMPANY_CONTROLLED_FOUNDATIONS")</f>
        <v>NA</v>
      </c>
      <c r="AK43" s="11" t="str">
        <f>_xll.SNL.Clients.Office.Excel.Functions.SPG(E43, "PCT_OWNED_STRATEGIC_ESOP")</f>
        <v>NA</v>
      </c>
      <c r="AL43" s="11" t="str">
        <f>_xll.SNL.Clients.Office.Excel.Functions.SPG(E43, "PCT_OWNED_STRATEGIC_STATE_OWNER")</f>
        <v>NA</v>
      </c>
      <c r="AM43" s="11">
        <f>_xll.SNL.Clients.Office.Excel.Functions.SPG(E43, "PCT_OWNED_STRATEGIC_CORPORATIONS_PRIVATE")</f>
        <v>5.71</v>
      </c>
      <c r="AN43" s="11" t="str">
        <f>_xll.SNL.Clients.Office.Excel.Functions.SPG(E43, "PCT_OWNED_STRATEGIC_CORPORATIONS_PUBLIC")</f>
        <v>NA</v>
      </c>
    </row>
    <row r="44" spans="1:40" hidden="1" x14ac:dyDescent="0.35">
      <c r="A44" s="5">
        <v>46022</v>
      </c>
      <c r="B44" s="4" t="s">
        <v>68</v>
      </c>
      <c r="C44" s="4" t="s">
        <v>69</v>
      </c>
      <c r="D44" s="4" t="s">
        <v>242</v>
      </c>
      <c r="E44" s="8">
        <v>4616696</v>
      </c>
      <c r="F44" s="7">
        <v>68</v>
      </c>
      <c r="G44" s="9" t="str">
        <f>_xll.SNL.Clients.Office.Excel.Functions.SPG(E44, "SP_COMPANY_TYPE")</f>
        <v>Private Company</v>
      </c>
      <c r="H44" s="10" t="str">
        <f>_xll.SNL.Clients.Office.Excel.Functions.SPG(E44, "SP_COUNTRY_NAME")</f>
        <v>United Kingdom</v>
      </c>
      <c r="J44" t="str">
        <f>_xll.SNL.Clients.Office.Excel.Functions.SPG(E44, "SP_PARENT_COUNTRY")</f>
        <v/>
      </c>
      <c r="K44" s="9" t="str">
        <f>_xll.SNL.Clients.Office.Excel.Functions.SPG(E44, "SP_PARENT_COMPANY_ID")</f>
        <v/>
      </c>
      <c r="L44" t="str">
        <f>_xll.SNL.Clients.Office.Excel.Functions.SPG(K44, "SP_COMPANY_TYPE")</f>
        <v>#INVALID COMPANY ID</v>
      </c>
      <c r="M44" s="9" t="str">
        <f>_xll.SNL.Clients.Office.Excel.Functions.SPG(E44, "SP_ULT_PARENT_COMPANY_NAME")</f>
        <v/>
      </c>
      <c r="N44" s="9" t="str">
        <f>_xll.SNL.Clients.Office.Excel.Functions.SPG(E44, "SP_ULT_PARENT_COUNTRY")</f>
        <v/>
      </c>
      <c r="O44" s="9" t="str">
        <f>_xll.SNL.Clients.Office.Excel.Functions.SPG(E44, "SP_ULT_PARENT_COMPANY_ID")</f>
        <v>NA</v>
      </c>
      <c r="P44" t="str">
        <f>_xll.SNL.Clients.Office.Excel.Functions.SPG(O44, "SP_COMPANY_TYPE")</f>
        <v>Public Company</v>
      </c>
      <c r="Q44" s="11" t="str">
        <f>_xll.SNL.Clients.Office.Excel.Functions.SPG(E44, "SP_PCT_SHARES_OWNED_ALL_INSTITUTIONS")</f>
        <v>NA</v>
      </c>
      <c r="R44" s="11" t="str">
        <f>_xll.SNL.Clients.Office.Excel.Functions.SPG(E44, "PCT_OWNED_INSTN_BANKS/INVEST_BANKS")</f>
        <v>NA</v>
      </c>
      <c r="S44" s="11" t="str">
        <f>_xll.SNL.Clients.Office.Excel.Functions.SPG(E44, "PCT_OWNED_INSTN_CHARITABLE_FOUNDATIONS")</f>
        <v>NA</v>
      </c>
      <c r="T44" s="11" t="str">
        <f>_xll.SNL.Clients.Office.Excel.Functions.SPG(E44, "PCT_OWNED_INSTN_CORP_PENSION_SPONSORS")</f>
        <v>NA</v>
      </c>
      <c r="U44" s="11" t="str">
        <f>_xll.SNL.Clients.Office.Excel.Functions.SPG(E44, "PCT_OWNED_INSTN_EDUCATIONAL/CULTURAL_ENDOWMENTS")</f>
        <v>NA</v>
      </c>
      <c r="V44" s="11" t="str">
        <f>_xll.SNL.Clients.Office.Excel.Functions.SPG(E44, "PCT_OWNED_INSTN_FAMILY_OFFICES/TRUSTS")</f>
        <v>NA</v>
      </c>
      <c r="W44" s="11" t="str">
        <f>_xll.SNL.Clients.Office.Excel.Functions.SPG(E44, "PCT_OWNED_INSTN_GOVT_PENSION_SPONSORS")</f>
        <v>NA</v>
      </c>
      <c r="X44" s="11" t="str">
        <f>_xll.SNL.Clients.Office.Excel.Functions.SPG(E44, "PCT_OWNED_INSTN_INSURANCE_COMPANIES")</f>
        <v>NA</v>
      </c>
      <c r="Y44" s="11" t="str">
        <f>_xll.SNL.Clients.Office.Excel.Functions.SPG(E44, "PCT_OWNED_INSTN_INVEST_MGRS")</f>
        <v>NA</v>
      </c>
      <c r="Z44" s="11" t="str">
        <f>_xll.SNL.Clients.Office.Excel.Functions.SPG(E44, "PCT_OWNED_INSTN_REIT")</f>
        <v>NA</v>
      </c>
      <c r="AA44" s="11" t="str">
        <f>_xll.SNL.Clients.Office.Excel.Functions.SPG(E44, "PCT_OWNED_INSTN_UNCLASSIFIED")</f>
        <v>NA</v>
      </c>
      <c r="AB44" s="11" t="str">
        <f>_xll.SNL.Clients.Office.Excel.Functions.SPG(E44, "PCT_OWNED_INSTN_UNION_PENSION_SPONSORS")</f>
        <v>NA</v>
      </c>
      <c r="AC44" s="11" t="str">
        <f>_xll.SNL.Clients.Office.Excel.Functions.SPG(E44, "PCT_OWNED_INSTN_HEDGE_FUND_MGRS_LESS5PCT_STAKE")</f>
        <v>NA</v>
      </c>
      <c r="AD44" s="11" t="str">
        <f>_xll.SNL.Clients.Office.Excel.Functions.SPG(E44, "PCT_OWNED_INSTN_SOVEREIGN_WEALTH_FUNDS_LESS5PCT_STAKE")</f>
        <v>NA</v>
      </c>
      <c r="AE44" s="11" t="str">
        <f>_xll.SNL.Clients.Office.Excel.Functions.SPG(E44, "PCT_OWNED_INSTN_VC/PE_FIRMS_LESS5PCT_STAKE")</f>
        <v>NA</v>
      </c>
      <c r="AF44" s="11" t="str">
        <f>_xll.SNL.Clients.Office.Excel.Functions.SPG(E44, "PCT_OWNED_INSIDERS")</f>
        <v>NA</v>
      </c>
      <c r="AG44" s="11" t="str">
        <f>_xll.SNL.Clients.Office.Excel.Functions.SPG(E44, "PCT_OWNED_STRATEGIC_HEDGE_FUND_MGRS_MORE_EQUAL5PCT_STAKE")</f>
        <v>NA</v>
      </c>
      <c r="AH44" s="11" t="str">
        <f>_xll.SNL.Clients.Office.Excel.Functions.SPG(E44, "PCT_OWNED_STRATEGIC_VC/PE_FIRMS_MORE_EQUAL5PCT_STAKE")</f>
        <v>NA</v>
      </c>
      <c r="AI44" s="11" t="str">
        <f>_xll.SNL.Clients.Office.Excel.Functions.SPG(E44, "PCT_OWNED_STRATEGIC_SOVEREIGN_WEALTH_FUNDS_MORE_EQUAL5PCT_STAKE")</f>
        <v>NA</v>
      </c>
      <c r="AJ44" s="11" t="str">
        <f>_xll.SNL.Clients.Office.Excel.Functions.SPG(E44, "PCT_OWNED_STRATEGIC_COMPANY_CONTROLLED_FOUNDATIONS")</f>
        <v>NA</v>
      </c>
      <c r="AK44" s="11" t="str">
        <f>_xll.SNL.Clients.Office.Excel.Functions.SPG(E44, "PCT_OWNED_STRATEGIC_ESOP")</f>
        <v>NA</v>
      </c>
      <c r="AL44" s="11" t="str">
        <f>_xll.SNL.Clients.Office.Excel.Functions.SPG(E44, "PCT_OWNED_STRATEGIC_STATE_OWNER")</f>
        <v>NA</v>
      </c>
      <c r="AM44" s="11" t="str">
        <f>_xll.SNL.Clients.Office.Excel.Functions.SPG(E44, "PCT_OWNED_STRATEGIC_CORPORATIONS_PRIVATE")</f>
        <v>NA</v>
      </c>
      <c r="AN44" s="11" t="str">
        <f>_xll.SNL.Clients.Office.Excel.Functions.SPG(E44, "PCT_OWNED_STRATEGIC_CORPORATIONS_PUBLIC")</f>
        <v>NA</v>
      </c>
    </row>
    <row r="45" spans="1:40" x14ac:dyDescent="0.35">
      <c r="A45" s="5">
        <v>46022</v>
      </c>
      <c r="B45" s="4" t="s">
        <v>68</v>
      </c>
      <c r="C45" s="4" t="s">
        <v>69</v>
      </c>
      <c r="D45" s="4" t="s">
        <v>243</v>
      </c>
      <c r="E45" s="8">
        <v>4361447</v>
      </c>
      <c r="F45" s="7">
        <v>32</v>
      </c>
      <c r="G45" s="9" t="str">
        <f>_xll.SNL.Clients.Office.Excel.Functions.SPG(E45, "SP_COMPANY_TYPE")</f>
        <v>Public Company</v>
      </c>
      <c r="H45" s="10" t="str">
        <f>_xll.SNL.Clients.Office.Excel.Functions.SPG(E45, "SP_COUNTRY_NAME")</f>
        <v>Hong Kong</v>
      </c>
      <c r="J45" t="str">
        <f>_xll.SNL.Clients.Office.Excel.Functions.SPG(E45, "SP_PARENT_COUNTRY")</f>
        <v>BVI</v>
      </c>
      <c r="K45" s="9" t="str">
        <f>_xll.SNL.Clients.Office.Excel.Functions.SPG(E45, "SP_PARENT_COMPANY_ID")</f>
        <v>4575436</v>
      </c>
      <c r="L45" t="str">
        <f>_xll.SNL.Clients.Office.Excel.Functions.SPG(K45, "SP_COMPANY_TYPE")</f>
        <v>Private Company</v>
      </c>
      <c r="M45" s="9" t="str">
        <f>_xll.SNL.Clients.Office.Excel.Functions.SPG(E45, "SP_ULT_PARENT_COMPANY_NAME")</f>
        <v>State-Owned Assets Supervision And Administration Commission Of Gansu Provincial</v>
      </c>
      <c r="N45" s="9" t="str">
        <f>_xll.SNL.Clients.Office.Excel.Functions.SPG(E45, "SP_ULT_PARENT_COUNTRY")</f>
        <v>China</v>
      </c>
      <c r="O45" s="9">
        <f>_xll.SNL.Clients.Office.Excel.Functions.SPG(E45, "SP_ULT_PARENT_COMPANY_ID")</f>
        <v>8393263</v>
      </c>
      <c r="P45" t="str">
        <f>_xll.SNL.Clients.Office.Excel.Functions.SPG(O45, "SP_COMPANY_TYPE")</f>
        <v>Government Institution</v>
      </c>
      <c r="Q45" s="11">
        <f>_xll.SNL.Clients.Office.Excel.Functions.SPG(E45, "SP_PCT_SHARES_OWNED_ALL_INSTITUTIONS")</f>
        <v>11.69</v>
      </c>
      <c r="R45" s="11" t="str">
        <f>_xll.SNL.Clients.Office.Excel.Functions.SPG(E45, "PCT_OWNED_INSTN_BANKS/INVEST_BANKS")</f>
        <v>NA</v>
      </c>
      <c r="S45" s="11" t="str">
        <f>_xll.SNL.Clients.Office.Excel.Functions.SPG(E45, "PCT_OWNED_INSTN_CHARITABLE_FOUNDATIONS")</f>
        <v>NA</v>
      </c>
      <c r="T45" s="11" t="str">
        <f>_xll.SNL.Clients.Office.Excel.Functions.SPG(E45, "PCT_OWNED_INSTN_CORP_PENSION_SPONSORS")</f>
        <v>NA</v>
      </c>
      <c r="U45" s="11" t="str">
        <f>_xll.SNL.Clients.Office.Excel.Functions.SPG(E45, "PCT_OWNED_INSTN_EDUCATIONAL/CULTURAL_ENDOWMENTS")</f>
        <v>NA</v>
      </c>
      <c r="V45" s="11" t="str">
        <f>_xll.SNL.Clients.Office.Excel.Functions.SPG(E45, "PCT_OWNED_INSTN_FAMILY_OFFICES/TRUSTS")</f>
        <v>NA</v>
      </c>
      <c r="W45" s="11" t="str">
        <f>_xll.SNL.Clients.Office.Excel.Functions.SPG(E45, "PCT_OWNED_INSTN_GOVT_PENSION_SPONSORS")</f>
        <v>NA</v>
      </c>
      <c r="X45" s="11" t="str">
        <f>_xll.SNL.Clients.Office.Excel.Functions.SPG(E45, "PCT_OWNED_INSTN_INSURANCE_COMPANIES")</f>
        <v>NA</v>
      </c>
      <c r="Y45" s="11">
        <f>_xll.SNL.Clients.Office.Excel.Functions.SPG(E45, "PCT_OWNED_INSTN_INVEST_MGRS")</f>
        <v>11.69</v>
      </c>
      <c r="Z45" s="11" t="str">
        <f>_xll.SNL.Clients.Office.Excel.Functions.SPG(E45, "PCT_OWNED_INSTN_REIT")</f>
        <v>NA</v>
      </c>
      <c r="AA45" s="11" t="str">
        <f>_xll.SNL.Clients.Office.Excel.Functions.SPG(E45, "PCT_OWNED_INSTN_UNCLASSIFIED")</f>
        <v>NA</v>
      </c>
      <c r="AB45" s="11" t="str">
        <f>_xll.SNL.Clients.Office.Excel.Functions.SPG(E45, "PCT_OWNED_INSTN_UNION_PENSION_SPONSORS")</f>
        <v>NA</v>
      </c>
      <c r="AC45" s="11" t="str">
        <f>_xll.SNL.Clients.Office.Excel.Functions.SPG(E45, "PCT_OWNED_INSTN_HEDGE_FUND_MGRS_LESS5PCT_STAKE")</f>
        <v>NA</v>
      </c>
      <c r="AD45" s="11" t="str">
        <f>_xll.SNL.Clients.Office.Excel.Functions.SPG(E45, "PCT_OWNED_INSTN_SOVEREIGN_WEALTH_FUNDS_LESS5PCT_STAKE")</f>
        <v>NA</v>
      </c>
      <c r="AE45" s="11" t="str">
        <f>_xll.SNL.Clients.Office.Excel.Functions.SPG(E45, "PCT_OWNED_INSTN_VC/PE_FIRMS_LESS5PCT_STAKE")</f>
        <v>NA</v>
      </c>
      <c r="AF45" s="11" t="str">
        <f>_xll.SNL.Clients.Office.Excel.Functions.SPG(E45, "PCT_OWNED_INSIDERS")</f>
        <v>NA</v>
      </c>
      <c r="AG45" s="11" t="str">
        <f>_xll.SNL.Clients.Office.Excel.Functions.SPG(E45, "PCT_OWNED_STRATEGIC_HEDGE_FUND_MGRS_MORE_EQUAL5PCT_STAKE")</f>
        <v>NA</v>
      </c>
      <c r="AH45" s="11" t="str">
        <f>_xll.SNL.Clients.Office.Excel.Functions.SPG(E45, "PCT_OWNED_STRATEGIC_VC/PE_FIRMS_MORE_EQUAL5PCT_STAKE")</f>
        <v>NA</v>
      </c>
      <c r="AI45" s="11" t="str">
        <f>_xll.SNL.Clients.Office.Excel.Functions.SPG(E45, "PCT_OWNED_STRATEGIC_SOVEREIGN_WEALTH_FUNDS_MORE_EQUAL5PCT_STAKE")</f>
        <v>NA</v>
      </c>
      <c r="AJ45" s="11" t="str">
        <f>_xll.SNL.Clients.Office.Excel.Functions.SPG(E45, "PCT_OWNED_STRATEGIC_COMPANY_CONTROLLED_FOUNDATIONS")</f>
        <v>NA</v>
      </c>
      <c r="AK45" s="11" t="str">
        <f>_xll.SNL.Clients.Office.Excel.Functions.SPG(E45, "PCT_OWNED_STRATEGIC_ESOP")</f>
        <v>NA</v>
      </c>
      <c r="AL45" s="11" t="str">
        <f>_xll.SNL.Clients.Office.Excel.Functions.SPG(E45, "PCT_OWNED_STRATEGIC_STATE_OWNER")</f>
        <v>NA</v>
      </c>
      <c r="AM45" s="11">
        <f>_xll.SNL.Clients.Office.Excel.Functions.SPG(E45, "PCT_OWNED_STRATEGIC_CORPORATIONS_PRIVATE")</f>
        <v>66.12</v>
      </c>
      <c r="AN45" s="11" t="str">
        <f>_xll.SNL.Clients.Office.Excel.Functions.SPG(E45, "PCT_OWNED_STRATEGIC_CORPORATIONS_PUBLIC")</f>
        <v>NA</v>
      </c>
    </row>
    <row r="46" spans="1:40" x14ac:dyDescent="0.35">
      <c r="A46" s="5">
        <v>46022</v>
      </c>
      <c r="B46" s="4" t="s">
        <v>123</v>
      </c>
      <c r="C46" s="4" t="s">
        <v>124</v>
      </c>
      <c r="D46" s="4" t="s">
        <v>233</v>
      </c>
      <c r="E46" s="8">
        <v>4113732</v>
      </c>
      <c r="F46" s="7">
        <v>100</v>
      </c>
      <c r="G46" s="9" t="str">
        <f>_xll.SNL.Clients.Office.Excel.Functions.SPG(E46, "SP_COMPANY_TYPE")</f>
        <v>Public Company</v>
      </c>
      <c r="H46" s="10" t="str">
        <f>_xll.SNL.Clients.Office.Excel.Functions.SPG(E46, "SP_COUNTRY_NAME")</f>
        <v>Switzerland</v>
      </c>
      <c r="J46" t="str">
        <f>_xll.SNL.Clients.Office.Excel.Functions.SPG(E46, "SP_PARENT_COUNTRY")</f>
        <v/>
      </c>
      <c r="K46" s="9" t="str">
        <f>_xll.SNL.Clients.Office.Excel.Functions.SPG(E46, "SP_PARENT_COMPANY_ID")</f>
        <v/>
      </c>
      <c r="L46" t="str">
        <f>_xll.SNL.Clients.Office.Excel.Functions.SPG(K46, "SP_COMPANY_TYPE")</f>
        <v>#INVALID COMPANY ID</v>
      </c>
      <c r="M46" s="9" t="str">
        <f>_xll.SNL.Clients.Office.Excel.Functions.SPG(E46, "SP_ULT_PARENT_COMPANY_NAME")</f>
        <v/>
      </c>
      <c r="N46" s="9" t="str">
        <f>_xll.SNL.Clients.Office.Excel.Functions.SPG(E46, "SP_ULT_PARENT_COUNTRY")</f>
        <v/>
      </c>
      <c r="O46" s="9" t="str">
        <f>_xll.SNL.Clients.Office.Excel.Functions.SPG(E46, "SP_ULT_PARENT_COMPANY_ID")</f>
        <v>NA</v>
      </c>
      <c r="P46" t="str">
        <f>_xll.SNL.Clients.Office.Excel.Functions.SPG(O46, "SP_COMPANY_TYPE")</f>
        <v>Public Company</v>
      </c>
      <c r="Q46" s="11">
        <f>_xll.SNL.Clients.Office.Excel.Functions.SPG(E46, "SP_PCT_SHARES_OWNED_ALL_INSTITUTIONS")</f>
        <v>61.77</v>
      </c>
      <c r="R46" s="11">
        <f>_xll.SNL.Clients.Office.Excel.Functions.SPG(E46, "PCT_OWNED_INSTN_BANKS/INVEST_BANKS")</f>
        <v>3.68</v>
      </c>
      <c r="S46" s="11">
        <f>_xll.SNL.Clients.Office.Excel.Functions.SPG(E46, "PCT_OWNED_INSTN_CHARITABLE_FOUNDATIONS")</f>
        <v>1.77</v>
      </c>
      <c r="T46" s="11">
        <f>_xll.SNL.Clients.Office.Excel.Functions.SPG(E46, "PCT_OWNED_INSTN_CORP_PENSION_SPONSORS")</f>
        <v>0.03</v>
      </c>
      <c r="U46" s="11" t="str">
        <f>_xll.SNL.Clients.Office.Excel.Functions.SPG(E46, "PCT_OWNED_INSTN_EDUCATIONAL/CULTURAL_ENDOWMENTS")</f>
        <v>NA</v>
      </c>
      <c r="V46" s="11">
        <f>_xll.SNL.Clients.Office.Excel.Functions.SPG(E46, "PCT_OWNED_INSTN_FAMILY_OFFICES/TRUSTS")</f>
        <v>0</v>
      </c>
      <c r="W46" s="11">
        <f>_xll.SNL.Clients.Office.Excel.Functions.SPG(E46, "PCT_OWNED_INSTN_GOVT_PENSION_SPONSORS")</f>
        <v>0.28999999999999998</v>
      </c>
      <c r="X46" s="11">
        <f>_xll.SNL.Clients.Office.Excel.Functions.SPG(E46, "PCT_OWNED_INSTN_INSURANCE_COMPANIES")</f>
        <v>0.08</v>
      </c>
      <c r="Y46" s="11">
        <f>_xll.SNL.Clients.Office.Excel.Functions.SPG(E46, "PCT_OWNED_INSTN_INVEST_MGRS")</f>
        <v>54.18</v>
      </c>
      <c r="Z46" s="11" t="str">
        <f>_xll.SNL.Clients.Office.Excel.Functions.SPG(E46, "PCT_OWNED_INSTN_REIT")</f>
        <v>NA</v>
      </c>
      <c r="AA46" s="11">
        <f>_xll.SNL.Clients.Office.Excel.Functions.SPG(E46, "PCT_OWNED_INSTN_UNCLASSIFIED")</f>
        <v>0.15</v>
      </c>
      <c r="AB46" s="11" t="str">
        <f>_xll.SNL.Clients.Office.Excel.Functions.SPG(E46, "PCT_OWNED_INSTN_UNION_PENSION_SPONSORS")</f>
        <v>NA</v>
      </c>
      <c r="AC46" s="11">
        <f>_xll.SNL.Clients.Office.Excel.Functions.SPG(E46, "PCT_OWNED_INSTN_HEDGE_FUND_MGRS_LESS5PCT_STAKE")</f>
        <v>0.25</v>
      </c>
      <c r="AD46" s="11">
        <f>_xll.SNL.Clients.Office.Excel.Functions.SPG(E46, "PCT_OWNED_INSTN_SOVEREIGN_WEALTH_FUNDS_LESS5PCT_STAKE")</f>
        <v>1.1100000000000001</v>
      </c>
      <c r="AE46" s="11">
        <f>_xll.SNL.Clients.Office.Excel.Functions.SPG(E46, "PCT_OWNED_INSTN_VC/PE_FIRMS_LESS5PCT_STAKE")</f>
        <v>0.23</v>
      </c>
      <c r="AF46" s="11">
        <f>_xll.SNL.Clients.Office.Excel.Functions.SPG(E46, "PCT_OWNED_INSIDERS")</f>
        <v>12.83</v>
      </c>
      <c r="AG46" s="11" t="str">
        <f>_xll.SNL.Clients.Office.Excel.Functions.SPG(E46, "PCT_OWNED_STRATEGIC_HEDGE_FUND_MGRS_MORE_EQUAL5PCT_STAKE")</f>
        <v>NA</v>
      </c>
      <c r="AH46" s="11">
        <f>_xll.SNL.Clients.Office.Excel.Functions.SPG(E46, "PCT_OWNED_STRATEGIC_VC/PE_FIRMS_MORE_EQUAL5PCT_STAKE")</f>
        <v>8.93</v>
      </c>
      <c r="AI46" s="11" t="str">
        <f>_xll.SNL.Clients.Office.Excel.Functions.SPG(E46, "PCT_OWNED_STRATEGIC_SOVEREIGN_WEALTH_FUNDS_MORE_EQUAL5PCT_STAKE")</f>
        <v>NA</v>
      </c>
      <c r="AJ46" s="11" t="str">
        <f>_xll.SNL.Clients.Office.Excel.Functions.SPG(E46, "PCT_OWNED_STRATEGIC_COMPANY_CONTROLLED_FOUNDATIONS")</f>
        <v>NA</v>
      </c>
      <c r="AK46" s="11">
        <f>_xll.SNL.Clients.Office.Excel.Functions.SPG(E46, "PCT_OWNED_STRATEGIC_ESOP")</f>
        <v>0.19</v>
      </c>
      <c r="AL46" s="11">
        <f>_xll.SNL.Clients.Office.Excel.Functions.SPG(E46, "PCT_OWNED_STRATEGIC_STATE_OWNER")</f>
        <v>0.05</v>
      </c>
      <c r="AM46" s="11">
        <f>_xll.SNL.Clients.Office.Excel.Functions.SPG(E46, "PCT_OWNED_STRATEGIC_CORPORATIONS_PRIVATE")</f>
        <v>0.02</v>
      </c>
      <c r="AN46" s="11" t="str">
        <f>_xll.SNL.Clients.Office.Excel.Functions.SPG(E46, "PCT_OWNED_STRATEGIC_CORPORATIONS_PUBLIC")</f>
        <v>NA</v>
      </c>
    </row>
    <row r="47" spans="1:40" hidden="1" x14ac:dyDescent="0.35">
      <c r="A47" s="5">
        <v>46022</v>
      </c>
      <c r="B47" s="4" t="s">
        <v>71</v>
      </c>
      <c r="C47" s="4" t="s">
        <v>72</v>
      </c>
      <c r="D47" s="4" t="s">
        <v>56</v>
      </c>
      <c r="E47" s="8">
        <v>4350734</v>
      </c>
      <c r="F47" s="7">
        <v>5</v>
      </c>
      <c r="G47" s="9" t="str">
        <f>_xll.SNL.Clients.Office.Excel.Functions.SPG(E47, "SP_COMPANY_TYPE")</f>
        <v>Government Institution</v>
      </c>
      <c r="H47" s="10" t="str">
        <f>_xll.SNL.Clients.Office.Excel.Functions.SPG(E47, "SP_COUNTRY_NAME")</f>
        <v>Dem. Rep. Congo</v>
      </c>
      <c r="J47" t="str">
        <f>_xll.SNL.Clients.Office.Excel.Functions.SPG(E47, "SP_PARENT_COUNTRY")</f>
        <v/>
      </c>
      <c r="K47" s="9" t="str">
        <f>_xll.SNL.Clients.Office.Excel.Functions.SPG(E47, "SP_PARENT_COMPANY_ID")</f>
        <v/>
      </c>
      <c r="L47" t="str">
        <f>_xll.SNL.Clients.Office.Excel.Functions.SPG(K47, "SP_COMPANY_TYPE")</f>
        <v>#INVALID COMPANY ID</v>
      </c>
      <c r="M47" s="9" t="str">
        <f>_xll.SNL.Clients.Office.Excel.Functions.SPG(E47, "SP_ULT_PARENT_COMPANY_NAME")</f>
        <v/>
      </c>
      <c r="N47" s="9" t="str">
        <f>_xll.SNL.Clients.Office.Excel.Functions.SPG(E47, "SP_ULT_PARENT_COUNTRY")</f>
        <v/>
      </c>
      <c r="O47" s="9" t="str">
        <f>_xll.SNL.Clients.Office.Excel.Functions.SPG(E47, "SP_ULT_PARENT_COMPANY_ID")</f>
        <v>NA</v>
      </c>
      <c r="P47" t="str">
        <f>_xll.SNL.Clients.Office.Excel.Functions.SPG(O47, "SP_COMPANY_TYPE")</f>
        <v>Public Company</v>
      </c>
      <c r="Q47" s="11" t="str">
        <f>_xll.SNL.Clients.Office.Excel.Functions.SPG(E47, "SP_PCT_SHARES_OWNED_ALL_INSTITUTIONS")</f>
        <v>NA</v>
      </c>
      <c r="R47" s="11" t="str">
        <f>_xll.SNL.Clients.Office.Excel.Functions.SPG(E47, "PCT_OWNED_INSTN_BANKS/INVEST_BANKS")</f>
        <v>NA</v>
      </c>
      <c r="S47" s="11" t="str">
        <f>_xll.SNL.Clients.Office.Excel.Functions.SPG(E47, "PCT_OWNED_INSTN_CHARITABLE_FOUNDATIONS")</f>
        <v>NA</v>
      </c>
      <c r="T47" s="11" t="str">
        <f>_xll.SNL.Clients.Office.Excel.Functions.SPG(E47, "PCT_OWNED_INSTN_CORP_PENSION_SPONSORS")</f>
        <v>NA</v>
      </c>
      <c r="U47" s="11" t="str">
        <f>_xll.SNL.Clients.Office.Excel.Functions.SPG(E47, "PCT_OWNED_INSTN_EDUCATIONAL/CULTURAL_ENDOWMENTS")</f>
        <v>NA</v>
      </c>
      <c r="V47" s="11" t="str">
        <f>_xll.SNL.Clients.Office.Excel.Functions.SPG(E47, "PCT_OWNED_INSTN_FAMILY_OFFICES/TRUSTS")</f>
        <v>NA</v>
      </c>
      <c r="W47" s="11" t="str">
        <f>_xll.SNL.Clients.Office.Excel.Functions.SPG(E47, "PCT_OWNED_INSTN_GOVT_PENSION_SPONSORS")</f>
        <v>NA</v>
      </c>
      <c r="X47" s="11" t="str">
        <f>_xll.SNL.Clients.Office.Excel.Functions.SPG(E47, "PCT_OWNED_INSTN_INSURANCE_COMPANIES")</f>
        <v>NA</v>
      </c>
      <c r="Y47" s="11" t="str">
        <f>_xll.SNL.Clients.Office.Excel.Functions.SPG(E47, "PCT_OWNED_INSTN_INVEST_MGRS")</f>
        <v>NA</v>
      </c>
      <c r="Z47" s="11" t="str">
        <f>_xll.SNL.Clients.Office.Excel.Functions.SPG(E47, "PCT_OWNED_INSTN_REIT")</f>
        <v>NA</v>
      </c>
      <c r="AA47" s="11" t="str">
        <f>_xll.SNL.Clients.Office.Excel.Functions.SPG(E47, "PCT_OWNED_INSTN_UNCLASSIFIED")</f>
        <v>NA</v>
      </c>
      <c r="AB47" s="11" t="str">
        <f>_xll.SNL.Clients.Office.Excel.Functions.SPG(E47, "PCT_OWNED_INSTN_UNION_PENSION_SPONSORS")</f>
        <v>NA</v>
      </c>
      <c r="AC47" s="11" t="str">
        <f>_xll.SNL.Clients.Office.Excel.Functions.SPG(E47, "PCT_OWNED_INSTN_HEDGE_FUND_MGRS_LESS5PCT_STAKE")</f>
        <v>NA</v>
      </c>
      <c r="AD47" s="11" t="str">
        <f>_xll.SNL.Clients.Office.Excel.Functions.SPG(E47, "PCT_OWNED_INSTN_SOVEREIGN_WEALTH_FUNDS_LESS5PCT_STAKE")</f>
        <v>NA</v>
      </c>
      <c r="AE47" s="11" t="str">
        <f>_xll.SNL.Clients.Office.Excel.Functions.SPG(E47, "PCT_OWNED_INSTN_VC/PE_FIRMS_LESS5PCT_STAKE")</f>
        <v>NA</v>
      </c>
      <c r="AF47" s="11" t="str">
        <f>_xll.SNL.Clients.Office.Excel.Functions.SPG(E47, "PCT_OWNED_INSIDERS")</f>
        <v>NA</v>
      </c>
      <c r="AG47" s="11" t="str">
        <f>_xll.SNL.Clients.Office.Excel.Functions.SPG(E47, "PCT_OWNED_STRATEGIC_HEDGE_FUND_MGRS_MORE_EQUAL5PCT_STAKE")</f>
        <v>NA</v>
      </c>
      <c r="AH47" s="11" t="str">
        <f>_xll.SNL.Clients.Office.Excel.Functions.SPG(E47, "PCT_OWNED_STRATEGIC_VC/PE_FIRMS_MORE_EQUAL5PCT_STAKE")</f>
        <v>NA</v>
      </c>
      <c r="AI47" s="11" t="str">
        <f>_xll.SNL.Clients.Office.Excel.Functions.SPG(E47, "PCT_OWNED_STRATEGIC_SOVEREIGN_WEALTH_FUNDS_MORE_EQUAL5PCT_STAKE")</f>
        <v>NA</v>
      </c>
      <c r="AJ47" s="11" t="str">
        <f>_xll.SNL.Clients.Office.Excel.Functions.SPG(E47, "PCT_OWNED_STRATEGIC_COMPANY_CONTROLLED_FOUNDATIONS")</f>
        <v>NA</v>
      </c>
      <c r="AK47" s="11" t="str">
        <f>_xll.SNL.Clients.Office.Excel.Functions.SPG(E47, "PCT_OWNED_STRATEGIC_ESOP")</f>
        <v>NA</v>
      </c>
      <c r="AL47" s="11" t="str">
        <f>_xll.SNL.Clients.Office.Excel.Functions.SPG(E47, "PCT_OWNED_STRATEGIC_STATE_OWNER")</f>
        <v>NA</v>
      </c>
      <c r="AM47" s="11" t="str">
        <f>_xll.SNL.Clients.Office.Excel.Functions.SPG(E47, "PCT_OWNED_STRATEGIC_CORPORATIONS_PRIVATE")</f>
        <v>NA</v>
      </c>
      <c r="AN47" s="11" t="str">
        <f>_xll.SNL.Clients.Office.Excel.Functions.SPG(E47, "PCT_OWNED_STRATEGIC_CORPORATIONS_PUBLIC")</f>
        <v>NA</v>
      </c>
    </row>
    <row r="48" spans="1:40" hidden="1" x14ac:dyDescent="0.35">
      <c r="A48" s="5">
        <v>46022</v>
      </c>
      <c r="B48" s="4" t="s">
        <v>71</v>
      </c>
      <c r="C48" s="4" t="s">
        <v>72</v>
      </c>
      <c r="D48" s="4" t="s">
        <v>223</v>
      </c>
      <c r="E48" s="8">
        <v>4350360</v>
      </c>
      <c r="F48" s="7">
        <v>25</v>
      </c>
      <c r="G48" s="9" t="str">
        <f>_xll.SNL.Clients.Office.Excel.Functions.SPG(E48, "SP_COMPANY_TYPE")</f>
        <v>Private Company</v>
      </c>
      <c r="H48" s="10" t="str">
        <f>_xll.SNL.Clients.Office.Excel.Functions.SPG(E48, "SP_COUNTRY_NAME")</f>
        <v>Dem. Rep. Congo</v>
      </c>
      <c r="J48" t="str">
        <f>_xll.SNL.Clients.Office.Excel.Functions.SPG(E48, "SP_PARENT_COUNTRY")</f>
        <v>Dem. Rep. Congo</v>
      </c>
      <c r="K48" s="9" t="str">
        <f>_xll.SNL.Clients.Office.Excel.Functions.SPG(E48, "SP_PARENT_COMPANY_ID")</f>
        <v>4350734</v>
      </c>
      <c r="L48" t="str">
        <f>_xll.SNL.Clients.Office.Excel.Functions.SPG(K48, "SP_COMPANY_TYPE")</f>
        <v>Government Institution</v>
      </c>
      <c r="M48" s="9" t="str">
        <f>_xll.SNL.Clients.Office.Excel.Functions.SPG(E48, "SP_ULT_PARENT_COMPANY_NAME")</f>
        <v>Dem. Rep. Congo</v>
      </c>
      <c r="N48" s="9" t="str">
        <f>_xll.SNL.Clients.Office.Excel.Functions.SPG(E48, "SP_ULT_PARENT_COUNTRY")</f>
        <v>Dem. Rep. Congo</v>
      </c>
      <c r="O48" s="9">
        <f>_xll.SNL.Clients.Office.Excel.Functions.SPG(E48, "SP_ULT_PARENT_COMPANY_ID")</f>
        <v>4350734</v>
      </c>
      <c r="P48" t="str">
        <f>_xll.SNL.Clients.Office.Excel.Functions.SPG(O48, "SP_COMPANY_TYPE")</f>
        <v>Government Institution</v>
      </c>
      <c r="Q48" s="11" t="str">
        <f>_xll.SNL.Clients.Office.Excel.Functions.SPG(E48, "SP_PCT_SHARES_OWNED_ALL_INSTITUTIONS")</f>
        <v>NA</v>
      </c>
      <c r="R48" s="11" t="str">
        <f>_xll.SNL.Clients.Office.Excel.Functions.SPG(E48, "PCT_OWNED_INSTN_BANKS/INVEST_BANKS")</f>
        <v>NA</v>
      </c>
      <c r="S48" s="11" t="str">
        <f>_xll.SNL.Clients.Office.Excel.Functions.SPG(E48, "PCT_OWNED_INSTN_CHARITABLE_FOUNDATIONS")</f>
        <v>NA</v>
      </c>
      <c r="T48" s="11" t="str">
        <f>_xll.SNL.Clients.Office.Excel.Functions.SPG(E48, "PCT_OWNED_INSTN_CORP_PENSION_SPONSORS")</f>
        <v>NA</v>
      </c>
      <c r="U48" s="11" t="str">
        <f>_xll.SNL.Clients.Office.Excel.Functions.SPG(E48, "PCT_OWNED_INSTN_EDUCATIONAL/CULTURAL_ENDOWMENTS")</f>
        <v>NA</v>
      </c>
      <c r="V48" s="11" t="str">
        <f>_xll.SNL.Clients.Office.Excel.Functions.SPG(E48, "PCT_OWNED_INSTN_FAMILY_OFFICES/TRUSTS")</f>
        <v>NA</v>
      </c>
      <c r="W48" s="11" t="str">
        <f>_xll.SNL.Clients.Office.Excel.Functions.SPG(E48, "PCT_OWNED_INSTN_GOVT_PENSION_SPONSORS")</f>
        <v>NA</v>
      </c>
      <c r="X48" s="11" t="str">
        <f>_xll.SNL.Clients.Office.Excel.Functions.SPG(E48, "PCT_OWNED_INSTN_INSURANCE_COMPANIES")</f>
        <v>NA</v>
      </c>
      <c r="Y48" s="11" t="str">
        <f>_xll.SNL.Clients.Office.Excel.Functions.SPG(E48, "PCT_OWNED_INSTN_INVEST_MGRS")</f>
        <v>NA</v>
      </c>
      <c r="Z48" s="11" t="str">
        <f>_xll.SNL.Clients.Office.Excel.Functions.SPG(E48, "PCT_OWNED_INSTN_REIT")</f>
        <v>NA</v>
      </c>
      <c r="AA48" s="11" t="str">
        <f>_xll.SNL.Clients.Office.Excel.Functions.SPG(E48, "PCT_OWNED_INSTN_UNCLASSIFIED")</f>
        <v>NA</v>
      </c>
      <c r="AB48" s="11" t="str">
        <f>_xll.SNL.Clients.Office.Excel.Functions.SPG(E48, "PCT_OWNED_INSTN_UNION_PENSION_SPONSORS")</f>
        <v>NA</v>
      </c>
      <c r="AC48" s="11" t="str">
        <f>_xll.SNL.Clients.Office.Excel.Functions.SPG(E48, "PCT_OWNED_INSTN_HEDGE_FUND_MGRS_LESS5PCT_STAKE")</f>
        <v>NA</v>
      </c>
      <c r="AD48" s="11" t="str">
        <f>_xll.SNL.Clients.Office.Excel.Functions.SPG(E48, "PCT_OWNED_INSTN_SOVEREIGN_WEALTH_FUNDS_LESS5PCT_STAKE")</f>
        <v>NA</v>
      </c>
      <c r="AE48" s="11" t="str">
        <f>_xll.SNL.Clients.Office.Excel.Functions.SPG(E48, "PCT_OWNED_INSTN_VC/PE_FIRMS_LESS5PCT_STAKE")</f>
        <v>NA</v>
      </c>
      <c r="AF48" s="11" t="str">
        <f>_xll.SNL.Clients.Office.Excel.Functions.SPG(E48, "PCT_OWNED_INSIDERS")</f>
        <v>NA</v>
      </c>
      <c r="AG48" s="11" t="str">
        <f>_xll.SNL.Clients.Office.Excel.Functions.SPG(E48, "PCT_OWNED_STRATEGIC_HEDGE_FUND_MGRS_MORE_EQUAL5PCT_STAKE")</f>
        <v>NA</v>
      </c>
      <c r="AH48" s="11" t="str">
        <f>_xll.SNL.Clients.Office.Excel.Functions.SPG(E48, "PCT_OWNED_STRATEGIC_VC/PE_FIRMS_MORE_EQUAL5PCT_STAKE")</f>
        <v>NA</v>
      </c>
      <c r="AI48" s="11" t="str">
        <f>_xll.SNL.Clients.Office.Excel.Functions.SPG(E48, "PCT_OWNED_STRATEGIC_SOVEREIGN_WEALTH_FUNDS_MORE_EQUAL5PCT_STAKE")</f>
        <v>NA</v>
      </c>
      <c r="AJ48" s="11" t="str">
        <f>_xll.SNL.Clients.Office.Excel.Functions.SPG(E48, "PCT_OWNED_STRATEGIC_COMPANY_CONTROLLED_FOUNDATIONS")</f>
        <v>NA</v>
      </c>
      <c r="AK48" s="11" t="str">
        <f>_xll.SNL.Clients.Office.Excel.Functions.SPG(E48, "PCT_OWNED_STRATEGIC_ESOP")</f>
        <v>NA</v>
      </c>
      <c r="AL48" s="11" t="str">
        <f>_xll.SNL.Clients.Office.Excel.Functions.SPG(E48, "PCT_OWNED_STRATEGIC_STATE_OWNER")</f>
        <v>NA</v>
      </c>
      <c r="AM48" s="11" t="str">
        <f>_xll.SNL.Clients.Office.Excel.Functions.SPG(E48, "PCT_OWNED_STRATEGIC_CORPORATIONS_PRIVATE")</f>
        <v>NA</v>
      </c>
      <c r="AN48" s="11" t="str">
        <f>_xll.SNL.Clients.Office.Excel.Functions.SPG(E48, "PCT_OWNED_STRATEGIC_CORPORATIONS_PUBLIC")</f>
        <v>NA</v>
      </c>
    </row>
    <row r="49" spans="1:40" x14ac:dyDescent="0.35">
      <c r="A49" s="5">
        <v>46022</v>
      </c>
      <c r="B49" s="4" t="s">
        <v>71</v>
      </c>
      <c r="C49" s="4" t="s">
        <v>72</v>
      </c>
      <c r="D49" s="4" t="s">
        <v>243</v>
      </c>
      <c r="E49" s="8">
        <v>4361447</v>
      </c>
      <c r="F49" s="7">
        <v>70</v>
      </c>
      <c r="G49" s="9" t="str">
        <f>_xll.SNL.Clients.Office.Excel.Functions.SPG(E49, "SP_COMPANY_TYPE")</f>
        <v>Public Company</v>
      </c>
      <c r="H49" s="10" t="str">
        <f>_xll.SNL.Clients.Office.Excel.Functions.SPG(E49, "SP_COUNTRY_NAME")</f>
        <v>Hong Kong</v>
      </c>
      <c r="J49" t="str">
        <f>_xll.SNL.Clients.Office.Excel.Functions.SPG(E49, "SP_PARENT_COUNTRY")</f>
        <v>BVI</v>
      </c>
      <c r="K49" s="9" t="str">
        <f>_xll.SNL.Clients.Office.Excel.Functions.SPG(E49, "SP_PARENT_COMPANY_ID")</f>
        <v>4575436</v>
      </c>
      <c r="L49" t="str">
        <f>_xll.SNL.Clients.Office.Excel.Functions.SPG(K49, "SP_COMPANY_TYPE")</f>
        <v>Private Company</v>
      </c>
      <c r="M49" s="9" t="str">
        <f>_xll.SNL.Clients.Office.Excel.Functions.SPG(E49, "SP_ULT_PARENT_COMPANY_NAME")</f>
        <v>State-Owned Assets Supervision And Administration Commission Of Gansu Provincial</v>
      </c>
      <c r="N49" s="9" t="str">
        <f>_xll.SNL.Clients.Office.Excel.Functions.SPG(E49, "SP_ULT_PARENT_COUNTRY")</f>
        <v>China</v>
      </c>
      <c r="O49" s="9">
        <f>_xll.SNL.Clients.Office.Excel.Functions.SPG(E49, "SP_ULT_PARENT_COMPANY_ID")</f>
        <v>8393263</v>
      </c>
      <c r="P49" t="str">
        <f>_xll.SNL.Clients.Office.Excel.Functions.SPG(O49, "SP_COMPANY_TYPE")</f>
        <v>Government Institution</v>
      </c>
      <c r="Q49" s="11">
        <f>_xll.SNL.Clients.Office.Excel.Functions.SPG(E49, "SP_PCT_SHARES_OWNED_ALL_INSTITUTIONS")</f>
        <v>11.69</v>
      </c>
      <c r="R49" s="11" t="str">
        <f>_xll.SNL.Clients.Office.Excel.Functions.SPG(E49, "PCT_OWNED_INSTN_BANKS/INVEST_BANKS")</f>
        <v>NA</v>
      </c>
      <c r="S49" s="11" t="str">
        <f>_xll.SNL.Clients.Office.Excel.Functions.SPG(E49, "PCT_OWNED_INSTN_CHARITABLE_FOUNDATIONS")</f>
        <v>NA</v>
      </c>
      <c r="T49" s="11" t="str">
        <f>_xll.SNL.Clients.Office.Excel.Functions.SPG(E49, "PCT_OWNED_INSTN_CORP_PENSION_SPONSORS")</f>
        <v>NA</v>
      </c>
      <c r="U49" s="11" t="str">
        <f>_xll.SNL.Clients.Office.Excel.Functions.SPG(E49, "PCT_OWNED_INSTN_EDUCATIONAL/CULTURAL_ENDOWMENTS")</f>
        <v>NA</v>
      </c>
      <c r="V49" s="11" t="str">
        <f>_xll.SNL.Clients.Office.Excel.Functions.SPG(E49, "PCT_OWNED_INSTN_FAMILY_OFFICES/TRUSTS")</f>
        <v>NA</v>
      </c>
      <c r="W49" s="11" t="str">
        <f>_xll.SNL.Clients.Office.Excel.Functions.SPG(E49, "PCT_OWNED_INSTN_GOVT_PENSION_SPONSORS")</f>
        <v>NA</v>
      </c>
      <c r="X49" s="11" t="str">
        <f>_xll.SNL.Clients.Office.Excel.Functions.SPG(E49, "PCT_OWNED_INSTN_INSURANCE_COMPANIES")</f>
        <v>NA</v>
      </c>
      <c r="Y49" s="11">
        <f>_xll.SNL.Clients.Office.Excel.Functions.SPG(E49, "PCT_OWNED_INSTN_INVEST_MGRS")</f>
        <v>11.69</v>
      </c>
      <c r="Z49" s="11" t="str">
        <f>_xll.SNL.Clients.Office.Excel.Functions.SPG(E49, "PCT_OWNED_INSTN_REIT")</f>
        <v>NA</v>
      </c>
      <c r="AA49" s="11" t="str">
        <f>_xll.SNL.Clients.Office.Excel.Functions.SPG(E49, "PCT_OWNED_INSTN_UNCLASSIFIED")</f>
        <v>NA</v>
      </c>
      <c r="AB49" s="11" t="str">
        <f>_xll.SNL.Clients.Office.Excel.Functions.SPG(E49, "PCT_OWNED_INSTN_UNION_PENSION_SPONSORS")</f>
        <v>NA</v>
      </c>
      <c r="AC49" s="11" t="str">
        <f>_xll.SNL.Clients.Office.Excel.Functions.SPG(E49, "PCT_OWNED_INSTN_HEDGE_FUND_MGRS_LESS5PCT_STAKE")</f>
        <v>NA</v>
      </c>
      <c r="AD49" s="11" t="str">
        <f>_xll.SNL.Clients.Office.Excel.Functions.SPG(E49, "PCT_OWNED_INSTN_SOVEREIGN_WEALTH_FUNDS_LESS5PCT_STAKE")</f>
        <v>NA</v>
      </c>
      <c r="AE49" s="11" t="str">
        <f>_xll.SNL.Clients.Office.Excel.Functions.SPG(E49, "PCT_OWNED_INSTN_VC/PE_FIRMS_LESS5PCT_STAKE")</f>
        <v>NA</v>
      </c>
      <c r="AF49" s="11" t="str">
        <f>_xll.SNL.Clients.Office.Excel.Functions.SPG(E49, "PCT_OWNED_INSIDERS")</f>
        <v>NA</v>
      </c>
      <c r="AG49" s="11" t="str">
        <f>_xll.SNL.Clients.Office.Excel.Functions.SPG(E49, "PCT_OWNED_STRATEGIC_HEDGE_FUND_MGRS_MORE_EQUAL5PCT_STAKE")</f>
        <v>NA</v>
      </c>
      <c r="AH49" s="11" t="str">
        <f>_xll.SNL.Clients.Office.Excel.Functions.SPG(E49, "PCT_OWNED_STRATEGIC_VC/PE_FIRMS_MORE_EQUAL5PCT_STAKE")</f>
        <v>NA</v>
      </c>
      <c r="AI49" s="11" t="str">
        <f>_xll.SNL.Clients.Office.Excel.Functions.SPG(E49, "PCT_OWNED_STRATEGIC_SOVEREIGN_WEALTH_FUNDS_MORE_EQUAL5PCT_STAKE")</f>
        <v>NA</v>
      </c>
      <c r="AJ49" s="11" t="str">
        <f>_xll.SNL.Clients.Office.Excel.Functions.SPG(E49, "PCT_OWNED_STRATEGIC_COMPANY_CONTROLLED_FOUNDATIONS")</f>
        <v>NA</v>
      </c>
      <c r="AK49" s="11" t="str">
        <f>_xll.SNL.Clients.Office.Excel.Functions.SPG(E49, "PCT_OWNED_STRATEGIC_ESOP")</f>
        <v>NA</v>
      </c>
      <c r="AL49" s="11" t="str">
        <f>_xll.SNL.Clients.Office.Excel.Functions.SPG(E49, "PCT_OWNED_STRATEGIC_STATE_OWNER")</f>
        <v>NA</v>
      </c>
      <c r="AM49" s="11">
        <f>_xll.SNL.Clients.Office.Excel.Functions.SPG(E49, "PCT_OWNED_STRATEGIC_CORPORATIONS_PRIVATE")</f>
        <v>66.12</v>
      </c>
      <c r="AN49" s="11" t="str">
        <f>_xll.SNL.Clients.Office.Excel.Functions.SPG(E49, "PCT_OWNED_STRATEGIC_CORPORATIONS_PUBLIC")</f>
        <v>NA</v>
      </c>
    </row>
    <row r="50" spans="1:40" x14ac:dyDescent="0.35">
      <c r="A50" s="5">
        <v>46022</v>
      </c>
      <c r="B50" s="4" t="s">
        <v>138</v>
      </c>
      <c r="C50" s="4" t="s">
        <v>139</v>
      </c>
      <c r="D50" s="4" t="s">
        <v>233</v>
      </c>
      <c r="E50" s="8">
        <v>4113732</v>
      </c>
      <c r="F50" s="7">
        <v>100</v>
      </c>
      <c r="G50" s="9" t="str">
        <f>_xll.SNL.Clients.Office.Excel.Functions.SPG(E50, "SP_COMPANY_TYPE")</f>
        <v>Public Company</v>
      </c>
      <c r="H50" s="10" t="str">
        <f>_xll.SNL.Clients.Office.Excel.Functions.SPG(E50, "SP_COUNTRY_NAME")</f>
        <v>Switzerland</v>
      </c>
      <c r="J50" t="str">
        <f>_xll.SNL.Clients.Office.Excel.Functions.SPG(E50, "SP_PARENT_COUNTRY")</f>
        <v/>
      </c>
      <c r="K50" s="9" t="str">
        <f>_xll.SNL.Clients.Office.Excel.Functions.SPG(E50, "SP_PARENT_COMPANY_ID")</f>
        <v/>
      </c>
      <c r="L50" t="str">
        <f>_xll.SNL.Clients.Office.Excel.Functions.SPG(K50, "SP_COMPANY_TYPE")</f>
        <v>#INVALID COMPANY ID</v>
      </c>
      <c r="M50" s="9" t="str">
        <f>_xll.SNL.Clients.Office.Excel.Functions.SPG(E50, "SP_ULT_PARENT_COMPANY_NAME")</f>
        <v/>
      </c>
      <c r="N50" s="9" t="str">
        <f>_xll.SNL.Clients.Office.Excel.Functions.SPG(E50, "SP_ULT_PARENT_COUNTRY")</f>
        <v/>
      </c>
      <c r="O50" s="9" t="str">
        <f>_xll.SNL.Clients.Office.Excel.Functions.SPG(E50, "SP_ULT_PARENT_COMPANY_ID")</f>
        <v>NA</v>
      </c>
      <c r="P50" t="str">
        <f>_xll.SNL.Clients.Office.Excel.Functions.SPG(O50, "SP_COMPANY_TYPE")</f>
        <v>Public Company</v>
      </c>
      <c r="Q50" s="11">
        <f>_xll.SNL.Clients.Office.Excel.Functions.SPG(E50, "SP_PCT_SHARES_OWNED_ALL_INSTITUTIONS")</f>
        <v>61.77</v>
      </c>
      <c r="R50" s="11">
        <f>_xll.SNL.Clients.Office.Excel.Functions.SPG(E50, "PCT_OWNED_INSTN_BANKS/INVEST_BANKS")</f>
        <v>3.68</v>
      </c>
      <c r="S50" s="11">
        <f>_xll.SNL.Clients.Office.Excel.Functions.SPG(E50, "PCT_OWNED_INSTN_CHARITABLE_FOUNDATIONS")</f>
        <v>1.77</v>
      </c>
      <c r="T50" s="11">
        <f>_xll.SNL.Clients.Office.Excel.Functions.SPG(E50, "PCT_OWNED_INSTN_CORP_PENSION_SPONSORS")</f>
        <v>0.03</v>
      </c>
      <c r="U50" s="11" t="str">
        <f>_xll.SNL.Clients.Office.Excel.Functions.SPG(E50, "PCT_OWNED_INSTN_EDUCATIONAL/CULTURAL_ENDOWMENTS")</f>
        <v>NA</v>
      </c>
      <c r="V50" s="11">
        <f>_xll.SNL.Clients.Office.Excel.Functions.SPG(E50, "PCT_OWNED_INSTN_FAMILY_OFFICES/TRUSTS")</f>
        <v>0</v>
      </c>
      <c r="W50" s="11">
        <f>_xll.SNL.Clients.Office.Excel.Functions.SPG(E50, "PCT_OWNED_INSTN_GOVT_PENSION_SPONSORS")</f>
        <v>0.28999999999999998</v>
      </c>
      <c r="X50" s="11">
        <f>_xll.SNL.Clients.Office.Excel.Functions.SPG(E50, "PCT_OWNED_INSTN_INSURANCE_COMPANIES")</f>
        <v>0.08</v>
      </c>
      <c r="Y50" s="11">
        <f>_xll.SNL.Clients.Office.Excel.Functions.SPG(E50, "PCT_OWNED_INSTN_INVEST_MGRS")</f>
        <v>54.18</v>
      </c>
      <c r="Z50" s="11" t="str">
        <f>_xll.SNL.Clients.Office.Excel.Functions.SPG(E50, "PCT_OWNED_INSTN_REIT")</f>
        <v>NA</v>
      </c>
      <c r="AA50" s="11">
        <f>_xll.SNL.Clients.Office.Excel.Functions.SPG(E50, "PCT_OWNED_INSTN_UNCLASSIFIED")</f>
        <v>0.15</v>
      </c>
      <c r="AB50" s="11" t="str">
        <f>_xll.SNL.Clients.Office.Excel.Functions.SPG(E50, "PCT_OWNED_INSTN_UNION_PENSION_SPONSORS")</f>
        <v>NA</v>
      </c>
      <c r="AC50" s="11">
        <f>_xll.SNL.Clients.Office.Excel.Functions.SPG(E50, "PCT_OWNED_INSTN_HEDGE_FUND_MGRS_LESS5PCT_STAKE")</f>
        <v>0.25</v>
      </c>
      <c r="AD50" s="11">
        <f>_xll.SNL.Clients.Office.Excel.Functions.SPG(E50, "PCT_OWNED_INSTN_SOVEREIGN_WEALTH_FUNDS_LESS5PCT_STAKE")</f>
        <v>1.1100000000000001</v>
      </c>
      <c r="AE50" s="11">
        <f>_xll.SNL.Clients.Office.Excel.Functions.SPG(E50, "PCT_OWNED_INSTN_VC/PE_FIRMS_LESS5PCT_STAKE")</f>
        <v>0.23</v>
      </c>
      <c r="AF50" s="11">
        <f>_xll.SNL.Clients.Office.Excel.Functions.SPG(E50, "PCT_OWNED_INSIDERS")</f>
        <v>12.83</v>
      </c>
      <c r="AG50" s="11" t="str">
        <f>_xll.SNL.Clients.Office.Excel.Functions.SPG(E50, "PCT_OWNED_STRATEGIC_HEDGE_FUND_MGRS_MORE_EQUAL5PCT_STAKE")</f>
        <v>NA</v>
      </c>
      <c r="AH50" s="11">
        <f>_xll.SNL.Clients.Office.Excel.Functions.SPG(E50, "PCT_OWNED_STRATEGIC_VC/PE_FIRMS_MORE_EQUAL5PCT_STAKE")</f>
        <v>8.93</v>
      </c>
      <c r="AI50" s="11" t="str">
        <f>_xll.SNL.Clients.Office.Excel.Functions.SPG(E50, "PCT_OWNED_STRATEGIC_SOVEREIGN_WEALTH_FUNDS_MORE_EQUAL5PCT_STAKE")</f>
        <v>NA</v>
      </c>
      <c r="AJ50" s="11" t="str">
        <f>_xll.SNL.Clients.Office.Excel.Functions.SPG(E50, "PCT_OWNED_STRATEGIC_COMPANY_CONTROLLED_FOUNDATIONS")</f>
        <v>NA</v>
      </c>
      <c r="AK50" s="11">
        <f>_xll.SNL.Clients.Office.Excel.Functions.SPG(E50, "PCT_OWNED_STRATEGIC_ESOP")</f>
        <v>0.19</v>
      </c>
      <c r="AL50" s="11">
        <f>_xll.SNL.Clients.Office.Excel.Functions.SPG(E50, "PCT_OWNED_STRATEGIC_STATE_OWNER")</f>
        <v>0.05</v>
      </c>
      <c r="AM50" s="11">
        <f>_xll.SNL.Clients.Office.Excel.Functions.SPG(E50, "PCT_OWNED_STRATEGIC_CORPORATIONS_PRIVATE")</f>
        <v>0.02</v>
      </c>
      <c r="AN50" s="11" t="str">
        <f>_xll.SNL.Clients.Office.Excel.Functions.SPG(E50, "PCT_OWNED_STRATEGIC_CORPORATIONS_PUBLIC")</f>
        <v>NA</v>
      </c>
    </row>
    <row r="51" spans="1:40" hidden="1" x14ac:dyDescent="0.35">
      <c r="A51" s="5">
        <v>46022</v>
      </c>
      <c r="B51" s="4" t="s">
        <v>73</v>
      </c>
      <c r="C51" s="4" t="s">
        <v>74</v>
      </c>
      <c r="D51" s="4" t="s">
        <v>244</v>
      </c>
      <c r="E51" s="8">
        <v>4396728</v>
      </c>
      <c r="F51" s="7">
        <v>79.400000000000006</v>
      </c>
      <c r="G51" s="9" t="str">
        <f>_xll.SNL.Clients.Office.Excel.Functions.SPG(E51, "SP_COMPANY_TYPE")</f>
        <v>Private Company</v>
      </c>
      <c r="H51" s="10" t="str">
        <f>_xll.SNL.Clients.Office.Excel.Functions.SPG(E51, "SP_COUNTRY_NAME")</f>
        <v>Bahamas</v>
      </c>
      <c r="J51" t="str">
        <f>_xll.SNL.Clients.Office.Excel.Functions.SPG(E51, "SP_PARENT_COUNTRY")</f>
        <v>Bahamas</v>
      </c>
      <c r="K51" s="9" t="str">
        <f>_xll.SNL.Clients.Office.Excel.Functions.SPG(E51, "SP_PARENT_COMPANY_ID")</f>
        <v>10959764</v>
      </c>
      <c r="L51" t="str">
        <f>_xll.SNL.Clients.Office.Excel.Functions.SPG(K51, "SP_COMPANY_TYPE")</f>
        <v>Private Company</v>
      </c>
      <c r="M51" s="9" t="str">
        <f>_xll.SNL.Clients.Office.Excel.Functions.SPG(E51, "SP_ULT_PARENT_COMPANY_NAME")</f>
        <v>Conclave PTC Limited</v>
      </c>
      <c r="N51" s="9" t="str">
        <f>_xll.SNL.Clients.Office.Excel.Functions.SPG(E51, "SP_ULT_PARENT_COUNTRY")</f>
        <v>Bahamas</v>
      </c>
      <c r="O51" s="9">
        <f>_xll.SNL.Clients.Office.Excel.Functions.SPG(E51, "SP_ULT_PARENT_COMPANY_ID")</f>
        <v>10959764</v>
      </c>
      <c r="P51" t="str">
        <f>_xll.SNL.Clients.Office.Excel.Functions.SPG(O51, "SP_COMPANY_TYPE")</f>
        <v>Private Company</v>
      </c>
      <c r="Q51" s="11" t="str">
        <f>_xll.SNL.Clients.Office.Excel.Functions.SPG(E51, "SP_PCT_SHARES_OWNED_ALL_INSTITUTIONS")</f>
        <v>NA</v>
      </c>
      <c r="R51" s="11" t="str">
        <f>_xll.SNL.Clients.Office.Excel.Functions.SPG(E51, "PCT_OWNED_INSTN_BANKS/INVEST_BANKS")</f>
        <v>NA</v>
      </c>
      <c r="S51" s="11" t="str">
        <f>_xll.SNL.Clients.Office.Excel.Functions.SPG(E51, "PCT_OWNED_INSTN_CHARITABLE_FOUNDATIONS")</f>
        <v>NA</v>
      </c>
      <c r="T51" s="11" t="str">
        <f>_xll.SNL.Clients.Office.Excel.Functions.SPG(E51, "PCT_OWNED_INSTN_CORP_PENSION_SPONSORS")</f>
        <v>NA</v>
      </c>
      <c r="U51" s="11" t="str">
        <f>_xll.SNL.Clients.Office.Excel.Functions.SPG(E51, "PCT_OWNED_INSTN_EDUCATIONAL/CULTURAL_ENDOWMENTS")</f>
        <v>NA</v>
      </c>
      <c r="V51" s="11" t="str">
        <f>_xll.SNL.Clients.Office.Excel.Functions.SPG(E51, "PCT_OWNED_INSTN_FAMILY_OFFICES/TRUSTS")</f>
        <v>NA</v>
      </c>
      <c r="W51" s="11" t="str">
        <f>_xll.SNL.Clients.Office.Excel.Functions.SPG(E51, "PCT_OWNED_INSTN_GOVT_PENSION_SPONSORS")</f>
        <v>NA</v>
      </c>
      <c r="X51" s="11" t="str">
        <f>_xll.SNL.Clients.Office.Excel.Functions.SPG(E51, "PCT_OWNED_INSTN_INSURANCE_COMPANIES")</f>
        <v>NA</v>
      </c>
      <c r="Y51" s="11" t="str">
        <f>_xll.SNL.Clients.Office.Excel.Functions.SPG(E51, "PCT_OWNED_INSTN_INVEST_MGRS")</f>
        <v>NA</v>
      </c>
      <c r="Z51" s="11" t="str">
        <f>_xll.SNL.Clients.Office.Excel.Functions.SPG(E51, "PCT_OWNED_INSTN_REIT")</f>
        <v>NA</v>
      </c>
      <c r="AA51" s="11" t="str">
        <f>_xll.SNL.Clients.Office.Excel.Functions.SPG(E51, "PCT_OWNED_INSTN_UNCLASSIFIED")</f>
        <v>NA</v>
      </c>
      <c r="AB51" s="11" t="str">
        <f>_xll.SNL.Clients.Office.Excel.Functions.SPG(E51, "PCT_OWNED_INSTN_UNION_PENSION_SPONSORS")</f>
        <v>NA</v>
      </c>
      <c r="AC51" s="11" t="str">
        <f>_xll.SNL.Clients.Office.Excel.Functions.SPG(E51, "PCT_OWNED_INSTN_HEDGE_FUND_MGRS_LESS5PCT_STAKE")</f>
        <v>NA</v>
      </c>
      <c r="AD51" s="11" t="str">
        <f>_xll.SNL.Clients.Office.Excel.Functions.SPG(E51, "PCT_OWNED_INSTN_SOVEREIGN_WEALTH_FUNDS_LESS5PCT_STAKE")</f>
        <v>NA</v>
      </c>
      <c r="AE51" s="11" t="str">
        <f>_xll.SNL.Clients.Office.Excel.Functions.SPG(E51, "PCT_OWNED_INSTN_VC/PE_FIRMS_LESS5PCT_STAKE")</f>
        <v>NA</v>
      </c>
      <c r="AF51" s="11" t="str">
        <f>_xll.SNL.Clients.Office.Excel.Functions.SPG(E51, "PCT_OWNED_INSIDERS")</f>
        <v>NA</v>
      </c>
      <c r="AG51" s="11" t="str">
        <f>_xll.SNL.Clients.Office.Excel.Functions.SPG(E51, "PCT_OWNED_STRATEGIC_HEDGE_FUND_MGRS_MORE_EQUAL5PCT_STAKE")</f>
        <v>NA</v>
      </c>
      <c r="AH51" s="11" t="str">
        <f>_xll.SNL.Clients.Office.Excel.Functions.SPG(E51, "PCT_OWNED_STRATEGIC_VC/PE_FIRMS_MORE_EQUAL5PCT_STAKE")</f>
        <v>NA</v>
      </c>
      <c r="AI51" s="11" t="str">
        <f>_xll.SNL.Clients.Office.Excel.Functions.SPG(E51, "PCT_OWNED_STRATEGIC_SOVEREIGN_WEALTH_FUNDS_MORE_EQUAL5PCT_STAKE")</f>
        <v>NA</v>
      </c>
      <c r="AJ51" s="11" t="str">
        <f>_xll.SNL.Clients.Office.Excel.Functions.SPG(E51, "PCT_OWNED_STRATEGIC_COMPANY_CONTROLLED_FOUNDATIONS")</f>
        <v>NA</v>
      </c>
      <c r="AK51" s="11" t="str">
        <f>_xll.SNL.Clients.Office.Excel.Functions.SPG(E51, "PCT_OWNED_STRATEGIC_ESOP")</f>
        <v>NA</v>
      </c>
      <c r="AL51" s="11" t="str">
        <f>_xll.SNL.Clients.Office.Excel.Functions.SPG(E51, "PCT_OWNED_STRATEGIC_STATE_OWNER")</f>
        <v>NA</v>
      </c>
      <c r="AM51" s="11" t="str">
        <f>_xll.SNL.Clients.Office.Excel.Functions.SPG(E51, "PCT_OWNED_STRATEGIC_CORPORATIONS_PRIVATE")</f>
        <v>NA</v>
      </c>
      <c r="AN51" s="11" t="str">
        <f>_xll.SNL.Clients.Office.Excel.Functions.SPG(E51, "PCT_OWNED_STRATEGIC_CORPORATIONS_PUBLIC")</f>
        <v>NA</v>
      </c>
    </row>
    <row r="52" spans="1:40" x14ac:dyDescent="0.35">
      <c r="A52" s="5">
        <v>46022</v>
      </c>
      <c r="B52" s="4" t="s">
        <v>73</v>
      </c>
      <c r="C52" s="4" t="s">
        <v>74</v>
      </c>
      <c r="D52" s="4" t="s">
        <v>219</v>
      </c>
      <c r="E52" s="8">
        <v>4355602</v>
      </c>
      <c r="F52" s="7">
        <v>20.6</v>
      </c>
      <c r="G52" s="9" t="str">
        <f>_xll.SNL.Clients.Office.Excel.Functions.SPG(E52, "SP_COMPANY_TYPE")</f>
        <v>Public Company</v>
      </c>
      <c r="H52" s="10" t="str">
        <f>_xll.SNL.Clients.Office.Excel.Functions.SPG(E52, "SP_COUNTRY_NAME")</f>
        <v>Zambia</v>
      </c>
      <c r="J52" t="str">
        <f>_xll.SNL.Clients.Office.Excel.Functions.SPG(E52, "SP_PARENT_COUNTRY")</f>
        <v>Zambia</v>
      </c>
      <c r="K52" s="9" t="str">
        <f>_xll.SNL.Clients.Office.Excel.Functions.SPG(E52, "SP_PARENT_COMPANY_ID")</f>
        <v>4466550</v>
      </c>
      <c r="L52" t="str">
        <f>_xll.SNL.Clients.Office.Excel.Functions.SPG(K52, "SP_COMPANY_TYPE")</f>
        <v>Government Institution</v>
      </c>
      <c r="M52" s="9" t="str">
        <f>_xll.SNL.Clients.Office.Excel.Functions.SPG(E52, "SP_ULT_PARENT_COMPANY_NAME")</f>
        <v>Industrial Development Corporation (Zambia) Limited</v>
      </c>
      <c r="N52" s="9" t="str">
        <f>_xll.SNL.Clients.Office.Excel.Functions.SPG(E52, "SP_ULT_PARENT_COUNTRY")</f>
        <v>Zambia</v>
      </c>
      <c r="O52" s="9">
        <f>_xll.SNL.Clients.Office.Excel.Functions.SPG(E52, "SP_ULT_PARENT_COMPANY_ID")</f>
        <v>4466550</v>
      </c>
      <c r="P52" t="str">
        <f>_xll.SNL.Clients.Office.Excel.Functions.SPG(O52, "SP_COMPANY_TYPE")</f>
        <v>Government Institution</v>
      </c>
      <c r="Q52" s="11">
        <f>_xll.SNL.Clients.Office.Excel.Functions.SPG(E52, "SP_PCT_SHARES_OWNED_ALL_INSTITUTIONS")</f>
        <v>5.96</v>
      </c>
      <c r="R52" s="11" t="str">
        <f>_xll.SNL.Clients.Office.Excel.Functions.SPG(E52, "PCT_OWNED_INSTN_BANKS/INVEST_BANKS")</f>
        <v>NA</v>
      </c>
      <c r="S52" s="11" t="str">
        <f>_xll.SNL.Clients.Office.Excel.Functions.SPG(E52, "PCT_OWNED_INSTN_CHARITABLE_FOUNDATIONS")</f>
        <v>NA</v>
      </c>
      <c r="T52" s="11" t="str">
        <f>_xll.SNL.Clients.Office.Excel.Functions.SPG(E52, "PCT_OWNED_INSTN_CORP_PENSION_SPONSORS")</f>
        <v>NA</v>
      </c>
      <c r="U52" s="11" t="str">
        <f>_xll.SNL.Clients.Office.Excel.Functions.SPG(E52, "PCT_OWNED_INSTN_EDUCATIONAL/CULTURAL_ENDOWMENTS")</f>
        <v>NA</v>
      </c>
      <c r="V52" s="11" t="str">
        <f>_xll.SNL.Clients.Office.Excel.Functions.SPG(E52, "PCT_OWNED_INSTN_FAMILY_OFFICES/TRUSTS")</f>
        <v>NA</v>
      </c>
      <c r="W52" s="11">
        <f>_xll.SNL.Clients.Office.Excel.Functions.SPG(E52, "PCT_OWNED_INSTN_GOVT_PENSION_SPONSORS")</f>
        <v>5.96</v>
      </c>
      <c r="X52" s="11" t="str">
        <f>_xll.SNL.Clients.Office.Excel.Functions.SPG(E52, "PCT_OWNED_INSTN_INSURANCE_COMPANIES")</f>
        <v>NA</v>
      </c>
      <c r="Y52" s="11" t="str">
        <f>_xll.SNL.Clients.Office.Excel.Functions.SPG(E52, "PCT_OWNED_INSTN_INVEST_MGRS")</f>
        <v>NA</v>
      </c>
      <c r="Z52" s="11" t="str">
        <f>_xll.SNL.Clients.Office.Excel.Functions.SPG(E52, "PCT_OWNED_INSTN_REIT")</f>
        <v>NA</v>
      </c>
      <c r="AA52" s="11" t="str">
        <f>_xll.SNL.Clients.Office.Excel.Functions.SPG(E52, "PCT_OWNED_INSTN_UNCLASSIFIED")</f>
        <v>NA</v>
      </c>
      <c r="AB52" s="11" t="str">
        <f>_xll.SNL.Clients.Office.Excel.Functions.SPG(E52, "PCT_OWNED_INSTN_UNION_PENSION_SPONSORS")</f>
        <v>NA</v>
      </c>
      <c r="AC52" s="11" t="str">
        <f>_xll.SNL.Clients.Office.Excel.Functions.SPG(E52, "PCT_OWNED_INSTN_HEDGE_FUND_MGRS_LESS5PCT_STAKE")</f>
        <v>NA</v>
      </c>
      <c r="AD52" s="11" t="str">
        <f>_xll.SNL.Clients.Office.Excel.Functions.SPG(E52, "PCT_OWNED_INSTN_SOVEREIGN_WEALTH_FUNDS_LESS5PCT_STAKE")</f>
        <v>NA</v>
      </c>
      <c r="AE52" s="11" t="str">
        <f>_xll.SNL.Clients.Office.Excel.Functions.SPG(E52, "PCT_OWNED_INSTN_VC/PE_FIRMS_LESS5PCT_STAKE")</f>
        <v>NA</v>
      </c>
      <c r="AF52" s="11" t="str">
        <f>_xll.SNL.Clients.Office.Excel.Functions.SPG(E52, "PCT_OWNED_INSIDERS")</f>
        <v>NA</v>
      </c>
      <c r="AG52" s="11" t="str">
        <f>_xll.SNL.Clients.Office.Excel.Functions.SPG(E52, "PCT_OWNED_STRATEGIC_HEDGE_FUND_MGRS_MORE_EQUAL5PCT_STAKE")</f>
        <v>NA</v>
      </c>
      <c r="AH52" s="11" t="str">
        <f>_xll.SNL.Clients.Office.Excel.Functions.SPG(E52, "PCT_OWNED_STRATEGIC_VC/PE_FIRMS_MORE_EQUAL5PCT_STAKE")</f>
        <v>NA</v>
      </c>
      <c r="AI52" s="11" t="str">
        <f>_xll.SNL.Clients.Office.Excel.Functions.SPG(E52, "PCT_OWNED_STRATEGIC_SOVEREIGN_WEALTH_FUNDS_MORE_EQUAL5PCT_STAKE")</f>
        <v>NA</v>
      </c>
      <c r="AJ52" s="11" t="str">
        <f>_xll.SNL.Clients.Office.Excel.Functions.SPG(E52, "PCT_OWNED_STRATEGIC_COMPANY_CONTROLLED_FOUNDATIONS")</f>
        <v>NA</v>
      </c>
      <c r="AK52" s="11" t="str">
        <f>_xll.SNL.Clients.Office.Excel.Functions.SPG(E52, "PCT_OWNED_STRATEGIC_ESOP")</f>
        <v>NA</v>
      </c>
      <c r="AL52" s="11">
        <f>_xll.SNL.Clients.Office.Excel.Functions.SPG(E52, "PCT_OWNED_STRATEGIC_STATE_OWNER")</f>
        <v>30.81</v>
      </c>
      <c r="AM52" s="11" t="str">
        <f>_xll.SNL.Clients.Office.Excel.Functions.SPG(E52, "PCT_OWNED_STRATEGIC_CORPORATIONS_PRIVATE")</f>
        <v>NA</v>
      </c>
      <c r="AN52" s="11" t="str">
        <f>_xll.SNL.Clients.Office.Excel.Functions.SPG(E52, "PCT_OWNED_STRATEGIC_CORPORATIONS_PUBLIC")</f>
        <v>NA</v>
      </c>
    </row>
    <row r="53" spans="1:40" x14ac:dyDescent="0.35">
      <c r="A53" s="5">
        <v>46022</v>
      </c>
      <c r="B53" s="4" t="s">
        <v>75</v>
      </c>
      <c r="C53" s="4" t="s">
        <v>76</v>
      </c>
      <c r="D53" s="4" t="s">
        <v>245</v>
      </c>
      <c r="E53" s="8">
        <v>4352853</v>
      </c>
      <c r="F53" s="7">
        <v>100</v>
      </c>
      <c r="G53" s="9" t="str">
        <f>_xll.SNL.Clients.Office.Excel.Functions.SPG(E53, "SP_COMPANY_TYPE")</f>
        <v>Public Company</v>
      </c>
      <c r="H53" s="10" t="str">
        <f>_xll.SNL.Clients.Office.Excel.Functions.SPG(E53, "SP_COUNTRY_NAME")</f>
        <v>Russia</v>
      </c>
      <c r="J53" t="str">
        <f>_xll.SNL.Clients.Office.Excel.Functions.SPG(E53, "SP_PARENT_COUNTRY")</f>
        <v/>
      </c>
      <c r="K53" s="9" t="str">
        <f>_xll.SNL.Clients.Office.Excel.Functions.SPG(E53, "SP_PARENT_COMPANY_ID")</f>
        <v/>
      </c>
      <c r="L53" t="str">
        <f>_xll.SNL.Clients.Office.Excel.Functions.SPG(K53, "SP_COMPANY_TYPE")</f>
        <v>#INVALID COMPANY ID</v>
      </c>
      <c r="M53" s="9" t="str">
        <f>_xll.SNL.Clients.Office.Excel.Functions.SPG(E53, "SP_ULT_PARENT_COMPANY_NAME")</f>
        <v/>
      </c>
      <c r="N53" s="9" t="str">
        <f>_xll.SNL.Clients.Office.Excel.Functions.SPG(E53, "SP_ULT_PARENT_COUNTRY")</f>
        <v/>
      </c>
      <c r="O53" s="9" t="str">
        <f>_xll.SNL.Clients.Office.Excel.Functions.SPG(E53, "SP_ULT_PARENT_COMPANY_ID")</f>
        <v>NA</v>
      </c>
      <c r="P53" t="str">
        <f>_xll.SNL.Clients.Office.Excel.Functions.SPG(O53, "SP_COMPANY_TYPE")</f>
        <v>Public Company</v>
      </c>
      <c r="Q53" s="11">
        <f>_xll.SNL.Clients.Office.Excel.Functions.SPG(E53, "SP_PCT_SHARES_OWNED_ALL_INSTITUTIONS")</f>
        <v>3.09</v>
      </c>
      <c r="R53" s="11" t="str">
        <f>_xll.SNL.Clients.Office.Excel.Functions.SPG(E53, "PCT_OWNED_INSTN_BANKS/INVEST_BANKS")</f>
        <v>NA</v>
      </c>
      <c r="S53" s="11" t="str">
        <f>_xll.SNL.Clients.Office.Excel.Functions.SPG(E53, "PCT_OWNED_INSTN_CHARITABLE_FOUNDATIONS")</f>
        <v>NA</v>
      </c>
      <c r="T53" s="11" t="str">
        <f>_xll.SNL.Clients.Office.Excel.Functions.SPG(E53, "PCT_OWNED_INSTN_CORP_PENSION_SPONSORS")</f>
        <v>NA</v>
      </c>
      <c r="U53" s="11" t="str">
        <f>_xll.SNL.Clients.Office.Excel.Functions.SPG(E53, "PCT_OWNED_INSTN_EDUCATIONAL/CULTURAL_ENDOWMENTS")</f>
        <v>NA</v>
      </c>
      <c r="V53" s="11">
        <f>_xll.SNL.Clients.Office.Excel.Functions.SPG(E53, "PCT_OWNED_INSTN_FAMILY_OFFICES/TRUSTS")</f>
        <v>0</v>
      </c>
      <c r="W53" s="11">
        <f>_xll.SNL.Clients.Office.Excel.Functions.SPG(E53, "PCT_OWNED_INSTN_GOVT_PENSION_SPONSORS")</f>
        <v>0.09</v>
      </c>
      <c r="X53" s="11">
        <f>_xll.SNL.Clients.Office.Excel.Functions.SPG(E53, "PCT_OWNED_INSTN_INSURANCE_COMPANIES")</f>
        <v>0</v>
      </c>
      <c r="Y53" s="11">
        <f>_xll.SNL.Clients.Office.Excel.Functions.SPG(E53, "PCT_OWNED_INSTN_INVEST_MGRS")</f>
        <v>2.93</v>
      </c>
      <c r="Z53" s="11" t="str">
        <f>_xll.SNL.Clients.Office.Excel.Functions.SPG(E53, "PCT_OWNED_INSTN_REIT")</f>
        <v>NA</v>
      </c>
      <c r="AA53" s="11">
        <f>_xll.SNL.Clients.Office.Excel.Functions.SPG(E53, "PCT_OWNED_INSTN_UNCLASSIFIED")</f>
        <v>0</v>
      </c>
      <c r="AB53" s="11" t="str">
        <f>_xll.SNL.Clients.Office.Excel.Functions.SPG(E53, "PCT_OWNED_INSTN_UNION_PENSION_SPONSORS")</f>
        <v>NA</v>
      </c>
      <c r="AC53" s="11">
        <f>_xll.SNL.Clients.Office.Excel.Functions.SPG(E53, "PCT_OWNED_INSTN_HEDGE_FUND_MGRS_LESS5PCT_STAKE")</f>
        <v>0</v>
      </c>
      <c r="AD53" s="11" t="str">
        <f>_xll.SNL.Clients.Office.Excel.Functions.SPG(E53, "PCT_OWNED_INSTN_SOVEREIGN_WEALTH_FUNDS_LESS5PCT_STAKE")</f>
        <v>NA</v>
      </c>
      <c r="AE53" s="11">
        <f>_xll.SNL.Clients.Office.Excel.Functions.SPG(E53, "PCT_OWNED_INSTN_VC/PE_FIRMS_LESS5PCT_STAKE")</f>
        <v>0.06</v>
      </c>
      <c r="AF53" s="11" t="str">
        <f>_xll.SNL.Clients.Office.Excel.Functions.SPG(E53, "PCT_OWNED_INSIDERS")</f>
        <v>NA</v>
      </c>
      <c r="AG53" s="11" t="str">
        <f>_xll.SNL.Clients.Office.Excel.Functions.SPG(E53, "PCT_OWNED_STRATEGIC_HEDGE_FUND_MGRS_MORE_EQUAL5PCT_STAKE")</f>
        <v>NA</v>
      </c>
      <c r="AH53" s="11" t="str">
        <f>_xll.SNL.Clients.Office.Excel.Functions.SPG(E53, "PCT_OWNED_STRATEGIC_VC/PE_FIRMS_MORE_EQUAL5PCT_STAKE")</f>
        <v>NA</v>
      </c>
      <c r="AI53" s="11" t="str">
        <f>_xll.SNL.Clients.Office.Excel.Functions.SPG(E53, "PCT_OWNED_STRATEGIC_SOVEREIGN_WEALTH_FUNDS_MORE_EQUAL5PCT_STAKE")</f>
        <v>NA</v>
      </c>
      <c r="AJ53" s="11" t="str">
        <f>_xll.SNL.Clients.Office.Excel.Functions.SPG(E53, "PCT_OWNED_STRATEGIC_COMPANY_CONTROLLED_FOUNDATIONS")</f>
        <v>NA</v>
      </c>
      <c r="AK53" s="11" t="str">
        <f>_xll.SNL.Clients.Office.Excel.Functions.SPG(E53, "PCT_OWNED_STRATEGIC_ESOP")</f>
        <v>NA</v>
      </c>
      <c r="AL53" s="11" t="str">
        <f>_xll.SNL.Clients.Office.Excel.Functions.SPG(E53, "PCT_OWNED_STRATEGIC_STATE_OWNER")</f>
        <v>NA</v>
      </c>
      <c r="AM53" s="11" t="str">
        <f>_xll.SNL.Clients.Office.Excel.Functions.SPG(E53, "PCT_OWNED_STRATEGIC_CORPORATIONS_PRIVATE")</f>
        <v>NA</v>
      </c>
      <c r="AN53" s="11" t="str">
        <f>_xll.SNL.Clients.Office.Excel.Functions.SPG(E53, "PCT_OWNED_STRATEGIC_CORPORATIONS_PUBLIC")</f>
        <v>NA</v>
      </c>
    </row>
    <row r="54" spans="1:40" x14ac:dyDescent="0.35">
      <c r="A54" s="5">
        <v>46022</v>
      </c>
      <c r="B54" s="4" t="s">
        <v>110</v>
      </c>
      <c r="C54" s="4" t="s">
        <v>111</v>
      </c>
      <c r="D54" s="4" t="s">
        <v>237</v>
      </c>
      <c r="E54" s="8">
        <v>4223919</v>
      </c>
      <c r="F54" s="7">
        <v>100</v>
      </c>
      <c r="G54" s="9" t="str">
        <f>_xll.SNL.Clients.Office.Excel.Functions.SPG(E54, "SP_COMPANY_TYPE")</f>
        <v>Public Company</v>
      </c>
      <c r="H54" s="10" t="str">
        <f>_xll.SNL.Clients.Office.Excel.Functions.SPG(E54, "SP_COUNTRY_NAME")</f>
        <v>Brazil</v>
      </c>
      <c r="J54" t="str">
        <f>_xll.SNL.Clients.Office.Excel.Functions.SPG(E54, "SP_PARENT_COUNTRY")</f>
        <v/>
      </c>
      <c r="K54" s="9" t="str">
        <f>_xll.SNL.Clients.Office.Excel.Functions.SPG(E54, "SP_PARENT_COMPANY_ID")</f>
        <v/>
      </c>
      <c r="L54" t="str">
        <f>_xll.SNL.Clients.Office.Excel.Functions.SPG(K54, "SP_COMPANY_TYPE")</f>
        <v>#INVALID COMPANY ID</v>
      </c>
      <c r="M54" s="9" t="str">
        <f>_xll.SNL.Clients.Office.Excel.Functions.SPG(E54, "SP_ULT_PARENT_COMPANY_NAME")</f>
        <v/>
      </c>
      <c r="N54" s="9" t="str">
        <f>_xll.SNL.Clients.Office.Excel.Functions.SPG(E54, "SP_ULT_PARENT_COUNTRY")</f>
        <v/>
      </c>
      <c r="O54" s="9" t="str">
        <f>_xll.SNL.Clients.Office.Excel.Functions.SPG(E54, "SP_ULT_PARENT_COMPANY_ID")</f>
        <v>NA</v>
      </c>
      <c r="P54" t="str">
        <f>_xll.SNL.Clients.Office.Excel.Functions.SPG(O54, "SP_COMPANY_TYPE")</f>
        <v>Public Company</v>
      </c>
      <c r="Q54" s="11">
        <f>_xll.SNL.Clients.Office.Excel.Functions.SPG(E54, "SP_PCT_SHARES_OWNED_ALL_INSTITUTIONS")</f>
        <v>52.67</v>
      </c>
      <c r="R54" s="11">
        <f>_xll.SNL.Clients.Office.Excel.Functions.SPG(E54, "PCT_OWNED_INSTN_BANKS/INVEST_BANKS")</f>
        <v>1.86</v>
      </c>
      <c r="S54" s="11" t="str">
        <f>_xll.SNL.Clients.Office.Excel.Functions.SPG(E54, "PCT_OWNED_INSTN_CHARITABLE_FOUNDATIONS")</f>
        <v>NA</v>
      </c>
      <c r="T54" s="11">
        <f>_xll.SNL.Clients.Office.Excel.Functions.SPG(E54, "PCT_OWNED_INSTN_CORP_PENSION_SPONSORS")</f>
        <v>7.32</v>
      </c>
      <c r="U54" s="11" t="str">
        <f>_xll.SNL.Clients.Office.Excel.Functions.SPG(E54, "PCT_OWNED_INSTN_EDUCATIONAL/CULTURAL_ENDOWMENTS")</f>
        <v>NA</v>
      </c>
      <c r="V54" s="11">
        <f>_xll.SNL.Clients.Office.Excel.Functions.SPG(E54, "PCT_OWNED_INSTN_FAMILY_OFFICES/TRUSTS")</f>
        <v>0.09</v>
      </c>
      <c r="W54" s="11">
        <f>_xll.SNL.Clients.Office.Excel.Functions.SPG(E54, "PCT_OWNED_INSTN_GOVT_PENSION_SPONSORS")</f>
        <v>1.31</v>
      </c>
      <c r="X54" s="11">
        <f>_xll.SNL.Clients.Office.Excel.Functions.SPG(E54, "PCT_OWNED_INSTN_INSURANCE_COMPANIES")</f>
        <v>0</v>
      </c>
      <c r="Y54" s="11">
        <f>_xll.SNL.Clients.Office.Excel.Functions.SPG(E54, "PCT_OWNED_INSTN_INVEST_MGRS")</f>
        <v>39.1</v>
      </c>
      <c r="Z54" s="11" t="str">
        <f>_xll.SNL.Clients.Office.Excel.Functions.SPG(E54, "PCT_OWNED_INSTN_REIT")</f>
        <v>NA</v>
      </c>
      <c r="AA54" s="11">
        <f>_xll.SNL.Clients.Office.Excel.Functions.SPG(E54, "PCT_OWNED_INSTN_UNCLASSIFIED")</f>
        <v>0.49</v>
      </c>
      <c r="AB54" s="11" t="str">
        <f>_xll.SNL.Clients.Office.Excel.Functions.SPG(E54, "PCT_OWNED_INSTN_UNION_PENSION_SPONSORS")</f>
        <v>NA</v>
      </c>
      <c r="AC54" s="11">
        <f>_xll.SNL.Clients.Office.Excel.Functions.SPG(E54, "PCT_OWNED_INSTN_HEDGE_FUND_MGRS_LESS5PCT_STAKE")</f>
        <v>2.48</v>
      </c>
      <c r="AD54" s="11">
        <f>_xll.SNL.Clients.Office.Excel.Functions.SPG(E54, "PCT_OWNED_INSTN_SOVEREIGN_WEALTH_FUNDS_LESS5PCT_STAKE")</f>
        <v>0</v>
      </c>
      <c r="AE54" s="11">
        <f>_xll.SNL.Clients.Office.Excel.Functions.SPG(E54, "PCT_OWNED_INSTN_VC/PE_FIRMS_LESS5PCT_STAKE")</f>
        <v>0.03</v>
      </c>
      <c r="AF54" s="11">
        <f>_xll.SNL.Clients.Office.Excel.Functions.SPG(E54, "PCT_OWNED_INSIDERS")</f>
        <v>0.02</v>
      </c>
      <c r="AG54" s="11" t="str">
        <f>_xll.SNL.Clients.Office.Excel.Functions.SPG(E54, "PCT_OWNED_STRATEGIC_HEDGE_FUND_MGRS_MORE_EQUAL5PCT_STAKE")</f>
        <v>NA</v>
      </c>
      <c r="AH54" s="11" t="str">
        <f>_xll.SNL.Clients.Office.Excel.Functions.SPG(E54, "PCT_OWNED_STRATEGIC_VC/PE_FIRMS_MORE_EQUAL5PCT_STAKE")</f>
        <v>NA</v>
      </c>
      <c r="AI54" s="11" t="str">
        <f>_xll.SNL.Clients.Office.Excel.Functions.SPG(E54, "PCT_OWNED_STRATEGIC_SOVEREIGN_WEALTH_FUNDS_MORE_EQUAL5PCT_STAKE")</f>
        <v>NA</v>
      </c>
      <c r="AJ54" s="11" t="str">
        <f>_xll.SNL.Clients.Office.Excel.Functions.SPG(E54, "PCT_OWNED_STRATEGIC_COMPANY_CONTROLLED_FOUNDATIONS")</f>
        <v>NA</v>
      </c>
      <c r="AK54" s="11" t="str">
        <f>_xll.SNL.Clients.Office.Excel.Functions.SPG(E54, "PCT_OWNED_STRATEGIC_ESOP")</f>
        <v>NA</v>
      </c>
      <c r="AL54" s="11">
        <f>_xll.SNL.Clients.Office.Excel.Functions.SPG(E54, "PCT_OWNED_STRATEGIC_STATE_OWNER")</f>
        <v>0</v>
      </c>
      <c r="AM54" s="11">
        <f>_xll.SNL.Clients.Office.Excel.Functions.SPG(E54, "PCT_OWNED_STRATEGIC_CORPORATIONS_PRIVATE")</f>
        <v>0.28000000000000003</v>
      </c>
      <c r="AN54" s="11">
        <f>_xll.SNL.Clients.Office.Excel.Functions.SPG(E54, "PCT_OWNED_STRATEGIC_CORPORATIONS_PUBLIC")</f>
        <v>6.73</v>
      </c>
    </row>
    <row r="55" spans="1:40" x14ac:dyDescent="0.35">
      <c r="A55" s="5">
        <v>46022</v>
      </c>
      <c r="B55" s="4" t="s">
        <v>78</v>
      </c>
      <c r="C55" s="4" t="s">
        <v>79</v>
      </c>
      <c r="D55" s="4" t="s">
        <v>233</v>
      </c>
      <c r="E55" s="8">
        <v>4113732</v>
      </c>
      <c r="F55" s="7">
        <v>100</v>
      </c>
      <c r="G55" s="9" t="str">
        <f>_xll.SNL.Clients.Office.Excel.Functions.SPG(E55, "SP_COMPANY_TYPE")</f>
        <v>Public Company</v>
      </c>
      <c r="H55" s="10" t="str">
        <f>_xll.SNL.Clients.Office.Excel.Functions.SPG(E55, "SP_COUNTRY_NAME")</f>
        <v>Switzerland</v>
      </c>
      <c r="J55" t="str">
        <f>_xll.SNL.Clients.Office.Excel.Functions.SPG(E55, "SP_PARENT_COUNTRY")</f>
        <v/>
      </c>
      <c r="K55" s="9" t="str">
        <f>_xll.SNL.Clients.Office.Excel.Functions.SPG(E55, "SP_PARENT_COMPANY_ID")</f>
        <v/>
      </c>
      <c r="L55" t="str">
        <f>_xll.SNL.Clients.Office.Excel.Functions.SPG(K55, "SP_COMPANY_TYPE")</f>
        <v>#INVALID COMPANY ID</v>
      </c>
      <c r="M55" s="9" t="str">
        <f>_xll.SNL.Clients.Office.Excel.Functions.SPG(E55, "SP_ULT_PARENT_COMPANY_NAME")</f>
        <v/>
      </c>
      <c r="N55" s="9" t="str">
        <f>_xll.SNL.Clients.Office.Excel.Functions.SPG(E55, "SP_ULT_PARENT_COUNTRY")</f>
        <v/>
      </c>
      <c r="O55" s="9" t="str">
        <f>_xll.SNL.Clients.Office.Excel.Functions.SPG(E55, "SP_ULT_PARENT_COMPANY_ID")</f>
        <v>NA</v>
      </c>
      <c r="P55" t="str">
        <f>_xll.SNL.Clients.Office.Excel.Functions.SPG(O55, "SP_COMPANY_TYPE")</f>
        <v>Public Company</v>
      </c>
      <c r="Q55" s="11">
        <f>_xll.SNL.Clients.Office.Excel.Functions.SPG(E55, "SP_PCT_SHARES_OWNED_ALL_INSTITUTIONS")</f>
        <v>61.77</v>
      </c>
      <c r="R55" s="11">
        <f>_xll.SNL.Clients.Office.Excel.Functions.SPG(E55, "PCT_OWNED_INSTN_BANKS/INVEST_BANKS")</f>
        <v>3.68</v>
      </c>
      <c r="S55" s="11">
        <f>_xll.SNL.Clients.Office.Excel.Functions.SPG(E55, "PCT_OWNED_INSTN_CHARITABLE_FOUNDATIONS")</f>
        <v>1.77</v>
      </c>
      <c r="T55" s="11">
        <f>_xll.SNL.Clients.Office.Excel.Functions.SPG(E55, "PCT_OWNED_INSTN_CORP_PENSION_SPONSORS")</f>
        <v>0.03</v>
      </c>
      <c r="U55" s="11" t="str">
        <f>_xll.SNL.Clients.Office.Excel.Functions.SPG(E55, "PCT_OWNED_INSTN_EDUCATIONAL/CULTURAL_ENDOWMENTS")</f>
        <v>NA</v>
      </c>
      <c r="V55" s="11">
        <f>_xll.SNL.Clients.Office.Excel.Functions.SPG(E55, "PCT_OWNED_INSTN_FAMILY_OFFICES/TRUSTS")</f>
        <v>0</v>
      </c>
      <c r="W55" s="11">
        <f>_xll.SNL.Clients.Office.Excel.Functions.SPG(E55, "PCT_OWNED_INSTN_GOVT_PENSION_SPONSORS")</f>
        <v>0.28999999999999998</v>
      </c>
      <c r="X55" s="11">
        <f>_xll.SNL.Clients.Office.Excel.Functions.SPG(E55, "PCT_OWNED_INSTN_INSURANCE_COMPANIES")</f>
        <v>0.08</v>
      </c>
      <c r="Y55" s="11">
        <f>_xll.SNL.Clients.Office.Excel.Functions.SPG(E55, "PCT_OWNED_INSTN_INVEST_MGRS")</f>
        <v>54.18</v>
      </c>
      <c r="Z55" s="11" t="str">
        <f>_xll.SNL.Clients.Office.Excel.Functions.SPG(E55, "PCT_OWNED_INSTN_REIT")</f>
        <v>NA</v>
      </c>
      <c r="AA55" s="11">
        <f>_xll.SNL.Clients.Office.Excel.Functions.SPG(E55, "PCT_OWNED_INSTN_UNCLASSIFIED")</f>
        <v>0.15</v>
      </c>
      <c r="AB55" s="11" t="str">
        <f>_xll.SNL.Clients.Office.Excel.Functions.SPG(E55, "PCT_OWNED_INSTN_UNION_PENSION_SPONSORS")</f>
        <v>NA</v>
      </c>
      <c r="AC55" s="11">
        <f>_xll.SNL.Clients.Office.Excel.Functions.SPG(E55, "PCT_OWNED_INSTN_HEDGE_FUND_MGRS_LESS5PCT_STAKE")</f>
        <v>0.25</v>
      </c>
      <c r="AD55" s="11">
        <f>_xll.SNL.Clients.Office.Excel.Functions.SPG(E55, "PCT_OWNED_INSTN_SOVEREIGN_WEALTH_FUNDS_LESS5PCT_STAKE")</f>
        <v>1.1100000000000001</v>
      </c>
      <c r="AE55" s="11">
        <f>_xll.SNL.Clients.Office.Excel.Functions.SPG(E55, "PCT_OWNED_INSTN_VC/PE_FIRMS_LESS5PCT_STAKE")</f>
        <v>0.23</v>
      </c>
      <c r="AF55" s="11">
        <f>_xll.SNL.Clients.Office.Excel.Functions.SPG(E55, "PCT_OWNED_INSIDERS")</f>
        <v>12.83</v>
      </c>
      <c r="AG55" s="11" t="str">
        <f>_xll.SNL.Clients.Office.Excel.Functions.SPG(E55, "PCT_OWNED_STRATEGIC_HEDGE_FUND_MGRS_MORE_EQUAL5PCT_STAKE")</f>
        <v>NA</v>
      </c>
      <c r="AH55" s="11">
        <f>_xll.SNL.Clients.Office.Excel.Functions.SPG(E55, "PCT_OWNED_STRATEGIC_VC/PE_FIRMS_MORE_EQUAL5PCT_STAKE")</f>
        <v>8.93</v>
      </c>
      <c r="AI55" s="11" t="str">
        <f>_xll.SNL.Clients.Office.Excel.Functions.SPG(E55, "PCT_OWNED_STRATEGIC_SOVEREIGN_WEALTH_FUNDS_MORE_EQUAL5PCT_STAKE")</f>
        <v>NA</v>
      </c>
      <c r="AJ55" s="11" t="str">
        <f>_xll.SNL.Clients.Office.Excel.Functions.SPG(E55, "PCT_OWNED_STRATEGIC_COMPANY_CONTROLLED_FOUNDATIONS")</f>
        <v>NA</v>
      </c>
      <c r="AK55" s="11">
        <f>_xll.SNL.Clients.Office.Excel.Functions.SPG(E55, "PCT_OWNED_STRATEGIC_ESOP")</f>
        <v>0.19</v>
      </c>
      <c r="AL55" s="11">
        <f>_xll.SNL.Clients.Office.Excel.Functions.SPG(E55, "PCT_OWNED_STRATEGIC_STATE_OWNER")</f>
        <v>0.05</v>
      </c>
      <c r="AM55" s="11">
        <f>_xll.SNL.Clients.Office.Excel.Functions.SPG(E55, "PCT_OWNED_STRATEGIC_CORPORATIONS_PRIVATE")</f>
        <v>0.02</v>
      </c>
      <c r="AN55" s="11" t="str">
        <f>_xll.SNL.Clients.Office.Excel.Functions.SPG(E55, "PCT_OWNED_STRATEGIC_CORPORATIONS_PUBLIC")</f>
        <v>NA</v>
      </c>
    </row>
    <row r="56" spans="1:40" hidden="1" x14ac:dyDescent="0.35">
      <c r="A56" s="5">
        <v>46022</v>
      </c>
      <c r="B56" s="4" t="s">
        <v>81</v>
      </c>
      <c r="C56" s="4" t="s">
        <v>82</v>
      </c>
      <c r="D56" s="4" t="s">
        <v>246</v>
      </c>
      <c r="E56" s="8">
        <v>4351435</v>
      </c>
      <c r="F56" s="7">
        <v>11.05</v>
      </c>
      <c r="G56" s="9" t="str">
        <f>_xll.SNL.Clients.Office.Excel.Functions.SPG(E56, "SP_COMPANY_TYPE")</f>
        <v>Private Company</v>
      </c>
      <c r="H56" s="10" t="str">
        <f>_xll.SNL.Clients.Office.Excel.Functions.SPG(E56, "SP_COUNTRY_NAME")</f>
        <v>China</v>
      </c>
      <c r="J56" t="str">
        <f>_xll.SNL.Clients.Office.Excel.Functions.SPG(E56, "SP_PARENT_COUNTRY")</f>
        <v/>
      </c>
      <c r="K56" s="9" t="str">
        <f>_xll.SNL.Clients.Office.Excel.Functions.SPG(E56, "SP_PARENT_COMPANY_ID")</f>
        <v/>
      </c>
      <c r="L56" t="str">
        <f>_xll.SNL.Clients.Office.Excel.Functions.SPG(K56, "SP_COMPANY_TYPE")</f>
        <v>#INVALID COMPANY ID</v>
      </c>
      <c r="M56" s="9" t="str">
        <f>_xll.SNL.Clients.Office.Excel.Functions.SPG(E56, "SP_ULT_PARENT_COMPANY_NAME")</f>
        <v/>
      </c>
      <c r="N56" s="9" t="str">
        <f>_xll.SNL.Clients.Office.Excel.Functions.SPG(E56, "SP_ULT_PARENT_COUNTRY")</f>
        <v/>
      </c>
      <c r="O56" s="9" t="str">
        <f>_xll.SNL.Clients.Office.Excel.Functions.SPG(E56, "SP_ULT_PARENT_COMPANY_ID")</f>
        <v>NA</v>
      </c>
      <c r="P56" t="str">
        <f>_xll.SNL.Clients.Office.Excel.Functions.SPG(O56, "SP_COMPANY_TYPE")</f>
        <v>Public Company</v>
      </c>
      <c r="Q56" s="11" t="str">
        <f>_xll.SNL.Clients.Office.Excel.Functions.SPG(E56, "SP_PCT_SHARES_OWNED_ALL_INSTITUTIONS")</f>
        <v>NA</v>
      </c>
      <c r="R56" s="11" t="str">
        <f>_xll.SNL.Clients.Office.Excel.Functions.SPG(E56, "PCT_OWNED_INSTN_BANKS/INVEST_BANKS")</f>
        <v>NA</v>
      </c>
      <c r="S56" s="11" t="str">
        <f>_xll.SNL.Clients.Office.Excel.Functions.SPG(E56, "PCT_OWNED_INSTN_CHARITABLE_FOUNDATIONS")</f>
        <v>NA</v>
      </c>
      <c r="T56" s="11" t="str">
        <f>_xll.SNL.Clients.Office.Excel.Functions.SPG(E56, "PCT_OWNED_INSTN_CORP_PENSION_SPONSORS")</f>
        <v>NA</v>
      </c>
      <c r="U56" s="11" t="str">
        <f>_xll.SNL.Clients.Office.Excel.Functions.SPG(E56, "PCT_OWNED_INSTN_EDUCATIONAL/CULTURAL_ENDOWMENTS")</f>
        <v>NA</v>
      </c>
      <c r="V56" s="11" t="str">
        <f>_xll.SNL.Clients.Office.Excel.Functions.SPG(E56, "PCT_OWNED_INSTN_FAMILY_OFFICES/TRUSTS")</f>
        <v>NA</v>
      </c>
      <c r="W56" s="11" t="str">
        <f>_xll.SNL.Clients.Office.Excel.Functions.SPG(E56, "PCT_OWNED_INSTN_GOVT_PENSION_SPONSORS")</f>
        <v>NA</v>
      </c>
      <c r="X56" s="11" t="str">
        <f>_xll.SNL.Clients.Office.Excel.Functions.SPG(E56, "PCT_OWNED_INSTN_INSURANCE_COMPANIES")</f>
        <v>NA</v>
      </c>
      <c r="Y56" s="11" t="str">
        <f>_xll.SNL.Clients.Office.Excel.Functions.SPG(E56, "PCT_OWNED_INSTN_INVEST_MGRS")</f>
        <v>NA</v>
      </c>
      <c r="Z56" s="11" t="str">
        <f>_xll.SNL.Clients.Office.Excel.Functions.SPG(E56, "PCT_OWNED_INSTN_REIT")</f>
        <v>NA</v>
      </c>
      <c r="AA56" s="11" t="str">
        <f>_xll.SNL.Clients.Office.Excel.Functions.SPG(E56, "PCT_OWNED_INSTN_UNCLASSIFIED")</f>
        <v>NA</v>
      </c>
      <c r="AB56" s="11" t="str">
        <f>_xll.SNL.Clients.Office.Excel.Functions.SPG(E56, "PCT_OWNED_INSTN_UNION_PENSION_SPONSORS")</f>
        <v>NA</v>
      </c>
      <c r="AC56" s="11" t="str">
        <f>_xll.SNL.Clients.Office.Excel.Functions.SPG(E56, "PCT_OWNED_INSTN_HEDGE_FUND_MGRS_LESS5PCT_STAKE")</f>
        <v>NA</v>
      </c>
      <c r="AD56" s="11" t="str">
        <f>_xll.SNL.Clients.Office.Excel.Functions.SPG(E56, "PCT_OWNED_INSTN_SOVEREIGN_WEALTH_FUNDS_LESS5PCT_STAKE")</f>
        <v>NA</v>
      </c>
      <c r="AE56" s="11" t="str">
        <f>_xll.SNL.Clients.Office.Excel.Functions.SPG(E56, "PCT_OWNED_INSTN_VC/PE_FIRMS_LESS5PCT_STAKE")</f>
        <v>NA</v>
      </c>
      <c r="AF56" s="11" t="str">
        <f>_xll.SNL.Clients.Office.Excel.Functions.SPG(E56, "PCT_OWNED_INSIDERS")</f>
        <v>NA</v>
      </c>
      <c r="AG56" s="11" t="str">
        <f>_xll.SNL.Clients.Office.Excel.Functions.SPG(E56, "PCT_OWNED_STRATEGIC_HEDGE_FUND_MGRS_MORE_EQUAL5PCT_STAKE")</f>
        <v>NA</v>
      </c>
      <c r="AH56" s="11" t="str">
        <f>_xll.SNL.Clients.Office.Excel.Functions.SPG(E56, "PCT_OWNED_STRATEGIC_VC/PE_FIRMS_MORE_EQUAL5PCT_STAKE")</f>
        <v>NA</v>
      </c>
      <c r="AI56" s="11" t="str">
        <f>_xll.SNL.Clients.Office.Excel.Functions.SPG(E56, "PCT_OWNED_STRATEGIC_SOVEREIGN_WEALTH_FUNDS_MORE_EQUAL5PCT_STAKE")</f>
        <v>NA</v>
      </c>
      <c r="AJ56" s="11" t="str">
        <f>_xll.SNL.Clients.Office.Excel.Functions.SPG(E56, "PCT_OWNED_STRATEGIC_COMPANY_CONTROLLED_FOUNDATIONS")</f>
        <v>NA</v>
      </c>
      <c r="AK56" s="11" t="str">
        <f>_xll.SNL.Clients.Office.Excel.Functions.SPG(E56, "PCT_OWNED_STRATEGIC_ESOP")</f>
        <v>NA</v>
      </c>
      <c r="AL56" s="11" t="str">
        <f>_xll.SNL.Clients.Office.Excel.Functions.SPG(E56, "PCT_OWNED_STRATEGIC_STATE_OWNER")</f>
        <v>NA</v>
      </c>
      <c r="AM56" s="11" t="str">
        <f>_xll.SNL.Clients.Office.Excel.Functions.SPG(E56, "PCT_OWNED_STRATEGIC_CORPORATIONS_PRIVATE")</f>
        <v>NA</v>
      </c>
      <c r="AN56" s="11" t="str">
        <f>_xll.SNL.Clients.Office.Excel.Functions.SPG(E56, "PCT_OWNED_STRATEGIC_CORPORATIONS_PUBLIC")</f>
        <v>NA</v>
      </c>
    </row>
    <row r="57" spans="1:40" x14ac:dyDescent="0.35">
      <c r="A57" s="5">
        <v>46022</v>
      </c>
      <c r="B57" s="4" t="s">
        <v>81</v>
      </c>
      <c r="C57" s="4" t="s">
        <v>82</v>
      </c>
      <c r="D57" s="4" t="s">
        <v>243</v>
      </c>
      <c r="E57" s="8">
        <v>4361447</v>
      </c>
      <c r="F57" s="7">
        <v>5.93</v>
      </c>
      <c r="G57" s="9" t="str">
        <f>_xll.SNL.Clients.Office.Excel.Functions.SPG(E57, "SP_COMPANY_TYPE")</f>
        <v>Public Company</v>
      </c>
      <c r="H57" s="10" t="str">
        <f>_xll.SNL.Clients.Office.Excel.Functions.SPG(E57, "SP_COUNTRY_NAME")</f>
        <v>Hong Kong</v>
      </c>
      <c r="J57" t="str">
        <f>_xll.SNL.Clients.Office.Excel.Functions.SPG(E57, "SP_PARENT_COUNTRY")</f>
        <v>BVI</v>
      </c>
      <c r="K57" s="9" t="str">
        <f>_xll.SNL.Clients.Office.Excel.Functions.SPG(E57, "SP_PARENT_COMPANY_ID")</f>
        <v>4575436</v>
      </c>
      <c r="L57" t="str">
        <f>_xll.SNL.Clients.Office.Excel.Functions.SPG(K57, "SP_COMPANY_TYPE")</f>
        <v>Private Company</v>
      </c>
      <c r="M57" s="9" t="str">
        <f>_xll.SNL.Clients.Office.Excel.Functions.SPG(E57, "SP_ULT_PARENT_COMPANY_NAME")</f>
        <v>State-Owned Assets Supervision And Administration Commission Of Gansu Provincial</v>
      </c>
      <c r="N57" s="9" t="str">
        <f>_xll.SNL.Clients.Office.Excel.Functions.SPG(E57, "SP_ULT_PARENT_COUNTRY")</f>
        <v>China</v>
      </c>
      <c r="O57" s="9">
        <f>_xll.SNL.Clients.Office.Excel.Functions.SPG(E57, "SP_ULT_PARENT_COMPANY_ID")</f>
        <v>8393263</v>
      </c>
      <c r="P57" t="str">
        <f>_xll.SNL.Clients.Office.Excel.Functions.SPG(O57, "SP_COMPANY_TYPE")</f>
        <v>Government Institution</v>
      </c>
      <c r="Q57" s="11">
        <f>_xll.SNL.Clients.Office.Excel.Functions.SPG(E57, "SP_PCT_SHARES_OWNED_ALL_INSTITUTIONS")</f>
        <v>11.69</v>
      </c>
      <c r="R57" s="11" t="str">
        <f>_xll.SNL.Clients.Office.Excel.Functions.SPG(E57, "PCT_OWNED_INSTN_BANKS/INVEST_BANKS")</f>
        <v>NA</v>
      </c>
      <c r="S57" s="11" t="str">
        <f>_xll.SNL.Clients.Office.Excel.Functions.SPG(E57, "PCT_OWNED_INSTN_CHARITABLE_FOUNDATIONS")</f>
        <v>NA</v>
      </c>
      <c r="T57" s="11" t="str">
        <f>_xll.SNL.Clients.Office.Excel.Functions.SPG(E57, "PCT_OWNED_INSTN_CORP_PENSION_SPONSORS")</f>
        <v>NA</v>
      </c>
      <c r="U57" s="11" t="str">
        <f>_xll.SNL.Clients.Office.Excel.Functions.SPG(E57, "PCT_OWNED_INSTN_EDUCATIONAL/CULTURAL_ENDOWMENTS")</f>
        <v>NA</v>
      </c>
      <c r="V57" s="11" t="str">
        <f>_xll.SNL.Clients.Office.Excel.Functions.SPG(E57, "PCT_OWNED_INSTN_FAMILY_OFFICES/TRUSTS")</f>
        <v>NA</v>
      </c>
      <c r="W57" s="11" t="str">
        <f>_xll.SNL.Clients.Office.Excel.Functions.SPG(E57, "PCT_OWNED_INSTN_GOVT_PENSION_SPONSORS")</f>
        <v>NA</v>
      </c>
      <c r="X57" s="11" t="str">
        <f>_xll.SNL.Clients.Office.Excel.Functions.SPG(E57, "PCT_OWNED_INSTN_INSURANCE_COMPANIES")</f>
        <v>NA</v>
      </c>
      <c r="Y57" s="11">
        <f>_xll.SNL.Clients.Office.Excel.Functions.SPG(E57, "PCT_OWNED_INSTN_INVEST_MGRS")</f>
        <v>11.69</v>
      </c>
      <c r="Z57" s="11" t="str">
        <f>_xll.SNL.Clients.Office.Excel.Functions.SPG(E57, "PCT_OWNED_INSTN_REIT")</f>
        <v>NA</v>
      </c>
      <c r="AA57" s="11" t="str">
        <f>_xll.SNL.Clients.Office.Excel.Functions.SPG(E57, "PCT_OWNED_INSTN_UNCLASSIFIED")</f>
        <v>NA</v>
      </c>
      <c r="AB57" s="11" t="str">
        <f>_xll.SNL.Clients.Office.Excel.Functions.SPG(E57, "PCT_OWNED_INSTN_UNION_PENSION_SPONSORS")</f>
        <v>NA</v>
      </c>
      <c r="AC57" s="11" t="str">
        <f>_xll.SNL.Clients.Office.Excel.Functions.SPG(E57, "PCT_OWNED_INSTN_HEDGE_FUND_MGRS_LESS5PCT_STAKE")</f>
        <v>NA</v>
      </c>
      <c r="AD57" s="11" t="str">
        <f>_xll.SNL.Clients.Office.Excel.Functions.SPG(E57, "PCT_OWNED_INSTN_SOVEREIGN_WEALTH_FUNDS_LESS5PCT_STAKE")</f>
        <v>NA</v>
      </c>
      <c r="AE57" s="11" t="str">
        <f>_xll.SNL.Clients.Office.Excel.Functions.SPG(E57, "PCT_OWNED_INSTN_VC/PE_FIRMS_LESS5PCT_STAKE")</f>
        <v>NA</v>
      </c>
      <c r="AF57" s="11" t="str">
        <f>_xll.SNL.Clients.Office.Excel.Functions.SPG(E57, "PCT_OWNED_INSIDERS")</f>
        <v>NA</v>
      </c>
      <c r="AG57" s="11" t="str">
        <f>_xll.SNL.Clients.Office.Excel.Functions.SPG(E57, "PCT_OWNED_STRATEGIC_HEDGE_FUND_MGRS_MORE_EQUAL5PCT_STAKE")</f>
        <v>NA</v>
      </c>
      <c r="AH57" s="11" t="str">
        <f>_xll.SNL.Clients.Office.Excel.Functions.SPG(E57, "PCT_OWNED_STRATEGIC_VC/PE_FIRMS_MORE_EQUAL5PCT_STAKE")</f>
        <v>NA</v>
      </c>
      <c r="AI57" s="11" t="str">
        <f>_xll.SNL.Clients.Office.Excel.Functions.SPG(E57, "PCT_OWNED_STRATEGIC_SOVEREIGN_WEALTH_FUNDS_MORE_EQUAL5PCT_STAKE")</f>
        <v>NA</v>
      </c>
      <c r="AJ57" s="11" t="str">
        <f>_xll.SNL.Clients.Office.Excel.Functions.SPG(E57, "PCT_OWNED_STRATEGIC_COMPANY_CONTROLLED_FOUNDATIONS")</f>
        <v>NA</v>
      </c>
      <c r="AK57" s="11" t="str">
        <f>_xll.SNL.Clients.Office.Excel.Functions.SPG(E57, "PCT_OWNED_STRATEGIC_ESOP")</f>
        <v>NA</v>
      </c>
      <c r="AL57" s="11" t="str">
        <f>_xll.SNL.Clients.Office.Excel.Functions.SPG(E57, "PCT_OWNED_STRATEGIC_STATE_OWNER")</f>
        <v>NA</v>
      </c>
      <c r="AM57" s="11">
        <f>_xll.SNL.Clients.Office.Excel.Functions.SPG(E57, "PCT_OWNED_STRATEGIC_CORPORATIONS_PRIVATE")</f>
        <v>66.12</v>
      </c>
      <c r="AN57" s="11" t="str">
        <f>_xll.SNL.Clients.Office.Excel.Functions.SPG(E57, "PCT_OWNED_STRATEGIC_CORPORATIONS_PUBLIC")</f>
        <v>NA</v>
      </c>
    </row>
    <row r="58" spans="1:40" hidden="1" x14ac:dyDescent="0.35">
      <c r="A58" s="5">
        <v>46022</v>
      </c>
      <c r="B58" s="4" t="s">
        <v>81</v>
      </c>
      <c r="C58" s="4" t="s">
        <v>82</v>
      </c>
      <c r="D58" s="4" t="s">
        <v>247</v>
      </c>
      <c r="E58" s="8">
        <v>4351456</v>
      </c>
      <c r="F58" s="7">
        <v>11.05</v>
      </c>
      <c r="G58" s="9" t="str">
        <f>_xll.SNL.Clients.Office.Excel.Functions.SPG(E58, "SP_COMPANY_TYPE")</f>
        <v>Private Company</v>
      </c>
      <c r="H58" s="10" t="str">
        <f>_xll.SNL.Clients.Office.Excel.Functions.SPG(E58, "SP_COUNTRY_NAME")</f>
        <v>China</v>
      </c>
      <c r="J58" t="str">
        <f>_xll.SNL.Clients.Office.Excel.Functions.SPG(E58, "SP_PARENT_COUNTRY")</f>
        <v>China</v>
      </c>
      <c r="K58" s="9" t="str">
        <f>_xll.SNL.Clients.Office.Excel.Functions.SPG(E58, "SP_PARENT_COMPANY_ID")</f>
        <v>8393263</v>
      </c>
      <c r="L58" t="str">
        <f>_xll.SNL.Clients.Office.Excel.Functions.SPG(K58, "SP_COMPANY_TYPE")</f>
        <v>Government Institution</v>
      </c>
      <c r="M58" s="9" t="str">
        <f>_xll.SNL.Clients.Office.Excel.Functions.SPG(E58, "SP_ULT_PARENT_COMPANY_NAME")</f>
        <v>State-Owned Assets Supervision And Administration Commission Of Gansu Provincial</v>
      </c>
      <c r="N58" s="9" t="str">
        <f>_xll.SNL.Clients.Office.Excel.Functions.SPG(E58, "SP_ULT_PARENT_COUNTRY")</f>
        <v>China</v>
      </c>
      <c r="O58" s="9">
        <f>_xll.SNL.Clients.Office.Excel.Functions.SPG(E58, "SP_ULT_PARENT_COMPANY_ID")</f>
        <v>8393263</v>
      </c>
      <c r="P58" t="str">
        <f>_xll.SNL.Clients.Office.Excel.Functions.SPG(O58, "SP_COMPANY_TYPE")</f>
        <v>Government Institution</v>
      </c>
      <c r="Q58" s="11" t="str">
        <f>_xll.SNL.Clients.Office.Excel.Functions.SPG(E58, "SP_PCT_SHARES_OWNED_ALL_INSTITUTIONS")</f>
        <v>NA</v>
      </c>
      <c r="R58" s="11" t="str">
        <f>_xll.SNL.Clients.Office.Excel.Functions.SPG(E58, "PCT_OWNED_INSTN_BANKS/INVEST_BANKS")</f>
        <v>NA</v>
      </c>
      <c r="S58" s="11" t="str">
        <f>_xll.SNL.Clients.Office.Excel.Functions.SPG(E58, "PCT_OWNED_INSTN_CHARITABLE_FOUNDATIONS")</f>
        <v>NA</v>
      </c>
      <c r="T58" s="11" t="str">
        <f>_xll.SNL.Clients.Office.Excel.Functions.SPG(E58, "PCT_OWNED_INSTN_CORP_PENSION_SPONSORS")</f>
        <v>NA</v>
      </c>
      <c r="U58" s="11" t="str">
        <f>_xll.SNL.Clients.Office.Excel.Functions.SPG(E58, "PCT_OWNED_INSTN_EDUCATIONAL/CULTURAL_ENDOWMENTS")</f>
        <v>NA</v>
      </c>
      <c r="V58" s="11" t="str">
        <f>_xll.SNL.Clients.Office.Excel.Functions.SPG(E58, "PCT_OWNED_INSTN_FAMILY_OFFICES/TRUSTS")</f>
        <v>NA</v>
      </c>
      <c r="W58" s="11" t="str">
        <f>_xll.SNL.Clients.Office.Excel.Functions.SPG(E58, "PCT_OWNED_INSTN_GOVT_PENSION_SPONSORS")</f>
        <v>NA</v>
      </c>
      <c r="X58" s="11" t="str">
        <f>_xll.SNL.Clients.Office.Excel.Functions.SPG(E58, "PCT_OWNED_INSTN_INSURANCE_COMPANIES")</f>
        <v>NA</v>
      </c>
      <c r="Y58" s="11" t="str">
        <f>_xll.SNL.Clients.Office.Excel.Functions.SPG(E58, "PCT_OWNED_INSTN_INVEST_MGRS")</f>
        <v>NA</v>
      </c>
      <c r="Z58" s="11" t="str">
        <f>_xll.SNL.Clients.Office.Excel.Functions.SPG(E58, "PCT_OWNED_INSTN_REIT")</f>
        <v>NA</v>
      </c>
      <c r="AA58" s="11" t="str">
        <f>_xll.SNL.Clients.Office.Excel.Functions.SPG(E58, "PCT_OWNED_INSTN_UNCLASSIFIED")</f>
        <v>NA</v>
      </c>
      <c r="AB58" s="11" t="str">
        <f>_xll.SNL.Clients.Office.Excel.Functions.SPG(E58, "PCT_OWNED_INSTN_UNION_PENSION_SPONSORS")</f>
        <v>NA</v>
      </c>
      <c r="AC58" s="11" t="str">
        <f>_xll.SNL.Clients.Office.Excel.Functions.SPG(E58, "PCT_OWNED_INSTN_HEDGE_FUND_MGRS_LESS5PCT_STAKE")</f>
        <v>NA</v>
      </c>
      <c r="AD58" s="11" t="str">
        <f>_xll.SNL.Clients.Office.Excel.Functions.SPG(E58, "PCT_OWNED_INSTN_SOVEREIGN_WEALTH_FUNDS_LESS5PCT_STAKE")</f>
        <v>NA</v>
      </c>
      <c r="AE58" s="11" t="str">
        <f>_xll.SNL.Clients.Office.Excel.Functions.SPG(E58, "PCT_OWNED_INSTN_VC/PE_FIRMS_LESS5PCT_STAKE")</f>
        <v>NA</v>
      </c>
      <c r="AF58" s="11" t="str">
        <f>_xll.SNL.Clients.Office.Excel.Functions.SPG(E58, "PCT_OWNED_INSIDERS")</f>
        <v>NA</v>
      </c>
      <c r="AG58" s="11" t="str">
        <f>_xll.SNL.Clients.Office.Excel.Functions.SPG(E58, "PCT_OWNED_STRATEGIC_HEDGE_FUND_MGRS_MORE_EQUAL5PCT_STAKE")</f>
        <v>NA</v>
      </c>
      <c r="AH58" s="11" t="str">
        <f>_xll.SNL.Clients.Office.Excel.Functions.SPG(E58, "PCT_OWNED_STRATEGIC_VC/PE_FIRMS_MORE_EQUAL5PCT_STAKE")</f>
        <v>NA</v>
      </c>
      <c r="AI58" s="11" t="str">
        <f>_xll.SNL.Clients.Office.Excel.Functions.SPG(E58, "PCT_OWNED_STRATEGIC_SOVEREIGN_WEALTH_FUNDS_MORE_EQUAL5PCT_STAKE")</f>
        <v>NA</v>
      </c>
      <c r="AJ58" s="11" t="str">
        <f>_xll.SNL.Clients.Office.Excel.Functions.SPG(E58, "PCT_OWNED_STRATEGIC_COMPANY_CONTROLLED_FOUNDATIONS")</f>
        <v>NA</v>
      </c>
      <c r="AK58" s="11" t="str">
        <f>_xll.SNL.Clients.Office.Excel.Functions.SPG(E58, "PCT_OWNED_STRATEGIC_ESOP")</f>
        <v>NA</v>
      </c>
      <c r="AL58" s="11" t="str">
        <f>_xll.SNL.Clients.Office.Excel.Functions.SPG(E58, "PCT_OWNED_STRATEGIC_STATE_OWNER")</f>
        <v>NA</v>
      </c>
      <c r="AM58" s="11" t="str">
        <f>_xll.SNL.Clients.Office.Excel.Functions.SPG(E58, "PCT_OWNED_STRATEGIC_CORPORATIONS_PRIVATE")</f>
        <v>NA</v>
      </c>
      <c r="AN58" s="11" t="str">
        <f>_xll.SNL.Clients.Office.Excel.Functions.SPG(E58, "PCT_OWNED_STRATEGIC_CORPORATIONS_PUBLIC")</f>
        <v>NA</v>
      </c>
    </row>
    <row r="59" spans="1:40" x14ac:dyDescent="0.35">
      <c r="A59" s="5">
        <v>46022</v>
      </c>
      <c r="B59" s="4" t="s">
        <v>81</v>
      </c>
      <c r="C59" s="4" t="s">
        <v>82</v>
      </c>
      <c r="D59" s="4" t="s">
        <v>248</v>
      </c>
      <c r="E59" s="8">
        <v>4352229</v>
      </c>
      <c r="F59" s="7">
        <v>56.97</v>
      </c>
      <c r="G59" s="9" t="str">
        <f>_xll.SNL.Clients.Office.Excel.Functions.SPG(E59, "SP_COMPANY_TYPE")</f>
        <v>Public Company</v>
      </c>
      <c r="H59" s="10" t="str">
        <f>_xll.SNL.Clients.Office.Excel.Functions.SPG(E59, "SP_COUNTRY_NAME")</f>
        <v>China</v>
      </c>
      <c r="J59" t="str">
        <f>_xll.SNL.Clients.Office.Excel.Functions.SPG(E59, "SP_PARENT_COUNTRY")</f>
        <v>China</v>
      </c>
      <c r="K59" s="9" t="str">
        <f>_xll.SNL.Clients.Office.Excel.Functions.SPG(E59, "SP_PARENT_COMPANY_ID")</f>
        <v>6511866</v>
      </c>
      <c r="L59" t="str">
        <f>_xll.SNL.Clients.Office.Excel.Functions.SPG(K59, "SP_COMPANY_TYPE")</f>
        <v>Private Company</v>
      </c>
      <c r="M59" s="9" t="str">
        <f>_xll.SNL.Clients.Office.Excel.Functions.SPG(E59, "SP_ULT_PARENT_COMPANY_NAME")</f>
        <v>State-owned Assets Supervision and Administration Commission of the State Counci</v>
      </c>
      <c r="N59" s="9" t="str">
        <f>_xll.SNL.Clients.Office.Excel.Functions.SPG(E59, "SP_ULT_PARENT_COUNTRY")</f>
        <v>China</v>
      </c>
      <c r="O59" s="9">
        <f>_xll.SNL.Clients.Office.Excel.Functions.SPG(E59, "SP_ULT_PARENT_COMPANY_ID")</f>
        <v>4649432</v>
      </c>
      <c r="P59" t="str">
        <f>_xll.SNL.Clients.Office.Excel.Functions.SPG(O59, "SP_COMPANY_TYPE")</f>
        <v>Government Institution</v>
      </c>
      <c r="Q59" s="11">
        <f>_xll.SNL.Clients.Office.Excel.Functions.SPG(E59, "SP_PCT_SHARES_OWNED_ALL_INSTITUTIONS")</f>
        <v>11.77</v>
      </c>
      <c r="R59" s="11">
        <f>_xll.SNL.Clients.Office.Excel.Functions.SPG(E59, "PCT_OWNED_INSTN_BANKS/INVEST_BANKS")</f>
        <v>3.97</v>
      </c>
      <c r="S59" s="11" t="str">
        <f>_xll.SNL.Clients.Office.Excel.Functions.SPG(E59, "PCT_OWNED_INSTN_CHARITABLE_FOUNDATIONS")</f>
        <v>NA</v>
      </c>
      <c r="T59" s="11" t="str">
        <f>_xll.SNL.Clients.Office.Excel.Functions.SPG(E59, "PCT_OWNED_INSTN_CORP_PENSION_SPONSORS")</f>
        <v>NA</v>
      </c>
      <c r="U59" s="11" t="str">
        <f>_xll.SNL.Clients.Office.Excel.Functions.SPG(E59, "PCT_OWNED_INSTN_EDUCATIONAL/CULTURAL_ENDOWMENTS")</f>
        <v>NA</v>
      </c>
      <c r="V59" s="11" t="str">
        <f>_xll.SNL.Clients.Office.Excel.Functions.SPG(E59, "PCT_OWNED_INSTN_FAMILY_OFFICES/TRUSTS")</f>
        <v>NA</v>
      </c>
      <c r="W59" s="11" t="str">
        <f>_xll.SNL.Clients.Office.Excel.Functions.SPG(E59, "PCT_OWNED_INSTN_GOVT_PENSION_SPONSORS")</f>
        <v>NA</v>
      </c>
      <c r="X59" s="11" t="str">
        <f>_xll.SNL.Clients.Office.Excel.Functions.SPG(E59, "PCT_OWNED_INSTN_INSURANCE_COMPANIES")</f>
        <v>NA</v>
      </c>
      <c r="Y59" s="11">
        <f>_xll.SNL.Clients.Office.Excel.Functions.SPG(E59, "PCT_OWNED_INSTN_INVEST_MGRS")</f>
        <v>7.31</v>
      </c>
      <c r="Z59" s="11" t="str">
        <f>_xll.SNL.Clients.Office.Excel.Functions.SPG(E59, "PCT_OWNED_INSTN_REIT")</f>
        <v>NA</v>
      </c>
      <c r="AA59" s="11">
        <f>_xll.SNL.Clients.Office.Excel.Functions.SPG(E59, "PCT_OWNED_INSTN_UNCLASSIFIED")</f>
        <v>0</v>
      </c>
      <c r="AB59" s="11" t="str">
        <f>_xll.SNL.Clients.Office.Excel.Functions.SPG(E59, "PCT_OWNED_INSTN_UNION_PENSION_SPONSORS")</f>
        <v>NA</v>
      </c>
      <c r="AC59" s="11" t="str">
        <f>_xll.SNL.Clients.Office.Excel.Functions.SPG(E59, "PCT_OWNED_INSTN_HEDGE_FUND_MGRS_LESS5PCT_STAKE")</f>
        <v>NA</v>
      </c>
      <c r="AD59" s="11">
        <f>_xll.SNL.Clients.Office.Excel.Functions.SPG(E59, "PCT_OWNED_INSTN_SOVEREIGN_WEALTH_FUNDS_LESS5PCT_STAKE")</f>
        <v>0.48</v>
      </c>
      <c r="AE59" s="11" t="str">
        <f>_xll.SNL.Clients.Office.Excel.Functions.SPG(E59, "PCT_OWNED_INSTN_VC/PE_FIRMS_LESS5PCT_STAKE")</f>
        <v>NA</v>
      </c>
      <c r="AF59" s="11">
        <f>_xll.SNL.Clients.Office.Excel.Functions.SPG(E59, "PCT_OWNED_INSIDERS")</f>
        <v>0</v>
      </c>
      <c r="AG59" s="11" t="str">
        <f>_xll.SNL.Clients.Office.Excel.Functions.SPG(E59, "PCT_OWNED_STRATEGIC_HEDGE_FUND_MGRS_MORE_EQUAL5PCT_STAKE")</f>
        <v>NA</v>
      </c>
      <c r="AH59" s="11" t="str">
        <f>_xll.SNL.Clients.Office.Excel.Functions.SPG(E59, "PCT_OWNED_STRATEGIC_VC/PE_FIRMS_MORE_EQUAL5PCT_STAKE")</f>
        <v>NA</v>
      </c>
      <c r="AI59" s="11" t="str">
        <f>_xll.SNL.Clients.Office.Excel.Functions.SPG(E59, "PCT_OWNED_STRATEGIC_SOVEREIGN_WEALTH_FUNDS_MORE_EQUAL5PCT_STAKE")</f>
        <v>NA</v>
      </c>
      <c r="AJ59" s="11" t="str">
        <f>_xll.SNL.Clients.Office.Excel.Functions.SPG(E59, "PCT_OWNED_STRATEGIC_COMPANY_CONTROLLED_FOUNDATIONS")</f>
        <v>NA</v>
      </c>
      <c r="AK59" s="11" t="str">
        <f>_xll.SNL.Clients.Office.Excel.Functions.SPG(E59, "PCT_OWNED_STRATEGIC_ESOP")</f>
        <v>NA</v>
      </c>
      <c r="AL59" s="11" t="str">
        <f>_xll.SNL.Clients.Office.Excel.Functions.SPG(E59, "PCT_OWNED_STRATEGIC_STATE_OWNER")</f>
        <v>NA</v>
      </c>
      <c r="AM59" s="11">
        <f>_xll.SNL.Clients.Office.Excel.Functions.SPG(E59, "PCT_OWNED_STRATEGIC_CORPORATIONS_PRIVATE")</f>
        <v>55.1</v>
      </c>
      <c r="AN59" s="11" t="str">
        <f>_xll.SNL.Clients.Office.Excel.Functions.SPG(E59, "PCT_OWNED_STRATEGIC_CORPORATIONS_PUBLIC")</f>
        <v>NA</v>
      </c>
    </row>
    <row r="60" spans="1:40" hidden="1" x14ac:dyDescent="0.35">
      <c r="A60" s="5">
        <v>46022</v>
      </c>
      <c r="B60" s="4" t="s">
        <v>81</v>
      </c>
      <c r="C60" s="4" t="s">
        <v>82</v>
      </c>
      <c r="D60" s="4" t="s">
        <v>249</v>
      </c>
      <c r="E60" s="8">
        <v>4352437</v>
      </c>
      <c r="F60" s="7">
        <v>3.94</v>
      </c>
      <c r="G60" s="9" t="str">
        <f>_xll.SNL.Clients.Office.Excel.Functions.SPG(E60, "SP_COMPANY_TYPE")</f>
        <v>Private Company</v>
      </c>
      <c r="H60" s="10" t="str">
        <f>_xll.SNL.Clients.Office.Excel.Functions.SPG(E60, "SP_COUNTRY_NAME")</f>
        <v>Papua New Guinea</v>
      </c>
      <c r="J60" t="str">
        <f>_xll.SNL.Clients.Office.Excel.Functions.SPG(E60, "SP_PARENT_COUNTRY")</f>
        <v/>
      </c>
      <c r="K60" s="9" t="str">
        <f>_xll.SNL.Clients.Office.Excel.Functions.SPG(E60, "SP_PARENT_COMPANY_ID")</f>
        <v/>
      </c>
      <c r="L60" t="str">
        <f>_xll.SNL.Clients.Office.Excel.Functions.SPG(K60, "SP_COMPANY_TYPE")</f>
        <v>#INVALID COMPANY ID</v>
      </c>
      <c r="M60" s="9" t="str">
        <f>_xll.SNL.Clients.Office.Excel.Functions.SPG(E60, "SP_ULT_PARENT_COMPANY_NAME")</f>
        <v/>
      </c>
      <c r="N60" s="9" t="str">
        <f>_xll.SNL.Clients.Office.Excel.Functions.SPG(E60, "SP_ULT_PARENT_COUNTRY")</f>
        <v/>
      </c>
      <c r="O60" s="9" t="str">
        <f>_xll.SNL.Clients.Office.Excel.Functions.SPG(E60, "SP_ULT_PARENT_COMPANY_ID")</f>
        <v>NA</v>
      </c>
      <c r="P60" t="str">
        <f>_xll.SNL.Clients.Office.Excel.Functions.SPG(O60, "SP_COMPANY_TYPE")</f>
        <v>Public Company</v>
      </c>
      <c r="Q60" s="11" t="str">
        <f>_xll.SNL.Clients.Office.Excel.Functions.SPG(E60, "SP_PCT_SHARES_OWNED_ALL_INSTITUTIONS")</f>
        <v>NA</v>
      </c>
      <c r="R60" s="11" t="str">
        <f>_xll.SNL.Clients.Office.Excel.Functions.SPG(E60, "PCT_OWNED_INSTN_BANKS/INVEST_BANKS")</f>
        <v>NA</v>
      </c>
      <c r="S60" s="11" t="str">
        <f>_xll.SNL.Clients.Office.Excel.Functions.SPG(E60, "PCT_OWNED_INSTN_CHARITABLE_FOUNDATIONS")</f>
        <v>NA</v>
      </c>
      <c r="T60" s="11" t="str">
        <f>_xll.SNL.Clients.Office.Excel.Functions.SPG(E60, "PCT_OWNED_INSTN_CORP_PENSION_SPONSORS")</f>
        <v>NA</v>
      </c>
      <c r="U60" s="11" t="str">
        <f>_xll.SNL.Clients.Office.Excel.Functions.SPG(E60, "PCT_OWNED_INSTN_EDUCATIONAL/CULTURAL_ENDOWMENTS")</f>
        <v>NA</v>
      </c>
      <c r="V60" s="11" t="str">
        <f>_xll.SNL.Clients.Office.Excel.Functions.SPG(E60, "PCT_OWNED_INSTN_FAMILY_OFFICES/TRUSTS")</f>
        <v>NA</v>
      </c>
      <c r="W60" s="11" t="str">
        <f>_xll.SNL.Clients.Office.Excel.Functions.SPG(E60, "PCT_OWNED_INSTN_GOVT_PENSION_SPONSORS")</f>
        <v>NA</v>
      </c>
      <c r="X60" s="11" t="str">
        <f>_xll.SNL.Clients.Office.Excel.Functions.SPG(E60, "PCT_OWNED_INSTN_INSURANCE_COMPANIES")</f>
        <v>NA</v>
      </c>
      <c r="Y60" s="11" t="str">
        <f>_xll.SNL.Clients.Office.Excel.Functions.SPG(E60, "PCT_OWNED_INSTN_INVEST_MGRS")</f>
        <v>NA</v>
      </c>
      <c r="Z60" s="11" t="str">
        <f>_xll.SNL.Clients.Office.Excel.Functions.SPG(E60, "PCT_OWNED_INSTN_REIT")</f>
        <v>NA</v>
      </c>
      <c r="AA60" s="11" t="str">
        <f>_xll.SNL.Clients.Office.Excel.Functions.SPG(E60, "PCT_OWNED_INSTN_UNCLASSIFIED")</f>
        <v>NA</v>
      </c>
      <c r="AB60" s="11" t="str">
        <f>_xll.SNL.Clients.Office.Excel.Functions.SPG(E60, "PCT_OWNED_INSTN_UNION_PENSION_SPONSORS")</f>
        <v>NA</v>
      </c>
      <c r="AC60" s="11" t="str">
        <f>_xll.SNL.Clients.Office.Excel.Functions.SPG(E60, "PCT_OWNED_INSTN_HEDGE_FUND_MGRS_LESS5PCT_STAKE")</f>
        <v>NA</v>
      </c>
      <c r="AD60" s="11" t="str">
        <f>_xll.SNL.Clients.Office.Excel.Functions.SPG(E60, "PCT_OWNED_INSTN_SOVEREIGN_WEALTH_FUNDS_LESS5PCT_STAKE")</f>
        <v>NA</v>
      </c>
      <c r="AE60" s="11" t="str">
        <f>_xll.SNL.Clients.Office.Excel.Functions.SPG(E60, "PCT_OWNED_INSTN_VC/PE_FIRMS_LESS5PCT_STAKE")</f>
        <v>NA</v>
      </c>
      <c r="AF60" s="11" t="str">
        <f>_xll.SNL.Clients.Office.Excel.Functions.SPG(E60, "PCT_OWNED_INSIDERS")</f>
        <v>NA</v>
      </c>
      <c r="AG60" s="11" t="str">
        <f>_xll.SNL.Clients.Office.Excel.Functions.SPG(E60, "PCT_OWNED_STRATEGIC_HEDGE_FUND_MGRS_MORE_EQUAL5PCT_STAKE")</f>
        <v>NA</v>
      </c>
      <c r="AH60" s="11" t="str">
        <f>_xll.SNL.Clients.Office.Excel.Functions.SPG(E60, "PCT_OWNED_STRATEGIC_VC/PE_FIRMS_MORE_EQUAL5PCT_STAKE")</f>
        <v>NA</v>
      </c>
      <c r="AI60" s="11" t="str">
        <f>_xll.SNL.Clients.Office.Excel.Functions.SPG(E60, "PCT_OWNED_STRATEGIC_SOVEREIGN_WEALTH_FUNDS_MORE_EQUAL5PCT_STAKE")</f>
        <v>NA</v>
      </c>
      <c r="AJ60" s="11" t="str">
        <f>_xll.SNL.Clients.Office.Excel.Functions.SPG(E60, "PCT_OWNED_STRATEGIC_COMPANY_CONTROLLED_FOUNDATIONS")</f>
        <v>NA</v>
      </c>
      <c r="AK60" s="11" t="str">
        <f>_xll.SNL.Clients.Office.Excel.Functions.SPG(E60, "PCT_OWNED_STRATEGIC_ESOP")</f>
        <v>NA</v>
      </c>
      <c r="AL60" s="11" t="str">
        <f>_xll.SNL.Clients.Office.Excel.Functions.SPG(E60, "PCT_OWNED_STRATEGIC_STATE_OWNER")</f>
        <v>NA</v>
      </c>
      <c r="AM60" s="11" t="str">
        <f>_xll.SNL.Clients.Office.Excel.Functions.SPG(E60, "PCT_OWNED_STRATEGIC_CORPORATIONS_PRIVATE")</f>
        <v>NA</v>
      </c>
      <c r="AN60" s="11" t="str">
        <f>_xll.SNL.Clients.Office.Excel.Functions.SPG(E60, "PCT_OWNED_STRATEGIC_CORPORATIONS_PUBLIC")</f>
        <v>NA</v>
      </c>
    </row>
    <row r="61" spans="1:40" x14ac:dyDescent="0.35">
      <c r="A61" s="5">
        <v>46022</v>
      </c>
      <c r="B61" s="4" t="s">
        <v>81</v>
      </c>
      <c r="C61" s="4" t="s">
        <v>82</v>
      </c>
      <c r="D61" s="4" t="s">
        <v>250</v>
      </c>
      <c r="E61" s="8">
        <v>19394423</v>
      </c>
      <c r="F61" s="7">
        <v>8.56</v>
      </c>
      <c r="G61" s="9" t="str">
        <f>_xll.SNL.Clients.Office.Excel.Functions.SPG(E61, "SP_COMPANY_TYPE")</f>
        <v>Public Company</v>
      </c>
      <c r="H61" s="10" t="str">
        <f>_xll.SNL.Clients.Office.Excel.Functions.SPG(E61, "SP_COUNTRY_NAME")</f>
        <v>Canada</v>
      </c>
      <c r="J61" t="str">
        <f>_xll.SNL.Clients.Office.Excel.Functions.SPG(E61, "SP_PARENT_COUNTRY")</f>
        <v/>
      </c>
      <c r="K61" s="9" t="str">
        <f>_xll.SNL.Clients.Office.Excel.Functions.SPG(E61, "SP_PARENT_COMPANY_ID")</f>
        <v/>
      </c>
      <c r="L61" t="str">
        <f>_xll.SNL.Clients.Office.Excel.Functions.SPG(K61, "SP_COMPANY_TYPE")</f>
        <v>#INVALID COMPANY ID</v>
      </c>
      <c r="M61" s="9" t="str">
        <f>_xll.SNL.Clients.Office.Excel.Functions.SPG(E61, "SP_ULT_PARENT_COMPANY_NAME")</f>
        <v/>
      </c>
      <c r="N61" s="9" t="str">
        <f>_xll.SNL.Clients.Office.Excel.Functions.SPG(E61, "SP_ULT_PARENT_COUNTRY")</f>
        <v/>
      </c>
      <c r="O61" s="9" t="str">
        <f>_xll.SNL.Clients.Office.Excel.Functions.SPG(E61, "SP_ULT_PARENT_COMPANY_ID")</f>
        <v>NA</v>
      </c>
      <c r="P61" t="str">
        <f>_xll.SNL.Clients.Office.Excel.Functions.SPG(O61, "SP_COMPANY_TYPE")</f>
        <v>Public Company</v>
      </c>
      <c r="Q61" s="11">
        <f>_xll.SNL.Clients.Office.Excel.Functions.SPG(E61, "SP_PCT_SHARES_OWNED_ALL_INSTITUTIONS")</f>
        <v>0.43</v>
      </c>
      <c r="R61" s="11" t="str">
        <f>_xll.SNL.Clients.Office.Excel.Functions.SPG(E61, "PCT_OWNED_INSTN_BANKS/INVEST_BANKS")</f>
        <v>NA</v>
      </c>
      <c r="S61" s="11" t="str">
        <f>_xll.SNL.Clients.Office.Excel.Functions.SPG(E61, "PCT_OWNED_INSTN_CHARITABLE_FOUNDATIONS")</f>
        <v>NA</v>
      </c>
      <c r="T61" s="11" t="str">
        <f>_xll.SNL.Clients.Office.Excel.Functions.SPG(E61, "PCT_OWNED_INSTN_CORP_PENSION_SPONSORS")</f>
        <v>NA</v>
      </c>
      <c r="U61" s="11" t="str">
        <f>_xll.SNL.Clients.Office.Excel.Functions.SPG(E61, "PCT_OWNED_INSTN_EDUCATIONAL/CULTURAL_ENDOWMENTS")</f>
        <v>NA</v>
      </c>
      <c r="V61" s="11" t="str">
        <f>_xll.SNL.Clients.Office.Excel.Functions.SPG(E61, "PCT_OWNED_INSTN_FAMILY_OFFICES/TRUSTS")</f>
        <v>NA</v>
      </c>
      <c r="W61" s="11" t="str">
        <f>_xll.SNL.Clients.Office.Excel.Functions.SPG(E61, "PCT_OWNED_INSTN_GOVT_PENSION_SPONSORS")</f>
        <v>NA</v>
      </c>
      <c r="X61" s="11" t="str">
        <f>_xll.SNL.Clients.Office.Excel.Functions.SPG(E61, "PCT_OWNED_INSTN_INSURANCE_COMPANIES")</f>
        <v>NA</v>
      </c>
      <c r="Y61" s="11">
        <f>_xll.SNL.Clients.Office.Excel.Functions.SPG(E61, "PCT_OWNED_INSTN_INVEST_MGRS")</f>
        <v>0.43</v>
      </c>
      <c r="Z61" s="11" t="str">
        <f>_xll.SNL.Clients.Office.Excel.Functions.SPG(E61, "PCT_OWNED_INSTN_REIT")</f>
        <v>NA</v>
      </c>
      <c r="AA61" s="11" t="str">
        <f>_xll.SNL.Clients.Office.Excel.Functions.SPG(E61, "PCT_OWNED_INSTN_UNCLASSIFIED")</f>
        <v>NA</v>
      </c>
      <c r="AB61" s="11" t="str">
        <f>_xll.SNL.Clients.Office.Excel.Functions.SPG(E61, "PCT_OWNED_INSTN_UNION_PENSION_SPONSORS")</f>
        <v>NA</v>
      </c>
      <c r="AC61" s="11" t="str">
        <f>_xll.SNL.Clients.Office.Excel.Functions.SPG(E61, "PCT_OWNED_INSTN_HEDGE_FUND_MGRS_LESS5PCT_STAKE")</f>
        <v>NA</v>
      </c>
      <c r="AD61" s="11" t="str">
        <f>_xll.SNL.Clients.Office.Excel.Functions.SPG(E61, "PCT_OWNED_INSTN_SOVEREIGN_WEALTH_FUNDS_LESS5PCT_STAKE")</f>
        <v>NA</v>
      </c>
      <c r="AE61" s="11" t="str">
        <f>_xll.SNL.Clients.Office.Excel.Functions.SPG(E61, "PCT_OWNED_INSTN_VC/PE_FIRMS_LESS5PCT_STAKE")</f>
        <v>NA</v>
      </c>
      <c r="AF61" s="11">
        <f>_xll.SNL.Clients.Office.Excel.Functions.SPG(E61, "PCT_OWNED_INSIDERS")</f>
        <v>1.79</v>
      </c>
      <c r="AG61" s="11">
        <f>_xll.SNL.Clients.Office.Excel.Functions.SPG(E61, "PCT_OWNED_STRATEGIC_HEDGE_FUND_MGRS_MORE_EQUAL5PCT_STAKE")</f>
        <v>17.39</v>
      </c>
      <c r="AH61" s="11" t="str">
        <f>_xll.SNL.Clients.Office.Excel.Functions.SPG(E61, "PCT_OWNED_STRATEGIC_VC/PE_FIRMS_MORE_EQUAL5PCT_STAKE")</f>
        <v>NA</v>
      </c>
      <c r="AI61" s="11" t="str">
        <f>_xll.SNL.Clients.Office.Excel.Functions.SPG(E61, "PCT_OWNED_STRATEGIC_SOVEREIGN_WEALTH_FUNDS_MORE_EQUAL5PCT_STAKE")</f>
        <v>NA</v>
      </c>
      <c r="AJ61" s="11" t="str">
        <f>_xll.SNL.Clients.Office.Excel.Functions.SPG(E61, "PCT_OWNED_STRATEGIC_COMPANY_CONTROLLED_FOUNDATIONS")</f>
        <v>NA</v>
      </c>
      <c r="AK61" s="11" t="str">
        <f>_xll.SNL.Clients.Office.Excel.Functions.SPG(E61, "PCT_OWNED_STRATEGIC_ESOP")</f>
        <v>NA</v>
      </c>
      <c r="AL61" s="11" t="str">
        <f>_xll.SNL.Clients.Office.Excel.Functions.SPG(E61, "PCT_OWNED_STRATEGIC_STATE_OWNER")</f>
        <v>NA</v>
      </c>
      <c r="AM61" s="11" t="str">
        <f>_xll.SNL.Clients.Office.Excel.Functions.SPG(E61, "PCT_OWNED_STRATEGIC_CORPORATIONS_PRIVATE")</f>
        <v>NA</v>
      </c>
      <c r="AN61" s="11" t="str">
        <f>_xll.SNL.Clients.Office.Excel.Functions.SPG(E61, "PCT_OWNED_STRATEGIC_CORPORATIONS_PUBLIC")</f>
        <v>NA</v>
      </c>
    </row>
    <row r="62" spans="1:40" hidden="1" x14ac:dyDescent="0.35">
      <c r="A62" s="5">
        <v>46022</v>
      </c>
      <c r="B62" s="4" t="s">
        <v>81</v>
      </c>
      <c r="C62" s="4" t="s">
        <v>82</v>
      </c>
      <c r="D62" s="4" t="s">
        <v>229</v>
      </c>
      <c r="E62" s="8">
        <v>4353456</v>
      </c>
      <c r="F62" s="7">
        <v>2.5</v>
      </c>
      <c r="G62" s="9" t="str">
        <f>_xll.SNL.Clients.Office.Excel.Functions.SPG(E62, "SP_COMPANY_TYPE")</f>
        <v>Private Company</v>
      </c>
      <c r="H62" s="10" t="str">
        <f>_xll.SNL.Clients.Office.Excel.Functions.SPG(E62, "SP_COUNTRY_NAME")</f>
        <v>China</v>
      </c>
      <c r="J62" t="str">
        <f>_xll.SNL.Clients.Office.Excel.Functions.SPG(E62, "SP_PARENT_COUNTRY")</f>
        <v/>
      </c>
      <c r="K62" s="9" t="str">
        <f>_xll.SNL.Clients.Office.Excel.Functions.SPG(E62, "SP_PARENT_COMPANY_ID")</f>
        <v/>
      </c>
      <c r="L62" t="str">
        <f>_xll.SNL.Clients.Office.Excel.Functions.SPG(K62, "SP_COMPANY_TYPE")</f>
        <v>#INVALID COMPANY ID</v>
      </c>
      <c r="M62" s="9" t="str">
        <f>_xll.SNL.Clients.Office.Excel.Functions.SPG(E62, "SP_ULT_PARENT_COMPANY_NAME")</f>
        <v/>
      </c>
      <c r="N62" s="9" t="str">
        <f>_xll.SNL.Clients.Office.Excel.Functions.SPG(E62, "SP_ULT_PARENT_COUNTRY")</f>
        <v/>
      </c>
      <c r="O62" s="9" t="str">
        <f>_xll.SNL.Clients.Office.Excel.Functions.SPG(E62, "SP_ULT_PARENT_COMPANY_ID")</f>
        <v>NA</v>
      </c>
      <c r="P62" t="str">
        <f>_xll.SNL.Clients.Office.Excel.Functions.SPG(O62, "SP_COMPANY_TYPE")</f>
        <v>Public Company</v>
      </c>
      <c r="Q62" s="11" t="str">
        <f>_xll.SNL.Clients.Office.Excel.Functions.SPG(E62, "SP_PCT_SHARES_OWNED_ALL_INSTITUTIONS")</f>
        <v>NA</v>
      </c>
      <c r="R62" s="11" t="str">
        <f>_xll.SNL.Clients.Office.Excel.Functions.SPG(E62, "PCT_OWNED_INSTN_BANKS/INVEST_BANKS")</f>
        <v>NA</v>
      </c>
      <c r="S62" s="11" t="str">
        <f>_xll.SNL.Clients.Office.Excel.Functions.SPG(E62, "PCT_OWNED_INSTN_CHARITABLE_FOUNDATIONS")</f>
        <v>NA</v>
      </c>
      <c r="T62" s="11" t="str">
        <f>_xll.SNL.Clients.Office.Excel.Functions.SPG(E62, "PCT_OWNED_INSTN_CORP_PENSION_SPONSORS")</f>
        <v>NA</v>
      </c>
      <c r="U62" s="11" t="str">
        <f>_xll.SNL.Clients.Office.Excel.Functions.SPG(E62, "PCT_OWNED_INSTN_EDUCATIONAL/CULTURAL_ENDOWMENTS")</f>
        <v>NA</v>
      </c>
      <c r="V62" s="11" t="str">
        <f>_xll.SNL.Clients.Office.Excel.Functions.SPG(E62, "PCT_OWNED_INSTN_FAMILY_OFFICES/TRUSTS")</f>
        <v>NA</v>
      </c>
      <c r="W62" s="11" t="str">
        <f>_xll.SNL.Clients.Office.Excel.Functions.SPG(E62, "PCT_OWNED_INSTN_GOVT_PENSION_SPONSORS")</f>
        <v>NA</v>
      </c>
      <c r="X62" s="11" t="str">
        <f>_xll.SNL.Clients.Office.Excel.Functions.SPG(E62, "PCT_OWNED_INSTN_INSURANCE_COMPANIES")</f>
        <v>NA</v>
      </c>
      <c r="Y62" s="11" t="str">
        <f>_xll.SNL.Clients.Office.Excel.Functions.SPG(E62, "PCT_OWNED_INSTN_INVEST_MGRS")</f>
        <v>NA</v>
      </c>
      <c r="Z62" s="11" t="str">
        <f>_xll.SNL.Clients.Office.Excel.Functions.SPG(E62, "PCT_OWNED_INSTN_REIT")</f>
        <v>NA</v>
      </c>
      <c r="AA62" s="11" t="str">
        <f>_xll.SNL.Clients.Office.Excel.Functions.SPG(E62, "PCT_OWNED_INSTN_UNCLASSIFIED")</f>
        <v>NA</v>
      </c>
      <c r="AB62" s="11" t="str">
        <f>_xll.SNL.Clients.Office.Excel.Functions.SPG(E62, "PCT_OWNED_INSTN_UNION_PENSION_SPONSORS")</f>
        <v>NA</v>
      </c>
      <c r="AC62" s="11" t="str">
        <f>_xll.SNL.Clients.Office.Excel.Functions.SPG(E62, "PCT_OWNED_INSTN_HEDGE_FUND_MGRS_LESS5PCT_STAKE")</f>
        <v>NA</v>
      </c>
      <c r="AD62" s="11" t="str">
        <f>_xll.SNL.Clients.Office.Excel.Functions.SPG(E62, "PCT_OWNED_INSTN_SOVEREIGN_WEALTH_FUNDS_LESS5PCT_STAKE")</f>
        <v>NA</v>
      </c>
      <c r="AE62" s="11" t="str">
        <f>_xll.SNL.Clients.Office.Excel.Functions.SPG(E62, "PCT_OWNED_INSTN_VC/PE_FIRMS_LESS5PCT_STAKE")</f>
        <v>NA</v>
      </c>
      <c r="AF62" s="11" t="str">
        <f>_xll.SNL.Clients.Office.Excel.Functions.SPG(E62, "PCT_OWNED_INSIDERS")</f>
        <v>NA</v>
      </c>
      <c r="AG62" s="11" t="str">
        <f>_xll.SNL.Clients.Office.Excel.Functions.SPG(E62, "PCT_OWNED_STRATEGIC_HEDGE_FUND_MGRS_MORE_EQUAL5PCT_STAKE")</f>
        <v>NA</v>
      </c>
      <c r="AH62" s="11" t="str">
        <f>_xll.SNL.Clients.Office.Excel.Functions.SPG(E62, "PCT_OWNED_STRATEGIC_VC/PE_FIRMS_MORE_EQUAL5PCT_STAKE")</f>
        <v>NA</v>
      </c>
      <c r="AI62" s="11" t="str">
        <f>_xll.SNL.Clients.Office.Excel.Functions.SPG(E62, "PCT_OWNED_STRATEGIC_SOVEREIGN_WEALTH_FUNDS_MORE_EQUAL5PCT_STAKE")</f>
        <v>NA</v>
      </c>
      <c r="AJ62" s="11" t="str">
        <f>_xll.SNL.Clients.Office.Excel.Functions.SPG(E62, "PCT_OWNED_STRATEGIC_COMPANY_CONTROLLED_FOUNDATIONS")</f>
        <v>NA</v>
      </c>
      <c r="AK62" s="11" t="str">
        <f>_xll.SNL.Clients.Office.Excel.Functions.SPG(E62, "PCT_OWNED_STRATEGIC_ESOP")</f>
        <v>NA</v>
      </c>
      <c r="AL62" s="11" t="str">
        <f>_xll.SNL.Clients.Office.Excel.Functions.SPG(E62, "PCT_OWNED_STRATEGIC_STATE_OWNER")</f>
        <v>NA</v>
      </c>
      <c r="AM62" s="11" t="str">
        <f>_xll.SNL.Clients.Office.Excel.Functions.SPG(E62, "PCT_OWNED_STRATEGIC_CORPORATIONS_PRIVATE")</f>
        <v>NA</v>
      </c>
      <c r="AN62" s="11" t="str">
        <f>_xll.SNL.Clients.Office.Excel.Functions.SPG(E62, "PCT_OWNED_STRATEGIC_CORPORATIONS_PUBLIC")</f>
        <v>NA</v>
      </c>
    </row>
    <row r="63" spans="1:40" x14ac:dyDescent="0.35">
      <c r="A63" s="5">
        <v>46022</v>
      </c>
      <c r="B63" s="4" t="s">
        <v>126</v>
      </c>
      <c r="C63" s="4" t="s">
        <v>127</v>
      </c>
      <c r="D63" s="4" t="s">
        <v>251</v>
      </c>
      <c r="E63" s="8">
        <v>4352804</v>
      </c>
      <c r="F63" s="7">
        <v>60</v>
      </c>
      <c r="G63" s="9" t="str">
        <f>_xll.SNL.Clients.Office.Excel.Functions.SPG(E63, "SP_COMPANY_TYPE")</f>
        <v>Public Company</v>
      </c>
      <c r="H63" s="10" t="str">
        <f>_xll.SNL.Clients.Office.Excel.Functions.SPG(E63, "SP_COUNTRY_NAME")</f>
        <v>Philippines</v>
      </c>
      <c r="J63" t="str">
        <f>_xll.SNL.Clients.Office.Excel.Functions.SPG(E63, "SP_PARENT_COUNTRY")</f>
        <v/>
      </c>
      <c r="K63" s="9" t="str">
        <f>_xll.SNL.Clients.Office.Excel.Functions.SPG(E63, "SP_PARENT_COMPANY_ID")</f>
        <v/>
      </c>
      <c r="L63" t="str">
        <f>_xll.SNL.Clients.Office.Excel.Functions.SPG(K63, "SP_COMPANY_TYPE")</f>
        <v>#INVALID COMPANY ID</v>
      </c>
      <c r="M63" s="9" t="str">
        <f>_xll.SNL.Clients.Office.Excel.Functions.SPG(E63, "SP_ULT_PARENT_COMPANY_NAME")</f>
        <v/>
      </c>
      <c r="N63" s="9" t="str">
        <f>_xll.SNL.Clients.Office.Excel.Functions.SPG(E63, "SP_ULT_PARENT_COUNTRY")</f>
        <v/>
      </c>
      <c r="O63" s="9" t="str">
        <f>_xll.SNL.Clients.Office.Excel.Functions.SPG(E63, "SP_ULT_PARENT_COMPANY_ID")</f>
        <v>NA</v>
      </c>
      <c r="P63" t="str">
        <f>_xll.SNL.Clients.Office.Excel.Functions.SPG(O63, "SP_COMPANY_TYPE")</f>
        <v>Public Company</v>
      </c>
      <c r="Q63" s="11">
        <f>_xll.SNL.Clients.Office.Excel.Functions.SPG(E63, "SP_PCT_SHARES_OWNED_ALL_INSTITUTIONS")</f>
        <v>17.02</v>
      </c>
      <c r="R63" s="11">
        <f>_xll.SNL.Clients.Office.Excel.Functions.SPG(E63, "PCT_OWNED_INSTN_BANKS/INVEST_BANKS")</f>
        <v>13.14</v>
      </c>
      <c r="S63" s="11" t="str">
        <f>_xll.SNL.Clients.Office.Excel.Functions.SPG(E63, "PCT_OWNED_INSTN_CHARITABLE_FOUNDATIONS")</f>
        <v>NA</v>
      </c>
      <c r="T63" s="11" t="str">
        <f>_xll.SNL.Clients.Office.Excel.Functions.SPG(E63, "PCT_OWNED_INSTN_CORP_PENSION_SPONSORS")</f>
        <v>NA</v>
      </c>
      <c r="U63" s="11" t="str">
        <f>_xll.SNL.Clients.Office.Excel.Functions.SPG(E63, "PCT_OWNED_INSTN_EDUCATIONAL/CULTURAL_ENDOWMENTS")</f>
        <v>NA</v>
      </c>
      <c r="V63" s="11" t="str">
        <f>_xll.SNL.Clients.Office.Excel.Functions.SPG(E63, "PCT_OWNED_INSTN_FAMILY_OFFICES/TRUSTS")</f>
        <v>NA</v>
      </c>
      <c r="W63" s="11" t="str">
        <f>_xll.SNL.Clients.Office.Excel.Functions.SPG(E63, "PCT_OWNED_INSTN_GOVT_PENSION_SPONSORS")</f>
        <v>NA</v>
      </c>
      <c r="X63" s="11" t="str">
        <f>_xll.SNL.Clients.Office.Excel.Functions.SPG(E63, "PCT_OWNED_INSTN_INSURANCE_COMPANIES")</f>
        <v>NA</v>
      </c>
      <c r="Y63" s="11">
        <f>_xll.SNL.Clients.Office.Excel.Functions.SPG(E63, "PCT_OWNED_INSTN_INVEST_MGRS")</f>
        <v>0.81</v>
      </c>
      <c r="Z63" s="11" t="str">
        <f>_xll.SNL.Clients.Office.Excel.Functions.SPG(E63, "PCT_OWNED_INSTN_REIT")</f>
        <v>NA</v>
      </c>
      <c r="AA63" s="11" t="str">
        <f>_xll.SNL.Clients.Office.Excel.Functions.SPG(E63, "PCT_OWNED_INSTN_UNCLASSIFIED")</f>
        <v>NA</v>
      </c>
      <c r="AB63" s="11" t="str">
        <f>_xll.SNL.Clients.Office.Excel.Functions.SPG(E63, "PCT_OWNED_INSTN_UNION_PENSION_SPONSORS")</f>
        <v>NA</v>
      </c>
      <c r="AC63" s="11" t="str">
        <f>_xll.SNL.Clients.Office.Excel.Functions.SPG(E63, "PCT_OWNED_INSTN_HEDGE_FUND_MGRS_LESS5PCT_STAKE")</f>
        <v>NA</v>
      </c>
      <c r="AD63" s="11">
        <f>_xll.SNL.Clients.Office.Excel.Functions.SPG(E63, "PCT_OWNED_INSTN_SOVEREIGN_WEALTH_FUNDS_LESS5PCT_STAKE")</f>
        <v>3.06</v>
      </c>
      <c r="AE63" s="11" t="str">
        <f>_xll.SNL.Clients.Office.Excel.Functions.SPG(E63, "PCT_OWNED_INSTN_VC/PE_FIRMS_LESS5PCT_STAKE")</f>
        <v>NA</v>
      </c>
      <c r="AF63" s="11">
        <f>_xll.SNL.Clients.Office.Excel.Functions.SPG(E63, "PCT_OWNED_INSIDERS")</f>
        <v>8.84</v>
      </c>
      <c r="AG63" s="11" t="str">
        <f>_xll.SNL.Clients.Office.Excel.Functions.SPG(E63, "PCT_OWNED_STRATEGIC_HEDGE_FUND_MGRS_MORE_EQUAL5PCT_STAKE")</f>
        <v>NA</v>
      </c>
      <c r="AH63" s="11" t="str">
        <f>_xll.SNL.Clients.Office.Excel.Functions.SPG(E63, "PCT_OWNED_STRATEGIC_VC/PE_FIRMS_MORE_EQUAL5PCT_STAKE")</f>
        <v>NA</v>
      </c>
      <c r="AI63" s="11" t="str">
        <f>_xll.SNL.Clients.Office.Excel.Functions.SPG(E63, "PCT_OWNED_STRATEGIC_SOVEREIGN_WEALTH_FUNDS_MORE_EQUAL5PCT_STAKE")</f>
        <v>NA</v>
      </c>
      <c r="AJ63" s="11" t="str">
        <f>_xll.SNL.Clients.Office.Excel.Functions.SPG(E63, "PCT_OWNED_STRATEGIC_COMPANY_CONTROLLED_FOUNDATIONS")</f>
        <v>NA</v>
      </c>
      <c r="AK63" s="11" t="str">
        <f>_xll.SNL.Clients.Office.Excel.Functions.SPG(E63, "PCT_OWNED_STRATEGIC_ESOP")</f>
        <v>NA</v>
      </c>
      <c r="AL63" s="11" t="str">
        <f>_xll.SNL.Clients.Office.Excel.Functions.SPG(E63, "PCT_OWNED_STRATEGIC_STATE_OWNER")</f>
        <v>NA</v>
      </c>
      <c r="AM63" s="11">
        <f>_xll.SNL.Clients.Office.Excel.Functions.SPG(E63, "PCT_OWNED_STRATEGIC_CORPORATIONS_PRIVATE")</f>
        <v>25.63</v>
      </c>
      <c r="AN63" s="11">
        <f>_xll.SNL.Clients.Office.Excel.Functions.SPG(E63, "PCT_OWNED_STRATEGIC_CORPORATIONS_PUBLIC")</f>
        <v>25.94</v>
      </c>
    </row>
    <row r="64" spans="1:40" x14ac:dyDescent="0.35">
      <c r="A64" s="5">
        <v>46022</v>
      </c>
      <c r="B64" s="4" t="s">
        <v>126</v>
      </c>
      <c r="C64" s="4" t="s">
        <v>127</v>
      </c>
      <c r="D64" s="4" t="s">
        <v>252</v>
      </c>
      <c r="E64" s="8">
        <v>4557435</v>
      </c>
      <c r="F64" s="7">
        <v>36</v>
      </c>
      <c r="G64" s="9" t="str">
        <f>_xll.SNL.Clients.Office.Excel.Functions.SPG(E64, "SP_COMPANY_TYPE")</f>
        <v>Public Company</v>
      </c>
      <c r="H64" s="10" t="str">
        <f>_xll.SNL.Clients.Office.Excel.Functions.SPG(E64, "SP_COUNTRY_NAME")</f>
        <v>Japan</v>
      </c>
      <c r="J64" t="str">
        <f>_xll.SNL.Clients.Office.Excel.Functions.SPG(E64, "SP_PARENT_COUNTRY")</f>
        <v/>
      </c>
      <c r="K64" s="9" t="str">
        <f>_xll.SNL.Clients.Office.Excel.Functions.SPG(E64, "SP_PARENT_COMPANY_ID")</f>
        <v/>
      </c>
      <c r="L64" t="str">
        <f>_xll.SNL.Clients.Office.Excel.Functions.SPG(K64, "SP_COMPANY_TYPE")</f>
        <v>#INVALID COMPANY ID</v>
      </c>
      <c r="M64" s="9" t="str">
        <f>_xll.SNL.Clients.Office.Excel.Functions.SPG(E64, "SP_ULT_PARENT_COMPANY_NAME")</f>
        <v/>
      </c>
      <c r="N64" s="9" t="str">
        <f>_xll.SNL.Clients.Office.Excel.Functions.SPG(E64, "SP_ULT_PARENT_COUNTRY")</f>
        <v/>
      </c>
      <c r="O64" s="9" t="str">
        <f>_xll.SNL.Clients.Office.Excel.Functions.SPG(E64, "SP_ULT_PARENT_COMPANY_ID")</f>
        <v>NA</v>
      </c>
      <c r="P64" t="str">
        <f>_xll.SNL.Clients.Office.Excel.Functions.SPG(O64, "SP_COMPANY_TYPE")</f>
        <v>Public Company</v>
      </c>
      <c r="Q64" s="11">
        <f>_xll.SNL.Clients.Office.Excel.Functions.SPG(E64, "SP_PCT_SHARES_OWNED_ALL_INSTITUTIONS")</f>
        <v>16.5</v>
      </c>
      <c r="R64" s="11">
        <f>_xll.SNL.Clients.Office.Excel.Functions.SPG(E64, "PCT_OWNED_INSTN_BANKS/INVEST_BANKS")</f>
        <v>-7.84</v>
      </c>
      <c r="S64" s="11" t="str">
        <f>_xll.SNL.Clients.Office.Excel.Functions.SPG(E64, "PCT_OWNED_INSTN_CHARITABLE_FOUNDATIONS")</f>
        <v>NA</v>
      </c>
      <c r="T64" s="11" t="str">
        <f>_xll.SNL.Clients.Office.Excel.Functions.SPG(E64, "PCT_OWNED_INSTN_CORP_PENSION_SPONSORS")</f>
        <v>NA</v>
      </c>
      <c r="U64" s="11" t="str">
        <f>_xll.SNL.Clients.Office.Excel.Functions.SPG(E64, "PCT_OWNED_INSTN_EDUCATIONAL/CULTURAL_ENDOWMENTS")</f>
        <v>NA</v>
      </c>
      <c r="V64" s="11" t="str">
        <f>_xll.SNL.Clients.Office.Excel.Functions.SPG(E64, "PCT_OWNED_INSTN_FAMILY_OFFICES/TRUSTS")</f>
        <v>NA</v>
      </c>
      <c r="W64" s="11" t="str">
        <f>_xll.SNL.Clients.Office.Excel.Functions.SPG(E64, "PCT_OWNED_INSTN_GOVT_PENSION_SPONSORS")</f>
        <v>NA</v>
      </c>
      <c r="X64" s="11" t="str">
        <f>_xll.SNL.Clients.Office.Excel.Functions.SPG(E64, "PCT_OWNED_INSTN_INSURANCE_COMPANIES")</f>
        <v>NA</v>
      </c>
      <c r="Y64" s="11">
        <f>_xll.SNL.Clients.Office.Excel.Functions.SPG(E64, "PCT_OWNED_INSTN_INVEST_MGRS")</f>
        <v>20.47</v>
      </c>
      <c r="Z64" s="11" t="str">
        <f>_xll.SNL.Clients.Office.Excel.Functions.SPG(E64, "PCT_OWNED_INSTN_REIT")</f>
        <v>NA</v>
      </c>
      <c r="AA64" s="11">
        <f>_xll.SNL.Clients.Office.Excel.Functions.SPG(E64, "PCT_OWNED_INSTN_UNCLASSIFIED")</f>
        <v>1.48</v>
      </c>
      <c r="AB64" s="11" t="str">
        <f>_xll.SNL.Clients.Office.Excel.Functions.SPG(E64, "PCT_OWNED_INSTN_UNION_PENSION_SPONSORS")</f>
        <v>NA</v>
      </c>
      <c r="AC64" s="11">
        <f>_xll.SNL.Clients.Office.Excel.Functions.SPG(E64, "PCT_OWNED_INSTN_HEDGE_FUND_MGRS_LESS5PCT_STAKE")</f>
        <v>2.39</v>
      </c>
      <c r="AD64" s="11" t="str">
        <f>_xll.SNL.Clients.Office.Excel.Functions.SPG(E64, "PCT_OWNED_INSTN_SOVEREIGN_WEALTH_FUNDS_LESS5PCT_STAKE")</f>
        <v>NA</v>
      </c>
      <c r="AE64" s="11" t="str">
        <f>_xll.SNL.Clients.Office.Excel.Functions.SPG(E64, "PCT_OWNED_INSTN_VC/PE_FIRMS_LESS5PCT_STAKE")</f>
        <v>NA</v>
      </c>
      <c r="AF64" s="11">
        <f>_xll.SNL.Clients.Office.Excel.Functions.SPG(E64, "PCT_OWNED_INSIDERS")</f>
        <v>0.22</v>
      </c>
      <c r="AG64" s="11" t="str">
        <f>_xll.SNL.Clients.Office.Excel.Functions.SPG(E64, "PCT_OWNED_STRATEGIC_HEDGE_FUND_MGRS_MORE_EQUAL5PCT_STAKE")</f>
        <v>NA</v>
      </c>
      <c r="AH64" s="11" t="str">
        <f>_xll.SNL.Clients.Office.Excel.Functions.SPG(E64, "PCT_OWNED_STRATEGIC_VC/PE_FIRMS_MORE_EQUAL5PCT_STAKE")</f>
        <v>NA</v>
      </c>
      <c r="AI64" s="11" t="str">
        <f>_xll.SNL.Clients.Office.Excel.Functions.SPG(E64, "PCT_OWNED_STRATEGIC_SOVEREIGN_WEALTH_FUNDS_MORE_EQUAL5PCT_STAKE")</f>
        <v>NA</v>
      </c>
      <c r="AJ64" s="11" t="str">
        <f>_xll.SNL.Clients.Office.Excel.Functions.SPG(E64, "PCT_OWNED_STRATEGIC_COMPANY_CONTROLLED_FOUNDATIONS")</f>
        <v>NA</v>
      </c>
      <c r="AK64" s="11">
        <f>_xll.SNL.Clients.Office.Excel.Functions.SPG(E64, "PCT_OWNED_STRATEGIC_ESOP")</f>
        <v>1.4</v>
      </c>
      <c r="AL64" s="11" t="str">
        <f>_xll.SNL.Clients.Office.Excel.Functions.SPG(E64, "PCT_OWNED_STRATEGIC_STATE_OWNER")</f>
        <v>NA</v>
      </c>
      <c r="AM64" s="11">
        <f>_xll.SNL.Clients.Office.Excel.Functions.SPG(E64, "PCT_OWNED_STRATEGIC_CORPORATIONS_PRIVATE")</f>
        <v>5.42</v>
      </c>
      <c r="AN64" s="11" t="str">
        <f>_xll.SNL.Clients.Office.Excel.Functions.SPG(E64, "PCT_OWNED_STRATEGIC_CORPORATIONS_PUBLIC")</f>
        <v>NA</v>
      </c>
    </row>
    <row r="65" spans="1:40" x14ac:dyDescent="0.35">
      <c r="A65" s="5">
        <v>46022</v>
      </c>
      <c r="B65" s="4" t="s">
        <v>126</v>
      </c>
      <c r="C65" s="4" t="s">
        <v>127</v>
      </c>
      <c r="D65" s="4" t="s">
        <v>253</v>
      </c>
      <c r="E65" s="8">
        <v>4096231</v>
      </c>
      <c r="F65" s="7">
        <v>4</v>
      </c>
      <c r="G65" s="9" t="str">
        <f>_xll.SNL.Clients.Office.Excel.Functions.SPG(E65, "SP_COMPANY_TYPE")</f>
        <v>Public Company</v>
      </c>
      <c r="H65" s="10" t="str">
        <f>_xll.SNL.Clients.Office.Excel.Functions.SPG(E65, "SP_COUNTRY_NAME")</f>
        <v>Japan</v>
      </c>
      <c r="J65" t="str">
        <f>_xll.SNL.Clients.Office.Excel.Functions.SPG(E65, "SP_PARENT_COUNTRY")</f>
        <v/>
      </c>
      <c r="K65" s="9" t="str">
        <f>_xll.SNL.Clients.Office.Excel.Functions.SPG(E65, "SP_PARENT_COMPANY_ID")</f>
        <v/>
      </c>
      <c r="L65" t="str">
        <f>_xll.SNL.Clients.Office.Excel.Functions.SPG(K65, "SP_COMPANY_TYPE")</f>
        <v>#INVALID COMPANY ID</v>
      </c>
      <c r="M65" s="9" t="str">
        <f>_xll.SNL.Clients.Office.Excel.Functions.SPG(E65, "SP_ULT_PARENT_COMPANY_NAME")</f>
        <v/>
      </c>
      <c r="N65" s="9" t="str">
        <f>_xll.SNL.Clients.Office.Excel.Functions.SPG(E65, "SP_ULT_PARENT_COUNTRY")</f>
        <v/>
      </c>
      <c r="O65" s="9" t="str">
        <f>_xll.SNL.Clients.Office.Excel.Functions.SPG(E65, "SP_ULT_PARENT_COMPANY_ID")</f>
        <v>NA</v>
      </c>
      <c r="P65" t="str">
        <f>_xll.SNL.Clients.Office.Excel.Functions.SPG(O65, "SP_COMPANY_TYPE")</f>
        <v>Public Company</v>
      </c>
      <c r="Q65" s="11">
        <f>_xll.SNL.Clients.Office.Excel.Functions.SPG(E65, "SP_PCT_SHARES_OWNED_ALL_INSTITUTIONS")</f>
        <v>38.81</v>
      </c>
      <c r="R65" s="11">
        <f>_xll.SNL.Clients.Office.Excel.Functions.SPG(E65, "PCT_OWNED_INSTN_BANKS/INVEST_BANKS")</f>
        <v>3.67</v>
      </c>
      <c r="S65" s="11" t="str">
        <f>_xll.SNL.Clients.Office.Excel.Functions.SPG(E65, "PCT_OWNED_INSTN_CHARITABLE_FOUNDATIONS")</f>
        <v>NA</v>
      </c>
      <c r="T65" s="11" t="str">
        <f>_xll.SNL.Clients.Office.Excel.Functions.SPG(E65, "PCT_OWNED_INSTN_CORP_PENSION_SPONSORS")</f>
        <v>NA</v>
      </c>
      <c r="U65" s="11" t="str">
        <f>_xll.SNL.Clients.Office.Excel.Functions.SPG(E65, "PCT_OWNED_INSTN_EDUCATIONAL/CULTURAL_ENDOWMENTS")</f>
        <v>NA</v>
      </c>
      <c r="V65" s="11" t="str">
        <f>_xll.SNL.Clients.Office.Excel.Functions.SPG(E65, "PCT_OWNED_INSTN_FAMILY_OFFICES/TRUSTS")</f>
        <v>NA</v>
      </c>
      <c r="W65" s="11">
        <f>_xll.SNL.Clients.Office.Excel.Functions.SPG(E65, "PCT_OWNED_INSTN_GOVT_PENSION_SPONSORS")</f>
        <v>0.03</v>
      </c>
      <c r="X65" s="11">
        <f>_xll.SNL.Clients.Office.Excel.Functions.SPG(E65, "PCT_OWNED_INSTN_INSURANCE_COMPANIES")</f>
        <v>0.05</v>
      </c>
      <c r="Y65" s="11">
        <f>_xll.SNL.Clients.Office.Excel.Functions.SPG(E65, "PCT_OWNED_INSTN_INVEST_MGRS")</f>
        <v>31.19</v>
      </c>
      <c r="Z65" s="11" t="str">
        <f>_xll.SNL.Clients.Office.Excel.Functions.SPG(E65, "PCT_OWNED_INSTN_REIT")</f>
        <v>NA</v>
      </c>
      <c r="AA65" s="11">
        <f>_xll.SNL.Clients.Office.Excel.Functions.SPG(E65, "PCT_OWNED_INSTN_UNCLASSIFIED")</f>
        <v>1.91</v>
      </c>
      <c r="AB65" s="11" t="str">
        <f>_xll.SNL.Clients.Office.Excel.Functions.SPG(E65, "PCT_OWNED_INSTN_UNION_PENSION_SPONSORS")</f>
        <v>NA</v>
      </c>
      <c r="AC65" s="11">
        <f>_xll.SNL.Clients.Office.Excel.Functions.SPG(E65, "PCT_OWNED_INSTN_HEDGE_FUND_MGRS_LESS5PCT_STAKE")</f>
        <v>0.17</v>
      </c>
      <c r="AD65" s="11">
        <f>_xll.SNL.Clients.Office.Excel.Functions.SPG(E65, "PCT_OWNED_INSTN_SOVEREIGN_WEALTH_FUNDS_LESS5PCT_STAKE")</f>
        <v>1.72</v>
      </c>
      <c r="AE65" s="11">
        <f>_xll.SNL.Clients.Office.Excel.Functions.SPG(E65, "PCT_OWNED_INSTN_VC/PE_FIRMS_LESS5PCT_STAKE")</f>
        <v>0.06</v>
      </c>
      <c r="AF65" s="11">
        <f>_xll.SNL.Clients.Office.Excel.Functions.SPG(E65, "PCT_OWNED_INSIDERS")</f>
        <v>0.18</v>
      </c>
      <c r="AG65" s="11" t="str">
        <f>_xll.SNL.Clients.Office.Excel.Functions.SPG(E65, "PCT_OWNED_STRATEGIC_HEDGE_FUND_MGRS_MORE_EQUAL5PCT_STAKE")</f>
        <v>NA</v>
      </c>
      <c r="AH65" s="11" t="str">
        <f>_xll.SNL.Clients.Office.Excel.Functions.SPG(E65, "PCT_OWNED_STRATEGIC_VC/PE_FIRMS_MORE_EQUAL5PCT_STAKE")</f>
        <v>NA</v>
      </c>
      <c r="AI65" s="11" t="str">
        <f>_xll.SNL.Clients.Office.Excel.Functions.SPG(E65, "PCT_OWNED_STRATEGIC_SOVEREIGN_WEALTH_FUNDS_MORE_EQUAL5PCT_STAKE")</f>
        <v>NA</v>
      </c>
      <c r="AJ65" s="11" t="str">
        <f>_xll.SNL.Clients.Office.Excel.Functions.SPG(E65, "PCT_OWNED_STRATEGIC_COMPANY_CONTROLLED_FOUNDATIONS")</f>
        <v>NA</v>
      </c>
      <c r="AK65" s="11" t="str">
        <f>_xll.SNL.Clients.Office.Excel.Functions.SPG(E65, "PCT_OWNED_STRATEGIC_ESOP")</f>
        <v>NA</v>
      </c>
      <c r="AL65" s="11" t="str">
        <f>_xll.SNL.Clients.Office.Excel.Functions.SPG(E65, "PCT_OWNED_STRATEGIC_STATE_OWNER")</f>
        <v>NA</v>
      </c>
      <c r="AM65" s="11" t="str">
        <f>_xll.SNL.Clients.Office.Excel.Functions.SPG(E65, "PCT_OWNED_STRATEGIC_CORPORATIONS_PRIVATE")</f>
        <v>NA</v>
      </c>
      <c r="AN65" s="11" t="str">
        <f>_xll.SNL.Clients.Office.Excel.Functions.SPG(E65, "PCT_OWNED_STRATEGIC_CORPORATIONS_PUBLIC")</f>
        <v>NA</v>
      </c>
    </row>
    <row r="66" spans="1:40" hidden="1" x14ac:dyDescent="0.35">
      <c r="A66" s="5">
        <v>46022</v>
      </c>
      <c r="B66" s="4" t="s">
        <v>84</v>
      </c>
      <c r="C66" s="4" t="s">
        <v>85</v>
      </c>
      <c r="D66" s="4" t="s">
        <v>56</v>
      </c>
      <c r="E66" s="8">
        <v>4350734</v>
      </c>
      <c r="F66" s="7">
        <v>5</v>
      </c>
      <c r="G66" s="9" t="str">
        <f>_xll.SNL.Clients.Office.Excel.Functions.SPG(E66, "SP_COMPANY_TYPE")</f>
        <v>Government Institution</v>
      </c>
      <c r="H66" s="10" t="str">
        <f>_xll.SNL.Clients.Office.Excel.Functions.SPG(E66, "SP_COUNTRY_NAME")</f>
        <v>Dem. Rep. Congo</v>
      </c>
      <c r="J66" t="str">
        <f>_xll.SNL.Clients.Office.Excel.Functions.SPG(E66, "SP_PARENT_COUNTRY")</f>
        <v/>
      </c>
      <c r="K66" s="9" t="str">
        <f>_xll.SNL.Clients.Office.Excel.Functions.SPG(E66, "SP_PARENT_COMPANY_ID")</f>
        <v/>
      </c>
      <c r="L66" t="str">
        <f>_xll.SNL.Clients.Office.Excel.Functions.SPG(K66, "SP_COMPANY_TYPE")</f>
        <v>#INVALID COMPANY ID</v>
      </c>
      <c r="M66" s="9" t="str">
        <f>_xll.SNL.Clients.Office.Excel.Functions.SPG(E66, "SP_ULT_PARENT_COMPANY_NAME")</f>
        <v/>
      </c>
      <c r="N66" s="9" t="str">
        <f>_xll.SNL.Clients.Office.Excel.Functions.SPG(E66, "SP_ULT_PARENT_COUNTRY")</f>
        <v/>
      </c>
      <c r="O66" s="9" t="str">
        <f>_xll.SNL.Clients.Office.Excel.Functions.SPG(E66, "SP_ULT_PARENT_COMPANY_ID")</f>
        <v>NA</v>
      </c>
      <c r="P66" t="str">
        <f>_xll.SNL.Clients.Office.Excel.Functions.SPG(O66, "SP_COMPANY_TYPE")</f>
        <v>Public Company</v>
      </c>
      <c r="Q66" s="11" t="str">
        <f>_xll.SNL.Clients.Office.Excel.Functions.SPG(E66, "SP_PCT_SHARES_OWNED_ALL_INSTITUTIONS")</f>
        <v>NA</v>
      </c>
      <c r="R66" s="11" t="str">
        <f>_xll.SNL.Clients.Office.Excel.Functions.SPG(E66, "PCT_OWNED_INSTN_BANKS/INVEST_BANKS")</f>
        <v>NA</v>
      </c>
      <c r="S66" s="11" t="str">
        <f>_xll.SNL.Clients.Office.Excel.Functions.SPG(E66, "PCT_OWNED_INSTN_CHARITABLE_FOUNDATIONS")</f>
        <v>NA</v>
      </c>
      <c r="T66" s="11" t="str">
        <f>_xll.SNL.Clients.Office.Excel.Functions.SPG(E66, "PCT_OWNED_INSTN_CORP_PENSION_SPONSORS")</f>
        <v>NA</v>
      </c>
      <c r="U66" s="11" t="str">
        <f>_xll.SNL.Clients.Office.Excel.Functions.SPG(E66, "PCT_OWNED_INSTN_EDUCATIONAL/CULTURAL_ENDOWMENTS")</f>
        <v>NA</v>
      </c>
      <c r="V66" s="11" t="str">
        <f>_xll.SNL.Clients.Office.Excel.Functions.SPG(E66, "PCT_OWNED_INSTN_FAMILY_OFFICES/TRUSTS")</f>
        <v>NA</v>
      </c>
      <c r="W66" s="11" t="str">
        <f>_xll.SNL.Clients.Office.Excel.Functions.SPG(E66, "PCT_OWNED_INSTN_GOVT_PENSION_SPONSORS")</f>
        <v>NA</v>
      </c>
      <c r="X66" s="11" t="str">
        <f>_xll.SNL.Clients.Office.Excel.Functions.SPG(E66, "PCT_OWNED_INSTN_INSURANCE_COMPANIES")</f>
        <v>NA</v>
      </c>
      <c r="Y66" s="11" t="str">
        <f>_xll.SNL.Clients.Office.Excel.Functions.SPG(E66, "PCT_OWNED_INSTN_INVEST_MGRS")</f>
        <v>NA</v>
      </c>
      <c r="Z66" s="11" t="str">
        <f>_xll.SNL.Clients.Office.Excel.Functions.SPG(E66, "PCT_OWNED_INSTN_REIT")</f>
        <v>NA</v>
      </c>
      <c r="AA66" s="11" t="str">
        <f>_xll.SNL.Clients.Office.Excel.Functions.SPG(E66, "PCT_OWNED_INSTN_UNCLASSIFIED")</f>
        <v>NA</v>
      </c>
      <c r="AB66" s="11" t="str">
        <f>_xll.SNL.Clients.Office.Excel.Functions.SPG(E66, "PCT_OWNED_INSTN_UNION_PENSION_SPONSORS")</f>
        <v>NA</v>
      </c>
      <c r="AC66" s="11" t="str">
        <f>_xll.SNL.Clients.Office.Excel.Functions.SPG(E66, "PCT_OWNED_INSTN_HEDGE_FUND_MGRS_LESS5PCT_STAKE")</f>
        <v>NA</v>
      </c>
      <c r="AD66" s="11" t="str">
        <f>_xll.SNL.Clients.Office.Excel.Functions.SPG(E66, "PCT_OWNED_INSTN_SOVEREIGN_WEALTH_FUNDS_LESS5PCT_STAKE")</f>
        <v>NA</v>
      </c>
      <c r="AE66" s="11" t="str">
        <f>_xll.SNL.Clients.Office.Excel.Functions.SPG(E66, "PCT_OWNED_INSTN_VC/PE_FIRMS_LESS5PCT_STAKE")</f>
        <v>NA</v>
      </c>
      <c r="AF66" s="11" t="str">
        <f>_xll.SNL.Clients.Office.Excel.Functions.SPG(E66, "PCT_OWNED_INSIDERS")</f>
        <v>NA</v>
      </c>
      <c r="AG66" s="11" t="str">
        <f>_xll.SNL.Clients.Office.Excel.Functions.SPG(E66, "PCT_OWNED_STRATEGIC_HEDGE_FUND_MGRS_MORE_EQUAL5PCT_STAKE")</f>
        <v>NA</v>
      </c>
      <c r="AH66" s="11" t="str">
        <f>_xll.SNL.Clients.Office.Excel.Functions.SPG(E66, "PCT_OWNED_STRATEGIC_VC/PE_FIRMS_MORE_EQUAL5PCT_STAKE")</f>
        <v>NA</v>
      </c>
      <c r="AI66" s="11" t="str">
        <f>_xll.SNL.Clients.Office.Excel.Functions.SPG(E66, "PCT_OWNED_STRATEGIC_SOVEREIGN_WEALTH_FUNDS_MORE_EQUAL5PCT_STAKE")</f>
        <v>NA</v>
      </c>
      <c r="AJ66" s="11" t="str">
        <f>_xll.SNL.Clients.Office.Excel.Functions.SPG(E66, "PCT_OWNED_STRATEGIC_COMPANY_CONTROLLED_FOUNDATIONS")</f>
        <v>NA</v>
      </c>
      <c r="AK66" s="11" t="str">
        <f>_xll.SNL.Clients.Office.Excel.Functions.SPG(E66, "PCT_OWNED_STRATEGIC_ESOP")</f>
        <v>NA</v>
      </c>
      <c r="AL66" s="11" t="str">
        <f>_xll.SNL.Clients.Office.Excel.Functions.SPG(E66, "PCT_OWNED_STRATEGIC_STATE_OWNER")</f>
        <v>NA</v>
      </c>
      <c r="AM66" s="11" t="str">
        <f>_xll.SNL.Clients.Office.Excel.Functions.SPG(E66, "PCT_OWNED_STRATEGIC_CORPORATIONS_PRIVATE")</f>
        <v>NA</v>
      </c>
      <c r="AN66" s="11" t="str">
        <f>_xll.SNL.Clients.Office.Excel.Functions.SPG(E66, "PCT_OWNED_STRATEGIC_CORPORATIONS_PUBLIC")</f>
        <v>NA</v>
      </c>
    </row>
    <row r="67" spans="1:40" hidden="1" x14ac:dyDescent="0.35">
      <c r="A67" s="5">
        <v>46022</v>
      </c>
      <c r="B67" s="4" t="s">
        <v>84</v>
      </c>
      <c r="C67" s="4" t="s">
        <v>85</v>
      </c>
      <c r="D67" s="4" t="s">
        <v>223</v>
      </c>
      <c r="E67" s="8">
        <v>4350360</v>
      </c>
      <c r="F67" s="7">
        <v>25</v>
      </c>
      <c r="G67" s="9" t="str">
        <f>_xll.SNL.Clients.Office.Excel.Functions.SPG(E67, "SP_COMPANY_TYPE")</f>
        <v>Private Company</v>
      </c>
      <c r="H67" s="10" t="str">
        <f>_xll.SNL.Clients.Office.Excel.Functions.SPG(E67, "SP_COUNTRY_NAME")</f>
        <v>Dem. Rep. Congo</v>
      </c>
      <c r="J67" t="str">
        <f>_xll.SNL.Clients.Office.Excel.Functions.SPG(E67, "SP_PARENT_COUNTRY")</f>
        <v>Dem. Rep. Congo</v>
      </c>
      <c r="K67" s="9" t="str">
        <f>_xll.SNL.Clients.Office.Excel.Functions.SPG(E67, "SP_PARENT_COMPANY_ID")</f>
        <v>4350734</v>
      </c>
      <c r="L67" t="str">
        <f>_xll.SNL.Clients.Office.Excel.Functions.SPG(K67, "SP_COMPANY_TYPE")</f>
        <v>Government Institution</v>
      </c>
      <c r="M67" s="9" t="str">
        <f>_xll.SNL.Clients.Office.Excel.Functions.SPG(E67, "SP_ULT_PARENT_COMPANY_NAME")</f>
        <v>Dem. Rep. Congo</v>
      </c>
      <c r="N67" s="9" t="str">
        <f>_xll.SNL.Clients.Office.Excel.Functions.SPG(E67, "SP_ULT_PARENT_COUNTRY")</f>
        <v>Dem. Rep. Congo</v>
      </c>
      <c r="O67" s="9">
        <f>_xll.SNL.Clients.Office.Excel.Functions.SPG(E67, "SP_ULT_PARENT_COMPANY_ID")</f>
        <v>4350734</v>
      </c>
      <c r="P67" t="str">
        <f>_xll.SNL.Clients.Office.Excel.Functions.SPG(O67, "SP_COMPANY_TYPE")</f>
        <v>Government Institution</v>
      </c>
      <c r="Q67" s="11" t="str">
        <f>_xll.SNL.Clients.Office.Excel.Functions.SPG(E67, "SP_PCT_SHARES_OWNED_ALL_INSTITUTIONS")</f>
        <v>NA</v>
      </c>
      <c r="R67" s="11" t="str">
        <f>_xll.SNL.Clients.Office.Excel.Functions.SPG(E67, "PCT_OWNED_INSTN_BANKS/INVEST_BANKS")</f>
        <v>NA</v>
      </c>
      <c r="S67" s="11" t="str">
        <f>_xll.SNL.Clients.Office.Excel.Functions.SPG(E67, "PCT_OWNED_INSTN_CHARITABLE_FOUNDATIONS")</f>
        <v>NA</v>
      </c>
      <c r="T67" s="11" t="str">
        <f>_xll.SNL.Clients.Office.Excel.Functions.SPG(E67, "PCT_OWNED_INSTN_CORP_PENSION_SPONSORS")</f>
        <v>NA</v>
      </c>
      <c r="U67" s="11" t="str">
        <f>_xll.SNL.Clients.Office.Excel.Functions.SPG(E67, "PCT_OWNED_INSTN_EDUCATIONAL/CULTURAL_ENDOWMENTS")</f>
        <v>NA</v>
      </c>
      <c r="V67" s="11" t="str">
        <f>_xll.SNL.Clients.Office.Excel.Functions.SPG(E67, "PCT_OWNED_INSTN_FAMILY_OFFICES/TRUSTS")</f>
        <v>NA</v>
      </c>
      <c r="W67" s="11" t="str">
        <f>_xll.SNL.Clients.Office.Excel.Functions.SPG(E67, "PCT_OWNED_INSTN_GOVT_PENSION_SPONSORS")</f>
        <v>NA</v>
      </c>
      <c r="X67" s="11" t="str">
        <f>_xll.SNL.Clients.Office.Excel.Functions.SPG(E67, "PCT_OWNED_INSTN_INSURANCE_COMPANIES")</f>
        <v>NA</v>
      </c>
      <c r="Y67" s="11" t="str">
        <f>_xll.SNL.Clients.Office.Excel.Functions.SPG(E67, "PCT_OWNED_INSTN_INVEST_MGRS")</f>
        <v>NA</v>
      </c>
      <c r="Z67" s="11" t="str">
        <f>_xll.SNL.Clients.Office.Excel.Functions.SPG(E67, "PCT_OWNED_INSTN_REIT")</f>
        <v>NA</v>
      </c>
      <c r="AA67" s="11" t="str">
        <f>_xll.SNL.Clients.Office.Excel.Functions.SPG(E67, "PCT_OWNED_INSTN_UNCLASSIFIED")</f>
        <v>NA</v>
      </c>
      <c r="AB67" s="11" t="str">
        <f>_xll.SNL.Clients.Office.Excel.Functions.SPG(E67, "PCT_OWNED_INSTN_UNION_PENSION_SPONSORS")</f>
        <v>NA</v>
      </c>
      <c r="AC67" s="11" t="str">
        <f>_xll.SNL.Clients.Office.Excel.Functions.SPG(E67, "PCT_OWNED_INSTN_HEDGE_FUND_MGRS_LESS5PCT_STAKE")</f>
        <v>NA</v>
      </c>
      <c r="AD67" s="11" t="str">
        <f>_xll.SNL.Clients.Office.Excel.Functions.SPG(E67, "PCT_OWNED_INSTN_SOVEREIGN_WEALTH_FUNDS_LESS5PCT_STAKE")</f>
        <v>NA</v>
      </c>
      <c r="AE67" s="11" t="str">
        <f>_xll.SNL.Clients.Office.Excel.Functions.SPG(E67, "PCT_OWNED_INSTN_VC/PE_FIRMS_LESS5PCT_STAKE")</f>
        <v>NA</v>
      </c>
      <c r="AF67" s="11" t="str">
        <f>_xll.SNL.Clients.Office.Excel.Functions.SPG(E67, "PCT_OWNED_INSIDERS")</f>
        <v>NA</v>
      </c>
      <c r="AG67" s="11" t="str">
        <f>_xll.SNL.Clients.Office.Excel.Functions.SPG(E67, "PCT_OWNED_STRATEGIC_HEDGE_FUND_MGRS_MORE_EQUAL5PCT_STAKE")</f>
        <v>NA</v>
      </c>
      <c r="AH67" s="11" t="str">
        <f>_xll.SNL.Clients.Office.Excel.Functions.SPG(E67, "PCT_OWNED_STRATEGIC_VC/PE_FIRMS_MORE_EQUAL5PCT_STAKE")</f>
        <v>NA</v>
      </c>
      <c r="AI67" s="11" t="str">
        <f>_xll.SNL.Clients.Office.Excel.Functions.SPG(E67, "PCT_OWNED_STRATEGIC_SOVEREIGN_WEALTH_FUNDS_MORE_EQUAL5PCT_STAKE")</f>
        <v>NA</v>
      </c>
      <c r="AJ67" s="11" t="str">
        <f>_xll.SNL.Clients.Office.Excel.Functions.SPG(E67, "PCT_OWNED_STRATEGIC_COMPANY_CONTROLLED_FOUNDATIONS")</f>
        <v>NA</v>
      </c>
      <c r="AK67" s="11" t="str">
        <f>_xll.SNL.Clients.Office.Excel.Functions.SPG(E67, "PCT_OWNED_STRATEGIC_ESOP")</f>
        <v>NA</v>
      </c>
      <c r="AL67" s="11" t="str">
        <f>_xll.SNL.Clients.Office.Excel.Functions.SPG(E67, "PCT_OWNED_STRATEGIC_STATE_OWNER")</f>
        <v>NA</v>
      </c>
      <c r="AM67" s="11" t="str">
        <f>_xll.SNL.Clients.Office.Excel.Functions.SPG(E67, "PCT_OWNED_STRATEGIC_CORPORATIONS_PRIVATE")</f>
        <v>NA</v>
      </c>
      <c r="AN67" s="11" t="str">
        <f>_xll.SNL.Clients.Office.Excel.Functions.SPG(E67, "PCT_OWNED_STRATEGIC_CORPORATIONS_PUBLIC")</f>
        <v>NA</v>
      </c>
    </row>
    <row r="68" spans="1:40" x14ac:dyDescent="0.35">
      <c r="A68" s="5">
        <v>46022</v>
      </c>
      <c r="B68" s="4" t="s">
        <v>84</v>
      </c>
      <c r="C68" s="4" t="s">
        <v>85</v>
      </c>
      <c r="D68" s="4" t="s">
        <v>243</v>
      </c>
      <c r="E68" s="8">
        <v>4361447</v>
      </c>
      <c r="F68" s="7">
        <v>70</v>
      </c>
      <c r="G68" s="9" t="str">
        <f>_xll.SNL.Clients.Office.Excel.Functions.SPG(E68, "SP_COMPANY_TYPE")</f>
        <v>Public Company</v>
      </c>
      <c r="H68" s="10" t="str">
        <f>_xll.SNL.Clients.Office.Excel.Functions.SPG(E68, "SP_COUNTRY_NAME")</f>
        <v>Hong Kong</v>
      </c>
      <c r="J68" t="str">
        <f>_xll.SNL.Clients.Office.Excel.Functions.SPG(E68, "SP_PARENT_COUNTRY")</f>
        <v>BVI</v>
      </c>
      <c r="K68" s="9" t="str">
        <f>_xll.SNL.Clients.Office.Excel.Functions.SPG(E68, "SP_PARENT_COMPANY_ID")</f>
        <v>4575436</v>
      </c>
      <c r="L68" t="str">
        <f>_xll.SNL.Clients.Office.Excel.Functions.SPG(K68, "SP_COMPANY_TYPE")</f>
        <v>Private Company</v>
      </c>
      <c r="M68" s="9" t="str">
        <f>_xll.SNL.Clients.Office.Excel.Functions.SPG(E68, "SP_ULT_PARENT_COMPANY_NAME")</f>
        <v>State-Owned Assets Supervision And Administration Commission Of Gansu Provincial</v>
      </c>
      <c r="N68" s="9" t="str">
        <f>_xll.SNL.Clients.Office.Excel.Functions.SPG(E68, "SP_ULT_PARENT_COUNTRY")</f>
        <v>China</v>
      </c>
      <c r="O68" s="9">
        <f>_xll.SNL.Clients.Office.Excel.Functions.SPG(E68, "SP_ULT_PARENT_COMPANY_ID")</f>
        <v>8393263</v>
      </c>
      <c r="P68" t="str">
        <f>_xll.SNL.Clients.Office.Excel.Functions.SPG(O68, "SP_COMPANY_TYPE")</f>
        <v>Government Institution</v>
      </c>
      <c r="Q68" s="11">
        <f>_xll.SNL.Clients.Office.Excel.Functions.SPG(E68, "SP_PCT_SHARES_OWNED_ALL_INSTITUTIONS")</f>
        <v>11.69</v>
      </c>
      <c r="R68" s="11" t="str">
        <f>_xll.SNL.Clients.Office.Excel.Functions.SPG(E68, "PCT_OWNED_INSTN_BANKS/INVEST_BANKS")</f>
        <v>NA</v>
      </c>
      <c r="S68" s="11" t="str">
        <f>_xll.SNL.Clients.Office.Excel.Functions.SPG(E68, "PCT_OWNED_INSTN_CHARITABLE_FOUNDATIONS")</f>
        <v>NA</v>
      </c>
      <c r="T68" s="11" t="str">
        <f>_xll.SNL.Clients.Office.Excel.Functions.SPG(E68, "PCT_OWNED_INSTN_CORP_PENSION_SPONSORS")</f>
        <v>NA</v>
      </c>
      <c r="U68" s="11" t="str">
        <f>_xll.SNL.Clients.Office.Excel.Functions.SPG(E68, "PCT_OWNED_INSTN_EDUCATIONAL/CULTURAL_ENDOWMENTS")</f>
        <v>NA</v>
      </c>
      <c r="V68" s="11" t="str">
        <f>_xll.SNL.Clients.Office.Excel.Functions.SPG(E68, "PCT_OWNED_INSTN_FAMILY_OFFICES/TRUSTS")</f>
        <v>NA</v>
      </c>
      <c r="W68" s="11" t="str">
        <f>_xll.SNL.Clients.Office.Excel.Functions.SPG(E68, "PCT_OWNED_INSTN_GOVT_PENSION_SPONSORS")</f>
        <v>NA</v>
      </c>
      <c r="X68" s="11" t="str">
        <f>_xll.SNL.Clients.Office.Excel.Functions.SPG(E68, "PCT_OWNED_INSTN_INSURANCE_COMPANIES")</f>
        <v>NA</v>
      </c>
      <c r="Y68" s="11">
        <f>_xll.SNL.Clients.Office.Excel.Functions.SPG(E68, "PCT_OWNED_INSTN_INVEST_MGRS")</f>
        <v>11.69</v>
      </c>
      <c r="Z68" s="11" t="str">
        <f>_xll.SNL.Clients.Office.Excel.Functions.SPG(E68, "PCT_OWNED_INSTN_REIT")</f>
        <v>NA</v>
      </c>
      <c r="AA68" s="11" t="str">
        <f>_xll.SNL.Clients.Office.Excel.Functions.SPG(E68, "PCT_OWNED_INSTN_UNCLASSIFIED")</f>
        <v>NA</v>
      </c>
      <c r="AB68" s="11" t="str">
        <f>_xll.SNL.Clients.Office.Excel.Functions.SPG(E68, "PCT_OWNED_INSTN_UNION_PENSION_SPONSORS")</f>
        <v>NA</v>
      </c>
      <c r="AC68" s="11" t="str">
        <f>_xll.SNL.Clients.Office.Excel.Functions.SPG(E68, "PCT_OWNED_INSTN_HEDGE_FUND_MGRS_LESS5PCT_STAKE")</f>
        <v>NA</v>
      </c>
      <c r="AD68" s="11" t="str">
        <f>_xll.SNL.Clients.Office.Excel.Functions.SPG(E68, "PCT_OWNED_INSTN_SOVEREIGN_WEALTH_FUNDS_LESS5PCT_STAKE")</f>
        <v>NA</v>
      </c>
      <c r="AE68" s="11" t="str">
        <f>_xll.SNL.Clients.Office.Excel.Functions.SPG(E68, "PCT_OWNED_INSTN_VC/PE_FIRMS_LESS5PCT_STAKE")</f>
        <v>NA</v>
      </c>
      <c r="AF68" s="11" t="str">
        <f>_xll.SNL.Clients.Office.Excel.Functions.SPG(E68, "PCT_OWNED_INSIDERS")</f>
        <v>NA</v>
      </c>
      <c r="AG68" s="11" t="str">
        <f>_xll.SNL.Clients.Office.Excel.Functions.SPG(E68, "PCT_OWNED_STRATEGIC_HEDGE_FUND_MGRS_MORE_EQUAL5PCT_STAKE")</f>
        <v>NA</v>
      </c>
      <c r="AH68" s="11" t="str">
        <f>_xll.SNL.Clients.Office.Excel.Functions.SPG(E68, "PCT_OWNED_STRATEGIC_VC/PE_FIRMS_MORE_EQUAL5PCT_STAKE")</f>
        <v>NA</v>
      </c>
      <c r="AI68" s="11" t="str">
        <f>_xll.SNL.Clients.Office.Excel.Functions.SPG(E68, "PCT_OWNED_STRATEGIC_SOVEREIGN_WEALTH_FUNDS_MORE_EQUAL5PCT_STAKE")</f>
        <v>NA</v>
      </c>
      <c r="AJ68" s="11" t="str">
        <f>_xll.SNL.Clients.Office.Excel.Functions.SPG(E68, "PCT_OWNED_STRATEGIC_COMPANY_CONTROLLED_FOUNDATIONS")</f>
        <v>NA</v>
      </c>
      <c r="AK68" s="11" t="str">
        <f>_xll.SNL.Clients.Office.Excel.Functions.SPG(E68, "PCT_OWNED_STRATEGIC_ESOP")</f>
        <v>NA</v>
      </c>
      <c r="AL68" s="11" t="str">
        <f>_xll.SNL.Clients.Office.Excel.Functions.SPG(E68, "PCT_OWNED_STRATEGIC_STATE_OWNER")</f>
        <v>NA</v>
      </c>
      <c r="AM68" s="11">
        <f>_xll.SNL.Clients.Office.Excel.Functions.SPG(E68, "PCT_OWNED_STRATEGIC_CORPORATIONS_PRIVATE")</f>
        <v>66.12</v>
      </c>
      <c r="AN68" s="11" t="str">
        <f>_xll.SNL.Clients.Office.Excel.Functions.SPG(E68, "PCT_OWNED_STRATEGIC_CORPORATIONS_PUBLIC")</f>
        <v>NA</v>
      </c>
    </row>
    <row r="69" spans="1:40" hidden="1" x14ac:dyDescent="0.35">
      <c r="A69" s="5">
        <v>46022</v>
      </c>
      <c r="B69" s="4" t="s">
        <v>129</v>
      </c>
      <c r="C69" s="4" t="s">
        <v>130</v>
      </c>
      <c r="D69" s="4" t="s">
        <v>254</v>
      </c>
      <c r="E69" s="8">
        <v>10393182</v>
      </c>
      <c r="F69" s="7">
        <v>100</v>
      </c>
      <c r="G69" s="9" t="str">
        <f>_xll.SNL.Clients.Office.Excel.Functions.SPG(E69, "SP_COMPANY_TYPE")</f>
        <v>Private Company</v>
      </c>
      <c r="H69" s="10" t="str">
        <f>_xll.SNL.Clients.Office.Excel.Functions.SPG(E69, "SP_COUNTRY_NAME")</f>
        <v>China</v>
      </c>
      <c r="J69" t="str">
        <f>_xll.SNL.Clients.Office.Excel.Functions.SPG(E69, "SP_PARENT_COUNTRY")</f>
        <v/>
      </c>
      <c r="K69" s="9" t="str">
        <f>_xll.SNL.Clients.Office.Excel.Functions.SPG(E69, "SP_PARENT_COMPANY_ID")</f>
        <v/>
      </c>
      <c r="L69" t="str">
        <f>_xll.SNL.Clients.Office.Excel.Functions.SPG(K69, "SP_COMPANY_TYPE")</f>
        <v>#INVALID COMPANY ID</v>
      </c>
      <c r="M69" s="9" t="str">
        <f>_xll.SNL.Clients.Office.Excel.Functions.SPG(E69, "SP_ULT_PARENT_COMPANY_NAME")</f>
        <v/>
      </c>
      <c r="N69" s="9" t="str">
        <f>_xll.SNL.Clients.Office.Excel.Functions.SPG(E69, "SP_ULT_PARENT_COUNTRY")</f>
        <v/>
      </c>
      <c r="O69" s="9" t="str">
        <f>_xll.SNL.Clients.Office.Excel.Functions.SPG(E69, "SP_ULT_PARENT_COMPANY_ID")</f>
        <v>NA</v>
      </c>
      <c r="P69" t="str">
        <f>_xll.SNL.Clients.Office.Excel.Functions.SPG(O69, "SP_COMPANY_TYPE")</f>
        <v>Public Company</v>
      </c>
      <c r="Q69" s="11" t="str">
        <f>_xll.SNL.Clients.Office.Excel.Functions.SPG(E69, "SP_PCT_SHARES_OWNED_ALL_INSTITUTIONS")</f>
        <v>NA</v>
      </c>
      <c r="R69" s="11" t="str">
        <f>_xll.SNL.Clients.Office.Excel.Functions.SPG(E69, "PCT_OWNED_INSTN_BANKS/INVEST_BANKS")</f>
        <v>NA</v>
      </c>
      <c r="S69" s="11" t="str">
        <f>_xll.SNL.Clients.Office.Excel.Functions.SPG(E69, "PCT_OWNED_INSTN_CHARITABLE_FOUNDATIONS")</f>
        <v>NA</v>
      </c>
      <c r="T69" s="11" t="str">
        <f>_xll.SNL.Clients.Office.Excel.Functions.SPG(E69, "PCT_OWNED_INSTN_CORP_PENSION_SPONSORS")</f>
        <v>NA</v>
      </c>
      <c r="U69" s="11" t="str">
        <f>_xll.SNL.Clients.Office.Excel.Functions.SPG(E69, "PCT_OWNED_INSTN_EDUCATIONAL/CULTURAL_ENDOWMENTS")</f>
        <v>NA</v>
      </c>
      <c r="V69" s="11" t="str">
        <f>_xll.SNL.Clients.Office.Excel.Functions.SPG(E69, "PCT_OWNED_INSTN_FAMILY_OFFICES/TRUSTS")</f>
        <v>NA</v>
      </c>
      <c r="W69" s="11" t="str">
        <f>_xll.SNL.Clients.Office.Excel.Functions.SPG(E69, "PCT_OWNED_INSTN_GOVT_PENSION_SPONSORS")</f>
        <v>NA</v>
      </c>
      <c r="X69" s="11" t="str">
        <f>_xll.SNL.Clients.Office.Excel.Functions.SPG(E69, "PCT_OWNED_INSTN_INSURANCE_COMPANIES")</f>
        <v>NA</v>
      </c>
      <c r="Y69" s="11" t="str">
        <f>_xll.SNL.Clients.Office.Excel.Functions.SPG(E69, "PCT_OWNED_INSTN_INVEST_MGRS")</f>
        <v>NA</v>
      </c>
      <c r="Z69" s="11" t="str">
        <f>_xll.SNL.Clients.Office.Excel.Functions.SPG(E69, "PCT_OWNED_INSTN_REIT")</f>
        <v>NA</v>
      </c>
      <c r="AA69" s="11" t="str">
        <f>_xll.SNL.Clients.Office.Excel.Functions.SPG(E69, "PCT_OWNED_INSTN_UNCLASSIFIED")</f>
        <v>NA</v>
      </c>
      <c r="AB69" s="11" t="str">
        <f>_xll.SNL.Clients.Office.Excel.Functions.SPG(E69, "PCT_OWNED_INSTN_UNION_PENSION_SPONSORS")</f>
        <v>NA</v>
      </c>
      <c r="AC69" s="11" t="str">
        <f>_xll.SNL.Clients.Office.Excel.Functions.SPG(E69, "PCT_OWNED_INSTN_HEDGE_FUND_MGRS_LESS5PCT_STAKE")</f>
        <v>NA</v>
      </c>
      <c r="AD69" s="11" t="str">
        <f>_xll.SNL.Clients.Office.Excel.Functions.SPG(E69, "PCT_OWNED_INSTN_SOVEREIGN_WEALTH_FUNDS_LESS5PCT_STAKE")</f>
        <v>NA</v>
      </c>
      <c r="AE69" s="11" t="str">
        <f>_xll.SNL.Clients.Office.Excel.Functions.SPG(E69, "PCT_OWNED_INSTN_VC/PE_FIRMS_LESS5PCT_STAKE")</f>
        <v>NA</v>
      </c>
      <c r="AF69" s="11" t="str">
        <f>_xll.SNL.Clients.Office.Excel.Functions.SPG(E69, "PCT_OWNED_INSIDERS")</f>
        <v>NA</v>
      </c>
      <c r="AG69" s="11" t="str">
        <f>_xll.SNL.Clients.Office.Excel.Functions.SPG(E69, "PCT_OWNED_STRATEGIC_HEDGE_FUND_MGRS_MORE_EQUAL5PCT_STAKE")</f>
        <v>NA</v>
      </c>
      <c r="AH69" s="11" t="str">
        <f>_xll.SNL.Clients.Office.Excel.Functions.SPG(E69, "PCT_OWNED_STRATEGIC_VC/PE_FIRMS_MORE_EQUAL5PCT_STAKE")</f>
        <v>NA</v>
      </c>
      <c r="AI69" s="11" t="str">
        <f>_xll.SNL.Clients.Office.Excel.Functions.SPG(E69, "PCT_OWNED_STRATEGIC_SOVEREIGN_WEALTH_FUNDS_MORE_EQUAL5PCT_STAKE")</f>
        <v>NA</v>
      </c>
      <c r="AJ69" s="11" t="str">
        <f>_xll.SNL.Clients.Office.Excel.Functions.SPG(E69, "PCT_OWNED_STRATEGIC_COMPANY_CONTROLLED_FOUNDATIONS")</f>
        <v>NA</v>
      </c>
      <c r="AK69" s="11" t="str">
        <f>_xll.SNL.Clients.Office.Excel.Functions.SPG(E69, "PCT_OWNED_STRATEGIC_ESOP")</f>
        <v>NA</v>
      </c>
      <c r="AL69" s="11" t="str">
        <f>_xll.SNL.Clients.Office.Excel.Functions.SPG(E69, "PCT_OWNED_STRATEGIC_STATE_OWNER")</f>
        <v>NA</v>
      </c>
      <c r="AM69" s="11" t="str">
        <f>_xll.SNL.Clients.Office.Excel.Functions.SPG(E69, "PCT_OWNED_STRATEGIC_CORPORATIONS_PRIVATE")</f>
        <v>NA</v>
      </c>
      <c r="AN69" s="11" t="str">
        <f>_xll.SNL.Clients.Office.Excel.Functions.SPG(E69, "PCT_OWNED_STRATEGIC_CORPORATIONS_PUBLIC")</f>
        <v>NA</v>
      </c>
    </row>
    <row r="70" spans="1:40" x14ac:dyDescent="0.35">
      <c r="A70" s="5">
        <v>46022</v>
      </c>
      <c r="B70" s="4" t="s">
        <v>255</v>
      </c>
      <c r="C70" s="4" t="s">
        <v>256</v>
      </c>
      <c r="D70" s="4" t="s">
        <v>257</v>
      </c>
      <c r="E70" s="8">
        <v>4353521</v>
      </c>
      <c r="F70" s="7">
        <v>100</v>
      </c>
      <c r="G70" s="9" t="str">
        <f>_xll.SNL.Clients.Office.Excel.Functions.SPG(E70, "SP_COMPANY_TYPE")</f>
        <v>Public Company</v>
      </c>
      <c r="H70" s="10" t="str">
        <f>_xll.SNL.Clients.Office.Excel.Functions.SPG(E70, "SP_COUNTRY_NAME")</f>
        <v>Indonesia</v>
      </c>
      <c r="J70" t="str">
        <f>_xll.SNL.Clients.Office.Excel.Functions.SPG(E70, "SP_PARENT_COUNTRY")</f>
        <v/>
      </c>
      <c r="K70" s="9" t="str">
        <f>_xll.SNL.Clients.Office.Excel.Functions.SPG(E70, "SP_PARENT_COMPANY_ID")</f>
        <v/>
      </c>
      <c r="L70" t="str">
        <f>_xll.SNL.Clients.Office.Excel.Functions.SPG(K70, "SP_COMPANY_TYPE")</f>
        <v>#INVALID COMPANY ID</v>
      </c>
      <c r="M70" s="9" t="str">
        <f>_xll.SNL.Clients.Office.Excel.Functions.SPG(E70, "SP_ULT_PARENT_COMPANY_NAME")</f>
        <v/>
      </c>
      <c r="N70" s="9" t="str">
        <f>_xll.SNL.Clients.Office.Excel.Functions.SPG(E70, "SP_ULT_PARENT_COUNTRY")</f>
        <v/>
      </c>
      <c r="O70" s="9" t="str">
        <f>_xll.SNL.Clients.Office.Excel.Functions.SPG(E70, "SP_ULT_PARENT_COMPANY_ID")</f>
        <v>NA</v>
      </c>
      <c r="P70" t="str">
        <f>_xll.SNL.Clients.Office.Excel.Functions.SPG(O70, "SP_COMPANY_TYPE")</f>
        <v>Public Company</v>
      </c>
      <c r="Q70" s="11">
        <f>_xll.SNL.Clients.Office.Excel.Functions.SPG(E70, "SP_PCT_SHARES_OWNED_ALL_INSTITUTIONS")</f>
        <v>7.5</v>
      </c>
      <c r="R70" s="11">
        <f>_xll.SNL.Clients.Office.Excel.Functions.SPG(E70, "PCT_OWNED_INSTN_BANKS/INVEST_BANKS")</f>
        <v>0.19</v>
      </c>
      <c r="S70" s="11" t="str">
        <f>_xll.SNL.Clients.Office.Excel.Functions.SPG(E70, "PCT_OWNED_INSTN_CHARITABLE_FOUNDATIONS")</f>
        <v>NA</v>
      </c>
      <c r="T70" s="11">
        <f>_xll.SNL.Clients.Office.Excel.Functions.SPG(E70, "PCT_OWNED_INSTN_CORP_PENSION_SPONSORS")</f>
        <v>0.17</v>
      </c>
      <c r="U70" s="11" t="str">
        <f>_xll.SNL.Clients.Office.Excel.Functions.SPG(E70, "PCT_OWNED_INSTN_EDUCATIONAL/CULTURAL_ENDOWMENTS")</f>
        <v>NA</v>
      </c>
      <c r="V70" s="11" t="str">
        <f>_xll.SNL.Clients.Office.Excel.Functions.SPG(E70, "PCT_OWNED_INSTN_FAMILY_OFFICES/TRUSTS")</f>
        <v>NA</v>
      </c>
      <c r="W70" s="11" t="str">
        <f>_xll.SNL.Clients.Office.Excel.Functions.SPG(E70, "PCT_OWNED_INSTN_GOVT_PENSION_SPONSORS")</f>
        <v>NA</v>
      </c>
      <c r="X70" s="11">
        <f>_xll.SNL.Clients.Office.Excel.Functions.SPG(E70, "PCT_OWNED_INSTN_INSURANCE_COMPANIES")</f>
        <v>0.65</v>
      </c>
      <c r="Y70" s="11">
        <f>_xll.SNL.Clients.Office.Excel.Functions.SPG(E70, "PCT_OWNED_INSTN_INVEST_MGRS")</f>
        <v>4.8600000000000003</v>
      </c>
      <c r="Z70" s="11" t="str">
        <f>_xll.SNL.Clients.Office.Excel.Functions.SPG(E70, "PCT_OWNED_INSTN_REIT")</f>
        <v>NA</v>
      </c>
      <c r="AA70" s="11">
        <f>_xll.SNL.Clients.Office.Excel.Functions.SPG(E70, "PCT_OWNED_INSTN_UNCLASSIFIED")</f>
        <v>0.01</v>
      </c>
      <c r="AB70" s="11" t="str">
        <f>_xll.SNL.Clients.Office.Excel.Functions.SPG(E70, "PCT_OWNED_INSTN_UNION_PENSION_SPONSORS")</f>
        <v>NA</v>
      </c>
      <c r="AC70" s="11" t="str">
        <f>_xll.SNL.Clients.Office.Excel.Functions.SPG(E70, "PCT_OWNED_INSTN_HEDGE_FUND_MGRS_LESS5PCT_STAKE")</f>
        <v>NA</v>
      </c>
      <c r="AD70" s="11">
        <f>_xll.SNL.Clients.Office.Excel.Functions.SPG(E70, "PCT_OWNED_INSTN_SOVEREIGN_WEALTH_FUNDS_LESS5PCT_STAKE")</f>
        <v>1.61</v>
      </c>
      <c r="AE70" s="11" t="str">
        <f>_xll.SNL.Clients.Office.Excel.Functions.SPG(E70, "PCT_OWNED_INSTN_VC/PE_FIRMS_LESS5PCT_STAKE")</f>
        <v>NA</v>
      </c>
      <c r="AF70" s="11">
        <f>_xll.SNL.Clients.Office.Excel.Functions.SPG(E70, "PCT_OWNED_INSIDERS")</f>
        <v>0</v>
      </c>
      <c r="AG70" s="11" t="str">
        <f>_xll.SNL.Clients.Office.Excel.Functions.SPG(E70, "PCT_OWNED_STRATEGIC_HEDGE_FUND_MGRS_MORE_EQUAL5PCT_STAKE")</f>
        <v>NA</v>
      </c>
      <c r="AH70" s="11" t="str">
        <f>_xll.SNL.Clients.Office.Excel.Functions.SPG(E70, "PCT_OWNED_STRATEGIC_VC/PE_FIRMS_MORE_EQUAL5PCT_STAKE")</f>
        <v>NA</v>
      </c>
      <c r="AI70" s="11" t="str">
        <f>_xll.SNL.Clients.Office.Excel.Functions.SPG(E70, "PCT_OWNED_STRATEGIC_SOVEREIGN_WEALTH_FUNDS_MORE_EQUAL5PCT_STAKE")</f>
        <v>NA</v>
      </c>
      <c r="AJ70" s="11" t="str">
        <f>_xll.SNL.Clients.Office.Excel.Functions.SPG(E70, "PCT_OWNED_STRATEGIC_COMPANY_CONTROLLED_FOUNDATIONS")</f>
        <v>NA</v>
      </c>
      <c r="AK70" s="11" t="str">
        <f>_xll.SNL.Clients.Office.Excel.Functions.SPG(E70, "PCT_OWNED_STRATEGIC_ESOP")</f>
        <v>NA</v>
      </c>
      <c r="AL70" s="11">
        <f>_xll.SNL.Clients.Office.Excel.Functions.SPG(E70, "PCT_OWNED_STRATEGIC_STATE_OWNER")</f>
        <v>1.6</v>
      </c>
      <c r="AM70" s="11">
        <f>_xll.SNL.Clients.Office.Excel.Functions.SPG(E70, "PCT_OWNED_STRATEGIC_CORPORATIONS_PRIVATE")</f>
        <v>36.85</v>
      </c>
      <c r="AN70" s="11">
        <f>_xll.SNL.Clients.Office.Excel.Functions.SPG(E70, "PCT_OWNED_STRATEGIC_CORPORATIONS_PUBLIC")</f>
        <v>45.36</v>
      </c>
    </row>
    <row r="71" spans="1:40" x14ac:dyDescent="0.35">
      <c r="A71" s="5">
        <v>46022</v>
      </c>
      <c r="B71" s="4" t="s">
        <v>115</v>
      </c>
      <c r="C71" s="4" t="s">
        <v>116</v>
      </c>
      <c r="D71" s="4" t="s">
        <v>233</v>
      </c>
      <c r="E71" s="8">
        <v>4113732</v>
      </c>
      <c r="F71" s="7">
        <v>100</v>
      </c>
      <c r="G71" s="9" t="str">
        <f>_xll.SNL.Clients.Office.Excel.Functions.SPG(E71, "SP_COMPANY_TYPE")</f>
        <v>Public Company</v>
      </c>
      <c r="H71" s="10" t="str">
        <f>_xll.SNL.Clients.Office.Excel.Functions.SPG(E71, "SP_COUNTRY_NAME")</f>
        <v>Switzerland</v>
      </c>
      <c r="J71" t="str">
        <f>_xll.SNL.Clients.Office.Excel.Functions.SPG(E71, "SP_PARENT_COUNTRY")</f>
        <v/>
      </c>
      <c r="K71" s="9" t="str">
        <f>_xll.SNL.Clients.Office.Excel.Functions.SPG(E71, "SP_PARENT_COMPANY_ID")</f>
        <v/>
      </c>
      <c r="L71" t="str">
        <f>_xll.SNL.Clients.Office.Excel.Functions.SPG(K71, "SP_COMPANY_TYPE")</f>
        <v>#INVALID COMPANY ID</v>
      </c>
      <c r="M71" s="9" t="str">
        <f>_xll.SNL.Clients.Office.Excel.Functions.SPG(E71, "SP_ULT_PARENT_COMPANY_NAME")</f>
        <v/>
      </c>
      <c r="N71" s="9" t="str">
        <f>_xll.SNL.Clients.Office.Excel.Functions.SPG(E71, "SP_ULT_PARENT_COUNTRY")</f>
        <v/>
      </c>
      <c r="O71" s="9" t="str">
        <f>_xll.SNL.Clients.Office.Excel.Functions.SPG(E71, "SP_ULT_PARENT_COMPANY_ID")</f>
        <v>NA</v>
      </c>
      <c r="P71" t="str">
        <f>_xll.SNL.Clients.Office.Excel.Functions.SPG(O71, "SP_COMPANY_TYPE")</f>
        <v>Public Company</v>
      </c>
      <c r="Q71" s="11">
        <f>_xll.SNL.Clients.Office.Excel.Functions.SPG(E71, "SP_PCT_SHARES_OWNED_ALL_INSTITUTIONS")</f>
        <v>61.77</v>
      </c>
      <c r="R71" s="11">
        <f>_xll.SNL.Clients.Office.Excel.Functions.SPG(E71, "PCT_OWNED_INSTN_BANKS/INVEST_BANKS")</f>
        <v>3.68</v>
      </c>
      <c r="S71" s="11">
        <f>_xll.SNL.Clients.Office.Excel.Functions.SPG(E71, "PCT_OWNED_INSTN_CHARITABLE_FOUNDATIONS")</f>
        <v>1.77</v>
      </c>
      <c r="T71" s="11">
        <f>_xll.SNL.Clients.Office.Excel.Functions.SPG(E71, "PCT_OWNED_INSTN_CORP_PENSION_SPONSORS")</f>
        <v>0.03</v>
      </c>
      <c r="U71" s="11" t="str">
        <f>_xll.SNL.Clients.Office.Excel.Functions.SPG(E71, "PCT_OWNED_INSTN_EDUCATIONAL/CULTURAL_ENDOWMENTS")</f>
        <v>NA</v>
      </c>
      <c r="V71" s="11">
        <f>_xll.SNL.Clients.Office.Excel.Functions.SPG(E71, "PCT_OWNED_INSTN_FAMILY_OFFICES/TRUSTS")</f>
        <v>0</v>
      </c>
      <c r="W71" s="11">
        <f>_xll.SNL.Clients.Office.Excel.Functions.SPG(E71, "PCT_OWNED_INSTN_GOVT_PENSION_SPONSORS")</f>
        <v>0.28999999999999998</v>
      </c>
      <c r="X71" s="11">
        <f>_xll.SNL.Clients.Office.Excel.Functions.SPG(E71, "PCT_OWNED_INSTN_INSURANCE_COMPANIES")</f>
        <v>0.08</v>
      </c>
      <c r="Y71" s="11">
        <f>_xll.SNL.Clients.Office.Excel.Functions.SPG(E71, "PCT_OWNED_INSTN_INVEST_MGRS")</f>
        <v>54.18</v>
      </c>
      <c r="Z71" s="11" t="str">
        <f>_xll.SNL.Clients.Office.Excel.Functions.SPG(E71, "PCT_OWNED_INSTN_REIT")</f>
        <v>NA</v>
      </c>
      <c r="AA71" s="11">
        <f>_xll.SNL.Clients.Office.Excel.Functions.SPG(E71, "PCT_OWNED_INSTN_UNCLASSIFIED")</f>
        <v>0.15</v>
      </c>
      <c r="AB71" s="11" t="str">
        <f>_xll.SNL.Clients.Office.Excel.Functions.SPG(E71, "PCT_OWNED_INSTN_UNION_PENSION_SPONSORS")</f>
        <v>NA</v>
      </c>
      <c r="AC71" s="11">
        <f>_xll.SNL.Clients.Office.Excel.Functions.SPG(E71, "PCT_OWNED_INSTN_HEDGE_FUND_MGRS_LESS5PCT_STAKE")</f>
        <v>0.25</v>
      </c>
      <c r="AD71" s="11">
        <f>_xll.SNL.Clients.Office.Excel.Functions.SPG(E71, "PCT_OWNED_INSTN_SOVEREIGN_WEALTH_FUNDS_LESS5PCT_STAKE")</f>
        <v>1.1100000000000001</v>
      </c>
      <c r="AE71" s="11">
        <f>_xll.SNL.Clients.Office.Excel.Functions.SPG(E71, "PCT_OWNED_INSTN_VC/PE_FIRMS_LESS5PCT_STAKE")</f>
        <v>0.23</v>
      </c>
      <c r="AF71" s="11">
        <f>_xll.SNL.Clients.Office.Excel.Functions.SPG(E71, "PCT_OWNED_INSIDERS")</f>
        <v>12.83</v>
      </c>
      <c r="AG71" s="11" t="str">
        <f>_xll.SNL.Clients.Office.Excel.Functions.SPG(E71, "PCT_OWNED_STRATEGIC_HEDGE_FUND_MGRS_MORE_EQUAL5PCT_STAKE")</f>
        <v>NA</v>
      </c>
      <c r="AH71" s="11">
        <f>_xll.SNL.Clients.Office.Excel.Functions.SPG(E71, "PCT_OWNED_STRATEGIC_VC/PE_FIRMS_MORE_EQUAL5PCT_STAKE")</f>
        <v>8.93</v>
      </c>
      <c r="AI71" s="11" t="str">
        <f>_xll.SNL.Clients.Office.Excel.Functions.SPG(E71, "PCT_OWNED_STRATEGIC_SOVEREIGN_WEALTH_FUNDS_MORE_EQUAL5PCT_STAKE")</f>
        <v>NA</v>
      </c>
      <c r="AJ71" s="11" t="str">
        <f>_xll.SNL.Clients.Office.Excel.Functions.SPG(E71, "PCT_OWNED_STRATEGIC_COMPANY_CONTROLLED_FOUNDATIONS")</f>
        <v>NA</v>
      </c>
      <c r="AK71" s="11">
        <f>_xll.SNL.Clients.Office.Excel.Functions.SPG(E71, "PCT_OWNED_STRATEGIC_ESOP")</f>
        <v>0.19</v>
      </c>
      <c r="AL71" s="11">
        <f>_xll.SNL.Clients.Office.Excel.Functions.SPG(E71, "PCT_OWNED_STRATEGIC_STATE_OWNER")</f>
        <v>0.05</v>
      </c>
      <c r="AM71" s="11">
        <f>_xll.SNL.Clients.Office.Excel.Functions.SPG(E71, "PCT_OWNED_STRATEGIC_CORPORATIONS_PRIVATE")</f>
        <v>0.02</v>
      </c>
      <c r="AN71" s="11" t="str">
        <f>_xll.SNL.Clients.Office.Excel.Functions.SPG(E71, "PCT_OWNED_STRATEGIC_CORPORATIONS_PUBLIC")</f>
        <v>NA</v>
      </c>
    </row>
    <row r="72" spans="1:40" x14ac:dyDescent="0.35">
      <c r="A72" s="5">
        <v>46022</v>
      </c>
      <c r="B72" s="4" t="s">
        <v>131</v>
      </c>
      <c r="C72" s="4" t="s">
        <v>132</v>
      </c>
      <c r="D72" s="4" t="s">
        <v>251</v>
      </c>
      <c r="E72" s="8">
        <v>4352804</v>
      </c>
      <c r="F72" s="7">
        <v>65</v>
      </c>
      <c r="G72" s="9" t="str">
        <f>_xll.SNL.Clients.Office.Excel.Functions.SPG(E72, "SP_COMPANY_TYPE")</f>
        <v>Public Company</v>
      </c>
      <c r="H72" s="10" t="str">
        <f>_xll.SNL.Clients.Office.Excel.Functions.SPG(E72, "SP_COUNTRY_NAME")</f>
        <v>Philippines</v>
      </c>
      <c r="J72" t="str">
        <f>_xll.SNL.Clients.Office.Excel.Functions.SPG(E72, "SP_PARENT_COUNTRY")</f>
        <v/>
      </c>
      <c r="K72" s="9" t="str">
        <f>_xll.SNL.Clients.Office.Excel.Functions.SPG(E72, "SP_PARENT_COMPANY_ID")</f>
        <v/>
      </c>
      <c r="L72" t="str">
        <f>_xll.SNL.Clients.Office.Excel.Functions.SPG(K72, "SP_COMPANY_TYPE")</f>
        <v>#INVALID COMPANY ID</v>
      </c>
      <c r="M72" s="9" t="str">
        <f>_xll.SNL.Clients.Office.Excel.Functions.SPG(E72, "SP_ULT_PARENT_COMPANY_NAME")</f>
        <v/>
      </c>
      <c r="N72" s="9" t="str">
        <f>_xll.SNL.Clients.Office.Excel.Functions.SPG(E72, "SP_ULT_PARENT_COUNTRY")</f>
        <v/>
      </c>
      <c r="O72" s="9" t="str">
        <f>_xll.SNL.Clients.Office.Excel.Functions.SPG(E72, "SP_ULT_PARENT_COMPANY_ID")</f>
        <v>NA</v>
      </c>
      <c r="P72" t="str">
        <f>_xll.SNL.Clients.Office.Excel.Functions.SPG(O72, "SP_COMPANY_TYPE")</f>
        <v>Public Company</v>
      </c>
      <c r="Q72" s="11">
        <f>_xll.SNL.Clients.Office.Excel.Functions.SPG(E72, "SP_PCT_SHARES_OWNED_ALL_INSTITUTIONS")</f>
        <v>17.02</v>
      </c>
      <c r="R72" s="11">
        <f>_xll.SNL.Clients.Office.Excel.Functions.SPG(E72, "PCT_OWNED_INSTN_BANKS/INVEST_BANKS")</f>
        <v>13.14</v>
      </c>
      <c r="S72" s="11" t="str">
        <f>_xll.SNL.Clients.Office.Excel.Functions.SPG(E72, "PCT_OWNED_INSTN_CHARITABLE_FOUNDATIONS")</f>
        <v>NA</v>
      </c>
      <c r="T72" s="11" t="str">
        <f>_xll.SNL.Clients.Office.Excel.Functions.SPG(E72, "PCT_OWNED_INSTN_CORP_PENSION_SPONSORS")</f>
        <v>NA</v>
      </c>
      <c r="U72" s="11" t="str">
        <f>_xll.SNL.Clients.Office.Excel.Functions.SPG(E72, "PCT_OWNED_INSTN_EDUCATIONAL/CULTURAL_ENDOWMENTS")</f>
        <v>NA</v>
      </c>
      <c r="V72" s="11" t="str">
        <f>_xll.SNL.Clients.Office.Excel.Functions.SPG(E72, "PCT_OWNED_INSTN_FAMILY_OFFICES/TRUSTS")</f>
        <v>NA</v>
      </c>
      <c r="W72" s="11" t="str">
        <f>_xll.SNL.Clients.Office.Excel.Functions.SPG(E72, "PCT_OWNED_INSTN_GOVT_PENSION_SPONSORS")</f>
        <v>NA</v>
      </c>
      <c r="X72" s="11" t="str">
        <f>_xll.SNL.Clients.Office.Excel.Functions.SPG(E72, "PCT_OWNED_INSTN_INSURANCE_COMPANIES")</f>
        <v>NA</v>
      </c>
      <c r="Y72" s="11">
        <f>_xll.SNL.Clients.Office.Excel.Functions.SPG(E72, "PCT_OWNED_INSTN_INVEST_MGRS")</f>
        <v>0.81</v>
      </c>
      <c r="Z72" s="11" t="str">
        <f>_xll.SNL.Clients.Office.Excel.Functions.SPG(E72, "PCT_OWNED_INSTN_REIT")</f>
        <v>NA</v>
      </c>
      <c r="AA72" s="11" t="str">
        <f>_xll.SNL.Clients.Office.Excel.Functions.SPG(E72, "PCT_OWNED_INSTN_UNCLASSIFIED")</f>
        <v>NA</v>
      </c>
      <c r="AB72" s="11" t="str">
        <f>_xll.SNL.Clients.Office.Excel.Functions.SPG(E72, "PCT_OWNED_INSTN_UNION_PENSION_SPONSORS")</f>
        <v>NA</v>
      </c>
      <c r="AC72" s="11" t="str">
        <f>_xll.SNL.Clients.Office.Excel.Functions.SPG(E72, "PCT_OWNED_INSTN_HEDGE_FUND_MGRS_LESS5PCT_STAKE")</f>
        <v>NA</v>
      </c>
      <c r="AD72" s="11">
        <f>_xll.SNL.Clients.Office.Excel.Functions.SPG(E72, "PCT_OWNED_INSTN_SOVEREIGN_WEALTH_FUNDS_LESS5PCT_STAKE")</f>
        <v>3.06</v>
      </c>
      <c r="AE72" s="11" t="str">
        <f>_xll.SNL.Clients.Office.Excel.Functions.SPG(E72, "PCT_OWNED_INSTN_VC/PE_FIRMS_LESS5PCT_STAKE")</f>
        <v>NA</v>
      </c>
      <c r="AF72" s="11">
        <f>_xll.SNL.Clients.Office.Excel.Functions.SPG(E72, "PCT_OWNED_INSIDERS")</f>
        <v>8.84</v>
      </c>
      <c r="AG72" s="11" t="str">
        <f>_xll.SNL.Clients.Office.Excel.Functions.SPG(E72, "PCT_OWNED_STRATEGIC_HEDGE_FUND_MGRS_MORE_EQUAL5PCT_STAKE")</f>
        <v>NA</v>
      </c>
      <c r="AH72" s="11" t="str">
        <f>_xll.SNL.Clients.Office.Excel.Functions.SPG(E72, "PCT_OWNED_STRATEGIC_VC/PE_FIRMS_MORE_EQUAL5PCT_STAKE")</f>
        <v>NA</v>
      </c>
      <c r="AI72" s="11" t="str">
        <f>_xll.SNL.Clients.Office.Excel.Functions.SPG(E72, "PCT_OWNED_STRATEGIC_SOVEREIGN_WEALTH_FUNDS_MORE_EQUAL5PCT_STAKE")</f>
        <v>NA</v>
      </c>
      <c r="AJ72" s="11" t="str">
        <f>_xll.SNL.Clients.Office.Excel.Functions.SPG(E72, "PCT_OWNED_STRATEGIC_COMPANY_CONTROLLED_FOUNDATIONS")</f>
        <v>NA</v>
      </c>
      <c r="AK72" s="11" t="str">
        <f>_xll.SNL.Clients.Office.Excel.Functions.SPG(E72, "PCT_OWNED_STRATEGIC_ESOP")</f>
        <v>NA</v>
      </c>
      <c r="AL72" s="11" t="str">
        <f>_xll.SNL.Clients.Office.Excel.Functions.SPG(E72, "PCT_OWNED_STRATEGIC_STATE_OWNER")</f>
        <v>NA</v>
      </c>
      <c r="AM72" s="11">
        <f>_xll.SNL.Clients.Office.Excel.Functions.SPG(E72, "PCT_OWNED_STRATEGIC_CORPORATIONS_PRIVATE")</f>
        <v>25.63</v>
      </c>
      <c r="AN72" s="11">
        <f>_xll.SNL.Clients.Office.Excel.Functions.SPG(E72, "PCT_OWNED_STRATEGIC_CORPORATIONS_PUBLIC")</f>
        <v>25.94</v>
      </c>
    </row>
    <row r="73" spans="1:40" x14ac:dyDescent="0.35">
      <c r="A73" s="5">
        <v>46022</v>
      </c>
      <c r="B73" s="4" t="s">
        <v>131</v>
      </c>
      <c r="C73" s="4" t="s">
        <v>132</v>
      </c>
      <c r="D73" s="4" t="s">
        <v>252</v>
      </c>
      <c r="E73" s="8">
        <v>4557435</v>
      </c>
      <c r="F73" s="7">
        <v>33.5</v>
      </c>
      <c r="G73" s="9" t="str">
        <f>_xll.SNL.Clients.Office.Excel.Functions.SPG(E73, "SP_COMPANY_TYPE")</f>
        <v>Public Company</v>
      </c>
      <c r="H73" s="10" t="str">
        <f>_xll.SNL.Clients.Office.Excel.Functions.SPG(E73, "SP_COUNTRY_NAME")</f>
        <v>Japan</v>
      </c>
      <c r="J73" t="str">
        <f>_xll.SNL.Clients.Office.Excel.Functions.SPG(E73, "SP_PARENT_COUNTRY")</f>
        <v/>
      </c>
      <c r="K73" s="9" t="str">
        <f>_xll.SNL.Clients.Office.Excel.Functions.SPG(E73, "SP_PARENT_COMPANY_ID")</f>
        <v/>
      </c>
      <c r="L73" t="str">
        <f>_xll.SNL.Clients.Office.Excel.Functions.SPG(K73, "SP_COMPANY_TYPE")</f>
        <v>#INVALID COMPANY ID</v>
      </c>
      <c r="M73" s="9" t="str">
        <f>_xll.SNL.Clients.Office.Excel.Functions.SPG(E73, "SP_ULT_PARENT_COMPANY_NAME")</f>
        <v/>
      </c>
      <c r="N73" s="9" t="str">
        <f>_xll.SNL.Clients.Office.Excel.Functions.SPG(E73, "SP_ULT_PARENT_COUNTRY")</f>
        <v/>
      </c>
      <c r="O73" s="9" t="str">
        <f>_xll.SNL.Clients.Office.Excel.Functions.SPG(E73, "SP_ULT_PARENT_COMPANY_ID")</f>
        <v>NA</v>
      </c>
      <c r="P73" t="str">
        <f>_xll.SNL.Clients.Office.Excel.Functions.SPG(O73, "SP_COMPANY_TYPE")</f>
        <v>Public Company</v>
      </c>
      <c r="Q73" s="11">
        <f>_xll.SNL.Clients.Office.Excel.Functions.SPG(E73, "SP_PCT_SHARES_OWNED_ALL_INSTITUTIONS")</f>
        <v>16.5</v>
      </c>
      <c r="R73" s="11">
        <f>_xll.SNL.Clients.Office.Excel.Functions.SPG(E73, "PCT_OWNED_INSTN_BANKS/INVEST_BANKS")</f>
        <v>-7.84</v>
      </c>
      <c r="S73" s="11" t="str">
        <f>_xll.SNL.Clients.Office.Excel.Functions.SPG(E73, "PCT_OWNED_INSTN_CHARITABLE_FOUNDATIONS")</f>
        <v>NA</v>
      </c>
      <c r="T73" s="11" t="str">
        <f>_xll.SNL.Clients.Office.Excel.Functions.SPG(E73, "PCT_OWNED_INSTN_CORP_PENSION_SPONSORS")</f>
        <v>NA</v>
      </c>
      <c r="U73" s="11" t="str">
        <f>_xll.SNL.Clients.Office.Excel.Functions.SPG(E73, "PCT_OWNED_INSTN_EDUCATIONAL/CULTURAL_ENDOWMENTS")</f>
        <v>NA</v>
      </c>
      <c r="V73" s="11" t="str">
        <f>_xll.SNL.Clients.Office.Excel.Functions.SPG(E73, "PCT_OWNED_INSTN_FAMILY_OFFICES/TRUSTS")</f>
        <v>NA</v>
      </c>
      <c r="W73" s="11" t="str">
        <f>_xll.SNL.Clients.Office.Excel.Functions.SPG(E73, "PCT_OWNED_INSTN_GOVT_PENSION_SPONSORS")</f>
        <v>NA</v>
      </c>
      <c r="X73" s="11" t="str">
        <f>_xll.SNL.Clients.Office.Excel.Functions.SPG(E73, "PCT_OWNED_INSTN_INSURANCE_COMPANIES")</f>
        <v>NA</v>
      </c>
      <c r="Y73" s="11">
        <f>_xll.SNL.Clients.Office.Excel.Functions.SPG(E73, "PCT_OWNED_INSTN_INVEST_MGRS")</f>
        <v>20.47</v>
      </c>
      <c r="Z73" s="11" t="str">
        <f>_xll.SNL.Clients.Office.Excel.Functions.SPG(E73, "PCT_OWNED_INSTN_REIT")</f>
        <v>NA</v>
      </c>
      <c r="AA73" s="11">
        <f>_xll.SNL.Clients.Office.Excel.Functions.SPG(E73, "PCT_OWNED_INSTN_UNCLASSIFIED")</f>
        <v>1.48</v>
      </c>
      <c r="AB73" s="11" t="str">
        <f>_xll.SNL.Clients.Office.Excel.Functions.SPG(E73, "PCT_OWNED_INSTN_UNION_PENSION_SPONSORS")</f>
        <v>NA</v>
      </c>
      <c r="AC73" s="11">
        <f>_xll.SNL.Clients.Office.Excel.Functions.SPG(E73, "PCT_OWNED_INSTN_HEDGE_FUND_MGRS_LESS5PCT_STAKE")</f>
        <v>2.39</v>
      </c>
      <c r="AD73" s="11" t="str">
        <f>_xll.SNL.Clients.Office.Excel.Functions.SPG(E73, "PCT_OWNED_INSTN_SOVEREIGN_WEALTH_FUNDS_LESS5PCT_STAKE")</f>
        <v>NA</v>
      </c>
      <c r="AE73" s="11" t="str">
        <f>_xll.SNL.Clients.Office.Excel.Functions.SPG(E73, "PCT_OWNED_INSTN_VC/PE_FIRMS_LESS5PCT_STAKE")</f>
        <v>NA</v>
      </c>
      <c r="AF73" s="11">
        <f>_xll.SNL.Clients.Office.Excel.Functions.SPG(E73, "PCT_OWNED_INSIDERS")</f>
        <v>0.22</v>
      </c>
      <c r="AG73" s="11" t="str">
        <f>_xll.SNL.Clients.Office.Excel.Functions.SPG(E73, "PCT_OWNED_STRATEGIC_HEDGE_FUND_MGRS_MORE_EQUAL5PCT_STAKE")</f>
        <v>NA</v>
      </c>
      <c r="AH73" s="11" t="str">
        <f>_xll.SNL.Clients.Office.Excel.Functions.SPG(E73, "PCT_OWNED_STRATEGIC_VC/PE_FIRMS_MORE_EQUAL5PCT_STAKE")</f>
        <v>NA</v>
      </c>
      <c r="AI73" s="11" t="str">
        <f>_xll.SNL.Clients.Office.Excel.Functions.SPG(E73, "PCT_OWNED_STRATEGIC_SOVEREIGN_WEALTH_FUNDS_MORE_EQUAL5PCT_STAKE")</f>
        <v>NA</v>
      </c>
      <c r="AJ73" s="11" t="str">
        <f>_xll.SNL.Clients.Office.Excel.Functions.SPG(E73, "PCT_OWNED_STRATEGIC_COMPANY_CONTROLLED_FOUNDATIONS")</f>
        <v>NA</v>
      </c>
      <c r="AK73" s="11">
        <f>_xll.SNL.Clients.Office.Excel.Functions.SPG(E73, "PCT_OWNED_STRATEGIC_ESOP")</f>
        <v>1.4</v>
      </c>
      <c r="AL73" s="11" t="str">
        <f>_xll.SNL.Clients.Office.Excel.Functions.SPG(E73, "PCT_OWNED_STRATEGIC_STATE_OWNER")</f>
        <v>NA</v>
      </c>
      <c r="AM73" s="11">
        <f>_xll.SNL.Clients.Office.Excel.Functions.SPG(E73, "PCT_OWNED_STRATEGIC_CORPORATIONS_PRIVATE")</f>
        <v>5.42</v>
      </c>
      <c r="AN73" s="11" t="str">
        <f>_xll.SNL.Clients.Office.Excel.Functions.SPG(E73, "PCT_OWNED_STRATEGIC_CORPORATIONS_PUBLIC")</f>
        <v>NA</v>
      </c>
    </row>
    <row r="74" spans="1:40" x14ac:dyDescent="0.35">
      <c r="A74" s="5">
        <v>46022</v>
      </c>
      <c r="B74" s="4" t="s">
        <v>131</v>
      </c>
      <c r="C74" s="4" t="s">
        <v>132</v>
      </c>
      <c r="D74" s="4" t="s">
        <v>253</v>
      </c>
      <c r="E74" s="8">
        <v>4096231</v>
      </c>
      <c r="F74" s="7">
        <v>1.5</v>
      </c>
      <c r="G74" s="9" t="str">
        <f>_xll.SNL.Clients.Office.Excel.Functions.SPG(E74, "SP_COMPANY_TYPE")</f>
        <v>Public Company</v>
      </c>
      <c r="H74" s="10" t="str">
        <f>_xll.SNL.Clients.Office.Excel.Functions.SPG(E74, "SP_COUNTRY_NAME")</f>
        <v>Japan</v>
      </c>
      <c r="J74" t="str">
        <f>_xll.SNL.Clients.Office.Excel.Functions.SPG(E74, "SP_PARENT_COUNTRY")</f>
        <v/>
      </c>
      <c r="K74" s="9" t="str">
        <f>_xll.SNL.Clients.Office.Excel.Functions.SPG(E74, "SP_PARENT_COMPANY_ID")</f>
        <v/>
      </c>
      <c r="L74" t="str">
        <f>_xll.SNL.Clients.Office.Excel.Functions.SPG(K74, "SP_COMPANY_TYPE")</f>
        <v>#INVALID COMPANY ID</v>
      </c>
      <c r="M74" s="9" t="str">
        <f>_xll.SNL.Clients.Office.Excel.Functions.SPG(E74, "SP_ULT_PARENT_COMPANY_NAME")</f>
        <v/>
      </c>
      <c r="N74" s="9" t="str">
        <f>_xll.SNL.Clients.Office.Excel.Functions.SPG(E74, "SP_ULT_PARENT_COUNTRY")</f>
        <v/>
      </c>
      <c r="O74" s="9" t="str">
        <f>_xll.SNL.Clients.Office.Excel.Functions.SPG(E74, "SP_ULT_PARENT_COMPANY_ID")</f>
        <v>NA</v>
      </c>
      <c r="P74" t="str">
        <f>_xll.SNL.Clients.Office.Excel.Functions.SPG(O74, "SP_COMPANY_TYPE")</f>
        <v>Public Company</v>
      </c>
      <c r="Q74" s="11">
        <f>_xll.SNL.Clients.Office.Excel.Functions.SPG(E74, "SP_PCT_SHARES_OWNED_ALL_INSTITUTIONS")</f>
        <v>38.81</v>
      </c>
      <c r="R74" s="11">
        <f>_xll.SNL.Clients.Office.Excel.Functions.SPG(E74, "PCT_OWNED_INSTN_BANKS/INVEST_BANKS")</f>
        <v>3.67</v>
      </c>
      <c r="S74" s="11" t="str">
        <f>_xll.SNL.Clients.Office.Excel.Functions.SPG(E74, "PCT_OWNED_INSTN_CHARITABLE_FOUNDATIONS")</f>
        <v>NA</v>
      </c>
      <c r="T74" s="11" t="str">
        <f>_xll.SNL.Clients.Office.Excel.Functions.SPG(E74, "PCT_OWNED_INSTN_CORP_PENSION_SPONSORS")</f>
        <v>NA</v>
      </c>
      <c r="U74" s="11" t="str">
        <f>_xll.SNL.Clients.Office.Excel.Functions.SPG(E74, "PCT_OWNED_INSTN_EDUCATIONAL/CULTURAL_ENDOWMENTS")</f>
        <v>NA</v>
      </c>
      <c r="V74" s="11" t="str">
        <f>_xll.SNL.Clients.Office.Excel.Functions.SPG(E74, "PCT_OWNED_INSTN_FAMILY_OFFICES/TRUSTS")</f>
        <v>NA</v>
      </c>
      <c r="W74" s="11">
        <f>_xll.SNL.Clients.Office.Excel.Functions.SPG(E74, "PCT_OWNED_INSTN_GOVT_PENSION_SPONSORS")</f>
        <v>0.03</v>
      </c>
      <c r="X74" s="11">
        <f>_xll.SNL.Clients.Office.Excel.Functions.SPG(E74, "PCT_OWNED_INSTN_INSURANCE_COMPANIES")</f>
        <v>0.05</v>
      </c>
      <c r="Y74" s="11">
        <f>_xll.SNL.Clients.Office.Excel.Functions.SPG(E74, "PCT_OWNED_INSTN_INVEST_MGRS")</f>
        <v>31.19</v>
      </c>
      <c r="Z74" s="11" t="str">
        <f>_xll.SNL.Clients.Office.Excel.Functions.SPG(E74, "PCT_OWNED_INSTN_REIT")</f>
        <v>NA</v>
      </c>
      <c r="AA74" s="11">
        <f>_xll.SNL.Clients.Office.Excel.Functions.SPG(E74, "PCT_OWNED_INSTN_UNCLASSIFIED")</f>
        <v>1.91</v>
      </c>
      <c r="AB74" s="11" t="str">
        <f>_xll.SNL.Clients.Office.Excel.Functions.SPG(E74, "PCT_OWNED_INSTN_UNION_PENSION_SPONSORS")</f>
        <v>NA</v>
      </c>
      <c r="AC74" s="11">
        <f>_xll.SNL.Clients.Office.Excel.Functions.SPG(E74, "PCT_OWNED_INSTN_HEDGE_FUND_MGRS_LESS5PCT_STAKE")</f>
        <v>0.17</v>
      </c>
      <c r="AD74" s="11">
        <f>_xll.SNL.Clients.Office.Excel.Functions.SPG(E74, "PCT_OWNED_INSTN_SOVEREIGN_WEALTH_FUNDS_LESS5PCT_STAKE")</f>
        <v>1.72</v>
      </c>
      <c r="AE74" s="11">
        <f>_xll.SNL.Clients.Office.Excel.Functions.SPG(E74, "PCT_OWNED_INSTN_VC/PE_FIRMS_LESS5PCT_STAKE")</f>
        <v>0.06</v>
      </c>
      <c r="AF74" s="11">
        <f>_xll.SNL.Clients.Office.Excel.Functions.SPG(E74, "PCT_OWNED_INSIDERS")</f>
        <v>0.18</v>
      </c>
      <c r="AG74" s="11" t="str">
        <f>_xll.SNL.Clients.Office.Excel.Functions.SPG(E74, "PCT_OWNED_STRATEGIC_HEDGE_FUND_MGRS_MORE_EQUAL5PCT_STAKE")</f>
        <v>NA</v>
      </c>
      <c r="AH74" s="11" t="str">
        <f>_xll.SNL.Clients.Office.Excel.Functions.SPG(E74, "PCT_OWNED_STRATEGIC_VC/PE_FIRMS_MORE_EQUAL5PCT_STAKE")</f>
        <v>NA</v>
      </c>
      <c r="AI74" s="11" t="str">
        <f>_xll.SNL.Clients.Office.Excel.Functions.SPG(E74, "PCT_OWNED_STRATEGIC_SOVEREIGN_WEALTH_FUNDS_MORE_EQUAL5PCT_STAKE")</f>
        <v>NA</v>
      </c>
      <c r="AJ74" s="11" t="str">
        <f>_xll.SNL.Clients.Office.Excel.Functions.SPG(E74, "PCT_OWNED_STRATEGIC_COMPANY_CONTROLLED_FOUNDATIONS")</f>
        <v>NA</v>
      </c>
      <c r="AK74" s="11" t="str">
        <f>_xll.SNL.Clients.Office.Excel.Functions.SPG(E74, "PCT_OWNED_STRATEGIC_ESOP")</f>
        <v>NA</v>
      </c>
      <c r="AL74" s="11" t="str">
        <f>_xll.SNL.Clients.Office.Excel.Functions.SPG(E74, "PCT_OWNED_STRATEGIC_STATE_OWNER")</f>
        <v>NA</v>
      </c>
      <c r="AM74" s="11" t="str">
        <f>_xll.SNL.Clients.Office.Excel.Functions.SPG(E74, "PCT_OWNED_STRATEGIC_CORPORATIONS_PRIVATE")</f>
        <v>NA</v>
      </c>
      <c r="AN74" s="11" t="str">
        <f>_xll.SNL.Clients.Office.Excel.Functions.SPG(E74, "PCT_OWNED_STRATEGIC_CORPORATIONS_PUBLIC")</f>
        <v>NA</v>
      </c>
    </row>
    <row r="75" spans="1:40" x14ac:dyDescent="0.35">
      <c r="A75" s="5">
        <v>46022</v>
      </c>
      <c r="B75" s="4" t="s">
        <v>133</v>
      </c>
      <c r="C75" s="4" t="s">
        <v>134</v>
      </c>
      <c r="D75" s="4" t="s">
        <v>235</v>
      </c>
      <c r="E75" s="8">
        <v>4349148</v>
      </c>
      <c r="F75" s="7">
        <v>80</v>
      </c>
      <c r="G75" s="9" t="str">
        <f>_xll.SNL.Clients.Office.Excel.Functions.SPG(E75, "SP_COMPANY_TYPE")</f>
        <v>Public Company</v>
      </c>
      <c r="H75" s="10" t="str">
        <f>_xll.SNL.Clients.Office.Excel.Functions.SPG(E75, "SP_COUNTRY_NAME")</f>
        <v>China</v>
      </c>
      <c r="J75" t="str">
        <f>_xll.SNL.Clients.Office.Excel.Functions.SPG(E75, "SP_PARENT_COUNTRY")</f>
        <v/>
      </c>
      <c r="K75" s="9" t="str">
        <f>_xll.SNL.Clients.Office.Excel.Functions.SPG(E75, "SP_PARENT_COMPANY_ID")</f>
        <v/>
      </c>
      <c r="L75" t="str">
        <f>_xll.SNL.Clients.Office.Excel.Functions.SPG(K75, "SP_COMPANY_TYPE")</f>
        <v>#INVALID COMPANY ID</v>
      </c>
      <c r="M75" s="9" t="str">
        <f>_xll.SNL.Clients.Office.Excel.Functions.SPG(E75, "SP_ULT_PARENT_COMPANY_NAME")</f>
        <v/>
      </c>
      <c r="N75" s="9" t="str">
        <f>_xll.SNL.Clients.Office.Excel.Functions.SPG(E75, "SP_ULT_PARENT_COUNTRY")</f>
        <v/>
      </c>
      <c r="O75" s="9" t="str">
        <f>_xll.SNL.Clients.Office.Excel.Functions.SPG(E75, "SP_ULT_PARENT_COMPANY_ID")</f>
        <v>NA</v>
      </c>
      <c r="P75" t="str">
        <f>_xll.SNL.Clients.Office.Excel.Functions.SPG(O75, "SP_COMPANY_TYPE")</f>
        <v>Public Company</v>
      </c>
      <c r="Q75" s="11">
        <f>_xll.SNL.Clients.Office.Excel.Functions.SPG(E75, "SP_PCT_SHARES_OWNED_ALL_INSTITUTIONS")</f>
        <v>11.65</v>
      </c>
      <c r="R75" s="11">
        <f>_xll.SNL.Clients.Office.Excel.Functions.SPG(E75, "PCT_OWNED_INSTN_BANKS/INVEST_BANKS")</f>
        <v>0.06</v>
      </c>
      <c r="S75" s="11" t="str">
        <f>_xll.SNL.Clients.Office.Excel.Functions.SPG(E75, "PCT_OWNED_INSTN_CHARITABLE_FOUNDATIONS")</f>
        <v>NA</v>
      </c>
      <c r="T75" s="11">
        <f>_xll.SNL.Clients.Office.Excel.Functions.SPG(E75, "PCT_OWNED_INSTN_CORP_PENSION_SPONSORS")</f>
        <v>0</v>
      </c>
      <c r="U75" s="11" t="str">
        <f>_xll.SNL.Clients.Office.Excel.Functions.SPG(E75, "PCT_OWNED_INSTN_EDUCATIONAL/CULTURAL_ENDOWMENTS")</f>
        <v>NA</v>
      </c>
      <c r="V75" s="11" t="str">
        <f>_xll.SNL.Clients.Office.Excel.Functions.SPG(E75, "PCT_OWNED_INSTN_FAMILY_OFFICES/TRUSTS")</f>
        <v>NA</v>
      </c>
      <c r="W75" s="11">
        <f>_xll.SNL.Clients.Office.Excel.Functions.SPG(E75, "PCT_OWNED_INSTN_GOVT_PENSION_SPONSORS")</f>
        <v>0.08</v>
      </c>
      <c r="X75" s="11" t="str">
        <f>_xll.SNL.Clients.Office.Excel.Functions.SPG(E75, "PCT_OWNED_INSTN_INSURANCE_COMPANIES")</f>
        <v>NA</v>
      </c>
      <c r="Y75" s="11">
        <f>_xll.SNL.Clients.Office.Excel.Functions.SPG(E75, "PCT_OWNED_INSTN_INVEST_MGRS")</f>
        <v>10.92</v>
      </c>
      <c r="Z75" s="11" t="str">
        <f>_xll.SNL.Clients.Office.Excel.Functions.SPG(E75, "PCT_OWNED_INSTN_REIT")</f>
        <v>NA</v>
      </c>
      <c r="AA75" s="11">
        <f>_xll.SNL.Clients.Office.Excel.Functions.SPG(E75, "PCT_OWNED_INSTN_UNCLASSIFIED")</f>
        <v>0.02</v>
      </c>
      <c r="AB75" s="11" t="str">
        <f>_xll.SNL.Clients.Office.Excel.Functions.SPG(E75, "PCT_OWNED_INSTN_UNION_PENSION_SPONSORS")</f>
        <v>NA</v>
      </c>
      <c r="AC75" s="11">
        <f>_xll.SNL.Clients.Office.Excel.Functions.SPG(E75, "PCT_OWNED_INSTN_HEDGE_FUND_MGRS_LESS5PCT_STAKE")</f>
        <v>0.03</v>
      </c>
      <c r="AD75" s="11" t="str">
        <f>_xll.SNL.Clients.Office.Excel.Functions.SPG(E75, "PCT_OWNED_INSTN_SOVEREIGN_WEALTH_FUNDS_LESS5PCT_STAKE")</f>
        <v>NA</v>
      </c>
      <c r="AE75" s="11">
        <f>_xll.SNL.Clients.Office.Excel.Functions.SPG(E75, "PCT_OWNED_INSTN_VC/PE_FIRMS_LESS5PCT_STAKE")</f>
        <v>0.55000000000000004</v>
      </c>
      <c r="AF75" s="11">
        <f>_xll.SNL.Clients.Office.Excel.Functions.SPG(E75, "PCT_OWNED_INSIDERS")</f>
        <v>0.12</v>
      </c>
      <c r="AG75" s="11" t="str">
        <f>_xll.SNL.Clients.Office.Excel.Functions.SPG(E75, "PCT_OWNED_STRATEGIC_HEDGE_FUND_MGRS_MORE_EQUAL5PCT_STAKE")</f>
        <v>NA</v>
      </c>
      <c r="AH75" s="11">
        <f>_xll.SNL.Clients.Office.Excel.Functions.SPG(E75, "PCT_OWNED_STRATEGIC_VC/PE_FIRMS_MORE_EQUAL5PCT_STAKE")</f>
        <v>23.54</v>
      </c>
      <c r="AI75" s="11" t="str">
        <f>_xll.SNL.Clients.Office.Excel.Functions.SPG(E75, "PCT_OWNED_STRATEGIC_SOVEREIGN_WEALTH_FUNDS_MORE_EQUAL5PCT_STAKE")</f>
        <v>NA</v>
      </c>
      <c r="AJ75" s="11" t="str">
        <f>_xll.SNL.Clients.Office.Excel.Functions.SPG(E75, "PCT_OWNED_STRATEGIC_COMPANY_CONTROLLED_FOUNDATIONS")</f>
        <v>NA</v>
      </c>
      <c r="AK75" s="11" t="str">
        <f>_xll.SNL.Clients.Office.Excel.Functions.SPG(E75, "PCT_OWNED_STRATEGIC_ESOP")</f>
        <v>NA</v>
      </c>
      <c r="AL75" s="11" t="str">
        <f>_xll.SNL.Clients.Office.Excel.Functions.SPG(E75, "PCT_OWNED_STRATEGIC_STATE_OWNER")</f>
        <v>NA</v>
      </c>
      <c r="AM75" s="11" t="str">
        <f>_xll.SNL.Clients.Office.Excel.Functions.SPG(E75, "PCT_OWNED_STRATEGIC_CORPORATIONS_PRIVATE")</f>
        <v>NA</v>
      </c>
      <c r="AN75" s="11">
        <f>_xll.SNL.Clients.Office.Excel.Functions.SPG(E75, "PCT_OWNED_STRATEGIC_CORPORATIONS_PUBLIC")</f>
        <v>24.91</v>
      </c>
    </row>
    <row r="76" spans="1:40" hidden="1" x14ac:dyDescent="0.35">
      <c r="A76" s="5">
        <v>46022</v>
      </c>
      <c r="B76" s="4" t="s">
        <v>133</v>
      </c>
      <c r="C76" s="4" t="s">
        <v>134</v>
      </c>
      <c r="D76" s="4" t="s">
        <v>223</v>
      </c>
      <c r="E76" s="8">
        <v>4350360</v>
      </c>
      <c r="F76" s="7">
        <v>20</v>
      </c>
      <c r="G76" s="9" t="str">
        <f>_xll.SNL.Clients.Office.Excel.Functions.SPG(E76, "SP_COMPANY_TYPE")</f>
        <v>Private Company</v>
      </c>
      <c r="H76" s="10" t="str">
        <f>_xll.SNL.Clients.Office.Excel.Functions.SPG(E76, "SP_COUNTRY_NAME")</f>
        <v>Dem. Rep. Congo</v>
      </c>
      <c r="J76" t="str">
        <f>_xll.SNL.Clients.Office.Excel.Functions.SPG(E76, "SP_PARENT_COUNTRY")</f>
        <v>Dem. Rep. Congo</v>
      </c>
      <c r="K76" s="9" t="str">
        <f>_xll.SNL.Clients.Office.Excel.Functions.SPG(E76, "SP_PARENT_COMPANY_ID")</f>
        <v>4350734</v>
      </c>
      <c r="L76" t="str">
        <f>_xll.SNL.Clients.Office.Excel.Functions.SPG(K76, "SP_COMPANY_TYPE")</f>
        <v>Government Institution</v>
      </c>
      <c r="M76" s="9" t="str">
        <f>_xll.SNL.Clients.Office.Excel.Functions.SPG(E76, "SP_ULT_PARENT_COMPANY_NAME")</f>
        <v>Dem. Rep. Congo</v>
      </c>
      <c r="N76" s="9" t="str">
        <f>_xll.SNL.Clients.Office.Excel.Functions.SPG(E76, "SP_ULT_PARENT_COUNTRY")</f>
        <v>Dem. Rep. Congo</v>
      </c>
      <c r="O76" s="9">
        <f>_xll.SNL.Clients.Office.Excel.Functions.SPG(E76, "SP_ULT_PARENT_COMPANY_ID")</f>
        <v>4350734</v>
      </c>
      <c r="P76" t="str">
        <f>_xll.SNL.Clients.Office.Excel.Functions.SPG(O76, "SP_COMPANY_TYPE")</f>
        <v>Government Institution</v>
      </c>
      <c r="Q76" s="11" t="str">
        <f>_xll.SNL.Clients.Office.Excel.Functions.SPG(E76, "SP_PCT_SHARES_OWNED_ALL_INSTITUTIONS")</f>
        <v>NA</v>
      </c>
      <c r="R76" s="11" t="str">
        <f>_xll.SNL.Clients.Office.Excel.Functions.SPG(E76, "PCT_OWNED_INSTN_BANKS/INVEST_BANKS")</f>
        <v>NA</v>
      </c>
      <c r="S76" s="11" t="str">
        <f>_xll.SNL.Clients.Office.Excel.Functions.SPG(E76, "PCT_OWNED_INSTN_CHARITABLE_FOUNDATIONS")</f>
        <v>NA</v>
      </c>
      <c r="T76" s="11" t="str">
        <f>_xll.SNL.Clients.Office.Excel.Functions.SPG(E76, "PCT_OWNED_INSTN_CORP_PENSION_SPONSORS")</f>
        <v>NA</v>
      </c>
      <c r="U76" s="11" t="str">
        <f>_xll.SNL.Clients.Office.Excel.Functions.SPG(E76, "PCT_OWNED_INSTN_EDUCATIONAL/CULTURAL_ENDOWMENTS")</f>
        <v>NA</v>
      </c>
      <c r="V76" s="11" t="str">
        <f>_xll.SNL.Clients.Office.Excel.Functions.SPG(E76, "PCT_OWNED_INSTN_FAMILY_OFFICES/TRUSTS")</f>
        <v>NA</v>
      </c>
      <c r="W76" s="11" t="str">
        <f>_xll.SNL.Clients.Office.Excel.Functions.SPG(E76, "PCT_OWNED_INSTN_GOVT_PENSION_SPONSORS")</f>
        <v>NA</v>
      </c>
      <c r="X76" s="11" t="str">
        <f>_xll.SNL.Clients.Office.Excel.Functions.SPG(E76, "PCT_OWNED_INSTN_INSURANCE_COMPANIES")</f>
        <v>NA</v>
      </c>
      <c r="Y76" s="11" t="str">
        <f>_xll.SNL.Clients.Office.Excel.Functions.SPG(E76, "PCT_OWNED_INSTN_INVEST_MGRS")</f>
        <v>NA</v>
      </c>
      <c r="Z76" s="11" t="str">
        <f>_xll.SNL.Clients.Office.Excel.Functions.SPG(E76, "PCT_OWNED_INSTN_REIT")</f>
        <v>NA</v>
      </c>
      <c r="AA76" s="11" t="str">
        <f>_xll.SNL.Clients.Office.Excel.Functions.SPG(E76, "PCT_OWNED_INSTN_UNCLASSIFIED")</f>
        <v>NA</v>
      </c>
      <c r="AB76" s="11" t="str">
        <f>_xll.SNL.Clients.Office.Excel.Functions.SPG(E76, "PCT_OWNED_INSTN_UNION_PENSION_SPONSORS")</f>
        <v>NA</v>
      </c>
      <c r="AC76" s="11" t="str">
        <f>_xll.SNL.Clients.Office.Excel.Functions.SPG(E76, "PCT_OWNED_INSTN_HEDGE_FUND_MGRS_LESS5PCT_STAKE")</f>
        <v>NA</v>
      </c>
      <c r="AD76" s="11" t="str">
        <f>_xll.SNL.Clients.Office.Excel.Functions.SPG(E76, "PCT_OWNED_INSTN_SOVEREIGN_WEALTH_FUNDS_LESS5PCT_STAKE")</f>
        <v>NA</v>
      </c>
      <c r="AE76" s="11" t="str">
        <f>_xll.SNL.Clients.Office.Excel.Functions.SPG(E76, "PCT_OWNED_INSTN_VC/PE_FIRMS_LESS5PCT_STAKE")</f>
        <v>NA</v>
      </c>
      <c r="AF76" s="11" t="str">
        <f>_xll.SNL.Clients.Office.Excel.Functions.SPG(E76, "PCT_OWNED_INSIDERS")</f>
        <v>NA</v>
      </c>
      <c r="AG76" s="11" t="str">
        <f>_xll.SNL.Clients.Office.Excel.Functions.SPG(E76, "PCT_OWNED_STRATEGIC_HEDGE_FUND_MGRS_MORE_EQUAL5PCT_STAKE")</f>
        <v>NA</v>
      </c>
      <c r="AH76" s="11" t="str">
        <f>_xll.SNL.Clients.Office.Excel.Functions.SPG(E76, "PCT_OWNED_STRATEGIC_VC/PE_FIRMS_MORE_EQUAL5PCT_STAKE")</f>
        <v>NA</v>
      </c>
      <c r="AI76" s="11" t="str">
        <f>_xll.SNL.Clients.Office.Excel.Functions.SPG(E76, "PCT_OWNED_STRATEGIC_SOVEREIGN_WEALTH_FUNDS_MORE_EQUAL5PCT_STAKE")</f>
        <v>NA</v>
      </c>
      <c r="AJ76" s="11" t="str">
        <f>_xll.SNL.Clients.Office.Excel.Functions.SPG(E76, "PCT_OWNED_STRATEGIC_COMPANY_CONTROLLED_FOUNDATIONS")</f>
        <v>NA</v>
      </c>
      <c r="AK76" s="11" t="str">
        <f>_xll.SNL.Clients.Office.Excel.Functions.SPG(E76, "PCT_OWNED_STRATEGIC_ESOP")</f>
        <v>NA</v>
      </c>
      <c r="AL76" s="11" t="str">
        <f>_xll.SNL.Clients.Office.Excel.Functions.SPG(E76, "PCT_OWNED_STRATEGIC_STATE_OWNER")</f>
        <v>NA</v>
      </c>
      <c r="AM76" s="11" t="str">
        <f>_xll.SNL.Clients.Office.Excel.Functions.SPG(E76, "PCT_OWNED_STRATEGIC_CORPORATIONS_PRIVATE")</f>
        <v>NA</v>
      </c>
      <c r="AN76" s="11" t="str">
        <f>_xll.SNL.Clients.Office.Excel.Functions.SPG(E76, "PCT_OWNED_STRATEGIC_CORPORATIONS_PUBLIC")</f>
        <v>NA</v>
      </c>
    </row>
    <row r="77" spans="1:40" hidden="1" x14ac:dyDescent="0.35">
      <c r="A77" s="5">
        <v>46022</v>
      </c>
      <c r="B77" s="4" t="s">
        <v>143</v>
      </c>
      <c r="C77" s="4" t="s">
        <v>144</v>
      </c>
      <c r="D77" s="4" t="s">
        <v>258</v>
      </c>
      <c r="E77" s="8">
        <v>4648824</v>
      </c>
      <c r="F77" s="7">
        <v>100</v>
      </c>
      <c r="G77" s="9" t="str">
        <f>_xll.SNL.Clients.Office.Excel.Functions.SPG(E77, "SP_COMPANY_TYPE")</f>
        <v>Private Company</v>
      </c>
      <c r="H77" s="10" t="str">
        <f>_xll.SNL.Clients.Office.Excel.Functions.SPG(E77, "SP_COUNTRY_NAME")</f>
        <v>Finland</v>
      </c>
      <c r="J77" t="str">
        <f>_xll.SNL.Clients.Office.Excel.Functions.SPG(E77, "SP_PARENT_COUNTRY")</f>
        <v>Finland</v>
      </c>
      <c r="K77" s="9" t="str">
        <f>_xll.SNL.Clients.Office.Excel.Functions.SPG(E77, "SP_PARENT_COMPANY_ID")</f>
        <v>13298136</v>
      </c>
      <c r="L77" t="str">
        <f>_xll.SNL.Clients.Office.Excel.Functions.SPG(K77, "SP_COMPANY_TYPE")</f>
        <v>Private Company</v>
      </c>
      <c r="M77" s="9" t="str">
        <f>_xll.SNL.Clients.Office.Excel.Functions.SPG(E77, "SP_ULT_PARENT_COMPANY_NAME")</f>
        <v>Finnish Minerals Group Oy</v>
      </c>
      <c r="N77" s="9" t="str">
        <f>_xll.SNL.Clients.Office.Excel.Functions.SPG(E77, "SP_ULT_PARENT_COUNTRY")</f>
        <v>Finland</v>
      </c>
      <c r="O77" s="9">
        <f>_xll.SNL.Clients.Office.Excel.Functions.SPG(E77, "SP_ULT_PARENT_COMPANY_ID")</f>
        <v>13298136</v>
      </c>
      <c r="P77" t="str">
        <f>_xll.SNL.Clients.Office.Excel.Functions.SPG(O77, "SP_COMPANY_TYPE")</f>
        <v>Private Company</v>
      </c>
      <c r="Q77" s="11" t="str">
        <f>_xll.SNL.Clients.Office.Excel.Functions.SPG(E77, "SP_PCT_SHARES_OWNED_ALL_INSTITUTIONS")</f>
        <v>NA</v>
      </c>
      <c r="R77" s="11" t="str">
        <f>_xll.SNL.Clients.Office.Excel.Functions.SPG(E77, "PCT_OWNED_INSTN_BANKS/INVEST_BANKS")</f>
        <v>NA</v>
      </c>
      <c r="S77" s="11" t="str">
        <f>_xll.SNL.Clients.Office.Excel.Functions.SPG(E77, "PCT_OWNED_INSTN_CHARITABLE_FOUNDATIONS")</f>
        <v>NA</v>
      </c>
      <c r="T77" s="11" t="str">
        <f>_xll.SNL.Clients.Office.Excel.Functions.SPG(E77, "PCT_OWNED_INSTN_CORP_PENSION_SPONSORS")</f>
        <v>NA</v>
      </c>
      <c r="U77" s="11" t="str">
        <f>_xll.SNL.Clients.Office.Excel.Functions.SPG(E77, "PCT_OWNED_INSTN_EDUCATIONAL/CULTURAL_ENDOWMENTS")</f>
        <v>NA</v>
      </c>
      <c r="V77" s="11" t="str">
        <f>_xll.SNL.Clients.Office.Excel.Functions.SPG(E77, "PCT_OWNED_INSTN_FAMILY_OFFICES/TRUSTS")</f>
        <v>NA</v>
      </c>
      <c r="W77" s="11" t="str">
        <f>_xll.SNL.Clients.Office.Excel.Functions.SPG(E77, "PCT_OWNED_INSTN_GOVT_PENSION_SPONSORS")</f>
        <v>NA</v>
      </c>
      <c r="X77" s="11" t="str">
        <f>_xll.SNL.Clients.Office.Excel.Functions.SPG(E77, "PCT_OWNED_INSTN_INSURANCE_COMPANIES")</f>
        <v>NA</v>
      </c>
      <c r="Y77" s="11" t="str">
        <f>_xll.SNL.Clients.Office.Excel.Functions.SPG(E77, "PCT_OWNED_INSTN_INVEST_MGRS")</f>
        <v>NA</v>
      </c>
      <c r="Z77" s="11" t="str">
        <f>_xll.SNL.Clients.Office.Excel.Functions.SPG(E77, "PCT_OWNED_INSTN_REIT")</f>
        <v>NA</v>
      </c>
      <c r="AA77" s="11" t="str">
        <f>_xll.SNL.Clients.Office.Excel.Functions.SPG(E77, "PCT_OWNED_INSTN_UNCLASSIFIED")</f>
        <v>NA</v>
      </c>
      <c r="AB77" s="11" t="str">
        <f>_xll.SNL.Clients.Office.Excel.Functions.SPG(E77, "PCT_OWNED_INSTN_UNION_PENSION_SPONSORS")</f>
        <v>NA</v>
      </c>
      <c r="AC77" s="11" t="str">
        <f>_xll.SNL.Clients.Office.Excel.Functions.SPG(E77, "PCT_OWNED_INSTN_HEDGE_FUND_MGRS_LESS5PCT_STAKE")</f>
        <v>NA</v>
      </c>
      <c r="AD77" s="11" t="str">
        <f>_xll.SNL.Clients.Office.Excel.Functions.SPG(E77, "PCT_OWNED_INSTN_SOVEREIGN_WEALTH_FUNDS_LESS5PCT_STAKE")</f>
        <v>NA</v>
      </c>
      <c r="AE77" s="11" t="str">
        <f>_xll.SNL.Clients.Office.Excel.Functions.SPG(E77, "PCT_OWNED_INSTN_VC/PE_FIRMS_LESS5PCT_STAKE")</f>
        <v>NA</v>
      </c>
      <c r="AF77" s="11" t="str">
        <f>_xll.SNL.Clients.Office.Excel.Functions.SPG(E77, "PCT_OWNED_INSIDERS")</f>
        <v>NA</v>
      </c>
      <c r="AG77" s="11" t="str">
        <f>_xll.SNL.Clients.Office.Excel.Functions.SPG(E77, "PCT_OWNED_STRATEGIC_HEDGE_FUND_MGRS_MORE_EQUAL5PCT_STAKE")</f>
        <v>NA</v>
      </c>
      <c r="AH77" s="11" t="str">
        <f>_xll.SNL.Clients.Office.Excel.Functions.SPG(E77, "PCT_OWNED_STRATEGIC_VC/PE_FIRMS_MORE_EQUAL5PCT_STAKE")</f>
        <v>NA</v>
      </c>
      <c r="AI77" s="11" t="str">
        <f>_xll.SNL.Clients.Office.Excel.Functions.SPG(E77, "PCT_OWNED_STRATEGIC_SOVEREIGN_WEALTH_FUNDS_MORE_EQUAL5PCT_STAKE")</f>
        <v>NA</v>
      </c>
      <c r="AJ77" s="11" t="str">
        <f>_xll.SNL.Clients.Office.Excel.Functions.SPG(E77, "PCT_OWNED_STRATEGIC_COMPANY_CONTROLLED_FOUNDATIONS")</f>
        <v>NA</v>
      </c>
      <c r="AK77" s="11" t="str">
        <f>_xll.SNL.Clients.Office.Excel.Functions.SPG(E77, "PCT_OWNED_STRATEGIC_ESOP")</f>
        <v>NA</v>
      </c>
      <c r="AL77" s="11" t="str">
        <f>_xll.SNL.Clients.Office.Excel.Functions.SPG(E77, "PCT_OWNED_STRATEGIC_STATE_OWNER")</f>
        <v>NA</v>
      </c>
      <c r="AM77" s="11" t="str">
        <f>_xll.SNL.Clients.Office.Excel.Functions.SPG(E77, "PCT_OWNED_STRATEGIC_CORPORATIONS_PRIVATE")</f>
        <v>NA</v>
      </c>
      <c r="AN77" s="11" t="str">
        <f>_xll.SNL.Clients.Office.Excel.Functions.SPG(E77, "PCT_OWNED_STRATEGIC_CORPORATIONS_PUBLIC")</f>
        <v>NA</v>
      </c>
    </row>
    <row r="78" spans="1:40" hidden="1" x14ac:dyDescent="0.35">
      <c r="A78" s="5">
        <v>46022</v>
      </c>
      <c r="B78" s="4" t="s">
        <v>119</v>
      </c>
      <c r="C78" s="4" t="s">
        <v>120</v>
      </c>
      <c r="D78" s="4" t="s">
        <v>254</v>
      </c>
      <c r="E78" s="8">
        <v>10393182</v>
      </c>
      <c r="F78" s="7">
        <v>100</v>
      </c>
      <c r="G78" s="9" t="str">
        <f>_xll.SNL.Clients.Office.Excel.Functions.SPG(E78, "SP_COMPANY_TYPE")</f>
        <v>Private Company</v>
      </c>
      <c r="H78" s="10" t="str">
        <f>_xll.SNL.Clients.Office.Excel.Functions.SPG(E78, "SP_COUNTRY_NAME")</f>
        <v>China</v>
      </c>
      <c r="J78" t="str">
        <f>_xll.SNL.Clients.Office.Excel.Functions.SPG(E78, "SP_PARENT_COUNTRY")</f>
        <v/>
      </c>
      <c r="K78" s="9" t="str">
        <f>_xll.SNL.Clients.Office.Excel.Functions.SPG(E78, "SP_PARENT_COMPANY_ID")</f>
        <v/>
      </c>
      <c r="L78" t="str">
        <f>_xll.SNL.Clients.Office.Excel.Functions.SPG(K78, "SP_COMPANY_TYPE")</f>
        <v>#INVALID COMPANY ID</v>
      </c>
      <c r="M78" s="9" t="str">
        <f>_xll.SNL.Clients.Office.Excel.Functions.SPG(E78, "SP_ULT_PARENT_COMPANY_NAME")</f>
        <v/>
      </c>
      <c r="N78" s="9" t="str">
        <f>_xll.SNL.Clients.Office.Excel.Functions.SPG(E78, "SP_ULT_PARENT_COUNTRY")</f>
        <v/>
      </c>
      <c r="O78" s="9" t="str">
        <f>_xll.SNL.Clients.Office.Excel.Functions.SPG(E78, "SP_ULT_PARENT_COMPANY_ID")</f>
        <v>NA</v>
      </c>
      <c r="P78" t="str">
        <f>_xll.SNL.Clients.Office.Excel.Functions.SPG(O78, "SP_COMPANY_TYPE")</f>
        <v>Public Company</v>
      </c>
      <c r="Q78" s="11" t="str">
        <f>_xll.SNL.Clients.Office.Excel.Functions.SPG(E78, "SP_PCT_SHARES_OWNED_ALL_INSTITUTIONS")</f>
        <v>NA</v>
      </c>
      <c r="R78" s="11" t="str">
        <f>_xll.SNL.Clients.Office.Excel.Functions.SPG(E78, "PCT_OWNED_INSTN_BANKS/INVEST_BANKS")</f>
        <v>NA</v>
      </c>
      <c r="S78" s="11" t="str">
        <f>_xll.SNL.Clients.Office.Excel.Functions.SPG(E78, "PCT_OWNED_INSTN_CHARITABLE_FOUNDATIONS")</f>
        <v>NA</v>
      </c>
      <c r="T78" s="11" t="str">
        <f>_xll.SNL.Clients.Office.Excel.Functions.SPG(E78, "PCT_OWNED_INSTN_CORP_PENSION_SPONSORS")</f>
        <v>NA</v>
      </c>
      <c r="U78" s="11" t="str">
        <f>_xll.SNL.Clients.Office.Excel.Functions.SPG(E78, "PCT_OWNED_INSTN_EDUCATIONAL/CULTURAL_ENDOWMENTS")</f>
        <v>NA</v>
      </c>
      <c r="V78" s="11" t="str">
        <f>_xll.SNL.Clients.Office.Excel.Functions.SPG(E78, "PCT_OWNED_INSTN_FAMILY_OFFICES/TRUSTS")</f>
        <v>NA</v>
      </c>
      <c r="W78" s="11" t="str">
        <f>_xll.SNL.Clients.Office.Excel.Functions.SPG(E78, "PCT_OWNED_INSTN_GOVT_PENSION_SPONSORS")</f>
        <v>NA</v>
      </c>
      <c r="X78" s="11" t="str">
        <f>_xll.SNL.Clients.Office.Excel.Functions.SPG(E78, "PCT_OWNED_INSTN_INSURANCE_COMPANIES")</f>
        <v>NA</v>
      </c>
      <c r="Y78" s="11" t="str">
        <f>_xll.SNL.Clients.Office.Excel.Functions.SPG(E78, "PCT_OWNED_INSTN_INVEST_MGRS")</f>
        <v>NA</v>
      </c>
      <c r="Z78" s="11" t="str">
        <f>_xll.SNL.Clients.Office.Excel.Functions.SPG(E78, "PCT_OWNED_INSTN_REIT")</f>
        <v>NA</v>
      </c>
      <c r="AA78" s="11" t="str">
        <f>_xll.SNL.Clients.Office.Excel.Functions.SPG(E78, "PCT_OWNED_INSTN_UNCLASSIFIED")</f>
        <v>NA</v>
      </c>
      <c r="AB78" s="11" t="str">
        <f>_xll.SNL.Clients.Office.Excel.Functions.SPG(E78, "PCT_OWNED_INSTN_UNION_PENSION_SPONSORS")</f>
        <v>NA</v>
      </c>
      <c r="AC78" s="11" t="str">
        <f>_xll.SNL.Clients.Office.Excel.Functions.SPG(E78, "PCT_OWNED_INSTN_HEDGE_FUND_MGRS_LESS5PCT_STAKE")</f>
        <v>NA</v>
      </c>
      <c r="AD78" s="11" t="str">
        <f>_xll.SNL.Clients.Office.Excel.Functions.SPG(E78, "PCT_OWNED_INSTN_SOVEREIGN_WEALTH_FUNDS_LESS5PCT_STAKE")</f>
        <v>NA</v>
      </c>
      <c r="AE78" s="11" t="str">
        <f>_xll.SNL.Clients.Office.Excel.Functions.SPG(E78, "PCT_OWNED_INSTN_VC/PE_FIRMS_LESS5PCT_STAKE")</f>
        <v>NA</v>
      </c>
      <c r="AF78" s="11" t="str">
        <f>_xll.SNL.Clients.Office.Excel.Functions.SPG(E78, "PCT_OWNED_INSIDERS")</f>
        <v>NA</v>
      </c>
      <c r="AG78" s="11" t="str">
        <f>_xll.SNL.Clients.Office.Excel.Functions.SPG(E78, "PCT_OWNED_STRATEGIC_HEDGE_FUND_MGRS_MORE_EQUAL5PCT_STAKE")</f>
        <v>NA</v>
      </c>
      <c r="AH78" s="11" t="str">
        <f>_xll.SNL.Clients.Office.Excel.Functions.SPG(E78, "PCT_OWNED_STRATEGIC_VC/PE_FIRMS_MORE_EQUAL5PCT_STAKE")</f>
        <v>NA</v>
      </c>
      <c r="AI78" s="11" t="str">
        <f>_xll.SNL.Clients.Office.Excel.Functions.SPG(E78, "PCT_OWNED_STRATEGIC_SOVEREIGN_WEALTH_FUNDS_MORE_EQUAL5PCT_STAKE")</f>
        <v>NA</v>
      </c>
      <c r="AJ78" s="11" t="str">
        <f>_xll.SNL.Clients.Office.Excel.Functions.SPG(E78, "PCT_OWNED_STRATEGIC_COMPANY_CONTROLLED_FOUNDATIONS")</f>
        <v>NA</v>
      </c>
      <c r="AK78" s="11" t="str">
        <f>_xll.SNL.Clients.Office.Excel.Functions.SPG(E78, "PCT_OWNED_STRATEGIC_ESOP")</f>
        <v>NA</v>
      </c>
      <c r="AL78" s="11" t="str">
        <f>_xll.SNL.Clients.Office.Excel.Functions.SPG(E78, "PCT_OWNED_STRATEGIC_STATE_OWNER")</f>
        <v>NA</v>
      </c>
      <c r="AM78" s="11" t="str">
        <f>_xll.SNL.Clients.Office.Excel.Functions.SPG(E78, "PCT_OWNED_STRATEGIC_CORPORATIONS_PRIVATE")</f>
        <v>NA</v>
      </c>
      <c r="AN78" s="11" t="str">
        <f>_xll.SNL.Clients.Office.Excel.Functions.SPG(E78, "PCT_OWNED_STRATEGIC_CORPORATIONS_PUBLIC")</f>
        <v>NA</v>
      </c>
    </row>
    <row r="79" spans="1:40" x14ac:dyDescent="0.35">
      <c r="A79" s="5">
        <v>46022</v>
      </c>
      <c r="B79" s="4" t="s">
        <v>145</v>
      </c>
      <c r="C79" s="4" t="s">
        <v>146</v>
      </c>
      <c r="D79" s="4" t="s">
        <v>237</v>
      </c>
      <c r="E79" s="8">
        <v>4223919</v>
      </c>
      <c r="F79" s="7">
        <v>100</v>
      </c>
      <c r="G79" s="9" t="str">
        <f>_xll.SNL.Clients.Office.Excel.Functions.SPG(E79, "SP_COMPANY_TYPE")</f>
        <v>Public Company</v>
      </c>
      <c r="H79" s="10" t="str">
        <f>_xll.SNL.Clients.Office.Excel.Functions.SPG(E79, "SP_COUNTRY_NAME")</f>
        <v>Brazil</v>
      </c>
      <c r="J79" t="str">
        <f>_xll.SNL.Clients.Office.Excel.Functions.SPG(E79, "SP_PARENT_COUNTRY")</f>
        <v/>
      </c>
      <c r="K79" s="9" t="str">
        <f>_xll.SNL.Clients.Office.Excel.Functions.SPG(E79, "SP_PARENT_COMPANY_ID")</f>
        <v/>
      </c>
      <c r="L79" t="str">
        <f>_xll.SNL.Clients.Office.Excel.Functions.SPG(K79, "SP_COMPANY_TYPE")</f>
        <v>#INVALID COMPANY ID</v>
      </c>
      <c r="M79" s="9" t="str">
        <f>_xll.SNL.Clients.Office.Excel.Functions.SPG(E79, "SP_ULT_PARENT_COMPANY_NAME")</f>
        <v/>
      </c>
      <c r="N79" s="9" t="str">
        <f>_xll.SNL.Clients.Office.Excel.Functions.SPG(E79, "SP_ULT_PARENT_COUNTRY")</f>
        <v/>
      </c>
      <c r="O79" s="9" t="str">
        <f>_xll.SNL.Clients.Office.Excel.Functions.SPG(E79, "SP_ULT_PARENT_COMPANY_ID")</f>
        <v>NA</v>
      </c>
      <c r="P79" t="str">
        <f>_xll.SNL.Clients.Office.Excel.Functions.SPG(O79, "SP_COMPANY_TYPE")</f>
        <v>Public Company</v>
      </c>
      <c r="Q79" s="11">
        <f>_xll.SNL.Clients.Office.Excel.Functions.SPG(E79, "SP_PCT_SHARES_OWNED_ALL_INSTITUTIONS")</f>
        <v>52.67</v>
      </c>
      <c r="R79" s="11">
        <f>_xll.SNL.Clients.Office.Excel.Functions.SPG(E79, "PCT_OWNED_INSTN_BANKS/INVEST_BANKS")</f>
        <v>1.86</v>
      </c>
      <c r="S79" s="11" t="str">
        <f>_xll.SNL.Clients.Office.Excel.Functions.SPG(E79, "PCT_OWNED_INSTN_CHARITABLE_FOUNDATIONS")</f>
        <v>NA</v>
      </c>
      <c r="T79" s="11">
        <f>_xll.SNL.Clients.Office.Excel.Functions.SPG(E79, "PCT_OWNED_INSTN_CORP_PENSION_SPONSORS")</f>
        <v>7.32</v>
      </c>
      <c r="U79" s="11" t="str">
        <f>_xll.SNL.Clients.Office.Excel.Functions.SPG(E79, "PCT_OWNED_INSTN_EDUCATIONAL/CULTURAL_ENDOWMENTS")</f>
        <v>NA</v>
      </c>
      <c r="V79" s="11">
        <f>_xll.SNL.Clients.Office.Excel.Functions.SPG(E79, "PCT_OWNED_INSTN_FAMILY_OFFICES/TRUSTS")</f>
        <v>0.09</v>
      </c>
      <c r="W79" s="11">
        <f>_xll.SNL.Clients.Office.Excel.Functions.SPG(E79, "PCT_OWNED_INSTN_GOVT_PENSION_SPONSORS")</f>
        <v>1.31</v>
      </c>
      <c r="X79" s="11">
        <f>_xll.SNL.Clients.Office.Excel.Functions.SPG(E79, "PCT_OWNED_INSTN_INSURANCE_COMPANIES")</f>
        <v>0</v>
      </c>
      <c r="Y79" s="11">
        <f>_xll.SNL.Clients.Office.Excel.Functions.SPG(E79, "PCT_OWNED_INSTN_INVEST_MGRS")</f>
        <v>39.1</v>
      </c>
      <c r="Z79" s="11" t="str">
        <f>_xll.SNL.Clients.Office.Excel.Functions.SPG(E79, "PCT_OWNED_INSTN_REIT")</f>
        <v>NA</v>
      </c>
      <c r="AA79" s="11">
        <f>_xll.SNL.Clients.Office.Excel.Functions.SPG(E79, "PCT_OWNED_INSTN_UNCLASSIFIED")</f>
        <v>0.49</v>
      </c>
      <c r="AB79" s="11" t="str">
        <f>_xll.SNL.Clients.Office.Excel.Functions.SPG(E79, "PCT_OWNED_INSTN_UNION_PENSION_SPONSORS")</f>
        <v>NA</v>
      </c>
      <c r="AC79" s="11">
        <f>_xll.SNL.Clients.Office.Excel.Functions.SPG(E79, "PCT_OWNED_INSTN_HEDGE_FUND_MGRS_LESS5PCT_STAKE")</f>
        <v>2.48</v>
      </c>
      <c r="AD79" s="11">
        <f>_xll.SNL.Clients.Office.Excel.Functions.SPG(E79, "PCT_OWNED_INSTN_SOVEREIGN_WEALTH_FUNDS_LESS5PCT_STAKE")</f>
        <v>0</v>
      </c>
      <c r="AE79" s="11">
        <f>_xll.SNL.Clients.Office.Excel.Functions.SPG(E79, "PCT_OWNED_INSTN_VC/PE_FIRMS_LESS5PCT_STAKE")</f>
        <v>0.03</v>
      </c>
      <c r="AF79" s="11">
        <f>_xll.SNL.Clients.Office.Excel.Functions.SPG(E79, "PCT_OWNED_INSIDERS")</f>
        <v>0.02</v>
      </c>
      <c r="AG79" s="11" t="str">
        <f>_xll.SNL.Clients.Office.Excel.Functions.SPG(E79, "PCT_OWNED_STRATEGIC_HEDGE_FUND_MGRS_MORE_EQUAL5PCT_STAKE")</f>
        <v>NA</v>
      </c>
      <c r="AH79" s="11" t="str">
        <f>_xll.SNL.Clients.Office.Excel.Functions.SPG(E79, "PCT_OWNED_STRATEGIC_VC/PE_FIRMS_MORE_EQUAL5PCT_STAKE")</f>
        <v>NA</v>
      </c>
      <c r="AI79" s="11" t="str">
        <f>_xll.SNL.Clients.Office.Excel.Functions.SPG(E79, "PCT_OWNED_STRATEGIC_SOVEREIGN_WEALTH_FUNDS_MORE_EQUAL5PCT_STAKE")</f>
        <v>NA</v>
      </c>
      <c r="AJ79" s="11" t="str">
        <f>_xll.SNL.Clients.Office.Excel.Functions.SPG(E79, "PCT_OWNED_STRATEGIC_COMPANY_CONTROLLED_FOUNDATIONS")</f>
        <v>NA</v>
      </c>
      <c r="AK79" s="11" t="str">
        <f>_xll.SNL.Clients.Office.Excel.Functions.SPG(E79, "PCT_OWNED_STRATEGIC_ESOP")</f>
        <v>NA</v>
      </c>
      <c r="AL79" s="11">
        <f>_xll.SNL.Clients.Office.Excel.Functions.SPG(E79, "PCT_OWNED_STRATEGIC_STATE_OWNER")</f>
        <v>0</v>
      </c>
      <c r="AM79" s="11">
        <f>_xll.SNL.Clients.Office.Excel.Functions.SPG(E79, "PCT_OWNED_STRATEGIC_CORPORATIONS_PRIVATE")</f>
        <v>0.28000000000000003</v>
      </c>
      <c r="AN79" s="11">
        <f>_xll.SNL.Clients.Office.Excel.Functions.SPG(E79, "PCT_OWNED_STRATEGIC_CORPORATIONS_PUBLIC")</f>
        <v>6.73</v>
      </c>
    </row>
    <row r="80" spans="1:40" x14ac:dyDescent="0.35">
      <c r="A80" s="5">
        <v>46022</v>
      </c>
      <c r="B80" s="4" t="s">
        <v>147</v>
      </c>
      <c r="C80" s="4" t="s">
        <v>148</v>
      </c>
      <c r="D80" s="4" t="s">
        <v>259</v>
      </c>
      <c r="E80" s="8">
        <v>4355649</v>
      </c>
      <c r="F80" s="7">
        <v>100</v>
      </c>
      <c r="G80" s="9" t="str">
        <f>_xll.SNL.Clients.Office.Excel.Functions.SPG(E80, "SP_COMPANY_TYPE")</f>
        <v>Public Company</v>
      </c>
      <c r="H80" s="10" t="str">
        <f>_xll.SNL.Clients.Office.Excel.Functions.SPG(E80, "SP_COUNTRY_NAME")</f>
        <v>Guernsey</v>
      </c>
      <c r="J80" t="str">
        <f>_xll.SNL.Clients.Office.Excel.Functions.SPG(E80, "SP_PARENT_COUNTRY")</f>
        <v>Netherlands</v>
      </c>
      <c r="K80" s="9" t="str">
        <f>_xll.SNL.Clients.Office.Excel.Functions.SPG(E80, "SP_PARENT_COMPANY_ID")</f>
        <v>4410131</v>
      </c>
      <c r="L80" t="str">
        <f>_xll.SNL.Clients.Office.Excel.Functions.SPG(K80, "SP_COMPANY_TYPE")</f>
        <v>Private Company</v>
      </c>
      <c r="M80" s="9" t="str">
        <f>_xll.SNL.Clients.Office.Excel.Functions.SPG(E80, "SP_ULT_PARENT_COMPANY_NAME")</f>
        <v>Impala Platinum Holdings Limited</v>
      </c>
      <c r="N80" s="9" t="str">
        <f>_xll.SNL.Clients.Office.Excel.Functions.SPG(E80, "SP_ULT_PARENT_COUNTRY")</f>
        <v>South Africa</v>
      </c>
      <c r="O80" s="9">
        <f>_xll.SNL.Clients.Office.Excel.Functions.SPG(E80, "SP_ULT_PARENT_COMPANY_ID")</f>
        <v>4351190</v>
      </c>
      <c r="P80" t="str">
        <f>_xll.SNL.Clients.Office.Excel.Functions.SPG(O80, "SP_COMPANY_TYPE")</f>
        <v>Public Company</v>
      </c>
      <c r="Q80" s="11">
        <f>_xll.SNL.Clients.Office.Excel.Functions.SPG(E80, "SP_PCT_SHARES_OWNED_ALL_INSTITUTIONS")</f>
        <v>0.46</v>
      </c>
      <c r="R80" s="11">
        <f>_xll.SNL.Clients.Office.Excel.Functions.SPG(E80, "PCT_OWNED_INSTN_BANKS/INVEST_BANKS")</f>
        <v>0.02</v>
      </c>
      <c r="S80" s="11" t="str">
        <f>_xll.SNL.Clients.Office.Excel.Functions.SPG(E80, "PCT_OWNED_INSTN_CHARITABLE_FOUNDATIONS")</f>
        <v>NA</v>
      </c>
      <c r="T80" s="11" t="str">
        <f>_xll.SNL.Clients.Office.Excel.Functions.SPG(E80, "PCT_OWNED_INSTN_CORP_PENSION_SPONSORS")</f>
        <v>NA</v>
      </c>
      <c r="U80" s="11" t="str">
        <f>_xll.SNL.Clients.Office.Excel.Functions.SPG(E80, "PCT_OWNED_INSTN_EDUCATIONAL/CULTURAL_ENDOWMENTS")</f>
        <v>NA</v>
      </c>
      <c r="V80" s="11" t="str">
        <f>_xll.SNL.Clients.Office.Excel.Functions.SPG(E80, "PCT_OWNED_INSTN_FAMILY_OFFICES/TRUSTS")</f>
        <v>NA</v>
      </c>
      <c r="W80" s="11" t="str">
        <f>_xll.SNL.Clients.Office.Excel.Functions.SPG(E80, "PCT_OWNED_INSTN_GOVT_PENSION_SPONSORS")</f>
        <v>NA</v>
      </c>
      <c r="X80" s="11" t="str">
        <f>_xll.SNL.Clients.Office.Excel.Functions.SPG(E80, "PCT_OWNED_INSTN_INSURANCE_COMPANIES")</f>
        <v>NA</v>
      </c>
      <c r="Y80" s="11">
        <f>_xll.SNL.Clients.Office.Excel.Functions.SPG(E80, "PCT_OWNED_INSTN_INVEST_MGRS")</f>
        <v>0.44</v>
      </c>
      <c r="Z80" s="11" t="str">
        <f>_xll.SNL.Clients.Office.Excel.Functions.SPG(E80, "PCT_OWNED_INSTN_REIT")</f>
        <v>NA</v>
      </c>
      <c r="AA80" s="11" t="str">
        <f>_xll.SNL.Clients.Office.Excel.Functions.SPG(E80, "PCT_OWNED_INSTN_UNCLASSIFIED")</f>
        <v>NA</v>
      </c>
      <c r="AB80" s="11" t="str">
        <f>_xll.SNL.Clients.Office.Excel.Functions.SPG(E80, "PCT_OWNED_INSTN_UNION_PENSION_SPONSORS")</f>
        <v>NA</v>
      </c>
      <c r="AC80" s="11" t="str">
        <f>_xll.SNL.Clients.Office.Excel.Functions.SPG(E80, "PCT_OWNED_INSTN_HEDGE_FUND_MGRS_LESS5PCT_STAKE")</f>
        <v>NA</v>
      </c>
      <c r="AD80" s="11" t="str">
        <f>_xll.SNL.Clients.Office.Excel.Functions.SPG(E80, "PCT_OWNED_INSTN_SOVEREIGN_WEALTH_FUNDS_LESS5PCT_STAKE")</f>
        <v>NA</v>
      </c>
      <c r="AE80" s="11" t="str">
        <f>_xll.SNL.Clients.Office.Excel.Functions.SPG(E80, "PCT_OWNED_INSTN_VC/PE_FIRMS_LESS5PCT_STAKE")</f>
        <v>NA</v>
      </c>
      <c r="AF80" s="11">
        <f>_xll.SNL.Clients.Office.Excel.Functions.SPG(E80, "PCT_OWNED_INSIDERS")</f>
        <v>0.36</v>
      </c>
      <c r="AG80" s="11" t="str">
        <f>_xll.SNL.Clients.Office.Excel.Functions.SPG(E80, "PCT_OWNED_STRATEGIC_HEDGE_FUND_MGRS_MORE_EQUAL5PCT_STAKE")</f>
        <v>NA</v>
      </c>
      <c r="AH80" s="11" t="str">
        <f>_xll.SNL.Clients.Office.Excel.Functions.SPG(E80, "PCT_OWNED_STRATEGIC_VC/PE_FIRMS_MORE_EQUAL5PCT_STAKE")</f>
        <v>NA</v>
      </c>
      <c r="AI80" s="11" t="str">
        <f>_xll.SNL.Clients.Office.Excel.Functions.SPG(E80, "PCT_OWNED_STRATEGIC_SOVEREIGN_WEALTH_FUNDS_MORE_EQUAL5PCT_STAKE")</f>
        <v>NA</v>
      </c>
      <c r="AJ80" s="11" t="str">
        <f>_xll.SNL.Clients.Office.Excel.Functions.SPG(E80, "PCT_OWNED_STRATEGIC_COMPANY_CONTROLLED_FOUNDATIONS")</f>
        <v>NA</v>
      </c>
      <c r="AK80" s="11" t="str">
        <f>_xll.SNL.Clients.Office.Excel.Functions.SPG(E80, "PCT_OWNED_STRATEGIC_ESOP")</f>
        <v>NA</v>
      </c>
      <c r="AL80" s="11" t="str">
        <f>_xll.SNL.Clients.Office.Excel.Functions.SPG(E80, "PCT_OWNED_STRATEGIC_STATE_OWNER")</f>
        <v>NA</v>
      </c>
      <c r="AM80" s="11">
        <f>_xll.SNL.Clients.Office.Excel.Functions.SPG(E80, "PCT_OWNED_STRATEGIC_CORPORATIONS_PRIVATE")</f>
        <v>0.34</v>
      </c>
      <c r="AN80" s="11">
        <f>_xll.SNL.Clients.Office.Excel.Functions.SPG(E80, "PCT_OWNED_STRATEGIC_CORPORATIONS_PUBLIC")</f>
        <v>87</v>
      </c>
    </row>
  </sheetData>
  <autoFilter ref="A6:AN80" xr:uid="{00000000-0001-0000-0400-000000000000}">
    <filterColumn colId="6">
      <filters>
        <filter val="Public Company"/>
      </filters>
    </filterColumn>
  </autoFilter>
  <mergeCells count="41">
    <mergeCell ref="A1:D1"/>
    <mergeCell ref="A6:A9"/>
    <mergeCell ref="B6:B9"/>
    <mergeCell ref="C6:C9"/>
    <mergeCell ref="D6:D9"/>
    <mergeCell ref="E6:E9"/>
    <mergeCell ref="F6:F9"/>
    <mergeCell ref="G6:G9"/>
    <mergeCell ref="H6:H9"/>
    <mergeCell ref="I6:I9"/>
    <mergeCell ref="J6:J9"/>
    <mergeCell ref="K6:K9"/>
    <mergeCell ref="L6:L9"/>
    <mergeCell ref="M6:M9"/>
    <mergeCell ref="N6:N9"/>
    <mergeCell ref="O6:O9"/>
    <mergeCell ref="P6:P9"/>
    <mergeCell ref="Q6:Q9"/>
    <mergeCell ref="R6:R9"/>
    <mergeCell ref="S6:S9"/>
    <mergeCell ref="T6:T9"/>
    <mergeCell ref="U6:U9"/>
    <mergeCell ref="V6:V9"/>
    <mergeCell ref="W6:W9"/>
    <mergeCell ref="X6:X9"/>
    <mergeCell ref="Y6:Y9"/>
    <mergeCell ref="Z6:Z9"/>
    <mergeCell ref="AA6:AA9"/>
    <mergeCell ref="AB6:AB9"/>
    <mergeCell ref="AC6:AC9"/>
    <mergeCell ref="AD6:AD9"/>
    <mergeCell ref="AE6:AE9"/>
    <mergeCell ref="AF6:AF9"/>
    <mergeCell ref="AG6:AG9"/>
    <mergeCell ref="AH6:AH9"/>
    <mergeCell ref="AN6:AN9"/>
    <mergeCell ref="AI6:AI9"/>
    <mergeCell ref="AJ6:AJ9"/>
    <mergeCell ref="AK6:AK9"/>
    <mergeCell ref="AL6:AL9"/>
    <mergeCell ref="AM6:AM9"/>
  </mergeCells>
  <pageMargins left="0.7" right="0.7" top="0.75" bottom="0.75" header="0.3" footer="0.3"/>
  <pageSetup orientation="landscape"/>
  <headerFooter>
    <oddFooter>&amp;C_x000D_&amp;1#&amp;"Aptos"&amp;10&amp;K0000FF Restricted Use - À usage restreint</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B0B30-379D-44E2-8033-3D61AD343D3C}">
  <sheetPr filterMode="1"/>
  <dimension ref="A1:BK79"/>
  <sheetViews>
    <sheetView tabSelected="1" topLeftCell="F1" zoomScale="90" zoomScaleNormal="90" workbookViewId="0">
      <selection activeCell="O21" sqref="O21"/>
    </sheetView>
  </sheetViews>
  <sheetFormatPr defaultRowHeight="14.5" x14ac:dyDescent="0.35"/>
  <cols>
    <col min="1" max="2" width="14.1796875" customWidth="1"/>
    <col min="3" max="3" width="17.90625" customWidth="1"/>
    <col min="4" max="4" width="14.6328125" customWidth="1"/>
    <col min="6" max="6" width="37" customWidth="1"/>
    <col min="7" max="7" width="12.26953125" customWidth="1"/>
    <col min="8" max="8" width="14.1796875" customWidth="1"/>
    <col min="9" max="9" width="20.6328125" customWidth="1"/>
    <col min="10" max="10" width="15.81640625" customWidth="1"/>
    <col min="11" max="11" width="13.81640625" customWidth="1"/>
    <col min="12" max="12" width="16.90625" customWidth="1"/>
    <col min="13" max="13" width="15.1796875" customWidth="1"/>
    <col min="14" max="14" width="13.36328125" customWidth="1"/>
    <col min="15" max="15" width="14.453125" customWidth="1"/>
    <col min="16" max="16" width="21.26953125" customWidth="1"/>
    <col min="17" max="17" width="13.81640625" customWidth="1"/>
    <col min="18" max="18" width="15.81640625" customWidth="1"/>
    <col min="19" max="19" width="15.08984375" customWidth="1"/>
    <col min="20" max="20" width="19.26953125" customWidth="1"/>
    <col min="21" max="21" width="15.1796875" customWidth="1"/>
    <col min="22" max="22" width="17.1796875" customWidth="1"/>
    <col min="23" max="23" width="19.90625" customWidth="1"/>
    <col min="24" max="24" width="15.08984375" customWidth="1"/>
    <col min="25" max="25" width="16.08984375" customWidth="1"/>
    <col min="26" max="26" width="15.54296875" customWidth="1"/>
    <col min="27" max="27" width="12.7265625" customWidth="1"/>
    <col min="29" max="29" width="13" customWidth="1"/>
    <col min="30" max="30" width="14.08984375" customWidth="1"/>
    <col min="31" max="31" width="11.453125" customWidth="1"/>
    <col min="32" max="32" width="13.90625" customWidth="1"/>
    <col min="33" max="33" width="11.6328125" customWidth="1"/>
    <col min="35" max="35" width="12.453125" customWidth="1"/>
    <col min="36" max="36" width="13.08984375" customWidth="1"/>
    <col min="37" max="37" width="15.7265625" customWidth="1"/>
    <col min="38" max="38" width="17.7265625" customWidth="1"/>
    <col min="39" max="39" width="11.453125" customWidth="1"/>
    <col min="40" max="40" width="14.90625" customWidth="1"/>
    <col min="41" max="41" width="12.54296875" customWidth="1"/>
    <col min="42" max="42" width="15.26953125" customWidth="1"/>
    <col min="43" max="43" width="17.453125" customWidth="1"/>
    <col min="44" max="44" width="15" customWidth="1"/>
    <col min="45" max="45" width="16.453125" customWidth="1"/>
    <col min="46" max="46" width="19.36328125" customWidth="1"/>
    <col min="47" max="47" width="16.08984375" customWidth="1"/>
    <col min="48" max="48" width="17.81640625" customWidth="1"/>
    <col min="49" max="49" width="14.1796875" customWidth="1"/>
    <col min="50" max="50" width="20.1796875" customWidth="1"/>
    <col min="51" max="51" width="18.7265625" customWidth="1"/>
    <col min="52" max="52" width="20.90625" customWidth="1"/>
    <col min="53" max="53" width="19.54296875" customWidth="1"/>
    <col min="54" max="54" width="19.36328125" customWidth="1"/>
    <col min="55" max="55" width="17.453125" customWidth="1"/>
    <col min="56" max="56" width="13.26953125" customWidth="1"/>
    <col min="57" max="57" width="12.453125" customWidth="1"/>
    <col min="58" max="58" width="16.6328125" customWidth="1"/>
    <col min="59" max="59" width="21.54296875" customWidth="1"/>
    <col min="60" max="60" width="17.81640625" customWidth="1"/>
    <col min="61" max="61" width="17.36328125" customWidth="1"/>
    <col min="62" max="62" width="17.453125" customWidth="1"/>
  </cols>
  <sheetData>
    <row r="1" spans="1:63" ht="72.5" customHeight="1" x14ac:dyDescent="0.35">
      <c r="A1" s="18" t="s">
        <v>2</v>
      </c>
      <c r="B1" s="23" t="s">
        <v>2223</v>
      </c>
      <c r="C1" s="18" t="s">
        <v>3</v>
      </c>
      <c r="D1" s="23" t="s">
        <v>2230</v>
      </c>
      <c r="E1" s="18" t="s">
        <v>4</v>
      </c>
      <c r="F1" s="18" t="s">
        <v>212</v>
      </c>
      <c r="G1" s="18" t="s">
        <v>213</v>
      </c>
      <c r="H1" s="18" t="s">
        <v>214</v>
      </c>
      <c r="I1" s="18" t="s">
        <v>261</v>
      </c>
      <c r="J1" s="18" t="s">
        <v>262</v>
      </c>
      <c r="K1" s="18" t="s">
        <v>263</v>
      </c>
      <c r="L1" s="18" t="s">
        <v>264</v>
      </c>
      <c r="M1" s="18" t="s">
        <v>265</v>
      </c>
      <c r="N1" s="18" t="s">
        <v>266</v>
      </c>
      <c r="O1" s="18" t="s">
        <v>267</v>
      </c>
      <c r="P1" s="18" t="s">
        <v>268</v>
      </c>
      <c r="Q1" s="18" t="s">
        <v>269</v>
      </c>
      <c r="R1" s="18" t="s">
        <v>270</v>
      </c>
      <c r="S1" s="18" t="s">
        <v>2210</v>
      </c>
      <c r="T1" s="22" t="s">
        <v>2211</v>
      </c>
      <c r="U1" s="22" t="s">
        <v>1554</v>
      </c>
      <c r="V1" s="22" t="s">
        <v>2212</v>
      </c>
      <c r="W1" s="22" t="s">
        <v>275</v>
      </c>
      <c r="X1" s="21" t="s">
        <v>276</v>
      </c>
      <c r="Y1" s="19" t="s">
        <v>2213</v>
      </c>
      <c r="Z1" s="22" t="s">
        <v>2214</v>
      </c>
      <c r="AA1" s="22" t="s">
        <v>279</v>
      </c>
      <c r="AB1" s="22" t="s">
        <v>280</v>
      </c>
      <c r="AC1" s="22" t="s">
        <v>281</v>
      </c>
      <c r="AD1" s="22" t="s">
        <v>282</v>
      </c>
      <c r="AE1" s="22" t="s">
        <v>283</v>
      </c>
      <c r="AF1" s="19" t="s">
        <v>284</v>
      </c>
      <c r="AG1" s="22" t="s">
        <v>285</v>
      </c>
      <c r="AH1" s="21" t="s">
        <v>286</v>
      </c>
      <c r="AI1" s="18" t="s">
        <v>2215</v>
      </c>
      <c r="AJ1" s="18" t="s">
        <v>2216</v>
      </c>
      <c r="AK1" s="19" t="s">
        <v>2217</v>
      </c>
      <c r="AL1" s="18" t="s">
        <v>2218</v>
      </c>
      <c r="AM1" s="18" t="s">
        <v>2219</v>
      </c>
      <c r="AN1" s="19" t="s">
        <v>2220</v>
      </c>
      <c r="AO1" s="20" t="s">
        <v>2221</v>
      </c>
      <c r="AP1" s="21" t="s">
        <v>2222</v>
      </c>
      <c r="AQ1" s="16" t="s">
        <v>2224</v>
      </c>
      <c r="AR1" s="16" t="s">
        <v>2225</v>
      </c>
      <c r="AS1" s="17" t="s">
        <v>2226</v>
      </c>
      <c r="AT1" s="16" t="s">
        <v>2227</v>
      </c>
      <c r="AU1" s="16" t="s">
        <v>2228</v>
      </c>
      <c r="AV1" s="16" t="s">
        <v>2229</v>
      </c>
      <c r="AW1" s="16"/>
      <c r="AX1" s="24" t="s">
        <v>2231</v>
      </c>
      <c r="AY1" s="24" t="s">
        <v>2232</v>
      </c>
      <c r="AZ1" s="25" t="s">
        <v>2233</v>
      </c>
      <c r="BA1" s="24" t="s">
        <v>2234</v>
      </c>
      <c r="BB1" s="24" t="s">
        <v>2235</v>
      </c>
      <c r="BC1" s="24" t="s">
        <v>2236</v>
      </c>
      <c r="BD1" s="26" t="s">
        <v>2237</v>
      </c>
      <c r="BE1" s="26" t="s">
        <v>2238</v>
      </c>
      <c r="BF1" s="27" t="s">
        <v>2239</v>
      </c>
      <c r="BG1" s="26" t="s">
        <v>2240</v>
      </c>
      <c r="BH1" s="26" t="s">
        <v>2241</v>
      </c>
      <c r="BI1" s="26" t="s">
        <v>2242</v>
      </c>
      <c r="BJ1" s="26" t="s">
        <v>2243</v>
      </c>
      <c r="BK1" s="24" t="s">
        <v>2244</v>
      </c>
    </row>
    <row r="2" spans="1:63" hidden="1" x14ac:dyDescent="0.35">
      <c r="A2" s="18"/>
      <c r="B2" s="23"/>
      <c r="C2" s="18"/>
      <c r="D2" s="23"/>
      <c r="E2" s="18"/>
      <c r="F2" s="18"/>
      <c r="G2" s="18"/>
      <c r="H2" s="18"/>
      <c r="I2" s="18"/>
      <c r="J2" s="18"/>
      <c r="K2" s="18"/>
      <c r="L2" s="18"/>
      <c r="M2" s="18"/>
      <c r="N2" s="18"/>
      <c r="O2" s="18"/>
      <c r="P2" s="18"/>
      <c r="Q2" s="18"/>
      <c r="R2" s="18"/>
      <c r="S2" s="18"/>
      <c r="T2" s="22"/>
      <c r="U2" s="22"/>
      <c r="V2" s="22"/>
      <c r="W2" s="22"/>
      <c r="X2" s="21"/>
      <c r="Y2" s="19"/>
      <c r="Z2" s="22"/>
      <c r="AA2" s="22"/>
      <c r="AB2" s="22"/>
      <c r="AC2" s="22"/>
      <c r="AD2" s="22"/>
      <c r="AE2" s="22"/>
      <c r="AF2" s="19"/>
      <c r="AG2" s="22"/>
      <c r="AH2" s="21"/>
      <c r="AI2" s="18"/>
      <c r="AJ2" s="18"/>
      <c r="AK2" s="19"/>
      <c r="AL2" s="18"/>
      <c r="AM2" s="18"/>
      <c r="AN2" s="19"/>
      <c r="AO2" s="20"/>
      <c r="AP2" s="21"/>
      <c r="AQ2" s="16"/>
      <c r="AR2" s="16"/>
      <c r="AS2" s="17"/>
      <c r="AT2" s="16"/>
      <c r="AU2" s="16"/>
      <c r="AV2" s="16"/>
      <c r="AW2" s="16"/>
      <c r="AX2" s="24"/>
      <c r="AY2" s="24"/>
      <c r="AZ2" s="25"/>
      <c r="BA2" s="24"/>
      <c r="BB2" s="24"/>
      <c r="BC2" s="24"/>
      <c r="BD2" s="26"/>
      <c r="BE2" s="26"/>
      <c r="BF2" s="27"/>
      <c r="BG2" s="26"/>
      <c r="BH2" s="26"/>
      <c r="BI2" s="26"/>
      <c r="BJ2" s="26"/>
      <c r="BK2" s="24"/>
    </row>
    <row r="3" spans="1:63" hidden="1" x14ac:dyDescent="0.35">
      <c r="A3" s="18"/>
      <c r="B3" s="23"/>
      <c r="C3" s="18"/>
      <c r="D3" s="23"/>
      <c r="E3" s="18"/>
      <c r="F3" s="18"/>
      <c r="G3" s="18"/>
      <c r="H3" s="18"/>
      <c r="I3" s="18"/>
      <c r="J3" s="18"/>
      <c r="K3" s="18"/>
      <c r="L3" s="18"/>
      <c r="M3" s="18"/>
      <c r="N3" s="18"/>
      <c r="O3" s="18"/>
      <c r="P3" s="18"/>
      <c r="Q3" s="18"/>
      <c r="R3" s="18"/>
      <c r="S3" s="18"/>
      <c r="T3" s="22"/>
      <c r="U3" s="22"/>
      <c r="V3" s="22"/>
      <c r="W3" s="22"/>
      <c r="X3" s="21"/>
      <c r="Y3" s="19"/>
      <c r="Z3" s="22"/>
      <c r="AA3" s="22"/>
      <c r="AB3" s="22"/>
      <c r="AC3" s="22"/>
      <c r="AD3" s="22"/>
      <c r="AE3" s="22"/>
      <c r="AF3" s="19"/>
      <c r="AG3" s="22"/>
      <c r="AH3" s="21"/>
      <c r="AI3" s="18"/>
      <c r="AJ3" s="18"/>
      <c r="AK3" s="19"/>
      <c r="AL3" s="18"/>
      <c r="AM3" s="18"/>
      <c r="AN3" s="19"/>
      <c r="AO3" s="20"/>
      <c r="AP3" s="21"/>
      <c r="AQ3" s="16"/>
      <c r="AR3" s="16"/>
      <c r="AS3" s="17"/>
      <c r="AT3" s="16"/>
      <c r="AU3" s="16"/>
      <c r="AV3" s="16"/>
      <c r="AW3" s="16"/>
      <c r="AX3" s="24"/>
      <c r="AY3" s="24"/>
      <c r="AZ3" s="25"/>
      <c r="BA3" s="24"/>
      <c r="BB3" s="24"/>
      <c r="BC3" s="24"/>
      <c r="BD3" s="26"/>
      <c r="BE3" s="26"/>
      <c r="BF3" s="27"/>
      <c r="BG3" s="26"/>
      <c r="BH3" s="26"/>
      <c r="BI3" s="26"/>
      <c r="BJ3" s="26"/>
      <c r="BK3" s="24"/>
    </row>
    <row r="4" spans="1:63" hidden="1" x14ac:dyDescent="0.35">
      <c r="A4" s="18"/>
      <c r="B4" s="23"/>
      <c r="C4" s="18"/>
      <c r="D4" s="23"/>
      <c r="E4" s="18"/>
      <c r="F4" s="18"/>
      <c r="G4" s="18"/>
      <c r="H4" s="18"/>
      <c r="I4" s="18"/>
      <c r="J4" s="18"/>
      <c r="K4" s="18"/>
      <c r="L4" s="18"/>
      <c r="M4" s="18"/>
      <c r="N4" s="18"/>
      <c r="O4" s="18"/>
      <c r="P4" s="18"/>
      <c r="Q4" s="18"/>
      <c r="R4" s="18"/>
      <c r="S4" s="18"/>
      <c r="T4" s="22"/>
      <c r="U4" s="22"/>
      <c r="V4" s="22"/>
      <c r="W4" s="22"/>
      <c r="X4" s="21"/>
      <c r="Y4" s="19"/>
      <c r="Z4" s="22"/>
      <c r="AA4" s="22"/>
      <c r="AB4" s="22"/>
      <c r="AC4" s="22"/>
      <c r="AD4" s="22"/>
      <c r="AE4" s="22"/>
      <c r="AF4" s="19"/>
      <c r="AG4" s="22"/>
      <c r="AH4" s="21"/>
      <c r="AI4" s="18"/>
      <c r="AJ4" s="18"/>
      <c r="AK4" s="19"/>
      <c r="AL4" s="18"/>
      <c r="AM4" s="18"/>
      <c r="AN4" s="19"/>
      <c r="AO4" s="20"/>
      <c r="AP4" s="21"/>
      <c r="AQ4" s="16"/>
      <c r="AR4" s="16"/>
      <c r="AS4" s="17"/>
      <c r="AT4" s="16"/>
      <c r="AU4" s="16"/>
      <c r="AV4" s="16"/>
      <c r="AW4" s="16"/>
      <c r="AX4" s="24"/>
      <c r="AY4" s="24"/>
      <c r="AZ4" s="25"/>
      <c r="BA4" s="24"/>
      <c r="BB4" s="24"/>
      <c r="BC4" s="24"/>
      <c r="BD4" s="26"/>
      <c r="BE4" s="26"/>
      <c r="BF4" s="27"/>
      <c r="BG4" s="26"/>
      <c r="BH4" s="26"/>
      <c r="BI4" s="26"/>
      <c r="BJ4" s="26"/>
      <c r="BK4" s="24"/>
    </row>
    <row r="5" spans="1:63" hidden="1" x14ac:dyDescent="0.35">
      <c r="A5">
        <v>46022</v>
      </c>
      <c r="B5" t="str">
        <f>_xlfn.XLOOKUP(C5,'Production Costs Co Product'!B:B,'Production Costs Co Product'!D:D,"Not found")</f>
        <v>China</v>
      </c>
      <c r="C5" t="s">
        <v>48</v>
      </c>
      <c r="D5" s="13">
        <f>_xlfn.XLOOKUP(C5,'Production Costs Co Product'!B:B,'Production Costs Co Product'!J:J,"Not found")</f>
        <v>2.7274E-2</v>
      </c>
      <c r="E5" t="s">
        <v>49</v>
      </c>
      <c r="F5" t="s">
        <v>215</v>
      </c>
      <c r="G5">
        <v>4355482</v>
      </c>
      <c r="H5">
        <v>100</v>
      </c>
      <c r="I5" t="s">
        <v>296</v>
      </c>
      <c r="J5" t="s">
        <v>50</v>
      </c>
      <c r="L5" t="s">
        <v>50</v>
      </c>
      <c r="M5" t="s">
        <v>297</v>
      </c>
      <c r="N5" t="s">
        <v>298</v>
      </c>
      <c r="O5" t="s">
        <v>299</v>
      </c>
      <c r="P5" t="s">
        <v>50</v>
      </c>
      <c r="Q5">
        <v>4415549</v>
      </c>
      <c r="R5" t="s">
        <v>298</v>
      </c>
      <c r="S5">
        <v>5.56</v>
      </c>
      <c r="T5" t="s">
        <v>300</v>
      </c>
      <c r="U5" t="s">
        <v>300</v>
      </c>
      <c r="V5" t="s">
        <v>300</v>
      </c>
      <c r="W5" t="s">
        <v>300</v>
      </c>
      <c r="X5" t="s">
        <v>300</v>
      </c>
      <c r="Y5" t="s">
        <v>300</v>
      </c>
      <c r="Z5" t="s">
        <v>300</v>
      </c>
      <c r="AA5">
        <v>5.56</v>
      </c>
      <c r="AB5" t="s">
        <v>300</v>
      </c>
      <c r="AC5" t="s">
        <v>300</v>
      </c>
      <c r="AD5" t="s">
        <v>300</v>
      </c>
      <c r="AE5" t="s">
        <v>300</v>
      </c>
      <c r="AF5" t="s">
        <v>300</v>
      </c>
      <c r="AG5" t="s">
        <v>300</v>
      </c>
      <c r="AH5">
        <v>12.8</v>
      </c>
      <c r="AI5" t="s">
        <v>300</v>
      </c>
      <c r="AJ5" t="s">
        <v>300</v>
      </c>
      <c r="AK5" t="s">
        <v>300</v>
      </c>
      <c r="AL5" t="s">
        <v>300</v>
      </c>
      <c r="AM5" t="s">
        <v>300</v>
      </c>
      <c r="AN5" t="s">
        <v>300</v>
      </c>
      <c r="AO5">
        <v>46.61</v>
      </c>
      <c r="AP5">
        <v>2.69</v>
      </c>
      <c r="AQ5">
        <f>SUM(T5,V5,W5,Z5,AD5,AE5,AG5,AJ5,AI5,AA5)</f>
        <v>5.56</v>
      </c>
      <c r="AR5">
        <f>SUM(Y5,AF5,AK5,AN5)</f>
        <v>0</v>
      </c>
      <c r="AS5">
        <f>SUM(AH5,X5)</f>
        <v>12.8</v>
      </c>
      <c r="AT5">
        <f>SUM(U5,AB5,AL5,AM5,AO5,AP5)</f>
        <v>49.3</v>
      </c>
      <c r="AU5" t="str">
        <f>AC5</f>
        <v>NA</v>
      </c>
      <c r="AV5">
        <f>100-SUM(AQ5,AR5,AS5,AT5,AU5)</f>
        <v>32.340000000000003</v>
      </c>
      <c r="AW5">
        <f>100-SUM(T5:AP5)</f>
        <v>32.340000000000003</v>
      </c>
      <c r="AX5" s="14">
        <f>AQ5*$H5/100</f>
        <v>5.56</v>
      </c>
      <c r="AY5" s="14">
        <f t="shared" ref="AY5:BA24" si="0">AR5*$H5/100</f>
        <v>0</v>
      </c>
      <c r="AZ5" s="14">
        <f t="shared" si="0"/>
        <v>12.8</v>
      </c>
      <c r="BA5" s="14">
        <f t="shared" si="0"/>
        <v>49.3</v>
      </c>
      <c r="BB5" s="14">
        <f t="shared" ref="BB5:BB22" si="1">IFERROR(AU5*$H5/100,0)</f>
        <v>0</v>
      </c>
      <c r="BC5" s="14">
        <f t="shared" ref="BC5:BC22" si="2">AV5*$H5/100</f>
        <v>32.340000000000003</v>
      </c>
      <c r="BD5" s="13">
        <f t="shared" ref="BD5:BD22" si="3">AX5/100*$D5</f>
        <v>1.5164343999999998E-3</v>
      </c>
      <c r="BE5" s="13">
        <f t="shared" ref="BE5:BE22" si="4">AY5/100*$D5</f>
        <v>0</v>
      </c>
      <c r="BF5" s="13">
        <f t="shared" ref="BF5:BF22" si="5">AZ5/100*$D5</f>
        <v>3.491072E-3</v>
      </c>
      <c r="BG5" s="13">
        <f t="shared" ref="BG5:BG22" si="6">BA5/100*$D5</f>
        <v>1.3446082E-2</v>
      </c>
      <c r="BH5" s="13">
        <f t="shared" ref="BH5:BH22" si="7">BB5/100*$D5</f>
        <v>0</v>
      </c>
      <c r="BI5" s="13">
        <f t="shared" ref="BI5:BI22" si="8">BC5/100*$D5</f>
        <v>8.8204116000000013E-3</v>
      </c>
      <c r="BJ5" s="13">
        <f t="shared" ref="BJ5:BJ22" si="9">SUM(BD5:BI5)</f>
        <v>2.7274E-2</v>
      </c>
      <c r="BK5" s="13">
        <f t="shared" ref="BK5:BK22" si="10">D5*H5/100</f>
        <v>2.7274E-2</v>
      </c>
    </row>
    <row r="6" spans="1:63" hidden="1" x14ac:dyDescent="0.35">
      <c r="A6">
        <v>46022</v>
      </c>
      <c r="B6" t="str">
        <f>_xlfn.XLOOKUP(C6,'Production Costs Co Product'!B:B,'Production Costs Co Product'!D:D,"Not found")</f>
        <v>Madagascar</v>
      </c>
      <c r="C6" t="s">
        <v>86</v>
      </c>
      <c r="D6" s="13">
        <f>_xlfn.XLOOKUP(C6,'Production Costs Co Product'!B:B,'Production Costs Co Product'!J:J,"Not found")</f>
        <v>2.2844090000000001</v>
      </c>
      <c r="E6" t="s">
        <v>87</v>
      </c>
      <c r="F6" t="s">
        <v>216</v>
      </c>
      <c r="G6">
        <v>4351671</v>
      </c>
      <c r="H6">
        <v>45.82</v>
      </c>
      <c r="I6" t="s">
        <v>298</v>
      </c>
      <c r="J6" t="s">
        <v>301</v>
      </c>
      <c r="L6" t="s">
        <v>301</v>
      </c>
      <c r="M6" t="s">
        <v>302</v>
      </c>
      <c r="N6" t="s">
        <v>303</v>
      </c>
      <c r="O6" t="s">
        <v>301</v>
      </c>
      <c r="P6" t="s">
        <v>301</v>
      </c>
      <c r="Q6">
        <v>4518579</v>
      </c>
      <c r="R6" t="s">
        <v>303</v>
      </c>
      <c r="S6" t="s">
        <v>300</v>
      </c>
      <c r="T6" t="s">
        <v>300</v>
      </c>
      <c r="U6" t="s">
        <v>300</v>
      </c>
      <c r="V6" t="s">
        <v>300</v>
      </c>
      <c r="W6" t="s">
        <v>300</v>
      </c>
      <c r="X6" t="s">
        <v>300</v>
      </c>
      <c r="Y6" t="s">
        <v>300</v>
      </c>
      <c r="Z6" t="s">
        <v>300</v>
      </c>
      <c r="AA6" t="s">
        <v>300</v>
      </c>
      <c r="AB6" t="s">
        <v>300</v>
      </c>
      <c r="AC6" t="s">
        <v>300</v>
      </c>
      <c r="AD6" t="s">
        <v>300</v>
      </c>
      <c r="AE6" t="s">
        <v>300</v>
      </c>
      <c r="AF6" t="s">
        <v>300</v>
      </c>
      <c r="AG6" t="s">
        <v>300</v>
      </c>
      <c r="AH6" t="s">
        <v>300</v>
      </c>
      <c r="AI6" t="s">
        <v>300</v>
      </c>
      <c r="AJ6" t="s">
        <v>300</v>
      </c>
      <c r="AK6" t="s">
        <v>300</v>
      </c>
      <c r="AL6" t="s">
        <v>300</v>
      </c>
      <c r="AM6" t="s">
        <v>300</v>
      </c>
      <c r="AN6" t="s">
        <v>300</v>
      </c>
      <c r="AO6" t="s">
        <v>300</v>
      </c>
      <c r="AP6" t="s">
        <v>300</v>
      </c>
      <c r="AQ6">
        <f t="shared" ref="AQ6:AQ69" si="11">SUM(T6,V6,W6,Z6,AD6,AE6,AG6,AJ6,AI6,AA6)</f>
        <v>0</v>
      </c>
      <c r="AR6">
        <f t="shared" ref="AR6:AR69" si="12">SUM(Y6,AF6,AK6,AN6)</f>
        <v>0</v>
      </c>
      <c r="AS6">
        <f t="shared" ref="AS6:AS69" si="13">SUM(AH6,X6)</f>
        <v>0</v>
      </c>
      <c r="AT6">
        <f t="shared" ref="AT6:AT69" si="14">SUM(U6,AB6,AL6,AM6,AO6,AP6)</f>
        <v>0</v>
      </c>
      <c r="AU6" t="str">
        <f t="shared" ref="AU6:AU69" si="15">AC6</f>
        <v>NA</v>
      </c>
      <c r="AV6">
        <f t="shared" ref="AV6:AV69" si="16">100-SUM(AQ6,AR6,AS6,AT6,AU6)</f>
        <v>100</v>
      </c>
      <c r="AW6">
        <f t="shared" ref="AW6:AW69" si="17">100-SUM(T6:AP6)</f>
        <v>100</v>
      </c>
      <c r="AX6" s="14">
        <f t="shared" ref="AX6:AX22" si="18">AQ6*$H6/100</f>
        <v>0</v>
      </c>
      <c r="AY6" s="14">
        <f t="shared" si="0"/>
        <v>0</v>
      </c>
      <c r="AZ6" s="14">
        <f t="shared" si="0"/>
        <v>0</v>
      </c>
      <c r="BA6" s="14">
        <f t="shared" si="0"/>
        <v>0</v>
      </c>
      <c r="BB6" s="14">
        <f t="shared" si="1"/>
        <v>0</v>
      </c>
      <c r="BC6" s="14">
        <f t="shared" si="2"/>
        <v>45.82</v>
      </c>
      <c r="BD6" s="13">
        <f t="shared" si="3"/>
        <v>0</v>
      </c>
      <c r="BE6" s="13">
        <f t="shared" si="4"/>
        <v>0</v>
      </c>
      <c r="BF6" s="13">
        <f t="shared" si="5"/>
        <v>0</v>
      </c>
      <c r="BG6" s="13">
        <f t="shared" si="6"/>
        <v>0</v>
      </c>
      <c r="BH6" s="13">
        <f t="shared" si="7"/>
        <v>0</v>
      </c>
      <c r="BI6" s="13">
        <f t="shared" si="8"/>
        <v>1.0467162038</v>
      </c>
      <c r="BJ6" s="13">
        <f t="shared" si="9"/>
        <v>1.0467162038</v>
      </c>
      <c r="BK6" s="13">
        <f t="shared" si="10"/>
        <v>1.0467162038</v>
      </c>
    </row>
    <row r="7" spans="1:63" hidden="1" x14ac:dyDescent="0.35">
      <c r="A7">
        <v>46022</v>
      </c>
      <c r="B7" t="str">
        <f>_xlfn.XLOOKUP(C7,'Production Costs Co Product'!B:B,'Production Costs Co Product'!D:D,"Not found")</f>
        <v>Madagascar</v>
      </c>
      <c r="C7" t="s">
        <v>86</v>
      </c>
      <c r="D7" s="13">
        <f>_xlfn.XLOOKUP(C7,'Production Costs Co Product'!B:B,'Production Costs Co Product'!J:J,"Not found")</f>
        <v>2.2844090000000001</v>
      </c>
      <c r="E7" t="s">
        <v>87</v>
      </c>
      <c r="F7" t="s">
        <v>217</v>
      </c>
      <c r="G7">
        <v>4047416</v>
      </c>
      <c r="H7">
        <v>54.17</v>
      </c>
      <c r="I7" t="s">
        <v>296</v>
      </c>
      <c r="J7" t="s">
        <v>304</v>
      </c>
      <c r="L7" t="s">
        <v>305</v>
      </c>
      <c r="M7" t="s">
        <v>305</v>
      </c>
      <c r="N7" t="s">
        <v>306</v>
      </c>
      <c r="O7" t="s">
        <v>305</v>
      </c>
      <c r="P7" t="s">
        <v>305</v>
      </c>
      <c r="Q7" t="s">
        <v>300</v>
      </c>
      <c r="R7" t="s">
        <v>296</v>
      </c>
      <c r="S7">
        <v>50.86</v>
      </c>
      <c r="T7">
        <v>0.57999999999999996</v>
      </c>
      <c r="U7" t="s">
        <v>300</v>
      </c>
      <c r="V7" t="s">
        <v>300</v>
      </c>
      <c r="W7" t="s">
        <v>300</v>
      </c>
      <c r="X7">
        <v>0</v>
      </c>
      <c r="Y7">
        <v>0.35</v>
      </c>
      <c r="Z7">
        <v>14.22</v>
      </c>
      <c r="AA7">
        <v>31.94</v>
      </c>
      <c r="AB7" t="s">
        <v>300</v>
      </c>
      <c r="AC7">
        <v>2.15</v>
      </c>
      <c r="AD7" t="s">
        <v>300</v>
      </c>
      <c r="AE7">
        <v>0.26</v>
      </c>
      <c r="AF7">
        <v>1.33</v>
      </c>
      <c r="AG7">
        <v>0.02</v>
      </c>
      <c r="AH7">
        <v>0.05</v>
      </c>
      <c r="AI7" t="s">
        <v>300</v>
      </c>
      <c r="AJ7" t="s">
        <v>300</v>
      </c>
      <c r="AK7" t="s">
        <v>300</v>
      </c>
      <c r="AL7" t="s">
        <v>300</v>
      </c>
      <c r="AM7" t="s">
        <v>300</v>
      </c>
      <c r="AN7" t="s">
        <v>300</v>
      </c>
      <c r="AO7" t="s">
        <v>300</v>
      </c>
      <c r="AP7" t="s">
        <v>300</v>
      </c>
      <c r="AQ7">
        <f t="shared" si="11"/>
        <v>47.02</v>
      </c>
      <c r="AR7">
        <f t="shared" si="12"/>
        <v>1.6800000000000002</v>
      </c>
      <c r="AS7">
        <f t="shared" si="13"/>
        <v>0.05</v>
      </c>
      <c r="AT7">
        <f t="shared" si="14"/>
        <v>0</v>
      </c>
      <c r="AU7">
        <f t="shared" si="15"/>
        <v>2.15</v>
      </c>
      <c r="AV7">
        <f t="shared" si="16"/>
        <v>49.1</v>
      </c>
      <c r="AW7">
        <f t="shared" si="17"/>
        <v>49.1</v>
      </c>
      <c r="AX7" s="14">
        <f t="shared" si="18"/>
        <v>25.470734000000004</v>
      </c>
      <c r="AY7" s="14">
        <f t="shared" si="0"/>
        <v>0.9100560000000002</v>
      </c>
      <c r="AZ7" s="14">
        <f t="shared" si="0"/>
        <v>2.7085000000000005E-2</v>
      </c>
      <c r="BA7" s="14">
        <f t="shared" si="0"/>
        <v>0</v>
      </c>
      <c r="BB7" s="14">
        <f t="shared" si="1"/>
        <v>1.164655</v>
      </c>
      <c r="BC7" s="14">
        <f t="shared" si="2"/>
        <v>26.597470000000001</v>
      </c>
      <c r="BD7" s="13">
        <f t="shared" si="3"/>
        <v>0.58185573986206018</v>
      </c>
      <c r="BE7" s="13">
        <f t="shared" si="4"/>
        <v>2.0789401169040007E-2</v>
      </c>
      <c r="BF7" s="13">
        <f t="shared" si="5"/>
        <v>6.1873217765000016E-4</v>
      </c>
      <c r="BG7" s="13">
        <f t="shared" si="6"/>
        <v>0</v>
      </c>
      <c r="BH7" s="13">
        <f t="shared" si="7"/>
        <v>2.6605483638950003E-2</v>
      </c>
      <c r="BI7" s="13">
        <f t="shared" si="8"/>
        <v>0.60759499845230003</v>
      </c>
      <c r="BJ7" s="13">
        <f t="shared" si="9"/>
        <v>1.2374643553000002</v>
      </c>
      <c r="BK7" s="13">
        <f t="shared" si="10"/>
        <v>1.2374643553000002</v>
      </c>
    </row>
    <row r="8" spans="1:63" hidden="1" x14ac:dyDescent="0.35">
      <c r="A8">
        <v>46022</v>
      </c>
      <c r="B8" t="str">
        <f>_xlfn.XLOOKUP(C8,'Production Costs Co Product'!B:B,'Production Costs Co Product'!D:D,"Not found")</f>
        <v>Zambia</v>
      </c>
      <c r="C8" t="s">
        <v>89</v>
      </c>
      <c r="D8" s="13">
        <f>_xlfn.XLOOKUP(C8,'Production Costs Co Product'!B:B,'Production Costs Co Product'!J:J,"Not found")</f>
        <v>5.6349130000000001</v>
      </c>
      <c r="E8" t="s">
        <v>90</v>
      </c>
      <c r="F8" t="s">
        <v>218</v>
      </c>
      <c r="G8">
        <v>4349160</v>
      </c>
      <c r="H8">
        <v>85</v>
      </c>
      <c r="I8" t="s">
        <v>296</v>
      </c>
      <c r="J8" t="s">
        <v>50</v>
      </c>
      <c r="L8" t="s">
        <v>307</v>
      </c>
      <c r="M8" t="s">
        <v>308</v>
      </c>
      <c r="N8" t="s">
        <v>298</v>
      </c>
      <c r="O8" t="s">
        <v>309</v>
      </c>
      <c r="P8" t="s">
        <v>50</v>
      </c>
      <c r="Q8">
        <v>4649432</v>
      </c>
      <c r="R8" t="s">
        <v>303</v>
      </c>
      <c r="S8">
        <v>9.74</v>
      </c>
      <c r="T8">
        <v>0.06</v>
      </c>
      <c r="U8" t="s">
        <v>300</v>
      </c>
      <c r="V8" t="s">
        <v>300</v>
      </c>
      <c r="W8" t="s">
        <v>300</v>
      </c>
      <c r="X8" t="s">
        <v>300</v>
      </c>
      <c r="Y8" t="s">
        <v>300</v>
      </c>
      <c r="Z8" t="s">
        <v>300</v>
      </c>
      <c r="AA8">
        <v>9.69</v>
      </c>
      <c r="AB8" t="s">
        <v>300</v>
      </c>
      <c r="AC8" t="s">
        <v>300</v>
      </c>
      <c r="AD8" t="s">
        <v>300</v>
      </c>
      <c r="AE8" t="s">
        <v>300</v>
      </c>
      <c r="AF8" t="s">
        <v>300</v>
      </c>
      <c r="AG8" t="s">
        <v>300</v>
      </c>
      <c r="AH8" t="s">
        <v>300</v>
      </c>
      <c r="AI8" t="s">
        <v>300</v>
      </c>
      <c r="AJ8" t="s">
        <v>300</v>
      </c>
      <c r="AK8" t="s">
        <v>300</v>
      </c>
      <c r="AL8" t="s">
        <v>300</v>
      </c>
      <c r="AM8" t="s">
        <v>300</v>
      </c>
      <c r="AN8" t="s">
        <v>300</v>
      </c>
      <c r="AO8">
        <v>66.63</v>
      </c>
      <c r="AP8" t="s">
        <v>300</v>
      </c>
      <c r="AQ8">
        <f t="shared" si="11"/>
        <v>9.75</v>
      </c>
      <c r="AR8">
        <f t="shared" si="12"/>
        <v>0</v>
      </c>
      <c r="AS8">
        <f t="shared" si="13"/>
        <v>0</v>
      </c>
      <c r="AT8">
        <f t="shared" si="14"/>
        <v>66.63</v>
      </c>
      <c r="AU8" t="str">
        <f t="shared" si="15"/>
        <v>NA</v>
      </c>
      <c r="AV8">
        <f t="shared" si="16"/>
        <v>23.620000000000005</v>
      </c>
      <c r="AW8">
        <f t="shared" si="17"/>
        <v>23.620000000000005</v>
      </c>
      <c r="AX8" s="14">
        <f t="shared" si="18"/>
        <v>8.2874999999999996</v>
      </c>
      <c r="AY8" s="14">
        <f t="shared" si="0"/>
        <v>0</v>
      </c>
      <c r="AZ8" s="14">
        <f t="shared" si="0"/>
        <v>0</v>
      </c>
      <c r="BA8" s="14">
        <f t="shared" si="0"/>
        <v>56.635499999999993</v>
      </c>
      <c r="BB8" s="14">
        <f t="shared" si="1"/>
        <v>0</v>
      </c>
      <c r="BC8" s="14">
        <f t="shared" si="2"/>
        <v>20.077000000000002</v>
      </c>
      <c r="BD8" s="13">
        <f t="shared" si="3"/>
        <v>0.46699341487499996</v>
      </c>
      <c r="BE8" s="13">
        <f t="shared" si="4"/>
        <v>0</v>
      </c>
      <c r="BF8" s="13">
        <f t="shared" si="5"/>
        <v>0</v>
      </c>
      <c r="BG8" s="13">
        <f t="shared" si="6"/>
        <v>3.1913611521149998</v>
      </c>
      <c r="BH8" s="13">
        <f t="shared" si="7"/>
        <v>0</v>
      </c>
      <c r="BI8" s="13">
        <f t="shared" si="8"/>
        <v>1.13132148301</v>
      </c>
      <c r="BJ8" s="13">
        <f t="shared" si="9"/>
        <v>4.7896760499999997</v>
      </c>
      <c r="BK8" s="13">
        <f t="shared" si="10"/>
        <v>4.7896760499999997</v>
      </c>
    </row>
    <row r="9" spans="1:63" hidden="1" x14ac:dyDescent="0.35">
      <c r="A9">
        <v>46022</v>
      </c>
      <c r="B9" t="str">
        <f>_xlfn.XLOOKUP(C9,'Production Costs Co Product'!B:B,'Production Costs Co Product'!D:D,"Not found")</f>
        <v>Zambia</v>
      </c>
      <c r="C9" t="s">
        <v>89</v>
      </c>
      <c r="D9" s="13">
        <f>_xlfn.XLOOKUP(C9,'Production Costs Co Product'!B:B,'Production Costs Co Product'!J:J,"Not found")</f>
        <v>5.6349130000000001</v>
      </c>
      <c r="E9" t="s">
        <v>90</v>
      </c>
      <c r="F9" t="s">
        <v>219</v>
      </c>
      <c r="G9">
        <v>4355602</v>
      </c>
      <c r="H9">
        <v>15</v>
      </c>
      <c r="I9" t="s">
        <v>296</v>
      </c>
      <c r="J9" t="s">
        <v>70</v>
      </c>
      <c r="L9" t="s">
        <v>70</v>
      </c>
      <c r="M9" t="s">
        <v>310</v>
      </c>
      <c r="N9" t="s">
        <v>303</v>
      </c>
      <c r="O9" t="s">
        <v>311</v>
      </c>
      <c r="P9" t="s">
        <v>70</v>
      </c>
      <c r="Q9">
        <v>4466550</v>
      </c>
      <c r="R9" t="s">
        <v>303</v>
      </c>
      <c r="S9">
        <v>5.96</v>
      </c>
      <c r="T9" t="s">
        <v>300</v>
      </c>
      <c r="U9" t="s">
        <v>300</v>
      </c>
      <c r="V9" t="s">
        <v>300</v>
      </c>
      <c r="W9" t="s">
        <v>300</v>
      </c>
      <c r="X9" t="s">
        <v>300</v>
      </c>
      <c r="Y9">
        <v>5.96</v>
      </c>
      <c r="Z9" t="s">
        <v>300</v>
      </c>
      <c r="AA9" t="s">
        <v>300</v>
      </c>
      <c r="AB9" t="s">
        <v>300</v>
      </c>
      <c r="AC9" t="s">
        <v>300</v>
      </c>
      <c r="AD9" t="s">
        <v>300</v>
      </c>
      <c r="AE9" t="s">
        <v>300</v>
      </c>
      <c r="AF9" t="s">
        <v>300</v>
      </c>
      <c r="AG9" t="s">
        <v>300</v>
      </c>
      <c r="AH9" t="s">
        <v>300</v>
      </c>
      <c r="AI9" t="s">
        <v>300</v>
      </c>
      <c r="AJ9" t="s">
        <v>300</v>
      </c>
      <c r="AK9" t="s">
        <v>300</v>
      </c>
      <c r="AL9" t="s">
        <v>300</v>
      </c>
      <c r="AM9" t="s">
        <v>300</v>
      </c>
      <c r="AN9">
        <v>30.81</v>
      </c>
      <c r="AO9" t="s">
        <v>300</v>
      </c>
      <c r="AP9" t="s">
        <v>300</v>
      </c>
      <c r="AQ9">
        <f t="shared" si="11"/>
        <v>0</v>
      </c>
      <c r="AR9">
        <f t="shared" si="12"/>
        <v>36.769999999999996</v>
      </c>
      <c r="AS9">
        <f t="shared" si="13"/>
        <v>0</v>
      </c>
      <c r="AT9">
        <f t="shared" si="14"/>
        <v>0</v>
      </c>
      <c r="AU9" t="str">
        <f t="shared" si="15"/>
        <v>NA</v>
      </c>
      <c r="AV9">
        <f t="shared" si="16"/>
        <v>63.230000000000004</v>
      </c>
      <c r="AW9">
        <f t="shared" si="17"/>
        <v>63.230000000000004</v>
      </c>
      <c r="AX9" s="14">
        <f t="shared" si="18"/>
        <v>0</v>
      </c>
      <c r="AY9" s="14">
        <f t="shared" si="0"/>
        <v>5.5154999999999994</v>
      </c>
      <c r="AZ9" s="14">
        <f t="shared" si="0"/>
        <v>0</v>
      </c>
      <c r="BA9" s="14">
        <f t="shared" si="0"/>
        <v>0</v>
      </c>
      <c r="BB9" s="14">
        <f t="shared" si="1"/>
        <v>0</v>
      </c>
      <c r="BC9" s="14">
        <f t="shared" si="2"/>
        <v>9.4845000000000006</v>
      </c>
      <c r="BD9" s="13">
        <f t="shared" si="3"/>
        <v>0</v>
      </c>
      <c r="BE9" s="13">
        <f t="shared" si="4"/>
        <v>0.31079362651499998</v>
      </c>
      <c r="BF9" s="13">
        <f t="shared" si="5"/>
        <v>0</v>
      </c>
      <c r="BG9" s="13">
        <f t="shared" si="6"/>
        <v>0</v>
      </c>
      <c r="BH9" s="13">
        <f t="shared" si="7"/>
        <v>0</v>
      </c>
      <c r="BI9" s="13">
        <f t="shared" si="8"/>
        <v>0.53444332348500012</v>
      </c>
      <c r="BJ9" s="13">
        <f t="shared" si="9"/>
        <v>0.8452369500000001</v>
      </c>
      <c r="BK9" s="13">
        <f t="shared" si="10"/>
        <v>0.84523694999999999</v>
      </c>
    </row>
    <row r="10" spans="1:63" hidden="1" x14ac:dyDescent="0.35">
      <c r="A10">
        <v>46022</v>
      </c>
      <c r="B10" t="str">
        <f>_xlfn.XLOOKUP(C10,'Production Costs Co Product'!B:B,'Production Costs Co Product'!D:D,"Not found")</f>
        <v>China</v>
      </c>
      <c r="C10" t="s">
        <v>91</v>
      </c>
      <c r="D10" s="13">
        <f>_xlfn.XLOOKUP(C10,'Production Costs Co Product'!B:B,'Production Costs Co Product'!J:J,"Not found")</f>
        <v>0.378583</v>
      </c>
      <c r="E10" t="s">
        <v>92</v>
      </c>
      <c r="F10" t="s">
        <v>220</v>
      </c>
      <c r="G10">
        <v>4355642</v>
      </c>
      <c r="H10">
        <v>100</v>
      </c>
      <c r="I10" t="s">
        <v>296</v>
      </c>
      <c r="J10" t="s">
        <v>50</v>
      </c>
      <c r="L10" t="s">
        <v>305</v>
      </c>
      <c r="M10" t="s">
        <v>305</v>
      </c>
      <c r="N10" t="s">
        <v>306</v>
      </c>
      <c r="O10" t="s">
        <v>305</v>
      </c>
      <c r="P10" t="s">
        <v>305</v>
      </c>
      <c r="Q10" t="s">
        <v>300</v>
      </c>
      <c r="R10" t="s">
        <v>296</v>
      </c>
      <c r="S10">
        <v>31.92</v>
      </c>
      <c r="T10">
        <v>2.34</v>
      </c>
      <c r="U10" t="s">
        <v>300</v>
      </c>
      <c r="V10" t="s">
        <v>300</v>
      </c>
      <c r="W10" t="s">
        <v>300</v>
      </c>
      <c r="X10" t="s">
        <v>300</v>
      </c>
      <c r="Y10">
        <v>0.02</v>
      </c>
      <c r="Z10" t="s">
        <v>300</v>
      </c>
      <c r="AA10">
        <v>27.82</v>
      </c>
      <c r="AB10" t="s">
        <v>300</v>
      </c>
      <c r="AC10">
        <v>0.02</v>
      </c>
      <c r="AD10" t="s">
        <v>300</v>
      </c>
      <c r="AE10">
        <v>0.06</v>
      </c>
      <c r="AF10">
        <v>1.62</v>
      </c>
      <c r="AG10">
        <v>0.04</v>
      </c>
      <c r="AH10">
        <v>0.09</v>
      </c>
      <c r="AI10" t="s">
        <v>300</v>
      </c>
      <c r="AJ10" t="s">
        <v>300</v>
      </c>
      <c r="AK10" t="s">
        <v>300</v>
      </c>
      <c r="AL10" t="s">
        <v>300</v>
      </c>
      <c r="AM10">
        <v>0.16</v>
      </c>
      <c r="AN10" t="s">
        <v>300</v>
      </c>
      <c r="AO10">
        <v>24</v>
      </c>
      <c r="AP10" t="s">
        <v>300</v>
      </c>
      <c r="AQ10">
        <f t="shared" si="11"/>
        <v>30.26</v>
      </c>
      <c r="AR10">
        <f t="shared" si="12"/>
        <v>1.6400000000000001</v>
      </c>
      <c r="AS10">
        <f t="shared" si="13"/>
        <v>0.09</v>
      </c>
      <c r="AT10">
        <f t="shared" si="14"/>
        <v>24.16</v>
      </c>
      <c r="AU10">
        <f t="shared" si="15"/>
        <v>0.02</v>
      </c>
      <c r="AV10">
        <f t="shared" si="16"/>
        <v>43.829999999999991</v>
      </c>
      <c r="AW10">
        <f t="shared" si="17"/>
        <v>43.830000000000005</v>
      </c>
      <c r="AX10" s="14">
        <f t="shared" si="18"/>
        <v>30.26</v>
      </c>
      <c r="AY10" s="14">
        <f t="shared" si="0"/>
        <v>1.64</v>
      </c>
      <c r="AZ10" s="14">
        <f t="shared" si="0"/>
        <v>0.09</v>
      </c>
      <c r="BA10" s="14">
        <f t="shared" si="0"/>
        <v>24.16</v>
      </c>
      <c r="BB10" s="14">
        <f t="shared" si="1"/>
        <v>0.02</v>
      </c>
      <c r="BC10" s="14">
        <f t="shared" si="2"/>
        <v>43.829999999999991</v>
      </c>
      <c r="BD10" s="13">
        <f t="shared" si="3"/>
        <v>0.11455921580000002</v>
      </c>
      <c r="BE10" s="13">
        <f t="shared" si="4"/>
        <v>6.2087611999999993E-3</v>
      </c>
      <c r="BF10" s="13">
        <f t="shared" si="5"/>
        <v>3.4072470000000001E-4</v>
      </c>
      <c r="BG10" s="13">
        <f t="shared" si="6"/>
        <v>9.1465652800000005E-2</v>
      </c>
      <c r="BH10" s="13">
        <f t="shared" si="7"/>
        <v>7.5716600000000006E-5</v>
      </c>
      <c r="BI10" s="13">
        <f t="shared" si="8"/>
        <v>0.16593292889999997</v>
      </c>
      <c r="BJ10" s="13">
        <f t="shared" si="9"/>
        <v>0.378583</v>
      </c>
      <c r="BK10" s="13">
        <f t="shared" si="10"/>
        <v>0.378583</v>
      </c>
    </row>
    <row r="11" spans="1:63" hidden="1" x14ac:dyDescent="0.35">
      <c r="A11">
        <v>46022</v>
      </c>
      <c r="B11" t="str">
        <f>_xlfn.XLOOKUP(C11,'Production Costs Co Product'!B:B,'Production Costs Co Product'!D:D,"Not found")</f>
        <v>Not found</v>
      </c>
      <c r="C11" t="s">
        <v>221</v>
      </c>
      <c r="D11" s="13" t="str">
        <f>_xlfn.XLOOKUP(C11,'Production Costs Co Product'!B:B,'Production Costs Co Product'!J:J,"Not found")</f>
        <v>Not found</v>
      </c>
      <c r="E11">
        <v>36928</v>
      </c>
      <c r="F11" t="s">
        <v>218</v>
      </c>
      <c r="G11">
        <v>4349160</v>
      </c>
      <c r="H11">
        <v>51</v>
      </c>
      <c r="I11" t="s">
        <v>296</v>
      </c>
      <c r="J11" t="s">
        <v>50</v>
      </c>
      <c r="L11" t="s">
        <v>307</v>
      </c>
      <c r="M11" t="s">
        <v>308</v>
      </c>
      <c r="N11" t="s">
        <v>298</v>
      </c>
      <c r="O11" t="s">
        <v>309</v>
      </c>
      <c r="P11" t="s">
        <v>50</v>
      </c>
      <c r="Q11">
        <v>4649432</v>
      </c>
      <c r="R11" t="s">
        <v>303</v>
      </c>
      <c r="S11">
        <v>9.74</v>
      </c>
      <c r="T11">
        <v>0.06</v>
      </c>
      <c r="U11" t="s">
        <v>300</v>
      </c>
      <c r="V11" t="s">
        <v>300</v>
      </c>
      <c r="W11" t="s">
        <v>300</v>
      </c>
      <c r="X11" t="s">
        <v>300</v>
      </c>
      <c r="Y11" t="s">
        <v>300</v>
      </c>
      <c r="Z11" t="s">
        <v>300</v>
      </c>
      <c r="AA11">
        <v>9.69</v>
      </c>
      <c r="AB11" t="s">
        <v>300</v>
      </c>
      <c r="AC11" t="s">
        <v>300</v>
      </c>
      <c r="AD11" t="s">
        <v>300</v>
      </c>
      <c r="AE11" t="s">
        <v>300</v>
      </c>
      <c r="AF11" t="s">
        <v>300</v>
      </c>
      <c r="AG11" t="s">
        <v>300</v>
      </c>
      <c r="AH11" t="s">
        <v>300</v>
      </c>
      <c r="AI11" t="s">
        <v>300</v>
      </c>
      <c r="AJ11" t="s">
        <v>300</v>
      </c>
      <c r="AK11" t="s">
        <v>300</v>
      </c>
      <c r="AL11" t="s">
        <v>300</v>
      </c>
      <c r="AM11" t="s">
        <v>300</v>
      </c>
      <c r="AN11" t="s">
        <v>300</v>
      </c>
      <c r="AO11">
        <v>66.63</v>
      </c>
      <c r="AP11" t="s">
        <v>300</v>
      </c>
      <c r="AQ11">
        <f t="shared" si="11"/>
        <v>9.75</v>
      </c>
      <c r="AR11">
        <f t="shared" si="12"/>
        <v>0</v>
      </c>
      <c r="AS11">
        <f t="shared" si="13"/>
        <v>0</v>
      </c>
      <c r="AT11">
        <f t="shared" si="14"/>
        <v>66.63</v>
      </c>
      <c r="AU11" t="str">
        <f t="shared" si="15"/>
        <v>NA</v>
      </c>
      <c r="AV11">
        <f t="shared" si="16"/>
        <v>23.620000000000005</v>
      </c>
      <c r="AW11">
        <f t="shared" si="17"/>
        <v>23.620000000000005</v>
      </c>
      <c r="AX11" s="14">
        <f t="shared" si="18"/>
        <v>4.9725000000000001</v>
      </c>
      <c r="AY11" s="14">
        <f t="shared" si="0"/>
        <v>0</v>
      </c>
      <c r="AZ11" s="14">
        <f t="shared" si="0"/>
        <v>0</v>
      </c>
      <c r="BA11" s="14">
        <f t="shared" si="0"/>
        <v>33.981299999999997</v>
      </c>
      <c r="BB11" s="14">
        <f t="shared" si="1"/>
        <v>0</v>
      </c>
      <c r="BC11" s="14">
        <f t="shared" si="2"/>
        <v>12.046200000000004</v>
      </c>
      <c r="BD11" s="13" t="e">
        <f t="shared" si="3"/>
        <v>#VALUE!</v>
      </c>
      <c r="BE11" s="13" t="e">
        <f t="shared" si="4"/>
        <v>#VALUE!</v>
      </c>
      <c r="BF11" s="13" t="e">
        <f t="shared" si="5"/>
        <v>#VALUE!</v>
      </c>
      <c r="BG11" s="13" t="e">
        <f t="shared" si="6"/>
        <v>#VALUE!</v>
      </c>
      <c r="BH11" s="13" t="e">
        <f t="shared" si="7"/>
        <v>#VALUE!</v>
      </c>
      <c r="BI11" s="13" t="e">
        <f t="shared" si="8"/>
        <v>#VALUE!</v>
      </c>
      <c r="BJ11" s="13" t="e">
        <f t="shared" si="9"/>
        <v>#VALUE!</v>
      </c>
      <c r="BK11" s="13" t="e">
        <f t="shared" si="10"/>
        <v>#VALUE!</v>
      </c>
    </row>
    <row r="12" spans="1:63" hidden="1" x14ac:dyDescent="0.35">
      <c r="A12">
        <v>46022</v>
      </c>
      <c r="B12" t="str">
        <f>_xlfn.XLOOKUP(C12,'Production Costs Co Product'!B:B,'Production Costs Co Product'!D:D,"Not found")</f>
        <v>Not found</v>
      </c>
      <c r="C12" t="s">
        <v>221</v>
      </c>
      <c r="D12" s="13" t="str">
        <f>_xlfn.XLOOKUP(C12,'Production Costs Co Product'!B:B,'Production Costs Co Product'!J:J,"Not found")</f>
        <v>Not found</v>
      </c>
      <c r="E12" t="s">
        <v>222</v>
      </c>
      <c r="F12" t="s">
        <v>223</v>
      </c>
      <c r="G12">
        <v>4350360</v>
      </c>
      <c r="H12">
        <v>49</v>
      </c>
      <c r="I12" t="s">
        <v>298</v>
      </c>
      <c r="J12" t="s">
        <v>56</v>
      </c>
      <c r="L12" t="s">
        <v>56</v>
      </c>
      <c r="M12" t="s">
        <v>312</v>
      </c>
      <c r="N12" t="s">
        <v>303</v>
      </c>
      <c r="O12" t="s">
        <v>56</v>
      </c>
      <c r="P12" t="s">
        <v>56</v>
      </c>
      <c r="Q12">
        <v>4350734</v>
      </c>
      <c r="R12" t="s">
        <v>303</v>
      </c>
      <c r="S12" t="s">
        <v>300</v>
      </c>
      <c r="T12" t="s">
        <v>300</v>
      </c>
      <c r="U12" t="s">
        <v>300</v>
      </c>
      <c r="V12" t="s">
        <v>300</v>
      </c>
      <c r="W12" t="s">
        <v>300</v>
      </c>
      <c r="X12" t="s">
        <v>300</v>
      </c>
      <c r="Y12" t="s">
        <v>300</v>
      </c>
      <c r="Z12" t="s">
        <v>300</v>
      </c>
      <c r="AA12" t="s">
        <v>300</v>
      </c>
      <c r="AB12" t="s">
        <v>300</v>
      </c>
      <c r="AC12" t="s">
        <v>300</v>
      </c>
      <c r="AD12" t="s">
        <v>300</v>
      </c>
      <c r="AE12" t="s">
        <v>300</v>
      </c>
      <c r="AF12" t="s">
        <v>300</v>
      </c>
      <c r="AG12" t="s">
        <v>300</v>
      </c>
      <c r="AH12" t="s">
        <v>300</v>
      </c>
      <c r="AI12" t="s">
        <v>300</v>
      </c>
      <c r="AJ12" t="s">
        <v>300</v>
      </c>
      <c r="AK12" t="s">
        <v>300</v>
      </c>
      <c r="AL12" t="s">
        <v>300</v>
      </c>
      <c r="AM12" t="s">
        <v>300</v>
      </c>
      <c r="AN12" t="s">
        <v>300</v>
      </c>
      <c r="AO12" t="s">
        <v>300</v>
      </c>
      <c r="AP12" t="s">
        <v>300</v>
      </c>
      <c r="AQ12">
        <f t="shared" si="11"/>
        <v>0</v>
      </c>
      <c r="AR12">
        <f t="shared" si="12"/>
        <v>0</v>
      </c>
      <c r="AS12">
        <f t="shared" si="13"/>
        <v>0</v>
      </c>
      <c r="AT12">
        <f t="shared" si="14"/>
        <v>0</v>
      </c>
      <c r="AU12" t="str">
        <f t="shared" si="15"/>
        <v>NA</v>
      </c>
      <c r="AV12">
        <f t="shared" si="16"/>
        <v>100</v>
      </c>
      <c r="AW12">
        <f t="shared" si="17"/>
        <v>100</v>
      </c>
      <c r="AX12" s="14">
        <f t="shared" si="18"/>
        <v>0</v>
      </c>
      <c r="AY12" s="14">
        <f t="shared" si="0"/>
        <v>0</v>
      </c>
      <c r="AZ12" s="14">
        <f t="shared" si="0"/>
        <v>0</v>
      </c>
      <c r="BA12" s="14">
        <f t="shared" si="0"/>
        <v>0</v>
      </c>
      <c r="BB12" s="14">
        <f t="shared" si="1"/>
        <v>0</v>
      </c>
      <c r="BC12" s="14">
        <f t="shared" si="2"/>
        <v>49</v>
      </c>
      <c r="BD12" s="13" t="e">
        <f t="shared" si="3"/>
        <v>#VALUE!</v>
      </c>
      <c r="BE12" s="13" t="e">
        <f t="shared" si="4"/>
        <v>#VALUE!</v>
      </c>
      <c r="BF12" s="13" t="e">
        <f t="shared" si="5"/>
        <v>#VALUE!</v>
      </c>
      <c r="BG12" s="13" t="e">
        <f t="shared" si="6"/>
        <v>#VALUE!</v>
      </c>
      <c r="BH12" s="13" t="e">
        <f t="shared" si="7"/>
        <v>#VALUE!</v>
      </c>
      <c r="BI12" s="13" t="e">
        <f t="shared" si="8"/>
        <v>#VALUE!</v>
      </c>
      <c r="BJ12" s="13" t="e">
        <f t="shared" si="9"/>
        <v>#VALUE!</v>
      </c>
      <c r="BK12" s="13" t="e">
        <f t="shared" si="10"/>
        <v>#VALUE!</v>
      </c>
    </row>
    <row r="13" spans="1:63" hidden="1" x14ac:dyDescent="0.35">
      <c r="A13">
        <v>46022</v>
      </c>
      <c r="B13" t="str">
        <f>_xlfn.XLOOKUP(C13,'Production Costs Co Product'!B:B,'Production Costs Co Product'!D:D,"Not found")</f>
        <v>USA</v>
      </c>
      <c r="C13" t="s">
        <v>51</v>
      </c>
      <c r="D13" s="13">
        <f>_xlfn.XLOOKUP(C13,'Production Costs Co Product'!B:B,'Production Costs Co Product'!J:J,"Not found")</f>
        <v>0.17277799999999999</v>
      </c>
      <c r="E13" t="s">
        <v>52</v>
      </c>
      <c r="F13" t="s">
        <v>224</v>
      </c>
      <c r="G13">
        <v>4351931</v>
      </c>
      <c r="H13">
        <v>100</v>
      </c>
      <c r="I13" t="s">
        <v>296</v>
      </c>
      <c r="J13" t="s">
        <v>80</v>
      </c>
      <c r="L13" t="s">
        <v>305</v>
      </c>
      <c r="M13" t="s">
        <v>305</v>
      </c>
      <c r="N13" t="s">
        <v>306</v>
      </c>
      <c r="O13" t="s">
        <v>305</v>
      </c>
      <c r="P13" t="s">
        <v>305</v>
      </c>
      <c r="Q13" t="s">
        <v>300</v>
      </c>
      <c r="R13" t="s">
        <v>296</v>
      </c>
      <c r="S13">
        <v>46.58</v>
      </c>
      <c r="T13">
        <v>0.01</v>
      </c>
      <c r="U13" t="s">
        <v>300</v>
      </c>
      <c r="V13" t="s">
        <v>300</v>
      </c>
      <c r="W13" t="s">
        <v>300</v>
      </c>
      <c r="X13" t="s">
        <v>300</v>
      </c>
      <c r="Y13">
        <v>0.25</v>
      </c>
      <c r="Z13" t="s">
        <v>300</v>
      </c>
      <c r="AA13">
        <v>46.79</v>
      </c>
      <c r="AB13" t="s">
        <v>300</v>
      </c>
      <c r="AC13">
        <v>0.15</v>
      </c>
      <c r="AD13" t="s">
        <v>300</v>
      </c>
      <c r="AE13">
        <v>-0.63</v>
      </c>
      <c r="AF13" t="s">
        <v>300</v>
      </c>
      <c r="AG13">
        <v>0</v>
      </c>
      <c r="AH13">
        <v>0.79</v>
      </c>
      <c r="AI13" t="s">
        <v>300</v>
      </c>
      <c r="AJ13" t="s">
        <v>300</v>
      </c>
      <c r="AK13" t="s">
        <v>300</v>
      </c>
      <c r="AL13" t="s">
        <v>300</v>
      </c>
      <c r="AM13" t="s">
        <v>300</v>
      </c>
      <c r="AN13" t="s">
        <v>300</v>
      </c>
      <c r="AO13">
        <v>20.18</v>
      </c>
      <c r="AP13" t="s">
        <v>300</v>
      </c>
      <c r="AQ13">
        <f t="shared" si="11"/>
        <v>46.17</v>
      </c>
      <c r="AR13">
        <f t="shared" si="12"/>
        <v>0.25</v>
      </c>
      <c r="AS13">
        <f t="shared" si="13"/>
        <v>0.79</v>
      </c>
      <c r="AT13">
        <f t="shared" si="14"/>
        <v>20.18</v>
      </c>
      <c r="AU13">
        <f t="shared" si="15"/>
        <v>0.15</v>
      </c>
      <c r="AV13">
        <f t="shared" si="16"/>
        <v>32.459999999999994</v>
      </c>
      <c r="AW13">
        <f t="shared" si="17"/>
        <v>32.460000000000008</v>
      </c>
      <c r="AX13" s="14">
        <f t="shared" si="18"/>
        <v>46.17</v>
      </c>
      <c r="AY13" s="14">
        <f t="shared" si="0"/>
        <v>0.25</v>
      </c>
      <c r="AZ13" s="14">
        <f t="shared" si="0"/>
        <v>0.79</v>
      </c>
      <c r="BA13" s="14">
        <f t="shared" si="0"/>
        <v>20.18</v>
      </c>
      <c r="BB13" s="14">
        <f t="shared" si="1"/>
        <v>0.15</v>
      </c>
      <c r="BC13" s="14">
        <f t="shared" si="2"/>
        <v>32.459999999999994</v>
      </c>
      <c r="BD13" s="13">
        <f t="shared" si="3"/>
        <v>7.9771602599999991E-2</v>
      </c>
      <c r="BE13" s="13">
        <f t="shared" si="4"/>
        <v>4.3194499999999999E-4</v>
      </c>
      <c r="BF13" s="13">
        <f t="shared" si="5"/>
        <v>1.3649462E-3</v>
      </c>
      <c r="BG13" s="13">
        <f t="shared" si="6"/>
        <v>3.4866600399999996E-2</v>
      </c>
      <c r="BH13" s="13">
        <f t="shared" si="7"/>
        <v>2.5916699999999998E-4</v>
      </c>
      <c r="BI13" s="13">
        <f t="shared" si="8"/>
        <v>5.6083738799999984E-2</v>
      </c>
      <c r="BJ13" s="13">
        <f t="shared" si="9"/>
        <v>0.17277799999999996</v>
      </c>
      <c r="BK13" s="13">
        <f t="shared" si="10"/>
        <v>0.17277799999999999</v>
      </c>
    </row>
    <row r="14" spans="1:63" hidden="1" x14ac:dyDescent="0.35">
      <c r="A14">
        <v>46022</v>
      </c>
      <c r="B14" t="str">
        <f>_xlfn.XLOOKUP(C14,'Production Costs Co Product'!B:B,'Production Costs Co Product'!D:D,"Not found")</f>
        <v>China</v>
      </c>
      <c r="C14" t="s">
        <v>121</v>
      </c>
      <c r="D14" s="13">
        <f>_xlfn.XLOOKUP(C14,'Production Costs Co Product'!B:B,'Production Costs Co Product'!J:J,"Not found")</f>
        <v>0.24258099999999999</v>
      </c>
      <c r="E14" t="s">
        <v>122</v>
      </c>
      <c r="F14" t="s">
        <v>215</v>
      </c>
      <c r="G14">
        <v>4355482</v>
      </c>
      <c r="H14">
        <v>100</v>
      </c>
      <c r="I14" t="s">
        <v>296</v>
      </c>
      <c r="J14" t="s">
        <v>50</v>
      </c>
      <c r="L14" t="s">
        <v>50</v>
      </c>
      <c r="M14" t="s">
        <v>297</v>
      </c>
      <c r="N14" t="s">
        <v>298</v>
      </c>
      <c r="O14" t="s">
        <v>299</v>
      </c>
      <c r="P14" t="s">
        <v>50</v>
      </c>
      <c r="Q14">
        <v>4415549</v>
      </c>
      <c r="R14" t="s">
        <v>298</v>
      </c>
      <c r="S14">
        <v>5.56</v>
      </c>
      <c r="T14" t="s">
        <v>300</v>
      </c>
      <c r="U14" t="s">
        <v>300</v>
      </c>
      <c r="V14" t="s">
        <v>300</v>
      </c>
      <c r="W14" t="s">
        <v>300</v>
      </c>
      <c r="X14" t="s">
        <v>300</v>
      </c>
      <c r="Y14" t="s">
        <v>300</v>
      </c>
      <c r="Z14" t="s">
        <v>300</v>
      </c>
      <c r="AA14">
        <v>5.56</v>
      </c>
      <c r="AB14" t="s">
        <v>300</v>
      </c>
      <c r="AC14" t="s">
        <v>300</v>
      </c>
      <c r="AD14" t="s">
        <v>300</v>
      </c>
      <c r="AE14" t="s">
        <v>300</v>
      </c>
      <c r="AF14" t="s">
        <v>300</v>
      </c>
      <c r="AG14" t="s">
        <v>300</v>
      </c>
      <c r="AH14">
        <v>12.8</v>
      </c>
      <c r="AI14" t="s">
        <v>300</v>
      </c>
      <c r="AJ14" t="s">
        <v>300</v>
      </c>
      <c r="AK14" t="s">
        <v>300</v>
      </c>
      <c r="AL14" t="s">
        <v>300</v>
      </c>
      <c r="AM14" t="s">
        <v>300</v>
      </c>
      <c r="AN14" t="s">
        <v>300</v>
      </c>
      <c r="AO14">
        <v>46.61</v>
      </c>
      <c r="AP14">
        <v>2.69</v>
      </c>
      <c r="AQ14">
        <f t="shared" si="11"/>
        <v>5.56</v>
      </c>
      <c r="AR14">
        <f t="shared" si="12"/>
        <v>0</v>
      </c>
      <c r="AS14">
        <f t="shared" si="13"/>
        <v>12.8</v>
      </c>
      <c r="AT14">
        <f t="shared" si="14"/>
        <v>49.3</v>
      </c>
      <c r="AU14" t="str">
        <f t="shared" si="15"/>
        <v>NA</v>
      </c>
      <c r="AV14">
        <f t="shared" si="16"/>
        <v>32.340000000000003</v>
      </c>
      <c r="AW14">
        <f t="shared" si="17"/>
        <v>32.340000000000003</v>
      </c>
      <c r="AX14" s="14">
        <f t="shared" si="18"/>
        <v>5.56</v>
      </c>
      <c r="AY14" s="14">
        <f t="shared" si="0"/>
        <v>0</v>
      </c>
      <c r="AZ14" s="14">
        <f t="shared" si="0"/>
        <v>12.8</v>
      </c>
      <c r="BA14" s="14">
        <f t="shared" si="0"/>
        <v>49.3</v>
      </c>
      <c r="BB14" s="14">
        <f t="shared" si="1"/>
        <v>0</v>
      </c>
      <c r="BC14" s="14">
        <f t="shared" si="2"/>
        <v>32.340000000000003</v>
      </c>
      <c r="BD14" s="13">
        <f t="shared" si="3"/>
        <v>1.3487503599999999E-2</v>
      </c>
      <c r="BE14" s="13">
        <f t="shared" si="4"/>
        <v>0</v>
      </c>
      <c r="BF14" s="13">
        <f t="shared" si="5"/>
        <v>3.1050367999999998E-2</v>
      </c>
      <c r="BG14" s="13">
        <f t="shared" si="6"/>
        <v>0.119592433</v>
      </c>
      <c r="BH14" s="13">
        <f t="shared" si="7"/>
        <v>0</v>
      </c>
      <c r="BI14" s="13">
        <f t="shared" si="8"/>
        <v>7.8450695400000006E-2</v>
      </c>
      <c r="BJ14" s="13">
        <f t="shared" si="9"/>
        <v>0.24258099999999999</v>
      </c>
      <c r="BK14" s="13">
        <f t="shared" si="10"/>
        <v>0.24258099999999999</v>
      </c>
    </row>
    <row r="15" spans="1:63" hidden="1" x14ac:dyDescent="0.35">
      <c r="A15">
        <v>46022</v>
      </c>
      <c r="B15" t="str">
        <f>_xlfn.XLOOKUP(C15,'Production Costs Co Product'!B:B,'Production Costs Co Product'!D:D,"Not found")</f>
        <v>Dem. Rep. Congo</v>
      </c>
      <c r="C15" t="s">
        <v>54</v>
      </c>
      <c r="D15" s="13">
        <f>_xlfn.XLOOKUP(C15,'Production Costs Co Product'!B:B,'Production Costs Co Product'!J:J,"Not found")</f>
        <v>2.6402800000000002</v>
      </c>
      <c r="E15" t="s">
        <v>55</v>
      </c>
      <c r="F15" t="s">
        <v>56</v>
      </c>
      <c r="G15">
        <v>4350734</v>
      </c>
      <c r="H15">
        <v>5</v>
      </c>
      <c r="I15" t="s">
        <v>303</v>
      </c>
      <c r="J15" t="s">
        <v>56</v>
      </c>
      <c r="L15" t="s">
        <v>305</v>
      </c>
      <c r="M15" t="s">
        <v>305</v>
      </c>
      <c r="N15" t="s">
        <v>306</v>
      </c>
      <c r="O15" t="s">
        <v>305</v>
      </c>
      <c r="P15" t="s">
        <v>305</v>
      </c>
      <c r="Q15" t="s">
        <v>300</v>
      </c>
      <c r="R15" t="s">
        <v>296</v>
      </c>
      <c r="S15" t="s">
        <v>300</v>
      </c>
      <c r="T15" t="s">
        <v>300</v>
      </c>
      <c r="U15" t="s">
        <v>300</v>
      </c>
      <c r="V15" t="s">
        <v>300</v>
      </c>
      <c r="W15" t="s">
        <v>300</v>
      </c>
      <c r="X15" t="s">
        <v>300</v>
      </c>
      <c r="Y15" t="s">
        <v>300</v>
      </c>
      <c r="Z15" t="s">
        <v>300</v>
      </c>
      <c r="AA15" t="s">
        <v>300</v>
      </c>
      <c r="AB15" t="s">
        <v>300</v>
      </c>
      <c r="AC15" t="s">
        <v>300</v>
      </c>
      <c r="AD15" t="s">
        <v>300</v>
      </c>
      <c r="AE15" t="s">
        <v>300</v>
      </c>
      <c r="AF15" t="s">
        <v>300</v>
      </c>
      <c r="AG15" t="s">
        <v>300</v>
      </c>
      <c r="AH15" t="s">
        <v>300</v>
      </c>
      <c r="AI15" t="s">
        <v>300</v>
      </c>
      <c r="AJ15" t="s">
        <v>300</v>
      </c>
      <c r="AK15" t="s">
        <v>300</v>
      </c>
      <c r="AL15" t="s">
        <v>300</v>
      </c>
      <c r="AM15" t="s">
        <v>300</v>
      </c>
      <c r="AN15" t="s">
        <v>300</v>
      </c>
      <c r="AO15" t="s">
        <v>300</v>
      </c>
      <c r="AP15" t="s">
        <v>300</v>
      </c>
      <c r="AQ15">
        <f t="shared" si="11"/>
        <v>0</v>
      </c>
      <c r="AR15">
        <f t="shared" si="12"/>
        <v>0</v>
      </c>
      <c r="AS15">
        <f t="shared" si="13"/>
        <v>0</v>
      </c>
      <c r="AT15">
        <f t="shared" si="14"/>
        <v>0</v>
      </c>
      <c r="AU15" t="str">
        <f t="shared" si="15"/>
        <v>NA</v>
      </c>
      <c r="AV15">
        <f t="shared" si="16"/>
        <v>100</v>
      </c>
      <c r="AW15">
        <f t="shared" si="17"/>
        <v>100</v>
      </c>
      <c r="AX15" s="14">
        <f t="shared" si="18"/>
        <v>0</v>
      </c>
      <c r="AY15" s="14">
        <f t="shared" si="0"/>
        <v>0</v>
      </c>
      <c r="AZ15" s="14">
        <f t="shared" si="0"/>
        <v>0</v>
      </c>
      <c r="BA15" s="14">
        <f t="shared" si="0"/>
        <v>0</v>
      </c>
      <c r="BB15" s="14">
        <f t="shared" si="1"/>
        <v>0</v>
      </c>
      <c r="BC15" s="14">
        <f t="shared" si="2"/>
        <v>5</v>
      </c>
      <c r="BD15" s="13">
        <f t="shared" si="3"/>
        <v>0</v>
      </c>
      <c r="BE15" s="13">
        <f t="shared" si="4"/>
        <v>0</v>
      </c>
      <c r="BF15" s="13">
        <f t="shared" si="5"/>
        <v>0</v>
      </c>
      <c r="BG15" s="13">
        <f t="shared" si="6"/>
        <v>0</v>
      </c>
      <c r="BH15" s="13">
        <f t="shared" si="7"/>
        <v>0</v>
      </c>
      <c r="BI15" s="13">
        <f t="shared" si="8"/>
        <v>0.13201400000000002</v>
      </c>
      <c r="BJ15" s="13">
        <f t="shared" si="9"/>
        <v>0.13201400000000002</v>
      </c>
      <c r="BK15" s="13">
        <f t="shared" si="10"/>
        <v>0.13201400000000002</v>
      </c>
    </row>
    <row r="16" spans="1:63" hidden="1" x14ac:dyDescent="0.35">
      <c r="A16">
        <v>46022</v>
      </c>
      <c r="B16" t="str">
        <f>_xlfn.XLOOKUP(C16,'Production Costs Co Product'!B:B,'Production Costs Co Product'!D:D,"Not found")</f>
        <v>Dem. Rep. Congo</v>
      </c>
      <c r="C16" t="s">
        <v>54</v>
      </c>
      <c r="D16" s="13">
        <f>_xlfn.XLOOKUP(C16,'Production Costs Co Product'!B:B,'Production Costs Co Product'!J:J,"Not found")</f>
        <v>2.6402800000000002</v>
      </c>
      <c r="E16" t="s">
        <v>55</v>
      </c>
      <c r="F16" t="s">
        <v>225</v>
      </c>
      <c r="G16">
        <v>4365787</v>
      </c>
      <c r="H16">
        <v>95</v>
      </c>
      <c r="I16" t="s">
        <v>298</v>
      </c>
      <c r="J16" t="s">
        <v>313</v>
      </c>
      <c r="L16" t="s">
        <v>314</v>
      </c>
      <c r="M16" t="s">
        <v>315</v>
      </c>
      <c r="N16" t="s">
        <v>298</v>
      </c>
      <c r="O16" t="s">
        <v>316</v>
      </c>
      <c r="P16" t="s">
        <v>314</v>
      </c>
      <c r="Q16">
        <v>7574015</v>
      </c>
      <c r="R16" t="s">
        <v>298</v>
      </c>
      <c r="S16" t="s">
        <v>300</v>
      </c>
      <c r="T16" t="s">
        <v>300</v>
      </c>
      <c r="U16" t="s">
        <v>300</v>
      </c>
      <c r="V16" t="s">
        <v>300</v>
      </c>
      <c r="W16" t="s">
        <v>300</v>
      </c>
      <c r="X16" t="s">
        <v>300</v>
      </c>
      <c r="Y16" t="s">
        <v>300</v>
      </c>
      <c r="Z16" t="s">
        <v>300</v>
      </c>
      <c r="AA16" t="s">
        <v>300</v>
      </c>
      <c r="AB16" t="s">
        <v>300</v>
      </c>
      <c r="AC16" t="s">
        <v>300</v>
      </c>
      <c r="AD16" t="s">
        <v>300</v>
      </c>
      <c r="AE16" t="s">
        <v>300</v>
      </c>
      <c r="AF16" t="s">
        <v>300</v>
      </c>
      <c r="AG16" t="s">
        <v>300</v>
      </c>
      <c r="AH16" t="s">
        <v>300</v>
      </c>
      <c r="AI16" t="s">
        <v>300</v>
      </c>
      <c r="AJ16" t="s">
        <v>300</v>
      </c>
      <c r="AK16" t="s">
        <v>300</v>
      </c>
      <c r="AL16" t="s">
        <v>300</v>
      </c>
      <c r="AM16" t="s">
        <v>300</v>
      </c>
      <c r="AN16" t="s">
        <v>300</v>
      </c>
      <c r="AO16" t="s">
        <v>300</v>
      </c>
      <c r="AP16" t="s">
        <v>300</v>
      </c>
      <c r="AQ16">
        <f t="shared" si="11"/>
        <v>0</v>
      </c>
      <c r="AR16">
        <f t="shared" si="12"/>
        <v>0</v>
      </c>
      <c r="AS16">
        <f t="shared" si="13"/>
        <v>0</v>
      </c>
      <c r="AT16">
        <f t="shared" si="14"/>
        <v>0</v>
      </c>
      <c r="AU16" t="str">
        <f t="shared" si="15"/>
        <v>NA</v>
      </c>
      <c r="AV16">
        <f t="shared" si="16"/>
        <v>100</v>
      </c>
      <c r="AW16">
        <f t="shared" si="17"/>
        <v>100</v>
      </c>
      <c r="AX16" s="14">
        <f t="shared" si="18"/>
        <v>0</v>
      </c>
      <c r="AY16" s="14">
        <f t="shared" si="0"/>
        <v>0</v>
      </c>
      <c r="AZ16" s="14">
        <f t="shared" si="0"/>
        <v>0</v>
      </c>
      <c r="BA16" s="14">
        <f t="shared" si="0"/>
        <v>0</v>
      </c>
      <c r="BB16" s="14">
        <f t="shared" si="1"/>
        <v>0</v>
      </c>
      <c r="BC16" s="14">
        <f t="shared" si="2"/>
        <v>95</v>
      </c>
      <c r="BD16" s="13">
        <f t="shared" si="3"/>
        <v>0</v>
      </c>
      <c r="BE16" s="13">
        <f t="shared" si="4"/>
        <v>0</v>
      </c>
      <c r="BF16" s="13">
        <f t="shared" si="5"/>
        <v>0</v>
      </c>
      <c r="BG16" s="13">
        <f t="shared" si="6"/>
        <v>0</v>
      </c>
      <c r="BH16" s="13">
        <f t="shared" si="7"/>
        <v>0</v>
      </c>
      <c r="BI16" s="13">
        <f t="shared" si="8"/>
        <v>2.5082659999999999</v>
      </c>
      <c r="BJ16" s="13">
        <f t="shared" si="9"/>
        <v>2.5082659999999999</v>
      </c>
      <c r="BK16" s="13">
        <f t="shared" si="10"/>
        <v>2.5082660000000003</v>
      </c>
    </row>
    <row r="17" spans="1:63" hidden="1" x14ac:dyDescent="0.35">
      <c r="A17">
        <v>46022</v>
      </c>
      <c r="B17" t="str">
        <f>_xlfn.XLOOKUP(C17,'Production Costs Co Product'!B:B,'Production Costs Co Product'!D:D,"Not found")</f>
        <v>New Caledonia</v>
      </c>
      <c r="C17" t="s">
        <v>57</v>
      </c>
      <c r="D17" s="13">
        <f>_xlfn.XLOOKUP(C17,'Production Costs Co Product'!B:B,'Production Costs Co Product'!J:J,"Not found")</f>
        <v>1.7856000000000001</v>
      </c>
      <c r="E17" t="s">
        <v>58</v>
      </c>
      <c r="F17" t="s">
        <v>226</v>
      </c>
      <c r="G17">
        <v>28696936</v>
      </c>
      <c r="H17">
        <v>95</v>
      </c>
      <c r="I17" t="s">
        <v>298</v>
      </c>
      <c r="J17" t="s">
        <v>317</v>
      </c>
      <c r="L17" t="s">
        <v>305</v>
      </c>
      <c r="M17" t="s">
        <v>305</v>
      </c>
      <c r="N17" t="s">
        <v>306</v>
      </c>
      <c r="O17" t="s">
        <v>305</v>
      </c>
      <c r="P17" t="s">
        <v>305</v>
      </c>
      <c r="Q17" t="s">
        <v>300</v>
      </c>
      <c r="R17" t="s">
        <v>296</v>
      </c>
      <c r="S17" t="s">
        <v>300</v>
      </c>
      <c r="T17" t="s">
        <v>300</v>
      </c>
      <c r="U17" t="s">
        <v>300</v>
      </c>
      <c r="V17" t="s">
        <v>300</v>
      </c>
      <c r="W17" t="s">
        <v>300</v>
      </c>
      <c r="X17" t="s">
        <v>300</v>
      </c>
      <c r="Y17" t="s">
        <v>300</v>
      </c>
      <c r="Z17" t="s">
        <v>300</v>
      </c>
      <c r="AA17" t="s">
        <v>300</v>
      </c>
      <c r="AB17" t="s">
        <v>300</v>
      </c>
      <c r="AC17" t="s">
        <v>300</v>
      </c>
      <c r="AD17" t="s">
        <v>300</v>
      </c>
      <c r="AE17" t="s">
        <v>300</v>
      </c>
      <c r="AF17" t="s">
        <v>300</v>
      </c>
      <c r="AG17" t="s">
        <v>300</v>
      </c>
      <c r="AH17" t="s">
        <v>300</v>
      </c>
      <c r="AI17" t="s">
        <v>300</v>
      </c>
      <c r="AJ17" t="s">
        <v>300</v>
      </c>
      <c r="AK17" t="s">
        <v>300</v>
      </c>
      <c r="AL17" t="s">
        <v>300</v>
      </c>
      <c r="AM17" t="s">
        <v>300</v>
      </c>
      <c r="AN17" t="s">
        <v>300</v>
      </c>
      <c r="AO17" t="s">
        <v>300</v>
      </c>
      <c r="AP17" t="s">
        <v>300</v>
      </c>
      <c r="AQ17">
        <f t="shared" si="11"/>
        <v>0</v>
      </c>
      <c r="AR17">
        <f t="shared" si="12"/>
        <v>0</v>
      </c>
      <c r="AS17">
        <f t="shared" si="13"/>
        <v>0</v>
      </c>
      <c r="AT17">
        <f t="shared" si="14"/>
        <v>0</v>
      </c>
      <c r="AU17" t="str">
        <f t="shared" si="15"/>
        <v>NA</v>
      </c>
      <c r="AV17">
        <f t="shared" si="16"/>
        <v>100</v>
      </c>
      <c r="AW17">
        <f t="shared" si="17"/>
        <v>100</v>
      </c>
      <c r="AX17" s="14">
        <f t="shared" si="18"/>
        <v>0</v>
      </c>
      <c r="AY17" s="14">
        <f t="shared" si="0"/>
        <v>0</v>
      </c>
      <c r="AZ17" s="14">
        <f t="shared" si="0"/>
        <v>0</v>
      </c>
      <c r="BA17" s="14">
        <f t="shared" si="0"/>
        <v>0</v>
      </c>
      <c r="BB17" s="14">
        <f t="shared" si="1"/>
        <v>0</v>
      </c>
      <c r="BC17" s="14">
        <f t="shared" si="2"/>
        <v>95</v>
      </c>
      <c r="BD17" s="13">
        <f t="shared" si="3"/>
        <v>0</v>
      </c>
      <c r="BE17" s="13">
        <f t="shared" si="4"/>
        <v>0</v>
      </c>
      <c r="BF17" s="13">
        <f t="shared" si="5"/>
        <v>0</v>
      </c>
      <c r="BG17" s="13">
        <f t="shared" si="6"/>
        <v>0</v>
      </c>
      <c r="BH17" s="13">
        <f t="shared" si="7"/>
        <v>0</v>
      </c>
      <c r="BI17" s="13">
        <f t="shared" si="8"/>
        <v>1.6963200000000001</v>
      </c>
      <c r="BJ17" s="13">
        <f t="shared" si="9"/>
        <v>1.6963200000000001</v>
      </c>
      <c r="BK17" s="13">
        <f t="shared" si="10"/>
        <v>1.6963200000000001</v>
      </c>
    </row>
    <row r="18" spans="1:63" hidden="1" x14ac:dyDescent="0.35">
      <c r="A18">
        <v>46022</v>
      </c>
      <c r="B18" t="str">
        <f>_xlfn.XLOOKUP(C18,'Production Costs Co Product'!B:B,'Production Costs Co Product'!D:D,"Not found")</f>
        <v>New Caledonia</v>
      </c>
      <c r="C18" t="s">
        <v>57</v>
      </c>
      <c r="D18" s="13">
        <f>_xlfn.XLOOKUP(C18,'Production Costs Co Product'!B:B,'Production Costs Co Product'!J:J,"Not found")</f>
        <v>1.7856000000000001</v>
      </c>
      <c r="E18" t="s">
        <v>58</v>
      </c>
      <c r="F18" t="s">
        <v>227</v>
      </c>
      <c r="G18">
        <v>4500088</v>
      </c>
      <c r="H18">
        <v>5</v>
      </c>
      <c r="I18" t="s">
        <v>298</v>
      </c>
      <c r="J18" t="s">
        <v>317</v>
      </c>
      <c r="L18" t="s">
        <v>305</v>
      </c>
      <c r="M18" t="s">
        <v>305</v>
      </c>
      <c r="N18" t="s">
        <v>306</v>
      </c>
      <c r="O18" t="s">
        <v>305</v>
      </c>
      <c r="P18" t="s">
        <v>305</v>
      </c>
      <c r="Q18" t="s">
        <v>300</v>
      </c>
      <c r="R18" t="s">
        <v>296</v>
      </c>
      <c r="S18" t="s">
        <v>300</v>
      </c>
      <c r="T18" t="s">
        <v>300</v>
      </c>
      <c r="U18" t="s">
        <v>300</v>
      </c>
      <c r="V18" t="s">
        <v>300</v>
      </c>
      <c r="W18" t="s">
        <v>300</v>
      </c>
      <c r="X18" t="s">
        <v>300</v>
      </c>
      <c r="Y18" t="s">
        <v>300</v>
      </c>
      <c r="Z18" t="s">
        <v>300</v>
      </c>
      <c r="AA18" t="s">
        <v>300</v>
      </c>
      <c r="AB18" t="s">
        <v>300</v>
      </c>
      <c r="AC18" t="s">
        <v>300</v>
      </c>
      <c r="AD18" t="s">
        <v>300</v>
      </c>
      <c r="AE18" t="s">
        <v>300</v>
      </c>
      <c r="AF18" t="s">
        <v>300</v>
      </c>
      <c r="AG18" t="s">
        <v>300</v>
      </c>
      <c r="AH18" t="s">
        <v>300</v>
      </c>
      <c r="AI18" t="s">
        <v>300</v>
      </c>
      <c r="AJ18" t="s">
        <v>300</v>
      </c>
      <c r="AK18" t="s">
        <v>300</v>
      </c>
      <c r="AL18" t="s">
        <v>300</v>
      </c>
      <c r="AM18" t="s">
        <v>300</v>
      </c>
      <c r="AN18" t="s">
        <v>300</v>
      </c>
      <c r="AO18" t="s">
        <v>300</v>
      </c>
      <c r="AP18" t="s">
        <v>300</v>
      </c>
      <c r="AQ18">
        <f t="shared" si="11"/>
        <v>0</v>
      </c>
      <c r="AR18">
        <f t="shared" si="12"/>
        <v>0</v>
      </c>
      <c r="AS18">
        <f t="shared" si="13"/>
        <v>0</v>
      </c>
      <c r="AT18">
        <f t="shared" si="14"/>
        <v>0</v>
      </c>
      <c r="AU18" t="str">
        <f t="shared" si="15"/>
        <v>NA</v>
      </c>
      <c r="AV18">
        <f t="shared" si="16"/>
        <v>100</v>
      </c>
      <c r="AW18">
        <f t="shared" si="17"/>
        <v>100</v>
      </c>
      <c r="AX18" s="14">
        <f t="shared" si="18"/>
        <v>0</v>
      </c>
      <c r="AY18" s="14">
        <f t="shared" si="0"/>
        <v>0</v>
      </c>
      <c r="AZ18" s="14">
        <f t="shared" si="0"/>
        <v>0</v>
      </c>
      <c r="BA18" s="14">
        <f t="shared" si="0"/>
        <v>0</v>
      </c>
      <c r="BB18" s="14">
        <f t="shared" si="1"/>
        <v>0</v>
      </c>
      <c r="BC18" s="14">
        <f t="shared" si="2"/>
        <v>5</v>
      </c>
      <c r="BD18" s="13">
        <f t="shared" si="3"/>
        <v>0</v>
      </c>
      <c r="BE18" s="13">
        <f t="shared" si="4"/>
        <v>0</v>
      </c>
      <c r="BF18" s="13">
        <f t="shared" si="5"/>
        <v>0</v>
      </c>
      <c r="BG18" s="13">
        <f t="shared" si="6"/>
        <v>0</v>
      </c>
      <c r="BH18" s="13">
        <f t="shared" si="7"/>
        <v>0</v>
      </c>
      <c r="BI18" s="13">
        <f t="shared" si="8"/>
        <v>8.9280000000000012E-2</v>
      </c>
      <c r="BJ18" s="13">
        <f t="shared" si="9"/>
        <v>8.9280000000000012E-2</v>
      </c>
      <c r="BK18" s="13">
        <f t="shared" si="10"/>
        <v>8.9280000000000012E-2</v>
      </c>
    </row>
    <row r="19" spans="1:63" hidden="1" x14ac:dyDescent="0.35">
      <c r="A19">
        <v>46022</v>
      </c>
      <c r="B19" t="str">
        <f>_xlfn.XLOOKUP(C19,'Production Costs Co Product'!B:B,'Production Costs Co Product'!D:D,"Not found")</f>
        <v>South Africa</v>
      </c>
      <c r="C19" t="s">
        <v>60</v>
      </c>
      <c r="D19" s="13">
        <f>_xlfn.XLOOKUP(C19,'Production Costs Co Product'!B:B,'Production Costs Co Product'!J:J,"Not found")</f>
        <v>7.2811000000000001E-2</v>
      </c>
      <c r="E19" t="s">
        <v>61</v>
      </c>
      <c r="F19" t="s">
        <v>228</v>
      </c>
      <c r="G19">
        <v>4351190</v>
      </c>
      <c r="H19">
        <v>87</v>
      </c>
      <c r="I19" t="s">
        <v>296</v>
      </c>
      <c r="J19" t="s">
        <v>62</v>
      </c>
      <c r="L19" t="s">
        <v>305</v>
      </c>
      <c r="M19" t="s">
        <v>305</v>
      </c>
      <c r="N19" t="s">
        <v>306</v>
      </c>
      <c r="O19" t="s">
        <v>305</v>
      </c>
      <c r="P19" t="s">
        <v>305</v>
      </c>
      <c r="Q19" t="s">
        <v>300</v>
      </c>
      <c r="R19" t="s">
        <v>296</v>
      </c>
      <c r="S19">
        <v>69.17</v>
      </c>
      <c r="T19">
        <v>0</v>
      </c>
      <c r="U19" t="s">
        <v>300</v>
      </c>
      <c r="V19">
        <v>0.01</v>
      </c>
      <c r="W19" t="s">
        <v>300</v>
      </c>
      <c r="X19">
        <v>6.56</v>
      </c>
      <c r="Y19">
        <v>0.24</v>
      </c>
      <c r="Z19" t="s">
        <v>300</v>
      </c>
      <c r="AA19">
        <v>58.04</v>
      </c>
      <c r="AB19" t="s">
        <v>300</v>
      </c>
      <c r="AC19">
        <v>0.82</v>
      </c>
      <c r="AD19" t="s">
        <v>300</v>
      </c>
      <c r="AE19">
        <v>0.74</v>
      </c>
      <c r="AF19">
        <v>2.76</v>
      </c>
      <c r="AG19" t="s">
        <v>300</v>
      </c>
      <c r="AH19">
        <v>0.06</v>
      </c>
      <c r="AI19" t="s">
        <v>300</v>
      </c>
      <c r="AJ19" t="s">
        <v>300</v>
      </c>
      <c r="AK19" t="s">
        <v>300</v>
      </c>
      <c r="AL19" t="s">
        <v>300</v>
      </c>
      <c r="AM19" t="s">
        <v>300</v>
      </c>
      <c r="AN19" t="s">
        <v>300</v>
      </c>
      <c r="AO19" t="s">
        <v>300</v>
      </c>
      <c r="AP19" t="s">
        <v>300</v>
      </c>
      <c r="AQ19">
        <f t="shared" si="11"/>
        <v>58.79</v>
      </c>
      <c r="AR19">
        <f t="shared" si="12"/>
        <v>3</v>
      </c>
      <c r="AS19">
        <f t="shared" si="13"/>
        <v>6.6199999999999992</v>
      </c>
      <c r="AT19">
        <f t="shared" si="14"/>
        <v>0</v>
      </c>
      <c r="AU19">
        <f t="shared" si="15"/>
        <v>0.82</v>
      </c>
      <c r="AV19">
        <f t="shared" si="16"/>
        <v>30.77000000000001</v>
      </c>
      <c r="AW19">
        <f t="shared" si="17"/>
        <v>30.77000000000001</v>
      </c>
      <c r="AX19" s="14">
        <f t="shared" si="18"/>
        <v>51.147299999999994</v>
      </c>
      <c r="AY19" s="14">
        <f t="shared" si="0"/>
        <v>2.61</v>
      </c>
      <c r="AZ19" s="14">
        <f t="shared" si="0"/>
        <v>5.7593999999999994</v>
      </c>
      <c r="BA19" s="14">
        <f t="shared" si="0"/>
        <v>0</v>
      </c>
      <c r="BB19" s="14">
        <f t="shared" si="1"/>
        <v>0.71339999999999992</v>
      </c>
      <c r="BC19" s="14">
        <f t="shared" si="2"/>
        <v>26.769900000000007</v>
      </c>
      <c r="BD19" s="13">
        <f t="shared" si="3"/>
        <v>3.7240860602999998E-2</v>
      </c>
      <c r="BE19" s="13">
        <f t="shared" si="4"/>
        <v>1.9003670999999998E-3</v>
      </c>
      <c r="BF19" s="13">
        <f t="shared" si="5"/>
        <v>4.1934767339999995E-3</v>
      </c>
      <c r="BG19" s="13">
        <f t="shared" si="6"/>
        <v>0</v>
      </c>
      <c r="BH19" s="13">
        <f t="shared" si="7"/>
        <v>5.1943367399999993E-4</v>
      </c>
      <c r="BI19" s="13">
        <f t="shared" si="8"/>
        <v>1.9491431889000006E-2</v>
      </c>
      <c r="BJ19" s="13">
        <f t="shared" si="9"/>
        <v>6.3345570000000004E-2</v>
      </c>
      <c r="BK19" s="13">
        <f t="shared" si="10"/>
        <v>6.3345570000000004E-2</v>
      </c>
    </row>
    <row r="20" spans="1:63" hidden="1" x14ac:dyDescent="0.35">
      <c r="A20">
        <v>46022</v>
      </c>
      <c r="B20" t="str">
        <f>_xlfn.XLOOKUP(C20,'Production Costs Co Product'!B:B,'Production Costs Co Product'!D:D,"Not found")</f>
        <v>South Africa</v>
      </c>
      <c r="C20" t="s">
        <v>60</v>
      </c>
      <c r="D20" s="13">
        <f>_xlfn.XLOOKUP(C20,'Production Costs Co Product'!B:B,'Production Costs Co Product'!J:J,"Not found")</f>
        <v>7.2811000000000001E-2</v>
      </c>
      <c r="E20" t="s">
        <v>61</v>
      </c>
      <c r="F20" t="s">
        <v>229</v>
      </c>
      <c r="G20">
        <v>4353456</v>
      </c>
      <c r="H20">
        <v>13</v>
      </c>
      <c r="I20" t="s">
        <v>298</v>
      </c>
      <c r="J20" t="s">
        <v>50</v>
      </c>
      <c r="L20" t="s">
        <v>305</v>
      </c>
      <c r="M20" t="s">
        <v>305</v>
      </c>
      <c r="N20" t="s">
        <v>306</v>
      </c>
      <c r="O20" t="s">
        <v>305</v>
      </c>
      <c r="P20" t="s">
        <v>305</v>
      </c>
      <c r="Q20" t="s">
        <v>300</v>
      </c>
      <c r="R20" t="s">
        <v>296</v>
      </c>
      <c r="S20" t="s">
        <v>300</v>
      </c>
      <c r="T20" t="s">
        <v>300</v>
      </c>
      <c r="U20" t="s">
        <v>300</v>
      </c>
      <c r="V20" t="s">
        <v>300</v>
      </c>
      <c r="W20" t="s">
        <v>300</v>
      </c>
      <c r="X20" t="s">
        <v>300</v>
      </c>
      <c r="Y20" t="s">
        <v>300</v>
      </c>
      <c r="Z20" t="s">
        <v>300</v>
      </c>
      <c r="AA20" t="s">
        <v>300</v>
      </c>
      <c r="AB20" t="s">
        <v>300</v>
      </c>
      <c r="AC20" t="s">
        <v>300</v>
      </c>
      <c r="AD20" t="s">
        <v>300</v>
      </c>
      <c r="AE20" t="s">
        <v>300</v>
      </c>
      <c r="AF20" t="s">
        <v>300</v>
      </c>
      <c r="AG20" t="s">
        <v>300</v>
      </c>
      <c r="AH20" t="s">
        <v>300</v>
      </c>
      <c r="AI20" t="s">
        <v>300</v>
      </c>
      <c r="AJ20" t="s">
        <v>300</v>
      </c>
      <c r="AK20" t="s">
        <v>300</v>
      </c>
      <c r="AL20" t="s">
        <v>300</v>
      </c>
      <c r="AM20" t="s">
        <v>300</v>
      </c>
      <c r="AN20" t="s">
        <v>300</v>
      </c>
      <c r="AO20" t="s">
        <v>300</v>
      </c>
      <c r="AP20" t="s">
        <v>300</v>
      </c>
      <c r="AQ20">
        <f t="shared" si="11"/>
        <v>0</v>
      </c>
      <c r="AR20">
        <f t="shared" si="12"/>
        <v>0</v>
      </c>
      <c r="AS20">
        <f t="shared" si="13"/>
        <v>0</v>
      </c>
      <c r="AT20">
        <f t="shared" si="14"/>
        <v>0</v>
      </c>
      <c r="AU20" t="str">
        <f t="shared" si="15"/>
        <v>NA</v>
      </c>
      <c r="AV20">
        <f t="shared" si="16"/>
        <v>100</v>
      </c>
      <c r="AW20">
        <f t="shared" si="17"/>
        <v>100</v>
      </c>
      <c r="AX20" s="14">
        <f t="shared" si="18"/>
        <v>0</v>
      </c>
      <c r="AY20" s="14">
        <f t="shared" si="0"/>
        <v>0</v>
      </c>
      <c r="AZ20" s="14">
        <f t="shared" si="0"/>
        <v>0</v>
      </c>
      <c r="BA20" s="14">
        <f t="shared" si="0"/>
        <v>0</v>
      </c>
      <c r="BB20" s="14">
        <f t="shared" si="1"/>
        <v>0</v>
      </c>
      <c r="BC20" s="14">
        <f t="shared" si="2"/>
        <v>13</v>
      </c>
      <c r="BD20" s="13">
        <f t="shared" si="3"/>
        <v>0</v>
      </c>
      <c r="BE20" s="13">
        <f t="shared" si="4"/>
        <v>0</v>
      </c>
      <c r="BF20" s="13">
        <f t="shared" si="5"/>
        <v>0</v>
      </c>
      <c r="BG20" s="13">
        <f t="shared" si="6"/>
        <v>0</v>
      </c>
      <c r="BH20" s="13">
        <f t="shared" si="7"/>
        <v>0</v>
      </c>
      <c r="BI20" s="13">
        <f t="shared" si="8"/>
        <v>9.4654300000000004E-3</v>
      </c>
      <c r="BJ20" s="13">
        <f t="shared" si="9"/>
        <v>9.4654300000000004E-3</v>
      </c>
      <c r="BK20" s="13">
        <f t="shared" si="10"/>
        <v>9.4654300000000004E-3</v>
      </c>
    </row>
    <row r="21" spans="1:63" x14ac:dyDescent="0.35">
      <c r="A21">
        <v>46022</v>
      </c>
      <c r="B21" t="str">
        <f>_xlfn.XLOOKUP(C21,'Production Costs Co Product'!B:B,'Production Costs Co Product'!D:D,"Not found")</f>
        <v>China</v>
      </c>
      <c r="C21" t="s">
        <v>101</v>
      </c>
      <c r="D21" s="13">
        <f>_xlfn.XLOOKUP(C21,'Production Costs Co Product'!B:B,'Production Costs Co Product'!J:J,"Not found")</f>
        <v>2.8856250000000001</v>
      </c>
      <c r="E21" t="s">
        <v>102</v>
      </c>
      <c r="F21" t="s">
        <v>230</v>
      </c>
      <c r="G21">
        <v>4351437</v>
      </c>
      <c r="H21">
        <v>100</v>
      </c>
      <c r="I21" t="s">
        <v>298</v>
      </c>
      <c r="J21" t="s">
        <v>50</v>
      </c>
      <c r="L21" t="s">
        <v>50</v>
      </c>
      <c r="M21" t="s">
        <v>318</v>
      </c>
      <c r="N21" t="s">
        <v>303</v>
      </c>
      <c r="O21" t="s">
        <v>319</v>
      </c>
      <c r="P21" t="s">
        <v>50</v>
      </c>
      <c r="Q21">
        <v>8393263</v>
      </c>
      <c r="R21" t="s">
        <v>303</v>
      </c>
      <c r="S21" t="s">
        <v>300</v>
      </c>
      <c r="T21" t="s">
        <v>300</v>
      </c>
      <c r="U21" t="s">
        <v>300</v>
      </c>
      <c r="V21" t="s">
        <v>300</v>
      </c>
      <c r="W21" t="s">
        <v>300</v>
      </c>
      <c r="X21" t="s">
        <v>300</v>
      </c>
      <c r="Y21" t="s">
        <v>300</v>
      </c>
      <c r="Z21" t="s">
        <v>300</v>
      </c>
      <c r="AA21" t="s">
        <v>300</v>
      </c>
      <c r="AB21" t="s">
        <v>300</v>
      </c>
      <c r="AC21" t="s">
        <v>300</v>
      </c>
      <c r="AD21" t="s">
        <v>300</v>
      </c>
      <c r="AE21" t="s">
        <v>300</v>
      </c>
      <c r="AF21" t="s">
        <v>300</v>
      </c>
      <c r="AG21" t="s">
        <v>300</v>
      </c>
      <c r="AH21" t="s">
        <v>300</v>
      </c>
      <c r="AI21" t="s">
        <v>300</v>
      </c>
      <c r="AJ21" t="s">
        <v>300</v>
      </c>
      <c r="AK21" t="s">
        <v>300</v>
      </c>
      <c r="AL21" t="s">
        <v>300</v>
      </c>
      <c r="AM21" t="s">
        <v>300</v>
      </c>
      <c r="AN21" t="s">
        <v>300</v>
      </c>
      <c r="AO21" t="s">
        <v>300</v>
      </c>
      <c r="AP21" t="s">
        <v>300</v>
      </c>
      <c r="AQ21">
        <f t="shared" si="11"/>
        <v>0</v>
      </c>
      <c r="AR21">
        <f t="shared" si="12"/>
        <v>0</v>
      </c>
      <c r="AS21">
        <f t="shared" si="13"/>
        <v>0</v>
      </c>
      <c r="AT21">
        <f t="shared" si="14"/>
        <v>0</v>
      </c>
      <c r="AU21" t="str">
        <f t="shared" si="15"/>
        <v>NA</v>
      </c>
      <c r="AV21">
        <f t="shared" si="16"/>
        <v>100</v>
      </c>
      <c r="AW21">
        <f t="shared" si="17"/>
        <v>100</v>
      </c>
      <c r="AX21" s="14">
        <f t="shared" si="18"/>
        <v>0</v>
      </c>
      <c r="AY21" s="14">
        <f t="shared" si="0"/>
        <v>0</v>
      </c>
      <c r="AZ21" s="14">
        <f t="shared" si="0"/>
        <v>0</v>
      </c>
      <c r="BA21" s="14">
        <f t="shared" si="0"/>
        <v>0</v>
      </c>
      <c r="BB21" s="14">
        <f t="shared" si="1"/>
        <v>0</v>
      </c>
      <c r="BC21" s="14">
        <f t="shared" si="2"/>
        <v>100</v>
      </c>
      <c r="BD21" s="13">
        <f t="shared" si="3"/>
        <v>0</v>
      </c>
      <c r="BE21" s="13">
        <f t="shared" si="4"/>
        <v>0</v>
      </c>
      <c r="BF21" s="13">
        <f t="shared" si="5"/>
        <v>0</v>
      </c>
      <c r="BG21" s="13">
        <f t="shared" si="6"/>
        <v>0</v>
      </c>
      <c r="BH21" s="13">
        <f t="shared" si="7"/>
        <v>0</v>
      </c>
      <c r="BI21" s="13">
        <f t="shared" si="8"/>
        <v>2.8856250000000001</v>
      </c>
      <c r="BJ21" s="13">
        <f t="shared" si="9"/>
        <v>2.8856250000000001</v>
      </c>
      <c r="BK21" s="13">
        <f t="shared" si="10"/>
        <v>2.8856250000000001</v>
      </c>
    </row>
    <row r="22" spans="1:63" hidden="1" x14ac:dyDescent="0.35">
      <c r="A22">
        <v>46022</v>
      </c>
      <c r="B22" t="str">
        <f>_xlfn.XLOOKUP(C22,'Production Costs Co Product'!B:B,'Production Costs Co Product'!D:D,"Not found")</f>
        <v>China</v>
      </c>
      <c r="C22" t="s">
        <v>93</v>
      </c>
      <c r="D22" s="13">
        <f>_xlfn.XLOOKUP(C22,'Production Costs Co Product'!B:B,'Production Costs Co Product'!J:J,"Not found")</f>
        <v>0.172925</v>
      </c>
      <c r="E22" t="s">
        <v>94</v>
      </c>
      <c r="F22" t="s">
        <v>215</v>
      </c>
      <c r="G22">
        <v>4355482</v>
      </c>
      <c r="H22">
        <v>100</v>
      </c>
      <c r="I22" t="s">
        <v>296</v>
      </c>
      <c r="J22" t="s">
        <v>50</v>
      </c>
      <c r="L22" t="s">
        <v>50</v>
      </c>
      <c r="M22" t="s">
        <v>297</v>
      </c>
      <c r="N22" t="s">
        <v>298</v>
      </c>
      <c r="O22" t="s">
        <v>299</v>
      </c>
      <c r="P22" t="s">
        <v>50</v>
      </c>
      <c r="Q22">
        <v>4415549</v>
      </c>
      <c r="R22" t="s">
        <v>298</v>
      </c>
      <c r="S22">
        <v>5.56</v>
      </c>
      <c r="T22" t="s">
        <v>300</v>
      </c>
      <c r="U22" t="s">
        <v>300</v>
      </c>
      <c r="V22" t="s">
        <v>300</v>
      </c>
      <c r="W22" t="s">
        <v>300</v>
      </c>
      <c r="X22" t="s">
        <v>300</v>
      </c>
      <c r="Y22" t="s">
        <v>300</v>
      </c>
      <c r="Z22" t="s">
        <v>300</v>
      </c>
      <c r="AA22">
        <v>5.56</v>
      </c>
      <c r="AB22" t="s">
        <v>300</v>
      </c>
      <c r="AC22" t="s">
        <v>300</v>
      </c>
      <c r="AD22" t="s">
        <v>300</v>
      </c>
      <c r="AE22" t="s">
        <v>300</v>
      </c>
      <c r="AF22" t="s">
        <v>300</v>
      </c>
      <c r="AG22" t="s">
        <v>300</v>
      </c>
      <c r="AH22">
        <v>12.8</v>
      </c>
      <c r="AI22" t="s">
        <v>300</v>
      </c>
      <c r="AJ22" t="s">
        <v>300</v>
      </c>
      <c r="AK22" t="s">
        <v>300</v>
      </c>
      <c r="AL22" t="s">
        <v>300</v>
      </c>
      <c r="AM22" t="s">
        <v>300</v>
      </c>
      <c r="AN22" t="s">
        <v>300</v>
      </c>
      <c r="AO22">
        <v>46.61</v>
      </c>
      <c r="AP22">
        <v>2.69</v>
      </c>
      <c r="AQ22">
        <f t="shared" si="11"/>
        <v>5.56</v>
      </c>
      <c r="AR22">
        <f t="shared" si="12"/>
        <v>0</v>
      </c>
      <c r="AS22">
        <f t="shared" si="13"/>
        <v>12.8</v>
      </c>
      <c r="AT22">
        <f t="shared" si="14"/>
        <v>49.3</v>
      </c>
      <c r="AU22" t="str">
        <f t="shared" si="15"/>
        <v>NA</v>
      </c>
      <c r="AV22">
        <f t="shared" si="16"/>
        <v>32.340000000000003</v>
      </c>
      <c r="AW22">
        <f t="shared" si="17"/>
        <v>32.340000000000003</v>
      </c>
      <c r="AX22" s="14">
        <f t="shared" si="18"/>
        <v>5.56</v>
      </c>
      <c r="AY22" s="14">
        <f t="shared" si="0"/>
        <v>0</v>
      </c>
      <c r="AZ22" s="14">
        <f t="shared" si="0"/>
        <v>12.8</v>
      </c>
      <c r="BA22" s="14">
        <f t="shared" si="0"/>
        <v>49.3</v>
      </c>
      <c r="BB22" s="14">
        <f t="shared" si="1"/>
        <v>0</v>
      </c>
      <c r="BC22" s="14">
        <f t="shared" si="2"/>
        <v>32.340000000000003</v>
      </c>
      <c r="BD22" s="13">
        <f t="shared" si="3"/>
        <v>9.614629999999999E-3</v>
      </c>
      <c r="BE22" s="13">
        <f t="shared" si="4"/>
        <v>0</v>
      </c>
      <c r="BF22" s="13">
        <f t="shared" si="5"/>
        <v>2.2134399999999999E-2</v>
      </c>
      <c r="BG22" s="13">
        <f t="shared" si="6"/>
        <v>8.5252024999999995E-2</v>
      </c>
      <c r="BH22" s="13">
        <f t="shared" si="7"/>
        <v>0</v>
      </c>
      <c r="BI22" s="13">
        <f t="shared" si="8"/>
        <v>5.5923945000000003E-2</v>
      </c>
      <c r="BJ22" s="13">
        <f t="shared" si="9"/>
        <v>0.172925</v>
      </c>
      <c r="BK22" s="13">
        <f t="shared" si="10"/>
        <v>0.172925</v>
      </c>
    </row>
    <row r="23" spans="1:63" hidden="1" x14ac:dyDescent="0.35">
      <c r="A23">
        <v>46022</v>
      </c>
      <c r="B23" t="str">
        <f>_xlfn.XLOOKUP(C23,'Production Costs Co Product'!B:B,'Production Costs Co Product'!D:D,"Not found")</f>
        <v>Dem. Rep. Congo</v>
      </c>
      <c r="C23" t="s">
        <v>95</v>
      </c>
      <c r="D23" s="13">
        <f>_xlfn.XLOOKUP(C23,'Production Costs Co Product'!B:B,'Production Costs Co Product'!J:J,"Not found")</f>
        <v>7.8540000000000001</v>
      </c>
      <c r="E23" t="s">
        <v>96</v>
      </c>
      <c r="F23" t="s">
        <v>231</v>
      </c>
      <c r="G23">
        <v>4649760</v>
      </c>
      <c r="H23">
        <v>85</v>
      </c>
      <c r="I23" t="s">
        <v>296</v>
      </c>
      <c r="J23" t="s">
        <v>50</v>
      </c>
      <c r="L23" t="s">
        <v>305</v>
      </c>
      <c r="M23" t="s">
        <v>305</v>
      </c>
      <c r="N23" t="s">
        <v>306</v>
      </c>
      <c r="O23" t="s">
        <v>305</v>
      </c>
      <c r="P23" t="s">
        <v>305</v>
      </c>
      <c r="Q23" t="s">
        <v>300</v>
      </c>
      <c r="R23" t="s">
        <v>296</v>
      </c>
      <c r="S23">
        <v>14.86</v>
      </c>
      <c r="T23">
        <v>3.95</v>
      </c>
      <c r="U23" t="s">
        <v>300</v>
      </c>
      <c r="V23" t="s">
        <v>300</v>
      </c>
      <c r="W23" t="s">
        <v>300</v>
      </c>
      <c r="X23" t="s">
        <v>300</v>
      </c>
      <c r="Y23" t="s">
        <v>300</v>
      </c>
      <c r="Z23" t="s">
        <v>300</v>
      </c>
      <c r="AA23">
        <v>10.9</v>
      </c>
      <c r="AB23" t="s">
        <v>300</v>
      </c>
      <c r="AC23">
        <v>0</v>
      </c>
      <c r="AD23" t="s">
        <v>300</v>
      </c>
      <c r="AE23" t="s">
        <v>300</v>
      </c>
      <c r="AF23" t="s">
        <v>300</v>
      </c>
      <c r="AG23" t="s">
        <v>300</v>
      </c>
      <c r="AH23">
        <v>1.44</v>
      </c>
      <c r="AI23" t="s">
        <v>300</v>
      </c>
      <c r="AJ23" t="s">
        <v>300</v>
      </c>
      <c r="AK23" t="s">
        <v>300</v>
      </c>
      <c r="AL23" t="s">
        <v>300</v>
      </c>
      <c r="AM23" t="s">
        <v>300</v>
      </c>
      <c r="AN23" t="s">
        <v>300</v>
      </c>
      <c r="AO23">
        <v>17.940000000000001</v>
      </c>
      <c r="AP23" t="s">
        <v>300</v>
      </c>
      <c r="AQ23">
        <f t="shared" si="11"/>
        <v>14.850000000000001</v>
      </c>
      <c r="AR23">
        <f t="shared" si="12"/>
        <v>0</v>
      </c>
      <c r="AS23">
        <f t="shared" si="13"/>
        <v>1.44</v>
      </c>
      <c r="AT23">
        <f t="shared" si="14"/>
        <v>17.940000000000001</v>
      </c>
      <c r="AU23">
        <f t="shared" si="15"/>
        <v>0</v>
      </c>
      <c r="AV23">
        <f t="shared" si="16"/>
        <v>65.77</v>
      </c>
      <c r="AW23">
        <f t="shared" si="17"/>
        <v>65.77</v>
      </c>
      <c r="AX23" s="14">
        <f>AQ23*$H23/100</f>
        <v>12.622500000000002</v>
      </c>
      <c r="AY23" s="14">
        <f>AR23*$H23/100</f>
        <v>0</v>
      </c>
      <c r="AZ23" s="14">
        <f t="shared" ref="AZ23:BC38" si="19">AS23*$H23/100</f>
        <v>1.224</v>
      </c>
      <c r="BA23" s="14">
        <f t="shared" si="19"/>
        <v>15.249000000000001</v>
      </c>
      <c r="BB23" s="14">
        <f>IFERROR(AU23*$H23/100,0)</f>
        <v>0</v>
      </c>
      <c r="BC23" s="14">
        <f t="shared" si="19"/>
        <v>55.904499999999999</v>
      </c>
      <c r="BD23" s="13">
        <f t="shared" ref="BD23:BI23" si="20">AX23/100*$D23</f>
        <v>0.99137115000000031</v>
      </c>
      <c r="BE23" s="13">
        <f t="shared" si="20"/>
        <v>0</v>
      </c>
      <c r="BF23" s="13">
        <f t="shared" si="20"/>
        <v>9.613295999999999E-2</v>
      </c>
      <c r="BG23" s="13">
        <f t="shared" si="20"/>
        <v>1.1976564600000001</v>
      </c>
      <c r="BH23" s="13">
        <f t="shared" si="20"/>
        <v>0</v>
      </c>
      <c r="BI23" s="13">
        <f t="shared" si="20"/>
        <v>4.39073943</v>
      </c>
      <c r="BJ23" s="13">
        <f>SUM(BD23:BI23)</f>
        <v>6.6759000000000004</v>
      </c>
      <c r="BK23" s="13">
        <f>D23*H23/100</f>
        <v>6.6759000000000004</v>
      </c>
    </row>
    <row r="24" spans="1:63" hidden="1" x14ac:dyDescent="0.35">
      <c r="A24">
        <v>46022</v>
      </c>
      <c r="B24" t="str">
        <f>_xlfn.XLOOKUP(C24,'Production Costs Co Product'!B:B,'Production Costs Co Product'!D:D,"Not found")</f>
        <v>Dem. Rep. Congo</v>
      </c>
      <c r="C24" t="s">
        <v>95</v>
      </c>
      <c r="D24" s="13">
        <f>_xlfn.XLOOKUP(C24,'Production Costs Co Product'!B:B,'Production Costs Co Product'!J:J,"Not found")</f>
        <v>7.8540000000000001</v>
      </c>
      <c r="E24" t="s">
        <v>96</v>
      </c>
      <c r="F24" t="s">
        <v>56</v>
      </c>
      <c r="G24">
        <v>4350734</v>
      </c>
      <c r="H24">
        <v>5</v>
      </c>
      <c r="I24" t="s">
        <v>303</v>
      </c>
      <c r="J24" t="s">
        <v>56</v>
      </c>
      <c r="L24" t="s">
        <v>305</v>
      </c>
      <c r="M24" t="s">
        <v>305</v>
      </c>
      <c r="N24" t="s">
        <v>306</v>
      </c>
      <c r="O24" t="s">
        <v>305</v>
      </c>
      <c r="P24" t="s">
        <v>305</v>
      </c>
      <c r="Q24" t="s">
        <v>300</v>
      </c>
      <c r="R24" t="s">
        <v>296</v>
      </c>
      <c r="S24" t="s">
        <v>300</v>
      </c>
      <c r="T24" t="s">
        <v>300</v>
      </c>
      <c r="U24" t="s">
        <v>300</v>
      </c>
      <c r="V24" t="s">
        <v>300</v>
      </c>
      <c r="W24" t="s">
        <v>300</v>
      </c>
      <c r="X24" t="s">
        <v>300</v>
      </c>
      <c r="Y24" t="s">
        <v>300</v>
      </c>
      <c r="Z24" t="s">
        <v>300</v>
      </c>
      <c r="AA24" t="s">
        <v>300</v>
      </c>
      <c r="AB24" t="s">
        <v>300</v>
      </c>
      <c r="AC24" t="s">
        <v>300</v>
      </c>
      <c r="AD24" t="s">
        <v>300</v>
      </c>
      <c r="AE24" t="s">
        <v>300</v>
      </c>
      <c r="AF24" t="s">
        <v>300</v>
      </c>
      <c r="AG24" t="s">
        <v>300</v>
      </c>
      <c r="AH24" t="s">
        <v>300</v>
      </c>
      <c r="AI24" t="s">
        <v>300</v>
      </c>
      <c r="AJ24" t="s">
        <v>300</v>
      </c>
      <c r="AK24" t="s">
        <v>300</v>
      </c>
      <c r="AL24" t="s">
        <v>300</v>
      </c>
      <c r="AM24" t="s">
        <v>300</v>
      </c>
      <c r="AN24" t="s">
        <v>300</v>
      </c>
      <c r="AO24" t="s">
        <v>300</v>
      </c>
      <c r="AP24" t="s">
        <v>300</v>
      </c>
      <c r="AQ24">
        <f t="shared" si="11"/>
        <v>0</v>
      </c>
      <c r="AR24">
        <f t="shared" si="12"/>
        <v>0</v>
      </c>
      <c r="AS24">
        <f t="shared" si="13"/>
        <v>0</v>
      </c>
      <c r="AT24">
        <f t="shared" si="14"/>
        <v>0</v>
      </c>
      <c r="AU24" t="str">
        <f t="shared" si="15"/>
        <v>NA</v>
      </c>
      <c r="AV24">
        <f t="shared" si="16"/>
        <v>100</v>
      </c>
      <c r="AW24">
        <f t="shared" si="17"/>
        <v>100</v>
      </c>
      <c r="AX24" s="14">
        <f t="shared" ref="AX24:AX75" si="21">AQ24*$H24/100</f>
        <v>0</v>
      </c>
      <c r="AY24" s="14">
        <f t="shared" ref="AY24:BA75" si="22">AR24*$H24/100</f>
        <v>0</v>
      </c>
      <c r="AZ24" s="14">
        <f t="shared" si="0"/>
        <v>0</v>
      </c>
      <c r="BA24" s="14">
        <f t="shared" si="19"/>
        <v>0</v>
      </c>
      <c r="BB24" s="14">
        <f t="shared" ref="BB24:BB33" si="23">IFERROR(AU24*$H24/100,0)</f>
        <v>0</v>
      </c>
      <c r="BC24" s="14">
        <f t="shared" ref="BC24:BC33" si="24">AV24*$H24/100</f>
        <v>5</v>
      </c>
      <c r="BD24" s="13">
        <f t="shared" ref="BD24:BD33" si="25">AX24/100*$D24</f>
        <v>0</v>
      </c>
      <c r="BE24" s="13">
        <f t="shared" ref="BE24:BE33" si="26">AY24/100*$D24</f>
        <v>0</v>
      </c>
      <c r="BF24" s="13">
        <f t="shared" ref="BF24:BF33" si="27">AZ24/100*$D24</f>
        <v>0</v>
      </c>
      <c r="BG24" s="13">
        <f t="shared" ref="BG24:BG33" si="28">BA24/100*$D24</f>
        <v>0</v>
      </c>
      <c r="BH24" s="13">
        <f t="shared" ref="BH24:BH33" si="29">BB24/100*$D24</f>
        <v>0</v>
      </c>
      <c r="BI24" s="13">
        <f t="shared" ref="BI24:BI33" si="30">BC24/100*$D24</f>
        <v>0.39270000000000005</v>
      </c>
      <c r="BJ24" s="13">
        <f t="shared" ref="BJ24:BJ33" si="31">SUM(BD24:BI24)</f>
        <v>0.39270000000000005</v>
      </c>
      <c r="BK24" s="13">
        <f t="shared" ref="BK24:BK33" si="32">D24*H24/100</f>
        <v>0.39270000000000005</v>
      </c>
    </row>
    <row r="25" spans="1:63" hidden="1" x14ac:dyDescent="0.35">
      <c r="A25">
        <v>46022</v>
      </c>
      <c r="B25" t="str">
        <f>_xlfn.XLOOKUP(C25,'Production Costs Co Product'!B:B,'Production Costs Co Product'!D:D,"Not found")</f>
        <v>Dem. Rep. Congo</v>
      </c>
      <c r="C25" t="s">
        <v>95</v>
      </c>
      <c r="D25" s="13">
        <f>_xlfn.XLOOKUP(C25,'Production Costs Co Product'!B:B,'Production Costs Co Product'!J:J,"Not found")</f>
        <v>7.8540000000000001</v>
      </c>
      <c r="E25" t="s">
        <v>96</v>
      </c>
      <c r="F25" t="s">
        <v>232</v>
      </c>
      <c r="G25">
        <v>4567062</v>
      </c>
      <c r="H25">
        <v>10</v>
      </c>
      <c r="I25" t="s">
        <v>298</v>
      </c>
      <c r="J25" t="s">
        <v>56</v>
      </c>
      <c r="L25" t="s">
        <v>305</v>
      </c>
      <c r="M25" t="s">
        <v>305</v>
      </c>
      <c r="N25" t="s">
        <v>306</v>
      </c>
      <c r="O25" t="s">
        <v>305</v>
      </c>
      <c r="P25" t="s">
        <v>305</v>
      </c>
      <c r="Q25" t="s">
        <v>300</v>
      </c>
      <c r="R25" t="s">
        <v>296</v>
      </c>
      <c r="S25" t="s">
        <v>300</v>
      </c>
      <c r="T25" t="s">
        <v>300</v>
      </c>
      <c r="U25" t="s">
        <v>300</v>
      </c>
      <c r="V25" t="s">
        <v>300</v>
      </c>
      <c r="W25" t="s">
        <v>300</v>
      </c>
      <c r="X25" t="s">
        <v>300</v>
      </c>
      <c r="Y25" t="s">
        <v>300</v>
      </c>
      <c r="Z25" t="s">
        <v>300</v>
      </c>
      <c r="AA25" t="s">
        <v>300</v>
      </c>
      <c r="AB25" t="s">
        <v>300</v>
      </c>
      <c r="AC25" t="s">
        <v>300</v>
      </c>
      <c r="AD25" t="s">
        <v>300</v>
      </c>
      <c r="AE25" t="s">
        <v>300</v>
      </c>
      <c r="AF25" t="s">
        <v>300</v>
      </c>
      <c r="AG25" t="s">
        <v>300</v>
      </c>
      <c r="AH25" t="s">
        <v>300</v>
      </c>
      <c r="AI25" t="s">
        <v>300</v>
      </c>
      <c r="AJ25" t="s">
        <v>300</v>
      </c>
      <c r="AK25" t="s">
        <v>300</v>
      </c>
      <c r="AL25" t="s">
        <v>300</v>
      </c>
      <c r="AM25" t="s">
        <v>300</v>
      </c>
      <c r="AN25" t="s">
        <v>300</v>
      </c>
      <c r="AO25" t="s">
        <v>300</v>
      </c>
      <c r="AP25" t="s">
        <v>300</v>
      </c>
      <c r="AQ25">
        <f t="shared" si="11"/>
        <v>0</v>
      </c>
      <c r="AR25">
        <f t="shared" si="12"/>
        <v>0</v>
      </c>
      <c r="AS25">
        <f t="shared" si="13"/>
        <v>0</v>
      </c>
      <c r="AT25">
        <f t="shared" si="14"/>
        <v>0</v>
      </c>
      <c r="AU25" t="str">
        <f t="shared" si="15"/>
        <v>NA</v>
      </c>
      <c r="AV25">
        <f t="shared" si="16"/>
        <v>100</v>
      </c>
      <c r="AW25">
        <f t="shared" si="17"/>
        <v>100</v>
      </c>
      <c r="AX25" s="14">
        <f t="shared" si="21"/>
        <v>0</v>
      </c>
      <c r="AY25" s="14">
        <f t="shared" si="22"/>
        <v>0</v>
      </c>
      <c r="AZ25" s="14">
        <f t="shared" si="22"/>
        <v>0</v>
      </c>
      <c r="BA25" s="14">
        <f t="shared" si="19"/>
        <v>0</v>
      </c>
      <c r="BB25" s="14">
        <f t="shared" si="23"/>
        <v>0</v>
      </c>
      <c r="BC25" s="14">
        <f t="shared" si="24"/>
        <v>10</v>
      </c>
      <c r="BD25" s="13">
        <f t="shared" si="25"/>
        <v>0</v>
      </c>
      <c r="BE25" s="13">
        <f t="shared" si="26"/>
        <v>0</v>
      </c>
      <c r="BF25" s="13">
        <f t="shared" si="27"/>
        <v>0</v>
      </c>
      <c r="BG25" s="13">
        <f t="shared" si="28"/>
        <v>0</v>
      </c>
      <c r="BH25" s="13">
        <f t="shared" si="29"/>
        <v>0</v>
      </c>
      <c r="BI25" s="13">
        <f t="shared" si="30"/>
        <v>0.7854000000000001</v>
      </c>
      <c r="BJ25" s="13">
        <f t="shared" si="31"/>
        <v>0.7854000000000001</v>
      </c>
      <c r="BK25" s="13">
        <f t="shared" si="32"/>
        <v>0.7854000000000001</v>
      </c>
    </row>
    <row r="26" spans="1:63" hidden="1" x14ac:dyDescent="0.35">
      <c r="A26">
        <v>46022</v>
      </c>
      <c r="B26" t="str">
        <f>_xlfn.XLOOKUP(C26,'Production Costs Co Product'!B:B,'Production Costs Co Product'!D:D,"Not found")</f>
        <v>Dem. Rep. Congo</v>
      </c>
      <c r="C26" t="s">
        <v>63</v>
      </c>
      <c r="D26" s="13">
        <f>_xlfn.XLOOKUP(C26,'Production Costs Co Product'!B:B,'Production Costs Co Product'!J:J,"Not found")</f>
        <v>22.152958000000002</v>
      </c>
      <c r="E26" t="s">
        <v>64</v>
      </c>
      <c r="F26" t="s">
        <v>56</v>
      </c>
      <c r="G26">
        <v>4350734</v>
      </c>
      <c r="H26">
        <v>25</v>
      </c>
      <c r="I26" t="s">
        <v>303</v>
      </c>
      <c r="J26" t="s">
        <v>56</v>
      </c>
      <c r="L26" t="s">
        <v>305</v>
      </c>
      <c r="M26" t="s">
        <v>305</v>
      </c>
      <c r="N26" t="s">
        <v>306</v>
      </c>
      <c r="O26" t="s">
        <v>305</v>
      </c>
      <c r="P26" t="s">
        <v>305</v>
      </c>
      <c r="Q26" t="s">
        <v>300</v>
      </c>
      <c r="R26" t="s">
        <v>296</v>
      </c>
      <c r="S26" t="s">
        <v>300</v>
      </c>
      <c r="T26" t="s">
        <v>300</v>
      </c>
      <c r="U26" t="s">
        <v>300</v>
      </c>
      <c r="V26" t="s">
        <v>300</v>
      </c>
      <c r="W26" t="s">
        <v>300</v>
      </c>
      <c r="X26" t="s">
        <v>300</v>
      </c>
      <c r="Y26" t="s">
        <v>300</v>
      </c>
      <c r="Z26" t="s">
        <v>300</v>
      </c>
      <c r="AA26" t="s">
        <v>300</v>
      </c>
      <c r="AB26" t="s">
        <v>300</v>
      </c>
      <c r="AC26" t="s">
        <v>300</v>
      </c>
      <c r="AD26" t="s">
        <v>300</v>
      </c>
      <c r="AE26" t="s">
        <v>300</v>
      </c>
      <c r="AF26" t="s">
        <v>300</v>
      </c>
      <c r="AG26" t="s">
        <v>300</v>
      </c>
      <c r="AH26" t="s">
        <v>300</v>
      </c>
      <c r="AI26" t="s">
        <v>300</v>
      </c>
      <c r="AJ26" t="s">
        <v>300</v>
      </c>
      <c r="AK26" t="s">
        <v>300</v>
      </c>
      <c r="AL26" t="s">
        <v>300</v>
      </c>
      <c r="AM26" t="s">
        <v>300</v>
      </c>
      <c r="AN26" t="s">
        <v>300</v>
      </c>
      <c r="AO26" t="s">
        <v>300</v>
      </c>
      <c r="AP26" t="s">
        <v>300</v>
      </c>
      <c r="AQ26">
        <f t="shared" si="11"/>
        <v>0</v>
      </c>
      <c r="AR26">
        <f t="shared" si="12"/>
        <v>0</v>
      </c>
      <c r="AS26">
        <f t="shared" si="13"/>
        <v>0</v>
      </c>
      <c r="AT26">
        <f t="shared" si="14"/>
        <v>0</v>
      </c>
      <c r="AU26" t="str">
        <f t="shared" si="15"/>
        <v>NA</v>
      </c>
      <c r="AV26">
        <f t="shared" si="16"/>
        <v>100</v>
      </c>
      <c r="AW26">
        <f t="shared" si="17"/>
        <v>100</v>
      </c>
      <c r="AX26" s="14">
        <f t="shared" si="21"/>
        <v>0</v>
      </c>
      <c r="AY26" s="14">
        <f t="shared" si="22"/>
        <v>0</v>
      </c>
      <c r="AZ26" s="14">
        <f t="shared" si="22"/>
        <v>0</v>
      </c>
      <c r="BA26" s="14">
        <f t="shared" si="19"/>
        <v>0</v>
      </c>
      <c r="BB26" s="14">
        <f t="shared" si="23"/>
        <v>0</v>
      </c>
      <c r="BC26" s="14">
        <f t="shared" si="24"/>
        <v>25</v>
      </c>
      <c r="BD26" s="13">
        <f t="shared" si="25"/>
        <v>0</v>
      </c>
      <c r="BE26" s="13">
        <f t="shared" si="26"/>
        <v>0</v>
      </c>
      <c r="BF26" s="13">
        <f t="shared" si="27"/>
        <v>0</v>
      </c>
      <c r="BG26" s="13">
        <f t="shared" si="28"/>
        <v>0</v>
      </c>
      <c r="BH26" s="13">
        <f t="shared" si="29"/>
        <v>0</v>
      </c>
      <c r="BI26" s="13">
        <f t="shared" si="30"/>
        <v>5.5382395000000004</v>
      </c>
      <c r="BJ26" s="13">
        <f t="shared" si="31"/>
        <v>5.5382395000000004</v>
      </c>
      <c r="BK26" s="13">
        <f t="shared" si="32"/>
        <v>5.5382395000000004</v>
      </c>
    </row>
    <row r="27" spans="1:63" hidden="1" x14ac:dyDescent="0.35">
      <c r="A27">
        <v>46022</v>
      </c>
      <c r="B27" t="str">
        <f>_xlfn.XLOOKUP(C27,'Production Costs Co Product'!B:B,'Production Costs Co Product'!D:D,"Not found")</f>
        <v>Dem. Rep. Congo</v>
      </c>
      <c r="C27" t="s">
        <v>63</v>
      </c>
      <c r="D27" s="13">
        <f>_xlfn.XLOOKUP(C27,'Production Costs Co Product'!B:B,'Production Costs Co Product'!J:J,"Not found")</f>
        <v>22.152958000000002</v>
      </c>
      <c r="E27" t="s">
        <v>64</v>
      </c>
      <c r="F27" t="s">
        <v>233</v>
      </c>
      <c r="G27">
        <v>4113732</v>
      </c>
      <c r="H27">
        <v>75</v>
      </c>
      <c r="I27" t="s">
        <v>296</v>
      </c>
      <c r="J27" t="s">
        <v>320</v>
      </c>
      <c r="L27" t="s">
        <v>305</v>
      </c>
      <c r="M27" t="s">
        <v>305</v>
      </c>
      <c r="N27" t="s">
        <v>306</v>
      </c>
      <c r="O27" t="s">
        <v>305</v>
      </c>
      <c r="P27" t="s">
        <v>305</v>
      </c>
      <c r="Q27" t="s">
        <v>300</v>
      </c>
      <c r="R27" t="s">
        <v>296</v>
      </c>
      <c r="S27">
        <v>61.77</v>
      </c>
      <c r="T27">
        <v>3.68</v>
      </c>
      <c r="U27">
        <v>1.77</v>
      </c>
      <c r="V27">
        <v>0.03</v>
      </c>
      <c r="W27" t="s">
        <v>300</v>
      </c>
      <c r="X27">
        <v>0</v>
      </c>
      <c r="Y27">
        <v>0.28999999999999998</v>
      </c>
      <c r="Z27">
        <v>0.08</v>
      </c>
      <c r="AA27">
        <v>54.18</v>
      </c>
      <c r="AB27" t="s">
        <v>300</v>
      </c>
      <c r="AC27">
        <v>0.15</v>
      </c>
      <c r="AD27" t="s">
        <v>300</v>
      </c>
      <c r="AE27">
        <v>0.25</v>
      </c>
      <c r="AF27">
        <v>1.1100000000000001</v>
      </c>
      <c r="AG27">
        <v>0.23</v>
      </c>
      <c r="AH27">
        <v>12.83</v>
      </c>
      <c r="AI27" t="s">
        <v>300</v>
      </c>
      <c r="AJ27">
        <v>8.93</v>
      </c>
      <c r="AK27" t="s">
        <v>300</v>
      </c>
      <c r="AL27" t="s">
        <v>300</v>
      </c>
      <c r="AM27">
        <v>0.19</v>
      </c>
      <c r="AN27">
        <v>0.05</v>
      </c>
      <c r="AO27">
        <v>0.02</v>
      </c>
      <c r="AP27" t="s">
        <v>300</v>
      </c>
      <c r="AQ27">
        <f t="shared" si="11"/>
        <v>67.38</v>
      </c>
      <c r="AR27">
        <f t="shared" si="12"/>
        <v>1.4500000000000002</v>
      </c>
      <c r="AS27">
        <f t="shared" si="13"/>
        <v>12.83</v>
      </c>
      <c r="AT27">
        <f t="shared" si="14"/>
        <v>1.98</v>
      </c>
      <c r="AU27">
        <f t="shared" si="15"/>
        <v>0.15</v>
      </c>
      <c r="AV27">
        <f t="shared" si="16"/>
        <v>16.209999999999994</v>
      </c>
      <c r="AW27">
        <f t="shared" si="17"/>
        <v>16.210000000000008</v>
      </c>
      <c r="AX27" s="14">
        <f t="shared" si="21"/>
        <v>50.534999999999997</v>
      </c>
      <c r="AY27" s="14">
        <f t="shared" si="22"/>
        <v>1.0875000000000001</v>
      </c>
      <c r="AZ27" s="14">
        <f t="shared" si="22"/>
        <v>9.6225000000000005</v>
      </c>
      <c r="BA27" s="14">
        <f t="shared" si="19"/>
        <v>1.4850000000000001</v>
      </c>
      <c r="BB27" s="14">
        <f t="shared" si="23"/>
        <v>0.1125</v>
      </c>
      <c r="BC27" s="14">
        <f t="shared" si="24"/>
        <v>12.157499999999995</v>
      </c>
      <c r="BD27" s="13">
        <f t="shared" si="25"/>
        <v>11.194997325299999</v>
      </c>
      <c r="BE27" s="13">
        <f t="shared" si="26"/>
        <v>0.24091341825000004</v>
      </c>
      <c r="BF27" s="13">
        <f t="shared" si="27"/>
        <v>2.1316683835500001</v>
      </c>
      <c r="BG27" s="13">
        <f t="shared" si="28"/>
        <v>0.32897142630000004</v>
      </c>
      <c r="BH27" s="13">
        <f t="shared" si="29"/>
        <v>2.4922077750000004E-2</v>
      </c>
      <c r="BI27" s="13">
        <f t="shared" si="30"/>
        <v>2.6932458688499992</v>
      </c>
      <c r="BJ27" s="13">
        <f t="shared" si="31"/>
        <v>16.614718500000002</v>
      </c>
      <c r="BK27" s="13">
        <f t="shared" si="32"/>
        <v>16.614718500000002</v>
      </c>
    </row>
    <row r="28" spans="1:63" hidden="1" x14ac:dyDescent="0.35">
      <c r="A28">
        <v>46022</v>
      </c>
      <c r="B28" t="str">
        <f>_xlfn.XLOOKUP(C28,'Production Costs Co Product'!B:B,'Production Costs Co Product'!D:D,"Not found")</f>
        <v>Finland</v>
      </c>
      <c r="C28" t="s">
        <v>65</v>
      </c>
      <c r="D28" s="13">
        <f>_xlfn.XLOOKUP(C28,'Production Costs Co Product'!B:B,'Production Costs Co Product'!J:J,"Not found")</f>
        <v>0.26</v>
      </c>
      <c r="E28" t="s">
        <v>66</v>
      </c>
      <c r="F28" t="s">
        <v>234</v>
      </c>
      <c r="G28">
        <v>4348654</v>
      </c>
      <c r="H28">
        <v>100</v>
      </c>
      <c r="I28" t="s">
        <v>296</v>
      </c>
      <c r="J28" t="s">
        <v>321</v>
      </c>
      <c r="L28" t="s">
        <v>305</v>
      </c>
      <c r="M28" t="s">
        <v>305</v>
      </c>
      <c r="N28" t="s">
        <v>306</v>
      </c>
      <c r="O28" t="s">
        <v>305</v>
      </c>
      <c r="P28" t="s">
        <v>305</v>
      </c>
      <c r="Q28" t="s">
        <v>300</v>
      </c>
      <c r="R28" t="s">
        <v>296</v>
      </c>
      <c r="S28">
        <v>44.07</v>
      </c>
      <c r="T28">
        <v>0</v>
      </c>
      <c r="U28" t="s">
        <v>300</v>
      </c>
      <c r="V28" t="s">
        <v>300</v>
      </c>
      <c r="W28" t="s">
        <v>300</v>
      </c>
      <c r="X28">
        <v>0</v>
      </c>
      <c r="Y28">
        <v>0.56999999999999995</v>
      </c>
      <c r="Z28">
        <v>0</v>
      </c>
      <c r="AA28">
        <v>41.92</v>
      </c>
      <c r="AB28">
        <v>3</v>
      </c>
      <c r="AC28">
        <v>0.01</v>
      </c>
      <c r="AD28" t="s">
        <v>300</v>
      </c>
      <c r="AE28">
        <v>-1.83</v>
      </c>
      <c r="AF28">
        <v>0.22</v>
      </c>
      <c r="AG28">
        <v>0.17</v>
      </c>
      <c r="AH28">
        <v>1.83</v>
      </c>
      <c r="AI28" t="s">
        <v>300</v>
      </c>
      <c r="AJ28" t="s">
        <v>300</v>
      </c>
      <c r="AK28" t="s">
        <v>300</v>
      </c>
      <c r="AL28" t="s">
        <v>300</v>
      </c>
      <c r="AM28" t="s">
        <v>300</v>
      </c>
      <c r="AN28" t="s">
        <v>300</v>
      </c>
      <c r="AO28" t="s">
        <v>300</v>
      </c>
      <c r="AP28" t="s">
        <v>300</v>
      </c>
      <c r="AQ28">
        <f t="shared" si="11"/>
        <v>40.260000000000005</v>
      </c>
      <c r="AR28">
        <f t="shared" si="12"/>
        <v>0.78999999999999992</v>
      </c>
      <c r="AS28">
        <f t="shared" si="13"/>
        <v>1.83</v>
      </c>
      <c r="AT28">
        <f t="shared" si="14"/>
        <v>3</v>
      </c>
      <c r="AU28">
        <f t="shared" si="15"/>
        <v>0.01</v>
      </c>
      <c r="AV28">
        <f t="shared" si="16"/>
        <v>54.11</v>
      </c>
      <c r="AW28">
        <f t="shared" si="17"/>
        <v>54.11</v>
      </c>
      <c r="AX28" s="14">
        <f>AQ28*$H28/100</f>
        <v>40.260000000000005</v>
      </c>
      <c r="AY28" s="14">
        <f t="shared" si="22"/>
        <v>0.78999999999999981</v>
      </c>
      <c r="AZ28" s="14">
        <f t="shared" si="22"/>
        <v>1.83</v>
      </c>
      <c r="BA28" s="14">
        <f t="shared" si="19"/>
        <v>3</v>
      </c>
      <c r="BB28" s="14">
        <f t="shared" si="23"/>
        <v>0.01</v>
      </c>
      <c r="BC28" s="14">
        <f t="shared" si="24"/>
        <v>54.11</v>
      </c>
      <c r="BD28" s="13">
        <f t="shared" si="25"/>
        <v>0.10467600000000002</v>
      </c>
      <c r="BE28" s="13">
        <f t="shared" si="26"/>
        <v>2.0539999999999994E-3</v>
      </c>
      <c r="BF28" s="13">
        <f t="shared" si="27"/>
        <v>4.7580000000000001E-3</v>
      </c>
      <c r="BG28" s="13">
        <f t="shared" si="28"/>
        <v>7.7999999999999996E-3</v>
      </c>
      <c r="BH28" s="13">
        <f t="shared" si="29"/>
        <v>2.6000000000000002E-5</v>
      </c>
      <c r="BI28" s="13">
        <f t="shared" si="30"/>
        <v>0.14068600000000001</v>
      </c>
      <c r="BJ28" s="13">
        <f t="shared" si="31"/>
        <v>0.26</v>
      </c>
      <c r="BK28" s="13">
        <f t="shared" si="32"/>
        <v>0.26</v>
      </c>
    </row>
    <row r="29" spans="1:63" hidden="1" x14ac:dyDescent="0.35">
      <c r="A29">
        <v>46022</v>
      </c>
      <c r="B29" t="str">
        <f>_xlfn.XLOOKUP(C29,'Production Costs Co Product'!B:B,'Production Costs Co Product'!D:D,"Not found")</f>
        <v>Dem. Rep. Congo</v>
      </c>
      <c r="C29" t="s">
        <v>97</v>
      </c>
      <c r="D29" s="13">
        <f>_xlfn.XLOOKUP(C29,'Production Costs Co Product'!B:B,'Production Costs Co Product'!J:J,"Not found")</f>
        <v>38.982058000000002</v>
      </c>
      <c r="E29" t="s">
        <v>98</v>
      </c>
      <c r="F29" t="s">
        <v>235</v>
      </c>
      <c r="G29">
        <v>4349148</v>
      </c>
      <c r="H29">
        <v>71.25</v>
      </c>
      <c r="I29" t="s">
        <v>296</v>
      </c>
      <c r="J29" t="s">
        <v>50</v>
      </c>
      <c r="L29" t="s">
        <v>305</v>
      </c>
      <c r="M29" t="s">
        <v>305</v>
      </c>
      <c r="N29" t="s">
        <v>306</v>
      </c>
      <c r="O29" t="s">
        <v>305</v>
      </c>
      <c r="P29" t="s">
        <v>305</v>
      </c>
      <c r="Q29" t="s">
        <v>300</v>
      </c>
      <c r="R29" t="s">
        <v>296</v>
      </c>
      <c r="S29">
        <v>11.65</v>
      </c>
      <c r="T29">
        <v>0.06</v>
      </c>
      <c r="U29" t="s">
        <v>300</v>
      </c>
      <c r="V29">
        <v>0</v>
      </c>
      <c r="W29" t="s">
        <v>300</v>
      </c>
      <c r="X29" t="s">
        <v>300</v>
      </c>
      <c r="Y29">
        <v>0.08</v>
      </c>
      <c r="Z29" t="s">
        <v>300</v>
      </c>
      <c r="AA29">
        <v>10.92</v>
      </c>
      <c r="AB29" t="s">
        <v>300</v>
      </c>
      <c r="AC29">
        <v>0.02</v>
      </c>
      <c r="AD29" t="s">
        <v>300</v>
      </c>
      <c r="AE29">
        <v>0.03</v>
      </c>
      <c r="AF29" t="s">
        <v>300</v>
      </c>
      <c r="AG29">
        <v>0.55000000000000004</v>
      </c>
      <c r="AH29">
        <v>0.12</v>
      </c>
      <c r="AI29" t="s">
        <v>300</v>
      </c>
      <c r="AJ29">
        <v>23.54</v>
      </c>
      <c r="AK29" t="s">
        <v>300</v>
      </c>
      <c r="AL29" t="s">
        <v>300</v>
      </c>
      <c r="AM29" t="s">
        <v>300</v>
      </c>
      <c r="AN29" t="s">
        <v>300</v>
      </c>
      <c r="AO29" t="s">
        <v>300</v>
      </c>
      <c r="AP29">
        <v>24.91</v>
      </c>
      <c r="AQ29">
        <f t="shared" si="11"/>
        <v>35.1</v>
      </c>
      <c r="AR29">
        <f t="shared" si="12"/>
        <v>0.08</v>
      </c>
      <c r="AS29">
        <f t="shared" si="13"/>
        <v>0.12</v>
      </c>
      <c r="AT29">
        <f t="shared" si="14"/>
        <v>24.91</v>
      </c>
      <c r="AU29">
        <f t="shared" si="15"/>
        <v>0.02</v>
      </c>
      <c r="AV29">
        <f t="shared" si="16"/>
        <v>39.770000000000003</v>
      </c>
      <c r="AW29">
        <f t="shared" si="17"/>
        <v>39.769999999999996</v>
      </c>
      <c r="AX29" s="14">
        <f t="shared" si="21"/>
        <v>25.008749999999999</v>
      </c>
      <c r="AY29" s="14">
        <f t="shared" si="22"/>
        <v>5.7000000000000002E-2</v>
      </c>
      <c r="AZ29" s="14">
        <f t="shared" si="22"/>
        <v>8.5499999999999993E-2</v>
      </c>
      <c r="BA29" s="14">
        <f t="shared" si="19"/>
        <v>17.748374999999999</v>
      </c>
      <c r="BB29" s="14">
        <f t="shared" si="23"/>
        <v>1.4250000000000001E-2</v>
      </c>
      <c r="BC29" s="14">
        <f t="shared" si="24"/>
        <v>28.336125000000003</v>
      </c>
      <c r="BD29" s="13">
        <f t="shared" si="25"/>
        <v>9.7489254300750012</v>
      </c>
      <c r="BE29" s="13">
        <f t="shared" si="26"/>
        <v>2.221977306E-2</v>
      </c>
      <c r="BF29" s="13">
        <f t="shared" si="27"/>
        <v>3.3329659589999998E-2</v>
      </c>
      <c r="BG29" s="13">
        <f t="shared" si="28"/>
        <v>6.9186818365575</v>
      </c>
      <c r="BH29" s="13">
        <f t="shared" si="29"/>
        <v>5.5549432649999999E-3</v>
      </c>
      <c r="BI29" s="13">
        <f t="shared" si="30"/>
        <v>11.046004682452502</v>
      </c>
      <c r="BJ29" s="13">
        <f t="shared" si="31"/>
        <v>27.774716325000004</v>
      </c>
      <c r="BK29" s="13">
        <f t="shared" si="32"/>
        <v>27.774716325</v>
      </c>
    </row>
    <row r="30" spans="1:63" hidden="1" x14ac:dyDescent="0.35">
      <c r="A30">
        <v>46022</v>
      </c>
      <c r="B30" t="str">
        <f>_xlfn.XLOOKUP(C30,'Production Costs Co Product'!B:B,'Production Costs Co Product'!D:D,"Not found")</f>
        <v>Dem. Rep. Congo</v>
      </c>
      <c r="C30" t="s">
        <v>97</v>
      </c>
      <c r="D30" s="13">
        <f>_xlfn.XLOOKUP(C30,'Production Costs Co Product'!B:B,'Production Costs Co Product'!J:J,"Not found")</f>
        <v>38.982058000000002</v>
      </c>
      <c r="E30" t="s">
        <v>98</v>
      </c>
      <c r="F30" t="s">
        <v>236</v>
      </c>
      <c r="G30">
        <v>6582136</v>
      </c>
      <c r="H30">
        <v>23.75</v>
      </c>
      <c r="I30" t="s">
        <v>296</v>
      </c>
      <c r="J30" t="s">
        <v>50</v>
      </c>
      <c r="L30" t="s">
        <v>305</v>
      </c>
      <c r="M30" t="s">
        <v>305</v>
      </c>
      <c r="N30" t="s">
        <v>306</v>
      </c>
      <c r="O30" t="s">
        <v>305</v>
      </c>
      <c r="P30" t="s">
        <v>305</v>
      </c>
      <c r="Q30" t="s">
        <v>300</v>
      </c>
      <c r="R30" t="s">
        <v>296</v>
      </c>
      <c r="S30">
        <v>39.340000000000003</v>
      </c>
      <c r="T30">
        <v>11.88</v>
      </c>
      <c r="U30" t="s">
        <v>300</v>
      </c>
      <c r="V30">
        <v>0</v>
      </c>
      <c r="W30" t="s">
        <v>300</v>
      </c>
      <c r="X30" t="s">
        <v>300</v>
      </c>
      <c r="Y30">
        <v>0.05</v>
      </c>
      <c r="Z30" t="s">
        <v>300</v>
      </c>
      <c r="AA30">
        <v>20.74</v>
      </c>
      <c r="AB30" t="s">
        <v>300</v>
      </c>
      <c r="AC30">
        <v>0.02</v>
      </c>
      <c r="AD30" t="s">
        <v>300</v>
      </c>
      <c r="AE30">
        <v>0.03</v>
      </c>
      <c r="AF30">
        <v>0.79</v>
      </c>
      <c r="AG30">
        <v>5.82</v>
      </c>
      <c r="AH30">
        <v>41.03</v>
      </c>
      <c r="AI30" t="s">
        <v>300</v>
      </c>
      <c r="AJ30" t="s">
        <v>300</v>
      </c>
      <c r="AK30" t="s">
        <v>300</v>
      </c>
      <c r="AL30" t="s">
        <v>300</v>
      </c>
      <c r="AM30" t="s">
        <v>300</v>
      </c>
      <c r="AN30" t="s">
        <v>300</v>
      </c>
      <c r="AO30">
        <v>1.54</v>
      </c>
      <c r="AP30">
        <v>0.9</v>
      </c>
      <c r="AQ30">
        <f t="shared" si="11"/>
        <v>38.47</v>
      </c>
      <c r="AR30">
        <f t="shared" si="12"/>
        <v>0.84000000000000008</v>
      </c>
      <c r="AS30">
        <f t="shared" si="13"/>
        <v>41.03</v>
      </c>
      <c r="AT30">
        <f t="shared" si="14"/>
        <v>2.44</v>
      </c>
      <c r="AU30">
        <f t="shared" si="15"/>
        <v>0.02</v>
      </c>
      <c r="AV30">
        <f t="shared" si="16"/>
        <v>17.200000000000003</v>
      </c>
      <c r="AW30">
        <f t="shared" si="17"/>
        <v>17.199999999999974</v>
      </c>
      <c r="AX30" s="14">
        <f t="shared" si="21"/>
        <v>9.1366250000000004</v>
      </c>
      <c r="AY30" s="14">
        <f t="shared" si="22"/>
        <v>0.19950000000000004</v>
      </c>
      <c r="AZ30" s="14">
        <f t="shared" si="22"/>
        <v>9.7446249999999992</v>
      </c>
      <c r="BA30" s="14">
        <f t="shared" si="19"/>
        <v>0.5794999999999999</v>
      </c>
      <c r="BB30" s="14">
        <f t="shared" si="23"/>
        <v>4.7500000000000007E-3</v>
      </c>
      <c r="BC30" s="14">
        <f t="shared" si="24"/>
        <v>4.0850000000000009</v>
      </c>
      <c r="BD30" s="13">
        <f t="shared" si="25"/>
        <v>3.5616444567425005</v>
      </c>
      <c r="BE30" s="13">
        <f t="shared" si="26"/>
        <v>7.7769205710000011E-2</v>
      </c>
      <c r="BF30" s="13">
        <f t="shared" si="27"/>
        <v>3.7986553693825003</v>
      </c>
      <c r="BG30" s="13">
        <f t="shared" si="28"/>
        <v>0.22590102610999996</v>
      </c>
      <c r="BH30" s="13">
        <f t="shared" si="29"/>
        <v>1.8516477550000006E-3</v>
      </c>
      <c r="BI30" s="13">
        <f t="shared" si="30"/>
        <v>1.5924170693000006</v>
      </c>
      <c r="BJ30" s="13">
        <f t="shared" si="31"/>
        <v>9.2582387750000024</v>
      </c>
      <c r="BK30" s="13">
        <f t="shared" si="32"/>
        <v>9.2582387750000006</v>
      </c>
    </row>
    <row r="31" spans="1:63" hidden="1" x14ac:dyDescent="0.35">
      <c r="A31">
        <v>46022</v>
      </c>
      <c r="B31" t="str">
        <f>_xlfn.XLOOKUP(C31,'Production Costs Co Product'!B:B,'Production Costs Co Product'!D:D,"Not found")</f>
        <v>Dem. Rep. Congo</v>
      </c>
      <c r="C31" t="s">
        <v>99</v>
      </c>
      <c r="D31" s="13">
        <f>_xlfn.XLOOKUP(C31,'Production Costs Co Product'!B:B,'Production Costs Co Product'!J:J,"Not found")</f>
        <v>0.1701</v>
      </c>
      <c r="E31" t="s">
        <v>100</v>
      </c>
      <c r="F31" t="s">
        <v>223</v>
      </c>
      <c r="G31">
        <v>4350360</v>
      </c>
      <c r="H31">
        <v>33</v>
      </c>
      <c r="I31" t="s">
        <v>298</v>
      </c>
      <c r="J31" t="s">
        <v>56</v>
      </c>
      <c r="L31" t="s">
        <v>56</v>
      </c>
      <c r="M31" t="s">
        <v>312</v>
      </c>
      <c r="N31" t="s">
        <v>303</v>
      </c>
      <c r="O31" t="s">
        <v>56</v>
      </c>
      <c r="P31" t="s">
        <v>56</v>
      </c>
      <c r="Q31">
        <v>4350734</v>
      </c>
      <c r="R31" t="s">
        <v>303</v>
      </c>
      <c r="S31" t="s">
        <v>300</v>
      </c>
      <c r="T31" t="s">
        <v>300</v>
      </c>
      <c r="U31" t="s">
        <v>300</v>
      </c>
      <c r="V31" t="s">
        <v>300</v>
      </c>
      <c r="W31" t="s">
        <v>300</v>
      </c>
      <c r="X31" t="s">
        <v>300</v>
      </c>
      <c r="Y31" t="s">
        <v>300</v>
      </c>
      <c r="Z31" t="s">
        <v>300</v>
      </c>
      <c r="AA31" t="s">
        <v>300</v>
      </c>
      <c r="AB31" t="s">
        <v>300</v>
      </c>
      <c r="AC31" t="s">
        <v>300</v>
      </c>
      <c r="AD31" t="s">
        <v>300</v>
      </c>
      <c r="AE31" t="s">
        <v>300</v>
      </c>
      <c r="AF31" t="s">
        <v>300</v>
      </c>
      <c r="AG31" t="s">
        <v>300</v>
      </c>
      <c r="AH31" t="s">
        <v>300</v>
      </c>
      <c r="AI31" t="s">
        <v>300</v>
      </c>
      <c r="AJ31" t="s">
        <v>300</v>
      </c>
      <c r="AK31" t="s">
        <v>300</v>
      </c>
      <c r="AL31" t="s">
        <v>300</v>
      </c>
      <c r="AM31" t="s">
        <v>300</v>
      </c>
      <c r="AN31" t="s">
        <v>300</v>
      </c>
      <c r="AO31" t="s">
        <v>300</v>
      </c>
      <c r="AP31" t="s">
        <v>300</v>
      </c>
      <c r="AQ31">
        <f t="shared" si="11"/>
        <v>0</v>
      </c>
      <c r="AR31">
        <f t="shared" si="12"/>
        <v>0</v>
      </c>
      <c r="AS31">
        <f t="shared" si="13"/>
        <v>0</v>
      </c>
      <c r="AT31">
        <f t="shared" si="14"/>
        <v>0</v>
      </c>
      <c r="AU31" t="str">
        <f t="shared" si="15"/>
        <v>NA</v>
      </c>
      <c r="AV31">
        <f t="shared" si="16"/>
        <v>100</v>
      </c>
      <c r="AW31">
        <f t="shared" si="17"/>
        <v>100</v>
      </c>
      <c r="AX31" s="14">
        <f t="shared" si="21"/>
        <v>0</v>
      </c>
      <c r="AY31" s="14">
        <f t="shared" si="22"/>
        <v>0</v>
      </c>
      <c r="AZ31" s="14">
        <f t="shared" si="22"/>
        <v>0</v>
      </c>
      <c r="BA31" s="14">
        <f t="shared" si="19"/>
        <v>0</v>
      </c>
      <c r="BB31" s="14">
        <f t="shared" si="23"/>
        <v>0</v>
      </c>
      <c r="BC31" s="14">
        <f t="shared" si="24"/>
        <v>33</v>
      </c>
      <c r="BD31" s="13">
        <f t="shared" si="25"/>
        <v>0</v>
      </c>
      <c r="BE31" s="13">
        <f t="shared" si="26"/>
        <v>0</v>
      </c>
      <c r="BF31" s="13">
        <f t="shared" si="27"/>
        <v>0</v>
      </c>
      <c r="BG31" s="13">
        <f t="shared" si="28"/>
        <v>0</v>
      </c>
      <c r="BH31" s="13">
        <f t="shared" si="29"/>
        <v>0</v>
      </c>
      <c r="BI31" s="13">
        <f t="shared" si="30"/>
        <v>5.6133000000000002E-2</v>
      </c>
      <c r="BJ31" s="13">
        <f t="shared" si="31"/>
        <v>5.6133000000000002E-2</v>
      </c>
      <c r="BK31" s="13">
        <f t="shared" si="32"/>
        <v>5.6132999999999995E-2</v>
      </c>
    </row>
    <row r="32" spans="1:63" hidden="1" x14ac:dyDescent="0.35">
      <c r="A32">
        <v>46022</v>
      </c>
      <c r="B32" t="str">
        <f>_xlfn.XLOOKUP(C32,'Production Costs Co Product'!B:B,'Production Costs Co Product'!D:D,"Not found")</f>
        <v>Dem. Rep. Congo</v>
      </c>
      <c r="C32" t="s">
        <v>99</v>
      </c>
      <c r="D32" s="13">
        <f>_xlfn.XLOOKUP(C32,'Production Costs Co Product'!B:B,'Production Costs Co Product'!J:J,"Not found")</f>
        <v>0.1701</v>
      </c>
      <c r="E32" t="s">
        <v>100</v>
      </c>
      <c r="F32" t="s">
        <v>220</v>
      </c>
      <c r="G32">
        <v>4355642</v>
      </c>
      <c r="H32">
        <v>67</v>
      </c>
      <c r="I32" t="s">
        <v>296</v>
      </c>
      <c r="J32" t="s">
        <v>50</v>
      </c>
      <c r="L32" t="s">
        <v>305</v>
      </c>
      <c r="M32" t="s">
        <v>305</v>
      </c>
      <c r="N32" t="s">
        <v>306</v>
      </c>
      <c r="O32" t="s">
        <v>305</v>
      </c>
      <c r="P32" t="s">
        <v>305</v>
      </c>
      <c r="Q32" t="s">
        <v>300</v>
      </c>
      <c r="R32" t="s">
        <v>296</v>
      </c>
      <c r="S32">
        <v>31.92</v>
      </c>
      <c r="T32">
        <v>2.34</v>
      </c>
      <c r="U32" t="s">
        <v>300</v>
      </c>
      <c r="V32" t="s">
        <v>300</v>
      </c>
      <c r="W32" t="s">
        <v>300</v>
      </c>
      <c r="X32" t="s">
        <v>300</v>
      </c>
      <c r="Y32">
        <v>0.02</v>
      </c>
      <c r="Z32" t="s">
        <v>300</v>
      </c>
      <c r="AA32">
        <v>27.82</v>
      </c>
      <c r="AB32" t="s">
        <v>300</v>
      </c>
      <c r="AC32">
        <v>0.02</v>
      </c>
      <c r="AD32" t="s">
        <v>300</v>
      </c>
      <c r="AE32">
        <v>0.06</v>
      </c>
      <c r="AF32">
        <v>1.62</v>
      </c>
      <c r="AG32">
        <v>0.04</v>
      </c>
      <c r="AH32">
        <v>0.09</v>
      </c>
      <c r="AI32" t="s">
        <v>300</v>
      </c>
      <c r="AJ32" t="s">
        <v>300</v>
      </c>
      <c r="AK32" t="s">
        <v>300</v>
      </c>
      <c r="AL32" t="s">
        <v>300</v>
      </c>
      <c r="AM32">
        <v>0.16</v>
      </c>
      <c r="AN32" t="s">
        <v>300</v>
      </c>
      <c r="AO32">
        <v>24</v>
      </c>
      <c r="AP32" t="s">
        <v>300</v>
      </c>
      <c r="AQ32">
        <f t="shared" si="11"/>
        <v>30.26</v>
      </c>
      <c r="AR32">
        <f t="shared" si="12"/>
        <v>1.6400000000000001</v>
      </c>
      <c r="AS32">
        <f t="shared" si="13"/>
        <v>0.09</v>
      </c>
      <c r="AT32">
        <f t="shared" si="14"/>
        <v>24.16</v>
      </c>
      <c r="AU32">
        <f t="shared" si="15"/>
        <v>0.02</v>
      </c>
      <c r="AV32">
        <f t="shared" si="16"/>
        <v>43.829999999999991</v>
      </c>
      <c r="AW32">
        <f t="shared" si="17"/>
        <v>43.830000000000005</v>
      </c>
      <c r="AX32" s="14">
        <f t="shared" si="21"/>
        <v>20.2742</v>
      </c>
      <c r="AY32" s="14">
        <f t="shared" si="22"/>
        <v>1.0988</v>
      </c>
      <c r="AZ32" s="14">
        <f t="shared" si="22"/>
        <v>6.0299999999999992E-2</v>
      </c>
      <c r="BA32" s="14">
        <f t="shared" si="19"/>
        <v>16.187200000000001</v>
      </c>
      <c r="BB32" s="14">
        <f t="shared" si="23"/>
        <v>1.34E-2</v>
      </c>
      <c r="BC32" s="14">
        <f t="shared" si="24"/>
        <v>29.366099999999992</v>
      </c>
      <c r="BD32" s="13">
        <f t="shared" si="25"/>
        <v>3.4486414200000003E-2</v>
      </c>
      <c r="BE32" s="13">
        <f t="shared" si="26"/>
        <v>1.8690587999999999E-3</v>
      </c>
      <c r="BF32" s="13">
        <f t="shared" si="27"/>
        <v>1.0257029999999998E-4</v>
      </c>
      <c r="BG32" s="13">
        <f t="shared" si="28"/>
        <v>2.7534427200000003E-2</v>
      </c>
      <c r="BH32" s="13">
        <f t="shared" si="29"/>
        <v>2.2793400000000001E-5</v>
      </c>
      <c r="BI32" s="13">
        <f t="shared" si="30"/>
        <v>4.9951736099999991E-2</v>
      </c>
      <c r="BJ32" s="13">
        <f t="shared" si="31"/>
        <v>0.113967</v>
      </c>
      <c r="BK32" s="13">
        <f t="shared" si="32"/>
        <v>0.11396700000000001</v>
      </c>
    </row>
    <row r="33" spans="1:63" hidden="1" x14ac:dyDescent="0.35">
      <c r="A33">
        <v>46022</v>
      </c>
      <c r="B33" t="str">
        <f>_xlfn.XLOOKUP(C33,'Production Costs Co Product'!B:B,'Production Costs Co Product'!D:D,"Not found")</f>
        <v>Canada</v>
      </c>
      <c r="C33" t="s">
        <v>103</v>
      </c>
      <c r="D33" s="13">
        <f>_xlfn.XLOOKUP(C33,'Production Costs Co Product'!B:B,'Production Costs Co Product'!J:J,"Not found")</f>
        <v>0.11748</v>
      </c>
      <c r="E33" t="s">
        <v>104</v>
      </c>
      <c r="F33" t="s">
        <v>237</v>
      </c>
      <c r="G33">
        <v>4223919</v>
      </c>
      <c r="H33">
        <v>100</v>
      </c>
      <c r="I33" t="s">
        <v>296</v>
      </c>
      <c r="J33" t="s">
        <v>114</v>
      </c>
      <c r="L33" t="s">
        <v>305</v>
      </c>
      <c r="M33" t="s">
        <v>305</v>
      </c>
      <c r="N33" t="s">
        <v>306</v>
      </c>
      <c r="O33" t="s">
        <v>305</v>
      </c>
      <c r="P33" t="s">
        <v>305</v>
      </c>
      <c r="Q33" t="s">
        <v>300</v>
      </c>
      <c r="R33" t="s">
        <v>296</v>
      </c>
      <c r="S33">
        <v>52.67</v>
      </c>
      <c r="T33">
        <v>1.86</v>
      </c>
      <c r="U33" t="s">
        <v>300</v>
      </c>
      <c r="V33">
        <v>7.32</v>
      </c>
      <c r="W33" t="s">
        <v>300</v>
      </c>
      <c r="X33">
        <v>0.09</v>
      </c>
      <c r="Y33">
        <v>1.31</v>
      </c>
      <c r="Z33">
        <v>0</v>
      </c>
      <c r="AA33">
        <v>39.1</v>
      </c>
      <c r="AB33" t="s">
        <v>300</v>
      </c>
      <c r="AC33">
        <v>0.49</v>
      </c>
      <c r="AD33" t="s">
        <v>300</v>
      </c>
      <c r="AE33">
        <v>2.48</v>
      </c>
      <c r="AF33">
        <v>0</v>
      </c>
      <c r="AG33">
        <v>0.03</v>
      </c>
      <c r="AH33">
        <v>0.02</v>
      </c>
      <c r="AI33" t="s">
        <v>300</v>
      </c>
      <c r="AJ33" t="s">
        <v>300</v>
      </c>
      <c r="AK33" t="s">
        <v>300</v>
      </c>
      <c r="AL33" t="s">
        <v>300</v>
      </c>
      <c r="AM33" t="s">
        <v>300</v>
      </c>
      <c r="AN33">
        <v>0</v>
      </c>
      <c r="AO33">
        <v>0.28000000000000003</v>
      </c>
      <c r="AP33">
        <v>6.73</v>
      </c>
      <c r="AQ33">
        <f t="shared" si="11"/>
        <v>50.79</v>
      </c>
      <c r="AR33">
        <f t="shared" si="12"/>
        <v>1.31</v>
      </c>
      <c r="AS33">
        <f t="shared" si="13"/>
        <v>0.11</v>
      </c>
      <c r="AT33">
        <f t="shared" si="14"/>
        <v>7.0100000000000007</v>
      </c>
      <c r="AU33">
        <f t="shared" si="15"/>
        <v>0.49</v>
      </c>
      <c r="AV33">
        <f t="shared" si="16"/>
        <v>40.29</v>
      </c>
      <c r="AW33">
        <f t="shared" si="17"/>
        <v>40.289999999999992</v>
      </c>
      <c r="AX33" s="14">
        <f t="shared" si="21"/>
        <v>50.79</v>
      </c>
      <c r="AY33" s="14">
        <f t="shared" si="22"/>
        <v>1.31</v>
      </c>
      <c r="AZ33" s="14">
        <f t="shared" si="22"/>
        <v>0.11</v>
      </c>
      <c r="BA33" s="14">
        <f t="shared" si="19"/>
        <v>7.0100000000000016</v>
      </c>
      <c r="BB33" s="14">
        <f t="shared" si="23"/>
        <v>0.49</v>
      </c>
      <c r="BC33" s="14">
        <f t="shared" si="24"/>
        <v>40.29</v>
      </c>
      <c r="BD33" s="13">
        <f t="shared" si="25"/>
        <v>5.9668092000000006E-2</v>
      </c>
      <c r="BE33" s="13">
        <f t="shared" si="26"/>
        <v>1.538988E-3</v>
      </c>
      <c r="BF33" s="13">
        <f t="shared" si="27"/>
        <v>1.29228E-4</v>
      </c>
      <c r="BG33" s="13">
        <f t="shared" si="28"/>
        <v>8.2353480000000017E-3</v>
      </c>
      <c r="BH33" s="13">
        <f t="shared" si="29"/>
        <v>5.7565199999999996E-4</v>
      </c>
      <c r="BI33" s="13">
        <f t="shared" si="30"/>
        <v>4.7332691999999996E-2</v>
      </c>
      <c r="BJ33" s="13">
        <f t="shared" si="31"/>
        <v>0.11748</v>
      </c>
      <c r="BK33" s="13">
        <f t="shared" si="32"/>
        <v>0.11747999999999999</v>
      </c>
    </row>
    <row r="34" spans="1:63" hidden="1" x14ac:dyDescent="0.35">
      <c r="A34">
        <v>46022</v>
      </c>
      <c r="B34" t="str">
        <f>_xlfn.XLOOKUP(C34,'Production Costs Co Product'!B:B,'Production Costs Co Product'!D:D,"Not found")</f>
        <v>Dem. Rep. Congo</v>
      </c>
      <c r="C34" t="s">
        <v>105</v>
      </c>
      <c r="D34" s="13">
        <f>_xlfn.XLOOKUP(C34,'Production Costs Co Product'!B:B,'Production Costs Co Product'!J:J,"Not found")</f>
        <v>15.598163</v>
      </c>
      <c r="E34" t="s">
        <v>106</v>
      </c>
      <c r="F34" t="s">
        <v>238</v>
      </c>
      <c r="G34">
        <v>8380433</v>
      </c>
      <c r="H34">
        <v>100</v>
      </c>
      <c r="I34" t="s">
        <v>298</v>
      </c>
      <c r="J34" t="s">
        <v>322</v>
      </c>
      <c r="L34" t="s">
        <v>323</v>
      </c>
      <c r="M34" t="s">
        <v>324</v>
      </c>
      <c r="N34" t="s">
        <v>298</v>
      </c>
      <c r="O34" t="s">
        <v>325</v>
      </c>
      <c r="P34" t="s">
        <v>323</v>
      </c>
      <c r="Q34">
        <v>4581024</v>
      </c>
      <c r="R34" t="s">
        <v>298</v>
      </c>
      <c r="S34" t="s">
        <v>300</v>
      </c>
      <c r="T34" t="s">
        <v>300</v>
      </c>
      <c r="U34" t="s">
        <v>300</v>
      </c>
      <c r="V34" t="s">
        <v>300</v>
      </c>
      <c r="W34" t="s">
        <v>300</v>
      </c>
      <c r="X34" t="s">
        <v>300</v>
      </c>
      <c r="Y34" t="s">
        <v>300</v>
      </c>
      <c r="Z34" t="s">
        <v>300</v>
      </c>
      <c r="AA34" t="s">
        <v>300</v>
      </c>
      <c r="AB34" t="s">
        <v>300</v>
      </c>
      <c r="AC34" t="s">
        <v>300</v>
      </c>
      <c r="AD34" t="s">
        <v>300</v>
      </c>
      <c r="AE34" t="s">
        <v>300</v>
      </c>
      <c r="AF34" t="s">
        <v>300</v>
      </c>
      <c r="AG34" t="s">
        <v>300</v>
      </c>
      <c r="AH34" t="s">
        <v>300</v>
      </c>
      <c r="AI34" t="s">
        <v>300</v>
      </c>
      <c r="AJ34" t="s">
        <v>300</v>
      </c>
      <c r="AK34" t="s">
        <v>300</v>
      </c>
      <c r="AL34" t="s">
        <v>300</v>
      </c>
      <c r="AM34" t="s">
        <v>300</v>
      </c>
      <c r="AN34" t="s">
        <v>300</v>
      </c>
      <c r="AO34" t="s">
        <v>300</v>
      </c>
      <c r="AP34" t="s">
        <v>300</v>
      </c>
      <c r="AQ34">
        <f t="shared" si="11"/>
        <v>0</v>
      </c>
      <c r="AR34">
        <f t="shared" si="12"/>
        <v>0</v>
      </c>
      <c r="AS34">
        <f t="shared" si="13"/>
        <v>0</v>
      </c>
      <c r="AT34">
        <f t="shared" si="14"/>
        <v>0</v>
      </c>
      <c r="AU34" t="str">
        <f t="shared" si="15"/>
        <v>NA</v>
      </c>
      <c r="AV34">
        <f t="shared" si="16"/>
        <v>100</v>
      </c>
      <c r="AW34">
        <f t="shared" si="17"/>
        <v>100</v>
      </c>
      <c r="AX34" s="14">
        <f t="shared" si="21"/>
        <v>0</v>
      </c>
      <c r="AY34" s="14">
        <f t="shared" si="22"/>
        <v>0</v>
      </c>
      <c r="AZ34" s="14">
        <f t="shared" si="22"/>
        <v>0</v>
      </c>
      <c r="BA34" s="14">
        <f t="shared" si="19"/>
        <v>0</v>
      </c>
      <c r="BB34" s="14">
        <f t="shared" ref="BB34:BB75" si="33">IFERROR(AU34*$H34/100,0)</f>
        <v>0</v>
      </c>
      <c r="BC34" s="14">
        <f t="shared" ref="BC34:BC75" si="34">AV34*$H34/100</f>
        <v>100</v>
      </c>
      <c r="BD34" s="13">
        <f t="shared" ref="BD34:BD75" si="35">AX34/100*$D34</f>
        <v>0</v>
      </c>
      <c r="BE34" s="13">
        <f t="shared" ref="BE34:BE75" si="36">AY34/100*$D34</f>
        <v>0</v>
      </c>
      <c r="BF34" s="13">
        <f t="shared" ref="BF34:BF75" si="37">AZ34/100*$D34</f>
        <v>0</v>
      </c>
      <c r="BG34" s="13">
        <f t="shared" ref="BG34:BG75" si="38">BA34/100*$D34</f>
        <v>0</v>
      </c>
      <c r="BH34" s="13">
        <f t="shared" ref="BH34:BH75" si="39">BB34/100*$D34</f>
        <v>0</v>
      </c>
      <c r="BI34" s="13">
        <f t="shared" ref="BI34:BI75" si="40">BC34/100*$D34</f>
        <v>15.598163</v>
      </c>
      <c r="BJ34" s="13">
        <f t="shared" ref="BJ34:BJ75" si="41">SUM(BD34:BI34)</f>
        <v>15.598163</v>
      </c>
      <c r="BK34" s="13">
        <f t="shared" ref="BK34:BK75" si="42">D34*H34/100</f>
        <v>15.598163</v>
      </c>
    </row>
    <row r="35" spans="1:63" hidden="1" x14ac:dyDescent="0.35">
      <c r="A35">
        <v>46022</v>
      </c>
      <c r="B35" t="str">
        <f>_xlfn.XLOOKUP(C35,'Production Costs Co Product'!B:B,'Production Costs Co Product'!D:D,"Not found")</f>
        <v>Zimbabwe</v>
      </c>
      <c r="C35" t="s">
        <v>107</v>
      </c>
      <c r="D35" s="13">
        <f>_xlfn.XLOOKUP(C35,'Production Costs Co Product'!B:B,'Production Costs Co Product'!J:J,"Not found")</f>
        <v>0.15012</v>
      </c>
      <c r="E35" t="s">
        <v>108</v>
      </c>
      <c r="F35" t="s">
        <v>228</v>
      </c>
      <c r="G35">
        <v>4351190</v>
      </c>
      <c r="H35">
        <v>50</v>
      </c>
      <c r="I35" t="s">
        <v>296</v>
      </c>
      <c r="J35" t="s">
        <v>62</v>
      </c>
      <c r="L35" t="s">
        <v>305</v>
      </c>
      <c r="M35" t="s">
        <v>305</v>
      </c>
      <c r="N35" t="s">
        <v>306</v>
      </c>
      <c r="O35" t="s">
        <v>305</v>
      </c>
      <c r="P35" t="s">
        <v>305</v>
      </c>
      <c r="Q35" t="s">
        <v>300</v>
      </c>
      <c r="R35" t="s">
        <v>296</v>
      </c>
      <c r="S35">
        <v>69.17</v>
      </c>
      <c r="T35">
        <v>0</v>
      </c>
      <c r="U35" t="s">
        <v>300</v>
      </c>
      <c r="V35">
        <v>0.01</v>
      </c>
      <c r="W35" t="s">
        <v>300</v>
      </c>
      <c r="X35">
        <v>6.56</v>
      </c>
      <c r="Y35">
        <v>0.24</v>
      </c>
      <c r="Z35" t="s">
        <v>300</v>
      </c>
      <c r="AA35">
        <v>58.04</v>
      </c>
      <c r="AB35" t="s">
        <v>300</v>
      </c>
      <c r="AC35">
        <v>0.82</v>
      </c>
      <c r="AD35" t="s">
        <v>300</v>
      </c>
      <c r="AE35">
        <v>0.74</v>
      </c>
      <c r="AF35">
        <v>2.76</v>
      </c>
      <c r="AG35" t="s">
        <v>300</v>
      </c>
      <c r="AH35">
        <v>0.06</v>
      </c>
      <c r="AI35" t="s">
        <v>300</v>
      </c>
      <c r="AJ35" t="s">
        <v>300</v>
      </c>
      <c r="AK35" t="s">
        <v>300</v>
      </c>
      <c r="AL35" t="s">
        <v>300</v>
      </c>
      <c r="AM35" t="s">
        <v>300</v>
      </c>
      <c r="AN35" t="s">
        <v>300</v>
      </c>
      <c r="AO35" t="s">
        <v>300</v>
      </c>
      <c r="AP35" t="s">
        <v>300</v>
      </c>
      <c r="AQ35">
        <f t="shared" si="11"/>
        <v>58.79</v>
      </c>
      <c r="AR35">
        <f t="shared" si="12"/>
        <v>3</v>
      </c>
      <c r="AS35">
        <f t="shared" si="13"/>
        <v>6.6199999999999992</v>
      </c>
      <c r="AT35">
        <f t="shared" si="14"/>
        <v>0</v>
      </c>
      <c r="AU35">
        <f t="shared" si="15"/>
        <v>0.82</v>
      </c>
      <c r="AV35">
        <f t="shared" si="16"/>
        <v>30.77000000000001</v>
      </c>
      <c r="AW35">
        <f t="shared" si="17"/>
        <v>30.77000000000001</v>
      </c>
      <c r="AX35" s="14">
        <f t="shared" si="21"/>
        <v>29.395</v>
      </c>
      <c r="AY35" s="14">
        <f t="shared" si="22"/>
        <v>1.5</v>
      </c>
      <c r="AZ35" s="14">
        <f t="shared" si="22"/>
        <v>3.3099999999999996</v>
      </c>
      <c r="BA35" s="14">
        <f t="shared" si="19"/>
        <v>0</v>
      </c>
      <c r="BB35" s="14">
        <f t="shared" si="33"/>
        <v>0.41</v>
      </c>
      <c r="BC35" s="14">
        <f t="shared" si="34"/>
        <v>15.385000000000005</v>
      </c>
      <c r="BD35" s="13">
        <f t="shared" si="35"/>
        <v>4.4127774000000002E-2</v>
      </c>
      <c r="BE35" s="13">
        <f t="shared" si="36"/>
        <v>2.2518E-3</v>
      </c>
      <c r="BF35" s="13">
        <f t="shared" si="37"/>
        <v>4.9689719999999995E-3</v>
      </c>
      <c r="BG35" s="13">
        <f t="shared" si="38"/>
        <v>0</v>
      </c>
      <c r="BH35" s="13">
        <f t="shared" si="39"/>
        <v>6.1549199999999993E-4</v>
      </c>
      <c r="BI35" s="13">
        <f t="shared" si="40"/>
        <v>2.3095962000000008E-2</v>
      </c>
      <c r="BJ35" s="13">
        <f t="shared" si="41"/>
        <v>7.5060000000000016E-2</v>
      </c>
      <c r="BK35" s="13">
        <f t="shared" si="42"/>
        <v>7.5060000000000002E-2</v>
      </c>
    </row>
    <row r="36" spans="1:63" hidden="1" x14ac:dyDescent="0.35">
      <c r="A36">
        <v>46022</v>
      </c>
      <c r="B36" t="str">
        <f>_xlfn.XLOOKUP(C36,'Production Costs Co Product'!B:B,'Production Costs Co Product'!D:D,"Not found")</f>
        <v>Zimbabwe</v>
      </c>
      <c r="C36" t="s">
        <v>107</v>
      </c>
      <c r="D36" s="13">
        <f>_xlfn.XLOOKUP(C36,'Production Costs Co Product'!B:B,'Production Costs Co Product'!J:J,"Not found")</f>
        <v>0.15012</v>
      </c>
      <c r="E36" t="s">
        <v>108</v>
      </c>
      <c r="F36" t="s">
        <v>239</v>
      </c>
      <c r="G36">
        <v>4379789</v>
      </c>
      <c r="H36">
        <v>50</v>
      </c>
      <c r="I36" t="s">
        <v>296</v>
      </c>
      <c r="J36" t="s">
        <v>62</v>
      </c>
      <c r="L36" t="s">
        <v>305</v>
      </c>
      <c r="M36" t="s">
        <v>305</v>
      </c>
      <c r="N36" t="s">
        <v>306</v>
      </c>
      <c r="O36" t="s">
        <v>305</v>
      </c>
      <c r="P36" t="s">
        <v>305</v>
      </c>
      <c r="Q36" t="s">
        <v>300</v>
      </c>
      <c r="R36" t="s">
        <v>296</v>
      </c>
      <c r="S36">
        <v>99.19</v>
      </c>
      <c r="T36">
        <v>7.55</v>
      </c>
      <c r="U36" t="s">
        <v>300</v>
      </c>
      <c r="V36">
        <v>0</v>
      </c>
      <c r="W36" t="s">
        <v>300</v>
      </c>
      <c r="X36">
        <v>5.48</v>
      </c>
      <c r="Y36">
        <v>0.6</v>
      </c>
      <c r="Z36" t="s">
        <v>300</v>
      </c>
      <c r="AA36">
        <v>77.87</v>
      </c>
      <c r="AB36" t="s">
        <v>300</v>
      </c>
      <c r="AC36">
        <v>1.4</v>
      </c>
      <c r="AD36" t="s">
        <v>300</v>
      </c>
      <c r="AE36">
        <v>5.82</v>
      </c>
      <c r="AF36">
        <v>0.46</v>
      </c>
      <c r="AG36">
        <v>0</v>
      </c>
      <c r="AH36">
        <v>0.23</v>
      </c>
      <c r="AI36" t="s">
        <v>300</v>
      </c>
      <c r="AJ36" t="s">
        <v>300</v>
      </c>
      <c r="AK36" t="s">
        <v>300</v>
      </c>
      <c r="AL36" t="s">
        <v>300</v>
      </c>
      <c r="AM36" t="s">
        <v>300</v>
      </c>
      <c r="AN36" t="s">
        <v>300</v>
      </c>
      <c r="AO36" t="s">
        <v>300</v>
      </c>
      <c r="AP36" t="s">
        <v>300</v>
      </c>
      <c r="AQ36">
        <f t="shared" si="11"/>
        <v>91.240000000000009</v>
      </c>
      <c r="AR36">
        <f t="shared" si="12"/>
        <v>1.06</v>
      </c>
      <c r="AS36">
        <f t="shared" si="13"/>
        <v>5.7100000000000009</v>
      </c>
      <c r="AT36">
        <f t="shared" si="14"/>
        <v>0</v>
      </c>
      <c r="AU36">
        <f t="shared" si="15"/>
        <v>1.4</v>
      </c>
      <c r="AV36">
        <f t="shared" si="16"/>
        <v>0.58999999999997499</v>
      </c>
      <c r="AW36">
        <f t="shared" si="17"/>
        <v>0.59000000000000341</v>
      </c>
      <c r="AX36" s="14">
        <f t="shared" si="21"/>
        <v>45.62</v>
      </c>
      <c r="AY36" s="14">
        <f t="shared" si="22"/>
        <v>0.53</v>
      </c>
      <c r="AZ36" s="14">
        <f t="shared" si="22"/>
        <v>2.8550000000000004</v>
      </c>
      <c r="BA36" s="14">
        <f t="shared" si="19"/>
        <v>0</v>
      </c>
      <c r="BB36" s="14">
        <f t="shared" si="33"/>
        <v>0.7</v>
      </c>
      <c r="BC36" s="14">
        <f t="shared" si="34"/>
        <v>0.29499999999998749</v>
      </c>
      <c r="BD36" s="13">
        <f t="shared" si="35"/>
        <v>6.8484744E-2</v>
      </c>
      <c r="BE36" s="13">
        <f t="shared" si="36"/>
        <v>7.9563600000000006E-4</v>
      </c>
      <c r="BF36" s="13">
        <f t="shared" si="37"/>
        <v>4.2859260000000007E-3</v>
      </c>
      <c r="BG36" s="13">
        <f t="shared" si="38"/>
        <v>0</v>
      </c>
      <c r="BH36" s="13">
        <f t="shared" si="39"/>
        <v>1.0508399999999999E-3</v>
      </c>
      <c r="BI36" s="13">
        <f t="shared" si="40"/>
        <v>4.4285399999998126E-4</v>
      </c>
      <c r="BJ36" s="13">
        <f t="shared" si="41"/>
        <v>7.5059999999999974E-2</v>
      </c>
      <c r="BK36" s="13">
        <f t="shared" si="42"/>
        <v>7.5060000000000002E-2</v>
      </c>
    </row>
    <row r="37" spans="1:63" hidden="1" x14ac:dyDescent="0.35">
      <c r="A37">
        <v>46022</v>
      </c>
      <c r="B37" t="str">
        <f>_xlfn.XLOOKUP(C37,'Production Costs Co Product'!B:B,'Production Costs Co Product'!D:D,"Not found")</f>
        <v>Cuba</v>
      </c>
      <c r="C37" t="s">
        <v>135</v>
      </c>
      <c r="D37" s="13">
        <f>_xlfn.XLOOKUP(C37,'Production Costs Co Product'!B:B,'Production Costs Co Product'!J:J,"Not found")</f>
        <v>3.444</v>
      </c>
      <c r="E37" t="s">
        <v>136</v>
      </c>
      <c r="F37" t="s">
        <v>240</v>
      </c>
      <c r="G37">
        <v>4502042</v>
      </c>
      <c r="H37">
        <v>50</v>
      </c>
      <c r="I37" t="s">
        <v>298</v>
      </c>
      <c r="J37" t="s">
        <v>137</v>
      </c>
      <c r="L37" t="s">
        <v>305</v>
      </c>
      <c r="M37" t="s">
        <v>305</v>
      </c>
      <c r="N37" t="s">
        <v>306</v>
      </c>
      <c r="O37" t="s">
        <v>305</v>
      </c>
      <c r="P37" t="s">
        <v>305</v>
      </c>
      <c r="Q37" t="s">
        <v>300</v>
      </c>
      <c r="R37" t="s">
        <v>296</v>
      </c>
      <c r="S37" t="s">
        <v>300</v>
      </c>
      <c r="T37" t="s">
        <v>300</v>
      </c>
      <c r="U37" t="s">
        <v>300</v>
      </c>
      <c r="V37" t="s">
        <v>300</v>
      </c>
      <c r="W37" t="s">
        <v>300</v>
      </c>
      <c r="X37" t="s">
        <v>300</v>
      </c>
      <c r="Y37" t="s">
        <v>300</v>
      </c>
      <c r="Z37" t="s">
        <v>300</v>
      </c>
      <c r="AA37" t="s">
        <v>300</v>
      </c>
      <c r="AB37" t="s">
        <v>300</v>
      </c>
      <c r="AC37" t="s">
        <v>300</v>
      </c>
      <c r="AD37" t="s">
        <v>300</v>
      </c>
      <c r="AE37" t="s">
        <v>300</v>
      </c>
      <c r="AF37" t="s">
        <v>300</v>
      </c>
      <c r="AG37" t="s">
        <v>300</v>
      </c>
      <c r="AH37" t="s">
        <v>300</v>
      </c>
      <c r="AI37" t="s">
        <v>300</v>
      </c>
      <c r="AJ37" t="s">
        <v>300</v>
      </c>
      <c r="AK37" t="s">
        <v>300</v>
      </c>
      <c r="AL37" t="s">
        <v>300</v>
      </c>
      <c r="AM37" t="s">
        <v>300</v>
      </c>
      <c r="AN37" t="s">
        <v>300</v>
      </c>
      <c r="AO37" t="s">
        <v>300</v>
      </c>
      <c r="AP37" t="s">
        <v>300</v>
      </c>
      <c r="AQ37">
        <f t="shared" si="11"/>
        <v>0</v>
      </c>
      <c r="AR37">
        <f t="shared" si="12"/>
        <v>0</v>
      </c>
      <c r="AS37">
        <f t="shared" si="13"/>
        <v>0</v>
      </c>
      <c r="AT37">
        <f t="shared" si="14"/>
        <v>0</v>
      </c>
      <c r="AU37" t="str">
        <f t="shared" si="15"/>
        <v>NA</v>
      </c>
      <c r="AV37">
        <f t="shared" si="16"/>
        <v>100</v>
      </c>
      <c r="AW37">
        <f t="shared" si="17"/>
        <v>100</v>
      </c>
      <c r="AX37" s="14">
        <f t="shared" si="21"/>
        <v>0</v>
      </c>
      <c r="AY37" s="14">
        <f t="shared" si="22"/>
        <v>0</v>
      </c>
      <c r="AZ37" s="14">
        <f t="shared" si="22"/>
        <v>0</v>
      </c>
      <c r="BA37" s="14">
        <f t="shared" si="19"/>
        <v>0</v>
      </c>
      <c r="BB37" s="14">
        <f t="shared" si="33"/>
        <v>0</v>
      </c>
      <c r="BC37" s="14">
        <f t="shared" si="34"/>
        <v>50</v>
      </c>
      <c r="BD37" s="13">
        <f t="shared" si="35"/>
        <v>0</v>
      </c>
      <c r="BE37" s="13">
        <f t="shared" si="36"/>
        <v>0</v>
      </c>
      <c r="BF37" s="13">
        <f t="shared" si="37"/>
        <v>0</v>
      </c>
      <c r="BG37" s="13">
        <f t="shared" si="38"/>
        <v>0</v>
      </c>
      <c r="BH37" s="13">
        <f t="shared" si="39"/>
        <v>0</v>
      </c>
      <c r="BI37" s="13">
        <f t="shared" si="40"/>
        <v>1.722</v>
      </c>
      <c r="BJ37" s="13">
        <f t="shared" si="41"/>
        <v>1.722</v>
      </c>
      <c r="BK37" s="13">
        <f t="shared" si="42"/>
        <v>1.722</v>
      </c>
    </row>
    <row r="38" spans="1:63" hidden="1" x14ac:dyDescent="0.35">
      <c r="A38">
        <v>46022</v>
      </c>
      <c r="B38" t="str">
        <f>_xlfn.XLOOKUP(C38,'Production Costs Co Product'!B:B,'Production Costs Co Product'!D:D,"Not found")</f>
        <v>Cuba</v>
      </c>
      <c r="C38" t="s">
        <v>135</v>
      </c>
      <c r="D38" s="13">
        <f>_xlfn.XLOOKUP(C38,'Production Costs Co Product'!B:B,'Production Costs Co Product'!J:J,"Not found")</f>
        <v>3.444</v>
      </c>
      <c r="E38" t="s">
        <v>136</v>
      </c>
      <c r="F38" t="s">
        <v>241</v>
      </c>
      <c r="G38">
        <v>4102700</v>
      </c>
      <c r="H38">
        <v>50</v>
      </c>
      <c r="I38" t="s">
        <v>296</v>
      </c>
      <c r="J38" t="s">
        <v>80</v>
      </c>
      <c r="L38" t="s">
        <v>305</v>
      </c>
      <c r="M38" t="s">
        <v>305</v>
      </c>
      <c r="N38" t="s">
        <v>306</v>
      </c>
      <c r="O38" t="s">
        <v>305</v>
      </c>
      <c r="P38" t="s">
        <v>305</v>
      </c>
      <c r="Q38" t="s">
        <v>300</v>
      </c>
      <c r="R38" t="s">
        <v>296</v>
      </c>
      <c r="S38">
        <v>0.9</v>
      </c>
      <c r="T38" t="s">
        <v>300</v>
      </c>
      <c r="U38" t="s">
        <v>300</v>
      </c>
      <c r="V38" t="s">
        <v>300</v>
      </c>
      <c r="W38" t="s">
        <v>300</v>
      </c>
      <c r="X38" t="s">
        <v>300</v>
      </c>
      <c r="Y38" t="s">
        <v>300</v>
      </c>
      <c r="Z38" t="s">
        <v>300</v>
      </c>
      <c r="AA38">
        <v>0.9</v>
      </c>
      <c r="AB38" t="s">
        <v>300</v>
      </c>
      <c r="AC38" t="s">
        <v>300</v>
      </c>
      <c r="AD38" t="s">
        <v>300</v>
      </c>
      <c r="AE38" t="s">
        <v>300</v>
      </c>
      <c r="AF38" t="s">
        <v>300</v>
      </c>
      <c r="AG38" t="s">
        <v>300</v>
      </c>
      <c r="AH38">
        <v>0.24</v>
      </c>
      <c r="AI38">
        <v>13.43</v>
      </c>
      <c r="AJ38" t="s">
        <v>300</v>
      </c>
      <c r="AK38" t="s">
        <v>300</v>
      </c>
      <c r="AL38" t="s">
        <v>300</v>
      </c>
      <c r="AM38" t="s">
        <v>300</v>
      </c>
      <c r="AN38" t="s">
        <v>300</v>
      </c>
      <c r="AO38">
        <v>5.71</v>
      </c>
      <c r="AP38" t="s">
        <v>300</v>
      </c>
      <c r="AQ38">
        <f t="shared" si="11"/>
        <v>14.33</v>
      </c>
      <c r="AR38">
        <f t="shared" si="12"/>
        <v>0</v>
      </c>
      <c r="AS38">
        <f t="shared" si="13"/>
        <v>0.24</v>
      </c>
      <c r="AT38">
        <f t="shared" si="14"/>
        <v>5.71</v>
      </c>
      <c r="AU38" t="str">
        <f t="shared" si="15"/>
        <v>NA</v>
      </c>
      <c r="AV38">
        <f t="shared" si="16"/>
        <v>79.72</v>
      </c>
      <c r="AW38">
        <f t="shared" si="17"/>
        <v>79.72</v>
      </c>
      <c r="AX38" s="14">
        <f t="shared" si="21"/>
        <v>7.165</v>
      </c>
      <c r="AY38" s="14">
        <f t="shared" si="22"/>
        <v>0</v>
      </c>
      <c r="AZ38" s="14">
        <f t="shared" si="22"/>
        <v>0.12</v>
      </c>
      <c r="BA38" s="14">
        <f t="shared" si="19"/>
        <v>2.855</v>
      </c>
      <c r="BB38" s="14">
        <f t="shared" si="33"/>
        <v>0</v>
      </c>
      <c r="BC38" s="14">
        <f t="shared" si="34"/>
        <v>39.86</v>
      </c>
      <c r="BD38" s="13">
        <f t="shared" si="35"/>
        <v>0.24676260000000003</v>
      </c>
      <c r="BE38" s="13">
        <f t="shared" si="36"/>
        <v>0</v>
      </c>
      <c r="BF38" s="13">
        <f t="shared" si="37"/>
        <v>4.1327999999999998E-3</v>
      </c>
      <c r="BG38" s="13">
        <f t="shared" si="38"/>
        <v>9.8326199999999989E-2</v>
      </c>
      <c r="BH38" s="13">
        <f t="shared" si="39"/>
        <v>0</v>
      </c>
      <c r="BI38" s="13">
        <f t="shared" si="40"/>
        <v>1.3727784000000001</v>
      </c>
      <c r="BJ38" s="13">
        <f t="shared" si="41"/>
        <v>1.722</v>
      </c>
      <c r="BK38" s="13">
        <f t="shared" si="42"/>
        <v>1.722</v>
      </c>
    </row>
    <row r="39" spans="1:63" hidden="1" x14ac:dyDescent="0.35">
      <c r="A39">
        <v>46022</v>
      </c>
      <c r="B39" t="str">
        <f>_xlfn.XLOOKUP(C39,'Production Costs Co Product'!B:B,'Production Costs Co Product'!D:D,"Not found")</f>
        <v>Zambia</v>
      </c>
      <c r="C39" t="s">
        <v>68</v>
      </c>
      <c r="D39" s="13">
        <f>_xlfn.XLOOKUP(C39,'Production Costs Co Product'!B:B,'Production Costs Co Product'!J:J,"Not found")</f>
        <v>6.3377000000000003E-2</v>
      </c>
      <c r="E39" t="s">
        <v>69</v>
      </c>
      <c r="F39" t="s">
        <v>242</v>
      </c>
      <c r="G39">
        <v>4616696</v>
      </c>
      <c r="H39">
        <v>68</v>
      </c>
      <c r="I39" t="s">
        <v>298</v>
      </c>
      <c r="J39" t="s">
        <v>313</v>
      </c>
      <c r="L39" t="s">
        <v>305</v>
      </c>
      <c r="M39" t="s">
        <v>305</v>
      </c>
      <c r="N39" t="s">
        <v>306</v>
      </c>
      <c r="O39" t="s">
        <v>305</v>
      </c>
      <c r="P39" t="s">
        <v>305</v>
      </c>
      <c r="Q39" t="s">
        <v>300</v>
      </c>
      <c r="R39" t="s">
        <v>296</v>
      </c>
      <c r="S39" t="s">
        <v>300</v>
      </c>
      <c r="T39" t="s">
        <v>300</v>
      </c>
      <c r="U39" t="s">
        <v>300</v>
      </c>
      <c r="V39" t="s">
        <v>300</v>
      </c>
      <c r="W39" t="s">
        <v>300</v>
      </c>
      <c r="X39" t="s">
        <v>300</v>
      </c>
      <c r="Y39" t="s">
        <v>300</v>
      </c>
      <c r="Z39" t="s">
        <v>300</v>
      </c>
      <c r="AA39" t="s">
        <v>300</v>
      </c>
      <c r="AB39" t="s">
        <v>300</v>
      </c>
      <c r="AC39" t="s">
        <v>300</v>
      </c>
      <c r="AD39" t="s">
        <v>300</v>
      </c>
      <c r="AE39" t="s">
        <v>300</v>
      </c>
      <c r="AF39" t="s">
        <v>300</v>
      </c>
      <c r="AG39" t="s">
        <v>300</v>
      </c>
      <c r="AH39" t="s">
        <v>300</v>
      </c>
      <c r="AI39" t="s">
        <v>300</v>
      </c>
      <c r="AJ39" t="s">
        <v>300</v>
      </c>
      <c r="AK39" t="s">
        <v>300</v>
      </c>
      <c r="AL39" t="s">
        <v>300</v>
      </c>
      <c r="AM39" t="s">
        <v>300</v>
      </c>
      <c r="AN39" t="s">
        <v>300</v>
      </c>
      <c r="AO39" t="s">
        <v>300</v>
      </c>
      <c r="AP39" t="s">
        <v>300</v>
      </c>
      <c r="AQ39">
        <f t="shared" si="11"/>
        <v>0</v>
      </c>
      <c r="AR39">
        <f t="shared" si="12"/>
        <v>0</v>
      </c>
      <c r="AS39">
        <f t="shared" si="13"/>
        <v>0</v>
      </c>
      <c r="AT39">
        <f t="shared" si="14"/>
        <v>0</v>
      </c>
      <c r="AU39" t="str">
        <f t="shared" si="15"/>
        <v>NA</v>
      </c>
      <c r="AV39">
        <f t="shared" si="16"/>
        <v>100</v>
      </c>
      <c r="AW39">
        <f t="shared" si="17"/>
        <v>100</v>
      </c>
      <c r="AX39" s="14">
        <f t="shared" si="21"/>
        <v>0</v>
      </c>
      <c r="AY39" s="14">
        <f t="shared" si="22"/>
        <v>0</v>
      </c>
      <c r="AZ39" s="14">
        <f t="shared" si="22"/>
        <v>0</v>
      </c>
      <c r="BA39" s="14">
        <f t="shared" si="22"/>
        <v>0</v>
      </c>
      <c r="BB39" s="14">
        <f t="shared" si="33"/>
        <v>0</v>
      </c>
      <c r="BC39" s="14">
        <f t="shared" si="34"/>
        <v>68</v>
      </c>
      <c r="BD39" s="13">
        <f t="shared" si="35"/>
        <v>0</v>
      </c>
      <c r="BE39" s="13">
        <f t="shared" si="36"/>
        <v>0</v>
      </c>
      <c r="BF39" s="13">
        <f t="shared" si="37"/>
        <v>0</v>
      </c>
      <c r="BG39" s="13">
        <f t="shared" si="38"/>
        <v>0</v>
      </c>
      <c r="BH39" s="13">
        <f t="shared" si="39"/>
        <v>0</v>
      </c>
      <c r="BI39" s="13">
        <f t="shared" si="40"/>
        <v>4.3096360000000007E-2</v>
      </c>
      <c r="BJ39" s="13">
        <f t="shared" si="41"/>
        <v>4.3096360000000007E-2</v>
      </c>
      <c r="BK39" s="13">
        <f t="shared" si="42"/>
        <v>4.309636E-2</v>
      </c>
    </row>
    <row r="40" spans="1:63" hidden="1" x14ac:dyDescent="0.35">
      <c r="A40">
        <v>46022</v>
      </c>
      <c r="B40" t="str">
        <f>_xlfn.XLOOKUP(C40,'Production Costs Co Product'!B:B,'Production Costs Co Product'!D:D,"Not found")</f>
        <v>Zambia</v>
      </c>
      <c r="C40" t="s">
        <v>68</v>
      </c>
      <c r="D40" s="13">
        <f>_xlfn.XLOOKUP(C40,'Production Costs Co Product'!B:B,'Production Costs Co Product'!J:J,"Not found")</f>
        <v>6.3377000000000003E-2</v>
      </c>
      <c r="E40" t="s">
        <v>69</v>
      </c>
      <c r="F40" t="s">
        <v>243</v>
      </c>
      <c r="G40">
        <v>4361447</v>
      </c>
      <c r="H40">
        <v>32</v>
      </c>
      <c r="I40" t="s">
        <v>296</v>
      </c>
      <c r="J40" t="s">
        <v>326</v>
      </c>
      <c r="L40" t="s">
        <v>307</v>
      </c>
      <c r="M40" t="s">
        <v>327</v>
      </c>
      <c r="N40" t="s">
        <v>298</v>
      </c>
      <c r="O40" t="s">
        <v>319</v>
      </c>
      <c r="P40" t="s">
        <v>50</v>
      </c>
      <c r="Q40">
        <v>8393263</v>
      </c>
      <c r="R40" t="s">
        <v>303</v>
      </c>
      <c r="S40">
        <v>11.69</v>
      </c>
      <c r="T40" t="s">
        <v>300</v>
      </c>
      <c r="U40" t="s">
        <v>300</v>
      </c>
      <c r="V40" t="s">
        <v>300</v>
      </c>
      <c r="W40" t="s">
        <v>300</v>
      </c>
      <c r="X40" t="s">
        <v>300</v>
      </c>
      <c r="Y40" t="s">
        <v>300</v>
      </c>
      <c r="Z40" t="s">
        <v>300</v>
      </c>
      <c r="AA40">
        <v>11.69</v>
      </c>
      <c r="AB40" t="s">
        <v>300</v>
      </c>
      <c r="AC40" t="s">
        <v>300</v>
      </c>
      <c r="AD40" t="s">
        <v>300</v>
      </c>
      <c r="AE40" t="s">
        <v>300</v>
      </c>
      <c r="AF40" t="s">
        <v>300</v>
      </c>
      <c r="AG40" t="s">
        <v>300</v>
      </c>
      <c r="AH40" t="s">
        <v>300</v>
      </c>
      <c r="AI40" t="s">
        <v>300</v>
      </c>
      <c r="AJ40" t="s">
        <v>300</v>
      </c>
      <c r="AK40" t="s">
        <v>300</v>
      </c>
      <c r="AL40" t="s">
        <v>300</v>
      </c>
      <c r="AM40" t="s">
        <v>300</v>
      </c>
      <c r="AN40" t="s">
        <v>300</v>
      </c>
      <c r="AO40">
        <v>66.12</v>
      </c>
      <c r="AP40" t="s">
        <v>300</v>
      </c>
      <c r="AQ40">
        <f t="shared" si="11"/>
        <v>11.69</v>
      </c>
      <c r="AR40">
        <f t="shared" si="12"/>
        <v>0</v>
      </c>
      <c r="AS40">
        <f t="shared" si="13"/>
        <v>0</v>
      </c>
      <c r="AT40">
        <f t="shared" si="14"/>
        <v>66.12</v>
      </c>
      <c r="AU40" t="str">
        <f t="shared" si="15"/>
        <v>NA</v>
      </c>
      <c r="AV40">
        <f t="shared" si="16"/>
        <v>22.189999999999998</v>
      </c>
      <c r="AW40">
        <f t="shared" si="17"/>
        <v>22.189999999999998</v>
      </c>
      <c r="AX40" s="14">
        <f t="shared" si="21"/>
        <v>3.7407999999999997</v>
      </c>
      <c r="AY40" s="14">
        <f t="shared" si="22"/>
        <v>0</v>
      </c>
      <c r="AZ40" s="14">
        <f t="shared" si="22"/>
        <v>0</v>
      </c>
      <c r="BA40" s="14">
        <f t="shared" si="22"/>
        <v>21.1584</v>
      </c>
      <c r="BB40" s="14">
        <f t="shared" si="33"/>
        <v>0</v>
      </c>
      <c r="BC40" s="14">
        <f t="shared" si="34"/>
        <v>7.1007999999999996</v>
      </c>
      <c r="BD40" s="13">
        <f t="shared" si="35"/>
        <v>2.3708068159999998E-3</v>
      </c>
      <c r="BE40" s="13">
        <f t="shared" si="36"/>
        <v>0</v>
      </c>
      <c r="BF40" s="13">
        <f t="shared" si="37"/>
        <v>0</v>
      </c>
      <c r="BG40" s="13">
        <f t="shared" si="38"/>
        <v>1.3409559168000001E-2</v>
      </c>
      <c r="BH40" s="13">
        <f t="shared" si="39"/>
        <v>0</v>
      </c>
      <c r="BI40" s="13">
        <f t="shared" si="40"/>
        <v>4.5002740160000002E-3</v>
      </c>
      <c r="BJ40" s="13">
        <f t="shared" si="41"/>
        <v>2.0280640000000003E-2</v>
      </c>
      <c r="BK40" s="13">
        <f t="shared" si="42"/>
        <v>2.0280640000000003E-2</v>
      </c>
    </row>
    <row r="41" spans="1:63" hidden="1" x14ac:dyDescent="0.35">
      <c r="A41">
        <v>46022</v>
      </c>
      <c r="B41" t="str">
        <f>_xlfn.XLOOKUP(C41,'Production Costs Co Product'!B:B,'Production Costs Co Product'!D:D,"Not found")</f>
        <v>Australia</v>
      </c>
      <c r="C41" t="s">
        <v>123</v>
      </c>
      <c r="D41" s="13">
        <f>_xlfn.XLOOKUP(C41,'Production Costs Co Product'!B:B,'Production Costs Co Product'!J:J,"Not found")</f>
        <v>2.2997700000000001</v>
      </c>
      <c r="E41" t="s">
        <v>124</v>
      </c>
      <c r="F41" t="s">
        <v>233</v>
      </c>
      <c r="G41">
        <v>4113732</v>
      </c>
      <c r="H41">
        <v>100</v>
      </c>
      <c r="I41" t="s">
        <v>296</v>
      </c>
      <c r="J41" t="s">
        <v>320</v>
      </c>
      <c r="L41" t="s">
        <v>305</v>
      </c>
      <c r="M41" t="s">
        <v>305</v>
      </c>
      <c r="N41" t="s">
        <v>306</v>
      </c>
      <c r="O41" t="s">
        <v>305</v>
      </c>
      <c r="P41" t="s">
        <v>305</v>
      </c>
      <c r="Q41" t="s">
        <v>300</v>
      </c>
      <c r="R41" t="s">
        <v>296</v>
      </c>
      <c r="S41">
        <v>61.77</v>
      </c>
      <c r="T41">
        <v>3.68</v>
      </c>
      <c r="U41">
        <v>1.77</v>
      </c>
      <c r="V41">
        <v>0.03</v>
      </c>
      <c r="W41" t="s">
        <v>300</v>
      </c>
      <c r="X41">
        <v>0</v>
      </c>
      <c r="Y41">
        <v>0.28999999999999998</v>
      </c>
      <c r="Z41">
        <v>0.08</v>
      </c>
      <c r="AA41">
        <v>54.18</v>
      </c>
      <c r="AB41" t="s">
        <v>300</v>
      </c>
      <c r="AC41">
        <v>0.15</v>
      </c>
      <c r="AD41" t="s">
        <v>300</v>
      </c>
      <c r="AE41">
        <v>0.25</v>
      </c>
      <c r="AF41">
        <v>1.1100000000000001</v>
      </c>
      <c r="AG41">
        <v>0.23</v>
      </c>
      <c r="AH41">
        <v>12.83</v>
      </c>
      <c r="AI41" t="s">
        <v>300</v>
      </c>
      <c r="AJ41">
        <v>8.93</v>
      </c>
      <c r="AK41" t="s">
        <v>300</v>
      </c>
      <c r="AL41" t="s">
        <v>300</v>
      </c>
      <c r="AM41">
        <v>0.19</v>
      </c>
      <c r="AN41">
        <v>0.05</v>
      </c>
      <c r="AO41">
        <v>0.02</v>
      </c>
      <c r="AP41" t="s">
        <v>300</v>
      </c>
      <c r="AQ41">
        <f t="shared" si="11"/>
        <v>67.38</v>
      </c>
      <c r="AR41">
        <f t="shared" si="12"/>
        <v>1.4500000000000002</v>
      </c>
      <c r="AS41">
        <f t="shared" si="13"/>
        <v>12.83</v>
      </c>
      <c r="AT41">
        <f t="shared" si="14"/>
        <v>1.98</v>
      </c>
      <c r="AU41">
        <f t="shared" si="15"/>
        <v>0.15</v>
      </c>
      <c r="AV41">
        <f t="shared" si="16"/>
        <v>16.209999999999994</v>
      </c>
      <c r="AW41">
        <f t="shared" si="17"/>
        <v>16.210000000000008</v>
      </c>
      <c r="AX41" s="14">
        <f t="shared" si="21"/>
        <v>67.38</v>
      </c>
      <c r="AY41" s="14">
        <f t="shared" si="22"/>
        <v>1.4500000000000002</v>
      </c>
      <c r="AZ41" s="14">
        <f t="shared" si="22"/>
        <v>12.83</v>
      </c>
      <c r="BA41" s="14">
        <f t="shared" si="22"/>
        <v>1.98</v>
      </c>
      <c r="BB41" s="14">
        <f t="shared" si="33"/>
        <v>0.15</v>
      </c>
      <c r="BC41" s="14">
        <f t="shared" si="34"/>
        <v>16.209999999999994</v>
      </c>
      <c r="BD41" s="13">
        <f t="shared" si="35"/>
        <v>1.5495850259999999</v>
      </c>
      <c r="BE41" s="13">
        <f t="shared" si="36"/>
        <v>3.3346665000000004E-2</v>
      </c>
      <c r="BF41" s="13">
        <f t="shared" si="37"/>
        <v>0.29506049099999998</v>
      </c>
      <c r="BG41" s="13">
        <f t="shared" si="38"/>
        <v>4.5535446E-2</v>
      </c>
      <c r="BH41" s="13">
        <f t="shared" si="39"/>
        <v>3.4496550000000003E-3</v>
      </c>
      <c r="BI41" s="13">
        <f t="shared" si="40"/>
        <v>0.37279271699999988</v>
      </c>
      <c r="BJ41" s="13">
        <f t="shared" si="41"/>
        <v>2.2997699999999996</v>
      </c>
      <c r="BK41" s="13">
        <f t="shared" si="42"/>
        <v>2.2997700000000001</v>
      </c>
    </row>
    <row r="42" spans="1:63" hidden="1" x14ac:dyDescent="0.35">
      <c r="A42">
        <v>46022</v>
      </c>
      <c r="B42" t="str">
        <f>_xlfn.XLOOKUP(C42,'Production Costs Co Product'!B:B,'Production Costs Co Product'!D:D,"Not found")</f>
        <v>Dem. Rep. Congo</v>
      </c>
      <c r="C42" t="s">
        <v>71</v>
      </c>
      <c r="D42" s="13">
        <f>_xlfn.XLOOKUP(C42,'Production Costs Co Product'!B:B,'Production Costs Co Product'!J:J,"Not found")</f>
        <v>6.0682499999999999</v>
      </c>
      <c r="E42" t="s">
        <v>72</v>
      </c>
      <c r="F42" t="s">
        <v>56</v>
      </c>
      <c r="G42">
        <v>4350734</v>
      </c>
      <c r="H42">
        <v>5</v>
      </c>
      <c r="I42" t="s">
        <v>303</v>
      </c>
      <c r="J42" t="s">
        <v>56</v>
      </c>
      <c r="L42" t="s">
        <v>305</v>
      </c>
      <c r="M42" t="s">
        <v>305</v>
      </c>
      <c r="N42" t="s">
        <v>306</v>
      </c>
      <c r="O42" t="s">
        <v>305</v>
      </c>
      <c r="P42" t="s">
        <v>305</v>
      </c>
      <c r="Q42" t="s">
        <v>300</v>
      </c>
      <c r="R42" t="s">
        <v>296</v>
      </c>
      <c r="S42" t="s">
        <v>300</v>
      </c>
      <c r="T42" t="s">
        <v>300</v>
      </c>
      <c r="U42" t="s">
        <v>300</v>
      </c>
      <c r="V42" t="s">
        <v>300</v>
      </c>
      <c r="W42" t="s">
        <v>300</v>
      </c>
      <c r="X42" t="s">
        <v>300</v>
      </c>
      <c r="Y42" t="s">
        <v>300</v>
      </c>
      <c r="Z42" t="s">
        <v>300</v>
      </c>
      <c r="AA42" t="s">
        <v>300</v>
      </c>
      <c r="AB42" t="s">
        <v>300</v>
      </c>
      <c r="AC42" t="s">
        <v>300</v>
      </c>
      <c r="AD42" t="s">
        <v>300</v>
      </c>
      <c r="AE42" t="s">
        <v>300</v>
      </c>
      <c r="AF42" t="s">
        <v>300</v>
      </c>
      <c r="AG42" t="s">
        <v>300</v>
      </c>
      <c r="AH42" t="s">
        <v>300</v>
      </c>
      <c r="AI42" t="s">
        <v>300</v>
      </c>
      <c r="AJ42" t="s">
        <v>300</v>
      </c>
      <c r="AK42" t="s">
        <v>300</v>
      </c>
      <c r="AL42" t="s">
        <v>300</v>
      </c>
      <c r="AM42" t="s">
        <v>300</v>
      </c>
      <c r="AN42" t="s">
        <v>300</v>
      </c>
      <c r="AO42" t="s">
        <v>300</v>
      </c>
      <c r="AP42" t="s">
        <v>300</v>
      </c>
      <c r="AQ42">
        <f t="shared" si="11"/>
        <v>0</v>
      </c>
      <c r="AR42">
        <f t="shared" si="12"/>
        <v>0</v>
      </c>
      <c r="AS42">
        <f t="shared" si="13"/>
        <v>0</v>
      </c>
      <c r="AT42">
        <f t="shared" si="14"/>
        <v>0</v>
      </c>
      <c r="AU42" t="str">
        <f t="shared" si="15"/>
        <v>NA</v>
      </c>
      <c r="AV42">
        <f t="shared" si="16"/>
        <v>100</v>
      </c>
      <c r="AW42">
        <f t="shared" si="17"/>
        <v>100</v>
      </c>
      <c r="AX42" s="14">
        <f t="shared" si="21"/>
        <v>0</v>
      </c>
      <c r="AY42" s="14">
        <f t="shared" si="22"/>
        <v>0</v>
      </c>
      <c r="AZ42" s="14">
        <f t="shared" si="22"/>
        <v>0</v>
      </c>
      <c r="BA42" s="14">
        <f t="shared" si="22"/>
        <v>0</v>
      </c>
      <c r="BB42" s="14">
        <f t="shared" si="33"/>
        <v>0</v>
      </c>
      <c r="BC42" s="14">
        <f t="shared" si="34"/>
        <v>5</v>
      </c>
      <c r="BD42" s="13">
        <f t="shared" si="35"/>
        <v>0</v>
      </c>
      <c r="BE42" s="13">
        <f t="shared" si="36"/>
        <v>0</v>
      </c>
      <c r="BF42" s="13">
        <f t="shared" si="37"/>
        <v>0</v>
      </c>
      <c r="BG42" s="13">
        <f t="shared" si="38"/>
        <v>0</v>
      </c>
      <c r="BH42" s="13">
        <f t="shared" si="39"/>
        <v>0</v>
      </c>
      <c r="BI42" s="13">
        <f t="shared" si="40"/>
        <v>0.30341250000000003</v>
      </c>
      <c r="BJ42" s="13">
        <f t="shared" si="41"/>
        <v>0.30341250000000003</v>
      </c>
      <c r="BK42" s="13">
        <f t="shared" si="42"/>
        <v>0.30341249999999997</v>
      </c>
    </row>
    <row r="43" spans="1:63" hidden="1" x14ac:dyDescent="0.35">
      <c r="A43">
        <v>46022</v>
      </c>
      <c r="B43" t="str">
        <f>_xlfn.XLOOKUP(C43,'Production Costs Co Product'!B:B,'Production Costs Co Product'!D:D,"Not found")</f>
        <v>Dem. Rep. Congo</v>
      </c>
      <c r="C43" t="s">
        <v>71</v>
      </c>
      <c r="D43" s="13">
        <f>_xlfn.XLOOKUP(C43,'Production Costs Co Product'!B:B,'Production Costs Co Product'!J:J,"Not found")</f>
        <v>6.0682499999999999</v>
      </c>
      <c r="E43" t="s">
        <v>72</v>
      </c>
      <c r="F43" t="s">
        <v>223</v>
      </c>
      <c r="G43">
        <v>4350360</v>
      </c>
      <c r="H43">
        <v>25</v>
      </c>
      <c r="I43" t="s">
        <v>298</v>
      </c>
      <c r="J43" t="s">
        <v>56</v>
      </c>
      <c r="L43" t="s">
        <v>56</v>
      </c>
      <c r="M43" t="s">
        <v>312</v>
      </c>
      <c r="N43" t="s">
        <v>303</v>
      </c>
      <c r="O43" t="s">
        <v>56</v>
      </c>
      <c r="P43" t="s">
        <v>56</v>
      </c>
      <c r="Q43">
        <v>4350734</v>
      </c>
      <c r="R43" t="s">
        <v>303</v>
      </c>
      <c r="S43" t="s">
        <v>300</v>
      </c>
      <c r="T43" t="s">
        <v>300</v>
      </c>
      <c r="U43" t="s">
        <v>300</v>
      </c>
      <c r="V43" t="s">
        <v>300</v>
      </c>
      <c r="W43" t="s">
        <v>300</v>
      </c>
      <c r="X43" t="s">
        <v>300</v>
      </c>
      <c r="Y43" t="s">
        <v>300</v>
      </c>
      <c r="Z43" t="s">
        <v>300</v>
      </c>
      <c r="AA43" t="s">
        <v>300</v>
      </c>
      <c r="AB43" t="s">
        <v>300</v>
      </c>
      <c r="AC43" t="s">
        <v>300</v>
      </c>
      <c r="AD43" t="s">
        <v>300</v>
      </c>
      <c r="AE43" t="s">
        <v>300</v>
      </c>
      <c r="AF43" t="s">
        <v>300</v>
      </c>
      <c r="AG43" t="s">
        <v>300</v>
      </c>
      <c r="AH43" t="s">
        <v>300</v>
      </c>
      <c r="AI43" t="s">
        <v>300</v>
      </c>
      <c r="AJ43" t="s">
        <v>300</v>
      </c>
      <c r="AK43" t="s">
        <v>300</v>
      </c>
      <c r="AL43" t="s">
        <v>300</v>
      </c>
      <c r="AM43" t="s">
        <v>300</v>
      </c>
      <c r="AN43" t="s">
        <v>300</v>
      </c>
      <c r="AO43" t="s">
        <v>300</v>
      </c>
      <c r="AP43" t="s">
        <v>300</v>
      </c>
      <c r="AQ43">
        <f t="shared" si="11"/>
        <v>0</v>
      </c>
      <c r="AR43">
        <f t="shared" si="12"/>
        <v>0</v>
      </c>
      <c r="AS43">
        <f t="shared" si="13"/>
        <v>0</v>
      </c>
      <c r="AT43">
        <f t="shared" si="14"/>
        <v>0</v>
      </c>
      <c r="AU43" t="str">
        <f t="shared" si="15"/>
        <v>NA</v>
      </c>
      <c r="AV43">
        <f t="shared" si="16"/>
        <v>100</v>
      </c>
      <c r="AW43">
        <f t="shared" si="17"/>
        <v>100</v>
      </c>
      <c r="AX43" s="14">
        <f t="shared" si="21"/>
        <v>0</v>
      </c>
      <c r="AY43" s="14">
        <f t="shared" si="22"/>
        <v>0</v>
      </c>
      <c r="AZ43" s="14">
        <f t="shared" si="22"/>
        <v>0</v>
      </c>
      <c r="BA43" s="14">
        <f t="shared" si="22"/>
        <v>0</v>
      </c>
      <c r="BB43" s="14">
        <f t="shared" si="33"/>
        <v>0</v>
      </c>
      <c r="BC43" s="14">
        <f t="shared" si="34"/>
        <v>25</v>
      </c>
      <c r="BD43" s="13">
        <f t="shared" si="35"/>
        <v>0</v>
      </c>
      <c r="BE43" s="13">
        <f t="shared" si="36"/>
        <v>0</v>
      </c>
      <c r="BF43" s="13">
        <f t="shared" si="37"/>
        <v>0</v>
      </c>
      <c r="BG43" s="13">
        <f t="shared" si="38"/>
        <v>0</v>
      </c>
      <c r="BH43" s="13">
        <f t="shared" si="39"/>
        <v>0</v>
      </c>
      <c r="BI43" s="13">
        <f t="shared" si="40"/>
        <v>1.5170625</v>
      </c>
      <c r="BJ43" s="13">
        <f t="shared" si="41"/>
        <v>1.5170625</v>
      </c>
      <c r="BK43" s="13">
        <f t="shared" si="42"/>
        <v>1.5170625000000002</v>
      </c>
    </row>
    <row r="44" spans="1:63" hidden="1" x14ac:dyDescent="0.35">
      <c r="A44">
        <v>46022</v>
      </c>
      <c r="B44" t="str">
        <f>_xlfn.XLOOKUP(C44,'Production Costs Co Product'!B:B,'Production Costs Co Product'!D:D,"Not found")</f>
        <v>Dem. Rep. Congo</v>
      </c>
      <c r="C44" t="s">
        <v>71</v>
      </c>
      <c r="D44" s="13">
        <f>_xlfn.XLOOKUP(C44,'Production Costs Co Product'!B:B,'Production Costs Co Product'!J:J,"Not found")</f>
        <v>6.0682499999999999</v>
      </c>
      <c r="E44" t="s">
        <v>72</v>
      </c>
      <c r="F44" t="s">
        <v>243</v>
      </c>
      <c r="G44">
        <v>4361447</v>
      </c>
      <c r="H44">
        <v>70</v>
      </c>
      <c r="I44" t="s">
        <v>296</v>
      </c>
      <c r="J44" t="s">
        <v>326</v>
      </c>
      <c r="L44" t="s">
        <v>307</v>
      </c>
      <c r="M44" t="s">
        <v>327</v>
      </c>
      <c r="N44" t="s">
        <v>298</v>
      </c>
      <c r="O44" t="s">
        <v>319</v>
      </c>
      <c r="P44" t="s">
        <v>50</v>
      </c>
      <c r="Q44">
        <v>8393263</v>
      </c>
      <c r="R44" t="s">
        <v>303</v>
      </c>
      <c r="S44">
        <v>11.69</v>
      </c>
      <c r="T44" t="s">
        <v>300</v>
      </c>
      <c r="U44" t="s">
        <v>300</v>
      </c>
      <c r="V44" t="s">
        <v>300</v>
      </c>
      <c r="W44" t="s">
        <v>300</v>
      </c>
      <c r="X44" t="s">
        <v>300</v>
      </c>
      <c r="Y44" t="s">
        <v>300</v>
      </c>
      <c r="Z44" t="s">
        <v>300</v>
      </c>
      <c r="AA44">
        <v>11.69</v>
      </c>
      <c r="AB44" t="s">
        <v>300</v>
      </c>
      <c r="AC44" t="s">
        <v>300</v>
      </c>
      <c r="AD44" t="s">
        <v>300</v>
      </c>
      <c r="AE44" t="s">
        <v>300</v>
      </c>
      <c r="AF44" t="s">
        <v>300</v>
      </c>
      <c r="AG44" t="s">
        <v>300</v>
      </c>
      <c r="AH44" t="s">
        <v>300</v>
      </c>
      <c r="AI44" t="s">
        <v>300</v>
      </c>
      <c r="AJ44" t="s">
        <v>300</v>
      </c>
      <c r="AK44" t="s">
        <v>300</v>
      </c>
      <c r="AL44" t="s">
        <v>300</v>
      </c>
      <c r="AM44" t="s">
        <v>300</v>
      </c>
      <c r="AN44" t="s">
        <v>300</v>
      </c>
      <c r="AO44">
        <v>66.12</v>
      </c>
      <c r="AP44" t="s">
        <v>300</v>
      </c>
      <c r="AQ44">
        <f t="shared" si="11"/>
        <v>11.69</v>
      </c>
      <c r="AR44">
        <f t="shared" si="12"/>
        <v>0</v>
      </c>
      <c r="AS44">
        <f t="shared" si="13"/>
        <v>0</v>
      </c>
      <c r="AT44">
        <f t="shared" si="14"/>
        <v>66.12</v>
      </c>
      <c r="AU44" t="str">
        <f t="shared" si="15"/>
        <v>NA</v>
      </c>
      <c r="AV44">
        <f t="shared" si="16"/>
        <v>22.189999999999998</v>
      </c>
      <c r="AW44">
        <f t="shared" si="17"/>
        <v>22.189999999999998</v>
      </c>
      <c r="AX44" s="14">
        <f t="shared" si="21"/>
        <v>8.1829999999999998</v>
      </c>
      <c r="AY44" s="14">
        <f t="shared" si="22"/>
        <v>0</v>
      </c>
      <c r="AZ44" s="14">
        <f t="shared" si="22"/>
        <v>0</v>
      </c>
      <c r="BA44" s="14">
        <f t="shared" si="22"/>
        <v>46.284000000000006</v>
      </c>
      <c r="BB44" s="14">
        <f t="shared" si="33"/>
        <v>0</v>
      </c>
      <c r="BC44" s="14">
        <f t="shared" si="34"/>
        <v>15.532999999999998</v>
      </c>
      <c r="BD44" s="13">
        <f t="shared" si="35"/>
        <v>0.49656489749999999</v>
      </c>
      <c r="BE44" s="13">
        <f t="shared" si="36"/>
        <v>0</v>
      </c>
      <c r="BF44" s="13">
        <f t="shared" si="37"/>
        <v>0</v>
      </c>
      <c r="BG44" s="13">
        <f t="shared" si="38"/>
        <v>2.8086288300000004</v>
      </c>
      <c r="BH44" s="13">
        <f t="shared" si="39"/>
        <v>0</v>
      </c>
      <c r="BI44" s="13">
        <f t="shared" si="40"/>
        <v>0.94258127249999979</v>
      </c>
      <c r="BJ44" s="13">
        <f t="shared" si="41"/>
        <v>4.2477749999999999</v>
      </c>
      <c r="BK44" s="13">
        <f t="shared" si="42"/>
        <v>4.2477749999999999</v>
      </c>
    </row>
    <row r="45" spans="1:63" hidden="1" x14ac:dyDescent="0.35">
      <c r="A45">
        <v>46022</v>
      </c>
      <c r="B45" t="str">
        <f>_xlfn.XLOOKUP(C45,'Production Costs Co Product'!B:B,'Production Costs Co Product'!D:D,"Not found")</f>
        <v>Dem. Rep. Congo</v>
      </c>
      <c r="C45" t="s">
        <v>138</v>
      </c>
      <c r="D45" s="13">
        <f>_xlfn.XLOOKUP(C45,'Production Costs Co Product'!B:B,'Production Costs Co Product'!J:J,"Not found")</f>
        <v>10.003500000000001</v>
      </c>
      <c r="E45" t="s">
        <v>139</v>
      </c>
      <c r="F45" t="s">
        <v>233</v>
      </c>
      <c r="G45">
        <v>4113732</v>
      </c>
      <c r="H45">
        <v>100</v>
      </c>
      <c r="I45" t="s">
        <v>296</v>
      </c>
      <c r="J45" t="s">
        <v>320</v>
      </c>
      <c r="L45" t="s">
        <v>305</v>
      </c>
      <c r="M45" t="s">
        <v>305</v>
      </c>
      <c r="N45" t="s">
        <v>306</v>
      </c>
      <c r="O45" t="s">
        <v>305</v>
      </c>
      <c r="P45" t="s">
        <v>305</v>
      </c>
      <c r="Q45" t="s">
        <v>300</v>
      </c>
      <c r="R45" t="s">
        <v>296</v>
      </c>
      <c r="S45">
        <v>61.77</v>
      </c>
      <c r="T45">
        <v>3.68</v>
      </c>
      <c r="U45">
        <v>1.77</v>
      </c>
      <c r="V45">
        <v>0.03</v>
      </c>
      <c r="W45" t="s">
        <v>300</v>
      </c>
      <c r="X45">
        <v>0</v>
      </c>
      <c r="Y45">
        <v>0.28999999999999998</v>
      </c>
      <c r="Z45">
        <v>0.08</v>
      </c>
      <c r="AA45">
        <v>54.18</v>
      </c>
      <c r="AB45" t="s">
        <v>300</v>
      </c>
      <c r="AC45">
        <v>0.15</v>
      </c>
      <c r="AD45" t="s">
        <v>300</v>
      </c>
      <c r="AE45">
        <v>0.25</v>
      </c>
      <c r="AF45">
        <v>1.1100000000000001</v>
      </c>
      <c r="AG45">
        <v>0.23</v>
      </c>
      <c r="AH45">
        <v>12.83</v>
      </c>
      <c r="AI45" t="s">
        <v>300</v>
      </c>
      <c r="AJ45">
        <v>8.93</v>
      </c>
      <c r="AK45" t="s">
        <v>300</v>
      </c>
      <c r="AL45" t="s">
        <v>300</v>
      </c>
      <c r="AM45">
        <v>0.19</v>
      </c>
      <c r="AN45">
        <v>0.05</v>
      </c>
      <c r="AO45">
        <v>0.02</v>
      </c>
      <c r="AP45" t="s">
        <v>300</v>
      </c>
      <c r="AQ45">
        <f t="shared" si="11"/>
        <v>67.38</v>
      </c>
      <c r="AR45">
        <f t="shared" si="12"/>
        <v>1.4500000000000002</v>
      </c>
      <c r="AS45">
        <f t="shared" si="13"/>
        <v>12.83</v>
      </c>
      <c r="AT45">
        <f t="shared" si="14"/>
        <v>1.98</v>
      </c>
      <c r="AU45">
        <f t="shared" si="15"/>
        <v>0.15</v>
      </c>
      <c r="AV45">
        <f t="shared" si="16"/>
        <v>16.209999999999994</v>
      </c>
      <c r="AW45">
        <f t="shared" si="17"/>
        <v>16.210000000000008</v>
      </c>
      <c r="AX45" s="14">
        <f t="shared" si="21"/>
        <v>67.38</v>
      </c>
      <c r="AY45" s="14">
        <f t="shared" si="22"/>
        <v>1.4500000000000002</v>
      </c>
      <c r="AZ45" s="14">
        <f t="shared" si="22"/>
        <v>12.83</v>
      </c>
      <c r="BA45" s="14">
        <f t="shared" si="22"/>
        <v>1.98</v>
      </c>
      <c r="BB45" s="14">
        <f t="shared" si="33"/>
        <v>0.15</v>
      </c>
      <c r="BC45" s="14">
        <f t="shared" si="34"/>
        <v>16.209999999999994</v>
      </c>
      <c r="BD45" s="13">
        <f t="shared" si="35"/>
        <v>6.7403583000000005</v>
      </c>
      <c r="BE45" s="13">
        <f t="shared" si="36"/>
        <v>0.14505075000000003</v>
      </c>
      <c r="BF45" s="13">
        <f t="shared" si="37"/>
        <v>1.28344905</v>
      </c>
      <c r="BG45" s="13">
        <f t="shared" si="38"/>
        <v>0.1980693</v>
      </c>
      <c r="BH45" s="13">
        <f t="shared" si="39"/>
        <v>1.5005250000000001E-2</v>
      </c>
      <c r="BI45" s="13">
        <f t="shared" si="40"/>
        <v>1.6215673499999994</v>
      </c>
      <c r="BJ45" s="13">
        <f t="shared" si="41"/>
        <v>10.003500000000001</v>
      </c>
      <c r="BK45" s="13">
        <f t="shared" si="42"/>
        <v>10.003500000000001</v>
      </c>
    </row>
    <row r="46" spans="1:63" hidden="1" x14ac:dyDescent="0.35">
      <c r="A46">
        <v>46022</v>
      </c>
      <c r="B46" t="str">
        <f>_xlfn.XLOOKUP(C46,'Production Costs Co Product'!B:B,'Production Costs Co Product'!D:D,"Not found")</f>
        <v>Zambia</v>
      </c>
      <c r="C46" t="s">
        <v>73</v>
      </c>
      <c r="D46" s="13">
        <f>_xlfn.XLOOKUP(C46,'Production Costs Co Product'!B:B,'Production Costs Co Product'!J:J,"Not found")</f>
        <v>0.13023499999999999</v>
      </c>
      <c r="E46" t="s">
        <v>74</v>
      </c>
      <c r="F46" t="s">
        <v>244</v>
      </c>
      <c r="G46">
        <v>4396728</v>
      </c>
      <c r="H46">
        <v>79.400000000000006</v>
      </c>
      <c r="I46" t="s">
        <v>298</v>
      </c>
      <c r="J46" t="s">
        <v>328</v>
      </c>
      <c r="L46" t="s">
        <v>328</v>
      </c>
      <c r="M46" t="s">
        <v>329</v>
      </c>
      <c r="N46" t="s">
        <v>298</v>
      </c>
      <c r="O46" t="s">
        <v>330</v>
      </c>
      <c r="P46" t="s">
        <v>328</v>
      </c>
      <c r="Q46">
        <v>10959764</v>
      </c>
      <c r="R46" t="s">
        <v>298</v>
      </c>
      <c r="S46" t="s">
        <v>300</v>
      </c>
      <c r="T46" t="s">
        <v>300</v>
      </c>
      <c r="U46" t="s">
        <v>300</v>
      </c>
      <c r="V46" t="s">
        <v>300</v>
      </c>
      <c r="W46" t="s">
        <v>300</v>
      </c>
      <c r="X46" t="s">
        <v>300</v>
      </c>
      <c r="Y46" t="s">
        <v>300</v>
      </c>
      <c r="Z46" t="s">
        <v>300</v>
      </c>
      <c r="AA46" t="s">
        <v>300</v>
      </c>
      <c r="AB46" t="s">
        <v>300</v>
      </c>
      <c r="AC46" t="s">
        <v>300</v>
      </c>
      <c r="AD46" t="s">
        <v>300</v>
      </c>
      <c r="AE46" t="s">
        <v>300</v>
      </c>
      <c r="AF46" t="s">
        <v>300</v>
      </c>
      <c r="AG46" t="s">
        <v>300</v>
      </c>
      <c r="AH46" t="s">
        <v>300</v>
      </c>
      <c r="AI46" t="s">
        <v>300</v>
      </c>
      <c r="AJ46" t="s">
        <v>300</v>
      </c>
      <c r="AK46" t="s">
        <v>300</v>
      </c>
      <c r="AL46" t="s">
        <v>300</v>
      </c>
      <c r="AM46" t="s">
        <v>300</v>
      </c>
      <c r="AN46" t="s">
        <v>300</v>
      </c>
      <c r="AO46" t="s">
        <v>300</v>
      </c>
      <c r="AP46" t="s">
        <v>300</v>
      </c>
      <c r="AQ46">
        <f t="shared" si="11"/>
        <v>0</v>
      </c>
      <c r="AR46">
        <f t="shared" si="12"/>
        <v>0</v>
      </c>
      <c r="AS46">
        <f t="shared" si="13"/>
        <v>0</v>
      </c>
      <c r="AT46">
        <f t="shared" si="14"/>
        <v>0</v>
      </c>
      <c r="AU46" t="str">
        <f t="shared" si="15"/>
        <v>NA</v>
      </c>
      <c r="AV46">
        <f t="shared" si="16"/>
        <v>100</v>
      </c>
      <c r="AW46">
        <f t="shared" si="17"/>
        <v>100</v>
      </c>
      <c r="AX46" s="14">
        <f t="shared" si="21"/>
        <v>0</v>
      </c>
      <c r="AY46" s="14">
        <f t="shared" si="22"/>
        <v>0</v>
      </c>
      <c r="AZ46" s="14">
        <f t="shared" si="22"/>
        <v>0</v>
      </c>
      <c r="BA46" s="14">
        <f t="shared" si="22"/>
        <v>0</v>
      </c>
      <c r="BB46" s="14">
        <f t="shared" si="33"/>
        <v>0</v>
      </c>
      <c r="BC46" s="14">
        <f t="shared" si="34"/>
        <v>79.400000000000006</v>
      </c>
      <c r="BD46" s="13">
        <f t="shared" si="35"/>
        <v>0</v>
      </c>
      <c r="BE46" s="13">
        <f t="shared" si="36"/>
        <v>0</v>
      </c>
      <c r="BF46" s="13">
        <f t="shared" si="37"/>
        <v>0</v>
      </c>
      <c r="BG46" s="13">
        <f t="shared" si="38"/>
        <v>0</v>
      </c>
      <c r="BH46" s="13">
        <f t="shared" si="39"/>
        <v>0</v>
      </c>
      <c r="BI46" s="13">
        <f t="shared" si="40"/>
        <v>0.10340658999999999</v>
      </c>
      <c r="BJ46" s="13">
        <f t="shared" si="41"/>
        <v>0.10340658999999999</v>
      </c>
      <c r="BK46" s="13">
        <f t="shared" si="42"/>
        <v>0.10340659000000001</v>
      </c>
    </row>
    <row r="47" spans="1:63" hidden="1" x14ac:dyDescent="0.35">
      <c r="A47">
        <v>46022</v>
      </c>
      <c r="B47" t="str">
        <f>_xlfn.XLOOKUP(C47,'Production Costs Co Product'!B:B,'Production Costs Co Product'!D:D,"Not found")</f>
        <v>Zambia</v>
      </c>
      <c r="C47" t="s">
        <v>73</v>
      </c>
      <c r="D47" s="13">
        <f>_xlfn.XLOOKUP(C47,'Production Costs Co Product'!B:B,'Production Costs Co Product'!J:J,"Not found")</f>
        <v>0.13023499999999999</v>
      </c>
      <c r="E47" t="s">
        <v>74</v>
      </c>
      <c r="F47" t="s">
        <v>219</v>
      </c>
      <c r="G47">
        <v>4355602</v>
      </c>
      <c r="H47">
        <v>20.6</v>
      </c>
      <c r="I47" t="s">
        <v>296</v>
      </c>
      <c r="J47" t="s">
        <v>70</v>
      </c>
      <c r="L47" t="s">
        <v>70</v>
      </c>
      <c r="M47" t="s">
        <v>310</v>
      </c>
      <c r="N47" t="s">
        <v>303</v>
      </c>
      <c r="O47" t="s">
        <v>311</v>
      </c>
      <c r="P47" t="s">
        <v>70</v>
      </c>
      <c r="Q47">
        <v>4466550</v>
      </c>
      <c r="R47" t="s">
        <v>303</v>
      </c>
      <c r="S47">
        <v>5.96</v>
      </c>
      <c r="T47" t="s">
        <v>300</v>
      </c>
      <c r="U47" t="s">
        <v>300</v>
      </c>
      <c r="V47" t="s">
        <v>300</v>
      </c>
      <c r="W47" t="s">
        <v>300</v>
      </c>
      <c r="X47" t="s">
        <v>300</v>
      </c>
      <c r="Y47">
        <v>5.96</v>
      </c>
      <c r="Z47" t="s">
        <v>300</v>
      </c>
      <c r="AA47" t="s">
        <v>300</v>
      </c>
      <c r="AB47" t="s">
        <v>300</v>
      </c>
      <c r="AC47" t="s">
        <v>300</v>
      </c>
      <c r="AD47" t="s">
        <v>300</v>
      </c>
      <c r="AE47" t="s">
        <v>300</v>
      </c>
      <c r="AF47" t="s">
        <v>300</v>
      </c>
      <c r="AG47" t="s">
        <v>300</v>
      </c>
      <c r="AH47" t="s">
        <v>300</v>
      </c>
      <c r="AI47" t="s">
        <v>300</v>
      </c>
      <c r="AJ47" t="s">
        <v>300</v>
      </c>
      <c r="AK47" t="s">
        <v>300</v>
      </c>
      <c r="AL47" t="s">
        <v>300</v>
      </c>
      <c r="AM47" t="s">
        <v>300</v>
      </c>
      <c r="AN47">
        <v>30.81</v>
      </c>
      <c r="AO47" t="s">
        <v>300</v>
      </c>
      <c r="AP47" t="s">
        <v>300</v>
      </c>
      <c r="AQ47">
        <f t="shared" si="11"/>
        <v>0</v>
      </c>
      <c r="AR47">
        <f t="shared" si="12"/>
        <v>36.769999999999996</v>
      </c>
      <c r="AS47">
        <f t="shared" si="13"/>
        <v>0</v>
      </c>
      <c r="AT47">
        <f t="shared" si="14"/>
        <v>0</v>
      </c>
      <c r="AU47" t="str">
        <f t="shared" si="15"/>
        <v>NA</v>
      </c>
      <c r="AV47">
        <f t="shared" si="16"/>
        <v>63.230000000000004</v>
      </c>
      <c r="AW47">
        <f t="shared" si="17"/>
        <v>63.230000000000004</v>
      </c>
      <c r="AX47" s="14">
        <f t="shared" si="21"/>
        <v>0</v>
      </c>
      <c r="AY47" s="14">
        <f t="shared" si="22"/>
        <v>7.5746199999999995</v>
      </c>
      <c r="AZ47" s="14">
        <f t="shared" si="22"/>
        <v>0</v>
      </c>
      <c r="BA47" s="14">
        <f t="shared" si="22"/>
        <v>0</v>
      </c>
      <c r="BB47" s="14">
        <f t="shared" si="33"/>
        <v>0</v>
      </c>
      <c r="BC47" s="14">
        <f t="shared" si="34"/>
        <v>13.025380000000002</v>
      </c>
      <c r="BD47" s="13">
        <f t="shared" si="35"/>
        <v>0</v>
      </c>
      <c r="BE47" s="13">
        <f t="shared" si="36"/>
        <v>9.8648063569999993E-3</v>
      </c>
      <c r="BF47" s="13">
        <f t="shared" si="37"/>
        <v>0</v>
      </c>
      <c r="BG47" s="13">
        <f t="shared" si="38"/>
        <v>0</v>
      </c>
      <c r="BH47" s="13">
        <f t="shared" si="39"/>
        <v>0</v>
      </c>
      <c r="BI47" s="13">
        <f t="shared" si="40"/>
        <v>1.6963603643000001E-2</v>
      </c>
      <c r="BJ47" s="13">
        <f t="shared" si="41"/>
        <v>2.682841E-2</v>
      </c>
      <c r="BK47" s="13">
        <f t="shared" si="42"/>
        <v>2.6828409999999997E-2</v>
      </c>
    </row>
    <row r="48" spans="1:63" hidden="1" x14ac:dyDescent="0.35">
      <c r="A48">
        <v>46022</v>
      </c>
      <c r="B48" t="str">
        <f>_xlfn.XLOOKUP(C48,'Production Costs Co Product'!B:B,'Production Costs Co Product'!D:D,"Not found")</f>
        <v>Russia</v>
      </c>
      <c r="C48" t="s">
        <v>75</v>
      </c>
      <c r="D48" s="13">
        <f>_xlfn.XLOOKUP(C48,'Production Costs Co Product'!B:B,'Production Costs Co Product'!J:J,"Not found")</f>
        <v>4.298476</v>
      </c>
      <c r="E48" t="s">
        <v>76</v>
      </c>
      <c r="F48" t="s">
        <v>245</v>
      </c>
      <c r="G48">
        <v>4352853</v>
      </c>
      <c r="H48">
        <v>100</v>
      </c>
      <c r="I48" t="s">
        <v>296</v>
      </c>
      <c r="J48" t="s">
        <v>77</v>
      </c>
      <c r="L48" t="s">
        <v>305</v>
      </c>
      <c r="M48" t="s">
        <v>305</v>
      </c>
      <c r="N48" t="s">
        <v>306</v>
      </c>
      <c r="O48" t="s">
        <v>305</v>
      </c>
      <c r="P48" t="s">
        <v>305</v>
      </c>
      <c r="Q48" t="s">
        <v>300</v>
      </c>
      <c r="R48" t="s">
        <v>296</v>
      </c>
      <c r="S48">
        <v>3.09</v>
      </c>
      <c r="T48" t="s">
        <v>300</v>
      </c>
      <c r="U48" t="s">
        <v>300</v>
      </c>
      <c r="V48" t="s">
        <v>300</v>
      </c>
      <c r="W48" t="s">
        <v>300</v>
      </c>
      <c r="X48">
        <v>0</v>
      </c>
      <c r="Y48">
        <v>0.09</v>
      </c>
      <c r="Z48">
        <v>0</v>
      </c>
      <c r="AA48">
        <v>2.93</v>
      </c>
      <c r="AB48" t="s">
        <v>300</v>
      </c>
      <c r="AC48">
        <v>0</v>
      </c>
      <c r="AD48" t="s">
        <v>300</v>
      </c>
      <c r="AE48">
        <v>0</v>
      </c>
      <c r="AF48" t="s">
        <v>300</v>
      </c>
      <c r="AG48">
        <v>0.06</v>
      </c>
      <c r="AH48" t="s">
        <v>300</v>
      </c>
      <c r="AI48" t="s">
        <v>300</v>
      </c>
      <c r="AJ48" t="s">
        <v>300</v>
      </c>
      <c r="AK48" t="s">
        <v>300</v>
      </c>
      <c r="AL48" t="s">
        <v>300</v>
      </c>
      <c r="AM48" t="s">
        <v>300</v>
      </c>
      <c r="AN48" t="s">
        <v>300</v>
      </c>
      <c r="AO48" t="s">
        <v>300</v>
      </c>
      <c r="AP48" t="s">
        <v>300</v>
      </c>
      <c r="AQ48">
        <f t="shared" si="11"/>
        <v>2.99</v>
      </c>
      <c r="AR48">
        <f t="shared" si="12"/>
        <v>0.09</v>
      </c>
      <c r="AS48">
        <f t="shared" si="13"/>
        <v>0</v>
      </c>
      <c r="AT48">
        <f t="shared" si="14"/>
        <v>0</v>
      </c>
      <c r="AU48">
        <f t="shared" si="15"/>
        <v>0</v>
      </c>
      <c r="AV48">
        <f t="shared" si="16"/>
        <v>96.92</v>
      </c>
      <c r="AW48">
        <f t="shared" si="17"/>
        <v>96.92</v>
      </c>
      <c r="AX48" s="14">
        <f t="shared" si="21"/>
        <v>2.99</v>
      </c>
      <c r="AY48" s="14">
        <f t="shared" si="22"/>
        <v>0.09</v>
      </c>
      <c r="AZ48" s="14">
        <f t="shared" si="22"/>
        <v>0</v>
      </c>
      <c r="BA48" s="14">
        <f t="shared" si="22"/>
        <v>0</v>
      </c>
      <c r="BB48" s="14">
        <f t="shared" si="33"/>
        <v>0</v>
      </c>
      <c r="BC48" s="14">
        <f t="shared" si="34"/>
        <v>96.92</v>
      </c>
      <c r="BD48" s="13">
        <f t="shared" si="35"/>
        <v>0.1285244324</v>
      </c>
      <c r="BE48" s="13">
        <f t="shared" si="36"/>
        <v>3.8686284E-3</v>
      </c>
      <c r="BF48" s="13">
        <f t="shared" si="37"/>
        <v>0</v>
      </c>
      <c r="BG48" s="13">
        <f t="shared" si="38"/>
        <v>0</v>
      </c>
      <c r="BH48" s="13">
        <f t="shared" si="39"/>
        <v>0</v>
      </c>
      <c r="BI48" s="13">
        <f t="shared" si="40"/>
        <v>4.1660829391999998</v>
      </c>
      <c r="BJ48" s="13">
        <f t="shared" si="41"/>
        <v>4.298476</v>
      </c>
      <c r="BK48" s="13">
        <f t="shared" si="42"/>
        <v>4.298476</v>
      </c>
    </row>
    <row r="49" spans="1:63" hidden="1" x14ac:dyDescent="0.35">
      <c r="A49">
        <v>46022</v>
      </c>
      <c r="B49" t="str">
        <f>_xlfn.XLOOKUP(C49,'Production Costs Co Product'!B:B,'Production Costs Co Product'!D:D,"Not found")</f>
        <v>Canada</v>
      </c>
      <c r="C49" t="s">
        <v>110</v>
      </c>
      <c r="D49" s="13">
        <f>_xlfn.XLOOKUP(C49,'Production Costs Co Product'!B:B,'Production Costs Co Product'!J:J,"Not found")</f>
        <v>0.35</v>
      </c>
      <c r="E49" t="s">
        <v>111</v>
      </c>
      <c r="F49" t="s">
        <v>237</v>
      </c>
      <c r="G49">
        <v>4223919</v>
      </c>
      <c r="H49">
        <v>100</v>
      </c>
      <c r="I49" t="s">
        <v>296</v>
      </c>
      <c r="J49" t="s">
        <v>114</v>
      </c>
      <c r="L49" t="s">
        <v>305</v>
      </c>
      <c r="M49" t="s">
        <v>305</v>
      </c>
      <c r="N49" t="s">
        <v>306</v>
      </c>
      <c r="O49" t="s">
        <v>305</v>
      </c>
      <c r="P49" t="s">
        <v>305</v>
      </c>
      <c r="Q49" t="s">
        <v>300</v>
      </c>
      <c r="R49" t="s">
        <v>296</v>
      </c>
      <c r="S49">
        <v>52.67</v>
      </c>
      <c r="T49">
        <v>1.86</v>
      </c>
      <c r="U49" t="s">
        <v>300</v>
      </c>
      <c r="V49">
        <v>7.32</v>
      </c>
      <c r="W49" t="s">
        <v>300</v>
      </c>
      <c r="X49">
        <v>0.09</v>
      </c>
      <c r="Y49">
        <v>1.31</v>
      </c>
      <c r="Z49">
        <v>0</v>
      </c>
      <c r="AA49">
        <v>39.1</v>
      </c>
      <c r="AB49" t="s">
        <v>300</v>
      </c>
      <c r="AC49">
        <v>0.49</v>
      </c>
      <c r="AD49" t="s">
        <v>300</v>
      </c>
      <c r="AE49">
        <v>2.48</v>
      </c>
      <c r="AF49">
        <v>0</v>
      </c>
      <c r="AG49">
        <v>0.03</v>
      </c>
      <c r="AH49">
        <v>0.02</v>
      </c>
      <c r="AI49" t="s">
        <v>300</v>
      </c>
      <c r="AJ49" t="s">
        <v>300</v>
      </c>
      <c r="AK49" t="s">
        <v>300</v>
      </c>
      <c r="AL49" t="s">
        <v>300</v>
      </c>
      <c r="AM49" t="s">
        <v>300</v>
      </c>
      <c r="AN49">
        <v>0</v>
      </c>
      <c r="AO49">
        <v>0.28000000000000003</v>
      </c>
      <c r="AP49">
        <v>6.73</v>
      </c>
      <c r="AQ49">
        <f t="shared" si="11"/>
        <v>50.79</v>
      </c>
      <c r="AR49">
        <f t="shared" si="12"/>
        <v>1.31</v>
      </c>
      <c r="AS49">
        <f t="shared" si="13"/>
        <v>0.11</v>
      </c>
      <c r="AT49">
        <f t="shared" si="14"/>
        <v>7.0100000000000007</v>
      </c>
      <c r="AU49">
        <f t="shared" si="15"/>
        <v>0.49</v>
      </c>
      <c r="AV49">
        <f t="shared" si="16"/>
        <v>40.29</v>
      </c>
      <c r="AW49">
        <f t="shared" si="17"/>
        <v>40.289999999999992</v>
      </c>
      <c r="AX49" s="14">
        <f t="shared" si="21"/>
        <v>50.79</v>
      </c>
      <c r="AY49" s="14">
        <f t="shared" si="22"/>
        <v>1.31</v>
      </c>
      <c r="AZ49" s="14">
        <f t="shared" si="22"/>
        <v>0.11</v>
      </c>
      <c r="BA49" s="14">
        <f t="shared" si="22"/>
        <v>7.0100000000000016</v>
      </c>
      <c r="BB49" s="14">
        <f t="shared" si="33"/>
        <v>0.49</v>
      </c>
      <c r="BC49" s="14">
        <f t="shared" si="34"/>
        <v>40.29</v>
      </c>
      <c r="BD49" s="13">
        <f t="shared" si="35"/>
        <v>0.17776500000000001</v>
      </c>
      <c r="BE49" s="13">
        <f t="shared" si="36"/>
        <v>4.5849999999999997E-3</v>
      </c>
      <c r="BF49" s="13">
        <f t="shared" si="37"/>
        <v>3.8499999999999998E-4</v>
      </c>
      <c r="BG49" s="13">
        <f t="shared" si="38"/>
        <v>2.4535000000000001E-2</v>
      </c>
      <c r="BH49" s="13">
        <f t="shared" si="39"/>
        <v>1.7149999999999997E-3</v>
      </c>
      <c r="BI49" s="13">
        <f t="shared" si="40"/>
        <v>0.14101499999999997</v>
      </c>
      <c r="BJ49" s="13">
        <f t="shared" si="41"/>
        <v>0.35</v>
      </c>
      <c r="BK49" s="13">
        <f t="shared" si="42"/>
        <v>0.35</v>
      </c>
    </row>
    <row r="50" spans="1:63" hidden="1" x14ac:dyDescent="0.35">
      <c r="A50">
        <v>46022</v>
      </c>
      <c r="B50" t="str">
        <f>_xlfn.XLOOKUP(C50,'Production Costs Co Product'!B:B,'Production Costs Co Product'!D:D,"Not found")</f>
        <v>Canada</v>
      </c>
      <c r="C50" t="s">
        <v>78</v>
      </c>
      <c r="D50" s="13">
        <f>_xlfn.XLOOKUP(C50,'Production Costs Co Product'!B:B,'Production Costs Co Product'!J:J,"Not found")</f>
        <v>0.49252200000000002</v>
      </c>
      <c r="E50" t="s">
        <v>79</v>
      </c>
      <c r="F50" t="s">
        <v>233</v>
      </c>
      <c r="G50">
        <v>4113732</v>
      </c>
      <c r="H50">
        <v>100</v>
      </c>
      <c r="I50" t="s">
        <v>296</v>
      </c>
      <c r="J50" t="s">
        <v>320</v>
      </c>
      <c r="L50" t="s">
        <v>305</v>
      </c>
      <c r="M50" t="s">
        <v>305</v>
      </c>
      <c r="N50" t="s">
        <v>306</v>
      </c>
      <c r="O50" t="s">
        <v>305</v>
      </c>
      <c r="P50" t="s">
        <v>305</v>
      </c>
      <c r="Q50" t="s">
        <v>300</v>
      </c>
      <c r="R50" t="s">
        <v>296</v>
      </c>
      <c r="S50">
        <v>61.77</v>
      </c>
      <c r="T50">
        <v>3.68</v>
      </c>
      <c r="U50">
        <v>1.77</v>
      </c>
      <c r="V50">
        <v>0.03</v>
      </c>
      <c r="W50" t="s">
        <v>300</v>
      </c>
      <c r="X50">
        <v>0</v>
      </c>
      <c r="Y50">
        <v>0.28999999999999998</v>
      </c>
      <c r="Z50">
        <v>0.08</v>
      </c>
      <c r="AA50">
        <v>54.18</v>
      </c>
      <c r="AB50" t="s">
        <v>300</v>
      </c>
      <c r="AC50">
        <v>0.15</v>
      </c>
      <c r="AD50" t="s">
        <v>300</v>
      </c>
      <c r="AE50">
        <v>0.25</v>
      </c>
      <c r="AF50">
        <v>1.1100000000000001</v>
      </c>
      <c r="AG50">
        <v>0.23</v>
      </c>
      <c r="AH50">
        <v>12.83</v>
      </c>
      <c r="AI50" t="s">
        <v>300</v>
      </c>
      <c r="AJ50">
        <v>8.93</v>
      </c>
      <c r="AK50" t="s">
        <v>300</v>
      </c>
      <c r="AL50" t="s">
        <v>300</v>
      </c>
      <c r="AM50">
        <v>0.19</v>
      </c>
      <c r="AN50">
        <v>0.05</v>
      </c>
      <c r="AO50">
        <v>0.02</v>
      </c>
      <c r="AP50" t="s">
        <v>300</v>
      </c>
      <c r="AQ50">
        <f t="shared" si="11"/>
        <v>67.38</v>
      </c>
      <c r="AR50">
        <f t="shared" si="12"/>
        <v>1.4500000000000002</v>
      </c>
      <c r="AS50">
        <f t="shared" si="13"/>
        <v>12.83</v>
      </c>
      <c r="AT50">
        <f t="shared" si="14"/>
        <v>1.98</v>
      </c>
      <c r="AU50">
        <f t="shared" si="15"/>
        <v>0.15</v>
      </c>
      <c r="AV50">
        <f t="shared" si="16"/>
        <v>16.209999999999994</v>
      </c>
      <c r="AW50">
        <f t="shared" si="17"/>
        <v>16.210000000000008</v>
      </c>
      <c r="AX50" s="14">
        <f t="shared" si="21"/>
        <v>67.38</v>
      </c>
      <c r="AY50" s="14">
        <f t="shared" si="22"/>
        <v>1.4500000000000002</v>
      </c>
      <c r="AZ50" s="14">
        <f t="shared" si="22"/>
        <v>12.83</v>
      </c>
      <c r="BA50" s="14">
        <f t="shared" si="22"/>
        <v>1.98</v>
      </c>
      <c r="BB50" s="14">
        <f t="shared" si="33"/>
        <v>0.15</v>
      </c>
      <c r="BC50" s="14">
        <f t="shared" si="34"/>
        <v>16.209999999999994</v>
      </c>
      <c r="BD50" s="13">
        <f t="shared" si="35"/>
        <v>0.33186132359999998</v>
      </c>
      <c r="BE50" s="13">
        <f t="shared" si="36"/>
        <v>7.1415690000000013E-3</v>
      </c>
      <c r="BF50" s="13">
        <f t="shared" si="37"/>
        <v>6.3190572599999995E-2</v>
      </c>
      <c r="BG50" s="13">
        <f t="shared" si="38"/>
        <v>9.7519355999999991E-3</v>
      </c>
      <c r="BH50" s="13">
        <f t="shared" si="39"/>
        <v>7.3878300000000002E-4</v>
      </c>
      <c r="BI50" s="13">
        <f t="shared" si="40"/>
        <v>7.9837816199999967E-2</v>
      </c>
      <c r="BJ50" s="13">
        <f t="shared" si="41"/>
        <v>0.49252199999999996</v>
      </c>
      <c r="BK50" s="13">
        <f t="shared" si="42"/>
        <v>0.49252200000000002</v>
      </c>
    </row>
    <row r="51" spans="1:63" hidden="1" x14ac:dyDescent="0.35">
      <c r="A51">
        <v>46022</v>
      </c>
      <c r="B51" t="str">
        <f>_xlfn.XLOOKUP(C51,'Production Costs Co Product'!B:B,'Production Costs Co Product'!D:D,"Not found")</f>
        <v>Papua New Guinea</v>
      </c>
      <c r="C51" t="s">
        <v>81</v>
      </c>
      <c r="D51" s="13">
        <f>_xlfn.XLOOKUP(C51,'Production Costs Co Product'!B:B,'Production Costs Co Product'!J:J,"Not found")</f>
        <v>2.8538399999999999</v>
      </c>
      <c r="E51" t="s">
        <v>82</v>
      </c>
      <c r="F51" t="s">
        <v>246</v>
      </c>
      <c r="G51">
        <v>4351435</v>
      </c>
      <c r="H51">
        <v>11.05</v>
      </c>
      <c r="I51" t="s">
        <v>298</v>
      </c>
      <c r="J51" t="s">
        <v>50</v>
      </c>
      <c r="L51" t="s">
        <v>305</v>
      </c>
      <c r="M51" t="s">
        <v>305</v>
      </c>
      <c r="N51" t="s">
        <v>306</v>
      </c>
      <c r="O51" t="s">
        <v>305</v>
      </c>
      <c r="P51" t="s">
        <v>305</v>
      </c>
      <c r="Q51" t="s">
        <v>300</v>
      </c>
      <c r="R51" t="s">
        <v>296</v>
      </c>
      <c r="S51" t="s">
        <v>300</v>
      </c>
      <c r="T51" t="s">
        <v>300</v>
      </c>
      <c r="U51" t="s">
        <v>300</v>
      </c>
      <c r="V51" t="s">
        <v>300</v>
      </c>
      <c r="W51" t="s">
        <v>300</v>
      </c>
      <c r="X51" t="s">
        <v>300</v>
      </c>
      <c r="Y51" t="s">
        <v>300</v>
      </c>
      <c r="Z51" t="s">
        <v>300</v>
      </c>
      <c r="AA51" t="s">
        <v>300</v>
      </c>
      <c r="AB51" t="s">
        <v>300</v>
      </c>
      <c r="AC51" t="s">
        <v>300</v>
      </c>
      <c r="AD51" t="s">
        <v>300</v>
      </c>
      <c r="AE51" t="s">
        <v>300</v>
      </c>
      <c r="AF51" t="s">
        <v>300</v>
      </c>
      <c r="AG51" t="s">
        <v>300</v>
      </c>
      <c r="AH51" t="s">
        <v>300</v>
      </c>
      <c r="AI51" t="s">
        <v>300</v>
      </c>
      <c r="AJ51" t="s">
        <v>300</v>
      </c>
      <c r="AK51" t="s">
        <v>300</v>
      </c>
      <c r="AL51" t="s">
        <v>300</v>
      </c>
      <c r="AM51" t="s">
        <v>300</v>
      </c>
      <c r="AN51" t="s">
        <v>300</v>
      </c>
      <c r="AO51" t="s">
        <v>300</v>
      </c>
      <c r="AP51" t="s">
        <v>300</v>
      </c>
      <c r="AQ51">
        <f t="shared" si="11"/>
        <v>0</v>
      </c>
      <c r="AR51">
        <f t="shared" si="12"/>
        <v>0</v>
      </c>
      <c r="AS51">
        <f t="shared" si="13"/>
        <v>0</v>
      </c>
      <c r="AT51">
        <f t="shared" si="14"/>
        <v>0</v>
      </c>
      <c r="AU51" t="str">
        <f t="shared" si="15"/>
        <v>NA</v>
      </c>
      <c r="AV51">
        <f t="shared" si="16"/>
        <v>100</v>
      </c>
      <c r="AW51">
        <f t="shared" si="17"/>
        <v>100</v>
      </c>
      <c r="AX51" s="14">
        <f t="shared" si="21"/>
        <v>0</v>
      </c>
      <c r="AY51" s="14">
        <f t="shared" si="22"/>
        <v>0</v>
      </c>
      <c r="AZ51" s="14">
        <f t="shared" si="22"/>
        <v>0</v>
      </c>
      <c r="BA51" s="14">
        <f t="shared" si="22"/>
        <v>0</v>
      </c>
      <c r="BB51" s="14">
        <f t="shared" si="33"/>
        <v>0</v>
      </c>
      <c r="BC51" s="14">
        <f t="shared" si="34"/>
        <v>11.05</v>
      </c>
      <c r="BD51" s="13">
        <f t="shared" si="35"/>
        <v>0</v>
      </c>
      <c r="BE51" s="13">
        <f t="shared" si="36"/>
        <v>0</v>
      </c>
      <c r="BF51" s="13">
        <f t="shared" si="37"/>
        <v>0</v>
      </c>
      <c r="BG51" s="13">
        <f t="shared" si="38"/>
        <v>0</v>
      </c>
      <c r="BH51" s="13">
        <f t="shared" si="39"/>
        <v>0</v>
      </c>
      <c r="BI51" s="13">
        <f t="shared" si="40"/>
        <v>0.31534931999999999</v>
      </c>
      <c r="BJ51" s="13">
        <f t="shared" si="41"/>
        <v>0.31534931999999999</v>
      </c>
      <c r="BK51" s="13">
        <f t="shared" si="42"/>
        <v>0.31534931999999999</v>
      </c>
    </row>
    <row r="52" spans="1:63" hidden="1" x14ac:dyDescent="0.35">
      <c r="A52">
        <v>46022</v>
      </c>
      <c r="B52" t="str">
        <f>_xlfn.XLOOKUP(C52,'Production Costs Co Product'!B:B,'Production Costs Co Product'!D:D,"Not found")</f>
        <v>Papua New Guinea</v>
      </c>
      <c r="C52" t="s">
        <v>81</v>
      </c>
      <c r="D52" s="13">
        <f>_xlfn.XLOOKUP(C52,'Production Costs Co Product'!B:B,'Production Costs Co Product'!J:J,"Not found")</f>
        <v>2.8538399999999999</v>
      </c>
      <c r="E52" t="s">
        <v>82</v>
      </c>
      <c r="F52" t="s">
        <v>243</v>
      </c>
      <c r="G52">
        <v>4361447</v>
      </c>
      <c r="H52">
        <v>5.93</v>
      </c>
      <c r="I52" t="s">
        <v>296</v>
      </c>
      <c r="J52" t="s">
        <v>326</v>
      </c>
      <c r="L52" t="s">
        <v>307</v>
      </c>
      <c r="M52" t="s">
        <v>327</v>
      </c>
      <c r="N52" t="s">
        <v>298</v>
      </c>
      <c r="O52" t="s">
        <v>319</v>
      </c>
      <c r="P52" t="s">
        <v>50</v>
      </c>
      <c r="Q52">
        <v>8393263</v>
      </c>
      <c r="R52" t="s">
        <v>303</v>
      </c>
      <c r="S52">
        <v>11.69</v>
      </c>
      <c r="T52" t="s">
        <v>300</v>
      </c>
      <c r="U52" t="s">
        <v>300</v>
      </c>
      <c r="V52" t="s">
        <v>300</v>
      </c>
      <c r="W52" t="s">
        <v>300</v>
      </c>
      <c r="X52" t="s">
        <v>300</v>
      </c>
      <c r="Y52" t="s">
        <v>300</v>
      </c>
      <c r="Z52" t="s">
        <v>300</v>
      </c>
      <c r="AA52">
        <v>11.69</v>
      </c>
      <c r="AB52" t="s">
        <v>300</v>
      </c>
      <c r="AC52" t="s">
        <v>300</v>
      </c>
      <c r="AD52" t="s">
        <v>300</v>
      </c>
      <c r="AE52" t="s">
        <v>300</v>
      </c>
      <c r="AF52" t="s">
        <v>300</v>
      </c>
      <c r="AG52" t="s">
        <v>300</v>
      </c>
      <c r="AH52" t="s">
        <v>300</v>
      </c>
      <c r="AI52" t="s">
        <v>300</v>
      </c>
      <c r="AJ52" t="s">
        <v>300</v>
      </c>
      <c r="AK52" t="s">
        <v>300</v>
      </c>
      <c r="AL52" t="s">
        <v>300</v>
      </c>
      <c r="AM52" t="s">
        <v>300</v>
      </c>
      <c r="AN52" t="s">
        <v>300</v>
      </c>
      <c r="AO52">
        <v>66.12</v>
      </c>
      <c r="AP52" t="s">
        <v>300</v>
      </c>
      <c r="AQ52">
        <f t="shared" si="11"/>
        <v>11.69</v>
      </c>
      <c r="AR52">
        <f t="shared" si="12"/>
        <v>0</v>
      </c>
      <c r="AS52">
        <f t="shared" si="13"/>
        <v>0</v>
      </c>
      <c r="AT52">
        <f t="shared" si="14"/>
        <v>66.12</v>
      </c>
      <c r="AU52" t="str">
        <f t="shared" si="15"/>
        <v>NA</v>
      </c>
      <c r="AV52">
        <f t="shared" si="16"/>
        <v>22.189999999999998</v>
      </c>
      <c r="AW52">
        <f t="shared" si="17"/>
        <v>22.189999999999998</v>
      </c>
      <c r="AX52" s="14">
        <f t="shared" si="21"/>
        <v>0.69321699999999997</v>
      </c>
      <c r="AY52" s="14">
        <f t="shared" si="22"/>
        <v>0</v>
      </c>
      <c r="AZ52" s="14">
        <f t="shared" si="22"/>
        <v>0</v>
      </c>
      <c r="BA52" s="14">
        <f t="shared" si="22"/>
        <v>3.9209160000000001</v>
      </c>
      <c r="BB52" s="14">
        <f t="shared" si="33"/>
        <v>0</v>
      </c>
      <c r="BC52" s="14">
        <f t="shared" si="34"/>
        <v>1.3158669999999999</v>
      </c>
      <c r="BD52" s="13">
        <f t="shared" si="35"/>
        <v>1.9783304032799997E-2</v>
      </c>
      <c r="BE52" s="13">
        <f t="shared" si="36"/>
        <v>0</v>
      </c>
      <c r="BF52" s="13">
        <f t="shared" si="37"/>
        <v>0</v>
      </c>
      <c r="BG52" s="13">
        <f t="shared" si="38"/>
        <v>0.1118966691744</v>
      </c>
      <c r="BH52" s="13">
        <f t="shared" si="39"/>
        <v>0</v>
      </c>
      <c r="BI52" s="13">
        <f t="shared" si="40"/>
        <v>3.7552738792799994E-2</v>
      </c>
      <c r="BJ52" s="13">
        <f t="shared" si="41"/>
        <v>0.16923271199999998</v>
      </c>
      <c r="BK52" s="13">
        <f t="shared" si="42"/>
        <v>0.16923271199999998</v>
      </c>
    </row>
    <row r="53" spans="1:63" hidden="1" x14ac:dyDescent="0.35">
      <c r="A53">
        <v>46022</v>
      </c>
      <c r="B53" t="str">
        <f>_xlfn.XLOOKUP(C53,'Production Costs Co Product'!B:B,'Production Costs Co Product'!D:D,"Not found")</f>
        <v>Papua New Guinea</v>
      </c>
      <c r="C53" t="s">
        <v>81</v>
      </c>
      <c r="D53" s="13">
        <f>_xlfn.XLOOKUP(C53,'Production Costs Co Product'!B:B,'Production Costs Co Product'!J:J,"Not found")</f>
        <v>2.8538399999999999</v>
      </c>
      <c r="E53" t="s">
        <v>82</v>
      </c>
      <c r="F53" t="s">
        <v>247</v>
      </c>
      <c r="G53">
        <v>4351456</v>
      </c>
      <c r="H53">
        <v>11.05</v>
      </c>
      <c r="I53" t="s">
        <v>298</v>
      </c>
      <c r="J53" t="s">
        <v>50</v>
      </c>
      <c r="L53" t="s">
        <v>50</v>
      </c>
      <c r="M53" t="s">
        <v>318</v>
      </c>
      <c r="N53" t="s">
        <v>303</v>
      </c>
      <c r="O53" t="s">
        <v>319</v>
      </c>
      <c r="P53" t="s">
        <v>50</v>
      </c>
      <c r="Q53">
        <v>8393263</v>
      </c>
      <c r="R53" t="s">
        <v>303</v>
      </c>
      <c r="S53" t="s">
        <v>300</v>
      </c>
      <c r="T53" t="s">
        <v>300</v>
      </c>
      <c r="U53" t="s">
        <v>300</v>
      </c>
      <c r="V53" t="s">
        <v>300</v>
      </c>
      <c r="W53" t="s">
        <v>300</v>
      </c>
      <c r="X53" t="s">
        <v>300</v>
      </c>
      <c r="Y53" t="s">
        <v>300</v>
      </c>
      <c r="Z53" t="s">
        <v>300</v>
      </c>
      <c r="AA53" t="s">
        <v>300</v>
      </c>
      <c r="AB53" t="s">
        <v>300</v>
      </c>
      <c r="AC53" t="s">
        <v>300</v>
      </c>
      <c r="AD53" t="s">
        <v>300</v>
      </c>
      <c r="AE53" t="s">
        <v>300</v>
      </c>
      <c r="AF53" t="s">
        <v>300</v>
      </c>
      <c r="AG53" t="s">
        <v>300</v>
      </c>
      <c r="AH53" t="s">
        <v>300</v>
      </c>
      <c r="AI53" t="s">
        <v>300</v>
      </c>
      <c r="AJ53" t="s">
        <v>300</v>
      </c>
      <c r="AK53" t="s">
        <v>300</v>
      </c>
      <c r="AL53" t="s">
        <v>300</v>
      </c>
      <c r="AM53" t="s">
        <v>300</v>
      </c>
      <c r="AN53" t="s">
        <v>300</v>
      </c>
      <c r="AO53" t="s">
        <v>300</v>
      </c>
      <c r="AP53" t="s">
        <v>300</v>
      </c>
      <c r="AQ53">
        <f t="shared" si="11"/>
        <v>0</v>
      </c>
      <c r="AR53">
        <f t="shared" si="12"/>
        <v>0</v>
      </c>
      <c r="AS53">
        <f t="shared" si="13"/>
        <v>0</v>
      </c>
      <c r="AT53">
        <f t="shared" si="14"/>
        <v>0</v>
      </c>
      <c r="AU53" t="str">
        <f t="shared" si="15"/>
        <v>NA</v>
      </c>
      <c r="AV53">
        <f t="shared" si="16"/>
        <v>100</v>
      </c>
      <c r="AW53">
        <f t="shared" si="17"/>
        <v>100</v>
      </c>
      <c r="AX53" s="14">
        <f t="shared" si="21"/>
        <v>0</v>
      </c>
      <c r="AY53" s="14">
        <f t="shared" si="22"/>
        <v>0</v>
      </c>
      <c r="AZ53" s="14">
        <f t="shared" si="22"/>
        <v>0</v>
      </c>
      <c r="BA53" s="14">
        <f t="shared" si="22"/>
        <v>0</v>
      </c>
      <c r="BB53" s="14">
        <f t="shared" si="33"/>
        <v>0</v>
      </c>
      <c r="BC53" s="14">
        <f t="shared" si="34"/>
        <v>11.05</v>
      </c>
      <c r="BD53" s="13">
        <f t="shared" si="35"/>
        <v>0</v>
      </c>
      <c r="BE53" s="13">
        <f t="shared" si="36"/>
        <v>0</v>
      </c>
      <c r="BF53" s="13">
        <f t="shared" si="37"/>
        <v>0</v>
      </c>
      <c r="BG53" s="13">
        <f t="shared" si="38"/>
        <v>0</v>
      </c>
      <c r="BH53" s="13">
        <f t="shared" si="39"/>
        <v>0</v>
      </c>
      <c r="BI53" s="13">
        <f t="shared" si="40"/>
        <v>0.31534931999999999</v>
      </c>
      <c r="BJ53" s="13">
        <f t="shared" si="41"/>
        <v>0.31534931999999999</v>
      </c>
      <c r="BK53" s="13">
        <f t="shared" si="42"/>
        <v>0.31534931999999999</v>
      </c>
    </row>
    <row r="54" spans="1:63" hidden="1" x14ac:dyDescent="0.35">
      <c r="A54">
        <v>46022</v>
      </c>
      <c r="B54" t="str">
        <f>_xlfn.XLOOKUP(C54,'Production Costs Co Product'!B:B,'Production Costs Co Product'!D:D,"Not found")</f>
        <v>Papua New Guinea</v>
      </c>
      <c r="C54" t="s">
        <v>81</v>
      </c>
      <c r="D54" s="13">
        <f>_xlfn.XLOOKUP(C54,'Production Costs Co Product'!B:B,'Production Costs Co Product'!J:J,"Not found")</f>
        <v>2.8538399999999999</v>
      </c>
      <c r="E54" t="s">
        <v>82</v>
      </c>
      <c r="F54" t="s">
        <v>248</v>
      </c>
      <c r="G54">
        <v>4352229</v>
      </c>
      <c r="H54">
        <v>56.97</v>
      </c>
      <c r="I54" t="s">
        <v>296</v>
      </c>
      <c r="J54" t="s">
        <v>50</v>
      </c>
      <c r="L54" t="s">
        <v>50</v>
      </c>
      <c r="M54" t="s">
        <v>331</v>
      </c>
      <c r="N54" t="s">
        <v>298</v>
      </c>
      <c r="O54" t="s">
        <v>309</v>
      </c>
      <c r="P54" t="s">
        <v>50</v>
      </c>
      <c r="Q54">
        <v>4649432</v>
      </c>
      <c r="R54" t="s">
        <v>303</v>
      </c>
      <c r="S54">
        <v>11.77</v>
      </c>
      <c r="T54">
        <v>3.97</v>
      </c>
      <c r="U54" t="s">
        <v>300</v>
      </c>
      <c r="V54" t="s">
        <v>300</v>
      </c>
      <c r="W54" t="s">
        <v>300</v>
      </c>
      <c r="X54" t="s">
        <v>300</v>
      </c>
      <c r="Y54" t="s">
        <v>300</v>
      </c>
      <c r="Z54" t="s">
        <v>300</v>
      </c>
      <c r="AA54">
        <v>7.31</v>
      </c>
      <c r="AB54" t="s">
        <v>300</v>
      </c>
      <c r="AC54">
        <v>0</v>
      </c>
      <c r="AD54" t="s">
        <v>300</v>
      </c>
      <c r="AE54" t="s">
        <v>300</v>
      </c>
      <c r="AF54">
        <v>0.48</v>
      </c>
      <c r="AG54" t="s">
        <v>300</v>
      </c>
      <c r="AH54">
        <v>0</v>
      </c>
      <c r="AI54" t="s">
        <v>300</v>
      </c>
      <c r="AJ54" t="s">
        <v>300</v>
      </c>
      <c r="AK54" t="s">
        <v>300</v>
      </c>
      <c r="AL54" t="s">
        <v>300</v>
      </c>
      <c r="AM54" t="s">
        <v>300</v>
      </c>
      <c r="AN54" t="s">
        <v>300</v>
      </c>
      <c r="AO54">
        <v>55.1</v>
      </c>
      <c r="AP54" t="s">
        <v>300</v>
      </c>
      <c r="AQ54">
        <f t="shared" si="11"/>
        <v>11.28</v>
      </c>
      <c r="AR54">
        <f t="shared" si="12"/>
        <v>0.48</v>
      </c>
      <c r="AS54">
        <f t="shared" si="13"/>
        <v>0</v>
      </c>
      <c r="AT54">
        <f t="shared" si="14"/>
        <v>55.1</v>
      </c>
      <c r="AU54">
        <f t="shared" si="15"/>
        <v>0</v>
      </c>
      <c r="AV54">
        <f t="shared" si="16"/>
        <v>33.14</v>
      </c>
      <c r="AW54">
        <f t="shared" si="17"/>
        <v>33.14</v>
      </c>
      <c r="AX54" s="14">
        <f t="shared" si="21"/>
        <v>6.4262159999999993</v>
      </c>
      <c r="AY54" s="14">
        <f t="shared" si="22"/>
        <v>0.27345599999999998</v>
      </c>
      <c r="AZ54" s="14">
        <f t="shared" si="22"/>
        <v>0</v>
      </c>
      <c r="BA54" s="14">
        <f t="shared" si="22"/>
        <v>31.390470000000001</v>
      </c>
      <c r="BB54" s="14">
        <f t="shared" si="33"/>
        <v>0</v>
      </c>
      <c r="BC54" s="14">
        <f t="shared" si="34"/>
        <v>18.879857999999999</v>
      </c>
      <c r="BD54" s="13">
        <f t="shared" si="35"/>
        <v>0.1833939226944</v>
      </c>
      <c r="BE54" s="13">
        <f t="shared" si="36"/>
        <v>7.8039967103999989E-3</v>
      </c>
      <c r="BF54" s="13">
        <f t="shared" si="37"/>
        <v>0</v>
      </c>
      <c r="BG54" s="13">
        <f t="shared" si="38"/>
        <v>0.89583378904799993</v>
      </c>
      <c r="BH54" s="13">
        <f t="shared" si="39"/>
        <v>0</v>
      </c>
      <c r="BI54" s="13">
        <f t="shared" si="40"/>
        <v>0.53880093954719999</v>
      </c>
      <c r="BJ54" s="13">
        <f t="shared" si="41"/>
        <v>1.6258326479999998</v>
      </c>
      <c r="BK54" s="13">
        <f t="shared" si="42"/>
        <v>1.625832648</v>
      </c>
    </row>
    <row r="55" spans="1:63" hidden="1" x14ac:dyDescent="0.35">
      <c r="A55">
        <v>46022</v>
      </c>
      <c r="B55" t="str">
        <f>_xlfn.XLOOKUP(C55,'Production Costs Co Product'!B:B,'Production Costs Co Product'!D:D,"Not found")</f>
        <v>Papua New Guinea</v>
      </c>
      <c r="C55" t="s">
        <v>81</v>
      </c>
      <c r="D55" s="13">
        <f>_xlfn.XLOOKUP(C55,'Production Costs Co Product'!B:B,'Production Costs Co Product'!J:J,"Not found")</f>
        <v>2.8538399999999999</v>
      </c>
      <c r="E55" t="s">
        <v>82</v>
      </c>
      <c r="F55" t="s">
        <v>249</v>
      </c>
      <c r="G55">
        <v>4352437</v>
      </c>
      <c r="H55">
        <v>3.94</v>
      </c>
      <c r="I55" t="s">
        <v>298</v>
      </c>
      <c r="J55" t="s">
        <v>83</v>
      </c>
      <c r="L55" t="s">
        <v>305</v>
      </c>
      <c r="M55" t="s">
        <v>305</v>
      </c>
      <c r="N55" t="s">
        <v>306</v>
      </c>
      <c r="O55" t="s">
        <v>305</v>
      </c>
      <c r="P55" t="s">
        <v>305</v>
      </c>
      <c r="Q55" t="s">
        <v>300</v>
      </c>
      <c r="R55" t="s">
        <v>296</v>
      </c>
      <c r="S55" t="s">
        <v>300</v>
      </c>
      <c r="T55" t="s">
        <v>300</v>
      </c>
      <c r="U55" t="s">
        <v>300</v>
      </c>
      <c r="V55" t="s">
        <v>300</v>
      </c>
      <c r="W55" t="s">
        <v>300</v>
      </c>
      <c r="X55" t="s">
        <v>300</v>
      </c>
      <c r="Y55" t="s">
        <v>300</v>
      </c>
      <c r="Z55" t="s">
        <v>300</v>
      </c>
      <c r="AA55" t="s">
        <v>300</v>
      </c>
      <c r="AB55" t="s">
        <v>300</v>
      </c>
      <c r="AC55" t="s">
        <v>300</v>
      </c>
      <c r="AD55" t="s">
        <v>300</v>
      </c>
      <c r="AE55" t="s">
        <v>300</v>
      </c>
      <c r="AF55" t="s">
        <v>300</v>
      </c>
      <c r="AG55" t="s">
        <v>300</v>
      </c>
      <c r="AH55" t="s">
        <v>300</v>
      </c>
      <c r="AI55" t="s">
        <v>300</v>
      </c>
      <c r="AJ55" t="s">
        <v>300</v>
      </c>
      <c r="AK55" t="s">
        <v>300</v>
      </c>
      <c r="AL55" t="s">
        <v>300</v>
      </c>
      <c r="AM55" t="s">
        <v>300</v>
      </c>
      <c r="AN55" t="s">
        <v>300</v>
      </c>
      <c r="AO55" t="s">
        <v>300</v>
      </c>
      <c r="AP55" t="s">
        <v>300</v>
      </c>
      <c r="AQ55">
        <f t="shared" si="11"/>
        <v>0</v>
      </c>
      <c r="AR55">
        <f t="shared" si="12"/>
        <v>0</v>
      </c>
      <c r="AS55">
        <f t="shared" si="13"/>
        <v>0</v>
      </c>
      <c r="AT55">
        <f t="shared" si="14"/>
        <v>0</v>
      </c>
      <c r="AU55" t="str">
        <f t="shared" si="15"/>
        <v>NA</v>
      </c>
      <c r="AV55">
        <f t="shared" si="16"/>
        <v>100</v>
      </c>
      <c r="AW55">
        <f t="shared" si="17"/>
        <v>100</v>
      </c>
      <c r="AX55" s="14">
        <f t="shared" si="21"/>
        <v>0</v>
      </c>
      <c r="AY55" s="14">
        <f t="shared" si="22"/>
        <v>0</v>
      </c>
      <c r="AZ55" s="14">
        <f t="shared" si="22"/>
        <v>0</v>
      </c>
      <c r="BA55" s="14">
        <f t="shared" si="22"/>
        <v>0</v>
      </c>
      <c r="BB55" s="14">
        <f t="shared" si="33"/>
        <v>0</v>
      </c>
      <c r="BC55" s="14">
        <f t="shared" si="34"/>
        <v>3.94</v>
      </c>
      <c r="BD55" s="13">
        <f t="shared" si="35"/>
        <v>0</v>
      </c>
      <c r="BE55" s="13">
        <f t="shared" si="36"/>
        <v>0</v>
      </c>
      <c r="BF55" s="13">
        <f t="shared" si="37"/>
        <v>0</v>
      </c>
      <c r="BG55" s="13">
        <f t="shared" si="38"/>
        <v>0</v>
      </c>
      <c r="BH55" s="13">
        <f t="shared" si="39"/>
        <v>0</v>
      </c>
      <c r="BI55" s="13">
        <f t="shared" si="40"/>
        <v>0.112441296</v>
      </c>
      <c r="BJ55" s="13">
        <f t="shared" si="41"/>
        <v>0.112441296</v>
      </c>
      <c r="BK55" s="13">
        <f t="shared" si="42"/>
        <v>0.112441296</v>
      </c>
    </row>
    <row r="56" spans="1:63" hidden="1" x14ac:dyDescent="0.35">
      <c r="A56">
        <v>46022</v>
      </c>
      <c r="B56" t="str">
        <f>_xlfn.XLOOKUP(C56,'Production Costs Co Product'!B:B,'Production Costs Co Product'!D:D,"Not found")</f>
        <v>Papua New Guinea</v>
      </c>
      <c r="C56" t="s">
        <v>81</v>
      </c>
      <c r="D56" s="13">
        <f>_xlfn.XLOOKUP(C56,'Production Costs Co Product'!B:B,'Production Costs Co Product'!J:J,"Not found")</f>
        <v>2.8538399999999999</v>
      </c>
      <c r="E56" t="s">
        <v>82</v>
      </c>
      <c r="F56" t="s">
        <v>250</v>
      </c>
      <c r="G56">
        <v>19394423</v>
      </c>
      <c r="H56">
        <v>8.56</v>
      </c>
      <c r="I56" t="s">
        <v>296</v>
      </c>
      <c r="J56" t="s">
        <v>80</v>
      </c>
      <c r="L56" t="s">
        <v>305</v>
      </c>
      <c r="M56" t="s">
        <v>305</v>
      </c>
      <c r="N56" t="s">
        <v>306</v>
      </c>
      <c r="O56" t="s">
        <v>305</v>
      </c>
      <c r="P56" t="s">
        <v>305</v>
      </c>
      <c r="Q56" t="s">
        <v>300</v>
      </c>
      <c r="R56" t="s">
        <v>296</v>
      </c>
      <c r="S56">
        <v>0.43</v>
      </c>
      <c r="T56" t="s">
        <v>300</v>
      </c>
      <c r="U56" t="s">
        <v>300</v>
      </c>
      <c r="V56" t="s">
        <v>300</v>
      </c>
      <c r="W56" t="s">
        <v>300</v>
      </c>
      <c r="X56" t="s">
        <v>300</v>
      </c>
      <c r="Y56" t="s">
        <v>300</v>
      </c>
      <c r="Z56" t="s">
        <v>300</v>
      </c>
      <c r="AA56">
        <v>0.43</v>
      </c>
      <c r="AB56" t="s">
        <v>300</v>
      </c>
      <c r="AC56" t="s">
        <v>300</v>
      </c>
      <c r="AD56" t="s">
        <v>300</v>
      </c>
      <c r="AE56" t="s">
        <v>300</v>
      </c>
      <c r="AF56" t="s">
        <v>300</v>
      </c>
      <c r="AG56" t="s">
        <v>300</v>
      </c>
      <c r="AH56">
        <v>1.79</v>
      </c>
      <c r="AI56">
        <v>17.39</v>
      </c>
      <c r="AJ56" t="s">
        <v>300</v>
      </c>
      <c r="AK56" t="s">
        <v>300</v>
      </c>
      <c r="AL56" t="s">
        <v>300</v>
      </c>
      <c r="AM56" t="s">
        <v>300</v>
      </c>
      <c r="AN56" t="s">
        <v>300</v>
      </c>
      <c r="AO56" t="s">
        <v>300</v>
      </c>
      <c r="AP56" t="s">
        <v>300</v>
      </c>
      <c r="AQ56">
        <f t="shared" si="11"/>
        <v>17.82</v>
      </c>
      <c r="AR56">
        <f t="shared" si="12"/>
        <v>0</v>
      </c>
      <c r="AS56">
        <f t="shared" si="13"/>
        <v>1.79</v>
      </c>
      <c r="AT56">
        <f t="shared" si="14"/>
        <v>0</v>
      </c>
      <c r="AU56" t="str">
        <f t="shared" si="15"/>
        <v>NA</v>
      </c>
      <c r="AV56">
        <f t="shared" si="16"/>
        <v>80.39</v>
      </c>
      <c r="AW56">
        <f t="shared" si="17"/>
        <v>80.39</v>
      </c>
      <c r="AX56" s="14">
        <f t="shared" si="21"/>
        <v>1.5253920000000003</v>
      </c>
      <c r="AY56" s="14">
        <f t="shared" si="22"/>
        <v>0</v>
      </c>
      <c r="AZ56" s="14">
        <f t="shared" si="22"/>
        <v>0.15322400000000003</v>
      </c>
      <c r="BA56" s="14">
        <f t="shared" si="22"/>
        <v>0</v>
      </c>
      <c r="BB56" s="14">
        <f t="shared" si="33"/>
        <v>0</v>
      </c>
      <c r="BC56" s="14">
        <f t="shared" si="34"/>
        <v>6.8813840000000006</v>
      </c>
      <c r="BD56" s="13">
        <f t="shared" si="35"/>
        <v>4.3532247052800004E-2</v>
      </c>
      <c r="BE56" s="13">
        <f t="shared" si="36"/>
        <v>0</v>
      </c>
      <c r="BF56" s="13">
        <f t="shared" si="37"/>
        <v>4.3727678016000004E-3</v>
      </c>
      <c r="BG56" s="13">
        <f t="shared" si="38"/>
        <v>0</v>
      </c>
      <c r="BH56" s="13">
        <f t="shared" si="39"/>
        <v>0</v>
      </c>
      <c r="BI56" s="13">
        <f t="shared" si="40"/>
        <v>0.1963836891456</v>
      </c>
      <c r="BJ56" s="13">
        <f t="shared" si="41"/>
        <v>0.24428870400000002</v>
      </c>
      <c r="BK56" s="13">
        <f t="shared" si="42"/>
        <v>0.24428870400000002</v>
      </c>
    </row>
    <row r="57" spans="1:63" hidden="1" x14ac:dyDescent="0.35">
      <c r="A57">
        <v>46022</v>
      </c>
      <c r="B57" t="str">
        <f>_xlfn.XLOOKUP(C57,'Production Costs Co Product'!B:B,'Production Costs Co Product'!D:D,"Not found")</f>
        <v>Papua New Guinea</v>
      </c>
      <c r="C57" t="s">
        <v>81</v>
      </c>
      <c r="D57" s="13">
        <f>_xlfn.XLOOKUP(C57,'Production Costs Co Product'!B:B,'Production Costs Co Product'!J:J,"Not found")</f>
        <v>2.8538399999999999</v>
      </c>
      <c r="E57" t="s">
        <v>82</v>
      </c>
      <c r="F57" t="s">
        <v>229</v>
      </c>
      <c r="G57">
        <v>4353456</v>
      </c>
      <c r="H57">
        <v>2.5</v>
      </c>
      <c r="I57" t="s">
        <v>298</v>
      </c>
      <c r="J57" t="s">
        <v>50</v>
      </c>
      <c r="L57" t="s">
        <v>305</v>
      </c>
      <c r="M57" t="s">
        <v>305</v>
      </c>
      <c r="N57" t="s">
        <v>306</v>
      </c>
      <c r="O57" t="s">
        <v>305</v>
      </c>
      <c r="P57" t="s">
        <v>305</v>
      </c>
      <c r="Q57" t="s">
        <v>300</v>
      </c>
      <c r="R57" t="s">
        <v>296</v>
      </c>
      <c r="S57" t="s">
        <v>300</v>
      </c>
      <c r="T57" t="s">
        <v>300</v>
      </c>
      <c r="U57" t="s">
        <v>300</v>
      </c>
      <c r="V57" t="s">
        <v>300</v>
      </c>
      <c r="W57" t="s">
        <v>300</v>
      </c>
      <c r="X57" t="s">
        <v>300</v>
      </c>
      <c r="Y57" t="s">
        <v>300</v>
      </c>
      <c r="Z57" t="s">
        <v>300</v>
      </c>
      <c r="AA57" t="s">
        <v>300</v>
      </c>
      <c r="AB57" t="s">
        <v>300</v>
      </c>
      <c r="AC57" t="s">
        <v>300</v>
      </c>
      <c r="AD57" t="s">
        <v>300</v>
      </c>
      <c r="AE57" t="s">
        <v>300</v>
      </c>
      <c r="AF57" t="s">
        <v>300</v>
      </c>
      <c r="AG57" t="s">
        <v>300</v>
      </c>
      <c r="AH57" t="s">
        <v>300</v>
      </c>
      <c r="AI57" t="s">
        <v>300</v>
      </c>
      <c r="AJ57" t="s">
        <v>300</v>
      </c>
      <c r="AK57" t="s">
        <v>300</v>
      </c>
      <c r="AL57" t="s">
        <v>300</v>
      </c>
      <c r="AM57" t="s">
        <v>300</v>
      </c>
      <c r="AN57" t="s">
        <v>300</v>
      </c>
      <c r="AO57" t="s">
        <v>300</v>
      </c>
      <c r="AP57" t="s">
        <v>300</v>
      </c>
      <c r="AQ57">
        <f t="shared" si="11"/>
        <v>0</v>
      </c>
      <c r="AR57">
        <f t="shared" si="12"/>
        <v>0</v>
      </c>
      <c r="AS57">
        <f t="shared" si="13"/>
        <v>0</v>
      </c>
      <c r="AT57">
        <f t="shared" si="14"/>
        <v>0</v>
      </c>
      <c r="AU57" t="str">
        <f t="shared" si="15"/>
        <v>NA</v>
      </c>
      <c r="AV57">
        <f t="shared" si="16"/>
        <v>100</v>
      </c>
      <c r="AW57">
        <f t="shared" si="17"/>
        <v>100</v>
      </c>
      <c r="AX57" s="14">
        <f t="shared" si="21"/>
        <v>0</v>
      </c>
      <c r="AY57" s="14">
        <f t="shared" si="22"/>
        <v>0</v>
      </c>
      <c r="AZ57" s="14">
        <f t="shared" si="22"/>
        <v>0</v>
      </c>
      <c r="BA57" s="14">
        <f t="shared" si="22"/>
        <v>0</v>
      </c>
      <c r="BB57" s="14">
        <f t="shared" si="33"/>
        <v>0</v>
      </c>
      <c r="BC57" s="14">
        <f t="shared" si="34"/>
        <v>2.5</v>
      </c>
      <c r="BD57" s="13">
        <f t="shared" si="35"/>
        <v>0</v>
      </c>
      <c r="BE57" s="13">
        <f t="shared" si="36"/>
        <v>0</v>
      </c>
      <c r="BF57" s="13">
        <f t="shared" si="37"/>
        <v>0</v>
      </c>
      <c r="BG57" s="13">
        <f t="shared" si="38"/>
        <v>0</v>
      </c>
      <c r="BH57" s="13">
        <f t="shared" si="39"/>
        <v>0</v>
      </c>
      <c r="BI57" s="13">
        <f t="shared" si="40"/>
        <v>7.1346000000000007E-2</v>
      </c>
      <c r="BJ57" s="13">
        <f t="shared" si="41"/>
        <v>7.1346000000000007E-2</v>
      </c>
      <c r="BK57" s="13">
        <f t="shared" si="42"/>
        <v>7.1345999999999993E-2</v>
      </c>
    </row>
    <row r="58" spans="1:63" hidden="1" x14ac:dyDescent="0.35">
      <c r="A58">
        <v>46022</v>
      </c>
      <c r="B58" t="str">
        <f>_xlfn.XLOOKUP(C58,'Production Costs Co Product'!B:B,'Production Costs Co Product'!D:D,"Not found")</f>
        <v>Philippines</v>
      </c>
      <c r="C58" t="s">
        <v>126</v>
      </c>
      <c r="D58" s="13">
        <f>_xlfn.XLOOKUP(C58,'Production Costs Co Product'!B:B,'Production Costs Co Product'!J:J,"Not found")</f>
        <v>1.5</v>
      </c>
      <c r="E58" t="s">
        <v>127</v>
      </c>
      <c r="F58" t="s">
        <v>251</v>
      </c>
      <c r="G58">
        <v>4352804</v>
      </c>
      <c r="H58">
        <v>60</v>
      </c>
      <c r="I58" t="s">
        <v>296</v>
      </c>
      <c r="J58" t="s">
        <v>128</v>
      </c>
      <c r="L58" t="s">
        <v>305</v>
      </c>
      <c r="M58" t="s">
        <v>305</v>
      </c>
      <c r="N58" t="s">
        <v>306</v>
      </c>
      <c r="O58" t="s">
        <v>305</v>
      </c>
      <c r="P58" t="s">
        <v>305</v>
      </c>
      <c r="Q58" t="s">
        <v>300</v>
      </c>
      <c r="R58" t="s">
        <v>296</v>
      </c>
      <c r="S58">
        <v>17.02</v>
      </c>
      <c r="T58">
        <v>13.14</v>
      </c>
      <c r="U58" t="s">
        <v>300</v>
      </c>
      <c r="V58" t="s">
        <v>300</v>
      </c>
      <c r="W58" t="s">
        <v>300</v>
      </c>
      <c r="X58" t="s">
        <v>300</v>
      </c>
      <c r="Y58" t="s">
        <v>300</v>
      </c>
      <c r="Z58" t="s">
        <v>300</v>
      </c>
      <c r="AA58">
        <v>0.81</v>
      </c>
      <c r="AB58" t="s">
        <v>300</v>
      </c>
      <c r="AC58" t="s">
        <v>300</v>
      </c>
      <c r="AD58" t="s">
        <v>300</v>
      </c>
      <c r="AE58" t="s">
        <v>300</v>
      </c>
      <c r="AF58">
        <v>3.06</v>
      </c>
      <c r="AG58" t="s">
        <v>300</v>
      </c>
      <c r="AH58">
        <v>8.84</v>
      </c>
      <c r="AI58" t="s">
        <v>300</v>
      </c>
      <c r="AJ58" t="s">
        <v>300</v>
      </c>
      <c r="AK58" t="s">
        <v>300</v>
      </c>
      <c r="AL58" t="s">
        <v>300</v>
      </c>
      <c r="AM58" t="s">
        <v>300</v>
      </c>
      <c r="AN58" t="s">
        <v>300</v>
      </c>
      <c r="AO58">
        <v>25.63</v>
      </c>
      <c r="AP58">
        <v>25.94</v>
      </c>
      <c r="AQ58">
        <f t="shared" si="11"/>
        <v>13.950000000000001</v>
      </c>
      <c r="AR58">
        <f t="shared" si="12"/>
        <v>3.06</v>
      </c>
      <c r="AS58">
        <f t="shared" si="13"/>
        <v>8.84</v>
      </c>
      <c r="AT58">
        <f t="shared" si="14"/>
        <v>51.57</v>
      </c>
      <c r="AU58" t="str">
        <f t="shared" si="15"/>
        <v>NA</v>
      </c>
      <c r="AV58">
        <f t="shared" si="16"/>
        <v>22.58</v>
      </c>
      <c r="AW58">
        <f t="shared" si="17"/>
        <v>22.58</v>
      </c>
      <c r="AX58" s="14">
        <f t="shared" si="21"/>
        <v>8.370000000000001</v>
      </c>
      <c r="AY58" s="14">
        <f t="shared" si="22"/>
        <v>1.8359999999999999</v>
      </c>
      <c r="AZ58" s="14">
        <f t="shared" si="22"/>
        <v>5.3039999999999994</v>
      </c>
      <c r="BA58" s="14">
        <f t="shared" si="22"/>
        <v>30.941999999999997</v>
      </c>
      <c r="BB58" s="14">
        <f t="shared" si="33"/>
        <v>0</v>
      </c>
      <c r="BC58" s="14">
        <f t="shared" si="34"/>
        <v>13.548</v>
      </c>
      <c r="BD58" s="13">
        <f t="shared" si="35"/>
        <v>0.12555000000000002</v>
      </c>
      <c r="BE58" s="13">
        <f t="shared" si="36"/>
        <v>2.7539999999999995E-2</v>
      </c>
      <c r="BF58" s="13">
        <f t="shared" si="37"/>
        <v>7.9559999999999992E-2</v>
      </c>
      <c r="BG58" s="13">
        <f t="shared" si="38"/>
        <v>0.46412999999999993</v>
      </c>
      <c r="BH58" s="13">
        <f t="shared" si="39"/>
        <v>0</v>
      </c>
      <c r="BI58" s="13">
        <f t="shared" si="40"/>
        <v>0.20321999999999998</v>
      </c>
      <c r="BJ58" s="13">
        <f t="shared" si="41"/>
        <v>0.89999999999999991</v>
      </c>
      <c r="BK58" s="13">
        <f t="shared" si="42"/>
        <v>0.9</v>
      </c>
    </row>
    <row r="59" spans="1:63" hidden="1" x14ac:dyDescent="0.35">
      <c r="A59">
        <v>46022</v>
      </c>
      <c r="B59" t="str">
        <f>_xlfn.XLOOKUP(C59,'Production Costs Co Product'!B:B,'Production Costs Co Product'!D:D,"Not found")</f>
        <v>Philippines</v>
      </c>
      <c r="C59" t="s">
        <v>126</v>
      </c>
      <c r="D59" s="13">
        <f>_xlfn.XLOOKUP(C59,'Production Costs Co Product'!B:B,'Production Costs Co Product'!J:J,"Not found")</f>
        <v>1.5</v>
      </c>
      <c r="E59" t="s">
        <v>127</v>
      </c>
      <c r="F59" t="s">
        <v>252</v>
      </c>
      <c r="G59">
        <v>4557435</v>
      </c>
      <c r="H59">
        <v>36</v>
      </c>
      <c r="I59" t="s">
        <v>296</v>
      </c>
      <c r="J59" t="s">
        <v>304</v>
      </c>
      <c r="L59" t="s">
        <v>305</v>
      </c>
      <c r="M59" t="s">
        <v>305</v>
      </c>
      <c r="N59" t="s">
        <v>306</v>
      </c>
      <c r="O59" t="s">
        <v>305</v>
      </c>
      <c r="P59" t="s">
        <v>305</v>
      </c>
      <c r="Q59" t="s">
        <v>300</v>
      </c>
      <c r="R59" t="s">
        <v>296</v>
      </c>
      <c r="S59">
        <v>16.5</v>
      </c>
      <c r="T59">
        <v>-7.84</v>
      </c>
      <c r="U59" t="s">
        <v>300</v>
      </c>
      <c r="V59" t="s">
        <v>300</v>
      </c>
      <c r="W59" t="s">
        <v>300</v>
      </c>
      <c r="X59" t="s">
        <v>300</v>
      </c>
      <c r="Y59" t="s">
        <v>300</v>
      </c>
      <c r="Z59" t="s">
        <v>300</v>
      </c>
      <c r="AA59">
        <v>20.47</v>
      </c>
      <c r="AB59" t="s">
        <v>300</v>
      </c>
      <c r="AC59">
        <v>1.48</v>
      </c>
      <c r="AD59" t="s">
        <v>300</v>
      </c>
      <c r="AE59">
        <v>2.39</v>
      </c>
      <c r="AF59" t="s">
        <v>300</v>
      </c>
      <c r="AG59" t="s">
        <v>300</v>
      </c>
      <c r="AH59">
        <v>0.22</v>
      </c>
      <c r="AI59" t="s">
        <v>300</v>
      </c>
      <c r="AJ59" t="s">
        <v>300</v>
      </c>
      <c r="AK59" t="s">
        <v>300</v>
      </c>
      <c r="AL59" t="s">
        <v>300</v>
      </c>
      <c r="AM59">
        <v>1.4</v>
      </c>
      <c r="AN59" t="s">
        <v>300</v>
      </c>
      <c r="AO59">
        <v>5.42</v>
      </c>
      <c r="AP59" t="s">
        <v>300</v>
      </c>
      <c r="AQ59">
        <f t="shared" si="11"/>
        <v>15.02</v>
      </c>
      <c r="AR59">
        <f t="shared" si="12"/>
        <v>0</v>
      </c>
      <c r="AS59">
        <f t="shared" si="13"/>
        <v>0.22</v>
      </c>
      <c r="AT59">
        <f t="shared" si="14"/>
        <v>6.82</v>
      </c>
      <c r="AU59">
        <f t="shared" si="15"/>
        <v>1.48</v>
      </c>
      <c r="AV59">
        <f t="shared" si="16"/>
        <v>76.459999999999994</v>
      </c>
      <c r="AW59">
        <f t="shared" si="17"/>
        <v>76.460000000000008</v>
      </c>
      <c r="AX59" s="14">
        <f t="shared" si="21"/>
        <v>5.4072000000000005</v>
      </c>
      <c r="AY59" s="14">
        <f t="shared" si="22"/>
        <v>0</v>
      </c>
      <c r="AZ59" s="14">
        <f t="shared" si="22"/>
        <v>7.9199999999999993E-2</v>
      </c>
      <c r="BA59" s="14">
        <f t="shared" si="22"/>
        <v>2.4552</v>
      </c>
      <c r="BB59" s="14">
        <f t="shared" si="33"/>
        <v>0.53280000000000005</v>
      </c>
      <c r="BC59" s="14">
        <f t="shared" si="34"/>
        <v>27.525600000000001</v>
      </c>
      <c r="BD59" s="13">
        <f t="shared" si="35"/>
        <v>8.1108E-2</v>
      </c>
      <c r="BE59" s="13">
        <f t="shared" si="36"/>
        <v>0</v>
      </c>
      <c r="BF59" s="13">
        <f t="shared" si="37"/>
        <v>1.1879999999999998E-3</v>
      </c>
      <c r="BG59" s="13">
        <f t="shared" si="38"/>
        <v>3.6828E-2</v>
      </c>
      <c r="BH59" s="13">
        <f t="shared" si="39"/>
        <v>7.9920000000000008E-3</v>
      </c>
      <c r="BI59" s="13">
        <f t="shared" si="40"/>
        <v>0.41288400000000003</v>
      </c>
      <c r="BJ59" s="13">
        <f t="shared" si="41"/>
        <v>0.54</v>
      </c>
      <c r="BK59" s="13">
        <f t="shared" si="42"/>
        <v>0.54</v>
      </c>
    </row>
    <row r="60" spans="1:63" hidden="1" x14ac:dyDescent="0.35">
      <c r="A60">
        <v>46022</v>
      </c>
      <c r="B60" t="str">
        <f>_xlfn.XLOOKUP(C60,'Production Costs Co Product'!B:B,'Production Costs Co Product'!D:D,"Not found")</f>
        <v>Philippines</v>
      </c>
      <c r="C60" t="s">
        <v>126</v>
      </c>
      <c r="D60" s="13">
        <f>_xlfn.XLOOKUP(C60,'Production Costs Co Product'!B:B,'Production Costs Co Product'!J:J,"Not found")</f>
        <v>1.5</v>
      </c>
      <c r="E60" t="s">
        <v>127</v>
      </c>
      <c r="F60" t="s">
        <v>253</v>
      </c>
      <c r="G60">
        <v>4096231</v>
      </c>
      <c r="H60">
        <v>4</v>
      </c>
      <c r="I60" t="s">
        <v>296</v>
      </c>
      <c r="J60" t="s">
        <v>304</v>
      </c>
      <c r="L60" t="s">
        <v>305</v>
      </c>
      <c r="M60" t="s">
        <v>305</v>
      </c>
      <c r="N60" t="s">
        <v>306</v>
      </c>
      <c r="O60" t="s">
        <v>305</v>
      </c>
      <c r="P60" t="s">
        <v>305</v>
      </c>
      <c r="Q60" t="s">
        <v>300</v>
      </c>
      <c r="R60" t="s">
        <v>296</v>
      </c>
      <c r="S60">
        <v>38.81</v>
      </c>
      <c r="T60">
        <v>3.67</v>
      </c>
      <c r="U60" t="s">
        <v>300</v>
      </c>
      <c r="V60" t="s">
        <v>300</v>
      </c>
      <c r="W60" t="s">
        <v>300</v>
      </c>
      <c r="X60" t="s">
        <v>300</v>
      </c>
      <c r="Y60">
        <v>0.03</v>
      </c>
      <c r="Z60">
        <v>0.05</v>
      </c>
      <c r="AA60">
        <v>31.19</v>
      </c>
      <c r="AB60" t="s">
        <v>300</v>
      </c>
      <c r="AC60">
        <v>1.91</v>
      </c>
      <c r="AD60" t="s">
        <v>300</v>
      </c>
      <c r="AE60">
        <v>0.17</v>
      </c>
      <c r="AF60">
        <v>1.72</v>
      </c>
      <c r="AG60">
        <v>0.06</v>
      </c>
      <c r="AH60">
        <v>0.18</v>
      </c>
      <c r="AI60" t="s">
        <v>300</v>
      </c>
      <c r="AJ60" t="s">
        <v>300</v>
      </c>
      <c r="AK60" t="s">
        <v>300</v>
      </c>
      <c r="AL60" t="s">
        <v>300</v>
      </c>
      <c r="AM60" t="s">
        <v>300</v>
      </c>
      <c r="AN60" t="s">
        <v>300</v>
      </c>
      <c r="AO60" t="s">
        <v>300</v>
      </c>
      <c r="AP60" t="s">
        <v>300</v>
      </c>
      <c r="AQ60">
        <f t="shared" si="11"/>
        <v>35.14</v>
      </c>
      <c r="AR60">
        <f t="shared" si="12"/>
        <v>1.75</v>
      </c>
      <c r="AS60">
        <f t="shared" si="13"/>
        <v>0.18</v>
      </c>
      <c r="AT60">
        <f t="shared" si="14"/>
        <v>0</v>
      </c>
      <c r="AU60">
        <f t="shared" si="15"/>
        <v>1.91</v>
      </c>
      <c r="AV60">
        <f t="shared" si="16"/>
        <v>61.02</v>
      </c>
      <c r="AW60">
        <f t="shared" si="17"/>
        <v>61.02</v>
      </c>
      <c r="AX60" s="14">
        <f t="shared" si="21"/>
        <v>1.4056</v>
      </c>
      <c r="AY60" s="14">
        <f t="shared" si="22"/>
        <v>7.0000000000000007E-2</v>
      </c>
      <c r="AZ60" s="14">
        <f t="shared" si="22"/>
        <v>7.1999999999999998E-3</v>
      </c>
      <c r="BA60" s="14">
        <f t="shared" si="22"/>
        <v>0</v>
      </c>
      <c r="BB60" s="14">
        <f t="shared" si="33"/>
        <v>7.6399999999999996E-2</v>
      </c>
      <c r="BC60" s="14">
        <f t="shared" si="34"/>
        <v>2.4408000000000003</v>
      </c>
      <c r="BD60" s="13">
        <f t="shared" si="35"/>
        <v>2.1083999999999999E-2</v>
      </c>
      <c r="BE60" s="13">
        <f t="shared" si="36"/>
        <v>1.0500000000000002E-3</v>
      </c>
      <c r="BF60" s="13">
        <f t="shared" si="37"/>
        <v>1.08E-4</v>
      </c>
      <c r="BG60" s="13">
        <f t="shared" si="38"/>
        <v>0</v>
      </c>
      <c r="BH60" s="13">
        <f t="shared" si="39"/>
        <v>1.1459999999999999E-3</v>
      </c>
      <c r="BI60" s="13">
        <f t="shared" si="40"/>
        <v>3.6612000000000006E-2</v>
      </c>
      <c r="BJ60" s="13">
        <f t="shared" si="41"/>
        <v>6.0000000000000005E-2</v>
      </c>
      <c r="BK60" s="13">
        <f t="shared" si="42"/>
        <v>0.06</v>
      </c>
    </row>
    <row r="61" spans="1:63" hidden="1" x14ac:dyDescent="0.35">
      <c r="A61">
        <v>46022</v>
      </c>
      <c r="B61" t="str">
        <f>_xlfn.XLOOKUP(C61,'Production Costs Co Product'!B:B,'Production Costs Co Product'!D:D,"Not found")</f>
        <v>Dem. Rep. Congo</v>
      </c>
      <c r="C61" t="s">
        <v>84</v>
      </c>
      <c r="D61" s="13">
        <f>_xlfn.XLOOKUP(C61,'Production Costs Co Product'!B:B,'Production Costs Co Product'!J:J,"Not found")</f>
        <v>1.3635900000000001</v>
      </c>
      <c r="E61" t="s">
        <v>85</v>
      </c>
      <c r="F61" t="s">
        <v>56</v>
      </c>
      <c r="G61">
        <v>4350734</v>
      </c>
      <c r="H61">
        <v>5</v>
      </c>
      <c r="I61" t="s">
        <v>303</v>
      </c>
      <c r="J61" t="s">
        <v>56</v>
      </c>
      <c r="L61" t="s">
        <v>305</v>
      </c>
      <c r="M61" t="s">
        <v>305</v>
      </c>
      <c r="N61" t="s">
        <v>306</v>
      </c>
      <c r="O61" t="s">
        <v>305</v>
      </c>
      <c r="P61" t="s">
        <v>305</v>
      </c>
      <c r="Q61" t="s">
        <v>300</v>
      </c>
      <c r="R61" t="s">
        <v>296</v>
      </c>
      <c r="S61" t="s">
        <v>300</v>
      </c>
      <c r="T61" t="s">
        <v>300</v>
      </c>
      <c r="U61" t="s">
        <v>300</v>
      </c>
      <c r="V61" t="s">
        <v>300</v>
      </c>
      <c r="W61" t="s">
        <v>300</v>
      </c>
      <c r="X61" t="s">
        <v>300</v>
      </c>
      <c r="Y61" t="s">
        <v>300</v>
      </c>
      <c r="Z61" t="s">
        <v>300</v>
      </c>
      <c r="AA61" t="s">
        <v>300</v>
      </c>
      <c r="AB61" t="s">
        <v>300</v>
      </c>
      <c r="AC61" t="s">
        <v>300</v>
      </c>
      <c r="AD61" t="s">
        <v>300</v>
      </c>
      <c r="AE61" t="s">
        <v>300</v>
      </c>
      <c r="AF61" t="s">
        <v>300</v>
      </c>
      <c r="AG61" t="s">
        <v>300</v>
      </c>
      <c r="AH61" t="s">
        <v>300</v>
      </c>
      <c r="AI61" t="s">
        <v>300</v>
      </c>
      <c r="AJ61" t="s">
        <v>300</v>
      </c>
      <c r="AK61" t="s">
        <v>300</v>
      </c>
      <c r="AL61" t="s">
        <v>300</v>
      </c>
      <c r="AM61" t="s">
        <v>300</v>
      </c>
      <c r="AN61" t="s">
        <v>300</v>
      </c>
      <c r="AO61" t="s">
        <v>300</v>
      </c>
      <c r="AP61" t="s">
        <v>300</v>
      </c>
      <c r="AQ61">
        <f t="shared" si="11"/>
        <v>0</v>
      </c>
      <c r="AR61">
        <f t="shared" si="12"/>
        <v>0</v>
      </c>
      <c r="AS61">
        <f t="shared" si="13"/>
        <v>0</v>
      </c>
      <c r="AT61">
        <f t="shared" si="14"/>
        <v>0</v>
      </c>
      <c r="AU61" t="str">
        <f t="shared" si="15"/>
        <v>NA</v>
      </c>
      <c r="AV61">
        <f t="shared" si="16"/>
        <v>100</v>
      </c>
      <c r="AW61">
        <f t="shared" si="17"/>
        <v>100</v>
      </c>
      <c r="AX61" s="14">
        <f t="shared" si="21"/>
        <v>0</v>
      </c>
      <c r="AY61" s="14">
        <f t="shared" si="22"/>
        <v>0</v>
      </c>
      <c r="AZ61" s="14">
        <f t="shared" si="22"/>
        <v>0</v>
      </c>
      <c r="BA61" s="14">
        <f t="shared" si="22"/>
        <v>0</v>
      </c>
      <c r="BB61" s="14">
        <f t="shared" si="33"/>
        <v>0</v>
      </c>
      <c r="BC61" s="14">
        <f t="shared" si="34"/>
        <v>5</v>
      </c>
      <c r="BD61" s="13">
        <f t="shared" si="35"/>
        <v>0</v>
      </c>
      <c r="BE61" s="13">
        <f t="shared" si="36"/>
        <v>0</v>
      </c>
      <c r="BF61" s="13">
        <f t="shared" si="37"/>
        <v>0</v>
      </c>
      <c r="BG61" s="13">
        <f t="shared" si="38"/>
        <v>0</v>
      </c>
      <c r="BH61" s="13">
        <f t="shared" si="39"/>
        <v>0</v>
      </c>
      <c r="BI61" s="13">
        <f t="shared" si="40"/>
        <v>6.8179500000000004E-2</v>
      </c>
      <c r="BJ61" s="13">
        <f t="shared" si="41"/>
        <v>6.8179500000000004E-2</v>
      </c>
      <c r="BK61" s="13">
        <f t="shared" si="42"/>
        <v>6.8179500000000004E-2</v>
      </c>
    </row>
    <row r="62" spans="1:63" hidden="1" x14ac:dyDescent="0.35">
      <c r="A62">
        <v>46022</v>
      </c>
      <c r="B62" t="str">
        <f>_xlfn.XLOOKUP(C62,'Production Costs Co Product'!B:B,'Production Costs Co Product'!D:D,"Not found")</f>
        <v>Dem. Rep. Congo</v>
      </c>
      <c r="C62" t="s">
        <v>84</v>
      </c>
      <c r="D62" s="13">
        <f>_xlfn.XLOOKUP(C62,'Production Costs Co Product'!B:B,'Production Costs Co Product'!J:J,"Not found")</f>
        <v>1.3635900000000001</v>
      </c>
      <c r="E62" t="s">
        <v>85</v>
      </c>
      <c r="F62" t="s">
        <v>223</v>
      </c>
      <c r="G62">
        <v>4350360</v>
      </c>
      <c r="H62">
        <v>25</v>
      </c>
      <c r="I62" t="s">
        <v>298</v>
      </c>
      <c r="J62" t="s">
        <v>56</v>
      </c>
      <c r="L62" t="s">
        <v>56</v>
      </c>
      <c r="M62" t="s">
        <v>312</v>
      </c>
      <c r="N62" t="s">
        <v>303</v>
      </c>
      <c r="O62" t="s">
        <v>56</v>
      </c>
      <c r="P62" t="s">
        <v>56</v>
      </c>
      <c r="Q62">
        <v>4350734</v>
      </c>
      <c r="R62" t="s">
        <v>303</v>
      </c>
      <c r="S62" t="s">
        <v>300</v>
      </c>
      <c r="T62" t="s">
        <v>300</v>
      </c>
      <c r="U62" t="s">
        <v>300</v>
      </c>
      <c r="V62" t="s">
        <v>300</v>
      </c>
      <c r="W62" t="s">
        <v>300</v>
      </c>
      <c r="X62" t="s">
        <v>300</v>
      </c>
      <c r="Y62" t="s">
        <v>300</v>
      </c>
      <c r="Z62" t="s">
        <v>300</v>
      </c>
      <c r="AA62" t="s">
        <v>300</v>
      </c>
      <c r="AB62" t="s">
        <v>300</v>
      </c>
      <c r="AC62" t="s">
        <v>300</v>
      </c>
      <c r="AD62" t="s">
        <v>300</v>
      </c>
      <c r="AE62" t="s">
        <v>300</v>
      </c>
      <c r="AF62" t="s">
        <v>300</v>
      </c>
      <c r="AG62" t="s">
        <v>300</v>
      </c>
      <c r="AH62" t="s">
        <v>300</v>
      </c>
      <c r="AI62" t="s">
        <v>300</v>
      </c>
      <c r="AJ62" t="s">
        <v>300</v>
      </c>
      <c r="AK62" t="s">
        <v>300</v>
      </c>
      <c r="AL62" t="s">
        <v>300</v>
      </c>
      <c r="AM62" t="s">
        <v>300</v>
      </c>
      <c r="AN62" t="s">
        <v>300</v>
      </c>
      <c r="AO62" t="s">
        <v>300</v>
      </c>
      <c r="AP62" t="s">
        <v>300</v>
      </c>
      <c r="AQ62">
        <f t="shared" si="11"/>
        <v>0</v>
      </c>
      <c r="AR62">
        <f t="shared" si="12"/>
        <v>0</v>
      </c>
      <c r="AS62">
        <f t="shared" si="13"/>
        <v>0</v>
      </c>
      <c r="AT62">
        <f t="shared" si="14"/>
        <v>0</v>
      </c>
      <c r="AU62" t="str">
        <f t="shared" si="15"/>
        <v>NA</v>
      </c>
      <c r="AV62">
        <f t="shared" si="16"/>
        <v>100</v>
      </c>
      <c r="AW62">
        <f t="shared" si="17"/>
        <v>100</v>
      </c>
      <c r="AX62" s="14">
        <f t="shared" si="21"/>
        <v>0</v>
      </c>
      <c r="AY62" s="14">
        <f t="shared" si="22"/>
        <v>0</v>
      </c>
      <c r="AZ62" s="14">
        <f t="shared" si="22"/>
        <v>0</v>
      </c>
      <c r="BA62" s="14">
        <f t="shared" si="22"/>
        <v>0</v>
      </c>
      <c r="BB62" s="14">
        <f t="shared" si="33"/>
        <v>0</v>
      </c>
      <c r="BC62" s="14">
        <f t="shared" si="34"/>
        <v>25</v>
      </c>
      <c r="BD62" s="13">
        <f t="shared" si="35"/>
        <v>0</v>
      </c>
      <c r="BE62" s="13">
        <f t="shared" si="36"/>
        <v>0</v>
      </c>
      <c r="BF62" s="13">
        <f t="shared" si="37"/>
        <v>0</v>
      </c>
      <c r="BG62" s="13">
        <f t="shared" si="38"/>
        <v>0</v>
      </c>
      <c r="BH62" s="13">
        <f t="shared" si="39"/>
        <v>0</v>
      </c>
      <c r="BI62" s="13">
        <f t="shared" si="40"/>
        <v>0.34089750000000002</v>
      </c>
      <c r="BJ62" s="13">
        <f t="shared" si="41"/>
        <v>0.34089750000000002</v>
      </c>
      <c r="BK62" s="13">
        <f t="shared" si="42"/>
        <v>0.34089750000000002</v>
      </c>
    </row>
    <row r="63" spans="1:63" hidden="1" x14ac:dyDescent="0.35">
      <c r="A63">
        <v>46022</v>
      </c>
      <c r="B63" t="str">
        <f>_xlfn.XLOOKUP(C63,'Production Costs Co Product'!B:B,'Production Costs Co Product'!D:D,"Not found")</f>
        <v>Dem. Rep. Congo</v>
      </c>
      <c r="C63" t="s">
        <v>84</v>
      </c>
      <c r="D63" s="13">
        <f>_xlfn.XLOOKUP(C63,'Production Costs Co Product'!B:B,'Production Costs Co Product'!J:J,"Not found")</f>
        <v>1.3635900000000001</v>
      </c>
      <c r="E63" t="s">
        <v>85</v>
      </c>
      <c r="F63" t="s">
        <v>243</v>
      </c>
      <c r="G63">
        <v>4361447</v>
      </c>
      <c r="H63">
        <v>70</v>
      </c>
      <c r="I63" t="s">
        <v>296</v>
      </c>
      <c r="J63" t="s">
        <v>326</v>
      </c>
      <c r="L63" t="s">
        <v>307</v>
      </c>
      <c r="M63" t="s">
        <v>327</v>
      </c>
      <c r="N63" t="s">
        <v>298</v>
      </c>
      <c r="O63" t="s">
        <v>319</v>
      </c>
      <c r="P63" t="s">
        <v>50</v>
      </c>
      <c r="Q63">
        <v>8393263</v>
      </c>
      <c r="R63" t="s">
        <v>303</v>
      </c>
      <c r="S63">
        <v>11.69</v>
      </c>
      <c r="T63" t="s">
        <v>300</v>
      </c>
      <c r="U63" t="s">
        <v>300</v>
      </c>
      <c r="V63" t="s">
        <v>300</v>
      </c>
      <c r="W63" t="s">
        <v>300</v>
      </c>
      <c r="X63" t="s">
        <v>300</v>
      </c>
      <c r="Y63" t="s">
        <v>300</v>
      </c>
      <c r="Z63" t="s">
        <v>300</v>
      </c>
      <c r="AA63">
        <v>11.69</v>
      </c>
      <c r="AB63" t="s">
        <v>300</v>
      </c>
      <c r="AC63" t="s">
        <v>300</v>
      </c>
      <c r="AD63" t="s">
        <v>300</v>
      </c>
      <c r="AE63" t="s">
        <v>300</v>
      </c>
      <c r="AF63" t="s">
        <v>300</v>
      </c>
      <c r="AG63" t="s">
        <v>300</v>
      </c>
      <c r="AH63" t="s">
        <v>300</v>
      </c>
      <c r="AI63" t="s">
        <v>300</v>
      </c>
      <c r="AJ63" t="s">
        <v>300</v>
      </c>
      <c r="AK63" t="s">
        <v>300</v>
      </c>
      <c r="AL63" t="s">
        <v>300</v>
      </c>
      <c r="AM63" t="s">
        <v>300</v>
      </c>
      <c r="AN63" t="s">
        <v>300</v>
      </c>
      <c r="AO63">
        <v>66.12</v>
      </c>
      <c r="AP63" t="s">
        <v>300</v>
      </c>
      <c r="AQ63">
        <f t="shared" si="11"/>
        <v>11.69</v>
      </c>
      <c r="AR63">
        <f t="shared" si="12"/>
        <v>0</v>
      </c>
      <c r="AS63">
        <f t="shared" si="13"/>
        <v>0</v>
      </c>
      <c r="AT63">
        <f t="shared" si="14"/>
        <v>66.12</v>
      </c>
      <c r="AU63" t="str">
        <f t="shared" si="15"/>
        <v>NA</v>
      </c>
      <c r="AV63">
        <f t="shared" si="16"/>
        <v>22.189999999999998</v>
      </c>
      <c r="AW63">
        <f t="shared" si="17"/>
        <v>22.189999999999998</v>
      </c>
      <c r="AX63" s="14">
        <f t="shared" si="21"/>
        <v>8.1829999999999998</v>
      </c>
      <c r="AY63" s="14">
        <f t="shared" si="22"/>
        <v>0</v>
      </c>
      <c r="AZ63" s="14">
        <f t="shared" si="22"/>
        <v>0</v>
      </c>
      <c r="BA63" s="14">
        <f t="shared" si="22"/>
        <v>46.284000000000006</v>
      </c>
      <c r="BB63" s="14">
        <f t="shared" si="33"/>
        <v>0</v>
      </c>
      <c r="BC63" s="14">
        <f t="shared" si="34"/>
        <v>15.532999999999998</v>
      </c>
      <c r="BD63" s="13">
        <f t="shared" si="35"/>
        <v>0.11158256970000001</v>
      </c>
      <c r="BE63" s="13">
        <f t="shared" si="36"/>
        <v>0</v>
      </c>
      <c r="BF63" s="13">
        <f t="shared" si="37"/>
        <v>0</v>
      </c>
      <c r="BG63" s="13">
        <f t="shared" si="38"/>
        <v>0.6311239956000001</v>
      </c>
      <c r="BH63" s="13">
        <f t="shared" si="39"/>
        <v>0</v>
      </c>
      <c r="BI63" s="13">
        <f t="shared" si="40"/>
        <v>0.21180643469999996</v>
      </c>
      <c r="BJ63" s="13">
        <f t="shared" si="41"/>
        <v>0.95451300000000006</v>
      </c>
      <c r="BK63" s="13">
        <f t="shared" si="42"/>
        <v>0.95451300000000006</v>
      </c>
    </row>
    <row r="64" spans="1:63" x14ac:dyDescent="0.35">
      <c r="A64">
        <v>46022</v>
      </c>
      <c r="B64" t="str">
        <f>_xlfn.XLOOKUP(C64,'Production Costs Co Product'!B:B,'Production Costs Co Product'!D:D,"Not found")</f>
        <v>China</v>
      </c>
      <c r="C64" t="s">
        <v>129</v>
      </c>
      <c r="D64" s="13">
        <f>_xlfn.XLOOKUP(C64,'Production Costs Co Product'!B:B,'Production Costs Co Product'!J:J,"Not found")</f>
        <v>0.14716699999999999</v>
      </c>
      <c r="E64" t="s">
        <v>130</v>
      </c>
      <c r="F64" t="s">
        <v>254</v>
      </c>
      <c r="G64">
        <v>10393182</v>
      </c>
      <c r="H64">
        <v>100</v>
      </c>
      <c r="I64" t="s">
        <v>298</v>
      </c>
      <c r="J64" t="s">
        <v>50</v>
      </c>
      <c r="L64" t="s">
        <v>305</v>
      </c>
      <c r="M64" t="s">
        <v>305</v>
      </c>
      <c r="N64" t="s">
        <v>306</v>
      </c>
      <c r="O64" t="s">
        <v>305</v>
      </c>
      <c r="P64" t="s">
        <v>305</v>
      </c>
      <c r="Q64" t="s">
        <v>300</v>
      </c>
      <c r="R64" t="s">
        <v>296</v>
      </c>
      <c r="S64" t="s">
        <v>300</v>
      </c>
      <c r="T64" t="s">
        <v>300</v>
      </c>
      <c r="U64" t="s">
        <v>300</v>
      </c>
      <c r="V64" t="s">
        <v>300</v>
      </c>
      <c r="W64" t="s">
        <v>300</v>
      </c>
      <c r="X64" t="s">
        <v>300</v>
      </c>
      <c r="Y64" t="s">
        <v>300</v>
      </c>
      <c r="Z64" t="s">
        <v>300</v>
      </c>
      <c r="AA64" t="s">
        <v>300</v>
      </c>
      <c r="AB64" t="s">
        <v>300</v>
      </c>
      <c r="AC64" t="s">
        <v>300</v>
      </c>
      <c r="AD64" t="s">
        <v>300</v>
      </c>
      <c r="AE64" t="s">
        <v>300</v>
      </c>
      <c r="AF64" t="s">
        <v>300</v>
      </c>
      <c r="AG64" t="s">
        <v>300</v>
      </c>
      <c r="AH64" t="s">
        <v>300</v>
      </c>
      <c r="AI64" t="s">
        <v>300</v>
      </c>
      <c r="AJ64" t="s">
        <v>300</v>
      </c>
      <c r="AK64" t="s">
        <v>300</v>
      </c>
      <c r="AL64" t="s">
        <v>300</v>
      </c>
      <c r="AM64" t="s">
        <v>300</v>
      </c>
      <c r="AN64" t="s">
        <v>300</v>
      </c>
      <c r="AO64" t="s">
        <v>300</v>
      </c>
      <c r="AP64" t="s">
        <v>300</v>
      </c>
      <c r="AQ64">
        <f t="shared" si="11"/>
        <v>0</v>
      </c>
      <c r="AR64">
        <f t="shared" si="12"/>
        <v>0</v>
      </c>
      <c r="AS64">
        <f t="shared" si="13"/>
        <v>0</v>
      </c>
      <c r="AT64">
        <f t="shared" si="14"/>
        <v>0</v>
      </c>
      <c r="AU64" t="str">
        <f t="shared" si="15"/>
        <v>NA</v>
      </c>
      <c r="AV64">
        <f t="shared" si="16"/>
        <v>100</v>
      </c>
      <c r="AW64">
        <f t="shared" si="17"/>
        <v>100</v>
      </c>
      <c r="AX64" s="14">
        <f t="shared" si="21"/>
        <v>0</v>
      </c>
      <c r="AY64" s="14">
        <f t="shared" si="22"/>
        <v>0</v>
      </c>
      <c r="AZ64" s="14">
        <f t="shared" si="22"/>
        <v>0</v>
      </c>
      <c r="BA64" s="14">
        <f t="shared" si="22"/>
        <v>0</v>
      </c>
      <c r="BB64" s="14">
        <f t="shared" si="33"/>
        <v>0</v>
      </c>
      <c r="BC64" s="14">
        <f t="shared" si="34"/>
        <v>100</v>
      </c>
      <c r="BD64" s="13">
        <f t="shared" si="35"/>
        <v>0</v>
      </c>
      <c r="BE64" s="13">
        <f t="shared" si="36"/>
        <v>0</v>
      </c>
      <c r="BF64" s="13">
        <f t="shared" si="37"/>
        <v>0</v>
      </c>
      <c r="BG64" s="13">
        <f t="shared" si="38"/>
        <v>0</v>
      </c>
      <c r="BH64" s="13">
        <f t="shared" si="39"/>
        <v>0</v>
      </c>
      <c r="BI64" s="13">
        <f t="shared" si="40"/>
        <v>0.14716699999999999</v>
      </c>
      <c r="BJ64" s="13">
        <f t="shared" si="41"/>
        <v>0.14716699999999999</v>
      </c>
      <c r="BK64" s="13">
        <f t="shared" si="42"/>
        <v>0.14716699999999999</v>
      </c>
    </row>
    <row r="65" spans="1:63" hidden="1" x14ac:dyDescent="0.35">
      <c r="A65">
        <v>46022</v>
      </c>
      <c r="B65" t="str">
        <f>_xlfn.XLOOKUP(C65,'Production Costs Co Product'!B:B,'Production Costs Co Product'!D:D,"Not found")</f>
        <v>Not found</v>
      </c>
      <c r="C65" t="s">
        <v>255</v>
      </c>
      <c r="D65" s="13" t="str">
        <f>_xlfn.XLOOKUP(C65,'Production Costs Co Product'!B:B,'Production Costs Co Product'!J:J,"Not found")</f>
        <v>Not found</v>
      </c>
      <c r="E65" t="s">
        <v>256</v>
      </c>
      <c r="F65" t="s">
        <v>257</v>
      </c>
      <c r="G65">
        <v>4353521</v>
      </c>
      <c r="H65">
        <v>100</v>
      </c>
      <c r="I65" t="s">
        <v>296</v>
      </c>
      <c r="J65" t="s">
        <v>332</v>
      </c>
      <c r="L65" t="s">
        <v>305</v>
      </c>
      <c r="M65" t="s">
        <v>305</v>
      </c>
      <c r="N65" t="s">
        <v>306</v>
      </c>
      <c r="O65" t="s">
        <v>305</v>
      </c>
      <c r="P65" t="s">
        <v>305</v>
      </c>
      <c r="Q65" t="s">
        <v>300</v>
      </c>
      <c r="R65" t="s">
        <v>296</v>
      </c>
      <c r="S65">
        <v>7.5</v>
      </c>
      <c r="T65">
        <v>0.19</v>
      </c>
      <c r="U65" t="s">
        <v>300</v>
      </c>
      <c r="V65">
        <v>0.17</v>
      </c>
      <c r="W65" t="s">
        <v>300</v>
      </c>
      <c r="X65" t="s">
        <v>300</v>
      </c>
      <c r="Y65" t="s">
        <v>300</v>
      </c>
      <c r="Z65">
        <v>0.65</v>
      </c>
      <c r="AA65">
        <v>4.8600000000000003</v>
      </c>
      <c r="AB65" t="s">
        <v>300</v>
      </c>
      <c r="AC65">
        <v>0.01</v>
      </c>
      <c r="AD65" t="s">
        <v>300</v>
      </c>
      <c r="AE65" t="s">
        <v>300</v>
      </c>
      <c r="AF65">
        <v>1.61</v>
      </c>
      <c r="AG65" t="s">
        <v>300</v>
      </c>
      <c r="AH65">
        <v>0</v>
      </c>
      <c r="AI65" t="s">
        <v>300</v>
      </c>
      <c r="AJ65" t="s">
        <v>300</v>
      </c>
      <c r="AK65" t="s">
        <v>300</v>
      </c>
      <c r="AL65" t="s">
        <v>300</v>
      </c>
      <c r="AM65" t="s">
        <v>300</v>
      </c>
      <c r="AN65">
        <v>1.6</v>
      </c>
      <c r="AO65">
        <v>36.85</v>
      </c>
      <c r="AP65">
        <v>45.36</v>
      </c>
      <c r="AQ65">
        <f t="shared" si="11"/>
        <v>5.87</v>
      </c>
      <c r="AR65">
        <f t="shared" si="12"/>
        <v>3.21</v>
      </c>
      <c r="AS65">
        <f t="shared" si="13"/>
        <v>0</v>
      </c>
      <c r="AT65">
        <f t="shared" si="14"/>
        <v>82.210000000000008</v>
      </c>
      <c r="AU65">
        <f t="shared" si="15"/>
        <v>0.01</v>
      </c>
      <c r="AV65">
        <f t="shared" si="16"/>
        <v>8.6999999999999886</v>
      </c>
      <c r="AW65">
        <f t="shared" si="17"/>
        <v>8.7000000000000028</v>
      </c>
      <c r="AX65" s="14">
        <f t="shared" si="21"/>
        <v>5.87</v>
      </c>
      <c r="AY65" s="14">
        <f t="shared" si="22"/>
        <v>3.21</v>
      </c>
      <c r="AZ65" s="14">
        <f t="shared" si="22"/>
        <v>0</v>
      </c>
      <c r="BA65" s="14">
        <f t="shared" si="22"/>
        <v>82.21</v>
      </c>
      <c r="BB65" s="14">
        <f t="shared" si="33"/>
        <v>0.01</v>
      </c>
      <c r="BC65" s="14">
        <f t="shared" si="34"/>
        <v>8.6999999999999886</v>
      </c>
      <c r="BD65" s="13" t="e">
        <f t="shared" si="35"/>
        <v>#VALUE!</v>
      </c>
      <c r="BE65" s="13" t="e">
        <f t="shared" si="36"/>
        <v>#VALUE!</v>
      </c>
      <c r="BF65" s="13" t="e">
        <f t="shared" si="37"/>
        <v>#VALUE!</v>
      </c>
      <c r="BG65" s="13" t="e">
        <f t="shared" si="38"/>
        <v>#VALUE!</v>
      </c>
      <c r="BH65" s="13" t="e">
        <f t="shared" si="39"/>
        <v>#VALUE!</v>
      </c>
      <c r="BI65" s="13" t="e">
        <f t="shared" si="40"/>
        <v>#VALUE!</v>
      </c>
      <c r="BJ65" s="13" t="e">
        <f t="shared" si="41"/>
        <v>#VALUE!</v>
      </c>
      <c r="BK65" s="13" t="e">
        <f t="shared" si="42"/>
        <v>#VALUE!</v>
      </c>
    </row>
    <row r="66" spans="1:63" hidden="1" x14ac:dyDescent="0.35">
      <c r="A66">
        <v>46022</v>
      </c>
      <c r="B66" t="str">
        <f>_xlfn.XLOOKUP(C66,'Production Costs Co Product'!B:B,'Production Costs Co Product'!D:D,"Not found")</f>
        <v>Canada</v>
      </c>
      <c r="C66" t="s">
        <v>115</v>
      </c>
      <c r="D66" s="13">
        <f>_xlfn.XLOOKUP(C66,'Production Costs Co Product'!B:B,'Production Costs Co Product'!J:J,"Not found")</f>
        <v>0.15116599999999999</v>
      </c>
      <c r="E66" t="s">
        <v>116</v>
      </c>
      <c r="F66" t="s">
        <v>233</v>
      </c>
      <c r="G66">
        <v>4113732</v>
      </c>
      <c r="H66">
        <v>100</v>
      </c>
      <c r="I66" t="s">
        <v>296</v>
      </c>
      <c r="J66" t="s">
        <v>320</v>
      </c>
      <c r="L66" t="s">
        <v>305</v>
      </c>
      <c r="M66" t="s">
        <v>305</v>
      </c>
      <c r="N66" t="s">
        <v>306</v>
      </c>
      <c r="O66" t="s">
        <v>305</v>
      </c>
      <c r="P66" t="s">
        <v>305</v>
      </c>
      <c r="Q66" t="s">
        <v>300</v>
      </c>
      <c r="R66" t="s">
        <v>296</v>
      </c>
      <c r="S66">
        <v>61.77</v>
      </c>
      <c r="T66">
        <v>3.68</v>
      </c>
      <c r="U66">
        <v>1.77</v>
      </c>
      <c r="V66">
        <v>0.03</v>
      </c>
      <c r="W66" t="s">
        <v>300</v>
      </c>
      <c r="X66">
        <v>0</v>
      </c>
      <c r="Y66">
        <v>0.28999999999999998</v>
      </c>
      <c r="Z66">
        <v>0.08</v>
      </c>
      <c r="AA66">
        <v>54.18</v>
      </c>
      <c r="AB66" t="s">
        <v>300</v>
      </c>
      <c r="AC66">
        <v>0.15</v>
      </c>
      <c r="AD66" t="s">
        <v>300</v>
      </c>
      <c r="AE66">
        <v>0.25</v>
      </c>
      <c r="AF66">
        <v>1.1100000000000001</v>
      </c>
      <c r="AG66">
        <v>0.23</v>
      </c>
      <c r="AH66">
        <v>12.83</v>
      </c>
      <c r="AI66" t="s">
        <v>300</v>
      </c>
      <c r="AJ66">
        <v>8.93</v>
      </c>
      <c r="AK66" t="s">
        <v>300</v>
      </c>
      <c r="AL66" t="s">
        <v>300</v>
      </c>
      <c r="AM66">
        <v>0.19</v>
      </c>
      <c r="AN66">
        <v>0.05</v>
      </c>
      <c r="AO66">
        <v>0.02</v>
      </c>
      <c r="AP66" t="s">
        <v>300</v>
      </c>
      <c r="AQ66">
        <f t="shared" si="11"/>
        <v>67.38</v>
      </c>
      <c r="AR66">
        <f t="shared" si="12"/>
        <v>1.4500000000000002</v>
      </c>
      <c r="AS66">
        <f t="shared" si="13"/>
        <v>12.83</v>
      </c>
      <c r="AT66">
        <f t="shared" si="14"/>
        <v>1.98</v>
      </c>
      <c r="AU66">
        <f t="shared" si="15"/>
        <v>0.15</v>
      </c>
      <c r="AV66">
        <f t="shared" si="16"/>
        <v>16.209999999999994</v>
      </c>
      <c r="AW66">
        <f t="shared" si="17"/>
        <v>16.210000000000008</v>
      </c>
      <c r="AX66" s="14">
        <f t="shared" si="21"/>
        <v>67.38</v>
      </c>
      <c r="AY66" s="14">
        <f t="shared" si="22"/>
        <v>1.4500000000000002</v>
      </c>
      <c r="AZ66" s="14">
        <f t="shared" si="22"/>
        <v>12.83</v>
      </c>
      <c r="BA66" s="14">
        <f t="shared" si="22"/>
        <v>1.98</v>
      </c>
      <c r="BB66" s="14">
        <f t="shared" si="33"/>
        <v>0.15</v>
      </c>
      <c r="BC66" s="14">
        <f t="shared" si="34"/>
        <v>16.209999999999994</v>
      </c>
      <c r="BD66" s="13">
        <f t="shared" si="35"/>
        <v>0.10185565079999999</v>
      </c>
      <c r="BE66" s="13">
        <f t="shared" si="36"/>
        <v>2.1919070000000003E-3</v>
      </c>
      <c r="BF66" s="13">
        <f t="shared" si="37"/>
        <v>1.93945978E-2</v>
      </c>
      <c r="BG66" s="13">
        <f t="shared" si="38"/>
        <v>2.9930867999999997E-3</v>
      </c>
      <c r="BH66" s="13">
        <f t="shared" si="39"/>
        <v>2.2674899999999999E-4</v>
      </c>
      <c r="BI66" s="13">
        <f t="shared" si="40"/>
        <v>2.4504008599999991E-2</v>
      </c>
      <c r="BJ66" s="13">
        <f t="shared" si="41"/>
        <v>0.15116599999999997</v>
      </c>
      <c r="BK66" s="13">
        <f t="shared" si="42"/>
        <v>0.15116599999999999</v>
      </c>
    </row>
    <row r="67" spans="1:63" hidden="1" x14ac:dyDescent="0.35">
      <c r="A67">
        <v>46022</v>
      </c>
      <c r="B67" t="str">
        <f>_xlfn.XLOOKUP(C67,'Production Costs Co Product'!B:B,'Production Costs Co Product'!D:D,"Not found")</f>
        <v>Philippines</v>
      </c>
      <c r="C67" t="s">
        <v>131</v>
      </c>
      <c r="D67" s="13">
        <f>_xlfn.XLOOKUP(C67,'Production Costs Co Product'!B:B,'Production Costs Co Product'!J:J,"Not found")</f>
        <v>2.4947370000000002</v>
      </c>
      <c r="E67" t="s">
        <v>132</v>
      </c>
      <c r="F67" t="s">
        <v>251</v>
      </c>
      <c r="G67">
        <v>4352804</v>
      </c>
      <c r="H67">
        <v>65</v>
      </c>
      <c r="I67" t="s">
        <v>296</v>
      </c>
      <c r="J67" t="s">
        <v>128</v>
      </c>
      <c r="L67" t="s">
        <v>305</v>
      </c>
      <c r="M67" t="s">
        <v>305</v>
      </c>
      <c r="N67" t="s">
        <v>306</v>
      </c>
      <c r="O67" t="s">
        <v>305</v>
      </c>
      <c r="P67" t="s">
        <v>305</v>
      </c>
      <c r="Q67" t="s">
        <v>300</v>
      </c>
      <c r="R67" t="s">
        <v>296</v>
      </c>
      <c r="S67">
        <v>17.02</v>
      </c>
      <c r="T67">
        <v>13.14</v>
      </c>
      <c r="U67" t="s">
        <v>300</v>
      </c>
      <c r="V67" t="s">
        <v>300</v>
      </c>
      <c r="W67" t="s">
        <v>300</v>
      </c>
      <c r="X67" t="s">
        <v>300</v>
      </c>
      <c r="Y67" t="s">
        <v>300</v>
      </c>
      <c r="Z67" t="s">
        <v>300</v>
      </c>
      <c r="AA67">
        <v>0.81</v>
      </c>
      <c r="AB67" t="s">
        <v>300</v>
      </c>
      <c r="AC67" t="s">
        <v>300</v>
      </c>
      <c r="AD67" t="s">
        <v>300</v>
      </c>
      <c r="AE67" t="s">
        <v>300</v>
      </c>
      <c r="AF67">
        <v>3.06</v>
      </c>
      <c r="AG67" t="s">
        <v>300</v>
      </c>
      <c r="AH67">
        <v>8.84</v>
      </c>
      <c r="AI67" t="s">
        <v>300</v>
      </c>
      <c r="AJ67" t="s">
        <v>300</v>
      </c>
      <c r="AK67" t="s">
        <v>300</v>
      </c>
      <c r="AL67" t="s">
        <v>300</v>
      </c>
      <c r="AM67" t="s">
        <v>300</v>
      </c>
      <c r="AN67" t="s">
        <v>300</v>
      </c>
      <c r="AO67">
        <v>25.63</v>
      </c>
      <c r="AP67">
        <v>25.94</v>
      </c>
      <c r="AQ67">
        <f t="shared" si="11"/>
        <v>13.950000000000001</v>
      </c>
      <c r="AR67">
        <f t="shared" si="12"/>
        <v>3.06</v>
      </c>
      <c r="AS67">
        <f t="shared" si="13"/>
        <v>8.84</v>
      </c>
      <c r="AT67">
        <f t="shared" si="14"/>
        <v>51.57</v>
      </c>
      <c r="AU67" t="str">
        <f t="shared" si="15"/>
        <v>NA</v>
      </c>
      <c r="AV67">
        <f t="shared" si="16"/>
        <v>22.58</v>
      </c>
      <c r="AW67">
        <f t="shared" si="17"/>
        <v>22.58</v>
      </c>
      <c r="AX67" s="14">
        <f t="shared" si="21"/>
        <v>9.0675000000000008</v>
      </c>
      <c r="AY67" s="14">
        <f t="shared" si="22"/>
        <v>1.9890000000000001</v>
      </c>
      <c r="AZ67" s="14">
        <f t="shared" si="22"/>
        <v>5.7460000000000004</v>
      </c>
      <c r="BA67" s="14">
        <f t="shared" si="22"/>
        <v>33.520499999999998</v>
      </c>
      <c r="BB67" s="14">
        <f t="shared" si="33"/>
        <v>0</v>
      </c>
      <c r="BC67" s="14">
        <f t="shared" si="34"/>
        <v>14.676999999999998</v>
      </c>
      <c r="BD67" s="13">
        <f t="shared" si="35"/>
        <v>0.22621027747500003</v>
      </c>
      <c r="BE67" s="13">
        <f t="shared" si="36"/>
        <v>4.9620318930000011E-2</v>
      </c>
      <c r="BF67" s="13">
        <f t="shared" si="37"/>
        <v>0.14334758802000003</v>
      </c>
      <c r="BG67" s="13">
        <f t="shared" si="38"/>
        <v>0.83624831608500005</v>
      </c>
      <c r="BH67" s="13">
        <f t="shared" si="39"/>
        <v>0</v>
      </c>
      <c r="BI67" s="13">
        <f t="shared" si="40"/>
        <v>0.36615254948999998</v>
      </c>
      <c r="BJ67" s="13">
        <f t="shared" si="41"/>
        <v>1.62157905</v>
      </c>
      <c r="BK67" s="13">
        <f t="shared" si="42"/>
        <v>1.62157905</v>
      </c>
    </row>
    <row r="68" spans="1:63" hidden="1" x14ac:dyDescent="0.35">
      <c r="A68">
        <v>46022</v>
      </c>
      <c r="B68" t="str">
        <f>_xlfn.XLOOKUP(C68,'Production Costs Co Product'!B:B,'Production Costs Co Product'!D:D,"Not found")</f>
        <v>Philippines</v>
      </c>
      <c r="C68" t="s">
        <v>131</v>
      </c>
      <c r="D68" s="13">
        <f>_xlfn.XLOOKUP(C68,'Production Costs Co Product'!B:B,'Production Costs Co Product'!J:J,"Not found")</f>
        <v>2.4947370000000002</v>
      </c>
      <c r="E68" t="s">
        <v>132</v>
      </c>
      <c r="F68" t="s">
        <v>252</v>
      </c>
      <c r="G68">
        <v>4557435</v>
      </c>
      <c r="H68">
        <v>33.5</v>
      </c>
      <c r="I68" t="s">
        <v>296</v>
      </c>
      <c r="J68" t="s">
        <v>304</v>
      </c>
      <c r="L68" t="s">
        <v>305</v>
      </c>
      <c r="M68" t="s">
        <v>305</v>
      </c>
      <c r="N68" t="s">
        <v>306</v>
      </c>
      <c r="O68" t="s">
        <v>305</v>
      </c>
      <c r="P68" t="s">
        <v>305</v>
      </c>
      <c r="Q68" t="s">
        <v>300</v>
      </c>
      <c r="R68" t="s">
        <v>296</v>
      </c>
      <c r="S68">
        <v>16.5</v>
      </c>
      <c r="T68">
        <v>-7.84</v>
      </c>
      <c r="U68" t="s">
        <v>300</v>
      </c>
      <c r="V68" t="s">
        <v>300</v>
      </c>
      <c r="W68" t="s">
        <v>300</v>
      </c>
      <c r="X68" t="s">
        <v>300</v>
      </c>
      <c r="Y68" t="s">
        <v>300</v>
      </c>
      <c r="Z68" t="s">
        <v>300</v>
      </c>
      <c r="AA68">
        <v>20.47</v>
      </c>
      <c r="AB68" t="s">
        <v>300</v>
      </c>
      <c r="AC68">
        <v>1.48</v>
      </c>
      <c r="AD68" t="s">
        <v>300</v>
      </c>
      <c r="AE68">
        <v>2.39</v>
      </c>
      <c r="AF68" t="s">
        <v>300</v>
      </c>
      <c r="AG68" t="s">
        <v>300</v>
      </c>
      <c r="AH68">
        <v>0.22</v>
      </c>
      <c r="AI68" t="s">
        <v>300</v>
      </c>
      <c r="AJ68" t="s">
        <v>300</v>
      </c>
      <c r="AK68" t="s">
        <v>300</v>
      </c>
      <c r="AL68" t="s">
        <v>300</v>
      </c>
      <c r="AM68">
        <v>1.4</v>
      </c>
      <c r="AN68" t="s">
        <v>300</v>
      </c>
      <c r="AO68">
        <v>5.42</v>
      </c>
      <c r="AP68" t="s">
        <v>300</v>
      </c>
      <c r="AQ68">
        <f t="shared" si="11"/>
        <v>15.02</v>
      </c>
      <c r="AR68">
        <f t="shared" si="12"/>
        <v>0</v>
      </c>
      <c r="AS68">
        <f t="shared" si="13"/>
        <v>0.22</v>
      </c>
      <c r="AT68">
        <f t="shared" si="14"/>
        <v>6.82</v>
      </c>
      <c r="AU68">
        <f t="shared" si="15"/>
        <v>1.48</v>
      </c>
      <c r="AV68">
        <f t="shared" si="16"/>
        <v>76.459999999999994</v>
      </c>
      <c r="AW68">
        <f t="shared" si="17"/>
        <v>76.460000000000008</v>
      </c>
      <c r="AX68" s="14">
        <f t="shared" si="21"/>
        <v>5.0316999999999998</v>
      </c>
      <c r="AY68" s="14">
        <f t="shared" si="22"/>
        <v>0</v>
      </c>
      <c r="AZ68" s="14">
        <f t="shared" si="22"/>
        <v>7.3700000000000002E-2</v>
      </c>
      <c r="BA68" s="14">
        <f t="shared" si="22"/>
        <v>2.2847</v>
      </c>
      <c r="BB68" s="14">
        <f t="shared" si="33"/>
        <v>0.49579999999999996</v>
      </c>
      <c r="BC68" s="14">
        <f t="shared" si="34"/>
        <v>25.614099999999997</v>
      </c>
      <c r="BD68" s="13">
        <f t="shared" si="35"/>
        <v>0.12552768162900002</v>
      </c>
      <c r="BE68" s="13">
        <f t="shared" si="36"/>
        <v>0</v>
      </c>
      <c r="BF68" s="13">
        <f t="shared" si="37"/>
        <v>1.8386211690000001E-3</v>
      </c>
      <c r="BG68" s="13">
        <f t="shared" si="38"/>
        <v>5.6997256239000003E-2</v>
      </c>
      <c r="BH68" s="13">
        <f t="shared" si="39"/>
        <v>1.2368906046E-2</v>
      </c>
      <c r="BI68" s="13">
        <f t="shared" si="40"/>
        <v>0.63900442991699991</v>
      </c>
      <c r="BJ68" s="13">
        <f t="shared" si="41"/>
        <v>0.83573689499999992</v>
      </c>
      <c r="BK68" s="13">
        <f t="shared" si="42"/>
        <v>0.83573689500000004</v>
      </c>
    </row>
    <row r="69" spans="1:63" hidden="1" x14ac:dyDescent="0.35">
      <c r="A69">
        <v>46022</v>
      </c>
      <c r="B69" t="str">
        <f>_xlfn.XLOOKUP(C69,'Production Costs Co Product'!B:B,'Production Costs Co Product'!D:D,"Not found")</f>
        <v>Philippines</v>
      </c>
      <c r="C69" t="s">
        <v>131</v>
      </c>
      <c r="D69" s="13">
        <f>_xlfn.XLOOKUP(C69,'Production Costs Co Product'!B:B,'Production Costs Co Product'!J:J,"Not found")</f>
        <v>2.4947370000000002</v>
      </c>
      <c r="E69" t="s">
        <v>132</v>
      </c>
      <c r="F69" t="s">
        <v>253</v>
      </c>
      <c r="G69">
        <v>4096231</v>
      </c>
      <c r="H69">
        <v>1.5</v>
      </c>
      <c r="I69" t="s">
        <v>296</v>
      </c>
      <c r="J69" t="s">
        <v>304</v>
      </c>
      <c r="L69" t="s">
        <v>305</v>
      </c>
      <c r="M69" t="s">
        <v>305</v>
      </c>
      <c r="N69" t="s">
        <v>306</v>
      </c>
      <c r="O69" t="s">
        <v>305</v>
      </c>
      <c r="P69" t="s">
        <v>305</v>
      </c>
      <c r="Q69" t="s">
        <v>300</v>
      </c>
      <c r="R69" t="s">
        <v>296</v>
      </c>
      <c r="S69">
        <v>38.81</v>
      </c>
      <c r="T69">
        <v>3.67</v>
      </c>
      <c r="U69" t="s">
        <v>300</v>
      </c>
      <c r="V69" t="s">
        <v>300</v>
      </c>
      <c r="W69" t="s">
        <v>300</v>
      </c>
      <c r="X69" t="s">
        <v>300</v>
      </c>
      <c r="Y69">
        <v>0.03</v>
      </c>
      <c r="Z69">
        <v>0.05</v>
      </c>
      <c r="AA69">
        <v>31.19</v>
      </c>
      <c r="AB69" t="s">
        <v>300</v>
      </c>
      <c r="AC69">
        <v>1.91</v>
      </c>
      <c r="AD69" t="s">
        <v>300</v>
      </c>
      <c r="AE69">
        <v>0.17</v>
      </c>
      <c r="AF69">
        <v>1.72</v>
      </c>
      <c r="AG69">
        <v>0.06</v>
      </c>
      <c r="AH69">
        <v>0.18</v>
      </c>
      <c r="AI69" t="s">
        <v>300</v>
      </c>
      <c r="AJ69" t="s">
        <v>300</v>
      </c>
      <c r="AK69" t="s">
        <v>300</v>
      </c>
      <c r="AL69" t="s">
        <v>300</v>
      </c>
      <c r="AM69" t="s">
        <v>300</v>
      </c>
      <c r="AN69" t="s">
        <v>300</v>
      </c>
      <c r="AO69" t="s">
        <v>300</v>
      </c>
      <c r="AP69" t="s">
        <v>300</v>
      </c>
      <c r="AQ69">
        <f t="shared" si="11"/>
        <v>35.14</v>
      </c>
      <c r="AR69">
        <f t="shared" si="12"/>
        <v>1.75</v>
      </c>
      <c r="AS69">
        <f t="shared" si="13"/>
        <v>0.18</v>
      </c>
      <c r="AT69">
        <f t="shared" si="14"/>
        <v>0</v>
      </c>
      <c r="AU69">
        <f t="shared" si="15"/>
        <v>1.91</v>
      </c>
      <c r="AV69">
        <f t="shared" si="16"/>
        <v>61.02</v>
      </c>
      <c r="AW69">
        <f t="shared" si="17"/>
        <v>61.02</v>
      </c>
      <c r="AX69" s="14">
        <f t="shared" si="21"/>
        <v>0.52710000000000001</v>
      </c>
      <c r="AY69" s="14">
        <f t="shared" si="22"/>
        <v>2.6249999999999999E-2</v>
      </c>
      <c r="AZ69" s="14">
        <f t="shared" si="22"/>
        <v>2.7000000000000001E-3</v>
      </c>
      <c r="BA69" s="14">
        <f t="shared" si="22"/>
        <v>0</v>
      </c>
      <c r="BB69" s="14">
        <f t="shared" si="33"/>
        <v>2.8649999999999998E-2</v>
      </c>
      <c r="BC69" s="14">
        <f t="shared" si="34"/>
        <v>0.9153</v>
      </c>
      <c r="BD69" s="13">
        <f t="shared" si="35"/>
        <v>1.3149758727000003E-2</v>
      </c>
      <c r="BE69" s="13">
        <f t="shared" si="36"/>
        <v>6.5486846249999996E-4</v>
      </c>
      <c r="BF69" s="13">
        <f t="shared" si="37"/>
        <v>6.7357899000000012E-5</v>
      </c>
      <c r="BG69" s="13">
        <f t="shared" si="38"/>
        <v>0</v>
      </c>
      <c r="BH69" s="13">
        <f t="shared" si="39"/>
        <v>7.1474215050000003E-4</v>
      </c>
      <c r="BI69" s="13">
        <f t="shared" si="40"/>
        <v>2.2834327761000001E-2</v>
      </c>
      <c r="BJ69" s="13">
        <f t="shared" si="41"/>
        <v>3.7421055000000002E-2</v>
      </c>
      <c r="BK69" s="13">
        <f t="shared" si="42"/>
        <v>3.7421055000000002E-2</v>
      </c>
    </row>
    <row r="70" spans="1:63" hidden="1" x14ac:dyDescent="0.35">
      <c r="A70">
        <v>46022</v>
      </c>
      <c r="B70" t="str">
        <f>_xlfn.XLOOKUP(C70,'Production Costs Co Product'!B:B,'Production Costs Co Product'!D:D,"Not found")</f>
        <v>Dem. Rep. Congo</v>
      </c>
      <c r="C70" t="s">
        <v>133</v>
      </c>
      <c r="D70" s="13">
        <f>_xlfn.XLOOKUP(C70,'Production Costs Co Product'!B:B,'Production Costs Co Product'!J:J,"Not found")</f>
        <v>49.292126000000003</v>
      </c>
      <c r="E70" t="s">
        <v>134</v>
      </c>
      <c r="F70" t="s">
        <v>235</v>
      </c>
      <c r="G70">
        <v>4349148</v>
      </c>
      <c r="H70">
        <v>80</v>
      </c>
      <c r="I70" t="s">
        <v>296</v>
      </c>
      <c r="J70" t="s">
        <v>50</v>
      </c>
      <c r="L70" t="s">
        <v>305</v>
      </c>
      <c r="M70" t="s">
        <v>305</v>
      </c>
      <c r="N70" t="s">
        <v>306</v>
      </c>
      <c r="O70" t="s">
        <v>305</v>
      </c>
      <c r="P70" t="s">
        <v>305</v>
      </c>
      <c r="Q70" t="s">
        <v>300</v>
      </c>
      <c r="R70" t="s">
        <v>296</v>
      </c>
      <c r="S70">
        <v>11.65</v>
      </c>
      <c r="T70">
        <v>0.06</v>
      </c>
      <c r="U70" t="s">
        <v>300</v>
      </c>
      <c r="V70">
        <v>0</v>
      </c>
      <c r="W70" t="s">
        <v>300</v>
      </c>
      <c r="X70" t="s">
        <v>300</v>
      </c>
      <c r="Y70">
        <v>0.08</v>
      </c>
      <c r="Z70" t="s">
        <v>300</v>
      </c>
      <c r="AA70">
        <v>10.92</v>
      </c>
      <c r="AB70" t="s">
        <v>300</v>
      </c>
      <c r="AC70">
        <v>0.02</v>
      </c>
      <c r="AD70" t="s">
        <v>300</v>
      </c>
      <c r="AE70">
        <v>0.03</v>
      </c>
      <c r="AF70" t="s">
        <v>300</v>
      </c>
      <c r="AG70">
        <v>0.55000000000000004</v>
      </c>
      <c r="AH70">
        <v>0.12</v>
      </c>
      <c r="AI70" t="s">
        <v>300</v>
      </c>
      <c r="AJ70">
        <v>23.54</v>
      </c>
      <c r="AK70" t="s">
        <v>300</v>
      </c>
      <c r="AL70" t="s">
        <v>300</v>
      </c>
      <c r="AM70" t="s">
        <v>300</v>
      </c>
      <c r="AN70" t="s">
        <v>300</v>
      </c>
      <c r="AO70" t="s">
        <v>300</v>
      </c>
      <c r="AP70">
        <v>24.91</v>
      </c>
      <c r="AQ70">
        <f t="shared" ref="AQ70:AQ75" si="43">SUM(T70,V70,W70,Z70,AD70,AE70,AG70,AJ70,AI70,AA70)</f>
        <v>35.1</v>
      </c>
      <c r="AR70">
        <f t="shared" ref="AR70:AR75" si="44">SUM(Y70,AF70,AK70,AN70)</f>
        <v>0.08</v>
      </c>
      <c r="AS70">
        <f t="shared" ref="AS70:AS75" si="45">SUM(AH70,X70)</f>
        <v>0.12</v>
      </c>
      <c r="AT70">
        <f t="shared" ref="AT70:AT75" si="46">SUM(U70,AB70,AL70,AM70,AO70,AP70)</f>
        <v>24.91</v>
      </c>
      <c r="AU70">
        <f t="shared" ref="AU70:AU75" si="47">AC70</f>
        <v>0.02</v>
      </c>
      <c r="AV70">
        <f t="shared" ref="AV70:AV75" si="48">100-SUM(AQ70,AR70,AS70,AT70,AU70)</f>
        <v>39.770000000000003</v>
      </c>
      <c r="AW70">
        <f t="shared" ref="AW70:AW75" si="49">100-SUM(T70:AP70)</f>
        <v>39.769999999999996</v>
      </c>
      <c r="AX70" s="14">
        <f t="shared" si="21"/>
        <v>28.08</v>
      </c>
      <c r="AY70" s="14">
        <f t="shared" si="22"/>
        <v>6.4000000000000001E-2</v>
      </c>
      <c r="AZ70" s="14">
        <f t="shared" si="22"/>
        <v>9.6000000000000002E-2</v>
      </c>
      <c r="BA70" s="14">
        <f t="shared" si="22"/>
        <v>19.928000000000001</v>
      </c>
      <c r="BB70" s="14">
        <f t="shared" si="33"/>
        <v>1.6E-2</v>
      </c>
      <c r="BC70" s="14">
        <f t="shared" si="34"/>
        <v>31.816000000000003</v>
      </c>
      <c r="BD70" s="13">
        <f t="shared" si="35"/>
        <v>13.8412289808</v>
      </c>
      <c r="BE70" s="13">
        <f t="shared" si="36"/>
        <v>3.1546960640000003E-2</v>
      </c>
      <c r="BF70" s="13">
        <f t="shared" si="37"/>
        <v>4.7320440960000001E-2</v>
      </c>
      <c r="BG70" s="13">
        <f t="shared" si="38"/>
        <v>9.8229348692800009</v>
      </c>
      <c r="BH70" s="13">
        <f t="shared" si="39"/>
        <v>7.8867401600000008E-3</v>
      </c>
      <c r="BI70" s="13">
        <f t="shared" si="40"/>
        <v>15.682782808160001</v>
      </c>
      <c r="BJ70" s="13">
        <f t="shared" si="41"/>
        <v>39.433700800000004</v>
      </c>
      <c r="BK70" s="13">
        <f t="shared" si="42"/>
        <v>39.433700800000004</v>
      </c>
    </row>
    <row r="71" spans="1:63" hidden="1" x14ac:dyDescent="0.35">
      <c r="A71">
        <v>46022</v>
      </c>
      <c r="B71" t="str">
        <f>_xlfn.XLOOKUP(C71,'Production Costs Co Product'!B:B,'Production Costs Co Product'!D:D,"Not found")</f>
        <v>Dem. Rep. Congo</v>
      </c>
      <c r="C71" t="s">
        <v>133</v>
      </c>
      <c r="D71" s="13">
        <f>_xlfn.XLOOKUP(C71,'Production Costs Co Product'!B:B,'Production Costs Co Product'!J:J,"Not found")</f>
        <v>49.292126000000003</v>
      </c>
      <c r="E71" t="s">
        <v>134</v>
      </c>
      <c r="F71" t="s">
        <v>223</v>
      </c>
      <c r="G71">
        <v>4350360</v>
      </c>
      <c r="H71">
        <v>20</v>
      </c>
      <c r="I71" t="s">
        <v>298</v>
      </c>
      <c r="J71" t="s">
        <v>56</v>
      </c>
      <c r="L71" t="s">
        <v>56</v>
      </c>
      <c r="M71" t="s">
        <v>312</v>
      </c>
      <c r="N71" t="s">
        <v>303</v>
      </c>
      <c r="O71" t="s">
        <v>56</v>
      </c>
      <c r="P71" t="s">
        <v>56</v>
      </c>
      <c r="Q71">
        <v>4350734</v>
      </c>
      <c r="R71" t="s">
        <v>303</v>
      </c>
      <c r="S71" t="s">
        <v>300</v>
      </c>
      <c r="T71" t="s">
        <v>300</v>
      </c>
      <c r="U71" t="s">
        <v>300</v>
      </c>
      <c r="V71" t="s">
        <v>300</v>
      </c>
      <c r="W71" t="s">
        <v>300</v>
      </c>
      <c r="X71" t="s">
        <v>300</v>
      </c>
      <c r="Y71" t="s">
        <v>300</v>
      </c>
      <c r="Z71" t="s">
        <v>300</v>
      </c>
      <c r="AA71" t="s">
        <v>300</v>
      </c>
      <c r="AB71" t="s">
        <v>300</v>
      </c>
      <c r="AC71" t="s">
        <v>300</v>
      </c>
      <c r="AD71" t="s">
        <v>300</v>
      </c>
      <c r="AE71" t="s">
        <v>300</v>
      </c>
      <c r="AF71" t="s">
        <v>300</v>
      </c>
      <c r="AG71" t="s">
        <v>300</v>
      </c>
      <c r="AH71" t="s">
        <v>300</v>
      </c>
      <c r="AI71" t="s">
        <v>300</v>
      </c>
      <c r="AJ71" t="s">
        <v>300</v>
      </c>
      <c r="AK71" t="s">
        <v>300</v>
      </c>
      <c r="AL71" t="s">
        <v>300</v>
      </c>
      <c r="AM71" t="s">
        <v>300</v>
      </c>
      <c r="AN71" t="s">
        <v>300</v>
      </c>
      <c r="AO71" t="s">
        <v>300</v>
      </c>
      <c r="AP71" t="s">
        <v>300</v>
      </c>
      <c r="AQ71">
        <f t="shared" si="43"/>
        <v>0</v>
      </c>
      <c r="AR71">
        <f t="shared" si="44"/>
        <v>0</v>
      </c>
      <c r="AS71">
        <f t="shared" si="45"/>
        <v>0</v>
      </c>
      <c r="AT71">
        <f t="shared" si="46"/>
        <v>0</v>
      </c>
      <c r="AU71" t="str">
        <f t="shared" si="47"/>
        <v>NA</v>
      </c>
      <c r="AV71">
        <f t="shared" si="48"/>
        <v>100</v>
      </c>
      <c r="AW71">
        <f t="shared" si="49"/>
        <v>100</v>
      </c>
      <c r="AX71" s="14">
        <f t="shared" si="21"/>
        <v>0</v>
      </c>
      <c r="AY71" s="14">
        <f t="shared" si="22"/>
        <v>0</v>
      </c>
      <c r="AZ71" s="14">
        <f t="shared" si="22"/>
        <v>0</v>
      </c>
      <c r="BA71" s="14">
        <f t="shared" si="22"/>
        <v>0</v>
      </c>
      <c r="BB71" s="14">
        <f t="shared" si="33"/>
        <v>0</v>
      </c>
      <c r="BC71" s="14">
        <f t="shared" si="34"/>
        <v>20</v>
      </c>
      <c r="BD71" s="13">
        <f t="shared" si="35"/>
        <v>0</v>
      </c>
      <c r="BE71" s="13">
        <f t="shared" si="36"/>
        <v>0</v>
      </c>
      <c r="BF71" s="13">
        <f t="shared" si="37"/>
        <v>0</v>
      </c>
      <c r="BG71" s="13">
        <f t="shared" si="38"/>
        <v>0</v>
      </c>
      <c r="BH71" s="13">
        <f t="shared" si="39"/>
        <v>0</v>
      </c>
      <c r="BI71" s="13">
        <f t="shared" si="40"/>
        <v>9.858425200000001</v>
      </c>
      <c r="BJ71" s="13">
        <f t="shared" si="41"/>
        <v>9.858425200000001</v>
      </c>
      <c r="BK71" s="13">
        <f t="shared" si="42"/>
        <v>9.858425200000001</v>
      </c>
    </row>
    <row r="72" spans="1:63" hidden="1" x14ac:dyDescent="0.35">
      <c r="A72">
        <v>46022</v>
      </c>
      <c r="B72" t="str">
        <f>_xlfn.XLOOKUP(C72,'Production Costs Co Product'!B:B,'Production Costs Co Product'!D:D,"Not found")</f>
        <v>Finland</v>
      </c>
      <c r="C72" t="s">
        <v>143</v>
      </c>
      <c r="D72" s="13">
        <f>_xlfn.XLOOKUP(C72,'Production Costs Co Product'!B:B,'Production Costs Co Product'!J:J,"Not found")</f>
        <v>0.36449999999999999</v>
      </c>
      <c r="E72" t="s">
        <v>144</v>
      </c>
      <c r="F72" t="s">
        <v>258</v>
      </c>
      <c r="G72">
        <v>4648824</v>
      </c>
      <c r="H72">
        <v>100</v>
      </c>
      <c r="I72" t="s">
        <v>298</v>
      </c>
      <c r="J72" t="s">
        <v>67</v>
      </c>
      <c r="L72" t="s">
        <v>67</v>
      </c>
      <c r="M72" t="s">
        <v>333</v>
      </c>
      <c r="N72" t="s">
        <v>298</v>
      </c>
      <c r="O72" t="s">
        <v>334</v>
      </c>
      <c r="P72" t="s">
        <v>67</v>
      </c>
      <c r="Q72">
        <v>13298136</v>
      </c>
      <c r="R72" t="s">
        <v>298</v>
      </c>
      <c r="S72" t="s">
        <v>300</v>
      </c>
      <c r="T72" t="s">
        <v>300</v>
      </c>
      <c r="U72" t="s">
        <v>300</v>
      </c>
      <c r="V72" t="s">
        <v>300</v>
      </c>
      <c r="W72" t="s">
        <v>300</v>
      </c>
      <c r="X72" t="s">
        <v>300</v>
      </c>
      <c r="Y72" t="s">
        <v>300</v>
      </c>
      <c r="Z72" t="s">
        <v>300</v>
      </c>
      <c r="AA72" t="s">
        <v>300</v>
      </c>
      <c r="AB72" t="s">
        <v>300</v>
      </c>
      <c r="AC72" t="s">
        <v>300</v>
      </c>
      <c r="AD72" t="s">
        <v>300</v>
      </c>
      <c r="AE72" t="s">
        <v>300</v>
      </c>
      <c r="AF72" t="s">
        <v>300</v>
      </c>
      <c r="AG72" t="s">
        <v>300</v>
      </c>
      <c r="AH72" t="s">
        <v>300</v>
      </c>
      <c r="AI72" t="s">
        <v>300</v>
      </c>
      <c r="AJ72" t="s">
        <v>300</v>
      </c>
      <c r="AK72" t="s">
        <v>300</v>
      </c>
      <c r="AL72" t="s">
        <v>300</v>
      </c>
      <c r="AM72" t="s">
        <v>300</v>
      </c>
      <c r="AN72" t="s">
        <v>300</v>
      </c>
      <c r="AO72" t="s">
        <v>300</v>
      </c>
      <c r="AP72" t="s">
        <v>300</v>
      </c>
      <c r="AQ72">
        <f t="shared" si="43"/>
        <v>0</v>
      </c>
      <c r="AR72">
        <f t="shared" si="44"/>
        <v>0</v>
      </c>
      <c r="AS72">
        <f t="shared" si="45"/>
        <v>0</v>
      </c>
      <c r="AT72">
        <f t="shared" si="46"/>
        <v>0</v>
      </c>
      <c r="AU72" t="str">
        <f t="shared" si="47"/>
        <v>NA</v>
      </c>
      <c r="AV72">
        <f t="shared" si="48"/>
        <v>100</v>
      </c>
      <c r="AW72">
        <f t="shared" si="49"/>
        <v>100</v>
      </c>
      <c r="AX72" s="14">
        <f t="shared" si="21"/>
        <v>0</v>
      </c>
      <c r="AY72" s="14">
        <f t="shared" si="22"/>
        <v>0</v>
      </c>
      <c r="AZ72" s="14">
        <f t="shared" si="22"/>
        <v>0</v>
      </c>
      <c r="BA72" s="14">
        <f t="shared" si="22"/>
        <v>0</v>
      </c>
      <c r="BB72" s="14">
        <f t="shared" si="33"/>
        <v>0</v>
      </c>
      <c r="BC72" s="14">
        <f t="shared" si="34"/>
        <v>100</v>
      </c>
      <c r="BD72" s="13">
        <f t="shared" si="35"/>
        <v>0</v>
      </c>
      <c r="BE72" s="13">
        <f t="shared" si="36"/>
        <v>0</v>
      </c>
      <c r="BF72" s="13">
        <f t="shared" si="37"/>
        <v>0</v>
      </c>
      <c r="BG72" s="13">
        <f t="shared" si="38"/>
        <v>0</v>
      </c>
      <c r="BH72" s="13">
        <f t="shared" si="39"/>
        <v>0</v>
      </c>
      <c r="BI72" s="13">
        <f t="shared" si="40"/>
        <v>0.36449999999999999</v>
      </c>
      <c r="BJ72" s="13">
        <f t="shared" si="41"/>
        <v>0.36449999999999999</v>
      </c>
      <c r="BK72" s="13">
        <f t="shared" si="42"/>
        <v>0.36449999999999994</v>
      </c>
    </row>
    <row r="73" spans="1:63" x14ac:dyDescent="0.35">
      <c r="A73">
        <v>46022</v>
      </c>
      <c r="B73" t="str">
        <f>_xlfn.XLOOKUP(C73,'Production Costs Co Product'!B:B,'Production Costs Co Product'!D:D,"Not found")</f>
        <v>China</v>
      </c>
      <c r="C73" t="s">
        <v>119</v>
      </c>
      <c r="D73" s="13">
        <f>_xlfn.XLOOKUP(C73,'Production Costs Co Product'!B:B,'Production Costs Co Product'!J:J,"Not found")</f>
        <v>0.140098</v>
      </c>
      <c r="E73" t="s">
        <v>120</v>
      </c>
      <c r="F73" t="s">
        <v>254</v>
      </c>
      <c r="G73">
        <v>10393182</v>
      </c>
      <c r="H73">
        <v>100</v>
      </c>
      <c r="I73" t="s">
        <v>298</v>
      </c>
      <c r="J73" t="s">
        <v>50</v>
      </c>
      <c r="L73" t="s">
        <v>305</v>
      </c>
      <c r="M73" t="s">
        <v>305</v>
      </c>
      <c r="N73" t="s">
        <v>306</v>
      </c>
      <c r="O73" t="s">
        <v>305</v>
      </c>
      <c r="P73" t="s">
        <v>305</v>
      </c>
      <c r="Q73" t="s">
        <v>300</v>
      </c>
      <c r="R73" t="s">
        <v>296</v>
      </c>
      <c r="S73" t="s">
        <v>300</v>
      </c>
      <c r="T73" t="s">
        <v>300</v>
      </c>
      <c r="U73" t="s">
        <v>300</v>
      </c>
      <c r="V73" t="s">
        <v>300</v>
      </c>
      <c r="W73" t="s">
        <v>300</v>
      </c>
      <c r="X73" t="s">
        <v>300</v>
      </c>
      <c r="Y73" t="s">
        <v>300</v>
      </c>
      <c r="Z73" t="s">
        <v>300</v>
      </c>
      <c r="AA73" t="s">
        <v>300</v>
      </c>
      <c r="AB73" t="s">
        <v>300</v>
      </c>
      <c r="AC73" t="s">
        <v>300</v>
      </c>
      <c r="AD73" t="s">
        <v>300</v>
      </c>
      <c r="AE73" t="s">
        <v>300</v>
      </c>
      <c r="AF73" t="s">
        <v>300</v>
      </c>
      <c r="AG73" t="s">
        <v>300</v>
      </c>
      <c r="AH73" t="s">
        <v>300</v>
      </c>
      <c r="AI73" t="s">
        <v>300</v>
      </c>
      <c r="AJ73" t="s">
        <v>300</v>
      </c>
      <c r="AK73" t="s">
        <v>300</v>
      </c>
      <c r="AL73" t="s">
        <v>300</v>
      </c>
      <c r="AM73" t="s">
        <v>300</v>
      </c>
      <c r="AN73" t="s">
        <v>300</v>
      </c>
      <c r="AO73" t="s">
        <v>300</v>
      </c>
      <c r="AP73" t="s">
        <v>300</v>
      </c>
      <c r="AQ73">
        <f t="shared" si="43"/>
        <v>0</v>
      </c>
      <c r="AR73">
        <f t="shared" si="44"/>
        <v>0</v>
      </c>
      <c r="AS73">
        <f t="shared" si="45"/>
        <v>0</v>
      </c>
      <c r="AT73">
        <f t="shared" si="46"/>
        <v>0</v>
      </c>
      <c r="AU73" t="str">
        <f t="shared" si="47"/>
        <v>NA</v>
      </c>
      <c r="AV73">
        <f t="shared" si="48"/>
        <v>100</v>
      </c>
      <c r="AW73">
        <f t="shared" si="49"/>
        <v>100</v>
      </c>
      <c r="AX73" s="14">
        <f t="shared" si="21"/>
        <v>0</v>
      </c>
      <c r="AY73" s="14">
        <f t="shared" si="22"/>
        <v>0</v>
      </c>
      <c r="AZ73" s="14">
        <f t="shared" si="22"/>
        <v>0</v>
      </c>
      <c r="BA73" s="14">
        <f t="shared" si="22"/>
        <v>0</v>
      </c>
      <c r="BB73" s="14">
        <f t="shared" si="33"/>
        <v>0</v>
      </c>
      <c r="BC73" s="14">
        <f t="shared" si="34"/>
        <v>100</v>
      </c>
      <c r="BD73" s="13">
        <f t="shared" si="35"/>
        <v>0</v>
      </c>
      <c r="BE73" s="13">
        <f t="shared" si="36"/>
        <v>0</v>
      </c>
      <c r="BF73" s="13">
        <f t="shared" si="37"/>
        <v>0</v>
      </c>
      <c r="BG73" s="13">
        <f t="shared" si="38"/>
        <v>0</v>
      </c>
      <c r="BH73" s="13">
        <f t="shared" si="39"/>
        <v>0</v>
      </c>
      <c r="BI73" s="13">
        <f t="shared" si="40"/>
        <v>0.140098</v>
      </c>
      <c r="BJ73" s="13">
        <f t="shared" si="41"/>
        <v>0.140098</v>
      </c>
      <c r="BK73" s="13">
        <f t="shared" si="42"/>
        <v>0.140098</v>
      </c>
    </row>
    <row r="74" spans="1:63" hidden="1" x14ac:dyDescent="0.35">
      <c r="A74">
        <v>46022</v>
      </c>
      <c r="B74" t="str">
        <f>_xlfn.XLOOKUP(C74,'Production Costs Co Product'!B:B,'Production Costs Co Product'!D:D,"Not found")</f>
        <v>Canada</v>
      </c>
      <c r="C74" t="s">
        <v>145</v>
      </c>
      <c r="D74" s="13">
        <f>_xlfn.XLOOKUP(C74,'Production Costs Co Product'!B:B,'Production Costs Co Product'!J:J,"Not found")</f>
        <v>1.26</v>
      </c>
      <c r="E74" t="s">
        <v>146</v>
      </c>
      <c r="F74" t="s">
        <v>237</v>
      </c>
      <c r="G74">
        <v>4223919</v>
      </c>
      <c r="H74">
        <v>100</v>
      </c>
      <c r="I74" t="s">
        <v>296</v>
      </c>
      <c r="J74" t="s">
        <v>114</v>
      </c>
      <c r="L74" t="s">
        <v>305</v>
      </c>
      <c r="M74" t="s">
        <v>305</v>
      </c>
      <c r="N74" t="s">
        <v>306</v>
      </c>
      <c r="O74" t="s">
        <v>305</v>
      </c>
      <c r="P74" t="s">
        <v>305</v>
      </c>
      <c r="Q74" t="s">
        <v>300</v>
      </c>
      <c r="R74" t="s">
        <v>296</v>
      </c>
      <c r="S74">
        <v>52.67</v>
      </c>
      <c r="T74">
        <v>1.86</v>
      </c>
      <c r="U74" t="s">
        <v>300</v>
      </c>
      <c r="V74">
        <v>7.32</v>
      </c>
      <c r="W74" t="s">
        <v>300</v>
      </c>
      <c r="X74">
        <v>0.09</v>
      </c>
      <c r="Y74">
        <v>1.31</v>
      </c>
      <c r="Z74">
        <v>0</v>
      </c>
      <c r="AA74">
        <v>39.1</v>
      </c>
      <c r="AB74" t="s">
        <v>300</v>
      </c>
      <c r="AC74">
        <v>0.49</v>
      </c>
      <c r="AD74" t="s">
        <v>300</v>
      </c>
      <c r="AE74">
        <v>2.48</v>
      </c>
      <c r="AF74">
        <v>0</v>
      </c>
      <c r="AG74">
        <v>0.03</v>
      </c>
      <c r="AH74">
        <v>0.02</v>
      </c>
      <c r="AI74" t="s">
        <v>300</v>
      </c>
      <c r="AJ74" t="s">
        <v>300</v>
      </c>
      <c r="AK74" t="s">
        <v>300</v>
      </c>
      <c r="AL74" t="s">
        <v>300</v>
      </c>
      <c r="AM74" t="s">
        <v>300</v>
      </c>
      <c r="AN74">
        <v>0</v>
      </c>
      <c r="AO74">
        <v>0.28000000000000003</v>
      </c>
      <c r="AP74">
        <v>6.73</v>
      </c>
      <c r="AQ74">
        <f t="shared" si="43"/>
        <v>50.79</v>
      </c>
      <c r="AR74">
        <f t="shared" si="44"/>
        <v>1.31</v>
      </c>
      <c r="AS74">
        <f t="shared" si="45"/>
        <v>0.11</v>
      </c>
      <c r="AT74">
        <f t="shared" si="46"/>
        <v>7.0100000000000007</v>
      </c>
      <c r="AU74">
        <f t="shared" si="47"/>
        <v>0.49</v>
      </c>
      <c r="AV74">
        <f t="shared" si="48"/>
        <v>40.29</v>
      </c>
      <c r="AW74">
        <f t="shared" si="49"/>
        <v>40.289999999999992</v>
      </c>
      <c r="AX74" s="14">
        <f t="shared" si="21"/>
        <v>50.79</v>
      </c>
      <c r="AY74" s="14">
        <f t="shared" si="22"/>
        <v>1.31</v>
      </c>
      <c r="AZ74" s="14">
        <f t="shared" si="22"/>
        <v>0.11</v>
      </c>
      <c r="BA74" s="14">
        <f t="shared" si="22"/>
        <v>7.0100000000000016</v>
      </c>
      <c r="BB74" s="14">
        <f t="shared" si="33"/>
        <v>0.49</v>
      </c>
      <c r="BC74" s="14">
        <f t="shared" si="34"/>
        <v>40.29</v>
      </c>
      <c r="BD74" s="13">
        <f t="shared" si="35"/>
        <v>0.63995400000000002</v>
      </c>
      <c r="BE74" s="13">
        <f t="shared" si="36"/>
        <v>1.6506E-2</v>
      </c>
      <c r="BF74" s="13">
        <f t="shared" si="37"/>
        <v>1.3860000000000001E-3</v>
      </c>
      <c r="BG74" s="13">
        <f t="shared" si="38"/>
        <v>8.8326000000000016E-2</v>
      </c>
      <c r="BH74" s="13">
        <f t="shared" si="39"/>
        <v>6.1739999999999998E-3</v>
      </c>
      <c r="BI74" s="13">
        <f t="shared" si="40"/>
        <v>0.50765399999999994</v>
      </c>
      <c r="BJ74" s="13">
        <f t="shared" si="41"/>
        <v>1.26</v>
      </c>
      <c r="BK74" s="13">
        <f t="shared" si="42"/>
        <v>1.26</v>
      </c>
    </row>
    <row r="75" spans="1:63" hidden="1" x14ac:dyDescent="0.35">
      <c r="A75">
        <v>46022</v>
      </c>
      <c r="B75" t="str">
        <f>_xlfn.XLOOKUP(C75,'Production Costs Co Product'!B:B,'Production Costs Co Product'!D:D,"Not found")</f>
        <v>Zimbabwe</v>
      </c>
      <c r="C75" t="s">
        <v>147</v>
      </c>
      <c r="D75" s="13">
        <f>_xlfn.XLOOKUP(C75,'Production Costs Co Product'!B:B,'Production Costs Co Product'!J:J,"Not found")</f>
        <v>5.7089000000000001E-2</v>
      </c>
      <c r="E75" t="s">
        <v>148</v>
      </c>
      <c r="F75" t="s">
        <v>259</v>
      </c>
      <c r="G75">
        <v>4355649</v>
      </c>
      <c r="H75">
        <v>100</v>
      </c>
      <c r="I75" t="s">
        <v>296</v>
      </c>
      <c r="J75" t="s">
        <v>335</v>
      </c>
      <c r="L75" t="s">
        <v>336</v>
      </c>
      <c r="M75" t="s">
        <v>337</v>
      </c>
      <c r="N75" t="s">
        <v>298</v>
      </c>
      <c r="O75" t="s">
        <v>338</v>
      </c>
      <c r="P75" t="s">
        <v>62</v>
      </c>
      <c r="Q75">
        <v>4351190</v>
      </c>
      <c r="R75" t="s">
        <v>296</v>
      </c>
      <c r="S75">
        <v>0.46</v>
      </c>
      <c r="T75">
        <v>0.02</v>
      </c>
      <c r="U75" t="s">
        <v>300</v>
      </c>
      <c r="V75" t="s">
        <v>300</v>
      </c>
      <c r="W75" t="s">
        <v>300</v>
      </c>
      <c r="X75" t="s">
        <v>300</v>
      </c>
      <c r="Y75" t="s">
        <v>300</v>
      </c>
      <c r="Z75" t="s">
        <v>300</v>
      </c>
      <c r="AA75">
        <v>0.44</v>
      </c>
      <c r="AB75" t="s">
        <v>300</v>
      </c>
      <c r="AC75" t="s">
        <v>300</v>
      </c>
      <c r="AD75" t="s">
        <v>300</v>
      </c>
      <c r="AE75" t="s">
        <v>300</v>
      </c>
      <c r="AF75" t="s">
        <v>300</v>
      </c>
      <c r="AG75" t="s">
        <v>300</v>
      </c>
      <c r="AH75">
        <v>0.36</v>
      </c>
      <c r="AI75" t="s">
        <v>300</v>
      </c>
      <c r="AJ75" t="s">
        <v>300</v>
      </c>
      <c r="AK75" t="s">
        <v>300</v>
      </c>
      <c r="AL75" t="s">
        <v>300</v>
      </c>
      <c r="AM75" t="s">
        <v>300</v>
      </c>
      <c r="AN75" t="s">
        <v>300</v>
      </c>
      <c r="AO75">
        <v>0.34</v>
      </c>
      <c r="AP75">
        <v>87</v>
      </c>
      <c r="AQ75">
        <f t="shared" si="43"/>
        <v>0.46</v>
      </c>
      <c r="AR75">
        <f t="shared" si="44"/>
        <v>0</v>
      </c>
      <c r="AS75">
        <f t="shared" si="45"/>
        <v>0.36</v>
      </c>
      <c r="AT75">
        <f t="shared" si="46"/>
        <v>87.34</v>
      </c>
      <c r="AU75" t="str">
        <f t="shared" si="47"/>
        <v>NA</v>
      </c>
      <c r="AV75">
        <f t="shared" si="48"/>
        <v>11.840000000000003</v>
      </c>
      <c r="AW75">
        <f t="shared" si="49"/>
        <v>11.840000000000003</v>
      </c>
      <c r="AX75" s="14">
        <f t="shared" si="21"/>
        <v>0.46</v>
      </c>
      <c r="AY75" s="14">
        <f t="shared" si="22"/>
        <v>0</v>
      </c>
      <c r="AZ75" s="14">
        <f t="shared" si="22"/>
        <v>0.36</v>
      </c>
      <c r="BA75" s="14">
        <f t="shared" si="22"/>
        <v>87.34</v>
      </c>
      <c r="BB75" s="14">
        <f t="shared" si="33"/>
        <v>0</v>
      </c>
      <c r="BC75" s="14">
        <f t="shared" si="34"/>
        <v>11.840000000000005</v>
      </c>
      <c r="BD75" s="13">
        <f t="shared" si="35"/>
        <v>2.6260939999999999E-4</v>
      </c>
      <c r="BE75" s="13">
        <f t="shared" si="36"/>
        <v>0</v>
      </c>
      <c r="BF75" s="13">
        <f t="shared" si="37"/>
        <v>2.055204E-4</v>
      </c>
      <c r="BG75" s="13">
        <f t="shared" si="38"/>
        <v>4.9861532600000001E-2</v>
      </c>
      <c r="BH75" s="13">
        <f t="shared" si="39"/>
        <v>0</v>
      </c>
      <c r="BI75" s="13">
        <f t="shared" si="40"/>
        <v>6.7593376000000026E-3</v>
      </c>
      <c r="BJ75" s="13">
        <f t="shared" si="41"/>
        <v>5.7089000000000008E-2</v>
      </c>
      <c r="BK75" s="13">
        <f t="shared" si="42"/>
        <v>5.7089000000000001E-2</v>
      </c>
    </row>
    <row r="77" spans="1:63" ht="29" x14ac:dyDescent="0.35">
      <c r="BC77" s="12" t="s">
        <v>2245</v>
      </c>
      <c r="BD77" s="15">
        <f>SUBTOTAL(109,BD5:BD76)/$BK$77</f>
        <v>0</v>
      </c>
      <c r="BE77" s="15">
        <f t="shared" ref="BE77:BI77" si="50">SUBTOTAL(109,BE5:BE76)/$BK$77</f>
        <v>0</v>
      </c>
      <c r="BF77" s="15">
        <f t="shared" si="50"/>
        <v>0</v>
      </c>
      <c r="BG77" s="15">
        <f t="shared" si="50"/>
        <v>0</v>
      </c>
      <c r="BH77" s="15">
        <f t="shared" si="50"/>
        <v>0</v>
      </c>
      <c r="BI77" s="15">
        <f t="shared" si="50"/>
        <v>1</v>
      </c>
      <c r="BK77" s="13">
        <f>SUBTOTAL(109,BK5:BK76)</f>
        <v>3.1728900000000002</v>
      </c>
    </row>
    <row r="79" spans="1:63" x14ac:dyDescent="0.35">
      <c r="C79" t="s">
        <v>2246</v>
      </c>
      <c r="D79" s="14">
        <f>SUBTOTAL(109,D5:D76)</f>
        <v>3.1728900000000002</v>
      </c>
    </row>
  </sheetData>
  <autoFilter ref="A1:AP75" xr:uid="{134B0B30-379D-44E2-8033-3D61AD343D3C}">
    <filterColumn colId="1">
      <filters>
        <filter val="China"/>
      </filters>
    </filterColumn>
    <filterColumn colId="8">
      <filters>
        <filter val="Private Company"/>
      </filters>
    </filterColumn>
  </autoFilter>
  <sortState xmlns:xlrd2="http://schemas.microsoft.com/office/spreadsheetml/2017/richdata2" ref="A1:AP4">
    <sortCondition ref="A1:A4"/>
  </sortState>
  <mergeCells count="63">
    <mergeCell ref="BG1:BG4"/>
    <mergeCell ref="BH1:BH4"/>
    <mergeCell ref="BI1:BI4"/>
    <mergeCell ref="BJ1:BJ4"/>
    <mergeCell ref="BK1:BK4"/>
    <mergeCell ref="BB1:BB4"/>
    <mergeCell ref="BC1:BC4"/>
    <mergeCell ref="BD1:BD4"/>
    <mergeCell ref="BE1:BE4"/>
    <mergeCell ref="BF1:BF4"/>
    <mergeCell ref="AW1:AW4"/>
    <mergeCell ref="AX1:AX4"/>
    <mergeCell ref="AY1:AY4"/>
    <mergeCell ref="AZ1:AZ4"/>
    <mergeCell ref="BA1:BA4"/>
    <mergeCell ref="H1:H4"/>
    <mergeCell ref="A1:A4"/>
    <mergeCell ref="C1:C4"/>
    <mergeCell ref="E1:E4"/>
    <mergeCell ref="F1:F4"/>
    <mergeCell ref="G1:G4"/>
    <mergeCell ref="B1:B4"/>
    <mergeCell ref="D1:D4"/>
    <mergeCell ref="T1:T4"/>
    <mergeCell ref="I1:I4"/>
    <mergeCell ref="J1:J4"/>
    <mergeCell ref="K1:K4"/>
    <mergeCell ref="L1:L4"/>
    <mergeCell ref="M1:M4"/>
    <mergeCell ref="N1:N4"/>
    <mergeCell ref="O1:O4"/>
    <mergeCell ref="P1:P4"/>
    <mergeCell ref="Q1:Q4"/>
    <mergeCell ref="R1:R4"/>
    <mergeCell ref="S1:S4"/>
    <mergeCell ref="AF1:AF4"/>
    <mergeCell ref="U1:U4"/>
    <mergeCell ref="V1:V4"/>
    <mergeCell ref="W1:W4"/>
    <mergeCell ref="X1:X4"/>
    <mergeCell ref="Y1:Y4"/>
    <mergeCell ref="Z1:Z4"/>
    <mergeCell ref="AA1:AA4"/>
    <mergeCell ref="AB1:AB4"/>
    <mergeCell ref="AC1:AC4"/>
    <mergeCell ref="AD1:AD4"/>
    <mergeCell ref="AE1:AE4"/>
    <mergeCell ref="AM1:AM4"/>
    <mergeCell ref="AN1:AN4"/>
    <mergeCell ref="AO1:AO4"/>
    <mergeCell ref="AP1:AP4"/>
    <mergeCell ref="AG1:AG4"/>
    <mergeCell ref="AH1:AH4"/>
    <mergeCell ref="AI1:AI4"/>
    <mergeCell ref="AJ1:AJ4"/>
    <mergeCell ref="AK1:AK4"/>
    <mergeCell ref="AL1:AL4"/>
    <mergeCell ref="AV1:AV4"/>
    <mergeCell ref="AQ1:AQ4"/>
    <mergeCell ref="AR1:AR4"/>
    <mergeCell ref="AS1:AS4"/>
    <mergeCell ref="AT1:AT4"/>
    <mergeCell ref="AU1:AU4"/>
  </mergeCells>
  <pageMargins left="0.7" right="0.7" top="0.75" bottom="0.75" header="0.3" footer="0.3"/>
  <headerFooter>
    <oddFooter>&amp;C_x000D_&amp;1#&amp;"Aptos"&amp;10&amp;K0000FF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85ADC-2C4A-4169-A155-67EA1A9F7ECA}">
  <dimension ref="A1:HG503"/>
  <sheetViews>
    <sheetView workbookViewId="0">
      <selection activeCell="K27" sqref="K27"/>
    </sheetView>
  </sheetViews>
  <sheetFormatPr defaultRowHeight="14.5" x14ac:dyDescent="0.35"/>
  <sheetData>
    <row r="1" spans="1:215" x14ac:dyDescent="0.35">
      <c r="A1" s="8">
        <v>4355482</v>
      </c>
      <c r="B1" s="8">
        <v>4047416</v>
      </c>
      <c r="C1" s="8">
        <v>4349160</v>
      </c>
      <c r="D1" s="8">
        <v>4355602</v>
      </c>
      <c r="E1" s="8">
        <v>4355642</v>
      </c>
      <c r="F1" s="8">
        <v>4349160</v>
      </c>
      <c r="G1" s="8">
        <v>4351931</v>
      </c>
      <c r="H1" s="8">
        <v>4355482</v>
      </c>
      <c r="I1" s="8">
        <v>4351190</v>
      </c>
      <c r="J1" s="8">
        <v>4355482</v>
      </c>
      <c r="K1" s="8">
        <v>4649760</v>
      </c>
      <c r="L1" s="8">
        <v>4113732</v>
      </c>
      <c r="M1" s="8">
        <v>4348654</v>
      </c>
      <c r="N1" s="8">
        <v>4349148</v>
      </c>
      <c r="O1" s="8">
        <v>6582136</v>
      </c>
      <c r="P1" s="8">
        <v>4355642</v>
      </c>
      <c r="Q1" s="8">
        <v>4223919</v>
      </c>
      <c r="R1" s="8">
        <v>4351190</v>
      </c>
      <c r="S1" s="8">
        <v>4379789</v>
      </c>
      <c r="T1" s="8">
        <v>4102700</v>
      </c>
      <c r="U1" s="8">
        <v>4361447</v>
      </c>
      <c r="V1" s="8">
        <v>4113732</v>
      </c>
      <c r="W1" s="8">
        <v>4361447</v>
      </c>
      <c r="X1" s="8">
        <v>4113732</v>
      </c>
      <c r="Y1" s="8">
        <v>4355602</v>
      </c>
      <c r="Z1" s="8">
        <v>4352853</v>
      </c>
      <c r="AA1" s="8">
        <v>4223919</v>
      </c>
      <c r="AB1" s="8">
        <v>4113732</v>
      </c>
      <c r="AC1" s="8">
        <v>4361447</v>
      </c>
      <c r="AD1" s="8">
        <v>4352229</v>
      </c>
      <c r="AE1" s="8">
        <v>19394423</v>
      </c>
      <c r="AF1" s="8">
        <v>4352804</v>
      </c>
      <c r="AG1" s="8">
        <v>4557435</v>
      </c>
      <c r="AH1" s="8">
        <v>4096231</v>
      </c>
      <c r="AI1" s="8">
        <v>4361447</v>
      </c>
      <c r="AJ1" s="8">
        <v>4353521</v>
      </c>
      <c r="AK1" s="8">
        <v>4113732</v>
      </c>
      <c r="AL1" s="8">
        <v>4352804</v>
      </c>
      <c r="AM1" s="8">
        <v>4557435</v>
      </c>
      <c r="AN1" s="8">
        <v>4096231</v>
      </c>
      <c r="AO1" s="8">
        <v>4349148</v>
      </c>
      <c r="AP1" s="8">
        <v>4223919</v>
      </c>
      <c r="AQ1" s="8">
        <v>4355649</v>
      </c>
    </row>
    <row r="2" spans="1:215" x14ac:dyDescent="0.35">
      <c r="A2">
        <v>4355482</v>
      </c>
      <c r="B2">
        <v>4355482</v>
      </c>
      <c r="C2">
        <v>4355482</v>
      </c>
      <c r="D2">
        <v>4355482</v>
      </c>
      <c r="E2">
        <v>4355482</v>
      </c>
      <c r="F2">
        <v>4047416</v>
      </c>
      <c r="G2">
        <v>4047416</v>
      </c>
      <c r="H2">
        <v>4047416</v>
      </c>
      <c r="I2">
        <v>4047416</v>
      </c>
      <c r="J2">
        <v>4047416</v>
      </c>
      <c r="K2">
        <v>4349160</v>
      </c>
      <c r="L2">
        <v>4349160</v>
      </c>
      <c r="M2">
        <v>4349160</v>
      </c>
      <c r="N2">
        <v>4349160</v>
      </c>
      <c r="O2">
        <v>4349160</v>
      </c>
      <c r="P2">
        <v>4355602</v>
      </c>
      <c r="Q2">
        <v>4355602</v>
      </c>
      <c r="R2">
        <v>4355602</v>
      </c>
      <c r="S2">
        <v>4355602</v>
      </c>
      <c r="T2">
        <v>4355602</v>
      </c>
      <c r="U2">
        <v>4355642</v>
      </c>
      <c r="V2">
        <v>4355642</v>
      </c>
      <c r="W2">
        <v>4355642</v>
      </c>
      <c r="X2">
        <v>4355642</v>
      </c>
      <c r="Y2">
        <v>4355642</v>
      </c>
      <c r="Z2">
        <v>4349160</v>
      </c>
      <c r="AA2">
        <v>4349160</v>
      </c>
      <c r="AB2">
        <v>4349160</v>
      </c>
      <c r="AC2">
        <v>4349160</v>
      </c>
      <c r="AD2">
        <v>4349160</v>
      </c>
      <c r="AE2">
        <v>4351931</v>
      </c>
      <c r="AF2">
        <v>4351931</v>
      </c>
      <c r="AG2">
        <v>4351931</v>
      </c>
      <c r="AH2">
        <v>4351931</v>
      </c>
      <c r="AI2">
        <v>4351931</v>
      </c>
      <c r="AJ2">
        <v>4355482</v>
      </c>
      <c r="AK2">
        <v>4355482</v>
      </c>
      <c r="AL2">
        <v>4355482</v>
      </c>
      <c r="AM2">
        <v>4355482</v>
      </c>
      <c r="AN2">
        <v>4355482</v>
      </c>
      <c r="AO2">
        <v>4351190</v>
      </c>
      <c r="AP2">
        <v>4351190</v>
      </c>
      <c r="AQ2">
        <v>4351190</v>
      </c>
      <c r="AR2">
        <v>4351190</v>
      </c>
      <c r="AS2">
        <v>4351190</v>
      </c>
      <c r="AT2">
        <v>4355482</v>
      </c>
      <c r="AU2">
        <v>4355482</v>
      </c>
      <c r="AV2">
        <v>4355482</v>
      </c>
      <c r="AW2">
        <v>4355482</v>
      </c>
      <c r="AX2">
        <v>4355482</v>
      </c>
      <c r="AY2">
        <v>4649760</v>
      </c>
      <c r="AZ2">
        <v>4649760</v>
      </c>
      <c r="BA2">
        <v>4649760</v>
      </c>
      <c r="BB2">
        <v>4649760</v>
      </c>
      <c r="BC2">
        <v>4649760</v>
      </c>
      <c r="BD2">
        <v>4113732</v>
      </c>
      <c r="BE2">
        <v>4113732</v>
      </c>
      <c r="BF2">
        <v>4113732</v>
      </c>
      <c r="BG2">
        <v>4113732</v>
      </c>
      <c r="BH2">
        <v>4113732</v>
      </c>
      <c r="BI2">
        <v>4348654</v>
      </c>
      <c r="BJ2">
        <v>4348654</v>
      </c>
      <c r="BK2">
        <v>4348654</v>
      </c>
      <c r="BL2">
        <v>4348654</v>
      </c>
      <c r="BM2">
        <v>4348654</v>
      </c>
      <c r="BN2">
        <v>4349148</v>
      </c>
      <c r="BO2">
        <v>4349148</v>
      </c>
      <c r="BP2">
        <v>4349148</v>
      </c>
      <c r="BQ2">
        <v>4349148</v>
      </c>
      <c r="BR2">
        <v>4349148</v>
      </c>
      <c r="BS2">
        <v>6582136</v>
      </c>
      <c r="BT2">
        <v>6582136</v>
      </c>
      <c r="BU2">
        <v>6582136</v>
      </c>
      <c r="BV2">
        <v>6582136</v>
      </c>
      <c r="BW2">
        <v>6582136</v>
      </c>
      <c r="BX2">
        <v>4355642</v>
      </c>
      <c r="BY2">
        <v>4355642</v>
      </c>
      <c r="BZ2">
        <v>4355642</v>
      </c>
      <c r="CA2">
        <v>4355642</v>
      </c>
      <c r="CB2">
        <v>4355642</v>
      </c>
      <c r="CC2">
        <v>4223919</v>
      </c>
      <c r="CD2">
        <v>4223919</v>
      </c>
      <c r="CE2">
        <v>4223919</v>
      </c>
      <c r="CF2">
        <v>4223919</v>
      </c>
      <c r="CG2">
        <v>4223919</v>
      </c>
      <c r="CH2">
        <v>4351190</v>
      </c>
      <c r="CI2">
        <v>4351190</v>
      </c>
      <c r="CJ2">
        <v>4351190</v>
      </c>
      <c r="CK2">
        <v>4351190</v>
      </c>
      <c r="CL2">
        <v>4351190</v>
      </c>
      <c r="CM2">
        <v>4379789</v>
      </c>
      <c r="CN2">
        <v>4379789</v>
      </c>
      <c r="CO2">
        <v>4379789</v>
      </c>
      <c r="CP2">
        <v>4379789</v>
      </c>
      <c r="CQ2">
        <v>4379789</v>
      </c>
      <c r="CR2">
        <v>4102700</v>
      </c>
      <c r="CS2">
        <v>4102700</v>
      </c>
      <c r="CT2">
        <v>4102700</v>
      </c>
      <c r="CU2">
        <v>4102700</v>
      </c>
      <c r="CV2">
        <v>4102700</v>
      </c>
      <c r="CW2">
        <v>4361447</v>
      </c>
      <c r="CX2">
        <v>4361447</v>
      </c>
      <c r="CY2">
        <v>4361447</v>
      </c>
      <c r="CZ2">
        <v>4361447</v>
      </c>
      <c r="DA2">
        <v>4361447</v>
      </c>
      <c r="DB2">
        <v>4113732</v>
      </c>
      <c r="DC2">
        <v>4113732</v>
      </c>
      <c r="DD2">
        <v>4113732</v>
      </c>
      <c r="DE2">
        <v>4113732</v>
      </c>
      <c r="DF2">
        <v>4113732</v>
      </c>
      <c r="DG2">
        <v>4361447</v>
      </c>
      <c r="DH2">
        <v>4361447</v>
      </c>
      <c r="DI2">
        <v>4361447</v>
      </c>
      <c r="DJ2">
        <v>4361447</v>
      </c>
      <c r="DK2">
        <v>4361447</v>
      </c>
      <c r="DL2">
        <v>4113732</v>
      </c>
      <c r="DM2">
        <v>4113732</v>
      </c>
      <c r="DN2">
        <v>4113732</v>
      </c>
      <c r="DO2">
        <v>4113732</v>
      </c>
      <c r="DP2">
        <v>4113732</v>
      </c>
      <c r="DQ2">
        <v>4355602</v>
      </c>
      <c r="DR2">
        <v>4355602</v>
      </c>
      <c r="DS2">
        <v>4355602</v>
      </c>
      <c r="DT2">
        <v>4355602</v>
      </c>
      <c r="DU2">
        <v>4355602</v>
      </c>
      <c r="DV2">
        <v>4352853</v>
      </c>
      <c r="DW2">
        <v>4352853</v>
      </c>
      <c r="DX2">
        <v>4352853</v>
      </c>
      <c r="DY2">
        <v>4352853</v>
      </c>
      <c r="DZ2">
        <v>4352853</v>
      </c>
      <c r="EA2">
        <v>4223919</v>
      </c>
      <c r="EB2">
        <v>4223919</v>
      </c>
      <c r="EC2">
        <v>4223919</v>
      </c>
      <c r="ED2">
        <v>4223919</v>
      </c>
      <c r="EE2">
        <v>4223919</v>
      </c>
      <c r="EF2">
        <v>4113732</v>
      </c>
      <c r="EG2">
        <v>4113732</v>
      </c>
      <c r="EH2">
        <v>4113732</v>
      </c>
      <c r="EI2">
        <v>4113732</v>
      </c>
      <c r="EJ2">
        <v>4113732</v>
      </c>
      <c r="EK2">
        <v>4361447</v>
      </c>
      <c r="EL2">
        <v>4361447</v>
      </c>
      <c r="EM2">
        <v>4361447</v>
      </c>
      <c r="EN2">
        <v>4361447</v>
      </c>
      <c r="EO2">
        <v>4361447</v>
      </c>
      <c r="EP2">
        <v>4352229</v>
      </c>
      <c r="EQ2">
        <v>4352229</v>
      </c>
      <c r="ER2">
        <v>4352229</v>
      </c>
      <c r="ES2">
        <v>4352229</v>
      </c>
      <c r="ET2">
        <v>4352229</v>
      </c>
      <c r="EU2">
        <v>19394423</v>
      </c>
      <c r="EV2">
        <v>19394423</v>
      </c>
      <c r="EW2">
        <v>19394423</v>
      </c>
      <c r="EX2">
        <v>19394423</v>
      </c>
      <c r="EY2">
        <v>19394423</v>
      </c>
      <c r="EZ2">
        <v>4352804</v>
      </c>
      <c r="FA2">
        <v>4352804</v>
      </c>
      <c r="FB2">
        <v>4352804</v>
      </c>
      <c r="FC2">
        <v>4352804</v>
      </c>
      <c r="FD2">
        <v>4352804</v>
      </c>
      <c r="FE2">
        <v>4557435</v>
      </c>
      <c r="FF2">
        <v>4557435</v>
      </c>
      <c r="FG2">
        <v>4557435</v>
      </c>
      <c r="FH2">
        <v>4557435</v>
      </c>
      <c r="FI2">
        <v>4557435</v>
      </c>
      <c r="FJ2">
        <v>4096231</v>
      </c>
      <c r="FK2">
        <v>4096231</v>
      </c>
      <c r="FL2">
        <v>4096231</v>
      </c>
      <c r="FM2">
        <v>4096231</v>
      </c>
      <c r="FN2">
        <v>4096231</v>
      </c>
      <c r="FO2">
        <v>4361447</v>
      </c>
      <c r="FP2">
        <v>4361447</v>
      </c>
      <c r="FQ2">
        <v>4361447</v>
      </c>
      <c r="FR2">
        <v>4361447</v>
      </c>
      <c r="FS2">
        <v>4361447</v>
      </c>
      <c r="FT2">
        <v>4353521</v>
      </c>
      <c r="FU2">
        <v>4353521</v>
      </c>
      <c r="FV2">
        <v>4353521</v>
      </c>
      <c r="FW2">
        <v>4353521</v>
      </c>
      <c r="FX2">
        <v>4353521</v>
      </c>
      <c r="FY2">
        <v>4113732</v>
      </c>
      <c r="FZ2">
        <v>4113732</v>
      </c>
      <c r="GA2">
        <v>4113732</v>
      </c>
      <c r="GB2">
        <v>4113732</v>
      </c>
      <c r="GC2">
        <v>4113732</v>
      </c>
      <c r="GD2">
        <v>4352804</v>
      </c>
      <c r="GE2">
        <v>4352804</v>
      </c>
      <c r="GF2">
        <v>4352804</v>
      </c>
      <c r="GG2">
        <v>4352804</v>
      </c>
      <c r="GH2">
        <v>4352804</v>
      </c>
      <c r="GI2">
        <v>4557435</v>
      </c>
      <c r="GJ2">
        <v>4557435</v>
      </c>
      <c r="GK2">
        <v>4557435</v>
      </c>
      <c r="GL2">
        <v>4557435</v>
      </c>
      <c r="GM2">
        <v>4557435</v>
      </c>
      <c r="GN2">
        <v>4096231</v>
      </c>
      <c r="GO2">
        <v>4096231</v>
      </c>
      <c r="GP2">
        <v>4096231</v>
      </c>
      <c r="GQ2">
        <v>4096231</v>
      </c>
      <c r="GR2">
        <v>4096231</v>
      </c>
      <c r="GS2">
        <v>4349148</v>
      </c>
      <c r="GT2">
        <v>4349148</v>
      </c>
      <c r="GU2">
        <v>4349148</v>
      </c>
      <c r="GV2">
        <v>4349148</v>
      </c>
      <c r="GW2">
        <v>4349148</v>
      </c>
      <c r="GX2">
        <v>4223919</v>
      </c>
      <c r="GY2">
        <v>4223919</v>
      </c>
      <c r="GZ2">
        <v>4223919</v>
      </c>
      <c r="HA2">
        <v>4223919</v>
      </c>
      <c r="HB2">
        <v>4223919</v>
      </c>
      <c r="HC2">
        <v>4355649</v>
      </c>
      <c r="HD2">
        <v>4355649</v>
      </c>
      <c r="HE2">
        <v>4355649</v>
      </c>
      <c r="HF2">
        <v>4355649</v>
      </c>
      <c r="HG2">
        <v>4355649</v>
      </c>
    </row>
    <row r="3" spans="1:215" x14ac:dyDescent="0.35">
      <c r="A3" s="9" t="str">
        <f>_xll.SNL.Clients.Office.Excel.Functions.SPGRANGEV(A2, "SP_HOLDER_NAME", "1", "500", , "Summary")</f>
        <v>Holder Name</v>
      </c>
      <c r="B3" s="9" t="str">
        <f>_xll.SNL.Clients.Office.Excel.Functions.SPGRANGEV(A2, "SP_HOLDER_ID", "1", "500", , "Summary")</f>
        <v>Holder ID</v>
      </c>
      <c r="C3" s="9" t="str">
        <f>_xll.SNL.Clients.Office.Excel.Functions.SPGRANGEV(A2, "SP_HOLDER_TYPE", "1", "500", , "Summary")</f>
        <v>Holder Type</v>
      </c>
      <c r="D3" s="9" t="str">
        <f>_xll.SNL.Clients.Office.Excel.Functions.SPGRANGEV(A2, "SP_PCT_HELD_BY_HOLDER", "1", "500", , "Summary")</f>
        <v>Percent Held by Holder</v>
      </c>
      <c r="E3" t="s">
        <v>344</v>
      </c>
      <c r="F3" s="9" t="str">
        <f>_xll.SNL.Clients.Office.Excel.Functions.SPGRANGEV(F2, "SP_HOLDER_NAME", "1", "500", , "Summary")</f>
        <v>Holder Name</v>
      </c>
      <c r="G3" s="9" t="str">
        <f>_xll.SNL.Clients.Office.Excel.Functions.SPGRANGEV(F2, "SP_HOLDER_ID", "1", "500", , "Summary")</f>
        <v>Holder ID</v>
      </c>
      <c r="H3" s="9" t="str">
        <f>_xll.SNL.Clients.Office.Excel.Functions.SPGRANGEV(F2, "SP_HOLDER_TYPE", "1", "500", , "Summary")</f>
        <v>Holder Type</v>
      </c>
      <c r="I3" s="9" t="str">
        <f>_xll.SNL.Clients.Office.Excel.Functions.SPGRANGEV(F2, "SP_PCT_HELD_BY_HOLDER", "1", "500", , "Summary")</f>
        <v>Percent Held by Holder</v>
      </c>
      <c r="J3" t="s">
        <v>344</v>
      </c>
      <c r="K3" s="9" t="str">
        <f>_xll.SNL.Clients.Office.Excel.Functions.SPGRANGEV(K2, "SP_HOLDER_NAME", "1", "500", , "Summary")</f>
        <v>Holder Name</v>
      </c>
      <c r="L3" s="9" t="str">
        <f>_xll.SNL.Clients.Office.Excel.Functions.SPGRANGEV(K2, "SP_HOLDER_ID", "1", "500", , "Summary")</f>
        <v>Holder ID</v>
      </c>
      <c r="M3" s="9" t="str">
        <f>_xll.SNL.Clients.Office.Excel.Functions.SPGRANGEV(K2, "SP_HOLDER_TYPE", "1", "500", , "Summary")</f>
        <v>Holder Type</v>
      </c>
      <c r="N3" s="9" t="str">
        <f>_xll.SNL.Clients.Office.Excel.Functions.SPGRANGEV(K2, "SP_PCT_HELD_BY_HOLDER", "1", "500", , "Summary")</f>
        <v>Percent Held by Holder</v>
      </c>
      <c r="O3" t="s">
        <v>344</v>
      </c>
      <c r="P3" s="9" t="str">
        <f>_xll.SNL.Clients.Office.Excel.Functions.SPGRANGEV(P2, "SP_HOLDER_NAME", "1", "500", , "Summary")</f>
        <v>Holder Name</v>
      </c>
      <c r="Q3" s="9" t="str">
        <f>_xll.SNL.Clients.Office.Excel.Functions.SPGRANGEV(P2, "SP_HOLDER_ID", "1", "500", , "Summary")</f>
        <v>Holder ID</v>
      </c>
      <c r="R3" s="9" t="str">
        <f>_xll.SNL.Clients.Office.Excel.Functions.SPGRANGEV(P2, "SP_HOLDER_TYPE", "1", "500", , "Summary")</f>
        <v>Holder Type</v>
      </c>
      <c r="S3" s="9" t="str">
        <f>_xll.SNL.Clients.Office.Excel.Functions.SPGRANGEV(P2, "SP_PCT_HELD_BY_HOLDER", "1", "500", , "Summary")</f>
        <v>Percent Held by Holder</v>
      </c>
      <c r="T3" t="s">
        <v>344</v>
      </c>
      <c r="U3" s="9" t="str">
        <f>_xll.SNL.Clients.Office.Excel.Functions.SPGRANGEV(U2, "SP_HOLDER_NAME", "1", "500", , "Summary")</f>
        <v>Holder Name</v>
      </c>
      <c r="V3" s="9" t="str">
        <f>_xll.SNL.Clients.Office.Excel.Functions.SPGRANGEV(U2, "SP_HOLDER_ID", "1", "500", , "Summary")</f>
        <v>Holder ID</v>
      </c>
      <c r="W3" s="9" t="str">
        <f>_xll.SNL.Clients.Office.Excel.Functions.SPGRANGEV(U2, "SP_HOLDER_TYPE", "1", "500", , "Summary")</f>
        <v>Holder Type</v>
      </c>
      <c r="X3" s="9" t="str">
        <f>_xll.SNL.Clients.Office.Excel.Functions.SPGRANGEV(U2, "SP_PCT_HELD_BY_HOLDER", "1", "500", , "Summary")</f>
        <v>Percent Held by Holder</v>
      </c>
      <c r="Y3" t="s">
        <v>344</v>
      </c>
      <c r="Z3" s="9" t="str">
        <f>_xll.SNL.Clients.Office.Excel.Functions.SPGRANGEV(Z2, "SP_HOLDER_NAME", "1", "500", , "Summary")</f>
        <v>Holder Name</v>
      </c>
      <c r="AA3" s="9" t="str">
        <f>_xll.SNL.Clients.Office.Excel.Functions.SPGRANGEV(Z2, "SP_HOLDER_ID", "1", "500", , "Summary")</f>
        <v>Holder ID</v>
      </c>
      <c r="AB3" s="9" t="str">
        <f>_xll.SNL.Clients.Office.Excel.Functions.SPGRANGEV(Z2, "SP_HOLDER_TYPE", "1", "500", , "Summary")</f>
        <v>Holder Type</v>
      </c>
      <c r="AC3" s="9" t="str">
        <f>_xll.SNL.Clients.Office.Excel.Functions.SPGRANGEV(Z2, "SP_PCT_HELD_BY_HOLDER", "1", "500", , "Summary")</f>
        <v>Percent Held by Holder</v>
      </c>
      <c r="AD3" t="s">
        <v>344</v>
      </c>
      <c r="AE3" s="9" t="str">
        <f>_xll.SNL.Clients.Office.Excel.Functions.SPGRANGEV(AE2, "SP_HOLDER_NAME", "1", "500", , "Summary")</f>
        <v>Holder Name</v>
      </c>
      <c r="AF3" s="9" t="str">
        <f>_xll.SNL.Clients.Office.Excel.Functions.SPGRANGEV(AE2, "SP_HOLDER_ID", "1", "500", , "Summary")</f>
        <v>Holder ID</v>
      </c>
      <c r="AG3" s="9" t="str">
        <f>_xll.SNL.Clients.Office.Excel.Functions.SPGRANGEV(AE2, "SP_HOLDER_TYPE", "1", "500", , "Summary")</f>
        <v>Holder Type</v>
      </c>
      <c r="AH3" s="9" t="str">
        <f>_xll.SNL.Clients.Office.Excel.Functions.SPGRANGEV(AE2, "SP_PCT_HELD_BY_HOLDER", "1", "500", , "Summary")</f>
        <v>Percent Held by Holder</v>
      </c>
      <c r="AI3" t="s">
        <v>344</v>
      </c>
      <c r="AJ3" s="9" t="str">
        <f>_xll.SNL.Clients.Office.Excel.Functions.SPGRANGEV(AJ2, "SP_HOLDER_NAME", "1", "500", , "Summary")</f>
        <v>Holder Name</v>
      </c>
      <c r="AK3" s="9" t="str">
        <f>_xll.SNL.Clients.Office.Excel.Functions.SPGRANGEV(AJ2, "SP_HOLDER_ID", "1", "500", , "Summary")</f>
        <v>Holder ID</v>
      </c>
      <c r="AL3" s="9" t="str">
        <f>_xll.SNL.Clients.Office.Excel.Functions.SPGRANGEV(AJ2, "SP_HOLDER_TYPE", "1", "500", , "Summary")</f>
        <v>Holder Type</v>
      </c>
      <c r="AM3" s="9" t="str">
        <f>_xll.SNL.Clients.Office.Excel.Functions.SPGRANGEV(AJ2, "SP_PCT_HELD_BY_HOLDER", "1", "500", , "Summary")</f>
        <v>Percent Held by Holder</v>
      </c>
      <c r="AN3" t="s">
        <v>344</v>
      </c>
      <c r="AO3" s="9" t="str">
        <f>_xll.SNL.Clients.Office.Excel.Functions.SPGRANGEV(AO2, "SP_HOLDER_NAME", "1", "500", , "Summary")</f>
        <v>Holder Name</v>
      </c>
      <c r="AP3" s="9" t="str">
        <f>_xll.SNL.Clients.Office.Excel.Functions.SPGRANGEV(AO2, "SP_HOLDER_ID", "1", "500", , "Summary")</f>
        <v>Holder ID</v>
      </c>
      <c r="AQ3" s="9" t="str">
        <f>_xll.SNL.Clients.Office.Excel.Functions.SPGRANGEV(AO2, "SP_HOLDER_TYPE", "1", "500", , "Summary")</f>
        <v>Holder Type</v>
      </c>
      <c r="AR3" s="9" t="str">
        <f>_xll.SNL.Clients.Office.Excel.Functions.SPGRANGEV(AO2, "SP_PCT_HELD_BY_HOLDER", "1", "500", , "Summary")</f>
        <v>Percent Held by Holder</v>
      </c>
      <c r="AS3" t="s">
        <v>344</v>
      </c>
      <c r="AT3" s="9" t="str">
        <f>_xll.SNL.Clients.Office.Excel.Functions.SPGRANGEV(AT2, "SP_HOLDER_NAME", "1", "500", , "Summary")</f>
        <v>Holder Name</v>
      </c>
      <c r="AU3" s="9" t="str">
        <f>_xll.SNL.Clients.Office.Excel.Functions.SPGRANGEV(AT2, "SP_HOLDER_ID", "1", "500", , "Summary")</f>
        <v>Holder ID</v>
      </c>
      <c r="AV3" s="9" t="str">
        <f>_xll.SNL.Clients.Office.Excel.Functions.SPGRANGEV(AT2, "SP_HOLDER_TYPE", "1", "500", , "Summary")</f>
        <v>Holder Type</v>
      </c>
      <c r="AW3" s="9" t="str">
        <f>_xll.SNL.Clients.Office.Excel.Functions.SPGRANGEV(AT2, "SP_PCT_HELD_BY_HOLDER", "1", "500", , "Summary")</f>
        <v>Percent Held by Holder</v>
      </c>
      <c r="AX3" t="s">
        <v>344</v>
      </c>
      <c r="AY3" s="9" t="str">
        <f>_xll.SNL.Clients.Office.Excel.Functions.SPGRANGEV(AY2, "SP_HOLDER_NAME", "1", "500", , "Summary")</f>
        <v>Holder Name</v>
      </c>
      <c r="AZ3" s="9" t="str">
        <f>_xll.SNL.Clients.Office.Excel.Functions.SPGRANGEV(AY2, "SP_HOLDER_ID", "1", "500", , "Summary")</f>
        <v>Holder ID</v>
      </c>
      <c r="BA3" s="9" t="str">
        <f>_xll.SNL.Clients.Office.Excel.Functions.SPGRANGEV(AY2, "SP_HOLDER_TYPE", "1", "500", , "Summary")</f>
        <v>Holder Type</v>
      </c>
      <c r="BB3" s="9" t="str">
        <f>_xll.SNL.Clients.Office.Excel.Functions.SPGRANGEV(AY2, "SP_PCT_HELD_BY_HOLDER", "1", "500", , "Summary")</f>
        <v>Percent Held by Holder</v>
      </c>
      <c r="BC3" t="s">
        <v>344</v>
      </c>
      <c r="BD3" s="9" t="str">
        <f>_xll.SNL.Clients.Office.Excel.Functions.SPGRANGEV(BD2, "SP_HOLDER_NAME", "1", "500", , "Summary")</f>
        <v>Holder Name</v>
      </c>
      <c r="BE3" s="9" t="str">
        <f>_xll.SNL.Clients.Office.Excel.Functions.SPGRANGEV(BD2, "SP_HOLDER_ID", "1", "500", , "Summary")</f>
        <v>Holder ID</v>
      </c>
      <c r="BF3" s="9" t="str">
        <f>_xll.SNL.Clients.Office.Excel.Functions.SPGRANGEV(BD2, "SP_HOLDER_TYPE", "1", "500", , "Summary")</f>
        <v>Holder Type</v>
      </c>
      <c r="BG3" s="9" t="str">
        <f>_xll.SNL.Clients.Office.Excel.Functions.SPGRANGEV(BD2, "SP_PCT_HELD_BY_HOLDER", "1", "500", , "Summary")</f>
        <v>Percent Held by Holder</v>
      </c>
      <c r="BH3" t="s">
        <v>344</v>
      </c>
      <c r="BI3" s="9" t="str">
        <f>_xll.SNL.Clients.Office.Excel.Functions.SPGRANGEV(BI2, "SP_HOLDER_NAME", "1", "500", , "Summary")</f>
        <v>Holder Name</v>
      </c>
      <c r="BJ3" s="9" t="str">
        <f>_xll.SNL.Clients.Office.Excel.Functions.SPGRANGEV(BI2, "SP_HOLDER_ID", "1", "500", , "Summary")</f>
        <v>Holder ID</v>
      </c>
      <c r="BK3" s="9" t="str">
        <f>_xll.SNL.Clients.Office.Excel.Functions.SPGRANGEV(BI2, "SP_HOLDER_TYPE", "1", "500", , "Summary")</f>
        <v>Holder Type</v>
      </c>
      <c r="BL3" s="9" t="str">
        <f>_xll.SNL.Clients.Office.Excel.Functions.SPGRANGEV(BI2, "SP_PCT_HELD_BY_HOLDER", "1", "500", , "Summary")</f>
        <v>Percent Held by Holder</v>
      </c>
      <c r="BM3" t="s">
        <v>344</v>
      </c>
      <c r="BN3" s="9" t="str">
        <f>_xll.SNL.Clients.Office.Excel.Functions.SPGRANGEV(BN2, "SP_HOLDER_NAME", "1", "500", , "Summary")</f>
        <v>Holder Name</v>
      </c>
      <c r="BO3" s="9" t="str">
        <f>_xll.SNL.Clients.Office.Excel.Functions.SPGRANGEV(BN2, "SP_HOLDER_ID", "1", "500", , "Summary")</f>
        <v>Holder ID</v>
      </c>
      <c r="BP3" s="9" t="str">
        <f>_xll.SNL.Clients.Office.Excel.Functions.SPGRANGEV(BN2, "SP_HOLDER_TYPE", "1", "500", , "Summary")</f>
        <v>Holder Type</v>
      </c>
      <c r="BQ3" s="9" t="str">
        <f>_xll.SNL.Clients.Office.Excel.Functions.SPGRANGEV(BN2, "SP_PCT_HELD_BY_HOLDER", "1", "500", , "Summary")</f>
        <v>Percent Held by Holder</v>
      </c>
      <c r="BR3" t="s">
        <v>344</v>
      </c>
      <c r="BS3" s="9" t="str">
        <f>_xll.SNL.Clients.Office.Excel.Functions.SPGRANGEV(BS2, "SP_HOLDER_NAME", "1", "500", , "Summary")</f>
        <v>Holder Name</v>
      </c>
      <c r="BT3" s="9" t="str">
        <f>_xll.SNL.Clients.Office.Excel.Functions.SPGRANGEV(BS2, "SP_HOLDER_ID", "1", "500", , "Summary")</f>
        <v>Holder ID</v>
      </c>
      <c r="BU3" s="9" t="str">
        <f>_xll.SNL.Clients.Office.Excel.Functions.SPGRANGEV(BS2, "SP_HOLDER_TYPE", "1", "500", , "Summary")</f>
        <v>Holder Type</v>
      </c>
      <c r="BV3" s="9" t="str">
        <f>_xll.SNL.Clients.Office.Excel.Functions.SPGRANGEV(BS2, "SP_PCT_HELD_BY_HOLDER", "1", "500", , "Summary")</f>
        <v>Percent Held by Holder</v>
      </c>
      <c r="BW3" t="s">
        <v>344</v>
      </c>
      <c r="BX3" s="9" t="str">
        <f>_xll.SNL.Clients.Office.Excel.Functions.SPGRANGEV(BX2, "SP_HOLDER_NAME", "1", "500", , "Summary")</f>
        <v>Holder Name</v>
      </c>
      <c r="BY3" s="9" t="str">
        <f>_xll.SNL.Clients.Office.Excel.Functions.SPGRANGEV(BX2, "SP_HOLDER_ID", "1", "500", , "Summary")</f>
        <v>Holder ID</v>
      </c>
      <c r="BZ3" s="9" t="str">
        <f>_xll.SNL.Clients.Office.Excel.Functions.SPGRANGEV(BX2, "SP_HOLDER_TYPE", "1", "500", , "Summary")</f>
        <v>Holder Type</v>
      </c>
      <c r="CA3" s="9" t="str">
        <f>_xll.SNL.Clients.Office.Excel.Functions.SPGRANGEV(BX2, "SP_PCT_HELD_BY_HOLDER", "1", "500", , "Summary")</f>
        <v>Percent Held by Holder</v>
      </c>
      <c r="CB3" t="s">
        <v>344</v>
      </c>
      <c r="CC3" s="9" t="str">
        <f>_xll.SNL.Clients.Office.Excel.Functions.SPGRANGEV(CC2, "SP_HOLDER_NAME", "1", "500", , "Summary")</f>
        <v>Holder Name</v>
      </c>
      <c r="CD3" s="9" t="str">
        <f>_xll.SNL.Clients.Office.Excel.Functions.SPGRANGEV(CC2, "SP_HOLDER_ID", "1", "500", , "Summary")</f>
        <v>Holder ID</v>
      </c>
      <c r="CE3" s="9" t="str">
        <f>_xll.SNL.Clients.Office.Excel.Functions.SPGRANGEV(CC2, "SP_HOLDER_TYPE", "1", "500", , "Summary")</f>
        <v>Holder Type</v>
      </c>
      <c r="CF3" s="9" t="str">
        <f>_xll.SNL.Clients.Office.Excel.Functions.SPGRANGEV(CC2, "SP_PCT_HELD_BY_HOLDER", "1", "500", , "Summary")</f>
        <v>Percent Held by Holder</v>
      </c>
      <c r="CG3" t="s">
        <v>344</v>
      </c>
      <c r="CH3" s="9" t="str">
        <f>_xll.SNL.Clients.Office.Excel.Functions.SPGRANGEV(CH2, "SP_HOLDER_NAME", "1", "500", , "Summary")</f>
        <v>Holder Name</v>
      </c>
      <c r="CI3" s="9" t="str">
        <f>_xll.SNL.Clients.Office.Excel.Functions.SPGRANGEV(CH2, "SP_HOLDER_ID", "1", "500", , "Summary")</f>
        <v>Holder ID</v>
      </c>
      <c r="CJ3" s="9" t="str">
        <f>_xll.SNL.Clients.Office.Excel.Functions.SPGRANGEV(CH2, "SP_HOLDER_TYPE", "1", "500", , "Summary")</f>
        <v>Holder Type</v>
      </c>
      <c r="CK3" s="9" t="str">
        <f>_xll.SNL.Clients.Office.Excel.Functions.SPGRANGEV(CH2, "SP_PCT_HELD_BY_HOLDER", "1", "500", , "Summary")</f>
        <v>Percent Held by Holder</v>
      </c>
      <c r="CL3" t="s">
        <v>344</v>
      </c>
      <c r="CM3" s="9" t="str">
        <f>_xll.SNL.Clients.Office.Excel.Functions.SPGRANGEV(CM2, "SP_HOLDER_NAME", "1", "500", , "Summary")</f>
        <v>Holder Name</v>
      </c>
      <c r="CN3" s="9" t="str">
        <f>_xll.SNL.Clients.Office.Excel.Functions.SPGRANGEV(CM2, "SP_HOLDER_ID", "1", "500", , "Summary")</f>
        <v>Holder ID</v>
      </c>
      <c r="CO3" s="9" t="str">
        <f>_xll.SNL.Clients.Office.Excel.Functions.SPGRANGEV(CM2, "SP_HOLDER_TYPE", "1", "500", , "Summary")</f>
        <v>Holder Type</v>
      </c>
      <c r="CP3" s="9" t="str">
        <f>_xll.SNL.Clients.Office.Excel.Functions.SPGRANGEV(CM2, "SP_PCT_HELD_BY_HOLDER", "1", "500", , "Summary")</f>
        <v>Percent Held by Holder</v>
      </c>
      <c r="CQ3" t="s">
        <v>344</v>
      </c>
      <c r="CR3" s="9" t="str">
        <f>_xll.SNL.Clients.Office.Excel.Functions.SPGRANGEV(CR2, "SP_HOLDER_NAME", "1", "500", , "Summary")</f>
        <v>Holder Name</v>
      </c>
      <c r="CS3" s="9" t="str">
        <f>_xll.SNL.Clients.Office.Excel.Functions.SPGRANGEV(CR2, "SP_HOLDER_ID", "1", "500", , "Summary")</f>
        <v>Holder ID</v>
      </c>
      <c r="CT3" s="9" t="str">
        <f>_xll.SNL.Clients.Office.Excel.Functions.SPGRANGEV(CR2, "SP_HOLDER_TYPE", "1", "500", , "Summary")</f>
        <v>Holder Type</v>
      </c>
      <c r="CU3" s="9" t="str">
        <f>_xll.SNL.Clients.Office.Excel.Functions.SPGRANGEV(CR2, "SP_PCT_HELD_BY_HOLDER", "1", "500", , "Summary")</f>
        <v>Percent Held by Holder</v>
      </c>
      <c r="CV3" t="s">
        <v>344</v>
      </c>
      <c r="CW3" s="9" t="str">
        <f>_xll.SNL.Clients.Office.Excel.Functions.SPGRANGEV(CW2, "SP_HOLDER_NAME", "1", "500", , "Summary")</f>
        <v>Holder Name</v>
      </c>
      <c r="CX3" s="9" t="str">
        <f>_xll.SNL.Clients.Office.Excel.Functions.SPGRANGEV(CW2, "SP_HOLDER_ID", "1", "500", , "Summary")</f>
        <v>Holder ID</v>
      </c>
      <c r="CY3" s="9" t="str">
        <f>_xll.SNL.Clients.Office.Excel.Functions.SPGRANGEV(CW2, "SP_HOLDER_TYPE", "1", "500", , "Summary")</f>
        <v>Holder Type</v>
      </c>
      <c r="CZ3" s="9" t="str">
        <f>_xll.SNL.Clients.Office.Excel.Functions.SPGRANGEV(CW2, "SP_PCT_HELD_BY_HOLDER", "1", "500", , "Summary")</f>
        <v>Percent Held by Holder</v>
      </c>
      <c r="DA3" t="s">
        <v>344</v>
      </c>
      <c r="DB3" s="9" t="str">
        <f>_xll.SNL.Clients.Office.Excel.Functions.SPGRANGEV(DB2, "SP_HOLDER_NAME", "1", "500", , "Summary")</f>
        <v>Holder Name</v>
      </c>
      <c r="DC3" s="9" t="str">
        <f>_xll.SNL.Clients.Office.Excel.Functions.SPGRANGEV(DB2, "SP_HOLDER_ID", "1", "500", , "Summary")</f>
        <v>Holder ID</v>
      </c>
      <c r="DD3" s="9" t="str">
        <f>_xll.SNL.Clients.Office.Excel.Functions.SPGRANGEV(DB2, "SP_HOLDER_TYPE", "1", "500", , "Summary")</f>
        <v>Holder Type</v>
      </c>
      <c r="DE3" s="9" t="str">
        <f>_xll.SNL.Clients.Office.Excel.Functions.SPGRANGEV(DB2, "SP_PCT_HELD_BY_HOLDER", "1", "500", , "Summary")</f>
        <v>Percent Held by Holder</v>
      </c>
      <c r="DF3" t="s">
        <v>344</v>
      </c>
      <c r="DG3" s="9" t="str">
        <f>_xll.SNL.Clients.Office.Excel.Functions.SPGRANGEV(DG2, "SP_HOLDER_NAME", "1", "500", , "Summary")</f>
        <v>Holder Name</v>
      </c>
      <c r="DH3" s="9" t="str">
        <f>_xll.SNL.Clients.Office.Excel.Functions.SPGRANGEV(DG2, "SP_HOLDER_ID", "1", "500", , "Summary")</f>
        <v>Holder ID</v>
      </c>
      <c r="DI3" s="9" t="str">
        <f>_xll.SNL.Clients.Office.Excel.Functions.SPGRANGEV(DG2, "SP_HOLDER_TYPE", "1", "500", , "Summary")</f>
        <v>Holder Type</v>
      </c>
      <c r="DJ3" s="9" t="str">
        <f>_xll.SNL.Clients.Office.Excel.Functions.SPGRANGEV(DG2, "SP_PCT_HELD_BY_HOLDER", "1", "500", , "Summary")</f>
        <v>Percent Held by Holder</v>
      </c>
      <c r="DK3" t="s">
        <v>344</v>
      </c>
      <c r="DL3" s="9" t="str">
        <f>_xll.SNL.Clients.Office.Excel.Functions.SPGRANGEV(DL2, "SP_HOLDER_NAME", "1", "500", , "Summary")</f>
        <v>Holder Name</v>
      </c>
      <c r="DM3" s="9" t="str">
        <f>_xll.SNL.Clients.Office.Excel.Functions.SPGRANGEV(DL2, "SP_HOLDER_ID", "1", "500", , "Summary")</f>
        <v>Holder ID</v>
      </c>
      <c r="DN3" s="9" t="str">
        <f>_xll.SNL.Clients.Office.Excel.Functions.SPGRANGEV(DL2, "SP_HOLDER_TYPE", "1", "500", , "Summary")</f>
        <v>Holder Type</v>
      </c>
      <c r="DO3" s="9" t="str">
        <f>_xll.SNL.Clients.Office.Excel.Functions.SPGRANGEV(DL2, "SP_PCT_HELD_BY_HOLDER", "1", "500", , "Summary")</f>
        <v>Percent Held by Holder</v>
      </c>
      <c r="DP3" t="s">
        <v>344</v>
      </c>
      <c r="DQ3" s="9" t="str">
        <f>_xll.SNL.Clients.Office.Excel.Functions.SPGRANGEV(DQ2, "SP_HOLDER_NAME", "1", "500", , "Summary")</f>
        <v>Holder Name</v>
      </c>
      <c r="DR3" s="9" t="str">
        <f>_xll.SNL.Clients.Office.Excel.Functions.SPGRANGEV(DQ2, "SP_HOLDER_ID", "1", "500", , "Summary")</f>
        <v>Holder ID</v>
      </c>
      <c r="DS3" s="9" t="str">
        <f>_xll.SNL.Clients.Office.Excel.Functions.SPGRANGEV(DQ2, "SP_HOLDER_TYPE", "1", "500", , "Summary")</f>
        <v>Holder Type</v>
      </c>
      <c r="DT3" s="9" t="str">
        <f>_xll.SNL.Clients.Office.Excel.Functions.SPGRANGEV(DQ2, "SP_PCT_HELD_BY_HOLDER", "1", "500", , "Summary")</f>
        <v>Percent Held by Holder</v>
      </c>
      <c r="DU3" t="s">
        <v>344</v>
      </c>
      <c r="DV3" s="9" t="str">
        <f>_xll.SNL.Clients.Office.Excel.Functions.SPGRANGEV(DV2, "SP_HOLDER_NAME", "1", "500", , "Summary")</f>
        <v>Holder Name</v>
      </c>
      <c r="DW3" s="9" t="str">
        <f>_xll.SNL.Clients.Office.Excel.Functions.SPGRANGEV(DV2, "SP_HOLDER_ID", "1", "500", , "Summary")</f>
        <v>Holder ID</v>
      </c>
      <c r="DX3" s="9" t="str">
        <f>_xll.SNL.Clients.Office.Excel.Functions.SPGRANGEV(DV2, "SP_HOLDER_TYPE", "1", "500", , "Summary")</f>
        <v>Holder Type</v>
      </c>
      <c r="DY3" s="9" t="str">
        <f>_xll.SNL.Clients.Office.Excel.Functions.SPGRANGEV(DV2, "SP_PCT_HELD_BY_HOLDER", "1", "500", , "Summary")</f>
        <v>Percent Held by Holder</v>
      </c>
      <c r="DZ3" t="s">
        <v>344</v>
      </c>
      <c r="EA3" s="9" t="str">
        <f>_xll.SNL.Clients.Office.Excel.Functions.SPGRANGEV(EA2, "SP_HOLDER_NAME", "1", "500", , "Summary")</f>
        <v>Holder Name</v>
      </c>
      <c r="EB3" s="9" t="str">
        <f>_xll.SNL.Clients.Office.Excel.Functions.SPGRANGEV(EA2, "SP_HOLDER_ID", "1", "500", , "Summary")</f>
        <v>Holder ID</v>
      </c>
      <c r="EC3" s="9" t="str">
        <f>_xll.SNL.Clients.Office.Excel.Functions.SPGRANGEV(EA2, "SP_HOLDER_TYPE", "1", "500", , "Summary")</f>
        <v>Holder Type</v>
      </c>
      <c r="ED3" s="9" t="str">
        <f>_xll.SNL.Clients.Office.Excel.Functions.SPGRANGEV(EA2, "SP_PCT_HELD_BY_HOLDER", "1", "500", , "Summary")</f>
        <v>Percent Held by Holder</v>
      </c>
      <c r="EE3" t="s">
        <v>344</v>
      </c>
      <c r="EF3" s="9" t="str">
        <f>_xll.SNL.Clients.Office.Excel.Functions.SPGRANGEV(EF2, "SP_HOLDER_NAME", "1", "500", , "Summary")</f>
        <v>Holder Name</v>
      </c>
      <c r="EG3" s="9" t="str">
        <f>_xll.SNL.Clients.Office.Excel.Functions.SPGRANGEV(EF2, "SP_HOLDER_ID", "1", "500", , "Summary")</f>
        <v>Holder ID</v>
      </c>
      <c r="EH3" s="9" t="str">
        <f>_xll.SNL.Clients.Office.Excel.Functions.SPGRANGEV(EF2, "SP_HOLDER_TYPE", "1", "500", , "Summary")</f>
        <v>Holder Type</v>
      </c>
      <c r="EI3" s="9" t="str">
        <f>_xll.SNL.Clients.Office.Excel.Functions.SPGRANGEV(EF2, "SP_PCT_HELD_BY_HOLDER", "1", "500", , "Summary")</f>
        <v>Percent Held by Holder</v>
      </c>
      <c r="EJ3" t="s">
        <v>344</v>
      </c>
      <c r="EK3" s="9" t="str">
        <f>_xll.SNL.Clients.Office.Excel.Functions.SPGRANGEV(EK2, "SP_HOLDER_NAME", "1", "500", , "Summary")</f>
        <v>Holder Name</v>
      </c>
      <c r="EL3" s="9" t="str">
        <f>_xll.SNL.Clients.Office.Excel.Functions.SPGRANGEV(EK2, "SP_HOLDER_ID", "1", "500", , "Summary")</f>
        <v>Holder ID</v>
      </c>
      <c r="EM3" s="9" t="str">
        <f>_xll.SNL.Clients.Office.Excel.Functions.SPGRANGEV(EK2, "SP_HOLDER_TYPE", "1", "500", , "Summary")</f>
        <v>Holder Type</v>
      </c>
      <c r="EN3" s="9" t="str">
        <f>_xll.SNL.Clients.Office.Excel.Functions.SPGRANGEV(EK2, "SP_PCT_HELD_BY_HOLDER", "1", "500", , "Summary")</f>
        <v>Percent Held by Holder</v>
      </c>
      <c r="EO3" t="s">
        <v>344</v>
      </c>
      <c r="EP3" s="9" t="str">
        <f>_xll.SNL.Clients.Office.Excel.Functions.SPGRANGEV(EP2, "SP_HOLDER_NAME", "1", "500", , "Summary")</f>
        <v>Holder Name</v>
      </c>
      <c r="EQ3" s="9" t="str">
        <f>_xll.SNL.Clients.Office.Excel.Functions.SPGRANGEV(EP2, "SP_HOLDER_ID", "1", "500", , "Summary")</f>
        <v>Holder ID</v>
      </c>
      <c r="ER3" s="9" t="str">
        <f>_xll.SNL.Clients.Office.Excel.Functions.SPGRANGEV(EP2, "SP_HOLDER_TYPE", "1", "500", , "Summary")</f>
        <v>Holder Type</v>
      </c>
      <c r="ES3" s="9" t="str">
        <f>_xll.SNL.Clients.Office.Excel.Functions.SPGRANGEV(EP2, "SP_PCT_HELD_BY_HOLDER", "1", "500", , "Summary")</f>
        <v>Percent Held by Holder</v>
      </c>
      <c r="ET3" t="s">
        <v>344</v>
      </c>
      <c r="EU3" s="9" t="str">
        <f>_xll.SNL.Clients.Office.Excel.Functions.SPGRANGEV(EU2, "SP_HOLDER_NAME", "1", "500", , "Summary")</f>
        <v>Holder Name</v>
      </c>
      <c r="EV3" s="9" t="str">
        <f>_xll.SNL.Clients.Office.Excel.Functions.SPGRANGEV(EU2, "SP_HOLDER_ID", "1", "500", , "Summary")</f>
        <v>Holder ID</v>
      </c>
      <c r="EW3" s="9" t="str">
        <f>_xll.SNL.Clients.Office.Excel.Functions.SPGRANGEV(EU2, "SP_HOLDER_TYPE", "1", "500", , "Summary")</f>
        <v>Holder Type</v>
      </c>
      <c r="EX3" s="9" t="str">
        <f>_xll.SNL.Clients.Office.Excel.Functions.SPGRANGEV(EU2, "SP_PCT_HELD_BY_HOLDER", "1", "500", , "Summary")</f>
        <v>Percent Held by Holder</v>
      </c>
      <c r="EY3" t="s">
        <v>344</v>
      </c>
      <c r="EZ3" s="9" t="str">
        <f>_xll.SNL.Clients.Office.Excel.Functions.SPGRANGEV(EZ2, "SP_HOLDER_NAME", "1", "500", , "Summary")</f>
        <v>Holder Name</v>
      </c>
      <c r="FA3" s="9" t="str">
        <f>_xll.SNL.Clients.Office.Excel.Functions.SPGRANGEV(EZ2, "SP_HOLDER_ID", "1", "500", , "Summary")</f>
        <v>Holder ID</v>
      </c>
      <c r="FB3" s="9" t="str">
        <f>_xll.SNL.Clients.Office.Excel.Functions.SPGRANGEV(EZ2, "SP_HOLDER_TYPE", "1", "500", , "Summary")</f>
        <v>Holder Type</v>
      </c>
      <c r="FC3" s="9" t="str">
        <f>_xll.SNL.Clients.Office.Excel.Functions.SPGRANGEV(EZ2, "SP_PCT_HELD_BY_HOLDER", "1", "500", , "Summary")</f>
        <v>Percent Held by Holder</v>
      </c>
      <c r="FD3" t="s">
        <v>344</v>
      </c>
      <c r="FE3" s="9" t="str">
        <f>_xll.SNL.Clients.Office.Excel.Functions.SPGRANGEV(FE2, "SP_HOLDER_NAME", "1", "500", , "Summary")</f>
        <v>Holder Name</v>
      </c>
      <c r="FF3" s="9" t="str">
        <f>_xll.SNL.Clients.Office.Excel.Functions.SPGRANGEV(FE2, "SP_HOLDER_ID", "1", "500", , "Summary")</f>
        <v>Holder ID</v>
      </c>
      <c r="FG3" s="9" t="str">
        <f>_xll.SNL.Clients.Office.Excel.Functions.SPGRANGEV(FE2, "SP_HOLDER_TYPE", "1", "500", , "Summary")</f>
        <v>Holder Type</v>
      </c>
      <c r="FH3" s="9" t="str">
        <f>_xll.SNL.Clients.Office.Excel.Functions.SPGRANGEV(FE2, "SP_PCT_HELD_BY_HOLDER", "1", "500", , "Summary")</f>
        <v>Percent Held by Holder</v>
      </c>
      <c r="FI3" t="s">
        <v>344</v>
      </c>
      <c r="FJ3" s="9" t="str">
        <f>_xll.SNL.Clients.Office.Excel.Functions.SPGRANGEV(FJ2, "SP_HOLDER_NAME", "1", "500", , "Summary")</f>
        <v>Holder Name</v>
      </c>
      <c r="FK3" s="9" t="str">
        <f>_xll.SNL.Clients.Office.Excel.Functions.SPGRANGEV(FJ2, "SP_HOLDER_ID", "1", "500", , "Summary")</f>
        <v>Holder ID</v>
      </c>
      <c r="FL3" s="9" t="str">
        <f>_xll.SNL.Clients.Office.Excel.Functions.SPGRANGEV(FJ2, "SP_HOLDER_TYPE", "1", "500", , "Summary")</f>
        <v>Holder Type</v>
      </c>
      <c r="FM3" s="9" t="str">
        <f>_xll.SNL.Clients.Office.Excel.Functions.SPGRANGEV(FJ2, "SP_PCT_HELD_BY_HOLDER", "1", "500", , "Summary")</f>
        <v>Percent Held by Holder</v>
      </c>
      <c r="FN3" t="s">
        <v>344</v>
      </c>
      <c r="FO3" s="9" t="str">
        <f>_xll.SNL.Clients.Office.Excel.Functions.SPGRANGEV(FO2, "SP_HOLDER_NAME", "1", "500", , "Summary")</f>
        <v>Holder Name</v>
      </c>
      <c r="FP3" s="9" t="str">
        <f>_xll.SNL.Clients.Office.Excel.Functions.SPGRANGEV(FO2, "SP_HOLDER_ID", "1", "500", , "Summary")</f>
        <v>Holder ID</v>
      </c>
      <c r="FQ3" s="9" t="str">
        <f>_xll.SNL.Clients.Office.Excel.Functions.SPGRANGEV(FO2, "SP_HOLDER_TYPE", "1", "500", , "Summary")</f>
        <v>Holder Type</v>
      </c>
      <c r="FR3" s="9" t="str">
        <f>_xll.SNL.Clients.Office.Excel.Functions.SPGRANGEV(FO2, "SP_PCT_HELD_BY_HOLDER", "1", "500", , "Summary")</f>
        <v>Percent Held by Holder</v>
      </c>
      <c r="FS3" t="s">
        <v>344</v>
      </c>
      <c r="FT3" s="9" t="str">
        <f>_xll.SNL.Clients.Office.Excel.Functions.SPGRANGEV(FT2, "SP_HOLDER_NAME", "1", "500", , "Summary")</f>
        <v>Holder Name</v>
      </c>
      <c r="FU3" s="9" t="str">
        <f>_xll.SNL.Clients.Office.Excel.Functions.SPGRANGEV(FT2, "SP_HOLDER_ID", "1", "500", , "Summary")</f>
        <v>Holder ID</v>
      </c>
      <c r="FV3" s="9" t="str">
        <f>_xll.SNL.Clients.Office.Excel.Functions.SPGRANGEV(FT2, "SP_HOLDER_TYPE", "1", "500", , "Summary")</f>
        <v>Holder Type</v>
      </c>
      <c r="FW3" s="9" t="str">
        <f>_xll.SNL.Clients.Office.Excel.Functions.SPGRANGEV(FT2, "SP_PCT_HELD_BY_HOLDER", "1", "500", , "Summary")</f>
        <v>Percent Held by Holder</v>
      </c>
      <c r="FX3" t="s">
        <v>344</v>
      </c>
      <c r="FY3" s="9" t="str">
        <f>_xll.SNL.Clients.Office.Excel.Functions.SPGRANGEV(FY2, "SP_HOLDER_NAME", "1", "500", , "Summary")</f>
        <v>Holder Name</v>
      </c>
      <c r="FZ3" s="9" t="str">
        <f>_xll.SNL.Clients.Office.Excel.Functions.SPGRANGEV(FY2, "SP_HOLDER_ID", "1", "500", , "Summary")</f>
        <v>Holder ID</v>
      </c>
      <c r="GA3" s="9" t="str">
        <f>_xll.SNL.Clients.Office.Excel.Functions.SPGRANGEV(FY2, "SP_HOLDER_TYPE", "1", "500", , "Summary")</f>
        <v>Holder Type</v>
      </c>
      <c r="GB3" s="9" t="str">
        <f>_xll.SNL.Clients.Office.Excel.Functions.SPGRANGEV(FY2, "SP_PCT_HELD_BY_HOLDER", "1", "500", , "Summary")</f>
        <v>Percent Held by Holder</v>
      </c>
      <c r="GC3" t="s">
        <v>344</v>
      </c>
      <c r="GD3" s="9" t="str">
        <f>_xll.SNL.Clients.Office.Excel.Functions.SPGRANGEV(GD2, "SP_HOLDER_NAME", "1", "500", , "Summary")</f>
        <v>Holder Name</v>
      </c>
      <c r="GE3" s="9" t="str">
        <f>_xll.SNL.Clients.Office.Excel.Functions.SPGRANGEV(GD2, "SP_HOLDER_ID", "1", "500", , "Summary")</f>
        <v>Holder ID</v>
      </c>
      <c r="GF3" s="9" t="str">
        <f>_xll.SNL.Clients.Office.Excel.Functions.SPGRANGEV(GD2, "SP_HOLDER_TYPE", "1", "500", , "Summary")</f>
        <v>Holder Type</v>
      </c>
      <c r="GG3" s="9" t="str">
        <f>_xll.SNL.Clients.Office.Excel.Functions.SPGRANGEV(GD2, "SP_PCT_HELD_BY_HOLDER", "1", "500", , "Summary")</f>
        <v>Percent Held by Holder</v>
      </c>
      <c r="GH3" t="s">
        <v>344</v>
      </c>
      <c r="GI3" s="9" t="str">
        <f>_xll.SNL.Clients.Office.Excel.Functions.SPGRANGEV(GI2, "SP_HOLDER_NAME", "1", "500", , "Summary")</f>
        <v>Holder Name</v>
      </c>
      <c r="GJ3" s="9" t="str">
        <f>_xll.SNL.Clients.Office.Excel.Functions.SPGRANGEV(GI2, "SP_HOLDER_ID", "1", "500", , "Summary")</f>
        <v>Holder ID</v>
      </c>
      <c r="GK3" s="9" t="str">
        <f>_xll.SNL.Clients.Office.Excel.Functions.SPGRANGEV(GI2, "SP_HOLDER_TYPE", "1", "500", , "Summary")</f>
        <v>Holder Type</v>
      </c>
      <c r="GL3" s="9" t="str">
        <f>_xll.SNL.Clients.Office.Excel.Functions.SPGRANGEV(GI2, "SP_PCT_HELD_BY_HOLDER", "1", "500", , "Summary")</f>
        <v>Percent Held by Holder</v>
      </c>
      <c r="GM3" t="s">
        <v>344</v>
      </c>
      <c r="GN3" s="9" t="str">
        <f>_xll.SNL.Clients.Office.Excel.Functions.SPGRANGEV(GN2, "SP_HOLDER_NAME", "1", "500", , "Summary")</f>
        <v>Holder Name</v>
      </c>
      <c r="GO3" s="9" t="str">
        <f>_xll.SNL.Clients.Office.Excel.Functions.SPGRANGEV(GN2, "SP_HOLDER_ID", "1", "500", , "Summary")</f>
        <v>Holder ID</v>
      </c>
      <c r="GP3" s="9" t="str">
        <f>_xll.SNL.Clients.Office.Excel.Functions.SPGRANGEV(GN2, "SP_HOLDER_TYPE", "1", "500", , "Summary")</f>
        <v>Holder Type</v>
      </c>
      <c r="GQ3" s="9" t="str">
        <f>_xll.SNL.Clients.Office.Excel.Functions.SPGRANGEV(GN2, "SP_PCT_HELD_BY_HOLDER", "1", "500", , "Summary")</f>
        <v>Percent Held by Holder</v>
      </c>
      <c r="GR3" t="s">
        <v>344</v>
      </c>
      <c r="GS3" s="9" t="str">
        <f>_xll.SNL.Clients.Office.Excel.Functions.SPGRANGEV(GS2, "SP_HOLDER_NAME", "1", "500", , "Summary")</f>
        <v>Holder Name</v>
      </c>
      <c r="GT3" s="9" t="str">
        <f>_xll.SNL.Clients.Office.Excel.Functions.SPGRANGEV(GS2, "SP_HOLDER_ID", "1", "500", , "Summary")</f>
        <v>Holder ID</v>
      </c>
      <c r="GU3" s="9" t="str">
        <f>_xll.SNL.Clients.Office.Excel.Functions.SPGRANGEV(GS2, "SP_HOLDER_TYPE", "1", "500", , "Summary")</f>
        <v>Holder Type</v>
      </c>
      <c r="GV3" s="9" t="str">
        <f>_xll.SNL.Clients.Office.Excel.Functions.SPGRANGEV(GS2, "SP_PCT_HELD_BY_HOLDER", "1", "500", , "Summary")</f>
        <v>Percent Held by Holder</v>
      </c>
      <c r="GW3" t="s">
        <v>344</v>
      </c>
      <c r="GX3" s="9" t="str">
        <f>_xll.SNL.Clients.Office.Excel.Functions.SPGRANGEV(GX2, "SP_HOLDER_NAME", "1", "500", , "Summary")</f>
        <v>Holder Name</v>
      </c>
      <c r="GY3" s="9" t="str">
        <f>_xll.SNL.Clients.Office.Excel.Functions.SPGRANGEV(GX2, "SP_HOLDER_ID", "1", "500", , "Summary")</f>
        <v>Holder ID</v>
      </c>
      <c r="GZ3" s="9" t="str">
        <f>_xll.SNL.Clients.Office.Excel.Functions.SPGRANGEV(GX2, "SP_HOLDER_TYPE", "1", "500", , "Summary")</f>
        <v>Holder Type</v>
      </c>
      <c r="HA3" s="9" t="str">
        <f>_xll.SNL.Clients.Office.Excel.Functions.SPGRANGEV(GX2, "SP_PCT_HELD_BY_HOLDER", "1", "500", , "Summary")</f>
        <v>Percent Held by Holder</v>
      </c>
      <c r="HB3" t="s">
        <v>344</v>
      </c>
      <c r="HC3" s="9" t="str">
        <f>_xll.SNL.Clients.Office.Excel.Functions.SPGRANGEV(HC2, "SP_HOLDER_NAME", "1", "500", , "Summary")</f>
        <v>Holder Name</v>
      </c>
      <c r="HD3" s="9" t="str">
        <f>_xll.SNL.Clients.Office.Excel.Functions.SPGRANGEV(HC2, "SP_HOLDER_ID", "1", "500", , "Summary")</f>
        <v>Holder ID</v>
      </c>
      <c r="HE3" s="9" t="str">
        <f>_xll.SNL.Clients.Office.Excel.Functions.SPGRANGEV(HC2, "SP_HOLDER_TYPE", "1", "500", , "Summary")</f>
        <v>Holder Type</v>
      </c>
      <c r="HF3" s="9" t="str">
        <f>_xll.SNL.Clients.Office.Excel.Functions.SPGRANGEV(HC2, "SP_PCT_HELD_BY_HOLDER", "1", "500", , "Summary")</f>
        <v>Percent Held by Holder</v>
      </c>
      <c r="HG3" t="s">
        <v>344</v>
      </c>
    </row>
    <row r="4" spans="1:215" x14ac:dyDescent="0.35">
      <c r="A4" t="s">
        <v>347</v>
      </c>
      <c r="B4">
        <v>4415549</v>
      </c>
      <c r="C4" t="s">
        <v>370</v>
      </c>
      <c r="D4" s="11">
        <v>40.049999999999997</v>
      </c>
      <c r="E4" s="9" t="str">
        <f>_xll.SNL.Clients.Office.Excel.Functions.SPG(B4, "SP_COUNTRY_NAME")</f>
        <v>China</v>
      </c>
      <c r="F4" t="s">
        <v>421</v>
      </c>
      <c r="G4">
        <v>4025439</v>
      </c>
      <c r="H4" t="s">
        <v>634</v>
      </c>
      <c r="I4" s="11">
        <v>10.36</v>
      </c>
      <c r="J4" s="9" t="str">
        <f>_xll.SNL.Clients.Office.Excel.Functions.SPG(G4, "SP_COUNTRY_NAME")</f>
        <v>USA</v>
      </c>
      <c r="K4" t="s">
        <v>635</v>
      </c>
      <c r="L4">
        <v>4349159</v>
      </c>
      <c r="M4" t="s">
        <v>370</v>
      </c>
      <c r="N4" s="11">
        <v>66.63</v>
      </c>
      <c r="O4" s="9" t="str">
        <f>_xll.SNL.Clients.Office.Excel.Functions.SPG(L4, "SP_COUNTRY_NAME")</f>
        <v>China</v>
      </c>
      <c r="P4" t="s">
        <v>691</v>
      </c>
      <c r="Q4">
        <v>6623706</v>
      </c>
      <c r="R4" t="s">
        <v>705</v>
      </c>
      <c r="S4" s="11">
        <v>23.95</v>
      </c>
      <c r="T4" s="9" t="str">
        <f>_xll.SNL.Clients.Office.Excel.Functions.SPG(Q4, "SP_COUNTRY_NAME")</f>
        <v>India</v>
      </c>
      <c r="U4" t="s">
        <v>706</v>
      </c>
      <c r="V4">
        <v>4403255</v>
      </c>
      <c r="W4" t="s">
        <v>370</v>
      </c>
      <c r="X4" s="11">
        <v>23.04</v>
      </c>
      <c r="Y4" s="9" t="str">
        <f>_xll.SNL.Clients.Office.Excel.Functions.SPG(V4, "SP_COUNTRY_NAME")</f>
        <v>China</v>
      </c>
      <c r="Z4" t="s">
        <v>635</v>
      </c>
      <c r="AA4">
        <v>4349159</v>
      </c>
      <c r="AB4" t="s">
        <v>370</v>
      </c>
      <c r="AC4" s="11">
        <v>66.63</v>
      </c>
      <c r="AD4" s="9" t="str">
        <f>_xll.SNL.Clients.Office.Excel.Functions.SPG(AA4, "SP_COUNTRY_NAME")</f>
        <v>China</v>
      </c>
      <c r="AE4" t="s">
        <v>1107</v>
      </c>
      <c r="AF4">
        <v>8381667</v>
      </c>
      <c r="AG4" t="s">
        <v>370</v>
      </c>
      <c r="AH4" s="11">
        <v>20.18</v>
      </c>
      <c r="AI4" s="9" t="str">
        <f>_xll.SNL.Clients.Office.Excel.Functions.SPG(AF4, "SP_COUNTRY_NAME")</f>
        <v>Luxembourg</v>
      </c>
      <c r="AJ4" t="s">
        <v>347</v>
      </c>
      <c r="AK4">
        <v>4415549</v>
      </c>
      <c r="AL4" t="s">
        <v>370</v>
      </c>
      <c r="AM4" s="11">
        <v>40.049999999999997</v>
      </c>
      <c r="AN4" s="9" t="str">
        <f>_xll.SNL.Clients.Office.Excel.Functions.SPG(AK4, "SP_COUNTRY_NAME")</f>
        <v>China</v>
      </c>
      <c r="AO4" t="s">
        <v>1255</v>
      </c>
      <c r="AP4">
        <v>4840598</v>
      </c>
      <c r="AQ4" t="s">
        <v>346</v>
      </c>
      <c r="AR4" s="11">
        <v>17.149999999999999</v>
      </c>
      <c r="AS4" s="9" t="str">
        <f>_xll.SNL.Clients.Office.Excel.Functions.SPG(AP4, "SP_COUNTRY_NAME")</f>
        <v>South Africa</v>
      </c>
      <c r="AT4" t="s">
        <v>347</v>
      </c>
      <c r="AU4">
        <v>4415549</v>
      </c>
      <c r="AV4" t="s">
        <v>370</v>
      </c>
      <c r="AW4" s="11">
        <v>40.049999999999997</v>
      </c>
      <c r="AX4" s="9" t="str">
        <f>_xll.SNL.Clients.Office.Excel.Functions.SPG(AU4, "SP_COUNTRY_NAME")</f>
        <v>China</v>
      </c>
      <c r="AY4" t="s">
        <v>1223</v>
      </c>
      <c r="AZ4">
        <v>7755796</v>
      </c>
      <c r="BA4" t="s">
        <v>370</v>
      </c>
      <c r="BB4" s="11">
        <v>16.97</v>
      </c>
      <c r="BC4" s="9" t="str">
        <f>_xll.SNL.Clients.Office.Excel.Functions.SPG(AZ4, "SP_COUNTRY_NAME")</f>
        <v>China</v>
      </c>
      <c r="BD4" t="s">
        <v>1387</v>
      </c>
      <c r="BE4" t="s">
        <v>300</v>
      </c>
      <c r="BF4" t="s">
        <v>361</v>
      </c>
      <c r="BG4" s="11">
        <v>10.41</v>
      </c>
      <c r="BH4" s="9" t="str">
        <f>_xll.SNL.Clients.Office.Excel.Functions.SPG(BE4, "SP_COUNTRY_NAME")</f>
        <v>China</v>
      </c>
      <c r="BI4" t="s">
        <v>345</v>
      </c>
      <c r="BJ4">
        <v>4139866</v>
      </c>
      <c r="BK4" t="s">
        <v>346</v>
      </c>
      <c r="BL4" s="11">
        <v>6.61</v>
      </c>
      <c r="BM4" s="9" t="str">
        <f>_xll.SNL.Clients.Office.Excel.Functions.SPG(BJ4, "SP_COUNTRY_NAME")</f>
        <v>Sweden</v>
      </c>
      <c r="BN4" t="s">
        <v>236</v>
      </c>
      <c r="BO4">
        <v>6582136</v>
      </c>
      <c r="BP4" t="s">
        <v>367</v>
      </c>
      <c r="BQ4" s="11">
        <v>24.91</v>
      </c>
      <c r="BR4" s="9" t="str">
        <f>_xll.SNL.Clients.Office.Excel.Functions.SPG(BO4, "SP_COUNTRY_NAME")</f>
        <v>China</v>
      </c>
      <c r="BS4" t="s">
        <v>938</v>
      </c>
      <c r="BT4" t="s">
        <v>300</v>
      </c>
      <c r="BU4" t="s">
        <v>361</v>
      </c>
      <c r="BV4" s="11">
        <v>22.18</v>
      </c>
      <c r="BW4" s="9" t="str">
        <f>_xll.SNL.Clients.Office.Excel.Functions.SPG(BT4, "SP_COUNTRY_NAME")</f>
        <v>China</v>
      </c>
      <c r="BX4" t="s">
        <v>706</v>
      </c>
      <c r="BY4">
        <v>4403255</v>
      </c>
      <c r="BZ4" t="s">
        <v>370</v>
      </c>
      <c r="CA4" s="11">
        <v>23.04</v>
      </c>
      <c r="CB4" s="9" t="str">
        <f>_xll.SNL.Clients.Office.Excel.Functions.SPG(BY4, "SP_COUNTRY_NAME")</f>
        <v>China</v>
      </c>
      <c r="CC4" t="s">
        <v>725</v>
      </c>
      <c r="CD4">
        <v>111195</v>
      </c>
      <c r="CE4" t="s">
        <v>346</v>
      </c>
      <c r="CF4" s="11">
        <v>8.1</v>
      </c>
      <c r="CG4" s="9" t="str">
        <f>_xll.SNL.Clients.Office.Excel.Functions.SPG(CD4, "SP_COUNTRY_NAME")</f>
        <v>USA</v>
      </c>
      <c r="CH4" t="s">
        <v>1255</v>
      </c>
      <c r="CI4">
        <v>4840598</v>
      </c>
      <c r="CJ4" t="s">
        <v>346</v>
      </c>
      <c r="CK4" s="11">
        <v>17.149999999999999</v>
      </c>
      <c r="CL4" s="9" t="str">
        <f>_xll.SNL.Clients.Office.Excel.Functions.SPG(CI4, "SP_COUNTRY_NAME")</f>
        <v>South Africa</v>
      </c>
      <c r="CM4" t="s">
        <v>354</v>
      </c>
      <c r="CN4">
        <v>110652</v>
      </c>
      <c r="CO4" t="s">
        <v>346</v>
      </c>
      <c r="CP4" s="11">
        <v>27.62</v>
      </c>
      <c r="CQ4" s="9" t="str">
        <f>_xll.SNL.Clients.Office.Excel.Functions.SPG(CN4, "SP_COUNTRY_NAME")</f>
        <v>USA</v>
      </c>
      <c r="CR4" t="s">
        <v>693</v>
      </c>
      <c r="CS4">
        <v>10742703</v>
      </c>
      <c r="CT4" t="s">
        <v>360</v>
      </c>
      <c r="CU4" s="11">
        <v>13.43</v>
      </c>
      <c r="CV4" s="9" t="str">
        <f>_xll.SNL.Clients.Office.Excel.Functions.SPG(CS4, "SP_COUNTRY_NAME")</f>
        <v>United Kingdom</v>
      </c>
      <c r="CW4" t="s">
        <v>230</v>
      </c>
      <c r="CX4">
        <v>4351437</v>
      </c>
      <c r="CY4" t="s">
        <v>370</v>
      </c>
      <c r="CZ4" s="11">
        <v>57.82</v>
      </c>
      <c r="DA4" s="9" t="str">
        <f>_xll.SNL.Clients.Office.Excel.Functions.SPG(CX4, "SP_COUNTRY_NAME")</f>
        <v>China</v>
      </c>
      <c r="DB4" t="s">
        <v>1387</v>
      </c>
      <c r="DC4" t="s">
        <v>300</v>
      </c>
      <c r="DD4" t="s">
        <v>361</v>
      </c>
      <c r="DE4" s="11">
        <v>10.41</v>
      </c>
      <c r="DF4" s="9" t="str">
        <f>_xll.SNL.Clients.Office.Excel.Functions.SPG(DC4, "SP_COUNTRY_NAME")</f>
        <v>China</v>
      </c>
      <c r="DG4" t="s">
        <v>230</v>
      </c>
      <c r="DH4">
        <v>4351437</v>
      </c>
      <c r="DI4" t="s">
        <v>370</v>
      </c>
      <c r="DJ4" s="11">
        <v>57.82</v>
      </c>
      <c r="DK4" s="9" t="str">
        <f>_xll.SNL.Clients.Office.Excel.Functions.SPG(DH4, "SP_COUNTRY_NAME")</f>
        <v>China</v>
      </c>
      <c r="DL4" t="s">
        <v>1387</v>
      </c>
      <c r="DM4" t="s">
        <v>300</v>
      </c>
      <c r="DN4" t="s">
        <v>361</v>
      </c>
      <c r="DO4" s="11">
        <v>10.41</v>
      </c>
      <c r="DP4" s="9" t="str">
        <f>_xll.SNL.Clients.Office.Excel.Functions.SPG(DM4, "SP_COUNTRY_NAME")</f>
        <v>China</v>
      </c>
      <c r="DQ4" t="s">
        <v>691</v>
      </c>
      <c r="DR4">
        <v>6623706</v>
      </c>
      <c r="DS4" t="s">
        <v>705</v>
      </c>
      <c r="DT4" s="11">
        <v>23.95</v>
      </c>
      <c r="DU4" s="9" t="str">
        <f>_xll.SNL.Clients.Office.Excel.Functions.SPG(DR4, "SP_COUNTRY_NAME")</f>
        <v>India</v>
      </c>
      <c r="DV4" t="s">
        <v>552</v>
      </c>
      <c r="DW4">
        <v>4026973</v>
      </c>
      <c r="DX4" t="s">
        <v>346</v>
      </c>
      <c r="DY4" s="11">
        <v>0.78</v>
      </c>
      <c r="DZ4" s="9" t="str">
        <f>_xll.SNL.Clients.Office.Excel.Functions.SPG(DW4, "SP_COUNTRY_NAME")</f>
        <v>United Kingdom</v>
      </c>
      <c r="EA4" t="s">
        <v>725</v>
      </c>
      <c r="EB4">
        <v>111195</v>
      </c>
      <c r="EC4" t="s">
        <v>346</v>
      </c>
      <c r="ED4" s="11">
        <v>8.1</v>
      </c>
      <c r="EE4" s="9" t="str">
        <f>_xll.SNL.Clients.Office.Excel.Functions.SPG(EB4, "SP_COUNTRY_NAME")</f>
        <v>USA</v>
      </c>
      <c r="EF4" t="s">
        <v>1387</v>
      </c>
      <c r="EG4" t="s">
        <v>300</v>
      </c>
      <c r="EH4" t="s">
        <v>361</v>
      </c>
      <c r="EI4" s="11">
        <v>10.41</v>
      </c>
      <c r="EJ4" s="9" t="str">
        <f>_xll.SNL.Clients.Office.Excel.Functions.SPG(EG4, "SP_COUNTRY_NAME")</f>
        <v>China</v>
      </c>
      <c r="EK4" t="s">
        <v>230</v>
      </c>
      <c r="EL4">
        <v>4351437</v>
      </c>
      <c r="EM4" t="s">
        <v>370</v>
      </c>
      <c r="EN4" s="11">
        <v>57.82</v>
      </c>
      <c r="EO4" s="9" t="str">
        <f>_xll.SNL.Clients.Office.Excel.Functions.SPG(EL4, "SP_COUNTRY_NAME")</f>
        <v>China</v>
      </c>
      <c r="EP4" t="s">
        <v>2129</v>
      </c>
      <c r="EQ4">
        <v>4331450</v>
      </c>
      <c r="ER4" t="s">
        <v>370</v>
      </c>
      <c r="ES4" s="11">
        <v>49.25</v>
      </c>
      <c r="ET4" s="9" t="str">
        <f>_xll.SNL.Clients.Office.Excel.Functions.SPG(EQ4, "SP_COUNTRY_NAME")</f>
        <v>China</v>
      </c>
      <c r="EU4" t="s">
        <v>2138</v>
      </c>
      <c r="EV4">
        <v>29446137</v>
      </c>
      <c r="EW4" t="s">
        <v>360</v>
      </c>
      <c r="EX4" s="11">
        <v>17.39</v>
      </c>
      <c r="EY4" s="9" t="str">
        <f>_xll.SNL.Clients.Office.Excel.Functions.SPG(EV4, "SP_COUNTRY_NAME")</f>
        <v>USA</v>
      </c>
      <c r="EZ4" t="s">
        <v>372</v>
      </c>
      <c r="FA4">
        <v>4354638</v>
      </c>
      <c r="FB4" t="s">
        <v>367</v>
      </c>
      <c r="FC4" s="11">
        <v>25.94</v>
      </c>
      <c r="FD4" s="9" t="str">
        <f>_xll.SNL.Clients.Office.Excel.Functions.SPG(FA4, "SP_COUNTRY_NAME")</f>
        <v>Japan</v>
      </c>
      <c r="FE4" t="s">
        <v>440</v>
      </c>
      <c r="FF4">
        <v>4140078</v>
      </c>
      <c r="FG4" t="s">
        <v>346</v>
      </c>
      <c r="FH4" s="11">
        <v>6.88</v>
      </c>
      <c r="FI4" s="9" t="str">
        <f>_xll.SNL.Clients.Office.Excel.Functions.SPG(FF4, "SP_COUNTRY_NAME")</f>
        <v>Japan</v>
      </c>
      <c r="FJ4" t="s">
        <v>422</v>
      </c>
      <c r="FK4">
        <v>4048507</v>
      </c>
      <c r="FL4" t="s">
        <v>346</v>
      </c>
      <c r="FM4" s="11">
        <v>5.88</v>
      </c>
      <c r="FN4" s="9" t="str">
        <f>_xll.SNL.Clients.Office.Excel.Functions.SPG(FK4, "SP_COUNTRY_NAME")</f>
        <v>Japan</v>
      </c>
      <c r="FO4" t="s">
        <v>230</v>
      </c>
      <c r="FP4">
        <v>4351437</v>
      </c>
      <c r="FQ4" t="s">
        <v>370</v>
      </c>
      <c r="FR4" s="11">
        <v>57.82</v>
      </c>
      <c r="FS4" s="9" t="str">
        <f>_xll.SNL.Clients.Office.Excel.Functions.SPG(FP4, "SP_COUNTRY_NAME")</f>
        <v>China</v>
      </c>
      <c r="FT4" t="s">
        <v>371</v>
      </c>
      <c r="FU4">
        <v>4557433</v>
      </c>
      <c r="FV4" t="s">
        <v>370</v>
      </c>
      <c r="FW4" s="11">
        <v>34</v>
      </c>
      <c r="FX4" s="9" t="str">
        <f>_xll.SNL.Clients.Office.Excel.Functions.SPG(FU4, "SP_COUNTRY_NAME")</f>
        <v>Indonesia</v>
      </c>
      <c r="FY4" t="s">
        <v>1387</v>
      </c>
      <c r="FZ4" t="s">
        <v>300</v>
      </c>
      <c r="GA4" t="s">
        <v>361</v>
      </c>
      <c r="GB4" s="11">
        <v>10.41</v>
      </c>
      <c r="GC4" s="9" t="str">
        <f>_xll.SNL.Clients.Office.Excel.Functions.SPG(FZ4, "SP_COUNTRY_NAME")</f>
        <v>China</v>
      </c>
      <c r="GD4" t="s">
        <v>372</v>
      </c>
      <c r="GE4">
        <v>4354638</v>
      </c>
      <c r="GF4" t="s">
        <v>367</v>
      </c>
      <c r="GG4" s="11">
        <v>25.94</v>
      </c>
      <c r="GH4" s="9" t="str">
        <f>_xll.SNL.Clients.Office.Excel.Functions.SPG(GE4, "SP_COUNTRY_NAME")</f>
        <v>Japan</v>
      </c>
      <c r="GI4" t="s">
        <v>440</v>
      </c>
      <c r="GJ4">
        <v>4140078</v>
      </c>
      <c r="GK4" t="s">
        <v>346</v>
      </c>
      <c r="GL4" s="11">
        <v>6.88</v>
      </c>
      <c r="GM4" s="9" t="str">
        <f>_xll.SNL.Clients.Office.Excel.Functions.SPG(GJ4, "SP_COUNTRY_NAME")</f>
        <v>Japan</v>
      </c>
      <c r="GN4" t="s">
        <v>422</v>
      </c>
      <c r="GO4">
        <v>4048507</v>
      </c>
      <c r="GP4" t="s">
        <v>346</v>
      </c>
      <c r="GQ4" s="11">
        <v>5.88</v>
      </c>
      <c r="GR4" s="9" t="str">
        <f>_xll.SNL.Clients.Office.Excel.Functions.SPG(GO4, "SP_COUNTRY_NAME")</f>
        <v>Japan</v>
      </c>
      <c r="GS4" t="s">
        <v>236</v>
      </c>
      <c r="GT4">
        <v>6582136</v>
      </c>
      <c r="GU4" t="s">
        <v>367</v>
      </c>
      <c r="GV4" s="11">
        <v>24.91</v>
      </c>
      <c r="GW4" s="9" t="str">
        <f>_xll.SNL.Clients.Office.Excel.Functions.SPG(GT4, "SP_COUNTRY_NAME")</f>
        <v>China</v>
      </c>
      <c r="GX4" t="s">
        <v>725</v>
      </c>
      <c r="GY4">
        <v>111195</v>
      </c>
      <c r="GZ4" t="s">
        <v>346</v>
      </c>
      <c r="HA4" s="11">
        <v>8.1</v>
      </c>
      <c r="HB4" s="9" t="str">
        <f>_xll.SNL.Clients.Office.Excel.Functions.SPG(GY4, "SP_COUNTRY_NAME")</f>
        <v>USA</v>
      </c>
      <c r="HC4" t="s">
        <v>228</v>
      </c>
      <c r="HD4">
        <v>4351190</v>
      </c>
      <c r="HE4" t="s">
        <v>367</v>
      </c>
      <c r="HF4" s="11">
        <v>87</v>
      </c>
      <c r="HG4" s="9" t="str">
        <f>_xll.SNL.Clients.Office.Excel.Functions.SPG(HD4, "SP_COUNTRY_NAME")</f>
        <v>South Africa</v>
      </c>
    </row>
    <row r="5" spans="1:215" x14ac:dyDescent="0.35">
      <c r="A5" t="s">
        <v>348</v>
      </c>
      <c r="B5" t="s">
        <v>300</v>
      </c>
      <c r="C5" t="s">
        <v>361</v>
      </c>
      <c r="D5" s="11">
        <v>12.8</v>
      </c>
      <c r="E5" s="9" t="str">
        <f>_xll.SNL.Clients.Office.Excel.Functions.SPG(B5, "SP_COUNTRY_NAME")</f>
        <v>China</v>
      </c>
      <c r="F5" t="s">
        <v>353</v>
      </c>
      <c r="G5">
        <v>4048287</v>
      </c>
      <c r="H5" t="s">
        <v>346</v>
      </c>
      <c r="I5" s="11">
        <v>6.76</v>
      </c>
      <c r="J5" s="9" t="str">
        <f>_xll.SNL.Clients.Office.Excel.Functions.SPG(G5, "SP_COUNTRY_NAME")</f>
        <v>USA</v>
      </c>
      <c r="K5" t="s">
        <v>562</v>
      </c>
      <c r="L5">
        <v>4256114</v>
      </c>
      <c r="M5" t="s">
        <v>346</v>
      </c>
      <c r="N5" s="11">
        <v>1.62</v>
      </c>
      <c r="O5" s="9" t="str">
        <f>_xll.SNL.Clients.Office.Excel.Functions.SPG(L5, "SP_COUNTRY_NAME")</f>
        <v>South Korea</v>
      </c>
      <c r="P5" t="s">
        <v>70</v>
      </c>
      <c r="Q5">
        <v>4350752</v>
      </c>
      <c r="R5" t="s">
        <v>705</v>
      </c>
      <c r="S5" s="11">
        <v>6.87</v>
      </c>
      <c r="T5" s="9" t="str">
        <f>_xll.SNL.Clients.Office.Excel.Functions.SPG(Q5, "SP_COUNTRY_NAME")</f>
        <v>Zambia</v>
      </c>
      <c r="U5" t="s">
        <v>353</v>
      </c>
      <c r="V5">
        <v>4048287</v>
      </c>
      <c r="W5" t="s">
        <v>346</v>
      </c>
      <c r="X5" s="11">
        <v>2.15</v>
      </c>
      <c r="Y5" s="9" t="str">
        <f>_xll.SNL.Clients.Office.Excel.Functions.SPG(V5, "SP_COUNTRY_NAME")</f>
        <v>USA</v>
      </c>
      <c r="Z5" t="s">
        <v>562</v>
      </c>
      <c r="AA5">
        <v>4256114</v>
      </c>
      <c r="AB5" t="s">
        <v>346</v>
      </c>
      <c r="AC5" s="11">
        <v>1.62</v>
      </c>
      <c r="AD5" s="9" t="str">
        <f>_xll.SNL.Clients.Office.Excel.Functions.SPG(AA5, "SP_COUNTRY_NAME")</f>
        <v>South Korea</v>
      </c>
      <c r="AE5" t="s">
        <v>725</v>
      </c>
      <c r="AF5">
        <v>111195</v>
      </c>
      <c r="AG5" t="s">
        <v>346</v>
      </c>
      <c r="AH5" s="11">
        <v>20.04</v>
      </c>
      <c r="AI5" s="9" t="str">
        <f>_xll.SNL.Clients.Office.Excel.Functions.SPG(AF5, "SP_COUNTRY_NAME")</f>
        <v>USA</v>
      </c>
      <c r="AJ5" t="s">
        <v>348</v>
      </c>
      <c r="AK5" t="s">
        <v>300</v>
      </c>
      <c r="AL5" t="s">
        <v>361</v>
      </c>
      <c r="AM5" s="11">
        <v>12.8</v>
      </c>
      <c r="AN5" s="9" t="str">
        <f>_xll.SNL.Clients.Office.Excel.Functions.SPG(AK5, "SP_COUNTRY_NAME")</f>
        <v>China</v>
      </c>
      <c r="AO5" t="s">
        <v>433</v>
      </c>
      <c r="AP5">
        <v>3000896</v>
      </c>
      <c r="AQ5" t="s">
        <v>346</v>
      </c>
      <c r="AR5" s="11">
        <v>8.58</v>
      </c>
      <c r="AS5" s="9" t="str">
        <f>_xll.SNL.Clients.Office.Excel.Functions.SPG(AP5, "SP_COUNTRY_NAME")</f>
        <v>USA</v>
      </c>
      <c r="AT5" t="s">
        <v>348</v>
      </c>
      <c r="AU5" t="s">
        <v>300</v>
      </c>
      <c r="AV5" t="s">
        <v>361</v>
      </c>
      <c r="AW5" s="11">
        <v>12.8</v>
      </c>
      <c r="AX5" s="9" t="str">
        <f>_xll.SNL.Clients.Office.Excel.Functions.SPG(AU5, "SP_COUNTRY_NAME")</f>
        <v>China</v>
      </c>
      <c r="AY5" t="s">
        <v>939</v>
      </c>
      <c r="AZ5">
        <v>4322619</v>
      </c>
      <c r="BA5" t="s">
        <v>366</v>
      </c>
      <c r="BB5" s="11">
        <v>3.18</v>
      </c>
      <c r="BC5" s="9" t="str">
        <f>_xll.SNL.Clients.Office.Excel.Functions.SPG(AZ5, "SP_COUNTRY_NAME")</f>
        <v>Hong Kong</v>
      </c>
      <c r="BD5" t="s">
        <v>1388</v>
      </c>
      <c r="BE5">
        <v>4247111</v>
      </c>
      <c r="BF5" t="s">
        <v>368</v>
      </c>
      <c r="BG5" s="11">
        <v>8.93</v>
      </c>
      <c r="BH5" s="9" t="str">
        <f>_xll.SNL.Clients.Office.Excel.Functions.SPG(BE5, "SP_COUNTRY_NAME")</f>
        <v>Qatar</v>
      </c>
      <c r="BI5" t="s">
        <v>353</v>
      </c>
      <c r="BJ5">
        <v>4048287</v>
      </c>
      <c r="BK5" t="s">
        <v>346</v>
      </c>
      <c r="BL5" s="11">
        <v>5.61</v>
      </c>
      <c r="BM5" s="9" t="str">
        <f>_xll.SNL.Clients.Office.Excel.Functions.SPG(BJ5, "SP_COUNTRY_NAME")</f>
        <v>USA</v>
      </c>
      <c r="BN5" t="s">
        <v>1233</v>
      </c>
      <c r="BO5">
        <v>4357660</v>
      </c>
      <c r="BP5" t="s">
        <v>368</v>
      </c>
      <c r="BQ5" s="11">
        <v>23.54</v>
      </c>
      <c r="BR5" s="9" t="str">
        <f>_xll.SNL.Clients.Office.Excel.Functions.SPG(BO5, "SP_COUNTRY_NAME")</f>
        <v>China</v>
      </c>
      <c r="BS5" t="s">
        <v>939</v>
      </c>
      <c r="BT5">
        <v>4322619</v>
      </c>
      <c r="BU5" t="s">
        <v>366</v>
      </c>
      <c r="BV5" s="11">
        <v>12</v>
      </c>
      <c r="BW5" s="9" t="str">
        <f>_xll.SNL.Clients.Office.Excel.Functions.SPG(BT5, "SP_COUNTRY_NAME")</f>
        <v>Hong Kong</v>
      </c>
      <c r="BX5" t="s">
        <v>353</v>
      </c>
      <c r="BY5">
        <v>4048287</v>
      </c>
      <c r="BZ5" t="s">
        <v>346</v>
      </c>
      <c r="CA5" s="11">
        <v>2.15</v>
      </c>
      <c r="CB5" s="9" t="str">
        <f>_xll.SNL.Clients.Office.Excel.Functions.SPG(BY5, "SP_COUNTRY_NAME")</f>
        <v>USA</v>
      </c>
      <c r="CC5" t="s">
        <v>1610</v>
      </c>
      <c r="CD5">
        <v>4227268</v>
      </c>
      <c r="CE5" t="s">
        <v>365</v>
      </c>
      <c r="CF5" s="11">
        <v>7.32</v>
      </c>
      <c r="CG5" s="9" t="str">
        <f>_xll.SNL.Clients.Office.Excel.Functions.SPG(CD5, "SP_COUNTRY_NAME")</f>
        <v>Brazil</v>
      </c>
      <c r="CH5" t="s">
        <v>433</v>
      </c>
      <c r="CI5">
        <v>3000896</v>
      </c>
      <c r="CJ5" t="s">
        <v>346</v>
      </c>
      <c r="CK5" s="11">
        <v>8.58</v>
      </c>
      <c r="CL5" s="9" t="str">
        <f>_xll.SNL.Clients.Office.Excel.Functions.SPG(CI5, "SP_COUNTRY_NAME")</f>
        <v>USA</v>
      </c>
      <c r="CM5" t="s">
        <v>1255</v>
      </c>
      <c r="CN5">
        <v>4840598</v>
      </c>
      <c r="CO5" t="s">
        <v>346</v>
      </c>
      <c r="CP5" s="11">
        <v>17.03</v>
      </c>
      <c r="CQ5" s="9" t="str">
        <f>_xll.SNL.Clients.Office.Excel.Functions.SPG(CN5, "SP_COUNTRY_NAME")</f>
        <v>South Africa</v>
      </c>
      <c r="CR5" t="s">
        <v>694</v>
      </c>
      <c r="CS5">
        <v>117216412</v>
      </c>
      <c r="CT5" t="s">
        <v>370</v>
      </c>
      <c r="CU5" s="11">
        <v>5.71</v>
      </c>
      <c r="CV5" s="9" t="str">
        <f>_xll.SNL.Clients.Office.Excel.Functions.SPG(CS5, "SP_COUNTRY_NAME")</f>
        <v>Canada</v>
      </c>
      <c r="CW5" t="s">
        <v>2136</v>
      </c>
      <c r="CX5">
        <v>5884546</v>
      </c>
      <c r="CY5" t="s">
        <v>346</v>
      </c>
      <c r="CZ5" s="11">
        <v>8.4499999999999993</v>
      </c>
      <c r="DA5" s="9" t="str">
        <f>_xll.SNL.Clients.Office.Excel.Functions.SPG(CX5, "SP_COUNTRY_NAME")</f>
        <v>China</v>
      </c>
      <c r="DB5" t="s">
        <v>1388</v>
      </c>
      <c r="DC5">
        <v>4247111</v>
      </c>
      <c r="DD5" t="s">
        <v>368</v>
      </c>
      <c r="DE5" s="11">
        <v>8.93</v>
      </c>
      <c r="DF5" s="9" t="str">
        <f>_xll.SNL.Clients.Office.Excel.Functions.SPG(DC5, "SP_COUNTRY_NAME")</f>
        <v>Qatar</v>
      </c>
      <c r="DG5" t="s">
        <v>2136</v>
      </c>
      <c r="DH5">
        <v>5884546</v>
      </c>
      <c r="DI5" t="s">
        <v>346</v>
      </c>
      <c r="DJ5" s="11">
        <v>8.4499999999999993</v>
      </c>
      <c r="DK5" s="9" t="str">
        <f>_xll.SNL.Clients.Office.Excel.Functions.SPG(DH5, "SP_COUNTRY_NAME")</f>
        <v>China</v>
      </c>
      <c r="DL5" t="s">
        <v>1388</v>
      </c>
      <c r="DM5">
        <v>4247111</v>
      </c>
      <c r="DN5" t="s">
        <v>368</v>
      </c>
      <c r="DO5" s="11">
        <v>8.93</v>
      </c>
      <c r="DP5" s="9" t="str">
        <f>_xll.SNL.Clients.Office.Excel.Functions.SPG(DM5, "SP_COUNTRY_NAME")</f>
        <v>Qatar</v>
      </c>
      <c r="DQ5" t="s">
        <v>70</v>
      </c>
      <c r="DR5">
        <v>4350752</v>
      </c>
      <c r="DS5" t="s">
        <v>705</v>
      </c>
      <c r="DT5" s="11">
        <v>6.87</v>
      </c>
      <c r="DU5" s="9" t="str">
        <f>_xll.SNL.Clients.Office.Excel.Functions.SPG(DR5, "SP_COUNTRY_NAME")</f>
        <v>Zambia</v>
      </c>
      <c r="DV5" t="s">
        <v>457</v>
      </c>
      <c r="DW5">
        <v>110399</v>
      </c>
      <c r="DX5" t="s">
        <v>346</v>
      </c>
      <c r="DY5" s="11">
        <v>0.3</v>
      </c>
      <c r="DZ5" s="9" t="str">
        <f>_xll.SNL.Clients.Office.Excel.Functions.SPG(DW5, "SP_COUNTRY_NAME")</f>
        <v>USA</v>
      </c>
      <c r="EA5" t="s">
        <v>1610</v>
      </c>
      <c r="EB5">
        <v>4227268</v>
      </c>
      <c r="EC5" t="s">
        <v>365</v>
      </c>
      <c r="ED5" s="11">
        <v>7.32</v>
      </c>
      <c r="EE5" s="9" t="str">
        <f>_xll.SNL.Clients.Office.Excel.Functions.SPG(EB5, "SP_COUNTRY_NAME")</f>
        <v>Brazil</v>
      </c>
      <c r="EF5" t="s">
        <v>1388</v>
      </c>
      <c r="EG5">
        <v>4247111</v>
      </c>
      <c r="EH5" t="s">
        <v>368</v>
      </c>
      <c r="EI5" s="11">
        <v>8.93</v>
      </c>
      <c r="EJ5" s="9" t="str">
        <f>_xll.SNL.Clients.Office.Excel.Functions.SPG(EG5, "SP_COUNTRY_NAME")</f>
        <v>Qatar</v>
      </c>
      <c r="EK5" t="s">
        <v>2136</v>
      </c>
      <c r="EL5">
        <v>5884546</v>
      </c>
      <c r="EM5" t="s">
        <v>346</v>
      </c>
      <c r="EN5" s="11">
        <v>8.4499999999999993</v>
      </c>
      <c r="EO5" s="9" t="str">
        <f>_xll.SNL.Clients.Office.Excel.Functions.SPG(EL5, "SP_COUNTRY_NAME")</f>
        <v>China</v>
      </c>
      <c r="EP5" t="s">
        <v>2130</v>
      </c>
      <c r="EQ5">
        <v>4157452</v>
      </c>
      <c r="ER5" t="s">
        <v>370</v>
      </c>
      <c r="ES5" s="11">
        <v>5.93</v>
      </c>
      <c r="ET5" s="9" t="str">
        <f>_xll.SNL.Clients.Office.Excel.Functions.SPG(EQ5, "SP_COUNTRY_NAME")</f>
        <v>China</v>
      </c>
      <c r="EU5" t="s">
        <v>2139</v>
      </c>
      <c r="EV5" t="s">
        <v>300</v>
      </c>
      <c r="EW5" t="s">
        <v>361</v>
      </c>
      <c r="EX5" s="11">
        <v>1.7</v>
      </c>
      <c r="EY5" s="9" t="str">
        <f>_xll.SNL.Clients.Office.Excel.Functions.SPG(EV5, "SP_COUNTRY_NAME")</f>
        <v>China</v>
      </c>
      <c r="EZ5" t="s">
        <v>1911</v>
      </c>
      <c r="FA5">
        <v>112235007</v>
      </c>
      <c r="FB5" t="s">
        <v>370</v>
      </c>
      <c r="FC5" s="11">
        <v>25.52</v>
      </c>
      <c r="FD5" s="9" t="str">
        <f>_xll.SNL.Clients.Office.Excel.Functions.SPG(FA5, "SP_COUNTRY_NAME")</f>
        <v>Philippines</v>
      </c>
      <c r="FE5" t="s">
        <v>2145</v>
      </c>
      <c r="FF5">
        <v>4815526</v>
      </c>
      <c r="FG5" t="s">
        <v>346</v>
      </c>
      <c r="FH5" s="11">
        <v>6.71</v>
      </c>
      <c r="FI5" s="9" t="str">
        <f>_xll.SNL.Clients.Office.Excel.Functions.SPG(FF5, "SP_COUNTRY_NAME")</f>
        <v>Japan</v>
      </c>
      <c r="FJ5" t="s">
        <v>353</v>
      </c>
      <c r="FK5">
        <v>4048287</v>
      </c>
      <c r="FL5" t="s">
        <v>346</v>
      </c>
      <c r="FM5" s="11">
        <v>5.64</v>
      </c>
      <c r="FN5" s="9" t="str">
        <f>_xll.SNL.Clients.Office.Excel.Functions.SPG(FK5, "SP_COUNTRY_NAME")</f>
        <v>USA</v>
      </c>
      <c r="FO5" t="s">
        <v>2136</v>
      </c>
      <c r="FP5">
        <v>5884546</v>
      </c>
      <c r="FQ5" t="s">
        <v>346</v>
      </c>
      <c r="FR5" s="11">
        <v>8.4499999999999993</v>
      </c>
      <c r="FS5" s="9" t="str">
        <f>_xll.SNL.Clients.Office.Excel.Functions.SPG(FP5, "SP_COUNTRY_NAME")</f>
        <v>China</v>
      </c>
      <c r="FT5" t="s">
        <v>237</v>
      </c>
      <c r="FU5">
        <v>4223919</v>
      </c>
      <c r="FV5" t="s">
        <v>367</v>
      </c>
      <c r="FW5" s="11">
        <v>33.880000000000003</v>
      </c>
      <c r="FX5" s="9" t="str">
        <f>_xll.SNL.Clients.Office.Excel.Functions.SPG(FU5, "SP_COUNTRY_NAME")</f>
        <v>Brazil</v>
      </c>
      <c r="FY5" t="s">
        <v>1388</v>
      </c>
      <c r="FZ5">
        <v>4247111</v>
      </c>
      <c r="GA5" t="s">
        <v>368</v>
      </c>
      <c r="GB5" s="11">
        <v>8.93</v>
      </c>
      <c r="GC5" s="9" t="str">
        <f>_xll.SNL.Clients.Office.Excel.Functions.SPG(FZ5, "SP_COUNTRY_NAME")</f>
        <v>Qatar</v>
      </c>
      <c r="GD5" t="s">
        <v>1911</v>
      </c>
      <c r="GE5">
        <v>112235007</v>
      </c>
      <c r="GF5" t="s">
        <v>370</v>
      </c>
      <c r="GG5" s="11">
        <v>25.52</v>
      </c>
      <c r="GH5" s="9" t="str">
        <f>_xll.SNL.Clients.Office.Excel.Functions.SPG(GE5, "SP_COUNTRY_NAME")</f>
        <v>Philippines</v>
      </c>
      <c r="GI5" t="s">
        <v>2145</v>
      </c>
      <c r="GJ5">
        <v>4815526</v>
      </c>
      <c r="GK5" t="s">
        <v>346</v>
      </c>
      <c r="GL5" s="11">
        <v>6.71</v>
      </c>
      <c r="GM5" s="9" t="str">
        <f>_xll.SNL.Clients.Office.Excel.Functions.SPG(GJ5, "SP_COUNTRY_NAME")</f>
        <v>Japan</v>
      </c>
      <c r="GN5" t="s">
        <v>353</v>
      </c>
      <c r="GO5">
        <v>4048287</v>
      </c>
      <c r="GP5" t="s">
        <v>346</v>
      </c>
      <c r="GQ5" s="11">
        <v>5.64</v>
      </c>
      <c r="GR5" s="9" t="str">
        <f>_xll.SNL.Clients.Office.Excel.Functions.SPG(GO5, "SP_COUNTRY_NAME")</f>
        <v>USA</v>
      </c>
      <c r="GS5" t="s">
        <v>1233</v>
      </c>
      <c r="GT5">
        <v>4357660</v>
      </c>
      <c r="GU5" t="s">
        <v>368</v>
      </c>
      <c r="GV5" s="11">
        <v>23.54</v>
      </c>
      <c r="GW5" s="9" t="str">
        <f>_xll.SNL.Clients.Office.Excel.Functions.SPG(GT5, "SP_COUNTRY_NAME")</f>
        <v>China</v>
      </c>
      <c r="GX5" t="s">
        <v>1610</v>
      </c>
      <c r="GY5">
        <v>4227268</v>
      </c>
      <c r="GZ5" t="s">
        <v>365</v>
      </c>
      <c r="HA5" s="11">
        <v>7.32</v>
      </c>
      <c r="HB5" s="9" t="str">
        <f>_xll.SNL.Clients.Office.Excel.Functions.SPG(GY5, "SP_COUNTRY_NAME")</f>
        <v>Brazil</v>
      </c>
      <c r="HC5" t="s">
        <v>1292</v>
      </c>
      <c r="HD5">
        <v>5884486</v>
      </c>
      <c r="HE5" t="s">
        <v>346</v>
      </c>
      <c r="HF5" s="11">
        <v>0.42</v>
      </c>
      <c r="HG5" s="9" t="str">
        <f>_xll.SNL.Clients.Office.Excel.Functions.SPG(HD5, "SP_COUNTRY_NAME")</f>
        <v>South Africa</v>
      </c>
    </row>
    <row r="6" spans="1:215" x14ac:dyDescent="0.35">
      <c r="A6" t="s">
        <v>349</v>
      </c>
      <c r="B6">
        <v>4415563</v>
      </c>
      <c r="C6" t="s">
        <v>370</v>
      </c>
      <c r="D6" s="11">
        <v>6.55</v>
      </c>
      <c r="E6" s="9" t="str">
        <f>_xll.SNL.Clients.Office.Excel.Functions.SPG(B6, "SP_COUNTRY_NAME")</f>
        <v>China</v>
      </c>
      <c r="F6" t="s">
        <v>422</v>
      </c>
      <c r="G6">
        <v>4048507</v>
      </c>
      <c r="H6" t="s">
        <v>346</v>
      </c>
      <c r="I6" s="11">
        <v>4.87</v>
      </c>
      <c r="J6" s="9" t="str">
        <f>_xll.SNL.Clients.Office.Excel.Functions.SPG(G6, "SP_COUNTRY_NAME")</f>
        <v>Japan</v>
      </c>
      <c r="K6" t="s">
        <v>353</v>
      </c>
      <c r="L6">
        <v>4048287</v>
      </c>
      <c r="M6" t="s">
        <v>346</v>
      </c>
      <c r="N6" s="11">
        <v>1.21</v>
      </c>
      <c r="O6" s="9" t="str">
        <f>_xll.SNL.Clients.Office.Excel.Functions.SPG(L6, "SP_COUNTRY_NAME")</f>
        <v>USA</v>
      </c>
      <c r="P6" t="s">
        <v>692</v>
      </c>
      <c r="Q6">
        <v>4538493</v>
      </c>
      <c r="R6" t="s">
        <v>363</v>
      </c>
      <c r="S6" s="11">
        <v>5.96</v>
      </c>
      <c r="T6" s="9" t="str">
        <f>_xll.SNL.Clients.Office.Excel.Functions.SPG(Q6, "SP_COUNTRY_NAME")</f>
        <v>Zambia</v>
      </c>
      <c r="U6" t="s">
        <v>707</v>
      </c>
      <c r="V6">
        <v>4416934</v>
      </c>
      <c r="W6" t="s">
        <v>366</v>
      </c>
      <c r="X6" s="11">
        <v>1.66</v>
      </c>
      <c r="Y6" s="9" t="str">
        <f>_xll.SNL.Clients.Office.Excel.Functions.SPG(V6, "SP_COUNTRY_NAME")</f>
        <v>China</v>
      </c>
      <c r="Z6" t="s">
        <v>353</v>
      </c>
      <c r="AA6">
        <v>4048287</v>
      </c>
      <c r="AB6" t="s">
        <v>346</v>
      </c>
      <c r="AC6" s="11">
        <v>1.21</v>
      </c>
      <c r="AD6" s="9" t="str">
        <f>_xll.SNL.Clients.Office.Excel.Functions.SPG(AA6, "SP_COUNTRY_NAME")</f>
        <v>USA</v>
      </c>
      <c r="AE6" t="s">
        <v>953</v>
      </c>
      <c r="AF6">
        <v>4039450</v>
      </c>
      <c r="AG6" t="s">
        <v>346</v>
      </c>
      <c r="AH6" s="11">
        <v>5.0999999999999996</v>
      </c>
      <c r="AI6" s="9" t="str">
        <f>_xll.SNL.Clients.Office.Excel.Functions.SPG(AF6, "SP_COUNTRY_NAME")</f>
        <v>USA</v>
      </c>
      <c r="AJ6" t="s">
        <v>349</v>
      </c>
      <c r="AK6">
        <v>4415563</v>
      </c>
      <c r="AL6" t="s">
        <v>370</v>
      </c>
      <c r="AM6" s="11">
        <v>6.55</v>
      </c>
      <c r="AN6" s="9" t="str">
        <f>_xll.SNL.Clients.Office.Excel.Functions.SPG(AK6, "SP_COUNTRY_NAME")</f>
        <v>China</v>
      </c>
      <c r="AO6" t="s">
        <v>1256</v>
      </c>
      <c r="AP6">
        <v>10350671</v>
      </c>
      <c r="AQ6" t="s">
        <v>276</v>
      </c>
      <c r="AR6" s="11">
        <v>6.56</v>
      </c>
      <c r="AS6" s="9" t="str">
        <f>_xll.SNL.Clients.Office.Excel.Functions.SPG(AP6, "SP_COUNTRY_NAME")</f>
        <v>United Kingdom</v>
      </c>
      <c r="AT6" t="s">
        <v>349</v>
      </c>
      <c r="AU6">
        <v>4415563</v>
      </c>
      <c r="AV6" t="s">
        <v>370</v>
      </c>
      <c r="AW6" s="11">
        <v>6.55</v>
      </c>
      <c r="AX6" s="9" t="str">
        <f>_xll.SNL.Clients.Office.Excel.Functions.SPG(AU6, "SP_COUNTRY_NAME")</f>
        <v>China</v>
      </c>
      <c r="AY6" t="s">
        <v>380</v>
      </c>
      <c r="AZ6">
        <v>4674815</v>
      </c>
      <c r="BA6" t="s">
        <v>346</v>
      </c>
      <c r="BB6" s="11">
        <v>1.42</v>
      </c>
      <c r="BC6" s="9" t="str">
        <f>_xll.SNL.Clients.Office.Excel.Functions.SPG(AZ6, "SP_COUNTRY_NAME")</f>
        <v>Switzerland</v>
      </c>
      <c r="BD6" t="s">
        <v>353</v>
      </c>
      <c r="BE6">
        <v>4048287</v>
      </c>
      <c r="BF6" t="s">
        <v>346</v>
      </c>
      <c r="BG6" s="11">
        <v>7.3</v>
      </c>
      <c r="BH6" s="9" t="str">
        <f>_xll.SNL.Clients.Office.Excel.Functions.SPG(BE6, "SP_COUNTRY_NAME")</f>
        <v>USA</v>
      </c>
      <c r="BI6" t="s">
        <v>1555</v>
      </c>
      <c r="BJ6">
        <v>4413030</v>
      </c>
      <c r="BK6" t="s">
        <v>1386</v>
      </c>
      <c r="BL6" s="11">
        <v>3</v>
      </c>
      <c r="BM6" s="9" t="str">
        <f>_xll.SNL.Clients.Office.Excel.Functions.SPG(BJ6, "SP_COUNTRY_NAME")</f>
        <v>USA</v>
      </c>
      <c r="BN6" t="s">
        <v>353</v>
      </c>
      <c r="BO6">
        <v>4048287</v>
      </c>
      <c r="BP6" t="s">
        <v>346</v>
      </c>
      <c r="BQ6" s="11">
        <v>1.76</v>
      </c>
      <c r="BR6" s="9" t="str">
        <f>_xll.SNL.Clients.Office.Excel.Functions.SPG(BO6, "SP_COUNTRY_NAME")</f>
        <v>USA</v>
      </c>
      <c r="BS6" t="s">
        <v>940</v>
      </c>
      <c r="BT6" t="s">
        <v>300</v>
      </c>
      <c r="BU6" t="s">
        <v>361</v>
      </c>
      <c r="BV6" s="11">
        <v>9.2200000000000006</v>
      </c>
      <c r="BW6" s="9" t="str">
        <f>_xll.SNL.Clients.Office.Excel.Functions.SPG(BT6, "SP_COUNTRY_NAME")</f>
        <v>China</v>
      </c>
      <c r="BX6" t="s">
        <v>707</v>
      </c>
      <c r="BY6">
        <v>4416934</v>
      </c>
      <c r="BZ6" t="s">
        <v>366</v>
      </c>
      <c r="CA6" s="11">
        <v>1.66</v>
      </c>
      <c r="CB6" s="9" t="str">
        <f>_xll.SNL.Clients.Office.Excel.Functions.SPG(BY6, "SP_COUNTRY_NAME")</f>
        <v>China</v>
      </c>
      <c r="CC6" t="s">
        <v>353</v>
      </c>
      <c r="CD6">
        <v>4048287</v>
      </c>
      <c r="CE6" t="s">
        <v>346</v>
      </c>
      <c r="CF6" s="11">
        <v>7</v>
      </c>
      <c r="CG6" s="9" t="str">
        <f>_xll.SNL.Clients.Office.Excel.Functions.SPG(CD6, "SP_COUNTRY_NAME")</f>
        <v>USA</v>
      </c>
      <c r="CH6" t="s">
        <v>1256</v>
      </c>
      <c r="CI6">
        <v>10350671</v>
      </c>
      <c r="CJ6" t="s">
        <v>276</v>
      </c>
      <c r="CK6" s="11">
        <v>6.56</v>
      </c>
      <c r="CL6" s="9" t="str">
        <f>_xll.SNL.Clients.Office.Excel.Functions.SPG(CI6, "SP_COUNTRY_NAME")</f>
        <v>United Kingdom</v>
      </c>
      <c r="CM6" t="s">
        <v>426</v>
      </c>
      <c r="CN6">
        <v>100201</v>
      </c>
      <c r="CO6" t="s">
        <v>366</v>
      </c>
      <c r="CP6" s="11">
        <v>6.37</v>
      </c>
      <c r="CQ6" s="9" t="str">
        <f>_xll.SNL.Clients.Office.Excel.Functions.SPG(CN6, "SP_COUNTRY_NAME")</f>
        <v>USA</v>
      </c>
      <c r="CR6" t="s">
        <v>352</v>
      </c>
      <c r="CS6">
        <v>4143440</v>
      </c>
      <c r="CT6" t="s">
        <v>346</v>
      </c>
      <c r="CU6" s="11">
        <v>0.6</v>
      </c>
      <c r="CV6" s="9" t="str">
        <f>_xll.SNL.Clients.Office.Excel.Functions.SPG(CS6, "SP_COUNTRY_NAME")</f>
        <v>USA</v>
      </c>
      <c r="CW6" t="s">
        <v>2137</v>
      </c>
      <c r="CX6">
        <v>8733743</v>
      </c>
      <c r="CY6" t="s">
        <v>370</v>
      </c>
      <c r="CZ6" s="11">
        <v>8.3000000000000007</v>
      </c>
      <c r="DA6" s="9" t="str">
        <f>_xll.SNL.Clients.Office.Excel.Functions.SPG(CX6, "SP_COUNTRY_NAME")</f>
        <v>China</v>
      </c>
      <c r="DB6" t="s">
        <v>353</v>
      </c>
      <c r="DC6">
        <v>4048287</v>
      </c>
      <c r="DD6" t="s">
        <v>346</v>
      </c>
      <c r="DE6" s="11">
        <v>7.3</v>
      </c>
      <c r="DF6" s="9" t="str">
        <f>_xll.SNL.Clients.Office.Excel.Functions.SPG(DC6, "SP_COUNTRY_NAME")</f>
        <v>USA</v>
      </c>
      <c r="DG6" t="s">
        <v>2137</v>
      </c>
      <c r="DH6">
        <v>8733743</v>
      </c>
      <c r="DI6" t="s">
        <v>370</v>
      </c>
      <c r="DJ6" s="11">
        <v>8.3000000000000007</v>
      </c>
      <c r="DK6" s="9" t="str">
        <f>_xll.SNL.Clients.Office.Excel.Functions.SPG(DH6, "SP_COUNTRY_NAME")</f>
        <v>China</v>
      </c>
      <c r="DL6" t="s">
        <v>353</v>
      </c>
      <c r="DM6">
        <v>4048287</v>
      </c>
      <c r="DN6" t="s">
        <v>346</v>
      </c>
      <c r="DO6" s="11">
        <v>7.3</v>
      </c>
      <c r="DP6" s="9" t="str">
        <f>_xll.SNL.Clients.Office.Excel.Functions.SPG(DM6, "SP_COUNTRY_NAME")</f>
        <v>USA</v>
      </c>
      <c r="DQ6" t="s">
        <v>692</v>
      </c>
      <c r="DR6">
        <v>4538493</v>
      </c>
      <c r="DS6" t="s">
        <v>363</v>
      </c>
      <c r="DT6" s="11">
        <v>5.96</v>
      </c>
      <c r="DU6" s="9" t="str">
        <f>_xll.SNL.Clients.Office.Excel.Functions.SPG(DR6, "SP_COUNTRY_NAME")</f>
        <v>Zambia</v>
      </c>
      <c r="DV6" t="s">
        <v>964</v>
      </c>
      <c r="DW6">
        <v>110829</v>
      </c>
      <c r="DX6" t="s">
        <v>346</v>
      </c>
      <c r="DY6" s="11">
        <v>0.25</v>
      </c>
      <c r="DZ6" s="9" t="str">
        <f>_xll.SNL.Clients.Office.Excel.Functions.SPG(DW6, "SP_COUNTRY_NAME")</f>
        <v>USA</v>
      </c>
      <c r="EA6" t="s">
        <v>353</v>
      </c>
      <c r="EB6">
        <v>4048287</v>
      </c>
      <c r="EC6" t="s">
        <v>346</v>
      </c>
      <c r="ED6" s="11">
        <v>7</v>
      </c>
      <c r="EE6" s="9" t="str">
        <f>_xll.SNL.Clients.Office.Excel.Functions.SPG(EB6, "SP_COUNTRY_NAME")</f>
        <v>USA</v>
      </c>
      <c r="EF6" t="s">
        <v>353</v>
      </c>
      <c r="EG6">
        <v>4048287</v>
      </c>
      <c r="EH6" t="s">
        <v>346</v>
      </c>
      <c r="EI6" s="11">
        <v>7.3</v>
      </c>
      <c r="EJ6" s="9" t="str">
        <f>_xll.SNL.Clients.Office.Excel.Functions.SPG(EG6, "SP_COUNTRY_NAME")</f>
        <v>USA</v>
      </c>
      <c r="EK6" t="s">
        <v>2137</v>
      </c>
      <c r="EL6">
        <v>8733743</v>
      </c>
      <c r="EM6" t="s">
        <v>370</v>
      </c>
      <c r="EN6" s="11">
        <v>8.3000000000000007</v>
      </c>
      <c r="EO6" s="9" t="str">
        <f>_xll.SNL.Clients.Office.Excel.Functions.SPG(EL6, "SP_COUNTRY_NAME")</f>
        <v>China</v>
      </c>
      <c r="EP6" t="s">
        <v>707</v>
      </c>
      <c r="EQ6">
        <v>4416934</v>
      </c>
      <c r="ER6" t="s">
        <v>366</v>
      </c>
      <c r="ES6" s="11">
        <v>2.85</v>
      </c>
      <c r="ET6" s="9" t="str">
        <f>_xll.SNL.Clients.Office.Excel.Functions.SPG(EQ6, "SP_COUNTRY_NAME")</f>
        <v>China</v>
      </c>
      <c r="EU6" t="s">
        <v>451</v>
      </c>
      <c r="EV6">
        <v>5747632</v>
      </c>
      <c r="EW6" t="s">
        <v>346</v>
      </c>
      <c r="EX6" s="11">
        <v>0.39</v>
      </c>
      <c r="EY6" s="9" t="str">
        <f>_xll.SNL.Clients.Office.Excel.Functions.SPG(EV6, "SP_COUNTRY_NAME")</f>
        <v>Canada</v>
      </c>
      <c r="EZ6" t="s">
        <v>1912</v>
      </c>
      <c r="FA6">
        <v>4313157</v>
      </c>
      <c r="FB6" t="s">
        <v>366</v>
      </c>
      <c r="FC6" s="11">
        <v>13.14</v>
      </c>
      <c r="FD6" s="9" t="str">
        <f>_xll.SNL.Clients.Office.Excel.Functions.SPG(FA6, "SP_COUNTRY_NAME")</f>
        <v>Philippines</v>
      </c>
      <c r="FE6" t="s">
        <v>2146</v>
      </c>
      <c r="FF6">
        <v>12696370</v>
      </c>
      <c r="FG6" t="s">
        <v>370</v>
      </c>
      <c r="FH6" s="11">
        <v>5.42</v>
      </c>
      <c r="FI6" s="9" t="str">
        <f>_xll.SNL.Clients.Office.Excel.Functions.SPG(FF6, "SP_COUNTRY_NAME")</f>
        <v>Japan</v>
      </c>
      <c r="FJ6" t="s">
        <v>423</v>
      </c>
      <c r="FK6">
        <v>4318240</v>
      </c>
      <c r="FL6" t="s">
        <v>346</v>
      </c>
      <c r="FM6" s="11">
        <v>3.17</v>
      </c>
      <c r="FN6" s="9" t="str">
        <f>_xll.SNL.Clients.Office.Excel.Functions.SPG(FK6, "SP_COUNTRY_NAME")</f>
        <v>Japan</v>
      </c>
      <c r="FO6" t="s">
        <v>2137</v>
      </c>
      <c r="FP6">
        <v>8733743</v>
      </c>
      <c r="FQ6" t="s">
        <v>370</v>
      </c>
      <c r="FR6" s="11">
        <v>8.3000000000000007</v>
      </c>
      <c r="FS6" s="9" t="str">
        <f>_xll.SNL.Clients.Office.Excel.Functions.SPG(FP6, "SP_COUNTRY_NAME")</f>
        <v>China</v>
      </c>
      <c r="FT6" t="s">
        <v>372</v>
      </c>
      <c r="FU6">
        <v>4354638</v>
      </c>
      <c r="FV6" t="s">
        <v>367</v>
      </c>
      <c r="FW6" s="11">
        <v>11.48</v>
      </c>
      <c r="FX6" s="9" t="str">
        <f>_xll.SNL.Clients.Office.Excel.Functions.SPG(FU6, "SP_COUNTRY_NAME")</f>
        <v>Japan</v>
      </c>
      <c r="FY6" t="s">
        <v>353</v>
      </c>
      <c r="FZ6">
        <v>4048287</v>
      </c>
      <c r="GA6" t="s">
        <v>346</v>
      </c>
      <c r="GB6" s="11">
        <v>7.3</v>
      </c>
      <c r="GC6" s="9" t="str">
        <f>_xll.SNL.Clients.Office.Excel.Functions.SPG(FZ6, "SP_COUNTRY_NAME")</f>
        <v>USA</v>
      </c>
      <c r="GD6" t="s">
        <v>1912</v>
      </c>
      <c r="GE6">
        <v>4313157</v>
      </c>
      <c r="GF6" t="s">
        <v>366</v>
      </c>
      <c r="GG6" s="11">
        <v>13.14</v>
      </c>
      <c r="GH6" s="9" t="str">
        <f>_xll.SNL.Clients.Office.Excel.Functions.SPG(GE6, "SP_COUNTRY_NAME")</f>
        <v>Philippines</v>
      </c>
      <c r="GI6" t="s">
        <v>2146</v>
      </c>
      <c r="GJ6">
        <v>12696370</v>
      </c>
      <c r="GK6" t="s">
        <v>370</v>
      </c>
      <c r="GL6" s="11">
        <v>5.42</v>
      </c>
      <c r="GM6" s="9" t="str">
        <f>_xll.SNL.Clients.Office.Excel.Functions.SPG(GJ6, "SP_COUNTRY_NAME")</f>
        <v>Japan</v>
      </c>
      <c r="GN6" t="s">
        <v>423</v>
      </c>
      <c r="GO6">
        <v>4318240</v>
      </c>
      <c r="GP6" t="s">
        <v>346</v>
      </c>
      <c r="GQ6" s="11">
        <v>3.17</v>
      </c>
      <c r="GR6" s="9" t="str">
        <f>_xll.SNL.Clients.Office.Excel.Functions.SPG(GO6, "SP_COUNTRY_NAME")</f>
        <v>Japan</v>
      </c>
      <c r="GS6" t="s">
        <v>353</v>
      </c>
      <c r="GT6">
        <v>4048287</v>
      </c>
      <c r="GU6" t="s">
        <v>346</v>
      </c>
      <c r="GV6" s="11">
        <v>1.76</v>
      </c>
      <c r="GW6" s="9" t="str">
        <f>_xll.SNL.Clients.Office.Excel.Functions.SPG(GT6, "SP_COUNTRY_NAME")</f>
        <v>USA</v>
      </c>
      <c r="GX6" t="s">
        <v>353</v>
      </c>
      <c r="GY6">
        <v>4048287</v>
      </c>
      <c r="GZ6" t="s">
        <v>346</v>
      </c>
      <c r="HA6" s="11">
        <v>7</v>
      </c>
      <c r="HB6" s="9" t="str">
        <f>_xll.SNL.Clients.Office.Excel.Functions.SPG(GY6, "SP_COUNTRY_NAME")</f>
        <v>USA</v>
      </c>
      <c r="HC6" t="s">
        <v>2170</v>
      </c>
      <c r="HD6" t="s">
        <v>300</v>
      </c>
      <c r="HE6" t="s">
        <v>361</v>
      </c>
      <c r="HF6" s="11">
        <v>0.15</v>
      </c>
      <c r="HG6" s="9" t="str">
        <f>_xll.SNL.Clients.Office.Excel.Functions.SPG(HD6, "SP_COUNTRY_NAME")</f>
        <v>China</v>
      </c>
    </row>
    <row r="7" spans="1:215" x14ac:dyDescent="0.35">
      <c r="A7" t="s">
        <v>350</v>
      </c>
      <c r="B7">
        <v>5772399</v>
      </c>
      <c r="C7" t="s">
        <v>346</v>
      </c>
      <c r="D7" s="11">
        <v>4.24</v>
      </c>
      <c r="E7" s="9" t="str">
        <f>_xll.SNL.Clients.Office.Excel.Functions.SPG(B7, "SP_COUNTRY_NAME")</f>
        <v>China</v>
      </c>
      <c r="F7" t="s">
        <v>423</v>
      </c>
      <c r="G7">
        <v>4318240</v>
      </c>
      <c r="H7" t="s">
        <v>346</v>
      </c>
      <c r="I7" s="11">
        <v>3.16</v>
      </c>
      <c r="J7" s="9" t="str">
        <f>_xll.SNL.Clients.Office.Excel.Functions.SPG(G7, "SP_COUNTRY_NAME")</f>
        <v>Japan</v>
      </c>
      <c r="K7" t="s">
        <v>379</v>
      </c>
      <c r="L7">
        <v>137764443</v>
      </c>
      <c r="M7" t="s">
        <v>346</v>
      </c>
      <c r="N7" s="11">
        <v>1.1200000000000001</v>
      </c>
      <c r="O7" s="9" t="str">
        <f>_xll.SNL.Clients.Office.Excel.Functions.SPG(L7, "SP_COUNTRY_NAME")</f>
        <v>USA</v>
      </c>
      <c r="T7" s="9" t="str">
        <f>_xll.SNL.Clients.Office.Excel.Functions.SPG(Q7, "SP_COUNTRY_NAME")</f>
        <v>#INVALID COMPANY ID</v>
      </c>
      <c r="U7" t="s">
        <v>380</v>
      </c>
      <c r="V7">
        <v>4674815</v>
      </c>
      <c r="W7" t="s">
        <v>346</v>
      </c>
      <c r="X7" s="11">
        <v>1.34</v>
      </c>
      <c r="Y7" s="9" t="str">
        <f>_xll.SNL.Clients.Office.Excel.Functions.SPG(V7, "SP_COUNTRY_NAME")</f>
        <v>Switzerland</v>
      </c>
      <c r="Z7" t="s">
        <v>379</v>
      </c>
      <c r="AA7">
        <v>137764443</v>
      </c>
      <c r="AB7" t="s">
        <v>346</v>
      </c>
      <c r="AC7" s="11">
        <v>1.1200000000000001</v>
      </c>
      <c r="AD7" s="9" t="str">
        <f>_xll.SNL.Clients.Office.Excel.Functions.SPG(AA7, "SP_COUNTRY_NAME")</f>
        <v>USA</v>
      </c>
      <c r="AE7" t="s">
        <v>353</v>
      </c>
      <c r="AF7">
        <v>4048287</v>
      </c>
      <c r="AG7" t="s">
        <v>346</v>
      </c>
      <c r="AH7" s="11">
        <v>5.01</v>
      </c>
      <c r="AI7" s="9" t="str">
        <f>_xll.SNL.Clients.Office.Excel.Functions.SPG(AF7, "SP_COUNTRY_NAME")</f>
        <v>USA</v>
      </c>
      <c r="AJ7" t="s">
        <v>350</v>
      </c>
      <c r="AK7">
        <v>5772399</v>
      </c>
      <c r="AL7" t="s">
        <v>346</v>
      </c>
      <c r="AM7" s="11">
        <v>4.24</v>
      </c>
      <c r="AN7" s="9" t="str">
        <f>_xll.SNL.Clients.Office.Excel.Functions.SPG(AK7, "SP_COUNTRY_NAME")</f>
        <v>China</v>
      </c>
      <c r="AO7" t="s">
        <v>955</v>
      </c>
      <c r="AP7">
        <v>4138889</v>
      </c>
      <c r="AQ7" t="s">
        <v>346</v>
      </c>
      <c r="AR7" s="11">
        <v>3.54</v>
      </c>
      <c r="AS7" s="9" t="str">
        <f>_xll.SNL.Clients.Office.Excel.Functions.SPG(AP7, "SP_COUNTRY_NAME")</f>
        <v>United Kingdom</v>
      </c>
      <c r="AT7" t="s">
        <v>350</v>
      </c>
      <c r="AU7">
        <v>5772399</v>
      </c>
      <c r="AV7" t="s">
        <v>346</v>
      </c>
      <c r="AW7" s="11">
        <v>4.24</v>
      </c>
      <c r="AX7" s="9" t="str">
        <f>_xll.SNL.Clients.Office.Excel.Functions.SPG(AU7, "SP_COUNTRY_NAME")</f>
        <v>China</v>
      </c>
      <c r="AY7" t="s">
        <v>1224</v>
      </c>
      <c r="AZ7" t="s">
        <v>300</v>
      </c>
      <c r="BA7" t="s">
        <v>361</v>
      </c>
      <c r="BB7" s="11">
        <v>1.33</v>
      </c>
      <c r="BC7" s="9" t="str">
        <f>_xll.SNL.Clients.Office.Excel.Functions.SPG(AZ7, "SP_COUNTRY_NAME")</f>
        <v>China</v>
      </c>
      <c r="BD7" t="s">
        <v>380</v>
      </c>
      <c r="BE7">
        <v>4674815</v>
      </c>
      <c r="BF7" t="s">
        <v>346</v>
      </c>
      <c r="BG7" s="11">
        <v>6.92</v>
      </c>
      <c r="BH7" s="9" t="str">
        <f>_xll.SNL.Clients.Office.Excel.Functions.SPG(BE7, "SP_COUNTRY_NAME")</f>
        <v>Switzerland</v>
      </c>
      <c r="BI7" t="s">
        <v>379</v>
      </c>
      <c r="BJ7">
        <v>137764443</v>
      </c>
      <c r="BK7" t="s">
        <v>346</v>
      </c>
      <c r="BL7" s="11">
        <v>2.98</v>
      </c>
      <c r="BM7" s="9" t="str">
        <f>_xll.SNL.Clients.Office.Excel.Functions.SPG(BJ7, "SP_COUNTRY_NAME")</f>
        <v>USA</v>
      </c>
      <c r="BN7" t="s">
        <v>379</v>
      </c>
      <c r="BO7">
        <v>137764443</v>
      </c>
      <c r="BP7" t="s">
        <v>346</v>
      </c>
      <c r="BQ7" s="11">
        <v>0.77</v>
      </c>
      <c r="BR7" s="9" t="str">
        <f>_xll.SNL.Clients.Office.Excel.Functions.SPG(BO7, "SP_COUNTRY_NAME")</f>
        <v>USA</v>
      </c>
      <c r="BS7" t="s">
        <v>941</v>
      </c>
      <c r="BT7" t="s">
        <v>300</v>
      </c>
      <c r="BU7" t="s">
        <v>361</v>
      </c>
      <c r="BV7" s="11">
        <v>4.92</v>
      </c>
      <c r="BW7" s="9" t="str">
        <f>_xll.SNL.Clients.Office.Excel.Functions.SPG(BT7, "SP_COUNTRY_NAME")</f>
        <v>China</v>
      </c>
      <c r="BX7" t="s">
        <v>380</v>
      </c>
      <c r="BY7">
        <v>4674815</v>
      </c>
      <c r="BZ7" t="s">
        <v>346</v>
      </c>
      <c r="CA7" s="11">
        <v>1.34</v>
      </c>
      <c r="CB7" s="9" t="str">
        <f>_xll.SNL.Clients.Office.Excel.Functions.SPG(BY7, "SP_COUNTRY_NAME")</f>
        <v>Switzerland</v>
      </c>
      <c r="CC7" t="s">
        <v>1611</v>
      </c>
      <c r="CD7">
        <v>4086798</v>
      </c>
      <c r="CE7" t="s">
        <v>367</v>
      </c>
      <c r="CF7" s="11">
        <v>6.73</v>
      </c>
      <c r="CG7" s="9" t="str">
        <f>_xll.SNL.Clients.Office.Excel.Functions.SPG(CD7, "SP_COUNTRY_NAME")</f>
        <v>Japan</v>
      </c>
      <c r="CH7" t="s">
        <v>955</v>
      </c>
      <c r="CI7">
        <v>4138889</v>
      </c>
      <c r="CJ7" t="s">
        <v>346</v>
      </c>
      <c r="CK7" s="11">
        <v>3.54</v>
      </c>
      <c r="CL7" s="9" t="str">
        <f>_xll.SNL.Clients.Office.Excel.Functions.SPG(CI7, "SP_COUNTRY_NAME")</f>
        <v>United Kingdom</v>
      </c>
      <c r="CM7" t="s">
        <v>1256</v>
      </c>
      <c r="CN7">
        <v>10350671</v>
      </c>
      <c r="CO7" t="s">
        <v>276</v>
      </c>
      <c r="CP7" s="11">
        <v>5.32</v>
      </c>
      <c r="CQ7" s="9" t="str">
        <f>_xll.SNL.Clients.Office.Excel.Functions.SPG(CN7, "SP_COUNTRY_NAME")</f>
        <v>United Kingdom</v>
      </c>
      <c r="CR7" t="s">
        <v>695</v>
      </c>
      <c r="CS7" t="s">
        <v>300</v>
      </c>
      <c r="CT7" t="s">
        <v>361</v>
      </c>
      <c r="CU7" s="11">
        <v>0.12</v>
      </c>
      <c r="CV7" s="9" t="str">
        <f>_xll.SNL.Clients.Office.Excel.Functions.SPG(CS7, "SP_COUNTRY_NAME")</f>
        <v>China</v>
      </c>
      <c r="CW7" t="s">
        <v>379</v>
      </c>
      <c r="CX7">
        <v>137764443</v>
      </c>
      <c r="CY7" t="s">
        <v>346</v>
      </c>
      <c r="CZ7" s="11">
        <v>1.1000000000000001</v>
      </c>
      <c r="DA7" s="9" t="str">
        <f>_xll.SNL.Clients.Office.Excel.Functions.SPG(CX7, "SP_COUNTRY_NAME")</f>
        <v>USA</v>
      </c>
      <c r="DB7" t="s">
        <v>380</v>
      </c>
      <c r="DC7">
        <v>4674815</v>
      </c>
      <c r="DD7" t="s">
        <v>346</v>
      </c>
      <c r="DE7" s="11">
        <v>6.92</v>
      </c>
      <c r="DF7" s="9" t="str">
        <f>_xll.SNL.Clients.Office.Excel.Functions.SPG(DC7, "SP_COUNTRY_NAME")</f>
        <v>Switzerland</v>
      </c>
      <c r="DG7" t="s">
        <v>379</v>
      </c>
      <c r="DH7">
        <v>137764443</v>
      </c>
      <c r="DI7" t="s">
        <v>346</v>
      </c>
      <c r="DJ7" s="11">
        <v>1.1000000000000001</v>
      </c>
      <c r="DK7" s="9" t="str">
        <f>_xll.SNL.Clients.Office.Excel.Functions.SPG(DH7, "SP_COUNTRY_NAME")</f>
        <v>USA</v>
      </c>
      <c r="DL7" t="s">
        <v>380</v>
      </c>
      <c r="DM7">
        <v>4674815</v>
      </c>
      <c r="DN7" t="s">
        <v>346</v>
      </c>
      <c r="DO7" s="11">
        <v>6.92</v>
      </c>
      <c r="DP7" s="9" t="str">
        <f>_xll.SNL.Clients.Office.Excel.Functions.SPG(DM7, "SP_COUNTRY_NAME")</f>
        <v>Switzerland</v>
      </c>
      <c r="DU7" s="9" t="str">
        <f>_xll.SNL.Clients.Office.Excel.Functions.SPG(DR7, "SP_COUNTRY_NAME")</f>
        <v>#INVALID COMPANY ID</v>
      </c>
      <c r="DV7" t="s">
        <v>353</v>
      </c>
      <c r="DW7">
        <v>4048287</v>
      </c>
      <c r="DX7" t="s">
        <v>346</v>
      </c>
      <c r="DY7" s="11">
        <v>0.23</v>
      </c>
      <c r="DZ7" s="9" t="str">
        <f>_xll.SNL.Clients.Office.Excel.Functions.SPG(DW7, "SP_COUNTRY_NAME")</f>
        <v>USA</v>
      </c>
      <c r="EA7" t="s">
        <v>1611</v>
      </c>
      <c r="EB7">
        <v>4086798</v>
      </c>
      <c r="EC7" t="s">
        <v>367</v>
      </c>
      <c r="ED7" s="11">
        <v>6.73</v>
      </c>
      <c r="EE7" s="9" t="str">
        <f>_xll.SNL.Clients.Office.Excel.Functions.SPG(EB7, "SP_COUNTRY_NAME")</f>
        <v>Japan</v>
      </c>
      <c r="EF7" t="s">
        <v>380</v>
      </c>
      <c r="EG7">
        <v>4674815</v>
      </c>
      <c r="EH7" t="s">
        <v>346</v>
      </c>
      <c r="EI7" s="11">
        <v>6.92</v>
      </c>
      <c r="EJ7" s="9" t="str">
        <f>_xll.SNL.Clients.Office.Excel.Functions.SPG(EG7, "SP_COUNTRY_NAME")</f>
        <v>Switzerland</v>
      </c>
      <c r="EK7" t="s">
        <v>379</v>
      </c>
      <c r="EL7">
        <v>137764443</v>
      </c>
      <c r="EM7" t="s">
        <v>346</v>
      </c>
      <c r="EN7" s="11">
        <v>1.1000000000000001</v>
      </c>
      <c r="EO7" s="9" t="str">
        <f>_xll.SNL.Clients.Office.Excel.Functions.SPG(EL7, "SP_COUNTRY_NAME")</f>
        <v>USA</v>
      </c>
      <c r="EP7" t="s">
        <v>939</v>
      </c>
      <c r="EQ7">
        <v>4322619</v>
      </c>
      <c r="ER7" t="s">
        <v>366</v>
      </c>
      <c r="ES7" s="11">
        <v>1.1100000000000001</v>
      </c>
      <c r="ET7" s="9" t="str">
        <f>_xll.SNL.Clients.Office.Excel.Functions.SPG(EQ7, "SP_COUNTRY_NAME")</f>
        <v>Hong Kong</v>
      </c>
      <c r="EU7" t="s">
        <v>2140</v>
      </c>
      <c r="EV7">
        <v>13969643</v>
      </c>
      <c r="EW7" t="s">
        <v>346</v>
      </c>
      <c r="EX7" s="11">
        <v>0.04</v>
      </c>
      <c r="EY7" s="9" t="str">
        <f>_xll.SNL.Clients.Office.Excel.Functions.SPG(EV7, "SP_COUNTRY_NAME")</f>
        <v>United Kingdom</v>
      </c>
      <c r="EZ7" t="s">
        <v>1913</v>
      </c>
      <c r="FA7" t="s">
        <v>300</v>
      </c>
      <c r="FB7" t="s">
        <v>361</v>
      </c>
      <c r="FC7" s="11">
        <v>8.43</v>
      </c>
      <c r="FD7" s="9" t="str">
        <f>_xll.SNL.Clients.Office.Excel.Functions.SPG(FA7, "SP_COUNTRY_NAME")</f>
        <v>China</v>
      </c>
      <c r="FE7" t="s">
        <v>422</v>
      </c>
      <c r="FF7">
        <v>4048507</v>
      </c>
      <c r="FG7" t="s">
        <v>346</v>
      </c>
      <c r="FH7" s="11">
        <v>3.15</v>
      </c>
      <c r="FI7" s="9" t="str">
        <f>_xll.SNL.Clients.Office.Excel.Functions.SPG(FF7, "SP_COUNTRY_NAME")</f>
        <v>Japan</v>
      </c>
      <c r="FJ7" t="s">
        <v>379</v>
      </c>
      <c r="FK7">
        <v>137764443</v>
      </c>
      <c r="FL7" t="s">
        <v>346</v>
      </c>
      <c r="FM7" s="11">
        <v>2.9</v>
      </c>
      <c r="FN7" s="9" t="str">
        <f>_xll.SNL.Clients.Office.Excel.Functions.SPG(FK7, "SP_COUNTRY_NAME")</f>
        <v>USA</v>
      </c>
      <c r="FO7" t="s">
        <v>379</v>
      </c>
      <c r="FP7">
        <v>137764443</v>
      </c>
      <c r="FQ7" t="s">
        <v>346</v>
      </c>
      <c r="FR7" s="11">
        <v>1.1000000000000001</v>
      </c>
      <c r="FS7" s="9" t="str">
        <f>_xll.SNL.Clients.Office.Excel.Functions.SPG(FP7, "SP_COUNTRY_NAME")</f>
        <v>USA</v>
      </c>
      <c r="FT7" t="s">
        <v>373</v>
      </c>
      <c r="FU7">
        <v>10364576</v>
      </c>
      <c r="FV7" t="s">
        <v>370</v>
      </c>
      <c r="FW7" s="11">
        <v>2.85</v>
      </c>
      <c r="FX7" s="9" t="str">
        <f>_xll.SNL.Clients.Office.Excel.Functions.SPG(FU7, "SP_COUNTRY_NAME")</f>
        <v>Indonesia</v>
      </c>
      <c r="FY7" t="s">
        <v>380</v>
      </c>
      <c r="FZ7">
        <v>4674815</v>
      </c>
      <c r="GA7" t="s">
        <v>346</v>
      </c>
      <c r="GB7" s="11">
        <v>6.92</v>
      </c>
      <c r="GC7" s="9" t="str">
        <f>_xll.SNL.Clients.Office.Excel.Functions.SPG(FZ7, "SP_COUNTRY_NAME")</f>
        <v>Switzerland</v>
      </c>
      <c r="GD7" t="s">
        <v>1913</v>
      </c>
      <c r="GE7" t="s">
        <v>300</v>
      </c>
      <c r="GF7" t="s">
        <v>361</v>
      </c>
      <c r="GG7" s="11">
        <v>8.43</v>
      </c>
      <c r="GH7" s="9" t="str">
        <f>_xll.SNL.Clients.Office.Excel.Functions.SPG(GE7, "SP_COUNTRY_NAME")</f>
        <v>China</v>
      </c>
      <c r="GI7" t="s">
        <v>422</v>
      </c>
      <c r="GJ7">
        <v>4048507</v>
      </c>
      <c r="GK7" t="s">
        <v>346</v>
      </c>
      <c r="GL7" s="11">
        <v>3.15</v>
      </c>
      <c r="GM7" s="9" t="str">
        <f>_xll.SNL.Clients.Office.Excel.Functions.SPG(GJ7, "SP_COUNTRY_NAME")</f>
        <v>Japan</v>
      </c>
      <c r="GN7" t="s">
        <v>379</v>
      </c>
      <c r="GO7">
        <v>137764443</v>
      </c>
      <c r="GP7" t="s">
        <v>346</v>
      </c>
      <c r="GQ7" s="11">
        <v>2.9</v>
      </c>
      <c r="GR7" s="9" t="str">
        <f>_xll.SNL.Clients.Office.Excel.Functions.SPG(GO7, "SP_COUNTRY_NAME")</f>
        <v>USA</v>
      </c>
      <c r="GS7" t="s">
        <v>379</v>
      </c>
      <c r="GT7">
        <v>137764443</v>
      </c>
      <c r="GU7" t="s">
        <v>346</v>
      </c>
      <c r="GV7" s="11">
        <v>0.77</v>
      </c>
      <c r="GW7" s="9" t="str">
        <f>_xll.SNL.Clients.Office.Excel.Functions.SPG(GT7, "SP_COUNTRY_NAME")</f>
        <v>USA</v>
      </c>
      <c r="GX7" t="s">
        <v>1611</v>
      </c>
      <c r="GY7">
        <v>4086798</v>
      </c>
      <c r="GZ7" t="s">
        <v>367</v>
      </c>
      <c r="HA7" s="11">
        <v>6.73</v>
      </c>
      <c r="HB7" s="9" t="str">
        <f>_xll.SNL.Clients.Office.Excel.Functions.SPG(GY7, "SP_COUNTRY_NAME")</f>
        <v>Japan</v>
      </c>
      <c r="HC7" t="s">
        <v>2171</v>
      </c>
      <c r="HD7" t="s">
        <v>300</v>
      </c>
      <c r="HE7" t="s">
        <v>361</v>
      </c>
      <c r="HF7" s="11">
        <v>0.15</v>
      </c>
      <c r="HG7" s="9" t="str">
        <f>_xll.SNL.Clients.Office.Excel.Functions.SPG(HD7, "SP_COUNTRY_NAME")</f>
        <v>China</v>
      </c>
    </row>
    <row r="8" spans="1:215" x14ac:dyDescent="0.35">
      <c r="A8" t="s">
        <v>220</v>
      </c>
      <c r="B8">
        <v>4355642</v>
      </c>
      <c r="C8" t="s">
        <v>367</v>
      </c>
      <c r="D8" s="11">
        <v>2.69</v>
      </c>
      <c r="E8" s="9" t="str">
        <f>_xll.SNL.Clients.Office.Excel.Functions.SPG(B8, "SP_COUNTRY_NAME")</f>
        <v>China</v>
      </c>
      <c r="F8" t="s">
        <v>424</v>
      </c>
      <c r="G8">
        <v>4048741</v>
      </c>
      <c r="H8" t="s">
        <v>634</v>
      </c>
      <c r="I8" s="11">
        <v>2.6</v>
      </c>
      <c r="J8" s="9" t="str">
        <f>_xll.SNL.Clients.Office.Excel.Functions.SPG(G8, "SP_COUNTRY_NAME")</f>
        <v>Japan</v>
      </c>
      <c r="K8" t="s">
        <v>351</v>
      </c>
      <c r="L8">
        <v>111289</v>
      </c>
      <c r="M8" t="s">
        <v>346</v>
      </c>
      <c r="N8" s="11">
        <v>0.72</v>
      </c>
      <c r="O8" s="9" t="str">
        <f>_xll.SNL.Clients.Office.Excel.Functions.SPG(L8, "SP_COUNTRY_NAME")</f>
        <v>USA</v>
      </c>
      <c r="T8" s="9" t="str">
        <f>_xll.SNL.Clients.Office.Excel.Functions.SPG(Q8, "SP_COUNTRY_NAME")</f>
        <v>#INVALID COMPANY ID</v>
      </c>
      <c r="U8" t="s">
        <v>708</v>
      </c>
      <c r="V8">
        <v>4005446</v>
      </c>
      <c r="W8" t="s">
        <v>362</v>
      </c>
      <c r="X8" s="11">
        <v>1.1100000000000001</v>
      </c>
      <c r="Y8" s="9" t="str">
        <f>_xll.SNL.Clients.Office.Excel.Functions.SPG(V8, "SP_COUNTRY_NAME")</f>
        <v>Singapore</v>
      </c>
      <c r="Z8" t="s">
        <v>351</v>
      </c>
      <c r="AA8">
        <v>111289</v>
      </c>
      <c r="AB8" t="s">
        <v>346</v>
      </c>
      <c r="AC8" s="11">
        <v>0.72</v>
      </c>
      <c r="AD8" s="9" t="str">
        <f>_xll.SNL.Clients.Office.Excel.Functions.SPG(AA8, "SP_COUNTRY_NAME")</f>
        <v>USA</v>
      </c>
      <c r="AE8" t="s">
        <v>379</v>
      </c>
      <c r="AF8">
        <v>137764443</v>
      </c>
      <c r="AG8" t="s">
        <v>346</v>
      </c>
      <c r="AH8" s="11">
        <v>2.21</v>
      </c>
      <c r="AI8" s="9" t="str">
        <f>_xll.SNL.Clients.Office.Excel.Functions.SPG(AF8, "SP_COUNTRY_NAME")</f>
        <v>USA</v>
      </c>
      <c r="AJ8" t="s">
        <v>220</v>
      </c>
      <c r="AK8">
        <v>4355642</v>
      </c>
      <c r="AL8" t="s">
        <v>367</v>
      </c>
      <c r="AM8" s="11">
        <v>2.69</v>
      </c>
      <c r="AN8" s="9" t="str">
        <f>_xll.SNL.Clients.Office.Excel.Functions.SPG(AK8, "SP_COUNTRY_NAME")</f>
        <v>China</v>
      </c>
      <c r="AO8" t="s">
        <v>379</v>
      </c>
      <c r="AP8">
        <v>137764443</v>
      </c>
      <c r="AQ8" t="s">
        <v>346</v>
      </c>
      <c r="AR8" s="11">
        <v>3.39</v>
      </c>
      <c r="AS8" s="9" t="str">
        <f>_xll.SNL.Clients.Office.Excel.Functions.SPG(AP8, "SP_COUNTRY_NAME")</f>
        <v>USA</v>
      </c>
      <c r="AT8" t="s">
        <v>220</v>
      </c>
      <c r="AU8">
        <v>4355642</v>
      </c>
      <c r="AV8" t="s">
        <v>367</v>
      </c>
      <c r="AW8" s="11">
        <v>2.69</v>
      </c>
      <c r="AX8" s="9" t="str">
        <f>_xll.SNL.Clients.Office.Excel.Functions.SPG(AU8, "SP_COUNTRY_NAME")</f>
        <v>China</v>
      </c>
      <c r="AY8" t="s">
        <v>642</v>
      </c>
      <c r="AZ8">
        <v>5762318</v>
      </c>
      <c r="BA8" t="s">
        <v>346</v>
      </c>
      <c r="BB8" s="11">
        <v>1.1499999999999999</v>
      </c>
      <c r="BC8" s="9" t="str">
        <f>_xll.SNL.Clients.Office.Excel.Functions.SPG(AZ8, "SP_COUNTRY_NAME")</f>
        <v>China</v>
      </c>
      <c r="BD8" t="s">
        <v>725</v>
      </c>
      <c r="BE8">
        <v>111195</v>
      </c>
      <c r="BF8" t="s">
        <v>346</v>
      </c>
      <c r="BG8" s="11">
        <v>5.94</v>
      </c>
      <c r="BH8" s="9" t="str">
        <f>_xll.SNL.Clients.Office.Excel.Functions.SPG(BE8, "SP_COUNTRY_NAME")</f>
        <v>USA</v>
      </c>
      <c r="BI8" t="s">
        <v>1556</v>
      </c>
      <c r="BJ8">
        <v>5849775</v>
      </c>
      <c r="BK8" t="s">
        <v>346</v>
      </c>
      <c r="BL8" s="11">
        <v>2.6</v>
      </c>
      <c r="BM8" s="9" t="str">
        <f>_xll.SNL.Clients.Office.Excel.Functions.SPG(BJ8, "SP_COUNTRY_NAME")</f>
        <v>Luxembourg</v>
      </c>
      <c r="BN8" t="s">
        <v>1234</v>
      </c>
      <c r="BO8">
        <v>5880458</v>
      </c>
      <c r="BP8" t="s">
        <v>369</v>
      </c>
      <c r="BQ8" s="11">
        <v>0.55000000000000004</v>
      </c>
      <c r="BR8" s="9" t="str">
        <f>_xll.SNL.Clients.Office.Excel.Functions.SPG(BO8, "SP_COUNTRY_NAME")</f>
        <v>China</v>
      </c>
      <c r="BS8" t="s">
        <v>942</v>
      </c>
      <c r="BT8">
        <v>5879236</v>
      </c>
      <c r="BU8" t="s">
        <v>369</v>
      </c>
      <c r="BV8" s="11">
        <v>4.92</v>
      </c>
      <c r="BW8" s="9" t="str">
        <f>_xll.SNL.Clients.Office.Excel.Functions.SPG(BT8, "SP_COUNTRY_NAME")</f>
        <v>China</v>
      </c>
      <c r="BX8" t="s">
        <v>708</v>
      </c>
      <c r="BY8">
        <v>4005446</v>
      </c>
      <c r="BZ8" t="s">
        <v>362</v>
      </c>
      <c r="CA8" s="11">
        <v>1.1100000000000001</v>
      </c>
      <c r="CB8" s="9" t="str">
        <f>_xll.SNL.Clients.Office.Excel.Functions.SPG(BY8, "SP_COUNTRY_NAME")</f>
        <v>Singapore</v>
      </c>
      <c r="CC8" t="s">
        <v>379</v>
      </c>
      <c r="CD8">
        <v>137764443</v>
      </c>
      <c r="CE8" t="s">
        <v>346</v>
      </c>
      <c r="CF8" s="11">
        <v>2.86</v>
      </c>
      <c r="CG8" s="9" t="str">
        <f>_xll.SNL.Clients.Office.Excel.Functions.SPG(CD8, "SP_COUNTRY_NAME")</f>
        <v>USA</v>
      </c>
      <c r="CH8" t="s">
        <v>379</v>
      </c>
      <c r="CI8">
        <v>137764443</v>
      </c>
      <c r="CJ8" t="s">
        <v>346</v>
      </c>
      <c r="CK8" s="11">
        <v>3.39</v>
      </c>
      <c r="CL8" s="9" t="str">
        <f>_xll.SNL.Clients.Office.Excel.Functions.SPG(CI8, "SP_COUNTRY_NAME")</f>
        <v>USA</v>
      </c>
      <c r="CM8" t="s">
        <v>353</v>
      </c>
      <c r="CN8">
        <v>4048287</v>
      </c>
      <c r="CO8" t="s">
        <v>346</v>
      </c>
      <c r="CP8" s="11">
        <v>5.26</v>
      </c>
      <c r="CQ8" s="9" t="str">
        <f>_xll.SNL.Clients.Office.Excel.Functions.SPG(CN8, "SP_COUNTRY_NAME")</f>
        <v>USA</v>
      </c>
      <c r="CR8" t="s">
        <v>696</v>
      </c>
      <c r="CS8">
        <v>4313797</v>
      </c>
      <c r="CT8" t="s">
        <v>346</v>
      </c>
      <c r="CU8" s="11">
        <v>0.12</v>
      </c>
      <c r="CV8" s="9" t="str">
        <f>_xll.SNL.Clients.Office.Excel.Functions.SPG(CS8, "SP_COUNTRY_NAME")</f>
        <v>Canada</v>
      </c>
      <c r="CW8" t="s">
        <v>683</v>
      </c>
      <c r="CX8">
        <v>4137754</v>
      </c>
      <c r="CY8" t="s">
        <v>346</v>
      </c>
      <c r="CZ8" s="11">
        <v>0.43</v>
      </c>
      <c r="DA8" s="9" t="str">
        <f>_xll.SNL.Clients.Office.Excel.Functions.SPG(CX8, "SP_COUNTRY_NAME")</f>
        <v>China</v>
      </c>
      <c r="DB8" t="s">
        <v>725</v>
      </c>
      <c r="DC8">
        <v>111195</v>
      </c>
      <c r="DD8" t="s">
        <v>346</v>
      </c>
      <c r="DE8" s="11">
        <v>5.94</v>
      </c>
      <c r="DF8" s="9" t="str">
        <f>_xll.SNL.Clients.Office.Excel.Functions.SPG(DC8, "SP_COUNTRY_NAME")</f>
        <v>USA</v>
      </c>
      <c r="DG8" t="s">
        <v>683</v>
      </c>
      <c r="DH8">
        <v>4137754</v>
      </c>
      <c r="DI8" t="s">
        <v>346</v>
      </c>
      <c r="DJ8" s="11">
        <v>0.43</v>
      </c>
      <c r="DK8" s="9" t="str">
        <f>_xll.SNL.Clients.Office.Excel.Functions.SPG(DH8, "SP_COUNTRY_NAME")</f>
        <v>China</v>
      </c>
      <c r="DL8" t="s">
        <v>725</v>
      </c>
      <c r="DM8">
        <v>111195</v>
      </c>
      <c r="DN8" t="s">
        <v>346</v>
      </c>
      <c r="DO8" s="11">
        <v>5.94</v>
      </c>
      <c r="DP8" s="9" t="str">
        <f>_xll.SNL.Clients.Office.Excel.Functions.SPG(DM8, "SP_COUNTRY_NAME")</f>
        <v>USA</v>
      </c>
      <c r="DU8" s="9" t="str">
        <f>_xll.SNL.Clients.Office.Excel.Functions.SPG(DR8, "SP_COUNTRY_NAME")</f>
        <v>#INVALID COMPANY ID</v>
      </c>
      <c r="DV8" t="s">
        <v>432</v>
      </c>
      <c r="DW8">
        <v>110092</v>
      </c>
      <c r="DX8" t="s">
        <v>346</v>
      </c>
      <c r="DY8" s="11">
        <v>0.15</v>
      </c>
      <c r="DZ8" s="9" t="str">
        <f>_xll.SNL.Clients.Office.Excel.Functions.SPG(DW8, "SP_COUNTRY_NAME")</f>
        <v>USA</v>
      </c>
      <c r="EA8" t="s">
        <v>379</v>
      </c>
      <c r="EB8">
        <v>137764443</v>
      </c>
      <c r="EC8" t="s">
        <v>346</v>
      </c>
      <c r="ED8" s="11">
        <v>2.86</v>
      </c>
      <c r="EE8" s="9" t="str">
        <f>_xll.SNL.Clients.Office.Excel.Functions.SPG(EB8, "SP_COUNTRY_NAME")</f>
        <v>USA</v>
      </c>
      <c r="EF8" t="s">
        <v>725</v>
      </c>
      <c r="EG8">
        <v>111195</v>
      </c>
      <c r="EH8" t="s">
        <v>346</v>
      </c>
      <c r="EI8" s="11">
        <v>5.94</v>
      </c>
      <c r="EJ8" s="9" t="str">
        <f>_xll.SNL.Clients.Office.Excel.Functions.SPG(EG8, "SP_COUNTRY_NAME")</f>
        <v>USA</v>
      </c>
      <c r="EK8" t="s">
        <v>683</v>
      </c>
      <c r="EL8">
        <v>4137754</v>
      </c>
      <c r="EM8" t="s">
        <v>346</v>
      </c>
      <c r="EN8" s="11">
        <v>0.43</v>
      </c>
      <c r="EO8" s="9" t="str">
        <f>_xll.SNL.Clients.Office.Excel.Functions.SPG(EL8, "SP_COUNTRY_NAME")</f>
        <v>China</v>
      </c>
      <c r="EP8" t="s">
        <v>379</v>
      </c>
      <c r="EQ8">
        <v>137764443</v>
      </c>
      <c r="ER8" t="s">
        <v>346</v>
      </c>
      <c r="ES8" s="11">
        <v>0.66</v>
      </c>
      <c r="ET8" s="9" t="str">
        <f>_xll.SNL.Clients.Office.Excel.Functions.SPG(EQ8, "SP_COUNTRY_NAME")</f>
        <v>USA</v>
      </c>
      <c r="EU8" t="s">
        <v>2141</v>
      </c>
      <c r="EV8" t="s">
        <v>300</v>
      </c>
      <c r="EW8" t="s">
        <v>361</v>
      </c>
      <c r="EX8" s="11">
        <v>0.03</v>
      </c>
      <c r="EY8" s="9" t="str">
        <f>_xll.SNL.Clients.Office.Excel.Functions.SPG(EV8, "SP_COUNTRY_NAME")</f>
        <v>China</v>
      </c>
      <c r="EZ8" t="s">
        <v>374</v>
      </c>
      <c r="FA8">
        <v>4138467</v>
      </c>
      <c r="FB8" t="s">
        <v>362</v>
      </c>
      <c r="FC8" s="11">
        <v>3.06</v>
      </c>
      <c r="FD8" s="9" t="str">
        <f>_xll.SNL.Clients.Office.Excel.Functions.SPG(FA8, "SP_COUNTRY_NAME")</f>
        <v>Norway</v>
      </c>
      <c r="FE8" t="s">
        <v>379</v>
      </c>
      <c r="FF8">
        <v>137764443</v>
      </c>
      <c r="FG8" t="s">
        <v>346</v>
      </c>
      <c r="FH8" s="11">
        <v>2.8</v>
      </c>
      <c r="FI8" s="9" t="str">
        <f>_xll.SNL.Clients.Office.Excel.Functions.SPG(FF8, "SP_COUNTRY_NAME")</f>
        <v>USA</v>
      </c>
      <c r="FJ8" t="s">
        <v>2154</v>
      </c>
      <c r="FK8">
        <v>4016429</v>
      </c>
      <c r="FL8" t="s">
        <v>366</v>
      </c>
      <c r="FM8" s="11">
        <v>2.15</v>
      </c>
      <c r="FN8" s="9" t="str">
        <f>_xll.SNL.Clients.Office.Excel.Functions.SPG(FK8, "SP_COUNTRY_NAME")</f>
        <v>Japan</v>
      </c>
      <c r="FO8" t="s">
        <v>683</v>
      </c>
      <c r="FP8">
        <v>4137754</v>
      </c>
      <c r="FQ8" t="s">
        <v>346</v>
      </c>
      <c r="FR8" s="11">
        <v>0.43</v>
      </c>
      <c r="FS8" s="9" t="str">
        <f>_xll.SNL.Clients.Office.Excel.Functions.SPG(FP8, "SP_COUNTRY_NAME")</f>
        <v>China</v>
      </c>
      <c r="FT8" t="s">
        <v>374</v>
      </c>
      <c r="FU8">
        <v>4138467</v>
      </c>
      <c r="FV8" t="s">
        <v>362</v>
      </c>
      <c r="FW8" s="11">
        <v>1.61</v>
      </c>
      <c r="FX8" s="9" t="str">
        <f>_xll.SNL.Clients.Office.Excel.Functions.SPG(FU8, "SP_COUNTRY_NAME")</f>
        <v>Norway</v>
      </c>
      <c r="FY8" t="s">
        <v>725</v>
      </c>
      <c r="FZ8">
        <v>111195</v>
      </c>
      <c r="GA8" t="s">
        <v>346</v>
      </c>
      <c r="GB8" s="11">
        <v>5.94</v>
      </c>
      <c r="GC8" s="9" t="str">
        <f>_xll.SNL.Clients.Office.Excel.Functions.SPG(FZ8, "SP_COUNTRY_NAME")</f>
        <v>USA</v>
      </c>
      <c r="GD8" t="s">
        <v>374</v>
      </c>
      <c r="GE8">
        <v>4138467</v>
      </c>
      <c r="GF8" t="s">
        <v>362</v>
      </c>
      <c r="GG8" s="11">
        <v>3.06</v>
      </c>
      <c r="GH8" s="9" t="str">
        <f>_xll.SNL.Clients.Office.Excel.Functions.SPG(GE8, "SP_COUNTRY_NAME")</f>
        <v>Norway</v>
      </c>
      <c r="GI8" t="s">
        <v>379</v>
      </c>
      <c r="GJ8">
        <v>137764443</v>
      </c>
      <c r="GK8" t="s">
        <v>346</v>
      </c>
      <c r="GL8" s="11">
        <v>2.8</v>
      </c>
      <c r="GM8" s="9" t="str">
        <f>_xll.SNL.Clients.Office.Excel.Functions.SPG(GJ8, "SP_COUNTRY_NAME")</f>
        <v>USA</v>
      </c>
      <c r="GN8" t="s">
        <v>2154</v>
      </c>
      <c r="GO8">
        <v>4016429</v>
      </c>
      <c r="GP8" t="s">
        <v>366</v>
      </c>
      <c r="GQ8" s="11">
        <v>2.15</v>
      </c>
      <c r="GR8" s="9" t="str">
        <f>_xll.SNL.Clients.Office.Excel.Functions.SPG(GO8, "SP_COUNTRY_NAME")</f>
        <v>Japan</v>
      </c>
      <c r="GS8" t="s">
        <v>1234</v>
      </c>
      <c r="GT8">
        <v>5880458</v>
      </c>
      <c r="GU8" t="s">
        <v>369</v>
      </c>
      <c r="GV8" s="11">
        <v>0.55000000000000004</v>
      </c>
      <c r="GW8" s="9" t="str">
        <f>_xll.SNL.Clients.Office.Excel.Functions.SPG(GT8, "SP_COUNTRY_NAME")</f>
        <v>China</v>
      </c>
      <c r="GX8" t="s">
        <v>379</v>
      </c>
      <c r="GY8">
        <v>137764443</v>
      </c>
      <c r="GZ8" t="s">
        <v>346</v>
      </c>
      <c r="HA8" s="11">
        <v>2.86</v>
      </c>
      <c r="HB8" s="9" t="str">
        <f>_xll.SNL.Clients.Office.Excel.Functions.SPG(GY8, "SP_COUNTRY_NAME")</f>
        <v>USA</v>
      </c>
      <c r="HC8" t="s">
        <v>2172</v>
      </c>
      <c r="HD8">
        <v>4397834</v>
      </c>
      <c r="HE8" t="s">
        <v>370</v>
      </c>
      <c r="HF8" s="11">
        <v>0.14000000000000001</v>
      </c>
      <c r="HG8" s="9" t="str">
        <f>_xll.SNL.Clients.Office.Excel.Functions.SPG(HD8, "SP_COUNTRY_NAME")</f>
        <v>Argentina</v>
      </c>
    </row>
    <row r="9" spans="1:215" x14ac:dyDescent="0.35">
      <c r="A9" t="s">
        <v>351</v>
      </c>
      <c r="B9">
        <v>111289</v>
      </c>
      <c r="C9" t="s">
        <v>346</v>
      </c>
      <c r="D9" s="11">
        <v>0.65</v>
      </c>
      <c r="E9" s="9" t="str">
        <f>_xll.SNL.Clients.Office.Excel.Functions.SPG(B9, "SP_COUNTRY_NAME")</f>
        <v>USA</v>
      </c>
      <c r="F9" t="s">
        <v>379</v>
      </c>
      <c r="G9">
        <v>137764443</v>
      </c>
      <c r="H9" t="s">
        <v>346</v>
      </c>
      <c r="I9" s="11">
        <v>2.56</v>
      </c>
      <c r="J9" s="9" t="str">
        <f>_xll.SNL.Clients.Office.Excel.Functions.SPG(G9, "SP_COUNTRY_NAME")</f>
        <v>USA</v>
      </c>
      <c r="K9" t="s">
        <v>636</v>
      </c>
      <c r="L9">
        <v>4139271</v>
      </c>
      <c r="M9" t="s">
        <v>346</v>
      </c>
      <c r="N9" s="11">
        <v>0.55000000000000004</v>
      </c>
      <c r="O9" s="9" t="str">
        <f>_xll.SNL.Clients.Office.Excel.Functions.SPG(L9, "SP_COUNTRY_NAME")</f>
        <v>China</v>
      </c>
      <c r="T9" s="9" t="str">
        <f>_xll.SNL.Clients.Office.Excel.Functions.SPG(Q9, "SP_COUNTRY_NAME")</f>
        <v>#INVALID COMPANY ID</v>
      </c>
      <c r="U9" t="s">
        <v>389</v>
      </c>
      <c r="V9">
        <v>109888</v>
      </c>
      <c r="W9" t="s">
        <v>346</v>
      </c>
      <c r="X9" s="11">
        <v>1.1000000000000001</v>
      </c>
      <c r="Y9" s="9" t="str">
        <f>_xll.SNL.Clients.Office.Excel.Functions.SPG(V9, "SP_COUNTRY_NAME")</f>
        <v>USA</v>
      </c>
      <c r="Z9" t="s">
        <v>636</v>
      </c>
      <c r="AA9">
        <v>4139271</v>
      </c>
      <c r="AB9" t="s">
        <v>346</v>
      </c>
      <c r="AC9" s="11">
        <v>0.55000000000000004</v>
      </c>
      <c r="AD9" s="9" t="str">
        <f>_xll.SNL.Clients.Office.Excel.Functions.SPG(AA9, "SP_COUNTRY_NAME")</f>
        <v>China</v>
      </c>
      <c r="AE9" t="s">
        <v>562</v>
      </c>
      <c r="AF9">
        <v>4256114</v>
      </c>
      <c r="AG9" t="s">
        <v>346</v>
      </c>
      <c r="AH9" s="11">
        <v>1.75</v>
      </c>
      <c r="AI9" s="9" t="str">
        <f>_xll.SNL.Clients.Office.Excel.Functions.SPG(AF9, "SP_COUNTRY_NAME")</f>
        <v>South Korea</v>
      </c>
      <c r="AJ9" t="s">
        <v>351</v>
      </c>
      <c r="AK9">
        <v>111289</v>
      </c>
      <c r="AL9" t="s">
        <v>346</v>
      </c>
      <c r="AM9" s="11">
        <v>0.65</v>
      </c>
      <c r="AN9" s="9" t="str">
        <f>_xll.SNL.Clients.Office.Excel.Functions.SPG(AK9, "SP_COUNTRY_NAME")</f>
        <v>USA</v>
      </c>
      <c r="AO9" t="s">
        <v>1188</v>
      </c>
      <c r="AP9">
        <v>4413788</v>
      </c>
      <c r="AQ9" t="s">
        <v>346</v>
      </c>
      <c r="AR9" s="11">
        <v>3.3</v>
      </c>
      <c r="AS9" s="9" t="str">
        <f>_xll.SNL.Clients.Office.Excel.Functions.SPG(AP9, "SP_COUNTRY_NAME")</f>
        <v>USA</v>
      </c>
      <c r="AT9" t="s">
        <v>351</v>
      </c>
      <c r="AU9">
        <v>111289</v>
      </c>
      <c r="AV9" t="s">
        <v>346</v>
      </c>
      <c r="AW9" s="11">
        <v>0.65</v>
      </c>
      <c r="AX9" s="9" t="str">
        <f>_xll.SNL.Clients.Office.Excel.Functions.SPG(AU9, "SP_COUNTRY_NAME")</f>
        <v>USA</v>
      </c>
      <c r="AY9" t="s">
        <v>636</v>
      </c>
      <c r="AZ9">
        <v>4139271</v>
      </c>
      <c r="BA9" t="s">
        <v>346</v>
      </c>
      <c r="BB9" s="11">
        <v>1.1200000000000001</v>
      </c>
      <c r="BC9" s="9" t="str">
        <f>_xll.SNL.Clients.Office.Excel.Functions.SPG(AZ9, "SP_COUNTRY_NAME")</f>
        <v>China</v>
      </c>
      <c r="BD9" t="s">
        <v>379</v>
      </c>
      <c r="BE9">
        <v>137764443</v>
      </c>
      <c r="BF9" t="s">
        <v>346</v>
      </c>
      <c r="BG9" s="11">
        <v>2.77</v>
      </c>
      <c r="BH9" s="9" t="str">
        <f>_xll.SNL.Clients.Office.Excel.Functions.SPG(BE9, "SP_COUNTRY_NAME")</f>
        <v>USA</v>
      </c>
      <c r="BI9" t="s">
        <v>954</v>
      </c>
      <c r="BJ9">
        <v>4026994</v>
      </c>
      <c r="BK9" t="s">
        <v>346</v>
      </c>
      <c r="BL9" s="11">
        <v>2.41</v>
      </c>
      <c r="BM9" s="9" t="str">
        <f>_xll.SNL.Clients.Office.Excel.Functions.SPG(BJ9, "SP_COUNTRY_NAME")</f>
        <v>Sweden</v>
      </c>
      <c r="BN9" t="s">
        <v>596</v>
      </c>
      <c r="BO9">
        <v>4140486</v>
      </c>
      <c r="BP9" t="s">
        <v>346</v>
      </c>
      <c r="BQ9" s="11">
        <v>0.53</v>
      </c>
      <c r="BR9" s="9" t="str">
        <f>_xll.SNL.Clients.Office.Excel.Functions.SPG(BO9, "SP_COUNTRY_NAME")</f>
        <v>China</v>
      </c>
      <c r="BS9" t="s">
        <v>943</v>
      </c>
      <c r="BT9" t="s">
        <v>300</v>
      </c>
      <c r="BU9" t="s">
        <v>361</v>
      </c>
      <c r="BV9" s="11">
        <v>4.29</v>
      </c>
      <c r="BW9" s="9" t="str">
        <f>_xll.SNL.Clients.Office.Excel.Functions.SPG(BT9, "SP_COUNTRY_NAME")</f>
        <v>China</v>
      </c>
      <c r="BX9" t="s">
        <v>389</v>
      </c>
      <c r="BY9">
        <v>109888</v>
      </c>
      <c r="BZ9" t="s">
        <v>346</v>
      </c>
      <c r="CA9" s="11">
        <v>1.1000000000000001</v>
      </c>
      <c r="CB9" s="9" t="str">
        <f>_xll.SNL.Clients.Office.Excel.Functions.SPG(BY9, "SP_COUNTRY_NAME")</f>
        <v>USA</v>
      </c>
      <c r="CC9" t="s">
        <v>433</v>
      </c>
      <c r="CD9">
        <v>3000896</v>
      </c>
      <c r="CE9" t="s">
        <v>346</v>
      </c>
      <c r="CF9" s="11">
        <v>1.38</v>
      </c>
      <c r="CG9" s="9" t="str">
        <f>_xll.SNL.Clients.Office.Excel.Functions.SPG(CD9, "SP_COUNTRY_NAME")</f>
        <v>USA</v>
      </c>
      <c r="CH9" t="s">
        <v>1188</v>
      </c>
      <c r="CI9">
        <v>4413788</v>
      </c>
      <c r="CJ9" t="s">
        <v>346</v>
      </c>
      <c r="CK9" s="11">
        <v>3.3</v>
      </c>
      <c r="CL9" s="9" t="str">
        <f>_xll.SNL.Clients.Office.Excel.Functions.SPG(CI9, "SP_COUNTRY_NAME")</f>
        <v>USA</v>
      </c>
      <c r="CM9" t="s">
        <v>379</v>
      </c>
      <c r="CN9">
        <v>137764443</v>
      </c>
      <c r="CO9" t="s">
        <v>346</v>
      </c>
      <c r="CP9" s="11">
        <v>3.35</v>
      </c>
      <c r="CQ9" s="9" t="str">
        <f>_xll.SNL.Clients.Office.Excel.Functions.SPG(CN9, "SP_COUNTRY_NAME")</f>
        <v>USA</v>
      </c>
      <c r="CR9" t="s">
        <v>697</v>
      </c>
      <c r="CS9">
        <v>4159211</v>
      </c>
      <c r="CT9" t="s">
        <v>346</v>
      </c>
      <c r="CU9" s="11">
        <v>0.12</v>
      </c>
      <c r="CV9" s="9" t="str">
        <f>_xll.SNL.Clients.Office.Excel.Functions.SPG(CS9, "SP_COUNTRY_NAME")</f>
        <v>Canada</v>
      </c>
      <c r="CW9" t="s">
        <v>353</v>
      </c>
      <c r="CX9">
        <v>4048287</v>
      </c>
      <c r="CY9" t="s">
        <v>346</v>
      </c>
      <c r="CZ9" s="11">
        <v>0.42</v>
      </c>
      <c r="DA9" s="9" t="str">
        <f>_xll.SNL.Clients.Office.Excel.Functions.SPG(CX9, "SP_COUNTRY_NAME")</f>
        <v>USA</v>
      </c>
      <c r="DB9" t="s">
        <v>379</v>
      </c>
      <c r="DC9">
        <v>137764443</v>
      </c>
      <c r="DD9" t="s">
        <v>346</v>
      </c>
      <c r="DE9" s="11">
        <v>2.77</v>
      </c>
      <c r="DF9" s="9" t="str">
        <f>_xll.SNL.Clients.Office.Excel.Functions.SPG(DC9, "SP_COUNTRY_NAME")</f>
        <v>USA</v>
      </c>
      <c r="DG9" t="s">
        <v>353</v>
      </c>
      <c r="DH9">
        <v>4048287</v>
      </c>
      <c r="DI9" t="s">
        <v>346</v>
      </c>
      <c r="DJ9" s="11">
        <v>0.42</v>
      </c>
      <c r="DK9" s="9" t="str">
        <f>_xll.SNL.Clients.Office.Excel.Functions.SPG(DH9, "SP_COUNTRY_NAME")</f>
        <v>USA</v>
      </c>
      <c r="DL9" t="s">
        <v>379</v>
      </c>
      <c r="DM9">
        <v>137764443</v>
      </c>
      <c r="DN9" t="s">
        <v>346</v>
      </c>
      <c r="DO9" s="11">
        <v>2.77</v>
      </c>
      <c r="DP9" s="9" t="str">
        <f>_xll.SNL.Clients.Office.Excel.Functions.SPG(DM9, "SP_COUNTRY_NAME")</f>
        <v>USA</v>
      </c>
      <c r="DU9" s="9" t="str">
        <f>_xll.SNL.Clients.Office.Excel.Functions.SPG(DR9, "SP_COUNTRY_NAME")</f>
        <v>#INVALID COMPANY ID</v>
      </c>
      <c r="DV9" t="s">
        <v>388</v>
      </c>
      <c r="DW9">
        <v>4057506</v>
      </c>
      <c r="DX9" t="s">
        <v>346</v>
      </c>
      <c r="DY9" s="11">
        <v>0.11</v>
      </c>
      <c r="DZ9" s="9" t="str">
        <f>_xll.SNL.Clients.Office.Excel.Functions.SPG(DW9, "SP_COUNTRY_NAME")</f>
        <v>USA</v>
      </c>
      <c r="EA9" t="s">
        <v>433</v>
      </c>
      <c r="EB9">
        <v>3000896</v>
      </c>
      <c r="EC9" t="s">
        <v>346</v>
      </c>
      <c r="ED9" s="11">
        <v>1.38</v>
      </c>
      <c r="EE9" s="9" t="str">
        <f>_xll.SNL.Clients.Office.Excel.Functions.SPG(EB9, "SP_COUNTRY_NAME")</f>
        <v>USA</v>
      </c>
      <c r="EF9" t="s">
        <v>379</v>
      </c>
      <c r="EG9">
        <v>137764443</v>
      </c>
      <c r="EH9" t="s">
        <v>346</v>
      </c>
      <c r="EI9" s="11">
        <v>2.77</v>
      </c>
      <c r="EJ9" s="9" t="str">
        <f>_xll.SNL.Clients.Office.Excel.Functions.SPG(EG9, "SP_COUNTRY_NAME")</f>
        <v>USA</v>
      </c>
      <c r="EK9" t="s">
        <v>353</v>
      </c>
      <c r="EL9">
        <v>4048287</v>
      </c>
      <c r="EM9" t="s">
        <v>346</v>
      </c>
      <c r="EN9" s="11">
        <v>0.42</v>
      </c>
      <c r="EO9" s="9" t="str">
        <f>_xll.SNL.Clients.Office.Excel.Functions.SPG(EL9, "SP_COUNTRY_NAME")</f>
        <v>USA</v>
      </c>
      <c r="EP9" t="s">
        <v>639</v>
      </c>
      <c r="EQ9">
        <v>4139311</v>
      </c>
      <c r="ER9" t="s">
        <v>346</v>
      </c>
      <c r="ES9" s="11">
        <v>0.65</v>
      </c>
      <c r="ET9" s="9" t="str">
        <f>_xll.SNL.Clients.Office.Excel.Functions.SPG(EQ9, "SP_COUNTRY_NAME")</f>
        <v>China</v>
      </c>
      <c r="EU9" t="s">
        <v>2142</v>
      </c>
      <c r="EV9" t="s">
        <v>300</v>
      </c>
      <c r="EW9" t="s">
        <v>361</v>
      </c>
      <c r="EX9" s="11">
        <v>0.02</v>
      </c>
      <c r="EY9" s="9" t="str">
        <f>_xll.SNL.Clients.Office.Excel.Functions.SPG(EV9, "SP_COUNTRY_NAME")</f>
        <v>China</v>
      </c>
      <c r="EZ9" t="s">
        <v>351</v>
      </c>
      <c r="FA9">
        <v>111289</v>
      </c>
      <c r="FB9" t="s">
        <v>346</v>
      </c>
      <c r="FC9" s="11">
        <v>0.36</v>
      </c>
      <c r="FD9" s="9" t="str">
        <f>_xll.SNL.Clients.Office.Excel.Functions.SPG(FA9, "SP_COUNTRY_NAME")</f>
        <v>USA</v>
      </c>
      <c r="FE9" t="s">
        <v>2147</v>
      </c>
      <c r="FF9">
        <v>4221897</v>
      </c>
      <c r="FG9" t="s">
        <v>364</v>
      </c>
      <c r="FH9" s="11">
        <v>2.39</v>
      </c>
      <c r="FI9" s="9" t="str">
        <f>_xll.SNL.Clients.Office.Excel.Functions.SPG(FF9, "SP_COUNTRY_NAME")</f>
        <v>Singapore</v>
      </c>
      <c r="FJ9" t="s">
        <v>425</v>
      </c>
      <c r="FK9">
        <v>4137704</v>
      </c>
      <c r="FL9" t="s">
        <v>346</v>
      </c>
      <c r="FM9" s="11">
        <v>1.92</v>
      </c>
      <c r="FN9" s="9" t="str">
        <f>_xll.SNL.Clients.Office.Excel.Functions.SPG(FK9, "SP_COUNTRY_NAME")</f>
        <v>Japan</v>
      </c>
      <c r="FO9" t="s">
        <v>353</v>
      </c>
      <c r="FP9">
        <v>4048287</v>
      </c>
      <c r="FQ9" t="s">
        <v>346</v>
      </c>
      <c r="FR9" s="11">
        <v>0.42</v>
      </c>
      <c r="FS9" s="9" t="str">
        <f>_xll.SNL.Clients.Office.Excel.Functions.SPG(FP9, "SP_COUNTRY_NAME")</f>
        <v>USA</v>
      </c>
      <c r="FT9" t="s">
        <v>375</v>
      </c>
      <c r="FU9">
        <v>4263612</v>
      </c>
      <c r="FV9" t="s">
        <v>705</v>
      </c>
      <c r="FW9" s="11">
        <v>1.6</v>
      </c>
      <c r="FX9" s="9" t="str">
        <f>_xll.SNL.Clients.Office.Excel.Functions.SPG(FU9, "SP_COUNTRY_NAME")</f>
        <v>Norway</v>
      </c>
      <c r="FY9" t="s">
        <v>379</v>
      </c>
      <c r="FZ9">
        <v>137764443</v>
      </c>
      <c r="GA9" t="s">
        <v>346</v>
      </c>
      <c r="GB9" s="11">
        <v>2.77</v>
      </c>
      <c r="GC9" s="9" t="str">
        <f>_xll.SNL.Clients.Office.Excel.Functions.SPG(FZ9, "SP_COUNTRY_NAME")</f>
        <v>USA</v>
      </c>
      <c r="GD9" t="s">
        <v>351</v>
      </c>
      <c r="GE9">
        <v>111289</v>
      </c>
      <c r="GF9" t="s">
        <v>346</v>
      </c>
      <c r="GG9" s="11">
        <v>0.36</v>
      </c>
      <c r="GH9" s="9" t="str">
        <f>_xll.SNL.Clients.Office.Excel.Functions.SPG(GE9, "SP_COUNTRY_NAME")</f>
        <v>USA</v>
      </c>
      <c r="GI9" t="s">
        <v>2147</v>
      </c>
      <c r="GJ9">
        <v>4221897</v>
      </c>
      <c r="GK9" t="s">
        <v>364</v>
      </c>
      <c r="GL9" s="11">
        <v>2.39</v>
      </c>
      <c r="GM9" s="9" t="str">
        <f>_xll.SNL.Clients.Office.Excel.Functions.SPG(GJ9, "SP_COUNTRY_NAME")</f>
        <v>Singapore</v>
      </c>
      <c r="GN9" t="s">
        <v>425</v>
      </c>
      <c r="GO9">
        <v>4137704</v>
      </c>
      <c r="GP9" t="s">
        <v>346</v>
      </c>
      <c r="GQ9" s="11">
        <v>1.92</v>
      </c>
      <c r="GR9" s="9" t="str">
        <f>_xll.SNL.Clients.Office.Excel.Functions.SPG(GO9, "SP_COUNTRY_NAME")</f>
        <v>Japan</v>
      </c>
      <c r="GS9" t="s">
        <v>596</v>
      </c>
      <c r="GT9">
        <v>4140486</v>
      </c>
      <c r="GU9" t="s">
        <v>346</v>
      </c>
      <c r="GV9" s="11">
        <v>0.53</v>
      </c>
      <c r="GW9" s="9" t="str">
        <f>_xll.SNL.Clients.Office.Excel.Functions.SPG(GT9, "SP_COUNTRY_NAME")</f>
        <v>China</v>
      </c>
      <c r="GX9" t="s">
        <v>433</v>
      </c>
      <c r="GY9">
        <v>3000896</v>
      </c>
      <c r="GZ9" t="s">
        <v>346</v>
      </c>
      <c r="HA9" s="11">
        <v>1.38</v>
      </c>
      <c r="HB9" s="9" t="str">
        <f>_xll.SNL.Clients.Office.Excel.Functions.SPG(GY9, "SP_COUNTRY_NAME")</f>
        <v>USA</v>
      </c>
      <c r="HC9" t="s">
        <v>2173</v>
      </c>
      <c r="HD9">
        <v>4414363</v>
      </c>
      <c r="HE9" t="s">
        <v>370</v>
      </c>
      <c r="HF9" s="11">
        <v>0.11</v>
      </c>
      <c r="HG9" s="9" t="str">
        <f>_xll.SNL.Clients.Office.Excel.Functions.SPG(HD9, "SP_COUNTRY_NAME")</f>
        <v>Australia</v>
      </c>
    </row>
    <row r="10" spans="1:215" x14ac:dyDescent="0.35">
      <c r="A10" t="s">
        <v>352</v>
      </c>
      <c r="B10">
        <v>4143440</v>
      </c>
      <c r="C10" t="s">
        <v>346</v>
      </c>
      <c r="D10" s="11">
        <v>0.4</v>
      </c>
      <c r="E10" s="9" t="str">
        <f>_xll.SNL.Clients.Office.Excel.Functions.SPG(B10, "SP_COUNTRY_NAME")</f>
        <v>USA</v>
      </c>
      <c r="F10" t="s">
        <v>398</v>
      </c>
      <c r="G10">
        <v>4107954</v>
      </c>
      <c r="H10" t="s">
        <v>300</v>
      </c>
      <c r="I10" s="11">
        <v>2.15</v>
      </c>
      <c r="J10" s="9" t="str">
        <f>_xll.SNL.Clients.Office.Excel.Functions.SPG(G10, "SP_COUNTRY_NAME")</f>
        <v>Japan</v>
      </c>
      <c r="K10" t="s">
        <v>355</v>
      </c>
      <c r="L10">
        <v>111074</v>
      </c>
      <c r="M10" t="s">
        <v>346</v>
      </c>
      <c r="N10" s="11">
        <v>0.38</v>
      </c>
      <c r="O10" s="9" t="str">
        <f>_xll.SNL.Clients.Office.Excel.Functions.SPG(L10, "SP_COUNTRY_NAME")</f>
        <v>USA</v>
      </c>
      <c r="T10" s="9" t="str">
        <f>_xll.SNL.Clients.Office.Excel.Functions.SPG(Q10, "SP_COUNTRY_NAME")</f>
        <v>#INVALID COMPANY ID</v>
      </c>
      <c r="U10" t="s">
        <v>432</v>
      </c>
      <c r="V10">
        <v>110092</v>
      </c>
      <c r="W10" t="s">
        <v>346</v>
      </c>
      <c r="X10" s="11">
        <v>1.03</v>
      </c>
      <c r="Y10" s="9" t="str">
        <f>_xll.SNL.Clients.Office.Excel.Functions.SPG(V10, "SP_COUNTRY_NAME")</f>
        <v>USA</v>
      </c>
      <c r="Z10" t="s">
        <v>355</v>
      </c>
      <c r="AA10">
        <v>111074</v>
      </c>
      <c r="AB10" t="s">
        <v>346</v>
      </c>
      <c r="AC10" s="11">
        <v>0.38</v>
      </c>
      <c r="AD10" s="9" t="str">
        <f>_xll.SNL.Clients.Office.Excel.Functions.SPG(AA10, "SP_COUNTRY_NAME")</f>
        <v>USA</v>
      </c>
      <c r="AE10" t="s">
        <v>954</v>
      </c>
      <c r="AF10">
        <v>4026994</v>
      </c>
      <c r="AG10" t="s">
        <v>346</v>
      </c>
      <c r="AH10" s="11">
        <v>1.47</v>
      </c>
      <c r="AI10" s="9" t="str">
        <f>_xll.SNL.Clients.Office.Excel.Functions.SPG(AF10, "SP_COUNTRY_NAME")</f>
        <v>Sweden</v>
      </c>
      <c r="AJ10" t="s">
        <v>352</v>
      </c>
      <c r="AK10">
        <v>4143440</v>
      </c>
      <c r="AL10" t="s">
        <v>346</v>
      </c>
      <c r="AM10" s="11">
        <v>0.4</v>
      </c>
      <c r="AN10" s="9" t="str">
        <f>_xll.SNL.Clients.Office.Excel.Functions.SPG(AK10, "SP_COUNTRY_NAME")</f>
        <v>USA</v>
      </c>
      <c r="AO10" t="s">
        <v>353</v>
      </c>
      <c r="AP10">
        <v>4048287</v>
      </c>
      <c r="AQ10" t="s">
        <v>346</v>
      </c>
      <c r="AR10" s="11">
        <v>3.19</v>
      </c>
      <c r="AS10" s="9" t="str">
        <f>_xll.SNL.Clients.Office.Excel.Functions.SPG(AP10, "SP_COUNTRY_NAME")</f>
        <v>USA</v>
      </c>
      <c r="AT10" t="s">
        <v>352</v>
      </c>
      <c r="AU10">
        <v>4143440</v>
      </c>
      <c r="AV10" t="s">
        <v>346</v>
      </c>
      <c r="AW10" s="11">
        <v>0.4</v>
      </c>
      <c r="AX10" s="9" t="str">
        <f>_xll.SNL.Clients.Office.Excel.Functions.SPG(AU10, "SP_COUNTRY_NAME")</f>
        <v>USA</v>
      </c>
      <c r="AY10" t="s">
        <v>1225</v>
      </c>
      <c r="AZ10">
        <v>11974373</v>
      </c>
      <c r="BA10" t="s">
        <v>370</v>
      </c>
      <c r="BB10" s="11">
        <v>0.97</v>
      </c>
      <c r="BC10" s="9" t="str">
        <f>_xll.SNL.Clients.Office.Excel.Functions.SPG(AZ10, "SP_COUNTRY_NAME")</f>
        <v>China</v>
      </c>
      <c r="BD10" t="s">
        <v>1389</v>
      </c>
      <c r="BE10" t="s">
        <v>300</v>
      </c>
      <c r="BF10" t="s">
        <v>361</v>
      </c>
      <c r="BG10" s="11">
        <v>2.4</v>
      </c>
      <c r="BH10" s="9" t="str">
        <f>_xll.SNL.Clients.Office.Excel.Functions.SPG(BE10, "SP_COUNTRY_NAME")</f>
        <v>China</v>
      </c>
      <c r="BI10" t="s">
        <v>1034</v>
      </c>
      <c r="BJ10">
        <v>4256960</v>
      </c>
      <c r="BK10" t="s">
        <v>346</v>
      </c>
      <c r="BL10" s="11">
        <v>1.9</v>
      </c>
      <c r="BM10" s="9" t="str">
        <f>_xll.SNL.Clients.Office.Excel.Functions.SPG(BJ10, "SP_COUNTRY_NAME")</f>
        <v>Latvia</v>
      </c>
      <c r="BN10" t="s">
        <v>640</v>
      </c>
      <c r="BO10">
        <v>9020942</v>
      </c>
      <c r="BP10" t="s">
        <v>346</v>
      </c>
      <c r="BQ10" s="11">
        <v>0.46</v>
      </c>
      <c r="BR10" s="9" t="str">
        <f>_xll.SNL.Clients.Office.Excel.Functions.SPG(BO10, "SP_COUNTRY_NAME")</f>
        <v>China</v>
      </c>
      <c r="BS10" t="s">
        <v>551</v>
      </c>
      <c r="BT10">
        <v>4137681</v>
      </c>
      <c r="BU10" t="s">
        <v>346</v>
      </c>
      <c r="BV10" s="11">
        <v>1.74</v>
      </c>
      <c r="BW10" s="9" t="str">
        <f>_xll.SNL.Clients.Office.Excel.Functions.SPG(BT10, "SP_COUNTRY_NAME")</f>
        <v>China</v>
      </c>
      <c r="BX10" t="s">
        <v>432</v>
      </c>
      <c r="BY10">
        <v>110092</v>
      </c>
      <c r="BZ10" t="s">
        <v>346</v>
      </c>
      <c r="CA10" s="11">
        <v>1.03</v>
      </c>
      <c r="CB10" s="9" t="str">
        <f>_xll.SNL.Clients.Office.Excel.Functions.SPG(BY10, "SP_COUNTRY_NAME")</f>
        <v>USA</v>
      </c>
      <c r="CC10" t="s">
        <v>859</v>
      </c>
      <c r="CD10">
        <v>4049161</v>
      </c>
      <c r="CE10" t="s">
        <v>346</v>
      </c>
      <c r="CF10" s="11">
        <v>1.1299999999999999</v>
      </c>
      <c r="CG10" s="9" t="str">
        <f>_xll.SNL.Clients.Office.Excel.Functions.SPG(CD10, "SP_COUNTRY_NAME")</f>
        <v>USA</v>
      </c>
      <c r="CH10" t="s">
        <v>353</v>
      </c>
      <c r="CI10">
        <v>4048287</v>
      </c>
      <c r="CJ10" t="s">
        <v>346</v>
      </c>
      <c r="CK10" s="11">
        <v>3.19</v>
      </c>
      <c r="CL10" s="9" t="str">
        <f>_xll.SNL.Clients.Office.Excel.Functions.SPG(CI10, "SP_COUNTRY_NAME")</f>
        <v>USA</v>
      </c>
      <c r="CM10" t="s">
        <v>351</v>
      </c>
      <c r="CN10">
        <v>111289</v>
      </c>
      <c r="CO10" t="s">
        <v>346</v>
      </c>
      <c r="CP10" s="11">
        <v>2.19</v>
      </c>
      <c r="CQ10" s="9" t="str">
        <f>_xll.SNL.Clients.Office.Excel.Functions.SPG(CN10, "SP_COUNTRY_NAME")</f>
        <v>USA</v>
      </c>
      <c r="CR10" t="s">
        <v>405</v>
      </c>
      <c r="CS10">
        <v>4035990</v>
      </c>
      <c r="CT10" t="s">
        <v>346</v>
      </c>
      <c r="CU10" s="11">
        <v>7.0000000000000007E-2</v>
      </c>
      <c r="CV10" s="9" t="str">
        <f>_xll.SNL.Clients.Office.Excel.Functions.SPG(CS10, "SP_COUNTRY_NAME")</f>
        <v>Canada</v>
      </c>
      <c r="CW10" t="s">
        <v>351</v>
      </c>
      <c r="CX10">
        <v>111289</v>
      </c>
      <c r="CY10" t="s">
        <v>346</v>
      </c>
      <c r="CZ10" s="11">
        <v>0.32</v>
      </c>
      <c r="DA10" s="9" t="str">
        <f>_xll.SNL.Clients.Office.Excel.Functions.SPG(CX10, "SP_COUNTRY_NAME")</f>
        <v>USA</v>
      </c>
      <c r="DB10" t="s">
        <v>1389</v>
      </c>
      <c r="DC10" t="s">
        <v>300</v>
      </c>
      <c r="DD10" t="s">
        <v>361</v>
      </c>
      <c r="DE10" s="11">
        <v>2.4</v>
      </c>
      <c r="DF10" s="9" t="str">
        <f>_xll.SNL.Clients.Office.Excel.Functions.SPG(DC10, "SP_COUNTRY_NAME")</f>
        <v>China</v>
      </c>
      <c r="DG10" t="s">
        <v>351</v>
      </c>
      <c r="DH10">
        <v>111289</v>
      </c>
      <c r="DI10" t="s">
        <v>346</v>
      </c>
      <c r="DJ10" s="11">
        <v>0.32</v>
      </c>
      <c r="DK10" s="9" t="str">
        <f>_xll.SNL.Clients.Office.Excel.Functions.SPG(DH10, "SP_COUNTRY_NAME")</f>
        <v>USA</v>
      </c>
      <c r="DL10" t="s">
        <v>1389</v>
      </c>
      <c r="DM10" t="s">
        <v>300</v>
      </c>
      <c r="DN10" t="s">
        <v>361</v>
      </c>
      <c r="DO10" s="11">
        <v>2.4</v>
      </c>
      <c r="DP10" s="9" t="str">
        <f>_xll.SNL.Clients.Office.Excel.Functions.SPG(DM10, "SP_COUNTRY_NAME")</f>
        <v>China</v>
      </c>
      <c r="DU10" s="9" t="str">
        <f>_xll.SNL.Clients.Office.Excel.Functions.SPG(DR10, "SP_COUNTRY_NAME")</f>
        <v>#INVALID COMPANY ID</v>
      </c>
      <c r="DV10" t="s">
        <v>1191</v>
      </c>
      <c r="DW10">
        <v>4581416</v>
      </c>
      <c r="DX10" t="s">
        <v>346</v>
      </c>
      <c r="DY10" s="11">
        <v>0.1</v>
      </c>
      <c r="DZ10" s="9" t="str">
        <f>_xll.SNL.Clients.Office.Excel.Functions.SPG(DW10, "SP_COUNTRY_NAME")</f>
        <v>Russia</v>
      </c>
      <c r="EA10" t="s">
        <v>859</v>
      </c>
      <c r="EB10">
        <v>4049161</v>
      </c>
      <c r="EC10" t="s">
        <v>346</v>
      </c>
      <c r="ED10" s="11">
        <v>1.1299999999999999</v>
      </c>
      <c r="EE10" s="9" t="str">
        <f>_xll.SNL.Clients.Office.Excel.Functions.SPG(EB10, "SP_COUNTRY_NAME")</f>
        <v>USA</v>
      </c>
      <c r="EF10" t="s">
        <v>1389</v>
      </c>
      <c r="EG10" t="s">
        <v>300</v>
      </c>
      <c r="EH10" t="s">
        <v>361</v>
      </c>
      <c r="EI10" s="11">
        <v>2.4</v>
      </c>
      <c r="EJ10" s="9" t="str">
        <f>_xll.SNL.Clients.Office.Excel.Functions.SPG(EG10, "SP_COUNTRY_NAME")</f>
        <v>China</v>
      </c>
      <c r="EK10" t="s">
        <v>351</v>
      </c>
      <c r="EL10">
        <v>111289</v>
      </c>
      <c r="EM10" t="s">
        <v>346</v>
      </c>
      <c r="EN10" s="11">
        <v>0.32</v>
      </c>
      <c r="EO10" s="9" t="str">
        <f>_xll.SNL.Clients.Office.Excel.Functions.SPG(EL10, "SP_COUNTRY_NAME")</f>
        <v>USA</v>
      </c>
      <c r="EP10" t="s">
        <v>646</v>
      </c>
      <c r="EQ10">
        <v>4435100</v>
      </c>
      <c r="ER10" t="s">
        <v>346</v>
      </c>
      <c r="ES10" s="11">
        <v>0.62</v>
      </c>
      <c r="ET10" s="9" t="str">
        <f>_xll.SNL.Clients.Office.Excel.Functions.SPG(EQ10, "SP_COUNTRY_NAME")</f>
        <v>China</v>
      </c>
      <c r="EU10" t="s">
        <v>2143</v>
      </c>
      <c r="EV10" t="s">
        <v>300</v>
      </c>
      <c r="EW10" t="s">
        <v>361</v>
      </c>
      <c r="EX10" s="11">
        <v>0.02</v>
      </c>
      <c r="EY10" s="9" t="str">
        <f>_xll.SNL.Clients.Office.Excel.Functions.SPG(EV10, "SP_COUNTRY_NAME")</f>
        <v>China</v>
      </c>
      <c r="EZ10" t="s">
        <v>352</v>
      </c>
      <c r="FA10">
        <v>4143440</v>
      </c>
      <c r="FB10" t="s">
        <v>346</v>
      </c>
      <c r="FC10" s="11">
        <v>0.3</v>
      </c>
      <c r="FD10" s="9" t="str">
        <f>_xll.SNL.Clients.Office.Excel.Functions.SPG(FA10, "SP_COUNTRY_NAME")</f>
        <v>USA</v>
      </c>
      <c r="FE10" t="s">
        <v>398</v>
      </c>
      <c r="FF10">
        <v>4107954</v>
      </c>
      <c r="FG10" t="s">
        <v>300</v>
      </c>
      <c r="FH10" s="11">
        <v>1.48</v>
      </c>
      <c r="FI10" s="9" t="str">
        <f>_xll.SNL.Clients.Office.Excel.Functions.SPG(FF10, "SP_COUNTRY_NAME")</f>
        <v>Japan</v>
      </c>
      <c r="FJ10" t="s">
        <v>398</v>
      </c>
      <c r="FK10">
        <v>4107954</v>
      </c>
      <c r="FL10" t="s">
        <v>300</v>
      </c>
      <c r="FM10" s="11">
        <v>1.91</v>
      </c>
      <c r="FN10" s="9" t="str">
        <f>_xll.SNL.Clients.Office.Excel.Functions.SPG(FK10, "SP_COUNTRY_NAME")</f>
        <v>Japan</v>
      </c>
      <c r="FO10" t="s">
        <v>351</v>
      </c>
      <c r="FP10">
        <v>111289</v>
      </c>
      <c r="FQ10" t="s">
        <v>346</v>
      </c>
      <c r="FR10" s="11">
        <v>0.32</v>
      </c>
      <c r="FS10" s="9" t="str">
        <f>_xll.SNL.Clients.Office.Excel.Functions.SPG(FP10, "SP_COUNTRY_NAME")</f>
        <v>USA</v>
      </c>
      <c r="FT10" t="s">
        <v>376</v>
      </c>
      <c r="FU10">
        <v>4030986</v>
      </c>
      <c r="FV10" t="s">
        <v>346</v>
      </c>
      <c r="FW10" s="11">
        <v>1.19</v>
      </c>
      <c r="FX10" s="9" t="str">
        <f>_xll.SNL.Clients.Office.Excel.Functions.SPG(FU10, "SP_COUNTRY_NAME")</f>
        <v>USA</v>
      </c>
      <c r="FY10" t="s">
        <v>1389</v>
      </c>
      <c r="FZ10" t="s">
        <v>300</v>
      </c>
      <c r="GA10" t="s">
        <v>361</v>
      </c>
      <c r="GB10" s="11">
        <v>2.4</v>
      </c>
      <c r="GC10" s="9" t="str">
        <f>_xll.SNL.Clients.Office.Excel.Functions.SPG(FZ10, "SP_COUNTRY_NAME")</f>
        <v>China</v>
      </c>
      <c r="GD10" t="s">
        <v>352</v>
      </c>
      <c r="GE10">
        <v>4143440</v>
      </c>
      <c r="GF10" t="s">
        <v>346</v>
      </c>
      <c r="GG10" s="11">
        <v>0.3</v>
      </c>
      <c r="GH10" s="9" t="str">
        <f>_xll.SNL.Clients.Office.Excel.Functions.SPG(GE10, "SP_COUNTRY_NAME")</f>
        <v>USA</v>
      </c>
      <c r="GI10" t="s">
        <v>398</v>
      </c>
      <c r="GJ10">
        <v>4107954</v>
      </c>
      <c r="GK10" t="s">
        <v>300</v>
      </c>
      <c r="GL10" s="11">
        <v>1.48</v>
      </c>
      <c r="GM10" s="9" t="str">
        <f>_xll.SNL.Clients.Office.Excel.Functions.SPG(GJ10, "SP_COUNTRY_NAME")</f>
        <v>Japan</v>
      </c>
      <c r="GN10" t="s">
        <v>398</v>
      </c>
      <c r="GO10">
        <v>4107954</v>
      </c>
      <c r="GP10" t="s">
        <v>300</v>
      </c>
      <c r="GQ10" s="11">
        <v>1.91</v>
      </c>
      <c r="GR10" s="9" t="str">
        <f>_xll.SNL.Clients.Office.Excel.Functions.SPG(GO10, "SP_COUNTRY_NAME")</f>
        <v>Japan</v>
      </c>
      <c r="GS10" t="s">
        <v>640</v>
      </c>
      <c r="GT10">
        <v>9020942</v>
      </c>
      <c r="GU10" t="s">
        <v>346</v>
      </c>
      <c r="GV10" s="11">
        <v>0.46</v>
      </c>
      <c r="GW10" s="9" t="str">
        <f>_xll.SNL.Clients.Office.Excel.Functions.SPG(GT10, "SP_COUNTRY_NAME")</f>
        <v>China</v>
      </c>
      <c r="GX10" t="s">
        <v>859</v>
      </c>
      <c r="GY10">
        <v>4049161</v>
      </c>
      <c r="GZ10" t="s">
        <v>346</v>
      </c>
      <c r="HA10" s="11">
        <v>1.1299999999999999</v>
      </c>
      <c r="HB10" s="9" t="str">
        <f>_xll.SNL.Clients.Office.Excel.Functions.SPG(GY10, "SP_COUNTRY_NAME")</f>
        <v>USA</v>
      </c>
      <c r="HC10" t="s">
        <v>2174</v>
      </c>
      <c r="HD10" t="s">
        <v>300</v>
      </c>
      <c r="HE10" t="s">
        <v>361</v>
      </c>
      <c r="HF10" s="11">
        <v>0.06</v>
      </c>
      <c r="HG10" s="9" t="str">
        <f>_xll.SNL.Clients.Office.Excel.Functions.SPG(HD10, "SP_COUNTRY_NAME")</f>
        <v>China</v>
      </c>
    </row>
    <row r="11" spans="1:215" x14ac:dyDescent="0.35">
      <c r="A11" t="s">
        <v>353</v>
      </c>
      <c r="B11">
        <v>4048287</v>
      </c>
      <c r="C11" t="s">
        <v>346</v>
      </c>
      <c r="D11" s="11">
        <v>0.13</v>
      </c>
      <c r="E11" s="9" t="str">
        <f>_xll.SNL.Clients.Office.Excel.Functions.SPG(B11, "SP_COUNTRY_NAME")</f>
        <v>USA</v>
      </c>
      <c r="F11" t="s">
        <v>425</v>
      </c>
      <c r="G11">
        <v>4137704</v>
      </c>
      <c r="H11" t="s">
        <v>346</v>
      </c>
      <c r="I11" s="11">
        <v>2.0099999999999998</v>
      </c>
      <c r="J11" s="9" t="str">
        <f>_xll.SNL.Clients.Office.Excel.Functions.SPG(G11, "SP_COUNTRY_NAME")</f>
        <v>Japan</v>
      </c>
      <c r="K11" t="s">
        <v>637</v>
      </c>
      <c r="L11">
        <v>4138661</v>
      </c>
      <c r="M11" t="s">
        <v>346</v>
      </c>
      <c r="N11" s="11">
        <v>0.34</v>
      </c>
      <c r="O11" s="9" t="str">
        <f>_xll.SNL.Clients.Office.Excel.Functions.SPG(L11, "SP_COUNTRY_NAME")</f>
        <v>China</v>
      </c>
      <c r="T11" s="9" t="str">
        <f>_xll.SNL.Clients.Office.Excel.Functions.SPG(Q11, "SP_COUNTRY_NAME")</f>
        <v>#INVALID COMPANY ID</v>
      </c>
      <c r="U11" t="s">
        <v>709</v>
      </c>
      <c r="V11">
        <v>4843554</v>
      </c>
      <c r="W11" t="s">
        <v>370</v>
      </c>
      <c r="X11" s="11">
        <v>0.96</v>
      </c>
      <c r="Y11" s="9" t="str">
        <f>_xll.SNL.Clients.Office.Excel.Functions.SPG(V11, "SP_COUNTRY_NAME")</f>
        <v>China</v>
      </c>
      <c r="Z11" t="s">
        <v>637</v>
      </c>
      <c r="AA11">
        <v>4138661</v>
      </c>
      <c r="AB11" t="s">
        <v>346</v>
      </c>
      <c r="AC11" s="11">
        <v>0.34</v>
      </c>
      <c r="AD11" s="9" t="str">
        <f>_xll.SNL.Clients.Office.Excel.Functions.SPG(AA11, "SP_COUNTRY_NAME")</f>
        <v>China</v>
      </c>
      <c r="AE11" t="s">
        <v>351</v>
      </c>
      <c r="AF11">
        <v>111289</v>
      </c>
      <c r="AG11" t="s">
        <v>346</v>
      </c>
      <c r="AH11" s="11">
        <v>1.24</v>
      </c>
      <c r="AI11" s="9" t="str">
        <f>_xll.SNL.Clients.Office.Excel.Functions.SPG(AF11, "SP_COUNTRY_NAME")</f>
        <v>USA</v>
      </c>
      <c r="AJ11" t="s">
        <v>353</v>
      </c>
      <c r="AK11">
        <v>4048287</v>
      </c>
      <c r="AL11" t="s">
        <v>346</v>
      </c>
      <c r="AM11" s="11">
        <v>0.13</v>
      </c>
      <c r="AN11" s="9" t="str">
        <f>_xll.SNL.Clients.Office.Excel.Functions.SPG(AK11, "SP_COUNTRY_NAME")</f>
        <v>USA</v>
      </c>
      <c r="AO11" t="s">
        <v>374</v>
      </c>
      <c r="AP11">
        <v>4138467</v>
      </c>
      <c r="AQ11" t="s">
        <v>362</v>
      </c>
      <c r="AR11" s="11">
        <v>2.76</v>
      </c>
      <c r="AS11" s="9" t="str">
        <f>_xll.SNL.Clients.Office.Excel.Functions.SPG(AP11, "SP_COUNTRY_NAME")</f>
        <v>Norway</v>
      </c>
      <c r="AT11" t="s">
        <v>353</v>
      </c>
      <c r="AU11">
        <v>4048287</v>
      </c>
      <c r="AV11" t="s">
        <v>346</v>
      </c>
      <c r="AW11" s="11">
        <v>0.13</v>
      </c>
      <c r="AX11" s="9" t="str">
        <f>_xll.SNL.Clients.Office.Excel.Functions.SPG(AU11, "SP_COUNTRY_NAME")</f>
        <v>USA</v>
      </c>
      <c r="AY11" t="s">
        <v>1226</v>
      </c>
      <c r="AZ11">
        <v>4538015</v>
      </c>
      <c r="BA11" t="s">
        <v>346</v>
      </c>
      <c r="BB11" s="11">
        <v>0.82</v>
      </c>
      <c r="BC11" s="9" t="str">
        <f>_xll.SNL.Clients.Office.Excel.Functions.SPG(AZ11, "SP_COUNTRY_NAME")</f>
        <v>China</v>
      </c>
      <c r="BD11" t="s">
        <v>483</v>
      </c>
      <c r="BE11">
        <v>109763</v>
      </c>
      <c r="BF11" t="s">
        <v>346</v>
      </c>
      <c r="BG11" s="11">
        <v>2.19</v>
      </c>
      <c r="BH11" s="9" t="str">
        <f>_xll.SNL.Clients.Office.Excel.Functions.SPG(BE11, "SP_COUNTRY_NAME")</f>
        <v>USA</v>
      </c>
      <c r="BI11" t="s">
        <v>562</v>
      </c>
      <c r="BJ11">
        <v>4256114</v>
      </c>
      <c r="BK11" t="s">
        <v>346</v>
      </c>
      <c r="BL11" s="11">
        <v>1.8</v>
      </c>
      <c r="BM11" s="9" t="str">
        <f>_xll.SNL.Clients.Office.Excel.Functions.SPG(BJ11, "SP_COUNTRY_NAME")</f>
        <v>South Korea</v>
      </c>
      <c r="BN11" t="s">
        <v>649</v>
      </c>
      <c r="BO11">
        <v>4606392</v>
      </c>
      <c r="BP11" t="s">
        <v>346</v>
      </c>
      <c r="BQ11" s="11">
        <v>0.41</v>
      </c>
      <c r="BR11" s="9" t="str">
        <f>_xll.SNL.Clients.Office.Excel.Functions.SPG(BO11, "SP_COUNTRY_NAME")</f>
        <v>China</v>
      </c>
      <c r="BS11" t="s">
        <v>636</v>
      </c>
      <c r="BT11">
        <v>4139271</v>
      </c>
      <c r="BU11" t="s">
        <v>346</v>
      </c>
      <c r="BV11" s="11">
        <v>1.1599999999999999</v>
      </c>
      <c r="BW11" s="9" t="str">
        <f>_xll.SNL.Clients.Office.Excel.Functions.SPG(BT11, "SP_COUNTRY_NAME")</f>
        <v>China</v>
      </c>
      <c r="BX11" t="s">
        <v>709</v>
      </c>
      <c r="BY11">
        <v>4843554</v>
      </c>
      <c r="BZ11" t="s">
        <v>370</v>
      </c>
      <c r="CA11" s="11">
        <v>0.96</v>
      </c>
      <c r="CB11" s="9" t="str">
        <f>_xll.SNL.Clients.Office.Excel.Functions.SPG(BY11, "SP_COUNTRY_NAME")</f>
        <v>China</v>
      </c>
      <c r="CC11" t="s">
        <v>383</v>
      </c>
      <c r="CD11">
        <v>103042</v>
      </c>
      <c r="CE11" t="s">
        <v>366</v>
      </c>
      <c r="CF11" s="11">
        <v>0.99</v>
      </c>
      <c r="CG11" s="9" t="str">
        <f>_xll.SNL.Clients.Office.Excel.Functions.SPG(CD11, "SP_COUNTRY_NAME")</f>
        <v>USA</v>
      </c>
      <c r="CH11" t="s">
        <v>374</v>
      </c>
      <c r="CI11">
        <v>4138467</v>
      </c>
      <c r="CJ11" t="s">
        <v>362</v>
      </c>
      <c r="CK11" s="11">
        <v>2.76</v>
      </c>
      <c r="CL11" s="9" t="str">
        <f>_xll.SNL.Clients.Office.Excel.Functions.SPG(CI11, "SP_COUNTRY_NAME")</f>
        <v>Norway</v>
      </c>
      <c r="CM11" t="s">
        <v>562</v>
      </c>
      <c r="CN11">
        <v>4256114</v>
      </c>
      <c r="CO11" t="s">
        <v>346</v>
      </c>
      <c r="CP11" s="11">
        <v>2.11</v>
      </c>
      <c r="CQ11" s="9" t="str">
        <f>_xll.SNL.Clients.Office.Excel.Functions.SPG(CN11, "SP_COUNTRY_NAME")</f>
        <v>South Korea</v>
      </c>
      <c r="CR11" t="s">
        <v>698</v>
      </c>
      <c r="CS11" t="s">
        <v>300</v>
      </c>
      <c r="CT11" t="s">
        <v>361</v>
      </c>
      <c r="CU11" s="11">
        <v>0.05</v>
      </c>
      <c r="CV11" s="9" t="str">
        <f>_xll.SNL.Clients.Office.Excel.Functions.SPG(CS11, "SP_COUNTRY_NAME")</f>
        <v>China</v>
      </c>
      <c r="CW11" t="s">
        <v>385</v>
      </c>
      <c r="CX11">
        <v>5752504</v>
      </c>
      <c r="CY11" t="s">
        <v>346</v>
      </c>
      <c r="CZ11" s="11">
        <v>0.31</v>
      </c>
      <c r="DA11" s="9" t="str">
        <f>_xll.SNL.Clients.Office.Excel.Functions.SPG(CX11, "SP_COUNTRY_NAME")</f>
        <v>USA</v>
      </c>
      <c r="DB11" t="s">
        <v>483</v>
      </c>
      <c r="DC11">
        <v>109763</v>
      </c>
      <c r="DD11" t="s">
        <v>346</v>
      </c>
      <c r="DE11" s="11">
        <v>2.19</v>
      </c>
      <c r="DF11" s="9" t="str">
        <f>_xll.SNL.Clients.Office.Excel.Functions.SPG(DC11, "SP_COUNTRY_NAME")</f>
        <v>USA</v>
      </c>
      <c r="DG11" t="s">
        <v>385</v>
      </c>
      <c r="DH11">
        <v>5752504</v>
      </c>
      <c r="DI11" t="s">
        <v>346</v>
      </c>
      <c r="DJ11" s="11">
        <v>0.31</v>
      </c>
      <c r="DK11" s="9" t="str">
        <f>_xll.SNL.Clients.Office.Excel.Functions.SPG(DH11, "SP_COUNTRY_NAME")</f>
        <v>USA</v>
      </c>
      <c r="DL11" t="s">
        <v>483</v>
      </c>
      <c r="DM11">
        <v>109763</v>
      </c>
      <c r="DN11" t="s">
        <v>346</v>
      </c>
      <c r="DO11" s="11">
        <v>2.19</v>
      </c>
      <c r="DP11" s="9" t="str">
        <f>_xll.SNL.Clients.Office.Excel.Functions.SPG(DM11, "SP_COUNTRY_NAME")</f>
        <v>USA</v>
      </c>
      <c r="DU11" s="9" t="str">
        <f>_xll.SNL.Clients.Office.Excel.Functions.SPG(DR11, "SP_COUNTRY_NAME")</f>
        <v>#INVALID COMPANY ID</v>
      </c>
      <c r="DV11" t="s">
        <v>752</v>
      </c>
      <c r="DW11">
        <v>111272</v>
      </c>
      <c r="DX11" t="s">
        <v>346</v>
      </c>
      <c r="DY11" s="11">
        <v>0.1</v>
      </c>
      <c r="DZ11" s="9" t="str">
        <f>_xll.SNL.Clients.Office.Excel.Functions.SPG(DW11, "SP_COUNTRY_NAME")</f>
        <v>United Kingdom</v>
      </c>
      <c r="EA11" t="s">
        <v>383</v>
      </c>
      <c r="EB11">
        <v>103042</v>
      </c>
      <c r="EC11" t="s">
        <v>366</v>
      </c>
      <c r="ED11" s="11">
        <v>0.99</v>
      </c>
      <c r="EE11" s="9" t="str">
        <f>_xll.SNL.Clients.Office.Excel.Functions.SPG(EB11, "SP_COUNTRY_NAME")</f>
        <v>USA</v>
      </c>
      <c r="EF11" t="s">
        <v>483</v>
      </c>
      <c r="EG11">
        <v>109763</v>
      </c>
      <c r="EH11" t="s">
        <v>346</v>
      </c>
      <c r="EI11" s="11">
        <v>2.19</v>
      </c>
      <c r="EJ11" s="9" t="str">
        <f>_xll.SNL.Clients.Office.Excel.Functions.SPG(EG11, "SP_COUNTRY_NAME")</f>
        <v>USA</v>
      </c>
      <c r="EK11" t="s">
        <v>385</v>
      </c>
      <c r="EL11">
        <v>5752504</v>
      </c>
      <c r="EM11" t="s">
        <v>346</v>
      </c>
      <c r="EN11" s="11">
        <v>0.31</v>
      </c>
      <c r="EO11" s="9" t="str">
        <f>_xll.SNL.Clients.Office.Excel.Functions.SPG(EL11, "SP_COUNTRY_NAME")</f>
        <v>USA</v>
      </c>
      <c r="EP11" t="s">
        <v>717</v>
      </c>
      <c r="EQ11">
        <v>4345275</v>
      </c>
      <c r="ER11" t="s">
        <v>346</v>
      </c>
      <c r="ES11" s="11">
        <v>0.56999999999999995</v>
      </c>
      <c r="ET11" s="9" t="str">
        <f>_xll.SNL.Clients.Office.Excel.Functions.SPG(EQ11, "SP_COUNTRY_NAME")</f>
        <v>China</v>
      </c>
      <c r="EU11" t="s">
        <v>2144</v>
      </c>
      <c r="EV11" t="s">
        <v>300</v>
      </c>
      <c r="EW11" t="s">
        <v>361</v>
      </c>
      <c r="EX11" s="11">
        <v>0.02</v>
      </c>
      <c r="EY11" s="9" t="str">
        <f>_xll.SNL.Clients.Office.Excel.Functions.SPG(EV11, "SP_COUNTRY_NAME")</f>
        <v>China</v>
      </c>
      <c r="EZ11" t="s">
        <v>1914</v>
      </c>
      <c r="FA11" t="s">
        <v>300</v>
      </c>
      <c r="FB11" t="s">
        <v>361</v>
      </c>
      <c r="FC11" s="11">
        <v>0.12</v>
      </c>
      <c r="FD11" s="9" t="str">
        <f>_xll.SNL.Clients.Office.Excel.Functions.SPG(FA11, "SP_COUNTRY_NAME")</f>
        <v>China</v>
      </c>
      <c r="FE11" t="s">
        <v>351</v>
      </c>
      <c r="FF11">
        <v>111289</v>
      </c>
      <c r="FG11" t="s">
        <v>346</v>
      </c>
      <c r="FH11" s="11">
        <v>1.41</v>
      </c>
      <c r="FI11" s="9" t="str">
        <f>_xll.SNL.Clients.Office.Excel.Functions.SPG(FF11, "SP_COUNTRY_NAME")</f>
        <v>USA</v>
      </c>
      <c r="FJ11" t="s">
        <v>374</v>
      </c>
      <c r="FK11">
        <v>4138467</v>
      </c>
      <c r="FL11" t="s">
        <v>362</v>
      </c>
      <c r="FM11" s="11">
        <v>1.72</v>
      </c>
      <c r="FN11" s="9" t="str">
        <f>_xll.SNL.Clients.Office.Excel.Functions.SPG(FK11, "SP_COUNTRY_NAME")</f>
        <v>Norway</v>
      </c>
      <c r="FO11" t="s">
        <v>385</v>
      </c>
      <c r="FP11">
        <v>5752504</v>
      </c>
      <c r="FQ11" t="s">
        <v>346</v>
      </c>
      <c r="FR11" s="11">
        <v>0.31</v>
      </c>
      <c r="FS11" s="9" t="str">
        <f>_xll.SNL.Clients.Office.Excel.Functions.SPG(FP11, "SP_COUNTRY_NAME")</f>
        <v>USA</v>
      </c>
      <c r="FT11" t="s">
        <v>377</v>
      </c>
      <c r="FU11">
        <v>4252473</v>
      </c>
      <c r="FV11" t="s">
        <v>634</v>
      </c>
      <c r="FW11" s="11">
        <v>0.65</v>
      </c>
      <c r="FX11" s="9" t="str">
        <f>_xll.SNL.Clients.Office.Excel.Functions.SPG(FU11, "SP_COUNTRY_NAME")</f>
        <v>Hong Kong</v>
      </c>
      <c r="FY11" t="s">
        <v>483</v>
      </c>
      <c r="FZ11">
        <v>109763</v>
      </c>
      <c r="GA11" t="s">
        <v>346</v>
      </c>
      <c r="GB11" s="11">
        <v>2.19</v>
      </c>
      <c r="GC11" s="9" t="str">
        <f>_xll.SNL.Clients.Office.Excel.Functions.SPG(FZ11, "SP_COUNTRY_NAME")</f>
        <v>USA</v>
      </c>
      <c r="GD11" t="s">
        <v>1914</v>
      </c>
      <c r="GE11" t="s">
        <v>300</v>
      </c>
      <c r="GF11" t="s">
        <v>361</v>
      </c>
      <c r="GG11" s="11">
        <v>0.12</v>
      </c>
      <c r="GH11" s="9" t="str">
        <f>_xll.SNL.Clients.Office.Excel.Functions.SPG(GE11, "SP_COUNTRY_NAME")</f>
        <v>China</v>
      </c>
      <c r="GI11" t="s">
        <v>351</v>
      </c>
      <c r="GJ11">
        <v>111289</v>
      </c>
      <c r="GK11" t="s">
        <v>346</v>
      </c>
      <c r="GL11" s="11">
        <v>1.41</v>
      </c>
      <c r="GM11" s="9" t="str">
        <f>_xll.SNL.Clients.Office.Excel.Functions.SPG(GJ11, "SP_COUNTRY_NAME")</f>
        <v>USA</v>
      </c>
      <c r="GN11" t="s">
        <v>374</v>
      </c>
      <c r="GO11">
        <v>4138467</v>
      </c>
      <c r="GP11" t="s">
        <v>362</v>
      </c>
      <c r="GQ11" s="11">
        <v>1.72</v>
      </c>
      <c r="GR11" s="9" t="str">
        <f>_xll.SNL.Clients.Office.Excel.Functions.SPG(GO11, "SP_COUNTRY_NAME")</f>
        <v>Norway</v>
      </c>
      <c r="GS11" t="s">
        <v>649</v>
      </c>
      <c r="GT11">
        <v>4606392</v>
      </c>
      <c r="GU11" t="s">
        <v>346</v>
      </c>
      <c r="GV11" s="11">
        <v>0.41</v>
      </c>
      <c r="GW11" s="9" t="str">
        <f>_xll.SNL.Clients.Office.Excel.Functions.SPG(GT11, "SP_COUNTRY_NAME")</f>
        <v>China</v>
      </c>
      <c r="GX11" t="s">
        <v>383</v>
      </c>
      <c r="GY11">
        <v>103042</v>
      </c>
      <c r="GZ11" t="s">
        <v>366</v>
      </c>
      <c r="HA11" s="11">
        <v>0.99</v>
      </c>
      <c r="HB11" s="9" t="str">
        <f>_xll.SNL.Clients.Office.Excel.Functions.SPG(GY11, "SP_COUNTRY_NAME")</f>
        <v>USA</v>
      </c>
      <c r="HC11" t="s">
        <v>2175</v>
      </c>
      <c r="HD11">
        <v>131306008</v>
      </c>
      <c r="HE11" t="s">
        <v>370</v>
      </c>
      <c r="HF11" s="11">
        <v>0.04</v>
      </c>
      <c r="HG11" s="9" t="str">
        <f>_xll.SNL.Clients.Office.Excel.Functions.SPG(HD11, "SP_COUNTRY_NAME")</f>
        <v>Australia</v>
      </c>
    </row>
    <row r="12" spans="1:215" x14ac:dyDescent="0.35">
      <c r="A12" t="s">
        <v>354</v>
      </c>
      <c r="B12">
        <v>110652</v>
      </c>
      <c r="C12" t="s">
        <v>346</v>
      </c>
      <c r="D12" s="11">
        <v>0.05</v>
      </c>
      <c r="E12" s="9" t="str">
        <f>_xll.SNL.Clients.Office.Excel.Functions.SPG(B12, "SP_COUNTRY_NAME")</f>
        <v>USA</v>
      </c>
      <c r="F12" t="s">
        <v>426</v>
      </c>
      <c r="G12">
        <v>100201</v>
      </c>
      <c r="H12" t="s">
        <v>366</v>
      </c>
      <c r="I12" s="11">
        <v>1.47</v>
      </c>
      <c r="J12" s="9" t="str">
        <f>_xll.SNL.Clients.Office.Excel.Functions.SPG(G12, "SP_COUNTRY_NAME")</f>
        <v>USA</v>
      </c>
      <c r="K12" t="s">
        <v>415</v>
      </c>
      <c r="L12">
        <v>110587</v>
      </c>
      <c r="M12" t="s">
        <v>346</v>
      </c>
      <c r="N12" s="11">
        <v>0.3</v>
      </c>
      <c r="O12" s="9" t="str">
        <f>_xll.SNL.Clients.Office.Excel.Functions.SPG(L12, "SP_COUNTRY_NAME")</f>
        <v>USA</v>
      </c>
      <c r="T12" s="9" t="str">
        <f>_xll.SNL.Clients.Office.Excel.Functions.SPG(Q12, "SP_COUNTRY_NAME")</f>
        <v>#INVALID COMPANY ID</v>
      </c>
      <c r="U12" t="s">
        <v>596</v>
      </c>
      <c r="V12">
        <v>4140486</v>
      </c>
      <c r="W12" t="s">
        <v>346</v>
      </c>
      <c r="X12" s="11">
        <v>0.94</v>
      </c>
      <c r="Y12" s="9" t="str">
        <f>_xll.SNL.Clients.Office.Excel.Functions.SPG(V12, "SP_COUNTRY_NAME")</f>
        <v>China</v>
      </c>
      <c r="Z12" t="s">
        <v>415</v>
      </c>
      <c r="AA12">
        <v>110587</v>
      </c>
      <c r="AB12" t="s">
        <v>346</v>
      </c>
      <c r="AC12" s="11">
        <v>0.3</v>
      </c>
      <c r="AD12" s="9" t="str">
        <f>_xll.SNL.Clients.Office.Excel.Functions.SPG(AA12, "SP_COUNTRY_NAME")</f>
        <v>USA</v>
      </c>
      <c r="AE12" t="s">
        <v>961</v>
      </c>
      <c r="AF12">
        <v>4048349</v>
      </c>
      <c r="AG12" t="s">
        <v>346</v>
      </c>
      <c r="AH12" s="11">
        <v>0.94</v>
      </c>
      <c r="AI12" s="9" t="str">
        <f>_xll.SNL.Clients.Office.Excel.Functions.SPG(AF12, "SP_COUNTRY_NAME")</f>
        <v>United Kingdom</v>
      </c>
      <c r="AJ12" t="s">
        <v>354</v>
      </c>
      <c r="AK12">
        <v>110652</v>
      </c>
      <c r="AL12" t="s">
        <v>346</v>
      </c>
      <c r="AM12" s="11">
        <v>0.05</v>
      </c>
      <c r="AN12" s="9" t="str">
        <f>_xll.SNL.Clients.Office.Excel.Functions.SPG(AK12, "SP_COUNTRY_NAME")</f>
        <v>USA</v>
      </c>
      <c r="AO12" t="s">
        <v>725</v>
      </c>
      <c r="AP12">
        <v>111195</v>
      </c>
      <c r="AQ12" t="s">
        <v>346</v>
      </c>
      <c r="AR12" s="11">
        <v>2.11</v>
      </c>
      <c r="AS12" s="9" t="str">
        <f>_xll.SNL.Clients.Office.Excel.Functions.SPG(AP12, "SP_COUNTRY_NAME")</f>
        <v>USA</v>
      </c>
      <c r="AT12" t="s">
        <v>354</v>
      </c>
      <c r="AU12">
        <v>110652</v>
      </c>
      <c r="AV12" t="s">
        <v>346</v>
      </c>
      <c r="AW12" s="11">
        <v>0.05</v>
      </c>
      <c r="AX12" s="9" t="str">
        <f>_xll.SNL.Clients.Office.Excel.Functions.SPG(AU12, "SP_COUNTRY_NAME")</f>
        <v>USA</v>
      </c>
      <c r="AY12" t="s">
        <v>426</v>
      </c>
      <c r="AZ12">
        <v>100201</v>
      </c>
      <c r="BA12" t="s">
        <v>366</v>
      </c>
      <c r="BB12" s="11">
        <v>0.78</v>
      </c>
      <c r="BC12" s="9" t="str">
        <f>_xll.SNL.Clients.Office.Excel.Functions.SPG(AZ12, "SP_COUNTRY_NAME")</f>
        <v>USA</v>
      </c>
      <c r="BD12" t="s">
        <v>1255</v>
      </c>
      <c r="BE12">
        <v>4840598</v>
      </c>
      <c r="BF12" t="s">
        <v>346</v>
      </c>
      <c r="BG12" s="11">
        <v>2.0099999999999998</v>
      </c>
      <c r="BH12" s="9" t="str">
        <f>_xll.SNL.Clients.Office.Excel.Functions.SPG(BE12, "SP_COUNTRY_NAME")</f>
        <v>South Africa</v>
      </c>
      <c r="BI12" t="s">
        <v>1557</v>
      </c>
      <c r="BJ12" t="s">
        <v>300</v>
      </c>
      <c r="BK12" t="s">
        <v>361</v>
      </c>
      <c r="BL12" s="11">
        <v>1.8</v>
      </c>
      <c r="BM12" s="9" t="str">
        <f>_xll.SNL.Clients.Office.Excel.Functions.SPG(BJ12, "SP_COUNTRY_NAME")</f>
        <v>China</v>
      </c>
      <c r="BN12" t="s">
        <v>638</v>
      </c>
      <c r="BO12">
        <v>4137668</v>
      </c>
      <c r="BP12" t="s">
        <v>346</v>
      </c>
      <c r="BQ12" s="11">
        <v>0.3</v>
      </c>
      <c r="BR12" s="9" t="str">
        <f>_xll.SNL.Clients.Office.Excel.Functions.SPG(BO12, "SP_COUNTRY_NAME")</f>
        <v>China</v>
      </c>
      <c r="BS12" t="s">
        <v>717</v>
      </c>
      <c r="BT12">
        <v>4345275</v>
      </c>
      <c r="BU12" t="s">
        <v>346</v>
      </c>
      <c r="BV12" s="11">
        <v>0.95</v>
      </c>
      <c r="BW12" s="9" t="str">
        <f>_xll.SNL.Clients.Office.Excel.Functions.SPG(BT12, "SP_COUNTRY_NAME")</f>
        <v>China</v>
      </c>
      <c r="BX12" t="s">
        <v>596</v>
      </c>
      <c r="BY12">
        <v>4140486</v>
      </c>
      <c r="BZ12" t="s">
        <v>346</v>
      </c>
      <c r="CA12" s="11">
        <v>0.94</v>
      </c>
      <c r="CB12" s="9" t="str">
        <f>_xll.SNL.Clients.Office.Excel.Functions.SPG(BY12, "SP_COUNTRY_NAME")</f>
        <v>China</v>
      </c>
      <c r="CC12" t="s">
        <v>441</v>
      </c>
      <c r="CD12">
        <v>4153483</v>
      </c>
      <c r="CE12" t="s">
        <v>363</v>
      </c>
      <c r="CF12" s="11">
        <v>0.77</v>
      </c>
      <c r="CG12" s="9" t="str">
        <f>_xll.SNL.Clients.Office.Excel.Functions.SPG(CD12, "SP_COUNTRY_NAME")</f>
        <v>Canada</v>
      </c>
      <c r="CH12" t="s">
        <v>725</v>
      </c>
      <c r="CI12">
        <v>111195</v>
      </c>
      <c r="CJ12" t="s">
        <v>346</v>
      </c>
      <c r="CK12" s="11">
        <v>2.11</v>
      </c>
      <c r="CL12" s="9" t="str">
        <f>_xll.SNL.Clients.Office.Excel.Functions.SPG(CI12, "SP_COUNTRY_NAME")</f>
        <v>USA</v>
      </c>
      <c r="CM12" t="s">
        <v>576</v>
      </c>
      <c r="CN12">
        <v>4672091</v>
      </c>
      <c r="CO12" t="s">
        <v>300</v>
      </c>
      <c r="CP12" s="11">
        <v>1.4</v>
      </c>
      <c r="CQ12" s="9" t="str">
        <f>_xll.SNL.Clients.Office.Excel.Functions.SPG(CN12, "SP_COUNTRY_NAME")</f>
        <v>South Africa</v>
      </c>
      <c r="CR12" t="s">
        <v>699</v>
      </c>
      <c r="CS12" t="s">
        <v>300</v>
      </c>
      <c r="CT12" t="s">
        <v>361</v>
      </c>
      <c r="CU12" s="11">
        <v>0.03</v>
      </c>
      <c r="CV12" s="9" t="str">
        <f>_xll.SNL.Clients.Office.Excel.Functions.SPG(CS12, "SP_COUNTRY_NAME")</f>
        <v>China</v>
      </c>
      <c r="CW12" t="s">
        <v>644</v>
      </c>
      <c r="CX12">
        <v>4138625</v>
      </c>
      <c r="CY12" t="s">
        <v>346</v>
      </c>
      <c r="CZ12" s="11">
        <v>0.25</v>
      </c>
      <c r="DA12" s="9" t="str">
        <f>_xll.SNL.Clients.Office.Excel.Functions.SPG(CX12, "SP_COUNTRY_NAME")</f>
        <v>China</v>
      </c>
      <c r="DB12" t="s">
        <v>1255</v>
      </c>
      <c r="DC12">
        <v>4840598</v>
      </c>
      <c r="DD12" t="s">
        <v>346</v>
      </c>
      <c r="DE12" s="11">
        <v>2.0099999999999998</v>
      </c>
      <c r="DF12" s="9" t="str">
        <f>_xll.SNL.Clients.Office.Excel.Functions.SPG(DC12, "SP_COUNTRY_NAME")</f>
        <v>South Africa</v>
      </c>
      <c r="DG12" t="s">
        <v>644</v>
      </c>
      <c r="DH12">
        <v>4138625</v>
      </c>
      <c r="DI12" t="s">
        <v>346</v>
      </c>
      <c r="DJ12" s="11">
        <v>0.25</v>
      </c>
      <c r="DK12" s="9" t="str">
        <f>_xll.SNL.Clients.Office.Excel.Functions.SPG(DH12, "SP_COUNTRY_NAME")</f>
        <v>China</v>
      </c>
      <c r="DL12" t="s">
        <v>1255</v>
      </c>
      <c r="DM12">
        <v>4840598</v>
      </c>
      <c r="DN12" t="s">
        <v>346</v>
      </c>
      <c r="DO12" s="11">
        <v>2.0099999999999998</v>
      </c>
      <c r="DP12" s="9" t="str">
        <f>_xll.SNL.Clients.Office.Excel.Functions.SPG(DM12, "SP_COUNTRY_NAME")</f>
        <v>South Africa</v>
      </c>
      <c r="DU12" s="9" t="str">
        <f>_xll.SNL.Clients.Office.Excel.Functions.SPG(DR12, "SP_COUNTRY_NAME")</f>
        <v>#INVALID COMPANY ID</v>
      </c>
      <c r="DV12" t="s">
        <v>1115</v>
      </c>
      <c r="DW12">
        <v>4140101</v>
      </c>
      <c r="DX12" t="s">
        <v>363</v>
      </c>
      <c r="DY12" s="11">
        <v>0.08</v>
      </c>
      <c r="DZ12" s="9" t="str">
        <f>_xll.SNL.Clients.Office.Excel.Functions.SPG(DW12, "SP_COUNTRY_NAME")</f>
        <v>Sweden</v>
      </c>
      <c r="EA12" t="s">
        <v>441</v>
      </c>
      <c r="EB12">
        <v>4153483</v>
      </c>
      <c r="EC12" t="s">
        <v>363</v>
      </c>
      <c r="ED12" s="11">
        <v>0.77</v>
      </c>
      <c r="EE12" s="9" t="str">
        <f>_xll.SNL.Clients.Office.Excel.Functions.SPG(EB12, "SP_COUNTRY_NAME")</f>
        <v>Canada</v>
      </c>
      <c r="EF12" t="s">
        <v>1255</v>
      </c>
      <c r="EG12">
        <v>4840598</v>
      </c>
      <c r="EH12" t="s">
        <v>346</v>
      </c>
      <c r="EI12" s="11">
        <v>2.0099999999999998</v>
      </c>
      <c r="EJ12" s="9" t="str">
        <f>_xll.SNL.Clients.Office.Excel.Functions.SPG(EG12, "SP_COUNTRY_NAME")</f>
        <v>South Africa</v>
      </c>
      <c r="EK12" t="s">
        <v>644</v>
      </c>
      <c r="EL12">
        <v>4138625</v>
      </c>
      <c r="EM12" t="s">
        <v>346</v>
      </c>
      <c r="EN12" s="11">
        <v>0.25</v>
      </c>
      <c r="EO12" s="9" t="str">
        <f>_xll.SNL.Clients.Office.Excel.Functions.SPG(EL12, "SP_COUNTRY_NAME")</f>
        <v>China</v>
      </c>
      <c r="EP12" t="s">
        <v>2131</v>
      </c>
      <c r="EQ12">
        <v>4303210</v>
      </c>
      <c r="ER12" t="s">
        <v>362</v>
      </c>
      <c r="ES12" s="11">
        <v>0.49</v>
      </c>
      <c r="ET12" s="9" t="str">
        <f>_xll.SNL.Clients.Office.Excel.Functions.SPG(EQ12, "SP_COUNTRY_NAME")</f>
        <v>China</v>
      </c>
      <c r="EY12" s="9" t="str">
        <f>_xll.SNL.Clients.Office.Excel.Functions.SPG(EV12, "SP_COUNTRY_NAME")</f>
        <v>#INVALID COMPANY ID</v>
      </c>
      <c r="EZ12" t="s">
        <v>1915</v>
      </c>
      <c r="FA12">
        <v>4524653</v>
      </c>
      <c r="FB12" t="s">
        <v>370</v>
      </c>
      <c r="FC12" s="11">
        <v>0.08</v>
      </c>
      <c r="FD12" s="9" t="str">
        <f>_xll.SNL.Clients.Office.Excel.Functions.SPG(FA12, "SP_COUNTRY_NAME")</f>
        <v>Philippines</v>
      </c>
      <c r="FE12" t="s">
        <v>2148</v>
      </c>
      <c r="FF12">
        <v>6546499</v>
      </c>
      <c r="FG12" t="s">
        <v>690</v>
      </c>
      <c r="FH12" s="11">
        <v>1.4</v>
      </c>
      <c r="FI12" s="9" t="str">
        <f>_xll.SNL.Clients.Office.Excel.Functions.SPG(FF12, "SP_COUNTRY_NAME")</f>
        <v>Japan</v>
      </c>
      <c r="FJ12" t="s">
        <v>429</v>
      </c>
      <c r="FK12">
        <v>4607441</v>
      </c>
      <c r="FL12" t="s">
        <v>346</v>
      </c>
      <c r="FM12" s="11">
        <v>1.69</v>
      </c>
      <c r="FN12" s="9" t="str">
        <f>_xll.SNL.Clients.Office.Excel.Functions.SPG(FK12, "SP_COUNTRY_NAME")</f>
        <v>Japan</v>
      </c>
      <c r="FO12" t="s">
        <v>644</v>
      </c>
      <c r="FP12">
        <v>4138625</v>
      </c>
      <c r="FQ12" t="s">
        <v>346</v>
      </c>
      <c r="FR12" s="11">
        <v>0.25</v>
      </c>
      <c r="FS12" s="9" t="str">
        <f>_xll.SNL.Clients.Office.Excel.Functions.SPG(FP12, "SP_COUNTRY_NAME")</f>
        <v>China</v>
      </c>
      <c r="FT12" t="s">
        <v>378</v>
      </c>
      <c r="FU12">
        <v>4048184</v>
      </c>
      <c r="FV12" t="s">
        <v>346</v>
      </c>
      <c r="FW12" s="11">
        <v>0.61</v>
      </c>
      <c r="FX12" s="9" t="str">
        <f>_xll.SNL.Clients.Office.Excel.Functions.SPG(FU12, "SP_COUNTRY_NAME")</f>
        <v>Canada</v>
      </c>
      <c r="FY12" t="s">
        <v>1255</v>
      </c>
      <c r="FZ12">
        <v>4840598</v>
      </c>
      <c r="GA12" t="s">
        <v>346</v>
      </c>
      <c r="GB12" s="11">
        <v>2.0099999999999998</v>
      </c>
      <c r="GC12" s="9" t="str">
        <f>_xll.SNL.Clients.Office.Excel.Functions.SPG(FZ12, "SP_COUNTRY_NAME")</f>
        <v>South Africa</v>
      </c>
      <c r="GD12" t="s">
        <v>1915</v>
      </c>
      <c r="GE12">
        <v>4524653</v>
      </c>
      <c r="GF12" t="s">
        <v>370</v>
      </c>
      <c r="GG12" s="11">
        <v>0.08</v>
      </c>
      <c r="GH12" s="9" t="str">
        <f>_xll.SNL.Clients.Office.Excel.Functions.SPG(GE12, "SP_COUNTRY_NAME")</f>
        <v>Philippines</v>
      </c>
      <c r="GI12" t="s">
        <v>2148</v>
      </c>
      <c r="GJ12">
        <v>6546499</v>
      </c>
      <c r="GK12" t="s">
        <v>690</v>
      </c>
      <c r="GL12" s="11">
        <v>1.4</v>
      </c>
      <c r="GM12" s="9" t="str">
        <f>_xll.SNL.Clients.Office.Excel.Functions.SPG(GJ12, "SP_COUNTRY_NAME")</f>
        <v>Japan</v>
      </c>
      <c r="GN12" t="s">
        <v>429</v>
      </c>
      <c r="GO12">
        <v>4607441</v>
      </c>
      <c r="GP12" t="s">
        <v>346</v>
      </c>
      <c r="GQ12" s="11">
        <v>1.69</v>
      </c>
      <c r="GR12" s="9" t="str">
        <f>_xll.SNL.Clients.Office.Excel.Functions.SPG(GO12, "SP_COUNTRY_NAME")</f>
        <v>Japan</v>
      </c>
      <c r="GS12" t="s">
        <v>638</v>
      </c>
      <c r="GT12">
        <v>4137668</v>
      </c>
      <c r="GU12" t="s">
        <v>346</v>
      </c>
      <c r="GV12" s="11">
        <v>0.3</v>
      </c>
      <c r="GW12" s="9" t="str">
        <f>_xll.SNL.Clients.Office.Excel.Functions.SPG(GT12, "SP_COUNTRY_NAME")</f>
        <v>China</v>
      </c>
      <c r="GX12" t="s">
        <v>441</v>
      </c>
      <c r="GY12">
        <v>4153483</v>
      </c>
      <c r="GZ12" t="s">
        <v>363</v>
      </c>
      <c r="HA12" s="11">
        <v>0.77</v>
      </c>
      <c r="HB12" s="9" t="str">
        <f>_xll.SNL.Clients.Office.Excel.Functions.SPG(GY12, "SP_COUNTRY_NAME")</f>
        <v>Canada</v>
      </c>
      <c r="HC12" t="s">
        <v>2176</v>
      </c>
      <c r="HD12">
        <v>4414357</v>
      </c>
      <c r="HE12" t="s">
        <v>370</v>
      </c>
      <c r="HF12" s="11">
        <v>0.03</v>
      </c>
      <c r="HG12" s="9" t="str">
        <f>_xll.SNL.Clients.Office.Excel.Functions.SPG(HD12, "SP_COUNTRY_NAME")</f>
        <v>Australia</v>
      </c>
    </row>
    <row r="13" spans="1:215" x14ac:dyDescent="0.35">
      <c r="A13" t="s">
        <v>355</v>
      </c>
      <c r="B13">
        <v>111074</v>
      </c>
      <c r="C13" t="s">
        <v>346</v>
      </c>
      <c r="D13" s="11">
        <v>0.03</v>
      </c>
      <c r="E13" s="9" t="str">
        <f>_xll.SNL.Clients.Office.Excel.Functions.SPG(B13, "SP_COUNTRY_NAME")</f>
        <v>USA</v>
      </c>
      <c r="F13" t="s">
        <v>374</v>
      </c>
      <c r="G13">
        <v>4138467</v>
      </c>
      <c r="H13" t="s">
        <v>362</v>
      </c>
      <c r="I13" s="11">
        <v>1.33</v>
      </c>
      <c r="J13" s="9" t="str">
        <f>_xll.SNL.Clients.Office.Excel.Functions.SPG(G13, "SP_COUNTRY_NAME")</f>
        <v>Norway</v>
      </c>
      <c r="K13" t="s">
        <v>385</v>
      </c>
      <c r="L13">
        <v>5752504</v>
      </c>
      <c r="M13" t="s">
        <v>346</v>
      </c>
      <c r="N13" s="11">
        <v>0.28999999999999998</v>
      </c>
      <c r="O13" s="9" t="str">
        <f>_xll.SNL.Clients.Office.Excel.Functions.SPG(L13, "SP_COUNTRY_NAME")</f>
        <v>USA</v>
      </c>
      <c r="T13" s="9" t="str">
        <f>_xll.SNL.Clients.Office.Excel.Functions.SPG(Q13, "SP_COUNTRY_NAME")</f>
        <v>#INVALID COMPANY ID</v>
      </c>
      <c r="U13" t="s">
        <v>433</v>
      </c>
      <c r="V13">
        <v>3000896</v>
      </c>
      <c r="W13" t="s">
        <v>346</v>
      </c>
      <c r="X13" s="11">
        <v>0.94</v>
      </c>
      <c r="Y13" s="9" t="str">
        <f>_xll.SNL.Clients.Office.Excel.Functions.SPG(V13, "SP_COUNTRY_NAME")</f>
        <v>USA</v>
      </c>
      <c r="Z13" t="s">
        <v>385</v>
      </c>
      <c r="AA13">
        <v>5752504</v>
      </c>
      <c r="AB13" t="s">
        <v>346</v>
      </c>
      <c r="AC13" s="11">
        <v>0.28999999999999998</v>
      </c>
      <c r="AD13" s="9" t="str">
        <f>_xll.SNL.Clients.Office.Excel.Functions.SPG(AA13, "SP_COUNTRY_NAME")</f>
        <v>USA</v>
      </c>
      <c r="AE13" t="s">
        <v>1108</v>
      </c>
      <c r="AF13">
        <v>4139328</v>
      </c>
      <c r="AG13" t="s">
        <v>346</v>
      </c>
      <c r="AH13" s="11">
        <v>0.93</v>
      </c>
      <c r="AI13" s="9" t="str">
        <f>_xll.SNL.Clients.Office.Excel.Functions.SPG(AF13, "SP_COUNTRY_NAME")</f>
        <v>Spain</v>
      </c>
      <c r="AJ13" t="s">
        <v>355</v>
      </c>
      <c r="AK13">
        <v>111074</v>
      </c>
      <c r="AL13" t="s">
        <v>346</v>
      </c>
      <c r="AM13" s="11">
        <v>0.03</v>
      </c>
      <c r="AN13" s="9" t="str">
        <f>_xll.SNL.Clients.Office.Excel.Functions.SPG(AK13, "SP_COUNTRY_NAME")</f>
        <v>USA</v>
      </c>
      <c r="AO13" t="s">
        <v>351</v>
      </c>
      <c r="AP13">
        <v>111289</v>
      </c>
      <c r="AQ13" t="s">
        <v>346</v>
      </c>
      <c r="AR13" s="11">
        <v>1</v>
      </c>
      <c r="AS13" s="9" t="str">
        <f>_xll.SNL.Clients.Office.Excel.Functions.SPG(AP13, "SP_COUNTRY_NAME")</f>
        <v>USA</v>
      </c>
      <c r="AT13" t="s">
        <v>355</v>
      </c>
      <c r="AU13">
        <v>111074</v>
      </c>
      <c r="AV13" t="s">
        <v>346</v>
      </c>
      <c r="AW13" s="11">
        <v>0.03</v>
      </c>
      <c r="AX13" s="9" t="str">
        <f>_xll.SNL.Clients.Office.Excel.Functions.SPG(AU13, "SP_COUNTRY_NAME")</f>
        <v>USA</v>
      </c>
      <c r="AY13" t="s">
        <v>953</v>
      </c>
      <c r="AZ13">
        <v>4039450</v>
      </c>
      <c r="BA13" t="s">
        <v>346</v>
      </c>
      <c r="BB13" s="11">
        <v>0.7</v>
      </c>
      <c r="BC13" s="9" t="str">
        <f>_xll.SNL.Clients.Office.Excel.Functions.SPG(AZ13, "SP_COUNTRY_NAME")</f>
        <v>USA</v>
      </c>
      <c r="BD13" t="s">
        <v>1390</v>
      </c>
      <c r="BE13">
        <v>4658924</v>
      </c>
      <c r="BF13" t="s">
        <v>1554</v>
      </c>
      <c r="BG13" s="11">
        <v>1.77</v>
      </c>
      <c r="BH13" s="9" t="str">
        <f>_xll.SNL.Clients.Office.Excel.Functions.SPG(BE13, "SP_COUNTRY_NAME")</f>
        <v>South Africa</v>
      </c>
      <c r="BI13" t="s">
        <v>399</v>
      </c>
      <c r="BJ13">
        <v>4026948</v>
      </c>
      <c r="BK13" t="s">
        <v>346</v>
      </c>
      <c r="BL13" s="11">
        <v>1.39</v>
      </c>
      <c r="BM13" s="9" t="str">
        <f>_xll.SNL.Clients.Office.Excel.Functions.SPG(BJ13, "SP_COUNTRY_NAME")</f>
        <v>France</v>
      </c>
      <c r="BN13" t="s">
        <v>644</v>
      </c>
      <c r="BO13">
        <v>4138625</v>
      </c>
      <c r="BP13" t="s">
        <v>346</v>
      </c>
      <c r="BQ13" s="11">
        <v>0.28999999999999998</v>
      </c>
      <c r="BR13" s="9" t="str">
        <f>_xll.SNL.Clients.Office.Excel.Functions.SPG(BO13, "SP_COUNTRY_NAME")</f>
        <v>China</v>
      </c>
      <c r="BS13" t="s">
        <v>944</v>
      </c>
      <c r="BT13">
        <v>4045729</v>
      </c>
      <c r="BU13" t="s">
        <v>367</v>
      </c>
      <c r="BV13" s="11">
        <v>0.9</v>
      </c>
      <c r="BW13" s="9" t="str">
        <f>_xll.SNL.Clients.Office.Excel.Functions.SPG(BT13, "SP_COUNTRY_NAME")</f>
        <v>Japan</v>
      </c>
      <c r="BX13" t="s">
        <v>433</v>
      </c>
      <c r="BY13">
        <v>3000896</v>
      </c>
      <c r="BZ13" t="s">
        <v>346</v>
      </c>
      <c r="CA13" s="11">
        <v>0.94</v>
      </c>
      <c r="CB13" s="9" t="str">
        <f>_xll.SNL.Clients.Office.Excel.Functions.SPG(BY13, "SP_COUNTRY_NAME")</f>
        <v>USA</v>
      </c>
      <c r="CC13" t="s">
        <v>546</v>
      </c>
      <c r="CD13">
        <v>4158830</v>
      </c>
      <c r="CE13" t="s">
        <v>346</v>
      </c>
      <c r="CF13" s="11">
        <v>0.71</v>
      </c>
      <c r="CG13" s="9" t="str">
        <f>_xll.SNL.Clients.Office.Excel.Functions.SPG(CD13, "SP_COUNTRY_NAME")</f>
        <v>USA</v>
      </c>
      <c r="CH13" t="s">
        <v>351</v>
      </c>
      <c r="CI13">
        <v>111289</v>
      </c>
      <c r="CJ13" t="s">
        <v>346</v>
      </c>
      <c r="CK13" s="11">
        <v>1</v>
      </c>
      <c r="CL13" s="9" t="str">
        <f>_xll.SNL.Clients.Office.Excel.Functions.SPG(CI13, "SP_COUNTRY_NAME")</f>
        <v>USA</v>
      </c>
      <c r="CM13" t="s">
        <v>496</v>
      </c>
      <c r="CN13">
        <v>110495</v>
      </c>
      <c r="CO13" t="s">
        <v>346</v>
      </c>
      <c r="CP13" s="11">
        <v>1.27</v>
      </c>
      <c r="CQ13" s="9" t="str">
        <f>_xll.SNL.Clients.Office.Excel.Functions.SPG(CN13, "SP_COUNTRY_NAME")</f>
        <v>USA</v>
      </c>
      <c r="CR13" t="s">
        <v>700</v>
      </c>
      <c r="CS13" t="s">
        <v>300</v>
      </c>
      <c r="CT13" t="s">
        <v>361</v>
      </c>
      <c r="CU13" s="11">
        <v>0.02</v>
      </c>
      <c r="CV13" s="9" t="str">
        <f>_xll.SNL.Clients.Office.Excel.Functions.SPG(CS13, "SP_COUNTRY_NAME")</f>
        <v>China</v>
      </c>
      <c r="CW13" t="s">
        <v>642</v>
      </c>
      <c r="CX13">
        <v>5762318</v>
      </c>
      <c r="CY13" t="s">
        <v>346</v>
      </c>
      <c r="CZ13" s="11">
        <v>0.22</v>
      </c>
      <c r="DA13" s="9" t="str">
        <f>_xll.SNL.Clients.Office.Excel.Functions.SPG(CX13, "SP_COUNTRY_NAME")</f>
        <v>China</v>
      </c>
      <c r="DB13" t="s">
        <v>1390</v>
      </c>
      <c r="DC13">
        <v>4658924</v>
      </c>
      <c r="DD13" t="s">
        <v>1554</v>
      </c>
      <c r="DE13" s="11">
        <v>1.77</v>
      </c>
      <c r="DF13" s="9" t="str">
        <f>_xll.SNL.Clients.Office.Excel.Functions.SPG(DC13, "SP_COUNTRY_NAME")</f>
        <v>South Africa</v>
      </c>
      <c r="DG13" t="s">
        <v>642</v>
      </c>
      <c r="DH13">
        <v>5762318</v>
      </c>
      <c r="DI13" t="s">
        <v>346</v>
      </c>
      <c r="DJ13" s="11">
        <v>0.22</v>
      </c>
      <c r="DK13" s="9" t="str">
        <f>_xll.SNL.Clients.Office.Excel.Functions.SPG(DH13, "SP_COUNTRY_NAME")</f>
        <v>China</v>
      </c>
      <c r="DL13" t="s">
        <v>1390</v>
      </c>
      <c r="DM13">
        <v>4658924</v>
      </c>
      <c r="DN13" t="s">
        <v>1554</v>
      </c>
      <c r="DO13" s="11">
        <v>1.77</v>
      </c>
      <c r="DP13" s="9" t="str">
        <f>_xll.SNL.Clients.Office.Excel.Functions.SPG(DM13, "SP_COUNTRY_NAME")</f>
        <v>South Africa</v>
      </c>
      <c r="DU13" s="9" t="str">
        <f>_xll.SNL.Clients.Office.Excel.Functions.SPG(DR13, "SP_COUNTRY_NAME")</f>
        <v>#INVALID COMPANY ID</v>
      </c>
      <c r="DV13" t="s">
        <v>466</v>
      </c>
      <c r="DW13">
        <v>111267</v>
      </c>
      <c r="DX13" t="s">
        <v>346</v>
      </c>
      <c r="DY13" s="11">
        <v>7.0000000000000007E-2</v>
      </c>
      <c r="DZ13" s="9" t="str">
        <f>_xll.SNL.Clients.Office.Excel.Functions.SPG(DW13, "SP_COUNTRY_NAME")</f>
        <v>United Kingdom</v>
      </c>
      <c r="EA13" t="s">
        <v>546</v>
      </c>
      <c r="EB13">
        <v>4158830</v>
      </c>
      <c r="EC13" t="s">
        <v>346</v>
      </c>
      <c r="ED13" s="11">
        <v>0.71</v>
      </c>
      <c r="EE13" s="9" t="str">
        <f>_xll.SNL.Clients.Office.Excel.Functions.SPG(EB13, "SP_COUNTRY_NAME")</f>
        <v>USA</v>
      </c>
      <c r="EF13" t="s">
        <v>1390</v>
      </c>
      <c r="EG13">
        <v>4658924</v>
      </c>
      <c r="EH13" t="s">
        <v>1554</v>
      </c>
      <c r="EI13" s="11">
        <v>1.77</v>
      </c>
      <c r="EJ13" s="9" t="str">
        <f>_xll.SNL.Clients.Office.Excel.Functions.SPG(EG13, "SP_COUNTRY_NAME")</f>
        <v>South Africa</v>
      </c>
      <c r="EK13" t="s">
        <v>642</v>
      </c>
      <c r="EL13">
        <v>5762318</v>
      </c>
      <c r="EM13" t="s">
        <v>346</v>
      </c>
      <c r="EN13" s="11">
        <v>0.22</v>
      </c>
      <c r="EO13" s="9" t="str">
        <f>_xll.SNL.Clients.Office.Excel.Functions.SPG(EL13, "SP_COUNTRY_NAME")</f>
        <v>China</v>
      </c>
      <c r="EP13" t="s">
        <v>642</v>
      </c>
      <c r="EQ13">
        <v>5762318</v>
      </c>
      <c r="ER13" t="s">
        <v>346</v>
      </c>
      <c r="ES13" s="11">
        <v>0.43</v>
      </c>
      <c r="ET13" s="9" t="str">
        <f>_xll.SNL.Clients.Office.Excel.Functions.SPG(EQ13, "SP_COUNTRY_NAME")</f>
        <v>China</v>
      </c>
      <c r="EY13" s="9" t="str">
        <f>_xll.SNL.Clients.Office.Excel.Functions.SPG(EV13, "SP_COUNTRY_NAME")</f>
        <v>#INVALID COMPANY ID</v>
      </c>
      <c r="EZ13" t="s">
        <v>436</v>
      </c>
      <c r="FA13">
        <v>111219</v>
      </c>
      <c r="FB13" t="s">
        <v>346</v>
      </c>
      <c r="FC13" s="11">
        <v>0.05</v>
      </c>
      <c r="FD13" s="9" t="str">
        <f>_xll.SNL.Clients.Office.Excel.Functions.SPG(FA13, "SP_COUNTRY_NAME")</f>
        <v>USA</v>
      </c>
      <c r="FE13" t="s">
        <v>385</v>
      </c>
      <c r="FF13">
        <v>5752504</v>
      </c>
      <c r="FG13" t="s">
        <v>346</v>
      </c>
      <c r="FH13" s="11">
        <v>0.82</v>
      </c>
      <c r="FI13" s="9" t="str">
        <f>_xll.SNL.Clients.Office.Excel.Functions.SPG(FF13, "SP_COUNTRY_NAME")</f>
        <v>USA</v>
      </c>
      <c r="FJ13" t="s">
        <v>2155</v>
      </c>
      <c r="FK13">
        <v>4183854</v>
      </c>
      <c r="FL13" t="s">
        <v>366</v>
      </c>
      <c r="FM13" s="11">
        <v>1.53</v>
      </c>
      <c r="FN13" s="9" t="str">
        <f>_xll.SNL.Clients.Office.Excel.Functions.SPG(FK13, "SP_COUNTRY_NAME")</f>
        <v>Japan</v>
      </c>
      <c r="FO13" t="s">
        <v>642</v>
      </c>
      <c r="FP13">
        <v>5762318</v>
      </c>
      <c r="FQ13" t="s">
        <v>346</v>
      </c>
      <c r="FR13" s="11">
        <v>0.22</v>
      </c>
      <c r="FS13" s="9" t="str">
        <f>_xll.SNL.Clients.Office.Excel.Functions.SPG(FP13, "SP_COUNTRY_NAME")</f>
        <v>China</v>
      </c>
      <c r="FT13" t="s">
        <v>353</v>
      </c>
      <c r="FU13">
        <v>4048287</v>
      </c>
      <c r="FV13" t="s">
        <v>346</v>
      </c>
      <c r="FW13" s="11">
        <v>0.54</v>
      </c>
      <c r="FX13" s="9" t="str">
        <f>_xll.SNL.Clients.Office.Excel.Functions.SPG(FU13, "SP_COUNTRY_NAME")</f>
        <v>USA</v>
      </c>
      <c r="FY13" t="s">
        <v>1390</v>
      </c>
      <c r="FZ13">
        <v>4658924</v>
      </c>
      <c r="GA13" t="s">
        <v>1554</v>
      </c>
      <c r="GB13" s="11">
        <v>1.77</v>
      </c>
      <c r="GC13" s="9" t="str">
        <f>_xll.SNL.Clients.Office.Excel.Functions.SPG(FZ13, "SP_COUNTRY_NAME")</f>
        <v>South Africa</v>
      </c>
      <c r="GD13" t="s">
        <v>436</v>
      </c>
      <c r="GE13">
        <v>111219</v>
      </c>
      <c r="GF13" t="s">
        <v>346</v>
      </c>
      <c r="GG13" s="11">
        <v>0.05</v>
      </c>
      <c r="GH13" s="9" t="str">
        <f>_xll.SNL.Clients.Office.Excel.Functions.SPG(GE13, "SP_COUNTRY_NAME")</f>
        <v>USA</v>
      </c>
      <c r="GI13" t="s">
        <v>385</v>
      </c>
      <c r="GJ13">
        <v>5752504</v>
      </c>
      <c r="GK13" t="s">
        <v>346</v>
      </c>
      <c r="GL13" s="11">
        <v>0.82</v>
      </c>
      <c r="GM13" s="9" t="str">
        <f>_xll.SNL.Clients.Office.Excel.Functions.SPG(GJ13, "SP_COUNTRY_NAME")</f>
        <v>USA</v>
      </c>
      <c r="GN13" t="s">
        <v>2155</v>
      </c>
      <c r="GO13">
        <v>4183854</v>
      </c>
      <c r="GP13" t="s">
        <v>366</v>
      </c>
      <c r="GQ13" s="11">
        <v>1.53</v>
      </c>
      <c r="GR13" s="9" t="str">
        <f>_xll.SNL.Clients.Office.Excel.Functions.SPG(GO13, "SP_COUNTRY_NAME")</f>
        <v>Japan</v>
      </c>
      <c r="GS13" t="s">
        <v>644</v>
      </c>
      <c r="GT13">
        <v>4138625</v>
      </c>
      <c r="GU13" t="s">
        <v>346</v>
      </c>
      <c r="GV13" s="11">
        <v>0.28999999999999998</v>
      </c>
      <c r="GW13" s="9" t="str">
        <f>_xll.SNL.Clients.Office.Excel.Functions.SPG(GT13, "SP_COUNTRY_NAME")</f>
        <v>China</v>
      </c>
      <c r="GX13" t="s">
        <v>546</v>
      </c>
      <c r="GY13">
        <v>4158830</v>
      </c>
      <c r="GZ13" t="s">
        <v>346</v>
      </c>
      <c r="HA13" s="11">
        <v>0.71</v>
      </c>
      <c r="HB13" s="9" t="str">
        <f>_xll.SNL.Clients.Office.Excel.Functions.SPG(GY13, "SP_COUNTRY_NAME")</f>
        <v>USA</v>
      </c>
      <c r="HC13" t="s">
        <v>2177</v>
      </c>
      <c r="HD13">
        <v>5710982</v>
      </c>
      <c r="HE13" t="s">
        <v>370</v>
      </c>
      <c r="HF13" s="11">
        <v>0.02</v>
      </c>
      <c r="HG13" s="9" t="str">
        <f>_xll.SNL.Clients.Office.Excel.Functions.SPG(HD13, "SP_COUNTRY_NAME")</f>
        <v>Australia</v>
      </c>
    </row>
    <row r="14" spans="1:215" x14ac:dyDescent="0.35">
      <c r="A14" t="s">
        <v>356</v>
      </c>
      <c r="B14">
        <v>4578944</v>
      </c>
      <c r="C14" t="s">
        <v>346</v>
      </c>
      <c r="D14" s="11">
        <v>0.03</v>
      </c>
      <c r="E14" s="9" t="str">
        <f>_xll.SNL.Clients.Office.Excel.Functions.SPG(B14, "SP_COUNTRY_NAME")</f>
        <v>Australia</v>
      </c>
      <c r="F14" t="s">
        <v>427</v>
      </c>
      <c r="G14">
        <v>4211060</v>
      </c>
      <c r="H14" t="s">
        <v>634</v>
      </c>
      <c r="I14" s="11">
        <v>1.26</v>
      </c>
      <c r="J14" s="9" t="str">
        <f>_xll.SNL.Clients.Office.Excel.Functions.SPG(G14, "SP_COUNTRY_NAME")</f>
        <v>Japan</v>
      </c>
      <c r="K14" t="s">
        <v>638</v>
      </c>
      <c r="L14">
        <v>4137668</v>
      </c>
      <c r="M14" t="s">
        <v>346</v>
      </c>
      <c r="N14" s="11">
        <v>0.28999999999999998</v>
      </c>
      <c r="O14" s="9" t="str">
        <f>_xll.SNL.Clients.Office.Excel.Functions.SPG(L14, "SP_COUNTRY_NAME")</f>
        <v>China</v>
      </c>
      <c r="T14" s="9" t="str">
        <f>_xll.SNL.Clients.Office.Excel.Functions.SPG(Q14, "SP_COUNTRY_NAME")</f>
        <v>#INVALID COMPANY ID</v>
      </c>
      <c r="U14" t="s">
        <v>379</v>
      </c>
      <c r="V14">
        <v>137764443</v>
      </c>
      <c r="W14" t="s">
        <v>346</v>
      </c>
      <c r="X14" s="11">
        <v>0.93</v>
      </c>
      <c r="Y14" s="9" t="str">
        <f>_xll.SNL.Clients.Office.Excel.Functions.SPG(V14, "SP_COUNTRY_NAME")</f>
        <v>USA</v>
      </c>
      <c r="Z14" t="s">
        <v>638</v>
      </c>
      <c r="AA14">
        <v>4137668</v>
      </c>
      <c r="AB14" t="s">
        <v>346</v>
      </c>
      <c r="AC14" s="11">
        <v>0.28999999999999998</v>
      </c>
      <c r="AD14" s="9" t="str">
        <f>_xll.SNL.Clients.Office.Excel.Functions.SPG(AA14, "SP_COUNTRY_NAME")</f>
        <v>China</v>
      </c>
      <c r="AE14" t="s">
        <v>385</v>
      </c>
      <c r="AF14">
        <v>5752504</v>
      </c>
      <c r="AG14" t="s">
        <v>346</v>
      </c>
      <c r="AH14" s="11">
        <v>0.7</v>
      </c>
      <c r="AI14" s="9" t="str">
        <f>_xll.SNL.Clients.Office.Excel.Functions.SPG(AF14, "SP_COUNTRY_NAME")</f>
        <v>USA</v>
      </c>
      <c r="AJ14" t="s">
        <v>356</v>
      </c>
      <c r="AK14">
        <v>4578944</v>
      </c>
      <c r="AL14" t="s">
        <v>346</v>
      </c>
      <c r="AM14" s="11">
        <v>0.03</v>
      </c>
      <c r="AN14" s="9" t="str">
        <f>_xll.SNL.Clients.Office.Excel.Functions.SPG(AK14, "SP_COUNTRY_NAME")</f>
        <v>Australia</v>
      </c>
      <c r="AO14" t="s">
        <v>385</v>
      </c>
      <c r="AP14">
        <v>5752504</v>
      </c>
      <c r="AQ14" t="s">
        <v>346</v>
      </c>
      <c r="AR14" s="11">
        <v>0.86</v>
      </c>
      <c r="AS14" s="9" t="str">
        <f>_xll.SNL.Clients.Office.Excel.Functions.SPG(AP14, "SP_COUNTRY_NAME")</f>
        <v>USA</v>
      </c>
      <c r="AT14" t="s">
        <v>356</v>
      </c>
      <c r="AU14">
        <v>4578944</v>
      </c>
      <c r="AV14" t="s">
        <v>346</v>
      </c>
      <c r="AW14" s="11">
        <v>0.03</v>
      </c>
      <c r="AX14" s="9" t="str">
        <f>_xll.SNL.Clients.Office.Excel.Functions.SPG(AU14, "SP_COUNTRY_NAME")</f>
        <v>Australia</v>
      </c>
      <c r="AY14" t="s">
        <v>788</v>
      </c>
      <c r="AZ14">
        <v>4592065</v>
      </c>
      <c r="BA14" t="s">
        <v>346</v>
      </c>
      <c r="BB14" s="11">
        <v>0.62</v>
      </c>
      <c r="BC14" s="9" t="str">
        <f>_xll.SNL.Clients.Office.Excel.Functions.SPG(AZ14, "SP_COUNTRY_NAME")</f>
        <v>China</v>
      </c>
      <c r="BD14" t="s">
        <v>1001</v>
      </c>
      <c r="BE14">
        <v>109692</v>
      </c>
      <c r="BF14" t="s">
        <v>346</v>
      </c>
      <c r="BG14" s="11">
        <v>1.67</v>
      </c>
      <c r="BH14" s="9" t="str">
        <f>_xll.SNL.Clients.Office.Excel.Functions.SPG(BE14, "SP_COUNTRY_NAME")</f>
        <v>USA</v>
      </c>
      <c r="BI14" t="s">
        <v>351</v>
      </c>
      <c r="BJ14">
        <v>111289</v>
      </c>
      <c r="BK14" t="s">
        <v>346</v>
      </c>
      <c r="BL14" s="11">
        <v>1.38</v>
      </c>
      <c r="BM14" s="9" t="str">
        <f>_xll.SNL.Clients.Office.Excel.Functions.SPG(BJ14, "SP_COUNTRY_NAME")</f>
        <v>USA</v>
      </c>
      <c r="BN14" t="s">
        <v>642</v>
      </c>
      <c r="BO14">
        <v>5762318</v>
      </c>
      <c r="BP14" t="s">
        <v>346</v>
      </c>
      <c r="BQ14" s="11">
        <v>0.26</v>
      </c>
      <c r="BR14" s="9" t="str">
        <f>_xll.SNL.Clients.Office.Excel.Functions.SPG(BO14, "SP_COUNTRY_NAME")</f>
        <v>China</v>
      </c>
      <c r="BS14" t="s">
        <v>353</v>
      </c>
      <c r="BT14">
        <v>4048287</v>
      </c>
      <c r="BU14" t="s">
        <v>346</v>
      </c>
      <c r="BV14" s="11">
        <v>0.83</v>
      </c>
      <c r="BW14" s="9" t="str">
        <f>_xll.SNL.Clients.Office.Excel.Functions.SPG(BT14, "SP_COUNTRY_NAME")</f>
        <v>USA</v>
      </c>
      <c r="BX14" t="s">
        <v>379</v>
      </c>
      <c r="BY14">
        <v>137764443</v>
      </c>
      <c r="BZ14" t="s">
        <v>346</v>
      </c>
      <c r="CA14" s="11">
        <v>0.93</v>
      </c>
      <c r="CB14" s="9" t="str">
        <f>_xll.SNL.Clients.Office.Excel.Functions.SPG(BY14, "SP_COUNTRY_NAME")</f>
        <v>USA</v>
      </c>
      <c r="CC14" t="s">
        <v>385</v>
      </c>
      <c r="CD14">
        <v>5752504</v>
      </c>
      <c r="CE14" t="s">
        <v>346</v>
      </c>
      <c r="CF14" s="11">
        <v>0.71</v>
      </c>
      <c r="CG14" s="9" t="str">
        <f>_xll.SNL.Clients.Office.Excel.Functions.SPG(CD14, "SP_COUNTRY_NAME")</f>
        <v>USA</v>
      </c>
      <c r="CH14" t="s">
        <v>385</v>
      </c>
      <c r="CI14">
        <v>5752504</v>
      </c>
      <c r="CJ14" t="s">
        <v>346</v>
      </c>
      <c r="CK14" s="11">
        <v>0.86</v>
      </c>
      <c r="CL14" s="9" t="str">
        <f>_xll.SNL.Clients.Office.Excel.Functions.SPG(CI14, "SP_COUNTRY_NAME")</f>
        <v>USA</v>
      </c>
      <c r="CM14" t="s">
        <v>859</v>
      </c>
      <c r="CN14">
        <v>4049161</v>
      </c>
      <c r="CO14" t="s">
        <v>346</v>
      </c>
      <c r="CP14" s="11">
        <v>1.26</v>
      </c>
      <c r="CQ14" s="9" t="str">
        <f>_xll.SNL.Clients.Office.Excel.Functions.SPG(CN14, "SP_COUNTRY_NAME")</f>
        <v>USA</v>
      </c>
      <c r="CR14" t="s">
        <v>701</v>
      </c>
      <c r="CS14" t="s">
        <v>300</v>
      </c>
      <c r="CT14" t="s">
        <v>361</v>
      </c>
      <c r="CU14" s="11">
        <v>0.02</v>
      </c>
      <c r="CV14" s="9" t="str">
        <f>_xll.SNL.Clients.Office.Excel.Functions.SPG(CS14, "SP_COUNTRY_NAME")</f>
        <v>China</v>
      </c>
      <c r="CW14" t="s">
        <v>352</v>
      </c>
      <c r="CX14">
        <v>4143440</v>
      </c>
      <c r="CY14" t="s">
        <v>346</v>
      </c>
      <c r="CZ14" s="11">
        <v>0.06</v>
      </c>
      <c r="DA14" s="9" t="str">
        <f>_xll.SNL.Clients.Office.Excel.Functions.SPG(CX14, "SP_COUNTRY_NAME")</f>
        <v>USA</v>
      </c>
      <c r="DB14" t="s">
        <v>1001</v>
      </c>
      <c r="DC14">
        <v>109692</v>
      </c>
      <c r="DD14" t="s">
        <v>346</v>
      </c>
      <c r="DE14" s="11">
        <v>1.67</v>
      </c>
      <c r="DF14" s="9" t="str">
        <f>_xll.SNL.Clients.Office.Excel.Functions.SPG(DC14, "SP_COUNTRY_NAME")</f>
        <v>USA</v>
      </c>
      <c r="DG14" t="s">
        <v>352</v>
      </c>
      <c r="DH14">
        <v>4143440</v>
      </c>
      <c r="DI14" t="s">
        <v>346</v>
      </c>
      <c r="DJ14" s="11">
        <v>0.06</v>
      </c>
      <c r="DK14" s="9" t="str">
        <f>_xll.SNL.Clients.Office.Excel.Functions.SPG(DH14, "SP_COUNTRY_NAME")</f>
        <v>USA</v>
      </c>
      <c r="DL14" t="s">
        <v>1001</v>
      </c>
      <c r="DM14">
        <v>109692</v>
      </c>
      <c r="DN14" t="s">
        <v>346</v>
      </c>
      <c r="DO14" s="11">
        <v>1.67</v>
      </c>
      <c r="DP14" s="9" t="str">
        <f>_xll.SNL.Clients.Office.Excel.Functions.SPG(DM14, "SP_COUNTRY_NAME")</f>
        <v>USA</v>
      </c>
      <c r="DU14" s="9" t="str">
        <f>_xll.SNL.Clients.Office.Excel.Functions.SPG(DR14, "SP_COUNTRY_NAME")</f>
        <v>#INVALID COMPANY ID</v>
      </c>
      <c r="DV14" t="s">
        <v>355</v>
      </c>
      <c r="DW14">
        <v>111074</v>
      </c>
      <c r="DX14" t="s">
        <v>346</v>
      </c>
      <c r="DY14" s="11">
        <v>0.06</v>
      </c>
      <c r="DZ14" s="9" t="str">
        <f>_xll.SNL.Clients.Office.Excel.Functions.SPG(DW14, "SP_COUNTRY_NAME")</f>
        <v>USA</v>
      </c>
      <c r="EA14" t="s">
        <v>385</v>
      </c>
      <c r="EB14">
        <v>5752504</v>
      </c>
      <c r="EC14" t="s">
        <v>346</v>
      </c>
      <c r="ED14" s="11">
        <v>0.71</v>
      </c>
      <c r="EE14" s="9" t="str">
        <f>_xll.SNL.Clients.Office.Excel.Functions.SPG(EB14, "SP_COUNTRY_NAME")</f>
        <v>USA</v>
      </c>
      <c r="EF14" t="s">
        <v>1001</v>
      </c>
      <c r="EG14">
        <v>109692</v>
      </c>
      <c r="EH14" t="s">
        <v>346</v>
      </c>
      <c r="EI14" s="11">
        <v>1.67</v>
      </c>
      <c r="EJ14" s="9" t="str">
        <f>_xll.SNL.Clients.Office.Excel.Functions.SPG(EG14, "SP_COUNTRY_NAME")</f>
        <v>USA</v>
      </c>
      <c r="EK14" t="s">
        <v>352</v>
      </c>
      <c r="EL14">
        <v>4143440</v>
      </c>
      <c r="EM14" t="s">
        <v>346</v>
      </c>
      <c r="EN14" s="11">
        <v>0.06</v>
      </c>
      <c r="EO14" s="9" t="str">
        <f>_xll.SNL.Clients.Office.Excel.Functions.SPG(EL14, "SP_COUNTRY_NAME")</f>
        <v>USA</v>
      </c>
      <c r="EP14" t="s">
        <v>551</v>
      </c>
      <c r="EQ14">
        <v>4137681</v>
      </c>
      <c r="ER14" t="s">
        <v>346</v>
      </c>
      <c r="ES14" s="11">
        <v>0.41</v>
      </c>
      <c r="ET14" s="9" t="str">
        <f>_xll.SNL.Clients.Office.Excel.Functions.SPG(EQ14, "SP_COUNTRY_NAME")</f>
        <v>China</v>
      </c>
      <c r="EY14" s="9" t="str">
        <f>_xll.SNL.Clients.Office.Excel.Functions.SPG(EV14, "SP_COUNTRY_NAME")</f>
        <v>#INVALID COMPANY ID</v>
      </c>
      <c r="EZ14" t="s">
        <v>1916</v>
      </c>
      <c r="FA14" t="s">
        <v>300</v>
      </c>
      <c r="FB14" t="s">
        <v>361</v>
      </c>
      <c r="FC14" s="11">
        <v>0.05</v>
      </c>
      <c r="FD14" s="9" t="str">
        <f>_xll.SNL.Clients.Office.Excel.Functions.SPG(FA14, "SP_COUNTRY_NAME")</f>
        <v>China</v>
      </c>
      <c r="FE14" t="s">
        <v>429</v>
      </c>
      <c r="FF14">
        <v>4607441</v>
      </c>
      <c r="FG14" t="s">
        <v>346</v>
      </c>
      <c r="FH14" s="11">
        <v>0.7</v>
      </c>
      <c r="FI14" s="9" t="str">
        <f>_xll.SNL.Clients.Office.Excel.Functions.SPG(FF14, "SP_COUNTRY_NAME")</f>
        <v>Japan</v>
      </c>
      <c r="FJ14" t="s">
        <v>351</v>
      </c>
      <c r="FK14">
        <v>111289</v>
      </c>
      <c r="FL14" t="s">
        <v>346</v>
      </c>
      <c r="FM14" s="11">
        <v>1.37</v>
      </c>
      <c r="FN14" s="9" t="str">
        <f>_xll.SNL.Clients.Office.Excel.Functions.SPG(FK14, "SP_COUNTRY_NAME")</f>
        <v>USA</v>
      </c>
      <c r="FO14" t="s">
        <v>352</v>
      </c>
      <c r="FP14">
        <v>4143440</v>
      </c>
      <c r="FQ14" t="s">
        <v>346</v>
      </c>
      <c r="FR14" s="11">
        <v>0.06</v>
      </c>
      <c r="FS14" s="9" t="str">
        <f>_xll.SNL.Clients.Office.Excel.Functions.SPG(FP14, "SP_COUNTRY_NAME")</f>
        <v>USA</v>
      </c>
      <c r="FT14" t="s">
        <v>379</v>
      </c>
      <c r="FU14">
        <v>137764443</v>
      </c>
      <c r="FV14" t="s">
        <v>346</v>
      </c>
      <c r="FW14" s="11">
        <v>0.53</v>
      </c>
      <c r="FX14" s="9" t="str">
        <f>_xll.SNL.Clients.Office.Excel.Functions.SPG(FU14, "SP_COUNTRY_NAME")</f>
        <v>USA</v>
      </c>
      <c r="FY14" t="s">
        <v>1001</v>
      </c>
      <c r="FZ14">
        <v>109692</v>
      </c>
      <c r="GA14" t="s">
        <v>346</v>
      </c>
      <c r="GB14" s="11">
        <v>1.67</v>
      </c>
      <c r="GC14" s="9" t="str">
        <f>_xll.SNL.Clients.Office.Excel.Functions.SPG(FZ14, "SP_COUNTRY_NAME")</f>
        <v>USA</v>
      </c>
      <c r="GD14" t="s">
        <v>1916</v>
      </c>
      <c r="GE14" t="s">
        <v>300</v>
      </c>
      <c r="GF14" t="s">
        <v>361</v>
      </c>
      <c r="GG14" s="11">
        <v>0.05</v>
      </c>
      <c r="GH14" s="9" t="str">
        <f>_xll.SNL.Clients.Office.Excel.Functions.SPG(GE14, "SP_COUNTRY_NAME")</f>
        <v>China</v>
      </c>
      <c r="GI14" t="s">
        <v>429</v>
      </c>
      <c r="GJ14">
        <v>4607441</v>
      </c>
      <c r="GK14" t="s">
        <v>346</v>
      </c>
      <c r="GL14" s="11">
        <v>0.7</v>
      </c>
      <c r="GM14" s="9" t="str">
        <f>_xll.SNL.Clients.Office.Excel.Functions.SPG(GJ14, "SP_COUNTRY_NAME")</f>
        <v>Japan</v>
      </c>
      <c r="GN14" t="s">
        <v>351</v>
      </c>
      <c r="GO14">
        <v>111289</v>
      </c>
      <c r="GP14" t="s">
        <v>346</v>
      </c>
      <c r="GQ14" s="11">
        <v>1.37</v>
      </c>
      <c r="GR14" s="9" t="str">
        <f>_xll.SNL.Clients.Office.Excel.Functions.SPG(GO14, "SP_COUNTRY_NAME")</f>
        <v>USA</v>
      </c>
      <c r="GS14" t="s">
        <v>642</v>
      </c>
      <c r="GT14">
        <v>5762318</v>
      </c>
      <c r="GU14" t="s">
        <v>346</v>
      </c>
      <c r="GV14" s="11">
        <v>0.26</v>
      </c>
      <c r="GW14" s="9" t="str">
        <f>_xll.SNL.Clients.Office.Excel.Functions.SPG(GT14, "SP_COUNTRY_NAME")</f>
        <v>China</v>
      </c>
      <c r="GX14" t="s">
        <v>385</v>
      </c>
      <c r="GY14">
        <v>5752504</v>
      </c>
      <c r="GZ14" t="s">
        <v>346</v>
      </c>
      <c r="HA14" s="11">
        <v>0.71</v>
      </c>
      <c r="HB14" s="9" t="str">
        <f>_xll.SNL.Clients.Office.Excel.Functions.SPG(GY14, "SP_COUNTRY_NAME")</f>
        <v>USA</v>
      </c>
      <c r="HC14" t="s">
        <v>2178</v>
      </c>
      <c r="HD14">
        <v>6840063</v>
      </c>
      <c r="HE14" t="s">
        <v>366</v>
      </c>
      <c r="HF14" s="11">
        <v>0.02</v>
      </c>
      <c r="HG14" s="9" t="str">
        <f>_xll.SNL.Clients.Office.Excel.Functions.SPG(HD14, "SP_COUNTRY_NAME")</f>
        <v>Australia</v>
      </c>
    </row>
    <row r="15" spans="1:215" x14ac:dyDescent="0.35">
      <c r="A15" t="s">
        <v>357</v>
      </c>
      <c r="B15">
        <v>4270330</v>
      </c>
      <c r="C15" t="s">
        <v>346</v>
      </c>
      <c r="D15" s="11">
        <v>0.02</v>
      </c>
      <c r="E15" s="9" t="str">
        <f>_xll.SNL.Clients.Office.Excel.Functions.SPG(B15, "SP_COUNTRY_NAME")</f>
        <v>USA</v>
      </c>
      <c r="F15" t="s">
        <v>428</v>
      </c>
      <c r="G15">
        <v>4116134</v>
      </c>
      <c r="H15" t="s">
        <v>346</v>
      </c>
      <c r="I15" s="11">
        <v>1.25</v>
      </c>
      <c r="J15" s="9" t="str">
        <f>_xll.SNL.Clients.Office.Excel.Functions.SPG(G15, "SP_COUNTRY_NAME")</f>
        <v>Japan</v>
      </c>
      <c r="K15" t="s">
        <v>639</v>
      </c>
      <c r="L15">
        <v>4139311</v>
      </c>
      <c r="M15" t="s">
        <v>346</v>
      </c>
      <c r="N15" s="11">
        <v>0.23</v>
      </c>
      <c r="O15" s="9" t="str">
        <f>_xll.SNL.Clients.Office.Excel.Functions.SPG(L15, "SP_COUNTRY_NAME")</f>
        <v>China</v>
      </c>
      <c r="T15" s="9" t="str">
        <f>_xll.SNL.Clients.Office.Excel.Functions.SPG(Q15, "SP_COUNTRY_NAME")</f>
        <v>#INVALID COMPANY ID</v>
      </c>
      <c r="U15" t="s">
        <v>710</v>
      </c>
      <c r="V15">
        <v>4559567</v>
      </c>
      <c r="W15" t="s">
        <v>346</v>
      </c>
      <c r="X15" s="11">
        <v>0.76</v>
      </c>
      <c r="Y15" s="9" t="str">
        <f>_xll.SNL.Clients.Office.Excel.Functions.SPG(V15, "SP_COUNTRY_NAME")</f>
        <v>China</v>
      </c>
      <c r="Z15" t="s">
        <v>639</v>
      </c>
      <c r="AA15">
        <v>4139311</v>
      </c>
      <c r="AB15" t="s">
        <v>346</v>
      </c>
      <c r="AC15" s="11">
        <v>0.23</v>
      </c>
      <c r="AD15" s="9" t="str">
        <f>_xll.SNL.Clients.Office.Excel.Functions.SPG(AA15, "SP_COUNTRY_NAME")</f>
        <v>China</v>
      </c>
      <c r="AE15" t="s">
        <v>552</v>
      </c>
      <c r="AF15">
        <v>4026973</v>
      </c>
      <c r="AG15" t="s">
        <v>346</v>
      </c>
      <c r="AH15" s="11">
        <v>0.69</v>
      </c>
      <c r="AI15" s="9" t="str">
        <f>_xll.SNL.Clients.Office.Excel.Functions.SPG(AF15, "SP_COUNTRY_NAME")</f>
        <v>United Kingdom</v>
      </c>
      <c r="AJ15" t="s">
        <v>357</v>
      </c>
      <c r="AK15">
        <v>4270330</v>
      </c>
      <c r="AL15" t="s">
        <v>346</v>
      </c>
      <c r="AM15" s="11">
        <v>0.02</v>
      </c>
      <c r="AN15" s="9" t="str">
        <f>_xll.SNL.Clients.Office.Excel.Functions.SPG(AK15, "SP_COUNTRY_NAME")</f>
        <v>USA</v>
      </c>
      <c r="AO15" t="s">
        <v>552</v>
      </c>
      <c r="AP15">
        <v>4026973</v>
      </c>
      <c r="AQ15" t="s">
        <v>346</v>
      </c>
      <c r="AR15" s="11">
        <v>0.83</v>
      </c>
      <c r="AS15" s="9" t="str">
        <f>_xll.SNL.Clients.Office.Excel.Functions.SPG(AP15, "SP_COUNTRY_NAME")</f>
        <v>United Kingdom</v>
      </c>
      <c r="AT15" t="s">
        <v>357</v>
      </c>
      <c r="AU15">
        <v>4270330</v>
      </c>
      <c r="AV15" t="s">
        <v>346</v>
      </c>
      <c r="AW15" s="11">
        <v>0.02</v>
      </c>
      <c r="AX15" s="9" t="str">
        <f>_xll.SNL.Clients.Office.Excel.Functions.SPG(AU15, "SP_COUNTRY_NAME")</f>
        <v>USA</v>
      </c>
      <c r="AY15" t="s">
        <v>723</v>
      </c>
      <c r="AZ15">
        <v>4536183</v>
      </c>
      <c r="BA15" t="s">
        <v>346</v>
      </c>
      <c r="BB15" s="11">
        <v>0.6</v>
      </c>
      <c r="BC15" s="9" t="str">
        <f>_xll.SNL.Clients.Office.Excel.Functions.SPG(AZ15, "SP_COUNTRY_NAME")</f>
        <v>China</v>
      </c>
      <c r="BD15" t="s">
        <v>393</v>
      </c>
      <c r="BE15">
        <v>4723508</v>
      </c>
      <c r="BF15" t="s">
        <v>346</v>
      </c>
      <c r="BG15" s="11">
        <v>1.27</v>
      </c>
      <c r="BH15" s="9" t="str">
        <f>_xll.SNL.Clients.Office.Excel.Functions.SPG(BE15, "SP_COUNTRY_NAME")</f>
        <v>United Kingdom</v>
      </c>
      <c r="BI15" t="s">
        <v>978</v>
      </c>
      <c r="BJ15">
        <v>4224292</v>
      </c>
      <c r="BK15" t="s">
        <v>346</v>
      </c>
      <c r="BL15" s="11">
        <v>1.23</v>
      </c>
      <c r="BM15" s="9" t="str">
        <f>_xll.SNL.Clients.Office.Excel.Functions.SPG(BJ15, "SP_COUNTRY_NAME")</f>
        <v>Germany</v>
      </c>
      <c r="BN15" t="s">
        <v>399</v>
      </c>
      <c r="BO15">
        <v>4026948</v>
      </c>
      <c r="BP15" t="s">
        <v>346</v>
      </c>
      <c r="BQ15" s="11">
        <v>0.25</v>
      </c>
      <c r="BR15" s="9" t="str">
        <f>_xll.SNL.Clients.Office.Excel.Functions.SPG(BO15, "SP_COUNTRY_NAME")</f>
        <v>France</v>
      </c>
      <c r="BS15" t="s">
        <v>552</v>
      </c>
      <c r="BT15">
        <v>4026973</v>
      </c>
      <c r="BU15" t="s">
        <v>346</v>
      </c>
      <c r="BV15" s="11">
        <v>0.77</v>
      </c>
      <c r="BW15" s="9" t="str">
        <f>_xll.SNL.Clients.Office.Excel.Functions.SPG(BT15, "SP_COUNTRY_NAME")</f>
        <v>United Kingdom</v>
      </c>
      <c r="BX15" t="s">
        <v>710</v>
      </c>
      <c r="BY15">
        <v>4559567</v>
      </c>
      <c r="BZ15" t="s">
        <v>346</v>
      </c>
      <c r="CA15" s="11">
        <v>0.76</v>
      </c>
      <c r="CB15" s="9" t="str">
        <f>_xll.SNL.Clients.Office.Excel.Functions.SPG(BY15, "SP_COUNTRY_NAME")</f>
        <v>China</v>
      </c>
      <c r="CC15" t="s">
        <v>1612</v>
      </c>
      <c r="CD15">
        <v>4047336</v>
      </c>
      <c r="CE15" t="s">
        <v>346</v>
      </c>
      <c r="CF15" s="11">
        <v>0.7</v>
      </c>
      <c r="CG15" s="9" t="str">
        <f>_xll.SNL.Clients.Office.Excel.Functions.SPG(CD15, "SP_COUNTRY_NAME")</f>
        <v>Brazil</v>
      </c>
      <c r="CH15" t="s">
        <v>552</v>
      </c>
      <c r="CI15">
        <v>4026973</v>
      </c>
      <c r="CJ15" t="s">
        <v>346</v>
      </c>
      <c r="CK15" s="11">
        <v>0.83</v>
      </c>
      <c r="CL15" s="9" t="str">
        <f>_xll.SNL.Clients.Office.Excel.Functions.SPG(CI15, "SP_COUNTRY_NAME")</f>
        <v>United Kingdom</v>
      </c>
      <c r="CM15" t="s">
        <v>1620</v>
      </c>
      <c r="CN15">
        <v>4110297</v>
      </c>
      <c r="CO15" t="s">
        <v>364</v>
      </c>
      <c r="CP15" s="11">
        <v>0.89</v>
      </c>
      <c r="CQ15" s="9" t="str">
        <f>_xll.SNL.Clients.Office.Excel.Functions.SPG(CN15, "SP_COUNTRY_NAME")</f>
        <v>USA</v>
      </c>
      <c r="CR15" t="s">
        <v>702</v>
      </c>
      <c r="CS15" t="s">
        <v>300</v>
      </c>
      <c r="CT15" t="s">
        <v>361</v>
      </c>
      <c r="CU15" s="11">
        <v>0</v>
      </c>
      <c r="CV15" s="9" t="str">
        <f>_xll.SNL.Clients.Office.Excel.Functions.SPG(CS15, "SP_COUNTRY_NAME")</f>
        <v>China</v>
      </c>
      <c r="CW15" t="s">
        <v>355</v>
      </c>
      <c r="CX15">
        <v>111074</v>
      </c>
      <c r="CY15" t="s">
        <v>346</v>
      </c>
      <c r="CZ15" s="11">
        <v>0.06</v>
      </c>
      <c r="DA15" s="9" t="str">
        <f>_xll.SNL.Clients.Office.Excel.Functions.SPG(CX15, "SP_COUNTRY_NAME")</f>
        <v>USA</v>
      </c>
      <c r="DB15" t="s">
        <v>393</v>
      </c>
      <c r="DC15">
        <v>4723508</v>
      </c>
      <c r="DD15" t="s">
        <v>346</v>
      </c>
      <c r="DE15" s="11">
        <v>1.27</v>
      </c>
      <c r="DF15" s="9" t="str">
        <f>_xll.SNL.Clients.Office.Excel.Functions.SPG(DC15, "SP_COUNTRY_NAME")</f>
        <v>United Kingdom</v>
      </c>
      <c r="DG15" t="s">
        <v>355</v>
      </c>
      <c r="DH15">
        <v>111074</v>
      </c>
      <c r="DI15" t="s">
        <v>346</v>
      </c>
      <c r="DJ15" s="11">
        <v>0.06</v>
      </c>
      <c r="DK15" s="9" t="str">
        <f>_xll.SNL.Clients.Office.Excel.Functions.SPG(DH15, "SP_COUNTRY_NAME")</f>
        <v>USA</v>
      </c>
      <c r="DL15" t="s">
        <v>393</v>
      </c>
      <c r="DM15">
        <v>4723508</v>
      </c>
      <c r="DN15" t="s">
        <v>346</v>
      </c>
      <c r="DO15" s="11">
        <v>1.27</v>
      </c>
      <c r="DP15" s="9" t="str">
        <f>_xll.SNL.Clients.Office.Excel.Functions.SPG(DM15, "SP_COUNTRY_NAME")</f>
        <v>United Kingdom</v>
      </c>
      <c r="DU15" s="9" t="str">
        <f>_xll.SNL.Clients.Office.Excel.Functions.SPG(DR15, "SP_COUNTRY_NAME")</f>
        <v>#INVALID COMPANY ID</v>
      </c>
      <c r="DV15" t="s">
        <v>1192</v>
      </c>
      <c r="DW15">
        <v>4415847</v>
      </c>
      <c r="DX15" t="s">
        <v>346</v>
      </c>
      <c r="DY15" s="11">
        <v>0.05</v>
      </c>
      <c r="DZ15" s="9" t="str">
        <f>_xll.SNL.Clients.Office.Excel.Functions.SPG(DW15, "SP_COUNTRY_NAME")</f>
        <v>Sweden</v>
      </c>
      <c r="EA15" t="s">
        <v>1612</v>
      </c>
      <c r="EB15">
        <v>4047336</v>
      </c>
      <c r="EC15" t="s">
        <v>346</v>
      </c>
      <c r="ED15" s="11">
        <v>0.7</v>
      </c>
      <c r="EE15" s="9" t="str">
        <f>_xll.SNL.Clients.Office.Excel.Functions.SPG(EB15, "SP_COUNTRY_NAME")</f>
        <v>Brazil</v>
      </c>
      <c r="EF15" t="s">
        <v>393</v>
      </c>
      <c r="EG15">
        <v>4723508</v>
      </c>
      <c r="EH15" t="s">
        <v>346</v>
      </c>
      <c r="EI15" s="11">
        <v>1.27</v>
      </c>
      <c r="EJ15" s="9" t="str">
        <f>_xll.SNL.Clients.Office.Excel.Functions.SPG(EG15, "SP_COUNTRY_NAME")</f>
        <v>United Kingdom</v>
      </c>
      <c r="EK15" t="s">
        <v>355</v>
      </c>
      <c r="EL15">
        <v>111074</v>
      </c>
      <c r="EM15" t="s">
        <v>346</v>
      </c>
      <c r="EN15" s="11">
        <v>0.06</v>
      </c>
      <c r="EO15" s="9" t="str">
        <f>_xll.SNL.Clients.Office.Excel.Functions.SPG(EL15, "SP_COUNTRY_NAME")</f>
        <v>USA</v>
      </c>
      <c r="EP15" t="s">
        <v>636</v>
      </c>
      <c r="EQ15">
        <v>4139271</v>
      </c>
      <c r="ER15" t="s">
        <v>346</v>
      </c>
      <c r="ES15" s="11">
        <v>0.31</v>
      </c>
      <c r="ET15" s="9" t="str">
        <f>_xll.SNL.Clients.Office.Excel.Functions.SPG(EQ15, "SP_COUNTRY_NAME")</f>
        <v>China</v>
      </c>
      <c r="EY15" s="9" t="str">
        <f>_xll.SNL.Clients.Office.Excel.Functions.SPG(EV15, "SP_COUNTRY_NAME")</f>
        <v>#INVALID COMPANY ID</v>
      </c>
      <c r="EZ15" t="s">
        <v>496</v>
      </c>
      <c r="FA15">
        <v>110495</v>
      </c>
      <c r="FB15" t="s">
        <v>346</v>
      </c>
      <c r="FC15" s="11">
        <v>0.04</v>
      </c>
      <c r="FD15" s="9" t="str">
        <f>_xll.SNL.Clients.Office.Excel.Functions.SPG(FA15, "SP_COUNTRY_NAME")</f>
        <v>USA</v>
      </c>
      <c r="FE15" t="s">
        <v>378</v>
      </c>
      <c r="FF15">
        <v>4048184</v>
      </c>
      <c r="FG15" t="s">
        <v>346</v>
      </c>
      <c r="FH15" s="11">
        <v>0.62</v>
      </c>
      <c r="FI15" s="9" t="str">
        <f>_xll.SNL.Clients.Office.Excel.Functions.SPG(FF15, "SP_COUNTRY_NAME")</f>
        <v>Canada</v>
      </c>
      <c r="FJ15" t="s">
        <v>440</v>
      </c>
      <c r="FK15">
        <v>4140078</v>
      </c>
      <c r="FL15" t="s">
        <v>346</v>
      </c>
      <c r="FM15" s="11">
        <v>1.28</v>
      </c>
      <c r="FN15" s="9" t="str">
        <f>_xll.SNL.Clients.Office.Excel.Functions.SPG(FK15, "SP_COUNTRY_NAME")</f>
        <v>Japan</v>
      </c>
      <c r="FO15" t="s">
        <v>355</v>
      </c>
      <c r="FP15">
        <v>111074</v>
      </c>
      <c r="FQ15" t="s">
        <v>346</v>
      </c>
      <c r="FR15" s="11">
        <v>0.06</v>
      </c>
      <c r="FS15" s="9" t="str">
        <f>_xll.SNL.Clients.Office.Excel.Functions.SPG(FP15, "SP_COUNTRY_NAME")</f>
        <v>USA</v>
      </c>
      <c r="FT15" t="s">
        <v>351</v>
      </c>
      <c r="FU15">
        <v>111289</v>
      </c>
      <c r="FV15" t="s">
        <v>346</v>
      </c>
      <c r="FW15" s="11">
        <v>0.32</v>
      </c>
      <c r="FX15" s="9" t="str">
        <f>_xll.SNL.Clients.Office.Excel.Functions.SPG(FU15, "SP_COUNTRY_NAME")</f>
        <v>USA</v>
      </c>
      <c r="FY15" t="s">
        <v>393</v>
      </c>
      <c r="FZ15">
        <v>4723508</v>
      </c>
      <c r="GA15" t="s">
        <v>346</v>
      </c>
      <c r="GB15" s="11">
        <v>1.27</v>
      </c>
      <c r="GC15" s="9" t="str">
        <f>_xll.SNL.Clients.Office.Excel.Functions.SPG(FZ15, "SP_COUNTRY_NAME")</f>
        <v>United Kingdom</v>
      </c>
      <c r="GD15" t="s">
        <v>496</v>
      </c>
      <c r="GE15">
        <v>110495</v>
      </c>
      <c r="GF15" t="s">
        <v>346</v>
      </c>
      <c r="GG15" s="11">
        <v>0.04</v>
      </c>
      <c r="GH15" s="9" t="str">
        <f>_xll.SNL.Clients.Office.Excel.Functions.SPG(GE15, "SP_COUNTRY_NAME")</f>
        <v>USA</v>
      </c>
      <c r="GI15" t="s">
        <v>378</v>
      </c>
      <c r="GJ15">
        <v>4048184</v>
      </c>
      <c r="GK15" t="s">
        <v>346</v>
      </c>
      <c r="GL15" s="11">
        <v>0.62</v>
      </c>
      <c r="GM15" s="9" t="str">
        <f>_xll.SNL.Clients.Office.Excel.Functions.SPG(GJ15, "SP_COUNTRY_NAME")</f>
        <v>Canada</v>
      </c>
      <c r="GN15" t="s">
        <v>440</v>
      </c>
      <c r="GO15">
        <v>4140078</v>
      </c>
      <c r="GP15" t="s">
        <v>346</v>
      </c>
      <c r="GQ15" s="11">
        <v>1.28</v>
      </c>
      <c r="GR15" s="9" t="str">
        <f>_xll.SNL.Clients.Office.Excel.Functions.SPG(GO15, "SP_COUNTRY_NAME")</f>
        <v>Japan</v>
      </c>
      <c r="GS15" t="s">
        <v>399</v>
      </c>
      <c r="GT15">
        <v>4026948</v>
      </c>
      <c r="GU15" t="s">
        <v>346</v>
      </c>
      <c r="GV15" s="11">
        <v>0.25</v>
      </c>
      <c r="GW15" s="9" t="str">
        <f>_xll.SNL.Clients.Office.Excel.Functions.SPG(GT15, "SP_COUNTRY_NAME")</f>
        <v>France</v>
      </c>
      <c r="GX15" t="s">
        <v>1612</v>
      </c>
      <c r="GY15">
        <v>4047336</v>
      </c>
      <c r="GZ15" t="s">
        <v>346</v>
      </c>
      <c r="HA15" s="11">
        <v>0.7</v>
      </c>
      <c r="HB15" s="9" t="str">
        <f>_xll.SNL.Clients.Office.Excel.Functions.SPG(GY15, "SP_COUNTRY_NAME")</f>
        <v>Brazil</v>
      </c>
      <c r="HC15" t="s">
        <v>530</v>
      </c>
      <c r="HD15">
        <v>102729</v>
      </c>
      <c r="HE15" t="s">
        <v>346</v>
      </c>
      <c r="HF15" s="11">
        <v>0.01</v>
      </c>
      <c r="HG15" s="9" t="str">
        <f>_xll.SNL.Clients.Office.Excel.Functions.SPG(HD15, "SP_COUNTRY_NAME")</f>
        <v>USA</v>
      </c>
    </row>
    <row r="16" spans="1:215" x14ac:dyDescent="0.35">
      <c r="A16" t="s">
        <v>358</v>
      </c>
      <c r="B16">
        <v>4137806</v>
      </c>
      <c r="C16" t="s">
        <v>346</v>
      </c>
      <c r="D16" s="11">
        <v>0.01</v>
      </c>
      <c r="E16" s="9" t="str">
        <f>_xll.SNL.Clients.Office.Excel.Functions.SPG(B16, "SP_COUNTRY_NAME")</f>
        <v>Singapore</v>
      </c>
      <c r="F16" t="s">
        <v>429</v>
      </c>
      <c r="G16">
        <v>4607441</v>
      </c>
      <c r="H16" t="s">
        <v>346</v>
      </c>
      <c r="I16" s="11">
        <v>1.17</v>
      </c>
      <c r="J16" s="9" t="str">
        <f>_xll.SNL.Clients.Office.Excel.Functions.SPG(G16, "SP_COUNTRY_NAME")</f>
        <v>Japan</v>
      </c>
      <c r="K16" t="s">
        <v>551</v>
      </c>
      <c r="L16">
        <v>4137681</v>
      </c>
      <c r="M16" t="s">
        <v>346</v>
      </c>
      <c r="N16" s="11">
        <v>0.21</v>
      </c>
      <c r="O16" s="9" t="str">
        <f>_xll.SNL.Clients.Office.Excel.Functions.SPG(L16, "SP_COUNTRY_NAME")</f>
        <v>China</v>
      </c>
      <c r="T16" s="9" t="str">
        <f>_xll.SNL.Clients.Office.Excel.Functions.SPG(Q16, "SP_COUNTRY_NAME")</f>
        <v>#INVALID COMPANY ID</v>
      </c>
      <c r="U16" t="s">
        <v>711</v>
      </c>
      <c r="V16">
        <v>4236979</v>
      </c>
      <c r="W16" t="s">
        <v>346</v>
      </c>
      <c r="X16" s="11">
        <v>0.76</v>
      </c>
      <c r="Y16" s="9" t="str">
        <f>_xll.SNL.Clients.Office.Excel.Functions.SPG(V16, "SP_COUNTRY_NAME")</f>
        <v>China</v>
      </c>
      <c r="Z16" t="s">
        <v>551</v>
      </c>
      <c r="AA16">
        <v>4137681</v>
      </c>
      <c r="AB16" t="s">
        <v>346</v>
      </c>
      <c r="AC16" s="11">
        <v>0.21</v>
      </c>
      <c r="AD16" s="9" t="str">
        <f>_xll.SNL.Clients.Office.Excel.Functions.SPG(AA16, "SP_COUNTRY_NAME")</f>
        <v>China</v>
      </c>
      <c r="AE16" t="s">
        <v>583</v>
      </c>
      <c r="AF16">
        <v>4579014</v>
      </c>
      <c r="AG16" t="s">
        <v>346</v>
      </c>
      <c r="AH16" s="11">
        <v>0.67</v>
      </c>
      <c r="AI16" s="9" t="str">
        <f>_xll.SNL.Clients.Office.Excel.Functions.SPG(AF16, "SP_COUNTRY_NAME")</f>
        <v>USA</v>
      </c>
      <c r="AJ16" t="s">
        <v>358</v>
      </c>
      <c r="AK16">
        <v>4137806</v>
      </c>
      <c r="AL16" t="s">
        <v>346</v>
      </c>
      <c r="AM16" s="11">
        <v>0.01</v>
      </c>
      <c r="AN16" s="9" t="str">
        <f>_xll.SNL.Clients.Office.Excel.Functions.SPG(AK16, "SP_COUNTRY_NAME")</f>
        <v>Singapore</v>
      </c>
      <c r="AO16" t="s">
        <v>576</v>
      </c>
      <c r="AP16">
        <v>4672091</v>
      </c>
      <c r="AQ16" t="s">
        <v>300</v>
      </c>
      <c r="AR16" s="11">
        <v>0.81</v>
      </c>
      <c r="AS16" s="9" t="str">
        <f>_xll.SNL.Clients.Office.Excel.Functions.SPG(AP16, "SP_COUNTRY_NAME")</f>
        <v>South Africa</v>
      </c>
      <c r="AT16" t="s">
        <v>358</v>
      </c>
      <c r="AU16">
        <v>4137806</v>
      </c>
      <c r="AV16" t="s">
        <v>346</v>
      </c>
      <c r="AW16" s="11">
        <v>0.01</v>
      </c>
      <c r="AX16" s="9" t="str">
        <f>_xll.SNL.Clients.Office.Excel.Functions.SPG(AU16, "SP_COUNTRY_NAME")</f>
        <v>Singapore</v>
      </c>
      <c r="AY16" t="s">
        <v>865</v>
      </c>
      <c r="AZ16">
        <v>4669111</v>
      </c>
      <c r="BA16" t="s">
        <v>346</v>
      </c>
      <c r="BB16" s="11">
        <v>0.48</v>
      </c>
      <c r="BC16" s="9" t="str">
        <f>_xll.SNL.Clients.Office.Excel.Functions.SPG(AZ16, "SP_COUNTRY_NAME")</f>
        <v>China</v>
      </c>
      <c r="BD16" t="s">
        <v>406</v>
      </c>
      <c r="BE16">
        <v>4115698</v>
      </c>
      <c r="BF16" t="s">
        <v>346</v>
      </c>
      <c r="BG16" s="11">
        <v>1.27</v>
      </c>
      <c r="BH16" s="9" t="str">
        <f>_xll.SNL.Clients.Office.Excel.Functions.SPG(BE16, "SP_COUNTRY_NAME")</f>
        <v>United Kingdom</v>
      </c>
      <c r="BI16" t="s">
        <v>419</v>
      </c>
      <c r="BJ16">
        <v>4338202</v>
      </c>
      <c r="BK16" t="s">
        <v>346</v>
      </c>
      <c r="BL16" s="11">
        <v>1.17</v>
      </c>
      <c r="BM16" s="9" t="str">
        <f>_xll.SNL.Clients.Office.Excel.Functions.SPG(BJ16, "SP_COUNTRY_NAME")</f>
        <v>USA</v>
      </c>
      <c r="BN16" t="s">
        <v>670</v>
      </c>
      <c r="BO16">
        <v>4138799</v>
      </c>
      <c r="BP16" t="s">
        <v>346</v>
      </c>
      <c r="BQ16" s="11">
        <v>0.22</v>
      </c>
      <c r="BR16" s="9" t="str">
        <f>_xll.SNL.Clients.Office.Excel.Functions.SPG(BO16, "SP_COUNTRY_NAME")</f>
        <v>China</v>
      </c>
      <c r="BS16" t="s">
        <v>596</v>
      </c>
      <c r="BT16">
        <v>4140486</v>
      </c>
      <c r="BU16" t="s">
        <v>346</v>
      </c>
      <c r="BV16" s="11">
        <v>0.76</v>
      </c>
      <c r="BW16" s="9" t="str">
        <f>_xll.SNL.Clients.Office.Excel.Functions.SPG(BT16, "SP_COUNTRY_NAME")</f>
        <v>China</v>
      </c>
      <c r="BX16" t="s">
        <v>711</v>
      </c>
      <c r="BY16">
        <v>4236979</v>
      </c>
      <c r="BZ16" t="s">
        <v>346</v>
      </c>
      <c r="CA16" s="11">
        <v>0.76</v>
      </c>
      <c r="CB16" s="9" t="str">
        <f>_xll.SNL.Clients.Office.Excel.Functions.SPG(BY16, "SP_COUNTRY_NAME")</f>
        <v>China</v>
      </c>
      <c r="CC16" t="s">
        <v>1613</v>
      </c>
      <c r="CD16">
        <v>4234156</v>
      </c>
      <c r="CE16" t="s">
        <v>346</v>
      </c>
      <c r="CF16" s="11">
        <v>0.65</v>
      </c>
      <c r="CG16" s="9" t="str">
        <f>_xll.SNL.Clients.Office.Excel.Functions.SPG(CD16, "SP_COUNTRY_NAME")</f>
        <v>Brazil</v>
      </c>
      <c r="CH16" t="s">
        <v>576</v>
      </c>
      <c r="CI16">
        <v>4672091</v>
      </c>
      <c r="CJ16" t="s">
        <v>300</v>
      </c>
      <c r="CK16" s="11">
        <v>0.81</v>
      </c>
      <c r="CL16" s="9" t="str">
        <f>_xll.SNL.Clients.Office.Excel.Functions.SPG(CI16, "SP_COUNTRY_NAME")</f>
        <v>South Africa</v>
      </c>
      <c r="CM16" t="s">
        <v>1117</v>
      </c>
      <c r="CN16">
        <v>4138136</v>
      </c>
      <c r="CO16" t="s">
        <v>364</v>
      </c>
      <c r="CP16" s="11">
        <v>0.89</v>
      </c>
      <c r="CQ16" s="9" t="str">
        <f>_xll.SNL.Clients.Office.Excel.Functions.SPG(CN16, "SP_COUNTRY_NAME")</f>
        <v>United Kingdom</v>
      </c>
      <c r="CR16" t="s">
        <v>703</v>
      </c>
      <c r="CS16" t="s">
        <v>300</v>
      </c>
      <c r="CT16" t="s">
        <v>361</v>
      </c>
      <c r="CU16" s="11">
        <v>0</v>
      </c>
      <c r="CV16" s="9" t="str">
        <f>_xll.SNL.Clients.Office.Excel.Functions.SPG(CS16, "SP_COUNTRY_NAME")</f>
        <v>China</v>
      </c>
      <c r="CW16" t="s">
        <v>419</v>
      </c>
      <c r="CX16">
        <v>4338202</v>
      </c>
      <c r="CY16" t="s">
        <v>346</v>
      </c>
      <c r="CZ16" s="11">
        <v>0.03</v>
      </c>
      <c r="DA16" s="9" t="str">
        <f>_xll.SNL.Clients.Office.Excel.Functions.SPG(CX16, "SP_COUNTRY_NAME")</f>
        <v>USA</v>
      </c>
      <c r="DB16" t="s">
        <v>406</v>
      </c>
      <c r="DC16">
        <v>4115698</v>
      </c>
      <c r="DD16" t="s">
        <v>346</v>
      </c>
      <c r="DE16" s="11">
        <v>1.27</v>
      </c>
      <c r="DF16" s="9" t="str">
        <f>_xll.SNL.Clients.Office.Excel.Functions.SPG(DC16, "SP_COUNTRY_NAME")</f>
        <v>United Kingdom</v>
      </c>
      <c r="DG16" t="s">
        <v>419</v>
      </c>
      <c r="DH16">
        <v>4338202</v>
      </c>
      <c r="DI16" t="s">
        <v>346</v>
      </c>
      <c r="DJ16" s="11">
        <v>0.03</v>
      </c>
      <c r="DK16" s="9" t="str">
        <f>_xll.SNL.Clients.Office.Excel.Functions.SPG(DH16, "SP_COUNTRY_NAME")</f>
        <v>USA</v>
      </c>
      <c r="DL16" t="s">
        <v>406</v>
      </c>
      <c r="DM16">
        <v>4115698</v>
      </c>
      <c r="DN16" t="s">
        <v>346</v>
      </c>
      <c r="DO16" s="11">
        <v>1.27</v>
      </c>
      <c r="DP16" s="9" t="str">
        <f>_xll.SNL.Clients.Office.Excel.Functions.SPG(DM16, "SP_COUNTRY_NAME")</f>
        <v>United Kingdom</v>
      </c>
      <c r="DU16" s="9" t="str">
        <f>_xll.SNL.Clients.Office.Excel.Functions.SPG(DR16, "SP_COUNTRY_NAME")</f>
        <v>#INVALID COMPANY ID</v>
      </c>
      <c r="DV16" t="s">
        <v>1193</v>
      </c>
      <c r="DW16">
        <v>4304963</v>
      </c>
      <c r="DX16" t="s">
        <v>369</v>
      </c>
      <c r="DY16" s="11">
        <v>0.05</v>
      </c>
      <c r="DZ16" s="9" t="str">
        <f>_xll.SNL.Clients.Office.Excel.Functions.SPG(DW16, "SP_COUNTRY_NAME")</f>
        <v>Russia</v>
      </c>
      <c r="EA16" t="s">
        <v>1613</v>
      </c>
      <c r="EB16">
        <v>4234156</v>
      </c>
      <c r="EC16" t="s">
        <v>346</v>
      </c>
      <c r="ED16" s="11">
        <v>0.65</v>
      </c>
      <c r="EE16" s="9" t="str">
        <f>_xll.SNL.Clients.Office.Excel.Functions.SPG(EB16, "SP_COUNTRY_NAME")</f>
        <v>Brazil</v>
      </c>
      <c r="EF16" t="s">
        <v>406</v>
      </c>
      <c r="EG16">
        <v>4115698</v>
      </c>
      <c r="EH16" t="s">
        <v>346</v>
      </c>
      <c r="EI16" s="11">
        <v>1.27</v>
      </c>
      <c r="EJ16" s="9" t="str">
        <f>_xll.SNL.Clients.Office.Excel.Functions.SPG(EG16, "SP_COUNTRY_NAME")</f>
        <v>United Kingdom</v>
      </c>
      <c r="EK16" t="s">
        <v>419</v>
      </c>
      <c r="EL16">
        <v>4338202</v>
      </c>
      <c r="EM16" t="s">
        <v>346</v>
      </c>
      <c r="EN16" s="11">
        <v>0.03</v>
      </c>
      <c r="EO16" s="9" t="str">
        <f>_xll.SNL.Clients.Office.Excel.Functions.SPG(EL16, "SP_COUNTRY_NAME")</f>
        <v>USA</v>
      </c>
      <c r="EP16" t="s">
        <v>721</v>
      </c>
      <c r="EQ16">
        <v>4329445</v>
      </c>
      <c r="ER16" t="s">
        <v>346</v>
      </c>
      <c r="ES16" s="11">
        <v>0.31</v>
      </c>
      <c r="ET16" s="9" t="str">
        <f>_xll.SNL.Clients.Office.Excel.Functions.SPG(EQ16, "SP_COUNTRY_NAME")</f>
        <v>China</v>
      </c>
      <c r="EY16" s="9" t="str">
        <f>_xll.SNL.Clients.Office.Excel.Functions.SPG(EV16, "SP_COUNTRY_NAME")</f>
        <v>#INVALID COMPANY ID</v>
      </c>
      <c r="EZ16" t="s">
        <v>1917</v>
      </c>
      <c r="FA16" t="s">
        <v>300</v>
      </c>
      <c r="FB16" t="s">
        <v>361</v>
      </c>
      <c r="FC16" s="11">
        <v>0.04</v>
      </c>
      <c r="FD16" s="9" t="str">
        <f>_xll.SNL.Clients.Office.Excel.Functions.SPG(FA16, "SP_COUNTRY_NAME")</f>
        <v>China</v>
      </c>
      <c r="FE16" t="s">
        <v>353</v>
      </c>
      <c r="FF16">
        <v>4048287</v>
      </c>
      <c r="FG16" t="s">
        <v>346</v>
      </c>
      <c r="FH16" s="11">
        <v>0.22</v>
      </c>
      <c r="FI16" s="9" t="str">
        <f>_xll.SNL.Clients.Office.Excel.Functions.SPG(FF16, "SP_COUNTRY_NAME")</f>
        <v>USA</v>
      </c>
      <c r="FJ16" t="s">
        <v>385</v>
      </c>
      <c r="FK16">
        <v>5752504</v>
      </c>
      <c r="FL16" t="s">
        <v>346</v>
      </c>
      <c r="FM16" s="11">
        <v>0.86</v>
      </c>
      <c r="FN16" s="9" t="str">
        <f>_xll.SNL.Clients.Office.Excel.Functions.SPG(FK16, "SP_COUNTRY_NAME")</f>
        <v>USA</v>
      </c>
      <c r="FO16" t="s">
        <v>419</v>
      </c>
      <c r="FP16">
        <v>4338202</v>
      </c>
      <c r="FQ16" t="s">
        <v>346</v>
      </c>
      <c r="FR16" s="11">
        <v>0.03</v>
      </c>
      <c r="FS16" s="9" t="str">
        <f>_xll.SNL.Clients.Office.Excel.Functions.SPG(FP16, "SP_COUNTRY_NAME")</f>
        <v>USA</v>
      </c>
      <c r="FT16" t="s">
        <v>380</v>
      </c>
      <c r="FU16">
        <v>4674815</v>
      </c>
      <c r="FV16" t="s">
        <v>346</v>
      </c>
      <c r="FW16" s="11">
        <v>0.28999999999999998</v>
      </c>
      <c r="FX16" s="9" t="str">
        <f>_xll.SNL.Clients.Office.Excel.Functions.SPG(FU16, "SP_COUNTRY_NAME")</f>
        <v>Switzerland</v>
      </c>
      <c r="FY16" t="s">
        <v>406</v>
      </c>
      <c r="FZ16">
        <v>4115698</v>
      </c>
      <c r="GA16" t="s">
        <v>346</v>
      </c>
      <c r="GB16" s="11">
        <v>1.27</v>
      </c>
      <c r="GC16" s="9" t="str">
        <f>_xll.SNL.Clients.Office.Excel.Functions.SPG(FZ16, "SP_COUNTRY_NAME")</f>
        <v>United Kingdom</v>
      </c>
      <c r="GD16" t="s">
        <v>1917</v>
      </c>
      <c r="GE16" t="s">
        <v>300</v>
      </c>
      <c r="GF16" t="s">
        <v>361</v>
      </c>
      <c r="GG16" s="11">
        <v>0.04</v>
      </c>
      <c r="GH16" s="9" t="str">
        <f>_xll.SNL.Clients.Office.Excel.Functions.SPG(GE16, "SP_COUNTRY_NAME")</f>
        <v>China</v>
      </c>
      <c r="GI16" t="s">
        <v>353</v>
      </c>
      <c r="GJ16">
        <v>4048287</v>
      </c>
      <c r="GK16" t="s">
        <v>346</v>
      </c>
      <c r="GL16" s="11">
        <v>0.22</v>
      </c>
      <c r="GM16" s="9" t="str">
        <f>_xll.SNL.Clients.Office.Excel.Functions.SPG(GJ16, "SP_COUNTRY_NAME")</f>
        <v>USA</v>
      </c>
      <c r="GN16" t="s">
        <v>385</v>
      </c>
      <c r="GO16">
        <v>5752504</v>
      </c>
      <c r="GP16" t="s">
        <v>346</v>
      </c>
      <c r="GQ16" s="11">
        <v>0.86</v>
      </c>
      <c r="GR16" s="9" t="str">
        <f>_xll.SNL.Clients.Office.Excel.Functions.SPG(GO16, "SP_COUNTRY_NAME")</f>
        <v>USA</v>
      </c>
      <c r="GS16" t="s">
        <v>670</v>
      </c>
      <c r="GT16">
        <v>4138799</v>
      </c>
      <c r="GU16" t="s">
        <v>346</v>
      </c>
      <c r="GV16" s="11">
        <v>0.22</v>
      </c>
      <c r="GW16" s="9" t="str">
        <f>_xll.SNL.Clients.Office.Excel.Functions.SPG(GT16, "SP_COUNTRY_NAME")</f>
        <v>China</v>
      </c>
      <c r="GX16" t="s">
        <v>1613</v>
      </c>
      <c r="GY16">
        <v>4234156</v>
      </c>
      <c r="GZ16" t="s">
        <v>346</v>
      </c>
      <c r="HA16" s="11">
        <v>0.65</v>
      </c>
      <c r="HB16" s="9" t="str">
        <f>_xll.SNL.Clients.Office.Excel.Functions.SPG(GY16, "SP_COUNTRY_NAME")</f>
        <v>Brazil</v>
      </c>
      <c r="HC16" t="s">
        <v>1245</v>
      </c>
      <c r="HD16">
        <v>6729481</v>
      </c>
      <c r="HE16" t="s">
        <v>346</v>
      </c>
      <c r="HF16" s="11">
        <v>0.01</v>
      </c>
      <c r="HG16" s="9" t="str">
        <f>_xll.SNL.Clients.Office.Excel.Functions.SPG(HD16, "SP_COUNTRY_NAME")</f>
        <v>Germany</v>
      </c>
    </row>
    <row r="17" spans="1:215" x14ac:dyDescent="0.35">
      <c r="A17" t="s">
        <v>359</v>
      </c>
      <c r="B17">
        <v>4144380</v>
      </c>
      <c r="C17" t="s">
        <v>346</v>
      </c>
      <c r="D17" s="11">
        <v>0</v>
      </c>
      <c r="E17" s="9" t="str">
        <f>_xll.SNL.Clients.Office.Excel.Functions.SPG(B17, "SP_COUNTRY_NAME")</f>
        <v>France</v>
      </c>
      <c r="F17" t="s">
        <v>396</v>
      </c>
      <c r="G17">
        <v>4119759</v>
      </c>
      <c r="H17" t="s">
        <v>346</v>
      </c>
      <c r="I17" s="11">
        <v>1.1200000000000001</v>
      </c>
      <c r="J17" s="9" t="str">
        <f>_xll.SNL.Clients.Office.Excel.Functions.SPG(G17, "SP_COUNTRY_NAME")</f>
        <v>USA</v>
      </c>
      <c r="K17" t="s">
        <v>640</v>
      </c>
      <c r="L17">
        <v>9020942</v>
      </c>
      <c r="M17" t="s">
        <v>346</v>
      </c>
      <c r="N17" s="11">
        <v>0.21</v>
      </c>
      <c r="O17" s="9" t="str">
        <f>_xll.SNL.Clients.Office.Excel.Functions.SPG(L17, "SP_COUNTRY_NAME")</f>
        <v>China</v>
      </c>
      <c r="T17" s="9" t="str">
        <f>_xll.SNL.Clients.Office.Excel.Functions.SPG(Q17, "SP_COUNTRY_NAME")</f>
        <v>#INVALID COMPANY ID</v>
      </c>
      <c r="U17" t="s">
        <v>551</v>
      </c>
      <c r="V17">
        <v>4137681</v>
      </c>
      <c r="W17" t="s">
        <v>346</v>
      </c>
      <c r="X17" s="11">
        <v>0.74</v>
      </c>
      <c r="Y17" s="9" t="str">
        <f>_xll.SNL.Clients.Office.Excel.Functions.SPG(V17, "SP_COUNTRY_NAME")</f>
        <v>China</v>
      </c>
      <c r="Z17" t="s">
        <v>640</v>
      </c>
      <c r="AA17">
        <v>9020942</v>
      </c>
      <c r="AB17" t="s">
        <v>346</v>
      </c>
      <c r="AC17" s="11">
        <v>0.21</v>
      </c>
      <c r="AD17" s="9" t="str">
        <f>_xll.SNL.Clients.Office.Excel.Functions.SPG(AA17, "SP_COUNTRY_NAME")</f>
        <v>China</v>
      </c>
      <c r="AE17" t="s">
        <v>460</v>
      </c>
      <c r="AF17">
        <v>4337989</v>
      </c>
      <c r="AG17" t="s">
        <v>346</v>
      </c>
      <c r="AH17" s="11">
        <v>0.53</v>
      </c>
      <c r="AI17" s="9" t="str">
        <f>_xll.SNL.Clients.Office.Excel.Functions.SPG(AF17, "SP_COUNTRY_NAME")</f>
        <v>USA</v>
      </c>
      <c r="AJ17" t="s">
        <v>359</v>
      </c>
      <c r="AK17">
        <v>4144380</v>
      </c>
      <c r="AL17" t="s">
        <v>346</v>
      </c>
      <c r="AM17" s="11">
        <v>0</v>
      </c>
      <c r="AN17" s="9" t="str">
        <f>_xll.SNL.Clients.Office.Excel.Functions.SPG(AK17, "SP_COUNTRY_NAME")</f>
        <v>France</v>
      </c>
      <c r="AO17" t="s">
        <v>435</v>
      </c>
      <c r="AP17">
        <v>109789</v>
      </c>
      <c r="AQ17" t="s">
        <v>346</v>
      </c>
      <c r="AR17" s="11">
        <v>0.65</v>
      </c>
      <c r="AS17" s="9" t="str">
        <f>_xll.SNL.Clients.Office.Excel.Functions.SPG(AP17, "SP_COUNTRY_NAME")</f>
        <v>USA</v>
      </c>
      <c r="AT17" t="s">
        <v>359</v>
      </c>
      <c r="AU17">
        <v>4144380</v>
      </c>
      <c r="AV17" t="s">
        <v>346</v>
      </c>
      <c r="AW17" s="11">
        <v>0</v>
      </c>
      <c r="AX17" s="9" t="str">
        <f>_xll.SNL.Clients.Office.Excel.Functions.SPG(AU17, "SP_COUNTRY_NAME")</f>
        <v>France</v>
      </c>
      <c r="AY17" t="s">
        <v>686</v>
      </c>
      <c r="AZ17">
        <v>4784142</v>
      </c>
      <c r="BA17" t="s">
        <v>346</v>
      </c>
      <c r="BB17" s="11">
        <v>0.38</v>
      </c>
      <c r="BC17" s="9" t="str">
        <f>_xll.SNL.Clients.Office.Excel.Functions.SPG(AZ17, "SP_COUNTRY_NAME")</f>
        <v>China</v>
      </c>
      <c r="BD17" t="s">
        <v>433</v>
      </c>
      <c r="BE17">
        <v>3000896</v>
      </c>
      <c r="BF17" t="s">
        <v>346</v>
      </c>
      <c r="BG17" s="11">
        <v>1.27</v>
      </c>
      <c r="BH17" s="9" t="str">
        <f>_xll.SNL.Clients.Office.Excel.Functions.SPG(BE17, "SP_COUNTRY_NAME")</f>
        <v>USA</v>
      </c>
      <c r="BI17" t="s">
        <v>483</v>
      </c>
      <c r="BJ17">
        <v>109763</v>
      </c>
      <c r="BK17" t="s">
        <v>346</v>
      </c>
      <c r="BL17" s="11">
        <v>0.98</v>
      </c>
      <c r="BM17" s="9" t="str">
        <f>_xll.SNL.Clients.Office.Excel.Functions.SPG(BJ17, "SP_COUNTRY_NAME")</f>
        <v>USA</v>
      </c>
      <c r="BN17" t="s">
        <v>351</v>
      </c>
      <c r="BO17">
        <v>111289</v>
      </c>
      <c r="BP17" t="s">
        <v>346</v>
      </c>
      <c r="BQ17" s="11">
        <v>0.2</v>
      </c>
      <c r="BR17" s="9" t="str">
        <f>_xll.SNL.Clients.Office.Excel.Functions.SPG(BO17, "SP_COUNTRY_NAME")</f>
        <v>USA</v>
      </c>
      <c r="BS17" t="s">
        <v>945</v>
      </c>
      <c r="BT17">
        <v>19155021</v>
      </c>
      <c r="BU17" t="s">
        <v>370</v>
      </c>
      <c r="BV17" s="11">
        <v>0.75</v>
      </c>
      <c r="BW17" s="9" t="str">
        <f>_xll.SNL.Clients.Office.Excel.Functions.SPG(BT17, "SP_COUNTRY_NAME")</f>
        <v>China</v>
      </c>
      <c r="BX17" t="s">
        <v>551</v>
      </c>
      <c r="BY17">
        <v>4137681</v>
      </c>
      <c r="BZ17" t="s">
        <v>346</v>
      </c>
      <c r="CA17" s="11">
        <v>0.74</v>
      </c>
      <c r="CB17" s="9" t="str">
        <f>_xll.SNL.Clients.Office.Excel.Functions.SPG(BY17, "SP_COUNTRY_NAME")</f>
        <v>China</v>
      </c>
      <c r="CC17" t="s">
        <v>396</v>
      </c>
      <c r="CD17">
        <v>4119759</v>
      </c>
      <c r="CE17" t="s">
        <v>346</v>
      </c>
      <c r="CF17" s="11">
        <v>0.65</v>
      </c>
      <c r="CG17" s="9" t="str">
        <f>_xll.SNL.Clients.Office.Excel.Functions.SPG(CD17, "SP_COUNTRY_NAME")</f>
        <v>USA</v>
      </c>
      <c r="CH17" t="s">
        <v>435</v>
      </c>
      <c r="CI17">
        <v>109789</v>
      </c>
      <c r="CJ17" t="s">
        <v>346</v>
      </c>
      <c r="CK17" s="11">
        <v>0.65</v>
      </c>
      <c r="CL17" s="9" t="str">
        <f>_xll.SNL.Clients.Office.Excel.Functions.SPG(CI17, "SP_COUNTRY_NAME")</f>
        <v>USA</v>
      </c>
      <c r="CM17" t="s">
        <v>385</v>
      </c>
      <c r="CN17">
        <v>5752504</v>
      </c>
      <c r="CO17" t="s">
        <v>346</v>
      </c>
      <c r="CP17" s="11">
        <v>0.86</v>
      </c>
      <c r="CQ17" s="9" t="str">
        <f>_xll.SNL.Clients.Office.Excel.Functions.SPG(CN17, "SP_COUNTRY_NAME")</f>
        <v>USA</v>
      </c>
      <c r="CR17" t="s">
        <v>704</v>
      </c>
      <c r="CS17">
        <v>4035777</v>
      </c>
      <c r="CT17" t="s">
        <v>346</v>
      </c>
      <c r="CU17" s="11">
        <v>0</v>
      </c>
      <c r="CV17" s="9" t="str">
        <f>_xll.SNL.Clients.Office.Excel.Functions.SPG(CS17, "SP_COUNTRY_NAME")</f>
        <v>USA</v>
      </c>
      <c r="CW17" t="s">
        <v>442</v>
      </c>
      <c r="CX17">
        <v>4117611</v>
      </c>
      <c r="CY17" t="s">
        <v>346</v>
      </c>
      <c r="CZ17" s="11">
        <v>0.01</v>
      </c>
      <c r="DA17" s="9" t="str">
        <f>_xll.SNL.Clients.Office.Excel.Functions.SPG(CX17, "SP_COUNTRY_NAME")</f>
        <v>USA</v>
      </c>
      <c r="DB17" t="s">
        <v>433</v>
      </c>
      <c r="DC17">
        <v>3000896</v>
      </c>
      <c r="DD17" t="s">
        <v>346</v>
      </c>
      <c r="DE17" s="11">
        <v>1.27</v>
      </c>
      <c r="DF17" s="9" t="str">
        <f>_xll.SNL.Clients.Office.Excel.Functions.SPG(DC17, "SP_COUNTRY_NAME")</f>
        <v>USA</v>
      </c>
      <c r="DG17" t="s">
        <v>442</v>
      </c>
      <c r="DH17">
        <v>4117611</v>
      </c>
      <c r="DI17" t="s">
        <v>346</v>
      </c>
      <c r="DJ17" s="11">
        <v>0.01</v>
      </c>
      <c r="DK17" s="9" t="str">
        <f>_xll.SNL.Clients.Office.Excel.Functions.SPG(DH17, "SP_COUNTRY_NAME")</f>
        <v>USA</v>
      </c>
      <c r="DL17" t="s">
        <v>433</v>
      </c>
      <c r="DM17">
        <v>3000896</v>
      </c>
      <c r="DN17" t="s">
        <v>346</v>
      </c>
      <c r="DO17" s="11">
        <v>1.27</v>
      </c>
      <c r="DP17" s="9" t="str">
        <f>_xll.SNL.Clients.Office.Excel.Functions.SPG(DM17, "SP_COUNTRY_NAME")</f>
        <v>USA</v>
      </c>
      <c r="DU17" s="9" t="str">
        <f>_xll.SNL.Clients.Office.Excel.Functions.SPG(DR17, "SP_COUNTRY_NAME")</f>
        <v>#INVALID COMPANY ID</v>
      </c>
      <c r="DV17" t="s">
        <v>411</v>
      </c>
      <c r="DW17">
        <v>4272373</v>
      </c>
      <c r="DX17" t="s">
        <v>346</v>
      </c>
      <c r="DY17" s="11">
        <v>0.04</v>
      </c>
      <c r="DZ17" s="9" t="str">
        <f>_xll.SNL.Clients.Office.Excel.Functions.SPG(DW17, "SP_COUNTRY_NAME")</f>
        <v>United Kingdom</v>
      </c>
      <c r="EA17" t="s">
        <v>396</v>
      </c>
      <c r="EB17">
        <v>4119759</v>
      </c>
      <c r="EC17" t="s">
        <v>346</v>
      </c>
      <c r="ED17" s="11">
        <v>0.65</v>
      </c>
      <c r="EE17" s="9" t="str">
        <f>_xll.SNL.Clients.Office.Excel.Functions.SPG(EB17, "SP_COUNTRY_NAME")</f>
        <v>USA</v>
      </c>
      <c r="EF17" t="s">
        <v>433</v>
      </c>
      <c r="EG17">
        <v>3000896</v>
      </c>
      <c r="EH17" t="s">
        <v>346</v>
      </c>
      <c r="EI17" s="11">
        <v>1.27</v>
      </c>
      <c r="EJ17" s="9" t="str">
        <f>_xll.SNL.Clients.Office.Excel.Functions.SPG(EG17, "SP_COUNTRY_NAME")</f>
        <v>USA</v>
      </c>
      <c r="EK17" t="s">
        <v>442</v>
      </c>
      <c r="EL17">
        <v>4117611</v>
      </c>
      <c r="EM17" t="s">
        <v>346</v>
      </c>
      <c r="EN17" s="11">
        <v>0.01</v>
      </c>
      <c r="EO17" s="9" t="str">
        <f>_xll.SNL.Clients.Office.Excel.Functions.SPG(EL17, "SP_COUNTRY_NAME")</f>
        <v>USA</v>
      </c>
      <c r="EP17" t="s">
        <v>728</v>
      </c>
      <c r="EQ17">
        <v>4316929</v>
      </c>
      <c r="ER17" t="s">
        <v>346</v>
      </c>
      <c r="ES17" s="11">
        <v>0.31</v>
      </c>
      <c r="ET17" s="9" t="str">
        <f>_xll.SNL.Clients.Office.Excel.Functions.SPG(EQ17, "SP_COUNTRY_NAME")</f>
        <v>China</v>
      </c>
      <c r="EY17" s="9" t="str">
        <f>_xll.SNL.Clients.Office.Excel.Functions.SPG(EV17, "SP_COUNTRY_NAME")</f>
        <v>#INVALID COMPANY ID</v>
      </c>
      <c r="EZ17" t="s">
        <v>1918</v>
      </c>
      <c r="FA17" t="s">
        <v>300</v>
      </c>
      <c r="FB17" t="s">
        <v>361</v>
      </c>
      <c r="FC17" s="11">
        <v>0.04</v>
      </c>
      <c r="FD17" s="9" t="str">
        <f>_xll.SNL.Clients.Office.Excel.Functions.SPG(FA17, "SP_COUNTRY_NAME")</f>
        <v>China</v>
      </c>
      <c r="FE17" t="s">
        <v>434</v>
      </c>
      <c r="FF17">
        <v>4120033</v>
      </c>
      <c r="FG17" t="s">
        <v>346</v>
      </c>
      <c r="FH17" s="11">
        <v>0.2</v>
      </c>
      <c r="FI17" s="9" t="str">
        <f>_xll.SNL.Clients.Office.Excel.Functions.SPG(FF17, "SP_COUNTRY_NAME")</f>
        <v>Japan</v>
      </c>
      <c r="FJ17" t="s">
        <v>433</v>
      </c>
      <c r="FK17">
        <v>3000896</v>
      </c>
      <c r="FL17" t="s">
        <v>346</v>
      </c>
      <c r="FM17" s="11">
        <v>0.56999999999999995</v>
      </c>
      <c r="FN17" s="9" t="str">
        <f>_xll.SNL.Clients.Office.Excel.Functions.SPG(FK17, "SP_COUNTRY_NAME")</f>
        <v>USA</v>
      </c>
      <c r="FO17" t="s">
        <v>442</v>
      </c>
      <c r="FP17">
        <v>4117611</v>
      </c>
      <c r="FQ17" t="s">
        <v>346</v>
      </c>
      <c r="FR17" s="11">
        <v>0.01</v>
      </c>
      <c r="FS17" s="9" t="str">
        <f>_xll.SNL.Clients.Office.Excel.Functions.SPG(FP17, "SP_COUNTRY_NAME")</f>
        <v>USA</v>
      </c>
      <c r="FT17" t="s">
        <v>381</v>
      </c>
      <c r="FU17">
        <v>4550060</v>
      </c>
      <c r="FV17" t="s">
        <v>346</v>
      </c>
      <c r="FW17" s="11">
        <v>0.28999999999999998</v>
      </c>
      <c r="FX17" s="9" t="str">
        <f>_xll.SNL.Clients.Office.Excel.Functions.SPG(FU17, "SP_COUNTRY_NAME")</f>
        <v>Indonesia</v>
      </c>
      <c r="FY17" t="s">
        <v>433</v>
      </c>
      <c r="FZ17">
        <v>3000896</v>
      </c>
      <c r="GA17" t="s">
        <v>346</v>
      </c>
      <c r="GB17" s="11">
        <v>1.27</v>
      </c>
      <c r="GC17" s="9" t="str">
        <f>_xll.SNL.Clients.Office.Excel.Functions.SPG(FZ17, "SP_COUNTRY_NAME")</f>
        <v>USA</v>
      </c>
      <c r="GD17" t="s">
        <v>1918</v>
      </c>
      <c r="GE17" t="s">
        <v>300</v>
      </c>
      <c r="GF17" t="s">
        <v>361</v>
      </c>
      <c r="GG17" s="11">
        <v>0.04</v>
      </c>
      <c r="GH17" s="9" t="str">
        <f>_xll.SNL.Clients.Office.Excel.Functions.SPG(GE17, "SP_COUNTRY_NAME")</f>
        <v>China</v>
      </c>
      <c r="GI17" t="s">
        <v>434</v>
      </c>
      <c r="GJ17">
        <v>4120033</v>
      </c>
      <c r="GK17" t="s">
        <v>346</v>
      </c>
      <c r="GL17" s="11">
        <v>0.2</v>
      </c>
      <c r="GM17" s="9" t="str">
        <f>_xll.SNL.Clients.Office.Excel.Functions.SPG(GJ17, "SP_COUNTRY_NAME")</f>
        <v>Japan</v>
      </c>
      <c r="GN17" t="s">
        <v>433</v>
      </c>
      <c r="GO17">
        <v>3000896</v>
      </c>
      <c r="GP17" t="s">
        <v>346</v>
      </c>
      <c r="GQ17" s="11">
        <v>0.56999999999999995</v>
      </c>
      <c r="GR17" s="9" t="str">
        <f>_xll.SNL.Clients.Office.Excel.Functions.SPG(GO17, "SP_COUNTRY_NAME")</f>
        <v>USA</v>
      </c>
      <c r="GS17" t="s">
        <v>351</v>
      </c>
      <c r="GT17">
        <v>111289</v>
      </c>
      <c r="GU17" t="s">
        <v>346</v>
      </c>
      <c r="GV17" s="11">
        <v>0.2</v>
      </c>
      <c r="GW17" s="9" t="str">
        <f>_xll.SNL.Clients.Office.Excel.Functions.SPG(GT17, "SP_COUNTRY_NAME")</f>
        <v>USA</v>
      </c>
      <c r="GX17" t="s">
        <v>396</v>
      </c>
      <c r="GY17">
        <v>4119759</v>
      </c>
      <c r="GZ17" t="s">
        <v>346</v>
      </c>
      <c r="HA17" s="11">
        <v>0.65</v>
      </c>
      <c r="HB17" s="9" t="str">
        <f>_xll.SNL.Clients.Office.Excel.Functions.SPG(GY17, "SP_COUNTRY_NAME")</f>
        <v>USA</v>
      </c>
      <c r="HC17" t="s">
        <v>496</v>
      </c>
      <c r="HD17">
        <v>110495</v>
      </c>
      <c r="HE17" t="s">
        <v>346</v>
      </c>
      <c r="HF17" s="11">
        <v>0</v>
      </c>
      <c r="HG17" s="9" t="str">
        <f>_xll.SNL.Clients.Office.Excel.Functions.SPG(HD17, "SP_COUNTRY_NAME")</f>
        <v>USA</v>
      </c>
    </row>
    <row r="18" spans="1:215" x14ac:dyDescent="0.35">
      <c r="E18" s="9" t="str">
        <f>_xll.SNL.Clients.Office.Excel.Functions.SPG(B18, "SP_COUNTRY_NAME")</f>
        <v>#INVALID COMPANY ID</v>
      </c>
      <c r="F18" t="s">
        <v>430</v>
      </c>
      <c r="G18">
        <v>4055767</v>
      </c>
      <c r="H18" t="s">
        <v>346</v>
      </c>
      <c r="I18" s="11">
        <v>0.91</v>
      </c>
      <c r="J18" s="9" t="str">
        <f>_xll.SNL.Clients.Office.Excel.Functions.SPG(G18, "SP_COUNTRY_NAME")</f>
        <v>USA</v>
      </c>
      <c r="K18" t="s">
        <v>641</v>
      </c>
      <c r="L18">
        <v>4820048</v>
      </c>
      <c r="M18" t="s">
        <v>346</v>
      </c>
      <c r="N18" s="11">
        <v>0.2</v>
      </c>
      <c r="O18" s="9" t="str">
        <f>_xll.SNL.Clients.Office.Excel.Functions.SPG(L18, "SP_COUNTRY_NAME")</f>
        <v>China</v>
      </c>
      <c r="T18" s="9" t="str">
        <f>_xll.SNL.Clients.Office.Excel.Functions.SPG(Q18, "SP_COUNTRY_NAME")</f>
        <v>#INVALID COMPANY ID</v>
      </c>
      <c r="U18" t="s">
        <v>712</v>
      </c>
      <c r="V18">
        <v>5884796</v>
      </c>
      <c r="W18" t="s">
        <v>346</v>
      </c>
      <c r="X18" s="11">
        <v>0.68</v>
      </c>
      <c r="Y18" s="9" t="str">
        <f>_xll.SNL.Clients.Office.Excel.Functions.SPG(V18, "SP_COUNTRY_NAME")</f>
        <v>China</v>
      </c>
      <c r="Z18" t="s">
        <v>641</v>
      </c>
      <c r="AA18">
        <v>4820048</v>
      </c>
      <c r="AB18" t="s">
        <v>346</v>
      </c>
      <c r="AC18" s="11">
        <v>0.2</v>
      </c>
      <c r="AD18" s="9" t="str">
        <f>_xll.SNL.Clients.Office.Excel.Functions.SPG(AA18, "SP_COUNTRY_NAME")</f>
        <v>China</v>
      </c>
      <c r="AE18" t="s">
        <v>540</v>
      </c>
      <c r="AF18">
        <v>4281265</v>
      </c>
      <c r="AG18" t="s">
        <v>346</v>
      </c>
      <c r="AH18" s="11">
        <v>0.52</v>
      </c>
      <c r="AI18" s="9" t="str">
        <f>_xll.SNL.Clients.Office.Excel.Functions.SPG(AF18, "SP_COUNTRY_NAME")</f>
        <v>Canada</v>
      </c>
      <c r="AN18" s="9" t="str">
        <f>_xll.SNL.Clients.Office.Excel.Functions.SPG(AK18, "SP_COUNTRY_NAME")</f>
        <v>#INVALID COMPANY ID</v>
      </c>
      <c r="AO18" t="s">
        <v>1257</v>
      </c>
      <c r="AP18">
        <v>4213130</v>
      </c>
      <c r="AQ18" t="s">
        <v>346</v>
      </c>
      <c r="AR18" s="11">
        <v>0.64</v>
      </c>
      <c r="AS18" s="9" t="str">
        <f>_xll.SNL.Clients.Office.Excel.Functions.SPG(AP18, "SP_COUNTRY_NAME")</f>
        <v>South Africa</v>
      </c>
      <c r="AX18" s="9" t="str">
        <f>_xll.SNL.Clients.Office.Excel.Functions.SPG(AU18, "SP_COUNTRY_NAME")</f>
        <v>#INVALID COMPANY ID</v>
      </c>
      <c r="AY18" t="s">
        <v>670</v>
      </c>
      <c r="AZ18">
        <v>4138799</v>
      </c>
      <c r="BA18" t="s">
        <v>346</v>
      </c>
      <c r="BB18" s="11">
        <v>0.28999999999999998</v>
      </c>
      <c r="BC18" s="9" t="str">
        <f>_xll.SNL.Clients.Office.Excel.Functions.SPG(AZ18, "SP_COUNTRY_NAME")</f>
        <v>China</v>
      </c>
      <c r="BD18" t="s">
        <v>394</v>
      </c>
      <c r="BE18">
        <v>4048695</v>
      </c>
      <c r="BF18" t="s">
        <v>346</v>
      </c>
      <c r="BG18" s="11">
        <v>1.05</v>
      </c>
      <c r="BH18" s="9" t="str">
        <f>_xll.SNL.Clients.Office.Excel.Functions.SPG(BE18, "SP_COUNTRY_NAME")</f>
        <v>USA</v>
      </c>
      <c r="BI18" t="s">
        <v>385</v>
      </c>
      <c r="BJ18">
        <v>5752504</v>
      </c>
      <c r="BK18" t="s">
        <v>346</v>
      </c>
      <c r="BL18" s="11">
        <v>0.87</v>
      </c>
      <c r="BM18" s="9" t="str">
        <f>_xll.SNL.Clients.Office.Excel.Functions.SPG(BJ18, "SP_COUNTRY_NAME")</f>
        <v>USA</v>
      </c>
      <c r="BN18" t="s">
        <v>385</v>
      </c>
      <c r="BO18">
        <v>5752504</v>
      </c>
      <c r="BP18" t="s">
        <v>346</v>
      </c>
      <c r="BQ18" s="11">
        <v>0.2</v>
      </c>
      <c r="BR18" s="9" t="str">
        <f>_xll.SNL.Clients.Office.Excel.Functions.SPG(BO18, "SP_COUNTRY_NAME")</f>
        <v>USA</v>
      </c>
      <c r="BS18" t="s">
        <v>433</v>
      </c>
      <c r="BT18">
        <v>3000896</v>
      </c>
      <c r="BU18" t="s">
        <v>346</v>
      </c>
      <c r="BV18" s="11">
        <v>0.71</v>
      </c>
      <c r="BW18" s="9" t="str">
        <f>_xll.SNL.Clients.Office.Excel.Functions.SPG(BT18, "SP_COUNTRY_NAME")</f>
        <v>USA</v>
      </c>
      <c r="BX18" t="s">
        <v>712</v>
      </c>
      <c r="BY18">
        <v>5884796</v>
      </c>
      <c r="BZ18" t="s">
        <v>346</v>
      </c>
      <c r="CA18" s="11">
        <v>0.68</v>
      </c>
      <c r="CB18" s="9" t="str">
        <f>_xll.SNL.Clients.Office.Excel.Functions.SPG(BY18, "SP_COUNTRY_NAME")</f>
        <v>China</v>
      </c>
      <c r="CC18" t="s">
        <v>351</v>
      </c>
      <c r="CD18">
        <v>111289</v>
      </c>
      <c r="CE18" t="s">
        <v>346</v>
      </c>
      <c r="CF18" s="11">
        <v>0.59</v>
      </c>
      <c r="CG18" s="9" t="str">
        <f>_xll.SNL.Clients.Office.Excel.Functions.SPG(CD18, "SP_COUNTRY_NAME")</f>
        <v>USA</v>
      </c>
      <c r="CH18" t="s">
        <v>1257</v>
      </c>
      <c r="CI18">
        <v>4213130</v>
      </c>
      <c r="CJ18" t="s">
        <v>346</v>
      </c>
      <c r="CK18" s="11">
        <v>0.64</v>
      </c>
      <c r="CL18" s="9" t="str">
        <f>_xll.SNL.Clients.Office.Excel.Functions.SPG(CI18, "SP_COUNTRY_NAME")</f>
        <v>South Africa</v>
      </c>
      <c r="CM18" t="s">
        <v>383</v>
      </c>
      <c r="CN18">
        <v>103042</v>
      </c>
      <c r="CO18" t="s">
        <v>366</v>
      </c>
      <c r="CP18" s="11">
        <v>0.86</v>
      </c>
      <c r="CQ18" s="9" t="str">
        <f>_xll.SNL.Clients.Office.Excel.Functions.SPG(CN18, "SP_COUNTRY_NAME")</f>
        <v>USA</v>
      </c>
      <c r="CR18" t="s">
        <v>553</v>
      </c>
      <c r="CS18">
        <v>4557089</v>
      </c>
      <c r="CT18" t="s">
        <v>346</v>
      </c>
      <c r="CU18" s="11">
        <v>0</v>
      </c>
      <c r="CV18" s="9" t="str">
        <f>_xll.SNL.Clients.Office.Excel.Functions.SPG(CS18, "SP_COUNTRY_NAME")</f>
        <v>Canada</v>
      </c>
      <c r="CW18" t="s">
        <v>395</v>
      </c>
      <c r="CX18">
        <v>4153606</v>
      </c>
      <c r="CY18" t="s">
        <v>346</v>
      </c>
      <c r="CZ18" s="11">
        <v>0.01</v>
      </c>
      <c r="DA18" s="9" t="str">
        <f>_xll.SNL.Clients.Office.Excel.Functions.SPG(CX18, "SP_COUNTRY_NAME")</f>
        <v>USA</v>
      </c>
      <c r="DB18" t="s">
        <v>394</v>
      </c>
      <c r="DC18">
        <v>4048695</v>
      </c>
      <c r="DD18" t="s">
        <v>346</v>
      </c>
      <c r="DE18" s="11">
        <v>1.05</v>
      </c>
      <c r="DF18" s="9" t="str">
        <f>_xll.SNL.Clients.Office.Excel.Functions.SPG(DC18, "SP_COUNTRY_NAME")</f>
        <v>USA</v>
      </c>
      <c r="DG18" t="s">
        <v>395</v>
      </c>
      <c r="DH18">
        <v>4153606</v>
      </c>
      <c r="DI18" t="s">
        <v>346</v>
      </c>
      <c r="DJ18" s="11">
        <v>0.01</v>
      </c>
      <c r="DK18" s="9" t="str">
        <f>_xll.SNL.Clients.Office.Excel.Functions.SPG(DH18, "SP_COUNTRY_NAME")</f>
        <v>USA</v>
      </c>
      <c r="DL18" t="s">
        <v>394</v>
      </c>
      <c r="DM18">
        <v>4048695</v>
      </c>
      <c r="DN18" t="s">
        <v>346</v>
      </c>
      <c r="DO18" s="11">
        <v>1.05</v>
      </c>
      <c r="DP18" s="9" t="str">
        <f>_xll.SNL.Clients.Office.Excel.Functions.SPG(DM18, "SP_COUNTRY_NAME")</f>
        <v>USA</v>
      </c>
      <c r="DU18" s="9" t="str">
        <f>_xll.SNL.Clients.Office.Excel.Functions.SPG(DR18, "SP_COUNTRY_NAME")</f>
        <v>#INVALID COMPANY ID</v>
      </c>
      <c r="DV18" t="s">
        <v>410</v>
      </c>
      <c r="DW18">
        <v>5759394</v>
      </c>
      <c r="DX18" t="s">
        <v>346</v>
      </c>
      <c r="DY18" s="11">
        <v>0.04</v>
      </c>
      <c r="DZ18" s="9" t="str">
        <f>_xll.SNL.Clients.Office.Excel.Functions.SPG(DW18, "SP_COUNTRY_NAME")</f>
        <v>Ireland</v>
      </c>
      <c r="EA18" t="s">
        <v>351</v>
      </c>
      <c r="EB18">
        <v>111289</v>
      </c>
      <c r="EC18" t="s">
        <v>346</v>
      </c>
      <c r="ED18" s="11">
        <v>0.59</v>
      </c>
      <c r="EE18" s="9" t="str">
        <f>_xll.SNL.Clients.Office.Excel.Functions.SPG(EB18, "SP_COUNTRY_NAME")</f>
        <v>USA</v>
      </c>
      <c r="EF18" t="s">
        <v>394</v>
      </c>
      <c r="EG18">
        <v>4048695</v>
      </c>
      <c r="EH18" t="s">
        <v>346</v>
      </c>
      <c r="EI18" s="11">
        <v>1.05</v>
      </c>
      <c r="EJ18" s="9" t="str">
        <f>_xll.SNL.Clients.Office.Excel.Functions.SPG(EG18, "SP_COUNTRY_NAME")</f>
        <v>USA</v>
      </c>
      <c r="EK18" t="s">
        <v>395</v>
      </c>
      <c r="EL18">
        <v>4153606</v>
      </c>
      <c r="EM18" t="s">
        <v>346</v>
      </c>
      <c r="EN18" s="11">
        <v>0.01</v>
      </c>
      <c r="EO18" s="9" t="str">
        <f>_xll.SNL.Clients.Office.Excel.Functions.SPG(EL18, "SP_COUNTRY_NAME")</f>
        <v>USA</v>
      </c>
      <c r="EP18" t="s">
        <v>669</v>
      </c>
      <c r="EQ18">
        <v>5860959</v>
      </c>
      <c r="ER18" t="s">
        <v>346</v>
      </c>
      <c r="ES18" s="11">
        <v>0.31</v>
      </c>
      <c r="ET18" s="9" t="str">
        <f>_xll.SNL.Clients.Office.Excel.Functions.SPG(EQ18, "SP_COUNTRY_NAME")</f>
        <v>China</v>
      </c>
      <c r="EY18" s="9" t="str">
        <f>_xll.SNL.Clients.Office.Excel.Functions.SPG(EV18, "SP_COUNTRY_NAME")</f>
        <v>#INVALID COMPANY ID</v>
      </c>
      <c r="EZ18" t="s">
        <v>1919</v>
      </c>
      <c r="FA18" t="s">
        <v>300</v>
      </c>
      <c r="FB18" t="s">
        <v>361</v>
      </c>
      <c r="FC18" s="11">
        <v>0.04</v>
      </c>
      <c r="FD18" s="9" t="str">
        <f>_xll.SNL.Clients.Office.Excel.Functions.SPG(FA18, "SP_COUNTRY_NAME")</f>
        <v>China</v>
      </c>
      <c r="FE18" t="s">
        <v>394</v>
      </c>
      <c r="FF18">
        <v>4048695</v>
      </c>
      <c r="FG18" t="s">
        <v>346</v>
      </c>
      <c r="FH18" s="11">
        <v>0.19</v>
      </c>
      <c r="FI18" s="9" t="str">
        <f>_xll.SNL.Clients.Office.Excel.Functions.SPG(FF18, "SP_COUNTRY_NAME")</f>
        <v>USA</v>
      </c>
      <c r="FJ18" t="s">
        <v>394</v>
      </c>
      <c r="FK18">
        <v>4048695</v>
      </c>
      <c r="FL18" t="s">
        <v>346</v>
      </c>
      <c r="FM18" s="11">
        <v>0.5</v>
      </c>
      <c r="FN18" s="9" t="str">
        <f>_xll.SNL.Clients.Office.Excel.Functions.SPG(FK18, "SP_COUNTRY_NAME")</f>
        <v>USA</v>
      </c>
      <c r="FO18" t="s">
        <v>395</v>
      </c>
      <c r="FP18">
        <v>4153606</v>
      </c>
      <c r="FQ18" t="s">
        <v>346</v>
      </c>
      <c r="FR18" s="11">
        <v>0.01</v>
      </c>
      <c r="FS18" s="9" t="str">
        <f>_xll.SNL.Clients.Office.Excel.Functions.SPG(FP18, "SP_COUNTRY_NAME")</f>
        <v>USA</v>
      </c>
      <c r="FT18" t="s">
        <v>382</v>
      </c>
      <c r="FU18">
        <v>13054481</v>
      </c>
      <c r="FV18" t="s">
        <v>346</v>
      </c>
      <c r="FW18" s="11">
        <v>0.26</v>
      </c>
      <c r="FX18" s="9" t="str">
        <f>_xll.SNL.Clients.Office.Excel.Functions.SPG(FU18, "SP_COUNTRY_NAME")</f>
        <v>Indonesia</v>
      </c>
      <c r="FY18" t="s">
        <v>394</v>
      </c>
      <c r="FZ18">
        <v>4048695</v>
      </c>
      <c r="GA18" t="s">
        <v>346</v>
      </c>
      <c r="GB18" s="11">
        <v>1.05</v>
      </c>
      <c r="GC18" s="9" t="str">
        <f>_xll.SNL.Clients.Office.Excel.Functions.SPG(FZ18, "SP_COUNTRY_NAME")</f>
        <v>USA</v>
      </c>
      <c r="GD18" t="s">
        <v>1919</v>
      </c>
      <c r="GE18" t="s">
        <v>300</v>
      </c>
      <c r="GF18" t="s">
        <v>361</v>
      </c>
      <c r="GG18" s="11">
        <v>0.04</v>
      </c>
      <c r="GH18" s="9" t="str">
        <f>_xll.SNL.Clients.Office.Excel.Functions.SPG(GE18, "SP_COUNTRY_NAME")</f>
        <v>China</v>
      </c>
      <c r="GI18" t="s">
        <v>394</v>
      </c>
      <c r="GJ18">
        <v>4048695</v>
      </c>
      <c r="GK18" t="s">
        <v>346</v>
      </c>
      <c r="GL18" s="11">
        <v>0.19</v>
      </c>
      <c r="GM18" s="9" t="str">
        <f>_xll.SNL.Clients.Office.Excel.Functions.SPG(GJ18, "SP_COUNTRY_NAME")</f>
        <v>USA</v>
      </c>
      <c r="GN18" t="s">
        <v>394</v>
      </c>
      <c r="GO18">
        <v>4048695</v>
      </c>
      <c r="GP18" t="s">
        <v>346</v>
      </c>
      <c r="GQ18" s="11">
        <v>0.5</v>
      </c>
      <c r="GR18" s="9" t="str">
        <f>_xll.SNL.Clients.Office.Excel.Functions.SPG(GO18, "SP_COUNTRY_NAME")</f>
        <v>USA</v>
      </c>
      <c r="GS18" t="s">
        <v>385</v>
      </c>
      <c r="GT18">
        <v>5752504</v>
      </c>
      <c r="GU18" t="s">
        <v>346</v>
      </c>
      <c r="GV18" s="11">
        <v>0.2</v>
      </c>
      <c r="GW18" s="9" t="str">
        <f>_xll.SNL.Clients.Office.Excel.Functions.SPG(GT18, "SP_COUNTRY_NAME")</f>
        <v>USA</v>
      </c>
      <c r="GX18" t="s">
        <v>351</v>
      </c>
      <c r="GY18">
        <v>111289</v>
      </c>
      <c r="GZ18" t="s">
        <v>346</v>
      </c>
      <c r="HA18" s="11">
        <v>0.59</v>
      </c>
      <c r="HB18" s="9" t="str">
        <f>_xll.SNL.Clients.Office.Excel.Functions.SPG(GY18, "SP_COUNTRY_NAME")</f>
        <v>USA</v>
      </c>
      <c r="HG18" s="9" t="str">
        <f>_xll.SNL.Clients.Office.Excel.Functions.SPG(HD18, "SP_COUNTRY_NAME")</f>
        <v>#INVALID COMPANY ID</v>
      </c>
    </row>
    <row r="19" spans="1:215" x14ac:dyDescent="0.35">
      <c r="E19" s="9" t="str">
        <f>_xll.SNL.Clients.Office.Excel.Functions.SPG(B19, "SP_COUNTRY_NAME")</f>
        <v>#INVALID COMPANY ID</v>
      </c>
      <c r="F19" t="s">
        <v>385</v>
      </c>
      <c r="G19">
        <v>5752504</v>
      </c>
      <c r="H19" t="s">
        <v>346</v>
      </c>
      <c r="I19" s="11">
        <v>0.76</v>
      </c>
      <c r="J19" s="9" t="str">
        <f>_xll.SNL.Clients.Office.Excel.Functions.SPG(G19, "SP_COUNTRY_NAME")</f>
        <v>USA</v>
      </c>
      <c r="K19" t="s">
        <v>642</v>
      </c>
      <c r="L19">
        <v>5762318</v>
      </c>
      <c r="M19" t="s">
        <v>346</v>
      </c>
      <c r="N19" s="11">
        <v>0.18</v>
      </c>
      <c r="O19" s="9" t="str">
        <f>_xll.SNL.Clients.Office.Excel.Functions.SPG(L19, "SP_COUNTRY_NAME")</f>
        <v>China</v>
      </c>
      <c r="T19" s="9" t="str">
        <f>_xll.SNL.Clients.Office.Excel.Functions.SPG(Q19, "SP_COUNTRY_NAME")</f>
        <v>#INVALID COMPANY ID</v>
      </c>
      <c r="U19" t="s">
        <v>640</v>
      </c>
      <c r="V19">
        <v>9020942</v>
      </c>
      <c r="W19" t="s">
        <v>346</v>
      </c>
      <c r="X19" s="11">
        <v>0.67</v>
      </c>
      <c r="Y19" s="9" t="str">
        <f>_xll.SNL.Clients.Office.Excel.Functions.SPG(V19, "SP_COUNTRY_NAME")</f>
        <v>China</v>
      </c>
      <c r="Z19" t="s">
        <v>642</v>
      </c>
      <c r="AA19">
        <v>5762318</v>
      </c>
      <c r="AB19" t="s">
        <v>346</v>
      </c>
      <c r="AC19" s="11">
        <v>0.18</v>
      </c>
      <c r="AD19" s="9" t="str">
        <f>_xll.SNL.Clients.Office.Excel.Functions.SPG(AA19, "SP_COUNTRY_NAME")</f>
        <v>China</v>
      </c>
      <c r="AE19" t="s">
        <v>1109</v>
      </c>
      <c r="AF19">
        <v>4393100</v>
      </c>
      <c r="AG19" t="s">
        <v>346</v>
      </c>
      <c r="AH19" s="11">
        <v>0.49</v>
      </c>
      <c r="AI19" s="9" t="str">
        <f>_xll.SNL.Clients.Office.Excel.Functions.SPG(AF19, "SP_COUNTRY_NAME")</f>
        <v>Poland</v>
      </c>
      <c r="AN19" s="9" t="str">
        <f>_xll.SNL.Clients.Office.Excel.Functions.SPG(AK19, "SP_COUNTRY_NAME")</f>
        <v>#INVALID COMPANY ID</v>
      </c>
      <c r="AO19" t="s">
        <v>437</v>
      </c>
      <c r="AP19">
        <v>4102073</v>
      </c>
      <c r="AQ19" t="s">
        <v>346</v>
      </c>
      <c r="AR19" s="11">
        <v>0.63</v>
      </c>
      <c r="AS19" s="9" t="str">
        <f>_xll.SNL.Clients.Office.Excel.Functions.SPG(AP19, "SP_COUNTRY_NAME")</f>
        <v>USA</v>
      </c>
      <c r="AX19" s="9" t="str">
        <f>_xll.SNL.Clients.Office.Excel.Functions.SPG(AU19, "SP_COUNTRY_NAME")</f>
        <v>#INVALID COMPANY ID</v>
      </c>
      <c r="AY19" t="s">
        <v>672</v>
      </c>
      <c r="AZ19">
        <v>4139739</v>
      </c>
      <c r="BA19" t="s">
        <v>346</v>
      </c>
      <c r="BB19" s="11">
        <v>0.27</v>
      </c>
      <c r="BC19" s="9" t="str">
        <f>_xll.SNL.Clients.Office.Excel.Functions.SPG(AZ19, "SP_COUNTRY_NAME")</f>
        <v>China</v>
      </c>
      <c r="BD19" t="s">
        <v>633</v>
      </c>
      <c r="BE19">
        <v>114508</v>
      </c>
      <c r="BF19" t="s">
        <v>366</v>
      </c>
      <c r="BG19" s="11">
        <v>0.95</v>
      </c>
      <c r="BH19" s="9" t="str">
        <f>_xll.SNL.Clients.Office.Excel.Functions.SPG(BE19, "SP_COUNTRY_NAME")</f>
        <v>United Kingdom</v>
      </c>
      <c r="BI19" t="s">
        <v>415</v>
      </c>
      <c r="BJ19">
        <v>110587</v>
      </c>
      <c r="BK19" t="s">
        <v>346</v>
      </c>
      <c r="BL19" s="11">
        <v>0.84</v>
      </c>
      <c r="BM19" s="9" t="str">
        <f>_xll.SNL.Clients.Office.Excel.Functions.SPG(BJ19, "SP_COUNTRY_NAME")</f>
        <v>USA</v>
      </c>
      <c r="BN19" t="s">
        <v>432</v>
      </c>
      <c r="BO19">
        <v>110092</v>
      </c>
      <c r="BP19" t="s">
        <v>346</v>
      </c>
      <c r="BQ19" s="11">
        <v>0.19</v>
      </c>
      <c r="BR19" s="9" t="str">
        <f>_xll.SNL.Clients.Office.Excel.Functions.SPG(BO19, "SP_COUNTRY_NAME")</f>
        <v>USA</v>
      </c>
      <c r="BS19" t="s">
        <v>432</v>
      </c>
      <c r="BT19">
        <v>110092</v>
      </c>
      <c r="BU19" t="s">
        <v>346</v>
      </c>
      <c r="BV19" s="11">
        <v>0.71</v>
      </c>
      <c r="BW19" s="9" t="str">
        <f>_xll.SNL.Clients.Office.Excel.Functions.SPG(BT19, "SP_COUNTRY_NAME")</f>
        <v>USA</v>
      </c>
      <c r="BX19" t="s">
        <v>640</v>
      </c>
      <c r="BY19">
        <v>9020942</v>
      </c>
      <c r="BZ19" t="s">
        <v>346</v>
      </c>
      <c r="CA19" s="11">
        <v>0.67</v>
      </c>
      <c r="CB19" s="9" t="str">
        <f>_xll.SNL.Clients.Office.Excel.Functions.SPG(BY19, "SP_COUNTRY_NAME")</f>
        <v>China</v>
      </c>
      <c r="CC19" t="s">
        <v>394</v>
      </c>
      <c r="CD19">
        <v>4048695</v>
      </c>
      <c r="CE19" t="s">
        <v>346</v>
      </c>
      <c r="CF19" s="11">
        <v>0.56999999999999995</v>
      </c>
      <c r="CG19" s="9" t="str">
        <f>_xll.SNL.Clients.Office.Excel.Functions.SPG(CD19, "SP_COUNTRY_NAME")</f>
        <v>USA</v>
      </c>
      <c r="CH19" t="s">
        <v>437</v>
      </c>
      <c r="CI19">
        <v>4102073</v>
      </c>
      <c r="CJ19" t="s">
        <v>346</v>
      </c>
      <c r="CK19" s="11">
        <v>0.63</v>
      </c>
      <c r="CL19" s="9" t="str">
        <f>_xll.SNL.Clients.Office.Excel.Functions.SPG(CI19, "SP_COUNTRY_NAME")</f>
        <v>USA</v>
      </c>
      <c r="CM19" t="s">
        <v>1959</v>
      </c>
      <c r="CN19">
        <v>4848040</v>
      </c>
      <c r="CO19" t="s">
        <v>364</v>
      </c>
      <c r="CP19" s="11">
        <v>0.74</v>
      </c>
      <c r="CQ19" s="9" t="str">
        <f>_xll.SNL.Clients.Office.Excel.Functions.SPG(CN19, "SP_COUNTRY_NAME")</f>
        <v>USA</v>
      </c>
      <c r="CV19" s="9" t="str">
        <f>_xll.SNL.Clients.Office.Excel.Functions.SPG(CS19, "SP_COUNTRY_NAME")</f>
        <v>#INVALID COMPANY ID</v>
      </c>
      <c r="CW19" t="s">
        <v>354</v>
      </c>
      <c r="CX19">
        <v>110652</v>
      </c>
      <c r="CY19" t="s">
        <v>346</v>
      </c>
      <c r="CZ19" s="11">
        <v>0.01</v>
      </c>
      <c r="DA19" s="9" t="str">
        <f>_xll.SNL.Clients.Office.Excel.Functions.SPG(CX19, "SP_COUNTRY_NAME")</f>
        <v>USA</v>
      </c>
      <c r="DB19" t="s">
        <v>633</v>
      </c>
      <c r="DC19">
        <v>114508</v>
      </c>
      <c r="DD19" t="s">
        <v>366</v>
      </c>
      <c r="DE19" s="11">
        <v>0.95</v>
      </c>
      <c r="DF19" s="9" t="str">
        <f>_xll.SNL.Clients.Office.Excel.Functions.SPG(DC19, "SP_COUNTRY_NAME")</f>
        <v>United Kingdom</v>
      </c>
      <c r="DG19" t="s">
        <v>354</v>
      </c>
      <c r="DH19">
        <v>110652</v>
      </c>
      <c r="DI19" t="s">
        <v>346</v>
      </c>
      <c r="DJ19" s="11">
        <v>0.01</v>
      </c>
      <c r="DK19" s="9" t="str">
        <f>_xll.SNL.Clients.Office.Excel.Functions.SPG(DH19, "SP_COUNTRY_NAME")</f>
        <v>USA</v>
      </c>
      <c r="DL19" t="s">
        <v>633</v>
      </c>
      <c r="DM19">
        <v>114508</v>
      </c>
      <c r="DN19" t="s">
        <v>366</v>
      </c>
      <c r="DO19" s="11">
        <v>0.95</v>
      </c>
      <c r="DP19" s="9" t="str">
        <f>_xll.SNL.Clients.Office.Excel.Functions.SPG(DM19, "SP_COUNTRY_NAME")</f>
        <v>United Kingdom</v>
      </c>
      <c r="DU19" s="9" t="str">
        <f>_xll.SNL.Clients.Office.Excel.Functions.SPG(DR19, "SP_COUNTRY_NAME")</f>
        <v>#INVALID COMPANY ID</v>
      </c>
      <c r="DV19" t="s">
        <v>436</v>
      </c>
      <c r="DW19">
        <v>111219</v>
      </c>
      <c r="DX19" t="s">
        <v>346</v>
      </c>
      <c r="DY19" s="11">
        <v>0.04</v>
      </c>
      <c r="DZ19" s="9" t="str">
        <f>_xll.SNL.Clients.Office.Excel.Functions.SPG(DW19, "SP_COUNTRY_NAME")</f>
        <v>USA</v>
      </c>
      <c r="EA19" t="s">
        <v>394</v>
      </c>
      <c r="EB19">
        <v>4048695</v>
      </c>
      <c r="EC19" t="s">
        <v>346</v>
      </c>
      <c r="ED19" s="11">
        <v>0.56999999999999995</v>
      </c>
      <c r="EE19" s="9" t="str">
        <f>_xll.SNL.Clients.Office.Excel.Functions.SPG(EB19, "SP_COUNTRY_NAME")</f>
        <v>USA</v>
      </c>
      <c r="EF19" t="s">
        <v>633</v>
      </c>
      <c r="EG19">
        <v>114508</v>
      </c>
      <c r="EH19" t="s">
        <v>366</v>
      </c>
      <c r="EI19" s="11">
        <v>0.95</v>
      </c>
      <c r="EJ19" s="9" t="str">
        <f>_xll.SNL.Clients.Office.Excel.Functions.SPG(EG19, "SP_COUNTRY_NAME")</f>
        <v>United Kingdom</v>
      </c>
      <c r="EK19" t="s">
        <v>354</v>
      </c>
      <c r="EL19">
        <v>110652</v>
      </c>
      <c r="EM19" t="s">
        <v>346</v>
      </c>
      <c r="EN19" s="11">
        <v>0.01</v>
      </c>
      <c r="EO19" s="9" t="str">
        <f>_xll.SNL.Clients.Office.Excel.Functions.SPG(EL19, "SP_COUNTRY_NAME")</f>
        <v>USA</v>
      </c>
      <c r="EP19" t="s">
        <v>683</v>
      </c>
      <c r="EQ19">
        <v>4137754</v>
      </c>
      <c r="ER19" t="s">
        <v>346</v>
      </c>
      <c r="ES19" s="11">
        <v>0.31</v>
      </c>
      <c r="ET19" s="9" t="str">
        <f>_xll.SNL.Clients.Office.Excel.Functions.SPG(EQ19, "SP_COUNTRY_NAME")</f>
        <v>China</v>
      </c>
      <c r="EY19" s="9" t="str">
        <f>_xll.SNL.Clients.Office.Excel.Functions.SPG(EV19, "SP_COUNTRY_NAME")</f>
        <v>#INVALID COMPANY ID</v>
      </c>
      <c r="EZ19" t="s">
        <v>1920</v>
      </c>
      <c r="FA19">
        <v>4138950</v>
      </c>
      <c r="FB19" t="s">
        <v>346</v>
      </c>
      <c r="FC19" s="11">
        <v>0.03</v>
      </c>
      <c r="FD19" s="9" t="str">
        <f>_xll.SNL.Clients.Office.Excel.Functions.SPG(FA19, "SP_COUNTRY_NAME")</f>
        <v>Malaysia</v>
      </c>
      <c r="FE19" t="s">
        <v>395</v>
      </c>
      <c r="FF19">
        <v>4153606</v>
      </c>
      <c r="FG19" t="s">
        <v>346</v>
      </c>
      <c r="FH19" s="11">
        <v>0.19</v>
      </c>
      <c r="FI19" s="9" t="str">
        <f>_xll.SNL.Clients.Office.Excel.Functions.SPG(FF19, "SP_COUNTRY_NAME")</f>
        <v>USA</v>
      </c>
      <c r="FJ19" t="s">
        <v>355</v>
      </c>
      <c r="FK19">
        <v>111074</v>
      </c>
      <c r="FL19" t="s">
        <v>346</v>
      </c>
      <c r="FM19" s="11">
        <v>0.36</v>
      </c>
      <c r="FN19" s="9" t="str">
        <f>_xll.SNL.Clients.Office.Excel.Functions.SPG(FK19, "SP_COUNTRY_NAME")</f>
        <v>USA</v>
      </c>
      <c r="FO19" t="s">
        <v>354</v>
      </c>
      <c r="FP19">
        <v>110652</v>
      </c>
      <c r="FQ19" t="s">
        <v>346</v>
      </c>
      <c r="FR19" s="11">
        <v>0.01</v>
      </c>
      <c r="FS19" s="9" t="str">
        <f>_xll.SNL.Clients.Office.Excel.Functions.SPG(FP19, "SP_COUNTRY_NAME")</f>
        <v>USA</v>
      </c>
      <c r="FT19" t="s">
        <v>383</v>
      </c>
      <c r="FU19">
        <v>103042</v>
      </c>
      <c r="FV19" t="s">
        <v>366</v>
      </c>
      <c r="FW19" s="11">
        <v>0.19</v>
      </c>
      <c r="FX19" s="9" t="str">
        <f>_xll.SNL.Clients.Office.Excel.Functions.SPG(FU19, "SP_COUNTRY_NAME")</f>
        <v>USA</v>
      </c>
      <c r="FY19" t="s">
        <v>633</v>
      </c>
      <c r="FZ19">
        <v>114508</v>
      </c>
      <c r="GA19" t="s">
        <v>366</v>
      </c>
      <c r="GB19" s="11">
        <v>0.95</v>
      </c>
      <c r="GC19" s="9" t="str">
        <f>_xll.SNL.Clients.Office.Excel.Functions.SPG(FZ19, "SP_COUNTRY_NAME")</f>
        <v>United Kingdom</v>
      </c>
      <c r="GD19" t="s">
        <v>1920</v>
      </c>
      <c r="GE19">
        <v>4138950</v>
      </c>
      <c r="GF19" t="s">
        <v>346</v>
      </c>
      <c r="GG19" s="11">
        <v>0.03</v>
      </c>
      <c r="GH19" s="9" t="str">
        <f>_xll.SNL.Clients.Office.Excel.Functions.SPG(GE19, "SP_COUNTRY_NAME")</f>
        <v>Malaysia</v>
      </c>
      <c r="GI19" t="s">
        <v>395</v>
      </c>
      <c r="GJ19">
        <v>4153606</v>
      </c>
      <c r="GK19" t="s">
        <v>346</v>
      </c>
      <c r="GL19" s="11">
        <v>0.19</v>
      </c>
      <c r="GM19" s="9" t="str">
        <f>_xll.SNL.Clients.Office.Excel.Functions.SPG(GJ19, "SP_COUNTRY_NAME")</f>
        <v>USA</v>
      </c>
      <c r="GN19" t="s">
        <v>355</v>
      </c>
      <c r="GO19">
        <v>111074</v>
      </c>
      <c r="GP19" t="s">
        <v>346</v>
      </c>
      <c r="GQ19" s="11">
        <v>0.36</v>
      </c>
      <c r="GR19" s="9" t="str">
        <f>_xll.SNL.Clients.Office.Excel.Functions.SPG(GO19, "SP_COUNTRY_NAME")</f>
        <v>USA</v>
      </c>
      <c r="GS19" t="s">
        <v>432</v>
      </c>
      <c r="GT19">
        <v>110092</v>
      </c>
      <c r="GU19" t="s">
        <v>346</v>
      </c>
      <c r="GV19" s="11">
        <v>0.19</v>
      </c>
      <c r="GW19" s="9" t="str">
        <f>_xll.SNL.Clients.Office.Excel.Functions.SPG(GT19, "SP_COUNTRY_NAME")</f>
        <v>USA</v>
      </c>
      <c r="GX19" t="s">
        <v>394</v>
      </c>
      <c r="GY19">
        <v>4048695</v>
      </c>
      <c r="GZ19" t="s">
        <v>346</v>
      </c>
      <c r="HA19" s="11">
        <v>0.56999999999999995</v>
      </c>
      <c r="HB19" s="9" t="str">
        <f>_xll.SNL.Clients.Office.Excel.Functions.SPG(GY19, "SP_COUNTRY_NAME")</f>
        <v>USA</v>
      </c>
      <c r="HG19" s="9" t="str">
        <f>_xll.SNL.Clients.Office.Excel.Functions.SPG(HD19, "SP_COUNTRY_NAME")</f>
        <v>#INVALID COMPANY ID</v>
      </c>
    </row>
    <row r="20" spans="1:215" x14ac:dyDescent="0.35">
      <c r="E20" s="9" t="str">
        <f>_xll.SNL.Clients.Office.Excel.Functions.SPG(B20, "SP_COUNTRY_NAME")</f>
        <v>#INVALID COMPANY ID</v>
      </c>
      <c r="F20" t="s">
        <v>431</v>
      </c>
      <c r="G20">
        <v>4085931</v>
      </c>
      <c r="H20" t="s">
        <v>346</v>
      </c>
      <c r="I20" s="11">
        <v>0.6</v>
      </c>
      <c r="J20" s="9" t="str">
        <f>_xll.SNL.Clients.Office.Excel.Functions.SPG(G20, "SP_COUNTRY_NAME")</f>
        <v>Japan</v>
      </c>
      <c r="K20" t="s">
        <v>396</v>
      </c>
      <c r="L20">
        <v>4119759</v>
      </c>
      <c r="M20" t="s">
        <v>346</v>
      </c>
      <c r="N20" s="11">
        <v>0.16</v>
      </c>
      <c r="O20" s="9" t="str">
        <f>_xll.SNL.Clients.Office.Excel.Functions.SPG(L20, "SP_COUNTRY_NAME")</f>
        <v>USA</v>
      </c>
      <c r="T20" s="9" t="str">
        <f>_xll.SNL.Clients.Office.Excel.Functions.SPG(Q20, "SP_COUNTRY_NAME")</f>
        <v>#INVALID COMPANY ID</v>
      </c>
      <c r="U20" t="s">
        <v>642</v>
      </c>
      <c r="V20">
        <v>5762318</v>
      </c>
      <c r="W20" t="s">
        <v>346</v>
      </c>
      <c r="X20" s="11">
        <v>0.65</v>
      </c>
      <c r="Y20" s="9" t="str">
        <f>_xll.SNL.Clients.Office.Excel.Functions.SPG(V20, "SP_COUNTRY_NAME")</f>
        <v>China</v>
      </c>
      <c r="Z20" t="s">
        <v>396</v>
      </c>
      <c r="AA20">
        <v>4119759</v>
      </c>
      <c r="AB20" t="s">
        <v>346</v>
      </c>
      <c r="AC20" s="11">
        <v>0.16</v>
      </c>
      <c r="AD20" s="9" t="str">
        <f>_xll.SNL.Clients.Office.Excel.Functions.SPG(AA20, "SP_COUNTRY_NAME")</f>
        <v>USA</v>
      </c>
      <c r="AE20" t="s">
        <v>1110</v>
      </c>
      <c r="AF20" t="s">
        <v>300</v>
      </c>
      <c r="AG20" t="s">
        <v>361</v>
      </c>
      <c r="AH20" s="11">
        <v>0.35</v>
      </c>
      <c r="AI20" s="9" t="str">
        <f>_xll.SNL.Clients.Office.Excel.Functions.SPG(AF20, "SP_COUNTRY_NAME")</f>
        <v>China</v>
      </c>
      <c r="AN20" s="9" t="str">
        <f>_xll.SNL.Clients.Office.Excel.Functions.SPG(AK20, "SP_COUNTRY_NAME")</f>
        <v>#INVALID COMPANY ID</v>
      </c>
      <c r="AO20" t="s">
        <v>1143</v>
      </c>
      <c r="AP20">
        <v>4138850</v>
      </c>
      <c r="AQ20" t="s">
        <v>346</v>
      </c>
      <c r="AR20" s="11">
        <v>0.62</v>
      </c>
      <c r="AS20" s="9" t="str">
        <f>_xll.SNL.Clients.Office.Excel.Functions.SPG(AP20, "SP_COUNTRY_NAME")</f>
        <v>South Africa</v>
      </c>
      <c r="AX20" s="9" t="str">
        <f>_xll.SNL.Clients.Office.Excel.Functions.SPG(AU20, "SP_COUNTRY_NAME")</f>
        <v>#INVALID COMPANY ID</v>
      </c>
      <c r="AY20" t="s">
        <v>734</v>
      </c>
      <c r="AZ20">
        <v>4322244</v>
      </c>
      <c r="BA20" t="s">
        <v>346</v>
      </c>
      <c r="BB20" s="11">
        <v>0.25</v>
      </c>
      <c r="BC20" s="9" t="str">
        <f>_xll.SNL.Clients.Office.Excel.Functions.SPG(AZ20, "SP_COUNTRY_NAME")</f>
        <v>China</v>
      </c>
      <c r="BD20" t="s">
        <v>1391</v>
      </c>
      <c r="BE20">
        <v>4217352</v>
      </c>
      <c r="BF20" t="s">
        <v>346</v>
      </c>
      <c r="BG20" s="11">
        <v>0.8</v>
      </c>
      <c r="BH20" s="9" t="str">
        <f>_xll.SNL.Clients.Office.Excel.Functions.SPG(BE20, "SP_COUNTRY_NAME")</f>
        <v>South Africa</v>
      </c>
      <c r="BI20" t="s">
        <v>396</v>
      </c>
      <c r="BJ20">
        <v>4119759</v>
      </c>
      <c r="BK20" t="s">
        <v>346</v>
      </c>
      <c r="BL20" s="11">
        <v>0.81</v>
      </c>
      <c r="BM20" s="9" t="str">
        <f>_xll.SNL.Clients.Office.Excel.Functions.SPG(BJ20, "SP_COUNTRY_NAME")</f>
        <v>USA</v>
      </c>
      <c r="BN20" t="s">
        <v>584</v>
      </c>
      <c r="BO20">
        <v>4138797</v>
      </c>
      <c r="BP20" t="s">
        <v>346</v>
      </c>
      <c r="BQ20" s="11">
        <v>0.15</v>
      </c>
      <c r="BR20" s="9" t="str">
        <f>_xll.SNL.Clients.Office.Excel.Functions.SPG(BO20, "SP_COUNTRY_NAME")</f>
        <v>Hong Kong</v>
      </c>
      <c r="BS20" t="s">
        <v>946</v>
      </c>
      <c r="BT20">
        <v>5873967</v>
      </c>
      <c r="BU20" t="s">
        <v>369</v>
      </c>
      <c r="BV20" s="11">
        <v>0.7</v>
      </c>
      <c r="BW20" s="9" t="str">
        <f>_xll.SNL.Clients.Office.Excel.Functions.SPG(BT20, "SP_COUNTRY_NAME")</f>
        <v>China</v>
      </c>
      <c r="BX20" t="s">
        <v>642</v>
      </c>
      <c r="BY20">
        <v>5762318</v>
      </c>
      <c r="BZ20" t="s">
        <v>346</v>
      </c>
      <c r="CA20" s="11">
        <v>0.65</v>
      </c>
      <c r="CB20" s="9" t="str">
        <f>_xll.SNL.Clients.Office.Excel.Functions.SPG(BY20, "SP_COUNTRY_NAME")</f>
        <v>China</v>
      </c>
      <c r="CC20" t="s">
        <v>409</v>
      </c>
      <c r="CD20">
        <v>102719</v>
      </c>
      <c r="CE20" t="s">
        <v>346</v>
      </c>
      <c r="CF20" s="11">
        <v>0.56000000000000005</v>
      </c>
      <c r="CG20" s="9" t="str">
        <f>_xll.SNL.Clients.Office.Excel.Functions.SPG(CD20, "SP_COUNTRY_NAME")</f>
        <v>USA</v>
      </c>
      <c r="CH20" t="s">
        <v>1143</v>
      </c>
      <c r="CI20">
        <v>4138850</v>
      </c>
      <c r="CJ20" t="s">
        <v>346</v>
      </c>
      <c r="CK20" s="11">
        <v>0.62</v>
      </c>
      <c r="CL20" s="9" t="str">
        <f>_xll.SNL.Clients.Office.Excel.Functions.SPG(CI20, "SP_COUNTRY_NAME")</f>
        <v>South Africa</v>
      </c>
      <c r="CM20" t="s">
        <v>1635</v>
      </c>
      <c r="CN20">
        <v>109290</v>
      </c>
      <c r="CO20" t="s">
        <v>364</v>
      </c>
      <c r="CP20" s="11">
        <v>0.71</v>
      </c>
      <c r="CQ20" s="9" t="str">
        <f>_xll.SNL.Clients.Office.Excel.Functions.SPG(CN20, "SP_COUNTRY_NAME")</f>
        <v>USA</v>
      </c>
      <c r="CV20" s="9" t="str">
        <f>_xll.SNL.Clients.Office.Excel.Functions.SPG(CS20, "SP_COUNTRY_NAME")</f>
        <v>#INVALID COMPANY ID</v>
      </c>
      <c r="CW20" t="s">
        <v>460</v>
      </c>
      <c r="CX20">
        <v>4337989</v>
      </c>
      <c r="CY20" t="s">
        <v>346</v>
      </c>
      <c r="CZ20" s="11">
        <v>0.01</v>
      </c>
      <c r="DA20" s="9" t="str">
        <f>_xll.SNL.Clients.Office.Excel.Functions.SPG(CX20, "SP_COUNTRY_NAME")</f>
        <v>USA</v>
      </c>
      <c r="DB20" t="s">
        <v>1391</v>
      </c>
      <c r="DC20">
        <v>4217352</v>
      </c>
      <c r="DD20" t="s">
        <v>346</v>
      </c>
      <c r="DE20" s="11">
        <v>0.8</v>
      </c>
      <c r="DF20" s="9" t="str">
        <f>_xll.SNL.Clients.Office.Excel.Functions.SPG(DC20, "SP_COUNTRY_NAME")</f>
        <v>South Africa</v>
      </c>
      <c r="DG20" t="s">
        <v>460</v>
      </c>
      <c r="DH20">
        <v>4337989</v>
      </c>
      <c r="DI20" t="s">
        <v>346</v>
      </c>
      <c r="DJ20" s="11">
        <v>0.01</v>
      </c>
      <c r="DK20" s="9" t="str">
        <f>_xll.SNL.Clients.Office.Excel.Functions.SPG(DH20, "SP_COUNTRY_NAME")</f>
        <v>USA</v>
      </c>
      <c r="DL20" t="s">
        <v>1391</v>
      </c>
      <c r="DM20">
        <v>4217352</v>
      </c>
      <c r="DN20" t="s">
        <v>346</v>
      </c>
      <c r="DO20" s="11">
        <v>0.8</v>
      </c>
      <c r="DP20" s="9" t="str">
        <f>_xll.SNL.Clients.Office.Excel.Functions.SPG(DM20, "SP_COUNTRY_NAME")</f>
        <v>South Africa</v>
      </c>
      <c r="DU20" s="9" t="str">
        <f>_xll.SNL.Clients.Office.Excel.Functions.SPG(DR20, "SP_COUNTRY_NAME")</f>
        <v>#INVALID COMPANY ID</v>
      </c>
      <c r="DV20" t="s">
        <v>399</v>
      </c>
      <c r="DW20">
        <v>4026948</v>
      </c>
      <c r="DX20" t="s">
        <v>346</v>
      </c>
      <c r="DY20" s="11">
        <v>0.04</v>
      </c>
      <c r="DZ20" s="9" t="str">
        <f>_xll.SNL.Clients.Office.Excel.Functions.SPG(DW20, "SP_COUNTRY_NAME")</f>
        <v>France</v>
      </c>
      <c r="EA20" t="s">
        <v>409</v>
      </c>
      <c r="EB20">
        <v>102719</v>
      </c>
      <c r="EC20" t="s">
        <v>346</v>
      </c>
      <c r="ED20" s="11">
        <v>0.56000000000000005</v>
      </c>
      <c r="EE20" s="9" t="str">
        <f>_xll.SNL.Clients.Office.Excel.Functions.SPG(EB20, "SP_COUNTRY_NAME")</f>
        <v>USA</v>
      </c>
      <c r="EF20" t="s">
        <v>1391</v>
      </c>
      <c r="EG20">
        <v>4217352</v>
      </c>
      <c r="EH20" t="s">
        <v>346</v>
      </c>
      <c r="EI20" s="11">
        <v>0.8</v>
      </c>
      <c r="EJ20" s="9" t="str">
        <f>_xll.SNL.Clients.Office.Excel.Functions.SPG(EG20, "SP_COUNTRY_NAME")</f>
        <v>South Africa</v>
      </c>
      <c r="EK20" t="s">
        <v>460</v>
      </c>
      <c r="EL20">
        <v>4337989</v>
      </c>
      <c r="EM20" t="s">
        <v>346</v>
      </c>
      <c r="EN20" s="11">
        <v>0.01</v>
      </c>
      <c r="EO20" s="9" t="str">
        <f>_xll.SNL.Clients.Office.Excel.Functions.SPG(EL20, "SP_COUNTRY_NAME")</f>
        <v>USA</v>
      </c>
      <c r="EP20" t="s">
        <v>644</v>
      </c>
      <c r="EQ20">
        <v>4138625</v>
      </c>
      <c r="ER20" t="s">
        <v>346</v>
      </c>
      <c r="ES20" s="11">
        <v>0.31</v>
      </c>
      <c r="ET20" s="9" t="str">
        <f>_xll.SNL.Clients.Office.Excel.Functions.SPG(EQ20, "SP_COUNTRY_NAME")</f>
        <v>China</v>
      </c>
      <c r="EY20" s="9" t="str">
        <f>_xll.SNL.Clients.Office.Excel.Functions.SPG(EV20, "SP_COUNTRY_NAME")</f>
        <v>#INVALID COMPANY ID</v>
      </c>
      <c r="EZ20" t="s">
        <v>1921</v>
      </c>
      <c r="FA20" t="s">
        <v>300</v>
      </c>
      <c r="FB20" t="s">
        <v>361</v>
      </c>
      <c r="FC20" s="11">
        <v>0.02</v>
      </c>
      <c r="FD20" s="9" t="str">
        <f>_xll.SNL.Clients.Office.Excel.Functions.SPG(FA20, "SP_COUNTRY_NAME")</f>
        <v>China</v>
      </c>
      <c r="FE20" t="s">
        <v>423</v>
      </c>
      <c r="FF20">
        <v>4318240</v>
      </c>
      <c r="FG20" t="s">
        <v>346</v>
      </c>
      <c r="FH20" s="11">
        <v>0.15</v>
      </c>
      <c r="FI20" s="9" t="str">
        <f>_xll.SNL.Clients.Office.Excel.Functions.SPG(FF20, "SP_COUNTRY_NAME")</f>
        <v>Japan</v>
      </c>
      <c r="FJ20" t="s">
        <v>393</v>
      </c>
      <c r="FK20">
        <v>4723508</v>
      </c>
      <c r="FL20" t="s">
        <v>346</v>
      </c>
      <c r="FM20" s="11">
        <v>0.32</v>
      </c>
      <c r="FN20" s="9" t="str">
        <f>_xll.SNL.Clients.Office.Excel.Functions.SPG(FK20, "SP_COUNTRY_NAME")</f>
        <v>United Kingdom</v>
      </c>
      <c r="FO20" t="s">
        <v>460</v>
      </c>
      <c r="FP20">
        <v>4337989</v>
      </c>
      <c r="FQ20" t="s">
        <v>346</v>
      </c>
      <c r="FR20" s="11">
        <v>0.01</v>
      </c>
      <c r="FS20" s="9" t="str">
        <f>_xll.SNL.Clients.Office.Excel.Functions.SPG(FP20, "SP_COUNTRY_NAME")</f>
        <v>USA</v>
      </c>
      <c r="FT20" t="s">
        <v>384</v>
      </c>
      <c r="FU20">
        <v>27729798</v>
      </c>
      <c r="FV20" t="s">
        <v>365</v>
      </c>
      <c r="FW20" s="11">
        <v>0.17</v>
      </c>
      <c r="FX20" s="9" t="str">
        <f>_xll.SNL.Clients.Office.Excel.Functions.SPG(FU20, "SP_COUNTRY_NAME")</f>
        <v>Indonesia</v>
      </c>
      <c r="FY20" t="s">
        <v>1391</v>
      </c>
      <c r="FZ20">
        <v>4217352</v>
      </c>
      <c r="GA20" t="s">
        <v>346</v>
      </c>
      <c r="GB20" s="11">
        <v>0.8</v>
      </c>
      <c r="GC20" s="9" t="str">
        <f>_xll.SNL.Clients.Office.Excel.Functions.SPG(FZ20, "SP_COUNTRY_NAME")</f>
        <v>South Africa</v>
      </c>
      <c r="GD20" t="s">
        <v>1921</v>
      </c>
      <c r="GE20" t="s">
        <v>300</v>
      </c>
      <c r="GF20" t="s">
        <v>361</v>
      </c>
      <c r="GG20" s="11">
        <v>0.02</v>
      </c>
      <c r="GH20" s="9" t="str">
        <f>_xll.SNL.Clients.Office.Excel.Functions.SPG(GE20, "SP_COUNTRY_NAME")</f>
        <v>China</v>
      </c>
      <c r="GI20" t="s">
        <v>423</v>
      </c>
      <c r="GJ20">
        <v>4318240</v>
      </c>
      <c r="GK20" t="s">
        <v>346</v>
      </c>
      <c r="GL20" s="11">
        <v>0.15</v>
      </c>
      <c r="GM20" s="9" t="str">
        <f>_xll.SNL.Clients.Office.Excel.Functions.SPG(GJ20, "SP_COUNTRY_NAME")</f>
        <v>Japan</v>
      </c>
      <c r="GN20" t="s">
        <v>393</v>
      </c>
      <c r="GO20">
        <v>4723508</v>
      </c>
      <c r="GP20" t="s">
        <v>346</v>
      </c>
      <c r="GQ20" s="11">
        <v>0.32</v>
      </c>
      <c r="GR20" s="9" t="str">
        <f>_xll.SNL.Clients.Office.Excel.Functions.SPG(GO20, "SP_COUNTRY_NAME")</f>
        <v>United Kingdom</v>
      </c>
      <c r="GS20" t="s">
        <v>584</v>
      </c>
      <c r="GT20">
        <v>4138797</v>
      </c>
      <c r="GU20" t="s">
        <v>346</v>
      </c>
      <c r="GV20" s="11">
        <v>0.15</v>
      </c>
      <c r="GW20" s="9" t="str">
        <f>_xll.SNL.Clients.Office.Excel.Functions.SPG(GT20, "SP_COUNTRY_NAME")</f>
        <v>Hong Kong</v>
      </c>
      <c r="GX20" t="s">
        <v>409</v>
      </c>
      <c r="GY20">
        <v>102719</v>
      </c>
      <c r="GZ20" t="s">
        <v>346</v>
      </c>
      <c r="HA20" s="11">
        <v>0.56000000000000005</v>
      </c>
      <c r="HB20" s="9" t="str">
        <f>_xll.SNL.Clients.Office.Excel.Functions.SPG(GY20, "SP_COUNTRY_NAME")</f>
        <v>USA</v>
      </c>
      <c r="HG20" s="9" t="str">
        <f>_xll.SNL.Clients.Office.Excel.Functions.SPG(HD20, "SP_COUNTRY_NAME")</f>
        <v>#INVALID COMPANY ID</v>
      </c>
    </row>
    <row r="21" spans="1:215" x14ac:dyDescent="0.35">
      <c r="E21" s="9" t="str">
        <f>_xll.SNL.Clients.Office.Excel.Functions.SPG(B21, "SP_COUNTRY_NAME")</f>
        <v>#INVALID COMPANY ID</v>
      </c>
      <c r="F21" t="s">
        <v>432</v>
      </c>
      <c r="G21">
        <v>110092</v>
      </c>
      <c r="H21" t="s">
        <v>346</v>
      </c>
      <c r="I21" s="11">
        <v>0.43</v>
      </c>
      <c r="J21" s="9" t="str">
        <f>_xll.SNL.Clients.Office.Excel.Functions.SPG(G21, "SP_COUNTRY_NAME")</f>
        <v>USA</v>
      </c>
      <c r="K21" t="s">
        <v>643</v>
      </c>
      <c r="L21">
        <v>8365031</v>
      </c>
      <c r="M21" t="s">
        <v>346</v>
      </c>
      <c r="N21" s="11">
        <v>0.11</v>
      </c>
      <c r="O21" s="9" t="str">
        <f>_xll.SNL.Clients.Office.Excel.Functions.SPG(L21, "SP_COUNTRY_NAME")</f>
        <v>Australia</v>
      </c>
      <c r="T21" s="9" t="str">
        <f>_xll.SNL.Clients.Office.Excel.Functions.SPG(Q21, "SP_COUNTRY_NAME")</f>
        <v>#INVALID COMPANY ID</v>
      </c>
      <c r="U21" t="s">
        <v>713</v>
      </c>
      <c r="V21">
        <v>3001689</v>
      </c>
      <c r="W21" t="s">
        <v>346</v>
      </c>
      <c r="X21" s="11">
        <v>0.63</v>
      </c>
      <c r="Y21" s="9" t="str">
        <f>_xll.SNL.Clients.Office.Excel.Functions.SPG(V21, "SP_COUNTRY_NAME")</f>
        <v>France</v>
      </c>
      <c r="Z21" t="s">
        <v>643</v>
      </c>
      <c r="AA21">
        <v>8365031</v>
      </c>
      <c r="AB21" t="s">
        <v>346</v>
      </c>
      <c r="AC21" s="11">
        <v>0.11</v>
      </c>
      <c r="AD21" s="9" t="str">
        <f>_xll.SNL.Clients.Office.Excel.Functions.SPG(AA21, "SP_COUNTRY_NAME")</f>
        <v>Australia</v>
      </c>
      <c r="AE21" t="s">
        <v>449</v>
      </c>
      <c r="AF21">
        <v>4093616</v>
      </c>
      <c r="AG21" t="s">
        <v>346</v>
      </c>
      <c r="AH21" s="11">
        <v>0.25</v>
      </c>
      <c r="AI21" s="9" t="str">
        <f>_xll.SNL.Clients.Office.Excel.Functions.SPG(AF21, "SP_COUNTRY_NAME")</f>
        <v>Canada</v>
      </c>
      <c r="AN21" s="9" t="str">
        <f>_xll.SNL.Clients.Office.Excel.Functions.SPG(AK21, "SP_COUNTRY_NAME")</f>
        <v>#INVALID COMPANY ID</v>
      </c>
      <c r="AO21" t="s">
        <v>396</v>
      </c>
      <c r="AP21">
        <v>4119759</v>
      </c>
      <c r="AQ21" t="s">
        <v>346</v>
      </c>
      <c r="AR21" s="11">
        <v>0.52</v>
      </c>
      <c r="AS21" s="9" t="str">
        <f>_xll.SNL.Clients.Office.Excel.Functions.SPG(AP21, "SP_COUNTRY_NAME")</f>
        <v>USA</v>
      </c>
      <c r="AX21" s="9" t="str">
        <f>_xll.SNL.Clients.Office.Excel.Functions.SPG(AU21, "SP_COUNTRY_NAME")</f>
        <v>#INVALID COMPANY ID</v>
      </c>
      <c r="AY21" t="s">
        <v>649</v>
      </c>
      <c r="AZ21">
        <v>4606392</v>
      </c>
      <c r="BA21" t="s">
        <v>346</v>
      </c>
      <c r="BB21" s="11">
        <v>0.24</v>
      </c>
      <c r="BC21" s="9" t="str">
        <f>_xll.SNL.Clients.Office.Excel.Functions.SPG(AZ21, "SP_COUNTRY_NAME")</f>
        <v>China</v>
      </c>
      <c r="BD21" t="s">
        <v>385</v>
      </c>
      <c r="BE21">
        <v>5752504</v>
      </c>
      <c r="BF21" t="s">
        <v>346</v>
      </c>
      <c r="BG21" s="11">
        <v>0.77</v>
      </c>
      <c r="BH21" s="9" t="str">
        <f>_xll.SNL.Clients.Office.Excel.Functions.SPG(BE21, "SP_COUNTRY_NAME")</f>
        <v>USA</v>
      </c>
      <c r="BI21" t="s">
        <v>432</v>
      </c>
      <c r="BJ21">
        <v>110092</v>
      </c>
      <c r="BK21" t="s">
        <v>346</v>
      </c>
      <c r="BL21" s="11">
        <v>0.53</v>
      </c>
      <c r="BM21" s="9" t="str">
        <f>_xll.SNL.Clients.Office.Excel.Functions.SPG(BJ21, "SP_COUNTRY_NAME")</f>
        <v>USA</v>
      </c>
      <c r="BN21" t="s">
        <v>669</v>
      </c>
      <c r="BO21">
        <v>5860959</v>
      </c>
      <c r="BP21" t="s">
        <v>346</v>
      </c>
      <c r="BQ21" s="11">
        <v>0.15</v>
      </c>
      <c r="BR21" s="9" t="str">
        <f>_xll.SNL.Clients.Office.Excel.Functions.SPG(BO21, "SP_COUNTRY_NAME")</f>
        <v>China</v>
      </c>
      <c r="BS21" t="s">
        <v>947</v>
      </c>
      <c r="BT21">
        <v>10741108</v>
      </c>
      <c r="BU21" t="s">
        <v>370</v>
      </c>
      <c r="BV21" s="11">
        <v>0.66</v>
      </c>
      <c r="BW21" s="9" t="str">
        <f>_xll.SNL.Clients.Office.Excel.Functions.SPG(BT21, "SP_COUNTRY_NAME")</f>
        <v>China</v>
      </c>
      <c r="BX21" t="s">
        <v>713</v>
      </c>
      <c r="BY21">
        <v>3001689</v>
      </c>
      <c r="BZ21" t="s">
        <v>346</v>
      </c>
      <c r="CA21" s="11">
        <v>0.63</v>
      </c>
      <c r="CB21" s="9" t="str">
        <f>_xll.SNL.Clients.Office.Excel.Functions.SPG(BY21, "SP_COUNTRY_NAME")</f>
        <v>France</v>
      </c>
      <c r="CC21" t="s">
        <v>484</v>
      </c>
      <c r="CD21">
        <v>110386</v>
      </c>
      <c r="CE21" t="s">
        <v>346</v>
      </c>
      <c r="CF21" s="11">
        <v>0.56000000000000005</v>
      </c>
      <c r="CG21" s="9" t="str">
        <f>_xll.SNL.Clients.Office.Excel.Functions.SPG(CD21, "SP_COUNTRY_NAME")</f>
        <v>USA</v>
      </c>
      <c r="CH21" t="s">
        <v>396</v>
      </c>
      <c r="CI21">
        <v>4119759</v>
      </c>
      <c r="CJ21" t="s">
        <v>346</v>
      </c>
      <c r="CK21" s="11">
        <v>0.52</v>
      </c>
      <c r="CL21" s="9" t="str">
        <f>_xll.SNL.Clients.Office.Excel.Functions.SPG(CI21, "SP_COUNTRY_NAME")</f>
        <v>USA</v>
      </c>
      <c r="CM21" t="s">
        <v>955</v>
      </c>
      <c r="CN21">
        <v>4138889</v>
      </c>
      <c r="CO21" t="s">
        <v>346</v>
      </c>
      <c r="CP21" s="11">
        <v>0.71</v>
      </c>
      <c r="CQ21" s="9" t="str">
        <f>_xll.SNL.Clients.Office.Excel.Functions.SPG(CN21, "SP_COUNTRY_NAME")</f>
        <v>United Kingdom</v>
      </c>
      <c r="CV21" s="9" t="str">
        <f>_xll.SNL.Clients.Office.Excel.Functions.SPG(CS21, "SP_COUNTRY_NAME")</f>
        <v>#INVALID COMPANY ID</v>
      </c>
      <c r="CW21" t="s">
        <v>411</v>
      </c>
      <c r="CX21">
        <v>4272373</v>
      </c>
      <c r="CY21" t="s">
        <v>346</v>
      </c>
      <c r="CZ21" s="11">
        <v>0</v>
      </c>
      <c r="DA21" s="9" t="str">
        <f>_xll.SNL.Clients.Office.Excel.Functions.SPG(CX21, "SP_COUNTRY_NAME")</f>
        <v>United Kingdom</v>
      </c>
      <c r="DB21" t="s">
        <v>385</v>
      </c>
      <c r="DC21">
        <v>5752504</v>
      </c>
      <c r="DD21" t="s">
        <v>346</v>
      </c>
      <c r="DE21" s="11">
        <v>0.77</v>
      </c>
      <c r="DF21" s="9" t="str">
        <f>_xll.SNL.Clients.Office.Excel.Functions.SPG(DC21, "SP_COUNTRY_NAME")</f>
        <v>USA</v>
      </c>
      <c r="DG21" t="s">
        <v>411</v>
      </c>
      <c r="DH21">
        <v>4272373</v>
      </c>
      <c r="DI21" t="s">
        <v>346</v>
      </c>
      <c r="DJ21" s="11">
        <v>0</v>
      </c>
      <c r="DK21" s="9" t="str">
        <f>_xll.SNL.Clients.Office.Excel.Functions.SPG(DH21, "SP_COUNTRY_NAME")</f>
        <v>United Kingdom</v>
      </c>
      <c r="DL21" t="s">
        <v>385</v>
      </c>
      <c r="DM21">
        <v>5752504</v>
      </c>
      <c r="DN21" t="s">
        <v>346</v>
      </c>
      <c r="DO21" s="11">
        <v>0.77</v>
      </c>
      <c r="DP21" s="9" t="str">
        <f>_xll.SNL.Clients.Office.Excel.Functions.SPG(DM21, "SP_COUNTRY_NAME")</f>
        <v>USA</v>
      </c>
      <c r="DU21" s="9" t="str">
        <f>_xll.SNL.Clients.Office.Excel.Functions.SPG(DR21, "SP_COUNTRY_NAME")</f>
        <v>#INVALID COMPANY ID</v>
      </c>
      <c r="DV21" t="s">
        <v>1034</v>
      </c>
      <c r="DW21">
        <v>4256960</v>
      </c>
      <c r="DX21" t="s">
        <v>346</v>
      </c>
      <c r="DY21" s="11">
        <v>0.03</v>
      </c>
      <c r="DZ21" s="9" t="str">
        <f>_xll.SNL.Clients.Office.Excel.Functions.SPG(DW21, "SP_COUNTRY_NAME")</f>
        <v>Latvia</v>
      </c>
      <c r="EA21" t="s">
        <v>484</v>
      </c>
      <c r="EB21">
        <v>110386</v>
      </c>
      <c r="EC21" t="s">
        <v>346</v>
      </c>
      <c r="ED21" s="11">
        <v>0.56000000000000005</v>
      </c>
      <c r="EE21" s="9" t="str">
        <f>_xll.SNL.Clients.Office.Excel.Functions.SPG(EB21, "SP_COUNTRY_NAME")</f>
        <v>USA</v>
      </c>
      <c r="EF21" t="s">
        <v>385</v>
      </c>
      <c r="EG21">
        <v>5752504</v>
      </c>
      <c r="EH21" t="s">
        <v>346</v>
      </c>
      <c r="EI21" s="11">
        <v>0.77</v>
      </c>
      <c r="EJ21" s="9" t="str">
        <f>_xll.SNL.Clients.Office.Excel.Functions.SPG(EG21, "SP_COUNTRY_NAME")</f>
        <v>USA</v>
      </c>
      <c r="EK21" t="s">
        <v>411</v>
      </c>
      <c r="EL21">
        <v>4272373</v>
      </c>
      <c r="EM21" t="s">
        <v>346</v>
      </c>
      <c r="EN21" s="11">
        <v>0</v>
      </c>
      <c r="EO21" s="9" t="str">
        <f>_xll.SNL.Clients.Office.Excel.Functions.SPG(EL21, "SP_COUNTRY_NAME")</f>
        <v>United Kingdom</v>
      </c>
      <c r="EP21" t="s">
        <v>684</v>
      </c>
      <c r="EQ21">
        <v>4139415</v>
      </c>
      <c r="ER21" t="s">
        <v>346</v>
      </c>
      <c r="ES21" s="11">
        <v>0.31</v>
      </c>
      <c r="ET21" s="9" t="str">
        <f>_xll.SNL.Clients.Office.Excel.Functions.SPG(EQ21, "SP_COUNTRY_NAME")</f>
        <v>China</v>
      </c>
      <c r="EY21" s="9" t="str">
        <f>_xll.SNL.Clients.Office.Excel.Functions.SPG(EV21, "SP_COUNTRY_NAME")</f>
        <v>#INVALID COMPANY ID</v>
      </c>
      <c r="EZ21" t="s">
        <v>1922</v>
      </c>
      <c r="FA21" t="s">
        <v>300</v>
      </c>
      <c r="FB21" t="s">
        <v>361</v>
      </c>
      <c r="FC21" s="11">
        <v>0.02</v>
      </c>
      <c r="FD21" s="9" t="str">
        <f>_xll.SNL.Clients.Office.Excel.Functions.SPG(FA21, "SP_COUNTRY_NAME")</f>
        <v>China</v>
      </c>
      <c r="FE21" t="s">
        <v>415</v>
      </c>
      <c r="FF21">
        <v>110587</v>
      </c>
      <c r="FG21" t="s">
        <v>346</v>
      </c>
      <c r="FH21" s="11">
        <v>0.13</v>
      </c>
      <c r="FI21" s="9" t="str">
        <f>_xll.SNL.Clients.Office.Excel.Functions.SPG(FF21, "SP_COUNTRY_NAME")</f>
        <v>USA</v>
      </c>
      <c r="FJ21" t="s">
        <v>2156</v>
      </c>
      <c r="FK21">
        <v>4258452</v>
      </c>
      <c r="FL21" t="s">
        <v>346</v>
      </c>
      <c r="FM21" s="11">
        <v>0.31</v>
      </c>
      <c r="FN21" s="9" t="str">
        <f>_xll.SNL.Clients.Office.Excel.Functions.SPG(FK21, "SP_COUNTRY_NAME")</f>
        <v>Japan</v>
      </c>
      <c r="FO21" t="s">
        <v>411</v>
      </c>
      <c r="FP21">
        <v>4272373</v>
      </c>
      <c r="FQ21" t="s">
        <v>346</v>
      </c>
      <c r="FR21" s="11">
        <v>0</v>
      </c>
      <c r="FS21" s="9" t="str">
        <f>_xll.SNL.Clients.Office.Excel.Functions.SPG(FP21, "SP_COUNTRY_NAME")</f>
        <v>United Kingdom</v>
      </c>
      <c r="FT21" t="s">
        <v>352</v>
      </c>
      <c r="FU21">
        <v>4143440</v>
      </c>
      <c r="FV21" t="s">
        <v>346</v>
      </c>
      <c r="FW21" s="11">
        <v>0.17</v>
      </c>
      <c r="FX21" s="9" t="str">
        <f>_xll.SNL.Clients.Office.Excel.Functions.SPG(FU21, "SP_COUNTRY_NAME")</f>
        <v>USA</v>
      </c>
      <c r="FY21" t="s">
        <v>385</v>
      </c>
      <c r="FZ21">
        <v>5752504</v>
      </c>
      <c r="GA21" t="s">
        <v>346</v>
      </c>
      <c r="GB21" s="11">
        <v>0.77</v>
      </c>
      <c r="GC21" s="9" t="str">
        <f>_xll.SNL.Clients.Office.Excel.Functions.SPG(FZ21, "SP_COUNTRY_NAME")</f>
        <v>USA</v>
      </c>
      <c r="GD21" t="s">
        <v>1922</v>
      </c>
      <c r="GE21" t="s">
        <v>300</v>
      </c>
      <c r="GF21" t="s">
        <v>361</v>
      </c>
      <c r="GG21" s="11">
        <v>0.02</v>
      </c>
      <c r="GH21" s="9" t="str">
        <f>_xll.SNL.Clients.Office.Excel.Functions.SPG(GE21, "SP_COUNTRY_NAME")</f>
        <v>China</v>
      </c>
      <c r="GI21" t="s">
        <v>415</v>
      </c>
      <c r="GJ21">
        <v>110587</v>
      </c>
      <c r="GK21" t="s">
        <v>346</v>
      </c>
      <c r="GL21" s="11">
        <v>0.13</v>
      </c>
      <c r="GM21" s="9" t="str">
        <f>_xll.SNL.Clients.Office.Excel.Functions.SPG(GJ21, "SP_COUNTRY_NAME")</f>
        <v>USA</v>
      </c>
      <c r="GN21" t="s">
        <v>2156</v>
      </c>
      <c r="GO21">
        <v>4258452</v>
      </c>
      <c r="GP21" t="s">
        <v>346</v>
      </c>
      <c r="GQ21" s="11">
        <v>0.31</v>
      </c>
      <c r="GR21" s="9" t="str">
        <f>_xll.SNL.Clients.Office.Excel.Functions.SPG(GO21, "SP_COUNTRY_NAME")</f>
        <v>Japan</v>
      </c>
      <c r="GS21" t="s">
        <v>669</v>
      </c>
      <c r="GT21">
        <v>5860959</v>
      </c>
      <c r="GU21" t="s">
        <v>346</v>
      </c>
      <c r="GV21" s="11">
        <v>0.15</v>
      </c>
      <c r="GW21" s="9" t="str">
        <f>_xll.SNL.Clients.Office.Excel.Functions.SPG(GT21, "SP_COUNTRY_NAME")</f>
        <v>China</v>
      </c>
      <c r="GX21" t="s">
        <v>484</v>
      </c>
      <c r="GY21">
        <v>110386</v>
      </c>
      <c r="GZ21" t="s">
        <v>346</v>
      </c>
      <c r="HA21" s="11">
        <v>0.56000000000000005</v>
      </c>
      <c r="HB21" s="9" t="str">
        <f>_xll.SNL.Clients.Office.Excel.Functions.SPG(GY21, "SP_COUNTRY_NAME")</f>
        <v>USA</v>
      </c>
      <c r="HG21" s="9" t="str">
        <f>_xll.SNL.Clients.Office.Excel.Functions.SPG(HD21, "SP_COUNTRY_NAME")</f>
        <v>#INVALID COMPANY ID</v>
      </c>
    </row>
    <row r="22" spans="1:215" x14ac:dyDescent="0.35">
      <c r="E22" s="9" t="str">
        <f>_xll.SNL.Clients.Office.Excel.Functions.SPG(B22, "SP_COUNTRY_NAME")</f>
        <v>#INVALID COMPANY ID</v>
      </c>
      <c r="F22" t="s">
        <v>351</v>
      </c>
      <c r="G22">
        <v>111289</v>
      </c>
      <c r="H22" t="s">
        <v>346</v>
      </c>
      <c r="I22" s="11">
        <v>0.42</v>
      </c>
      <c r="J22" s="9" t="str">
        <f>_xll.SNL.Clients.Office.Excel.Functions.SPG(G22, "SP_COUNTRY_NAME")</f>
        <v>USA</v>
      </c>
      <c r="K22" t="s">
        <v>644</v>
      </c>
      <c r="L22">
        <v>4138625</v>
      </c>
      <c r="M22" t="s">
        <v>346</v>
      </c>
      <c r="N22" s="11">
        <v>0.1</v>
      </c>
      <c r="O22" s="9" t="str">
        <f>_xll.SNL.Clients.Office.Excel.Functions.SPG(L22, "SP_COUNTRY_NAME")</f>
        <v>China</v>
      </c>
      <c r="T22" s="9" t="str">
        <f>_xll.SNL.Clients.Office.Excel.Functions.SPG(Q22, "SP_COUNTRY_NAME")</f>
        <v>#INVALID COMPANY ID</v>
      </c>
      <c r="U22" t="s">
        <v>669</v>
      </c>
      <c r="V22">
        <v>5860959</v>
      </c>
      <c r="W22" t="s">
        <v>346</v>
      </c>
      <c r="X22" s="11">
        <v>0.6</v>
      </c>
      <c r="Y22" s="9" t="str">
        <f>_xll.SNL.Clients.Office.Excel.Functions.SPG(V22, "SP_COUNTRY_NAME")</f>
        <v>China</v>
      </c>
      <c r="Z22" t="s">
        <v>644</v>
      </c>
      <c r="AA22">
        <v>4138625</v>
      </c>
      <c r="AB22" t="s">
        <v>346</v>
      </c>
      <c r="AC22" s="11">
        <v>0.1</v>
      </c>
      <c r="AD22" s="9" t="str">
        <f>_xll.SNL.Clients.Office.Excel.Functions.SPG(AA22, "SP_COUNTRY_NAME")</f>
        <v>China</v>
      </c>
      <c r="AE22" t="s">
        <v>451</v>
      </c>
      <c r="AF22">
        <v>5747632</v>
      </c>
      <c r="AG22" t="s">
        <v>346</v>
      </c>
      <c r="AH22" s="11">
        <v>0.24</v>
      </c>
      <c r="AI22" s="9" t="str">
        <f>_xll.SNL.Clients.Office.Excel.Functions.SPG(AF22, "SP_COUNTRY_NAME")</f>
        <v>Canada</v>
      </c>
      <c r="AN22" s="9" t="str">
        <f>_xll.SNL.Clients.Office.Excel.Functions.SPG(AK22, "SP_COUNTRY_NAME")</f>
        <v>#INVALID COMPANY ID</v>
      </c>
      <c r="AO22" t="s">
        <v>1258</v>
      </c>
      <c r="AP22">
        <v>4418750</v>
      </c>
      <c r="AQ22" t="s">
        <v>346</v>
      </c>
      <c r="AR22" s="11">
        <v>0.48</v>
      </c>
      <c r="AS22" s="9" t="str">
        <f>_xll.SNL.Clients.Office.Excel.Functions.SPG(AP22, "SP_COUNTRY_NAME")</f>
        <v>South Africa</v>
      </c>
      <c r="AX22" s="9" t="str">
        <f>_xll.SNL.Clients.Office.Excel.Functions.SPG(AU22, "SP_COUNTRY_NAME")</f>
        <v>#INVALID COMPANY ID</v>
      </c>
      <c r="AY22" t="s">
        <v>379</v>
      </c>
      <c r="AZ22">
        <v>137764443</v>
      </c>
      <c r="BA22" t="s">
        <v>346</v>
      </c>
      <c r="BB22" s="11">
        <v>0.23</v>
      </c>
      <c r="BC22" s="9" t="str">
        <f>_xll.SNL.Clients.Office.Excel.Functions.SPG(AZ22, "SP_COUNTRY_NAME")</f>
        <v>USA</v>
      </c>
      <c r="BD22" t="s">
        <v>979</v>
      </c>
      <c r="BE22">
        <v>4041196</v>
      </c>
      <c r="BF22" t="s">
        <v>366</v>
      </c>
      <c r="BG22" s="11">
        <v>0.69</v>
      </c>
      <c r="BH22" s="9" t="str">
        <f>_xll.SNL.Clients.Office.Excel.Functions.SPG(BE22, "SP_COUNTRY_NAME")</f>
        <v>United Kingdom</v>
      </c>
      <c r="BI22" t="s">
        <v>394</v>
      </c>
      <c r="BJ22">
        <v>4048695</v>
      </c>
      <c r="BK22" t="s">
        <v>346</v>
      </c>
      <c r="BL22" s="11">
        <v>0.45</v>
      </c>
      <c r="BM22" s="9" t="str">
        <f>_xll.SNL.Clients.Office.Excel.Functions.SPG(BJ22, "SP_COUNTRY_NAME")</f>
        <v>USA</v>
      </c>
      <c r="BN22" t="s">
        <v>954</v>
      </c>
      <c r="BO22">
        <v>4026994</v>
      </c>
      <c r="BP22" t="s">
        <v>346</v>
      </c>
      <c r="BQ22" s="11">
        <v>0.12</v>
      </c>
      <c r="BR22" s="9" t="str">
        <f>_xll.SNL.Clients.Office.Excel.Functions.SPG(BO22, "SP_COUNTRY_NAME")</f>
        <v>Sweden</v>
      </c>
      <c r="BS22" t="s">
        <v>637</v>
      </c>
      <c r="BT22">
        <v>4138661</v>
      </c>
      <c r="BU22" t="s">
        <v>346</v>
      </c>
      <c r="BV22" s="11">
        <v>0.66</v>
      </c>
      <c r="BW22" s="9" t="str">
        <f>_xll.SNL.Clients.Office.Excel.Functions.SPG(BT22, "SP_COUNTRY_NAME")</f>
        <v>China</v>
      </c>
      <c r="BX22" t="s">
        <v>669</v>
      </c>
      <c r="BY22">
        <v>5860959</v>
      </c>
      <c r="BZ22" t="s">
        <v>346</v>
      </c>
      <c r="CA22" s="11">
        <v>0.6</v>
      </c>
      <c r="CB22" s="9" t="str">
        <f>_xll.SNL.Clients.Office.Excel.Functions.SPG(BY22, "SP_COUNTRY_NAME")</f>
        <v>China</v>
      </c>
      <c r="CC22" t="s">
        <v>1122</v>
      </c>
      <c r="CD22">
        <v>111354</v>
      </c>
      <c r="CE22" t="s">
        <v>346</v>
      </c>
      <c r="CF22" s="11">
        <v>0.53</v>
      </c>
      <c r="CG22" s="9" t="str">
        <f>_xll.SNL.Clients.Office.Excel.Functions.SPG(CD22, "SP_COUNTRY_NAME")</f>
        <v>USA</v>
      </c>
      <c r="CH22" t="s">
        <v>1258</v>
      </c>
      <c r="CI22">
        <v>4418750</v>
      </c>
      <c r="CJ22" t="s">
        <v>346</v>
      </c>
      <c r="CK22" s="11">
        <v>0.48</v>
      </c>
      <c r="CL22" s="9" t="str">
        <f>_xll.SNL.Clients.Office.Excel.Functions.SPG(CI22, "SP_COUNTRY_NAME")</f>
        <v>South Africa</v>
      </c>
      <c r="CM22" t="s">
        <v>357</v>
      </c>
      <c r="CN22">
        <v>4270330</v>
      </c>
      <c r="CO22" t="s">
        <v>346</v>
      </c>
      <c r="CP22" s="11">
        <v>0.65</v>
      </c>
      <c r="CQ22" s="9" t="str">
        <f>_xll.SNL.Clients.Office.Excel.Functions.SPG(CN22, "SP_COUNTRY_NAME")</f>
        <v>USA</v>
      </c>
      <c r="CV22" s="9" t="str">
        <f>_xll.SNL.Clients.Office.Excel.Functions.SPG(CS22, "SP_COUNTRY_NAME")</f>
        <v>#INVALID COMPANY ID</v>
      </c>
      <c r="CW22" t="s">
        <v>393</v>
      </c>
      <c r="CX22">
        <v>4723508</v>
      </c>
      <c r="CY22" t="s">
        <v>346</v>
      </c>
      <c r="CZ22" s="11">
        <v>0</v>
      </c>
      <c r="DA22" s="9" t="str">
        <f>_xll.SNL.Clients.Office.Excel.Functions.SPG(CX22, "SP_COUNTRY_NAME")</f>
        <v>United Kingdom</v>
      </c>
      <c r="DB22" t="s">
        <v>979</v>
      </c>
      <c r="DC22">
        <v>4041196</v>
      </c>
      <c r="DD22" t="s">
        <v>366</v>
      </c>
      <c r="DE22" s="11">
        <v>0.69</v>
      </c>
      <c r="DF22" s="9" t="str">
        <f>_xll.SNL.Clients.Office.Excel.Functions.SPG(DC22, "SP_COUNTRY_NAME")</f>
        <v>United Kingdom</v>
      </c>
      <c r="DG22" t="s">
        <v>393</v>
      </c>
      <c r="DH22">
        <v>4723508</v>
      </c>
      <c r="DI22" t="s">
        <v>346</v>
      </c>
      <c r="DJ22" s="11">
        <v>0</v>
      </c>
      <c r="DK22" s="9" t="str">
        <f>_xll.SNL.Clients.Office.Excel.Functions.SPG(DH22, "SP_COUNTRY_NAME")</f>
        <v>United Kingdom</v>
      </c>
      <c r="DL22" t="s">
        <v>979</v>
      </c>
      <c r="DM22">
        <v>4041196</v>
      </c>
      <c r="DN22" t="s">
        <v>366</v>
      </c>
      <c r="DO22" s="11">
        <v>0.69</v>
      </c>
      <c r="DP22" s="9" t="str">
        <f>_xll.SNL.Clients.Office.Excel.Functions.SPG(DM22, "SP_COUNTRY_NAME")</f>
        <v>United Kingdom</v>
      </c>
      <c r="DU22" s="9" t="str">
        <f>_xll.SNL.Clients.Office.Excel.Functions.SPG(DR22, "SP_COUNTRY_NAME")</f>
        <v>#INVALID COMPANY ID</v>
      </c>
      <c r="DV22" t="s">
        <v>978</v>
      </c>
      <c r="DW22">
        <v>4224292</v>
      </c>
      <c r="DX22" t="s">
        <v>346</v>
      </c>
      <c r="DY22" s="11">
        <v>0.03</v>
      </c>
      <c r="DZ22" s="9" t="str">
        <f>_xll.SNL.Clients.Office.Excel.Functions.SPG(DW22, "SP_COUNTRY_NAME")</f>
        <v>Germany</v>
      </c>
      <c r="EA22" t="s">
        <v>1122</v>
      </c>
      <c r="EB22">
        <v>111354</v>
      </c>
      <c r="EC22" t="s">
        <v>346</v>
      </c>
      <c r="ED22" s="11">
        <v>0.53</v>
      </c>
      <c r="EE22" s="9" t="str">
        <f>_xll.SNL.Clients.Office.Excel.Functions.SPG(EB22, "SP_COUNTRY_NAME")</f>
        <v>USA</v>
      </c>
      <c r="EF22" t="s">
        <v>979</v>
      </c>
      <c r="EG22">
        <v>4041196</v>
      </c>
      <c r="EH22" t="s">
        <v>366</v>
      </c>
      <c r="EI22" s="11">
        <v>0.69</v>
      </c>
      <c r="EJ22" s="9" t="str">
        <f>_xll.SNL.Clients.Office.Excel.Functions.SPG(EG22, "SP_COUNTRY_NAME")</f>
        <v>United Kingdom</v>
      </c>
      <c r="EK22" t="s">
        <v>393</v>
      </c>
      <c r="EL22">
        <v>4723508</v>
      </c>
      <c r="EM22" t="s">
        <v>346</v>
      </c>
      <c r="EN22" s="11">
        <v>0</v>
      </c>
      <c r="EO22" s="9" t="str">
        <f>_xll.SNL.Clients.Office.Excel.Functions.SPG(EL22, "SP_COUNTRY_NAME")</f>
        <v>United Kingdom</v>
      </c>
      <c r="EP22" t="s">
        <v>596</v>
      </c>
      <c r="EQ22">
        <v>4140486</v>
      </c>
      <c r="ER22" t="s">
        <v>346</v>
      </c>
      <c r="ES22" s="11">
        <v>0.27</v>
      </c>
      <c r="ET22" s="9" t="str">
        <f>_xll.SNL.Clients.Office.Excel.Functions.SPG(EQ22, "SP_COUNTRY_NAME")</f>
        <v>China</v>
      </c>
      <c r="EY22" s="9" t="str">
        <f>_xll.SNL.Clients.Office.Excel.Functions.SPG(EV22, "SP_COUNTRY_NAME")</f>
        <v>#INVALID COMPANY ID</v>
      </c>
      <c r="EZ22" t="s">
        <v>1923</v>
      </c>
      <c r="FA22">
        <v>119936640</v>
      </c>
      <c r="FB22" t="s">
        <v>370</v>
      </c>
      <c r="FC22" s="11">
        <v>0.02</v>
      </c>
      <c r="FD22" s="9" t="str">
        <f>_xll.SNL.Clients.Office.Excel.Functions.SPG(FA22, "SP_COUNTRY_NAME")</f>
        <v>Philippines</v>
      </c>
      <c r="FE22" t="s">
        <v>355</v>
      </c>
      <c r="FF22">
        <v>111074</v>
      </c>
      <c r="FG22" t="s">
        <v>346</v>
      </c>
      <c r="FH22" s="11">
        <v>0.09</v>
      </c>
      <c r="FI22" s="9" t="str">
        <f>_xll.SNL.Clients.Office.Excel.Functions.SPG(FF22, "SP_COUNTRY_NAME")</f>
        <v>USA</v>
      </c>
      <c r="FJ22" t="s">
        <v>388</v>
      </c>
      <c r="FK22">
        <v>4057506</v>
      </c>
      <c r="FL22" t="s">
        <v>346</v>
      </c>
      <c r="FM22" s="11">
        <v>0.31</v>
      </c>
      <c r="FN22" s="9" t="str">
        <f>_xll.SNL.Clients.Office.Excel.Functions.SPG(FK22, "SP_COUNTRY_NAME")</f>
        <v>USA</v>
      </c>
      <c r="FO22" t="s">
        <v>393</v>
      </c>
      <c r="FP22">
        <v>4723508</v>
      </c>
      <c r="FQ22" t="s">
        <v>346</v>
      </c>
      <c r="FR22" s="11">
        <v>0</v>
      </c>
      <c r="FS22" s="9" t="str">
        <f>_xll.SNL.Clients.Office.Excel.Functions.SPG(FP22, "SP_COUNTRY_NAME")</f>
        <v>United Kingdom</v>
      </c>
      <c r="FT22" t="s">
        <v>385</v>
      </c>
      <c r="FU22">
        <v>5752504</v>
      </c>
      <c r="FV22" t="s">
        <v>346</v>
      </c>
      <c r="FW22" s="11">
        <v>0.14000000000000001</v>
      </c>
      <c r="FX22" s="9" t="str">
        <f>_xll.SNL.Clients.Office.Excel.Functions.SPG(FU22, "SP_COUNTRY_NAME")</f>
        <v>USA</v>
      </c>
      <c r="FY22" t="s">
        <v>979</v>
      </c>
      <c r="FZ22">
        <v>4041196</v>
      </c>
      <c r="GA22" t="s">
        <v>366</v>
      </c>
      <c r="GB22" s="11">
        <v>0.69</v>
      </c>
      <c r="GC22" s="9" t="str">
        <f>_xll.SNL.Clients.Office.Excel.Functions.SPG(FZ22, "SP_COUNTRY_NAME")</f>
        <v>United Kingdom</v>
      </c>
      <c r="GD22" t="s">
        <v>1923</v>
      </c>
      <c r="GE22">
        <v>119936640</v>
      </c>
      <c r="GF22" t="s">
        <v>370</v>
      </c>
      <c r="GG22" s="11">
        <v>0.02</v>
      </c>
      <c r="GH22" s="9" t="str">
        <f>_xll.SNL.Clients.Office.Excel.Functions.SPG(GE22, "SP_COUNTRY_NAME")</f>
        <v>Philippines</v>
      </c>
      <c r="GI22" t="s">
        <v>355</v>
      </c>
      <c r="GJ22">
        <v>111074</v>
      </c>
      <c r="GK22" t="s">
        <v>346</v>
      </c>
      <c r="GL22" s="11">
        <v>0.09</v>
      </c>
      <c r="GM22" s="9" t="str">
        <f>_xll.SNL.Clients.Office.Excel.Functions.SPG(GJ22, "SP_COUNTRY_NAME")</f>
        <v>USA</v>
      </c>
      <c r="GN22" t="s">
        <v>388</v>
      </c>
      <c r="GO22">
        <v>4057506</v>
      </c>
      <c r="GP22" t="s">
        <v>346</v>
      </c>
      <c r="GQ22" s="11">
        <v>0.31</v>
      </c>
      <c r="GR22" s="9" t="str">
        <f>_xll.SNL.Clients.Office.Excel.Functions.SPG(GO22, "SP_COUNTRY_NAME")</f>
        <v>USA</v>
      </c>
      <c r="GS22" t="s">
        <v>954</v>
      </c>
      <c r="GT22">
        <v>4026994</v>
      </c>
      <c r="GU22" t="s">
        <v>346</v>
      </c>
      <c r="GV22" s="11">
        <v>0.12</v>
      </c>
      <c r="GW22" s="9" t="str">
        <f>_xll.SNL.Clients.Office.Excel.Functions.SPG(GT22, "SP_COUNTRY_NAME")</f>
        <v>Sweden</v>
      </c>
      <c r="GX22" t="s">
        <v>1122</v>
      </c>
      <c r="GY22">
        <v>111354</v>
      </c>
      <c r="GZ22" t="s">
        <v>346</v>
      </c>
      <c r="HA22" s="11">
        <v>0.53</v>
      </c>
      <c r="HB22" s="9" t="str">
        <f>_xll.SNL.Clients.Office.Excel.Functions.SPG(GY22, "SP_COUNTRY_NAME")</f>
        <v>USA</v>
      </c>
      <c r="HG22" s="9" t="str">
        <f>_xll.SNL.Clients.Office.Excel.Functions.SPG(HD22, "SP_COUNTRY_NAME")</f>
        <v>#INVALID COMPANY ID</v>
      </c>
    </row>
    <row r="23" spans="1:215" x14ac:dyDescent="0.35">
      <c r="E23" s="9" t="str">
        <f>_xll.SNL.Clients.Office.Excel.Functions.SPG(B23, "SP_COUNTRY_NAME")</f>
        <v>#INVALID COMPANY ID</v>
      </c>
      <c r="F23" t="s">
        <v>394</v>
      </c>
      <c r="G23">
        <v>4048695</v>
      </c>
      <c r="H23" t="s">
        <v>346</v>
      </c>
      <c r="I23" s="11">
        <v>0.4</v>
      </c>
      <c r="J23" s="9" t="str">
        <f>_xll.SNL.Clients.Office.Excel.Functions.SPG(G23, "SP_COUNTRY_NAME")</f>
        <v>USA</v>
      </c>
      <c r="K23" t="s">
        <v>645</v>
      </c>
      <c r="L23">
        <v>4198648</v>
      </c>
      <c r="M23" t="s">
        <v>346</v>
      </c>
      <c r="N23" s="11">
        <v>0.09</v>
      </c>
      <c r="O23" s="9" t="str">
        <f>_xll.SNL.Clients.Office.Excel.Functions.SPG(L23, "SP_COUNTRY_NAME")</f>
        <v>Finland</v>
      </c>
      <c r="T23" s="9" t="str">
        <f>_xll.SNL.Clients.Office.Excel.Functions.SPG(Q23, "SP_COUNTRY_NAME")</f>
        <v>#INVALID COMPANY ID</v>
      </c>
      <c r="U23" t="s">
        <v>714</v>
      </c>
      <c r="V23">
        <v>4388745</v>
      </c>
      <c r="W23" t="s">
        <v>346</v>
      </c>
      <c r="X23" s="11">
        <v>0.59</v>
      </c>
      <c r="Y23" s="9" t="str">
        <f>_xll.SNL.Clients.Office.Excel.Functions.SPG(V23, "SP_COUNTRY_NAME")</f>
        <v>Hong Kong</v>
      </c>
      <c r="Z23" t="s">
        <v>645</v>
      </c>
      <c r="AA23">
        <v>4198648</v>
      </c>
      <c r="AB23" t="s">
        <v>346</v>
      </c>
      <c r="AC23" s="11">
        <v>0.09</v>
      </c>
      <c r="AD23" s="9" t="str">
        <f>_xll.SNL.Clients.Office.Excel.Functions.SPG(AA23, "SP_COUNTRY_NAME")</f>
        <v>Finland</v>
      </c>
      <c r="AE23" t="s">
        <v>394</v>
      </c>
      <c r="AF23">
        <v>4048695</v>
      </c>
      <c r="AG23" t="s">
        <v>346</v>
      </c>
      <c r="AH23" s="11">
        <v>0.23</v>
      </c>
      <c r="AI23" s="9" t="str">
        <f>_xll.SNL.Clients.Office.Excel.Functions.SPG(AF23, "SP_COUNTRY_NAME")</f>
        <v>USA</v>
      </c>
      <c r="AN23" s="9" t="str">
        <f>_xll.SNL.Clients.Office.Excel.Functions.SPG(AK23, "SP_COUNTRY_NAME")</f>
        <v>#INVALID COMPANY ID</v>
      </c>
      <c r="AO23" t="s">
        <v>394</v>
      </c>
      <c r="AP23">
        <v>4048695</v>
      </c>
      <c r="AQ23" t="s">
        <v>346</v>
      </c>
      <c r="AR23" s="11">
        <v>0.48</v>
      </c>
      <c r="AS23" s="9" t="str">
        <f>_xll.SNL.Clients.Office.Excel.Functions.SPG(AP23, "SP_COUNTRY_NAME")</f>
        <v>USA</v>
      </c>
      <c r="AX23" s="9" t="str">
        <f>_xll.SNL.Clients.Office.Excel.Functions.SPG(AU23, "SP_COUNTRY_NAME")</f>
        <v>#INVALID COMPANY ID</v>
      </c>
      <c r="AY23" t="s">
        <v>741</v>
      </c>
      <c r="AZ23">
        <v>4404664</v>
      </c>
      <c r="BA23" t="s">
        <v>346</v>
      </c>
      <c r="BB23" s="11">
        <v>0.23</v>
      </c>
      <c r="BC23" s="9" t="str">
        <f>_xll.SNL.Clients.Office.Excel.Functions.SPG(AZ23, "SP_COUNTRY_NAME")</f>
        <v>China</v>
      </c>
      <c r="BD23" t="s">
        <v>386</v>
      </c>
      <c r="BE23">
        <v>4145085</v>
      </c>
      <c r="BF23" t="s">
        <v>346</v>
      </c>
      <c r="BG23" s="11">
        <v>0.63</v>
      </c>
      <c r="BH23" s="9" t="str">
        <f>_xll.SNL.Clients.Office.Excel.Functions.SPG(BE23, "SP_COUNTRY_NAME")</f>
        <v>United Kingdom</v>
      </c>
      <c r="BI23" t="s">
        <v>393</v>
      </c>
      <c r="BJ23">
        <v>4723508</v>
      </c>
      <c r="BK23" t="s">
        <v>346</v>
      </c>
      <c r="BL23" s="11">
        <v>0.44</v>
      </c>
      <c r="BM23" s="9" t="str">
        <f>_xll.SNL.Clients.Office.Excel.Functions.SPG(BJ23, "SP_COUNTRY_NAME")</f>
        <v>United Kingdom</v>
      </c>
      <c r="BN23" t="s">
        <v>396</v>
      </c>
      <c r="BO23">
        <v>4119759</v>
      </c>
      <c r="BP23" t="s">
        <v>346</v>
      </c>
      <c r="BQ23" s="11">
        <v>0.12</v>
      </c>
      <c r="BR23" s="9" t="str">
        <f>_xll.SNL.Clients.Office.Excel.Functions.SPG(BO23, "SP_COUNTRY_NAME")</f>
        <v>USA</v>
      </c>
      <c r="BS23" t="s">
        <v>725</v>
      </c>
      <c r="BT23">
        <v>111195</v>
      </c>
      <c r="BU23" t="s">
        <v>346</v>
      </c>
      <c r="BV23" s="11">
        <v>0.49</v>
      </c>
      <c r="BW23" s="9" t="str">
        <f>_xll.SNL.Clients.Office.Excel.Functions.SPG(BT23, "SP_COUNTRY_NAME")</f>
        <v>USA</v>
      </c>
      <c r="BX23" t="s">
        <v>714</v>
      </c>
      <c r="BY23">
        <v>4388745</v>
      </c>
      <c r="BZ23" t="s">
        <v>346</v>
      </c>
      <c r="CA23" s="11">
        <v>0.59</v>
      </c>
      <c r="CB23" s="9" t="str">
        <f>_xll.SNL.Clients.Office.Excel.Functions.SPG(BY23, "SP_COUNTRY_NAME")</f>
        <v>Hong Kong</v>
      </c>
      <c r="CC23" t="s">
        <v>1195</v>
      </c>
      <c r="CD23">
        <v>4702400</v>
      </c>
      <c r="CE23" t="s">
        <v>346</v>
      </c>
      <c r="CF23" s="11">
        <v>0.47</v>
      </c>
      <c r="CG23" s="9" t="str">
        <f>_xll.SNL.Clients.Office.Excel.Functions.SPG(CD23, "SP_COUNTRY_NAME")</f>
        <v>USA</v>
      </c>
      <c r="CH23" t="s">
        <v>394</v>
      </c>
      <c r="CI23">
        <v>4048695</v>
      </c>
      <c r="CJ23" t="s">
        <v>346</v>
      </c>
      <c r="CK23" s="11">
        <v>0.48</v>
      </c>
      <c r="CL23" s="9" t="str">
        <f>_xll.SNL.Clients.Office.Excel.Functions.SPG(CI23, "SP_COUNTRY_NAME")</f>
        <v>USA</v>
      </c>
      <c r="CM23" t="s">
        <v>380</v>
      </c>
      <c r="CN23">
        <v>4674815</v>
      </c>
      <c r="CO23" t="s">
        <v>346</v>
      </c>
      <c r="CP23" s="11">
        <v>0.63</v>
      </c>
      <c r="CQ23" s="9" t="str">
        <f>_xll.SNL.Clients.Office.Excel.Functions.SPG(CN23, "SP_COUNTRY_NAME")</f>
        <v>Switzerland</v>
      </c>
      <c r="CV23" s="9" t="str">
        <f>_xll.SNL.Clients.Office.Excel.Functions.SPG(CS23, "SP_COUNTRY_NAME")</f>
        <v>#INVALID COMPANY ID</v>
      </c>
      <c r="CW23" t="s">
        <v>631</v>
      </c>
      <c r="CX23">
        <v>112247511</v>
      </c>
      <c r="CY23" t="s">
        <v>346</v>
      </c>
      <c r="CZ23" s="11">
        <v>0</v>
      </c>
      <c r="DA23" s="9" t="str">
        <f>_xll.SNL.Clients.Office.Excel.Functions.SPG(CX23, "SP_COUNTRY_NAME")</f>
        <v>USA</v>
      </c>
      <c r="DB23" t="s">
        <v>386</v>
      </c>
      <c r="DC23">
        <v>4145085</v>
      </c>
      <c r="DD23" t="s">
        <v>346</v>
      </c>
      <c r="DE23" s="11">
        <v>0.63</v>
      </c>
      <c r="DF23" s="9" t="str">
        <f>_xll.SNL.Clients.Office.Excel.Functions.SPG(DC23, "SP_COUNTRY_NAME")</f>
        <v>United Kingdom</v>
      </c>
      <c r="DG23" t="s">
        <v>631</v>
      </c>
      <c r="DH23">
        <v>112247511</v>
      </c>
      <c r="DI23" t="s">
        <v>346</v>
      </c>
      <c r="DJ23" s="11">
        <v>0</v>
      </c>
      <c r="DK23" s="9" t="str">
        <f>_xll.SNL.Clients.Office.Excel.Functions.SPG(DH23, "SP_COUNTRY_NAME")</f>
        <v>USA</v>
      </c>
      <c r="DL23" t="s">
        <v>386</v>
      </c>
      <c r="DM23">
        <v>4145085</v>
      </c>
      <c r="DN23" t="s">
        <v>346</v>
      </c>
      <c r="DO23" s="11">
        <v>0.63</v>
      </c>
      <c r="DP23" s="9" t="str">
        <f>_xll.SNL.Clients.Office.Excel.Functions.SPG(DM23, "SP_COUNTRY_NAME")</f>
        <v>United Kingdom</v>
      </c>
      <c r="DU23" s="9" t="str">
        <f>_xll.SNL.Clients.Office.Excel.Functions.SPG(DR23, "SP_COUNTRY_NAME")</f>
        <v>#INVALID COMPANY ID</v>
      </c>
      <c r="DV23" t="s">
        <v>1194</v>
      </c>
      <c r="DW23">
        <v>5763671</v>
      </c>
      <c r="DX23" t="s">
        <v>346</v>
      </c>
      <c r="DY23" s="11">
        <v>0.03</v>
      </c>
      <c r="DZ23" s="9" t="str">
        <f>_xll.SNL.Clients.Office.Excel.Functions.SPG(DW23, "SP_COUNTRY_NAME")</f>
        <v>Russia</v>
      </c>
      <c r="EA23" t="s">
        <v>1195</v>
      </c>
      <c r="EB23">
        <v>4702400</v>
      </c>
      <c r="EC23" t="s">
        <v>346</v>
      </c>
      <c r="ED23" s="11">
        <v>0.47</v>
      </c>
      <c r="EE23" s="9" t="str">
        <f>_xll.SNL.Clients.Office.Excel.Functions.SPG(EB23, "SP_COUNTRY_NAME")</f>
        <v>USA</v>
      </c>
      <c r="EF23" t="s">
        <v>386</v>
      </c>
      <c r="EG23">
        <v>4145085</v>
      </c>
      <c r="EH23" t="s">
        <v>346</v>
      </c>
      <c r="EI23" s="11">
        <v>0.63</v>
      </c>
      <c r="EJ23" s="9" t="str">
        <f>_xll.SNL.Clients.Office.Excel.Functions.SPG(EG23, "SP_COUNTRY_NAME")</f>
        <v>United Kingdom</v>
      </c>
      <c r="EK23" t="s">
        <v>631</v>
      </c>
      <c r="EL23">
        <v>112247511</v>
      </c>
      <c r="EM23" t="s">
        <v>346</v>
      </c>
      <c r="EN23" s="11">
        <v>0</v>
      </c>
      <c r="EO23" s="9" t="str">
        <f>_xll.SNL.Clients.Office.Excel.Functions.SPG(EL23, "SP_COUNTRY_NAME")</f>
        <v>USA</v>
      </c>
      <c r="EP23" t="s">
        <v>353</v>
      </c>
      <c r="EQ23">
        <v>4048287</v>
      </c>
      <c r="ER23" t="s">
        <v>346</v>
      </c>
      <c r="ES23" s="11">
        <v>0.22</v>
      </c>
      <c r="ET23" s="9" t="str">
        <f>_xll.SNL.Clients.Office.Excel.Functions.SPG(EQ23, "SP_COUNTRY_NAME")</f>
        <v>USA</v>
      </c>
      <c r="EY23" s="9" t="str">
        <f>_xll.SNL.Clients.Office.Excel.Functions.SPG(EV23, "SP_COUNTRY_NAME")</f>
        <v>#INVALID COMPANY ID</v>
      </c>
      <c r="EZ23" t="s">
        <v>1924</v>
      </c>
      <c r="FA23" t="s">
        <v>300</v>
      </c>
      <c r="FB23" t="s">
        <v>361</v>
      </c>
      <c r="FC23" s="11">
        <v>0.02</v>
      </c>
      <c r="FD23" s="9" t="str">
        <f>_xll.SNL.Clients.Office.Excel.Functions.SPG(FA23, "SP_COUNTRY_NAME")</f>
        <v>China</v>
      </c>
      <c r="FE23" t="s">
        <v>2149</v>
      </c>
      <c r="FF23" t="s">
        <v>300</v>
      </c>
      <c r="FG23" t="s">
        <v>361</v>
      </c>
      <c r="FH23" s="11">
        <v>0.08</v>
      </c>
      <c r="FI23" s="9" t="str">
        <f>_xll.SNL.Clients.Office.Excel.Functions.SPG(FF23, "SP_COUNTRY_NAME")</f>
        <v>China</v>
      </c>
      <c r="FJ23" t="s">
        <v>409</v>
      </c>
      <c r="FK23">
        <v>102719</v>
      </c>
      <c r="FL23" t="s">
        <v>346</v>
      </c>
      <c r="FM23" s="11">
        <v>0.27</v>
      </c>
      <c r="FN23" s="9" t="str">
        <f>_xll.SNL.Clients.Office.Excel.Functions.SPG(FK23, "SP_COUNTRY_NAME")</f>
        <v>USA</v>
      </c>
      <c r="FO23" t="s">
        <v>631</v>
      </c>
      <c r="FP23">
        <v>112247511</v>
      </c>
      <c r="FQ23" t="s">
        <v>346</v>
      </c>
      <c r="FR23" s="11">
        <v>0</v>
      </c>
      <c r="FS23" s="9" t="str">
        <f>_xll.SNL.Clients.Office.Excel.Functions.SPG(FP23, "SP_COUNTRY_NAME")</f>
        <v>USA</v>
      </c>
      <c r="FT23" t="s">
        <v>357</v>
      </c>
      <c r="FU23">
        <v>4270330</v>
      </c>
      <c r="FV23" t="s">
        <v>346</v>
      </c>
      <c r="FW23" s="11">
        <v>0.1</v>
      </c>
      <c r="FX23" s="9" t="str">
        <f>_xll.SNL.Clients.Office.Excel.Functions.SPG(FU23, "SP_COUNTRY_NAME")</f>
        <v>USA</v>
      </c>
      <c r="FY23" t="s">
        <v>386</v>
      </c>
      <c r="FZ23">
        <v>4145085</v>
      </c>
      <c r="GA23" t="s">
        <v>346</v>
      </c>
      <c r="GB23" s="11">
        <v>0.63</v>
      </c>
      <c r="GC23" s="9" t="str">
        <f>_xll.SNL.Clients.Office.Excel.Functions.SPG(FZ23, "SP_COUNTRY_NAME")</f>
        <v>United Kingdom</v>
      </c>
      <c r="GD23" t="s">
        <v>1924</v>
      </c>
      <c r="GE23" t="s">
        <v>300</v>
      </c>
      <c r="GF23" t="s">
        <v>361</v>
      </c>
      <c r="GG23" s="11">
        <v>0.02</v>
      </c>
      <c r="GH23" s="9" t="str">
        <f>_xll.SNL.Clients.Office.Excel.Functions.SPG(GE23, "SP_COUNTRY_NAME")</f>
        <v>China</v>
      </c>
      <c r="GI23" t="s">
        <v>2149</v>
      </c>
      <c r="GJ23" t="s">
        <v>300</v>
      </c>
      <c r="GK23" t="s">
        <v>361</v>
      </c>
      <c r="GL23" s="11">
        <v>0.08</v>
      </c>
      <c r="GM23" s="9" t="str">
        <f>_xll.SNL.Clients.Office.Excel.Functions.SPG(GJ23, "SP_COUNTRY_NAME")</f>
        <v>China</v>
      </c>
      <c r="GN23" t="s">
        <v>409</v>
      </c>
      <c r="GO23">
        <v>102719</v>
      </c>
      <c r="GP23" t="s">
        <v>346</v>
      </c>
      <c r="GQ23" s="11">
        <v>0.27</v>
      </c>
      <c r="GR23" s="9" t="str">
        <f>_xll.SNL.Clients.Office.Excel.Functions.SPG(GO23, "SP_COUNTRY_NAME")</f>
        <v>USA</v>
      </c>
      <c r="GS23" t="s">
        <v>396</v>
      </c>
      <c r="GT23">
        <v>4119759</v>
      </c>
      <c r="GU23" t="s">
        <v>346</v>
      </c>
      <c r="GV23" s="11">
        <v>0.12</v>
      </c>
      <c r="GW23" s="9" t="str">
        <f>_xll.SNL.Clients.Office.Excel.Functions.SPG(GT23, "SP_COUNTRY_NAME")</f>
        <v>USA</v>
      </c>
      <c r="GX23" t="s">
        <v>1195</v>
      </c>
      <c r="GY23">
        <v>4702400</v>
      </c>
      <c r="GZ23" t="s">
        <v>346</v>
      </c>
      <c r="HA23" s="11">
        <v>0.47</v>
      </c>
      <c r="HB23" s="9" t="str">
        <f>_xll.SNL.Clients.Office.Excel.Functions.SPG(GY23, "SP_COUNTRY_NAME")</f>
        <v>USA</v>
      </c>
      <c r="HG23" s="9" t="str">
        <f>_xll.SNL.Clients.Office.Excel.Functions.SPG(HD23, "SP_COUNTRY_NAME")</f>
        <v>#INVALID COMPANY ID</v>
      </c>
    </row>
    <row r="24" spans="1:215" x14ac:dyDescent="0.35">
      <c r="E24" s="9" t="str">
        <f>_xll.SNL.Clients.Office.Excel.Functions.SPG(B24, "SP_COUNTRY_NAME")</f>
        <v>#INVALID COMPANY ID</v>
      </c>
      <c r="F24" t="s">
        <v>433</v>
      </c>
      <c r="G24">
        <v>3000896</v>
      </c>
      <c r="H24" t="s">
        <v>346</v>
      </c>
      <c r="I24" s="11">
        <v>0.35</v>
      </c>
      <c r="J24" s="9" t="str">
        <f>_xll.SNL.Clients.Office.Excel.Functions.SPG(G24, "SP_COUNTRY_NAME")</f>
        <v>USA</v>
      </c>
      <c r="K24" t="s">
        <v>354</v>
      </c>
      <c r="L24">
        <v>110652</v>
      </c>
      <c r="M24" t="s">
        <v>346</v>
      </c>
      <c r="N24" s="11">
        <v>0.08</v>
      </c>
      <c r="O24" s="9" t="str">
        <f>_xll.SNL.Clients.Office.Excel.Functions.SPG(L24, "SP_COUNTRY_NAME")</f>
        <v>USA</v>
      </c>
      <c r="T24" s="9" t="str">
        <f>_xll.SNL.Clients.Office.Excel.Functions.SPG(Q24, "SP_COUNTRY_NAME")</f>
        <v>#INVALID COMPANY ID</v>
      </c>
      <c r="U24" t="s">
        <v>715</v>
      </c>
      <c r="V24">
        <v>4137795</v>
      </c>
      <c r="W24" t="s">
        <v>362</v>
      </c>
      <c r="X24" s="11">
        <v>0.52</v>
      </c>
      <c r="Y24" s="9" t="str">
        <f>_xll.SNL.Clients.Office.Excel.Functions.SPG(V24, "SP_COUNTRY_NAME")</f>
        <v>United Arab Emirates</v>
      </c>
      <c r="Z24" t="s">
        <v>354</v>
      </c>
      <c r="AA24">
        <v>110652</v>
      </c>
      <c r="AB24" t="s">
        <v>346</v>
      </c>
      <c r="AC24" s="11">
        <v>0.08</v>
      </c>
      <c r="AD24" s="9" t="str">
        <f>_xll.SNL.Clients.Office.Excel.Functions.SPG(AA24, "SP_COUNTRY_NAME")</f>
        <v>USA</v>
      </c>
      <c r="AE24" t="s">
        <v>1111</v>
      </c>
      <c r="AF24">
        <v>4139331</v>
      </c>
      <c r="AG24" t="s">
        <v>346</v>
      </c>
      <c r="AH24" s="11">
        <v>0.22</v>
      </c>
      <c r="AI24" s="9" t="str">
        <f>_xll.SNL.Clients.Office.Excel.Functions.SPG(AF24, "SP_COUNTRY_NAME")</f>
        <v>Switzerland</v>
      </c>
      <c r="AN24" s="9" t="str">
        <f>_xll.SNL.Clients.Office.Excel.Functions.SPG(AK24, "SP_COUNTRY_NAME")</f>
        <v>#INVALID COMPANY ID</v>
      </c>
      <c r="AO24" t="s">
        <v>926</v>
      </c>
      <c r="AP24">
        <v>4140566</v>
      </c>
      <c r="AQ24" t="s">
        <v>346</v>
      </c>
      <c r="AR24" s="11">
        <v>0.44</v>
      </c>
      <c r="AS24" s="9" t="str">
        <f>_xll.SNL.Clients.Office.Excel.Functions.SPG(AP24, "SP_COUNTRY_NAME")</f>
        <v>South Africa</v>
      </c>
      <c r="AX24" s="9" t="str">
        <f>_xll.SNL.Clients.Office.Excel.Functions.SPG(AU24, "SP_COUNTRY_NAME")</f>
        <v>#INVALID COMPANY ID</v>
      </c>
      <c r="AY24" t="s">
        <v>596</v>
      </c>
      <c r="AZ24">
        <v>4140486</v>
      </c>
      <c r="BA24" t="s">
        <v>346</v>
      </c>
      <c r="BB24" s="11">
        <v>0.22</v>
      </c>
      <c r="BC24" s="9" t="str">
        <f>_xll.SNL.Clients.Office.Excel.Functions.SPG(AZ24, "SP_COUNTRY_NAME")</f>
        <v>China</v>
      </c>
      <c r="BD24" t="s">
        <v>396</v>
      </c>
      <c r="BE24">
        <v>4119759</v>
      </c>
      <c r="BF24" t="s">
        <v>346</v>
      </c>
      <c r="BG24" s="11">
        <v>0.62</v>
      </c>
      <c r="BH24" s="9" t="str">
        <f>_xll.SNL.Clients.Office.Excel.Functions.SPG(BE24, "SP_COUNTRY_NAME")</f>
        <v>USA</v>
      </c>
      <c r="BI24" t="s">
        <v>612</v>
      </c>
      <c r="BJ24">
        <v>5805166</v>
      </c>
      <c r="BK24" t="s">
        <v>346</v>
      </c>
      <c r="BL24" s="11">
        <v>0.4</v>
      </c>
      <c r="BM24" s="9" t="str">
        <f>_xll.SNL.Clients.Office.Excel.Functions.SPG(BJ24, "SP_COUNTRY_NAME")</f>
        <v>Luxembourg</v>
      </c>
      <c r="BN24" t="s">
        <v>721</v>
      </c>
      <c r="BO24">
        <v>4329445</v>
      </c>
      <c r="BP24" t="s">
        <v>346</v>
      </c>
      <c r="BQ24" s="11">
        <v>0.12</v>
      </c>
      <c r="BR24" s="9" t="str">
        <f>_xll.SNL.Clients.Office.Excel.Functions.SPG(BO24, "SP_COUNTRY_NAME")</f>
        <v>China</v>
      </c>
      <c r="BS24" t="s">
        <v>646</v>
      </c>
      <c r="BT24">
        <v>4435100</v>
      </c>
      <c r="BU24" t="s">
        <v>346</v>
      </c>
      <c r="BV24" s="11">
        <v>0.48</v>
      </c>
      <c r="BW24" s="9" t="str">
        <f>_xll.SNL.Clients.Office.Excel.Functions.SPG(BT24, "SP_COUNTRY_NAME")</f>
        <v>China</v>
      </c>
      <c r="BX24" t="s">
        <v>715</v>
      </c>
      <c r="BY24">
        <v>4137795</v>
      </c>
      <c r="BZ24" t="s">
        <v>362</v>
      </c>
      <c r="CA24" s="11">
        <v>0.52</v>
      </c>
      <c r="CB24" s="9" t="str">
        <f>_xll.SNL.Clients.Office.Excel.Functions.SPG(BY24, "SP_COUNTRY_NAME")</f>
        <v>United Arab Emirates</v>
      </c>
      <c r="CC24" t="s">
        <v>960</v>
      </c>
      <c r="CD24">
        <v>4053760</v>
      </c>
      <c r="CE24" t="s">
        <v>346</v>
      </c>
      <c r="CF24" s="11">
        <v>0.46</v>
      </c>
      <c r="CG24" s="9" t="str">
        <f>_xll.SNL.Clients.Office.Excel.Functions.SPG(CD24, "SP_COUNTRY_NAME")</f>
        <v>Bermuda</v>
      </c>
      <c r="CH24" t="s">
        <v>926</v>
      </c>
      <c r="CI24">
        <v>4140566</v>
      </c>
      <c r="CJ24" t="s">
        <v>346</v>
      </c>
      <c r="CK24" s="11">
        <v>0.44</v>
      </c>
      <c r="CL24" s="9" t="str">
        <f>_xll.SNL.Clients.Office.Excel.Functions.SPG(CI24, "SP_COUNTRY_NAME")</f>
        <v>South Africa</v>
      </c>
      <c r="CM24" t="s">
        <v>1632</v>
      </c>
      <c r="CN24">
        <v>111192</v>
      </c>
      <c r="CO24" t="s">
        <v>364</v>
      </c>
      <c r="CP24" s="11">
        <v>0.63</v>
      </c>
      <c r="CQ24" s="9" t="str">
        <f>_xll.SNL.Clients.Office.Excel.Functions.SPG(CN24, "SP_COUNTRY_NAME")</f>
        <v>USA</v>
      </c>
      <c r="CV24" s="9" t="str">
        <f>_xll.SNL.Clients.Office.Excel.Functions.SPG(CS24, "SP_COUNTRY_NAME")</f>
        <v>#INVALID COMPANY ID</v>
      </c>
      <c r="CW24" t="s">
        <v>403</v>
      </c>
      <c r="CX24">
        <v>4033550</v>
      </c>
      <c r="CY24" t="s">
        <v>346</v>
      </c>
      <c r="CZ24" s="11">
        <v>0</v>
      </c>
      <c r="DA24" s="9" t="str">
        <f>_xll.SNL.Clients.Office.Excel.Functions.SPG(CX24, "SP_COUNTRY_NAME")</f>
        <v>USA</v>
      </c>
      <c r="DB24" t="s">
        <v>396</v>
      </c>
      <c r="DC24">
        <v>4119759</v>
      </c>
      <c r="DD24" t="s">
        <v>346</v>
      </c>
      <c r="DE24" s="11">
        <v>0.62</v>
      </c>
      <c r="DF24" s="9" t="str">
        <f>_xll.SNL.Clients.Office.Excel.Functions.SPG(DC24, "SP_COUNTRY_NAME")</f>
        <v>USA</v>
      </c>
      <c r="DG24" t="s">
        <v>403</v>
      </c>
      <c r="DH24">
        <v>4033550</v>
      </c>
      <c r="DI24" t="s">
        <v>346</v>
      </c>
      <c r="DJ24" s="11">
        <v>0</v>
      </c>
      <c r="DK24" s="9" t="str">
        <f>_xll.SNL.Clients.Office.Excel.Functions.SPG(DH24, "SP_COUNTRY_NAME")</f>
        <v>USA</v>
      </c>
      <c r="DL24" t="s">
        <v>396</v>
      </c>
      <c r="DM24">
        <v>4119759</v>
      </c>
      <c r="DN24" t="s">
        <v>346</v>
      </c>
      <c r="DO24" s="11">
        <v>0.62</v>
      </c>
      <c r="DP24" s="9" t="str">
        <f>_xll.SNL.Clients.Office.Excel.Functions.SPG(DM24, "SP_COUNTRY_NAME")</f>
        <v>USA</v>
      </c>
      <c r="DU24" s="9" t="str">
        <f>_xll.SNL.Clients.Office.Excel.Functions.SPG(DR24, "SP_COUNTRY_NAME")</f>
        <v>#INVALID COMPANY ID</v>
      </c>
      <c r="DV24" t="s">
        <v>380</v>
      </c>
      <c r="DW24">
        <v>4674815</v>
      </c>
      <c r="DX24" t="s">
        <v>346</v>
      </c>
      <c r="DY24" s="11">
        <v>0.02</v>
      </c>
      <c r="DZ24" s="9" t="str">
        <f>_xll.SNL.Clients.Office.Excel.Functions.SPG(DW24, "SP_COUNTRY_NAME")</f>
        <v>Switzerland</v>
      </c>
      <c r="EA24" t="s">
        <v>960</v>
      </c>
      <c r="EB24">
        <v>4053760</v>
      </c>
      <c r="EC24" t="s">
        <v>346</v>
      </c>
      <c r="ED24" s="11">
        <v>0.46</v>
      </c>
      <c r="EE24" s="9" t="str">
        <f>_xll.SNL.Clients.Office.Excel.Functions.SPG(EB24, "SP_COUNTRY_NAME")</f>
        <v>Bermuda</v>
      </c>
      <c r="EF24" t="s">
        <v>396</v>
      </c>
      <c r="EG24">
        <v>4119759</v>
      </c>
      <c r="EH24" t="s">
        <v>346</v>
      </c>
      <c r="EI24" s="11">
        <v>0.62</v>
      </c>
      <c r="EJ24" s="9" t="str">
        <f>_xll.SNL.Clients.Office.Excel.Functions.SPG(EG24, "SP_COUNTRY_NAME")</f>
        <v>USA</v>
      </c>
      <c r="EK24" t="s">
        <v>403</v>
      </c>
      <c r="EL24">
        <v>4033550</v>
      </c>
      <c r="EM24" t="s">
        <v>346</v>
      </c>
      <c r="EN24" s="11">
        <v>0</v>
      </c>
      <c r="EO24" s="9" t="str">
        <f>_xll.SNL.Clients.Office.Excel.Functions.SPG(EL24, "SP_COUNTRY_NAME")</f>
        <v>USA</v>
      </c>
      <c r="EP24" t="s">
        <v>351</v>
      </c>
      <c r="EQ24">
        <v>111289</v>
      </c>
      <c r="ER24" t="s">
        <v>346</v>
      </c>
      <c r="ES24" s="11">
        <v>0.19</v>
      </c>
      <c r="ET24" s="9" t="str">
        <f>_xll.SNL.Clients.Office.Excel.Functions.SPG(EQ24, "SP_COUNTRY_NAME")</f>
        <v>USA</v>
      </c>
      <c r="EY24" s="9" t="str">
        <f>_xll.SNL.Clients.Office.Excel.Functions.SPG(EV24, "SP_COUNTRY_NAME")</f>
        <v>#INVALID COMPANY ID</v>
      </c>
      <c r="EZ24" t="s">
        <v>1925</v>
      </c>
      <c r="FA24" t="s">
        <v>300</v>
      </c>
      <c r="FB24" t="s">
        <v>361</v>
      </c>
      <c r="FC24" s="11">
        <v>0.01</v>
      </c>
      <c r="FD24" s="9" t="str">
        <f>_xll.SNL.Clients.Office.Excel.Functions.SPG(FA24, "SP_COUNTRY_NAME")</f>
        <v>China</v>
      </c>
      <c r="FE24" t="s">
        <v>456</v>
      </c>
      <c r="FF24">
        <v>4249110</v>
      </c>
      <c r="FG24" t="s">
        <v>346</v>
      </c>
      <c r="FH24" s="11">
        <v>7.0000000000000007E-2</v>
      </c>
      <c r="FI24" s="9" t="str">
        <f>_xll.SNL.Clients.Office.Excel.Functions.SPG(FF24, "SP_COUNTRY_NAME")</f>
        <v>United Kingdom</v>
      </c>
      <c r="FJ24" t="s">
        <v>472</v>
      </c>
      <c r="FK24">
        <v>4048215</v>
      </c>
      <c r="FL24" t="s">
        <v>346</v>
      </c>
      <c r="FM24" s="11">
        <v>0.24</v>
      </c>
      <c r="FN24" s="9" t="str">
        <f>_xll.SNL.Clients.Office.Excel.Functions.SPG(FK24, "SP_COUNTRY_NAME")</f>
        <v>USA</v>
      </c>
      <c r="FO24" t="s">
        <v>403</v>
      </c>
      <c r="FP24">
        <v>4033550</v>
      </c>
      <c r="FQ24" t="s">
        <v>346</v>
      </c>
      <c r="FR24" s="11">
        <v>0</v>
      </c>
      <c r="FS24" s="9" t="str">
        <f>_xll.SNL.Clients.Office.Excel.Functions.SPG(FP24, "SP_COUNTRY_NAME")</f>
        <v>USA</v>
      </c>
      <c r="FT24" t="s">
        <v>386</v>
      </c>
      <c r="FU24">
        <v>4145085</v>
      </c>
      <c r="FV24" t="s">
        <v>346</v>
      </c>
      <c r="FW24" s="11">
        <v>7.0000000000000007E-2</v>
      </c>
      <c r="FX24" s="9" t="str">
        <f>_xll.SNL.Clients.Office.Excel.Functions.SPG(FU24, "SP_COUNTRY_NAME")</f>
        <v>United Kingdom</v>
      </c>
      <c r="FY24" t="s">
        <v>396</v>
      </c>
      <c r="FZ24">
        <v>4119759</v>
      </c>
      <c r="GA24" t="s">
        <v>346</v>
      </c>
      <c r="GB24" s="11">
        <v>0.62</v>
      </c>
      <c r="GC24" s="9" t="str">
        <f>_xll.SNL.Clients.Office.Excel.Functions.SPG(FZ24, "SP_COUNTRY_NAME")</f>
        <v>USA</v>
      </c>
      <c r="GD24" t="s">
        <v>1925</v>
      </c>
      <c r="GE24" t="s">
        <v>300</v>
      </c>
      <c r="GF24" t="s">
        <v>361</v>
      </c>
      <c r="GG24" s="11">
        <v>0.01</v>
      </c>
      <c r="GH24" s="9" t="str">
        <f>_xll.SNL.Clients.Office.Excel.Functions.SPG(GE24, "SP_COUNTRY_NAME")</f>
        <v>China</v>
      </c>
      <c r="GI24" t="s">
        <v>456</v>
      </c>
      <c r="GJ24">
        <v>4249110</v>
      </c>
      <c r="GK24" t="s">
        <v>346</v>
      </c>
      <c r="GL24" s="11">
        <v>7.0000000000000007E-2</v>
      </c>
      <c r="GM24" s="9" t="str">
        <f>_xll.SNL.Clients.Office.Excel.Functions.SPG(GJ24, "SP_COUNTRY_NAME")</f>
        <v>United Kingdom</v>
      </c>
      <c r="GN24" t="s">
        <v>472</v>
      </c>
      <c r="GO24">
        <v>4048215</v>
      </c>
      <c r="GP24" t="s">
        <v>346</v>
      </c>
      <c r="GQ24" s="11">
        <v>0.24</v>
      </c>
      <c r="GR24" s="9" t="str">
        <f>_xll.SNL.Clients.Office.Excel.Functions.SPG(GO24, "SP_COUNTRY_NAME")</f>
        <v>USA</v>
      </c>
      <c r="GS24" t="s">
        <v>721</v>
      </c>
      <c r="GT24">
        <v>4329445</v>
      </c>
      <c r="GU24" t="s">
        <v>346</v>
      </c>
      <c r="GV24" s="11">
        <v>0.12</v>
      </c>
      <c r="GW24" s="9" t="str">
        <f>_xll.SNL.Clients.Office.Excel.Functions.SPG(GT24, "SP_COUNTRY_NAME")</f>
        <v>China</v>
      </c>
      <c r="GX24" t="s">
        <v>960</v>
      </c>
      <c r="GY24">
        <v>4053760</v>
      </c>
      <c r="GZ24" t="s">
        <v>346</v>
      </c>
      <c r="HA24" s="11">
        <v>0.46</v>
      </c>
      <c r="HB24" s="9" t="str">
        <f>_xll.SNL.Clients.Office.Excel.Functions.SPG(GY24, "SP_COUNTRY_NAME")</f>
        <v>Bermuda</v>
      </c>
      <c r="HG24" s="9" t="str">
        <f>_xll.SNL.Clients.Office.Excel.Functions.SPG(HD24, "SP_COUNTRY_NAME")</f>
        <v>#INVALID COMPANY ID</v>
      </c>
    </row>
    <row r="25" spans="1:215" x14ac:dyDescent="0.35">
      <c r="E25" s="9" t="str">
        <f>_xll.SNL.Clients.Office.Excel.Functions.SPG(B25, "SP_COUNTRY_NAME")</f>
        <v>#INVALID COMPANY ID</v>
      </c>
      <c r="F25" t="s">
        <v>393</v>
      </c>
      <c r="G25">
        <v>4723508</v>
      </c>
      <c r="H25" t="s">
        <v>346</v>
      </c>
      <c r="I25" s="11">
        <v>0.33</v>
      </c>
      <c r="J25" s="9" t="str">
        <f>_xll.SNL.Clients.Office.Excel.Functions.SPG(G25, "SP_COUNTRY_NAME")</f>
        <v>United Kingdom</v>
      </c>
      <c r="K25" t="s">
        <v>646</v>
      </c>
      <c r="L25">
        <v>4435100</v>
      </c>
      <c r="M25" t="s">
        <v>346</v>
      </c>
      <c r="N25" s="11">
        <v>7.0000000000000007E-2</v>
      </c>
      <c r="O25" s="9" t="str">
        <f>_xll.SNL.Clients.Office.Excel.Functions.SPG(L25, "SP_COUNTRY_NAME")</f>
        <v>China</v>
      </c>
      <c r="T25" s="9" t="str">
        <f>_xll.SNL.Clients.Office.Excel.Functions.SPG(Q25, "SP_COUNTRY_NAME")</f>
        <v>#INVALID COMPANY ID</v>
      </c>
      <c r="U25" t="s">
        <v>716</v>
      </c>
      <c r="V25">
        <v>4310789</v>
      </c>
      <c r="W25" t="s">
        <v>346</v>
      </c>
      <c r="X25" s="11">
        <v>0.51</v>
      </c>
      <c r="Y25" s="9" t="str">
        <f>_xll.SNL.Clients.Office.Excel.Functions.SPG(V25, "SP_COUNTRY_NAME")</f>
        <v>France</v>
      </c>
      <c r="Z25" t="s">
        <v>646</v>
      </c>
      <c r="AA25">
        <v>4435100</v>
      </c>
      <c r="AB25" t="s">
        <v>346</v>
      </c>
      <c r="AC25" s="11">
        <v>7.0000000000000007E-2</v>
      </c>
      <c r="AD25" s="9" t="str">
        <f>_xll.SNL.Clients.Office.Excel.Functions.SPG(AA25, "SP_COUNTRY_NAME")</f>
        <v>China</v>
      </c>
      <c r="AE25" t="s">
        <v>1112</v>
      </c>
      <c r="AF25" t="s">
        <v>300</v>
      </c>
      <c r="AG25" t="s">
        <v>361</v>
      </c>
      <c r="AH25" s="11">
        <v>0.22</v>
      </c>
      <c r="AI25" s="9" t="str">
        <f>_xll.SNL.Clients.Office.Excel.Functions.SPG(AF25, "SP_COUNTRY_NAME")</f>
        <v>China</v>
      </c>
      <c r="AN25" s="9" t="str">
        <f>_xll.SNL.Clients.Office.Excel.Functions.SPG(AK25, "SP_COUNTRY_NAME")</f>
        <v>#INVALID COMPANY ID</v>
      </c>
      <c r="AO25" t="s">
        <v>541</v>
      </c>
      <c r="AP25">
        <v>4135098</v>
      </c>
      <c r="AQ25" t="s">
        <v>346</v>
      </c>
      <c r="AR25" s="11">
        <v>0.43</v>
      </c>
      <c r="AS25" s="9" t="str">
        <f>_xll.SNL.Clients.Office.Excel.Functions.SPG(AP25, "SP_COUNTRY_NAME")</f>
        <v>United Kingdom</v>
      </c>
      <c r="AX25" s="9" t="str">
        <f>_xll.SNL.Clients.Office.Excel.Functions.SPG(AU25, "SP_COUNTRY_NAME")</f>
        <v>#INVALID COMPANY ID</v>
      </c>
      <c r="AY25" t="s">
        <v>679</v>
      </c>
      <c r="AZ25">
        <v>4138221</v>
      </c>
      <c r="BA25" t="s">
        <v>346</v>
      </c>
      <c r="BB25" s="11">
        <v>0.21</v>
      </c>
      <c r="BC25" s="9" t="str">
        <f>_xll.SNL.Clients.Office.Excel.Functions.SPG(AZ25, "SP_COUNTRY_NAME")</f>
        <v>China</v>
      </c>
      <c r="BD25" t="s">
        <v>357</v>
      </c>
      <c r="BE25">
        <v>4270330</v>
      </c>
      <c r="BF25" t="s">
        <v>346</v>
      </c>
      <c r="BG25" s="11">
        <v>0.61</v>
      </c>
      <c r="BH25" s="9" t="str">
        <f>_xll.SNL.Clients.Office.Excel.Functions.SPG(BE25, "SP_COUNTRY_NAME")</f>
        <v>USA</v>
      </c>
      <c r="BI25" t="s">
        <v>357</v>
      </c>
      <c r="BJ25">
        <v>4270330</v>
      </c>
      <c r="BK25" t="s">
        <v>346</v>
      </c>
      <c r="BL25" s="11">
        <v>0.37</v>
      </c>
      <c r="BM25" s="9" t="str">
        <f>_xll.SNL.Clients.Office.Excel.Functions.SPG(BJ25, "SP_COUNTRY_NAME")</f>
        <v>USA</v>
      </c>
      <c r="BN25" t="s">
        <v>684</v>
      </c>
      <c r="BO25">
        <v>4139415</v>
      </c>
      <c r="BP25" t="s">
        <v>346</v>
      </c>
      <c r="BQ25" s="11">
        <v>0.11</v>
      </c>
      <c r="BR25" s="9" t="str">
        <f>_xll.SNL.Clients.Office.Excel.Functions.SPG(BO25, "SP_COUNTRY_NAME")</f>
        <v>China</v>
      </c>
      <c r="BS25" t="s">
        <v>374</v>
      </c>
      <c r="BT25">
        <v>4138467</v>
      </c>
      <c r="BU25" t="s">
        <v>362</v>
      </c>
      <c r="BV25" s="11">
        <v>0.47</v>
      </c>
      <c r="BW25" s="9" t="str">
        <f>_xll.SNL.Clients.Office.Excel.Functions.SPG(BT25, "SP_COUNTRY_NAME")</f>
        <v>Norway</v>
      </c>
      <c r="BX25" t="s">
        <v>716</v>
      </c>
      <c r="BY25">
        <v>4310789</v>
      </c>
      <c r="BZ25" t="s">
        <v>346</v>
      </c>
      <c r="CA25" s="11">
        <v>0.51</v>
      </c>
      <c r="CB25" s="9" t="str">
        <f>_xll.SNL.Clients.Office.Excel.Functions.SPG(BY25, "SP_COUNTRY_NAME")</f>
        <v>France</v>
      </c>
      <c r="CC25" t="s">
        <v>510</v>
      </c>
      <c r="CD25">
        <v>4089114</v>
      </c>
      <c r="CE25" t="s">
        <v>346</v>
      </c>
      <c r="CF25" s="11">
        <v>0.45</v>
      </c>
      <c r="CG25" s="9" t="str">
        <f>_xll.SNL.Clients.Office.Excel.Functions.SPG(CD25, "SP_COUNTRY_NAME")</f>
        <v>USA</v>
      </c>
      <c r="CH25" t="s">
        <v>541</v>
      </c>
      <c r="CI25">
        <v>4135098</v>
      </c>
      <c r="CJ25" t="s">
        <v>346</v>
      </c>
      <c r="CK25" s="11">
        <v>0.43</v>
      </c>
      <c r="CL25" s="9" t="str">
        <f>_xll.SNL.Clients.Office.Excel.Functions.SPG(CI25, "SP_COUNTRY_NAME")</f>
        <v>United Kingdom</v>
      </c>
      <c r="CM25" t="s">
        <v>405</v>
      </c>
      <c r="CN25">
        <v>4035990</v>
      </c>
      <c r="CO25" t="s">
        <v>346</v>
      </c>
      <c r="CP25" s="11">
        <v>0.61</v>
      </c>
      <c r="CQ25" s="9" t="str">
        <f>_xll.SNL.Clients.Office.Excel.Functions.SPG(CN25, "SP_COUNTRY_NAME")</f>
        <v>Canada</v>
      </c>
      <c r="CV25" s="9" t="str">
        <f>_xll.SNL.Clients.Office.Excel.Functions.SPG(CS25, "SP_COUNTRY_NAME")</f>
        <v>#INVALID COMPANY ID</v>
      </c>
      <c r="CW25" t="s">
        <v>418</v>
      </c>
      <c r="CX25">
        <v>109776</v>
      </c>
      <c r="CY25" t="s">
        <v>346</v>
      </c>
      <c r="CZ25" s="11">
        <v>0</v>
      </c>
      <c r="DA25" s="9" t="str">
        <f>_xll.SNL.Clients.Office.Excel.Functions.SPG(CX25, "SP_COUNTRY_NAME")</f>
        <v>USA</v>
      </c>
      <c r="DB25" t="s">
        <v>357</v>
      </c>
      <c r="DC25">
        <v>4270330</v>
      </c>
      <c r="DD25" t="s">
        <v>346</v>
      </c>
      <c r="DE25" s="11">
        <v>0.61</v>
      </c>
      <c r="DF25" s="9" t="str">
        <f>_xll.SNL.Clients.Office.Excel.Functions.SPG(DC25, "SP_COUNTRY_NAME")</f>
        <v>USA</v>
      </c>
      <c r="DG25" t="s">
        <v>418</v>
      </c>
      <c r="DH25">
        <v>109776</v>
      </c>
      <c r="DI25" t="s">
        <v>346</v>
      </c>
      <c r="DJ25" s="11">
        <v>0</v>
      </c>
      <c r="DK25" s="9" t="str">
        <f>_xll.SNL.Clients.Office.Excel.Functions.SPG(DH25, "SP_COUNTRY_NAME")</f>
        <v>USA</v>
      </c>
      <c r="DL25" t="s">
        <v>357</v>
      </c>
      <c r="DM25">
        <v>4270330</v>
      </c>
      <c r="DN25" t="s">
        <v>346</v>
      </c>
      <c r="DO25" s="11">
        <v>0.61</v>
      </c>
      <c r="DP25" s="9" t="str">
        <f>_xll.SNL.Clients.Office.Excel.Functions.SPG(DM25, "SP_COUNTRY_NAME")</f>
        <v>USA</v>
      </c>
      <c r="DU25" s="9" t="str">
        <f>_xll.SNL.Clients.Office.Excel.Functions.SPG(DR25, "SP_COUNTRY_NAME")</f>
        <v>#INVALID COMPANY ID</v>
      </c>
      <c r="DV25" t="s">
        <v>409</v>
      </c>
      <c r="DW25">
        <v>102719</v>
      </c>
      <c r="DX25" t="s">
        <v>346</v>
      </c>
      <c r="DY25" s="11">
        <v>0.02</v>
      </c>
      <c r="DZ25" s="9" t="str">
        <f>_xll.SNL.Clients.Office.Excel.Functions.SPG(DW25, "SP_COUNTRY_NAME")</f>
        <v>USA</v>
      </c>
      <c r="EA25" t="s">
        <v>510</v>
      </c>
      <c r="EB25">
        <v>4089114</v>
      </c>
      <c r="EC25" t="s">
        <v>346</v>
      </c>
      <c r="ED25" s="11">
        <v>0.45</v>
      </c>
      <c r="EE25" s="9" t="str">
        <f>_xll.SNL.Clients.Office.Excel.Functions.SPG(EB25, "SP_COUNTRY_NAME")</f>
        <v>USA</v>
      </c>
      <c r="EF25" t="s">
        <v>357</v>
      </c>
      <c r="EG25">
        <v>4270330</v>
      </c>
      <c r="EH25" t="s">
        <v>346</v>
      </c>
      <c r="EI25" s="11">
        <v>0.61</v>
      </c>
      <c r="EJ25" s="9" t="str">
        <f>_xll.SNL.Clients.Office.Excel.Functions.SPG(EG25, "SP_COUNTRY_NAME")</f>
        <v>USA</v>
      </c>
      <c r="EK25" t="s">
        <v>418</v>
      </c>
      <c r="EL25">
        <v>109776</v>
      </c>
      <c r="EM25" t="s">
        <v>346</v>
      </c>
      <c r="EN25" s="11">
        <v>0</v>
      </c>
      <c r="EO25" s="9" t="str">
        <f>_xll.SNL.Clients.Office.Excel.Functions.SPG(EL25, "SP_COUNTRY_NAME")</f>
        <v>USA</v>
      </c>
      <c r="EP25" t="s">
        <v>385</v>
      </c>
      <c r="EQ25">
        <v>5752504</v>
      </c>
      <c r="ER25" t="s">
        <v>346</v>
      </c>
      <c r="ES25" s="11">
        <v>0.17</v>
      </c>
      <c r="ET25" s="9" t="str">
        <f>_xll.SNL.Clients.Office.Excel.Functions.SPG(EQ25, "SP_COUNTRY_NAME")</f>
        <v>USA</v>
      </c>
      <c r="EY25" s="9" t="str">
        <f>_xll.SNL.Clients.Office.Excel.Functions.SPG(EV25, "SP_COUNTRY_NAME")</f>
        <v>#INVALID COMPANY ID</v>
      </c>
      <c r="EZ25" t="s">
        <v>355</v>
      </c>
      <c r="FA25">
        <v>111074</v>
      </c>
      <c r="FB25" t="s">
        <v>346</v>
      </c>
      <c r="FC25" s="11">
        <v>0.01</v>
      </c>
      <c r="FD25" s="9" t="str">
        <f>_xll.SNL.Clients.Office.Excel.Functions.SPG(FA25, "SP_COUNTRY_NAME")</f>
        <v>USA</v>
      </c>
      <c r="FE25" t="s">
        <v>2150</v>
      </c>
      <c r="FF25" t="s">
        <v>300</v>
      </c>
      <c r="FG25" t="s">
        <v>361</v>
      </c>
      <c r="FH25" s="11">
        <v>0.06</v>
      </c>
      <c r="FI25" s="9" t="str">
        <f>_xll.SNL.Clients.Office.Excel.Functions.SPG(FF25, "SP_COUNTRY_NAME")</f>
        <v>China</v>
      </c>
      <c r="FJ25" t="s">
        <v>483</v>
      </c>
      <c r="FK25">
        <v>109763</v>
      </c>
      <c r="FL25" t="s">
        <v>346</v>
      </c>
      <c r="FM25" s="11">
        <v>0.2</v>
      </c>
      <c r="FN25" s="9" t="str">
        <f>_xll.SNL.Clients.Office.Excel.Functions.SPG(FK25, "SP_COUNTRY_NAME")</f>
        <v>USA</v>
      </c>
      <c r="FO25" t="s">
        <v>418</v>
      </c>
      <c r="FP25">
        <v>109776</v>
      </c>
      <c r="FQ25" t="s">
        <v>346</v>
      </c>
      <c r="FR25" s="11">
        <v>0</v>
      </c>
      <c r="FS25" s="9" t="str">
        <f>_xll.SNL.Clients.Office.Excel.Functions.SPG(FP25, "SP_COUNTRY_NAME")</f>
        <v>USA</v>
      </c>
      <c r="FT25" t="s">
        <v>387</v>
      </c>
      <c r="FU25">
        <v>4020980</v>
      </c>
      <c r="FV25" t="s">
        <v>346</v>
      </c>
      <c r="FW25" s="11">
        <v>0.06</v>
      </c>
      <c r="FX25" s="9" t="str">
        <f>_xll.SNL.Clients.Office.Excel.Functions.SPG(FU25, "SP_COUNTRY_NAME")</f>
        <v>Bermuda</v>
      </c>
      <c r="FY25" t="s">
        <v>357</v>
      </c>
      <c r="FZ25">
        <v>4270330</v>
      </c>
      <c r="GA25" t="s">
        <v>346</v>
      </c>
      <c r="GB25" s="11">
        <v>0.61</v>
      </c>
      <c r="GC25" s="9" t="str">
        <f>_xll.SNL.Clients.Office.Excel.Functions.SPG(FZ25, "SP_COUNTRY_NAME")</f>
        <v>USA</v>
      </c>
      <c r="GD25" t="s">
        <v>355</v>
      </c>
      <c r="GE25">
        <v>111074</v>
      </c>
      <c r="GF25" t="s">
        <v>346</v>
      </c>
      <c r="GG25" s="11">
        <v>0.01</v>
      </c>
      <c r="GH25" s="9" t="str">
        <f>_xll.SNL.Clients.Office.Excel.Functions.SPG(GE25, "SP_COUNTRY_NAME")</f>
        <v>USA</v>
      </c>
      <c r="GI25" t="s">
        <v>2150</v>
      </c>
      <c r="GJ25" t="s">
        <v>300</v>
      </c>
      <c r="GK25" t="s">
        <v>361</v>
      </c>
      <c r="GL25" s="11">
        <v>0.06</v>
      </c>
      <c r="GM25" s="9" t="str">
        <f>_xll.SNL.Clients.Office.Excel.Functions.SPG(GJ25, "SP_COUNTRY_NAME")</f>
        <v>China</v>
      </c>
      <c r="GN25" t="s">
        <v>483</v>
      </c>
      <c r="GO25">
        <v>109763</v>
      </c>
      <c r="GP25" t="s">
        <v>346</v>
      </c>
      <c r="GQ25" s="11">
        <v>0.2</v>
      </c>
      <c r="GR25" s="9" t="str">
        <f>_xll.SNL.Clients.Office.Excel.Functions.SPG(GO25, "SP_COUNTRY_NAME")</f>
        <v>USA</v>
      </c>
      <c r="GS25" t="s">
        <v>684</v>
      </c>
      <c r="GT25">
        <v>4139415</v>
      </c>
      <c r="GU25" t="s">
        <v>346</v>
      </c>
      <c r="GV25" s="11">
        <v>0.11</v>
      </c>
      <c r="GW25" s="9" t="str">
        <f>_xll.SNL.Clients.Office.Excel.Functions.SPG(GT25, "SP_COUNTRY_NAME")</f>
        <v>China</v>
      </c>
      <c r="GX25" t="s">
        <v>510</v>
      </c>
      <c r="GY25">
        <v>4089114</v>
      </c>
      <c r="GZ25" t="s">
        <v>346</v>
      </c>
      <c r="HA25" s="11">
        <v>0.45</v>
      </c>
      <c r="HB25" s="9" t="str">
        <f>_xll.SNL.Clients.Office.Excel.Functions.SPG(GY25, "SP_COUNTRY_NAME")</f>
        <v>USA</v>
      </c>
      <c r="HG25" s="9" t="str">
        <f>_xll.SNL.Clients.Office.Excel.Functions.SPG(HD25, "SP_COUNTRY_NAME")</f>
        <v>#INVALID COMPANY ID</v>
      </c>
    </row>
    <row r="26" spans="1:215" x14ac:dyDescent="0.35">
      <c r="E26" s="9" t="str">
        <f>_xll.SNL.Clients.Office.Excel.Functions.SPG(B26, "SP_COUNTRY_NAME")</f>
        <v>#INVALID COMPANY ID</v>
      </c>
      <c r="F26" t="s">
        <v>354</v>
      </c>
      <c r="G26">
        <v>110652</v>
      </c>
      <c r="H26" t="s">
        <v>346</v>
      </c>
      <c r="I26" s="11">
        <v>0.31</v>
      </c>
      <c r="J26" s="9" t="str">
        <f>_xll.SNL.Clients.Office.Excel.Functions.SPG(G26, "SP_COUNTRY_NAME")</f>
        <v>USA</v>
      </c>
      <c r="K26" t="s">
        <v>393</v>
      </c>
      <c r="L26">
        <v>4723508</v>
      </c>
      <c r="M26" t="s">
        <v>346</v>
      </c>
      <c r="N26" s="11">
        <v>7.0000000000000007E-2</v>
      </c>
      <c r="O26" s="9" t="str">
        <f>_xll.SNL.Clients.Office.Excel.Functions.SPG(L26, "SP_COUNTRY_NAME")</f>
        <v>United Kingdom</v>
      </c>
      <c r="T26" s="9" t="str">
        <f>_xll.SNL.Clients.Office.Excel.Functions.SPG(Q26, "SP_COUNTRY_NAME")</f>
        <v>#INVALID COMPANY ID</v>
      </c>
      <c r="U26" t="s">
        <v>406</v>
      </c>
      <c r="V26">
        <v>4115698</v>
      </c>
      <c r="W26" t="s">
        <v>346</v>
      </c>
      <c r="X26" s="11">
        <v>0.51</v>
      </c>
      <c r="Y26" s="9" t="str">
        <f>_xll.SNL.Clients.Office.Excel.Functions.SPG(V26, "SP_COUNTRY_NAME")</f>
        <v>United Kingdom</v>
      </c>
      <c r="Z26" t="s">
        <v>393</v>
      </c>
      <c r="AA26">
        <v>4723508</v>
      </c>
      <c r="AB26" t="s">
        <v>346</v>
      </c>
      <c r="AC26" s="11">
        <v>7.0000000000000007E-2</v>
      </c>
      <c r="AD26" s="9" t="str">
        <f>_xll.SNL.Clients.Office.Excel.Functions.SPG(AA26, "SP_COUNTRY_NAME")</f>
        <v>United Kingdom</v>
      </c>
      <c r="AE26" t="s">
        <v>482</v>
      </c>
      <c r="AF26">
        <v>4048742</v>
      </c>
      <c r="AG26" t="s">
        <v>346</v>
      </c>
      <c r="AH26" s="11">
        <v>0.22</v>
      </c>
      <c r="AI26" s="9" t="str">
        <f>_xll.SNL.Clients.Office.Excel.Functions.SPG(AF26, "SP_COUNTRY_NAME")</f>
        <v>Canada</v>
      </c>
      <c r="AN26" s="9" t="str">
        <f>_xll.SNL.Clients.Office.Excel.Functions.SPG(AK26, "SP_COUNTRY_NAME")</f>
        <v>#INVALID COMPANY ID</v>
      </c>
      <c r="AO26" t="s">
        <v>409</v>
      </c>
      <c r="AP26">
        <v>102719</v>
      </c>
      <c r="AQ26" t="s">
        <v>346</v>
      </c>
      <c r="AR26" s="11">
        <v>0.34</v>
      </c>
      <c r="AS26" s="9" t="str">
        <f>_xll.SNL.Clients.Office.Excel.Functions.SPG(AP26, "SP_COUNTRY_NAME")</f>
        <v>USA</v>
      </c>
      <c r="AX26" s="9" t="str">
        <f>_xll.SNL.Clients.Office.Excel.Functions.SPG(AU26, "SP_COUNTRY_NAME")</f>
        <v>#INVALID COMPANY ID</v>
      </c>
      <c r="AY26" t="s">
        <v>638</v>
      </c>
      <c r="AZ26">
        <v>4137668</v>
      </c>
      <c r="BA26" t="s">
        <v>346</v>
      </c>
      <c r="BB26" s="11">
        <v>0.2</v>
      </c>
      <c r="BC26" s="9" t="str">
        <f>_xll.SNL.Clients.Office.Excel.Functions.SPG(AZ26, "SP_COUNTRY_NAME")</f>
        <v>China</v>
      </c>
      <c r="BD26" t="s">
        <v>481</v>
      </c>
      <c r="BE26">
        <v>4376121</v>
      </c>
      <c r="BF26" t="s">
        <v>346</v>
      </c>
      <c r="BG26" s="11">
        <v>0.59</v>
      </c>
      <c r="BH26" s="9" t="str">
        <f>_xll.SNL.Clients.Office.Excel.Functions.SPG(BE26, "SP_COUNTRY_NAME")</f>
        <v>United Kingdom</v>
      </c>
      <c r="BI26" t="s">
        <v>441</v>
      </c>
      <c r="BJ26">
        <v>4153483</v>
      </c>
      <c r="BK26" t="s">
        <v>363</v>
      </c>
      <c r="BL26" s="11">
        <v>0.37</v>
      </c>
      <c r="BM26" s="9" t="str">
        <f>_xll.SNL.Clients.Office.Excel.Functions.SPG(BJ26, "SP_COUNTRY_NAME")</f>
        <v>Canada</v>
      </c>
      <c r="BN26" t="s">
        <v>426</v>
      </c>
      <c r="BO26">
        <v>100201</v>
      </c>
      <c r="BP26" t="s">
        <v>366</v>
      </c>
      <c r="BQ26" s="11">
        <v>0.11</v>
      </c>
      <c r="BR26" s="9" t="str">
        <f>_xll.SNL.Clients.Office.Excel.Functions.SPG(BO26, "SP_COUNTRY_NAME")</f>
        <v>USA</v>
      </c>
      <c r="BS26" t="s">
        <v>640</v>
      </c>
      <c r="BT26">
        <v>9020942</v>
      </c>
      <c r="BU26" t="s">
        <v>346</v>
      </c>
      <c r="BV26" s="11">
        <v>0.45</v>
      </c>
      <c r="BW26" s="9" t="str">
        <f>_xll.SNL.Clients.Office.Excel.Functions.SPG(BT26, "SP_COUNTRY_NAME")</f>
        <v>China</v>
      </c>
      <c r="BX26" t="s">
        <v>406</v>
      </c>
      <c r="BY26">
        <v>4115698</v>
      </c>
      <c r="BZ26" t="s">
        <v>346</v>
      </c>
      <c r="CA26" s="11">
        <v>0.51</v>
      </c>
      <c r="CB26" s="9" t="str">
        <f>_xll.SNL.Clients.Office.Excel.Functions.SPG(BY26, "SP_COUNTRY_NAME")</f>
        <v>United Kingdom</v>
      </c>
      <c r="CC26" t="s">
        <v>1614</v>
      </c>
      <c r="CD26">
        <v>4407080</v>
      </c>
      <c r="CE26" t="s">
        <v>346</v>
      </c>
      <c r="CF26" s="11">
        <v>0.44</v>
      </c>
      <c r="CG26" s="9" t="str">
        <f>_xll.SNL.Clients.Office.Excel.Functions.SPG(CD26, "SP_COUNTRY_NAME")</f>
        <v>Brazil</v>
      </c>
      <c r="CH26" t="s">
        <v>409</v>
      </c>
      <c r="CI26">
        <v>102719</v>
      </c>
      <c r="CJ26" t="s">
        <v>346</v>
      </c>
      <c r="CK26" s="11">
        <v>0.34</v>
      </c>
      <c r="CL26" s="9" t="str">
        <f>_xll.SNL.Clients.Office.Excel.Functions.SPG(CI26, "SP_COUNTRY_NAME")</f>
        <v>USA</v>
      </c>
      <c r="CM26" t="s">
        <v>1120</v>
      </c>
      <c r="CN26">
        <v>4724324</v>
      </c>
      <c r="CO26" t="s">
        <v>346</v>
      </c>
      <c r="CP26" s="11">
        <v>0.6</v>
      </c>
      <c r="CQ26" s="9" t="str">
        <f>_xll.SNL.Clients.Office.Excel.Functions.SPG(CN26, "SP_COUNTRY_NAME")</f>
        <v>USA</v>
      </c>
      <c r="CV26" s="9" t="str">
        <f>_xll.SNL.Clients.Office.Excel.Functions.SPG(CS26, "SP_COUNTRY_NAME")</f>
        <v>#INVALID COMPANY ID</v>
      </c>
      <c r="CW26" t="s">
        <v>406</v>
      </c>
      <c r="CX26">
        <v>4115698</v>
      </c>
      <c r="CY26" t="s">
        <v>346</v>
      </c>
      <c r="CZ26" s="11">
        <v>0</v>
      </c>
      <c r="DA26" s="9" t="str">
        <f>_xll.SNL.Clients.Office.Excel.Functions.SPG(CX26, "SP_COUNTRY_NAME")</f>
        <v>United Kingdom</v>
      </c>
      <c r="DB26" t="s">
        <v>481</v>
      </c>
      <c r="DC26">
        <v>4376121</v>
      </c>
      <c r="DD26" t="s">
        <v>346</v>
      </c>
      <c r="DE26" s="11">
        <v>0.59</v>
      </c>
      <c r="DF26" s="9" t="str">
        <f>_xll.SNL.Clients.Office.Excel.Functions.SPG(DC26, "SP_COUNTRY_NAME")</f>
        <v>United Kingdom</v>
      </c>
      <c r="DG26" t="s">
        <v>406</v>
      </c>
      <c r="DH26">
        <v>4115698</v>
      </c>
      <c r="DI26" t="s">
        <v>346</v>
      </c>
      <c r="DJ26" s="11">
        <v>0</v>
      </c>
      <c r="DK26" s="9" t="str">
        <f>_xll.SNL.Clients.Office.Excel.Functions.SPG(DH26, "SP_COUNTRY_NAME")</f>
        <v>United Kingdom</v>
      </c>
      <c r="DL26" t="s">
        <v>481</v>
      </c>
      <c r="DM26">
        <v>4376121</v>
      </c>
      <c r="DN26" t="s">
        <v>346</v>
      </c>
      <c r="DO26" s="11">
        <v>0.59</v>
      </c>
      <c r="DP26" s="9" t="str">
        <f>_xll.SNL.Clients.Office.Excel.Functions.SPG(DM26, "SP_COUNTRY_NAME")</f>
        <v>United Kingdom</v>
      </c>
      <c r="DU26" s="9" t="str">
        <f>_xll.SNL.Clients.Office.Excel.Functions.SPG(DR26, "SP_COUNTRY_NAME")</f>
        <v>#INVALID COMPANY ID</v>
      </c>
      <c r="DV26" t="s">
        <v>354</v>
      </c>
      <c r="DW26">
        <v>110652</v>
      </c>
      <c r="DX26" t="s">
        <v>346</v>
      </c>
      <c r="DY26" s="11">
        <v>0.02</v>
      </c>
      <c r="DZ26" s="9" t="str">
        <f>_xll.SNL.Clients.Office.Excel.Functions.SPG(DW26, "SP_COUNTRY_NAME")</f>
        <v>USA</v>
      </c>
      <c r="EA26" t="s">
        <v>1614</v>
      </c>
      <c r="EB26">
        <v>4407080</v>
      </c>
      <c r="EC26" t="s">
        <v>346</v>
      </c>
      <c r="ED26" s="11">
        <v>0.44</v>
      </c>
      <c r="EE26" s="9" t="str">
        <f>_xll.SNL.Clients.Office.Excel.Functions.SPG(EB26, "SP_COUNTRY_NAME")</f>
        <v>Brazil</v>
      </c>
      <c r="EF26" t="s">
        <v>481</v>
      </c>
      <c r="EG26">
        <v>4376121</v>
      </c>
      <c r="EH26" t="s">
        <v>346</v>
      </c>
      <c r="EI26" s="11">
        <v>0.59</v>
      </c>
      <c r="EJ26" s="9" t="str">
        <f>_xll.SNL.Clients.Office.Excel.Functions.SPG(EG26, "SP_COUNTRY_NAME")</f>
        <v>United Kingdom</v>
      </c>
      <c r="EK26" t="s">
        <v>406</v>
      </c>
      <c r="EL26">
        <v>4115698</v>
      </c>
      <c r="EM26" t="s">
        <v>346</v>
      </c>
      <c r="EN26" s="11">
        <v>0</v>
      </c>
      <c r="EO26" s="9" t="str">
        <f>_xll.SNL.Clients.Office.Excel.Functions.SPG(EL26, "SP_COUNTRY_NAME")</f>
        <v>United Kingdom</v>
      </c>
      <c r="EP26" t="s">
        <v>664</v>
      </c>
      <c r="EQ26">
        <v>4138760</v>
      </c>
      <c r="ER26" t="s">
        <v>346</v>
      </c>
      <c r="ES26" s="11">
        <v>0.15</v>
      </c>
      <c r="ET26" s="9" t="str">
        <f>_xll.SNL.Clients.Office.Excel.Functions.SPG(EQ26, "SP_COUNTRY_NAME")</f>
        <v>China</v>
      </c>
      <c r="EY26" s="9" t="str">
        <f>_xll.SNL.Clients.Office.Excel.Functions.SPG(EV26, "SP_COUNTRY_NAME")</f>
        <v>#INVALID COMPANY ID</v>
      </c>
      <c r="EZ26" t="s">
        <v>1926</v>
      </c>
      <c r="FA26" t="s">
        <v>300</v>
      </c>
      <c r="FB26" t="s">
        <v>361</v>
      </c>
      <c r="FC26" s="11">
        <v>0.01</v>
      </c>
      <c r="FD26" s="9" t="str">
        <f>_xll.SNL.Clients.Office.Excel.Functions.SPG(FA26, "SP_COUNTRY_NAME")</f>
        <v>China</v>
      </c>
      <c r="FE26" t="s">
        <v>354</v>
      </c>
      <c r="FF26">
        <v>110652</v>
      </c>
      <c r="FG26" t="s">
        <v>346</v>
      </c>
      <c r="FH26" s="11">
        <v>0.05</v>
      </c>
      <c r="FI26" s="9" t="str">
        <f>_xll.SNL.Clients.Office.Excel.Functions.SPG(FF26, "SP_COUNTRY_NAME")</f>
        <v>USA</v>
      </c>
      <c r="FJ26" t="s">
        <v>354</v>
      </c>
      <c r="FK26">
        <v>110652</v>
      </c>
      <c r="FL26" t="s">
        <v>346</v>
      </c>
      <c r="FM26" s="11">
        <v>0.2</v>
      </c>
      <c r="FN26" s="9" t="str">
        <f>_xll.SNL.Clients.Office.Excel.Functions.SPG(FK26, "SP_COUNTRY_NAME")</f>
        <v>USA</v>
      </c>
      <c r="FO26" t="s">
        <v>406</v>
      </c>
      <c r="FP26">
        <v>4115698</v>
      </c>
      <c r="FQ26" t="s">
        <v>346</v>
      </c>
      <c r="FR26" s="11">
        <v>0</v>
      </c>
      <c r="FS26" s="9" t="str">
        <f>_xll.SNL.Clients.Office.Excel.Functions.SPG(FP26, "SP_COUNTRY_NAME")</f>
        <v>United Kingdom</v>
      </c>
      <c r="FT26" t="s">
        <v>354</v>
      </c>
      <c r="FU26">
        <v>110652</v>
      </c>
      <c r="FV26" t="s">
        <v>346</v>
      </c>
      <c r="FW26" s="11">
        <v>0.04</v>
      </c>
      <c r="FX26" s="9" t="str">
        <f>_xll.SNL.Clients.Office.Excel.Functions.SPG(FU26, "SP_COUNTRY_NAME")</f>
        <v>USA</v>
      </c>
      <c r="FY26" t="s">
        <v>481</v>
      </c>
      <c r="FZ26">
        <v>4376121</v>
      </c>
      <c r="GA26" t="s">
        <v>346</v>
      </c>
      <c r="GB26" s="11">
        <v>0.59</v>
      </c>
      <c r="GC26" s="9" t="str">
        <f>_xll.SNL.Clients.Office.Excel.Functions.SPG(FZ26, "SP_COUNTRY_NAME")</f>
        <v>United Kingdom</v>
      </c>
      <c r="GD26" t="s">
        <v>1926</v>
      </c>
      <c r="GE26" t="s">
        <v>300</v>
      </c>
      <c r="GF26" t="s">
        <v>361</v>
      </c>
      <c r="GG26" s="11">
        <v>0.01</v>
      </c>
      <c r="GH26" s="9" t="str">
        <f>_xll.SNL.Clients.Office.Excel.Functions.SPG(GE26, "SP_COUNTRY_NAME")</f>
        <v>China</v>
      </c>
      <c r="GI26" t="s">
        <v>354</v>
      </c>
      <c r="GJ26">
        <v>110652</v>
      </c>
      <c r="GK26" t="s">
        <v>346</v>
      </c>
      <c r="GL26" s="11">
        <v>0.05</v>
      </c>
      <c r="GM26" s="9" t="str">
        <f>_xll.SNL.Clients.Office.Excel.Functions.SPG(GJ26, "SP_COUNTRY_NAME")</f>
        <v>USA</v>
      </c>
      <c r="GN26" t="s">
        <v>354</v>
      </c>
      <c r="GO26">
        <v>110652</v>
      </c>
      <c r="GP26" t="s">
        <v>346</v>
      </c>
      <c r="GQ26" s="11">
        <v>0.2</v>
      </c>
      <c r="GR26" s="9" t="str">
        <f>_xll.SNL.Clients.Office.Excel.Functions.SPG(GO26, "SP_COUNTRY_NAME")</f>
        <v>USA</v>
      </c>
      <c r="GS26" t="s">
        <v>426</v>
      </c>
      <c r="GT26">
        <v>100201</v>
      </c>
      <c r="GU26" t="s">
        <v>366</v>
      </c>
      <c r="GV26" s="11">
        <v>0.11</v>
      </c>
      <c r="GW26" s="9" t="str">
        <f>_xll.SNL.Clients.Office.Excel.Functions.SPG(GT26, "SP_COUNTRY_NAME")</f>
        <v>USA</v>
      </c>
      <c r="GX26" t="s">
        <v>1614</v>
      </c>
      <c r="GY26">
        <v>4407080</v>
      </c>
      <c r="GZ26" t="s">
        <v>346</v>
      </c>
      <c r="HA26" s="11">
        <v>0.44</v>
      </c>
      <c r="HB26" s="9" t="str">
        <f>_xll.SNL.Clients.Office.Excel.Functions.SPG(GY26, "SP_COUNTRY_NAME")</f>
        <v>Brazil</v>
      </c>
      <c r="HG26" s="9" t="str">
        <f>_xll.SNL.Clients.Office.Excel.Functions.SPG(HD26, "SP_COUNTRY_NAME")</f>
        <v>#INVALID COMPANY ID</v>
      </c>
    </row>
    <row r="27" spans="1:215" x14ac:dyDescent="0.35">
      <c r="E27" s="9" t="str">
        <f>_xll.SNL.Clients.Office.Excel.Functions.SPG(B27, "SP_COUNTRY_NAME")</f>
        <v>#INVALID COMPANY ID</v>
      </c>
      <c r="F27" t="s">
        <v>434</v>
      </c>
      <c r="G27">
        <v>4120033</v>
      </c>
      <c r="H27" t="s">
        <v>346</v>
      </c>
      <c r="I27" s="11">
        <v>0.3</v>
      </c>
      <c r="J27" s="9" t="str">
        <f>_xll.SNL.Clients.Office.Excel.Functions.SPG(G27, "SP_COUNTRY_NAME")</f>
        <v>Japan</v>
      </c>
      <c r="K27" t="s">
        <v>436</v>
      </c>
      <c r="L27">
        <v>111219</v>
      </c>
      <c r="M27" t="s">
        <v>346</v>
      </c>
      <c r="N27" s="11">
        <v>0.06</v>
      </c>
      <c r="O27" s="9" t="str">
        <f>_xll.SNL.Clients.Office.Excel.Functions.SPG(L27, "SP_COUNTRY_NAME")</f>
        <v>USA</v>
      </c>
      <c r="T27" s="9" t="str">
        <f>_xll.SNL.Clients.Office.Excel.Functions.SPG(Q27, "SP_COUNTRY_NAME")</f>
        <v>#INVALID COMPANY ID</v>
      </c>
      <c r="U27" t="s">
        <v>636</v>
      </c>
      <c r="V27">
        <v>4139271</v>
      </c>
      <c r="W27" t="s">
        <v>346</v>
      </c>
      <c r="X27" s="11">
        <v>0.51</v>
      </c>
      <c r="Y27" s="9" t="str">
        <f>_xll.SNL.Clients.Office.Excel.Functions.SPG(V27, "SP_COUNTRY_NAME")</f>
        <v>China</v>
      </c>
      <c r="Z27" t="s">
        <v>436</v>
      </c>
      <c r="AA27">
        <v>111219</v>
      </c>
      <c r="AB27" t="s">
        <v>346</v>
      </c>
      <c r="AC27" s="11">
        <v>0.06</v>
      </c>
      <c r="AD27" s="9" t="str">
        <f>_xll.SNL.Clients.Office.Excel.Functions.SPG(AA27, "SP_COUNTRY_NAME")</f>
        <v>USA</v>
      </c>
      <c r="AE27" t="s">
        <v>1113</v>
      </c>
      <c r="AF27">
        <v>110293</v>
      </c>
      <c r="AG27" t="s">
        <v>346</v>
      </c>
      <c r="AH27" s="11">
        <v>0.19</v>
      </c>
      <c r="AI27" s="9" t="str">
        <f>_xll.SNL.Clients.Office.Excel.Functions.SPG(AF27, "SP_COUNTRY_NAME")</f>
        <v>Canada</v>
      </c>
      <c r="AN27" s="9" t="str">
        <f>_xll.SNL.Clients.Office.Excel.Functions.SPG(AK27, "SP_COUNTRY_NAME")</f>
        <v>#INVALID COMPANY ID</v>
      </c>
      <c r="AO27" t="s">
        <v>399</v>
      </c>
      <c r="AP27">
        <v>4026948</v>
      </c>
      <c r="AQ27" t="s">
        <v>346</v>
      </c>
      <c r="AR27" s="11">
        <v>0.33</v>
      </c>
      <c r="AS27" s="9" t="str">
        <f>_xll.SNL.Clients.Office.Excel.Functions.SPG(AP27, "SP_COUNTRY_NAME")</f>
        <v>France</v>
      </c>
      <c r="AX27" s="9" t="str">
        <f>_xll.SNL.Clients.Office.Excel.Functions.SPG(AU27, "SP_COUNTRY_NAME")</f>
        <v>#INVALID COMPANY ID</v>
      </c>
      <c r="AY27" t="s">
        <v>758</v>
      </c>
      <c r="AZ27">
        <v>4890277</v>
      </c>
      <c r="BA27" t="s">
        <v>346</v>
      </c>
      <c r="BB27" s="11">
        <v>0.19</v>
      </c>
      <c r="BC27" s="9" t="str">
        <f>_xll.SNL.Clients.Office.Excel.Functions.SPG(AZ27, "SP_COUNTRY_NAME")</f>
        <v>China</v>
      </c>
      <c r="BD27" t="s">
        <v>497</v>
      </c>
      <c r="BE27">
        <v>4138770</v>
      </c>
      <c r="BF27" t="s">
        <v>346</v>
      </c>
      <c r="BG27" s="11">
        <v>0.56000000000000005</v>
      </c>
      <c r="BH27" s="9" t="str">
        <f>_xll.SNL.Clients.Office.Excel.Functions.SPG(BE27, "SP_COUNTRY_NAME")</f>
        <v>United Kingdom</v>
      </c>
      <c r="BI27" t="s">
        <v>354</v>
      </c>
      <c r="BJ27">
        <v>110652</v>
      </c>
      <c r="BK27" t="s">
        <v>346</v>
      </c>
      <c r="BL27" s="11">
        <v>0.35</v>
      </c>
      <c r="BM27" s="9" t="str">
        <f>_xll.SNL.Clients.Office.Excel.Functions.SPG(BJ27, "SP_COUNTRY_NAME")</f>
        <v>USA</v>
      </c>
      <c r="BN27" t="s">
        <v>677</v>
      </c>
      <c r="BO27">
        <v>4345260</v>
      </c>
      <c r="BP27" t="s">
        <v>346</v>
      </c>
      <c r="BQ27" s="11">
        <v>0.1</v>
      </c>
      <c r="BR27" s="9" t="str">
        <f>_xll.SNL.Clients.Office.Excel.Functions.SPG(BO27, "SP_COUNTRY_NAME")</f>
        <v>China</v>
      </c>
      <c r="BS27" t="s">
        <v>644</v>
      </c>
      <c r="BT27">
        <v>4138625</v>
      </c>
      <c r="BU27" t="s">
        <v>346</v>
      </c>
      <c r="BV27" s="11">
        <v>0.43</v>
      </c>
      <c r="BW27" s="9" t="str">
        <f>_xll.SNL.Clients.Office.Excel.Functions.SPG(BT27, "SP_COUNTRY_NAME")</f>
        <v>China</v>
      </c>
      <c r="BX27" t="s">
        <v>636</v>
      </c>
      <c r="BY27">
        <v>4139271</v>
      </c>
      <c r="BZ27" t="s">
        <v>346</v>
      </c>
      <c r="CA27" s="11">
        <v>0.51</v>
      </c>
      <c r="CB27" s="9" t="str">
        <f>_xll.SNL.Clients.Office.Excel.Functions.SPG(BY27, "SP_COUNTRY_NAME")</f>
        <v>China</v>
      </c>
      <c r="CC27" t="s">
        <v>953</v>
      </c>
      <c r="CD27">
        <v>4039450</v>
      </c>
      <c r="CE27" t="s">
        <v>346</v>
      </c>
      <c r="CF27" s="11">
        <v>0.44</v>
      </c>
      <c r="CG27" s="9" t="str">
        <f>_xll.SNL.Clients.Office.Excel.Functions.SPG(CD27, "SP_COUNTRY_NAME")</f>
        <v>USA</v>
      </c>
      <c r="CH27" t="s">
        <v>399</v>
      </c>
      <c r="CI27">
        <v>4026948</v>
      </c>
      <c r="CJ27" t="s">
        <v>346</v>
      </c>
      <c r="CK27" s="11">
        <v>0.33</v>
      </c>
      <c r="CL27" s="9" t="str">
        <f>_xll.SNL.Clients.Office.Excel.Functions.SPG(CI27, "SP_COUNTRY_NAME")</f>
        <v>France</v>
      </c>
      <c r="CM27" t="s">
        <v>1188</v>
      </c>
      <c r="CN27">
        <v>4413788</v>
      </c>
      <c r="CO27" t="s">
        <v>346</v>
      </c>
      <c r="CP27" s="11">
        <v>0.54</v>
      </c>
      <c r="CQ27" s="9" t="str">
        <f>_xll.SNL.Clients.Office.Excel.Functions.SPG(CN27, "SP_COUNTRY_NAME")</f>
        <v>USA</v>
      </c>
      <c r="CV27" s="9" t="str">
        <f>_xll.SNL.Clients.Office.Excel.Functions.SPG(CS27, "SP_COUNTRY_NAME")</f>
        <v>#INVALID COMPANY ID</v>
      </c>
      <c r="DA27" s="9" t="str">
        <f>_xll.SNL.Clients.Office.Excel.Functions.SPG(CX27, "SP_COUNTRY_NAME")</f>
        <v>#INVALID COMPANY ID</v>
      </c>
      <c r="DB27" t="s">
        <v>497</v>
      </c>
      <c r="DC27">
        <v>4138770</v>
      </c>
      <c r="DD27" t="s">
        <v>346</v>
      </c>
      <c r="DE27" s="11">
        <v>0.56000000000000005</v>
      </c>
      <c r="DF27" s="9" t="str">
        <f>_xll.SNL.Clients.Office.Excel.Functions.SPG(DC27, "SP_COUNTRY_NAME")</f>
        <v>United Kingdom</v>
      </c>
      <c r="DK27" s="9" t="str">
        <f>_xll.SNL.Clients.Office.Excel.Functions.SPG(DH27, "SP_COUNTRY_NAME")</f>
        <v>#INVALID COMPANY ID</v>
      </c>
      <c r="DL27" t="s">
        <v>497</v>
      </c>
      <c r="DM27">
        <v>4138770</v>
      </c>
      <c r="DN27" t="s">
        <v>346</v>
      </c>
      <c r="DO27" s="11">
        <v>0.56000000000000005</v>
      </c>
      <c r="DP27" s="9" t="str">
        <f>_xll.SNL.Clients.Office.Excel.Functions.SPG(DM27, "SP_COUNTRY_NAME")</f>
        <v>United Kingdom</v>
      </c>
      <c r="DU27" s="9" t="str">
        <f>_xll.SNL.Clients.Office.Excel.Functions.SPG(DR27, "SP_COUNTRY_NAME")</f>
        <v>#INVALID COMPANY ID</v>
      </c>
      <c r="DV27" t="s">
        <v>477</v>
      </c>
      <c r="DW27">
        <v>4119790</v>
      </c>
      <c r="DX27" t="s">
        <v>346</v>
      </c>
      <c r="DY27" s="11">
        <v>0.02</v>
      </c>
      <c r="DZ27" s="9" t="str">
        <f>_xll.SNL.Clients.Office.Excel.Functions.SPG(DW27, "SP_COUNTRY_NAME")</f>
        <v>USA</v>
      </c>
      <c r="EA27" t="s">
        <v>953</v>
      </c>
      <c r="EB27">
        <v>4039450</v>
      </c>
      <c r="EC27" t="s">
        <v>346</v>
      </c>
      <c r="ED27" s="11">
        <v>0.44</v>
      </c>
      <c r="EE27" s="9" t="str">
        <f>_xll.SNL.Clients.Office.Excel.Functions.SPG(EB27, "SP_COUNTRY_NAME")</f>
        <v>USA</v>
      </c>
      <c r="EF27" t="s">
        <v>497</v>
      </c>
      <c r="EG27">
        <v>4138770</v>
      </c>
      <c r="EH27" t="s">
        <v>346</v>
      </c>
      <c r="EI27" s="11">
        <v>0.56000000000000005</v>
      </c>
      <c r="EJ27" s="9" t="str">
        <f>_xll.SNL.Clients.Office.Excel.Functions.SPG(EG27, "SP_COUNTRY_NAME")</f>
        <v>United Kingdom</v>
      </c>
      <c r="EO27" s="9" t="str">
        <f>_xll.SNL.Clients.Office.Excel.Functions.SPG(EL27, "SP_COUNTRY_NAME")</f>
        <v>#INVALID COMPANY ID</v>
      </c>
      <c r="EP27" t="s">
        <v>670</v>
      </c>
      <c r="EQ27">
        <v>4138799</v>
      </c>
      <c r="ER27" t="s">
        <v>346</v>
      </c>
      <c r="ES27" s="11">
        <v>0.09</v>
      </c>
      <c r="ET27" s="9" t="str">
        <f>_xll.SNL.Clients.Office.Excel.Functions.SPG(EQ27, "SP_COUNTRY_NAME")</f>
        <v>China</v>
      </c>
      <c r="EY27" s="9" t="str">
        <f>_xll.SNL.Clients.Office.Excel.Functions.SPG(EV27, "SP_COUNTRY_NAME")</f>
        <v>#INVALID COMPANY ID</v>
      </c>
      <c r="EZ27" t="s">
        <v>1927</v>
      </c>
      <c r="FA27" t="s">
        <v>300</v>
      </c>
      <c r="FB27" t="s">
        <v>361</v>
      </c>
      <c r="FC27" s="11">
        <v>0.01</v>
      </c>
      <c r="FD27" s="9" t="str">
        <f>_xll.SNL.Clients.Office.Excel.Functions.SPG(FA27, "SP_COUNTRY_NAME")</f>
        <v>China</v>
      </c>
      <c r="FE27" t="s">
        <v>2151</v>
      </c>
      <c r="FF27" t="s">
        <v>300</v>
      </c>
      <c r="FG27" t="s">
        <v>361</v>
      </c>
      <c r="FH27" s="11">
        <v>0.05</v>
      </c>
      <c r="FI27" s="9" t="str">
        <f>_xll.SNL.Clients.Office.Excel.Functions.SPG(FF27, "SP_COUNTRY_NAME")</f>
        <v>China</v>
      </c>
      <c r="FJ27" t="s">
        <v>455</v>
      </c>
      <c r="FK27">
        <v>4119538</v>
      </c>
      <c r="FL27" t="s">
        <v>364</v>
      </c>
      <c r="FM27" s="11">
        <v>0.17</v>
      </c>
      <c r="FN27" s="9" t="str">
        <f>_xll.SNL.Clients.Office.Excel.Functions.SPG(FK27, "SP_COUNTRY_NAME")</f>
        <v>USA</v>
      </c>
      <c r="FS27" s="9" t="str">
        <f>_xll.SNL.Clients.Office.Excel.Functions.SPG(FP27, "SP_COUNTRY_NAME")</f>
        <v>#INVALID COMPANY ID</v>
      </c>
      <c r="FT27" t="s">
        <v>388</v>
      </c>
      <c r="FU27">
        <v>4057506</v>
      </c>
      <c r="FV27" t="s">
        <v>346</v>
      </c>
      <c r="FW27" s="11">
        <v>0.03</v>
      </c>
      <c r="FX27" s="9" t="str">
        <f>_xll.SNL.Clients.Office.Excel.Functions.SPG(FU27, "SP_COUNTRY_NAME")</f>
        <v>USA</v>
      </c>
      <c r="FY27" t="s">
        <v>497</v>
      </c>
      <c r="FZ27">
        <v>4138770</v>
      </c>
      <c r="GA27" t="s">
        <v>346</v>
      </c>
      <c r="GB27" s="11">
        <v>0.56000000000000005</v>
      </c>
      <c r="GC27" s="9" t="str">
        <f>_xll.SNL.Clients.Office.Excel.Functions.SPG(FZ27, "SP_COUNTRY_NAME")</f>
        <v>United Kingdom</v>
      </c>
      <c r="GD27" t="s">
        <v>1927</v>
      </c>
      <c r="GE27" t="s">
        <v>300</v>
      </c>
      <c r="GF27" t="s">
        <v>361</v>
      </c>
      <c r="GG27" s="11">
        <v>0.01</v>
      </c>
      <c r="GH27" s="9" t="str">
        <f>_xll.SNL.Clients.Office.Excel.Functions.SPG(GE27, "SP_COUNTRY_NAME")</f>
        <v>China</v>
      </c>
      <c r="GI27" t="s">
        <v>2151</v>
      </c>
      <c r="GJ27" t="s">
        <v>300</v>
      </c>
      <c r="GK27" t="s">
        <v>361</v>
      </c>
      <c r="GL27" s="11">
        <v>0.05</v>
      </c>
      <c r="GM27" s="9" t="str">
        <f>_xll.SNL.Clients.Office.Excel.Functions.SPG(GJ27, "SP_COUNTRY_NAME")</f>
        <v>China</v>
      </c>
      <c r="GN27" t="s">
        <v>455</v>
      </c>
      <c r="GO27">
        <v>4119538</v>
      </c>
      <c r="GP27" t="s">
        <v>364</v>
      </c>
      <c r="GQ27" s="11">
        <v>0.17</v>
      </c>
      <c r="GR27" s="9" t="str">
        <f>_xll.SNL.Clients.Office.Excel.Functions.SPG(GO27, "SP_COUNTRY_NAME")</f>
        <v>USA</v>
      </c>
      <c r="GS27" t="s">
        <v>677</v>
      </c>
      <c r="GT27">
        <v>4345260</v>
      </c>
      <c r="GU27" t="s">
        <v>346</v>
      </c>
      <c r="GV27" s="11">
        <v>0.1</v>
      </c>
      <c r="GW27" s="9" t="str">
        <f>_xll.SNL.Clients.Office.Excel.Functions.SPG(GT27, "SP_COUNTRY_NAME")</f>
        <v>China</v>
      </c>
      <c r="GX27" t="s">
        <v>953</v>
      </c>
      <c r="GY27">
        <v>4039450</v>
      </c>
      <c r="GZ27" t="s">
        <v>346</v>
      </c>
      <c r="HA27" s="11">
        <v>0.44</v>
      </c>
      <c r="HB27" s="9" t="str">
        <f>_xll.SNL.Clients.Office.Excel.Functions.SPG(GY27, "SP_COUNTRY_NAME")</f>
        <v>USA</v>
      </c>
      <c r="HG27" s="9" t="str">
        <f>_xll.SNL.Clients.Office.Excel.Functions.SPG(HD27, "SP_COUNTRY_NAME")</f>
        <v>#INVALID COMPANY ID</v>
      </c>
    </row>
    <row r="28" spans="1:215" x14ac:dyDescent="0.35">
      <c r="E28" s="9" t="str">
        <f>_xll.SNL.Clients.Office.Excel.Functions.SPG(B28, "SP_COUNTRY_NAME")</f>
        <v>#INVALID COMPANY ID</v>
      </c>
      <c r="F28" t="s">
        <v>435</v>
      </c>
      <c r="G28">
        <v>109789</v>
      </c>
      <c r="H28" t="s">
        <v>346</v>
      </c>
      <c r="I28" s="11">
        <v>0.28999999999999998</v>
      </c>
      <c r="J28" s="9" t="str">
        <f>_xll.SNL.Clients.Office.Excel.Functions.SPG(G28, "SP_COUNTRY_NAME")</f>
        <v>USA</v>
      </c>
      <c r="K28" t="s">
        <v>432</v>
      </c>
      <c r="L28">
        <v>110092</v>
      </c>
      <c r="M28" t="s">
        <v>346</v>
      </c>
      <c r="N28" s="11">
        <v>0.06</v>
      </c>
      <c r="O28" s="9" t="str">
        <f>_xll.SNL.Clients.Office.Excel.Functions.SPG(L28, "SP_COUNTRY_NAME")</f>
        <v>USA</v>
      </c>
      <c r="T28" s="9" t="str">
        <f>_xll.SNL.Clients.Office.Excel.Functions.SPG(Q28, "SP_COUNTRY_NAME")</f>
        <v>#INVALID COMPANY ID</v>
      </c>
      <c r="U28" t="s">
        <v>717</v>
      </c>
      <c r="V28">
        <v>4345275</v>
      </c>
      <c r="W28" t="s">
        <v>346</v>
      </c>
      <c r="X28" s="11">
        <v>0.5</v>
      </c>
      <c r="Y28" s="9" t="str">
        <f>_xll.SNL.Clients.Office.Excel.Functions.SPG(V28, "SP_COUNTRY_NAME")</f>
        <v>China</v>
      </c>
      <c r="Z28" t="s">
        <v>432</v>
      </c>
      <c r="AA28">
        <v>110092</v>
      </c>
      <c r="AB28" t="s">
        <v>346</v>
      </c>
      <c r="AC28" s="11">
        <v>0.06</v>
      </c>
      <c r="AD28" s="9" t="str">
        <f>_xll.SNL.Clients.Office.Excel.Functions.SPG(AA28, "SP_COUNTRY_NAME")</f>
        <v>USA</v>
      </c>
      <c r="AE28" t="s">
        <v>1114</v>
      </c>
      <c r="AF28" t="s">
        <v>300</v>
      </c>
      <c r="AG28" t="s">
        <v>361</v>
      </c>
      <c r="AH28" s="11">
        <v>0.16</v>
      </c>
      <c r="AI28" s="9" t="str">
        <f>_xll.SNL.Clients.Office.Excel.Functions.SPG(AF28, "SP_COUNTRY_NAME")</f>
        <v>China</v>
      </c>
      <c r="AN28" s="9" t="str">
        <f>_xll.SNL.Clients.Office.Excel.Functions.SPG(AK28, "SP_COUNTRY_NAME")</f>
        <v>#INVALID COMPANY ID</v>
      </c>
      <c r="AO28" t="s">
        <v>380</v>
      </c>
      <c r="AP28">
        <v>4674815</v>
      </c>
      <c r="AQ28" t="s">
        <v>346</v>
      </c>
      <c r="AR28" s="11">
        <v>0.32</v>
      </c>
      <c r="AS28" s="9" t="str">
        <f>_xll.SNL.Clients.Office.Excel.Functions.SPG(AP28, "SP_COUNTRY_NAME")</f>
        <v>Switzerland</v>
      </c>
      <c r="AX28" s="9" t="str">
        <f>_xll.SNL.Clients.Office.Excel.Functions.SPG(AU28, "SP_COUNTRY_NAME")</f>
        <v>#INVALID COMPANY ID</v>
      </c>
      <c r="AY28" t="s">
        <v>353</v>
      </c>
      <c r="AZ28">
        <v>4048287</v>
      </c>
      <c r="BA28" t="s">
        <v>346</v>
      </c>
      <c r="BB28" s="11">
        <v>0.17</v>
      </c>
      <c r="BC28" s="9" t="str">
        <f>_xll.SNL.Clients.Office.Excel.Functions.SPG(AZ28, "SP_COUNTRY_NAME")</f>
        <v>USA</v>
      </c>
      <c r="BD28" t="s">
        <v>520</v>
      </c>
      <c r="BE28">
        <v>103661</v>
      </c>
      <c r="BF28" t="s">
        <v>346</v>
      </c>
      <c r="BG28" s="11">
        <v>0.54</v>
      </c>
      <c r="BH28" s="9" t="str">
        <f>_xll.SNL.Clients.Office.Excel.Functions.SPG(BE28, "SP_COUNTRY_NAME")</f>
        <v>USA</v>
      </c>
      <c r="BI28" t="s">
        <v>436</v>
      </c>
      <c r="BJ28">
        <v>111219</v>
      </c>
      <c r="BK28" t="s">
        <v>346</v>
      </c>
      <c r="BL28" s="11">
        <v>0.34</v>
      </c>
      <c r="BM28" s="9" t="str">
        <f>_xll.SNL.Clients.Office.Excel.Functions.SPG(BJ28, "SP_COUNTRY_NAME")</f>
        <v>USA</v>
      </c>
      <c r="BN28" t="s">
        <v>740</v>
      </c>
      <c r="BO28">
        <v>4271664</v>
      </c>
      <c r="BP28" t="s">
        <v>346</v>
      </c>
      <c r="BQ28" s="11">
        <v>0.1</v>
      </c>
      <c r="BR28" s="9" t="str">
        <f>_xll.SNL.Clients.Office.Excel.Functions.SPG(BO28, "SP_COUNTRY_NAME")</f>
        <v>United Kingdom</v>
      </c>
      <c r="BS28" t="s">
        <v>638</v>
      </c>
      <c r="BT28">
        <v>4137668</v>
      </c>
      <c r="BU28" t="s">
        <v>346</v>
      </c>
      <c r="BV28" s="11">
        <v>0.39</v>
      </c>
      <c r="BW28" s="9" t="str">
        <f>_xll.SNL.Clients.Office.Excel.Functions.SPG(BT28, "SP_COUNTRY_NAME")</f>
        <v>China</v>
      </c>
      <c r="BX28" t="s">
        <v>717</v>
      </c>
      <c r="BY28">
        <v>4345275</v>
      </c>
      <c r="BZ28" t="s">
        <v>346</v>
      </c>
      <c r="CA28" s="11">
        <v>0.5</v>
      </c>
      <c r="CB28" s="9" t="str">
        <f>_xll.SNL.Clients.Office.Excel.Functions.SPG(BY28, "SP_COUNTRY_NAME")</f>
        <v>China</v>
      </c>
      <c r="CC28" t="s">
        <v>520</v>
      </c>
      <c r="CD28">
        <v>103661</v>
      </c>
      <c r="CE28" t="s">
        <v>346</v>
      </c>
      <c r="CF28" s="11">
        <v>0.44</v>
      </c>
      <c r="CG28" s="9" t="str">
        <f>_xll.SNL.Clients.Office.Excel.Functions.SPG(CD28, "SP_COUNTRY_NAME")</f>
        <v>USA</v>
      </c>
      <c r="CH28" t="s">
        <v>380</v>
      </c>
      <c r="CI28">
        <v>4674815</v>
      </c>
      <c r="CJ28" t="s">
        <v>346</v>
      </c>
      <c r="CK28" s="11">
        <v>0.32</v>
      </c>
      <c r="CL28" s="9" t="str">
        <f>_xll.SNL.Clients.Office.Excel.Functions.SPG(CI28, "SP_COUNTRY_NAME")</f>
        <v>Switzerland</v>
      </c>
      <c r="CM28" t="s">
        <v>430</v>
      </c>
      <c r="CN28">
        <v>4055767</v>
      </c>
      <c r="CO28" t="s">
        <v>346</v>
      </c>
      <c r="CP28" s="11">
        <v>0.54</v>
      </c>
      <c r="CQ28" s="9" t="str">
        <f>_xll.SNL.Clients.Office.Excel.Functions.SPG(CN28, "SP_COUNTRY_NAME")</f>
        <v>USA</v>
      </c>
      <c r="CV28" s="9" t="str">
        <f>_xll.SNL.Clients.Office.Excel.Functions.SPG(CS28, "SP_COUNTRY_NAME")</f>
        <v>#INVALID COMPANY ID</v>
      </c>
      <c r="DA28" s="9" t="str">
        <f>_xll.SNL.Clients.Office.Excel.Functions.SPG(CX28, "SP_COUNTRY_NAME")</f>
        <v>#INVALID COMPANY ID</v>
      </c>
      <c r="DB28" t="s">
        <v>520</v>
      </c>
      <c r="DC28">
        <v>103661</v>
      </c>
      <c r="DD28" t="s">
        <v>346</v>
      </c>
      <c r="DE28" s="11">
        <v>0.54</v>
      </c>
      <c r="DF28" s="9" t="str">
        <f>_xll.SNL.Clients.Office.Excel.Functions.SPG(DC28, "SP_COUNTRY_NAME")</f>
        <v>USA</v>
      </c>
      <c r="DK28" s="9" t="str">
        <f>_xll.SNL.Clients.Office.Excel.Functions.SPG(DH28, "SP_COUNTRY_NAME")</f>
        <v>#INVALID COMPANY ID</v>
      </c>
      <c r="DL28" t="s">
        <v>520</v>
      </c>
      <c r="DM28">
        <v>103661</v>
      </c>
      <c r="DN28" t="s">
        <v>346</v>
      </c>
      <c r="DO28" s="11">
        <v>0.54</v>
      </c>
      <c r="DP28" s="9" t="str">
        <f>_xll.SNL.Clients.Office.Excel.Functions.SPG(DM28, "SP_COUNTRY_NAME")</f>
        <v>USA</v>
      </c>
      <c r="DU28" s="9" t="str">
        <f>_xll.SNL.Clients.Office.Excel.Functions.SPG(DR28, "SP_COUNTRY_NAME")</f>
        <v>#INVALID COMPANY ID</v>
      </c>
      <c r="DV28" t="s">
        <v>481</v>
      </c>
      <c r="DW28">
        <v>4376121</v>
      </c>
      <c r="DX28" t="s">
        <v>346</v>
      </c>
      <c r="DY28" s="11">
        <v>0.01</v>
      </c>
      <c r="DZ28" s="9" t="str">
        <f>_xll.SNL.Clients.Office.Excel.Functions.SPG(DW28, "SP_COUNTRY_NAME")</f>
        <v>United Kingdom</v>
      </c>
      <c r="EA28" t="s">
        <v>520</v>
      </c>
      <c r="EB28">
        <v>103661</v>
      </c>
      <c r="EC28" t="s">
        <v>346</v>
      </c>
      <c r="ED28" s="11">
        <v>0.44</v>
      </c>
      <c r="EE28" s="9" t="str">
        <f>_xll.SNL.Clients.Office.Excel.Functions.SPG(EB28, "SP_COUNTRY_NAME")</f>
        <v>USA</v>
      </c>
      <c r="EF28" t="s">
        <v>520</v>
      </c>
      <c r="EG28">
        <v>103661</v>
      </c>
      <c r="EH28" t="s">
        <v>346</v>
      </c>
      <c r="EI28" s="11">
        <v>0.54</v>
      </c>
      <c r="EJ28" s="9" t="str">
        <f>_xll.SNL.Clients.Office.Excel.Functions.SPG(EG28, "SP_COUNTRY_NAME")</f>
        <v>USA</v>
      </c>
      <c r="EO28" s="9" t="str">
        <f>_xll.SNL.Clients.Office.Excel.Functions.SPG(EL28, "SP_COUNTRY_NAME")</f>
        <v>#INVALID COMPANY ID</v>
      </c>
      <c r="EP28" t="s">
        <v>637</v>
      </c>
      <c r="EQ28">
        <v>4138661</v>
      </c>
      <c r="ER28" t="s">
        <v>346</v>
      </c>
      <c r="ES28" s="11">
        <v>0.08</v>
      </c>
      <c r="ET28" s="9" t="str">
        <f>_xll.SNL.Clients.Office.Excel.Functions.SPG(EQ28, "SP_COUNTRY_NAME")</f>
        <v>China</v>
      </c>
      <c r="EY28" s="9" t="str">
        <f>_xll.SNL.Clients.Office.Excel.Functions.SPG(EV28, "SP_COUNTRY_NAME")</f>
        <v>#INVALID COMPANY ID</v>
      </c>
      <c r="EZ28" t="s">
        <v>1928</v>
      </c>
      <c r="FA28" t="s">
        <v>300</v>
      </c>
      <c r="FB28" t="s">
        <v>361</v>
      </c>
      <c r="FC28" s="11">
        <v>0.01</v>
      </c>
      <c r="FD28" s="9" t="str">
        <f>_xll.SNL.Clients.Office.Excel.Functions.SPG(FA28, "SP_COUNTRY_NAME")</f>
        <v>China</v>
      </c>
      <c r="FE28" t="s">
        <v>428</v>
      </c>
      <c r="FF28">
        <v>4116134</v>
      </c>
      <c r="FG28" t="s">
        <v>346</v>
      </c>
      <c r="FH28" s="11">
        <v>0.03</v>
      </c>
      <c r="FI28" s="9" t="str">
        <f>_xll.SNL.Clients.Office.Excel.Functions.SPG(FF28, "SP_COUNTRY_NAME")</f>
        <v>Japan</v>
      </c>
      <c r="FJ28" t="s">
        <v>471</v>
      </c>
      <c r="FK28">
        <v>4102247</v>
      </c>
      <c r="FL28" t="s">
        <v>346</v>
      </c>
      <c r="FM28" s="11">
        <v>0.16</v>
      </c>
      <c r="FN28" s="9" t="str">
        <f>_xll.SNL.Clients.Office.Excel.Functions.SPG(FK28, "SP_COUNTRY_NAME")</f>
        <v>USA</v>
      </c>
      <c r="FS28" s="9" t="str">
        <f>_xll.SNL.Clients.Office.Excel.Functions.SPG(FP28, "SP_COUNTRY_NAME")</f>
        <v>#INVALID COMPANY ID</v>
      </c>
      <c r="FT28" t="s">
        <v>355</v>
      </c>
      <c r="FU28">
        <v>111074</v>
      </c>
      <c r="FV28" t="s">
        <v>346</v>
      </c>
      <c r="FW28" s="11">
        <v>0.03</v>
      </c>
      <c r="FX28" s="9" t="str">
        <f>_xll.SNL.Clients.Office.Excel.Functions.SPG(FU28, "SP_COUNTRY_NAME")</f>
        <v>USA</v>
      </c>
      <c r="FY28" t="s">
        <v>520</v>
      </c>
      <c r="FZ28">
        <v>103661</v>
      </c>
      <c r="GA28" t="s">
        <v>346</v>
      </c>
      <c r="GB28" s="11">
        <v>0.54</v>
      </c>
      <c r="GC28" s="9" t="str">
        <f>_xll.SNL.Clients.Office.Excel.Functions.SPG(FZ28, "SP_COUNTRY_NAME")</f>
        <v>USA</v>
      </c>
      <c r="GD28" t="s">
        <v>1928</v>
      </c>
      <c r="GE28" t="s">
        <v>300</v>
      </c>
      <c r="GF28" t="s">
        <v>361</v>
      </c>
      <c r="GG28" s="11">
        <v>0.01</v>
      </c>
      <c r="GH28" s="9" t="str">
        <f>_xll.SNL.Clients.Office.Excel.Functions.SPG(GE28, "SP_COUNTRY_NAME")</f>
        <v>China</v>
      </c>
      <c r="GI28" t="s">
        <v>428</v>
      </c>
      <c r="GJ28">
        <v>4116134</v>
      </c>
      <c r="GK28" t="s">
        <v>346</v>
      </c>
      <c r="GL28" s="11">
        <v>0.03</v>
      </c>
      <c r="GM28" s="9" t="str">
        <f>_xll.SNL.Clients.Office.Excel.Functions.SPG(GJ28, "SP_COUNTRY_NAME")</f>
        <v>Japan</v>
      </c>
      <c r="GN28" t="s">
        <v>471</v>
      </c>
      <c r="GO28">
        <v>4102247</v>
      </c>
      <c r="GP28" t="s">
        <v>346</v>
      </c>
      <c r="GQ28" s="11">
        <v>0.16</v>
      </c>
      <c r="GR28" s="9" t="str">
        <f>_xll.SNL.Clients.Office.Excel.Functions.SPG(GO28, "SP_COUNTRY_NAME")</f>
        <v>USA</v>
      </c>
      <c r="GS28" t="s">
        <v>740</v>
      </c>
      <c r="GT28">
        <v>4271664</v>
      </c>
      <c r="GU28" t="s">
        <v>346</v>
      </c>
      <c r="GV28" s="11">
        <v>0.1</v>
      </c>
      <c r="GW28" s="9" t="str">
        <f>_xll.SNL.Clients.Office.Excel.Functions.SPG(GT28, "SP_COUNTRY_NAME")</f>
        <v>United Kingdom</v>
      </c>
      <c r="GX28" t="s">
        <v>520</v>
      </c>
      <c r="GY28">
        <v>103661</v>
      </c>
      <c r="GZ28" t="s">
        <v>346</v>
      </c>
      <c r="HA28" s="11">
        <v>0.44</v>
      </c>
      <c r="HB28" s="9" t="str">
        <f>_xll.SNL.Clients.Office.Excel.Functions.SPG(GY28, "SP_COUNTRY_NAME")</f>
        <v>USA</v>
      </c>
      <c r="HG28" s="9" t="str">
        <f>_xll.SNL.Clients.Office.Excel.Functions.SPG(HD28, "SP_COUNTRY_NAME")</f>
        <v>#INVALID COMPANY ID</v>
      </c>
    </row>
    <row r="29" spans="1:215" x14ac:dyDescent="0.35">
      <c r="E29" s="9" t="str">
        <f>_xll.SNL.Clients.Office.Excel.Functions.SPG(B29, "SP_COUNTRY_NAME")</f>
        <v>#INVALID COMPANY ID</v>
      </c>
      <c r="F29" t="s">
        <v>388</v>
      </c>
      <c r="G29">
        <v>4057506</v>
      </c>
      <c r="H29" t="s">
        <v>346</v>
      </c>
      <c r="I29" s="11">
        <v>0.26</v>
      </c>
      <c r="J29" s="9" t="str">
        <f>_xll.SNL.Clients.Office.Excel.Functions.SPG(G29, "SP_COUNTRY_NAME")</f>
        <v>USA</v>
      </c>
      <c r="K29" t="s">
        <v>389</v>
      </c>
      <c r="L29">
        <v>109888</v>
      </c>
      <c r="M29" t="s">
        <v>346</v>
      </c>
      <c r="N29" s="11">
        <v>0.05</v>
      </c>
      <c r="O29" s="9" t="str">
        <f>_xll.SNL.Clients.Office.Excel.Functions.SPG(L29, "SP_COUNTRY_NAME")</f>
        <v>USA</v>
      </c>
      <c r="T29" s="9" t="str">
        <f>_xll.SNL.Clients.Office.Excel.Functions.SPG(Q29, "SP_COUNTRY_NAME")</f>
        <v>#INVALID COMPANY ID</v>
      </c>
      <c r="U29" t="s">
        <v>718</v>
      </c>
      <c r="V29">
        <v>10875409</v>
      </c>
      <c r="W29" t="s">
        <v>346</v>
      </c>
      <c r="X29" s="11">
        <v>0.48</v>
      </c>
      <c r="Y29" s="9" t="str">
        <f>_xll.SNL.Clients.Office.Excel.Functions.SPG(V29, "SP_COUNTRY_NAME")</f>
        <v>China</v>
      </c>
      <c r="Z29" t="s">
        <v>389</v>
      </c>
      <c r="AA29">
        <v>109888</v>
      </c>
      <c r="AB29" t="s">
        <v>346</v>
      </c>
      <c r="AC29" s="11">
        <v>0.05</v>
      </c>
      <c r="AD29" s="9" t="str">
        <f>_xll.SNL.Clients.Office.Excel.Functions.SPG(AA29, "SP_COUNTRY_NAME")</f>
        <v>USA</v>
      </c>
      <c r="AE29" t="s">
        <v>547</v>
      </c>
      <c r="AF29">
        <v>4005523</v>
      </c>
      <c r="AG29" t="s">
        <v>346</v>
      </c>
      <c r="AH29" s="11">
        <v>0.16</v>
      </c>
      <c r="AI29" s="9" t="str">
        <f>_xll.SNL.Clients.Office.Excel.Functions.SPG(AF29, "SP_COUNTRY_NAME")</f>
        <v>Canada</v>
      </c>
      <c r="AN29" s="9" t="str">
        <f>_xll.SNL.Clients.Office.Excel.Functions.SPG(AK29, "SP_COUNTRY_NAME")</f>
        <v>#INVALID COMPANY ID</v>
      </c>
      <c r="AO29" t="s">
        <v>411</v>
      </c>
      <c r="AP29">
        <v>4272373</v>
      </c>
      <c r="AQ29" t="s">
        <v>346</v>
      </c>
      <c r="AR29" s="11">
        <v>0.28999999999999998</v>
      </c>
      <c r="AS29" s="9" t="str">
        <f>_xll.SNL.Clients.Office.Excel.Functions.SPG(AP29, "SP_COUNTRY_NAME")</f>
        <v>United Kingdom</v>
      </c>
      <c r="AX29" s="9" t="str">
        <f>_xll.SNL.Clients.Office.Excel.Functions.SPG(AU29, "SP_COUNTRY_NAME")</f>
        <v>#INVALID COMPANY ID</v>
      </c>
      <c r="AY29" t="s">
        <v>677</v>
      </c>
      <c r="AZ29">
        <v>4345260</v>
      </c>
      <c r="BA29" t="s">
        <v>346</v>
      </c>
      <c r="BB29" s="11">
        <v>0.17</v>
      </c>
      <c r="BC29" s="9" t="str">
        <f>_xll.SNL.Clients.Office.Excel.Functions.SPG(AZ29, "SP_COUNTRY_NAME")</f>
        <v>China</v>
      </c>
      <c r="BD29" t="s">
        <v>426</v>
      </c>
      <c r="BE29">
        <v>100201</v>
      </c>
      <c r="BF29" t="s">
        <v>366</v>
      </c>
      <c r="BG29" s="11">
        <v>0.51</v>
      </c>
      <c r="BH29" s="9" t="str">
        <f>_xll.SNL.Clients.Office.Excel.Functions.SPG(BE29, "SP_COUNTRY_NAME")</f>
        <v>USA</v>
      </c>
      <c r="BI29" t="s">
        <v>374</v>
      </c>
      <c r="BJ29">
        <v>4138467</v>
      </c>
      <c r="BK29" t="s">
        <v>362</v>
      </c>
      <c r="BL29" s="11">
        <v>0.22</v>
      </c>
      <c r="BM29" s="9" t="str">
        <f>_xll.SNL.Clients.Office.Excel.Functions.SPG(BJ29, "SP_COUNTRY_NAME")</f>
        <v>Norway</v>
      </c>
      <c r="BN29" t="s">
        <v>554</v>
      </c>
      <c r="BO29">
        <v>4408592</v>
      </c>
      <c r="BP29" t="s">
        <v>346</v>
      </c>
      <c r="BQ29" s="11">
        <v>0.09</v>
      </c>
      <c r="BR29" s="9" t="str">
        <f>_xll.SNL.Clients.Office.Excel.Functions.SPG(BO29, "SP_COUNTRY_NAME")</f>
        <v>Hong Kong</v>
      </c>
      <c r="BS29" t="s">
        <v>948</v>
      </c>
      <c r="BT29" t="s">
        <v>300</v>
      </c>
      <c r="BU29" t="s">
        <v>361</v>
      </c>
      <c r="BV29" s="11">
        <v>0.39</v>
      </c>
      <c r="BW29" s="9" t="str">
        <f>_xll.SNL.Clients.Office.Excel.Functions.SPG(BT29, "SP_COUNTRY_NAME")</f>
        <v>China</v>
      </c>
      <c r="BX29" t="s">
        <v>718</v>
      </c>
      <c r="BY29">
        <v>10875409</v>
      </c>
      <c r="BZ29" t="s">
        <v>346</v>
      </c>
      <c r="CA29" s="11">
        <v>0.48</v>
      </c>
      <c r="CB29" s="9" t="str">
        <f>_xll.SNL.Clients.Office.Excel.Functions.SPG(BY29, "SP_COUNTRY_NAME")</f>
        <v>China</v>
      </c>
      <c r="CC29" t="s">
        <v>380</v>
      </c>
      <c r="CD29">
        <v>4674815</v>
      </c>
      <c r="CE29" t="s">
        <v>346</v>
      </c>
      <c r="CF29" s="11">
        <v>0.38</v>
      </c>
      <c r="CG29" s="9" t="str">
        <f>_xll.SNL.Clients.Office.Excel.Functions.SPG(CD29, "SP_COUNTRY_NAME")</f>
        <v>Switzerland</v>
      </c>
      <c r="CH29" t="s">
        <v>411</v>
      </c>
      <c r="CI29">
        <v>4272373</v>
      </c>
      <c r="CJ29" t="s">
        <v>346</v>
      </c>
      <c r="CK29" s="11">
        <v>0.28999999999999998</v>
      </c>
      <c r="CL29" s="9" t="str">
        <f>_xll.SNL.Clients.Office.Excel.Functions.SPG(CI29, "SP_COUNTRY_NAME")</f>
        <v>United Kingdom</v>
      </c>
      <c r="CM29" t="s">
        <v>396</v>
      </c>
      <c r="CN29">
        <v>4119759</v>
      </c>
      <c r="CO29" t="s">
        <v>346</v>
      </c>
      <c r="CP29" s="11">
        <v>0.51</v>
      </c>
      <c r="CQ29" s="9" t="str">
        <f>_xll.SNL.Clients.Office.Excel.Functions.SPG(CN29, "SP_COUNTRY_NAME")</f>
        <v>USA</v>
      </c>
      <c r="CV29" s="9" t="str">
        <f>_xll.SNL.Clients.Office.Excel.Functions.SPG(CS29, "SP_COUNTRY_NAME")</f>
        <v>#INVALID COMPANY ID</v>
      </c>
      <c r="DA29" s="9" t="str">
        <f>_xll.SNL.Clients.Office.Excel.Functions.SPG(CX29, "SP_COUNTRY_NAME")</f>
        <v>#INVALID COMPANY ID</v>
      </c>
      <c r="DB29" t="s">
        <v>426</v>
      </c>
      <c r="DC29">
        <v>100201</v>
      </c>
      <c r="DD29" t="s">
        <v>366</v>
      </c>
      <c r="DE29" s="11">
        <v>0.51</v>
      </c>
      <c r="DF29" s="9" t="str">
        <f>_xll.SNL.Clients.Office.Excel.Functions.SPG(DC29, "SP_COUNTRY_NAME")</f>
        <v>USA</v>
      </c>
      <c r="DK29" s="9" t="str">
        <f>_xll.SNL.Clients.Office.Excel.Functions.SPG(DH29, "SP_COUNTRY_NAME")</f>
        <v>#INVALID COMPANY ID</v>
      </c>
      <c r="DL29" t="s">
        <v>426</v>
      </c>
      <c r="DM29">
        <v>100201</v>
      </c>
      <c r="DN29" t="s">
        <v>366</v>
      </c>
      <c r="DO29" s="11">
        <v>0.51</v>
      </c>
      <c r="DP29" s="9" t="str">
        <f>_xll.SNL.Clients.Office.Excel.Functions.SPG(DM29, "SP_COUNTRY_NAME")</f>
        <v>USA</v>
      </c>
      <c r="DU29" s="9" t="str">
        <f>_xll.SNL.Clients.Office.Excel.Functions.SPG(DR29, "SP_COUNTRY_NAME")</f>
        <v>#INVALID COMPANY ID</v>
      </c>
      <c r="DV29" t="s">
        <v>430</v>
      </c>
      <c r="DW29">
        <v>4055767</v>
      </c>
      <c r="DX29" t="s">
        <v>346</v>
      </c>
      <c r="DY29" s="11">
        <v>0.01</v>
      </c>
      <c r="DZ29" s="9" t="str">
        <f>_xll.SNL.Clients.Office.Excel.Functions.SPG(DW29, "SP_COUNTRY_NAME")</f>
        <v>USA</v>
      </c>
      <c r="EA29" t="s">
        <v>380</v>
      </c>
      <c r="EB29">
        <v>4674815</v>
      </c>
      <c r="EC29" t="s">
        <v>346</v>
      </c>
      <c r="ED29" s="11">
        <v>0.38</v>
      </c>
      <c r="EE29" s="9" t="str">
        <f>_xll.SNL.Clients.Office.Excel.Functions.SPG(EB29, "SP_COUNTRY_NAME")</f>
        <v>Switzerland</v>
      </c>
      <c r="EF29" t="s">
        <v>426</v>
      </c>
      <c r="EG29">
        <v>100201</v>
      </c>
      <c r="EH29" t="s">
        <v>366</v>
      </c>
      <c r="EI29" s="11">
        <v>0.51</v>
      </c>
      <c r="EJ29" s="9" t="str">
        <f>_xll.SNL.Clients.Office.Excel.Functions.SPG(EG29, "SP_COUNTRY_NAME")</f>
        <v>USA</v>
      </c>
      <c r="EO29" s="9" t="str">
        <f>_xll.SNL.Clients.Office.Excel.Functions.SPG(EL29, "SP_COUNTRY_NAME")</f>
        <v>#INVALID COMPANY ID</v>
      </c>
      <c r="EP29" t="s">
        <v>638</v>
      </c>
      <c r="EQ29">
        <v>4137668</v>
      </c>
      <c r="ER29" t="s">
        <v>346</v>
      </c>
      <c r="ES29" s="11">
        <v>0.05</v>
      </c>
      <c r="ET29" s="9" t="str">
        <f>_xll.SNL.Clients.Office.Excel.Functions.SPG(EQ29, "SP_COUNTRY_NAME")</f>
        <v>China</v>
      </c>
      <c r="EY29" s="9" t="str">
        <f>_xll.SNL.Clients.Office.Excel.Functions.SPG(EV29, "SP_COUNTRY_NAME")</f>
        <v>#INVALID COMPANY ID</v>
      </c>
      <c r="EZ29" t="s">
        <v>882</v>
      </c>
      <c r="FA29">
        <v>110793</v>
      </c>
      <c r="FB29" t="s">
        <v>346</v>
      </c>
      <c r="FC29" s="11">
        <v>0.01</v>
      </c>
      <c r="FD29" s="9" t="str">
        <f>_xll.SNL.Clients.Office.Excel.Functions.SPG(FA29, "SP_COUNTRY_NAME")</f>
        <v>USA</v>
      </c>
      <c r="FE29" t="s">
        <v>447</v>
      </c>
      <c r="FF29">
        <v>4138513</v>
      </c>
      <c r="FG29" t="s">
        <v>346</v>
      </c>
      <c r="FH29" s="11">
        <v>0.03</v>
      </c>
      <c r="FI29" s="9" t="str">
        <f>_xll.SNL.Clients.Office.Excel.Functions.SPG(FF29, "SP_COUNTRY_NAME")</f>
        <v>Japan</v>
      </c>
      <c r="FJ29" t="s">
        <v>431</v>
      </c>
      <c r="FK29">
        <v>4085931</v>
      </c>
      <c r="FL29" t="s">
        <v>346</v>
      </c>
      <c r="FM29" s="11">
        <v>0.15</v>
      </c>
      <c r="FN29" s="9" t="str">
        <f>_xll.SNL.Clients.Office.Excel.Functions.SPG(FK29, "SP_COUNTRY_NAME")</f>
        <v>Japan</v>
      </c>
      <c r="FS29" s="9" t="str">
        <f>_xll.SNL.Clients.Office.Excel.Functions.SPG(FP29, "SP_COUNTRY_NAME")</f>
        <v>#INVALID COMPANY ID</v>
      </c>
      <c r="FT29" t="s">
        <v>389</v>
      </c>
      <c r="FU29">
        <v>109888</v>
      </c>
      <c r="FV29" t="s">
        <v>346</v>
      </c>
      <c r="FW29" s="11">
        <v>0.02</v>
      </c>
      <c r="FX29" s="9" t="str">
        <f>_xll.SNL.Clients.Office.Excel.Functions.SPG(FU29, "SP_COUNTRY_NAME")</f>
        <v>USA</v>
      </c>
      <c r="FY29" t="s">
        <v>426</v>
      </c>
      <c r="FZ29">
        <v>100201</v>
      </c>
      <c r="GA29" t="s">
        <v>366</v>
      </c>
      <c r="GB29" s="11">
        <v>0.51</v>
      </c>
      <c r="GC29" s="9" t="str">
        <f>_xll.SNL.Clients.Office.Excel.Functions.SPG(FZ29, "SP_COUNTRY_NAME")</f>
        <v>USA</v>
      </c>
      <c r="GD29" t="s">
        <v>882</v>
      </c>
      <c r="GE29">
        <v>110793</v>
      </c>
      <c r="GF29" t="s">
        <v>346</v>
      </c>
      <c r="GG29" s="11">
        <v>0.01</v>
      </c>
      <c r="GH29" s="9" t="str">
        <f>_xll.SNL.Clients.Office.Excel.Functions.SPG(GE29, "SP_COUNTRY_NAME")</f>
        <v>USA</v>
      </c>
      <c r="GI29" t="s">
        <v>447</v>
      </c>
      <c r="GJ29">
        <v>4138513</v>
      </c>
      <c r="GK29" t="s">
        <v>346</v>
      </c>
      <c r="GL29" s="11">
        <v>0.03</v>
      </c>
      <c r="GM29" s="9" t="str">
        <f>_xll.SNL.Clients.Office.Excel.Functions.SPG(GJ29, "SP_COUNTRY_NAME")</f>
        <v>Japan</v>
      </c>
      <c r="GN29" t="s">
        <v>431</v>
      </c>
      <c r="GO29">
        <v>4085931</v>
      </c>
      <c r="GP29" t="s">
        <v>346</v>
      </c>
      <c r="GQ29" s="11">
        <v>0.15</v>
      </c>
      <c r="GR29" s="9" t="str">
        <f>_xll.SNL.Clients.Office.Excel.Functions.SPG(GO29, "SP_COUNTRY_NAME")</f>
        <v>Japan</v>
      </c>
      <c r="GS29" t="s">
        <v>554</v>
      </c>
      <c r="GT29">
        <v>4408592</v>
      </c>
      <c r="GU29" t="s">
        <v>346</v>
      </c>
      <c r="GV29" s="11">
        <v>0.09</v>
      </c>
      <c r="GW29" s="9" t="str">
        <f>_xll.SNL.Clients.Office.Excel.Functions.SPG(GT29, "SP_COUNTRY_NAME")</f>
        <v>Hong Kong</v>
      </c>
      <c r="GX29" t="s">
        <v>380</v>
      </c>
      <c r="GY29">
        <v>4674815</v>
      </c>
      <c r="GZ29" t="s">
        <v>346</v>
      </c>
      <c r="HA29" s="11">
        <v>0.38</v>
      </c>
      <c r="HB29" s="9" t="str">
        <f>_xll.SNL.Clients.Office.Excel.Functions.SPG(GY29, "SP_COUNTRY_NAME")</f>
        <v>Switzerland</v>
      </c>
      <c r="HG29" s="9" t="str">
        <f>_xll.SNL.Clients.Office.Excel.Functions.SPG(HD29, "SP_COUNTRY_NAME")</f>
        <v>#INVALID COMPANY ID</v>
      </c>
    </row>
    <row r="30" spans="1:215" x14ac:dyDescent="0.35">
      <c r="E30" s="9" t="str">
        <f>_xll.SNL.Clients.Office.Excel.Functions.SPG(B30, "SP_COUNTRY_NAME")</f>
        <v>#INVALID COMPANY ID</v>
      </c>
      <c r="F30" t="s">
        <v>436</v>
      </c>
      <c r="G30">
        <v>111219</v>
      </c>
      <c r="H30" t="s">
        <v>346</v>
      </c>
      <c r="I30" s="11">
        <v>0.25</v>
      </c>
      <c r="J30" s="9" t="str">
        <f>_xll.SNL.Clients.Office.Excel.Functions.SPG(G30, "SP_COUNTRY_NAME")</f>
        <v>USA</v>
      </c>
      <c r="K30" t="s">
        <v>471</v>
      </c>
      <c r="L30">
        <v>4102247</v>
      </c>
      <c r="M30" t="s">
        <v>346</v>
      </c>
      <c r="N30" s="11">
        <v>0.05</v>
      </c>
      <c r="O30" s="9" t="str">
        <f>_xll.SNL.Clients.Office.Excel.Functions.SPG(L30, "SP_COUNTRY_NAME")</f>
        <v>USA</v>
      </c>
      <c r="T30" s="9" t="str">
        <f>_xll.SNL.Clients.Office.Excel.Functions.SPG(Q30, "SP_COUNTRY_NAME")</f>
        <v>#INVALID COMPANY ID</v>
      </c>
      <c r="U30" t="s">
        <v>639</v>
      </c>
      <c r="V30">
        <v>4139311</v>
      </c>
      <c r="W30" t="s">
        <v>346</v>
      </c>
      <c r="X30" s="11">
        <v>0.48</v>
      </c>
      <c r="Y30" s="9" t="str">
        <f>_xll.SNL.Clients.Office.Excel.Functions.SPG(V30, "SP_COUNTRY_NAME")</f>
        <v>China</v>
      </c>
      <c r="Z30" t="s">
        <v>471</v>
      </c>
      <c r="AA30">
        <v>4102247</v>
      </c>
      <c r="AB30" t="s">
        <v>346</v>
      </c>
      <c r="AC30" s="11">
        <v>0.05</v>
      </c>
      <c r="AD30" s="9" t="str">
        <f>_xll.SNL.Clients.Office.Excel.Functions.SPG(AA30, "SP_COUNTRY_NAME")</f>
        <v>USA</v>
      </c>
      <c r="AE30" t="s">
        <v>393</v>
      </c>
      <c r="AF30">
        <v>4723508</v>
      </c>
      <c r="AG30" t="s">
        <v>346</v>
      </c>
      <c r="AH30" s="11">
        <v>0.15</v>
      </c>
      <c r="AI30" s="9" t="str">
        <f>_xll.SNL.Clients.Office.Excel.Functions.SPG(AF30, "SP_COUNTRY_NAME")</f>
        <v>United Kingdom</v>
      </c>
      <c r="AN30" s="9" t="str">
        <f>_xll.SNL.Clients.Office.Excel.Functions.SPG(AK30, "SP_COUNTRY_NAME")</f>
        <v>#INVALID COMPANY ID</v>
      </c>
      <c r="AO30" t="s">
        <v>355</v>
      </c>
      <c r="AP30">
        <v>111074</v>
      </c>
      <c r="AQ30" t="s">
        <v>346</v>
      </c>
      <c r="AR30" s="11">
        <v>0.28000000000000003</v>
      </c>
      <c r="AS30" s="9" t="str">
        <f>_xll.SNL.Clients.Office.Excel.Functions.SPG(AP30, "SP_COUNTRY_NAME")</f>
        <v>USA</v>
      </c>
      <c r="AX30" s="9" t="str">
        <f>_xll.SNL.Clients.Office.Excel.Functions.SPG(AU30, "SP_COUNTRY_NAME")</f>
        <v>#INVALID COMPANY ID</v>
      </c>
      <c r="AY30" t="s">
        <v>728</v>
      </c>
      <c r="AZ30">
        <v>4316929</v>
      </c>
      <c r="BA30" t="s">
        <v>346</v>
      </c>
      <c r="BB30" s="11">
        <v>0.17</v>
      </c>
      <c r="BC30" s="9" t="str">
        <f>_xll.SNL.Clients.Office.Excel.Functions.SPG(AZ30, "SP_COUNTRY_NAME")</f>
        <v>China</v>
      </c>
      <c r="BD30" t="s">
        <v>562</v>
      </c>
      <c r="BE30">
        <v>4256114</v>
      </c>
      <c r="BF30" t="s">
        <v>346</v>
      </c>
      <c r="BG30" s="11">
        <v>0.51</v>
      </c>
      <c r="BH30" s="9" t="str">
        <f>_xll.SNL.Clients.Office.Excel.Functions.SPG(BE30, "SP_COUNTRY_NAME")</f>
        <v>South Korea</v>
      </c>
      <c r="BI30" t="s">
        <v>955</v>
      </c>
      <c r="BJ30">
        <v>4138889</v>
      </c>
      <c r="BK30" t="s">
        <v>346</v>
      </c>
      <c r="BL30" s="11">
        <v>0.22</v>
      </c>
      <c r="BM30" s="9" t="str">
        <f>_xll.SNL.Clients.Office.Excel.Functions.SPG(BJ30, "SP_COUNTRY_NAME")</f>
        <v>United Kingdom</v>
      </c>
      <c r="BN30" t="s">
        <v>546</v>
      </c>
      <c r="BO30">
        <v>4158830</v>
      </c>
      <c r="BP30" t="s">
        <v>346</v>
      </c>
      <c r="BQ30" s="11">
        <v>0.09</v>
      </c>
      <c r="BR30" s="9" t="str">
        <f>_xll.SNL.Clients.Office.Excel.Functions.SPG(BO30, "SP_COUNTRY_NAME")</f>
        <v>USA</v>
      </c>
      <c r="BS30" t="s">
        <v>379</v>
      </c>
      <c r="BT30">
        <v>137764443</v>
      </c>
      <c r="BU30" t="s">
        <v>346</v>
      </c>
      <c r="BV30" s="11">
        <v>0.37</v>
      </c>
      <c r="BW30" s="9" t="str">
        <f>_xll.SNL.Clients.Office.Excel.Functions.SPG(BT30, "SP_COUNTRY_NAME")</f>
        <v>USA</v>
      </c>
      <c r="BX30" t="s">
        <v>639</v>
      </c>
      <c r="BY30">
        <v>4139311</v>
      </c>
      <c r="BZ30" t="s">
        <v>346</v>
      </c>
      <c r="CA30" s="11">
        <v>0.48</v>
      </c>
      <c r="CB30" s="9" t="str">
        <f>_xll.SNL.Clients.Office.Excel.Functions.SPG(BY30, "SP_COUNTRY_NAME")</f>
        <v>China</v>
      </c>
      <c r="CC30" t="s">
        <v>357</v>
      </c>
      <c r="CD30">
        <v>4270330</v>
      </c>
      <c r="CE30" t="s">
        <v>346</v>
      </c>
      <c r="CF30" s="11">
        <v>0.35</v>
      </c>
      <c r="CG30" s="9" t="str">
        <f>_xll.SNL.Clients.Office.Excel.Functions.SPG(CD30, "SP_COUNTRY_NAME")</f>
        <v>USA</v>
      </c>
      <c r="CH30" t="s">
        <v>355</v>
      </c>
      <c r="CI30">
        <v>111074</v>
      </c>
      <c r="CJ30" t="s">
        <v>346</v>
      </c>
      <c r="CK30" s="11">
        <v>0.28000000000000003</v>
      </c>
      <c r="CL30" s="9" t="str">
        <f>_xll.SNL.Clients.Office.Excel.Functions.SPG(CI30, "SP_COUNTRY_NAME")</f>
        <v>USA</v>
      </c>
      <c r="CM30" t="s">
        <v>355</v>
      </c>
      <c r="CN30">
        <v>111074</v>
      </c>
      <c r="CO30" t="s">
        <v>346</v>
      </c>
      <c r="CP30" s="11">
        <v>0.5</v>
      </c>
      <c r="CQ30" s="9" t="str">
        <f>_xll.SNL.Clients.Office.Excel.Functions.SPG(CN30, "SP_COUNTRY_NAME")</f>
        <v>USA</v>
      </c>
      <c r="CV30" s="9" t="str">
        <f>_xll.SNL.Clients.Office.Excel.Functions.SPG(CS30, "SP_COUNTRY_NAME")</f>
        <v>#INVALID COMPANY ID</v>
      </c>
      <c r="DA30" s="9" t="str">
        <f>_xll.SNL.Clients.Office.Excel.Functions.SPG(CX30, "SP_COUNTRY_NAME")</f>
        <v>#INVALID COMPANY ID</v>
      </c>
      <c r="DB30" t="s">
        <v>562</v>
      </c>
      <c r="DC30">
        <v>4256114</v>
      </c>
      <c r="DD30" t="s">
        <v>346</v>
      </c>
      <c r="DE30" s="11">
        <v>0.51</v>
      </c>
      <c r="DF30" s="9" t="str">
        <f>_xll.SNL.Clients.Office.Excel.Functions.SPG(DC30, "SP_COUNTRY_NAME")</f>
        <v>South Korea</v>
      </c>
      <c r="DK30" s="9" t="str">
        <f>_xll.SNL.Clients.Office.Excel.Functions.SPG(DH30, "SP_COUNTRY_NAME")</f>
        <v>#INVALID COMPANY ID</v>
      </c>
      <c r="DL30" t="s">
        <v>562</v>
      </c>
      <c r="DM30">
        <v>4256114</v>
      </c>
      <c r="DN30" t="s">
        <v>346</v>
      </c>
      <c r="DO30" s="11">
        <v>0.51</v>
      </c>
      <c r="DP30" s="9" t="str">
        <f>_xll.SNL.Clients.Office.Excel.Functions.SPG(DM30, "SP_COUNTRY_NAME")</f>
        <v>South Korea</v>
      </c>
      <c r="DU30" s="9" t="str">
        <f>_xll.SNL.Clients.Office.Excel.Functions.SPG(DR30, "SP_COUNTRY_NAME")</f>
        <v>#INVALID COMPANY ID</v>
      </c>
      <c r="DV30" t="s">
        <v>389</v>
      </c>
      <c r="DW30">
        <v>109888</v>
      </c>
      <c r="DX30" t="s">
        <v>346</v>
      </c>
      <c r="DY30" s="11">
        <v>0.01</v>
      </c>
      <c r="DZ30" s="9" t="str">
        <f>_xll.SNL.Clients.Office.Excel.Functions.SPG(DW30, "SP_COUNTRY_NAME")</f>
        <v>USA</v>
      </c>
      <c r="EA30" t="s">
        <v>357</v>
      </c>
      <c r="EB30">
        <v>4270330</v>
      </c>
      <c r="EC30" t="s">
        <v>346</v>
      </c>
      <c r="ED30" s="11">
        <v>0.35</v>
      </c>
      <c r="EE30" s="9" t="str">
        <f>_xll.SNL.Clients.Office.Excel.Functions.SPG(EB30, "SP_COUNTRY_NAME")</f>
        <v>USA</v>
      </c>
      <c r="EF30" t="s">
        <v>562</v>
      </c>
      <c r="EG30">
        <v>4256114</v>
      </c>
      <c r="EH30" t="s">
        <v>346</v>
      </c>
      <c r="EI30" s="11">
        <v>0.51</v>
      </c>
      <c r="EJ30" s="9" t="str">
        <f>_xll.SNL.Clients.Office.Excel.Functions.SPG(EG30, "SP_COUNTRY_NAME")</f>
        <v>South Korea</v>
      </c>
      <c r="EO30" s="9" t="str">
        <f>_xll.SNL.Clients.Office.Excel.Functions.SPG(EL30, "SP_COUNTRY_NAME")</f>
        <v>#INVALID COMPANY ID</v>
      </c>
      <c r="EP30" t="s">
        <v>442</v>
      </c>
      <c r="EQ30">
        <v>4117611</v>
      </c>
      <c r="ER30" t="s">
        <v>346</v>
      </c>
      <c r="ES30" s="11">
        <v>0.04</v>
      </c>
      <c r="ET30" s="9" t="str">
        <f>_xll.SNL.Clients.Office.Excel.Functions.SPG(EQ30, "SP_COUNTRY_NAME")</f>
        <v>USA</v>
      </c>
      <c r="EY30" s="9" t="str">
        <f>_xll.SNL.Clients.Office.Excel.Functions.SPG(EV30, "SP_COUNTRY_NAME")</f>
        <v>#INVALID COMPANY ID</v>
      </c>
      <c r="EZ30" t="s">
        <v>1929</v>
      </c>
      <c r="FA30" t="s">
        <v>300</v>
      </c>
      <c r="FB30" t="s">
        <v>361</v>
      </c>
      <c r="FC30" s="11">
        <v>0.01</v>
      </c>
      <c r="FD30" s="9" t="str">
        <f>_xll.SNL.Clients.Office.Excel.Functions.SPG(FA30, "SP_COUNTRY_NAME")</f>
        <v>China</v>
      </c>
      <c r="FE30" t="s">
        <v>2152</v>
      </c>
      <c r="FF30" t="s">
        <v>300</v>
      </c>
      <c r="FG30" t="s">
        <v>361</v>
      </c>
      <c r="FH30" s="11">
        <v>0.03</v>
      </c>
      <c r="FI30" s="9" t="str">
        <f>_xll.SNL.Clients.Office.Excel.Functions.SPG(FF30, "SP_COUNTRY_NAME")</f>
        <v>China</v>
      </c>
      <c r="FJ30" t="s">
        <v>857</v>
      </c>
      <c r="FK30">
        <v>4262519</v>
      </c>
      <c r="FL30" t="s">
        <v>346</v>
      </c>
      <c r="FM30" s="11">
        <v>0.14000000000000001</v>
      </c>
      <c r="FN30" s="9" t="str">
        <f>_xll.SNL.Clients.Office.Excel.Functions.SPG(FK30, "SP_COUNTRY_NAME")</f>
        <v>USA</v>
      </c>
      <c r="FS30" s="9" t="str">
        <f>_xll.SNL.Clients.Office.Excel.Functions.SPG(FP30, "SP_COUNTRY_NAME")</f>
        <v>#INVALID COMPANY ID</v>
      </c>
      <c r="FT30" t="s">
        <v>390</v>
      </c>
      <c r="FU30">
        <v>4135241</v>
      </c>
      <c r="FV30" t="s">
        <v>346</v>
      </c>
      <c r="FW30" s="11">
        <v>0.02</v>
      </c>
      <c r="FX30" s="9" t="str">
        <f>_xll.SNL.Clients.Office.Excel.Functions.SPG(FU30, "SP_COUNTRY_NAME")</f>
        <v>Australia</v>
      </c>
      <c r="FY30" t="s">
        <v>562</v>
      </c>
      <c r="FZ30">
        <v>4256114</v>
      </c>
      <c r="GA30" t="s">
        <v>346</v>
      </c>
      <c r="GB30" s="11">
        <v>0.51</v>
      </c>
      <c r="GC30" s="9" t="str">
        <f>_xll.SNL.Clients.Office.Excel.Functions.SPG(FZ30, "SP_COUNTRY_NAME")</f>
        <v>South Korea</v>
      </c>
      <c r="GD30" t="s">
        <v>1929</v>
      </c>
      <c r="GE30" t="s">
        <v>300</v>
      </c>
      <c r="GF30" t="s">
        <v>361</v>
      </c>
      <c r="GG30" s="11">
        <v>0.01</v>
      </c>
      <c r="GH30" s="9" t="str">
        <f>_xll.SNL.Clients.Office.Excel.Functions.SPG(GE30, "SP_COUNTRY_NAME")</f>
        <v>China</v>
      </c>
      <c r="GI30" t="s">
        <v>2152</v>
      </c>
      <c r="GJ30" t="s">
        <v>300</v>
      </c>
      <c r="GK30" t="s">
        <v>361</v>
      </c>
      <c r="GL30" s="11">
        <v>0.03</v>
      </c>
      <c r="GM30" s="9" t="str">
        <f>_xll.SNL.Clients.Office.Excel.Functions.SPG(GJ30, "SP_COUNTRY_NAME")</f>
        <v>China</v>
      </c>
      <c r="GN30" t="s">
        <v>857</v>
      </c>
      <c r="GO30">
        <v>4262519</v>
      </c>
      <c r="GP30" t="s">
        <v>346</v>
      </c>
      <c r="GQ30" s="11">
        <v>0.14000000000000001</v>
      </c>
      <c r="GR30" s="9" t="str">
        <f>_xll.SNL.Clients.Office.Excel.Functions.SPG(GO30, "SP_COUNTRY_NAME")</f>
        <v>USA</v>
      </c>
      <c r="GS30" t="s">
        <v>546</v>
      </c>
      <c r="GT30">
        <v>4158830</v>
      </c>
      <c r="GU30" t="s">
        <v>346</v>
      </c>
      <c r="GV30" s="11">
        <v>0.09</v>
      </c>
      <c r="GW30" s="9" t="str">
        <f>_xll.SNL.Clients.Office.Excel.Functions.SPG(GT30, "SP_COUNTRY_NAME")</f>
        <v>USA</v>
      </c>
      <c r="GX30" t="s">
        <v>357</v>
      </c>
      <c r="GY30">
        <v>4270330</v>
      </c>
      <c r="GZ30" t="s">
        <v>346</v>
      </c>
      <c r="HA30" s="11">
        <v>0.35</v>
      </c>
      <c r="HB30" s="9" t="str">
        <f>_xll.SNL.Clients.Office.Excel.Functions.SPG(GY30, "SP_COUNTRY_NAME")</f>
        <v>USA</v>
      </c>
      <c r="HG30" s="9" t="str">
        <f>_xll.SNL.Clients.Office.Excel.Functions.SPG(HD30, "SP_COUNTRY_NAME")</f>
        <v>#INVALID COMPANY ID</v>
      </c>
    </row>
    <row r="31" spans="1:215" x14ac:dyDescent="0.35">
      <c r="E31" s="9" t="str">
        <f>_xll.SNL.Clients.Office.Excel.Functions.SPG(B31, "SP_COUNTRY_NAME")</f>
        <v>#INVALID COMPANY ID</v>
      </c>
      <c r="F31" t="s">
        <v>399</v>
      </c>
      <c r="G31">
        <v>4026948</v>
      </c>
      <c r="H31" t="s">
        <v>346</v>
      </c>
      <c r="I31" s="11">
        <v>0.24</v>
      </c>
      <c r="J31" s="9" t="str">
        <f>_xll.SNL.Clients.Office.Excel.Functions.SPG(G31, "SP_COUNTRY_NAME")</f>
        <v>France</v>
      </c>
      <c r="K31" t="s">
        <v>457</v>
      </c>
      <c r="L31">
        <v>110399</v>
      </c>
      <c r="M31" t="s">
        <v>346</v>
      </c>
      <c r="N31" s="11">
        <v>0.04</v>
      </c>
      <c r="O31" s="9" t="str">
        <f>_xll.SNL.Clients.Office.Excel.Functions.SPG(L31, "SP_COUNTRY_NAME")</f>
        <v>USA</v>
      </c>
      <c r="T31" s="9" t="str">
        <f>_xll.SNL.Clients.Office.Excel.Functions.SPG(Q31, "SP_COUNTRY_NAME")</f>
        <v>#INVALID COMPANY ID</v>
      </c>
      <c r="U31" t="s">
        <v>456</v>
      </c>
      <c r="V31">
        <v>4249110</v>
      </c>
      <c r="W31" t="s">
        <v>346</v>
      </c>
      <c r="X31" s="11">
        <v>0.44</v>
      </c>
      <c r="Y31" s="9" t="str">
        <f>_xll.SNL.Clients.Office.Excel.Functions.SPG(V31, "SP_COUNTRY_NAME")</f>
        <v>United Kingdom</v>
      </c>
      <c r="Z31" t="s">
        <v>457</v>
      </c>
      <c r="AA31">
        <v>110399</v>
      </c>
      <c r="AB31" t="s">
        <v>346</v>
      </c>
      <c r="AC31" s="11">
        <v>0.04</v>
      </c>
      <c r="AD31" s="9" t="str">
        <f>_xll.SNL.Clients.Office.Excel.Functions.SPG(AA31, "SP_COUNTRY_NAME")</f>
        <v>USA</v>
      </c>
      <c r="AE31" t="s">
        <v>1059</v>
      </c>
      <c r="AF31">
        <v>4343939</v>
      </c>
      <c r="AG31" t="s">
        <v>300</v>
      </c>
      <c r="AH31" s="11">
        <v>0.15</v>
      </c>
      <c r="AI31" s="9" t="str">
        <f>_xll.SNL.Clients.Office.Excel.Functions.SPG(AF31, "SP_COUNTRY_NAME")</f>
        <v>USA</v>
      </c>
      <c r="AN31" s="9" t="str">
        <f>_xll.SNL.Clients.Office.Excel.Functions.SPG(AK31, "SP_COUNTRY_NAME")</f>
        <v>#INVALID COMPANY ID</v>
      </c>
      <c r="AO31" t="s">
        <v>378</v>
      </c>
      <c r="AP31">
        <v>4048184</v>
      </c>
      <c r="AQ31" t="s">
        <v>346</v>
      </c>
      <c r="AR31" s="11">
        <v>0.28000000000000003</v>
      </c>
      <c r="AS31" s="9" t="str">
        <f>_xll.SNL.Clients.Office.Excel.Functions.SPG(AP31, "SP_COUNTRY_NAME")</f>
        <v>Canada</v>
      </c>
      <c r="AX31" s="9" t="str">
        <f>_xll.SNL.Clients.Office.Excel.Functions.SPG(AU31, "SP_COUNTRY_NAME")</f>
        <v>#INVALID COMPANY ID</v>
      </c>
      <c r="AY31" t="s">
        <v>735</v>
      </c>
      <c r="AZ31">
        <v>4345966</v>
      </c>
      <c r="BA31" t="s">
        <v>346</v>
      </c>
      <c r="BB31" s="11">
        <v>0.16</v>
      </c>
      <c r="BC31" s="9" t="str">
        <f>_xll.SNL.Clients.Office.Excel.Functions.SPG(AZ31, "SP_COUNTRY_NAME")</f>
        <v>China</v>
      </c>
      <c r="BD31" t="s">
        <v>351</v>
      </c>
      <c r="BE31">
        <v>111289</v>
      </c>
      <c r="BF31" t="s">
        <v>346</v>
      </c>
      <c r="BG31" s="11">
        <v>0.5</v>
      </c>
      <c r="BH31" s="9" t="str">
        <f>_xll.SNL.Clients.Office.Excel.Functions.SPG(BE31, "SP_COUNTRY_NAME")</f>
        <v>USA</v>
      </c>
      <c r="BI31" t="s">
        <v>1126</v>
      </c>
      <c r="BJ31">
        <v>4765178</v>
      </c>
      <c r="BK31" t="s">
        <v>346</v>
      </c>
      <c r="BL31" s="11">
        <v>0.21</v>
      </c>
      <c r="BM31" s="9" t="str">
        <f>_xll.SNL.Clients.Office.Excel.Functions.SPG(BJ31, "SP_COUNTRY_NAME")</f>
        <v>Luxembourg</v>
      </c>
      <c r="BN31" t="s">
        <v>354</v>
      </c>
      <c r="BO31">
        <v>110652</v>
      </c>
      <c r="BP31" t="s">
        <v>346</v>
      </c>
      <c r="BQ31" s="11">
        <v>0.09</v>
      </c>
      <c r="BR31" s="9" t="str">
        <f>_xll.SNL.Clients.Office.Excel.Functions.SPG(BO31, "SP_COUNTRY_NAME")</f>
        <v>USA</v>
      </c>
      <c r="BS31" t="s">
        <v>669</v>
      </c>
      <c r="BT31">
        <v>5860959</v>
      </c>
      <c r="BU31" t="s">
        <v>346</v>
      </c>
      <c r="BV31" s="11">
        <v>0.36</v>
      </c>
      <c r="BW31" s="9" t="str">
        <f>_xll.SNL.Clients.Office.Excel.Functions.SPG(BT31, "SP_COUNTRY_NAME")</f>
        <v>China</v>
      </c>
      <c r="BX31" t="s">
        <v>456</v>
      </c>
      <c r="BY31">
        <v>4249110</v>
      </c>
      <c r="BZ31" t="s">
        <v>346</v>
      </c>
      <c r="CA31" s="11">
        <v>0.44</v>
      </c>
      <c r="CB31" s="9" t="str">
        <f>_xll.SNL.Clients.Office.Excel.Functions.SPG(BY31, "SP_COUNTRY_NAME")</f>
        <v>United Kingdom</v>
      </c>
      <c r="CC31" t="s">
        <v>1413</v>
      </c>
      <c r="CD31">
        <v>3006816</v>
      </c>
      <c r="CE31" t="s">
        <v>366</v>
      </c>
      <c r="CF31" s="11">
        <v>0.34</v>
      </c>
      <c r="CG31" s="9" t="str">
        <f>_xll.SNL.Clients.Office.Excel.Functions.SPG(CD31, "SP_COUNTRY_NAME")</f>
        <v>USA</v>
      </c>
      <c r="CH31" t="s">
        <v>378</v>
      </c>
      <c r="CI31">
        <v>4048184</v>
      </c>
      <c r="CJ31" t="s">
        <v>346</v>
      </c>
      <c r="CK31" s="11">
        <v>0.28000000000000003</v>
      </c>
      <c r="CL31" s="9" t="str">
        <f>_xll.SNL.Clients.Office.Excel.Functions.SPG(CI31, "SP_COUNTRY_NAME")</f>
        <v>Canada</v>
      </c>
      <c r="CM31" t="s">
        <v>1115</v>
      </c>
      <c r="CN31">
        <v>4140101</v>
      </c>
      <c r="CO31" t="s">
        <v>363</v>
      </c>
      <c r="CP31" s="11">
        <v>0.47</v>
      </c>
      <c r="CQ31" s="9" t="str">
        <f>_xll.SNL.Clients.Office.Excel.Functions.SPG(CN31, "SP_COUNTRY_NAME")</f>
        <v>Sweden</v>
      </c>
      <c r="CV31" s="9" t="str">
        <f>_xll.SNL.Clients.Office.Excel.Functions.SPG(CS31, "SP_COUNTRY_NAME")</f>
        <v>#INVALID COMPANY ID</v>
      </c>
      <c r="DA31" s="9" t="str">
        <f>_xll.SNL.Clients.Office.Excel.Functions.SPG(CX31, "SP_COUNTRY_NAME")</f>
        <v>#INVALID COMPANY ID</v>
      </c>
      <c r="DB31" t="s">
        <v>351</v>
      </c>
      <c r="DC31">
        <v>111289</v>
      </c>
      <c r="DD31" t="s">
        <v>346</v>
      </c>
      <c r="DE31" s="11">
        <v>0.5</v>
      </c>
      <c r="DF31" s="9" t="str">
        <f>_xll.SNL.Clients.Office.Excel.Functions.SPG(DC31, "SP_COUNTRY_NAME")</f>
        <v>USA</v>
      </c>
      <c r="DK31" s="9" t="str">
        <f>_xll.SNL.Clients.Office.Excel.Functions.SPG(DH31, "SP_COUNTRY_NAME")</f>
        <v>#INVALID COMPANY ID</v>
      </c>
      <c r="DL31" t="s">
        <v>351</v>
      </c>
      <c r="DM31">
        <v>111289</v>
      </c>
      <c r="DN31" t="s">
        <v>346</v>
      </c>
      <c r="DO31" s="11">
        <v>0.5</v>
      </c>
      <c r="DP31" s="9" t="str">
        <f>_xll.SNL.Clients.Office.Excel.Functions.SPG(DM31, "SP_COUNTRY_NAME")</f>
        <v>USA</v>
      </c>
      <c r="DU31" s="9" t="str">
        <f>_xll.SNL.Clients.Office.Excel.Functions.SPG(DR31, "SP_COUNTRY_NAME")</f>
        <v>#INVALID COMPANY ID</v>
      </c>
      <c r="DV31" t="s">
        <v>442</v>
      </c>
      <c r="DW31">
        <v>4117611</v>
      </c>
      <c r="DX31" t="s">
        <v>346</v>
      </c>
      <c r="DY31" s="11">
        <v>0.01</v>
      </c>
      <c r="DZ31" s="9" t="str">
        <f>_xll.SNL.Clients.Office.Excel.Functions.SPG(DW31, "SP_COUNTRY_NAME")</f>
        <v>USA</v>
      </c>
      <c r="EA31" t="s">
        <v>1413</v>
      </c>
      <c r="EB31">
        <v>3006816</v>
      </c>
      <c r="EC31" t="s">
        <v>366</v>
      </c>
      <c r="ED31" s="11">
        <v>0.34</v>
      </c>
      <c r="EE31" s="9" t="str">
        <f>_xll.SNL.Clients.Office.Excel.Functions.SPG(EB31, "SP_COUNTRY_NAME")</f>
        <v>USA</v>
      </c>
      <c r="EF31" t="s">
        <v>351</v>
      </c>
      <c r="EG31">
        <v>111289</v>
      </c>
      <c r="EH31" t="s">
        <v>346</v>
      </c>
      <c r="EI31" s="11">
        <v>0.5</v>
      </c>
      <c r="EJ31" s="9" t="str">
        <f>_xll.SNL.Clients.Office.Excel.Functions.SPG(EG31, "SP_COUNTRY_NAME")</f>
        <v>USA</v>
      </c>
      <c r="EO31" s="9" t="str">
        <f>_xll.SNL.Clients.Office.Excel.Functions.SPG(EL31, "SP_COUNTRY_NAME")</f>
        <v>#INVALID COMPANY ID</v>
      </c>
      <c r="EP31" t="s">
        <v>354</v>
      </c>
      <c r="EQ31">
        <v>110652</v>
      </c>
      <c r="ER31" t="s">
        <v>346</v>
      </c>
      <c r="ES31" s="11">
        <v>0.04</v>
      </c>
      <c r="ET31" s="9" t="str">
        <f>_xll.SNL.Clients.Office.Excel.Functions.SPG(EQ31, "SP_COUNTRY_NAME")</f>
        <v>USA</v>
      </c>
      <c r="EY31" s="9" t="str">
        <f>_xll.SNL.Clients.Office.Excel.Functions.SPG(EV31, "SP_COUNTRY_NAME")</f>
        <v>#INVALID COMPANY ID</v>
      </c>
      <c r="EZ31" t="s">
        <v>1930</v>
      </c>
      <c r="FA31" t="s">
        <v>300</v>
      </c>
      <c r="FB31" t="s">
        <v>361</v>
      </c>
      <c r="FC31" s="11">
        <v>0.01</v>
      </c>
      <c r="FD31" s="9" t="str">
        <f>_xll.SNL.Clients.Office.Excel.Functions.SPG(FA31, "SP_COUNTRY_NAME")</f>
        <v>China</v>
      </c>
      <c r="FE31" t="s">
        <v>476</v>
      </c>
      <c r="FF31">
        <v>4139886</v>
      </c>
      <c r="FG31" t="s">
        <v>346</v>
      </c>
      <c r="FH31" s="11">
        <v>0.03</v>
      </c>
      <c r="FI31" s="9" t="str">
        <f>_xll.SNL.Clients.Office.Excel.Functions.SPG(FF31, "SP_COUNTRY_NAME")</f>
        <v>Japan</v>
      </c>
      <c r="FJ31" t="s">
        <v>396</v>
      </c>
      <c r="FK31">
        <v>4119759</v>
      </c>
      <c r="FL31" t="s">
        <v>346</v>
      </c>
      <c r="FM31" s="11">
        <v>0.14000000000000001</v>
      </c>
      <c r="FN31" s="9" t="str">
        <f>_xll.SNL.Clients.Office.Excel.Functions.SPG(FK31, "SP_COUNTRY_NAME")</f>
        <v>USA</v>
      </c>
      <c r="FS31" s="9" t="str">
        <f>_xll.SNL.Clients.Office.Excel.Functions.SPG(FP31, "SP_COUNTRY_NAME")</f>
        <v>#INVALID COMPANY ID</v>
      </c>
      <c r="FT31" t="s">
        <v>391</v>
      </c>
      <c r="FU31">
        <v>13582910</v>
      </c>
      <c r="FV31" t="s">
        <v>346</v>
      </c>
      <c r="FW31" s="11">
        <v>0.02</v>
      </c>
      <c r="FX31" s="9" t="str">
        <f>_xll.SNL.Clients.Office.Excel.Functions.SPG(FU31, "SP_COUNTRY_NAME")</f>
        <v>France</v>
      </c>
      <c r="FY31" t="s">
        <v>351</v>
      </c>
      <c r="FZ31">
        <v>111289</v>
      </c>
      <c r="GA31" t="s">
        <v>346</v>
      </c>
      <c r="GB31" s="11">
        <v>0.5</v>
      </c>
      <c r="GC31" s="9" t="str">
        <f>_xll.SNL.Clients.Office.Excel.Functions.SPG(FZ31, "SP_COUNTRY_NAME")</f>
        <v>USA</v>
      </c>
      <c r="GD31" t="s">
        <v>1930</v>
      </c>
      <c r="GE31" t="s">
        <v>300</v>
      </c>
      <c r="GF31" t="s">
        <v>361</v>
      </c>
      <c r="GG31" s="11">
        <v>0.01</v>
      </c>
      <c r="GH31" s="9" t="str">
        <f>_xll.SNL.Clients.Office.Excel.Functions.SPG(GE31, "SP_COUNTRY_NAME")</f>
        <v>China</v>
      </c>
      <c r="GI31" t="s">
        <v>476</v>
      </c>
      <c r="GJ31">
        <v>4139886</v>
      </c>
      <c r="GK31" t="s">
        <v>346</v>
      </c>
      <c r="GL31" s="11">
        <v>0.03</v>
      </c>
      <c r="GM31" s="9" t="str">
        <f>_xll.SNL.Clients.Office.Excel.Functions.SPG(GJ31, "SP_COUNTRY_NAME")</f>
        <v>Japan</v>
      </c>
      <c r="GN31" t="s">
        <v>396</v>
      </c>
      <c r="GO31">
        <v>4119759</v>
      </c>
      <c r="GP31" t="s">
        <v>346</v>
      </c>
      <c r="GQ31" s="11">
        <v>0.14000000000000001</v>
      </c>
      <c r="GR31" s="9" t="str">
        <f>_xll.SNL.Clients.Office.Excel.Functions.SPG(GO31, "SP_COUNTRY_NAME")</f>
        <v>USA</v>
      </c>
      <c r="GS31" t="s">
        <v>354</v>
      </c>
      <c r="GT31">
        <v>110652</v>
      </c>
      <c r="GU31" t="s">
        <v>346</v>
      </c>
      <c r="GV31" s="11">
        <v>0.09</v>
      </c>
      <c r="GW31" s="9" t="str">
        <f>_xll.SNL.Clients.Office.Excel.Functions.SPG(GT31, "SP_COUNTRY_NAME")</f>
        <v>USA</v>
      </c>
      <c r="GX31" t="s">
        <v>1413</v>
      </c>
      <c r="GY31">
        <v>3006816</v>
      </c>
      <c r="GZ31" t="s">
        <v>366</v>
      </c>
      <c r="HA31" s="11">
        <v>0.34</v>
      </c>
      <c r="HB31" s="9" t="str">
        <f>_xll.SNL.Clients.Office.Excel.Functions.SPG(GY31, "SP_COUNTRY_NAME")</f>
        <v>USA</v>
      </c>
      <c r="HG31" s="9" t="str">
        <f>_xll.SNL.Clients.Office.Excel.Functions.SPG(HD31, "SP_COUNTRY_NAME")</f>
        <v>#INVALID COMPANY ID</v>
      </c>
    </row>
    <row r="32" spans="1:215" x14ac:dyDescent="0.35">
      <c r="E32" s="9" t="str">
        <f>_xll.SNL.Clients.Office.Excel.Functions.SPG(B32, "SP_COUNTRY_NAME")</f>
        <v>#INVALID COMPANY ID</v>
      </c>
      <c r="F32" t="s">
        <v>437</v>
      </c>
      <c r="G32">
        <v>4102073</v>
      </c>
      <c r="H32" t="s">
        <v>346</v>
      </c>
      <c r="I32" s="11">
        <v>0.23</v>
      </c>
      <c r="J32" s="9" t="str">
        <f>_xll.SNL.Clients.Office.Excel.Functions.SPG(G32, "SP_COUNTRY_NAME")</f>
        <v>USA</v>
      </c>
      <c r="K32" t="s">
        <v>647</v>
      </c>
      <c r="L32">
        <v>4556995</v>
      </c>
      <c r="M32" t="s">
        <v>346</v>
      </c>
      <c r="N32" s="11">
        <v>0.04</v>
      </c>
      <c r="O32" s="9" t="str">
        <f>_xll.SNL.Clients.Office.Excel.Functions.SPG(L32, "SP_COUNTRY_NAME")</f>
        <v>China</v>
      </c>
      <c r="T32" s="9" t="str">
        <f>_xll.SNL.Clients.Office.Excel.Functions.SPG(Q32, "SP_COUNTRY_NAME")</f>
        <v>#INVALID COMPANY ID</v>
      </c>
      <c r="U32" t="s">
        <v>638</v>
      </c>
      <c r="V32">
        <v>4137668</v>
      </c>
      <c r="W32" t="s">
        <v>346</v>
      </c>
      <c r="X32" s="11">
        <v>0.4</v>
      </c>
      <c r="Y32" s="9" t="str">
        <f>_xll.SNL.Clients.Office.Excel.Functions.SPG(V32, "SP_COUNTRY_NAME")</f>
        <v>China</v>
      </c>
      <c r="Z32" t="s">
        <v>647</v>
      </c>
      <c r="AA32">
        <v>4556995</v>
      </c>
      <c r="AB32" t="s">
        <v>346</v>
      </c>
      <c r="AC32" s="11">
        <v>0.04</v>
      </c>
      <c r="AD32" s="9" t="str">
        <f>_xll.SNL.Clients.Office.Excel.Functions.SPG(AA32, "SP_COUNTRY_NAME")</f>
        <v>China</v>
      </c>
      <c r="AE32" t="s">
        <v>491</v>
      </c>
      <c r="AF32">
        <v>106960</v>
      </c>
      <c r="AG32" t="s">
        <v>346</v>
      </c>
      <c r="AH32" s="11">
        <v>0.14000000000000001</v>
      </c>
      <c r="AI32" s="9" t="str">
        <f>_xll.SNL.Clients.Office.Excel.Functions.SPG(AF32, "SP_COUNTRY_NAME")</f>
        <v>Canada</v>
      </c>
      <c r="AN32" s="9" t="str">
        <f>_xll.SNL.Clients.Office.Excel.Functions.SPG(AK32, "SP_COUNTRY_NAME")</f>
        <v>#INVALID COMPANY ID</v>
      </c>
      <c r="AO32" t="s">
        <v>1259</v>
      </c>
      <c r="AP32">
        <v>4213239</v>
      </c>
      <c r="AQ32" t="s">
        <v>346</v>
      </c>
      <c r="AR32" s="11">
        <v>0.28000000000000003</v>
      </c>
      <c r="AS32" s="9" t="str">
        <f>_xll.SNL.Clients.Office.Excel.Functions.SPG(AP32, "SP_COUNTRY_NAME")</f>
        <v>South Africa</v>
      </c>
      <c r="AX32" s="9" t="str">
        <f>_xll.SNL.Clients.Office.Excel.Functions.SPG(AU32, "SP_COUNTRY_NAME")</f>
        <v>#INVALID COMPANY ID</v>
      </c>
      <c r="AY32" t="s">
        <v>681</v>
      </c>
      <c r="AZ32">
        <v>5866754</v>
      </c>
      <c r="BA32" t="s">
        <v>346</v>
      </c>
      <c r="BB32" s="11">
        <v>0.16</v>
      </c>
      <c r="BC32" s="9" t="str">
        <f>_xll.SNL.Clients.Office.Excel.Functions.SPG(AZ32, "SP_COUNTRY_NAME")</f>
        <v>China</v>
      </c>
      <c r="BD32" t="s">
        <v>1136</v>
      </c>
      <c r="BE32">
        <v>113818</v>
      </c>
      <c r="BF32" t="s">
        <v>366</v>
      </c>
      <c r="BG32" s="11">
        <v>0.5</v>
      </c>
      <c r="BH32" s="9" t="str">
        <f>_xll.SNL.Clients.Office.Excel.Functions.SPG(BE32, "SP_COUNTRY_NAME")</f>
        <v>France</v>
      </c>
      <c r="BI32" t="s">
        <v>406</v>
      </c>
      <c r="BJ32">
        <v>4115698</v>
      </c>
      <c r="BK32" t="s">
        <v>346</v>
      </c>
      <c r="BL32" s="11">
        <v>0.2</v>
      </c>
      <c r="BM32" s="9" t="str">
        <f>_xll.SNL.Clients.Office.Excel.Functions.SPG(BJ32, "SP_COUNTRY_NAME")</f>
        <v>United Kingdom</v>
      </c>
      <c r="BN32" t="s">
        <v>832</v>
      </c>
      <c r="BO32">
        <v>15135223</v>
      </c>
      <c r="BP32" t="s">
        <v>346</v>
      </c>
      <c r="BQ32" s="11">
        <v>0.08</v>
      </c>
      <c r="BR32" s="9" t="str">
        <f>_xll.SNL.Clients.Office.Excel.Functions.SPG(BO32, "SP_COUNTRY_NAME")</f>
        <v>China</v>
      </c>
      <c r="BS32" t="s">
        <v>388</v>
      </c>
      <c r="BT32">
        <v>4057506</v>
      </c>
      <c r="BU32" t="s">
        <v>346</v>
      </c>
      <c r="BV32" s="11">
        <v>0.33</v>
      </c>
      <c r="BW32" s="9" t="str">
        <f>_xll.SNL.Clients.Office.Excel.Functions.SPG(BT32, "SP_COUNTRY_NAME")</f>
        <v>USA</v>
      </c>
      <c r="BX32" t="s">
        <v>638</v>
      </c>
      <c r="BY32">
        <v>4137668</v>
      </c>
      <c r="BZ32" t="s">
        <v>346</v>
      </c>
      <c r="CA32" s="11">
        <v>0.4</v>
      </c>
      <c r="CB32" s="9" t="str">
        <f>_xll.SNL.Clients.Office.Excel.Functions.SPG(BY32, "SP_COUNTRY_NAME")</f>
        <v>China</v>
      </c>
      <c r="CC32" t="s">
        <v>354</v>
      </c>
      <c r="CD32">
        <v>110652</v>
      </c>
      <c r="CE32" t="s">
        <v>346</v>
      </c>
      <c r="CF32" s="11">
        <v>0.34</v>
      </c>
      <c r="CG32" s="9" t="str">
        <f>_xll.SNL.Clients.Office.Excel.Functions.SPG(CD32, "SP_COUNTRY_NAME")</f>
        <v>USA</v>
      </c>
      <c r="CH32" t="s">
        <v>1259</v>
      </c>
      <c r="CI32">
        <v>4213239</v>
      </c>
      <c r="CJ32" t="s">
        <v>346</v>
      </c>
      <c r="CK32" s="11">
        <v>0.28000000000000003</v>
      </c>
      <c r="CL32" s="9" t="str">
        <f>_xll.SNL.Clients.Office.Excel.Functions.SPG(CI32, "SP_COUNTRY_NAME")</f>
        <v>South Africa</v>
      </c>
      <c r="CM32" t="s">
        <v>374</v>
      </c>
      <c r="CN32">
        <v>4138467</v>
      </c>
      <c r="CO32" t="s">
        <v>362</v>
      </c>
      <c r="CP32" s="11">
        <v>0.46</v>
      </c>
      <c r="CQ32" s="9" t="str">
        <f>_xll.SNL.Clients.Office.Excel.Functions.SPG(CN32, "SP_COUNTRY_NAME")</f>
        <v>Norway</v>
      </c>
      <c r="CV32" s="9" t="str">
        <f>_xll.SNL.Clients.Office.Excel.Functions.SPG(CS32, "SP_COUNTRY_NAME")</f>
        <v>#INVALID COMPANY ID</v>
      </c>
      <c r="DA32" s="9" t="str">
        <f>_xll.SNL.Clients.Office.Excel.Functions.SPG(CX32, "SP_COUNTRY_NAME")</f>
        <v>#INVALID COMPANY ID</v>
      </c>
      <c r="DB32" t="s">
        <v>1136</v>
      </c>
      <c r="DC32">
        <v>113818</v>
      </c>
      <c r="DD32" t="s">
        <v>366</v>
      </c>
      <c r="DE32" s="11">
        <v>0.5</v>
      </c>
      <c r="DF32" s="9" t="str">
        <f>_xll.SNL.Clients.Office.Excel.Functions.SPG(DC32, "SP_COUNTRY_NAME")</f>
        <v>France</v>
      </c>
      <c r="DK32" s="9" t="str">
        <f>_xll.SNL.Clients.Office.Excel.Functions.SPG(DH32, "SP_COUNTRY_NAME")</f>
        <v>#INVALID COMPANY ID</v>
      </c>
      <c r="DL32" t="s">
        <v>1136</v>
      </c>
      <c r="DM32">
        <v>113818</v>
      </c>
      <c r="DN32" t="s">
        <v>366</v>
      </c>
      <c r="DO32" s="11">
        <v>0.5</v>
      </c>
      <c r="DP32" s="9" t="str">
        <f>_xll.SNL.Clients.Office.Excel.Functions.SPG(DM32, "SP_COUNTRY_NAME")</f>
        <v>France</v>
      </c>
      <c r="DU32" s="9" t="str">
        <f>_xll.SNL.Clients.Office.Excel.Functions.SPG(DR32, "SP_COUNTRY_NAME")</f>
        <v>#INVALID COMPANY ID</v>
      </c>
      <c r="DV32" t="s">
        <v>492</v>
      </c>
      <c r="DW32">
        <v>110674</v>
      </c>
      <c r="DX32" t="s">
        <v>346</v>
      </c>
      <c r="DY32" s="11">
        <v>0.01</v>
      </c>
      <c r="DZ32" s="9" t="str">
        <f>_xll.SNL.Clients.Office.Excel.Functions.SPG(DW32, "SP_COUNTRY_NAME")</f>
        <v>USA</v>
      </c>
      <c r="EA32" t="s">
        <v>354</v>
      </c>
      <c r="EB32">
        <v>110652</v>
      </c>
      <c r="EC32" t="s">
        <v>346</v>
      </c>
      <c r="ED32" s="11">
        <v>0.34</v>
      </c>
      <c r="EE32" s="9" t="str">
        <f>_xll.SNL.Clients.Office.Excel.Functions.SPG(EB32, "SP_COUNTRY_NAME")</f>
        <v>USA</v>
      </c>
      <c r="EF32" t="s">
        <v>1136</v>
      </c>
      <c r="EG32">
        <v>113818</v>
      </c>
      <c r="EH32" t="s">
        <v>366</v>
      </c>
      <c r="EI32" s="11">
        <v>0.5</v>
      </c>
      <c r="EJ32" s="9" t="str">
        <f>_xll.SNL.Clients.Office.Excel.Functions.SPG(EG32, "SP_COUNTRY_NAME")</f>
        <v>France</v>
      </c>
      <c r="EO32" s="9" t="str">
        <f>_xll.SNL.Clients.Office.Excel.Functions.SPG(EL32, "SP_COUNTRY_NAME")</f>
        <v>#INVALID COMPANY ID</v>
      </c>
      <c r="EP32" t="s">
        <v>393</v>
      </c>
      <c r="EQ32">
        <v>4723508</v>
      </c>
      <c r="ER32" t="s">
        <v>346</v>
      </c>
      <c r="ES32" s="11">
        <v>0.03</v>
      </c>
      <c r="ET32" s="9" t="str">
        <f>_xll.SNL.Clients.Office.Excel.Functions.SPG(EQ32, "SP_COUNTRY_NAME")</f>
        <v>United Kingdom</v>
      </c>
      <c r="EY32" s="9" t="str">
        <f>_xll.SNL.Clients.Office.Excel.Functions.SPG(EV32, "SP_COUNTRY_NAME")</f>
        <v>#INVALID COMPANY ID</v>
      </c>
      <c r="EZ32" t="s">
        <v>1931</v>
      </c>
      <c r="FA32">
        <v>105931716</v>
      </c>
      <c r="FB32" t="s">
        <v>370</v>
      </c>
      <c r="FC32" s="11">
        <v>0.01</v>
      </c>
      <c r="FD32" s="9" t="str">
        <f>_xll.SNL.Clients.Office.Excel.Functions.SPG(FA32, "SP_COUNTRY_NAME")</f>
        <v>Philippines</v>
      </c>
      <c r="FE32" t="s">
        <v>460</v>
      </c>
      <c r="FF32">
        <v>4337989</v>
      </c>
      <c r="FG32" t="s">
        <v>346</v>
      </c>
      <c r="FH32" s="11">
        <v>0.02</v>
      </c>
      <c r="FI32" s="9" t="str">
        <f>_xll.SNL.Clients.Office.Excel.Functions.SPG(FF32, "SP_COUNTRY_NAME")</f>
        <v>USA</v>
      </c>
      <c r="FJ32" t="s">
        <v>2157</v>
      </c>
      <c r="FK32">
        <v>110360</v>
      </c>
      <c r="FL32" t="s">
        <v>346</v>
      </c>
      <c r="FM32" s="11">
        <v>0.13</v>
      </c>
      <c r="FN32" s="9" t="str">
        <f>_xll.SNL.Clients.Office.Excel.Functions.SPG(FK32, "SP_COUNTRY_NAME")</f>
        <v>USA</v>
      </c>
      <c r="FS32" s="9" t="str">
        <f>_xll.SNL.Clients.Office.Excel.Functions.SPG(FP32, "SP_COUNTRY_NAME")</f>
        <v>#INVALID COMPANY ID</v>
      </c>
      <c r="FT32" t="s">
        <v>392</v>
      </c>
      <c r="FU32">
        <v>4398826</v>
      </c>
      <c r="FV32" t="s">
        <v>346</v>
      </c>
      <c r="FW32" s="11">
        <v>0.02</v>
      </c>
      <c r="FX32" s="9" t="str">
        <f>_xll.SNL.Clients.Office.Excel.Functions.SPG(FU32, "SP_COUNTRY_NAME")</f>
        <v>USA</v>
      </c>
      <c r="FY32" t="s">
        <v>1136</v>
      </c>
      <c r="FZ32">
        <v>113818</v>
      </c>
      <c r="GA32" t="s">
        <v>366</v>
      </c>
      <c r="GB32" s="11">
        <v>0.5</v>
      </c>
      <c r="GC32" s="9" t="str">
        <f>_xll.SNL.Clients.Office.Excel.Functions.SPG(FZ32, "SP_COUNTRY_NAME")</f>
        <v>France</v>
      </c>
      <c r="GD32" t="s">
        <v>1931</v>
      </c>
      <c r="GE32">
        <v>105931716</v>
      </c>
      <c r="GF32" t="s">
        <v>370</v>
      </c>
      <c r="GG32" s="11">
        <v>0.01</v>
      </c>
      <c r="GH32" s="9" t="str">
        <f>_xll.SNL.Clients.Office.Excel.Functions.SPG(GE32, "SP_COUNTRY_NAME")</f>
        <v>Philippines</v>
      </c>
      <c r="GI32" t="s">
        <v>460</v>
      </c>
      <c r="GJ32">
        <v>4337989</v>
      </c>
      <c r="GK32" t="s">
        <v>346</v>
      </c>
      <c r="GL32" s="11">
        <v>0.02</v>
      </c>
      <c r="GM32" s="9" t="str">
        <f>_xll.SNL.Clients.Office.Excel.Functions.SPG(GJ32, "SP_COUNTRY_NAME")</f>
        <v>USA</v>
      </c>
      <c r="GN32" t="s">
        <v>2157</v>
      </c>
      <c r="GO32">
        <v>110360</v>
      </c>
      <c r="GP32" t="s">
        <v>346</v>
      </c>
      <c r="GQ32" s="11">
        <v>0.13</v>
      </c>
      <c r="GR32" s="9" t="str">
        <f>_xll.SNL.Clients.Office.Excel.Functions.SPG(GO32, "SP_COUNTRY_NAME")</f>
        <v>USA</v>
      </c>
      <c r="GS32" t="s">
        <v>832</v>
      </c>
      <c r="GT32">
        <v>15135223</v>
      </c>
      <c r="GU32" t="s">
        <v>346</v>
      </c>
      <c r="GV32" s="11">
        <v>0.08</v>
      </c>
      <c r="GW32" s="9" t="str">
        <f>_xll.SNL.Clients.Office.Excel.Functions.SPG(GT32, "SP_COUNTRY_NAME")</f>
        <v>China</v>
      </c>
      <c r="GX32" t="s">
        <v>354</v>
      </c>
      <c r="GY32">
        <v>110652</v>
      </c>
      <c r="GZ32" t="s">
        <v>346</v>
      </c>
      <c r="HA32" s="11">
        <v>0.34</v>
      </c>
      <c r="HB32" s="9" t="str">
        <f>_xll.SNL.Clients.Office.Excel.Functions.SPG(GY32, "SP_COUNTRY_NAME")</f>
        <v>USA</v>
      </c>
      <c r="HG32" s="9" t="str">
        <f>_xll.SNL.Clients.Office.Excel.Functions.SPG(HD32, "SP_COUNTRY_NAME")</f>
        <v>#INVALID COMPANY ID</v>
      </c>
    </row>
    <row r="33" spans="5:215" x14ac:dyDescent="0.35">
      <c r="E33" s="9" t="str">
        <f>_xll.SNL.Clients.Office.Excel.Functions.SPG(B33, "SP_COUNTRY_NAME")</f>
        <v>#INVALID COMPANY ID</v>
      </c>
      <c r="F33" t="s">
        <v>415</v>
      </c>
      <c r="G33">
        <v>110587</v>
      </c>
      <c r="H33" t="s">
        <v>346</v>
      </c>
      <c r="I33" s="11">
        <v>0.23</v>
      </c>
      <c r="J33" s="9" t="str">
        <f>_xll.SNL.Clients.Office.Excel.Functions.SPG(G33, "SP_COUNTRY_NAME")</f>
        <v>USA</v>
      </c>
      <c r="K33" t="s">
        <v>484</v>
      </c>
      <c r="L33">
        <v>110386</v>
      </c>
      <c r="M33" t="s">
        <v>346</v>
      </c>
      <c r="N33" s="11">
        <v>0.04</v>
      </c>
      <c r="O33" s="9" t="str">
        <f>_xll.SNL.Clients.Office.Excel.Functions.SPG(L33, "SP_COUNTRY_NAME")</f>
        <v>USA</v>
      </c>
      <c r="T33" s="9" t="str">
        <f>_xll.SNL.Clients.Office.Excel.Functions.SPG(Q33, "SP_COUNTRY_NAME")</f>
        <v>#INVALID COMPANY ID</v>
      </c>
      <c r="U33" t="s">
        <v>562</v>
      </c>
      <c r="V33">
        <v>4256114</v>
      </c>
      <c r="W33" t="s">
        <v>346</v>
      </c>
      <c r="X33" s="11">
        <v>0.4</v>
      </c>
      <c r="Y33" s="9" t="str">
        <f>_xll.SNL.Clients.Office.Excel.Functions.SPG(V33, "SP_COUNTRY_NAME")</f>
        <v>South Korea</v>
      </c>
      <c r="Z33" t="s">
        <v>484</v>
      </c>
      <c r="AA33">
        <v>110386</v>
      </c>
      <c r="AB33" t="s">
        <v>346</v>
      </c>
      <c r="AC33" s="11">
        <v>0.04</v>
      </c>
      <c r="AD33" s="9" t="str">
        <f>_xll.SNL.Clients.Office.Excel.Functions.SPG(AA33, "SP_COUNTRY_NAME")</f>
        <v>USA</v>
      </c>
      <c r="AE33" t="s">
        <v>352</v>
      </c>
      <c r="AF33">
        <v>4143440</v>
      </c>
      <c r="AG33" t="s">
        <v>346</v>
      </c>
      <c r="AH33" s="11">
        <v>0.13</v>
      </c>
      <c r="AI33" s="9" t="str">
        <f>_xll.SNL.Clients.Office.Excel.Functions.SPG(AF33, "SP_COUNTRY_NAME")</f>
        <v>USA</v>
      </c>
      <c r="AN33" s="9" t="str">
        <f>_xll.SNL.Clients.Office.Excel.Functions.SPG(AK33, "SP_COUNTRY_NAME")</f>
        <v>#INVALID COMPANY ID</v>
      </c>
      <c r="AO33" t="s">
        <v>354</v>
      </c>
      <c r="AP33">
        <v>110652</v>
      </c>
      <c r="AQ33" t="s">
        <v>346</v>
      </c>
      <c r="AR33" s="11">
        <v>0.26</v>
      </c>
      <c r="AS33" s="9" t="str">
        <f>_xll.SNL.Clients.Office.Excel.Functions.SPG(AP33, "SP_COUNTRY_NAME")</f>
        <v>USA</v>
      </c>
      <c r="AX33" s="9" t="str">
        <f>_xll.SNL.Clients.Office.Excel.Functions.SPG(AU33, "SP_COUNTRY_NAME")</f>
        <v>#INVALID COMPANY ID</v>
      </c>
      <c r="AY33" t="s">
        <v>673</v>
      </c>
      <c r="AZ33">
        <v>5837129</v>
      </c>
      <c r="BA33" t="s">
        <v>346</v>
      </c>
      <c r="BB33" s="11">
        <v>0.11</v>
      </c>
      <c r="BC33" s="9" t="str">
        <f>_xll.SNL.Clients.Office.Excel.Functions.SPG(AZ33, "SP_COUNTRY_NAME")</f>
        <v>China</v>
      </c>
      <c r="BD33" t="s">
        <v>583</v>
      </c>
      <c r="BE33">
        <v>4579014</v>
      </c>
      <c r="BF33" t="s">
        <v>346</v>
      </c>
      <c r="BG33" s="11">
        <v>0.46</v>
      </c>
      <c r="BH33" s="9" t="str">
        <f>_xll.SNL.Clients.Office.Excel.Functions.SPG(BE33, "SP_COUNTRY_NAME")</f>
        <v>USA</v>
      </c>
      <c r="BI33" t="s">
        <v>1480</v>
      </c>
      <c r="BJ33">
        <v>4339647</v>
      </c>
      <c r="BK33" t="s">
        <v>364</v>
      </c>
      <c r="BL33" s="11">
        <v>0.19</v>
      </c>
      <c r="BM33" s="9" t="str">
        <f>_xll.SNL.Clients.Office.Excel.Functions.SPG(BJ33, "SP_COUNTRY_NAME")</f>
        <v>United Kingdom</v>
      </c>
      <c r="BN33" t="s">
        <v>665</v>
      </c>
      <c r="BO33">
        <v>4137720</v>
      </c>
      <c r="BP33" t="s">
        <v>346</v>
      </c>
      <c r="BQ33" s="11">
        <v>0.08</v>
      </c>
      <c r="BR33" s="9" t="str">
        <f>_xll.SNL.Clients.Office.Excel.Functions.SPG(BO33, "SP_COUNTRY_NAME")</f>
        <v>China</v>
      </c>
      <c r="BS33" t="s">
        <v>949</v>
      </c>
      <c r="BT33">
        <v>4055370</v>
      </c>
      <c r="BU33" t="s">
        <v>362</v>
      </c>
      <c r="BV33" s="11">
        <v>0.32</v>
      </c>
      <c r="BW33" s="9" t="str">
        <f>_xll.SNL.Clients.Office.Excel.Functions.SPG(BT33, "SP_COUNTRY_NAME")</f>
        <v>Kuwait</v>
      </c>
      <c r="BX33" t="s">
        <v>562</v>
      </c>
      <c r="BY33">
        <v>4256114</v>
      </c>
      <c r="BZ33" t="s">
        <v>346</v>
      </c>
      <c r="CA33" s="11">
        <v>0.4</v>
      </c>
      <c r="CB33" s="9" t="str">
        <f>_xll.SNL.Clients.Office.Excel.Functions.SPG(BY33, "SP_COUNTRY_NAME")</f>
        <v>South Korea</v>
      </c>
      <c r="CC33" t="s">
        <v>1615</v>
      </c>
      <c r="CD33">
        <v>4048646</v>
      </c>
      <c r="CE33" t="s">
        <v>364</v>
      </c>
      <c r="CF33" s="11">
        <v>0.33</v>
      </c>
      <c r="CG33" s="9" t="str">
        <f>_xll.SNL.Clients.Office.Excel.Functions.SPG(CD33, "SP_COUNTRY_NAME")</f>
        <v>USA</v>
      </c>
      <c r="CH33" t="s">
        <v>354</v>
      </c>
      <c r="CI33">
        <v>110652</v>
      </c>
      <c r="CJ33" t="s">
        <v>346</v>
      </c>
      <c r="CK33" s="11">
        <v>0.26</v>
      </c>
      <c r="CL33" s="9" t="str">
        <f>_xll.SNL.Clients.Office.Excel.Functions.SPG(CI33, "SP_COUNTRY_NAME")</f>
        <v>USA</v>
      </c>
      <c r="CM33" t="s">
        <v>1654</v>
      </c>
      <c r="CN33">
        <v>4112715</v>
      </c>
      <c r="CO33" t="s">
        <v>346</v>
      </c>
      <c r="CP33" s="11">
        <v>0.43</v>
      </c>
      <c r="CQ33" s="9" t="str">
        <f>_xll.SNL.Clients.Office.Excel.Functions.SPG(CN33, "SP_COUNTRY_NAME")</f>
        <v>USA</v>
      </c>
      <c r="CV33" s="9" t="str">
        <f>_xll.SNL.Clients.Office.Excel.Functions.SPG(CS33, "SP_COUNTRY_NAME")</f>
        <v>#INVALID COMPANY ID</v>
      </c>
      <c r="DA33" s="9" t="str">
        <f>_xll.SNL.Clients.Office.Excel.Functions.SPG(CX33, "SP_COUNTRY_NAME")</f>
        <v>#INVALID COMPANY ID</v>
      </c>
      <c r="DB33" t="s">
        <v>583</v>
      </c>
      <c r="DC33">
        <v>4579014</v>
      </c>
      <c r="DD33" t="s">
        <v>346</v>
      </c>
      <c r="DE33" s="11">
        <v>0.46</v>
      </c>
      <c r="DF33" s="9" t="str">
        <f>_xll.SNL.Clients.Office.Excel.Functions.SPG(DC33, "SP_COUNTRY_NAME")</f>
        <v>USA</v>
      </c>
      <c r="DK33" s="9" t="str">
        <f>_xll.SNL.Clients.Office.Excel.Functions.SPG(DH33, "SP_COUNTRY_NAME")</f>
        <v>#INVALID COMPANY ID</v>
      </c>
      <c r="DL33" t="s">
        <v>583</v>
      </c>
      <c r="DM33">
        <v>4579014</v>
      </c>
      <c r="DN33" t="s">
        <v>346</v>
      </c>
      <c r="DO33" s="11">
        <v>0.46</v>
      </c>
      <c r="DP33" s="9" t="str">
        <f>_xll.SNL.Clients.Office.Excel.Functions.SPG(DM33, "SP_COUNTRY_NAME")</f>
        <v>USA</v>
      </c>
      <c r="DU33" s="9" t="str">
        <f>_xll.SNL.Clients.Office.Excel.Functions.SPG(DR33, "SP_COUNTRY_NAME")</f>
        <v>#INVALID COMPANY ID</v>
      </c>
      <c r="DV33" t="s">
        <v>439</v>
      </c>
      <c r="DW33">
        <v>4757367</v>
      </c>
      <c r="DX33" t="s">
        <v>363</v>
      </c>
      <c r="DY33" s="11">
        <v>0.01</v>
      </c>
      <c r="DZ33" s="9" t="str">
        <f>_xll.SNL.Clients.Office.Excel.Functions.SPG(DW33, "SP_COUNTRY_NAME")</f>
        <v>Australia</v>
      </c>
      <c r="EA33" t="s">
        <v>1615</v>
      </c>
      <c r="EB33">
        <v>4048646</v>
      </c>
      <c r="EC33" t="s">
        <v>364</v>
      </c>
      <c r="ED33" s="11">
        <v>0.33</v>
      </c>
      <c r="EE33" s="9" t="str">
        <f>_xll.SNL.Clients.Office.Excel.Functions.SPG(EB33, "SP_COUNTRY_NAME")</f>
        <v>USA</v>
      </c>
      <c r="EF33" t="s">
        <v>583</v>
      </c>
      <c r="EG33">
        <v>4579014</v>
      </c>
      <c r="EH33" t="s">
        <v>346</v>
      </c>
      <c r="EI33" s="11">
        <v>0.46</v>
      </c>
      <c r="EJ33" s="9" t="str">
        <f>_xll.SNL.Clients.Office.Excel.Functions.SPG(EG33, "SP_COUNTRY_NAME")</f>
        <v>USA</v>
      </c>
      <c r="EO33" s="9" t="str">
        <f>_xll.SNL.Clients.Office.Excel.Functions.SPG(EL33, "SP_COUNTRY_NAME")</f>
        <v>#INVALID COMPANY ID</v>
      </c>
      <c r="EP33" t="s">
        <v>396</v>
      </c>
      <c r="EQ33">
        <v>4119759</v>
      </c>
      <c r="ER33" t="s">
        <v>346</v>
      </c>
      <c r="ES33" s="11">
        <v>0.03</v>
      </c>
      <c r="ET33" s="9" t="str">
        <f>_xll.SNL.Clients.Office.Excel.Functions.SPG(EQ33, "SP_COUNTRY_NAME")</f>
        <v>USA</v>
      </c>
      <c r="EY33" s="9" t="str">
        <f>_xll.SNL.Clients.Office.Excel.Functions.SPG(EV33, "SP_COUNTRY_NAME")</f>
        <v>#INVALID COMPANY ID</v>
      </c>
      <c r="EZ33" t="s">
        <v>1932</v>
      </c>
      <c r="FA33" t="s">
        <v>300</v>
      </c>
      <c r="FB33" t="s">
        <v>361</v>
      </c>
      <c r="FC33" s="11">
        <v>0.01</v>
      </c>
      <c r="FD33" s="9" t="str">
        <f>_xll.SNL.Clients.Office.Excel.Functions.SPG(FA33, "SP_COUNTRY_NAME")</f>
        <v>China</v>
      </c>
      <c r="FE33" t="s">
        <v>464</v>
      </c>
      <c r="FF33">
        <v>4629378</v>
      </c>
      <c r="FG33" t="s">
        <v>346</v>
      </c>
      <c r="FH33" s="11">
        <v>0.02</v>
      </c>
      <c r="FI33" s="9" t="str">
        <f>_xll.SNL.Clients.Office.Excel.Functions.SPG(FF33, "SP_COUNTRY_NAME")</f>
        <v>Japan</v>
      </c>
      <c r="FJ33" t="s">
        <v>403</v>
      </c>
      <c r="FK33">
        <v>4033550</v>
      </c>
      <c r="FL33" t="s">
        <v>346</v>
      </c>
      <c r="FM33" s="11">
        <v>0.13</v>
      </c>
      <c r="FN33" s="9" t="str">
        <f>_xll.SNL.Clients.Office.Excel.Functions.SPG(FK33, "SP_COUNTRY_NAME")</f>
        <v>USA</v>
      </c>
      <c r="FS33" s="9" t="str">
        <f>_xll.SNL.Clients.Office.Excel.Functions.SPG(FP33, "SP_COUNTRY_NAME")</f>
        <v>#INVALID COMPANY ID</v>
      </c>
      <c r="FT33" t="s">
        <v>393</v>
      </c>
      <c r="FU33">
        <v>4723508</v>
      </c>
      <c r="FV33" t="s">
        <v>346</v>
      </c>
      <c r="FW33" s="11">
        <v>0.02</v>
      </c>
      <c r="FX33" s="9" t="str">
        <f>_xll.SNL.Clients.Office.Excel.Functions.SPG(FU33, "SP_COUNTRY_NAME")</f>
        <v>United Kingdom</v>
      </c>
      <c r="FY33" t="s">
        <v>583</v>
      </c>
      <c r="FZ33">
        <v>4579014</v>
      </c>
      <c r="GA33" t="s">
        <v>346</v>
      </c>
      <c r="GB33" s="11">
        <v>0.46</v>
      </c>
      <c r="GC33" s="9" t="str">
        <f>_xll.SNL.Clients.Office.Excel.Functions.SPG(FZ33, "SP_COUNTRY_NAME")</f>
        <v>USA</v>
      </c>
      <c r="GD33" t="s">
        <v>1932</v>
      </c>
      <c r="GE33" t="s">
        <v>300</v>
      </c>
      <c r="GF33" t="s">
        <v>361</v>
      </c>
      <c r="GG33" s="11">
        <v>0.01</v>
      </c>
      <c r="GH33" s="9" t="str">
        <f>_xll.SNL.Clients.Office.Excel.Functions.SPG(GE33, "SP_COUNTRY_NAME")</f>
        <v>China</v>
      </c>
      <c r="GI33" t="s">
        <v>464</v>
      </c>
      <c r="GJ33">
        <v>4629378</v>
      </c>
      <c r="GK33" t="s">
        <v>346</v>
      </c>
      <c r="GL33" s="11">
        <v>0.02</v>
      </c>
      <c r="GM33" s="9" t="str">
        <f>_xll.SNL.Clients.Office.Excel.Functions.SPG(GJ33, "SP_COUNTRY_NAME")</f>
        <v>Japan</v>
      </c>
      <c r="GN33" t="s">
        <v>403</v>
      </c>
      <c r="GO33">
        <v>4033550</v>
      </c>
      <c r="GP33" t="s">
        <v>346</v>
      </c>
      <c r="GQ33" s="11">
        <v>0.13</v>
      </c>
      <c r="GR33" s="9" t="str">
        <f>_xll.SNL.Clients.Office.Excel.Functions.SPG(GO33, "SP_COUNTRY_NAME")</f>
        <v>USA</v>
      </c>
      <c r="GS33" t="s">
        <v>665</v>
      </c>
      <c r="GT33">
        <v>4137720</v>
      </c>
      <c r="GU33" t="s">
        <v>346</v>
      </c>
      <c r="GV33" s="11">
        <v>0.08</v>
      </c>
      <c r="GW33" s="9" t="str">
        <f>_xll.SNL.Clients.Office.Excel.Functions.SPG(GT33, "SP_COUNTRY_NAME")</f>
        <v>China</v>
      </c>
      <c r="GX33" t="s">
        <v>1615</v>
      </c>
      <c r="GY33">
        <v>4048646</v>
      </c>
      <c r="GZ33" t="s">
        <v>364</v>
      </c>
      <c r="HA33" s="11">
        <v>0.33</v>
      </c>
      <c r="HB33" s="9" t="str">
        <f>_xll.SNL.Clients.Office.Excel.Functions.SPG(GY33, "SP_COUNTRY_NAME")</f>
        <v>USA</v>
      </c>
      <c r="HG33" s="9" t="str">
        <f>_xll.SNL.Clients.Office.Excel.Functions.SPG(HD33, "SP_COUNTRY_NAME")</f>
        <v>#INVALID COMPANY ID</v>
      </c>
    </row>
    <row r="34" spans="5:215" x14ac:dyDescent="0.35">
      <c r="E34" s="9" t="str">
        <f>_xll.SNL.Clients.Office.Excel.Functions.SPG(B34, "SP_COUNTRY_NAME")</f>
        <v>#INVALID COMPANY ID</v>
      </c>
      <c r="F34" t="s">
        <v>438</v>
      </c>
      <c r="G34">
        <v>4040817</v>
      </c>
      <c r="H34" t="s">
        <v>364</v>
      </c>
      <c r="I34" s="11">
        <v>0.22</v>
      </c>
      <c r="J34" s="9" t="str">
        <f>_xll.SNL.Clients.Office.Excel.Functions.SPG(G34, "SP_COUNTRY_NAME")</f>
        <v>United Kingdom</v>
      </c>
      <c r="K34" t="s">
        <v>497</v>
      </c>
      <c r="L34">
        <v>4138770</v>
      </c>
      <c r="M34" t="s">
        <v>346</v>
      </c>
      <c r="N34" s="11">
        <v>0.04</v>
      </c>
      <c r="O34" s="9" t="str">
        <f>_xll.SNL.Clients.Office.Excel.Functions.SPG(L34, "SP_COUNTRY_NAME")</f>
        <v>United Kingdom</v>
      </c>
      <c r="T34" s="9" t="str">
        <f>_xll.SNL.Clients.Office.Excel.Functions.SPG(Q34, "SP_COUNTRY_NAME")</f>
        <v>#INVALID COMPANY ID</v>
      </c>
      <c r="U34" t="s">
        <v>719</v>
      </c>
      <c r="V34">
        <v>4139954</v>
      </c>
      <c r="W34" t="s">
        <v>346</v>
      </c>
      <c r="X34" s="11">
        <v>0.38</v>
      </c>
      <c r="Y34" s="9" t="str">
        <f>_xll.SNL.Clients.Office.Excel.Functions.SPG(V34, "SP_COUNTRY_NAME")</f>
        <v>Hong Kong</v>
      </c>
      <c r="Z34" t="s">
        <v>497</v>
      </c>
      <c r="AA34">
        <v>4138770</v>
      </c>
      <c r="AB34" t="s">
        <v>346</v>
      </c>
      <c r="AC34" s="11">
        <v>0.04</v>
      </c>
      <c r="AD34" s="9" t="str">
        <f>_xll.SNL.Clients.Office.Excel.Functions.SPG(AA34, "SP_COUNTRY_NAME")</f>
        <v>United Kingdom</v>
      </c>
      <c r="AE34" t="s">
        <v>1115</v>
      </c>
      <c r="AF34">
        <v>4140101</v>
      </c>
      <c r="AG34" t="s">
        <v>363</v>
      </c>
      <c r="AH34" s="11">
        <v>0.13</v>
      </c>
      <c r="AI34" s="9" t="str">
        <f>_xll.SNL.Clients.Office.Excel.Functions.SPG(AF34, "SP_COUNTRY_NAME")</f>
        <v>Sweden</v>
      </c>
      <c r="AN34" s="9" t="str">
        <f>_xll.SNL.Clients.Office.Excel.Functions.SPG(AK34, "SP_COUNTRY_NAME")</f>
        <v>#INVALID COMPANY ID</v>
      </c>
      <c r="AO34" t="s">
        <v>1260</v>
      </c>
      <c r="AP34">
        <v>4139972</v>
      </c>
      <c r="AQ34" t="s">
        <v>346</v>
      </c>
      <c r="AR34" s="11">
        <v>0.26</v>
      </c>
      <c r="AS34" s="9" t="str">
        <f>_xll.SNL.Clients.Office.Excel.Functions.SPG(AP34, "SP_COUNTRY_NAME")</f>
        <v>South Africa</v>
      </c>
      <c r="AX34" s="9" t="str">
        <f>_xll.SNL.Clients.Office.Excel.Functions.SPG(AU34, "SP_COUNTRY_NAME")</f>
        <v>#INVALID COMPANY ID</v>
      </c>
      <c r="AY34" t="s">
        <v>647</v>
      </c>
      <c r="AZ34">
        <v>4556995</v>
      </c>
      <c r="BA34" t="s">
        <v>346</v>
      </c>
      <c r="BB34" s="11">
        <v>0.09</v>
      </c>
      <c r="BC34" s="9" t="str">
        <f>_xll.SNL.Clients.Office.Excel.Functions.SPG(AZ34, "SP_COUNTRY_NAME")</f>
        <v>China</v>
      </c>
      <c r="BD34" t="s">
        <v>401</v>
      </c>
      <c r="BE34">
        <v>4139862</v>
      </c>
      <c r="BF34" t="s">
        <v>346</v>
      </c>
      <c r="BG34" s="11">
        <v>0.45</v>
      </c>
      <c r="BH34" s="9" t="str">
        <f>_xll.SNL.Clients.Office.Excel.Functions.SPG(BE34, "SP_COUNTRY_NAME")</f>
        <v>United Kingdom</v>
      </c>
      <c r="BI34" t="s">
        <v>433</v>
      </c>
      <c r="BJ34">
        <v>3000896</v>
      </c>
      <c r="BK34" t="s">
        <v>346</v>
      </c>
      <c r="BL34" s="11">
        <v>0.19</v>
      </c>
      <c r="BM34" s="9" t="str">
        <f>_xll.SNL.Clients.Office.Excel.Functions.SPG(BJ34, "SP_COUNTRY_NAME")</f>
        <v>USA</v>
      </c>
      <c r="BN34" t="s">
        <v>415</v>
      </c>
      <c r="BO34">
        <v>110587</v>
      </c>
      <c r="BP34" t="s">
        <v>346</v>
      </c>
      <c r="BQ34" s="11">
        <v>0.08</v>
      </c>
      <c r="BR34" s="9" t="str">
        <f>_xll.SNL.Clients.Office.Excel.Functions.SPG(BO34, "SP_COUNTRY_NAME")</f>
        <v>USA</v>
      </c>
      <c r="BS34" t="s">
        <v>720</v>
      </c>
      <c r="BT34">
        <v>4139225</v>
      </c>
      <c r="BU34" t="s">
        <v>346</v>
      </c>
      <c r="BV34" s="11">
        <v>0.31</v>
      </c>
      <c r="BW34" s="9" t="str">
        <f>_xll.SNL.Clients.Office.Excel.Functions.SPG(BT34, "SP_COUNTRY_NAME")</f>
        <v>China</v>
      </c>
      <c r="BX34" t="s">
        <v>719</v>
      </c>
      <c r="BY34">
        <v>4139954</v>
      </c>
      <c r="BZ34" t="s">
        <v>346</v>
      </c>
      <c r="CA34" s="11">
        <v>0.38</v>
      </c>
      <c r="CB34" s="9" t="str">
        <f>_xll.SNL.Clients.Office.Excel.Functions.SPG(BY34, "SP_COUNTRY_NAME")</f>
        <v>Hong Kong</v>
      </c>
      <c r="CC34" t="s">
        <v>1616</v>
      </c>
      <c r="CD34">
        <v>4270420</v>
      </c>
      <c r="CE34" t="s">
        <v>300</v>
      </c>
      <c r="CF34" s="11">
        <v>0.3</v>
      </c>
      <c r="CG34" s="9" t="str">
        <f>_xll.SNL.Clients.Office.Excel.Functions.SPG(CD34, "SP_COUNTRY_NAME")</f>
        <v>Brazil</v>
      </c>
      <c r="CH34" t="s">
        <v>1260</v>
      </c>
      <c r="CI34">
        <v>4139972</v>
      </c>
      <c r="CJ34" t="s">
        <v>346</v>
      </c>
      <c r="CK34" s="11">
        <v>0.26</v>
      </c>
      <c r="CL34" s="9" t="str">
        <f>_xll.SNL.Clients.Office.Excel.Functions.SPG(CI34, "SP_COUNTRY_NAME")</f>
        <v>South Africa</v>
      </c>
      <c r="CM34" t="s">
        <v>394</v>
      </c>
      <c r="CN34">
        <v>4048695</v>
      </c>
      <c r="CO34" t="s">
        <v>346</v>
      </c>
      <c r="CP34" s="11">
        <v>0.42</v>
      </c>
      <c r="CQ34" s="9" t="str">
        <f>_xll.SNL.Clients.Office.Excel.Functions.SPG(CN34, "SP_COUNTRY_NAME")</f>
        <v>USA</v>
      </c>
      <c r="CV34" s="9" t="str">
        <f>_xll.SNL.Clients.Office.Excel.Functions.SPG(CS34, "SP_COUNTRY_NAME")</f>
        <v>#INVALID COMPANY ID</v>
      </c>
      <c r="DA34" s="9" t="str">
        <f>_xll.SNL.Clients.Office.Excel.Functions.SPG(CX34, "SP_COUNTRY_NAME")</f>
        <v>#INVALID COMPANY ID</v>
      </c>
      <c r="DB34" t="s">
        <v>401</v>
      </c>
      <c r="DC34">
        <v>4139862</v>
      </c>
      <c r="DD34" t="s">
        <v>346</v>
      </c>
      <c r="DE34" s="11">
        <v>0.45</v>
      </c>
      <c r="DF34" s="9" t="str">
        <f>_xll.SNL.Clients.Office.Excel.Functions.SPG(DC34, "SP_COUNTRY_NAME")</f>
        <v>United Kingdom</v>
      </c>
      <c r="DK34" s="9" t="str">
        <f>_xll.SNL.Clients.Office.Excel.Functions.SPG(DH34, "SP_COUNTRY_NAME")</f>
        <v>#INVALID COMPANY ID</v>
      </c>
      <c r="DL34" t="s">
        <v>401</v>
      </c>
      <c r="DM34">
        <v>4139862</v>
      </c>
      <c r="DN34" t="s">
        <v>346</v>
      </c>
      <c r="DO34" s="11">
        <v>0.45</v>
      </c>
      <c r="DP34" s="9" t="str">
        <f>_xll.SNL.Clients.Office.Excel.Functions.SPG(DM34, "SP_COUNTRY_NAME")</f>
        <v>United Kingdom</v>
      </c>
      <c r="DU34" s="9" t="str">
        <f>_xll.SNL.Clients.Office.Excel.Functions.SPG(DR34, "SP_COUNTRY_NAME")</f>
        <v>#INVALID COMPANY ID</v>
      </c>
      <c r="DV34" t="s">
        <v>501</v>
      </c>
      <c r="DW34">
        <v>111359</v>
      </c>
      <c r="DX34" t="s">
        <v>346</v>
      </c>
      <c r="DY34" s="11">
        <v>0.01</v>
      </c>
      <c r="DZ34" s="9" t="str">
        <f>_xll.SNL.Clients.Office.Excel.Functions.SPG(DW34, "SP_COUNTRY_NAME")</f>
        <v>USA</v>
      </c>
      <c r="EA34" t="s">
        <v>1616</v>
      </c>
      <c r="EB34">
        <v>4270420</v>
      </c>
      <c r="EC34" t="s">
        <v>300</v>
      </c>
      <c r="ED34" s="11">
        <v>0.3</v>
      </c>
      <c r="EE34" s="9" t="str">
        <f>_xll.SNL.Clients.Office.Excel.Functions.SPG(EB34, "SP_COUNTRY_NAME")</f>
        <v>Brazil</v>
      </c>
      <c r="EF34" t="s">
        <v>401</v>
      </c>
      <c r="EG34">
        <v>4139862</v>
      </c>
      <c r="EH34" t="s">
        <v>346</v>
      </c>
      <c r="EI34" s="11">
        <v>0.45</v>
      </c>
      <c r="EJ34" s="9" t="str">
        <f>_xll.SNL.Clients.Office.Excel.Functions.SPG(EG34, "SP_COUNTRY_NAME")</f>
        <v>United Kingdom</v>
      </c>
      <c r="EO34" s="9" t="str">
        <f>_xll.SNL.Clients.Office.Excel.Functions.SPG(EL34, "SP_COUNTRY_NAME")</f>
        <v>#INVALID COMPANY ID</v>
      </c>
      <c r="EP34" t="s">
        <v>394</v>
      </c>
      <c r="EQ34">
        <v>4048695</v>
      </c>
      <c r="ER34" t="s">
        <v>346</v>
      </c>
      <c r="ES34" s="11">
        <v>0.02</v>
      </c>
      <c r="ET34" s="9" t="str">
        <f>_xll.SNL.Clients.Office.Excel.Functions.SPG(EQ34, "SP_COUNTRY_NAME")</f>
        <v>USA</v>
      </c>
      <c r="EY34" s="9" t="str">
        <f>_xll.SNL.Clients.Office.Excel.Functions.SPG(EV34, "SP_COUNTRY_NAME")</f>
        <v>#INVALID COMPANY ID</v>
      </c>
      <c r="EZ34" t="s">
        <v>1933</v>
      </c>
      <c r="FA34" t="s">
        <v>300</v>
      </c>
      <c r="FB34" t="s">
        <v>361</v>
      </c>
      <c r="FC34" s="11">
        <v>0</v>
      </c>
      <c r="FD34" s="9" t="str">
        <f>_xll.SNL.Clients.Office.Excel.Functions.SPG(FA34, "SP_COUNTRY_NAME")</f>
        <v>China</v>
      </c>
      <c r="FE34" t="s">
        <v>393</v>
      </c>
      <c r="FF34">
        <v>4723508</v>
      </c>
      <c r="FG34" t="s">
        <v>346</v>
      </c>
      <c r="FH34" s="11">
        <v>0.01</v>
      </c>
      <c r="FI34" s="9" t="str">
        <f>_xll.SNL.Clients.Office.Excel.Functions.SPG(FF34, "SP_COUNTRY_NAME")</f>
        <v>United Kingdom</v>
      </c>
      <c r="FJ34" t="s">
        <v>428</v>
      </c>
      <c r="FK34">
        <v>4116134</v>
      </c>
      <c r="FL34" t="s">
        <v>346</v>
      </c>
      <c r="FM34" s="11">
        <v>0.13</v>
      </c>
      <c r="FN34" s="9" t="str">
        <f>_xll.SNL.Clients.Office.Excel.Functions.SPG(FK34, "SP_COUNTRY_NAME")</f>
        <v>Japan</v>
      </c>
      <c r="FS34" s="9" t="str">
        <f>_xll.SNL.Clients.Office.Excel.Functions.SPG(FP34, "SP_COUNTRY_NAME")</f>
        <v>#INVALID COMPANY ID</v>
      </c>
      <c r="FT34" t="s">
        <v>394</v>
      </c>
      <c r="FU34">
        <v>4048695</v>
      </c>
      <c r="FV34" t="s">
        <v>346</v>
      </c>
      <c r="FW34" s="11">
        <v>0.02</v>
      </c>
      <c r="FX34" s="9" t="str">
        <f>_xll.SNL.Clients.Office.Excel.Functions.SPG(FU34, "SP_COUNTRY_NAME")</f>
        <v>USA</v>
      </c>
      <c r="FY34" t="s">
        <v>401</v>
      </c>
      <c r="FZ34">
        <v>4139862</v>
      </c>
      <c r="GA34" t="s">
        <v>346</v>
      </c>
      <c r="GB34" s="11">
        <v>0.45</v>
      </c>
      <c r="GC34" s="9" t="str">
        <f>_xll.SNL.Clients.Office.Excel.Functions.SPG(FZ34, "SP_COUNTRY_NAME")</f>
        <v>United Kingdom</v>
      </c>
      <c r="GD34" t="s">
        <v>1933</v>
      </c>
      <c r="GE34" t="s">
        <v>300</v>
      </c>
      <c r="GF34" t="s">
        <v>361</v>
      </c>
      <c r="GG34" s="11">
        <v>0</v>
      </c>
      <c r="GH34" s="9" t="str">
        <f>_xll.SNL.Clients.Office.Excel.Functions.SPG(GE34, "SP_COUNTRY_NAME")</f>
        <v>China</v>
      </c>
      <c r="GI34" t="s">
        <v>393</v>
      </c>
      <c r="GJ34">
        <v>4723508</v>
      </c>
      <c r="GK34" t="s">
        <v>346</v>
      </c>
      <c r="GL34" s="11">
        <v>0.01</v>
      </c>
      <c r="GM34" s="9" t="str">
        <f>_xll.SNL.Clients.Office.Excel.Functions.SPG(GJ34, "SP_COUNTRY_NAME")</f>
        <v>United Kingdom</v>
      </c>
      <c r="GN34" t="s">
        <v>428</v>
      </c>
      <c r="GO34">
        <v>4116134</v>
      </c>
      <c r="GP34" t="s">
        <v>346</v>
      </c>
      <c r="GQ34" s="11">
        <v>0.13</v>
      </c>
      <c r="GR34" s="9" t="str">
        <f>_xll.SNL.Clients.Office.Excel.Functions.SPG(GO34, "SP_COUNTRY_NAME")</f>
        <v>Japan</v>
      </c>
      <c r="GS34" t="s">
        <v>415</v>
      </c>
      <c r="GT34">
        <v>110587</v>
      </c>
      <c r="GU34" t="s">
        <v>346</v>
      </c>
      <c r="GV34" s="11">
        <v>0.08</v>
      </c>
      <c r="GW34" s="9" t="str">
        <f>_xll.SNL.Clients.Office.Excel.Functions.SPG(GT34, "SP_COUNTRY_NAME")</f>
        <v>USA</v>
      </c>
      <c r="GX34" t="s">
        <v>1616</v>
      </c>
      <c r="GY34">
        <v>4270420</v>
      </c>
      <c r="GZ34" t="s">
        <v>300</v>
      </c>
      <c r="HA34" s="11">
        <v>0.3</v>
      </c>
      <c r="HB34" s="9" t="str">
        <f>_xll.SNL.Clients.Office.Excel.Functions.SPG(GY34, "SP_COUNTRY_NAME")</f>
        <v>Brazil</v>
      </c>
      <c r="HG34" s="9" t="str">
        <f>_xll.SNL.Clients.Office.Excel.Functions.SPG(HD34, "SP_COUNTRY_NAME")</f>
        <v>#INVALID COMPANY ID</v>
      </c>
    </row>
    <row r="35" spans="5:215" x14ac:dyDescent="0.35">
      <c r="E35" s="9" t="str">
        <f>_xll.SNL.Clients.Office.Excel.Functions.SPG(B35, "SP_COUNTRY_NAME")</f>
        <v>#INVALID COMPANY ID</v>
      </c>
      <c r="F35" t="s">
        <v>439</v>
      </c>
      <c r="G35">
        <v>4757367</v>
      </c>
      <c r="H35" t="s">
        <v>363</v>
      </c>
      <c r="I35" s="11">
        <v>0.2</v>
      </c>
      <c r="J35" s="9" t="str">
        <f>_xll.SNL.Clients.Office.Excel.Functions.SPG(G35, "SP_COUNTRY_NAME")</f>
        <v>Australia</v>
      </c>
      <c r="K35" t="s">
        <v>648</v>
      </c>
      <c r="L35">
        <v>4147551</v>
      </c>
      <c r="M35" t="s">
        <v>366</v>
      </c>
      <c r="N35" s="11">
        <v>0.04</v>
      </c>
      <c r="O35" s="9" t="str">
        <f>_xll.SNL.Clients.Office.Excel.Functions.SPG(L35, "SP_COUNTRY_NAME")</f>
        <v>China</v>
      </c>
      <c r="T35" s="9" t="str">
        <f>_xll.SNL.Clients.Office.Excel.Functions.SPG(Q35, "SP_COUNTRY_NAME")</f>
        <v>#INVALID COMPANY ID</v>
      </c>
      <c r="U35" t="s">
        <v>383</v>
      </c>
      <c r="V35">
        <v>103042</v>
      </c>
      <c r="W35" t="s">
        <v>366</v>
      </c>
      <c r="X35" s="11">
        <v>0.36</v>
      </c>
      <c r="Y35" s="9" t="str">
        <f>_xll.SNL.Clients.Office.Excel.Functions.SPG(V35, "SP_COUNTRY_NAME")</f>
        <v>USA</v>
      </c>
      <c r="Z35" t="s">
        <v>648</v>
      </c>
      <c r="AA35">
        <v>4147551</v>
      </c>
      <c r="AB35" t="s">
        <v>366</v>
      </c>
      <c r="AC35" s="11">
        <v>0.04</v>
      </c>
      <c r="AD35" s="9" t="str">
        <f>_xll.SNL.Clients.Office.Excel.Functions.SPG(AA35, "SP_COUNTRY_NAME")</f>
        <v>China</v>
      </c>
      <c r="AE35" t="s">
        <v>1116</v>
      </c>
      <c r="AF35">
        <v>5767392</v>
      </c>
      <c r="AG35" t="s">
        <v>346</v>
      </c>
      <c r="AH35" s="11">
        <v>0.13</v>
      </c>
      <c r="AI35" s="9" t="str">
        <f>_xll.SNL.Clients.Office.Excel.Functions.SPG(AF35, "SP_COUNTRY_NAME")</f>
        <v>Ireland</v>
      </c>
      <c r="AN35" s="9" t="str">
        <f>_xll.SNL.Clients.Office.Excel.Functions.SPG(AK35, "SP_COUNTRY_NAME")</f>
        <v>#INVALID COMPANY ID</v>
      </c>
      <c r="AO35" t="s">
        <v>432</v>
      </c>
      <c r="AP35">
        <v>110092</v>
      </c>
      <c r="AQ35" t="s">
        <v>346</v>
      </c>
      <c r="AR35" s="11">
        <v>0.25</v>
      </c>
      <c r="AS35" s="9" t="str">
        <f>_xll.SNL.Clients.Office.Excel.Functions.SPG(AP35, "SP_COUNTRY_NAME")</f>
        <v>USA</v>
      </c>
      <c r="AX35" s="9" t="str">
        <f>_xll.SNL.Clients.Office.Excel.Functions.SPG(AU35, "SP_COUNTRY_NAME")</f>
        <v>#INVALID COMPANY ID</v>
      </c>
      <c r="AY35" t="s">
        <v>772</v>
      </c>
      <c r="AZ35">
        <v>4137684</v>
      </c>
      <c r="BA35" t="s">
        <v>300</v>
      </c>
      <c r="BB35" s="11">
        <v>7.0000000000000007E-2</v>
      </c>
      <c r="BC35" s="9" t="str">
        <f>_xll.SNL.Clients.Office.Excel.Functions.SPG(AZ35, "SP_COUNTRY_NAME")</f>
        <v>China</v>
      </c>
      <c r="BD35" t="s">
        <v>354</v>
      </c>
      <c r="BE35">
        <v>110652</v>
      </c>
      <c r="BF35" t="s">
        <v>346</v>
      </c>
      <c r="BG35" s="11">
        <v>0.44</v>
      </c>
      <c r="BH35" s="9" t="str">
        <f>_xll.SNL.Clients.Office.Excel.Functions.SPG(BE35, "SP_COUNTRY_NAME")</f>
        <v>USA</v>
      </c>
      <c r="BI35" t="s">
        <v>643</v>
      </c>
      <c r="BJ35">
        <v>8365031</v>
      </c>
      <c r="BK35" t="s">
        <v>346</v>
      </c>
      <c r="BL35" s="11">
        <v>0.19</v>
      </c>
      <c r="BM35" s="9" t="str">
        <f>_xll.SNL.Clients.Office.Excel.Functions.SPG(BJ35, "SP_COUNTRY_NAME")</f>
        <v>Australia</v>
      </c>
      <c r="BN35" t="s">
        <v>380</v>
      </c>
      <c r="BO35">
        <v>4674815</v>
      </c>
      <c r="BP35" t="s">
        <v>346</v>
      </c>
      <c r="BQ35" s="11">
        <v>0.08</v>
      </c>
      <c r="BR35" s="9" t="str">
        <f>_xll.SNL.Clients.Office.Excel.Functions.SPG(BO35, "SP_COUNTRY_NAME")</f>
        <v>Switzerland</v>
      </c>
      <c r="BS35" t="s">
        <v>727</v>
      </c>
      <c r="BT35">
        <v>15508432</v>
      </c>
      <c r="BU35" t="s">
        <v>346</v>
      </c>
      <c r="BV35" s="11">
        <v>0.27</v>
      </c>
      <c r="BW35" s="9" t="str">
        <f>_xll.SNL.Clients.Office.Excel.Functions.SPG(BT35, "SP_COUNTRY_NAME")</f>
        <v>China</v>
      </c>
      <c r="BX35" t="s">
        <v>383</v>
      </c>
      <c r="BY35">
        <v>103042</v>
      </c>
      <c r="BZ35" t="s">
        <v>366</v>
      </c>
      <c r="CA35" s="11">
        <v>0.36</v>
      </c>
      <c r="CB35" s="9" t="str">
        <f>_xll.SNL.Clients.Office.Excel.Functions.SPG(BY35, "SP_COUNTRY_NAME")</f>
        <v>USA</v>
      </c>
      <c r="CC35" t="s">
        <v>1617</v>
      </c>
      <c r="CD35">
        <v>4304911</v>
      </c>
      <c r="CE35" t="s">
        <v>346</v>
      </c>
      <c r="CF35" s="11">
        <v>0.28999999999999998</v>
      </c>
      <c r="CG35" s="9" t="str">
        <f>_xll.SNL.Clients.Office.Excel.Functions.SPG(CD35, "SP_COUNTRY_NAME")</f>
        <v>USA</v>
      </c>
      <c r="CH35" t="s">
        <v>432</v>
      </c>
      <c r="CI35">
        <v>110092</v>
      </c>
      <c r="CJ35" t="s">
        <v>346</v>
      </c>
      <c r="CK35" s="11">
        <v>0.25</v>
      </c>
      <c r="CL35" s="9" t="str">
        <f>_xll.SNL.Clients.Office.Excel.Functions.SPG(CI35, "SP_COUNTRY_NAME")</f>
        <v>USA</v>
      </c>
      <c r="CM35" t="s">
        <v>740</v>
      </c>
      <c r="CN35">
        <v>4271664</v>
      </c>
      <c r="CO35" t="s">
        <v>346</v>
      </c>
      <c r="CP35" s="11">
        <v>0.39</v>
      </c>
      <c r="CQ35" s="9" t="str">
        <f>_xll.SNL.Clients.Office.Excel.Functions.SPG(CN35, "SP_COUNTRY_NAME")</f>
        <v>United Kingdom</v>
      </c>
      <c r="CV35" s="9" t="str">
        <f>_xll.SNL.Clients.Office.Excel.Functions.SPG(CS35, "SP_COUNTRY_NAME")</f>
        <v>#INVALID COMPANY ID</v>
      </c>
      <c r="DA35" s="9" t="str">
        <f>_xll.SNL.Clients.Office.Excel.Functions.SPG(CX35, "SP_COUNTRY_NAME")</f>
        <v>#INVALID COMPANY ID</v>
      </c>
      <c r="DB35" t="s">
        <v>354</v>
      </c>
      <c r="DC35">
        <v>110652</v>
      </c>
      <c r="DD35" t="s">
        <v>346</v>
      </c>
      <c r="DE35" s="11">
        <v>0.44</v>
      </c>
      <c r="DF35" s="9" t="str">
        <f>_xll.SNL.Clients.Office.Excel.Functions.SPG(DC35, "SP_COUNTRY_NAME")</f>
        <v>USA</v>
      </c>
      <c r="DK35" s="9" t="str">
        <f>_xll.SNL.Clients.Office.Excel.Functions.SPG(DH35, "SP_COUNTRY_NAME")</f>
        <v>#INVALID COMPANY ID</v>
      </c>
      <c r="DL35" t="s">
        <v>354</v>
      </c>
      <c r="DM35">
        <v>110652</v>
      </c>
      <c r="DN35" t="s">
        <v>346</v>
      </c>
      <c r="DO35" s="11">
        <v>0.44</v>
      </c>
      <c r="DP35" s="9" t="str">
        <f>_xll.SNL.Clients.Office.Excel.Functions.SPG(DM35, "SP_COUNTRY_NAME")</f>
        <v>USA</v>
      </c>
      <c r="DU35" s="9" t="str">
        <f>_xll.SNL.Clients.Office.Excel.Functions.SPG(DR35, "SP_COUNTRY_NAME")</f>
        <v>#INVALID COMPANY ID</v>
      </c>
      <c r="DV35" t="s">
        <v>1195</v>
      </c>
      <c r="DW35">
        <v>4702400</v>
      </c>
      <c r="DX35" t="s">
        <v>346</v>
      </c>
      <c r="DY35" s="11">
        <v>0.01</v>
      </c>
      <c r="DZ35" s="9" t="str">
        <f>_xll.SNL.Clients.Office.Excel.Functions.SPG(DW35, "SP_COUNTRY_NAME")</f>
        <v>USA</v>
      </c>
      <c r="EA35" t="s">
        <v>1617</v>
      </c>
      <c r="EB35">
        <v>4304911</v>
      </c>
      <c r="EC35" t="s">
        <v>346</v>
      </c>
      <c r="ED35" s="11">
        <v>0.28999999999999998</v>
      </c>
      <c r="EE35" s="9" t="str">
        <f>_xll.SNL.Clients.Office.Excel.Functions.SPG(EB35, "SP_COUNTRY_NAME")</f>
        <v>USA</v>
      </c>
      <c r="EF35" t="s">
        <v>354</v>
      </c>
      <c r="EG35">
        <v>110652</v>
      </c>
      <c r="EH35" t="s">
        <v>346</v>
      </c>
      <c r="EI35" s="11">
        <v>0.44</v>
      </c>
      <c r="EJ35" s="9" t="str">
        <f>_xll.SNL.Clients.Office.Excel.Functions.SPG(EG35, "SP_COUNTRY_NAME")</f>
        <v>USA</v>
      </c>
      <c r="EO35" s="9" t="str">
        <f>_xll.SNL.Clients.Office.Excel.Functions.SPG(EL35, "SP_COUNTRY_NAME")</f>
        <v>#INVALID COMPANY ID</v>
      </c>
      <c r="EP35" t="s">
        <v>735</v>
      </c>
      <c r="EQ35">
        <v>4345966</v>
      </c>
      <c r="ER35" t="s">
        <v>346</v>
      </c>
      <c r="ES35" s="11">
        <v>0.02</v>
      </c>
      <c r="ET35" s="9" t="str">
        <f>_xll.SNL.Clients.Office.Excel.Functions.SPG(EQ35, "SP_COUNTRY_NAME")</f>
        <v>China</v>
      </c>
      <c r="EY35" s="9" t="str">
        <f>_xll.SNL.Clients.Office.Excel.Functions.SPG(EV35, "SP_COUNTRY_NAME")</f>
        <v>#INVALID COMPANY ID</v>
      </c>
      <c r="EZ35" t="s">
        <v>1934</v>
      </c>
      <c r="FA35" t="s">
        <v>300</v>
      </c>
      <c r="FB35" t="s">
        <v>361</v>
      </c>
      <c r="FC35" s="11">
        <v>0</v>
      </c>
      <c r="FD35" s="9" t="str">
        <f>_xll.SNL.Clients.Office.Excel.Functions.SPG(FA35, "SP_COUNTRY_NAME")</f>
        <v>China</v>
      </c>
      <c r="FE35" t="s">
        <v>2153</v>
      </c>
      <c r="FF35" t="s">
        <v>300</v>
      </c>
      <c r="FG35" t="s">
        <v>361</v>
      </c>
      <c r="FH35" s="11">
        <v>0.01</v>
      </c>
      <c r="FI35" s="9" t="str">
        <f>_xll.SNL.Clients.Office.Excel.Functions.SPG(FF35, "SP_COUNTRY_NAME")</f>
        <v>China</v>
      </c>
      <c r="FJ35" t="s">
        <v>399</v>
      </c>
      <c r="FK35">
        <v>4026948</v>
      </c>
      <c r="FL35" t="s">
        <v>346</v>
      </c>
      <c r="FM35" s="11">
        <v>0.12</v>
      </c>
      <c r="FN35" s="9" t="str">
        <f>_xll.SNL.Clients.Office.Excel.Functions.SPG(FK35, "SP_COUNTRY_NAME")</f>
        <v>France</v>
      </c>
      <c r="FS35" s="9" t="str">
        <f>_xll.SNL.Clients.Office.Excel.Functions.SPG(FP35, "SP_COUNTRY_NAME")</f>
        <v>#INVALID COMPANY ID</v>
      </c>
      <c r="FT35" t="s">
        <v>395</v>
      </c>
      <c r="FU35">
        <v>4153606</v>
      </c>
      <c r="FV35" t="s">
        <v>346</v>
      </c>
      <c r="FW35" s="11">
        <v>0.01</v>
      </c>
      <c r="FX35" s="9" t="str">
        <f>_xll.SNL.Clients.Office.Excel.Functions.SPG(FU35, "SP_COUNTRY_NAME")</f>
        <v>USA</v>
      </c>
      <c r="FY35" t="s">
        <v>354</v>
      </c>
      <c r="FZ35">
        <v>110652</v>
      </c>
      <c r="GA35" t="s">
        <v>346</v>
      </c>
      <c r="GB35" s="11">
        <v>0.44</v>
      </c>
      <c r="GC35" s="9" t="str">
        <f>_xll.SNL.Clients.Office.Excel.Functions.SPG(FZ35, "SP_COUNTRY_NAME")</f>
        <v>USA</v>
      </c>
      <c r="GD35" t="s">
        <v>1934</v>
      </c>
      <c r="GE35" t="s">
        <v>300</v>
      </c>
      <c r="GF35" t="s">
        <v>361</v>
      </c>
      <c r="GG35" s="11">
        <v>0</v>
      </c>
      <c r="GH35" s="9" t="str">
        <f>_xll.SNL.Clients.Office.Excel.Functions.SPG(GE35, "SP_COUNTRY_NAME")</f>
        <v>China</v>
      </c>
      <c r="GI35" t="s">
        <v>2153</v>
      </c>
      <c r="GJ35" t="s">
        <v>300</v>
      </c>
      <c r="GK35" t="s">
        <v>361</v>
      </c>
      <c r="GL35" s="11">
        <v>0.01</v>
      </c>
      <c r="GM35" s="9" t="str">
        <f>_xll.SNL.Clients.Office.Excel.Functions.SPG(GJ35, "SP_COUNTRY_NAME")</f>
        <v>China</v>
      </c>
      <c r="GN35" t="s">
        <v>399</v>
      </c>
      <c r="GO35">
        <v>4026948</v>
      </c>
      <c r="GP35" t="s">
        <v>346</v>
      </c>
      <c r="GQ35" s="11">
        <v>0.12</v>
      </c>
      <c r="GR35" s="9" t="str">
        <f>_xll.SNL.Clients.Office.Excel.Functions.SPG(GO35, "SP_COUNTRY_NAME")</f>
        <v>France</v>
      </c>
      <c r="GS35" t="s">
        <v>380</v>
      </c>
      <c r="GT35">
        <v>4674815</v>
      </c>
      <c r="GU35" t="s">
        <v>346</v>
      </c>
      <c r="GV35" s="11">
        <v>0.08</v>
      </c>
      <c r="GW35" s="9" t="str">
        <f>_xll.SNL.Clients.Office.Excel.Functions.SPG(GT35, "SP_COUNTRY_NAME")</f>
        <v>Switzerland</v>
      </c>
      <c r="GX35" t="s">
        <v>1617</v>
      </c>
      <c r="GY35">
        <v>4304911</v>
      </c>
      <c r="GZ35" t="s">
        <v>346</v>
      </c>
      <c r="HA35" s="11">
        <v>0.28999999999999998</v>
      </c>
      <c r="HB35" s="9" t="str">
        <f>_xll.SNL.Clients.Office.Excel.Functions.SPG(GY35, "SP_COUNTRY_NAME")</f>
        <v>USA</v>
      </c>
      <c r="HG35" s="9" t="str">
        <f>_xll.SNL.Clients.Office.Excel.Functions.SPG(HD35, "SP_COUNTRY_NAME")</f>
        <v>#INVALID COMPANY ID</v>
      </c>
    </row>
    <row r="36" spans="5:215" x14ac:dyDescent="0.35">
      <c r="E36" s="9" t="str">
        <f>_xll.SNL.Clients.Office.Excel.Functions.SPG(B36, "SP_COUNTRY_NAME")</f>
        <v>#INVALID COMPANY ID</v>
      </c>
      <c r="F36" t="s">
        <v>440</v>
      </c>
      <c r="G36">
        <v>4140078</v>
      </c>
      <c r="H36" t="s">
        <v>346</v>
      </c>
      <c r="I36" s="11">
        <v>0.19</v>
      </c>
      <c r="J36" s="9" t="str">
        <f>_xll.SNL.Clients.Office.Excel.Functions.SPG(G36, "SP_COUNTRY_NAME")</f>
        <v>Japan</v>
      </c>
      <c r="K36" t="s">
        <v>649</v>
      </c>
      <c r="L36">
        <v>4606392</v>
      </c>
      <c r="M36" t="s">
        <v>346</v>
      </c>
      <c r="N36" s="11">
        <v>0.04</v>
      </c>
      <c r="O36" s="9" t="str">
        <f>_xll.SNL.Clients.Office.Excel.Functions.SPG(L36, "SP_COUNTRY_NAME")</f>
        <v>China</v>
      </c>
      <c r="T36" s="9" t="str">
        <f>_xll.SNL.Clients.Office.Excel.Functions.SPG(Q36, "SP_COUNTRY_NAME")</f>
        <v>#INVALID COMPANY ID</v>
      </c>
      <c r="U36" t="s">
        <v>426</v>
      </c>
      <c r="V36">
        <v>100201</v>
      </c>
      <c r="W36" t="s">
        <v>366</v>
      </c>
      <c r="X36" s="11">
        <v>0.35</v>
      </c>
      <c r="Y36" s="9" t="str">
        <f>_xll.SNL.Clients.Office.Excel.Functions.SPG(V36, "SP_COUNTRY_NAME")</f>
        <v>USA</v>
      </c>
      <c r="Z36" t="s">
        <v>649</v>
      </c>
      <c r="AA36">
        <v>4606392</v>
      </c>
      <c r="AB36" t="s">
        <v>346</v>
      </c>
      <c r="AC36" s="11">
        <v>0.04</v>
      </c>
      <c r="AD36" s="9" t="str">
        <f>_xll.SNL.Clients.Office.Excel.Functions.SPG(AA36, "SP_COUNTRY_NAME")</f>
        <v>China</v>
      </c>
      <c r="AE36" t="s">
        <v>643</v>
      </c>
      <c r="AF36">
        <v>8365031</v>
      </c>
      <c r="AG36" t="s">
        <v>346</v>
      </c>
      <c r="AH36" s="11">
        <v>0.12</v>
      </c>
      <c r="AI36" s="9" t="str">
        <f>_xll.SNL.Clients.Office.Excel.Functions.SPG(AF36, "SP_COUNTRY_NAME")</f>
        <v>Australia</v>
      </c>
      <c r="AN36" s="9" t="str">
        <f>_xll.SNL.Clients.Office.Excel.Functions.SPG(AK36, "SP_COUNTRY_NAME")</f>
        <v>#INVALID COMPANY ID</v>
      </c>
      <c r="AO36" t="s">
        <v>546</v>
      </c>
      <c r="AP36">
        <v>4158830</v>
      </c>
      <c r="AQ36" t="s">
        <v>346</v>
      </c>
      <c r="AR36" s="11">
        <v>0.25</v>
      </c>
      <c r="AS36" s="9" t="str">
        <f>_xll.SNL.Clients.Office.Excel.Functions.SPG(AP36, "SP_COUNTRY_NAME")</f>
        <v>USA</v>
      </c>
      <c r="AX36" s="9" t="str">
        <f>_xll.SNL.Clients.Office.Excel.Functions.SPG(AU36, "SP_COUNTRY_NAME")</f>
        <v>#INVALID COMPANY ID</v>
      </c>
      <c r="AY36" t="s">
        <v>748</v>
      </c>
      <c r="AZ36">
        <v>4138088</v>
      </c>
      <c r="BA36" t="s">
        <v>346</v>
      </c>
      <c r="BB36" s="11">
        <v>0.06</v>
      </c>
      <c r="BC36" s="9" t="str">
        <f>_xll.SNL.Clients.Office.Excel.Functions.SPG(AZ36, "SP_COUNTRY_NAME")</f>
        <v>China</v>
      </c>
      <c r="BD36" t="s">
        <v>430</v>
      </c>
      <c r="BE36">
        <v>4055767</v>
      </c>
      <c r="BF36" t="s">
        <v>346</v>
      </c>
      <c r="BG36" s="11">
        <v>0.43</v>
      </c>
      <c r="BH36" s="9" t="str">
        <f>_xll.SNL.Clients.Office.Excel.Functions.SPG(BE36, "SP_COUNTRY_NAME")</f>
        <v>USA</v>
      </c>
      <c r="BI36" t="s">
        <v>401</v>
      </c>
      <c r="BJ36">
        <v>4139862</v>
      </c>
      <c r="BK36" t="s">
        <v>346</v>
      </c>
      <c r="BL36" s="11">
        <v>0.19</v>
      </c>
      <c r="BM36" s="9" t="str">
        <f>_xll.SNL.Clients.Office.Excel.Functions.SPG(BJ36, "SP_COUNTRY_NAME")</f>
        <v>United Kingdom</v>
      </c>
      <c r="BN36" t="s">
        <v>651</v>
      </c>
      <c r="BO36">
        <v>7059915</v>
      </c>
      <c r="BP36" t="s">
        <v>346</v>
      </c>
      <c r="BQ36" s="11">
        <v>0.08</v>
      </c>
      <c r="BR36" s="9" t="str">
        <f>_xll.SNL.Clients.Office.Excel.Functions.SPG(BO36, "SP_COUNTRY_NAME")</f>
        <v>China</v>
      </c>
      <c r="BS36" t="s">
        <v>639</v>
      </c>
      <c r="BT36">
        <v>4139311</v>
      </c>
      <c r="BU36" t="s">
        <v>346</v>
      </c>
      <c r="BV36" s="11">
        <v>0.24</v>
      </c>
      <c r="BW36" s="9" t="str">
        <f>_xll.SNL.Clients.Office.Excel.Functions.SPG(BT36, "SP_COUNTRY_NAME")</f>
        <v>China</v>
      </c>
      <c r="BX36" t="s">
        <v>426</v>
      </c>
      <c r="BY36">
        <v>100201</v>
      </c>
      <c r="BZ36" t="s">
        <v>366</v>
      </c>
      <c r="CA36" s="11">
        <v>0.35</v>
      </c>
      <c r="CB36" s="9" t="str">
        <f>_xll.SNL.Clients.Office.Excel.Functions.SPG(BY36, "SP_COUNTRY_NAME")</f>
        <v>USA</v>
      </c>
      <c r="CC36" t="s">
        <v>1618</v>
      </c>
      <c r="CD36">
        <v>4244976</v>
      </c>
      <c r="CE36" t="s">
        <v>346</v>
      </c>
      <c r="CF36" s="11">
        <v>0.28000000000000003</v>
      </c>
      <c r="CG36" s="9" t="str">
        <f>_xll.SNL.Clients.Office.Excel.Functions.SPG(CD36, "SP_COUNTRY_NAME")</f>
        <v>Brazil</v>
      </c>
      <c r="CH36" t="s">
        <v>546</v>
      </c>
      <c r="CI36">
        <v>4158830</v>
      </c>
      <c r="CJ36" t="s">
        <v>346</v>
      </c>
      <c r="CK36" s="11">
        <v>0.25</v>
      </c>
      <c r="CL36" s="9" t="str">
        <f>_xll.SNL.Clients.Office.Excel.Functions.SPG(CI36, "SP_COUNTRY_NAME")</f>
        <v>USA</v>
      </c>
      <c r="CM36" t="s">
        <v>716</v>
      </c>
      <c r="CN36">
        <v>4310789</v>
      </c>
      <c r="CO36" t="s">
        <v>346</v>
      </c>
      <c r="CP36" s="11">
        <v>0.36</v>
      </c>
      <c r="CQ36" s="9" t="str">
        <f>_xll.SNL.Clients.Office.Excel.Functions.SPG(CN36, "SP_COUNTRY_NAME")</f>
        <v>France</v>
      </c>
      <c r="CV36" s="9" t="str">
        <f>_xll.SNL.Clients.Office.Excel.Functions.SPG(CS36, "SP_COUNTRY_NAME")</f>
        <v>#INVALID COMPANY ID</v>
      </c>
      <c r="DA36" s="9" t="str">
        <f>_xll.SNL.Clients.Office.Excel.Functions.SPG(CX36, "SP_COUNTRY_NAME")</f>
        <v>#INVALID COMPANY ID</v>
      </c>
      <c r="DB36" t="s">
        <v>430</v>
      </c>
      <c r="DC36">
        <v>4055767</v>
      </c>
      <c r="DD36" t="s">
        <v>346</v>
      </c>
      <c r="DE36" s="11">
        <v>0.43</v>
      </c>
      <c r="DF36" s="9" t="str">
        <f>_xll.SNL.Clients.Office.Excel.Functions.SPG(DC36, "SP_COUNTRY_NAME")</f>
        <v>USA</v>
      </c>
      <c r="DK36" s="9" t="str">
        <f>_xll.SNL.Clients.Office.Excel.Functions.SPG(DH36, "SP_COUNTRY_NAME")</f>
        <v>#INVALID COMPANY ID</v>
      </c>
      <c r="DL36" t="s">
        <v>430</v>
      </c>
      <c r="DM36">
        <v>4055767</v>
      </c>
      <c r="DN36" t="s">
        <v>346</v>
      </c>
      <c r="DO36" s="11">
        <v>0.43</v>
      </c>
      <c r="DP36" s="9" t="str">
        <f>_xll.SNL.Clients.Office.Excel.Functions.SPG(DM36, "SP_COUNTRY_NAME")</f>
        <v>USA</v>
      </c>
      <c r="DU36" s="9" t="str">
        <f>_xll.SNL.Clients.Office.Excel.Functions.SPG(DR36, "SP_COUNTRY_NAME")</f>
        <v>#INVALID COMPANY ID</v>
      </c>
      <c r="DV36" t="s">
        <v>467</v>
      </c>
      <c r="DW36">
        <v>7108293</v>
      </c>
      <c r="DX36" t="s">
        <v>369</v>
      </c>
      <c r="DY36" s="11">
        <v>0.01</v>
      </c>
      <c r="DZ36" s="9" t="str">
        <f>_xll.SNL.Clients.Office.Excel.Functions.SPG(DW36, "SP_COUNTRY_NAME")</f>
        <v>United Kingdom</v>
      </c>
      <c r="EA36" t="s">
        <v>1618</v>
      </c>
      <c r="EB36">
        <v>4244976</v>
      </c>
      <c r="EC36" t="s">
        <v>346</v>
      </c>
      <c r="ED36" s="11">
        <v>0.28000000000000003</v>
      </c>
      <c r="EE36" s="9" t="str">
        <f>_xll.SNL.Clients.Office.Excel.Functions.SPG(EB36, "SP_COUNTRY_NAME")</f>
        <v>Brazil</v>
      </c>
      <c r="EF36" t="s">
        <v>430</v>
      </c>
      <c r="EG36">
        <v>4055767</v>
      </c>
      <c r="EH36" t="s">
        <v>346</v>
      </c>
      <c r="EI36" s="11">
        <v>0.43</v>
      </c>
      <c r="EJ36" s="9" t="str">
        <f>_xll.SNL.Clients.Office.Excel.Functions.SPG(EG36, "SP_COUNTRY_NAME")</f>
        <v>USA</v>
      </c>
      <c r="EO36" s="9" t="str">
        <f>_xll.SNL.Clients.Office.Excel.Functions.SPG(EL36, "SP_COUNTRY_NAME")</f>
        <v>#INVALID COMPANY ID</v>
      </c>
      <c r="EP36" t="s">
        <v>714</v>
      </c>
      <c r="EQ36">
        <v>4388745</v>
      </c>
      <c r="ER36" t="s">
        <v>346</v>
      </c>
      <c r="ES36" s="11">
        <v>0.02</v>
      </c>
      <c r="ET36" s="9" t="str">
        <f>_xll.SNL.Clients.Office.Excel.Functions.SPG(EQ36, "SP_COUNTRY_NAME")</f>
        <v>Hong Kong</v>
      </c>
      <c r="EY36" s="9" t="str">
        <f>_xll.SNL.Clients.Office.Excel.Functions.SPG(EV36, "SP_COUNTRY_NAME")</f>
        <v>#INVALID COMPANY ID</v>
      </c>
      <c r="EZ36" t="s">
        <v>1935</v>
      </c>
      <c r="FA36" t="s">
        <v>300</v>
      </c>
      <c r="FB36" t="s">
        <v>361</v>
      </c>
      <c r="FC36" s="11">
        <v>0</v>
      </c>
      <c r="FD36" s="9" t="str">
        <f>_xll.SNL.Clients.Office.Excel.Functions.SPG(FA36, "SP_COUNTRY_NAME")</f>
        <v>China</v>
      </c>
      <c r="FE36" t="s">
        <v>399</v>
      </c>
      <c r="FF36">
        <v>4026948</v>
      </c>
      <c r="FG36" t="s">
        <v>346</v>
      </c>
      <c r="FH36" s="11">
        <v>0.01</v>
      </c>
      <c r="FI36" s="9" t="str">
        <f>_xll.SNL.Clients.Office.Excel.Functions.SPG(FF36, "SP_COUNTRY_NAME")</f>
        <v>France</v>
      </c>
      <c r="FJ36" t="s">
        <v>469</v>
      </c>
      <c r="FK36">
        <v>4026996</v>
      </c>
      <c r="FL36" t="s">
        <v>346</v>
      </c>
      <c r="FM36" s="11">
        <v>0.11</v>
      </c>
      <c r="FN36" s="9" t="str">
        <f>_xll.SNL.Clients.Office.Excel.Functions.SPG(FK36, "SP_COUNTRY_NAME")</f>
        <v>USA</v>
      </c>
      <c r="FS36" s="9" t="str">
        <f>_xll.SNL.Clients.Office.Excel.Functions.SPG(FP36, "SP_COUNTRY_NAME")</f>
        <v>#INVALID COMPANY ID</v>
      </c>
      <c r="FT36" t="s">
        <v>396</v>
      </c>
      <c r="FU36">
        <v>4119759</v>
      </c>
      <c r="FV36" t="s">
        <v>346</v>
      </c>
      <c r="FW36" s="11">
        <v>0.01</v>
      </c>
      <c r="FX36" s="9" t="str">
        <f>_xll.SNL.Clients.Office.Excel.Functions.SPG(FU36, "SP_COUNTRY_NAME")</f>
        <v>USA</v>
      </c>
      <c r="FY36" t="s">
        <v>430</v>
      </c>
      <c r="FZ36">
        <v>4055767</v>
      </c>
      <c r="GA36" t="s">
        <v>346</v>
      </c>
      <c r="GB36" s="11">
        <v>0.43</v>
      </c>
      <c r="GC36" s="9" t="str">
        <f>_xll.SNL.Clients.Office.Excel.Functions.SPG(FZ36, "SP_COUNTRY_NAME")</f>
        <v>USA</v>
      </c>
      <c r="GD36" t="s">
        <v>1935</v>
      </c>
      <c r="GE36" t="s">
        <v>300</v>
      </c>
      <c r="GF36" t="s">
        <v>361</v>
      </c>
      <c r="GG36" s="11">
        <v>0</v>
      </c>
      <c r="GH36" s="9" t="str">
        <f>_xll.SNL.Clients.Office.Excel.Functions.SPG(GE36, "SP_COUNTRY_NAME")</f>
        <v>China</v>
      </c>
      <c r="GI36" t="s">
        <v>399</v>
      </c>
      <c r="GJ36">
        <v>4026948</v>
      </c>
      <c r="GK36" t="s">
        <v>346</v>
      </c>
      <c r="GL36" s="11">
        <v>0.01</v>
      </c>
      <c r="GM36" s="9" t="str">
        <f>_xll.SNL.Clients.Office.Excel.Functions.SPG(GJ36, "SP_COUNTRY_NAME")</f>
        <v>France</v>
      </c>
      <c r="GN36" t="s">
        <v>469</v>
      </c>
      <c r="GO36">
        <v>4026996</v>
      </c>
      <c r="GP36" t="s">
        <v>346</v>
      </c>
      <c r="GQ36" s="11">
        <v>0.11</v>
      </c>
      <c r="GR36" s="9" t="str">
        <f>_xll.SNL.Clients.Office.Excel.Functions.SPG(GO36, "SP_COUNTRY_NAME")</f>
        <v>USA</v>
      </c>
      <c r="GS36" t="s">
        <v>651</v>
      </c>
      <c r="GT36">
        <v>7059915</v>
      </c>
      <c r="GU36" t="s">
        <v>346</v>
      </c>
      <c r="GV36" s="11">
        <v>0.08</v>
      </c>
      <c r="GW36" s="9" t="str">
        <f>_xll.SNL.Clients.Office.Excel.Functions.SPG(GT36, "SP_COUNTRY_NAME")</f>
        <v>China</v>
      </c>
      <c r="GX36" t="s">
        <v>1618</v>
      </c>
      <c r="GY36">
        <v>4244976</v>
      </c>
      <c r="GZ36" t="s">
        <v>346</v>
      </c>
      <c r="HA36" s="11">
        <v>0.28000000000000003</v>
      </c>
      <c r="HB36" s="9" t="str">
        <f>_xll.SNL.Clients.Office.Excel.Functions.SPG(GY36, "SP_COUNTRY_NAME")</f>
        <v>Brazil</v>
      </c>
      <c r="HG36" s="9" t="str">
        <f>_xll.SNL.Clients.Office.Excel.Functions.SPG(HD36, "SP_COUNTRY_NAME")</f>
        <v>#INVALID COMPANY ID</v>
      </c>
    </row>
    <row r="37" spans="5:215" x14ac:dyDescent="0.35">
      <c r="E37" s="9" t="str">
        <f>_xll.SNL.Clients.Office.Excel.Functions.SPG(B37, "SP_COUNTRY_NAME")</f>
        <v>#INVALID COMPANY ID</v>
      </c>
      <c r="F37" t="s">
        <v>357</v>
      </c>
      <c r="G37">
        <v>4270330</v>
      </c>
      <c r="H37" t="s">
        <v>346</v>
      </c>
      <c r="I37" s="11">
        <v>0.17</v>
      </c>
      <c r="J37" s="9" t="str">
        <f>_xll.SNL.Clients.Office.Excel.Functions.SPG(G37, "SP_COUNTRY_NAME")</f>
        <v>USA</v>
      </c>
      <c r="K37" t="s">
        <v>394</v>
      </c>
      <c r="L37">
        <v>4048695</v>
      </c>
      <c r="M37" t="s">
        <v>346</v>
      </c>
      <c r="N37" s="11">
        <v>0.04</v>
      </c>
      <c r="O37" s="9" t="str">
        <f>_xll.SNL.Clients.Office.Excel.Functions.SPG(L37, "SP_COUNTRY_NAME")</f>
        <v>USA</v>
      </c>
      <c r="T37" s="9" t="str">
        <f>_xll.SNL.Clients.Office.Excel.Functions.SPG(Q37, "SP_COUNTRY_NAME")</f>
        <v>#INVALID COMPANY ID</v>
      </c>
      <c r="U37" t="s">
        <v>644</v>
      </c>
      <c r="V37">
        <v>4138625</v>
      </c>
      <c r="W37" t="s">
        <v>346</v>
      </c>
      <c r="X37" s="11">
        <v>0.35</v>
      </c>
      <c r="Y37" s="9" t="str">
        <f>_xll.SNL.Clients.Office.Excel.Functions.SPG(V37, "SP_COUNTRY_NAME")</f>
        <v>China</v>
      </c>
      <c r="Z37" t="s">
        <v>394</v>
      </c>
      <c r="AA37">
        <v>4048695</v>
      </c>
      <c r="AB37" t="s">
        <v>346</v>
      </c>
      <c r="AC37" s="11">
        <v>0.04</v>
      </c>
      <c r="AD37" s="9" t="str">
        <f>_xll.SNL.Clients.Office.Excel.Functions.SPG(AA37, "SP_COUNTRY_NAME")</f>
        <v>USA</v>
      </c>
      <c r="AE37" t="s">
        <v>509</v>
      </c>
      <c r="AF37">
        <v>4226520</v>
      </c>
      <c r="AG37" t="s">
        <v>346</v>
      </c>
      <c r="AH37" s="11">
        <v>0.12</v>
      </c>
      <c r="AI37" s="9" t="str">
        <f>_xll.SNL.Clients.Office.Excel.Functions.SPG(AF37, "SP_COUNTRY_NAME")</f>
        <v>Canada</v>
      </c>
      <c r="AN37" s="9" t="str">
        <f>_xll.SNL.Clients.Office.Excel.Functions.SPG(AK37, "SP_COUNTRY_NAME")</f>
        <v>#INVALID COMPANY ID</v>
      </c>
      <c r="AO37" t="s">
        <v>1115</v>
      </c>
      <c r="AP37">
        <v>4140101</v>
      </c>
      <c r="AQ37" t="s">
        <v>363</v>
      </c>
      <c r="AR37" s="11">
        <v>0.24</v>
      </c>
      <c r="AS37" s="9" t="str">
        <f>_xll.SNL.Clients.Office.Excel.Functions.SPG(AP37, "SP_COUNTRY_NAME")</f>
        <v>Sweden</v>
      </c>
      <c r="AX37" s="9" t="str">
        <f>_xll.SNL.Clients.Office.Excel.Functions.SPG(AU37, "SP_COUNTRY_NAME")</f>
        <v>#INVALID COMPANY ID</v>
      </c>
      <c r="AY37" t="s">
        <v>385</v>
      </c>
      <c r="AZ37">
        <v>5752504</v>
      </c>
      <c r="BA37" t="s">
        <v>346</v>
      </c>
      <c r="BB37" s="11">
        <v>0.06</v>
      </c>
      <c r="BC37" s="9" t="str">
        <f>_xll.SNL.Clients.Office.Excel.Functions.SPG(AZ37, "SP_COUNTRY_NAME")</f>
        <v>USA</v>
      </c>
      <c r="BD37" t="s">
        <v>1392</v>
      </c>
      <c r="BE37">
        <v>4155715</v>
      </c>
      <c r="BF37" t="s">
        <v>346</v>
      </c>
      <c r="BG37" s="11">
        <v>0.4</v>
      </c>
      <c r="BH37" s="9" t="str">
        <f>_xll.SNL.Clients.Office.Excel.Functions.SPG(BE37, "SP_COUNTRY_NAME")</f>
        <v>Australia</v>
      </c>
      <c r="BI37" t="s">
        <v>411</v>
      </c>
      <c r="BJ37">
        <v>4272373</v>
      </c>
      <c r="BK37" t="s">
        <v>346</v>
      </c>
      <c r="BL37" s="11">
        <v>0.18</v>
      </c>
      <c r="BM37" s="9" t="str">
        <f>_xll.SNL.Clients.Office.Excel.Functions.SPG(BJ37, "SP_COUNTRY_NAME")</f>
        <v>United Kingdom</v>
      </c>
      <c r="BN37" t="s">
        <v>974</v>
      </c>
      <c r="BO37">
        <v>5828077</v>
      </c>
      <c r="BP37" t="s">
        <v>346</v>
      </c>
      <c r="BQ37" s="11">
        <v>0.08</v>
      </c>
      <c r="BR37" s="9" t="str">
        <f>_xll.SNL.Clients.Office.Excel.Functions.SPG(BO37, "SP_COUNTRY_NAME")</f>
        <v>United Kingdom</v>
      </c>
      <c r="BS37" t="s">
        <v>674</v>
      </c>
      <c r="BT37">
        <v>4345965</v>
      </c>
      <c r="BU37" t="s">
        <v>346</v>
      </c>
      <c r="BV37" s="11">
        <v>0.22</v>
      </c>
      <c r="BW37" s="9" t="str">
        <f>_xll.SNL.Clients.Office.Excel.Functions.SPG(BT37, "SP_COUNTRY_NAME")</f>
        <v>China</v>
      </c>
      <c r="BX37" t="s">
        <v>644</v>
      </c>
      <c r="BY37">
        <v>4138625</v>
      </c>
      <c r="BZ37" t="s">
        <v>346</v>
      </c>
      <c r="CA37" s="11">
        <v>0.35</v>
      </c>
      <c r="CB37" s="9" t="str">
        <f>_xll.SNL.Clients.Office.Excel.Functions.SPG(BY37, "SP_COUNTRY_NAME")</f>
        <v>China</v>
      </c>
      <c r="CC37" t="s">
        <v>1619</v>
      </c>
      <c r="CD37">
        <v>1014500</v>
      </c>
      <c r="CE37" t="s">
        <v>370</v>
      </c>
      <c r="CF37" s="11">
        <v>0.25</v>
      </c>
      <c r="CG37" s="9" t="str">
        <f>_xll.SNL.Clients.Office.Excel.Functions.SPG(CD37, "SP_COUNTRY_NAME")</f>
        <v>USA</v>
      </c>
      <c r="CH37" t="s">
        <v>1115</v>
      </c>
      <c r="CI37">
        <v>4140101</v>
      </c>
      <c r="CJ37" t="s">
        <v>363</v>
      </c>
      <c r="CK37" s="11">
        <v>0.24</v>
      </c>
      <c r="CL37" s="9" t="str">
        <f>_xll.SNL.Clients.Office.Excel.Functions.SPG(CI37, "SP_COUNTRY_NAME")</f>
        <v>Sweden</v>
      </c>
      <c r="CM37" t="s">
        <v>953</v>
      </c>
      <c r="CN37">
        <v>4039450</v>
      </c>
      <c r="CO37" t="s">
        <v>346</v>
      </c>
      <c r="CP37" s="11">
        <v>0.33</v>
      </c>
      <c r="CQ37" s="9" t="str">
        <f>_xll.SNL.Clients.Office.Excel.Functions.SPG(CN37, "SP_COUNTRY_NAME")</f>
        <v>USA</v>
      </c>
      <c r="CV37" s="9" t="str">
        <f>_xll.SNL.Clients.Office.Excel.Functions.SPG(CS37, "SP_COUNTRY_NAME")</f>
        <v>#INVALID COMPANY ID</v>
      </c>
      <c r="DA37" s="9" t="str">
        <f>_xll.SNL.Clients.Office.Excel.Functions.SPG(CX37, "SP_COUNTRY_NAME")</f>
        <v>#INVALID COMPANY ID</v>
      </c>
      <c r="DB37" t="s">
        <v>1392</v>
      </c>
      <c r="DC37">
        <v>4155715</v>
      </c>
      <c r="DD37" t="s">
        <v>346</v>
      </c>
      <c r="DE37" s="11">
        <v>0.4</v>
      </c>
      <c r="DF37" s="9" t="str">
        <f>_xll.SNL.Clients.Office.Excel.Functions.SPG(DC37, "SP_COUNTRY_NAME")</f>
        <v>Australia</v>
      </c>
      <c r="DK37" s="9" t="str">
        <f>_xll.SNL.Clients.Office.Excel.Functions.SPG(DH37, "SP_COUNTRY_NAME")</f>
        <v>#INVALID COMPANY ID</v>
      </c>
      <c r="DL37" t="s">
        <v>1392</v>
      </c>
      <c r="DM37">
        <v>4155715</v>
      </c>
      <c r="DN37" t="s">
        <v>346</v>
      </c>
      <c r="DO37" s="11">
        <v>0.4</v>
      </c>
      <c r="DP37" s="9" t="str">
        <f>_xll.SNL.Clients.Office.Excel.Functions.SPG(DM37, "SP_COUNTRY_NAME")</f>
        <v>Australia</v>
      </c>
      <c r="DU37" s="9" t="str">
        <f>_xll.SNL.Clients.Office.Excel.Functions.SPG(DR37, "SP_COUNTRY_NAME")</f>
        <v>#INVALID COMPANY ID</v>
      </c>
      <c r="DV37" t="s">
        <v>1196</v>
      </c>
      <c r="DW37">
        <v>4139155</v>
      </c>
      <c r="DX37" t="s">
        <v>346</v>
      </c>
      <c r="DY37" s="11">
        <v>0.01</v>
      </c>
      <c r="DZ37" s="9" t="str">
        <f>_xll.SNL.Clients.Office.Excel.Functions.SPG(DW37, "SP_COUNTRY_NAME")</f>
        <v>Sweden</v>
      </c>
      <c r="EA37" t="s">
        <v>1619</v>
      </c>
      <c r="EB37">
        <v>1014500</v>
      </c>
      <c r="EC37" t="s">
        <v>370</v>
      </c>
      <c r="ED37" s="11">
        <v>0.25</v>
      </c>
      <c r="EE37" s="9" t="str">
        <f>_xll.SNL.Clients.Office.Excel.Functions.SPG(EB37, "SP_COUNTRY_NAME")</f>
        <v>USA</v>
      </c>
      <c r="EF37" t="s">
        <v>1392</v>
      </c>
      <c r="EG37">
        <v>4155715</v>
      </c>
      <c r="EH37" t="s">
        <v>346</v>
      </c>
      <c r="EI37" s="11">
        <v>0.4</v>
      </c>
      <c r="EJ37" s="9" t="str">
        <f>_xll.SNL.Clients.Office.Excel.Functions.SPG(EG37, "SP_COUNTRY_NAME")</f>
        <v>Australia</v>
      </c>
      <c r="EO37" s="9" t="str">
        <f>_xll.SNL.Clients.Office.Excel.Functions.SPG(EL37, "SP_COUNTRY_NAME")</f>
        <v>#INVALID COMPANY ID</v>
      </c>
      <c r="EP37" t="s">
        <v>894</v>
      </c>
      <c r="EQ37">
        <v>4139629</v>
      </c>
      <c r="ER37" t="s">
        <v>346</v>
      </c>
      <c r="ES37" s="11">
        <v>0.02</v>
      </c>
      <c r="ET37" s="9" t="str">
        <f>_xll.SNL.Clients.Office.Excel.Functions.SPG(EQ37, "SP_COUNTRY_NAME")</f>
        <v>Singapore</v>
      </c>
      <c r="EY37" s="9" t="str">
        <f>_xll.SNL.Clients.Office.Excel.Functions.SPG(EV37, "SP_COUNTRY_NAME")</f>
        <v>#INVALID COMPANY ID</v>
      </c>
      <c r="EZ37" t="s">
        <v>1936</v>
      </c>
      <c r="FA37" t="s">
        <v>300</v>
      </c>
      <c r="FB37" t="s">
        <v>361</v>
      </c>
      <c r="FC37" s="11">
        <v>0</v>
      </c>
      <c r="FD37" s="9" t="str">
        <f>_xll.SNL.Clients.Office.Excel.Functions.SPG(FA37, "SP_COUNTRY_NAME")</f>
        <v>China</v>
      </c>
      <c r="FE37" t="s">
        <v>485</v>
      </c>
      <c r="FF37">
        <v>5652844</v>
      </c>
      <c r="FG37" t="s">
        <v>346</v>
      </c>
      <c r="FH37" s="11">
        <v>0.01</v>
      </c>
      <c r="FI37" s="9" t="str">
        <f>_xll.SNL.Clients.Office.Excel.Functions.SPG(FF37, "SP_COUNTRY_NAME")</f>
        <v>Japan</v>
      </c>
      <c r="FJ37" t="s">
        <v>445</v>
      </c>
      <c r="FK37">
        <v>4241120</v>
      </c>
      <c r="FL37" t="s">
        <v>346</v>
      </c>
      <c r="FM37" s="11">
        <v>0.1</v>
      </c>
      <c r="FN37" s="9" t="str">
        <f>_xll.SNL.Clients.Office.Excel.Functions.SPG(FK37, "SP_COUNTRY_NAME")</f>
        <v>Taiwan</v>
      </c>
      <c r="FS37" s="9" t="str">
        <f>_xll.SNL.Clients.Office.Excel.Functions.SPG(FP37, "SP_COUNTRY_NAME")</f>
        <v>#INVALID COMPANY ID</v>
      </c>
      <c r="FT37" t="s">
        <v>397</v>
      </c>
      <c r="FU37">
        <v>4139795</v>
      </c>
      <c r="FV37" t="s">
        <v>346</v>
      </c>
      <c r="FW37" s="11">
        <v>0.01</v>
      </c>
      <c r="FX37" s="9" t="str">
        <f>_xll.SNL.Clients.Office.Excel.Functions.SPG(FU37, "SP_COUNTRY_NAME")</f>
        <v>Germany</v>
      </c>
      <c r="FY37" t="s">
        <v>1392</v>
      </c>
      <c r="FZ37">
        <v>4155715</v>
      </c>
      <c r="GA37" t="s">
        <v>346</v>
      </c>
      <c r="GB37" s="11">
        <v>0.4</v>
      </c>
      <c r="GC37" s="9" t="str">
        <f>_xll.SNL.Clients.Office.Excel.Functions.SPG(FZ37, "SP_COUNTRY_NAME")</f>
        <v>Australia</v>
      </c>
      <c r="GD37" t="s">
        <v>1936</v>
      </c>
      <c r="GE37" t="s">
        <v>300</v>
      </c>
      <c r="GF37" t="s">
        <v>361</v>
      </c>
      <c r="GG37" s="11">
        <v>0</v>
      </c>
      <c r="GH37" s="9" t="str">
        <f>_xll.SNL.Clients.Office.Excel.Functions.SPG(GE37, "SP_COUNTRY_NAME")</f>
        <v>China</v>
      </c>
      <c r="GI37" t="s">
        <v>485</v>
      </c>
      <c r="GJ37">
        <v>5652844</v>
      </c>
      <c r="GK37" t="s">
        <v>346</v>
      </c>
      <c r="GL37" s="11">
        <v>0.01</v>
      </c>
      <c r="GM37" s="9" t="str">
        <f>_xll.SNL.Clients.Office.Excel.Functions.SPG(GJ37, "SP_COUNTRY_NAME")</f>
        <v>Japan</v>
      </c>
      <c r="GN37" t="s">
        <v>445</v>
      </c>
      <c r="GO37">
        <v>4241120</v>
      </c>
      <c r="GP37" t="s">
        <v>346</v>
      </c>
      <c r="GQ37" s="11">
        <v>0.1</v>
      </c>
      <c r="GR37" s="9" t="str">
        <f>_xll.SNL.Clients.Office.Excel.Functions.SPG(GO37, "SP_COUNTRY_NAME")</f>
        <v>Taiwan</v>
      </c>
      <c r="GS37" t="s">
        <v>974</v>
      </c>
      <c r="GT37">
        <v>5828077</v>
      </c>
      <c r="GU37" t="s">
        <v>346</v>
      </c>
      <c r="GV37" s="11">
        <v>0.08</v>
      </c>
      <c r="GW37" s="9" t="str">
        <f>_xll.SNL.Clients.Office.Excel.Functions.SPG(GT37, "SP_COUNTRY_NAME")</f>
        <v>United Kingdom</v>
      </c>
      <c r="GX37" t="s">
        <v>1619</v>
      </c>
      <c r="GY37">
        <v>1014500</v>
      </c>
      <c r="GZ37" t="s">
        <v>370</v>
      </c>
      <c r="HA37" s="11">
        <v>0.25</v>
      </c>
      <c r="HB37" s="9" t="str">
        <f>_xll.SNL.Clients.Office.Excel.Functions.SPG(GY37, "SP_COUNTRY_NAME")</f>
        <v>USA</v>
      </c>
      <c r="HG37" s="9" t="str">
        <f>_xll.SNL.Clients.Office.Excel.Functions.SPG(HD37, "SP_COUNTRY_NAME")</f>
        <v>#INVALID COMPANY ID</v>
      </c>
    </row>
    <row r="38" spans="5:215" x14ac:dyDescent="0.35">
      <c r="E38" s="9" t="str">
        <f>_xll.SNL.Clients.Office.Excel.Functions.SPG(B38, "SP_COUNTRY_NAME")</f>
        <v>#INVALID COMPANY ID</v>
      </c>
      <c r="F38" t="s">
        <v>409</v>
      </c>
      <c r="G38">
        <v>102719</v>
      </c>
      <c r="H38" t="s">
        <v>346</v>
      </c>
      <c r="I38" s="11">
        <v>0.16</v>
      </c>
      <c r="J38" s="9" t="str">
        <f>_xll.SNL.Clients.Office.Excel.Functions.SPG(G38, "SP_COUNTRY_NAME")</f>
        <v>USA</v>
      </c>
      <c r="K38" t="s">
        <v>429</v>
      </c>
      <c r="L38">
        <v>4607441</v>
      </c>
      <c r="M38" t="s">
        <v>346</v>
      </c>
      <c r="N38" s="11">
        <v>0.04</v>
      </c>
      <c r="O38" s="9" t="str">
        <f>_xll.SNL.Clients.Office.Excel.Functions.SPG(L38, "SP_COUNTRY_NAME")</f>
        <v>Japan</v>
      </c>
      <c r="T38" s="9" t="str">
        <f>_xll.SNL.Clients.Office.Excel.Functions.SPG(Q38, "SP_COUNTRY_NAME")</f>
        <v>#INVALID COMPANY ID</v>
      </c>
      <c r="U38" t="s">
        <v>646</v>
      </c>
      <c r="V38">
        <v>4435100</v>
      </c>
      <c r="W38" t="s">
        <v>346</v>
      </c>
      <c r="X38" s="11">
        <v>0.31</v>
      </c>
      <c r="Y38" s="9" t="str">
        <f>_xll.SNL.Clients.Office.Excel.Functions.SPG(V38, "SP_COUNTRY_NAME")</f>
        <v>China</v>
      </c>
      <c r="Z38" t="s">
        <v>429</v>
      </c>
      <c r="AA38">
        <v>4607441</v>
      </c>
      <c r="AB38" t="s">
        <v>346</v>
      </c>
      <c r="AC38" s="11">
        <v>0.04</v>
      </c>
      <c r="AD38" s="9" t="str">
        <f>_xll.SNL.Clients.Office.Excel.Functions.SPG(AA38, "SP_COUNTRY_NAME")</f>
        <v>Japan</v>
      </c>
      <c r="AE38" t="s">
        <v>439</v>
      </c>
      <c r="AF38">
        <v>4757367</v>
      </c>
      <c r="AG38" t="s">
        <v>363</v>
      </c>
      <c r="AH38" s="11">
        <v>0.12</v>
      </c>
      <c r="AI38" s="9" t="str">
        <f>_xll.SNL.Clients.Office.Excel.Functions.SPG(AF38, "SP_COUNTRY_NAME")</f>
        <v>Australia</v>
      </c>
      <c r="AN38" s="9" t="str">
        <f>_xll.SNL.Clients.Office.Excel.Functions.SPG(AK38, "SP_COUNTRY_NAME")</f>
        <v>#INVALID COMPANY ID</v>
      </c>
      <c r="AO38" t="s">
        <v>456</v>
      </c>
      <c r="AP38">
        <v>4249110</v>
      </c>
      <c r="AQ38" t="s">
        <v>346</v>
      </c>
      <c r="AR38" s="11">
        <v>0.24</v>
      </c>
      <c r="AS38" s="9" t="str">
        <f>_xll.SNL.Clients.Office.Excel.Functions.SPG(AP38, "SP_COUNTRY_NAME")</f>
        <v>United Kingdom</v>
      </c>
      <c r="AX38" s="9" t="str">
        <f>_xll.SNL.Clients.Office.Excel.Functions.SPG(AU38, "SP_COUNTRY_NAME")</f>
        <v>#INVALID COMPANY ID</v>
      </c>
      <c r="AY38" t="s">
        <v>351</v>
      </c>
      <c r="AZ38">
        <v>111289</v>
      </c>
      <c r="BA38" t="s">
        <v>346</v>
      </c>
      <c r="BB38" s="11">
        <v>0.05</v>
      </c>
      <c r="BC38" s="9" t="str">
        <f>_xll.SNL.Clients.Office.Excel.Functions.SPG(AZ38, "SP_COUNTRY_NAME")</f>
        <v>USA</v>
      </c>
      <c r="BD38" t="s">
        <v>1393</v>
      </c>
      <c r="BE38">
        <v>4418711</v>
      </c>
      <c r="BF38" t="s">
        <v>362</v>
      </c>
      <c r="BG38" s="11">
        <v>0.4</v>
      </c>
      <c r="BH38" s="9" t="str">
        <f>_xll.SNL.Clients.Office.Excel.Functions.SPG(BE38, "SP_COUNTRY_NAME")</f>
        <v>Hong Kong</v>
      </c>
      <c r="BI38" t="s">
        <v>968</v>
      </c>
      <c r="BJ38">
        <v>4115683</v>
      </c>
      <c r="BK38" t="s">
        <v>346</v>
      </c>
      <c r="BL38" s="11">
        <v>0.18</v>
      </c>
      <c r="BM38" s="9" t="str">
        <f>_xll.SNL.Clients.Office.Excel.Functions.SPG(BJ38, "SP_COUNTRY_NAME")</f>
        <v>United Kingdom</v>
      </c>
      <c r="BN38" t="s">
        <v>686</v>
      </c>
      <c r="BO38">
        <v>4784142</v>
      </c>
      <c r="BP38" t="s">
        <v>346</v>
      </c>
      <c r="BQ38" s="11">
        <v>0.08</v>
      </c>
      <c r="BR38" s="9" t="str">
        <f>_xll.SNL.Clients.Office.Excel.Functions.SPG(BO38, "SP_COUNTRY_NAME")</f>
        <v>China</v>
      </c>
      <c r="BS38" t="s">
        <v>437</v>
      </c>
      <c r="BT38">
        <v>4102073</v>
      </c>
      <c r="BU38" t="s">
        <v>346</v>
      </c>
      <c r="BV38" s="11">
        <v>0.22</v>
      </c>
      <c r="BW38" s="9" t="str">
        <f>_xll.SNL.Clients.Office.Excel.Functions.SPG(BT38, "SP_COUNTRY_NAME")</f>
        <v>USA</v>
      </c>
      <c r="BX38" t="s">
        <v>646</v>
      </c>
      <c r="BY38">
        <v>4435100</v>
      </c>
      <c r="BZ38" t="s">
        <v>346</v>
      </c>
      <c r="CA38" s="11">
        <v>0.31</v>
      </c>
      <c r="CB38" s="9" t="str">
        <f>_xll.SNL.Clients.Office.Excel.Functions.SPG(BY38, "SP_COUNTRY_NAME")</f>
        <v>China</v>
      </c>
      <c r="CC38" t="s">
        <v>1620</v>
      </c>
      <c r="CD38">
        <v>4110297</v>
      </c>
      <c r="CE38" t="s">
        <v>364</v>
      </c>
      <c r="CF38" s="11">
        <v>0.25</v>
      </c>
      <c r="CG38" s="9" t="str">
        <f>_xll.SNL.Clients.Office.Excel.Functions.SPG(CD38, "SP_COUNTRY_NAME")</f>
        <v>USA</v>
      </c>
      <c r="CH38" t="s">
        <v>456</v>
      </c>
      <c r="CI38">
        <v>4249110</v>
      </c>
      <c r="CJ38" t="s">
        <v>346</v>
      </c>
      <c r="CK38" s="11">
        <v>0.24</v>
      </c>
      <c r="CL38" s="9" t="str">
        <f>_xll.SNL.Clients.Office.Excel.Functions.SPG(CI38, "SP_COUNTRY_NAME")</f>
        <v>United Kingdom</v>
      </c>
      <c r="CM38" t="s">
        <v>1257</v>
      </c>
      <c r="CN38">
        <v>4213130</v>
      </c>
      <c r="CO38" t="s">
        <v>346</v>
      </c>
      <c r="CP38" s="11">
        <v>0.32</v>
      </c>
      <c r="CQ38" s="9" t="str">
        <f>_xll.SNL.Clients.Office.Excel.Functions.SPG(CN38, "SP_COUNTRY_NAME")</f>
        <v>South Africa</v>
      </c>
      <c r="CV38" s="9" t="str">
        <f>_xll.SNL.Clients.Office.Excel.Functions.SPG(CS38, "SP_COUNTRY_NAME")</f>
        <v>#INVALID COMPANY ID</v>
      </c>
      <c r="DA38" s="9" t="str">
        <f>_xll.SNL.Clients.Office.Excel.Functions.SPG(CX38, "SP_COUNTRY_NAME")</f>
        <v>#INVALID COMPANY ID</v>
      </c>
      <c r="DB38" t="s">
        <v>1393</v>
      </c>
      <c r="DC38">
        <v>4418711</v>
      </c>
      <c r="DD38" t="s">
        <v>362</v>
      </c>
      <c r="DE38" s="11">
        <v>0.4</v>
      </c>
      <c r="DF38" s="9" t="str">
        <f>_xll.SNL.Clients.Office.Excel.Functions.SPG(DC38, "SP_COUNTRY_NAME")</f>
        <v>Hong Kong</v>
      </c>
      <c r="DK38" s="9" t="str">
        <f>_xll.SNL.Clients.Office.Excel.Functions.SPG(DH38, "SP_COUNTRY_NAME")</f>
        <v>#INVALID COMPANY ID</v>
      </c>
      <c r="DL38" t="s">
        <v>1393</v>
      </c>
      <c r="DM38">
        <v>4418711</v>
      </c>
      <c r="DN38" t="s">
        <v>362</v>
      </c>
      <c r="DO38" s="11">
        <v>0.4</v>
      </c>
      <c r="DP38" s="9" t="str">
        <f>_xll.SNL.Clients.Office.Excel.Functions.SPG(DM38, "SP_COUNTRY_NAME")</f>
        <v>Hong Kong</v>
      </c>
      <c r="DU38" s="9" t="str">
        <f>_xll.SNL.Clients.Office.Excel.Functions.SPG(DR38, "SP_COUNTRY_NAME")</f>
        <v>#INVALID COMPANY ID</v>
      </c>
      <c r="DV38" t="s">
        <v>583</v>
      </c>
      <c r="DW38">
        <v>4579014</v>
      </c>
      <c r="DX38" t="s">
        <v>346</v>
      </c>
      <c r="DY38" s="11">
        <v>0.01</v>
      </c>
      <c r="DZ38" s="9" t="str">
        <f>_xll.SNL.Clients.Office.Excel.Functions.SPG(DW38, "SP_COUNTRY_NAME")</f>
        <v>USA</v>
      </c>
      <c r="EA38" t="s">
        <v>1620</v>
      </c>
      <c r="EB38">
        <v>4110297</v>
      </c>
      <c r="EC38" t="s">
        <v>364</v>
      </c>
      <c r="ED38" s="11">
        <v>0.25</v>
      </c>
      <c r="EE38" s="9" t="str">
        <f>_xll.SNL.Clients.Office.Excel.Functions.SPG(EB38, "SP_COUNTRY_NAME")</f>
        <v>USA</v>
      </c>
      <c r="EF38" t="s">
        <v>1393</v>
      </c>
      <c r="EG38">
        <v>4418711</v>
      </c>
      <c r="EH38" t="s">
        <v>362</v>
      </c>
      <c r="EI38" s="11">
        <v>0.4</v>
      </c>
      <c r="EJ38" s="9" t="str">
        <f>_xll.SNL.Clients.Office.Excel.Functions.SPG(EG38, "SP_COUNTRY_NAME")</f>
        <v>Hong Kong</v>
      </c>
      <c r="EO38" s="9" t="str">
        <f>_xll.SNL.Clients.Office.Excel.Functions.SPG(EL38, "SP_COUNTRY_NAME")</f>
        <v>#INVALID COMPANY ID</v>
      </c>
      <c r="EP38" t="s">
        <v>674</v>
      </c>
      <c r="EQ38">
        <v>4345965</v>
      </c>
      <c r="ER38" t="s">
        <v>346</v>
      </c>
      <c r="ES38" s="11">
        <v>0.02</v>
      </c>
      <c r="ET38" s="9" t="str">
        <f>_xll.SNL.Clients.Office.Excel.Functions.SPG(EQ38, "SP_COUNTRY_NAME")</f>
        <v>China</v>
      </c>
      <c r="EY38" s="9" t="str">
        <f>_xll.SNL.Clients.Office.Excel.Functions.SPG(EV38, "SP_COUNTRY_NAME")</f>
        <v>#INVALID COMPANY ID</v>
      </c>
      <c r="EZ38" t="s">
        <v>405</v>
      </c>
      <c r="FA38">
        <v>4035990</v>
      </c>
      <c r="FB38" t="s">
        <v>346</v>
      </c>
      <c r="FC38" s="11">
        <v>0</v>
      </c>
      <c r="FD38" s="9" t="str">
        <f>_xll.SNL.Clients.Office.Excel.Functions.SPG(FA38, "SP_COUNTRY_NAME")</f>
        <v>Canada</v>
      </c>
      <c r="FE38" t="s">
        <v>458</v>
      </c>
      <c r="FF38">
        <v>109806</v>
      </c>
      <c r="FG38" t="s">
        <v>346</v>
      </c>
      <c r="FH38" s="11">
        <v>0.01</v>
      </c>
      <c r="FI38" s="9" t="str">
        <f>_xll.SNL.Clients.Office.Excel.Functions.SPG(FF38, "SP_COUNTRY_NAME")</f>
        <v>USA</v>
      </c>
      <c r="FJ38" t="s">
        <v>2158</v>
      </c>
      <c r="FK38" t="s">
        <v>300</v>
      </c>
      <c r="FL38" t="s">
        <v>361</v>
      </c>
      <c r="FM38" s="11">
        <v>0.09</v>
      </c>
      <c r="FN38" s="9" t="str">
        <f>_xll.SNL.Clients.Office.Excel.Functions.SPG(FK38, "SP_COUNTRY_NAME")</f>
        <v>China</v>
      </c>
      <c r="FS38" s="9" t="str">
        <f>_xll.SNL.Clients.Office.Excel.Functions.SPG(FP38, "SP_COUNTRY_NAME")</f>
        <v>#INVALID COMPANY ID</v>
      </c>
      <c r="FT38" t="s">
        <v>398</v>
      </c>
      <c r="FU38">
        <v>4107954</v>
      </c>
      <c r="FV38" t="s">
        <v>300</v>
      </c>
      <c r="FW38" s="11">
        <v>0.01</v>
      </c>
      <c r="FX38" s="9" t="str">
        <f>_xll.SNL.Clients.Office.Excel.Functions.SPG(FU38, "SP_COUNTRY_NAME")</f>
        <v>Japan</v>
      </c>
      <c r="FY38" t="s">
        <v>1393</v>
      </c>
      <c r="FZ38">
        <v>4418711</v>
      </c>
      <c r="GA38" t="s">
        <v>362</v>
      </c>
      <c r="GB38" s="11">
        <v>0.4</v>
      </c>
      <c r="GC38" s="9" t="str">
        <f>_xll.SNL.Clients.Office.Excel.Functions.SPG(FZ38, "SP_COUNTRY_NAME")</f>
        <v>Hong Kong</v>
      </c>
      <c r="GD38" t="s">
        <v>405</v>
      </c>
      <c r="GE38">
        <v>4035990</v>
      </c>
      <c r="GF38" t="s">
        <v>346</v>
      </c>
      <c r="GG38" s="11">
        <v>0</v>
      </c>
      <c r="GH38" s="9" t="str">
        <f>_xll.SNL.Clients.Office.Excel.Functions.SPG(GE38, "SP_COUNTRY_NAME")</f>
        <v>Canada</v>
      </c>
      <c r="GI38" t="s">
        <v>458</v>
      </c>
      <c r="GJ38">
        <v>109806</v>
      </c>
      <c r="GK38" t="s">
        <v>346</v>
      </c>
      <c r="GL38" s="11">
        <v>0.01</v>
      </c>
      <c r="GM38" s="9" t="str">
        <f>_xll.SNL.Clients.Office.Excel.Functions.SPG(GJ38, "SP_COUNTRY_NAME")</f>
        <v>USA</v>
      </c>
      <c r="GN38" t="s">
        <v>2158</v>
      </c>
      <c r="GO38" t="s">
        <v>300</v>
      </c>
      <c r="GP38" t="s">
        <v>361</v>
      </c>
      <c r="GQ38" s="11">
        <v>0.09</v>
      </c>
      <c r="GR38" s="9" t="str">
        <f>_xll.SNL.Clients.Office.Excel.Functions.SPG(GO38, "SP_COUNTRY_NAME")</f>
        <v>China</v>
      </c>
      <c r="GS38" t="s">
        <v>686</v>
      </c>
      <c r="GT38">
        <v>4784142</v>
      </c>
      <c r="GU38" t="s">
        <v>346</v>
      </c>
      <c r="GV38" s="11">
        <v>0.08</v>
      </c>
      <c r="GW38" s="9" t="str">
        <f>_xll.SNL.Clients.Office.Excel.Functions.SPG(GT38, "SP_COUNTRY_NAME")</f>
        <v>China</v>
      </c>
      <c r="GX38" t="s">
        <v>1620</v>
      </c>
      <c r="GY38">
        <v>4110297</v>
      </c>
      <c r="GZ38" t="s">
        <v>364</v>
      </c>
      <c r="HA38" s="11">
        <v>0.25</v>
      </c>
      <c r="HB38" s="9" t="str">
        <f>_xll.SNL.Clients.Office.Excel.Functions.SPG(GY38, "SP_COUNTRY_NAME")</f>
        <v>USA</v>
      </c>
      <c r="HG38" s="9" t="str">
        <f>_xll.SNL.Clients.Office.Excel.Functions.SPG(HD38, "SP_COUNTRY_NAME")</f>
        <v>#INVALID COMPANY ID</v>
      </c>
    </row>
    <row r="39" spans="5:215" x14ac:dyDescent="0.35">
      <c r="E39" s="9" t="str">
        <f>_xll.SNL.Clients.Office.Excel.Functions.SPG(B39, "SP_COUNTRY_NAME")</f>
        <v>#INVALID COMPANY ID</v>
      </c>
      <c r="F39" t="s">
        <v>441</v>
      </c>
      <c r="G39">
        <v>4153483</v>
      </c>
      <c r="H39" t="s">
        <v>363</v>
      </c>
      <c r="I39" s="11">
        <v>0.15</v>
      </c>
      <c r="J39" s="9" t="str">
        <f>_xll.SNL.Clients.Office.Excel.Functions.SPG(G39, "SP_COUNTRY_NAME")</f>
        <v>Canada</v>
      </c>
      <c r="K39" t="s">
        <v>492</v>
      </c>
      <c r="L39">
        <v>110674</v>
      </c>
      <c r="M39" t="s">
        <v>346</v>
      </c>
      <c r="N39" s="11">
        <v>0.04</v>
      </c>
      <c r="O39" s="9" t="str">
        <f>_xll.SNL.Clients.Office.Excel.Functions.SPG(L39, "SP_COUNTRY_NAME")</f>
        <v>USA</v>
      </c>
      <c r="T39" s="9" t="str">
        <f>_xll.SNL.Clients.Office.Excel.Functions.SPG(Q39, "SP_COUNTRY_NAME")</f>
        <v>#INVALID COMPANY ID</v>
      </c>
      <c r="U39" t="s">
        <v>720</v>
      </c>
      <c r="V39">
        <v>4139225</v>
      </c>
      <c r="W39" t="s">
        <v>346</v>
      </c>
      <c r="X39" s="11">
        <v>0.3</v>
      </c>
      <c r="Y39" s="9" t="str">
        <f>_xll.SNL.Clients.Office.Excel.Functions.SPG(V39, "SP_COUNTRY_NAME")</f>
        <v>China</v>
      </c>
      <c r="Z39" t="s">
        <v>492</v>
      </c>
      <c r="AA39">
        <v>110674</v>
      </c>
      <c r="AB39" t="s">
        <v>346</v>
      </c>
      <c r="AC39" s="11">
        <v>0.04</v>
      </c>
      <c r="AD39" s="9" t="str">
        <f>_xll.SNL.Clients.Office.Excel.Functions.SPG(AA39, "SP_COUNTRY_NAME")</f>
        <v>USA</v>
      </c>
      <c r="AE39" t="s">
        <v>355</v>
      </c>
      <c r="AF39">
        <v>111074</v>
      </c>
      <c r="AG39" t="s">
        <v>346</v>
      </c>
      <c r="AH39" s="11">
        <v>0.11</v>
      </c>
      <c r="AI39" s="9" t="str">
        <f>_xll.SNL.Clients.Office.Excel.Functions.SPG(AF39, "SP_COUNTRY_NAME")</f>
        <v>USA</v>
      </c>
      <c r="AN39" s="9" t="str">
        <f>_xll.SNL.Clients.Office.Excel.Functions.SPG(AK39, "SP_COUNTRY_NAME")</f>
        <v>#INVALID COMPANY ID</v>
      </c>
      <c r="AO39" t="s">
        <v>1117</v>
      </c>
      <c r="AP39">
        <v>4138136</v>
      </c>
      <c r="AQ39" t="s">
        <v>364</v>
      </c>
      <c r="AR39" s="11">
        <v>0.22</v>
      </c>
      <c r="AS39" s="9" t="str">
        <f>_xll.SNL.Clients.Office.Excel.Functions.SPG(AP39, "SP_COUNTRY_NAME")</f>
        <v>United Kingdom</v>
      </c>
      <c r="AX39" s="9" t="str">
        <f>_xll.SNL.Clients.Office.Excel.Functions.SPG(AU39, "SP_COUNTRY_NAME")</f>
        <v>#INVALID COMPANY ID</v>
      </c>
      <c r="AY39" t="s">
        <v>684</v>
      </c>
      <c r="AZ39">
        <v>4139415</v>
      </c>
      <c r="BA39" t="s">
        <v>346</v>
      </c>
      <c r="BB39" s="11">
        <v>0.05</v>
      </c>
      <c r="BC39" s="9" t="str">
        <f>_xll.SNL.Clients.Office.Excel.Functions.SPG(AZ39, "SP_COUNTRY_NAME")</f>
        <v>China</v>
      </c>
      <c r="BD39" t="s">
        <v>1394</v>
      </c>
      <c r="BE39">
        <v>110962</v>
      </c>
      <c r="BF39" t="s">
        <v>346</v>
      </c>
      <c r="BG39" s="11">
        <v>0.39</v>
      </c>
      <c r="BH39" s="9" t="str">
        <f>_xll.SNL.Clients.Office.Excel.Functions.SPG(BE39, "SP_COUNTRY_NAME")</f>
        <v>USA</v>
      </c>
      <c r="BI39" t="s">
        <v>355</v>
      </c>
      <c r="BJ39">
        <v>111074</v>
      </c>
      <c r="BK39" t="s">
        <v>346</v>
      </c>
      <c r="BL39" s="11">
        <v>0.18</v>
      </c>
      <c r="BM39" s="9" t="str">
        <f>_xll.SNL.Clients.Office.Excel.Functions.SPG(BJ39, "SP_COUNTRY_NAME")</f>
        <v>USA</v>
      </c>
      <c r="BN39" t="s">
        <v>637</v>
      </c>
      <c r="BO39">
        <v>4138661</v>
      </c>
      <c r="BP39" t="s">
        <v>346</v>
      </c>
      <c r="BQ39" s="11">
        <v>0.08</v>
      </c>
      <c r="BR39" s="9" t="str">
        <f>_xll.SNL.Clients.Office.Excel.Functions.SPG(BO39, "SP_COUNTRY_NAME")</f>
        <v>China</v>
      </c>
      <c r="BS39" t="s">
        <v>721</v>
      </c>
      <c r="BT39">
        <v>4329445</v>
      </c>
      <c r="BU39" t="s">
        <v>346</v>
      </c>
      <c r="BV39" s="11">
        <v>0.21</v>
      </c>
      <c r="BW39" s="9" t="str">
        <f>_xll.SNL.Clients.Office.Excel.Functions.SPG(BT39, "SP_COUNTRY_NAME")</f>
        <v>China</v>
      </c>
      <c r="BX39" t="s">
        <v>720</v>
      </c>
      <c r="BY39">
        <v>4139225</v>
      </c>
      <c r="BZ39" t="s">
        <v>346</v>
      </c>
      <c r="CA39" s="11">
        <v>0.3</v>
      </c>
      <c r="CB39" s="9" t="str">
        <f>_xll.SNL.Clients.Office.Excel.Functions.SPG(BY39, "SP_COUNTRY_NAME")</f>
        <v>China</v>
      </c>
      <c r="CC39" t="s">
        <v>439</v>
      </c>
      <c r="CD39">
        <v>4757367</v>
      </c>
      <c r="CE39" t="s">
        <v>363</v>
      </c>
      <c r="CF39" s="11">
        <v>0.25</v>
      </c>
      <c r="CG39" s="9" t="str">
        <f>_xll.SNL.Clients.Office.Excel.Functions.SPG(CD39, "SP_COUNTRY_NAME")</f>
        <v>Australia</v>
      </c>
      <c r="CH39" t="s">
        <v>1117</v>
      </c>
      <c r="CI39">
        <v>4138136</v>
      </c>
      <c r="CJ39" t="s">
        <v>364</v>
      </c>
      <c r="CK39" s="11">
        <v>0.22</v>
      </c>
      <c r="CL39" s="9" t="str">
        <f>_xll.SNL.Clients.Office.Excel.Functions.SPG(CI39, "SP_COUNTRY_NAME")</f>
        <v>United Kingdom</v>
      </c>
      <c r="CM39" t="s">
        <v>654</v>
      </c>
      <c r="CN39">
        <v>4208127</v>
      </c>
      <c r="CO39" t="s">
        <v>346</v>
      </c>
      <c r="CP39" s="11">
        <v>0.32</v>
      </c>
      <c r="CQ39" s="9" t="str">
        <f>_xll.SNL.Clients.Office.Excel.Functions.SPG(CN39, "SP_COUNTRY_NAME")</f>
        <v>Germany</v>
      </c>
      <c r="CV39" s="9" t="str">
        <f>_xll.SNL.Clients.Office.Excel.Functions.SPG(CS39, "SP_COUNTRY_NAME")</f>
        <v>#INVALID COMPANY ID</v>
      </c>
      <c r="DA39" s="9" t="str">
        <f>_xll.SNL.Clients.Office.Excel.Functions.SPG(CX39, "SP_COUNTRY_NAME")</f>
        <v>#INVALID COMPANY ID</v>
      </c>
      <c r="DB39" t="s">
        <v>1394</v>
      </c>
      <c r="DC39">
        <v>110962</v>
      </c>
      <c r="DD39" t="s">
        <v>346</v>
      </c>
      <c r="DE39" s="11">
        <v>0.39</v>
      </c>
      <c r="DF39" s="9" t="str">
        <f>_xll.SNL.Clients.Office.Excel.Functions.SPG(DC39, "SP_COUNTRY_NAME")</f>
        <v>USA</v>
      </c>
      <c r="DK39" s="9" t="str">
        <f>_xll.SNL.Clients.Office.Excel.Functions.SPG(DH39, "SP_COUNTRY_NAME")</f>
        <v>#INVALID COMPANY ID</v>
      </c>
      <c r="DL39" t="s">
        <v>1394</v>
      </c>
      <c r="DM39">
        <v>110962</v>
      </c>
      <c r="DN39" t="s">
        <v>346</v>
      </c>
      <c r="DO39" s="11">
        <v>0.39</v>
      </c>
      <c r="DP39" s="9" t="str">
        <f>_xll.SNL.Clients.Office.Excel.Functions.SPG(DM39, "SP_COUNTRY_NAME")</f>
        <v>USA</v>
      </c>
      <c r="DU39" s="9" t="str">
        <f>_xll.SNL.Clients.Office.Excel.Functions.SPG(DR39, "SP_COUNTRY_NAME")</f>
        <v>#INVALID COMPANY ID</v>
      </c>
      <c r="DV39" t="s">
        <v>1197</v>
      </c>
      <c r="DW39">
        <v>5762243</v>
      </c>
      <c r="DX39" t="s">
        <v>346</v>
      </c>
      <c r="DY39" s="11">
        <v>0.01</v>
      </c>
      <c r="DZ39" s="9" t="str">
        <f>_xll.SNL.Clients.Office.Excel.Functions.SPG(DW39, "SP_COUNTRY_NAME")</f>
        <v>Russia</v>
      </c>
      <c r="EA39" t="s">
        <v>439</v>
      </c>
      <c r="EB39">
        <v>4757367</v>
      </c>
      <c r="EC39" t="s">
        <v>363</v>
      </c>
      <c r="ED39" s="11">
        <v>0.25</v>
      </c>
      <c r="EE39" s="9" t="str">
        <f>_xll.SNL.Clients.Office.Excel.Functions.SPG(EB39, "SP_COUNTRY_NAME")</f>
        <v>Australia</v>
      </c>
      <c r="EF39" t="s">
        <v>1394</v>
      </c>
      <c r="EG39">
        <v>110962</v>
      </c>
      <c r="EH39" t="s">
        <v>346</v>
      </c>
      <c r="EI39" s="11">
        <v>0.39</v>
      </c>
      <c r="EJ39" s="9" t="str">
        <f>_xll.SNL.Clients.Office.Excel.Functions.SPG(EG39, "SP_COUNTRY_NAME")</f>
        <v>USA</v>
      </c>
      <c r="EO39" s="9" t="str">
        <f>_xll.SNL.Clients.Office.Excel.Functions.SPG(EL39, "SP_COUNTRY_NAME")</f>
        <v>#INVALID COMPANY ID</v>
      </c>
      <c r="EP39" t="s">
        <v>436</v>
      </c>
      <c r="EQ39">
        <v>111219</v>
      </c>
      <c r="ER39" t="s">
        <v>346</v>
      </c>
      <c r="ES39" s="11">
        <v>0.02</v>
      </c>
      <c r="ET39" s="9" t="str">
        <f>_xll.SNL.Clients.Office.Excel.Functions.SPG(EQ39, "SP_COUNTRY_NAME")</f>
        <v>USA</v>
      </c>
      <c r="EY39" s="9" t="str">
        <f>_xll.SNL.Clients.Office.Excel.Functions.SPG(EV39, "SP_COUNTRY_NAME")</f>
        <v>#INVALID COMPANY ID</v>
      </c>
      <c r="EZ39" t="s">
        <v>1937</v>
      </c>
      <c r="FA39" t="s">
        <v>300</v>
      </c>
      <c r="FB39" t="s">
        <v>361</v>
      </c>
      <c r="FC39" s="11">
        <v>0</v>
      </c>
      <c r="FD39" s="9" t="str">
        <f>_xll.SNL.Clients.Office.Excel.Functions.SPG(FA39, "SP_COUNTRY_NAME")</f>
        <v>China</v>
      </c>
      <c r="FE39" t="s">
        <v>473</v>
      </c>
      <c r="FF39">
        <v>4140062</v>
      </c>
      <c r="FG39" t="s">
        <v>346</v>
      </c>
      <c r="FH39" s="11">
        <v>0</v>
      </c>
      <c r="FI39" s="9" t="str">
        <f>_xll.SNL.Clients.Office.Excel.Functions.SPG(FF39, "SP_COUNTRY_NAME")</f>
        <v>Japan</v>
      </c>
      <c r="FJ39" t="s">
        <v>457</v>
      </c>
      <c r="FK39">
        <v>110399</v>
      </c>
      <c r="FL39" t="s">
        <v>346</v>
      </c>
      <c r="FM39" s="11">
        <v>0.09</v>
      </c>
      <c r="FN39" s="9" t="str">
        <f>_xll.SNL.Clients.Office.Excel.Functions.SPG(FK39, "SP_COUNTRY_NAME")</f>
        <v>USA</v>
      </c>
      <c r="FS39" s="9" t="str">
        <f>_xll.SNL.Clients.Office.Excel.Functions.SPG(FP39, "SP_COUNTRY_NAME")</f>
        <v>#INVALID COMPANY ID</v>
      </c>
      <c r="FT39" t="s">
        <v>399</v>
      </c>
      <c r="FU39">
        <v>4026948</v>
      </c>
      <c r="FV39" t="s">
        <v>346</v>
      </c>
      <c r="FW39" s="11">
        <v>0.01</v>
      </c>
      <c r="FX39" s="9" t="str">
        <f>_xll.SNL.Clients.Office.Excel.Functions.SPG(FU39, "SP_COUNTRY_NAME")</f>
        <v>France</v>
      </c>
      <c r="FY39" t="s">
        <v>1394</v>
      </c>
      <c r="FZ39">
        <v>110962</v>
      </c>
      <c r="GA39" t="s">
        <v>346</v>
      </c>
      <c r="GB39" s="11">
        <v>0.39</v>
      </c>
      <c r="GC39" s="9" t="str">
        <f>_xll.SNL.Clients.Office.Excel.Functions.SPG(FZ39, "SP_COUNTRY_NAME")</f>
        <v>USA</v>
      </c>
      <c r="GD39" t="s">
        <v>1937</v>
      </c>
      <c r="GE39" t="s">
        <v>300</v>
      </c>
      <c r="GF39" t="s">
        <v>361</v>
      </c>
      <c r="GG39" s="11">
        <v>0</v>
      </c>
      <c r="GH39" s="9" t="str">
        <f>_xll.SNL.Clients.Office.Excel.Functions.SPG(GE39, "SP_COUNTRY_NAME")</f>
        <v>China</v>
      </c>
      <c r="GI39" t="s">
        <v>473</v>
      </c>
      <c r="GJ39">
        <v>4140062</v>
      </c>
      <c r="GK39" t="s">
        <v>346</v>
      </c>
      <c r="GL39" s="11">
        <v>0</v>
      </c>
      <c r="GM39" s="9" t="str">
        <f>_xll.SNL.Clients.Office.Excel.Functions.SPG(GJ39, "SP_COUNTRY_NAME")</f>
        <v>Japan</v>
      </c>
      <c r="GN39" t="s">
        <v>457</v>
      </c>
      <c r="GO39">
        <v>110399</v>
      </c>
      <c r="GP39" t="s">
        <v>346</v>
      </c>
      <c r="GQ39" s="11">
        <v>0.09</v>
      </c>
      <c r="GR39" s="9" t="str">
        <f>_xll.SNL.Clients.Office.Excel.Functions.SPG(GO39, "SP_COUNTRY_NAME")</f>
        <v>USA</v>
      </c>
      <c r="GS39" t="s">
        <v>637</v>
      </c>
      <c r="GT39">
        <v>4138661</v>
      </c>
      <c r="GU39" t="s">
        <v>346</v>
      </c>
      <c r="GV39" s="11">
        <v>0.08</v>
      </c>
      <c r="GW39" s="9" t="str">
        <f>_xll.SNL.Clients.Office.Excel.Functions.SPG(GT39, "SP_COUNTRY_NAME")</f>
        <v>China</v>
      </c>
      <c r="GX39" t="s">
        <v>439</v>
      </c>
      <c r="GY39">
        <v>4757367</v>
      </c>
      <c r="GZ39" t="s">
        <v>363</v>
      </c>
      <c r="HA39" s="11">
        <v>0.25</v>
      </c>
      <c r="HB39" s="9" t="str">
        <f>_xll.SNL.Clients.Office.Excel.Functions.SPG(GY39, "SP_COUNTRY_NAME")</f>
        <v>Australia</v>
      </c>
      <c r="HG39" s="9" t="str">
        <f>_xll.SNL.Clients.Office.Excel.Functions.SPG(HD39, "SP_COUNTRY_NAME")</f>
        <v>#INVALID COMPANY ID</v>
      </c>
    </row>
    <row r="40" spans="5:215" x14ac:dyDescent="0.35">
      <c r="E40" s="9" t="str">
        <f>_xll.SNL.Clients.Office.Excel.Functions.SPG(B40, "SP_COUNTRY_NAME")</f>
        <v>#INVALID COMPANY ID</v>
      </c>
      <c r="F40" t="s">
        <v>355</v>
      </c>
      <c r="G40">
        <v>111074</v>
      </c>
      <c r="H40" t="s">
        <v>346</v>
      </c>
      <c r="I40" s="11">
        <v>0.12</v>
      </c>
      <c r="J40" s="9" t="str">
        <f>_xll.SNL.Clients.Office.Excel.Functions.SPG(G40, "SP_COUNTRY_NAME")</f>
        <v>USA</v>
      </c>
      <c r="K40" t="s">
        <v>406</v>
      </c>
      <c r="L40">
        <v>4115698</v>
      </c>
      <c r="M40" t="s">
        <v>346</v>
      </c>
      <c r="N40" s="11">
        <v>0.03</v>
      </c>
      <c r="O40" s="9" t="str">
        <f>_xll.SNL.Clients.Office.Excel.Functions.SPG(L40, "SP_COUNTRY_NAME")</f>
        <v>United Kingdom</v>
      </c>
      <c r="T40" s="9" t="str">
        <f>_xll.SNL.Clients.Office.Excel.Functions.SPG(Q40, "SP_COUNTRY_NAME")</f>
        <v>#INVALID COMPANY ID</v>
      </c>
      <c r="U40" t="s">
        <v>462</v>
      </c>
      <c r="V40">
        <v>109872</v>
      </c>
      <c r="W40" t="s">
        <v>346</v>
      </c>
      <c r="X40" s="11">
        <v>0.28999999999999998</v>
      </c>
      <c r="Y40" s="9" t="str">
        <f>_xll.SNL.Clients.Office.Excel.Functions.SPG(V40, "SP_COUNTRY_NAME")</f>
        <v>USA</v>
      </c>
      <c r="Z40" t="s">
        <v>406</v>
      </c>
      <c r="AA40">
        <v>4115698</v>
      </c>
      <c r="AB40" t="s">
        <v>346</v>
      </c>
      <c r="AC40" s="11">
        <v>0.03</v>
      </c>
      <c r="AD40" s="9" t="str">
        <f>_xll.SNL.Clients.Office.Excel.Functions.SPG(AA40, "SP_COUNTRY_NAME")</f>
        <v>United Kingdom</v>
      </c>
      <c r="AE40" t="s">
        <v>654</v>
      </c>
      <c r="AF40">
        <v>4208127</v>
      </c>
      <c r="AG40" t="s">
        <v>346</v>
      </c>
      <c r="AH40" s="11">
        <v>0.1</v>
      </c>
      <c r="AI40" s="9" t="str">
        <f>_xll.SNL.Clients.Office.Excel.Functions.SPG(AF40, "SP_COUNTRY_NAME")</f>
        <v>Germany</v>
      </c>
      <c r="AN40" s="9" t="str">
        <f>_xll.SNL.Clients.Office.Excel.Functions.SPG(AK40, "SP_COUNTRY_NAME")</f>
        <v>#INVALID COMPANY ID</v>
      </c>
      <c r="AO40" t="s">
        <v>389</v>
      </c>
      <c r="AP40">
        <v>109888</v>
      </c>
      <c r="AQ40" t="s">
        <v>346</v>
      </c>
      <c r="AR40" s="11">
        <v>0.21</v>
      </c>
      <c r="AS40" s="9" t="str">
        <f>_xll.SNL.Clients.Office.Excel.Functions.SPG(AP40, "SP_COUNTRY_NAME")</f>
        <v>USA</v>
      </c>
      <c r="AX40" s="9" t="str">
        <f>_xll.SNL.Clients.Office.Excel.Functions.SPG(AU40, "SP_COUNTRY_NAME")</f>
        <v>#INVALID COMPANY ID</v>
      </c>
      <c r="AY40" t="s">
        <v>894</v>
      </c>
      <c r="AZ40">
        <v>4139629</v>
      </c>
      <c r="BA40" t="s">
        <v>346</v>
      </c>
      <c r="BB40" s="11">
        <v>0.05</v>
      </c>
      <c r="BC40" s="9" t="str">
        <f>_xll.SNL.Clients.Office.Excel.Functions.SPG(AZ40, "SP_COUNTRY_NAME")</f>
        <v>Singapore</v>
      </c>
      <c r="BD40" t="s">
        <v>1395</v>
      </c>
      <c r="BE40">
        <v>109728</v>
      </c>
      <c r="BF40" t="s">
        <v>346</v>
      </c>
      <c r="BG40" s="11">
        <v>0.39</v>
      </c>
      <c r="BH40" s="9" t="str">
        <f>_xll.SNL.Clients.Office.Excel.Functions.SPG(BE40, "SP_COUNTRY_NAME")</f>
        <v>USA</v>
      </c>
      <c r="BI40" t="s">
        <v>1115</v>
      </c>
      <c r="BJ40">
        <v>4140101</v>
      </c>
      <c r="BK40" t="s">
        <v>363</v>
      </c>
      <c r="BL40" s="11">
        <v>0.17</v>
      </c>
      <c r="BM40" s="9" t="str">
        <f>_xll.SNL.Clients.Office.Excel.Functions.SPG(BJ40, "SP_COUNTRY_NAME")</f>
        <v>Sweden</v>
      </c>
      <c r="BN40" t="s">
        <v>441</v>
      </c>
      <c r="BO40">
        <v>4153483</v>
      </c>
      <c r="BP40" t="s">
        <v>363</v>
      </c>
      <c r="BQ40" s="11">
        <v>7.0000000000000007E-2</v>
      </c>
      <c r="BR40" s="9" t="str">
        <f>_xll.SNL.Clients.Office.Excel.Functions.SPG(BO40, "SP_COUNTRY_NAME")</f>
        <v>Canada</v>
      </c>
      <c r="BS40" t="s">
        <v>670</v>
      </c>
      <c r="BT40">
        <v>4138799</v>
      </c>
      <c r="BU40" t="s">
        <v>346</v>
      </c>
      <c r="BV40" s="11">
        <v>0.21</v>
      </c>
      <c r="BW40" s="9" t="str">
        <f>_xll.SNL.Clients.Office.Excel.Functions.SPG(BT40, "SP_COUNTRY_NAME")</f>
        <v>China</v>
      </c>
      <c r="BX40" t="s">
        <v>462</v>
      </c>
      <c r="BY40">
        <v>109872</v>
      </c>
      <c r="BZ40" t="s">
        <v>346</v>
      </c>
      <c r="CA40" s="11">
        <v>0.28999999999999998</v>
      </c>
      <c r="CB40" s="9" t="str">
        <f>_xll.SNL.Clients.Office.Excel.Functions.SPG(BY40, "SP_COUNTRY_NAME")</f>
        <v>USA</v>
      </c>
      <c r="CC40" t="s">
        <v>1434</v>
      </c>
      <c r="CD40">
        <v>4437851</v>
      </c>
      <c r="CE40" t="s">
        <v>346</v>
      </c>
      <c r="CF40" s="11">
        <v>0.24</v>
      </c>
      <c r="CG40" s="9" t="str">
        <f>_xll.SNL.Clients.Office.Excel.Functions.SPG(CD40, "SP_COUNTRY_NAME")</f>
        <v>USA</v>
      </c>
      <c r="CH40" t="s">
        <v>389</v>
      </c>
      <c r="CI40">
        <v>109888</v>
      </c>
      <c r="CJ40" t="s">
        <v>346</v>
      </c>
      <c r="CK40" s="11">
        <v>0.21</v>
      </c>
      <c r="CL40" s="9" t="str">
        <f>_xll.SNL.Clients.Office.Excel.Functions.SPG(CI40, "SP_COUNTRY_NAME")</f>
        <v>USA</v>
      </c>
      <c r="CM40" t="s">
        <v>455</v>
      </c>
      <c r="CN40">
        <v>4119538</v>
      </c>
      <c r="CO40" t="s">
        <v>364</v>
      </c>
      <c r="CP40" s="11">
        <v>0.31</v>
      </c>
      <c r="CQ40" s="9" t="str">
        <f>_xll.SNL.Clients.Office.Excel.Functions.SPG(CN40, "SP_COUNTRY_NAME")</f>
        <v>USA</v>
      </c>
      <c r="CV40" s="9" t="str">
        <f>_xll.SNL.Clients.Office.Excel.Functions.SPG(CS40, "SP_COUNTRY_NAME")</f>
        <v>#INVALID COMPANY ID</v>
      </c>
      <c r="DA40" s="9" t="str">
        <f>_xll.SNL.Clients.Office.Excel.Functions.SPG(CX40, "SP_COUNTRY_NAME")</f>
        <v>#INVALID COMPANY ID</v>
      </c>
      <c r="DB40" t="s">
        <v>1395</v>
      </c>
      <c r="DC40">
        <v>109728</v>
      </c>
      <c r="DD40" t="s">
        <v>346</v>
      </c>
      <c r="DE40" s="11">
        <v>0.39</v>
      </c>
      <c r="DF40" s="9" t="str">
        <f>_xll.SNL.Clients.Office.Excel.Functions.SPG(DC40, "SP_COUNTRY_NAME")</f>
        <v>USA</v>
      </c>
      <c r="DK40" s="9" t="str">
        <f>_xll.SNL.Clients.Office.Excel.Functions.SPG(DH40, "SP_COUNTRY_NAME")</f>
        <v>#INVALID COMPANY ID</v>
      </c>
      <c r="DL40" t="s">
        <v>1395</v>
      </c>
      <c r="DM40">
        <v>109728</v>
      </c>
      <c r="DN40" t="s">
        <v>346</v>
      </c>
      <c r="DO40" s="11">
        <v>0.39</v>
      </c>
      <c r="DP40" s="9" t="str">
        <f>_xll.SNL.Clients.Office.Excel.Functions.SPG(DM40, "SP_COUNTRY_NAME")</f>
        <v>USA</v>
      </c>
      <c r="DU40" s="9" t="str">
        <f>_xll.SNL.Clients.Office.Excel.Functions.SPG(DR40, "SP_COUNTRY_NAME")</f>
        <v>#INVALID COMPANY ID</v>
      </c>
      <c r="DV40" t="s">
        <v>459</v>
      </c>
      <c r="DW40">
        <v>4140503</v>
      </c>
      <c r="DX40" t="s">
        <v>346</v>
      </c>
      <c r="DY40" s="11">
        <v>0.01</v>
      </c>
      <c r="DZ40" s="9" t="str">
        <f>_xll.SNL.Clients.Office.Excel.Functions.SPG(DW40, "SP_COUNTRY_NAME")</f>
        <v>Ireland</v>
      </c>
      <c r="EA40" t="s">
        <v>1434</v>
      </c>
      <c r="EB40">
        <v>4437851</v>
      </c>
      <c r="EC40" t="s">
        <v>346</v>
      </c>
      <c r="ED40" s="11">
        <v>0.24</v>
      </c>
      <c r="EE40" s="9" t="str">
        <f>_xll.SNL.Clients.Office.Excel.Functions.SPG(EB40, "SP_COUNTRY_NAME")</f>
        <v>USA</v>
      </c>
      <c r="EF40" t="s">
        <v>1395</v>
      </c>
      <c r="EG40">
        <v>109728</v>
      </c>
      <c r="EH40" t="s">
        <v>346</v>
      </c>
      <c r="EI40" s="11">
        <v>0.39</v>
      </c>
      <c r="EJ40" s="9" t="str">
        <f>_xll.SNL.Clients.Office.Excel.Functions.SPG(EG40, "SP_COUNTRY_NAME")</f>
        <v>USA</v>
      </c>
      <c r="EO40" s="9" t="str">
        <f>_xll.SNL.Clients.Office.Excel.Functions.SPG(EL40, "SP_COUNTRY_NAME")</f>
        <v>#INVALID COMPANY ID</v>
      </c>
      <c r="EP40" t="s">
        <v>453</v>
      </c>
      <c r="EQ40">
        <v>4318598</v>
      </c>
      <c r="ER40" t="s">
        <v>346</v>
      </c>
      <c r="ES40" s="11">
        <v>0.02</v>
      </c>
      <c r="ET40" s="9" t="str">
        <f>_xll.SNL.Clients.Office.Excel.Functions.SPG(EQ40, "SP_COUNTRY_NAME")</f>
        <v>USA</v>
      </c>
      <c r="EY40" s="9" t="str">
        <f>_xll.SNL.Clients.Office.Excel.Functions.SPG(EV40, "SP_COUNTRY_NAME")</f>
        <v>#INVALID COMPANY ID</v>
      </c>
      <c r="EZ40" t="s">
        <v>530</v>
      </c>
      <c r="FA40">
        <v>102729</v>
      </c>
      <c r="FB40" t="s">
        <v>346</v>
      </c>
      <c r="FC40" s="11">
        <v>0</v>
      </c>
      <c r="FD40" s="9" t="str">
        <f>_xll.SNL.Clients.Office.Excel.Functions.SPG(FA40, "SP_COUNTRY_NAME")</f>
        <v>USA</v>
      </c>
      <c r="FE40" t="s">
        <v>562</v>
      </c>
      <c r="FF40">
        <v>4256114</v>
      </c>
      <c r="FG40" t="s">
        <v>346</v>
      </c>
      <c r="FH40" s="11">
        <v>0</v>
      </c>
      <c r="FI40" s="9" t="str">
        <f>_xll.SNL.Clients.Office.Excel.Functions.SPG(FF40, "SP_COUNTRY_NAME")</f>
        <v>South Korea</v>
      </c>
      <c r="FJ40" t="s">
        <v>442</v>
      </c>
      <c r="FK40">
        <v>4117611</v>
      </c>
      <c r="FL40" t="s">
        <v>346</v>
      </c>
      <c r="FM40" s="11">
        <v>0.09</v>
      </c>
      <c r="FN40" s="9" t="str">
        <f>_xll.SNL.Clients.Office.Excel.Functions.SPG(FK40, "SP_COUNTRY_NAME")</f>
        <v>USA</v>
      </c>
      <c r="FS40" s="9" t="str">
        <f>_xll.SNL.Clients.Office.Excel.Functions.SPG(FP40, "SP_COUNTRY_NAME")</f>
        <v>#INVALID COMPANY ID</v>
      </c>
      <c r="FT40" t="s">
        <v>400</v>
      </c>
      <c r="FU40">
        <v>7834181</v>
      </c>
      <c r="FV40" t="s">
        <v>346</v>
      </c>
      <c r="FW40" s="11">
        <v>0.01</v>
      </c>
      <c r="FX40" s="9" t="str">
        <f>_xll.SNL.Clients.Office.Excel.Functions.SPG(FU40, "SP_COUNTRY_NAME")</f>
        <v>United Kingdom</v>
      </c>
      <c r="FY40" t="s">
        <v>1395</v>
      </c>
      <c r="FZ40">
        <v>109728</v>
      </c>
      <c r="GA40" t="s">
        <v>346</v>
      </c>
      <c r="GB40" s="11">
        <v>0.39</v>
      </c>
      <c r="GC40" s="9" t="str">
        <f>_xll.SNL.Clients.Office.Excel.Functions.SPG(FZ40, "SP_COUNTRY_NAME")</f>
        <v>USA</v>
      </c>
      <c r="GD40" t="s">
        <v>530</v>
      </c>
      <c r="GE40">
        <v>102729</v>
      </c>
      <c r="GF40" t="s">
        <v>346</v>
      </c>
      <c r="GG40" s="11">
        <v>0</v>
      </c>
      <c r="GH40" s="9" t="str">
        <f>_xll.SNL.Clients.Office.Excel.Functions.SPG(GE40, "SP_COUNTRY_NAME")</f>
        <v>USA</v>
      </c>
      <c r="GI40" t="s">
        <v>562</v>
      </c>
      <c r="GJ40">
        <v>4256114</v>
      </c>
      <c r="GK40" t="s">
        <v>346</v>
      </c>
      <c r="GL40" s="11">
        <v>0</v>
      </c>
      <c r="GM40" s="9" t="str">
        <f>_xll.SNL.Clients.Office.Excel.Functions.SPG(GJ40, "SP_COUNTRY_NAME")</f>
        <v>South Korea</v>
      </c>
      <c r="GN40" t="s">
        <v>442</v>
      </c>
      <c r="GO40">
        <v>4117611</v>
      </c>
      <c r="GP40" t="s">
        <v>346</v>
      </c>
      <c r="GQ40" s="11">
        <v>0.09</v>
      </c>
      <c r="GR40" s="9" t="str">
        <f>_xll.SNL.Clients.Office.Excel.Functions.SPG(GO40, "SP_COUNTRY_NAME")</f>
        <v>USA</v>
      </c>
      <c r="GS40" t="s">
        <v>441</v>
      </c>
      <c r="GT40">
        <v>4153483</v>
      </c>
      <c r="GU40" t="s">
        <v>363</v>
      </c>
      <c r="GV40" s="11">
        <v>7.0000000000000007E-2</v>
      </c>
      <c r="GW40" s="9" t="str">
        <f>_xll.SNL.Clients.Office.Excel.Functions.SPG(GT40, "SP_COUNTRY_NAME")</f>
        <v>Canada</v>
      </c>
      <c r="GX40" t="s">
        <v>1434</v>
      </c>
      <c r="GY40">
        <v>4437851</v>
      </c>
      <c r="GZ40" t="s">
        <v>346</v>
      </c>
      <c r="HA40" s="11">
        <v>0.24</v>
      </c>
      <c r="HB40" s="9" t="str">
        <f>_xll.SNL.Clients.Office.Excel.Functions.SPG(GY40, "SP_COUNTRY_NAME")</f>
        <v>USA</v>
      </c>
      <c r="HG40" s="9" t="str">
        <f>_xll.SNL.Clients.Office.Excel.Functions.SPG(HD40, "SP_COUNTRY_NAME")</f>
        <v>#INVALID COMPANY ID</v>
      </c>
    </row>
    <row r="41" spans="5:215" x14ac:dyDescent="0.35">
      <c r="E41" s="9" t="str">
        <f>_xll.SNL.Clients.Office.Excel.Functions.SPG(B41, "SP_COUNTRY_NAME")</f>
        <v>#INVALID COMPANY ID</v>
      </c>
      <c r="F41" t="s">
        <v>406</v>
      </c>
      <c r="G41">
        <v>4115698</v>
      </c>
      <c r="H41" t="s">
        <v>346</v>
      </c>
      <c r="I41" s="11">
        <v>0.1</v>
      </c>
      <c r="J41" s="9" t="str">
        <f>_xll.SNL.Clients.Office.Excel.Functions.SPG(G41, "SP_COUNTRY_NAME")</f>
        <v>United Kingdom</v>
      </c>
      <c r="K41" t="s">
        <v>650</v>
      </c>
      <c r="L41">
        <v>4550448</v>
      </c>
      <c r="M41" t="s">
        <v>346</v>
      </c>
      <c r="N41" s="11">
        <v>0.03</v>
      </c>
      <c r="O41" s="9" t="str">
        <f>_xll.SNL.Clients.Office.Excel.Functions.SPG(L41, "SP_COUNTRY_NAME")</f>
        <v>China</v>
      </c>
      <c r="T41" s="9" t="str">
        <f>_xll.SNL.Clients.Office.Excel.Functions.SPG(Q41, "SP_COUNTRY_NAME")</f>
        <v>#INVALID COMPANY ID</v>
      </c>
      <c r="U41" t="s">
        <v>721</v>
      </c>
      <c r="V41">
        <v>4329445</v>
      </c>
      <c r="W41" t="s">
        <v>346</v>
      </c>
      <c r="X41" s="11">
        <v>0.27</v>
      </c>
      <c r="Y41" s="9" t="str">
        <f>_xll.SNL.Clients.Office.Excel.Functions.SPG(V41, "SP_COUNTRY_NAME")</f>
        <v>China</v>
      </c>
      <c r="Z41" t="s">
        <v>650</v>
      </c>
      <c r="AA41">
        <v>4550448</v>
      </c>
      <c r="AB41" t="s">
        <v>346</v>
      </c>
      <c r="AC41" s="11">
        <v>0.03</v>
      </c>
      <c r="AD41" s="9" t="str">
        <f>_xll.SNL.Clients.Office.Excel.Functions.SPG(AA41, "SP_COUNTRY_NAME")</f>
        <v>China</v>
      </c>
      <c r="AE41" t="s">
        <v>389</v>
      </c>
      <c r="AF41">
        <v>109888</v>
      </c>
      <c r="AG41" t="s">
        <v>346</v>
      </c>
      <c r="AH41" s="11">
        <v>0.09</v>
      </c>
      <c r="AI41" s="9" t="str">
        <f>_xll.SNL.Clients.Office.Excel.Functions.SPG(AF41, "SP_COUNTRY_NAME")</f>
        <v>USA</v>
      </c>
      <c r="AN41" s="9" t="str">
        <f>_xll.SNL.Clients.Office.Excel.Functions.SPG(AK41, "SP_COUNTRY_NAME")</f>
        <v>#INVALID COMPANY ID</v>
      </c>
      <c r="AO41" t="s">
        <v>1261</v>
      </c>
      <c r="AP41">
        <v>4139896</v>
      </c>
      <c r="AQ41" t="s">
        <v>346</v>
      </c>
      <c r="AR41" s="11">
        <v>0.19</v>
      </c>
      <c r="AS41" s="9" t="str">
        <f>_xll.SNL.Clients.Office.Excel.Functions.SPG(AP41, "SP_COUNTRY_NAME")</f>
        <v>South Africa</v>
      </c>
      <c r="AX41" s="9" t="str">
        <f>_xll.SNL.Clients.Office.Excel.Functions.SPG(AU41, "SP_COUNTRY_NAME")</f>
        <v>#INVALID COMPANY ID</v>
      </c>
      <c r="AY41" t="s">
        <v>644</v>
      </c>
      <c r="AZ41">
        <v>4138625</v>
      </c>
      <c r="BA41" t="s">
        <v>346</v>
      </c>
      <c r="BB41" s="11">
        <v>0.05</v>
      </c>
      <c r="BC41" s="9" t="str">
        <f>_xll.SNL.Clients.Office.Excel.Functions.SPG(AZ41, "SP_COUNTRY_NAME")</f>
        <v>China</v>
      </c>
      <c r="BD41" t="s">
        <v>387</v>
      </c>
      <c r="BE41">
        <v>4020980</v>
      </c>
      <c r="BF41" t="s">
        <v>346</v>
      </c>
      <c r="BG41" s="11">
        <v>0.38</v>
      </c>
      <c r="BH41" s="9" t="str">
        <f>_xll.SNL.Clients.Office.Excel.Functions.SPG(BE41, "SP_COUNTRY_NAME")</f>
        <v>Bermuda</v>
      </c>
      <c r="BI41" t="s">
        <v>1558</v>
      </c>
      <c r="BJ41">
        <v>4304424</v>
      </c>
      <c r="BK41" t="s">
        <v>346</v>
      </c>
      <c r="BL41" s="11">
        <v>0.17</v>
      </c>
      <c r="BM41" s="9" t="str">
        <f>_xll.SNL.Clients.Office.Excel.Functions.SPG(BJ41, "SP_COUNTRY_NAME")</f>
        <v>France</v>
      </c>
      <c r="BN41" t="s">
        <v>387</v>
      </c>
      <c r="BO41">
        <v>4020980</v>
      </c>
      <c r="BP41" t="s">
        <v>346</v>
      </c>
      <c r="BQ41" s="11">
        <v>7.0000000000000007E-2</v>
      </c>
      <c r="BR41" s="9" t="str">
        <f>_xll.SNL.Clients.Office.Excel.Functions.SPG(BO41, "SP_COUNTRY_NAME")</f>
        <v>Bermuda</v>
      </c>
      <c r="BS41" t="s">
        <v>380</v>
      </c>
      <c r="BT41">
        <v>4674815</v>
      </c>
      <c r="BU41" t="s">
        <v>346</v>
      </c>
      <c r="BV41" s="11">
        <v>0.21</v>
      </c>
      <c r="BW41" s="9" t="str">
        <f>_xll.SNL.Clients.Office.Excel.Functions.SPG(BT41, "SP_COUNTRY_NAME")</f>
        <v>Switzerland</v>
      </c>
      <c r="BX41" t="s">
        <v>721</v>
      </c>
      <c r="BY41">
        <v>4329445</v>
      </c>
      <c r="BZ41" t="s">
        <v>346</v>
      </c>
      <c r="CA41" s="11">
        <v>0.27</v>
      </c>
      <c r="CB41" s="9" t="str">
        <f>_xll.SNL.Clients.Office.Excel.Functions.SPG(BY41, "SP_COUNTRY_NAME")</f>
        <v>China</v>
      </c>
      <c r="CC41" t="s">
        <v>608</v>
      </c>
      <c r="CD41">
        <v>110427</v>
      </c>
      <c r="CE41" t="s">
        <v>346</v>
      </c>
      <c r="CF41" s="11">
        <v>0.23</v>
      </c>
      <c r="CG41" s="9" t="str">
        <f>_xll.SNL.Clients.Office.Excel.Functions.SPG(CD41, "SP_COUNTRY_NAME")</f>
        <v>United Kingdom</v>
      </c>
      <c r="CH41" t="s">
        <v>1261</v>
      </c>
      <c r="CI41">
        <v>4139896</v>
      </c>
      <c r="CJ41" t="s">
        <v>346</v>
      </c>
      <c r="CK41" s="11">
        <v>0.19</v>
      </c>
      <c r="CL41" s="9" t="str">
        <f>_xll.SNL.Clients.Office.Excel.Functions.SPG(CI41, "SP_COUNTRY_NAME")</f>
        <v>South Africa</v>
      </c>
      <c r="CM41" t="s">
        <v>1259</v>
      </c>
      <c r="CN41">
        <v>4213239</v>
      </c>
      <c r="CO41" t="s">
        <v>346</v>
      </c>
      <c r="CP41" s="11">
        <v>0.28999999999999998</v>
      </c>
      <c r="CQ41" s="9" t="str">
        <f>_xll.SNL.Clients.Office.Excel.Functions.SPG(CN41, "SP_COUNTRY_NAME")</f>
        <v>South Africa</v>
      </c>
      <c r="CV41" s="9" t="str">
        <f>_xll.SNL.Clients.Office.Excel.Functions.SPG(CS41, "SP_COUNTRY_NAME")</f>
        <v>#INVALID COMPANY ID</v>
      </c>
      <c r="DA41" s="9" t="str">
        <f>_xll.SNL.Clients.Office.Excel.Functions.SPG(CX41, "SP_COUNTRY_NAME")</f>
        <v>#INVALID COMPANY ID</v>
      </c>
      <c r="DB41" t="s">
        <v>387</v>
      </c>
      <c r="DC41">
        <v>4020980</v>
      </c>
      <c r="DD41" t="s">
        <v>346</v>
      </c>
      <c r="DE41" s="11">
        <v>0.38</v>
      </c>
      <c r="DF41" s="9" t="str">
        <f>_xll.SNL.Clients.Office.Excel.Functions.SPG(DC41, "SP_COUNTRY_NAME")</f>
        <v>Bermuda</v>
      </c>
      <c r="DK41" s="9" t="str">
        <f>_xll.SNL.Clients.Office.Excel.Functions.SPG(DH41, "SP_COUNTRY_NAME")</f>
        <v>#INVALID COMPANY ID</v>
      </c>
      <c r="DL41" t="s">
        <v>387</v>
      </c>
      <c r="DM41">
        <v>4020980</v>
      </c>
      <c r="DN41" t="s">
        <v>346</v>
      </c>
      <c r="DO41" s="11">
        <v>0.38</v>
      </c>
      <c r="DP41" s="9" t="str">
        <f>_xll.SNL.Clients.Office.Excel.Functions.SPG(DM41, "SP_COUNTRY_NAME")</f>
        <v>Bermuda</v>
      </c>
      <c r="DU41" s="9" t="str">
        <f>_xll.SNL.Clients.Office.Excel.Functions.SPG(DR41, "SP_COUNTRY_NAME")</f>
        <v>#INVALID COMPANY ID</v>
      </c>
      <c r="DV41" t="s">
        <v>657</v>
      </c>
      <c r="DW41">
        <v>5851513</v>
      </c>
      <c r="DX41" t="s">
        <v>346</v>
      </c>
      <c r="DY41" s="11">
        <v>0.01</v>
      </c>
      <c r="DZ41" s="9" t="str">
        <f>_xll.SNL.Clients.Office.Excel.Functions.SPG(DW41, "SP_COUNTRY_NAME")</f>
        <v>Canada</v>
      </c>
      <c r="EA41" t="s">
        <v>608</v>
      </c>
      <c r="EB41">
        <v>110427</v>
      </c>
      <c r="EC41" t="s">
        <v>346</v>
      </c>
      <c r="ED41" s="11">
        <v>0.23</v>
      </c>
      <c r="EE41" s="9" t="str">
        <f>_xll.SNL.Clients.Office.Excel.Functions.SPG(EB41, "SP_COUNTRY_NAME")</f>
        <v>United Kingdom</v>
      </c>
      <c r="EF41" t="s">
        <v>387</v>
      </c>
      <c r="EG41">
        <v>4020980</v>
      </c>
      <c r="EH41" t="s">
        <v>346</v>
      </c>
      <c r="EI41" s="11">
        <v>0.38</v>
      </c>
      <c r="EJ41" s="9" t="str">
        <f>_xll.SNL.Clients.Office.Excel.Functions.SPG(EG41, "SP_COUNTRY_NAME")</f>
        <v>Bermuda</v>
      </c>
      <c r="EO41" s="9" t="str">
        <f>_xll.SNL.Clients.Office.Excel.Functions.SPG(EL41, "SP_COUNTRY_NAME")</f>
        <v>#INVALID COMPANY ID</v>
      </c>
      <c r="EP41" t="s">
        <v>409</v>
      </c>
      <c r="EQ41">
        <v>102719</v>
      </c>
      <c r="ER41" t="s">
        <v>346</v>
      </c>
      <c r="ES41" s="11">
        <v>0.01</v>
      </c>
      <c r="ET41" s="9" t="str">
        <f>_xll.SNL.Clients.Office.Excel.Functions.SPG(EQ41, "SP_COUNTRY_NAME")</f>
        <v>USA</v>
      </c>
      <c r="EY41" s="9" t="str">
        <f>_xll.SNL.Clients.Office.Excel.Functions.SPG(EV41, "SP_COUNTRY_NAME")</f>
        <v>#INVALID COMPANY ID</v>
      </c>
      <c r="EZ41" t="s">
        <v>1938</v>
      </c>
      <c r="FA41" t="s">
        <v>300</v>
      </c>
      <c r="FB41" t="s">
        <v>361</v>
      </c>
      <c r="FC41" s="11">
        <v>0</v>
      </c>
      <c r="FD41" s="9" t="str">
        <f>_xll.SNL.Clients.Office.Excel.Functions.SPG(FA41, "SP_COUNTRY_NAME")</f>
        <v>China</v>
      </c>
      <c r="FE41" t="s">
        <v>431</v>
      </c>
      <c r="FF41">
        <v>4085931</v>
      </c>
      <c r="FG41" t="s">
        <v>346</v>
      </c>
      <c r="FH41" s="11">
        <v>0</v>
      </c>
      <c r="FI41" s="9" t="str">
        <f>_xll.SNL.Clients.Office.Excel.Functions.SPG(FF41, "SP_COUNTRY_NAME")</f>
        <v>Japan</v>
      </c>
      <c r="FJ41" t="s">
        <v>740</v>
      </c>
      <c r="FK41">
        <v>4271664</v>
      </c>
      <c r="FL41" t="s">
        <v>346</v>
      </c>
      <c r="FM41" s="11">
        <v>0.09</v>
      </c>
      <c r="FN41" s="9" t="str">
        <f>_xll.SNL.Clients.Office.Excel.Functions.SPG(FK41, "SP_COUNTRY_NAME")</f>
        <v>United Kingdom</v>
      </c>
      <c r="FS41" s="9" t="str">
        <f>_xll.SNL.Clients.Office.Excel.Functions.SPG(FP41, "SP_COUNTRY_NAME")</f>
        <v>#INVALID COMPANY ID</v>
      </c>
      <c r="FT41" t="s">
        <v>401</v>
      </c>
      <c r="FU41">
        <v>4139862</v>
      </c>
      <c r="FV41" t="s">
        <v>346</v>
      </c>
      <c r="FW41" s="11">
        <v>0.01</v>
      </c>
      <c r="FX41" s="9" t="str">
        <f>_xll.SNL.Clients.Office.Excel.Functions.SPG(FU41, "SP_COUNTRY_NAME")</f>
        <v>United Kingdom</v>
      </c>
      <c r="FY41" t="s">
        <v>387</v>
      </c>
      <c r="FZ41">
        <v>4020980</v>
      </c>
      <c r="GA41" t="s">
        <v>346</v>
      </c>
      <c r="GB41" s="11">
        <v>0.38</v>
      </c>
      <c r="GC41" s="9" t="str">
        <f>_xll.SNL.Clients.Office.Excel.Functions.SPG(FZ41, "SP_COUNTRY_NAME")</f>
        <v>Bermuda</v>
      </c>
      <c r="GD41" t="s">
        <v>1938</v>
      </c>
      <c r="GE41" t="s">
        <v>300</v>
      </c>
      <c r="GF41" t="s">
        <v>361</v>
      </c>
      <c r="GG41" s="11">
        <v>0</v>
      </c>
      <c r="GH41" s="9" t="str">
        <f>_xll.SNL.Clients.Office.Excel.Functions.SPG(GE41, "SP_COUNTRY_NAME")</f>
        <v>China</v>
      </c>
      <c r="GI41" t="s">
        <v>431</v>
      </c>
      <c r="GJ41">
        <v>4085931</v>
      </c>
      <c r="GK41" t="s">
        <v>346</v>
      </c>
      <c r="GL41" s="11">
        <v>0</v>
      </c>
      <c r="GM41" s="9" t="str">
        <f>_xll.SNL.Clients.Office.Excel.Functions.SPG(GJ41, "SP_COUNTRY_NAME")</f>
        <v>Japan</v>
      </c>
      <c r="GN41" t="s">
        <v>740</v>
      </c>
      <c r="GO41">
        <v>4271664</v>
      </c>
      <c r="GP41" t="s">
        <v>346</v>
      </c>
      <c r="GQ41" s="11">
        <v>0.09</v>
      </c>
      <c r="GR41" s="9" t="str">
        <f>_xll.SNL.Clients.Office.Excel.Functions.SPG(GO41, "SP_COUNTRY_NAME")</f>
        <v>United Kingdom</v>
      </c>
      <c r="GS41" t="s">
        <v>387</v>
      </c>
      <c r="GT41">
        <v>4020980</v>
      </c>
      <c r="GU41" t="s">
        <v>346</v>
      </c>
      <c r="GV41" s="11">
        <v>7.0000000000000007E-2</v>
      </c>
      <c r="GW41" s="9" t="str">
        <f>_xll.SNL.Clients.Office.Excel.Functions.SPG(GT41, "SP_COUNTRY_NAME")</f>
        <v>Bermuda</v>
      </c>
      <c r="GX41" t="s">
        <v>608</v>
      </c>
      <c r="GY41">
        <v>110427</v>
      </c>
      <c r="GZ41" t="s">
        <v>346</v>
      </c>
      <c r="HA41" s="11">
        <v>0.23</v>
      </c>
      <c r="HB41" s="9" t="str">
        <f>_xll.SNL.Clients.Office.Excel.Functions.SPG(GY41, "SP_COUNTRY_NAME")</f>
        <v>United Kingdom</v>
      </c>
      <c r="HG41" s="9" t="str">
        <f>_xll.SNL.Clients.Office.Excel.Functions.SPG(HD41, "SP_COUNTRY_NAME")</f>
        <v>#INVALID COMPANY ID</v>
      </c>
    </row>
    <row r="42" spans="5:215" x14ac:dyDescent="0.35">
      <c r="E42" s="9" t="str">
        <f>_xll.SNL.Clients.Office.Excel.Functions.SPG(B42, "SP_COUNTRY_NAME")</f>
        <v>#INVALID COMPANY ID</v>
      </c>
      <c r="F42" t="s">
        <v>442</v>
      </c>
      <c r="G42">
        <v>4117611</v>
      </c>
      <c r="H42" t="s">
        <v>346</v>
      </c>
      <c r="I42" s="11">
        <v>0.09</v>
      </c>
      <c r="J42" s="9" t="str">
        <f>_xll.SNL.Clients.Office.Excel.Functions.SPG(G42, "SP_COUNTRY_NAME")</f>
        <v>USA</v>
      </c>
      <c r="K42" t="s">
        <v>651</v>
      </c>
      <c r="L42">
        <v>7059915</v>
      </c>
      <c r="M42" t="s">
        <v>346</v>
      </c>
      <c r="N42" s="11">
        <v>0.03</v>
      </c>
      <c r="O42" s="9" t="str">
        <f>_xll.SNL.Clients.Office.Excel.Functions.SPG(L42, "SP_COUNTRY_NAME")</f>
        <v>China</v>
      </c>
      <c r="T42" s="9" t="str">
        <f>_xll.SNL.Clients.Office.Excel.Functions.SPG(Q42, "SP_COUNTRY_NAME")</f>
        <v>#INVALID COMPANY ID</v>
      </c>
      <c r="U42" t="s">
        <v>437</v>
      </c>
      <c r="V42">
        <v>4102073</v>
      </c>
      <c r="W42" t="s">
        <v>346</v>
      </c>
      <c r="X42" s="11">
        <v>0.26</v>
      </c>
      <c r="Y42" s="9" t="str">
        <f>_xll.SNL.Clients.Office.Excel.Functions.SPG(V42, "SP_COUNTRY_NAME")</f>
        <v>USA</v>
      </c>
      <c r="Z42" t="s">
        <v>651</v>
      </c>
      <c r="AA42">
        <v>7059915</v>
      </c>
      <c r="AB42" t="s">
        <v>346</v>
      </c>
      <c r="AC42" s="11">
        <v>0.03</v>
      </c>
      <c r="AD42" s="9" t="str">
        <f>_xll.SNL.Clients.Office.Excel.Functions.SPG(AA42, "SP_COUNTRY_NAME")</f>
        <v>China</v>
      </c>
      <c r="AE42" t="s">
        <v>1117</v>
      </c>
      <c r="AF42">
        <v>4138136</v>
      </c>
      <c r="AG42" t="s">
        <v>364</v>
      </c>
      <c r="AH42" s="11">
        <v>0.09</v>
      </c>
      <c r="AI42" s="9" t="str">
        <f>_xll.SNL.Clients.Office.Excel.Functions.SPG(AF42, "SP_COUNTRY_NAME")</f>
        <v>United Kingdom</v>
      </c>
      <c r="AN42" s="9" t="str">
        <f>_xll.SNL.Clients.Office.Excel.Functions.SPG(AK42, "SP_COUNTRY_NAME")</f>
        <v>#INVALID COMPANY ID</v>
      </c>
      <c r="AO42" t="s">
        <v>1262</v>
      </c>
      <c r="AP42">
        <v>4550016</v>
      </c>
      <c r="AQ42" t="s">
        <v>364</v>
      </c>
      <c r="AR42" s="11">
        <v>0.18</v>
      </c>
      <c r="AS42" s="9" t="str">
        <f>_xll.SNL.Clients.Office.Excel.Functions.SPG(AP42, "SP_COUNTRY_NAME")</f>
        <v>South Africa</v>
      </c>
      <c r="AX42" s="9" t="str">
        <f>_xll.SNL.Clients.Office.Excel.Functions.SPG(AU42, "SP_COUNTRY_NAME")</f>
        <v>#INVALID COMPANY ID</v>
      </c>
      <c r="AY42" t="s">
        <v>721</v>
      </c>
      <c r="AZ42">
        <v>4329445</v>
      </c>
      <c r="BA42" t="s">
        <v>346</v>
      </c>
      <c r="BB42" s="11">
        <v>0.04</v>
      </c>
      <c r="BC42" s="9" t="str">
        <f>_xll.SNL.Clients.Office.Excel.Functions.SPG(AZ42, "SP_COUNTRY_NAME")</f>
        <v>China</v>
      </c>
      <c r="BD42" t="s">
        <v>708</v>
      </c>
      <c r="BE42">
        <v>4005446</v>
      </c>
      <c r="BF42" t="s">
        <v>362</v>
      </c>
      <c r="BG42" s="11">
        <v>0.37</v>
      </c>
      <c r="BH42" s="9" t="str">
        <f>_xll.SNL.Clients.Office.Excel.Functions.SPG(BE42, "SP_COUNTRY_NAME")</f>
        <v>Singapore</v>
      </c>
      <c r="BI42" t="s">
        <v>467</v>
      </c>
      <c r="BJ42">
        <v>7108293</v>
      </c>
      <c r="BK42" t="s">
        <v>369</v>
      </c>
      <c r="BL42" s="11">
        <v>0.17</v>
      </c>
      <c r="BM42" s="9" t="str">
        <f>_xll.SNL.Clients.Office.Excel.Functions.SPG(BJ42, "SP_COUNTRY_NAME")</f>
        <v>United Kingdom</v>
      </c>
      <c r="BN42" t="s">
        <v>386</v>
      </c>
      <c r="BO42">
        <v>4145085</v>
      </c>
      <c r="BP42" t="s">
        <v>346</v>
      </c>
      <c r="BQ42" s="11">
        <v>7.0000000000000007E-2</v>
      </c>
      <c r="BR42" s="9" t="str">
        <f>_xll.SNL.Clients.Office.Excel.Functions.SPG(BO42, "SP_COUNTRY_NAME")</f>
        <v>United Kingdom</v>
      </c>
      <c r="BS42" t="s">
        <v>456</v>
      </c>
      <c r="BT42">
        <v>4249110</v>
      </c>
      <c r="BU42" t="s">
        <v>346</v>
      </c>
      <c r="BV42" s="11">
        <v>0.2</v>
      </c>
      <c r="BW42" s="9" t="str">
        <f>_xll.SNL.Clients.Office.Excel.Functions.SPG(BT42, "SP_COUNTRY_NAME")</f>
        <v>United Kingdom</v>
      </c>
      <c r="BX42" t="s">
        <v>437</v>
      </c>
      <c r="BY42">
        <v>4102073</v>
      </c>
      <c r="BZ42" t="s">
        <v>346</v>
      </c>
      <c r="CA42" s="11">
        <v>0.26</v>
      </c>
      <c r="CB42" s="9" t="str">
        <f>_xll.SNL.Clients.Office.Excel.Functions.SPG(BY42, "SP_COUNTRY_NAME")</f>
        <v>USA</v>
      </c>
      <c r="CC42" t="s">
        <v>483</v>
      </c>
      <c r="CD42">
        <v>109763</v>
      </c>
      <c r="CE42" t="s">
        <v>346</v>
      </c>
      <c r="CF42" s="11">
        <v>0.23</v>
      </c>
      <c r="CG42" s="9" t="str">
        <f>_xll.SNL.Clients.Office.Excel.Functions.SPG(CD42, "SP_COUNTRY_NAME")</f>
        <v>USA</v>
      </c>
      <c r="CH42" t="s">
        <v>1262</v>
      </c>
      <c r="CI42">
        <v>4550016</v>
      </c>
      <c r="CJ42" t="s">
        <v>364</v>
      </c>
      <c r="CK42" s="11">
        <v>0.18</v>
      </c>
      <c r="CL42" s="9" t="str">
        <f>_xll.SNL.Clients.Office.Excel.Functions.SPG(CI42, "SP_COUNTRY_NAME")</f>
        <v>South Africa</v>
      </c>
      <c r="CM42" t="s">
        <v>763</v>
      </c>
      <c r="CN42">
        <v>110153</v>
      </c>
      <c r="CO42" t="s">
        <v>364</v>
      </c>
      <c r="CP42" s="11">
        <v>0.28000000000000003</v>
      </c>
      <c r="CQ42" s="9" t="str">
        <f>_xll.SNL.Clients.Office.Excel.Functions.SPG(CN42, "SP_COUNTRY_NAME")</f>
        <v>USA</v>
      </c>
      <c r="CV42" s="9" t="str">
        <f>_xll.SNL.Clients.Office.Excel.Functions.SPG(CS42, "SP_COUNTRY_NAME")</f>
        <v>#INVALID COMPANY ID</v>
      </c>
      <c r="DA42" s="9" t="str">
        <f>_xll.SNL.Clients.Office.Excel.Functions.SPG(CX42, "SP_COUNTRY_NAME")</f>
        <v>#INVALID COMPANY ID</v>
      </c>
      <c r="DB42" t="s">
        <v>708</v>
      </c>
      <c r="DC42">
        <v>4005446</v>
      </c>
      <c r="DD42" t="s">
        <v>362</v>
      </c>
      <c r="DE42" s="11">
        <v>0.37</v>
      </c>
      <c r="DF42" s="9" t="str">
        <f>_xll.SNL.Clients.Office.Excel.Functions.SPG(DC42, "SP_COUNTRY_NAME")</f>
        <v>Singapore</v>
      </c>
      <c r="DK42" s="9" t="str">
        <f>_xll.SNL.Clients.Office.Excel.Functions.SPG(DH42, "SP_COUNTRY_NAME")</f>
        <v>#INVALID COMPANY ID</v>
      </c>
      <c r="DL42" t="s">
        <v>708</v>
      </c>
      <c r="DM42">
        <v>4005446</v>
      </c>
      <c r="DN42" t="s">
        <v>362</v>
      </c>
      <c r="DO42" s="11">
        <v>0.37</v>
      </c>
      <c r="DP42" s="9" t="str">
        <f>_xll.SNL.Clients.Office.Excel.Functions.SPG(DM42, "SP_COUNTRY_NAME")</f>
        <v>Singapore</v>
      </c>
      <c r="DU42" s="9" t="str">
        <f>_xll.SNL.Clients.Office.Excel.Functions.SPG(DR42, "SP_COUNTRY_NAME")</f>
        <v>#INVALID COMPANY ID</v>
      </c>
      <c r="DV42" t="s">
        <v>859</v>
      </c>
      <c r="DW42">
        <v>4049161</v>
      </c>
      <c r="DX42" t="s">
        <v>346</v>
      </c>
      <c r="DY42" s="11">
        <v>0.01</v>
      </c>
      <c r="DZ42" s="9" t="str">
        <f>_xll.SNL.Clients.Office.Excel.Functions.SPG(DW42, "SP_COUNTRY_NAME")</f>
        <v>USA</v>
      </c>
      <c r="EA42" t="s">
        <v>483</v>
      </c>
      <c r="EB42">
        <v>109763</v>
      </c>
      <c r="EC42" t="s">
        <v>346</v>
      </c>
      <c r="ED42" s="11">
        <v>0.23</v>
      </c>
      <c r="EE42" s="9" t="str">
        <f>_xll.SNL.Clients.Office.Excel.Functions.SPG(EB42, "SP_COUNTRY_NAME")</f>
        <v>USA</v>
      </c>
      <c r="EF42" t="s">
        <v>708</v>
      </c>
      <c r="EG42">
        <v>4005446</v>
      </c>
      <c r="EH42" t="s">
        <v>362</v>
      </c>
      <c r="EI42" s="11">
        <v>0.37</v>
      </c>
      <c r="EJ42" s="9" t="str">
        <f>_xll.SNL.Clients.Office.Excel.Functions.SPG(EG42, "SP_COUNTRY_NAME")</f>
        <v>Singapore</v>
      </c>
      <c r="EO42" s="9" t="str">
        <f>_xll.SNL.Clients.Office.Excel.Functions.SPG(EL42, "SP_COUNTRY_NAME")</f>
        <v>#INVALID COMPANY ID</v>
      </c>
      <c r="EP42" t="s">
        <v>648</v>
      </c>
      <c r="EQ42">
        <v>4147551</v>
      </c>
      <c r="ER42" t="s">
        <v>366</v>
      </c>
      <c r="ES42" s="11">
        <v>0.01</v>
      </c>
      <c r="ET42" s="9" t="str">
        <f>_xll.SNL.Clients.Office.Excel.Functions.SPG(EQ42, "SP_COUNTRY_NAME")</f>
        <v>China</v>
      </c>
      <c r="EY42" s="9" t="str">
        <f>_xll.SNL.Clients.Office.Excel.Functions.SPG(EV42, "SP_COUNTRY_NAME")</f>
        <v>#INVALID COMPANY ID</v>
      </c>
      <c r="EZ42" t="s">
        <v>1939</v>
      </c>
      <c r="FA42" t="s">
        <v>300</v>
      </c>
      <c r="FB42" t="s">
        <v>361</v>
      </c>
      <c r="FC42" s="11">
        <v>0</v>
      </c>
      <c r="FD42" s="9" t="str">
        <f>_xll.SNL.Clients.Office.Excel.Functions.SPG(FA42, "SP_COUNTRY_NAME")</f>
        <v>China</v>
      </c>
      <c r="FE42" t="s">
        <v>418</v>
      </c>
      <c r="FF42">
        <v>109776</v>
      </c>
      <c r="FG42" t="s">
        <v>346</v>
      </c>
      <c r="FH42" s="11">
        <v>0</v>
      </c>
      <c r="FI42" s="9" t="str">
        <f>_xll.SNL.Clients.Office.Excel.Functions.SPG(FF42, "SP_COUNTRY_NAME")</f>
        <v>USA</v>
      </c>
      <c r="FJ42" t="s">
        <v>401</v>
      </c>
      <c r="FK42">
        <v>4139862</v>
      </c>
      <c r="FL42" t="s">
        <v>346</v>
      </c>
      <c r="FM42" s="11">
        <v>0.09</v>
      </c>
      <c r="FN42" s="9" t="str">
        <f>_xll.SNL.Clients.Office.Excel.Functions.SPG(FK42, "SP_COUNTRY_NAME")</f>
        <v>United Kingdom</v>
      </c>
      <c r="FS42" s="9" t="str">
        <f>_xll.SNL.Clients.Office.Excel.Functions.SPG(FP42, "SP_COUNTRY_NAME")</f>
        <v>#INVALID COMPANY ID</v>
      </c>
      <c r="FT42" t="s">
        <v>402</v>
      </c>
      <c r="FU42">
        <v>4065216</v>
      </c>
      <c r="FV42" t="s">
        <v>346</v>
      </c>
      <c r="FW42" s="11">
        <v>0.01</v>
      </c>
      <c r="FX42" s="9" t="str">
        <f>_xll.SNL.Clients.Office.Excel.Functions.SPG(FU42, "SP_COUNTRY_NAME")</f>
        <v>United Kingdom</v>
      </c>
      <c r="FY42" t="s">
        <v>708</v>
      </c>
      <c r="FZ42">
        <v>4005446</v>
      </c>
      <c r="GA42" t="s">
        <v>362</v>
      </c>
      <c r="GB42" s="11">
        <v>0.37</v>
      </c>
      <c r="GC42" s="9" t="str">
        <f>_xll.SNL.Clients.Office.Excel.Functions.SPG(FZ42, "SP_COUNTRY_NAME")</f>
        <v>Singapore</v>
      </c>
      <c r="GD42" t="s">
        <v>1939</v>
      </c>
      <c r="GE42" t="s">
        <v>300</v>
      </c>
      <c r="GF42" t="s">
        <v>361</v>
      </c>
      <c r="GG42" s="11">
        <v>0</v>
      </c>
      <c r="GH42" s="9" t="str">
        <f>_xll.SNL.Clients.Office.Excel.Functions.SPG(GE42, "SP_COUNTRY_NAME")</f>
        <v>China</v>
      </c>
      <c r="GI42" t="s">
        <v>418</v>
      </c>
      <c r="GJ42">
        <v>109776</v>
      </c>
      <c r="GK42" t="s">
        <v>346</v>
      </c>
      <c r="GL42" s="11">
        <v>0</v>
      </c>
      <c r="GM42" s="9" t="str">
        <f>_xll.SNL.Clients.Office.Excel.Functions.SPG(GJ42, "SP_COUNTRY_NAME")</f>
        <v>USA</v>
      </c>
      <c r="GN42" t="s">
        <v>401</v>
      </c>
      <c r="GO42">
        <v>4139862</v>
      </c>
      <c r="GP42" t="s">
        <v>346</v>
      </c>
      <c r="GQ42" s="11">
        <v>0.09</v>
      </c>
      <c r="GR42" s="9" t="str">
        <f>_xll.SNL.Clients.Office.Excel.Functions.SPG(GO42, "SP_COUNTRY_NAME")</f>
        <v>United Kingdom</v>
      </c>
      <c r="GS42" t="s">
        <v>386</v>
      </c>
      <c r="GT42">
        <v>4145085</v>
      </c>
      <c r="GU42" t="s">
        <v>346</v>
      </c>
      <c r="GV42" s="11">
        <v>7.0000000000000007E-2</v>
      </c>
      <c r="GW42" s="9" t="str">
        <f>_xll.SNL.Clients.Office.Excel.Functions.SPG(GT42, "SP_COUNTRY_NAME")</f>
        <v>United Kingdom</v>
      </c>
      <c r="GX42" t="s">
        <v>483</v>
      </c>
      <c r="GY42">
        <v>109763</v>
      </c>
      <c r="GZ42" t="s">
        <v>346</v>
      </c>
      <c r="HA42" s="11">
        <v>0.23</v>
      </c>
      <c r="HB42" s="9" t="str">
        <f>_xll.SNL.Clients.Office.Excel.Functions.SPG(GY42, "SP_COUNTRY_NAME")</f>
        <v>USA</v>
      </c>
      <c r="HG42" s="9" t="str">
        <f>_xll.SNL.Clients.Office.Excel.Functions.SPG(HD42, "SP_COUNTRY_NAME")</f>
        <v>#INVALID COMPANY ID</v>
      </c>
    </row>
    <row r="43" spans="5:215" x14ac:dyDescent="0.35">
      <c r="E43" s="9" t="str">
        <f>_xll.SNL.Clients.Office.Excel.Functions.SPG(B43, "SP_COUNTRY_NAME")</f>
        <v>#INVALID COMPANY ID</v>
      </c>
      <c r="F43" t="s">
        <v>401</v>
      </c>
      <c r="G43">
        <v>4139862</v>
      </c>
      <c r="H43" t="s">
        <v>346</v>
      </c>
      <c r="I43" s="11">
        <v>0.09</v>
      </c>
      <c r="J43" s="9" t="str">
        <f>_xll.SNL.Clients.Office.Excel.Functions.SPG(G43, "SP_COUNTRY_NAME")</f>
        <v>United Kingdom</v>
      </c>
      <c r="K43" t="s">
        <v>652</v>
      </c>
      <c r="L43">
        <v>4134208</v>
      </c>
      <c r="M43" t="s">
        <v>346</v>
      </c>
      <c r="N43" s="11">
        <v>0.03</v>
      </c>
      <c r="O43" s="9" t="str">
        <f>_xll.SNL.Clients.Office.Excel.Functions.SPG(L43, "SP_COUNTRY_NAME")</f>
        <v>USA</v>
      </c>
      <c r="T43" s="9" t="str">
        <f>_xll.SNL.Clients.Office.Excel.Functions.SPG(Q43, "SP_COUNTRY_NAME")</f>
        <v>#INVALID COMPANY ID</v>
      </c>
      <c r="U43" t="s">
        <v>722</v>
      </c>
      <c r="V43">
        <v>5812793</v>
      </c>
      <c r="W43" t="s">
        <v>346</v>
      </c>
      <c r="X43" s="11">
        <v>0.25</v>
      </c>
      <c r="Y43" s="9" t="str">
        <f>_xll.SNL.Clients.Office.Excel.Functions.SPG(V43, "SP_COUNTRY_NAME")</f>
        <v>China</v>
      </c>
      <c r="Z43" t="s">
        <v>652</v>
      </c>
      <c r="AA43">
        <v>4134208</v>
      </c>
      <c r="AB43" t="s">
        <v>346</v>
      </c>
      <c r="AC43" s="11">
        <v>0.03</v>
      </c>
      <c r="AD43" s="9" t="str">
        <f>_xll.SNL.Clients.Office.Excel.Functions.SPG(AA43, "SP_COUNTRY_NAME")</f>
        <v>USA</v>
      </c>
      <c r="AE43" t="s">
        <v>357</v>
      </c>
      <c r="AF43">
        <v>4270330</v>
      </c>
      <c r="AG43" t="s">
        <v>346</v>
      </c>
      <c r="AH43" s="11">
        <v>0.09</v>
      </c>
      <c r="AI43" s="9" t="str">
        <f>_xll.SNL.Clients.Office.Excel.Functions.SPG(AF43, "SP_COUNTRY_NAME")</f>
        <v>USA</v>
      </c>
      <c r="AN43" s="9" t="str">
        <f>_xll.SNL.Clients.Office.Excel.Functions.SPG(AK43, "SP_COUNTRY_NAME")</f>
        <v>#INVALID COMPANY ID</v>
      </c>
      <c r="AO43" t="s">
        <v>393</v>
      </c>
      <c r="AP43">
        <v>4723508</v>
      </c>
      <c r="AQ43" t="s">
        <v>346</v>
      </c>
      <c r="AR43" s="11">
        <v>0.18</v>
      </c>
      <c r="AS43" s="9" t="str">
        <f>_xll.SNL.Clients.Office.Excel.Functions.SPG(AP43, "SP_COUNTRY_NAME")</f>
        <v>United Kingdom</v>
      </c>
      <c r="AX43" s="9" t="str">
        <f>_xll.SNL.Clients.Office.Excel.Functions.SPG(AU43, "SP_COUNTRY_NAME")</f>
        <v>#INVALID COMPANY ID</v>
      </c>
      <c r="AY43" t="s">
        <v>1227</v>
      </c>
      <c r="AZ43" t="s">
        <v>300</v>
      </c>
      <c r="BA43" t="s">
        <v>361</v>
      </c>
      <c r="BB43" s="11">
        <v>0.04</v>
      </c>
      <c r="BC43" s="9" t="str">
        <f>_xll.SNL.Clients.Office.Excel.Functions.SPG(AZ43, "SP_COUNTRY_NAME")</f>
        <v>China</v>
      </c>
      <c r="BD43" t="s">
        <v>399</v>
      </c>
      <c r="BE43">
        <v>4026948</v>
      </c>
      <c r="BF43" t="s">
        <v>346</v>
      </c>
      <c r="BG43" s="11">
        <v>0.36</v>
      </c>
      <c r="BH43" s="9" t="str">
        <f>_xll.SNL.Clients.Office.Excel.Functions.SPG(BE43, "SP_COUNTRY_NAME")</f>
        <v>France</v>
      </c>
      <c r="BI43" t="s">
        <v>487</v>
      </c>
      <c r="BJ43">
        <v>4111901</v>
      </c>
      <c r="BK43" t="s">
        <v>346</v>
      </c>
      <c r="BL43" s="11">
        <v>0.15</v>
      </c>
      <c r="BM43" s="9" t="str">
        <f>_xll.SNL.Clients.Office.Excel.Functions.SPG(BJ43, "SP_COUNTRY_NAME")</f>
        <v>Belgium</v>
      </c>
      <c r="BN43" t="s">
        <v>955</v>
      </c>
      <c r="BO43">
        <v>4138889</v>
      </c>
      <c r="BP43" t="s">
        <v>346</v>
      </c>
      <c r="BQ43" s="11">
        <v>7.0000000000000007E-2</v>
      </c>
      <c r="BR43" s="9" t="str">
        <f>_xll.SNL.Clients.Office.Excel.Functions.SPG(BO43, "SP_COUNTRY_NAME")</f>
        <v>United Kingdom</v>
      </c>
      <c r="BS43" t="s">
        <v>719</v>
      </c>
      <c r="BT43">
        <v>4139954</v>
      </c>
      <c r="BU43" t="s">
        <v>346</v>
      </c>
      <c r="BV43" s="11">
        <v>0.19</v>
      </c>
      <c r="BW43" s="9" t="str">
        <f>_xll.SNL.Clients.Office.Excel.Functions.SPG(BT43, "SP_COUNTRY_NAME")</f>
        <v>Hong Kong</v>
      </c>
      <c r="BX43" t="s">
        <v>722</v>
      </c>
      <c r="BY43">
        <v>5812793</v>
      </c>
      <c r="BZ43" t="s">
        <v>346</v>
      </c>
      <c r="CA43" s="11">
        <v>0.25</v>
      </c>
      <c r="CB43" s="9" t="str">
        <f>_xll.SNL.Clients.Office.Excel.Functions.SPG(BY43, "SP_COUNTRY_NAME")</f>
        <v>China</v>
      </c>
      <c r="CC43" t="s">
        <v>405</v>
      </c>
      <c r="CD43">
        <v>4035990</v>
      </c>
      <c r="CE43" t="s">
        <v>346</v>
      </c>
      <c r="CF43" s="11">
        <v>0.22</v>
      </c>
      <c r="CG43" s="9" t="str">
        <f>_xll.SNL.Clients.Office.Excel.Functions.SPG(CD43, "SP_COUNTRY_NAME")</f>
        <v>Canada</v>
      </c>
      <c r="CH43" t="s">
        <v>393</v>
      </c>
      <c r="CI43">
        <v>4723508</v>
      </c>
      <c r="CJ43" t="s">
        <v>346</v>
      </c>
      <c r="CK43" s="11">
        <v>0.18</v>
      </c>
      <c r="CL43" s="9" t="str">
        <f>_xll.SNL.Clients.Office.Excel.Functions.SPG(CI43, "SP_COUNTRY_NAME")</f>
        <v>United Kingdom</v>
      </c>
      <c r="CM43" t="s">
        <v>1265</v>
      </c>
      <c r="CN43">
        <v>4118993</v>
      </c>
      <c r="CO43" t="s">
        <v>346</v>
      </c>
      <c r="CP43" s="11">
        <v>0.28000000000000003</v>
      </c>
      <c r="CQ43" s="9" t="str">
        <f>_xll.SNL.Clients.Office.Excel.Functions.SPG(CN43, "SP_COUNTRY_NAME")</f>
        <v>USA</v>
      </c>
      <c r="CV43" s="9" t="str">
        <f>_xll.SNL.Clients.Office.Excel.Functions.SPG(CS43, "SP_COUNTRY_NAME")</f>
        <v>#INVALID COMPANY ID</v>
      </c>
      <c r="DA43" s="9" t="str">
        <f>_xll.SNL.Clients.Office.Excel.Functions.SPG(CX43, "SP_COUNTRY_NAME")</f>
        <v>#INVALID COMPANY ID</v>
      </c>
      <c r="DB43" t="s">
        <v>399</v>
      </c>
      <c r="DC43">
        <v>4026948</v>
      </c>
      <c r="DD43" t="s">
        <v>346</v>
      </c>
      <c r="DE43" s="11">
        <v>0.36</v>
      </c>
      <c r="DF43" s="9" t="str">
        <f>_xll.SNL.Clients.Office.Excel.Functions.SPG(DC43, "SP_COUNTRY_NAME")</f>
        <v>France</v>
      </c>
      <c r="DK43" s="9" t="str">
        <f>_xll.SNL.Clients.Office.Excel.Functions.SPG(DH43, "SP_COUNTRY_NAME")</f>
        <v>#INVALID COMPANY ID</v>
      </c>
      <c r="DL43" t="s">
        <v>399</v>
      </c>
      <c r="DM43">
        <v>4026948</v>
      </c>
      <c r="DN43" t="s">
        <v>346</v>
      </c>
      <c r="DO43" s="11">
        <v>0.36</v>
      </c>
      <c r="DP43" s="9" t="str">
        <f>_xll.SNL.Clients.Office.Excel.Functions.SPG(DM43, "SP_COUNTRY_NAME")</f>
        <v>France</v>
      </c>
      <c r="DU43" s="9" t="str">
        <f>_xll.SNL.Clients.Office.Excel.Functions.SPG(DR43, "SP_COUNTRY_NAME")</f>
        <v>#INVALID COMPANY ID</v>
      </c>
      <c r="DV43" t="s">
        <v>407</v>
      </c>
      <c r="DW43">
        <v>109754</v>
      </c>
      <c r="DX43" t="s">
        <v>346</v>
      </c>
      <c r="DY43" s="11">
        <v>0.01</v>
      </c>
      <c r="DZ43" s="9" t="str">
        <f>_xll.SNL.Clients.Office.Excel.Functions.SPG(DW43, "SP_COUNTRY_NAME")</f>
        <v>USA</v>
      </c>
      <c r="EA43" t="s">
        <v>405</v>
      </c>
      <c r="EB43">
        <v>4035990</v>
      </c>
      <c r="EC43" t="s">
        <v>346</v>
      </c>
      <c r="ED43" s="11">
        <v>0.22</v>
      </c>
      <c r="EE43" s="9" t="str">
        <f>_xll.SNL.Clients.Office.Excel.Functions.SPG(EB43, "SP_COUNTRY_NAME")</f>
        <v>Canada</v>
      </c>
      <c r="EF43" t="s">
        <v>399</v>
      </c>
      <c r="EG43">
        <v>4026948</v>
      </c>
      <c r="EH43" t="s">
        <v>346</v>
      </c>
      <c r="EI43" s="11">
        <v>0.36</v>
      </c>
      <c r="EJ43" s="9" t="str">
        <f>_xll.SNL.Clients.Office.Excel.Functions.SPG(EG43, "SP_COUNTRY_NAME")</f>
        <v>France</v>
      </c>
      <c r="EO43" s="9" t="str">
        <f>_xll.SNL.Clients.Office.Excel.Functions.SPG(EL43, "SP_COUNTRY_NAME")</f>
        <v>#INVALID COMPANY ID</v>
      </c>
      <c r="EP43" t="s">
        <v>432</v>
      </c>
      <c r="EQ43">
        <v>110092</v>
      </c>
      <c r="ER43" t="s">
        <v>346</v>
      </c>
      <c r="ES43" s="11">
        <v>0.01</v>
      </c>
      <c r="ET43" s="9" t="str">
        <f>_xll.SNL.Clients.Office.Excel.Functions.SPG(EQ43, "SP_COUNTRY_NAME")</f>
        <v>USA</v>
      </c>
      <c r="EY43" s="9" t="str">
        <f>_xll.SNL.Clients.Office.Excel.Functions.SPG(EV43, "SP_COUNTRY_NAME")</f>
        <v>#INVALID COMPANY ID</v>
      </c>
      <c r="EZ43" t="s">
        <v>1940</v>
      </c>
      <c r="FA43" t="s">
        <v>300</v>
      </c>
      <c r="FB43" t="s">
        <v>361</v>
      </c>
      <c r="FC43" s="11">
        <v>0</v>
      </c>
      <c r="FD43" s="9" t="str">
        <f>_xll.SNL.Clients.Office.Excel.Functions.SPG(FA43, "SP_COUNTRY_NAME")</f>
        <v>China</v>
      </c>
      <c r="FE43" t="s">
        <v>1136</v>
      </c>
      <c r="FF43">
        <v>113818</v>
      </c>
      <c r="FG43" t="s">
        <v>366</v>
      </c>
      <c r="FH43" s="11">
        <v>0</v>
      </c>
      <c r="FI43" s="9" t="str">
        <f>_xll.SNL.Clients.Office.Excel.Functions.SPG(FF43, "SP_COUNTRY_NAME")</f>
        <v>France</v>
      </c>
      <c r="FJ43" t="s">
        <v>406</v>
      </c>
      <c r="FK43">
        <v>4115698</v>
      </c>
      <c r="FL43" t="s">
        <v>346</v>
      </c>
      <c r="FM43" s="11">
        <v>0.08</v>
      </c>
      <c r="FN43" s="9" t="str">
        <f>_xll.SNL.Clients.Office.Excel.Functions.SPG(FK43, "SP_COUNTRY_NAME")</f>
        <v>United Kingdom</v>
      </c>
      <c r="FS43" s="9" t="str">
        <f>_xll.SNL.Clients.Office.Excel.Functions.SPG(FP43, "SP_COUNTRY_NAME")</f>
        <v>#INVALID COMPANY ID</v>
      </c>
      <c r="FT43" t="s">
        <v>403</v>
      </c>
      <c r="FU43">
        <v>4033550</v>
      </c>
      <c r="FV43" t="s">
        <v>346</v>
      </c>
      <c r="FW43" s="11">
        <v>0.01</v>
      </c>
      <c r="FX43" s="9" t="str">
        <f>_xll.SNL.Clients.Office.Excel.Functions.SPG(FU43, "SP_COUNTRY_NAME")</f>
        <v>USA</v>
      </c>
      <c r="FY43" t="s">
        <v>399</v>
      </c>
      <c r="FZ43">
        <v>4026948</v>
      </c>
      <c r="GA43" t="s">
        <v>346</v>
      </c>
      <c r="GB43" s="11">
        <v>0.36</v>
      </c>
      <c r="GC43" s="9" t="str">
        <f>_xll.SNL.Clients.Office.Excel.Functions.SPG(FZ43, "SP_COUNTRY_NAME")</f>
        <v>France</v>
      </c>
      <c r="GD43" t="s">
        <v>1940</v>
      </c>
      <c r="GE43" t="s">
        <v>300</v>
      </c>
      <c r="GF43" t="s">
        <v>361</v>
      </c>
      <c r="GG43" s="11">
        <v>0</v>
      </c>
      <c r="GH43" s="9" t="str">
        <f>_xll.SNL.Clients.Office.Excel.Functions.SPG(GE43, "SP_COUNTRY_NAME")</f>
        <v>China</v>
      </c>
      <c r="GI43" t="s">
        <v>1136</v>
      </c>
      <c r="GJ43">
        <v>113818</v>
      </c>
      <c r="GK43" t="s">
        <v>366</v>
      </c>
      <c r="GL43" s="11">
        <v>0</v>
      </c>
      <c r="GM43" s="9" t="str">
        <f>_xll.SNL.Clients.Office.Excel.Functions.SPG(GJ43, "SP_COUNTRY_NAME")</f>
        <v>France</v>
      </c>
      <c r="GN43" t="s">
        <v>406</v>
      </c>
      <c r="GO43">
        <v>4115698</v>
      </c>
      <c r="GP43" t="s">
        <v>346</v>
      </c>
      <c r="GQ43" s="11">
        <v>0.08</v>
      </c>
      <c r="GR43" s="9" t="str">
        <f>_xll.SNL.Clients.Office.Excel.Functions.SPG(GO43, "SP_COUNTRY_NAME")</f>
        <v>United Kingdom</v>
      </c>
      <c r="GS43" t="s">
        <v>955</v>
      </c>
      <c r="GT43">
        <v>4138889</v>
      </c>
      <c r="GU43" t="s">
        <v>346</v>
      </c>
      <c r="GV43" s="11">
        <v>7.0000000000000007E-2</v>
      </c>
      <c r="GW43" s="9" t="str">
        <f>_xll.SNL.Clients.Office.Excel.Functions.SPG(GT43, "SP_COUNTRY_NAME")</f>
        <v>United Kingdom</v>
      </c>
      <c r="GX43" t="s">
        <v>405</v>
      </c>
      <c r="GY43">
        <v>4035990</v>
      </c>
      <c r="GZ43" t="s">
        <v>346</v>
      </c>
      <c r="HA43" s="11">
        <v>0.22</v>
      </c>
      <c r="HB43" s="9" t="str">
        <f>_xll.SNL.Clients.Office.Excel.Functions.SPG(GY43, "SP_COUNTRY_NAME")</f>
        <v>Canada</v>
      </c>
      <c r="HG43" s="9" t="str">
        <f>_xll.SNL.Clients.Office.Excel.Functions.SPG(HD43, "SP_COUNTRY_NAME")</f>
        <v>#INVALID COMPANY ID</v>
      </c>
    </row>
    <row r="44" spans="5:215" x14ac:dyDescent="0.35">
      <c r="E44" s="9" t="str">
        <f>_xll.SNL.Clients.Office.Excel.Functions.SPG(B44, "SP_COUNTRY_NAME")</f>
        <v>#INVALID COMPANY ID</v>
      </c>
      <c r="F44" t="s">
        <v>408</v>
      </c>
      <c r="G44">
        <v>4138917</v>
      </c>
      <c r="H44" t="s">
        <v>346</v>
      </c>
      <c r="I44" s="11">
        <v>0.08</v>
      </c>
      <c r="J44" s="9" t="str">
        <f>_xll.SNL.Clients.Office.Excel.Functions.SPG(G44, "SP_COUNTRY_NAME")</f>
        <v>Australia</v>
      </c>
      <c r="K44" t="s">
        <v>399</v>
      </c>
      <c r="L44">
        <v>4026948</v>
      </c>
      <c r="M44" t="s">
        <v>346</v>
      </c>
      <c r="N44" s="11">
        <v>0.03</v>
      </c>
      <c r="O44" s="9" t="str">
        <f>_xll.SNL.Clients.Office.Excel.Functions.SPG(L44, "SP_COUNTRY_NAME")</f>
        <v>France</v>
      </c>
      <c r="T44" s="9" t="str">
        <f>_xll.SNL.Clients.Office.Excel.Functions.SPG(Q44, "SP_COUNTRY_NAME")</f>
        <v>#INVALID COMPANY ID</v>
      </c>
      <c r="U44" t="s">
        <v>385</v>
      </c>
      <c r="V44">
        <v>5752504</v>
      </c>
      <c r="W44" t="s">
        <v>346</v>
      </c>
      <c r="X44" s="11">
        <v>0.24</v>
      </c>
      <c r="Y44" s="9" t="str">
        <f>_xll.SNL.Clients.Office.Excel.Functions.SPG(V44, "SP_COUNTRY_NAME")</f>
        <v>USA</v>
      </c>
      <c r="Z44" t="s">
        <v>399</v>
      </c>
      <c r="AA44">
        <v>4026948</v>
      </c>
      <c r="AB44" t="s">
        <v>346</v>
      </c>
      <c r="AC44" s="11">
        <v>0.03</v>
      </c>
      <c r="AD44" s="9" t="str">
        <f>_xll.SNL.Clients.Office.Excel.Functions.SPG(AA44, "SP_COUNTRY_NAME")</f>
        <v>France</v>
      </c>
      <c r="AE44" t="s">
        <v>955</v>
      </c>
      <c r="AF44">
        <v>4138889</v>
      </c>
      <c r="AG44" t="s">
        <v>346</v>
      </c>
      <c r="AH44" s="11">
        <v>0.09</v>
      </c>
      <c r="AI44" s="9" t="str">
        <f>_xll.SNL.Clients.Office.Excel.Functions.SPG(AF44, "SP_COUNTRY_NAME")</f>
        <v>United Kingdom</v>
      </c>
      <c r="AN44" s="9" t="str">
        <f>_xll.SNL.Clients.Office.Excel.Functions.SPG(AK44, "SP_COUNTRY_NAME")</f>
        <v>#INVALID COMPANY ID</v>
      </c>
      <c r="AO44" t="s">
        <v>1120</v>
      </c>
      <c r="AP44">
        <v>4724324</v>
      </c>
      <c r="AQ44" t="s">
        <v>346</v>
      </c>
      <c r="AR44" s="11">
        <v>0.17</v>
      </c>
      <c r="AS44" s="9" t="str">
        <f>_xll.SNL.Clients.Office.Excel.Functions.SPG(AP44, "SP_COUNTRY_NAME")</f>
        <v>USA</v>
      </c>
      <c r="AX44" s="9" t="str">
        <f>_xll.SNL.Clients.Office.Excel.Functions.SPG(AU44, "SP_COUNTRY_NAME")</f>
        <v>#INVALID COMPANY ID</v>
      </c>
      <c r="AY44" t="s">
        <v>835</v>
      </c>
      <c r="AZ44">
        <v>4878959</v>
      </c>
      <c r="BA44" t="s">
        <v>346</v>
      </c>
      <c r="BB44" s="11">
        <v>0.03</v>
      </c>
      <c r="BC44" s="9" t="str">
        <f>_xll.SNL.Clients.Office.Excel.Functions.SPG(AZ44, "SP_COUNTRY_NAME")</f>
        <v>China</v>
      </c>
      <c r="BD44" t="s">
        <v>964</v>
      </c>
      <c r="BE44">
        <v>110829</v>
      </c>
      <c r="BF44" t="s">
        <v>346</v>
      </c>
      <c r="BG44" s="11">
        <v>0.35</v>
      </c>
      <c r="BH44" s="9" t="str">
        <f>_xll.SNL.Clients.Office.Excel.Functions.SPG(BE44, "SP_COUNTRY_NAME")</f>
        <v>USA</v>
      </c>
      <c r="BI44" t="s">
        <v>380</v>
      </c>
      <c r="BJ44">
        <v>4674815</v>
      </c>
      <c r="BK44" t="s">
        <v>346</v>
      </c>
      <c r="BL44" s="11">
        <v>0.15</v>
      </c>
      <c r="BM44" s="9" t="str">
        <f>_xll.SNL.Clients.Office.Excel.Functions.SPG(BJ44, "SP_COUNTRY_NAME")</f>
        <v>Switzerland</v>
      </c>
      <c r="BN44" t="s">
        <v>673</v>
      </c>
      <c r="BO44">
        <v>5837129</v>
      </c>
      <c r="BP44" t="s">
        <v>346</v>
      </c>
      <c r="BQ44" s="11">
        <v>7.0000000000000007E-2</v>
      </c>
      <c r="BR44" s="9" t="str">
        <f>_xll.SNL.Clients.Office.Excel.Functions.SPG(BO44, "SP_COUNTRY_NAME")</f>
        <v>China</v>
      </c>
      <c r="BS44" t="s">
        <v>642</v>
      </c>
      <c r="BT44">
        <v>5762318</v>
      </c>
      <c r="BU44" t="s">
        <v>346</v>
      </c>
      <c r="BV44" s="11">
        <v>0.18</v>
      </c>
      <c r="BW44" s="9" t="str">
        <f>_xll.SNL.Clients.Office.Excel.Functions.SPG(BT44, "SP_COUNTRY_NAME")</f>
        <v>China</v>
      </c>
      <c r="BX44" t="s">
        <v>385</v>
      </c>
      <c r="BY44">
        <v>5752504</v>
      </c>
      <c r="BZ44" t="s">
        <v>346</v>
      </c>
      <c r="CA44" s="11">
        <v>0.24</v>
      </c>
      <c r="CB44" s="9" t="str">
        <f>_xll.SNL.Clients.Office.Excel.Functions.SPG(BY44, "SP_COUNTRY_NAME")</f>
        <v>USA</v>
      </c>
      <c r="CC44" t="s">
        <v>355</v>
      </c>
      <c r="CD44">
        <v>111074</v>
      </c>
      <c r="CE44" t="s">
        <v>346</v>
      </c>
      <c r="CF44" s="11">
        <v>0.22</v>
      </c>
      <c r="CG44" s="9" t="str">
        <f>_xll.SNL.Clients.Office.Excel.Functions.SPG(CD44, "SP_COUNTRY_NAME")</f>
        <v>USA</v>
      </c>
      <c r="CH44" t="s">
        <v>1120</v>
      </c>
      <c r="CI44">
        <v>4724324</v>
      </c>
      <c r="CJ44" t="s">
        <v>346</v>
      </c>
      <c r="CK44" s="11">
        <v>0.17</v>
      </c>
      <c r="CL44" s="9" t="str">
        <f>_xll.SNL.Clients.Office.Excel.Functions.SPG(CI44, "SP_COUNTRY_NAME")</f>
        <v>USA</v>
      </c>
      <c r="CM44" t="s">
        <v>1615</v>
      </c>
      <c r="CN44">
        <v>4048646</v>
      </c>
      <c r="CO44" t="s">
        <v>364</v>
      </c>
      <c r="CP44" s="11">
        <v>0.26</v>
      </c>
      <c r="CQ44" s="9" t="str">
        <f>_xll.SNL.Clients.Office.Excel.Functions.SPG(CN44, "SP_COUNTRY_NAME")</f>
        <v>USA</v>
      </c>
      <c r="CV44" s="9" t="str">
        <f>_xll.SNL.Clients.Office.Excel.Functions.SPG(CS44, "SP_COUNTRY_NAME")</f>
        <v>#INVALID COMPANY ID</v>
      </c>
      <c r="DA44" s="9" t="str">
        <f>_xll.SNL.Clients.Office.Excel.Functions.SPG(CX44, "SP_COUNTRY_NAME")</f>
        <v>#INVALID COMPANY ID</v>
      </c>
      <c r="DB44" t="s">
        <v>964</v>
      </c>
      <c r="DC44">
        <v>110829</v>
      </c>
      <c r="DD44" t="s">
        <v>346</v>
      </c>
      <c r="DE44" s="11">
        <v>0.35</v>
      </c>
      <c r="DF44" s="9" t="str">
        <f>_xll.SNL.Clients.Office.Excel.Functions.SPG(DC44, "SP_COUNTRY_NAME")</f>
        <v>USA</v>
      </c>
      <c r="DK44" s="9" t="str">
        <f>_xll.SNL.Clients.Office.Excel.Functions.SPG(DH44, "SP_COUNTRY_NAME")</f>
        <v>#INVALID COMPANY ID</v>
      </c>
      <c r="DL44" t="s">
        <v>964</v>
      </c>
      <c r="DM44">
        <v>110829</v>
      </c>
      <c r="DN44" t="s">
        <v>346</v>
      </c>
      <c r="DO44" s="11">
        <v>0.35</v>
      </c>
      <c r="DP44" s="9" t="str">
        <f>_xll.SNL.Clients.Office.Excel.Functions.SPG(DM44, "SP_COUNTRY_NAME")</f>
        <v>USA</v>
      </c>
      <c r="DU44" s="9" t="str">
        <f>_xll.SNL.Clients.Office.Excel.Functions.SPG(DR44, "SP_COUNTRY_NAME")</f>
        <v>#INVALID COMPANY ID</v>
      </c>
      <c r="DV44" t="s">
        <v>415</v>
      </c>
      <c r="DW44">
        <v>110587</v>
      </c>
      <c r="DX44" t="s">
        <v>346</v>
      </c>
      <c r="DY44" s="11">
        <v>0.01</v>
      </c>
      <c r="DZ44" s="9" t="str">
        <f>_xll.SNL.Clients.Office.Excel.Functions.SPG(DW44, "SP_COUNTRY_NAME")</f>
        <v>USA</v>
      </c>
      <c r="EA44" t="s">
        <v>355</v>
      </c>
      <c r="EB44">
        <v>111074</v>
      </c>
      <c r="EC44" t="s">
        <v>346</v>
      </c>
      <c r="ED44" s="11">
        <v>0.22</v>
      </c>
      <c r="EE44" s="9" t="str">
        <f>_xll.SNL.Clients.Office.Excel.Functions.SPG(EB44, "SP_COUNTRY_NAME")</f>
        <v>USA</v>
      </c>
      <c r="EF44" t="s">
        <v>964</v>
      </c>
      <c r="EG44">
        <v>110829</v>
      </c>
      <c r="EH44" t="s">
        <v>346</v>
      </c>
      <c r="EI44" s="11">
        <v>0.35</v>
      </c>
      <c r="EJ44" s="9" t="str">
        <f>_xll.SNL.Clients.Office.Excel.Functions.SPG(EG44, "SP_COUNTRY_NAME")</f>
        <v>USA</v>
      </c>
      <c r="EO44" s="9" t="str">
        <f>_xll.SNL.Clients.Office.Excel.Functions.SPG(EL44, "SP_COUNTRY_NAME")</f>
        <v>#INVALID COMPANY ID</v>
      </c>
      <c r="EP44" t="s">
        <v>399</v>
      </c>
      <c r="EQ44">
        <v>4026948</v>
      </c>
      <c r="ER44" t="s">
        <v>346</v>
      </c>
      <c r="ES44" s="11">
        <v>0.01</v>
      </c>
      <c r="ET44" s="9" t="str">
        <f>_xll.SNL.Clients.Office.Excel.Functions.SPG(EQ44, "SP_COUNTRY_NAME")</f>
        <v>France</v>
      </c>
      <c r="EY44" s="9" t="str">
        <f>_xll.SNL.Clients.Office.Excel.Functions.SPG(EV44, "SP_COUNTRY_NAME")</f>
        <v>#INVALID COMPANY ID</v>
      </c>
      <c r="EZ44" t="s">
        <v>1941</v>
      </c>
      <c r="FA44" t="s">
        <v>300</v>
      </c>
      <c r="FB44" t="s">
        <v>361</v>
      </c>
      <c r="FC44" s="11">
        <v>0</v>
      </c>
      <c r="FD44" s="9" t="str">
        <f>_xll.SNL.Clients.Office.Excel.Functions.SPG(FA44, "SP_COUNTRY_NAME")</f>
        <v>China</v>
      </c>
      <c r="FE44" t="s">
        <v>937</v>
      </c>
      <c r="FF44">
        <v>4041896</v>
      </c>
      <c r="FG44" t="s">
        <v>366</v>
      </c>
      <c r="FH44" s="11">
        <v>0</v>
      </c>
      <c r="FI44" s="9" t="str">
        <f>_xll.SNL.Clients.Office.Excel.Functions.SPG(FF44, "SP_COUNTRY_NAME")</f>
        <v>USA</v>
      </c>
      <c r="FJ44" t="s">
        <v>357</v>
      </c>
      <c r="FK44">
        <v>4270330</v>
      </c>
      <c r="FL44" t="s">
        <v>346</v>
      </c>
      <c r="FM44" s="11">
        <v>7.0000000000000007E-2</v>
      </c>
      <c r="FN44" s="9" t="str">
        <f>_xll.SNL.Clients.Office.Excel.Functions.SPG(FK44, "SP_COUNTRY_NAME")</f>
        <v>USA</v>
      </c>
      <c r="FS44" s="9" t="str">
        <f>_xll.SNL.Clients.Office.Excel.Functions.SPG(FP44, "SP_COUNTRY_NAME")</f>
        <v>#INVALID COMPANY ID</v>
      </c>
      <c r="FT44" t="s">
        <v>404</v>
      </c>
      <c r="FU44">
        <v>4383779</v>
      </c>
      <c r="FV44" t="s">
        <v>346</v>
      </c>
      <c r="FW44" s="11">
        <v>0</v>
      </c>
      <c r="FX44" s="9" t="str">
        <f>_xll.SNL.Clients.Office.Excel.Functions.SPG(FU44, "SP_COUNTRY_NAME")</f>
        <v>USA</v>
      </c>
      <c r="FY44" t="s">
        <v>964</v>
      </c>
      <c r="FZ44">
        <v>110829</v>
      </c>
      <c r="GA44" t="s">
        <v>346</v>
      </c>
      <c r="GB44" s="11">
        <v>0.35</v>
      </c>
      <c r="GC44" s="9" t="str">
        <f>_xll.SNL.Clients.Office.Excel.Functions.SPG(FZ44, "SP_COUNTRY_NAME")</f>
        <v>USA</v>
      </c>
      <c r="GD44" t="s">
        <v>1941</v>
      </c>
      <c r="GE44" t="s">
        <v>300</v>
      </c>
      <c r="GF44" t="s">
        <v>361</v>
      </c>
      <c r="GG44" s="11">
        <v>0</v>
      </c>
      <c r="GH44" s="9" t="str">
        <f>_xll.SNL.Clients.Office.Excel.Functions.SPG(GE44, "SP_COUNTRY_NAME")</f>
        <v>China</v>
      </c>
      <c r="GI44" t="s">
        <v>937</v>
      </c>
      <c r="GJ44">
        <v>4041896</v>
      </c>
      <c r="GK44" t="s">
        <v>366</v>
      </c>
      <c r="GL44" s="11">
        <v>0</v>
      </c>
      <c r="GM44" s="9" t="str">
        <f>_xll.SNL.Clients.Office.Excel.Functions.SPG(GJ44, "SP_COUNTRY_NAME")</f>
        <v>USA</v>
      </c>
      <c r="GN44" t="s">
        <v>357</v>
      </c>
      <c r="GO44">
        <v>4270330</v>
      </c>
      <c r="GP44" t="s">
        <v>346</v>
      </c>
      <c r="GQ44" s="11">
        <v>7.0000000000000007E-2</v>
      </c>
      <c r="GR44" s="9" t="str">
        <f>_xll.SNL.Clients.Office.Excel.Functions.SPG(GO44, "SP_COUNTRY_NAME")</f>
        <v>USA</v>
      </c>
      <c r="GS44" t="s">
        <v>673</v>
      </c>
      <c r="GT44">
        <v>5837129</v>
      </c>
      <c r="GU44" t="s">
        <v>346</v>
      </c>
      <c r="GV44" s="11">
        <v>7.0000000000000007E-2</v>
      </c>
      <c r="GW44" s="9" t="str">
        <f>_xll.SNL.Clients.Office.Excel.Functions.SPG(GT44, "SP_COUNTRY_NAME")</f>
        <v>China</v>
      </c>
      <c r="GX44" t="s">
        <v>355</v>
      </c>
      <c r="GY44">
        <v>111074</v>
      </c>
      <c r="GZ44" t="s">
        <v>346</v>
      </c>
      <c r="HA44" s="11">
        <v>0.22</v>
      </c>
      <c r="HB44" s="9" t="str">
        <f>_xll.SNL.Clients.Office.Excel.Functions.SPG(GY44, "SP_COUNTRY_NAME")</f>
        <v>USA</v>
      </c>
      <c r="HG44" s="9" t="str">
        <f>_xll.SNL.Clients.Office.Excel.Functions.SPG(HD44, "SP_COUNTRY_NAME")</f>
        <v>#INVALID COMPANY ID</v>
      </c>
    </row>
    <row r="45" spans="5:215" x14ac:dyDescent="0.35">
      <c r="E45" s="9" t="str">
        <f>_xll.SNL.Clients.Office.Excel.Functions.SPG(B45, "SP_COUNTRY_NAME")</f>
        <v>#INVALID COMPANY ID</v>
      </c>
      <c r="F45" t="s">
        <v>411</v>
      </c>
      <c r="G45">
        <v>4272373</v>
      </c>
      <c r="H45" t="s">
        <v>346</v>
      </c>
      <c r="I45" s="11">
        <v>0.08</v>
      </c>
      <c r="J45" s="9" t="str">
        <f>_xll.SNL.Clients.Office.Excel.Functions.SPG(G45, "SP_COUNTRY_NAME")</f>
        <v>United Kingdom</v>
      </c>
      <c r="K45" t="s">
        <v>653</v>
      </c>
      <c r="L45">
        <v>4100281</v>
      </c>
      <c r="M45" t="s">
        <v>346</v>
      </c>
      <c r="N45" s="11">
        <v>0.03</v>
      </c>
      <c r="O45" s="9" t="str">
        <f>_xll.SNL.Clients.Office.Excel.Functions.SPG(L45, "SP_COUNTRY_NAME")</f>
        <v>Hong Kong</v>
      </c>
      <c r="T45" s="9" t="str">
        <f>_xll.SNL.Clients.Office.Excel.Functions.SPG(Q45, "SP_COUNTRY_NAME")</f>
        <v>#INVALID COMPANY ID</v>
      </c>
      <c r="U45" t="s">
        <v>670</v>
      </c>
      <c r="V45">
        <v>4138799</v>
      </c>
      <c r="W45" t="s">
        <v>346</v>
      </c>
      <c r="X45" s="11">
        <v>0.23</v>
      </c>
      <c r="Y45" s="9" t="str">
        <f>_xll.SNL.Clients.Office.Excel.Functions.SPG(V45, "SP_COUNTRY_NAME")</f>
        <v>China</v>
      </c>
      <c r="Z45" t="s">
        <v>653</v>
      </c>
      <c r="AA45">
        <v>4100281</v>
      </c>
      <c r="AB45" t="s">
        <v>346</v>
      </c>
      <c r="AC45" s="11">
        <v>0.03</v>
      </c>
      <c r="AD45" s="9" t="str">
        <f>_xll.SNL.Clients.Office.Excel.Functions.SPG(AA45, "SP_COUNTRY_NAME")</f>
        <v>Hong Kong</v>
      </c>
      <c r="AE45" t="s">
        <v>1118</v>
      </c>
      <c r="AF45">
        <v>4026972</v>
      </c>
      <c r="AG45" t="s">
        <v>346</v>
      </c>
      <c r="AH45" s="11">
        <v>0.09</v>
      </c>
      <c r="AI45" s="9" t="str">
        <f>_xll.SNL.Clients.Office.Excel.Functions.SPG(AF45, "SP_COUNTRY_NAME")</f>
        <v>USA</v>
      </c>
      <c r="AN45" s="9" t="str">
        <f>_xll.SNL.Clients.Office.Excel.Functions.SPG(AK45, "SP_COUNTRY_NAME")</f>
        <v>#INVALID COMPANY ID</v>
      </c>
      <c r="AO45" t="s">
        <v>1263</v>
      </c>
      <c r="AP45">
        <v>5760616</v>
      </c>
      <c r="AQ45" t="s">
        <v>346</v>
      </c>
      <c r="AR45" s="11">
        <v>0.17</v>
      </c>
      <c r="AS45" s="9" t="str">
        <f>_xll.SNL.Clients.Office.Excel.Functions.SPG(AP45, "SP_COUNTRY_NAME")</f>
        <v>South Africa</v>
      </c>
      <c r="AX45" s="9" t="str">
        <f>_xll.SNL.Clients.Office.Excel.Functions.SPG(AU45, "SP_COUNTRY_NAME")</f>
        <v>#INVALID COMPANY ID</v>
      </c>
      <c r="AY45" t="s">
        <v>687</v>
      </c>
      <c r="AZ45">
        <v>4368709</v>
      </c>
      <c r="BA45" t="s">
        <v>346</v>
      </c>
      <c r="BB45" s="11">
        <v>0.03</v>
      </c>
      <c r="BC45" s="9" t="str">
        <f>_xll.SNL.Clients.Office.Excel.Functions.SPG(AZ45, "SP_COUNTRY_NAME")</f>
        <v>China</v>
      </c>
      <c r="BD45" t="s">
        <v>432</v>
      </c>
      <c r="BE45">
        <v>110092</v>
      </c>
      <c r="BF45" t="s">
        <v>346</v>
      </c>
      <c r="BG45" s="11">
        <v>0.34</v>
      </c>
      <c r="BH45" s="9" t="str">
        <f>_xll.SNL.Clients.Office.Excel.Functions.SPG(BE45, "SP_COUNTRY_NAME")</f>
        <v>USA</v>
      </c>
      <c r="BI45" t="s">
        <v>501</v>
      </c>
      <c r="BJ45">
        <v>111359</v>
      </c>
      <c r="BK45" t="s">
        <v>346</v>
      </c>
      <c r="BL45" s="11">
        <v>0.15</v>
      </c>
      <c r="BM45" s="9" t="str">
        <f>_xll.SNL.Clients.Office.Excel.Functions.SPG(BJ45, "SP_COUNTRY_NAME")</f>
        <v>USA</v>
      </c>
      <c r="BN45" t="s">
        <v>411</v>
      </c>
      <c r="BO45">
        <v>4272373</v>
      </c>
      <c r="BP45" t="s">
        <v>346</v>
      </c>
      <c r="BQ45" s="11">
        <v>7.0000000000000007E-2</v>
      </c>
      <c r="BR45" s="9" t="str">
        <f>_xll.SNL.Clients.Office.Excel.Functions.SPG(BO45, "SP_COUNTRY_NAME")</f>
        <v>United Kingdom</v>
      </c>
      <c r="BS45" t="s">
        <v>387</v>
      </c>
      <c r="BT45">
        <v>4020980</v>
      </c>
      <c r="BU45" t="s">
        <v>346</v>
      </c>
      <c r="BV45" s="11">
        <v>0.17</v>
      </c>
      <c r="BW45" s="9" t="str">
        <f>_xll.SNL.Clients.Office.Excel.Functions.SPG(BT45, "SP_COUNTRY_NAME")</f>
        <v>Bermuda</v>
      </c>
      <c r="BX45" t="s">
        <v>670</v>
      </c>
      <c r="BY45">
        <v>4138799</v>
      </c>
      <c r="BZ45" t="s">
        <v>346</v>
      </c>
      <c r="CA45" s="11">
        <v>0.23</v>
      </c>
      <c r="CB45" s="9" t="str">
        <f>_xll.SNL.Clients.Office.Excel.Functions.SPG(BY45, "SP_COUNTRY_NAME")</f>
        <v>China</v>
      </c>
      <c r="CC45" t="s">
        <v>1621</v>
      </c>
      <c r="CD45">
        <v>5743773</v>
      </c>
      <c r="CE45" t="s">
        <v>346</v>
      </c>
      <c r="CF45" s="11">
        <v>0.21</v>
      </c>
      <c r="CG45" s="9" t="str">
        <f>_xll.SNL.Clients.Office.Excel.Functions.SPG(CD45, "SP_COUNTRY_NAME")</f>
        <v>USA</v>
      </c>
      <c r="CH45" t="s">
        <v>1263</v>
      </c>
      <c r="CI45">
        <v>5760616</v>
      </c>
      <c r="CJ45" t="s">
        <v>346</v>
      </c>
      <c r="CK45" s="11">
        <v>0.17</v>
      </c>
      <c r="CL45" s="9" t="str">
        <f>_xll.SNL.Clients.Office.Excel.Functions.SPG(CI45, "SP_COUNTRY_NAME")</f>
        <v>South Africa</v>
      </c>
      <c r="CM45" t="s">
        <v>378</v>
      </c>
      <c r="CN45">
        <v>4048184</v>
      </c>
      <c r="CO45" t="s">
        <v>346</v>
      </c>
      <c r="CP45" s="11">
        <v>0.24</v>
      </c>
      <c r="CQ45" s="9" t="str">
        <f>_xll.SNL.Clients.Office.Excel.Functions.SPG(CN45, "SP_COUNTRY_NAME")</f>
        <v>Canada</v>
      </c>
      <c r="CV45" s="9" t="str">
        <f>_xll.SNL.Clients.Office.Excel.Functions.SPG(CS45, "SP_COUNTRY_NAME")</f>
        <v>#INVALID COMPANY ID</v>
      </c>
      <c r="DA45" s="9" t="str">
        <f>_xll.SNL.Clients.Office.Excel.Functions.SPG(CX45, "SP_COUNTRY_NAME")</f>
        <v>#INVALID COMPANY ID</v>
      </c>
      <c r="DB45" t="s">
        <v>432</v>
      </c>
      <c r="DC45">
        <v>110092</v>
      </c>
      <c r="DD45" t="s">
        <v>346</v>
      </c>
      <c r="DE45" s="11">
        <v>0.34</v>
      </c>
      <c r="DF45" s="9" t="str">
        <f>_xll.SNL.Clients.Office.Excel.Functions.SPG(DC45, "SP_COUNTRY_NAME")</f>
        <v>USA</v>
      </c>
      <c r="DK45" s="9" t="str">
        <f>_xll.SNL.Clients.Office.Excel.Functions.SPG(DH45, "SP_COUNTRY_NAME")</f>
        <v>#INVALID COMPANY ID</v>
      </c>
      <c r="DL45" t="s">
        <v>432</v>
      </c>
      <c r="DM45">
        <v>110092</v>
      </c>
      <c r="DN45" t="s">
        <v>346</v>
      </c>
      <c r="DO45" s="11">
        <v>0.34</v>
      </c>
      <c r="DP45" s="9" t="str">
        <f>_xll.SNL.Clients.Office.Excel.Functions.SPG(DM45, "SP_COUNTRY_NAME")</f>
        <v>USA</v>
      </c>
      <c r="DU45" s="9" t="str">
        <f>_xll.SNL.Clients.Office.Excel.Functions.SPG(DR45, "SP_COUNTRY_NAME")</f>
        <v>#INVALID COMPANY ID</v>
      </c>
      <c r="DV45" t="s">
        <v>406</v>
      </c>
      <c r="DW45">
        <v>4115698</v>
      </c>
      <c r="DX45" t="s">
        <v>346</v>
      </c>
      <c r="DY45" s="11">
        <v>0.01</v>
      </c>
      <c r="DZ45" s="9" t="str">
        <f>_xll.SNL.Clients.Office.Excel.Functions.SPG(DW45, "SP_COUNTRY_NAME")</f>
        <v>United Kingdom</v>
      </c>
      <c r="EA45" t="s">
        <v>1621</v>
      </c>
      <c r="EB45">
        <v>5743773</v>
      </c>
      <c r="EC45" t="s">
        <v>346</v>
      </c>
      <c r="ED45" s="11">
        <v>0.21</v>
      </c>
      <c r="EE45" s="9" t="str">
        <f>_xll.SNL.Clients.Office.Excel.Functions.SPG(EB45, "SP_COUNTRY_NAME")</f>
        <v>USA</v>
      </c>
      <c r="EF45" t="s">
        <v>432</v>
      </c>
      <c r="EG45">
        <v>110092</v>
      </c>
      <c r="EH45" t="s">
        <v>346</v>
      </c>
      <c r="EI45" s="11">
        <v>0.34</v>
      </c>
      <c r="EJ45" s="9" t="str">
        <f>_xll.SNL.Clients.Office.Excel.Functions.SPG(EG45, "SP_COUNTRY_NAME")</f>
        <v>USA</v>
      </c>
      <c r="EO45" s="9" t="str">
        <f>_xll.SNL.Clients.Office.Excel.Functions.SPG(EL45, "SP_COUNTRY_NAME")</f>
        <v>#INVALID COMPANY ID</v>
      </c>
      <c r="EP45" t="s">
        <v>496</v>
      </c>
      <c r="EQ45">
        <v>110495</v>
      </c>
      <c r="ER45" t="s">
        <v>346</v>
      </c>
      <c r="ES45" s="11">
        <v>0.01</v>
      </c>
      <c r="ET45" s="9" t="str">
        <f>_xll.SNL.Clients.Office.Excel.Functions.SPG(EQ45, "SP_COUNTRY_NAME")</f>
        <v>USA</v>
      </c>
      <c r="EY45" s="9" t="str">
        <f>_xll.SNL.Clients.Office.Excel.Functions.SPG(EV45, "SP_COUNTRY_NAME")</f>
        <v>#INVALID COMPANY ID</v>
      </c>
      <c r="EZ45" t="s">
        <v>1942</v>
      </c>
      <c r="FA45" t="s">
        <v>300</v>
      </c>
      <c r="FB45" t="s">
        <v>361</v>
      </c>
      <c r="FC45" s="11">
        <v>0</v>
      </c>
      <c r="FD45" s="9" t="str">
        <f>_xll.SNL.Clients.Office.Excel.Functions.SPG(FA45, "SP_COUNTRY_NAME")</f>
        <v>China</v>
      </c>
      <c r="FE45" t="s">
        <v>426</v>
      </c>
      <c r="FF45">
        <v>100201</v>
      </c>
      <c r="FG45" t="s">
        <v>366</v>
      </c>
      <c r="FH45" s="11">
        <v>-0.62</v>
      </c>
      <c r="FI45" s="9" t="str">
        <f>_xll.SNL.Clients.Office.Excel.Functions.SPG(FF45, "SP_COUNTRY_NAME")</f>
        <v>USA</v>
      </c>
      <c r="FJ45" t="s">
        <v>477</v>
      </c>
      <c r="FK45">
        <v>4119790</v>
      </c>
      <c r="FL45" t="s">
        <v>346</v>
      </c>
      <c r="FM45" s="11">
        <v>7.0000000000000007E-2</v>
      </c>
      <c r="FN45" s="9" t="str">
        <f>_xll.SNL.Clients.Office.Excel.Functions.SPG(FK45, "SP_COUNTRY_NAME")</f>
        <v>USA</v>
      </c>
      <c r="FS45" s="9" t="str">
        <f>_xll.SNL.Clients.Office.Excel.Functions.SPG(FP45, "SP_COUNTRY_NAME")</f>
        <v>#INVALID COMPANY ID</v>
      </c>
      <c r="FT45" t="s">
        <v>405</v>
      </c>
      <c r="FU45">
        <v>4035990</v>
      </c>
      <c r="FV45" t="s">
        <v>346</v>
      </c>
      <c r="FW45" s="11">
        <v>0</v>
      </c>
      <c r="FX45" s="9" t="str">
        <f>_xll.SNL.Clients.Office.Excel.Functions.SPG(FU45, "SP_COUNTRY_NAME")</f>
        <v>Canada</v>
      </c>
      <c r="FY45" t="s">
        <v>432</v>
      </c>
      <c r="FZ45">
        <v>110092</v>
      </c>
      <c r="GA45" t="s">
        <v>346</v>
      </c>
      <c r="GB45" s="11">
        <v>0.34</v>
      </c>
      <c r="GC45" s="9" t="str">
        <f>_xll.SNL.Clients.Office.Excel.Functions.SPG(FZ45, "SP_COUNTRY_NAME")</f>
        <v>USA</v>
      </c>
      <c r="GD45" t="s">
        <v>1942</v>
      </c>
      <c r="GE45" t="s">
        <v>300</v>
      </c>
      <c r="GF45" t="s">
        <v>361</v>
      </c>
      <c r="GG45" s="11">
        <v>0</v>
      </c>
      <c r="GH45" s="9" t="str">
        <f>_xll.SNL.Clients.Office.Excel.Functions.SPG(GE45, "SP_COUNTRY_NAME")</f>
        <v>China</v>
      </c>
      <c r="GI45" t="s">
        <v>426</v>
      </c>
      <c r="GJ45">
        <v>100201</v>
      </c>
      <c r="GK45" t="s">
        <v>366</v>
      </c>
      <c r="GL45" s="11">
        <v>-0.62</v>
      </c>
      <c r="GM45" s="9" t="str">
        <f>_xll.SNL.Clients.Office.Excel.Functions.SPG(GJ45, "SP_COUNTRY_NAME")</f>
        <v>USA</v>
      </c>
      <c r="GN45" t="s">
        <v>477</v>
      </c>
      <c r="GO45">
        <v>4119790</v>
      </c>
      <c r="GP45" t="s">
        <v>346</v>
      </c>
      <c r="GQ45" s="11">
        <v>7.0000000000000007E-2</v>
      </c>
      <c r="GR45" s="9" t="str">
        <f>_xll.SNL.Clients.Office.Excel.Functions.SPG(GO45, "SP_COUNTRY_NAME")</f>
        <v>USA</v>
      </c>
      <c r="GS45" t="s">
        <v>411</v>
      </c>
      <c r="GT45">
        <v>4272373</v>
      </c>
      <c r="GU45" t="s">
        <v>346</v>
      </c>
      <c r="GV45" s="11">
        <v>7.0000000000000007E-2</v>
      </c>
      <c r="GW45" s="9" t="str">
        <f>_xll.SNL.Clients.Office.Excel.Functions.SPG(GT45, "SP_COUNTRY_NAME")</f>
        <v>United Kingdom</v>
      </c>
      <c r="GX45" t="s">
        <v>1621</v>
      </c>
      <c r="GY45">
        <v>5743773</v>
      </c>
      <c r="GZ45" t="s">
        <v>346</v>
      </c>
      <c r="HA45" s="11">
        <v>0.21</v>
      </c>
      <c r="HB45" s="9" t="str">
        <f>_xll.SNL.Clients.Office.Excel.Functions.SPG(GY45, "SP_COUNTRY_NAME")</f>
        <v>USA</v>
      </c>
      <c r="HG45" s="9" t="str">
        <f>_xll.SNL.Clients.Office.Excel.Functions.SPG(HD45, "SP_COUNTRY_NAME")</f>
        <v>#INVALID COMPANY ID</v>
      </c>
    </row>
    <row r="46" spans="5:215" x14ac:dyDescent="0.35">
      <c r="E46" s="9" t="str">
        <f>_xll.SNL.Clients.Office.Excel.Functions.SPG(B46, "SP_COUNTRY_NAME")</f>
        <v>#INVALID COMPANY ID</v>
      </c>
      <c r="F46" t="s">
        <v>443</v>
      </c>
      <c r="G46">
        <v>110787</v>
      </c>
      <c r="H46" t="s">
        <v>346</v>
      </c>
      <c r="I46" s="11">
        <v>7.0000000000000007E-2</v>
      </c>
      <c r="J46" s="9" t="str">
        <f>_xll.SNL.Clients.Office.Excel.Functions.SPG(G46, "SP_COUNTRY_NAME")</f>
        <v>USA</v>
      </c>
      <c r="K46" t="s">
        <v>357</v>
      </c>
      <c r="L46">
        <v>4270330</v>
      </c>
      <c r="M46" t="s">
        <v>346</v>
      </c>
      <c r="N46" s="11">
        <v>0.03</v>
      </c>
      <c r="O46" s="9" t="str">
        <f>_xll.SNL.Clients.Office.Excel.Functions.SPG(L46, "SP_COUNTRY_NAME")</f>
        <v>USA</v>
      </c>
      <c r="T46" s="9" t="str">
        <f>_xll.SNL.Clients.Office.Excel.Functions.SPG(Q46, "SP_COUNTRY_NAME")</f>
        <v>#INVALID COMPANY ID</v>
      </c>
      <c r="U46" t="s">
        <v>387</v>
      </c>
      <c r="V46">
        <v>4020980</v>
      </c>
      <c r="W46" t="s">
        <v>346</v>
      </c>
      <c r="X46" s="11">
        <v>0.22</v>
      </c>
      <c r="Y46" s="9" t="str">
        <f>_xll.SNL.Clients.Office.Excel.Functions.SPG(V46, "SP_COUNTRY_NAME")</f>
        <v>Bermuda</v>
      </c>
      <c r="Z46" t="s">
        <v>357</v>
      </c>
      <c r="AA46">
        <v>4270330</v>
      </c>
      <c r="AB46" t="s">
        <v>346</v>
      </c>
      <c r="AC46" s="11">
        <v>0.03</v>
      </c>
      <c r="AD46" s="9" t="str">
        <f>_xll.SNL.Clients.Office.Excel.Functions.SPG(AA46, "SP_COUNTRY_NAME")</f>
        <v>USA</v>
      </c>
      <c r="AE46" t="s">
        <v>1092</v>
      </c>
      <c r="AF46">
        <v>27584974</v>
      </c>
      <c r="AG46" t="s">
        <v>346</v>
      </c>
      <c r="AH46" s="11">
        <v>0.08</v>
      </c>
      <c r="AI46" s="9" t="str">
        <f>_xll.SNL.Clients.Office.Excel.Functions.SPG(AF46, "SP_COUNTRY_NAME")</f>
        <v>Canada</v>
      </c>
      <c r="AN46" s="9" t="str">
        <f>_xll.SNL.Clients.Office.Excel.Functions.SPG(AK46, "SP_COUNTRY_NAME")</f>
        <v>#INVALID COMPANY ID</v>
      </c>
      <c r="AO46" t="s">
        <v>1264</v>
      </c>
      <c r="AP46">
        <v>4137948</v>
      </c>
      <c r="AQ46" t="s">
        <v>346</v>
      </c>
      <c r="AR46" s="11">
        <v>0.17</v>
      </c>
      <c r="AS46" s="9" t="str">
        <f>_xll.SNL.Clients.Office.Excel.Functions.SPG(AP46, "SP_COUNTRY_NAME")</f>
        <v>South Africa</v>
      </c>
      <c r="AX46" s="9" t="str">
        <f>_xll.SNL.Clients.Office.Excel.Functions.SPG(AU46, "SP_COUNTRY_NAME")</f>
        <v>#INVALID COMPANY ID</v>
      </c>
      <c r="AY46" t="s">
        <v>396</v>
      </c>
      <c r="AZ46">
        <v>4119759</v>
      </c>
      <c r="BA46" t="s">
        <v>346</v>
      </c>
      <c r="BB46" s="11">
        <v>0.02</v>
      </c>
      <c r="BC46" s="9" t="str">
        <f>_xll.SNL.Clients.Office.Excel.Functions.SPG(AZ46, "SP_COUNTRY_NAME")</f>
        <v>USA</v>
      </c>
      <c r="BD46" t="s">
        <v>437</v>
      </c>
      <c r="BE46">
        <v>4102073</v>
      </c>
      <c r="BF46" t="s">
        <v>346</v>
      </c>
      <c r="BG46" s="11">
        <v>0.33</v>
      </c>
      <c r="BH46" s="9" t="str">
        <f>_xll.SNL.Clients.Office.Excel.Functions.SPG(BE46, "SP_COUNTRY_NAME")</f>
        <v>USA</v>
      </c>
      <c r="BI46" t="s">
        <v>378</v>
      </c>
      <c r="BJ46">
        <v>4048184</v>
      </c>
      <c r="BK46" t="s">
        <v>346</v>
      </c>
      <c r="BL46" s="11">
        <v>0.15</v>
      </c>
      <c r="BM46" s="9" t="str">
        <f>_xll.SNL.Clients.Office.Excel.Functions.SPG(BJ46, "SP_COUNTRY_NAME")</f>
        <v>Canada</v>
      </c>
      <c r="BN46" t="s">
        <v>641</v>
      </c>
      <c r="BO46">
        <v>4820048</v>
      </c>
      <c r="BP46" t="s">
        <v>346</v>
      </c>
      <c r="BQ46" s="11">
        <v>7.0000000000000007E-2</v>
      </c>
      <c r="BR46" s="9" t="str">
        <f>_xll.SNL.Clients.Office.Excel.Functions.SPG(BO46, "SP_COUNTRY_NAME")</f>
        <v>China</v>
      </c>
      <c r="BS46" t="s">
        <v>736</v>
      </c>
      <c r="BT46">
        <v>4139955</v>
      </c>
      <c r="BU46" t="s">
        <v>346</v>
      </c>
      <c r="BV46" s="11">
        <v>0.17</v>
      </c>
      <c r="BW46" s="9" t="str">
        <f>_xll.SNL.Clients.Office.Excel.Functions.SPG(BT46, "SP_COUNTRY_NAME")</f>
        <v>Singapore</v>
      </c>
      <c r="BX46" t="s">
        <v>387</v>
      </c>
      <c r="BY46">
        <v>4020980</v>
      </c>
      <c r="BZ46" t="s">
        <v>346</v>
      </c>
      <c r="CA46" s="11">
        <v>0.22</v>
      </c>
      <c r="CB46" s="9" t="str">
        <f>_xll.SNL.Clients.Office.Excel.Functions.SPG(BY46, "SP_COUNTRY_NAME")</f>
        <v>Bermuda</v>
      </c>
      <c r="CC46" t="s">
        <v>1622</v>
      </c>
      <c r="CD46">
        <v>4975443</v>
      </c>
      <c r="CE46" t="s">
        <v>364</v>
      </c>
      <c r="CF46" s="11">
        <v>0.21</v>
      </c>
      <c r="CG46" s="9" t="str">
        <f>_xll.SNL.Clients.Office.Excel.Functions.SPG(CD46, "SP_COUNTRY_NAME")</f>
        <v>USA</v>
      </c>
      <c r="CH46" t="s">
        <v>1264</v>
      </c>
      <c r="CI46">
        <v>4137948</v>
      </c>
      <c r="CJ46" t="s">
        <v>346</v>
      </c>
      <c r="CK46" s="11">
        <v>0.17</v>
      </c>
      <c r="CL46" s="9" t="str">
        <f>_xll.SNL.Clients.Office.Excel.Functions.SPG(CI46, "SP_COUNTRY_NAME")</f>
        <v>South Africa</v>
      </c>
      <c r="CM46" t="s">
        <v>411</v>
      </c>
      <c r="CN46">
        <v>4272373</v>
      </c>
      <c r="CO46" t="s">
        <v>346</v>
      </c>
      <c r="CP46" s="11">
        <v>0.24</v>
      </c>
      <c r="CQ46" s="9" t="str">
        <f>_xll.SNL.Clients.Office.Excel.Functions.SPG(CN46, "SP_COUNTRY_NAME")</f>
        <v>United Kingdom</v>
      </c>
      <c r="CV46" s="9" t="str">
        <f>_xll.SNL.Clients.Office.Excel.Functions.SPG(CS46, "SP_COUNTRY_NAME")</f>
        <v>#INVALID COMPANY ID</v>
      </c>
      <c r="DA46" s="9" t="str">
        <f>_xll.SNL.Clients.Office.Excel.Functions.SPG(CX46, "SP_COUNTRY_NAME")</f>
        <v>#INVALID COMPANY ID</v>
      </c>
      <c r="DB46" t="s">
        <v>437</v>
      </c>
      <c r="DC46">
        <v>4102073</v>
      </c>
      <c r="DD46" t="s">
        <v>346</v>
      </c>
      <c r="DE46" s="11">
        <v>0.33</v>
      </c>
      <c r="DF46" s="9" t="str">
        <f>_xll.SNL.Clients.Office.Excel.Functions.SPG(DC46, "SP_COUNTRY_NAME")</f>
        <v>USA</v>
      </c>
      <c r="DK46" s="9" t="str">
        <f>_xll.SNL.Clients.Office.Excel.Functions.SPG(DH46, "SP_COUNTRY_NAME")</f>
        <v>#INVALID COMPANY ID</v>
      </c>
      <c r="DL46" t="s">
        <v>437</v>
      </c>
      <c r="DM46">
        <v>4102073</v>
      </c>
      <c r="DN46" t="s">
        <v>346</v>
      </c>
      <c r="DO46" s="11">
        <v>0.33</v>
      </c>
      <c r="DP46" s="9" t="str">
        <f>_xll.SNL.Clients.Office.Excel.Functions.SPG(DM46, "SP_COUNTRY_NAME")</f>
        <v>USA</v>
      </c>
      <c r="DU46" s="9" t="str">
        <f>_xll.SNL.Clients.Office.Excel.Functions.SPG(DR46, "SP_COUNTRY_NAME")</f>
        <v>#INVALID COMPANY ID</v>
      </c>
      <c r="DV46" t="s">
        <v>461</v>
      </c>
      <c r="DW46">
        <v>4137912</v>
      </c>
      <c r="DX46" t="s">
        <v>346</v>
      </c>
      <c r="DY46" s="11">
        <v>0.01</v>
      </c>
      <c r="DZ46" s="9" t="str">
        <f>_xll.SNL.Clients.Office.Excel.Functions.SPG(DW46, "SP_COUNTRY_NAME")</f>
        <v>Germany</v>
      </c>
      <c r="EA46" t="s">
        <v>1622</v>
      </c>
      <c r="EB46">
        <v>4975443</v>
      </c>
      <c r="EC46" t="s">
        <v>364</v>
      </c>
      <c r="ED46" s="11">
        <v>0.21</v>
      </c>
      <c r="EE46" s="9" t="str">
        <f>_xll.SNL.Clients.Office.Excel.Functions.SPG(EB46, "SP_COUNTRY_NAME")</f>
        <v>USA</v>
      </c>
      <c r="EF46" t="s">
        <v>437</v>
      </c>
      <c r="EG46">
        <v>4102073</v>
      </c>
      <c r="EH46" t="s">
        <v>346</v>
      </c>
      <c r="EI46" s="11">
        <v>0.33</v>
      </c>
      <c r="EJ46" s="9" t="str">
        <f>_xll.SNL.Clients.Office.Excel.Functions.SPG(EG46, "SP_COUNTRY_NAME")</f>
        <v>USA</v>
      </c>
      <c r="EO46" s="9" t="str">
        <f>_xll.SNL.Clients.Office.Excel.Functions.SPG(EL46, "SP_COUNTRY_NAME")</f>
        <v>#INVALID COMPANY ID</v>
      </c>
      <c r="EP46" t="s">
        <v>668</v>
      </c>
      <c r="EQ46">
        <v>109523595</v>
      </c>
      <c r="ER46" t="s">
        <v>346</v>
      </c>
      <c r="ES46" s="11">
        <v>0.01</v>
      </c>
      <c r="ET46" s="9" t="str">
        <f>_xll.SNL.Clients.Office.Excel.Functions.SPG(EQ46, "SP_COUNTRY_NAME")</f>
        <v>China</v>
      </c>
      <c r="EY46" s="9" t="str">
        <f>_xll.SNL.Clients.Office.Excel.Functions.SPG(EV46, "SP_COUNTRY_NAME")</f>
        <v>#INVALID COMPANY ID</v>
      </c>
      <c r="EZ46" t="s">
        <v>1943</v>
      </c>
      <c r="FA46" t="s">
        <v>300</v>
      </c>
      <c r="FB46" t="s">
        <v>361</v>
      </c>
      <c r="FC46" s="11">
        <v>0</v>
      </c>
      <c r="FD46" s="9" t="str">
        <f>_xll.SNL.Clients.Office.Excel.Functions.SPG(FA46, "SP_COUNTRY_NAME")</f>
        <v>China</v>
      </c>
      <c r="FE46" t="s">
        <v>425</v>
      </c>
      <c r="FF46">
        <v>4137704</v>
      </c>
      <c r="FG46" t="s">
        <v>346</v>
      </c>
      <c r="FH46" s="11">
        <v>-0.79</v>
      </c>
      <c r="FI46" s="9" t="str">
        <f>_xll.SNL.Clients.Office.Excel.Functions.SPG(FF46, "SP_COUNTRY_NAME")</f>
        <v>Japan</v>
      </c>
      <c r="FJ46" t="s">
        <v>411</v>
      </c>
      <c r="FK46">
        <v>4272373</v>
      </c>
      <c r="FL46" t="s">
        <v>346</v>
      </c>
      <c r="FM46" s="11">
        <v>7.0000000000000007E-2</v>
      </c>
      <c r="FN46" s="9" t="str">
        <f>_xll.SNL.Clients.Office.Excel.Functions.SPG(FK46, "SP_COUNTRY_NAME")</f>
        <v>United Kingdom</v>
      </c>
      <c r="FS46" s="9" t="str">
        <f>_xll.SNL.Clients.Office.Excel.Functions.SPG(FP46, "SP_COUNTRY_NAME")</f>
        <v>#INVALID COMPANY ID</v>
      </c>
      <c r="FT46" t="s">
        <v>406</v>
      </c>
      <c r="FU46">
        <v>4115698</v>
      </c>
      <c r="FV46" t="s">
        <v>346</v>
      </c>
      <c r="FW46" s="11">
        <v>0</v>
      </c>
      <c r="FX46" s="9" t="str">
        <f>_xll.SNL.Clients.Office.Excel.Functions.SPG(FU46, "SP_COUNTRY_NAME")</f>
        <v>United Kingdom</v>
      </c>
      <c r="FY46" t="s">
        <v>437</v>
      </c>
      <c r="FZ46">
        <v>4102073</v>
      </c>
      <c r="GA46" t="s">
        <v>346</v>
      </c>
      <c r="GB46" s="11">
        <v>0.33</v>
      </c>
      <c r="GC46" s="9" t="str">
        <f>_xll.SNL.Clients.Office.Excel.Functions.SPG(FZ46, "SP_COUNTRY_NAME")</f>
        <v>USA</v>
      </c>
      <c r="GD46" t="s">
        <v>1943</v>
      </c>
      <c r="GE46" t="s">
        <v>300</v>
      </c>
      <c r="GF46" t="s">
        <v>361</v>
      </c>
      <c r="GG46" s="11">
        <v>0</v>
      </c>
      <c r="GH46" s="9" t="str">
        <f>_xll.SNL.Clients.Office.Excel.Functions.SPG(GE46, "SP_COUNTRY_NAME")</f>
        <v>China</v>
      </c>
      <c r="GI46" t="s">
        <v>425</v>
      </c>
      <c r="GJ46">
        <v>4137704</v>
      </c>
      <c r="GK46" t="s">
        <v>346</v>
      </c>
      <c r="GL46" s="11">
        <v>-0.79</v>
      </c>
      <c r="GM46" s="9" t="str">
        <f>_xll.SNL.Clients.Office.Excel.Functions.SPG(GJ46, "SP_COUNTRY_NAME")</f>
        <v>Japan</v>
      </c>
      <c r="GN46" t="s">
        <v>411</v>
      </c>
      <c r="GO46">
        <v>4272373</v>
      </c>
      <c r="GP46" t="s">
        <v>346</v>
      </c>
      <c r="GQ46" s="11">
        <v>7.0000000000000007E-2</v>
      </c>
      <c r="GR46" s="9" t="str">
        <f>_xll.SNL.Clients.Office.Excel.Functions.SPG(GO46, "SP_COUNTRY_NAME")</f>
        <v>United Kingdom</v>
      </c>
      <c r="GS46" t="s">
        <v>641</v>
      </c>
      <c r="GT46">
        <v>4820048</v>
      </c>
      <c r="GU46" t="s">
        <v>346</v>
      </c>
      <c r="GV46" s="11">
        <v>7.0000000000000007E-2</v>
      </c>
      <c r="GW46" s="9" t="str">
        <f>_xll.SNL.Clients.Office.Excel.Functions.SPG(GT46, "SP_COUNTRY_NAME")</f>
        <v>China</v>
      </c>
      <c r="GX46" t="s">
        <v>1622</v>
      </c>
      <c r="GY46">
        <v>4975443</v>
      </c>
      <c r="GZ46" t="s">
        <v>364</v>
      </c>
      <c r="HA46" s="11">
        <v>0.21</v>
      </c>
      <c r="HB46" s="9" t="str">
        <f>_xll.SNL.Clients.Office.Excel.Functions.SPG(GY46, "SP_COUNTRY_NAME")</f>
        <v>USA</v>
      </c>
      <c r="HG46" s="9" t="str">
        <f>_xll.SNL.Clients.Office.Excel.Functions.SPG(HD46, "SP_COUNTRY_NAME")</f>
        <v>#INVALID COMPANY ID</v>
      </c>
    </row>
    <row r="47" spans="5:215" x14ac:dyDescent="0.35">
      <c r="E47" s="9" t="str">
        <f>_xll.SNL.Clients.Office.Excel.Functions.SPG(B47, "SP_COUNTRY_NAME")</f>
        <v>#INVALID COMPANY ID</v>
      </c>
      <c r="F47" t="s">
        <v>444</v>
      </c>
      <c r="G47">
        <v>109988</v>
      </c>
      <c r="H47" t="s">
        <v>346</v>
      </c>
      <c r="I47" s="11">
        <v>7.0000000000000007E-2</v>
      </c>
      <c r="J47" s="9" t="str">
        <f>_xll.SNL.Clients.Office.Excel.Functions.SPG(G47, "SP_COUNTRY_NAME")</f>
        <v>USA</v>
      </c>
      <c r="K47" t="s">
        <v>477</v>
      </c>
      <c r="L47">
        <v>4119790</v>
      </c>
      <c r="M47" t="s">
        <v>346</v>
      </c>
      <c r="N47" s="11">
        <v>0.02</v>
      </c>
      <c r="O47" s="9" t="str">
        <f>_xll.SNL.Clients.Office.Excel.Functions.SPG(L47, "SP_COUNTRY_NAME")</f>
        <v>USA</v>
      </c>
      <c r="T47" s="9" t="str">
        <f>_xll.SNL.Clients.Office.Excel.Functions.SPG(Q47, "SP_COUNTRY_NAME")</f>
        <v>#INVALID COMPANY ID</v>
      </c>
      <c r="U47" t="s">
        <v>552</v>
      </c>
      <c r="V47">
        <v>4026973</v>
      </c>
      <c r="W47" t="s">
        <v>346</v>
      </c>
      <c r="X47" s="11">
        <v>0.22</v>
      </c>
      <c r="Y47" s="9" t="str">
        <f>_xll.SNL.Clients.Office.Excel.Functions.SPG(V47, "SP_COUNTRY_NAME")</f>
        <v>United Kingdom</v>
      </c>
      <c r="Z47" t="s">
        <v>477</v>
      </c>
      <c r="AA47">
        <v>4119790</v>
      </c>
      <c r="AB47" t="s">
        <v>346</v>
      </c>
      <c r="AC47" s="11">
        <v>0.02</v>
      </c>
      <c r="AD47" s="9" t="str">
        <f>_xll.SNL.Clients.Office.Excel.Functions.SPG(AA47, "SP_COUNTRY_NAME")</f>
        <v>USA</v>
      </c>
      <c r="AE47" t="s">
        <v>429</v>
      </c>
      <c r="AF47">
        <v>4607441</v>
      </c>
      <c r="AG47" t="s">
        <v>346</v>
      </c>
      <c r="AH47" s="11">
        <v>0.08</v>
      </c>
      <c r="AI47" s="9" t="str">
        <f>_xll.SNL.Clients.Office.Excel.Functions.SPG(AF47, "SP_COUNTRY_NAME")</f>
        <v>Japan</v>
      </c>
      <c r="AN47" s="9" t="str">
        <f>_xll.SNL.Clients.Office.Excel.Functions.SPG(AK47, "SP_COUNTRY_NAME")</f>
        <v>#INVALID COMPANY ID</v>
      </c>
      <c r="AO47" t="s">
        <v>357</v>
      </c>
      <c r="AP47">
        <v>4270330</v>
      </c>
      <c r="AQ47" t="s">
        <v>346</v>
      </c>
      <c r="AR47" s="11">
        <v>0.17</v>
      </c>
      <c r="AS47" s="9" t="str">
        <f>_xll.SNL.Clients.Office.Excel.Functions.SPG(AP47, "SP_COUNTRY_NAME")</f>
        <v>USA</v>
      </c>
      <c r="AX47" s="9" t="str">
        <f>_xll.SNL.Clients.Office.Excel.Functions.SPG(AU47, "SP_COUNTRY_NAME")</f>
        <v>#INVALID COMPANY ID</v>
      </c>
      <c r="AY47" t="s">
        <v>675</v>
      </c>
      <c r="AZ47">
        <v>4548312</v>
      </c>
      <c r="BA47" t="s">
        <v>346</v>
      </c>
      <c r="BB47" s="11">
        <v>0.02</v>
      </c>
      <c r="BC47" s="9" t="str">
        <f>_xll.SNL.Clients.Office.Excel.Functions.SPG(AZ47, "SP_COUNTRY_NAME")</f>
        <v>China</v>
      </c>
      <c r="BD47" t="s">
        <v>524</v>
      </c>
      <c r="BE47">
        <v>4147331</v>
      </c>
      <c r="BF47" t="s">
        <v>346</v>
      </c>
      <c r="BG47" s="11">
        <v>0.33</v>
      </c>
      <c r="BH47" s="9" t="str">
        <f>_xll.SNL.Clients.Office.Excel.Functions.SPG(BE47, "SP_COUNTRY_NAME")</f>
        <v>United Kingdom</v>
      </c>
      <c r="BI47" t="s">
        <v>1172</v>
      </c>
      <c r="BJ47">
        <v>4118152</v>
      </c>
      <c r="BK47" t="s">
        <v>346</v>
      </c>
      <c r="BL47" s="11">
        <v>0.13</v>
      </c>
      <c r="BM47" s="9" t="str">
        <f>_xll.SNL.Clients.Office.Excel.Functions.SPG(BJ47, "SP_COUNTRY_NAME")</f>
        <v>USA</v>
      </c>
      <c r="BN47" t="s">
        <v>639</v>
      </c>
      <c r="BO47">
        <v>4139311</v>
      </c>
      <c r="BP47" t="s">
        <v>346</v>
      </c>
      <c r="BQ47" s="11">
        <v>0.06</v>
      </c>
      <c r="BR47" s="9" t="str">
        <f>_xll.SNL.Clients.Office.Excel.Functions.SPG(BO47, "SP_COUNTRY_NAME")</f>
        <v>China</v>
      </c>
      <c r="BS47" t="s">
        <v>950</v>
      </c>
      <c r="BT47">
        <v>4306965</v>
      </c>
      <c r="BU47" t="s">
        <v>369</v>
      </c>
      <c r="BV47" s="11">
        <v>0.17</v>
      </c>
      <c r="BW47" s="9" t="str">
        <f>_xll.SNL.Clients.Office.Excel.Functions.SPG(BT47, "SP_COUNTRY_NAME")</f>
        <v>Singapore</v>
      </c>
      <c r="BX47" t="s">
        <v>552</v>
      </c>
      <c r="BY47">
        <v>4026973</v>
      </c>
      <c r="BZ47" t="s">
        <v>346</v>
      </c>
      <c r="CA47" s="11">
        <v>0.22</v>
      </c>
      <c r="CB47" s="9" t="str">
        <f>_xll.SNL.Clients.Office.Excel.Functions.SPG(BY47, "SP_COUNTRY_NAME")</f>
        <v>United Kingdom</v>
      </c>
      <c r="CC47" t="s">
        <v>763</v>
      </c>
      <c r="CD47">
        <v>110153</v>
      </c>
      <c r="CE47" t="s">
        <v>364</v>
      </c>
      <c r="CF47" s="11">
        <v>0.2</v>
      </c>
      <c r="CG47" s="9" t="str">
        <f>_xll.SNL.Clients.Office.Excel.Functions.SPG(CD47, "SP_COUNTRY_NAME")</f>
        <v>USA</v>
      </c>
      <c r="CH47" t="s">
        <v>357</v>
      </c>
      <c r="CI47">
        <v>4270330</v>
      </c>
      <c r="CJ47" t="s">
        <v>346</v>
      </c>
      <c r="CK47" s="11">
        <v>0.17</v>
      </c>
      <c r="CL47" s="9" t="str">
        <f>_xll.SNL.Clients.Office.Excel.Functions.SPG(CI47, "SP_COUNTRY_NAME")</f>
        <v>USA</v>
      </c>
      <c r="CM47" t="s">
        <v>605</v>
      </c>
      <c r="CN47">
        <v>111489</v>
      </c>
      <c r="CO47" t="s">
        <v>346</v>
      </c>
      <c r="CP47" s="11">
        <v>0.24</v>
      </c>
      <c r="CQ47" s="9" t="str">
        <f>_xll.SNL.Clients.Office.Excel.Functions.SPG(CN47, "SP_COUNTRY_NAME")</f>
        <v>USA</v>
      </c>
      <c r="CV47" s="9" t="str">
        <f>_xll.SNL.Clients.Office.Excel.Functions.SPG(CS47, "SP_COUNTRY_NAME")</f>
        <v>#INVALID COMPANY ID</v>
      </c>
      <c r="DA47" s="9" t="str">
        <f>_xll.SNL.Clients.Office.Excel.Functions.SPG(CX47, "SP_COUNTRY_NAME")</f>
        <v>#INVALID COMPANY ID</v>
      </c>
      <c r="DB47" t="s">
        <v>524</v>
      </c>
      <c r="DC47">
        <v>4147331</v>
      </c>
      <c r="DD47" t="s">
        <v>346</v>
      </c>
      <c r="DE47" s="11">
        <v>0.33</v>
      </c>
      <c r="DF47" s="9" t="str">
        <f>_xll.SNL.Clients.Office.Excel.Functions.SPG(DC47, "SP_COUNTRY_NAME")</f>
        <v>United Kingdom</v>
      </c>
      <c r="DK47" s="9" t="str">
        <f>_xll.SNL.Clients.Office.Excel.Functions.SPG(DH47, "SP_COUNTRY_NAME")</f>
        <v>#INVALID COMPANY ID</v>
      </c>
      <c r="DL47" t="s">
        <v>524</v>
      </c>
      <c r="DM47">
        <v>4147331</v>
      </c>
      <c r="DN47" t="s">
        <v>346</v>
      </c>
      <c r="DO47" s="11">
        <v>0.33</v>
      </c>
      <c r="DP47" s="9" t="str">
        <f>_xll.SNL.Clients.Office.Excel.Functions.SPG(DM47, "SP_COUNTRY_NAME")</f>
        <v>United Kingdom</v>
      </c>
      <c r="DU47" s="9" t="str">
        <f>_xll.SNL.Clients.Office.Excel.Functions.SPG(DR47, "SP_COUNTRY_NAME")</f>
        <v>#INVALID COMPANY ID</v>
      </c>
      <c r="DV47" t="s">
        <v>396</v>
      </c>
      <c r="DW47">
        <v>4119759</v>
      </c>
      <c r="DX47" t="s">
        <v>346</v>
      </c>
      <c r="DY47" s="11">
        <v>0.01</v>
      </c>
      <c r="DZ47" s="9" t="str">
        <f>_xll.SNL.Clients.Office.Excel.Functions.SPG(DW47, "SP_COUNTRY_NAME")</f>
        <v>USA</v>
      </c>
      <c r="EA47" t="s">
        <v>763</v>
      </c>
      <c r="EB47">
        <v>110153</v>
      </c>
      <c r="EC47" t="s">
        <v>364</v>
      </c>
      <c r="ED47" s="11">
        <v>0.2</v>
      </c>
      <c r="EE47" s="9" t="str">
        <f>_xll.SNL.Clients.Office.Excel.Functions.SPG(EB47, "SP_COUNTRY_NAME")</f>
        <v>USA</v>
      </c>
      <c r="EF47" t="s">
        <v>524</v>
      </c>
      <c r="EG47">
        <v>4147331</v>
      </c>
      <c r="EH47" t="s">
        <v>346</v>
      </c>
      <c r="EI47" s="11">
        <v>0.33</v>
      </c>
      <c r="EJ47" s="9" t="str">
        <f>_xll.SNL.Clients.Office.Excel.Functions.SPG(EG47, "SP_COUNTRY_NAME")</f>
        <v>United Kingdom</v>
      </c>
      <c r="EO47" s="9" t="str">
        <f>_xll.SNL.Clients.Office.Excel.Functions.SPG(EL47, "SP_COUNTRY_NAME")</f>
        <v>#INVALID COMPANY ID</v>
      </c>
      <c r="EP47" t="s">
        <v>415</v>
      </c>
      <c r="EQ47">
        <v>110587</v>
      </c>
      <c r="ER47" t="s">
        <v>346</v>
      </c>
      <c r="ES47" s="11">
        <v>0.01</v>
      </c>
      <c r="ET47" s="9" t="str">
        <f>_xll.SNL.Clients.Office.Excel.Functions.SPG(EQ47, "SP_COUNTRY_NAME")</f>
        <v>USA</v>
      </c>
      <c r="EY47" s="9" t="str">
        <f>_xll.SNL.Clients.Office.Excel.Functions.SPG(EV47, "SP_COUNTRY_NAME")</f>
        <v>#INVALID COMPANY ID</v>
      </c>
      <c r="EZ47" t="s">
        <v>1944</v>
      </c>
      <c r="FA47" t="s">
        <v>300</v>
      </c>
      <c r="FB47" t="s">
        <v>361</v>
      </c>
      <c r="FC47" s="11">
        <v>0</v>
      </c>
      <c r="FD47" s="9" t="str">
        <f>_xll.SNL.Clients.Office.Excel.Functions.SPG(FA47, "SP_COUNTRY_NAME")</f>
        <v>China</v>
      </c>
      <c r="FE47" t="s">
        <v>1413</v>
      </c>
      <c r="FF47">
        <v>3006816</v>
      </c>
      <c r="FG47" t="s">
        <v>366</v>
      </c>
      <c r="FH47" s="11">
        <v>-0.97</v>
      </c>
      <c r="FI47" s="9" t="str">
        <f>_xll.SNL.Clients.Office.Excel.Functions.SPG(FF47, "SP_COUNTRY_NAME")</f>
        <v>USA</v>
      </c>
      <c r="FJ47" t="s">
        <v>447</v>
      </c>
      <c r="FK47">
        <v>4138513</v>
      </c>
      <c r="FL47" t="s">
        <v>346</v>
      </c>
      <c r="FM47" s="11">
        <v>0.06</v>
      </c>
      <c r="FN47" s="9" t="str">
        <f>_xll.SNL.Clients.Office.Excel.Functions.SPG(FK47, "SP_COUNTRY_NAME")</f>
        <v>Japan</v>
      </c>
      <c r="FS47" s="9" t="str">
        <f>_xll.SNL.Clients.Office.Excel.Functions.SPG(FP47, "SP_COUNTRY_NAME")</f>
        <v>#INVALID COMPANY ID</v>
      </c>
      <c r="FT47" t="s">
        <v>407</v>
      </c>
      <c r="FU47">
        <v>109754</v>
      </c>
      <c r="FV47" t="s">
        <v>346</v>
      </c>
      <c r="FW47" s="11">
        <v>0</v>
      </c>
      <c r="FX47" s="9" t="str">
        <f>_xll.SNL.Clients.Office.Excel.Functions.SPG(FU47, "SP_COUNTRY_NAME")</f>
        <v>USA</v>
      </c>
      <c r="FY47" t="s">
        <v>524</v>
      </c>
      <c r="FZ47">
        <v>4147331</v>
      </c>
      <c r="GA47" t="s">
        <v>346</v>
      </c>
      <c r="GB47" s="11">
        <v>0.33</v>
      </c>
      <c r="GC47" s="9" t="str">
        <f>_xll.SNL.Clients.Office.Excel.Functions.SPG(FZ47, "SP_COUNTRY_NAME")</f>
        <v>United Kingdom</v>
      </c>
      <c r="GD47" t="s">
        <v>1944</v>
      </c>
      <c r="GE47" t="s">
        <v>300</v>
      </c>
      <c r="GF47" t="s">
        <v>361</v>
      </c>
      <c r="GG47" s="11">
        <v>0</v>
      </c>
      <c r="GH47" s="9" t="str">
        <f>_xll.SNL.Clients.Office.Excel.Functions.SPG(GE47, "SP_COUNTRY_NAME")</f>
        <v>China</v>
      </c>
      <c r="GI47" t="s">
        <v>1413</v>
      </c>
      <c r="GJ47">
        <v>3006816</v>
      </c>
      <c r="GK47" t="s">
        <v>366</v>
      </c>
      <c r="GL47" s="11">
        <v>-0.97</v>
      </c>
      <c r="GM47" s="9" t="str">
        <f>_xll.SNL.Clients.Office.Excel.Functions.SPG(GJ47, "SP_COUNTRY_NAME")</f>
        <v>USA</v>
      </c>
      <c r="GN47" t="s">
        <v>447</v>
      </c>
      <c r="GO47">
        <v>4138513</v>
      </c>
      <c r="GP47" t="s">
        <v>346</v>
      </c>
      <c r="GQ47" s="11">
        <v>0.06</v>
      </c>
      <c r="GR47" s="9" t="str">
        <f>_xll.SNL.Clients.Office.Excel.Functions.SPG(GO47, "SP_COUNTRY_NAME")</f>
        <v>Japan</v>
      </c>
      <c r="GS47" t="s">
        <v>639</v>
      </c>
      <c r="GT47">
        <v>4139311</v>
      </c>
      <c r="GU47" t="s">
        <v>346</v>
      </c>
      <c r="GV47" s="11">
        <v>0.06</v>
      </c>
      <c r="GW47" s="9" t="str">
        <f>_xll.SNL.Clients.Office.Excel.Functions.SPG(GT47, "SP_COUNTRY_NAME")</f>
        <v>China</v>
      </c>
      <c r="GX47" t="s">
        <v>763</v>
      </c>
      <c r="GY47">
        <v>110153</v>
      </c>
      <c r="GZ47" t="s">
        <v>364</v>
      </c>
      <c r="HA47" s="11">
        <v>0.2</v>
      </c>
      <c r="HB47" s="9" t="str">
        <f>_xll.SNL.Clients.Office.Excel.Functions.SPG(GY47, "SP_COUNTRY_NAME")</f>
        <v>USA</v>
      </c>
      <c r="HG47" s="9" t="str">
        <f>_xll.SNL.Clients.Office.Excel.Functions.SPG(HD47, "SP_COUNTRY_NAME")</f>
        <v>#INVALID COMPANY ID</v>
      </c>
    </row>
    <row r="48" spans="5:215" x14ac:dyDescent="0.35">
      <c r="E48" s="9" t="str">
        <f>_xll.SNL.Clients.Office.Excel.Functions.SPG(B48, "SP_COUNTRY_NAME")</f>
        <v>#INVALID COMPANY ID</v>
      </c>
      <c r="F48" t="s">
        <v>445</v>
      </c>
      <c r="G48">
        <v>4241120</v>
      </c>
      <c r="H48" t="s">
        <v>346</v>
      </c>
      <c r="I48" s="11">
        <v>7.0000000000000007E-2</v>
      </c>
      <c r="J48" s="9" t="str">
        <f>_xll.SNL.Clients.Office.Excel.Functions.SPG(G48, "SP_COUNTRY_NAME")</f>
        <v>Taiwan</v>
      </c>
      <c r="K48" t="s">
        <v>409</v>
      </c>
      <c r="L48">
        <v>102719</v>
      </c>
      <c r="M48" t="s">
        <v>346</v>
      </c>
      <c r="N48" s="11">
        <v>0.02</v>
      </c>
      <c r="O48" s="9" t="str">
        <f>_xll.SNL.Clients.Office.Excel.Functions.SPG(L48, "SP_COUNTRY_NAME")</f>
        <v>USA</v>
      </c>
      <c r="T48" s="9" t="str">
        <f>_xll.SNL.Clients.Office.Excel.Functions.SPG(Q48, "SP_COUNTRY_NAME")</f>
        <v>#INVALID COMPANY ID</v>
      </c>
      <c r="U48" t="s">
        <v>651</v>
      </c>
      <c r="V48">
        <v>7059915</v>
      </c>
      <c r="W48" t="s">
        <v>346</v>
      </c>
      <c r="X48" s="11">
        <v>0.19</v>
      </c>
      <c r="Y48" s="9" t="str">
        <f>_xll.SNL.Clients.Office.Excel.Functions.SPG(V48, "SP_COUNTRY_NAME")</f>
        <v>China</v>
      </c>
      <c r="Z48" t="s">
        <v>409</v>
      </c>
      <c r="AA48">
        <v>102719</v>
      </c>
      <c r="AB48" t="s">
        <v>346</v>
      </c>
      <c r="AC48" s="11">
        <v>0.02</v>
      </c>
      <c r="AD48" s="9" t="str">
        <f>_xll.SNL.Clients.Office.Excel.Functions.SPG(AA48, "SP_COUNTRY_NAME")</f>
        <v>USA</v>
      </c>
      <c r="AE48" t="s">
        <v>442</v>
      </c>
      <c r="AF48">
        <v>4117611</v>
      </c>
      <c r="AG48" t="s">
        <v>346</v>
      </c>
      <c r="AH48" s="11">
        <v>0.08</v>
      </c>
      <c r="AI48" s="9" t="str">
        <f>_xll.SNL.Clients.Office.Excel.Functions.SPG(AF48, "SP_COUNTRY_NAME")</f>
        <v>USA</v>
      </c>
      <c r="AN48" s="9" t="str">
        <f>_xll.SNL.Clients.Office.Excel.Functions.SPG(AK48, "SP_COUNTRY_NAME")</f>
        <v>#INVALID COMPANY ID</v>
      </c>
      <c r="AO48" t="s">
        <v>1210</v>
      </c>
      <c r="AP48">
        <v>4304195</v>
      </c>
      <c r="AQ48" t="s">
        <v>346</v>
      </c>
      <c r="AR48" s="11">
        <v>0.14000000000000001</v>
      </c>
      <c r="AS48" s="9" t="str">
        <f>_xll.SNL.Clients.Office.Excel.Functions.SPG(AP48, "SP_COUNTRY_NAME")</f>
        <v>South Africa</v>
      </c>
      <c r="AX48" s="9" t="str">
        <f>_xll.SNL.Clients.Office.Excel.Functions.SPG(AU48, "SP_COUNTRY_NAME")</f>
        <v>#INVALID COMPANY ID</v>
      </c>
      <c r="AY48" t="s">
        <v>1228</v>
      </c>
      <c r="AZ48" t="s">
        <v>300</v>
      </c>
      <c r="BA48" t="s">
        <v>361</v>
      </c>
      <c r="BB48" s="11">
        <v>0.02</v>
      </c>
      <c r="BC48" s="9" t="str">
        <f>_xll.SNL.Clients.Office.Excel.Functions.SPG(AZ48, "SP_COUNTRY_NAME")</f>
        <v>China</v>
      </c>
      <c r="BD48" t="s">
        <v>1396</v>
      </c>
      <c r="BE48">
        <v>4219776</v>
      </c>
      <c r="BF48" t="s">
        <v>346</v>
      </c>
      <c r="BG48" s="11">
        <v>0.28999999999999998</v>
      </c>
      <c r="BH48" s="9" t="str">
        <f>_xll.SNL.Clients.Office.Excel.Functions.SPG(BE48, "SP_COUNTRY_NAME")</f>
        <v>United Kingdom</v>
      </c>
      <c r="BI48" t="s">
        <v>496</v>
      </c>
      <c r="BJ48">
        <v>110495</v>
      </c>
      <c r="BK48" t="s">
        <v>346</v>
      </c>
      <c r="BL48" s="11">
        <v>0.12</v>
      </c>
      <c r="BM48" s="9" t="str">
        <f>_xll.SNL.Clients.Office.Excel.Functions.SPG(BJ48, "SP_COUNTRY_NAME")</f>
        <v>USA</v>
      </c>
      <c r="BN48" t="s">
        <v>972</v>
      </c>
      <c r="BO48">
        <v>4578989</v>
      </c>
      <c r="BP48" t="s">
        <v>346</v>
      </c>
      <c r="BQ48" s="11">
        <v>0.06</v>
      </c>
      <c r="BR48" s="9" t="str">
        <f>_xll.SNL.Clients.Office.Excel.Functions.SPG(BO48, "SP_COUNTRY_NAME")</f>
        <v>Luxembourg</v>
      </c>
      <c r="BS48" t="s">
        <v>386</v>
      </c>
      <c r="BT48">
        <v>4145085</v>
      </c>
      <c r="BU48" t="s">
        <v>346</v>
      </c>
      <c r="BV48" s="11">
        <v>0.16</v>
      </c>
      <c r="BW48" s="9" t="str">
        <f>_xll.SNL.Clients.Office.Excel.Functions.SPG(BT48, "SP_COUNTRY_NAME")</f>
        <v>United Kingdom</v>
      </c>
      <c r="BX48" t="s">
        <v>651</v>
      </c>
      <c r="BY48">
        <v>7059915</v>
      </c>
      <c r="BZ48" t="s">
        <v>346</v>
      </c>
      <c r="CA48" s="11">
        <v>0.19</v>
      </c>
      <c r="CB48" s="9" t="str">
        <f>_xll.SNL.Clients.Office.Excel.Functions.SPG(BY48, "SP_COUNTRY_NAME")</f>
        <v>China</v>
      </c>
      <c r="CC48" t="s">
        <v>1623</v>
      </c>
      <c r="CD48">
        <v>4138392</v>
      </c>
      <c r="CE48" t="s">
        <v>363</v>
      </c>
      <c r="CF48" s="11">
        <v>0.19</v>
      </c>
      <c r="CG48" s="9" t="str">
        <f>_xll.SNL.Clients.Office.Excel.Functions.SPG(CD48, "SP_COUNTRY_NAME")</f>
        <v>Canada</v>
      </c>
      <c r="CH48" t="s">
        <v>1210</v>
      </c>
      <c r="CI48">
        <v>4304195</v>
      </c>
      <c r="CJ48" t="s">
        <v>346</v>
      </c>
      <c r="CK48" s="11">
        <v>0.14000000000000001</v>
      </c>
      <c r="CL48" s="9" t="str">
        <f>_xll.SNL.Clients.Office.Excel.Functions.SPG(CI48, "SP_COUNTRY_NAME")</f>
        <v>South Africa</v>
      </c>
      <c r="CM48" t="s">
        <v>1067</v>
      </c>
      <c r="CN48">
        <v>4336776</v>
      </c>
      <c r="CO48" t="s">
        <v>346</v>
      </c>
      <c r="CP48" s="11">
        <v>0.24</v>
      </c>
      <c r="CQ48" s="9" t="str">
        <f>_xll.SNL.Clients.Office.Excel.Functions.SPG(CN48, "SP_COUNTRY_NAME")</f>
        <v>Norway</v>
      </c>
      <c r="CV48" s="9" t="str">
        <f>_xll.SNL.Clients.Office.Excel.Functions.SPG(CS48, "SP_COUNTRY_NAME")</f>
        <v>#INVALID COMPANY ID</v>
      </c>
      <c r="DA48" s="9" t="str">
        <f>_xll.SNL.Clients.Office.Excel.Functions.SPG(CX48, "SP_COUNTRY_NAME")</f>
        <v>#INVALID COMPANY ID</v>
      </c>
      <c r="DB48" t="s">
        <v>1396</v>
      </c>
      <c r="DC48">
        <v>4219776</v>
      </c>
      <c r="DD48" t="s">
        <v>346</v>
      </c>
      <c r="DE48" s="11">
        <v>0.28999999999999998</v>
      </c>
      <c r="DF48" s="9" t="str">
        <f>_xll.SNL.Clients.Office.Excel.Functions.SPG(DC48, "SP_COUNTRY_NAME")</f>
        <v>United Kingdom</v>
      </c>
      <c r="DK48" s="9" t="str">
        <f>_xll.SNL.Clients.Office.Excel.Functions.SPG(DH48, "SP_COUNTRY_NAME")</f>
        <v>#INVALID COMPANY ID</v>
      </c>
      <c r="DL48" t="s">
        <v>1396</v>
      </c>
      <c r="DM48">
        <v>4219776</v>
      </c>
      <c r="DN48" t="s">
        <v>346</v>
      </c>
      <c r="DO48" s="11">
        <v>0.28999999999999998</v>
      </c>
      <c r="DP48" s="9" t="str">
        <f>_xll.SNL.Clients.Office.Excel.Functions.SPG(DM48, "SP_COUNTRY_NAME")</f>
        <v>United Kingdom</v>
      </c>
      <c r="DU48" s="9" t="str">
        <f>_xll.SNL.Clients.Office.Excel.Functions.SPG(DR48, "SP_COUNTRY_NAME")</f>
        <v>#INVALID COMPANY ID</v>
      </c>
      <c r="DV48" t="s">
        <v>496</v>
      </c>
      <c r="DW48">
        <v>110495</v>
      </c>
      <c r="DX48" t="s">
        <v>346</v>
      </c>
      <c r="DY48" s="11">
        <v>0.01</v>
      </c>
      <c r="DZ48" s="9" t="str">
        <f>_xll.SNL.Clients.Office.Excel.Functions.SPG(DW48, "SP_COUNTRY_NAME")</f>
        <v>USA</v>
      </c>
      <c r="EA48" t="s">
        <v>1623</v>
      </c>
      <c r="EB48">
        <v>4138392</v>
      </c>
      <c r="EC48" t="s">
        <v>363</v>
      </c>
      <c r="ED48" s="11">
        <v>0.19</v>
      </c>
      <c r="EE48" s="9" t="str">
        <f>_xll.SNL.Clients.Office.Excel.Functions.SPG(EB48, "SP_COUNTRY_NAME")</f>
        <v>Canada</v>
      </c>
      <c r="EF48" t="s">
        <v>1396</v>
      </c>
      <c r="EG48">
        <v>4219776</v>
      </c>
      <c r="EH48" t="s">
        <v>346</v>
      </c>
      <c r="EI48" s="11">
        <v>0.28999999999999998</v>
      </c>
      <c r="EJ48" s="9" t="str">
        <f>_xll.SNL.Clients.Office.Excel.Functions.SPG(EG48, "SP_COUNTRY_NAME")</f>
        <v>United Kingdom</v>
      </c>
      <c r="EO48" s="9" t="str">
        <f>_xll.SNL.Clients.Office.Excel.Functions.SPG(EL48, "SP_COUNTRY_NAME")</f>
        <v>#INVALID COMPANY ID</v>
      </c>
      <c r="EP48" t="s">
        <v>554</v>
      </c>
      <c r="EQ48">
        <v>4408592</v>
      </c>
      <c r="ER48" t="s">
        <v>346</v>
      </c>
      <c r="ES48" s="11">
        <v>0.01</v>
      </c>
      <c r="ET48" s="9" t="str">
        <f>_xll.SNL.Clients.Office.Excel.Functions.SPG(EQ48, "SP_COUNTRY_NAME")</f>
        <v>Hong Kong</v>
      </c>
      <c r="EY48" s="9" t="str">
        <f>_xll.SNL.Clients.Office.Excel.Functions.SPG(EV48, "SP_COUNTRY_NAME")</f>
        <v>#INVALID COMPANY ID</v>
      </c>
      <c r="EZ48" t="s">
        <v>1945</v>
      </c>
      <c r="FA48" t="s">
        <v>300</v>
      </c>
      <c r="FB48" t="s">
        <v>361</v>
      </c>
      <c r="FC48" s="11">
        <v>0</v>
      </c>
      <c r="FD48" s="9" t="str">
        <f>_xll.SNL.Clients.Office.Excel.Functions.SPG(FA48, "SP_COUNTRY_NAME")</f>
        <v>China</v>
      </c>
      <c r="FE48" t="s">
        <v>380</v>
      </c>
      <c r="FF48">
        <v>4674815</v>
      </c>
      <c r="FG48" t="s">
        <v>346</v>
      </c>
      <c r="FH48" s="11">
        <v>-1.69</v>
      </c>
      <c r="FI48" s="9" t="str">
        <f>_xll.SNL.Clients.Office.Excel.Functions.SPG(FF48, "SP_COUNTRY_NAME")</f>
        <v>Switzerland</v>
      </c>
      <c r="FJ48" t="s">
        <v>510</v>
      </c>
      <c r="FK48">
        <v>4089114</v>
      </c>
      <c r="FL48" t="s">
        <v>346</v>
      </c>
      <c r="FM48" s="11">
        <v>0.06</v>
      </c>
      <c r="FN48" s="9" t="str">
        <f>_xll.SNL.Clients.Office.Excel.Functions.SPG(FK48, "SP_COUNTRY_NAME")</f>
        <v>USA</v>
      </c>
      <c r="FS48" s="9" t="str">
        <f>_xll.SNL.Clients.Office.Excel.Functions.SPG(FP48, "SP_COUNTRY_NAME")</f>
        <v>#INVALID COMPANY ID</v>
      </c>
      <c r="FT48" t="s">
        <v>408</v>
      </c>
      <c r="FU48">
        <v>4138917</v>
      </c>
      <c r="FV48" t="s">
        <v>346</v>
      </c>
      <c r="FW48" s="11">
        <v>0</v>
      </c>
      <c r="FX48" s="9" t="str">
        <f>_xll.SNL.Clients.Office.Excel.Functions.SPG(FU48, "SP_COUNTRY_NAME")</f>
        <v>Australia</v>
      </c>
      <c r="FY48" t="s">
        <v>1396</v>
      </c>
      <c r="FZ48">
        <v>4219776</v>
      </c>
      <c r="GA48" t="s">
        <v>346</v>
      </c>
      <c r="GB48" s="11">
        <v>0.28999999999999998</v>
      </c>
      <c r="GC48" s="9" t="str">
        <f>_xll.SNL.Clients.Office.Excel.Functions.SPG(FZ48, "SP_COUNTRY_NAME")</f>
        <v>United Kingdom</v>
      </c>
      <c r="GD48" t="s">
        <v>1945</v>
      </c>
      <c r="GE48" t="s">
        <v>300</v>
      </c>
      <c r="GF48" t="s">
        <v>361</v>
      </c>
      <c r="GG48" s="11">
        <v>0</v>
      </c>
      <c r="GH48" s="9" t="str">
        <f>_xll.SNL.Clients.Office.Excel.Functions.SPG(GE48, "SP_COUNTRY_NAME")</f>
        <v>China</v>
      </c>
      <c r="GI48" t="s">
        <v>380</v>
      </c>
      <c r="GJ48">
        <v>4674815</v>
      </c>
      <c r="GK48" t="s">
        <v>346</v>
      </c>
      <c r="GL48" s="11">
        <v>-1.69</v>
      </c>
      <c r="GM48" s="9" t="str">
        <f>_xll.SNL.Clients.Office.Excel.Functions.SPG(GJ48, "SP_COUNTRY_NAME")</f>
        <v>Switzerland</v>
      </c>
      <c r="GN48" t="s">
        <v>510</v>
      </c>
      <c r="GO48">
        <v>4089114</v>
      </c>
      <c r="GP48" t="s">
        <v>346</v>
      </c>
      <c r="GQ48" s="11">
        <v>0.06</v>
      </c>
      <c r="GR48" s="9" t="str">
        <f>_xll.SNL.Clients.Office.Excel.Functions.SPG(GO48, "SP_COUNTRY_NAME")</f>
        <v>USA</v>
      </c>
      <c r="GS48" t="s">
        <v>972</v>
      </c>
      <c r="GT48">
        <v>4578989</v>
      </c>
      <c r="GU48" t="s">
        <v>346</v>
      </c>
      <c r="GV48" s="11">
        <v>0.06</v>
      </c>
      <c r="GW48" s="9" t="str">
        <f>_xll.SNL.Clients.Office.Excel.Functions.SPG(GT48, "SP_COUNTRY_NAME")</f>
        <v>Luxembourg</v>
      </c>
      <c r="GX48" t="s">
        <v>1623</v>
      </c>
      <c r="GY48">
        <v>4138392</v>
      </c>
      <c r="GZ48" t="s">
        <v>363</v>
      </c>
      <c r="HA48" s="11">
        <v>0.19</v>
      </c>
      <c r="HB48" s="9" t="str">
        <f>_xll.SNL.Clients.Office.Excel.Functions.SPG(GY48, "SP_COUNTRY_NAME")</f>
        <v>Canada</v>
      </c>
      <c r="HG48" s="9" t="str">
        <f>_xll.SNL.Clients.Office.Excel.Functions.SPG(HD48, "SP_COUNTRY_NAME")</f>
        <v>#INVALID COMPANY ID</v>
      </c>
    </row>
    <row r="49" spans="5:215" x14ac:dyDescent="0.35">
      <c r="E49" s="9" t="str">
        <f>_xll.SNL.Clients.Office.Excel.Functions.SPG(B49, "SP_COUNTRY_NAME")</f>
        <v>#INVALID COMPANY ID</v>
      </c>
      <c r="F49" t="s">
        <v>446</v>
      </c>
      <c r="G49">
        <v>4539004</v>
      </c>
      <c r="H49" t="s">
        <v>346</v>
      </c>
      <c r="I49" s="11">
        <v>7.0000000000000007E-2</v>
      </c>
      <c r="J49" s="9" t="str">
        <f>_xll.SNL.Clients.Office.Excel.Functions.SPG(G49, "SP_COUNTRY_NAME")</f>
        <v>USA</v>
      </c>
      <c r="K49" t="s">
        <v>554</v>
      </c>
      <c r="L49">
        <v>4408592</v>
      </c>
      <c r="M49" t="s">
        <v>346</v>
      </c>
      <c r="N49" s="11">
        <v>0.02</v>
      </c>
      <c r="O49" s="9" t="str">
        <f>_xll.SNL.Clients.Office.Excel.Functions.SPG(L49, "SP_COUNTRY_NAME")</f>
        <v>Hong Kong</v>
      </c>
      <c r="T49" s="9" t="str">
        <f>_xll.SNL.Clients.Office.Excel.Functions.SPG(Q49, "SP_COUNTRY_NAME")</f>
        <v>#INVALID COMPANY ID</v>
      </c>
      <c r="U49" t="s">
        <v>637</v>
      </c>
      <c r="V49">
        <v>4138661</v>
      </c>
      <c r="W49" t="s">
        <v>346</v>
      </c>
      <c r="X49" s="11">
        <v>0.19</v>
      </c>
      <c r="Y49" s="9" t="str">
        <f>_xll.SNL.Clients.Office.Excel.Functions.SPG(V49, "SP_COUNTRY_NAME")</f>
        <v>China</v>
      </c>
      <c r="Z49" t="s">
        <v>554</v>
      </c>
      <c r="AA49">
        <v>4408592</v>
      </c>
      <c r="AB49" t="s">
        <v>346</v>
      </c>
      <c r="AC49" s="11">
        <v>0.02</v>
      </c>
      <c r="AD49" s="9" t="str">
        <f>_xll.SNL.Clients.Office.Excel.Functions.SPG(AA49, "SP_COUNTRY_NAME")</f>
        <v>Hong Kong</v>
      </c>
      <c r="AE49" t="s">
        <v>408</v>
      </c>
      <c r="AF49">
        <v>4138917</v>
      </c>
      <c r="AG49" t="s">
        <v>346</v>
      </c>
      <c r="AH49" s="11">
        <v>7.0000000000000007E-2</v>
      </c>
      <c r="AI49" s="9" t="str">
        <f>_xll.SNL.Clients.Office.Excel.Functions.SPG(AF49, "SP_COUNTRY_NAME")</f>
        <v>Australia</v>
      </c>
      <c r="AN49" s="9" t="str">
        <f>_xll.SNL.Clients.Office.Excel.Functions.SPG(AK49, "SP_COUNTRY_NAME")</f>
        <v>#INVALID COMPANY ID</v>
      </c>
      <c r="AO49" t="s">
        <v>1265</v>
      </c>
      <c r="AP49">
        <v>4118993</v>
      </c>
      <c r="AQ49" t="s">
        <v>346</v>
      </c>
      <c r="AR49" s="11">
        <v>0.14000000000000001</v>
      </c>
      <c r="AS49" s="9" t="str">
        <f>_xll.SNL.Clients.Office.Excel.Functions.SPG(AP49, "SP_COUNTRY_NAME")</f>
        <v>USA</v>
      </c>
      <c r="AX49" s="9" t="str">
        <f>_xll.SNL.Clients.Office.Excel.Functions.SPG(AU49, "SP_COUNTRY_NAME")</f>
        <v>#INVALID COMPANY ID</v>
      </c>
      <c r="AY49" t="s">
        <v>802</v>
      </c>
      <c r="AZ49">
        <v>4345262</v>
      </c>
      <c r="BA49" t="s">
        <v>346</v>
      </c>
      <c r="BB49" s="11">
        <v>0.02</v>
      </c>
      <c r="BC49" s="9" t="str">
        <f>_xll.SNL.Clients.Office.Excel.Functions.SPG(AZ49, "SP_COUNTRY_NAME")</f>
        <v>China</v>
      </c>
      <c r="BD49" t="s">
        <v>482</v>
      </c>
      <c r="BE49">
        <v>4048742</v>
      </c>
      <c r="BF49" t="s">
        <v>346</v>
      </c>
      <c r="BG49" s="11">
        <v>0.27</v>
      </c>
      <c r="BH49" s="9" t="str">
        <f>_xll.SNL.Clients.Office.Excel.Functions.SPG(BE49, "SP_COUNTRY_NAME")</f>
        <v>Canada</v>
      </c>
      <c r="BI49" t="s">
        <v>389</v>
      </c>
      <c r="BJ49">
        <v>109888</v>
      </c>
      <c r="BK49" t="s">
        <v>346</v>
      </c>
      <c r="BL49" s="11">
        <v>0.12</v>
      </c>
      <c r="BM49" s="9" t="str">
        <f>_xll.SNL.Clients.Office.Excel.Functions.SPG(BJ49, "SP_COUNTRY_NAME")</f>
        <v>USA</v>
      </c>
      <c r="BN49" t="s">
        <v>409</v>
      </c>
      <c r="BO49">
        <v>102719</v>
      </c>
      <c r="BP49" t="s">
        <v>346</v>
      </c>
      <c r="BQ49" s="11">
        <v>0.06</v>
      </c>
      <c r="BR49" s="9" t="str">
        <f>_xll.SNL.Clients.Office.Excel.Functions.SPG(BO49, "SP_COUNTRY_NAME")</f>
        <v>USA</v>
      </c>
      <c r="BS49" t="s">
        <v>524</v>
      </c>
      <c r="BT49">
        <v>4147331</v>
      </c>
      <c r="BU49" t="s">
        <v>346</v>
      </c>
      <c r="BV49" s="11">
        <v>0.16</v>
      </c>
      <c r="BW49" s="9" t="str">
        <f>_xll.SNL.Clients.Office.Excel.Functions.SPG(BT49, "SP_COUNTRY_NAME")</f>
        <v>United Kingdom</v>
      </c>
      <c r="BX49" t="s">
        <v>637</v>
      </c>
      <c r="BY49">
        <v>4138661</v>
      </c>
      <c r="BZ49" t="s">
        <v>346</v>
      </c>
      <c r="CA49" s="11">
        <v>0.19</v>
      </c>
      <c r="CB49" s="9" t="str">
        <f>_xll.SNL.Clients.Office.Excel.Functions.SPG(BY49, "SP_COUNTRY_NAME")</f>
        <v>China</v>
      </c>
      <c r="CC49" t="s">
        <v>412</v>
      </c>
      <c r="CD49">
        <v>109687</v>
      </c>
      <c r="CE49" t="s">
        <v>346</v>
      </c>
      <c r="CF49" s="11">
        <v>0.19</v>
      </c>
      <c r="CG49" s="9" t="str">
        <f>_xll.SNL.Clients.Office.Excel.Functions.SPG(CD49, "SP_COUNTRY_NAME")</f>
        <v>USA</v>
      </c>
      <c r="CH49" t="s">
        <v>1265</v>
      </c>
      <c r="CI49">
        <v>4118993</v>
      </c>
      <c r="CJ49" t="s">
        <v>346</v>
      </c>
      <c r="CK49" s="11">
        <v>0.14000000000000001</v>
      </c>
      <c r="CL49" s="9" t="str">
        <f>_xll.SNL.Clients.Office.Excel.Functions.SPG(CI49, "SP_COUNTRY_NAME")</f>
        <v>USA</v>
      </c>
      <c r="CM49" t="s">
        <v>1260</v>
      </c>
      <c r="CN49">
        <v>4139972</v>
      </c>
      <c r="CO49" t="s">
        <v>346</v>
      </c>
      <c r="CP49" s="11">
        <v>0.22</v>
      </c>
      <c r="CQ49" s="9" t="str">
        <f>_xll.SNL.Clients.Office.Excel.Functions.SPG(CN49, "SP_COUNTRY_NAME")</f>
        <v>South Africa</v>
      </c>
      <c r="CV49" s="9" t="str">
        <f>_xll.SNL.Clients.Office.Excel.Functions.SPG(CS49, "SP_COUNTRY_NAME")</f>
        <v>#INVALID COMPANY ID</v>
      </c>
      <c r="DA49" s="9" t="str">
        <f>_xll.SNL.Clients.Office.Excel.Functions.SPG(CX49, "SP_COUNTRY_NAME")</f>
        <v>#INVALID COMPANY ID</v>
      </c>
      <c r="DB49" t="s">
        <v>482</v>
      </c>
      <c r="DC49">
        <v>4048742</v>
      </c>
      <c r="DD49" t="s">
        <v>346</v>
      </c>
      <c r="DE49" s="11">
        <v>0.27</v>
      </c>
      <c r="DF49" s="9" t="str">
        <f>_xll.SNL.Clients.Office.Excel.Functions.SPG(DC49, "SP_COUNTRY_NAME")</f>
        <v>Canada</v>
      </c>
      <c r="DK49" s="9" t="str">
        <f>_xll.SNL.Clients.Office.Excel.Functions.SPG(DH49, "SP_COUNTRY_NAME")</f>
        <v>#INVALID COMPANY ID</v>
      </c>
      <c r="DL49" t="s">
        <v>482</v>
      </c>
      <c r="DM49">
        <v>4048742</v>
      </c>
      <c r="DN49" t="s">
        <v>346</v>
      </c>
      <c r="DO49" s="11">
        <v>0.27</v>
      </c>
      <c r="DP49" s="9" t="str">
        <f>_xll.SNL.Clients.Office.Excel.Functions.SPG(DM49, "SP_COUNTRY_NAME")</f>
        <v>Canada</v>
      </c>
      <c r="DU49" s="9" t="str">
        <f>_xll.SNL.Clients.Office.Excel.Functions.SPG(DR49, "SP_COUNTRY_NAME")</f>
        <v>#INVALID COMPANY ID</v>
      </c>
      <c r="DV49" t="s">
        <v>444</v>
      </c>
      <c r="DW49">
        <v>109988</v>
      </c>
      <c r="DX49" t="s">
        <v>346</v>
      </c>
      <c r="DY49" s="11">
        <v>0.01</v>
      </c>
      <c r="DZ49" s="9" t="str">
        <f>_xll.SNL.Clients.Office.Excel.Functions.SPG(DW49, "SP_COUNTRY_NAME")</f>
        <v>USA</v>
      </c>
      <c r="EA49" t="s">
        <v>412</v>
      </c>
      <c r="EB49">
        <v>109687</v>
      </c>
      <c r="EC49" t="s">
        <v>346</v>
      </c>
      <c r="ED49" s="11">
        <v>0.19</v>
      </c>
      <c r="EE49" s="9" t="str">
        <f>_xll.SNL.Clients.Office.Excel.Functions.SPG(EB49, "SP_COUNTRY_NAME")</f>
        <v>USA</v>
      </c>
      <c r="EF49" t="s">
        <v>482</v>
      </c>
      <c r="EG49">
        <v>4048742</v>
      </c>
      <c r="EH49" t="s">
        <v>346</v>
      </c>
      <c r="EI49" s="11">
        <v>0.27</v>
      </c>
      <c r="EJ49" s="9" t="str">
        <f>_xll.SNL.Clients.Office.Excel.Functions.SPG(EG49, "SP_COUNTRY_NAME")</f>
        <v>Canada</v>
      </c>
      <c r="EO49" s="9" t="str">
        <f>_xll.SNL.Clients.Office.Excel.Functions.SPG(EL49, "SP_COUNTRY_NAME")</f>
        <v>#INVALID COMPANY ID</v>
      </c>
      <c r="EP49" t="s">
        <v>677</v>
      </c>
      <c r="EQ49">
        <v>4345260</v>
      </c>
      <c r="ER49" t="s">
        <v>346</v>
      </c>
      <c r="ES49" s="11">
        <v>0.01</v>
      </c>
      <c r="ET49" s="9" t="str">
        <f>_xll.SNL.Clients.Office.Excel.Functions.SPG(EQ49, "SP_COUNTRY_NAME")</f>
        <v>China</v>
      </c>
      <c r="EY49" s="9" t="str">
        <f>_xll.SNL.Clients.Office.Excel.Functions.SPG(EV49, "SP_COUNTRY_NAME")</f>
        <v>#INVALID COMPANY ID</v>
      </c>
      <c r="EZ49" t="s">
        <v>1946</v>
      </c>
      <c r="FA49" t="s">
        <v>300</v>
      </c>
      <c r="FB49" t="s">
        <v>361</v>
      </c>
      <c r="FC49" s="11">
        <v>0</v>
      </c>
      <c r="FD49" s="9" t="str">
        <f>_xll.SNL.Clients.Office.Excel.Functions.SPG(FA49, "SP_COUNTRY_NAME")</f>
        <v>China</v>
      </c>
      <c r="FE49" t="s">
        <v>953</v>
      </c>
      <c r="FF49">
        <v>4039450</v>
      </c>
      <c r="FG49" t="s">
        <v>346</v>
      </c>
      <c r="FH49" s="11">
        <v>-1.7</v>
      </c>
      <c r="FI49" s="9" t="str">
        <f>_xll.SNL.Clients.Office.Excel.Functions.SPG(FF49, "SP_COUNTRY_NAME")</f>
        <v>USA</v>
      </c>
      <c r="FJ49" t="s">
        <v>467</v>
      </c>
      <c r="FK49">
        <v>7108293</v>
      </c>
      <c r="FL49" t="s">
        <v>369</v>
      </c>
      <c r="FM49" s="11">
        <v>0.06</v>
      </c>
      <c r="FN49" s="9" t="str">
        <f>_xll.SNL.Clients.Office.Excel.Functions.SPG(FK49, "SP_COUNTRY_NAME")</f>
        <v>United Kingdom</v>
      </c>
      <c r="FS49" s="9" t="str">
        <f>_xll.SNL.Clients.Office.Excel.Functions.SPG(FP49, "SP_COUNTRY_NAME")</f>
        <v>#INVALID COMPANY ID</v>
      </c>
      <c r="FT49" t="s">
        <v>409</v>
      </c>
      <c r="FU49">
        <v>102719</v>
      </c>
      <c r="FV49" t="s">
        <v>346</v>
      </c>
      <c r="FW49" s="11">
        <v>0</v>
      </c>
      <c r="FX49" s="9" t="str">
        <f>_xll.SNL.Clients.Office.Excel.Functions.SPG(FU49, "SP_COUNTRY_NAME")</f>
        <v>USA</v>
      </c>
      <c r="FY49" t="s">
        <v>482</v>
      </c>
      <c r="FZ49">
        <v>4048742</v>
      </c>
      <c r="GA49" t="s">
        <v>346</v>
      </c>
      <c r="GB49" s="11">
        <v>0.27</v>
      </c>
      <c r="GC49" s="9" t="str">
        <f>_xll.SNL.Clients.Office.Excel.Functions.SPG(FZ49, "SP_COUNTRY_NAME")</f>
        <v>Canada</v>
      </c>
      <c r="GD49" t="s">
        <v>1946</v>
      </c>
      <c r="GE49" t="s">
        <v>300</v>
      </c>
      <c r="GF49" t="s">
        <v>361</v>
      </c>
      <c r="GG49" s="11">
        <v>0</v>
      </c>
      <c r="GH49" s="9" t="str">
        <f>_xll.SNL.Clients.Office.Excel.Functions.SPG(GE49, "SP_COUNTRY_NAME")</f>
        <v>China</v>
      </c>
      <c r="GI49" t="s">
        <v>953</v>
      </c>
      <c r="GJ49">
        <v>4039450</v>
      </c>
      <c r="GK49" t="s">
        <v>346</v>
      </c>
      <c r="GL49" s="11">
        <v>-1.7</v>
      </c>
      <c r="GM49" s="9" t="str">
        <f>_xll.SNL.Clients.Office.Excel.Functions.SPG(GJ49, "SP_COUNTRY_NAME")</f>
        <v>USA</v>
      </c>
      <c r="GN49" t="s">
        <v>467</v>
      </c>
      <c r="GO49">
        <v>7108293</v>
      </c>
      <c r="GP49" t="s">
        <v>369</v>
      </c>
      <c r="GQ49" s="11">
        <v>0.06</v>
      </c>
      <c r="GR49" s="9" t="str">
        <f>_xll.SNL.Clients.Office.Excel.Functions.SPG(GO49, "SP_COUNTRY_NAME")</f>
        <v>United Kingdom</v>
      </c>
      <c r="GS49" t="s">
        <v>409</v>
      </c>
      <c r="GT49">
        <v>102719</v>
      </c>
      <c r="GU49" t="s">
        <v>346</v>
      </c>
      <c r="GV49" s="11">
        <v>0.06</v>
      </c>
      <c r="GW49" s="9" t="str">
        <f>_xll.SNL.Clients.Office.Excel.Functions.SPG(GT49, "SP_COUNTRY_NAME")</f>
        <v>USA</v>
      </c>
      <c r="GX49" t="s">
        <v>412</v>
      </c>
      <c r="GY49">
        <v>109687</v>
      </c>
      <c r="GZ49" t="s">
        <v>346</v>
      </c>
      <c r="HA49" s="11">
        <v>0.19</v>
      </c>
      <c r="HB49" s="9" t="str">
        <f>_xll.SNL.Clients.Office.Excel.Functions.SPG(GY49, "SP_COUNTRY_NAME")</f>
        <v>USA</v>
      </c>
      <c r="HG49" s="9" t="str">
        <f>_xll.SNL.Clients.Office.Excel.Functions.SPG(HD49, "SP_COUNTRY_NAME")</f>
        <v>#INVALID COMPANY ID</v>
      </c>
    </row>
    <row r="50" spans="5:215" x14ac:dyDescent="0.35">
      <c r="E50" s="9" t="str">
        <f>_xll.SNL.Clients.Office.Excel.Functions.SPG(B50, "SP_COUNTRY_NAME")</f>
        <v>#INVALID COMPANY ID</v>
      </c>
      <c r="F50" t="s">
        <v>447</v>
      </c>
      <c r="G50">
        <v>4138513</v>
      </c>
      <c r="H50" t="s">
        <v>346</v>
      </c>
      <c r="I50" s="11">
        <v>0.06</v>
      </c>
      <c r="J50" s="9" t="str">
        <f>_xll.SNL.Clients.Office.Excel.Functions.SPG(G50, "SP_COUNTRY_NAME")</f>
        <v>Japan</v>
      </c>
      <c r="K50" t="s">
        <v>419</v>
      </c>
      <c r="L50">
        <v>4338202</v>
      </c>
      <c r="M50" t="s">
        <v>346</v>
      </c>
      <c r="N50" s="11">
        <v>0.02</v>
      </c>
      <c r="O50" s="9" t="str">
        <f>_xll.SNL.Clients.Office.Excel.Functions.SPG(L50, "SP_COUNTRY_NAME")</f>
        <v>USA</v>
      </c>
      <c r="T50" s="9" t="str">
        <f>_xll.SNL.Clients.Office.Excel.Functions.SPG(Q50, "SP_COUNTRY_NAME")</f>
        <v>#INVALID COMPANY ID</v>
      </c>
      <c r="U50" t="s">
        <v>654</v>
      </c>
      <c r="V50">
        <v>4208127</v>
      </c>
      <c r="W50" t="s">
        <v>346</v>
      </c>
      <c r="X50" s="11">
        <v>0.19</v>
      </c>
      <c r="Y50" s="9" t="str">
        <f>_xll.SNL.Clients.Office.Excel.Functions.SPG(V50, "SP_COUNTRY_NAME")</f>
        <v>Germany</v>
      </c>
      <c r="Z50" t="s">
        <v>419</v>
      </c>
      <c r="AA50">
        <v>4338202</v>
      </c>
      <c r="AB50" t="s">
        <v>346</v>
      </c>
      <c r="AC50" s="11">
        <v>0.02</v>
      </c>
      <c r="AD50" s="9" t="str">
        <f>_xll.SNL.Clients.Office.Excel.Functions.SPG(AA50, "SP_COUNTRY_NAME")</f>
        <v>USA</v>
      </c>
      <c r="AE50" t="s">
        <v>978</v>
      </c>
      <c r="AF50">
        <v>4224292</v>
      </c>
      <c r="AG50" t="s">
        <v>346</v>
      </c>
      <c r="AH50" s="11">
        <v>7.0000000000000007E-2</v>
      </c>
      <c r="AI50" s="9" t="str">
        <f>_xll.SNL.Clients.Office.Excel.Functions.SPG(AF50, "SP_COUNTRY_NAME")</f>
        <v>Germany</v>
      </c>
      <c r="AN50" s="9" t="str">
        <f>_xll.SNL.Clients.Office.Excel.Functions.SPG(AK50, "SP_COUNTRY_NAME")</f>
        <v>#INVALID COMPANY ID</v>
      </c>
      <c r="AO50" t="s">
        <v>1266</v>
      </c>
      <c r="AP50">
        <v>5842278</v>
      </c>
      <c r="AQ50" t="s">
        <v>346</v>
      </c>
      <c r="AR50" s="11">
        <v>0.14000000000000001</v>
      </c>
      <c r="AS50" s="9" t="str">
        <f>_xll.SNL.Clients.Office.Excel.Functions.SPG(AP50, "SP_COUNTRY_NAME")</f>
        <v>South Africa</v>
      </c>
      <c r="AX50" s="9" t="str">
        <f>_xll.SNL.Clients.Office.Excel.Functions.SPG(AU50, "SP_COUNTRY_NAME")</f>
        <v>#INVALID COMPANY ID</v>
      </c>
      <c r="AY50" t="s">
        <v>664</v>
      </c>
      <c r="AZ50">
        <v>4138760</v>
      </c>
      <c r="BA50" t="s">
        <v>346</v>
      </c>
      <c r="BB50" s="11">
        <v>0.02</v>
      </c>
      <c r="BC50" s="9" t="str">
        <f>_xll.SNL.Clients.Office.Excel.Functions.SPG(AZ50, "SP_COUNTRY_NAME")</f>
        <v>China</v>
      </c>
      <c r="BD50" t="s">
        <v>560</v>
      </c>
      <c r="BE50">
        <v>4095848</v>
      </c>
      <c r="BF50" t="s">
        <v>346</v>
      </c>
      <c r="BG50" s="11">
        <v>0.27</v>
      </c>
      <c r="BH50" s="9" t="str">
        <f>_xll.SNL.Clients.Office.Excel.Functions.SPG(BE50, "SP_COUNTRY_NAME")</f>
        <v>USA</v>
      </c>
      <c r="BI50" t="s">
        <v>442</v>
      </c>
      <c r="BJ50">
        <v>4117611</v>
      </c>
      <c r="BK50" t="s">
        <v>346</v>
      </c>
      <c r="BL50" s="11">
        <v>0.11</v>
      </c>
      <c r="BM50" s="9" t="str">
        <f>_xll.SNL.Clients.Office.Excel.Functions.SPG(BJ50, "SP_COUNTRY_NAME")</f>
        <v>USA</v>
      </c>
      <c r="BN50" t="s">
        <v>676</v>
      </c>
      <c r="BO50">
        <v>15012201</v>
      </c>
      <c r="BP50" t="s">
        <v>346</v>
      </c>
      <c r="BQ50" s="11">
        <v>0.06</v>
      </c>
      <c r="BR50" s="9" t="str">
        <f>_xll.SNL.Clients.Office.Excel.Functions.SPG(BO50, "SP_COUNTRY_NAME")</f>
        <v>China</v>
      </c>
      <c r="BS50" t="s">
        <v>462</v>
      </c>
      <c r="BT50">
        <v>109872</v>
      </c>
      <c r="BU50" t="s">
        <v>346</v>
      </c>
      <c r="BV50" s="11">
        <v>0.15</v>
      </c>
      <c r="BW50" s="9" t="str">
        <f>_xll.SNL.Clients.Office.Excel.Functions.SPG(BT50, "SP_COUNTRY_NAME")</f>
        <v>USA</v>
      </c>
      <c r="BX50" t="s">
        <v>654</v>
      </c>
      <c r="BY50">
        <v>4208127</v>
      </c>
      <c r="BZ50" t="s">
        <v>346</v>
      </c>
      <c r="CA50" s="11">
        <v>0.19</v>
      </c>
      <c r="CB50" s="9" t="str">
        <f>_xll.SNL.Clients.Office.Excel.Functions.SPG(BY50, "SP_COUNTRY_NAME")</f>
        <v>Germany</v>
      </c>
      <c r="CC50" t="s">
        <v>444</v>
      </c>
      <c r="CD50">
        <v>109988</v>
      </c>
      <c r="CE50" t="s">
        <v>346</v>
      </c>
      <c r="CF50" s="11">
        <v>0.18</v>
      </c>
      <c r="CG50" s="9" t="str">
        <f>_xll.SNL.Clients.Office.Excel.Functions.SPG(CD50, "SP_COUNTRY_NAME")</f>
        <v>USA</v>
      </c>
      <c r="CH50" t="s">
        <v>1266</v>
      </c>
      <c r="CI50">
        <v>5842278</v>
      </c>
      <c r="CJ50" t="s">
        <v>346</v>
      </c>
      <c r="CK50" s="11">
        <v>0.14000000000000001</v>
      </c>
      <c r="CL50" s="9" t="str">
        <f>_xll.SNL.Clients.Office.Excel.Functions.SPG(CI50, "SP_COUNTRY_NAME")</f>
        <v>South Africa</v>
      </c>
      <c r="CM50" t="s">
        <v>1261</v>
      </c>
      <c r="CN50">
        <v>4139896</v>
      </c>
      <c r="CO50" t="s">
        <v>346</v>
      </c>
      <c r="CP50" s="11">
        <v>0.22</v>
      </c>
      <c r="CQ50" s="9" t="str">
        <f>_xll.SNL.Clients.Office.Excel.Functions.SPG(CN50, "SP_COUNTRY_NAME")</f>
        <v>South Africa</v>
      </c>
      <c r="CV50" s="9" t="str">
        <f>_xll.SNL.Clients.Office.Excel.Functions.SPG(CS50, "SP_COUNTRY_NAME")</f>
        <v>#INVALID COMPANY ID</v>
      </c>
      <c r="DA50" s="9" t="str">
        <f>_xll.SNL.Clients.Office.Excel.Functions.SPG(CX50, "SP_COUNTRY_NAME")</f>
        <v>#INVALID COMPANY ID</v>
      </c>
      <c r="DB50" t="s">
        <v>560</v>
      </c>
      <c r="DC50">
        <v>4095848</v>
      </c>
      <c r="DD50" t="s">
        <v>346</v>
      </c>
      <c r="DE50" s="11">
        <v>0.27</v>
      </c>
      <c r="DF50" s="9" t="str">
        <f>_xll.SNL.Clients.Office.Excel.Functions.SPG(DC50, "SP_COUNTRY_NAME")</f>
        <v>USA</v>
      </c>
      <c r="DK50" s="9" t="str">
        <f>_xll.SNL.Clients.Office.Excel.Functions.SPG(DH50, "SP_COUNTRY_NAME")</f>
        <v>#INVALID COMPANY ID</v>
      </c>
      <c r="DL50" t="s">
        <v>560</v>
      </c>
      <c r="DM50">
        <v>4095848</v>
      </c>
      <c r="DN50" t="s">
        <v>346</v>
      </c>
      <c r="DO50" s="11">
        <v>0.27</v>
      </c>
      <c r="DP50" s="9" t="str">
        <f>_xll.SNL.Clients.Office.Excel.Functions.SPG(DM50, "SP_COUNTRY_NAME")</f>
        <v>USA</v>
      </c>
      <c r="DU50" s="9" t="str">
        <f>_xll.SNL.Clients.Office.Excel.Functions.SPG(DR50, "SP_COUNTRY_NAME")</f>
        <v>#INVALID COMPANY ID</v>
      </c>
      <c r="DV50" t="s">
        <v>465</v>
      </c>
      <c r="DW50">
        <v>4119440</v>
      </c>
      <c r="DX50" t="s">
        <v>346</v>
      </c>
      <c r="DY50" s="11">
        <v>0.01</v>
      </c>
      <c r="DZ50" s="9" t="str">
        <f>_xll.SNL.Clients.Office.Excel.Functions.SPG(DW50, "SP_COUNTRY_NAME")</f>
        <v>USA</v>
      </c>
      <c r="EA50" t="s">
        <v>444</v>
      </c>
      <c r="EB50">
        <v>109988</v>
      </c>
      <c r="EC50" t="s">
        <v>346</v>
      </c>
      <c r="ED50" s="11">
        <v>0.18</v>
      </c>
      <c r="EE50" s="9" t="str">
        <f>_xll.SNL.Clients.Office.Excel.Functions.SPG(EB50, "SP_COUNTRY_NAME")</f>
        <v>USA</v>
      </c>
      <c r="EF50" t="s">
        <v>560</v>
      </c>
      <c r="EG50">
        <v>4095848</v>
      </c>
      <c r="EH50" t="s">
        <v>346</v>
      </c>
      <c r="EI50" s="11">
        <v>0.27</v>
      </c>
      <c r="EJ50" s="9" t="str">
        <f>_xll.SNL.Clients.Office.Excel.Functions.SPG(EG50, "SP_COUNTRY_NAME")</f>
        <v>USA</v>
      </c>
      <c r="EO50" s="9" t="str">
        <f>_xll.SNL.Clients.Office.Excel.Functions.SPG(EL50, "SP_COUNTRY_NAME")</f>
        <v>#INVALID COMPANY ID</v>
      </c>
      <c r="EP50" t="s">
        <v>380</v>
      </c>
      <c r="EQ50">
        <v>4674815</v>
      </c>
      <c r="ER50" t="s">
        <v>346</v>
      </c>
      <c r="ES50" s="11">
        <v>0.01</v>
      </c>
      <c r="ET50" s="9" t="str">
        <f>_xll.SNL.Clients.Office.Excel.Functions.SPG(EQ50, "SP_COUNTRY_NAME")</f>
        <v>Switzerland</v>
      </c>
      <c r="EY50" s="9" t="str">
        <f>_xll.SNL.Clients.Office.Excel.Functions.SPG(EV50, "SP_COUNTRY_NAME")</f>
        <v>#INVALID COMPANY ID</v>
      </c>
      <c r="EZ50" t="s">
        <v>1947</v>
      </c>
      <c r="FA50" t="s">
        <v>300</v>
      </c>
      <c r="FB50" t="s">
        <v>361</v>
      </c>
      <c r="FC50" s="11">
        <v>0</v>
      </c>
      <c r="FD50" s="9" t="str">
        <f>_xll.SNL.Clients.Office.Excel.Functions.SPG(FA50, "SP_COUNTRY_NAME")</f>
        <v>China</v>
      </c>
      <c r="FE50" t="s">
        <v>633</v>
      </c>
      <c r="FF50">
        <v>114508</v>
      </c>
      <c r="FG50" t="s">
        <v>366</v>
      </c>
      <c r="FH50" s="11">
        <v>-2.48</v>
      </c>
      <c r="FI50" s="9" t="str">
        <f>_xll.SNL.Clients.Office.Excel.Functions.SPG(FF50, "SP_COUNTRY_NAME")</f>
        <v>United Kingdom</v>
      </c>
      <c r="FJ50" t="s">
        <v>1265</v>
      </c>
      <c r="FK50">
        <v>4118993</v>
      </c>
      <c r="FL50" t="s">
        <v>346</v>
      </c>
      <c r="FM50" s="11">
        <v>0.06</v>
      </c>
      <c r="FN50" s="9" t="str">
        <f>_xll.SNL.Clients.Office.Excel.Functions.SPG(FK50, "SP_COUNTRY_NAME")</f>
        <v>USA</v>
      </c>
      <c r="FS50" s="9" t="str">
        <f>_xll.SNL.Clients.Office.Excel.Functions.SPG(FP50, "SP_COUNTRY_NAME")</f>
        <v>#INVALID COMPANY ID</v>
      </c>
      <c r="FT50" t="s">
        <v>410</v>
      </c>
      <c r="FU50">
        <v>5759394</v>
      </c>
      <c r="FV50" t="s">
        <v>346</v>
      </c>
      <c r="FW50" s="11">
        <v>0</v>
      </c>
      <c r="FX50" s="9" t="str">
        <f>_xll.SNL.Clients.Office.Excel.Functions.SPG(FU50, "SP_COUNTRY_NAME")</f>
        <v>Ireland</v>
      </c>
      <c r="FY50" t="s">
        <v>560</v>
      </c>
      <c r="FZ50">
        <v>4095848</v>
      </c>
      <c r="GA50" t="s">
        <v>346</v>
      </c>
      <c r="GB50" s="11">
        <v>0.27</v>
      </c>
      <c r="GC50" s="9" t="str">
        <f>_xll.SNL.Clients.Office.Excel.Functions.SPG(FZ50, "SP_COUNTRY_NAME")</f>
        <v>USA</v>
      </c>
      <c r="GD50" t="s">
        <v>1947</v>
      </c>
      <c r="GE50" t="s">
        <v>300</v>
      </c>
      <c r="GF50" t="s">
        <v>361</v>
      </c>
      <c r="GG50" s="11">
        <v>0</v>
      </c>
      <c r="GH50" s="9" t="str">
        <f>_xll.SNL.Clients.Office.Excel.Functions.SPG(GE50, "SP_COUNTRY_NAME")</f>
        <v>China</v>
      </c>
      <c r="GI50" t="s">
        <v>633</v>
      </c>
      <c r="GJ50">
        <v>114508</v>
      </c>
      <c r="GK50" t="s">
        <v>366</v>
      </c>
      <c r="GL50" s="11">
        <v>-2.48</v>
      </c>
      <c r="GM50" s="9" t="str">
        <f>_xll.SNL.Clients.Office.Excel.Functions.SPG(GJ50, "SP_COUNTRY_NAME")</f>
        <v>United Kingdom</v>
      </c>
      <c r="GN50" t="s">
        <v>1265</v>
      </c>
      <c r="GO50">
        <v>4118993</v>
      </c>
      <c r="GP50" t="s">
        <v>346</v>
      </c>
      <c r="GQ50" s="11">
        <v>0.06</v>
      </c>
      <c r="GR50" s="9" t="str">
        <f>_xll.SNL.Clients.Office.Excel.Functions.SPG(GO50, "SP_COUNTRY_NAME")</f>
        <v>USA</v>
      </c>
      <c r="GS50" t="s">
        <v>676</v>
      </c>
      <c r="GT50">
        <v>15012201</v>
      </c>
      <c r="GU50" t="s">
        <v>346</v>
      </c>
      <c r="GV50" s="11">
        <v>0.06</v>
      </c>
      <c r="GW50" s="9" t="str">
        <f>_xll.SNL.Clients.Office.Excel.Functions.SPG(GT50, "SP_COUNTRY_NAME")</f>
        <v>China</v>
      </c>
      <c r="GX50" t="s">
        <v>444</v>
      </c>
      <c r="GY50">
        <v>109988</v>
      </c>
      <c r="GZ50" t="s">
        <v>346</v>
      </c>
      <c r="HA50" s="11">
        <v>0.18</v>
      </c>
      <c r="HB50" s="9" t="str">
        <f>_xll.SNL.Clients.Office.Excel.Functions.SPG(GY50, "SP_COUNTRY_NAME")</f>
        <v>USA</v>
      </c>
      <c r="HG50" s="9" t="str">
        <f>_xll.SNL.Clients.Office.Excel.Functions.SPG(HD50, "SP_COUNTRY_NAME")</f>
        <v>#INVALID COMPANY ID</v>
      </c>
    </row>
    <row r="51" spans="5:215" x14ac:dyDescent="0.35">
      <c r="E51" s="9" t="str">
        <f>_xll.SNL.Clients.Office.Excel.Functions.SPG(B51, "SP_COUNTRY_NAME")</f>
        <v>#INVALID COMPANY ID</v>
      </c>
      <c r="F51" t="s">
        <v>448</v>
      </c>
      <c r="G51">
        <v>4586390</v>
      </c>
      <c r="H51" t="s">
        <v>346</v>
      </c>
      <c r="I51" s="11">
        <v>0.06</v>
      </c>
      <c r="J51" s="9" t="str">
        <f>_xll.SNL.Clients.Office.Excel.Functions.SPG(G51, "SP_COUNTRY_NAME")</f>
        <v>Japan</v>
      </c>
      <c r="K51" t="s">
        <v>463</v>
      </c>
      <c r="L51">
        <v>4138888</v>
      </c>
      <c r="M51" t="s">
        <v>346</v>
      </c>
      <c r="N51" s="11">
        <v>0.02</v>
      </c>
      <c r="O51" s="9" t="str">
        <f>_xll.SNL.Clients.Office.Excel.Functions.SPG(L51, "SP_COUNTRY_NAME")</f>
        <v>Norway</v>
      </c>
      <c r="T51" s="9" t="str">
        <f>_xll.SNL.Clients.Office.Excel.Functions.SPG(Q51, "SP_COUNTRY_NAME")</f>
        <v>#INVALID COMPANY ID</v>
      </c>
      <c r="U51" t="s">
        <v>723</v>
      </c>
      <c r="V51">
        <v>4536183</v>
      </c>
      <c r="W51" t="s">
        <v>346</v>
      </c>
      <c r="X51" s="11">
        <v>0.18</v>
      </c>
      <c r="Y51" s="9" t="str">
        <f>_xll.SNL.Clients.Office.Excel.Functions.SPG(V51, "SP_COUNTRY_NAME")</f>
        <v>China</v>
      </c>
      <c r="Z51" t="s">
        <v>463</v>
      </c>
      <c r="AA51">
        <v>4138888</v>
      </c>
      <c r="AB51" t="s">
        <v>346</v>
      </c>
      <c r="AC51" s="11">
        <v>0.02</v>
      </c>
      <c r="AD51" s="9" t="str">
        <f>_xll.SNL.Clients.Office.Excel.Functions.SPG(AA51, "SP_COUNTRY_NAME")</f>
        <v>Norway</v>
      </c>
      <c r="AE51" t="s">
        <v>663</v>
      </c>
      <c r="AF51">
        <v>4080954</v>
      </c>
      <c r="AG51" t="s">
        <v>346</v>
      </c>
      <c r="AH51" s="11">
        <v>0.04</v>
      </c>
      <c r="AI51" s="9" t="str">
        <f>_xll.SNL.Clients.Office.Excel.Functions.SPG(AF51, "SP_COUNTRY_NAME")</f>
        <v>Denmark</v>
      </c>
      <c r="AN51" s="9" t="str">
        <f>_xll.SNL.Clients.Office.Excel.Functions.SPG(AK51, "SP_COUNTRY_NAME")</f>
        <v>#INVALID COMPANY ID</v>
      </c>
      <c r="AO51" t="s">
        <v>1267</v>
      </c>
      <c r="AP51">
        <v>4304196</v>
      </c>
      <c r="AQ51" t="s">
        <v>346</v>
      </c>
      <c r="AR51" s="11">
        <v>0.13</v>
      </c>
      <c r="AS51" s="9" t="str">
        <f>_xll.SNL.Clients.Office.Excel.Functions.SPG(AP51, "SP_COUNTRY_NAME")</f>
        <v>South Africa</v>
      </c>
      <c r="AX51" s="9" t="str">
        <f>_xll.SNL.Clients.Office.Excel.Functions.SPG(AU51, "SP_COUNTRY_NAME")</f>
        <v>#INVALID COMPANY ID</v>
      </c>
      <c r="AY51" t="s">
        <v>1229</v>
      </c>
      <c r="AZ51" t="s">
        <v>300</v>
      </c>
      <c r="BA51" t="s">
        <v>361</v>
      </c>
      <c r="BB51" s="11">
        <v>0.01</v>
      </c>
      <c r="BC51" s="9" t="str">
        <f>_xll.SNL.Clients.Office.Excel.Functions.SPG(AZ51, "SP_COUNTRY_NAME")</f>
        <v>China</v>
      </c>
      <c r="BD51" t="s">
        <v>937</v>
      </c>
      <c r="BE51">
        <v>4041896</v>
      </c>
      <c r="BF51" t="s">
        <v>366</v>
      </c>
      <c r="BG51" s="11">
        <v>0.25</v>
      </c>
      <c r="BH51" s="9" t="str">
        <f>_xll.SNL.Clients.Office.Excel.Functions.SPG(BE51, "SP_COUNTRY_NAME")</f>
        <v>USA</v>
      </c>
      <c r="BI51" t="s">
        <v>1559</v>
      </c>
      <c r="BJ51">
        <v>4106557</v>
      </c>
      <c r="BK51" t="s">
        <v>346</v>
      </c>
      <c r="BL51" s="11">
        <v>0.11</v>
      </c>
      <c r="BM51" s="9" t="str">
        <f>_xll.SNL.Clients.Office.Excel.Functions.SPG(BJ51, "SP_COUNTRY_NAME")</f>
        <v>Italy</v>
      </c>
      <c r="BN51" t="s">
        <v>436</v>
      </c>
      <c r="BO51">
        <v>111219</v>
      </c>
      <c r="BP51" t="s">
        <v>346</v>
      </c>
      <c r="BQ51" s="11">
        <v>0.06</v>
      </c>
      <c r="BR51" s="9" t="str">
        <f>_xll.SNL.Clients.Office.Excel.Functions.SPG(BO51, "SP_COUNTRY_NAME")</f>
        <v>USA</v>
      </c>
      <c r="BS51" t="s">
        <v>540</v>
      </c>
      <c r="BT51">
        <v>4281265</v>
      </c>
      <c r="BU51" t="s">
        <v>346</v>
      </c>
      <c r="BV51" s="11">
        <v>0.14000000000000001</v>
      </c>
      <c r="BW51" s="9" t="str">
        <f>_xll.SNL.Clients.Office.Excel.Functions.SPG(BT51, "SP_COUNTRY_NAME")</f>
        <v>Canada</v>
      </c>
      <c r="BX51" t="s">
        <v>723</v>
      </c>
      <c r="BY51">
        <v>4536183</v>
      </c>
      <c r="BZ51" t="s">
        <v>346</v>
      </c>
      <c r="CA51" s="11">
        <v>0.18</v>
      </c>
      <c r="CB51" s="9" t="str">
        <f>_xll.SNL.Clients.Office.Excel.Functions.SPG(BY51, "SP_COUNTRY_NAME")</f>
        <v>China</v>
      </c>
      <c r="CC51" t="s">
        <v>873</v>
      </c>
      <c r="CD51">
        <v>4873872</v>
      </c>
      <c r="CE51" t="s">
        <v>346</v>
      </c>
      <c r="CF51" s="11">
        <v>0.18</v>
      </c>
      <c r="CG51" s="9" t="str">
        <f>_xll.SNL.Clients.Office.Excel.Functions.SPG(CD51, "SP_COUNTRY_NAME")</f>
        <v>Spain</v>
      </c>
      <c r="CH51" t="s">
        <v>1267</v>
      </c>
      <c r="CI51">
        <v>4304196</v>
      </c>
      <c r="CJ51" t="s">
        <v>346</v>
      </c>
      <c r="CK51" s="11">
        <v>0.13</v>
      </c>
      <c r="CL51" s="9" t="str">
        <f>_xll.SNL.Clients.Office.Excel.Functions.SPG(CI51, "SP_COUNTRY_NAME")</f>
        <v>South Africa</v>
      </c>
      <c r="CM51" t="s">
        <v>432</v>
      </c>
      <c r="CN51">
        <v>110092</v>
      </c>
      <c r="CO51" t="s">
        <v>346</v>
      </c>
      <c r="CP51" s="11">
        <v>0.22</v>
      </c>
      <c r="CQ51" s="9" t="str">
        <f>_xll.SNL.Clients.Office.Excel.Functions.SPG(CN51, "SP_COUNTRY_NAME")</f>
        <v>USA</v>
      </c>
      <c r="CV51" s="9" t="str">
        <f>_xll.SNL.Clients.Office.Excel.Functions.SPG(CS51, "SP_COUNTRY_NAME")</f>
        <v>#INVALID COMPANY ID</v>
      </c>
      <c r="DA51" s="9" t="str">
        <f>_xll.SNL.Clients.Office.Excel.Functions.SPG(CX51, "SP_COUNTRY_NAME")</f>
        <v>#INVALID COMPANY ID</v>
      </c>
      <c r="DB51" t="s">
        <v>937</v>
      </c>
      <c r="DC51">
        <v>4041896</v>
      </c>
      <c r="DD51" t="s">
        <v>366</v>
      </c>
      <c r="DE51" s="11">
        <v>0.25</v>
      </c>
      <c r="DF51" s="9" t="str">
        <f>_xll.SNL.Clients.Office.Excel.Functions.SPG(DC51, "SP_COUNTRY_NAME")</f>
        <v>USA</v>
      </c>
      <c r="DK51" s="9" t="str">
        <f>_xll.SNL.Clients.Office.Excel.Functions.SPG(DH51, "SP_COUNTRY_NAME")</f>
        <v>#INVALID COMPANY ID</v>
      </c>
      <c r="DL51" t="s">
        <v>937</v>
      </c>
      <c r="DM51">
        <v>4041896</v>
      </c>
      <c r="DN51" t="s">
        <v>366</v>
      </c>
      <c r="DO51" s="11">
        <v>0.25</v>
      </c>
      <c r="DP51" s="9" t="str">
        <f>_xll.SNL.Clients.Office.Excel.Functions.SPG(DM51, "SP_COUNTRY_NAME")</f>
        <v>USA</v>
      </c>
      <c r="DU51" s="9" t="str">
        <f>_xll.SNL.Clients.Office.Excel.Functions.SPG(DR51, "SP_COUNTRY_NAME")</f>
        <v>#INVALID COMPANY ID</v>
      </c>
      <c r="DV51" t="s">
        <v>423</v>
      </c>
      <c r="DW51">
        <v>4318240</v>
      </c>
      <c r="DX51" t="s">
        <v>346</v>
      </c>
      <c r="DY51" s="11">
        <v>0</v>
      </c>
      <c r="DZ51" s="9" t="str">
        <f>_xll.SNL.Clients.Office.Excel.Functions.SPG(DW51, "SP_COUNTRY_NAME")</f>
        <v>Japan</v>
      </c>
      <c r="EA51" t="s">
        <v>873</v>
      </c>
      <c r="EB51">
        <v>4873872</v>
      </c>
      <c r="EC51" t="s">
        <v>346</v>
      </c>
      <c r="ED51" s="11">
        <v>0.18</v>
      </c>
      <c r="EE51" s="9" t="str">
        <f>_xll.SNL.Clients.Office.Excel.Functions.SPG(EB51, "SP_COUNTRY_NAME")</f>
        <v>Spain</v>
      </c>
      <c r="EF51" t="s">
        <v>937</v>
      </c>
      <c r="EG51">
        <v>4041896</v>
      </c>
      <c r="EH51" t="s">
        <v>366</v>
      </c>
      <c r="EI51" s="11">
        <v>0.25</v>
      </c>
      <c r="EJ51" s="9" t="str">
        <f>_xll.SNL.Clients.Office.Excel.Functions.SPG(EG51, "SP_COUNTRY_NAME")</f>
        <v>USA</v>
      </c>
      <c r="EO51" s="9" t="str">
        <f>_xll.SNL.Clients.Office.Excel.Functions.SPG(EL51, "SP_COUNTRY_NAME")</f>
        <v>#INVALID COMPANY ID</v>
      </c>
      <c r="EP51" t="s">
        <v>918</v>
      </c>
      <c r="EQ51">
        <v>4860042</v>
      </c>
      <c r="ER51" t="s">
        <v>346</v>
      </c>
      <c r="ES51" s="11">
        <v>0.01</v>
      </c>
      <c r="ET51" s="9" t="str">
        <f>_xll.SNL.Clients.Office.Excel.Functions.SPG(EQ51, "SP_COUNTRY_NAME")</f>
        <v>China</v>
      </c>
      <c r="EY51" s="9" t="str">
        <f>_xll.SNL.Clients.Office.Excel.Functions.SPG(EV51, "SP_COUNTRY_NAME")</f>
        <v>#INVALID COMPANY ID</v>
      </c>
      <c r="EZ51" t="s">
        <v>1948</v>
      </c>
      <c r="FA51" t="s">
        <v>300</v>
      </c>
      <c r="FB51" t="s">
        <v>361</v>
      </c>
      <c r="FC51" s="11">
        <v>0</v>
      </c>
      <c r="FD51" s="9" t="str">
        <f>_xll.SNL.Clients.Office.Excel.Functions.SPG(FA51, "SP_COUNTRY_NAME")</f>
        <v>China</v>
      </c>
      <c r="FE51" t="s">
        <v>383</v>
      </c>
      <c r="FF51">
        <v>103042</v>
      </c>
      <c r="FG51" t="s">
        <v>366</v>
      </c>
      <c r="FH51" s="11">
        <v>-4.45</v>
      </c>
      <c r="FI51" s="9" t="str">
        <f>_xll.SNL.Clients.Office.Excel.Functions.SPG(FF51, "SP_COUNTRY_NAME")</f>
        <v>USA</v>
      </c>
      <c r="FJ51" t="s">
        <v>468</v>
      </c>
      <c r="FK51">
        <v>4556191</v>
      </c>
      <c r="FL51" t="s">
        <v>346</v>
      </c>
      <c r="FM51" s="11">
        <v>0.05</v>
      </c>
      <c r="FN51" s="9" t="str">
        <f>_xll.SNL.Clients.Office.Excel.Functions.SPG(FK51, "SP_COUNTRY_NAME")</f>
        <v>USA</v>
      </c>
      <c r="FS51" s="9" t="str">
        <f>_xll.SNL.Clients.Office.Excel.Functions.SPG(FP51, "SP_COUNTRY_NAME")</f>
        <v>#INVALID COMPANY ID</v>
      </c>
      <c r="FT51" t="s">
        <v>411</v>
      </c>
      <c r="FU51">
        <v>4272373</v>
      </c>
      <c r="FV51" t="s">
        <v>346</v>
      </c>
      <c r="FW51" s="11">
        <v>0</v>
      </c>
      <c r="FX51" s="9" t="str">
        <f>_xll.SNL.Clients.Office.Excel.Functions.SPG(FU51, "SP_COUNTRY_NAME")</f>
        <v>United Kingdom</v>
      </c>
      <c r="FY51" t="s">
        <v>937</v>
      </c>
      <c r="FZ51">
        <v>4041896</v>
      </c>
      <c r="GA51" t="s">
        <v>366</v>
      </c>
      <c r="GB51" s="11">
        <v>0.25</v>
      </c>
      <c r="GC51" s="9" t="str">
        <f>_xll.SNL.Clients.Office.Excel.Functions.SPG(FZ51, "SP_COUNTRY_NAME")</f>
        <v>USA</v>
      </c>
      <c r="GD51" t="s">
        <v>1948</v>
      </c>
      <c r="GE51" t="s">
        <v>300</v>
      </c>
      <c r="GF51" t="s">
        <v>361</v>
      </c>
      <c r="GG51" s="11">
        <v>0</v>
      </c>
      <c r="GH51" s="9" t="str">
        <f>_xll.SNL.Clients.Office.Excel.Functions.SPG(GE51, "SP_COUNTRY_NAME")</f>
        <v>China</v>
      </c>
      <c r="GI51" t="s">
        <v>383</v>
      </c>
      <c r="GJ51">
        <v>103042</v>
      </c>
      <c r="GK51" t="s">
        <v>366</v>
      </c>
      <c r="GL51" s="11">
        <v>-4.45</v>
      </c>
      <c r="GM51" s="9" t="str">
        <f>_xll.SNL.Clients.Office.Excel.Functions.SPG(GJ51, "SP_COUNTRY_NAME")</f>
        <v>USA</v>
      </c>
      <c r="GN51" t="s">
        <v>468</v>
      </c>
      <c r="GO51">
        <v>4556191</v>
      </c>
      <c r="GP51" t="s">
        <v>346</v>
      </c>
      <c r="GQ51" s="11">
        <v>0.05</v>
      </c>
      <c r="GR51" s="9" t="str">
        <f>_xll.SNL.Clients.Office.Excel.Functions.SPG(GO51, "SP_COUNTRY_NAME")</f>
        <v>USA</v>
      </c>
      <c r="GS51" t="s">
        <v>436</v>
      </c>
      <c r="GT51">
        <v>111219</v>
      </c>
      <c r="GU51" t="s">
        <v>346</v>
      </c>
      <c r="GV51" s="11">
        <v>0.06</v>
      </c>
      <c r="GW51" s="9" t="str">
        <f>_xll.SNL.Clients.Office.Excel.Functions.SPG(GT51, "SP_COUNTRY_NAME")</f>
        <v>USA</v>
      </c>
      <c r="GX51" t="s">
        <v>873</v>
      </c>
      <c r="GY51">
        <v>4873872</v>
      </c>
      <c r="GZ51" t="s">
        <v>346</v>
      </c>
      <c r="HA51" s="11">
        <v>0.18</v>
      </c>
      <c r="HB51" s="9" t="str">
        <f>_xll.SNL.Clients.Office.Excel.Functions.SPG(GY51, "SP_COUNTRY_NAME")</f>
        <v>Spain</v>
      </c>
      <c r="HG51" s="9" t="str">
        <f>_xll.SNL.Clients.Office.Excel.Functions.SPG(HD51, "SP_COUNTRY_NAME")</f>
        <v>#INVALID COMPANY ID</v>
      </c>
    </row>
    <row r="52" spans="5:215" x14ac:dyDescent="0.35">
      <c r="E52" s="9" t="str">
        <f>_xll.SNL.Clients.Office.Excel.Functions.SPG(B52, "SP_COUNTRY_NAME")</f>
        <v>#INVALID COMPANY ID</v>
      </c>
      <c r="F52" t="s">
        <v>449</v>
      </c>
      <c r="G52">
        <v>4093616</v>
      </c>
      <c r="H52" t="s">
        <v>346</v>
      </c>
      <c r="I52" s="11">
        <v>0.05</v>
      </c>
      <c r="J52" s="9" t="str">
        <f>_xll.SNL.Clients.Office.Excel.Functions.SPG(G52, "SP_COUNTRY_NAME")</f>
        <v>Canada</v>
      </c>
      <c r="K52" t="s">
        <v>654</v>
      </c>
      <c r="L52">
        <v>4208127</v>
      </c>
      <c r="M52" t="s">
        <v>346</v>
      </c>
      <c r="N52" s="11">
        <v>0.02</v>
      </c>
      <c r="O52" s="9" t="str">
        <f>_xll.SNL.Clients.Office.Excel.Functions.SPG(L52, "SP_COUNTRY_NAME")</f>
        <v>Germany</v>
      </c>
      <c r="T52" s="9" t="str">
        <f>_xll.SNL.Clients.Office.Excel.Functions.SPG(Q52, "SP_COUNTRY_NAME")</f>
        <v>#INVALID COMPANY ID</v>
      </c>
      <c r="U52" t="s">
        <v>724</v>
      </c>
      <c r="V52">
        <v>19309699</v>
      </c>
      <c r="W52" t="s">
        <v>690</v>
      </c>
      <c r="X52" s="11">
        <v>0.16</v>
      </c>
      <c r="Y52" s="9" t="str">
        <f>_xll.SNL.Clients.Office.Excel.Functions.SPG(V52, "SP_COUNTRY_NAME")</f>
        <v>China</v>
      </c>
      <c r="Z52" t="s">
        <v>654</v>
      </c>
      <c r="AA52">
        <v>4208127</v>
      </c>
      <c r="AB52" t="s">
        <v>346</v>
      </c>
      <c r="AC52" s="11">
        <v>0.02</v>
      </c>
      <c r="AD52" s="9" t="str">
        <f>_xll.SNL.Clients.Office.Excel.Functions.SPG(AA52, "SP_COUNTRY_NAME")</f>
        <v>Germany</v>
      </c>
      <c r="AE52" t="s">
        <v>415</v>
      </c>
      <c r="AF52">
        <v>110587</v>
      </c>
      <c r="AG52" t="s">
        <v>346</v>
      </c>
      <c r="AH52" s="11">
        <v>0.04</v>
      </c>
      <c r="AI52" s="9" t="str">
        <f>_xll.SNL.Clients.Office.Excel.Functions.SPG(AF52, "SP_COUNTRY_NAME")</f>
        <v>USA</v>
      </c>
      <c r="AN52" s="9" t="str">
        <f>_xll.SNL.Clients.Office.Excel.Functions.SPG(AK52, "SP_COUNTRY_NAME")</f>
        <v>#INVALID COMPANY ID</v>
      </c>
      <c r="AO52" t="s">
        <v>481</v>
      </c>
      <c r="AP52">
        <v>4376121</v>
      </c>
      <c r="AQ52" t="s">
        <v>346</v>
      </c>
      <c r="AR52" s="11">
        <v>0.13</v>
      </c>
      <c r="AS52" s="9" t="str">
        <f>_xll.SNL.Clients.Office.Excel.Functions.SPG(AP52, "SP_COUNTRY_NAME")</f>
        <v>United Kingdom</v>
      </c>
      <c r="AX52" s="9" t="str">
        <f>_xll.SNL.Clients.Office.Excel.Functions.SPG(AU52, "SP_COUNTRY_NAME")</f>
        <v>#INVALID COMPANY ID</v>
      </c>
      <c r="AY52" t="s">
        <v>1230</v>
      </c>
      <c r="AZ52" t="s">
        <v>300</v>
      </c>
      <c r="BA52" t="s">
        <v>361</v>
      </c>
      <c r="BB52" s="11">
        <v>0.01</v>
      </c>
      <c r="BC52" s="9" t="str">
        <f>_xll.SNL.Clients.Office.Excel.Functions.SPG(AZ52, "SP_COUNTRY_NAME")</f>
        <v>China</v>
      </c>
      <c r="BD52" t="s">
        <v>1397</v>
      </c>
      <c r="BE52">
        <v>4153870</v>
      </c>
      <c r="BF52" t="s">
        <v>366</v>
      </c>
      <c r="BG52" s="11">
        <v>0.23</v>
      </c>
      <c r="BH52" s="9" t="str">
        <f>_xll.SNL.Clients.Office.Excel.Functions.SPG(BE52, "SP_COUNTRY_NAME")</f>
        <v>USA</v>
      </c>
      <c r="BI52" t="s">
        <v>1265</v>
      </c>
      <c r="BJ52">
        <v>4118993</v>
      </c>
      <c r="BK52" t="s">
        <v>346</v>
      </c>
      <c r="BL52" s="11">
        <v>0.11</v>
      </c>
      <c r="BM52" s="9" t="str">
        <f>_xll.SNL.Clients.Office.Excel.Functions.SPG(BJ52, "SP_COUNTRY_NAME")</f>
        <v>USA</v>
      </c>
      <c r="BN52" t="s">
        <v>654</v>
      </c>
      <c r="BO52">
        <v>4208127</v>
      </c>
      <c r="BP52" t="s">
        <v>346</v>
      </c>
      <c r="BQ52" s="11">
        <v>0.05</v>
      </c>
      <c r="BR52" s="9" t="str">
        <f>_xll.SNL.Clients.Office.Excel.Functions.SPG(BO52, "SP_COUNTRY_NAME")</f>
        <v>Germany</v>
      </c>
      <c r="BS52" t="s">
        <v>951</v>
      </c>
      <c r="BT52">
        <v>5449150</v>
      </c>
      <c r="BU52" t="s">
        <v>370</v>
      </c>
      <c r="BV52" s="11">
        <v>0.14000000000000001</v>
      </c>
      <c r="BW52" s="9" t="str">
        <f>_xll.SNL.Clients.Office.Excel.Functions.SPG(BT52, "SP_COUNTRY_NAME")</f>
        <v>China</v>
      </c>
      <c r="BX52" t="s">
        <v>724</v>
      </c>
      <c r="BY52">
        <v>19309699</v>
      </c>
      <c r="BZ52" t="s">
        <v>690</v>
      </c>
      <c r="CA52" s="11">
        <v>0.16</v>
      </c>
      <c r="CB52" s="9" t="str">
        <f>_xll.SNL.Clients.Office.Excel.Functions.SPG(BY52, "SP_COUNTRY_NAME")</f>
        <v>China</v>
      </c>
      <c r="CC52" t="s">
        <v>415</v>
      </c>
      <c r="CD52">
        <v>110587</v>
      </c>
      <c r="CE52" t="s">
        <v>346</v>
      </c>
      <c r="CF52" s="11">
        <v>0.17</v>
      </c>
      <c r="CG52" s="9" t="str">
        <f>_xll.SNL.Clients.Office.Excel.Functions.SPG(CD52, "SP_COUNTRY_NAME")</f>
        <v>USA</v>
      </c>
      <c r="CH52" t="s">
        <v>481</v>
      </c>
      <c r="CI52">
        <v>4376121</v>
      </c>
      <c r="CJ52" t="s">
        <v>346</v>
      </c>
      <c r="CK52" s="11">
        <v>0.13</v>
      </c>
      <c r="CL52" s="9" t="str">
        <f>_xll.SNL.Clients.Office.Excel.Functions.SPG(CI52, "SP_COUNTRY_NAME")</f>
        <v>United Kingdom</v>
      </c>
      <c r="CM52" t="s">
        <v>412</v>
      </c>
      <c r="CN52">
        <v>109687</v>
      </c>
      <c r="CO52" t="s">
        <v>346</v>
      </c>
      <c r="CP52" s="11">
        <v>0.22</v>
      </c>
      <c r="CQ52" s="9" t="str">
        <f>_xll.SNL.Clients.Office.Excel.Functions.SPG(CN52, "SP_COUNTRY_NAME")</f>
        <v>USA</v>
      </c>
      <c r="CV52" s="9" t="str">
        <f>_xll.SNL.Clients.Office.Excel.Functions.SPG(CS52, "SP_COUNTRY_NAME")</f>
        <v>#INVALID COMPANY ID</v>
      </c>
      <c r="DA52" s="9" t="str">
        <f>_xll.SNL.Clients.Office.Excel.Functions.SPG(CX52, "SP_COUNTRY_NAME")</f>
        <v>#INVALID COMPANY ID</v>
      </c>
      <c r="DB52" t="s">
        <v>1397</v>
      </c>
      <c r="DC52">
        <v>4153870</v>
      </c>
      <c r="DD52" t="s">
        <v>366</v>
      </c>
      <c r="DE52" s="11">
        <v>0.23</v>
      </c>
      <c r="DF52" s="9" t="str">
        <f>_xll.SNL.Clients.Office.Excel.Functions.SPG(DC52, "SP_COUNTRY_NAME")</f>
        <v>USA</v>
      </c>
      <c r="DK52" s="9" t="str">
        <f>_xll.SNL.Clients.Office.Excel.Functions.SPG(DH52, "SP_COUNTRY_NAME")</f>
        <v>#INVALID COMPANY ID</v>
      </c>
      <c r="DL52" t="s">
        <v>1397</v>
      </c>
      <c r="DM52">
        <v>4153870</v>
      </c>
      <c r="DN52" t="s">
        <v>366</v>
      </c>
      <c r="DO52" s="11">
        <v>0.23</v>
      </c>
      <c r="DP52" s="9" t="str">
        <f>_xll.SNL.Clients.Office.Excel.Functions.SPG(DM52, "SP_COUNTRY_NAME")</f>
        <v>USA</v>
      </c>
      <c r="DU52" s="9" t="str">
        <f>_xll.SNL.Clients.Office.Excel.Functions.SPG(DR52, "SP_COUNTRY_NAME")</f>
        <v>#INVALID COMPANY ID</v>
      </c>
      <c r="DV52" t="s">
        <v>489</v>
      </c>
      <c r="DW52">
        <v>4324456</v>
      </c>
      <c r="DX52" t="s">
        <v>346</v>
      </c>
      <c r="DY52" s="11">
        <v>0</v>
      </c>
      <c r="DZ52" s="9" t="str">
        <f>_xll.SNL.Clients.Office.Excel.Functions.SPG(DW52, "SP_COUNTRY_NAME")</f>
        <v>Italy</v>
      </c>
      <c r="EA52" t="s">
        <v>415</v>
      </c>
      <c r="EB52">
        <v>110587</v>
      </c>
      <c r="EC52" t="s">
        <v>346</v>
      </c>
      <c r="ED52" s="11">
        <v>0.17</v>
      </c>
      <c r="EE52" s="9" t="str">
        <f>_xll.SNL.Clients.Office.Excel.Functions.SPG(EB52, "SP_COUNTRY_NAME")</f>
        <v>USA</v>
      </c>
      <c r="EF52" t="s">
        <v>1397</v>
      </c>
      <c r="EG52">
        <v>4153870</v>
      </c>
      <c r="EH52" t="s">
        <v>366</v>
      </c>
      <c r="EI52" s="11">
        <v>0.23</v>
      </c>
      <c r="EJ52" s="9" t="str">
        <f>_xll.SNL.Clients.Office.Excel.Functions.SPG(EG52, "SP_COUNTRY_NAME")</f>
        <v>USA</v>
      </c>
      <c r="EO52" s="9" t="str">
        <f>_xll.SNL.Clients.Office.Excel.Functions.SPG(EL52, "SP_COUNTRY_NAME")</f>
        <v>#INVALID COMPANY ID</v>
      </c>
      <c r="EP52" t="s">
        <v>640</v>
      </c>
      <c r="EQ52">
        <v>9020942</v>
      </c>
      <c r="ER52" t="s">
        <v>346</v>
      </c>
      <c r="ES52" s="11">
        <v>0.01</v>
      </c>
      <c r="ET52" s="9" t="str">
        <f>_xll.SNL.Clients.Office.Excel.Functions.SPG(EQ52, "SP_COUNTRY_NAME")</f>
        <v>China</v>
      </c>
      <c r="EY52" s="9" t="str">
        <f>_xll.SNL.Clients.Office.Excel.Functions.SPG(EV52, "SP_COUNTRY_NAME")</f>
        <v>#INVALID COMPANY ID</v>
      </c>
      <c r="EZ52" t="s">
        <v>1949</v>
      </c>
      <c r="FA52" t="s">
        <v>300</v>
      </c>
      <c r="FB52" t="s">
        <v>361</v>
      </c>
      <c r="FC52" s="11">
        <v>0</v>
      </c>
      <c r="FD52" s="9" t="str">
        <f>_xll.SNL.Clients.Office.Excel.Functions.SPG(FA52, "SP_COUNTRY_NAME")</f>
        <v>China</v>
      </c>
      <c r="FI52" s="9" t="str">
        <f>_xll.SNL.Clients.Office.Excel.Functions.SPG(FF52, "SP_COUNTRY_NAME")</f>
        <v>#INVALID COMPANY ID</v>
      </c>
      <c r="FJ52" t="s">
        <v>1209</v>
      </c>
      <c r="FK52">
        <v>111168</v>
      </c>
      <c r="FL52" t="s">
        <v>634</v>
      </c>
      <c r="FM52" s="11">
        <v>0.05</v>
      </c>
      <c r="FN52" s="9" t="str">
        <f>_xll.SNL.Clients.Office.Excel.Functions.SPG(FK52, "SP_COUNTRY_NAME")</f>
        <v>USA</v>
      </c>
      <c r="FS52" s="9" t="str">
        <f>_xll.SNL.Clients.Office.Excel.Functions.SPG(FP52, "SP_COUNTRY_NAME")</f>
        <v>#INVALID COMPANY ID</v>
      </c>
      <c r="FT52" t="s">
        <v>412</v>
      </c>
      <c r="FU52">
        <v>109687</v>
      </c>
      <c r="FV52" t="s">
        <v>346</v>
      </c>
      <c r="FW52" s="11">
        <v>0</v>
      </c>
      <c r="FX52" s="9" t="str">
        <f>_xll.SNL.Clients.Office.Excel.Functions.SPG(FU52, "SP_COUNTRY_NAME")</f>
        <v>USA</v>
      </c>
      <c r="FY52" t="s">
        <v>1397</v>
      </c>
      <c r="FZ52">
        <v>4153870</v>
      </c>
      <c r="GA52" t="s">
        <v>366</v>
      </c>
      <c r="GB52" s="11">
        <v>0.23</v>
      </c>
      <c r="GC52" s="9" t="str">
        <f>_xll.SNL.Clients.Office.Excel.Functions.SPG(FZ52, "SP_COUNTRY_NAME")</f>
        <v>USA</v>
      </c>
      <c r="GD52" t="s">
        <v>1949</v>
      </c>
      <c r="GE52" t="s">
        <v>300</v>
      </c>
      <c r="GF52" t="s">
        <v>361</v>
      </c>
      <c r="GG52" s="11">
        <v>0</v>
      </c>
      <c r="GH52" s="9" t="str">
        <f>_xll.SNL.Clients.Office.Excel.Functions.SPG(GE52, "SP_COUNTRY_NAME")</f>
        <v>China</v>
      </c>
      <c r="GM52" s="9" t="str">
        <f>_xll.SNL.Clients.Office.Excel.Functions.SPG(GJ52, "SP_COUNTRY_NAME")</f>
        <v>#INVALID COMPANY ID</v>
      </c>
      <c r="GN52" t="s">
        <v>1209</v>
      </c>
      <c r="GO52">
        <v>111168</v>
      </c>
      <c r="GP52" t="s">
        <v>634</v>
      </c>
      <c r="GQ52" s="11">
        <v>0.05</v>
      </c>
      <c r="GR52" s="9" t="str">
        <f>_xll.SNL.Clients.Office.Excel.Functions.SPG(GO52, "SP_COUNTRY_NAME")</f>
        <v>USA</v>
      </c>
      <c r="GS52" t="s">
        <v>654</v>
      </c>
      <c r="GT52">
        <v>4208127</v>
      </c>
      <c r="GU52" t="s">
        <v>346</v>
      </c>
      <c r="GV52" s="11">
        <v>0.05</v>
      </c>
      <c r="GW52" s="9" t="str">
        <f>_xll.SNL.Clients.Office.Excel.Functions.SPG(GT52, "SP_COUNTRY_NAME")</f>
        <v>Germany</v>
      </c>
      <c r="GX52" t="s">
        <v>415</v>
      </c>
      <c r="GY52">
        <v>110587</v>
      </c>
      <c r="GZ52" t="s">
        <v>346</v>
      </c>
      <c r="HA52" s="11">
        <v>0.17</v>
      </c>
      <c r="HB52" s="9" t="str">
        <f>_xll.SNL.Clients.Office.Excel.Functions.SPG(GY52, "SP_COUNTRY_NAME")</f>
        <v>USA</v>
      </c>
      <c r="HG52" s="9" t="str">
        <f>_xll.SNL.Clients.Office.Excel.Functions.SPG(HD52, "SP_COUNTRY_NAME")</f>
        <v>#INVALID COMPANY ID</v>
      </c>
    </row>
    <row r="53" spans="5:215" x14ac:dyDescent="0.35">
      <c r="E53" s="9" t="str">
        <f>_xll.SNL.Clients.Office.Excel.Functions.SPG(B53, "SP_COUNTRY_NAME")</f>
        <v>#INVALID COMPANY ID</v>
      </c>
      <c r="F53" t="s">
        <v>450</v>
      </c>
      <c r="G53">
        <v>4134083</v>
      </c>
      <c r="H53" t="s">
        <v>346</v>
      </c>
      <c r="I53" s="11">
        <v>0.05</v>
      </c>
      <c r="J53" s="9" t="str">
        <f>_xll.SNL.Clients.Office.Excel.Functions.SPG(G53, "SP_COUNTRY_NAME")</f>
        <v>USA</v>
      </c>
      <c r="K53" t="s">
        <v>380</v>
      </c>
      <c r="L53">
        <v>4674815</v>
      </c>
      <c r="M53" t="s">
        <v>346</v>
      </c>
      <c r="N53" s="11">
        <v>0.02</v>
      </c>
      <c r="O53" s="9" t="str">
        <f>_xll.SNL.Clients.Office.Excel.Functions.SPG(L53, "SP_COUNTRY_NAME")</f>
        <v>Switzerland</v>
      </c>
      <c r="T53" s="9" t="str">
        <f>_xll.SNL.Clients.Office.Excel.Functions.SPG(Q53, "SP_COUNTRY_NAME")</f>
        <v>#INVALID COMPANY ID</v>
      </c>
      <c r="U53" t="s">
        <v>725</v>
      </c>
      <c r="V53">
        <v>111195</v>
      </c>
      <c r="W53" t="s">
        <v>346</v>
      </c>
      <c r="X53" s="11">
        <v>0.16</v>
      </c>
      <c r="Y53" s="9" t="str">
        <f>_xll.SNL.Clients.Office.Excel.Functions.SPG(V53, "SP_COUNTRY_NAME")</f>
        <v>USA</v>
      </c>
      <c r="Z53" t="s">
        <v>380</v>
      </c>
      <c r="AA53">
        <v>4674815</v>
      </c>
      <c r="AB53" t="s">
        <v>346</v>
      </c>
      <c r="AC53" s="11">
        <v>0.02</v>
      </c>
      <c r="AD53" s="9" t="str">
        <f>_xll.SNL.Clients.Office.Excel.Functions.SPG(AA53, "SP_COUNTRY_NAME")</f>
        <v>Switzerland</v>
      </c>
      <c r="AE53" t="s">
        <v>487</v>
      </c>
      <c r="AF53">
        <v>4111901</v>
      </c>
      <c r="AG53" t="s">
        <v>346</v>
      </c>
      <c r="AH53" s="11">
        <v>0.04</v>
      </c>
      <c r="AI53" s="9" t="str">
        <f>_xll.SNL.Clients.Office.Excel.Functions.SPG(AF53, "SP_COUNTRY_NAME")</f>
        <v>Belgium</v>
      </c>
      <c r="AN53" s="9" t="str">
        <f>_xll.SNL.Clients.Office.Excel.Functions.SPG(AK53, "SP_COUNTRY_NAME")</f>
        <v>#INVALID COMPANY ID</v>
      </c>
      <c r="AO53" t="s">
        <v>436</v>
      </c>
      <c r="AP53">
        <v>111219</v>
      </c>
      <c r="AQ53" t="s">
        <v>346</v>
      </c>
      <c r="AR53" s="11">
        <v>0.13</v>
      </c>
      <c r="AS53" s="9" t="str">
        <f>_xll.SNL.Clients.Office.Excel.Functions.SPG(AP53, "SP_COUNTRY_NAME")</f>
        <v>USA</v>
      </c>
      <c r="AX53" s="9" t="str">
        <f>_xll.SNL.Clients.Office.Excel.Functions.SPG(AU53, "SP_COUNTRY_NAME")</f>
        <v>#INVALID COMPANY ID</v>
      </c>
      <c r="AY53" t="s">
        <v>1231</v>
      </c>
      <c r="AZ53" t="s">
        <v>300</v>
      </c>
      <c r="BA53" t="s">
        <v>361</v>
      </c>
      <c r="BB53" s="11">
        <v>0.01</v>
      </c>
      <c r="BC53" s="9" t="str">
        <f>_xll.SNL.Clients.Office.Excel.Functions.SPG(AZ53, "SP_COUNTRY_NAME")</f>
        <v>China</v>
      </c>
      <c r="BD53" t="s">
        <v>873</v>
      </c>
      <c r="BE53">
        <v>4873872</v>
      </c>
      <c r="BF53" t="s">
        <v>346</v>
      </c>
      <c r="BG53" s="11">
        <v>0.22</v>
      </c>
      <c r="BH53" s="9" t="str">
        <f>_xll.SNL.Clients.Office.Excel.Functions.SPG(BE53, "SP_COUNTRY_NAME")</f>
        <v>Spain</v>
      </c>
      <c r="BI53" t="s">
        <v>429</v>
      </c>
      <c r="BJ53">
        <v>4607441</v>
      </c>
      <c r="BK53" t="s">
        <v>346</v>
      </c>
      <c r="BL53" s="11">
        <v>0.1</v>
      </c>
      <c r="BM53" s="9" t="str">
        <f>_xll.SNL.Clients.Office.Excel.Functions.SPG(BJ53, "SP_COUNTRY_NAME")</f>
        <v>Japan</v>
      </c>
      <c r="BN53" t="s">
        <v>355</v>
      </c>
      <c r="BO53">
        <v>111074</v>
      </c>
      <c r="BP53" t="s">
        <v>346</v>
      </c>
      <c r="BQ53" s="11">
        <v>0.05</v>
      </c>
      <c r="BR53" s="9" t="str">
        <f>_xll.SNL.Clients.Office.Excel.Functions.SPG(BO53, "SP_COUNTRY_NAME")</f>
        <v>USA</v>
      </c>
      <c r="BS53" t="s">
        <v>733</v>
      </c>
      <c r="BT53">
        <v>5851125</v>
      </c>
      <c r="BU53" t="s">
        <v>346</v>
      </c>
      <c r="BV53" s="11">
        <v>0.13</v>
      </c>
      <c r="BW53" s="9" t="str">
        <f>_xll.SNL.Clients.Office.Excel.Functions.SPG(BT53, "SP_COUNTRY_NAME")</f>
        <v>China</v>
      </c>
      <c r="BX53" t="s">
        <v>725</v>
      </c>
      <c r="BY53">
        <v>111195</v>
      </c>
      <c r="BZ53" t="s">
        <v>346</v>
      </c>
      <c r="CA53" s="11">
        <v>0.16</v>
      </c>
      <c r="CB53" s="9" t="str">
        <f>_xll.SNL.Clients.Office.Excel.Functions.SPG(BY53, "SP_COUNTRY_NAME")</f>
        <v>USA</v>
      </c>
      <c r="CC53" t="s">
        <v>1624</v>
      </c>
      <c r="CD53">
        <v>101293757</v>
      </c>
      <c r="CE53" t="s">
        <v>300</v>
      </c>
      <c r="CF53" s="11">
        <v>0.17</v>
      </c>
      <c r="CG53" s="9" t="str">
        <f>_xll.SNL.Clients.Office.Excel.Functions.SPG(CD53, "SP_COUNTRY_NAME")</f>
        <v>Brazil</v>
      </c>
      <c r="CH53" t="s">
        <v>436</v>
      </c>
      <c r="CI53">
        <v>111219</v>
      </c>
      <c r="CJ53" t="s">
        <v>346</v>
      </c>
      <c r="CK53" s="11">
        <v>0.13</v>
      </c>
      <c r="CL53" s="9" t="str">
        <f>_xll.SNL.Clients.Office.Excel.Functions.SPG(CI53, "SP_COUNTRY_NAME")</f>
        <v>USA</v>
      </c>
      <c r="CM53" t="s">
        <v>725</v>
      </c>
      <c r="CN53">
        <v>111195</v>
      </c>
      <c r="CO53" t="s">
        <v>346</v>
      </c>
      <c r="CP53" s="11">
        <v>0.21</v>
      </c>
      <c r="CQ53" s="9" t="str">
        <f>_xll.SNL.Clients.Office.Excel.Functions.SPG(CN53, "SP_COUNTRY_NAME")</f>
        <v>USA</v>
      </c>
      <c r="CV53" s="9" t="str">
        <f>_xll.SNL.Clients.Office.Excel.Functions.SPG(CS53, "SP_COUNTRY_NAME")</f>
        <v>#INVALID COMPANY ID</v>
      </c>
      <c r="DA53" s="9" t="str">
        <f>_xll.SNL.Clients.Office.Excel.Functions.SPG(CX53, "SP_COUNTRY_NAME")</f>
        <v>#INVALID COMPANY ID</v>
      </c>
      <c r="DB53" t="s">
        <v>873</v>
      </c>
      <c r="DC53">
        <v>4873872</v>
      </c>
      <c r="DD53" t="s">
        <v>346</v>
      </c>
      <c r="DE53" s="11">
        <v>0.22</v>
      </c>
      <c r="DF53" s="9" t="str">
        <f>_xll.SNL.Clients.Office.Excel.Functions.SPG(DC53, "SP_COUNTRY_NAME")</f>
        <v>Spain</v>
      </c>
      <c r="DK53" s="9" t="str">
        <f>_xll.SNL.Clients.Office.Excel.Functions.SPG(DH53, "SP_COUNTRY_NAME")</f>
        <v>#INVALID COMPANY ID</v>
      </c>
      <c r="DL53" t="s">
        <v>873</v>
      </c>
      <c r="DM53">
        <v>4873872</v>
      </c>
      <c r="DN53" t="s">
        <v>346</v>
      </c>
      <c r="DO53" s="11">
        <v>0.22</v>
      </c>
      <c r="DP53" s="9" t="str">
        <f>_xll.SNL.Clients.Office.Excel.Functions.SPG(DM53, "SP_COUNTRY_NAME")</f>
        <v>Spain</v>
      </c>
      <c r="DU53" s="9" t="str">
        <f>_xll.SNL.Clients.Office.Excel.Functions.SPG(DR53, "SP_COUNTRY_NAME")</f>
        <v>#INVALID COMPANY ID</v>
      </c>
      <c r="DV53" t="s">
        <v>453</v>
      </c>
      <c r="DW53">
        <v>4318598</v>
      </c>
      <c r="DX53" t="s">
        <v>346</v>
      </c>
      <c r="DY53" s="11">
        <v>0</v>
      </c>
      <c r="DZ53" s="9" t="str">
        <f>_xll.SNL.Clients.Office.Excel.Functions.SPG(DW53, "SP_COUNTRY_NAME")</f>
        <v>USA</v>
      </c>
      <c r="EA53" t="s">
        <v>1624</v>
      </c>
      <c r="EB53">
        <v>101293757</v>
      </c>
      <c r="EC53" t="s">
        <v>300</v>
      </c>
      <c r="ED53" s="11">
        <v>0.17</v>
      </c>
      <c r="EE53" s="9" t="str">
        <f>_xll.SNL.Clients.Office.Excel.Functions.SPG(EB53, "SP_COUNTRY_NAME")</f>
        <v>Brazil</v>
      </c>
      <c r="EF53" t="s">
        <v>873</v>
      </c>
      <c r="EG53">
        <v>4873872</v>
      </c>
      <c r="EH53" t="s">
        <v>346</v>
      </c>
      <c r="EI53" s="11">
        <v>0.22</v>
      </c>
      <c r="EJ53" s="9" t="str">
        <f>_xll.SNL.Clients.Office.Excel.Functions.SPG(EG53, "SP_COUNTRY_NAME")</f>
        <v>Spain</v>
      </c>
      <c r="EO53" s="9" t="str">
        <f>_xll.SNL.Clients.Office.Excel.Functions.SPG(EL53, "SP_COUNTRY_NAME")</f>
        <v>#INVALID COMPANY ID</v>
      </c>
      <c r="EP53" t="s">
        <v>797</v>
      </c>
      <c r="EQ53">
        <v>4138761</v>
      </c>
      <c r="ER53" t="s">
        <v>346</v>
      </c>
      <c r="ES53" s="11">
        <v>0.01</v>
      </c>
      <c r="ET53" s="9" t="str">
        <f>_xll.SNL.Clients.Office.Excel.Functions.SPG(EQ53, "SP_COUNTRY_NAME")</f>
        <v>China</v>
      </c>
      <c r="EY53" s="9" t="str">
        <f>_xll.SNL.Clients.Office.Excel.Functions.SPG(EV53, "SP_COUNTRY_NAME")</f>
        <v>#INVALID COMPANY ID</v>
      </c>
      <c r="EZ53" t="s">
        <v>1950</v>
      </c>
      <c r="FA53" t="s">
        <v>300</v>
      </c>
      <c r="FB53" t="s">
        <v>361</v>
      </c>
      <c r="FC53" s="11">
        <v>0</v>
      </c>
      <c r="FD53" s="9" t="str">
        <f>_xll.SNL.Clients.Office.Excel.Functions.SPG(FA53, "SP_COUNTRY_NAME")</f>
        <v>China</v>
      </c>
      <c r="FI53" s="9" t="str">
        <f>_xll.SNL.Clients.Office.Excel.Functions.SPG(FF53, "SP_COUNTRY_NAME")</f>
        <v>#INVALID COMPANY ID</v>
      </c>
      <c r="FJ53" t="s">
        <v>413</v>
      </c>
      <c r="FK53">
        <v>4114882</v>
      </c>
      <c r="FL53" t="s">
        <v>346</v>
      </c>
      <c r="FM53" s="11">
        <v>0.05</v>
      </c>
      <c r="FN53" s="9" t="str">
        <f>_xll.SNL.Clients.Office.Excel.Functions.SPG(FK53, "SP_COUNTRY_NAME")</f>
        <v>Canada</v>
      </c>
      <c r="FS53" s="9" t="str">
        <f>_xll.SNL.Clients.Office.Excel.Functions.SPG(FP53, "SP_COUNTRY_NAME")</f>
        <v>#INVALID COMPANY ID</v>
      </c>
      <c r="FT53" t="s">
        <v>413</v>
      </c>
      <c r="FU53">
        <v>4114882</v>
      </c>
      <c r="FV53" t="s">
        <v>346</v>
      </c>
      <c r="FW53" s="11">
        <v>0</v>
      </c>
      <c r="FX53" s="9" t="str">
        <f>_xll.SNL.Clients.Office.Excel.Functions.SPG(FU53, "SP_COUNTRY_NAME")</f>
        <v>Canada</v>
      </c>
      <c r="FY53" t="s">
        <v>873</v>
      </c>
      <c r="FZ53">
        <v>4873872</v>
      </c>
      <c r="GA53" t="s">
        <v>346</v>
      </c>
      <c r="GB53" s="11">
        <v>0.22</v>
      </c>
      <c r="GC53" s="9" t="str">
        <f>_xll.SNL.Clients.Office.Excel.Functions.SPG(FZ53, "SP_COUNTRY_NAME")</f>
        <v>Spain</v>
      </c>
      <c r="GD53" t="s">
        <v>1950</v>
      </c>
      <c r="GE53" t="s">
        <v>300</v>
      </c>
      <c r="GF53" t="s">
        <v>361</v>
      </c>
      <c r="GG53" s="11">
        <v>0</v>
      </c>
      <c r="GH53" s="9" t="str">
        <f>_xll.SNL.Clients.Office.Excel.Functions.SPG(GE53, "SP_COUNTRY_NAME")</f>
        <v>China</v>
      </c>
      <c r="GM53" s="9" t="str">
        <f>_xll.SNL.Clients.Office.Excel.Functions.SPG(GJ53, "SP_COUNTRY_NAME")</f>
        <v>#INVALID COMPANY ID</v>
      </c>
      <c r="GN53" t="s">
        <v>413</v>
      </c>
      <c r="GO53">
        <v>4114882</v>
      </c>
      <c r="GP53" t="s">
        <v>346</v>
      </c>
      <c r="GQ53" s="11">
        <v>0.05</v>
      </c>
      <c r="GR53" s="9" t="str">
        <f>_xll.SNL.Clients.Office.Excel.Functions.SPG(GO53, "SP_COUNTRY_NAME")</f>
        <v>Canada</v>
      </c>
      <c r="GS53" t="s">
        <v>355</v>
      </c>
      <c r="GT53">
        <v>111074</v>
      </c>
      <c r="GU53" t="s">
        <v>346</v>
      </c>
      <c r="GV53" s="11">
        <v>0.05</v>
      </c>
      <c r="GW53" s="9" t="str">
        <f>_xll.SNL.Clients.Office.Excel.Functions.SPG(GT53, "SP_COUNTRY_NAME")</f>
        <v>USA</v>
      </c>
      <c r="GX53" t="s">
        <v>1624</v>
      </c>
      <c r="GY53">
        <v>101293757</v>
      </c>
      <c r="GZ53" t="s">
        <v>300</v>
      </c>
      <c r="HA53" s="11">
        <v>0.17</v>
      </c>
      <c r="HB53" s="9" t="str">
        <f>_xll.SNL.Clients.Office.Excel.Functions.SPG(GY53, "SP_COUNTRY_NAME")</f>
        <v>Brazil</v>
      </c>
      <c r="HG53" s="9" t="str">
        <f>_xll.SNL.Clients.Office.Excel.Functions.SPG(HD53, "SP_COUNTRY_NAME")</f>
        <v>#INVALID COMPANY ID</v>
      </c>
    </row>
    <row r="54" spans="5:215" x14ac:dyDescent="0.35">
      <c r="E54" s="9" t="str">
        <f>_xll.SNL.Clients.Office.Excel.Functions.SPG(B54, "SP_COUNTRY_NAME")</f>
        <v>#INVALID COMPANY ID</v>
      </c>
      <c r="F54" t="s">
        <v>451</v>
      </c>
      <c r="G54">
        <v>5747632</v>
      </c>
      <c r="H54" t="s">
        <v>346</v>
      </c>
      <c r="I54" s="11">
        <v>0.05</v>
      </c>
      <c r="J54" s="9" t="str">
        <f>_xll.SNL.Clients.Office.Excel.Functions.SPG(G54, "SP_COUNTRY_NAME")</f>
        <v>Canada</v>
      </c>
      <c r="K54" t="s">
        <v>655</v>
      </c>
      <c r="L54">
        <v>4413828</v>
      </c>
      <c r="M54" t="s">
        <v>346</v>
      </c>
      <c r="N54" s="11">
        <v>0.02</v>
      </c>
      <c r="O54" s="9" t="str">
        <f>_xll.SNL.Clients.Office.Excel.Functions.SPG(L54, "SP_COUNTRY_NAME")</f>
        <v>Hong Kong</v>
      </c>
      <c r="T54" s="9" t="str">
        <f>_xll.SNL.Clients.Office.Excel.Functions.SPG(Q54, "SP_COUNTRY_NAME")</f>
        <v>#INVALID COMPANY ID</v>
      </c>
      <c r="U54" t="s">
        <v>351</v>
      </c>
      <c r="V54">
        <v>111289</v>
      </c>
      <c r="W54" t="s">
        <v>346</v>
      </c>
      <c r="X54" s="11">
        <v>0.16</v>
      </c>
      <c r="Y54" s="9" t="str">
        <f>_xll.SNL.Clients.Office.Excel.Functions.SPG(V54, "SP_COUNTRY_NAME")</f>
        <v>USA</v>
      </c>
      <c r="Z54" t="s">
        <v>655</v>
      </c>
      <c r="AA54">
        <v>4413828</v>
      </c>
      <c r="AB54" t="s">
        <v>346</v>
      </c>
      <c r="AC54" s="11">
        <v>0.02</v>
      </c>
      <c r="AD54" s="9" t="str">
        <f>_xll.SNL.Clients.Office.Excel.Functions.SPG(AA54, "SP_COUNTRY_NAME")</f>
        <v>Hong Kong</v>
      </c>
      <c r="AE54" t="s">
        <v>1119</v>
      </c>
      <c r="AF54">
        <v>4555673</v>
      </c>
      <c r="AG54" t="s">
        <v>364</v>
      </c>
      <c r="AH54" s="11">
        <v>0.04</v>
      </c>
      <c r="AI54" s="9" t="str">
        <f>_xll.SNL.Clients.Office.Excel.Functions.SPG(AF54, "SP_COUNTRY_NAME")</f>
        <v>Canada</v>
      </c>
      <c r="AN54" s="9" t="str">
        <f>_xll.SNL.Clients.Office.Excel.Functions.SPG(AK54, "SP_COUNTRY_NAME")</f>
        <v>#INVALID COMPANY ID</v>
      </c>
      <c r="AO54" t="s">
        <v>510</v>
      </c>
      <c r="AP54">
        <v>4089114</v>
      </c>
      <c r="AQ54" t="s">
        <v>346</v>
      </c>
      <c r="AR54" s="11">
        <v>0.12</v>
      </c>
      <c r="AS54" s="9" t="str">
        <f>_xll.SNL.Clients.Office.Excel.Functions.SPG(AP54, "SP_COUNTRY_NAME")</f>
        <v>USA</v>
      </c>
      <c r="AX54" s="9" t="str">
        <f>_xll.SNL.Clients.Office.Excel.Functions.SPG(AU54, "SP_COUNTRY_NAME")</f>
        <v>#INVALID COMPANY ID</v>
      </c>
      <c r="AY54" t="s">
        <v>1232</v>
      </c>
      <c r="AZ54" t="s">
        <v>300</v>
      </c>
      <c r="BA54" t="s">
        <v>361</v>
      </c>
      <c r="BB54" s="11">
        <v>0.01</v>
      </c>
      <c r="BC54" s="9" t="str">
        <f>_xll.SNL.Clients.Office.Excel.Functions.SPG(AZ54, "SP_COUNTRY_NAME")</f>
        <v>China</v>
      </c>
      <c r="BD54" t="s">
        <v>1398</v>
      </c>
      <c r="BE54">
        <v>5762162</v>
      </c>
      <c r="BF54" t="s">
        <v>346</v>
      </c>
      <c r="BG54" s="11">
        <v>0.22</v>
      </c>
      <c r="BH54" s="9" t="str">
        <f>_xll.SNL.Clients.Office.Excel.Functions.SPG(BE54, "SP_COUNTRY_NAME")</f>
        <v>South Africa</v>
      </c>
      <c r="BI54" t="s">
        <v>530</v>
      </c>
      <c r="BJ54">
        <v>102729</v>
      </c>
      <c r="BK54" t="s">
        <v>346</v>
      </c>
      <c r="BL54" s="11">
        <v>0.1</v>
      </c>
      <c r="BM54" s="9" t="str">
        <f>_xll.SNL.Clients.Office.Excel.Functions.SPG(BJ54, "SP_COUNTRY_NAME")</f>
        <v>USA</v>
      </c>
      <c r="BN54" t="s">
        <v>726</v>
      </c>
      <c r="BO54">
        <v>4137941</v>
      </c>
      <c r="BP54" t="s">
        <v>346</v>
      </c>
      <c r="BQ54" s="11">
        <v>0.05</v>
      </c>
      <c r="BR54" s="9" t="str">
        <f>_xll.SNL.Clients.Office.Excel.Functions.SPG(BO54, "SP_COUNTRY_NAME")</f>
        <v>China</v>
      </c>
      <c r="BS54" t="s">
        <v>860</v>
      </c>
      <c r="BT54">
        <v>110879</v>
      </c>
      <c r="BU54" t="s">
        <v>346</v>
      </c>
      <c r="BV54" s="11">
        <v>0.13</v>
      </c>
      <c r="BW54" s="9" t="str">
        <f>_xll.SNL.Clients.Office.Excel.Functions.SPG(BT54, "SP_COUNTRY_NAME")</f>
        <v>USA</v>
      </c>
      <c r="BX54" t="s">
        <v>351</v>
      </c>
      <c r="BY54">
        <v>111289</v>
      </c>
      <c r="BZ54" t="s">
        <v>346</v>
      </c>
      <c r="CA54" s="11">
        <v>0.16</v>
      </c>
      <c r="CB54" s="9" t="str">
        <f>_xll.SNL.Clients.Office.Excel.Functions.SPG(BY54, "SP_COUNTRY_NAME")</f>
        <v>USA</v>
      </c>
      <c r="CC54" t="s">
        <v>936</v>
      </c>
      <c r="CD54">
        <v>100369</v>
      </c>
      <c r="CE54" t="s">
        <v>366</v>
      </c>
      <c r="CF54" s="11">
        <v>0.17</v>
      </c>
      <c r="CG54" s="9" t="str">
        <f>_xll.SNL.Clients.Office.Excel.Functions.SPG(CD54, "SP_COUNTRY_NAME")</f>
        <v>USA</v>
      </c>
      <c r="CH54" t="s">
        <v>510</v>
      </c>
      <c r="CI54">
        <v>4089114</v>
      </c>
      <c r="CJ54" t="s">
        <v>346</v>
      </c>
      <c r="CK54" s="11">
        <v>0.12</v>
      </c>
      <c r="CL54" s="9" t="str">
        <f>_xll.SNL.Clients.Office.Excel.Functions.SPG(CI54, "SP_COUNTRY_NAME")</f>
        <v>USA</v>
      </c>
      <c r="CM54" t="s">
        <v>1637</v>
      </c>
      <c r="CN54">
        <v>4252195</v>
      </c>
      <c r="CO54" t="s">
        <v>364</v>
      </c>
      <c r="CP54" s="11">
        <v>0.19</v>
      </c>
      <c r="CQ54" s="9" t="str">
        <f>_xll.SNL.Clients.Office.Excel.Functions.SPG(CN54, "SP_COUNTRY_NAME")</f>
        <v>USA</v>
      </c>
      <c r="CV54" s="9" t="str">
        <f>_xll.SNL.Clients.Office.Excel.Functions.SPG(CS54, "SP_COUNTRY_NAME")</f>
        <v>#INVALID COMPANY ID</v>
      </c>
      <c r="DA54" s="9" t="str">
        <f>_xll.SNL.Clients.Office.Excel.Functions.SPG(CX54, "SP_COUNTRY_NAME")</f>
        <v>#INVALID COMPANY ID</v>
      </c>
      <c r="DB54" t="s">
        <v>1398</v>
      </c>
      <c r="DC54">
        <v>5762162</v>
      </c>
      <c r="DD54" t="s">
        <v>346</v>
      </c>
      <c r="DE54" s="11">
        <v>0.22</v>
      </c>
      <c r="DF54" s="9" t="str">
        <f>_xll.SNL.Clients.Office.Excel.Functions.SPG(DC54, "SP_COUNTRY_NAME")</f>
        <v>South Africa</v>
      </c>
      <c r="DK54" s="9" t="str">
        <f>_xll.SNL.Clients.Office.Excel.Functions.SPG(DH54, "SP_COUNTRY_NAME")</f>
        <v>#INVALID COMPANY ID</v>
      </c>
      <c r="DL54" t="s">
        <v>1398</v>
      </c>
      <c r="DM54">
        <v>5762162</v>
      </c>
      <c r="DN54" t="s">
        <v>346</v>
      </c>
      <c r="DO54" s="11">
        <v>0.22</v>
      </c>
      <c r="DP54" s="9" t="str">
        <f>_xll.SNL.Clients.Office.Excel.Functions.SPG(DM54, "SP_COUNTRY_NAME")</f>
        <v>South Africa</v>
      </c>
      <c r="DU54" s="9" t="str">
        <f>_xll.SNL.Clients.Office.Excel.Functions.SPG(DR54, "SP_COUNTRY_NAME")</f>
        <v>#INVALID COMPANY ID</v>
      </c>
      <c r="DV54" t="s">
        <v>455</v>
      </c>
      <c r="DW54">
        <v>4119538</v>
      </c>
      <c r="DX54" t="s">
        <v>364</v>
      </c>
      <c r="DY54" s="11">
        <v>0</v>
      </c>
      <c r="DZ54" s="9" t="str">
        <f>_xll.SNL.Clients.Office.Excel.Functions.SPG(DW54, "SP_COUNTRY_NAME")</f>
        <v>USA</v>
      </c>
      <c r="EA54" t="s">
        <v>936</v>
      </c>
      <c r="EB54">
        <v>100369</v>
      </c>
      <c r="EC54" t="s">
        <v>366</v>
      </c>
      <c r="ED54" s="11">
        <v>0.17</v>
      </c>
      <c r="EE54" s="9" t="str">
        <f>_xll.SNL.Clients.Office.Excel.Functions.SPG(EB54, "SP_COUNTRY_NAME")</f>
        <v>USA</v>
      </c>
      <c r="EF54" t="s">
        <v>1398</v>
      </c>
      <c r="EG54">
        <v>5762162</v>
      </c>
      <c r="EH54" t="s">
        <v>346</v>
      </c>
      <c r="EI54" s="11">
        <v>0.22</v>
      </c>
      <c r="EJ54" s="9" t="str">
        <f>_xll.SNL.Clients.Office.Excel.Functions.SPG(EG54, "SP_COUNTRY_NAME")</f>
        <v>South Africa</v>
      </c>
      <c r="EO54" s="9" t="str">
        <f>_xll.SNL.Clients.Office.Excel.Functions.SPG(EL54, "SP_COUNTRY_NAME")</f>
        <v>#INVALID COMPANY ID</v>
      </c>
      <c r="EP54" t="s">
        <v>687</v>
      </c>
      <c r="EQ54">
        <v>4368709</v>
      </c>
      <c r="ER54" t="s">
        <v>346</v>
      </c>
      <c r="ES54" s="11">
        <v>0.01</v>
      </c>
      <c r="ET54" s="9" t="str">
        <f>_xll.SNL.Clients.Office.Excel.Functions.SPG(EQ54, "SP_COUNTRY_NAME")</f>
        <v>China</v>
      </c>
      <c r="EY54" s="9" t="str">
        <f>_xll.SNL.Clients.Office.Excel.Functions.SPG(EV54, "SP_COUNTRY_NAME")</f>
        <v>#INVALID COMPANY ID</v>
      </c>
      <c r="EZ54" t="s">
        <v>1951</v>
      </c>
      <c r="FA54" t="s">
        <v>300</v>
      </c>
      <c r="FB54" t="s">
        <v>361</v>
      </c>
      <c r="FC54" s="11">
        <v>0</v>
      </c>
      <c r="FD54" s="9" t="str">
        <f>_xll.SNL.Clients.Office.Excel.Functions.SPG(FA54, "SP_COUNTRY_NAME")</f>
        <v>China</v>
      </c>
      <c r="FI54" s="9" t="str">
        <f>_xll.SNL.Clients.Office.Excel.Functions.SPG(FF54, "SP_COUNTRY_NAME")</f>
        <v>#INVALID COMPANY ID</v>
      </c>
      <c r="FJ54" t="s">
        <v>380</v>
      </c>
      <c r="FK54">
        <v>4674815</v>
      </c>
      <c r="FL54" t="s">
        <v>346</v>
      </c>
      <c r="FM54" s="11">
        <v>0.05</v>
      </c>
      <c r="FN54" s="9" t="str">
        <f>_xll.SNL.Clients.Office.Excel.Functions.SPG(FK54, "SP_COUNTRY_NAME")</f>
        <v>Switzerland</v>
      </c>
      <c r="FS54" s="9" t="str">
        <f>_xll.SNL.Clients.Office.Excel.Functions.SPG(FP54, "SP_COUNTRY_NAME")</f>
        <v>#INVALID COMPANY ID</v>
      </c>
      <c r="FT54" t="s">
        <v>414</v>
      </c>
      <c r="FU54" t="s">
        <v>300</v>
      </c>
      <c r="FV54" t="s">
        <v>361</v>
      </c>
      <c r="FW54" s="11">
        <v>0</v>
      </c>
      <c r="FX54" s="9" t="str">
        <f>_xll.SNL.Clients.Office.Excel.Functions.SPG(FU54, "SP_COUNTRY_NAME")</f>
        <v>China</v>
      </c>
      <c r="FY54" t="s">
        <v>1398</v>
      </c>
      <c r="FZ54">
        <v>5762162</v>
      </c>
      <c r="GA54" t="s">
        <v>346</v>
      </c>
      <c r="GB54" s="11">
        <v>0.22</v>
      </c>
      <c r="GC54" s="9" t="str">
        <f>_xll.SNL.Clients.Office.Excel.Functions.SPG(FZ54, "SP_COUNTRY_NAME")</f>
        <v>South Africa</v>
      </c>
      <c r="GD54" t="s">
        <v>1951</v>
      </c>
      <c r="GE54" t="s">
        <v>300</v>
      </c>
      <c r="GF54" t="s">
        <v>361</v>
      </c>
      <c r="GG54" s="11">
        <v>0</v>
      </c>
      <c r="GH54" s="9" t="str">
        <f>_xll.SNL.Clients.Office.Excel.Functions.SPG(GE54, "SP_COUNTRY_NAME")</f>
        <v>China</v>
      </c>
      <c r="GM54" s="9" t="str">
        <f>_xll.SNL.Clients.Office.Excel.Functions.SPG(GJ54, "SP_COUNTRY_NAME")</f>
        <v>#INVALID COMPANY ID</v>
      </c>
      <c r="GN54" t="s">
        <v>380</v>
      </c>
      <c r="GO54">
        <v>4674815</v>
      </c>
      <c r="GP54" t="s">
        <v>346</v>
      </c>
      <c r="GQ54" s="11">
        <v>0.05</v>
      </c>
      <c r="GR54" s="9" t="str">
        <f>_xll.SNL.Clients.Office.Excel.Functions.SPG(GO54, "SP_COUNTRY_NAME")</f>
        <v>Switzerland</v>
      </c>
      <c r="GS54" t="s">
        <v>726</v>
      </c>
      <c r="GT54">
        <v>4137941</v>
      </c>
      <c r="GU54" t="s">
        <v>346</v>
      </c>
      <c r="GV54" s="11">
        <v>0.05</v>
      </c>
      <c r="GW54" s="9" t="str">
        <f>_xll.SNL.Clients.Office.Excel.Functions.SPG(GT54, "SP_COUNTRY_NAME")</f>
        <v>China</v>
      </c>
      <c r="GX54" t="s">
        <v>936</v>
      </c>
      <c r="GY54">
        <v>100369</v>
      </c>
      <c r="GZ54" t="s">
        <v>366</v>
      </c>
      <c r="HA54" s="11">
        <v>0.17</v>
      </c>
      <c r="HB54" s="9" t="str">
        <f>_xll.SNL.Clients.Office.Excel.Functions.SPG(GY54, "SP_COUNTRY_NAME")</f>
        <v>USA</v>
      </c>
      <c r="HG54" s="9" t="str">
        <f>_xll.SNL.Clients.Office.Excel.Functions.SPG(HD54, "SP_COUNTRY_NAME")</f>
        <v>#INVALID COMPANY ID</v>
      </c>
    </row>
    <row r="55" spans="5:215" x14ac:dyDescent="0.35">
      <c r="E55" s="9" t="str">
        <f>_xll.SNL.Clients.Office.Excel.Functions.SPG(B55, "SP_COUNTRY_NAME")</f>
        <v>#INVALID COMPANY ID</v>
      </c>
      <c r="F55" t="s">
        <v>452</v>
      </c>
      <c r="G55">
        <v>4784107</v>
      </c>
      <c r="H55" t="s">
        <v>346</v>
      </c>
      <c r="I55" s="11">
        <v>0.05</v>
      </c>
      <c r="J55" s="9" t="str">
        <f>_xll.SNL.Clients.Office.Excel.Functions.SPG(G55, "SP_COUNTRY_NAME")</f>
        <v>France</v>
      </c>
      <c r="K55" t="s">
        <v>411</v>
      </c>
      <c r="L55">
        <v>4272373</v>
      </c>
      <c r="M55" t="s">
        <v>346</v>
      </c>
      <c r="N55" s="11">
        <v>0.02</v>
      </c>
      <c r="O55" s="9" t="str">
        <f>_xll.SNL.Clients.Office.Excel.Functions.SPG(L55, "SP_COUNTRY_NAME")</f>
        <v>United Kingdom</v>
      </c>
      <c r="T55" s="9" t="str">
        <f>_xll.SNL.Clients.Office.Excel.Functions.SPG(Q55, "SP_COUNTRY_NAME")</f>
        <v>#INVALID COMPANY ID</v>
      </c>
      <c r="U55" t="s">
        <v>396</v>
      </c>
      <c r="V55">
        <v>4119759</v>
      </c>
      <c r="W55" t="s">
        <v>346</v>
      </c>
      <c r="X55" s="11">
        <v>0.14000000000000001</v>
      </c>
      <c r="Y55" s="9" t="str">
        <f>_xll.SNL.Clients.Office.Excel.Functions.SPG(V55, "SP_COUNTRY_NAME")</f>
        <v>USA</v>
      </c>
      <c r="Z55" t="s">
        <v>411</v>
      </c>
      <c r="AA55">
        <v>4272373</v>
      </c>
      <c r="AB55" t="s">
        <v>346</v>
      </c>
      <c r="AC55" s="11">
        <v>0.02</v>
      </c>
      <c r="AD55" s="9" t="str">
        <f>_xll.SNL.Clients.Office.Excel.Functions.SPG(AA55, "SP_COUNTRY_NAME")</f>
        <v>United Kingdom</v>
      </c>
      <c r="AE55" t="s">
        <v>1025</v>
      </c>
      <c r="AF55">
        <v>4137552</v>
      </c>
      <c r="AG55" t="s">
        <v>346</v>
      </c>
      <c r="AH55" s="11">
        <v>0.04</v>
      </c>
      <c r="AI55" s="9" t="str">
        <f>_xll.SNL.Clients.Office.Excel.Functions.SPG(AF55, "SP_COUNTRY_NAME")</f>
        <v>France</v>
      </c>
      <c r="AN55" s="9" t="str">
        <f>_xll.SNL.Clients.Office.Excel.Functions.SPG(AK55, "SP_COUNTRY_NAME")</f>
        <v>#INVALID COMPANY ID</v>
      </c>
      <c r="AO55" t="s">
        <v>1268</v>
      </c>
      <c r="AP55">
        <v>4418744</v>
      </c>
      <c r="AQ55" t="s">
        <v>346</v>
      </c>
      <c r="AR55" s="11">
        <v>0.12</v>
      </c>
      <c r="AS55" s="9" t="str">
        <f>_xll.SNL.Clients.Office.Excel.Functions.SPG(AP55, "SP_COUNTRY_NAME")</f>
        <v>South Africa</v>
      </c>
      <c r="AX55" s="9" t="str">
        <f>_xll.SNL.Clients.Office.Excel.Functions.SPG(AU55, "SP_COUNTRY_NAME")</f>
        <v>#INVALID COMPANY ID</v>
      </c>
      <c r="AY55" t="s">
        <v>676</v>
      </c>
      <c r="AZ55">
        <v>15012201</v>
      </c>
      <c r="BA55" t="s">
        <v>346</v>
      </c>
      <c r="BB55" s="11">
        <v>0.01</v>
      </c>
      <c r="BC55" s="9" t="str">
        <f>_xll.SNL.Clients.Office.Excel.Functions.SPG(AZ55, "SP_COUNTRY_NAME")</f>
        <v>China</v>
      </c>
      <c r="BD55" t="s">
        <v>949</v>
      </c>
      <c r="BE55">
        <v>4055370</v>
      </c>
      <c r="BF55" t="s">
        <v>362</v>
      </c>
      <c r="BG55" s="11">
        <v>0.2</v>
      </c>
      <c r="BH55" s="9" t="str">
        <f>_xll.SNL.Clients.Office.Excel.Functions.SPG(BE55, "SP_COUNTRY_NAME")</f>
        <v>Kuwait</v>
      </c>
      <c r="BI55" t="s">
        <v>408</v>
      </c>
      <c r="BJ55">
        <v>4138917</v>
      </c>
      <c r="BK55" t="s">
        <v>346</v>
      </c>
      <c r="BL55" s="11">
        <v>0.1</v>
      </c>
      <c r="BM55" s="9" t="str">
        <f>_xll.SNL.Clients.Office.Excel.Functions.SPG(BJ55, "SP_COUNTRY_NAME")</f>
        <v>Australia</v>
      </c>
      <c r="BN55" t="s">
        <v>681</v>
      </c>
      <c r="BO55">
        <v>5866754</v>
      </c>
      <c r="BP55" t="s">
        <v>346</v>
      </c>
      <c r="BQ55" s="11">
        <v>0.05</v>
      </c>
      <c r="BR55" s="9" t="str">
        <f>_xll.SNL.Clients.Office.Excel.Functions.SPG(BO55, "SP_COUNTRY_NAME")</f>
        <v>China</v>
      </c>
      <c r="BS55" t="s">
        <v>831</v>
      </c>
      <c r="BT55">
        <v>109508756</v>
      </c>
      <c r="BU55" t="s">
        <v>346</v>
      </c>
      <c r="BV55" s="11">
        <v>0.12</v>
      </c>
      <c r="BW55" s="9" t="str">
        <f>_xll.SNL.Clients.Office.Excel.Functions.SPG(BT55, "SP_COUNTRY_NAME")</f>
        <v>#INVALID COMPANY ID</v>
      </c>
      <c r="BX55" t="s">
        <v>396</v>
      </c>
      <c r="BY55">
        <v>4119759</v>
      </c>
      <c r="BZ55" t="s">
        <v>346</v>
      </c>
      <c r="CA55" s="11">
        <v>0.14000000000000001</v>
      </c>
      <c r="CB55" s="9" t="str">
        <f>_xll.SNL.Clients.Office.Excel.Functions.SPG(BY55, "SP_COUNTRY_NAME")</f>
        <v>USA</v>
      </c>
      <c r="CC55" t="s">
        <v>541</v>
      </c>
      <c r="CD55">
        <v>4135098</v>
      </c>
      <c r="CE55" t="s">
        <v>346</v>
      </c>
      <c r="CF55" s="11">
        <v>0.16</v>
      </c>
      <c r="CG55" s="9" t="str">
        <f>_xll.SNL.Clients.Office.Excel.Functions.SPG(CD55, "SP_COUNTRY_NAME")</f>
        <v>United Kingdom</v>
      </c>
      <c r="CH55" t="s">
        <v>1268</v>
      </c>
      <c r="CI55">
        <v>4418744</v>
      </c>
      <c r="CJ55" t="s">
        <v>346</v>
      </c>
      <c r="CK55" s="11">
        <v>0.12</v>
      </c>
      <c r="CL55" s="9" t="str">
        <f>_xll.SNL.Clients.Office.Excel.Functions.SPG(CI55, "SP_COUNTRY_NAME")</f>
        <v>South Africa</v>
      </c>
      <c r="CM55" t="s">
        <v>1701</v>
      </c>
      <c r="CN55">
        <v>19110619</v>
      </c>
      <c r="CO55" t="s">
        <v>346</v>
      </c>
      <c r="CP55" s="11">
        <v>0.19</v>
      </c>
      <c r="CQ55" s="9" t="str">
        <f>_xll.SNL.Clients.Office.Excel.Functions.SPG(CN55, "SP_COUNTRY_NAME")</f>
        <v>USA</v>
      </c>
      <c r="CV55" s="9" t="str">
        <f>_xll.SNL.Clients.Office.Excel.Functions.SPG(CS55, "SP_COUNTRY_NAME")</f>
        <v>#INVALID COMPANY ID</v>
      </c>
      <c r="DA55" s="9" t="str">
        <f>_xll.SNL.Clients.Office.Excel.Functions.SPG(CX55, "SP_COUNTRY_NAME")</f>
        <v>#INVALID COMPANY ID</v>
      </c>
      <c r="DB55" t="s">
        <v>949</v>
      </c>
      <c r="DC55">
        <v>4055370</v>
      </c>
      <c r="DD55" t="s">
        <v>362</v>
      </c>
      <c r="DE55" s="11">
        <v>0.2</v>
      </c>
      <c r="DF55" s="9" t="str">
        <f>_xll.SNL.Clients.Office.Excel.Functions.SPG(DC55, "SP_COUNTRY_NAME")</f>
        <v>Kuwait</v>
      </c>
      <c r="DK55" s="9" t="str">
        <f>_xll.SNL.Clients.Office.Excel.Functions.SPG(DH55, "SP_COUNTRY_NAME")</f>
        <v>#INVALID COMPANY ID</v>
      </c>
      <c r="DL55" t="s">
        <v>949</v>
      </c>
      <c r="DM55">
        <v>4055370</v>
      </c>
      <c r="DN55" t="s">
        <v>362</v>
      </c>
      <c r="DO55" s="11">
        <v>0.2</v>
      </c>
      <c r="DP55" s="9" t="str">
        <f>_xll.SNL.Clients.Office.Excel.Functions.SPG(DM55, "SP_COUNTRY_NAME")</f>
        <v>Kuwait</v>
      </c>
      <c r="DU55" s="9" t="str">
        <f>_xll.SNL.Clients.Office.Excel.Functions.SPG(DR55, "SP_COUNTRY_NAME")</f>
        <v>#INVALID COMPANY ID</v>
      </c>
      <c r="DV55" t="s">
        <v>654</v>
      </c>
      <c r="DW55">
        <v>4208127</v>
      </c>
      <c r="DX55" t="s">
        <v>346</v>
      </c>
      <c r="DY55" s="11">
        <v>0</v>
      </c>
      <c r="DZ55" s="9" t="str">
        <f>_xll.SNL.Clients.Office.Excel.Functions.SPG(DW55, "SP_COUNTRY_NAME")</f>
        <v>Germany</v>
      </c>
      <c r="EA55" t="s">
        <v>541</v>
      </c>
      <c r="EB55">
        <v>4135098</v>
      </c>
      <c r="EC55" t="s">
        <v>346</v>
      </c>
      <c r="ED55" s="11">
        <v>0.16</v>
      </c>
      <c r="EE55" s="9" t="str">
        <f>_xll.SNL.Clients.Office.Excel.Functions.SPG(EB55, "SP_COUNTRY_NAME")</f>
        <v>United Kingdom</v>
      </c>
      <c r="EF55" t="s">
        <v>949</v>
      </c>
      <c r="EG55">
        <v>4055370</v>
      </c>
      <c r="EH55" t="s">
        <v>362</v>
      </c>
      <c r="EI55" s="11">
        <v>0.2</v>
      </c>
      <c r="EJ55" s="9" t="str">
        <f>_xll.SNL.Clients.Office.Excel.Functions.SPG(EG55, "SP_COUNTRY_NAME")</f>
        <v>Kuwait</v>
      </c>
      <c r="EO55" s="9" t="str">
        <f>_xll.SNL.Clients.Office.Excel.Functions.SPG(EL55, "SP_COUNTRY_NAME")</f>
        <v>#INVALID COMPANY ID</v>
      </c>
      <c r="EP55" t="s">
        <v>686</v>
      </c>
      <c r="EQ55">
        <v>4784142</v>
      </c>
      <c r="ER55" t="s">
        <v>346</v>
      </c>
      <c r="ES55" s="11">
        <v>0.01</v>
      </c>
      <c r="ET55" s="9" t="str">
        <f>_xll.SNL.Clients.Office.Excel.Functions.SPG(EQ55, "SP_COUNTRY_NAME")</f>
        <v>China</v>
      </c>
      <c r="EY55" s="9" t="str">
        <f>_xll.SNL.Clients.Office.Excel.Functions.SPG(EV55, "SP_COUNTRY_NAME")</f>
        <v>#INVALID COMPANY ID</v>
      </c>
      <c r="EZ55" t="s">
        <v>1952</v>
      </c>
      <c r="FA55" t="s">
        <v>300</v>
      </c>
      <c r="FB55" t="s">
        <v>361</v>
      </c>
      <c r="FC55" s="11">
        <v>0</v>
      </c>
      <c r="FD55" s="9" t="str">
        <f>_xll.SNL.Clients.Office.Excel.Functions.SPG(FA55, "SP_COUNTRY_NAME")</f>
        <v>China</v>
      </c>
      <c r="FI55" s="9" t="str">
        <f>_xll.SNL.Clients.Office.Excel.Functions.SPG(FF55, "SP_COUNTRY_NAME")</f>
        <v>#INVALID COMPANY ID</v>
      </c>
      <c r="FJ55" t="s">
        <v>974</v>
      </c>
      <c r="FK55">
        <v>5828077</v>
      </c>
      <c r="FL55" t="s">
        <v>346</v>
      </c>
      <c r="FM55" s="11">
        <v>0.04</v>
      </c>
      <c r="FN55" s="9" t="str">
        <f>_xll.SNL.Clients.Office.Excel.Functions.SPG(FK55, "SP_COUNTRY_NAME")</f>
        <v>United Kingdom</v>
      </c>
      <c r="FS55" s="9" t="str">
        <f>_xll.SNL.Clients.Office.Excel.Functions.SPG(FP55, "SP_COUNTRY_NAME")</f>
        <v>#INVALID COMPANY ID</v>
      </c>
      <c r="FT55" t="s">
        <v>415</v>
      </c>
      <c r="FU55">
        <v>110587</v>
      </c>
      <c r="FV55" t="s">
        <v>346</v>
      </c>
      <c r="FW55" s="11">
        <v>0</v>
      </c>
      <c r="FX55" s="9" t="str">
        <f>_xll.SNL.Clients.Office.Excel.Functions.SPG(FU55, "SP_COUNTRY_NAME")</f>
        <v>USA</v>
      </c>
      <c r="FY55" t="s">
        <v>949</v>
      </c>
      <c r="FZ55">
        <v>4055370</v>
      </c>
      <c r="GA55" t="s">
        <v>362</v>
      </c>
      <c r="GB55" s="11">
        <v>0.2</v>
      </c>
      <c r="GC55" s="9" t="str">
        <f>_xll.SNL.Clients.Office.Excel.Functions.SPG(FZ55, "SP_COUNTRY_NAME")</f>
        <v>Kuwait</v>
      </c>
      <c r="GD55" t="s">
        <v>1952</v>
      </c>
      <c r="GE55" t="s">
        <v>300</v>
      </c>
      <c r="GF55" t="s">
        <v>361</v>
      </c>
      <c r="GG55" s="11">
        <v>0</v>
      </c>
      <c r="GH55" s="9" t="str">
        <f>_xll.SNL.Clients.Office.Excel.Functions.SPG(GE55, "SP_COUNTRY_NAME")</f>
        <v>China</v>
      </c>
      <c r="GM55" s="9" t="str">
        <f>_xll.SNL.Clients.Office.Excel.Functions.SPG(GJ55, "SP_COUNTRY_NAME")</f>
        <v>#INVALID COMPANY ID</v>
      </c>
      <c r="GN55" t="s">
        <v>974</v>
      </c>
      <c r="GO55">
        <v>5828077</v>
      </c>
      <c r="GP55" t="s">
        <v>346</v>
      </c>
      <c r="GQ55" s="11">
        <v>0.04</v>
      </c>
      <c r="GR55" s="9" t="str">
        <f>_xll.SNL.Clients.Office.Excel.Functions.SPG(GO55, "SP_COUNTRY_NAME")</f>
        <v>United Kingdom</v>
      </c>
      <c r="GS55" t="s">
        <v>681</v>
      </c>
      <c r="GT55">
        <v>5866754</v>
      </c>
      <c r="GU55" t="s">
        <v>346</v>
      </c>
      <c r="GV55" s="11">
        <v>0.05</v>
      </c>
      <c r="GW55" s="9" t="str">
        <f>_xll.SNL.Clients.Office.Excel.Functions.SPG(GT55, "SP_COUNTRY_NAME")</f>
        <v>China</v>
      </c>
      <c r="GX55" t="s">
        <v>541</v>
      </c>
      <c r="GY55">
        <v>4135098</v>
      </c>
      <c r="GZ55" t="s">
        <v>346</v>
      </c>
      <c r="HA55" s="11">
        <v>0.16</v>
      </c>
      <c r="HB55" s="9" t="str">
        <f>_xll.SNL.Clients.Office.Excel.Functions.SPG(GY55, "SP_COUNTRY_NAME")</f>
        <v>United Kingdom</v>
      </c>
      <c r="HG55" s="9" t="str">
        <f>_xll.SNL.Clients.Office.Excel.Functions.SPG(HD55, "SP_COUNTRY_NAME")</f>
        <v>#INVALID COMPANY ID</v>
      </c>
    </row>
    <row r="56" spans="5:215" x14ac:dyDescent="0.35">
      <c r="E56" s="9" t="str">
        <f>_xll.SNL.Clients.Office.Excel.Functions.SPG(B56, "SP_COUNTRY_NAME")</f>
        <v>#INVALID COMPANY ID</v>
      </c>
      <c r="F56" t="s">
        <v>453</v>
      </c>
      <c r="G56">
        <v>4318598</v>
      </c>
      <c r="H56" t="s">
        <v>346</v>
      </c>
      <c r="I56" s="11">
        <v>0.05</v>
      </c>
      <c r="J56" s="9" t="str">
        <f>_xll.SNL.Clients.Office.Excel.Functions.SPG(G56, "SP_COUNTRY_NAME")</f>
        <v>USA</v>
      </c>
      <c r="K56" t="s">
        <v>410</v>
      </c>
      <c r="L56">
        <v>5759394</v>
      </c>
      <c r="M56" t="s">
        <v>346</v>
      </c>
      <c r="N56" s="11">
        <v>0.02</v>
      </c>
      <c r="O56" s="9" t="str">
        <f>_xll.SNL.Clients.Office.Excel.Functions.SPG(L56, "SP_COUNTRY_NAME")</f>
        <v>Ireland</v>
      </c>
      <c r="T56" s="9" t="str">
        <f>_xll.SNL.Clients.Office.Excel.Functions.SPG(Q56, "SP_COUNTRY_NAME")</f>
        <v>#INVALID COMPANY ID</v>
      </c>
      <c r="U56" t="s">
        <v>684</v>
      </c>
      <c r="V56">
        <v>4139415</v>
      </c>
      <c r="W56" t="s">
        <v>346</v>
      </c>
      <c r="X56" s="11">
        <v>0.13</v>
      </c>
      <c r="Y56" s="9" t="str">
        <f>_xll.SNL.Clients.Office.Excel.Functions.SPG(V56, "SP_COUNTRY_NAME")</f>
        <v>China</v>
      </c>
      <c r="Z56" t="s">
        <v>410</v>
      </c>
      <c r="AA56">
        <v>5759394</v>
      </c>
      <c r="AB56" t="s">
        <v>346</v>
      </c>
      <c r="AC56" s="11">
        <v>0.02</v>
      </c>
      <c r="AD56" s="9" t="str">
        <f>_xll.SNL.Clients.Office.Excel.Functions.SPG(AA56, "SP_COUNTRY_NAME")</f>
        <v>Ireland</v>
      </c>
      <c r="AE56" t="s">
        <v>752</v>
      </c>
      <c r="AF56">
        <v>111272</v>
      </c>
      <c r="AG56" t="s">
        <v>346</v>
      </c>
      <c r="AH56" s="11">
        <v>0.03</v>
      </c>
      <c r="AI56" s="9" t="str">
        <f>_xll.SNL.Clients.Office.Excel.Functions.SPG(AF56, "SP_COUNTRY_NAME")</f>
        <v>United Kingdom</v>
      </c>
      <c r="AN56" s="9" t="str">
        <f>_xll.SNL.Clients.Office.Excel.Functions.SPG(AK56, "SP_COUNTRY_NAME")</f>
        <v>#INVALID COMPANY ID</v>
      </c>
      <c r="AO56" t="s">
        <v>429</v>
      </c>
      <c r="AP56">
        <v>4607441</v>
      </c>
      <c r="AQ56" t="s">
        <v>346</v>
      </c>
      <c r="AR56" s="11">
        <v>0.12</v>
      </c>
      <c r="AS56" s="9" t="str">
        <f>_xll.SNL.Clients.Office.Excel.Functions.SPG(AP56, "SP_COUNTRY_NAME")</f>
        <v>Japan</v>
      </c>
      <c r="AX56" s="9" t="str">
        <f>_xll.SNL.Clients.Office.Excel.Functions.SPG(AU56, "SP_COUNTRY_NAME")</f>
        <v>#INVALID COMPANY ID</v>
      </c>
      <c r="AY56" t="s">
        <v>766</v>
      </c>
      <c r="AZ56">
        <v>4138826</v>
      </c>
      <c r="BA56" t="s">
        <v>346</v>
      </c>
      <c r="BB56" s="11">
        <v>0.01</v>
      </c>
      <c r="BC56" s="9" t="str">
        <f>_xll.SNL.Clients.Office.Excel.Functions.SPG(AZ56, "SP_COUNTRY_NAME")</f>
        <v>China</v>
      </c>
      <c r="BD56" t="s">
        <v>1399</v>
      </c>
      <c r="BE56">
        <v>109681</v>
      </c>
      <c r="BF56" t="s">
        <v>346</v>
      </c>
      <c r="BG56" s="11">
        <v>0.2</v>
      </c>
      <c r="BH56" s="9" t="str">
        <f>_xll.SNL.Clients.Office.Excel.Functions.SPG(BE56, "SP_COUNTRY_NAME")</f>
        <v>USA</v>
      </c>
      <c r="BI56" t="s">
        <v>452</v>
      </c>
      <c r="BJ56">
        <v>4784107</v>
      </c>
      <c r="BK56" t="s">
        <v>346</v>
      </c>
      <c r="BL56" s="11">
        <v>0.1</v>
      </c>
      <c r="BM56" s="9" t="str">
        <f>_xll.SNL.Clients.Office.Excel.Functions.SPG(BJ56, "SP_COUNTRY_NAME")</f>
        <v>France</v>
      </c>
      <c r="BN56" t="s">
        <v>378</v>
      </c>
      <c r="BO56">
        <v>4048184</v>
      </c>
      <c r="BP56" t="s">
        <v>346</v>
      </c>
      <c r="BQ56" s="11">
        <v>0.05</v>
      </c>
      <c r="BR56" s="9" t="str">
        <f>_xll.SNL.Clients.Office.Excel.Functions.SPG(BO56, "SP_COUNTRY_NAME")</f>
        <v>Canada</v>
      </c>
      <c r="BS56" t="s">
        <v>760</v>
      </c>
      <c r="BT56">
        <v>4677331</v>
      </c>
      <c r="BU56" t="s">
        <v>346</v>
      </c>
      <c r="BV56" s="11">
        <v>0.11</v>
      </c>
      <c r="BW56" s="9" t="str">
        <f>_xll.SNL.Clients.Office.Excel.Functions.SPG(BT56, "SP_COUNTRY_NAME")</f>
        <v>China</v>
      </c>
      <c r="BX56" t="s">
        <v>684</v>
      </c>
      <c r="BY56">
        <v>4139415</v>
      </c>
      <c r="BZ56" t="s">
        <v>346</v>
      </c>
      <c r="CA56" s="11">
        <v>0.13</v>
      </c>
      <c r="CB56" s="9" t="str">
        <f>_xll.SNL.Clients.Office.Excel.Functions.SPG(BY56, "SP_COUNTRY_NAME")</f>
        <v>China</v>
      </c>
      <c r="CC56" t="s">
        <v>436</v>
      </c>
      <c r="CD56">
        <v>111219</v>
      </c>
      <c r="CE56" t="s">
        <v>346</v>
      </c>
      <c r="CF56" s="11">
        <v>0.16</v>
      </c>
      <c r="CG56" s="9" t="str">
        <f>_xll.SNL.Clients.Office.Excel.Functions.SPG(CD56, "SP_COUNTRY_NAME")</f>
        <v>USA</v>
      </c>
      <c r="CH56" t="s">
        <v>429</v>
      </c>
      <c r="CI56">
        <v>4607441</v>
      </c>
      <c r="CJ56" t="s">
        <v>346</v>
      </c>
      <c r="CK56" s="11">
        <v>0.12</v>
      </c>
      <c r="CL56" s="9" t="str">
        <f>_xll.SNL.Clients.Office.Excel.Functions.SPG(CI56, "SP_COUNTRY_NAME")</f>
        <v>Japan</v>
      </c>
      <c r="CM56" t="s">
        <v>1434</v>
      </c>
      <c r="CN56">
        <v>4437851</v>
      </c>
      <c r="CO56" t="s">
        <v>346</v>
      </c>
      <c r="CP56" s="11">
        <v>0.18</v>
      </c>
      <c r="CQ56" s="9" t="str">
        <f>_xll.SNL.Clients.Office.Excel.Functions.SPG(CN56, "SP_COUNTRY_NAME")</f>
        <v>USA</v>
      </c>
      <c r="CV56" s="9" t="str">
        <f>_xll.SNL.Clients.Office.Excel.Functions.SPG(CS56, "SP_COUNTRY_NAME")</f>
        <v>#INVALID COMPANY ID</v>
      </c>
      <c r="DA56" s="9" t="str">
        <f>_xll.SNL.Clients.Office.Excel.Functions.SPG(CX56, "SP_COUNTRY_NAME")</f>
        <v>#INVALID COMPANY ID</v>
      </c>
      <c r="DB56" t="s">
        <v>1399</v>
      </c>
      <c r="DC56">
        <v>109681</v>
      </c>
      <c r="DD56" t="s">
        <v>346</v>
      </c>
      <c r="DE56" s="11">
        <v>0.2</v>
      </c>
      <c r="DF56" s="9" t="str">
        <f>_xll.SNL.Clients.Office.Excel.Functions.SPG(DC56, "SP_COUNTRY_NAME")</f>
        <v>USA</v>
      </c>
      <c r="DK56" s="9" t="str">
        <f>_xll.SNL.Clients.Office.Excel.Functions.SPG(DH56, "SP_COUNTRY_NAME")</f>
        <v>#INVALID COMPANY ID</v>
      </c>
      <c r="DL56" t="s">
        <v>1399</v>
      </c>
      <c r="DM56">
        <v>109681</v>
      </c>
      <c r="DN56" t="s">
        <v>346</v>
      </c>
      <c r="DO56" s="11">
        <v>0.2</v>
      </c>
      <c r="DP56" s="9" t="str">
        <f>_xll.SNL.Clients.Office.Excel.Functions.SPG(DM56, "SP_COUNTRY_NAME")</f>
        <v>USA</v>
      </c>
      <c r="DU56" s="9" t="str">
        <f>_xll.SNL.Clients.Office.Excel.Functions.SPG(DR56, "SP_COUNTRY_NAME")</f>
        <v>#INVALID COMPANY ID</v>
      </c>
      <c r="DV56" t="s">
        <v>1198</v>
      </c>
      <c r="DW56">
        <v>5752489</v>
      </c>
      <c r="DX56" t="s">
        <v>276</v>
      </c>
      <c r="DY56" s="11">
        <v>0</v>
      </c>
      <c r="DZ56" s="9" t="str">
        <f>_xll.SNL.Clients.Office.Excel.Functions.SPG(DW56, "SP_COUNTRY_NAME")</f>
        <v>Russia</v>
      </c>
      <c r="EA56" t="s">
        <v>436</v>
      </c>
      <c r="EB56">
        <v>111219</v>
      </c>
      <c r="EC56" t="s">
        <v>346</v>
      </c>
      <c r="ED56" s="11">
        <v>0.16</v>
      </c>
      <c r="EE56" s="9" t="str">
        <f>_xll.SNL.Clients.Office.Excel.Functions.SPG(EB56, "SP_COUNTRY_NAME")</f>
        <v>USA</v>
      </c>
      <c r="EF56" t="s">
        <v>1399</v>
      </c>
      <c r="EG56">
        <v>109681</v>
      </c>
      <c r="EH56" t="s">
        <v>346</v>
      </c>
      <c r="EI56" s="11">
        <v>0.2</v>
      </c>
      <c r="EJ56" s="9" t="str">
        <f>_xll.SNL.Clients.Office.Excel.Functions.SPG(EG56, "SP_COUNTRY_NAME")</f>
        <v>USA</v>
      </c>
      <c r="EO56" s="9" t="str">
        <f>_xll.SNL.Clients.Office.Excel.Functions.SPG(EL56, "SP_COUNTRY_NAME")</f>
        <v>#INVALID COMPANY ID</v>
      </c>
      <c r="EP56" t="s">
        <v>785</v>
      </c>
      <c r="EQ56">
        <v>4139950</v>
      </c>
      <c r="ER56" t="s">
        <v>346</v>
      </c>
      <c r="ES56" s="11">
        <v>0.01</v>
      </c>
      <c r="ET56" s="9" t="str">
        <f>_xll.SNL.Clients.Office.Excel.Functions.SPG(EQ56, "SP_COUNTRY_NAME")</f>
        <v>China</v>
      </c>
      <c r="EY56" s="9" t="str">
        <f>_xll.SNL.Clients.Office.Excel.Functions.SPG(EV56, "SP_COUNTRY_NAME")</f>
        <v>#INVALID COMPANY ID</v>
      </c>
      <c r="EZ56" t="s">
        <v>1953</v>
      </c>
      <c r="FA56" t="s">
        <v>300</v>
      </c>
      <c r="FB56" t="s">
        <v>361</v>
      </c>
      <c r="FC56" s="11">
        <v>0</v>
      </c>
      <c r="FD56" s="9" t="str">
        <f>_xll.SNL.Clients.Office.Excel.Functions.SPG(FA56, "SP_COUNTRY_NAME")</f>
        <v>China</v>
      </c>
      <c r="FI56" s="9" t="str">
        <f>_xll.SNL.Clients.Office.Excel.Functions.SPG(FF56, "SP_COUNTRY_NAME")</f>
        <v>#INVALID COMPANY ID</v>
      </c>
      <c r="FJ56" t="s">
        <v>400</v>
      </c>
      <c r="FK56">
        <v>7834181</v>
      </c>
      <c r="FL56" t="s">
        <v>346</v>
      </c>
      <c r="FM56" s="11">
        <v>0.04</v>
      </c>
      <c r="FN56" s="9" t="str">
        <f>_xll.SNL.Clients.Office.Excel.Functions.SPG(FK56, "SP_COUNTRY_NAME")</f>
        <v>United Kingdom</v>
      </c>
      <c r="FS56" s="9" t="str">
        <f>_xll.SNL.Clients.Office.Excel.Functions.SPG(FP56, "SP_COUNTRY_NAME")</f>
        <v>#INVALID COMPANY ID</v>
      </c>
      <c r="FT56" t="s">
        <v>416</v>
      </c>
      <c r="FU56" t="s">
        <v>300</v>
      </c>
      <c r="FV56" t="s">
        <v>361</v>
      </c>
      <c r="FW56" s="11">
        <v>0</v>
      </c>
      <c r="FX56" s="9" t="str">
        <f>_xll.SNL.Clients.Office.Excel.Functions.SPG(FU56, "SP_COUNTRY_NAME")</f>
        <v>China</v>
      </c>
      <c r="FY56" t="s">
        <v>1399</v>
      </c>
      <c r="FZ56">
        <v>109681</v>
      </c>
      <c r="GA56" t="s">
        <v>346</v>
      </c>
      <c r="GB56" s="11">
        <v>0.2</v>
      </c>
      <c r="GC56" s="9" t="str">
        <f>_xll.SNL.Clients.Office.Excel.Functions.SPG(FZ56, "SP_COUNTRY_NAME")</f>
        <v>USA</v>
      </c>
      <c r="GD56" t="s">
        <v>1953</v>
      </c>
      <c r="GE56" t="s">
        <v>300</v>
      </c>
      <c r="GF56" t="s">
        <v>361</v>
      </c>
      <c r="GG56" s="11">
        <v>0</v>
      </c>
      <c r="GH56" s="9" t="str">
        <f>_xll.SNL.Clients.Office.Excel.Functions.SPG(GE56, "SP_COUNTRY_NAME")</f>
        <v>China</v>
      </c>
      <c r="GM56" s="9" t="str">
        <f>_xll.SNL.Clients.Office.Excel.Functions.SPG(GJ56, "SP_COUNTRY_NAME")</f>
        <v>#INVALID COMPANY ID</v>
      </c>
      <c r="GN56" t="s">
        <v>400</v>
      </c>
      <c r="GO56">
        <v>7834181</v>
      </c>
      <c r="GP56" t="s">
        <v>346</v>
      </c>
      <c r="GQ56" s="11">
        <v>0.04</v>
      </c>
      <c r="GR56" s="9" t="str">
        <f>_xll.SNL.Clients.Office.Excel.Functions.SPG(GO56, "SP_COUNTRY_NAME")</f>
        <v>United Kingdom</v>
      </c>
      <c r="GS56" t="s">
        <v>378</v>
      </c>
      <c r="GT56">
        <v>4048184</v>
      </c>
      <c r="GU56" t="s">
        <v>346</v>
      </c>
      <c r="GV56" s="11">
        <v>0.05</v>
      </c>
      <c r="GW56" s="9" t="str">
        <f>_xll.SNL.Clients.Office.Excel.Functions.SPG(GT56, "SP_COUNTRY_NAME")</f>
        <v>Canada</v>
      </c>
      <c r="GX56" t="s">
        <v>436</v>
      </c>
      <c r="GY56">
        <v>111219</v>
      </c>
      <c r="GZ56" t="s">
        <v>346</v>
      </c>
      <c r="HA56" s="11">
        <v>0.16</v>
      </c>
      <c r="HB56" s="9" t="str">
        <f>_xll.SNL.Clients.Office.Excel.Functions.SPG(GY56, "SP_COUNTRY_NAME")</f>
        <v>USA</v>
      </c>
      <c r="HG56" s="9" t="str">
        <f>_xll.SNL.Clients.Office.Excel.Functions.SPG(HD56, "SP_COUNTRY_NAME")</f>
        <v>#INVALID COMPANY ID</v>
      </c>
    </row>
    <row r="57" spans="5:215" x14ac:dyDescent="0.35">
      <c r="E57" s="9" t="str">
        <f>_xll.SNL.Clients.Office.Excel.Functions.SPG(B57, "SP_COUNTRY_NAME")</f>
        <v>#INVALID COMPANY ID</v>
      </c>
      <c r="F57" t="s">
        <v>378</v>
      </c>
      <c r="G57">
        <v>4048184</v>
      </c>
      <c r="H57" t="s">
        <v>346</v>
      </c>
      <c r="I57" s="11">
        <v>0.04</v>
      </c>
      <c r="J57" s="9" t="str">
        <f>_xll.SNL.Clients.Office.Excel.Functions.SPG(G57, "SP_COUNTRY_NAME")</f>
        <v>Canada</v>
      </c>
      <c r="K57" t="s">
        <v>469</v>
      </c>
      <c r="L57">
        <v>4026996</v>
      </c>
      <c r="M57" t="s">
        <v>346</v>
      </c>
      <c r="N57" s="11">
        <v>0.01</v>
      </c>
      <c r="O57" s="9" t="str">
        <f>_xll.SNL.Clients.Office.Excel.Functions.SPG(L57, "SP_COUNTRY_NAME")</f>
        <v>USA</v>
      </c>
      <c r="T57" s="9" t="str">
        <f>_xll.SNL.Clients.Office.Excel.Functions.SPG(Q57, "SP_COUNTRY_NAME")</f>
        <v>#INVALID COMPANY ID</v>
      </c>
      <c r="U57" t="s">
        <v>583</v>
      </c>
      <c r="V57">
        <v>4579014</v>
      </c>
      <c r="W57" t="s">
        <v>346</v>
      </c>
      <c r="X57" s="11">
        <v>0.12</v>
      </c>
      <c r="Y57" s="9" t="str">
        <f>_xll.SNL.Clients.Office.Excel.Functions.SPG(V57, "SP_COUNTRY_NAME")</f>
        <v>USA</v>
      </c>
      <c r="Z57" t="s">
        <v>469</v>
      </c>
      <c r="AA57">
        <v>4026996</v>
      </c>
      <c r="AB57" t="s">
        <v>346</v>
      </c>
      <c r="AC57" s="11">
        <v>0.01</v>
      </c>
      <c r="AD57" s="9" t="str">
        <f>_xll.SNL.Clients.Office.Excel.Functions.SPG(AA57, "SP_COUNTRY_NAME")</f>
        <v>USA</v>
      </c>
      <c r="AE57" t="s">
        <v>410</v>
      </c>
      <c r="AF57">
        <v>5759394</v>
      </c>
      <c r="AG57" t="s">
        <v>346</v>
      </c>
      <c r="AH57" s="11">
        <v>0.03</v>
      </c>
      <c r="AI57" s="9" t="str">
        <f>_xll.SNL.Clients.Office.Excel.Functions.SPG(AF57, "SP_COUNTRY_NAME")</f>
        <v>Ireland</v>
      </c>
      <c r="AN57" s="9" t="str">
        <f>_xll.SNL.Clients.Office.Excel.Functions.SPG(AK57, "SP_COUNTRY_NAME")</f>
        <v>#INVALID COMPANY ID</v>
      </c>
      <c r="AO57" t="s">
        <v>1269</v>
      </c>
      <c r="AP57">
        <v>4840599</v>
      </c>
      <c r="AQ57" t="s">
        <v>364</v>
      </c>
      <c r="AR57" s="11">
        <v>0.12</v>
      </c>
      <c r="AS57" s="9" t="str">
        <f>_xll.SNL.Clients.Office.Excel.Functions.SPG(AP57, "SP_COUNTRY_NAME")</f>
        <v>South Africa</v>
      </c>
      <c r="AX57" s="9" t="str">
        <f>_xll.SNL.Clients.Office.Excel.Functions.SPG(AU57, "SP_COUNTRY_NAME")</f>
        <v>#INVALID COMPANY ID</v>
      </c>
      <c r="AY57" t="s">
        <v>399</v>
      </c>
      <c r="AZ57">
        <v>4026948</v>
      </c>
      <c r="BA57" t="s">
        <v>346</v>
      </c>
      <c r="BB57" s="11">
        <v>0.01</v>
      </c>
      <c r="BC57" s="9" t="str">
        <f>_xll.SNL.Clients.Office.Excel.Functions.SPG(AZ57, "SP_COUNTRY_NAME")</f>
        <v>France</v>
      </c>
      <c r="BD57" t="s">
        <v>1400</v>
      </c>
      <c r="BE57">
        <v>4200014</v>
      </c>
      <c r="BF57" t="s">
        <v>346</v>
      </c>
      <c r="BG57" s="11">
        <v>0.2</v>
      </c>
      <c r="BH57" s="9" t="str">
        <f>_xll.SNL.Clients.Office.Excel.Functions.SPG(BE57, "SP_COUNTRY_NAME")</f>
        <v>South Africa</v>
      </c>
      <c r="BI57" t="s">
        <v>1478</v>
      </c>
      <c r="BJ57">
        <v>4339354</v>
      </c>
      <c r="BK57" t="s">
        <v>346</v>
      </c>
      <c r="BL57" s="11">
        <v>0.09</v>
      </c>
      <c r="BM57" s="9" t="str">
        <f>_xll.SNL.Clients.Office.Excel.Functions.SPG(BJ57, "SP_COUNTRY_NAME")</f>
        <v>USA</v>
      </c>
      <c r="BN57" t="s">
        <v>1235</v>
      </c>
      <c r="BO57" t="s">
        <v>300</v>
      </c>
      <c r="BP57" t="s">
        <v>361</v>
      </c>
      <c r="BQ57" s="11">
        <v>0.05</v>
      </c>
      <c r="BR57" s="9" t="str">
        <f>_xll.SNL.Clients.Office.Excel.Functions.SPG(BO57, "SP_COUNTRY_NAME")</f>
        <v>China</v>
      </c>
      <c r="BS57" t="s">
        <v>677</v>
      </c>
      <c r="BT57">
        <v>4345260</v>
      </c>
      <c r="BU57" t="s">
        <v>346</v>
      </c>
      <c r="BV57" s="11">
        <v>0.11</v>
      </c>
      <c r="BW57" s="9" t="str">
        <f>_xll.SNL.Clients.Office.Excel.Functions.SPG(BT57, "SP_COUNTRY_NAME")</f>
        <v>China</v>
      </c>
      <c r="BX57" t="s">
        <v>583</v>
      </c>
      <c r="BY57">
        <v>4579014</v>
      </c>
      <c r="BZ57" t="s">
        <v>346</v>
      </c>
      <c r="CA57" s="11">
        <v>0.12</v>
      </c>
      <c r="CB57" s="9" t="str">
        <f>_xll.SNL.Clients.Office.Excel.Functions.SPG(BY57, "SP_COUNTRY_NAME")</f>
        <v>USA</v>
      </c>
      <c r="CC57" t="s">
        <v>612</v>
      </c>
      <c r="CD57">
        <v>5805166</v>
      </c>
      <c r="CE57" t="s">
        <v>346</v>
      </c>
      <c r="CF57" s="11">
        <v>0.16</v>
      </c>
      <c r="CG57" s="9" t="str">
        <f>_xll.SNL.Clients.Office.Excel.Functions.SPG(CD57, "SP_COUNTRY_NAME")</f>
        <v>Luxembourg</v>
      </c>
      <c r="CH57" t="s">
        <v>1269</v>
      </c>
      <c r="CI57">
        <v>4840599</v>
      </c>
      <c r="CJ57" t="s">
        <v>364</v>
      </c>
      <c r="CK57" s="11">
        <v>0.12</v>
      </c>
      <c r="CL57" s="9" t="str">
        <f>_xll.SNL.Clients.Office.Excel.Functions.SPG(CI57, "SP_COUNTRY_NAME")</f>
        <v>South Africa</v>
      </c>
      <c r="CM57" t="s">
        <v>1315</v>
      </c>
      <c r="CN57">
        <v>4139315</v>
      </c>
      <c r="CO57" t="s">
        <v>346</v>
      </c>
      <c r="CP57" s="11">
        <v>0.17</v>
      </c>
      <c r="CQ57" s="9" t="str">
        <f>_xll.SNL.Clients.Office.Excel.Functions.SPG(CN57, "SP_COUNTRY_NAME")</f>
        <v>Germany</v>
      </c>
      <c r="CV57" s="9" t="str">
        <f>_xll.SNL.Clients.Office.Excel.Functions.SPG(CS57, "SP_COUNTRY_NAME")</f>
        <v>#INVALID COMPANY ID</v>
      </c>
      <c r="DA57" s="9" t="str">
        <f>_xll.SNL.Clients.Office.Excel.Functions.SPG(CX57, "SP_COUNTRY_NAME")</f>
        <v>#INVALID COMPANY ID</v>
      </c>
      <c r="DB57" t="s">
        <v>1400</v>
      </c>
      <c r="DC57">
        <v>4200014</v>
      </c>
      <c r="DD57" t="s">
        <v>346</v>
      </c>
      <c r="DE57" s="11">
        <v>0.2</v>
      </c>
      <c r="DF57" s="9" t="str">
        <f>_xll.SNL.Clients.Office.Excel.Functions.SPG(DC57, "SP_COUNTRY_NAME")</f>
        <v>South Africa</v>
      </c>
      <c r="DK57" s="9" t="str">
        <f>_xll.SNL.Clients.Office.Excel.Functions.SPG(DH57, "SP_COUNTRY_NAME")</f>
        <v>#INVALID COMPANY ID</v>
      </c>
      <c r="DL57" t="s">
        <v>1400</v>
      </c>
      <c r="DM57">
        <v>4200014</v>
      </c>
      <c r="DN57" t="s">
        <v>346</v>
      </c>
      <c r="DO57" s="11">
        <v>0.2</v>
      </c>
      <c r="DP57" s="9" t="str">
        <f>_xll.SNL.Clients.Office.Excel.Functions.SPG(DM57, "SP_COUNTRY_NAME")</f>
        <v>South Africa</v>
      </c>
      <c r="DU57" s="9" t="str">
        <f>_xll.SNL.Clients.Office.Excel.Functions.SPG(DR57, "SP_COUNTRY_NAME")</f>
        <v>#INVALID COMPANY ID</v>
      </c>
      <c r="DV57" t="s">
        <v>1199</v>
      </c>
      <c r="DW57">
        <v>4272199</v>
      </c>
      <c r="DX57" t="s">
        <v>346</v>
      </c>
      <c r="DY57" s="11">
        <v>0</v>
      </c>
      <c r="DZ57" s="9" t="str">
        <f>_xll.SNL.Clients.Office.Excel.Functions.SPG(DW57, "SP_COUNTRY_NAME")</f>
        <v>Luxembourg</v>
      </c>
      <c r="EA57" t="s">
        <v>612</v>
      </c>
      <c r="EB57">
        <v>5805166</v>
      </c>
      <c r="EC57" t="s">
        <v>346</v>
      </c>
      <c r="ED57" s="11">
        <v>0.16</v>
      </c>
      <c r="EE57" s="9" t="str">
        <f>_xll.SNL.Clients.Office.Excel.Functions.SPG(EB57, "SP_COUNTRY_NAME")</f>
        <v>Luxembourg</v>
      </c>
      <c r="EF57" t="s">
        <v>1400</v>
      </c>
      <c r="EG57">
        <v>4200014</v>
      </c>
      <c r="EH57" t="s">
        <v>346</v>
      </c>
      <c r="EI57" s="11">
        <v>0.2</v>
      </c>
      <c r="EJ57" s="9" t="str">
        <f>_xll.SNL.Clients.Office.Excel.Functions.SPG(EG57, "SP_COUNTRY_NAME")</f>
        <v>South Africa</v>
      </c>
      <c r="EO57" s="9" t="str">
        <f>_xll.SNL.Clients.Office.Excel.Functions.SPG(EL57, "SP_COUNTRY_NAME")</f>
        <v>#INVALID COMPANY ID</v>
      </c>
      <c r="EP57" t="s">
        <v>406</v>
      </c>
      <c r="EQ57">
        <v>4115698</v>
      </c>
      <c r="ER57" t="s">
        <v>346</v>
      </c>
      <c r="ES57" s="11">
        <v>0.01</v>
      </c>
      <c r="ET57" s="9" t="str">
        <f>_xll.SNL.Clients.Office.Excel.Functions.SPG(EQ57, "SP_COUNTRY_NAME")</f>
        <v>United Kingdom</v>
      </c>
      <c r="EY57" s="9" t="str">
        <f>_xll.SNL.Clients.Office.Excel.Functions.SPG(EV57, "SP_COUNTRY_NAME")</f>
        <v>#INVALID COMPANY ID</v>
      </c>
      <c r="EZ57" t="s">
        <v>1954</v>
      </c>
      <c r="FA57" t="s">
        <v>300</v>
      </c>
      <c r="FB57" t="s">
        <v>361</v>
      </c>
      <c r="FC57" s="11">
        <v>0</v>
      </c>
      <c r="FD57" s="9" t="str">
        <f>_xll.SNL.Clients.Office.Excel.Functions.SPG(FA57, "SP_COUNTRY_NAME")</f>
        <v>China</v>
      </c>
      <c r="FI57" s="9" t="str">
        <f>_xll.SNL.Clients.Office.Excel.Functions.SPG(FF57, "SP_COUNTRY_NAME")</f>
        <v>#INVALID COMPANY ID</v>
      </c>
      <c r="FJ57" t="s">
        <v>432</v>
      </c>
      <c r="FK57">
        <v>110092</v>
      </c>
      <c r="FL57" t="s">
        <v>346</v>
      </c>
      <c r="FM57" s="11">
        <v>0.04</v>
      </c>
      <c r="FN57" s="9" t="str">
        <f>_xll.SNL.Clients.Office.Excel.Functions.SPG(FK57, "SP_COUNTRY_NAME")</f>
        <v>USA</v>
      </c>
      <c r="FS57" s="9" t="str">
        <f>_xll.SNL.Clients.Office.Excel.Functions.SPG(FP57, "SP_COUNTRY_NAME")</f>
        <v>#INVALID COMPANY ID</v>
      </c>
      <c r="FT57" t="s">
        <v>417</v>
      </c>
      <c r="FU57" t="s">
        <v>300</v>
      </c>
      <c r="FV57" t="s">
        <v>361</v>
      </c>
      <c r="FW57" s="11">
        <v>0</v>
      </c>
      <c r="FX57" s="9" t="str">
        <f>_xll.SNL.Clients.Office.Excel.Functions.SPG(FU57, "SP_COUNTRY_NAME")</f>
        <v>China</v>
      </c>
      <c r="FY57" t="s">
        <v>1400</v>
      </c>
      <c r="FZ57">
        <v>4200014</v>
      </c>
      <c r="GA57" t="s">
        <v>346</v>
      </c>
      <c r="GB57" s="11">
        <v>0.2</v>
      </c>
      <c r="GC57" s="9" t="str">
        <f>_xll.SNL.Clients.Office.Excel.Functions.SPG(FZ57, "SP_COUNTRY_NAME")</f>
        <v>South Africa</v>
      </c>
      <c r="GD57" t="s">
        <v>1954</v>
      </c>
      <c r="GE57" t="s">
        <v>300</v>
      </c>
      <c r="GF57" t="s">
        <v>361</v>
      </c>
      <c r="GG57" s="11">
        <v>0</v>
      </c>
      <c r="GH57" s="9" t="str">
        <f>_xll.SNL.Clients.Office.Excel.Functions.SPG(GE57, "SP_COUNTRY_NAME")</f>
        <v>China</v>
      </c>
      <c r="GM57" s="9" t="str">
        <f>_xll.SNL.Clients.Office.Excel.Functions.SPG(GJ57, "SP_COUNTRY_NAME")</f>
        <v>#INVALID COMPANY ID</v>
      </c>
      <c r="GN57" t="s">
        <v>432</v>
      </c>
      <c r="GO57">
        <v>110092</v>
      </c>
      <c r="GP57" t="s">
        <v>346</v>
      </c>
      <c r="GQ57" s="11">
        <v>0.04</v>
      </c>
      <c r="GR57" s="9" t="str">
        <f>_xll.SNL.Clients.Office.Excel.Functions.SPG(GO57, "SP_COUNTRY_NAME")</f>
        <v>USA</v>
      </c>
      <c r="GS57" t="s">
        <v>1235</v>
      </c>
      <c r="GT57" t="s">
        <v>300</v>
      </c>
      <c r="GU57" t="s">
        <v>361</v>
      </c>
      <c r="GV57" s="11">
        <v>0.05</v>
      </c>
      <c r="GW57" s="9" t="str">
        <f>_xll.SNL.Clients.Office.Excel.Functions.SPG(GT57, "SP_COUNTRY_NAME")</f>
        <v>China</v>
      </c>
      <c r="GX57" t="s">
        <v>612</v>
      </c>
      <c r="GY57">
        <v>5805166</v>
      </c>
      <c r="GZ57" t="s">
        <v>346</v>
      </c>
      <c r="HA57" s="11">
        <v>0.16</v>
      </c>
      <c r="HB57" s="9" t="str">
        <f>_xll.SNL.Clients.Office.Excel.Functions.SPG(GY57, "SP_COUNTRY_NAME")</f>
        <v>Luxembourg</v>
      </c>
      <c r="HG57" s="9" t="str">
        <f>_xll.SNL.Clients.Office.Excel.Functions.SPG(HD57, "SP_COUNTRY_NAME")</f>
        <v>#INVALID COMPANY ID</v>
      </c>
    </row>
    <row r="58" spans="5:215" x14ac:dyDescent="0.35">
      <c r="E58" s="9" t="str">
        <f>_xll.SNL.Clients.Office.Excel.Functions.SPG(B58, "SP_COUNTRY_NAME")</f>
        <v>#INVALID COMPANY ID</v>
      </c>
      <c r="F58" t="s">
        <v>454</v>
      </c>
      <c r="G58">
        <v>4145691</v>
      </c>
      <c r="H58" t="s">
        <v>346</v>
      </c>
      <c r="I58" s="11">
        <v>0.04</v>
      </c>
      <c r="J58" s="9" t="str">
        <f>_xll.SNL.Clients.Office.Excel.Functions.SPG(G58, "SP_COUNTRY_NAME")</f>
        <v>USA</v>
      </c>
      <c r="K58" t="s">
        <v>656</v>
      </c>
      <c r="L58">
        <v>5826475</v>
      </c>
      <c r="M58" t="s">
        <v>346</v>
      </c>
      <c r="N58" s="11">
        <v>0.01</v>
      </c>
      <c r="O58" s="9" t="str">
        <f>_xll.SNL.Clients.Office.Excel.Functions.SPG(L58, "SP_COUNTRY_NAME")</f>
        <v>China</v>
      </c>
      <c r="T58" s="9" t="str">
        <f>_xll.SNL.Clients.Office.Excel.Functions.SPG(Q58, "SP_COUNTRY_NAME")</f>
        <v>#INVALID COMPANY ID</v>
      </c>
      <c r="U58" t="s">
        <v>355</v>
      </c>
      <c r="V58">
        <v>111074</v>
      </c>
      <c r="W58" t="s">
        <v>346</v>
      </c>
      <c r="X58" s="11">
        <v>0.12</v>
      </c>
      <c r="Y58" s="9" t="str">
        <f>_xll.SNL.Clients.Office.Excel.Functions.SPG(V58, "SP_COUNTRY_NAME")</f>
        <v>USA</v>
      </c>
      <c r="Z58" t="s">
        <v>656</v>
      </c>
      <c r="AA58">
        <v>5826475</v>
      </c>
      <c r="AB58" t="s">
        <v>346</v>
      </c>
      <c r="AC58" s="11">
        <v>0.01</v>
      </c>
      <c r="AD58" s="9" t="str">
        <f>_xll.SNL.Clients.Office.Excel.Functions.SPG(AA58, "SP_COUNTRY_NAME")</f>
        <v>China</v>
      </c>
      <c r="AE58" t="s">
        <v>419</v>
      </c>
      <c r="AF58">
        <v>4338202</v>
      </c>
      <c r="AG58" t="s">
        <v>346</v>
      </c>
      <c r="AH58" s="11">
        <v>0.03</v>
      </c>
      <c r="AI58" s="9" t="str">
        <f>_xll.SNL.Clients.Office.Excel.Functions.SPG(AF58, "SP_COUNTRY_NAME")</f>
        <v>USA</v>
      </c>
      <c r="AN58" s="9" t="str">
        <f>_xll.SNL.Clients.Office.Excel.Functions.SPG(AK58, "SP_COUNTRY_NAME")</f>
        <v>#INVALID COMPANY ID</v>
      </c>
      <c r="AO58" t="s">
        <v>1218</v>
      </c>
      <c r="AP58">
        <v>4423321</v>
      </c>
      <c r="AQ58" t="s">
        <v>346</v>
      </c>
      <c r="AR58" s="11">
        <v>0.11</v>
      </c>
      <c r="AS58" s="9" t="str">
        <f>_xll.SNL.Clients.Office.Excel.Functions.SPG(AP58, "SP_COUNTRY_NAME")</f>
        <v>South Africa</v>
      </c>
      <c r="AX58" s="9" t="str">
        <f>_xll.SNL.Clients.Office.Excel.Functions.SPG(AU58, "SP_COUNTRY_NAME")</f>
        <v>#INVALID COMPANY ID</v>
      </c>
      <c r="AY58" t="s">
        <v>731</v>
      </c>
      <c r="AZ58">
        <v>4417406</v>
      </c>
      <c r="BA58" t="s">
        <v>346</v>
      </c>
      <c r="BB58" s="11">
        <v>0.01</v>
      </c>
      <c r="BC58" s="9" t="str">
        <f>_xll.SNL.Clients.Office.Excel.Functions.SPG(AZ58, "SP_COUNTRY_NAME")</f>
        <v>China</v>
      </c>
      <c r="BD58" t="s">
        <v>489</v>
      </c>
      <c r="BE58">
        <v>4324456</v>
      </c>
      <c r="BF58" t="s">
        <v>346</v>
      </c>
      <c r="BG58" s="11">
        <v>0.2</v>
      </c>
      <c r="BH58" s="9" t="str">
        <f>_xll.SNL.Clients.Office.Excel.Functions.SPG(BE58, "SP_COUNTRY_NAME")</f>
        <v>Italy</v>
      </c>
      <c r="BI58" t="s">
        <v>560</v>
      </c>
      <c r="BJ58">
        <v>4095848</v>
      </c>
      <c r="BK58" t="s">
        <v>346</v>
      </c>
      <c r="BL58" s="11">
        <v>0.09</v>
      </c>
      <c r="BM58" s="9" t="str">
        <f>_xll.SNL.Clients.Office.Excel.Functions.SPG(BJ58, "SP_COUNTRY_NAME")</f>
        <v>USA</v>
      </c>
      <c r="BN58" t="s">
        <v>731</v>
      </c>
      <c r="BO58">
        <v>4417406</v>
      </c>
      <c r="BP58" t="s">
        <v>346</v>
      </c>
      <c r="BQ58" s="11">
        <v>0.05</v>
      </c>
      <c r="BR58" s="9" t="str">
        <f>_xll.SNL.Clients.Office.Excel.Functions.SPG(BO58, "SP_COUNTRY_NAME")</f>
        <v>China</v>
      </c>
      <c r="BS58" t="s">
        <v>726</v>
      </c>
      <c r="BT58">
        <v>4137941</v>
      </c>
      <c r="BU58" t="s">
        <v>346</v>
      </c>
      <c r="BV58" s="11">
        <v>0.1</v>
      </c>
      <c r="BW58" s="9" t="str">
        <f>_xll.SNL.Clients.Office.Excel.Functions.SPG(BT58, "SP_COUNTRY_NAME")</f>
        <v>China</v>
      </c>
      <c r="BX58" t="s">
        <v>355</v>
      </c>
      <c r="BY58">
        <v>111074</v>
      </c>
      <c r="BZ58" t="s">
        <v>346</v>
      </c>
      <c r="CA58" s="11">
        <v>0.12</v>
      </c>
      <c r="CB58" s="9" t="str">
        <f>_xll.SNL.Clients.Office.Excel.Functions.SPG(BY58, "SP_COUNTRY_NAME")</f>
        <v>USA</v>
      </c>
      <c r="CC58" t="s">
        <v>432</v>
      </c>
      <c r="CD58">
        <v>110092</v>
      </c>
      <c r="CE58" t="s">
        <v>346</v>
      </c>
      <c r="CF58" s="11">
        <v>0.16</v>
      </c>
      <c r="CG58" s="9" t="str">
        <f>_xll.SNL.Clients.Office.Excel.Functions.SPG(CD58, "SP_COUNTRY_NAME")</f>
        <v>USA</v>
      </c>
      <c r="CH58" t="s">
        <v>1218</v>
      </c>
      <c r="CI58">
        <v>4423321</v>
      </c>
      <c r="CJ58" t="s">
        <v>346</v>
      </c>
      <c r="CK58" s="11">
        <v>0.11</v>
      </c>
      <c r="CL58" s="9" t="str">
        <f>_xll.SNL.Clients.Office.Excel.Functions.SPG(CI58, "SP_COUNTRY_NAME")</f>
        <v>South Africa</v>
      </c>
      <c r="CM58" t="s">
        <v>1266</v>
      </c>
      <c r="CN58">
        <v>5842278</v>
      </c>
      <c r="CO58" t="s">
        <v>346</v>
      </c>
      <c r="CP58" s="11">
        <v>0.16</v>
      </c>
      <c r="CQ58" s="9" t="str">
        <f>_xll.SNL.Clients.Office.Excel.Functions.SPG(CN58, "SP_COUNTRY_NAME")</f>
        <v>South Africa</v>
      </c>
      <c r="CV58" s="9" t="str">
        <f>_xll.SNL.Clients.Office.Excel.Functions.SPG(CS58, "SP_COUNTRY_NAME")</f>
        <v>#INVALID COMPANY ID</v>
      </c>
      <c r="DA58" s="9" t="str">
        <f>_xll.SNL.Clients.Office.Excel.Functions.SPG(CX58, "SP_COUNTRY_NAME")</f>
        <v>#INVALID COMPANY ID</v>
      </c>
      <c r="DB58" t="s">
        <v>489</v>
      </c>
      <c r="DC58">
        <v>4324456</v>
      </c>
      <c r="DD58" t="s">
        <v>346</v>
      </c>
      <c r="DE58" s="11">
        <v>0.2</v>
      </c>
      <c r="DF58" s="9" t="str">
        <f>_xll.SNL.Clients.Office.Excel.Functions.SPG(DC58, "SP_COUNTRY_NAME")</f>
        <v>Italy</v>
      </c>
      <c r="DK58" s="9" t="str">
        <f>_xll.SNL.Clients.Office.Excel.Functions.SPG(DH58, "SP_COUNTRY_NAME")</f>
        <v>#INVALID COMPANY ID</v>
      </c>
      <c r="DL58" t="s">
        <v>489</v>
      </c>
      <c r="DM58">
        <v>4324456</v>
      </c>
      <c r="DN58" t="s">
        <v>346</v>
      </c>
      <c r="DO58" s="11">
        <v>0.2</v>
      </c>
      <c r="DP58" s="9" t="str">
        <f>_xll.SNL.Clients.Office.Excel.Functions.SPG(DM58, "SP_COUNTRY_NAME")</f>
        <v>Italy</v>
      </c>
      <c r="DU58" s="9" t="str">
        <f>_xll.SNL.Clients.Office.Excel.Functions.SPG(DR58, "SP_COUNTRY_NAME")</f>
        <v>#INVALID COMPANY ID</v>
      </c>
      <c r="DV58" t="s">
        <v>480</v>
      </c>
      <c r="DW58">
        <v>4119651</v>
      </c>
      <c r="DX58" t="s">
        <v>346</v>
      </c>
      <c r="DY58" s="11">
        <v>0</v>
      </c>
      <c r="DZ58" s="9" t="str">
        <f>_xll.SNL.Clients.Office.Excel.Functions.SPG(DW58, "SP_COUNTRY_NAME")</f>
        <v>USA</v>
      </c>
      <c r="EA58" t="s">
        <v>432</v>
      </c>
      <c r="EB58">
        <v>110092</v>
      </c>
      <c r="EC58" t="s">
        <v>346</v>
      </c>
      <c r="ED58" s="11">
        <v>0.16</v>
      </c>
      <c r="EE58" s="9" t="str">
        <f>_xll.SNL.Clients.Office.Excel.Functions.SPG(EB58, "SP_COUNTRY_NAME")</f>
        <v>USA</v>
      </c>
      <c r="EF58" t="s">
        <v>489</v>
      </c>
      <c r="EG58">
        <v>4324456</v>
      </c>
      <c r="EH58" t="s">
        <v>346</v>
      </c>
      <c r="EI58" s="11">
        <v>0.2</v>
      </c>
      <c r="EJ58" s="9" t="str">
        <f>_xll.SNL.Clients.Office.Excel.Functions.SPG(EG58, "SP_COUNTRY_NAME")</f>
        <v>Italy</v>
      </c>
      <c r="EO58" s="9" t="str">
        <f>_xll.SNL.Clients.Office.Excel.Functions.SPG(EL58, "SP_COUNTRY_NAME")</f>
        <v>#INVALID COMPANY ID</v>
      </c>
      <c r="EP58" t="s">
        <v>647</v>
      </c>
      <c r="EQ58">
        <v>4556995</v>
      </c>
      <c r="ER58" t="s">
        <v>346</v>
      </c>
      <c r="ES58" s="11">
        <v>0.01</v>
      </c>
      <c r="ET58" s="9" t="str">
        <f>_xll.SNL.Clients.Office.Excel.Functions.SPG(EQ58, "SP_COUNTRY_NAME")</f>
        <v>China</v>
      </c>
      <c r="EY58" s="9" t="str">
        <f>_xll.SNL.Clients.Office.Excel.Functions.SPG(EV58, "SP_COUNTRY_NAME")</f>
        <v>#INVALID COMPANY ID</v>
      </c>
      <c r="EZ58" t="s">
        <v>1955</v>
      </c>
      <c r="FA58" t="s">
        <v>300</v>
      </c>
      <c r="FB58" t="s">
        <v>361</v>
      </c>
      <c r="FC58" s="11">
        <v>0</v>
      </c>
      <c r="FD58" s="9" t="str">
        <f>_xll.SNL.Clients.Office.Excel.Functions.SPG(FA58, "SP_COUNTRY_NAME")</f>
        <v>China</v>
      </c>
      <c r="FI58" s="9" t="str">
        <f>_xll.SNL.Clients.Office.Excel.Functions.SPG(FF58, "SP_COUNTRY_NAME")</f>
        <v>#INVALID COMPANY ID</v>
      </c>
      <c r="FJ58" t="s">
        <v>378</v>
      </c>
      <c r="FK58">
        <v>4048184</v>
      </c>
      <c r="FL58" t="s">
        <v>346</v>
      </c>
      <c r="FM58" s="11">
        <v>0.04</v>
      </c>
      <c r="FN58" s="9" t="str">
        <f>_xll.SNL.Clients.Office.Excel.Functions.SPG(FK58, "SP_COUNTRY_NAME")</f>
        <v>Canada</v>
      </c>
      <c r="FS58" s="9" t="str">
        <f>_xll.SNL.Clients.Office.Excel.Functions.SPG(FP58, "SP_COUNTRY_NAME")</f>
        <v>#INVALID COMPANY ID</v>
      </c>
      <c r="FT58" t="s">
        <v>418</v>
      </c>
      <c r="FU58">
        <v>109776</v>
      </c>
      <c r="FV58" t="s">
        <v>346</v>
      </c>
      <c r="FW58" s="11">
        <v>0</v>
      </c>
      <c r="FX58" s="9" t="str">
        <f>_xll.SNL.Clients.Office.Excel.Functions.SPG(FU58, "SP_COUNTRY_NAME")</f>
        <v>USA</v>
      </c>
      <c r="FY58" t="s">
        <v>489</v>
      </c>
      <c r="FZ58">
        <v>4324456</v>
      </c>
      <c r="GA58" t="s">
        <v>346</v>
      </c>
      <c r="GB58" s="11">
        <v>0.2</v>
      </c>
      <c r="GC58" s="9" t="str">
        <f>_xll.SNL.Clients.Office.Excel.Functions.SPG(FZ58, "SP_COUNTRY_NAME")</f>
        <v>Italy</v>
      </c>
      <c r="GD58" t="s">
        <v>1955</v>
      </c>
      <c r="GE58" t="s">
        <v>300</v>
      </c>
      <c r="GF58" t="s">
        <v>361</v>
      </c>
      <c r="GG58" s="11">
        <v>0</v>
      </c>
      <c r="GH58" s="9" t="str">
        <f>_xll.SNL.Clients.Office.Excel.Functions.SPG(GE58, "SP_COUNTRY_NAME")</f>
        <v>China</v>
      </c>
      <c r="GM58" s="9" t="str">
        <f>_xll.SNL.Clients.Office.Excel.Functions.SPG(GJ58, "SP_COUNTRY_NAME")</f>
        <v>#INVALID COMPANY ID</v>
      </c>
      <c r="GN58" t="s">
        <v>378</v>
      </c>
      <c r="GO58">
        <v>4048184</v>
      </c>
      <c r="GP58" t="s">
        <v>346</v>
      </c>
      <c r="GQ58" s="11">
        <v>0.04</v>
      </c>
      <c r="GR58" s="9" t="str">
        <f>_xll.SNL.Clients.Office.Excel.Functions.SPG(GO58, "SP_COUNTRY_NAME")</f>
        <v>Canada</v>
      </c>
      <c r="GS58" t="s">
        <v>731</v>
      </c>
      <c r="GT58">
        <v>4417406</v>
      </c>
      <c r="GU58" t="s">
        <v>346</v>
      </c>
      <c r="GV58" s="11">
        <v>0.05</v>
      </c>
      <c r="GW58" s="9" t="str">
        <f>_xll.SNL.Clients.Office.Excel.Functions.SPG(GT58, "SP_COUNTRY_NAME")</f>
        <v>China</v>
      </c>
      <c r="GX58" t="s">
        <v>432</v>
      </c>
      <c r="GY58">
        <v>110092</v>
      </c>
      <c r="GZ58" t="s">
        <v>346</v>
      </c>
      <c r="HA58" s="11">
        <v>0.16</v>
      </c>
      <c r="HB58" s="9" t="str">
        <f>_xll.SNL.Clients.Office.Excel.Functions.SPG(GY58, "SP_COUNTRY_NAME")</f>
        <v>USA</v>
      </c>
      <c r="HG58" s="9" t="str">
        <f>_xll.SNL.Clients.Office.Excel.Functions.SPG(HD58, "SP_COUNTRY_NAME")</f>
        <v>#INVALID COMPANY ID</v>
      </c>
    </row>
    <row r="59" spans="5:215" x14ac:dyDescent="0.35">
      <c r="E59" s="9" t="str">
        <f>_xll.SNL.Clients.Office.Excel.Functions.SPG(B59, "SP_COUNTRY_NAME")</f>
        <v>#INVALID COMPANY ID</v>
      </c>
      <c r="F59" t="s">
        <v>455</v>
      </c>
      <c r="G59">
        <v>4119538</v>
      </c>
      <c r="H59" t="s">
        <v>364</v>
      </c>
      <c r="I59" s="11">
        <v>0.04</v>
      </c>
      <c r="J59" s="9" t="str">
        <f>_xll.SNL.Clients.Office.Excel.Functions.SPG(G59, "SP_COUNTRY_NAME")</f>
        <v>USA</v>
      </c>
      <c r="K59" t="s">
        <v>452</v>
      </c>
      <c r="L59">
        <v>4784107</v>
      </c>
      <c r="M59" t="s">
        <v>346</v>
      </c>
      <c r="N59" s="11">
        <v>0.01</v>
      </c>
      <c r="O59" s="9" t="str">
        <f>_xll.SNL.Clients.Office.Excel.Functions.SPG(L59, "SP_COUNTRY_NAME")</f>
        <v>France</v>
      </c>
      <c r="T59" s="9" t="str">
        <f>_xll.SNL.Clients.Office.Excel.Functions.SPG(Q59, "SP_COUNTRY_NAME")</f>
        <v>#INVALID COMPANY ID</v>
      </c>
      <c r="U59" t="s">
        <v>673</v>
      </c>
      <c r="V59">
        <v>5837129</v>
      </c>
      <c r="W59" t="s">
        <v>346</v>
      </c>
      <c r="X59" s="11">
        <v>0.12</v>
      </c>
      <c r="Y59" s="9" t="str">
        <f>_xll.SNL.Clients.Office.Excel.Functions.SPG(V59, "SP_COUNTRY_NAME")</f>
        <v>China</v>
      </c>
      <c r="Z59" t="s">
        <v>452</v>
      </c>
      <c r="AA59">
        <v>4784107</v>
      </c>
      <c r="AB59" t="s">
        <v>346</v>
      </c>
      <c r="AC59" s="11">
        <v>0.01</v>
      </c>
      <c r="AD59" s="9" t="str">
        <f>_xll.SNL.Clients.Office.Excel.Functions.SPG(AA59, "SP_COUNTRY_NAME")</f>
        <v>France</v>
      </c>
      <c r="AE59" t="s">
        <v>1120</v>
      </c>
      <c r="AF59">
        <v>4724324</v>
      </c>
      <c r="AG59" t="s">
        <v>346</v>
      </c>
      <c r="AH59" s="11">
        <v>0.03</v>
      </c>
      <c r="AI59" s="9" t="str">
        <f>_xll.SNL.Clients.Office.Excel.Functions.SPG(AF59, "SP_COUNTRY_NAME")</f>
        <v>USA</v>
      </c>
      <c r="AN59" s="9" t="str">
        <f>_xll.SNL.Clients.Office.Excel.Functions.SPG(AK59, "SP_COUNTRY_NAME")</f>
        <v>#INVALID COMPANY ID</v>
      </c>
      <c r="AO59" t="s">
        <v>560</v>
      </c>
      <c r="AP59">
        <v>4095848</v>
      </c>
      <c r="AQ59" t="s">
        <v>346</v>
      </c>
      <c r="AR59" s="11">
        <v>0.1</v>
      </c>
      <c r="AS59" s="9" t="str">
        <f>_xll.SNL.Clients.Office.Excel.Functions.SPG(AP59, "SP_COUNTRY_NAME")</f>
        <v>USA</v>
      </c>
      <c r="AX59" s="9" t="str">
        <f>_xll.SNL.Clients.Office.Excel.Functions.SPG(AU59, "SP_COUNTRY_NAME")</f>
        <v>#INVALID COMPANY ID</v>
      </c>
      <c r="AY59" t="s">
        <v>394</v>
      </c>
      <c r="AZ59">
        <v>4048695</v>
      </c>
      <c r="BA59" t="s">
        <v>346</v>
      </c>
      <c r="BB59" s="11">
        <v>0.01</v>
      </c>
      <c r="BC59" s="9" t="str">
        <f>_xll.SNL.Clients.Office.Excel.Functions.SPG(AZ59, "SP_COUNTRY_NAME")</f>
        <v>USA</v>
      </c>
      <c r="BD59" t="s">
        <v>411</v>
      </c>
      <c r="BE59">
        <v>4272373</v>
      </c>
      <c r="BF59" t="s">
        <v>346</v>
      </c>
      <c r="BG59" s="11">
        <v>0.2</v>
      </c>
      <c r="BH59" s="9" t="str">
        <f>_xll.SNL.Clients.Office.Excel.Functions.SPG(BE59, "SP_COUNTRY_NAME")</f>
        <v>United Kingdom</v>
      </c>
      <c r="BI59" t="s">
        <v>583</v>
      </c>
      <c r="BJ59">
        <v>4579014</v>
      </c>
      <c r="BK59" t="s">
        <v>346</v>
      </c>
      <c r="BL59" s="11">
        <v>0.08</v>
      </c>
      <c r="BM59" s="9" t="str">
        <f>_xll.SNL.Clients.Office.Excel.Functions.SPG(BJ59, "SP_COUNTRY_NAME")</f>
        <v>USA</v>
      </c>
      <c r="BN59" t="s">
        <v>679</v>
      </c>
      <c r="BO59">
        <v>4138221</v>
      </c>
      <c r="BP59" t="s">
        <v>346</v>
      </c>
      <c r="BQ59" s="11">
        <v>0.05</v>
      </c>
      <c r="BR59" s="9" t="str">
        <f>_xll.SNL.Clients.Office.Excel.Functions.SPG(BO59, "SP_COUNTRY_NAME")</f>
        <v>China</v>
      </c>
      <c r="BS59" t="s">
        <v>415</v>
      </c>
      <c r="BT59">
        <v>110587</v>
      </c>
      <c r="BU59" t="s">
        <v>346</v>
      </c>
      <c r="BV59" s="11">
        <v>0.1</v>
      </c>
      <c r="BW59" s="9" t="str">
        <f>_xll.SNL.Clients.Office.Excel.Functions.SPG(BT59, "SP_COUNTRY_NAME")</f>
        <v>USA</v>
      </c>
      <c r="BX59" t="s">
        <v>673</v>
      </c>
      <c r="BY59">
        <v>5837129</v>
      </c>
      <c r="BZ59" t="s">
        <v>346</v>
      </c>
      <c r="CA59" s="11">
        <v>0.12</v>
      </c>
      <c r="CB59" s="9" t="str">
        <f>_xll.SNL.Clients.Office.Excel.Functions.SPG(BY59, "SP_COUNTRY_NAME")</f>
        <v>China</v>
      </c>
      <c r="CC59" t="s">
        <v>816</v>
      </c>
      <c r="CD59">
        <v>4187337</v>
      </c>
      <c r="CE59" t="s">
        <v>364</v>
      </c>
      <c r="CF59" s="11">
        <v>0.16</v>
      </c>
      <c r="CG59" s="9" t="str">
        <f>_xll.SNL.Clients.Office.Excel.Functions.SPG(CD59, "SP_COUNTRY_NAME")</f>
        <v>Spain</v>
      </c>
      <c r="CH59" t="s">
        <v>560</v>
      </c>
      <c r="CI59">
        <v>4095848</v>
      </c>
      <c r="CJ59" t="s">
        <v>346</v>
      </c>
      <c r="CK59" s="11">
        <v>0.1</v>
      </c>
      <c r="CL59" s="9" t="str">
        <f>_xll.SNL.Clients.Office.Excel.Functions.SPG(CI59, "SP_COUNTRY_NAME")</f>
        <v>USA</v>
      </c>
      <c r="CM59" t="s">
        <v>926</v>
      </c>
      <c r="CN59">
        <v>4140566</v>
      </c>
      <c r="CO59" t="s">
        <v>346</v>
      </c>
      <c r="CP59" s="11">
        <v>0.15</v>
      </c>
      <c r="CQ59" s="9" t="str">
        <f>_xll.SNL.Clients.Office.Excel.Functions.SPG(CN59, "SP_COUNTRY_NAME")</f>
        <v>South Africa</v>
      </c>
      <c r="CV59" s="9" t="str">
        <f>_xll.SNL.Clients.Office.Excel.Functions.SPG(CS59, "SP_COUNTRY_NAME")</f>
        <v>#INVALID COMPANY ID</v>
      </c>
      <c r="DA59" s="9" t="str">
        <f>_xll.SNL.Clients.Office.Excel.Functions.SPG(CX59, "SP_COUNTRY_NAME")</f>
        <v>#INVALID COMPANY ID</v>
      </c>
      <c r="DB59" t="s">
        <v>411</v>
      </c>
      <c r="DC59">
        <v>4272373</v>
      </c>
      <c r="DD59" t="s">
        <v>346</v>
      </c>
      <c r="DE59" s="11">
        <v>0.2</v>
      </c>
      <c r="DF59" s="9" t="str">
        <f>_xll.SNL.Clients.Office.Excel.Functions.SPG(DC59, "SP_COUNTRY_NAME")</f>
        <v>United Kingdom</v>
      </c>
      <c r="DK59" s="9" t="str">
        <f>_xll.SNL.Clients.Office.Excel.Functions.SPG(DH59, "SP_COUNTRY_NAME")</f>
        <v>#INVALID COMPANY ID</v>
      </c>
      <c r="DL59" t="s">
        <v>411</v>
      </c>
      <c r="DM59">
        <v>4272373</v>
      </c>
      <c r="DN59" t="s">
        <v>346</v>
      </c>
      <c r="DO59" s="11">
        <v>0.2</v>
      </c>
      <c r="DP59" s="9" t="str">
        <f>_xll.SNL.Clients.Office.Excel.Functions.SPG(DM59, "SP_COUNTRY_NAME")</f>
        <v>United Kingdom</v>
      </c>
      <c r="DU59" s="9" t="str">
        <f>_xll.SNL.Clients.Office.Excel.Functions.SPG(DR59, "SP_COUNTRY_NAME")</f>
        <v>#INVALID COMPANY ID</v>
      </c>
      <c r="DV59" t="s">
        <v>1147</v>
      </c>
      <c r="DW59">
        <v>4187733</v>
      </c>
      <c r="DX59" t="s">
        <v>346</v>
      </c>
      <c r="DY59" s="11">
        <v>0</v>
      </c>
      <c r="DZ59" s="9" t="str">
        <f>_xll.SNL.Clients.Office.Excel.Functions.SPG(DW59, "SP_COUNTRY_NAME")</f>
        <v>Switzerland</v>
      </c>
      <c r="EA59" t="s">
        <v>816</v>
      </c>
      <c r="EB59">
        <v>4187337</v>
      </c>
      <c r="EC59" t="s">
        <v>364</v>
      </c>
      <c r="ED59" s="11">
        <v>0.16</v>
      </c>
      <c r="EE59" s="9" t="str">
        <f>_xll.SNL.Clients.Office.Excel.Functions.SPG(EB59, "SP_COUNTRY_NAME")</f>
        <v>Spain</v>
      </c>
      <c r="EF59" t="s">
        <v>411</v>
      </c>
      <c r="EG59">
        <v>4272373</v>
      </c>
      <c r="EH59" t="s">
        <v>346</v>
      </c>
      <c r="EI59" s="11">
        <v>0.2</v>
      </c>
      <c r="EJ59" s="9" t="str">
        <f>_xll.SNL.Clients.Office.Excel.Functions.SPG(EG59, "SP_COUNTRY_NAME")</f>
        <v>United Kingdom</v>
      </c>
      <c r="EO59" s="9" t="str">
        <f>_xll.SNL.Clients.Office.Excel.Functions.SPG(EL59, "SP_COUNTRY_NAME")</f>
        <v>#INVALID COMPANY ID</v>
      </c>
      <c r="EP59" t="s">
        <v>425</v>
      </c>
      <c r="EQ59">
        <v>4137704</v>
      </c>
      <c r="ER59" t="s">
        <v>346</v>
      </c>
      <c r="ES59" s="11">
        <v>0.01</v>
      </c>
      <c r="ET59" s="9" t="str">
        <f>_xll.SNL.Clients.Office.Excel.Functions.SPG(EQ59, "SP_COUNTRY_NAME")</f>
        <v>Japan</v>
      </c>
      <c r="EY59" s="9" t="str">
        <f>_xll.SNL.Clients.Office.Excel.Functions.SPG(EV59, "SP_COUNTRY_NAME")</f>
        <v>#INVALID COMPANY ID</v>
      </c>
      <c r="EZ59" t="s">
        <v>1956</v>
      </c>
      <c r="FA59" t="s">
        <v>300</v>
      </c>
      <c r="FB59" t="s">
        <v>361</v>
      </c>
      <c r="FC59" s="11">
        <v>0</v>
      </c>
      <c r="FD59" s="9" t="str">
        <f>_xll.SNL.Clients.Office.Excel.Functions.SPG(FA59, "SP_COUNTRY_NAME")</f>
        <v>China</v>
      </c>
      <c r="FI59" s="9" t="str">
        <f>_xll.SNL.Clients.Office.Excel.Functions.SPG(FF59, "SP_COUNTRY_NAME")</f>
        <v>#INVALID COMPANY ID</v>
      </c>
      <c r="FJ59" t="s">
        <v>1466</v>
      </c>
      <c r="FK59">
        <v>4139354</v>
      </c>
      <c r="FL59" t="s">
        <v>346</v>
      </c>
      <c r="FM59" s="11">
        <v>0.03</v>
      </c>
      <c r="FN59" s="9" t="str">
        <f>_xll.SNL.Clients.Office.Excel.Functions.SPG(FK59, "SP_COUNTRY_NAME")</f>
        <v>United Kingdom</v>
      </c>
      <c r="FS59" s="9" t="str">
        <f>_xll.SNL.Clients.Office.Excel.Functions.SPG(FP59, "SP_COUNTRY_NAME")</f>
        <v>#INVALID COMPANY ID</v>
      </c>
      <c r="FT59" t="s">
        <v>419</v>
      </c>
      <c r="FU59">
        <v>4338202</v>
      </c>
      <c r="FV59" t="s">
        <v>346</v>
      </c>
      <c r="FW59" s="11">
        <v>0</v>
      </c>
      <c r="FX59" s="9" t="str">
        <f>_xll.SNL.Clients.Office.Excel.Functions.SPG(FU59, "SP_COUNTRY_NAME")</f>
        <v>USA</v>
      </c>
      <c r="FY59" t="s">
        <v>411</v>
      </c>
      <c r="FZ59">
        <v>4272373</v>
      </c>
      <c r="GA59" t="s">
        <v>346</v>
      </c>
      <c r="GB59" s="11">
        <v>0.2</v>
      </c>
      <c r="GC59" s="9" t="str">
        <f>_xll.SNL.Clients.Office.Excel.Functions.SPG(FZ59, "SP_COUNTRY_NAME")</f>
        <v>United Kingdom</v>
      </c>
      <c r="GD59" t="s">
        <v>1956</v>
      </c>
      <c r="GE59" t="s">
        <v>300</v>
      </c>
      <c r="GF59" t="s">
        <v>361</v>
      </c>
      <c r="GG59" s="11">
        <v>0</v>
      </c>
      <c r="GH59" s="9" t="str">
        <f>_xll.SNL.Clients.Office.Excel.Functions.SPG(GE59, "SP_COUNTRY_NAME")</f>
        <v>China</v>
      </c>
      <c r="GM59" s="9" t="str">
        <f>_xll.SNL.Clients.Office.Excel.Functions.SPG(GJ59, "SP_COUNTRY_NAME")</f>
        <v>#INVALID COMPANY ID</v>
      </c>
      <c r="GN59" t="s">
        <v>1466</v>
      </c>
      <c r="GO59">
        <v>4139354</v>
      </c>
      <c r="GP59" t="s">
        <v>346</v>
      </c>
      <c r="GQ59" s="11">
        <v>0.03</v>
      </c>
      <c r="GR59" s="9" t="str">
        <f>_xll.SNL.Clients.Office.Excel.Functions.SPG(GO59, "SP_COUNTRY_NAME")</f>
        <v>United Kingdom</v>
      </c>
      <c r="GS59" t="s">
        <v>679</v>
      </c>
      <c r="GT59">
        <v>4138221</v>
      </c>
      <c r="GU59" t="s">
        <v>346</v>
      </c>
      <c r="GV59" s="11">
        <v>0.05</v>
      </c>
      <c r="GW59" s="9" t="str">
        <f>_xll.SNL.Clients.Office.Excel.Functions.SPG(GT59, "SP_COUNTRY_NAME")</f>
        <v>China</v>
      </c>
      <c r="GX59" t="s">
        <v>816</v>
      </c>
      <c r="GY59">
        <v>4187337</v>
      </c>
      <c r="GZ59" t="s">
        <v>364</v>
      </c>
      <c r="HA59" s="11">
        <v>0.16</v>
      </c>
      <c r="HB59" s="9" t="str">
        <f>_xll.SNL.Clients.Office.Excel.Functions.SPG(GY59, "SP_COUNTRY_NAME")</f>
        <v>Spain</v>
      </c>
      <c r="HG59" s="9" t="str">
        <f>_xll.SNL.Clients.Office.Excel.Functions.SPG(HD59, "SP_COUNTRY_NAME")</f>
        <v>#INVALID COMPANY ID</v>
      </c>
    </row>
    <row r="60" spans="5:215" x14ac:dyDescent="0.35">
      <c r="E60" s="9" t="str">
        <f>_xll.SNL.Clients.Office.Excel.Functions.SPG(B60, "SP_COUNTRY_NAME")</f>
        <v>#INVALID COMPANY ID</v>
      </c>
      <c r="F60" t="s">
        <v>400</v>
      </c>
      <c r="G60">
        <v>7834181</v>
      </c>
      <c r="H60" t="s">
        <v>346</v>
      </c>
      <c r="I60" s="11">
        <v>0.04</v>
      </c>
      <c r="J60" s="9" t="str">
        <f>_xll.SNL.Clients.Office.Excel.Functions.SPG(G60, "SP_COUNTRY_NAME")</f>
        <v>United Kingdom</v>
      </c>
      <c r="K60" t="s">
        <v>657</v>
      </c>
      <c r="L60">
        <v>5851513</v>
      </c>
      <c r="M60" t="s">
        <v>346</v>
      </c>
      <c r="N60" s="11">
        <v>0.01</v>
      </c>
      <c r="O60" s="9" t="str">
        <f>_xll.SNL.Clients.Office.Excel.Functions.SPG(L60, "SP_COUNTRY_NAME")</f>
        <v>Canada</v>
      </c>
      <c r="T60" s="9" t="str">
        <f>_xll.SNL.Clients.Office.Excel.Functions.SPG(Q60, "SP_COUNTRY_NAME")</f>
        <v>#INVALID COMPANY ID</v>
      </c>
      <c r="U60" t="s">
        <v>726</v>
      </c>
      <c r="V60">
        <v>4137941</v>
      </c>
      <c r="W60" t="s">
        <v>346</v>
      </c>
      <c r="X60" s="11">
        <v>0.12</v>
      </c>
      <c r="Y60" s="9" t="str">
        <f>_xll.SNL.Clients.Office.Excel.Functions.SPG(V60, "SP_COUNTRY_NAME")</f>
        <v>China</v>
      </c>
      <c r="Z60" t="s">
        <v>657</v>
      </c>
      <c r="AA60">
        <v>5851513</v>
      </c>
      <c r="AB60" t="s">
        <v>346</v>
      </c>
      <c r="AC60" s="11">
        <v>0.01</v>
      </c>
      <c r="AD60" s="9" t="str">
        <f>_xll.SNL.Clients.Office.Excel.Functions.SPG(AA60, "SP_COUNTRY_NAME")</f>
        <v>Canada</v>
      </c>
      <c r="AE60" t="s">
        <v>971</v>
      </c>
      <c r="AF60">
        <v>4042808</v>
      </c>
      <c r="AG60" t="s">
        <v>346</v>
      </c>
      <c r="AH60" s="11">
        <v>0.03</v>
      </c>
      <c r="AI60" s="9" t="str">
        <f>_xll.SNL.Clients.Office.Excel.Functions.SPG(AF60, "SP_COUNTRY_NAME")</f>
        <v>USA</v>
      </c>
      <c r="AN60" s="9" t="str">
        <f>_xll.SNL.Clients.Office.Excel.Functions.SPG(AK60, "SP_COUNTRY_NAME")</f>
        <v>#INVALID COMPANY ID</v>
      </c>
      <c r="AO60" t="s">
        <v>412</v>
      </c>
      <c r="AP60">
        <v>109687</v>
      </c>
      <c r="AQ60" t="s">
        <v>346</v>
      </c>
      <c r="AR60" s="11">
        <v>0.1</v>
      </c>
      <c r="AS60" s="9" t="str">
        <f>_xll.SNL.Clients.Office.Excel.Functions.SPG(AP60, "SP_COUNTRY_NAME")</f>
        <v>USA</v>
      </c>
      <c r="AX60" s="9" t="str">
        <f>_xll.SNL.Clients.Office.Excel.Functions.SPG(AU60, "SP_COUNTRY_NAME")</f>
        <v>#INVALID COMPANY ID</v>
      </c>
      <c r="AY60" t="s">
        <v>415</v>
      </c>
      <c r="AZ60">
        <v>110587</v>
      </c>
      <c r="BA60" t="s">
        <v>346</v>
      </c>
      <c r="BB60" s="11">
        <v>0.01</v>
      </c>
      <c r="BC60" s="9" t="str">
        <f>_xll.SNL.Clients.Office.Excel.Functions.SPG(AZ60, "SP_COUNTRY_NAME")</f>
        <v>USA</v>
      </c>
      <c r="BD60" t="s">
        <v>1401</v>
      </c>
      <c r="BE60">
        <v>142997618</v>
      </c>
      <c r="BF60" t="s">
        <v>690</v>
      </c>
      <c r="BG60" s="11">
        <v>0.19</v>
      </c>
      <c r="BH60" s="9" t="str">
        <f>_xll.SNL.Clients.Office.Excel.Functions.SPG(BE60, "SP_COUNTRY_NAME")</f>
        <v>#INVALID COMPANY ID</v>
      </c>
      <c r="BI60" t="s">
        <v>1560</v>
      </c>
      <c r="BJ60">
        <v>10351221</v>
      </c>
      <c r="BK60" t="s">
        <v>346</v>
      </c>
      <c r="BL60" s="11">
        <v>0.08</v>
      </c>
      <c r="BM60" s="9" t="str">
        <f>_xll.SNL.Clients.Office.Excel.Functions.SPG(BJ60, "SP_COUNTRY_NAME")</f>
        <v>Germany</v>
      </c>
      <c r="BN60" t="s">
        <v>650</v>
      </c>
      <c r="BO60">
        <v>4550448</v>
      </c>
      <c r="BP60" t="s">
        <v>346</v>
      </c>
      <c r="BQ60" s="11">
        <v>0.05</v>
      </c>
      <c r="BR60" s="9" t="str">
        <f>_xll.SNL.Clients.Office.Excel.Functions.SPG(BO60, "SP_COUNTRY_NAME")</f>
        <v>China</v>
      </c>
      <c r="BS60" t="s">
        <v>952</v>
      </c>
      <c r="BT60">
        <v>4244140</v>
      </c>
      <c r="BU60" t="s">
        <v>346</v>
      </c>
      <c r="BV60" s="11">
        <v>0.1</v>
      </c>
      <c r="BW60" s="9" t="str">
        <f>_xll.SNL.Clients.Office.Excel.Functions.SPG(BT60, "SP_COUNTRY_NAME")</f>
        <v>USA</v>
      </c>
      <c r="BX60" t="s">
        <v>726</v>
      </c>
      <c r="BY60">
        <v>4137941</v>
      </c>
      <c r="BZ60" t="s">
        <v>346</v>
      </c>
      <c r="CA60" s="11">
        <v>0.12</v>
      </c>
      <c r="CB60" s="9" t="str">
        <f>_xll.SNL.Clients.Office.Excel.Functions.SPG(BY60, "SP_COUNTRY_NAME")</f>
        <v>China</v>
      </c>
      <c r="CC60" t="s">
        <v>468</v>
      </c>
      <c r="CD60">
        <v>4556191</v>
      </c>
      <c r="CE60" t="s">
        <v>346</v>
      </c>
      <c r="CF60" s="11">
        <v>0.15</v>
      </c>
      <c r="CG60" s="9" t="str">
        <f>_xll.SNL.Clients.Office.Excel.Functions.SPG(CD60, "SP_COUNTRY_NAME")</f>
        <v>USA</v>
      </c>
      <c r="CH60" t="s">
        <v>412</v>
      </c>
      <c r="CI60">
        <v>109687</v>
      </c>
      <c r="CJ60" t="s">
        <v>346</v>
      </c>
      <c r="CK60" s="11">
        <v>0.1</v>
      </c>
      <c r="CL60" s="9" t="str">
        <f>_xll.SNL.Clients.Office.Excel.Functions.SPG(CI60, "SP_COUNTRY_NAME")</f>
        <v>USA</v>
      </c>
      <c r="CM60" t="s">
        <v>612</v>
      </c>
      <c r="CN60">
        <v>5805166</v>
      </c>
      <c r="CO60" t="s">
        <v>346</v>
      </c>
      <c r="CP60" s="11">
        <v>0.15</v>
      </c>
      <c r="CQ60" s="9" t="str">
        <f>_xll.SNL.Clients.Office.Excel.Functions.SPG(CN60, "SP_COUNTRY_NAME")</f>
        <v>Luxembourg</v>
      </c>
      <c r="CV60" s="9" t="str">
        <f>_xll.SNL.Clients.Office.Excel.Functions.SPG(CS60, "SP_COUNTRY_NAME")</f>
        <v>#INVALID COMPANY ID</v>
      </c>
      <c r="DA60" s="9" t="str">
        <f>_xll.SNL.Clients.Office.Excel.Functions.SPG(CX60, "SP_COUNTRY_NAME")</f>
        <v>#INVALID COMPANY ID</v>
      </c>
      <c r="DB60" t="s">
        <v>1401</v>
      </c>
      <c r="DC60">
        <v>142997618</v>
      </c>
      <c r="DD60" t="s">
        <v>690</v>
      </c>
      <c r="DE60" s="11">
        <v>0.19</v>
      </c>
      <c r="DF60" s="9" t="str">
        <f>_xll.SNL.Clients.Office.Excel.Functions.SPG(DC60, "SP_COUNTRY_NAME")</f>
        <v>#INVALID COMPANY ID</v>
      </c>
      <c r="DK60" s="9" t="str">
        <f>_xll.SNL.Clients.Office.Excel.Functions.SPG(DH60, "SP_COUNTRY_NAME")</f>
        <v>#INVALID COMPANY ID</v>
      </c>
      <c r="DL60" t="s">
        <v>1401</v>
      </c>
      <c r="DM60">
        <v>142997618</v>
      </c>
      <c r="DN60" t="s">
        <v>690</v>
      </c>
      <c r="DO60" s="11">
        <v>0.19</v>
      </c>
      <c r="DP60" s="9" t="str">
        <f>_xll.SNL.Clients.Office.Excel.Functions.SPG(DM60, "SP_COUNTRY_NAME")</f>
        <v>#INVALID COMPANY ID</v>
      </c>
      <c r="DU60" s="9" t="str">
        <f>_xll.SNL.Clients.Office.Excel.Functions.SPG(DR60, "SP_COUNTRY_NAME")</f>
        <v>#INVALID COMPANY ID</v>
      </c>
      <c r="DV60" t="s">
        <v>386</v>
      </c>
      <c r="DW60">
        <v>4145085</v>
      </c>
      <c r="DX60" t="s">
        <v>346</v>
      </c>
      <c r="DY60" s="11">
        <v>0</v>
      </c>
      <c r="DZ60" s="9" t="str">
        <f>_xll.SNL.Clients.Office.Excel.Functions.SPG(DW60, "SP_COUNTRY_NAME")</f>
        <v>United Kingdom</v>
      </c>
      <c r="EA60" t="s">
        <v>468</v>
      </c>
      <c r="EB60">
        <v>4556191</v>
      </c>
      <c r="EC60" t="s">
        <v>346</v>
      </c>
      <c r="ED60" s="11">
        <v>0.15</v>
      </c>
      <c r="EE60" s="9" t="str">
        <f>_xll.SNL.Clients.Office.Excel.Functions.SPG(EB60, "SP_COUNTRY_NAME")</f>
        <v>USA</v>
      </c>
      <c r="EF60" t="s">
        <v>1401</v>
      </c>
      <c r="EG60">
        <v>142997618</v>
      </c>
      <c r="EH60" t="s">
        <v>690</v>
      </c>
      <c r="EI60" s="11">
        <v>0.19</v>
      </c>
      <c r="EJ60" s="9" t="str">
        <f>_xll.SNL.Clients.Office.Excel.Functions.SPG(EG60, "SP_COUNTRY_NAME")</f>
        <v>#INVALID COMPANY ID</v>
      </c>
      <c r="EO60" s="9" t="str">
        <f>_xll.SNL.Clients.Office.Excel.Functions.SPG(EL60, "SP_COUNTRY_NAME")</f>
        <v>#INVALID COMPANY ID</v>
      </c>
      <c r="EP60" t="s">
        <v>401</v>
      </c>
      <c r="EQ60">
        <v>4139862</v>
      </c>
      <c r="ER60" t="s">
        <v>346</v>
      </c>
      <c r="ES60" s="11">
        <v>0.01</v>
      </c>
      <c r="ET60" s="9" t="str">
        <f>_xll.SNL.Clients.Office.Excel.Functions.SPG(EQ60, "SP_COUNTRY_NAME")</f>
        <v>United Kingdom</v>
      </c>
      <c r="EY60" s="9" t="str">
        <f>_xll.SNL.Clients.Office.Excel.Functions.SPG(EV60, "SP_COUNTRY_NAME")</f>
        <v>#INVALID COMPANY ID</v>
      </c>
      <c r="EZ60" t="s">
        <v>1957</v>
      </c>
      <c r="FA60">
        <v>131012297</v>
      </c>
      <c r="FB60" t="s">
        <v>370</v>
      </c>
      <c r="FC60" s="11">
        <v>0</v>
      </c>
      <c r="FD60" s="9" t="str">
        <f>_xll.SNL.Clients.Office.Excel.Functions.SPG(FA60, "SP_COUNTRY_NAME")</f>
        <v>Philippines</v>
      </c>
      <c r="FI60" s="9" t="str">
        <f>_xll.SNL.Clients.Office.Excel.Functions.SPG(FF60, "SP_COUNTRY_NAME")</f>
        <v>#INVALID COMPANY ID</v>
      </c>
      <c r="FJ60" t="s">
        <v>530</v>
      </c>
      <c r="FK60">
        <v>102729</v>
      </c>
      <c r="FL60" t="s">
        <v>346</v>
      </c>
      <c r="FM60" s="11">
        <v>0.03</v>
      </c>
      <c r="FN60" s="9" t="str">
        <f>_xll.SNL.Clients.Office.Excel.Functions.SPG(FK60, "SP_COUNTRY_NAME")</f>
        <v>USA</v>
      </c>
      <c r="FS60" s="9" t="str">
        <f>_xll.SNL.Clients.Office.Excel.Functions.SPG(FP60, "SP_COUNTRY_NAME")</f>
        <v>#INVALID COMPANY ID</v>
      </c>
      <c r="FT60" t="s">
        <v>420</v>
      </c>
      <c r="FU60">
        <v>19342220</v>
      </c>
      <c r="FV60" t="s">
        <v>346</v>
      </c>
      <c r="FW60" s="11">
        <v>0</v>
      </c>
      <c r="FX60" s="9" t="str">
        <f>_xll.SNL.Clients.Office.Excel.Functions.SPG(FU60, "SP_COUNTRY_NAME")</f>
        <v>USA</v>
      </c>
      <c r="FY60" t="s">
        <v>1401</v>
      </c>
      <c r="FZ60">
        <v>142997618</v>
      </c>
      <c r="GA60" t="s">
        <v>690</v>
      </c>
      <c r="GB60" s="11">
        <v>0.19</v>
      </c>
      <c r="GC60" s="9" t="str">
        <f>_xll.SNL.Clients.Office.Excel.Functions.SPG(FZ60, "SP_COUNTRY_NAME")</f>
        <v>#INVALID COMPANY ID</v>
      </c>
      <c r="GD60" t="s">
        <v>1957</v>
      </c>
      <c r="GE60">
        <v>131012297</v>
      </c>
      <c r="GF60" t="s">
        <v>370</v>
      </c>
      <c r="GG60" s="11">
        <v>0</v>
      </c>
      <c r="GH60" s="9" t="str">
        <f>_xll.SNL.Clients.Office.Excel.Functions.SPG(GE60, "SP_COUNTRY_NAME")</f>
        <v>Philippines</v>
      </c>
      <c r="GM60" s="9" t="str">
        <f>_xll.SNL.Clients.Office.Excel.Functions.SPG(GJ60, "SP_COUNTRY_NAME")</f>
        <v>#INVALID COMPANY ID</v>
      </c>
      <c r="GN60" t="s">
        <v>530</v>
      </c>
      <c r="GO60">
        <v>102729</v>
      </c>
      <c r="GP60" t="s">
        <v>346</v>
      </c>
      <c r="GQ60" s="11">
        <v>0.03</v>
      </c>
      <c r="GR60" s="9" t="str">
        <f>_xll.SNL.Clients.Office.Excel.Functions.SPG(GO60, "SP_COUNTRY_NAME")</f>
        <v>USA</v>
      </c>
      <c r="GS60" t="s">
        <v>650</v>
      </c>
      <c r="GT60">
        <v>4550448</v>
      </c>
      <c r="GU60" t="s">
        <v>346</v>
      </c>
      <c r="GV60" s="11">
        <v>0.05</v>
      </c>
      <c r="GW60" s="9" t="str">
        <f>_xll.SNL.Clients.Office.Excel.Functions.SPG(GT60, "SP_COUNTRY_NAME")</f>
        <v>China</v>
      </c>
      <c r="GX60" t="s">
        <v>468</v>
      </c>
      <c r="GY60">
        <v>4556191</v>
      </c>
      <c r="GZ60" t="s">
        <v>346</v>
      </c>
      <c r="HA60" s="11">
        <v>0.15</v>
      </c>
      <c r="HB60" s="9" t="str">
        <f>_xll.SNL.Clients.Office.Excel.Functions.SPG(GY60, "SP_COUNTRY_NAME")</f>
        <v>USA</v>
      </c>
      <c r="HG60" s="9" t="str">
        <f>_xll.SNL.Clients.Office.Excel.Functions.SPG(HD60, "SP_COUNTRY_NAME")</f>
        <v>#INVALID COMPANY ID</v>
      </c>
    </row>
    <row r="61" spans="5:215" x14ac:dyDescent="0.35">
      <c r="E61" s="9" t="str">
        <f>_xll.SNL.Clients.Office.Excel.Functions.SPG(B61, "SP_COUNTRY_NAME")</f>
        <v>#INVALID COMPANY ID</v>
      </c>
      <c r="F61" t="s">
        <v>456</v>
      </c>
      <c r="G61">
        <v>4249110</v>
      </c>
      <c r="H61" t="s">
        <v>346</v>
      </c>
      <c r="I61" s="11">
        <v>0.04</v>
      </c>
      <c r="J61" s="9" t="str">
        <f>_xll.SNL.Clients.Office.Excel.Functions.SPG(G61, "SP_COUNTRY_NAME")</f>
        <v>United Kingdom</v>
      </c>
      <c r="K61" t="s">
        <v>480</v>
      </c>
      <c r="L61">
        <v>4119651</v>
      </c>
      <c r="M61" t="s">
        <v>346</v>
      </c>
      <c r="N61" s="11">
        <v>0.01</v>
      </c>
      <c r="O61" s="9" t="str">
        <f>_xll.SNL.Clients.Office.Excel.Functions.SPG(L61, "SP_COUNTRY_NAME")</f>
        <v>USA</v>
      </c>
      <c r="T61" s="9" t="str">
        <f>_xll.SNL.Clients.Office.Excel.Functions.SPG(Q61, "SP_COUNTRY_NAME")</f>
        <v>#INVALID COMPANY ID</v>
      </c>
      <c r="U61" t="s">
        <v>354</v>
      </c>
      <c r="V61">
        <v>110652</v>
      </c>
      <c r="W61" t="s">
        <v>346</v>
      </c>
      <c r="X61" s="11">
        <v>0.12</v>
      </c>
      <c r="Y61" s="9" t="str">
        <f>_xll.SNL.Clients.Office.Excel.Functions.SPG(V61, "SP_COUNTRY_NAME")</f>
        <v>USA</v>
      </c>
      <c r="Z61" t="s">
        <v>480</v>
      </c>
      <c r="AA61">
        <v>4119651</v>
      </c>
      <c r="AB61" t="s">
        <v>346</v>
      </c>
      <c r="AC61" s="11">
        <v>0.01</v>
      </c>
      <c r="AD61" s="9" t="str">
        <f>_xll.SNL.Clients.Office.Excel.Functions.SPG(AA61, "SP_COUNTRY_NAME")</f>
        <v>USA</v>
      </c>
      <c r="AE61" t="s">
        <v>386</v>
      </c>
      <c r="AF61">
        <v>4145085</v>
      </c>
      <c r="AG61" t="s">
        <v>346</v>
      </c>
      <c r="AH61" s="11">
        <v>0.03</v>
      </c>
      <c r="AI61" s="9" t="str">
        <f>_xll.SNL.Clients.Office.Excel.Functions.SPG(AF61, "SP_COUNTRY_NAME")</f>
        <v>United Kingdom</v>
      </c>
      <c r="AN61" s="9" t="str">
        <f>_xll.SNL.Clients.Office.Excel.Functions.SPG(AK61, "SP_COUNTRY_NAME")</f>
        <v>#INVALID COMPANY ID</v>
      </c>
      <c r="AO61" t="s">
        <v>1270</v>
      </c>
      <c r="AP61">
        <v>5845361</v>
      </c>
      <c r="AQ61" t="s">
        <v>364</v>
      </c>
      <c r="AR61" s="11">
        <v>0.1</v>
      </c>
      <c r="AS61" s="9" t="str">
        <f>_xll.SNL.Clients.Office.Excel.Functions.SPG(AP61, "SP_COUNTRY_NAME")</f>
        <v>South Africa</v>
      </c>
      <c r="AX61" s="9" t="str">
        <f>_xll.SNL.Clients.Office.Excel.Functions.SPG(AU61, "SP_COUNTRY_NAME")</f>
        <v>#INVALID COMPANY ID</v>
      </c>
      <c r="AY61" t="s">
        <v>730</v>
      </c>
      <c r="AZ61">
        <v>4436408</v>
      </c>
      <c r="BA61" t="s">
        <v>346</v>
      </c>
      <c r="BB61" s="11">
        <v>0.01</v>
      </c>
      <c r="BC61" s="9" t="str">
        <f>_xll.SNL.Clients.Office.Excel.Functions.SPG(AZ61, "SP_COUNTRY_NAME")</f>
        <v>China</v>
      </c>
      <c r="BD61" t="s">
        <v>1402</v>
      </c>
      <c r="BE61">
        <v>5749063</v>
      </c>
      <c r="BF61" t="s">
        <v>346</v>
      </c>
      <c r="BG61" s="11">
        <v>0.19</v>
      </c>
      <c r="BH61" s="9" t="str">
        <f>_xll.SNL.Clients.Office.Excel.Functions.SPG(BE61, "SP_COUNTRY_NAME")</f>
        <v>Switzerland</v>
      </c>
      <c r="BI61" t="s">
        <v>463</v>
      </c>
      <c r="BJ61">
        <v>4138888</v>
      </c>
      <c r="BK61" t="s">
        <v>346</v>
      </c>
      <c r="BL61" s="11">
        <v>7.0000000000000007E-2</v>
      </c>
      <c r="BM61" s="9" t="str">
        <f>_xll.SNL.Clients.Office.Excel.Functions.SPG(BJ61, "SP_COUNTRY_NAME")</f>
        <v>Norway</v>
      </c>
      <c r="BN61" t="s">
        <v>734</v>
      </c>
      <c r="BO61">
        <v>4322244</v>
      </c>
      <c r="BP61" t="s">
        <v>346</v>
      </c>
      <c r="BQ61" s="11">
        <v>0.05</v>
      </c>
      <c r="BR61" s="9" t="str">
        <f>_xll.SNL.Clients.Office.Excel.Functions.SPG(BO61, "SP_COUNTRY_NAME")</f>
        <v>China</v>
      </c>
      <c r="BS61" t="s">
        <v>953</v>
      </c>
      <c r="BT61">
        <v>4039450</v>
      </c>
      <c r="BU61" t="s">
        <v>346</v>
      </c>
      <c r="BV61" s="11">
        <v>0.1</v>
      </c>
      <c r="BW61" s="9" t="str">
        <f>_xll.SNL.Clients.Office.Excel.Functions.SPG(BT61, "SP_COUNTRY_NAME")</f>
        <v>USA</v>
      </c>
      <c r="BX61" t="s">
        <v>354</v>
      </c>
      <c r="BY61">
        <v>110652</v>
      </c>
      <c r="BZ61" t="s">
        <v>346</v>
      </c>
      <c r="CA61" s="11">
        <v>0.12</v>
      </c>
      <c r="CB61" s="9" t="str">
        <f>_xll.SNL.Clients.Office.Excel.Functions.SPG(BY61, "SP_COUNTRY_NAME")</f>
        <v>USA</v>
      </c>
      <c r="CC61" t="s">
        <v>1625</v>
      </c>
      <c r="CD61">
        <v>4135294</v>
      </c>
      <c r="CE61" t="s">
        <v>346</v>
      </c>
      <c r="CF61" s="11">
        <v>0.14000000000000001</v>
      </c>
      <c r="CG61" s="9" t="str">
        <f>_xll.SNL.Clients.Office.Excel.Functions.SPG(CD61, "SP_COUNTRY_NAME")</f>
        <v>Brazil</v>
      </c>
      <c r="CH61" t="s">
        <v>1270</v>
      </c>
      <c r="CI61">
        <v>5845361</v>
      </c>
      <c r="CJ61" t="s">
        <v>364</v>
      </c>
      <c r="CK61" s="11">
        <v>0.1</v>
      </c>
      <c r="CL61" s="9" t="str">
        <f>_xll.SNL.Clients.Office.Excel.Functions.SPG(CI61, "SP_COUNTRY_NAME")</f>
        <v>South Africa</v>
      </c>
      <c r="CM61" t="s">
        <v>1263</v>
      </c>
      <c r="CN61">
        <v>5760616</v>
      </c>
      <c r="CO61" t="s">
        <v>346</v>
      </c>
      <c r="CP61" s="11">
        <v>0.15</v>
      </c>
      <c r="CQ61" s="9" t="str">
        <f>_xll.SNL.Clients.Office.Excel.Functions.SPG(CN61, "SP_COUNTRY_NAME")</f>
        <v>South Africa</v>
      </c>
      <c r="CV61" s="9" t="str">
        <f>_xll.SNL.Clients.Office.Excel.Functions.SPG(CS61, "SP_COUNTRY_NAME")</f>
        <v>#INVALID COMPANY ID</v>
      </c>
      <c r="DA61" s="9" t="str">
        <f>_xll.SNL.Clients.Office.Excel.Functions.SPG(CX61, "SP_COUNTRY_NAME")</f>
        <v>#INVALID COMPANY ID</v>
      </c>
      <c r="DB61" t="s">
        <v>1402</v>
      </c>
      <c r="DC61">
        <v>5749063</v>
      </c>
      <c r="DD61" t="s">
        <v>346</v>
      </c>
      <c r="DE61" s="11">
        <v>0.19</v>
      </c>
      <c r="DF61" s="9" t="str">
        <f>_xll.SNL.Clients.Office.Excel.Functions.SPG(DC61, "SP_COUNTRY_NAME")</f>
        <v>Switzerland</v>
      </c>
      <c r="DK61" s="9" t="str">
        <f>_xll.SNL.Clients.Office.Excel.Functions.SPG(DH61, "SP_COUNTRY_NAME")</f>
        <v>#INVALID COMPANY ID</v>
      </c>
      <c r="DL61" t="s">
        <v>1402</v>
      </c>
      <c r="DM61">
        <v>5749063</v>
      </c>
      <c r="DN61" t="s">
        <v>346</v>
      </c>
      <c r="DO61" s="11">
        <v>0.19</v>
      </c>
      <c r="DP61" s="9" t="str">
        <f>_xll.SNL.Clients.Office.Excel.Functions.SPG(DM61, "SP_COUNTRY_NAME")</f>
        <v>Switzerland</v>
      </c>
      <c r="DU61" s="9" t="str">
        <f>_xll.SNL.Clients.Office.Excel.Functions.SPG(DR61, "SP_COUNTRY_NAME")</f>
        <v>#INVALID COMPANY ID</v>
      </c>
      <c r="DV61" t="s">
        <v>412</v>
      </c>
      <c r="DW61">
        <v>109687</v>
      </c>
      <c r="DX61" t="s">
        <v>346</v>
      </c>
      <c r="DY61" s="11">
        <v>0</v>
      </c>
      <c r="DZ61" s="9" t="str">
        <f>_xll.SNL.Clients.Office.Excel.Functions.SPG(DW61, "SP_COUNTRY_NAME")</f>
        <v>USA</v>
      </c>
      <c r="EA61" t="s">
        <v>1625</v>
      </c>
      <c r="EB61">
        <v>4135294</v>
      </c>
      <c r="EC61" t="s">
        <v>346</v>
      </c>
      <c r="ED61" s="11">
        <v>0.14000000000000001</v>
      </c>
      <c r="EE61" s="9" t="str">
        <f>_xll.SNL.Clients.Office.Excel.Functions.SPG(EB61, "SP_COUNTRY_NAME")</f>
        <v>Brazil</v>
      </c>
      <c r="EF61" t="s">
        <v>1402</v>
      </c>
      <c r="EG61">
        <v>5749063</v>
      </c>
      <c r="EH61" t="s">
        <v>346</v>
      </c>
      <c r="EI61" s="11">
        <v>0.19</v>
      </c>
      <c r="EJ61" s="9" t="str">
        <f>_xll.SNL.Clients.Office.Excel.Functions.SPG(EG61, "SP_COUNTRY_NAME")</f>
        <v>Switzerland</v>
      </c>
      <c r="EO61" s="9" t="str">
        <f>_xll.SNL.Clients.Office.Excel.Functions.SPG(EL61, "SP_COUNTRY_NAME")</f>
        <v>#INVALID COMPANY ID</v>
      </c>
      <c r="EP61" t="s">
        <v>649</v>
      </c>
      <c r="EQ61">
        <v>4606392</v>
      </c>
      <c r="ER61" t="s">
        <v>346</v>
      </c>
      <c r="ES61" s="11">
        <v>0.01</v>
      </c>
      <c r="ET61" s="9" t="str">
        <f>_xll.SNL.Clients.Office.Excel.Functions.SPG(EQ61, "SP_COUNTRY_NAME")</f>
        <v>China</v>
      </c>
      <c r="EY61" s="9" t="str">
        <f>_xll.SNL.Clients.Office.Excel.Functions.SPG(EV61, "SP_COUNTRY_NAME")</f>
        <v>#INVALID COMPANY ID</v>
      </c>
      <c r="EZ61" t="s">
        <v>1958</v>
      </c>
      <c r="FA61" t="s">
        <v>300</v>
      </c>
      <c r="FB61" t="s">
        <v>361</v>
      </c>
      <c r="FC61" s="11">
        <v>0</v>
      </c>
      <c r="FD61" s="9" t="str">
        <f>_xll.SNL.Clients.Office.Excel.Functions.SPG(FA61, "SP_COUNTRY_NAME")</f>
        <v>China</v>
      </c>
      <c r="FI61" s="9" t="str">
        <f>_xll.SNL.Clients.Office.Excel.Functions.SPG(FF61, "SP_COUNTRY_NAME")</f>
        <v>#INVALID COMPANY ID</v>
      </c>
      <c r="FJ61" t="s">
        <v>460</v>
      </c>
      <c r="FK61">
        <v>4337989</v>
      </c>
      <c r="FL61" t="s">
        <v>346</v>
      </c>
      <c r="FM61" s="11">
        <v>0.03</v>
      </c>
      <c r="FN61" s="9" t="str">
        <f>_xll.SNL.Clients.Office.Excel.Functions.SPG(FK61, "SP_COUNTRY_NAME")</f>
        <v>USA</v>
      </c>
      <c r="FS61" s="9" t="str">
        <f>_xll.SNL.Clients.Office.Excel.Functions.SPG(FP61, "SP_COUNTRY_NAME")</f>
        <v>#INVALID COMPANY ID</v>
      </c>
      <c r="FX61" s="9" t="str">
        <f>_xll.SNL.Clients.Office.Excel.Functions.SPG(FU61, "SP_COUNTRY_NAME")</f>
        <v>#INVALID COMPANY ID</v>
      </c>
      <c r="FY61" t="s">
        <v>1402</v>
      </c>
      <c r="FZ61">
        <v>5749063</v>
      </c>
      <c r="GA61" t="s">
        <v>346</v>
      </c>
      <c r="GB61" s="11">
        <v>0.19</v>
      </c>
      <c r="GC61" s="9" t="str">
        <f>_xll.SNL.Clients.Office.Excel.Functions.SPG(FZ61, "SP_COUNTRY_NAME")</f>
        <v>Switzerland</v>
      </c>
      <c r="GD61" t="s">
        <v>1958</v>
      </c>
      <c r="GE61" t="s">
        <v>300</v>
      </c>
      <c r="GF61" t="s">
        <v>361</v>
      </c>
      <c r="GG61" s="11">
        <v>0</v>
      </c>
      <c r="GH61" s="9" t="str">
        <f>_xll.SNL.Clients.Office.Excel.Functions.SPG(GE61, "SP_COUNTRY_NAME")</f>
        <v>China</v>
      </c>
      <c r="GM61" s="9" t="str">
        <f>_xll.SNL.Clients.Office.Excel.Functions.SPG(GJ61, "SP_COUNTRY_NAME")</f>
        <v>#INVALID COMPANY ID</v>
      </c>
      <c r="GN61" t="s">
        <v>460</v>
      </c>
      <c r="GO61">
        <v>4337989</v>
      </c>
      <c r="GP61" t="s">
        <v>346</v>
      </c>
      <c r="GQ61" s="11">
        <v>0.03</v>
      </c>
      <c r="GR61" s="9" t="str">
        <f>_xll.SNL.Clients.Office.Excel.Functions.SPG(GO61, "SP_COUNTRY_NAME")</f>
        <v>USA</v>
      </c>
      <c r="GS61" t="s">
        <v>734</v>
      </c>
      <c r="GT61">
        <v>4322244</v>
      </c>
      <c r="GU61" t="s">
        <v>346</v>
      </c>
      <c r="GV61" s="11">
        <v>0.05</v>
      </c>
      <c r="GW61" s="9" t="str">
        <f>_xll.SNL.Clients.Office.Excel.Functions.SPG(GT61, "SP_COUNTRY_NAME")</f>
        <v>China</v>
      </c>
      <c r="GX61" t="s">
        <v>1625</v>
      </c>
      <c r="GY61">
        <v>4135294</v>
      </c>
      <c r="GZ61" t="s">
        <v>346</v>
      </c>
      <c r="HA61" s="11">
        <v>0.14000000000000001</v>
      </c>
      <c r="HB61" s="9" t="str">
        <f>_xll.SNL.Clients.Office.Excel.Functions.SPG(GY61, "SP_COUNTRY_NAME")</f>
        <v>Brazil</v>
      </c>
      <c r="HG61" s="9" t="str">
        <f>_xll.SNL.Clients.Office.Excel.Functions.SPG(HD61, "SP_COUNTRY_NAME")</f>
        <v>#INVALID COMPANY ID</v>
      </c>
    </row>
    <row r="62" spans="5:215" x14ac:dyDescent="0.35">
      <c r="E62" s="9" t="str">
        <f>_xll.SNL.Clients.Office.Excel.Functions.SPG(B62, "SP_COUNTRY_NAME")</f>
        <v>#INVALID COMPANY ID</v>
      </c>
      <c r="F62" t="s">
        <v>457</v>
      </c>
      <c r="G62">
        <v>110399</v>
      </c>
      <c r="H62" t="s">
        <v>346</v>
      </c>
      <c r="I62" s="11">
        <v>0.03</v>
      </c>
      <c r="J62" s="9" t="str">
        <f>_xll.SNL.Clients.Office.Excel.Functions.SPG(G62, "SP_COUNTRY_NAME")</f>
        <v>USA</v>
      </c>
      <c r="K62" t="s">
        <v>658</v>
      </c>
      <c r="L62">
        <v>4325258</v>
      </c>
      <c r="M62" t="s">
        <v>346</v>
      </c>
      <c r="N62" s="11">
        <v>0.01</v>
      </c>
      <c r="O62" s="9" t="str">
        <f>_xll.SNL.Clients.Office.Excel.Functions.SPG(L62, "SP_COUNTRY_NAME")</f>
        <v>China</v>
      </c>
      <c r="T62" s="9" t="str">
        <f>_xll.SNL.Clients.Office.Excel.Functions.SPG(Q62, "SP_COUNTRY_NAME")</f>
        <v>#INVALID COMPANY ID</v>
      </c>
      <c r="U62" t="s">
        <v>520</v>
      </c>
      <c r="V62">
        <v>103661</v>
      </c>
      <c r="W62" t="s">
        <v>346</v>
      </c>
      <c r="X62" s="11">
        <v>0.11</v>
      </c>
      <c r="Y62" s="9" t="str">
        <f>_xll.SNL.Clients.Office.Excel.Functions.SPG(V62, "SP_COUNTRY_NAME")</f>
        <v>USA</v>
      </c>
      <c r="Z62" t="s">
        <v>658</v>
      </c>
      <c r="AA62">
        <v>4325258</v>
      </c>
      <c r="AB62" t="s">
        <v>346</v>
      </c>
      <c r="AC62" s="11">
        <v>0.01</v>
      </c>
      <c r="AD62" s="9" t="str">
        <f>_xll.SNL.Clients.Office.Excel.Functions.SPG(AA62, "SP_COUNTRY_NAME")</f>
        <v>China</v>
      </c>
      <c r="AE62" t="s">
        <v>1121</v>
      </c>
      <c r="AF62" t="s">
        <v>300</v>
      </c>
      <c r="AG62" t="s">
        <v>361</v>
      </c>
      <c r="AH62" s="11">
        <v>0.03</v>
      </c>
      <c r="AI62" s="9" t="str">
        <f>_xll.SNL.Clients.Office.Excel.Functions.SPG(AF62, "SP_COUNTRY_NAME")</f>
        <v>China</v>
      </c>
      <c r="AN62" s="9" t="str">
        <f>_xll.SNL.Clients.Office.Excel.Functions.SPG(AK62, "SP_COUNTRY_NAME")</f>
        <v>#INVALID COMPANY ID</v>
      </c>
      <c r="AO62" t="s">
        <v>497</v>
      </c>
      <c r="AP62">
        <v>4138770</v>
      </c>
      <c r="AQ62" t="s">
        <v>346</v>
      </c>
      <c r="AR62" s="11">
        <v>0.1</v>
      </c>
      <c r="AS62" s="9" t="str">
        <f>_xll.SNL.Clients.Office.Excel.Functions.SPG(AP62, "SP_COUNTRY_NAME")</f>
        <v>United Kingdom</v>
      </c>
      <c r="AX62" s="9" t="str">
        <f>_xll.SNL.Clients.Office.Excel.Functions.SPG(AU62, "SP_COUNTRY_NAME")</f>
        <v>#INVALID COMPANY ID</v>
      </c>
      <c r="AY62" t="s">
        <v>683</v>
      </c>
      <c r="AZ62">
        <v>4137754</v>
      </c>
      <c r="BA62" t="s">
        <v>346</v>
      </c>
      <c r="BB62" s="11">
        <v>0.01</v>
      </c>
      <c r="BC62" s="9" t="str">
        <f>_xll.SNL.Clients.Office.Excel.Functions.SPG(AZ62, "SP_COUNTRY_NAME")</f>
        <v>China</v>
      </c>
      <c r="BD62" t="s">
        <v>740</v>
      </c>
      <c r="BE62">
        <v>4271664</v>
      </c>
      <c r="BF62" t="s">
        <v>346</v>
      </c>
      <c r="BG62" s="11">
        <v>0.18</v>
      </c>
      <c r="BH62" s="9" t="str">
        <f>_xll.SNL.Clients.Office.Excel.Functions.SPG(BE62, "SP_COUNTRY_NAME")</f>
        <v>United Kingdom</v>
      </c>
      <c r="BI62" t="s">
        <v>1141</v>
      </c>
      <c r="BJ62">
        <v>5767199</v>
      </c>
      <c r="BK62" t="s">
        <v>346</v>
      </c>
      <c r="BL62" s="11">
        <v>7.0000000000000007E-2</v>
      </c>
      <c r="BM62" s="9" t="str">
        <f>_xll.SNL.Clients.Office.Excel.Functions.SPG(BJ62, "SP_COUNTRY_NAME")</f>
        <v>Finland</v>
      </c>
      <c r="BN62" t="s">
        <v>653</v>
      </c>
      <c r="BO62">
        <v>4100281</v>
      </c>
      <c r="BP62" t="s">
        <v>346</v>
      </c>
      <c r="BQ62" s="11">
        <v>0.05</v>
      </c>
      <c r="BR62" s="9" t="str">
        <f>_xll.SNL.Clients.Office.Excel.Functions.SPG(BO62, "SP_COUNTRY_NAME")</f>
        <v>Hong Kong</v>
      </c>
      <c r="BS62" t="s">
        <v>654</v>
      </c>
      <c r="BT62">
        <v>4208127</v>
      </c>
      <c r="BU62" t="s">
        <v>346</v>
      </c>
      <c r="BV62" s="11">
        <v>0.1</v>
      </c>
      <c r="BW62" s="9" t="str">
        <f>_xll.SNL.Clients.Office.Excel.Functions.SPG(BT62, "SP_COUNTRY_NAME")</f>
        <v>Germany</v>
      </c>
      <c r="BX62" t="s">
        <v>520</v>
      </c>
      <c r="BY62">
        <v>103661</v>
      </c>
      <c r="BZ62" t="s">
        <v>346</v>
      </c>
      <c r="CA62" s="11">
        <v>0.11</v>
      </c>
      <c r="CB62" s="9" t="str">
        <f>_xll.SNL.Clients.Office.Excel.Functions.SPG(BY62, "SP_COUNTRY_NAME")</f>
        <v>USA</v>
      </c>
      <c r="CC62" t="s">
        <v>654</v>
      </c>
      <c r="CD62">
        <v>4208127</v>
      </c>
      <c r="CE62" t="s">
        <v>346</v>
      </c>
      <c r="CF62" s="11">
        <v>0.14000000000000001</v>
      </c>
      <c r="CG62" s="9" t="str">
        <f>_xll.SNL.Clients.Office.Excel.Functions.SPG(CD62, "SP_COUNTRY_NAME")</f>
        <v>Germany</v>
      </c>
      <c r="CH62" t="s">
        <v>497</v>
      </c>
      <c r="CI62">
        <v>4138770</v>
      </c>
      <c r="CJ62" t="s">
        <v>346</v>
      </c>
      <c r="CK62" s="11">
        <v>0.1</v>
      </c>
      <c r="CL62" s="9" t="str">
        <f>_xll.SNL.Clients.Office.Excel.Functions.SPG(CI62, "SP_COUNTRY_NAME")</f>
        <v>United Kingdom</v>
      </c>
      <c r="CM62" t="s">
        <v>1960</v>
      </c>
      <c r="CN62">
        <v>9146348</v>
      </c>
      <c r="CO62" t="s">
        <v>346</v>
      </c>
      <c r="CP62" s="11">
        <v>0.14000000000000001</v>
      </c>
      <c r="CQ62" s="9" t="str">
        <f>_xll.SNL.Clients.Office.Excel.Functions.SPG(CN62, "SP_COUNTRY_NAME")</f>
        <v>United Kingdom</v>
      </c>
      <c r="CV62" s="9" t="str">
        <f>_xll.SNL.Clients.Office.Excel.Functions.SPG(CS62, "SP_COUNTRY_NAME")</f>
        <v>#INVALID COMPANY ID</v>
      </c>
      <c r="DA62" s="9" t="str">
        <f>_xll.SNL.Clients.Office.Excel.Functions.SPG(CX62, "SP_COUNTRY_NAME")</f>
        <v>#INVALID COMPANY ID</v>
      </c>
      <c r="DB62" t="s">
        <v>740</v>
      </c>
      <c r="DC62">
        <v>4271664</v>
      </c>
      <c r="DD62" t="s">
        <v>346</v>
      </c>
      <c r="DE62" s="11">
        <v>0.18</v>
      </c>
      <c r="DF62" s="9" t="str">
        <f>_xll.SNL.Clients.Office.Excel.Functions.SPG(DC62, "SP_COUNTRY_NAME")</f>
        <v>United Kingdom</v>
      </c>
      <c r="DK62" s="9" t="str">
        <f>_xll.SNL.Clients.Office.Excel.Functions.SPG(DH62, "SP_COUNTRY_NAME")</f>
        <v>#INVALID COMPANY ID</v>
      </c>
      <c r="DL62" t="s">
        <v>740</v>
      </c>
      <c r="DM62">
        <v>4271664</v>
      </c>
      <c r="DN62" t="s">
        <v>346</v>
      </c>
      <c r="DO62" s="11">
        <v>0.18</v>
      </c>
      <c r="DP62" s="9" t="str">
        <f>_xll.SNL.Clients.Office.Excel.Functions.SPG(DM62, "SP_COUNTRY_NAME")</f>
        <v>United Kingdom</v>
      </c>
      <c r="DU62" s="9" t="str">
        <f>_xll.SNL.Clients.Office.Excel.Functions.SPG(DR62, "SP_COUNTRY_NAME")</f>
        <v>#INVALID COMPANY ID</v>
      </c>
      <c r="DV62" t="s">
        <v>1200</v>
      </c>
      <c r="DW62">
        <v>4140083</v>
      </c>
      <c r="DX62" t="s">
        <v>346</v>
      </c>
      <c r="DY62" s="11">
        <v>0</v>
      </c>
      <c r="DZ62" s="9" t="str">
        <f>_xll.SNL.Clients.Office.Excel.Functions.SPG(DW62, "SP_COUNTRY_NAME")</f>
        <v>Germany</v>
      </c>
      <c r="EA62" t="s">
        <v>654</v>
      </c>
      <c r="EB62">
        <v>4208127</v>
      </c>
      <c r="EC62" t="s">
        <v>346</v>
      </c>
      <c r="ED62" s="11">
        <v>0.14000000000000001</v>
      </c>
      <c r="EE62" s="9" t="str">
        <f>_xll.SNL.Clients.Office.Excel.Functions.SPG(EB62, "SP_COUNTRY_NAME")</f>
        <v>Germany</v>
      </c>
      <c r="EF62" t="s">
        <v>740</v>
      </c>
      <c r="EG62">
        <v>4271664</v>
      </c>
      <c r="EH62" t="s">
        <v>346</v>
      </c>
      <c r="EI62" s="11">
        <v>0.18</v>
      </c>
      <c r="EJ62" s="9" t="str">
        <f>_xll.SNL.Clients.Office.Excel.Functions.SPG(EG62, "SP_COUNTRY_NAME")</f>
        <v>United Kingdom</v>
      </c>
      <c r="EO62" s="9" t="str">
        <f>_xll.SNL.Clients.Office.Excel.Functions.SPG(EL62, "SP_COUNTRY_NAME")</f>
        <v>#INVALID COMPANY ID</v>
      </c>
      <c r="EP62" t="s">
        <v>655</v>
      </c>
      <c r="EQ62">
        <v>4413828</v>
      </c>
      <c r="ER62" t="s">
        <v>346</v>
      </c>
      <c r="ES62" s="11">
        <v>0</v>
      </c>
      <c r="ET62" s="9" t="str">
        <f>_xll.SNL.Clients.Office.Excel.Functions.SPG(EQ62, "SP_COUNTRY_NAME")</f>
        <v>Hong Kong</v>
      </c>
      <c r="EY62" s="9" t="str">
        <f>_xll.SNL.Clients.Office.Excel.Functions.SPG(EV62, "SP_COUNTRY_NAME")</f>
        <v>#INVALID COMPANY ID</v>
      </c>
      <c r="FD62" s="9" t="str">
        <f>_xll.SNL.Clients.Office.Excel.Functions.SPG(FA62, "SP_COUNTRY_NAME")</f>
        <v>#INVALID COMPANY ID</v>
      </c>
      <c r="FI62" s="9" t="str">
        <f>_xll.SNL.Clients.Office.Excel.Functions.SPG(FF62, "SP_COUNTRY_NAME")</f>
        <v>#INVALID COMPANY ID</v>
      </c>
      <c r="FJ62" t="s">
        <v>495</v>
      </c>
      <c r="FK62">
        <v>4341817</v>
      </c>
      <c r="FL62" t="s">
        <v>346</v>
      </c>
      <c r="FM62" s="11">
        <v>0.03</v>
      </c>
      <c r="FN62" s="9" t="str">
        <f>_xll.SNL.Clients.Office.Excel.Functions.SPG(FK62, "SP_COUNTRY_NAME")</f>
        <v>Japan</v>
      </c>
      <c r="FS62" s="9" t="str">
        <f>_xll.SNL.Clients.Office.Excel.Functions.SPG(FP62, "SP_COUNTRY_NAME")</f>
        <v>#INVALID COMPANY ID</v>
      </c>
      <c r="FX62" s="9" t="str">
        <f>_xll.SNL.Clients.Office.Excel.Functions.SPG(FU62, "SP_COUNTRY_NAME")</f>
        <v>#INVALID COMPANY ID</v>
      </c>
      <c r="FY62" t="s">
        <v>740</v>
      </c>
      <c r="FZ62">
        <v>4271664</v>
      </c>
      <c r="GA62" t="s">
        <v>346</v>
      </c>
      <c r="GB62" s="11">
        <v>0.18</v>
      </c>
      <c r="GC62" s="9" t="str">
        <f>_xll.SNL.Clients.Office.Excel.Functions.SPG(FZ62, "SP_COUNTRY_NAME")</f>
        <v>United Kingdom</v>
      </c>
      <c r="GH62" s="9" t="str">
        <f>_xll.SNL.Clients.Office.Excel.Functions.SPG(GE62, "SP_COUNTRY_NAME")</f>
        <v>#INVALID COMPANY ID</v>
      </c>
      <c r="GM62" s="9" t="str">
        <f>_xll.SNL.Clients.Office.Excel.Functions.SPG(GJ62, "SP_COUNTRY_NAME")</f>
        <v>#INVALID COMPANY ID</v>
      </c>
      <c r="GN62" t="s">
        <v>495</v>
      </c>
      <c r="GO62">
        <v>4341817</v>
      </c>
      <c r="GP62" t="s">
        <v>346</v>
      </c>
      <c r="GQ62" s="11">
        <v>0.03</v>
      </c>
      <c r="GR62" s="9" t="str">
        <f>_xll.SNL.Clients.Office.Excel.Functions.SPG(GO62, "SP_COUNTRY_NAME")</f>
        <v>Japan</v>
      </c>
      <c r="GS62" t="s">
        <v>653</v>
      </c>
      <c r="GT62">
        <v>4100281</v>
      </c>
      <c r="GU62" t="s">
        <v>346</v>
      </c>
      <c r="GV62" s="11">
        <v>0.05</v>
      </c>
      <c r="GW62" s="9" t="str">
        <f>_xll.SNL.Clients.Office.Excel.Functions.SPG(GT62, "SP_COUNTRY_NAME")</f>
        <v>Hong Kong</v>
      </c>
      <c r="GX62" t="s">
        <v>654</v>
      </c>
      <c r="GY62">
        <v>4208127</v>
      </c>
      <c r="GZ62" t="s">
        <v>346</v>
      </c>
      <c r="HA62" s="11">
        <v>0.14000000000000001</v>
      </c>
      <c r="HB62" s="9" t="str">
        <f>_xll.SNL.Clients.Office.Excel.Functions.SPG(GY62, "SP_COUNTRY_NAME")</f>
        <v>Germany</v>
      </c>
      <c r="HG62" s="9" t="str">
        <f>_xll.SNL.Clients.Office.Excel.Functions.SPG(HD62, "SP_COUNTRY_NAME")</f>
        <v>#INVALID COMPANY ID</v>
      </c>
    </row>
    <row r="63" spans="5:215" x14ac:dyDescent="0.35">
      <c r="E63" s="9" t="str">
        <f>_xll.SNL.Clients.Office.Excel.Functions.SPG(B63, "SP_COUNTRY_NAME")</f>
        <v>#INVALID COMPANY ID</v>
      </c>
      <c r="F63" t="s">
        <v>458</v>
      </c>
      <c r="G63">
        <v>109806</v>
      </c>
      <c r="H63" t="s">
        <v>346</v>
      </c>
      <c r="I63" s="11">
        <v>0.03</v>
      </c>
      <c r="J63" s="9" t="str">
        <f>_xll.SNL.Clients.Office.Excel.Functions.SPG(G63, "SP_COUNTRY_NAME")</f>
        <v>USA</v>
      </c>
      <c r="K63" t="s">
        <v>596</v>
      </c>
      <c r="L63">
        <v>4140486</v>
      </c>
      <c r="M63" t="s">
        <v>346</v>
      </c>
      <c r="N63" s="11">
        <v>0.01</v>
      </c>
      <c r="O63" s="9" t="str">
        <f>_xll.SNL.Clients.Office.Excel.Functions.SPG(L63, "SP_COUNTRY_NAME")</f>
        <v>China</v>
      </c>
      <c r="T63" s="9" t="str">
        <f>_xll.SNL.Clients.Office.Excel.Functions.SPG(Q63, "SP_COUNTRY_NAME")</f>
        <v>#INVALID COMPANY ID</v>
      </c>
      <c r="U63" t="s">
        <v>649</v>
      </c>
      <c r="V63">
        <v>4606392</v>
      </c>
      <c r="W63" t="s">
        <v>346</v>
      </c>
      <c r="X63" s="11">
        <v>0.1</v>
      </c>
      <c r="Y63" s="9" t="str">
        <f>_xll.SNL.Clients.Office.Excel.Functions.SPG(V63, "SP_COUNTRY_NAME")</f>
        <v>China</v>
      </c>
      <c r="Z63" t="s">
        <v>596</v>
      </c>
      <c r="AA63">
        <v>4140486</v>
      </c>
      <c r="AB63" t="s">
        <v>346</v>
      </c>
      <c r="AC63" s="11">
        <v>0.01</v>
      </c>
      <c r="AD63" s="9" t="str">
        <f>_xll.SNL.Clients.Office.Excel.Functions.SPG(AA63, "SP_COUNTRY_NAME")</f>
        <v>China</v>
      </c>
      <c r="AE63" t="s">
        <v>422</v>
      </c>
      <c r="AF63">
        <v>4048507</v>
      </c>
      <c r="AG63" t="s">
        <v>346</v>
      </c>
      <c r="AH63" s="11">
        <v>0.03</v>
      </c>
      <c r="AI63" s="9" t="str">
        <f>_xll.SNL.Clients.Office.Excel.Functions.SPG(AF63, "SP_COUNTRY_NAME")</f>
        <v>Japan</v>
      </c>
      <c r="AN63" s="9" t="str">
        <f>_xll.SNL.Clients.Office.Excel.Functions.SPG(AK63, "SP_COUNTRY_NAME")</f>
        <v>#INVALID COMPANY ID</v>
      </c>
      <c r="AO63" t="s">
        <v>900</v>
      </c>
      <c r="AP63">
        <v>4264756</v>
      </c>
      <c r="AQ63" t="s">
        <v>346</v>
      </c>
      <c r="AR63" s="11">
        <v>0.09</v>
      </c>
      <c r="AS63" s="9" t="str">
        <f>_xll.SNL.Clients.Office.Excel.Functions.SPG(AP63, "SP_COUNTRY_NAME")</f>
        <v>South Africa</v>
      </c>
      <c r="AX63" s="9" t="str">
        <f>_xll.SNL.Clients.Office.Excel.Functions.SPG(AU63, "SP_COUNTRY_NAME")</f>
        <v>#INVALID COMPANY ID</v>
      </c>
      <c r="AY63" t="s">
        <v>406</v>
      </c>
      <c r="AZ63">
        <v>4115698</v>
      </c>
      <c r="BA63" t="s">
        <v>346</v>
      </c>
      <c r="BB63" s="11">
        <v>0.01</v>
      </c>
      <c r="BC63" s="9" t="str">
        <f>_xll.SNL.Clients.Office.Excel.Functions.SPG(AZ63, "SP_COUNTRY_NAME")</f>
        <v>United Kingdom</v>
      </c>
      <c r="BD63" t="s">
        <v>1008</v>
      </c>
      <c r="BE63">
        <v>4056822</v>
      </c>
      <c r="BF63" t="s">
        <v>346</v>
      </c>
      <c r="BG63" s="11">
        <v>0.18</v>
      </c>
      <c r="BH63" s="9" t="str">
        <f>_xll.SNL.Clients.Office.Excel.Functions.SPG(BE63, "SP_COUNTRY_NAME")</f>
        <v>Switzerland</v>
      </c>
      <c r="BI63" t="s">
        <v>1561</v>
      </c>
      <c r="BJ63">
        <v>4242091</v>
      </c>
      <c r="BK63" t="s">
        <v>346</v>
      </c>
      <c r="BL63" s="11">
        <v>7.0000000000000007E-2</v>
      </c>
      <c r="BM63" s="9" t="str">
        <f>_xll.SNL.Clients.Office.Excel.Functions.SPG(BJ63, "SP_COUNTRY_NAME")</f>
        <v>Belgium</v>
      </c>
      <c r="BN63" t="s">
        <v>723</v>
      </c>
      <c r="BO63">
        <v>4536183</v>
      </c>
      <c r="BP63" t="s">
        <v>346</v>
      </c>
      <c r="BQ63" s="11">
        <v>0.05</v>
      </c>
      <c r="BR63" s="9" t="str">
        <f>_xll.SNL.Clients.Office.Excel.Functions.SPG(BO63, "SP_COUNTRY_NAME")</f>
        <v>China</v>
      </c>
      <c r="BS63" t="s">
        <v>385</v>
      </c>
      <c r="BT63">
        <v>5752504</v>
      </c>
      <c r="BU63" t="s">
        <v>346</v>
      </c>
      <c r="BV63" s="11">
        <v>0.1</v>
      </c>
      <c r="BW63" s="9" t="str">
        <f>_xll.SNL.Clients.Office.Excel.Functions.SPG(BT63, "SP_COUNTRY_NAME")</f>
        <v>USA</v>
      </c>
      <c r="BX63" t="s">
        <v>649</v>
      </c>
      <c r="BY63">
        <v>4606392</v>
      </c>
      <c r="BZ63" t="s">
        <v>346</v>
      </c>
      <c r="CA63" s="11">
        <v>0.1</v>
      </c>
      <c r="CB63" s="9" t="str">
        <f>_xll.SNL.Clients.Office.Excel.Functions.SPG(BY63, "SP_COUNTRY_NAME")</f>
        <v>China</v>
      </c>
      <c r="CC63" t="s">
        <v>1188</v>
      </c>
      <c r="CD63">
        <v>4413788</v>
      </c>
      <c r="CE63" t="s">
        <v>346</v>
      </c>
      <c r="CF63" s="11">
        <v>0.14000000000000001</v>
      </c>
      <c r="CG63" s="9" t="str">
        <f>_xll.SNL.Clients.Office.Excel.Functions.SPG(CD63, "SP_COUNTRY_NAME")</f>
        <v>USA</v>
      </c>
      <c r="CH63" t="s">
        <v>900</v>
      </c>
      <c r="CI63">
        <v>4264756</v>
      </c>
      <c r="CJ63" t="s">
        <v>346</v>
      </c>
      <c r="CK63" s="11">
        <v>0.09</v>
      </c>
      <c r="CL63" s="9" t="str">
        <f>_xll.SNL.Clients.Office.Excel.Functions.SPG(CI63, "SP_COUNTRY_NAME")</f>
        <v>South Africa</v>
      </c>
      <c r="CM63" t="s">
        <v>1961</v>
      </c>
      <c r="CN63">
        <v>4119404</v>
      </c>
      <c r="CO63" t="s">
        <v>346</v>
      </c>
      <c r="CP63" s="11">
        <v>0.14000000000000001</v>
      </c>
      <c r="CQ63" s="9" t="str">
        <f>_xll.SNL.Clients.Office.Excel.Functions.SPG(CN63, "SP_COUNTRY_NAME")</f>
        <v>USA</v>
      </c>
      <c r="CV63" s="9" t="str">
        <f>_xll.SNL.Clients.Office.Excel.Functions.SPG(CS63, "SP_COUNTRY_NAME")</f>
        <v>#INVALID COMPANY ID</v>
      </c>
      <c r="DA63" s="9" t="str">
        <f>_xll.SNL.Clients.Office.Excel.Functions.SPG(CX63, "SP_COUNTRY_NAME")</f>
        <v>#INVALID COMPANY ID</v>
      </c>
      <c r="DB63" t="s">
        <v>1008</v>
      </c>
      <c r="DC63">
        <v>4056822</v>
      </c>
      <c r="DD63" t="s">
        <v>346</v>
      </c>
      <c r="DE63" s="11">
        <v>0.18</v>
      </c>
      <c r="DF63" s="9" t="str">
        <f>_xll.SNL.Clients.Office.Excel.Functions.SPG(DC63, "SP_COUNTRY_NAME")</f>
        <v>Switzerland</v>
      </c>
      <c r="DK63" s="9" t="str">
        <f>_xll.SNL.Clients.Office.Excel.Functions.SPG(DH63, "SP_COUNTRY_NAME")</f>
        <v>#INVALID COMPANY ID</v>
      </c>
      <c r="DL63" t="s">
        <v>1008</v>
      </c>
      <c r="DM63">
        <v>4056822</v>
      </c>
      <c r="DN63" t="s">
        <v>346</v>
      </c>
      <c r="DO63" s="11">
        <v>0.18</v>
      </c>
      <c r="DP63" s="9" t="str">
        <f>_xll.SNL.Clients.Office.Excel.Functions.SPG(DM63, "SP_COUNTRY_NAME")</f>
        <v>Switzerland</v>
      </c>
      <c r="DU63" s="9" t="str">
        <f>_xll.SNL.Clients.Office.Excel.Functions.SPG(DR63, "SP_COUNTRY_NAME")</f>
        <v>#INVALID COMPANY ID</v>
      </c>
      <c r="DV63" t="s">
        <v>387</v>
      </c>
      <c r="DW63">
        <v>4020980</v>
      </c>
      <c r="DX63" t="s">
        <v>346</v>
      </c>
      <c r="DY63" s="11">
        <v>0</v>
      </c>
      <c r="DZ63" s="9" t="str">
        <f>_xll.SNL.Clients.Office.Excel.Functions.SPG(DW63, "SP_COUNTRY_NAME")</f>
        <v>Bermuda</v>
      </c>
      <c r="EA63" t="s">
        <v>1188</v>
      </c>
      <c r="EB63">
        <v>4413788</v>
      </c>
      <c r="EC63" t="s">
        <v>346</v>
      </c>
      <c r="ED63" s="11">
        <v>0.14000000000000001</v>
      </c>
      <c r="EE63" s="9" t="str">
        <f>_xll.SNL.Clients.Office.Excel.Functions.SPG(EB63, "SP_COUNTRY_NAME")</f>
        <v>USA</v>
      </c>
      <c r="EF63" t="s">
        <v>1008</v>
      </c>
      <c r="EG63">
        <v>4056822</v>
      </c>
      <c r="EH63" t="s">
        <v>346</v>
      </c>
      <c r="EI63" s="11">
        <v>0.18</v>
      </c>
      <c r="EJ63" s="9" t="str">
        <f>_xll.SNL.Clients.Office.Excel.Functions.SPG(EG63, "SP_COUNTRY_NAME")</f>
        <v>Switzerland</v>
      </c>
      <c r="EO63" s="9" t="str">
        <f>_xll.SNL.Clients.Office.Excel.Functions.SPG(EL63, "SP_COUNTRY_NAME")</f>
        <v>#INVALID COMPANY ID</v>
      </c>
      <c r="EP63" t="s">
        <v>824</v>
      </c>
      <c r="EQ63">
        <v>4213196</v>
      </c>
      <c r="ER63" t="s">
        <v>346</v>
      </c>
      <c r="ES63" s="11">
        <v>0</v>
      </c>
      <c r="ET63" s="9" t="str">
        <f>_xll.SNL.Clients.Office.Excel.Functions.SPG(EQ63, "SP_COUNTRY_NAME")</f>
        <v>Japan</v>
      </c>
      <c r="EY63" s="9" t="str">
        <f>_xll.SNL.Clients.Office.Excel.Functions.SPG(EV63, "SP_COUNTRY_NAME")</f>
        <v>#INVALID COMPANY ID</v>
      </c>
      <c r="FD63" s="9" t="str">
        <f>_xll.SNL.Clients.Office.Excel.Functions.SPG(FA63, "SP_COUNTRY_NAME")</f>
        <v>#INVALID COMPANY ID</v>
      </c>
      <c r="FI63" s="9" t="str">
        <f>_xll.SNL.Clients.Office.Excel.Functions.SPG(FF63, "SP_COUNTRY_NAME")</f>
        <v>#INVALID COMPANY ID</v>
      </c>
      <c r="FJ63" t="s">
        <v>408</v>
      </c>
      <c r="FK63">
        <v>4138917</v>
      </c>
      <c r="FL63" t="s">
        <v>346</v>
      </c>
      <c r="FM63" s="11">
        <v>0.03</v>
      </c>
      <c r="FN63" s="9" t="str">
        <f>_xll.SNL.Clients.Office.Excel.Functions.SPG(FK63, "SP_COUNTRY_NAME")</f>
        <v>Australia</v>
      </c>
      <c r="FS63" s="9" t="str">
        <f>_xll.SNL.Clients.Office.Excel.Functions.SPG(FP63, "SP_COUNTRY_NAME")</f>
        <v>#INVALID COMPANY ID</v>
      </c>
      <c r="FX63" s="9" t="str">
        <f>_xll.SNL.Clients.Office.Excel.Functions.SPG(FU63, "SP_COUNTRY_NAME")</f>
        <v>#INVALID COMPANY ID</v>
      </c>
      <c r="FY63" t="s">
        <v>1008</v>
      </c>
      <c r="FZ63">
        <v>4056822</v>
      </c>
      <c r="GA63" t="s">
        <v>346</v>
      </c>
      <c r="GB63" s="11">
        <v>0.18</v>
      </c>
      <c r="GC63" s="9" t="str">
        <f>_xll.SNL.Clients.Office.Excel.Functions.SPG(FZ63, "SP_COUNTRY_NAME")</f>
        <v>Switzerland</v>
      </c>
      <c r="GH63" s="9" t="str">
        <f>_xll.SNL.Clients.Office.Excel.Functions.SPG(GE63, "SP_COUNTRY_NAME")</f>
        <v>#INVALID COMPANY ID</v>
      </c>
      <c r="GM63" s="9" t="str">
        <f>_xll.SNL.Clients.Office.Excel.Functions.SPG(GJ63, "SP_COUNTRY_NAME")</f>
        <v>#INVALID COMPANY ID</v>
      </c>
      <c r="GN63" t="s">
        <v>408</v>
      </c>
      <c r="GO63">
        <v>4138917</v>
      </c>
      <c r="GP63" t="s">
        <v>346</v>
      </c>
      <c r="GQ63" s="11">
        <v>0.03</v>
      </c>
      <c r="GR63" s="9" t="str">
        <f>_xll.SNL.Clients.Office.Excel.Functions.SPG(GO63, "SP_COUNTRY_NAME")</f>
        <v>Australia</v>
      </c>
      <c r="GS63" t="s">
        <v>723</v>
      </c>
      <c r="GT63">
        <v>4536183</v>
      </c>
      <c r="GU63" t="s">
        <v>346</v>
      </c>
      <c r="GV63" s="11">
        <v>0.05</v>
      </c>
      <c r="GW63" s="9" t="str">
        <f>_xll.SNL.Clients.Office.Excel.Functions.SPG(GT63, "SP_COUNTRY_NAME")</f>
        <v>China</v>
      </c>
      <c r="GX63" t="s">
        <v>1188</v>
      </c>
      <c r="GY63">
        <v>4413788</v>
      </c>
      <c r="GZ63" t="s">
        <v>346</v>
      </c>
      <c r="HA63" s="11">
        <v>0.14000000000000001</v>
      </c>
      <c r="HB63" s="9" t="str">
        <f>_xll.SNL.Clients.Office.Excel.Functions.SPG(GY63, "SP_COUNTRY_NAME")</f>
        <v>USA</v>
      </c>
      <c r="HG63" s="9" t="str">
        <f>_xll.SNL.Clients.Office.Excel.Functions.SPG(HD63, "SP_COUNTRY_NAME")</f>
        <v>#INVALID COMPANY ID</v>
      </c>
    </row>
    <row r="64" spans="5:215" x14ac:dyDescent="0.35">
      <c r="E64" s="9" t="str">
        <f>_xll.SNL.Clients.Office.Excel.Functions.SPG(B64, "SP_COUNTRY_NAME")</f>
        <v>#INVALID COMPANY ID</v>
      </c>
      <c r="F64" t="s">
        <v>459</v>
      </c>
      <c r="G64">
        <v>4140503</v>
      </c>
      <c r="H64" t="s">
        <v>346</v>
      </c>
      <c r="I64" s="11">
        <v>0.03</v>
      </c>
      <c r="J64" s="9" t="str">
        <f>_xll.SNL.Clients.Office.Excel.Functions.SPG(G64, "SP_COUNTRY_NAME")</f>
        <v>Ireland</v>
      </c>
      <c r="K64" t="s">
        <v>659</v>
      </c>
      <c r="L64">
        <v>4139011</v>
      </c>
      <c r="M64" t="s">
        <v>346</v>
      </c>
      <c r="N64" s="11">
        <v>0.01</v>
      </c>
      <c r="O64" s="9" t="str">
        <f>_xll.SNL.Clients.Office.Excel.Functions.SPG(L64, "SP_COUNTRY_NAME")</f>
        <v>Germany</v>
      </c>
      <c r="T64" s="9" t="str">
        <f>_xll.SNL.Clients.Office.Excel.Functions.SPG(Q64, "SP_COUNTRY_NAME")</f>
        <v>#INVALID COMPANY ID</v>
      </c>
      <c r="U64" t="s">
        <v>727</v>
      </c>
      <c r="V64">
        <v>15508432</v>
      </c>
      <c r="W64" t="s">
        <v>346</v>
      </c>
      <c r="X64" s="11">
        <v>0.09</v>
      </c>
      <c r="Y64" s="9" t="str">
        <f>_xll.SNL.Clients.Office.Excel.Functions.SPG(V64, "SP_COUNTRY_NAME")</f>
        <v>China</v>
      </c>
      <c r="Z64" t="s">
        <v>659</v>
      </c>
      <c r="AA64">
        <v>4139011</v>
      </c>
      <c r="AB64" t="s">
        <v>346</v>
      </c>
      <c r="AC64" s="11">
        <v>0.01</v>
      </c>
      <c r="AD64" s="9" t="str">
        <f>_xll.SNL.Clients.Office.Excel.Functions.SPG(AA64, "SP_COUNTRY_NAME")</f>
        <v>Germany</v>
      </c>
      <c r="AE64" t="s">
        <v>1122</v>
      </c>
      <c r="AF64">
        <v>111354</v>
      </c>
      <c r="AG64" t="s">
        <v>346</v>
      </c>
      <c r="AH64" s="11">
        <v>0.03</v>
      </c>
      <c r="AI64" s="9" t="str">
        <f>_xll.SNL.Clients.Office.Excel.Functions.SPG(AF64, "SP_COUNTRY_NAME")</f>
        <v>USA</v>
      </c>
      <c r="AN64" s="9" t="str">
        <f>_xll.SNL.Clients.Office.Excel.Functions.SPG(AK64, "SP_COUNTRY_NAME")</f>
        <v>#INVALID COMPANY ID</v>
      </c>
      <c r="AO64" t="s">
        <v>430</v>
      </c>
      <c r="AP64">
        <v>4055767</v>
      </c>
      <c r="AQ64" t="s">
        <v>346</v>
      </c>
      <c r="AR64" s="11">
        <v>0.09</v>
      </c>
      <c r="AS64" s="9" t="str">
        <f>_xll.SNL.Clients.Office.Excel.Functions.SPG(AP64, "SP_COUNTRY_NAME")</f>
        <v>USA</v>
      </c>
      <c r="AX64" s="9" t="str">
        <f>_xll.SNL.Clients.Office.Excel.Functions.SPG(AU64, "SP_COUNTRY_NAME")</f>
        <v>#INVALID COMPANY ID</v>
      </c>
      <c r="AY64" t="s">
        <v>797</v>
      </c>
      <c r="AZ64">
        <v>4138761</v>
      </c>
      <c r="BA64" t="s">
        <v>346</v>
      </c>
      <c r="BB64" s="11">
        <v>0.01</v>
      </c>
      <c r="BC64" s="9" t="str">
        <f>_xll.SNL.Clients.Office.Excel.Functions.SPG(AZ64, "SP_COUNTRY_NAME")</f>
        <v>China</v>
      </c>
      <c r="BD64" t="s">
        <v>960</v>
      </c>
      <c r="BE64">
        <v>4053760</v>
      </c>
      <c r="BF64" t="s">
        <v>346</v>
      </c>
      <c r="BG64" s="11">
        <v>0.16</v>
      </c>
      <c r="BH64" s="9" t="str">
        <f>_xll.SNL.Clients.Office.Excel.Functions.SPG(BE64, "SP_COUNTRY_NAME")</f>
        <v>Bermuda</v>
      </c>
      <c r="BI64" t="s">
        <v>1154</v>
      </c>
      <c r="BJ64">
        <v>4125909</v>
      </c>
      <c r="BK64" t="s">
        <v>346</v>
      </c>
      <c r="BL64" s="11">
        <v>7.0000000000000007E-2</v>
      </c>
      <c r="BM64" s="9" t="str">
        <f>_xll.SNL.Clients.Office.Excel.Functions.SPG(BJ64, "SP_COUNTRY_NAME")</f>
        <v>Sweden</v>
      </c>
      <c r="BN64" t="s">
        <v>658</v>
      </c>
      <c r="BO64">
        <v>4325258</v>
      </c>
      <c r="BP64" t="s">
        <v>346</v>
      </c>
      <c r="BQ64" s="11">
        <v>0.04</v>
      </c>
      <c r="BR64" s="9" t="str">
        <f>_xll.SNL.Clients.Office.Excel.Functions.SPG(BO64, "SP_COUNTRY_NAME")</f>
        <v>China</v>
      </c>
      <c r="BS64" t="s">
        <v>683</v>
      </c>
      <c r="BT64">
        <v>4137754</v>
      </c>
      <c r="BU64" t="s">
        <v>346</v>
      </c>
      <c r="BV64" s="11">
        <v>0.09</v>
      </c>
      <c r="BW64" s="9" t="str">
        <f>_xll.SNL.Clients.Office.Excel.Functions.SPG(BT64, "SP_COUNTRY_NAME")</f>
        <v>China</v>
      </c>
      <c r="BX64" t="s">
        <v>727</v>
      </c>
      <c r="BY64">
        <v>15508432</v>
      </c>
      <c r="BZ64" t="s">
        <v>346</v>
      </c>
      <c r="CA64" s="11">
        <v>0.09</v>
      </c>
      <c r="CB64" s="9" t="str">
        <f>_xll.SNL.Clients.Office.Excel.Functions.SPG(BY64, "SP_COUNTRY_NAME")</f>
        <v>China</v>
      </c>
      <c r="CC64" t="s">
        <v>1609</v>
      </c>
      <c r="CD64">
        <v>4135463</v>
      </c>
      <c r="CE64" t="s">
        <v>364</v>
      </c>
      <c r="CF64" s="11">
        <v>0.14000000000000001</v>
      </c>
      <c r="CG64" s="9" t="str">
        <f>_xll.SNL.Clients.Office.Excel.Functions.SPG(CD64, "SP_COUNTRY_NAME")</f>
        <v>USA</v>
      </c>
      <c r="CH64" t="s">
        <v>430</v>
      </c>
      <c r="CI64">
        <v>4055767</v>
      </c>
      <c r="CJ64" t="s">
        <v>346</v>
      </c>
      <c r="CK64" s="11">
        <v>0.09</v>
      </c>
      <c r="CL64" s="9" t="str">
        <f>_xll.SNL.Clients.Office.Excel.Functions.SPG(CI64, "SP_COUNTRY_NAME")</f>
        <v>USA</v>
      </c>
      <c r="CM64" t="s">
        <v>491</v>
      </c>
      <c r="CN64">
        <v>106960</v>
      </c>
      <c r="CO64" t="s">
        <v>346</v>
      </c>
      <c r="CP64" s="11">
        <v>0.14000000000000001</v>
      </c>
      <c r="CQ64" s="9" t="str">
        <f>_xll.SNL.Clients.Office.Excel.Functions.SPG(CN64, "SP_COUNTRY_NAME")</f>
        <v>Canada</v>
      </c>
      <c r="CV64" s="9" t="str">
        <f>_xll.SNL.Clients.Office.Excel.Functions.SPG(CS64, "SP_COUNTRY_NAME")</f>
        <v>#INVALID COMPANY ID</v>
      </c>
      <c r="DA64" s="9" t="str">
        <f>_xll.SNL.Clients.Office.Excel.Functions.SPG(CX64, "SP_COUNTRY_NAME")</f>
        <v>#INVALID COMPANY ID</v>
      </c>
      <c r="DB64" t="s">
        <v>960</v>
      </c>
      <c r="DC64">
        <v>4053760</v>
      </c>
      <c r="DD64" t="s">
        <v>346</v>
      </c>
      <c r="DE64" s="11">
        <v>0.16</v>
      </c>
      <c r="DF64" s="9" t="str">
        <f>_xll.SNL.Clients.Office.Excel.Functions.SPG(DC64, "SP_COUNTRY_NAME")</f>
        <v>Bermuda</v>
      </c>
      <c r="DK64" s="9" t="str">
        <f>_xll.SNL.Clients.Office.Excel.Functions.SPG(DH64, "SP_COUNTRY_NAME")</f>
        <v>#INVALID COMPANY ID</v>
      </c>
      <c r="DL64" t="s">
        <v>960</v>
      </c>
      <c r="DM64">
        <v>4053760</v>
      </c>
      <c r="DN64" t="s">
        <v>346</v>
      </c>
      <c r="DO64" s="11">
        <v>0.16</v>
      </c>
      <c r="DP64" s="9" t="str">
        <f>_xll.SNL.Clients.Office.Excel.Functions.SPG(DM64, "SP_COUNTRY_NAME")</f>
        <v>Bermuda</v>
      </c>
      <c r="DU64" s="9" t="str">
        <f>_xll.SNL.Clients.Office.Excel.Functions.SPG(DR64, "SP_COUNTRY_NAME")</f>
        <v>#INVALID COMPANY ID</v>
      </c>
      <c r="DV64" t="s">
        <v>1120</v>
      </c>
      <c r="DW64">
        <v>4724324</v>
      </c>
      <c r="DX64" t="s">
        <v>346</v>
      </c>
      <c r="DY64" s="11">
        <v>0</v>
      </c>
      <c r="DZ64" s="9" t="str">
        <f>_xll.SNL.Clients.Office.Excel.Functions.SPG(DW64, "SP_COUNTRY_NAME")</f>
        <v>USA</v>
      </c>
      <c r="EA64" t="s">
        <v>1609</v>
      </c>
      <c r="EB64">
        <v>4135463</v>
      </c>
      <c r="EC64" t="s">
        <v>364</v>
      </c>
      <c r="ED64" s="11">
        <v>0.14000000000000001</v>
      </c>
      <c r="EE64" s="9" t="str">
        <f>_xll.SNL.Clients.Office.Excel.Functions.SPG(EB64, "SP_COUNTRY_NAME")</f>
        <v>USA</v>
      </c>
      <c r="EF64" t="s">
        <v>960</v>
      </c>
      <c r="EG64">
        <v>4053760</v>
      </c>
      <c r="EH64" t="s">
        <v>346</v>
      </c>
      <c r="EI64" s="11">
        <v>0.16</v>
      </c>
      <c r="EJ64" s="9" t="str">
        <f>_xll.SNL.Clients.Office.Excel.Functions.SPG(EG64, "SP_COUNTRY_NAME")</f>
        <v>Bermuda</v>
      </c>
      <c r="EO64" s="9" t="str">
        <f>_xll.SNL.Clients.Office.Excel.Functions.SPG(EL64, "SP_COUNTRY_NAME")</f>
        <v>#INVALID COMPANY ID</v>
      </c>
      <c r="EP64" t="s">
        <v>730</v>
      </c>
      <c r="EQ64">
        <v>4436408</v>
      </c>
      <c r="ER64" t="s">
        <v>346</v>
      </c>
      <c r="ES64" s="11">
        <v>0</v>
      </c>
      <c r="ET64" s="9" t="str">
        <f>_xll.SNL.Clients.Office.Excel.Functions.SPG(EQ64, "SP_COUNTRY_NAME")</f>
        <v>China</v>
      </c>
      <c r="EY64" s="9" t="str">
        <f>_xll.SNL.Clients.Office.Excel.Functions.SPG(EV64, "SP_COUNTRY_NAME")</f>
        <v>#INVALID COMPANY ID</v>
      </c>
      <c r="FD64" s="9" t="str">
        <f>_xll.SNL.Clients.Office.Excel.Functions.SPG(FA64, "SP_COUNTRY_NAME")</f>
        <v>#INVALID COMPANY ID</v>
      </c>
      <c r="FI64" s="9" t="str">
        <f>_xll.SNL.Clients.Office.Excel.Functions.SPG(FF64, "SP_COUNTRY_NAME")</f>
        <v>#INVALID COMPANY ID</v>
      </c>
      <c r="FJ64" t="s">
        <v>439</v>
      </c>
      <c r="FK64">
        <v>4757367</v>
      </c>
      <c r="FL64" t="s">
        <v>363</v>
      </c>
      <c r="FM64" s="11">
        <v>0.03</v>
      </c>
      <c r="FN64" s="9" t="str">
        <f>_xll.SNL.Clients.Office.Excel.Functions.SPG(FK64, "SP_COUNTRY_NAME")</f>
        <v>Australia</v>
      </c>
      <c r="FS64" s="9" t="str">
        <f>_xll.SNL.Clients.Office.Excel.Functions.SPG(FP64, "SP_COUNTRY_NAME")</f>
        <v>#INVALID COMPANY ID</v>
      </c>
      <c r="FX64" s="9" t="str">
        <f>_xll.SNL.Clients.Office.Excel.Functions.SPG(FU64, "SP_COUNTRY_NAME")</f>
        <v>#INVALID COMPANY ID</v>
      </c>
      <c r="FY64" t="s">
        <v>960</v>
      </c>
      <c r="FZ64">
        <v>4053760</v>
      </c>
      <c r="GA64" t="s">
        <v>346</v>
      </c>
      <c r="GB64" s="11">
        <v>0.16</v>
      </c>
      <c r="GC64" s="9" t="str">
        <f>_xll.SNL.Clients.Office.Excel.Functions.SPG(FZ64, "SP_COUNTRY_NAME")</f>
        <v>Bermuda</v>
      </c>
      <c r="GH64" s="9" t="str">
        <f>_xll.SNL.Clients.Office.Excel.Functions.SPG(GE64, "SP_COUNTRY_NAME")</f>
        <v>#INVALID COMPANY ID</v>
      </c>
      <c r="GM64" s="9" t="str">
        <f>_xll.SNL.Clients.Office.Excel.Functions.SPG(GJ64, "SP_COUNTRY_NAME")</f>
        <v>#INVALID COMPANY ID</v>
      </c>
      <c r="GN64" t="s">
        <v>439</v>
      </c>
      <c r="GO64">
        <v>4757367</v>
      </c>
      <c r="GP64" t="s">
        <v>363</v>
      </c>
      <c r="GQ64" s="11">
        <v>0.03</v>
      </c>
      <c r="GR64" s="9" t="str">
        <f>_xll.SNL.Clients.Office.Excel.Functions.SPG(GO64, "SP_COUNTRY_NAME")</f>
        <v>Australia</v>
      </c>
      <c r="GS64" t="s">
        <v>658</v>
      </c>
      <c r="GT64">
        <v>4325258</v>
      </c>
      <c r="GU64" t="s">
        <v>346</v>
      </c>
      <c r="GV64" s="11">
        <v>0.04</v>
      </c>
      <c r="GW64" s="9" t="str">
        <f>_xll.SNL.Clients.Office.Excel.Functions.SPG(GT64, "SP_COUNTRY_NAME")</f>
        <v>China</v>
      </c>
      <c r="GX64" t="s">
        <v>1609</v>
      </c>
      <c r="GY64">
        <v>4135463</v>
      </c>
      <c r="GZ64" t="s">
        <v>364</v>
      </c>
      <c r="HA64" s="11">
        <v>0.14000000000000001</v>
      </c>
      <c r="HB64" s="9" t="str">
        <f>_xll.SNL.Clients.Office.Excel.Functions.SPG(GY64, "SP_COUNTRY_NAME")</f>
        <v>USA</v>
      </c>
      <c r="HG64" s="9" t="str">
        <f>_xll.SNL.Clients.Office.Excel.Functions.SPG(HD64, "SP_COUNTRY_NAME")</f>
        <v>#INVALID COMPANY ID</v>
      </c>
    </row>
    <row r="65" spans="5:215" x14ac:dyDescent="0.35">
      <c r="E65" s="9" t="str">
        <f>_xll.SNL.Clients.Office.Excel.Functions.SPG(B65, "SP_COUNTRY_NAME")</f>
        <v>#INVALID COMPANY ID</v>
      </c>
      <c r="F65" t="s">
        <v>460</v>
      </c>
      <c r="G65">
        <v>4337989</v>
      </c>
      <c r="H65" t="s">
        <v>346</v>
      </c>
      <c r="I65" s="11">
        <v>0.03</v>
      </c>
      <c r="J65" s="9" t="str">
        <f>_xll.SNL.Clients.Office.Excel.Functions.SPG(G65, "SP_COUNTRY_NAME")</f>
        <v>USA</v>
      </c>
      <c r="K65" t="s">
        <v>660</v>
      </c>
      <c r="L65">
        <v>4099895</v>
      </c>
      <c r="M65" t="s">
        <v>366</v>
      </c>
      <c r="N65" s="11">
        <v>0.01</v>
      </c>
      <c r="O65" s="9" t="str">
        <f>_xll.SNL.Clients.Office.Excel.Functions.SPG(L65, "SP_COUNTRY_NAME")</f>
        <v>Canada</v>
      </c>
      <c r="T65" s="9" t="str">
        <f>_xll.SNL.Clients.Office.Excel.Functions.SPG(Q65, "SP_COUNTRY_NAME")</f>
        <v>#INVALID COMPANY ID</v>
      </c>
      <c r="U65" t="s">
        <v>647</v>
      </c>
      <c r="V65">
        <v>4556995</v>
      </c>
      <c r="W65" t="s">
        <v>346</v>
      </c>
      <c r="X65" s="11">
        <v>0.09</v>
      </c>
      <c r="Y65" s="9" t="str">
        <f>_xll.SNL.Clients.Office.Excel.Functions.SPG(V65, "SP_COUNTRY_NAME")</f>
        <v>China</v>
      </c>
      <c r="Z65" t="s">
        <v>660</v>
      </c>
      <c r="AA65">
        <v>4099895</v>
      </c>
      <c r="AB65" t="s">
        <v>366</v>
      </c>
      <c r="AC65" s="11">
        <v>0.01</v>
      </c>
      <c r="AD65" s="9" t="str">
        <f>_xll.SNL.Clients.Office.Excel.Functions.SPG(AA65, "SP_COUNTRY_NAME")</f>
        <v>Canada</v>
      </c>
      <c r="AE65" t="s">
        <v>1123</v>
      </c>
      <c r="AF65">
        <v>4212876</v>
      </c>
      <c r="AG65" t="s">
        <v>346</v>
      </c>
      <c r="AH65" s="11">
        <v>0.03</v>
      </c>
      <c r="AI65" s="9" t="str">
        <f>_xll.SNL.Clients.Office.Excel.Functions.SPG(AF65, "SP_COUNTRY_NAME")</f>
        <v>Luxembourg</v>
      </c>
      <c r="AN65" s="9" t="str">
        <f>_xll.SNL.Clients.Office.Excel.Functions.SPG(AK65, "SP_COUNTRY_NAME")</f>
        <v>#INVALID COMPANY ID</v>
      </c>
      <c r="AO65" t="s">
        <v>855</v>
      </c>
      <c r="AP65">
        <v>8532130</v>
      </c>
      <c r="AQ65" t="s">
        <v>346</v>
      </c>
      <c r="AR65" s="11">
        <v>0.08</v>
      </c>
      <c r="AS65" s="9" t="str">
        <f>_xll.SNL.Clients.Office.Excel.Functions.SPG(AP65, "SP_COUNTRY_NAME")</f>
        <v>South Africa</v>
      </c>
      <c r="AX65" s="9" t="str">
        <f>_xll.SNL.Clients.Office.Excel.Functions.SPG(AU65, "SP_COUNTRY_NAME")</f>
        <v>#INVALID COMPANY ID</v>
      </c>
      <c r="AY65" t="s">
        <v>357</v>
      </c>
      <c r="AZ65">
        <v>4270330</v>
      </c>
      <c r="BA65" t="s">
        <v>346</v>
      </c>
      <c r="BB65" s="11">
        <v>0.01</v>
      </c>
      <c r="BC65" s="9" t="str">
        <f>_xll.SNL.Clients.Office.Excel.Functions.SPG(AZ65, "SP_COUNTRY_NAME")</f>
        <v>USA</v>
      </c>
      <c r="BD65" t="s">
        <v>926</v>
      </c>
      <c r="BE65">
        <v>4140566</v>
      </c>
      <c r="BF65" t="s">
        <v>346</v>
      </c>
      <c r="BG65" s="11">
        <v>0.16</v>
      </c>
      <c r="BH65" s="9" t="str">
        <f>_xll.SNL.Clients.Office.Excel.Functions.SPG(BE65, "SP_COUNTRY_NAME")</f>
        <v>South Africa</v>
      </c>
      <c r="BI65" t="s">
        <v>410</v>
      </c>
      <c r="BJ65">
        <v>5759394</v>
      </c>
      <c r="BK65" t="s">
        <v>346</v>
      </c>
      <c r="BL65" s="11">
        <v>0.06</v>
      </c>
      <c r="BM65" s="9" t="str">
        <f>_xll.SNL.Clients.Office.Excel.Functions.SPG(BJ65, "SP_COUNTRY_NAME")</f>
        <v>Ireland</v>
      </c>
      <c r="BN65" t="s">
        <v>393</v>
      </c>
      <c r="BO65">
        <v>4723508</v>
      </c>
      <c r="BP65" t="s">
        <v>346</v>
      </c>
      <c r="BQ65" s="11">
        <v>0.04</v>
      </c>
      <c r="BR65" s="9" t="str">
        <f>_xll.SNL.Clients.Office.Excel.Functions.SPG(BO65, "SP_COUNTRY_NAME")</f>
        <v>United Kingdom</v>
      </c>
      <c r="BS65" t="s">
        <v>520</v>
      </c>
      <c r="BT65">
        <v>103661</v>
      </c>
      <c r="BU65" t="s">
        <v>346</v>
      </c>
      <c r="BV65" s="11">
        <v>0.09</v>
      </c>
      <c r="BW65" s="9" t="str">
        <f>_xll.SNL.Clients.Office.Excel.Functions.SPG(BT65, "SP_COUNTRY_NAME")</f>
        <v>USA</v>
      </c>
      <c r="BX65" t="s">
        <v>647</v>
      </c>
      <c r="BY65">
        <v>4556995</v>
      </c>
      <c r="BZ65" t="s">
        <v>346</v>
      </c>
      <c r="CA65" s="11">
        <v>0.09</v>
      </c>
      <c r="CB65" s="9" t="str">
        <f>_xll.SNL.Clients.Office.Excel.Functions.SPG(BY65, "SP_COUNTRY_NAME")</f>
        <v>China</v>
      </c>
      <c r="CC65" t="s">
        <v>1265</v>
      </c>
      <c r="CD65">
        <v>4118993</v>
      </c>
      <c r="CE65" t="s">
        <v>346</v>
      </c>
      <c r="CF65" s="11">
        <v>0.14000000000000001</v>
      </c>
      <c r="CG65" s="9" t="str">
        <f>_xll.SNL.Clients.Office.Excel.Functions.SPG(CD65, "SP_COUNTRY_NAME")</f>
        <v>USA</v>
      </c>
      <c r="CH65" t="s">
        <v>855</v>
      </c>
      <c r="CI65">
        <v>8532130</v>
      </c>
      <c r="CJ65" t="s">
        <v>346</v>
      </c>
      <c r="CK65" s="11">
        <v>0.08</v>
      </c>
      <c r="CL65" s="9" t="str">
        <f>_xll.SNL.Clients.Office.Excel.Functions.SPG(CI65, "SP_COUNTRY_NAME")</f>
        <v>South Africa</v>
      </c>
      <c r="CM65" t="s">
        <v>437</v>
      </c>
      <c r="CN65">
        <v>4102073</v>
      </c>
      <c r="CO65" t="s">
        <v>346</v>
      </c>
      <c r="CP65" s="11">
        <v>0.13</v>
      </c>
      <c r="CQ65" s="9" t="str">
        <f>_xll.SNL.Clients.Office.Excel.Functions.SPG(CN65, "SP_COUNTRY_NAME")</f>
        <v>USA</v>
      </c>
      <c r="CV65" s="9" t="str">
        <f>_xll.SNL.Clients.Office.Excel.Functions.SPG(CS65, "SP_COUNTRY_NAME")</f>
        <v>#INVALID COMPANY ID</v>
      </c>
      <c r="DA65" s="9" t="str">
        <f>_xll.SNL.Clients.Office.Excel.Functions.SPG(CX65, "SP_COUNTRY_NAME")</f>
        <v>#INVALID COMPANY ID</v>
      </c>
      <c r="DB65" t="s">
        <v>926</v>
      </c>
      <c r="DC65">
        <v>4140566</v>
      </c>
      <c r="DD65" t="s">
        <v>346</v>
      </c>
      <c r="DE65" s="11">
        <v>0.16</v>
      </c>
      <c r="DF65" s="9" t="str">
        <f>_xll.SNL.Clients.Office.Excel.Functions.SPG(DC65, "SP_COUNTRY_NAME")</f>
        <v>South Africa</v>
      </c>
      <c r="DK65" s="9" t="str">
        <f>_xll.SNL.Clients.Office.Excel.Functions.SPG(DH65, "SP_COUNTRY_NAME")</f>
        <v>#INVALID COMPANY ID</v>
      </c>
      <c r="DL65" t="s">
        <v>926</v>
      </c>
      <c r="DM65">
        <v>4140566</v>
      </c>
      <c r="DN65" t="s">
        <v>346</v>
      </c>
      <c r="DO65" s="11">
        <v>0.16</v>
      </c>
      <c r="DP65" s="9" t="str">
        <f>_xll.SNL.Clients.Office.Excel.Functions.SPG(DM65, "SP_COUNTRY_NAME")</f>
        <v>South Africa</v>
      </c>
      <c r="DU65" s="9" t="str">
        <f>_xll.SNL.Clients.Office.Excel.Functions.SPG(DR65, "SP_COUNTRY_NAME")</f>
        <v>#INVALID COMPANY ID</v>
      </c>
      <c r="DV65" t="s">
        <v>1201</v>
      </c>
      <c r="DW65">
        <v>7058629</v>
      </c>
      <c r="DX65" t="s">
        <v>300</v>
      </c>
      <c r="DY65" s="11">
        <v>0</v>
      </c>
      <c r="DZ65" s="9" t="str">
        <f>_xll.SNL.Clients.Office.Excel.Functions.SPG(DW65, "SP_COUNTRY_NAME")</f>
        <v>Russia</v>
      </c>
      <c r="EA65" t="s">
        <v>1265</v>
      </c>
      <c r="EB65">
        <v>4118993</v>
      </c>
      <c r="EC65" t="s">
        <v>346</v>
      </c>
      <c r="ED65" s="11">
        <v>0.14000000000000001</v>
      </c>
      <c r="EE65" s="9" t="str">
        <f>_xll.SNL.Clients.Office.Excel.Functions.SPG(EB65, "SP_COUNTRY_NAME")</f>
        <v>USA</v>
      </c>
      <c r="EF65" t="s">
        <v>926</v>
      </c>
      <c r="EG65">
        <v>4140566</v>
      </c>
      <c r="EH65" t="s">
        <v>346</v>
      </c>
      <c r="EI65" s="11">
        <v>0.16</v>
      </c>
      <c r="EJ65" s="9" t="str">
        <f>_xll.SNL.Clients.Office.Excel.Functions.SPG(EG65, "SP_COUNTRY_NAME")</f>
        <v>South Africa</v>
      </c>
      <c r="EO65" s="9" t="str">
        <f>_xll.SNL.Clients.Office.Excel.Functions.SPG(EL65, "SP_COUNTRY_NAME")</f>
        <v>#INVALID COMPANY ID</v>
      </c>
      <c r="EP65" t="s">
        <v>760</v>
      </c>
      <c r="EQ65">
        <v>4677331</v>
      </c>
      <c r="ER65" t="s">
        <v>346</v>
      </c>
      <c r="ES65" s="11">
        <v>0</v>
      </c>
      <c r="ET65" s="9" t="str">
        <f>_xll.SNL.Clients.Office.Excel.Functions.SPG(EQ65, "SP_COUNTRY_NAME")</f>
        <v>China</v>
      </c>
      <c r="EY65" s="9" t="str">
        <f>_xll.SNL.Clients.Office.Excel.Functions.SPG(EV65, "SP_COUNTRY_NAME")</f>
        <v>#INVALID COMPANY ID</v>
      </c>
      <c r="FD65" s="9" t="str">
        <f>_xll.SNL.Clients.Office.Excel.Functions.SPG(FA65, "SP_COUNTRY_NAME")</f>
        <v>#INVALID COMPANY ID</v>
      </c>
      <c r="FI65" s="9" t="str">
        <f>_xll.SNL.Clients.Office.Excel.Functions.SPG(FF65, "SP_COUNTRY_NAME")</f>
        <v>#INVALID COMPANY ID</v>
      </c>
      <c r="FJ65" t="s">
        <v>2159</v>
      </c>
      <c r="FK65" t="s">
        <v>300</v>
      </c>
      <c r="FL65" t="s">
        <v>361</v>
      </c>
      <c r="FM65" s="11">
        <v>0.03</v>
      </c>
      <c r="FN65" s="9" t="str">
        <f>_xll.SNL.Clients.Office.Excel.Functions.SPG(FK65, "SP_COUNTRY_NAME")</f>
        <v>China</v>
      </c>
      <c r="FS65" s="9" t="str">
        <f>_xll.SNL.Clients.Office.Excel.Functions.SPG(FP65, "SP_COUNTRY_NAME")</f>
        <v>#INVALID COMPANY ID</v>
      </c>
      <c r="FX65" s="9" t="str">
        <f>_xll.SNL.Clients.Office.Excel.Functions.SPG(FU65, "SP_COUNTRY_NAME")</f>
        <v>#INVALID COMPANY ID</v>
      </c>
      <c r="FY65" t="s">
        <v>926</v>
      </c>
      <c r="FZ65">
        <v>4140566</v>
      </c>
      <c r="GA65" t="s">
        <v>346</v>
      </c>
      <c r="GB65" s="11">
        <v>0.16</v>
      </c>
      <c r="GC65" s="9" t="str">
        <f>_xll.SNL.Clients.Office.Excel.Functions.SPG(FZ65, "SP_COUNTRY_NAME")</f>
        <v>South Africa</v>
      </c>
      <c r="GH65" s="9" t="str">
        <f>_xll.SNL.Clients.Office.Excel.Functions.SPG(GE65, "SP_COUNTRY_NAME")</f>
        <v>#INVALID COMPANY ID</v>
      </c>
      <c r="GM65" s="9" t="str">
        <f>_xll.SNL.Clients.Office.Excel.Functions.SPG(GJ65, "SP_COUNTRY_NAME")</f>
        <v>#INVALID COMPANY ID</v>
      </c>
      <c r="GN65" t="s">
        <v>2159</v>
      </c>
      <c r="GO65" t="s">
        <v>300</v>
      </c>
      <c r="GP65" t="s">
        <v>361</v>
      </c>
      <c r="GQ65" s="11">
        <v>0.03</v>
      </c>
      <c r="GR65" s="9" t="str">
        <f>_xll.SNL.Clients.Office.Excel.Functions.SPG(GO65, "SP_COUNTRY_NAME")</f>
        <v>China</v>
      </c>
      <c r="GS65" t="s">
        <v>393</v>
      </c>
      <c r="GT65">
        <v>4723508</v>
      </c>
      <c r="GU65" t="s">
        <v>346</v>
      </c>
      <c r="GV65" s="11">
        <v>0.04</v>
      </c>
      <c r="GW65" s="9" t="str">
        <f>_xll.SNL.Clients.Office.Excel.Functions.SPG(GT65, "SP_COUNTRY_NAME")</f>
        <v>United Kingdom</v>
      </c>
      <c r="GX65" t="s">
        <v>1265</v>
      </c>
      <c r="GY65">
        <v>4118993</v>
      </c>
      <c r="GZ65" t="s">
        <v>346</v>
      </c>
      <c r="HA65" s="11">
        <v>0.14000000000000001</v>
      </c>
      <c r="HB65" s="9" t="str">
        <f>_xll.SNL.Clients.Office.Excel.Functions.SPG(GY65, "SP_COUNTRY_NAME")</f>
        <v>USA</v>
      </c>
      <c r="HG65" s="9" t="str">
        <f>_xll.SNL.Clients.Office.Excel.Functions.SPG(HD65, "SP_COUNTRY_NAME")</f>
        <v>#INVALID COMPANY ID</v>
      </c>
    </row>
    <row r="66" spans="5:215" x14ac:dyDescent="0.35">
      <c r="E66" s="9" t="str">
        <f>_xll.SNL.Clients.Office.Excel.Functions.SPG(B66, "SP_COUNTRY_NAME")</f>
        <v>#INVALID COMPANY ID</v>
      </c>
      <c r="F66" t="s">
        <v>461</v>
      </c>
      <c r="G66">
        <v>4137912</v>
      </c>
      <c r="H66" t="s">
        <v>346</v>
      </c>
      <c r="I66" s="11">
        <v>0.03</v>
      </c>
      <c r="J66" s="9" t="str">
        <f>_xll.SNL.Clients.Office.Excel.Functions.SPG(G66, "SP_COUNTRY_NAME")</f>
        <v>Germany</v>
      </c>
      <c r="K66" t="s">
        <v>397</v>
      </c>
      <c r="L66">
        <v>4139795</v>
      </c>
      <c r="M66" t="s">
        <v>346</v>
      </c>
      <c r="N66" s="11">
        <v>0.01</v>
      </c>
      <c r="O66" s="9" t="str">
        <f>_xll.SNL.Clients.Office.Excel.Functions.SPG(L66, "SP_COUNTRY_NAME")</f>
        <v>Germany</v>
      </c>
      <c r="T66" s="9" t="str">
        <f>_xll.SNL.Clients.Office.Excel.Functions.SPG(Q66, "SP_COUNTRY_NAME")</f>
        <v>#INVALID COMPANY ID</v>
      </c>
      <c r="U66" t="s">
        <v>357</v>
      </c>
      <c r="V66">
        <v>4270330</v>
      </c>
      <c r="W66" t="s">
        <v>346</v>
      </c>
      <c r="X66" s="11">
        <v>0.08</v>
      </c>
      <c r="Y66" s="9" t="str">
        <f>_xll.SNL.Clients.Office.Excel.Functions.SPG(V66, "SP_COUNTRY_NAME")</f>
        <v>USA</v>
      </c>
      <c r="Z66" t="s">
        <v>397</v>
      </c>
      <c r="AA66">
        <v>4139795</v>
      </c>
      <c r="AB66" t="s">
        <v>346</v>
      </c>
      <c r="AC66" s="11">
        <v>0.01</v>
      </c>
      <c r="AD66" s="9" t="str">
        <f>_xll.SNL.Clients.Office.Excel.Functions.SPG(AA66, "SP_COUNTRY_NAME")</f>
        <v>Germany</v>
      </c>
      <c r="AE66" t="s">
        <v>603</v>
      </c>
      <c r="AF66">
        <v>110641</v>
      </c>
      <c r="AG66" t="s">
        <v>346</v>
      </c>
      <c r="AH66" s="11">
        <v>0.03</v>
      </c>
      <c r="AI66" s="9" t="str">
        <f>_xll.SNL.Clients.Office.Excel.Functions.SPG(AF66, "SP_COUNTRY_NAME")</f>
        <v>USA</v>
      </c>
      <c r="AN66" s="9" t="str">
        <f>_xll.SNL.Clients.Office.Excel.Functions.SPG(AK66, "SP_COUNTRY_NAME")</f>
        <v>#INVALID COMPANY ID</v>
      </c>
      <c r="AO66" t="s">
        <v>406</v>
      </c>
      <c r="AP66">
        <v>4115698</v>
      </c>
      <c r="AQ66" t="s">
        <v>346</v>
      </c>
      <c r="AR66" s="11">
        <v>0.08</v>
      </c>
      <c r="AS66" s="9" t="str">
        <f>_xll.SNL.Clients.Office.Excel.Functions.SPG(AP66, "SP_COUNTRY_NAME")</f>
        <v>United Kingdom</v>
      </c>
      <c r="AX66" s="9" t="str">
        <f>_xll.SNL.Clients.Office.Excel.Functions.SPG(AU66, "SP_COUNTRY_NAME")</f>
        <v>#INVALID COMPANY ID</v>
      </c>
      <c r="AY66" t="s">
        <v>409</v>
      </c>
      <c r="AZ66">
        <v>102719</v>
      </c>
      <c r="BA66" t="s">
        <v>346</v>
      </c>
      <c r="BB66" s="11">
        <v>0</v>
      </c>
      <c r="BC66" s="9" t="str">
        <f>_xll.SNL.Clients.Office.Excel.Functions.SPG(AZ66, "SP_COUNTRY_NAME")</f>
        <v>USA</v>
      </c>
      <c r="BD66" t="s">
        <v>1185</v>
      </c>
      <c r="BE66">
        <v>110616</v>
      </c>
      <c r="BF66" t="s">
        <v>346</v>
      </c>
      <c r="BG66" s="11">
        <v>0.16</v>
      </c>
      <c r="BH66" s="9" t="str">
        <f>_xll.SNL.Clients.Office.Excel.Functions.SPG(BE66, "SP_COUNTRY_NAME")</f>
        <v>United Kingdom</v>
      </c>
      <c r="BI66" t="s">
        <v>386</v>
      </c>
      <c r="BJ66">
        <v>4145085</v>
      </c>
      <c r="BK66" t="s">
        <v>346</v>
      </c>
      <c r="BL66" s="11">
        <v>0.06</v>
      </c>
      <c r="BM66" s="9" t="str">
        <f>_xll.SNL.Clients.Office.Excel.Functions.SPG(BJ66, "SP_COUNTRY_NAME")</f>
        <v>United Kingdom</v>
      </c>
      <c r="BN66" t="s">
        <v>662</v>
      </c>
      <c r="BO66">
        <v>4316799</v>
      </c>
      <c r="BP66" t="s">
        <v>346</v>
      </c>
      <c r="BQ66" s="11">
        <v>0.04</v>
      </c>
      <c r="BR66" s="9" t="str">
        <f>_xll.SNL.Clients.Office.Excel.Functions.SPG(BO66, "SP_COUNTRY_NAME")</f>
        <v>China</v>
      </c>
      <c r="BS66" t="s">
        <v>658</v>
      </c>
      <c r="BT66">
        <v>4325258</v>
      </c>
      <c r="BU66" t="s">
        <v>346</v>
      </c>
      <c r="BV66" s="11">
        <v>0.09</v>
      </c>
      <c r="BW66" s="9" t="str">
        <f>_xll.SNL.Clients.Office.Excel.Functions.SPG(BT66, "SP_COUNTRY_NAME")</f>
        <v>China</v>
      </c>
      <c r="BX66" t="s">
        <v>357</v>
      </c>
      <c r="BY66">
        <v>4270330</v>
      </c>
      <c r="BZ66" t="s">
        <v>346</v>
      </c>
      <c r="CA66" s="11">
        <v>0.08</v>
      </c>
      <c r="CB66" s="9" t="str">
        <f>_xll.SNL.Clients.Office.Excel.Functions.SPG(BY66, "SP_COUNTRY_NAME")</f>
        <v>USA</v>
      </c>
      <c r="CC66" t="s">
        <v>399</v>
      </c>
      <c r="CD66">
        <v>4026948</v>
      </c>
      <c r="CE66" t="s">
        <v>346</v>
      </c>
      <c r="CF66" s="11">
        <v>0.14000000000000001</v>
      </c>
      <c r="CG66" s="9" t="str">
        <f>_xll.SNL.Clients.Office.Excel.Functions.SPG(CD66, "SP_COUNTRY_NAME")</f>
        <v>France</v>
      </c>
      <c r="CH66" t="s">
        <v>406</v>
      </c>
      <c r="CI66">
        <v>4115698</v>
      </c>
      <c r="CJ66" t="s">
        <v>346</v>
      </c>
      <c r="CK66" s="11">
        <v>0.08</v>
      </c>
      <c r="CL66" s="9" t="str">
        <f>_xll.SNL.Clients.Office.Excel.Functions.SPG(CI66, "SP_COUNTRY_NAME")</f>
        <v>United Kingdom</v>
      </c>
      <c r="CM66" t="s">
        <v>399</v>
      </c>
      <c r="CN66">
        <v>4026948</v>
      </c>
      <c r="CO66" t="s">
        <v>346</v>
      </c>
      <c r="CP66" s="11">
        <v>0.13</v>
      </c>
      <c r="CQ66" s="9" t="str">
        <f>_xll.SNL.Clients.Office.Excel.Functions.SPG(CN66, "SP_COUNTRY_NAME")</f>
        <v>France</v>
      </c>
      <c r="CV66" s="9" t="str">
        <f>_xll.SNL.Clients.Office.Excel.Functions.SPG(CS66, "SP_COUNTRY_NAME")</f>
        <v>#INVALID COMPANY ID</v>
      </c>
      <c r="DA66" s="9" t="str">
        <f>_xll.SNL.Clients.Office.Excel.Functions.SPG(CX66, "SP_COUNTRY_NAME")</f>
        <v>#INVALID COMPANY ID</v>
      </c>
      <c r="DB66" t="s">
        <v>1185</v>
      </c>
      <c r="DC66">
        <v>110616</v>
      </c>
      <c r="DD66" t="s">
        <v>346</v>
      </c>
      <c r="DE66" s="11">
        <v>0.16</v>
      </c>
      <c r="DF66" s="9" t="str">
        <f>_xll.SNL.Clients.Office.Excel.Functions.SPG(DC66, "SP_COUNTRY_NAME")</f>
        <v>United Kingdom</v>
      </c>
      <c r="DK66" s="9" t="str">
        <f>_xll.SNL.Clients.Office.Excel.Functions.SPG(DH66, "SP_COUNTRY_NAME")</f>
        <v>#INVALID COMPANY ID</v>
      </c>
      <c r="DL66" t="s">
        <v>1185</v>
      </c>
      <c r="DM66">
        <v>110616</v>
      </c>
      <c r="DN66" t="s">
        <v>346</v>
      </c>
      <c r="DO66" s="11">
        <v>0.16</v>
      </c>
      <c r="DP66" s="9" t="str">
        <f>_xll.SNL.Clients.Office.Excel.Functions.SPG(DM66, "SP_COUNTRY_NAME")</f>
        <v>United Kingdom</v>
      </c>
      <c r="DU66" s="9" t="str">
        <f>_xll.SNL.Clients.Office.Excel.Functions.SPG(DR66, "SP_COUNTRY_NAME")</f>
        <v>#INVALID COMPANY ID</v>
      </c>
      <c r="DV66" t="s">
        <v>510</v>
      </c>
      <c r="DW66">
        <v>4089114</v>
      </c>
      <c r="DX66" t="s">
        <v>346</v>
      </c>
      <c r="DY66" s="11">
        <v>0</v>
      </c>
      <c r="DZ66" s="9" t="str">
        <f>_xll.SNL.Clients.Office.Excel.Functions.SPG(DW66, "SP_COUNTRY_NAME")</f>
        <v>USA</v>
      </c>
      <c r="EA66" t="s">
        <v>399</v>
      </c>
      <c r="EB66">
        <v>4026948</v>
      </c>
      <c r="EC66" t="s">
        <v>346</v>
      </c>
      <c r="ED66" s="11">
        <v>0.14000000000000001</v>
      </c>
      <c r="EE66" s="9" t="str">
        <f>_xll.SNL.Clients.Office.Excel.Functions.SPG(EB66, "SP_COUNTRY_NAME")</f>
        <v>France</v>
      </c>
      <c r="EF66" t="s">
        <v>1185</v>
      </c>
      <c r="EG66">
        <v>110616</v>
      </c>
      <c r="EH66" t="s">
        <v>346</v>
      </c>
      <c r="EI66" s="11">
        <v>0.16</v>
      </c>
      <c r="EJ66" s="9" t="str">
        <f>_xll.SNL.Clients.Office.Excel.Functions.SPG(EG66, "SP_COUNTRY_NAME")</f>
        <v>United Kingdom</v>
      </c>
      <c r="EO66" s="9" t="str">
        <f>_xll.SNL.Clients.Office.Excel.Functions.SPG(EL66, "SP_COUNTRY_NAME")</f>
        <v>#INVALID COMPANY ID</v>
      </c>
      <c r="EP66" t="s">
        <v>666</v>
      </c>
      <c r="EQ66">
        <v>4379197</v>
      </c>
      <c r="ER66" t="s">
        <v>346</v>
      </c>
      <c r="ES66" s="11">
        <v>0</v>
      </c>
      <c r="ET66" s="9" t="str">
        <f>_xll.SNL.Clients.Office.Excel.Functions.SPG(EQ66, "SP_COUNTRY_NAME")</f>
        <v>China</v>
      </c>
      <c r="EY66" s="9" t="str">
        <f>_xll.SNL.Clients.Office.Excel.Functions.SPG(EV66, "SP_COUNTRY_NAME")</f>
        <v>#INVALID COMPANY ID</v>
      </c>
      <c r="FD66" s="9" t="str">
        <f>_xll.SNL.Clients.Office.Excel.Functions.SPG(FA66, "SP_COUNTRY_NAME")</f>
        <v>#INVALID COMPANY ID</v>
      </c>
      <c r="FI66" s="9" t="str">
        <f>_xll.SNL.Clients.Office.Excel.Functions.SPG(FF66, "SP_COUNTRY_NAME")</f>
        <v>#INVALID COMPANY ID</v>
      </c>
      <c r="FJ66" t="s">
        <v>654</v>
      </c>
      <c r="FK66">
        <v>4208127</v>
      </c>
      <c r="FL66" t="s">
        <v>346</v>
      </c>
      <c r="FM66" s="11">
        <v>0.02</v>
      </c>
      <c r="FN66" s="9" t="str">
        <f>_xll.SNL.Clients.Office.Excel.Functions.SPG(FK66, "SP_COUNTRY_NAME")</f>
        <v>Germany</v>
      </c>
      <c r="FS66" s="9" t="str">
        <f>_xll.SNL.Clients.Office.Excel.Functions.SPG(FP66, "SP_COUNTRY_NAME")</f>
        <v>#INVALID COMPANY ID</v>
      </c>
      <c r="FX66" s="9" t="str">
        <f>_xll.SNL.Clients.Office.Excel.Functions.SPG(FU66, "SP_COUNTRY_NAME")</f>
        <v>#INVALID COMPANY ID</v>
      </c>
      <c r="FY66" t="s">
        <v>1185</v>
      </c>
      <c r="FZ66">
        <v>110616</v>
      </c>
      <c r="GA66" t="s">
        <v>346</v>
      </c>
      <c r="GB66" s="11">
        <v>0.16</v>
      </c>
      <c r="GC66" s="9" t="str">
        <f>_xll.SNL.Clients.Office.Excel.Functions.SPG(FZ66, "SP_COUNTRY_NAME")</f>
        <v>United Kingdom</v>
      </c>
      <c r="GH66" s="9" t="str">
        <f>_xll.SNL.Clients.Office.Excel.Functions.SPG(GE66, "SP_COUNTRY_NAME")</f>
        <v>#INVALID COMPANY ID</v>
      </c>
      <c r="GM66" s="9" t="str">
        <f>_xll.SNL.Clients.Office.Excel.Functions.SPG(GJ66, "SP_COUNTRY_NAME")</f>
        <v>#INVALID COMPANY ID</v>
      </c>
      <c r="GN66" t="s">
        <v>654</v>
      </c>
      <c r="GO66">
        <v>4208127</v>
      </c>
      <c r="GP66" t="s">
        <v>346</v>
      </c>
      <c r="GQ66" s="11">
        <v>0.02</v>
      </c>
      <c r="GR66" s="9" t="str">
        <f>_xll.SNL.Clients.Office.Excel.Functions.SPG(GO66, "SP_COUNTRY_NAME")</f>
        <v>Germany</v>
      </c>
      <c r="GS66" t="s">
        <v>662</v>
      </c>
      <c r="GT66">
        <v>4316799</v>
      </c>
      <c r="GU66" t="s">
        <v>346</v>
      </c>
      <c r="GV66" s="11">
        <v>0.04</v>
      </c>
      <c r="GW66" s="9" t="str">
        <f>_xll.SNL.Clients.Office.Excel.Functions.SPG(GT66, "SP_COUNTRY_NAME")</f>
        <v>China</v>
      </c>
      <c r="GX66" t="s">
        <v>399</v>
      </c>
      <c r="GY66">
        <v>4026948</v>
      </c>
      <c r="GZ66" t="s">
        <v>346</v>
      </c>
      <c r="HA66" s="11">
        <v>0.14000000000000001</v>
      </c>
      <c r="HB66" s="9" t="str">
        <f>_xll.SNL.Clients.Office.Excel.Functions.SPG(GY66, "SP_COUNTRY_NAME")</f>
        <v>France</v>
      </c>
      <c r="HG66" s="9" t="str">
        <f>_xll.SNL.Clients.Office.Excel.Functions.SPG(HD66, "SP_COUNTRY_NAME")</f>
        <v>#INVALID COMPANY ID</v>
      </c>
    </row>
    <row r="67" spans="5:215" x14ac:dyDescent="0.35">
      <c r="E67" s="9" t="str">
        <f>_xll.SNL.Clients.Office.Excel.Functions.SPG(B67, "SP_COUNTRY_NAME")</f>
        <v>#INVALID COMPANY ID</v>
      </c>
      <c r="F67" t="s">
        <v>462</v>
      </c>
      <c r="G67">
        <v>109872</v>
      </c>
      <c r="H67" t="s">
        <v>346</v>
      </c>
      <c r="I67" s="11">
        <v>0.03</v>
      </c>
      <c r="J67" s="9" t="str">
        <f>_xll.SNL.Clients.Office.Excel.Functions.SPG(G67, "SP_COUNTRY_NAME")</f>
        <v>USA</v>
      </c>
      <c r="K67" t="s">
        <v>661</v>
      </c>
      <c r="L67">
        <v>5873663</v>
      </c>
      <c r="M67" t="s">
        <v>366</v>
      </c>
      <c r="N67" s="11">
        <v>0.01</v>
      </c>
      <c r="O67" s="9" t="str">
        <f>_xll.SNL.Clients.Office.Excel.Functions.SPG(L67, "SP_COUNTRY_NAME")</f>
        <v>Canada</v>
      </c>
      <c r="T67" s="9" t="str">
        <f>_xll.SNL.Clients.Office.Excel.Functions.SPG(Q67, "SP_COUNTRY_NAME")</f>
        <v>#INVALID COMPANY ID</v>
      </c>
      <c r="U67" t="s">
        <v>458</v>
      </c>
      <c r="V67">
        <v>109806</v>
      </c>
      <c r="W67" t="s">
        <v>346</v>
      </c>
      <c r="X67" s="11">
        <v>0.08</v>
      </c>
      <c r="Y67" s="9" t="str">
        <f>_xll.SNL.Clients.Office.Excel.Functions.SPG(V67, "SP_COUNTRY_NAME")</f>
        <v>USA</v>
      </c>
      <c r="Z67" t="s">
        <v>661</v>
      </c>
      <c r="AA67">
        <v>5873663</v>
      </c>
      <c r="AB67" t="s">
        <v>366</v>
      </c>
      <c r="AC67" s="11">
        <v>0.01</v>
      </c>
      <c r="AD67" s="9" t="str">
        <f>_xll.SNL.Clients.Office.Excel.Functions.SPG(AA67, "SP_COUNTRY_NAME")</f>
        <v>Canada</v>
      </c>
      <c r="AE67" t="s">
        <v>463</v>
      </c>
      <c r="AF67">
        <v>4138888</v>
      </c>
      <c r="AG67" t="s">
        <v>346</v>
      </c>
      <c r="AH67" s="11">
        <v>0.03</v>
      </c>
      <c r="AI67" s="9" t="str">
        <f>_xll.SNL.Clients.Office.Excel.Functions.SPG(AF67, "SP_COUNTRY_NAME")</f>
        <v>Norway</v>
      </c>
      <c r="AN67" s="9" t="str">
        <f>_xll.SNL.Clients.Office.Excel.Functions.SPG(AK67, "SP_COUNTRY_NAME")</f>
        <v>#INVALID COMPANY ID</v>
      </c>
      <c r="AO67" t="s">
        <v>388</v>
      </c>
      <c r="AP67">
        <v>4057506</v>
      </c>
      <c r="AQ67" t="s">
        <v>346</v>
      </c>
      <c r="AR67" s="11">
        <v>7.0000000000000007E-2</v>
      </c>
      <c r="AS67" s="9" t="str">
        <f>_xll.SNL.Clients.Office.Excel.Functions.SPG(AP67, "SP_COUNTRY_NAME")</f>
        <v>USA</v>
      </c>
      <c r="AX67" s="9" t="str">
        <f>_xll.SNL.Clients.Office.Excel.Functions.SPG(AU67, "SP_COUNTRY_NAME")</f>
        <v>#INVALID COMPANY ID</v>
      </c>
      <c r="AY67" t="s">
        <v>393</v>
      </c>
      <c r="AZ67">
        <v>4723508</v>
      </c>
      <c r="BA67" t="s">
        <v>346</v>
      </c>
      <c r="BB67" s="11">
        <v>0</v>
      </c>
      <c r="BC67" s="9" t="str">
        <f>_xll.SNL.Clients.Office.Excel.Functions.SPG(AZ67, "SP_COUNTRY_NAME")</f>
        <v>United Kingdom</v>
      </c>
      <c r="BD67" t="s">
        <v>955</v>
      </c>
      <c r="BE67">
        <v>4138889</v>
      </c>
      <c r="BF67" t="s">
        <v>346</v>
      </c>
      <c r="BG67" s="11">
        <v>0.16</v>
      </c>
      <c r="BH67" s="9" t="str">
        <f>_xll.SNL.Clients.Office.Excel.Functions.SPG(BE67, "SP_COUNTRY_NAME")</f>
        <v>United Kingdom</v>
      </c>
      <c r="BI67" t="s">
        <v>645</v>
      </c>
      <c r="BJ67">
        <v>4198648</v>
      </c>
      <c r="BK67" t="s">
        <v>346</v>
      </c>
      <c r="BL67" s="11">
        <v>0.06</v>
      </c>
      <c r="BM67" s="9" t="str">
        <f>_xll.SNL.Clients.Office.Excel.Functions.SPG(BJ67, "SP_COUNTRY_NAME")</f>
        <v>Finland</v>
      </c>
      <c r="BN67" t="s">
        <v>394</v>
      </c>
      <c r="BO67">
        <v>4048695</v>
      </c>
      <c r="BP67" t="s">
        <v>346</v>
      </c>
      <c r="BQ67" s="11">
        <v>0.04</v>
      </c>
      <c r="BR67" s="9" t="str">
        <f>_xll.SNL.Clients.Office.Excel.Functions.SPG(BO67, "SP_COUNTRY_NAME")</f>
        <v>USA</v>
      </c>
      <c r="BS67" t="s">
        <v>546</v>
      </c>
      <c r="BT67">
        <v>4158830</v>
      </c>
      <c r="BU67" t="s">
        <v>346</v>
      </c>
      <c r="BV67" s="11">
        <v>0.08</v>
      </c>
      <c r="BW67" s="9" t="str">
        <f>_xll.SNL.Clients.Office.Excel.Functions.SPG(BT67, "SP_COUNTRY_NAME")</f>
        <v>USA</v>
      </c>
      <c r="BX67" t="s">
        <v>458</v>
      </c>
      <c r="BY67">
        <v>109806</v>
      </c>
      <c r="BZ67" t="s">
        <v>346</v>
      </c>
      <c r="CA67" s="11">
        <v>0.08</v>
      </c>
      <c r="CB67" s="9" t="str">
        <f>_xll.SNL.Clients.Office.Excel.Functions.SPG(BY67, "SP_COUNTRY_NAME")</f>
        <v>USA</v>
      </c>
      <c r="CC67" t="s">
        <v>393</v>
      </c>
      <c r="CD67">
        <v>4723508</v>
      </c>
      <c r="CE67" t="s">
        <v>346</v>
      </c>
      <c r="CF67" s="11">
        <v>0.13</v>
      </c>
      <c r="CG67" s="9" t="str">
        <f>_xll.SNL.Clients.Office.Excel.Functions.SPG(CD67, "SP_COUNTRY_NAME")</f>
        <v>United Kingdom</v>
      </c>
      <c r="CH67" t="s">
        <v>388</v>
      </c>
      <c r="CI67">
        <v>4057506</v>
      </c>
      <c r="CJ67" t="s">
        <v>346</v>
      </c>
      <c r="CK67" s="11">
        <v>7.0000000000000007E-2</v>
      </c>
      <c r="CL67" s="9" t="str">
        <f>_xll.SNL.Clients.Office.Excel.Functions.SPG(CI67, "SP_COUNTRY_NAME")</f>
        <v>USA</v>
      </c>
      <c r="CM67" t="s">
        <v>1190</v>
      </c>
      <c r="CN67">
        <v>4135104</v>
      </c>
      <c r="CO67" t="s">
        <v>364</v>
      </c>
      <c r="CP67" s="11">
        <v>0.13</v>
      </c>
      <c r="CQ67" s="9" t="str">
        <f>_xll.SNL.Clients.Office.Excel.Functions.SPG(CN67, "SP_COUNTRY_NAME")</f>
        <v>United Kingdom</v>
      </c>
      <c r="CV67" s="9" t="str">
        <f>_xll.SNL.Clients.Office.Excel.Functions.SPG(CS67, "SP_COUNTRY_NAME")</f>
        <v>#INVALID COMPANY ID</v>
      </c>
      <c r="DA67" s="9" t="str">
        <f>_xll.SNL.Clients.Office.Excel.Functions.SPG(CX67, "SP_COUNTRY_NAME")</f>
        <v>#INVALID COMPANY ID</v>
      </c>
      <c r="DB67" t="s">
        <v>955</v>
      </c>
      <c r="DC67">
        <v>4138889</v>
      </c>
      <c r="DD67" t="s">
        <v>346</v>
      </c>
      <c r="DE67" s="11">
        <v>0.16</v>
      </c>
      <c r="DF67" s="9" t="str">
        <f>_xll.SNL.Clients.Office.Excel.Functions.SPG(DC67, "SP_COUNTRY_NAME")</f>
        <v>United Kingdom</v>
      </c>
      <c r="DK67" s="9" t="str">
        <f>_xll.SNL.Clients.Office.Excel.Functions.SPG(DH67, "SP_COUNTRY_NAME")</f>
        <v>#INVALID COMPANY ID</v>
      </c>
      <c r="DL67" t="s">
        <v>955</v>
      </c>
      <c r="DM67">
        <v>4138889</v>
      </c>
      <c r="DN67" t="s">
        <v>346</v>
      </c>
      <c r="DO67" s="11">
        <v>0.16</v>
      </c>
      <c r="DP67" s="9" t="str">
        <f>_xll.SNL.Clients.Office.Excel.Functions.SPG(DM67, "SP_COUNTRY_NAME")</f>
        <v>United Kingdom</v>
      </c>
      <c r="DU67" s="9" t="str">
        <f>_xll.SNL.Clients.Office.Excel.Functions.SPG(DR67, "SP_COUNTRY_NAME")</f>
        <v>#INVALID COMPANY ID</v>
      </c>
      <c r="DV67" t="s">
        <v>999</v>
      </c>
      <c r="DW67">
        <v>4031268</v>
      </c>
      <c r="DX67" t="s">
        <v>346</v>
      </c>
      <c r="DY67" s="11">
        <v>0</v>
      </c>
      <c r="DZ67" s="9" t="str">
        <f>_xll.SNL.Clients.Office.Excel.Functions.SPG(DW67, "SP_COUNTRY_NAME")</f>
        <v>USA</v>
      </c>
      <c r="EA67" t="s">
        <v>393</v>
      </c>
      <c r="EB67">
        <v>4723508</v>
      </c>
      <c r="EC67" t="s">
        <v>346</v>
      </c>
      <c r="ED67" s="11">
        <v>0.13</v>
      </c>
      <c r="EE67" s="9" t="str">
        <f>_xll.SNL.Clients.Office.Excel.Functions.SPG(EB67, "SP_COUNTRY_NAME")</f>
        <v>United Kingdom</v>
      </c>
      <c r="EF67" t="s">
        <v>955</v>
      </c>
      <c r="EG67">
        <v>4138889</v>
      </c>
      <c r="EH67" t="s">
        <v>346</v>
      </c>
      <c r="EI67" s="11">
        <v>0.16</v>
      </c>
      <c r="EJ67" s="9" t="str">
        <f>_xll.SNL.Clients.Office.Excel.Functions.SPG(EG67, "SP_COUNTRY_NAME")</f>
        <v>United Kingdom</v>
      </c>
      <c r="EO67" s="9" t="str">
        <f>_xll.SNL.Clients.Office.Excel.Functions.SPG(EL67, "SP_COUNTRY_NAME")</f>
        <v>#INVALID COMPANY ID</v>
      </c>
      <c r="EP67" t="s">
        <v>675</v>
      </c>
      <c r="EQ67">
        <v>4548312</v>
      </c>
      <c r="ER67" t="s">
        <v>346</v>
      </c>
      <c r="ES67" s="11">
        <v>0</v>
      </c>
      <c r="ET67" s="9" t="str">
        <f>_xll.SNL.Clients.Office.Excel.Functions.SPG(EQ67, "SP_COUNTRY_NAME")</f>
        <v>China</v>
      </c>
      <c r="EY67" s="9" t="str">
        <f>_xll.SNL.Clients.Office.Excel.Functions.SPG(EV67, "SP_COUNTRY_NAME")</f>
        <v>#INVALID COMPANY ID</v>
      </c>
      <c r="FD67" s="9" t="str">
        <f>_xll.SNL.Clients.Office.Excel.Functions.SPG(FA67, "SP_COUNTRY_NAME")</f>
        <v>#INVALID COMPANY ID</v>
      </c>
      <c r="FI67" s="9" t="str">
        <f>_xll.SNL.Clients.Office.Excel.Functions.SPG(FF67, "SP_COUNTRY_NAME")</f>
        <v>#INVALID COMPANY ID</v>
      </c>
      <c r="FJ67" t="s">
        <v>2160</v>
      </c>
      <c r="FK67">
        <v>10533989</v>
      </c>
      <c r="FL67" t="s">
        <v>346</v>
      </c>
      <c r="FM67" s="11">
        <v>0.02</v>
      </c>
      <c r="FN67" s="9" t="str">
        <f>_xll.SNL.Clients.Office.Excel.Functions.SPG(FK67, "SP_COUNTRY_NAME")</f>
        <v>Switzerland</v>
      </c>
      <c r="FS67" s="9" t="str">
        <f>_xll.SNL.Clients.Office.Excel.Functions.SPG(FP67, "SP_COUNTRY_NAME")</f>
        <v>#INVALID COMPANY ID</v>
      </c>
      <c r="FX67" s="9" t="str">
        <f>_xll.SNL.Clients.Office.Excel.Functions.SPG(FU67, "SP_COUNTRY_NAME")</f>
        <v>#INVALID COMPANY ID</v>
      </c>
      <c r="FY67" t="s">
        <v>955</v>
      </c>
      <c r="FZ67">
        <v>4138889</v>
      </c>
      <c r="GA67" t="s">
        <v>346</v>
      </c>
      <c r="GB67" s="11">
        <v>0.16</v>
      </c>
      <c r="GC67" s="9" t="str">
        <f>_xll.SNL.Clients.Office.Excel.Functions.SPG(FZ67, "SP_COUNTRY_NAME")</f>
        <v>United Kingdom</v>
      </c>
      <c r="GH67" s="9" t="str">
        <f>_xll.SNL.Clients.Office.Excel.Functions.SPG(GE67, "SP_COUNTRY_NAME")</f>
        <v>#INVALID COMPANY ID</v>
      </c>
      <c r="GM67" s="9" t="str">
        <f>_xll.SNL.Clients.Office.Excel.Functions.SPG(GJ67, "SP_COUNTRY_NAME")</f>
        <v>#INVALID COMPANY ID</v>
      </c>
      <c r="GN67" t="s">
        <v>2160</v>
      </c>
      <c r="GO67">
        <v>10533989</v>
      </c>
      <c r="GP67" t="s">
        <v>346</v>
      </c>
      <c r="GQ67" s="11">
        <v>0.02</v>
      </c>
      <c r="GR67" s="9" t="str">
        <f>_xll.SNL.Clients.Office.Excel.Functions.SPG(GO67, "SP_COUNTRY_NAME")</f>
        <v>Switzerland</v>
      </c>
      <c r="GS67" t="s">
        <v>394</v>
      </c>
      <c r="GT67">
        <v>4048695</v>
      </c>
      <c r="GU67" t="s">
        <v>346</v>
      </c>
      <c r="GV67" s="11">
        <v>0.04</v>
      </c>
      <c r="GW67" s="9" t="str">
        <f>_xll.SNL.Clients.Office.Excel.Functions.SPG(GT67, "SP_COUNTRY_NAME")</f>
        <v>USA</v>
      </c>
      <c r="GX67" t="s">
        <v>393</v>
      </c>
      <c r="GY67">
        <v>4723508</v>
      </c>
      <c r="GZ67" t="s">
        <v>346</v>
      </c>
      <c r="HA67" s="11">
        <v>0.13</v>
      </c>
      <c r="HB67" s="9" t="str">
        <f>_xll.SNL.Clients.Office.Excel.Functions.SPG(GY67, "SP_COUNTRY_NAME")</f>
        <v>United Kingdom</v>
      </c>
      <c r="HG67" s="9" t="str">
        <f>_xll.SNL.Clients.Office.Excel.Functions.SPG(HD67, "SP_COUNTRY_NAME")</f>
        <v>#INVALID COMPANY ID</v>
      </c>
    </row>
    <row r="68" spans="5:215" x14ac:dyDescent="0.35">
      <c r="E68" s="9" t="str">
        <f>_xll.SNL.Clients.Office.Excel.Functions.SPG(B68, "SP_COUNTRY_NAME")</f>
        <v>#INVALID COMPANY ID</v>
      </c>
      <c r="F68" t="s">
        <v>386</v>
      </c>
      <c r="G68">
        <v>4145085</v>
      </c>
      <c r="H68" t="s">
        <v>346</v>
      </c>
      <c r="I68" s="11">
        <v>0.03</v>
      </c>
      <c r="J68" s="9" t="str">
        <f>_xll.SNL.Clients.Office.Excel.Functions.SPG(G68, "SP_COUNTRY_NAME")</f>
        <v>United Kingdom</v>
      </c>
      <c r="K68" t="s">
        <v>662</v>
      </c>
      <c r="L68">
        <v>4316799</v>
      </c>
      <c r="M68" t="s">
        <v>346</v>
      </c>
      <c r="N68" s="11">
        <v>0.01</v>
      </c>
      <c r="O68" s="9" t="str">
        <f>_xll.SNL.Clients.Office.Excel.Functions.SPG(L68, "SP_COUNTRY_NAME")</f>
        <v>China</v>
      </c>
      <c r="T68" s="9" t="str">
        <f>_xll.SNL.Clients.Office.Excel.Functions.SPG(Q68, "SP_COUNTRY_NAME")</f>
        <v>#INVALID COMPANY ID</v>
      </c>
      <c r="U68" t="s">
        <v>677</v>
      </c>
      <c r="V68">
        <v>4345260</v>
      </c>
      <c r="W68" t="s">
        <v>346</v>
      </c>
      <c r="X68" s="11">
        <v>7.0000000000000007E-2</v>
      </c>
      <c r="Y68" s="9" t="str">
        <f>_xll.SNL.Clients.Office.Excel.Functions.SPG(V68, "SP_COUNTRY_NAME")</f>
        <v>China</v>
      </c>
      <c r="Z68" t="s">
        <v>662</v>
      </c>
      <c r="AA68">
        <v>4316799</v>
      </c>
      <c r="AB68" t="s">
        <v>346</v>
      </c>
      <c r="AC68" s="11">
        <v>0.01</v>
      </c>
      <c r="AD68" s="9" t="str">
        <f>_xll.SNL.Clients.Office.Excel.Functions.SPG(AA68, "SP_COUNTRY_NAME")</f>
        <v>China</v>
      </c>
      <c r="AE68" t="s">
        <v>1124</v>
      </c>
      <c r="AF68">
        <v>4138836</v>
      </c>
      <c r="AG68" t="s">
        <v>346</v>
      </c>
      <c r="AH68" s="11">
        <v>0.03</v>
      </c>
      <c r="AI68" s="9" t="str">
        <f>_xll.SNL.Clients.Office.Excel.Functions.SPG(AF68, "SP_COUNTRY_NAME")</f>
        <v>Poland</v>
      </c>
      <c r="AN68" s="9" t="str">
        <f>_xll.SNL.Clients.Office.Excel.Functions.SPG(AK68, "SP_COUNTRY_NAME")</f>
        <v>#INVALID COMPANY ID</v>
      </c>
      <c r="AO68" t="s">
        <v>468</v>
      </c>
      <c r="AP68">
        <v>4556191</v>
      </c>
      <c r="AQ68" t="s">
        <v>346</v>
      </c>
      <c r="AR68" s="11">
        <v>7.0000000000000007E-2</v>
      </c>
      <c r="AS68" s="9" t="str">
        <f>_xll.SNL.Clients.Office.Excel.Functions.SPG(AP68, "SP_COUNTRY_NAME")</f>
        <v>USA</v>
      </c>
      <c r="AX68" s="9" t="str">
        <f>_xll.SNL.Clients.Office.Excel.Functions.SPG(AU68, "SP_COUNTRY_NAME")</f>
        <v>#INVALID COMPANY ID</v>
      </c>
      <c r="AY68" t="s">
        <v>410</v>
      </c>
      <c r="AZ68">
        <v>5759394</v>
      </c>
      <c r="BA68" t="s">
        <v>346</v>
      </c>
      <c r="BB68" s="11">
        <v>0</v>
      </c>
      <c r="BC68" s="9" t="str">
        <f>_xll.SNL.Clients.Office.Excel.Functions.SPG(AZ68, "SP_COUNTRY_NAME")</f>
        <v>Ireland</v>
      </c>
      <c r="BD68" t="s">
        <v>1403</v>
      </c>
      <c r="BE68">
        <v>4138769</v>
      </c>
      <c r="BF68" t="s">
        <v>369</v>
      </c>
      <c r="BG68" s="11">
        <v>0.16</v>
      </c>
      <c r="BH68" s="9" t="str">
        <f>_xll.SNL.Clients.Office.Excel.Functions.SPG(BE68, "SP_COUNTRY_NAME")</f>
        <v>Singapore</v>
      </c>
      <c r="BI68" t="s">
        <v>1562</v>
      </c>
      <c r="BJ68">
        <v>11963653</v>
      </c>
      <c r="BK68" t="s">
        <v>346</v>
      </c>
      <c r="BL68" s="11">
        <v>0.06</v>
      </c>
      <c r="BM68" s="9" t="str">
        <f>_xll.SNL.Clients.Office.Excel.Functions.SPG(BJ68, "SP_COUNTRY_NAME")</f>
        <v>USA</v>
      </c>
      <c r="BN68" t="s">
        <v>735</v>
      </c>
      <c r="BO68">
        <v>4345966</v>
      </c>
      <c r="BP68" t="s">
        <v>346</v>
      </c>
      <c r="BQ68" s="11">
        <v>0.04</v>
      </c>
      <c r="BR68" s="9" t="str">
        <f>_xll.SNL.Clients.Office.Excel.Functions.SPG(BO68, "SP_COUNTRY_NAME")</f>
        <v>China</v>
      </c>
      <c r="BS68" t="s">
        <v>399</v>
      </c>
      <c r="BT68">
        <v>4026948</v>
      </c>
      <c r="BU68" t="s">
        <v>346</v>
      </c>
      <c r="BV68" s="11">
        <v>0.08</v>
      </c>
      <c r="BW68" s="9" t="str">
        <f>_xll.SNL.Clients.Office.Excel.Functions.SPG(BT68, "SP_COUNTRY_NAME")</f>
        <v>France</v>
      </c>
      <c r="BX68" t="s">
        <v>677</v>
      </c>
      <c r="BY68">
        <v>4345260</v>
      </c>
      <c r="BZ68" t="s">
        <v>346</v>
      </c>
      <c r="CA68" s="11">
        <v>7.0000000000000007E-2</v>
      </c>
      <c r="CB68" s="9" t="str">
        <f>_xll.SNL.Clients.Office.Excel.Functions.SPG(BY68, "SP_COUNTRY_NAME")</f>
        <v>China</v>
      </c>
      <c r="CC68" t="s">
        <v>974</v>
      </c>
      <c r="CD68">
        <v>5828077</v>
      </c>
      <c r="CE68" t="s">
        <v>346</v>
      </c>
      <c r="CF68" s="11">
        <v>0.13</v>
      </c>
      <c r="CG68" s="9" t="str">
        <f>_xll.SNL.Clients.Office.Excel.Functions.SPG(CD68, "SP_COUNTRY_NAME")</f>
        <v>United Kingdom</v>
      </c>
      <c r="CH68" t="s">
        <v>468</v>
      </c>
      <c r="CI68">
        <v>4556191</v>
      </c>
      <c r="CJ68" t="s">
        <v>346</v>
      </c>
      <c r="CK68" s="11">
        <v>7.0000000000000007E-2</v>
      </c>
      <c r="CL68" s="9" t="str">
        <f>_xll.SNL.Clients.Office.Excel.Functions.SPG(CI68, "SP_COUNTRY_NAME")</f>
        <v>USA</v>
      </c>
      <c r="CM68" t="s">
        <v>393</v>
      </c>
      <c r="CN68">
        <v>4723508</v>
      </c>
      <c r="CO68" t="s">
        <v>346</v>
      </c>
      <c r="CP68" s="11">
        <v>0.13</v>
      </c>
      <c r="CQ68" s="9" t="str">
        <f>_xll.SNL.Clients.Office.Excel.Functions.SPG(CN68, "SP_COUNTRY_NAME")</f>
        <v>United Kingdom</v>
      </c>
      <c r="CV68" s="9" t="str">
        <f>_xll.SNL.Clients.Office.Excel.Functions.SPG(CS68, "SP_COUNTRY_NAME")</f>
        <v>#INVALID COMPANY ID</v>
      </c>
      <c r="DA68" s="9" t="str">
        <f>_xll.SNL.Clients.Office.Excel.Functions.SPG(CX68, "SP_COUNTRY_NAME")</f>
        <v>#INVALID COMPANY ID</v>
      </c>
      <c r="DB68" t="s">
        <v>1403</v>
      </c>
      <c r="DC68">
        <v>4138769</v>
      </c>
      <c r="DD68" t="s">
        <v>369</v>
      </c>
      <c r="DE68" s="11">
        <v>0.16</v>
      </c>
      <c r="DF68" s="9" t="str">
        <f>_xll.SNL.Clients.Office.Excel.Functions.SPG(DC68, "SP_COUNTRY_NAME")</f>
        <v>Singapore</v>
      </c>
      <c r="DK68" s="9" t="str">
        <f>_xll.SNL.Clients.Office.Excel.Functions.SPG(DH68, "SP_COUNTRY_NAME")</f>
        <v>#INVALID COMPANY ID</v>
      </c>
      <c r="DL68" t="s">
        <v>1403</v>
      </c>
      <c r="DM68">
        <v>4138769</v>
      </c>
      <c r="DN68" t="s">
        <v>369</v>
      </c>
      <c r="DO68" s="11">
        <v>0.16</v>
      </c>
      <c r="DP68" s="9" t="str">
        <f>_xll.SNL.Clients.Office.Excel.Functions.SPG(DM68, "SP_COUNTRY_NAME")</f>
        <v>Singapore</v>
      </c>
      <c r="DU68" s="9" t="str">
        <f>_xll.SNL.Clients.Office.Excel.Functions.SPG(DR68, "SP_COUNTRY_NAME")</f>
        <v>#INVALID COMPANY ID</v>
      </c>
      <c r="DV68" t="s">
        <v>1202</v>
      </c>
      <c r="DW68">
        <v>5850609</v>
      </c>
      <c r="DX68" t="s">
        <v>346</v>
      </c>
      <c r="DY68" s="11">
        <v>0</v>
      </c>
      <c r="DZ68" s="9" t="str">
        <f>_xll.SNL.Clients.Office.Excel.Functions.SPG(DW68, "SP_COUNTRY_NAME")</f>
        <v>Germany</v>
      </c>
      <c r="EA68" t="s">
        <v>974</v>
      </c>
      <c r="EB68">
        <v>5828077</v>
      </c>
      <c r="EC68" t="s">
        <v>346</v>
      </c>
      <c r="ED68" s="11">
        <v>0.13</v>
      </c>
      <c r="EE68" s="9" t="str">
        <f>_xll.SNL.Clients.Office.Excel.Functions.SPG(EB68, "SP_COUNTRY_NAME")</f>
        <v>United Kingdom</v>
      </c>
      <c r="EF68" t="s">
        <v>1403</v>
      </c>
      <c r="EG68">
        <v>4138769</v>
      </c>
      <c r="EH68" t="s">
        <v>369</v>
      </c>
      <c r="EI68" s="11">
        <v>0.16</v>
      </c>
      <c r="EJ68" s="9" t="str">
        <f>_xll.SNL.Clients.Office.Excel.Functions.SPG(EG68, "SP_COUNTRY_NAME")</f>
        <v>Singapore</v>
      </c>
      <c r="EO68" s="9" t="str">
        <f>_xll.SNL.Clients.Office.Excel.Functions.SPG(EL68, "SP_COUNTRY_NAME")</f>
        <v>#INVALID COMPANY ID</v>
      </c>
      <c r="EP68" t="s">
        <v>754</v>
      </c>
      <c r="EQ68">
        <v>11183019</v>
      </c>
      <c r="ER68" t="s">
        <v>346</v>
      </c>
      <c r="ES68" s="11">
        <v>0</v>
      </c>
      <c r="ET68" s="9" t="str">
        <f>_xll.SNL.Clients.Office.Excel.Functions.SPG(EQ68, "SP_COUNTRY_NAME")</f>
        <v>China</v>
      </c>
      <c r="EY68" s="9" t="str">
        <f>_xll.SNL.Clients.Office.Excel.Functions.SPG(EV68, "SP_COUNTRY_NAME")</f>
        <v>#INVALID COMPANY ID</v>
      </c>
      <c r="FD68" s="9" t="str">
        <f>_xll.SNL.Clients.Office.Excel.Functions.SPG(FA68, "SP_COUNTRY_NAME")</f>
        <v>#INVALID COMPANY ID</v>
      </c>
      <c r="FI68" s="9" t="str">
        <f>_xll.SNL.Clients.Office.Excel.Functions.SPG(FF68, "SP_COUNTRY_NAME")</f>
        <v>#INVALID COMPANY ID</v>
      </c>
      <c r="FJ68" t="s">
        <v>464</v>
      </c>
      <c r="FK68">
        <v>4629378</v>
      </c>
      <c r="FL68" t="s">
        <v>346</v>
      </c>
      <c r="FM68" s="11">
        <v>0.02</v>
      </c>
      <c r="FN68" s="9" t="str">
        <f>_xll.SNL.Clients.Office.Excel.Functions.SPG(FK68, "SP_COUNTRY_NAME")</f>
        <v>Japan</v>
      </c>
      <c r="FS68" s="9" t="str">
        <f>_xll.SNL.Clients.Office.Excel.Functions.SPG(FP68, "SP_COUNTRY_NAME")</f>
        <v>#INVALID COMPANY ID</v>
      </c>
      <c r="FX68" s="9" t="str">
        <f>_xll.SNL.Clients.Office.Excel.Functions.SPG(FU68, "SP_COUNTRY_NAME")</f>
        <v>#INVALID COMPANY ID</v>
      </c>
      <c r="FY68" t="s">
        <v>1403</v>
      </c>
      <c r="FZ68">
        <v>4138769</v>
      </c>
      <c r="GA68" t="s">
        <v>369</v>
      </c>
      <c r="GB68" s="11">
        <v>0.16</v>
      </c>
      <c r="GC68" s="9" t="str">
        <f>_xll.SNL.Clients.Office.Excel.Functions.SPG(FZ68, "SP_COUNTRY_NAME")</f>
        <v>Singapore</v>
      </c>
      <c r="GH68" s="9" t="str">
        <f>_xll.SNL.Clients.Office.Excel.Functions.SPG(GE68, "SP_COUNTRY_NAME")</f>
        <v>#INVALID COMPANY ID</v>
      </c>
      <c r="GM68" s="9" t="str">
        <f>_xll.SNL.Clients.Office.Excel.Functions.SPG(GJ68, "SP_COUNTRY_NAME")</f>
        <v>#INVALID COMPANY ID</v>
      </c>
      <c r="GN68" t="s">
        <v>464</v>
      </c>
      <c r="GO68">
        <v>4629378</v>
      </c>
      <c r="GP68" t="s">
        <v>346</v>
      </c>
      <c r="GQ68" s="11">
        <v>0.02</v>
      </c>
      <c r="GR68" s="9" t="str">
        <f>_xll.SNL.Clients.Office.Excel.Functions.SPG(GO68, "SP_COUNTRY_NAME")</f>
        <v>Japan</v>
      </c>
      <c r="GS68" t="s">
        <v>735</v>
      </c>
      <c r="GT68">
        <v>4345966</v>
      </c>
      <c r="GU68" t="s">
        <v>346</v>
      </c>
      <c r="GV68" s="11">
        <v>0.04</v>
      </c>
      <c r="GW68" s="9" t="str">
        <f>_xll.SNL.Clients.Office.Excel.Functions.SPG(GT68, "SP_COUNTRY_NAME")</f>
        <v>China</v>
      </c>
      <c r="GX68" t="s">
        <v>974</v>
      </c>
      <c r="GY68">
        <v>5828077</v>
      </c>
      <c r="GZ68" t="s">
        <v>346</v>
      </c>
      <c r="HA68" s="11">
        <v>0.13</v>
      </c>
      <c r="HB68" s="9" t="str">
        <f>_xll.SNL.Clients.Office.Excel.Functions.SPG(GY68, "SP_COUNTRY_NAME")</f>
        <v>United Kingdom</v>
      </c>
      <c r="HG68" s="9" t="str">
        <f>_xll.SNL.Clients.Office.Excel.Functions.SPG(HD68, "SP_COUNTRY_NAME")</f>
        <v>#INVALID COMPANY ID</v>
      </c>
    </row>
    <row r="69" spans="5:215" x14ac:dyDescent="0.35">
      <c r="E69" s="9" t="str">
        <f>_xll.SNL.Clients.Office.Excel.Functions.SPG(B69, "SP_COUNTRY_NAME")</f>
        <v>#INVALID COMPANY ID</v>
      </c>
      <c r="F69" t="s">
        <v>463</v>
      </c>
      <c r="G69">
        <v>4138888</v>
      </c>
      <c r="H69" t="s">
        <v>346</v>
      </c>
      <c r="I69" s="11">
        <v>0.03</v>
      </c>
      <c r="J69" s="9" t="str">
        <f>_xll.SNL.Clients.Office.Excel.Functions.SPG(G69, "SP_COUNTRY_NAME")</f>
        <v>Norway</v>
      </c>
      <c r="K69" t="s">
        <v>663</v>
      </c>
      <c r="L69">
        <v>4080954</v>
      </c>
      <c r="M69" t="s">
        <v>346</v>
      </c>
      <c r="N69" s="11">
        <v>0.01</v>
      </c>
      <c r="O69" s="9" t="str">
        <f>_xll.SNL.Clients.Office.Excel.Functions.SPG(L69, "SP_COUNTRY_NAME")</f>
        <v>Denmark</v>
      </c>
      <c r="T69" s="9" t="str">
        <f>_xll.SNL.Clients.Office.Excel.Functions.SPG(Q69, "SP_COUNTRY_NAME")</f>
        <v>#INVALID COMPANY ID</v>
      </c>
      <c r="U69" t="s">
        <v>683</v>
      </c>
      <c r="V69">
        <v>4137754</v>
      </c>
      <c r="W69" t="s">
        <v>346</v>
      </c>
      <c r="X69" s="11">
        <v>7.0000000000000007E-2</v>
      </c>
      <c r="Y69" s="9" t="str">
        <f>_xll.SNL.Clients.Office.Excel.Functions.SPG(V69, "SP_COUNTRY_NAME")</f>
        <v>China</v>
      </c>
      <c r="Z69" t="s">
        <v>663</v>
      </c>
      <c r="AA69">
        <v>4080954</v>
      </c>
      <c r="AB69" t="s">
        <v>346</v>
      </c>
      <c r="AC69" s="11">
        <v>0.01</v>
      </c>
      <c r="AD69" s="9" t="str">
        <f>_xll.SNL.Clients.Office.Excel.Functions.SPG(AA69, "SP_COUNTRY_NAME")</f>
        <v>Denmark</v>
      </c>
      <c r="AE69" t="s">
        <v>437</v>
      </c>
      <c r="AF69">
        <v>4102073</v>
      </c>
      <c r="AG69" t="s">
        <v>346</v>
      </c>
      <c r="AH69" s="11">
        <v>0.03</v>
      </c>
      <c r="AI69" s="9" t="str">
        <f>_xll.SNL.Clients.Office.Excel.Functions.SPG(AF69, "SP_COUNTRY_NAME")</f>
        <v>USA</v>
      </c>
      <c r="AN69" s="9" t="str">
        <f>_xll.SNL.Clients.Office.Excel.Functions.SPG(AK69, "SP_COUNTRY_NAME")</f>
        <v>#INVALID COMPANY ID</v>
      </c>
      <c r="AO69" t="s">
        <v>501</v>
      </c>
      <c r="AP69">
        <v>111359</v>
      </c>
      <c r="AQ69" t="s">
        <v>346</v>
      </c>
      <c r="AR69" s="11">
        <v>0.06</v>
      </c>
      <c r="AS69" s="9" t="str">
        <f>_xll.SNL.Clients.Office.Excel.Functions.SPG(AP69, "SP_COUNTRY_NAME")</f>
        <v>USA</v>
      </c>
      <c r="AX69" s="9" t="str">
        <f>_xll.SNL.Clients.Office.Excel.Functions.SPG(AU69, "SP_COUNTRY_NAME")</f>
        <v>#INVALID COMPANY ID</v>
      </c>
      <c r="AY69" t="s">
        <v>453</v>
      </c>
      <c r="AZ69">
        <v>4318598</v>
      </c>
      <c r="BA69" t="s">
        <v>346</v>
      </c>
      <c r="BB69" s="11">
        <v>0</v>
      </c>
      <c r="BC69" s="9" t="str">
        <f>_xll.SNL.Clients.Office.Excel.Functions.SPG(AZ69, "SP_COUNTRY_NAME")</f>
        <v>USA</v>
      </c>
      <c r="BD69" t="s">
        <v>565</v>
      </c>
      <c r="BE69">
        <v>26566323</v>
      </c>
      <c r="BF69" t="s">
        <v>346</v>
      </c>
      <c r="BG69" s="11">
        <v>0.15</v>
      </c>
      <c r="BH69" s="9" t="str">
        <f>_xll.SNL.Clients.Office.Excel.Functions.SPG(BE69, "SP_COUNTRY_NAME")</f>
        <v>USA</v>
      </c>
      <c r="BI69" t="s">
        <v>502</v>
      </c>
      <c r="BJ69">
        <v>4225041</v>
      </c>
      <c r="BK69" t="s">
        <v>346</v>
      </c>
      <c r="BL69" s="11">
        <v>0.06</v>
      </c>
      <c r="BM69" s="9" t="str">
        <f>_xll.SNL.Clients.Office.Excel.Functions.SPG(BJ69, "SP_COUNTRY_NAME")</f>
        <v>Ireland</v>
      </c>
      <c r="BN69" t="s">
        <v>496</v>
      </c>
      <c r="BO69">
        <v>110495</v>
      </c>
      <c r="BP69" t="s">
        <v>346</v>
      </c>
      <c r="BQ69" s="11">
        <v>0.04</v>
      </c>
      <c r="BR69" s="9" t="str">
        <f>_xll.SNL.Clients.Office.Excel.Functions.SPG(BO69, "SP_COUNTRY_NAME")</f>
        <v>USA</v>
      </c>
      <c r="BS69" t="s">
        <v>673</v>
      </c>
      <c r="BT69">
        <v>5837129</v>
      </c>
      <c r="BU69" t="s">
        <v>346</v>
      </c>
      <c r="BV69" s="11">
        <v>0.08</v>
      </c>
      <c r="BW69" s="9" t="str">
        <f>_xll.SNL.Clients.Office.Excel.Functions.SPG(BT69, "SP_COUNTRY_NAME")</f>
        <v>China</v>
      </c>
      <c r="BX69" t="s">
        <v>683</v>
      </c>
      <c r="BY69">
        <v>4137754</v>
      </c>
      <c r="BZ69" t="s">
        <v>346</v>
      </c>
      <c r="CA69" s="11">
        <v>7.0000000000000007E-2</v>
      </c>
      <c r="CB69" s="9" t="str">
        <f>_xll.SNL.Clients.Office.Excel.Functions.SPG(BY69, "SP_COUNTRY_NAME")</f>
        <v>China</v>
      </c>
      <c r="CC69" t="s">
        <v>1626</v>
      </c>
      <c r="CD69">
        <v>5847756</v>
      </c>
      <c r="CE69" t="s">
        <v>364</v>
      </c>
      <c r="CF69" s="11">
        <v>0.13</v>
      </c>
      <c r="CG69" s="9" t="str">
        <f>_xll.SNL.Clients.Office.Excel.Functions.SPG(CD69, "SP_COUNTRY_NAME")</f>
        <v>Brazil</v>
      </c>
      <c r="CH69" t="s">
        <v>501</v>
      </c>
      <c r="CI69">
        <v>111359</v>
      </c>
      <c r="CJ69" t="s">
        <v>346</v>
      </c>
      <c r="CK69" s="11">
        <v>0.06</v>
      </c>
      <c r="CL69" s="9" t="str">
        <f>_xll.SNL.Clients.Office.Excel.Functions.SPG(CI69, "SP_COUNTRY_NAME")</f>
        <v>USA</v>
      </c>
      <c r="CM69" t="s">
        <v>407</v>
      </c>
      <c r="CN69">
        <v>109754</v>
      </c>
      <c r="CO69" t="s">
        <v>346</v>
      </c>
      <c r="CP69" s="11">
        <v>0.13</v>
      </c>
      <c r="CQ69" s="9" t="str">
        <f>_xll.SNL.Clients.Office.Excel.Functions.SPG(CN69, "SP_COUNTRY_NAME")</f>
        <v>USA</v>
      </c>
      <c r="CV69" s="9" t="str">
        <f>_xll.SNL.Clients.Office.Excel.Functions.SPG(CS69, "SP_COUNTRY_NAME")</f>
        <v>#INVALID COMPANY ID</v>
      </c>
      <c r="DA69" s="9" t="str">
        <f>_xll.SNL.Clients.Office.Excel.Functions.SPG(CX69, "SP_COUNTRY_NAME")</f>
        <v>#INVALID COMPANY ID</v>
      </c>
      <c r="DB69" t="s">
        <v>565</v>
      </c>
      <c r="DC69">
        <v>26566323</v>
      </c>
      <c r="DD69" t="s">
        <v>346</v>
      </c>
      <c r="DE69" s="11">
        <v>0.15</v>
      </c>
      <c r="DF69" s="9" t="str">
        <f>_xll.SNL.Clients.Office.Excel.Functions.SPG(DC69, "SP_COUNTRY_NAME")</f>
        <v>USA</v>
      </c>
      <c r="DK69" s="9" t="str">
        <f>_xll.SNL.Clients.Office.Excel.Functions.SPG(DH69, "SP_COUNTRY_NAME")</f>
        <v>#INVALID COMPANY ID</v>
      </c>
      <c r="DL69" t="s">
        <v>565</v>
      </c>
      <c r="DM69">
        <v>26566323</v>
      </c>
      <c r="DN69" t="s">
        <v>346</v>
      </c>
      <c r="DO69" s="11">
        <v>0.15</v>
      </c>
      <c r="DP69" s="9" t="str">
        <f>_xll.SNL.Clients.Office.Excel.Functions.SPG(DM69, "SP_COUNTRY_NAME")</f>
        <v>USA</v>
      </c>
      <c r="DU69" s="9" t="str">
        <f>_xll.SNL.Clients.Office.Excel.Functions.SPG(DR69, "SP_COUNTRY_NAME")</f>
        <v>#INVALID COMPANY ID</v>
      </c>
      <c r="DV69" t="s">
        <v>404</v>
      </c>
      <c r="DW69">
        <v>4383779</v>
      </c>
      <c r="DX69" t="s">
        <v>346</v>
      </c>
      <c r="DY69" s="11">
        <v>0</v>
      </c>
      <c r="DZ69" s="9" t="str">
        <f>_xll.SNL.Clients.Office.Excel.Functions.SPG(DW69, "SP_COUNTRY_NAME")</f>
        <v>USA</v>
      </c>
      <c r="EA69" t="s">
        <v>1626</v>
      </c>
      <c r="EB69">
        <v>5847756</v>
      </c>
      <c r="EC69" t="s">
        <v>364</v>
      </c>
      <c r="ED69" s="11">
        <v>0.13</v>
      </c>
      <c r="EE69" s="9" t="str">
        <f>_xll.SNL.Clients.Office.Excel.Functions.SPG(EB69, "SP_COUNTRY_NAME")</f>
        <v>Brazil</v>
      </c>
      <c r="EF69" t="s">
        <v>565</v>
      </c>
      <c r="EG69">
        <v>26566323</v>
      </c>
      <c r="EH69" t="s">
        <v>346</v>
      </c>
      <c r="EI69" s="11">
        <v>0.15</v>
      </c>
      <c r="EJ69" s="9" t="str">
        <f>_xll.SNL.Clients.Office.Excel.Functions.SPG(EG69, "SP_COUNTRY_NAME")</f>
        <v>USA</v>
      </c>
      <c r="EO69" s="9" t="str">
        <f>_xll.SNL.Clients.Office.Excel.Functions.SPG(EL69, "SP_COUNTRY_NAME")</f>
        <v>#INVALID COMPANY ID</v>
      </c>
      <c r="EP69" t="s">
        <v>665</v>
      </c>
      <c r="EQ69">
        <v>4137720</v>
      </c>
      <c r="ER69" t="s">
        <v>346</v>
      </c>
      <c r="ES69" s="11">
        <v>0</v>
      </c>
      <c r="ET69" s="9" t="str">
        <f>_xll.SNL.Clients.Office.Excel.Functions.SPG(EQ69, "SP_COUNTRY_NAME")</f>
        <v>China</v>
      </c>
      <c r="EY69" s="9" t="str">
        <f>_xll.SNL.Clients.Office.Excel.Functions.SPG(EV69, "SP_COUNTRY_NAME")</f>
        <v>#INVALID COMPANY ID</v>
      </c>
      <c r="FD69" s="9" t="str">
        <f>_xll.SNL.Clients.Office.Excel.Functions.SPG(FA69, "SP_COUNTRY_NAME")</f>
        <v>#INVALID COMPANY ID</v>
      </c>
      <c r="FI69" s="9" t="str">
        <f>_xll.SNL.Clients.Office.Excel.Functions.SPG(FF69, "SP_COUNTRY_NAME")</f>
        <v>#INVALID COMPANY ID</v>
      </c>
      <c r="FJ69" t="s">
        <v>463</v>
      </c>
      <c r="FK69">
        <v>4138888</v>
      </c>
      <c r="FL69" t="s">
        <v>346</v>
      </c>
      <c r="FM69" s="11">
        <v>0.02</v>
      </c>
      <c r="FN69" s="9" t="str">
        <f>_xll.SNL.Clients.Office.Excel.Functions.SPG(FK69, "SP_COUNTRY_NAME")</f>
        <v>Norway</v>
      </c>
      <c r="FS69" s="9" t="str">
        <f>_xll.SNL.Clients.Office.Excel.Functions.SPG(FP69, "SP_COUNTRY_NAME")</f>
        <v>#INVALID COMPANY ID</v>
      </c>
      <c r="FX69" s="9" t="str">
        <f>_xll.SNL.Clients.Office.Excel.Functions.SPG(FU69, "SP_COUNTRY_NAME")</f>
        <v>#INVALID COMPANY ID</v>
      </c>
      <c r="FY69" t="s">
        <v>565</v>
      </c>
      <c r="FZ69">
        <v>26566323</v>
      </c>
      <c r="GA69" t="s">
        <v>346</v>
      </c>
      <c r="GB69" s="11">
        <v>0.15</v>
      </c>
      <c r="GC69" s="9" t="str">
        <f>_xll.SNL.Clients.Office.Excel.Functions.SPG(FZ69, "SP_COUNTRY_NAME")</f>
        <v>USA</v>
      </c>
      <c r="GH69" s="9" t="str">
        <f>_xll.SNL.Clients.Office.Excel.Functions.SPG(GE69, "SP_COUNTRY_NAME")</f>
        <v>#INVALID COMPANY ID</v>
      </c>
      <c r="GM69" s="9" t="str">
        <f>_xll.SNL.Clients.Office.Excel.Functions.SPG(GJ69, "SP_COUNTRY_NAME")</f>
        <v>#INVALID COMPANY ID</v>
      </c>
      <c r="GN69" t="s">
        <v>463</v>
      </c>
      <c r="GO69">
        <v>4138888</v>
      </c>
      <c r="GP69" t="s">
        <v>346</v>
      </c>
      <c r="GQ69" s="11">
        <v>0.02</v>
      </c>
      <c r="GR69" s="9" t="str">
        <f>_xll.SNL.Clients.Office.Excel.Functions.SPG(GO69, "SP_COUNTRY_NAME")</f>
        <v>Norway</v>
      </c>
      <c r="GS69" t="s">
        <v>496</v>
      </c>
      <c r="GT69">
        <v>110495</v>
      </c>
      <c r="GU69" t="s">
        <v>346</v>
      </c>
      <c r="GV69" s="11">
        <v>0.04</v>
      </c>
      <c r="GW69" s="9" t="str">
        <f>_xll.SNL.Clients.Office.Excel.Functions.SPG(GT69, "SP_COUNTRY_NAME")</f>
        <v>USA</v>
      </c>
      <c r="GX69" t="s">
        <v>1626</v>
      </c>
      <c r="GY69">
        <v>5847756</v>
      </c>
      <c r="GZ69" t="s">
        <v>364</v>
      </c>
      <c r="HA69" s="11">
        <v>0.13</v>
      </c>
      <c r="HB69" s="9" t="str">
        <f>_xll.SNL.Clients.Office.Excel.Functions.SPG(GY69, "SP_COUNTRY_NAME")</f>
        <v>Brazil</v>
      </c>
      <c r="HG69" s="9" t="str">
        <f>_xll.SNL.Clients.Office.Excel.Functions.SPG(HD69, "SP_COUNTRY_NAME")</f>
        <v>#INVALID COMPANY ID</v>
      </c>
    </row>
    <row r="70" spans="5:215" x14ac:dyDescent="0.35">
      <c r="E70" s="9" t="str">
        <f>_xll.SNL.Clients.Office.Excel.Functions.SPG(B70, "SP_COUNTRY_NAME")</f>
        <v>#INVALID COMPANY ID</v>
      </c>
      <c r="F70" t="s">
        <v>464</v>
      </c>
      <c r="G70">
        <v>4629378</v>
      </c>
      <c r="H70" t="s">
        <v>346</v>
      </c>
      <c r="I70" s="11">
        <v>0.02</v>
      </c>
      <c r="J70" s="9" t="str">
        <f>_xll.SNL.Clients.Office.Excel.Functions.SPG(G70, "SP_COUNTRY_NAME")</f>
        <v>Japan</v>
      </c>
      <c r="K70" t="s">
        <v>496</v>
      </c>
      <c r="L70">
        <v>110495</v>
      </c>
      <c r="M70" t="s">
        <v>346</v>
      </c>
      <c r="N70" s="11">
        <v>0.01</v>
      </c>
      <c r="O70" s="9" t="str">
        <f>_xll.SNL.Clients.Office.Excel.Functions.SPG(L70, "SP_COUNTRY_NAME")</f>
        <v>USA</v>
      </c>
      <c r="T70" s="9" t="str">
        <f>_xll.SNL.Clients.Office.Excel.Functions.SPG(Q70, "SP_COUNTRY_NAME")</f>
        <v>#INVALID COMPANY ID</v>
      </c>
      <c r="U70" t="s">
        <v>466</v>
      </c>
      <c r="V70">
        <v>111267</v>
      </c>
      <c r="W70" t="s">
        <v>346</v>
      </c>
      <c r="X70" s="11">
        <v>0.06</v>
      </c>
      <c r="Y70" s="9" t="str">
        <f>_xll.SNL.Clients.Office.Excel.Functions.SPG(V70, "SP_COUNTRY_NAME")</f>
        <v>United Kingdom</v>
      </c>
      <c r="Z70" t="s">
        <v>496</v>
      </c>
      <c r="AA70">
        <v>110495</v>
      </c>
      <c r="AB70" t="s">
        <v>346</v>
      </c>
      <c r="AC70" s="11">
        <v>0.01</v>
      </c>
      <c r="AD70" s="9" t="str">
        <f>_xll.SNL.Clients.Office.Excel.Functions.SPG(AA70, "SP_COUNTRY_NAME")</f>
        <v>USA</v>
      </c>
      <c r="AE70" t="s">
        <v>1125</v>
      </c>
      <c r="AF70">
        <v>4168454</v>
      </c>
      <c r="AG70" t="s">
        <v>346</v>
      </c>
      <c r="AH70" s="11">
        <v>0.03</v>
      </c>
      <c r="AI70" s="9" t="str">
        <f>_xll.SNL.Clients.Office.Excel.Functions.SPG(AF70, "SP_COUNTRY_NAME")</f>
        <v>Canada</v>
      </c>
      <c r="AN70" s="9" t="str">
        <f>_xll.SNL.Clients.Office.Excel.Functions.SPG(AK70, "SP_COUNTRY_NAME")</f>
        <v>#INVALID COMPANY ID</v>
      </c>
      <c r="AO70" t="s">
        <v>1271</v>
      </c>
      <c r="AP70">
        <v>4930964</v>
      </c>
      <c r="AQ70" t="s">
        <v>346</v>
      </c>
      <c r="AR70" s="11">
        <v>0.06</v>
      </c>
      <c r="AS70" s="9" t="str">
        <f>_xll.SNL.Clients.Office.Excel.Functions.SPG(AP70, "SP_COUNTRY_NAME")</f>
        <v>South Africa</v>
      </c>
      <c r="AX70" s="9" t="str">
        <f>_xll.SNL.Clients.Office.Excel.Functions.SPG(AU70, "SP_COUNTRY_NAME")</f>
        <v>#INVALID COMPANY ID</v>
      </c>
      <c r="AY70" t="s">
        <v>852</v>
      </c>
      <c r="AZ70">
        <v>5866758</v>
      </c>
      <c r="BA70" t="s">
        <v>346</v>
      </c>
      <c r="BB70" s="11">
        <v>0</v>
      </c>
      <c r="BC70" s="9" t="str">
        <f>_xll.SNL.Clients.Office.Excel.Functions.SPG(AZ70, "SP_COUNTRY_NAME")</f>
        <v>China</v>
      </c>
      <c r="BD70" t="s">
        <v>1404</v>
      </c>
      <c r="BE70">
        <v>4056595</v>
      </c>
      <c r="BF70" t="s">
        <v>346</v>
      </c>
      <c r="BG70" s="11">
        <v>0.15</v>
      </c>
      <c r="BH70" s="9" t="str">
        <f>_xll.SNL.Clients.Office.Excel.Functions.SPG(BE70, "SP_COUNTRY_NAME")</f>
        <v>United Kingdom</v>
      </c>
      <c r="BI70" t="s">
        <v>1116</v>
      </c>
      <c r="BJ70">
        <v>5767392</v>
      </c>
      <c r="BK70" t="s">
        <v>346</v>
      </c>
      <c r="BL70" s="11">
        <v>0.05</v>
      </c>
      <c r="BM70" s="9" t="str">
        <f>_xll.SNL.Clients.Office.Excel.Functions.SPG(BJ70, "SP_COUNTRY_NAME")</f>
        <v>Ireland</v>
      </c>
      <c r="BN70" t="s">
        <v>487</v>
      </c>
      <c r="BO70">
        <v>4111901</v>
      </c>
      <c r="BP70" t="s">
        <v>346</v>
      </c>
      <c r="BQ70" s="11">
        <v>0.04</v>
      </c>
      <c r="BR70" s="9" t="str">
        <f>_xll.SNL.Clients.Office.Excel.Functions.SPG(BO70, "SP_COUNTRY_NAME")</f>
        <v>Belgium</v>
      </c>
      <c r="BS70" t="s">
        <v>954</v>
      </c>
      <c r="BT70">
        <v>4026994</v>
      </c>
      <c r="BU70" t="s">
        <v>346</v>
      </c>
      <c r="BV70" s="11">
        <v>7.0000000000000007E-2</v>
      </c>
      <c r="BW70" s="9" t="str">
        <f>_xll.SNL.Clients.Office.Excel.Functions.SPG(BT70, "SP_COUNTRY_NAME")</f>
        <v>Sweden</v>
      </c>
      <c r="BX70" t="s">
        <v>466</v>
      </c>
      <c r="BY70">
        <v>111267</v>
      </c>
      <c r="BZ70" t="s">
        <v>346</v>
      </c>
      <c r="CA70" s="11">
        <v>0.06</v>
      </c>
      <c r="CB70" s="9" t="str">
        <f>_xll.SNL.Clients.Office.Excel.Functions.SPG(BY70, "SP_COUNTRY_NAME")</f>
        <v>United Kingdom</v>
      </c>
      <c r="CC70" t="s">
        <v>406</v>
      </c>
      <c r="CD70">
        <v>4115698</v>
      </c>
      <c r="CE70" t="s">
        <v>346</v>
      </c>
      <c r="CF70" s="11">
        <v>0.13</v>
      </c>
      <c r="CG70" s="9" t="str">
        <f>_xll.SNL.Clients.Office.Excel.Functions.SPG(CD70, "SP_COUNTRY_NAME")</f>
        <v>United Kingdom</v>
      </c>
      <c r="CH70" t="s">
        <v>1271</v>
      </c>
      <c r="CI70">
        <v>4930964</v>
      </c>
      <c r="CJ70" t="s">
        <v>346</v>
      </c>
      <c r="CK70" s="11">
        <v>0.06</v>
      </c>
      <c r="CL70" s="9" t="str">
        <f>_xll.SNL.Clients.Office.Excel.Functions.SPG(CI70, "SP_COUNTRY_NAME")</f>
        <v>South Africa</v>
      </c>
      <c r="CM70" t="s">
        <v>1962</v>
      </c>
      <c r="CN70">
        <v>22104638</v>
      </c>
      <c r="CO70" t="s">
        <v>364</v>
      </c>
      <c r="CP70" s="11">
        <v>0.12</v>
      </c>
      <c r="CQ70" s="9" t="str">
        <f>_xll.SNL.Clients.Office.Excel.Functions.SPG(CN70, "SP_COUNTRY_NAME")</f>
        <v>USA</v>
      </c>
      <c r="CV70" s="9" t="str">
        <f>_xll.SNL.Clients.Office.Excel.Functions.SPG(CS70, "SP_COUNTRY_NAME")</f>
        <v>#INVALID COMPANY ID</v>
      </c>
      <c r="DA70" s="9" t="str">
        <f>_xll.SNL.Clients.Office.Excel.Functions.SPG(CX70, "SP_COUNTRY_NAME")</f>
        <v>#INVALID COMPANY ID</v>
      </c>
      <c r="DB70" t="s">
        <v>1404</v>
      </c>
      <c r="DC70">
        <v>4056595</v>
      </c>
      <c r="DD70" t="s">
        <v>346</v>
      </c>
      <c r="DE70" s="11">
        <v>0.15</v>
      </c>
      <c r="DF70" s="9" t="str">
        <f>_xll.SNL.Clients.Office.Excel.Functions.SPG(DC70, "SP_COUNTRY_NAME")</f>
        <v>United Kingdom</v>
      </c>
      <c r="DK70" s="9" t="str">
        <f>_xll.SNL.Clients.Office.Excel.Functions.SPG(DH70, "SP_COUNTRY_NAME")</f>
        <v>#INVALID COMPANY ID</v>
      </c>
      <c r="DL70" t="s">
        <v>1404</v>
      </c>
      <c r="DM70">
        <v>4056595</v>
      </c>
      <c r="DN70" t="s">
        <v>346</v>
      </c>
      <c r="DO70" s="11">
        <v>0.15</v>
      </c>
      <c r="DP70" s="9" t="str">
        <f>_xll.SNL.Clients.Office.Excel.Functions.SPG(DM70, "SP_COUNTRY_NAME")</f>
        <v>United Kingdom</v>
      </c>
      <c r="DU70" s="9" t="str">
        <f>_xll.SNL.Clients.Office.Excel.Functions.SPG(DR70, "SP_COUNTRY_NAME")</f>
        <v>#INVALID COMPANY ID</v>
      </c>
      <c r="DV70" t="s">
        <v>422</v>
      </c>
      <c r="DW70">
        <v>4048507</v>
      </c>
      <c r="DX70" t="s">
        <v>346</v>
      </c>
      <c r="DY70" s="11">
        <v>0</v>
      </c>
      <c r="DZ70" s="9" t="str">
        <f>_xll.SNL.Clients.Office.Excel.Functions.SPG(DW70, "SP_COUNTRY_NAME")</f>
        <v>Japan</v>
      </c>
      <c r="EA70" t="s">
        <v>406</v>
      </c>
      <c r="EB70">
        <v>4115698</v>
      </c>
      <c r="EC70" t="s">
        <v>346</v>
      </c>
      <c r="ED70" s="11">
        <v>0.13</v>
      </c>
      <c r="EE70" s="9" t="str">
        <f>_xll.SNL.Clients.Office.Excel.Functions.SPG(EB70, "SP_COUNTRY_NAME")</f>
        <v>United Kingdom</v>
      </c>
      <c r="EF70" t="s">
        <v>1404</v>
      </c>
      <c r="EG70">
        <v>4056595</v>
      </c>
      <c r="EH70" t="s">
        <v>346</v>
      </c>
      <c r="EI70" s="11">
        <v>0.15</v>
      </c>
      <c r="EJ70" s="9" t="str">
        <f>_xll.SNL.Clients.Office.Excel.Functions.SPG(EG70, "SP_COUNTRY_NAME")</f>
        <v>United Kingdom</v>
      </c>
      <c r="EO70" s="9" t="str">
        <f>_xll.SNL.Clients.Office.Excel.Functions.SPG(EL70, "SP_COUNTRY_NAME")</f>
        <v>#INVALID COMPANY ID</v>
      </c>
      <c r="EP70" t="s">
        <v>357</v>
      </c>
      <c r="EQ70">
        <v>4270330</v>
      </c>
      <c r="ER70" t="s">
        <v>346</v>
      </c>
      <c r="ES70" s="11">
        <v>0</v>
      </c>
      <c r="ET70" s="9" t="str">
        <f>_xll.SNL.Clients.Office.Excel.Functions.SPG(EQ70, "SP_COUNTRY_NAME")</f>
        <v>USA</v>
      </c>
      <c r="EY70" s="9" t="str">
        <f>_xll.SNL.Clients.Office.Excel.Functions.SPG(EV70, "SP_COUNTRY_NAME")</f>
        <v>#INVALID COMPANY ID</v>
      </c>
      <c r="FD70" s="9" t="str">
        <f>_xll.SNL.Clients.Office.Excel.Functions.SPG(FA70, "SP_COUNTRY_NAME")</f>
        <v>#INVALID COMPANY ID</v>
      </c>
      <c r="FI70" s="9" t="str">
        <f>_xll.SNL.Clients.Office.Excel.Functions.SPG(FF70, "SP_COUNTRY_NAME")</f>
        <v>#INVALID COMPANY ID</v>
      </c>
      <c r="FJ70" t="s">
        <v>2161</v>
      </c>
      <c r="FK70">
        <v>4549008</v>
      </c>
      <c r="FL70" t="s">
        <v>346</v>
      </c>
      <c r="FM70" s="11">
        <v>0.02</v>
      </c>
      <c r="FN70" s="9" t="str">
        <f>_xll.SNL.Clients.Office.Excel.Functions.SPG(FK70, "SP_COUNTRY_NAME")</f>
        <v>Japan</v>
      </c>
      <c r="FS70" s="9" t="str">
        <f>_xll.SNL.Clients.Office.Excel.Functions.SPG(FP70, "SP_COUNTRY_NAME")</f>
        <v>#INVALID COMPANY ID</v>
      </c>
      <c r="FX70" s="9" t="str">
        <f>_xll.SNL.Clients.Office.Excel.Functions.SPG(FU70, "SP_COUNTRY_NAME")</f>
        <v>#INVALID COMPANY ID</v>
      </c>
      <c r="FY70" t="s">
        <v>1404</v>
      </c>
      <c r="FZ70">
        <v>4056595</v>
      </c>
      <c r="GA70" t="s">
        <v>346</v>
      </c>
      <c r="GB70" s="11">
        <v>0.15</v>
      </c>
      <c r="GC70" s="9" t="str">
        <f>_xll.SNL.Clients.Office.Excel.Functions.SPG(FZ70, "SP_COUNTRY_NAME")</f>
        <v>United Kingdom</v>
      </c>
      <c r="GH70" s="9" t="str">
        <f>_xll.SNL.Clients.Office.Excel.Functions.SPG(GE70, "SP_COUNTRY_NAME")</f>
        <v>#INVALID COMPANY ID</v>
      </c>
      <c r="GM70" s="9" t="str">
        <f>_xll.SNL.Clients.Office.Excel.Functions.SPG(GJ70, "SP_COUNTRY_NAME")</f>
        <v>#INVALID COMPANY ID</v>
      </c>
      <c r="GN70" t="s">
        <v>2161</v>
      </c>
      <c r="GO70">
        <v>4549008</v>
      </c>
      <c r="GP70" t="s">
        <v>346</v>
      </c>
      <c r="GQ70" s="11">
        <v>0.02</v>
      </c>
      <c r="GR70" s="9" t="str">
        <f>_xll.SNL.Clients.Office.Excel.Functions.SPG(GO70, "SP_COUNTRY_NAME")</f>
        <v>Japan</v>
      </c>
      <c r="GS70" t="s">
        <v>487</v>
      </c>
      <c r="GT70">
        <v>4111901</v>
      </c>
      <c r="GU70" t="s">
        <v>346</v>
      </c>
      <c r="GV70" s="11">
        <v>0.04</v>
      </c>
      <c r="GW70" s="9" t="str">
        <f>_xll.SNL.Clients.Office.Excel.Functions.SPG(GT70, "SP_COUNTRY_NAME")</f>
        <v>Belgium</v>
      </c>
      <c r="GX70" t="s">
        <v>406</v>
      </c>
      <c r="GY70">
        <v>4115698</v>
      </c>
      <c r="GZ70" t="s">
        <v>346</v>
      </c>
      <c r="HA70" s="11">
        <v>0.13</v>
      </c>
      <c r="HB70" s="9" t="str">
        <f>_xll.SNL.Clients.Office.Excel.Functions.SPG(GY70, "SP_COUNTRY_NAME")</f>
        <v>United Kingdom</v>
      </c>
      <c r="HG70" s="9" t="str">
        <f>_xll.SNL.Clients.Office.Excel.Functions.SPG(HD70, "SP_COUNTRY_NAME")</f>
        <v>#INVALID COMPANY ID</v>
      </c>
    </row>
    <row r="71" spans="5:215" x14ac:dyDescent="0.35">
      <c r="E71" s="9" t="str">
        <f>_xll.SNL.Clients.Office.Excel.Functions.SPG(B71, "SP_COUNTRY_NAME")</f>
        <v>#INVALID COMPANY ID</v>
      </c>
      <c r="F71" t="s">
        <v>465</v>
      </c>
      <c r="G71">
        <v>4119440</v>
      </c>
      <c r="H71" t="s">
        <v>346</v>
      </c>
      <c r="I71" s="11">
        <v>0.02</v>
      </c>
      <c r="J71" s="9" t="str">
        <f>_xll.SNL.Clients.Office.Excel.Functions.SPG(G71, "SP_COUNTRY_NAME")</f>
        <v>USA</v>
      </c>
      <c r="K71" t="s">
        <v>664</v>
      </c>
      <c r="L71">
        <v>4138760</v>
      </c>
      <c r="M71" t="s">
        <v>346</v>
      </c>
      <c r="N71" s="11">
        <v>0.01</v>
      </c>
      <c r="O71" s="9" t="str">
        <f>_xll.SNL.Clients.Office.Excel.Functions.SPG(L71, "SP_COUNTRY_NAME")</f>
        <v>China</v>
      </c>
      <c r="T71" s="9" t="str">
        <f>_xll.SNL.Clients.Office.Excel.Functions.SPG(Q71, "SP_COUNTRY_NAME")</f>
        <v>#INVALID COMPANY ID</v>
      </c>
      <c r="U71" t="s">
        <v>430</v>
      </c>
      <c r="V71">
        <v>4055767</v>
      </c>
      <c r="W71" t="s">
        <v>346</v>
      </c>
      <c r="X71" s="11">
        <v>0.06</v>
      </c>
      <c r="Y71" s="9" t="str">
        <f>_xll.SNL.Clients.Office.Excel.Functions.SPG(V71, "SP_COUNTRY_NAME")</f>
        <v>USA</v>
      </c>
      <c r="Z71" t="s">
        <v>664</v>
      </c>
      <c r="AA71">
        <v>4138760</v>
      </c>
      <c r="AB71" t="s">
        <v>346</v>
      </c>
      <c r="AC71" s="11">
        <v>0.01</v>
      </c>
      <c r="AD71" s="9" t="str">
        <f>_xll.SNL.Clients.Office.Excel.Functions.SPG(AA71, "SP_COUNTRY_NAME")</f>
        <v>China</v>
      </c>
      <c r="AE71" t="s">
        <v>623</v>
      </c>
      <c r="AF71">
        <v>4138267</v>
      </c>
      <c r="AG71" t="s">
        <v>346</v>
      </c>
      <c r="AH71" s="11">
        <v>0.02</v>
      </c>
      <c r="AI71" s="9" t="str">
        <f>_xll.SNL.Clients.Office.Excel.Functions.SPG(AF71, "SP_COUNTRY_NAME")</f>
        <v>Switzerland</v>
      </c>
      <c r="AN71" s="9" t="str">
        <f>_xll.SNL.Clients.Office.Excel.Functions.SPG(AK71, "SP_COUNTRY_NAME")</f>
        <v>#INVALID COMPANY ID</v>
      </c>
      <c r="AO71" t="s">
        <v>407</v>
      </c>
      <c r="AP71">
        <v>109754</v>
      </c>
      <c r="AQ71" t="s">
        <v>346</v>
      </c>
      <c r="AR71" s="11">
        <v>0.06</v>
      </c>
      <c r="AS71" s="9" t="str">
        <f>_xll.SNL.Clients.Office.Excel.Functions.SPG(AP71, "SP_COUNTRY_NAME")</f>
        <v>USA</v>
      </c>
      <c r="AX71" s="9" t="str">
        <f>_xll.SNL.Clients.Office.Excel.Functions.SPG(AU71, "SP_COUNTRY_NAME")</f>
        <v>#INVALID COMPANY ID</v>
      </c>
      <c r="AY71" t="s">
        <v>463</v>
      </c>
      <c r="AZ71">
        <v>4138888</v>
      </c>
      <c r="BA71" t="s">
        <v>346</v>
      </c>
      <c r="BB71" s="11">
        <v>0</v>
      </c>
      <c r="BC71" s="9" t="str">
        <f>_xll.SNL.Clients.Office.Excel.Functions.SPG(AZ71, "SP_COUNTRY_NAME")</f>
        <v>Norway</v>
      </c>
      <c r="BD71" t="s">
        <v>1405</v>
      </c>
      <c r="BE71">
        <v>4492849</v>
      </c>
      <c r="BF71" t="s">
        <v>346</v>
      </c>
      <c r="BG71" s="11">
        <v>0.15</v>
      </c>
      <c r="BH71" s="9" t="str">
        <f>_xll.SNL.Clients.Office.Excel.Functions.SPG(BE71, "SP_COUNTRY_NAME")</f>
        <v>United Kingdom</v>
      </c>
      <c r="BI71" t="s">
        <v>465</v>
      </c>
      <c r="BJ71">
        <v>4119440</v>
      </c>
      <c r="BK71" t="s">
        <v>346</v>
      </c>
      <c r="BL71" s="11">
        <v>0.05</v>
      </c>
      <c r="BM71" s="9" t="str">
        <f>_xll.SNL.Clients.Office.Excel.Functions.SPG(BJ71, "SP_COUNTRY_NAME")</f>
        <v>USA</v>
      </c>
      <c r="BN71" t="s">
        <v>406</v>
      </c>
      <c r="BO71">
        <v>4115698</v>
      </c>
      <c r="BP71" t="s">
        <v>346</v>
      </c>
      <c r="BQ71" s="11">
        <v>0.04</v>
      </c>
      <c r="BR71" s="9" t="str">
        <f>_xll.SNL.Clients.Office.Excel.Functions.SPG(BO71, "SP_COUNTRY_NAME")</f>
        <v>United Kingdom</v>
      </c>
      <c r="BS71" t="s">
        <v>679</v>
      </c>
      <c r="BT71">
        <v>4138221</v>
      </c>
      <c r="BU71" t="s">
        <v>346</v>
      </c>
      <c r="BV71" s="11">
        <v>7.0000000000000007E-2</v>
      </c>
      <c r="BW71" s="9" t="str">
        <f>_xll.SNL.Clients.Office.Excel.Functions.SPG(BT71, "SP_COUNTRY_NAME")</f>
        <v>China</v>
      </c>
      <c r="BX71" t="s">
        <v>430</v>
      </c>
      <c r="BY71">
        <v>4055767</v>
      </c>
      <c r="BZ71" t="s">
        <v>346</v>
      </c>
      <c r="CA71" s="11">
        <v>0.06</v>
      </c>
      <c r="CB71" s="9" t="str">
        <f>_xll.SNL.Clients.Office.Excel.Functions.SPG(BY71, "SP_COUNTRY_NAME")</f>
        <v>USA</v>
      </c>
      <c r="CC71" t="s">
        <v>1627</v>
      </c>
      <c r="CD71">
        <v>110634</v>
      </c>
      <c r="CE71" t="s">
        <v>346</v>
      </c>
      <c r="CF71" s="11">
        <v>0.13</v>
      </c>
      <c r="CG71" s="9" t="str">
        <f>_xll.SNL.Clients.Office.Excel.Functions.SPG(CD71, "SP_COUNTRY_NAME")</f>
        <v>USA</v>
      </c>
      <c r="CH71" t="s">
        <v>407</v>
      </c>
      <c r="CI71">
        <v>109754</v>
      </c>
      <c r="CJ71" t="s">
        <v>346</v>
      </c>
      <c r="CK71" s="11">
        <v>0.06</v>
      </c>
      <c r="CL71" s="9" t="str">
        <f>_xll.SNL.Clients.Office.Excel.Functions.SPG(CI71, "SP_COUNTRY_NAME")</f>
        <v>USA</v>
      </c>
      <c r="CM71" t="s">
        <v>530</v>
      </c>
      <c r="CN71">
        <v>102729</v>
      </c>
      <c r="CO71" t="s">
        <v>346</v>
      </c>
      <c r="CP71" s="11">
        <v>0.12</v>
      </c>
      <c r="CQ71" s="9" t="str">
        <f>_xll.SNL.Clients.Office.Excel.Functions.SPG(CN71, "SP_COUNTRY_NAME")</f>
        <v>USA</v>
      </c>
      <c r="CV71" s="9" t="str">
        <f>_xll.SNL.Clients.Office.Excel.Functions.SPG(CS71, "SP_COUNTRY_NAME")</f>
        <v>#INVALID COMPANY ID</v>
      </c>
      <c r="DA71" s="9" t="str">
        <f>_xll.SNL.Clients.Office.Excel.Functions.SPG(CX71, "SP_COUNTRY_NAME")</f>
        <v>#INVALID COMPANY ID</v>
      </c>
      <c r="DB71" t="s">
        <v>1405</v>
      </c>
      <c r="DC71">
        <v>4492849</v>
      </c>
      <c r="DD71" t="s">
        <v>346</v>
      </c>
      <c r="DE71" s="11">
        <v>0.15</v>
      </c>
      <c r="DF71" s="9" t="str">
        <f>_xll.SNL.Clients.Office.Excel.Functions.SPG(DC71, "SP_COUNTRY_NAME")</f>
        <v>United Kingdom</v>
      </c>
      <c r="DK71" s="9" t="str">
        <f>_xll.SNL.Clients.Office.Excel.Functions.SPG(DH71, "SP_COUNTRY_NAME")</f>
        <v>#INVALID COMPANY ID</v>
      </c>
      <c r="DL71" t="s">
        <v>1405</v>
      </c>
      <c r="DM71">
        <v>4492849</v>
      </c>
      <c r="DN71" t="s">
        <v>346</v>
      </c>
      <c r="DO71" s="11">
        <v>0.15</v>
      </c>
      <c r="DP71" s="9" t="str">
        <f>_xll.SNL.Clients.Office.Excel.Functions.SPG(DM71, "SP_COUNTRY_NAME")</f>
        <v>United Kingdom</v>
      </c>
      <c r="DU71" s="9" t="str">
        <f>_xll.SNL.Clients.Office.Excel.Functions.SPG(DR71, "SP_COUNTRY_NAME")</f>
        <v>#INVALID COMPANY ID</v>
      </c>
      <c r="DV71" t="s">
        <v>546</v>
      </c>
      <c r="DW71">
        <v>4158830</v>
      </c>
      <c r="DX71" t="s">
        <v>346</v>
      </c>
      <c r="DY71" s="11">
        <v>0</v>
      </c>
      <c r="DZ71" s="9" t="str">
        <f>_xll.SNL.Clients.Office.Excel.Functions.SPG(DW71, "SP_COUNTRY_NAME")</f>
        <v>USA</v>
      </c>
      <c r="EA71" t="s">
        <v>1627</v>
      </c>
      <c r="EB71">
        <v>110634</v>
      </c>
      <c r="EC71" t="s">
        <v>346</v>
      </c>
      <c r="ED71" s="11">
        <v>0.13</v>
      </c>
      <c r="EE71" s="9" t="str">
        <f>_xll.SNL.Clients.Office.Excel.Functions.SPG(EB71, "SP_COUNTRY_NAME")</f>
        <v>USA</v>
      </c>
      <c r="EF71" t="s">
        <v>1405</v>
      </c>
      <c r="EG71">
        <v>4492849</v>
      </c>
      <c r="EH71" t="s">
        <v>346</v>
      </c>
      <c r="EI71" s="11">
        <v>0.15</v>
      </c>
      <c r="EJ71" s="9" t="str">
        <f>_xll.SNL.Clients.Office.Excel.Functions.SPG(EG71, "SP_COUNTRY_NAME")</f>
        <v>United Kingdom</v>
      </c>
      <c r="EO71" s="9" t="str">
        <f>_xll.SNL.Clients.Office.Excel.Functions.SPG(EL71, "SP_COUNTRY_NAME")</f>
        <v>#INVALID COMPANY ID</v>
      </c>
      <c r="EP71" t="s">
        <v>410</v>
      </c>
      <c r="EQ71">
        <v>5759394</v>
      </c>
      <c r="ER71" t="s">
        <v>346</v>
      </c>
      <c r="ES71" s="11">
        <v>0</v>
      </c>
      <c r="ET71" s="9" t="str">
        <f>_xll.SNL.Clients.Office.Excel.Functions.SPG(EQ71, "SP_COUNTRY_NAME")</f>
        <v>Ireland</v>
      </c>
      <c r="EY71" s="9" t="str">
        <f>_xll.SNL.Clients.Office.Excel.Functions.SPG(EV71, "SP_COUNTRY_NAME")</f>
        <v>#INVALID COMPANY ID</v>
      </c>
      <c r="FD71" s="9" t="str">
        <f>_xll.SNL.Clients.Office.Excel.Functions.SPG(FA71, "SP_COUNTRY_NAME")</f>
        <v>#INVALID COMPANY ID</v>
      </c>
      <c r="FI71" s="9" t="str">
        <f>_xll.SNL.Clients.Office.Excel.Functions.SPG(FF71, "SP_COUNTRY_NAME")</f>
        <v>#INVALID COMPANY ID</v>
      </c>
      <c r="FJ71" t="s">
        <v>2162</v>
      </c>
      <c r="FK71" t="s">
        <v>300</v>
      </c>
      <c r="FL71" t="s">
        <v>361</v>
      </c>
      <c r="FM71" s="11">
        <v>0.02</v>
      </c>
      <c r="FN71" s="9" t="str">
        <f>_xll.SNL.Clients.Office.Excel.Functions.SPG(FK71, "SP_COUNTRY_NAME")</f>
        <v>China</v>
      </c>
      <c r="FS71" s="9" t="str">
        <f>_xll.SNL.Clients.Office.Excel.Functions.SPG(FP71, "SP_COUNTRY_NAME")</f>
        <v>#INVALID COMPANY ID</v>
      </c>
      <c r="FX71" s="9" t="str">
        <f>_xll.SNL.Clients.Office.Excel.Functions.SPG(FU71, "SP_COUNTRY_NAME")</f>
        <v>#INVALID COMPANY ID</v>
      </c>
      <c r="FY71" t="s">
        <v>1405</v>
      </c>
      <c r="FZ71">
        <v>4492849</v>
      </c>
      <c r="GA71" t="s">
        <v>346</v>
      </c>
      <c r="GB71" s="11">
        <v>0.15</v>
      </c>
      <c r="GC71" s="9" t="str">
        <f>_xll.SNL.Clients.Office.Excel.Functions.SPG(FZ71, "SP_COUNTRY_NAME")</f>
        <v>United Kingdom</v>
      </c>
      <c r="GH71" s="9" t="str">
        <f>_xll.SNL.Clients.Office.Excel.Functions.SPG(GE71, "SP_COUNTRY_NAME")</f>
        <v>#INVALID COMPANY ID</v>
      </c>
      <c r="GM71" s="9" t="str">
        <f>_xll.SNL.Clients.Office.Excel.Functions.SPG(GJ71, "SP_COUNTRY_NAME")</f>
        <v>#INVALID COMPANY ID</v>
      </c>
      <c r="GN71" t="s">
        <v>2162</v>
      </c>
      <c r="GO71" t="s">
        <v>300</v>
      </c>
      <c r="GP71" t="s">
        <v>361</v>
      </c>
      <c r="GQ71" s="11">
        <v>0.02</v>
      </c>
      <c r="GR71" s="9" t="str">
        <f>_xll.SNL.Clients.Office.Excel.Functions.SPG(GO71, "SP_COUNTRY_NAME")</f>
        <v>China</v>
      </c>
      <c r="GS71" t="s">
        <v>406</v>
      </c>
      <c r="GT71">
        <v>4115698</v>
      </c>
      <c r="GU71" t="s">
        <v>346</v>
      </c>
      <c r="GV71" s="11">
        <v>0.04</v>
      </c>
      <c r="GW71" s="9" t="str">
        <f>_xll.SNL.Clients.Office.Excel.Functions.SPG(GT71, "SP_COUNTRY_NAME")</f>
        <v>United Kingdom</v>
      </c>
      <c r="GX71" t="s">
        <v>1627</v>
      </c>
      <c r="GY71">
        <v>110634</v>
      </c>
      <c r="GZ71" t="s">
        <v>346</v>
      </c>
      <c r="HA71" s="11">
        <v>0.13</v>
      </c>
      <c r="HB71" s="9" t="str">
        <f>_xll.SNL.Clients.Office.Excel.Functions.SPG(GY71, "SP_COUNTRY_NAME")</f>
        <v>USA</v>
      </c>
      <c r="HG71" s="9" t="str">
        <f>_xll.SNL.Clients.Office.Excel.Functions.SPG(HD71, "SP_COUNTRY_NAME")</f>
        <v>#INVALID COMPANY ID</v>
      </c>
    </row>
    <row r="72" spans="5:215" x14ac:dyDescent="0.35">
      <c r="E72" s="9" t="str">
        <f>_xll.SNL.Clients.Office.Excel.Functions.SPG(B72, "SP_COUNTRY_NAME")</f>
        <v>#INVALID COMPANY ID</v>
      </c>
      <c r="F72" t="s">
        <v>466</v>
      </c>
      <c r="G72">
        <v>111267</v>
      </c>
      <c r="H72" t="s">
        <v>346</v>
      </c>
      <c r="I72" s="11">
        <v>0.02</v>
      </c>
      <c r="J72" s="9" t="str">
        <f>_xll.SNL.Clients.Office.Excel.Functions.SPG(G72, "SP_COUNTRY_NAME")</f>
        <v>United Kingdom</v>
      </c>
      <c r="K72" t="s">
        <v>387</v>
      </c>
      <c r="L72">
        <v>4020980</v>
      </c>
      <c r="M72" t="s">
        <v>346</v>
      </c>
      <c r="N72" s="11">
        <v>0.01</v>
      </c>
      <c r="O72" s="9" t="str">
        <f>_xll.SNL.Clients.Office.Excel.Functions.SPG(L72, "SP_COUNTRY_NAME")</f>
        <v>Bermuda</v>
      </c>
      <c r="T72" s="9" t="str">
        <f>_xll.SNL.Clients.Office.Excel.Functions.SPG(Q72, "SP_COUNTRY_NAME")</f>
        <v>#INVALID COMPANY ID</v>
      </c>
      <c r="U72" t="s">
        <v>728</v>
      </c>
      <c r="V72">
        <v>4316929</v>
      </c>
      <c r="W72" t="s">
        <v>346</v>
      </c>
      <c r="X72" s="11">
        <v>0.06</v>
      </c>
      <c r="Y72" s="9" t="str">
        <f>_xll.SNL.Clients.Office.Excel.Functions.SPG(V72, "SP_COUNTRY_NAME")</f>
        <v>China</v>
      </c>
      <c r="Z72" t="s">
        <v>387</v>
      </c>
      <c r="AA72">
        <v>4020980</v>
      </c>
      <c r="AB72" t="s">
        <v>346</v>
      </c>
      <c r="AC72" s="11">
        <v>0.01</v>
      </c>
      <c r="AD72" s="9" t="str">
        <f>_xll.SNL.Clients.Office.Excel.Functions.SPG(AA72, "SP_COUNTRY_NAME")</f>
        <v>Bermuda</v>
      </c>
      <c r="AE72" t="s">
        <v>1032</v>
      </c>
      <c r="AF72">
        <v>4343973</v>
      </c>
      <c r="AG72" t="s">
        <v>346</v>
      </c>
      <c r="AH72" s="11">
        <v>0.02</v>
      </c>
      <c r="AI72" s="9" t="str">
        <f>_xll.SNL.Clients.Office.Excel.Functions.SPG(AF72, "SP_COUNTRY_NAME")</f>
        <v>Norway</v>
      </c>
      <c r="AN72" s="9" t="str">
        <f>_xll.SNL.Clients.Office.Excel.Functions.SPG(AK72, "SP_COUNTRY_NAME")</f>
        <v>#INVALID COMPANY ID</v>
      </c>
      <c r="AO72" t="s">
        <v>478</v>
      </c>
      <c r="AP72">
        <v>5852503</v>
      </c>
      <c r="AQ72" t="s">
        <v>346</v>
      </c>
      <c r="AR72" s="11">
        <v>0.06</v>
      </c>
      <c r="AS72" s="9" t="str">
        <f>_xll.SNL.Clients.Office.Excel.Functions.SPG(AP72, "SP_COUNTRY_NAME")</f>
        <v>South Africa</v>
      </c>
      <c r="AX72" s="9" t="str">
        <f>_xll.SNL.Clients.Office.Excel.Functions.SPG(AU72, "SP_COUNTRY_NAME")</f>
        <v>#INVALID COMPANY ID</v>
      </c>
      <c r="AY72" t="s">
        <v>411</v>
      </c>
      <c r="AZ72">
        <v>4272373</v>
      </c>
      <c r="BA72" t="s">
        <v>346</v>
      </c>
      <c r="BB72" s="11">
        <v>0</v>
      </c>
      <c r="BC72" s="9" t="str">
        <f>_xll.SNL.Clients.Office.Excel.Functions.SPG(AZ72, "SP_COUNTRY_NAME")</f>
        <v>United Kingdom</v>
      </c>
      <c r="BD72" t="s">
        <v>1406</v>
      </c>
      <c r="BE72">
        <v>5779773</v>
      </c>
      <c r="BF72" t="s">
        <v>346</v>
      </c>
      <c r="BG72" s="11">
        <v>0.15</v>
      </c>
      <c r="BH72" s="9" t="str">
        <f>_xll.SNL.Clients.Office.Excel.Functions.SPG(BE72, "SP_COUNTRY_NAME")</f>
        <v>South Africa</v>
      </c>
      <c r="BI72" t="s">
        <v>489</v>
      </c>
      <c r="BJ72">
        <v>4324456</v>
      </c>
      <c r="BK72" t="s">
        <v>346</v>
      </c>
      <c r="BL72" s="11">
        <v>0.05</v>
      </c>
      <c r="BM72" s="9" t="str">
        <f>_xll.SNL.Clients.Office.Excel.Functions.SPG(BJ72, "SP_COUNTRY_NAME")</f>
        <v>Italy</v>
      </c>
      <c r="BN72" t="s">
        <v>748</v>
      </c>
      <c r="BO72">
        <v>4138088</v>
      </c>
      <c r="BP72" t="s">
        <v>346</v>
      </c>
      <c r="BQ72" s="11">
        <v>0.03</v>
      </c>
      <c r="BR72" s="9" t="str">
        <f>_xll.SNL.Clients.Office.Excel.Functions.SPG(BO72, "SP_COUNTRY_NAME")</f>
        <v>China</v>
      </c>
      <c r="BS72" t="s">
        <v>955</v>
      </c>
      <c r="BT72">
        <v>4138889</v>
      </c>
      <c r="BU72" t="s">
        <v>346</v>
      </c>
      <c r="BV72" s="11">
        <v>7.0000000000000007E-2</v>
      </c>
      <c r="BW72" s="9" t="str">
        <f>_xll.SNL.Clients.Office.Excel.Functions.SPG(BT72, "SP_COUNTRY_NAME")</f>
        <v>United Kingdom</v>
      </c>
      <c r="BX72" t="s">
        <v>728</v>
      </c>
      <c r="BY72">
        <v>4316929</v>
      </c>
      <c r="BZ72" t="s">
        <v>346</v>
      </c>
      <c r="CA72" s="11">
        <v>0.06</v>
      </c>
      <c r="CB72" s="9" t="str">
        <f>_xll.SNL.Clients.Office.Excel.Functions.SPG(BY72, "SP_COUNTRY_NAME")</f>
        <v>China</v>
      </c>
      <c r="CC72" t="s">
        <v>461</v>
      </c>
      <c r="CD72">
        <v>4137912</v>
      </c>
      <c r="CE72" t="s">
        <v>346</v>
      </c>
      <c r="CF72" s="11">
        <v>0.12</v>
      </c>
      <c r="CG72" s="9" t="str">
        <f>_xll.SNL.Clients.Office.Excel.Functions.SPG(CD72, "SP_COUNTRY_NAME")</f>
        <v>Germany</v>
      </c>
      <c r="CH72" t="s">
        <v>478</v>
      </c>
      <c r="CI72">
        <v>5852503</v>
      </c>
      <c r="CJ72" t="s">
        <v>346</v>
      </c>
      <c r="CK72" s="11">
        <v>0.06</v>
      </c>
      <c r="CL72" s="9" t="str">
        <f>_xll.SNL.Clients.Office.Excel.Functions.SPG(CI72, "SP_COUNTRY_NAME")</f>
        <v>South Africa</v>
      </c>
      <c r="CM72" t="s">
        <v>501</v>
      </c>
      <c r="CN72">
        <v>111359</v>
      </c>
      <c r="CO72" t="s">
        <v>346</v>
      </c>
      <c r="CP72" s="11">
        <v>0.12</v>
      </c>
      <c r="CQ72" s="9" t="str">
        <f>_xll.SNL.Clients.Office.Excel.Functions.SPG(CN72, "SP_COUNTRY_NAME")</f>
        <v>USA</v>
      </c>
      <c r="CV72" s="9" t="str">
        <f>_xll.SNL.Clients.Office.Excel.Functions.SPG(CS72, "SP_COUNTRY_NAME")</f>
        <v>#INVALID COMPANY ID</v>
      </c>
      <c r="DA72" s="9" t="str">
        <f>_xll.SNL.Clients.Office.Excel.Functions.SPG(CX72, "SP_COUNTRY_NAME")</f>
        <v>#INVALID COMPANY ID</v>
      </c>
      <c r="DB72" t="s">
        <v>1406</v>
      </c>
      <c r="DC72">
        <v>5779773</v>
      </c>
      <c r="DD72" t="s">
        <v>346</v>
      </c>
      <c r="DE72" s="11">
        <v>0.15</v>
      </c>
      <c r="DF72" s="9" t="str">
        <f>_xll.SNL.Clients.Office.Excel.Functions.SPG(DC72, "SP_COUNTRY_NAME")</f>
        <v>South Africa</v>
      </c>
      <c r="DK72" s="9" t="str">
        <f>_xll.SNL.Clients.Office.Excel.Functions.SPG(DH72, "SP_COUNTRY_NAME")</f>
        <v>#INVALID COMPANY ID</v>
      </c>
      <c r="DL72" t="s">
        <v>1406</v>
      </c>
      <c r="DM72">
        <v>5779773</v>
      </c>
      <c r="DN72" t="s">
        <v>346</v>
      </c>
      <c r="DO72" s="11">
        <v>0.15</v>
      </c>
      <c r="DP72" s="9" t="str">
        <f>_xll.SNL.Clients.Office.Excel.Functions.SPG(DM72, "SP_COUNTRY_NAME")</f>
        <v>South Africa</v>
      </c>
      <c r="DU72" s="9" t="str">
        <f>_xll.SNL.Clients.Office.Excel.Functions.SPG(DR72, "SP_COUNTRY_NAME")</f>
        <v>#INVALID COMPANY ID</v>
      </c>
      <c r="DV72" t="s">
        <v>425</v>
      </c>
      <c r="DW72">
        <v>4137704</v>
      </c>
      <c r="DX72" t="s">
        <v>346</v>
      </c>
      <c r="DY72" s="11">
        <v>0</v>
      </c>
      <c r="DZ72" s="9" t="str">
        <f>_xll.SNL.Clients.Office.Excel.Functions.SPG(DW72, "SP_COUNTRY_NAME")</f>
        <v>Japan</v>
      </c>
      <c r="EA72" t="s">
        <v>461</v>
      </c>
      <c r="EB72">
        <v>4137912</v>
      </c>
      <c r="EC72" t="s">
        <v>346</v>
      </c>
      <c r="ED72" s="11">
        <v>0.12</v>
      </c>
      <c r="EE72" s="9" t="str">
        <f>_xll.SNL.Clients.Office.Excel.Functions.SPG(EB72, "SP_COUNTRY_NAME")</f>
        <v>Germany</v>
      </c>
      <c r="EF72" t="s">
        <v>1406</v>
      </c>
      <c r="EG72">
        <v>5779773</v>
      </c>
      <c r="EH72" t="s">
        <v>346</v>
      </c>
      <c r="EI72" s="11">
        <v>0.15</v>
      </c>
      <c r="EJ72" s="9" t="str">
        <f>_xll.SNL.Clients.Office.Excel.Functions.SPG(EG72, "SP_COUNTRY_NAME")</f>
        <v>South Africa</v>
      </c>
      <c r="EO72" s="9" t="str">
        <f>_xll.SNL.Clients.Office.Excel.Functions.SPG(EL72, "SP_COUNTRY_NAME")</f>
        <v>#INVALID COMPANY ID</v>
      </c>
      <c r="EP72" t="s">
        <v>678</v>
      </c>
      <c r="EQ72">
        <v>5877799</v>
      </c>
      <c r="ER72" t="s">
        <v>346</v>
      </c>
      <c r="ES72" s="11">
        <v>0</v>
      </c>
      <c r="ET72" s="9" t="str">
        <f>_xll.SNL.Clients.Office.Excel.Functions.SPG(EQ72, "SP_COUNTRY_NAME")</f>
        <v>China</v>
      </c>
      <c r="EY72" s="9" t="str">
        <f>_xll.SNL.Clients.Office.Excel.Functions.SPG(EV72, "SP_COUNTRY_NAME")</f>
        <v>#INVALID COMPANY ID</v>
      </c>
      <c r="FD72" s="9" t="str">
        <f>_xll.SNL.Clients.Office.Excel.Functions.SPG(FA72, "SP_COUNTRY_NAME")</f>
        <v>#INVALID COMPANY ID</v>
      </c>
      <c r="FI72" s="9" t="str">
        <f>_xll.SNL.Clients.Office.Excel.Functions.SPG(FF72, "SP_COUNTRY_NAME")</f>
        <v>#INVALID COMPANY ID</v>
      </c>
      <c r="FJ72" t="s">
        <v>2163</v>
      </c>
      <c r="FK72" t="s">
        <v>300</v>
      </c>
      <c r="FL72" t="s">
        <v>361</v>
      </c>
      <c r="FM72" s="11">
        <v>0.02</v>
      </c>
      <c r="FN72" s="9" t="str">
        <f>_xll.SNL.Clients.Office.Excel.Functions.SPG(FK72, "SP_COUNTRY_NAME")</f>
        <v>China</v>
      </c>
      <c r="FS72" s="9" t="str">
        <f>_xll.SNL.Clients.Office.Excel.Functions.SPG(FP72, "SP_COUNTRY_NAME")</f>
        <v>#INVALID COMPANY ID</v>
      </c>
      <c r="FX72" s="9" t="str">
        <f>_xll.SNL.Clients.Office.Excel.Functions.SPG(FU72, "SP_COUNTRY_NAME")</f>
        <v>#INVALID COMPANY ID</v>
      </c>
      <c r="FY72" t="s">
        <v>1406</v>
      </c>
      <c r="FZ72">
        <v>5779773</v>
      </c>
      <c r="GA72" t="s">
        <v>346</v>
      </c>
      <c r="GB72" s="11">
        <v>0.15</v>
      </c>
      <c r="GC72" s="9" t="str">
        <f>_xll.SNL.Clients.Office.Excel.Functions.SPG(FZ72, "SP_COUNTRY_NAME")</f>
        <v>South Africa</v>
      </c>
      <c r="GH72" s="9" t="str">
        <f>_xll.SNL.Clients.Office.Excel.Functions.SPG(GE72, "SP_COUNTRY_NAME")</f>
        <v>#INVALID COMPANY ID</v>
      </c>
      <c r="GM72" s="9" t="str">
        <f>_xll.SNL.Clients.Office.Excel.Functions.SPG(GJ72, "SP_COUNTRY_NAME")</f>
        <v>#INVALID COMPANY ID</v>
      </c>
      <c r="GN72" t="s">
        <v>2163</v>
      </c>
      <c r="GO72" t="s">
        <v>300</v>
      </c>
      <c r="GP72" t="s">
        <v>361</v>
      </c>
      <c r="GQ72" s="11">
        <v>0.02</v>
      </c>
      <c r="GR72" s="9" t="str">
        <f>_xll.SNL.Clients.Office.Excel.Functions.SPG(GO72, "SP_COUNTRY_NAME")</f>
        <v>China</v>
      </c>
      <c r="GS72" t="s">
        <v>748</v>
      </c>
      <c r="GT72">
        <v>4138088</v>
      </c>
      <c r="GU72" t="s">
        <v>346</v>
      </c>
      <c r="GV72" s="11">
        <v>0.03</v>
      </c>
      <c r="GW72" s="9" t="str">
        <f>_xll.SNL.Clients.Office.Excel.Functions.SPG(GT72, "SP_COUNTRY_NAME")</f>
        <v>China</v>
      </c>
      <c r="GX72" t="s">
        <v>461</v>
      </c>
      <c r="GY72">
        <v>4137912</v>
      </c>
      <c r="GZ72" t="s">
        <v>346</v>
      </c>
      <c r="HA72" s="11">
        <v>0.12</v>
      </c>
      <c r="HB72" s="9" t="str">
        <f>_xll.SNL.Clients.Office.Excel.Functions.SPG(GY72, "SP_COUNTRY_NAME")</f>
        <v>Germany</v>
      </c>
      <c r="HG72" s="9" t="str">
        <f>_xll.SNL.Clients.Office.Excel.Functions.SPG(HD72, "SP_COUNTRY_NAME")</f>
        <v>#INVALID COMPANY ID</v>
      </c>
    </row>
    <row r="73" spans="5:215" x14ac:dyDescent="0.35">
      <c r="E73" s="9" t="str">
        <f>_xll.SNL.Clients.Office.Excel.Functions.SPG(B73, "SP_COUNTRY_NAME")</f>
        <v>#INVALID COMPANY ID</v>
      </c>
      <c r="F73" t="s">
        <v>413</v>
      </c>
      <c r="G73">
        <v>4114882</v>
      </c>
      <c r="H73" t="s">
        <v>346</v>
      </c>
      <c r="I73" s="11">
        <v>0.02</v>
      </c>
      <c r="J73" s="9" t="str">
        <f>_xll.SNL.Clients.Office.Excel.Functions.SPG(G73, "SP_COUNTRY_NAME")</f>
        <v>Canada</v>
      </c>
      <c r="K73" t="s">
        <v>489</v>
      </c>
      <c r="L73">
        <v>4324456</v>
      </c>
      <c r="M73" t="s">
        <v>346</v>
      </c>
      <c r="N73" s="11">
        <v>0.01</v>
      </c>
      <c r="O73" s="9" t="str">
        <f>_xll.SNL.Clients.Office.Excel.Functions.SPG(L73, "SP_COUNTRY_NAME")</f>
        <v>Italy</v>
      </c>
      <c r="T73" s="9" t="str">
        <f>_xll.SNL.Clients.Office.Excel.Functions.SPG(Q73, "SP_COUNTRY_NAME")</f>
        <v>#INVALID COMPANY ID</v>
      </c>
      <c r="U73" t="s">
        <v>674</v>
      </c>
      <c r="V73">
        <v>4345965</v>
      </c>
      <c r="W73" t="s">
        <v>346</v>
      </c>
      <c r="X73" s="11">
        <v>0.06</v>
      </c>
      <c r="Y73" s="9" t="str">
        <f>_xll.SNL.Clients.Office.Excel.Functions.SPG(V73, "SP_COUNTRY_NAME")</f>
        <v>China</v>
      </c>
      <c r="Z73" t="s">
        <v>489</v>
      </c>
      <c r="AA73">
        <v>4324456</v>
      </c>
      <c r="AB73" t="s">
        <v>346</v>
      </c>
      <c r="AC73" s="11">
        <v>0.01</v>
      </c>
      <c r="AD73" s="9" t="str">
        <f>_xll.SNL.Clients.Office.Excel.Functions.SPG(AA73, "SP_COUNTRY_NAME")</f>
        <v>Italy</v>
      </c>
      <c r="AE73" t="s">
        <v>401</v>
      </c>
      <c r="AF73">
        <v>4139862</v>
      </c>
      <c r="AG73" t="s">
        <v>346</v>
      </c>
      <c r="AH73" s="11">
        <v>0.02</v>
      </c>
      <c r="AI73" s="9" t="str">
        <f>_xll.SNL.Clients.Office.Excel.Functions.SPG(AF73, "SP_COUNTRY_NAME")</f>
        <v>United Kingdom</v>
      </c>
      <c r="AN73" s="9" t="str">
        <f>_xll.SNL.Clients.Office.Excel.Functions.SPG(AK73, "SP_COUNTRY_NAME")</f>
        <v>#INVALID COMPANY ID</v>
      </c>
      <c r="AO73" t="s">
        <v>1272</v>
      </c>
      <c r="AP73">
        <v>14833261</v>
      </c>
      <c r="AQ73" t="s">
        <v>346</v>
      </c>
      <c r="AR73" s="11">
        <v>0.06</v>
      </c>
      <c r="AS73" s="9" t="str">
        <f>_xll.SNL.Clients.Office.Excel.Functions.SPG(AP73, "SP_COUNTRY_NAME")</f>
        <v>Germany</v>
      </c>
      <c r="AX73" s="9" t="str">
        <f>_xll.SNL.Clients.Office.Excel.Functions.SPG(AU73, "SP_COUNTRY_NAME")</f>
        <v>#INVALID COMPANY ID</v>
      </c>
      <c r="AY73" t="s">
        <v>806</v>
      </c>
      <c r="AZ73">
        <v>4140536</v>
      </c>
      <c r="BA73" t="s">
        <v>346</v>
      </c>
      <c r="BB73" s="11">
        <v>0</v>
      </c>
      <c r="BC73" s="9" t="str">
        <f>_xll.SNL.Clients.Office.Excel.Functions.SPG(AZ73, "SP_COUNTRY_NAME")</f>
        <v>China</v>
      </c>
      <c r="BD73" t="s">
        <v>1025</v>
      </c>
      <c r="BE73">
        <v>4137552</v>
      </c>
      <c r="BF73" t="s">
        <v>346</v>
      </c>
      <c r="BG73" s="11">
        <v>0.14000000000000001</v>
      </c>
      <c r="BH73" s="9" t="str">
        <f>_xll.SNL.Clients.Office.Excel.Functions.SPG(BE73, "SP_COUNTRY_NAME")</f>
        <v>France</v>
      </c>
      <c r="BI73" t="s">
        <v>453</v>
      </c>
      <c r="BJ73">
        <v>4318598</v>
      </c>
      <c r="BK73" t="s">
        <v>346</v>
      </c>
      <c r="BL73" s="11">
        <v>0.05</v>
      </c>
      <c r="BM73" s="9" t="str">
        <f>_xll.SNL.Clients.Office.Excel.Functions.SPG(BJ73, "SP_COUNTRY_NAME")</f>
        <v>USA</v>
      </c>
      <c r="BN73" t="s">
        <v>451</v>
      </c>
      <c r="BO73">
        <v>5747632</v>
      </c>
      <c r="BP73" t="s">
        <v>346</v>
      </c>
      <c r="BQ73" s="11">
        <v>0.03</v>
      </c>
      <c r="BR73" s="9" t="str">
        <f>_xll.SNL.Clients.Office.Excel.Functions.SPG(BO73, "SP_COUNTRY_NAME")</f>
        <v>Canada</v>
      </c>
      <c r="BS73" t="s">
        <v>728</v>
      </c>
      <c r="BT73">
        <v>4316929</v>
      </c>
      <c r="BU73" t="s">
        <v>346</v>
      </c>
      <c r="BV73" s="11">
        <v>7.0000000000000007E-2</v>
      </c>
      <c r="BW73" s="9" t="str">
        <f>_xll.SNL.Clients.Office.Excel.Functions.SPG(BT73, "SP_COUNTRY_NAME")</f>
        <v>China</v>
      </c>
      <c r="BX73" t="s">
        <v>674</v>
      </c>
      <c r="BY73">
        <v>4345965</v>
      </c>
      <c r="BZ73" t="s">
        <v>346</v>
      </c>
      <c r="CA73" s="11">
        <v>0.06</v>
      </c>
      <c r="CB73" s="9" t="str">
        <f>_xll.SNL.Clients.Office.Excel.Functions.SPG(BY73, "SP_COUNTRY_NAME")</f>
        <v>China</v>
      </c>
      <c r="CC73" t="s">
        <v>1478</v>
      </c>
      <c r="CD73">
        <v>4339354</v>
      </c>
      <c r="CE73" t="s">
        <v>346</v>
      </c>
      <c r="CF73" s="11">
        <v>0.12</v>
      </c>
      <c r="CG73" s="9" t="str">
        <f>_xll.SNL.Clients.Office.Excel.Functions.SPG(CD73, "SP_COUNTRY_NAME")</f>
        <v>USA</v>
      </c>
      <c r="CH73" t="s">
        <v>1272</v>
      </c>
      <c r="CI73">
        <v>14833261</v>
      </c>
      <c r="CJ73" t="s">
        <v>346</v>
      </c>
      <c r="CK73" s="11">
        <v>0.06</v>
      </c>
      <c r="CL73" s="9" t="str">
        <f>_xll.SNL.Clients.Office.Excel.Functions.SPG(CI73, "SP_COUNTRY_NAME")</f>
        <v>Germany</v>
      </c>
      <c r="CM73" t="s">
        <v>389</v>
      </c>
      <c r="CN73">
        <v>109888</v>
      </c>
      <c r="CO73" t="s">
        <v>346</v>
      </c>
      <c r="CP73" s="11">
        <v>0.12</v>
      </c>
      <c r="CQ73" s="9" t="str">
        <f>_xll.SNL.Clients.Office.Excel.Functions.SPG(CN73, "SP_COUNTRY_NAME")</f>
        <v>USA</v>
      </c>
      <c r="CV73" s="9" t="str">
        <f>_xll.SNL.Clients.Office.Excel.Functions.SPG(CS73, "SP_COUNTRY_NAME")</f>
        <v>#INVALID COMPANY ID</v>
      </c>
      <c r="DA73" s="9" t="str">
        <f>_xll.SNL.Clients.Office.Excel.Functions.SPG(CX73, "SP_COUNTRY_NAME")</f>
        <v>#INVALID COMPANY ID</v>
      </c>
      <c r="DB73" t="s">
        <v>1025</v>
      </c>
      <c r="DC73">
        <v>4137552</v>
      </c>
      <c r="DD73" t="s">
        <v>346</v>
      </c>
      <c r="DE73" s="11">
        <v>0.14000000000000001</v>
      </c>
      <c r="DF73" s="9" t="str">
        <f>_xll.SNL.Clients.Office.Excel.Functions.SPG(DC73, "SP_COUNTRY_NAME")</f>
        <v>France</v>
      </c>
      <c r="DK73" s="9" t="str">
        <f>_xll.SNL.Clients.Office.Excel.Functions.SPG(DH73, "SP_COUNTRY_NAME")</f>
        <v>#INVALID COMPANY ID</v>
      </c>
      <c r="DL73" t="s">
        <v>1025</v>
      </c>
      <c r="DM73">
        <v>4137552</v>
      </c>
      <c r="DN73" t="s">
        <v>346</v>
      </c>
      <c r="DO73" s="11">
        <v>0.14000000000000001</v>
      </c>
      <c r="DP73" s="9" t="str">
        <f>_xll.SNL.Clients.Office.Excel.Functions.SPG(DM73, "SP_COUNTRY_NAME")</f>
        <v>France</v>
      </c>
      <c r="DU73" s="9" t="str">
        <f>_xll.SNL.Clients.Office.Excel.Functions.SPG(DR73, "SP_COUNTRY_NAME")</f>
        <v>#INVALID COMPANY ID</v>
      </c>
      <c r="DV73" t="s">
        <v>398</v>
      </c>
      <c r="DW73">
        <v>4107954</v>
      </c>
      <c r="DX73" t="s">
        <v>300</v>
      </c>
      <c r="DY73" s="11">
        <v>0</v>
      </c>
      <c r="DZ73" s="9" t="str">
        <f>_xll.SNL.Clients.Office.Excel.Functions.SPG(DW73, "SP_COUNTRY_NAME")</f>
        <v>Japan</v>
      </c>
      <c r="EA73" t="s">
        <v>1478</v>
      </c>
      <c r="EB73">
        <v>4339354</v>
      </c>
      <c r="EC73" t="s">
        <v>346</v>
      </c>
      <c r="ED73" s="11">
        <v>0.12</v>
      </c>
      <c r="EE73" s="9" t="str">
        <f>_xll.SNL.Clients.Office.Excel.Functions.SPG(EB73, "SP_COUNTRY_NAME")</f>
        <v>USA</v>
      </c>
      <c r="EF73" t="s">
        <v>1025</v>
      </c>
      <c r="EG73">
        <v>4137552</v>
      </c>
      <c r="EH73" t="s">
        <v>346</v>
      </c>
      <c r="EI73" s="11">
        <v>0.14000000000000001</v>
      </c>
      <c r="EJ73" s="9" t="str">
        <f>_xll.SNL.Clients.Office.Excel.Functions.SPG(EG73, "SP_COUNTRY_NAME")</f>
        <v>France</v>
      </c>
      <c r="EO73" s="9" t="str">
        <f>_xll.SNL.Clients.Office.Excel.Functions.SPG(EL73, "SP_COUNTRY_NAME")</f>
        <v>#INVALID COMPANY ID</v>
      </c>
      <c r="EP73" t="s">
        <v>481</v>
      </c>
      <c r="EQ73">
        <v>4376121</v>
      </c>
      <c r="ER73" t="s">
        <v>346</v>
      </c>
      <c r="ES73" s="11">
        <v>0</v>
      </c>
      <c r="ET73" s="9" t="str">
        <f>_xll.SNL.Clients.Office.Excel.Functions.SPG(EQ73, "SP_COUNTRY_NAME")</f>
        <v>United Kingdom</v>
      </c>
      <c r="EY73" s="9" t="str">
        <f>_xll.SNL.Clients.Office.Excel.Functions.SPG(EV73, "SP_COUNTRY_NAME")</f>
        <v>#INVALID COMPANY ID</v>
      </c>
      <c r="FD73" s="9" t="str">
        <f>_xll.SNL.Clients.Office.Excel.Functions.SPG(FA73, "SP_COUNTRY_NAME")</f>
        <v>#INVALID COMPANY ID</v>
      </c>
      <c r="FI73" s="9" t="str">
        <f>_xll.SNL.Clients.Office.Excel.Functions.SPG(FF73, "SP_COUNTRY_NAME")</f>
        <v>#INVALID COMPANY ID</v>
      </c>
      <c r="FJ73" t="s">
        <v>456</v>
      </c>
      <c r="FK73">
        <v>4249110</v>
      </c>
      <c r="FL73" t="s">
        <v>346</v>
      </c>
      <c r="FM73" s="11">
        <v>0.02</v>
      </c>
      <c r="FN73" s="9" t="str">
        <f>_xll.SNL.Clients.Office.Excel.Functions.SPG(FK73, "SP_COUNTRY_NAME")</f>
        <v>United Kingdom</v>
      </c>
      <c r="FS73" s="9" t="str">
        <f>_xll.SNL.Clients.Office.Excel.Functions.SPG(FP73, "SP_COUNTRY_NAME")</f>
        <v>#INVALID COMPANY ID</v>
      </c>
      <c r="FX73" s="9" t="str">
        <f>_xll.SNL.Clients.Office.Excel.Functions.SPG(FU73, "SP_COUNTRY_NAME")</f>
        <v>#INVALID COMPANY ID</v>
      </c>
      <c r="FY73" t="s">
        <v>1025</v>
      </c>
      <c r="FZ73">
        <v>4137552</v>
      </c>
      <c r="GA73" t="s">
        <v>346</v>
      </c>
      <c r="GB73" s="11">
        <v>0.14000000000000001</v>
      </c>
      <c r="GC73" s="9" t="str">
        <f>_xll.SNL.Clients.Office.Excel.Functions.SPG(FZ73, "SP_COUNTRY_NAME")</f>
        <v>France</v>
      </c>
      <c r="GH73" s="9" t="str">
        <f>_xll.SNL.Clients.Office.Excel.Functions.SPG(GE73, "SP_COUNTRY_NAME")</f>
        <v>#INVALID COMPANY ID</v>
      </c>
      <c r="GM73" s="9" t="str">
        <f>_xll.SNL.Clients.Office.Excel.Functions.SPG(GJ73, "SP_COUNTRY_NAME")</f>
        <v>#INVALID COMPANY ID</v>
      </c>
      <c r="GN73" t="s">
        <v>456</v>
      </c>
      <c r="GO73">
        <v>4249110</v>
      </c>
      <c r="GP73" t="s">
        <v>346</v>
      </c>
      <c r="GQ73" s="11">
        <v>0.02</v>
      </c>
      <c r="GR73" s="9" t="str">
        <f>_xll.SNL.Clients.Office.Excel.Functions.SPG(GO73, "SP_COUNTRY_NAME")</f>
        <v>United Kingdom</v>
      </c>
      <c r="GS73" t="s">
        <v>451</v>
      </c>
      <c r="GT73">
        <v>5747632</v>
      </c>
      <c r="GU73" t="s">
        <v>346</v>
      </c>
      <c r="GV73" s="11">
        <v>0.03</v>
      </c>
      <c r="GW73" s="9" t="str">
        <f>_xll.SNL.Clients.Office.Excel.Functions.SPG(GT73, "SP_COUNTRY_NAME")</f>
        <v>Canada</v>
      </c>
      <c r="GX73" t="s">
        <v>1478</v>
      </c>
      <c r="GY73">
        <v>4339354</v>
      </c>
      <c r="GZ73" t="s">
        <v>346</v>
      </c>
      <c r="HA73" s="11">
        <v>0.12</v>
      </c>
      <c r="HB73" s="9" t="str">
        <f>_xll.SNL.Clients.Office.Excel.Functions.SPG(GY73, "SP_COUNTRY_NAME")</f>
        <v>USA</v>
      </c>
      <c r="HG73" s="9" t="str">
        <f>_xll.SNL.Clients.Office.Excel.Functions.SPG(HD73, "SP_COUNTRY_NAME")</f>
        <v>#INVALID COMPANY ID</v>
      </c>
    </row>
    <row r="74" spans="5:215" x14ac:dyDescent="0.35">
      <c r="E74" s="9" t="str">
        <f>_xll.SNL.Clients.Office.Excel.Functions.SPG(B74, "SP_COUNTRY_NAME")</f>
        <v>#INVALID COMPANY ID</v>
      </c>
      <c r="F74" t="s">
        <v>467</v>
      </c>
      <c r="G74">
        <v>7108293</v>
      </c>
      <c r="H74" t="s">
        <v>369</v>
      </c>
      <c r="I74" s="11">
        <v>0.02</v>
      </c>
      <c r="J74" s="9" t="str">
        <f>_xll.SNL.Clients.Office.Excel.Functions.SPG(G74, "SP_COUNTRY_NAME")</f>
        <v>United Kingdom</v>
      </c>
      <c r="K74" t="s">
        <v>631</v>
      </c>
      <c r="L74">
        <v>112247511</v>
      </c>
      <c r="M74" t="s">
        <v>346</v>
      </c>
      <c r="N74" s="11">
        <v>0.01</v>
      </c>
      <c r="O74" s="9" t="str">
        <f>_xll.SNL.Clients.Office.Excel.Functions.SPG(L74, "SP_COUNTRY_NAME")</f>
        <v>USA</v>
      </c>
      <c r="T74" s="9" t="str">
        <f>_xll.SNL.Clients.Office.Excel.Functions.SPG(Q74, "SP_COUNTRY_NAME")</f>
        <v>#INVALID COMPANY ID</v>
      </c>
      <c r="U74" t="s">
        <v>394</v>
      </c>
      <c r="V74">
        <v>4048695</v>
      </c>
      <c r="W74" t="s">
        <v>346</v>
      </c>
      <c r="X74" s="11">
        <v>0.06</v>
      </c>
      <c r="Y74" s="9" t="str">
        <f>_xll.SNL.Clients.Office.Excel.Functions.SPG(V74, "SP_COUNTRY_NAME")</f>
        <v>USA</v>
      </c>
      <c r="Z74" t="s">
        <v>631</v>
      </c>
      <c r="AA74">
        <v>112247511</v>
      </c>
      <c r="AB74" t="s">
        <v>346</v>
      </c>
      <c r="AC74" s="11">
        <v>0.01</v>
      </c>
      <c r="AD74" s="9" t="str">
        <f>_xll.SNL.Clients.Office.Excel.Functions.SPG(AA74, "SP_COUNTRY_NAME")</f>
        <v>USA</v>
      </c>
      <c r="AE74" t="s">
        <v>1126</v>
      </c>
      <c r="AF74">
        <v>4765178</v>
      </c>
      <c r="AG74" t="s">
        <v>346</v>
      </c>
      <c r="AH74" s="11">
        <v>0.02</v>
      </c>
      <c r="AI74" s="9" t="str">
        <f>_xll.SNL.Clients.Office.Excel.Functions.SPG(AF74, "SP_COUNTRY_NAME")</f>
        <v>Luxembourg</v>
      </c>
      <c r="AN74" s="9" t="str">
        <f>_xll.SNL.Clients.Office.Excel.Functions.SPG(AK74, "SP_COUNTRY_NAME")</f>
        <v>#INVALID COMPANY ID</v>
      </c>
      <c r="AO74" t="s">
        <v>401</v>
      </c>
      <c r="AP74">
        <v>4139862</v>
      </c>
      <c r="AQ74" t="s">
        <v>346</v>
      </c>
      <c r="AR74" s="11">
        <v>0.06</v>
      </c>
      <c r="AS74" s="9" t="str">
        <f>_xll.SNL.Clients.Office.Excel.Functions.SPG(AP74, "SP_COUNTRY_NAME")</f>
        <v>United Kingdom</v>
      </c>
      <c r="AX74" s="9" t="str">
        <f>_xll.SNL.Clients.Office.Excel.Functions.SPG(AU74, "SP_COUNTRY_NAME")</f>
        <v>#INVALID COMPANY ID</v>
      </c>
      <c r="AY74" t="s">
        <v>354</v>
      </c>
      <c r="AZ74">
        <v>110652</v>
      </c>
      <c r="BA74" t="s">
        <v>346</v>
      </c>
      <c r="BB74" s="11">
        <v>0</v>
      </c>
      <c r="BC74" s="9" t="str">
        <f>_xll.SNL.Clients.Office.Excel.Functions.SPG(AZ74, "SP_COUNTRY_NAME")</f>
        <v>USA</v>
      </c>
      <c r="BD74" t="s">
        <v>715</v>
      </c>
      <c r="BE74">
        <v>4137795</v>
      </c>
      <c r="BF74" t="s">
        <v>362</v>
      </c>
      <c r="BG74" s="11">
        <v>0.14000000000000001</v>
      </c>
      <c r="BH74" s="9" t="str">
        <f>_xll.SNL.Clients.Office.Excel.Functions.SPG(BE74, "SP_COUNTRY_NAME")</f>
        <v>United Arab Emirates</v>
      </c>
      <c r="BI74" t="s">
        <v>407</v>
      </c>
      <c r="BJ74">
        <v>109754</v>
      </c>
      <c r="BK74" t="s">
        <v>346</v>
      </c>
      <c r="BL74" s="11">
        <v>0.05</v>
      </c>
      <c r="BM74" s="9" t="str">
        <f>_xll.SNL.Clients.Office.Excel.Functions.SPG(BJ74, "SP_COUNTRY_NAME")</f>
        <v>USA</v>
      </c>
      <c r="BN74" t="s">
        <v>558</v>
      </c>
      <c r="BO74">
        <v>109844</v>
      </c>
      <c r="BP74" t="s">
        <v>346</v>
      </c>
      <c r="BQ74" s="11">
        <v>0.03</v>
      </c>
      <c r="BR74" s="9" t="str">
        <f>_xll.SNL.Clients.Office.Excel.Functions.SPG(BO74, "SP_COUNTRY_NAME")</f>
        <v>USA</v>
      </c>
      <c r="BS74" t="s">
        <v>647</v>
      </c>
      <c r="BT74">
        <v>4556995</v>
      </c>
      <c r="BU74" t="s">
        <v>346</v>
      </c>
      <c r="BV74" s="11">
        <v>7.0000000000000007E-2</v>
      </c>
      <c r="BW74" s="9" t="str">
        <f>_xll.SNL.Clients.Office.Excel.Functions.SPG(BT74, "SP_COUNTRY_NAME")</f>
        <v>China</v>
      </c>
      <c r="BX74" t="s">
        <v>394</v>
      </c>
      <c r="BY74">
        <v>4048695</v>
      </c>
      <c r="BZ74" t="s">
        <v>346</v>
      </c>
      <c r="CA74" s="11">
        <v>0.06</v>
      </c>
      <c r="CB74" s="9" t="str">
        <f>_xll.SNL.Clients.Office.Excel.Functions.SPG(BY74, "SP_COUNTRY_NAME")</f>
        <v>USA</v>
      </c>
      <c r="CC74" t="s">
        <v>771</v>
      </c>
      <c r="CD74">
        <v>4162576</v>
      </c>
      <c r="CE74" t="s">
        <v>346</v>
      </c>
      <c r="CF74" s="11">
        <v>0.12</v>
      </c>
      <c r="CG74" s="9" t="str">
        <f>_xll.SNL.Clients.Office.Excel.Functions.SPG(CD74, "SP_COUNTRY_NAME")</f>
        <v>USA</v>
      </c>
      <c r="CH74" t="s">
        <v>401</v>
      </c>
      <c r="CI74">
        <v>4139862</v>
      </c>
      <c r="CJ74" t="s">
        <v>346</v>
      </c>
      <c r="CK74" s="11">
        <v>0.06</v>
      </c>
      <c r="CL74" s="9" t="str">
        <f>_xll.SNL.Clients.Office.Excel.Functions.SPG(CI74, "SP_COUNTRY_NAME")</f>
        <v>United Kingdom</v>
      </c>
      <c r="CM74" t="s">
        <v>436</v>
      </c>
      <c r="CN74">
        <v>111219</v>
      </c>
      <c r="CO74" t="s">
        <v>346</v>
      </c>
      <c r="CP74" s="11">
        <v>0.12</v>
      </c>
      <c r="CQ74" s="9" t="str">
        <f>_xll.SNL.Clients.Office.Excel.Functions.SPG(CN74, "SP_COUNTRY_NAME")</f>
        <v>USA</v>
      </c>
      <c r="CV74" s="9" t="str">
        <f>_xll.SNL.Clients.Office.Excel.Functions.SPG(CS74, "SP_COUNTRY_NAME")</f>
        <v>#INVALID COMPANY ID</v>
      </c>
      <c r="DA74" s="9" t="str">
        <f>_xll.SNL.Clients.Office.Excel.Functions.SPG(CX74, "SP_COUNTRY_NAME")</f>
        <v>#INVALID COMPANY ID</v>
      </c>
      <c r="DB74" t="s">
        <v>715</v>
      </c>
      <c r="DC74">
        <v>4137795</v>
      </c>
      <c r="DD74" t="s">
        <v>362</v>
      </c>
      <c r="DE74" s="11">
        <v>0.14000000000000001</v>
      </c>
      <c r="DF74" s="9" t="str">
        <f>_xll.SNL.Clients.Office.Excel.Functions.SPG(DC74, "SP_COUNTRY_NAME")</f>
        <v>United Arab Emirates</v>
      </c>
      <c r="DK74" s="9" t="str">
        <f>_xll.SNL.Clients.Office.Excel.Functions.SPG(DH74, "SP_COUNTRY_NAME")</f>
        <v>#INVALID COMPANY ID</v>
      </c>
      <c r="DL74" t="s">
        <v>715</v>
      </c>
      <c r="DM74">
        <v>4137795</v>
      </c>
      <c r="DN74" t="s">
        <v>362</v>
      </c>
      <c r="DO74" s="11">
        <v>0.14000000000000001</v>
      </c>
      <c r="DP74" s="9" t="str">
        <f>_xll.SNL.Clients.Office.Excel.Functions.SPG(DM74, "SP_COUNTRY_NAME")</f>
        <v>United Arab Emirates</v>
      </c>
      <c r="DU74" s="9" t="str">
        <f>_xll.SNL.Clients.Office.Excel.Functions.SPG(DR74, "SP_COUNTRY_NAME")</f>
        <v>#INVALID COMPANY ID</v>
      </c>
      <c r="DV74" t="s">
        <v>856</v>
      </c>
      <c r="DW74">
        <v>4141040</v>
      </c>
      <c r="DX74" t="s">
        <v>346</v>
      </c>
      <c r="DY74" s="11">
        <v>0</v>
      </c>
      <c r="DZ74" s="9" t="str">
        <f>_xll.SNL.Clients.Office.Excel.Functions.SPG(DW74, "SP_COUNTRY_NAME")</f>
        <v>United Kingdom</v>
      </c>
      <c r="EA74" t="s">
        <v>771</v>
      </c>
      <c r="EB74">
        <v>4162576</v>
      </c>
      <c r="EC74" t="s">
        <v>346</v>
      </c>
      <c r="ED74" s="11">
        <v>0.12</v>
      </c>
      <c r="EE74" s="9" t="str">
        <f>_xll.SNL.Clients.Office.Excel.Functions.SPG(EB74, "SP_COUNTRY_NAME")</f>
        <v>USA</v>
      </c>
      <c r="EF74" t="s">
        <v>715</v>
      </c>
      <c r="EG74">
        <v>4137795</v>
      </c>
      <c r="EH74" t="s">
        <v>362</v>
      </c>
      <c r="EI74" s="11">
        <v>0.14000000000000001</v>
      </c>
      <c r="EJ74" s="9" t="str">
        <f>_xll.SNL.Clients.Office.Excel.Functions.SPG(EG74, "SP_COUNTRY_NAME")</f>
        <v>United Arab Emirates</v>
      </c>
      <c r="EO74" s="9" t="str">
        <f>_xll.SNL.Clients.Office.Excel.Functions.SPG(EL74, "SP_COUNTRY_NAME")</f>
        <v>#INVALID COMPANY ID</v>
      </c>
      <c r="EP74" t="s">
        <v>710</v>
      </c>
      <c r="EQ74">
        <v>4559567</v>
      </c>
      <c r="ER74" t="s">
        <v>346</v>
      </c>
      <c r="ES74" s="11">
        <v>0</v>
      </c>
      <c r="ET74" s="9" t="str">
        <f>_xll.SNL.Clients.Office.Excel.Functions.SPG(EQ74, "SP_COUNTRY_NAME")</f>
        <v>China</v>
      </c>
      <c r="EY74" s="9" t="str">
        <f>_xll.SNL.Clients.Office.Excel.Functions.SPG(EV74, "SP_COUNTRY_NAME")</f>
        <v>#INVALID COMPANY ID</v>
      </c>
      <c r="FD74" s="9" t="str">
        <f>_xll.SNL.Clients.Office.Excel.Functions.SPG(FA74, "SP_COUNTRY_NAME")</f>
        <v>#INVALID COMPANY ID</v>
      </c>
      <c r="FI74" s="9" t="str">
        <f>_xll.SNL.Clients.Office.Excel.Functions.SPG(FF74, "SP_COUNTRY_NAME")</f>
        <v>#INVALID COMPANY ID</v>
      </c>
      <c r="FJ74" t="s">
        <v>496</v>
      </c>
      <c r="FK74">
        <v>110495</v>
      </c>
      <c r="FL74" t="s">
        <v>346</v>
      </c>
      <c r="FM74" s="11">
        <v>0.02</v>
      </c>
      <c r="FN74" s="9" t="str">
        <f>_xll.SNL.Clients.Office.Excel.Functions.SPG(FK74, "SP_COUNTRY_NAME")</f>
        <v>USA</v>
      </c>
      <c r="FS74" s="9" t="str">
        <f>_xll.SNL.Clients.Office.Excel.Functions.SPG(FP74, "SP_COUNTRY_NAME")</f>
        <v>#INVALID COMPANY ID</v>
      </c>
      <c r="FX74" s="9" t="str">
        <f>_xll.SNL.Clients.Office.Excel.Functions.SPG(FU74, "SP_COUNTRY_NAME")</f>
        <v>#INVALID COMPANY ID</v>
      </c>
      <c r="FY74" t="s">
        <v>715</v>
      </c>
      <c r="FZ74">
        <v>4137795</v>
      </c>
      <c r="GA74" t="s">
        <v>362</v>
      </c>
      <c r="GB74" s="11">
        <v>0.14000000000000001</v>
      </c>
      <c r="GC74" s="9" t="str">
        <f>_xll.SNL.Clients.Office.Excel.Functions.SPG(FZ74, "SP_COUNTRY_NAME")</f>
        <v>United Arab Emirates</v>
      </c>
      <c r="GH74" s="9" t="str">
        <f>_xll.SNL.Clients.Office.Excel.Functions.SPG(GE74, "SP_COUNTRY_NAME")</f>
        <v>#INVALID COMPANY ID</v>
      </c>
      <c r="GM74" s="9" t="str">
        <f>_xll.SNL.Clients.Office.Excel.Functions.SPG(GJ74, "SP_COUNTRY_NAME")</f>
        <v>#INVALID COMPANY ID</v>
      </c>
      <c r="GN74" t="s">
        <v>496</v>
      </c>
      <c r="GO74">
        <v>110495</v>
      </c>
      <c r="GP74" t="s">
        <v>346</v>
      </c>
      <c r="GQ74" s="11">
        <v>0.02</v>
      </c>
      <c r="GR74" s="9" t="str">
        <f>_xll.SNL.Clients.Office.Excel.Functions.SPG(GO74, "SP_COUNTRY_NAME")</f>
        <v>USA</v>
      </c>
      <c r="GS74" t="s">
        <v>558</v>
      </c>
      <c r="GT74">
        <v>109844</v>
      </c>
      <c r="GU74" t="s">
        <v>346</v>
      </c>
      <c r="GV74" s="11">
        <v>0.03</v>
      </c>
      <c r="GW74" s="9" t="str">
        <f>_xll.SNL.Clients.Office.Excel.Functions.SPG(GT74, "SP_COUNTRY_NAME")</f>
        <v>USA</v>
      </c>
      <c r="GX74" t="s">
        <v>771</v>
      </c>
      <c r="GY74">
        <v>4162576</v>
      </c>
      <c r="GZ74" t="s">
        <v>346</v>
      </c>
      <c r="HA74" s="11">
        <v>0.12</v>
      </c>
      <c r="HB74" s="9" t="str">
        <f>_xll.SNL.Clients.Office.Excel.Functions.SPG(GY74, "SP_COUNTRY_NAME")</f>
        <v>USA</v>
      </c>
      <c r="HG74" s="9" t="str">
        <f>_xll.SNL.Clients.Office.Excel.Functions.SPG(HD74, "SP_COUNTRY_NAME")</f>
        <v>#INVALID COMPANY ID</v>
      </c>
    </row>
    <row r="75" spans="5:215" x14ac:dyDescent="0.35">
      <c r="E75" s="9" t="str">
        <f>_xll.SNL.Clients.Office.Excel.Functions.SPG(B75, "SP_COUNTRY_NAME")</f>
        <v>#INVALID COMPANY ID</v>
      </c>
      <c r="F75" t="s">
        <v>468</v>
      </c>
      <c r="G75">
        <v>4556191</v>
      </c>
      <c r="H75" t="s">
        <v>346</v>
      </c>
      <c r="I75" s="11">
        <v>0.02</v>
      </c>
      <c r="J75" s="9" t="str">
        <f>_xll.SNL.Clients.Office.Excel.Functions.SPG(G75, "SP_COUNTRY_NAME")</f>
        <v>USA</v>
      </c>
      <c r="K75" t="s">
        <v>388</v>
      </c>
      <c r="L75">
        <v>4057506</v>
      </c>
      <c r="M75" t="s">
        <v>346</v>
      </c>
      <c r="N75" s="11">
        <v>0</v>
      </c>
      <c r="O75" s="9" t="str">
        <f>_xll.SNL.Clients.Office.Excel.Functions.SPG(L75, "SP_COUNTRY_NAME")</f>
        <v>USA</v>
      </c>
      <c r="T75" s="9" t="str">
        <f>_xll.SNL.Clients.Office.Excel.Functions.SPG(Q75, "SP_COUNTRY_NAME")</f>
        <v>#INVALID COMPANY ID</v>
      </c>
      <c r="U75" t="s">
        <v>676</v>
      </c>
      <c r="V75">
        <v>15012201</v>
      </c>
      <c r="W75" t="s">
        <v>346</v>
      </c>
      <c r="X75" s="11">
        <v>0.06</v>
      </c>
      <c r="Y75" s="9" t="str">
        <f>_xll.SNL.Clients.Office.Excel.Functions.SPG(V75, "SP_COUNTRY_NAME")</f>
        <v>China</v>
      </c>
      <c r="Z75" t="s">
        <v>388</v>
      </c>
      <c r="AA75">
        <v>4057506</v>
      </c>
      <c r="AB75" t="s">
        <v>346</v>
      </c>
      <c r="AC75" s="11">
        <v>0</v>
      </c>
      <c r="AD75" s="9" t="str">
        <f>_xll.SNL.Clients.Office.Excel.Functions.SPG(AA75, "SP_COUNTRY_NAME")</f>
        <v>USA</v>
      </c>
      <c r="AE75" t="s">
        <v>356</v>
      </c>
      <c r="AF75">
        <v>4578944</v>
      </c>
      <c r="AG75" t="s">
        <v>346</v>
      </c>
      <c r="AH75" s="11">
        <v>0.02</v>
      </c>
      <c r="AI75" s="9" t="str">
        <f>_xll.SNL.Clients.Office.Excel.Functions.SPG(AF75, "SP_COUNTRY_NAME")</f>
        <v>Australia</v>
      </c>
      <c r="AN75" s="9" t="str">
        <f>_xll.SNL.Clients.Office.Excel.Functions.SPG(AK75, "SP_COUNTRY_NAME")</f>
        <v>#INVALID COMPANY ID</v>
      </c>
      <c r="AO75" t="s">
        <v>387</v>
      </c>
      <c r="AP75">
        <v>4020980</v>
      </c>
      <c r="AQ75" t="s">
        <v>346</v>
      </c>
      <c r="AR75" s="11">
        <v>0.05</v>
      </c>
      <c r="AS75" s="9" t="str">
        <f>_xll.SNL.Clients.Office.Excel.Functions.SPG(AP75, "SP_COUNTRY_NAME")</f>
        <v>Bermuda</v>
      </c>
      <c r="AX75" s="9" t="str">
        <f>_xll.SNL.Clients.Office.Excel.Functions.SPG(AU75, "SP_COUNTRY_NAME")</f>
        <v>#INVALID COMPANY ID</v>
      </c>
      <c r="AY75" t="s">
        <v>808</v>
      </c>
      <c r="AZ75">
        <v>4138631</v>
      </c>
      <c r="BA75" t="s">
        <v>346</v>
      </c>
      <c r="BB75" s="11">
        <v>0</v>
      </c>
      <c r="BC75" s="9" t="str">
        <f>_xll.SNL.Clients.Office.Excel.Functions.SPG(AZ75, "SP_COUNTRY_NAME")</f>
        <v>China</v>
      </c>
      <c r="BD75" t="s">
        <v>456</v>
      </c>
      <c r="BE75">
        <v>4249110</v>
      </c>
      <c r="BF75" t="s">
        <v>346</v>
      </c>
      <c r="BG75" s="11">
        <v>0.14000000000000001</v>
      </c>
      <c r="BH75" s="9" t="str">
        <f>_xll.SNL.Clients.Office.Excel.Functions.SPG(BE75, "SP_COUNTRY_NAME")</f>
        <v>United Kingdom</v>
      </c>
      <c r="BI75" t="s">
        <v>663</v>
      </c>
      <c r="BJ75">
        <v>4080954</v>
      </c>
      <c r="BK75" t="s">
        <v>346</v>
      </c>
      <c r="BL75" s="11">
        <v>0.04</v>
      </c>
      <c r="BM75" s="9" t="str">
        <f>_xll.SNL.Clients.Office.Excel.Functions.SPG(BJ75, "SP_COUNTRY_NAME")</f>
        <v>Denmark</v>
      </c>
      <c r="BN75" t="s">
        <v>683</v>
      </c>
      <c r="BO75">
        <v>4137754</v>
      </c>
      <c r="BP75" t="s">
        <v>346</v>
      </c>
      <c r="BQ75" s="11">
        <v>0.03</v>
      </c>
      <c r="BR75" s="9" t="str">
        <f>_xll.SNL.Clients.Office.Excel.Functions.SPG(BO75, "SP_COUNTRY_NAME")</f>
        <v>China</v>
      </c>
      <c r="BS75" t="s">
        <v>684</v>
      </c>
      <c r="BT75">
        <v>4139415</v>
      </c>
      <c r="BU75" t="s">
        <v>346</v>
      </c>
      <c r="BV75" s="11">
        <v>7.0000000000000007E-2</v>
      </c>
      <c r="BW75" s="9" t="str">
        <f>_xll.SNL.Clients.Office.Excel.Functions.SPG(BT75, "SP_COUNTRY_NAME")</f>
        <v>China</v>
      </c>
      <c r="BX75" t="s">
        <v>676</v>
      </c>
      <c r="BY75">
        <v>15012201</v>
      </c>
      <c r="BZ75" t="s">
        <v>346</v>
      </c>
      <c r="CA75" s="11">
        <v>0.06</v>
      </c>
      <c r="CB75" s="9" t="str">
        <f>_xll.SNL.Clients.Office.Excel.Functions.SPG(BY75, "SP_COUNTRY_NAME")</f>
        <v>China</v>
      </c>
      <c r="CC75" t="s">
        <v>524</v>
      </c>
      <c r="CD75">
        <v>4147331</v>
      </c>
      <c r="CE75" t="s">
        <v>346</v>
      </c>
      <c r="CF75" s="11">
        <v>0.12</v>
      </c>
      <c r="CG75" s="9" t="str">
        <f>_xll.SNL.Clients.Office.Excel.Functions.SPG(CD75, "SP_COUNTRY_NAME")</f>
        <v>United Kingdom</v>
      </c>
      <c r="CH75" t="s">
        <v>387</v>
      </c>
      <c r="CI75">
        <v>4020980</v>
      </c>
      <c r="CJ75" t="s">
        <v>346</v>
      </c>
      <c r="CK75" s="11">
        <v>0.05</v>
      </c>
      <c r="CL75" s="9" t="str">
        <f>_xll.SNL.Clients.Office.Excel.Functions.SPG(CI75, "SP_COUNTRY_NAME")</f>
        <v>Bermuda</v>
      </c>
      <c r="CM75" t="s">
        <v>429</v>
      </c>
      <c r="CN75">
        <v>4607441</v>
      </c>
      <c r="CO75" t="s">
        <v>346</v>
      </c>
      <c r="CP75" s="11">
        <v>0.11</v>
      </c>
      <c r="CQ75" s="9" t="str">
        <f>_xll.SNL.Clients.Office.Excel.Functions.SPG(CN75, "SP_COUNTRY_NAME")</f>
        <v>Japan</v>
      </c>
      <c r="CV75" s="9" t="str">
        <f>_xll.SNL.Clients.Office.Excel.Functions.SPG(CS75, "SP_COUNTRY_NAME")</f>
        <v>#INVALID COMPANY ID</v>
      </c>
      <c r="DA75" s="9" t="str">
        <f>_xll.SNL.Clients.Office.Excel.Functions.SPG(CX75, "SP_COUNTRY_NAME")</f>
        <v>#INVALID COMPANY ID</v>
      </c>
      <c r="DB75" t="s">
        <v>456</v>
      </c>
      <c r="DC75">
        <v>4249110</v>
      </c>
      <c r="DD75" t="s">
        <v>346</v>
      </c>
      <c r="DE75" s="11">
        <v>0.14000000000000001</v>
      </c>
      <c r="DF75" s="9" t="str">
        <f>_xll.SNL.Clients.Office.Excel.Functions.SPG(DC75, "SP_COUNTRY_NAME")</f>
        <v>United Kingdom</v>
      </c>
      <c r="DK75" s="9" t="str">
        <f>_xll.SNL.Clients.Office.Excel.Functions.SPG(DH75, "SP_COUNTRY_NAME")</f>
        <v>#INVALID COMPANY ID</v>
      </c>
      <c r="DL75" t="s">
        <v>456</v>
      </c>
      <c r="DM75">
        <v>4249110</v>
      </c>
      <c r="DN75" t="s">
        <v>346</v>
      </c>
      <c r="DO75" s="11">
        <v>0.14000000000000001</v>
      </c>
      <c r="DP75" s="9" t="str">
        <f>_xll.SNL.Clients.Office.Excel.Functions.SPG(DM75, "SP_COUNTRY_NAME")</f>
        <v>United Kingdom</v>
      </c>
      <c r="DU75" s="9" t="str">
        <f>_xll.SNL.Clients.Office.Excel.Functions.SPG(DR75, "SP_COUNTRY_NAME")</f>
        <v>#INVALID COMPANY ID</v>
      </c>
      <c r="DV75" t="s">
        <v>1203</v>
      </c>
      <c r="DW75">
        <v>4297864</v>
      </c>
      <c r="DX75" t="s">
        <v>346</v>
      </c>
      <c r="DY75" s="11">
        <v>0</v>
      </c>
      <c r="DZ75" s="9" t="str">
        <f>_xll.SNL.Clients.Office.Excel.Functions.SPG(DW75, "SP_COUNTRY_NAME")</f>
        <v>Russia</v>
      </c>
      <c r="EA75" t="s">
        <v>524</v>
      </c>
      <c r="EB75">
        <v>4147331</v>
      </c>
      <c r="EC75" t="s">
        <v>346</v>
      </c>
      <c r="ED75" s="11">
        <v>0.12</v>
      </c>
      <c r="EE75" s="9" t="str">
        <f>_xll.SNL.Clients.Office.Excel.Functions.SPG(EB75, "SP_COUNTRY_NAME")</f>
        <v>United Kingdom</v>
      </c>
      <c r="EF75" t="s">
        <v>456</v>
      </c>
      <c r="EG75">
        <v>4249110</v>
      </c>
      <c r="EH75" t="s">
        <v>346</v>
      </c>
      <c r="EI75" s="11">
        <v>0.14000000000000001</v>
      </c>
      <c r="EJ75" s="9" t="str">
        <f>_xll.SNL.Clients.Office.Excel.Functions.SPG(EG75, "SP_COUNTRY_NAME")</f>
        <v>United Kingdom</v>
      </c>
      <c r="EO75" s="9" t="str">
        <f>_xll.SNL.Clients.Office.Excel.Functions.SPG(EL75, "SP_COUNTRY_NAME")</f>
        <v>#INVALID COMPANY ID</v>
      </c>
      <c r="EP75" t="s">
        <v>732</v>
      </c>
      <c r="EQ75">
        <v>4139789</v>
      </c>
      <c r="ER75" t="s">
        <v>346</v>
      </c>
      <c r="ES75" s="11">
        <v>0</v>
      </c>
      <c r="ET75" s="9" t="str">
        <f>_xll.SNL.Clients.Office.Excel.Functions.SPG(EQ75, "SP_COUNTRY_NAME")</f>
        <v>China</v>
      </c>
      <c r="EY75" s="9" t="str">
        <f>_xll.SNL.Clients.Office.Excel.Functions.SPG(EV75, "SP_COUNTRY_NAME")</f>
        <v>#INVALID COMPANY ID</v>
      </c>
      <c r="FD75" s="9" t="str">
        <f>_xll.SNL.Clients.Office.Excel.Functions.SPG(FA75, "SP_COUNTRY_NAME")</f>
        <v>#INVALID COMPANY ID</v>
      </c>
      <c r="FI75" s="9" t="str">
        <f>_xll.SNL.Clients.Office.Excel.Functions.SPG(FF75, "SP_COUNTRY_NAME")</f>
        <v>#INVALID COMPANY ID</v>
      </c>
      <c r="FJ75" t="s">
        <v>415</v>
      </c>
      <c r="FK75">
        <v>110587</v>
      </c>
      <c r="FL75" t="s">
        <v>346</v>
      </c>
      <c r="FM75" s="11">
        <v>0.02</v>
      </c>
      <c r="FN75" s="9" t="str">
        <f>_xll.SNL.Clients.Office.Excel.Functions.SPG(FK75, "SP_COUNTRY_NAME")</f>
        <v>USA</v>
      </c>
      <c r="FS75" s="9" t="str">
        <f>_xll.SNL.Clients.Office.Excel.Functions.SPG(FP75, "SP_COUNTRY_NAME")</f>
        <v>#INVALID COMPANY ID</v>
      </c>
      <c r="FX75" s="9" t="str">
        <f>_xll.SNL.Clients.Office.Excel.Functions.SPG(FU75, "SP_COUNTRY_NAME")</f>
        <v>#INVALID COMPANY ID</v>
      </c>
      <c r="FY75" t="s">
        <v>456</v>
      </c>
      <c r="FZ75">
        <v>4249110</v>
      </c>
      <c r="GA75" t="s">
        <v>346</v>
      </c>
      <c r="GB75" s="11">
        <v>0.14000000000000001</v>
      </c>
      <c r="GC75" s="9" t="str">
        <f>_xll.SNL.Clients.Office.Excel.Functions.SPG(FZ75, "SP_COUNTRY_NAME")</f>
        <v>United Kingdom</v>
      </c>
      <c r="GH75" s="9" t="str">
        <f>_xll.SNL.Clients.Office.Excel.Functions.SPG(GE75, "SP_COUNTRY_NAME")</f>
        <v>#INVALID COMPANY ID</v>
      </c>
      <c r="GM75" s="9" t="str">
        <f>_xll.SNL.Clients.Office.Excel.Functions.SPG(GJ75, "SP_COUNTRY_NAME")</f>
        <v>#INVALID COMPANY ID</v>
      </c>
      <c r="GN75" t="s">
        <v>415</v>
      </c>
      <c r="GO75">
        <v>110587</v>
      </c>
      <c r="GP75" t="s">
        <v>346</v>
      </c>
      <c r="GQ75" s="11">
        <v>0.02</v>
      </c>
      <c r="GR75" s="9" t="str">
        <f>_xll.SNL.Clients.Office.Excel.Functions.SPG(GO75, "SP_COUNTRY_NAME")</f>
        <v>USA</v>
      </c>
      <c r="GS75" t="s">
        <v>683</v>
      </c>
      <c r="GT75">
        <v>4137754</v>
      </c>
      <c r="GU75" t="s">
        <v>346</v>
      </c>
      <c r="GV75" s="11">
        <v>0.03</v>
      </c>
      <c r="GW75" s="9" t="str">
        <f>_xll.SNL.Clients.Office.Excel.Functions.SPG(GT75, "SP_COUNTRY_NAME")</f>
        <v>China</v>
      </c>
      <c r="GX75" t="s">
        <v>524</v>
      </c>
      <c r="GY75">
        <v>4147331</v>
      </c>
      <c r="GZ75" t="s">
        <v>346</v>
      </c>
      <c r="HA75" s="11">
        <v>0.12</v>
      </c>
      <c r="HB75" s="9" t="str">
        <f>_xll.SNL.Clients.Office.Excel.Functions.SPG(GY75, "SP_COUNTRY_NAME")</f>
        <v>United Kingdom</v>
      </c>
      <c r="HG75" s="9" t="str">
        <f>_xll.SNL.Clients.Office.Excel.Functions.SPG(HD75, "SP_COUNTRY_NAME")</f>
        <v>#INVALID COMPANY ID</v>
      </c>
    </row>
    <row r="76" spans="5:215" x14ac:dyDescent="0.35">
      <c r="E76" s="9" t="str">
        <f>_xll.SNL.Clients.Office.Excel.Functions.SPG(B76, "SP_COUNTRY_NAME")</f>
        <v>#INVALID COMPANY ID</v>
      </c>
      <c r="F76" t="s">
        <v>469</v>
      </c>
      <c r="G76">
        <v>4026996</v>
      </c>
      <c r="H76" t="s">
        <v>346</v>
      </c>
      <c r="I76" s="11">
        <v>0.02</v>
      </c>
      <c r="J76" s="9" t="str">
        <f>_xll.SNL.Clients.Office.Excel.Functions.SPG(G76, "SP_COUNTRY_NAME")</f>
        <v>USA</v>
      </c>
      <c r="K76" t="s">
        <v>451</v>
      </c>
      <c r="L76">
        <v>5747632</v>
      </c>
      <c r="M76" t="s">
        <v>346</v>
      </c>
      <c r="N76" s="11">
        <v>0</v>
      </c>
      <c r="O76" s="9" t="str">
        <f>_xll.SNL.Clients.Office.Excel.Functions.SPG(L76, "SP_COUNTRY_NAME")</f>
        <v>Canada</v>
      </c>
      <c r="T76" s="9" t="str">
        <f>_xll.SNL.Clients.Office.Excel.Functions.SPG(Q76, "SP_COUNTRY_NAME")</f>
        <v>#INVALID COMPANY ID</v>
      </c>
      <c r="U76" t="s">
        <v>729</v>
      </c>
      <c r="V76">
        <v>4304908</v>
      </c>
      <c r="W76" t="s">
        <v>346</v>
      </c>
      <c r="X76" s="11">
        <v>0.06</v>
      </c>
      <c r="Y76" s="9" t="str">
        <f>_xll.SNL.Clients.Office.Excel.Functions.SPG(V76, "SP_COUNTRY_NAME")</f>
        <v>Hong Kong</v>
      </c>
      <c r="Z76" t="s">
        <v>451</v>
      </c>
      <c r="AA76">
        <v>5747632</v>
      </c>
      <c r="AB76" t="s">
        <v>346</v>
      </c>
      <c r="AC76" s="11">
        <v>0</v>
      </c>
      <c r="AD76" s="9" t="str">
        <f>_xll.SNL.Clients.Office.Excel.Functions.SPG(AA76, "SP_COUNTRY_NAME")</f>
        <v>Canada</v>
      </c>
      <c r="AE76" t="s">
        <v>1127</v>
      </c>
      <c r="AF76">
        <v>4294574</v>
      </c>
      <c r="AG76" t="s">
        <v>346</v>
      </c>
      <c r="AH76" s="11">
        <v>0.02</v>
      </c>
      <c r="AI76" s="9" t="str">
        <f>_xll.SNL.Clients.Office.Excel.Functions.SPG(AF76, "SP_COUNTRY_NAME")</f>
        <v>Canada</v>
      </c>
      <c r="AN76" s="9" t="str">
        <f>_xll.SNL.Clients.Office.Excel.Functions.SPG(AK76, "SP_COUNTRY_NAME")</f>
        <v>#INVALID COMPANY ID</v>
      </c>
      <c r="AO76" t="s">
        <v>442</v>
      </c>
      <c r="AP76">
        <v>4117611</v>
      </c>
      <c r="AQ76" t="s">
        <v>346</v>
      </c>
      <c r="AR76" s="11">
        <v>0.05</v>
      </c>
      <c r="AS76" s="9" t="str">
        <f>_xll.SNL.Clients.Office.Excel.Functions.SPG(AP76, "SP_COUNTRY_NAME")</f>
        <v>USA</v>
      </c>
      <c r="AX76" s="9" t="str">
        <f>_xll.SNL.Clients.Office.Excel.Functions.SPG(AU76, "SP_COUNTRY_NAME")</f>
        <v>#INVALID COMPANY ID</v>
      </c>
      <c r="AY76" t="s">
        <v>562</v>
      </c>
      <c r="AZ76">
        <v>4256114</v>
      </c>
      <c r="BA76" t="s">
        <v>346</v>
      </c>
      <c r="BB76" s="11">
        <v>0</v>
      </c>
      <c r="BC76" s="9" t="str">
        <f>_xll.SNL.Clients.Office.Excel.Functions.SPG(AZ76, "SP_COUNTRY_NAME")</f>
        <v>South Korea</v>
      </c>
      <c r="BD76" t="s">
        <v>1407</v>
      </c>
      <c r="BE76">
        <v>4118992</v>
      </c>
      <c r="BF76" t="s">
        <v>346</v>
      </c>
      <c r="BG76" s="11">
        <v>0.13</v>
      </c>
      <c r="BH76" s="9" t="str">
        <f>_xll.SNL.Clients.Office.Excel.Functions.SPG(BE76, "SP_COUNTRY_NAME")</f>
        <v>USA</v>
      </c>
      <c r="BI76" t="s">
        <v>403</v>
      </c>
      <c r="BJ76">
        <v>4033550</v>
      </c>
      <c r="BK76" t="s">
        <v>346</v>
      </c>
      <c r="BL76" s="11">
        <v>0.04</v>
      </c>
      <c r="BM76" s="9" t="str">
        <f>_xll.SNL.Clients.Office.Excel.Functions.SPG(BJ76, "SP_COUNTRY_NAME")</f>
        <v>USA</v>
      </c>
      <c r="BN76" t="s">
        <v>443</v>
      </c>
      <c r="BO76">
        <v>110787</v>
      </c>
      <c r="BP76" t="s">
        <v>346</v>
      </c>
      <c r="BQ76" s="11">
        <v>0.03</v>
      </c>
      <c r="BR76" s="9" t="str">
        <f>_xll.SNL.Clients.Office.Excel.Functions.SPG(BO76, "SP_COUNTRY_NAME")</f>
        <v>USA</v>
      </c>
      <c r="BS76" t="s">
        <v>722</v>
      </c>
      <c r="BT76">
        <v>5812793</v>
      </c>
      <c r="BU76" t="s">
        <v>346</v>
      </c>
      <c r="BV76" s="11">
        <v>7.0000000000000007E-2</v>
      </c>
      <c r="BW76" s="9" t="str">
        <f>_xll.SNL.Clients.Office.Excel.Functions.SPG(BT76, "SP_COUNTRY_NAME")</f>
        <v>China</v>
      </c>
      <c r="BX76" t="s">
        <v>729</v>
      </c>
      <c r="BY76">
        <v>4304908</v>
      </c>
      <c r="BZ76" t="s">
        <v>346</v>
      </c>
      <c r="CA76" s="11">
        <v>0.06</v>
      </c>
      <c r="CB76" s="9" t="str">
        <f>_xll.SNL.Clients.Office.Excel.Functions.SPG(BY76, "SP_COUNTRY_NAME")</f>
        <v>Hong Kong</v>
      </c>
      <c r="CC76" t="s">
        <v>1447</v>
      </c>
      <c r="CD76">
        <v>4048674</v>
      </c>
      <c r="CE76" t="s">
        <v>346</v>
      </c>
      <c r="CF76" s="11">
        <v>0.11</v>
      </c>
      <c r="CG76" s="9" t="str">
        <f>_xll.SNL.Clients.Office.Excel.Functions.SPG(CD76, "SP_COUNTRY_NAME")</f>
        <v>USA</v>
      </c>
      <c r="CH76" t="s">
        <v>442</v>
      </c>
      <c r="CI76">
        <v>4117611</v>
      </c>
      <c r="CJ76" t="s">
        <v>346</v>
      </c>
      <c r="CK76" s="11">
        <v>0.05</v>
      </c>
      <c r="CL76" s="9" t="str">
        <f>_xll.SNL.Clients.Office.Excel.Functions.SPG(CI76, "SP_COUNTRY_NAME")</f>
        <v>USA</v>
      </c>
      <c r="CM76" t="s">
        <v>546</v>
      </c>
      <c r="CN76">
        <v>4158830</v>
      </c>
      <c r="CO76" t="s">
        <v>346</v>
      </c>
      <c r="CP76" s="11">
        <v>0.1</v>
      </c>
      <c r="CQ76" s="9" t="str">
        <f>_xll.SNL.Clients.Office.Excel.Functions.SPG(CN76, "SP_COUNTRY_NAME")</f>
        <v>USA</v>
      </c>
      <c r="CV76" s="9" t="str">
        <f>_xll.SNL.Clients.Office.Excel.Functions.SPG(CS76, "SP_COUNTRY_NAME")</f>
        <v>#INVALID COMPANY ID</v>
      </c>
      <c r="DA76" s="9" t="str">
        <f>_xll.SNL.Clients.Office.Excel.Functions.SPG(CX76, "SP_COUNTRY_NAME")</f>
        <v>#INVALID COMPANY ID</v>
      </c>
      <c r="DB76" t="s">
        <v>1407</v>
      </c>
      <c r="DC76">
        <v>4118992</v>
      </c>
      <c r="DD76" t="s">
        <v>346</v>
      </c>
      <c r="DE76" s="11">
        <v>0.13</v>
      </c>
      <c r="DF76" s="9" t="str">
        <f>_xll.SNL.Clients.Office.Excel.Functions.SPG(DC76, "SP_COUNTRY_NAME")</f>
        <v>USA</v>
      </c>
      <c r="DK76" s="9" t="str">
        <f>_xll.SNL.Clients.Office.Excel.Functions.SPG(DH76, "SP_COUNTRY_NAME")</f>
        <v>#INVALID COMPANY ID</v>
      </c>
      <c r="DL76" t="s">
        <v>1407</v>
      </c>
      <c r="DM76">
        <v>4118992</v>
      </c>
      <c r="DN76" t="s">
        <v>346</v>
      </c>
      <c r="DO76" s="11">
        <v>0.13</v>
      </c>
      <c r="DP76" s="9" t="str">
        <f>_xll.SNL.Clients.Office.Excel.Functions.SPG(DM76, "SP_COUNTRY_NAME")</f>
        <v>USA</v>
      </c>
      <c r="DU76" s="9" t="str">
        <f>_xll.SNL.Clients.Office.Excel.Functions.SPG(DR76, "SP_COUNTRY_NAME")</f>
        <v>#INVALID COMPANY ID</v>
      </c>
      <c r="DV76" t="s">
        <v>1098</v>
      </c>
      <c r="DW76">
        <v>4119219</v>
      </c>
      <c r="DX76" t="s">
        <v>346</v>
      </c>
      <c r="DY76" s="11">
        <v>0</v>
      </c>
      <c r="DZ76" s="9" t="str">
        <f>_xll.SNL.Clients.Office.Excel.Functions.SPG(DW76, "SP_COUNTRY_NAME")</f>
        <v>USA</v>
      </c>
      <c r="EA76" t="s">
        <v>1447</v>
      </c>
      <c r="EB76">
        <v>4048674</v>
      </c>
      <c r="EC76" t="s">
        <v>346</v>
      </c>
      <c r="ED76" s="11">
        <v>0.11</v>
      </c>
      <c r="EE76" s="9" t="str">
        <f>_xll.SNL.Clients.Office.Excel.Functions.SPG(EB76, "SP_COUNTRY_NAME")</f>
        <v>USA</v>
      </c>
      <c r="EF76" t="s">
        <v>1407</v>
      </c>
      <c r="EG76">
        <v>4118992</v>
      </c>
      <c r="EH76" t="s">
        <v>346</v>
      </c>
      <c r="EI76" s="11">
        <v>0.13</v>
      </c>
      <c r="EJ76" s="9" t="str">
        <f>_xll.SNL.Clients.Office.Excel.Functions.SPG(EG76, "SP_COUNTRY_NAME")</f>
        <v>USA</v>
      </c>
      <c r="EO76" s="9" t="str">
        <f>_xll.SNL.Clients.Office.Excel.Functions.SPG(EL76, "SP_COUNTRY_NAME")</f>
        <v>#INVALID COMPANY ID</v>
      </c>
      <c r="EP76" t="s">
        <v>681</v>
      </c>
      <c r="EQ76">
        <v>5866754</v>
      </c>
      <c r="ER76" t="s">
        <v>346</v>
      </c>
      <c r="ES76" s="11">
        <v>0</v>
      </c>
      <c r="ET76" s="9" t="str">
        <f>_xll.SNL.Clients.Office.Excel.Functions.SPG(EQ76, "SP_COUNTRY_NAME")</f>
        <v>China</v>
      </c>
      <c r="EY76" s="9" t="str">
        <f>_xll.SNL.Clients.Office.Excel.Functions.SPG(EV76, "SP_COUNTRY_NAME")</f>
        <v>#INVALID COMPANY ID</v>
      </c>
      <c r="FD76" s="9" t="str">
        <f>_xll.SNL.Clients.Office.Excel.Functions.SPG(FA76, "SP_COUNTRY_NAME")</f>
        <v>#INVALID COMPANY ID</v>
      </c>
      <c r="FI76" s="9" t="str">
        <f>_xll.SNL.Clients.Office.Excel.Functions.SPG(FF76, "SP_COUNTRY_NAME")</f>
        <v>#INVALID COMPANY ID</v>
      </c>
      <c r="FJ76" t="s">
        <v>465</v>
      </c>
      <c r="FK76">
        <v>4119440</v>
      </c>
      <c r="FL76" t="s">
        <v>346</v>
      </c>
      <c r="FM76" s="11">
        <v>0.02</v>
      </c>
      <c r="FN76" s="9" t="str">
        <f>_xll.SNL.Clients.Office.Excel.Functions.SPG(FK76, "SP_COUNTRY_NAME")</f>
        <v>USA</v>
      </c>
      <c r="FS76" s="9" t="str">
        <f>_xll.SNL.Clients.Office.Excel.Functions.SPG(FP76, "SP_COUNTRY_NAME")</f>
        <v>#INVALID COMPANY ID</v>
      </c>
      <c r="FX76" s="9" t="str">
        <f>_xll.SNL.Clients.Office.Excel.Functions.SPG(FU76, "SP_COUNTRY_NAME")</f>
        <v>#INVALID COMPANY ID</v>
      </c>
      <c r="FY76" t="s">
        <v>1407</v>
      </c>
      <c r="FZ76">
        <v>4118992</v>
      </c>
      <c r="GA76" t="s">
        <v>346</v>
      </c>
      <c r="GB76" s="11">
        <v>0.13</v>
      </c>
      <c r="GC76" s="9" t="str">
        <f>_xll.SNL.Clients.Office.Excel.Functions.SPG(FZ76, "SP_COUNTRY_NAME")</f>
        <v>USA</v>
      </c>
      <c r="GH76" s="9" t="str">
        <f>_xll.SNL.Clients.Office.Excel.Functions.SPG(GE76, "SP_COUNTRY_NAME")</f>
        <v>#INVALID COMPANY ID</v>
      </c>
      <c r="GM76" s="9" t="str">
        <f>_xll.SNL.Clients.Office.Excel.Functions.SPG(GJ76, "SP_COUNTRY_NAME")</f>
        <v>#INVALID COMPANY ID</v>
      </c>
      <c r="GN76" t="s">
        <v>465</v>
      </c>
      <c r="GO76">
        <v>4119440</v>
      </c>
      <c r="GP76" t="s">
        <v>346</v>
      </c>
      <c r="GQ76" s="11">
        <v>0.02</v>
      </c>
      <c r="GR76" s="9" t="str">
        <f>_xll.SNL.Clients.Office.Excel.Functions.SPG(GO76, "SP_COUNTRY_NAME")</f>
        <v>USA</v>
      </c>
      <c r="GS76" t="s">
        <v>443</v>
      </c>
      <c r="GT76">
        <v>110787</v>
      </c>
      <c r="GU76" t="s">
        <v>346</v>
      </c>
      <c r="GV76" s="11">
        <v>0.03</v>
      </c>
      <c r="GW76" s="9" t="str">
        <f>_xll.SNL.Clients.Office.Excel.Functions.SPG(GT76, "SP_COUNTRY_NAME")</f>
        <v>USA</v>
      </c>
      <c r="GX76" t="s">
        <v>1447</v>
      </c>
      <c r="GY76">
        <v>4048674</v>
      </c>
      <c r="GZ76" t="s">
        <v>346</v>
      </c>
      <c r="HA76" s="11">
        <v>0.11</v>
      </c>
      <c r="HB76" s="9" t="str">
        <f>_xll.SNL.Clients.Office.Excel.Functions.SPG(GY76, "SP_COUNTRY_NAME")</f>
        <v>USA</v>
      </c>
      <c r="HG76" s="9" t="str">
        <f>_xll.SNL.Clients.Office.Excel.Functions.SPG(HD76, "SP_COUNTRY_NAME")</f>
        <v>#INVALID COMPANY ID</v>
      </c>
    </row>
    <row r="77" spans="5:215" x14ac:dyDescent="0.35">
      <c r="E77" s="9" t="str">
        <f>_xll.SNL.Clients.Office.Excel.Functions.SPG(B77, "SP_COUNTRY_NAME")</f>
        <v>#INVALID COMPANY ID</v>
      </c>
      <c r="F77" t="s">
        <v>470</v>
      </c>
      <c r="G77">
        <v>109849</v>
      </c>
      <c r="H77" t="s">
        <v>346</v>
      </c>
      <c r="I77" s="11">
        <v>0.02</v>
      </c>
      <c r="J77" s="9" t="str">
        <f>_xll.SNL.Clients.Office.Excel.Functions.SPG(G77, "SP_COUNTRY_NAME")</f>
        <v>USA</v>
      </c>
      <c r="K77" t="s">
        <v>395</v>
      </c>
      <c r="L77">
        <v>4153606</v>
      </c>
      <c r="M77" t="s">
        <v>346</v>
      </c>
      <c r="N77" s="11">
        <v>0</v>
      </c>
      <c r="O77" s="9" t="str">
        <f>_xll.SNL.Clients.Office.Excel.Functions.SPG(L77, "SP_COUNTRY_NAME")</f>
        <v>USA</v>
      </c>
      <c r="T77" s="9" t="str">
        <f>_xll.SNL.Clients.Office.Excel.Functions.SPG(Q77, "SP_COUNTRY_NAME")</f>
        <v>#INVALID COMPANY ID</v>
      </c>
      <c r="U77" t="s">
        <v>662</v>
      </c>
      <c r="V77">
        <v>4316799</v>
      </c>
      <c r="W77" t="s">
        <v>346</v>
      </c>
      <c r="X77" s="11">
        <v>0.06</v>
      </c>
      <c r="Y77" s="9" t="str">
        <f>_xll.SNL.Clients.Office.Excel.Functions.SPG(V77, "SP_COUNTRY_NAME")</f>
        <v>China</v>
      </c>
      <c r="Z77" t="s">
        <v>395</v>
      </c>
      <c r="AA77">
        <v>4153606</v>
      </c>
      <c r="AB77" t="s">
        <v>346</v>
      </c>
      <c r="AC77" s="11">
        <v>0</v>
      </c>
      <c r="AD77" s="9" t="str">
        <f>_xll.SNL.Clients.Office.Excel.Functions.SPG(AA77, "SP_COUNTRY_NAME")</f>
        <v>USA</v>
      </c>
      <c r="AE77" t="s">
        <v>475</v>
      </c>
      <c r="AF77">
        <v>4115935</v>
      </c>
      <c r="AG77" t="s">
        <v>346</v>
      </c>
      <c r="AH77" s="11">
        <v>0.02</v>
      </c>
      <c r="AI77" s="9" t="str">
        <f>_xll.SNL.Clients.Office.Excel.Functions.SPG(AF77, "SP_COUNTRY_NAME")</f>
        <v>USA</v>
      </c>
      <c r="AN77" s="9" t="str">
        <f>_xll.SNL.Clients.Office.Excel.Functions.SPG(AK77, "SP_COUNTRY_NAME")</f>
        <v>#INVALID COMPANY ID</v>
      </c>
      <c r="AO77" t="s">
        <v>1273</v>
      </c>
      <c r="AP77">
        <v>4423324</v>
      </c>
      <c r="AQ77" t="s">
        <v>346</v>
      </c>
      <c r="AR77" s="11">
        <v>0.05</v>
      </c>
      <c r="AS77" s="9" t="str">
        <f>_xll.SNL.Clients.Office.Excel.Functions.SPG(AP77, "SP_COUNTRY_NAME")</f>
        <v>South Africa</v>
      </c>
      <c r="AX77" s="9" t="str">
        <f>_xll.SNL.Clients.Office.Excel.Functions.SPG(AU77, "SP_COUNTRY_NAME")</f>
        <v>#INVALID COMPANY ID</v>
      </c>
      <c r="AY77" t="s">
        <v>836</v>
      </c>
      <c r="AZ77">
        <v>4396635</v>
      </c>
      <c r="BA77" t="s">
        <v>346</v>
      </c>
      <c r="BB77" s="11">
        <v>0</v>
      </c>
      <c r="BC77" s="9" t="str">
        <f>_xll.SNL.Clients.Office.Excel.Functions.SPG(AZ77, "SP_COUNTRY_NAME")</f>
        <v>China</v>
      </c>
      <c r="BD77" t="s">
        <v>1195</v>
      </c>
      <c r="BE77">
        <v>4702400</v>
      </c>
      <c r="BF77" t="s">
        <v>346</v>
      </c>
      <c r="BG77" s="11">
        <v>0.13</v>
      </c>
      <c r="BH77" s="9" t="str">
        <f>_xll.SNL.Clients.Office.Excel.Functions.SPG(BE77, "SP_COUNTRY_NAME")</f>
        <v>USA</v>
      </c>
      <c r="BI77" t="s">
        <v>484</v>
      </c>
      <c r="BJ77">
        <v>110386</v>
      </c>
      <c r="BK77" t="s">
        <v>346</v>
      </c>
      <c r="BL77" s="11">
        <v>0.04</v>
      </c>
      <c r="BM77" s="9" t="str">
        <f>_xll.SNL.Clients.Office.Excel.Functions.SPG(BJ77, "SP_COUNTRY_NAME")</f>
        <v>USA</v>
      </c>
      <c r="BN77" t="s">
        <v>357</v>
      </c>
      <c r="BO77">
        <v>4270330</v>
      </c>
      <c r="BP77" t="s">
        <v>346</v>
      </c>
      <c r="BQ77" s="11">
        <v>0.03</v>
      </c>
      <c r="BR77" s="9" t="str">
        <f>_xll.SNL.Clients.Office.Excel.Functions.SPG(BO77, "SP_COUNTRY_NAME")</f>
        <v>USA</v>
      </c>
      <c r="BS77" t="s">
        <v>409</v>
      </c>
      <c r="BT77">
        <v>102719</v>
      </c>
      <c r="BU77" t="s">
        <v>346</v>
      </c>
      <c r="BV77" s="11">
        <v>0.06</v>
      </c>
      <c r="BW77" s="9" t="str">
        <f>_xll.SNL.Clients.Office.Excel.Functions.SPG(BT77, "SP_COUNTRY_NAME")</f>
        <v>USA</v>
      </c>
      <c r="BX77" t="s">
        <v>662</v>
      </c>
      <c r="BY77">
        <v>4316799</v>
      </c>
      <c r="BZ77" t="s">
        <v>346</v>
      </c>
      <c r="CA77" s="11">
        <v>0.06</v>
      </c>
      <c r="CB77" s="9" t="str">
        <f>_xll.SNL.Clients.Office.Excel.Functions.SPG(BY77, "SP_COUNTRY_NAME")</f>
        <v>China</v>
      </c>
      <c r="CC77" t="s">
        <v>1628</v>
      </c>
      <c r="CD77">
        <v>5762430</v>
      </c>
      <c r="CE77" t="s">
        <v>346</v>
      </c>
      <c r="CF77" s="11">
        <v>0.11</v>
      </c>
      <c r="CG77" s="9" t="str">
        <f>_xll.SNL.Clients.Office.Excel.Functions.SPG(CD77, "SP_COUNTRY_NAME")</f>
        <v>Chile</v>
      </c>
      <c r="CH77" t="s">
        <v>1273</v>
      </c>
      <c r="CI77">
        <v>4423324</v>
      </c>
      <c r="CJ77" t="s">
        <v>346</v>
      </c>
      <c r="CK77" s="11">
        <v>0.05</v>
      </c>
      <c r="CL77" s="9" t="str">
        <f>_xll.SNL.Clients.Office.Excel.Functions.SPG(CI77, "SP_COUNTRY_NAME")</f>
        <v>South Africa</v>
      </c>
      <c r="CM77" t="s">
        <v>900</v>
      </c>
      <c r="CN77">
        <v>4264756</v>
      </c>
      <c r="CO77" t="s">
        <v>346</v>
      </c>
      <c r="CP77" s="11">
        <v>0.1</v>
      </c>
      <c r="CQ77" s="9" t="str">
        <f>_xll.SNL.Clients.Office.Excel.Functions.SPG(CN77, "SP_COUNTRY_NAME")</f>
        <v>South Africa</v>
      </c>
      <c r="CV77" s="9" t="str">
        <f>_xll.SNL.Clients.Office.Excel.Functions.SPG(CS77, "SP_COUNTRY_NAME")</f>
        <v>#INVALID COMPANY ID</v>
      </c>
      <c r="DA77" s="9" t="str">
        <f>_xll.SNL.Clients.Office.Excel.Functions.SPG(CX77, "SP_COUNTRY_NAME")</f>
        <v>#INVALID COMPANY ID</v>
      </c>
      <c r="DB77" t="s">
        <v>1195</v>
      </c>
      <c r="DC77">
        <v>4702400</v>
      </c>
      <c r="DD77" t="s">
        <v>346</v>
      </c>
      <c r="DE77" s="11">
        <v>0.13</v>
      </c>
      <c r="DF77" s="9" t="str">
        <f>_xll.SNL.Clients.Office.Excel.Functions.SPG(DC77, "SP_COUNTRY_NAME")</f>
        <v>USA</v>
      </c>
      <c r="DK77" s="9" t="str">
        <f>_xll.SNL.Clients.Office.Excel.Functions.SPG(DH77, "SP_COUNTRY_NAME")</f>
        <v>#INVALID COMPANY ID</v>
      </c>
      <c r="DL77" t="s">
        <v>1195</v>
      </c>
      <c r="DM77">
        <v>4702400</v>
      </c>
      <c r="DN77" t="s">
        <v>346</v>
      </c>
      <c r="DO77" s="11">
        <v>0.13</v>
      </c>
      <c r="DP77" s="9" t="str">
        <f>_xll.SNL.Clients.Office.Excel.Functions.SPG(DM77, "SP_COUNTRY_NAME")</f>
        <v>USA</v>
      </c>
      <c r="DU77" s="9" t="str">
        <f>_xll.SNL.Clients.Office.Excel.Functions.SPG(DR77, "SP_COUNTRY_NAME")</f>
        <v>#INVALID COMPANY ID</v>
      </c>
      <c r="DV77" t="s">
        <v>472</v>
      </c>
      <c r="DW77">
        <v>4048215</v>
      </c>
      <c r="DX77" t="s">
        <v>346</v>
      </c>
      <c r="DY77" s="11">
        <v>0</v>
      </c>
      <c r="DZ77" s="9" t="str">
        <f>_xll.SNL.Clients.Office.Excel.Functions.SPG(DW77, "SP_COUNTRY_NAME")</f>
        <v>USA</v>
      </c>
      <c r="EA77" t="s">
        <v>1628</v>
      </c>
      <c r="EB77">
        <v>5762430</v>
      </c>
      <c r="EC77" t="s">
        <v>346</v>
      </c>
      <c r="ED77" s="11">
        <v>0.11</v>
      </c>
      <c r="EE77" s="9" t="str">
        <f>_xll.SNL.Clients.Office.Excel.Functions.SPG(EB77, "SP_COUNTRY_NAME")</f>
        <v>Chile</v>
      </c>
      <c r="EF77" t="s">
        <v>1195</v>
      </c>
      <c r="EG77">
        <v>4702400</v>
      </c>
      <c r="EH77" t="s">
        <v>346</v>
      </c>
      <c r="EI77" s="11">
        <v>0.13</v>
      </c>
      <c r="EJ77" s="9" t="str">
        <f>_xll.SNL.Clients.Office.Excel.Functions.SPG(EG77, "SP_COUNTRY_NAME")</f>
        <v>USA</v>
      </c>
      <c r="EO77" s="9" t="str">
        <f>_xll.SNL.Clients.Office.Excel.Functions.SPG(EL77, "SP_COUNTRY_NAME")</f>
        <v>#INVALID COMPANY ID</v>
      </c>
      <c r="EP77" t="s">
        <v>825</v>
      </c>
      <c r="EQ77">
        <v>5868824</v>
      </c>
      <c r="ER77" t="s">
        <v>346</v>
      </c>
      <c r="ES77" s="11">
        <v>0</v>
      </c>
      <c r="ET77" s="9" t="str">
        <f>_xll.SNL.Clients.Office.Excel.Functions.SPG(EQ77, "SP_COUNTRY_NAME")</f>
        <v>China</v>
      </c>
      <c r="EY77" s="9" t="str">
        <f>_xll.SNL.Clients.Office.Excel.Functions.SPG(EV77, "SP_COUNTRY_NAME")</f>
        <v>#INVALID COMPANY ID</v>
      </c>
      <c r="FD77" s="9" t="str">
        <f>_xll.SNL.Clients.Office.Excel.Functions.SPG(FA77, "SP_COUNTRY_NAME")</f>
        <v>#INVALID COMPANY ID</v>
      </c>
      <c r="FI77" s="9" t="str">
        <f>_xll.SNL.Clients.Office.Excel.Functions.SPG(FF77, "SP_COUNTRY_NAME")</f>
        <v>#INVALID COMPANY ID</v>
      </c>
      <c r="FJ77" t="s">
        <v>557</v>
      </c>
      <c r="FK77">
        <v>20326442</v>
      </c>
      <c r="FL77" t="s">
        <v>346</v>
      </c>
      <c r="FM77" s="11">
        <v>0.02</v>
      </c>
      <c r="FN77" s="9" t="str">
        <f>_xll.SNL.Clients.Office.Excel.Functions.SPG(FK77, "SP_COUNTRY_NAME")</f>
        <v>#INVALID COMPANY ID</v>
      </c>
      <c r="FS77" s="9" t="str">
        <f>_xll.SNL.Clients.Office.Excel.Functions.SPG(FP77, "SP_COUNTRY_NAME")</f>
        <v>#INVALID COMPANY ID</v>
      </c>
      <c r="FX77" s="9" t="str">
        <f>_xll.SNL.Clients.Office.Excel.Functions.SPG(FU77, "SP_COUNTRY_NAME")</f>
        <v>#INVALID COMPANY ID</v>
      </c>
      <c r="FY77" t="s">
        <v>1195</v>
      </c>
      <c r="FZ77">
        <v>4702400</v>
      </c>
      <c r="GA77" t="s">
        <v>346</v>
      </c>
      <c r="GB77" s="11">
        <v>0.13</v>
      </c>
      <c r="GC77" s="9" t="str">
        <f>_xll.SNL.Clients.Office.Excel.Functions.SPG(FZ77, "SP_COUNTRY_NAME")</f>
        <v>USA</v>
      </c>
      <c r="GH77" s="9" t="str">
        <f>_xll.SNL.Clients.Office.Excel.Functions.SPG(GE77, "SP_COUNTRY_NAME")</f>
        <v>#INVALID COMPANY ID</v>
      </c>
      <c r="GM77" s="9" t="str">
        <f>_xll.SNL.Clients.Office.Excel.Functions.SPG(GJ77, "SP_COUNTRY_NAME")</f>
        <v>#INVALID COMPANY ID</v>
      </c>
      <c r="GN77" t="s">
        <v>557</v>
      </c>
      <c r="GO77">
        <v>20326442</v>
      </c>
      <c r="GP77" t="s">
        <v>346</v>
      </c>
      <c r="GQ77" s="11">
        <v>0.02</v>
      </c>
      <c r="GR77" s="9" t="str">
        <f>_xll.SNL.Clients.Office.Excel.Functions.SPG(GO77, "SP_COUNTRY_NAME")</f>
        <v>#INVALID COMPANY ID</v>
      </c>
      <c r="GS77" t="s">
        <v>357</v>
      </c>
      <c r="GT77">
        <v>4270330</v>
      </c>
      <c r="GU77" t="s">
        <v>346</v>
      </c>
      <c r="GV77" s="11">
        <v>0.03</v>
      </c>
      <c r="GW77" s="9" t="str">
        <f>_xll.SNL.Clients.Office.Excel.Functions.SPG(GT77, "SP_COUNTRY_NAME")</f>
        <v>USA</v>
      </c>
      <c r="GX77" t="s">
        <v>1628</v>
      </c>
      <c r="GY77">
        <v>5762430</v>
      </c>
      <c r="GZ77" t="s">
        <v>346</v>
      </c>
      <c r="HA77" s="11">
        <v>0.11</v>
      </c>
      <c r="HB77" s="9" t="str">
        <f>_xll.SNL.Clients.Office.Excel.Functions.SPG(GY77, "SP_COUNTRY_NAME")</f>
        <v>Chile</v>
      </c>
      <c r="HG77" s="9" t="str">
        <f>_xll.SNL.Clients.Office.Excel.Functions.SPG(HD77, "SP_COUNTRY_NAME")</f>
        <v>#INVALID COMPANY ID</v>
      </c>
    </row>
    <row r="78" spans="5:215" x14ac:dyDescent="0.35">
      <c r="E78" s="9" t="str">
        <f>_xll.SNL.Clients.Office.Excel.Functions.SPG(B78, "SP_COUNTRY_NAME")</f>
        <v>#INVALID COMPANY ID</v>
      </c>
      <c r="F78" t="s">
        <v>471</v>
      </c>
      <c r="G78">
        <v>4102247</v>
      </c>
      <c r="H78" t="s">
        <v>346</v>
      </c>
      <c r="I78" s="11">
        <v>0.02</v>
      </c>
      <c r="J78" s="9" t="str">
        <f>_xll.SNL.Clients.Office.Excel.Functions.SPG(G78, "SP_COUNTRY_NAME")</f>
        <v>USA</v>
      </c>
      <c r="K78" t="s">
        <v>665</v>
      </c>
      <c r="L78">
        <v>4137720</v>
      </c>
      <c r="M78" t="s">
        <v>346</v>
      </c>
      <c r="N78" s="11">
        <v>0</v>
      </c>
      <c r="O78" s="9" t="str">
        <f>_xll.SNL.Clients.Office.Excel.Functions.SPG(L78, "SP_COUNTRY_NAME")</f>
        <v>China</v>
      </c>
      <c r="T78" s="9" t="str">
        <f>_xll.SNL.Clients.Office.Excel.Functions.SPG(Q78, "SP_COUNTRY_NAME")</f>
        <v>#INVALID COMPANY ID</v>
      </c>
      <c r="U78" t="s">
        <v>672</v>
      </c>
      <c r="V78">
        <v>4139739</v>
      </c>
      <c r="W78" t="s">
        <v>346</v>
      </c>
      <c r="X78" s="11">
        <v>0.06</v>
      </c>
      <c r="Y78" s="9" t="str">
        <f>_xll.SNL.Clients.Office.Excel.Functions.SPG(V78, "SP_COUNTRY_NAME")</f>
        <v>China</v>
      </c>
      <c r="Z78" t="s">
        <v>665</v>
      </c>
      <c r="AA78">
        <v>4137720</v>
      </c>
      <c r="AB78" t="s">
        <v>346</v>
      </c>
      <c r="AC78" s="11">
        <v>0</v>
      </c>
      <c r="AD78" s="9" t="str">
        <f>_xll.SNL.Clients.Office.Excel.Functions.SPG(AA78, "SP_COUNTRY_NAME")</f>
        <v>China</v>
      </c>
      <c r="AE78" t="s">
        <v>1128</v>
      </c>
      <c r="AF78">
        <v>7798761</v>
      </c>
      <c r="AG78" t="s">
        <v>346</v>
      </c>
      <c r="AH78" s="11">
        <v>0.02</v>
      </c>
      <c r="AI78" s="9" t="str">
        <f>_xll.SNL.Clients.Office.Excel.Functions.SPG(AF78, "SP_COUNTRY_NAME")</f>
        <v>Canada</v>
      </c>
      <c r="AN78" s="9" t="str">
        <f>_xll.SNL.Clients.Office.Excel.Functions.SPG(AK78, "SP_COUNTRY_NAME")</f>
        <v>#INVALID COMPANY ID</v>
      </c>
      <c r="AO78" t="s">
        <v>1274</v>
      </c>
      <c r="AP78">
        <v>25022507</v>
      </c>
      <c r="AQ78" t="s">
        <v>346</v>
      </c>
      <c r="AR78" s="11">
        <v>0.05</v>
      </c>
      <c r="AS78" s="9" t="str">
        <f>_xll.SNL.Clients.Office.Excel.Functions.SPG(AP78, "SP_COUNTRY_NAME")</f>
        <v>South Africa</v>
      </c>
      <c r="AX78" s="9" t="str">
        <f>_xll.SNL.Clients.Office.Excel.Functions.SPG(AU78, "SP_COUNTRY_NAME")</f>
        <v>#INVALID COMPANY ID</v>
      </c>
      <c r="AY78" t="s">
        <v>678</v>
      </c>
      <c r="AZ78">
        <v>5877799</v>
      </c>
      <c r="BA78" t="s">
        <v>346</v>
      </c>
      <c r="BB78" s="11">
        <v>0</v>
      </c>
      <c r="BC78" s="9" t="str">
        <f>_xll.SNL.Clients.Office.Excel.Functions.SPG(AZ78, "SP_COUNTRY_NAME")</f>
        <v>China</v>
      </c>
      <c r="BD78" t="s">
        <v>1188</v>
      </c>
      <c r="BE78">
        <v>4413788</v>
      </c>
      <c r="BF78" t="s">
        <v>346</v>
      </c>
      <c r="BG78" s="11">
        <v>0.12</v>
      </c>
      <c r="BH78" s="9" t="str">
        <f>_xll.SNL.Clients.Office.Excel.Functions.SPG(BE78, "SP_COUNTRY_NAME")</f>
        <v>USA</v>
      </c>
      <c r="BI78" t="s">
        <v>444</v>
      </c>
      <c r="BJ78">
        <v>109988</v>
      </c>
      <c r="BK78" t="s">
        <v>346</v>
      </c>
      <c r="BL78" s="11">
        <v>0.04</v>
      </c>
      <c r="BM78" s="9" t="str">
        <f>_xll.SNL.Clients.Office.Excel.Functions.SPG(BJ78, "SP_COUNTRY_NAME")</f>
        <v>USA</v>
      </c>
      <c r="BN78" t="s">
        <v>991</v>
      </c>
      <c r="BO78">
        <v>4206857</v>
      </c>
      <c r="BP78" t="s">
        <v>346</v>
      </c>
      <c r="BQ78" s="11">
        <v>0.03</v>
      </c>
      <c r="BR78" s="9" t="str">
        <f>_xll.SNL.Clients.Office.Excel.Functions.SPG(BO78, "SP_COUNTRY_NAME")</f>
        <v>Australia</v>
      </c>
      <c r="BS78" t="s">
        <v>956</v>
      </c>
      <c r="BT78">
        <v>4233855</v>
      </c>
      <c r="BU78" t="s">
        <v>346</v>
      </c>
      <c r="BV78" s="11">
        <v>0.06</v>
      </c>
      <c r="BW78" s="9" t="str">
        <f>_xll.SNL.Clients.Office.Excel.Functions.SPG(BT78, "SP_COUNTRY_NAME")</f>
        <v>Switzerland</v>
      </c>
      <c r="BX78" t="s">
        <v>672</v>
      </c>
      <c r="BY78">
        <v>4139739</v>
      </c>
      <c r="BZ78" t="s">
        <v>346</v>
      </c>
      <c r="CA78" s="11">
        <v>0.06</v>
      </c>
      <c r="CB78" s="9" t="str">
        <f>_xll.SNL.Clients.Office.Excel.Functions.SPG(BY78, "SP_COUNTRY_NAME")</f>
        <v>China</v>
      </c>
      <c r="CC78" t="s">
        <v>531</v>
      </c>
      <c r="CD78">
        <v>4072215</v>
      </c>
      <c r="CE78" t="s">
        <v>346</v>
      </c>
      <c r="CF78" s="11">
        <v>0.11</v>
      </c>
      <c r="CG78" s="9" t="str">
        <f>_xll.SNL.Clients.Office.Excel.Functions.SPG(CD78, "SP_COUNTRY_NAME")</f>
        <v>USA</v>
      </c>
      <c r="CH78" t="s">
        <v>1274</v>
      </c>
      <c r="CI78">
        <v>25022507</v>
      </c>
      <c r="CJ78" t="s">
        <v>346</v>
      </c>
      <c r="CK78" s="11">
        <v>0.05</v>
      </c>
      <c r="CL78" s="9" t="str">
        <f>_xll.SNL.Clients.Office.Excel.Functions.SPG(CI78, "SP_COUNTRY_NAME")</f>
        <v>South Africa</v>
      </c>
      <c r="CM78" t="s">
        <v>497</v>
      </c>
      <c r="CN78">
        <v>4138770</v>
      </c>
      <c r="CO78" t="s">
        <v>346</v>
      </c>
      <c r="CP78" s="11">
        <v>0.1</v>
      </c>
      <c r="CQ78" s="9" t="str">
        <f>_xll.SNL.Clients.Office.Excel.Functions.SPG(CN78, "SP_COUNTRY_NAME")</f>
        <v>United Kingdom</v>
      </c>
      <c r="CV78" s="9" t="str">
        <f>_xll.SNL.Clients.Office.Excel.Functions.SPG(CS78, "SP_COUNTRY_NAME")</f>
        <v>#INVALID COMPANY ID</v>
      </c>
      <c r="DA78" s="9" t="str">
        <f>_xll.SNL.Clients.Office.Excel.Functions.SPG(CX78, "SP_COUNTRY_NAME")</f>
        <v>#INVALID COMPANY ID</v>
      </c>
      <c r="DB78" t="s">
        <v>1188</v>
      </c>
      <c r="DC78">
        <v>4413788</v>
      </c>
      <c r="DD78" t="s">
        <v>346</v>
      </c>
      <c r="DE78" s="11">
        <v>0.12</v>
      </c>
      <c r="DF78" s="9" t="str">
        <f>_xll.SNL.Clients.Office.Excel.Functions.SPG(DC78, "SP_COUNTRY_NAME")</f>
        <v>USA</v>
      </c>
      <c r="DK78" s="9" t="str">
        <f>_xll.SNL.Clients.Office.Excel.Functions.SPG(DH78, "SP_COUNTRY_NAME")</f>
        <v>#INVALID COMPANY ID</v>
      </c>
      <c r="DL78" t="s">
        <v>1188</v>
      </c>
      <c r="DM78">
        <v>4413788</v>
      </c>
      <c r="DN78" t="s">
        <v>346</v>
      </c>
      <c r="DO78" s="11">
        <v>0.12</v>
      </c>
      <c r="DP78" s="9" t="str">
        <f>_xll.SNL.Clients.Office.Excel.Functions.SPG(DM78, "SP_COUNTRY_NAME")</f>
        <v>USA</v>
      </c>
      <c r="DU78" s="9" t="str">
        <f>_xll.SNL.Clients.Office.Excel.Functions.SPG(DR78, "SP_COUNTRY_NAME")</f>
        <v>#INVALID COMPANY ID</v>
      </c>
      <c r="DV78" t="s">
        <v>482</v>
      </c>
      <c r="DW78">
        <v>4048742</v>
      </c>
      <c r="DX78" t="s">
        <v>346</v>
      </c>
      <c r="DY78" s="11">
        <v>0</v>
      </c>
      <c r="DZ78" s="9" t="str">
        <f>_xll.SNL.Clients.Office.Excel.Functions.SPG(DW78, "SP_COUNTRY_NAME")</f>
        <v>Canada</v>
      </c>
      <c r="EA78" t="s">
        <v>531</v>
      </c>
      <c r="EB78">
        <v>4072215</v>
      </c>
      <c r="EC78" t="s">
        <v>346</v>
      </c>
      <c r="ED78" s="11">
        <v>0.11</v>
      </c>
      <c r="EE78" s="9" t="str">
        <f>_xll.SNL.Clients.Office.Excel.Functions.SPG(EB78, "SP_COUNTRY_NAME")</f>
        <v>USA</v>
      </c>
      <c r="EF78" t="s">
        <v>1188</v>
      </c>
      <c r="EG78">
        <v>4413788</v>
      </c>
      <c r="EH78" t="s">
        <v>346</v>
      </c>
      <c r="EI78" s="11">
        <v>0.12</v>
      </c>
      <c r="EJ78" s="9" t="str">
        <f>_xll.SNL.Clients.Office.Excel.Functions.SPG(EG78, "SP_COUNTRY_NAME")</f>
        <v>USA</v>
      </c>
      <c r="EO78" s="9" t="str">
        <f>_xll.SNL.Clients.Office.Excel.Functions.SPG(EL78, "SP_COUNTRY_NAME")</f>
        <v>#INVALID COMPANY ID</v>
      </c>
      <c r="EP78" t="s">
        <v>429</v>
      </c>
      <c r="EQ78">
        <v>4607441</v>
      </c>
      <c r="ER78" t="s">
        <v>346</v>
      </c>
      <c r="ES78" s="11">
        <v>0</v>
      </c>
      <c r="ET78" s="9" t="str">
        <f>_xll.SNL.Clients.Office.Excel.Functions.SPG(EQ78, "SP_COUNTRY_NAME")</f>
        <v>Japan</v>
      </c>
      <c r="EY78" s="9" t="str">
        <f>_xll.SNL.Clients.Office.Excel.Functions.SPG(EV78, "SP_COUNTRY_NAME")</f>
        <v>#INVALID COMPANY ID</v>
      </c>
      <c r="FD78" s="9" t="str">
        <f>_xll.SNL.Clients.Office.Excel.Functions.SPG(FA78, "SP_COUNTRY_NAME")</f>
        <v>#INVALID COMPANY ID</v>
      </c>
      <c r="FI78" s="9" t="str">
        <f>_xll.SNL.Clients.Office.Excel.Functions.SPG(FF78, "SP_COUNTRY_NAME")</f>
        <v>#INVALID COMPANY ID</v>
      </c>
      <c r="FJ78" t="s">
        <v>436</v>
      </c>
      <c r="FK78">
        <v>111219</v>
      </c>
      <c r="FL78" t="s">
        <v>346</v>
      </c>
      <c r="FM78" s="11">
        <v>0.02</v>
      </c>
      <c r="FN78" s="9" t="str">
        <f>_xll.SNL.Clients.Office.Excel.Functions.SPG(FK78, "SP_COUNTRY_NAME")</f>
        <v>USA</v>
      </c>
      <c r="FS78" s="9" t="str">
        <f>_xll.SNL.Clients.Office.Excel.Functions.SPG(FP78, "SP_COUNTRY_NAME")</f>
        <v>#INVALID COMPANY ID</v>
      </c>
      <c r="FX78" s="9" t="str">
        <f>_xll.SNL.Clients.Office.Excel.Functions.SPG(FU78, "SP_COUNTRY_NAME")</f>
        <v>#INVALID COMPANY ID</v>
      </c>
      <c r="FY78" t="s">
        <v>1188</v>
      </c>
      <c r="FZ78">
        <v>4413788</v>
      </c>
      <c r="GA78" t="s">
        <v>346</v>
      </c>
      <c r="GB78" s="11">
        <v>0.12</v>
      </c>
      <c r="GC78" s="9" t="str">
        <f>_xll.SNL.Clients.Office.Excel.Functions.SPG(FZ78, "SP_COUNTRY_NAME")</f>
        <v>USA</v>
      </c>
      <c r="GH78" s="9" t="str">
        <f>_xll.SNL.Clients.Office.Excel.Functions.SPG(GE78, "SP_COUNTRY_NAME")</f>
        <v>#INVALID COMPANY ID</v>
      </c>
      <c r="GM78" s="9" t="str">
        <f>_xll.SNL.Clients.Office.Excel.Functions.SPG(GJ78, "SP_COUNTRY_NAME")</f>
        <v>#INVALID COMPANY ID</v>
      </c>
      <c r="GN78" t="s">
        <v>436</v>
      </c>
      <c r="GO78">
        <v>111219</v>
      </c>
      <c r="GP78" t="s">
        <v>346</v>
      </c>
      <c r="GQ78" s="11">
        <v>0.02</v>
      </c>
      <c r="GR78" s="9" t="str">
        <f>_xll.SNL.Clients.Office.Excel.Functions.SPG(GO78, "SP_COUNTRY_NAME")</f>
        <v>USA</v>
      </c>
      <c r="GS78" t="s">
        <v>991</v>
      </c>
      <c r="GT78">
        <v>4206857</v>
      </c>
      <c r="GU78" t="s">
        <v>346</v>
      </c>
      <c r="GV78" s="11">
        <v>0.03</v>
      </c>
      <c r="GW78" s="9" t="str">
        <f>_xll.SNL.Clients.Office.Excel.Functions.SPG(GT78, "SP_COUNTRY_NAME")</f>
        <v>Australia</v>
      </c>
      <c r="GX78" t="s">
        <v>531</v>
      </c>
      <c r="GY78">
        <v>4072215</v>
      </c>
      <c r="GZ78" t="s">
        <v>346</v>
      </c>
      <c r="HA78" s="11">
        <v>0.11</v>
      </c>
      <c r="HB78" s="9" t="str">
        <f>_xll.SNL.Clients.Office.Excel.Functions.SPG(GY78, "SP_COUNTRY_NAME")</f>
        <v>USA</v>
      </c>
      <c r="HG78" s="9" t="str">
        <f>_xll.SNL.Clients.Office.Excel.Functions.SPG(HD78, "SP_COUNTRY_NAME")</f>
        <v>#INVALID COMPANY ID</v>
      </c>
    </row>
    <row r="79" spans="5:215" x14ac:dyDescent="0.35">
      <c r="E79" s="9" t="str">
        <f>_xll.SNL.Clients.Office.Excel.Functions.SPG(B79, "SP_COUNTRY_NAME")</f>
        <v>#INVALID COMPANY ID</v>
      </c>
      <c r="F79" t="s">
        <v>472</v>
      </c>
      <c r="G79">
        <v>4048215</v>
      </c>
      <c r="H79" t="s">
        <v>346</v>
      </c>
      <c r="I79" s="11">
        <v>0.02</v>
      </c>
      <c r="J79" s="9" t="str">
        <f>_xll.SNL.Clients.Office.Excel.Functions.SPG(G79, "SP_COUNTRY_NAME")</f>
        <v>USA</v>
      </c>
      <c r="K79" t="s">
        <v>666</v>
      </c>
      <c r="L79">
        <v>4379197</v>
      </c>
      <c r="M79" t="s">
        <v>346</v>
      </c>
      <c r="N79" s="11">
        <v>0</v>
      </c>
      <c r="O79" s="9" t="str">
        <f>_xll.SNL.Clients.Office.Excel.Functions.SPG(L79, "SP_COUNTRY_NAME")</f>
        <v>China</v>
      </c>
      <c r="T79" s="9" t="str">
        <f>_xll.SNL.Clients.Office.Excel.Functions.SPG(Q79, "SP_COUNTRY_NAME")</f>
        <v>#INVALID COMPANY ID</v>
      </c>
      <c r="U79" t="s">
        <v>686</v>
      </c>
      <c r="V79">
        <v>4784142</v>
      </c>
      <c r="W79" t="s">
        <v>346</v>
      </c>
      <c r="X79" s="11">
        <v>0.06</v>
      </c>
      <c r="Y79" s="9" t="str">
        <f>_xll.SNL.Clients.Office.Excel.Functions.SPG(V79, "SP_COUNTRY_NAME")</f>
        <v>China</v>
      </c>
      <c r="Z79" t="s">
        <v>666</v>
      </c>
      <c r="AA79">
        <v>4379197</v>
      </c>
      <c r="AB79" t="s">
        <v>346</v>
      </c>
      <c r="AC79" s="11">
        <v>0</v>
      </c>
      <c r="AD79" s="9" t="str">
        <f>_xll.SNL.Clients.Office.Excel.Functions.SPG(AA79, "SP_COUNTRY_NAME")</f>
        <v>China</v>
      </c>
      <c r="AE79" t="s">
        <v>575</v>
      </c>
      <c r="AF79">
        <v>4575993</v>
      </c>
      <c r="AG79" t="s">
        <v>346</v>
      </c>
      <c r="AH79" s="11">
        <v>0.02</v>
      </c>
      <c r="AI79" s="9" t="str">
        <f>_xll.SNL.Clients.Office.Excel.Functions.SPG(AF79, "SP_COUNTRY_NAME")</f>
        <v>Canada</v>
      </c>
      <c r="AN79" s="9" t="str">
        <f>_xll.SNL.Clients.Office.Excel.Functions.SPG(AK79, "SP_COUNTRY_NAME")</f>
        <v>#INVALID COMPANY ID</v>
      </c>
      <c r="AO79" t="s">
        <v>410</v>
      </c>
      <c r="AP79">
        <v>5759394</v>
      </c>
      <c r="AQ79" t="s">
        <v>346</v>
      </c>
      <c r="AR79" s="11">
        <v>0.05</v>
      </c>
      <c r="AS79" s="9" t="str">
        <f>_xll.SNL.Clients.Office.Excel.Functions.SPG(AP79, "SP_COUNTRY_NAME")</f>
        <v>Ireland</v>
      </c>
      <c r="AX79" s="9" t="str">
        <f>_xll.SNL.Clients.Office.Excel.Functions.SPG(AU79, "SP_COUNTRY_NAME")</f>
        <v>#INVALID COMPANY ID</v>
      </c>
      <c r="BC79" s="9" t="str">
        <f>_xll.SNL.Clients.Office.Excel.Functions.SPG(AZ79, "SP_COUNTRY_NAME")</f>
        <v>#INVALID COMPANY ID</v>
      </c>
      <c r="BD79" t="s">
        <v>1143</v>
      </c>
      <c r="BE79">
        <v>4138850</v>
      </c>
      <c r="BF79" t="s">
        <v>346</v>
      </c>
      <c r="BG79" s="11">
        <v>0.12</v>
      </c>
      <c r="BH79" s="9" t="str">
        <f>_xll.SNL.Clients.Office.Excel.Functions.SPG(BE79, "SP_COUNTRY_NAME")</f>
        <v>South Africa</v>
      </c>
      <c r="BI79" t="s">
        <v>400</v>
      </c>
      <c r="BJ79">
        <v>7834181</v>
      </c>
      <c r="BK79" t="s">
        <v>346</v>
      </c>
      <c r="BL79" s="11">
        <v>0.04</v>
      </c>
      <c r="BM79" s="9" t="str">
        <f>_xll.SNL.Clients.Office.Excel.Functions.SPG(BJ79, "SP_COUNTRY_NAME")</f>
        <v>United Kingdom</v>
      </c>
      <c r="BN79" t="s">
        <v>732</v>
      </c>
      <c r="BO79">
        <v>4139789</v>
      </c>
      <c r="BP79" t="s">
        <v>346</v>
      </c>
      <c r="BQ79" s="11">
        <v>0.03</v>
      </c>
      <c r="BR79" s="9" t="str">
        <f>_xll.SNL.Clients.Office.Excel.Functions.SPG(BO79, "SP_COUNTRY_NAME")</f>
        <v>China</v>
      </c>
      <c r="BS79" t="s">
        <v>957</v>
      </c>
      <c r="BT79">
        <v>4138727</v>
      </c>
      <c r="BU79" t="s">
        <v>346</v>
      </c>
      <c r="BV79" s="11">
        <v>0.06</v>
      </c>
      <c r="BW79" s="9" t="str">
        <f>_xll.SNL.Clients.Office.Excel.Functions.SPG(BT79, "SP_COUNTRY_NAME")</f>
        <v>Switzerland</v>
      </c>
      <c r="BX79" t="s">
        <v>686</v>
      </c>
      <c r="BY79">
        <v>4784142</v>
      </c>
      <c r="BZ79" t="s">
        <v>346</v>
      </c>
      <c r="CA79" s="11">
        <v>0.06</v>
      </c>
      <c r="CB79" s="9" t="str">
        <f>_xll.SNL.Clients.Office.Excel.Functions.SPG(BY79, "SP_COUNTRY_NAME")</f>
        <v>China</v>
      </c>
      <c r="CC79" t="s">
        <v>455</v>
      </c>
      <c r="CD79">
        <v>4119538</v>
      </c>
      <c r="CE79" t="s">
        <v>364</v>
      </c>
      <c r="CF79" s="11">
        <v>0.11</v>
      </c>
      <c r="CG79" s="9" t="str">
        <f>_xll.SNL.Clients.Office.Excel.Functions.SPG(CD79, "SP_COUNTRY_NAME")</f>
        <v>USA</v>
      </c>
      <c r="CH79" t="s">
        <v>410</v>
      </c>
      <c r="CI79">
        <v>5759394</v>
      </c>
      <c r="CJ79" t="s">
        <v>346</v>
      </c>
      <c r="CK79" s="11">
        <v>0.05</v>
      </c>
      <c r="CL79" s="9" t="str">
        <f>_xll.SNL.Clients.Office.Excel.Functions.SPG(CI79, "SP_COUNTRY_NAME")</f>
        <v>Ireland</v>
      </c>
      <c r="CM79" t="s">
        <v>386</v>
      </c>
      <c r="CN79">
        <v>4145085</v>
      </c>
      <c r="CO79" t="s">
        <v>346</v>
      </c>
      <c r="CP79" s="11">
        <v>0.09</v>
      </c>
      <c r="CQ79" s="9" t="str">
        <f>_xll.SNL.Clients.Office.Excel.Functions.SPG(CN79, "SP_COUNTRY_NAME")</f>
        <v>United Kingdom</v>
      </c>
      <c r="CV79" s="9" t="str">
        <f>_xll.SNL.Clients.Office.Excel.Functions.SPG(CS79, "SP_COUNTRY_NAME")</f>
        <v>#INVALID COMPANY ID</v>
      </c>
      <c r="DA79" s="9" t="str">
        <f>_xll.SNL.Clients.Office.Excel.Functions.SPG(CX79, "SP_COUNTRY_NAME")</f>
        <v>#INVALID COMPANY ID</v>
      </c>
      <c r="DB79" t="s">
        <v>1143</v>
      </c>
      <c r="DC79">
        <v>4138850</v>
      </c>
      <c r="DD79" t="s">
        <v>346</v>
      </c>
      <c r="DE79" s="11">
        <v>0.12</v>
      </c>
      <c r="DF79" s="9" t="str">
        <f>_xll.SNL.Clients.Office.Excel.Functions.SPG(DC79, "SP_COUNTRY_NAME")</f>
        <v>South Africa</v>
      </c>
      <c r="DK79" s="9" t="str">
        <f>_xll.SNL.Clients.Office.Excel.Functions.SPG(DH79, "SP_COUNTRY_NAME")</f>
        <v>#INVALID COMPANY ID</v>
      </c>
      <c r="DL79" t="s">
        <v>1143</v>
      </c>
      <c r="DM79">
        <v>4138850</v>
      </c>
      <c r="DN79" t="s">
        <v>346</v>
      </c>
      <c r="DO79" s="11">
        <v>0.12</v>
      </c>
      <c r="DP79" s="9" t="str">
        <f>_xll.SNL.Clients.Office.Excel.Functions.SPG(DM79, "SP_COUNTRY_NAME")</f>
        <v>South Africa</v>
      </c>
      <c r="DU79" s="9" t="str">
        <f>_xll.SNL.Clients.Office.Excel.Functions.SPG(DR79, "SP_COUNTRY_NAME")</f>
        <v>#INVALID COMPANY ID</v>
      </c>
      <c r="DV79" t="s">
        <v>1204</v>
      </c>
      <c r="DW79">
        <v>5756327</v>
      </c>
      <c r="DX79" t="s">
        <v>346</v>
      </c>
      <c r="DY79" s="11">
        <v>0</v>
      </c>
      <c r="DZ79" s="9" t="str">
        <f>_xll.SNL.Clients.Office.Excel.Functions.SPG(DW79, "SP_COUNTRY_NAME")</f>
        <v>Russia</v>
      </c>
      <c r="EA79" t="s">
        <v>455</v>
      </c>
      <c r="EB79">
        <v>4119538</v>
      </c>
      <c r="EC79" t="s">
        <v>364</v>
      </c>
      <c r="ED79" s="11">
        <v>0.11</v>
      </c>
      <c r="EE79" s="9" t="str">
        <f>_xll.SNL.Clients.Office.Excel.Functions.SPG(EB79, "SP_COUNTRY_NAME")</f>
        <v>USA</v>
      </c>
      <c r="EF79" t="s">
        <v>1143</v>
      </c>
      <c r="EG79">
        <v>4138850</v>
      </c>
      <c r="EH79" t="s">
        <v>346</v>
      </c>
      <c r="EI79" s="11">
        <v>0.12</v>
      </c>
      <c r="EJ79" s="9" t="str">
        <f>_xll.SNL.Clients.Office.Excel.Functions.SPG(EG79, "SP_COUNTRY_NAME")</f>
        <v>South Africa</v>
      </c>
      <c r="EO79" s="9" t="str">
        <f>_xll.SNL.Clients.Office.Excel.Functions.SPG(EL79, "SP_COUNTRY_NAME")</f>
        <v>#INVALID COMPANY ID</v>
      </c>
      <c r="EP79" t="s">
        <v>412</v>
      </c>
      <c r="EQ79">
        <v>109687</v>
      </c>
      <c r="ER79" t="s">
        <v>346</v>
      </c>
      <c r="ES79" s="11">
        <v>0</v>
      </c>
      <c r="ET79" s="9" t="str">
        <f>_xll.SNL.Clients.Office.Excel.Functions.SPG(EQ79, "SP_COUNTRY_NAME")</f>
        <v>USA</v>
      </c>
      <c r="EY79" s="9" t="str">
        <f>_xll.SNL.Clients.Office.Excel.Functions.SPG(EV79, "SP_COUNTRY_NAME")</f>
        <v>#INVALID COMPANY ID</v>
      </c>
      <c r="FD79" s="9" t="str">
        <f>_xll.SNL.Clients.Office.Excel.Functions.SPG(FA79, "SP_COUNTRY_NAME")</f>
        <v>#INVALID COMPANY ID</v>
      </c>
      <c r="FI79" s="9" t="str">
        <f>_xll.SNL.Clients.Office.Excel.Functions.SPG(FF79, "SP_COUNTRY_NAME")</f>
        <v>#INVALID COMPANY ID</v>
      </c>
      <c r="FJ79" t="s">
        <v>1060</v>
      </c>
      <c r="FK79">
        <v>4298386</v>
      </c>
      <c r="FL79" t="s">
        <v>346</v>
      </c>
      <c r="FM79" s="11">
        <v>0.01</v>
      </c>
      <c r="FN79" s="9" t="str">
        <f>_xll.SNL.Clients.Office.Excel.Functions.SPG(FK79, "SP_COUNTRY_NAME")</f>
        <v>United Kingdom</v>
      </c>
      <c r="FS79" s="9" t="str">
        <f>_xll.SNL.Clients.Office.Excel.Functions.SPG(FP79, "SP_COUNTRY_NAME")</f>
        <v>#INVALID COMPANY ID</v>
      </c>
      <c r="FX79" s="9" t="str">
        <f>_xll.SNL.Clients.Office.Excel.Functions.SPG(FU79, "SP_COUNTRY_NAME")</f>
        <v>#INVALID COMPANY ID</v>
      </c>
      <c r="FY79" t="s">
        <v>1143</v>
      </c>
      <c r="FZ79">
        <v>4138850</v>
      </c>
      <c r="GA79" t="s">
        <v>346</v>
      </c>
      <c r="GB79" s="11">
        <v>0.12</v>
      </c>
      <c r="GC79" s="9" t="str">
        <f>_xll.SNL.Clients.Office.Excel.Functions.SPG(FZ79, "SP_COUNTRY_NAME")</f>
        <v>South Africa</v>
      </c>
      <c r="GH79" s="9" t="str">
        <f>_xll.SNL.Clients.Office.Excel.Functions.SPG(GE79, "SP_COUNTRY_NAME")</f>
        <v>#INVALID COMPANY ID</v>
      </c>
      <c r="GM79" s="9" t="str">
        <f>_xll.SNL.Clients.Office.Excel.Functions.SPG(GJ79, "SP_COUNTRY_NAME")</f>
        <v>#INVALID COMPANY ID</v>
      </c>
      <c r="GN79" t="s">
        <v>1060</v>
      </c>
      <c r="GO79">
        <v>4298386</v>
      </c>
      <c r="GP79" t="s">
        <v>346</v>
      </c>
      <c r="GQ79" s="11">
        <v>0.01</v>
      </c>
      <c r="GR79" s="9" t="str">
        <f>_xll.SNL.Clients.Office.Excel.Functions.SPG(GO79, "SP_COUNTRY_NAME")</f>
        <v>United Kingdom</v>
      </c>
      <c r="GS79" t="s">
        <v>732</v>
      </c>
      <c r="GT79">
        <v>4139789</v>
      </c>
      <c r="GU79" t="s">
        <v>346</v>
      </c>
      <c r="GV79" s="11">
        <v>0.03</v>
      </c>
      <c r="GW79" s="9" t="str">
        <f>_xll.SNL.Clients.Office.Excel.Functions.SPG(GT79, "SP_COUNTRY_NAME")</f>
        <v>China</v>
      </c>
      <c r="GX79" t="s">
        <v>455</v>
      </c>
      <c r="GY79">
        <v>4119538</v>
      </c>
      <c r="GZ79" t="s">
        <v>364</v>
      </c>
      <c r="HA79" s="11">
        <v>0.11</v>
      </c>
      <c r="HB79" s="9" t="str">
        <f>_xll.SNL.Clients.Office.Excel.Functions.SPG(GY79, "SP_COUNTRY_NAME")</f>
        <v>USA</v>
      </c>
      <c r="HG79" s="9" t="str">
        <f>_xll.SNL.Clients.Office.Excel.Functions.SPG(HD79, "SP_COUNTRY_NAME")</f>
        <v>#INVALID COMPANY ID</v>
      </c>
    </row>
    <row r="80" spans="5:215" x14ac:dyDescent="0.35">
      <c r="E80" s="9" t="str">
        <f>_xll.SNL.Clients.Office.Excel.Functions.SPG(B80, "SP_COUNTRY_NAME")</f>
        <v>#INVALID COMPANY ID</v>
      </c>
      <c r="F80" t="s">
        <v>473</v>
      </c>
      <c r="G80">
        <v>4140062</v>
      </c>
      <c r="H80" t="s">
        <v>346</v>
      </c>
      <c r="I80" s="11">
        <v>0.02</v>
      </c>
      <c r="J80" s="9" t="str">
        <f>_xll.SNL.Clients.Office.Excel.Functions.SPG(G80, "SP_COUNTRY_NAME")</f>
        <v>Japan</v>
      </c>
      <c r="K80" t="s">
        <v>482</v>
      </c>
      <c r="L80">
        <v>4048742</v>
      </c>
      <c r="M80" t="s">
        <v>346</v>
      </c>
      <c r="N80" s="11">
        <v>0</v>
      </c>
      <c r="O80" s="9" t="str">
        <f>_xll.SNL.Clients.Office.Excel.Functions.SPG(L80, "SP_COUNTRY_NAME")</f>
        <v>Canada</v>
      </c>
      <c r="T80" s="9" t="str">
        <f>_xll.SNL.Clients.Office.Excel.Functions.SPG(Q80, "SP_COUNTRY_NAME")</f>
        <v>#INVALID COMPANY ID</v>
      </c>
      <c r="U80" t="s">
        <v>653</v>
      </c>
      <c r="V80">
        <v>4100281</v>
      </c>
      <c r="W80" t="s">
        <v>346</v>
      </c>
      <c r="X80" s="11">
        <v>0.05</v>
      </c>
      <c r="Y80" s="9" t="str">
        <f>_xll.SNL.Clients.Office.Excel.Functions.SPG(V80, "SP_COUNTRY_NAME")</f>
        <v>Hong Kong</v>
      </c>
      <c r="Z80" t="s">
        <v>482</v>
      </c>
      <c r="AA80">
        <v>4048742</v>
      </c>
      <c r="AB80" t="s">
        <v>346</v>
      </c>
      <c r="AC80" s="11">
        <v>0</v>
      </c>
      <c r="AD80" s="9" t="str">
        <f>_xll.SNL.Clients.Office.Excel.Functions.SPG(AA80, "SP_COUNTRY_NAME")</f>
        <v>Canada</v>
      </c>
      <c r="AE80" t="s">
        <v>434</v>
      </c>
      <c r="AF80">
        <v>4120033</v>
      </c>
      <c r="AG80" t="s">
        <v>346</v>
      </c>
      <c r="AH80" s="11">
        <v>0.02</v>
      </c>
      <c r="AI80" s="9" t="str">
        <f>_xll.SNL.Clients.Office.Excel.Functions.SPG(AF80, "SP_COUNTRY_NAME")</f>
        <v>Japan</v>
      </c>
      <c r="AN80" s="9" t="str">
        <f>_xll.SNL.Clients.Office.Excel.Functions.SPG(AK80, "SP_COUNTRY_NAME")</f>
        <v>#INVALID COMPANY ID</v>
      </c>
      <c r="AO80" t="s">
        <v>1275</v>
      </c>
      <c r="AP80">
        <v>29629745</v>
      </c>
      <c r="AQ80" t="s">
        <v>346</v>
      </c>
      <c r="AR80" s="11">
        <v>0.05</v>
      </c>
      <c r="AS80" s="9" t="str">
        <f>_xll.SNL.Clients.Office.Excel.Functions.SPG(AP80, "SP_COUNTRY_NAME")</f>
        <v>South Africa</v>
      </c>
      <c r="AX80" s="9" t="str">
        <f>_xll.SNL.Clients.Office.Excel.Functions.SPG(AU80, "SP_COUNTRY_NAME")</f>
        <v>#INVALID COMPANY ID</v>
      </c>
      <c r="BC80" s="9" t="str">
        <f>_xll.SNL.Clients.Office.Excel.Functions.SPG(AZ80, "SP_COUNTRY_NAME")</f>
        <v>#INVALID COMPANY ID</v>
      </c>
      <c r="BD80" t="s">
        <v>429</v>
      </c>
      <c r="BE80">
        <v>4607441</v>
      </c>
      <c r="BF80" t="s">
        <v>346</v>
      </c>
      <c r="BG80" s="11">
        <v>0.12</v>
      </c>
      <c r="BH80" s="9" t="str">
        <f>_xll.SNL.Clients.Office.Excel.Functions.SPG(BE80, "SP_COUNTRY_NAME")</f>
        <v>Japan</v>
      </c>
      <c r="BI80" t="s">
        <v>461</v>
      </c>
      <c r="BJ80">
        <v>4137912</v>
      </c>
      <c r="BK80" t="s">
        <v>346</v>
      </c>
      <c r="BL80" s="11">
        <v>0.04</v>
      </c>
      <c r="BM80" s="9" t="str">
        <f>_xll.SNL.Clients.Office.Excel.Functions.SPG(BJ80, "SP_COUNTRY_NAME")</f>
        <v>Germany</v>
      </c>
      <c r="BN80" t="s">
        <v>647</v>
      </c>
      <c r="BO80">
        <v>4556995</v>
      </c>
      <c r="BP80" t="s">
        <v>346</v>
      </c>
      <c r="BQ80" s="11">
        <v>0.03</v>
      </c>
      <c r="BR80" s="9" t="str">
        <f>_xll.SNL.Clients.Office.Excel.Functions.SPG(BO80, "SP_COUNTRY_NAME")</f>
        <v>China</v>
      </c>
      <c r="BS80" t="s">
        <v>430</v>
      </c>
      <c r="BT80">
        <v>4055767</v>
      </c>
      <c r="BU80" t="s">
        <v>346</v>
      </c>
      <c r="BV80" s="11">
        <v>0.05</v>
      </c>
      <c r="BW80" s="9" t="str">
        <f>_xll.SNL.Clients.Office.Excel.Functions.SPG(BT80, "SP_COUNTRY_NAME")</f>
        <v>USA</v>
      </c>
      <c r="BX80" t="s">
        <v>653</v>
      </c>
      <c r="BY80">
        <v>4100281</v>
      </c>
      <c r="BZ80" t="s">
        <v>346</v>
      </c>
      <c r="CA80" s="11">
        <v>0.05</v>
      </c>
      <c r="CB80" s="9" t="str">
        <f>_xll.SNL.Clients.Office.Excel.Functions.SPG(BY80, "SP_COUNTRY_NAME")</f>
        <v>Hong Kong</v>
      </c>
      <c r="CC80" t="s">
        <v>411</v>
      </c>
      <c r="CD80">
        <v>4272373</v>
      </c>
      <c r="CE80" t="s">
        <v>346</v>
      </c>
      <c r="CF80" s="11">
        <v>0.11</v>
      </c>
      <c r="CG80" s="9" t="str">
        <f>_xll.SNL.Clients.Office.Excel.Functions.SPG(CD80, "SP_COUNTRY_NAME")</f>
        <v>United Kingdom</v>
      </c>
      <c r="CH80" t="s">
        <v>1275</v>
      </c>
      <c r="CI80">
        <v>29629745</v>
      </c>
      <c r="CJ80" t="s">
        <v>346</v>
      </c>
      <c r="CK80" s="11">
        <v>0.05</v>
      </c>
      <c r="CL80" s="9" t="str">
        <f>_xll.SNL.Clients.Office.Excel.Functions.SPG(CI80, "SP_COUNTRY_NAME")</f>
        <v>South Africa</v>
      </c>
      <c r="CM80" t="s">
        <v>855</v>
      </c>
      <c r="CN80">
        <v>8532130</v>
      </c>
      <c r="CO80" t="s">
        <v>346</v>
      </c>
      <c r="CP80" s="11">
        <v>0.08</v>
      </c>
      <c r="CQ80" s="9" t="str">
        <f>_xll.SNL.Clients.Office.Excel.Functions.SPG(CN80, "SP_COUNTRY_NAME")</f>
        <v>South Africa</v>
      </c>
      <c r="CV80" s="9" t="str">
        <f>_xll.SNL.Clients.Office.Excel.Functions.SPG(CS80, "SP_COUNTRY_NAME")</f>
        <v>#INVALID COMPANY ID</v>
      </c>
      <c r="DA80" s="9" t="str">
        <f>_xll.SNL.Clients.Office.Excel.Functions.SPG(CX80, "SP_COUNTRY_NAME")</f>
        <v>#INVALID COMPANY ID</v>
      </c>
      <c r="DB80" t="s">
        <v>429</v>
      </c>
      <c r="DC80">
        <v>4607441</v>
      </c>
      <c r="DD80" t="s">
        <v>346</v>
      </c>
      <c r="DE80" s="11">
        <v>0.12</v>
      </c>
      <c r="DF80" s="9" t="str">
        <f>_xll.SNL.Clients.Office.Excel.Functions.SPG(DC80, "SP_COUNTRY_NAME")</f>
        <v>Japan</v>
      </c>
      <c r="DK80" s="9" t="str">
        <f>_xll.SNL.Clients.Office.Excel.Functions.SPG(DH80, "SP_COUNTRY_NAME")</f>
        <v>#INVALID COMPANY ID</v>
      </c>
      <c r="DL80" t="s">
        <v>429</v>
      </c>
      <c r="DM80">
        <v>4607441</v>
      </c>
      <c r="DN80" t="s">
        <v>346</v>
      </c>
      <c r="DO80" s="11">
        <v>0.12</v>
      </c>
      <c r="DP80" s="9" t="str">
        <f>_xll.SNL.Clients.Office.Excel.Functions.SPG(DM80, "SP_COUNTRY_NAME")</f>
        <v>Japan</v>
      </c>
      <c r="DU80" s="9" t="str">
        <f>_xll.SNL.Clients.Office.Excel.Functions.SPG(DR80, "SP_COUNTRY_NAME")</f>
        <v>#INVALID COMPANY ID</v>
      </c>
      <c r="DV80" t="s">
        <v>1205</v>
      </c>
      <c r="DW80">
        <v>4683737</v>
      </c>
      <c r="DX80" t="s">
        <v>346</v>
      </c>
      <c r="DY80" s="11">
        <v>0</v>
      </c>
      <c r="DZ80" s="9" t="str">
        <f>_xll.SNL.Clients.Office.Excel.Functions.SPG(DW80, "SP_COUNTRY_NAME")</f>
        <v>Russia</v>
      </c>
      <c r="EA80" t="s">
        <v>411</v>
      </c>
      <c r="EB80">
        <v>4272373</v>
      </c>
      <c r="EC80" t="s">
        <v>346</v>
      </c>
      <c r="ED80" s="11">
        <v>0.11</v>
      </c>
      <c r="EE80" s="9" t="str">
        <f>_xll.SNL.Clients.Office.Excel.Functions.SPG(EB80, "SP_COUNTRY_NAME")</f>
        <v>United Kingdom</v>
      </c>
      <c r="EF80" t="s">
        <v>429</v>
      </c>
      <c r="EG80">
        <v>4607441</v>
      </c>
      <c r="EH80" t="s">
        <v>346</v>
      </c>
      <c r="EI80" s="11">
        <v>0.12</v>
      </c>
      <c r="EJ80" s="9" t="str">
        <f>_xll.SNL.Clients.Office.Excel.Functions.SPG(EG80, "SP_COUNTRY_NAME")</f>
        <v>Japan</v>
      </c>
      <c r="EO80" s="9" t="str">
        <f>_xll.SNL.Clients.Office.Excel.Functions.SPG(EL80, "SP_COUNTRY_NAME")</f>
        <v>#INVALID COMPANY ID</v>
      </c>
      <c r="EP80" t="s">
        <v>774</v>
      </c>
      <c r="EQ80">
        <v>20057752</v>
      </c>
      <c r="ER80" t="s">
        <v>346</v>
      </c>
      <c r="ES80" s="11">
        <v>0</v>
      </c>
      <c r="ET80" s="9" t="str">
        <f>_xll.SNL.Clients.Office.Excel.Functions.SPG(EQ80, "SP_COUNTRY_NAME")</f>
        <v>China</v>
      </c>
      <c r="EY80" s="9" t="str">
        <f>_xll.SNL.Clients.Office.Excel.Functions.SPG(EV80, "SP_COUNTRY_NAME")</f>
        <v>#INVALID COMPANY ID</v>
      </c>
      <c r="FD80" s="9" t="str">
        <f>_xll.SNL.Clients.Office.Excel.Functions.SPG(FA80, "SP_COUNTRY_NAME")</f>
        <v>#INVALID COMPANY ID</v>
      </c>
      <c r="FI80" s="9" t="str">
        <f>_xll.SNL.Clients.Office.Excel.Functions.SPG(FF80, "SP_COUNTRY_NAME")</f>
        <v>#INVALID COMPANY ID</v>
      </c>
      <c r="FJ80" t="s">
        <v>476</v>
      </c>
      <c r="FK80">
        <v>4139886</v>
      </c>
      <c r="FL80" t="s">
        <v>346</v>
      </c>
      <c r="FM80" s="11">
        <v>0.01</v>
      </c>
      <c r="FN80" s="9" t="str">
        <f>_xll.SNL.Clients.Office.Excel.Functions.SPG(FK80, "SP_COUNTRY_NAME")</f>
        <v>Japan</v>
      </c>
      <c r="FS80" s="9" t="str">
        <f>_xll.SNL.Clients.Office.Excel.Functions.SPG(FP80, "SP_COUNTRY_NAME")</f>
        <v>#INVALID COMPANY ID</v>
      </c>
      <c r="FX80" s="9" t="str">
        <f>_xll.SNL.Clients.Office.Excel.Functions.SPG(FU80, "SP_COUNTRY_NAME")</f>
        <v>#INVALID COMPANY ID</v>
      </c>
      <c r="FY80" t="s">
        <v>429</v>
      </c>
      <c r="FZ80">
        <v>4607441</v>
      </c>
      <c r="GA80" t="s">
        <v>346</v>
      </c>
      <c r="GB80" s="11">
        <v>0.12</v>
      </c>
      <c r="GC80" s="9" t="str">
        <f>_xll.SNL.Clients.Office.Excel.Functions.SPG(FZ80, "SP_COUNTRY_NAME")</f>
        <v>Japan</v>
      </c>
      <c r="GH80" s="9" t="str">
        <f>_xll.SNL.Clients.Office.Excel.Functions.SPG(GE80, "SP_COUNTRY_NAME")</f>
        <v>#INVALID COMPANY ID</v>
      </c>
      <c r="GM80" s="9" t="str">
        <f>_xll.SNL.Clients.Office.Excel.Functions.SPG(GJ80, "SP_COUNTRY_NAME")</f>
        <v>#INVALID COMPANY ID</v>
      </c>
      <c r="GN80" t="s">
        <v>476</v>
      </c>
      <c r="GO80">
        <v>4139886</v>
      </c>
      <c r="GP80" t="s">
        <v>346</v>
      </c>
      <c r="GQ80" s="11">
        <v>0.01</v>
      </c>
      <c r="GR80" s="9" t="str">
        <f>_xll.SNL.Clients.Office.Excel.Functions.SPG(GO80, "SP_COUNTRY_NAME")</f>
        <v>Japan</v>
      </c>
      <c r="GS80" t="s">
        <v>647</v>
      </c>
      <c r="GT80">
        <v>4556995</v>
      </c>
      <c r="GU80" t="s">
        <v>346</v>
      </c>
      <c r="GV80" s="11">
        <v>0.03</v>
      </c>
      <c r="GW80" s="9" t="str">
        <f>_xll.SNL.Clients.Office.Excel.Functions.SPG(GT80, "SP_COUNTRY_NAME")</f>
        <v>China</v>
      </c>
      <c r="GX80" t="s">
        <v>411</v>
      </c>
      <c r="GY80">
        <v>4272373</v>
      </c>
      <c r="GZ80" t="s">
        <v>346</v>
      </c>
      <c r="HA80" s="11">
        <v>0.11</v>
      </c>
      <c r="HB80" s="9" t="str">
        <f>_xll.SNL.Clients.Office.Excel.Functions.SPG(GY80, "SP_COUNTRY_NAME")</f>
        <v>United Kingdom</v>
      </c>
      <c r="HG80" s="9" t="str">
        <f>_xll.SNL.Clients.Office.Excel.Functions.SPG(HD80, "SP_COUNTRY_NAME")</f>
        <v>#INVALID COMPANY ID</v>
      </c>
    </row>
    <row r="81" spans="5:215" x14ac:dyDescent="0.35">
      <c r="E81" s="9" t="str">
        <f>_xll.SNL.Clients.Office.Excel.Functions.SPG(B81, "SP_COUNTRY_NAME")</f>
        <v>#INVALID COMPANY ID</v>
      </c>
      <c r="F81" t="s">
        <v>474</v>
      </c>
      <c r="G81" t="s">
        <v>300</v>
      </c>
      <c r="H81" t="s">
        <v>361</v>
      </c>
      <c r="I81" s="11">
        <v>0.02</v>
      </c>
      <c r="J81" s="9" t="str">
        <f>_xll.SNL.Clients.Office.Excel.Functions.SPG(G81, "SP_COUNTRY_NAME")</f>
        <v>China</v>
      </c>
      <c r="K81" t="s">
        <v>667</v>
      </c>
      <c r="L81">
        <v>4208762</v>
      </c>
      <c r="M81" t="s">
        <v>346</v>
      </c>
      <c r="N81" s="11">
        <v>0</v>
      </c>
      <c r="O81" s="9" t="str">
        <f>_xll.SNL.Clients.Office.Excel.Functions.SPG(L81, "SP_COUNTRY_NAME")</f>
        <v>Hong Kong</v>
      </c>
      <c r="T81" s="9" t="str">
        <f>_xll.SNL.Clients.Office.Excel.Functions.SPG(Q81, "SP_COUNTRY_NAME")</f>
        <v>#INVALID COMPANY ID</v>
      </c>
      <c r="U81" t="s">
        <v>436</v>
      </c>
      <c r="V81">
        <v>111219</v>
      </c>
      <c r="W81" t="s">
        <v>346</v>
      </c>
      <c r="X81" s="11">
        <v>0.05</v>
      </c>
      <c r="Y81" s="9" t="str">
        <f>_xll.SNL.Clients.Office.Excel.Functions.SPG(V81, "SP_COUNTRY_NAME")</f>
        <v>USA</v>
      </c>
      <c r="Z81" t="s">
        <v>667</v>
      </c>
      <c r="AA81">
        <v>4208762</v>
      </c>
      <c r="AB81" t="s">
        <v>346</v>
      </c>
      <c r="AC81" s="11">
        <v>0</v>
      </c>
      <c r="AD81" s="9" t="str">
        <f>_xll.SNL.Clients.Office.Excel.Functions.SPG(AA81, "SP_COUNTRY_NAME")</f>
        <v>Hong Kong</v>
      </c>
      <c r="AE81" t="s">
        <v>1129</v>
      </c>
      <c r="AF81">
        <v>5788094</v>
      </c>
      <c r="AG81" t="s">
        <v>346</v>
      </c>
      <c r="AH81" s="11">
        <v>0.02</v>
      </c>
      <c r="AI81" s="9" t="str">
        <f>_xll.SNL.Clients.Office.Excel.Functions.SPG(AF81, "SP_COUNTRY_NAME")</f>
        <v>France</v>
      </c>
      <c r="AN81" s="9" t="str">
        <f>_xll.SNL.Clients.Office.Excel.Functions.SPG(AK81, "SP_COUNTRY_NAME")</f>
        <v>#INVALID COMPANY ID</v>
      </c>
      <c r="AO81" t="s">
        <v>1276</v>
      </c>
      <c r="AP81">
        <v>8358474</v>
      </c>
      <c r="AQ81" t="s">
        <v>346</v>
      </c>
      <c r="AR81" s="11">
        <v>0.05</v>
      </c>
      <c r="AS81" s="9" t="str">
        <f>_xll.SNL.Clients.Office.Excel.Functions.SPG(AP81, "SP_COUNTRY_NAME")</f>
        <v>South Africa</v>
      </c>
      <c r="AX81" s="9" t="str">
        <f>_xll.SNL.Clients.Office.Excel.Functions.SPG(AU81, "SP_COUNTRY_NAME")</f>
        <v>#INVALID COMPANY ID</v>
      </c>
      <c r="BC81" s="9" t="str">
        <f>_xll.SNL.Clients.Office.Excel.Functions.SPG(AZ81, "SP_COUNTRY_NAME")</f>
        <v>#INVALID COMPANY ID</v>
      </c>
      <c r="BD81" t="s">
        <v>546</v>
      </c>
      <c r="BE81">
        <v>4158830</v>
      </c>
      <c r="BF81" t="s">
        <v>346</v>
      </c>
      <c r="BG81" s="11">
        <v>0.11</v>
      </c>
      <c r="BH81" s="9" t="str">
        <f>_xll.SNL.Clients.Office.Excel.Functions.SPG(BE81, "SP_COUNTRY_NAME")</f>
        <v>USA</v>
      </c>
      <c r="BI81" t="s">
        <v>491</v>
      </c>
      <c r="BJ81">
        <v>106960</v>
      </c>
      <c r="BK81" t="s">
        <v>346</v>
      </c>
      <c r="BL81" s="11">
        <v>0.04</v>
      </c>
      <c r="BM81" s="9" t="str">
        <f>_xll.SNL.Clients.Office.Excel.Functions.SPG(BJ81, "SP_COUNTRY_NAME")</f>
        <v>Canada</v>
      </c>
      <c r="BN81" t="s">
        <v>813</v>
      </c>
      <c r="BO81">
        <v>5810740</v>
      </c>
      <c r="BP81" t="s">
        <v>346</v>
      </c>
      <c r="BQ81" s="11">
        <v>0.03</v>
      </c>
      <c r="BR81" s="9" t="str">
        <f>_xll.SNL.Clients.Office.Excel.Functions.SPG(BO81, "SP_COUNTRY_NAME")</f>
        <v>China</v>
      </c>
      <c r="BS81" t="s">
        <v>562</v>
      </c>
      <c r="BT81">
        <v>4256114</v>
      </c>
      <c r="BU81" t="s">
        <v>346</v>
      </c>
      <c r="BV81" s="11">
        <v>0.05</v>
      </c>
      <c r="BW81" s="9" t="str">
        <f>_xll.SNL.Clients.Office.Excel.Functions.SPG(BT81, "SP_COUNTRY_NAME")</f>
        <v>South Korea</v>
      </c>
      <c r="BX81" t="s">
        <v>436</v>
      </c>
      <c r="BY81">
        <v>111219</v>
      </c>
      <c r="BZ81" t="s">
        <v>346</v>
      </c>
      <c r="CA81" s="11">
        <v>0.05</v>
      </c>
      <c r="CB81" s="9" t="str">
        <f>_xll.SNL.Clients.Office.Excel.Functions.SPG(BY81, "SP_COUNTRY_NAME")</f>
        <v>USA</v>
      </c>
      <c r="CC81" t="s">
        <v>501</v>
      </c>
      <c r="CD81">
        <v>111359</v>
      </c>
      <c r="CE81" t="s">
        <v>346</v>
      </c>
      <c r="CF81" s="11">
        <v>0.1</v>
      </c>
      <c r="CG81" s="9" t="str">
        <f>_xll.SNL.Clients.Office.Excel.Functions.SPG(CD81, "SP_COUNTRY_NAME")</f>
        <v>USA</v>
      </c>
      <c r="CH81" t="s">
        <v>1276</v>
      </c>
      <c r="CI81">
        <v>8358474</v>
      </c>
      <c r="CJ81" t="s">
        <v>346</v>
      </c>
      <c r="CK81" s="11">
        <v>0.05</v>
      </c>
      <c r="CL81" s="9" t="str">
        <f>_xll.SNL.Clients.Office.Excel.Functions.SPG(CI81, "SP_COUNTRY_NAME")</f>
        <v>South Africa</v>
      </c>
      <c r="CM81" t="s">
        <v>1267</v>
      </c>
      <c r="CN81">
        <v>4304196</v>
      </c>
      <c r="CO81" t="s">
        <v>346</v>
      </c>
      <c r="CP81" s="11">
        <v>0.08</v>
      </c>
      <c r="CQ81" s="9" t="str">
        <f>_xll.SNL.Clients.Office.Excel.Functions.SPG(CN81, "SP_COUNTRY_NAME")</f>
        <v>South Africa</v>
      </c>
      <c r="CV81" s="9" t="str">
        <f>_xll.SNL.Clients.Office.Excel.Functions.SPG(CS81, "SP_COUNTRY_NAME")</f>
        <v>#INVALID COMPANY ID</v>
      </c>
      <c r="DA81" s="9" t="str">
        <f>_xll.SNL.Clients.Office.Excel.Functions.SPG(CX81, "SP_COUNTRY_NAME")</f>
        <v>#INVALID COMPANY ID</v>
      </c>
      <c r="DB81" t="s">
        <v>546</v>
      </c>
      <c r="DC81">
        <v>4158830</v>
      </c>
      <c r="DD81" t="s">
        <v>346</v>
      </c>
      <c r="DE81" s="11">
        <v>0.11</v>
      </c>
      <c r="DF81" s="9" t="str">
        <f>_xll.SNL.Clients.Office.Excel.Functions.SPG(DC81, "SP_COUNTRY_NAME")</f>
        <v>USA</v>
      </c>
      <c r="DK81" s="9" t="str">
        <f>_xll.SNL.Clients.Office.Excel.Functions.SPG(DH81, "SP_COUNTRY_NAME")</f>
        <v>#INVALID COMPANY ID</v>
      </c>
      <c r="DL81" t="s">
        <v>546</v>
      </c>
      <c r="DM81">
        <v>4158830</v>
      </c>
      <c r="DN81" t="s">
        <v>346</v>
      </c>
      <c r="DO81" s="11">
        <v>0.11</v>
      </c>
      <c r="DP81" s="9" t="str">
        <f>_xll.SNL.Clients.Office.Excel.Functions.SPG(DM81, "SP_COUNTRY_NAME")</f>
        <v>USA</v>
      </c>
      <c r="DU81" s="9" t="str">
        <f>_xll.SNL.Clients.Office.Excel.Functions.SPG(DR81, "SP_COUNTRY_NAME")</f>
        <v>#INVALID COMPANY ID</v>
      </c>
      <c r="DV81" t="s">
        <v>454</v>
      </c>
      <c r="DW81">
        <v>4145691</v>
      </c>
      <c r="DX81" t="s">
        <v>346</v>
      </c>
      <c r="DY81" s="11">
        <v>0</v>
      </c>
      <c r="DZ81" s="9" t="str">
        <f>_xll.SNL.Clients.Office.Excel.Functions.SPG(DW81, "SP_COUNTRY_NAME")</f>
        <v>USA</v>
      </c>
      <c r="EA81" t="s">
        <v>501</v>
      </c>
      <c r="EB81">
        <v>111359</v>
      </c>
      <c r="EC81" t="s">
        <v>346</v>
      </c>
      <c r="ED81" s="11">
        <v>0.1</v>
      </c>
      <c r="EE81" s="9" t="str">
        <f>_xll.SNL.Clients.Office.Excel.Functions.SPG(EB81, "SP_COUNTRY_NAME")</f>
        <v>USA</v>
      </c>
      <c r="EF81" t="s">
        <v>546</v>
      </c>
      <c r="EG81">
        <v>4158830</v>
      </c>
      <c r="EH81" t="s">
        <v>346</v>
      </c>
      <c r="EI81" s="11">
        <v>0.11</v>
      </c>
      <c r="EJ81" s="9" t="str">
        <f>_xll.SNL.Clients.Office.Excel.Functions.SPG(EG81, "SP_COUNTRY_NAME")</f>
        <v>USA</v>
      </c>
      <c r="EO81" s="9" t="str">
        <f>_xll.SNL.Clients.Office.Excel.Functions.SPG(EL81, "SP_COUNTRY_NAME")</f>
        <v>#INVALID COMPANY ID</v>
      </c>
      <c r="EP81" t="s">
        <v>685</v>
      </c>
      <c r="EQ81">
        <v>4641730</v>
      </c>
      <c r="ER81" t="s">
        <v>346</v>
      </c>
      <c r="ES81" s="11">
        <v>0</v>
      </c>
      <c r="ET81" s="9" t="str">
        <f>_xll.SNL.Clients.Office.Excel.Functions.SPG(EQ81, "SP_COUNTRY_NAME")</f>
        <v>Hong Kong</v>
      </c>
      <c r="EY81" s="9" t="str">
        <f>_xll.SNL.Clients.Office.Excel.Functions.SPG(EV81, "SP_COUNTRY_NAME")</f>
        <v>#INVALID COMPANY ID</v>
      </c>
      <c r="FD81" s="9" t="str">
        <f>_xll.SNL.Clients.Office.Excel.Functions.SPG(FA81, "SP_COUNTRY_NAME")</f>
        <v>#INVALID COMPANY ID</v>
      </c>
      <c r="FI81" s="9" t="str">
        <f>_xll.SNL.Clients.Office.Excel.Functions.SPG(FF81, "SP_COUNTRY_NAME")</f>
        <v>#INVALID COMPANY ID</v>
      </c>
      <c r="FJ81" t="s">
        <v>449</v>
      </c>
      <c r="FK81">
        <v>4093616</v>
      </c>
      <c r="FL81" t="s">
        <v>346</v>
      </c>
      <c r="FM81" s="11">
        <v>0.01</v>
      </c>
      <c r="FN81" s="9" t="str">
        <f>_xll.SNL.Clients.Office.Excel.Functions.SPG(FK81, "SP_COUNTRY_NAME")</f>
        <v>Canada</v>
      </c>
      <c r="FS81" s="9" t="str">
        <f>_xll.SNL.Clients.Office.Excel.Functions.SPG(FP81, "SP_COUNTRY_NAME")</f>
        <v>#INVALID COMPANY ID</v>
      </c>
      <c r="FX81" s="9" t="str">
        <f>_xll.SNL.Clients.Office.Excel.Functions.SPG(FU81, "SP_COUNTRY_NAME")</f>
        <v>#INVALID COMPANY ID</v>
      </c>
      <c r="FY81" t="s">
        <v>546</v>
      </c>
      <c r="FZ81">
        <v>4158830</v>
      </c>
      <c r="GA81" t="s">
        <v>346</v>
      </c>
      <c r="GB81" s="11">
        <v>0.11</v>
      </c>
      <c r="GC81" s="9" t="str">
        <f>_xll.SNL.Clients.Office.Excel.Functions.SPG(FZ81, "SP_COUNTRY_NAME")</f>
        <v>USA</v>
      </c>
      <c r="GH81" s="9" t="str">
        <f>_xll.SNL.Clients.Office.Excel.Functions.SPG(GE81, "SP_COUNTRY_NAME")</f>
        <v>#INVALID COMPANY ID</v>
      </c>
      <c r="GM81" s="9" t="str">
        <f>_xll.SNL.Clients.Office.Excel.Functions.SPG(GJ81, "SP_COUNTRY_NAME")</f>
        <v>#INVALID COMPANY ID</v>
      </c>
      <c r="GN81" t="s">
        <v>449</v>
      </c>
      <c r="GO81">
        <v>4093616</v>
      </c>
      <c r="GP81" t="s">
        <v>346</v>
      </c>
      <c r="GQ81" s="11">
        <v>0.01</v>
      </c>
      <c r="GR81" s="9" t="str">
        <f>_xll.SNL.Clients.Office.Excel.Functions.SPG(GO81, "SP_COUNTRY_NAME")</f>
        <v>Canada</v>
      </c>
      <c r="GS81" t="s">
        <v>813</v>
      </c>
      <c r="GT81">
        <v>5810740</v>
      </c>
      <c r="GU81" t="s">
        <v>346</v>
      </c>
      <c r="GV81" s="11">
        <v>0.03</v>
      </c>
      <c r="GW81" s="9" t="str">
        <f>_xll.SNL.Clients.Office.Excel.Functions.SPG(GT81, "SP_COUNTRY_NAME")</f>
        <v>China</v>
      </c>
      <c r="GX81" t="s">
        <v>501</v>
      </c>
      <c r="GY81">
        <v>111359</v>
      </c>
      <c r="GZ81" t="s">
        <v>346</v>
      </c>
      <c r="HA81" s="11">
        <v>0.1</v>
      </c>
      <c r="HB81" s="9" t="str">
        <f>_xll.SNL.Clients.Office.Excel.Functions.SPG(GY81, "SP_COUNTRY_NAME")</f>
        <v>USA</v>
      </c>
      <c r="HG81" s="9" t="str">
        <f>_xll.SNL.Clients.Office.Excel.Functions.SPG(HD81, "SP_COUNTRY_NAME")</f>
        <v>#INVALID COMPANY ID</v>
      </c>
    </row>
    <row r="82" spans="5:215" x14ac:dyDescent="0.35">
      <c r="E82" s="9" t="str">
        <f>_xll.SNL.Clients.Office.Excel.Functions.SPG(B82, "SP_COUNTRY_NAME")</f>
        <v>#INVALID COMPANY ID</v>
      </c>
      <c r="F82" t="s">
        <v>387</v>
      </c>
      <c r="G82">
        <v>4020980</v>
      </c>
      <c r="H82" t="s">
        <v>346</v>
      </c>
      <c r="I82" s="11">
        <v>0.02</v>
      </c>
      <c r="J82" s="9" t="str">
        <f>_xll.SNL.Clients.Office.Excel.Functions.SPG(G82, "SP_COUNTRY_NAME")</f>
        <v>Bermuda</v>
      </c>
      <c r="K82" t="s">
        <v>408</v>
      </c>
      <c r="L82">
        <v>4138917</v>
      </c>
      <c r="M82" t="s">
        <v>346</v>
      </c>
      <c r="N82" s="11">
        <v>0</v>
      </c>
      <c r="O82" s="9" t="str">
        <f>_xll.SNL.Clients.Office.Excel.Functions.SPG(L82, "SP_COUNTRY_NAME")</f>
        <v>Australia</v>
      </c>
      <c r="T82" s="9" t="str">
        <f>_xll.SNL.Clients.Office.Excel.Functions.SPG(Q82, "SP_COUNTRY_NAME")</f>
        <v>#INVALID COMPANY ID</v>
      </c>
      <c r="U82" t="s">
        <v>540</v>
      </c>
      <c r="V82">
        <v>4281265</v>
      </c>
      <c r="W82" t="s">
        <v>346</v>
      </c>
      <c r="X82" s="11">
        <v>0.05</v>
      </c>
      <c r="Y82" s="9" t="str">
        <f>_xll.SNL.Clients.Office.Excel.Functions.SPG(V82, "SP_COUNTRY_NAME")</f>
        <v>Canada</v>
      </c>
      <c r="Z82" t="s">
        <v>408</v>
      </c>
      <c r="AA82">
        <v>4138917</v>
      </c>
      <c r="AB82" t="s">
        <v>346</v>
      </c>
      <c r="AC82" s="11">
        <v>0</v>
      </c>
      <c r="AD82" s="9" t="str">
        <f>_xll.SNL.Clients.Office.Excel.Functions.SPG(AA82, "SP_COUNTRY_NAME")</f>
        <v>Australia</v>
      </c>
      <c r="AE82" t="s">
        <v>1130</v>
      </c>
      <c r="AF82" t="s">
        <v>300</v>
      </c>
      <c r="AG82" t="s">
        <v>361</v>
      </c>
      <c r="AH82" s="11">
        <v>0.02</v>
      </c>
      <c r="AI82" s="9" t="str">
        <f>_xll.SNL.Clients.Office.Excel.Functions.SPG(AF82, "SP_COUNTRY_NAME")</f>
        <v>China</v>
      </c>
      <c r="AN82" s="9" t="str">
        <f>_xll.SNL.Clients.Office.Excel.Functions.SPG(AK82, "SP_COUNTRY_NAME")</f>
        <v>#INVALID COMPANY ID</v>
      </c>
      <c r="AO82" t="s">
        <v>459</v>
      </c>
      <c r="AP82">
        <v>4140503</v>
      </c>
      <c r="AQ82" t="s">
        <v>346</v>
      </c>
      <c r="AR82" s="11">
        <v>0.04</v>
      </c>
      <c r="AS82" s="9" t="str">
        <f>_xll.SNL.Clients.Office.Excel.Functions.SPG(AP82, "SP_COUNTRY_NAME")</f>
        <v>Ireland</v>
      </c>
      <c r="AX82" s="9" t="str">
        <f>_xll.SNL.Clients.Office.Excel.Functions.SPG(AU82, "SP_COUNTRY_NAME")</f>
        <v>#INVALID COMPANY ID</v>
      </c>
      <c r="BC82" s="9" t="str">
        <f>_xll.SNL.Clients.Office.Excel.Functions.SPG(AZ82, "SP_COUNTRY_NAME")</f>
        <v>#INVALID COMPANY ID</v>
      </c>
      <c r="BD82" t="s">
        <v>1408</v>
      </c>
      <c r="BE82">
        <v>4139641</v>
      </c>
      <c r="BF82" t="s">
        <v>363</v>
      </c>
      <c r="BG82" s="11">
        <v>0.11</v>
      </c>
      <c r="BH82" s="9" t="str">
        <f>_xll.SNL.Clients.Office.Excel.Functions.SPG(BE82, "SP_COUNTRY_NAME")</f>
        <v>United Kingdom</v>
      </c>
      <c r="BI82" t="s">
        <v>449</v>
      </c>
      <c r="BJ82">
        <v>4093616</v>
      </c>
      <c r="BK82" t="s">
        <v>346</v>
      </c>
      <c r="BL82" s="11">
        <v>0.03</v>
      </c>
      <c r="BM82" s="9" t="str">
        <f>_xll.SNL.Clients.Office.Excel.Functions.SPG(BJ82, "SP_COUNTRY_NAME")</f>
        <v>Canada</v>
      </c>
      <c r="BN82" t="s">
        <v>720</v>
      </c>
      <c r="BO82">
        <v>4139225</v>
      </c>
      <c r="BP82" t="s">
        <v>346</v>
      </c>
      <c r="BQ82" s="11">
        <v>0.03</v>
      </c>
      <c r="BR82" s="9" t="str">
        <f>_xll.SNL.Clients.Office.Excel.Functions.SPG(BO82, "SP_COUNTRY_NAME")</f>
        <v>China</v>
      </c>
      <c r="BS82" t="s">
        <v>510</v>
      </c>
      <c r="BT82">
        <v>4089114</v>
      </c>
      <c r="BU82" t="s">
        <v>346</v>
      </c>
      <c r="BV82" s="11">
        <v>0.05</v>
      </c>
      <c r="BW82" s="9" t="str">
        <f>_xll.SNL.Clients.Office.Excel.Functions.SPG(BT82, "SP_COUNTRY_NAME")</f>
        <v>USA</v>
      </c>
      <c r="BX82" t="s">
        <v>540</v>
      </c>
      <c r="BY82">
        <v>4281265</v>
      </c>
      <c r="BZ82" t="s">
        <v>346</v>
      </c>
      <c r="CA82" s="11">
        <v>0.05</v>
      </c>
      <c r="CB82" s="9" t="str">
        <f>_xll.SNL.Clients.Office.Excel.Functions.SPG(BY82, "SP_COUNTRY_NAME")</f>
        <v>Canada</v>
      </c>
      <c r="CC82" t="s">
        <v>1629</v>
      </c>
      <c r="CD82">
        <v>4291467</v>
      </c>
      <c r="CE82" t="s">
        <v>364</v>
      </c>
      <c r="CF82" s="11">
        <v>0.1</v>
      </c>
      <c r="CG82" s="9" t="str">
        <f>_xll.SNL.Clients.Office.Excel.Functions.SPG(CD82, "SP_COUNTRY_NAME")</f>
        <v>Brazil</v>
      </c>
      <c r="CH82" t="s">
        <v>459</v>
      </c>
      <c r="CI82">
        <v>4140503</v>
      </c>
      <c r="CJ82" t="s">
        <v>346</v>
      </c>
      <c r="CK82" s="11">
        <v>0.04</v>
      </c>
      <c r="CL82" s="9" t="str">
        <f>_xll.SNL.Clients.Office.Excel.Functions.SPG(CI82, "SP_COUNTRY_NAME")</f>
        <v>Ireland</v>
      </c>
      <c r="CM82" t="s">
        <v>1963</v>
      </c>
      <c r="CN82" t="s">
        <v>300</v>
      </c>
      <c r="CO82" t="s">
        <v>361</v>
      </c>
      <c r="CP82" s="11">
        <v>0.08</v>
      </c>
      <c r="CQ82" s="9" t="str">
        <f>_xll.SNL.Clients.Office.Excel.Functions.SPG(CN82, "SP_COUNTRY_NAME")</f>
        <v>China</v>
      </c>
      <c r="CV82" s="9" t="str">
        <f>_xll.SNL.Clients.Office.Excel.Functions.SPG(CS82, "SP_COUNTRY_NAME")</f>
        <v>#INVALID COMPANY ID</v>
      </c>
      <c r="DA82" s="9" t="str">
        <f>_xll.SNL.Clients.Office.Excel.Functions.SPG(CX82, "SP_COUNTRY_NAME")</f>
        <v>#INVALID COMPANY ID</v>
      </c>
      <c r="DB82" t="s">
        <v>1408</v>
      </c>
      <c r="DC82">
        <v>4139641</v>
      </c>
      <c r="DD82" t="s">
        <v>363</v>
      </c>
      <c r="DE82" s="11">
        <v>0.11</v>
      </c>
      <c r="DF82" s="9" t="str">
        <f>_xll.SNL.Clients.Office.Excel.Functions.SPG(DC82, "SP_COUNTRY_NAME")</f>
        <v>United Kingdom</v>
      </c>
      <c r="DK82" s="9" t="str">
        <f>_xll.SNL.Clients.Office.Excel.Functions.SPG(DH82, "SP_COUNTRY_NAME")</f>
        <v>#INVALID COMPANY ID</v>
      </c>
      <c r="DL82" t="s">
        <v>1408</v>
      </c>
      <c r="DM82">
        <v>4139641</v>
      </c>
      <c r="DN82" t="s">
        <v>363</v>
      </c>
      <c r="DO82" s="11">
        <v>0.11</v>
      </c>
      <c r="DP82" s="9" t="str">
        <f>_xll.SNL.Clients.Office.Excel.Functions.SPG(DM82, "SP_COUNTRY_NAME")</f>
        <v>United Kingdom</v>
      </c>
      <c r="DU82" s="9" t="str">
        <f>_xll.SNL.Clients.Office.Excel.Functions.SPG(DR82, "SP_COUNTRY_NAME")</f>
        <v>#INVALID COMPANY ID</v>
      </c>
      <c r="DV82" t="s">
        <v>1206</v>
      </c>
      <c r="DW82">
        <v>5872909</v>
      </c>
      <c r="DX82" t="s">
        <v>346</v>
      </c>
      <c r="DY82" s="11">
        <v>0</v>
      </c>
      <c r="DZ82" s="9" t="str">
        <f>_xll.SNL.Clients.Office.Excel.Functions.SPG(DW82, "SP_COUNTRY_NAME")</f>
        <v>Malta</v>
      </c>
      <c r="EA82" t="s">
        <v>1629</v>
      </c>
      <c r="EB82">
        <v>4291467</v>
      </c>
      <c r="EC82" t="s">
        <v>364</v>
      </c>
      <c r="ED82" s="11">
        <v>0.1</v>
      </c>
      <c r="EE82" s="9" t="str">
        <f>_xll.SNL.Clients.Office.Excel.Functions.SPG(EB82, "SP_COUNTRY_NAME")</f>
        <v>Brazil</v>
      </c>
      <c r="EF82" t="s">
        <v>1408</v>
      </c>
      <c r="EG82">
        <v>4139641</v>
      </c>
      <c r="EH82" t="s">
        <v>363</v>
      </c>
      <c r="EI82" s="11">
        <v>0.11</v>
      </c>
      <c r="EJ82" s="9" t="str">
        <f>_xll.SNL.Clients.Office.Excel.Functions.SPG(EG82, "SP_COUNTRY_NAME")</f>
        <v>United Kingdom</v>
      </c>
      <c r="EO82" s="9" t="str">
        <f>_xll.SNL.Clients.Office.Excel.Functions.SPG(EL82, "SP_COUNTRY_NAME")</f>
        <v>#INVALID COMPANY ID</v>
      </c>
      <c r="EP82" t="s">
        <v>408</v>
      </c>
      <c r="EQ82">
        <v>4138917</v>
      </c>
      <c r="ER82" t="s">
        <v>346</v>
      </c>
      <c r="ES82" s="11">
        <v>0</v>
      </c>
      <c r="ET82" s="9" t="str">
        <f>_xll.SNL.Clients.Office.Excel.Functions.SPG(EQ82, "SP_COUNTRY_NAME")</f>
        <v>Australia</v>
      </c>
      <c r="EY82" s="9" t="str">
        <f>_xll.SNL.Clients.Office.Excel.Functions.SPG(EV82, "SP_COUNTRY_NAME")</f>
        <v>#INVALID COMPANY ID</v>
      </c>
      <c r="FD82" s="9" t="str">
        <f>_xll.SNL.Clients.Office.Excel.Functions.SPG(FA82, "SP_COUNTRY_NAME")</f>
        <v>#INVALID COMPANY ID</v>
      </c>
      <c r="FI82" s="9" t="str">
        <f>_xll.SNL.Clients.Office.Excel.Functions.SPG(FF82, "SP_COUNTRY_NAME")</f>
        <v>#INVALID COMPANY ID</v>
      </c>
      <c r="FJ82" t="s">
        <v>500</v>
      </c>
      <c r="FK82">
        <v>4048185</v>
      </c>
      <c r="FL82" t="s">
        <v>346</v>
      </c>
      <c r="FM82" s="11">
        <v>0.01</v>
      </c>
      <c r="FN82" s="9" t="str">
        <f>_xll.SNL.Clients.Office.Excel.Functions.SPG(FK82, "SP_COUNTRY_NAME")</f>
        <v>USA</v>
      </c>
      <c r="FS82" s="9" t="str">
        <f>_xll.SNL.Clients.Office.Excel.Functions.SPG(FP82, "SP_COUNTRY_NAME")</f>
        <v>#INVALID COMPANY ID</v>
      </c>
      <c r="FX82" s="9" t="str">
        <f>_xll.SNL.Clients.Office.Excel.Functions.SPG(FU82, "SP_COUNTRY_NAME")</f>
        <v>#INVALID COMPANY ID</v>
      </c>
      <c r="FY82" t="s">
        <v>1408</v>
      </c>
      <c r="FZ82">
        <v>4139641</v>
      </c>
      <c r="GA82" t="s">
        <v>363</v>
      </c>
      <c r="GB82" s="11">
        <v>0.11</v>
      </c>
      <c r="GC82" s="9" t="str">
        <f>_xll.SNL.Clients.Office.Excel.Functions.SPG(FZ82, "SP_COUNTRY_NAME")</f>
        <v>United Kingdom</v>
      </c>
      <c r="GH82" s="9" t="str">
        <f>_xll.SNL.Clients.Office.Excel.Functions.SPG(GE82, "SP_COUNTRY_NAME")</f>
        <v>#INVALID COMPANY ID</v>
      </c>
      <c r="GM82" s="9" t="str">
        <f>_xll.SNL.Clients.Office.Excel.Functions.SPG(GJ82, "SP_COUNTRY_NAME")</f>
        <v>#INVALID COMPANY ID</v>
      </c>
      <c r="GN82" t="s">
        <v>500</v>
      </c>
      <c r="GO82">
        <v>4048185</v>
      </c>
      <c r="GP82" t="s">
        <v>346</v>
      </c>
      <c r="GQ82" s="11">
        <v>0.01</v>
      </c>
      <c r="GR82" s="9" t="str">
        <f>_xll.SNL.Clients.Office.Excel.Functions.SPG(GO82, "SP_COUNTRY_NAME")</f>
        <v>USA</v>
      </c>
      <c r="GS82" t="s">
        <v>720</v>
      </c>
      <c r="GT82">
        <v>4139225</v>
      </c>
      <c r="GU82" t="s">
        <v>346</v>
      </c>
      <c r="GV82" s="11">
        <v>0.03</v>
      </c>
      <c r="GW82" s="9" t="str">
        <f>_xll.SNL.Clients.Office.Excel.Functions.SPG(GT82, "SP_COUNTRY_NAME")</f>
        <v>China</v>
      </c>
      <c r="GX82" t="s">
        <v>1629</v>
      </c>
      <c r="GY82">
        <v>4291467</v>
      </c>
      <c r="GZ82" t="s">
        <v>364</v>
      </c>
      <c r="HA82" s="11">
        <v>0.1</v>
      </c>
      <c r="HB82" s="9" t="str">
        <f>_xll.SNL.Clients.Office.Excel.Functions.SPG(GY82, "SP_COUNTRY_NAME")</f>
        <v>Brazil</v>
      </c>
      <c r="HG82" s="9" t="str">
        <f>_xll.SNL.Clients.Office.Excel.Functions.SPG(HD82, "SP_COUNTRY_NAME")</f>
        <v>#INVALID COMPANY ID</v>
      </c>
    </row>
    <row r="83" spans="5:215" x14ac:dyDescent="0.35">
      <c r="E83" s="9" t="str">
        <f>_xll.SNL.Clients.Office.Excel.Functions.SPG(B83, "SP_COUNTRY_NAME")</f>
        <v>#INVALID COMPANY ID</v>
      </c>
      <c r="F83" t="s">
        <v>475</v>
      </c>
      <c r="G83">
        <v>4115935</v>
      </c>
      <c r="H83" t="s">
        <v>346</v>
      </c>
      <c r="I83" s="11">
        <v>0.01</v>
      </c>
      <c r="J83" s="9" t="str">
        <f>_xll.SNL.Clients.Office.Excel.Functions.SPG(G83, "SP_COUNTRY_NAME")</f>
        <v>USA</v>
      </c>
      <c r="K83" t="s">
        <v>668</v>
      </c>
      <c r="L83">
        <v>109523595</v>
      </c>
      <c r="M83" t="s">
        <v>346</v>
      </c>
      <c r="N83" s="11">
        <v>0</v>
      </c>
      <c r="O83" s="9" t="str">
        <f>_xll.SNL.Clients.Office.Excel.Functions.SPG(L83, "SP_COUNTRY_NAME")</f>
        <v>China</v>
      </c>
      <c r="T83" s="9" t="str">
        <f>_xll.SNL.Clients.Office.Excel.Functions.SPG(Q83, "SP_COUNTRY_NAME")</f>
        <v>#INVALID COMPANY ID</v>
      </c>
      <c r="U83" t="s">
        <v>730</v>
      </c>
      <c r="V83">
        <v>4436408</v>
      </c>
      <c r="W83" t="s">
        <v>346</v>
      </c>
      <c r="X83" s="11">
        <v>0.05</v>
      </c>
      <c r="Y83" s="9" t="str">
        <f>_xll.SNL.Clients.Office.Excel.Functions.SPG(V83, "SP_COUNTRY_NAME")</f>
        <v>China</v>
      </c>
      <c r="Z83" t="s">
        <v>668</v>
      </c>
      <c r="AA83">
        <v>109523595</v>
      </c>
      <c r="AB83" t="s">
        <v>346</v>
      </c>
      <c r="AC83" s="11">
        <v>0</v>
      </c>
      <c r="AD83" s="9" t="str">
        <f>_xll.SNL.Clients.Office.Excel.Functions.SPG(AA83, "SP_COUNTRY_NAME")</f>
        <v>China</v>
      </c>
      <c r="AE83" t="s">
        <v>820</v>
      </c>
      <c r="AF83">
        <v>4240804</v>
      </c>
      <c r="AG83" t="s">
        <v>346</v>
      </c>
      <c r="AH83" s="11">
        <v>0.02</v>
      </c>
      <c r="AI83" s="9" t="str">
        <f>_xll.SNL.Clients.Office.Excel.Functions.SPG(AF83, "SP_COUNTRY_NAME")</f>
        <v>Taiwan</v>
      </c>
      <c r="AN83" s="9" t="str">
        <f>_xll.SNL.Clients.Office.Excel.Functions.SPG(AK83, "SP_COUNTRY_NAME")</f>
        <v>#INVALID COMPANY ID</v>
      </c>
      <c r="AO83" t="s">
        <v>487</v>
      </c>
      <c r="AP83">
        <v>4111901</v>
      </c>
      <c r="AQ83" t="s">
        <v>346</v>
      </c>
      <c r="AR83" s="11">
        <v>0.04</v>
      </c>
      <c r="AS83" s="9" t="str">
        <f>_xll.SNL.Clients.Office.Excel.Functions.SPG(AP83, "SP_COUNTRY_NAME")</f>
        <v>Belgium</v>
      </c>
      <c r="AX83" s="9" t="str">
        <f>_xll.SNL.Clients.Office.Excel.Functions.SPG(AU83, "SP_COUNTRY_NAME")</f>
        <v>#INVALID COMPANY ID</v>
      </c>
      <c r="BC83" s="9" t="str">
        <f>_xll.SNL.Clients.Office.Excel.Functions.SPG(AZ83, "SP_COUNTRY_NAME")</f>
        <v>#INVALID COMPANY ID</v>
      </c>
      <c r="BD83" t="s">
        <v>1409</v>
      </c>
      <c r="BE83">
        <v>4219855</v>
      </c>
      <c r="BF83" t="s">
        <v>346</v>
      </c>
      <c r="BG83" s="11">
        <v>0.11</v>
      </c>
      <c r="BH83" s="9" t="str">
        <f>_xll.SNL.Clients.Office.Excel.Functions.SPG(BE83, "SP_COUNTRY_NAME")</f>
        <v>Italy</v>
      </c>
      <c r="BI83" t="s">
        <v>388</v>
      </c>
      <c r="BJ83">
        <v>4057506</v>
      </c>
      <c r="BK83" t="s">
        <v>346</v>
      </c>
      <c r="BL83" s="11">
        <v>0.03</v>
      </c>
      <c r="BM83" s="9" t="str">
        <f>_xll.SNL.Clients.Office.Excel.Functions.SPG(BJ83, "SP_COUNTRY_NAME")</f>
        <v>USA</v>
      </c>
      <c r="BN83" t="s">
        <v>410</v>
      </c>
      <c r="BO83">
        <v>5759394</v>
      </c>
      <c r="BP83" t="s">
        <v>346</v>
      </c>
      <c r="BQ83" s="11">
        <v>0.03</v>
      </c>
      <c r="BR83" s="9" t="str">
        <f>_xll.SNL.Clients.Office.Excel.Functions.SPG(BO83, "SP_COUNTRY_NAME")</f>
        <v>Ireland</v>
      </c>
      <c r="BS83" t="s">
        <v>958</v>
      </c>
      <c r="BT83">
        <v>6551991</v>
      </c>
      <c r="BU83" t="s">
        <v>346</v>
      </c>
      <c r="BV83" s="11">
        <v>0.05</v>
      </c>
      <c r="BW83" s="9" t="str">
        <f>_xll.SNL.Clients.Office.Excel.Functions.SPG(BT83, "SP_COUNTRY_NAME")</f>
        <v>Switzerland</v>
      </c>
      <c r="BX83" t="s">
        <v>730</v>
      </c>
      <c r="BY83">
        <v>4436408</v>
      </c>
      <c r="BZ83" t="s">
        <v>346</v>
      </c>
      <c r="CA83" s="11">
        <v>0.05</v>
      </c>
      <c r="CB83" s="9" t="str">
        <f>_xll.SNL.Clients.Office.Excel.Functions.SPG(BY83, "SP_COUNTRY_NAME")</f>
        <v>China</v>
      </c>
      <c r="CC83" t="s">
        <v>457</v>
      </c>
      <c r="CD83">
        <v>110399</v>
      </c>
      <c r="CE83" t="s">
        <v>346</v>
      </c>
      <c r="CF83" s="11">
        <v>0.1</v>
      </c>
      <c r="CG83" s="9" t="str">
        <f>_xll.SNL.Clients.Office.Excel.Functions.SPG(CD83, "SP_COUNTRY_NAME")</f>
        <v>USA</v>
      </c>
      <c r="CH83" t="s">
        <v>487</v>
      </c>
      <c r="CI83">
        <v>4111901</v>
      </c>
      <c r="CJ83" t="s">
        <v>346</v>
      </c>
      <c r="CK83" s="11">
        <v>0.04</v>
      </c>
      <c r="CL83" s="9" t="str">
        <f>_xll.SNL.Clients.Office.Excel.Functions.SPG(CI83, "SP_COUNTRY_NAME")</f>
        <v>Belgium</v>
      </c>
      <c r="CM83" t="s">
        <v>1689</v>
      </c>
      <c r="CN83">
        <v>4005755</v>
      </c>
      <c r="CO83" t="s">
        <v>363</v>
      </c>
      <c r="CP83" s="11">
        <v>0.08</v>
      </c>
      <c r="CQ83" s="9" t="str">
        <f>_xll.SNL.Clients.Office.Excel.Functions.SPG(CN83, "SP_COUNTRY_NAME")</f>
        <v>USA</v>
      </c>
      <c r="CV83" s="9" t="str">
        <f>_xll.SNL.Clients.Office.Excel.Functions.SPG(CS83, "SP_COUNTRY_NAME")</f>
        <v>#INVALID COMPANY ID</v>
      </c>
      <c r="DA83" s="9" t="str">
        <f>_xll.SNL.Clients.Office.Excel.Functions.SPG(CX83, "SP_COUNTRY_NAME")</f>
        <v>#INVALID COMPANY ID</v>
      </c>
      <c r="DB83" t="s">
        <v>1409</v>
      </c>
      <c r="DC83">
        <v>4219855</v>
      </c>
      <c r="DD83" t="s">
        <v>346</v>
      </c>
      <c r="DE83" s="11">
        <v>0.11</v>
      </c>
      <c r="DF83" s="9" t="str">
        <f>_xll.SNL.Clients.Office.Excel.Functions.SPG(DC83, "SP_COUNTRY_NAME")</f>
        <v>Italy</v>
      </c>
      <c r="DK83" s="9" t="str">
        <f>_xll.SNL.Clients.Office.Excel.Functions.SPG(DH83, "SP_COUNTRY_NAME")</f>
        <v>#INVALID COMPANY ID</v>
      </c>
      <c r="DL83" t="s">
        <v>1409</v>
      </c>
      <c r="DM83">
        <v>4219855</v>
      </c>
      <c r="DN83" t="s">
        <v>346</v>
      </c>
      <c r="DO83" s="11">
        <v>0.11</v>
      </c>
      <c r="DP83" s="9" t="str">
        <f>_xll.SNL.Clients.Office.Excel.Functions.SPG(DM83, "SP_COUNTRY_NAME")</f>
        <v>Italy</v>
      </c>
      <c r="DU83" s="9" t="str">
        <f>_xll.SNL.Clients.Office.Excel.Functions.SPG(DR83, "SP_COUNTRY_NAME")</f>
        <v>#INVALID COMPANY ID</v>
      </c>
      <c r="DV83" t="s">
        <v>540</v>
      </c>
      <c r="DW83">
        <v>4281265</v>
      </c>
      <c r="DX83" t="s">
        <v>346</v>
      </c>
      <c r="DY83" s="11">
        <v>0</v>
      </c>
      <c r="DZ83" s="9" t="str">
        <f>_xll.SNL.Clients.Office.Excel.Functions.SPG(DW83, "SP_COUNTRY_NAME")</f>
        <v>Canada</v>
      </c>
      <c r="EA83" t="s">
        <v>457</v>
      </c>
      <c r="EB83">
        <v>110399</v>
      </c>
      <c r="EC83" t="s">
        <v>346</v>
      </c>
      <c r="ED83" s="11">
        <v>0.1</v>
      </c>
      <c r="EE83" s="9" t="str">
        <f>_xll.SNL.Clients.Office.Excel.Functions.SPG(EB83, "SP_COUNTRY_NAME")</f>
        <v>USA</v>
      </c>
      <c r="EF83" t="s">
        <v>1409</v>
      </c>
      <c r="EG83">
        <v>4219855</v>
      </c>
      <c r="EH83" t="s">
        <v>346</v>
      </c>
      <c r="EI83" s="11">
        <v>0.11</v>
      </c>
      <c r="EJ83" s="9" t="str">
        <f>_xll.SNL.Clients.Office.Excel.Functions.SPG(EG83, "SP_COUNTRY_NAME")</f>
        <v>Italy</v>
      </c>
      <c r="EO83" s="9" t="str">
        <f>_xll.SNL.Clients.Office.Excel.Functions.SPG(EL83, "SP_COUNTRY_NAME")</f>
        <v>#INVALID COMPANY ID</v>
      </c>
      <c r="EP83" t="s">
        <v>466</v>
      </c>
      <c r="EQ83">
        <v>111267</v>
      </c>
      <c r="ER83" t="s">
        <v>346</v>
      </c>
      <c r="ES83" s="11">
        <v>0</v>
      </c>
      <c r="ET83" s="9" t="str">
        <f>_xll.SNL.Clients.Office.Excel.Functions.SPG(EQ83, "SP_COUNTRY_NAME")</f>
        <v>United Kingdom</v>
      </c>
      <c r="EY83" s="9" t="str">
        <f>_xll.SNL.Clients.Office.Excel.Functions.SPG(EV83, "SP_COUNTRY_NAME")</f>
        <v>#INVALID COMPANY ID</v>
      </c>
      <c r="FD83" s="9" t="str">
        <f>_xll.SNL.Clients.Office.Excel.Functions.SPG(FA83, "SP_COUNTRY_NAME")</f>
        <v>#INVALID COMPANY ID</v>
      </c>
      <c r="FI83" s="9" t="str">
        <f>_xll.SNL.Clients.Office.Excel.Functions.SPG(FF83, "SP_COUNTRY_NAME")</f>
        <v>#INVALID COMPANY ID</v>
      </c>
      <c r="FJ83" t="s">
        <v>2164</v>
      </c>
      <c r="FK83" t="s">
        <v>300</v>
      </c>
      <c r="FL83" t="s">
        <v>361</v>
      </c>
      <c r="FM83" s="11">
        <v>0.01</v>
      </c>
      <c r="FN83" s="9" t="str">
        <f>_xll.SNL.Clients.Office.Excel.Functions.SPG(FK83, "SP_COUNTRY_NAME")</f>
        <v>China</v>
      </c>
      <c r="FS83" s="9" t="str">
        <f>_xll.SNL.Clients.Office.Excel.Functions.SPG(FP83, "SP_COUNTRY_NAME")</f>
        <v>#INVALID COMPANY ID</v>
      </c>
      <c r="FX83" s="9" t="str">
        <f>_xll.SNL.Clients.Office.Excel.Functions.SPG(FU83, "SP_COUNTRY_NAME")</f>
        <v>#INVALID COMPANY ID</v>
      </c>
      <c r="FY83" t="s">
        <v>1409</v>
      </c>
      <c r="FZ83">
        <v>4219855</v>
      </c>
      <c r="GA83" t="s">
        <v>346</v>
      </c>
      <c r="GB83" s="11">
        <v>0.11</v>
      </c>
      <c r="GC83" s="9" t="str">
        <f>_xll.SNL.Clients.Office.Excel.Functions.SPG(FZ83, "SP_COUNTRY_NAME")</f>
        <v>Italy</v>
      </c>
      <c r="GH83" s="9" t="str">
        <f>_xll.SNL.Clients.Office.Excel.Functions.SPG(GE83, "SP_COUNTRY_NAME")</f>
        <v>#INVALID COMPANY ID</v>
      </c>
      <c r="GM83" s="9" t="str">
        <f>_xll.SNL.Clients.Office.Excel.Functions.SPG(GJ83, "SP_COUNTRY_NAME")</f>
        <v>#INVALID COMPANY ID</v>
      </c>
      <c r="GN83" t="s">
        <v>2164</v>
      </c>
      <c r="GO83" t="s">
        <v>300</v>
      </c>
      <c r="GP83" t="s">
        <v>361</v>
      </c>
      <c r="GQ83" s="11">
        <v>0.01</v>
      </c>
      <c r="GR83" s="9" t="str">
        <f>_xll.SNL.Clients.Office.Excel.Functions.SPG(GO83, "SP_COUNTRY_NAME")</f>
        <v>China</v>
      </c>
      <c r="GS83" t="s">
        <v>410</v>
      </c>
      <c r="GT83">
        <v>5759394</v>
      </c>
      <c r="GU83" t="s">
        <v>346</v>
      </c>
      <c r="GV83" s="11">
        <v>0.03</v>
      </c>
      <c r="GW83" s="9" t="str">
        <f>_xll.SNL.Clients.Office.Excel.Functions.SPG(GT83, "SP_COUNTRY_NAME")</f>
        <v>Ireland</v>
      </c>
      <c r="GX83" t="s">
        <v>457</v>
      </c>
      <c r="GY83">
        <v>110399</v>
      </c>
      <c r="GZ83" t="s">
        <v>346</v>
      </c>
      <c r="HA83" s="11">
        <v>0.1</v>
      </c>
      <c r="HB83" s="9" t="str">
        <f>_xll.SNL.Clients.Office.Excel.Functions.SPG(GY83, "SP_COUNTRY_NAME")</f>
        <v>USA</v>
      </c>
      <c r="HG83" s="9" t="str">
        <f>_xll.SNL.Clients.Office.Excel.Functions.SPG(HD83, "SP_COUNTRY_NAME")</f>
        <v>#INVALID COMPANY ID</v>
      </c>
    </row>
    <row r="84" spans="5:215" x14ac:dyDescent="0.35">
      <c r="E84" s="9" t="str">
        <f>_xll.SNL.Clients.Office.Excel.Functions.SPG(B84, "SP_COUNTRY_NAME")</f>
        <v>#INVALID COMPANY ID</v>
      </c>
      <c r="F84" t="s">
        <v>476</v>
      </c>
      <c r="G84">
        <v>4139886</v>
      </c>
      <c r="H84" t="s">
        <v>346</v>
      </c>
      <c r="I84" s="11">
        <v>0.01</v>
      </c>
      <c r="J84" s="9" t="str">
        <f>_xll.SNL.Clients.Office.Excel.Functions.SPG(G84, "SP_COUNTRY_NAME")</f>
        <v>Japan</v>
      </c>
      <c r="K84" t="s">
        <v>407</v>
      </c>
      <c r="L84">
        <v>109754</v>
      </c>
      <c r="M84" t="s">
        <v>346</v>
      </c>
      <c r="N84" s="11">
        <v>0</v>
      </c>
      <c r="O84" s="9" t="str">
        <f>_xll.SNL.Clients.Office.Excel.Functions.SPG(L84, "SP_COUNTRY_NAME")</f>
        <v>USA</v>
      </c>
      <c r="T84" s="9" t="str">
        <f>_xll.SNL.Clients.Office.Excel.Functions.SPG(Q84, "SP_COUNTRY_NAME")</f>
        <v>#INVALID COMPANY ID</v>
      </c>
      <c r="U84" t="s">
        <v>731</v>
      </c>
      <c r="V84">
        <v>4417406</v>
      </c>
      <c r="W84" t="s">
        <v>346</v>
      </c>
      <c r="X84" s="11">
        <v>0.05</v>
      </c>
      <c r="Y84" s="9" t="str">
        <f>_xll.SNL.Clients.Office.Excel.Functions.SPG(V84, "SP_COUNTRY_NAME")</f>
        <v>China</v>
      </c>
      <c r="Z84" t="s">
        <v>407</v>
      </c>
      <c r="AA84">
        <v>109754</v>
      </c>
      <c r="AB84" t="s">
        <v>346</v>
      </c>
      <c r="AC84" s="11">
        <v>0</v>
      </c>
      <c r="AD84" s="9" t="str">
        <f>_xll.SNL.Clients.Office.Excel.Functions.SPG(AA84, "SP_COUNTRY_NAME")</f>
        <v>USA</v>
      </c>
      <c r="AE84" t="s">
        <v>477</v>
      </c>
      <c r="AF84">
        <v>4119790</v>
      </c>
      <c r="AG84" t="s">
        <v>346</v>
      </c>
      <c r="AH84" s="11">
        <v>0.01</v>
      </c>
      <c r="AI84" s="9" t="str">
        <f>_xll.SNL.Clients.Office.Excel.Functions.SPG(AF84, "SP_COUNTRY_NAME")</f>
        <v>USA</v>
      </c>
      <c r="AN84" s="9" t="str">
        <f>_xll.SNL.Clients.Office.Excel.Functions.SPG(AK84, "SP_COUNTRY_NAME")</f>
        <v>#INVALID COMPANY ID</v>
      </c>
      <c r="AO84" t="s">
        <v>1277</v>
      </c>
      <c r="AP84" t="s">
        <v>300</v>
      </c>
      <c r="AQ84" t="s">
        <v>361</v>
      </c>
      <c r="AR84" s="11">
        <v>0.04</v>
      </c>
      <c r="AS84" s="9" t="str">
        <f>_xll.SNL.Clients.Office.Excel.Functions.SPG(AP84, "SP_COUNTRY_NAME")</f>
        <v>China</v>
      </c>
      <c r="AX84" s="9" t="str">
        <f>_xll.SNL.Clients.Office.Excel.Functions.SPG(AU84, "SP_COUNTRY_NAME")</f>
        <v>#INVALID COMPANY ID</v>
      </c>
      <c r="BC84" s="9" t="str">
        <f>_xll.SNL.Clients.Office.Excel.Functions.SPG(AZ84, "SP_COUNTRY_NAME")</f>
        <v>#INVALID COMPANY ID</v>
      </c>
      <c r="BD84" t="s">
        <v>389</v>
      </c>
      <c r="BE84">
        <v>109888</v>
      </c>
      <c r="BF84" t="s">
        <v>346</v>
      </c>
      <c r="BG84" s="11">
        <v>0.1</v>
      </c>
      <c r="BH84" s="9" t="str">
        <f>_xll.SNL.Clients.Office.Excel.Functions.SPG(BE84, "SP_COUNTRY_NAME")</f>
        <v>USA</v>
      </c>
      <c r="BI84" t="s">
        <v>457</v>
      </c>
      <c r="BJ84">
        <v>110399</v>
      </c>
      <c r="BK84" t="s">
        <v>346</v>
      </c>
      <c r="BL84" s="11">
        <v>0.03</v>
      </c>
      <c r="BM84" s="9" t="str">
        <f>_xll.SNL.Clients.Office.Excel.Functions.SPG(BJ84, "SP_COUNTRY_NAME")</f>
        <v>USA</v>
      </c>
      <c r="BN84" t="s">
        <v>1044</v>
      </c>
      <c r="BO84">
        <v>4553851</v>
      </c>
      <c r="BP84" t="s">
        <v>346</v>
      </c>
      <c r="BQ84" s="11">
        <v>0.03</v>
      </c>
      <c r="BR84" s="9" t="str">
        <f>_xll.SNL.Clients.Office.Excel.Functions.SPG(BO84, "SP_COUNTRY_NAME")</f>
        <v>Switzerland</v>
      </c>
      <c r="BS84" t="s">
        <v>396</v>
      </c>
      <c r="BT84">
        <v>4119759</v>
      </c>
      <c r="BU84" t="s">
        <v>346</v>
      </c>
      <c r="BV84" s="11">
        <v>0.05</v>
      </c>
      <c r="BW84" s="9" t="str">
        <f>_xll.SNL.Clients.Office.Excel.Functions.SPG(BT84, "SP_COUNTRY_NAME")</f>
        <v>USA</v>
      </c>
      <c r="BX84" t="s">
        <v>731</v>
      </c>
      <c r="BY84">
        <v>4417406</v>
      </c>
      <c r="BZ84" t="s">
        <v>346</v>
      </c>
      <c r="CA84" s="11">
        <v>0.05</v>
      </c>
      <c r="CB84" s="9" t="str">
        <f>_xll.SNL.Clients.Office.Excel.Functions.SPG(BY84, "SP_COUNTRY_NAME")</f>
        <v>China</v>
      </c>
      <c r="CC84" t="s">
        <v>389</v>
      </c>
      <c r="CD84">
        <v>109888</v>
      </c>
      <c r="CE84" t="s">
        <v>346</v>
      </c>
      <c r="CF84" s="11">
        <v>0.1</v>
      </c>
      <c r="CG84" s="9" t="str">
        <f>_xll.SNL.Clients.Office.Excel.Functions.SPG(CD84, "SP_COUNTRY_NAME")</f>
        <v>USA</v>
      </c>
      <c r="CH84" t="s">
        <v>1277</v>
      </c>
      <c r="CI84" t="s">
        <v>300</v>
      </c>
      <c r="CJ84" t="s">
        <v>361</v>
      </c>
      <c r="CK84" s="11">
        <v>0.04</v>
      </c>
      <c r="CL84" s="9" t="str">
        <f>_xll.SNL.Clients.Office.Excel.Functions.SPG(CI84, "SP_COUNTRY_NAME")</f>
        <v>China</v>
      </c>
      <c r="CM84" t="s">
        <v>1691</v>
      </c>
      <c r="CN84">
        <v>4115177</v>
      </c>
      <c r="CO84" t="s">
        <v>366</v>
      </c>
      <c r="CP84" s="11">
        <v>0.08</v>
      </c>
      <c r="CQ84" s="9" t="str">
        <f>_xll.SNL.Clients.Office.Excel.Functions.SPG(CN84, "SP_COUNTRY_NAME")</f>
        <v>USA</v>
      </c>
      <c r="CV84" s="9" t="str">
        <f>_xll.SNL.Clients.Office.Excel.Functions.SPG(CS84, "SP_COUNTRY_NAME")</f>
        <v>#INVALID COMPANY ID</v>
      </c>
      <c r="DA84" s="9" t="str">
        <f>_xll.SNL.Clients.Office.Excel.Functions.SPG(CX84, "SP_COUNTRY_NAME")</f>
        <v>#INVALID COMPANY ID</v>
      </c>
      <c r="DB84" t="s">
        <v>389</v>
      </c>
      <c r="DC84">
        <v>109888</v>
      </c>
      <c r="DD84" t="s">
        <v>346</v>
      </c>
      <c r="DE84" s="11">
        <v>0.1</v>
      </c>
      <c r="DF84" s="9" t="str">
        <f>_xll.SNL.Clients.Office.Excel.Functions.SPG(DC84, "SP_COUNTRY_NAME")</f>
        <v>USA</v>
      </c>
      <c r="DK84" s="9" t="str">
        <f>_xll.SNL.Clients.Office.Excel.Functions.SPG(DH84, "SP_COUNTRY_NAME")</f>
        <v>#INVALID COMPANY ID</v>
      </c>
      <c r="DL84" t="s">
        <v>389</v>
      </c>
      <c r="DM84">
        <v>109888</v>
      </c>
      <c r="DN84" t="s">
        <v>346</v>
      </c>
      <c r="DO84" s="11">
        <v>0.1</v>
      </c>
      <c r="DP84" s="9" t="str">
        <f>_xll.SNL.Clients.Office.Excel.Functions.SPG(DM84, "SP_COUNTRY_NAME")</f>
        <v>USA</v>
      </c>
      <c r="DU84" s="9" t="str">
        <f>_xll.SNL.Clients.Office.Excel.Functions.SPG(DR84, "SP_COUNTRY_NAME")</f>
        <v>#INVALID COMPANY ID</v>
      </c>
      <c r="DV84" t="s">
        <v>1207</v>
      </c>
      <c r="DW84">
        <v>5855000</v>
      </c>
      <c r="DX84" t="s">
        <v>346</v>
      </c>
      <c r="DY84" s="11">
        <v>0</v>
      </c>
      <c r="DZ84" s="9" t="str">
        <f>_xll.SNL.Clients.Office.Excel.Functions.SPG(DW84, "SP_COUNTRY_NAME")</f>
        <v>Germany</v>
      </c>
      <c r="EA84" t="s">
        <v>389</v>
      </c>
      <c r="EB84">
        <v>109888</v>
      </c>
      <c r="EC84" t="s">
        <v>346</v>
      </c>
      <c r="ED84" s="11">
        <v>0.1</v>
      </c>
      <c r="EE84" s="9" t="str">
        <f>_xll.SNL.Clients.Office.Excel.Functions.SPG(EB84, "SP_COUNTRY_NAME")</f>
        <v>USA</v>
      </c>
      <c r="EF84" t="s">
        <v>389</v>
      </c>
      <c r="EG84">
        <v>109888</v>
      </c>
      <c r="EH84" t="s">
        <v>346</v>
      </c>
      <c r="EI84" s="11">
        <v>0.1</v>
      </c>
      <c r="EJ84" s="9" t="str">
        <f>_xll.SNL.Clients.Office.Excel.Functions.SPG(EG84, "SP_COUNTRY_NAME")</f>
        <v>USA</v>
      </c>
      <c r="EO84" s="9" t="str">
        <f>_xll.SNL.Clients.Office.Excel.Functions.SPG(EL84, "SP_COUNTRY_NAME")</f>
        <v>#INVALID COMPANY ID</v>
      </c>
      <c r="EP84" t="s">
        <v>395</v>
      </c>
      <c r="EQ84">
        <v>4153606</v>
      </c>
      <c r="ER84" t="s">
        <v>346</v>
      </c>
      <c r="ES84" s="11">
        <v>0</v>
      </c>
      <c r="ET84" s="9" t="str">
        <f>_xll.SNL.Clients.Office.Excel.Functions.SPG(EQ84, "SP_COUNTRY_NAME")</f>
        <v>USA</v>
      </c>
      <c r="EY84" s="9" t="str">
        <f>_xll.SNL.Clients.Office.Excel.Functions.SPG(EV84, "SP_COUNTRY_NAME")</f>
        <v>#INVALID COMPANY ID</v>
      </c>
      <c r="FD84" s="9" t="str">
        <f>_xll.SNL.Clients.Office.Excel.Functions.SPG(FA84, "SP_COUNTRY_NAME")</f>
        <v>#INVALID COMPANY ID</v>
      </c>
      <c r="FI84" s="9" t="str">
        <f>_xll.SNL.Clients.Office.Excel.Functions.SPG(FF84, "SP_COUNTRY_NAME")</f>
        <v>#INVALID COMPANY ID</v>
      </c>
      <c r="FJ84" t="s">
        <v>458</v>
      </c>
      <c r="FK84">
        <v>109806</v>
      </c>
      <c r="FL84" t="s">
        <v>346</v>
      </c>
      <c r="FM84" s="11">
        <v>0.01</v>
      </c>
      <c r="FN84" s="9" t="str">
        <f>_xll.SNL.Clients.Office.Excel.Functions.SPG(FK84, "SP_COUNTRY_NAME")</f>
        <v>USA</v>
      </c>
      <c r="FS84" s="9" t="str">
        <f>_xll.SNL.Clients.Office.Excel.Functions.SPG(FP84, "SP_COUNTRY_NAME")</f>
        <v>#INVALID COMPANY ID</v>
      </c>
      <c r="FX84" s="9" t="str">
        <f>_xll.SNL.Clients.Office.Excel.Functions.SPG(FU84, "SP_COUNTRY_NAME")</f>
        <v>#INVALID COMPANY ID</v>
      </c>
      <c r="FY84" t="s">
        <v>389</v>
      </c>
      <c r="FZ84">
        <v>109888</v>
      </c>
      <c r="GA84" t="s">
        <v>346</v>
      </c>
      <c r="GB84" s="11">
        <v>0.1</v>
      </c>
      <c r="GC84" s="9" t="str">
        <f>_xll.SNL.Clients.Office.Excel.Functions.SPG(FZ84, "SP_COUNTRY_NAME")</f>
        <v>USA</v>
      </c>
      <c r="GH84" s="9" t="str">
        <f>_xll.SNL.Clients.Office.Excel.Functions.SPG(GE84, "SP_COUNTRY_NAME")</f>
        <v>#INVALID COMPANY ID</v>
      </c>
      <c r="GM84" s="9" t="str">
        <f>_xll.SNL.Clients.Office.Excel.Functions.SPG(GJ84, "SP_COUNTRY_NAME")</f>
        <v>#INVALID COMPANY ID</v>
      </c>
      <c r="GN84" t="s">
        <v>458</v>
      </c>
      <c r="GO84">
        <v>109806</v>
      </c>
      <c r="GP84" t="s">
        <v>346</v>
      </c>
      <c r="GQ84" s="11">
        <v>0.01</v>
      </c>
      <c r="GR84" s="9" t="str">
        <f>_xll.SNL.Clients.Office.Excel.Functions.SPG(GO84, "SP_COUNTRY_NAME")</f>
        <v>USA</v>
      </c>
      <c r="GS84" t="s">
        <v>1044</v>
      </c>
      <c r="GT84">
        <v>4553851</v>
      </c>
      <c r="GU84" t="s">
        <v>346</v>
      </c>
      <c r="GV84" s="11">
        <v>0.03</v>
      </c>
      <c r="GW84" s="9" t="str">
        <f>_xll.SNL.Clients.Office.Excel.Functions.SPG(GT84, "SP_COUNTRY_NAME")</f>
        <v>Switzerland</v>
      </c>
      <c r="GX84" t="s">
        <v>389</v>
      </c>
      <c r="GY84">
        <v>109888</v>
      </c>
      <c r="GZ84" t="s">
        <v>346</v>
      </c>
      <c r="HA84" s="11">
        <v>0.1</v>
      </c>
      <c r="HB84" s="9" t="str">
        <f>_xll.SNL.Clients.Office.Excel.Functions.SPG(GY84, "SP_COUNTRY_NAME")</f>
        <v>USA</v>
      </c>
      <c r="HG84" s="9" t="str">
        <f>_xll.SNL.Clients.Office.Excel.Functions.SPG(HD84, "SP_COUNTRY_NAME")</f>
        <v>#INVALID COMPANY ID</v>
      </c>
    </row>
    <row r="85" spans="5:215" x14ac:dyDescent="0.35">
      <c r="E85" s="9" t="str">
        <f>_xll.SNL.Clients.Office.Excel.Functions.SPG(B85, "SP_COUNTRY_NAME")</f>
        <v>#INVALID COMPANY ID</v>
      </c>
      <c r="F85" t="s">
        <v>407</v>
      </c>
      <c r="G85">
        <v>109754</v>
      </c>
      <c r="H85" t="s">
        <v>346</v>
      </c>
      <c r="I85" s="11">
        <v>0.01</v>
      </c>
      <c r="J85" s="9" t="str">
        <f>_xll.SNL.Clients.Office.Excel.Functions.SPG(G85, "SP_COUNTRY_NAME")</f>
        <v>USA</v>
      </c>
      <c r="K85" t="s">
        <v>669</v>
      </c>
      <c r="L85">
        <v>5860959</v>
      </c>
      <c r="M85" t="s">
        <v>346</v>
      </c>
      <c r="N85" s="11">
        <v>0</v>
      </c>
      <c r="O85" s="9" t="str">
        <f>_xll.SNL.Clients.Office.Excel.Functions.SPG(L85, "SP_COUNTRY_NAME")</f>
        <v>China</v>
      </c>
      <c r="T85" s="9" t="str">
        <f>_xll.SNL.Clients.Office.Excel.Functions.SPG(Q85, "SP_COUNTRY_NAME")</f>
        <v>#INVALID COMPANY ID</v>
      </c>
      <c r="U85" t="s">
        <v>393</v>
      </c>
      <c r="V85">
        <v>4723508</v>
      </c>
      <c r="W85" t="s">
        <v>346</v>
      </c>
      <c r="X85" s="11">
        <v>0.05</v>
      </c>
      <c r="Y85" s="9" t="str">
        <f>_xll.SNL.Clients.Office.Excel.Functions.SPG(V85, "SP_COUNTRY_NAME")</f>
        <v>United Kingdom</v>
      </c>
      <c r="Z85" t="s">
        <v>669</v>
      </c>
      <c r="AA85">
        <v>5860959</v>
      </c>
      <c r="AB85" t="s">
        <v>346</v>
      </c>
      <c r="AC85" s="11">
        <v>0</v>
      </c>
      <c r="AD85" s="9" t="str">
        <f>_xll.SNL.Clients.Office.Excel.Functions.SPG(AA85, "SP_COUNTRY_NAME")</f>
        <v>China</v>
      </c>
      <c r="AE85" t="s">
        <v>492</v>
      </c>
      <c r="AF85">
        <v>110674</v>
      </c>
      <c r="AG85" t="s">
        <v>346</v>
      </c>
      <c r="AH85" s="11">
        <v>0.01</v>
      </c>
      <c r="AI85" s="9" t="str">
        <f>_xll.SNL.Clients.Office.Excel.Functions.SPG(AF85, "SP_COUNTRY_NAME")</f>
        <v>USA</v>
      </c>
      <c r="AN85" s="9" t="str">
        <f>_xll.SNL.Clients.Office.Excel.Functions.SPG(AK85, "SP_COUNTRY_NAME")</f>
        <v>#INVALID COMPANY ID</v>
      </c>
      <c r="AO85" t="s">
        <v>1278</v>
      </c>
      <c r="AP85">
        <v>7496233</v>
      </c>
      <c r="AQ85" t="s">
        <v>346</v>
      </c>
      <c r="AR85" s="11">
        <v>0.04</v>
      </c>
      <c r="AS85" s="9" t="str">
        <f>_xll.SNL.Clients.Office.Excel.Functions.SPG(AP85, "SP_COUNTRY_NAME")</f>
        <v>South Africa</v>
      </c>
      <c r="AX85" s="9" t="str">
        <f>_xll.SNL.Clients.Office.Excel.Functions.SPG(AU85, "SP_COUNTRY_NAME")</f>
        <v>#INVALID COMPANY ID</v>
      </c>
      <c r="BC85" s="9" t="str">
        <f>_xll.SNL.Clients.Office.Excel.Functions.SPG(AZ85, "SP_COUNTRY_NAME")</f>
        <v>#INVALID COMPANY ID</v>
      </c>
      <c r="BD85" t="s">
        <v>1257</v>
      </c>
      <c r="BE85">
        <v>4213130</v>
      </c>
      <c r="BF85" t="s">
        <v>346</v>
      </c>
      <c r="BG85" s="11">
        <v>0.1</v>
      </c>
      <c r="BH85" s="9" t="str">
        <f>_xll.SNL.Clients.Office.Excel.Functions.SPG(BE85, "SP_COUNTRY_NAME")</f>
        <v>South Africa</v>
      </c>
      <c r="BI85" t="s">
        <v>460</v>
      </c>
      <c r="BJ85">
        <v>4337989</v>
      </c>
      <c r="BK85" t="s">
        <v>346</v>
      </c>
      <c r="BL85" s="11">
        <v>0.03</v>
      </c>
      <c r="BM85" s="9" t="str">
        <f>_xll.SNL.Clients.Office.Excel.Functions.SPG(BJ85, "SP_COUNTRY_NAME")</f>
        <v>USA</v>
      </c>
      <c r="BN85" t="s">
        <v>678</v>
      </c>
      <c r="BO85">
        <v>5877799</v>
      </c>
      <c r="BP85" t="s">
        <v>346</v>
      </c>
      <c r="BQ85" s="11">
        <v>0.03</v>
      </c>
      <c r="BR85" s="9" t="str">
        <f>_xll.SNL.Clients.Office.Excel.Functions.SPG(BO85, "SP_COUNTRY_NAME")</f>
        <v>China</v>
      </c>
      <c r="BS85" t="s">
        <v>959</v>
      </c>
      <c r="BT85">
        <v>4026923</v>
      </c>
      <c r="BU85" t="s">
        <v>346</v>
      </c>
      <c r="BV85" s="11">
        <v>0.05</v>
      </c>
      <c r="BW85" s="9" t="str">
        <f>_xll.SNL.Clients.Office.Excel.Functions.SPG(BT85, "SP_COUNTRY_NAME")</f>
        <v>USA</v>
      </c>
      <c r="BX85" t="s">
        <v>393</v>
      </c>
      <c r="BY85">
        <v>4723508</v>
      </c>
      <c r="BZ85" t="s">
        <v>346</v>
      </c>
      <c r="CA85" s="11">
        <v>0.05</v>
      </c>
      <c r="CB85" s="9" t="str">
        <f>_xll.SNL.Clients.Office.Excel.Functions.SPG(BY85, "SP_COUNTRY_NAME")</f>
        <v>United Kingdom</v>
      </c>
      <c r="CC85" t="s">
        <v>1630</v>
      </c>
      <c r="CD85">
        <v>4275067</v>
      </c>
      <c r="CE85" t="s">
        <v>346</v>
      </c>
      <c r="CF85" s="11">
        <v>0.1</v>
      </c>
      <c r="CG85" s="9" t="str">
        <f>_xll.SNL.Clients.Office.Excel.Functions.SPG(CD85, "SP_COUNTRY_NAME")</f>
        <v>Brazil</v>
      </c>
      <c r="CH85" t="s">
        <v>1278</v>
      </c>
      <c r="CI85">
        <v>7496233</v>
      </c>
      <c r="CJ85" t="s">
        <v>346</v>
      </c>
      <c r="CK85" s="11">
        <v>0.04</v>
      </c>
      <c r="CL85" s="9" t="str">
        <f>_xll.SNL.Clients.Office.Excel.Functions.SPG(CI85, "SP_COUNTRY_NAME")</f>
        <v>South Africa</v>
      </c>
      <c r="CM85" t="s">
        <v>391</v>
      </c>
      <c r="CN85">
        <v>13582910</v>
      </c>
      <c r="CO85" t="s">
        <v>346</v>
      </c>
      <c r="CP85" s="11">
        <v>0.08</v>
      </c>
      <c r="CQ85" s="9" t="str">
        <f>_xll.SNL.Clients.Office.Excel.Functions.SPG(CN85, "SP_COUNTRY_NAME")</f>
        <v>France</v>
      </c>
      <c r="CV85" s="9" t="str">
        <f>_xll.SNL.Clients.Office.Excel.Functions.SPG(CS85, "SP_COUNTRY_NAME")</f>
        <v>#INVALID COMPANY ID</v>
      </c>
      <c r="DA85" s="9" t="str">
        <f>_xll.SNL.Clients.Office.Excel.Functions.SPG(CX85, "SP_COUNTRY_NAME")</f>
        <v>#INVALID COMPANY ID</v>
      </c>
      <c r="DB85" t="s">
        <v>1257</v>
      </c>
      <c r="DC85">
        <v>4213130</v>
      </c>
      <c r="DD85" t="s">
        <v>346</v>
      </c>
      <c r="DE85" s="11">
        <v>0.1</v>
      </c>
      <c r="DF85" s="9" t="str">
        <f>_xll.SNL.Clients.Office.Excel.Functions.SPG(DC85, "SP_COUNTRY_NAME")</f>
        <v>South Africa</v>
      </c>
      <c r="DK85" s="9" t="str">
        <f>_xll.SNL.Clients.Office.Excel.Functions.SPG(DH85, "SP_COUNTRY_NAME")</f>
        <v>#INVALID COMPANY ID</v>
      </c>
      <c r="DL85" t="s">
        <v>1257</v>
      </c>
      <c r="DM85">
        <v>4213130</v>
      </c>
      <c r="DN85" t="s">
        <v>346</v>
      </c>
      <c r="DO85" s="11">
        <v>0.1</v>
      </c>
      <c r="DP85" s="9" t="str">
        <f>_xll.SNL.Clients.Office.Excel.Functions.SPG(DM85, "SP_COUNTRY_NAME")</f>
        <v>South Africa</v>
      </c>
      <c r="DU85" s="9" t="str">
        <f>_xll.SNL.Clients.Office.Excel.Functions.SPG(DR85, "SP_COUNTRY_NAME")</f>
        <v>#INVALID COMPANY ID</v>
      </c>
      <c r="DV85" t="s">
        <v>394</v>
      </c>
      <c r="DW85">
        <v>4048695</v>
      </c>
      <c r="DX85" t="s">
        <v>346</v>
      </c>
      <c r="DY85" s="11">
        <v>0</v>
      </c>
      <c r="DZ85" s="9" t="str">
        <f>_xll.SNL.Clients.Office.Excel.Functions.SPG(DW85, "SP_COUNTRY_NAME")</f>
        <v>USA</v>
      </c>
      <c r="EA85" t="s">
        <v>1630</v>
      </c>
      <c r="EB85">
        <v>4275067</v>
      </c>
      <c r="EC85" t="s">
        <v>346</v>
      </c>
      <c r="ED85" s="11">
        <v>0.1</v>
      </c>
      <c r="EE85" s="9" t="str">
        <f>_xll.SNL.Clients.Office.Excel.Functions.SPG(EB85, "SP_COUNTRY_NAME")</f>
        <v>Brazil</v>
      </c>
      <c r="EF85" t="s">
        <v>1257</v>
      </c>
      <c r="EG85">
        <v>4213130</v>
      </c>
      <c r="EH85" t="s">
        <v>346</v>
      </c>
      <c r="EI85" s="11">
        <v>0.1</v>
      </c>
      <c r="EJ85" s="9" t="str">
        <f>_xll.SNL.Clients.Office.Excel.Functions.SPG(EG85, "SP_COUNTRY_NAME")</f>
        <v>South Africa</v>
      </c>
      <c r="EO85" s="9" t="str">
        <f>_xll.SNL.Clients.Office.Excel.Functions.SPG(EL85, "SP_COUNTRY_NAME")</f>
        <v>#INVALID COMPANY ID</v>
      </c>
      <c r="EP85" t="s">
        <v>658</v>
      </c>
      <c r="EQ85">
        <v>4325258</v>
      </c>
      <c r="ER85" t="s">
        <v>346</v>
      </c>
      <c r="ES85" s="11">
        <v>0</v>
      </c>
      <c r="ET85" s="9" t="str">
        <f>_xll.SNL.Clients.Office.Excel.Functions.SPG(EQ85, "SP_COUNTRY_NAME")</f>
        <v>China</v>
      </c>
      <c r="EY85" s="9" t="str">
        <f>_xll.SNL.Clients.Office.Excel.Functions.SPG(EV85, "SP_COUNTRY_NAME")</f>
        <v>#INVALID COMPANY ID</v>
      </c>
      <c r="FD85" s="9" t="str">
        <f>_xll.SNL.Clients.Office.Excel.Functions.SPG(FA85, "SP_COUNTRY_NAME")</f>
        <v>#INVALID COMPANY ID</v>
      </c>
      <c r="FI85" s="9" t="str">
        <f>_xll.SNL.Clients.Office.Excel.Functions.SPG(FF85, "SP_COUNTRY_NAME")</f>
        <v>#INVALID COMPANY ID</v>
      </c>
      <c r="FJ85" t="s">
        <v>386</v>
      </c>
      <c r="FK85">
        <v>4145085</v>
      </c>
      <c r="FL85" t="s">
        <v>346</v>
      </c>
      <c r="FM85" s="11">
        <v>0.01</v>
      </c>
      <c r="FN85" s="9" t="str">
        <f>_xll.SNL.Clients.Office.Excel.Functions.SPG(FK85, "SP_COUNTRY_NAME")</f>
        <v>United Kingdom</v>
      </c>
      <c r="FS85" s="9" t="str">
        <f>_xll.SNL.Clients.Office.Excel.Functions.SPG(FP85, "SP_COUNTRY_NAME")</f>
        <v>#INVALID COMPANY ID</v>
      </c>
      <c r="FX85" s="9" t="str">
        <f>_xll.SNL.Clients.Office.Excel.Functions.SPG(FU85, "SP_COUNTRY_NAME")</f>
        <v>#INVALID COMPANY ID</v>
      </c>
      <c r="FY85" t="s">
        <v>1257</v>
      </c>
      <c r="FZ85">
        <v>4213130</v>
      </c>
      <c r="GA85" t="s">
        <v>346</v>
      </c>
      <c r="GB85" s="11">
        <v>0.1</v>
      </c>
      <c r="GC85" s="9" t="str">
        <f>_xll.SNL.Clients.Office.Excel.Functions.SPG(FZ85, "SP_COUNTRY_NAME")</f>
        <v>South Africa</v>
      </c>
      <c r="GH85" s="9" t="str">
        <f>_xll.SNL.Clients.Office.Excel.Functions.SPG(GE85, "SP_COUNTRY_NAME")</f>
        <v>#INVALID COMPANY ID</v>
      </c>
      <c r="GM85" s="9" t="str">
        <f>_xll.SNL.Clients.Office.Excel.Functions.SPG(GJ85, "SP_COUNTRY_NAME")</f>
        <v>#INVALID COMPANY ID</v>
      </c>
      <c r="GN85" t="s">
        <v>386</v>
      </c>
      <c r="GO85">
        <v>4145085</v>
      </c>
      <c r="GP85" t="s">
        <v>346</v>
      </c>
      <c r="GQ85" s="11">
        <v>0.01</v>
      </c>
      <c r="GR85" s="9" t="str">
        <f>_xll.SNL.Clients.Office.Excel.Functions.SPG(GO85, "SP_COUNTRY_NAME")</f>
        <v>United Kingdom</v>
      </c>
      <c r="GS85" t="s">
        <v>678</v>
      </c>
      <c r="GT85">
        <v>5877799</v>
      </c>
      <c r="GU85" t="s">
        <v>346</v>
      </c>
      <c r="GV85" s="11">
        <v>0.03</v>
      </c>
      <c r="GW85" s="9" t="str">
        <f>_xll.SNL.Clients.Office.Excel.Functions.SPG(GT85, "SP_COUNTRY_NAME")</f>
        <v>China</v>
      </c>
      <c r="GX85" t="s">
        <v>1630</v>
      </c>
      <c r="GY85">
        <v>4275067</v>
      </c>
      <c r="GZ85" t="s">
        <v>346</v>
      </c>
      <c r="HA85" s="11">
        <v>0.1</v>
      </c>
      <c r="HB85" s="9" t="str">
        <f>_xll.SNL.Clients.Office.Excel.Functions.SPG(GY85, "SP_COUNTRY_NAME")</f>
        <v>Brazil</v>
      </c>
      <c r="HG85" s="9" t="str">
        <f>_xll.SNL.Clients.Office.Excel.Functions.SPG(HD85, "SP_COUNTRY_NAME")</f>
        <v>#INVALID COMPANY ID</v>
      </c>
    </row>
    <row r="86" spans="5:215" x14ac:dyDescent="0.35">
      <c r="E86" s="9" t="str">
        <f>_xll.SNL.Clients.Office.Excel.Functions.SPG(B86, "SP_COUNTRY_NAME")</f>
        <v>#INVALID COMPANY ID</v>
      </c>
      <c r="F86" t="s">
        <v>477</v>
      </c>
      <c r="G86">
        <v>4119790</v>
      </c>
      <c r="H86" t="s">
        <v>346</v>
      </c>
      <c r="I86" s="11">
        <v>0.01</v>
      </c>
      <c r="J86" s="9" t="str">
        <f>_xll.SNL.Clients.Office.Excel.Functions.SPG(G86, "SP_COUNTRY_NAME")</f>
        <v>USA</v>
      </c>
      <c r="K86" t="s">
        <v>405</v>
      </c>
      <c r="L86">
        <v>4035990</v>
      </c>
      <c r="M86" t="s">
        <v>346</v>
      </c>
      <c r="N86" s="11">
        <v>0</v>
      </c>
      <c r="O86" s="9" t="str">
        <f>_xll.SNL.Clients.Office.Excel.Functions.SPG(L86, "SP_COUNTRY_NAME")</f>
        <v>Canada</v>
      </c>
      <c r="T86" s="9" t="str">
        <f>_xll.SNL.Clients.Office.Excel.Functions.SPG(Q86, "SP_COUNTRY_NAME")</f>
        <v>#INVALID COMPANY ID</v>
      </c>
      <c r="U86" t="s">
        <v>732</v>
      </c>
      <c r="V86">
        <v>4139789</v>
      </c>
      <c r="W86" t="s">
        <v>346</v>
      </c>
      <c r="X86" s="11">
        <v>0.05</v>
      </c>
      <c r="Y86" s="9" t="str">
        <f>_xll.SNL.Clients.Office.Excel.Functions.SPG(V86, "SP_COUNTRY_NAME")</f>
        <v>China</v>
      </c>
      <c r="Z86" t="s">
        <v>405</v>
      </c>
      <c r="AA86">
        <v>4035990</v>
      </c>
      <c r="AB86" t="s">
        <v>346</v>
      </c>
      <c r="AC86" s="11">
        <v>0</v>
      </c>
      <c r="AD86" s="9" t="str">
        <f>_xll.SNL.Clients.Office.Excel.Functions.SPG(AA86, "SP_COUNTRY_NAME")</f>
        <v>Canada</v>
      </c>
      <c r="AE86" t="s">
        <v>1131</v>
      </c>
      <c r="AF86">
        <v>4138997</v>
      </c>
      <c r="AG86" t="s">
        <v>346</v>
      </c>
      <c r="AH86" s="11">
        <v>0.01</v>
      </c>
      <c r="AI86" s="9" t="str">
        <f>_xll.SNL.Clients.Office.Excel.Functions.SPG(AF86, "SP_COUNTRY_NAME")</f>
        <v>Spain</v>
      </c>
      <c r="AN86" s="9" t="str">
        <f>_xll.SNL.Clients.Office.Excel.Functions.SPG(AK86, "SP_COUNTRY_NAME")</f>
        <v>#INVALID COMPANY ID</v>
      </c>
      <c r="AO86" t="s">
        <v>1279</v>
      </c>
      <c r="AP86">
        <v>4237662</v>
      </c>
      <c r="AQ86" t="s">
        <v>346</v>
      </c>
      <c r="AR86" s="11">
        <v>0.04</v>
      </c>
      <c r="AS86" s="9" t="str">
        <f>_xll.SNL.Clients.Office.Excel.Functions.SPG(AP86, "SP_COUNTRY_NAME")</f>
        <v>South Africa</v>
      </c>
      <c r="AX86" s="9" t="str">
        <f>_xll.SNL.Clients.Office.Excel.Functions.SPG(AU86, "SP_COUNTRY_NAME")</f>
        <v>#INVALID COMPANY ID</v>
      </c>
      <c r="BC86" s="9" t="str">
        <f>_xll.SNL.Clients.Office.Excel.Functions.SPG(AZ86, "SP_COUNTRY_NAME")</f>
        <v>#INVALID COMPANY ID</v>
      </c>
      <c r="BD86" t="s">
        <v>1410</v>
      </c>
      <c r="BE86">
        <v>4086518</v>
      </c>
      <c r="BF86" t="s">
        <v>366</v>
      </c>
      <c r="BG86" s="11">
        <v>0.1</v>
      </c>
      <c r="BH86" s="9" t="str">
        <f>_xll.SNL.Clients.Office.Excel.Functions.SPG(BE86, "SP_COUNTRY_NAME")</f>
        <v>Japan</v>
      </c>
      <c r="BI86" t="s">
        <v>652</v>
      </c>
      <c r="BJ86">
        <v>4134208</v>
      </c>
      <c r="BK86" t="s">
        <v>346</v>
      </c>
      <c r="BL86" s="11">
        <v>0.03</v>
      </c>
      <c r="BM86" s="9" t="str">
        <f>_xll.SNL.Clients.Office.Excel.Functions.SPG(BJ86, "SP_COUNTRY_NAME")</f>
        <v>USA</v>
      </c>
      <c r="BN86" t="s">
        <v>429</v>
      </c>
      <c r="BO86">
        <v>4607441</v>
      </c>
      <c r="BP86" t="s">
        <v>346</v>
      </c>
      <c r="BQ86" s="11">
        <v>0.03</v>
      </c>
      <c r="BR86" s="9" t="str">
        <f>_xll.SNL.Clients.Office.Excel.Functions.SPG(BO86, "SP_COUNTRY_NAME")</f>
        <v>Japan</v>
      </c>
      <c r="BS86" t="s">
        <v>351</v>
      </c>
      <c r="BT86">
        <v>111289</v>
      </c>
      <c r="BU86" t="s">
        <v>346</v>
      </c>
      <c r="BV86" s="11">
        <v>0.05</v>
      </c>
      <c r="BW86" s="9" t="str">
        <f>_xll.SNL.Clients.Office.Excel.Functions.SPG(BT86, "SP_COUNTRY_NAME")</f>
        <v>USA</v>
      </c>
      <c r="BX86" t="s">
        <v>732</v>
      </c>
      <c r="BY86">
        <v>4139789</v>
      </c>
      <c r="BZ86" t="s">
        <v>346</v>
      </c>
      <c r="CA86" s="11">
        <v>0.05</v>
      </c>
      <c r="CB86" s="9" t="str">
        <f>_xll.SNL.Clients.Office.Excel.Functions.SPG(BY86, "SP_COUNTRY_NAME")</f>
        <v>China</v>
      </c>
      <c r="CC86" t="s">
        <v>1631</v>
      </c>
      <c r="CD86">
        <v>4256115</v>
      </c>
      <c r="CE86" t="s">
        <v>364</v>
      </c>
      <c r="CF86" s="11">
        <v>0.09</v>
      </c>
      <c r="CG86" s="9" t="str">
        <f>_xll.SNL.Clients.Office.Excel.Functions.SPG(CD86, "SP_COUNTRY_NAME")</f>
        <v>USA</v>
      </c>
      <c r="CH86" t="s">
        <v>1279</v>
      </c>
      <c r="CI86">
        <v>4237662</v>
      </c>
      <c r="CJ86" t="s">
        <v>346</v>
      </c>
      <c r="CK86" s="11">
        <v>0.04</v>
      </c>
      <c r="CL86" s="9" t="str">
        <f>_xll.SNL.Clients.Office.Excel.Functions.SPG(CI86, "SP_COUNTRY_NAME")</f>
        <v>South Africa</v>
      </c>
      <c r="CM86" t="s">
        <v>1636</v>
      </c>
      <c r="CN86">
        <v>4677902</v>
      </c>
      <c r="CO86" t="s">
        <v>364</v>
      </c>
      <c r="CP86" s="11">
        <v>7.0000000000000007E-2</v>
      </c>
      <c r="CQ86" s="9" t="str">
        <f>_xll.SNL.Clients.Office.Excel.Functions.SPG(CN86, "SP_COUNTRY_NAME")</f>
        <v>USA</v>
      </c>
      <c r="CV86" s="9" t="str">
        <f>_xll.SNL.Clients.Office.Excel.Functions.SPG(CS86, "SP_COUNTRY_NAME")</f>
        <v>#INVALID COMPANY ID</v>
      </c>
      <c r="DA86" s="9" t="str">
        <f>_xll.SNL.Clients.Office.Excel.Functions.SPG(CX86, "SP_COUNTRY_NAME")</f>
        <v>#INVALID COMPANY ID</v>
      </c>
      <c r="DB86" t="s">
        <v>1410</v>
      </c>
      <c r="DC86">
        <v>4086518</v>
      </c>
      <c r="DD86" t="s">
        <v>366</v>
      </c>
      <c r="DE86" s="11">
        <v>0.1</v>
      </c>
      <c r="DF86" s="9" t="str">
        <f>_xll.SNL.Clients.Office.Excel.Functions.SPG(DC86, "SP_COUNTRY_NAME")</f>
        <v>Japan</v>
      </c>
      <c r="DK86" s="9" t="str">
        <f>_xll.SNL.Clients.Office.Excel.Functions.SPG(DH86, "SP_COUNTRY_NAME")</f>
        <v>#INVALID COMPANY ID</v>
      </c>
      <c r="DL86" t="s">
        <v>1410</v>
      </c>
      <c r="DM86">
        <v>4086518</v>
      </c>
      <c r="DN86" t="s">
        <v>366</v>
      </c>
      <c r="DO86" s="11">
        <v>0.1</v>
      </c>
      <c r="DP86" s="9" t="str">
        <f>_xll.SNL.Clients.Office.Excel.Functions.SPG(DM86, "SP_COUNTRY_NAME")</f>
        <v>Japan</v>
      </c>
      <c r="DU86" s="9" t="str">
        <f>_xll.SNL.Clients.Office.Excel.Functions.SPG(DR86, "SP_COUNTRY_NAME")</f>
        <v>#INVALID COMPANY ID</v>
      </c>
      <c r="DV86" t="s">
        <v>391</v>
      </c>
      <c r="DW86">
        <v>13582910</v>
      </c>
      <c r="DX86" t="s">
        <v>346</v>
      </c>
      <c r="DY86" s="11">
        <v>0</v>
      </c>
      <c r="DZ86" s="9" t="str">
        <f>_xll.SNL.Clients.Office.Excel.Functions.SPG(DW86, "SP_COUNTRY_NAME")</f>
        <v>France</v>
      </c>
      <c r="EA86" t="s">
        <v>1631</v>
      </c>
      <c r="EB86">
        <v>4256115</v>
      </c>
      <c r="EC86" t="s">
        <v>364</v>
      </c>
      <c r="ED86" s="11">
        <v>0.09</v>
      </c>
      <c r="EE86" s="9" t="str">
        <f>_xll.SNL.Clients.Office.Excel.Functions.SPG(EB86, "SP_COUNTRY_NAME")</f>
        <v>USA</v>
      </c>
      <c r="EF86" t="s">
        <v>1410</v>
      </c>
      <c r="EG86">
        <v>4086518</v>
      </c>
      <c r="EH86" t="s">
        <v>366</v>
      </c>
      <c r="EI86" s="11">
        <v>0.1</v>
      </c>
      <c r="EJ86" s="9" t="str">
        <f>_xll.SNL.Clients.Office.Excel.Functions.SPG(EG86, "SP_COUNTRY_NAME")</f>
        <v>Japan</v>
      </c>
      <c r="EO86" s="9" t="str">
        <f>_xll.SNL.Clients.Office.Excel.Functions.SPG(EL86, "SP_COUNTRY_NAME")</f>
        <v>#INVALID COMPANY ID</v>
      </c>
      <c r="EP86" t="s">
        <v>388</v>
      </c>
      <c r="EQ86">
        <v>4057506</v>
      </c>
      <c r="ER86" t="s">
        <v>346</v>
      </c>
      <c r="ES86" s="11">
        <v>0</v>
      </c>
      <c r="ET86" s="9" t="str">
        <f>_xll.SNL.Clients.Office.Excel.Functions.SPG(EQ86, "SP_COUNTRY_NAME")</f>
        <v>USA</v>
      </c>
      <c r="EY86" s="9" t="str">
        <f>_xll.SNL.Clients.Office.Excel.Functions.SPG(EV86, "SP_COUNTRY_NAME")</f>
        <v>#INVALID COMPANY ID</v>
      </c>
      <c r="FD86" s="9" t="str">
        <f>_xll.SNL.Clients.Office.Excel.Functions.SPG(FA86, "SP_COUNTRY_NAME")</f>
        <v>#INVALID COMPANY ID</v>
      </c>
      <c r="FI86" s="9" t="str">
        <f>_xll.SNL.Clients.Office.Excel.Functions.SPG(FF86, "SP_COUNTRY_NAME")</f>
        <v>#INVALID COMPANY ID</v>
      </c>
      <c r="FJ86" t="s">
        <v>356</v>
      </c>
      <c r="FK86">
        <v>4578944</v>
      </c>
      <c r="FL86" t="s">
        <v>346</v>
      </c>
      <c r="FM86" s="11">
        <v>0.01</v>
      </c>
      <c r="FN86" s="9" t="str">
        <f>_xll.SNL.Clients.Office.Excel.Functions.SPG(FK86, "SP_COUNTRY_NAME")</f>
        <v>Australia</v>
      </c>
      <c r="FS86" s="9" t="str">
        <f>_xll.SNL.Clients.Office.Excel.Functions.SPG(FP86, "SP_COUNTRY_NAME")</f>
        <v>#INVALID COMPANY ID</v>
      </c>
      <c r="FX86" s="9" t="str">
        <f>_xll.SNL.Clients.Office.Excel.Functions.SPG(FU86, "SP_COUNTRY_NAME")</f>
        <v>#INVALID COMPANY ID</v>
      </c>
      <c r="FY86" t="s">
        <v>1410</v>
      </c>
      <c r="FZ86">
        <v>4086518</v>
      </c>
      <c r="GA86" t="s">
        <v>366</v>
      </c>
      <c r="GB86" s="11">
        <v>0.1</v>
      </c>
      <c r="GC86" s="9" t="str">
        <f>_xll.SNL.Clients.Office.Excel.Functions.SPG(FZ86, "SP_COUNTRY_NAME")</f>
        <v>Japan</v>
      </c>
      <c r="GH86" s="9" t="str">
        <f>_xll.SNL.Clients.Office.Excel.Functions.SPG(GE86, "SP_COUNTRY_NAME")</f>
        <v>#INVALID COMPANY ID</v>
      </c>
      <c r="GM86" s="9" t="str">
        <f>_xll.SNL.Clients.Office.Excel.Functions.SPG(GJ86, "SP_COUNTRY_NAME")</f>
        <v>#INVALID COMPANY ID</v>
      </c>
      <c r="GN86" t="s">
        <v>356</v>
      </c>
      <c r="GO86">
        <v>4578944</v>
      </c>
      <c r="GP86" t="s">
        <v>346</v>
      </c>
      <c r="GQ86" s="11">
        <v>0.01</v>
      </c>
      <c r="GR86" s="9" t="str">
        <f>_xll.SNL.Clients.Office.Excel.Functions.SPG(GO86, "SP_COUNTRY_NAME")</f>
        <v>Australia</v>
      </c>
      <c r="GS86" t="s">
        <v>429</v>
      </c>
      <c r="GT86">
        <v>4607441</v>
      </c>
      <c r="GU86" t="s">
        <v>346</v>
      </c>
      <c r="GV86" s="11">
        <v>0.03</v>
      </c>
      <c r="GW86" s="9" t="str">
        <f>_xll.SNL.Clients.Office.Excel.Functions.SPG(GT86, "SP_COUNTRY_NAME")</f>
        <v>Japan</v>
      </c>
      <c r="GX86" t="s">
        <v>1631</v>
      </c>
      <c r="GY86">
        <v>4256115</v>
      </c>
      <c r="GZ86" t="s">
        <v>364</v>
      </c>
      <c r="HA86" s="11">
        <v>0.09</v>
      </c>
      <c r="HB86" s="9" t="str">
        <f>_xll.SNL.Clients.Office.Excel.Functions.SPG(GY86, "SP_COUNTRY_NAME")</f>
        <v>USA</v>
      </c>
      <c r="HG86" s="9" t="str">
        <f>_xll.SNL.Clients.Office.Excel.Functions.SPG(HD86, "SP_COUNTRY_NAME")</f>
        <v>#INVALID COMPANY ID</v>
      </c>
    </row>
    <row r="87" spans="5:215" x14ac:dyDescent="0.35">
      <c r="E87" s="9" t="str">
        <f>_xll.SNL.Clients.Office.Excel.Functions.SPG(B87, "SP_COUNTRY_NAME")</f>
        <v>#INVALID COMPANY ID</v>
      </c>
      <c r="F87" t="s">
        <v>478</v>
      </c>
      <c r="G87">
        <v>5852503</v>
      </c>
      <c r="H87" t="s">
        <v>346</v>
      </c>
      <c r="I87" s="11">
        <v>0.01</v>
      </c>
      <c r="J87" s="9" t="str">
        <f>_xll.SNL.Clients.Office.Excel.Functions.SPG(G87, "SP_COUNTRY_NAME")</f>
        <v>South Africa</v>
      </c>
      <c r="K87" t="s">
        <v>670</v>
      </c>
      <c r="L87">
        <v>4138799</v>
      </c>
      <c r="M87" t="s">
        <v>346</v>
      </c>
      <c r="N87" s="11">
        <v>0</v>
      </c>
      <c r="O87" s="9" t="str">
        <f>_xll.SNL.Clients.Office.Excel.Functions.SPG(L87, "SP_COUNTRY_NAME")</f>
        <v>China</v>
      </c>
      <c r="T87" s="9" t="str">
        <f>_xll.SNL.Clients.Office.Excel.Functions.SPG(Q87, "SP_COUNTRY_NAME")</f>
        <v>#INVALID COMPANY ID</v>
      </c>
      <c r="U87" t="s">
        <v>733</v>
      </c>
      <c r="V87">
        <v>5851125</v>
      </c>
      <c r="W87" t="s">
        <v>346</v>
      </c>
      <c r="X87" s="11">
        <v>0.04</v>
      </c>
      <c r="Y87" s="9" t="str">
        <f>_xll.SNL.Clients.Office.Excel.Functions.SPG(V87, "SP_COUNTRY_NAME")</f>
        <v>China</v>
      </c>
      <c r="Z87" t="s">
        <v>670</v>
      </c>
      <c r="AA87">
        <v>4138799</v>
      </c>
      <c r="AB87" t="s">
        <v>346</v>
      </c>
      <c r="AC87" s="11">
        <v>0</v>
      </c>
      <c r="AD87" s="9" t="str">
        <f>_xll.SNL.Clients.Office.Excel.Functions.SPG(AA87, "SP_COUNTRY_NAME")</f>
        <v>China</v>
      </c>
      <c r="AE87" t="s">
        <v>508</v>
      </c>
      <c r="AF87">
        <v>4399282</v>
      </c>
      <c r="AG87" t="s">
        <v>346</v>
      </c>
      <c r="AH87" s="11">
        <v>0.01</v>
      </c>
      <c r="AI87" s="9" t="str">
        <f>_xll.SNL.Clients.Office.Excel.Functions.SPG(AF87, "SP_COUNTRY_NAME")</f>
        <v>Canada</v>
      </c>
      <c r="AN87" s="9" t="str">
        <f>_xll.SNL.Clients.Office.Excel.Functions.SPG(AK87, "SP_COUNTRY_NAME")</f>
        <v>#INVALID COMPANY ID</v>
      </c>
      <c r="AO87" t="s">
        <v>415</v>
      </c>
      <c r="AP87">
        <v>110587</v>
      </c>
      <c r="AQ87" t="s">
        <v>346</v>
      </c>
      <c r="AR87" s="11">
        <v>0.04</v>
      </c>
      <c r="AS87" s="9" t="str">
        <f>_xll.SNL.Clients.Office.Excel.Functions.SPG(AP87, "SP_COUNTRY_NAME")</f>
        <v>USA</v>
      </c>
      <c r="AX87" s="9" t="str">
        <f>_xll.SNL.Clients.Office.Excel.Functions.SPG(AU87, "SP_COUNTRY_NAME")</f>
        <v>#INVALID COMPANY ID</v>
      </c>
      <c r="BC87" s="9" t="str">
        <f>_xll.SNL.Clients.Office.Excel.Functions.SPG(AZ87, "SP_COUNTRY_NAME")</f>
        <v>#INVALID COMPANY ID</v>
      </c>
      <c r="BD87" t="s">
        <v>1411</v>
      </c>
      <c r="BE87">
        <v>100515</v>
      </c>
      <c r="BF87" t="s">
        <v>366</v>
      </c>
      <c r="BG87" s="11">
        <v>0.1</v>
      </c>
      <c r="BH87" s="9" t="str">
        <f>_xll.SNL.Clients.Office.Excel.Functions.SPG(BE87, "SP_COUNTRY_NAME")</f>
        <v>Canada</v>
      </c>
      <c r="BI87" t="s">
        <v>972</v>
      </c>
      <c r="BJ87">
        <v>4578989</v>
      </c>
      <c r="BK87" t="s">
        <v>346</v>
      </c>
      <c r="BL87" s="11">
        <v>0.03</v>
      </c>
      <c r="BM87" s="9" t="str">
        <f>_xll.SNL.Clients.Office.Excel.Functions.SPG(BJ87, "SP_COUNTRY_NAME")</f>
        <v>Luxembourg</v>
      </c>
      <c r="BN87" t="s">
        <v>435</v>
      </c>
      <c r="BO87">
        <v>109789</v>
      </c>
      <c r="BP87" t="s">
        <v>346</v>
      </c>
      <c r="BQ87" s="11">
        <v>0.03</v>
      </c>
      <c r="BR87" s="9" t="str">
        <f>_xll.SNL.Clients.Office.Excel.Functions.SPG(BO87, "SP_COUNTRY_NAME")</f>
        <v>USA</v>
      </c>
      <c r="BS87" t="s">
        <v>672</v>
      </c>
      <c r="BT87">
        <v>4139739</v>
      </c>
      <c r="BU87" t="s">
        <v>346</v>
      </c>
      <c r="BV87" s="11">
        <v>0.05</v>
      </c>
      <c r="BW87" s="9" t="str">
        <f>_xll.SNL.Clients.Office.Excel.Functions.SPG(BT87, "SP_COUNTRY_NAME")</f>
        <v>China</v>
      </c>
      <c r="BX87" t="s">
        <v>733</v>
      </c>
      <c r="BY87">
        <v>5851125</v>
      </c>
      <c r="BZ87" t="s">
        <v>346</v>
      </c>
      <c r="CA87" s="11">
        <v>0.04</v>
      </c>
      <c r="CB87" s="9" t="str">
        <f>_xll.SNL.Clients.Office.Excel.Functions.SPG(BY87, "SP_COUNTRY_NAME")</f>
        <v>China</v>
      </c>
      <c r="CC87" t="s">
        <v>1632</v>
      </c>
      <c r="CD87">
        <v>111192</v>
      </c>
      <c r="CE87" t="s">
        <v>364</v>
      </c>
      <c r="CF87" s="11">
        <v>0.09</v>
      </c>
      <c r="CG87" s="9" t="str">
        <f>_xll.SNL.Clients.Office.Excel.Functions.SPG(CD87, "SP_COUNTRY_NAME")</f>
        <v>USA</v>
      </c>
      <c r="CH87" t="s">
        <v>415</v>
      </c>
      <c r="CI87">
        <v>110587</v>
      </c>
      <c r="CJ87" t="s">
        <v>346</v>
      </c>
      <c r="CK87" s="11">
        <v>0.04</v>
      </c>
      <c r="CL87" s="9" t="str">
        <f>_xll.SNL.Clients.Office.Excel.Functions.SPG(CI87, "SP_COUNTRY_NAME")</f>
        <v>USA</v>
      </c>
      <c r="CM87" t="s">
        <v>1652</v>
      </c>
      <c r="CN87">
        <v>4550887</v>
      </c>
      <c r="CO87" t="s">
        <v>364</v>
      </c>
      <c r="CP87" s="11">
        <v>7.0000000000000007E-2</v>
      </c>
      <c r="CQ87" s="9" t="str">
        <f>_xll.SNL.Clients.Office.Excel.Functions.SPG(CN87, "SP_COUNTRY_NAME")</f>
        <v>USA</v>
      </c>
      <c r="CV87" s="9" t="str">
        <f>_xll.SNL.Clients.Office.Excel.Functions.SPG(CS87, "SP_COUNTRY_NAME")</f>
        <v>#INVALID COMPANY ID</v>
      </c>
      <c r="DA87" s="9" t="str">
        <f>_xll.SNL.Clients.Office.Excel.Functions.SPG(CX87, "SP_COUNTRY_NAME")</f>
        <v>#INVALID COMPANY ID</v>
      </c>
      <c r="DB87" t="s">
        <v>1411</v>
      </c>
      <c r="DC87">
        <v>100515</v>
      </c>
      <c r="DD87" t="s">
        <v>366</v>
      </c>
      <c r="DE87" s="11">
        <v>0.1</v>
      </c>
      <c r="DF87" s="9" t="str">
        <f>_xll.SNL.Clients.Office.Excel.Functions.SPG(DC87, "SP_COUNTRY_NAME")</f>
        <v>Canada</v>
      </c>
      <c r="DK87" s="9" t="str">
        <f>_xll.SNL.Clients.Office.Excel.Functions.SPG(DH87, "SP_COUNTRY_NAME")</f>
        <v>#INVALID COMPANY ID</v>
      </c>
      <c r="DL87" t="s">
        <v>1411</v>
      </c>
      <c r="DM87">
        <v>100515</v>
      </c>
      <c r="DN87" t="s">
        <v>366</v>
      </c>
      <c r="DO87" s="11">
        <v>0.1</v>
      </c>
      <c r="DP87" s="9" t="str">
        <f>_xll.SNL.Clients.Office.Excel.Functions.SPG(DM87, "SP_COUNTRY_NAME")</f>
        <v>Canada</v>
      </c>
      <c r="DU87" s="9" t="str">
        <f>_xll.SNL.Clients.Office.Excel.Functions.SPG(DR87, "SP_COUNTRY_NAME")</f>
        <v>#INVALID COMPANY ID</v>
      </c>
      <c r="DV87" t="s">
        <v>401</v>
      </c>
      <c r="DW87">
        <v>4139862</v>
      </c>
      <c r="DX87" t="s">
        <v>346</v>
      </c>
      <c r="DY87" s="11">
        <v>0</v>
      </c>
      <c r="DZ87" s="9" t="str">
        <f>_xll.SNL.Clients.Office.Excel.Functions.SPG(DW87, "SP_COUNTRY_NAME")</f>
        <v>United Kingdom</v>
      </c>
      <c r="EA87" t="s">
        <v>1632</v>
      </c>
      <c r="EB87">
        <v>111192</v>
      </c>
      <c r="EC87" t="s">
        <v>364</v>
      </c>
      <c r="ED87" s="11">
        <v>0.09</v>
      </c>
      <c r="EE87" s="9" t="str">
        <f>_xll.SNL.Clients.Office.Excel.Functions.SPG(EB87, "SP_COUNTRY_NAME")</f>
        <v>USA</v>
      </c>
      <c r="EF87" t="s">
        <v>1411</v>
      </c>
      <c r="EG87">
        <v>100515</v>
      </c>
      <c r="EH87" t="s">
        <v>366</v>
      </c>
      <c r="EI87" s="11">
        <v>0.1</v>
      </c>
      <c r="EJ87" s="9" t="str">
        <f>_xll.SNL.Clients.Office.Excel.Functions.SPG(EG87, "SP_COUNTRY_NAME")</f>
        <v>Canada</v>
      </c>
      <c r="EO87" s="9" t="str">
        <f>_xll.SNL.Clients.Office.Excel.Functions.SPG(EL87, "SP_COUNTRY_NAME")</f>
        <v>#INVALID COMPANY ID</v>
      </c>
      <c r="EP87" t="s">
        <v>411</v>
      </c>
      <c r="EQ87">
        <v>4272373</v>
      </c>
      <c r="ER87" t="s">
        <v>346</v>
      </c>
      <c r="ES87" s="11">
        <v>0</v>
      </c>
      <c r="ET87" s="9" t="str">
        <f>_xll.SNL.Clients.Office.Excel.Functions.SPG(EQ87, "SP_COUNTRY_NAME")</f>
        <v>United Kingdom</v>
      </c>
      <c r="EY87" s="9" t="str">
        <f>_xll.SNL.Clients.Office.Excel.Functions.SPG(EV87, "SP_COUNTRY_NAME")</f>
        <v>#INVALID COMPANY ID</v>
      </c>
      <c r="FD87" s="9" t="str">
        <f>_xll.SNL.Clients.Office.Excel.Functions.SPG(FA87, "SP_COUNTRY_NAME")</f>
        <v>#INVALID COMPANY ID</v>
      </c>
      <c r="FI87" s="9" t="str">
        <f>_xll.SNL.Clients.Office.Excel.Functions.SPG(FF87, "SP_COUNTRY_NAME")</f>
        <v>#INVALID COMPANY ID</v>
      </c>
      <c r="FJ87" t="s">
        <v>552</v>
      </c>
      <c r="FK87">
        <v>4026973</v>
      </c>
      <c r="FL87" t="s">
        <v>346</v>
      </c>
      <c r="FM87" s="11">
        <v>0.01</v>
      </c>
      <c r="FN87" s="9" t="str">
        <f>_xll.SNL.Clients.Office.Excel.Functions.SPG(FK87, "SP_COUNTRY_NAME")</f>
        <v>United Kingdom</v>
      </c>
      <c r="FS87" s="9" t="str">
        <f>_xll.SNL.Clients.Office.Excel.Functions.SPG(FP87, "SP_COUNTRY_NAME")</f>
        <v>#INVALID COMPANY ID</v>
      </c>
      <c r="FX87" s="9" t="str">
        <f>_xll.SNL.Clients.Office.Excel.Functions.SPG(FU87, "SP_COUNTRY_NAME")</f>
        <v>#INVALID COMPANY ID</v>
      </c>
      <c r="FY87" t="s">
        <v>1411</v>
      </c>
      <c r="FZ87">
        <v>100515</v>
      </c>
      <c r="GA87" t="s">
        <v>366</v>
      </c>
      <c r="GB87" s="11">
        <v>0.1</v>
      </c>
      <c r="GC87" s="9" t="str">
        <f>_xll.SNL.Clients.Office.Excel.Functions.SPG(FZ87, "SP_COUNTRY_NAME")</f>
        <v>Canada</v>
      </c>
      <c r="GH87" s="9" t="str">
        <f>_xll.SNL.Clients.Office.Excel.Functions.SPG(GE87, "SP_COUNTRY_NAME")</f>
        <v>#INVALID COMPANY ID</v>
      </c>
      <c r="GM87" s="9" t="str">
        <f>_xll.SNL.Clients.Office.Excel.Functions.SPG(GJ87, "SP_COUNTRY_NAME")</f>
        <v>#INVALID COMPANY ID</v>
      </c>
      <c r="GN87" t="s">
        <v>552</v>
      </c>
      <c r="GO87">
        <v>4026973</v>
      </c>
      <c r="GP87" t="s">
        <v>346</v>
      </c>
      <c r="GQ87" s="11">
        <v>0.01</v>
      </c>
      <c r="GR87" s="9" t="str">
        <f>_xll.SNL.Clients.Office.Excel.Functions.SPG(GO87, "SP_COUNTRY_NAME")</f>
        <v>United Kingdom</v>
      </c>
      <c r="GS87" t="s">
        <v>435</v>
      </c>
      <c r="GT87">
        <v>109789</v>
      </c>
      <c r="GU87" t="s">
        <v>346</v>
      </c>
      <c r="GV87" s="11">
        <v>0.03</v>
      </c>
      <c r="GW87" s="9" t="str">
        <f>_xll.SNL.Clients.Office.Excel.Functions.SPG(GT87, "SP_COUNTRY_NAME")</f>
        <v>USA</v>
      </c>
      <c r="GX87" t="s">
        <v>1632</v>
      </c>
      <c r="GY87">
        <v>111192</v>
      </c>
      <c r="GZ87" t="s">
        <v>364</v>
      </c>
      <c r="HA87" s="11">
        <v>0.09</v>
      </c>
      <c r="HB87" s="9" t="str">
        <f>_xll.SNL.Clients.Office.Excel.Functions.SPG(GY87, "SP_COUNTRY_NAME")</f>
        <v>USA</v>
      </c>
      <c r="HG87" s="9" t="str">
        <f>_xll.SNL.Clients.Office.Excel.Functions.SPG(HD87, "SP_COUNTRY_NAME")</f>
        <v>#INVALID COMPANY ID</v>
      </c>
    </row>
    <row r="88" spans="5:215" x14ac:dyDescent="0.35">
      <c r="E88" s="9" t="str">
        <f>_xll.SNL.Clients.Office.Excel.Functions.SPG(B88, "SP_COUNTRY_NAME")</f>
        <v>#INVALID COMPANY ID</v>
      </c>
      <c r="F88" t="s">
        <v>479</v>
      </c>
      <c r="G88">
        <v>16073228</v>
      </c>
      <c r="H88" t="s">
        <v>346</v>
      </c>
      <c r="I88" s="11">
        <v>0.01</v>
      </c>
      <c r="J88" s="9" t="str">
        <f>_xll.SNL.Clients.Office.Excel.Functions.SPG(G88, "SP_COUNTRY_NAME")</f>
        <v>Germany</v>
      </c>
      <c r="K88" t="s">
        <v>401</v>
      </c>
      <c r="L88">
        <v>4139862</v>
      </c>
      <c r="M88" t="s">
        <v>346</v>
      </c>
      <c r="N88" s="11">
        <v>0</v>
      </c>
      <c r="O88" s="9" t="str">
        <f>_xll.SNL.Clients.Office.Excel.Functions.SPG(L88, "SP_COUNTRY_NAME")</f>
        <v>United Kingdom</v>
      </c>
      <c r="T88" s="9" t="str">
        <f>_xll.SNL.Clients.Office.Excel.Functions.SPG(Q88, "SP_COUNTRY_NAME")</f>
        <v>#INVALID COMPANY ID</v>
      </c>
      <c r="U88" t="s">
        <v>411</v>
      </c>
      <c r="V88">
        <v>4272373</v>
      </c>
      <c r="W88" t="s">
        <v>346</v>
      </c>
      <c r="X88" s="11">
        <v>0.04</v>
      </c>
      <c r="Y88" s="9" t="str">
        <f>_xll.SNL.Clients.Office.Excel.Functions.SPG(V88, "SP_COUNTRY_NAME")</f>
        <v>United Kingdom</v>
      </c>
      <c r="Z88" t="s">
        <v>401</v>
      </c>
      <c r="AA88">
        <v>4139862</v>
      </c>
      <c r="AB88" t="s">
        <v>346</v>
      </c>
      <c r="AC88" s="11">
        <v>0</v>
      </c>
      <c r="AD88" s="9" t="str">
        <f>_xll.SNL.Clients.Office.Excel.Functions.SPG(AA88, "SP_COUNTRY_NAME")</f>
        <v>United Kingdom</v>
      </c>
      <c r="AE88" t="s">
        <v>530</v>
      </c>
      <c r="AF88">
        <v>102729</v>
      </c>
      <c r="AG88" t="s">
        <v>346</v>
      </c>
      <c r="AH88" s="11">
        <v>0.01</v>
      </c>
      <c r="AI88" s="9" t="str">
        <f>_xll.SNL.Clients.Office.Excel.Functions.SPG(AF88, "SP_COUNTRY_NAME")</f>
        <v>USA</v>
      </c>
      <c r="AN88" s="9" t="str">
        <f>_xll.SNL.Clients.Office.Excel.Functions.SPG(AK88, "SP_COUNTRY_NAME")</f>
        <v>#INVALID COMPANY ID</v>
      </c>
      <c r="AO88" t="s">
        <v>1280</v>
      </c>
      <c r="AP88">
        <v>5818409</v>
      </c>
      <c r="AQ88" t="s">
        <v>364</v>
      </c>
      <c r="AR88" s="11">
        <v>0.04</v>
      </c>
      <c r="AS88" s="9" t="str">
        <f>_xll.SNL.Clients.Office.Excel.Functions.SPG(AP88, "SP_COUNTRY_NAME")</f>
        <v>South Africa</v>
      </c>
      <c r="AX88" s="9" t="str">
        <f>_xll.SNL.Clients.Office.Excel.Functions.SPG(AU88, "SP_COUNTRY_NAME")</f>
        <v>#INVALID COMPANY ID</v>
      </c>
      <c r="BC88" s="9" t="str">
        <f>_xll.SNL.Clients.Office.Excel.Functions.SPG(AZ88, "SP_COUNTRY_NAME")</f>
        <v>#INVALID COMPANY ID</v>
      </c>
      <c r="BD88" t="s">
        <v>461</v>
      </c>
      <c r="BE88">
        <v>4137912</v>
      </c>
      <c r="BF88" t="s">
        <v>346</v>
      </c>
      <c r="BG88" s="11">
        <v>0.1</v>
      </c>
      <c r="BH88" s="9" t="str">
        <f>_xll.SNL.Clients.Office.Excel.Functions.SPG(BE88, "SP_COUNTRY_NAME")</f>
        <v>Germany</v>
      </c>
      <c r="BI88" t="s">
        <v>437</v>
      </c>
      <c r="BJ88">
        <v>4102073</v>
      </c>
      <c r="BK88" t="s">
        <v>346</v>
      </c>
      <c r="BL88" s="11">
        <v>0.03</v>
      </c>
      <c r="BM88" s="9" t="str">
        <f>_xll.SNL.Clients.Office.Excel.Functions.SPG(BJ88, "SP_COUNTRY_NAME")</f>
        <v>USA</v>
      </c>
      <c r="BN88" t="s">
        <v>674</v>
      </c>
      <c r="BO88">
        <v>4345965</v>
      </c>
      <c r="BP88" t="s">
        <v>346</v>
      </c>
      <c r="BQ88" s="11">
        <v>0.03</v>
      </c>
      <c r="BR88" s="9" t="str">
        <f>_xll.SNL.Clients.Office.Excel.Functions.SPG(BO88, "SP_COUNTRY_NAME")</f>
        <v>China</v>
      </c>
      <c r="BS88" t="s">
        <v>714</v>
      </c>
      <c r="BT88">
        <v>4388745</v>
      </c>
      <c r="BU88" t="s">
        <v>346</v>
      </c>
      <c r="BV88" s="11">
        <v>0.05</v>
      </c>
      <c r="BW88" s="9" t="str">
        <f>_xll.SNL.Clients.Office.Excel.Functions.SPG(BT88, "SP_COUNTRY_NAME")</f>
        <v>Hong Kong</v>
      </c>
      <c r="BX88" t="s">
        <v>411</v>
      </c>
      <c r="BY88">
        <v>4272373</v>
      </c>
      <c r="BZ88" t="s">
        <v>346</v>
      </c>
      <c r="CA88" s="11">
        <v>0.04</v>
      </c>
      <c r="CB88" s="9" t="str">
        <f>_xll.SNL.Clients.Office.Excel.Functions.SPG(BY88, "SP_COUNTRY_NAME")</f>
        <v>United Kingdom</v>
      </c>
      <c r="CC88" t="s">
        <v>429</v>
      </c>
      <c r="CD88">
        <v>4607441</v>
      </c>
      <c r="CE88" t="s">
        <v>346</v>
      </c>
      <c r="CF88" s="11">
        <v>0.09</v>
      </c>
      <c r="CG88" s="9" t="str">
        <f>_xll.SNL.Clients.Office.Excel.Functions.SPG(CD88, "SP_COUNTRY_NAME")</f>
        <v>Japan</v>
      </c>
      <c r="CH88" t="s">
        <v>1280</v>
      </c>
      <c r="CI88">
        <v>5818409</v>
      </c>
      <c r="CJ88" t="s">
        <v>364</v>
      </c>
      <c r="CK88" s="11">
        <v>0.04</v>
      </c>
      <c r="CL88" s="9" t="str">
        <f>_xll.SNL.Clients.Office.Excel.Functions.SPG(CI88, "SP_COUNTRY_NAME")</f>
        <v>South Africa</v>
      </c>
      <c r="CM88" t="s">
        <v>406</v>
      </c>
      <c r="CN88">
        <v>4115698</v>
      </c>
      <c r="CO88" t="s">
        <v>346</v>
      </c>
      <c r="CP88" s="11">
        <v>7.0000000000000007E-2</v>
      </c>
      <c r="CQ88" s="9" t="str">
        <f>_xll.SNL.Clients.Office.Excel.Functions.SPG(CN88, "SP_COUNTRY_NAME")</f>
        <v>United Kingdom</v>
      </c>
      <c r="CV88" s="9" t="str">
        <f>_xll.SNL.Clients.Office.Excel.Functions.SPG(CS88, "SP_COUNTRY_NAME")</f>
        <v>#INVALID COMPANY ID</v>
      </c>
      <c r="DA88" s="9" t="str">
        <f>_xll.SNL.Clients.Office.Excel.Functions.SPG(CX88, "SP_COUNTRY_NAME")</f>
        <v>#INVALID COMPANY ID</v>
      </c>
      <c r="DB88" t="s">
        <v>461</v>
      </c>
      <c r="DC88">
        <v>4137912</v>
      </c>
      <c r="DD88" t="s">
        <v>346</v>
      </c>
      <c r="DE88" s="11">
        <v>0.1</v>
      </c>
      <c r="DF88" s="9" t="str">
        <f>_xll.SNL.Clients.Office.Excel.Functions.SPG(DC88, "SP_COUNTRY_NAME")</f>
        <v>Germany</v>
      </c>
      <c r="DK88" s="9" t="str">
        <f>_xll.SNL.Clients.Office.Excel.Functions.SPG(DH88, "SP_COUNTRY_NAME")</f>
        <v>#INVALID COMPANY ID</v>
      </c>
      <c r="DL88" t="s">
        <v>461</v>
      </c>
      <c r="DM88">
        <v>4137912</v>
      </c>
      <c r="DN88" t="s">
        <v>346</v>
      </c>
      <c r="DO88" s="11">
        <v>0.1</v>
      </c>
      <c r="DP88" s="9" t="str">
        <f>_xll.SNL.Clients.Office.Excel.Functions.SPG(DM88, "SP_COUNTRY_NAME")</f>
        <v>Germany</v>
      </c>
      <c r="DU88" s="9" t="str">
        <f>_xll.SNL.Clients.Office.Excel.Functions.SPG(DR88, "SP_COUNTRY_NAME")</f>
        <v>#INVALID COMPANY ID</v>
      </c>
      <c r="DV88" t="s">
        <v>419</v>
      </c>
      <c r="DW88">
        <v>4338202</v>
      </c>
      <c r="DX88" t="s">
        <v>346</v>
      </c>
      <c r="DY88" s="11">
        <v>0</v>
      </c>
      <c r="DZ88" s="9" t="str">
        <f>_xll.SNL.Clients.Office.Excel.Functions.SPG(DW88, "SP_COUNTRY_NAME")</f>
        <v>USA</v>
      </c>
      <c r="EA88" t="s">
        <v>429</v>
      </c>
      <c r="EB88">
        <v>4607441</v>
      </c>
      <c r="EC88" t="s">
        <v>346</v>
      </c>
      <c r="ED88" s="11">
        <v>0.09</v>
      </c>
      <c r="EE88" s="9" t="str">
        <f>_xll.SNL.Clients.Office.Excel.Functions.SPG(EB88, "SP_COUNTRY_NAME")</f>
        <v>Japan</v>
      </c>
      <c r="EF88" t="s">
        <v>461</v>
      </c>
      <c r="EG88">
        <v>4137912</v>
      </c>
      <c r="EH88" t="s">
        <v>346</v>
      </c>
      <c r="EI88" s="11">
        <v>0.1</v>
      </c>
      <c r="EJ88" s="9" t="str">
        <f>_xll.SNL.Clients.Office.Excel.Functions.SPG(EG88, "SP_COUNTRY_NAME")</f>
        <v>Germany</v>
      </c>
      <c r="EO88" s="9" t="str">
        <f>_xll.SNL.Clients.Office.Excel.Functions.SPG(EL88, "SP_COUNTRY_NAME")</f>
        <v>#INVALID COMPANY ID</v>
      </c>
      <c r="EP88" t="s">
        <v>423</v>
      </c>
      <c r="EQ88">
        <v>4318240</v>
      </c>
      <c r="ER88" t="s">
        <v>346</v>
      </c>
      <c r="ES88" s="11">
        <v>0</v>
      </c>
      <c r="ET88" s="9" t="str">
        <f>_xll.SNL.Clients.Office.Excel.Functions.SPG(EQ88, "SP_COUNTRY_NAME")</f>
        <v>Japan</v>
      </c>
      <c r="EY88" s="9" t="str">
        <f>_xll.SNL.Clients.Office.Excel.Functions.SPG(EV88, "SP_COUNTRY_NAME")</f>
        <v>#INVALID COMPANY ID</v>
      </c>
      <c r="FD88" s="9" t="str">
        <f>_xll.SNL.Clients.Office.Excel.Functions.SPG(FA88, "SP_COUNTRY_NAME")</f>
        <v>#INVALID COMPANY ID</v>
      </c>
      <c r="FI88" s="9" t="str">
        <f>_xll.SNL.Clients.Office.Excel.Functions.SPG(FF88, "SP_COUNTRY_NAME")</f>
        <v>#INVALID COMPANY ID</v>
      </c>
      <c r="FJ88" t="s">
        <v>444</v>
      </c>
      <c r="FK88">
        <v>109988</v>
      </c>
      <c r="FL88" t="s">
        <v>346</v>
      </c>
      <c r="FM88" s="11">
        <v>0.01</v>
      </c>
      <c r="FN88" s="9" t="str">
        <f>_xll.SNL.Clients.Office.Excel.Functions.SPG(FK88, "SP_COUNTRY_NAME")</f>
        <v>USA</v>
      </c>
      <c r="FS88" s="9" t="str">
        <f>_xll.SNL.Clients.Office.Excel.Functions.SPG(FP88, "SP_COUNTRY_NAME")</f>
        <v>#INVALID COMPANY ID</v>
      </c>
      <c r="FX88" s="9" t="str">
        <f>_xll.SNL.Clients.Office.Excel.Functions.SPG(FU88, "SP_COUNTRY_NAME")</f>
        <v>#INVALID COMPANY ID</v>
      </c>
      <c r="FY88" t="s">
        <v>461</v>
      </c>
      <c r="FZ88">
        <v>4137912</v>
      </c>
      <c r="GA88" t="s">
        <v>346</v>
      </c>
      <c r="GB88" s="11">
        <v>0.1</v>
      </c>
      <c r="GC88" s="9" t="str">
        <f>_xll.SNL.Clients.Office.Excel.Functions.SPG(FZ88, "SP_COUNTRY_NAME")</f>
        <v>Germany</v>
      </c>
      <c r="GH88" s="9" t="str">
        <f>_xll.SNL.Clients.Office.Excel.Functions.SPG(GE88, "SP_COUNTRY_NAME")</f>
        <v>#INVALID COMPANY ID</v>
      </c>
      <c r="GM88" s="9" t="str">
        <f>_xll.SNL.Clients.Office.Excel.Functions.SPG(GJ88, "SP_COUNTRY_NAME")</f>
        <v>#INVALID COMPANY ID</v>
      </c>
      <c r="GN88" t="s">
        <v>444</v>
      </c>
      <c r="GO88">
        <v>109988</v>
      </c>
      <c r="GP88" t="s">
        <v>346</v>
      </c>
      <c r="GQ88" s="11">
        <v>0.01</v>
      </c>
      <c r="GR88" s="9" t="str">
        <f>_xll.SNL.Clients.Office.Excel.Functions.SPG(GO88, "SP_COUNTRY_NAME")</f>
        <v>USA</v>
      </c>
      <c r="GS88" t="s">
        <v>674</v>
      </c>
      <c r="GT88">
        <v>4345965</v>
      </c>
      <c r="GU88" t="s">
        <v>346</v>
      </c>
      <c r="GV88" s="11">
        <v>0.03</v>
      </c>
      <c r="GW88" s="9" t="str">
        <f>_xll.SNL.Clients.Office.Excel.Functions.SPG(GT88, "SP_COUNTRY_NAME")</f>
        <v>China</v>
      </c>
      <c r="GX88" t="s">
        <v>429</v>
      </c>
      <c r="GY88">
        <v>4607441</v>
      </c>
      <c r="GZ88" t="s">
        <v>346</v>
      </c>
      <c r="HA88" s="11">
        <v>0.09</v>
      </c>
      <c r="HB88" s="9" t="str">
        <f>_xll.SNL.Clients.Office.Excel.Functions.SPG(GY88, "SP_COUNTRY_NAME")</f>
        <v>Japan</v>
      </c>
      <c r="HG88" s="9" t="str">
        <f>_xll.SNL.Clients.Office.Excel.Functions.SPG(HD88, "SP_COUNTRY_NAME")</f>
        <v>#INVALID COMPANY ID</v>
      </c>
    </row>
    <row r="89" spans="5:215" x14ac:dyDescent="0.35">
      <c r="E89" s="9" t="str">
        <f>_xll.SNL.Clients.Office.Excel.Functions.SPG(B89, "SP_COUNTRY_NAME")</f>
        <v>#INVALID COMPANY ID</v>
      </c>
      <c r="F89" t="s">
        <v>480</v>
      </c>
      <c r="G89">
        <v>4119651</v>
      </c>
      <c r="H89" t="s">
        <v>346</v>
      </c>
      <c r="I89" s="11">
        <v>0.01</v>
      </c>
      <c r="J89" s="9" t="str">
        <f>_xll.SNL.Clients.Office.Excel.Functions.SPG(G89, "SP_COUNTRY_NAME")</f>
        <v>USA</v>
      </c>
      <c r="K89" t="s">
        <v>509</v>
      </c>
      <c r="L89">
        <v>4226520</v>
      </c>
      <c r="M89" t="s">
        <v>346</v>
      </c>
      <c r="N89" s="11">
        <v>0</v>
      </c>
      <c r="O89" s="9" t="str">
        <f>_xll.SNL.Clients.Office.Excel.Functions.SPG(L89, "SP_COUNTRY_NAME")</f>
        <v>Canada</v>
      </c>
      <c r="T89" s="9" t="str">
        <f>_xll.SNL.Clients.Office.Excel.Functions.SPG(Q89, "SP_COUNTRY_NAME")</f>
        <v>#INVALID COMPANY ID</v>
      </c>
      <c r="U89" t="s">
        <v>415</v>
      </c>
      <c r="V89">
        <v>110587</v>
      </c>
      <c r="W89" t="s">
        <v>346</v>
      </c>
      <c r="X89" s="11">
        <v>0.04</v>
      </c>
      <c r="Y89" s="9" t="str">
        <f>_xll.SNL.Clients.Office.Excel.Functions.SPG(V89, "SP_COUNTRY_NAME")</f>
        <v>USA</v>
      </c>
      <c r="Z89" t="s">
        <v>509</v>
      </c>
      <c r="AA89">
        <v>4226520</v>
      </c>
      <c r="AB89" t="s">
        <v>346</v>
      </c>
      <c r="AC89" s="11">
        <v>0</v>
      </c>
      <c r="AD89" s="9" t="str">
        <f>_xll.SNL.Clients.Office.Excel.Functions.SPG(AA89, "SP_COUNTRY_NAME")</f>
        <v>Canada</v>
      </c>
      <c r="AE89" t="s">
        <v>443</v>
      </c>
      <c r="AF89">
        <v>110787</v>
      </c>
      <c r="AG89" t="s">
        <v>346</v>
      </c>
      <c r="AH89" s="11">
        <v>0.01</v>
      </c>
      <c r="AI89" s="9" t="str">
        <f>_xll.SNL.Clients.Office.Excel.Functions.SPG(AF89, "SP_COUNTRY_NAME")</f>
        <v>USA</v>
      </c>
      <c r="AN89" s="9" t="str">
        <f>_xll.SNL.Clients.Office.Excel.Functions.SPG(AK89, "SP_COUNTRY_NAME")</f>
        <v>#INVALID COMPANY ID</v>
      </c>
      <c r="AO89" t="s">
        <v>1111</v>
      </c>
      <c r="AP89">
        <v>4139331</v>
      </c>
      <c r="AQ89" t="s">
        <v>346</v>
      </c>
      <c r="AR89" s="11">
        <v>0.04</v>
      </c>
      <c r="AS89" s="9" t="str">
        <f>_xll.SNL.Clients.Office.Excel.Functions.SPG(AP89, "SP_COUNTRY_NAME")</f>
        <v>Switzerland</v>
      </c>
      <c r="AX89" s="9" t="str">
        <f>_xll.SNL.Clients.Office.Excel.Functions.SPG(AU89, "SP_COUNTRY_NAME")</f>
        <v>#INVALID COMPANY ID</v>
      </c>
      <c r="BC89" s="9" t="str">
        <f>_xll.SNL.Clients.Office.Excel.Functions.SPG(AZ89, "SP_COUNTRY_NAME")</f>
        <v>#INVALID COMPANY ID</v>
      </c>
      <c r="BD89" t="s">
        <v>576</v>
      </c>
      <c r="BE89">
        <v>4672091</v>
      </c>
      <c r="BF89" t="s">
        <v>300</v>
      </c>
      <c r="BG89" s="11">
        <v>0.09</v>
      </c>
      <c r="BH89" s="9" t="str">
        <f>_xll.SNL.Clients.Office.Excel.Functions.SPG(BE89, "SP_COUNTRY_NAME")</f>
        <v>South Africa</v>
      </c>
      <c r="BI89" t="s">
        <v>1563</v>
      </c>
      <c r="BJ89">
        <v>5779571</v>
      </c>
      <c r="BK89" t="s">
        <v>346</v>
      </c>
      <c r="BL89" s="11">
        <v>0.03</v>
      </c>
      <c r="BM89" s="9" t="str">
        <f>_xll.SNL.Clients.Office.Excel.Functions.SPG(BJ89, "SP_COUNTRY_NAME")</f>
        <v>Sweden</v>
      </c>
      <c r="BN89" t="s">
        <v>761</v>
      </c>
      <c r="BO89">
        <v>15102002</v>
      </c>
      <c r="BP89" t="s">
        <v>346</v>
      </c>
      <c r="BQ89" s="11">
        <v>0.02</v>
      </c>
      <c r="BR89" s="9" t="str">
        <f>_xll.SNL.Clients.Office.Excel.Functions.SPG(BO89, "SP_COUNTRY_NAME")</f>
        <v>China</v>
      </c>
      <c r="BS89" t="s">
        <v>808</v>
      </c>
      <c r="BT89">
        <v>4138631</v>
      </c>
      <c r="BU89" t="s">
        <v>346</v>
      </c>
      <c r="BV89" s="11">
        <v>0.04</v>
      </c>
      <c r="BW89" s="9" t="str">
        <f>_xll.SNL.Clients.Office.Excel.Functions.SPG(BT89, "SP_COUNTRY_NAME")</f>
        <v>China</v>
      </c>
      <c r="BX89" t="s">
        <v>415</v>
      </c>
      <c r="BY89">
        <v>110587</v>
      </c>
      <c r="BZ89" t="s">
        <v>346</v>
      </c>
      <c r="CA89" s="11">
        <v>0.04</v>
      </c>
      <c r="CB89" s="9" t="str">
        <f>_xll.SNL.Clients.Office.Excel.Functions.SPG(BY89, "SP_COUNTRY_NAME")</f>
        <v>USA</v>
      </c>
      <c r="CC89" t="s">
        <v>386</v>
      </c>
      <c r="CD89">
        <v>4145085</v>
      </c>
      <c r="CE89" t="s">
        <v>346</v>
      </c>
      <c r="CF89" s="11">
        <v>0.09</v>
      </c>
      <c r="CG89" s="9" t="str">
        <f>_xll.SNL.Clients.Office.Excel.Functions.SPG(CD89, "SP_COUNTRY_NAME")</f>
        <v>United Kingdom</v>
      </c>
      <c r="CH89" t="s">
        <v>1111</v>
      </c>
      <c r="CI89">
        <v>4139331</v>
      </c>
      <c r="CJ89" t="s">
        <v>346</v>
      </c>
      <c r="CK89" s="11">
        <v>0.04</v>
      </c>
      <c r="CL89" s="9" t="str">
        <f>_xll.SNL.Clients.Office.Excel.Functions.SPG(CI89, "SP_COUNTRY_NAME")</f>
        <v>Switzerland</v>
      </c>
      <c r="CM89" t="s">
        <v>1964</v>
      </c>
      <c r="CN89" t="s">
        <v>300</v>
      </c>
      <c r="CO89" t="s">
        <v>361</v>
      </c>
      <c r="CP89" s="11">
        <v>0.06</v>
      </c>
      <c r="CQ89" s="9" t="str">
        <f>_xll.SNL.Clients.Office.Excel.Functions.SPG(CN89, "SP_COUNTRY_NAME")</f>
        <v>China</v>
      </c>
      <c r="CV89" s="9" t="str">
        <f>_xll.SNL.Clients.Office.Excel.Functions.SPG(CS89, "SP_COUNTRY_NAME")</f>
        <v>#INVALID COMPANY ID</v>
      </c>
      <c r="DA89" s="9" t="str">
        <f>_xll.SNL.Clients.Office.Excel.Functions.SPG(CX89, "SP_COUNTRY_NAME")</f>
        <v>#INVALID COMPANY ID</v>
      </c>
      <c r="DB89" t="s">
        <v>576</v>
      </c>
      <c r="DC89">
        <v>4672091</v>
      </c>
      <c r="DD89" t="s">
        <v>300</v>
      </c>
      <c r="DE89" s="11">
        <v>0.09</v>
      </c>
      <c r="DF89" s="9" t="str">
        <f>_xll.SNL.Clients.Office.Excel.Functions.SPG(DC89, "SP_COUNTRY_NAME")</f>
        <v>South Africa</v>
      </c>
      <c r="DK89" s="9" t="str">
        <f>_xll.SNL.Clients.Office.Excel.Functions.SPG(DH89, "SP_COUNTRY_NAME")</f>
        <v>#INVALID COMPANY ID</v>
      </c>
      <c r="DL89" t="s">
        <v>576</v>
      </c>
      <c r="DM89">
        <v>4672091</v>
      </c>
      <c r="DN89" t="s">
        <v>300</v>
      </c>
      <c r="DO89" s="11">
        <v>0.09</v>
      </c>
      <c r="DP89" s="9" t="str">
        <f>_xll.SNL.Clients.Office.Excel.Functions.SPG(DM89, "SP_COUNTRY_NAME")</f>
        <v>South Africa</v>
      </c>
      <c r="DU89" s="9" t="str">
        <f>_xll.SNL.Clients.Office.Excel.Functions.SPG(DR89, "SP_COUNTRY_NAME")</f>
        <v>#INVALID COMPANY ID</v>
      </c>
      <c r="DV89" t="s">
        <v>603</v>
      </c>
      <c r="DW89">
        <v>110641</v>
      </c>
      <c r="DX89" t="s">
        <v>346</v>
      </c>
      <c r="DY89" s="11">
        <v>0</v>
      </c>
      <c r="DZ89" s="9" t="str">
        <f>_xll.SNL.Clients.Office.Excel.Functions.SPG(DW89, "SP_COUNTRY_NAME")</f>
        <v>USA</v>
      </c>
      <c r="EA89" t="s">
        <v>386</v>
      </c>
      <c r="EB89">
        <v>4145085</v>
      </c>
      <c r="EC89" t="s">
        <v>346</v>
      </c>
      <c r="ED89" s="11">
        <v>0.09</v>
      </c>
      <c r="EE89" s="9" t="str">
        <f>_xll.SNL.Clients.Office.Excel.Functions.SPG(EB89, "SP_COUNTRY_NAME")</f>
        <v>United Kingdom</v>
      </c>
      <c r="EF89" t="s">
        <v>576</v>
      </c>
      <c r="EG89">
        <v>4672091</v>
      </c>
      <c r="EH89" t="s">
        <v>300</v>
      </c>
      <c r="EI89" s="11">
        <v>0.09</v>
      </c>
      <c r="EJ89" s="9" t="str">
        <f>_xll.SNL.Clients.Office.Excel.Functions.SPG(EG89, "SP_COUNTRY_NAME")</f>
        <v>South Africa</v>
      </c>
      <c r="EO89" s="9" t="str">
        <f>_xll.SNL.Clients.Office.Excel.Functions.SPG(EL89, "SP_COUNTRY_NAME")</f>
        <v>#INVALID COMPANY ID</v>
      </c>
      <c r="EP89" t="s">
        <v>887</v>
      </c>
      <c r="EQ89">
        <v>5843533</v>
      </c>
      <c r="ER89" t="s">
        <v>346</v>
      </c>
      <c r="ES89" s="11">
        <v>0</v>
      </c>
      <c r="ET89" s="9" t="str">
        <f>_xll.SNL.Clients.Office.Excel.Functions.SPG(EQ89, "SP_COUNTRY_NAME")</f>
        <v>China</v>
      </c>
      <c r="EY89" s="9" t="str">
        <f>_xll.SNL.Clients.Office.Excel.Functions.SPG(EV89, "SP_COUNTRY_NAME")</f>
        <v>#INVALID COMPANY ID</v>
      </c>
      <c r="FD89" s="9" t="str">
        <f>_xll.SNL.Clients.Office.Excel.Functions.SPG(FA89, "SP_COUNTRY_NAME")</f>
        <v>#INVALID COMPANY ID</v>
      </c>
      <c r="FI89" s="9" t="str">
        <f>_xll.SNL.Clients.Office.Excel.Functions.SPG(FF89, "SP_COUNTRY_NAME")</f>
        <v>#INVALID COMPANY ID</v>
      </c>
      <c r="FJ89" t="s">
        <v>485</v>
      </c>
      <c r="FK89">
        <v>5652844</v>
      </c>
      <c r="FL89" t="s">
        <v>346</v>
      </c>
      <c r="FM89" s="11">
        <v>0.01</v>
      </c>
      <c r="FN89" s="9" t="str">
        <f>_xll.SNL.Clients.Office.Excel.Functions.SPG(FK89, "SP_COUNTRY_NAME")</f>
        <v>Japan</v>
      </c>
      <c r="FS89" s="9" t="str">
        <f>_xll.SNL.Clients.Office.Excel.Functions.SPG(FP89, "SP_COUNTRY_NAME")</f>
        <v>#INVALID COMPANY ID</v>
      </c>
      <c r="FX89" s="9" t="str">
        <f>_xll.SNL.Clients.Office.Excel.Functions.SPG(FU89, "SP_COUNTRY_NAME")</f>
        <v>#INVALID COMPANY ID</v>
      </c>
      <c r="FY89" t="s">
        <v>576</v>
      </c>
      <c r="FZ89">
        <v>4672091</v>
      </c>
      <c r="GA89" t="s">
        <v>300</v>
      </c>
      <c r="GB89" s="11">
        <v>0.09</v>
      </c>
      <c r="GC89" s="9" t="str">
        <f>_xll.SNL.Clients.Office.Excel.Functions.SPG(FZ89, "SP_COUNTRY_NAME")</f>
        <v>South Africa</v>
      </c>
      <c r="GH89" s="9" t="str">
        <f>_xll.SNL.Clients.Office.Excel.Functions.SPG(GE89, "SP_COUNTRY_NAME")</f>
        <v>#INVALID COMPANY ID</v>
      </c>
      <c r="GM89" s="9" t="str">
        <f>_xll.SNL.Clients.Office.Excel.Functions.SPG(GJ89, "SP_COUNTRY_NAME")</f>
        <v>#INVALID COMPANY ID</v>
      </c>
      <c r="GN89" t="s">
        <v>485</v>
      </c>
      <c r="GO89">
        <v>5652844</v>
      </c>
      <c r="GP89" t="s">
        <v>346</v>
      </c>
      <c r="GQ89" s="11">
        <v>0.01</v>
      </c>
      <c r="GR89" s="9" t="str">
        <f>_xll.SNL.Clients.Office.Excel.Functions.SPG(GO89, "SP_COUNTRY_NAME")</f>
        <v>Japan</v>
      </c>
      <c r="GS89" t="s">
        <v>761</v>
      </c>
      <c r="GT89">
        <v>15102002</v>
      </c>
      <c r="GU89" t="s">
        <v>346</v>
      </c>
      <c r="GV89" s="11">
        <v>0.02</v>
      </c>
      <c r="GW89" s="9" t="str">
        <f>_xll.SNL.Clients.Office.Excel.Functions.SPG(GT89, "SP_COUNTRY_NAME")</f>
        <v>China</v>
      </c>
      <c r="GX89" t="s">
        <v>386</v>
      </c>
      <c r="GY89">
        <v>4145085</v>
      </c>
      <c r="GZ89" t="s">
        <v>346</v>
      </c>
      <c r="HA89" s="11">
        <v>0.09</v>
      </c>
      <c r="HB89" s="9" t="str">
        <f>_xll.SNL.Clients.Office.Excel.Functions.SPG(GY89, "SP_COUNTRY_NAME")</f>
        <v>United Kingdom</v>
      </c>
      <c r="HG89" s="9" t="str">
        <f>_xll.SNL.Clients.Office.Excel.Functions.SPG(HD89, "SP_COUNTRY_NAME")</f>
        <v>#INVALID COMPANY ID</v>
      </c>
    </row>
    <row r="90" spans="5:215" x14ac:dyDescent="0.35">
      <c r="E90" s="9" t="str">
        <f>_xll.SNL.Clients.Office.Excel.Functions.SPG(B90, "SP_COUNTRY_NAME")</f>
        <v>#INVALID COMPANY ID</v>
      </c>
      <c r="F90" t="s">
        <v>481</v>
      </c>
      <c r="G90">
        <v>4376121</v>
      </c>
      <c r="H90" t="s">
        <v>346</v>
      </c>
      <c r="I90" s="11">
        <v>0.01</v>
      </c>
      <c r="J90" s="9" t="str">
        <f>_xll.SNL.Clients.Office.Excel.Functions.SPG(G90, "SP_COUNTRY_NAME")</f>
        <v>United Kingdom</v>
      </c>
      <c r="K90" t="s">
        <v>472</v>
      </c>
      <c r="L90">
        <v>4048215</v>
      </c>
      <c r="M90" t="s">
        <v>346</v>
      </c>
      <c r="N90" s="11">
        <v>0</v>
      </c>
      <c r="O90" s="9" t="str">
        <f>_xll.SNL.Clients.Office.Excel.Functions.SPG(L90, "SP_COUNTRY_NAME")</f>
        <v>USA</v>
      </c>
      <c r="T90" s="9" t="str">
        <f>_xll.SNL.Clients.Office.Excel.Functions.SPG(Q90, "SP_COUNTRY_NAME")</f>
        <v>#INVALID COMPANY ID</v>
      </c>
      <c r="U90" t="s">
        <v>734</v>
      </c>
      <c r="V90">
        <v>4322244</v>
      </c>
      <c r="W90" t="s">
        <v>346</v>
      </c>
      <c r="X90" s="11">
        <v>0.04</v>
      </c>
      <c r="Y90" s="9" t="str">
        <f>_xll.SNL.Clients.Office.Excel.Functions.SPG(V90, "SP_COUNTRY_NAME")</f>
        <v>China</v>
      </c>
      <c r="Z90" t="s">
        <v>472</v>
      </c>
      <c r="AA90">
        <v>4048215</v>
      </c>
      <c r="AB90" t="s">
        <v>346</v>
      </c>
      <c r="AC90" s="11">
        <v>0</v>
      </c>
      <c r="AD90" s="9" t="str">
        <f>_xll.SNL.Clients.Office.Excel.Functions.SPG(AA90, "SP_COUNTRY_NAME")</f>
        <v>USA</v>
      </c>
      <c r="AE90" t="s">
        <v>423</v>
      </c>
      <c r="AF90">
        <v>4318240</v>
      </c>
      <c r="AG90" t="s">
        <v>346</v>
      </c>
      <c r="AH90" s="11">
        <v>0.01</v>
      </c>
      <c r="AI90" s="9" t="str">
        <f>_xll.SNL.Clients.Office.Excel.Functions.SPG(AF90, "SP_COUNTRY_NAME")</f>
        <v>Japan</v>
      </c>
      <c r="AN90" s="9" t="str">
        <f>_xll.SNL.Clients.Office.Excel.Functions.SPG(AK90, "SP_COUNTRY_NAME")</f>
        <v>#INVALID COMPANY ID</v>
      </c>
      <c r="AO90" t="s">
        <v>386</v>
      </c>
      <c r="AP90">
        <v>4145085</v>
      </c>
      <c r="AQ90" t="s">
        <v>346</v>
      </c>
      <c r="AR90" s="11">
        <v>0.04</v>
      </c>
      <c r="AS90" s="9" t="str">
        <f>_xll.SNL.Clients.Office.Excel.Functions.SPG(AP90, "SP_COUNTRY_NAME")</f>
        <v>United Kingdom</v>
      </c>
      <c r="AX90" s="9" t="str">
        <f>_xll.SNL.Clients.Office.Excel.Functions.SPG(AU90, "SP_COUNTRY_NAME")</f>
        <v>#INVALID COMPANY ID</v>
      </c>
      <c r="BC90" s="9" t="str">
        <f>_xll.SNL.Clients.Office.Excel.Functions.SPG(AZ90, "SP_COUNTRY_NAME")</f>
        <v>#INVALID COMPANY ID</v>
      </c>
      <c r="BD90" t="s">
        <v>654</v>
      </c>
      <c r="BE90">
        <v>4208127</v>
      </c>
      <c r="BF90" t="s">
        <v>346</v>
      </c>
      <c r="BG90" s="11">
        <v>0.09</v>
      </c>
      <c r="BH90" s="9" t="str">
        <f>_xll.SNL.Clients.Office.Excel.Functions.SPG(BE90, "SP_COUNTRY_NAME")</f>
        <v>Germany</v>
      </c>
      <c r="BI90" t="s">
        <v>1046</v>
      </c>
      <c r="BJ90">
        <v>4165697</v>
      </c>
      <c r="BK90" t="s">
        <v>346</v>
      </c>
      <c r="BL90" s="11">
        <v>0.03</v>
      </c>
      <c r="BM90" s="9" t="str">
        <f>_xll.SNL.Clients.Office.Excel.Functions.SPG(BJ90, "SP_COUNTRY_NAME")</f>
        <v>France</v>
      </c>
      <c r="BN90" t="s">
        <v>769</v>
      </c>
      <c r="BO90">
        <v>4332718</v>
      </c>
      <c r="BP90" t="s">
        <v>346</v>
      </c>
      <c r="BQ90" s="11">
        <v>0.02</v>
      </c>
      <c r="BR90" s="9" t="str">
        <f>_xll.SNL.Clients.Office.Excel.Functions.SPG(BO90, "SP_COUNTRY_NAME")</f>
        <v>United Kingdom</v>
      </c>
      <c r="BS90" t="s">
        <v>817</v>
      </c>
      <c r="BT90">
        <v>4135100</v>
      </c>
      <c r="BU90" t="s">
        <v>346</v>
      </c>
      <c r="BV90" s="11">
        <v>0.04</v>
      </c>
      <c r="BW90" s="9" t="str">
        <f>_xll.SNL.Clients.Office.Excel.Functions.SPG(BT90, "SP_COUNTRY_NAME")</f>
        <v>United Kingdom</v>
      </c>
      <c r="BX90" t="s">
        <v>734</v>
      </c>
      <c r="BY90">
        <v>4322244</v>
      </c>
      <c r="BZ90" t="s">
        <v>346</v>
      </c>
      <c r="CA90" s="11">
        <v>0.04</v>
      </c>
      <c r="CB90" s="9" t="str">
        <f>_xll.SNL.Clients.Office.Excel.Functions.SPG(BY90, "SP_COUNTRY_NAME")</f>
        <v>China</v>
      </c>
      <c r="CC90" t="s">
        <v>462</v>
      </c>
      <c r="CD90">
        <v>109872</v>
      </c>
      <c r="CE90" t="s">
        <v>346</v>
      </c>
      <c r="CF90" s="11">
        <v>0.09</v>
      </c>
      <c r="CG90" s="9" t="str">
        <f>_xll.SNL.Clients.Office.Excel.Functions.SPG(CD90, "SP_COUNTRY_NAME")</f>
        <v>USA</v>
      </c>
      <c r="CH90" t="s">
        <v>386</v>
      </c>
      <c r="CI90">
        <v>4145085</v>
      </c>
      <c r="CJ90" t="s">
        <v>346</v>
      </c>
      <c r="CK90" s="11">
        <v>0.04</v>
      </c>
      <c r="CL90" s="9" t="str">
        <f>_xll.SNL.Clients.Office.Excel.Functions.SPG(CI90, "SP_COUNTRY_NAME")</f>
        <v>United Kingdom</v>
      </c>
      <c r="CM90" t="s">
        <v>1210</v>
      </c>
      <c r="CN90">
        <v>4304195</v>
      </c>
      <c r="CO90" t="s">
        <v>346</v>
      </c>
      <c r="CP90" s="11">
        <v>0.06</v>
      </c>
      <c r="CQ90" s="9" t="str">
        <f>_xll.SNL.Clients.Office.Excel.Functions.SPG(CN90, "SP_COUNTRY_NAME")</f>
        <v>South Africa</v>
      </c>
      <c r="CV90" s="9" t="str">
        <f>_xll.SNL.Clients.Office.Excel.Functions.SPG(CS90, "SP_COUNTRY_NAME")</f>
        <v>#INVALID COMPANY ID</v>
      </c>
      <c r="DA90" s="9" t="str">
        <f>_xll.SNL.Clients.Office.Excel.Functions.SPG(CX90, "SP_COUNTRY_NAME")</f>
        <v>#INVALID COMPANY ID</v>
      </c>
      <c r="DB90" t="s">
        <v>654</v>
      </c>
      <c r="DC90">
        <v>4208127</v>
      </c>
      <c r="DD90" t="s">
        <v>346</v>
      </c>
      <c r="DE90" s="11">
        <v>0.09</v>
      </c>
      <c r="DF90" s="9" t="str">
        <f>_xll.SNL.Clients.Office.Excel.Functions.SPG(DC90, "SP_COUNTRY_NAME")</f>
        <v>Germany</v>
      </c>
      <c r="DK90" s="9" t="str">
        <f>_xll.SNL.Clients.Office.Excel.Functions.SPG(DH90, "SP_COUNTRY_NAME")</f>
        <v>#INVALID COMPANY ID</v>
      </c>
      <c r="DL90" t="s">
        <v>654</v>
      </c>
      <c r="DM90">
        <v>4208127</v>
      </c>
      <c r="DN90" t="s">
        <v>346</v>
      </c>
      <c r="DO90" s="11">
        <v>0.09</v>
      </c>
      <c r="DP90" s="9" t="str">
        <f>_xll.SNL.Clients.Office.Excel.Functions.SPG(DM90, "SP_COUNTRY_NAME")</f>
        <v>Germany</v>
      </c>
      <c r="DU90" s="9" t="str">
        <f>_xll.SNL.Clients.Office.Excel.Functions.SPG(DR90, "SP_COUNTRY_NAME")</f>
        <v>#INVALID COMPANY ID</v>
      </c>
      <c r="DV90" t="s">
        <v>1208</v>
      </c>
      <c r="DW90">
        <v>5774683</v>
      </c>
      <c r="DX90" t="s">
        <v>346</v>
      </c>
      <c r="DY90" s="11">
        <v>0</v>
      </c>
      <c r="DZ90" s="9" t="str">
        <f>_xll.SNL.Clients.Office.Excel.Functions.SPG(DW90, "SP_COUNTRY_NAME")</f>
        <v>Russia</v>
      </c>
      <c r="EA90" t="s">
        <v>462</v>
      </c>
      <c r="EB90">
        <v>109872</v>
      </c>
      <c r="EC90" t="s">
        <v>346</v>
      </c>
      <c r="ED90" s="11">
        <v>0.09</v>
      </c>
      <c r="EE90" s="9" t="str">
        <f>_xll.SNL.Clients.Office.Excel.Functions.SPG(EB90, "SP_COUNTRY_NAME")</f>
        <v>USA</v>
      </c>
      <c r="EF90" t="s">
        <v>654</v>
      </c>
      <c r="EG90">
        <v>4208127</v>
      </c>
      <c r="EH90" t="s">
        <v>346</v>
      </c>
      <c r="EI90" s="11">
        <v>0.09</v>
      </c>
      <c r="EJ90" s="9" t="str">
        <f>_xll.SNL.Clients.Office.Excel.Functions.SPG(EG90, "SP_COUNTRY_NAME")</f>
        <v>Germany</v>
      </c>
      <c r="EO90" s="9" t="str">
        <f>_xll.SNL.Clients.Office.Excel.Functions.SPG(EL90, "SP_COUNTRY_NAME")</f>
        <v>#INVALID COMPANY ID</v>
      </c>
      <c r="EP90" t="s">
        <v>387</v>
      </c>
      <c r="EQ90">
        <v>4020980</v>
      </c>
      <c r="ER90" t="s">
        <v>346</v>
      </c>
      <c r="ES90" s="11">
        <v>0</v>
      </c>
      <c r="ET90" s="9" t="str">
        <f>_xll.SNL.Clients.Office.Excel.Functions.SPG(EQ90, "SP_COUNTRY_NAME")</f>
        <v>Bermuda</v>
      </c>
      <c r="EY90" s="9" t="str">
        <f>_xll.SNL.Clients.Office.Excel.Functions.SPG(EV90, "SP_COUNTRY_NAME")</f>
        <v>#INVALID COMPANY ID</v>
      </c>
      <c r="FD90" s="9" t="str">
        <f>_xll.SNL.Clients.Office.Excel.Functions.SPG(FA90, "SP_COUNTRY_NAME")</f>
        <v>#INVALID COMPANY ID</v>
      </c>
      <c r="FI90" s="9" t="str">
        <f>_xll.SNL.Clients.Office.Excel.Functions.SPG(FF90, "SP_COUNTRY_NAME")</f>
        <v>#INVALID COMPANY ID</v>
      </c>
      <c r="FJ90" t="s">
        <v>2165</v>
      </c>
      <c r="FK90">
        <v>4140042</v>
      </c>
      <c r="FL90" t="s">
        <v>346</v>
      </c>
      <c r="FM90" s="11">
        <v>0.01</v>
      </c>
      <c r="FN90" s="9" t="str">
        <f>_xll.SNL.Clients.Office.Excel.Functions.SPG(FK90, "SP_COUNTRY_NAME")</f>
        <v>Finland</v>
      </c>
      <c r="FS90" s="9" t="str">
        <f>_xll.SNL.Clients.Office.Excel.Functions.SPG(FP90, "SP_COUNTRY_NAME")</f>
        <v>#INVALID COMPANY ID</v>
      </c>
      <c r="FX90" s="9" t="str">
        <f>_xll.SNL.Clients.Office.Excel.Functions.SPG(FU90, "SP_COUNTRY_NAME")</f>
        <v>#INVALID COMPANY ID</v>
      </c>
      <c r="FY90" t="s">
        <v>654</v>
      </c>
      <c r="FZ90">
        <v>4208127</v>
      </c>
      <c r="GA90" t="s">
        <v>346</v>
      </c>
      <c r="GB90" s="11">
        <v>0.09</v>
      </c>
      <c r="GC90" s="9" t="str">
        <f>_xll.SNL.Clients.Office.Excel.Functions.SPG(FZ90, "SP_COUNTRY_NAME")</f>
        <v>Germany</v>
      </c>
      <c r="GH90" s="9" t="str">
        <f>_xll.SNL.Clients.Office.Excel.Functions.SPG(GE90, "SP_COUNTRY_NAME")</f>
        <v>#INVALID COMPANY ID</v>
      </c>
      <c r="GM90" s="9" t="str">
        <f>_xll.SNL.Clients.Office.Excel.Functions.SPG(GJ90, "SP_COUNTRY_NAME")</f>
        <v>#INVALID COMPANY ID</v>
      </c>
      <c r="GN90" t="s">
        <v>2165</v>
      </c>
      <c r="GO90">
        <v>4140042</v>
      </c>
      <c r="GP90" t="s">
        <v>346</v>
      </c>
      <c r="GQ90" s="11">
        <v>0.01</v>
      </c>
      <c r="GR90" s="9" t="str">
        <f>_xll.SNL.Clients.Office.Excel.Functions.SPG(GO90, "SP_COUNTRY_NAME")</f>
        <v>Finland</v>
      </c>
      <c r="GS90" t="s">
        <v>769</v>
      </c>
      <c r="GT90">
        <v>4332718</v>
      </c>
      <c r="GU90" t="s">
        <v>346</v>
      </c>
      <c r="GV90" s="11">
        <v>0.02</v>
      </c>
      <c r="GW90" s="9" t="str">
        <f>_xll.SNL.Clients.Office.Excel.Functions.SPG(GT90, "SP_COUNTRY_NAME")</f>
        <v>United Kingdom</v>
      </c>
      <c r="GX90" t="s">
        <v>462</v>
      </c>
      <c r="GY90">
        <v>109872</v>
      </c>
      <c r="GZ90" t="s">
        <v>346</v>
      </c>
      <c r="HA90" s="11">
        <v>0.09</v>
      </c>
      <c r="HB90" s="9" t="str">
        <f>_xll.SNL.Clients.Office.Excel.Functions.SPG(GY90, "SP_COUNTRY_NAME")</f>
        <v>USA</v>
      </c>
      <c r="HG90" s="9" t="str">
        <f>_xll.SNL.Clients.Office.Excel.Functions.SPG(HD90, "SP_COUNTRY_NAME")</f>
        <v>#INVALID COMPANY ID</v>
      </c>
    </row>
    <row r="91" spans="5:215" x14ac:dyDescent="0.35">
      <c r="E91" s="9" t="str">
        <f>_xll.SNL.Clients.Office.Excel.Functions.SPG(B91, "SP_COUNTRY_NAME")</f>
        <v>#INVALID COMPANY ID</v>
      </c>
      <c r="F91" t="s">
        <v>403</v>
      </c>
      <c r="G91">
        <v>4033550</v>
      </c>
      <c r="H91" t="s">
        <v>346</v>
      </c>
      <c r="I91" s="11">
        <v>0.01</v>
      </c>
      <c r="J91" s="9" t="str">
        <f>_xll.SNL.Clients.Office.Excel.Functions.SPG(G91, "SP_COUNTRY_NAME")</f>
        <v>USA</v>
      </c>
      <c r="K91" t="s">
        <v>671</v>
      </c>
      <c r="L91">
        <v>5862433</v>
      </c>
      <c r="M91" t="s">
        <v>346</v>
      </c>
      <c r="N91" s="11">
        <v>0</v>
      </c>
      <c r="O91" s="9" t="str">
        <f>_xll.SNL.Clients.Office.Excel.Functions.SPG(L91, "SP_COUNTRY_NAME")</f>
        <v>Hong Kong</v>
      </c>
      <c r="T91" s="9" t="str">
        <f>_xll.SNL.Clients.Office.Excel.Functions.SPG(Q91, "SP_COUNTRY_NAME")</f>
        <v>#INVALID COMPANY ID</v>
      </c>
      <c r="U91" t="s">
        <v>668</v>
      </c>
      <c r="V91">
        <v>109523595</v>
      </c>
      <c r="W91" t="s">
        <v>346</v>
      </c>
      <c r="X91" s="11">
        <v>0.04</v>
      </c>
      <c r="Y91" s="9" t="str">
        <f>_xll.SNL.Clients.Office.Excel.Functions.SPG(V91, "SP_COUNTRY_NAME")</f>
        <v>China</v>
      </c>
      <c r="Z91" t="s">
        <v>671</v>
      </c>
      <c r="AA91">
        <v>5862433</v>
      </c>
      <c r="AB91" t="s">
        <v>346</v>
      </c>
      <c r="AC91" s="11">
        <v>0</v>
      </c>
      <c r="AD91" s="9" t="str">
        <f>_xll.SNL.Clients.Office.Excel.Functions.SPG(AA91, "SP_COUNTRY_NAME")</f>
        <v>Hong Kong</v>
      </c>
      <c r="AE91" t="s">
        <v>1132</v>
      </c>
      <c r="AF91">
        <v>4303227</v>
      </c>
      <c r="AG91" t="s">
        <v>346</v>
      </c>
      <c r="AH91" s="11">
        <v>0.01</v>
      </c>
      <c r="AI91" s="9" t="str">
        <f>_xll.SNL.Clients.Office.Excel.Functions.SPG(AF91, "SP_COUNTRY_NAME")</f>
        <v>Poland</v>
      </c>
      <c r="AN91" s="9" t="str">
        <f>_xll.SNL.Clients.Office.Excel.Functions.SPG(AK91, "SP_COUNTRY_NAME")</f>
        <v>#INVALID COMPANY ID</v>
      </c>
      <c r="AO91" t="s">
        <v>956</v>
      </c>
      <c r="AP91">
        <v>4233855</v>
      </c>
      <c r="AQ91" t="s">
        <v>346</v>
      </c>
      <c r="AR91" s="11">
        <v>0.04</v>
      </c>
      <c r="AS91" s="9" t="str">
        <f>_xll.SNL.Clients.Office.Excel.Functions.SPG(AP91, "SP_COUNTRY_NAME")</f>
        <v>Switzerland</v>
      </c>
      <c r="AX91" s="9" t="str">
        <f>_xll.SNL.Clients.Office.Excel.Functions.SPG(AU91, "SP_COUNTRY_NAME")</f>
        <v>#INVALID COMPANY ID</v>
      </c>
      <c r="BC91" s="9" t="str">
        <f>_xll.SNL.Clients.Office.Excel.Functions.SPG(AZ91, "SP_COUNTRY_NAME")</f>
        <v>#INVALID COMPANY ID</v>
      </c>
      <c r="BD91" t="s">
        <v>1412</v>
      </c>
      <c r="BE91">
        <v>4142663</v>
      </c>
      <c r="BF91" t="s">
        <v>346</v>
      </c>
      <c r="BG91" s="11">
        <v>0.09</v>
      </c>
      <c r="BH91" s="9" t="str">
        <f>_xll.SNL.Clients.Office.Excel.Functions.SPG(BE91, "SP_COUNTRY_NAME")</f>
        <v>Germany</v>
      </c>
      <c r="BI91" t="s">
        <v>422</v>
      </c>
      <c r="BJ91">
        <v>4048507</v>
      </c>
      <c r="BK91" t="s">
        <v>346</v>
      </c>
      <c r="BL91" s="11">
        <v>0.03</v>
      </c>
      <c r="BM91" s="9" t="str">
        <f>_xll.SNL.Clients.Office.Excel.Functions.SPG(BJ91, "SP_COUNTRY_NAME")</f>
        <v>Japan</v>
      </c>
      <c r="BN91" t="s">
        <v>456</v>
      </c>
      <c r="BO91">
        <v>4249110</v>
      </c>
      <c r="BP91" t="s">
        <v>346</v>
      </c>
      <c r="BQ91" s="11">
        <v>0.02</v>
      </c>
      <c r="BR91" s="9" t="str">
        <f>_xll.SNL.Clients.Office.Excel.Functions.SPG(BO91, "SP_COUNTRY_NAME")</f>
        <v>United Kingdom</v>
      </c>
      <c r="BS91" t="s">
        <v>391</v>
      </c>
      <c r="BT91">
        <v>13582910</v>
      </c>
      <c r="BU91" t="s">
        <v>346</v>
      </c>
      <c r="BV91" s="11">
        <v>0.04</v>
      </c>
      <c r="BW91" s="9" t="str">
        <f>_xll.SNL.Clients.Office.Excel.Functions.SPG(BT91, "SP_COUNTRY_NAME")</f>
        <v>France</v>
      </c>
      <c r="BX91" t="s">
        <v>668</v>
      </c>
      <c r="BY91">
        <v>109523595</v>
      </c>
      <c r="BZ91" t="s">
        <v>346</v>
      </c>
      <c r="CA91" s="11">
        <v>0.04</v>
      </c>
      <c r="CB91" s="9" t="str">
        <f>_xll.SNL.Clients.Office.Excel.Functions.SPG(BY91, "SP_COUNTRY_NAME")</f>
        <v>China</v>
      </c>
      <c r="CC91" t="s">
        <v>435</v>
      </c>
      <c r="CD91">
        <v>109789</v>
      </c>
      <c r="CE91" t="s">
        <v>346</v>
      </c>
      <c r="CF91" s="11">
        <v>0.09</v>
      </c>
      <c r="CG91" s="9" t="str">
        <f>_xll.SNL.Clients.Office.Excel.Functions.SPG(CD91, "SP_COUNTRY_NAME")</f>
        <v>USA</v>
      </c>
      <c r="CH91" t="s">
        <v>956</v>
      </c>
      <c r="CI91">
        <v>4233855</v>
      </c>
      <c r="CJ91" t="s">
        <v>346</v>
      </c>
      <c r="CK91" s="11">
        <v>0.04</v>
      </c>
      <c r="CL91" s="9" t="str">
        <f>_xll.SNL.Clients.Office.Excel.Functions.SPG(CI91, "SP_COUNTRY_NAME")</f>
        <v>Switzerland</v>
      </c>
      <c r="CM91" t="s">
        <v>1278</v>
      </c>
      <c r="CN91">
        <v>7496233</v>
      </c>
      <c r="CO91" t="s">
        <v>346</v>
      </c>
      <c r="CP91" s="11">
        <v>0.06</v>
      </c>
      <c r="CQ91" s="9" t="str">
        <f>_xll.SNL.Clients.Office.Excel.Functions.SPG(CN91, "SP_COUNTRY_NAME")</f>
        <v>South Africa</v>
      </c>
      <c r="CV91" s="9" t="str">
        <f>_xll.SNL.Clients.Office.Excel.Functions.SPG(CS91, "SP_COUNTRY_NAME")</f>
        <v>#INVALID COMPANY ID</v>
      </c>
      <c r="DA91" s="9" t="str">
        <f>_xll.SNL.Clients.Office.Excel.Functions.SPG(CX91, "SP_COUNTRY_NAME")</f>
        <v>#INVALID COMPANY ID</v>
      </c>
      <c r="DB91" t="s">
        <v>1412</v>
      </c>
      <c r="DC91">
        <v>4142663</v>
      </c>
      <c r="DD91" t="s">
        <v>346</v>
      </c>
      <c r="DE91" s="11">
        <v>0.09</v>
      </c>
      <c r="DF91" s="9" t="str">
        <f>_xll.SNL.Clients.Office.Excel.Functions.SPG(DC91, "SP_COUNTRY_NAME")</f>
        <v>Germany</v>
      </c>
      <c r="DK91" s="9" t="str">
        <f>_xll.SNL.Clients.Office.Excel.Functions.SPG(DH91, "SP_COUNTRY_NAME")</f>
        <v>#INVALID COMPANY ID</v>
      </c>
      <c r="DL91" t="s">
        <v>1412</v>
      </c>
      <c r="DM91">
        <v>4142663</v>
      </c>
      <c r="DN91" t="s">
        <v>346</v>
      </c>
      <c r="DO91" s="11">
        <v>0.09</v>
      </c>
      <c r="DP91" s="9" t="str">
        <f>_xll.SNL.Clients.Office.Excel.Functions.SPG(DM91, "SP_COUNTRY_NAME")</f>
        <v>Germany</v>
      </c>
      <c r="DU91" s="9" t="str">
        <f>_xll.SNL.Clients.Office.Excel.Functions.SPG(DR91, "SP_COUNTRY_NAME")</f>
        <v>#INVALID COMPANY ID</v>
      </c>
      <c r="DV91" t="s">
        <v>880</v>
      </c>
      <c r="DW91">
        <v>4139864</v>
      </c>
      <c r="DX91" t="s">
        <v>346</v>
      </c>
      <c r="DY91" s="11">
        <v>0</v>
      </c>
      <c r="DZ91" s="9" t="str">
        <f>_xll.SNL.Clients.Office.Excel.Functions.SPG(DW91, "SP_COUNTRY_NAME")</f>
        <v>United Kingdom</v>
      </c>
      <c r="EA91" t="s">
        <v>435</v>
      </c>
      <c r="EB91">
        <v>109789</v>
      </c>
      <c r="EC91" t="s">
        <v>346</v>
      </c>
      <c r="ED91" s="11">
        <v>0.09</v>
      </c>
      <c r="EE91" s="9" t="str">
        <f>_xll.SNL.Clients.Office.Excel.Functions.SPG(EB91, "SP_COUNTRY_NAME")</f>
        <v>USA</v>
      </c>
      <c r="EF91" t="s">
        <v>1412</v>
      </c>
      <c r="EG91">
        <v>4142663</v>
      </c>
      <c r="EH91" t="s">
        <v>346</v>
      </c>
      <c r="EI91" s="11">
        <v>0.09</v>
      </c>
      <c r="EJ91" s="9" t="str">
        <f>_xll.SNL.Clients.Office.Excel.Functions.SPG(EG91, "SP_COUNTRY_NAME")</f>
        <v>Germany</v>
      </c>
      <c r="EO91" s="9" t="str">
        <f>_xll.SNL.Clients.Office.Excel.Functions.SPG(EL91, "SP_COUNTRY_NAME")</f>
        <v>#INVALID COMPANY ID</v>
      </c>
      <c r="EP91" t="s">
        <v>463</v>
      </c>
      <c r="EQ91">
        <v>4138888</v>
      </c>
      <c r="ER91" t="s">
        <v>346</v>
      </c>
      <c r="ES91" s="11">
        <v>0</v>
      </c>
      <c r="ET91" s="9" t="str">
        <f>_xll.SNL.Clients.Office.Excel.Functions.SPG(EQ91, "SP_COUNTRY_NAME")</f>
        <v>Norway</v>
      </c>
      <c r="EY91" s="9" t="str">
        <f>_xll.SNL.Clients.Office.Excel.Functions.SPG(EV91, "SP_COUNTRY_NAME")</f>
        <v>#INVALID COMPANY ID</v>
      </c>
      <c r="FD91" s="9" t="str">
        <f>_xll.SNL.Clients.Office.Excel.Functions.SPG(FA91, "SP_COUNTRY_NAME")</f>
        <v>#INVALID COMPANY ID</v>
      </c>
      <c r="FI91" s="9" t="str">
        <f>_xll.SNL.Clients.Office.Excel.Functions.SPG(FF91, "SP_COUNTRY_NAME")</f>
        <v>#INVALID COMPANY ID</v>
      </c>
      <c r="FJ91" t="s">
        <v>491</v>
      </c>
      <c r="FK91">
        <v>106960</v>
      </c>
      <c r="FL91" t="s">
        <v>346</v>
      </c>
      <c r="FM91" s="11">
        <v>0.01</v>
      </c>
      <c r="FN91" s="9" t="str">
        <f>_xll.SNL.Clients.Office.Excel.Functions.SPG(FK91, "SP_COUNTRY_NAME")</f>
        <v>Canada</v>
      </c>
      <c r="FS91" s="9" t="str">
        <f>_xll.SNL.Clients.Office.Excel.Functions.SPG(FP91, "SP_COUNTRY_NAME")</f>
        <v>#INVALID COMPANY ID</v>
      </c>
      <c r="FX91" s="9" t="str">
        <f>_xll.SNL.Clients.Office.Excel.Functions.SPG(FU91, "SP_COUNTRY_NAME")</f>
        <v>#INVALID COMPANY ID</v>
      </c>
      <c r="FY91" t="s">
        <v>1412</v>
      </c>
      <c r="FZ91">
        <v>4142663</v>
      </c>
      <c r="GA91" t="s">
        <v>346</v>
      </c>
      <c r="GB91" s="11">
        <v>0.09</v>
      </c>
      <c r="GC91" s="9" t="str">
        <f>_xll.SNL.Clients.Office.Excel.Functions.SPG(FZ91, "SP_COUNTRY_NAME")</f>
        <v>Germany</v>
      </c>
      <c r="GH91" s="9" t="str">
        <f>_xll.SNL.Clients.Office.Excel.Functions.SPG(GE91, "SP_COUNTRY_NAME")</f>
        <v>#INVALID COMPANY ID</v>
      </c>
      <c r="GM91" s="9" t="str">
        <f>_xll.SNL.Clients.Office.Excel.Functions.SPG(GJ91, "SP_COUNTRY_NAME")</f>
        <v>#INVALID COMPANY ID</v>
      </c>
      <c r="GN91" t="s">
        <v>491</v>
      </c>
      <c r="GO91">
        <v>106960</v>
      </c>
      <c r="GP91" t="s">
        <v>346</v>
      </c>
      <c r="GQ91" s="11">
        <v>0.01</v>
      </c>
      <c r="GR91" s="9" t="str">
        <f>_xll.SNL.Clients.Office.Excel.Functions.SPG(GO91, "SP_COUNTRY_NAME")</f>
        <v>Canada</v>
      </c>
      <c r="GS91" t="s">
        <v>456</v>
      </c>
      <c r="GT91">
        <v>4249110</v>
      </c>
      <c r="GU91" t="s">
        <v>346</v>
      </c>
      <c r="GV91" s="11">
        <v>0.02</v>
      </c>
      <c r="GW91" s="9" t="str">
        <f>_xll.SNL.Clients.Office.Excel.Functions.SPG(GT91, "SP_COUNTRY_NAME")</f>
        <v>United Kingdom</v>
      </c>
      <c r="GX91" t="s">
        <v>435</v>
      </c>
      <c r="GY91">
        <v>109789</v>
      </c>
      <c r="GZ91" t="s">
        <v>346</v>
      </c>
      <c r="HA91" s="11">
        <v>0.09</v>
      </c>
      <c r="HB91" s="9" t="str">
        <f>_xll.SNL.Clients.Office.Excel.Functions.SPG(GY91, "SP_COUNTRY_NAME")</f>
        <v>USA</v>
      </c>
      <c r="HG91" s="9" t="str">
        <f>_xll.SNL.Clients.Office.Excel.Functions.SPG(HD91, "SP_COUNTRY_NAME")</f>
        <v>#INVALID COMPANY ID</v>
      </c>
    </row>
    <row r="92" spans="5:215" x14ac:dyDescent="0.35">
      <c r="E92" s="9" t="str">
        <f>_xll.SNL.Clients.Office.Excel.Functions.SPG(B92, "SP_COUNTRY_NAME")</f>
        <v>#INVALID COMPANY ID</v>
      </c>
      <c r="F92" t="s">
        <v>482</v>
      </c>
      <c r="G92">
        <v>4048742</v>
      </c>
      <c r="H92" t="s">
        <v>346</v>
      </c>
      <c r="I92" s="11">
        <v>0.01</v>
      </c>
      <c r="J92" s="9" t="str">
        <f>_xll.SNL.Clients.Office.Excel.Functions.SPG(G92, "SP_COUNTRY_NAME")</f>
        <v>Canada</v>
      </c>
      <c r="K92" t="s">
        <v>440</v>
      </c>
      <c r="L92">
        <v>4140078</v>
      </c>
      <c r="M92" t="s">
        <v>346</v>
      </c>
      <c r="N92" s="11">
        <v>0</v>
      </c>
      <c r="O92" s="9" t="str">
        <f>_xll.SNL.Clients.Office.Excel.Functions.SPG(L92, "SP_COUNTRY_NAME")</f>
        <v>Japan</v>
      </c>
      <c r="T92" s="9" t="str">
        <f>_xll.SNL.Clients.Office.Excel.Functions.SPG(Q92, "SP_COUNTRY_NAME")</f>
        <v>#INVALID COMPANY ID</v>
      </c>
      <c r="U92" t="s">
        <v>665</v>
      </c>
      <c r="V92">
        <v>4137720</v>
      </c>
      <c r="W92" t="s">
        <v>346</v>
      </c>
      <c r="X92" s="11">
        <v>0.04</v>
      </c>
      <c r="Y92" s="9" t="str">
        <f>_xll.SNL.Clients.Office.Excel.Functions.SPG(V92, "SP_COUNTRY_NAME")</f>
        <v>China</v>
      </c>
      <c r="Z92" t="s">
        <v>440</v>
      </c>
      <c r="AA92">
        <v>4140078</v>
      </c>
      <c r="AB92" t="s">
        <v>346</v>
      </c>
      <c r="AC92" s="11">
        <v>0</v>
      </c>
      <c r="AD92" s="9" t="str">
        <f>_xll.SNL.Clients.Office.Excel.Functions.SPG(AA92, "SP_COUNTRY_NAME")</f>
        <v>Japan</v>
      </c>
      <c r="AE92" t="s">
        <v>472</v>
      </c>
      <c r="AF92">
        <v>4048215</v>
      </c>
      <c r="AG92" t="s">
        <v>346</v>
      </c>
      <c r="AH92" s="11">
        <v>0.01</v>
      </c>
      <c r="AI92" s="9" t="str">
        <f>_xll.SNL.Clients.Office.Excel.Functions.SPG(AF92, "SP_COUNTRY_NAME")</f>
        <v>USA</v>
      </c>
      <c r="AN92" s="9" t="str">
        <f>_xll.SNL.Clients.Office.Excel.Functions.SPG(AK92, "SP_COUNTRY_NAME")</f>
        <v>#INVALID COMPANY ID</v>
      </c>
      <c r="AO92" t="s">
        <v>1281</v>
      </c>
      <c r="AP92">
        <v>4631098</v>
      </c>
      <c r="AQ92" t="s">
        <v>364</v>
      </c>
      <c r="AR92" s="11">
        <v>0.04</v>
      </c>
      <c r="AS92" s="9" t="str">
        <f>_xll.SNL.Clients.Office.Excel.Functions.SPG(AP92, "SP_COUNTRY_NAME")</f>
        <v>South Africa</v>
      </c>
      <c r="AX92" s="9" t="str">
        <f>_xll.SNL.Clients.Office.Excel.Functions.SPG(AU92, "SP_COUNTRY_NAME")</f>
        <v>#INVALID COMPANY ID</v>
      </c>
      <c r="BC92" s="9" t="str">
        <f>_xll.SNL.Clients.Office.Excel.Functions.SPG(AZ92, "SP_COUNTRY_NAME")</f>
        <v>#INVALID COMPANY ID</v>
      </c>
      <c r="BD92" t="s">
        <v>1413</v>
      </c>
      <c r="BE92">
        <v>3006816</v>
      </c>
      <c r="BF92" t="s">
        <v>366</v>
      </c>
      <c r="BG92" s="11">
        <v>0.08</v>
      </c>
      <c r="BH92" s="9" t="str">
        <f>_xll.SNL.Clients.Office.Excel.Functions.SPG(BE92, "SP_COUNTRY_NAME")</f>
        <v>USA</v>
      </c>
      <c r="BI92" t="s">
        <v>435</v>
      </c>
      <c r="BJ92">
        <v>109789</v>
      </c>
      <c r="BK92" t="s">
        <v>346</v>
      </c>
      <c r="BL92" s="11">
        <v>0.03</v>
      </c>
      <c r="BM92" s="9" t="str">
        <f>_xll.SNL.Clients.Office.Excel.Functions.SPG(BJ92, "SP_COUNTRY_NAME")</f>
        <v>USA</v>
      </c>
      <c r="BN92" t="s">
        <v>722</v>
      </c>
      <c r="BO92">
        <v>5812793</v>
      </c>
      <c r="BP92" t="s">
        <v>346</v>
      </c>
      <c r="BQ92" s="11">
        <v>0.02</v>
      </c>
      <c r="BR92" s="9" t="str">
        <f>_xll.SNL.Clients.Office.Excel.Functions.SPG(BO92, "SP_COUNTRY_NAME")</f>
        <v>China</v>
      </c>
      <c r="BS92" t="s">
        <v>357</v>
      </c>
      <c r="BT92">
        <v>4270330</v>
      </c>
      <c r="BU92" t="s">
        <v>346</v>
      </c>
      <c r="BV92" s="11">
        <v>0.04</v>
      </c>
      <c r="BW92" s="9" t="str">
        <f>_xll.SNL.Clients.Office.Excel.Functions.SPG(BT92, "SP_COUNTRY_NAME")</f>
        <v>USA</v>
      </c>
      <c r="BX92" t="s">
        <v>665</v>
      </c>
      <c r="BY92">
        <v>4137720</v>
      </c>
      <c r="BZ92" t="s">
        <v>346</v>
      </c>
      <c r="CA92" s="11">
        <v>0.04</v>
      </c>
      <c r="CB92" s="9" t="str">
        <f>_xll.SNL.Clients.Office.Excel.Functions.SPG(BY92, "SP_COUNTRY_NAME")</f>
        <v>China</v>
      </c>
      <c r="CC92" t="s">
        <v>588</v>
      </c>
      <c r="CD92">
        <v>111537</v>
      </c>
      <c r="CE92" t="s">
        <v>346</v>
      </c>
      <c r="CF92" s="11">
        <v>0.09</v>
      </c>
      <c r="CG92" s="9" t="str">
        <f>_xll.SNL.Clients.Office.Excel.Functions.SPG(CD92, "SP_COUNTRY_NAME")</f>
        <v>USA</v>
      </c>
      <c r="CH92" t="s">
        <v>1281</v>
      </c>
      <c r="CI92">
        <v>4631098</v>
      </c>
      <c r="CJ92" t="s">
        <v>364</v>
      </c>
      <c r="CK92" s="11">
        <v>0.04</v>
      </c>
      <c r="CL92" s="9" t="str">
        <f>_xll.SNL.Clients.Office.Excel.Functions.SPG(CI92, "SP_COUNTRY_NAME")</f>
        <v>South Africa</v>
      </c>
      <c r="CM92" t="s">
        <v>387</v>
      </c>
      <c r="CN92">
        <v>4020980</v>
      </c>
      <c r="CO92" t="s">
        <v>346</v>
      </c>
      <c r="CP92" s="11">
        <v>0.06</v>
      </c>
      <c r="CQ92" s="9" t="str">
        <f>_xll.SNL.Clients.Office.Excel.Functions.SPG(CN92, "SP_COUNTRY_NAME")</f>
        <v>Bermuda</v>
      </c>
      <c r="CV92" s="9" t="str">
        <f>_xll.SNL.Clients.Office.Excel.Functions.SPG(CS92, "SP_COUNTRY_NAME")</f>
        <v>#INVALID COMPANY ID</v>
      </c>
      <c r="DA92" s="9" t="str">
        <f>_xll.SNL.Clients.Office.Excel.Functions.SPG(CX92, "SP_COUNTRY_NAME")</f>
        <v>#INVALID COMPANY ID</v>
      </c>
      <c r="DB92" t="s">
        <v>1413</v>
      </c>
      <c r="DC92">
        <v>3006816</v>
      </c>
      <c r="DD92" t="s">
        <v>366</v>
      </c>
      <c r="DE92" s="11">
        <v>0.08</v>
      </c>
      <c r="DF92" s="9" t="str">
        <f>_xll.SNL.Clients.Office.Excel.Functions.SPG(DC92, "SP_COUNTRY_NAME")</f>
        <v>USA</v>
      </c>
      <c r="DK92" s="9" t="str">
        <f>_xll.SNL.Clients.Office.Excel.Functions.SPG(DH92, "SP_COUNTRY_NAME")</f>
        <v>#INVALID COMPANY ID</v>
      </c>
      <c r="DL92" t="s">
        <v>1413</v>
      </c>
      <c r="DM92">
        <v>3006816</v>
      </c>
      <c r="DN92" t="s">
        <v>366</v>
      </c>
      <c r="DO92" s="11">
        <v>0.08</v>
      </c>
      <c r="DP92" s="9" t="str">
        <f>_xll.SNL.Clients.Office.Excel.Functions.SPG(DM92, "SP_COUNTRY_NAME")</f>
        <v>USA</v>
      </c>
      <c r="DU92" s="9" t="str">
        <f>_xll.SNL.Clients.Office.Excel.Functions.SPG(DR92, "SP_COUNTRY_NAME")</f>
        <v>#INVALID COMPANY ID</v>
      </c>
      <c r="DV92" t="s">
        <v>923</v>
      </c>
      <c r="DW92">
        <v>4119489</v>
      </c>
      <c r="DX92" t="s">
        <v>346</v>
      </c>
      <c r="DY92" s="11">
        <v>0</v>
      </c>
      <c r="DZ92" s="9" t="str">
        <f>_xll.SNL.Clients.Office.Excel.Functions.SPG(DW92, "SP_COUNTRY_NAME")</f>
        <v>USA</v>
      </c>
      <c r="EA92" t="s">
        <v>588</v>
      </c>
      <c r="EB92">
        <v>111537</v>
      </c>
      <c r="EC92" t="s">
        <v>346</v>
      </c>
      <c r="ED92" s="11">
        <v>0.09</v>
      </c>
      <c r="EE92" s="9" t="str">
        <f>_xll.SNL.Clients.Office.Excel.Functions.SPG(EB92, "SP_COUNTRY_NAME")</f>
        <v>USA</v>
      </c>
      <c r="EF92" t="s">
        <v>1413</v>
      </c>
      <c r="EG92">
        <v>3006816</v>
      </c>
      <c r="EH92" t="s">
        <v>366</v>
      </c>
      <c r="EI92" s="11">
        <v>0.08</v>
      </c>
      <c r="EJ92" s="9" t="str">
        <f>_xll.SNL.Clients.Office.Excel.Functions.SPG(EG92, "SP_COUNTRY_NAME")</f>
        <v>USA</v>
      </c>
      <c r="EO92" s="9" t="str">
        <f>_xll.SNL.Clients.Office.Excel.Functions.SPG(EL92, "SP_COUNTRY_NAME")</f>
        <v>#INVALID COMPANY ID</v>
      </c>
      <c r="EP92" t="s">
        <v>733</v>
      </c>
      <c r="EQ92">
        <v>5851125</v>
      </c>
      <c r="ER92" t="s">
        <v>346</v>
      </c>
      <c r="ES92" s="11">
        <v>0</v>
      </c>
      <c r="ET92" s="9" t="str">
        <f>_xll.SNL.Clients.Office.Excel.Functions.SPG(EQ92, "SP_COUNTRY_NAME")</f>
        <v>China</v>
      </c>
      <c r="EY92" s="9" t="str">
        <f>_xll.SNL.Clients.Office.Excel.Functions.SPG(EV92, "SP_COUNTRY_NAME")</f>
        <v>#INVALID COMPANY ID</v>
      </c>
      <c r="FD92" s="9" t="str">
        <f>_xll.SNL.Clients.Office.Excel.Functions.SPG(FA92, "SP_COUNTRY_NAME")</f>
        <v>#INVALID COMPANY ID</v>
      </c>
      <c r="FI92" s="9" t="str">
        <f>_xll.SNL.Clients.Office.Excel.Functions.SPG(FF92, "SP_COUNTRY_NAME")</f>
        <v>#INVALID COMPANY ID</v>
      </c>
      <c r="FJ92" t="s">
        <v>446</v>
      </c>
      <c r="FK92">
        <v>4539004</v>
      </c>
      <c r="FL92" t="s">
        <v>346</v>
      </c>
      <c r="FM92" s="11">
        <v>0.01</v>
      </c>
      <c r="FN92" s="9" t="str">
        <f>_xll.SNL.Clients.Office.Excel.Functions.SPG(FK92, "SP_COUNTRY_NAME")</f>
        <v>USA</v>
      </c>
      <c r="FS92" s="9" t="str">
        <f>_xll.SNL.Clients.Office.Excel.Functions.SPG(FP92, "SP_COUNTRY_NAME")</f>
        <v>#INVALID COMPANY ID</v>
      </c>
      <c r="FX92" s="9" t="str">
        <f>_xll.SNL.Clients.Office.Excel.Functions.SPG(FU92, "SP_COUNTRY_NAME")</f>
        <v>#INVALID COMPANY ID</v>
      </c>
      <c r="FY92" t="s">
        <v>1413</v>
      </c>
      <c r="FZ92">
        <v>3006816</v>
      </c>
      <c r="GA92" t="s">
        <v>366</v>
      </c>
      <c r="GB92" s="11">
        <v>0.08</v>
      </c>
      <c r="GC92" s="9" t="str">
        <f>_xll.SNL.Clients.Office.Excel.Functions.SPG(FZ92, "SP_COUNTRY_NAME")</f>
        <v>USA</v>
      </c>
      <c r="GH92" s="9" t="str">
        <f>_xll.SNL.Clients.Office.Excel.Functions.SPG(GE92, "SP_COUNTRY_NAME")</f>
        <v>#INVALID COMPANY ID</v>
      </c>
      <c r="GM92" s="9" t="str">
        <f>_xll.SNL.Clients.Office.Excel.Functions.SPG(GJ92, "SP_COUNTRY_NAME")</f>
        <v>#INVALID COMPANY ID</v>
      </c>
      <c r="GN92" t="s">
        <v>446</v>
      </c>
      <c r="GO92">
        <v>4539004</v>
      </c>
      <c r="GP92" t="s">
        <v>346</v>
      </c>
      <c r="GQ92" s="11">
        <v>0.01</v>
      </c>
      <c r="GR92" s="9" t="str">
        <f>_xll.SNL.Clients.Office.Excel.Functions.SPG(GO92, "SP_COUNTRY_NAME")</f>
        <v>USA</v>
      </c>
      <c r="GS92" t="s">
        <v>722</v>
      </c>
      <c r="GT92">
        <v>5812793</v>
      </c>
      <c r="GU92" t="s">
        <v>346</v>
      </c>
      <c r="GV92" s="11">
        <v>0.02</v>
      </c>
      <c r="GW92" s="9" t="str">
        <f>_xll.SNL.Clients.Office.Excel.Functions.SPG(GT92, "SP_COUNTRY_NAME")</f>
        <v>China</v>
      </c>
      <c r="GX92" t="s">
        <v>588</v>
      </c>
      <c r="GY92">
        <v>111537</v>
      </c>
      <c r="GZ92" t="s">
        <v>346</v>
      </c>
      <c r="HA92" s="11">
        <v>0.09</v>
      </c>
      <c r="HB92" s="9" t="str">
        <f>_xll.SNL.Clients.Office.Excel.Functions.SPG(GY92, "SP_COUNTRY_NAME")</f>
        <v>USA</v>
      </c>
      <c r="HG92" s="9" t="str">
        <f>_xll.SNL.Clients.Office.Excel.Functions.SPG(HD92, "SP_COUNTRY_NAME")</f>
        <v>#INVALID COMPANY ID</v>
      </c>
    </row>
    <row r="93" spans="5:215" x14ac:dyDescent="0.35">
      <c r="E93" s="9" t="str">
        <f>_xll.SNL.Clients.Office.Excel.Functions.SPG(B93, "SP_COUNTRY_NAME")</f>
        <v>#INVALID COMPANY ID</v>
      </c>
      <c r="F93" t="s">
        <v>483</v>
      </c>
      <c r="G93">
        <v>109763</v>
      </c>
      <c r="H93" t="s">
        <v>346</v>
      </c>
      <c r="I93" s="11">
        <v>0.01</v>
      </c>
      <c r="J93" s="9" t="str">
        <f>_xll.SNL.Clients.Office.Excel.Functions.SPG(G93, "SP_COUNTRY_NAME")</f>
        <v>USA</v>
      </c>
      <c r="K93" t="s">
        <v>672</v>
      </c>
      <c r="L93">
        <v>4139739</v>
      </c>
      <c r="M93" t="s">
        <v>346</v>
      </c>
      <c r="N93" s="11">
        <v>0</v>
      </c>
      <c r="O93" s="9" t="str">
        <f>_xll.SNL.Clients.Office.Excel.Functions.SPG(L93, "SP_COUNTRY_NAME")</f>
        <v>China</v>
      </c>
      <c r="T93" s="9" t="str">
        <f>_xll.SNL.Clients.Office.Excel.Functions.SPG(Q93, "SP_COUNTRY_NAME")</f>
        <v>#INVALID COMPANY ID</v>
      </c>
      <c r="U93" t="s">
        <v>735</v>
      </c>
      <c r="V93">
        <v>4345966</v>
      </c>
      <c r="W93" t="s">
        <v>346</v>
      </c>
      <c r="X93" s="11">
        <v>0.04</v>
      </c>
      <c r="Y93" s="9" t="str">
        <f>_xll.SNL.Clients.Office.Excel.Functions.SPG(V93, "SP_COUNTRY_NAME")</f>
        <v>China</v>
      </c>
      <c r="Z93" t="s">
        <v>672</v>
      </c>
      <c r="AA93">
        <v>4139739</v>
      </c>
      <c r="AB93" t="s">
        <v>346</v>
      </c>
      <c r="AC93" s="11">
        <v>0</v>
      </c>
      <c r="AD93" s="9" t="str">
        <f>_xll.SNL.Clients.Office.Excel.Functions.SPG(AA93, "SP_COUNTRY_NAME")</f>
        <v>China</v>
      </c>
      <c r="AE93" t="s">
        <v>1133</v>
      </c>
      <c r="AF93">
        <v>4138117</v>
      </c>
      <c r="AG93" t="s">
        <v>346</v>
      </c>
      <c r="AH93" s="11">
        <v>0.01</v>
      </c>
      <c r="AI93" s="9" t="str">
        <f>_xll.SNL.Clients.Office.Excel.Functions.SPG(AF93, "SP_COUNTRY_NAME")</f>
        <v>Canada</v>
      </c>
      <c r="AN93" s="9" t="str">
        <f>_xll.SNL.Clients.Office.Excel.Functions.SPG(AK93, "SP_COUNTRY_NAME")</f>
        <v>#INVALID COMPANY ID</v>
      </c>
      <c r="AO93" t="s">
        <v>1282</v>
      </c>
      <c r="AP93">
        <v>102734</v>
      </c>
      <c r="AQ93" t="s">
        <v>346</v>
      </c>
      <c r="AR93" s="11">
        <v>0.03</v>
      </c>
      <c r="AS93" s="9" t="str">
        <f>_xll.SNL.Clients.Office.Excel.Functions.SPG(AP93, "SP_COUNTRY_NAME")</f>
        <v>USA</v>
      </c>
      <c r="AX93" s="9" t="str">
        <f>_xll.SNL.Clients.Office.Excel.Functions.SPG(AU93, "SP_COUNTRY_NAME")</f>
        <v>#INVALID COMPANY ID</v>
      </c>
      <c r="BC93" s="9" t="str">
        <f>_xll.SNL.Clients.Office.Excel.Functions.SPG(AZ93, "SP_COUNTRY_NAME")</f>
        <v>#INVALID COMPANY ID</v>
      </c>
      <c r="BD93" t="s">
        <v>1414</v>
      </c>
      <c r="BE93">
        <v>4278965</v>
      </c>
      <c r="BF93" t="s">
        <v>346</v>
      </c>
      <c r="BG93" s="11">
        <v>0.08</v>
      </c>
      <c r="BH93" s="9" t="str">
        <f>_xll.SNL.Clients.Office.Excel.Functions.SPG(BE93, "SP_COUNTRY_NAME")</f>
        <v>Belgium</v>
      </c>
      <c r="BI93" t="s">
        <v>667</v>
      </c>
      <c r="BJ93">
        <v>4208762</v>
      </c>
      <c r="BK93" t="s">
        <v>346</v>
      </c>
      <c r="BL93" s="11">
        <v>0.03</v>
      </c>
      <c r="BM93" s="9" t="str">
        <f>_xll.SNL.Clients.Office.Excel.Functions.SPG(BJ93, "SP_COUNTRY_NAME")</f>
        <v>Hong Kong</v>
      </c>
      <c r="BN93" t="s">
        <v>489</v>
      </c>
      <c r="BO93">
        <v>4324456</v>
      </c>
      <c r="BP93" t="s">
        <v>346</v>
      </c>
      <c r="BQ93" s="11">
        <v>0.02</v>
      </c>
      <c r="BR93" s="9" t="str">
        <f>_xll.SNL.Clients.Office.Excel.Functions.SPG(BO93, "SP_COUNTRY_NAME")</f>
        <v>Italy</v>
      </c>
      <c r="BS93" t="s">
        <v>960</v>
      </c>
      <c r="BT93">
        <v>4053760</v>
      </c>
      <c r="BU93" t="s">
        <v>346</v>
      </c>
      <c r="BV93" s="11">
        <v>0.04</v>
      </c>
      <c r="BW93" s="9" t="str">
        <f>_xll.SNL.Clients.Office.Excel.Functions.SPG(BT93, "SP_COUNTRY_NAME")</f>
        <v>Bermuda</v>
      </c>
      <c r="BX93" t="s">
        <v>735</v>
      </c>
      <c r="BY93">
        <v>4345966</v>
      </c>
      <c r="BZ93" t="s">
        <v>346</v>
      </c>
      <c r="CA93" s="11">
        <v>0.04</v>
      </c>
      <c r="CB93" s="9" t="str">
        <f>_xll.SNL.Clients.Office.Excel.Functions.SPG(BY93, "SP_COUNTRY_NAME")</f>
        <v>China</v>
      </c>
      <c r="CC93" t="s">
        <v>442</v>
      </c>
      <c r="CD93">
        <v>4117611</v>
      </c>
      <c r="CE93" t="s">
        <v>346</v>
      </c>
      <c r="CF93" s="11">
        <v>0.09</v>
      </c>
      <c r="CG93" s="9" t="str">
        <f>_xll.SNL.Clients.Office.Excel.Functions.SPG(CD93, "SP_COUNTRY_NAME")</f>
        <v>USA</v>
      </c>
      <c r="CH93" t="s">
        <v>1282</v>
      </c>
      <c r="CI93">
        <v>102734</v>
      </c>
      <c r="CJ93" t="s">
        <v>346</v>
      </c>
      <c r="CK93" s="11">
        <v>0.03</v>
      </c>
      <c r="CL93" s="9" t="str">
        <f>_xll.SNL.Clients.Office.Excel.Functions.SPG(CI93, "SP_COUNTRY_NAME")</f>
        <v>USA</v>
      </c>
      <c r="CM93" t="s">
        <v>390</v>
      </c>
      <c r="CN93">
        <v>4135241</v>
      </c>
      <c r="CO93" t="s">
        <v>346</v>
      </c>
      <c r="CP93" s="11">
        <v>0.06</v>
      </c>
      <c r="CQ93" s="9" t="str">
        <f>_xll.SNL.Clients.Office.Excel.Functions.SPG(CN93, "SP_COUNTRY_NAME")</f>
        <v>Australia</v>
      </c>
      <c r="CV93" s="9" t="str">
        <f>_xll.SNL.Clients.Office.Excel.Functions.SPG(CS93, "SP_COUNTRY_NAME")</f>
        <v>#INVALID COMPANY ID</v>
      </c>
      <c r="DA93" s="9" t="str">
        <f>_xll.SNL.Clients.Office.Excel.Functions.SPG(CX93, "SP_COUNTRY_NAME")</f>
        <v>#INVALID COMPANY ID</v>
      </c>
      <c r="DB93" t="s">
        <v>1414</v>
      </c>
      <c r="DC93">
        <v>4278965</v>
      </c>
      <c r="DD93" t="s">
        <v>346</v>
      </c>
      <c r="DE93" s="11">
        <v>0.08</v>
      </c>
      <c r="DF93" s="9" t="str">
        <f>_xll.SNL.Clients.Office.Excel.Functions.SPG(DC93, "SP_COUNTRY_NAME")</f>
        <v>Belgium</v>
      </c>
      <c r="DK93" s="9" t="str">
        <f>_xll.SNL.Clients.Office.Excel.Functions.SPG(DH93, "SP_COUNTRY_NAME")</f>
        <v>#INVALID COMPANY ID</v>
      </c>
      <c r="DL93" t="s">
        <v>1414</v>
      </c>
      <c r="DM93">
        <v>4278965</v>
      </c>
      <c r="DN93" t="s">
        <v>346</v>
      </c>
      <c r="DO93" s="11">
        <v>0.08</v>
      </c>
      <c r="DP93" s="9" t="str">
        <f>_xll.SNL.Clients.Office.Excel.Functions.SPG(DM93, "SP_COUNTRY_NAME")</f>
        <v>Belgium</v>
      </c>
      <c r="DU93" s="9" t="str">
        <f>_xll.SNL.Clients.Office.Excel.Functions.SPG(DR93, "SP_COUNTRY_NAME")</f>
        <v>#INVALID COMPANY ID</v>
      </c>
      <c r="DV93" t="s">
        <v>653</v>
      </c>
      <c r="DW93">
        <v>4100281</v>
      </c>
      <c r="DX93" t="s">
        <v>346</v>
      </c>
      <c r="DY93" s="11">
        <v>0</v>
      </c>
      <c r="DZ93" s="9" t="str">
        <f>_xll.SNL.Clients.Office.Excel.Functions.SPG(DW93, "SP_COUNTRY_NAME")</f>
        <v>Hong Kong</v>
      </c>
      <c r="EA93" t="s">
        <v>442</v>
      </c>
      <c r="EB93">
        <v>4117611</v>
      </c>
      <c r="EC93" t="s">
        <v>346</v>
      </c>
      <c r="ED93" s="11">
        <v>0.09</v>
      </c>
      <c r="EE93" s="9" t="str">
        <f>_xll.SNL.Clients.Office.Excel.Functions.SPG(EB93, "SP_COUNTRY_NAME")</f>
        <v>USA</v>
      </c>
      <c r="EF93" t="s">
        <v>1414</v>
      </c>
      <c r="EG93">
        <v>4278965</v>
      </c>
      <c r="EH93" t="s">
        <v>346</v>
      </c>
      <c r="EI93" s="11">
        <v>0.08</v>
      </c>
      <c r="EJ93" s="9" t="str">
        <f>_xll.SNL.Clients.Office.Excel.Functions.SPG(EG93, "SP_COUNTRY_NAME")</f>
        <v>Belgium</v>
      </c>
      <c r="EO93" s="9" t="str">
        <f>_xll.SNL.Clients.Office.Excel.Functions.SPG(EL93, "SP_COUNTRY_NAME")</f>
        <v>#INVALID COMPANY ID</v>
      </c>
      <c r="EP93" t="s">
        <v>403</v>
      </c>
      <c r="EQ93">
        <v>4033550</v>
      </c>
      <c r="ER93" t="s">
        <v>346</v>
      </c>
      <c r="ES93" s="11">
        <v>0</v>
      </c>
      <c r="ET93" s="9" t="str">
        <f>_xll.SNL.Clients.Office.Excel.Functions.SPG(EQ93, "SP_COUNTRY_NAME")</f>
        <v>USA</v>
      </c>
      <c r="EY93" s="9" t="str">
        <f>_xll.SNL.Clients.Office.Excel.Functions.SPG(EV93, "SP_COUNTRY_NAME")</f>
        <v>#INVALID COMPANY ID</v>
      </c>
      <c r="FD93" s="9" t="str">
        <f>_xll.SNL.Clients.Office.Excel.Functions.SPG(FA93, "SP_COUNTRY_NAME")</f>
        <v>#INVALID COMPANY ID</v>
      </c>
      <c r="FI93" s="9" t="str">
        <f>_xll.SNL.Clients.Office.Excel.Functions.SPG(FF93, "SP_COUNTRY_NAME")</f>
        <v>#INVALID COMPANY ID</v>
      </c>
      <c r="FJ93" t="s">
        <v>497</v>
      </c>
      <c r="FK93">
        <v>4138770</v>
      </c>
      <c r="FL93" t="s">
        <v>346</v>
      </c>
      <c r="FM93" s="11">
        <v>0.01</v>
      </c>
      <c r="FN93" s="9" t="str">
        <f>_xll.SNL.Clients.Office.Excel.Functions.SPG(FK93, "SP_COUNTRY_NAME")</f>
        <v>United Kingdom</v>
      </c>
      <c r="FS93" s="9" t="str">
        <f>_xll.SNL.Clients.Office.Excel.Functions.SPG(FP93, "SP_COUNTRY_NAME")</f>
        <v>#INVALID COMPANY ID</v>
      </c>
      <c r="FX93" s="9" t="str">
        <f>_xll.SNL.Clients.Office.Excel.Functions.SPG(FU93, "SP_COUNTRY_NAME")</f>
        <v>#INVALID COMPANY ID</v>
      </c>
      <c r="FY93" t="s">
        <v>1414</v>
      </c>
      <c r="FZ93">
        <v>4278965</v>
      </c>
      <c r="GA93" t="s">
        <v>346</v>
      </c>
      <c r="GB93" s="11">
        <v>0.08</v>
      </c>
      <c r="GC93" s="9" t="str">
        <f>_xll.SNL.Clients.Office.Excel.Functions.SPG(FZ93, "SP_COUNTRY_NAME")</f>
        <v>Belgium</v>
      </c>
      <c r="GH93" s="9" t="str">
        <f>_xll.SNL.Clients.Office.Excel.Functions.SPG(GE93, "SP_COUNTRY_NAME")</f>
        <v>#INVALID COMPANY ID</v>
      </c>
      <c r="GM93" s="9" t="str">
        <f>_xll.SNL.Clients.Office.Excel.Functions.SPG(GJ93, "SP_COUNTRY_NAME")</f>
        <v>#INVALID COMPANY ID</v>
      </c>
      <c r="GN93" t="s">
        <v>497</v>
      </c>
      <c r="GO93">
        <v>4138770</v>
      </c>
      <c r="GP93" t="s">
        <v>346</v>
      </c>
      <c r="GQ93" s="11">
        <v>0.01</v>
      </c>
      <c r="GR93" s="9" t="str">
        <f>_xll.SNL.Clients.Office.Excel.Functions.SPG(GO93, "SP_COUNTRY_NAME")</f>
        <v>United Kingdom</v>
      </c>
      <c r="GS93" t="s">
        <v>489</v>
      </c>
      <c r="GT93">
        <v>4324456</v>
      </c>
      <c r="GU93" t="s">
        <v>346</v>
      </c>
      <c r="GV93" s="11">
        <v>0.02</v>
      </c>
      <c r="GW93" s="9" t="str">
        <f>_xll.SNL.Clients.Office.Excel.Functions.SPG(GT93, "SP_COUNTRY_NAME")</f>
        <v>Italy</v>
      </c>
      <c r="GX93" t="s">
        <v>442</v>
      </c>
      <c r="GY93">
        <v>4117611</v>
      </c>
      <c r="GZ93" t="s">
        <v>346</v>
      </c>
      <c r="HA93" s="11">
        <v>0.09</v>
      </c>
      <c r="HB93" s="9" t="str">
        <f>_xll.SNL.Clients.Office.Excel.Functions.SPG(GY93, "SP_COUNTRY_NAME")</f>
        <v>USA</v>
      </c>
      <c r="HG93" s="9" t="str">
        <f>_xll.SNL.Clients.Office.Excel.Functions.SPG(HD93, "SP_COUNTRY_NAME")</f>
        <v>#INVALID COMPANY ID</v>
      </c>
    </row>
    <row r="94" spans="5:215" x14ac:dyDescent="0.35">
      <c r="E94" s="9" t="str">
        <f>_xll.SNL.Clients.Office.Excel.Functions.SPG(B94, "SP_COUNTRY_NAME")</f>
        <v>#INVALID COMPANY ID</v>
      </c>
      <c r="F94" t="s">
        <v>484</v>
      </c>
      <c r="G94">
        <v>110386</v>
      </c>
      <c r="H94" t="s">
        <v>346</v>
      </c>
      <c r="I94" s="11">
        <v>0.01</v>
      </c>
      <c r="J94" s="9" t="str">
        <f>_xll.SNL.Clients.Office.Excel.Functions.SPG(G94, "SP_COUNTRY_NAME")</f>
        <v>USA</v>
      </c>
      <c r="K94" t="s">
        <v>673</v>
      </c>
      <c r="L94">
        <v>5837129</v>
      </c>
      <c r="M94" t="s">
        <v>346</v>
      </c>
      <c r="N94" s="11">
        <v>0</v>
      </c>
      <c r="O94" s="9" t="str">
        <f>_xll.SNL.Clients.Office.Excel.Functions.SPG(L94, "SP_COUNTRY_NAME")</f>
        <v>China</v>
      </c>
      <c r="T94" s="9" t="str">
        <f>_xll.SNL.Clients.Office.Excel.Functions.SPG(Q94, "SP_COUNTRY_NAME")</f>
        <v>#INVALID COMPANY ID</v>
      </c>
      <c r="U94" t="s">
        <v>736</v>
      </c>
      <c r="V94">
        <v>4139955</v>
      </c>
      <c r="W94" t="s">
        <v>346</v>
      </c>
      <c r="X94" s="11">
        <v>0.04</v>
      </c>
      <c r="Y94" s="9" t="str">
        <f>_xll.SNL.Clients.Office.Excel.Functions.SPG(V94, "SP_COUNTRY_NAME")</f>
        <v>Singapore</v>
      </c>
      <c r="Z94" t="s">
        <v>673</v>
      </c>
      <c r="AA94">
        <v>5837129</v>
      </c>
      <c r="AB94" t="s">
        <v>346</v>
      </c>
      <c r="AC94" s="11">
        <v>0</v>
      </c>
      <c r="AD94" s="9" t="str">
        <f>_xll.SNL.Clients.Office.Excel.Functions.SPG(AA94, "SP_COUNTRY_NAME")</f>
        <v>China</v>
      </c>
      <c r="AE94" t="s">
        <v>894</v>
      </c>
      <c r="AF94">
        <v>4139629</v>
      </c>
      <c r="AG94" t="s">
        <v>346</v>
      </c>
      <c r="AH94" s="11">
        <v>0.01</v>
      </c>
      <c r="AI94" s="9" t="str">
        <f>_xll.SNL.Clients.Office.Excel.Functions.SPG(AF94, "SP_COUNTRY_NAME")</f>
        <v>Singapore</v>
      </c>
      <c r="AN94" s="9" t="str">
        <f>_xll.SNL.Clients.Office.Excel.Functions.SPG(AK94, "SP_COUNTRY_NAME")</f>
        <v>#INVALID COMPANY ID</v>
      </c>
      <c r="AO94" t="s">
        <v>530</v>
      </c>
      <c r="AP94">
        <v>102729</v>
      </c>
      <c r="AQ94" t="s">
        <v>346</v>
      </c>
      <c r="AR94" s="11">
        <v>0.03</v>
      </c>
      <c r="AS94" s="9" t="str">
        <f>_xll.SNL.Clients.Office.Excel.Functions.SPG(AP94, "SP_COUNTRY_NAME")</f>
        <v>USA</v>
      </c>
      <c r="AX94" s="9" t="str">
        <f>_xll.SNL.Clients.Office.Excel.Functions.SPG(AU94, "SP_COUNTRY_NAME")</f>
        <v>#INVALID COMPANY ID</v>
      </c>
      <c r="BC94" s="9" t="str">
        <f>_xll.SNL.Clients.Office.Excel.Functions.SPG(AZ94, "SP_COUNTRY_NAME")</f>
        <v>#INVALID COMPANY ID</v>
      </c>
      <c r="BD94" t="s">
        <v>466</v>
      </c>
      <c r="BE94">
        <v>111267</v>
      </c>
      <c r="BF94" t="s">
        <v>346</v>
      </c>
      <c r="BG94" s="11">
        <v>0.08</v>
      </c>
      <c r="BH94" s="9" t="str">
        <f>_xll.SNL.Clients.Office.Excel.Functions.SPG(BE94, "SP_COUNTRY_NAME")</f>
        <v>United Kingdom</v>
      </c>
      <c r="BI94" t="s">
        <v>468</v>
      </c>
      <c r="BJ94">
        <v>4556191</v>
      </c>
      <c r="BK94" t="s">
        <v>346</v>
      </c>
      <c r="BL94" s="11">
        <v>0.03</v>
      </c>
      <c r="BM94" s="9" t="str">
        <f>_xll.SNL.Clients.Office.Excel.Functions.SPG(BJ94, "SP_COUNTRY_NAME")</f>
        <v>USA</v>
      </c>
      <c r="BN94" t="s">
        <v>1236</v>
      </c>
      <c r="BO94" t="s">
        <v>300</v>
      </c>
      <c r="BP94" t="s">
        <v>361</v>
      </c>
      <c r="BQ94" s="11">
        <v>0.02</v>
      </c>
      <c r="BR94" s="9" t="str">
        <f>_xll.SNL.Clients.Office.Excel.Functions.SPG(BO94, "SP_COUNTRY_NAME")</f>
        <v>China</v>
      </c>
      <c r="BS94" t="s">
        <v>686</v>
      </c>
      <c r="BT94">
        <v>4784142</v>
      </c>
      <c r="BU94" t="s">
        <v>346</v>
      </c>
      <c r="BV94" s="11">
        <v>0.04</v>
      </c>
      <c r="BW94" s="9" t="str">
        <f>_xll.SNL.Clients.Office.Excel.Functions.SPG(BT94, "SP_COUNTRY_NAME")</f>
        <v>China</v>
      </c>
      <c r="BX94" t="s">
        <v>736</v>
      </c>
      <c r="BY94">
        <v>4139955</v>
      </c>
      <c r="BZ94" t="s">
        <v>346</v>
      </c>
      <c r="CA94" s="11">
        <v>0.04</v>
      </c>
      <c r="CB94" s="9" t="str">
        <f>_xll.SNL.Clients.Office.Excel.Functions.SPG(BY94, "SP_COUNTRY_NAME")</f>
        <v>Singapore</v>
      </c>
      <c r="CC94" t="s">
        <v>426</v>
      </c>
      <c r="CD94">
        <v>100201</v>
      </c>
      <c r="CE94" t="s">
        <v>366</v>
      </c>
      <c r="CF94" s="11">
        <v>0.08</v>
      </c>
      <c r="CG94" s="9" t="str">
        <f>_xll.SNL.Clients.Office.Excel.Functions.SPG(CD94, "SP_COUNTRY_NAME")</f>
        <v>USA</v>
      </c>
      <c r="CH94" t="s">
        <v>530</v>
      </c>
      <c r="CI94">
        <v>102729</v>
      </c>
      <c r="CJ94" t="s">
        <v>346</v>
      </c>
      <c r="CK94" s="11">
        <v>0.03</v>
      </c>
      <c r="CL94" s="9" t="str">
        <f>_xll.SNL.Clients.Office.Excel.Functions.SPG(CI94, "SP_COUNTRY_NAME")</f>
        <v>USA</v>
      </c>
      <c r="CM94" t="s">
        <v>1965</v>
      </c>
      <c r="CN94">
        <v>19859112</v>
      </c>
      <c r="CO94" t="s">
        <v>346</v>
      </c>
      <c r="CP94" s="11">
        <v>0.06</v>
      </c>
      <c r="CQ94" s="9" t="str">
        <f>_xll.SNL.Clients.Office.Excel.Functions.SPG(CN94, "SP_COUNTRY_NAME")</f>
        <v>USA</v>
      </c>
      <c r="CV94" s="9" t="str">
        <f>_xll.SNL.Clients.Office.Excel.Functions.SPG(CS94, "SP_COUNTRY_NAME")</f>
        <v>#INVALID COMPANY ID</v>
      </c>
      <c r="DA94" s="9" t="str">
        <f>_xll.SNL.Clients.Office.Excel.Functions.SPG(CX94, "SP_COUNTRY_NAME")</f>
        <v>#INVALID COMPANY ID</v>
      </c>
      <c r="DB94" t="s">
        <v>466</v>
      </c>
      <c r="DC94">
        <v>111267</v>
      </c>
      <c r="DD94" t="s">
        <v>346</v>
      </c>
      <c r="DE94" s="11">
        <v>0.08</v>
      </c>
      <c r="DF94" s="9" t="str">
        <f>_xll.SNL.Clients.Office.Excel.Functions.SPG(DC94, "SP_COUNTRY_NAME")</f>
        <v>United Kingdom</v>
      </c>
      <c r="DK94" s="9" t="str">
        <f>_xll.SNL.Clients.Office.Excel.Functions.SPG(DH94, "SP_COUNTRY_NAME")</f>
        <v>#INVALID COMPANY ID</v>
      </c>
      <c r="DL94" t="s">
        <v>466</v>
      </c>
      <c r="DM94">
        <v>111267</v>
      </c>
      <c r="DN94" t="s">
        <v>346</v>
      </c>
      <c r="DO94" s="11">
        <v>0.08</v>
      </c>
      <c r="DP94" s="9" t="str">
        <f>_xll.SNL.Clients.Office.Excel.Functions.SPG(DM94, "SP_COUNTRY_NAME")</f>
        <v>United Kingdom</v>
      </c>
      <c r="DU94" s="9" t="str">
        <f>_xll.SNL.Clients.Office.Excel.Functions.SPG(DR94, "SP_COUNTRY_NAME")</f>
        <v>#INVALID COMPANY ID</v>
      </c>
      <c r="DV94" t="s">
        <v>403</v>
      </c>
      <c r="DW94">
        <v>4033550</v>
      </c>
      <c r="DX94" t="s">
        <v>346</v>
      </c>
      <c r="DY94" s="11">
        <v>0</v>
      </c>
      <c r="DZ94" s="9" t="str">
        <f>_xll.SNL.Clients.Office.Excel.Functions.SPG(DW94, "SP_COUNTRY_NAME")</f>
        <v>USA</v>
      </c>
      <c r="EA94" t="s">
        <v>426</v>
      </c>
      <c r="EB94">
        <v>100201</v>
      </c>
      <c r="EC94" t="s">
        <v>366</v>
      </c>
      <c r="ED94" s="11">
        <v>0.08</v>
      </c>
      <c r="EE94" s="9" t="str">
        <f>_xll.SNL.Clients.Office.Excel.Functions.SPG(EB94, "SP_COUNTRY_NAME")</f>
        <v>USA</v>
      </c>
      <c r="EF94" t="s">
        <v>466</v>
      </c>
      <c r="EG94">
        <v>111267</v>
      </c>
      <c r="EH94" t="s">
        <v>346</v>
      </c>
      <c r="EI94" s="11">
        <v>0.08</v>
      </c>
      <c r="EJ94" s="9" t="str">
        <f>_xll.SNL.Clients.Office.Excel.Functions.SPG(EG94, "SP_COUNTRY_NAME")</f>
        <v>United Kingdom</v>
      </c>
      <c r="EO94" s="9" t="str">
        <f>_xll.SNL.Clients.Office.Excel.Functions.SPG(EL94, "SP_COUNTRY_NAME")</f>
        <v>#INVALID COMPANY ID</v>
      </c>
      <c r="EP94" t="s">
        <v>543</v>
      </c>
      <c r="EQ94">
        <v>4138118</v>
      </c>
      <c r="ER94" t="s">
        <v>346</v>
      </c>
      <c r="ES94" s="11">
        <v>0</v>
      </c>
      <c r="ET94" s="9" t="str">
        <f>_xll.SNL.Clients.Office.Excel.Functions.SPG(EQ94, "SP_COUNTRY_NAME")</f>
        <v>Hong Kong</v>
      </c>
      <c r="EY94" s="9" t="str">
        <f>_xll.SNL.Clients.Office.Excel.Functions.SPG(EV94, "SP_COUNTRY_NAME")</f>
        <v>#INVALID COMPANY ID</v>
      </c>
      <c r="FD94" s="9" t="str">
        <f>_xll.SNL.Clients.Office.Excel.Functions.SPG(FA94, "SP_COUNTRY_NAME")</f>
        <v>#INVALID COMPANY ID</v>
      </c>
      <c r="FI94" s="9" t="str">
        <f>_xll.SNL.Clients.Office.Excel.Functions.SPG(FF94, "SP_COUNTRY_NAME")</f>
        <v>#INVALID COMPANY ID</v>
      </c>
      <c r="FJ94" t="s">
        <v>448</v>
      </c>
      <c r="FK94">
        <v>4586390</v>
      </c>
      <c r="FL94" t="s">
        <v>346</v>
      </c>
      <c r="FM94" s="11">
        <v>0.01</v>
      </c>
      <c r="FN94" s="9" t="str">
        <f>_xll.SNL.Clients.Office.Excel.Functions.SPG(FK94, "SP_COUNTRY_NAME")</f>
        <v>Japan</v>
      </c>
      <c r="FS94" s="9" t="str">
        <f>_xll.SNL.Clients.Office.Excel.Functions.SPG(FP94, "SP_COUNTRY_NAME")</f>
        <v>#INVALID COMPANY ID</v>
      </c>
      <c r="FX94" s="9" t="str">
        <f>_xll.SNL.Clients.Office.Excel.Functions.SPG(FU94, "SP_COUNTRY_NAME")</f>
        <v>#INVALID COMPANY ID</v>
      </c>
      <c r="FY94" t="s">
        <v>466</v>
      </c>
      <c r="FZ94">
        <v>111267</v>
      </c>
      <c r="GA94" t="s">
        <v>346</v>
      </c>
      <c r="GB94" s="11">
        <v>0.08</v>
      </c>
      <c r="GC94" s="9" t="str">
        <f>_xll.SNL.Clients.Office.Excel.Functions.SPG(FZ94, "SP_COUNTRY_NAME")</f>
        <v>United Kingdom</v>
      </c>
      <c r="GH94" s="9" t="str">
        <f>_xll.SNL.Clients.Office.Excel.Functions.SPG(GE94, "SP_COUNTRY_NAME")</f>
        <v>#INVALID COMPANY ID</v>
      </c>
      <c r="GM94" s="9" t="str">
        <f>_xll.SNL.Clients.Office.Excel.Functions.SPG(GJ94, "SP_COUNTRY_NAME")</f>
        <v>#INVALID COMPANY ID</v>
      </c>
      <c r="GN94" t="s">
        <v>448</v>
      </c>
      <c r="GO94">
        <v>4586390</v>
      </c>
      <c r="GP94" t="s">
        <v>346</v>
      </c>
      <c r="GQ94" s="11">
        <v>0.01</v>
      </c>
      <c r="GR94" s="9" t="str">
        <f>_xll.SNL.Clients.Office.Excel.Functions.SPG(GO94, "SP_COUNTRY_NAME")</f>
        <v>Japan</v>
      </c>
      <c r="GS94" t="s">
        <v>1236</v>
      </c>
      <c r="GT94" t="s">
        <v>300</v>
      </c>
      <c r="GU94" t="s">
        <v>361</v>
      </c>
      <c r="GV94" s="11">
        <v>0.02</v>
      </c>
      <c r="GW94" s="9" t="str">
        <f>_xll.SNL.Clients.Office.Excel.Functions.SPG(GT94, "SP_COUNTRY_NAME")</f>
        <v>China</v>
      </c>
      <c r="GX94" t="s">
        <v>426</v>
      </c>
      <c r="GY94">
        <v>100201</v>
      </c>
      <c r="GZ94" t="s">
        <v>366</v>
      </c>
      <c r="HA94" s="11">
        <v>0.08</v>
      </c>
      <c r="HB94" s="9" t="str">
        <f>_xll.SNL.Clients.Office.Excel.Functions.SPG(GY94, "SP_COUNTRY_NAME")</f>
        <v>USA</v>
      </c>
      <c r="HG94" s="9" t="str">
        <f>_xll.SNL.Clients.Office.Excel.Functions.SPG(HD94, "SP_COUNTRY_NAME")</f>
        <v>#INVALID COMPANY ID</v>
      </c>
    </row>
    <row r="95" spans="5:215" x14ac:dyDescent="0.35">
      <c r="E95" s="9" t="str">
        <f>_xll.SNL.Clients.Office.Excel.Functions.SPG(B95, "SP_COUNTRY_NAME")</f>
        <v>#INVALID COMPANY ID</v>
      </c>
      <c r="F95" t="s">
        <v>485</v>
      </c>
      <c r="G95">
        <v>5652844</v>
      </c>
      <c r="H95" t="s">
        <v>346</v>
      </c>
      <c r="I95" s="11">
        <v>0.01</v>
      </c>
      <c r="J95" s="9" t="str">
        <f>_xll.SNL.Clients.Office.Excel.Functions.SPG(G95, "SP_COUNTRY_NAME")</f>
        <v>Japan</v>
      </c>
      <c r="K95" t="s">
        <v>442</v>
      </c>
      <c r="L95">
        <v>4117611</v>
      </c>
      <c r="M95" t="s">
        <v>346</v>
      </c>
      <c r="N95" s="11">
        <v>0</v>
      </c>
      <c r="O95" s="9" t="str">
        <f>_xll.SNL.Clients.Office.Excel.Functions.SPG(L95, "SP_COUNTRY_NAME")</f>
        <v>USA</v>
      </c>
      <c r="T95" s="9" t="str">
        <f>_xll.SNL.Clients.Office.Excel.Functions.SPG(Q95, "SP_COUNTRY_NAME")</f>
        <v>#INVALID COMPANY ID</v>
      </c>
      <c r="U95" t="s">
        <v>591</v>
      </c>
      <c r="V95">
        <v>109721</v>
      </c>
      <c r="W95" t="s">
        <v>346</v>
      </c>
      <c r="X95" s="11">
        <v>0.04</v>
      </c>
      <c r="Y95" s="9" t="str">
        <f>_xll.SNL.Clients.Office.Excel.Functions.SPG(V95, "SP_COUNTRY_NAME")</f>
        <v>USA</v>
      </c>
      <c r="Z95" t="s">
        <v>442</v>
      </c>
      <c r="AA95">
        <v>4117611</v>
      </c>
      <c r="AB95" t="s">
        <v>346</v>
      </c>
      <c r="AC95" s="11">
        <v>0</v>
      </c>
      <c r="AD95" s="9" t="str">
        <f>_xll.SNL.Clients.Office.Excel.Functions.SPG(AA95, "SP_COUNTRY_NAME")</f>
        <v>USA</v>
      </c>
      <c r="AE95" t="s">
        <v>1134</v>
      </c>
      <c r="AF95">
        <v>7059968</v>
      </c>
      <c r="AG95" t="s">
        <v>346</v>
      </c>
      <c r="AH95" s="11">
        <v>0.01</v>
      </c>
      <c r="AI95" s="9" t="str">
        <f>_xll.SNL.Clients.Office.Excel.Functions.SPG(AF95, "SP_COUNTRY_NAME")</f>
        <v>Canada</v>
      </c>
      <c r="AN95" s="9" t="str">
        <f>_xll.SNL.Clients.Office.Excel.Functions.SPG(AK95, "SP_COUNTRY_NAME")</f>
        <v>#INVALID COMPANY ID</v>
      </c>
      <c r="AO95" t="s">
        <v>1283</v>
      </c>
      <c r="AP95">
        <v>19723341</v>
      </c>
      <c r="AQ95" t="s">
        <v>346</v>
      </c>
      <c r="AR95" s="11">
        <v>0.03</v>
      </c>
      <c r="AS95" s="9" t="str">
        <f>_xll.SNL.Clients.Office.Excel.Functions.SPG(AP95, "SP_COUNTRY_NAME")</f>
        <v>South Africa</v>
      </c>
      <c r="AX95" s="9" t="str">
        <f>_xll.SNL.Clients.Office.Excel.Functions.SPG(AU95, "SP_COUNTRY_NAME")</f>
        <v>#INVALID COMPANY ID</v>
      </c>
      <c r="BC95" s="9" t="str">
        <f>_xll.SNL.Clients.Office.Excel.Functions.SPG(AZ95, "SP_COUNTRY_NAME")</f>
        <v>#INVALID COMPANY ID</v>
      </c>
      <c r="BD95" t="s">
        <v>383</v>
      </c>
      <c r="BE95">
        <v>103042</v>
      </c>
      <c r="BF95" t="s">
        <v>366</v>
      </c>
      <c r="BG95" s="11">
        <v>0.08</v>
      </c>
      <c r="BH95" s="9" t="str">
        <f>_xll.SNL.Clients.Office.Excel.Functions.SPG(BE95, "SP_COUNTRY_NAME")</f>
        <v>USA</v>
      </c>
      <c r="BI95" t="s">
        <v>439</v>
      </c>
      <c r="BJ95">
        <v>4757367</v>
      </c>
      <c r="BK95" t="s">
        <v>363</v>
      </c>
      <c r="BL95" s="11">
        <v>0.03</v>
      </c>
      <c r="BM95" s="9" t="str">
        <f>_xll.SNL.Clients.Office.Excel.Functions.SPG(BJ95, "SP_COUNTRY_NAME")</f>
        <v>Australia</v>
      </c>
      <c r="BN95" t="s">
        <v>856</v>
      </c>
      <c r="BO95">
        <v>4141040</v>
      </c>
      <c r="BP95" t="s">
        <v>346</v>
      </c>
      <c r="BQ95" s="11">
        <v>0.02</v>
      </c>
      <c r="BR95" s="9" t="str">
        <f>_xll.SNL.Clients.Office.Excel.Functions.SPG(BO95, "SP_COUNTRY_NAME")</f>
        <v>United Kingdom</v>
      </c>
      <c r="BS95" t="s">
        <v>584</v>
      </c>
      <c r="BT95">
        <v>4138797</v>
      </c>
      <c r="BU95" t="s">
        <v>346</v>
      </c>
      <c r="BV95" s="11">
        <v>0.04</v>
      </c>
      <c r="BW95" s="9" t="str">
        <f>_xll.SNL.Clients.Office.Excel.Functions.SPG(BT95, "SP_COUNTRY_NAME")</f>
        <v>Hong Kong</v>
      </c>
      <c r="BX95" t="s">
        <v>591</v>
      </c>
      <c r="BY95">
        <v>109721</v>
      </c>
      <c r="BZ95" t="s">
        <v>346</v>
      </c>
      <c r="CA95" s="11">
        <v>0.04</v>
      </c>
      <c r="CB95" s="9" t="str">
        <f>_xll.SNL.Clients.Office.Excel.Functions.SPG(BY95, "SP_COUNTRY_NAME")</f>
        <v>USA</v>
      </c>
      <c r="CC95" t="s">
        <v>1633</v>
      </c>
      <c r="CD95">
        <v>4324992</v>
      </c>
      <c r="CE95" t="s">
        <v>363</v>
      </c>
      <c r="CF95" s="11">
        <v>0.08</v>
      </c>
      <c r="CG95" s="9" t="str">
        <f>_xll.SNL.Clients.Office.Excel.Functions.SPG(CD95, "SP_COUNTRY_NAME")</f>
        <v>USA</v>
      </c>
      <c r="CH95" t="s">
        <v>1283</v>
      </c>
      <c r="CI95">
        <v>19723341</v>
      </c>
      <c r="CJ95" t="s">
        <v>346</v>
      </c>
      <c r="CK95" s="11">
        <v>0.03</v>
      </c>
      <c r="CL95" s="9" t="str">
        <f>_xll.SNL.Clients.Office.Excel.Functions.SPG(CI95, "SP_COUNTRY_NAME")</f>
        <v>South Africa</v>
      </c>
      <c r="CM95" t="s">
        <v>400</v>
      </c>
      <c r="CN95">
        <v>7834181</v>
      </c>
      <c r="CO95" t="s">
        <v>346</v>
      </c>
      <c r="CP95" s="11">
        <v>0.06</v>
      </c>
      <c r="CQ95" s="9" t="str">
        <f>_xll.SNL.Clients.Office.Excel.Functions.SPG(CN95, "SP_COUNTRY_NAME")</f>
        <v>United Kingdom</v>
      </c>
      <c r="CV95" s="9" t="str">
        <f>_xll.SNL.Clients.Office.Excel.Functions.SPG(CS95, "SP_COUNTRY_NAME")</f>
        <v>#INVALID COMPANY ID</v>
      </c>
      <c r="DA95" s="9" t="str">
        <f>_xll.SNL.Clients.Office.Excel.Functions.SPG(CX95, "SP_COUNTRY_NAME")</f>
        <v>#INVALID COMPANY ID</v>
      </c>
      <c r="DB95" t="s">
        <v>383</v>
      </c>
      <c r="DC95">
        <v>103042</v>
      </c>
      <c r="DD95" t="s">
        <v>366</v>
      </c>
      <c r="DE95" s="11">
        <v>0.08</v>
      </c>
      <c r="DF95" s="9" t="str">
        <f>_xll.SNL.Clients.Office.Excel.Functions.SPG(DC95, "SP_COUNTRY_NAME")</f>
        <v>USA</v>
      </c>
      <c r="DK95" s="9" t="str">
        <f>_xll.SNL.Clients.Office.Excel.Functions.SPG(DH95, "SP_COUNTRY_NAME")</f>
        <v>#INVALID COMPANY ID</v>
      </c>
      <c r="DL95" t="s">
        <v>383</v>
      </c>
      <c r="DM95">
        <v>103042</v>
      </c>
      <c r="DN95" t="s">
        <v>366</v>
      </c>
      <c r="DO95" s="11">
        <v>0.08</v>
      </c>
      <c r="DP95" s="9" t="str">
        <f>_xll.SNL.Clients.Office.Excel.Functions.SPG(DM95, "SP_COUNTRY_NAME")</f>
        <v>USA</v>
      </c>
      <c r="DU95" s="9" t="str">
        <f>_xll.SNL.Clients.Office.Excel.Functions.SPG(DR95, "SP_COUNTRY_NAME")</f>
        <v>#INVALID COMPANY ID</v>
      </c>
      <c r="DV95" t="s">
        <v>351</v>
      </c>
      <c r="DW95">
        <v>111289</v>
      </c>
      <c r="DX95" t="s">
        <v>346</v>
      </c>
      <c r="DY95" s="11">
        <v>0</v>
      </c>
      <c r="DZ95" s="9" t="str">
        <f>_xll.SNL.Clients.Office.Excel.Functions.SPG(DW95, "SP_COUNTRY_NAME")</f>
        <v>USA</v>
      </c>
      <c r="EA95" t="s">
        <v>1633</v>
      </c>
      <c r="EB95">
        <v>4324992</v>
      </c>
      <c r="EC95" t="s">
        <v>363</v>
      </c>
      <c r="ED95" s="11">
        <v>0.08</v>
      </c>
      <c r="EE95" s="9" t="str">
        <f>_xll.SNL.Clients.Office.Excel.Functions.SPG(EB95, "SP_COUNTRY_NAME")</f>
        <v>USA</v>
      </c>
      <c r="EF95" t="s">
        <v>383</v>
      </c>
      <c r="EG95">
        <v>103042</v>
      </c>
      <c r="EH95" t="s">
        <v>366</v>
      </c>
      <c r="EI95" s="11">
        <v>0.08</v>
      </c>
      <c r="EJ95" s="9" t="str">
        <f>_xll.SNL.Clients.Office.Excel.Functions.SPG(EG95, "SP_COUNTRY_NAME")</f>
        <v>USA</v>
      </c>
      <c r="EO95" s="9" t="str">
        <f>_xll.SNL.Clients.Office.Excel.Functions.SPG(EL95, "SP_COUNTRY_NAME")</f>
        <v>#INVALID COMPANY ID</v>
      </c>
      <c r="EP95" t="s">
        <v>741</v>
      </c>
      <c r="EQ95">
        <v>4404664</v>
      </c>
      <c r="ER95" t="s">
        <v>346</v>
      </c>
      <c r="ES95" s="11">
        <v>0</v>
      </c>
      <c r="ET95" s="9" t="str">
        <f>_xll.SNL.Clients.Office.Excel.Functions.SPG(EQ95, "SP_COUNTRY_NAME")</f>
        <v>China</v>
      </c>
      <c r="EY95" s="9" t="str">
        <f>_xll.SNL.Clients.Office.Excel.Functions.SPG(EV95, "SP_COUNTRY_NAME")</f>
        <v>#INVALID COMPANY ID</v>
      </c>
      <c r="FD95" s="9" t="str">
        <f>_xll.SNL.Clients.Office.Excel.Functions.SPG(FA95, "SP_COUNTRY_NAME")</f>
        <v>#INVALID COMPANY ID</v>
      </c>
      <c r="FI95" s="9" t="str">
        <f>_xll.SNL.Clients.Office.Excel.Functions.SPG(FF95, "SP_COUNTRY_NAME")</f>
        <v>#INVALID COMPANY ID</v>
      </c>
      <c r="FJ95" t="s">
        <v>534</v>
      </c>
      <c r="FK95">
        <v>4139851</v>
      </c>
      <c r="FL95" t="s">
        <v>346</v>
      </c>
      <c r="FM95" s="11">
        <v>0.01</v>
      </c>
      <c r="FN95" s="9" t="str">
        <f>_xll.SNL.Clients.Office.Excel.Functions.SPG(FK95, "SP_COUNTRY_NAME")</f>
        <v>Japan</v>
      </c>
      <c r="FS95" s="9" t="str">
        <f>_xll.SNL.Clients.Office.Excel.Functions.SPG(FP95, "SP_COUNTRY_NAME")</f>
        <v>#INVALID COMPANY ID</v>
      </c>
      <c r="FX95" s="9" t="str">
        <f>_xll.SNL.Clients.Office.Excel.Functions.SPG(FU95, "SP_COUNTRY_NAME")</f>
        <v>#INVALID COMPANY ID</v>
      </c>
      <c r="FY95" t="s">
        <v>383</v>
      </c>
      <c r="FZ95">
        <v>103042</v>
      </c>
      <c r="GA95" t="s">
        <v>366</v>
      </c>
      <c r="GB95" s="11">
        <v>0.08</v>
      </c>
      <c r="GC95" s="9" t="str">
        <f>_xll.SNL.Clients.Office.Excel.Functions.SPG(FZ95, "SP_COUNTRY_NAME")</f>
        <v>USA</v>
      </c>
      <c r="GH95" s="9" t="str">
        <f>_xll.SNL.Clients.Office.Excel.Functions.SPG(GE95, "SP_COUNTRY_NAME")</f>
        <v>#INVALID COMPANY ID</v>
      </c>
      <c r="GM95" s="9" t="str">
        <f>_xll.SNL.Clients.Office.Excel.Functions.SPG(GJ95, "SP_COUNTRY_NAME")</f>
        <v>#INVALID COMPANY ID</v>
      </c>
      <c r="GN95" t="s">
        <v>534</v>
      </c>
      <c r="GO95">
        <v>4139851</v>
      </c>
      <c r="GP95" t="s">
        <v>346</v>
      </c>
      <c r="GQ95" s="11">
        <v>0.01</v>
      </c>
      <c r="GR95" s="9" t="str">
        <f>_xll.SNL.Clients.Office.Excel.Functions.SPG(GO95, "SP_COUNTRY_NAME")</f>
        <v>Japan</v>
      </c>
      <c r="GS95" t="s">
        <v>856</v>
      </c>
      <c r="GT95">
        <v>4141040</v>
      </c>
      <c r="GU95" t="s">
        <v>346</v>
      </c>
      <c r="GV95" s="11">
        <v>0.02</v>
      </c>
      <c r="GW95" s="9" t="str">
        <f>_xll.SNL.Clients.Office.Excel.Functions.SPG(GT95, "SP_COUNTRY_NAME")</f>
        <v>United Kingdom</v>
      </c>
      <c r="GX95" t="s">
        <v>1633</v>
      </c>
      <c r="GY95">
        <v>4324992</v>
      </c>
      <c r="GZ95" t="s">
        <v>363</v>
      </c>
      <c r="HA95" s="11">
        <v>0.08</v>
      </c>
      <c r="HB95" s="9" t="str">
        <f>_xll.SNL.Clients.Office.Excel.Functions.SPG(GY95, "SP_COUNTRY_NAME")</f>
        <v>USA</v>
      </c>
      <c r="HG95" s="9" t="str">
        <f>_xll.SNL.Clients.Office.Excel.Functions.SPG(HD95, "SP_COUNTRY_NAME")</f>
        <v>#INVALID COMPANY ID</v>
      </c>
    </row>
    <row r="96" spans="5:215" x14ac:dyDescent="0.35">
      <c r="E96" s="9" t="str">
        <f>_xll.SNL.Clients.Office.Excel.Functions.SPG(B96, "SP_COUNTRY_NAME")</f>
        <v>#INVALID COMPANY ID</v>
      </c>
      <c r="F96" t="s">
        <v>486</v>
      </c>
      <c r="G96">
        <v>4138307</v>
      </c>
      <c r="H96" t="s">
        <v>346</v>
      </c>
      <c r="I96" s="11">
        <v>0.01</v>
      </c>
      <c r="J96" s="9" t="str">
        <f>_xll.SNL.Clients.Office.Excel.Functions.SPG(G96, "SP_COUNTRY_NAME")</f>
        <v>Spain</v>
      </c>
      <c r="K96" t="s">
        <v>391</v>
      </c>
      <c r="L96">
        <v>13582910</v>
      </c>
      <c r="M96" t="s">
        <v>346</v>
      </c>
      <c r="N96" s="11">
        <v>0</v>
      </c>
      <c r="O96" s="9" t="str">
        <f>_xll.SNL.Clients.Office.Excel.Functions.SPG(L96, "SP_COUNTRY_NAME")</f>
        <v>France</v>
      </c>
      <c r="T96" s="9" t="str">
        <f>_xll.SNL.Clients.Office.Excel.Functions.SPG(Q96, "SP_COUNTRY_NAME")</f>
        <v>#INVALID COMPANY ID</v>
      </c>
      <c r="U96" t="s">
        <v>658</v>
      </c>
      <c r="V96">
        <v>4325258</v>
      </c>
      <c r="W96" t="s">
        <v>346</v>
      </c>
      <c r="X96" s="11">
        <v>0.04</v>
      </c>
      <c r="Y96" s="9" t="str">
        <f>_xll.SNL.Clients.Office.Excel.Functions.SPG(V96, "SP_COUNTRY_NAME")</f>
        <v>China</v>
      </c>
      <c r="Z96" t="s">
        <v>391</v>
      </c>
      <c r="AA96">
        <v>13582910</v>
      </c>
      <c r="AB96" t="s">
        <v>346</v>
      </c>
      <c r="AC96" s="11">
        <v>0</v>
      </c>
      <c r="AD96" s="9" t="str">
        <f>_xll.SNL.Clients.Office.Excel.Functions.SPG(AA96, "SP_COUNTRY_NAME")</f>
        <v>France</v>
      </c>
      <c r="AE96" t="s">
        <v>1135</v>
      </c>
      <c r="AF96" t="s">
        <v>300</v>
      </c>
      <c r="AG96" t="s">
        <v>361</v>
      </c>
      <c r="AH96" s="11">
        <v>0.01</v>
      </c>
      <c r="AI96" s="9" t="str">
        <f>_xll.SNL.Clients.Office.Excel.Functions.SPG(AF96, "SP_COUNTRY_NAME")</f>
        <v>China</v>
      </c>
      <c r="AN96" s="9" t="str">
        <f>_xll.SNL.Clients.Office.Excel.Functions.SPG(AK96, "SP_COUNTRY_NAME")</f>
        <v>#INVALID COMPANY ID</v>
      </c>
      <c r="AO96" t="s">
        <v>1284</v>
      </c>
      <c r="AP96">
        <v>4235022</v>
      </c>
      <c r="AQ96" t="s">
        <v>346</v>
      </c>
      <c r="AR96" s="11">
        <v>0.03</v>
      </c>
      <c r="AS96" s="9" t="str">
        <f>_xll.SNL.Clients.Office.Excel.Functions.SPG(AP96, "SP_COUNTRY_NAME")</f>
        <v>South Africa</v>
      </c>
      <c r="AX96" s="9" t="str">
        <f>_xll.SNL.Clients.Office.Excel.Functions.SPG(AU96, "SP_COUNTRY_NAME")</f>
        <v>#INVALID COMPANY ID</v>
      </c>
      <c r="BC96" s="9" t="str">
        <f>_xll.SNL.Clients.Office.Excel.Functions.SPG(AZ96, "SP_COUNTRY_NAME")</f>
        <v>#INVALID COMPANY ID</v>
      </c>
      <c r="BD96" t="s">
        <v>1415</v>
      </c>
      <c r="BE96">
        <v>4077805</v>
      </c>
      <c r="BF96" t="s">
        <v>366</v>
      </c>
      <c r="BG96" s="11">
        <v>0.08</v>
      </c>
      <c r="BH96" s="9" t="str">
        <f>_xll.SNL.Clients.Office.Excel.Functions.SPG(BE96, "SP_COUNTRY_NAME")</f>
        <v>France</v>
      </c>
      <c r="BI96" t="s">
        <v>451</v>
      </c>
      <c r="BJ96">
        <v>5747632</v>
      </c>
      <c r="BK96" t="s">
        <v>346</v>
      </c>
      <c r="BL96" s="11">
        <v>0.03</v>
      </c>
      <c r="BM96" s="9" t="str">
        <f>_xll.SNL.Clients.Office.Excel.Functions.SPG(BJ96, "SP_COUNTRY_NAME")</f>
        <v>Canada</v>
      </c>
      <c r="BN96" t="s">
        <v>839</v>
      </c>
      <c r="BO96">
        <v>5759900</v>
      </c>
      <c r="BP96" t="s">
        <v>346</v>
      </c>
      <c r="BQ96" s="11">
        <v>0.02</v>
      </c>
      <c r="BR96" s="9" t="str">
        <f>_xll.SNL.Clients.Office.Excel.Functions.SPG(BO96, "SP_COUNTRY_NAME")</f>
        <v>United Kingdom</v>
      </c>
      <c r="BS96" t="s">
        <v>961</v>
      </c>
      <c r="BT96">
        <v>4048349</v>
      </c>
      <c r="BU96" t="s">
        <v>346</v>
      </c>
      <c r="BV96" s="11">
        <v>0.04</v>
      </c>
      <c r="BW96" s="9" t="str">
        <f>_xll.SNL.Clients.Office.Excel.Functions.SPG(BT96, "SP_COUNTRY_NAME")</f>
        <v>United Kingdom</v>
      </c>
      <c r="BX96" t="s">
        <v>658</v>
      </c>
      <c r="BY96">
        <v>4325258</v>
      </c>
      <c r="BZ96" t="s">
        <v>346</v>
      </c>
      <c r="CA96" s="11">
        <v>0.04</v>
      </c>
      <c r="CB96" s="9" t="str">
        <f>_xll.SNL.Clients.Office.Excel.Functions.SPG(BY96, "SP_COUNTRY_NAME")</f>
        <v>China</v>
      </c>
      <c r="CC96" t="s">
        <v>497</v>
      </c>
      <c r="CD96">
        <v>4138770</v>
      </c>
      <c r="CE96" t="s">
        <v>346</v>
      </c>
      <c r="CF96" s="11">
        <v>0.08</v>
      </c>
      <c r="CG96" s="9" t="str">
        <f>_xll.SNL.Clients.Office.Excel.Functions.SPG(CD96, "SP_COUNTRY_NAME")</f>
        <v>United Kingdom</v>
      </c>
      <c r="CH96" t="s">
        <v>1284</v>
      </c>
      <c r="CI96">
        <v>4235022</v>
      </c>
      <c r="CJ96" t="s">
        <v>346</v>
      </c>
      <c r="CK96" s="11">
        <v>0.03</v>
      </c>
      <c r="CL96" s="9" t="str">
        <f>_xll.SNL.Clients.Office.Excel.Functions.SPG(CI96, "SP_COUNTRY_NAME")</f>
        <v>South Africa</v>
      </c>
      <c r="CM96" t="s">
        <v>1273</v>
      </c>
      <c r="CN96">
        <v>4423324</v>
      </c>
      <c r="CO96" t="s">
        <v>346</v>
      </c>
      <c r="CP96" s="11">
        <v>0.06</v>
      </c>
      <c r="CQ96" s="9" t="str">
        <f>_xll.SNL.Clients.Office.Excel.Functions.SPG(CN96, "SP_COUNTRY_NAME")</f>
        <v>South Africa</v>
      </c>
      <c r="CV96" s="9" t="str">
        <f>_xll.SNL.Clients.Office.Excel.Functions.SPG(CS96, "SP_COUNTRY_NAME")</f>
        <v>#INVALID COMPANY ID</v>
      </c>
      <c r="DA96" s="9" t="str">
        <f>_xll.SNL.Clients.Office.Excel.Functions.SPG(CX96, "SP_COUNTRY_NAME")</f>
        <v>#INVALID COMPANY ID</v>
      </c>
      <c r="DB96" t="s">
        <v>1415</v>
      </c>
      <c r="DC96">
        <v>4077805</v>
      </c>
      <c r="DD96" t="s">
        <v>366</v>
      </c>
      <c r="DE96" s="11">
        <v>0.08</v>
      </c>
      <c r="DF96" s="9" t="str">
        <f>_xll.SNL.Clients.Office.Excel.Functions.SPG(DC96, "SP_COUNTRY_NAME")</f>
        <v>France</v>
      </c>
      <c r="DK96" s="9" t="str">
        <f>_xll.SNL.Clients.Office.Excel.Functions.SPG(DH96, "SP_COUNTRY_NAME")</f>
        <v>#INVALID COMPANY ID</v>
      </c>
      <c r="DL96" t="s">
        <v>1415</v>
      </c>
      <c r="DM96">
        <v>4077805</v>
      </c>
      <c r="DN96" t="s">
        <v>366</v>
      </c>
      <c r="DO96" s="11">
        <v>0.08</v>
      </c>
      <c r="DP96" s="9" t="str">
        <f>_xll.SNL.Clients.Office.Excel.Functions.SPG(DM96, "SP_COUNTRY_NAME")</f>
        <v>France</v>
      </c>
      <c r="DU96" s="9" t="str">
        <f>_xll.SNL.Clients.Office.Excel.Functions.SPG(DR96, "SP_COUNTRY_NAME")</f>
        <v>#INVALID COMPANY ID</v>
      </c>
      <c r="DV96" t="s">
        <v>458</v>
      </c>
      <c r="DW96">
        <v>109806</v>
      </c>
      <c r="DX96" t="s">
        <v>346</v>
      </c>
      <c r="DY96" s="11">
        <v>0</v>
      </c>
      <c r="DZ96" s="9" t="str">
        <f>_xll.SNL.Clients.Office.Excel.Functions.SPG(DW96, "SP_COUNTRY_NAME")</f>
        <v>USA</v>
      </c>
      <c r="EA96" t="s">
        <v>497</v>
      </c>
      <c r="EB96">
        <v>4138770</v>
      </c>
      <c r="EC96" t="s">
        <v>346</v>
      </c>
      <c r="ED96" s="11">
        <v>0.08</v>
      </c>
      <c r="EE96" s="9" t="str">
        <f>_xll.SNL.Clients.Office.Excel.Functions.SPG(EB96, "SP_COUNTRY_NAME")</f>
        <v>United Kingdom</v>
      </c>
      <c r="EF96" t="s">
        <v>1415</v>
      </c>
      <c r="EG96">
        <v>4077805</v>
      </c>
      <c r="EH96" t="s">
        <v>366</v>
      </c>
      <c r="EI96" s="11">
        <v>0.08</v>
      </c>
      <c r="EJ96" s="9" t="str">
        <f>_xll.SNL.Clients.Office.Excel.Functions.SPG(EG96, "SP_COUNTRY_NAME")</f>
        <v>France</v>
      </c>
      <c r="EO96" s="9" t="str">
        <f>_xll.SNL.Clients.Office.Excel.Functions.SPG(EL96, "SP_COUNTRY_NAME")</f>
        <v>#INVALID COMPANY ID</v>
      </c>
      <c r="EP96" t="s">
        <v>562</v>
      </c>
      <c r="EQ96">
        <v>4256114</v>
      </c>
      <c r="ER96" t="s">
        <v>346</v>
      </c>
      <c r="ES96" s="11">
        <v>0</v>
      </c>
      <c r="ET96" s="9" t="str">
        <f>_xll.SNL.Clients.Office.Excel.Functions.SPG(EQ96, "SP_COUNTRY_NAME")</f>
        <v>South Korea</v>
      </c>
      <c r="EY96" s="9" t="str">
        <f>_xll.SNL.Clients.Office.Excel.Functions.SPG(EV96, "SP_COUNTRY_NAME")</f>
        <v>#INVALID COMPANY ID</v>
      </c>
      <c r="FD96" s="9" t="str">
        <f>_xll.SNL.Clients.Office.Excel.Functions.SPG(FA96, "SP_COUNTRY_NAME")</f>
        <v>#INVALID COMPANY ID</v>
      </c>
      <c r="FI96" s="9" t="str">
        <f>_xll.SNL.Clients.Office.Excel.Functions.SPG(FF96, "SP_COUNTRY_NAME")</f>
        <v>#INVALID COMPANY ID</v>
      </c>
      <c r="FJ96" t="s">
        <v>508</v>
      </c>
      <c r="FK96">
        <v>4399282</v>
      </c>
      <c r="FL96" t="s">
        <v>346</v>
      </c>
      <c r="FM96" s="11">
        <v>0.01</v>
      </c>
      <c r="FN96" s="9" t="str">
        <f>_xll.SNL.Clients.Office.Excel.Functions.SPG(FK96, "SP_COUNTRY_NAME")</f>
        <v>Canada</v>
      </c>
      <c r="FS96" s="9" t="str">
        <f>_xll.SNL.Clients.Office.Excel.Functions.SPG(FP96, "SP_COUNTRY_NAME")</f>
        <v>#INVALID COMPANY ID</v>
      </c>
      <c r="FX96" s="9" t="str">
        <f>_xll.SNL.Clients.Office.Excel.Functions.SPG(FU96, "SP_COUNTRY_NAME")</f>
        <v>#INVALID COMPANY ID</v>
      </c>
      <c r="FY96" t="s">
        <v>1415</v>
      </c>
      <c r="FZ96">
        <v>4077805</v>
      </c>
      <c r="GA96" t="s">
        <v>366</v>
      </c>
      <c r="GB96" s="11">
        <v>0.08</v>
      </c>
      <c r="GC96" s="9" t="str">
        <f>_xll.SNL.Clients.Office.Excel.Functions.SPG(FZ96, "SP_COUNTRY_NAME")</f>
        <v>France</v>
      </c>
      <c r="GH96" s="9" t="str">
        <f>_xll.SNL.Clients.Office.Excel.Functions.SPG(GE96, "SP_COUNTRY_NAME")</f>
        <v>#INVALID COMPANY ID</v>
      </c>
      <c r="GM96" s="9" t="str">
        <f>_xll.SNL.Clients.Office.Excel.Functions.SPG(GJ96, "SP_COUNTRY_NAME")</f>
        <v>#INVALID COMPANY ID</v>
      </c>
      <c r="GN96" t="s">
        <v>508</v>
      </c>
      <c r="GO96">
        <v>4399282</v>
      </c>
      <c r="GP96" t="s">
        <v>346</v>
      </c>
      <c r="GQ96" s="11">
        <v>0.01</v>
      </c>
      <c r="GR96" s="9" t="str">
        <f>_xll.SNL.Clients.Office.Excel.Functions.SPG(GO96, "SP_COUNTRY_NAME")</f>
        <v>Canada</v>
      </c>
      <c r="GS96" t="s">
        <v>839</v>
      </c>
      <c r="GT96">
        <v>5759900</v>
      </c>
      <c r="GU96" t="s">
        <v>346</v>
      </c>
      <c r="GV96" s="11">
        <v>0.02</v>
      </c>
      <c r="GW96" s="9" t="str">
        <f>_xll.SNL.Clients.Office.Excel.Functions.SPG(GT96, "SP_COUNTRY_NAME")</f>
        <v>United Kingdom</v>
      </c>
      <c r="GX96" t="s">
        <v>497</v>
      </c>
      <c r="GY96">
        <v>4138770</v>
      </c>
      <c r="GZ96" t="s">
        <v>346</v>
      </c>
      <c r="HA96" s="11">
        <v>0.08</v>
      </c>
      <c r="HB96" s="9" t="str">
        <f>_xll.SNL.Clients.Office.Excel.Functions.SPG(GY96, "SP_COUNTRY_NAME")</f>
        <v>United Kingdom</v>
      </c>
      <c r="HG96" s="9" t="str">
        <f>_xll.SNL.Clients.Office.Excel.Functions.SPG(HD96, "SP_COUNTRY_NAME")</f>
        <v>#INVALID COMPANY ID</v>
      </c>
    </row>
    <row r="97" spans="5:215" x14ac:dyDescent="0.35">
      <c r="E97" s="9" t="str">
        <f>_xll.SNL.Clients.Office.Excel.Functions.SPG(B97, "SP_COUNTRY_NAME")</f>
        <v>#INVALID COMPANY ID</v>
      </c>
      <c r="F97" t="s">
        <v>356</v>
      </c>
      <c r="G97">
        <v>4578944</v>
      </c>
      <c r="H97" t="s">
        <v>346</v>
      </c>
      <c r="I97" s="11">
        <v>0.01</v>
      </c>
      <c r="J97" s="9" t="str">
        <f>_xll.SNL.Clients.Office.Excel.Functions.SPG(G97, "SP_COUNTRY_NAME")</f>
        <v>Australia</v>
      </c>
      <c r="K97" t="s">
        <v>674</v>
      </c>
      <c r="L97">
        <v>4345965</v>
      </c>
      <c r="M97" t="s">
        <v>346</v>
      </c>
      <c r="N97" s="11">
        <v>0</v>
      </c>
      <c r="O97" s="9" t="str">
        <f>_xll.SNL.Clients.Office.Excel.Functions.SPG(L97, "SP_COUNTRY_NAME")</f>
        <v>China</v>
      </c>
      <c r="T97" s="9" t="str">
        <f>_xll.SNL.Clients.Office.Excel.Functions.SPG(Q97, "SP_COUNTRY_NAME")</f>
        <v>#INVALID COMPANY ID</v>
      </c>
      <c r="U97" t="s">
        <v>737</v>
      </c>
      <c r="V97">
        <v>4120029</v>
      </c>
      <c r="W97" t="s">
        <v>346</v>
      </c>
      <c r="X97" s="11">
        <v>0.04</v>
      </c>
      <c r="Y97" s="9" t="str">
        <f>_xll.SNL.Clients.Office.Excel.Functions.SPG(V97, "SP_COUNTRY_NAME")</f>
        <v>Hong Kong</v>
      </c>
      <c r="Z97" t="s">
        <v>674</v>
      </c>
      <c r="AA97">
        <v>4345965</v>
      </c>
      <c r="AB97" t="s">
        <v>346</v>
      </c>
      <c r="AC97" s="11">
        <v>0</v>
      </c>
      <c r="AD97" s="9" t="str">
        <f>_xll.SNL.Clients.Office.Excel.Functions.SPG(AA97, "SP_COUNTRY_NAME")</f>
        <v>China</v>
      </c>
      <c r="AE97" t="s">
        <v>428</v>
      </c>
      <c r="AF97">
        <v>4116134</v>
      </c>
      <c r="AG97" t="s">
        <v>346</v>
      </c>
      <c r="AH97" s="11">
        <v>0.01</v>
      </c>
      <c r="AI97" s="9" t="str">
        <f>_xll.SNL.Clients.Office.Excel.Functions.SPG(AF97, "SP_COUNTRY_NAME")</f>
        <v>Japan</v>
      </c>
      <c r="AN97" s="9" t="str">
        <f>_xll.SNL.Clients.Office.Excel.Functions.SPG(AK97, "SP_COUNTRY_NAME")</f>
        <v>#INVALID COMPANY ID</v>
      </c>
      <c r="AO97" t="s">
        <v>839</v>
      </c>
      <c r="AP97">
        <v>5759900</v>
      </c>
      <c r="AQ97" t="s">
        <v>346</v>
      </c>
      <c r="AR97" s="11">
        <v>0.03</v>
      </c>
      <c r="AS97" s="9" t="str">
        <f>_xll.SNL.Clients.Office.Excel.Functions.SPG(AP97, "SP_COUNTRY_NAME")</f>
        <v>United Kingdom</v>
      </c>
      <c r="AX97" s="9" t="str">
        <f>_xll.SNL.Clients.Office.Excel.Functions.SPG(AU97, "SP_COUNTRY_NAME")</f>
        <v>#INVALID COMPANY ID</v>
      </c>
      <c r="BC97" s="9" t="str">
        <f>_xll.SNL.Clients.Office.Excel.Functions.SPG(AZ97, "SP_COUNTRY_NAME")</f>
        <v>#INVALID COMPANY ID</v>
      </c>
      <c r="BD97" t="s">
        <v>408</v>
      </c>
      <c r="BE97">
        <v>4138917</v>
      </c>
      <c r="BF97" t="s">
        <v>346</v>
      </c>
      <c r="BG97" s="11">
        <v>0.08</v>
      </c>
      <c r="BH97" s="9" t="str">
        <f>_xll.SNL.Clients.Office.Excel.Functions.SPG(BE97, "SP_COUNTRY_NAME")</f>
        <v>Australia</v>
      </c>
      <c r="BI97" t="s">
        <v>391</v>
      </c>
      <c r="BJ97">
        <v>13582910</v>
      </c>
      <c r="BK97" t="s">
        <v>346</v>
      </c>
      <c r="BL97" s="11">
        <v>0.02</v>
      </c>
      <c r="BM97" s="9" t="str">
        <f>_xll.SNL.Clients.Office.Excel.Functions.SPG(BJ97, "SP_COUNTRY_NAME")</f>
        <v>France</v>
      </c>
      <c r="BN97" t="s">
        <v>1237</v>
      </c>
      <c r="BO97" t="s">
        <v>300</v>
      </c>
      <c r="BP97" t="s">
        <v>361</v>
      </c>
      <c r="BQ97" s="11">
        <v>0.02</v>
      </c>
      <c r="BR97" s="9" t="str">
        <f>_xll.SNL.Clients.Office.Excel.Functions.SPG(BO97, "SP_COUNTRY_NAME")</f>
        <v>China</v>
      </c>
      <c r="BS97" t="s">
        <v>665</v>
      </c>
      <c r="BT97">
        <v>4137720</v>
      </c>
      <c r="BU97" t="s">
        <v>346</v>
      </c>
      <c r="BV97" s="11">
        <v>0.04</v>
      </c>
      <c r="BW97" s="9" t="str">
        <f>_xll.SNL.Clients.Office.Excel.Functions.SPG(BT97, "SP_COUNTRY_NAME")</f>
        <v>China</v>
      </c>
      <c r="BX97" t="s">
        <v>737</v>
      </c>
      <c r="BY97">
        <v>4120029</v>
      </c>
      <c r="BZ97" t="s">
        <v>346</v>
      </c>
      <c r="CA97" s="11">
        <v>0.04</v>
      </c>
      <c r="CB97" s="9" t="str">
        <f>_xll.SNL.Clients.Office.Excel.Functions.SPG(BY97, "SP_COUNTRY_NAME")</f>
        <v>Hong Kong</v>
      </c>
      <c r="CC97" t="s">
        <v>407</v>
      </c>
      <c r="CD97">
        <v>109754</v>
      </c>
      <c r="CE97" t="s">
        <v>346</v>
      </c>
      <c r="CF97" s="11">
        <v>0.08</v>
      </c>
      <c r="CG97" s="9" t="str">
        <f>_xll.SNL.Clients.Office.Excel.Functions.SPG(CD97, "SP_COUNTRY_NAME")</f>
        <v>USA</v>
      </c>
      <c r="CH97" t="s">
        <v>839</v>
      </c>
      <c r="CI97">
        <v>5759900</v>
      </c>
      <c r="CJ97" t="s">
        <v>346</v>
      </c>
      <c r="CK97" s="11">
        <v>0.03</v>
      </c>
      <c r="CL97" s="9" t="str">
        <f>_xll.SNL.Clients.Office.Excel.Functions.SPG(CI97, "SP_COUNTRY_NAME")</f>
        <v>United Kingdom</v>
      </c>
      <c r="CM97" t="s">
        <v>1966</v>
      </c>
      <c r="CN97">
        <v>14728212</v>
      </c>
      <c r="CO97" t="s">
        <v>346</v>
      </c>
      <c r="CP97" s="11">
        <v>0.06</v>
      </c>
      <c r="CQ97" s="9" t="str">
        <f>_xll.SNL.Clients.Office.Excel.Functions.SPG(CN97, "SP_COUNTRY_NAME")</f>
        <v>USA</v>
      </c>
      <c r="CV97" s="9" t="str">
        <f>_xll.SNL.Clients.Office.Excel.Functions.SPG(CS97, "SP_COUNTRY_NAME")</f>
        <v>#INVALID COMPANY ID</v>
      </c>
      <c r="DA97" s="9" t="str">
        <f>_xll.SNL.Clients.Office.Excel.Functions.SPG(CX97, "SP_COUNTRY_NAME")</f>
        <v>#INVALID COMPANY ID</v>
      </c>
      <c r="DB97" t="s">
        <v>408</v>
      </c>
      <c r="DC97">
        <v>4138917</v>
      </c>
      <c r="DD97" t="s">
        <v>346</v>
      </c>
      <c r="DE97" s="11">
        <v>0.08</v>
      </c>
      <c r="DF97" s="9" t="str">
        <f>_xll.SNL.Clients.Office.Excel.Functions.SPG(DC97, "SP_COUNTRY_NAME")</f>
        <v>Australia</v>
      </c>
      <c r="DK97" s="9" t="str">
        <f>_xll.SNL.Clients.Office.Excel.Functions.SPG(DH97, "SP_COUNTRY_NAME")</f>
        <v>#INVALID COMPANY ID</v>
      </c>
      <c r="DL97" t="s">
        <v>408</v>
      </c>
      <c r="DM97">
        <v>4138917</v>
      </c>
      <c r="DN97" t="s">
        <v>346</v>
      </c>
      <c r="DO97" s="11">
        <v>0.08</v>
      </c>
      <c r="DP97" s="9" t="str">
        <f>_xll.SNL.Clients.Office.Excel.Functions.SPG(DM97, "SP_COUNTRY_NAME")</f>
        <v>Australia</v>
      </c>
      <c r="DU97" s="9" t="str">
        <f>_xll.SNL.Clients.Office.Excel.Functions.SPG(DR97, "SP_COUNTRY_NAME")</f>
        <v>#INVALID COMPANY ID</v>
      </c>
      <c r="DV97" t="s">
        <v>460</v>
      </c>
      <c r="DW97">
        <v>4337989</v>
      </c>
      <c r="DX97" t="s">
        <v>346</v>
      </c>
      <c r="DY97" s="11">
        <v>0</v>
      </c>
      <c r="DZ97" s="9" t="str">
        <f>_xll.SNL.Clients.Office.Excel.Functions.SPG(DW97, "SP_COUNTRY_NAME")</f>
        <v>USA</v>
      </c>
      <c r="EA97" t="s">
        <v>407</v>
      </c>
      <c r="EB97">
        <v>109754</v>
      </c>
      <c r="EC97" t="s">
        <v>346</v>
      </c>
      <c r="ED97" s="11">
        <v>0.08</v>
      </c>
      <c r="EE97" s="9" t="str">
        <f>_xll.SNL.Clients.Office.Excel.Functions.SPG(EB97, "SP_COUNTRY_NAME")</f>
        <v>USA</v>
      </c>
      <c r="EF97" t="s">
        <v>408</v>
      </c>
      <c r="EG97">
        <v>4138917</v>
      </c>
      <c r="EH97" t="s">
        <v>346</v>
      </c>
      <c r="EI97" s="11">
        <v>0.08</v>
      </c>
      <c r="EJ97" s="9" t="str">
        <f>_xll.SNL.Clients.Office.Excel.Functions.SPG(EG97, "SP_COUNTRY_NAME")</f>
        <v>Australia</v>
      </c>
      <c r="EO97" s="9" t="str">
        <f>_xll.SNL.Clients.Office.Excel.Functions.SPG(EL97, "SP_COUNTRY_NAME")</f>
        <v>#INVALID COMPANY ID</v>
      </c>
      <c r="EP97" t="s">
        <v>679</v>
      </c>
      <c r="EQ97">
        <v>4138221</v>
      </c>
      <c r="ER97" t="s">
        <v>346</v>
      </c>
      <c r="ES97" s="11">
        <v>0</v>
      </c>
      <c r="ET97" s="9" t="str">
        <f>_xll.SNL.Clients.Office.Excel.Functions.SPG(EQ97, "SP_COUNTRY_NAME")</f>
        <v>China</v>
      </c>
      <c r="EY97" s="9" t="str">
        <f>_xll.SNL.Clients.Office.Excel.Functions.SPG(EV97, "SP_COUNTRY_NAME")</f>
        <v>#INVALID COMPANY ID</v>
      </c>
      <c r="FD97" s="9" t="str">
        <f>_xll.SNL.Clients.Office.Excel.Functions.SPG(FA97, "SP_COUNTRY_NAME")</f>
        <v>#INVALID COMPANY ID</v>
      </c>
      <c r="FI97" s="9" t="str">
        <f>_xll.SNL.Clients.Office.Excel.Functions.SPG(FF97, "SP_COUNTRY_NAME")</f>
        <v>#INVALID COMPANY ID</v>
      </c>
      <c r="FJ97" t="s">
        <v>473</v>
      </c>
      <c r="FK97">
        <v>4140062</v>
      </c>
      <c r="FL97" t="s">
        <v>346</v>
      </c>
      <c r="FM97" s="11">
        <v>0.01</v>
      </c>
      <c r="FN97" s="9" t="str">
        <f>_xll.SNL.Clients.Office.Excel.Functions.SPG(FK97, "SP_COUNTRY_NAME")</f>
        <v>Japan</v>
      </c>
      <c r="FS97" s="9" t="str">
        <f>_xll.SNL.Clients.Office.Excel.Functions.SPG(FP97, "SP_COUNTRY_NAME")</f>
        <v>#INVALID COMPANY ID</v>
      </c>
      <c r="FX97" s="9" t="str">
        <f>_xll.SNL.Clients.Office.Excel.Functions.SPG(FU97, "SP_COUNTRY_NAME")</f>
        <v>#INVALID COMPANY ID</v>
      </c>
      <c r="FY97" t="s">
        <v>408</v>
      </c>
      <c r="FZ97">
        <v>4138917</v>
      </c>
      <c r="GA97" t="s">
        <v>346</v>
      </c>
      <c r="GB97" s="11">
        <v>0.08</v>
      </c>
      <c r="GC97" s="9" t="str">
        <f>_xll.SNL.Clients.Office.Excel.Functions.SPG(FZ97, "SP_COUNTRY_NAME")</f>
        <v>Australia</v>
      </c>
      <c r="GH97" s="9" t="str">
        <f>_xll.SNL.Clients.Office.Excel.Functions.SPG(GE97, "SP_COUNTRY_NAME")</f>
        <v>#INVALID COMPANY ID</v>
      </c>
      <c r="GM97" s="9" t="str">
        <f>_xll.SNL.Clients.Office.Excel.Functions.SPG(GJ97, "SP_COUNTRY_NAME")</f>
        <v>#INVALID COMPANY ID</v>
      </c>
      <c r="GN97" t="s">
        <v>473</v>
      </c>
      <c r="GO97">
        <v>4140062</v>
      </c>
      <c r="GP97" t="s">
        <v>346</v>
      </c>
      <c r="GQ97" s="11">
        <v>0.01</v>
      </c>
      <c r="GR97" s="9" t="str">
        <f>_xll.SNL.Clients.Office.Excel.Functions.SPG(GO97, "SP_COUNTRY_NAME")</f>
        <v>Japan</v>
      </c>
      <c r="GS97" t="s">
        <v>1237</v>
      </c>
      <c r="GT97" t="s">
        <v>300</v>
      </c>
      <c r="GU97" t="s">
        <v>361</v>
      </c>
      <c r="GV97" s="11">
        <v>0.02</v>
      </c>
      <c r="GW97" s="9" t="str">
        <f>_xll.SNL.Clients.Office.Excel.Functions.SPG(GT97, "SP_COUNTRY_NAME")</f>
        <v>China</v>
      </c>
      <c r="GX97" t="s">
        <v>407</v>
      </c>
      <c r="GY97">
        <v>109754</v>
      </c>
      <c r="GZ97" t="s">
        <v>346</v>
      </c>
      <c r="HA97" s="11">
        <v>0.08</v>
      </c>
      <c r="HB97" s="9" t="str">
        <f>_xll.SNL.Clients.Office.Excel.Functions.SPG(GY97, "SP_COUNTRY_NAME")</f>
        <v>USA</v>
      </c>
      <c r="HG97" s="9" t="str">
        <f>_xll.SNL.Clients.Office.Excel.Functions.SPG(HD97, "SP_COUNTRY_NAME")</f>
        <v>#INVALID COMPANY ID</v>
      </c>
    </row>
    <row r="98" spans="5:215" x14ac:dyDescent="0.35">
      <c r="E98" s="9" t="str">
        <f>_xll.SNL.Clients.Office.Excel.Functions.SPG(B98, "SP_COUNTRY_NAME")</f>
        <v>#INVALID COMPANY ID</v>
      </c>
      <c r="F98" t="s">
        <v>487</v>
      </c>
      <c r="G98">
        <v>4111901</v>
      </c>
      <c r="H98" t="s">
        <v>346</v>
      </c>
      <c r="I98" s="11">
        <v>0.01</v>
      </c>
      <c r="J98" s="9" t="str">
        <f>_xll.SNL.Clients.Office.Excel.Functions.SPG(G98, "SP_COUNTRY_NAME")</f>
        <v>Belgium</v>
      </c>
      <c r="K98" t="s">
        <v>675</v>
      </c>
      <c r="L98">
        <v>4548312</v>
      </c>
      <c r="M98" t="s">
        <v>346</v>
      </c>
      <c r="N98" s="11">
        <v>0</v>
      </c>
      <c r="O98" s="9" t="str">
        <f>_xll.SNL.Clients.Office.Excel.Functions.SPG(L98, "SP_COUNTRY_NAME")</f>
        <v>China</v>
      </c>
      <c r="T98" s="9" t="str">
        <f>_xll.SNL.Clients.Office.Excel.Functions.SPG(Q98, "SP_COUNTRY_NAME")</f>
        <v>#INVALID COMPANY ID</v>
      </c>
      <c r="U98" t="s">
        <v>738</v>
      </c>
      <c r="V98">
        <v>4138005</v>
      </c>
      <c r="W98" t="s">
        <v>369</v>
      </c>
      <c r="X98" s="11">
        <v>0.04</v>
      </c>
      <c r="Y98" s="9" t="str">
        <f>_xll.SNL.Clients.Office.Excel.Functions.SPG(V98, "SP_COUNTRY_NAME")</f>
        <v>Hong Kong</v>
      </c>
      <c r="Z98" t="s">
        <v>675</v>
      </c>
      <c r="AA98">
        <v>4548312</v>
      </c>
      <c r="AB98" t="s">
        <v>346</v>
      </c>
      <c r="AC98" s="11">
        <v>0</v>
      </c>
      <c r="AD98" s="9" t="str">
        <f>_xll.SNL.Clients.Office.Excel.Functions.SPG(AA98, "SP_COUNTRY_NAME")</f>
        <v>China</v>
      </c>
      <c r="AE98" t="s">
        <v>471</v>
      </c>
      <c r="AF98">
        <v>4102247</v>
      </c>
      <c r="AG98" t="s">
        <v>346</v>
      </c>
      <c r="AH98" s="11">
        <v>0.01</v>
      </c>
      <c r="AI98" s="9" t="str">
        <f>_xll.SNL.Clients.Office.Excel.Functions.SPG(AF98, "SP_COUNTRY_NAME")</f>
        <v>USA</v>
      </c>
      <c r="AN98" s="9" t="str">
        <f>_xll.SNL.Clients.Office.Excel.Functions.SPG(AK98, "SP_COUNTRY_NAME")</f>
        <v>#INVALID COMPANY ID</v>
      </c>
      <c r="AO98" t="s">
        <v>460</v>
      </c>
      <c r="AP98">
        <v>4337989</v>
      </c>
      <c r="AQ98" t="s">
        <v>346</v>
      </c>
      <c r="AR98" s="11">
        <v>0.03</v>
      </c>
      <c r="AS98" s="9" t="str">
        <f>_xll.SNL.Clients.Office.Excel.Functions.SPG(AP98, "SP_COUNTRY_NAME")</f>
        <v>USA</v>
      </c>
      <c r="AX98" s="9" t="str">
        <f>_xll.SNL.Clients.Office.Excel.Functions.SPG(AU98, "SP_COUNTRY_NAME")</f>
        <v>#INVALID COMPANY ID</v>
      </c>
      <c r="BC98" s="9" t="str">
        <f>_xll.SNL.Clients.Office.Excel.Functions.SPG(AZ98, "SP_COUNTRY_NAME")</f>
        <v>#INVALID COMPANY ID</v>
      </c>
      <c r="BD98" t="s">
        <v>1416</v>
      </c>
      <c r="BE98">
        <v>7058800</v>
      </c>
      <c r="BF98" t="s">
        <v>346</v>
      </c>
      <c r="BG98" s="11">
        <v>7.0000000000000007E-2</v>
      </c>
      <c r="BH98" s="9" t="str">
        <f>_xll.SNL.Clients.Office.Excel.Functions.SPG(BE98, "SP_COUNTRY_NAME")</f>
        <v>United Kingdom</v>
      </c>
      <c r="BI98" t="s">
        <v>458</v>
      </c>
      <c r="BJ98">
        <v>109806</v>
      </c>
      <c r="BK98" t="s">
        <v>346</v>
      </c>
      <c r="BL98" s="11">
        <v>0.02</v>
      </c>
      <c r="BM98" s="9" t="str">
        <f>_xll.SNL.Clients.Office.Excel.Functions.SPG(BJ98, "SP_COUNTRY_NAME")</f>
        <v>USA</v>
      </c>
      <c r="BN98" t="s">
        <v>1238</v>
      </c>
      <c r="BO98" t="s">
        <v>300</v>
      </c>
      <c r="BP98" t="s">
        <v>361</v>
      </c>
      <c r="BQ98" s="11">
        <v>0.02</v>
      </c>
      <c r="BR98" s="9" t="str">
        <f>_xll.SNL.Clients.Office.Excel.Functions.SPG(BO98, "SP_COUNTRY_NAME")</f>
        <v>China</v>
      </c>
      <c r="BS98" t="s">
        <v>439</v>
      </c>
      <c r="BT98">
        <v>4757367</v>
      </c>
      <c r="BU98" t="s">
        <v>363</v>
      </c>
      <c r="BV98" s="11">
        <v>0.04</v>
      </c>
      <c r="BW98" s="9" t="str">
        <f>_xll.SNL.Clients.Office.Excel.Functions.SPG(BT98, "SP_COUNTRY_NAME")</f>
        <v>Australia</v>
      </c>
      <c r="BX98" t="s">
        <v>738</v>
      </c>
      <c r="BY98">
        <v>4138005</v>
      </c>
      <c r="BZ98" t="s">
        <v>369</v>
      </c>
      <c r="CA98" s="11">
        <v>0.04</v>
      </c>
      <c r="CB98" s="9" t="str">
        <f>_xll.SNL.Clients.Office.Excel.Functions.SPG(BY98, "SP_COUNTRY_NAME")</f>
        <v>Hong Kong</v>
      </c>
      <c r="CC98" t="s">
        <v>1634</v>
      </c>
      <c r="CD98">
        <v>4028690</v>
      </c>
      <c r="CE98" t="s">
        <v>346</v>
      </c>
      <c r="CF98" s="11">
        <v>7.0000000000000007E-2</v>
      </c>
      <c r="CG98" s="9" t="str">
        <f>_xll.SNL.Clients.Office.Excel.Functions.SPG(CD98, "SP_COUNTRY_NAME")</f>
        <v>USA</v>
      </c>
      <c r="CH98" t="s">
        <v>460</v>
      </c>
      <c r="CI98">
        <v>4337989</v>
      </c>
      <c r="CJ98" t="s">
        <v>346</v>
      </c>
      <c r="CK98" s="11">
        <v>0.03</v>
      </c>
      <c r="CL98" s="9" t="str">
        <f>_xll.SNL.Clients.Office.Excel.Functions.SPG(CI98, "SP_COUNTRY_NAME")</f>
        <v>USA</v>
      </c>
      <c r="CM98" t="s">
        <v>1687</v>
      </c>
      <c r="CN98">
        <v>4138723</v>
      </c>
      <c r="CO98" t="s">
        <v>346</v>
      </c>
      <c r="CP98" s="11">
        <v>0.06</v>
      </c>
      <c r="CQ98" s="9" t="str">
        <f>_xll.SNL.Clients.Office.Excel.Functions.SPG(CN98, "SP_COUNTRY_NAME")</f>
        <v>United Kingdom</v>
      </c>
      <c r="CV98" s="9" t="str">
        <f>_xll.SNL.Clients.Office.Excel.Functions.SPG(CS98, "SP_COUNTRY_NAME")</f>
        <v>#INVALID COMPANY ID</v>
      </c>
      <c r="DA98" s="9" t="str">
        <f>_xll.SNL.Clients.Office.Excel.Functions.SPG(CX98, "SP_COUNTRY_NAME")</f>
        <v>#INVALID COMPANY ID</v>
      </c>
      <c r="DB98" t="s">
        <v>1416</v>
      </c>
      <c r="DC98">
        <v>7058800</v>
      </c>
      <c r="DD98" t="s">
        <v>346</v>
      </c>
      <c r="DE98" s="11">
        <v>7.0000000000000007E-2</v>
      </c>
      <c r="DF98" s="9" t="str">
        <f>_xll.SNL.Clients.Office.Excel.Functions.SPG(DC98, "SP_COUNTRY_NAME")</f>
        <v>United Kingdom</v>
      </c>
      <c r="DK98" s="9" t="str">
        <f>_xll.SNL.Clients.Office.Excel.Functions.SPG(DH98, "SP_COUNTRY_NAME")</f>
        <v>#INVALID COMPANY ID</v>
      </c>
      <c r="DL98" t="s">
        <v>1416</v>
      </c>
      <c r="DM98">
        <v>7058800</v>
      </c>
      <c r="DN98" t="s">
        <v>346</v>
      </c>
      <c r="DO98" s="11">
        <v>7.0000000000000007E-2</v>
      </c>
      <c r="DP98" s="9" t="str">
        <f>_xll.SNL.Clients.Office.Excel.Functions.SPG(DM98, "SP_COUNTRY_NAME")</f>
        <v>United Kingdom</v>
      </c>
      <c r="DU98" s="9" t="str">
        <f>_xll.SNL.Clients.Office.Excel.Functions.SPG(DR98, "SP_COUNTRY_NAME")</f>
        <v>#INVALID COMPANY ID</v>
      </c>
      <c r="DV98" t="s">
        <v>1209</v>
      </c>
      <c r="DW98">
        <v>111168</v>
      </c>
      <c r="DX98" t="s">
        <v>634</v>
      </c>
      <c r="DY98" s="11">
        <v>0</v>
      </c>
      <c r="DZ98" s="9" t="str">
        <f>_xll.SNL.Clients.Office.Excel.Functions.SPG(DW98, "SP_COUNTRY_NAME")</f>
        <v>USA</v>
      </c>
      <c r="EA98" t="s">
        <v>1634</v>
      </c>
      <c r="EB98">
        <v>4028690</v>
      </c>
      <c r="EC98" t="s">
        <v>346</v>
      </c>
      <c r="ED98" s="11">
        <v>7.0000000000000007E-2</v>
      </c>
      <c r="EE98" s="9" t="str">
        <f>_xll.SNL.Clients.Office.Excel.Functions.SPG(EB98, "SP_COUNTRY_NAME")</f>
        <v>USA</v>
      </c>
      <c r="EF98" t="s">
        <v>1416</v>
      </c>
      <c r="EG98">
        <v>7058800</v>
      </c>
      <c r="EH98" t="s">
        <v>346</v>
      </c>
      <c r="EI98" s="11">
        <v>7.0000000000000007E-2</v>
      </c>
      <c r="EJ98" s="9" t="str">
        <f>_xll.SNL.Clients.Office.Excel.Functions.SPG(EG98, "SP_COUNTRY_NAME")</f>
        <v>United Kingdom</v>
      </c>
      <c r="EO98" s="9" t="str">
        <f>_xll.SNL.Clients.Office.Excel.Functions.SPG(EL98, "SP_COUNTRY_NAME")</f>
        <v>#INVALID COMPANY ID</v>
      </c>
      <c r="EP98" t="s">
        <v>451</v>
      </c>
      <c r="EQ98">
        <v>5747632</v>
      </c>
      <c r="ER98" t="s">
        <v>346</v>
      </c>
      <c r="ES98" s="11">
        <v>0</v>
      </c>
      <c r="ET98" s="9" t="str">
        <f>_xll.SNL.Clients.Office.Excel.Functions.SPG(EQ98, "SP_COUNTRY_NAME")</f>
        <v>Canada</v>
      </c>
      <c r="EY98" s="9" t="str">
        <f>_xll.SNL.Clients.Office.Excel.Functions.SPG(EV98, "SP_COUNTRY_NAME")</f>
        <v>#INVALID COMPANY ID</v>
      </c>
      <c r="FD98" s="9" t="str">
        <f>_xll.SNL.Clients.Office.Excel.Functions.SPG(FA98, "SP_COUNTRY_NAME")</f>
        <v>#INVALID COMPANY ID</v>
      </c>
      <c r="FI98" s="9" t="str">
        <f>_xll.SNL.Clients.Office.Excel.Functions.SPG(FF98, "SP_COUNTRY_NAME")</f>
        <v>#INVALID COMPANY ID</v>
      </c>
      <c r="FJ98" t="s">
        <v>412</v>
      </c>
      <c r="FK98">
        <v>109687</v>
      </c>
      <c r="FL98" t="s">
        <v>346</v>
      </c>
      <c r="FM98" s="11">
        <v>0</v>
      </c>
      <c r="FN98" s="9" t="str">
        <f>_xll.SNL.Clients.Office.Excel.Functions.SPG(FK98, "SP_COUNTRY_NAME")</f>
        <v>USA</v>
      </c>
      <c r="FS98" s="9" t="str">
        <f>_xll.SNL.Clients.Office.Excel.Functions.SPG(FP98, "SP_COUNTRY_NAME")</f>
        <v>#INVALID COMPANY ID</v>
      </c>
      <c r="FX98" s="9" t="str">
        <f>_xll.SNL.Clients.Office.Excel.Functions.SPG(FU98, "SP_COUNTRY_NAME")</f>
        <v>#INVALID COMPANY ID</v>
      </c>
      <c r="FY98" t="s">
        <v>1416</v>
      </c>
      <c r="FZ98">
        <v>7058800</v>
      </c>
      <c r="GA98" t="s">
        <v>346</v>
      </c>
      <c r="GB98" s="11">
        <v>7.0000000000000007E-2</v>
      </c>
      <c r="GC98" s="9" t="str">
        <f>_xll.SNL.Clients.Office.Excel.Functions.SPG(FZ98, "SP_COUNTRY_NAME")</f>
        <v>United Kingdom</v>
      </c>
      <c r="GH98" s="9" t="str">
        <f>_xll.SNL.Clients.Office.Excel.Functions.SPG(GE98, "SP_COUNTRY_NAME")</f>
        <v>#INVALID COMPANY ID</v>
      </c>
      <c r="GM98" s="9" t="str">
        <f>_xll.SNL.Clients.Office.Excel.Functions.SPG(GJ98, "SP_COUNTRY_NAME")</f>
        <v>#INVALID COMPANY ID</v>
      </c>
      <c r="GN98" t="s">
        <v>412</v>
      </c>
      <c r="GO98">
        <v>109687</v>
      </c>
      <c r="GP98" t="s">
        <v>346</v>
      </c>
      <c r="GQ98" s="11">
        <v>0</v>
      </c>
      <c r="GR98" s="9" t="str">
        <f>_xll.SNL.Clients.Office.Excel.Functions.SPG(GO98, "SP_COUNTRY_NAME")</f>
        <v>USA</v>
      </c>
      <c r="GS98" t="s">
        <v>1238</v>
      </c>
      <c r="GT98" t="s">
        <v>300</v>
      </c>
      <c r="GU98" t="s">
        <v>361</v>
      </c>
      <c r="GV98" s="11">
        <v>0.02</v>
      </c>
      <c r="GW98" s="9" t="str">
        <f>_xll.SNL.Clients.Office.Excel.Functions.SPG(GT98, "SP_COUNTRY_NAME")</f>
        <v>China</v>
      </c>
      <c r="GX98" t="s">
        <v>1634</v>
      </c>
      <c r="GY98">
        <v>4028690</v>
      </c>
      <c r="GZ98" t="s">
        <v>346</v>
      </c>
      <c r="HA98" s="11">
        <v>7.0000000000000007E-2</v>
      </c>
      <c r="HB98" s="9" t="str">
        <f>_xll.SNL.Clients.Office.Excel.Functions.SPG(GY98, "SP_COUNTRY_NAME")</f>
        <v>USA</v>
      </c>
      <c r="HG98" s="9" t="str">
        <f>_xll.SNL.Clients.Office.Excel.Functions.SPG(HD98, "SP_COUNTRY_NAME")</f>
        <v>#INVALID COMPANY ID</v>
      </c>
    </row>
    <row r="99" spans="5:215" x14ac:dyDescent="0.35">
      <c r="E99" s="9" t="str">
        <f>_xll.SNL.Clients.Office.Excel.Functions.SPG(B99, "SP_COUNTRY_NAME")</f>
        <v>#INVALID COMPANY ID</v>
      </c>
      <c r="F99" t="s">
        <v>488</v>
      </c>
      <c r="G99">
        <v>4087052</v>
      </c>
      <c r="H99" t="s">
        <v>346</v>
      </c>
      <c r="I99" s="11">
        <v>0.01</v>
      </c>
      <c r="J99" s="9" t="str">
        <f>_xll.SNL.Clients.Office.Excel.Functions.SPG(G99, "SP_COUNTRY_NAME")</f>
        <v>USA</v>
      </c>
      <c r="K99" t="s">
        <v>464</v>
      </c>
      <c r="L99">
        <v>4629378</v>
      </c>
      <c r="M99" t="s">
        <v>346</v>
      </c>
      <c r="N99" s="11">
        <v>0</v>
      </c>
      <c r="O99" s="9" t="str">
        <f>_xll.SNL.Clients.Office.Excel.Functions.SPG(L99, "SP_COUNTRY_NAME")</f>
        <v>Japan</v>
      </c>
      <c r="T99" s="9" t="str">
        <f>_xll.SNL.Clients.Office.Excel.Functions.SPG(Q99, "SP_COUNTRY_NAME")</f>
        <v>#INVALID COMPANY ID</v>
      </c>
      <c r="U99" t="s">
        <v>510</v>
      </c>
      <c r="V99">
        <v>4089114</v>
      </c>
      <c r="W99" t="s">
        <v>346</v>
      </c>
      <c r="X99" s="11">
        <v>0.04</v>
      </c>
      <c r="Y99" s="9" t="str">
        <f>_xll.SNL.Clients.Office.Excel.Functions.SPG(V99, "SP_COUNTRY_NAME")</f>
        <v>USA</v>
      </c>
      <c r="Z99" t="s">
        <v>464</v>
      </c>
      <c r="AA99">
        <v>4629378</v>
      </c>
      <c r="AB99" t="s">
        <v>346</v>
      </c>
      <c r="AC99" s="11">
        <v>0</v>
      </c>
      <c r="AD99" s="9" t="str">
        <f>_xll.SNL.Clients.Office.Excel.Functions.SPG(AA99, "SP_COUNTRY_NAME")</f>
        <v>Japan</v>
      </c>
      <c r="AE99" t="s">
        <v>440</v>
      </c>
      <c r="AF99">
        <v>4140078</v>
      </c>
      <c r="AG99" t="s">
        <v>346</v>
      </c>
      <c r="AH99" s="11">
        <v>0.01</v>
      </c>
      <c r="AI99" s="9" t="str">
        <f>_xll.SNL.Clients.Office.Excel.Functions.SPG(AF99, "SP_COUNTRY_NAME")</f>
        <v>Japan</v>
      </c>
      <c r="AN99" s="9" t="str">
        <f>_xll.SNL.Clients.Office.Excel.Functions.SPG(AK99, "SP_COUNTRY_NAME")</f>
        <v>#INVALID COMPANY ID</v>
      </c>
      <c r="AO99" t="s">
        <v>466</v>
      </c>
      <c r="AP99">
        <v>111267</v>
      </c>
      <c r="AQ99" t="s">
        <v>346</v>
      </c>
      <c r="AR99" s="11">
        <v>0.03</v>
      </c>
      <c r="AS99" s="9" t="str">
        <f>_xll.SNL.Clients.Office.Excel.Functions.SPG(AP99, "SP_COUNTRY_NAME")</f>
        <v>United Kingdom</v>
      </c>
      <c r="AX99" s="9" t="str">
        <f>_xll.SNL.Clients.Office.Excel.Functions.SPG(AU99, "SP_COUNTRY_NAME")</f>
        <v>#INVALID COMPANY ID</v>
      </c>
      <c r="BC99" s="9" t="str">
        <f>_xll.SNL.Clients.Office.Excel.Functions.SPG(AZ99, "SP_COUNTRY_NAME")</f>
        <v>#INVALID COMPANY ID</v>
      </c>
      <c r="BD99" t="s">
        <v>1417</v>
      </c>
      <c r="BE99">
        <v>4400207</v>
      </c>
      <c r="BF99" t="s">
        <v>634</v>
      </c>
      <c r="BG99" s="11">
        <v>7.0000000000000007E-2</v>
      </c>
      <c r="BH99" s="9" t="str">
        <f>_xll.SNL.Clients.Office.Excel.Functions.SPG(BE99, "SP_COUNTRY_NAME")</f>
        <v>United Kingdom</v>
      </c>
      <c r="BI99" t="s">
        <v>504</v>
      </c>
      <c r="BJ99">
        <v>4630169</v>
      </c>
      <c r="BK99" t="s">
        <v>346</v>
      </c>
      <c r="BL99" s="11">
        <v>0.02</v>
      </c>
      <c r="BM99" s="9" t="str">
        <f>_xll.SNL.Clients.Office.Excel.Functions.SPG(BJ99, "SP_COUNTRY_NAME")</f>
        <v>Germany</v>
      </c>
      <c r="BN99" t="s">
        <v>497</v>
      </c>
      <c r="BO99">
        <v>4138770</v>
      </c>
      <c r="BP99" t="s">
        <v>346</v>
      </c>
      <c r="BQ99" s="11">
        <v>0.02</v>
      </c>
      <c r="BR99" s="9" t="str">
        <f>_xll.SNL.Clients.Office.Excel.Functions.SPG(BO99, "SP_COUNTRY_NAME")</f>
        <v>United Kingdom</v>
      </c>
      <c r="BS99" t="s">
        <v>962</v>
      </c>
      <c r="BT99">
        <v>4144879</v>
      </c>
      <c r="BU99" t="s">
        <v>346</v>
      </c>
      <c r="BV99" s="11">
        <v>0.04</v>
      </c>
      <c r="BW99" s="9" t="str">
        <f>_xll.SNL.Clients.Office.Excel.Functions.SPG(BT99, "SP_COUNTRY_NAME")</f>
        <v>United Kingdom</v>
      </c>
      <c r="BX99" t="s">
        <v>510</v>
      </c>
      <c r="BY99">
        <v>4089114</v>
      </c>
      <c r="BZ99" t="s">
        <v>346</v>
      </c>
      <c r="CA99" s="11">
        <v>0.04</v>
      </c>
      <c r="CB99" s="9" t="str">
        <f>_xll.SNL.Clients.Office.Excel.Functions.SPG(BY99, "SP_COUNTRY_NAME")</f>
        <v>USA</v>
      </c>
      <c r="CC99" t="s">
        <v>1635</v>
      </c>
      <c r="CD99">
        <v>109290</v>
      </c>
      <c r="CE99" t="s">
        <v>364</v>
      </c>
      <c r="CF99" s="11">
        <v>7.0000000000000007E-2</v>
      </c>
      <c r="CG99" s="9" t="str">
        <f>_xll.SNL.Clients.Office.Excel.Functions.SPG(CD99, "SP_COUNTRY_NAME")</f>
        <v>USA</v>
      </c>
      <c r="CH99" t="s">
        <v>466</v>
      </c>
      <c r="CI99">
        <v>111267</v>
      </c>
      <c r="CJ99" t="s">
        <v>346</v>
      </c>
      <c r="CK99" s="11">
        <v>0.03</v>
      </c>
      <c r="CL99" s="9" t="str">
        <f>_xll.SNL.Clients.Office.Excel.Functions.SPG(CI99, "SP_COUNTRY_NAME")</f>
        <v>United Kingdom</v>
      </c>
      <c r="CM99" t="s">
        <v>1685</v>
      </c>
      <c r="CN99">
        <v>4383268</v>
      </c>
      <c r="CO99" t="s">
        <v>366</v>
      </c>
      <c r="CP99" s="11">
        <v>0.06</v>
      </c>
      <c r="CQ99" s="9" t="str">
        <f>_xll.SNL.Clients.Office.Excel.Functions.SPG(CN99, "SP_COUNTRY_NAME")</f>
        <v>USA</v>
      </c>
      <c r="CV99" s="9" t="str">
        <f>_xll.SNL.Clients.Office.Excel.Functions.SPG(CS99, "SP_COUNTRY_NAME")</f>
        <v>#INVALID COMPANY ID</v>
      </c>
      <c r="DA99" s="9" t="str">
        <f>_xll.SNL.Clients.Office.Excel.Functions.SPG(CX99, "SP_COUNTRY_NAME")</f>
        <v>#INVALID COMPANY ID</v>
      </c>
      <c r="DB99" t="s">
        <v>1417</v>
      </c>
      <c r="DC99">
        <v>4400207</v>
      </c>
      <c r="DD99" t="s">
        <v>634</v>
      </c>
      <c r="DE99" s="11">
        <v>7.0000000000000007E-2</v>
      </c>
      <c r="DF99" s="9" t="str">
        <f>_xll.SNL.Clients.Office.Excel.Functions.SPG(DC99, "SP_COUNTRY_NAME")</f>
        <v>United Kingdom</v>
      </c>
      <c r="DK99" s="9" t="str">
        <f>_xll.SNL.Clients.Office.Excel.Functions.SPG(DH99, "SP_COUNTRY_NAME")</f>
        <v>#INVALID COMPANY ID</v>
      </c>
      <c r="DL99" t="s">
        <v>1417</v>
      </c>
      <c r="DM99">
        <v>4400207</v>
      </c>
      <c r="DN99" t="s">
        <v>634</v>
      </c>
      <c r="DO99" s="11">
        <v>7.0000000000000007E-2</v>
      </c>
      <c r="DP99" s="9" t="str">
        <f>_xll.SNL.Clients.Office.Excel.Functions.SPG(DM99, "SP_COUNTRY_NAME")</f>
        <v>United Kingdom</v>
      </c>
      <c r="DU99" s="9" t="str">
        <f>_xll.SNL.Clients.Office.Excel.Functions.SPG(DR99, "SP_COUNTRY_NAME")</f>
        <v>#INVALID COMPANY ID</v>
      </c>
      <c r="DV99" t="s">
        <v>517</v>
      </c>
      <c r="DW99">
        <v>111097</v>
      </c>
      <c r="DX99" t="s">
        <v>346</v>
      </c>
      <c r="DY99" s="11">
        <v>0</v>
      </c>
      <c r="DZ99" s="9" t="str">
        <f>_xll.SNL.Clients.Office.Excel.Functions.SPG(DW99, "SP_COUNTRY_NAME")</f>
        <v>USA</v>
      </c>
      <c r="EA99" t="s">
        <v>1635</v>
      </c>
      <c r="EB99">
        <v>109290</v>
      </c>
      <c r="EC99" t="s">
        <v>364</v>
      </c>
      <c r="ED99" s="11">
        <v>7.0000000000000007E-2</v>
      </c>
      <c r="EE99" s="9" t="str">
        <f>_xll.SNL.Clients.Office.Excel.Functions.SPG(EB99, "SP_COUNTRY_NAME")</f>
        <v>USA</v>
      </c>
      <c r="EF99" t="s">
        <v>1417</v>
      </c>
      <c r="EG99">
        <v>4400207</v>
      </c>
      <c r="EH99" t="s">
        <v>634</v>
      </c>
      <c r="EI99" s="11">
        <v>7.0000000000000007E-2</v>
      </c>
      <c r="EJ99" s="9" t="str">
        <f>_xll.SNL.Clients.Office.Excel.Functions.SPG(EG99, "SP_COUNTRY_NAME")</f>
        <v>United Kingdom</v>
      </c>
      <c r="EO99" s="9" t="str">
        <f>_xll.SNL.Clients.Office.Excel.Functions.SPG(EL99, "SP_COUNTRY_NAME")</f>
        <v>#INVALID COMPANY ID</v>
      </c>
      <c r="EP99" t="s">
        <v>386</v>
      </c>
      <c r="EQ99">
        <v>4145085</v>
      </c>
      <c r="ER99" t="s">
        <v>346</v>
      </c>
      <c r="ES99" s="11">
        <v>0</v>
      </c>
      <c r="ET99" s="9" t="str">
        <f>_xll.SNL.Clients.Office.Excel.Functions.SPG(EQ99, "SP_COUNTRY_NAME")</f>
        <v>United Kingdom</v>
      </c>
      <c r="EY99" s="9" t="str">
        <f>_xll.SNL.Clients.Office.Excel.Functions.SPG(EV99, "SP_COUNTRY_NAME")</f>
        <v>#INVALID COMPANY ID</v>
      </c>
      <c r="FD99" s="9" t="str">
        <f>_xll.SNL.Clients.Office.Excel.Functions.SPG(FA99, "SP_COUNTRY_NAME")</f>
        <v>#INVALID COMPANY ID</v>
      </c>
      <c r="FI99" s="9" t="str">
        <f>_xll.SNL.Clients.Office.Excel.Functions.SPG(FF99, "SP_COUNTRY_NAME")</f>
        <v>#INVALID COMPANY ID</v>
      </c>
      <c r="FJ99" t="s">
        <v>509</v>
      </c>
      <c r="FK99">
        <v>4226520</v>
      </c>
      <c r="FL99" t="s">
        <v>346</v>
      </c>
      <c r="FM99" s="11">
        <v>0</v>
      </c>
      <c r="FN99" s="9" t="str">
        <f>_xll.SNL.Clients.Office.Excel.Functions.SPG(FK99, "SP_COUNTRY_NAME")</f>
        <v>Canada</v>
      </c>
      <c r="FS99" s="9" t="str">
        <f>_xll.SNL.Clients.Office.Excel.Functions.SPG(FP99, "SP_COUNTRY_NAME")</f>
        <v>#INVALID COMPANY ID</v>
      </c>
      <c r="FX99" s="9" t="str">
        <f>_xll.SNL.Clients.Office.Excel.Functions.SPG(FU99, "SP_COUNTRY_NAME")</f>
        <v>#INVALID COMPANY ID</v>
      </c>
      <c r="FY99" t="s">
        <v>1417</v>
      </c>
      <c r="FZ99">
        <v>4400207</v>
      </c>
      <c r="GA99" t="s">
        <v>634</v>
      </c>
      <c r="GB99" s="11">
        <v>7.0000000000000007E-2</v>
      </c>
      <c r="GC99" s="9" t="str">
        <f>_xll.SNL.Clients.Office.Excel.Functions.SPG(FZ99, "SP_COUNTRY_NAME")</f>
        <v>United Kingdom</v>
      </c>
      <c r="GH99" s="9" t="str">
        <f>_xll.SNL.Clients.Office.Excel.Functions.SPG(GE99, "SP_COUNTRY_NAME")</f>
        <v>#INVALID COMPANY ID</v>
      </c>
      <c r="GM99" s="9" t="str">
        <f>_xll.SNL.Clients.Office.Excel.Functions.SPG(GJ99, "SP_COUNTRY_NAME")</f>
        <v>#INVALID COMPANY ID</v>
      </c>
      <c r="GN99" t="s">
        <v>509</v>
      </c>
      <c r="GO99">
        <v>4226520</v>
      </c>
      <c r="GP99" t="s">
        <v>346</v>
      </c>
      <c r="GQ99" s="11">
        <v>0</v>
      </c>
      <c r="GR99" s="9" t="str">
        <f>_xll.SNL.Clients.Office.Excel.Functions.SPG(GO99, "SP_COUNTRY_NAME")</f>
        <v>Canada</v>
      </c>
      <c r="GS99" t="s">
        <v>497</v>
      </c>
      <c r="GT99">
        <v>4138770</v>
      </c>
      <c r="GU99" t="s">
        <v>346</v>
      </c>
      <c r="GV99" s="11">
        <v>0.02</v>
      </c>
      <c r="GW99" s="9" t="str">
        <f>_xll.SNL.Clients.Office.Excel.Functions.SPG(GT99, "SP_COUNTRY_NAME")</f>
        <v>United Kingdom</v>
      </c>
      <c r="GX99" t="s">
        <v>1635</v>
      </c>
      <c r="GY99">
        <v>109290</v>
      </c>
      <c r="GZ99" t="s">
        <v>364</v>
      </c>
      <c r="HA99" s="11">
        <v>7.0000000000000007E-2</v>
      </c>
      <c r="HB99" s="9" t="str">
        <f>_xll.SNL.Clients.Office.Excel.Functions.SPG(GY99, "SP_COUNTRY_NAME")</f>
        <v>USA</v>
      </c>
      <c r="HG99" s="9" t="str">
        <f>_xll.SNL.Clients.Office.Excel.Functions.SPG(HD99, "SP_COUNTRY_NAME")</f>
        <v>#INVALID COMPANY ID</v>
      </c>
    </row>
    <row r="100" spans="5:215" x14ac:dyDescent="0.35">
      <c r="E100" s="9" t="str">
        <f>_xll.SNL.Clients.Office.Excel.Functions.SPG(B100, "SP_COUNTRY_NAME")</f>
        <v>#INVALID COMPANY ID</v>
      </c>
      <c r="F100" t="s">
        <v>489</v>
      </c>
      <c r="G100">
        <v>4324456</v>
      </c>
      <c r="H100" t="s">
        <v>346</v>
      </c>
      <c r="I100" s="11">
        <v>0.01</v>
      </c>
      <c r="J100" s="9" t="str">
        <f>_xll.SNL.Clients.Office.Excel.Functions.SPG(G100, "SP_COUNTRY_NAME")</f>
        <v>Italy</v>
      </c>
      <c r="K100" t="s">
        <v>676</v>
      </c>
      <c r="L100">
        <v>15012201</v>
      </c>
      <c r="M100" t="s">
        <v>346</v>
      </c>
      <c r="N100" s="11">
        <v>0</v>
      </c>
      <c r="O100" s="9" t="str">
        <f>_xll.SNL.Clients.Office.Excel.Functions.SPG(L100, "SP_COUNTRY_NAME")</f>
        <v>China</v>
      </c>
      <c r="T100" s="9" t="str">
        <f>_xll.SNL.Clients.Office.Excel.Functions.SPG(Q100, "SP_COUNTRY_NAME")</f>
        <v>#INVALID COMPANY ID</v>
      </c>
      <c r="U100" t="s">
        <v>739</v>
      </c>
      <c r="V100">
        <v>4311270</v>
      </c>
      <c r="W100" t="s">
        <v>346</v>
      </c>
      <c r="X100" s="11">
        <v>0.04</v>
      </c>
      <c r="Y100" s="9" t="str">
        <f>_xll.SNL.Clients.Office.Excel.Functions.SPG(V100, "SP_COUNTRY_NAME")</f>
        <v>China</v>
      </c>
      <c r="Z100" t="s">
        <v>676</v>
      </c>
      <c r="AA100">
        <v>15012201</v>
      </c>
      <c r="AB100" t="s">
        <v>346</v>
      </c>
      <c r="AC100" s="11">
        <v>0</v>
      </c>
      <c r="AD100" s="9" t="str">
        <f>_xll.SNL.Clients.Office.Excel.Functions.SPG(AA100, "SP_COUNTRY_NAME")</f>
        <v>China</v>
      </c>
      <c r="AE100" t="s">
        <v>466</v>
      </c>
      <c r="AF100">
        <v>111267</v>
      </c>
      <c r="AG100" t="s">
        <v>346</v>
      </c>
      <c r="AH100" s="11">
        <v>0.01</v>
      </c>
      <c r="AI100" s="9" t="str">
        <f>_xll.SNL.Clients.Office.Excel.Functions.SPG(AF100, "SP_COUNTRY_NAME")</f>
        <v>United Kingdom</v>
      </c>
      <c r="AN100" s="9" t="str">
        <f>_xll.SNL.Clients.Office.Excel.Functions.SPG(AK100, "SP_COUNTRY_NAME")</f>
        <v>#INVALID COMPANY ID</v>
      </c>
      <c r="AO100" t="s">
        <v>1285</v>
      </c>
      <c r="AP100">
        <v>14171602</v>
      </c>
      <c r="AQ100" t="s">
        <v>346</v>
      </c>
      <c r="AR100" s="11">
        <v>0.03</v>
      </c>
      <c r="AS100" s="9" t="str">
        <f>_xll.SNL.Clients.Office.Excel.Functions.SPG(AP100, "SP_COUNTRY_NAME")</f>
        <v>South Africa</v>
      </c>
      <c r="AX100" s="9" t="str">
        <f>_xll.SNL.Clients.Office.Excel.Functions.SPG(AU100, "SP_COUNTRY_NAME")</f>
        <v>#INVALID COMPANY ID</v>
      </c>
      <c r="BC100" s="9" t="str">
        <f>_xll.SNL.Clients.Office.Excel.Functions.SPG(AZ100, "SP_COUNTRY_NAME")</f>
        <v>#INVALID COMPANY ID</v>
      </c>
      <c r="BD100" t="s">
        <v>1321</v>
      </c>
      <c r="BE100">
        <v>4213183</v>
      </c>
      <c r="BF100" t="s">
        <v>346</v>
      </c>
      <c r="BG100" s="11">
        <v>7.0000000000000007E-2</v>
      </c>
      <c r="BH100" s="9" t="str">
        <f>_xll.SNL.Clients.Office.Excel.Functions.SPG(BE100, "SP_COUNTRY_NAME")</f>
        <v>South Africa</v>
      </c>
      <c r="BI100" t="s">
        <v>1564</v>
      </c>
      <c r="BJ100">
        <v>4137739</v>
      </c>
      <c r="BK100" t="s">
        <v>346</v>
      </c>
      <c r="BL100" s="11">
        <v>0.02</v>
      </c>
      <c r="BM100" s="9" t="str">
        <f>_xll.SNL.Clients.Office.Excel.Functions.SPG(BJ100, "SP_COUNTRY_NAME")</f>
        <v>Sweden</v>
      </c>
      <c r="BN100" t="s">
        <v>437</v>
      </c>
      <c r="BO100">
        <v>4102073</v>
      </c>
      <c r="BP100" t="s">
        <v>346</v>
      </c>
      <c r="BQ100" s="11">
        <v>0.02</v>
      </c>
      <c r="BR100" s="9" t="str">
        <f>_xll.SNL.Clients.Office.Excel.Functions.SPG(BO100, "SP_COUNTRY_NAME")</f>
        <v>USA</v>
      </c>
      <c r="BS100" t="s">
        <v>676</v>
      </c>
      <c r="BT100">
        <v>15012201</v>
      </c>
      <c r="BU100" t="s">
        <v>346</v>
      </c>
      <c r="BV100" s="11">
        <v>0.04</v>
      </c>
      <c r="BW100" s="9" t="str">
        <f>_xll.SNL.Clients.Office.Excel.Functions.SPG(BT100, "SP_COUNTRY_NAME")</f>
        <v>China</v>
      </c>
      <c r="BX100" t="s">
        <v>739</v>
      </c>
      <c r="BY100">
        <v>4311270</v>
      </c>
      <c r="BZ100" t="s">
        <v>346</v>
      </c>
      <c r="CA100" s="11">
        <v>0.04</v>
      </c>
      <c r="CB100" s="9" t="str">
        <f>_xll.SNL.Clients.Office.Excel.Functions.SPG(BY100, "SP_COUNTRY_NAME")</f>
        <v>China</v>
      </c>
      <c r="CC100" t="s">
        <v>1424</v>
      </c>
      <c r="CD100">
        <v>4089578</v>
      </c>
      <c r="CE100" t="s">
        <v>346</v>
      </c>
      <c r="CF100" s="11">
        <v>7.0000000000000007E-2</v>
      </c>
      <c r="CG100" s="9" t="str">
        <f>_xll.SNL.Clients.Office.Excel.Functions.SPG(CD100, "SP_COUNTRY_NAME")</f>
        <v>USA</v>
      </c>
      <c r="CH100" t="s">
        <v>1285</v>
      </c>
      <c r="CI100">
        <v>14171602</v>
      </c>
      <c r="CJ100" t="s">
        <v>346</v>
      </c>
      <c r="CK100" s="11">
        <v>0.03</v>
      </c>
      <c r="CL100" s="9" t="str">
        <f>_xll.SNL.Clients.Office.Excel.Functions.SPG(CI100, "SP_COUNTRY_NAME")</f>
        <v>South Africa</v>
      </c>
      <c r="CM100" t="s">
        <v>444</v>
      </c>
      <c r="CN100">
        <v>109988</v>
      </c>
      <c r="CO100" t="s">
        <v>346</v>
      </c>
      <c r="CP100" s="11">
        <v>0.06</v>
      </c>
      <c r="CQ100" s="9" t="str">
        <f>_xll.SNL.Clients.Office.Excel.Functions.SPG(CN100, "SP_COUNTRY_NAME")</f>
        <v>USA</v>
      </c>
      <c r="CV100" s="9" t="str">
        <f>_xll.SNL.Clients.Office.Excel.Functions.SPG(CS100, "SP_COUNTRY_NAME")</f>
        <v>#INVALID COMPANY ID</v>
      </c>
      <c r="DA100" s="9" t="str">
        <f>_xll.SNL.Clients.Office.Excel.Functions.SPG(CX100, "SP_COUNTRY_NAME")</f>
        <v>#INVALID COMPANY ID</v>
      </c>
      <c r="DB100" t="s">
        <v>1321</v>
      </c>
      <c r="DC100">
        <v>4213183</v>
      </c>
      <c r="DD100" t="s">
        <v>346</v>
      </c>
      <c r="DE100" s="11">
        <v>7.0000000000000007E-2</v>
      </c>
      <c r="DF100" s="9" t="str">
        <f>_xll.SNL.Clients.Office.Excel.Functions.SPG(DC100, "SP_COUNTRY_NAME")</f>
        <v>South Africa</v>
      </c>
      <c r="DK100" s="9" t="str">
        <f>_xll.SNL.Clients.Office.Excel.Functions.SPG(DH100, "SP_COUNTRY_NAME")</f>
        <v>#INVALID COMPANY ID</v>
      </c>
      <c r="DL100" t="s">
        <v>1321</v>
      </c>
      <c r="DM100">
        <v>4213183</v>
      </c>
      <c r="DN100" t="s">
        <v>346</v>
      </c>
      <c r="DO100" s="11">
        <v>7.0000000000000007E-2</v>
      </c>
      <c r="DP100" s="9" t="str">
        <f>_xll.SNL.Clients.Office.Excel.Functions.SPG(DM100, "SP_COUNTRY_NAME")</f>
        <v>South Africa</v>
      </c>
      <c r="DU100" s="9" t="str">
        <f>_xll.SNL.Clients.Office.Excel.Functions.SPG(DR100, "SP_COUNTRY_NAME")</f>
        <v>#INVALID COMPANY ID</v>
      </c>
      <c r="DV100" t="s">
        <v>1210</v>
      </c>
      <c r="DW100">
        <v>4304195</v>
      </c>
      <c r="DX100" t="s">
        <v>346</v>
      </c>
      <c r="DY100" s="11">
        <v>0</v>
      </c>
      <c r="DZ100" s="9" t="str">
        <f>_xll.SNL.Clients.Office.Excel.Functions.SPG(DW100, "SP_COUNTRY_NAME")</f>
        <v>South Africa</v>
      </c>
      <c r="EA100" t="s">
        <v>1424</v>
      </c>
      <c r="EB100">
        <v>4089578</v>
      </c>
      <c r="EC100" t="s">
        <v>346</v>
      </c>
      <c r="ED100" s="11">
        <v>7.0000000000000007E-2</v>
      </c>
      <c r="EE100" s="9" t="str">
        <f>_xll.SNL.Clients.Office.Excel.Functions.SPG(EB100, "SP_COUNTRY_NAME")</f>
        <v>USA</v>
      </c>
      <c r="EF100" t="s">
        <v>1321</v>
      </c>
      <c r="EG100">
        <v>4213183</v>
      </c>
      <c r="EH100" t="s">
        <v>346</v>
      </c>
      <c r="EI100" s="11">
        <v>7.0000000000000007E-2</v>
      </c>
      <c r="EJ100" s="9" t="str">
        <f>_xll.SNL.Clients.Office.Excel.Functions.SPG(EG100, "SP_COUNTRY_NAME")</f>
        <v>South Africa</v>
      </c>
      <c r="EO100" s="9" t="str">
        <f>_xll.SNL.Clients.Office.Excel.Functions.SPG(EL100, "SP_COUNTRY_NAME")</f>
        <v>#INVALID COMPANY ID</v>
      </c>
      <c r="EP100" t="s">
        <v>355</v>
      </c>
      <c r="EQ100">
        <v>111074</v>
      </c>
      <c r="ER100" t="s">
        <v>346</v>
      </c>
      <c r="ES100" s="11">
        <v>0</v>
      </c>
      <c r="ET100" s="9" t="str">
        <f>_xll.SNL.Clients.Office.Excel.Functions.SPG(EQ100, "SP_COUNTRY_NAME")</f>
        <v>USA</v>
      </c>
      <c r="EY100" s="9" t="str">
        <f>_xll.SNL.Clients.Office.Excel.Functions.SPG(EV100, "SP_COUNTRY_NAME")</f>
        <v>#INVALID COMPANY ID</v>
      </c>
      <c r="FD100" s="9" t="str">
        <f>_xll.SNL.Clients.Office.Excel.Functions.SPG(FA100, "SP_COUNTRY_NAME")</f>
        <v>#INVALID COMPANY ID</v>
      </c>
      <c r="FI100" s="9" t="str">
        <f>_xll.SNL.Clients.Office.Excel.Functions.SPG(FF100, "SP_COUNTRY_NAME")</f>
        <v>#INVALID COMPANY ID</v>
      </c>
      <c r="FJ100" t="s">
        <v>410</v>
      </c>
      <c r="FK100">
        <v>5759394</v>
      </c>
      <c r="FL100" t="s">
        <v>346</v>
      </c>
      <c r="FM100" s="11">
        <v>0</v>
      </c>
      <c r="FN100" s="9" t="str">
        <f>_xll.SNL.Clients.Office.Excel.Functions.SPG(FK100, "SP_COUNTRY_NAME")</f>
        <v>Ireland</v>
      </c>
      <c r="FS100" s="9" t="str">
        <f>_xll.SNL.Clients.Office.Excel.Functions.SPG(FP100, "SP_COUNTRY_NAME")</f>
        <v>#INVALID COMPANY ID</v>
      </c>
      <c r="FX100" s="9" t="str">
        <f>_xll.SNL.Clients.Office.Excel.Functions.SPG(FU100, "SP_COUNTRY_NAME")</f>
        <v>#INVALID COMPANY ID</v>
      </c>
      <c r="FY100" t="s">
        <v>1321</v>
      </c>
      <c r="FZ100">
        <v>4213183</v>
      </c>
      <c r="GA100" t="s">
        <v>346</v>
      </c>
      <c r="GB100" s="11">
        <v>7.0000000000000007E-2</v>
      </c>
      <c r="GC100" s="9" t="str">
        <f>_xll.SNL.Clients.Office.Excel.Functions.SPG(FZ100, "SP_COUNTRY_NAME")</f>
        <v>South Africa</v>
      </c>
      <c r="GH100" s="9" t="str">
        <f>_xll.SNL.Clients.Office.Excel.Functions.SPG(GE100, "SP_COUNTRY_NAME")</f>
        <v>#INVALID COMPANY ID</v>
      </c>
      <c r="GM100" s="9" t="str">
        <f>_xll.SNL.Clients.Office.Excel.Functions.SPG(GJ100, "SP_COUNTRY_NAME")</f>
        <v>#INVALID COMPANY ID</v>
      </c>
      <c r="GN100" t="s">
        <v>410</v>
      </c>
      <c r="GO100">
        <v>5759394</v>
      </c>
      <c r="GP100" t="s">
        <v>346</v>
      </c>
      <c r="GQ100" s="11">
        <v>0</v>
      </c>
      <c r="GR100" s="9" t="str">
        <f>_xll.SNL.Clients.Office.Excel.Functions.SPG(GO100, "SP_COUNTRY_NAME")</f>
        <v>Ireland</v>
      </c>
      <c r="GS100" t="s">
        <v>437</v>
      </c>
      <c r="GT100">
        <v>4102073</v>
      </c>
      <c r="GU100" t="s">
        <v>346</v>
      </c>
      <c r="GV100" s="11">
        <v>0.02</v>
      </c>
      <c r="GW100" s="9" t="str">
        <f>_xll.SNL.Clients.Office.Excel.Functions.SPG(GT100, "SP_COUNTRY_NAME")</f>
        <v>USA</v>
      </c>
      <c r="GX100" t="s">
        <v>1424</v>
      </c>
      <c r="GY100">
        <v>4089578</v>
      </c>
      <c r="GZ100" t="s">
        <v>346</v>
      </c>
      <c r="HA100" s="11">
        <v>7.0000000000000007E-2</v>
      </c>
      <c r="HB100" s="9" t="str">
        <f>_xll.SNL.Clients.Office.Excel.Functions.SPG(GY100, "SP_COUNTRY_NAME")</f>
        <v>USA</v>
      </c>
      <c r="HG100" s="9" t="str">
        <f>_xll.SNL.Clients.Office.Excel.Functions.SPG(HD100, "SP_COUNTRY_NAME")</f>
        <v>#INVALID COMPANY ID</v>
      </c>
    </row>
    <row r="101" spans="5:215" x14ac:dyDescent="0.35">
      <c r="E101" s="9" t="str">
        <f>_xll.SNL.Clients.Office.Excel.Functions.SPG(B101, "SP_COUNTRY_NAME")</f>
        <v>#INVALID COMPANY ID</v>
      </c>
      <c r="F101" t="s">
        <v>490</v>
      </c>
      <c r="G101" t="s">
        <v>300</v>
      </c>
      <c r="H101" t="s">
        <v>361</v>
      </c>
      <c r="I101" s="11">
        <v>0.01</v>
      </c>
      <c r="J101" s="9" t="str">
        <f>_xll.SNL.Clients.Office.Excel.Functions.SPG(G101, "SP_COUNTRY_NAME")</f>
        <v>China</v>
      </c>
      <c r="K101" t="s">
        <v>677</v>
      </c>
      <c r="L101">
        <v>4345260</v>
      </c>
      <c r="M101" t="s">
        <v>346</v>
      </c>
      <c r="N101" s="11">
        <v>0</v>
      </c>
      <c r="O101" s="9" t="str">
        <f>_xll.SNL.Clients.Office.Excel.Functions.SPG(L101, "SP_COUNTRY_NAME")</f>
        <v>China</v>
      </c>
      <c r="T101" s="9" t="str">
        <f>_xll.SNL.Clients.Office.Excel.Functions.SPG(Q101, "SP_COUNTRY_NAME")</f>
        <v>#INVALID COMPANY ID</v>
      </c>
      <c r="U101" t="s">
        <v>679</v>
      </c>
      <c r="V101">
        <v>4138221</v>
      </c>
      <c r="W101" t="s">
        <v>346</v>
      </c>
      <c r="X101" s="11">
        <v>0.04</v>
      </c>
      <c r="Y101" s="9" t="str">
        <f>_xll.SNL.Clients.Office.Excel.Functions.SPG(V101, "SP_COUNTRY_NAME")</f>
        <v>China</v>
      </c>
      <c r="Z101" t="s">
        <v>677</v>
      </c>
      <c r="AA101">
        <v>4345260</v>
      </c>
      <c r="AB101" t="s">
        <v>346</v>
      </c>
      <c r="AC101" s="11">
        <v>0</v>
      </c>
      <c r="AD101" s="9" t="str">
        <f>_xll.SNL.Clients.Office.Excel.Functions.SPG(AA101, "SP_COUNTRY_NAME")</f>
        <v>China</v>
      </c>
      <c r="AE101" t="s">
        <v>553</v>
      </c>
      <c r="AF101">
        <v>4557089</v>
      </c>
      <c r="AG101" t="s">
        <v>346</v>
      </c>
      <c r="AH101" s="11">
        <v>0.01</v>
      </c>
      <c r="AI101" s="9" t="str">
        <f>_xll.SNL.Clients.Office.Excel.Functions.SPG(AF101, "SP_COUNTRY_NAME")</f>
        <v>Canada</v>
      </c>
      <c r="AN101" s="9" t="str">
        <f>_xll.SNL.Clients.Office.Excel.Functions.SPG(AK101, "SP_COUNTRY_NAME")</f>
        <v>#INVALID COMPANY ID</v>
      </c>
      <c r="AO101" t="s">
        <v>452</v>
      </c>
      <c r="AP101">
        <v>4784107</v>
      </c>
      <c r="AQ101" t="s">
        <v>346</v>
      </c>
      <c r="AR101" s="11">
        <v>0.03</v>
      </c>
      <c r="AS101" s="9" t="str">
        <f>_xll.SNL.Clients.Office.Excel.Functions.SPG(AP101, "SP_COUNTRY_NAME")</f>
        <v>France</v>
      </c>
      <c r="AX101" s="9" t="str">
        <f>_xll.SNL.Clients.Office.Excel.Functions.SPG(AU101, "SP_COUNTRY_NAME")</f>
        <v>#INVALID COMPANY ID</v>
      </c>
      <c r="BC101" s="9" t="str">
        <f>_xll.SNL.Clients.Office.Excel.Functions.SPG(AZ101, "SP_COUNTRY_NAME")</f>
        <v>#INVALID COMPANY ID</v>
      </c>
      <c r="BD101" t="s">
        <v>457</v>
      </c>
      <c r="BE101">
        <v>110399</v>
      </c>
      <c r="BF101" t="s">
        <v>346</v>
      </c>
      <c r="BG101" s="11">
        <v>7.0000000000000007E-2</v>
      </c>
      <c r="BH101" s="9" t="str">
        <f>_xll.SNL.Clients.Office.Excel.Functions.SPG(BE101, "SP_COUNTRY_NAME")</f>
        <v>USA</v>
      </c>
      <c r="BI101" t="s">
        <v>1565</v>
      </c>
      <c r="BJ101">
        <v>4397725</v>
      </c>
      <c r="BK101" t="s">
        <v>346</v>
      </c>
      <c r="BL101" s="11">
        <v>0.02</v>
      </c>
      <c r="BM101" s="9" t="str">
        <f>_xll.SNL.Clients.Office.Excel.Functions.SPG(BJ101, "SP_COUNTRY_NAME")</f>
        <v>Germany</v>
      </c>
      <c r="BN101" t="s">
        <v>736</v>
      </c>
      <c r="BO101">
        <v>4139955</v>
      </c>
      <c r="BP101" t="s">
        <v>346</v>
      </c>
      <c r="BQ101" s="11">
        <v>0.02</v>
      </c>
      <c r="BR101" s="9" t="str">
        <f>_xll.SNL.Clients.Office.Excel.Functions.SPG(BO101, "SP_COUNTRY_NAME")</f>
        <v>Singapore</v>
      </c>
      <c r="BS101" t="s">
        <v>491</v>
      </c>
      <c r="BT101">
        <v>106960</v>
      </c>
      <c r="BU101" t="s">
        <v>346</v>
      </c>
      <c r="BV101" s="11">
        <v>0.03</v>
      </c>
      <c r="BW101" s="9" t="str">
        <f>_xll.SNL.Clients.Office.Excel.Functions.SPG(BT101, "SP_COUNTRY_NAME")</f>
        <v>Canada</v>
      </c>
      <c r="BX101" t="s">
        <v>679</v>
      </c>
      <c r="BY101">
        <v>4138221</v>
      </c>
      <c r="BZ101" t="s">
        <v>346</v>
      </c>
      <c r="CA101" s="11">
        <v>0.04</v>
      </c>
      <c r="CB101" s="9" t="str">
        <f>_xll.SNL.Clients.Office.Excel.Functions.SPG(BY101, "SP_COUNTRY_NAME")</f>
        <v>China</v>
      </c>
      <c r="CC101" t="s">
        <v>1636</v>
      </c>
      <c r="CD101">
        <v>4677902</v>
      </c>
      <c r="CE101" t="s">
        <v>364</v>
      </c>
      <c r="CF101" s="11">
        <v>7.0000000000000007E-2</v>
      </c>
      <c r="CG101" s="9" t="str">
        <f>_xll.SNL.Clients.Office.Excel.Functions.SPG(CD101, "SP_COUNTRY_NAME")</f>
        <v>USA</v>
      </c>
      <c r="CH101" t="s">
        <v>452</v>
      </c>
      <c r="CI101">
        <v>4784107</v>
      </c>
      <c r="CJ101" t="s">
        <v>346</v>
      </c>
      <c r="CK101" s="11">
        <v>0.03</v>
      </c>
      <c r="CL101" s="9" t="str">
        <f>_xll.SNL.Clients.Office.Excel.Functions.SPG(CI101, "SP_COUNTRY_NAME")</f>
        <v>France</v>
      </c>
      <c r="CM101" t="s">
        <v>1967</v>
      </c>
      <c r="CN101">
        <v>19549672</v>
      </c>
      <c r="CO101" t="s">
        <v>276</v>
      </c>
      <c r="CP101" s="11">
        <v>0.05</v>
      </c>
      <c r="CQ101" s="9" t="str">
        <f>_xll.SNL.Clients.Office.Excel.Functions.SPG(CN101, "SP_COUNTRY_NAME")</f>
        <v>Australia</v>
      </c>
      <c r="CV101" s="9" t="str">
        <f>_xll.SNL.Clients.Office.Excel.Functions.SPG(CS101, "SP_COUNTRY_NAME")</f>
        <v>#INVALID COMPANY ID</v>
      </c>
      <c r="DA101" s="9" t="str">
        <f>_xll.SNL.Clients.Office.Excel.Functions.SPG(CX101, "SP_COUNTRY_NAME")</f>
        <v>#INVALID COMPANY ID</v>
      </c>
      <c r="DB101" t="s">
        <v>457</v>
      </c>
      <c r="DC101">
        <v>110399</v>
      </c>
      <c r="DD101" t="s">
        <v>346</v>
      </c>
      <c r="DE101" s="11">
        <v>7.0000000000000007E-2</v>
      </c>
      <c r="DF101" s="9" t="str">
        <f>_xll.SNL.Clients.Office.Excel.Functions.SPG(DC101, "SP_COUNTRY_NAME")</f>
        <v>USA</v>
      </c>
      <c r="DK101" s="9" t="str">
        <f>_xll.SNL.Clients.Office.Excel.Functions.SPG(DH101, "SP_COUNTRY_NAME")</f>
        <v>#INVALID COMPANY ID</v>
      </c>
      <c r="DL101" t="s">
        <v>457</v>
      </c>
      <c r="DM101">
        <v>110399</v>
      </c>
      <c r="DN101" t="s">
        <v>346</v>
      </c>
      <c r="DO101" s="11">
        <v>7.0000000000000007E-2</v>
      </c>
      <c r="DP101" s="9" t="str">
        <f>_xll.SNL.Clients.Office.Excel.Functions.SPG(DM101, "SP_COUNTRY_NAME")</f>
        <v>USA</v>
      </c>
      <c r="DU101" s="9" t="str">
        <f>_xll.SNL.Clients.Office.Excel.Functions.SPG(DR101, "SP_COUNTRY_NAME")</f>
        <v>#INVALID COMPANY ID</v>
      </c>
      <c r="DV101" t="s">
        <v>469</v>
      </c>
      <c r="DW101">
        <v>4026996</v>
      </c>
      <c r="DX101" t="s">
        <v>346</v>
      </c>
      <c r="DY101" s="11">
        <v>0</v>
      </c>
      <c r="DZ101" s="9" t="str">
        <f>_xll.SNL.Clients.Office.Excel.Functions.SPG(DW101, "SP_COUNTRY_NAME")</f>
        <v>USA</v>
      </c>
      <c r="EA101" t="s">
        <v>1636</v>
      </c>
      <c r="EB101">
        <v>4677902</v>
      </c>
      <c r="EC101" t="s">
        <v>364</v>
      </c>
      <c r="ED101" s="11">
        <v>7.0000000000000007E-2</v>
      </c>
      <c r="EE101" s="9" t="str">
        <f>_xll.SNL.Clients.Office.Excel.Functions.SPG(EB101, "SP_COUNTRY_NAME")</f>
        <v>USA</v>
      </c>
      <c r="EF101" t="s">
        <v>457</v>
      </c>
      <c r="EG101">
        <v>110399</v>
      </c>
      <c r="EH101" t="s">
        <v>346</v>
      </c>
      <c r="EI101" s="11">
        <v>7.0000000000000007E-2</v>
      </c>
      <c r="EJ101" s="9" t="str">
        <f>_xll.SNL.Clients.Office.Excel.Functions.SPG(EG101, "SP_COUNTRY_NAME")</f>
        <v>USA</v>
      </c>
      <c r="EO101" s="9" t="str">
        <f>_xll.SNL.Clients.Office.Excel.Functions.SPG(EL101, "SP_COUNTRY_NAME")</f>
        <v>#INVALID COMPANY ID</v>
      </c>
      <c r="EP101" t="s">
        <v>673</v>
      </c>
      <c r="EQ101">
        <v>5837129</v>
      </c>
      <c r="ER101" t="s">
        <v>346</v>
      </c>
      <c r="ES101" s="11">
        <v>0</v>
      </c>
      <c r="ET101" s="9" t="str">
        <f>_xll.SNL.Clients.Office.Excel.Functions.SPG(EQ101, "SP_COUNTRY_NAME")</f>
        <v>China</v>
      </c>
      <c r="EY101" s="9" t="str">
        <f>_xll.SNL.Clients.Office.Excel.Functions.SPG(EV101, "SP_COUNTRY_NAME")</f>
        <v>#INVALID COMPANY ID</v>
      </c>
      <c r="FD101" s="9" t="str">
        <f>_xll.SNL.Clients.Office.Excel.Functions.SPG(FA101, "SP_COUNTRY_NAME")</f>
        <v>#INVALID COMPANY ID</v>
      </c>
      <c r="FI101" s="9" t="str">
        <f>_xll.SNL.Clients.Office.Excel.Functions.SPG(FF101, "SP_COUNTRY_NAME")</f>
        <v>#INVALID COMPANY ID</v>
      </c>
      <c r="FJ101" t="s">
        <v>2166</v>
      </c>
      <c r="FK101">
        <v>4139073</v>
      </c>
      <c r="FL101" t="s">
        <v>346</v>
      </c>
      <c r="FM101" s="11">
        <v>0</v>
      </c>
      <c r="FN101" s="9" t="str">
        <f>_xll.SNL.Clients.Office.Excel.Functions.SPG(FK101, "SP_COUNTRY_NAME")</f>
        <v>New Zealand</v>
      </c>
      <c r="FS101" s="9" t="str">
        <f>_xll.SNL.Clients.Office.Excel.Functions.SPG(FP101, "SP_COUNTRY_NAME")</f>
        <v>#INVALID COMPANY ID</v>
      </c>
      <c r="FX101" s="9" t="str">
        <f>_xll.SNL.Clients.Office.Excel.Functions.SPG(FU101, "SP_COUNTRY_NAME")</f>
        <v>#INVALID COMPANY ID</v>
      </c>
      <c r="FY101" t="s">
        <v>457</v>
      </c>
      <c r="FZ101">
        <v>110399</v>
      </c>
      <c r="GA101" t="s">
        <v>346</v>
      </c>
      <c r="GB101" s="11">
        <v>7.0000000000000007E-2</v>
      </c>
      <c r="GC101" s="9" t="str">
        <f>_xll.SNL.Clients.Office.Excel.Functions.SPG(FZ101, "SP_COUNTRY_NAME")</f>
        <v>USA</v>
      </c>
      <c r="GH101" s="9" t="str">
        <f>_xll.SNL.Clients.Office.Excel.Functions.SPG(GE101, "SP_COUNTRY_NAME")</f>
        <v>#INVALID COMPANY ID</v>
      </c>
      <c r="GM101" s="9" t="str">
        <f>_xll.SNL.Clients.Office.Excel.Functions.SPG(GJ101, "SP_COUNTRY_NAME")</f>
        <v>#INVALID COMPANY ID</v>
      </c>
      <c r="GN101" t="s">
        <v>2166</v>
      </c>
      <c r="GO101">
        <v>4139073</v>
      </c>
      <c r="GP101" t="s">
        <v>346</v>
      </c>
      <c r="GQ101" s="11">
        <v>0</v>
      </c>
      <c r="GR101" s="9" t="str">
        <f>_xll.SNL.Clients.Office.Excel.Functions.SPG(GO101, "SP_COUNTRY_NAME")</f>
        <v>New Zealand</v>
      </c>
      <c r="GS101" t="s">
        <v>736</v>
      </c>
      <c r="GT101">
        <v>4139955</v>
      </c>
      <c r="GU101" t="s">
        <v>346</v>
      </c>
      <c r="GV101" s="11">
        <v>0.02</v>
      </c>
      <c r="GW101" s="9" t="str">
        <f>_xll.SNL.Clients.Office.Excel.Functions.SPG(GT101, "SP_COUNTRY_NAME")</f>
        <v>Singapore</v>
      </c>
      <c r="GX101" t="s">
        <v>1636</v>
      </c>
      <c r="GY101">
        <v>4677902</v>
      </c>
      <c r="GZ101" t="s">
        <v>364</v>
      </c>
      <c r="HA101" s="11">
        <v>7.0000000000000007E-2</v>
      </c>
      <c r="HB101" s="9" t="str">
        <f>_xll.SNL.Clients.Office.Excel.Functions.SPG(GY101, "SP_COUNTRY_NAME")</f>
        <v>USA</v>
      </c>
      <c r="HG101" s="9" t="str">
        <f>_xll.SNL.Clients.Office.Excel.Functions.SPG(HD101, "SP_COUNTRY_NAME")</f>
        <v>#INVALID COMPANY ID</v>
      </c>
    </row>
    <row r="102" spans="5:215" x14ac:dyDescent="0.35">
      <c r="E102" s="9" t="str">
        <f>_xll.SNL.Clients.Office.Excel.Functions.SPG(B102, "SP_COUNTRY_NAME")</f>
        <v>#INVALID COMPANY ID</v>
      </c>
      <c r="F102" t="s">
        <v>491</v>
      </c>
      <c r="G102">
        <v>106960</v>
      </c>
      <c r="H102" t="s">
        <v>346</v>
      </c>
      <c r="I102" s="11">
        <v>0.01</v>
      </c>
      <c r="J102" s="9" t="str">
        <f>_xll.SNL.Clients.Office.Excel.Functions.SPG(G102, "SP_COUNTRY_NAME")</f>
        <v>Canada</v>
      </c>
      <c r="K102" t="s">
        <v>533</v>
      </c>
      <c r="L102">
        <v>4377155</v>
      </c>
      <c r="M102" t="s">
        <v>346</v>
      </c>
      <c r="N102" s="11">
        <v>0</v>
      </c>
      <c r="O102" s="9" t="str">
        <f>_xll.SNL.Clients.Office.Excel.Functions.SPG(L102, "SP_COUNTRY_NAME")</f>
        <v>Belgium</v>
      </c>
      <c r="T102" s="9" t="str">
        <f>_xll.SNL.Clients.Office.Excel.Functions.SPG(Q102, "SP_COUNTRY_NAME")</f>
        <v>#INVALID COMPANY ID</v>
      </c>
      <c r="U102" t="s">
        <v>740</v>
      </c>
      <c r="V102">
        <v>4271664</v>
      </c>
      <c r="W102" t="s">
        <v>346</v>
      </c>
      <c r="X102" s="11">
        <v>0.04</v>
      </c>
      <c r="Y102" s="9" t="str">
        <f>_xll.SNL.Clients.Office.Excel.Functions.SPG(V102, "SP_COUNTRY_NAME")</f>
        <v>United Kingdom</v>
      </c>
      <c r="Z102" t="s">
        <v>533</v>
      </c>
      <c r="AA102">
        <v>4377155</v>
      </c>
      <c r="AB102" t="s">
        <v>346</v>
      </c>
      <c r="AC102" s="11">
        <v>0</v>
      </c>
      <c r="AD102" s="9" t="str">
        <f>_xll.SNL.Clients.Office.Excel.Functions.SPG(AA102, "SP_COUNTRY_NAME")</f>
        <v>Belgium</v>
      </c>
      <c r="AE102" t="s">
        <v>501</v>
      </c>
      <c r="AF102">
        <v>111359</v>
      </c>
      <c r="AG102" t="s">
        <v>346</v>
      </c>
      <c r="AH102" s="11">
        <v>0.01</v>
      </c>
      <c r="AI102" s="9" t="str">
        <f>_xll.SNL.Clients.Office.Excel.Functions.SPG(AF102, "SP_COUNTRY_NAME")</f>
        <v>USA</v>
      </c>
      <c r="AN102" s="9" t="str">
        <f>_xll.SNL.Clients.Office.Excel.Functions.SPG(AK102, "SP_COUNTRY_NAME")</f>
        <v>#INVALID COMPANY ID</v>
      </c>
      <c r="AO102" t="s">
        <v>454</v>
      </c>
      <c r="AP102">
        <v>4145691</v>
      </c>
      <c r="AQ102" t="s">
        <v>346</v>
      </c>
      <c r="AR102" s="11">
        <v>0.03</v>
      </c>
      <c r="AS102" s="9" t="str">
        <f>_xll.SNL.Clients.Office.Excel.Functions.SPG(AP102, "SP_COUNTRY_NAME")</f>
        <v>USA</v>
      </c>
      <c r="AX102" s="9" t="str">
        <f>_xll.SNL.Clients.Office.Excel.Functions.SPG(AU102, "SP_COUNTRY_NAME")</f>
        <v>#INVALID COMPANY ID</v>
      </c>
      <c r="BC102" s="9" t="str">
        <f>_xll.SNL.Clients.Office.Excel.Functions.SPG(AZ102, "SP_COUNTRY_NAME")</f>
        <v>#INVALID COMPANY ID</v>
      </c>
      <c r="BD102" t="s">
        <v>1418</v>
      </c>
      <c r="BE102">
        <v>4115672</v>
      </c>
      <c r="BF102" t="s">
        <v>364</v>
      </c>
      <c r="BG102" s="11">
        <v>0.06</v>
      </c>
      <c r="BH102" s="9" t="str">
        <f>_xll.SNL.Clients.Office.Excel.Functions.SPG(BE102, "SP_COUNTRY_NAME")</f>
        <v>United Kingdom</v>
      </c>
      <c r="BI102" t="s">
        <v>472</v>
      </c>
      <c r="BJ102">
        <v>4048215</v>
      </c>
      <c r="BK102" t="s">
        <v>346</v>
      </c>
      <c r="BL102" s="11">
        <v>0.02</v>
      </c>
      <c r="BM102" s="9" t="str">
        <f>_xll.SNL.Clients.Office.Excel.Functions.SPG(BJ102, "SP_COUNTRY_NAME")</f>
        <v>USA</v>
      </c>
      <c r="BN102" t="s">
        <v>530</v>
      </c>
      <c r="BO102">
        <v>102729</v>
      </c>
      <c r="BP102" t="s">
        <v>346</v>
      </c>
      <c r="BQ102" s="11">
        <v>0.02</v>
      </c>
      <c r="BR102" s="9" t="str">
        <f>_xll.SNL.Clients.Office.Excel.Functions.SPG(BO102, "SP_COUNTRY_NAME")</f>
        <v>USA</v>
      </c>
      <c r="BS102" t="s">
        <v>354</v>
      </c>
      <c r="BT102">
        <v>110652</v>
      </c>
      <c r="BU102" t="s">
        <v>346</v>
      </c>
      <c r="BV102" s="11">
        <v>0.03</v>
      </c>
      <c r="BW102" s="9" t="str">
        <f>_xll.SNL.Clients.Office.Excel.Functions.SPG(BT102, "SP_COUNTRY_NAME")</f>
        <v>USA</v>
      </c>
      <c r="BX102" t="s">
        <v>740</v>
      </c>
      <c r="BY102">
        <v>4271664</v>
      </c>
      <c r="BZ102" t="s">
        <v>346</v>
      </c>
      <c r="CA102" s="11">
        <v>0.04</v>
      </c>
      <c r="CB102" s="9" t="str">
        <f>_xll.SNL.Clients.Office.Excel.Functions.SPG(BY102, "SP_COUNTRY_NAME")</f>
        <v>United Kingdom</v>
      </c>
      <c r="CC102" t="s">
        <v>1637</v>
      </c>
      <c r="CD102">
        <v>4252195</v>
      </c>
      <c r="CE102" t="s">
        <v>364</v>
      </c>
      <c r="CF102" s="11">
        <v>0.06</v>
      </c>
      <c r="CG102" s="9" t="str">
        <f>_xll.SNL.Clients.Office.Excel.Functions.SPG(CD102, "SP_COUNTRY_NAME")</f>
        <v>USA</v>
      </c>
      <c r="CH102" t="s">
        <v>454</v>
      </c>
      <c r="CI102">
        <v>4145691</v>
      </c>
      <c r="CJ102" t="s">
        <v>346</v>
      </c>
      <c r="CK102" s="11">
        <v>0.03</v>
      </c>
      <c r="CL102" s="9" t="str">
        <f>_xll.SNL.Clients.Office.Excel.Functions.SPG(CI102, "SP_COUNTRY_NAME")</f>
        <v>USA</v>
      </c>
      <c r="CM102" t="s">
        <v>1690</v>
      </c>
      <c r="CN102">
        <v>4117333</v>
      </c>
      <c r="CO102" t="s">
        <v>364</v>
      </c>
      <c r="CP102" s="11">
        <v>0.05</v>
      </c>
      <c r="CQ102" s="9" t="str">
        <f>_xll.SNL.Clients.Office.Excel.Functions.SPG(CN102, "SP_COUNTRY_NAME")</f>
        <v>France</v>
      </c>
      <c r="CV102" s="9" t="str">
        <f>_xll.SNL.Clients.Office.Excel.Functions.SPG(CS102, "SP_COUNTRY_NAME")</f>
        <v>#INVALID COMPANY ID</v>
      </c>
      <c r="DA102" s="9" t="str">
        <f>_xll.SNL.Clients.Office.Excel.Functions.SPG(CX102, "SP_COUNTRY_NAME")</f>
        <v>#INVALID COMPANY ID</v>
      </c>
      <c r="DB102" t="s">
        <v>1418</v>
      </c>
      <c r="DC102">
        <v>4115672</v>
      </c>
      <c r="DD102" t="s">
        <v>364</v>
      </c>
      <c r="DE102" s="11">
        <v>0.06</v>
      </c>
      <c r="DF102" s="9" t="str">
        <f>_xll.SNL.Clients.Office.Excel.Functions.SPG(DC102, "SP_COUNTRY_NAME")</f>
        <v>United Kingdom</v>
      </c>
      <c r="DK102" s="9" t="str">
        <f>_xll.SNL.Clients.Office.Excel.Functions.SPG(DH102, "SP_COUNTRY_NAME")</f>
        <v>#INVALID COMPANY ID</v>
      </c>
      <c r="DL102" t="s">
        <v>1418</v>
      </c>
      <c r="DM102">
        <v>4115672</v>
      </c>
      <c r="DN102" t="s">
        <v>364</v>
      </c>
      <c r="DO102" s="11">
        <v>0.06</v>
      </c>
      <c r="DP102" s="9" t="str">
        <f>_xll.SNL.Clients.Office.Excel.Functions.SPG(DM102, "SP_COUNTRY_NAME")</f>
        <v>United Kingdom</v>
      </c>
      <c r="DU102" s="9" t="str">
        <f>_xll.SNL.Clients.Office.Excel.Functions.SPG(DR102, "SP_COUNTRY_NAME")</f>
        <v>#INVALID COMPANY ID</v>
      </c>
      <c r="DV102" t="s">
        <v>378</v>
      </c>
      <c r="DW102">
        <v>4048184</v>
      </c>
      <c r="DX102" t="s">
        <v>346</v>
      </c>
      <c r="DY102" s="11">
        <v>0</v>
      </c>
      <c r="DZ102" s="9" t="str">
        <f>_xll.SNL.Clients.Office.Excel.Functions.SPG(DW102, "SP_COUNTRY_NAME")</f>
        <v>Canada</v>
      </c>
      <c r="EA102" t="s">
        <v>1637</v>
      </c>
      <c r="EB102">
        <v>4252195</v>
      </c>
      <c r="EC102" t="s">
        <v>364</v>
      </c>
      <c r="ED102" s="11">
        <v>0.06</v>
      </c>
      <c r="EE102" s="9" t="str">
        <f>_xll.SNL.Clients.Office.Excel.Functions.SPG(EB102, "SP_COUNTRY_NAME")</f>
        <v>USA</v>
      </c>
      <c r="EF102" t="s">
        <v>1418</v>
      </c>
      <c r="EG102">
        <v>4115672</v>
      </c>
      <c r="EH102" t="s">
        <v>364</v>
      </c>
      <c r="EI102" s="11">
        <v>0.06</v>
      </c>
      <c r="EJ102" s="9" t="str">
        <f>_xll.SNL.Clients.Office.Excel.Functions.SPG(EG102, "SP_COUNTRY_NAME")</f>
        <v>United Kingdom</v>
      </c>
      <c r="EO102" s="9" t="str">
        <f>_xll.SNL.Clients.Office.Excel.Functions.SPG(EL102, "SP_COUNTRY_NAME")</f>
        <v>#INVALID COMPANY ID</v>
      </c>
      <c r="EP102" t="s">
        <v>398</v>
      </c>
      <c r="EQ102">
        <v>4107954</v>
      </c>
      <c r="ER102" t="s">
        <v>300</v>
      </c>
      <c r="ES102" s="11">
        <v>0</v>
      </c>
      <c r="ET102" s="9" t="str">
        <f>_xll.SNL.Clients.Office.Excel.Functions.SPG(EQ102, "SP_COUNTRY_NAME")</f>
        <v>Japan</v>
      </c>
      <c r="EY102" s="9" t="str">
        <f>_xll.SNL.Clients.Office.Excel.Functions.SPG(EV102, "SP_COUNTRY_NAME")</f>
        <v>#INVALID COMPANY ID</v>
      </c>
      <c r="FD102" s="9" t="str">
        <f>_xll.SNL.Clients.Office.Excel.Functions.SPG(FA102, "SP_COUNTRY_NAME")</f>
        <v>#INVALID COMPANY ID</v>
      </c>
      <c r="FI102" s="9" t="str">
        <f>_xll.SNL.Clients.Office.Excel.Functions.SPG(FF102, "SP_COUNTRY_NAME")</f>
        <v>#INVALID COMPANY ID</v>
      </c>
      <c r="FJ102" t="s">
        <v>512</v>
      </c>
      <c r="FK102">
        <v>6422826</v>
      </c>
      <c r="FL102" t="s">
        <v>346</v>
      </c>
      <c r="FM102" s="11">
        <v>0</v>
      </c>
      <c r="FN102" s="9" t="str">
        <f>_xll.SNL.Clients.Office.Excel.Functions.SPG(FK102, "SP_COUNTRY_NAME")</f>
        <v>Japan</v>
      </c>
      <c r="FS102" s="9" t="str">
        <f>_xll.SNL.Clients.Office.Excel.Functions.SPG(FP102, "SP_COUNTRY_NAME")</f>
        <v>#INVALID COMPANY ID</v>
      </c>
      <c r="FX102" s="9" t="str">
        <f>_xll.SNL.Clients.Office.Excel.Functions.SPG(FU102, "SP_COUNTRY_NAME")</f>
        <v>#INVALID COMPANY ID</v>
      </c>
      <c r="FY102" t="s">
        <v>1418</v>
      </c>
      <c r="FZ102">
        <v>4115672</v>
      </c>
      <c r="GA102" t="s">
        <v>364</v>
      </c>
      <c r="GB102" s="11">
        <v>0.06</v>
      </c>
      <c r="GC102" s="9" t="str">
        <f>_xll.SNL.Clients.Office.Excel.Functions.SPG(FZ102, "SP_COUNTRY_NAME")</f>
        <v>United Kingdom</v>
      </c>
      <c r="GH102" s="9" t="str">
        <f>_xll.SNL.Clients.Office.Excel.Functions.SPG(GE102, "SP_COUNTRY_NAME")</f>
        <v>#INVALID COMPANY ID</v>
      </c>
      <c r="GM102" s="9" t="str">
        <f>_xll.SNL.Clients.Office.Excel.Functions.SPG(GJ102, "SP_COUNTRY_NAME")</f>
        <v>#INVALID COMPANY ID</v>
      </c>
      <c r="GN102" t="s">
        <v>512</v>
      </c>
      <c r="GO102">
        <v>6422826</v>
      </c>
      <c r="GP102" t="s">
        <v>346</v>
      </c>
      <c r="GQ102" s="11">
        <v>0</v>
      </c>
      <c r="GR102" s="9" t="str">
        <f>_xll.SNL.Clients.Office.Excel.Functions.SPG(GO102, "SP_COUNTRY_NAME")</f>
        <v>Japan</v>
      </c>
      <c r="GS102" t="s">
        <v>530</v>
      </c>
      <c r="GT102">
        <v>102729</v>
      </c>
      <c r="GU102" t="s">
        <v>346</v>
      </c>
      <c r="GV102" s="11">
        <v>0.02</v>
      </c>
      <c r="GW102" s="9" t="str">
        <f>_xll.SNL.Clients.Office.Excel.Functions.SPG(GT102, "SP_COUNTRY_NAME")</f>
        <v>USA</v>
      </c>
      <c r="GX102" t="s">
        <v>1637</v>
      </c>
      <c r="GY102">
        <v>4252195</v>
      </c>
      <c r="GZ102" t="s">
        <v>364</v>
      </c>
      <c r="HA102" s="11">
        <v>0.06</v>
      </c>
      <c r="HB102" s="9" t="str">
        <f>_xll.SNL.Clients.Office.Excel.Functions.SPG(GY102, "SP_COUNTRY_NAME")</f>
        <v>USA</v>
      </c>
      <c r="HG102" s="9" t="str">
        <f>_xll.SNL.Clients.Office.Excel.Functions.SPG(HD102, "SP_COUNTRY_NAME")</f>
        <v>#INVALID COMPANY ID</v>
      </c>
    </row>
    <row r="103" spans="5:215" x14ac:dyDescent="0.35">
      <c r="E103" s="9" t="str">
        <f>_xll.SNL.Clients.Office.Excel.Functions.SPG(B103, "SP_COUNTRY_NAME")</f>
        <v>#INVALID COMPANY ID</v>
      </c>
      <c r="F103" t="s">
        <v>492</v>
      </c>
      <c r="G103">
        <v>110674</v>
      </c>
      <c r="H103" t="s">
        <v>346</v>
      </c>
      <c r="I103" s="11">
        <v>0.01</v>
      </c>
      <c r="J103" s="9" t="str">
        <f>_xll.SNL.Clients.Office.Excel.Functions.SPG(G103, "SP_COUNTRY_NAME")</f>
        <v>USA</v>
      </c>
      <c r="K103" t="s">
        <v>678</v>
      </c>
      <c r="L103">
        <v>5877799</v>
      </c>
      <c r="M103" t="s">
        <v>346</v>
      </c>
      <c r="N103" s="11">
        <v>0</v>
      </c>
      <c r="O103" s="9" t="str">
        <f>_xll.SNL.Clients.Office.Excel.Functions.SPG(L103, "SP_COUNTRY_NAME")</f>
        <v>China</v>
      </c>
      <c r="T103" s="9" t="str">
        <f>_xll.SNL.Clients.Office.Excel.Functions.SPG(Q103, "SP_COUNTRY_NAME")</f>
        <v>#INVALID COMPANY ID</v>
      </c>
      <c r="U103" t="s">
        <v>492</v>
      </c>
      <c r="V103">
        <v>110674</v>
      </c>
      <c r="W103" t="s">
        <v>346</v>
      </c>
      <c r="X103" s="11">
        <v>0.04</v>
      </c>
      <c r="Y103" s="9" t="str">
        <f>_xll.SNL.Clients.Office.Excel.Functions.SPG(V103, "SP_COUNTRY_NAME")</f>
        <v>USA</v>
      </c>
      <c r="Z103" t="s">
        <v>678</v>
      </c>
      <c r="AA103">
        <v>5877799</v>
      </c>
      <c r="AB103" t="s">
        <v>346</v>
      </c>
      <c r="AC103" s="11">
        <v>0</v>
      </c>
      <c r="AD103" s="9" t="str">
        <f>_xll.SNL.Clients.Office.Excel.Functions.SPG(AA103, "SP_COUNTRY_NAME")</f>
        <v>China</v>
      </c>
      <c r="AE103" t="s">
        <v>577</v>
      </c>
      <c r="AF103">
        <v>4026915</v>
      </c>
      <c r="AG103" t="s">
        <v>346</v>
      </c>
      <c r="AH103" s="11">
        <v>0.01</v>
      </c>
      <c r="AI103" s="9" t="str">
        <f>_xll.SNL.Clients.Office.Excel.Functions.SPG(AF103, "SP_COUNTRY_NAME")</f>
        <v>USA</v>
      </c>
      <c r="AN103" s="9" t="str">
        <f>_xll.SNL.Clients.Office.Excel.Functions.SPG(AK103, "SP_COUNTRY_NAME")</f>
        <v>#INVALID COMPANY ID</v>
      </c>
      <c r="AO103" t="s">
        <v>562</v>
      </c>
      <c r="AP103">
        <v>4256114</v>
      </c>
      <c r="AQ103" t="s">
        <v>346</v>
      </c>
      <c r="AR103" s="11">
        <v>0.03</v>
      </c>
      <c r="AS103" s="9" t="str">
        <f>_xll.SNL.Clients.Office.Excel.Functions.SPG(AP103, "SP_COUNTRY_NAME")</f>
        <v>South Korea</v>
      </c>
      <c r="AX103" s="9" t="str">
        <f>_xll.SNL.Clients.Office.Excel.Functions.SPG(AU103, "SP_COUNTRY_NAME")</f>
        <v>#INVALID COMPANY ID</v>
      </c>
      <c r="BC103" s="9" t="str">
        <f>_xll.SNL.Clients.Office.Excel.Functions.SPG(AZ103, "SP_COUNTRY_NAME")</f>
        <v>#INVALID COMPANY ID</v>
      </c>
      <c r="BD103" t="s">
        <v>753</v>
      </c>
      <c r="BE103">
        <v>10499632</v>
      </c>
      <c r="BF103" t="s">
        <v>363</v>
      </c>
      <c r="BG103" s="11">
        <v>0.06</v>
      </c>
      <c r="BH103" s="9" t="str">
        <f>_xll.SNL.Clients.Office.Excel.Functions.SPG(BE103, "SP_COUNTRY_NAME")</f>
        <v>United Kingdom</v>
      </c>
      <c r="BI103" t="s">
        <v>974</v>
      </c>
      <c r="BJ103">
        <v>5828077</v>
      </c>
      <c r="BK103" t="s">
        <v>346</v>
      </c>
      <c r="BL103" s="11">
        <v>0.02</v>
      </c>
      <c r="BM103" s="9" t="str">
        <f>_xll.SNL.Clients.Office.Excel.Functions.SPG(BJ103, "SP_COUNTRY_NAME")</f>
        <v>United Kingdom</v>
      </c>
      <c r="BN103" t="s">
        <v>672</v>
      </c>
      <c r="BO103">
        <v>4139739</v>
      </c>
      <c r="BP103" t="s">
        <v>346</v>
      </c>
      <c r="BQ103" s="11">
        <v>0.02</v>
      </c>
      <c r="BR103" s="9" t="str">
        <f>_xll.SNL.Clients.Office.Excel.Functions.SPG(BO103, "SP_COUNTRY_NAME")</f>
        <v>China</v>
      </c>
      <c r="BS103" t="s">
        <v>744</v>
      </c>
      <c r="BT103">
        <v>4099072</v>
      </c>
      <c r="BU103" t="s">
        <v>346</v>
      </c>
      <c r="BV103" s="11">
        <v>0.03</v>
      </c>
      <c r="BW103" s="9" t="str">
        <f>_xll.SNL.Clients.Office.Excel.Functions.SPG(BT103, "SP_COUNTRY_NAME")</f>
        <v>USA</v>
      </c>
      <c r="BX103" t="s">
        <v>492</v>
      </c>
      <c r="BY103">
        <v>110674</v>
      </c>
      <c r="BZ103" t="s">
        <v>346</v>
      </c>
      <c r="CA103" s="11">
        <v>0.04</v>
      </c>
      <c r="CB103" s="9" t="str">
        <f>_xll.SNL.Clients.Office.Excel.Functions.SPG(BY103, "SP_COUNTRY_NAME")</f>
        <v>USA</v>
      </c>
      <c r="CC103" t="s">
        <v>456</v>
      </c>
      <c r="CD103">
        <v>4249110</v>
      </c>
      <c r="CE103" t="s">
        <v>346</v>
      </c>
      <c r="CF103" s="11">
        <v>0.06</v>
      </c>
      <c r="CG103" s="9" t="str">
        <f>_xll.SNL.Clients.Office.Excel.Functions.SPG(CD103, "SP_COUNTRY_NAME")</f>
        <v>United Kingdom</v>
      </c>
      <c r="CH103" t="s">
        <v>562</v>
      </c>
      <c r="CI103">
        <v>4256114</v>
      </c>
      <c r="CJ103" t="s">
        <v>346</v>
      </c>
      <c r="CK103" s="11">
        <v>0.03</v>
      </c>
      <c r="CL103" s="9" t="str">
        <f>_xll.SNL.Clients.Office.Excel.Functions.SPG(CI103, "SP_COUNTRY_NAME")</f>
        <v>South Korea</v>
      </c>
      <c r="CM103" t="s">
        <v>1280</v>
      </c>
      <c r="CN103">
        <v>5818409</v>
      </c>
      <c r="CO103" t="s">
        <v>364</v>
      </c>
      <c r="CP103" s="11">
        <v>0.05</v>
      </c>
      <c r="CQ103" s="9" t="str">
        <f>_xll.SNL.Clients.Office.Excel.Functions.SPG(CN103, "SP_COUNTRY_NAME")</f>
        <v>South Africa</v>
      </c>
      <c r="CV103" s="9" t="str">
        <f>_xll.SNL.Clients.Office.Excel.Functions.SPG(CS103, "SP_COUNTRY_NAME")</f>
        <v>#INVALID COMPANY ID</v>
      </c>
      <c r="DA103" s="9" t="str">
        <f>_xll.SNL.Clients.Office.Excel.Functions.SPG(CX103, "SP_COUNTRY_NAME")</f>
        <v>#INVALID COMPANY ID</v>
      </c>
      <c r="DB103" t="s">
        <v>753</v>
      </c>
      <c r="DC103">
        <v>10499632</v>
      </c>
      <c r="DD103" t="s">
        <v>363</v>
      </c>
      <c r="DE103" s="11">
        <v>0.06</v>
      </c>
      <c r="DF103" s="9" t="str">
        <f>_xll.SNL.Clients.Office.Excel.Functions.SPG(DC103, "SP_COUNTRY_NAME")</f>
        <v>United Kingdom</v>
      </c>
      <c r="DK103" s="9" t="str">
        <f>_xll.SNL.Clients.Office.Excel.Functions.SPG(DH103, "SP_COUNTRY_NAME")</f>
        <v>#INVALID COMPANY ID</v>
      </c>
      <c r="DL103" t="s">
        <v>753</v>
      </c>
      <c r="DM103">
        <v>10499632</v>
      </c>
      <c r="DN103" t="s">
        <v>363</v>
      </c>
      <c r="DO103" s="11">
        <v>0.06</v>
      </c>
      <c r="DP103" s="9" t="str">
        <f>_xll.SNL.Clients.Office.Excel.Functions.SPG(DM103, "SP_COUNTRY_NAME")</f>
        <v>United Kingdom</v>
      </c>
      <c r="DU103" s="9" t="str">
        <f>_xll.SNL.Clients.Office.Excel.Functions.SPG(DR103, "SP_COUNTRY_NAME")</f>
        <v>#INVALID COMPANY ID</v>
      </c>
      <c r="DV103" t="s">
        <v>1187</v>
      </c>
      <c r="DW103">
        <v>4209260</v>
      </c>
      <c r="DX103" t="s">
        <v>346</v>
      </c>
      <c r="DY103" s="11">
        <v>0</v>
      </c>
      <c r="DZ103" s="9" t="str">
        <f>_xll.SNL.Clients.Office.Excel.Functions.SPG(DW103, "SP_COUNTRY_NAME")</f>
        <v>USA</v>
      </c>
      <c r="EA103" t="s">
        <v>456</v>
      </c>
      <c r="EB103">
        <v>4249110</v>
      </c>
      <c r="EC103" t="s">
        <v>346</v>
      </c>
      <c r="ED103" s="11">
        <v>0.06</v>
      </c>
      <c r="EE103" s="9" t="str">
        <f>_xll.SNL.Clients.Office.Excel.Functions.SPG(EB103, "SP_COUNTRY_NAME")</f>
        <v>United Kingdom</v>
      </c>
      <c r="EF103" t="s">
        <v>753</v>
      </c>
      <c r="EG103">
        <v>10499632</v>
      </c>
      <c r="EH103" t="s">
        <v>363</v>
      </c>
      <c r="EI103" s="11">
        <v>0.06</v>
      </c>
      <c r="EJ103" s="9" t="str">
        <f>_xll.SNL.Clients.Office.Excel.Functions.SPG(EG103, "SP_COUNTRY_NAME")</f>
        <v>United Kingdom</v>
      </c>
      <c r="EO103" s="9" t="str">
        <f>_xll.SNL.Clients.Office.Excel.Functions.SPG(EL103, "SP_COUNTRY_NAME")</f>
        <v>#INVALID COMPANY ID</v>
      </c>
      <c r="EP103" t="s">
        <v>788</v>
      </c>
      <c r="EQ103">
        <v>4592065</v>
      </c>
      <c r="ER103" t="s">
        <v>346</v>
      </c>
      <c r="ES103" s="11">
        <v>0</v>
      </c>
      <c r="ET103" s="9" t="str">
        <f>_xll.SNL.Clients.Office.Excel.Functions.SPG(EQ103, "SP_COUNTRY_NAME")</f>
        <v>China</v>
      </c>
      <c r="EY103" s="9" t="str">
        <f>_xll.SNL.Clients.Office.Excel.Functions.SPG(EV103, "SP_COUNTRY_NAME")</f>
        <v>#INVALID COMPANY ID</v>
      </c>
      <c r="FD103" s="9" t="str">
        <f>_xll.SNL.Clients.Office.Excel.Functions.SPG(FA103, "SP_COUNTRY_NAME")</f>
        <v>#INVALID COMPANY ID</v>
      </c>
      <c r="FI103" s="9" t="str">
        <f>_xll.SNL.Clients.Office.Excel.Functions.SPG(FF103, "SP_COUNTRY_NAME")</f>
        <v>#INVALID COMPANY ID</v>
      </c>
      <c r="FJ103" t="s">
        <v>466</v>
      </c>
      <c r="FK103">
        <v>111267</v>
      </c>
      <c r="FL103" t="s">
        <v>346</v>
      </c>
      <c r="FM103" s="11">
        <v>0</v>
      </c>
      <c r="FN103" s="9" t="str">
        <f>_xll.SNL.Clients.Office.Excel.Functions.SPG(FK103, "SP_COUNTRY_NAME")</f>
        <v>United Kingdom</v>
      </c>
      <c r="FS103" s="9" t="str">
        <f>_xll.SNL.Clients.Office.Excel.Functions.SPG(FP103, "SP_COUNTRY_NAME")</f>
        <v>#INVALID COMPANY ID</v>
      </c>
      <c r="FX103" s="9" t="str">
        <f>_xll.SNL.Clients.Office.Excel.Functions.SPG(FU103, "SP_COUNTRY_NAME")</f>
        <v>#INVALID COMPANY ID</v>
      </c>
      <c r="FY103" t="s">
        <v>753</v>
      </c>
      <c r="FZ103">
        <v>10499632</v>
      </c>
      <c r="GA103" t="s">
        <v>363</v>
      </c>
      <c r="GB103" s="11">
        <v>0.06</v>
      </c>
      <c r="GC103" s="9" t="str">
        <f>_xll.SNL.Clients.Office.Excel.Functions.SPG(FZ103, "SP_COUNTRY_NAME")</f>
        <v>United Kingdom</v>
      </c>
      <c r="GH103" s="9" t="str">
        <f>_xll.SNL.Clients.Office.Excel.Functions.SPG(GE103, "SP_COUNTRY_NAME")</f>
        <v>#INVALID COMPANY ID</v>
      </c>
      <c r="GM103" s="9" t="str">
        <f>_xll.SNL.Clients.Office.Excel.Functions.SPG(GJ103, "SP_COUNTRY_NAME")</f>
        <v>#INVALID COMPANY ID</v>
      </c>
      <c r="GN103" t="s">
        <v>466</v>
      </c>
      <c r="GO103">
        <v>111267</v>
      </c>
      <c r="GP103" t="s">
        <v>346</v>
      </c>
      <c r="GQ103" s="11">
        <v>0</v>
      </c>
      <c r="GR103" s="9" t="str">
        <f>_xll.SNL.Clients.Office.Excel.Functions.SPG(GO103, "SP_COUNTRY_NAME")</f>
        <v>United Kingdom</v>
      </c>
      <c r="GS103" t="s">
        <v>672</v>
      </c>
      <c r="GT103">
        <v>4139739</v>
      </c>
      <c r="GU103" t="s">
        <v>346</v>
      </c>
      <c r="GV103" s="11">
        <v>0.02</v>
      </c>
      <c r="GW103" s="9" t="str">
        <f>_xll.SNL.Clients.Office.Excel.Functions.SPG(GT103, "SP_COUNTRY_NAME")</f>
        <v>China</v>
      </c>
      <c r="GX103" t="s">
        <v>456</v>
      </c>
      <c r="GY103">
        <v>4249110</v>
      </c>
      <c r="GZ103" t="s">
        <v>346</v>
      </c>
      <c r="HA103" s="11">
        <v>0.06</v>
      </c>
      <c r="HB103" s="9" t="str">
        <f>_xll.SNL.Clients.Office.Excel.Functions.SPG(GY103, "SP_COUNTRY_NAME")</f>
        <v>United Kingdom</v>
      </c>
      <c r="HG103" s="9" t="str">
        <f>_xll.SNL.Clients.Office.Excel.Functions.SPG(HD103, "SP_COUNTRY_NAME")</f>
        <v>#INVALID COMPANY ID</v>
      </c>
    </row>
    <row r="104" spans="5:215" x14ac:dyDescent="0.35">
      <c r="E104" s="9" t="str">
        <f>_xll.SNL.Clients.Office.Excel.Functions.SPG(B104, "SP_COUNTRY_NAME")</f>
        <v>#INVALID COMPANY ID</v>
      </c>
      <c r="F104" t="s">
        <v>493</v>
      </c>
      <c r="G104" t="s">
        <v>300</v>
      </c>
      <c r="H104" t="s">
        <v>361</v>
      </c>
      <c r="I104" s="11">
        <v>0.01</v>
      </c>
      <c r="J104" s="9" t="str">
        <f>_xll.SNL.Clients.Office.Excel.Functions.SPG(G104, "SP_COUNTRY_NAME")</f>
        <v>China</v>
      </c>
      <c r="K104" t="s">
        <v>679</v>
      </c>
      <c r="L104">
        <v>4138221</v>
      </c>
      <c r="M104" t="s">
        <v>346</v>
      </c>
      <c r="N104" s="11">
        <v>0</v>
      </c>
      <c r="O104" s="9" t="str">
        <f>_xll.SNL.Clients.Office.Excel.Functions.SPG(L104, "SP_COUNTRY_NAME")</f>
        <v>China</v>
      </c>
      <c r="T104" s="9" t="str">
        <f>_xll.SNL.Clients.Office.Excel.Functions.SPG(Q104, "SP_COUNTRY_NAME")</f>
        <v>#INVALID COMPANY ID</v>
      </c>
      <c r="U104" t="s">
        <v>643</v>
      </c>
      <c r="V104">
        <v>8365031</v>
      </c>
      <c r="W104" t="s">
        <v>346</v>
      </c>
      <c r="X104" s="11">
        <v>0.04</v>
      </c>
      <c r="Y104" s="9" t="str">
        <f>_xll.SNL.Clients.Office.Excel.Functions.SPG(V104, "SP_COUNTRY_NAME")</f>
        <v>Australia</v>
      </c>
      <c r="Z104" t="s">
        <v>679</v>
      </c>
      <c r="AA104">
        <v>4138221</v>
      </c>
      <c r="AB104" t="s">
        <v>346</v>
      </c>
      <c r="AC104" s="11">
        <v>0</v>
      </c>
      <c r="AD104" s="9" t="str">
        <f>_xll.SNL.Clients.Office.Excel.Functions.SPG(AA104, "SP_COUNTRY_NAME")</f>
        <v>China</v>
      </c>
      <c r="AE104" t="s">
        <v>1034</v>
      </c>
      <c r="AF104">
        <v>4256960</v>
      </c>
      <c r="AG104" t="s">
        <v>346</v>
      </c>
      <c r="AH104" s="11">
        <v>0.01</v>
      </c>
      <c r="AI104" s="9" t="str">
        <f>_xll.SNL.Clients.Office.Excel.Functions.SPG(AF104, "SP_COUNTRY_NAME")</f>
        <v>Latvia</v>
      </c>
      <c r="AN104" s="9" t="str">
        <f>_xll.SNL.Clients.Office.Excel.Functions.SPG(AK104, "SP_COUNTRY_NAME")</f>
        <v>#INVALID COMPANY ID</v>
      </c>
      <c r="AO104" t="s">
        <v>1286</v>
      </c>
      <c r="AP104">
        <v>4388414</v>
      </c>
      <c r="AQ104" t="s">
        <v>346</v>
      </c>
      <c r="AR104" s="11">
        <v>0.03</v>
      </c>
      <c r="AS104" s="9" t="str">
        <f>_xll.SNL.Clients.Office.Excel.Functions.SPG(AP104, "SP_COUNTRY_NAME")</f>
        <v>South Africa</v>
      </c>
      <c r="AX104" s="9" t="str">
        <f>_xll.SNL.Clients.Office.Excel.Functions.SPG(AU104, "SP_COUNTRY_NAME")</f>
        <v>#INVALID COMPANY ID</v>
      </c>
      <c r="BC104" s="9" t="str">
        <f>_xll.SNL.Clients.Office.Excel.Functions.SPG(AZ104, "SP_COUNTRY_NAME")</f>
        <v>#INVALID COMPANY ID</v>
      </c>
      <c r="BD104" t="s">
        <v>907</v>
      </c>
      <c r="BE104">
        <v>109931</v>
      </c>
      <c r="BF104" t="s">
        <v>346</v>
      </c>
      <c r="BG104" s="11">
        <v>0.06</v>
      </c>
      <c r="BH104" s="9" t="str">
        <f>_xll.SNL.Clients.Office.Excel.Functions.SPG(BE104, "SP_COUNTRY_NAME")</f>
        <v>USA</v>
      </c>
      <c r="BI104" t="s">
        <v>880</v>
      </c>
      <c r="BJ104">
        <v>4139864</v>
      </c>
      <c r="BK104" t="s">
        <v>346</v>
      </c>
      <c r="BL104" s="11">
        <v>0.02</v>
      </c>
      <c r="BM104" s="9" t="str">
        <f>_xll.SNL.Clients.Office.Excel.Functions.SPG(BJ104, "SP_COUNTRY_NAME")</f>
        <v>United Kingdom</v>
      </c>
      <c r="BN104" t="s">
        <v>764</v>
      </c>
      <c r="BO104">
        <v>5879252</v>
      </c>
      <c r="BP104" t="s">
        <v>346</v>
      </c>
      <c r="BQ104" s="11">
        <v>0.02</v>
      </c>
      <c r="BR104" s="9" t="str">
        <f>_xll.SNL.Clients.Office.Excel.Functions.SPG(BO104, "SP_COUNTRY_NAME")</f>
        <v>China</v>
      </c>
      <c r="BS104" t="s">
        <v>451</v>
      </c>
      <c r="BT104">
        <v>5747632</v>
      </c>
      <c r="BU104" t="s">
        <v>346</v>
      </c>
      <c r="BV104" s="11">
        <v>0.03</v>
      </c>
      <c r="BW104" s="9" t="str">
        <f>_xll.SNL.Clients.Office.Excel.Functions.SPG(BT104, "SP_COUNTRY_NAME")</f>
        <v>Canada</v>
      </c>
      <c r="BX104" t="s">
        <v>643</v>
      </c>
      <c r="BY104">
        <v>8365031</v>
      </c>
      <c r="BZ104" t="s">
        <v>346</v>
      </c>
      <c r="CA104" s="11">
        <v>0.04</v>
      </c>
      <c r="CB104" s="9" t="str">
        <f>_xll.SNL.Clients.Office.Excel.Functions.SPG(BY104, "SP_COUNTRY_NAME")</f>
        <v>Australia</v>
      </c>
      <c r="CC104" t="s">
        <v>1638</v>
      </c>
      <c r="CD104">
        <v>5810300</v>
      </c>
      <c r="CE104" t="s">
        <v>276</v>
      </c>
      <c r="CF104" s="11">
        <v>0.06</v>
      </c>
      <c r="CG104" s="9" t="str">
        <f>_xll.SNL.Clients.Office.Excel.Functions.SPG(CD104, "SP_COUNTRY_NAME")</f>
        <v>Brazil</v>
      </c>
      <c r="CH104" t="s">
        <v>1286</v>
      </c>
      <c r="CI104">
        <v>4388414</v>
      </c>
      <c r="CJ104" t="s">
        <v>346</v>
      </c>
      <c r="CK104" s="11">
        <v>0.03</v>
      </c>
      <c r="CL104" s="9" t="str">
        <f>_xll.SNL.Clients.Office.Excel.Functions.SPG(CI104, "SP_COUNTRY_NAME")</f>
        <v>South Africa</v>
      </c>
      <c r="CM104" t="s">
        <v>401</v>
      </c>
      <c r="CN104">
        <v>4139862</v>
      </c>
      <c r="CO104" t="s">
        <v>346</v>
      </c>
      <c r="CP104" s="11">
        <v>0.05</v>
      </c>
      <c r="CQ104" s="9" t="str">
        <f>_xll.SNL.Clients.Office.Excel.Functions.SPG(CN104, "SP_COUNTRY_NAME")</f>
        <v>United Kingdom</v>
      </c>
      <c r="CV104" s="9" t="str">
        <f>_xll.SNL.Clients.Office.Excel.Functions.SPG(CS104, "SP_COUNTRY_NAME")</f>
        <v>#INVALID COMPANY ID</v>
      </c>
      <c r="DA104" s="9" t="str">
        <f>_xll.SNL.Clients.Office.Excel.Functions.SPG(CX104, "SP_COUNTRY_NAME")</f>
        <v>#INVALID COMPANY ID</v>
      </c>
      <c r="DB104" t="s">
        <v>907</v>
      </c>
      <c r="DC104">
        <v>109931</v>
      </c>
      <c r="DD104" t="s">
        <v>346</v>
      </c>
      <c r="DE104" s="11">
        <v>0.06</v>
      </c>
      <c r="DF104" s="9" t="str">
        <f>_xll.SNL.Clients.Office.Excel.Functions.SPG(DC104, "SP_COUNTRY_NAME")</f>
        <v>USA</v>
      </c>
      <c r="DK104" s="9" t="str">
        <f>_xll.SNL.Clients.Office.Excel.Functions.SPG(DH104, "SP_COUNTRY_NAME")</f>
        <v>#INVALID COMPANY ID</v>
      </c>
      <c r="DL104" t="s">
        <v>907</v>
      </c>
      <c r="DM104">
        <v>109931</v>
      </c>
      <c r="DN104" t="s">
        <v>346</v>
      </c>
      <c r="DO104" s="11">
        <v>0.06</v>
      </c>
      <c r="DP104" s="9" t="str">
        <f>_xll.SNL.Clients.Office.Excel.Functions.SPG(DM104, "SP_COUNTRY_NAME")</f>
        <v>USA</v>
      </c>
      <c r="DU104" s="9" t="str">
        <f>_xll.SNL.Clients.Office.Excel.Functions.SPG(DR104, "SP_COUNTRY_NAME")</f>
        <v>#INVALID COMPANY ID</v>
      </c>
      <c r="DV104" t="s">
        <v>385</v>
      </c>
      <c r="DW104">
        <v>5752504</v>
      </c>
      <c r="DX104" t="s">
        <v>346</v>
      </c>
      <c r="DY104" s="11">
        <v>0</v>
      </c>
      <c r="DZ104" s="9" t="str">
        <f>_xll.SNL.Clients.Office.Excel.Functions.SPG(DW104, "SP_COUNTRY_NAME")</f>
        <v>USA</v>
      </c>
      <c r="EA104" t="s">
        <v>1638</v>
      </c>
      <c r="EB104">
        <v>5810300</v>
      </c>
      <c r="EC104" t="s">
        <v>276</v>
      </c>
      <c r="ED104" s="11">
        <v>0.06</v>
      </c>
      <c r="EE104" s="9" t="str">
        <f>_xll.SNL.Clients.Office.Excel.Functions.SPG(EB104, "SP_COUNTRY_NAME")</f>
        <v>Brazil</v>
      </c>
      <c r="EF104" t="s">
        <v>907</v>
      </c>
      <c r="EG104">
        <v>109931</v>
      </c>
      <c r="EH104" t="s">
        <v>346</v>
      </c>
      <c r="EI104" s="11">
        <v>0.06</v>
      </c>
      <c r="EJ104" s="9" t="str">
        <f>_xll.SNL.Clients.Office.Excel.Functions.SPG(EG104, "SP_COUNTRY_NAME")</f>
        <v>USA</v>
      </c>
      <c r="EO104" s="9" t="str">
        <f>_xll.SNL.Clients.Office.Excel.Functions.SPG(EL104, "SP_COUNTRY_NAME")</f>
        <v>#INVALID COMPANY ID</v>
      </c>
      <c r="EP104" t="s">
        <v>800</v>
      </c>
      <c r="EQ104">
        <v>5883563</v>
      </c>
      <c r="ER104" t="s">
        <v>346</v>
      </c>
      <c r="ES104" s="11">
        <v>0</v>
      </c>
      <c r="ET104" s="9" t="str">
        <f>_xll.SNL.Clients.Office.Excel.Functions.SPG(EQ104, "SP_COUNTRY_NAME")</f>
        <v>China</v>
      </c>
      <c r="EY104" s="9" t="str">
        <f>_xll.SNL.Clients.Office.Excel.Functions.SPG(EV104, "SP_COUNTRY_NAME")</f>
        <v>#INVALID COMPANY ID</v>
      </c>
      <c r="FD104" s="9" t="str">
        <f>_xll.SNL.Clients.Office.Excel.Functions.SPG(FA104, "SP_COUNTRY_NAME")</f>
        <v>#INVALID COMPANY ID</v>
      </c>
      <c r="FI104" s="9" t="str">
        <f>_xll.SNL.Clients.Office.Excel.Functions.SPG(FF104, "SP_COUNTRY_NAME")</f>
        <v>#INVALID COMPANY ID</v>
      </c>
      <c r="FJ104" t="s">
        <v>482</v>
      </c>
      <c r="FK104">
        <v>4048742</v>
      </c>
      <c r="FL104" t="s">
        <v>346</v>
      </c>
      <c r="FM104" s="11">
        <v>0</v>
      </c>
      <c r="FN104" s="9" t="str">
        <f>_xll.SNL.Clients.Office.Excel.Functions.SPG(FK104, "SP_COUNTRY_NAME")</f>
        <v>Canada</v>
      </c>
      <c r="FS104" s="9" t="str">
        <f>_xll.SNL.Clients.Office.Excel.Functions.SPG(FP104, "SP_COUNTRY_NAME")</f>
        <v>#INVALID COMPANY ID</v>
      </c>
      <c r="FX104" s="9" t="str">
        <f>_xll.SNL.Clients.Office.Excel.Functions.SPG(FU104, "SP_COUNTRY_NAME")</f>
        <v>#INVALID COMPANY ID</v>
      </c>
      <c r="FY104" t="s">
        <v>907</v>
      </c>
      <c r="FZ104">
        <v>109931</v>
      </c>
      <c r="GA104" t="s">
        <v>346</v>
      </c>
      <c r="GB104" s="11">
        <v>0.06</v>
      </c>
      <c r="GC104" s="9" t="str">
        <f>_xll.SNL.Clients.Office.Excel.Functions.SPG(FZ104, "SP_COUNTRY_NAME")</f>
        <v>USA</v>
      </c>
      <c r="GH104" s="9" t="str">
        <f>_xll.SNL.Clients.Office.Excel.Functions.SPG(GE104, "SP_COUNTRY_NAME")</f>
        <v>#INVALID COMPANY ID</v>
      </c>
      <c r="GM104" s="9" t="str">
        <f>_xll.SNL.Clients.Office.Excel.Functions.SPG(GJ104, "SP_COUNTRY_NAME")</f>
        <v>#INVALID COMPANY ID</v>
      </c>
      <c r="GN104" t="s">
        <v>482</v>
      </c>
      <c r="GO104">
        <v>4048742</v>
      </c>
      <c r="GP104" t="s">
        <v>346</v>
      </c>
      <c r="GQ104" s="11">
        <v>0</v>
      </c>
      <c r="GR104" s="9" t="str">
        <f>_xll.SNL.Clients.Office.Excel.Functions.SPG(GO104, "SP_COUNTRY_NAME")</f>
        <v>Canada</v>
      </c>
      <c r="GS104" t="s">
        <v>764</v>
      </c>
      <c r="GT104">
        <v>5879252</v>
      </c>
      <c r="GU104" t="s">
        <v>346</v>
      </c>
      <c r="GV104" s="11">
        <v>0.02</v>
      </c>
      <c r="GW104" s="9" t="str">
        <f>_xll.SNL.Clients.Office.Excel.Functions.SPG(GT104, "SP_COUNTRY_NAME")</f>
        <v>China</v>
      </c>
      <c r="GX104" t="s">
        <v>1638</v>
      </c>
      <c r="GY104">
        <v>5810300</v>
      </c>
      <c r="GZ104" t="s">
        <v>276</v>
      </c>
      <c r="HA104" s="11">
        <v>0.06</v>
      </c>
      <c r="HB104" s="9" t="str">
        <f>_xll.SNL.Clients.Office.Excel.Functions.SPG(GY104, "SP_COUNTRY_NAME")</f>
        <v>Brazil</v>
      </c>
      <c r="HG104" s="9" t="str">
        <f>_xll.SNL.Clients.Office.Excel.Functions.SPG(HD104, "SP_COUNTRY_NAME")</f>
        <v>#INVALID COMPANY ID</v>
      </c>
    </row>
    <row r="105" spans="5:215" x14ac:dyDescent="0.35">
      <c r="E105" s="9" t="str">
        <f>_xll.SNL.Clients.Office.Excel.Functions.SPG(B105, "SP_COUNTRY_NAME")</f>
        <v>#INVALID COMPANY ID</v>
      </c>
      <c r="F105" t="s">
        <v>494</v>
      </c>
      <c r="G105">
        <v>4583596</v>
      </c>
      <c r="H105" t="s">
        <v>346</v>
      </c>
      <c r="I105" s="11">
        <v>0.01</v>
      </c>
      <c r="J105" s="9" t="str">
        <f>_xll.SNL.Clients.Office.Excel.Functions.SPG(G105, "SP_COUNTRY_NAME")</f>
        <v>USA</v>
      </c>
      <c r="K105" t="s">
        <v>530</v>
      </c>
      <c r="L105">
        <v>102729</v>
      </c>
      <c r="M105" t="s">
        <v>346</v>
      </c>
      <c r="N105" s="11">
        <v>0</v>
      </c>
      <c r="O105" s="9" t="str">
        <f>_xll.SNL.Clients.Office.Excel.Functions.SPG(L105, "SP_COUNTRY_NAME")</f>
        <v>USA</v>
      </c>
      <c r="T105" s="9" t="str">
        <f>_xll.SNL.Clients.Office.Excel.Functions.SPG(Q105, "SP_COUNTRY_NAME")</f>
        <v>#INVALID COMPANY ID</v>
      </c>
      <c r="U105" t="s">
        <v>741</v>
      </c>
      <c r="V105">
        <v>4404664</v>
      </c>
      <c r="W105" t="s">
        <v>346</v>
      </c>
      <c r="X105" s="11">
        <v>0.04</v>
      </c>
      <c r="Y105" s="9" t="str">
        <f>_xll.SNL.Clients.Office.Excel.Functions.SPG(V105, "SP_COUNTRY_NAME")</f>
        <v>China</v>
      </c>
      <c r="Z105" t="s">
        <v>530</v>
      </c>
      <c r="AA105">
        <v>102729</v>
      </c>
      <c r="AB105" t="s">
        <v>346</v>
      </c>
      <c r="AC105" s="11">
        <v>0</v>
      </c>
      <c r="AD105" s="9" t="str">
        <f>_xll.SNL.Clients.Office.Excel.Functions.SPG(AA105, "SP_COUNTRY_NAME")</f>
        <v>USA</v>
      </c>
      <c r="AE105" t="s">
        <v>1136</v>
      </c>
      <c r="AF105">
        <v>113818</v>
      </c>
      <c r="AG105" t="s">
        <v>366</v>
      </c>
      <c r="AH105" s="11">
        <v>0.01</v>
      </c>
      <c r="AI105" s="9" t="str">
        <f>_xll.SNL.Clients.Office.Excel.Functions.SPG(AF105, "SP_COUNTRY_NAME")</f>
        <v>France</v>
      </c>
      <c r="AN105" s="9" t="str">
        <f>_xll.SNL.Clients.Office.Excel.Functions.SPG(AK105, "SP_COUNTRY_NAME")</f>
        <v>#INVALID COMPANY ID</v>
      </c>
      <c r="AO105" t="s">
        <v>645</v>
      </c>
      <c r="AP105">
        <v>4198648</v>
      </c>
      <c r="AQ105" t="s">
        <v>346</v>
      </c>
      <c r="AR105" s="11">
        <v>0.03</v>
      </c>
      <c r="AS105" s="9" t="str">
        <f>_xll.SNL.Clients.Office.Excel.Functions.SPG(AP105, "SP_COUNTRY_NAME")</f>
        <v>Finland</v>
      </c>
      <c r="AX105" s="9" t="str">
        <f>_xll.SNL.Clients.Office.Excel.Functions.SPG(AU105, "SP_COUNTRY_NAME")</f>
        <v>#INVALID COMPANY ID</v>
      </c>
      <c r="BC105" s="9" t="str">
        <f>_xll.SNL.Clients.Office.Excel.Functions.SPG(AZ105, "SP_COUNTRY_NAME")</f>
        <v>#INVALID COMPANY ID</v>
      </c>
      <c r="BD105" t="s">
        <v>1419</v>
      </c>
      <c r="BE105">
        <v>4145124</v>
      </c>
      <c r="BF105" t="s">
        <v>346</v>
      </c>
      <c r="BG105" s="11">
        <v>0.06</v>
      </c>
      <c r="BH105" s="9" t="str">
        <f>_xll.SNL.Clients.Office.Excel.Functions.SPG(BE105, "SP_COUNTRY_NAME")</f>
        <v>Netherlands</v>
      </c>
      <c r="BI105" t="s">
        <v>434</v>
      </c>
      <c r="BJ105">
        <v>4120033</v>
      </c>
      <c r="BK105" t="s">
        <v>346</v>
      </c>
      <c r="BL105" s="11">
        <v>0.02</v>
      </c>
      <c r="BM105" s="9" t="str">
        <f>_xll.SNL.Clients.Office.Excel.Functions.SPG(BJ105, "SP_COUNTRY_NAME")</f>
        <v>Japan</v>
      </c>
      <c r="BN105" t="s">
        <v>389</v>
      </c>
      <c r="BO105">
        <v>109888</v>
      </c>
      <c r="BP105" t="s">
        <v>346</v>
      </c>
      <c r="BQ105" s="11">
        <v>0.02</v>
      </c>
      <c r="BR105" s="9" t="str">
        <f>_xll.SNL.Clients.Office.Excel.Functions.SPG(BO105, "SP_COUNTRY_NAME")</f>
        <v>USA</v>
      </c>
      <c r="BS105" t="s">
        <v>963</v>
      </c>
      <c r="BT105">
        <v>4156964</v>
      </c>
      <c r="BU105" t="s">
        <v>346</v>
      </c>
      <c r="BV105" s="11">
        <v>0.03</v>
      </c>
      <c r="BW105" s="9" t="str">
        <f>_xll.SNL.Clients.Office.Excel.Functions.SPG(BT105, "SP_COUNTRY_NAME")</f>
        <v>Canada</v>
      </c>
      <c r="BX105" t="s">
        <v>741</v>
      </c>
      <c r="BY105">
        <v>4404664</v>
      </c>
      <c r="BZ105" t="s">
        <v>346</v>
      </c>
      <c r="CA105" s="11">
        <v>0.04</v>
      </c>
      <c r="CB105" s="9" t="str">
        <f>_xll.SNL.Clients.Office.Excel.Functions.SPG(BY105, "SP_COUNTRY_NAME")</f>
        <v>China</v>
      </c>
      <c r="CC105" t="s">
        <v>1639</v>
      </c>
      <c r="CD105">
        <v>4166919</v>
      </c>
      <c r="CE105" t="s">
        <v>346</v>
      </c>
      <c r="CF105" s="11">
        <v>0.06</v>
      </c>
      <c r="CG105" s="9" t="str">
        <f>_xll.SNL.Clients.Office.Excel.Functions.SPG(CD105, "SP_COUNTRY_NAME")</f>
        <v>USA</v>
      </c>
      <c r="CH105" t="s">
        <v>645</v>
      </c>
      <c r="CI105">
        <v>4198648</v>
      </c>
      <c r="CJ105" t="s">
        <v>346</v>
      </c>
      <c r="CK105" s="11">
        <v>0.03</v>
      </c>
      <c r="CL105" s="9" t="str">
        <f>_xll.SNL.Clients.Office.Excel.Functions.SPG(CI105, "SP_COUNTRY_NAME")</f>
        <v>Finland</v>
      </c>
      <c r="CM105" t="s">
        <v>1655</v>
      </c>
      <c r="CN105">
        <v>4026057</v>
      </c>
      <c r="CO105" t="s">
        <v>346</v>
      </c>
      <c r="CP105" s="11">
        <v>0.05</v>
      </c>
      <c r="CQ105" s="9" t="str">
        <f>_xll.SNL.Clients.Office.Excel.Functions.SPG(CN105, "SP_COUNTRY_NAME")</f>
        <v>USA</v>
      </c>
      <c r="CV105" s="9" t="str">
        <f>_xll.SNL.Clients.Office.Excel.Functions.SPG(CS105, "SP_COUNTRY_NAME")</f>
        <v>#INVALID COMPANY ID</v>
      </c>
      <c r="DA105" s="9" t="str">
        <f>_xll.SNL.Clients.Office.Excel.Functions.SPG(CX105, "SP_COUNTRY_NAME")</f>
        <v>#INVALID COMPANY ID</v>
      </c>
      <c r="DB105" t="s">
        <v>1419</v>
      </c>
      <c r="DC105">
        <v>4145124</v>
      </c>
      <c r="DD105" t="s">
        <v>346</v>
      </c>
      <c r="DE105" s="11">
        <v>0.06</v>
      </c>
      <c r="DF105" s="9" t="str">
        <f>_xll.SNL.Clients.Office.Excel.Functions.SPG(DC105, "SP_COUNTRY_NAME")</f>
        <v>Netherlands</v>
      </c>
      <c r="DK105" s="9" t="str">
        <f>_xll.SNL.Clients.Office.Excel.Functions.SPG(DH105, "SP_COUNTRY_NAME")</f>
        <v>#INVALID COMPANY ID</v>
      </c>
      <c r="DL105" t="s">
        <v>1419</v>
      </c>
      <c r="DM105">
        <v>4145124</v>
      </c>
      <c r="DN105" t="s">
        <v>346</v>
      </c>
      <c r="DO105" s="11">
        <v>0.06</v>
      </c>
      <c r="DP105" s="9" t="str">
        <f>_xll.SNL.Clients.Office.Excel.Functions.SPG(DM105, "SP_COUNTRY_NAME")</f>
        <v>Netherlands</v>
      </c>
      <c r="DU105" s="9" t="str">
        <f>_xll.SNL.Clients.Office.Excel.Functions.SPG(DR105, "SP_COUNTRY_NAME")</f>
        <v>#INVALID COMPANY ID</v>
      </c>
      <c r="DV105" t="s">
        <v>1103</v>
      </c>
      <c r="DW105">
        <v>4082660</v>
      </c>
      <c r="DX105" t="s">
        <v>346</v>
      </c>
      <c r="DY105" s="11">
        <v>0</v>
      </c>
      <c r="DZ105" s="9" t="str">
        <f>_xll.SNL.Clients.Office.Excel.Functions.SPG(DW105, "SP_COUNTRY_NAME")</f>
        <v>USA</v>
      </c>
      <c r="EA105" t="s">
        <v>1639</v>
      </c>
      <c r="EB105">
        <v>4166919</v>
      </c>
      <c r="EC105" t="s">
        <v>346</v>
      </c>
      <c r="ED105" s="11">
        <v>0.06</v>
      </c>
      <c r="EE105" s="9" t="str">
        <f>_xll.SNL.Clients.Office.Excel.Functions.SPG(EB105, "SP_COUNTRY_NAME")</f>
        <v>USA</v>
      </c>
      <c r="EF105" t="s">
        <v>1419</v>
      </c>
      <c r="EG105">
        <v>4145124</v>
      </c>
      <c r="EH105" t="s">
        <v>346</v>
      </c>
      <c r="EI105" s="11">
        <v>0.06</v>
      </c>
      <c r="EJ105" s="9" t="str">
        <f>_xll.SNL.Clients.Office.Excel.Functions.SPG(EG105, "SP_COUNTRY_NAME")</f>
        <v>Netherlands</v>
      </c>
      <c r="EO105" s="9" t="str">
        <f>_xll.SNL.Clients.Office.Excel.Functions.SPG(EL105, "SP_COUNTRY_NAME")</f>
        <v>#INVALID COMPANY ID</v>
      </c>
      <c r="EP105" t="s">
        <v>2132</v>
      </c>
      <c r="EQ105" t="s">
        <v>300</v>
      </c>
      <c r="ER105" t="s">
        <v>361</v>
      </c>
      <c r="ES105" s="11">
        <v>0</v>
      </c>
      <c r="ET105" s="9" t="str">
        <f>_xll.SNL.Clients.Office.Excel.Functions.SPG(EQ105, "SP_COUNTRY_NAME")</f>
        <v>China</v>
      </c>
      <c r="EY105" s="9" t="str">
        <f>_xll.SNL.Clients.Office.Excel.Functions.SPG(EV105, "SP_COUNTRY_NAME")</f>
        <v>#INVALID COMPANY ID</v>
      </c>
      <c r="FD105" s="9" t="str">
        <f>_xll.SNL.Clients.Office.Excel.Functions.SPG(FA105, "SP_COUNTRY_NAME")</f>
        <v>#INVALID COMPANY ID</v>
      </c>
      <c r="FI105" s="9" t="str">
        <f>_xll.SNL.Clients.Office.Excel.Functions.SPG(FF105, "SP_COUNTRY_NAME")</f>
        <v>#INVALID COMPANY ID</v>
      </c>
      <c r="FJ105" t="s">
        <v>524</v>
      </c>
      <c r="FK105">
        <v>4147331</v>
      </c>
      <c r="FL105" t="s">
        <v>346</v>
      </c>
      <c r="FM105" s="11">
        <v>0</v>
      </c>
      <c r="FN105" s="9" t="str">
        <f>_xll.SNL.Clients.Office.Excel.Functions.SPG(FK105, "SP_COUNTRY_NAME")</f>
        <v>United Kingdom</v>
      </c>
      <c r="FS105" s="9" t="str">
        <f>_xll.SNL.Clients.Office.Excel.Functions.SPG(FP105, "SP_COUNTRY_NAME")</f>
        <v>#INVALID COMPANY ID</v>
      </c>
      <c r="FX105" s="9" t="str">
        <f>_xll.SNL.Clients.Office.Excel.Functions.SPG(FU105, "SP_COUNTRY_NAME")</f>
        <v>#INVALID COMPANY ID</v>
      </c>
      <c r="FY105" t="s">
        <v>1419</v>
      </c>
      <c r="FZ105">
        <v>4145124</v>
      </c>
      <c r="GA105" t="s">
        <v>346</v>
      </c>
      <c r="GB105" s="11">
        <v>0.06</v>
      </c>
      <c r="GC105" s="9" t="str">
        <f>_xll.SNL.Clients.Office.Excel.Functions.SPG(FZ105, "SP_COUNTRY_NAME")</f>
        <v>Netherlands</v>
      </c>
      <c r="GH105" s="9" t="str">
        <f>_xll.SNL.Clients.Office.Excel.Functions.SPG(GE105, "SP_COUNTRY_NAME")</f>
        <v>#INVALID COMPANY ID</v>
      </c>
      <c r="GM105" s="9" t="str">
        <f>_xll.SNL.Clients.Office.Excel.Functions.SPG(GJ105, "SP_COUNTRY_NAME")</f>
        <v>#INVALID COMPANY ID</v>
      </c>
      <c r="GN105" t="s">
        <v>524</v>
      </c>
      <c r="GO105">
        <v>4147331</v>
      </c>
      <c r="GP105" t="s">
        <v>346</v>
      </c>
      <c r="GQ105" s="11">
        <v>0</v>
      </c>
      <c r="GR105" s="9" t="str">
        <f>_xll.SNL.Clients.Office.Excel.Functions.SPG(GO105, "SP_COUNTRY_NAME")</f>
        <v>United Kingdom</v>
      </c>
      <c r="GS105" t="s">
        <v>389</v>
      </c>
      <c r="GT105">
        <v>109888</v>
      </c>
      <c r="GU105" t="s">
        <v>346</v>
      </c>
      <c r="GV105" s="11">
        <v>0.02</v>
      </c>
      <c r="GW105" s="9" t="str">
        <f>_xll.SNL.Clients.Office.Excel.Functions.SPG(GT105, "SP_COUNTRY_NAME")</f>
        <v>USA</v>
      </c>
      <c r="GX105" t="s">
        <v>1639</v>
      </c>
      <c r="GY105">
        <v>4166919</v>
      </c>
      <c r="GZ105" t="s">
        <v>346</v>
      </c>
      <c r="HA105" s="11">
        <v>0.06</v>
      </c>
      <c r="HB105" s="9" t="str">
        <f>_xll.SNL.Clients.Office.Excel.Functions.SPG(GY105, "SP_COUNTRY_NAME")</f>
        <v>USA</v>
      </c>
      <c r="HG105" s="9" t="str">
        <f>_xll.SNL.Clients.Office.Excel.Functions.SPG(HD105, "SP_COUNTRY_NAME")</f>
        <v>#INVALID COMPANY ID</v>
      </c>
    </row>
    <row r="106" spans="5:215" x14ac:dyDescent="0.35">
      <c r="E106" s="9" t="str">
        <f>_xll.SNL.Clients.Office.Excel.Functions.SPG(B106, "SP_COUNTRY_NAME")</f>
        <v>#INVALID COMPANY ID</v>
      </c>
      <c r="F106" t="s">
        <v>495</v>
      </c>
      <c r="G106">
        <v>4341817</v>
      </c>
      <c r="H106" t="s">
        <v>346</v>
      </c>
      <c r="I106" s="11">
        <v>0.01</v>
      </c>
      <c r="J106" s="9" t="str">
        <f>_xll.SNL.Clients.Office.Excel.Functions.SPG(G106, "SP_COUNTRY_NAME")</f>
        <v>Japan</v>
      </c>
      <c r="K106" t="s">
        <v>680</v>
      </c>
      <c r="L106">
        <v>4246606</v>
      </c>
      <c r="M106" t="s">
        <v>346</v>
      </c>
      <c r="N106" s="11">
        <v>0</v>
      </c>
      <c r="O106" s="9" t="str">
        <f>_xll.SNL.Clients.Office.Excel.Functions.SPG(L106, "SP_COUNTRY_NAME")</f>
        <v>Italy</v>
      </c>
      <c r="T106" s="9" t="str">
        <f>_xll.SNL.Clients.Office.Excel.Functions.SPG(Q106, "SP_COUNTRY_NAME")</f>
        <v>#INVALID COMPANY ID</v>
      </c>
      <c r="U106" t="s">
        <v>742</v>
      </c>
      <c r="V106">
        <v>4209761</v>
      </c>
      <c r="W106" t="s">
        <v>346</v>
      </c>
      <c r="X106" s="11">
        <v>0.03</v>
      </c>
      <c r="Y106" s="9" t="str">
        <f>_xll.SNL.Clients.Office.Excel.Functions.SPG(V106, "SP_COUNTRY_NAME")</f>
        <v>Singapore</v>
      </c>
      <c r="Z106" t="s">
        <v>680</v>
      </c>
      <c r="AA106">
        <v>4246606</v>
      </c>
      <c r="AB106" t="s">
        <v>346</v>
      </c>
      <c r="AC106" s="11">
        <v>0</v>
      </c>
      <c r="AD106" s="9" t="str">
        <f>_xll.SNL.Clients.Office.Excel.Functions.SPG(AA106, "SP_COUNTRY_NAME")</f>
        <v>Italy</v>
      </c>
      <c r="AE106" t="s">
        <v>1038</v>
      </c>
      <c r="AF106">
        <v>4137587</v>
      </c>
      <c r="AG106" t="s">
        <v>346</v>
      </c>
      <c r="AH106" s="11">
        <v>0.01</v>
      </c>
      <c r="AI106" s="9" t="str">
        <f>_xll.SNL.Clients.Office.Excel.Functions.SPG(AF106, "SP_COUNTRY_NAME")</f>
        <v>Denmark</v>
      </c>
      <c r="AN106" s="9" t="str">
        <f>_xll.SNL.Clients.Office.Excel.Functions.SPG(AK106, "SP_COUNTRY_NAME")</f>
        <v>#INVALID COMPANY ID</v>
      </c>
      <c r="AO106" t="s">
        <v>1185</v>
      </c>
      <c r="AP106">
        <v>110616</v>
      </c>
      <c r="AQ106" t="s">
        <v>346</v>
      </c>
      <c r="AR106" s="11">
        <v>0.03</v>
      </c>
      <c r="AS106" s="9" t="str">
        <f>_xll.SNL.Clients.Office.Excel.Functions.SPG(AP106, "SP_COUNTRY_NAME")</f>
        <v>United Kingdom</v>
      </c>
      <c r="AX106" s="9" t="str">
        <f>_xll.SNL.Clients.Office.Excel.Functions.SPG(AU106, "SP_COUNTRY_NAME")</f>
        <v>#INVALID COMPANY ID</v>
      </c>
      <c r="BC106" s="9" t="str">
        <f>_xll.SNL.Clients.Office.Excel.Functions.SPG(AZ106, "SP_COUNTRY_NAME")</f>
        <v>#INVALID COMPANY ID</v>
      </c>
      <c r="BD106" t="s">
        <v>1172</v>
      </c>
      <c r="BE106">
        <v>4118152</v>
      </c>
      <c r="BF106" t="s">
        <v>346</v>
      </c>
      <c r="BG106" s="11">
        <v>0.06</v>
      </c>
      <c r="BH106" s="9" t="str">
        <f>_xll.SNL.Clients.Office.Excel.Functions.SPG(BE106, "SP_COUNTRY_NAME")</f>
        <v>USA</v>
      </c>
      <c r="BI106" t="s">
        <v>456</v>
      </c>
      <c r="BJ106">
        <v>4249110</v>
      </c>
      <c r="BK106" t="s">
        <v>346</v>
      </c>
      <c r="BL106" s="11">
        <v>0.02</v>
      </c>
      <c r="BM106" s="9" t="str">
        <f>_xll.SNL.Clients.Office.Excel.Functions.SPG(BJ106, "SP_COUNTRY_NAME")</f>
        <v>United Kingdom</v>
      </c>
      <c r="BN106" t="s">
        <v>430</v>
      </c>
      <c r="BO106">
        <v>4055767</v>
      </c>
      <c r="BP106" t="s">
        <v>346</v>
      </c>
      <c r="BQ106" s="11">
        <v>0.02</v>
      </c>
      <c r="BR106" s="9" t="str">
        <f>_xll.SNL.Clients.Office.Excel.Functions.SPG(BO106, "SP_COUNTRY_NAME")</f>
        <v>USA</v>
      </c>
      <c r="BS106" t="s">
        <v>664</v>
      </c>
      <c r="BT106">
        <v>4138760</v>
      </c>
      <c r="BU106" t="s">
        <v>346</v>
      </c>
      <c r="BV106" s="11">
        <v>0.03</v>
      </c>
      <c r="BW106" s="9" t="str">
        <f>_xll.SNL.Clients.Office.Excel.Functions.SPG(BT106, "SP_COUNTRY_NAME")</f>
        <v>China</v>
      </c>
      <c r="BX106" t="s">
        <v>742</v>
      </c>
      <c r="BY106">
        <v>4209761</v>
      </c>
      <c r="BZ106" t="s">
        <v>346</v>
      </c>
      <c r="CA106" s="11">
        <v>0.03</v>
      </c>
      <c r="CB106" s="9" t="str">
        <f>_xll.SNL.Clients.Office.Excel.Functions.SPG(BY106, "SP_COUNTRY_NAME")</f>
        <v>Singapore</v>
      </c>
      <c r="CC106" t="s">
        <v>1640</v>
      </c>
      <c r="CD106">
        <v>4294921</v>
      </c>
      <c r="CE106" t="s">
        <v>346</v>
      </c>
      <c r="CF106" s="11">
        <v>0.06</v>
      </c>
      <c r="CG106" s="9" t="str">
        <f>_xll.SNL.Clients.Office.Excel.Functions.SPG(CD106, "SP_COUNTRY_NAME")</f>
        <v>Brazil</v>
      </c>
      <c r="CH106" t="s">
        <v>1185</v>
      </c>
      <c r="CI106">
        <v>110616</v>
      </c>
      <c r="CJ106" t="s">
        <v>346</v>
      </c>
      <c r="CK106" s="11">
        <v>0.03</v>
      </c>
      <c r="CL106" s="9" t="str">
        <f>_xll.SNL.Clients.Office.Excel.Functions.SPG(CI106, "SP_COUNTRY_NAME")</f>
        <v>United Kingdom</v>
      </c>
      <c r="CM106" t="s">
        <v>645</v>
      </c>
      <c r="CN106">
        <v>4198648</v>
      </c>
      <c r="CO106" t="s">
        <v>346</v>
      </c>
      <c r="CP106" s="11">
        <v>0.05</v>
      </c>
      <c r="CQ106" s="9" t="str">
        <f>_xll.SNL.Clients.Office.Excel.Functions.SPG(CN106, "SP_COUNTRY_NAME")</f>
        <v>Finland</v>
      </c>
      <c r="CV106" s="9" t="str">
        <f>_xll.SNL.Clients.Office.Excel.Functions.SPG(CS106, "SP_COUNTRY_NAME")</f>
        <v>#INVALID COMPANY ID</v>
      </c>
      <c r="DA106" s="9" t="str">
        <f>_xll.SNL.Clients.Office.Excel.Functions.SPG(CX106, "SP_COUNTRY_NAME")</f>
        <v>#INVALID COMPANY ID</v>
      </c>
      <c r="DB106" t="s">
        <v>1172</v>
      </c>
      <c r="DC106">
        <v>4118152</v>
      </c>
      <c r="DD106" t="s">
        <v>346</v>
      </c>
      <c r="DE106" s="11">
        <v>0.06</v>
      </c>
      <c r="DF106" s="9" t="str">
        <f>_xll.SNL.Clients.Office.Excel.Functions.SPG(DC106, "SP_COUNTRY_NAME")</f>
        <v>USA</v>
      </c>
      <c r="DK106" s="9" t="str">
        <f>_xll.SNL.Clients.Office.Excel.Functions.SPG(DH106, "SP_COUNTRY_NAME")</f>
        <v>#INVALID COMPANY ID</v>
      </c>
      <c r="DL106" t="s">
        <v>1172</v>
      </c>
      <c r="DM106">
        <v>4118152</v>
      </c>
      <c r="DN106" t="s">
        <v>346</v>
      </c>
      <c r="DO106" s="11">
        <v>0.06</v>
      </c>
      <c r="DP106" s="9" t="str">
        <f>_xll.SNL.Clients.Office.Excel.Functions.SPG(DM106, "SP_COUNTRY_NAME")</f>
        <v>USA</v>
      </c>
      <c r="DU106" s="9" t="str">
        <f>_xll.SNL.Clients.Office.Excel.Functions.SPG(DR106, "SP_COUNTRY_NAME")</f>
        <v>#INVALID COMPANY ID</v>
      </c>
      <c r="DV106" t="s">
        <v>1211</v>
      </c>
      <c r="DW106">
        <v>5847561</v>
      </c>
      <c r="DX106" t="s">
        <v>346</v>
      </c>
      <c r="DY106" s="11">
        <v>0</v>
      </c>
      <c r="DZ106" s="9" t="str">
        <f>_xll.SNL.Clients.Office.Excel.Functions.SPG(DW106, "SP_COUNTRY_NAME")</f>
        <v>Switzerland</v>
      </c>
      <c r="EA106" t="s">
        <v>1640</v>
      </c>
      <c r="EB106">
        <v>4294921</v>
      </c>
      <c r="EC106" t="s">
        <v>346</v>
      </c>
      <c r="ED106" s="11">
        <v>0.06</v>
      </c>
      <c r="EE106" s="9" t="str">
        <f>_xll.SNL.Clients.Office.Excel.Functions.SPG(EB106, "SP_COUNTRY_NAME")</f>
        <v>Brazil</v>
      </c>
      <c r="EF106" t="s">
        <v>1172</v>
      </c>
      <c r="EG106">
        <v>4118152</v>
      </c>
      <c r="EH106" t="s">
        <v>346</v>
      </c>
      <c r="EI106" s="11">
        <v>0.06</v>
      </c>
      <c r="EJ106" s="9" t="str">
        <f>_xll.SNL.Clients.Office.Excel.Functions.SPG(EG106, "SP_COUNTRY_NAME")</f>
        <v>USA</v>
      </c>
      <c r="EO106" s="9" t="str">
        <f>_xll.SNL.Clients.Office.Excel.Functions.SPG(EL106, "SP_COUNTRY_NAME")</f>
        <v>#INVALID COMPANY ID</v>
      </c>
      <c r="EP106" t="s">
        <v>404</v>
      </c>
      <c r="EQ106">
        <v>4383779</v>
      </c>
      <c r="ER106" t="s">
        <v>346</v>
      </c>
      <c r="ES106" s="11">
        <v>0</v>
      </c>
      <c r="ET106" s="9" t="str">
        <f>_xll.SNL.Clients.Office.Excel.Functions.SPG(EQ106, "SP_COUNTRY_NAME")</f>
        <v>USA</v>
      </c>
      <c r="EY106" s="9" t="str">
        <f>_xll.SNL.Clients.Office.Excel.Functions.SPG(EV106, "SP_COUNTRY_NAME")</f>
        <v>#INVALID COMPANY ID</v>
      </c>
      <c r="FD106" s="9" t="str">
        <f>_xll.SNL.Clients.Office.Excel.Functions.SPG(FA106, "SP_COUNTRY_NAME")</f>
        <v>#INVALID COMPANY ID</v>
      </c>
      <c r="FI106" s="9" t="str">
        <f>_xll.SNL.Clients.Office.Excel.Functions.SPG(FF106, "SP_COUNTRY_NAME")</f>
        <v>#INVALID COMPANY ID</v>
      </c>
      <c r="FJ106" t="s">
        <v>2167</v>
      </c>
      <c r="FK106">
        <v>6337027</v>
      </c>
      <c r="FL106" t="s">
        <v>346</v>
      </c>
      <c r="FM106" s="11">
        <v>0</v>
      </c>
      <c r="FN106" s="9" t="str">
        <f>_xll.SNL.Clients.Office.Excel.Functions.SPG(FK106, "SP_COUNTRY_NAME")</f>
        <v>Switzerland</v>
      </c>
      <c r="FS106" s="9" t="str">
        <f>_xll.SNL.Clients.Office.Excel.Functions.SPG(FP106, "SP_COUNTRY_NAME")</f>
        <v>#INVALID COMPANY ID</v>
      </c>
      <c r="FX106" s="9" t="str">
        <f>_xll.SNL.Clients.Office.Excel.Functions.SPG(FU106, "SP_COUNTRY_NAME")</f>
        <v>#INVALID COMPANY ID</v>
      </c>
      <c r="FY106" t="s">
        <v>1172</v>
      </c>
      <c r="FZ106">
        <v>4118152</v>
      </c>
      <c r="GA106" t="s">
        <v>346</v>
      </c>
      <c r="GB106" s="11">
        <v>0.06</v>
      </c>
      <c r="GC106" s="9" t="str">
        <f>_xll.SNL.Clients.Office.Excel.Functions.SPG(FZ106, "SP_COUNTRY_NAME")</f>
        <v>USA</v>
      </c>
      <c r="GH106" s="9" t="str">
        <f>_xll.SNL.Clients.Office.Excel.Functions.SPG(GE106, "SP_COUNTRY_NAME")</f>
        <v>#INVALID COMPANY ID</v>
      </c>
      <c r="GM106" s="9" t="str">
        <f>_xll.SNL.Clients.Office.Excel.Functions.SPG(GJ106, "SP_COUNTRY_NAME")</f>
        <v>#INVALID COMPANY ID</v>
      </c>
      <c r="GN106" t="s">
        <v>2167</v>
      </c>
      <c r="GO106">
        <v>6337027</v>
      </c>
      <c r="GP106" t="s">
        <v>346</v>
      </c>
      <c r="GQ106" s="11">
        <v>0</v>
      </c>
      <c r="GR106" s="9" t="str">
        <f>_xll.SNL.Clients.Office.Excel.Functions.SPG(GO106, "SP_COUNTRY_NAME")</f>
        <v>Switzerland</v>
      </c>
      <c r="GS106" t="s">
        <v>430</v>
      </c>
      <c r="GT106">
        <v>4055767</v>
      </c>
      <c r="GU106" t="s">
        <v>346</v>
      </c>
      <c r="GV106" s="11">
        <v>0.02</v>
      </c>
      <c r="GW106" s="9" t="str">
        <f>_xll.SNL.Clients.Office.Excel.Functions.SPG(GT106, "SP_COUNTRY_NAME")</f>
        <v>USA</v>
      </c>
      <c r="GX106" t="s">
        <v>1640</v>
      </c>
      <c r="GY106">
        <v>4294921</v>
      </c>
      <c r="GZ106" t="s">
        <v>346</v>
      </c>
      <c r="HA106" s="11">
        <v>0.06</v>
      </c>
      <c r="HB106" s="9" t="str">
        <f>_xll.SNL.Clients.Office.Excel.Functions.SPG(GY106, "SP_COUNTRY_NAME")</f>
        <v>Brazil</v>
      </c>
      <c r="HG106" s="9" t="str">
        <f>_xll.SNL.Clients.Office.Excel.Functions.SPG(HD106, "SP_COUNTRY_NAME")</f>
        <v>#INVALID COMPANY ID</v>
      </c>
    </row>
    <row r="107" spans="5:215" x14ac:dyDescent="0.35">
      <c r="E107" s="9" t="str">
        <f>_xll.SNL.Clients.Office.Excel.Functions.SPG(B107, "SP_COUNTRY_NAME")</f>
        <v>#INVALID COMPANY ID</v>
      </c>
      <c r="F107" t="s">
        <v>389</v>
      </c>
      <c r="G107">
        <v>109888</v>
      </c>
      <c r="H107" t="s">
        <v>346</v>
      </c>
      <c r="I107" s="11">
        <v>0.01</v>
      </c>
      <c r="J107" s="9" t="str">
        <f>_xll.SNL.Clients.Office.Excel.Functions.SPG(G107, "SP_COUNTRY_NAME")</f>
        <v>USA</v>
      </c>
      <c r="K107" t="s">
        <v>435</v>
      </c>
      <c r="L107">
        <v>109789</v>
      </c>
      <c r="M107" t="s">
        <v>346</v>
      </c>
      <c r="N107" s="11">
        <v>0</v>
      </c>
      <c r="O107" s="9" t="str">
        <f>_xll.SNL.Clients.Office.Excel.Functions.SPG(L107, "SP_COUNTRY_NAME")</f>
        <v>USA</v>
      </c>
      <c r="T107" s="9" t="str">
        <f>_xll.SNL.Clients.Office.Excel.Functions.SPG(Q107, "SP_COUNTRY_NAME")</f>
        <v>#INVALID COMPANY ID</v>
      </c>
      <c r="U107" t="s">
        <v>501</v>
      </c>
      <c r="V107">
        <v>111359</v>
      </c>
      <c r="W107" t="s">
        <v>346</v>
      </c>
      <c r="X107" s="11">
        <v>0.03</v>
      </c>
      <c r="Y107" s="9" t="str">
        <f>_xll.SNL.Clients.Office.Excel.Functions.SPG(V107, "SP_COUNTRY_NAME")</f>
        <v>USA</v>
      </c>
      <c r="Z107" t="s">
        <v>435</v>
      </c>
      <c r="AA107">
        <v>109789</v>
      </c>
      <c r="AB107" t="s">
        <v>346</v>
      </c>
      <c r="AC107" s="11">
        <v>0</v>
      </c>
      <c r="AD107" s="9" t="str">
        <f>_xll.SNL.Clients.Office.Excel.Functions.SPG(AA107, "SP_COUNTRY_NAME")</f>
        <v>USA</v>
      </c>
      <c r="AE107" t="s">
        <v>1137</v>
      </c>
      <c r="AF107">
        <v>4219045</v>
      </c>
      <c r="AG107" t="s">
        <v>346</v>
      </c>
      <c r="AH107" s="11">
        <v>0.01</v>
      </c>
      <c r="AI107" s="9" t="str">
        <f>_xll.SNL.Clients.Office.Excel.Functions.SPG(AF107, "SP_COUNTRY_NAME")</f>
        <v>USA</v>
      </c>
      <c r="AN107" s="9" t="str">
        <f>_xll.SNL.Clients.Office.Excel.Functions.SPG(AK107, "SP_COUNTRY_NAME")</f>
        <v>#INVALID COMPANY ID</v>
      </c>
      <c r="AO107" t="s">
        <v>463</v>
      </c>
      <c r="AP107">
        <v>4138888</v>
      </c>
      <c r="AQ107" t="s">
        <v>346</v>
      </c>
      <c r="AR107" s="11">
        <v>0.03</v>
      </c>
      <c r="AS107" s="9" t="str">
        <f>_xll.SNL.Clients.Office.Excel.Functions.SPG(AP107, "SP_COUNTRY_NAME")</f>
        <v>Norway</v>
      </c>
      <c r="AX107" s="9" t="str">
        <f>_xll.SNL.Clients.Office.Excel.Functions.SPG(AU107, "SP_COUNTRY_NAME")</f>
        <v>#INVALID COMPANY ID</v>
      </c>
      <c r="BC107" s="9" t="str">
        <f>_xll.SNL.Clients.Office.Excel.Functions.SPG(AZ107, "SP_COUNTRY_NAME")</f>
        <v>#INVALID COMPANY ID</v>
      </c>
      <c r="BD107" t="s">
        <v>575</v>
      </c>
      <c r="BE107">
        <v>4575993</v>
      </c>
      <c r="BF107" t="s">
        <v>346</v>
      </c>
      <c r="BG107" s="11">
        <v>0.06</v>
      </c>
      <c r="BH107" s="9" t="str">
        <f>_xll.SNL.Clients.Office.Excel.Functions.SPG(BE107, "SP_COUNTRY_NAME")</f>
        <v>Canada</v>
      </c>
      <c r="BI107" t="s">
        <v>497</v>
      </c>
      <c r="BJ107">
        <v>4138770</v>
      </c>
      <c r="BK107" t="s">
        <v>346</v>
      </c>
      <c r="BL107" s="11">
        <v>0.02</v>
      </c>
      <c r="BM107" s="9" t="str">
        <f>_xll.SNL.Clients.Office.Excel.Functions.SPG(BJ107, "SP_COUNTRY_NAME")</f>
        <v>United Kingdom</v>
      </c>
      <c r="BN107" t="s">
        <v>743</v>
      </c>
      <c r="BO107">
        <v>4137999</v>
      </c>
      <c r="BP107" t="s">
        <v>346</v>
      </c>
      <c r="BQ107" s="11">
        <v>0.02</v>
      </c>
      <c r="BR107" s="9" t="str">
        <f>_xll.SNL.Clients.Office.Excel.Functions.SPG(BO107, "SP_COUNTRY_NAME")</f>
        <v>China</v>
      </c>
      <c r="BS107" t="s">
        <v>964</v>
      </c>
      <c r="BT107">
        <v>110829</v>
      </c>
      <c r="BU107" t="s">
        <v>346</v>
      </c>
      <c r="BV107" s="11">
        <v>0.03</v>
      </c>
      <c r="BW107" s="9" t="str">
        <f>_xll.SNL.Clients.Office.Excel.Functions.SPG(BT107, "SP_COUNTRY_NAME")</f>
        <v>USA</v>
      </c>
      <c r="BX107" t="s">
        <v>501</v>
      </c>
      <c r="BY107">
        <v>111359</v>
      </c>
      <c r="BZ107" t="s">
        <v>346</v>
      </c>
      <c r="CA107" s="11">
        <v>0.03</v>
      </c>
      <c r="CB107" s="9" t="str">
        <f>_xll.SNL.Clients.Office.Excel.Functions.SPG(BY107, "SP_COUNTRY_NAME")</f>
        <v>USA</v>
      </c>
      <c r="CC107" t="s">
        <v>1641</v>
      </c>
      <c r="CD107">
        <v>4291326</v>
      </c>
      <c r="CE107" t="s">
        <v>364</v>
      </c>
      <c r="CF107" s="11">
        <v>0.06</v>
      </c>
      <c r="CG107" s="9" t="str">
        <f>_xll.SNL.Clients.Office.Excel.Functions.SPG(CD107, "SP_COUNTRY_NAME")</f>
        <v>Brazil</v>
      </c>
      <c r="CH107" t="s">
        <v>463</v>
      </c>
      <c r="CI107">
        <v>4138888</v>
      </c>
      <c r="CJ107" t="s">
        <v>346</v>
      </c>
      <c r="CK107" s="11">
        <v>0.03</v>
      </c>
      <c r="CL107" s="9" t="str">
        <f>_xll.SNL.Clients.Office.Excel.Functions.SPG(CI107, "SP_COUNTRY_NAME")</f>
        <v>Norway</v>
      </c>
      <c r="CM107" t="s">
        <v>442</v>
      </c>
      <c r="CN107">
        <v>4117611</v>
      </c>
      <c r="CO107" t="s">
        <v>346</v>
      </c>
      <c r="CP107" s="11">
        <v>0.05</v>
      </c>
      <c r="CQ107" s="9" t="str">
        <f>_xll.SNL.Clients.Office.Excel.Functions.SPG(CN107, "SP_COUNTRY_NAME")</f>
        <v>USA</v>
      </c>
      <c r="CV107" s="9" t="str">
        <f>_xll.SNL.Clients.Office.Excel.Functions.SPG(CS107, "SP_COUNTRY_NAME")</f>
        <v>#INVALID COMPANY ID</v>
      </c>
      <c r="DA107" s="9" t="str">
        <f>_xll.SNL.Clients.Office.Excel.Functions.SPG(CX107, "SP_COUNTRY_NAME")</f>
        <v>#INVALID COMPANY ID</v>
      </c>
      <c r="DB107" t="s">
        <v>575</v>
      </c>
      <c r="DC107">
        <v>4575993</v>
      </c>
      <c r="DD107" t="s">
        <v>346</v>
      </c>
      <c r="DE107" s="11">
        <v>0.06</v>
      </c>
      <c r="DF107" s="9" t="str">
        <f>_xll.SNL.Clients.Office.Excel.Functions.SPG(DC107, "SP_COUNTRY_NAME")</f>
        <v>Canada</v>
      </c>
      <c r="DK107" s="9" t="str">
        <f>_xll.SNL.Clients.Office.Excel.Functions.SPG(DH107, "SP_COUNTRY_NAME")</f>
        <v>#INVALID COMPANY ID</v>
      </c>
      <c r="DL107" t="s">
        <v>575</v>
      </c>
      <c r="DM107">
        <v>4575993</v>
      </c>
      <c r="DN107" t="s">
        <v>346</v>
      </c>
      <c r="DO107" s="11">
        <v>0.06</v>
      </c>
      <c r="DP107" s="9" t="str">
        <f>_xll.SNL.Clients.Office.Excel.Functions.SPG(DM107, "SP_COUNTRY_NAME")</f>
        <v>Canada</v>
      </c>
      <c r="DU107" s="9" t="str">
        <f>_xll.SNL.Clients.Office.Excel.Functions.SPG(DR107, "SP_COUNTRY_NAME")</f>
        <v>#INVALID COMPANY ID</v>
      </c>
      <c r="DV107" t="s">
        <v>519</v>
      </c>
      <c r="DW107">
        <v>109968</v>
      </c>
      <c r="DX107" t="s">
        <v>346</v>
      </c>
      <c r="DY107" s="11">
        <v>0</v>
      </c>
      <c r="DZ107" s="9" t="str">
        <f>_xll.SNL.Clients.Office.Excel.Functions.SPG(DW107, "SP_COUNTRY_NAME")</f>
        <v>USA</v>
      </c>
      <c r="EA107" t="s">
        <v>1641</v>
      </c>
      <c r="EB107">
        <v>4291326</v>
      </c>
      <c r="EC107" t="s">
        <v>364</v>
      </c>
      <c r="ED107" s="11">
        <v>0.06</v>
      </c>
      <c r="EE107" s="9" t="str">
        <f>_xll.SNL.Clients.Office.Excel.Functions.SPG(EB107, "SP_COUNTRY_NAME")</f>
        <v>Brazil</v>
      </c>
      <c r="EF107" t="s">
        <v>575</v>
      </c>
      <c r="EG107">
        <v>4575993</v>
      </c>
      <c r="EH107" t="s">
        <v>346</v>
      </c>
      <c r="EI107" s="11">
        <v>0.06</v>
      </c>
      <c r="EJ107" s="9" t="str">
        <f>_xll.SNL.Clients.Office.Excel.Functions.SPG(EG107, "SP_COUNTRY_NAME")</f>
        <v>Canada</v>
      </c>
      <c r="EO107" s="9" t="str">
        <f>_xll.SNL.Clients.Office.Excel.Functions.SPG(EL107, "SP_COUNTRY_NAME")</f>
        <v>#INVALID COMPANY ID</v>
      </c>
      <c r="EP107" t="s">
        <v>722</v>
      </c>
      <c r="EQ107">
        <v>5812793</v>
      </c>
      <c r="ER107" t="s">
        <v>346</v>
      </c>
      <c r="ES107" s="11">
        <v>0</v>
      </c>
      <c r="ET107" s="9" t="str">
        <f>_xll.SNL.Clients.Office.Excel.Functions.SPG(EQ107, "SP_COUNTRY_NAME")</f>
        <v>China</v>
      </c>
      <c r="EY107" s="9" t="str">
        <f>_xll.SNL.Clients.Office.Excel.Functions.SPG(EV107, "SP_COUNTRY_NAME")</f>
        <v>#INVALID COMPANY ID</v>
      </c>
      <c r="FD107" s="9" t="str">
        <f>_xll.SNL.Clients.Office.Excel.Functions.SPG(FA107, "SP_COUNTRY_NAME")</f>
        <v>#INVALID COMPANY ID</v>
      </c>
      <c r="FI107" s="9" t="str">
        <f>_xll.SNL.Clients.Office.Excel.Functions.SPG(FF107, "SP_COUNTRY_NAME")</f>
        <v>#INVALID COMPANY ID</v>
      </c>
      <c r="FJ107" t="s">
        <v>526</v>
      </c>
      <c r="FK107">
        <v>4248288</v>
      </c>
      <c r="FL107" t="s">
        <v>346</v>
      </c>
      <c r="FM107" s="11">
        <v>0</v>
      </c>
      <c r="FN107" s="9" t="str">
        <f>_xll.SNL.Clients.Office.Excel.Functions.SPG(FK107, "SP_COUNTRY_NAME")</f>
        <v>Canada</v>
      </c>
      <c r="FS107" s="9" t="str">
        <f>_xll.SNL.Clients.Office.Excel.Functions.SPG(FP107, "SP_COUNTRY_NAME")</f>
        <v>#INVALID COMPANY ID</v>
      </c>
      <c r="FX107" s="9" t="str">
        <f>_xll.SNL.Clients.Office.Excel.Functions.SPG(FU107, "SP_COUNTRY_NAME")</f>
        <v>#INVALID COMPANY ID</v>
      </c>
      <c r="FY107" t="s">
        <v>575</v>
      </c>
      <c r="FZ107">
        <v>4575993</v>
      </c>
      <c r="GA107" t="s">
        <v>346</v>
      </c>
      <c r="GB107" s="11">
        <v>0.06</v>
      </c>
      <c r="GC107" s="9" t="str">
        <f>_xll.SNL.Clients.Office.Excel.Functions.SPG(FZ107, "SP_COUNTRY_NAME")</f>
        <v>Canada</v>
      </c>
      <c r="GH107" s="9" t="str">
        <f>_xll.SNL.Clients.Office.Excel.Functions.SPG(GE107, "SP_COUNTRY_NAME")</f>
        <v>#INVALID COMPANY ID</v>
      </c>
      <c r="GM107" s="9" t="str">
        <f>_xll.SNL.Clients.Office.Excel.Functions.SPG(GJ107, "SP_COUNTRY_NAME")</f>
        <v>#INVALID COMPANY ID</v>
      </c>
      <c r="GN107" t="s">
        <v>526</v>
      </c>
      <c r="GO107">
        <v>4248288</v>
      </c>
      <c r="GP107" t="s">
        <v>346</v>
      </c>
      <c r="GQ107" s="11">
        <v>0</v>
      </c>
      <c r="GR107" s="9" t="str">
        <f>_xll.SNL.Clients.Office.Excel.Functions.SPG(GO107, "SP_COUNTRY_NAME")</f>
        <v>Canada</v>
      </c>
      <c r="GS107" t="s">
        <v>743</v>
      </c>
      <c r="GT107">
        <v>4137999</v>
      </c>
      <c r="GU107" t="s">
        <v>346</v>
      </c>
      <c r="GV107" s="11">
        <v>0.02</v>
      </c>
      <c r="GW107" s="9" t="str">
        <f>_xll.SNL.Clients.Office.Excel.Functions.SPG(GT107, "SP_COUNTRY_NAME")</f>
        <v>China</v>
      </c>
      <c r="GX107" t="s">
        <v>1641</v>
      </c>
      <c r="GY107">
        <v>4291326</v>
      </c>
      <c r="GZ107" t="s">
        <v>364</v>
      </c>
      <c r="HA107" s="11">
        <v>0.06</v>
      </c>
      <c r="HB107" s="9" t="str">
        <f>_xll.SNL.Clients.Office.Excel.Functions.SPG(GY107, "SP_COUNTRY_NAME")</f>
        <v>Brazil</v>
      </c>
      <c r="HG107" s="9" t="str">
        <f>_xll.SNL.Clients.Office.Excel.Functions.SPG(HD107, "SP_COUNTRY_NAME")</f>
        <v>#INVALID COMPANY ID</v>
      </c>
    </row>
    <row r="108" spans="5:215" x14ac:dyDescent="0.35">
      <c r="E108" s="9" t="str">
        <f>_xll.SNL.Clients.Office.Excel.Functions.SPG(B108, "SP_COUNTRY_NAME")</f>
        <v>#INVALID COMPANY ID</v>
      </c>
      <c r="F108" t="s">
        <v>496</v>
      </c>
      <c r="G108">
        <v>110495</v>
      </c>
      <c r="H108" t="s">
        <v>346</v>
      </c>
      <c r="I108" s="11">
        <v>0.01</v>
      </c>
      <c r="J108" s="9" t="str">
        <f>_xll.SNL.Clients.Office.Excel.Functions.SPG(G108, "SP_COUNTRY_NAME")</f>
        <v>USA</v>
      </c>
      <c r="K108" t="s">
        <v>444</v>
      </c>
      <c r="L108">
        <v>109988</v>
      </c>
      <c r="M108" t="s">
        <v>346</v>
      </c>
      <c r="N108" s="11">
        <v>0</v>
      </c>
      <c r="O108" s="9" t="str">
        <f>_xll.SNL.Clients.Office.Excel.Functions.SPG(L108, "SP_COUNTRY_NAME")</f>
        <v>USA</v>
      </c>
      <c r="T108" s="9" t="str">
        <f>_xll.SNL.Clients.Office.Excel.Functions.SPG(Q108, "SP_COUNTRY_NAME")</f>
        <v>#INVALID COMPANY ID</v>
      </c>
      <c r="U108" t="s">
        <v>743</v>
      </c>
      <c r="V108">
        <v>4137999</v>
      </c>
      <c r="W108" t="s">
        <v>346</v>
      </c>
      <c r="X108" s="11">
        <v>0.03</v>
      </c>
      <c r="Y108" s="9" t="str">
        <f>_xll.SNL.Clients.Office.Excel.Functions.SPG(V108, "SP_COUNTRY_NAME")</f>
        <v>China</v>
      </c>
      <c r="Z108" t="s">
        <v>444</v>
      </c>
      <c r="AA108">
        <v>109988</v>
      </c>
      <c r="AB108" t="s">
        <v>346</v>
      </c>
      <c r="AC108" s="11">
        <v>0</v>
      </c>
      <c r="AD108" s="9" t="str">
        <f>_xll.SNL.Clients.Office.Excel.Functions.SPG(AA108, "SP_COUNTRY_NAME")</f>
        <v>USA</v>
      </c>
      <c r="AE108" t="s">
        <v>461</v>
      </c>
      <c r="AF108">
        <v>4137912</v>
      </c>
      <c r="AG108" t="s">
        <v>346</v>
      </c>
      <c r="AH108" s="11">
        <v>0.01</v>
      </c>
      <c r="AI108" s="9" t="str">
        <f>_xll.SNL.Clients.Office.Excel.Functions.SPG(AF108, "SP_COUNTRY_NAME")</f>
        <v>Germany</v>
      </c>
      <c r="AN108" s="9" t="str">
        <f>_xll.SNL.Clients.Office.Excel.Functions.SPG(AK108, "SP_COUNTRY_NAME")</f>
        <v>#INVALID COMPANY ID</v>
      </c>
      <c r="AO108" t="s">
        <v>1287</v>
      </c>
      <c r="AP108">
        <v>6727027</v>
      </c>
      <c r="AQ108" t="s">
        <v>346</v>
      </c>
      <c r="AR108" s="11">
        <v>0.03</v>
      </c>
      <c r="AS108" s="9" t="str">
        <f>_xll.SNL.Clients.Office.Excel.Functions.SPG(AP108, "SP_COUNTRY_NAME")</f>
        <v>South Africa</v>
      </c>
      <c r="AX108" s="9" t="str">
        <f>_xll.SNL.Clients.Office.Excel.Functions.SPG(AU108, "SP_COUNTRY_NAME")</f>
        <v>#INVALID COMPANY ID</v>
      </c>
      <c r="BC108" s="9" t="str">
        <f>_xll.SNL.Clients.Office.Excel.Functions.SPG(AZ108, "SP_COUNTRY_NAME")</f>
        <v>#INVALID COMPANY ID</v>
      </c>
      <c r="BD108" t="s">
        <v>467</v>
      </c>
      <c r="BE108">
        <v>7108293</v>
      </c>
      <c r="BF108" t="s">
        <v>369</v>
      </c>
      <c r="BG108" s="11">
        <v>0.06</v>
      </c>
      <c r="BH108" s="9" t="str">
        <f>_xll.SNL.Clients.Office.Excel.Functions.SPG(BE108, "SP_COUNTRY_NAME")</f>
        <v>United Kingdom</v>
      </c>
      <c r="BI108" t="s">
        <v>492</v>
      </c>
      <c r="BJ108">
        <v>110674</v>
      </c>
      <c r="BK108" t="s">
        <v>346</v>
      </c>
      <c r="BL108" s="11">
        <v>0.02</v>
      </c>
      <c r="BM108" s="9" t="str">
        <f>_xll.SNL.Clients.Office.Excel.Functions.SPG(BJ108, "SP_COUNTRY_NAME")</f>
        <v>USA</v>
      </c>
      <c r="BN108" t="s">
        <v>453</v>
      </c>
      <c r="BO108">
        <v>4318598</v>
      </c>
      <c r="BP108" t="s">
        <v>346</v>
      </c>
      <c r="BQ108" s="11">
        <v>0.02</v>
      </c>
      <c r="BR108" s="9" t="str">
        <f>_xll.SNL.Clients.Office.Excel.Functions.SPG(BO108, "SP_COUNTRY_NAME")</f>
        <v>USA</v>
      </c>
      <c r="BS108" t="s">
        <v>436</v>
      </c>
      <c r="BT108">
        <v>111219</v>
      </c>
      <c r="BU108" t="s">
        <v>346</v>
      </c>
      <c r="BV108" s="11">
        <v>0.03</v>
      </c>
      <c r="BW108" s="9" t="str">
        <f>_xll.SNL.Clients.Office.Excel.Functions.SPG(BT108, "SP_COUNTRY_NAME")</f>
        <v>USA</v>
      </c>
      <c r="BX108" t="s">
        <v>743</v>
      </c>
      <c r="BY108">
        <v>4137999</v>
      </c>
      <c r="BZ108" t="s">
        <v>346</v>
      </c>
      <c r="CA108" s="11">
        <v>0.03</v>
      </c>
      <c r="CB108" s="9" t="str">
        <f>_xll.SNL.Clients.Office.Excel.Functions.SPG(BY108, "SP_COUNTRY_NAME")</f>
        <v>China</v>
      </c>
      <c r="CC108" t="s">
        <v>481</v>
      </c>
      <c r="CD108">
        <v>4376121</v>
      </c>
      <c r="CE108" t="s">
        <v>346</v>
      </c>
      <c r="CF108" s="11">
        <v>0.06</v>
      </c>
      <c r="CG108" s="9" t="str">
        <f>_xll.SNL.Clients.Office.Excel.Functions.SPG(CD108, "SP_COUNTRY_NAME")</f>
        <v>United Kingdom</v>
      </c>
      <c r="CH108" t="s">
        <v>1287</v>
      </c>
      <c r="CI108">
        <v>6727027</v>
      </c>
      <c r="CJ108" t="s">
        <v>346</v>
      </c>
      <c r="CK108" s="11">
        <v>0.03</v>
      </c>
      <c r="CL108" s="9" t="str">
        <f>_xll.SNL.Clients.Office.Excel.Functions.SPG(CI108, "SP_COUNTRY_NAME")</f>
        <v>South Africa</v>
      </c>
      <c r="CM108" t="s">
        <v>1285</v>
      </c>
      <c r="CN108">
        <v>14171602</v>
      </c>
      <c r="CO108" t="s">
        <v>346</v>
      </c>
      <c r="CP108" s="11">
        <v>0.05</v>
      </c>
      <c r="CQ108" s="9" t="str">
        <f>_xll.SNL.Clients.Office.Excel.Functions.SPG(CN108, "SP_COUNTRY_NAME")</f>
        <v>South Africa</v>
      </c>
      <c r="CV108" s="9" t="str">
        <f>_xll.SNL.Clients.Office.Excel.Functions.SPG(CS108, "SP_COUNTRY_NAME")</f>
        <v>#INVALID COMPANY ID</v>
      </c>
      <c r="DA108" s="9" t="str">
        <f>_xll.SNL.Clients.Office.Excel.Functions.SPG(CX108, "SP_COUNTRY_NAME")</f>
        <v>#INVALID COMPANY ID</v>
      </c>
      <c r="DB108" t="s">
        <v>467</v>
      </c>
      <c r="DC108">
        <v>7108293</v>
      </c>
      <c r="DD108" t="s">
        <v>369</v>
      </c>
      <c r="DE108" s="11">
        <v>0.06</v>
      </c>
      <c r="DF108" s="9" t="str">
        <f>_xll.SNL.Clients.Office.Excel.Functions.SPG(DC108, "SP_COUNTRY_NAME")</f>
        <v>United Kingdom</v>
      </c>
      <c r="DK108" s="9" t="str">
        <f>_xll.SNL.Clients.Office.Excel.Functions.SPG(DH108, "SP_COUNTRY_NAME")</f>
        <v>#INVALID COMPANY ID</v>
      </c>
      <c r="DL108" t="s">
        <v>467</v>
      </c>
      <c r="DM108">
        <v>7108293</v>
      </c>
      <c r="DN108" t="s">
        <v>369</v>
      </c>
      <c r="DO108" s="11">
        <v>0.06</v>
      </c>
      <c r="DP108" s="9" t="str">
        <f>_xll.SNL.Clients.Office.Excel.Functions.SPG(DM108, "SP_COUNTRY_NAME")</f>
        <v>United Kingdom</v>
      </c>
      <c r="DU108" s="9" t="str">
        <f>_xll.SNL.Clients.Office.Excel.Functions.SPG(DR108, "SP_COUNTRY_NAME")</f>
        <v>#INVALID COMPANY ID</v>
      </c>
      <c r="DV108" t="s">
        <v>533</v>
      </c>
      <c r="DW108">
        <v>4377155</v>
      </c>
      <c r="DX108" t="s">
        <v>346</v>
      </c>
      <c r="DY108" s="11">
        <v>0</v>
      </c>
      <c r="DZ108" s="9" t="str">
        <f>_xll.SNL.Clients.Office.Excel.Functions.SPG(DW108, "SP_COUNTRY_NAME")</f>
        <v>Belgium</v>
      </c>
      <c r="EA108" t="s">
        <v>481</v>
      </c>
      <c r="EB108">
        <v>4376121</v>
      </c>
      <c r="EC108" t="s">
        <v>346</v>
      </c>
      <c r="ED108" s="11">
        <v>0.06</v>
      </c>
      <c r="EE108" s="9" t="str">
        <f>_xll.SNL.Clients.Office.Excel.Functions.SPG(EB108, "SP_COUNTRY_NAME")</f>
        <v>United Kingdom</v>
      </c>
      <c r="EF108" t="s">
        <v>467</v>
      </c>
      <c r="EG108">
        <v>7108293</v>
      </c>
      <c r="EH108" t="s">
        <v>369</v>
      </c>
      <c r="EI108" s="11">
        <v>0.06</v>
      </c>
      <c r="EJ108" s="9" t="str">
        <f>_xll.SNL.Clients.Office.Excel.Functions.SPG(EG108, "SP_COUNTRY_NAME")</f>
        <v>United Kingdom</v>
      </c>
      <c r="EO108" s="9" t="str">
        <f>_xll.SNL.Clients.Office.Excel.Functions.SPG(EL108, "SP_COUNTRY_NAME")</f>
        <v>#INVALID COMPANY ID</v>
      </c>
      <c r="EP108" t="s">
        <v>672</v>
      </c>
      <c r="EQ108">
        <v>4139739</v>
      </c>
      <c r="ER108" t="s">
        <v>346</v>
      </c>
      <c r="ES108" s="11">
        <v>0</v>
      </c>
      <c r="ET108" s="9" t="str">
        <f>_xll.SNL.Clients.Office.Excel.Functions.SPG(EQ108, "SP_COUNTRY_NAME")</f>
        <v>China</v>
      </c>
      <c r="EY108" s="9" t="str">
        <f>_xll.SNL.Clients.Office.Excel.Functions.SPG(EV108, "SP_COUNTRY_NAME")</f>
        <v>#INVALID COMPANY ID</v>
      </c>
      <c r="FD108" s="9" t="str">
        <f>_xll.SNL.Clients.Office.Excel.Functions.SPG(FA108, "SP_COUNTRY_NAME")</f>
        <v>#INVALID COMPANY ID</v>
      </c>
      <c r="FI108" s="9" t="str">
        <f>_xll.SNL.Clients.Office.Excel.Functions.SPG(FF108, "SP_COUNTRY_NAME")</f>
        <v>#INVALID COMPANY ID</v>
      </c>
      <c r="FJ108" t="s">
        <v>537</v>
      </c>
      <c r="FK108">
        <v>5834897</v>
      </c>
      <c r="FL108" t="s">
        <v>346</v>
      </c>
      <c r="FM108" s="11">
        <v>0</v>
      </c>
      <c r="FN108" s="9" t="str">
        <f>_xll.SNL.Clients.Office.Excel.Functions.SPG(FK108, "SP_COUNTRY_NAME")</f>
        <v>United Kingdom</v>
      </c>
      <c r="FS108" s="9" t="str">
        <f>_xll.SNL.Clients.Office.Excel.Functions.SPG(FP108, "SP_COUNTRY_NAME")</f>
        <v>#INVALID COMPANY ID</v>
      </c>
      <c r="FX108" s="9" t="str">
        <f>_xll.SNL.Clients.Office.Excel.Functions.SPG(FU108, "SP_COUNTRY_NAME")</f>
        <v>#INVALID COMPANY ID</v>
      </c>
      <c r="FY108" t="s">
        <v>467</v>
      </c>
      <c r="FZ108">
        <v>7108293</v>
      </c>
      <c r="GA108" t="s">
        <v>369</v>
      </c>
      <c r="GB108" s="11">
        <v>0.06</v>
      </c>
      <c r="GC108" s="9" t="str">
        <f>_xll.SNL.Clients.Office.Excel.Functions.SPG(FZ108, "SP_COUNTRY_NAME")</f>
        <v>United Kingdom</v>
      </c>
      <c r="GH108" s="9" t="str">
        <f>_xll.SNL.Clients.Office.Excel.Functions.SPG(GE108, "SP_COUNTRY_NAME")</f>
        <v>#INVALID COMPANY ID</v>
      </c>
      <c r="GM108" s="9" t="str">
        <f>_xll.SNL.Clients.Office.Excel.Functions.SPG(GJ108, "SP_COUNTRY_NAME")</f>
        <v>#INVALID COMPANY ID</v>
      </c>
      <c r="GN108" t="s">
        <v>537</v>
      </c>
      <c r="GO108">
        <v>5834897</v>
      </c>
      <c r="GP108" t="s">
        <v>346</v>
      </c>
      <c r="GQ108" s="11">
        <v>0</v>
      </c>
      <c r="GR108" s="9" t="str">
        <f>_xll.SNL.Clients.Office.Excel.Functions.SPG(GO108, "SP_COUNTRY_NAME")</f>
        <v>United Kingdom</v>
      </c>
      <c r="GS108" t="s">
        <v>453</v>
      </c>
      <c r="GT108">
        <v>4318598</v>
      </c>
      <c r="GU108" t="s">
        <v>346</v>
      </c>
      <c r="GV108" s="11">
        <v>0.02</v>
      </c>
      <c r="GW108" s="9" t="str">
        <f>_xll.SNL.Clients.Office.Excel.Functions.SPG(GT108, "SP_COUNTRY_NAME")</f>
        <v>USA</v>
      </c>
      <c r="GX108" t="s">
        <v>481</v>
      </c>
      <c r="GY108">
        <v>4376121</v>
      </c>
      <c r="GZ108" t="s">
        <v>346</v>
      </c>
      <c r="HA108" s="11">
        <v>0.06</v>
      </c>
      <c r="HB108" s="9" t="str">
        <f>_xll.SNL.Clients.Office.Excel.Functions.SPG(GY108, "SP_COUNTRY_NAME")</f>
        <v>United Kingdom</v>
      </c>
      <c r="HG108" s="9" t="str">
        <f>_xll.SNL.Clients.Office.Excel.Functions.SPG(HD108, "SP_COUNTRY_NAME")</f>
        <v>#INVALID COMPANY ID</v>
      </c>
    </row>
    <row r="109" spans="5:215" x14ac:dyDescent="0.35">
      <c r="E109" s="9" t="str">
        <f>_xll.SNL.Clients.Office.Excel.Functions.SPG(B109, "SP_COUNTRY_NAME")</f>
        <v>#INVALID COMPANY ID</v>
      </c>
      <c r="F109" t="s">
        <v>497</v>
      </c>
      <c r="G109">
        <v>4138770</v>
      </c>
      <c r="H109" t="s">
        <v>346</v>
      </c>
      <c r="I109" s="11">
        <v>0.01</v>
      </c>
      <c r="J109" s="9" t="str">
        <f>_xll.SNL.Clients.Office.Excel.Functions.SPG(G109, "SP_COUNTRY_NAME")</f>
        <v>United Kingdom</v>
      </c>
      <c r="K109" t="s">
        <v>378</v>
      </c>
      <c r="L109">
        <v>4048184</v>
      </c>
      <c r="M109" t="s">
        <v>346</v>
      </c>
      <c r="N109" s="11">
        <v>0</v>
      </c>
      <c r="O109" s="9" t="str">
        <f>_xll.SNL.Clients.Office.Excel.Functions.SPG(L109, "SP_COUNTRY_NAME")</f>
        <v>Canada</v>
      </c>
      <c r="T109" s="9" t="str">
        <f>_xll.SNL.Clients.Office.Excel.Functions.SPG(Q109, "SP_COUNTRY_NAME")</f>
        <v>#INVALID COMPANY ID</v>
      </c>
      <c r="U109" t="s">
        <v>744</v>
      </c>
      <c r="V109">
        <v>4099072</v>
      </c>
      <c r="W109" t="s">
        <v>346</v>
      </c>
      <c r="X109" s="11">
        <v>0.03</v>
      </c>
      <c r="Y109" s="9" t="str">
        <f>_xll.SNL.Clients.Office.Excel.Functions.SPG(V109, "SP_COUNTRY_NAME")</f>
        <v>USA</v>
      </c>
      <c r="Z109" t="s">
        <v>378</v>
      </c>
      <c r="AA109">
        <v>4048184</v>
      </c>
      <c r="AB109" t="s">
        <v>346</v>
      </c>
      <c r="AC109" s="11">
        <v>0</v>
      </c>
      <c r="AD109" s="9" t="str">
        <f>_xll.SNL.Clients.Office.Excel.Functions.SPG(AA109, "SP_COUNTRY_NAME")</f>
        <v>Canada</v>
      </c>
      <c r="AE109" t="s">
        <v>481</v>
      </c>
      <c r="AF109">
        <v>4376121</v>
      </c>
      <c r="AG109" t="s">
        <v>346</v>
      </c>
      <c r="AH109" s="11">
        <v>0.01</v>
      </c>
      <c r="AI109" s="9" t="str">
        <f>_xll.SNL.Clients.Office.Excel.Functions.SPG(AF109, "SP_COUNTRY_NAME")</f>
        <v>United Kingdom</v>
      </c>
      <c r="AN109" s="9" t="str">
        <f>_xll.SNL.Clients.Office.Excel.Functions.SPG(AK109, "SP_COUNTRY_NAME")</f>
        <v>#INVALID COMPANY ID</v>
      </c>
      <c r="AO109" t="s">
        <v>444</v>
      </c>
      <c r="AP109">
        <v>109988</v>
      </c>
      <c r="AQ109" t="s">
        <v>346</v>
      </c>
      <c r="AR109" s="11">
        <v>0.03</v>
      </c>
      <c r="AS109" s="9" t="str">
        <f>_xll.SNL.Clients.Office.Excel.Functions.SPG(AP109, "SP_COUNTRY_NAME")</f>
        <v>USA</v>
      </c>
      <c r="AX109" s="9" t="str">
        <f>_xll.SNL.Clients.Office.Excel.Functions.SPG(AU109, "SP_COUNTRY_NAME")</f>
        <v>#INVALID COMPANY ID</v>
      </c>
      <c r="BC109" s="9" t="str">
        <f>_xll.SNL.Clients.Office.Excel.Functions.SPG(AZ109, "SP_COUNTRY_NAME")</f>
        <v>#INVALID COMPANY ID</v>
      </c>
      <c r="BD109" t="s">
        <v>458</v>
      </c>
      <c r="BE109">
        <v>109806</v>
      </c>
      <c r="BF109" t="s">
        <v>346</v>
      </c>
      <c r="BG109" s="11">
        <v>0.05</v>
      </c>
      <c r="BH109" s="9" t="str">
        <f>_xll.SNL.Clients.Office.Excel.Functions.SPG(BE109, "SP_COUNTRY_NAME")</f>
        <v>USA</v>
      </c>
      <c r="BI109" t="s">
        <v>1566</v>
      </c>
      <c r="BJ109" t="s">
        <v>300</v>
      </c>
      <c r="BK109" t="s">
        <v>361</v>
      </c>
      <c r="BL109" s="11">
        <v>0.02</v>
      </c>
      <c r="BM109" s="9" t="str">
        <f>_xll.SNL.Clients.Office.Excel.Functions.SPG(BJ109, "SP_COUNTRY_NAME")</f>
        <v>China</v>
      </c>
      <c r="BN109" t="s">
        <v>401</v>
      </c>
      <c r="BO109">
        <v>4139862</v>
      </c>
      <c r="BP109" t="s">
        <v>346</v>
      </c>
      <c r="BQ109" s="11">
        <v>0.02</v>
      </c>
      <c r="BR109" s="9" t="str">
        <f>_xll.SNL.Clients.Office.Excel.Functions.SPG(BO109, "SP_COUNTRY_NAME")</f>
        <v>United Kingdom</v>
      </c>
      <c r="BS109" t="s">
        <v>390</v>
      </c>
      <c r="BT109">
        <v>4135241</v>
      </c>
      <c r="BU109" t="s">
        <v>346</v>
      </c>
      <c r="BV109" s="11">
        <v>0.03</v>
      </c>
      <c r="BW109" s="9" t="str">
        <f>_xll.SNL.Clients.Office.Excel.Functions.SPG(BT109, "SP_COUNTRY_NAME")</f>
        <v>Australia</v>
      </c>
      <c r="BX109" t="s">
        <v>744</v>
      </c>
      <c r="BY109">
        <v>4099072</v>
      </c>
      <c r="BZ109" t="s">
        <v>346</v>
      </c>
      <c r="CA109" s="11">
        <v>0.03</v>
      </c>
      <c r="CB109" s="9" t="str">
        <f>_xll.SNL.Clients.Office.Excel.Functions.SPG(BY109, "SP_COUNTRY_NAME")</f>
        <v>USA</v>
      </c>
      <c r="CC109" t="s">
        <v>430</v>
      </c>
      <c r="CD109">
        <v>4055767</v>
      </c>
      <c r="CE109" t="s">
        <v>346</v>
      </c>
      <c r="CF109" s="11">
        <v>0.06</v>
      </c>
      <c r="CG109" s="9" t="str">
        <f>_xll.SNL.Clients.Office.Excel.Functions.SPG(CD109, "SP_COUNTRY_NAME")</f>
        <v>USA</v>
      </c>
      <c r="CH109" t="s">
        <v>444</v>
      </c>
      <c r="CI109">
        <v>109988</v>
      </c>
      <c r="CJ109" t="s">
        <v>346</v>
      </c>
      <c r="CK109" s="11">
        <v>0.03</v>
      </c>
      <c r="CL109" s="9" t="str">
        <f>_xll.SNL.Clients.Office.Excel.Functions.SPG(CI109, "SP_COUNTRY_NAME")</f>
        <v>USA</v>
      </c>
      <c r="CM109" t="s">
        <v>1968</v>
      </c>
      <c r="CN109">
        <v>4114509</v>
      </c>
      <c r="CO109" t="s">
        <v>366</v>
      </c>
      <c r="CP109" s="11">
        <v>0.04</v>
      </c>
      <c r="CQ109" s="9" t="str">
        <f>_xll.SNL.Clients.Office.Excel.Functions.SPG(CN109, "SP_COUNTRY_NAME")</f>
        <v>USA</v>
      </c>
      <c r="CV109" s="9" t="str">
        <f>_xll.SNL.Clients.Office.Excel.Functions.SPG(CS109, "SP_COUNTRY_NAME")</f>
        <v>#INVALID COMPANY ID</v>
      </c>
      <c r="DA109" s="9" t="str">
        <f>_xll.SNL.Clients.Office.Excel.Functions.SPG(CX109, "SP_COUNTRY_NAME")</f>
        <v>#INVALID COMPANY ID</v>
      </c>
      <c r="DB109" t="s">
        <v>458</v>
      </c>
      <c r="DC109">
        <v>109806</v>
      </c>
      <c r="DD109" t="s">
        <v>346</v>
      </c>
      <c r="DE109" s="11">
        <v>0.05</v>
      </c>
      <c r="DF109" s="9" t="str">
        <f>_xll.SNL.Clients.Office.Excel.Functions.SPG(DC109, "SP_COUNTRY_NAME")</f>
        <v>USA</v>
      </c>
      <c r="DK109" s="9" t="str">
        <f>_xll.SNL.Clients.Office.Excel.Functions.SPG(DH109, "SP_COUNTRY_NAME")</f>
        <v>#INVALID COMPANY ID</v>
      </c>
      <c r="DL109" t="s">
        <v>458</v>
      </c>
      <c r="DM109">
        <v>109806</v>
      </c>
      <c r="DN109" t="s">
        <v>346</v>
      </c>
      <c r="DO109" s="11">
        <v>0.05</v>
      </c>
      <c r="DP109" s="9" t="str">
        <f>_xll.SNL.Clients.Office.Excel.Functions.SPG(DM109, "SP_COUNTRY_NAME")</f>
        <v>USA</v>
      </c>
      <c r="DU109" s="9" t="str">
        <f>_xll.SNL.Clients.Office.Excel.Functions.SPG(DR109, "SP_COUNTRY_NAME")</f>
        <v>#INVALID COMPANY ID</v>
      </c>
      <c r="DV109" t="s">
        <v>475</v>
      </c>
      <c r="DW109">
        <v>4115935</v>
      </c>
      <c r="DX109" t="s">
        <v>346</v>
      </c>
      <c r="DY109" s="11">
        <v>0</v>
      </c>
      <c r="DZ109" s="9" t="str">
        <f>_xll.SNL.Clients.Office.Excel.Functions.SPG(DW109, "SP_COUNTRY_NAME")</f>
        <v>USA</v>
      </c>
      <c r="EA109" t="s">
        <v>430</v>
      </c>
      <c r="EB109">
        <v>4055767</v>
      </c>
      <c r="EC109" t="s">
        <v>346</v>
      </c>
      <c r="ED109" s="11">
        <v>0.06</v>
      </c>
      <c r="EE109" s="9" t="str">
        <f>_xll.SNL.Clients.Office.Excel.Functions.SPG(EB109, "SP_COUNTRY_NAME")</f>
        <v>USA</v>
      </c>
      <c r="EF109" t="s">
        <v>458</v>
      </c>
      <c r="EG109">
        <v>109806</v>
      </c>
      <c r="EH109" t="s">
        <v>346</v>
      </c>
      <c r="EI109" s="11">
        <v>0.05</v>
      </c>
      <c r="EJ109" s="9" t="str">
        <f>_xll.SNL.Clients.Office.Excel.Functions.SPG(EG109, "SP_COUNTRY_NAME")</f>
        <v>USA</v>
      </c>
      <c r="EO109" s="9" t="str">
        <f>_xll.SNL.Clients.Office.Excel.Functions.SPG(EL109, "SP_COUNTRY_NAME")</f>
        <v>#INVALID COMPANY ID</v>
      </c>
      <c r="EP109" t="s">
        <v>487</v>
      </c>
      <c r="EQ109">
        <v>4111901</v>
      </c>
      <c r="ER109" t="s">
        <v>346</v>
      </c>
      <c r="ES109" s="11">
        <v>0</v>
      </c>
      <c r="ET109" s="9" t="str">
        <f>_xll.SNL.Clients.Office.Excel.Functions.SPG(EQ109, "SP_COUNTRY_NAME")</f>
        <v>Belgium</v>
      </c>
      <c r="EY109" s="9" t="str">
        <f>_xll.SNL.Clients.Office.Excel.Functions.SPG(EV109, "SP_COUNTRY_NAME")</f>
        <v>#INVALID COMPANY ID</v>
      </c>
      <c r="FD109" s="9" t="str">
        <f>_xll.SNL.Clients.Office.Excel.Functions.SPG(FA109, "SP_COUNTRY_NAME")</f>
        <v>#INVALID COMPANY ID</v>
      </c>
      <c r="FI109" s="9" t="str">
        <f>_xll.SNL.Clients.Office.Excel.Functions.SPG(FF109, "SP_COUNTRY_NAME")</f>
        <v>#INVALID COMPANY ID</v>
      </c>
      <c r="FJ109" t="s">
        <v>536</v>
      </c>
      <c r="FK109">
        <v>4432074</v>
      </c>
      <c r="FL109" t="s">
        <v>346</v>
      </c>
      <c r="FM109" s="11">
        <v>0</v>
      </c>
      <c r="FN109" s="9" t="str">
        <f>_xll.SNL.Clients.Office.Excel.Functions.SPG(FK109, "SP_COUNTRY_NAME")</f>
        <v>Canada</v>
      </c>
      <c r="FS109" s="9" t="str">
        <f>_xll.SNL.Clients.Office.Excel.Functions.SPG(FP109, "SP_COUNTRY_NAME")</f>
        <v>#INVALID COMPANY ID</v>
      </c>
      <c r="FX109" s="9" t="str">
        <f>_xll.SNL.Clients.Office.Excel.Functions.SPG(FU109, "SP_COUNTRY_NAME")</f>
        <v>#INVALID COMPANY ID</v>
      </c>
      <c r="FY109" t="s">
        <v>458</v>
      </c>
      <c r="FZ109">
        <v>109806</v>
      </c>
      <c r="GA109" t="s">
        <v>346</v>
      </c>
      <c r="GB109" s="11">
        <v>0.05</v>
      </c>
      <c r="GC109" s="9" t="str">
        <f>_xll.SNL.Clients.Office.Excel.Functions.SPG(FZ109, "SP_COUNTRY_NAME")</f>
        <v>USA</v>
      </c>
      <c r="GH109" s="9" t="str">
        <f>_xll.SNL.Clients.Office.Excel.Functions.SPG(GE109, "SP_COUNTRY_NAME")</f>
        <v>#INVALID COMPANY ID</v>
      </c>
      <c r="GM109" s="9" t="str">
        <f>_xll.SNL.Clients.Office.Excel.Functions.SPG(GJ109, "SP_COUNTRY_NAME")</f>
        <v>#INVALID COMPANY ID</v>
      </c>
      <c r="GN109" t="s">
        <v>536</v>
      </c>
      <c r="GO109">
        <v>4432074</v>
      </c>
      <c r="GP109" t="s">
        <v>346</v>
      </c>
      <c r="GQ109" s="11">
        <v>0</v>
      </c>
      <c r="GR109" s="9" t="str">
        <f>_xll.SNL.Clients.Office.Excel.Functions.SPG(GO109, "SP_COUNTRY_NAME")</f>
        <v>Canada</v>
      </c>
      <c r="GS109" t="s">
        <v>401</v>
      </c>
      <c r="GT109">
        <v>4139862</v>
      </c>
      <c r="GU109" t="s">
        <v>346</v>
      </c>
      <c r="GV109" s="11">
        <v>0.02</v>
      </c>
      <c r="GW109" s="9" t="str">
        <f>_xll.SNL.Clients.Office.Excel.Functions.SPG(GT109, "SP_COUNTRY_NAME")</f>
        <v>United Kingdom</v>
      </c>
      <c r="GX109" t="s">
        <v>430</v>
      </c>
      <c r="GY109">
        <v>4055767</v>
      </c>
      <c r="GZ109" t="s">
        <v>346</v>
      </c>
      <c r="HA109" s="11">
        <v>0.06</v>
      </c>
      <c r="HB109" s="9" t="str">
        <f>_xll.SNL.Clients.Office.Excel.Functions.SPG(GY109, "SP_COUNTRY_NAME")</f>
        <v>USA</v>
      </c>
      <c r="HG109" s="9" t="str">
        <f>_xll.SNL.Clients.Office.Excel.Functions.SPG(HD109, "SP_COUNTRY_NAME")</f>
        <v>#INVALID COMPANY ID</v>
      </c>
    </row>
    <row r="110" spans="5:215" x14ac:dyDescent="0.35">
      <c r="E110" s="9" t="str">
        <f>_xll.SNL.Clients.Office.Excel.Functions.SPG(B110, "SP_COUNTRY_NAME")</f>
        <v>#INVALID COMPANY ID</v>
      </c>
      <c r="F110" t="s">
        <v>498</v>
      </c>
      <c r="G110">
        <v>4187546</v>
      </c>
      <c r="H110" t="s">
        <v>346</v>
      </c>
      <c r="I110" s="11">
        <v>0.01</v>
      </c>
      <c r="J110" s="9" t="str">
        <f>_xll.SNL.Clients.Office.Excel.Functions.SPG(G110, "SP_COUNTRY_NAME")</f>
        <v>USA</v>
      </c>
      <c r="K110" t="s">
        <v>681</v>
      </c>
      <c r="L110">
        <v>5866754</v>
      </c>
      <c r="M110" t="s">
        <v>346</v>
      </c>
      <c r="N110" s="11">
        <v>0</v>
      </c>
      <c r="O110" s="9" t="str">
        <f>_xll.SNL.Clients.Office.Excel.Functions.SPG(L110, "SP_COUNTRY_NAME")</f>
        <v>China</v>
      </c>
      <c r="T110" s="9" t="str">
        <f>_xll.SNL.Clients.Office.Excel.Functions.SPG(Q110, "SP_COUNTRY_NAME")</f>
        <v>#INVALID COMPANY ID</v>
      </c>
      <c r="U110" t="s">
        <v>429</v>
      </c>
      <c r="V110">
        <v>4607441</v>
      </c>
      <c r="W110" t="s">
        <v>346</v>
      </c>
      <c r="X110" s="11">
        <v>0.03</v>
      </c>
      <c r="Y110" s="9" t="str">
        <f>_xll.SNL.Clients.Office.Excel.Functions.SPG(V110, "SP_COUNTRY_NAME")</f>
        <v>Japan</v>
      </c>
      <c r="Z110" t="s">
        <v>681</v>
      </c>
      <c r="AA110">
        <v>5866754</v>
      </c>
      <c r="AB110" t="s">
        <v>346</v>
      </c>
      <c r="AC110" s="11">
        <v>0</v>
      </c>
      <c r="AD110" s="9" t="str">
        <f>_xll.SNL.Clients.Office.Excel.Functions.SPG(AA110, "SP_COUNTRY_NAME")</f>
        <v>China</v>
      </c>
      <c r="AE110" t="s">
        <v>1138</v>
      </c>
      <c r="AF110">
        <v>5837713</v>
      </c>
      <c r="AG110" t="s">
        <v>346</v>
      </c>
      <c r="AH110" s="11">
        <v>0.01</v>
      </c>
      <c r="AI110" s="9" t="str">
        <f>_xll.SNL.Clients.Office.Excel.Functions.SPG(AF110, "SP_COUNTRY_NAME")</f>
        <v>Luxembourg</v>
      </c>
      <c r="AN110" s="9" t="str">
        <f>_xll.SNL.Clients.Office.Excel.Functions.SPG(AK110, "SP_COUNTRY_NAME")</f>
        <v>#INVALID COMPANY ID</v>
      </c>
      <c r="AO110" t="s">
        <v>1288</v>
      </c>
      <c r="AP110">
        <v>5863780</v>
      </c>
      <c r="AQ110" t="s">
        <v>346</v>
      </c>
      <c r="AR110" s="11">
        <v>0.02</v>
      </c>
      <c r="AS110" s="9" t="str">
        <f>_xll.SNL.Clients.Office.Excel.Functions.SPG(AP110, "SP_COUNTRY_NAME")</f>
        <v>United Kingdom</v>
      </c>
      <c r="AX110" s="9" t="str">
        <f>_xll.SNL.Clients.Office.Excel.Functions.SPG(AU110, "SP_COUNTRY_NAME")</f>
        <v>#INVALID COMPANY ID</v>
      </c>
      <c r="BC110" s="9" t="str">
        <f>_xll.SNL.Clients.Office.Excel.Functions.SPG(AZ110, "SP_COUNTRY_NAME")</f>
        <v>#INVALID COMPANY ID</v>
      </c>
      <c r="BD110" t="s">
        <v>1259</v>
      </c>
      <c r="BE110">
        <v>4213239</v>
      </c>
      <c r="BF110" t="s">
        <v>346</v>
      </c>
      <c r="BG110" s="11">
        <v>0.05</v>
      </c>
      <c r="BH110" s="9" t="str">
        <f>_xll.SNL.Clients.Office.Excel.Functions.SPG(BE110, "SP_COUNTRY_NAME")</f>
        <v>South Africa</v>
      </c>
      <c r="BI110" t="s">
        <v>481</v>
      </c>
      <c r="BJ110">
        <v>4376121</v>
      </c>
      <c r="BK110" t="s">
        <v>346</v>
      </c>
      <c r="BL110" s="11">
        <v>0.01</v>
      </c>
      <c r="BM110" s="9" t="str">
        <f>_xll.SNL.Clients.Office.Excel.Functions.SPG(BJ110, "SP_COUNTRY_NAME")</f>
        <v>United Kingdom</v>
      </c>
      <c r="BN110" t="s">
        <v>687</v>
      </c>
      <c r="BO110">
        <v>4368709</v>
      </c>
      <c r="BP110" t="s">
        <v>346</v>
      </c>
      <c r="BQ110" s="11">
        <v>0.02</v>
      </c>
      <c r="BR110" s="9" t="str">
        <f>_xll.SNL.Clients.Office.Excel.Functions.SPG(BO110, "SP_COUNTRY_NAME")</f>
        <v>China</v>
      </c>
      <c r="BS110" t="s">
        <v>583</v>
      </c>
      <c r="BT110">
        <v>4579014</v>
      </c>
      <c r="BU110" t="s">
        <v>346</v>
      </c>
      <c r="BV110" s="11">
        <v>0.03</v>
      </c>
      <c r="BW110" s="9" t="str">
        <f>_xll.SNL.Clients.Office.Excel.Functions.SPG(BT110, "SP_COUNTRY_NAME")</f>
        <v>USA</v>
      </c>
      <c r="BX110" t="s">
        <v>429</v>
      </c>
      <c r="BY110">
        <v>4607441</v>
      </c>
      <c r="BZ110" t="s">
        <v>346</v>
      </c>
      <c r="CA110" s="11">
        <v>0.03</v>
      </c>
      <c r="CB110" s="9" t="str">
        <f>_xll.SNL.Clients.Office.Excel.Functions.SPG(BY110, "SP_COUNTRY_NAME")</f>
        <v>Japan</v>
      </c>
      <c r="CC110" t="s">
        <v>1642</v>
      </c>
      <c r="CD110">
        <v>4339252</v>
      </c>
      <c r="CE110" t="s">
        <v>346</v>
      </c>
      <c r="CF110" s="11">
        <v>0.06</v>
      </c>
      <c r="CG110" s="9" t="str">
        <f>_xll.SNL.Clients.Office.Excel.Functions.SPG(CD110, "SP_COUNTRY_NAME")</f>
        <v>Brazil</v>
      </c>
      <c r="CH110" t="s">
        <v>1288</v>
      </c>
      <c r="CI110">
        <v>5863780</v>
      </c>
      <c r="CJ110" t="s">
        <v>346</v>
      </c>
      <c r="CK110" s="11">
        <v>0.02</v>
      </c>
      <c r="CL110" s="9" t="str">
        <f>_xll.SNL.Clients.Office.Excel.Functions.SPG(CI110, "SP_COUNTRY_NAME")</f>
        <v>United Kingdom</v>
      </c>
      <c r="CM110" t="s">
        <v>456</v>
      </c>
      <c r="CN110">
        <v>4249110</v>
      </c>
      <c r="CO110" t="s">
        <v>346</v>
      </c>
      <c r="CP110" s="11">
        <v>0.04</v>
      </c>
      <c r="CQ110" s="9" t="str">
        <f>_xll.SNL.Clients.Office.Excel.Functions.SPG(CN110, "SP_COUNTRY_NAME")</f>
        <v>United Kingdom</v>
      </c>
      <c r="CV110" s="9" t="str">
        <f>_xll.SNL.Clients.Office.Excel.Functions.SPG(CS110, "SP_COUNTRY_NAME")</f>
        <v>#INVALID COMPANY ID</v>
      </c>
      <c r="DA110" s="9" t="str">
        <f>_xll.SNL.Clients.Office.Excel.Functions.SPG(CX110, "SP_COUNTRY_NAME")</f>
        <v>#INVALID COMPANY ID</v>
      </c>
      <c r="DB110" t="s">
        <v>1259</v>
      </c>
      <c r="DC110">
        <v>4213239</v>
      </c>
      <c r="DD110" t="s">
        <v>346</v>
      </c>
      <c r="DE110" s="11">
        <v>0.05</v>
      </c>
      <c r="DF110" s="9" t="str">
        <f>_xll.SNL.Clients.Office.Excel.Functions.SPG(DC110, "SP_COUNTRY_NAME")</f>
        <v>South Africa</v>
      </c>
      <c r="DK110" s="9" t="str">
        <f>_xll.SNL.Clients.Office.Excel.Functions.SPG(DH110, "SP_COUNTRY_NAME")</f>
        <v>#INVALID COMPANY ID</v>
      </c>
      <c r="DL110" t="s">
        <v>1259</v>
      </c>
      <c r="DM110">
        <v>4213239</v>
      </c>
      <c r="DN110" t="s">
        <v>346</v>
      </c>
      <c r="DO110" s="11">
        <v>0.05</v>
      </c>
      <c r="DP110" s="9" t="str">
        <f>_xll.SNL.Clients.Office.Excel.Functions.SPG(DM110, "SP_COUNTRY_NAME")</f>
        <v>South Africa</v>
      </c>
      <c r="DU110" s="9" t="str">
        <f>_xll.SNL.Clients.Office.Excel.Functions.SPG(DR110, "SP_COUNTRY_NAME")</f>
        <v>#INVALID COMPANY ID</v>
      </c>
      <c r="DV110" t="s">
        <v>435</v>
      </c>
      <c r="DW110">
        <v>109789</v>
      </c>
      <c r="DX110" t="s">
        <v>346</v>
      </c>
      <c r="DY110" s="11">
        <v>0</v>
      </c>
      <c r="DZ110" s="9" t="str">
        <f>_xll.SNL.Clients.Office.Excel.Functions.SPG(DW110, "SP_COUNTRY_NAME")</f>
        <v>USA</v>
      </c>
      <c r="EA110" t="s">
        <v>1642</v>
      </c>
      <c r="EB110">
        <v>4339252</v>
      </c>
      <c r="EC110" t="s">
        <v>346</v>
      </c>
      <c r="ED110" s="11">
        <v>0.06</v>
      </c>
      <c r="EE110" s="9" t="str">
        <f>_xll.SNL.Clients.Office.Excel.Functions.SPG(EB110, "SP_COUNTRY_NAME")</f>
        <v>Brazil</v>
      </c>
      <c r="EF110" t="s">
        <v>1259</v>
      </c>
      <c r="EG110">
        <v>4213239</v>
      </c>
      <c r="EH110" t="s">
        <v>346</v>
      </c>
      <c r="EI110" s="11">
        <v>0.05</v>
      </c>
      <c r="EJ110" s="9" t="str">
        <f>_xll.SNL.Clients.Office.Excel.Functions.SPG(EG110, "SP_COUNTRY_NAME")</f>
        <v>South Africa</v>
      </c>
      <c r="EO110" s="9" t="str">
        <f>_xll.SNL.Clients.Office.Excel.Functions.SPG(EL110, "SP_COUNTRY_NAME")</f>
        <v>#INVALID COMPANY ID</v>
      </c>
      <c r="EP110" t="s">
        <v>720</v>
      </c>
      <c r="EQ110">
        <v>4139225</v>
      </c>
      <c r="ER110" t="s">
        <v>346</v>
      </c>
      <c r="ES110" s="11">
        <v>0</v>
      </c>
      <c r="ET110" s="9" t="str">
        <f>_xll.SNL.Clients.Office.Excel.Functions.SPG(EQ110, "SP_COUNTRY_NAME")</f>
        <v>China</v>
      </c>
      <c r="EY110" s="9" t="str">
        <f>_xll.SNL.Clients.Office.Excel.Functions.SPG(EV110, "SP_COUNTRY_NAME")</f>
        <v>#INVALID COMPANY ID</v>
      </c>
      <c r="FD110" s="9" t="str">
        <f>_xll.SNL.Clients.Office.Excel.Functions.SPG(FA110, "SP_COUNTRY_NAME")</f>
        <v>#INVALID COMPANY ID</v>
      </c>
      <c r="FI110" s="9" t="str">
        <f>_xll.SNL.Clients.Office.Excel.Functions.SPG(FF110, "SP_COUNTRY_NAME")</f>
        <v>#INVALID COMPANY ID</v>
      </c>
      <c r="FJ110" t="s">
        <v>609</v>
      </c>
      <c r="FK110">
        <v>4975908</v>
      </c>
      <c r="FL110" t="s">
        <v>346</v>
      </c>
      <c r="FM110" s="11">
        <v>0</v>
      </c>
      <c r="FN110" s="9" t="str">
        <f>_xll.SNL.Clients.Office.Excel.Functions.SPG(FK110, "SP_COUNTRY_NAME")</f>
        <v>USA</v>
      </c>
      <c r="FS110" s="9" t="str">
        <f>_xll.SNL.Clients.Office.Excel.Functions.SPG(FP110, "SP_COUNTRY_NAME")</f>
        <v>#INVALID COMPANY ID</v>
      </c>
      <c r="FX110" s="9" t="str">
        <f>_xll.SNL.Clients.Office.Excel.Functions.SPG(FU110, "SP_COUNTRY_NAME")</f>
        <v>#INVALID COMPANY ID</v>
      </c>
      <c r="FY110" t="s">
        <v>1259</v>
      </c>
      <c r="FZ110">
        <v>4213239</v>
      </c>
      <c r="GA110" t="s">
        <v>346</v>
      </c>
      <c r="GB110" s="11">
        <v>0.05</v>
      </c>
      <c r="GC110" s="9" t="str">
        <f>_xll.SNL.Clients.Office.Excel.Functions.SPG(FZ110, "SP_COUNTRY_NAME")</f>
        <v>South Africa</v>
      </c>
      <c r="GH110" s="9" t="str">
        <f>_xll.SNL.Clients.Office.Excel.Functions.SPG(GE110, "SP_COUNTRY_NAME")</f>
        <v>#INVALID COMPANY ID</v>
      </c>
      <c r="GM110" s="9" t="str">
        <f>_xll.SNL.Clients.Office.Excel.Functions.SPG(GJ110, "SP_COUNTRY_NAME")</f>
        <v>#INVALID COMPANY ID</v>
      </c>
      <c r="GN110" t="s">
        <v>609</v>
      </c>
      <c r="GO110">
        <v>4975908</v>
      </c>
      <c r="GP110" t="s">
        <v>346</v>
      </c>
      <c r="GQ110" s="11">
        <v>0</v>
      </c>
      <c r="GR110" s="9" t="str">
        <f>_xll.SNL.Clients.Office.Excel.Functions.SPG(GO110, "SP_COUNTRY_NAME")</f>
        <v>USA</v>
      </c>
      <c r="GS110" t="s">
        <v>687</v>
      </c>
      <c r="GT110">
        <v>4368709</v>
      </c>
      <c r="GU110" t="s">
        <v>346</v>
      </c>
      <c r="GV110" s="11">
        <v>0.02</v>
      </c>
      <c r="GW110" s="9" t="str">
        <f>_xll.SNL.Clients.Office.Excel.Functions.SPG(GT110, "SP_COUNTRY_NAME")</f>
        <v>China</v>
      </c>
      <c r="GX110" t="s">
        <v>1642</v>
      </c>
      <c r="GY110">
        <v>4339252</v>
      </c>
      <c r="GZ110" t="s">
        <v>346</v>
      </c>
      <c r="HA110" s="11">
        <v>0.06</v>
      </c>
      <c r="HB110" s="9" t="str">
        <f>_xll.SNL.Clients.Office.Excel.Functions.SPG(GY110, "SP_COUNTRY_NAME")</f>
        <v>Brazil</v>
      </c>
      <c r="HG110" s="9" t="str">
        <f>_xll.SNL.Clients.Office.Excel.Functions.SPG(HD110, "SP_COUNTRY_NAME")</f>
        <v>#INVALID COMPANY ID</v>
      </c>
    </row>
    <row r="111" spans="5:215" x14ac:dyDescent="0.35">
      <c r="E111" s="9" t="str">
        <f>_xll.SNL.Clients.Office.Excel.Functions.SPG(B111, "SP_COUNTRY_NAME")</f>
        <v>#INVALID COMPANY ID</v>
      </c>
      <c r="F111" t="s">
        <v>499</v>
      </c>
      <c r="G111">
        <v>4073190</v>
      </c>
      <c r="H111" t="s">
        <v>346</v>
      </c>
      <c r="I111" s="11">
        <v>0.01</v>
      </c>
      <c r="J111" s="9" t="str">
        <f>_xll.SNL.Clients.Office.Excel.Functions.SPG(G111, "SP_COUNTRY_NAME")</f>
        <v>USA</v>
      </c>
      <c r="K111" t="s">
        <v>682</v>
      </c>
      <c r="L111">
        <v>13690315</v>
      </c>
      <c r="M111" t="s">
        <v>346</v>
      </c>
      <c r="N111" s="11">
        <v>0</v>
      </c>
      <c r="O111" s="9" t="str">
        <f>_xll.SNL.Clients.Office.Excel.Functions.SPG(L111, "SP_COUNTRY_NAME")</f>
        <v>USA</v>
      </c>
      <c r="T111" s="9" t="str">
        <f>_xll.SNL.Clients.Office.Excel.Functions.SPG(Q111, "SP_COUNTRY_NAME")</f>
        <v>#INVALID COMPANY ID</v>
      </c>
      <c r="U111" t="s">
        <v>681</v>
      </c>
      <c r="V111">
        <v>5866754</v>
      </c>
      <c r="W111" t="s">
        <v>346</v>
      </c>
      <c r="X111" s="11">
        <v>0.03</v>
      </c>
      <c r="Y111" s="9" t="str">
        <f>_xll.SNL.Clients.Office.Excel.Functions.SPG(V111, "SP_COUNTRY_NAME")</f>
        <v>China</v>
      </c>
      <c r="Z111" t="s">
        <v>682</v>
      </c>
      <c r="AA111">
        <v>13690315</v>
      </c>
      <c r="AB111" t="s">
        <v>346</v>
      </c>
      <c r="AC111" s="11">
        <v>0</v>
      </c>
      <c r="AD111" s="9" t="str">
        <f>_xll.SNL.Clients.Office.Excel.Functions.SPG(AA111, "SP_COUNTRY_NAME")</f>
        <v>USA</v>
      </c>
      <c r="AE111" t="s">
        <v>425</v>
      </c>
      <c r="AF111">
        <v>4137704</v>
      </c>
      <c r="AG111" t="s">
        <v>346</v>
      </c>
      <c r="AH111" s="11">
        <v>0.01</v>
      </c>
      <c r="AI111" s="9" t="str">
        <f>_xll.SNL.Clients.Office.Excel.Functions.SPG(AF111, "SP_COUNTRY_NAME")</f>
        <v>Japan</v>
      </c>
      <c r="AN111" s="9" t="str">
        <f>_xll.SNL.Clients.Office.Excel.Functions.SPG(AK111, "SP_COUNTRY_NAME")</f>
        <v>#INVALID COMPANY ID</v>
      </c>
      <c r="AO111" t="s">
        <v>482</v>
      </c>
      <c r="AP111">
        <v>4048742</v>
      </c>
      <c r="AQ111" t="s">
        <v>346</v>
      </c>
      <c r="AR111" s="11">
        <v>0.02</v>
      </c>
      <c r="AS111" s="9" t="str">
        <f>_xll.SNL.Clients.Office.Excel.Functions.SPG(AP111, "SP_COUNTRY_NAME")</f>
        <v>Canada</v>
      </c>
      <c r="AX111" s="9" t="str">
        <f>_xll.SNL.Clients.Office.Excel.Functions.SPG(AU111, "SP_COUNTRY_NAME")</f>
        <v>#INVALID COMPANY ID</v>
      </c>
      <c r="BC111" s="9" t="str">
        <f>_xll.SNL.Clients.Office.Excel.Functions.SPG(AZ111, "SP_COUNTRY_NAME")</f>
        <v>#INVALID COMPANY ID</v>
      </c>
      <c r="BD111" t="s">
        <v>438</v>
      </c>
      <c r="BE111">
        <v>4040817</v>
      </c>
      <c r="BF111" t="s">
        <v>364</v>
      </c>
      <c r="BG111" s="11">
        <v>0.05</v>
      </c>
      <c r="BH111" s="9" t="str">
        <f>_xll.SNL.Clients.Office.Excel.Functions.SPG(BE111, "SP_COUNTRY_NAME")</f>
        <v>United Kingdom</v>
      </c>
      <c r="BI111" t="s">
        <v>509</v>
      </c>
      <c r="BJ111">
        <v>4226520</v>
      </c>
      <c r="BK111" t="s">
        <v>346</v>
      </c>
      <c r="BL111" s="11">
        <v>0.01</v>
      </c>
      <c r="BM111" s="9" t="str">
        <f>_xll.SNL.Clients.Office.Excel.Functions.SPG(BJ111, "SP_COUNTRY_NAME")</f>
        <v>Canada</v>
      </c>
      <c r="BN111" t="s">
        <v>727</v>
      </c>
      <c r="BO111">
        <v>15508432</v>
      </c>
      <c r="BP111" t="s">
        <v>346</v>
      </c>
      <c r="BQ111" s="11">
        <v>0.01</v>
      </c>
      <c r="BR111" s="9" t="str">
        <f>_xll.SNL.Clients.Office.Excel.Functions.SPG(BO111, "SP_COUNTRY_NAME")</f>
        <v>China</v>
      </c>
      <c r="BS111" t="s">
        <v>965</v>
      </c>
      <c r="BT111">
        <v>4119540</v>
      </c>
      <c r="BU111" t="s">
        <v>346</v>
      </c>
      <c r="BV111" s="11">
        <v>0.03</v>
      </c>
      <c r="BW111" s="9" t="str">
        <f>_xll.SNL.Clients.Office.Excel.Functions.SPG(BT111, "SP_COUNTRY_NAME")</f>
        <v>USA</v>
      </c>
      <c r="BX111" t="s">
        <v>681</v>
      </c>
      <c r="BY111">
        <v>5866754</v>
      </c>
      <c r="BZ111" t="s">
        <v>346</v>
      </c>
      <c r="CA111" s="11">
        <v>0.03</v>
      </c>
      <c r="CB111" s="9" t="str">
        <f>_xll.SNL.Clients.Office.Excel.Functions.SPG(BY111, "SP_COUNTRY_NAME")</f>
        <v>China</v>
      </c>
      <c r="CC111" t="s">
        <v>529</v>
      </c>
      <c r="CD111">
        <v>110570</v>
      </c>
      <c r="CE111" t="s">
        <v>346</v>
      </c>
      <c r="CF111" s="11">
        <v>0.05</v>
      </c>
      <c r="CG111" s="9" t="str">
        <f>_xll.SNL.Clients.Office.Excel.Functions.SPG(CD111, "SP_COUNTRY_NAME")</f>
        <v>USA</v>
      </c>
      <c r="CH111" t="s">
        <v>482</v>
      </c>
      <c r="CI111">
        <v>4048742</v>
      </c>
      <c r="CJ111" t="s">
        <v>346</v>
      </c>
      <c r="CK111" s="11">
        <v>0.02</v>
      </c>
      <c r="CL111" s="9" t="str">
        <f>_xll.SNL.Clients.Office.Excel.Functions.SPG(CI111, "SP_COUNTRY_NAME")</f>
        <v>Canada</v>
      </c>
      <c r="CM111" t="s">
        <v>1699</v>
      </c>
      <c r="CN111">
        <v>4562926</v>
      </c>
      <c r="CO111" t="s">
        <v>364</v>
      </c>
      <c r="CP111" s="11">
        <v>0.04</v>
      </c>
      <c r="CQ111" s="9" t="str">
        <f>_xll.SNL.Clients.Office.Excel.Functions.SPG(CN111, "SP_COUNTRY_NAME")</f>
        <v>USA</v>
      </c>
      <c r="CV111" s="9" t="str">
        <f>_xll.SNL.Clients.Office.Excel.Functions.SPG(CS111, "SP_COUNTRY_NAME")</f>
        <v>#INVALID COMPANY ID</v>
      </c>
      <c r="DA111" s="9" t="str">
        <f>_xll.SNL.Clients.Office.Excel.Functions.SPG(CX111, "SP_COUNTRY_NAME")</f>
        <v>#INVALID COMPANY ID</v>
      </c>
      <c r="DB111" t="s">
        <v>438</v>
      </c>
      <c r="DC111">
        <v>4040817</v>
      </c>
      <c r="DD111" t="s">
        <v>364</v>
      </c>
      <c r="DE111" s="11">
        <v>0.05</v>
      </c>
      <c r="DF111" s="9" t="str">
        <f>_xll.SNL.Clients.Office.Excel.Functions.SPG(DC111, "SP_COUNTRY_NAME")</f>
        <v>United Kingdom</v>
      </c>
      <c r="DK111" s="9" t="str">
        <f>_xll.SNL.Clients.Office.Excel.Functions.SPG(DH111, "SP_COUNTRY_NAME")</f>
        <v>#INVALID COMPANY ID</v>
      </c>
      <c r="DL111" t="s">
        <v>438</v>
      </c>
      <c r="DM111">
        <v>4040817</v>
      </c>
      <c r="DN111" t="s">
        <v>364</v>
      </c>
      <c r="DO111" s="11">
        <v>0.05</v>
      </c>
      <c r="DP111" s="9" t="str">
        <f>_xll.SNL.Clients.Office.Excel.Functions.SPG(DM111, "SP_COUNTRY_NAME")</f>
        <v>United Kingdom</v>
      </c>
      <c r="DU111" s="9" t="str">
        <f>_xll.SNL.Clients.Office.Excel.Functions.SPG(DR111, "SP_COUNTRY_NAME")</f>
        <v>#INVALID COMPANY ID</v>
      </c>
      <c r="DV111" t="s">
        <v>1212</v>
      </c>
      <c r="DW111">
        <v>4325140</v>
      </c>
      <c r="DX111" t="s">
        <v>346</v>
      </c>
      <c r="DY111" s="11">
        <v>0</v>
      </c>
      <c r="DZ111" s="9" t="str">
        <f>_xll.SNL.Clients.Office.Excel.Functions.SPG(DW111, "SP_COUNTRY_NAME")</f>
        <v>Liechtenstein</v>
      </c>
      <c r="EA111" t="s">
        <v>529</v>
      </c>
      <c r="EB111">
        <v>110570</v>
      </c>
      <c r="EC111" t="s">
        <v>346</v>
      </c>
      <c r="ED111" s="11">
        <v>0.05</v>
      </c>
      <c r="EE111" s="9" t="str">
        <f>_xll.SNL.Clients.Office.Excel.Functions.SPG(EB111, "SP_COUNTRY_NAME")</f>
        <v>USA</v>
      </c>
      <c r="EF111" t="s">
        <v>438</v>
      </c>
      <c r="EG111">
        <v>4040817</v>
      </c>
      <c r="EH111" t="s">
        <v>364</v>
      </c>
      <c r="EI111" s="11">
        <v>0.05</v>
      </c>
      <c r="EJ111" s="9" t="str">
        <f>_xll.SNL.Clients.Office.Excel.Functions.SPG(EG111, "SP_COUNTRY_NAME")</f>
        <v>United Kingdom</v>
      </c>
      <c r="EO111" s="9" t="str">
        <f>_xll.SNL.Clients.Office.Excel.Functions.SPG(EL111, "SP_COUNTRY_NAME")</f>
        <v>#INVALID COMPANY ID</v>
      </c>
      <c r="EP111" t="s">
        <v>2133</v>
      </c>
      <c r="EQ111">
        <v>5759727</v>
      </c>
      <c r="ER111" t="s">
        <v>346</v>
      </c>
      <c r="ES111" s="11">
        <v>0</v>
      </c>
      <c r="ET111" s="9" t="str">
        <f>_xll.SNL.Clients.Office.Excel.Functions.SPG(EQ111, "SP_COUNTRY_NAME")</f>
        <v>Hong Kong</v>
      </c>
      <c r="EY111" s="9" t="str">
        <f>_xll.SNL.Clients.Office.Excel.Functions.SPG(EV111, "SP_COUNTRY_NAME")</f>
        <v>#INVALID COMPANY ID</v>
      </c>
      <c r="FD111" s="9" t="str">
        <f>_xll.SNL.Clients.Office.Excel.Functions.SPG(FA111, "SP_COUNTRY_NAME")</f>
        <v>#INVALID COMPANY ID</v>
      </c>
      <c r="FI111" s="9" t="str">
        <f>_xll.SNL.Clients.Office.Excel.Functions.SPG(FF111, "SP_COUNTRY_NAME")</f>
        <v>#INVALID COMPANY ID</v>
      </c>
      <c r="FJ111" t="s">
        <v>450</v>
      </c>
      <c r="FK111">
        <v>4134083</v>
      </c>
      <c r="FL111" t="s">
        <v>346</v>
      </c>
      <c r="FM111" s="11">
        <v>0</v>
      </c>
      <c r="FN111" s="9" t="str">
        <f>_xll.SNL.Clients.Office.Excel.Functions.SPG(FK111, "SP_COUNTRY_NAME")</f>
        <v>USA</v>
      </c>
      <c r="FS111" s="9" t="str">
        <f>_xll.SNL.Clients.Office.Excel.Functions.SPG(FP111, "SP_COUNTRY_NAME")</f>
        <v>#INVALID COMPANY ID</v>
      </c>
      <c r="FX111" s="9" t="str">
        <f>_xll.SNL.Clients.Office.Excel.Functions.SPG(FU111, "SP_COUNTRY_NAME")</f>
        <v>#INVALID COMPANY ID</v>
      </c>
      <c r="FY111" t="s">
        <v>438</v>
      </c>
      <c r="FZ111">
        <v>4040817</v>
      </c>
      <c r="GA111" t="s">
        <v>364</v>
      </c>
      <c r="GB111" s="11">
        <v>0.05</v>
      </c>
      <c r="GC111" s="9" t="str">
        <f>_xll.SNL.Clients.Office.Excel.Functions.SPG(FZ111, "SP_COUNTRY_NAME")</f>
        <v>United Kingdom</v>
      </c>
      <c r="GH111" s="9" t="str">
        <f>_xll.SNL.Clients.Office.Excel.Functions.SPG(GE111, "SP_COUNTRY_NAME")</f>
        <v>#INVALID COMPANY ID</v>
      </c>
      <c r="GM111" s="9" t="str">
        <f>_xll.SNL.Clients.Office.Excel.Functions.SPG(GJ111, "SP_COUNTRY_NAME")</f>
        <v>#INVALID COMPANY ID</v>
      </c>
      <c r="GN111" t="s">
        <v>450</v>
      </c>
      <c r="GO111">
        <v>4134083</v>
      </c>
      <c r="GP111" t="s">
        <v>346</v>
      </c>
      <c r="GQ111" s="11">
        <v>0</v>
      </c>
      <c r="GR111" s="9" t="str">
        <f>_xll.SNL.Clients.Office.Excel.Functions.SPG(GO111, "SP_COUNTRY_NAME")</f>
        <v>USA</v>
      </c>
      <c r="GS111" t="s">
        <v>727</v>
      </c>
      <c r="GT111">
        <v>15508432</v>
      </c>
      <c r="GU111" t="s">
        <v>346</v>
      </c>
      <c r="GV111" s="11">
        <v>0.01</v>
      </c>
      <c r="GW111" s="9" t="str">
        <f>_xll.SNL.Clients.Office.Excel.Functions.SPG(GT111, "SP_COUNTRY_NAME")</f>
        <v>China</v>
      </c>
      <c r="GX111" t="s">
        <v>529</v>
      </c>
      <c r="GY111">
        <v>110570</v>
      </c>
      <c r="GZ111" t="s">
        <v>346</v>
      </c>
      <c r="HA111" s="11">
        <v>0.05</v>
      </c>
      <c r="HB111" s="9" t="str">
        <f>_xll.SNL.Clients.Office.Excel.Functions.SPG(GY111, "SP_COUNTRY_NAME")</f>
        <v>USA</v>
      </c>
      <c r="HG111" s="9" t="str">
        <f>_xll.SNL.Clients.Office.Excel.Functions.SPG(HD111, "SP_COUNTRY_NAME")</f>
        <v>#INVALID COMPANY ID</v>
      </c>
    </row>
    <row r="112" spans="5:215" x14ac:dyDescent="0.35">
      <c r="E112" s="9" t="str">
        <f>_xll.SNL.Clients.Office.Excel.Functions.SPG(B112, "SP_COUNTRY_NAME")</f>
        <v>#INVALID COMPANY ID</v>
      </c>
      <c r="F112" t="s">
        <v>500</v>
      </c>
      <c r="G112">
        <v>4048185</v>
      </c>
      <c r="H112" t="s">
        <v>346</v>
      </c>
      <c r="I112" s="11">
        <v>0.01</v>
      </c>
      <c r="J112" s="9" t="str">
        <f>_xll.SNL.Clients.Office.Excel.Functions.SPG(G112, "SP_COUNTRY_NAME")</f>
        <v>USA</v>
      </c>
      <c r="K112" t="s">
        <v>453</v>
      </c>
      <c r="L112">
        <v>4318598</v>
      </c>
      <c r="M112" t="s">
        <v>346</v>
      </c>
      <c r="N112" s="11">
        <v>0</v>
      </c>
      <c r="O112" s="9" t="str">
        <f>_xll.SNL.Clients.Office.Excel.Functions.SPG(L112, "SP_COUNTRY_NAME")</f>
        <v>USA</v>
      </c>
      <c r="T112" s="9" t="str">
        <f>_xll.SNL.Clients.Office.Excel.Functions.SPG(Q112, "SP_COUNTRY_NAME")</f>
        <v>#INVALID COMPANY ID</v>
      </c>
      <c r="U112" t="s">
        <v>399</v>
      </c>
      <c r="V112">
        <v>4026948</v>
      </c>
      <c r="W112" t="s">
        <v>346</v>
      </c>
      <c r="X112" s="11">
        <v>0.03</v>
      </c>
      <c r="Y112" s="9" t="str">
        <f>_xll.SNL.Clients.Office.Excel.Functions.SPG(V112, "SP_COUNTRY_NAME")</f>
        <v>France</v>
      </c>
      <c r="Z112" t="s">
        <v>453</v>
      </c>
      <c r="AA112">
        <v>4318598</v>
      </c>
      <c r="AB112" t="s">
        <v>346</v>
      </c>
      <c r="AC112" s="11">
        <v>0</v>
      </c>
      <c r="AD112" s="9" t="str">
        <f>_xll.SNL.Clients.Office.Excel.Functions.SPG(AA112, "SP_COUNTRY_NAME")</f>
        <v>USA</v>
      </c>
      <c r="AE112" t="s">
        <v>677</v>
      </c>
      <c r="AF112">
        <v>4345260</v>
      </c>
      <c r="AG112" t="s">
        <v>346</v>
      </c>
      <c r="AH112" s="11">
        <v>0.01</v>
      </c>
      <c r="AI112" s="9" t="str">
        <f>_xll.SNL.Clients.Office.Excel.Functions.SPG(AF112, "SP_COUNTRY_NAME")</f>
        <v>China</v>
      </c>
      <c r="AN112" s="9" t="str">
        <f>_xll.SNL.Clients.Office.Excel.Functions.SPG(AK112, "SP_COUNTRY_NAME")</f>
        <v>#INVALID COMPANY ID</v>
      </c>
      <c r="AO112" t="s">
        <v>1289</v>
      </c>
      <c r="AP112">
        <v>5813354</v>
      </c>
      <c r="AQ112" t="s">
        <v>346</v>
      </c>
      <c r="AR112" s="11">
        <v>0.02</v>
      </c>
      <c r="AS112" s="9" t="str">
        <f>_xll.SNL.Clients.Office.Excel.Functions.SPG(AP112, "SP_COUNTRY_NAME")</f>
        <v>South Africa</v>
      </c>
      <c r="AX112" s="9" t="str">
        <f>_xll.SNL.Clients.Office.Excel.Functions.SPG(AU112, "SP_COUNTRY_NAME")</f>
        <v>#INVALID COMPANY ID</v>
      </c>
      <c r="BC112" s="9" t="str">
        <f>_xll.SNL.Clients.Office.Excel.Functions.SPG(AZ112, "SP_COUNTRY_NAME")</f>
        <v>#INVALID COMPANY ID</v>
      </c>
      <c r="BD112" t="s">
        <v>1059</v>
      </c>
      <c r="BE112">
        <v>4343939</v>
      </c>
      <c r="BF112" t="s">
        <v>300</v>
      </c>
      <c r="BG112" s="11">
        <v>0.05</v>
      </c>
      <c r="BH112" s="9" t="str">
        <f>_xll.SNL.Clients.Office.Excel.Functions.SPG(BE112, "SP_COUNTRY_NAME")</f>
        <v>USA</v>
      </c>
      <c r="BI112" t="s">
        <v>1017</v>
      </c>
      <c r="BJ112">
        <v>108500035</v>
      </c>
      <c r="BK112" t="s">
        <v>346</v>
      </c>
      <c r="BL112" s="11">
        <v>0.01</v>
      </c>
      <c r="BM112" s="9" t="str">
        <f>_xll.SNL.Clients.Office.Excel.Functions.SPG(BJ112, "SP_COUNTRY_NAME")</f>
        <v>France</v>
      </c>
      <c r="BN112" t="s">
        <v>481</v>
      </c>
      <c r="BO112">
        <v>4376121</v>
      </c>
      <c r="BP112" t="s">
        <v>346</v>
      </c>
      <c r="BQ112" s="11">
        <v>0.01</v>
      </c>
      <c r="BR112" s="9" t="str">
        <f>_xll.SNL.Clients.Office.Excel.Functions.SPG(BO112, "SP_COUNTRY_NAME")</f>
        <v>United Kingdom</v>
      </c>
      <c r="BS112" t="s">
        <v>678</v>
      </c>
      <c r="BT112">
        <v>5877799</v>
      </c>
      <c r="BU112" t="s">
        <v>346</v>
      </c>
      <c r="BV112" s="11">
        <v>0.03</v>
      </c>
      <c r="BW112" s="9" t="str">
        <f>_xll.SNL.Clients.Office.Excel.Functions.SPG(BT112, "SP_COUNTRY_NAME")</f>
        <v>China</v>
      </c>
      <c r="BX112" t="s">
        <v>399</v>
      </c>
      <c r="BY112">
        <v>4026948</v>
      </c>
      <c r="BZ112" t="s">
        <v>346</v>
      </c>
      <c r="CA112" s="11">
        <v>0.03</v>
      </c>
      <c r="CB112" s="9" t="str">
        <f>_xll.SNL.Clients.Office.Excel.Functions.SPG(BY112, "SP_COUNTRY_NAME")</f>
        <v>France</v>
      </c>
      <c r="CC112" t="s">
        <v>387</v>
      </c>
      <c r="CD112">
        <v>4020980</v>
      </c>
      <c r="CE112" t="s">
        <v>346</v>
      </c>
      <c r="CF112" s="11">
        <v>0.05</v>
      </c>
      <c r="CG112" s="9" t="str">
        <f>_xll.SNL.Clients.Office.Excel.Functions.SPG(CD112, "SP_COUNTRY_NAME")</f>
        <v>Bermuda</v>
      </c>
      <c r="CH112" t="s">
        <v>1289</v>
      </c>
      <c r="CI112">
        <v>5813354</v>
      </c>
      <c r="CJ112" t="s">
        <v>346</v>
      </c>
      <c r="CK112" s="11">
        <v>0.02</v>
      </c>
      <c r="CL112" s="9" t="str">
        <f>_xll.SNL.Clients.Office.Excel.Functions.SPG(CI112, "SP_COUNTRY_NAME")</f>
        <v>South Africa</v>
      </c>
      <c r="CM112" t="s">
        <v>484</v>
      </c>
      <c r="CN112">
        <v>110386</v>
      </c>
      <c r="CO112" t="s">
        <v>346</v>
      </c>
      <c r="CP112" s="11">
        <v>0.04</v>
      </c>
      <c r="CQ112" s="9" t="str">
        <f>_xll.SNL.Clients.Office.Excel.Functions.SPG(CN112, "SP_COUNTRY_NAME")</f>
        <v>USA</v>
      </c>
      <c r="CV112" s="9" t="str">
        <f>_xll.SNL.Clients.Office.Excel.Functions.SPG(CS112, "SP_COUNTRY_NAME")</f>
        <v>#INVALID COMPANY ID</v>
      </c>
      <c r="DA112" s="9" t="str">
        <f>_xll.SNL.Clients.Office.Excel.Functions.SPG(CX112, "SP_COUNTRY_NAME")</f>
        <v>#INVALID COMPANY ID</v>
      </c>
      <c r="DB112" t="s">
        <v>1059</v>
      </c>
      <c r="DC112">
        <v>4343939</v>
      </c>
      <c r="DD112" t="s">
        <v>300</v>
      </c>
      <c r="DE112" s="11">
        <v>0.05</v>
      </c>
      <c r="DF112" s="9" t="str">
        <f>_xll.SNL.Clients.Office.Excel.Functions.SPG(DC112, "SP_COUNTRY_NAME")</f>
        <v>USA</v>
      </c>
      <c r="DK112" s="9" t="str">
        <f>_xll.SNL.Clients.Office.Excel.Functions.SPG(DH112, "SP_COUNTRY_NAME")</f>
        <v>#INVALID COMPANY ID</v>
      </c>
      <c r="DL112" t="s">
        <v>1059</v>
      </c>
      <c r="DM112">
        <v>4343939</v>
      </c>
      <c r="DN112" t="s">
        <v>300</v>
      </c>
      <c r="DO112" s="11">
        <v>0.05</v>
      </c>
      <c r="DP112" s="9" t="str">
        <f>_xll.SNL.Clients.Office.Excel.Functions.SPG(DM112, "SP_COUNTRY_NAME")</f>
        <v>USA</v>
      </c>
      <c r="DU112" s="9" t="str">
        <f>_xll.SNL.Clients.Office.Excel.Functions.SPG(DR112, "SP_COUNTRY_NAME")</f>
        <v>#INVALID COMPANY ID</v>
      </c>
      <c r="DV112" t="s">
        <v>471</v>
      </c>
      <c r="DW112">
        <v>4102247</v>
      </c>
      <c r="DX112" t="s">
        <v>346</v>
      </c>
      <c r="DY112" s="11">
        <v>0</v>
      </c>
      <c r="DZ112" s="9" t="str">
        <f>_xll.SNL.Clients.Office.Excel.Functions.SPG(DW112, "SP_COUNTRY_NAME")</f>
        <v>USA</v>
      </c>
      <c r="EA112" t="s">
        <v>387</v>
      </c>
      <c r="EB112">
        <v>4020980</v>
      </c>
      <c r="EC112" t="s">
        <v>346</v>
      </c>
      <c r="ED112" s="11">
        <v>0.05</v>
      </c>
      <c r="EE112" s="9" t="str">
        <f>_xll.SNL.Clients.Office.Excel.Functions.SPG(EB112, "SP_COUNTRY_NAME")</f>
        <v>Bermuda</v>
      </c>
      <c r="EF112" t="s">
        <v>1059</v>
      </c>
      <c r="EG112">
        <v>4343939</v>
      </c>
      <c r="EH112" t="s">
        <v>300</v>
      </c>
      <c r="EI112" s="11">
        <v>0.05</v>
      </c>
      <c r="EJ112" s="9" t="str">
        <f>_xll.SNL.Clients.Office.Excel.Functions.SPG(EG112, "SP_COUNTRY_NAME")</f>
        <v>USA</v>
      </c>
      <c r="EO112" s="9" t="str">
        <f>_xll.SNL.Clients.Office.Excel.Functions.SPG(EL112, "SP_COUNTRY_NAME")</f>
        <v>#INVALID COMPANY ID</v>
      </c>
      <c r="EP112" t="s">
        <v>808</v>
      </c>
      <c r="EQ112">
        <v>4138631</v>
      </c>
      <c r="ER112" t="s">
        <v>346</v>
      </c>
      <c r="ES112" s="11">
        <v>0</v>
      </c>
      <c r="ET112" s="9" t="str">
        <f>_xll.SNL.Clients.Office.Excel.Functions.SPG(EQ112, "SP_COUNTRY_NAME")</f>
        <v>China</v>
      </c>
      <c r="EY112" s="9" t="str">
        <f>_xll.SNL.Clients.Office.Excel.Functions.SPG(EV112, "SP_COUNTRY_NAME")</f>
        <v>#INVALID COMPANY ID</v>
      </c>
      <c r="FD112" s="9" t="str">
        <f>_xll.SNL.Clients.Office.Excel.Functions.SPG(FA112, "SP_COUNTRY_NAME")</f>
        <v>#INVALID COMPANY ID</v>
      </c>
      <c r="FI112" s="9" t="str">
        <f>_xll.SNL.Clients.Office.Excel.Functions.SPG(FF112, "SP_COUNTRY_NAME")</f>
        <v>#INVALID COMPANY ID</v>
      </c>
      <c r="FJ112" t="s">
        <v>481</v>
      </c>
      <c r="FK112">
        <v>4376121</v>
      </c>
      <c r="FL112" t="s">
        <v>346</v>
      </c>
      <c r="FM112" s="11">
        <v>0</v>
      </c>
      <c r="FN112" s="9" t="str">
        <f>_xll.SNL.Clients.Office.Excel.Functions.SPG(FK112, "SP_COUNTRY_NAME")</f>
        <v>United Kingdom</v>
      </c>
      <c r="FS112" s="9" t="str">
        <f>_xll.SNL.Clients.Office.Excel.Functions.SPG(FP112, "SP_COUNTRY_NAME")</f>
        <v>#INVALID COMPANY ID</v>
      </c>
      <c r="FX112" s="9" t="str">
        <f>_xll.SNL.Clients.Office.Excel.Functions.SPG(FU112, "SP_COUNTRY_NAME")</f>
        <v>#INVALID COMPANY ID</v>
      </c>
      <c r="FY112" t="s">
        <v>1059</v>
      </c>
      <c r="FZ112">
        <v>4343939</v>
      </c>
      <c r="GA112" t="s">
        <v>300</v>
      </c>
      <c r="GB112" s="11">
        <v>0.05</v>
      </c>
      <c r="GC112" s="9" t="str">
        <f>_xll.SNL.Clients.Office.Excel.Functions.SPG(FZ112, "SP_COUNTRY_NAME")</f>
        <v>USA</v>
      </c>
      <c r="GH112" s="9" t="str">
        <f>_xll.SNL.Clients.Office.Excel.Functions.SPG(GE112, "SP_COUNTRY_NAME")</f>
        <v>#INVALID COMPANY ID</v>
      </c>
      <c r="GM112" s="9" t="str">
        <f>_xll.SNL.Clients.Office.Excel.Functions.SPG(GJ112, "SP_COUNTRY_NAME")</f>
        <v>#INVALID COMPANY ID</v>
      </c>
      <c r="GN112" t="s">
        <v>481</v>
      </c>
      <c r="GO112">
        <v>4376121</v>
      </c>
      <c r="GP112" t="s">
        <v>346</v>
      </c>
      <c r="GQ112" s="11">
        <v>0</v>
      </c>
      <c r="GR112" s="9" t="str">
        <f>_xll.SNL.Clients.Office.Excel.Functions.SPG(GO112, "SP_COUNTRY_NAME")</f>
        <v>United Kingdom</v>
      </c>
      <c r="GS112" t="s">
        <v>481</v>
      </c>
      <c r="GT112">
        <v>4376121</v>
      </c>
      <c r="GU112" t="s">
        <v>346</v>
      </c>
      <c r="GV112" s="11">
        <v>0.01</v>
      </c>
      <c r="GW112" s="9" t="str">
        <f>_xll.SNL.Clients.Office.Excel.Functions.SPG(GT112, "SP_COUNTRY_NAME")</f>
        <v>United Kingdom</v>
      </c>
      <c r="GX112" t="s">
        <v>387</v>
      </c>
      <c r="GY112">
        <v>4020980</v>
      </c>
      <c r="GZ112" t="s">
        <v>346</v>
      </c>
      <c r="HA112" s="11">
        <v>0.05</v>
      </c>
      <c r="HB112" s="9" t="str">
        <f>_xll.SNL.Clients.Office.Excel.Functions.SPG(GY112, "SP_COUNTRY_NAME")</f>
        <v>Bermuda</v>
      </c>
      <c r="HG112" s="9" t="str">
        <f>_xll.SNL.Clients.Office.Excel.Functions.SPG(HD112, "SP_COUNTRY_NAME")</f>
        <v>#INVALID COMPANY ID</v>
      </c>
    </row>
    <row r="113" spans="5:215" x14ac:dyDescent="0.35">
      <c r="E113" s="9" t="str">
        <f>_xll.SNL.Clients.Office.Excel.Functions.SPG(B113, "SP_COUNTRY_NAME")</f>
        <v>#INVALID COMPANY ID</v>
      </c>
      <c r="F113" t="s">
        <v>501</v>
      </c>
      <c r="G113">
        <v>111359</v>
      </c>
      <c r="H113" t="s">
        <v>346</v>
      </c>
      <c r="I113" s="11">
        <v>0.01</v>
      </c>
      <c r="J113" s="9" t="str">
        <f>_xll.SNL.Clients.Office.Excel.Functions.SPG(G113, "SP_COUNTRY_NAME")</f>
        <v>USA</v>
      </c>
      <c r="K113" t="s">
        <v>491</v>
      </c>
      <c r="L113">
        <v>106960</v>
      </c>
      <c r="M113" t="s">
        <v>346</v>
      </c>
      <c r="N113" s="11">
        <v>0</v>
      </c>
      <c r="O113" s="9" t="str">
        <f>_xll.SNL.Clients.Office.Excel.Functions.SPG(L113, "SP_COUNTRY_NAME")</f>
        <v>Canada</v>
      </c>
      <c r="T113" s="9" t="str">
        <f>_xll.SNL.Clients.Office.Excel.Functions.SPG(Q113, "SP_COUNTRY_NAME")</f>
        <v>#INVALID COMPANY ID</v>
      </c>
      <c r="U113" t="s">
        <v>554</v>
      </c>
      <c r="V113">
        <v>4408592</v>
      </c>
      <c r="W113" t="s">
        <v>346</v>
      </c>
      <c r="X113" s="11">
        <v>0.03</v>
      </c>
      <c r="Y113" s="9" t="str">
        <f>_xll.SNL.Clients.Office.Excel.Functions.SPG(V113, "SP_COUNTRY_NAME")</f>
        <v>Hong Kong</v>
      </c>
      <c r="Z113" t="s">
        <v>491</v>
      </c>
      <c r="AA113">
        <v>106960</v>
      </c>
      <c r="AB113" t="s">
        <v>346</v>
      </c>
      <c r="AC113" s="11">
        <v>0</v>
      </c>
      <c r="AD113" s="9" t="str">
        <f>_xll.SNL.Clients.Office.Excel.Functions.SPG(AA113, "SP_COUNTRY_NAME")</f>
        <v>Canada</v>
      </c>
      <c r="AE113" t="s">
        <v>528</v>
      </c>
      <c r="AF113">
        <v>4773761</v>
      </c>
      <c r="AG113" t="s">
        <v>346</v>
      </c>
      <c r="AH113" s="11">
        <v>0.01</v>
      </c>
      <c r="AI113" s="9" t="str">
        <f>_xll.SNL.Clients.Office.Excel.Functions.SPG(AF113, "SP_COUNTRY_NAME")</f>
        <v>Canada</v>
      </c>
      <c r="AN113" s="9" t="str">
        <f>_xll.SNL.Clients.Office.Excel.Functions.SPG(AK113, "SP_COUNTRY_NAME")</f>
        <v>#INVALID COMPANY ID</v>
      </c>
      <c r="AO113" t="s">
        <v>356</v>
      </c>
      <c r="AP113">
        <v>4578944</v>
      </c>
      <c r="AQ113" t="s">
        <v>346</v>
      </c>
      <c r="AR113" s="11">
        <v>0.02</v>
      </c>
      <c r="AS113" s="9" t="str">
        <f>_xll.SNL.Clients.Office.Excel.Functions.SPG(AP113, "SP_COUNTRY_NAME")</f>
        <v>Australia</v>
      </c>
      <c r="AX113" s="9" t="str">
        <f>_xll.SNL.Clients.Office.Excel.Functions.SPG(AU113, "SP_COUNTRY_NAME")</f>
        <v>#INVALID COMPANY ID</v>
      </c>
      <c r="BC113" s="9" t="str">
        <f>_xll.SNL.Clients.Office.Excel.Functions.SPG(AZ113, "SP_COUNTRY_NAME")</f>
        <v>#INVALID COMPANY ID</v>
      </c>
      <c r="BD113" t="s">
        <v>1420</v>
      </c>
      <c r="BE113">
        <v>4235357</v>
      </c>
      <c r="BF113" t="s">
        <v>705</v>
      </c>
      <c r="BG113" s="11">
        <v>0.05</v>
      </c>
      <c r="BH113" s="9" t="str">
        <f>_xll.SNL.Clients.Office.Excel.Functions.SPG(BE113, "SP_COUNTRY_NAME")</f>
        <v>Czechia</v>
      </c>
      <c r="BI113" t="s">
        <v>1492</v>
      </c>
      <c r="BJ113">
        <v>4229289</v>
      </c>
      <c r="BK113" t="s">
        <v>346</v>
      </c>
      <c r="BL113" s="11">
        <v>0.01</v>
      </c>
      <c r="BM113" s="9" t="str">
        <f>_xll.SNL.Clients.Office.Excel.Functions.SPG(BJ113, "SP_COUNTRY_NAME")</f>
        <v>Luxembourg</v>
      </c>
      <c r="BN113" t="s">
        <v>741</v>
      </c>
      <c r="BO113">
        <v>4404664</v>
      </c>
      <c r="BP113" t="s">
        <v>346</v>
      </c>
      <c r="BQ113" s="11">
        <v>0.01</v>
      </c>
      <c r="BR113" s="9" t="str">
        <f>_xll.SNL.Clients.Office.Excel.Functions.SPG(BO113, "SP_COUNTRY_NAME")</f>
        <v>China</v>
      </c>
      <c r="BS113" t="s">
        <v>747</v>
      </c>
      <c r="BT113">
        <v>4345964</v>
      </c>
      <c r="BU113" t="s">
        <v>346</v>
      </c>
      <c r="BV113" s="11">
        <v>0.03</v>
      </c>
      <c r="BW113" s="9" t="str">
        <f>_xll.SNL.Clients.Office.Excel.Functions.SPG(BT113, "SP_COUNTRY_NAME")</f>
        <v>China</v>
      </c>
      <c r="BX113" t="s">
        <v>554</v>
      </c>
      <c r="BY113">
        <v>4408592</v>
      </c>
      <c r="BZ113" t="s">
        <v>346</v>
      </c>
      <c r="CA113" s="11">
        <v>0.03</v>
      </c>
      <c r="CB113" s="9" t="str">
        <f>_xll.SNL.Clients.Office.Excel.Functions.SPG(BY113, "SP_COUNTRY_NAME")</f>
        <v>Hong Kong</v>
      </c>
      <c r="CC113" t="s">
        <v>961</v>
      </c>
      <c r="CD113">
        <v>4048349</v>
      </c>
      <c r="CE113" t="s">
        <v>346</v>
      </c>
      <c r="CF113" s="11">
        <v>0.05</v>
      </c>
      <c r="CG113" s="9" t="str">
        <f>_xll.SNL.Clients.Office.Excel.Functions.SPG(CD113, "SP_COUNTRY_NAME")</f>
        <v>United Kingdom</v>
      </c>
      <c r="CH113" t="s">
        <v>356</v>
      </c>
      <c r="CI113">
        <v>4578944</v>
      </c>
      <c r="CJ113" t="s">
        <v>346</v>
      </c>
      <c r="CK113" s="11">
        <v>0.02</v>
      </c>
      <c r="CL113" s="9" t="str">
        <f>_xll.SNL.Clients.Office.Excel.Functions.SPG(CI113, "SP_COUNTRY_NAME")</f>
        <v>Australia</v>
      </c>
      <c r="CM113" t="s">
        <v>1071</v>
      </c>
      <c r="CN113">
        <v>4118668</v>
      </c>
      <c r="CO113" t="s">
        <v>346</v>
      </c>
      <c r="CP113" s="11">
        <v>0.04</v>
      </c>
      <c r="CQ113" s="9" t="str">
        <f>_xll.SNL.Clients.Office.Excel.Functions.SPG(CN113, "SP_COUNTRY_NAME")</f>
        <v>USA</v>
      </c>
      <c r="CV113" s="9" t="str">
        <f>_xll.SNL.Clients.Office.Excel.Functions.SPG(CS113, "SP_COUNTRY_NAME")</f>
        <v>#INVALID COMPANY ID</v>
      </c>
      <c r="DA113" s="9" t="str">
        <f>_xll.SNL.Clients.Office.Excel.Functions.SPG(CX113, "SP_COUNTRY_NAME")</f>
        <v>#INVALID COMPANY ID</v>
      </c>
      <c r="DB113" t="s">
        <v>1420</v>
      </c>
      <c r="DC113">
        <v>4235357</v>
      </c>
      <c r="DD113" t="s">
        <v>705</v>
      </c>
      <c r="DE113" s="11">
        <v>0.05</v>
      </c>
      <c r="DF113" s="9" t="str">
        <f>_xll.SNL.Clients.Office.Excel.Functions.SPG(DC113, "SP_COUNTRY_NAME")</f>
        <v>Czechia</v>
      </c>
      <c r="DK113" s="9" t="str">
        <f>_xll.SNL.Clients.Office.Excel.Functions.SPG(DH113, "SP_COUNTRY_NAME")</f>
        <v>#INVALID COMPANY ID</v>
      </c>
      <c r="DL113" t="s">
        <v>1420</v>
      </c>
      <c r="DM113">
        <v>4235357</v>
      </c>
      <c r="DN113" t="s">
        <v>705</v>
      </c>
      <c r="DO113" s="11">
        <v>0.05</v>
      </c>
      <c r="DP113" s="9" t="str">
        <f>_xll.SNL.Clients.Office.Excel.Functions.SPG(DM113, "SP_COUNTRY_NAME")</f>
        <v>Czechia</v>
      </c>
      <c r="DU113" s="9" t="str">
        <f>_xll.SNL.Clients.Office.Excel.Functions.SPG(DR113, "SP_COUNTRY_NAME")</f>
        <v>#INVALID COMPANY ID</v>
      </c>
      <c r="DV113" t="s">
        <v>1213</v>
      </c>
      <c r="DW113">
        <v>5807015</v>
      </c>
      <c r="DX113" t="s">
        <v>346</v>
      </c>
      <c r="DY113" s="11">
        <v>0</v>
      </c>
      <c r="DZ113" s="9" t="str">
        <f>_xll.SNL.Clients.Office.Excel.Functions.SPG(DW113, "SP_COUNTRY_NAME")</f>
        <v>Hungary</v>
      </c>
      <c r="EA113" t="s">
        <v>961</v>
      </c>
      <c r="EB113">
        <v>4048349</v>
      </c>
      <c r="EC113" t="s">
        <v>346</v>
      </c>
      <c r="ED113" s="11">
        <v>0.05</v>
      </c>
      <c r="EE113" s="9" t="str">
        <f>_xll.SNL.Clients.Office.Excel.Functions.SPG(EB113, "SP_COUNTRY_NAME")</f>
        <v>United Kingdom</v>
      </c>
      <c r="EF113" t="s">
        <v>1420</v>
      </c>
      <c r="EG113">
        <v>4235357</v>
      </c>
      <c r="EH113" t="s">
        <v>705</v>
      </c>
      <c r="EI113" s="11">
        <v>0.05</v>
      </c>
      <c r="EJ113" s="9" t="str">
        <f>_xll.SNL.Clients.Office.Excel.Functions.SPG(EG113, "SP_COUNTRY_NAME")</f>
        <v>Czechia</v>
      </c>
      <c r="EO113" s="9" t="str">
        <f>_xll.SNL.Clients.Office.Excel.Functions.SPG(EL113, "SP_COUNTRY_NAME")</f>
        <v>#INVALID COMPANY ID</v>
      </c>
      <c r="EP113" t="s">
        <v>491</v>
      </c>
      <c r="EQ113">
        <v>106960</v>
      </c>
      <c r="ER113" t="s">
        <v>346</v>
      </c>
      <c r="ES113" s="11">
        <v>0</v>
      </c>
      <c r="ET113" s="9" t="str">
        <f>_xll.SNL.Clients.Office.Excel.Functions.SPG(EQ113, "SP_COUNTRY_NAME")</f>
        <v>Canada</v>
      </c>
      <c r="EY113" s="9" t="str">
        <f>_xll.SNL.Clients.Office.Excel.Functions.SPG(EV113, "SP_COUNTRY_NAME")</f>
        <v>#INVALID COMPANY ID</v>
      </c>
      <c r="FD113" s="9" t="str">
        <f>_xll.SNL.Clients.Office.Excel.Functions.SPG(FA113, "SP_COUNTRY_NAME")</f>
        <v>#INVALID COMPANY ID</v>
      </c>
      <c r="FI113" s="9" t="str">
        <f>_xll.SNL.Clients.Office.Excel.Functions.SPG(FF113, "SP_COUNTRY_NAME")</f>
        <v>#INVALID COMPANY ID</v>
      </c>
      <c r="FJ113" t="s">
        <v>544</v>
      </c>
      <c r="FK113">
        <v>5745911</v>
      </c>
      <c r="FL113" t="s">
        <v>369</v>
      </c>
      <c r="FM113" s="11">
        <v>0</v>
      </c>
      <c r="FN113" s="9" t="str">
        <f>_xll.SNL.Clients.Office.Excel.Functions.SPG(FK113, "SP_COUNTRY_NAME")</f>
        <v>Italy</v>
      </c>
      <c r="FS113" s="9" t="str">
        <f>_xll.SNL.Clients.Office.Excel.Functions.SPG(FP113, "SP_COUNTRY_NAME")</f>
        <v>#INVALID COMPANY ID</v>
      </c>
      <c r="FX113" s="9" t="str">
        <f>_xll.SNL.Clients.Office.Excel.Functions.SPG(FU113, "SP_COUNTRY_NAME")</f>
        <v>#INVALID COMPANY ID</v>
      </c>
      <c r="FY113" t="s">
        <v>1420</v>
      </c>
      <c r="FZ113">
        <v>4235357</v>
      </c>
      <c r="GA113" t="s">
        <v>705</v>
      </c>
      <c r="GB113" s="11">
        <v>0.05</v>
      </c>
      <c r="GC113" s="9" t="str">
        <f>_xll.SNL.Clients.Office.Excel.Functions.SPG(FZ113, "SP_COUNTRY_NAME")</f>
        <v>Czechia</v>
      </c>
      <c r="GH113" s="9" t="str">
        <f>_xll.SNL.Clients.Office.Excel.Functions.SPG(GE113, "SP_COUNTRY_NAME")</f>
        <v>#INVALID COMPANY ID</v>
      </c>
      <c r="GM113" s="9" t="str">
        <f>_xll.SNL.Clients.Office.Excel.Functions.SPG(GJ113, "SP_COUNTRY_NAME")</f>
        <v>#INVALID COMPANY ID</v>
      </c>
      <c r="GN113" t="s">
        <v>544</v>
      </c>
      <c r="GO113">
        <v>5745911</v>
      </c>
      <c r="GP113" t="s">
        <v>369</v>
      </c>
      <c r="GQ113" s="11">
        <v>0</v>
      </c>
      <c r="GR113" s="9" t="str">
        <f>_xll.SNL.Clients.Office.Excel.Functions.SPG(GO113, "SP_COUNTRY_NAME")</f>
        <v>Italy</v>
      </c>
      <c r="GS113" t="s">
        <v>741</v>
      </c>
      <c r="GT113">
        <v>4404664</v>
      </c>
      <c r="GU113" t="s">
        <v>346</v>
      </c>
      <c r="GV113" s="11">
        <v>0.01</v>
      </c>
      <c r="GW113" s="9" t="str">
        <f>_xll.SNL.Clients.Office.Excel.Functions.SPG(GT113, "SP_COUNTRY_NAME")</f>
        <v>China</v>
      </c>
      <c r="GX113" t="s">
        <v>961</v>
      </c>
      <c r="GY113">
        <v>4048349</v>
      </c>
      <c r="GZ113" t="s">
        <v>346</v>
      </c>
      <c r="HA113" s="11">
        <v>0.05</v>
      </c>
      <c r="HB113" s="9" t="str">
        <f>_xll.SNL.Clients.Office.Excel.Functions.SPG(GY113, "SP_COUNTRY_NAME")</f>
        <v>United Kingdom</v>
      </c>
      <c r="HG113" s="9" t="str">
        <f>_xll.SNL.Clients.Office.Excel.Functions.SPG(HD113, "SP_COUNTRY_NAME")</f>
        <v>#INVALID COMPANY ID</v>
      </c>
    </row>
    <row r="114" spans="5:215" x14ac:dyDescent="0.35">
      <c r="E114" s="9" t="str">
        <f>_xll.SNL.Clients.Office.Excel.Functions.SPG(B114, "SP_COUNTRY_NAME")</f>
        <v>#INVALID COMPANY ID</v>
      </c>
      <c r="F114" t="s">
        <v>502</v>
      </c>
      <c r="G114">
        <v>4225041</v>
      </c>
      <c r="H114" t="s">
        <v>346</v>
      </c>
      <c r="I114" s="11">
        <v>0.01</v>
      </c>
      <c r="J114" s="9" t="str">
        <f>_xll.SNL.Clients.Office.Excel.Functions.SPG(G114, "SP_COUNTRY_NAME")</f>
        <v>Ireland</v>
      </c>
      <c r="K114" t="s">
        <v>466</v>
      </c>
      <c r="L114">
        <v>111267</v>
      </c>
      <c r="M114" t="s">
        <v>346</v>
      </c>
      <c r="N114" s="11">
        <v>0</v>
      </c>
      <c r="O114" s="9" t="str">
        <f>_xll.SNL.Clients.Office.Excel.Functions.SPG(L114, "SP_COUNTRY_NAME")</f>
        <v>United Kingdom</v>
      </c>
      <c r="T114" s="9" t="str">
        <f>_xll.SNL.Clients.Office.Excel.Functions.SPG(Q114, "SP_COUNTRY_NAME")</f>
        <v>#INVALID COMPANY ID</v>
      </c>
      <c r="U114" t="s">
        <v>481</v>
      </c>
      <c r="V114">
        <v>4376121</v>
      </c>
      <c r="W114" t="s">
        <v>346</v>
      </c>
      <c r="X114" s="11">
        <v>0.03</v>
      </c>
      <c r="Y114" s="9" t="str">
        <f>_xll.SNL.Clients.Office.Excel.Functions.SPG(V114, "SP_COUNTRY_NAME")</f>
        <v>United Kingdom</v>
      </c>
      <c r="Z114" t="s">
        <v>466</v>
      </c>
      <c r="AA114">
        <v>111267</v>
      </c>
      <c r="AB114" t="s">
        <v>346</v>
      </c>
      <c r="AC114" s="11">
        <v>0</v>
      </c>
      <c r="AD114" s="9" t="str">
        <f>_xll.SNL.Clients.Office.Excel.Functions.SPG(AA114, "SP_COUNTRY_NAME")</f>
        <v>United Kingdom</v>
      </c>
      <c r="AE114" t="s">
        <v>1139</v>
      </c>
      <c r="AF114">
        <v>9826610</v>
      </c>
      <c r="AG114" t="s">
        <v>346</v>
      </c>
      <c r="AH114" s="11">
        <v>0.01</v>
      </c>
      <c r="AI114" s="9" t="str">
        <f>_xll.SNL.Clients.Office.Excel.Functions.SPG(AF114, "SP_COUNTRY_NAME")</f>
        <v>United Kingdom</v>
      </c>
      <c r="AN114" s="9" t="str">
        <f>_xll.SNL.Clients.Office.Excel.Functions.SPG(AK114, "SP_COUNTRY_NAME")</f>
        <v>#INVALID COMPANY ID</v>
      </c>
      <c r="AO114" t="s">
        <v>1290</v>
      </c>
      <c r="AP114">
        <v>4275763</v>
      </c>
      <c r="AQ114" t="s">
        <v>346</v>
      </c>
      <c r="AR114" s="11">
        <v>0.02</v>
      </c>
      <c r="AS114" s="9" t="str">
        <f>_xll.SNL.Clients.Office.Excel.Functions.SPG(AP114, "SP_COUNTRY_NAME")</f>
        <v>South Africa</v>
      </c>
      <c r="AX114" s="9" t="str">
        <f>_xll.SNL.Clients.Office.Excel.Functions.SPG(AU114, "SP_COUNTRY_NAME")</f>
        <v>#INVALID COMPANY ID</v>
      </c>
      <c r="BC114" s="9" t="str">
        <f>_xll.SNL.Clients.Office.Excel.Functions.SPG(AZ114, "SP_COUNTRY_NAME")</f>
        <v>#INVALID COMPANY ID</v>
      </c>
      <c r="BD114" t="s">
        <v>439</v>
      </c>
      <c r="BE114">
        <v>4757367</v>
      </c>
      <c r="BF114" t="s">
        <v>363</v>
      </c>
      <c r="BG114" s="11">
        <v>0.05</v>
      </c>
      <c r="BH114" s="9" t="str">
        <f>_xll.SNL.Clients.Office.Excel.Functions.SPG(BE114, "SP_COUNTRY_NAME")</f>
        <v>Australia</v>
      </c>
      <c r="BI114" t="s">
        <v>488</v>
      </c>
      <c r="BJ114">
        <v>4087052</v>
      </c>
      <c r="BK114" t="s">
        <v>346</v>
      </c>
      <c r="BL114" s="11">
        <v>0.01</v>
      </c>
      <c r="BM114" s="9" t="str">
        <f>_xll.SNL.Clients.Office.Excel.Functions.SPG(BJ114, "SP_COUNTRY_NAME")</f>
        <v>USA</v>
      </c>
      <c r="BN114" t="s">
        <v>551</v>
      </c>
      <c r="BO114">
        <v>4137681</v>
      </c>
      <c r="BP114" t="s">
        <v>346</v>
      </c>
      <c r="BQ114" s="11">
        <v>0.01</v>
      </c>
      <c r="BR114" s="9" t="str">
        <f>_xll.SNL.Clients.Office.Excel.Functions.SPG(BO114, "SP_COUNTRY_NAME")</f>
        <v>China</v>
      </c>
      <c r="BS114" t="s">
        <v>751</v>
      </c>
      <c r="BT114">
        <v>4574748</v>
      </c>
      <c r="BU114" t="s">
        <v>346</v>
      </c>
      <c r="BV114" s="11">
        <v>0.03</v>
      </c>
      <c r="BW114" s="9" t="str">
        <f>_xll.SNL.Clients.Office.Excel.Functions.SPG(BT114, "SP_COUNTRY_NAME")</f>
        <v>China</v>
      </c>
      <c r="BX114" t="s">
        <v>481</v>
      </c>
      <c r="BY114">
        <v>4376121</v>
      </c>
      <c r="BZ114" t="s">
        <v>346</v>
      </c>
      <c r="CA114" s="11">
        <v>0.03</v>
      </c>
      <c r="CB114" s="9" t="str">
        <f>_xll.SNL.Clients.Office.Excel.Functions.SPG(BY114, "SP_COUNTRY_NAME")</f>
        <v>United Kingdom</v>
      </c>
      <c r="CC114" t="s">
        <v>530</v>
      </c>
      <c r="CD114">
        <v>102729</v>
      </c>
      <c r="CE114" t="s">
        <v>346</v>
      </c>
      <c r="CF114" s="11">
        <v>0.05</v>
      </c>
      <c r="CG114" s="9" t="str">
        <f>_xll.SNL.Clients.Office.Excel.Functions.SPG(CD114, "SP_COUNTRY_NAME")</f>
        <v>USA</v>
      </c>
      <c r="CH114" t="s">
        <v>1290</v>
      </c>
      <c r="CI114">
        <v>4275763</v>
      </c>
      <c r="CJ114" t="s">
        <v>346</v>
      </c>
      <c r="CK114" s="11">
        <v>0.02</v>
      </c>
      <c r="CL114" s="9" t="str">
        <f>_xll.SNL.Clients.Office.Excel.Functions.SPG(CI114, "SP_COUNTRY_NAME")</f>
        <v>South Africa</v>
      </c>
      <c r="CM114" t="s">
        <v>410</v>
      </c>
      <c r="CN114">
        <v>5759394</v>
      </c>
      <c r="CO114" t="s">
        <v>346</v>
      </c>
      <c r="CP114" s="11">
        <v>0.04</v>
      </c>
      <c r="CQ114" s="9" t="str">
        <f>_xll.SNL.Clients.Office.Excel.Functions.SPG(CN114, "SP_COUNTRY_NAME")</f>
        <v>Ireland</v>
      </c>
      <c r="CV114" s="9" t="str">
        <f>_xll.SNL.Clients.Office.Excel.Functions.SPG(CS114, "SP_COUNTRY_NAME")</f>
        <v>#INVALID COMPANY ID</v>
      </c>
      <c r="DA114" s="9" t="str">
        <f>_xll.SNL.Clients.Office.Excel.Functions.SPG(CX114, "SP_COUNTRY_NAME")</f>
        <v>#INVALID COMPANY ID</v>
      </c>
      <c r="DB114" t="s">
        <v>439</v>
      </c>
      <c r="DC114">
        <v>4757367</v>
      </c>
      <c r="DD114" t="s">
        <v>363</v>
      </c>
      <c r="DE114" s="11">
        <v>0.05</v>
      </c>
      <c r="DF114" s="9" t="str">
        <f>_xll.SNL.Clients.Office.Excel.Functions.SPG(DC114, "SP_COUNTRY_NAME")</f>
        <v>Australia</v>
      </c>
      <c r="DK114" s="9" t="str">
        <f>_xll.SNL.Clients.Office.Excel.Functions.SPG(DH114, "SP_COUNTRY_NAME")</f>
        <v>#INVALID COMPANY ID</v>
      </c>
      <c r="DL114" t="s">
        <v>439</v>
      </c>
      <c r="DM114">
        <v>4757367</v>
      </c>
      <c r="DN114" t="s">
        <v>363</v>
      </c>
      <c r="DO114" s="11">
        <v>0.05</v>
      </c>
      <c r="DP114" s="9" t="str">
        <f>_xll.SNL.Clients.Office.Excel.Functions.SPG(DM114, "SP_COUNTRY_NAME")</f>
        <v>Australia</v>
      </c>
      <c r="DU114" s="9" t="str">
        <f>_xll.SNL.Clients.Office.Excel.Functions.SPG(DR114, "SP_COUNTRY_NAME")</f>
        <v>#INVALID COMPANY ID</v>
      </c>
      <c r="DV114" t="s">
        <v>464</v>
      </c>
      <c r="DW114">
        <v>4629378</v>
      </c>
      <c r="DX114" t="s">
        <v>346</v>
      </c>
      <c r="DY114" s="11">
        <v>0</v>
      </c>
      <c r="DZ114" s="9" t="str">
        <f>_xll.SNL.Clients.Office.Excel.Functions.SPG(DW114, "SP_COUNTRY_NAME")</f>
        <v>Japan</v>
      </c>
      <c r="EA114" t="s">
        <v>530</v>
      </c>
      <c r="EB114">
        <v>102729</v>
      </c>
      <c r="EC114" t="s">
        <v>346</v>
      </c>
      <c r="ED114" s="11">
        <v>0.05</v>
      </c>
      <c r="EE114" s="9" t="str">
        <f>_xll.SNL.Clients.Office.Excel.Functions.SPG(EB114, "SP_COUNTRY_NAME")</f>
        <v>USA</v>
      </c>
      <c r="EF114" t="s">
        <v>439</v>
      </c>
      <c r="EG114">
        <v>4757367</v>
      </c>
      <c r="EH114" t="s">
        <v>363</v>
      </c>
      <c r="EI114" s="11">
        <v>0.05</v>
      </c>
      <c r="EJ114" s="9" t="str">
        <f>_xll.SNL.Clients.Office.Excel.Functions.SPG(EG114, "SP_COUNTRY_NAME")</f>
        <v>Australia</v>
      </c>
      <c r="EO114" s="9" t="str">
        <f>_xll.SNL.Clients.Office.Excel.Functions.SPG(EL114, "SP_COUNTRY_NAME")</f>
        <v>#INVALID COMPANY ID</v>
      </c>
      <c r="EP114" t="s">
        <v>849</v>
      </c>
      <c r="EQ114">
        <v>4336717</v>
      </c>
      <c r="ER114" t="s">
        <v>346</v>
      </c>
      <c r="ES114" s="11">
        <v>0</v>
      </c>
      <c r="ET114" s="9" t="str">
        <f>_xll.SNL.Clients.Office.Excel.Functions.SPG(EQ114, "SP_COUNTRY_NAME")</f>
        <v>China</v>
      </c>
      <c r="EY114" s="9" t="str">
        <f>_xll.SNL.Clients.Office.Excel.Functions.SPG(EV114, "SP_COUNTRY_NAME")</f>
        <v>#INVALID COMPANY ID</v>
      </c>
      <c r="FD114" s="9" t="str">
        <f>_xll.SNL.Clients.Office.Excel.Functions.SPG(FA114, "SP_COUNTRY_NAME")</f>
        <v>#INVALID COMPANY ID</v>
      </c>
      <c r="FI114" s="9" t="str">
        <f>_xll.SNL.Clients.Office.Excel.Functions.SPG(FF114, "SP_COUNTRY_NAME")</f>
        <v>#INVALID COMPANY ID</v>
      </c>
      <c r="FJ114" t="s">
        <v>549</v>
      </c>
      <c r="FK114">
        <v>4556203</v>
      </c>
      <c r="FL114" t="s">
        <v>346</v>
      </c>
      <c r="FM114" s="11">
        <v>0</v>
      </c>
      <c r="FN114" s="9" t="str">
        <f>_xll.SNL.Clients.Office.Excel.Functions.SPG(FK114, "SP_COUNTRY_NAME")</f>
        <v>USA</v>
      </c>
      <c r="FS114" s="9" t="str">
        <f>_xll.SNL.Clients.Office.Excel.Functions.SPG(FP114, "SP_COUNTRY_NAME")</f>
        <v>#INVALID COMPANY ID</v>
      </c>
      <c r="FX114" s="9" t="str">
        <f>_xll.SNL.Clients.Office.Excel.Functions.SPG(FU114, "SP_COUNTRY_NAME")</f>
        <v>#INVALID COMPANY ID</v>
      </c>
      <c r="FY114" t="s">
        <v>439</v>
      </c>
      <c r="FZ114">
        <v>4757367</v>
      </c>
      <c r="GA114" t="s">
        <v>363</v>
      </c>
      <c r="GB114" s="11">
        <v>0.05</v>
      </c>
      <c r="GC114" s="9" t="str">
        <f>_xll.SNL.Clients.Office.Excel.Functions.SPG(FZ114, "SP_COUNTRY_NAME")</f>
        <v>Australia</v>
      </c>
      <c r="GH114" s="9" t="str">
        <f>_xll.SNL.Clients.Office.Excel.Functions.SPG(GE114, "SP_COUNTRY_NAME")</f>
        <v>#INVALID COMPANY ID</v>
      </c>
      <c r="GM114" s="9" t="str">
        <f>_xll.SNL.Clients.Office.Excel.Functions.SPG(GJ114, "SP_COUNTRY_NAME")</f>
        <v>#INVALID COMPANY ID</v>
      </c>
      <c r="GN114" t="s">
        <v>549</v>
      </c>
      <c r="GO114">
        <v>4556203</v>
      </c>
      <c r="GP114" t="s">
        <v>346</v>
      </c>
      <c r="GQ114" s="11">
        <v>0</v>
      </c>
      <c r="GR114" s="9" t="str">
        <f>_xll.SNL.Clients.Office.Excel.Functions.SPG(GO114, "SP_COUNTRY_NAME")</f>
        <v>USA</v>
      </c>
      <c r="GS114" t="s">
        <v>551</v>
      </c>
      <c r="GT114">
        <v>4137681</v>
      </c>
      <c r="GU114" t="s">
        <v>346</v>
      </c>
      <c r="GV114" s="11">
        <v>0.01</v>
      </c>
      <c r="GW114" s="9" t="str">
        <f>_xll.SNL.Clients.Office.Excel.Functions.SPG(GT114, "SP_COUNTRY_NAME")</f>
        <v>China</v>
      </c>
      <c r="GX114" t="s">
        <v>530</v>
      </c>
      <c r="GY114">
        <v>102729</v>
      </c>
      <c r="GZ114" t="s">
        <v>346</v>
      </c>
      <c r="HA114" s="11">
        <v>0.05</v>
      </c>
      <c r="HB114" s="9" t="str">
        <f>_xll.SNL.Clients.Office.Excel.Functions.SPG(GY114, "SP_COUNTRY_NAME")</f>
        <v>USA</v>
      </c>
      <c r="HG114" s="9" t="str">
        <f>_xll.SNL.Clients.Office.Excel.Functions.SPG(HD114, "SP_COUNTRY_NAME")</f>
        <v>#INVALID COMPANY ID</v>
      </c>
    </row>
    <row r="115" spans="5:215" x14ac:dyDescent="0.35">
      <c r="E115" s="9" t="str">
        <f>_xll.SNL.Clients.Office.Excel.Functions.SPG(B115, "SP_COUNTRY_NAME")</f>
        <v>#INVALID COMPANY ID</v>
      </c>
      <c r="F115" t="s">
        <v>503</v>
      </c>
      <c r="G115" t="s">
        <v>300</v>
      </c>
      <c r="H115" t="s">
        <v>361</v>
      </c>
      <c r="I115" s="11">
        <v>0.01</v>
      </c>
      <c r="J115" s="9" t="str">
        <f>_xll.SNL.Clients.Office.Excel.Functions.SPG(G115, "SP_COUNTRY_NAME")</f>
        <v>China</v>
      </c>
      <c r="K115" t="s">
        <v>683</v>
      </c>
      <c r="L115">
        <v>4137754</v>
      </c>
      <c r="M115" t="s">
        <v>346</v>
      </c>
      <c r="N115" s="11">
        <v>0</v>
      </c>
      <c r="O115" s="9" t="str">
        <f>_xll.SNL.Clients.Office.Excel.Functions.SPG(L115, "SP_COUNTRY_NAME")</f>
        <v>China</v>
      </c>
      <c r="T115" s="9" t="str">
        <f>_xll.SNL.Clients.Office.Excel.Functions.SPG(Q115, "SP_COUNTRY_NAME")</f>
        <v>#INVALID COMPANY ID</v>
      </c>
      <c r="U115" t="s">
        <v>443</v>
      </c>
      <c r="V115">
        <v>110787</v>
      </c>
      <c r="W115" t="s">
        <v>346</v>
      </c>
      <c r="X115" s="11">
        <v>0.03</v>
      </c>
      <c r="Y115" s="9" t="str">
        <f>_xll.SNL.Clients.Office.Excel.Functions.SPG(V115, "SP_COUNTRY_NAME")</f>
        <v>USA</v>
      </c>
      <c r="Z115" t="s">
        <v>683</v>
      </c>
      <c r="AA115">
        <v>4137754</v>
      </c>
      <c r="AB115" t="s">
        <v>346</v>
      </c>
      <c r="AC115" s="11">
        <v>0</v>
      </c>
      <c r="AD115" s="9" t="str">
        <f>_xll.SNL.Clients.Office.Excel.Functions.SPG(AA115, "SP_COUNTRY_NAME")</f>
        <v>China</v>
      </c>
      <c r="AE115" t="s">
        <v>1140</v>
      </c>
      <c r="AF115" t="s">
        <v>300</v>
      </c>
      <c r="AG115" t="s">
        <v>361</v>
      </c>
      <c r="AH115" s="11">
        <v>0.01</v>
      </c>
      <c r="AI115" s="9" t="str">
        <f>_xll.SNL.Clients.Office.Excel.Functions.SPG(AF115, "SP_COUNTRY_NAME")</f>
        <v>China</v>
      </c>
      <c r="AN115" s="9" t="str">
        <f>_xll.SNL.Clients.Office.Excel.Functions.SPG(AK115, "SP_COUNTRY_NAME")</f>
        <v>#INVALID COMPANY ID</v>
      </c>
      <c r="AO115" t="s">
        <v>423</v>
      </c>
      <c r="AP115">
        <v>4318240</v>
      </c>
      <c r="AQ115" t="s">
        <v>346</v>
      </c>
      <c r="AR115" s="11">
        <v>0.02</v>
      </c>
      <c r="AS115" s="9" t="str">
        <f>_xll.SNL.Clients.Office.Excel.Functions.SPG(AP115, "SP_COUNTRY_NAME")</f>
        <v>Japan</v>
      </c>
      <c r="AX115" s="9" t="str">
        <f>_xll.SNL.Clients.Office.Excel.Functions.SPG(AU115, "SP_COUNTRY_NAME")</f>
        <v>#INVALID COMPANY ID</v>
      </c>
      <c r="BC115" s="9" t="str">
        <f>_xll.SNL.Clients.Office.Excel.Functions.SPG(AZ115, "SP_COUNTRY_NAME")</f>
        <v>#INVALID COMPANY ID</v>
      </c>
      <c r="BD115" t="s">
        <v>1241</v>
      </c>
      <c r="BE115">
        <v>100522</v>
      </c>
      <c r="BF115" t="s">
        <v>366</v>
      </c>
      <c r="BG115" s="11">
        <v>0.05</v>
      </c>
      <c r="BH115" s="9" t="str">
        <f>_xll.SNL.Clients.Office.Excel.Functions.SPG(BE115, "SP_COUNTRY_NAME")</f>
        <v>Canada</v>
      </c>
      <c r="BI115" t="s">
        <v>423</v>
      </c>
      <c r="BJ115">
        <v>4318240</v>
      </c>
      <c r="BK115" t="s">
        <v>346</v>
      </c>
      <c r="BL115" s="11">
        <v>0.01</v>
      </c>
      <c r="BM115" s="9" t="str">
        <f>_xll.SNL.Clients.Office.Excel.Functions.SPG(BJ115, "SP_COUNTRY_NAME")</f>
        <v>Japan</v>
      </c>
      <c r="BN115" t="s">
        <v>714</v>
      </c>
      <c r="BO115">
        <v>4388745</v>
      </c>
      <c r="BP115" t="s">
        <v>346</v>
      </c>
      <c r="BQ115" s="11">
        <v>0.01</v>
      </c>
      <c r="BR115" s="9" t="str">
        <f>_xll.SNL.Clients.Office.Excel.Functions.SPG(BO115, "SP_COUNTRY_NAME")</f>
        <v>Hong Kong</v>
      </c>
      <c r="BS115" t="s">
        <v>782</v>
      </c>
      <c r="BT115">
        <v>4138745</v>
      </c>
      <c r="BU115" t="s">
        <v>346</v>
      </c>
      <c r="BV115" s="11">
        <v>0.03</v>
      </c>
      <c r="BW115" s="9" t="str">
        <f>_xll.SNL.Clients.Office.Excel.Functions.SPG(BT115, "SP_COUNTRY_NAME")</f>
        <v>Singapore</v>
      </c>
      <c r="BX115" t="s">
        <v>443</v>
      </c>
      <c r="BY115">
        <v>110787</v>
      </c>
      <c r="BZ115" t="s">
        <v>346</v>
      </c>
      <c r="CA115" s="11">
        <v>0.03</v>
      </c>
      <c r="CB115" s="9" t="str">
        <f>_xll.SNL.Clients.Office.Excel.Functions.SPG(BY115, "SP_COUNTRY_NAME")</f>
        <v>USA</v>
      </c>
      <c r="CC115" t="s">
        <v>937</v>
      </c>
      <c r="CD115">
        <v>4041896</v>
      </c>
      <c r="CE115" t="s">
        <v>366</v>
      </c>
      <c r="CF115" s="11">
        <v>0.05</v>
      </c>
      <c r="CG115" s="9" t="str">
        <f>_xll.SNL.Clients.Office.Excel.Functions.SPG(CD115, "SP_COUNTRY_NAME")</f>
        <v>USA</v>
      </c>
      <c r="CH115" t="s">
        <v>423</v>
      </c>
      <c r="CI115">
        <v>4318240</v>
      </c>
      <c r="CJ115" t="s">
        <v>346</v>
      </c>
      <c r="CK115" s="11">
        <v>0.02</v>
      </c>
      <c r="CL115" s="9" t="str">
        <f>_xll.SNL.Clients.Office.Excel.Functions.SPG(CI115, "SP_COUNTRY_NAME")</f>
        <v>Japan</v>
      </c>
      <c r="CM115" t="s">
        <v>1609</v>
      </c>
      <c r="CN115">
        <v>4135463</v>
      </c>
      <c r="CO115" t="s">
        <v>364</v>
      </c>
      <c r="CP115" s="11">
        <v>0.04</v>
      </c>
      <c r="CQ115" s="9" t="str">
        <f>_xll.SNL.Clients.Office.Excel.Functions.SPG(CN115, "SP_COUNTRY_NAME")</f>
        <v>USA</v>
      </c>
      <c r="CV115" s="9" t="str">
        <f>_xll.SNL.Clients.Office.Excel.Functions.SPG(CS115, "SP_COUNTRY_NAME")</f>
        <v>#INVALID COMPANY ID</v>
      </c>
      <c r="DA115" s="9" t="str">
        <f>_xll.SNL.Clients.Office.Excel.Functions.SPG(CX115, "SP_COUNTRY_NAME")</f>
        <v>#INVALID COMPANY ID</v>
      </c>
      <c r="DB115" t="s">
        <v>1241</v>
      </c>
      <c r="DC115">
        <v>100522</v>
      </c>
      <c r="DD115" t="s">
        <v>366</v>
      </c>
      <c r="DE115" s="11">
        <v>0.05</v>
      </c>
      <c r="DF115" s="9" t="str">
        <f>_xll.SNL.Clients.Office.Excel.Functions.SPG(DC115, "SP_COUNTRY_NAME")</f>
        <v>Canada</v>
      </c>
      <c r="DK115" s="9" t="str">
        <f>_xll.SNL.Clients.Office.Excel.Functions.SPG(DH115, "SP_COUNTRY_NAME")</f>
        <v>#INVALID COMPANY ID</v>
      </c>
      <c r="DL115" t="s">
        <v>1241</v>
      </c>
      <c r="DM115">
        <v>100522</v>
      </c>
      <c r="DN115" t="s">
        <v>366</v>
      </c>
      <c r="DO115" s="11">
        <v>0.05</v>
      </c>
      <c r="DP115" s="9" t="str">
        <f>_xll.SNL.Clients.Office.Excel.Functions.SPG(DM115, "SP_COUNTRY_NAME")</f>
        <v>Canada</v>
      </c>
      <c r="DU115" s="9" t="str">
        <f>_xll.SNL.Clients.Office.Excel.Functions.SPG(DR115, "SP_COUNTRY_NAME")</f>
        <v>#INVALID COMPANY ID</v>
      </c>
      <c r="DV115" t="s">
        <v>1214</v>
      </c>
      <c r="DW115">
        <v>4138158</v>
      </c>
      <c r="DX115" t="s">
        <v>346</v>
      </c>
      <c r="DY115" s="11">
        <v>0</v>
      </c>
      <c r="DZ115" s="9" t="str">
        <f>_xll.SNL.Clients.Office.Excel.Functions.SPG(DW115, "SP_COUNTRY_NAME")</f>
        <v>Switzerland</v>
      </c>
      <c r="EA115" t="s">
        <v>937</v>
      </c>
      <c r="EB115">
        <v>4041896</v>
      </c>
      <c r="EC115" t="s">
        <v>366</v>
      </c>
      <c r="ED115" s="11">
        <v>0.05</v>
      </c>
      <c r="EE115" s="9" t="str">
        <f>_xll.SNL.Clients.Office.Excel.Functions.SPG(EB115, "SP_COUNTRY_NAME")</f>
        <v>USA</v>
      </c>
      <c r="EF115" t="s">
        <v>1241</v>
      </c>
      <c r="EG115">
        <v>100522</v>
      </c>
      <c r="EH115" t="s">
        <v>366</v>
      </c>
      <c r="EI115" s="11">
        <v>0.05</v>
      </c>
      <c r="EJ115" s="9" t="str">
        <f>_xll.SNL.Clients.Office.Excel.Functions.SPG(EG115, "SP_COUNTRY_NAME")</f>
        <v>Canada</v>
      </c>
      <c r="EO115" s="9" t="str">
        <f>_xll.SNL.Clients.Office.Excel.Functions.SPG(EL115, "SP_COUNTRY_NAME")</f>
        <v>#INVALID COMPANY ID</v>
      </c>
      <c r="EP115" t="s">
        <v>662</v>
      </c>
      <c r="EQ115">
        <v>4316799</v>
      </c>
      <c r="ER115" t="s">
        <v>346</v>
      </c>
      <c r="ES115" s="11">
        <v>0</v>
      </c>
      <c r="ET115" s="9" t="str">
        <f>_xll.SNL.Clients.Office.Excel.Functions.SPG(EQ115, "SP_COUNTRY_NAME")</f>
        <v>China</v>
      </c>
      <c r="EY115" s="9" t="str">
        <f>_xll.SNL.Clients.Office.Excel.Functions.SPG(EV115, "SP_COUNTRY_NAME")</f>
        <v>#INVALID COMPANY ID</v>
      </c>
      <c r="FD115" s="9" t="str">
        <f>_xll.SNL.Clients.Office.Excel.Functions.SPG(FA115, "SP_COUNTRY_NAME")</f>
        <v>#INVALID COMPANY ID</v>
      </c>
      <c r="FI115" s="9" t="str">
        <f>_xll.SNL.Clients.Office.Excel.Functions.SPG(FF115, "SP_COUNTRY_NAME")</f>
        <v>#INVALID COMPANY ID</v>
      </c>
      <c r="FJ115" t="s">
        <v>387</v>
      </c>
      <c r="FK115">
        <v>4020980</v>
      </c>
      <c r="FL115" t="s">
        <v>346</v>
      </c>
      <c r="FM115" s="11">
        <v>0</v>
      </c>
      <c r="FN115" s="9" t="str">
        <f>_xll.SNL.Clients.Office.Excel.Functions.SPG(FK115, "SP_COUNTRY_NAME")</f>
        <v>Bermuda</v>
      </c>
      <c r="FS115" s="9" t="str">
        <f>_xll.SNL.Clients.Office.Excel.Functions.SPG(FP115, "SP_COUNTRY_NAME")</f>
        <v>#INVALID COMPANY ID</v>
      </c>
      <c r="FX115" s="9" t="str">
        <f>_xll.SNL.Clients.Office.Excel.Functions.SPG(FU115, "SP_COUNTRY_NAME")</f>
        <v>#INVALID COMPANY ID</v>
      </c>
      <c r="FY115" t="s">
        <v>1241</v>
      </c>
      <c r="FZ115">
        <v>100522</v>
      </c>
      <c r="GA115" t="s">
        <v>366</v>
      </c>
      <c r="GB115" s="11">
        <v>0.05</v>
      </c>
      <c r="GC115" s="9" t="str">
        <f>_xll.SNL.Clients.Office.Excel.Functions.SPG(FZ115, "SP_COUNTRY_NAME")</f>
        <v>Canada</v>
      </c>
      <c r="GH115" s="9" t="str">
        <f>_xll.SNL.Clients.Office.Excel.Functions.SPG(GE115, "SP_COUNTRY_NAME")</f>
        <v>#INVALID COMPANY ID</v>
      </c>
      <c r="GM115" s="9" t="str">
        <f>_xll.SNL.Clients.Office.Excel.Functions.SPG(GJ115, "SP_COUNTRY_NAME")</f>
        <v>#INVALID COMPANY ID</v>
      </c>
      <c r="GN115" t="s">
        <v>387</v>
      </c>
      <c r="GO115">
        <v>4020980</v>
      </c>
      <c r="GP115" t="s">
        <v>346</v>
      </c>
      <c r="GQ115" s="11">
        <v>0</v>
      </c>
      <c r="GR115" s="9" t="str">
        <f>_xll.SNL.Clients.Office.Excel.Functions.SPG(GO115, "SP_COUNTRY_NAME")</f>
        <v>Bermuda</v>
      </c>
      <c r="GS115" t="s">
        <v>714</v>
      </c>
      <c r="GT115">
        <v>4388745</v>
      </c>
      <c r="GU115" t="s">
        <v>346</v>
      </c>
      <c r="GV115" s="11">
        <v>0.01</v>
      </c>
      <c r="GW115" s="9" t="str">
        <f>_xll.SNL.Clients.Office.Excel.Functions.SPG(GT115, "SP_COUNTRY_NAME")</f>
        <v>Hong Kong</v>
      </c>
      <c r="GX115" t="s">
        <v>937</v>
      </c>
      <c r="GY115">
        <v>4041896</v>
      </c>
      <c r="GZ115" t="s">
        <v>366</v>
      </c>
      <c r="HA115" s="11">
        <v>0.05</v>
      </c>
      <c r="HB115" s="9" t="str">
        <f>_xll.SNL.Clients.Office.Excel.Functions.SPG(GY115, "SP_COUNTRY_NAME")</f>
        <v>USA</v>
      </c>
      <c r="HG115" s="9" t="str">
        <f>_xll.SNL.Clients.Office.Excel.Functions.SPG(HD115, "SP_COUNTRY_NAME")</f>
        <v>#INVALID COMPANY ID</v>
      </c>
    </row>
    <row r="116" spans="5:215" x14ac:dyDescent="0.35">
      <c r="E116" s="9" t="str">
        <f>_xll.SNL.Clients.Office.Excel.Functions.SPG(B116, "SP_COUNTRY_NAME")</f>
        <v>#INVALID COMPANY ID</v>
      </c>
      <c r="F116" t="s">
        <v>504</v>
      </c>
      <c r="G116">
        <v>4630169</v>
      </c>
      <c r="H116" t="s">
        <v>346</v>
      </c>
      <c r="I116" s="11">
        <v>0.01</v>
      </c>
      <c r="J116" s="9" t="str">
        <f>_xll.SNL.Clients.Office.Excel.Functions.SPG(G116, "SP_COUNTRY_NAME")</f>
        <v>Germany</v>
      </c>
      <c r="K116" t="s">
        <v>403</v>
      </c>
      <c r="L116">
        <v>4033550</v>
      </c>
      <c r="M116" t="s">
        <v>346</v>
      </c>
      <c r="N116" s="11">
        <v>0</v>
      </c>
      <c r="O116" s="9" t="str">
        <f>_xll.SNL.Clients.Office.Excel.Functions.SPG(L116, "SP_COUNTRY_NAME")</f>
        <v>USA</v>
      </c>
      <c r="T116" s="9" t="str">
        <f>_xll.SNL.Clients.Office.Excel.Functions.SPG(Q116, "SP_COUNTRY_NAME")</f>
        <v>#INVALID COMPANY ID</v>
      </c>
      <c r="U116" t="s">
        <v>453</v>
      </c>
      <c r="V116">
        <v>4318598</v>
      </c>
      <c r="W116" t="s">
        <v>346</v>
      </c>
      <c r="X116" s="11">
        <v>0.03</v>
      </c>
      <c r="Y116" s="9" t="str">
        <f>_xll.SNL.Clients.Office.Excel.Functions.SPG(V116, "SP_COUNTRY_NAME")</f>
        <v>USA</v>
      </c>
      <c r="Z116" t="s">
        <v>403</v>
      </c>
      <c r="AA116">
        <v>4033550</v>
      </c>
      <c r="AB116" t="s">
        <v>346</v>
      </c>
      <c r="AC116" s="11">
        <v>0</v>
      </c>
      <c r="AD116" s="9" t="str">
        <f>_xll.SNL.Clients.Office.Excel.Functions.SPG(AA116, "SP_COUNTRY_NAME")</f>
        <v>USA</v>
      </c>
      <c r="AE116" t="s">
        <v>1141</v>
      </c>
      <c r="AF116">
        <v>5767199</v>
      </c>
      <c r="AG116" t="s">
        <v>346</v>
      </c>
      <c r="AH116" s="11">
        <v>0.01</v>
      </c>
      <c r="AI116" s="9" t="str">
        <f>_xll.SNL.Clients.Office.Excel.Functions.SPG(AF116, "SP_COUNTRY_NAME")</f>
        <v>Finland</v>
      </c>
      <c r="AN116" s="9" t="str">
        <f>_xll.SNL.Clients.Office.Excel.Functions.SPG(AK116, "SP_COUNTRY_NAME")</f>
        <v>#INVALID COMPANY ID</v>
      </c>
      <c r="AO116" t="s">
        <v>1291</v>
      </c>
      <c r="AP116">
        <v>5868733</v>
      </c>
      <c r="AQ116" t="s">
        <v>346</v>
      </c>
      <c r="AR116" s="11">
        <v>0.02</v>
      </c>
      <c r="AS116" s="9" t="str">
        <f>_xll.SNL.Clients.Office.Excel.Functions.SPG(AP116, "SP_COUNTRY_NAME")</f>
        <v>South Africa</v>
      </c>
      <c r="AX116" s="9" t="str">
        <f>_xll.SNL.Clients.Office.Excel.Functions.SPG(AU116, "SP_COUNTRY_NAME")</f>
        <v>#INVALID COMPANY ID</v>
      </c>
      <c r="BC116" s="9" t="str">
        <f>_xll.SNL.Clients.Office.Excel.Functions.SPG(AZ116, "SP_COUNTRY_NAME")</f>
        <v>#INVALID COMPANY ID</v>
      </c>
      <c r="BD116" t="s">
        <v>1421</v>
      </c>
      <c r="BE116">
        <v>4138670</v>
      </c>
      <c r="BF116" t="s">
        <v>346</v>
      </c>
      <c r="BG116" s="11">
        <v>0.05</v>
      </c>
      <c r="BH116" s="9" t="str">
        <f>_xll.SNL.Clients.Office.Excel.Functions.SPG(BE116, "SP_COUNTRY_NAME")</f>
        <v>United Kingdom</v>
      </c>
      <c r="BI116" t="s">
        <v>480</v>
      </c>
      <c r="BJ116">
        <v>4119651</v>
      </c>
      <c r="BK116" t="s">
        <v>346</v>
      </c>
      <c r="BL116" s="11">
        <v>0.01</v>
      </c>
      <c r="BM116" s="9" t="str">
        <f>_xll.SNL.Clients.Office.Excel.Functions.SPG(BJ116, "SP_COUNTRY_NAME")</f>
        <v>USA</v>
      </c>
      <c r="BN116" t="s">
        <v>759</v>
      </c>
      <c r="BO116">
        <v>4549477</v>
      </c>
      <c r="BP116" t="s">
        <v>346</v>
      </c>
      <c r="BQ116" s="11">
        <v>0.01</v>
      </c>
      <c r="BR116" s="9" t="str">
        <f>_xll.SNL.Clients.Office.Excel.Functions.SPG(BO116, "SP_COUNTRY_NAME")</f>
        <v>Hong Kong</v>
      </c>
      <c r="BS116" t="s">
        <v>746</v>
      </c>
      <c r="BT116">
        <v>4332537</v>
      </c>
      <c r="BU116" t="s">
        <v>346</v>
      </c>
      <c r="BV116" s="11">
        <v>0.03</v>
      </c>
      <c r="BW116" s="9" t="str">
        <f>_xll.SNL.Clients.Office.Excel.Functions.SPG(BT116, "SP_COUNTRY_NAME")</f>
        <v>China</v>
      </c>
      <c r="BX116" t="s">
        <v>453</v>
      </c>
      <c r="BY116">
        <v>4318598</v>
      </c>
      <c r="BZ116" t="s">
        <v>346</v>
      </c>
      <c r="CA116" s="11">
        <v>0.03</v>
      </c>
      <c r="CB116" s="9" t="str">
        <f>_xll.SNL.Clients.Office.Excel.Functions.SPG(BY116, "SP_COUNTRY_NAME")</f>
        <v>USA</v>
      </c>
      <c r="CC116" t="s">
        <v>1643</v>
      </c>
      <c r="CD116">
        <v>4140158</v>
      </c>
      <c r="CE116" t="s">
        <v>346</v>
      </c>
      <c r="CF116" s="11">
        <v>0.05</v>
      </c>
      <c r="CG116" s="9" t="str">
        <f>_xll.SNL.Clients.Office.Excel.Functions.SPG(CD116, "SP_COUNTRY_NAME")</f>
        <v>Brazil</v>
      </c>
      <c r="CH116" t="s">
        <v>1291</v>
      </c>
      <c r="CI116">
        <v>5868733</v>
      </c>
      <c r="CJ116" t="s">
        <v>346</v>
      </c>
      <c r="CK116" s="11">
        <v>0.02</v>
      </c>
      <c r="CL116" s="9" t="str">
        <f>_xll.SNL.Clients.Office.Excel.Functions.SPG(CI116, "SP_COUNTRY_NAME")</f>
        <v>South Africa</v>
      </c>
      <c r="CM116" t="s">
        <v>1288</v>
      </c>
      <c r="CN116">
        <v>5863780</v>
      </c>
      <c r="CO116" t="s">
        <v>346</v>
      </c>
      <c r="CP116" s="11">
        <v>0.04</v>
      </c>
      <c r="CQ116" s="9" t="str">
        <f>_xll.SNL.Clients.Office.Excel.Functions.SPG(CN116, "SP_COUNTRY_NAME")</f>
        <v>United Kingdom</v>
      </c>
      <c r="CV116" s="9" t="str">
        <f>_xll.SNL.Clients.Office.Excel.Functions.SPG(CS116, "SP_COUNTRY_NAME")</f>
        <v>#INVALID COMPANY ID</v>
      </c>
      <c r="DA116" s="9" t="str">
        <f>_xll.SNL.Clients.Office.Excel.Functions.SPG(CX116, "SP_COUNTRY_NAME")</f>
        <v>#INVALID COMPANY ID</v>
      </c>
      <c r="DB116" t="s">
        <v>1421</v>
      </c>
      <c r="DC116">
        <v>4138670</v>
      </c>
      <c r="DD116" t="s">
        <v>346</v>
      </c>
      <c r="DE116" s="11">
        <v>0.05</v>
      </c>
      <c r="DF116" s="9" t="str">
        <f>_xll.SNL.Clients.Office.Excel.Functions.SPG(DC116, "SP_COUNTRY_NAME")</f>
        <v>United Kingdom</v>
      </c>
      <c r="DK116" s="9" t="str">
        <f>_xll.SNL.Clients.Office.Excel.Functions.SPG(DH116, "SP_COUNTRY_NAME")</f>
        <v>#INVALID COMPANY ID</v>
      </c>
      <c r="DL116" t="s">
        <v>1421</v>
      </c>
      <c r="DM116">
        <v>4138670</v>
      </c>
      <c r="DN116" t="s">
        <v>346</v>
      </c>
      <c r="DO116" s="11">
        <v>0.05</v>
      </c>
      <c r="DP116" s="9" t="str">
        <f>_xll.SNL.Clients.Office.Excel.Functions.SPG(DM116, "SP_COUNTRY_NAME")</f>
        <v>United Kingdom</v>
      </c>
      <c r="DU116" s="9" t="str">
        <f>_xll.SNL.Clients.Office.Excel.Functions.SPG(DR116, "SP_COUNTRY_NAME")</f>
        <v>#INVALID COMPANY ID</v>
      </c>
      <c r="DV116" t="s">
        <v>1215</v>
      </c>
      <c r="DW116">
        <v>14990547</v>
      </c>
      <c r="DX116" t="s">
        <v>346</v>
      </c>
      <c r="DY116" s="11">
        <v>0</v>
      </c>
      <c r="DZ116" s="9" t="str">
        <f>_xll.SNL.Clients.Office.Excel.Functions.SPG(DW116, "SP_COUNTRY_NAME")</f>
        <v>Spain</v>
      </c>
      <c r="EA116" t="s">
        <v>1643</v>
      </c>
      <c r="EB116">
        <v>4140158</v>
      </c>
      <c r="EC116" t="s">
        <v>346</v>
      </c>
      <c r="ED116" s="11">
        <v>0.05</v>
      </c>
      <c r="EE116" s="9" t="str">
        <f>_xll.SNL.Clients.Office.Excel.Functions.SPG(EB116, "SP_COUNTRY_NAME")</f>
        <v>Brazil</v>
      </c>
      <c r="EF116" t="s">
        <v>1421</v>
      </c>
      <c r="EG116">
        <v>4138670</v>
      </c>
      <c r="EH116" t="s">
        <v>346</v>
      </c>
      <c r="EI116" s="11">
        <v>0.05</v>
      </c>
      <c r="EJ116" s="9" t="str">
        <f>_xll.SNL.Clients.Office.Excel.Functions.SPG(EG116, "SP_COUNTRY_NAME")</f>
        <v>United Kingdom</v>
      </c>
      <c r="EO116" s="9" t="str">
        <f>_xll.SNL.Clients.Office.Excel.Functions.SPG(EL116, "SP_COUNTRY_NAME")</f>
        <v>#INVALID COMPANY ID</v>
      </c>
      <c r="EP116" t="s">
        <v>743</v>
      </c>
      <c r="EQ116">
        <v>4137999</v>
      </c>
      <c r="ER116" t="s">
        <v>346</v>
      </c>
      <c r="ES116" s="11">
        <v>0</v>
      </c>
      <c r="ET116" s="9" t="str">
        <f>_xll.SNL.Clients.Office.Excel.Functions.SPG(EQ116, "SP_COUNTRY_NAME")</f>
        <v>China</v>
      </c>
      <c r="EY116" s="9" t="str">
        <f>_xll.SNL.Clients.Office.Excel.Functions.SPG(EV116, "SP_COUNTRY_NAME")</f>
        <v>#INVALID COMPANY ID</v>
      </c>
      <c r="FD116" s="9" t="str">
        <f>_xll.SNL.Clients.Office.Excel.Functions.SPG(FA116, "SP_COUNTRY_NAME")</f>
        <v>#INVALID COMPANY ID</v>
      </c>
      <c r="FI116" s="9" t="str">
        <f>_xll.SNL.Clients.Office.Excel.Functions.SPG(FF116, "SP_COUNTRY_NAME")</f>
        <v>#INVALID COMPANY ID</v>
      </c>
      <c r="FJ116" t="s">
        <v>489</v>
      </c>
      <c r="FK116">
        <v>4324456</v>
      </c>
      <c r="FL116" t="s">
        <v>346</v>
      </c>
      <c r="FM116" s="11">
        <v>0</v>
      </c>
      <c r="FN116" s="9" t="str">
        <f>_xll.SNL.Clients.Office.Excel.Functions.SPG(FK116, "SP_COUNTRY_NAME")</f>
        <v>Italy</v>
      </c>
      <c r="FS116" s="9" t="str">
        <f>_xll.SNL.Clients.Office.Excel.Functions.SPG(FP116, "SP_COUNTRY_NAME")</f>
        <v>#INVALID COMPANY ID</v>
      </c>
      <c r="FX116" s="9" t="str">
        <f>_xll.SNL.Clients.Office.Excel.Functions.SPG(FU116, "SP_COUNTRY_NAME")</f>
        <v>#INVALID COMPANY ID</v>
      </c>
      <c r="FY116" t="s">
        <v>1421</v>
      </c>
      <c r="FZ116">
        <v>4138670</v>
      </c>
      <c r="GA116" t="s">
        <v>346</v>
      </c>
      <c r="GB116" s="11">
        <v>0.05</v>
      </c>
      <c r="GC116" s="9" t="str">
        <f>_xll.SNL.Clients.Office.Excel.Functions.SPG(FZ116, "SP_COUNTRY_NAME")</f>
        <v>United Kingdom</v>
      </c>
      <c r="GH116" s="9" t="str">
        <f>_xll.SNL.Clients.Office.Excel.Functions.SPG(GE116, "SP_COUNTRY_NAME")</f>
        <v>#INVALID COMPANY ID</v>
      </c>
      <c r="GM116" s="9" t="str">
        <f>_xll.SNL.Clients.Office.Excel.Functions.SPG(GJ116, "SP_COUNTRY_NAME")</f>
        <v>#INVALID COMPANY ID</v>
      </c>
      <c r="GN116" t="s">
        <v>489</v>
      </c>
      <c r="GO116">
        <v>4324456</v>
      </c>
      <c r="GP116" t="s">
        <v>346</v>
      </c>
      <c r="GQ116" s="11">
        <v>0</v>
      </c>
      <c r="GR116" s="9" t="str">
        <f>_xll.SNL.Clients.Office.Excel.Functions.SPG(GO116, "SP_COUNTRY_NAME")</f>
        <v>Italy</v>
      </c>
      <c r="GS116" t="s">
        <v>759</v>
      </c>
      <c r="GT116">
        <v>4549477</v>
      </c>
      <c r="GU116" t="s">
        <v>346</v>
      </c>
      <c r="GV116" s="11">
        <v>0.01</v>
      </c>
      <c r="GW116" s="9" t="str">
        <f>_xll.SNL.Clients.Office.Excel.Functions.SPG(GT116, "SP_COUNTRY_NAME")</f>
        <v>Hong Kong</v>
      </c>
      <c r="GX116" t="s">
        <v>1643</v>
      </c>
      <c r="GY116">
        <v>4140158</v>
      </c>
      <c r="GZ116" t="s">
        <v>346</v>
      </c>
      <c r="HA116" s="11">
        <v>0.05</v>
      </c>
      <c r="HB116" s="9" t="str">
        <f>_xll.SNL.Clients.Office.Excel.Functions.SPG(GY116, "SP_COUNTRY_NAME")</f>
        <v>Brazil</v>
      </c>
      <c r="HG116" s="9" t="str">
        <f>_xll.SNL.Clients.Office.Excel.Functions.SPG(HD116, "SP_COUNTRY_NAME")</f>
        <v>#INVALID COMPANY ID</v>
      </c>
    </row>
    <row r="117" spans="5:215" x14ac:dyDescent="0.35">
      <c r="E117" s="9" t="str">
        <f>_xll.SNL.Clients.Office.Excel.Functions.SPG(B117, "SP_COUNTRY_NAME")</f>
        <v>#INVALID COMPANY ID</v>
      </c>
      <c r="F117" t="s">
        <v>505</v>
      </c>
      <c r="G117">
        <v>5856016</v>
      </c>
      <c r="H117" t="s">
        <v>346</v>
      </c>
      <c r="I117" s="11">
        <v>0.01</v>
      </c>
      <c r="J117" s="9" t="str">
        <f>_xll.SNL.Clients.Office.Excel.Functions.SPG(G117, "SP_COUNTRY_NAME")</f>
        <v>Germany</v>
      </c>
      <c r="K117" t="s">
        <v>526</v>
      </c>
      <c r="L117">
        <v>4248288</v>
      </c>
      <c r="M117" t="s">
        <v>346</v>
      </c>
      <c r="N117" s="11">
        <v>0</v>
      </c>
      <c r="O117" s="9" t="str">
        <f>_xll.SNL.Clients.Office.Excel.Functions.SPG(L117, "SP_COUNTRY_NAME")</f>
        <v>Canada</v>
      </c>
      <c r="T117" s="9" t="str">
        <f>_xll.SNL.Clients.Office.Excel.Functions.SPG(Q117, "SP_COUNTRY_NAME")</f>
        <v>#INVALID COMPANY ID</v>
      </c>
      <c r="U117" t="s">
        <v>745</v>
      </c>
      <c r="V117">
        <v>4120036</v>
      </c>
      <c r="W117" t="s">
        <v>364</v>
      </c>
      <c r="X117" s="11">
        <v>0.03</v>
      </c>
      <c r="Y117" s="9" t="str">
        <f>_xll.SNL.Clients.Office.Excel.Functions.SPG(V117, "SP_COUNTRY_NAME")</f>
        <v>Hong Kong</v>
      </c>
      <c r="Z117" t="s">
        <v>526</v>
      </c>
      <c r="AA117">
        <v>4248288</v>
      </c>
      <c r="AB117" t="s">
        <v>346</v>
      </c>
      <c r="AC117" s="11">
        <v>0</v>
      </c>
      <c r="AD117" s="9" t="str">
        <f>_xll.SNL.Clients.Office.Excel.Functions.SPG(AA117, "SP_COUNTRY_NAME")</f>
        <v>Canada</v>
      </c>
      <c r="AE117" t="s">
        <v>1142</v>
      </c>
      <c r="AF117">
        <v>4585233</v>
      </c>
      <c r="AG117" t="s">
        <v>346</v>
      </c>
      <c r="AH117" s="11">
        <v>0.01</v>
      </c>
      <c r="AI117" s="9" t="str">
        <f>_xll.SNL.Clients.Office.Excel.Functions.SPG(AF117, "SP_COUNTRY_NAME")</f>
        <v>USA</v>
      </c>
      <c r="AN117" s="9" t="str">
        <f>_xll.SNL.Clients.Office.Excel.Functions.SPG(AK117, "SP_COUNTRY_NAME")</f>
        <v>#INVALID COMPANY ID</v>
      </c>
      <c r="AO117" t="s">
        <v>400</v>
      </c>
      <c r="AP117">
        <v>7834181</v>
      </c>
      <c r="AQ117" t="s">
        <v>346</v>
      </c>
      <c r="AR117" s="11">
        <v>0.02</v>
      </c>
      <c r="AS117" s="9" t="str">
        <f>_xll.SNL.Clients.Office.Excel.Functions.SPG(AP117, "SP_COUNTRY_NAME")</f>
        <v>United Kingdom</v>
      </c>
      <c r="AX117" s="9" t="str">
        <f>_xll.SNL.Clients.Office.Excel.Functions.SPG(AU117, "SP_COUNTRY_NAME")</f>
        <v>#INVALID COMPANY ID</v>
      </c>
      <c r="BC117" s="9" t="str">
        <f>_xll.SNL.Clients.Office.Excel.Functions.SPG(AZ117, "SP_COUNTRY_NAME")</f>
        <v>#INVALID COMPANY ID</v>
      </c>
      <c r="BD117" t="s">
        <v>1422</v>
      </c>
      <c r="BE117">
        <v>100519</v>
      </c>
      <c r="BF117" t="s">
        <v>346</v>
      </c>
      <c r="BG117" s="11">
        <v>0.05</v>
      </c>
      <c r="BH117" s="9" t="str">
        <f>_xll.SNL.Clients.Office.Excel.Functions.SPG(BE117, "SP_COUNTRY_NAME")</f>
        <v>Canada</v>
      </c>
      <c r="BI117" t="s">
        <v>1414</v>
      </c>
      <c r="BJ117">
        <v>4278965</v>
      </c>
      <c r="BK117" t="s">
        <v>346</v>
      </c>
      <c r="BL117" s="11">
        <v>0.01</v>
      </c>
      <c r="BM117" s="9" t="str">
        <f>_xll.SNL.Clients.Office.Excel.Functions.SPG(BJ117, "SP_COUNTRY_NAME")</f>
        <v>Belgium</v>
      </c>
      <c r="BN117" t="s">
        <v>465</v>
      </c>
      <c r="BO117">
        <v>4119440</v>
      </c>
      <c r="BP117" t="s">
        <v>346</v>
      </c>
      <c r="BQ117" s="11">
        <v>0.01</v>
      </c>
      <c r="BR117" s="9" t="str">
        <f>_xll.SNL.Clients.Office.Excel.Functions.SPG(BO117, "SP_COUNTRY_NAME")</f>
        <v>USA</v>
      </c>
      <c r="BS117" t="s">
        <v>435</v>
      </c>
      <c r="BT117">
        <v>109789</v>
      </c>
      <c r="BU117" t="s">
        <v>346</v>
      </c>
      <c r="BV117" s="11">
        <v>0.03</v>
      </c>
      <c r="BW117" s="9" t="str">
        <f>_xll.SNL.Clients.Office.Excel.Functions.SPG(BT117, "SP_COUNTRY_NAME")</f>
        <v>USA</v>
      </c>
      <c r="BX117" t="s">
        <v>745</v>
      </c>
      <c r="BY117">
        <v>4120036</v>
      </c>
      <c r="BZ117" t="s">
        <v>364</v>
      </c>
      <c r="CA117" s="11">
        <v>0.03</v>
      </c>
      <c r="CB117" s="9" t="str">
        <f>_xll.SNL.Clients.Office.Excel.Functions.SPG(BY117, "SP_COUNTRY_NAME")</f>
        <v>Hong Kong</v>
      </c>
      <c r="CC117" t="s">
        <v>1644</v>
      </c>
      <c r="CD117">
        <v>102757</v>
      </c>
      <c r="CE117" t="s">
        <v>346</v>
      </c>
      <c r="CF117" s="11">
        <v>0.05</v>
      </c>
      <c r="CG117" s="9" t="str">
        <f>_xll.SNL.Clients.Office.Excel.Functions.SPG(CD117, "SP_COUNTRY_NAME")</f>
        <v>USA</v>
      </c>
      <c r="CH117" t="s">
        <v>400</v>
      </c>
      <c r="CI117">
        <v>7834181</v>
      </c>
      <c r="CJ117" t="s">
        <v>346</v>
      </c>
      <c r="CK117" s="11">
        <v>0.02</v>
      </c>
      <c r="CL117" s="9" t="str">
        <f>_xll.SNL.Clients.Office.Excel.Functions.SPG(CI117, "SP_COUNTRY_NAME")</f>
        <v>United Kingdom</v>
      </c>
      <c r="CM117" t="s">
        <v>487</v>
      </c>
      <c r="CN117">
        <v>4111901</v>
      </c>
      <c r="CO117" t="s">
        <v>346</v>
      </c>
      <c r="CP117" s="11">
        <v>0.04</v>
      </c>
      <c r="CQ117" s="9" t="str">
        <f>_xll.SNL.Clients.Office.Excel.Functions.SPG(CN117, "SP_COUNTRY_NAME")</f>
        <v>Belgium</v>
      </c>
      <c r="CV117" s="9" t="str">
        <f>_xll.SNL.Clients.Office.Excel.Functions.SPG(CS117, "SP_COUNTRY_NAME")</f>
        <v>#INVALID COMPANY ID</v>
      </c>
      <c r="DA117" s="9" t="str">
        <f>_xll.SNL.Clients.Office.Excel.Functions.SPG(CX117, "SP_COUNTRY_NAME")</f>
        <v>#INVALID COMPANY ID</v>
      </c>
      <c r="DB117" t="s">
        <v>1422</v>
      </c>
      <c r="DC117">
        <v>100519</v>
      </c>
      <c r="DD117" t="s">
        <v>346</v>
      </c>
      <c r="DE117" s="11">
        <v>0.05</v>
      </c>
      <c r="DF117" s="9" t="str">
        <f>_xll.SNL.Clients.Office.Excel.Functions.SPG(DC117, "SP_COUNTRY_NAME")</f>
        <v>Canada</v>
      </c>
      <c r="DK117" s="9" t="str">
        <f>_xll.SNL.Clients.Office.Excel.Functions.SPG(DH117, "SP_COUNTRY_NAME")</f>
        <v>#INVALID COMPANY ID</v>
      </c>
      <c r="DL117" t="s">
        <v>1422</v>
      </c>
      <c r="DM117">
        <v>100519</v>
      </c>
      <c r="DN117" t="s">
        <v>346</v>
      </c>
      <c r="DO117" s="11">
        <v>0.05</v>
      </c>
      <c r="DP117" s="9" t="str">
        <f>_xll.SNL.Clients.Office.Excel.Functions.SPG(DM117, "SP_COUNTRY_NAME")</f>
        <v>Canada</v>
      </c>
      <c r="DU117" s="9" t="str">
        <f>_xll.SNL.Clients.Office.Excel.Functions.SPG(DR117, "SP_COUNTRY_NAME")</f>
        <v>#INVALID COMPANY ID</v>
      </c>
      <c r="DV117" t="s">
        <v>1216</v>
      </c>
      <c r="DW117">
        <v>4212983</v>
      </c>
      <c r="DX117" t="s">
        <v>346</v>
      </c>
      <c r="DY117" s="11">
        <v>0</v>
      </c>
      <c r="DZ117" s="9" t="str">
        <f>_xll.SNL.Clients.Office.Excel.Functions.SPG(DW117, "SP_COUNTRY_NAME")</f>
        <v>Luxembourg</v>
      </c>
      <c r="EA117" t="s">
        <v>1644</v>
      </c>
      <c r="EB117">
        <v>102757</v>
      </c>
      <c r="EC117" t="s">
        <v>346</v>
      </c>
      <c r="ED117" s="11">
        <v>0.05</v>
      </c>
      <c r="EE117" s="9" t="str">
        <f>_xll.SNL.Clients.Office.Excel.Functions.SPG(EB117, "SP_COUNTRY_NAME")</f>
        <v>USA</v>
      </c>
      <c r="EF117" t="s">
        <v>1422</v>
      </c>
      <c r="EG117">
        <v>100519</v>
      </c>
      <c r="EH117" t="s">
        <v>346</v>
      </c>
      <c r="EI117" s="11">
        <v>0.05</v>
      </c>
      <c r="EJ117" s="9" t="str">
        <f>_xll.SNL.Clients.Office.Excel.Functions.SPG(EG117, "SP_COUNTRY_NAME")</f>
        <v>Canada</v>
      </c>
      <c r="EO117" s="9" t="str">
        <f>_xll.SNL.Clients.Office.Excel.Functions.SPG(EL117, "SP_COUNTRY_NAME")</f>
        <v>#INVALID COMPANY ID</v>
      </c>
      <c r="EP117" t="s">
        <v>731</v>
      </c>
      <c r="EQ117">
        <v>4417406</v>
      </c>
      <c r="ER117" t="s">
        <v>346</v>
      </c>
      <c r="ES117" s="11">
        <v>0</v>
      </c>
      <c r="ET117" s="9" t="str">
        <f>_xll.SNL.Clients.Office.Excel.Functions.SPG(EQ117, "SP_COUNTRY_NAME")</f>
        <v>China</v>
      </c>
      <c r="EY117" s="9" t="str">
        <f>_xll.SNL.Clients.Office.Excel.Functions.SPG(EV117, "SP_COUNTRY_NAME")</f>
        <v>#INVALID COMPANY ID</v>
      </c>
      <c r="FD117" s="9" t="str">
        <f>_xll.SNL.Clients.Office.Excel.Functions.SPG(FA117, "SP_COUNTRY_NAME")</f>
        <v>#INVALID COMPANY ID</v>
      </c>
      <c r="FI117" s="9" t="str">
        <f>_xll.SNL.Clients.Office.Excel.Functions.SPG(FF117, "SP_COUNTRY_NAME")</f>
        <v>#INVALID COMPANY ID</v>
      </c>
      <c r="FJ117" t="s">
        <v>539</v>
      </c>
      <c r="FK117">
        <v>4341249</v>
      </c>
      <c r="FL117" t="s">
        <v>346</v>
      </c>
      <c r="FM117" s="11">
        <v>0</v>
      </c>
      <c r="FN117" s="9" t="str">
        <f>_xll.SNL.Clients.Office.Excel.Functions.SPG(FK117, "SP_COUNTRY_NAME")</f>
        <v>Japan</v>
      </c>
      <c r="FS117" s="9" t="str">
        <f>_xll.SNL.Clients.Office.Excel.Functions.SPG(FP117, "SP_COUNTRY_NAME")</f>
        <v>#INVALID COMPANY ID</v>
      </c>
      <c r="FX117" s="9" t="str">
        <f>_xll.SNL.Clients.Office.Excel.Functions.SPG(FU117, "SP_COUNTRY_NAME")</f>
        <v>#INVALID COMPANY ID</v>
      </c>
      <c r="FY117" t="s">
        <v>1422</v>
      </c>
      <c r="FZ117">
        <v>100519</v>
      </c>
      <c r="GA117" t="s">
        <v>346</v>
      </c>
      <c r="GB117" s="11">
        <v>0.05</v>
      </c>
      <c r="GC117" s="9" t="str">
        <f>_xll.SNL.Clients.Office.Excel.Functions.SPG(FZ117, "SP_COUNTRY_NAME")</f>
        <v>Canada</v>
      </c>
      <c r="GH117" s="9" t="str">
        <f>_xll.SNL.Clients.Office.Excel.Functions.SPG(GE117, "SP_COUNTRY_NAME")</f>
        <v>#INVALID COMPANY ID</v>
      </c>
      <c r="GM117" s="9" t="str">
        <f>_xll.SNL.Clients.Office.Excel.Functions.SPG(GJ117, "SP_COUNTRY_NAME")</f>
        <v>#INVALID COMPANY ID</v>
      </c>
      <c r="GN117" t="s">
        <v>539</v>
      </c>
      <c r="GO117">
        <v>4341249</v>
      </c>
      <c r="GP117" t="s">
        <v>346</v>
      </c>
      <c r="GQ117" s="11">
        <v>0</v>
      </c>
      <c r="GR117" s="9" t="str">
        <f>_xll.SNL.Clients.Office.Excel.Functions.SPG(GO117, "SP_COUNTRY_NAME")</f>
        <v>Japan</v>
      </c>
      <c r="GS117" t="s">
        <v>465</v>
      </c>
      <c r="GT117">
        <v>4119440</v>
      </c>
      <c r="GU117" t="s">
        <v>346</v>
      </c>
      <c r="GV117" s="11">
        <v>0.01</v>
      </c>
      <c r="GW117" s="9" t="str">
        <f>_xll.SNL.Clients.Office.Excel.Functions.SPG(GT117, "SP_COUNTRY_NAME")</f>
        <v>USA</v>
      </c>
      <c r="GX117" t="s">
        <v>1644</v>
      </c>
      <c r="GY117">
        <v>102757</v>
      </c>
      <c r="GZ117" t="s">
        <v>346</v>
      </c>
      <c r="HA117" s="11">
        <v>0.05</v>
      </c>
      <c r="HB117" s="9" t="str">
        <f>_xll.SNL.Clients.Office.Excel.Functions.SPG(GY117, "SP_COUNTRY_NAME")</f>
        <v>USA</v>
      </c>
      <c r="HG117" s="9" t="str">
        <f>_xll.SNL.Clients.Office.Excel.Functions.SPG(HD117, "SP_COUNTRY_NAME")</f>
        <v>#INVALID COMPANY ID</v>
      </c>
    </row>
    <row r="118" spans="5:215" x14ac:dyDescent="0.35">
      <c r="E118" s="9" t="str">
        <f>_xll.SNL.Clients.Office.Excel.Functions.SPG(B118, "SP_COUNTRY_NAME")</f>
        <v>#INVALID COMPANY ID</v>
      </c>
      <c r="F118" t="s">
        <v>506</v>
      </c>
      <c r="G118">
        <v>4242466</v>
      </c>
      <c r="H118" t="s">
        <v>346</v>
      </c>
      <c r="I118" s="11">
        <v>0.01</v>
      </c>
      <c r="J118" s="9" t="str">
        <f>_xll.SNL.Clients.Office.Excel.Functions.SPG(G118, "SP_COUNTRY_NAME")</f>
        <v>Germany</v>
      </c>
      <c r="K118" t="s">
        <v>404</v>
      </c>
      <c r="L118">
        <v>4383779</v>
      </c>
      <c r="M118" t="s">
        <v>346</v>
      </c>
      <c r="N118" s="11">
        <v>0</v>
      </c>
      <c r="O118" s="9" t="str">
        <f>_xll.SNL.Clients.Office.Excel.Functions.SPG(L118, "SP_COUNTRY_NAME")</f>
        <v>USA</v>
      </c>
      <c r="T118" s="9" t="str">
        <f>_xll.SNL.Clients.Office.Excel.Functions.SPG(Q118, "SP_COUNTRY_NAME")</f>
        <v>#INVALID COMPANY ID</v>
      </c>
      <c r="U118" t="s">
        <v>746</v>
      </c>
      <c r="V118">
        <v>4332537</v>
      </c>
      <c r="W118" t="s">
        <v>346</v>
      </c>
      <c r="X118" s="11">
        <v>0.02</v>
      </c>
      <c r="Y118" s="9" t="str">
        <f>_xll.SNL.Clients.Office.Excel.Functions.SPG(V118, "SP_COUNTRY_NAME")</f>
        <v>China</v>
      </c>
      <c r="Z118" t="s">
        <v>404</v>
      </c>
      <c r="AA118">
        <v>4383779</v>
      </c>
      <c r="AB118" t="s">
        <v>346</v>
      </c>
      <c r="AC118" s="11">
        <v>0</v>
      </c>
      <c r="AD118" s="9" t="str">
        <f>_xll.SNL.Clients.Office.Excel.Functions.SPG(AA118, "SP_COUNTRY_NAME")</f>
        <v>USA</v>
      </c>
      <c r="AE118" t="s">
        <v>489</v>
      </c>
      <c r="AF118">
        <v>4324456</v>
      </c>
      <c r="AG118" t="s">
        <v>346</v>
      </c>
      <c r="AH118" s="11">
        <v>0.01</v>
      </c>
      <c r="AI118" s="9" t="str">
        <f>_xll.SNL.Clients.Office.Excel.Functions.SPG(AF118, "SP_COUNTRY_NAME")</f>
        <v>Italy</v>
      </c>
      <c r="AN118" s="9" t="str">
        <f>_xll.SNL.Clients.Office.Excel.Functions.SPG(AK118, "SP_COUNTRY_NAME")</f>
        <v>#INVALID COMPANY ID</v>
      </c>
      <c r="AO118" t="s">
        <v>588</v>
      </c>
      <c r="AP118">
        <v>111537</v>
      </c>
      <c r="AQ118" t="s">
        <v>346</v>
      </c>
      <c r="AR118" s="11">
        <v>0.02</v>
      </c>
      <c r="AS118" s="9" t="str">
        <f>_xll.SNL.Clients.Office.Excel.Functions.SPG(AP118, "SP_COUNTRY_NAME")</f>
        <v>USA</v>
      </c>
      <c r="AX118" s="9" t="str">
        <f>_xll.SNL.Clients.Office.Excel.Functions.SPG(AU118, "SP_COUNTRY_NAME")</f>
        <v>#INVALID COMPANY ID</v>
      </c>
      <c r="BC118" s="9" t="str">
        <f>_xll.SNL.Clients.Office.Excel.Functions.SPG(AZ118, "SP_COUNTRY_NAME")</f>
        <v>#INVALID COMPANY ID</v>
      </c>
      <c r="BD118" t="s">
        <v>1423</v>
      </c>
      <c r="BE118">
        <v>4118652</v>
      </c>
      <c r="BF118" t="s">
        <v>346</v>
      </c>
      <c r="BG118" s="11">
        <v>0.05</v>
      </c>
      <c r="BH118" s="9" t="str">
        <f>_xll.SNL.Clients.Office.Excel.Functions.SPG(BE118, "SP_COUNTRY_NAME")</f>
        <v>USA</v>
      </c>
      <c r="BI118" t="s">
        <v>541</v>
      </c>
      <c r="BJ118">
        <v>4135098</v>
      </c>
      <c r="BK118" t="s">
        <v>346</v>
      </c>
      <c r="BL118" s="11">
        <v>0.01</v>
      </c>
      <c r="BM118" s="9" t="str">
        <f>_xll.SNL.Clients.Office.Excel.Functions.SPG(BJ118, "SP_COUNTRY_NAME")</f>
        <v>United Kingdom</v>
      </c>
      <c r="BN118" t="s">
        <v>664</v>
      </c>
      <c r="BO118">
        <v>4138760</v>
      </c>
      <c r="BP118" t="s">
        <v>346</v>
      </c>
      <c r="BQ118" s="11">
        <v>0.01</v>
      </c>
      <c r="BR118" s="9" t="str">
        <f>_xll.SNL.Clients.Office.Excel.Functions.SPG(BO118, "SP_COUNTRY_NAME")</f>
        <v>China</v>
      </c>
      <c r="BS118" t="s">
        <v>591</v>
      </c>
      <c r="BT118">
        <v>109721</v>
      </c>
      <c r="BU118" t="s">
        <v>346</v>
      </c>
      <c r="BV118" s="11">
        <v>0.03</v>
      </c>
      <c r="BW118" s="9" t="str">
        <f>_xll.SNL.Clients.Office.Excel.Functions.SPG(BT118, "SP_COUNTRY_NAME")</f>
        <v>USA</v>
      </c>
      <c r="BX118" t="s">
        <v>746</v>
      </c>
      <c r="BY118">
        <v>4332537</v>
      </c>
      <c r="BZ118" t="s">
        <v>346</v>
      </c>
      <c r="CA118" s="11">
        <v>0.02</v>
      </c>
      <c r="CB118" s="9" t="str">
        <f>_xll.SNL.Clients.Office.Excel.Functions.SPG(BY118, "SP_COUNTRY_NAME")</f>
        <v>China</v>
      </c>
      <c r="CC118" t="s">
        <v>955</v>
      </c>
      <c r="CD118">
        <v>4138889</v>
      </c>
      <c r="CE118" t="s">
        <v>346</v>
      </c>
      <c r="CF118" s="11">
        <v>0.05</v>
      </c>
      <c r="CG118" s="9" t="str">
        <f>_xll.SNL.Clients.Office.Excel.Functions.SPG(CD118, "SP_COUNTRY_NAME")</f>
        <v>United Kingdom</v>
      </c>
      <c r="CH118" t="s">
        <v>588</v>
      </c>
      <c r="CI118">
        <v>111537</v>
      </c>
      <c r="CJ118" t="s">
        <v>346</v>
      </c>
      <c r="CK118" s="11">
        <v>0.02</v>
      </c>
      <c r="CL118" s="9" t="str">
        <f>_xll.SNL.Clients.Office.Excel.Functions.SPG(CI118, "SP_COUNTRY_NAME")</f>
        <v>USA</v>
      </c>
      <c r="CM118" t="s">
        <v>1218</v>
      </c>
      <c r="CN118">
        <v>4423321</v>
      </c>
      <c r="CO118" t="s">
        <v>346</v>
      </c>
      <c r="CP118" s="11">
        <v>0.04</v>
      </c>
      <c r="CQ118" s="9" t="str">
        <f>_xll.SNL.Clients.Office.Excel.Functions.SPG(CN118, "SP_COUNTRY_NAME")</f>
        <v>South Africa</v>
      </c>
      <c r="CV118" s="9" t="str">
        <f>_xll.SNL.Clients.Office.Excel.Functions.SPG(CS118, "SP_COUNTRY_NAME")</f>
        <v>#INVALID COMPANY ID</v>
      </c>
      <c r="DA118" s="9" t="str">
        <f>_xll.SNL.Clients.Office.Excel.Functions.SPG(CX118, "SP_COUNTRY_NAME")</f>
        <v>#INVALID COMPANY ID</v>
      </c>
      <c r="DB118" t="s">
        <v>1423</v>
      </c>
      <c r="DC118">
        <v>4118652</v>
      </c>
      <c r="DD118" t="s">
        <v>346</v>
      </c>
      <c r="DE118" s="11">
        <v>0.05</v>
      </c>
      <c r="DF118" s="9" t="str">
        <f>_xll.SNL.Clients.Office.Excel.Functions.SPG(DC118, "SP_COUNTRY_NAME")</f>
        <v>USA</v>
      </c>
      <c r="DK118" s="9" t="str">
        <f>_xll.SNL.Clients.Office.Excel.Functions.SPG(DH118, "SP_COUNTRY_NAME")</f>
        <v>#INVALID COMPANY ID</v>
      </c>
      <c r="DL118" t="s">
        <v>1423</v>
      </c>
      <c r="DM118">
        <v>4118652</v>
      </c>
      <c r="DN118" t="s">
        <v>346</v>
      </c>
      <c r="DO118" s="11">
        <v>0.05</v>
      </c>
      <c r="DP118" s="9" t="str">
        <f>_xll.SNL.Clients.Office.Excel.Functions.SPG(DM118, "SP_COUNTRY_NAME")</f>
        <v>USA</v>
      </c>
      <c r="DU118" s="9" t="str">
        <f>_xll.SNL.Clients.Office.Excel.Functions.SPG(DR118, "SP_COUNTRY_NAME")</f>
        <v>#INVALID COMPANY ID</v>
      </c>
      <c r="DV118" t="s">
        <v>781</v>
      </c>
      <c r="DW118">
        <v>7794310</v>
      </c>
      <c r="DX118" t="s">
        <v>346</v>
      </c>
      <c r="DY118" s="11">
        <v>0</v>
      </c>
      <c r="DZ118" s="9" t="str">
        <f>_xll.SNL.Clients.Office.Excel.Functions.SPG(DW118, "SP_COUNTRY_NAME")</f>
        <v>United Kingdom</v>
      </c>
      <c r="EA118" t="s">
        <v>955</v>
      </c>
      <c r="EB118">
        <v>4138889</v>
      </c>
      <c r="EC118" t="s">
        <v>346</v>
      </c>
      <c r="ED118" s="11">
        <v>0.05</v>
      </c>
      <c r="EE118" s="9" t="str">
        <f>_xll.SNL.Clients.Office.Excel.Functions.SPG(EB118, "SP_COUNTRY_NAME")</f>
        <v>United Kingdom</v>
      </c>
      <c r="EF118" t="s">
        <v>1423</v>
      </c>
      <c r="EG118">
        <v>4118652</v>
      </c>
      <c r="EH118" t="s">
        <v>346</v>
      </c>
      <c r="EI118" s="11">
        <v>0.05</v>
      </c>
      <c r="EJ118" s="9" t="str">
        <f>_xll.SNL.Clients.Office.Excel.Functions.SPG(EG118, "SP_COUNTRY_NAME")</f>
        <v>USA</v>
      </c>
      <c r="EO118" s="9" t="str">
        <f>_xll.SNL.Clients.Office.Excel.Functions.SPG(EL118, "SP_COUNTRY_NAME")</f>
        <v>#INVALID COMPANY ID</v>
      </c>
      <c r="EP118" t="s">
        <v>739</v>
      </c>
      <c r="EQ118">
        <v>4311270</v>
      </c>
      <c r="ER118" t="s">
        <v>346</v>
      </c>
      <c r="ES118" s="11">
        <v>0</v>
      </c>
      <c r="ET118" s="9" t="str">
        <f>_xll.SNL.Clients.Office.Excel.Functions.SPG(EQ118, "SP_COUNTRY_NAME")</f>
        <v>China</v>
      </c>
      <c r="EY118" s="9" t="str">
        <f>_xll.SNL.Clients.Office.Excel.Functions.SPG(EV118, "SP_COUNTRY_NAME")</f>
        <v>#INVALID COMPANY ID</v>
      </c>
      <c r="FD118" s="9" t="str">
        <f>_xll.SNL.Clients.Office.Excel.Functions.SPG(FA118, "SP_COUNTRY_NAME")</f>
        <v>#INVALID COMPANY ID</v>
      </c>
      <c r="FI118" s="9" t="str">
        <f>_xll.SNL.Clients.Office.Excel.Functions.SPG(FF118, "SP_COUNTRY_NAME")</f>
        <v>#INVALID COMPANY ID</v>
      </c>
      <c r="FJ118" t="s">
        <v>501</v>
      </c>
      <c r="FK118">
        <v>111359</v>
      </c>
      <c r="FL118" t="s">
        <v>346</v>
      </c>
      <c r="FM118" s="11">
        <v>0</v>
      </c>
      <c r="FN118" s="9" t="str">
        <f>_xll.SNL.Clients.Office.Excel.Functions.SPG(FK118, "SP_COUNTRY_NAME")</f>
        <v>USA</v>
      </c>
      <c r="FS118" s="9" t="str">
        <f>_xll.SNL.Clients.Office.Excel.Functions.SPG(FP118, "SP_COUNTRY_NAME")</f>
        <v>#INVALID COMPANY ID</v>
      </c>
      <c r="FX118" s="9" t="str">
        <f>_xll.SNL.Clients.Office.Excel.Functions.SPG(FU118, "SP_COUNTRY_NAME")</f>
        <v>#INVALID COMPANY ID</v>
      </c>
      <c r="FY118" t="s">
        <v>1423</v>
      </c>
      <c r="FZ118">
        <v>4118652</v>
      </c>
      <c r="GA118" t="s">
        <v>346</v>
      </c>
      <c r="GB118" s="11">
        <v>0.05</v>
      </c>
      <c r="GC118" s="9" t="str">
        <f>_xll.SNL.Clients.Office.Excel.Functions.SPG(FZ118, "SP_COUNTRY_NAME")</f>
        <v>USA</v>
      </c>
      <c r="GH118" s="9" t="str">
        <f>_xll.SNL.Clients.Office.Excel.Functions.SPG(GE118, "SP_COUNTRY_NAME")</f>
        <v>#INVALID COMPANY ID</v>
      </c>
      <c r="GM118" s="9" t="str">
        <f>_xll.SNL.Clients.Office.Excel.Functions.SPG(GJ118, "SP_COUNTRY_NAME")</f>
        <v>#INVALID COMPANY ID</v>
      </c>
      <c r="GN118" t="s">
        <v>501</v>
      </c>
      <c r="GO118">
        <v>111359</v>
      </c>
      <c r="GP118" t="s">
        <v>346</v>
      </c>
      <c r="GQ118" s="11">
        <v>0</v>
      </c>
      <c r="GR118" s="9" t="str">
        <f>_xll.SNL.Clients.Office.Excel.Functions.SPG(GO118, "SP_COUNTRY_NAME")</f>
        <v>USA</v>
      </c>
      <c r="GS118" t="s">
        <v>664</v>
      </c>
      <c r="GT118">
        <v>4138760</v>
      </c>
      <c r="GU118" t="s">
        <v>346</v>
      </c>
      <c r="GV118" s="11">
        <v>0.01</v>
      </c>
      <c r="GW118" s="9" t="str">
        <f>_xll.SNL.Clients.Office.Excel.Functions.SPG(GT118, "SP_COUNTRY_NAME")</f>
        <v>China</v>
      </c>
      <c r="GX118" t="s">
        <v>955</v>
      </c>
      <c r="GY118">
        <v>4138889</v>
      </c>
      <c r="GZ118" t="s">
        <v>346</v>
      </c>
      <c r="HA118" s="11">
        <v>0.05</v>
      </c>
      <c r="HB118" s="9" t="str">
        <f>_xll.SNL.Clients.Office.Excel.Functions.SPG(GY118, "SP_COUNTRY_NAME")</f>
        <v>United Kingdom</v>
      </c>
      <c r="HG118" s="9" t="str">
        <f>_xll.SNL.Clients.Office.Excel.Functions.SPG(HD118, "SP_COUNTRY_NAME")</f>
        <v>#INVALID COMPANY ID</v>
      </c>
    </row>
    <row r="119" spans="5:215" x14ac:dyDescent="0.35">
      <c r="E119" s="9" t="str">
        <f>_xll.SNL.Clients.Office.Excel.Functions.SPG(B119, "SP_COUNTRY_NAME")</f>
        <v>#INVALID COMPANY ID</v>
      </c>
      <c r="F119" t="s">
        <v>507</v>
      </c>
      <c r="G119">
        <v>4150758</v>
      </c>
      <c r="H119" t="s">
        <v>366</v>
      </c>
      <c r="I119" s="11">
        <v>0</v>
      </c>
      <c r="J119" s="9" t="str">
        <f>_xll.SNL.Clients.Office.Excel.Functions.SPG(G119, "SP_COUNTRY_NAME")</f>
        <v>Switzerland</v>
      </c>
      <c r="K119" t="s">
        <v>413</v>
      </c>
      <c r="L119">
        <v>4114882</v>
      </c>
      <c r="M119" t="s">
        <v>346</v>
      </c>
      <c r="N119" s="11">
        <v>0</v>
      </c>
      <c r="O119" s="9" t="str">
        <f>_xll.SNL.Clients.Office.Excel.Functions.SPG(L119, "SP_COUNTRY_NAME")</f>
        <v>Canada</v>
      </c>
      <c r="T119" s="9" t="str">
        <f>_xll.SNL.Clients.Office.Excel.Functions.SPG(Q119, "SP_COUNTRY_NAME")</f>
        <v>#INVALID COMPANY ID</v>
      </c>
      <c r="U119" t="s">
        <v>401</v>
      </c>
      <c r="V119">
        <v>4139862</v>
      </c>
      <c r="W119" t="s">
        <v>346</v>
      </c>
      <c r="X119" s="11">
        <v>0.02</v>
      </c>
      <c r="Y119" s="9" t="str">
        <f>_xll.SNL.Clients.Office.Excel.Functions.SPG(V119, "SP_COUNTRY_NAME")</f>
        <v>United Kingdom</v>
      </c>
      <c r="Z119" t="s">
        <v>413</v>
      </c>
      <c r="AA119">
        <v>4114882</v>
      </c>
      <c r="AB119" t="s">
        <v>346</v>
      </c>
      <c r="AC119" s="11">
        <v>0</v>
      </c>
      <c r="AD119" s="9" t="str">
        <f>_xll.SNL.Clients.Office.Excel.Functions.SPG(AA119, "SP_COUNTRY_NAME")</f>
        <v>Canada</v>
      </c>
      <c r="AE119" t="s">
        <v>1143</v>
      </c>
      <c r="AF119">
        <v>4138850</v>
      </c>
      <c r="AG119" t="s">
        <v>346</v>
      </c>
      <c r="AH119" s="11">
        <v>0.01</v>
      </c>
      <c r="AI119" s="9" t="str">
        <f>_xll.SNL.Clients.Office.Excel.Functions.SPG(AF119, "SP_COUNTRY_NAME")</f>
        <v>South Africa</v>
      </c>
      <c r="AN119" s="9" t="str">
        <f>_xll.SNL.Clients.Office.Excel.Functions.SPG(AK119, "SP_COUNTRY_NAME")</f>
        <v>#INVALID COMPANY ID</v>
      </c>
      <c r="AO119" t="s">
        <v>496</v>
      </c>
      <c r="AP119">
        <v>110495</v>
      </c>
      <c r="AQ119" t="s">
        <v>346</v>
      </c>
      <c r="AR119" s="11">
        <v>0.02</v>
      </c>
      <c r="AS119" s="9" t="str">
        <f>_xll.SNL.Clients.Office.Excel.Functions.SPG(AP119, "SP_COUNTRY_NAME")</f>
        <v>USA</v>
      </c>
      <c r="AX119" s="9" t="str">
        <f>_xll.SNL.Clients.Office.Excel.Functions.SPG(AU119, "SP_COUNTRY_NAME")</f>
        <v>#INVALID COMPANY ID</v>
      </c>
      <c r="BC119" s="9" t="str">
        <f>_xll.SNL.Clients.Office.Excel.Functions.SPG(AZ119, "SP_COUNTRY_NAME")</f>
        <v>#INVALID COMPANY ID</v>
      </c>
      <c r="BD119" t="s">
        <v>954</v>
      </c>
      <c r="BE119">
        <v>4026994</v>
      </c>
      <c r="BF119" t="s">
        <v>346</v>
      </c>
      <c r="BG119" s="11">
        <v>0.05</v>
      </c>
      <c r="BH119" s="9" t="str">
        <f>_xll.SNL.Clients.Office.Excel.Functions.SPG(BE119, "SP_COUNTRY_NAME")</f>
        <v>Sweden</v>
      </c>
      <c r="BI119" t="s">
        <v>482</v>
      </c>
      <c r="BJ119">
        <v>4048742</v>
      </c>
      <c r="BK119" t="s">
        <v>346</v>
      </c>
      <c r="BL119" s="11">
        <v>0.01</v>
      </c>
      <c r="BM119" s="9" t="str">
        <f>_xll.SNL.Clients.Office.Excel.Functions.SPG(BJ119, "SP_COUNTRY_NAME")</f>
        <v>Canada</v>
      </c>
      <c r="BN119" t="s">
        <v>404</v>
      </c>
      <c r="BO119">
        <v>4383779</v>
      </c>
      <c r="BP119" t="s">
        <v>346</v>
      </c>
      <c r="BQ119" s="11">
        <v>0.01</v>
      </c>
      <c r="BR119" s="9" t="str">
        <f>_xll.SNL.Clients.Office.Excel.Functions.SPG(BO119, "SP_COUNTRY_NAME")</f>
        <v>USA</v>
      </c>
      <c r="BS119" t="s">
        <v>406</v>
      </c>
      <c r="BT119">
        <v>4115698</v>
      </c>
      <c r="BU119" t="s">
        <v>346</v>
      </c>
      <c r="BV119" s="11">
        <v>0.03</v>
      </c>
      <c r="BW119" s="9" t="str">
        <f>_xll.SNL.Clients.Office.Excel.Functions.SPG(BT119, "SP_COUNTRY_NAME")</f>
        <v>United Kingdom</v>
      </c>
      <c r="BX119" t="s">
        <v>401</v>
      </c>
      <c r="BY119">
        <v>4139862</v>
      </c>
      <c r="BZ119" t="s">
        <v>346</v>
      </c>
      <c r="CA119" s="11">
        <v>0.02</v>
      </c>
      <c r="CB119" s="9" t="str">
        <f>_xll.SNL.Clients.Office.Excel.Functions.SPG(BY119, "SP_COUNTRY_NAME")</f>
        <v>United Kingdom</v>
      </c>
      <c r="CC119" t="s">
        <v>1645</v>
      </c>
      <c r="CD119">
        <v>100382</v>
      </c>
      <c r="CE119" t="s">
        <v>366</v>
      </c>
      <c r="CF119" s="11">
        <v>0.05</v>
      </c>
      <c r="CG119" s="9" t="str">
        <f>_xll.SNL.Clients.Office.Excel.Functions.SPG(CD119, "SP_COUNTRY_NAME")</f>
        <v>USA</v>
      </c>
      <c r="CH119" t="s">
        <v>496</v>
      </c>
      <c r="CI119">
        <v>110495</v>
      </c>
      <c r="CJ119" t="s">
        <v>346</v>
      </c>
      <c r="CK119" s="11">
        <v>0.02</v>
      </c>
      <c r="CL119" s="9" t="str">
        <f>_xll.SNL.Clients.Office.Excel.Functions.SPG(CI119, "SP_COUNTRY_NAME")</f>
        <v>USA</v>
      </c>
      <c r="CM119" t="s">
        <v>1755</v>
      </c>
      <c r="CN119">
        <v>5866138</v>
      </c>
      <c r="CO119" t="s">
        <v>364</v>
      </c>
      <c r="CP119" s="11">
        <v>0.04</v>
      </c>
      <c r="CQ119" s="9" t="str">
        <f>_xll.SNL.Clients.Office.Excel.Functions.SPG(CN119, "SP_COUNTRY_NAME")</f>
        <v>United Kingdom</v>
      </c>
      <c r="CV119" s="9" t="str">
        <f>_xll.SNL.Clients.Office.Excel.Functions.SPG(CS119, "SP_COUNTRY_NAME")</f>
        <v>#INVALID COMPANY ID</v>
      </c>
      <c r="DA119" s="9" t="str">
        <f>_xll.SNL.Clients.Office.Excel.Functions.SPG(CX119, "SP_COUNTRY_NAME")</f>
        <v>#INVALID COMPANY ID</v>
      </c>
      <c r="DB119" t="s">
        <v>954</v>
      </c>
      <c r="DC119">
        <v>4026994</v>
      </c>
      <c r="DD119" t="s">
        <v>346</v>
      </c>
      <c r="DE119" s="11">
        <v>0.05</v>
      </c>
      <c r="DF119" s="9" t="str">
        <f>_xll.SNL.Clients.Office.Excel.Functions.SPG(DC119, "SP_COUNTRY_NAME")</f>
        <v>Sweden</v>
      </c>
      <c r="DK119" s="9" t="str">
        <f>_xll.SNL.Clients.Office.Excel.Functions.SPG(DH119, "SP_COUNTRY_NAME")</f>
        <v>#INVALID COMPANY ID</v>
      </c>
      <c r="DL119" t="s">
        <v>954</v>
      </c>
      <c r="DM119">
        <v>4026994</v>
      </c>
      <c r="DN119" t="s">
        <v>346</v>
      </c>
      <c r="DO119" s="11">
        <v>0.05</v>
      </c>
      <c r="DP119" s="9" t="str">
        <f>_xll.SNL.Clients.Office.Excel.Functions.SPG(DM119, "SP_COUNTRY_NAME")</f>
        <v>Sweden</v>
      </c>
      <c r="DU119" s="9" t="str">
        <f>_xll.SNL.Clients.Office.Excel.Functions.SPG(DR119, "SP_COUNTRY_NAME")</f>
        <v>#INVALID COMPANY ID</v>
      </c>
      <c r="DV119" t="s">
        <v>1167</v>
      </c>
      <c r="DW119">
        <v>14992688</v>
      </c>
      <c r="DX119" t="s">
        <v>346</v>
      </c>
      <c r="DY119" s="11">
        <v>0</v>
      </c>
      <c r="DZ119" s="9" t="str">
        <f>_xll.SNL.Clients.Office.Excel.Functions.SPG(DW119, "SP_COUNTRY_NAME")</f>
        <v>Italy</v>
      </c>
      <c r="EA119" t="s">
        <v>1645</v>
      </c>
      <c r="EB119">
        <v>100382</v>
      </c>
      <c r="EC119" t="s">
        <v>366</v>
      </c>
      <c r="ED119" s="11">
        <v>0.05</v>
      </c>
      <c r="EE119" s="9" t="str">
        <f>_xll.SNL.Clients.Office.Excel.Functions.SPG(EB119, "SP_COUNTRY_NAME")</f>
        <v>USA</v>
      </c>
      <c r="EF119" t="s">
        <v>954</v>
      </c>
      <c r="EG119">
        <v>4026994</v>
      </c>
      <c r="EH119" t="s">
        <v>346</v>
      </c>
      <c r="EI119" s="11">
        <v>0.05</v>
      </c>
      <c r="EJ119" s="9" t="str">
        <f>_xll.SNL.Clients.Office.Excel.Functions.SPG(EG119, "SP_COUNTRY_NAME")</f>
        <v>Sweden</v>
      </c>
      <c r="EO119" s="9" t="str">
        <f>_xll.SNL.Clients.Office.Excel.Functions.SPG(EL119, "SP_COUNTRY_NAME")</f>
        <v>#INVALID COMPANY ID</v>
      </c>
      <c r="EP119" t="s">
        <v>459</v>
      </c>
      <c r="EQ119">
        <v>4140503</v>
      </c>
      <c r="ER119" t="s">
        <v>346</v>
      </c>
      <c r="ES119" s="11">
        <v>0</v>
      </c>
      <c r="ET119" s="9" t="str">
        <f>_xll.SNL.Clients.Office.Excel.Functions.SPG(EQ119, "SP_COUNTRY_NAME")</f>
        <v>Ireland</v>
      </c>
      <c r="EY119" s="9" t="str">
        <f>_xll.SNL.Clients.Office.Excel.Functions.SPG(EV119, "SP_COUNTRY_NAME")</f>
        <v>#INVALID COMPANY ID</v>
      </c>
      <c r="FD119" s="9" t="str">
        <f>_xll.SNL.Clients.Office.Excel.Functions.SPG(FA119, "SP_COUNTRY_NAME")</f>
        <v>#INVALID COMPANY ID</v>
      </c>
      <c r="FI119" s="9" t="str">
        <f>_xll.SNL.Clients.Office.Excel.Functions.SPG(FF119, "SP_COUNTRY_NAME")</f>
        <v>#INVALID COMPANY ID</v>
      </c>
      <c r="FJ119" t="s">
        <v>453</v>
      </c>
      <c r="FK119">
        <v>4318598</v>
      </c>
      <c r="FL119" t="s">
        <v>346</v>
      </c>
      <c r="FM119" s="11">
        <v>0</v>
      </c>
      <c r="FN119" s="9" t="str">
        <f>_xll.SNL.Clients.Office.Excel.Functions.SPG(FK119, "SP_COUNTRY_NAME")</f>
        <v>USA</v>
      </c>
      <c r="FS119" s="9" t="str">
        <f>_xll.SNL.Clients.Office.Excel.Functions.SPG(FP119, "SP_COUNTRY_NAME")</f>
        <v>#INVALID COMPANY ID</v>
      </c>
      <c r="FX119" s="9" t="str">
        <f>_xll.SNL.Clients.Office.Excel.Functions.SPG(FU119, "SP_COUNTRY_NAME")</f>
        <v>#INVALID COMPANY ID</v>
      </c>
      <c r="FY119" t="s">
        <v>954</v>
      </c>
      <c r="FZ119">
        <v>4026994</v>
      </c>
      <c r="GA119" t="s">
        <v>346</v>
      </c>
      <c r="GB119" s="11">
        <v>0.05</v>
      </c>
      <c r="GC119" s="9" t="str">
        <f>_xll.SNL.Clients.Office.Excel.Functions.SPG(FZ119, "SP_COUNTRY_NAME")</f>
        <v>Sweden</v>
      </c>
      <c r="GH119" s="9" t="str">
        <f>_xll.SNL.Clients.Office.Excel.Functions.SPG(GE119, "SP_COUNTRY_NAME")</f>
        <v>#INVALID COMPANY ID</v>
      </c>
      <c r="GM119" s="9" t="str">
        <f>_xll.SNL.Clients.Office.Excel.Functions.SPG(GJ119, "SP_COUNTRY_NAME")</f>
        <v>#INVALID COMPANY ID</v>
      </c>
      <c r="GN119" t="s">
        <v>453</v>
      </c>
      <c r="GO119">
        <v>4318598</v>
      </c>
      <c r="GP119" t="s">
        <v>346</v>
      </c>
      <c r="GQ119" s="11">
        <v>0</v>
      </c>
      <c r="GR119" s="9" t="str">
        <f>_xll.SNL.Clients.Office.Excel.Functions.SPG(GO119, "SP_COUNTRY_NAME")</f>
        <v>USA</v>
      </c>
      <c r="GS119" t="s">
        <v>404</v>
      </c>
      <c r="GT119">
        <v>4383779</v>
      </c>
      <c r="GU119" t="s">
        <v>346</v>
      </c>
      <c r="GV119" s="11">
        <v>0.01</v>
      </c>
      <c r="GW119" s="9" t="str">
        <f>_xll.SNL.Clients.Office.Excel.Functions.SPG(GT119, "SP_COUNTRY_NAME")</f>
        <v>USA</v>
      </c>
      <c r="GX119" t="s">
        <v>1645</v>
      </c>
      <c r="GY119">
        <v>100382</v>
      </c>
      <c r="GZ119" t="s">
        <v>366</v>
      </c>
      <c r="HA119" s="11">
        <v>0.05</v>
      </c>
      <c r="HB119" s="9" t="str">
        <f>_xll.SNL.Clients.Office.Excel.Functions.SPG(GY119, "SP_COUNTRY_NAME")</f>
        <v>USA</v>
      </c>
      <c r="HG119" s="9" t="str">
        <f>_xll.SNL.Clients.Office.Excel.Functions.SPG(HD119, "SP_COUNTRY_NAME")</f>
        <v>#INVALID COMPANY ID</v>
      </c>
    </row>
    <row r="120" spans="5:215" x14ac:dyDescent="0.35">
      <c r="E120" s="9" t="str">
        <f>_xll.SNL.Clients.Office.Excel.Functions.SPG(B120, "SP_COUNTRY_NAME")</f>
        <v>#INVALID COMPANY ID</v>
      </c>
      <c r="F120" t="s">
        <v>508</v>
      </c>
      <c r="G120">
        <v>4399282</v>
      </c>
      <c r="H120" t="s">
        <v>346</v>
      </c>
      <c r="I120" s="11">
        <v>0</v>
      </c>
      <c r="J120" s="9" t="str">
        <f>_xll.SNL.Clients.Office.Excel.Functions.SPG(G120, "SP_COUNTRY_NAME")</f>
        <v>Canada</v>
      </c>
      <c r="K120" t="s">
        <v>386</v>
      </c>
      <c r="L120">
        <v>4145085</v>
      </c>
      <c r="M120" t="s">
        <v>346</v>
      </c>
      <c r="N120" s="11">
        <v>0</v>
      </c>
      <c r="O120" s="9" t="str">
        <f>_xll.SNL.Clients.Office.Excel.Functions.SPG(L120, "SP_COUNTRY_NAME")</f>
        <v>United Kingdom</v>
      </c>
      <c r="T120" s="9" t="str">
        <f>_xll.SNL.Clients.Office.Excel.Functions.SPG(Q120, "SP_COUNTRY_NAME")</f>
        <v>#INVALID COMPANY ID</v>
      </c>
      <c r="U120" t="s">
        <v>666</v>
      </c>
      <c r="V120">
        <v>4379197</v>
      </c>
      <c r="W120" t="s">
        <v>346</v>
      </c>
      <c r="X120" s="11">
        <v>0.02</v>
      </c>
      <c r="Y120" s="9" t="str">
        <f>_xll.SNL.Clients.Office.Excel.Functions.SPG(V120, "SP_COUNTRY_NAME")</f>
        <v>China</v>
      </c>
      <c r="Z120" t="s">
        <v>386</v>
      </c>
      <c r="AA120">
        <v>4145085</v>
      </c>
      <c r="AB120" t="s">
        <v>346</v>
      </c>
      <c r="AC120" s="11">
        <v>0</v>
      </c>
      <c r="AD120" s="9" t="str">
        <f>_xll.SNL.Clients.Office.Excel.Functions.SPG(AA120, "SP_COUNTRY_NAME")</f>
        <v>United Kingdom</v>
      </c>
      <c r="AE120" t="s">
        <v>390</v>
      </c>
      <c r="AF120">
        <v>4135241</v>
      </c>
      <c r="AG120" t="s">
        <v>346</v>
      </c>
      <c r="AH120" s="11">
        <v>0.01</v>
      </c>
      <c r="AI120" s="9" t="str">
        <f>_xll.SNL.Clients.Office.Excel.Functions.SPG(AF120, "SP_COUNTRY_NAME")</f>
        <v>Australia</v>
      </c>
      <c r="AN120" s="9" t="str">
        <f>_xll.SNL.Clients.Office.Excel.Functions.SPG(AK120, "SP_COUNTRY_NAME")</f>
        <v>#INVALID COMPANY ID</v>
      </c>
      <c r="AO120" t="s">
        <v>533</v>
      </c>
      <c r="AP120">
        <v>4377155</v>
      </c>
      <c r="AQ120" t="s">
        <v>346</v>
      </c>
      <c r="AR120" s="11">
        <v>0.02</v>
      </c>
      <c r="AS120" s="9" t="str">
        <f>_xll.SNL.Clients.Office.Excel.Functions.SPG(AP120, "SP_COUNTRY_NAME")</f>
        <v>Belgium</v>
      </c>
      <c r="AX120" s="9" t="str">
        <f>_xll.SNL.Clients.Office.Excel.Functions.SPG(AU120, "SP_COUNTRY_NAME")</f>
        <v>#INVALID COMPANY ID</v>
      </c>
      <c r="BC120" s="9" t="str">
        <f>_xll.SNL.Clients.Office.Excel.Functions.SPG(AZ120, "SP_COUNTRY_NAME")</f>
        <v>#INVALID COMPANY ID</v>
      </c>
      <c r="BD120" t="s">
        <v>1424</v>
      </c>
      <c r="BE120">
        <v>4089578</v>
      </c>
      <c r="BF120" t="s">
        <v>346</v>
      </c>
      <c r="BG120" s="11">
        <v>0.05</v>
      </c>
      <c r="BH120" s="9" t="str">
        <f>_xll.SNL.Clients.Office.Excel.Functions.SPG(BE120, "SP_COUNTRY_NAME")</f>
        <v>USA</v>
      </c>
      <c r="BI120" t="s">
        <v>1567</v>
      </c>
      <c r="BJ120">
        <v>5859803</v>
      </c>
      <c r="BK120" t="s">
        <v>346</v>
      </c>
      <c r="BL120" s="11">
        <v>0.01</v>
      </c>
      <c r="BM120" s="9" t="str">
        <f>_xll.SNL.Clients.Office.Excel.Functions.SPG(BJ120, "SP_COUNTRY_NAME")</f>
        <v>Luxembourg</v>
      </c>
      <c r="BN120" t="s">
        <v>668</v>
      </c>
      <c r="BO120">
        <v>109523595</v>
      </c>
      <c r="BP120" t="s">
        <v>346</v>
      </c>
      <c r="BQ120" s="11">
        <v>0.01</v>
      </c>
      <c r="BR120" s="9" t="str">
        <f>_xll.SNL.Clients.Office.Excel.Functions.SPG(BO120, "SP_COUNTRY_NAME")</f>
        <v>China</v>
      </c>
      <c r="BS120" t="s">
        <v>966</v>
      </c>
      <c r="BT120">
        <v>4195225</v>
      </c>
      <c r="BU120" t="s">
        <v>346</v>
      </c>
      <c r="BV120" s="11">
        <v>0.03</v>
      </c>
      <c r="BW120" s="9" t="str">
        <f>_xll.SNL.Clients.Office.Excel.Functions.SPG(BT120, "SP_COUNTRY_NAME")</f>
        <v>United Kingdom</v>
      </c>
      <c r="BX120" t="s">
        <v>666</v>
      </c>
      <c r="BY120">
        <v>4379197</v>
      </c>
      <c r="BZ120" t="s">
        <v>346</v>
      </c>
      <c r="CA120" s="11">
        <v>0.02</v>
      </c>
      <c r="CB120" s="9" t="str">
        <f>_xll.SNL.Clients.Office.Excel.Functions.SPG(BY120, "SP_COUNTRY_NAME")</f>
        <v>China</v>
      </c>
      <c r="CC120" t="s">
        <v>1190</v>
      </c>
      <c r="CD120">
        <v>4135104</v>
      </c>
      <c r="CE120" t="s">
        <v>364</v>
      </c>
      <c r="CF120" s="11">
        <v>0.05</v>
      </c>
      <c r="CG120" s="9" t="str">
        <f>_xll.SNL.Clients.Office.Excel.Functions.SPG(CD120, "SP_COUNTRY_NAME")</f>
        <v>United Kingdom</v>
      </c>
      <c r="CH120" t="s">
        <v>533</v>
      </c>
      <c r="CI120">
        <v>4377155</v>
      </c>
      <c r="CJ120" t="s">
        <v>346</v>
      </c>
      <c r="CK120" s="11">
        <v>0.02</v>
      </c>
      <c r="CL120" s="9" t="str">
        <f>_xll.SNL.Clients.Office.Excel.Functions.SPG(CI120, "SP_COUNTRY_NAME")</f>
        <v>Belgium</v>
      </c>
      <c r="CM120" t="s">
        <v>1717</v>
      </c>
      <c r="CN120">
        <v>4117421</v>
      </c>
      <c r="CO120" t="s">
        <v>346</v>
      </c>
      <c r="CP120" s="11">
        <v>0.04</v>
      </c>
      <c r="CQ120" s="9" t="str">
        <f>_xll.SNL.Clients.Office.Excel.Functions.SPG(CN120, "SP_COUNTRY_NAME")</f>
        <v>USA</v>
      </c>
      <c r="CV120" s="9" t="str">
        <f>_xll.SNL.Clients.Office.Excel.Functions.SPG(CS120, "SP_COUNTRY_NAME")</f>
        <v>#INVALID COMPANY ID</v>
      </c>
      <c r="DA120" s="9" t="str">
        <f>_xll.SNL.Clients.Office.Excel.Functions.SPG(CX120, "SP_COUNTRY_NAME")</f>
        <v>#INVALID COMPANY ID</v>
      </c>
      <c r="DB120" t="s">
        <v>1424</v>
      </c>
      <c r="DC120">
        <v>4089578</v>
      </c>
      <c r="DD120" t="s">
        <v>346</v>
      </c>
      <c r="DE120" s="11">
        <v>0.05</v>
      </c>
      <c r="DF120" s="9" t="str">
        <f>_xll.SNL.Clients.Office.Excel.Functions.SPG(DC120, "SP_COUNTRY_NAME")</f>
        <v>USA</v>
      </c>
      <c r="DK120" s="9" t="str">
        <f>_xll.SNL.Clients.Office.Excel.Functions.SPG(DH120, "SP_COUNTRY_NAME")</f>
        <v>#INVALID COMPANY ID</v>
      </c>
      <c r="DL120" t="s">
        <v>1424</v>
      </c>
      <c r="DM120">
        <v>4089578</v>
      </c>
      <c r="DN120" t="s">
        <v>346</v>
      </c>
      <c r="DO120" s="11">
        <v>0.05</v>
      </c>
      <c r="DP120" s="9" t="str">
        <f>_xll.SNL.Clients.Office.Excel.Functions.SPG(DM120, "SP_COUNTRY_NAME")</f>
        <v>USA</v>
      </c>
      <c r="DU120" s="9" t="str">
        <f>_xll.SNL.Clients.Office.Excel.Functions.SPG(DR120, "SP_COUNTRY_NAME")</f>
        <v>#INVALID COMPANY ID</v>
      </c>
      <c r="DV120" t="s">
        <v>1217</v>
      </c>
      <c r="DW120">
        <v>7800204</v>
      </c>
      <c r="DX120" t="s">
        <v>364</v>
      </c>
      <c r="DY120" s="11">
        <v>0</v>
      </c>
      <c r="DZ120" s="9" t="str">
        <f>_xll.SNL.Clients.Office.Excel.Functions.SPG(DW120, "SP_COUNTRY_NAME")</f>
        <v>South Africa</v>
      </c>
      <c r="EA120" t="s">
        <v>1190</v>
      </c>
      <c r="EB120">
        <v>4135104</v>
      </c>
      <c r="EC120" t="s">
        <v>364</v>
      </c>
      <c r="ED120" s="11">
        <v>0.05</v>
      </c>
      <c r="EE120" s="9" t="str">
        <f>_xll.SNL.Clients.Office.Excel.Functions.SPG(EB120, "SP_COUNTRY_NAME")</f>
        <v>United Kingdom</v>
      </c>
      <c r="EF120" t="s">
        <v>1424</v>
      </c>
      <c r="EG120">
        <v>4089578</v>
      </c>
      <c r="EH120" t="s">
        <v>346</v>
      </c>
      <c r="EI120" s="11">
        <v>0.05</v>
      </c>
      <c r="EJ120" s="9" t="str">
        <f>_xll.SNL.Clients.Office.Excel.Functions.SPG(EG120, "SP_COUNTRY_NAME")</f>
        <v>USA</v>
      </c>
      <c r="EO120" s="9" t="str">
        <f>_xll.SNL.Clients.Office.Excel.Functions.SPG(EL120, "SP_COUNTRY_NAME")</f>
        <v>#INVALID COMPANY ID</v>
      </c>
      <c r="EP120" t="s">
        <v>526</v>
      </c>
      <c r="EQ120">
        <v>4248288</v>
      </c>
      <c r="ER120" t="s">
        <v>346</v>
      </c>
      <c r="ES120" s="11">
        <v>0</v>
      </c>
      <c r="ET120" s="9" t="str">
        <f>_xll.SNL.Clients.Office.Excel.Functions.SPG(EQ120, "SP_COUNTRY_NAME")</f>
        <v>Canada</v>
      </c>
      <c r="EY120" s="9" t="str">
        <f>_xll.SNL.Clients.Office.Excel.Functions.SPG(EV120, "SP_COUNTRY_NAME")</f>
        <v>#INVALID COMPANY ID</v>
      </c>
      <c r="FD120" s="9" t="str">
        <f>_xll.SNL.Clients.Office.Excel.Functions.SPG(FA120, "SP_COUNTRY_NAME")</f>
        <v>#INVALID COMPANY ID</v>
      </c>
      <c r="FI120" s="9" t="str">
        <f>_xll.SNL.Clients.Office.Excel.Functions.SPG(FF120, "SP_COUNTRY_NAME")</f>
        <v>#INVALID COMPANY ID</v>
      </c>
      <c r="FJ120" t="s">
        <v>527</v>
      </c>
      <c r="FK120">
        <v>4212947</v>
      </c>
      <c r="FL120" t="s">
        <v>346</v>
      </c>
      <c r="FM120" s="11">
        <v>0</v>
      </c>
      <c r="FN120" s="9" t="str">
        <f>_xll.SNL.Clients.Office.Excel.Functions.SPG(FK120, "SP_COUNTRY_NAME")</f>
        <v>Japan</v>
      </c>
      <c r="FS120" s="9" t="str">
        <f>_xll.SNL.Clients.Office.Excel.Functions.SPG(FP120, "SP_COUNTRY_NAME")</f>
        <v>#INVALID COMPANY ID</v>
      </c>
      <c r="FX120" s="9" t="str">
        <f>_xll.SNL.Clients.Office.Excel.Functions.SPG(FU120, "SP_COUNTRY_NAME")</f>
        <v>#INVALID COMPANY ID</v>
      </c>
      <c r="FY120" t="s">
        <v>1424</v>
      </c>
      <c r="FZ120">
        <v>4089578</v>
      </c>
      <c r="GA120" t="s">
        <v>346</v>
      </c>
      <c r="GB120" s="11">
        <v>0.05</v>
      </c>
      <c r="GC120" s="9" t="str">
        <f>_xll.SNL.Clients.Office.Excel.Functions.SPG(FZ120, "SP_COUNTRY_NAME")</f>
        <v>USA</v>
      </c>
      <c r="GH120" s="9" t="str">
        <f>_xll.SNL.Clients.Office.Excel.Functions.SPG(GE120, "SP_COUNTRY_NAME")</f>
        <v>#INVALID COMPANY ID</v>
      </c>
      <c r="GM120" s="9" t="str">
        <f>_xll.SNL.Clients.Office.Excel.Functions.SPG(GJ120, "SP_COUNTRY_NAME")</f>
        <v>#INVALID COMPANY ID</v>
      </c>
      <c r="GN120" t="s">
        <v>527</v>
      </c>
      <c r="GO120">
        <v>4212947</v>
      </c>
      <c r="GP120" t="s">
        <v>346</v>
      </c>
      <c r="GQ120" s="11">
        <v>0</v>
      </c>
      <c r="GR120" s="9" t="str">
        <f>_xll.SNL.Clients.Office.Excel.Functions.SPG(GO120, "SP_COUNTRY_NAME")</f>
        <v>Japan</v>
      </c>
      <c r="GS120" t="s">
        <v>668</v>
      </c>
      <c r="GT120">
        <v>109523595</v>
      </c>
      <c r="GU120" t="s">
        <v>346</v>
      </c>
      <c r="GV120" s="11">
        <v>0.01</v>
      </c>
      <c r="GW120" s="9" t="str">
        <f>_xll.SNL.Clients.Office.Excel.Functions.SPG(GT120, "SP_COUNTRY_NAME")</f>
        <v>China</v>
      </c>
      <c r="GX120" t="s">
        <v>1190</v>
      </c>
      <c r="GY120">
        <v>4135104</v>
      </c>
      <c r="GZ120" t="s">
        <v>364</v>
      </c>
      <c r="HA120" s="11">
        <v>0.05</v>
      </c>
      <c r="HB120" s="9" t="str">
        <f>_xll.SNL.Clients.Office.Excel.Functions.SPG(GY120, "SP_COUNTRY_NAME")</f>
        <v>United Kingdom</v>
      </c>
      <c r="HG120" s="9" t="str">
        <f>_xll.SNL.Clients.Office.Excel.Functions.SPG(HD120, "SP_COUNTRY_NAME")</f>
        <v>#INVALID COMPANY ID</v>
      </c>
    </row>
    <row r="121" spans="5:215" x14ac:dyDescent="0.35">
      <c r="E121" s="9" t="str">
        <f>_xll.SNL.Clients.Office.Excel.Functions.SPG(B121, "SP_COUNTRY_NAME")</f>
        <v>#INVALID COMPANY ID</v>
      </c>
      <c r="F121" t="s">
        <v>509</v>
      </c>
      <c r="G121">
        <v>4226520</v>
      </c>
      <c r="H121" t="s">
        <v>346</v>
      </c>
      <c r="I121" s="11">
        <v>0</v>
      </c>
      <c r="J121" s="9" t="str">
        <f>_xll.SNL.Clients.Office.Excel.Functions.SPG(G121, "SP_COUNTRY_NAME")</f>
        <v>Canada</v>
      </c>
      <c r="K121" t="s">
        <v>684</v>
      </c>
      <c r="L121">
        <v>4139415</v>
      </c>
      <c r="M121" t="s">
        <v>346</v>
      </c>
      <c r="N121" s="11">
        <v>0</v>
      </c>
      <c r="O121" s="9" t="str">
        <f>_xll.SNL.Clients.Office.Excel.Functions.SPG(L121, "SP_COUNTRY_NAME")</f>
        <v>China</v>
      </c>
      <c r="T121" s="9" t="str">
        <f>_xll.SNL.Clients.Office.Excel.Functions.SPG(Q121, "SP_COUNTRY_NAME")</f>
        <v>#INVALID COMPANY ID</v>
      </c>
      <c r="U121" t="s">
        <v>484</v>
      </c>
      <c r="V121">
        <v>110386</v>
      </c>
      <c r="W121" t="s">
        <v>346</v>
      </c>
      <c r="X121" s="11">
        <v>0.02</v>
      </c>
      <c r="Y121" s="9" t="str">
        <f>_xll.SNL.Clients.Office.Excel.Functions.SPG(V121, "SP_COUNTRY_NAME")</f>
        <v>USA</v>
      </c>
      <c r="Z121" t="s">
        <v>684</v>
      </c>
      <c r="AA121">
        <v>4139415</v>
      </c>
      <c r="AB121" t="s">
        <v>346</v>
      </c>
      <c r="AC121" s="11">
        <v>0</v>
      </c>
      <c r="AD121" s="9" t="str">
        <f>_xll.SNL.Clients.Office.Excel.Functions.SPG(AA121, "SP_COUNTRY_NAME")</f>
        <v>China</v>
      </c>
      <c r="AE121" t="s">
        <v>1144</v>
      </c>
      <c r="AF121">
        <v>4342473</v>
      </c>
      <c r="AG121" t="s">
        <v>346</v>
      </c>
      <c r="AH121" s="11">
        <v>0.01</v>
      </c>
      <c r="AI121" s="9" t="str">
        <f>_xll.SNL.Clients.Office.Excel.Functions.SPG(AF121, "SP_COUNTRY_NAME")</f>
        <v>Switzerland</v>
      </c>
      <c r="AN121" s="9" t="str">
        <f>_xll.SNL.Clients.Office.Excel.Functions.SPG(AK121, "SP_COUNTRY_NAME")</f>
        <v>#INVALID COMPANY ID</v>
      </c>
      <c r="AO121" t="s">
        <v>499</v>
      </c>
      <c r="AP121">
        <v>4073190</v>
      </c>
      <c r="AQ121" t="s">
        <v>346</v>
      </c>
      <c r="AR121" s="11">
        <v>0.02</v>
      </c>
      <c r="AS121" s="9" t="str">
        <f>_xll.SNL.Clients.Office.Excel.Functions.SPG(AP121, "SP_COUNTRY_NAME")</f>
        <v>USA</v>
      </c>
      <c r="AX121" s="9" t="str">
        <f>_xll.SNL.Clients.Office.Excel.Functions.SPG(AU121, "SP_COUNTRY_NAME")</f>
        <v>#INVALID COMPANY ID</v>
      </c>
      <c r="BC121" s="9" t="str">
        <f>_xll.SNL.Clients.Office.Excel.Functions.SPG(AZ121, "SP_COUNTRY_NAME")</f>
        <v>#INVALID COMPANY ID</v>
      </c>
      <c r="BD121" t="s">
        <v>1425</v>
      </c>
      <c r="BE121">
        <v>4115725</v>
      </c>
      <c r="BF121" t="s">
        <v>346</v>
      </c>
      <c r="BG121" s="11">
        <v>0.05</v>
      </c>
      <c r="BH121" s="9" t="str">
        <f>_xll.SNL.Clients.Office.Excel.Functions.SPG(BE121, "SP_COUNTRY_NAME")</f>
        <v>United Kingdom</v>
      </c>
      <c r="BI121" t="s">
        <v>820</v>
      </c>
      <c r="BJ121">
        <v>4240804</v>
      </c>
      <c r="BK121" t="s">
        <v>346</v>
      </c>
      <c r="BL121" s="11">
        <v>0.01</v>
      </c>
      <c r="BM121" s="9" t="str">
        <f>_xll.SNL.Clients.Office.Excel.Functions.SPG(BJ121, "SP_COUNTRY_NAME")</f>
        <v>Taiwan</v>
      </c>
      <c r="BN121" t="s">
        <v>471</v>
      </c>
      <c r="BO121">
        <v>4102247</v>
      </c>
      <c r="BP121" t="s">
        <v>346</v>
      </c>
      <c r="BQ121" s="11">
        <v>0.01</v>
      </c>
      <c r="BR121" s="9" t="str">
        <f>_xll.SNL.Clients.Office.Excel.Functions.SPG(BO121, "SP_COUNTRY_NAME")</f>
        <v>USA</v>
      </c>
      <c r="BS121" t="s">
        <v>967</v>
      </c>
      <c r="BT121">
        <v>19536721</v>
      </c>
      <c r="BU121" t="s">
        <v>346</v>
      </c>
      <c r="BV121" s="11">
        <v>0.03</v>
      </c>
      <c r="BW121" s="9" t="str">
        <f>_xll.SNL.Clients.Office.Excel.Functions.SPG(BT121, "SP_COUNTRY_NAME")</f>
        <v>Australia</v>
      </c>
      <c r="BX121" t="s">
        <v>484</v>
      </c>
      <c r="BY121">
        <v>110386</v>
      </c>
      <c r="BZ121" t="s">
        <v>346</v>
      </c>
      <c r="CA121" s="11">
        <v>0.02</v>
      </c>
      <c r="CB121" s="9" t="str">
        <f>_xll.SNL.Clients.Office.Excel.Functions.SPG(BY121, "SP_COUNTRY_NAME")</f>
        <v>USA</v>
      </c>
      <c r="CC121" t="s">
        <v>1646</v>
      </c>
      <c r="CD121">
        <v>4289255</v>
      </c>
      <c r="CE121" t="s">
        <v>346</v>
      </c>
      <c r="CF121" s="11">
        <v>0.04</v>
      </c>
      <c r="CG121" s="9" t="str">
        <f>_xll.SNL.Clients.Office.Excel.Functions.SPG(CD121, "SP_COUNTRY_NAME")</f>
        <v>Brazil</v>
      </c>
      <c r="CH121" t="s">
        <v>499</v>
      </c>
      <c r="CI121">
        <v>4073190</v>
      </c>
      <c r="CJ121" t="s">
        <v>346</v>
      </c>
      <c r="CK121" s="11">
        <v>0.02</v>
      </c>
      <c r="CL121" s="9" t="str">
        <f>_xll.SNL.Clients.Office.Excel.Functions.SPG(CI121, "SP_COUNTRY_NAME")</f>
        <v>USA</v>
      </c>
      <c r="CM121" t="s">
        <v>1777</v>
      </c>
      <c r="CN121">
        <v>4115973</v>
      </c>
      <c r="CO121" t="s">
        <v>346</v>
      </c>
      <c r="CP121" s="11">
        <v>0.04</v>
      </c>
      <c r="CQ121" s="9" t="str">
        <f>_xll.SNL.Clients.Office.Excel.Functions.SPG(CN121, "SP_COUNTRY_NAME")</f>
        <v>USA</v>
      </c>
      <c r="CV121" s="9" t="str">
        <f>_xll.SNL.Clients.Office.Excel.Functions.SPG(CS121, "SP_COUNTRY_NAME")</f>
        <v>#INVALID COMPANY ID</v>
      </c>
      <c r="DA121" s="9" t="str">
        <f>_xll.SNL.Clients.Office.Excel.Functions.SPG(CX121, "SP_COUNTRY_NAME")</f>
        <v>#INVALID COMPANY ID</v>
      </c>
      <c r="DB121" t="s">
        <v>1425</v>
      </c>
      <c r="DC121">
        <v>4115725</v>
      </c>
      <c r="DD121" t="s">
        <v>346</v>
      </c>
      <c r="DE121" s="11">
        <v>0.05</v>
      </c>
      <c r="DF121" s="9" t="str">
        <f>_xll.SNL.Clients.Office.Excel.Functions.SPG(DC121, "SP_COUNTRY_NAME")</f>
        <v>United Kingdom</v>
      </c>
      <c r="DK121" s="9" t="str">
        <f>_xll.SNL.Clients.Office.Excel.Functions.SPG(DH121, "SP_COUNTRY_NAME")</f>
        <v>#INVALID COMPANY ID</v>
      </c>
      <c r="DL121" t="s">
        <v>1425</v>
      </c>
      <c r="DM121">
        <v>4115725</v>
      </c>
      <c r="DN121" t="s">
        <v>346</v>
      </c>
      <c r="DO121" s="11">
        <v>0.05</v>
      </c>
      <c r="DP121" s="9" t="str">
        <f>_xll.SNL.Clients.Office.Excel.Functions.SPG(DM121, "SP_COUNTRY_NAME")</f>
        <v>United Kingdom</v>
      </c>
      <c r="DU121" s="9" t="str">
        <f>_xll.SNL.Clients.Office.Excel.Functions.SPG(DR121, "SP_COUNTRY_NAME")</f>
        <v>#INVALID COMPANY ID</v>
      </c>
      <c r="DV121" t="s">
        <v>428</v>
      </c>
      <c r="DW121">
        <v>4116134</v>
      </c>
      <c r="DX121" t="s">
        <v>346</v>
      </c>
      <c r="DY121" s="11">
        <v>0</v>
      </c>
      <c r="DZ121" s="9" t="str">
        <f>_xll.SNL.Clients.Office.Excel.Functions.SPG(DW121, "SP_COUNTRY_NAME")</f>
        <v>Japan</v>
      </c>
      <c r="EA121" t="s">
        <v>1646</v>
      </c>
      <c r="EB121">
        <v>4289255</v>
      </c>
      <c r="EC121" t="s">
        <v>346</v>
      </c>
      <c r="ED121" s="11">
        <v>0.04</v>
      </c>
      <c r="EE121" s="9" t="str">
        <f>_xll.SNL.Clients.Office.Excel.Functions.SPG(EB121, "SP_COUNTRY_NAME")</f>
        <v>Brazil</v>
      </c>
      <c r="EF121" t="s">
        <v>1425</v>
      </c>
      <c r="EG121">
        <v>4115725</v>
      </c>
      <c r="EH121" t="s">
        <v>346</v>
      </c>
      <c r="EI121" s="11">
        <v>0.05</v>
      </c>
      <c r="EJ121" s="9" t="str">
        <f>_xll.SNL.Clients.Office.Excel.Functions.SPG(EG121, "SP_COUNTRY_NAME")</f>
        <v>United Kingdom</v>
      </c>
      <c r="EO121" s="9" t="str">
        <f>_xll.SNL.Clients.Office.Excel.Functions.SPG(EL121, "SP_COUNTRY_NAME")</f>
        <v>#INVALID COMPANY ID</v>
      </c>
      <c r="EP121" t="s">
        <v>2134</v>
      </c>
      <c r="EQ121" t="s">
        <v>300</v>
      </c>
      <c r="ER121" t="s">
        <v>361</v>
      </c>
      <c r="ES121" s="11">
        <v>0</v>
      </c>
      <c r="ET121" s="9" t="str">
        <f>_xll.SNL.Clients.Office.Excel.Functions.SPG(EQ121, "SP_COUNTRY_NAME")</f>
        <v>China</v>
      </c>
      <c r="EY121" s="9" t="str">
        <f>_xll.SNL.Clients.Office.Excel.Functions.SPG(EV121, "SP_COUNTRY_NAME")</f>
        <v>#INVALID COMPANY ID</v>
      </c>
      <c r="FD121" s="9" t="str">
        <f>_xll.SNL.Clients.Office.Excel.Functions.SPG(FA121, "SP_COUNTRY_NAME")</f>
        <v>#INVALID COMPANY ID</v>
      </c>
      <c r="FI121" s="9" t="str">
        <f>_xll.SNL.Clients.Office.Excel.Functions.SPG(FF121, "SP_COUNTRY_NAME")</f>
        <v>#INVALID COMPANY ID</v>
      </c>
      <c r="FJ121" t="s">
        <v>567</v>
      </c>
      <c r="FK121">
        <v>4139837</v>
      </c>
      <c r="FL121" t="s">
        <v>346</v>
      </c>
      <c r="FM121" s="11">
        <v>0</v>
      </c>
      <c r="FN121" s="9" t="str">
        <f>_xll.SNL.Clients.Office.Excel.Functions.SPG(FK121, "SP_COUNTRY_NAME")</f>
        <v>Japan</v>
      </c>
      <c r="FS121" s="9" t="str">
        <f>_xll.SNL.Clients.Office.Excel.Functions.SPG(FP121, "SP_COUNTRY_NAME")</f>
        <v>#INVALID COMPANY ID</v>
      </c>
      <c r="FX121" s="9" t="str">
        <f>_xll.SNL.Clients.Office.Excel.Functions.SPG(FU121, "SP_COUNTRY_NAME")</f>
        <v>#INVALID COMPANY ID</v>
      </c>
      <c r="FY121" t="s">
        <v>1425</v>
      </c>
      <c r="FZ121">
        <v>4115725</v>
      </c>
      <c r="GA121" t="s">
        <v>346</v>
      </c>
      <c r="GB121" s="11">
        <v>0.05</v>
      </c>
      <c r="GC121" s="9" t="str">
        <f>_xll.SNL.Clients.Office.Excel.Functions.SPG(FZ121, "SP_COUNTRY_NAME")</f>
        <v>United Kingdom</v>
      </c>
      <c r="GH121" s="9" t="str">
        <f>_xll.SNL.Clients.Office.Excel.Functions.SPG(GE121, "SP_COUNTRY_NAME")</f>
        <v>#INVALID COMPANY ID</v>
      </c>
      <c r="GM121" s="9" t="str">
        <f>_xll.SNL.Clients.Office.Excel.Functions.SPG(GJ121, "SP_COUNTRY_NAME")</f>
        <v>#INVALID COMPANY ID</v>
      </c>
      <c r="GN121" t="s">
        <v>567</v>
      </c>
      <c r="GO121">
        <v>4139837</v>
      </c>
      <c r="GP121" t="s">
        <v>346</v>
      </c>
      <c r="GQ121" s="11">
        <v>0</v>
      </c>
      <c r="GR121" s="9" t="str">
        <f>_xll.SNL.Clients.Office.Excel.Functions.SPG(GO121, "SP_COUNTRY_NAME")</f>
        <v>Japan</v>
      </c>
      <c r="GS121" t="s">
        <v>471</v>
      </c>
      <c r="GT121">
        <v>4102247</v>
      </c>
      <c r="GU121" t="s">
        <v>346</v>
      </c>
      <c r="GV121" s="11">
        <v>0.01</v>
      </c>
      <c r="GW121" s="9" t="str">
        <f>_xll.SNL.Clients.Office.Excel.Functions.SPG(GT121, "SP_COUNTRY_NAME")</f>
        <v>USA</v>
      </c>
      <c r="GX121" t="s">
        <v>1646</v>
      </c>
      <c r="GY121">
        <v>4289255</v>
      </c>
      <c r="GZ121" t="s">
        <v>346</v>
      </c>
      <c r="HA121" s="11">
        <v>0.04</v>
      </c>
      <c r="HB121" s="9" t="str">
        <f>_xll.SNL.Clients.Office.Excel.Functions.SPG(GY121, "SP_COUNTRY_NAME")</f>
        <v>Brazil</v>
      </c>
      <c r="HG121" s="9" t="str">
        <f>_xll.SNL.Clients.Office.Excel.Functions.SPG(HD121, "SP_COUNTRY_NAME")</f>
        <v>#INVALID COMPANY ID</v>
      </c>
    </row>
    <row r="122" spans="5:215" x14ac:dyDescent="0.35">
      <c r="E122" s="9" t="str">
        <f>_xll.SNL.Clients.Office.Excel.Functions.SPG(B122, "SP_COUNTRY_NAME")</f>
        <v>#INVALID COMPANY ID</v>
      </c>
      <c r="F122" t="s">
        <v>510</v>
      </c>
      <c r="G122">
        <v>4089114</v>
      </c>
      <c r="H122" t="s">
        <v>346</v>
      </c>
      <c r="I122" s="11">
        <v>0</v>
      </c>
      <c r="J122" s="9" t="str">
        <f>_xll.SNL.Clients.Office.Excel.Functions.SPG(G122, "SP_COUNTRY_NAME")</f>
        <v>USA</v>
      </c>
      <c r="K122" t="s">
        <v>685</v>
      </c>
      <c r="L122">
        <v>4641730</v>
      </c>
      <c r="M122" t="s">
        <v>346</v>
      </c>
      <c r="N122" s="11">
        <v>0</v>
      </c>
      <c r="O122" s="9" t="str">
        <f>_xll.SNL.Clients.Office.Excel.Functions.SPG(L122, "SP_COUNTRY_NAME")</f>
        <v>Hong Kong</v>
      </c>
      <c r="T122" s="9" t="str">
        <f>_xll.SNL.Clients.Office.Excel.Functions.SPG(Q122, "SP_COUNTRY_NAME")</f>
        <v>#INVALID COMPANY ID</v>
      </c>
      <c r="U122" t="s">
        <v>747</v>
      </c>
      <c r="V122">
        <v>4345964</v>
      </c>
      <c r="W122" t="s">
        <v>346</v>
      </c>
      <c r="X122" s="11">
        <v>0.02</v>
      </c>
      <c r="Y122" s="9" t="str">
        <f>_xll.SNL.Clients.Office.Excel.Functions.SPG(V122, "SP_COUNTRY_NAME")</f>
        <v>China</v>
      </c>
      <c r="Z122" t="s">
        <v>685</v>
      </c>
      <c r="AA122">
        <v>4641730</v>
      </c>
      <c r="AB122" t="s">
        <v>346</v>
      </c>
      <c r="AC122" s="11">
        <v>0</v>
      </c>
      <c r="AD122" s="9" t="str">
        <f>_xll.SNL.Clients.Office.Excel.Functions.SPG(AA122, "SP_COUNTRY_NAME")</f>
        <v>Hong Kong</v>
      </c>
      <c r="AE122" t="s">
        <v>1145</v>
      </c>
      <c r="AF122">
        <v>4663465</v>
      </c>
      <c r="AG122" t="s">
        <v>364</v>
      </c>
      <c r="AH122" s="11">
        <v>0</v>
      </c>
      <c r="AI122" s="9" t="str">
        <f>_xll.SNL.Clients.Office.Excel.Functions.SPG(AF122, "SP_COUNTRY_NAME")</f>
        <v>USA</v>
      </c>
      <c r="AN122" s="9" t="str">
        <f>_xll.SNL.Clients.Office.Excel.Functions.SPG(AK122, "SP_COUNTRY_NAME")</f>
        <v>#INVALID COMPANY ID</v>
      </c>
      <c r="AO122" t="s">
        <v>1292</v>
      </c>
      <c r="AP122">
        <v>5884486</v>
      </c>
      <c r="AQ122" t="s">
        <v>346</v>
      </c>
      <c r="AR122" s="11">
        <v>0.02</v>
      </c>
      <c r="AS122" s="9" t="str">
        <f>_xll.SNL.Clients.Office.Excel.Functions.SPG(AP122, "SP_COUNTRY_NAME")</f>
        <v>South Africa</v>
      </c>
      <c r="AX122" s="9" t="str">
        <f>_xll.SNL.Clients.Office.Excel.Functions.SPG(AU122, "SP_COUNTRY_NAME")</f>
        <v>#INVALID COMPANY ID</v>
      </c>
      <c r="BC122" s="9" t="str">
        <f>_xll.SNL.Clients.Office.Excel.Functions.SPG(AZ122, "SP_COUNTRY_NAME")</f>
        <v>#INVALID COMPANY ID</v>
      </c>
      <c r="BD122" t="s">
        <v>1270</v>
      </c>
      <c r="BE122">
        <v>5845361</v>
      </c>
      <c r="BF122" t="s">
        <v>364</v>
      </c>
      <c r="BG122" s="11">
        <v>0.04</v>
      </c>
      <c r="BH122" s="9" t="str">
        <f>_xll.SNL.Clients.Office.Excel.Functions.SPG(BE122, "SP_COUNTRY_NAME")</f>
        <v>South Africa</v>
      </c>
      <c r="BI122" t="s">
        <v>466</v>
      </c>
      <c r="BJ122">
        <v>111267</v>
      </c>
      <c r="BK122" t="s">
        <v>346</v>
      </c>
      <c r="BL122" s="11">
        <v>0.01</v>
      </c>
      <c r="BM122" s="9" t="str">
        <f>_xll.SNL.Clients.Office.Excel.Functions.SPG(BJ122, "SP_COUNTRY_NAME")</f>
        <v>United Kingdom</v>
      </c>
      <c r="BN122" t="s">
        <v>710</v>
      </c>
      <c r="BO122">
        <v>4559567</v>
      </c>
      <c r="BP122" t="s">
        <v>346</v>
      </c>
      <c r="BQ122" s="11">
        <v>0.01</v>
      </c>
      <c r="BR122" s="9" t="str">
        <f>_xll.SNL.Clients.Office.Excel.Functions.SPG(BO122, "SP_COUNTRY_NAME")</f>
        <v>China</v>
      </c>
      <c r="BS122" t="s">
        <v>443</v>
      </c>
      <c r="BT122">
        <v>110787</v>
      </c>
      <c r="BU122" t="s">
        <v>346</v>
      </c>
      <c r="BV122" s="11">
        <v>0.03</v>
      </c>
      <c r="BW122" s="9" t="str">
        <f>_xll.SNL.Clients.Office.Excel.Functions.SPG(BT122, "SP_COUNTRY_NAME")</f>
        <v>USA</v>
      </c>
      <c r="BX122" t="s">
        <v>747</v>
      </c>
      <c r="BY122">
        <v>4345964</v>
      </c>
      <c r="BZ122" t="s">
        <v>346</v>
      </c>
      <c r="CA122" s="11">
        <v>0.02</v>
      </c>
      <c r="CB122" s="9" t="str">
        <f>_xll.SNL.Clients.Office.Excel.Functions.SPG(BY122, "SP_COUNTRY_NAME")</f>
        <v>China</v>
      </c>
      <c r="CC122" t="s">
        <v>591</v>
      </c>
      <c r="CD122">
        <v>109721</v>
      </c>
      <c r="CE122" t="s">
        <v>346</v>
      </c>
      <c r="CF122" s="11">
        <v>0.04</v>
      </c>
      <c r="CG122" s="9" t="str">
        <f>_xll.SNL.Clients.Office.Excel.Functions.SPG(CD122, "SP_COUNTRY_NAME")</f>
        <v>USA</v>
      </c>
      <c r="CH122" t="s">
        <v>1292</v>
      </c>
      <c r="CI122">
        <v>5884486</v>
      </c>
      <c r="CJ122" t="s">
        <v>346</v>
      </c>
      <c r="CK122" s="11">
        <v>0.02</v>
      </c>
      <c r="CL122" s="9" t="str">
        <f>_xll.SNL.Clients.Office.Excel.Functions.SPG(CI122, "SP_COUNTRY_NAME")</f>
        <v>South Africa</v>
      </c>
      <c r="CM122" t="s">
        <v>1282</v>
      </c>
      <c r="CN122">
        <v>102734</v>
      </c>
      <c r="CO122" t="s">
        <v>346</v>
      </c>
      <c r="CP122" s="11">
        <v>0.04</v>
      </c>
      <c r="CQ122" s="9" t="str">
        <f>_xll.SNL.Clients.Office.Excel.Functions.SPG(CN122, "SP_COUNTRY_NAME")</f>
        <v>USA</v>
      </c>
      <c r="CV122" s="9" t="str">
        <f>_xll.SNL.Clients.Office.Excel.Functions.SPG(CS122, "SP_COUNTRY_NAME")</f>
        <v>#INVALID COMPANY ID</v>
      </c>
      <c r="DA122" s="9" t="str">
        <f>_xll.SNL.Clients.Office.Excel.Functions.SPG(CX122, "SP_COUNTRY_NAME")</f>
        <v>#INVALID COMPANY ID</v>
      </c>
      <c r="DB122" t="s">
        <v>1270</v>
      </c>
      <c r="DC122">
        <v>5845361</v>
      </c>
      <c r="DD122" t="s">
        <v>364</v>
      </c>
      <c r="DE122" s="11">
        <v>0.04</v>
      </c>
      <c r="DF122" s="9" t="str">
        <f>_xll.SNL.Clients.Office.Excel.Functions.SPG(DC122, "SP_COUNTRY_NAME")</f>
        <v>South Africa</v>
      </c>
      <c r="DK122" s="9" t="str">
        <f>_xll.SNL.Clients.Office.Excel.Functions.SPG(DH122, "SP_COUNTRY_NAME")</f>
        <v>#INVALID COMPANY ID</v>
      </c>
      <c r="DL122" t="s">
        <v>1270</v>
      </c>
      <c r="DM122">
        <v>5845361</v>
      </c>
      <c r="DN122" t="s">
        <v>364</v>
      </c>
      <c r="DO122" s="11">
        <v>0.04</v>
      </c>
      <c r="DP122" s="9" t="str">
        <f>_xll.SNL.Clients.Office.Excel.Functions.SPG(DM122, "SP_COUNTRY_NAME")</f>
        <v>South Africa</v>
      </c>
      <c r="DU122" s="9" t="str">
        <f>_xll.SNL.Clients.Office.Excel.Functions.SPG(DR122, "SP_COUNTRY_NAME")</f>
        <v>#INVALID COMPANY ID</v>
      </c>
      <c r="DV122" t="s">
        <v>588</v>
      </c>
      <c r="DW122">
        <v>111537</v>
      </c>
      <c r="DX122" t="s">
        <v>346</v>
      </c>
      <c r="DY122" s="11">
        <v>0</v>
      </c>
      <c r="DZ122" s="9" t="str">
        <f>_xll.SNL.Clients.Office.Excel.Functions.SPG(DW122, "SP_COUNTRY_NAME")</f>
        <v>USA</v>
      </c>
      <c r="EA122" t="s">
        <v>591</v>
      </c>
      <c r="EB122">
        <v>109721</v>
      </c>
      <c r="EC122" t="s">
        <v>346</v>
      </c>
      <c r="ED122" s="11">
        <v>0.04</v>
      </c>
      <c r="EE122" s="9" t="str">
        <f>_xll.SNL.Clients.Office.Excel.Functions.SPG(EB122, "SP_COUNTRY_NAME")</f>
        <v>USA</v>
      </c>
      <c r="EF122" t="s">
        <v>1270</v>
      </c>
      <c r="EG122">
        <v>5845361</v>
      </c>
      <c r="EH122" t="s">
        <v>364</v>
      </c>
      <c r="EI122" s="11">
        <v>0.04</v>
      </c>
      <c r="EJ122" s="9" t="str">
        <f>_xll.SNL.Clients.Office.Excel.Functions.SPG(EG122, "SP_COUNTRY_NAME")</f>
        <v>South Africa</v>
      </c>
      <c r="EO122" s="9" t="str">
        <f>_xll.SNL.Clients.Office.Excel.Functions.SPG(EL122, "SP_COUNTRY_NAME")</f>
        <v>#INVALID COMPANY ID</v>
      </c>
      <c r="EP122" t="s">
        <v>464</v>
      </c>
      <c r="EQ122">
        <v>4629378</v>
      </c>
      <c r="ER122" t="s">
        <v>346</v>
      </c>
      <c r="ES122" s="11">
        <v>0</v>
      </c>
      <c r="ET122" s="9" t="str">
        <f>_xll.SNL.Clients.Office.Excel.Functions.SPG(EQ122, "SP_COUNTRY_NAME")</f>
        <v>Japan</v>
      </c>
      <c r="EY122" s="9" t="str">
        <f>_xll.SNL.Clients.Office.Excel.Functions.SPG(EV122, "SP_COUNTRY_NAME")</f>
        <v>#INVALID COMPANY ID</v>
      </c>
      <c r="FD122" s="9" t="str">
        <f>_xll.SNL.Clients.Office.Excel.Functions.SPG(FA122, "SP_COUNTRY_NAME")</f>
        <v>#INVALID COMPANY ID</v>
      </c>
      <c r="FI122" s="9" t="str">
        <f>_xll.SNL.Clients.Office.Excel.Functions.SPG(FF122, "SP_COUNTRY_NAME")</f>
        <v>#INVALID COMPANY ID</v>
      </c>
      <c r="FJ122" t="s">
        <v>395</v>
      </c>
      <c r="FK122">
        <v>4153606</v>
      </c>
      <c r="FL122" t="s">
        <v>346</v>
      </c>
      <c r="FM122" s="11">
        <v>0</v>
      </c>
      <c r="FN122" s="9" t="str">
        <f>_xll.SNL.Clients.Office.Excel.Functions.SPG(FK122, "SP_COUNTRY_NAME")</f>
        <v>USA</v>
      </c>
      <c r="FS122" s="9" t="str">
        <f>_xll.SNL.Clients.Office.Excel.Functions.SPG(FP122, "SP_COUNTRY_NAME")</f>
        <v>#INVALID COMPANY ID</v>
      </c>
      <c r="FX122" s="9" t="str">
        <f>_xll.SNL.Clients.Office.Excel.Functions.SPG(FU122, "SP_COUNTRY_NAME")</f>
        <v>#INVALID COMPANY ID</v>
      </c>
      <c r="FY122" t="s">
        <v>1270</v>
      </c>
      <c r="FZ122">
        <v>5845361</v>
      </c>
      <c r="GA122" t="s">
        <v>364</v>
      </c>
      <c r="GB122" s="11">
        <v>0.04</v>
      </c>
      <c r="GC122" s="9" t="str">
        <f>_xll.SNL.Clients.Office.Excel.Functions.SPG(FZ122, "SP_COUNTRY_NAME")</f>
        <v>South Africa</v>
      </c>
      <c r="GH122" s="9" t="str">
        <f>_xll.SNL.Clients.Office.Excel.Functions.SPG(GE122, "SP_COUNTRY_NAME")</f>
        <v>#INVALID COMPANY ID</v>
      </c>
      <c r="GM122" s="9" t="str">
        <f>_xll.SNL.Clients.Office.Excel.Functions.SPG(GJ122, "SP_COUNTRY_NAME")</f>
        <v>#INVALID COMPANY ID</v>
      </c>
      <c r="GN122" t="s">
        <v>395</v>
      </c>
      <c r="GO122">
        <v>4153606</v>
      </c>
      <c r="GP122" t="s">
        <v>346</v>
      </c>
      <c r="GQ122" s="11">
        <v>0</v>
      </c>
      <c r="GR122" s="9" t="str">
        <f>_xll.SNL.Clients.Office.Excel.Functions.SPG(GO122, "SP_COUNTRY_NAME")</f>
        <v>USA</v>
      </c>
      <c r="GS122" t="s">
        <v>710</v>
      </c>
      <c r="GT122">
        <v>4559567</v>
      </c>
      <c r="GU122" t="s">
        <v>346</v>
      </c>
      <c r="GV122" s="11">
        <v>0.01</v>
      </c>
      <c r="GW122" s="9" t="str">
        <f>_xll.SNL.Clients.Office.Excel.Functions.SPG(GT122, "SP_COUNTRY_NAME")</f>
        <v>China</v>
      </c>
      <c r="GX122" t="s">
        <v>591</v>
      </c>
      <c r="GY122">
        <v>109721</v>
      </c>
      <c r="GZ122" t="s">
        <v>346</v>
      </c>
      <c r="HA122" s="11">
        <v>0.04</v>
      </c>
      <c r="HB122" s="9" t="str">
        <f>_xll.SNL.Clients.Office.Excel.Functions.SPG(GY122, "SP_COUNTRY_NAME")</f>
        <v>USA</v>
      </c>
      <c r="HG122" s="9" t="str">
        <f>_xll.SNL.Clients.Office.Excel.Functions.SPG(HD122, "SP_COUNTRY_NAME")</f>
        <v>#INVALID COMPANY ID</v>
      </c>
    </row>
    <row r="123" spans="5:215" x14ac:dyDescent="0.35">
      <c r="E123" s="9" t="str">
        <f>_xll.SNL.Clients.Office.Excel.Functions.SPG(B123, "SP_COUNTRY_NAME")</f>
        <v>#INVALID COMPANY ID</v>
      </c>
      <c r="F123" t="s">
        <v>511</v>
      </c>
      <c r="G123" t="s">
        <v>300</v>
      </c>
      <c r="H123" t="s">
        <v>361</v>
      </c>
      <c r="I123" s="11">
        <v>0</v>
      </c>
      <c r="J123" s="9" t="str">
        <f>_xll.SNL.Clients.Office.Excel.Functions.SPG(G123, "SP_COUNTRY_NAME")</f>
        <v>China</v>
      </c>
      <c r="K123" t="s">
        <v>628</v>
      </c>
      <c r="L123">
        <v>4289501</v>
      </c>
      <c r="M123" t="s">
        <v>346</v>
      </c>
      <c r="N123" s="11">
        <v>0</v>
      </c>
      <c r="O123" s="9" t="str">
        <f>_xll.SNL.Clients.Office.Excel.Functions.SPG(L123, "SP_COUNTRY_NAME")</f>
        <v>United Kingdom</v>
      </c>
      <c r="T123" s="9" t="str">
        <f>_xll.SNL.Clients.Office.Excel.Functions.SPG(Q123, "SP_COUNTRY_NAME")</f>
        <v>#INVALID COMPANY ID</v>
      </c>
      <c r="U123" t="s">
        <v>409</v>
      </c>
      <c r="V123">
        <v>102719</v>
      </c>
      <c r="W123" t="s">
        <v>346</v>
      </c>
      <c r="X123" s="11">
        <v>0.02</v>
      </c>
      <c r="Y123" s="9" t="str">
        <f>_xll.SNL.Clients.Office.Excel.Functions.SPG(V123, "SP_COUNTRY_NAME")</f>
        <v>USA</v>
      </c>
      <c r="Z123" t="s">
        <v>628</v>
      </c>
      <c r="AA123">
        <v>4289501</v>
      </c>
      <c r="AB123" t="s">
        <v>346</v>
      </c>
      <c r="AC123" s="11">
        <v>0</v>
      </c>
      <c r="AD123" s="9" t="str">
        <f>_xll.SNL.Clients.Office.Excel.Functions.SPG(AA123, "SP_COUNTRY_NAME")</f>
        <v>United Kingdom</v>
      </c>
      <c r="AE123" t="s">
        <v>856</v>
      </c>
      <c r="AF123">
        <v>4141040</v>
      </c>
      <c r="AG123" t="s">
        <v>346</v>
      </c>
      <c r="AH123" s="11">
        <v>0</v>
      </c>
      <c r="AI123" s="9" t="str">
        <f>_xll.SNL.Clients.Office.Excel.Functions.SPG(AF123, "SP_COUNTRY_NAME")</f>
        <v>United Kingdom</v>
      </c>
      <c r="AN123" s="9" t="str">
        <f>_xll.SNL.Clients.Office.Excel.Functions.SPG(AK123, "SP_COUNTRY_NAME")</f>
        <v>#INVALID COMPANY ID</v>
      </c>
      <c r="AO123" t="s">
        <v>1293</v>
      </c>
      <c r="AP123">
        <v>4672160</v>
      </c>
      <c r="AQ123" t="s">
        <v>346</v>
      </c>
      <c r="AR123" s="11">
        <v>0.02</v>
      </c>
      <c r="AS123" s="9" t="str">
        <f>_xll.SNL.Clients.Office.Excel.Functions.SPG(AP123, "SP_COUNTRY_NAME")</f>
        <v>South Africa</v>
      </c>
      <c r="AX123" s="9" t="str">
        <f>_xll.SNL.Clients.Office.Excel.Functions.SPG(AU123, "SP_COUNTRY_NAME")</f>
        <v>#INVALID COMPANY ID</v>
      </c>
      <c r="BC123" s="9" t="str">
        <f>_xll.SNL.Clients.Office.Excel.Functions.SPG(AZ123, "SP_COUNTRY_NAME")</f>
        <v>#INVALID COMPANY ID</v>
      </c>
      <c r="BD123" t="s">
        <v>550</v>
      </c>
      <c r="BE123">
        <v>4138393</v>
      </c>
      <c r="BF123" t="s">
        <v>346</v>
      </c>
      <c r="BG123" s="11">
        <v>0.04</v>
      </c>
      <c r="BH123" s="9" t="str">
        <f>_xll.SNL.Clients.Office.Excel.Functions.SPG(BE123, "SP_COUNTRY_NAME")</f>
        <v>Spain</v>
      </c>
      <c r="BI123" t="s">
        <v>428</v>
      </c>
      <c r="BJ123">
        <v>4116134</v>
      </c>
      <c r="BK123" t="s">
        <v>346</v>
      </c>
      <c r="BL123" s="11">
        <v>0.01</v>
      </c>
      <c r="BM123" s="9" t="str">
        <f>_xll.SNL.Clients.Office.Excel.Functions.SPG(BJ123, "SP_COUNTRY_NAME")</f>
        <v>Japan</v>
      </c>
      <c r="BN123" t="s">
        <v>442</v>
      </c>
      <c r="BO123">
        <v>4117611</v>
      </c>
      <c r="BP123" t="s">
        <v>346</v>
      </c>
      <c r="BQ123" s="11">
        <v>0.01</v>
      </c>
      <c r="BR123" s="9" t="str">
        <f>_xll.SNL.Clients.Office.Excel.Functions.SPG(BO123, "SP_COUNTRY_NAME")</f>
        <v>USA</v>
      </c>
      <c r="BS123" t="s">
        <v>968</v>
      </c>
      <c r="BT123">
        <v>4115683</v>
      </c>
      <c r="BU123" t="s">
        <v>346</v>
      </c>
      <c r="BV123" s="11">
        <v>0.03</v>
      </c>
      <c r="BW123" s="9" t="str">
        <f>_xll.SNL.Clients.Office.Excel.Functions.SPG(BT123, "SP_COUNTRY_NAME")</f>
        <v>United Kingdom</v>
      </c>
      <c r="BX123" t="s">
        <v>409</v>
      </c>
      <c r="BY123">
        <v>102719</v>
      </c>
      <c r="BZ123" t="s">
        <v>346</v>
      </c>
      <c r="CA123" s="11">
        <v>0.02</v>
      </c>
      <c r="CB123" s="9" t="str">
        <f>_xll.SNL.Clients.Office.Excel.Functions.SPG(BY123, "SP_COUNTRY_NAME")</f>
        <v>USA</v>
      </c>
      <c r="CC123" t="s">
        <v>401</v>
      </c>
      <c r="CD123">
        <v>4139862</v>
      </c>
      <c r="CE123" t="s">
        <v>346</v>
      </c>
      <c r="CF123" s="11">
        <v>0.04</v>
      </c>
      <c r="CG123" s="9" t="str">
        <f>_xll.SNL.Clients.Office.Excel.Functions.SPG(CD123, "SP_COUNTRY_NAME")</f>
        <v>United Kingdom</v>
      </c>
      <c r="CH123" t="s">
        <v>1293</v>
      </c>
      <c r="CI123">
        <v>4672160</v>
      </c>
      <c r="CJ123" t="s">
        <v>346</v>
      </c>
      <c r="CK123" s="11">
        <v>0.02</v>
      </c>
      <c r="CL123" s="9" t="str">
        <f>_xll.SNL.Clients.Office.Excel.Functions.SPG(CI123, "SP_COUNTRY_NAME")</f>
        <v>South Africa</v>
      </c>
      <c r="CM123" t="s">
        <v>356</v>
      </c>
      <c r="CN123">
        <v>4578944</v>
      </c>
      <c r="CO123" t="s">
        <v>346</v>
      </c>
      <c r="CP123" s="11">
        <v>0.04</v>
      </c>
      <c r="CQ123" s="9" t="str">
        <f>_xll.SNL.Clients.Office.Excel.Functions.SPG(CN123, "SP_COUNTRY_NAME")</f>
        <v>Australia</v>
      </c>
      <c r="CV123" s="9" t="str">
        <f>_xll.SNL.Clients.Office.Excel.Functions.SPG(CS123, "SP_COUNTRY_NAME")</f>
        <v>#INVALID COMPANY ID</v>
      </c>
      <c r="DA123" s="9" t="str">
        <f>_xll.SNL.Clients.Office.Excel.Functions.SPG(CX123, "SP_COUNTRY_NAME")</f>
        <v>#INVALID COMPANY ID</v>
      </c>
      <c r="DB123" t="s">
        <v>550</v>
      </c>
      <c r="DC123">
        <v>4138393</v>
      </c>
      <c r="DD123" t="s">
        <v>346</v>
      </c>
      <c r="DE123" s="11">
        <v>0.04</v>
      </c>
      <c r="DF123" s="9" t="str">
        <f>_xll.SNL.Clients.Office.Excel.Functions.SPG(DC123, "SP_COUNTRY_NAME")</f>
        <v>Spain</v>
      </c>
      <c r="DK123" s="9" t="str">
        <f>_xll.SNL.Clients.Office.Excel.Functions.SPG(DH123, "SP_COUNTRY_NAME")</f>
        <v>#INVALID COMPANY ID</v>
      </c>
      <c r="DL123" t="s">
        <v>550</v>
      </c>
      <c r="DM123">
        <v>4138393</v>
      </c>
      <c r="DN123" t="s">
        <v>346</v>
      </c>
      <c r="DO123" s="11">
        <v>0.04</v>
      </c>
      <c r="DP123" s="9" t="str">
        <f>_xll.SNL.Clients.Office.Excel.Functions.SPG(DM123, "SP_COUNTRY_NAME")</f>
        <v>Spain</v>
      </c>
      <c r="DU123" s="9" t="str">
        <f>_xll.SNL.Clients.Office.Excel.Functions.SPG(DR123, "SP_COUNTRY_NAME")</f>
        <v>#INVALID COMPANY ID</v>
      </c>
      <c r="DV123" t="s">
        <v>564</v>
      </c>
      <c r="DW123">
        <v>4137693</v>
      </c>
      <c r="DX123" t="s">
        <v>346</v>
      </c>
      <c r="DY123" s="11">
        <v>0</v>
      </c>
      <c r="DZ123" s="9" t="str">
        <f>_xll.SNL.Clients.Office.Excel.Functions.SPG(DW123, "SP_COUNTRY_NAME")</f>
        <v>Italy</v>
      </c>
      <c r="EA123" t="s">
        <v>401</v>
      </c>
      <c r="EB123">
        <v>4139862</v>
      </c>
      <c r="EC123" t="s">
        <v>346</v>
      </c>
      <c r="ED123" s="11">
        <v>0.04</v>
      </c>
      <c r="EE123" s="9" t="str">
        <f>_xll.SNL.Clients.Office.Excel.Functions.SPG(EB123, "SP_COUNTRY_NAME")</f>
        <v>United Kingdom</v>
      </c>
      <c r="EF123" t="s">
        <v>550</v>
      </c>
      <c r="EG123">
        <v>4138393</v>
      </c>
      <c r="EH123" t="s">
        <v>346</v>
      </c>
      <c r="EI123" s="11">
        <v>0.04</v>
      </c>
      <c r="EJ123" s="9" t="str">
        <f>_xll.SNL.Clients.Office.Excel.Functions.SPG(EG123, "SP_COUNTRY_NAME")</f>
        <v>Spain</v>
      </c>
      <c r="EO123" s="9" t="str">
        <f>_xll.SNL.Clients.Office.Excel.Functions.SPG(EL123, "SP_COUNTRY_NAME")</f>
        <v>#INVALID COMPANY ID</v>
      </c>
      <c r="EP123" t="s">
        <v>726</v>
      </c>
      <c r="EQ123">
        <v>4137941</v>
      </c>
      <c r="ER123" t="s">
        <v>346</v>
      </c>
      <c r="ES123" s="11">
        <v>0</v>
      </c>
      <c r="ET123" s="9" t="str">
        <f>_xll.SNL.Clients.Office.Excel.Functions.SPG(EQ123, "SP_COUNTRY_NAME")</f>
        <v>China</v>
      </c>
      <c r="EY123" s="9" t="str">
        <f>_xll.SNL.Clients.Office.Excel.Functions.SPG(EV123, "SP_COUNTRY_NAME")</f>
        <v>#INVALID COMPANY ID</v>
      </c>
      <c r="FD123" s="9" t="str">
        <f>_xll.SNL.Clients.Office.Excel.Functions.SPG(FA123, "SP_COUNTRY_NAME")</f>
        <v>#INVALID COMPANY ID</v>
      </c>
      <c r="FI123" s="9" t="str">
        <f>_xll.SNL.Clients.Office.Excel.Functions.SPG(FF123, "SP_COUNTRY_NAME")</f>
        <v>#INVALID COMPANY ID</v>
      </c>
      <c r="FJ123" t="s">
        <v>2168</v>
      </c>
      <c r="FK123" t="s">
        <v>300</v>
      </c>
      <c r="FL123" t="s">
        <v>361</v>
      </c>
      <c r="FM123" s="11">
        <v>0</v>
      </c>
      <c r="FN123" s="9" t="str">
        <f>_xll.SNL.Clients.Office.Excel.Functions.SPG(FK123, "SP_COUNTRY_NAME")</f>
        <v>China</v>
      </c>
      <c r="FS123" s="9" t="str">
        <f>_xll.SNL.Clients.Office.Excel.Functions.SPG(FP123, "SP_COUNTRY_NAME")</f>
        <v>#INVALID COMPANY ID</v>
      </c>
      <c r="FX123" s="9" t="str">
        <f>_xll.SNL.Clients.Office.Excel.Functions.SPG(FU123, "SP_COUNTRY_NAME")</f>
        <v>#INVALID COMPANY ID</v>
      </c>
      <c r="FY123" t="s">
        <v>550</v>
      </c>
      <c r="FZ123">
        <v>4138393</v>
      </c>
      <c r="GA123" t="s">
        <v>346</v>
      </c>
      <c r="GB123" s="11">
        <v>0.04</v>
      </c>
      <c r="GC123" s="9" t="str">
        <f>_xll.SNL.Clients.Office.Excel.Functions.SPG(FZ123, "SP_COUNTRY_NAME")</f>
        <v>Spain</v>
      </c>
      <c r="GH123" s="9" t="str">
        <f>_xll.SNL.Clients.Office.Excel.Functions.SPG(GE123, "SP_COUNTRY_NAME")</f>
        <v>#INVALID COMPANY ID</v>
      </c>
      <c r="GM123" s="9" t="str">
        <f>_xll.SNL.Clients.Office.Excel.Functions.SPG(GJ123, "SP_COUNTRY_NAME")</f>
        <v>#INVALID COMPANY ID</v>
      </c>
      <c r="GN123" t="s">
        <v>2168</v>
      </c>
      <c r="GO123" t="s">
        <v>300</v>
      </c>
      <c r="GP123" t="s">
        <v>361</v>
      </c>
      <c r="GQ123" s="11">
        <v>0</v>
      </c>
      <c r="GR123" s="9" t="str">
        <f>_xll.SNL.Clients.Office.Excel.Functions.SPG(GO123, "SP_COUNTRY_NAME")</f>
        <v>China</v>
      </c>
      <c r="GS123" t="s">
        <v>442</v>
      </c>
      <c r="GT123">
        <v>4117611</v>
      </c>
      <c r="GU123" t="s">
        <v>346</v>
      </c>
      <c r="GV123" s="11">
        <v>0.01</v>
      </c>
      <c r="GW123" s="9" t="str">
        <f>_xll.SNL.Clients.Office.Excel.Functions.SPG(GT123, "SP_COUNTRY_NAME")</f>
        <v>USA</v>
      </c>
      <c r="GX123" t="s">
        <v>401</v>
      </c>
      <c r="GY123">
        <v>4139862</v>
      </c>
      <c r="GZ123" t="s">
        <v>346</v>
      </c>
      <c r="HA123" s="11">
        <v>0.04</v>
      </c>
      <c r="HB123" s="9" t="str">
        <f>_xll.SNL.Clients.Office.Excel.Functions.SPG(GY123, "SP_COUNTRY_NAME")</f>
        <v>United Kingdom</v>
      </c>
      <c r="HG123" s="9" t="str">
        <f>_xll.SNL.Clients.Office.Excel.Functions.SPG(HD123, "SP_COUNTRY_NAME")</f>
        <v>#INVALID COMPANY ID</v>
      </c>
    </row>
    <row r="124" spans="5:215" x14ac:dyDescent="0.35">
      <c r="E124" s="9" t="str">
        <f>_xll.SNL.Clients.Office.Excel.Functions.SPG(B124, "SP_COUNTRY_NAME")</f>
        <v>#INVALID COMPANY ID</v>
      </c>
      <c r="F124" t="s">
        <v>512</v>
      </c>
      <c r="G124">
        <v>6422826</v>
      </c>
      <c r="H124" t="s">
        <v>346</v>
      </c>
      <c r="I124" s="11">
        <v>0</v>
      </c>
      <c r="J124" s="9" t="str">
        <f>_xll.SNL.Clients.Office.Excel.Functions.SPG(G124, "SP_COUNTRY_NAME")</f>
        <v>Japan</v>
      </c>
      <c r="K124" t="s">
        <v>584</v>
      </c>
      <c r="L124">
        <v>4138797</v>
      </c>
      <c r="M124" t="s">
        <v>346</v>
      </c>
      <c r="N124" s="11">
        <v>0</v>
      </c>
      <c r="O124" s="9" t="str">
        <f>_xll.SNL.Clients.Office.Excel.Functions.SPG(L124, "SP_COUNTRY_NAME")</f>
        <v>Hong Kong</v>
      </c>
      <c r="T124" s="9" t="str">
        <f>_xll.SNL.Clients.Office.Excel.Functions.SPG(Q124, "SP_COUNTRY_NAME")</f>
        <v>#INVALID COMPANY ID</v>
      </c>
      <c r="U124" t="s">
        <v>489</v>
      </c>
      <c r="V124">
        <v>4324456</v>
      </c>
      <c r="W124" t="s">
        <v>346</v>
      </c>
      <c r="X124" s="11">
        <v>0.02</v>
      </c>
      <c r="Y124" s="9" t="str">
        <f>_xll.SNL.Clients.Office.Excel.Functions.SPG(V124, "SP_COUNTRY_NAME")</f>
        <v>Italy</v>
      </c>
      <c r="Z124" t="s">
        <v>584</v>
      </c>
      <c r="AA124">
        <v>4138797</v>
      </c>
      <c r="AB124" t="s">
        <v>346</v>
      </c>
      <c r="AC124" s="11">
        <v>0</v>
      </c>
      <c r="AD124" s="9" t="str">
        <f>_xll.SNL.Clients.Office.Excel.Functions.SPG(AA124, "SP_COUNTRY_NAME")</f>
        <v>Hong Kong</v>
      </c>
      <c r="AE124" t="s">
        <v>413</v>
      </c>
      <c r="AF124">
        <v>4114882</v>
      </c>
      <c r="AG124" t="s">
        <v>346</v>
      </c>
      <c r="AH124" s="11">
        <v>0</v>
      </c>
      <c r="AI124" s="9" t="str">
        <f>_xll.SNL.Clients.Office.Excel.Functions.SPG(AF124, "SP_COUNTRY_NAME")</f>
        <v>Canada</v>
      </c>
      <c r="AN124" s="9" t="str">
        <f>_xll.SNL.Clients.Office.Excel.Functions.SPG(AK124, "SP_COUNTRY_NAME")</f>
        <v>#INVALID COMPANY ID</v>
      </c>
      <c r="AO124" t="s">
        <v>1294</v>
      </c>
      <c r="AP124">
        <v>4138986</v>
      </c>
      <c r="AQ124" t="s">
        <v>346</v>
      </c>
      <c r="AR124" s="11">
        <v>0.02</v>
      </c>
      <c r="AS124" s="9" t="str">
        <f>_xll.SNL.Clients.Office.Excel.Functions.SPG(AP124, "SP_COUNTRY_NAME")</f>
        <v>South Africa</v>
      </c>
      <c r="AX124" s="9" t="str">
        <f>_xll.SNL.Clients.Office.Excel.Functions.SPG(AU124, "SP_COUNTRY_NAME")</f>
        <v>#INVALID COMPANY ID</v>
      </c>
      <c r="BC124" s="9" t="str">
        <f>_xll.SNL.Clients.Office.Excel.Functions.SPG(AZ124, "SP_COUNTRY_NAME")</f>
        <v>#INVALID COMPANY ID</v>
      </c>
      <c r="BD124" t="s">
        <v>1426</v>
      </c>
      <c r="BE124">
        <v>4857391</v>
      </c>
      <c r="BF124" t="s">
        <v>346</v>
      </c>
      <c r="BG124" s="11">
        <v>0.04</v>
      </c>
      <c r="BH124" s="9" t="str">
        <f>_xll.SNL.Clients.Office.Excel.Functions.SPG(BE124, "SP_COUNTRY_NAME")</f>
        <v>Jersey</v>
      </c>
      <c r="BI124" t="s">
        <v>1474</v>
      </c>
      <c r="BJ124">
        <v>4255658</v>
      </c>
      <c r="BK124" t="s">
        <v>346</v>
      </c>
      <c r="BL124" s="11">
        <v>0.01</v>
      </c>
      <c r="BM124" s="9" t="str">
        <f>_xll.SNL.Clients.Office.Excel.Functions.SPG(BJ124, "SP_COUNTRY_NAME")</f>
        <v>Germany</v>
      </c>
      <c r="BN124" t="s">
        <v>400</v>
      </c>
      <c r="BO124">
        <v>7834181</v>
      </c>
      <c r="BP124" t="s">
        <v>346</v>
      </c>
      <c r="BQ124" s="11">
        <v>0.01</v>
      </c>
      <c r="BR124" s="9" t="str">
        <f>_xll.SNL.Clients.Office.Excel.Functions.SPG(BO124, "SP_COUNTRY_NAME")</f>
        <v>United Kingdom</v>
      </c>
      <c r="BS124" t="s">
        <v>668</v>
      </c>
      <c r="BT124">
        <v>109523595</v>
      </c>
      <c r="BU124" t="s">
        <v>346</v>
      </c>
      <c r="BV124" s="11">
        <v>0.03</v>
      </c>
      <c r="BW124" s="9" t="str">
        <f>_xll.SNL.Clients.Office.Excel.Functions.SPG(BT124, "SP_COUNTRY_NAME")</f>
        <v>China</v>
      </c>
      <c r="BX124" t="s">
        <v>489</v>
      </c>
      <c r="BY124">
        <v>4324456</v>
      </c>
      <c r="BZ124" t="s">
        <v>346</v>
      </c>
      <c r="CA124" s="11">
        <v>0.02</v>
      </c>
      <c r="CB124" s="9" t="str">
        <f>_xll.SNL.Clients.Office.Excel.Functions.SPG(BY124, "SP_COUNTRY_NAME")</f>
        <v>Italy</v>
      </c>
      <c r="CC124" t="s">
        <v>562</v>
      </c>
      <c r="CD124">
        <v>4256114</v>
      </c>
      <c r="CE124" t="s">
        <v>346</v>
      </c>
      <c r="CF124" s="11">
        <v>0.04</v>
      </c>
      <c r="CG124" s="9" t="str">
        <f>_xll.SNL.Clients.Office.Excel.Functions.SPG(CD124, "SP_COUNTRY_NAME")</f>
        <v>South Korea</v>
      </c>
      <c r="CH124" t="s">
        <v>1294</v>
      </c>
      <c r="CI124">
        <v>4138986</v>
      </c>
      <c r="CJ124" t="s">
        <v>346</v>
      </c>
      <c r="CK124" s="11">
        <v>0.02</v>
      </c>
      <c r="CL124" s="9" t="str">
        <f>_xll.SNL.Clients.Office.Excel.Functions.SPG(CI124, "SP_COUNTRY_NAME")</f>
        <v>South Africa</v>
      </c>
      <c r="CM124" t="s">
        <v>1657</v>
      </c>
      <c r="CN124">
        <v>102771</v>
      </c>
      <c r="CO124" t="s">
        <v>346</v>
      </c>
      <c r="CP124" s="11">
        <v>0.04</v>
      </c>
      <c r="CQ124" s="9" t="str">
        <f>_xll.SNL.Clients.Office.Excel.Functions.SPG(CN124, "SP_COUNTRY_NAME")</f>
        <v>USA</v>
      </c>
      <c r="CV124" s="9" t="str">
        <f>_xll.SNL.Clients.Office.Excel.Functions.SPG(CS124, "SP_COUNTRY_NAME")</f>
        <v>#INVALID COMPANY ID</v>
      </c>
      <c r="DA124" s="9" t="str">
        <f>_xll.SNL.Clients.Office.Excel.Functions.SPG(CX124, "SP_COUNTRY_NAME")</f>
        <v>#INVALID COMPANY ID</v>
      </c>
      <c r="DB124" t="s">
        <v>1426</v>
      </c>
      <c r="DC124">
        <v>4857391</v>
      </c>
      <c r="DD124" t="s">
        <v>346</v>
      </c>
      <c r="DE124" s="11">
        <v>0.04</v>
      </c>
      <c r="DF124" s="9" t="str">
        <f>_xll.SNL.Clients.Office.Excel.Functions.SPG(DC124, "SP_COUNTRY_NAME")</f>
        <v>Jersey</v>
      </c>
      <c r="DK124" s="9" t="str">
        <f>_xll.SNL.Clients.Office.Excel.Functions.SPG(DH124, "SP_COUNTRY_NAME")</f>
        <v>#INVALID COMPANY ID</v>
      </c>
      <c r="DL124" t="s">
        <v>1426</v>
      </c>
      <c r="DM124">
        <v>4857391</v>
      </c>
      <c r="DN124" t="s">
        <v>346</v>
      </c>
      <c r="DO124" s="11">
        <v>0.04</v>
      </c>
      <c r="DP124" s="9" t="str">
        <f>_xll.SNL.Clients.Office.Excel.Functions.SPG(DM124, "SP_COUNTRY_NAME")</f>
        <v>Jersey</v>
      </c>
      <c r="DU124" s="9" t="str">
        <f>_xll.SNL.Clients.Office.Excel.Functions.SPG(DR124, "SP_COUNTRY_NAME")</f>
        <v>#INVALID COMPANY ID</v>
      </c>
      <c r="DV124" t="s">
        <v>379</v>
      </c>
      <c r="DW124">
        <v>137764443</v>
      </c>
      <c r="DX124" t="s">
        <v>346</v>
      </c>
      <c r="DY124" s="11">
        <v>0</v>
      </c>
      <c r="DZ124" s="9" t="str">
        <f>_xll.SNL.Clients.Office.Excel.Functions.SPG(DW124, "SP_COUNTRY_NAME")</f>
        <v>USA</v>
      </c>
      <c r="EA124" t="s">
        <v>562</v>
      </c>
      <c r="EB124">
        <v>4256114</v>
      </c>
      <c r="EC124" t="s">
        <v>346</v>
      </c>
      <c r="ED124" s="11">
        <v>0.04</v>
      </c>
      <c r="EE124" s="9" t="str">
        <f>_xll.SNL.Clients.Office.Excel.Functions.SPG(EB124, "SP_COUNTRY_NAME")</f>
        <v>South Korea</v>
      </c>
      <c r="EF124" t="s">
        <v>1426</v>
      </c>
      <c r="EG124">
        <v>4857391</v>
      </c>
      <c r="EH124" t="s">
        <v>346</v>
      </c>
      <c r="EI124" s="11">
        <v>0.04</v>
      </c>
      <c r="EJ124" s="9" t="str">
        <f>_xll.SNL.Clients.Office.Excel.Functions.SPG(EG124, "SP_COUNTRY_NAME")</f>
        <v>Jersey</v>
      </c>
      <c r="EO124" s="9" t="str">
        <f>_xll.SNL.Clients.Office.Excel.Functions.SPG(EL124, "SP_COUNTRY_NAME")</f>
        <v>#INVALID COMPANY ID</v>
      </c>
      <c r="EP124" t="s">
        <v>484</v>
      </c>
      <c r="EQ124">
        <v>110386</v>
      </c>
      <c r="ER124" t="s">
        <v>346</v>
      </c>
      <c r="ES124" s="11">
        <v>0</v>
      </c>
      <c r="ET124" s="9" t="str">
        <f>_xll.SNL.Clients.Office.Excel.Functions.SPG(EQ124, "SP_COUNTRY_NAME")</f>
        <v>USA</v>
      </c>
      <c r="EY124" s="9" t="str">
        <f>_xll.SNL.Clients.Office.Excel.Functions.SPG(EV124, "SP_COUNTRY_NAME")</f>
        <v>#INVALID COMPANY ID</v>
      </c>
      <c r="FD124" s="9" t="str">
        <f>_xll.SNL.Clients.Office.Excel.Functions.SPG(FA124, "SP_COUNTRY_NAME")</f>
        <v>#INVALID COMPANY ID</v>
      </c>
      <c r="FI124" s="9" t="str">
        <f>_xll.SNL.Clients.Office.Excel.Functions.SPG(FF124, "SP_COUNTRY_NAME")</f>
        <v>#INVALID COMPANY ID</v>
      </c>
      <c r="FJ124" t="s">
        <v>554</v>
      </c>
      <c r="FK124">
        <v>4408592</v>
      </c>
      <c r="FL124" t="s">
        <v>346</v>
      </c>
      <c r="FM124" s="11">
        <v>0</v>
      </c>
      <c r="FN124" s="9" t="str">
        <f>_xll.SNL.Clients.Office.Excel.Functions.SPG(FK124, "SP_COUNTRY_NAME")</f>
        <v>Hong Kong</v>
      </c>
      <c r="FS124" s="9" t="str">
        <f>_xll.SNL.Clients.Office.Excel.Functions.SPG(FP124, "SP_COUNTRY_NAME")</f>
        <v>#INVALID COMPANY ID</v>
      </c>
      <c r="FX124" s="9" t="str">
        <f>_xll.SNL.Clients.Office.Excel.Functions.SPG(FU124, "SP_COUNTRY_NAME")</f>
        <v>#INVALID COMPANY ID</v>
      </c>
      <c r="FY124" t="s">
        <v>1426</v>
      </c>
      <c r="FZ124">
        <v>4857391</v>
      </c>
      <c r="GA124" t="s">
        <v>346</v>
      </c>
      <c r="GB124" s="11">
        <v>0.04</v>
      </c>
      <c r="GC124" s="9" t="str">
        <f>_xll.SNL.Clients.Office.Excel.Functions.SPG(FZ124, "SP_COUNTRY_NAME")</f>
        <v>Jersey</v>
      </c>
      <c r="GH124" s="9" t="str">
        <f>_xll.SNL.Clients.Office.Excel.Functions.SPG(GE124, "SP_COUNTRY_NAME")</f>
        <v>#INVALID COMPANY ID</v>
      </c>
      <c r="GM124" s="9" t="str">
        <f>_xll.SNL.Clients.Office.Excel.Functions.SPG(GJ124, "SP_COUNTRY_NAME")</f>
        <v>#INVALID COMPANY ID</v>
      </c>
      <c r="GN124" t="s">
        <v>554</v>
      </c>
      <c r="GO124">
        <v>4408592</v>
      </c>
      <c r="GP124" t="s">
        <v>346</v>
      </c>
      <c r="GQ124" s="11">
        <v>0</v>
      </c>
      <c r="GR124" s="9" t="str">
        <f>_xll.SNL.Clients.Office.Excel.Functions.SPG(GO124, "SP_COUNTRY_NAME")</f>
        <v>Hong Kong</v>
      </c>
      <c r="GS124" t="s">
        <v>400</v>
      </c>
      <c r="GT124">
        <v>7834181</v>
      </c>
      <c r="GU124" t="s">
        <v>346</v>
      </c>
      <c r="GV124" s="11">
        <v>0.01</v>
      </c>
      <c r="GW124" s="9" t="str">
        <f>_xll.SNL.Clients.Office.Excel.Functions.SPG(GT124, "SP_COUNTRY_NAME")</f>
        <v>United Kingdom</v>
      </c>
      <c r="GX124" t="s">
        <v>562</v>
      </c>
      <c r="GY124">
        <v>4256114</v>
      </c>
      <c r="GZ124" t="s">
        <v>346</v>
      </c>
      <c r="HA124" s="11">
        <v>0.04</v>
      </c>
      <c r="HB124" s="9" t="str">
        <f>_xll.SNL.Clients.Office.Excel.Functions.SPG(GY124, "SP_COUNTRY_NAME")</f>
        <v>South Korea</v>
      </c>
      <c r="HG124" s="9" t="str">
        <f>_xll.SNL.Clients.Office.Excel.Functions.SPG(HD124, "SP_COUNTRY_NAME")</f>
        <v>#INVALID COMPANY ID</v>
      </c>
    </row>
    <row r="125" spans="5:215" x14ac:dyDescent="0.35">
      <c r="E125" s="9" t="str">
        <f>_xll.SNL.Clients.Office.Excel.Functions.SPG(B125, "SP_COUNTRY_NAME")</f>
        <v>#INVALID COMPANY ID</v>
      </c>
      <c r="F125" t="s">
        <v>513</v>
      </c>
      <c r="G125">
        <v>4139819</v>
      </c>
      <c r="H125" t="s">
        <v>346</v>
      </c>
      <c r="I125" s="11">
        <v>0</v>
      </c>
      <c r="J125" s="9" t="str">
        <f>_xll.SNL.Clients.Office.Excel.Functions.SPG(G125, "SP_COUNTRY_NAME")</f>
        <v>Singapore</v>
      </c>
      <c r="K125" t="s">
        <v>686</v>
      </c>
      <c r="L125">
        <v>4784142</v>
      </c>
      <c r="M125" t="s">
        <v>346</v>
      </c>
      <c r="N125" s="11">
        <v>0</v>
      </c>
      <c r="O125" s="9" t="str">
        <f>_xll.SNL.Clients.Office.Excel.Functions.SPG(L125, "SP_COUNTRY_NAME")</f>
        <v>China</v>
      </c>
      <c r="T125" s="9" t="str">
        <f>_xll.SNL.Clients.Office.Excel.Functions.SPG(Q125, "SP_COUNTRY_NAME")</f>
        <v>#INVALID COMPANY ID</v>
      </c>
      <c r="U125" t="s">
        <v>451</v>
      </c>
      <c r="V125">
        <v>5747632</v>
      </c>
      <c r="W125" t="s">
        <v>346</v>
      </c>
      <c r="X125" s="11">
        <v>0.02</v>
      </c>
      <c r="Y125" s="9" t="str">
        <f>_xll.SNL.Clients.Office.Excel.Functions.SPG(V125, "SP_COUNTRY_NAME")</f>
        <v>Canada</v>
      </c>
      <c r="Z125" t="s">
        <v>686</v>
      </c>
      <c r="AA125">
        <v>4784142</v>
      </c>
      <c r="AB125" t="s">
        <v>346</v>
      </c>
      <c r="AC125" s="11">
        <v>0</v>
      </c>
      <c r="AD125" s="9" t="str">
        <f>_xll.SNL.Clients.Office.Excel.Functions.SPG(AA125, "SP_COUNTRY_NAME")</f>
        <v>China</v>
      </c>
      <c r="AE125" t="s">
        <v>1031</v>
      </c>
      <c r="AF125">
        <v>4212529</v>
      </c>
      <c r="AG125" t="s">
        <v>346</v>
      </c>
      <c r="AH125" s="11">
        <v>0</v>
      </c>
      <c r="AI125" s="9" t="str">
        <f>_xll.SNL.Clients.Office.Excel.Functions.SPG(AF125, "SP_COUNTRY_NAME")</f>
        <v>Germany</v>
      </c>
      <c r="AN125" s="9" t="str">
        <f>_xll.SNL.Clients.Office.Excel.Functions.SPG(AK125, "SP_COUNTRY_NAME")</f>
        <v>#INVALID COMPANY ID</v>
      </c>
      <c r="AO125" t="s">
        <v>403</v>
      </c>
      <c r="AP125">
        <v>4033550</v>
      </c>
      <c r="AQ125" t="s">
        <v>346</v>
      </c>
      <c r="AR125" s="11">
        <v>0.02</v>
      </c>
      <c r="AS125" s="9" t="str">
        <f>_xll.SNL.Clients.Office.Excel.Functions.SPG(AP125, "SP_COUNTRY_NAME")</f>
        <v>USA</v>
      </c>
      <c r="AX125" s="9" t="str">
        <f>_xll.SNL.Clients.Office.Excel.Functions.SPG(AU125, "SP_COUNTRY_NAME")</f>
        <v>#INVALID COMPANY ID</v>
      </c>
      <c r="BC125" s="9" t="str">
        <f>_xll.SNL.Clients.Office.Excel.Functions.SPG(AZ125, "SP_COUNTRY_NAME")</f>
        <v>#INVALID COMPANY ID</v>
      </c>
      <c r="BD125" t="s">
        <v>1427</v>
      </c>
      <c r="BE125">
        <v>5793708</v>
      </c>
      <c r="BF125" t="s">
        <v>346</v>
      </c>
      <c r="BG125" s="11">
        <v>0.04</v>
      </c>
      <c r="BH125" s="9" t="str">
        <f>_xll.SNL.Clients.Office.Excel.Functions.SPG(BE125, "SP_COUNTRY_NAME")</f>
        <v>Germany</v>
      </c>
      <c r="BI125" t="s">
        <v>409</v>
      </c>
      <c r="BJ125">
        <v>102719</v>
      </c>
      <c r="BK125" t="s">
        <v>346</v>
      </c>
      <c r="BL125" s="11">
        <v>0.01</v>
      </c>
      <c r="BM125" s="9" t="str">
        <f>_xll.SNL.Clients.Office.Excel.Functions.SPG(BJ125, "SP_COUNTRY_NAME")</f>
        <v>USA</v>
      </c>
      <c r="BN125" t="s">
        <v>745</v>
      </c>
      <c r="BO125">
        <v>4120036</v>
      </c>
      <c r="BP125" t="s">
        <v>364</v>
      </c>
      <c r="BQ125" s="11">
        <v>0.01</v>
      </c>
      <c r="BR125" s="9" t="str">
        <f>_xll.SNL.Clients.Office.Excel.Functions.SPG(BO125, "SP_COUNTRY_NAME")</f>
        <v>Hong Kong</v>
      </c>
      <c r="BS125" t="s">
        <v>681</v>
      </c>
      <c r="BT125">
        <v>5866754</v>
      </c>
      <c r="BU125" t="s">
        <v>346</v>
      </c>
      <c r="BV125" s="11">
        <v>0.03</v>
      </c>
      <c r="BW125" s="9" t="str">
        <f>_xll.SNL.Clients.Office.Excel.Functions.SPG(BT125, "SP_COUNTRY_NAME")</f>
        <v>China</v>
      </c>
      <c r="BX125" t="s">
        <v>451</v>
      </c>
      <c r="BY125">
        <v>5747632</v>
      </c>
      <c r="BZ125" t="s">
        <v>346</v>
      </c>
      <c r="CA125" s="11">
        <v>0.02</v>
      </c>
      <c r="CB125" s="9" t="str">
        <f>_xll.SNL.Clients.Office.Excel.Functions.SPG(BY125, "SP_COUNTRY_NAME")</f>
        <v>Canada</v>
      </c>
      <c r="CC125" t="s">
        <v>491</v>
      </c>
      <c r="CD125">
        <v>106960</v>
      </c>
      <c r="CE125" t="s">
        <v>346</v>
      </c>
      <c r="CF125" s="11">
        <v>0.04</v>
      </c>
      <c r="CG125" s="9" t="str">
        <f>_xll.SNL.Clients.Office.Excel.Functions.SPG(CD125, "SP_COUNTRY_NAME")</f>
        <v>Canada</v>
      </c>
      <c r="CH125" t="s">
        <v>403</v>
      </c>
      <c r="CI125">
        <v>4033550</v>
      </c>
      <c r="CJ125" t="s">
        <v>346</v>
      </c>
      <c r="CK125" s="11">
        <v>0.02</v>
      </c>
      <c r="CL125" s="9" t="str">
        <f>_xll.SNL.Clients.Office.Excel.Functions.SPG(CI125, "SP_COUNTRY_NAME")</f>
        <v>USA</v>
      </c>
      <c r="CM125" t="s">
        <v>1645</v>
      </c>
      <c r="CN125">
        <v>100382</v>
      </c>
      <c r="CO125" t="s">
        <v>366</v>
      </c>
      <c r="CP125" s="11">
        <v>0.04</v>
      </c>
      <c r="CQ125" s="9" t="str">
        <f>_xll.SNL.Clients.Office.Excel.Functions.SPG(CN125, "SP_COUNTRY_NAME")</f>
        <v>USA</v>
      </c>
      <c r="CV125" s="9" t="str">
        <f>_xll.SNL.Clients.Office.Excel.Functions.SPG(CS125, "SP_COUNTRY_NAME")</f>
        <v>#INVALID COMPANY ID</v>
      </c>
      <c r="DA125" s="9" t="str">
        <f>_xll.SNL.Clients.Office.Excel.Functions.SPG(CX125, "SP_COUNTRY_NAME")</f>
        <v>#INVALID COMPANY ID</v>
      </c>
      <c r="DB125" t="s">
        <v>1427</v>
      </c>
      <c r="DC125">
        <v>5793708</v>
      </c>
      <c r="DD125" t="s">
        <v>346</v>
      </c>
      <c r="DE125" s="11">
        <v>0.04</v>
      </c>
      <c r="DF125" s="9" t="str">
        <f>_xll.SNL.Clients.Office.Excel.Functions.SPG(DC125, "SP_COUNTRY_NAME")</f>
        <v>Germany</v>
      </c>
      <c r="DK125" s="9" t="str">
        <f>_xll.SNL.Clients.Office.Excel.Functions.SPG(DH125, "SP_COUNTRY_NAME")</f>
        <v>#INVALID COMPANY ID</v>
      </c>
      <c r="DL125" t="s">
        <v>1427</v>
      </c>
      <c r="DM125">
        <v>5793708</v>
      </c>
      <c r="DN125" t="s">
        <v>346</v>
      </c>
      <c r="DO125" s="11">
        <v>0.04</v>
      </c>
      <c r="DP125" s="9" t="str">
        <f>_xll.SNL.Clients.Office.Excel.Functions.SPG(DM125, "SP_COUNTRY_NAME")</f>
        <v>Germany</v>
      </c>
      <c r="DU125" s="9" t="str">
        <f>_xll.SNL.Clients.Office.Excel.Functions.SPG(DR125, "SP_COUNTRY_NAME")</f>
        <v>#INVALID COMPANY ID</v>
      </c>
      <c r="DV125" t="s">
        <v>1218</v>
      </c>
      <c r="DW125">
        <v>4423321</v>
      </c>
      <c r="DX125" t="s">
        <v>346</v>
      </c>
      <c r="DY125" s="11">
        <v>0</v>
      </c>
      <c r="DZ125" s="9" t="str">
        <f>_xll.SNL.Clients.Office.Excel.Functions.SPG(DW125, "SP_COUNTRY_NAME")</f>
        <v>South Africa</v>
      </c>
      <c r="EA125" t="s">
        <v>491</v>
      </c>
      <c r="EB125">
        <v>106960</v>
      </c>
      <c r="EC125" t="s">
        <v>346</v>
      </c>
      <c r="ED125" s="11">
        <v>0.04</v>
      </c>
      <c r="EE125" s="9" t="str">
        <f>_xll.SNL.Clients.Office.Excel.Functions.SPG(EB125, "SP_COUNTRY_NAME")</f>
        <v>Canada</v>
      </c>
      <c r="EF125" t="s">
        <v>1427</v>
      </c>
      <c r="EG125">
        <v>5793708</v>
      </c>
      <c r="EH125" t="s">
        <v>346</v>
      </c>
      <c r="EI125" s="11">
        <v>0.04</v>
      </c>
      <c r="EJ125" s="9" t="str">
        <f>_xll.SNL.Clients.Office.Excel.Functions.SPG(EG125, "SP_COUNTRY_NAME")</f>
        <v>Germany</v>
      </c>
      <c r="EO125" s="9" t="str">
        <f>_xll.SNL.Clients.Office.Excel.Functions.SPG(EL125, "SP_COUNTRY_NAME")</f>
        <v>#INVALID COMPANY ID</v>
      </c>
      <c r="EP125" t="s">
        <v>391</v>
      </c>
      <c r="EQ125">
        <v>13582910</v>
      </c>
      <c r="ER125" t="s">
        <v>346</v>
      </c>
      <c r="ES125" s="11">
        <v>0</v>
      </c>
      <c r="ET125" s="9" t="str">
        <f>_xll.SNL.Clients.Office.Excel.Functions.SPG(EQ125, "SP_COUNTRY_NAME")</f>
        <v>France</v>
      </c>
      <c r="EY125" s="9" t="str">
        <f>_xll.SNL.Clients.Office.Excel.Functions.SPG(EV125, "SP_COUNTRY_NAME")</f>
        <v>#INVALID COMPANY ID</v>
      </c>
      <c r="FD125" s="9" t="str">
        <f>_xll.SNL.Clients.Office.Excel.Functions.SPG(FA125, "SP_COUNTRY_NAME")</f>
        <v>#INVALID COMPANY ID</v>
      </c>
      <c r="FI125" s="9" t="str">
        <f>_xll.SNL.Clients.Office.Excel.Functions.SPG(FF125, "SP_COUNTRY_NAME")</f>
        <v>#INVALID COMPANY ID</v>
      </c>
      <c r="FJ125" t="s">
        <v>587</v>
      </c>
      <c r="FK125">
        <v>5844561</v>
      </c>
      <c r="FL125" t="s">
        <v>346</v>
      </c>
      <c r="FM125" s="11">
        <v>0</v>
      </c>
      <c r="FN125" s="9" t="str">
        <f>_xll.SNL.Clients.Office.Excel.Functions.SPG(FK125, "SP_COUNTRY_NAME")</f>
        <v>Japan</v>
      </c>
      <c r="FS125" s="9" t="str">
        <f>_xll.SNL.Clients.Office.Excel.Functions.SPG(FP125, "SP_COUNTRY_NAME")</f>
        <v>#INVALID COMPANY ID</v>
      </c>
      <c r="FX125" s="9" t="str">
        <f>_xll.SNL.Clients.Office.Excel.Functions.SPG(FU125, "SP_COUNTRY_NAME")</f>
        <v>#INVALID COMPANY ID</v>
      </c>
      <c r="FY125" t="s">
        <v>1427</v>
      </c>
      <c r="FZ125">
        <v>5793708</v>
      </c>
      <c r="GA125" t="s">
        <v>346</v>
      </c>
      <c r="GB125" s="11">
        <v>0.04</v>
      </c>
      <c r="GC125" s="9" t="str">
        <f>_xll.SNL.Clients.Office.Excel.Functions.SPG(FZ125, "SP_COUNTRY_NAME")</f>
        <v>Germany</v>
      </c>
      <c r="GH125" s="9" t="str">
        <f>_xll.SNL.Clients.Office.Excel.Functions.SPG(GE125, "SP_COUNTRY_NAME")</f>
        <v>#INVALID COMPANY ID</v>
      </c>
      <c r="GM125" s="9" t="str">
        <f>_xll.SNL.Clients.Office.Excel.Functions.SPG(GJ125, "SP_COUNTRY_NAME")</f>
        <v>#INVALID COMPANY ID</v>
      </c>
      <c r="GN125" t="s">
        <v>587</v>
      </c>
      <c r="GO125">
        <v>5844561</v>
      </c>
      <c r="GP125" t="s">
        <v>346</v>
      </c>
      <c r="GQ125" s="11">
        <v>0</v>
      </c>
      <c r="GR125" s="9" t="str">
        <f>_xll.SNL.Clients.Office.Excel.Functions.SPG(GO125, "SP_COUNTRY_NAME")</f>
        <v>Japan</v>
      </c>
      <c r="GS125" t="s">
        <v>745</v>
      </c>
      <c r="GT125">
        <v>4120036</v>
      </c>
      <c r="GU125" t="s">
        <v>364</v>
      </c>
      <c r="GV125" s="11">
        <v>0.01</v>
      </c>
      <c r="GW125" s="9" t="str">
        <f>_xll.SNL.Clients.Office.Excel.Functions.SPG(GT125, "SP_COUNTRY_NAME")</f>
        <v>Hong Kong</v>
      </c>
      <c r="GX125" t="s">
        <v>491</v>
      </c>
      <c r="GY125">
        <v>106960</v>
      </c>
      <c r="GZ125" t="s">
        <v>346</v>
      </c>
      <c r="HA125" s="11">
        <v>0.04</v>
      </c>
      <c r="HB125" s="9" t="str">
        <f>_xll.SNL.Clients.Office.Excel.Functions.SPG(GY125, "SP_COUNTRY_NAME")</f>
        <v>Canada</v>
      </c>
      <c r="HG125" s="9" t="str">
        <f>_xll.SNL.Clients.Office.Excel.Functions.SPG(HD125, "SP_COUNTRY_NAME")</f>
        <v>#INVALID COMPANY ID</v>
      </c>
    </row>
    <row r="126" spans="5:215" x14ac:dyDescent="0.35">
      <c r="E126" s="9" t="str">
        <f>_xll.SNL.Clients.Office.Excel.Functions.SPG(B126, "SP_COUNTRY_NAME")</f>
        <v>#INVALID COMPANY ID</v>
      </c>
      <c r="F126" t="s">
        <v>514</v>
      </c>
      <c r="G126" t="s">
        <v>300</v>
      </c>
      <c r="H126" t="s">
        <v>361</v>
      </c>
      <c r="I126" s="11">
        <v>0</v>
      </c>
      <c r="J126" s="9" t="str">
        <f>_xll.SNL.Clients.Office.Excel.Functions.SPG(G126, "SP_COUNTRY_NAME")</f>
        <v>China</v>
      </c>
      <c r="K126" t="s">
        <v>687</v>
      </c>
      <c r="L126">
        <v>4368709</v>
      </c>
      <c r="M126" t="s">
        <v>346</v>
      </c>
      <c r="N126" s="11">
        <v>0</v>
      </c>
      <c r="O126" s="9" t="str">
        <f>_xll.SNL.Clients.Office.Excel.Functions.SPG(L126, "SP_COUNTRY_NAME")</f>
        <v>China</v>
      </c>
      <c r="T126" s="9" t="str">
        <f>_xll.SNL.Clients.Office.Excel.Functions.SPG(Q126, "SP_COUNTRY_NAME")</f>
        <v>#INVALID COMPANY ID</v>
      </c>
      <c r="U126" t="s">
        <v>748</v>
      </c>
      <c r="V126">
        <v>4138088</v>
      </c>
      <c r="W126" t="s">
        <v>346</v>
      </c>
      <c r="X126" s="11">
        <v>0.02</v>
      </c>
      <c r="Y126" s="9" t="str">
        <f>_xll.SNL.Clients.Office.Excel.Functions.SPG(V126, "SP_COUNTRY_NAME")</f>
        <v>China</v>
      </c>
      <c r="Z126" t="s">
        <v>687</v>
      </c>
      <c r="AA126">
        <v>4368709</v>
      </c>
      <c r="AB126" t="s">
        <v>346</v>
      </c>
      <c r="AC126" s="11">
        <v>0</v>
      </c>
      <c r="AD126" s="9" t="str">
        <f>_xll.SNL.Clients.Office.Excel.Functions.SPG(AA126, "SP_COUNTRY_NAME")</f>
        <v>China</v>
      </c>
      <c r="AE126" t="s">
        <v>398</v>
      </c>
      <c r="AF126">
        <v>4107954</v>
      </c>
      <c r="AG126" t="s">
        <v>300</v>
      </c>
      <c r="AH126" s="11">
        <v>0</v>
      </c>
      <c r="AI126" s="9" t="str">
        <f>_xll.SNL.Clients.Office.Excel.Functions.SPG(AF126, "SP_COUNTRY_NAME")</f>
        <v>Japan</v>
      </c>
      <c r="AN126" s="9" t="str">
        <f>_xll.SNL.Clients.Office.Excel.Functions.SPG(AK126, "SP_COUNTRY_NAME")</f>
        <v>#INVALID COMPANY ID</v>
      </c>
      <c r="AO126" t="s">
        <v>988</v>
      </c>
      <c r="AP126">
        <v>4825704</v>
      </c>
      <c r="AQ126" t="s">
        <v>346</v>
      </c>
      <c r="AR126" s="11">
        <v>0.01</v>
      </c>
      <c r="AS126" s="9" t="str">
        <f>_xll.SNL.Clients.Office.Excel.Functions.SPG(AP126, "SP_COUNTRY_NAME")</f>
        <v>Luxembourg</v>
      </c>
      <c r="AX126" s="9" t="str">
        <f>_xll.SNL.Clients.Office.Excel.Functions.SPG(AU126, "SP_COUNTRY_NAME")</f>
        <v>#INVALID COMPANY ID</v>
      </c>
      <c r="BC126" s="9" t="str">
        <f>_xll.SNL.Clients.Office.Excel.Functions.SPG(AZ126, "SP_COUNTRY_NAME")</f>
        <v>#INVALID COMPANY ID</v>
      </c>
      <c r="BD126" t="s">
        <v>441</v>
      </c>
      <c r="BE126">
        <v>4153483</v>
      </c>
      <c r="BF126" t="s">
        <v>363</v>
      </c>
      <c r="BG126" s="11">
        <v>0.04</v>
      </c>
      <c r="BH126" s="9" t="str">
        <f>_xll.SNL.Clients.Office.Excel.Functions.SPG(BE126, "SP_COUNTRY_NAME")</f>
        <v>Canada</v>
      </c>
      <c r="BI126" t="s">
        <v>1017</v>
      </c>
      <c r="BJ126">
        <v>4138485</v>
      </c>
      <c r="BK126" t="s">
        <v>346</v>
      </c>
      <c r="BL126" s="11">
        <v>0.01</v>
      </c>
      <c r="BM126" s="9" t="str">
        <f>_xll.SNL.Clients.Office.Excel.Functions.SPG(BJ126, "SP_COUNTRY_NAME")</f>
        <v>France</v>
      </c>
      <c r="BN126" t="s">
        <v>552</v>
      </c>
      <c r="BO126">
        <v>4026973</v>
      </c>
      <c r="BP126" t="s">
        <v>346</v>
      </c>
      <c r="BQ126" s="11">
        <v>0.01</v>
      </c>
      <c r="BR126" s="9" t="str">
        <f>_xll.SNL.Clients.Office.Excel.Functions.SPG(BO126, "SP_COUNTRY_NAME")</f>
        <v>United Kingdom</v>
      </c>
      <c r="BS126" t="s">
        <v>969</v>
      </c>
      <c r="BT126">
        <v>4803401</v>
      </c>
      <c r="BU126" t="s">
        <v>346</v>
      </c>
      <c r="BV126" s="11">
        <v>0.03</v>
      </c>
      <c r="BW126" s="9" t="str">
        <f>_xll.SNL.Clients.Office.Excel.Functions.SPG(BT126, "SP_COUNTRY_NAME")</f>
        <v>Denmark</v>
      </c>
      <c r="BX126" t="s">
        <v>748</v>
      </c>
      <c r="BY126">
        <v>4138088</v>
      </c>
      <c r="BZ126" t="s">
        <v>346</v>
      </c>
      <c r="CA126" s="11">
        <v>0.02</v>
      </c>
      <c r="CB126" s="9" t="str">
        <f>_xll.SNL.Clients.Office.Excel.Functions.SPG(BY126, "SP_COUNTRY_NAME")</f>
        <v>China</v>
      </c>
      <c r="CC126" t="s">
        <v>558</v>
      </c>
      <c r="CD126">
        <v>109844</v>
      </c>
      <c r="CE126" t="s">
        <v>346</v>
      </c>
      <c r="CF126" s="11">
        <v>0.04</v>
      </c>
      <c r="CG126" s="9" t="str">
        <f>_xll.SNL.Clients.Office.Excel.Functions.SPG(CD126, "SP_COUNTRY_NAME")</f>
        <v>USA</v>
      </c>
      <c r="CH126" t="s">
        <v>988</v>
      </c>
      <c r="CI126">
        <v>4825704</v>
      </c>
      <c r="CJ126" t="s">
        <v>346</v>
      </c>
      <c r="CK126" s="11">
        <v>0.01</v>
      </c>
      <c r="CL126" s="9" t="str">
        <f>_xll.SNL.Clients.Office.Excel.Functions.SPG(CI126, "SP_COUNTRY_NAME")</f>
        <v>Luxembourg</v>
      </c>
      <c r="CM126" t="s">
        <v>435</v>
      </c>
      <c r="CN126">
        <v>109789</v>
      </c>
      <c r="CO126" t="s">
        <v>346</v>
      </c>
      <c r="CP126" s="11">
        <v>0.04</v>
      </c>
      <c r="CQ126" s="9" t="str">
        <f>_xll.SNL.Clients.Office.Excel.Functions.SPG(CN126, "SP_COUNTRY_NAME")</f>
        <v>USA</v>
      </c>
      <c r="CV126" s="9" t="str">
        <f>_xll.SNL.Clients.Office.Excel.Functions.SPG(CS126, "SP_COUNTRY_NAME")</f>
        <v>#INVALID COMPANY ID</v>
      </c>
      <c r="DA126" s="9" t="str">
        <f>_xll.SNL.Clients.Office.Excel.Functions.SPG(CX126, "SP_COUNTRY_NAME")</f>
        <v>#INVALID COMPANY ID</v>
      </c>
      <c r="DB126" t="s">
        <v>441</v>
      </c>
      <c r="DC126">
        <v>4153483</v>
      </c>
      <c r="DD126" t="s">
        <v>363</v>
      </c>
      <c r="DE126" s="11">
        <v>0.04</v>
      </c>
      <c r="DF126" s="9" t="str">
        <f>_xll.SNL.Clients.Office.Excel.Functions.SPG(DC126, "SP_COUNTRY_NAME")</f>
        <v>Canada</v>
      </c>
      <c r="DK126" s="9" t="str">
        <f>_xll.SNL.Clients.Office.Excel.Functions.SPG(DH126, "SP_COUNTRY_NAME")</f>
        <v>#INVALID COMPANY ID</v>
      </c>
      <c r="DL126" t="s">
        <v>441</v>
      </c>
      <c r="DM126">
        <v>4153483</v>
      </c>
      <c r="DN126" t="s">
        <v>363</v>
      </c>
      <c r="DO126" s="11">
        <v>0.04</v>
      </c>
      <c r="DP126" s="9" t="str">
        <f>_xll.SNL.Clients.Office.Excel.Functions.SPG(DM126, "SP_COUNTRY_NAME")</f>
        <v>Canada</v>
      </c>
      <c r="DU126" s="9" t="str">
        <f>_xll.SNL.Clients.Office.Excel.Functions.SPG(DR126, "SP_COUNTRY_NAME")</f>
        <v>#INVALID COMPANY ID</v>
      </c>
      <c r="DV126" t="s">
        <v>1219</v>
      </c>
      <c r="DW126">
        <v>8338097</v>
      </c>
      <c r="DX126" t="s">
        <v>346</v>
      </c>
      <c r="DY126" s="11">
        <v>0</v>
      </c>
      <c r="DZ126" s="9" t="str">
        <f>_xll.SNL.Clients.Office.Excel.Functions.SPG(DW126, "SP_COUNTRY_NAME")</f>
        <v>Japan</v>
      </c>
      <c r="EA126" t="s">
        <v>558</v>
      </c>
      <c r="EB126">
        <v>109844</v>
      </c>
      <c r="EC126" t="s">
        <v>346</v>
      </c>
      <c r="ED126" s="11">
        <v>0.04</v>
      </c>
      <c r="EE126" s="9" t="str">
        <f>_xll.SNL.Clients.Office.Excel.Functions.SPG(EB126, "SP_COUNTRY_NAME")</f>
        <v>USA</v>
      </c>
      <c r="EF126" t="s">
        <v>441</v>
      </c>
      <c r="EG126">
        <v>4153483</v>
      </c>
      <c r="EH126" t="s">
        <v>363</v>
      </c>
      <c r="EI126" s="11">
        <v>0.04</v>
      </c>
      <c r="EJ126" s="9" t="str">
        <f>_xll.SNL.Clients.Office.Excel.Functions.SPG(EG126, "SP_COUNTRY_NAME")</f>
        <v>Canada</v>
      </c>
      <c r="EO126" s="9" t="str">
        <f>_xll.SNL.Clients.Office.Excel.Functions.SPG(EL126, "SP_COUNTRY_NAME")</f>
        <v>#INVALID COMPANY ID</v>
      </c>
      <c r="EP126" t="s">
        <v>413</v>
      </c>
      <c r="EQ126">
        <v>4114882</v>
      </c>
      <c r="ER126" t="s">
        <v>346</v>
      </c>
      <c r="ES126" s="11">
        <v>0</v>
      </c>
      <c r="ET126" s="9" t="str">
        <f>_xll.SNL.Clients.Office.Excel.Functions.SPG(EQ126, "SP_COUNTRY_NAME")</f>
        <v>Canada</v>
      </c>
      <c r="EY126" s="9" t="str">
        <f>_xll.SNL.Clients.Office.Excel.Functions.SPG(EV126, "SP_COUNTRY_NAME")</f>
        <v>#INVALID COMPANY ID</v>
      </c>
      <c r="FD126" s="9" t="str">
        <f>_xll.SNL.Clients.Office.Excel.Functions.SPG(FA126, "SP_COUNTRY_NAME")</f>
        <v>#INVALID COMPANY ID</v>
      </c>
      <c r="FI126" s="9" t="str">
        <f>_xll.SNL.Clients.Office.Excel.Functions.SPG(FF126, "SP_COUNTRY_NAME")</f>
        <v>#INVALID COMPANY ID</v>
      </c>
      <c r="FJ126" t="s">
        <v>520</v>
      </c>
      <c r="FK126">
        <v>103661</v>
      </c>
      <c r="FL126" t="s">
        <v>346</v>
      </c>
      <c r="FM126" s="11">
        <v>0</v>
      </c>
      <c r="FN126" s="9" t="str">
        <f>_xll.SNL.Clients.Office.Excel.Functions.SPG(FK126, "SP_COUNTRY_NAME")</f>
        <v>USA</v>
      </c>
      <c r="FS126" s="9" t="str">
        <f>_xll.SNL.Clients.Office.Excel.Functions.SPG(FP126, "SP_COUNTRY_NAME")</f>
        <v>#INVALID COMPANY ID</v>
      </c>
      <c r="FX126" s="9" t="str">
        <f>_xll.SNL.Clients.Office.Excel.Functions.SPG(FU126, "SP_COUNTRY_NAME")</f>
        <v>#INVALID COMPANY ID</v>
      </c>
      <c r="FY126" t="s">
        <v>441</v>
      </c>
      <c r="FZ126">
        <v>4153483</v>
      </c>
      <c r="GA126" t="s">
        <v>363</v>
      </c>
      <c r="GB126" s="11">
        <v>0.04</v>
      </c>
      <c r="GC126" s="9" t="str">
        <f>_xll.SNL.Clients.Office.Excel.Functions.SPG(FZ126, "SP_COUNTRY_NAME")</f>
        <v>Canada</v>
      </c>
      <c r="GH126" s="9" t="str">
        <f>_xll.SNL.Clients.Office.Excel.Functions.SPG(GE126, "SP_COUNTRY_NAME")</f>
        <v>#INVALID COMPANY ID</v>
      </c>
      <c r="GM126" s="9" t="str">
        <f>_xll.SNL.Clients.Office.Excel.Functions.SPG(GJ126, "SP_COUNTRY_NAME")</f>
        <v>#INVALID COMPANY ID</v>
      </c>
      <c r="GN126" t="s">
        <v>520</v>
      </c>
      <c r="GO126">
        <v>103661</v>
      </c>
      <c r="GP126" t="s">
        <v>346</v>
      </c>
      <c r="GQ126" s="11">
        <v>0</v>
      </c>
      <c r="GR126" s="9" t="str">
        <f>_xll.SNL.Clients.Office.Excel.Functions.SPG(GO126, "SP_COUNTRY_NAME")</f>
        <v>USA</v>
      </c>
      <c r="GS126" t="s">
        <v>552</v>
      </c>
      <c r="GT126">
        <v>4026973</v>
      </c>
      <c r="GU126" t="s">
        <v>346</v>
      </c>
      <c r="GV126" s="11">
        <v>0.01</v>
      </c>
      <c r="GW126" s="9" t="str">
        <f>_xll.SNL.Clients.Office.Excel.Functions.SPG(GT126, "SP_COUNTRY_NAME")</f>
        <v>United Kingdom</v>
      </c>
      <c r="GX126" t="s">
        <v>558</v>
      </c>
      <c r="GY126">
        <v>109844</v>
      </c>
      <c r="GZ126" t="s">
        <v>346</v>
      </c>
      <c r="HA126" s="11">
        <v>0.04</v>
      </c>
      <c r="HB126" s="9" t="str">
        <f>_xll.SNL.Clients.Office.Excel.Functions.SPG(GY126, "SP_COUNTRY_NAME")</f>
        <v>USA</v>
      </c>
      <c r="HG126" s="9" t="str">
        <f>_xll.SNL.Clients.Office.Excel.Functions.SPG(HD126, "SP_COUNTRY_NAME")</f>
        <v>#INVALID COMPANY ID</v>
      </c>
    </row>
    <row r="127" spans="5:215" x14ac:dyDescent="0.35">
      <c r="E127" s="9" t="str">
        <f>_xll.SNL.Clients.Office.Excel.Functions.SPG(B127, "SP_COUNTRY_NAME")</f>
        <v>#INVALID COMPANY ID</v>
      </c>
      <c r="F127" t="s">
        <v>515</v>
      </c>
      <c r="G127">
        <v>109731</v>
      </c>
      <c r="H127" t="s">
        <v>346</v>
      </c>
      <c r="I127" s="11">
        <v>0</v>
      </c>
      <c r="J127" s="9" t="str">
        <f>_xll.SNL.Clients.Office.Excel.Functions.SPG(G127, "SP_COUNTRY_NAME")</f>
        <v>USA</v>
      </c>
      <c r="K127" t="s">
        <v>549</v>
      </c>
      <c r="L127">
        <v>4556203</v>
      </c>
      <c r="M127" t="s">
        <v>346</v>
      </c>
      <c r="N127" s="11">
        <v>0</v>
      </c>
      <c r="O127" s="9" t="str">
        <f>_xll.SNL.Clients.Office.Excel.Functions.SPG(L127, "SP_COUNTRY_NAME")</f>
        <v>USA</v>
      </c>
      <c r="T127" s="9" t="str">
        <f>_xll.SNL.Clients.Office.Excel.Functions.SPG(Q127, "SP_COUNTRY_NAME")</f>
        <v>#INVALID COMPANY ID</v>
      </c>
      <c r="U127" t="s">
        <v>667</v>
      </c>
      <c r="V127">
        <v>4208762</v>
      </c>
      <c r="W127" t="s">
        <v>346</v>
      </c>
      <c r="X127" s="11">
        <v>0.02</v>
      </c>
      <c r="Y127" s="9" t="str">
        <f>_xll.SNL.Clients.Office.Excel.Functions.SPG(V127, "SP_COUNTRY_NAME")</f>
        <v>Hong Kong</v>
      </c>
      <c r="Z127" t="s">
        <v>549</v>
      </c>
      <c r="AA127">
        <v>4556203</v>
      </c>
      <c r="AB127" t="s">
        <v>346</v>
      </c>
      <c r="AC127" s="11">
        <v>0</v>
      </c>
      <c r="AD127" s="9" t="str">
        <f>_xll.SNL.Clients.Office.Excel.Functions.SPG(AA127, "SP_COUNTRY_NAME")</f>
        <v>USA</v>
      </c>
      <c r="AE127" t="s">
        <v>464</v>
      </c>
      <c r="AF127">
        <v>4629378</v>
      </c>
      <c r="AG127" t="s">
        <v>346</v>
      </c>
      <c r="AH127" s="11">
        <v>0</v>
      </c>
      <c r="AI127" s="9" t="str">
        <f>_xll.SNL.Clients.Office.Excel.Functions.SPG(AF127, "SP_COUNTRY_NAME")</f>
        <v>Japan</v>
      </c>
      <c r="AN127" s="9" t="str">
        <f>_xll.SNL.Clients.Office.Excel.Functions.SPG(AK127, "SP_COUNTRY_NAME")</f>
        <v>#INVALID COMPANY ID</v>
      </c>
      <c r="AO127" t="s">
        <v>1295</v>
      </c>
      <c r="AP127">
        <v>6389325</v>
      </c>
      <c r="AQ127" t="s">
        <v>364</v>
      </c>
      <c r="AR127" s="11">
        <v>0.01</v>
      </c>
      <c r="AS127" s="9" t="str">
        <f>_xll.SNL.Clients.Office.Excel.Functions.SPG(AP127, "SP_COUNTRY_NAME")</f>
        <v>South Africa</v>
      </c>
      <c r="AX127" s="9" t="str">
        <f>_xll.SNL.Clients.Office.Excel.Functions.SPG(AU127, "SP_COUNTRY_NAME")</f>
        <v>#INVALID COMPANY ID</v>
      </c>
      <c r="BC127" s="9" t="str">
        <f>_xll.SNL.Clients.Office.Excel.Functions.SPG(AZ127, "SP_COUNTRY_NAME")</f>
        <v>#INVALID COMPANY ID</v>
      </c>
      <c r="BD127" t="s">
        <v>435</v>
      </c>
      <c r="BE127">
        <v>109789</v>
      </c>
      <c r="BF127" t="s">
        <v>346</v>
      </c>
      <c r="BG127" s="11">
        <v>0.04</v>
      </c>
      <c r="BH127" s="9" t="str">
        <f>_xll.SNL.Clients.Office.Excel.Functions.SPG(BE127, "SP_COUNTRY_NAME")</f>
        <v>USA</v>
      </c>
      <c r="BI127" t="s">
        <v>1200</v>
      </c>
      <c r="BJ127">
        <v>4140083</v>
      </c>
      <c r="BK127" t="s">
        <v>346</v>
      </c>
      <c r="BL127" s="11">
        <v>0.01</v>
      </c>
      <c r="BM127" s="9" t="str">
        <f>_xll.SNL.Clients.Office.Excel.Functions.SPG(BJ127, "SP_COUNTRY_NAME")</f>
        <v>Germany</v>
      </c>
      <c r="BN127" t="s">
        <v>750</v>
      </c>
      <c r="BO127">
        <v>4138496</v>
      </c>
      <c r="BP127" t="s">
        <v>346</v>
      </c>
      <c r="BQ127" s="11">
        <v>0.01</v>
      </c>
      <c r="BR127" s="9" t="str">
        <f>_xll.SNL.Clients.Office.Excel.Functions.SPG(BO127, "SP_COUNTRY_NAME")</f>
        <v>China</v>
      </c>
      <c r="BS127" t="s">
        <v>653</v>
      </c>
      <c r="BT127">
        <v>4100281</v>
      </c>
      <c r="BU127" t="s">
        <v>346</v>
      </c>
      <c r="BV127" s="11">
        <v>0.03</v>
      </c>
      <c r="BW127" s="9" t="str">
        <f>_xll.SNL.Clients.Office.Excel.Functions.SPG(BT127, "SP_COUNTRY_NAME")</f>
        <v>Hong Kong</v>
      </c>
      <c r="BX127" t="s">
        <v>667</v>
      </c>
      <c r="BY127">
        <v>4208762</v>
      </c>
      <c r="BZ127" t="s">
        <v>346</v>
      </c>
      <c r="CA127" s="11">
        <v>0.02</v>
      </c>
      <c r="CB127" s="9" t="str">
        <f>_xll.SNL.Clients.Office.Excel.Functions.SPG(BY127, "SP_COUNTRY_NAME")</f>
        <v>Hong Kong</v>
      </c>
      <c r="CC127" t="s">
        <v>1647</v>
      </c>
      <c r="CD127">
        <v>5847702</v>
      </c>
      <c r="CE127" t="s">
        <v>364</v>
      </c>
      <c r="CF127" s="11">
        <v>0.03</v>
      </c>
      <c r="CG127" s="9" t="str">
        <f>_xll.SNL.Clients.Office.Excel.Functions.SPG(CD127, "SP_COUNTRY_NAME")</f>
        <v>Brazil</v>
      </c>
      <c r="CH127" t="s">
        <v>1295</v>
      </c>
      <c r="CI127">
        <v>6389325</v>
      </c>
      <c r="CJ127" t="s">
        <v>364</v>
      </c>
      <c r="CK127" s="11">
        <v>0.01</v>
      </c>
      <c r="CL127" s="9" t="str">
        <f>_xll.SNL.Clients.Office.Excel.Functions.SPG(CI127, "SP_COUNTRY_NAME")</f>
        <v>South Africa</v>
      </c>
      <c r="CM127" t="s">
        <v>1268</v>
      </c>
      <c r="CN127">
        <v>4418744</v>
      </c>
      <c r="CO127" t="s">
        <v>346</v>
      </c>
      <c r="CP127" s="11">
        <v>0.04</v>
      </c>
      <c r="CQ127" s="9" t="str">
        <f>_xll.SNL.Clients.Office.Excel.Functions.SPG(CN127, "SP_COUNTRY_NAME")</f>
        <v>South Africa</v>
      </c>
      <c r="CV127" s="9" t="str">
        <f>_xll.SNL.Clients.Office.Excel.Functions.SPG(CS127, "SP_COUNTRY_NAME")</f>
        <v>#INVALID COMPANY ID</v>
      </c>
      <c r="DA127" s="9" t="str">
        <f>_xll.SNL.Clients.Office.Excel.Functions.SPG(CX127, "SP_COUNTRY_NAME")</f>
        <v>#INVALID COMPANY ID</v>
      </c>
      <c r="DB127" t="s">
        <v>435</v>
      </c>
      <c r="DC127">
        <v>109789</v>
      </c>
      <c r="DD127" t="s">
        <v>346</v>
      </c>
      <c r="DE127" s="11">
        <v>0.04</v>
      </c>
      <c r="DF127" s="9" t="str">
        <f>_xll.SNL.Clients.Office.Excel.Functions.SPG(DC127, "SP_COUNTRY_NAME")</f>
        <v>USA</v>
      </c>
      <c r="DK127" s="9" t="str">
        <f>_xll.SNL.Clients.Office.Excel.Functions.SPG(DH127, "SP_COUNTRY_NAME")</f>
        <v>#INVALID COMPANY ID</v>
      </c>
      <c r="DL127" t="s">
        <v>435</v>
      </c>
      <c r="DM127">
        <v>109789</v>
      </c>
      <c r="DN127" t="s">
        <v>346</v>
      </c>
      <c r="DO127" s="11">
        <v>0.04</v>
      </c>
      <c r="DP127" s="9" t="str">
        <f>_xll.SNL.Clients.Office.Excel.Functions.SPG(DM127, "SP_COUNTRY_NAME")</f>
        <v>USA</v>
      </c>
      <c r="DU127" s="9" t="str">
        <f>_xll.SNL.Clients.Office.Excel.Functions.SPG(DR127, "SP_COUNTRY_NAME")</f>
        <v>#INVALID COMPANY ID</v>
      </c>
      <c r="DV127" t="s">
        <v>1220</v>
      </c>
      <c r="DW127">
        <v>4218892</v>
      </c>
      <c r="DX127" t="s">
        <v>346</v>
      </c>
      <c r="DY127" s="11">
        <v>0</v>
      </c>
      <c r="DZ127" s="9" t="str">
        <f>_xll.SNL.Clients.Office.Excel.Functions.SPG(DW127, "SP_COUNTRY_NAME")</f>
        <v>USA</v>
      </c>
      <c r="EA127" t="s">
        <v>1647</v>
      </c>
      <c r="EB127">
        <v>5847702</v>
      </c>
      <c r="EC127" t="s">
        <v>364</v>
      </c>
      <c r="ED127" s="11">
        <v>0.03</v>
      </c>
      <c r="EE127" s="9" t="str">
        <f>_xll.SNL.Clients.Office.Excel.Functions.SPG(EB127, "SP_COUNTRY_NAME")</f>
        <v>Brazil</v>
      </c>
      <c r="EF127" t="s">
        <v>435</v>
      </c>
      <c r="EG127">
        <v>109789</v>
      </c>
      <c r="EH127" t="s">
        <v>346</v>
      </c>
      <c r="EI127" s="11">
        <v>0.04</v>
      </c>
      <c r="EJ127" s="9" t="str">
        <f>_xll.SNL.Clients.Office.Excel.Functions.SPG(EG127, "SP_COUNTRY_NAME")</f>
        <v>USA</v>
      </c>
      <c r="EO127" s="9" t="str">
        <f>_xll.SNL.Clients.Office.Excel.Functions.SPG(EL127, "SP_COUNTRY_NAME")</f>
        <v>#INVALID COMPANY ID</v>
      </c>
      <c r="EP127" t="s">
        <v>458</v>
      </c>
      <c r="EQ127">
        <v>109806</v>
      </c>
      <c r="ER127" t="s">
        <v>346</v>
      </c>
      <c r="ES127" s="11">
        <v>0</v>
      </c>
      <c r="ET127" s="9" t="str">
        <f>_xll.SNL.Clients.Office.Excel.Functions.SPG(EQ127, "SP_COUNTRY_NAME")</f>
        <v>USA</v>
      </c>
      <c r="EY127" s="9" t="str">
        <f>_xll.SNL.Clients.Office.Excel.Functions.SPG(EV127, "SP_COUNTRY_NAME")</f>
        <v>#INVALID COMPANY ID</v>
      </c>
      <c r="FD127" s="9" t="str">
        <f>_xll.SNL.Clients.Office.Excel.Functions.SPG(FA127, "SP_COUNTRY_NAME")</f>
        <v>#INVALID COMPANY ID</v>
      </c>
      <c r="FI127" s="9" t="str">
        <f>_xll.SNL.Clients.Office.Excel.Functions.SPG(FF127, "SP_COUNTRY_NAME")</f>
        <v>#INVALID COMPANY ID</v>
      </c>
      <c r="FJ127" t="s">
        <v>591</v>
      </c>
      <c r="FK127">
        <v>109721</v>
      </c>
      <c r="FL127" t="s">
        <v>346</v>
      </c>
      <c r="FM127" s="11">
        <v>0</v>
      </c>
      <c r="FN127" s="9" t="str">
        <f>_xll.SNL.Clients.Office.Excel.Functions.SPG(FK127, "SP_COUNTRY_NAME")</f>
        <v>USA</v>
      </c>
      <c r="FS127" s="9" t="str">
        <f>_xll.SNL.Clients.Office.Excel.Functions.SPG(FP127, "SP_COUNTRY_NAME")</f>
        <v>#INVALID COMPANY ID</v>
      </c>
      <c r="FX127" s="9" t="str">
        <f>_xll.SNL.Clients.Office.Excel.Functions.SPG(FU127, "SP_COUNTRY_NAME")</f>
        <v>#INVALID COMPANY ID</v>
      </c>
      <c r="FY127" t="s">
        <v>435</v>
      </c>
      <c r="FZ127">
        <v>109789</v>
      </c>
      <c r="GA127" t="s">
        <v>346</v>
      </c>
      <c r="GB127" s="11">
        <v>0.04</v>
      </c>
      <c r="GC127" s="9" t="str">
        <f>_xll.SNL.Clients.Office.Excel.Functions.SPG(FZ127, "SP_COUNTRY_NAME")</f>
        <v>USA</v>
      </c>
      <c r="GH127" s="9" t="str">
        <f>_xll.SNL.Clients.Office.Excel.Functions.SPG(GE127, "SP_COUNTRY_NAME")</f>
        <v>#INVALID COMPANY ID</v>
      </c>
      <c r="GM127" s="9" t="str">
        <f>_xll.SNL.Clients.Office.Excel.Functions.SPG(GJ127, "SP_COUNTRY_NAME")</f>
        <v>#INVALID COMPANY ID</v>
      </c>
      <c r="GN127" t="s">
        <v>591</v>
      </c>
      <c r="GO127">
        <v>109721</v>
      </c>
      <c r="GP127" t="s">
        <v>346</v>
      </c>
      <c r="GQ127" s="11">
        <v>0</v>
      </c>
      <c r="GR127" s="9" t="str">
        <f>_xll.SNL.Clients.Office.Excel.Functions.SPG(GO127, "SP_COUNTRY_NAME")</f>
        <v>USA</v>
      </c>
      <c r="GS127" t="s">
        <v>750</v>
      </c>
      <c r="GT127">
        <v>4138496</v>
      </c>
      <c r="GU127" t="s">
        <v>346</v>
      </c>
      <c r="GV127" s="11">
        <v>0.01</v>
      </c>
      <c r="GW127" s="9" t="str">
        <f>_xll.SNL.Clients.Office.Excel.Functions.SPG(GT127, "SP_COUNTRY_NAME")</f>
        <v>China</v>
      </c>
      <c r="GX127" t="s">
        <v>1647</v>
      </c>
      <c r="GY127">
        <v>5847702</v>
      </c>
      <c r="GZ127" t="s">
        <v>364</v>
      </c>
      <c r="HA127" s="11">
        <v>0.03</v>
      </c>
      <c r="HB127" s="9" t="str">
        <f>_xll.SNL.Clients.Office.Excel.Functions.SPG(GY127, "SP_COUNTRY_NAME")</f>
        <v>Brazil</v>
      </c>
      <c r="HG127" s="9" t="str">
        <f>_xll.SNL.Clients.Office.Excel.Functions.SPG(HD127, "SP_COUNTRY_NAME")</f>
        <v>#INVALID COMPANY ID</v>
      </c>
    </row>
    <row r="128" spans="5:215" x14ac:dyDescent="0.35">
      <c r="E128" s="9" t="str">
        <f>_xll.SNL.Clients.Office.Excel.Functions.SPG(B128, "SP_COUNTRY_NAME")</f>
        <v>#INVALID COMPANY ID</v>
      </c>
      <c r="F128" t="s">
        <v>410</v>
      </c>
      <c r="G128">
        <v>5759394</v>
      </c>
      <c r="H128" t="s">
        <v>346</v>
      </c>
      <c r="I128" s="11">
        <v>0</v>
      </c>
      <c r="J128" s="9" t="str">
        <f>_xll.SNL.Clients.Office.Excel.Functions.SPG(G128, "SP_COUNTRY_NAME")</f>
        <v>Ireland</v>
      </c>
      <c r="K128" t="s">
        <v>688</v>
      </c>
      <c r="L128">
        <v>14821347</v>
      </c>
      <c r="M128" t="s">
        <v>346</v>
      </c>
      <c r="N128" s="11">
        <v>0</v>
      </c>
      <c r="O128" s="9" t="str">
        <f>_xll.SNL.Clients.Office.Excel.Functions.SPG(L128, "SP_COUNTRY_NAME")</f>
        <v>Singapore</v>
      </c>
      <c r="T128" s="9" t="str">
        <f>_xll.SNL.Clients.Office.Excel.Functions.SPG(Q128, "SP_COUNTRY_NAME")</f>
        <v>#INVALID COMPANY ID</v>
      </c>
      <c r="U128" t="s">
        <v>565</v>
      </c>
      <c r="V128">
        <v>26566323</v>
      </c>
      <c r="W128" t="s">
        <v>346</v>
      </c>
      <c r="X128" s="11">
        <v>0.02</v>
      </c>
      <c r="Y128" s="9" t="str">
        <f>_xll.SNL.Clients.Office.Excel.Functions.SPG(V128, "SP_COUNTRY_NAME")</f>
        <v>USA</v>
      </c>
      <c r="Z128" t="s">
        <v>688</v>
      </c>
      <c r="AA128">
        <v>14821347</v>
      </c>
      <c r="AB128" t="s">
        <v>346</v>
      </c>
      <c r="AC128" s="11">
        <v>0</v>
      </c>
      <c r="AD128" s="9" t="str">
        <f>_xll.SNL.Clients.Office.Excel.Functions.SPG(AA128, "SP_COUNTRY_NAME")</f>
        <v>Singapore</v>
      </c>
      <c r="AE128" t="s">
        <v>1146</v>
      </c>
      <c r="AF128">
        <v>4138223</v>
      </c>
      <c r="AG128" t="s">
        <v>346</v>
      </c>
      <c r="AH128" s="11">
        <v>0</v>
      </c>
      <c r="AI128" s="9" t="str">
        <f>_xll.SNL.Clients.Office.Excel.Functions.SPG(AF128, "SP_COUNTRY_NAME")</f>
        <v>Switzerland</v>
      </c>
      <c r="AN128" s="9" t="str">
        <f>_xll.SNL.Clients.Office.Excel.Functions.SPG(AK128, "SP_COUNTRY_NAME")</f>
        <v>#INVALID COMPANY ID</v>
      </c>
      <c r="AO128" t="s">
        <v>523</v>
      </c>
      <c r="AP128">
        <v>7060057</v>
      </c>
      <c r="AQ128" t="s">
        <v>346</v>
      </c>
      <c r="AR128" s="11">
        <v>0.01</v>
      </c>
      <c r="AS128" s="9" t="str">
        <f>_xll.SNL.Clients.Office.Excel.Functions.SPG(AP128, "SP_COUNTRY_NAME")</f>
        <v>Switzerland</v>
      </c>
      <c r="AX128" s="9" t="str">
        <f>_xll.SNL.Clients.Office.Excel.Functions.SPG(AU128, "SP_COUNTRY_NAME")</f>
        <v>#INVALID COMPANY ID</v>
      </c>
      <c r="BC128" s="9" t="str">
        <f>_xll.SNL.Clients.Office.Excel.Functions.SPG(AZ128, "SP_COUNTRY_NAME")</f>
        <v>#INVALID COMPANY ID</v>
      </c>
      <c r="BD128" t="s">
        <v>1428</v>
      </c>
      <c r="BE128">
        <v>113837</v>
      </c>
      <c r="BF128" t="s">
        <v>346</v>
      </c>
      <c r="BG128" s="11">
        <v>0.04</v>
      </c>
      <c r="BH128" s="9" t="str">
        <f>_xll.SNL.Clients.Office.Excel.Functions.SPG(BE128, "SP_COUNTRY_NAME")</f>
        <v>Netherlands</v>
      </c>
      <c r="BI128" t="s">
        <v>623</v>
      </c>
      <c r="BJ128">
        <v>4138267</v>
      </c>
      <c r="BK128" t="s">
        <v>346</v>
      </c>
      <c r="BL128" s="11">
        <v>0.01</v>
      </c>
      <c r="BM128" s="9" t="str">
        <f>_xll.SNL.Clients.Office.Excel.Functions.SPG(BJ128, "SP_COUNTRY_NAME")</f>
        <v>Switzerland</v>
      </c>
      <c r="BN128" t="s">
        <v>412</v>
      </c>
      <c r="BO128">
        <v>109687</v>
      </c>
      <c r="BP128" t="s">
        <v>346</v>
      </c>
      <c r="BQ128" s="11">
        <v>0.01</v>
      </c>
      <c r="BR128" s="9" t="str">
        <f>_xll.SNL.Clients.Office.Excel.Functions.SPG(BO128, "SP_COUNTRY_NAME")</f>
        <v>USA</v>
      </c>
      <c r="BS128" t="s">
        <v>466</v>
      </c>
      <c r="BT128">
        <v>111267</v>
      </c>
      <c r="BU128" t="s">
        <v>346</v>
      </c>
      <c r="BV128" s="11">
        <v>0.02</v>
      </c>
      <c r="BW128" s="9" t="str">
        <f>_xll.SNL.Clients.Office.Excel.Functions.SPG(BT128, "SP_COUNTRY_NAME")</f>
        <v>United Kingdom</v>
      </c>
      <c r="BX128" t="s">
        <v>565</v>
      </c>
      <c r="BY128">
        <v>26566323</v>
      </c>
      <c r="BZ128" t="s">
        <v>346</v>
      </c>
      <c r="CA128" s="11">
        <v>0.02</v>
      </c>
      <c r="CB128" s="9" t="str">
        <f>_xll.SNL.Clients.Office.Excel.Functions.SPG(BY128, "SP_COUNTRY_NAME")</f>
        <v>USA</v>
      </c>
      <c r="CC128" t="s">
        <v>749</v>
      </c>
      <c r="CD128">
        <v>109913</v>
      </c>
      <c r="CE128" t="s">
        <v>346</v>
      </c>
      <c r="CF128" s="11">
        <v>0.03</v>
      </c>
      <c r="CG128" s="9" t="str">
        <f>_xll.SNL.Clients.Office.Excel.Functions.SPG(CD128, "SP_COUNTRY_NAME")</f>
        <v>USA</v>
      </c>
      <c r="CH128" t="s">
        <v>523</v>
      </c>
      <c r="CI128">
        <v>7060057</v>
      </c>
      <c r="CJ128" t="s">
        <v>346</v>
      </c>
      <c r="CK128" s="11">
        <v>0.01</v>
      </c>
      <c r="CL128" s="9" t="str">
        <f>_xll.SNL.Clients.Office.Excel.Functions.SPG(CI128, "SP_COUNTRY_NAME")</f>
        <v>Switzerland</v>
      </c>
      <c r="CM128" t="s">
        <v>1281</v>
      </c>
      <c r="CN128">
        <v>4631098</v>
      </c>
      <c r="CO128" t="s">
        <v>364</v>
      </c>
      <c r="CP128" s="11">
        <v>0.04</v>
      </c>
      <c r="CQ128" s="9" t="str">
        <f>_xll.SNL.Clients.Office.Excel.Functions.SPG(CN128, "SP_COUNTRY_NAME")</f>
        <v>South Africa</v>
      </c>
      <c r="CV128" s="9" t="str">
        <f>_xll.SNL.Clients.Office.Excel.Functions.SPG(CS128, "SP_COUNTRY_NAME")</f>
        <v>#INVALID COMPANY ID</v>
      </c>
      <c r="DA128" s="9" t="str">
        <f>_xll.SNL.Clients.Office.Excel.Functions.SPG(CX128, "SP_COUNTRY_NAME")</f>
        <v>#INVALID COMPANY ID</v>
      </c>
      <c r="DB128" t="s">
        <v>1428</v>
      </c>
      <c r="DC128">
        <v>113837</v>
      </c>
      <c r="DD128" t="s">
        <v>346</v>
      </c>
      <c r="DE128" s="11">
        <v>0.04</v>
      </c>
      <c r="DF128" s="9" t="str">
        <f>_xll.SNL.Clients.Office.Excel.Functions.SPG(DC128, "SP_COUNTRY_NAME")</f>
        <v>Netherlands</v>
      </c>
      <c r="DK128" s="9" t="str">
        <f>_xll.SNL.Clients.Office.Excel.Functions.SPG(DH128, "SP_COUNTRY_NAME")</f>
        <v>#INVALID COMPANY ID</v>
      </c>
      <c r="DL128" t="s">
        <v>1428</v>
      </c>
      <c r="DM128">
        <v>113837</v>
      </c>
      <c r="DN128" t="s">
        <v>346</v>
      </c>
      <c r="DO128" s="11">
        <v>0.04</v>
      </c>
      <c r="DP128" s="9" t="str">
        <f>_xll.SNL.Clients.Office.Excel.Functions.SPG(DM128, "SP_COUNTRY_NAME")</f>
        <v>Netherlands</v>
      </c>
      <c r="DU128" s="9" t="str">
        <f>_xll.SNL.Clients.Office.Excel.Functions.SPG(DR128, "SP_COUNTRY_NAME")</f>
        <v>#INVALID COMPANY ID</v>
      </c>
      <c r="DV128" t="s">
        <v>753</v>
      </c>
      <c r="DW128">
        <v>10499632</v>
      </c>
      <c r="DX128" t="s">
        <v>363</v>
      </c>
      <c r="DY128" s="11">
        <v>0</v>
      </c>
      <c r="DZ128" s="9" t="str">
        <f>_xll.SNL.Clients.Office.Excel.Functions.SPG(DW128, "SP_COUNTRY_NAME")</f>
        <v>United Kingdom</v>
      </c>
      <c r="EA128" t="s">
        <v>749</v>
      </c>
      <c r="EB128">
        <v>109913</v>
      </c>
      <c r="EC128" t="s">
        <v>346</v>
      </c>
      <c r="ED128" s="11">
        <v>0.03</v>
      </c>
      <c r="EE128" s="9" t="str">
        <f>_xll.SNL.Clients.Office.Excel.Functions.SPG(EB128, "SP_COUNTRY_NAME")</f>
        <v>USA</v>
      </c>
      <c r="EF128" t="s">
        <v>1428</v>
      </c>
      <c r="EG128">
        <v>113837</v>
      </c>
      <c r="EH128" t="s">
        <v>346</v>
      </c>
      <c r="EI128" s="11">
        <v>0.04</v>
      </c>
      <c r="EJ128" s="9" t="str">
        <f>_xll.SNL.Clients.Office.Excel.Functions.SPG(EG128, "SP_COUNTRY_NAME")</f>
        <v>Netherlands</v>
      </c>
      <c r="EO128" s="9" t="str">
        <f>_xll.SNL.Clients.Office.Excel.Functions.SPG(EL128, "SP_COUNTRY_NAME")</f>
        <v>#INVALID COMPANY ID</v>
      </c>
      <c r="EP128" t="s">
        <v>589</v>
      </c>
      <c r="EQ128">
        <v>4140617</v>
      </c>
      <c r="ER128" t="s">
        <v>346</v>
      </c>
      <c r="ES128" s="11">
        <v>0</v>
      </c>
      <c r="ET128" s="9" t="str">
        <f>_xll.SNL.Clients.Office.Excel.Functions.SPG(EQ128, "SP_COUNTRY_NAME")</f>
        <v>Switzerland</v>
      </c>
      <c r="EY128" s="9" t="str">
        <f>_xll.SNL.Clients.Office.Excel.Functions.SPG(EV128, "SP_COUNTRY_NAME")</f>
        <v>#INVALID COMPANY ID</v>
      </c>
      <c r="FD128" s="9" t="str">
        <f>_xll.SNL.Clients.Office.Excel.Functions.SPG(FA128, "SP_COUNTRY_NAME")</f>
        <v>#INVALID COMPANY ID</v>
      </c>
      <c r="FI128" s="9" t="str">
        <f>_xll.SNL.Clients.Office.Excel.Functions.SPG(FF128, "SP_COUNTRY_NAME")</f>
        <v>#INVALID COMPANY ID</v>
      </c>
      <c r="FJ128" t="s">
        <v>593</v>
      </c>
      <c r="FK128">
        <v>4138124</v>
      </c>
      <c r="FL128" t="s">
        <v>346</v>
      </c>
      <c r="FM128" s="11">
        <v>0</v>
      </c>
      <c r="FN128" s="9" t="str">
        <f>_xll.SNL.Clients.Office.Excel.Functions.SPG(FK128, "SP_COUNTRY_NAME")</f>
        <v>Japan</v>
      </c>
      <c r="FS128" s="9" t="str">
        <f>_xll.SNL.Clients.Office.Excel.Functions.SPG(FP128, "SP_COUNTRY_NAME")</f>
        <v>#INVALID COMPANY ID</v>
      </c>
      <c r="FX128" s="9" t="str">
        <f>_xll.SNL.Clients.Office.Excel.Functions.SPG(FU128, "SP_COUNTRY_NAME")</f>
        <v>#INVALID COMPANY ID</v>
      </c>
      <c r="FY128" t="s">
        <v>1428</v>
      </c>
      <c r="FZ128">
        <v>113837</v>
      </c>
      <c r="GA128" t="s">
        <v>346</v>
      </c>
      <c r="GB128" s="11">
        <v>0.04</v>
      </c>
      <c r="GC128" s="9" t="str">
        <f>_xll.SNL.Clients.Office.Excel.Functions.SPG(FZ128, "SP_COUNTRY_NAME")</f>
        <v>Netherlands</v>
      </c>
      <c r="GH128" s="9" t="str">
        <f>_xll.SNL.Clients.Office.Excel.Functions.SPG(GE128, "SP_COUNTRY_NAME")</f>
        <v>#INVALID COMPANY ID</v>
      </c>
      <c r="GM128" s="9" t="str">
        <f>_xll.SNL.Clients.Office.Excel.Functions.SPG(GJ128, "SP_COUNTRY_NAME")</f>
        <v>#INVALID COMPANY ID</v>
      </c>
      <c r="GN128" t="s">
        <v>593</v>
      </c>
      <c r="GO128">
        <v>4138124</v>
      </c>
      <c r="GP128" t="s">
        <v>346</v>
      </c>
      <c r="GQ128" s="11">
        <v>0</v>
      </c>
      <c r="GR128" s="9" t="str">
        <f>_xll.SNL.Clients.Office.Excel.Functions.SPG(GO128, "SP_COUNTRY_NAME")</f>
        <v>Japan</v>
      </c>
      <c r="GS128" t="s">
        <v>412</v>
      </c>
      <c r="GT128">
        <v>109687</v>
      </c>
      <c r="GU128" t="s">
        <v>346</v>
      </c>
      <c r="GV128" s="11">
        <v>0.01</v>
      </c>
      <c r="GW128" s="9" t="str">
        <f>_xll.SNL.Clients.Office.Excel.Functions.SPG(GT128, "SP_COUNTRY_NAME")</f>
        <v>USA</v>
      </c>
      <c r="GX128" t="s">
        <v>749</v>
      </c>
      <c r="GY128">
        <v>109913</v>
      </c>
      <c r="GZ128" t="s">
        <v>346</v>
      </c>
      <c r="HA128" s="11">
        <v>0.03</v>
      </c>
      <c r="HB128" s="9" t="str">
        <f>_xll.SNL.Clients.Office.Excel.Functions.SPG(GY128, "SP_COUNTRY_NAME")</f>
        <v>USA</v>
      </c>
      <c r="HG128" s="9" t="str">
        <f>_xll.SNL.Clients.Office.Excel.Functions.SPG(HD128, "SP_COUNTRY_NAME")</f>
        <v>#INVALID COMPANY ID</v>
      </c>
    </row>
    <row r="129" spans="5:215" x14ac:dyDescent="0.35">
      <c r="E129" s="9" t="str">
        <f>_xll.SNL.Clients.Office.Excel.Functions.SPG(B129, "SP_COUNTRY_NAME")</f>
        <v>#INVALID COMPANY ID</v>
      </c>
      <c r="F129" t="s">
        <v>516</v>
      </c>
      <c r="G129">
        <v>4139988</v>
      </c>
      <c r="H129" t="s">
        <v>346</v>
      </c>
      <c r="I129" s="11">
        <v>0</v>
      </c>
      <c r="J129" s="9" t="str">
        <f>_xll.SNL.Clients.Office.Excel.Functions.SPG(G129, "SP_COUNTRY_NAME")</f>
        <v>Japan</v>
      </c>
      <c r="K129" t="s">
        <v>420</v>
      </c>
      <c r="L129">
        <v>19342220</v>
      </c>
      <c r="M129" t="s">
        <v>346</v>
      </c>
      <c r="N129" s="11">
        <v>0</v>
      </c>
      <c r="O129" s="9" t="str">
        <f>_xll.SNL.Clients.Office.Excel.Functions.SPG(L129, "SP_COUNTRY_NAME")</f>
        <v>USA</v>
      </c>
      <c r="T129" s="9" t="str">
        <f>_xll.SNL.Clients.Office.Excel.Functions.SPG(Q129, "SP_COUNTRY_NAME")</f>
        <v>#INVALID COMPANY ID</v>
      </c>
      <c r="U129" t="s">
        <v>664</v>
      </c>
      <c r="V129">
        <v>4138760</v>
      </c>
      <c r="W129" t="s">
        <v>346</v>
      </c>
      <c r="X129" s="11">
        <v>0.02</v>
      </c>
      <c r="Y129" s="9" t="str">
        <f>_xll.SNL.Clients.Office.Excel.Functions.SPG(V129, "SP_COUNTRY_NAME")</f>
        <v>China</v>
      </c>
      <c r="Z129" t="s">
        <v>420</v>
      </c>
      <c r="AA129">
        <v>19342220</v>
      </c>
      <c r="AB129" t="s">
        <v>346</v>
      </c>
      <c r="AC129" s="11">
        <v>0</v>
      </c>
      <c r="AD129" s="9" t="str">
        <f>_xll.SNL.Clients.Office.Excel.Functions.SPG(AA129, "SP_COUNTRY_NAME")</f>
        <v>USA</v>
      </c>
      <c r="AE129" t="s">
        <v>435</v>
      </c>
      <c r="AF129">
        <v>109789</v>
      </c>
      <c r="AG129" t="s">
        <v>346</v>
      </c>
      <c r="AH129" s="11">
        <v>0</v>
      </c>
      <c r="AI129" s="9" t="str">
        <f>_xll.SNL.Clients.Office.Excel.Functions.SPG(AF129, "SP_COUNTRY_NAME")</f>
        <v>USA</v>
      </c>
      <c r="AN129" s="9" t="str">
        <f>_xll.SNL.Clients.Office.Excel.Functions.SPG(AK129, "SP_COUNTRY_NAME")</f>
        <v>#INVALID COMPANY ID</v>
      </c>
      <c r="AO129" t="s">
        <v>489</v>
      </c>
      <c r="AP129">
        <v>4324456</v>
      </c>
      <c r="AQ129" t="s">
        <v>346</v>
      </c>
      <c r="AR129" s="11">
        <v>0.01</v>
      </c>
      <c r="AS129" s="9" t="str">
        <f>_xll.SNL.Clients.Office.Excel.Functions.SPG(AP129, "SP_COUNTRY_NAME")</f>
        <v>Italy</v>
      </c>
      <c r="AX129" s="9" t="str">
        <f>_xll.SNL.Clients.Office.Excel.Functions.SPG(AU129, "SP_COUNTRY_NAME")</f>
        <v>#INVALID COMPANY ID</v>
      </c>
      <c r="BC129" s="9" t="str">
        <f>_xll.SNL.Clients.Office.Excel.Functions.SPG(AZ129, "SP_COUNTRY_NAME")</f>
        <v>#INVALID COMPANY ID</v>
      </c>
      <c r="BD129" t="s">
        <v>1429</v>
      </c>
      <c r="BE129">
        <v>4140470</v>
      </c>
      <c r="BF129" t="s">
        <v>346</v>
      </c>
      <c r="BG129" s="11">
        <v>0.04</v>
      </c>
      <c r="BH129" s="9" t="str">
        <f>_xll.SNL.Clients.Office.Excel.Functions.SPG(BE129, "SP_COUNTRY_NAME")</f>
        <v>Sweden</v>
      </c>
      <c r="BI129" t="s">
        <v>1568</v>
      </c>
      <c r="BJ129">
        <v>4139610</v>
      </c>
      <c r="BK129" t="s">
        <v>346</v>
      </c>
      <c r="BL129" s="11">
        <v>0.01</v>
      </c>
      <c r="BM129" s="9" t="str">
        <f>_xll.SNL.Clients.Office.Excel.Functions.SPG(BJ129, "SP_COUNTRY_NAME")</f>
        <v>Germany</v>
      </c>
      <c r="BN129" t="s">
        <v>583</v>
      </c>
      <c r="BO129">
        <v>4579014</v>
      </c>
      <c r="BP129" t="s">
        <v>346</v>
      </c>
      <c r="BQ129" s="11">
        <v>0.01</v>
      </c>
      <c r="BR129" s="9" t="str">
        <f>_xll.SNL.Clients.Office.Excel.Functions.SPG(BO129, "SP_COUNTRY_NAME")</f>
        <v>USA</v>
      </c>
      <c r="BS129" t="s">
        <v>970</v>
      </c>
      <c r="BT129">
        <v>4139028</v>
      </c>
      <c r="BU129" t="s">
        <v>346</v>
      </c>
      <c r="BV129" s="11">
        <v>0.02</v>
      </c>
      <c r="BW129" s="9" t="str">
        <f>_xll.SNL.Clients.Office.Excel.Functions.SPG(BT129, "SP_COUNTRY_NAME")</f>
        <v>France</v>
      </c>
      <c r="BX129" t="s">
        <v>664</v>
      </c>
      <c r="BY129">
        <v>4138760</v>
      </c>
      <c r="BZ129" t="s">
        <v>346</v>
      </c>
      <c r="CA129" s="11">
        <v>0.02</v>
      </c>
      <c r="CB129" s="9" t="str">
        <f>_xll.SNL.Clients.Office.Excel.Functions.SPG(BY129, "SP_COUNTRY_NAME")</f>
        <v>China</v>
      </c>
      <c r="CC129" t="s">
        <v>1648</v>
      </c>
      <c r="CD129">
        <v>4621969</v>
      </c>
      <c r="CE129" t="s">
        <v>346</v>
      </c>
      <c r="CF129" s="11">
        <v>0.03</v>
      </c>
      <c r="CG129" s="9" t="str">
        <f>_xll.SNL.Clients.Office.Excel.Functions.SPG(CD129, "SP_COUNTRY_NAME")</f>
        <v>USA</v>
      </c>
      <c r="CH129" t="s">
        <v>489</v>
      </c>
      <c r="CI129">
        <v>4324456</v>
      </c>
      <c r="CJ129" t="s">
        <v>346</v>
      </c>
      <c r="CK129" s="11">
        <v>0.01</v>
      </c>
      <c r="CL129" s="9" t="str">
        <f>_xll.SNL.Clients.Office.Excel.Functions.SPG(CI129, "SP_COUNTRY_NAME")</f>
        <v>Italy</v>
      </c>
      <c r="CM129" t="s">
        <v>482</v>
      </c>
      <c r="CN129">
        <v>4048742</v>
      </c>
      <c r="CO129" t="s">
        <v>346</v>
      </c>
      <c r="CP129" s="11">
        <v>0.03</v>
      </c>
      <c r="CQ129" s="9" t="str">
        <f>_xll.SNL.Clients.Office.Excel.Functions.SPG(CN129, "SP_COUNTRY_NAME")</f>
        <v>Canada</v>
      </c>
      <c r="CV129" s="9" t="str">
        <f>_xll.SNL.Clients.Office.Excel.Functions.SPG(CS129, "SP_COUNTRY_NAME")</f>
        <v>#INVALID COMPANY ID</v>
      </c>
      <c r="DA129" s="9" t="str">
        <f>_xll.SNL.Clients.Office.Excel.Functions.SPG(CX129, "SP_COUNTRY_NAME")</f>
        <v>#INVALID COMPANY ID</v>
      </c>
      <c r="DB129" t="s">
        <v>1429</v>
      </c>
      <c r="DC129">
        <v>4140470</v>
      </c>
      <c r="DD129" t="s">
        <v>346</v>
      </c>
      <c r="DE129" s="11">
        <v>0.04</v>
      </c>
      <c r="DF129" s="9" t="str">
        <f>_xll.SNL.Clients.Office.Excel.Functions.SPG(DC129, "SP_COUNTRY_NAME")</f>
        <v>Sweden</v>
      </c>
      <c r="DK129" s="9" t="str">
        <f>_xll.SNL.Clients.Office.Excel.Functions.SPG(DH129, "SP_COUNTRY_NAME")</f>
        <v>#INVALID COMPANY ID</v>
      </c>
      <c r="DL129" t="s">
        <v>1429</v>
      </c>
      <c r="DM129">
        <v>4140470</v>
      </c>
      <c r="DN129" t="s">
        <v>346</v>
      </c>
      <c r="DO129" s="11">
        <v>0.04</v>
      </c>
      <c r="DP129" s="9" t="str">
        <f>_xll.SNL.Clients.Office.Excel.Functions.SPG(DM129, "SP_COUNTRY_NAME")</f>
        <v>Sweden</v>
      </c>
      <c r="DU129" s="9" t="str">
        <f>_xll.SNL.Clients.Office.Excel.Functions.SPG(DR129, "SP_COUNTRY_NAME")</f>
        <v>#INVALID COMPANY ID</v>
      </c>
      <c r="DV129" t="s">
        <v>393</v>
      </c>
      <c r="DW129">
        <v>4723508</v>
      </c>
      <c r="DX129" t="s">
        <v>346</v>
      </c>
      <c r="DY129" s="11">
        <v>0</v>
      </c>
      <c r="DZ129" s="9" t="str">
        <f>_xll.SNL.Clients.Office.Excel.Functions.SPG(DW129, "SP_COUNTRY_NAME")</f>
        <v>United Kingdom</v>
      </c>
      <c r="EA129" t="s">
        <v>1648</v>
      </c>
      <c r="EB129">
        <v>4621969</v>
      </c>
      <c r="EC129" t="s">
        <v>346</v>
      </c>
      <c r="ED129" s="11">
        <v>0.03</v>
      </c>
      <c r="EE129" s="9" t="str">
        <f>_xll.SNL.Clients.Office.Excel.Functions.SPG(EB129, "SP_COUNTRY_NAME")</f>
        <v>USA</v>
      </c>
      <c r="EF129" t="s">
        <v>1429</v>
      </c>
      <c r="EG129">
        <v>4140470</v>
      </c>
      <c r="EH129" t="s">
        <v>346</v>
      </c>
      <c r="EI129" s="11">
        <v>0.04</v>
      </c>
      <c r="EJ129" s="9" t="str">
        <f>_xll.SNL.Clients.Office.Excel.Functions.SPG(EG129, "SP_COUNTRY_NAME")</f>
        <v>Sweden</v>
      </c>
      <c r="EO129" s="9" t="str">
        <f>_xll.SNL.Clients.Office.Excel.Functions.SPG(EL129, "SP_COUNTRY_NAME")</f>
        <v>#INVALID COMPANY ID</v>
      </c>
      <c r="EP129" t="s">
        <v>793</v>
      </c>
      <c r="EQ129">
        <v>7798890</v>
      </c>
      <c r="ER129" t="s">
        <v>346</v>
      </c>
      <c r="ES129" s="11">
        <v>0</v>
      </c>
      <c r="ET129" s="9" t="str">
        <f>_xll.SNL.Clients.Office.Excel.Functions.SPG(EQ129, "SP_COUNTRY_NAME")</f>
        <v>China</v>
      </c>
      <c r="EY129" s="9" t="str">
        <f>_xll.SNL.Clients.Office.Excel.Functions.SPG(EV129, "SP_COUNTRY_NAME")</f>
        <v>#INVALID COMPANY ID</v>
      </c>
      <c r="FD129" s="9" t="str">
        <f>_xll.SNL.Clients.Office.Excel.Functions.SPG(FA129, "SP_COUNTRY_NAME")</f>
        <v>#INVALID COMPANY ID</v>
      </c>
      <c r="FI129" s="9" t="str">
        <f>_xll.SNL.Clients.Office.Excel.Functions.SPG(FF129, "SP_COUNTRY_NAME")</f>
        <v>#INVALID COMPANY ID</v>
      </c>
      <c r="FJ129" t="s">
        <v>613</v>
      </c>
      <c r="FK129">
        <v>27267005</v>
      </c>
      <c r="FL129" t="s">
        <v>346</v>
      </c>
      <c r="FM129" s="11">
        <v>0</v>
      </c>
      <c r="FN129" s="9" t="str">
        <f>_xll.SNL.Clients.Office.Excel.Functions.SPG(FK129, "SP_COUNTRY_NAME")</f>
        <v>Ireland</v>
      </c>
      <c r="FS129" s="9" t="str">
        <f>_xll.SNL.Clients.Office.Excel.Functions.SPG(FP129, "SP_COUNTRY_NAME")</f>
        <v>#INVALID COMPANY ID</v>
      </c>
      <c r="FX129" s="9" t="str">
        <f>_xll.SNL.Clients.Office.Excel.Functions.SPG(FU129, "SP_COUNTRY_NAME")</f>
        <v>#INVALID COMPANY ID</v>
      </c>
      <c r="FY129" t="s">
        <v>1429</v>
      </c>
      <c r="FZ129">
        <v>4140470</v>
      </c>
      <c r="GA129" t="s">
        <v>346</v>
      </c>
      <c r="GB129" s="11">
        <v>0.04</v>
      </c>
      <c r="GC129" s="9" t="str">
        <f>_xll.SNL.Clients.Office.Excel.Functions.SPG(FZ129, "SP_COUNTRY_NAME")</f>
        <v>Sweden</v>
      </c>
      <c r="GH129" s="9" t="str">
        <f>_xll.SNL.Clients.Office.Excel.Functions.SPG(GE129, "SP_COUNTRY_NAME")</f>
        <v>#INVALID COMPANY ID</v>
      </c>
      <c r="GM129" s="9" t="str">
        <f>_xll.SNL.Clients.Office.Excel.Functions.SPG(GJ129, "SP_COUNTRY_NAME")</f>
        <v>#INVALID COMPANY ID</v>
      </c>
      <c r="GN129" t="s">
        <v>613</v>
      </c>
      <c r="GO129">
        <v>27267005</v>
      </c>
      <c r="GP129" t="s">
        <v>346</v>
      </c>
      <c r="GQ129" s="11">
        <v>0</v>
      </c>
      <c r="GR129" s="9" t="str">
        <f>_xll.SNL.Clients.Office.Excel.Functions.SPG(GO129, "SP_COUNTRY_NAME")</f>
        <v>Ireland</v>
      </c>
      <c r="GS129" t="s">
        <v>583</v>
      </c>
      <c r="GT129">
        <v>4579014</v>
      </c>
      <c r="GU129" t="s">
        <v>346</v>
      </c>
      <c r="GV129" s="11">
        <v>0.01</v>
      </c>
      <c r="GW129" s="9" t="str">
        <f>_xll.SNL.Clients.Office.Excel.Functions.SPG(GT129, "SP_COUNTRY_NAME")</f>
        <v>USA</v>
      </c>
      <c r="GX129" t="s">
        <v>1648</v>
      </c>
      <c r="GY129">
        <v>4621969</v>
      </c>
      <c r="GZ129" t="s">
        <v>346</v>
      </c>
      <c r="HA129" s="11">
        <v>0.03</v>
      </c>
      <c r="HB129" s="9" t="str">
        <f>_xll.SNL.Clients.Office.Excel.Functions.SPG(GY129, "SP_COUNTRY_NAME")</f>
        <v>USA</v>
      </c>
      <c r="HG129" s="9" t="str">
        <f>_xll.SNL.Clients.Office.Excel.Functions.SPG(HD129, "SP_COUNTRY_NAME")</f>
        <v>#INVALID COMPANY ID</v>
      </c>
    </row>
    <row r="130" spans="5:215" x14ac:dyDescent="0.35">
      <c r="E130" s="9" t="str">
        <f>_xll.SNL.Clients.Office.Excel.Functions.SPG(B130, "SP_COUNTRY_NAME")</f>
        <v>#INVALID COMPANY ID</v>
      </c>
      <c r="F130" t="s">
        <v>517</v>
      </c>
      <c r="G130">
        <v>111097</v>
      </c>
      <c r="H130" t="s">
        <v>346</v>
      </c>
      <c r="I130" s="11">
        <v>0</v>
      </c>
      <c r="J130" s="9" t="str">
        <f>_xll.SNL.Clients.Office.Excel.Functions.SPG(G130, "SP_COUNTRY_NAME")</f>
        <v>USA</v>
      </c>
      <c r="K130" t="s">
        <v>465</v>
      </c>
      <c r="L130">
        <v>4119440</v>
      </c>
      <c r="M130" t="s">
        <v>346</v>
      </c>
      <c r="N130" s="11">
        <v>0</v>
      </c>
      <c r="O130" s="9" t="str">
        <f>_xll.SNL.Clients.Office.Excel.Functions.SPG(L130, "SP_COUNTRY_NAME")</f>
        <v>USA</v>
      </c>
      <c r="T130" s="9" t="str">
        <f>_xll.SNL.Clients.Office.Excel.Functions.SPG(Q130, "SP_COUNTRY_NAME")</f>
        <v>#INVALID COMPANY ID</v>
      </c>
      <c r="U130" t="s">
        <v>749</v>
      </c>
      <c r="V130">
        <v>109913</v>
      </c>
      <c r="W130" t="s">
        <v>346</v>
      </c>
      <c r="X130" s="11">
        <v>0.02</v>
      </c>
      <c r="Y130" s="9" t="str">
        <f>_xll.SNL.Clients.Office.Excel.Functions.SPG(V130, "SP_COUNTRY_NAME")</f>
        <v>USA</v>
      </c>
      <c r="Z130" t="s">
        <v>465</v>
      </c>
      <c r="AA130">
        <v>4119440</v>
      </c>
      <c r="AB130" t="s">
        <v>346</v>
      </c>
      <c r="AC130" s="11">
        <v>0</v>
      </c>
      <c r="AD130" s="9" t="str">
        <f>_xll.SNL.Clients.Office.Excel.Functions.SPG(AA130, "SP_COUNTRY_NAME")</f>
        <v>USA</v>
      </c>
      <c r="AE130" t="s">
        <v>1147</v>
      </c>
      <c r="AF130">
        <v>4187733</v>
      </c>
      <c r="AG130" t="s">
        <v>346</v>
      </c>
      <c r="AH130" s="11">
        <v>0</v>
      </c>
      <c r="AI130" s="9" t="str">
        <f>_xll.SNL.Clients.Office.Excel.Functions.SPG(AF130, "SP_COUNTRY_NAME")</f>
        <v>Switzerland</v>
      </c>
      <c r="AN130" s="9" t="str">
        <f>_xll.SNL.Clients.Office.Excel.Functions.SPG(AK130, "SP_COUNTRY_NAME")</f>
        <v>#INVALID COMPANY ID</v>
      </c>
      <c r="AO130" t="s">
        <v>451</v>
      </c>
      <c r="AP130">
        <v>5747632</v>
      </c>
      <c r="AQ130" t="s">
        <v>346</v>
      </c>
      <c r="AR130" s="11">
        <v>0.01</v>
      </c>
      <c r="AS130" s="9" t="str">
        <f>_xll.SNL.Clients.Office.Excel.Functions.SPG(AP130, "SP_COUNTRY_NAME")</f>
        <v>Canada</v>
      </c>
      <c r="AX130" s="9" t="str">
        <f>_xll.SNL.Clients.Office.Excel.Functions.SPG(AU130, "SP_COUNTRY_NAME")</f>
        <v>#INVALID COMPANY ID</v>
      </c>
      <c r="BC130" s="9" t="str">
        <f>_xll.SNL.Clients.Office.Excel.Functions.SPG(AZ130, "SP_COUNTRY_NAME")</f>
        <v>#INVALID COMPANY ID</v>
      </c>
      <c r="BD130" t="s">
        <v>1430</v>
      </c>
      <c r="BE130">
        <v>4149461</v>
      </c>
      <c r="BF130" t="s">
        <v>346</v>
      </c>
      <c r="BG130" s="11">
        <v>0.04</v>
      </c>
      <c r="BH130" s="9" t="str">
        <f>_xll.SNL.Clients.Office.Excel.Functions.SPG(BE130, "SP_COUNTRY_NAME")</f>
        <v>United Kingdom</v>
      </c>
      <c r="BI130" t="s">
        <v>565</v>
      </c>
      <c r="BJ130">
        <v>26566323</v>
      </c>
      <c r="BK130" t="s">
        <v>346</v>
      </c>
      <c r="BL130" s="11">
        <v>0.01</v>
      </c>
      <c r="BM130" s="9" t="str">
        <f>_xll.SNL.Clients.Office.Excel.Functions.SPG(BJ130, "SP_COUNTRY_NAME")</f>
        <v>USA</v>
      </c>
      <c r="BN130" t="s">
        <v>636</v>
      </c>
      <c r="BO130">
        <v>4139271</v>
      </c>
      <c r="BP130" t="s">
        <v>346</v>
      </c>
      <c r="BQ130" s="11">
        <v>0.01</v>
      </c>
      <c r="BR130" s="9" t="str">
        <f>_xll.SNL.Clients.Office.Excel.Functions.SPG(BO130, "SP_COUNTRY_NAME")</f>
        <v>China</v>
      </c>
      <c r="BS130" t="s">
        <v>891</v>
      </c>
      <c r="BT130">
        <v>4190959</v>
      </c>
      <c r="BU130" t="s">
        <v>346</v>
      </c>
      <c r="BV130" s="11">
        <v>0.02</v>
      </c>
      <c r="BW130" s="9" t="str">
        <f>_xll.SNL.Clients.Office.Excel.Functions.SPG(BT130, "SP_COUNTRY_NAME")</f>
        <v>Malaysia</v>
      </c>
      <c r="BX130" t="s">
        <v>749</v>
      </c>
      <c r="BY130">
        <v>109913</v>
      </c>
      <c r="BZ130" t="s">
        <v>346</v>
      </c>
      <c r="CA130" s="11">
        <v>0.02</v>
      </c>
      <c r="CB130" s="9" t="str">
        <f>_xll.SNL.Clients.Office.Excel.Functions.SPG(BY130, "SP_COUNTRY_NAME")</f>
        <v>USA</v>
      </c>
      <c r="CC130" t="s">
        <v>1649</v>
      </c>
      <c r="CD130">
        <v>4274506</v>
      </c>
      <c r="CE130" t="s">
        <v>346</v>
      </c>
      <c r="CF130" s="11">
        <v>0.03</v>
      </c>
      <c r="CG130" s="9" t="str">
        <f>_xll.SNL.Clients.Office.Excel.Functions.SPG(CD130, "SP_COUNTRY_NAME")</f>
        <v>Brazil</v>
      </c>
      <c r="CH130" t="s">
        <v>451</v>
      </c>
      <c r="CI130">
        <v>5747632</v>
      </c>
      <c r="CJ130" t="s">
        <v>346</v>
      </c>
      <c r="CK130" s="11">
        <v>0.01</v>
      </c>
      <c r="CL130" s="9" t="str">
        <f>_xll.SNL.Clients.Office.Excel.Functions.SPG(CI130, "SP_COUNTRY_NAME")</f>
        <v>Canada</v>
      </c>
      <c r="CM130" t="s">
        <v>767</v>
      </c>
      <c r="CN130">
        <v>4139846</v>
      </c>
      <c r="CO130" t="s">
        <v>346</v>
      </c>
      <c r="CP130" s="11">
        <v>0.03</v>
      </c>
      <c r="CQ130" s="9" t="str">
        <f>_xll.SNL.Clients.Office.Excel.Functions.SPG(CN130, "SP_COUNTRY_NAME")</f>
        <v>France</v>
      </c>
      <c r="CV130" s="9" t="str">
        <f>_xll.SNL.Clients.Office.Excel.Functions.SPG(CS130, "SP_COUNTRY_NAME")</f>
        <v>#INVALID COMPANY ID</v>
      </c>
      <c r="DA130" s="9" t="str">
        <f>_xll.SNL.Clients.Office.Excel.Functions.SPG(CX130, "SP_COUNTRY_NAME")</f>
        <v>#INVALID COMPANY ID</v>
      </c>
      <c r="DB130" t="s">
        <v>1430</v>
      </c>
      <c r="DC130">
        <v>4149461</v>
      </c>
      <c r="DD130" t="s">
        <v>346</v>
      </c>
      <c r="DE130" s="11">
        <v>0.04</v>
      </c>
      <c r="DF130" s="9" t="str">
        <f>_xll.SNL.Clients.Office.Excel.Functions.SPG(DC130, "SP_COUNTRY_NAME")</f>
        <v>United Kingdom</v>
      </c>
      <c r="DK130" s="9" t="str">
        <f>_xll.SNL.Clients.Office.Excel.Functions.SPG(DH130, "SP_COUNTRY_NAME")</f>
        <v>#INVALID COMPANY ID</v>
      </c>
      <c r="DL130" t="s">
        <v>1430</v>
      </c>
      <c r="DM130">
        <v>4149461</v>
      </c>
      <c r="DN130" t="s">
        <v>346</v>
      </c>
      <c r="DO130" s="11">
        <v>0.04</v>
      </c>
      <c r="DP130" s="9" t="str">
        <f>_xll.SNL.Clients.Office.Excel.Functions.SPG(DM130, "SP_COUNTRY_NAME")</f>
        <v>United Kingdom</v>
      </c>
      <c r="DU130" s="9" t="str">
        <f>_xll.SNL.Clients.Office.Excel.Functions.SPG(DR130, "SP_COUNTRY_NAME")</f>
        <v>#INVALID COMPANY ID</v>
      </c>
      <c r="DV130" t="s">
        <v>548</v>
      </c>
      <c r="DW130">
        <v>26480935</v>
      </c>
      <c r="DX130" t="s">
        <v>346</v>
      </c>
      <c r="DY130" s="11">
        <v>0</v>
      </c>
      <c r="DZ130" s="9" t="str">
        <f>_xll.SNL.Clients.Office.Excel.Functions.SPG(DW130, "SP_COUNTRY_NAME")</f>
        <v>USA</v>
      </c>
      <c r="EA130" t="s">
        <v>1649</v>
      </c>
      <c r="EB130">
        <v>4274506</v>
      </c>
      <c r="EC130" t="s">
        <v>346</v>
      </c>
      <c r="ED130" s="11">
        <v>0.03</v>
      </c>
      <c r="EE130" s="9" t="str">
        <f>_xll.SNL.Clients.Office.Excel.Functions.SPG(EB130, "SP_COUNTRY_NAME")</f>
        <v>Brazil</v>
      </c>
      <c r="EF130" t="s">
        <v>1430</v>
      </c>
      <c r="EG130">
        <v>4149461</v>
      </c>
      <c r="EH130" t="s">
        <v>346</v>
      </c>
      <c r="EI130" s="11">
        <v>0.04</v>
      </c>
      <c r="EJ130" s="9" t="str">
        <f>_xll.SNL.Clients.Office.Excel.Functions.SPG(EG130, "SP_COUNTRY_NAME")</f>
        <v>United Kingdom</v>
      </c>
      <c r="EO130" s="9" t="str">
        <f>_xll.SNL.Clients.Office.Excel.Functions.SPG(EL130, "SP_COUNTRY_NAME")</f>
        <v>#INVALID COMPANY ID</v>
      </c>
      <c r="EP130" t="s">
        <v>2135</v>
      </c>
      <c r="EQ130" t="s">
        <v>300</v>
      </c>
      <c r="ER130" t="s">
        <v>361</v>
      </c>
      <c r="ES130" s="11">
        <v>0</v>
      </c>
      <c r="ET130" s="9" t="str">
        <f>_xll.SNL.Clients.Office.Excel.Functions.SPG(EQ130, "SP_COUNTRY_NAME")</f>
        <v>China</v>
      </c>
      <c r="EY130" s="9" t="str">
        <f>_xll.SNL.Clients.Office.Excel.Functions.SPG(EV130, "SP_COUNTRY_NAME")</f>
        <v>#INVALID COMPANY ID</v>
      </c>
      <c r="FD130" s="9" t="str">
        <f>_xll.SNL.Clients.Office.Excel.Functions.SPG(FA130, "SP_COUNTRY_NAME")</f>
        <v>#INVALID COMPANY ID</v>
      </c>
      <c r="FI130" s="9" t="str">
        <f>_xll.SNL.Clients.Office.Excel.Functions.SPG(FF130, "SP_COUNTRY_NAME")</f>
        <v>#INVALID COMPANY ID</v>
      </c>
      <c r="FJ130" t="s">
        <v>2169</v>
      </c>
      <c r="FK130" t="s">
        <v>300</v>
      </c>
      <c r="FL130" t="s">
        <v>361</v>
      </c>
      <c r="FM130" s="11">
        <v>0</v>
      </c>
      <c r="FN130" s="9" t="str">
        <f>_xll.SNL.Clients.Office.Excel.Functions.SPG(FK130, "SP_COUNTRY_NAME")</f>
        <v>China</v>
      </c>
      <c r="FS130" s="9" t="str">
        <f>_xll.SNL.Clients.Office.Excel.Functions.SPG(FP130, "SP_COUNTRY_NAME")</f>
        <v>#INVALID COMPANY ID</v>
      </c>
      <c r="FX130" s="9" t="str">
        <f>_xll.SNL.Clients.Office.Excel.Functions.SPG(FU130, "SP_COUNTRY_NAME")</f>
        <v>#INVALID COMPANY ID</v>
      </c>
      <c r="FY130" t="s">
        <v>1430</v>
      </c>
      <c r="FZ130">
        <v>4149461</v>
      </c>
      <c r="GA130" t="s">
        <v>346</v>
      </c>
      <c r="GB130" s="11">
        <v>0.04</v>
      </c>
      <c r="GC130" s="9" t="str">
        <f>_xll.SNL.Clients.Office.Excel.Functions.SPG(FZ130, "SP_COUNTRY_NAME")</f>
        <v>United Kingdom</v>
      </c>
      <c r="GH130" s="9" t="str">
        <f>_xll.SNL.Clients.Office.Excel.Functions.SPG(GE130, "SP_COUNTRY_NAME")</f>
        <v>#INVALID COMPANY ID</v>
      </c>
      <c r="GM130" s="9" t="str">
        <f>_xll.SNL.Clients.Office.Excel.Functions.SPG(GJ130, "SP_COUNTRY_NAME")</f>
        <v>#INVALID COMPANY ID</v>
      </c>
      <c r="GN130" t="s">
        <v>2169</v>
      </c>
      <c r="GO130" t="s">
        <v>300</v>
      </c>
      <c r="GP130" t="s">
        <v>361</v>
      </c>
      <c r="GQ130" s="11">
        <v>0</v>
      </c>
      <c r="GR130" s="9" t="str">
        <f>_xll.SNL.Clients.Office.Excel.Functions.SPG(GO130, "SP_COUNTRY_NAME")</f>
        <v>China</v>
      </c>
      <c r="GS130" t="s">
        <v>636</v>
      </c>
      <c r="GT130">
        <v>4139271</v>
      </c>
      <c r="GU130" t="s">
        <v>346</v>
      </c>
      <c r="GV130" s="11">
        <v>0.01</v>
      </c>
      <c r="GW130" s="9" t="str">
        <f>_xll.SNL.Clients.Office.Excel.Functions.SPG(GT130, "SP_COUNTRY_NAME")</f>
        <v>China</v>
      </c>
      <c r="GX130" t="s">
        <v>1649</v>
      </c>
      <c r="GY130">
        <v>4274506</v>
      </c>
      <c r="GZ130" t="s">
        <v>346</v>
      </c>
      <c r="HA130" s="11">
        <v>0.03</v>
      </c>
      <c r="HB130" s="9" t="str">
        <f>_xll.SNL.Clients.Office.Excel.Functions.SPG(GY130, "SP_COUNTRY_NAME")</f>
        <v>Brazil</v>
      </c>
      <c r="HG130" s="9" t="str">
        <f>_xll.SNL.Clients.Office.Excel.Functions.SPG(HD130, "SP_COUNTRY_NAME")</f>
        <v>#INVALID COMPANY ID</v>
      </c>
    </row>
    <row r="131" spans="5:215" x14ac:dyDescent="0.35">
      <c r="E131" s="9" t="str">
        <f>_xll.SNL.Clients.Office.Excel.Functions.SPG(B131, "SP_COUNTRY_NAME")</f>
        <v>#INVALID COMPANY ID</v>
      </c>
      <c r="F131" t="s">
        <v>518</v>
      </c>
      <c r="G131">
        <v>4200067</v>
      </c>
      <c r="H131" t="s">
        <v>346</v>
      </c>
      <c r="I131" s="11">
        <v>0</v>
      </c>
      <c r="J131" s="9" t="str">
        <f>_xll.SNL.Clients.Office.Excel.Functions.SPG(G131, "SP_COUNTRY_NAME")</f>
        <v>Germany</v>
      </c>
      <c r="K131" t="s">
        <v>542</v>
      </c>
      <c r="L131">
        <v>4001519</v>
      </c>
      <c r="M131" t="s">
        <v>346</v>
      </c>
      <c r="N131" s="11">
        <v>0</v>
      </c>
      <c r="O131" s="9" t="str">
        <f>_xll.SNL.Clients.Office.Excel.Functions.SPG(L131, "SP_COUNTRY_NAME")</f>
        <v>USA</v>
      </c>
      <c r="T131" s="9" t="str">
        <f>_xll.SNL.Clients.Office.Excel.Functions.SPG(Q131, "SP_COUNTRY_NAME")</f>
        <v>#INVALID COMPANY ID</v>
      </c>
      <c r="U131" t="s">
        <v>750</v>
      </c>
      <c r="V131">
        <v>4138496</v>
      </c>
      <c r="W131" t="s">
        <v>346</v>
      </c>
      <c r="X131" s="11">
        <v>0.02</v>
      </c>
      <c r="Y131" s="9" t="str">
        <f>_xll.SNL.Clients.Office.Excel.Functions.SPG(V131, "SP_COUNTRY_NAME")</f>
        <v>China</v>
      </c>
      <c r="Z131" t="s">
        <v>542</v>
      </c>
      <c r="AA131">
        <v>4001519</v>
      </c>
      <c r="AB131" t="s">
        <v>346</v>
      </c>
      <c r="AC131" s="11">
        <v>0</v>
      </c>
      <c r="AD131" s="9" t="str">
        <f>_xll.SNL.Clients.Office.Excel.Functions.SPG(AA131, "SP_COUNTRY_NAME")</f>
        <v>USA</v>
      </c>
      <c r="AE131" t="s">
        <v>652</v>
      </c>
      <c r="AF131">
        <v>4134208</v>
      </c>
      <c r="AG131" t="s">
        <v>346</v>
      </c>
      <c r="AH131" s="11">
        <v>0</v>
      </c>
      <c r="AI131" s="9" t="str">
        <f>_xll.SNL.Clients.Office.Excel.Functions.SPG(AF131, "SP_COUNTRY_NAME")</f>
        <v>USA</v>
      </c>
      <c r="AN131" s="9" t="str">
        <f>_xll.SNL.Clients.Office.Excel.Functions.SPG(AK131, "SP_COUNTRY_NAME")</f>
        <v>#INVALID COMPANY ID</v>
      </c>
      <c r="AO131" t="s">
        <v>1296</v>
      </c>
      <c r="AP131">
        <v>8091201</v>
      </c>
      <c r="AQ131" t="s">
        <v>346</v>
      </c>
      <c r="AR131" s="11">
        <v>0.01</v>
      </c>
      <c r="AS131" s="9" t="str">
        <f>_xll.SNL.Clients.Office.Excel.Functions.SPG(AP131, "SP_COUNTRY_NAME")</f>
        <v>Namibia</v>
      </c>
      <c r="AX131" s="9" t="str">
        <f>_xll.SNL.Clients.Office.Excel.Functions.SPG(AU131, "SP_COUNTRY_NAME")</f>
        <v>#INVALID COMPANY ID</v>
      </c>
      <c r="BC131" s="9" t="str">
        <f>_xll.SNL.Clients.Office.Excel.Functions.SPG(AZ131, "SP_COUNTRY_NAME")</f>
        <v>#INVALID COMPANY ID</v>
      </c>
      <c r="BD131" t="s">
        <v>453</v>
      </c>
      <c r="BE131">
        <v>4318598</v>
      </c>
      <c r="BF131" t="s">
        <v>346</v>
      </c>
      <c r="BG131" s="11">
        <v>0.04</v>
      </c>
      <c r="BH131" s="9" t="str">
        <f>_xll.SNL.Clients.Office.Excel.Functions.SPG(BE131, "SP_COUNTRY_NAME")</f>
        <v>USA</v>
      </c>
      <c r="BI131" t="s">
        <v>1569</v>
      </c>
      <c r="BJ131">
        <v>4260241</v>
      </c>
      <c r="BK131" t="s">
        <v>346</v>
      </c>
      <c r="BL131" s="11">
        <v>0.01</v>
      </c>
      <c r="BM131" s="9" t="str">
        <f>_xll.SNL.Clients.Office.Excel.Functions.SPG(BJ131, "SP_COUNTRY_NAME")</f>
        <v>Luxembourg</v>
      </c>
      <c r="BN131" t="s">
        <v>775</v>
      </c>
      <c r="BO131">
        <v>19448171</v>
      </c>
      <c r="BP131" t="s">
        <v>346</v>
      </c>
      <c r="BQ131" s="11">
        <v>0.01</v>
      </c>
      <c r="BR131" s="9" t="str">
        <f>_xll.SNL.Clients.Office.Excel.Functions.SPG(BO131, "SP_COUNTRY_NAME")</f>
        <v>China</v>
      </c>
      <c r="BS131" t="s">
        <v>971</v>
      </c>
      <c r="BT131">
        <v>4042808</v>
      </c>
      <c r="BU131" t="s">
        <v>346</v>
      </c>
      <c r="BV131" s="11">
        <v>0.02</v>
      </c>
      <c r="BW131" s="9" t="str">
        <f>_xll.SNL.Clients.Office.Excel.Functions.SPG(BT131, "SP_COUNTRY_NAME")</f>
        <v>USA</v>
      </c>
      <c r="BX131" t="s">
        <v>750</v>
      </c>
      <c r="BY131">
        <v>4138496</v>
      </c>
      <c r="BZ131" t="s">
        <v>346</v>
      </c>
      <c r="CA131" s="11">
        <v>0.02</v>
      </c>
      <c r="CB131" s="9" t="str">
        <f>_xll.SNL.Clients.Office.Excel.Functions.SPG(BY131, "SP_COUNTRY_NAME")</f>
        <v>China</v>
      </c>
      <c r="CC131" t="s">
        <v>575</v>
      </c>
      <c r="CD131">
        <v>4575993</v>
      </c>
      <c r="CE131" t="s">
        <v>346</v>
      </c>
      <c r="CF131" s="11">
        <v>0.03</v>
      </c>
      <c r="CG131" s="9" t="str">
        <f>_xll.SNL.Clients.Office.Excel.Functions.SPG(CD131, "SP_COUNTRY_NAME")</f>
        <v>Canada</v>
      </c>
      <c r="CH131" t="s">
        <v>1296</v>
      </c>
      <c r="CI131">
        <v>8091201</v>
      </c>
      <c r="CJ131" t="s">
        <v>346</v>
      </c>
      <c r="CK131" s="11">
        <v>0.01</v>
      </c>
      <c r="CL131" s="9" t="str">
        <f>_xll.SNL.Clients.Office.Excel.Functions.SPG(CI131, "SP_COUNTRY_NAME")</f>
        <v>Namibia</v>
      </c>
      <c r="CM131" t="s">
        <v>1969</v>
      </c>
      <c r="CN131">
        <v>4028811</v>
      </c>
      <c r="CO131" t="s">
        <v>346</v>
      </c>
      <c r="CP131" s="11">
        <v>0.03</v>
      </c>
      <c r="CQ131" s="9" t="str">
        <f>_xll.SNL.Clients.Office.Excel.Functions.SPG(CN131, "SP_COUNTRY_NAME")</f>
        <v>USA</v>
      </c>
      <c r="CV131" s="9" t="str">
        <f>_xll.SNL.Clients.Office.Excel.Functions.SPG(CS131, "SP_COUNTRY_NAME")</f>
        <v>#INVALID COMPANY ID</v>
      </c>
      <c r="DA131" s="9" t="str">
        <f>_xll.SNL.Clients.Office.Excel.Functions.SPG(CX131, "SP_COUNTRY_NAME")</f>
        <v>#INVALID COMPANY ID</v>
      </c>
      <c r="DB131" t="s">
        <v>453</v>
      </c>
      <c r="DC131">
        <v>4318598</v>
      </c>
      <c r="DD131" t="s">
        <v>346</v>
      </c>
      <c r="DE131" s="11">
        <v>0.04</v>
      </c>
      <c r="DF131" s="9" t="str">
        <f>_xll.SNL.Clients.Office.Excel.Functions.SPG(DC131, "SP_COUNTRY_NAME")</f>
        <v>USA</v>
      </c>
      <c r="DK131" s="9" t="str">
        <f>_xll.SNL.Clients.Office.Excel.Functions.SPG(DH131, "SP_COUNTRY_NAME")</f>
        <v>#INVALID COMPANY ID</v>
      </c>
      <c r="DL131" t="s">
        <v>453</v>
      </c>
      <c r="DM131">
        <v>4318598</v>
      </c>
      <c r="DN131" t="s">
        <v>346</v>
      </c>
      <c r="DO131" s="11">
        <v>0.04</v>
      </c>
      <c r="DP131" s="9" t="str">
        <f>_xll.SNL.Clients.Office.Excel.Functions.SPG(DM131, "SP_COUNTRY_NAME")</f>
        <v>USA</v>
      </c>
      <c r="DU131" s="9" t="str">
        <f>_xll.SNL.Clients.Office.Excel.Functions.SPG(DR131, "SP_COUNTRY_NAME")</f>
        <v>#INVALID COMPANY ID</v>
      </c>
      <c r="DV131" t="s">
        <v>420</v>
      </c>
      <c r="DW131">
        <v>19342220</v>
      </c>
      <c r="DX131" t="s">
        <v>346</v>
      </c>
      <c r="DY131" s="11">
        <v>0</v>
      </c>
      <c r="DZ131" s="9" t="str">
        <f>_xll.SNL.Clients.Office.Excel.Functions.SPG(DW131, "SP_COUNTRY_NAME")</f>
        <v>USA</v>
      </c>
      <c r="EA131" t="s">
        <v>575</v>
      </c>
      <c r="EB131">
        <v>4575993</v>
      </c>
      <c r="EC131" t="s">
        <v>346</v>
      </c>
      <c r="ED131" s="11">
        <v>0.03</v>
      </c>
      <c r="EE131" s="9" t="str">
        <f>_xll.SNL.Clients.Office.Excel.Functions.SPG(EB131, "SP_COUNTRY_NAME")</f>
        <v>Canada</v>
      </c>
      <c r="EF131" t="s">
        <v>453</v>
      </c>
      <c r="EG131">
        <v>4318598</v>
      </c>
      <c r="EH131" t="s">
        <v>346</v>
      </c>
      <c r="EI131" s="11">
        <v>0.04</v>
      </c>
      <c r="EJ131" s="9" t="str">
        <f>_xll.SNL.Clients.Office.Excel.Functions.SPG(EG131, "SP_COUNTRY_NAME")</f>
        <v>USA</v>
      </c>
      <c r="EO131" s="9" t="str">
        <f>_xll.SNL.Clients.Office.Excel.Functions.SPG(EL131, "SP_COUNTRY_NAME")</f>
        <v>#INVALID COMPANY ID</v>
      </c>
      <c r="EP131" t="s">
        <v>835</v>
      </c>
      <c r="EQ131">
        <v>4878959</v>
      </c>
      <c r="ER131" t="s">
        <v>346</v>
      </c>
      <c r="ES131" s="11">
        <v>0</v>
      </c>
      <c r="ET131" s="9" t="str">
        <f>_xll.SNL.Clients.Office.Excel.Functions.SPG(EQ131, "SP_COUNTRY_NAME")</f>
        <v>China</v>
      </c>
      <c r="EY131" s="9" t="str">
        <f>_xll.SNL.Clients.Office.Excel.Functions.SPG(EV131, "SP_COUNTRY_NAME")</f>
        <v>#INVALID COMPANY ID</v>
      </c>
      <c r="FD131" s="9" t="str">
        <f>_xll.SNL.Clients.Office.Excel.Functions.SPG(FA131, "SP_COUNTRY_NAME")</f>
        <v>#INVALID COMPANY ID</v>
      </c>
      <c r="FI131" s="9" t="str">
        <f>_xll.SNL.Clients.Office.Excel.Functions.SPG(FF131, "SP_COUNTRY_NAME")</f>
        <v>#INVALID COMPANY ID</v>
      </c>
      <c r="FJ131" t="s">
        <v>426</v>
      </c>
      <c r="FK131">
        <v>100201</v>
      </c>
      <c r="FL131" t="s">
        <v>366</v>
      </c>
      <c r="FM131" s="11">
        <v>0</v>
      </c>
      <c r="FN131" s="9" t="str">
        <f>_xll.SNL.Clients.Office.Excel.Functions.SPG(FK131, "SP_COUNTRY_NAME")</f>
        <v>USA</v>
      </c>
      <c r="FS131" s="9" t="str">
        <f>_xll.SNL.Clients.Office.Excel.Functions.SPG(FP131, "SP_COUNTRY_NAME")</f>
        <v>#INVALID COMPANY ID</v>
      </c>
      <c r="FX131" s="9" t="str">
        <f>_xll.SNL.Clients.Office.Excel.Functions.SPG(FU131, "SP_COUNTRY_NAME")</f>
        <v>#INVALID COMPANY ID</v>
      </c>
      <c r="FY131" t="s">
        <v>453</v>
      </c>
      <c r="FZ131">
        <v>4318598</v>
      </c>
      <c r="GA131" t="s">
        <v>346</v>
      </c>
      <c r="GB131" s="11">
        <v>0.04</v>
      </c>
      <c r="GC131" s="9" t="str">
        <f>_xll.SNL.Clients.Office.Excel.Functions.SPG(FZ131, "SP_COUNTRY_NAME")</f>
        <v>USA</v>
      </c>
      <c r="GH131" s="9" t="str">
        <f>_xll.SNL.Clients.Office.Excel.Functions.SPG(GE131, "SP_COUNTRY_NAME")</f>
        <v>#INVALID COMPANY ID</v>
      </c>
      <c r="GM131" s="9" t="str">
        <f>_xll.SNL.Clients.Office.Excel.Functions.SPG(GJ131, "SP_COUNTRY_NAME")</f>
        <v>#INVALID COMPANY ID</v>
      </c>
      <c r="GN131" t="s">
        <v>426</v>
      </c>
      <c r="GO131">
        <v>100201</v>
      </c>
      <c r="GP131" t="s">
        <v>366</v>
      </c>
      <c r="GQ131" s="11">
        <v>0</v>
      </c>
      <c r="GR131" s="9" t="str">
        <f>_xll.SNL.Clients.Office.Excel.Functions.SPG(GO131, "SP_COUNTRY_NAME")</f>
        <v>USA</v>
      </c>
      <c r="GS131" t="s">
        <v>775</v>
      </c>
      <c r="GT131">
        <v>19448171</v>
      </c>
      <c r="GU131" t="s">
        <v>346</v>
      </c>
      <c r="GV131" s="11">
        <v>0.01</v>
      </c>
      <c r="GW131" s="9" t="str">
        <f>_xll.SNL.Clients.Office.Excel.Functions.SPG(GT131, "SP_COUNTRY_NAME")</f>
        <v>China</v>
      </c>
      <c r="GX131" t="s">
        <v>575</v>
      </c>
      <c r="GY131">
        <v>4575993</v>
      </c>
      <c r="GZ131" t="s">
        <v>346</v>
      </c>
      <c r="HA131" s="11">
        <v>0.03</v>
      </c>
      <c r="HB131" s="9" t="str">
        <f>_xll.SNL.Clients.Office.Excel.Functions.SPG(GY131, "SP_COUNTRY_NAME")</f>
        <v>Canada</v>
      </c>
      <c r="HG131" s="9" t="str">
        <f>_xll.SNL.Clients.Office.Excel.Functions.SPG(HD131, "SP_COUNTRY_NAME")</f>
        <v>#INVALID COMPANY ID</v>
      </c>
    </row>
    <row r="132" spans="5:215" x14ac:dyDescent="0.35">
      <c r="E132" s="9" t="str">
        <f>_xll.SNL.Clients.Office.Excel.Functions.SPG(B132, "SP_COUNTRY_NAME")</f>
        <v>#INVALID COMPANY ID</v>
      </c>
      <c r="F132" t="s">
        <v>519</v>
      </c>
      <c r="G132">
        <v>109968</v>
      </c>
      <c r="H132" t="s">
        <v>346</v>
      </c>
      <c r="I132" s="11">
        <v>0</v>
      </c>
      <c r="J132" s="9" t="str">
        <f>_xll.SNL.Clients.Office.Excel.Functions.SPG(G132, "SP_COUNTRY_NAME")</f>
        <v>USA</v>
      </c>
      <c r="K132" t="s">
        <v>418</v>
      </c>
      <c r="L132">
        <v>109776</v>
      </c>
      <c r="M132" t="s">
        <v>346</v>
      </c>
      <c r="N132" s="11">
        <v>0</v>
      </c>
      <c r="O132" s="9" t="str">
        <f>_xll.SNL.Clients.Office.Excel.Functions.SPG(L132, "SP_COUNTRY_NAME")</f>
        <v>USA</v>
      </c>
      <c r="T132" s="9" t="str">
        <f>_xll.SNL.Clients.Office.Excel.Functions.SPG(Q132, "SP_COUNTRY_NAME")</f>
        <v>#INVALID COMPANY ID</v>
      </c>
      <c r="U132" t="s">
        <v>660</v>
      </c>
      <c r="V132">
        <v>4099895</v>
      </c>
      <c r="W132" t="s">
        <v>366</v>
      </c>
      <c r="X132" s="11">
        <v>0.02</v>
      </c>
      <c r="Y132" s="9" t="str">
        <f>_xll.SNL.Clients.Office.Excel.Functions.SPG(V132, "SP_COUNTRY_NAME")</f>
        <v>Canada</v>
      </c>
      <c r="Z132" t="s">
        <v>418</v>
      </c>
      <c r="AA132">
        <v>109776</v>
      </c>
      <c r="AB132" t="s">
        <v>346</v>
      </c>
      <c r="AC132" s="11">
        <v>0</v>
      </c>
      <c r="AD132" s="9" t="str">
        <f>_xll.SNL.Clients.Office.Excel.Functions.SPG(AA132, "SP_COUNTRY_NAME")</f>
        <v>USA</v>
      </c>
      <c r="AE132" t="s">
        <v>1045</v>
      </c>
      <c r="AF132">
        <v>5776820</v>
      </c>
      <c r="AG132" t="s">
        <v>346</v>
      </c>
      <c r="AH132" s="11">
        <v>0</v>
      </c>
      <c r="AI132" s="9" t="str">
        <f>_xll.SNL.Clients.Office.Excel.Functions.SPG(AF132, "SP_COUNTRY_NAME")</f>
        <v>Denmark</v>
      </c>
      <c r="AN132" s="9" t="str">
        <f>_xll.SNL.Clients.Office.Excel.Functions.SPG(AK132, "SP_COUNTRY_NAME")</f>
        <v>#INVALID COMPANY ID</v>
      </c>
      <c r="AO132" t="s">
        <v>663</v>
      </c>
      <c r="AP132">
        <v>4080954</v>
      </c>
      <c r="AQ132" t="s">
        <v>346</v>
      </c>
      <c r="AR132" s="11">
        <v>0.01</v>
      </c>
      <c r="AS132" s="9" t="str">
        <f>_xll.SNL.Clients.Office.Excel.Functions.SPG(AP132, "SP_COUNTRY_NAME")</f>
        <v>Denmark</v>
      </c>
      <c r="AX132" s="9" t="str">
        <f>_xll.SNL.Clients.Office.Excel.Functions.SPG(AU132, "SP_COUNTRY_NAME")</f>
        <v>#INVALID COMPANY ID</v>
      </c>
      <c r="BC132" s="9" t="str">
        <f>_xll.SNL.Clients.Office.Excel.Functions.SPG(AZ132, "SP_COUNTRY_NAME")</f>
        <v>#INVALID COMPANY ID</v>
      </c>
      <c r="BD132" t="s">
        <v>1431</v>
      </c>
      <c r="BE132">
        <v>4138890</v>
      </c>
      <c r="BF132" t="s">
        <v>346</v>
      </c>
      <c r="BG132" s="11">
        <v>0.04</v>
      </c>
      <c r="BH132" s="9" t="str">
        <f>_xll.SNL.Clients.Office.Excel.Functions.SPG(BE132, "SP_COUNTRY_NAME")</f>
        <v>Germany</v>
      </c>
      <c r="BI132" t="s">
        <v>459</v>
      </c>
      <c r="BJ132">
        <v>4140503</v>
      </c>
      <c r="BK132" t="s">
        <v>346</v>
      </c>
      <c r="BL132" s="11">
        <v>0.01</v>
      </c>
      <c r="BM132" s="9" t="str">
        <f>_xll.SNL.Clients.Office.Excel.Functions.SPG(BJ132, "SP_COUNTRY_NAME")</f>
        <v>Ireland</v>
      </c>
      <c r="BN132" t="s">
        <v>763</v>
      </c>
      <c r="BO132">
        <v>110153</v>
      </c>
      <c r="BP132" t="s">
        <v>364</v>
      </c>
      <c r="BQ132" s="11">
        <v>0.01</v>
      </c>
      <c r="BR132" s="9" t="str">
        <f>_xll.SNL.Clients.Office.Excel.Functions.SPG(BO132, "SP_COUNTRY_NAME")</f>
        <v>USA</v>
      </c>
      <c r="BS132" t="s">
        <v>453</v>
      </c>
      <c r="BT132">
        <v>4318598</v>
      </c>
      <c r="BU132" t="s">
        <v>346</v>
      </c>
      <c r="BV132" s="11">
        <v>0.02</v>
      </c>
      <c r="BW132" s="9" t="str">
        <f>_xll.SNL.Clients.Office.Excel.Functions.SPG(BT132, "SP_COUNTRY_NAME")</f>
        <v>USA</v>
      </c>
      <c r="BX132" t="s">
        <v>660</v>
      </c>
      <c r="BY132">
        <v>4099895</v>
      </c>
      <c r="BZ132" t="s">
        <v>366</v>
      </c>
      <c r="CA132" s="11">
        <v>0.02</v>
      </c>
      <c r="CB132" s="9" t="str">
        <f>_xll.SNL.Clients.Office.Excel.Functions.SPG(BY132, "SP_COUNTRY_NAME")</f>
        <v>Canada</v>
      </c>
      <c r="CC132" t="s">
        <v>1650</v>
      </c>
      <c r="CD132">
        <v>5843411</v>
      </c>
      <c r="CE132" t="s">
        <v>364</v>
      </c>
      <c r="CF132" s="11">
        <v>0.03</v>
      </c>
      <c r="CG132" s="9" t="str">
        <f>_xll.SNL.Clients.Office.Excel.Functions.SPG(CD132, "SP_COUNTRY_NAME")</f>
        <v>United Kingdom</v>
      </c>
      <c r="CH132" t="s">
        <v>663</v>
      </c>
      <c r="CI132">
        <v>4080954</v>
      </c>
      <c r="CJ132" t="s">
        <v>346</v>
      </c>
      <c r="CK132" s="11">
        <v>0.01</v>
      </c>
      <c r="CL132" s="9" t="str">
        <f>_xll.SNL.Clients.Office.Excel.Functions.SPG(CI132, "SP_COUNTRY_NAME")</f>
        <v>Denmark</v>
      </c>
      <c r="CM132" t="s">
        <v>1774</v>
      </c>
      <c r="CN132">
        <v>5774712</v>
      </c>
      <c r="CO132" t="s">
        <v>346</v>
      </c>
      <c r="CP132" s="11">
        <v>0.03</v>
      </c>
      <c r="CQ132" s="9" t="str">
        <f>_xll.SNL.Clients.Office.Excel.Functions.SPG(CN132, "SP_COUNTRY_NAME")</f>
        <v>USA</v>
      </c>
      <c r="CV132" s="9" t="str">
        <f>_xll.SNL.Clients.Office.Excel.Functions.SPG(CS132, "SP_COUNTRY_NAME")</f>
        <v>#INVALID COMPANY ID</v>
      </c>
      <c r="DA132" s="9" t="str">
        <f>_xll.SNL.Clients.Office.Excel.Functions.SPG(CX132, "SP_COUNTRY_NAME")</f>
        <v>#INVALID COMPANY ID</v>
      </c>
      <c r="DB132" t="s">
        <v>1431</v>
      </c>
      <c r="DC132">
        <v>4138890</v>
      </c>
      <c r="DD132" t="s">
        <v>346</v>
      </c>
      <c r="DE132" s="11">
        <v>0.04</v>
      </c>
      <c r="DF132" s="9" t="str">
        <f>_xll.SNL.Clients.Office.Excel.Functions.SPG(DC132, "SP_COUNTRY_NAME")</f>
        <v>Germany</v>
      </c>
      <c r="DK132" s="9" t="str">
        <f>_xll.SNL.Clients.Office.Excel.Functions.SPG(DH132, "SP_COUNTRY_NAME")</f>
        <v>#INVALID COMPANY ID</v>
      </c>
      <c r="DL132" t="s">
        <v>1431</v>
      </c>
      <c r="DM132">
        <v>4138890</v>
      </c>
      <c r="DN132" t="s">
        <v>346</v>
      </c>
      <c r="DO132" s="11">
        <v>0.04</v>
      </c>
      <c r="DP132" s="9" t="str">
        <f>_xll.SNL.Clients.Office.Excel.Functions.SPG(DM132, "SP_COUNTRY_NAME")</f>
        <v>Germany</v>
      </c>
      <c r="DU132" s="9" t="str">
        <f>_xll.SNL.Clients.Office.Excel.Functions.SPG(DR132, "SP_COUNTRY_NAME")</f>
        <v>#INVALID COMPANY ID</v>
      </c>
      <c r="DV132" t="s">
        <v>1221</v>
      </c>
      <c r="DW132">
        <v>5761555</v>
      </c>
      <c r="DX132" t="s">
        <v>346</v>
      </c>
      <c r="DY132" s="11">
        <v>0</v>
      </c>
      <c r="DZ132" s="9" t="str">
        <f>_xll.SNL.Clients.Office.Excel.Functions.SPG(DW132, "SP_COUNTRY_NAME")</f>
        <v>Luxembourg</v>
      </c>
      <c r="EA132" t="s">
        <v>1650</v>
      </c>
      <c r="EB132">
        <v>5843411</v>
      </c>
      <c r="EC132" t="s">
        <v>364</v>
      </c>
      <c r="ED132" s="11">
        <v>0.03</v>
      </c>
      <c r="EE132" s="9" t="str">
        <f>_xll.SNL.Clients.Office.Excel.Functions.SPG(EB132, "SP_COUNTRY_NAME")</f>
        <v>United Kingdom</v>
      </c>
      <c r="EF132" t="s">
        <v>1431</v>
      </c>
      <c r="EG132">
        <v>4138890</v>
      </c>
      <c r="EH132" t="s">
        <v>346</v>
      </c>
      <c r="EI132" s="11">
        <v>0.04</v>
      </c>
      <c r="EJ132" s="9" t="str">
        <f>_xll.SNL.Clients.Office.Excel.Functions.SPG(EG132, "SP_COUNTRY_NAME")</f>
        <v>Germany</v>
      </c>
      <c r="EO132" s="9" t="str">
        <f>_xll.SNL.Clients.Office.Excel.Functions.SPG(EL132, "SP_COUNTRY_NAME")</f>
        <v>#INVALID COMPANY ID</v>
      </c>
      <c r="EP132" t="s">
        <v>676</v>
      </c>
      <c r="EQ132">
        <v>15012201</v>
      </c>
      <c r="ER132" t="s">
        <v>346</v>
      </c>
      <c r="ES132" s="11">
        <v>0</v>
      </c>
      <c r="ET132" s="9" t="str">
        <f>_xll.SNL.Clients.Office.Excel.Functions.SPG(EQ132, "SP_COUNTRY_NAME")</f>
        <v>China</v>
      </c>
      <c r="EY132" s="9" t="str">
        <f>_xll.SNL.Clients.Office.Excel.Functions.SPG(EV132, "SP_COUNTRY_NAME")</f>
        <v>#INVALID COMPANY ID</v>
      </c>
      <c r="FD132" s="9" t="str">
        <f>_xll.SNL.Clients.Office.Excel.Functions.SPG(FA132, "SP_COUNTRY_NAME")</f>
        <v>#INVALID COMPANY ID</v>
      </c>
      <c r="FI132" s="9" t="str">
        <f>_xll.SNL.Clients.Office.Excel.Functions.SPG(FF132, "SP_COUNTRY_NAME")</f>
        <v>#INVALID COMPANY ID</v>
      </c>
      <c r="FJ132" t="s">
        <v>462</v>
      </c>
      <c r="FK132">
        <v>109872</v>
      </c>
      <c r="FL132" t="s">
        <v>346</v>
      </c>
      <c r="FM132" s="11">
        <v>0</v>
      </c>
      <c r="FN132" s="9" t="str">
        <f>_xll.SNL.Clients.Office.Excel.Functions.SPG(FK132, "SP_COUNTRY_NAME")</f>
        <v>USA</v>
      </c>
      <c r="FS132" s="9" t="str">
        <f>_xll.SNL.Clients.Office.Excel.Functions.SPG(FP132, "SP_COUNTRY_NAME")</f>
        <v>#INVALID COMPANY ID</v>
      </c>
      <c r="FX132" s="9" t="str">
        <f>_xll.SNL.Clients.Office.Excel.Functions.SPG(FU132, "SP_COUNTRY_NAME")</f>
        <v>#INVALID COMPANY ID</v>
      </c>
      <c r="FY132" t="s">
        <v>1431</v>
      </c>
      <c r="FZ132">
        <v>4138890</v>
      </c>
      <c r="GA132" t="s">
        <v>346</v>
      </c>
      <c r="GB132" s="11">
        <v>0.04</v>
      </c>
      <c r="GC132" s="9" t="str">
        <f>_xll.SNL.Clients.Office.Excel.Functions.SPG(FZ132, "SP_COUNTRY_NAME")</f>
        <v>Germany</v>
      </c>
      <c r="GH132" s="9" t="str">
        <f>_xll.SNL.Clients.Office.Excel.Functions.SPG(GE132, "SP_COUNTRY_NAME")</f>
        <v>#INVALID COMPANY ID</v>
      </c>
      <c r="GM132" s="9" t="str">
        <f>_xll.SNL.Clients.Office.Excel.Functions.SPG(GJ132, "SP_COUNTRY_NAME")</f>
        <v>#INVALID COMPANY ID</v>
      </c>
      <c r="GN132" t="s">
        <v>462</v>
      </c>
      <c r="GO132">
        <v>109872</v>
      </c>
      <c r="GP132" t="s">
        <v>346</v>
      </c>
      <c r="GQ132" s="11">
        <v>0</v>
      </c>
      <c r="GR132" s="9" t="str">
        <f>_xll.SNL.Clients.Office.Excel.Functions.SPG(GO132, "SP_COUNTRY_NAME")</f>
        <v>USA</v>
      </c>
      <c r="GS132" t="s">
        <v>763</v>
      </c>
      <c r="GT132">
        <v>110153</v>
      </c>
      <c r="GU132" t="s">
        <v>364</v>
      </c>
      <c r="GV132" s="11">
        <v>0.01</v>
      </c>
      <c r="GW132" s="9" t="str">
        <f>_xll.SNL.Clients.Office.Excel.Functions.SPG(GT132, "SP_COUNTRY_NAME")</f>
        <v>USA</v>
      </c>
      <c r="GX132" t="s">
        <v>1650</v>
      </c>
      <c r="GY132">
        <v>5843411</v>
      </c>
      <c r="GZ132" t="s">
        <v>364</v>
      </c>
      <c r="HA132" s="11">
        <v>0.03</v>
      </c>
      <c r="HB132" s="9" t="str">
        <f>_xll.SNL.Clients.Office.Excel.Functions.SPG(GY132, "SP_COUNTRY_NAME")</f>
        <v>United Kingdom</v>
      </c>
      <c r="HG132" s="9" t="str">
        <f>_xll.SNL.Clients.Office.Excel.Functions.SPG(HD132, "SP_COUNTRY_NAME")</f>
        <v>#INVALID COMPANY ID</v>
      </c>
    </row>
    <row r="133" spans="5:215" x14ac:dyDescent="0.35">
      <c r="E133" s="9" t="str">
        <f>_xll.SNL.Clients.Office.Excel.Functions.SPG(B133, "SP_COUNTRY_NAME")</f>
        <v>#INVALID COMPANY ID</v>
      </c>
      <c r="F133" t="s">
        <v>520</v>
      </c>
      <c r="G133">
        <v>103661</v>
      </c>
      <c r="H133" t="s">
        <v>346</v>
      </c>
      <c r="I133" s="11">
        <v>0</v>
      </c>
      <c r="J133" s="9" t="str">
        <f>_xll.SNL.Clients.Office.Excel.Functions.SPG(G133, "SP_COUNTRY_NAME")</f>
        <v>USA</v>
      </c>
      <c r="K133" t="s">
        <v>689</v>
      </c>
      <c r="L133">
        <v>109964</v>
      </c>
      <c r="M133" t="s">
        <v>346</v>
      </c>
      <c r="N133" s="11">
        <v>0</v>
      </c>
      <c r="O133" s="9" t="str">
        <f>_xll.SNL.Clients.Office.Excel.Functions.SPG(L133, "SP_COUNTRY_NAME")</f>
        <v>USA</v>
      </c>
      <c r="T133" s="9" t="str">
        <f>_xll.SNL.Clients.Office.Excel.Functions.SPG(Q133, "SP_COUNTRY_NAME")</f>
        <v>#INVALID COMPANY ID</v>
      </c>
      <c r="U133" t="s">
        <v>497</v>
      </c>
      <c r="V133">
        <v>4138770</v>
      </c>
      <c r="W133" t="s">
        <v>346</v>
      </c>
      <c r="X133" s="11">
        <v>0.02</v>
      </c>
      <c r="Y133" s="9" t="str">
        <f>_xll.SNL.Clients.Office.Excel.Functions.SPG(V133, "SP_COUNTRY_NAME")</f>
        <v>United Kingdom</v>
      </c>
      <c r="Z133" t="s">
        <v>689</v>
      </c>
      <c r="AA133">
        <v>109964</v>
      </c>
      <c r="AB133" t="s">
        <v>346</v>
      </c>
      <c r="AC133" s="11">
        <v>0</v>
      </c>
      <c r="AD133" s="9" t="str">
        <f>_xll.SNL.Clients.Office.Excel.Functions.SPG(AA133, "SP_COUNTRY_NAME")</f>
        <v>USA</v>
      </c>
      <c r="AE133" t="s">
        <v>1148</v>
      </c>
      <c r="AF133">
        <v>4239546</v>
      </c>
      <c r="AG133" t="s">
        <v>346</v>
      </c>
      <c r="AH133" s="11">
        <v>0</v>
      </c>
      <c r="AI133" s="9" t="str">
        <f>_xll.SNL.Clients.Office.Excel.Functions.SPG(AF133, "SP_COUNTRY_NAME")</f>
        <v>Canada</v>
      </c>
      <c r="AN133" s="9" t="str">
        <f>_xll.SNL.Clients.Office.Excel.Functions.SPG(AK133, "SP_COUNTRY_NAME")</f>
        <v>#INVALID COMPANY ID</v>
      </c>
      <c r="AO133" t="s">
        <v>1297</v>
      </c>
      <c r="AP133">
        <v>19679073</v>
      </c>
      <c r="AQ133" t="s">
        <v>346</v>
      </c>
      <c r="AR133" s="11">
        <v>0.01</v>
      </c>
      <c r="AS133" s="9" t="str">
        <f>_xll.SNL.Clients.Office.Excel.Functions.SPG(AP133, "SP_COUNTRY_NAME")</f>
        <v>South Africa</v>
      </c>
      <c r="AX133" s="9" t="str">
        <f>_xll.SNL.Clients.Office.Excel.Functions.SPG(AU133, "SP_COUNTRY_NAME")</f>
        <v>#INVALID COMPANY ID</v>
      </c>
      <c r="BC133" s="9" t="str">
        <f>_xll.SNL.Clients.Office.Excel.Functions.SPG(AZ133, "SP_COUNTRY_NAME")</f>
        <v>#INVALID COMPANY ID</v>
      </c>
      <c r="BD133" t="s">
        <v>1432</v>
      </c>
      <c r="BE133">
        <v>4235168</v>
      </c>
      <c r="BF133" t="s">
        <v>346</v>
      </c>
      <c r="BG133" s="11">
        <v>0.04</v>
      </c>
      <c r="BH133" s="9" t="str">
        <f>_xll.SNL.Clients.Office.Excel.Functions.SPG(BE133, "SP_COUNTRY_NAME")</f>
        <v>United Kingdom</v>
      </c>
      <c r="BI133" t="s">
        <v>440</v>
      </c>
      <c r="BJ133">
        <v>4140078</v>
      </c>
      <c r="BK133" t="s">
        <v>346</v>
      </c>
      <c r="BL133" s="11">
        <v>0.01</v>
      </c>
      <c r="BM133" s="9" t="str">
        <f>_xll.SNL.Clients.Office.Excel.Functions.SPG(BJ133, "SP_COUNTRY_NAME")</f>
        <v>Japan</v>
      </c>
      <c r="BN133" t="s">
        <v>646</v>
      </c>
      <c r="BO133">
        <v>4435100</v>
      </c>
      <c r="BP133" t="s">
        <v>346</v>
      </c>
      <c r="BQ133" s="11">
        <v>0.01</v>
      </c>
      <c r="BR133" s="9" t="str">
        <f>_xll.SNL.Clients.Office.Excel.Functions.SPG(BO133, "SP_COUNTRY_NAME")</f>
        <v>China</v>
      </c>
      <c r="BS133" t="s">
        <v>972</v>
      </c>
      <c r="BT133">
        <v>4578989</v>
      </c>
      <c r="BU133" t="s">
        <v>346</v>
      </c>
      <c r="BV133" s="11">
        <v>0.02</v>
      </c>
      <c r="BW133" s="9" t="str">
        <f>_xll.SNL.Clients.Office.Excel.Functions.SPG(BT133, "SP_COUNTRY_NAME")</f>
        <v>Luxembourg</v>
      </c>
      <c r="BX133" t="s">
        <v>497</v>
      </c>
      <c r="BY133">
        <v>4138770</v>
      </c>
      <c r="BZ133" t="s">
        <v>346</v>
      </c>
      <c r="CA133" s="11">
        <v>0.02</v>
      </c>
      <c r="CB133" s="9" t="str">
        <f>_xll.SNL.Clients.Office.Excel.Functions.SPG(BY133, "SP_COUNTRY_NAME")</f>
        <v>United Kingdom</v>
      </c>
      <c r="CC133" t="s">
        <v>752</v>
      </c>
      <c r="CD133">
        <v>111272</v>
      </c>
      <c r="CE133" t="s">
        <v>346</v>
      </c>
      <c r="CF133" s="11">
        <v>0.03</v>
      </c>
      <c r="CG133" s="9" t="str">
        <f>_xll.SNL.Clients.Office.Excel.Functions.SPG(CD133, "SP_COUNTRY_NAME")</f>
        <v>United Kingdom</v>
      </c>
      <c r="CH133" t="s">
        <v>1297</v>
      </c>
      <c r="CI133">
        <v>19679073</v>
      </c>
      <c r="CJ133" t="s">
        <v>346</v>
      </c>
      <c r="CK133" s="11">
        <v>0.01</v>
      </c>
      <c r="CL133" s="9" t="str">
        <f>_xll.SNL.Clients.Office.Excel.Functions.SPG(CI133, "SP_COUNTRY_NAME")</f>
        <v>South Africa</v>
      </c>
      <c r="CM133" t="s">
        <v>1970</v>
      </c>
      <c r="CN133">
        <v>4043174</v>
      </c>
      <c r="CO133" t="s">
        <v>363</v>
      </c>
      <c r="CP133" s="11">
        <v>0.03</v>
      </c>
      <c r="CQ133" s="9" t="str">
        <f>_xll.SNL.Clients.Office.Excel.Functions.SPG(CN133, "SP_COUNTRY_NAME")</f>
        <v>USA</v>
      </c>
      <c r="CV133" s="9" t="str">
        <f>_xll.SNL.Clients.Office.Excel.Functions.SPG(CS133, "SP_COUNTRY_NAME")</f>
        <v>#INVALID COMPANY ID</v>
      </c>
      <c r="DA133" s="9" t="str">
        <f>_xll.SNL.Clients.Office.Excel.Functions.SPG(CX133, "SP_COUNTRY_NAME")</f>
        <v>#INVALID COMPANY ID</v>
      </c>
      <c r="DB133" t="s">
        <v>1432</v>
      </c>
      <c r="DC133">
        <v>4235168</v>
      </c>
      <c r="DD133" t="s">
        <v>346</v>
      </c>
      <c r="DE133" s="11">
        <v>0.04</v>
      </c>
      <c r="DF133" s="9" t="str">
        <f>_xll.SNL.Clients.Office.Excel.Functions.SPG(DC133, "SP_COUNTRY_NAME")</f>
        <v>United Kingdom</v>
      </c>
      <c r="DK133" s="9" t="str">
        <f>_xll.SNL.Clients.Office.Excel.Functions.SPG(DH133, "SP_COUNTRY_NAME")</f>
        <v>#INVALID COMPANY ID</v>
      </c>
      <c r="DL133" t="s">
        <v>1432</v>
      </c>
      <c r="DM133">
        <v>4235168</v>
      </c>
      <c r="DN133" t="s">
        <v>346</v>
      </c>
      <c r="DO133" s="11">
        <v>0.04</v>
      </c>
      <c r="DP133" s="9" t="str">
        <f>_xll.SNL.Clients.Office.Excel.Functions.SPG(DM133, "SP_COUNTRY_NAME")</f>
        <v>United Kingdom</v>
      </c>
      <c r="DU133" s="9" t="str">
        <f>_xll.SNL.Clients.Office.Excel.Functions.SPG(DR133, "SP_COUNTRY_NAME")</f>
        <v>#INVALID COMPANY ID</v>
      </c>
      <c r="DV133" t="s">
        <v>1222</v>
      </c>
      <c r="DW133">
        <v>7676883</v>
      </c>
      <c r="DX133" t="s">
        <v>346</v>
      </c>
      <c r="DY133" s="11">
        <v>0</v>
      </c>
      <c r="DZ133" s="9" t="str">
        <f>_xll.SNL.Clients.Office.Excel.Functions.SPG(DW133, "SP_COUNTRY_NAME")</f>
        <v>USA</v>
      </c>
      <c r="EA133" t="s">
        <v>752</v>
      </c>
      <c r="EB133">
        <v>111272</v>
      </c>
      <c r="EC133" t="s">
        <v>346</v>
      </c>
      <c r="ED133" s="11">
        <v>0.03</v>
      </c>
      <c r="EE133" s="9" t="str">
        <f>_xll.SNL.Clients.Office.Excel.Functions.SPG(EB133, "SP_COUNTRY_NAME")</f>
        <v>United Kingdom</v>
      </c>
      <c r="EF133" t="s">
        <v>1432</v>
      </c>
      <c r="EG133">
        <v>4235168</v>
      </c>
      <c r="EH133" t="s">
        <v>346</v>
      </c>
      <c r="EI133" s="11">
        <v>0.04</v>
      </c>
      <c r="EJ133" s="9" t="str">
        <f>_xll.SNL.Clients.Office.Excel.Functions.SPG(EG133, "SP_COUNTRY_NAME")</f>
        <v>United Kingdom</v>
      </c>
      <c r="EO133" s="9" t="str">
        <f>_xll.SNL.Clients.Office.Excel.Functions.SPG(EL133, "SP_COUNTRY_NAME")</f>
        <v>#INVALID COMPANY ID</v>
      </c>
      <c r="EP133" t="s">
        <v>428</v>
      </c>
      <c r="EQ133">
        <v>4116134</v>
      </c>
      <c r="ER133" t="s">
        <v>346</v>
      </c>
      <c r="ES133" s="11">
        <v>0</v>
      </c>
      <c r="ET133" s="9" t="str">
        <f>_xll.SNL.Clients.Office.Excel.Functions.SPG(EQ133, "SP_COUNTRY_NAME")</f>
        <v>Japan</v>
      </c>
      <c r="EY133" s="9" t="str">
        <f>_xll.SNL.Clients.Office.Excel.Functions.SPG(EV133, "SP_COUNTRY_NAME")</f>
        <v>#INVALID COMPANY ID</v>
      </c>
      <c r="FD133" s="9" t="str">
        <f>_xll.SNL.Clients.Office.Excel.Functions.SPG(FA133, "SP_COUNTRY_NAME")</f>
        <v>#INVALID COMPANY ID</v>
      </c>
      <c r="FI133" s="9" t="str">
        <f>_xll.SNL.Clients.Office.Excel.Functions.SPG(FF133, "SP_COUNTRY_NAME")</f>
        <v>#INVALID COMPANY ID</v>
      </c>
      <c r="FJ133" t="s">
        <v>418</v>
      </c>
      <c r="FK133">
        <v>109776</v>
      </c>
      <c r="FL133" t="s">
        <v>346</v>
      </c>
      <c r="FM133" s="11">
        <v>0</v>
      </c>
      <c r="FN133" s="9" t="str">
        <f>_xll.SNL.Clients.Office.Excel.Functions.SPG(FK133, "SP_COUNTRY_NAME")</f>
        <v>USA</v>
      </c>
      <c r="FS133" s="9" t="str">
        <f>_xll.SNL.Clients.Office.Excel.Functions.SPG(FP133, "SP_COUNTRY_NAME")</f>
        <v>#INVALID COMPANY ID</v>
      </c>
      <c r="FX133" s="9" t="str">
        <f>_xll.SNL.Clients.Office.Excel.Functions.SPG(FU133, "SP_COUNTRY_NAME")</f>
        <v>#INVALID COMPANY ID</v>
      </c>
      <c r="FY133" t="s">
        <v>1432</v>
      </c>
      <c r="FZ133">
        <v>4235168</v>
      </c>
      <c r="GA133" t="s">
        <v>346</v>
      </c>
      <c r="GB133" s="11">
        <v>0.04</v>
      </c>
      <c r="GC133" s="9" t="str">
        <f>_xll.SNL.Clients.Office.Excel.Functions.SPG(FZ133, "SP_COUNTRY_NAME")</f>
        <v>United Kingdom</v>
      </c>
      <c r="GH133" s="9" t="str">
        <f>_xll.SNL.Clients.Office.Excel.Functions.SPG(GE133, "SP_COUNTRY_NAME")</f>
        <v>#INVALID COMPANY ID</v>
      </c>
      <c r="GM133" s="9" t="str">
        <f>_xll.SNL.Clients.Office.Excel.Functions.SPG(GJ133, "SP_COUNTRY_NAME")</f>
        <v>#INVALID COMPANY ID</v>
      </c>
      <c r="GN133" t="s">
        <v>418</v>
      </c>
      <c r="GO133">
        <v>109776</v>
      </c>
      <c r="GP133" t="s">
        <v>346</v>
      </c>
      <c r="GQ133" s="11">
        <v>0</v>
      </c>
      <c r="GR133" s="9" t="str">
        <f>_xll.SNL.Clients.Office.Excel.Functions.SPG(GO133, "SP_COUNTRY_NAME")</f>
        <v>USA</v>
      </c>
      <c r="GS133" t="s">
        <v>646</v>
      </c>
      <c r="GT133">
        <v>4435100</v>
      </c>
      <c r="GU133" t="s">
        <v>346</v>
      </c>
      <c r="GV133" s="11">
        <v>0.01</v>
      </c>
      <c r="GW133" s="9" t="str">
        <f>_xll.SNL.Clients.Office.Excel.Functions.SPG(GT133, "SP_COUNTRY_NAME")</f>
        <v>China</v>
      </c>
      <c r="GX133" t="s">
        <v>752</v>
      </c>
      <c r="GY133">
        <v>111272</v>
      </c>
      <c r="GZ133" t="s">
        <v>346</v>
      </c>
      <c r="HA133" s="11">
        <v>0.03</v>
      </c>
      <c r="HB133" s="9" t="str">
        <f>_xll.SNL.Clients.Office.Excel.Functions.SPG(GY133, "SP_COUNTRY_NAME")</f>
        <v>United Kingdom</v>
      </c>
      <c r="HG133" s="9" t="str">
        <f>_xll.SNL.Clients.Office.Excel.Functions.SPG(HD133, "SP_COUNTRY_NAME")</f>
        <v>#INVALID COMPANY ID</v>
      </c>
    </row>
    <row r="134" spans="5:215" x14ac:dyDescent="0.35">
      <c r="E134" s="9" t="str">
        <f>_xll.SNL.Clients.Office.Excel.Functions.SPG(B134, "SP_COUNTRY_NAME")</f>
        <v>#INVALID COMPANY ID</v>
      </c>
      <c r="F134" t="s">
        <v>521</v>
      </c>
      <c r="G134" t="s">
        <v>300</v>
      </c>
      <c r="H134" t="s">
        <v>361</v>
      </c>
      <c r="I134" s="11">
        <v>0</v>
      </c>
      <c r="J134" s="9" t="str">
        <f>_xll.SNL.Clients.Office.Excel.Functions.SPG(G134, "SP_COUNTRY_NAME")</f>
        <v>China</v>
      </c>
      <c r="O134" s="9" t="str">
        <f>_xll.SNL.Clients.Office.Excel.Functions.SPG(L134, "SP_COUNTRY_NAME")</f>
        <v>#INVALID COMPANY ID</v>
      </c>
      <c r="T134" s="9" t="str">
        <f>_xll.SNL.Clients.Office.Excel.Functions.SPG(Q134, "SP_COUNTRY_NAME")</f>
        <v>#INVALID COMPANY ID</v>
      </c>
      <c r="U134" t="s">
        <v>751</v>
      </c>
      <c r="V134">
        <v>4574748</v>
      </c>
      <c r="W134" t="s">
        <v>346</v>
      </c>
      <c r="X134" s="11">
        <v>0.02</v>
      </c>
      <c r="Y134" s="9" t="str">
        <f>_xll.SNL.Clients.Office.Excel.Functions.SPG(V134, "SP_COUNTRY_NAME")</f>
        <v>China</v>
      </c>
      <c r="AD134" s="9" t="str">
        <f>_xll.SNL.Clients.Office.Excel.Functions.SPG(AA134, "SP_COUNTRY_NAME")</f>
        <v>#INVALID COMPANY ID</v>
      </c>
      <c r="AE134" t="s">
        <v>1040</v>
      </c>
      <c r="AF134">
        <v>4232927</v>
      </c>
      <c r="AG134" t="s">
        <v>346</v>
      </c>
      <c r="AH134" s="11">
        <v>0</v>
      </c>
      <c r="AI134" s="9" t="str">
        <f>_xll.SNL.Clients.Office.Excel.Functions.SPG(AF134, "SP_COUNTRY_NAME")</f>
        <v>Luxembourg</v>
      </c>
      <c r="AN134" s="9" t="str">
        <f>_xll.SNL.Clients.Office.Excel.Functions.SPG(AK134, "SP_COUNTRY_NAME")</f>
        <v>#INVALID COMPANY ID</v>
      </c>
      <c r="AO134" t="s">
        <v>1034</v>
      </c>
      <c r="AP134">
        <v>4256960</v>
      </c>
      <c r="AQ134" t="s">
        <v>346</v>
      </c>
      <c r="AR134" s="11">
        <v>0.01</v>
      </c>
      <c r="AS134" s="9" t="str">
        <f>_xll.SNL.Clients.Office.Excel.Functions.SPG(AP134, "SP_COUNTRY_NAME")</f>
        <v>Latvia</v>
      </c>
      <c r="AX134" s="9" t="str">
        <f>_xll.SNL.Clients.Office.Excel.Functions.SPG(AU134, "SP_COUNTRY_NAME")</f>
        <v>#INVALID COMPANY ID</v>
      </c>
      <c r="BC134" s="9" t="str">
        <f>_xll.SNL.Clients.Office.Excel.Functions.SPG(AZ134, "SP_COUNTRY_NAME")</f>
        <v>#INVALID COMPANY ID</v>
      </c>
      <c r="BD134" t="s">
        <v>465</v>
      </c>
      <c r="BE134">
        <v>4119440</v>
      </c>
      <c r="BF134" t="s">
        <v>346</v>
      </c>
      <c r="BG134" s="11">
        <v>0.04</v>
      </c>
      <c r="BH134" s="9" t="str">
        <f>_xll.SNL.Clients.Office.Excel.Functions.SPG(BE134, "SP_COUNTRY_NAME")</f>
        <v>USA</v>
      </c>
      <c r="BI134" t="s">
        <v>520</v>
      </c>
      <c r="BJ134">
        <v>103661</v>
      </c>
      <c r="BK134" t="s">
        <v>346</v>
      </c>
      <c r="BL134" s="11">
        <v>0.01</v>
      </c>
      <c r="BM134" s="9" t="str">
        <f>_xll.SNL.Clients.Office.Excel.Functions.SPG(BJ134, "SP_COUNTRY_NAME")</f>
        <v>USA</v>
      </c>
      <c r="BN134" t="s">
        <v>894</v>
      </c>
      <c r="BO134">
        <v>4139629</v>
      </c>
      <c r="BP134" t="s">
        <v>346</v>
      </c>
      <c r="BQ134" s="11">
        <v>0.01</v>
      </c>
      <c r="BR134" s="9" t="str">
        <f>_xll.SNL.Clients.Office.Excel.Functions.SPG(BO134, "SP_COUNTRY_NAME")</f>
        <v>Singapore</v>
      </c>
      <c r="BS134" t="s">
        <v>785</v>
      </c>
      <c r="BT134">
        <v>4139950</v>
      </c>
      <c r="BU134" t="s">
        <v>346</v>
      </c>
      <c r="BV134" s="11">
        <v>0.02</v>
      </c>
      <c r="BW134" s="9" t="str">
        <f>_xll.SNL.Clients.Office.Excel.Functions.SPG(BT134, "SP_COUNTRY_NAME")</f>
        <v>China</v>
      </c>
      <c r="BX134" t="s">
        <v>751</v>
      </c>
      <c r="BY134">
        <v>4574748</v>
      </c>
      <c r="BZ134" t="s">
        <v>346</v>
      </c>
      <c r="CA134" s="11">
        <v>0.02</v>
      </c>
      <c r="CB134" s="9" t="str">
        <f>_xll.SNL.Clients.Office.Excel.Functions.SPG(BY134, "SP_COUNTRY_NAME")</f>
        <v>China</v>
      </c>
      <c r="CC134" t="s">
        <v>1651</v>
      </c>
      <c r="CD134">
        <v>8354360</v>
      </c>
      <c r="CE134" t="s">
        <v>366</v>
      </c>
      <c r="CF134" s="11">
        <v>0.03</v>
      </c>
      <c r="CG134" s="9" t="str">
        <f>_xll.SNL.Clients.Office.Excel.Functions.SPG(CD134, "SP_COUNTRY_NAME")</f>
        <v>Brazil</v>
      </c>
      <c r="CH134" t="s">
        <v>1034</v>
      </c>
      <c r="CI134">
        <v>4256960</v>
      </c>
      <c r="CJ134" t="s">
        <v>346</v>
      </c>
      <c r="CK134" s="11">
        <v>0.01</v>
      </c>
      <c r="CL134" s="9" t="str">
        <f>_xll.SNL.Clients.Office.Excel.Functions.SPG(CI134, "SP_COUNTRY_NAME")</f>
        <v>Latvia</v>
      </c>
      <c r="CM134" t="s">
        <v>839</v>
      </c>
      <c r="CN134">
        <v>5759900</v>
      </c>
      <c r="CO134" t="s">
        <v>346</v>
      </c>
      <c r="CP134" s="11">
        <v>0.03</v>
      </c>
      <c r="CQ134" s="9" t="str">
        <f>_xll.SNL.Clients.Office.Excel.Functions.SPG(CN134, "SP_COUNTRY_NAME")</f>
        <v>United Kingdom</v>
      </c>
      <c r="CV134" s="9" t="str">
        <f>_xll.SNL.Clients.Office.Excel.Functions.SPG(CS134, "SP_COUNTRY_NAME")</f>
        <v>#INVALID COMPANY ID</v>
      </c>
      <c r="DA134" s="9" t="str">
        <f>_xll.SNL.Clients.Office.Excel.Functions.SPG(CX134, "SP_COUNTRY_NAME")</f>
        <v>#INVALID COMPANY ID</v>
      </c>
      <c r="DB134" t="s">
        <v>465</v>
      </c>
      <c r="DC134">
        <v>4119440</v>
      </c>
      <c r="DD134" t="s">
        <v>346</v>
      </c>
      <c r="DE134" s="11">
        <v>0.04</v>
      </c>
      <c r="DF134" s="9" t="str">
        <f>_xll.SNL.Clients.Office.Excel.Functions.SPG(DC134, "SP_COUNTRY_NAME")</f>
        <v>USA</v>
      </c>
      <c r="DK134" s="9" t="str">
        <f>_xll.SNL.Clients.Office.Excel.Functions.SPG(DH134, "SP_COUNTRY_NAME")</f>
        <v>#INVALID COMPANY ID</v>
      </c>
      <c r="DL134" t="s">
        <v>465</v>
      </c>
      <c r="DM134">
        <v>4119440</v>
      </c>
      <c r="DN134" t="s">
        <v>346</v>
      </c>
      <c r="DO134" s="11">
        <v>0.04</v>
      </c>
      <c r="DP134" s="9" t="str">
        <f>_xll.SNL.Clients.Office.Excel.Functions.SPG(DM134, "SP_COUNTRY_NAME")</f>
        <v>USA</v>
      </c>
      <c r="DU134" s="9" t="str">
        <f>_xll.SNL.Clients.Office.Excel.Functions.SPG(DR134, "SP_COUNTRY_NAME")</f>
        <v>#INVALID COMPANY ID</v>
      </c>
      <c r="DV134" t="s">
        <v>413</v>
      </c>
      <c r="DW134">
        <v>4114882</v>
      </c>
      <c r="DX134" t="s">
        <v>346</v>
      </c>
      <c r="DY134" s="11">
        <v>0</v>
      </c>
      <c r="DZ134" s="9" t="str">
        <f>_xll.SNL.Clients.Office.Excel.Functions.SPG(DW134, "SP_COUNTRY_NAME")</f>
        <v>Canada</v>
      </c>
      <c r="EA134" t="s">
        <v>1651</v>
      </c>
      <c r="EB134">
        <v>8354360</v>
      </c>
      <c r="EC134" t="s">
        <v>366</v>
      </c>
      <c r="ED134" s="11">
        <v>0.03</v>
      </c>
      <c r="EE134" s="9" t="str">
        <f>_xll.SNL.Clients.Office.Excel.Functions.SPG(EB134, "SP_COUNTRY_NAME")</f>
        <v>Brazil</v>
      </c>
      <c r="EF134" t="s">
        <v>465</v>
      </c>
      <c r="EG134">
        <v>4119440</v>
      </c>
      <c r="EH134" t="s">
        <v>346</v>
      </c>
      <c r="EI134" s="11">
        <v>0.04</v>
      </c>
      <c r="EJ134" s="9" t="str">
        <f>_xll.SNL.Clients.Office.Excel.Functions.SPG(EG134, "SP_COUNTRY_NAME")</f>
        <v>USA</v>
      </c>
      <c r="EO134" s="9" t="str">
        <f>_xll.SNL.Clients.Office.Excel.Functions.SPG(EL134, "SP_COUNTRY_NAME")</f>
        <v>#INVALID COMPANY ID</v>
      </c>
      <c r="EP134" t="s">
        <v>1478</v>
      </c>
      <c r="EQ134">
        <v>4339354</v>
      </c>
      <c r="ER134" t="s">
        <v>346</v>
      </c>
      <c r="ES134" s="11">
        <v>0</v>
      </c>
      <c r="ET134" s="9" t="str">
        <f>_xll.SNL.Clients.Office.Excel.Functions.SPG(EQ134, "SP_COUNTRY_NAME")</f>
        <v>USA</v>
      </c>
      <c r="EY134" s="9" t="str">
        <f>_xll.SNL.Clients.Office.Excel.Functions.SPG(EV134, "SP_COUNTRY_NAME")</f>
        <v>#INVALID COMPANY ID</v>
      </c>
      <c r="FD134" s="9" t="str">
        <f>_xll.SNL.Clients.Office.Excel.Functions.SPG(FA134, "SP_COUNTRY_NAME")</f>
        <v>#INVALID COMPANY ID</v>
      </c>
      <c r="FI134" s="9" t="str">
        <f>_xll.SNL.Clients.Office.Excel.Functions.SPG(FF134, "SP_COUNTRY_NAME")</f>
        <v>#INVALID COMPANY ID</v>
      </c>
      <c r="FJ134" t="s">
        <v>475</v>
      </c>
      <c r="FK134">
        <v>4115935</v>
      </c>
      <c r="FL134" t="s">
        <v>346</v>
      </c>
      <c r="FM134" s="11">
        <v>0</v>
      </c>
      <c r="FN134" s="9" t="str">
        <f>_xll.SNL.Clients.Office.Excel.Functions.SPG(FK134, "SP_COUNTRY_NAME")</f>
        <v>USA</v>
      </c>
      <c r="FS134" s="9" t="str">
        <f>_xll.SNL.Clients.Office.Excel.Functions.SPG(FP134, "SP_COUNTRY_NAME")</f>
        <v>#INVALID COMPANY ID</v>
      </c>
      <c r="FX134" s="9" t="str">
        <f>_xll.SNL.Clients.Office.Excel.Functions.SPG(FU134, "SP_COUNTRY_NAME")</f>
        <v>#INVALID COMPANY ID</v>
      </c>
      <c r="FY134" t="s">
        <v>465</v>
      </c>
      <c r="FZ134">
        <v>4119440</v>
      </c>
      <c r="GA134" t="s">
        <v>346</v>
      </c>
      <c r="GB134" s="11">
        <v>0.04</v>
      </c>
      <c r="GC134" s="9" t="str">
        <f>_xll.SNL.Clients.Office.Excel.Functions.SPG(FZ134, "SP_COUNTRY_NAME")</f>
        <v>USA</v>
      </c>
      <c r="GH134" s="9" t="str">
        <f>_xll.SNL.Clients.Office.Excel.Functions.SPG(GE134, "SP_COUNTRY_NAME")</f>
        <v>#INVALID COMPANY ID</v>
      </c>
      <c r="GM134" s="9" t="str">
        <f>_xll.SNL.Clients.Office.Excel.Functions.SPG(GJ134, "SP_COUNTRY_NAME")</f>
        <v>#INVALID COMPANY ID</v>
      </c>
      <c r="GN134" t="s">
        <v>475</v>
      </c>
      <c r="GO134">
        <v>4115935</v>
      </c>
      <c r="GP134" t="s">
        <v>346</v>
      </c>
      <c r="GQ134" s="11">
        <v>0</v>
      </c>
      <c r="GR134" s="9" t="str">
        <f>_xll.SNL.Clients.Office.Excel.Functions.SPG(GO134, "SP_COUNTRY_NAME")</f>
        <v>USA</v>
      </c>
      <c r="GS134" t="s">
        <v>894</v>
      </c>
      <c r="GT134">
        <v>4139629</v>
      </c>
      <c r="GU134" t="s">
        <v>346</v>
      </c>
      <c r="GV134" s="11">
        <v>0.01</v>
      </c>
      <c r="GW134" s="9" t="str">
        <f>_xll.SNL.Clients.Office.Excel.Functions.SPG(GT134, "SP_COUNTRY_NAME")</f>
        <v>Singapore</v>
      </c>
      <c r="GX134" t="s">
        <v>1651</v>
      </c>
      <c r="GY134">
        <v>8354360</v>
      </c>
      <c r="GZ134" t="s">
        <v>366</v>
      </c>
      <c r="HA134" s="11">
        <v>0.03</v>
      </c>
      <c r="HB134" s="9" t="str">
        <f>_xll.SNL.Clients.Office.Excel.Functions.SPG(GY134, "SP_COUNTRY_NAME")</f>
        <v>Brazil</v>
      </c>
      <c r="HG134" s="9" t="str">
        <f>_xll.SNL.Clients.Office.Excel.Functions.SPG(HD134, "SP_COUNTRY_NAME")</f>
        <v>#INVALID COMPANY ID</v>
      </c>
    </row>
    <row r="135" spans="5:215" x14ac:dyDescent="0.35">
      <c r="E135" s="9" t="str">
        <f>_xll.SNL.Clients.Office.Excel.Functions.SPG(B135, "SP_COUNTRY_NAME")</f>
        <v>#INVALID COMPANY ID</v>
      </c>
      <c r="F135" t="s">
        <v>522</v>
      </c>
      <c r="G135">
        <v>4118373</v>
      </c>
      <c r="H135" t="s">
        <v>346</v>
      </c>
      <c r="I135" s="11">
        <v>0</v>
      </c>
      <c r="J135" s="9" t="str">
        <f>_xll.SNL.Clients.Office.Excel.Functions.SPG(G135, "SP_COUNTRY_NAME")</f>
        <v>USA</v>
      </c>
      <c r="O135" s="9" t="str">
        <f>_xll.SNL.Clients.Office.Excel.Functions.SPG(L135, "SP_COUNTRY_NAME")</f>
        <v>#INVALID COMPANY ID</v>
      </c>
      <c r="T135" s="9" t="str">
        <f>_xll.SNL.Clients.Office.Excel.Functions.SPG(Q135, "SP_COUNTRY_NAME")</f>
        <v>#INVALID COMPANY ID</v>
      </c>
      <c r="U135" t="s">
        <v>435</v>
      </c>
      <c r="V135">
        <v>109789</v>
      </c>
      <c r="W135" t="s">
        <v>346</v>
      </c>
      <c r="X135" s="11">
        <v>0.02</v>
      </c>
      <c r="Y135" s="9" t="str">
        <f>_xll.SNL.Clients.Office.Excel.Functions.SPG(V135, "SP_COUNTRY_NAME")</f>
        <v>USA</v>
      </c>
      <c r="AD135" s="9" t="str">
        <f>_xll.SNL.Clients.Office.Excel.Functions.SPG(AA135, "SP_COUNTRY_NAME")</f>
        <v>#INVALID COMPANY ID</v>
      </c>
      <c r="AE135" t="s">
        <v>1149</v>
      </c>
      <c r="AF135">
        <v>4227239</v>
      </c>
      <c r="AG135" t="s">
        <v>346</v>
      </c>
      <c r="AH135" s="11">
        <v>0</v>
      </c>
      <c r="AI135" s="9" t="str">
        <f>_xll.SNL.Clients.Office.Excel.Functions.SPG(AF135, "SP_COUNTRY_NAME")</f>
        <v>Austria</v>
      </c>
      <c r="AN135" s="9" t="str">
        <f>_xll.SNL.Clients.Office.Excel.Functions.SPG(AK135, "SP_COUNTRY_NAME")</f>
        <v>#INVALID COMPANY ID</v>
      </c>
      <c r="AO135" t="s">
        <v>977</v>
      </c>
      <c r="AP135">
        <v>4578628</v>
      </c>
      <c r="AQ135" t="s">
        <v>346</v>
      </c>
      <c r="AR135" s="11">
        <v>0.01</v>
      </c>
      <c r="AS135" s="9" t="str">
        <f>_xll.SNL.Clients.Office.Excel.Functions.SPG(AP135, "SP_COUNTRY_NAME")</f>
        <v>USA</v>
      </c>
      <c r="AX135" s="9" t="str">
        <f>_xll.SNL.Clients.Office.Excel.Functions.SPG(AU135, "SP_COUNTRY_NAME")</f>
        <v>#INVALID COMPANY ID</v>
      </c>
      <c r="BC135" s="9" t="str">
        <f>_xll.SNL.Clients.Office.Excel.Functions.SPG(AZ135, "SP_COUNTRY_NAME")</f>
        <v>#INVALID COMPANY ID</v>
      </c>
      <c r="BD135" t="s">
        <v>1260</v>
      </c>
      <c r="BE135">
        <v>4139972</v>
      </c>
      <c r="BF135" t="s">
        <v>346</v>
      </c>
      <c r="BG135" s="11">
        <v>0.04</v>
      </c>
      <c r="BH135" s="9" t="str">
        <f>_xll.SNL.Clients.Office.Excel.Functions.SPG(BE135, "SP_COUNTRY_NAME")</f>
        <v>South Africa</v>
      </c>
      <c r="BI135" t="s">
        <v>1038</v>
      </c>
      <c r="BJ135">
        <v>4137587</v>
      </c>
      <c r="BK135" t="s">
        <v>346</v>
      </c>
      <c r="BL135" s="11">
        <v>0.01</v>
      </c>
      <c r="BM135" s="9" t="str">
        <f>_xll.SNL.Clients.Office.Excel.Functions.SPG(BJ135, "SP_COUNTRY_NAME")</f>
        <v>Denmark</v>
      </c>
      <c r="BN135" t="s">
        <v>747</v>
      </c>
      <c r="BO135">
        <v>4345964</v>
      </c>
      <c r="BP135" t="s">
        <v>346</v>
      </c>
      <c r="BQ135" s="11">
        <v>0.01</v>
      </c>
      <c r="BR135" s="9" t="str">
        <f>_xll.SNL.Clients.Office.Excel.Functions.SPG(BO135, "SP_COUNTRY_NAME")</f>
        <v>China</v>
      </c>
      <c r="BS135" t="s">
        <v>501</v>
      </c>
      <c r="BT135">
        <v>111359</v>
      </c>
      <c r="BU135" t="s">
        <v>346</v>
      </c>
      <c r="BV135" s="11">
        <v>0.02</v>
      </c>
      <c r="BW135" s="9" t="str">
        <f>_xll.SNL.Clients.Office.Excel.Functions.SPG(BT135, "SP_COUNTRY_NAME")</f>
        <v>USA</v>
      </c>
      <c r="BX135" t="s">
        <v>435</v>
      </c>
      <c r="BY135">
        <v>109789</v>
      </c>
      <c r="BZ135" t="s">
        <v>346</v>
      </c>
      <c r="CA135" s="11">
        <v>0.02</v>
      </c>
      <c r="CB135" s="9" t="str">
        <f>_xll.SNL.Clients.Office.Excel.Functions.SPG(BY135, "SP_COUNTRY_NAME")</f>
        <v>USA</v>
      </c>
      <c r="CC135" t="s">
        <v>1652</v>
      </c>
      <c r="CD135">
        <v>4550887</v>
      </c>
      <c r="CE135" t="s">
        <v>364</v>
      </c>
      <c r="CF135" s="11">
        <v>0.03</v>
      </c>
      <c r="CG135" s="9" t="str">
        <f>_xll.SNL.Clients.Office.Excel.Functions.SPG(CD135, "SP_COUNTRY_NAME")</f>
        <v>USA</v>
      </c>
      <c r="CH135" t="s">
        <v>977</v>
      </c>
      <c r="CI135">
        <v>4578628</v>
      </c>
      <c r="CJ135" t="s">
        <v>346</v>
      </c>
      <c r="CK135" s="11">
        <v>0.01</v>
      </c>
      <c r="CL135" s="9" t="str">
        <f>_xll.SNL.Clients.Office.Excel.Functions.SPG(CI135, "SP_COUNTRY_NAME")</f>
        <v>USA</v>
      </c>
      <c r="CM135" t="s">
        <v>1739</v>
      </c>
      <c r="CN135">
        <v>4282430</v>
      </c>
      <c r="CO135" t="s">
        <v>346</v>
      </c>
      <c r="CP135" s="11">
        <v>0.03</v>
      </c>
      <c r="CQ135" s="9" t="str">
        <f>_xll.SNL.Clients.Office.Excel.Functions.SPG(CN135, "SP_COUNTRY_NAME")</f>
        <v>USA</v>
      </c>
      <c r="CV135" s="9" t="str">
        <f>_xll.SNL.Clients.Office.Excel.Functions.SPG(CS135, "SP_COUNTRY_NAME")</f>
        <v>#INVALID COMPANY ID</v>
      </c>
      <c r="DA135" s="9" t="str">
        <f>_xll.SNL.Clients.Office.Excel.Functions.SPG(CX135, "SP_COUNTRY_NAME")</f>
        <v>#INVALID COMPANY ID</v>
      </c>
      <c r="DB135" t="s">
        <v>1260</v>
      </c>
      <c r="DC135">
        <v>4139972</v>
      </c>
      <c r="DD135" t="s">
        <v>346</v>
      </c>
      <c r="DE135" s="11">
        <v>0.04</v>
      </c>
      <c r="DF135" s="9" t="str">
        <f>_xll.SNL.Clients.Office.Excel.Functions.SPG(DC135, "SP_COUNTRY_NAME")</f>
        <v>South Africa</v>
      </c>
      <c r="DK135" s="9" t="str">
        <f>_xll.SNL.Clients.Office.Excel.Functions.SPG(DH135, "SP_COUNTRY_NAME")</f>
        <v>#INVALID COMPANY ID</v>
      </c>
      <c r="DL135" t="s">
        <v>1260</v>
      </c>
      <c r="DM135">
        <v>4139972</v>
      </c>
      <c r="DN135" t="s">
        <v>346</v>
      </c>
      <c r="DO135" s="11">
        <v>0.04</v>
      </c>
      <c r="DP135" s="9" t="str">
        <f>_xll.SNL.Clients.Office.Excel.Functions.SPG(DM135, "SP_COUNTRY_NAME")</f>
        <v>South Africa</v>
      </c>
      <c r="DU135" s="9" t="str">
        <f>_xll.SNL.Clients.Office.Excel.Functions.SPG(DR135, "SP_COUNTRY_NAME")</f>
        <v>#INVALID COMPANY ID</v>
      </c>
      <c r="DV135" t="s">
        <v>925</v>
      </c>
      <c r="DW135">
        <v>4055966</v>
      </c>
      <c r="DX135" t="s">
        <v>346</v>
      </c>
      <c r="DY135" s="11">
        <v>0</v>
      </c>
      <c r="DZ135" s="9" t="str">
        <f>_xll.SNL.Clients.Office.Excel.Functions.SPG(DW135, "SP_COUNTRY_NAME")</f>
        <v>USA</v>
      </c>
      <c r="EA135" t="s">
        <v>1652</v>
      </c>
      <c r="EB135">
        <v>4550887</v>
      </c>
      <c r="EC135" t="s">
        <v>364</v>
      </c>
      <c r="ED135" s="11">
        <v>0.03</v>
      </c>
      <c r="EE135" s="9" t="str">
        <f>_xll.SNL.Clients.Office.Excel.Functions.SPG(EB135, "SP_COUNTRY_NAME")</f>
        <v>USA</v>
      </c>
      <c r="EF135" t="s">
        <v>1260</v>
      </c>
      <c r="EG135">
        <v>4139972</v>
      </c>
      <c r="EH135" t="s">
        <v>346</v>
      </c>
      <c r="EI135" s="11">
        <v>0.04</v>
      </c>
      <c r="EJ135" s="9" t="str">
        <f>_xll.SNL.Clients.Office.Excel.Functions.SPG(EG135, "SP_COUNTRY_NAME")</f>
        <v>South Africa</v>
      </c>
      <c r="EO135" s="9" t="str">
        <f>_xll.SNL.Clients.Office.Excel.Functions.SPG(EL135, "SP_COUNTRY_NAME")</f>
        <v>#INVALID COMPANY ID</v>
      </c>
      <c r="EP135" t="s">
        <v>846</v>
      </c>
      <c r="EQ135">
        <v>5855481</v>
      </c>
      <c r="ER135" t="s">
        <v>346</v>
      </c>
      <c r="ES135" s="11">
        <v>0</v>
      </c>
      <c r="ET135" s="9" t="str">
        <f>_xll.SNL.Clients.Office.Excel.Functions.SPG(EQ135, "SP_COUNTRY_NAME")</f>
        <v>China</v>
      </c>
      <c r="EY135" s="9" t="str">
        <f>_xll.SNL.Clients.Office.Excel.Functions.SPG(EV135, "SP_COUNTRY_NAME")</f>
        <v>#INVALID COMPANY ID</v>
      </c>
      <c r="FD135" s="9" t="str">
        <f>_xll.SNL.Clients.Office.Excel.Functions.SPG(FA135, "SP_COUNTRY_NAME")</f>
        <v>#INVALID COMPANY ID</v>
      </c>
      <c r="FI135" s="9" t="str">
        <f>_xll.SNL.Clients.Office.Excel.Functions.SPG(FF135, "SP_COUNTRY_NAME")</f>
        <v>#INVALID COMPANY ID</v>
      </c>
      <c r="FJ135" t="s">
        <v>499</v>
      </c>
      <c r="FK135">
        <v>4073190</v>
      </c>
      <c r="FL135" t="s">
        <v>346</v>
      </c>
      <c r="FM135" s="11">
        <v>0</v>
      </c>
      <c r="FN135" s="9" t="str">
        <f>_xll.SNL.Clients.Office.Excel.Functions.SPG(FK135, "SP_COUNTRY_NAME")</f>
        <v>USA</v>
      </c>
      <c r="FS135" s="9" t="str">
        <f>_xll.SNL.Clients.Office.Excel.Functions.SPG(FP135, "SP_COUNTRY_NAME")</f>
        <v>#INVALID COMPANY ID</v>
      </c>
      <c r="FX135" s="9" t="str">
        <f>_xll.SNL.Clients.Office.Excel.Functions.SPG(FU135, "SP_COUNTRY_NAME")</f>
        <v>#INVALID COMPANY ID</v>
      </c>
      <c r="FY135" t="s">
        <v>1260</v>
      </c>
      <c r="FZ135">
        <v>4139972</v>
      </c>
      <c r="GA135" t="s">
        <v>346</v>
      </c>
      <c r="GB135" s="11">
        <v>0.04</v>
      </c>
      <c r="GC135" s="9" t="str">
        <f>_xll.SNL.Clients.Office.Excel.Functions.SPG(FZ135, "SP_COUNTRY_NAME")</f>
        <v>South Africa</v>
      </c>
      <c r="GH135" s="9" t="str">
        <f>_xll.SNL.Clients.Office.Excel.Functions.SPG(GE135, "SP_COUNTRY_NAME")</f>
        <v>#INVALID COMPANY ID</v>
      </c>
      <c r="GM135" s="9" t="str">
        <f>_xll.SNL.Clients.Office.Excel.Functions.SPG(GJ135, "SP_COUNTRY_NAME")</f>
        <v>#INVALID COMPANY ID</v>
      </c>
      <c r="GN135" t="s">
        <v>499</v>
      </c>
      <c r="GO135">
        <v>4073190</v>
      </c>
      <c r="GP135" t="s">
        <v>346</v>
      </c>
      <c r="GQ135" s="11">
        <v>0</v>
      </c>
      <c r="GR135" s="9" t="str">
        <f>_xll.SNL.Clients.Office.Excel.Functions.SPG(GO135, "SP_COUNTRY_NAME")</f>
        <v>USA</v>
      </c>
      <c r="GS135" t="s">
        <v>747</v>
      </c>
      <c r="GT135">
        <v>4345964</v>
      </c>
      <c r="GU135" t="s">
        <v>346</v>
      </c>
      <c r="GV135" s="11">
        <v>0.01</v>
      </c>
      <c r="GW135" s="9" t="str">
        <f>_xll.SNL.Clients.Office.Excel.Functions.SPG(GT135, "SP_COUNTRY_NAME")</f>
        <v>China</v>
      </c>
      <c r="GX135" t="s">
        <v>1652</v>
      </c>
      <c r="GY135">
        <v>4550887</v>
      </c>
      <c r="GZ135" t="s">
        <v>364</v>
      </c>
      <c r="HA135" s="11">
        <v>0.03</v>
      </c>
      <c r="HB135" s="9" t="str">
        <f>_xll.SNL.Clients.Office.Excel.Functions.SPG(GY135, "SP_COUNTRY_NAME")</f>
        <v>USA</v>
      </c>
      <c r="HG135" s="9" t="str">
        <f>_xll.SNL.Clients.Office.Excel.Functions.SPG(HD135, "SP_COUNTRY_NAME")</f>
        <v>#INVALID COMPANY ID</v>
      </c>
    </row>
    <row r="136" spans="5:215" x14ac:dyDescent="0.35">
      <c r="E136" s="9" t="str">
        <f>_xll.SNL.Clients.Office.Excel.Functions.SPG(B136, "SP_COUNTRY_NAME")</f>
        <v>#INVALID COMPANY ID</v>
      </c>
      <c r="F136" t="s">
        <v>523</v>
      </c>
      <c r="G136">
        <v>7060057</v>
      </c>
      <c r="H136" t="s">
        <v>346</v>
      </c>
      <c r="I136" s="11">
        <v>0</v>
      </c>
      <c r="J136" s="9" t="str">
        <f>_xll.SNL.Clients.Office.Excel.Functions.SPG(G136, "SP_COUNTRY_NAME")</f>
        <v>Switzerland</v>
      </c>
      <c r="O136" s="9" t="str">
        <f>_xll.SNL.Clients.Office.Excel.Functions.SPG(L136, "SP_COUNTRY_NAME")</f>
        <v>#INVALID COMPANY ID</v>
      </c>
      <c r="T136" s="9" t="str">
        <f>_xll.SNL.Clients.Office.Excel.Functions.SPG(Q136, "SP_COUNTRY_NAME")</f>
        <v>#INVALID COMPANY ID</v>
      </c>
      <c r="U136" t="s">
        <v>752</v>
      </c>
      <c r="V136">
        <v>111272</v>
      </c>
      <c r="W136" t="s">
        <v>346</v>
      </c>
      <c r="X136" s="11">
        <v>0.02</v>
      </c>
      <c r="Y136" s="9" t="str">
        <f>_xll.SNL.Clients.Office.Excel.Functions.SPG(V136, "SP_COUNTRY_NAME")</f>
        <v>United Kingdom</v>
      </c>
      <c r="AD136" s="9" t="str">
        <f>_xll.SNL.Clients.Office.Excel.Functions.SPG(AA136, "SP_COUNTRY_NAME")</f>
        <v>#INVALID COMPANY ID</v>
      </c>
      <c r="AE136" t="s">
        <v>1150</v>
      </c>
      <c r="AF136">
        <v>4235429</v>
      </c>
      <c r="AG136" t="s">
        <v>346</v>
      </c>
      <c r="AH136" s="11">
        <v>0</v>
      </c>
      <c r="AI136" s="9" t="str">
        <f>_xll.SNL.Clients.Office.Excel.Functions.SPG(AF136, "SP_COUNTRY_NAME")</f>
        <v>Canada</v>
      </c>
      <c r="AN136" s="9" t="str">
        <f>_xll.SNL.Clients.Office.Excel.Functions.SPG(AK136, "SP_COUNTRY_NAME")</f>
        <v>#INVALID COMPANY ID</v>
      </c>
      <c r="AO136" t="s">
        <v>529</v>
      </c>
      <c r="AP136">
        <v>110570</v>
      </c>
      <c r="AQ136" t="s">
        <v>346</v>
      </c>
      <c r="AR136" s="11">
        <v>0.01</v>
      </c>
      <c r="AS136" s="9" t="str">
        <f>_xll.SNL.Clients.Office.Excel.Functions.SPG(AP136, "SP_COUNTRY_NAME")</f>
        <v>USA</v>
      </c>
      <c r="AX136" s="9" t="str">
        <f>_xll.SNL.Clients.Office.Excel.Functions.SPG(AU136, "SP_COUNTRY_NAME")</f>
        <v>#INVALID COMPANY ID</v>
      </c>
      <c r="BC136" s="9" t="str">
        <f>_xll.SNL.Clients.Office.Excel.Functions.SPG(AZ136, "SP_COUNTRY_NAME")</f>
        <v>#INVALID COMPANY ID</v>
      </c>
      <c r="BD136" t="s">
        <v>1275</v>
      </c>
      <c r="BE136">
        <v>29629745</v>
      </c>
      <c r="BF136" t="s">
        <v>346</v>
      </c>
      <c r="BG136" s="11">
        <v>0.04</v>
      </c>
      <c r="BH136" s="9" t="str">
        <f>_xll.SNL.Clients.Office.Excel.Functions.SPG(BE136, "SP_COUNTRY_NAME")</f>
        <v>South Africa</v>
      </c>
      <c r="BI136" t="s">
        <v>994</v>
      </c>
      <c r="BJ136">
        <v>19464645</v>
      </c>
      <c r="BK136" t="s">
        <v>346</v>
      </c>
      <c r="BL136" s="11">
        <v>0.01</v>
      </c>
      <c r="BM136" s="9" t="str">
        <f>_xll.SNL.Clients.Office.Excel.Functions.SPG(BJ136, "SP_COUNTRY_NAME")</f>
        <v>Sweden</v>
      </c>
      <c r="BN136" t="s">
        <v>666</v>
      </c>
      <c r="BO136">
        <v>4379197</v>
      </c>
      <c r="BP136" t="s">
        <v>346</v>
      </c>
      <c r="BQ136" s="11">
        <v>0.01</v>
      </c>
      <c r="BR136" s="9" t="str">
        <f>_xll.SNL.Clients.Office.Excel.Functions.SPG(BO136, "SP_COUNTRY_NAME")</f>
        <v>China</v>
      </c>
      <c r="BS136" t="s">
        <v>484</v>
      </c>
      <c r="BT136">
        <v>110386</v>
      </c>
      <c r="BU136" t="s">
        <v>346</v>
      </c>
      <c r="BV136" s="11">
        <v>0.02</v>
      </c>
      <c r="BW136" s="9" t="str">
        <f>_xll.SNL.Clients.Office.Excel.Functions.SPG(BT136, "SP_COUNTRY_NAME")</f>
        <v>USA</v>
      </c>
      <c r="BX136" t="s">
        <v>752</v>
      </c>
      <c r="BY136">
        <v>111272</v>
      </c>
      <c r="BZ136" t="s">
        <v>346</v>
      </c>
      <c r="CA136" s="11">
        <v>0.02</v>
      </c>
      <c r="CB136" s="9" t="str">
        <f>_xll.SNL.Clients.Office.Excel.Functions.SPG(BY136, "SP_COUNTRY_NAME")</f>
        <v>United Kingdom</v>
      </c>
      <c r="CC136" t="s">
        <v>492</v>
      </c>
      <c r="CD136">
        <v>110674</v>
      </c>
      <c r="CE136" t="s">
        <v>346</v>
      </c>
      <c r="CF136" s="11">
        <v>0.03</v>
      </c>
      <c r="CG136" s="9" t="str">
        <f>_xll.SNL.Clients.Office.Excel.Functions.SPG(CD136, "SP_COUNTRY_NAME")</f>
        <v>USA</v>
      </c>
      <c r="CH136" t="s">
        <v>529</v>
      </c>
      <c r="CI136">
        <v>110570</v>
      </c>
      <c r="CJ136" t="s">
        <v>346</v>
      </c>
      <c r="CK136" s="11">
        <v>0.01</v>
      </c>
      <c r="CL136" s="9" t="str">
        <f>_xll.SNL.Clients.Office.Excel.Functions.SPG(CI136, "SP_COUNTRY_NAME")</f>
        <v>USA</v>
      </c>
      <c r="CM136" t="s">
        <v>471</v>
      </c>
      <c r="CN136">
        <v>4102247</v>
      </c>
      <c r="CO136" t="s">
        <v>346</v>
      </c>
      <c r="CP136" s="11">
        <v>0.03</v>
      </c>
      <c r="CQ136" s="9" t="str">
        <f>_xll.SNL.Clients.Office.Excel.Functions.SPG(CN136, "SP_COUNTRY_NAME")</f>
        <v>USA</v>
      </c>
      <c r="CV136" s="9" t="str">
        <f>_xll.SNL.Clients.Office.Excel.Functions.SPG(CS136, "SP_COUNTRY_NAME")</f>
        <v>#INVALID COMPANY ID</v>
      </c>
      <c r="DA136" s="9" t="str">
        <f>_xll.SNL.Clients.Office.Excel.Functions.SPG(CX136, "SP_COUNTRY_NAME")</f>
        <v>#INVALID COMPANY ID</v>
      </c>
      <c r="DB136" t="s">
        <v>1275</v>
      </c>
      <c r="DC136">
        <v>29629745</v>
      </c>
      <c r="DD136" t="s">
        <v>346</v>
      </c>
      <c r="DE136" s="11">
        <v>0.04</v>
      </c>
      <c r="DF136" s="9" t="str">
        <f>_xll.SNL.Clients.Office.Excel.Functions.SPG(DC136, "SP_COUNTRY_NAME")</f>
        <v>South Africa</v>
      </c>
      <c r="DK136" s="9" t="str">
        <f>_xll.SNL.Clients.Office.Excel.Functions.SPG(DH136, "SP_COUNTRY_NAME")</f>
        <v>#INVALID COMPANY ID</v>
      </c>
      <c r="DL136" t="s">
        <v>1275</v>
      </c>
      <c r="DM136">
        <v>29629745</v>
      </c>
      <c r="DN136" t="s">
        <v>346</v>
      </c>
      <c r="DO136" s="11">
        <v>0.04</v>
      </c>
      <c r="DP136" s="9" t="str">
        <f>_xll.SNL.Clients.Office.Excel.Functions.SPG(DM136, "SP_COUNTRY_NAME")</f>
        <v>South Africa</v>
      </c>
      <c r="DU136" s="9" t="str">
        <f>_xll.SNL.Clients.Office.Excel.Functions.SPG(DR136, "SP_COUNTRY_NAME")</f>
        <v>#INVALID COMPANY ID</v>
      </c>
      <c r="DV136" t="s">
        <v>418</v>
      </c>
      <c r="DW136">
        <v>109776</v>
      </c>
      <c r="DX136" t="s">
        <v>346</v>
      </c>
      <c r="DY136" s="11">
        <v>0</v>
      </c>
      <c r="DZ136" s="9" t="str">
        <f>_xll.SNL.Clients.Office.Excel.Functions.SPG(DW136, "SP_COUNTRY_NAME")</f>
        <v>USA</v>
      </c>
      <c r="EA136" t="s">
        <v>492</v>
      </c>
      <c r="EB136">
        <v>110674</v>
      </c>
      <c r="EC136" t="s">
        <v>346</v>
      </c>
      <c r="ED136" s="11">
        <v>0.03</v>
      </c>
      <c r="EE136" s="9" t="str">
        <f>_xll.SNL.Clients.Office.Excel.Functions.SPG(EB136, "SP_COUNTRY_NAME")</f>
        <v>USA</v>
      </c>
      <c r="EF136" t="s">
        <v>1275</v>
      </c>
      <c r="EG136">
        <v>29629745</v>
      </c>
      <c r="EH136" t="s">
        <v>346</v>
      </c>
      <c r="EI136" s="11">
        <v>0.04</v>
      </c>
      <c r="EJ136" s="9" t="str">
        <f>_xll.SNL.Clients.Office.Excel.Functions.SPG(EG136, "SP_COUNTRY_NAME")</f>
        <v>South Africa</v>
      </c>
      <c r="EO136" s="9" t="str">
        <f>_xll.SNL.Clients.Office.Excel.Functions.SPG(EL136, "SP_COUNTRY_NAME")</f>
        <v>#INVALID COMPANY ID</v>
      </c>
      <c r="EP136" t="s">
        <v>746</v>
      </c>
      <c r="EQ136">
        <v>4332537</v>
      </c>
      <c r="ER136" t="s">
        <v>346</v>
      </c>
      <c r="ES136" s="11">
        <v>0</v>
      </c>
      <c r="ET136" s="9" t="str">
        <f>_xll.SNL.Clients.Office.Excel.Functions.SPG(EQ136, "SP_COUNTRY_NAME")</f>
        <v>China</v>
      </c>
      <c r="EY136" s="9" t="str">
        <f>_xll.SNL.Clients.Office.Excel.Functions.SPG(EV136, "SP_COUNTRY_NAME")</f>
        <v>#INVALID COMPANY ID</v>
      </c>
      <c r="FD136" s="9" t="str">
        <f>_xll.SNL.Clients.Office.Excel.Functions.SPG(FA136, "SP_COUNTRY_NAME")</f>
        <v>#INVALID COMPANY ID</v>
      </c>
      <c r="FI136" s="9" t="str">
        <f>_xll.SNL.Clients.Office.Excel.Functions.SPG(FF136, "SP_COUNTRY_NAME")</f>
        <v>#INVALID COMPANY ID</v>
      </c>
      <c r="FJ136" t="s">
        <v>979</v>
      </c>
      <c r="FK136">
        <v>4041196</v>
      </c>
      <c r="FL136" t="s">
        <v>366</v>
      </c>
      <c r="FM136" s="11">
        <v>0</v>
      </c>
      <c r="FN136" s="9" t="str">
        <f>_xll.SNL.Clients.Office.Excel.Functions.SPG(FK136, "SP_COUNTRY_NAME")</f>
        <v>United Kingdom</v>
      </c>
      <c r="FS136" s="9" t="str">
        <f>_xll.SNL.Clients.Office.Excel.Functions.SPG(FP136, "SP_COUNTRY_NAME")</f>
        <v>#INVALID COMPANY ID</v>
      </c>
      <c r="FX136" s="9" t="str">
        <f>_xll.SNL.Clients.Office.Excel.Functions.SPG(FU136, "SP_COUNTRY_NAME")</f>
        <v>#INVALID COMPANY ID</v>
      </c>
      <c r="FY136" t="s">
        <v>1275</v>
      </c>
      <c r="FZ136">
        <v>29629745</v>
      </c>
      <c r="GA136" t="s">
        <v>346</v>
      </c>
      <c r="GB136" s="11">
        <v>0.04</v>
      </c>
      <c r="GC136" s="9" t="str">
        <f>_xll.SNL.Clients.Office.Excel.Functions.SPG(FZ136, "SP_COUNTRY_NAME")</f>
        <v>South Africa</v>
      </c>
      <c r="GH136" s="9" t="str">
        <f>_xll.SNL.Clients.Office.Excel.Functions.SPG(GE136, "SP_COUNTRY_NAME")</f>
        <v>#INVALID COMPANY ID</v>
      </c>
      <c r="GM136" s="9" t="str">
        <f>_xll.SNL.Clients.Office.Excel.Functions.SPG(GJ136, "SP_COUNTRY_NAME")</f>
        <v>#INVALID COMPANY ID</v>
      </c>
      <c r="GN136" t="s">
        <v>979</v>
      </c>
      <c r="GO136">
        <v>4041196</v>
      </c>
      <c r="GP136" t="s">
        <v>366</v>
      </c>
      <c r="GQ136" s="11">
        <v>0</v>
      </c>
      <c r="GR136" s="9" t="str">
        <f>_xll.SNL.Clients.Office.Excel.Functions.SPG(GO136, "SP_COUNTRY_NAME")</f>
        <v>United Kingdom</v>
      </c>
      <c r="GS136" t="s">
        <v>666</v>
      </c>
      <c r="GT136">
        <v>4379197</v>
      </c>
      <c r="GU136" t="s">
        <v>346</v>
      </c>
      <c r="GV136" s="11">
        <v>0.01</v>
      </c>
      <c r="GW136" s="9" t="str">
        <f>_xll.SNL.Clients.Office.Excel.Functions.SPG(GT136, "SP_COUNTRY_NAME")</f>
        <v>China</v>
      </c>
      <c r="GX136" t="s">
        <v>492</v>
      </c>
      <c r="GY136">
        <v>110674</v>
      </c>
      <c r="GZ136" t="s">
        <v>346</v>
      </c>
      <c r="HA136" s="11">
        <v>0.03</v>
      </c>
      <c r="HB136" s="9" t="str">
        <f>_xll.SNL.Clients.Office.Excel.Functions.SPG(GY136, "SP_COUNTRY_NAME")</f>
        <v>USA</v>
      </c>
      <c r="HG136" s="9" t="str">
        <f>_xll.SNL.Clients.Office.Excel.Functions.SPG(HD136, "SP_COUNTRY_NAME")</f>
        <v>#INVALID COMPANY ID</v>
      </c>
    </row>
    <row r="137" spans="5:215" x14ac:dyDescent="0.35">
      <c r="E137" s="9" t="str">
        <f>_xll.SNL.Clients.Office.Excel.Functions.SPG(B137, "SP_COUNTRY_NAME")</f>
        <v>#INVALID COMPANY ID</v>
      </c>
      <c r="F137" t="s">
        <v>524</v>
      </c>
      <c r="G137">
        <v>4147331</v>
      </c>
      <c r="H137" t="s">
        <v>346</v>
      </c>
      <c r="I137" s="11">
        <v>0</v>
      </c>
      <c r="J137" s="9" t="str">
        <f>_xll.SNL.Clients.Office.Excel.Functions.SPG(G137, "SP_COUNTRY_NAME")</f>
        <v>United Kingdom</v>
      </c>
      <c r="O137" s="9" t="str">
        <f>_xll.SNL.Clients.Office.Excel.Functions.SPG(L137, "SP_COUNTRY_NAME")</f>
        <v>#INVALID COMPANY ID</v>
      </c>
      <c r="T137" s="9" t="str">
        <f>_xll.SNL.Clients.Office.Excel.Functions.SPG(Q137, "SP_COUNTRY_NAME")</f>
        <v>#INVALID COMPANY ID</v>
      </c>
      <c r="U137" t="s">
        <v>753</v>
      </c>
      <c r="V137">
        <v>10499632</v>
      </c>
      <c r="W137" t="s">
        <v>363</v>
      </c>
      <c r="X137" s="11">
        <v>0.02</v>
      </c>
      <c r="Y137" s="9" t="str">
        <f>_xll.SNL.Clients.Office.Excel.Functions.SPG(V137, "SP_COUNTRY_NAME")</f>
        <v>United Kingdom</v>
      </c>
      <c r="AD137" s="9" t="str">
        <f>_xll.SNL.Clients.Office.Excel.Functions.SPG(AA137, "SP_COUNTRY_NAME")</f>
        <v>#INVALID COMPANY ID</v>
      </c>
      <c r="AE137" t="s">
        <v>1151</v>
      </c>
      <c r="AF137">
        <v>5847707</v>
      </c>
      <c r="AG137" t="s">
        <v>346</v>
      </c>
      <c r="AH137" s="11">
        <v>0</v>
      </c>
      <c r="AI137" s="9" t="str">
        <f>_xll.SNL.Clients.Office.Excel.Functions.SPG(AF137, "SP_COUNTRY_NAME")</f>
        <v>Canada</v>
      </c>
      <c r="AN137" s="9" t="str">
        <f>_xll.SNL.Clients.Office.Excel.Functions.SPG(AK137, "SP_COUNTRY_NAME")</f>
        <v>#INVALID COMPANY ID</v>
      </c>
      <c r="AO137" t="s">
        <v>1298</v>
      </c>
      <c r="AP137">
        <v>112262714</v>
      </c>
      <c r="AQ137" t="s">
        <v>346</v>
      </c>
      <c r="AR137" s="11">
        <v>0.01</v>
      </c>
      <c r="AS137" s="9" t="str">
        <f>_xll.SNL.Clients.Office.Excel.Functions.SPG(AP137, "SP_COUNTRY_NAME")</f>
        <v>#INVALID COMPANY ID</v>
      </c>
      <c r="AX137" s="9" t="str">
        <f>_xll.SNL.Clients.Office.Excel.Functions.SPG(AU137, "SP_COUNTRY_NAME")</f>
        <v>#INVALID COMPANY ID</v>
      </c>
      <c r="BC137" s="9" t="str">
        <f>_xll.SNL.Clients.Office.Excel.Functions.SPG(AZ137, "SP_COUNTRY_NAME")</f>
        <v>#INVALID COMPANY ID</v>
      </c>
      <c r="BD137" t="s">
        <v>355</v>
      </c>
      <c r="BE137">
        <v>111074</v>
      </c>
      <c r="BF137" t="s">
        <v>346</v>
      </c>
      <c r="BG137" s="11">
        <v>0.04</v>
      </c>
      <c r="BH137" s="9" t="str">
        <f>_xll.SNL.Clients.Office.Excel.Functions.SPG(BE137, "SP_COUNTRY_NAME")</f>
        <v>USA</v>
      </c>
      <c r="BI137" t="s">
        <v>851</v>
      </c>
      <c r="BJ137">
        <v>4405395</v>
      </c>
      <c r="BK137" t="s">
        <v>346</v>
      </c>
      <c r="BL137" s="11">
        <v>0.01</v>
      </c>
      <c r="BM137" s="9" t="str">
        <f>_xll.SNL.Clients.Office.Excel.Functions.SPG(BJ137, "SP_COUNTRY_NAME")</f>
        <v>United Kingdom</v>
      </c>
      <c r="BN137" t="s">
        <v>751</v>
      </c>
      <c r="BO137">
        <v>4574748</v>
      </c>
      <c r="BP137" t="s">
        <v>346</v>
      </c>
      <c r="BQ137" s="11">
        <v>0.01</v>
      </c>
      <c r="BR137" s="9" t="str">
        <f>_xll.SNL.Clients.Office.Excel.Functions.SPG(BO137, "SP_COUNTRY_NAME")</f>
        <v>China</v>
      </c>
      <c r="BS137" t="s">
        <v>973</v>
      </c>
      <c r="BT137">
        <v>101449874</v>
      </c>
      <c r="BU137" t="s">
        <v>346</v>
      </c>
      <c r="BV137" s="11">
        <v>0.02</v>
      </c>
      <c r="BW137" s="9" t="str">
        <f>_xll.SNL.Clients.Office.Excel.Functions.SPG(BT137, "SP_COUNTRY_NAME")</f>
        <v>Italy</v>
      </c>
      <c r="BX137" t="s">
        <v>753</v>
      </c>
      <c r="BY137">
        <v>10499632</v>
      </c>
      <c r="BZ137" t="s">
        <v>363</v>
      </c>
      <c r="CA137" s="11">
        <v>0.02</v>
      </c>
      <c r="CB137" s="9" t="str">
        <f>_xll.SNL.Clients.Office.Excel.Functions.SPG(BY137, "SP_COUNTRY_NAME")</f>
        <v>United Kingdom</v>
      </c>
      <c r="CC137" t="s">
        <v>1653</v>
      </c>
      <c r="CD137">
        <v>16908562</v>
      </c>
      <c r="CE137" t="s">
        <v>346</v>
      </c>
      <c r="CF137" s="11">
        <v>0.03</v>
      </c>
      <c r="CG137" s="9" t="str">
        <f>_xll.SNL.Clients.Office.Excel.Functions.SPG(CD137, "SP_COUNTRY_NAME")</f>
        <v>Brazil</v>
      </c>
      <c r="CH137" t="s">
        <v>1298</v>
      </c>
      <c r="CI137">
        <v>112262714</v>
      </c>
      <c r="CJ137" t="s">
        <v>346</v>
      </c>
      <c r="CK137" s="11">
        <v>0.01</v>
      </c>
      <c r="CL137" s="9" t="str">
        <f>_xll.SNL.Clients.Office.Excel.Functions.SPG(CI137, "SP_COUNTRY_NAME")</f>
        <v>#INVALID COMPANY ID</v>
      </c>
      <c r="CM137" t="s">
        <v>1971</v>
      </c>
      <c r="CN137">
        <v>7609147</v>
      </c>
      <c r="CO137" t="s">
        <v>346</v>
      </c>
      <c r="CP137" s="11">
        <v>0.03</v>
      </c>
      <c r="CQ137" s="9" t="str">
        <f>_xll.SNL.Clients.Office.Excel.Functions.SPG(CN137, "SP_COUNTRY_NAME")</f>
        <v>Spain</v>
      </c>
      <c r="CV137" s="9" t="str">
        <f>_xll.SNL.Clients.Office.Excel.Functions.SPG(CS137, "SP_COUNTRY_NAME")</f>
        <v>#INVALID COMPANY ID</v>
      </c>
      <c r="DA137" s="9" t="str">
        <f>_xll.SNL.Clients.Office.Excel.Functions.SPG(CX137, "SP_COUNTRY_NAME")</f>
        <v>#INVALID COMPANY ID</v>
      </c>
      <c r="DB137" t="s">
        <v>355</v>
      </c>
      <c r="DC137">
        <v>111074</v>
      </c>
      <c r="DD137" t="s">
        <v>346</v>
      </c>
      <c r="DE137" s="11">
        <v>0.04</v>
      </c>
      <c r="DF137" s="9" t="str">
        <f>_xll.SNL.Clients.Office.Excel.Functions.SPG(DC137, "SP_COUNTRY_NAME")</f>
        <v>USA</v>
      </c>
      <c r="DK137" s="9" t="str">
        <f>_xll.SNL.Clients.Office.Excel.Functions.SPG(DH137, "SP_COUNTRY_NAME")</f>
        <v>#INVALID COMPANY ID</v>
      </c>
      <c r="DL137" t="s">
        <v>355</v>
      </c>
      <c r="DM137">
        <v>111074</v>
      </c>
      <c r="DN137" t="s">
        <v>346</v>
      </c>
      <c r="DO137" s="11">
        <v>0.04</v>
      </c>
      <c r="DP137" s="9" t="str">
        <f>_xll.SNL.Clients.Office.Excel.Functions.SPG(DM137, "SP_COUNTRY_NAME")</f>
        <v>USA</v>
      </c>
      <c r="DU137" s="9" t="str">
        <f>_xll.SNL.Clients.Office.Excel.Functions.SPG(DR137, "SP_COUNTRY_NAME")</f>
        <v>#INVALID COMPANY ID</v>
      </c>
      <c r="DZ137" s="9" t="str">
        <f>_xll.SNL.Clients.Office.Excel.Functions.SPG(DW137, "SP_COUNTRY_NAME")</f>
        <v>#INVALID COMPANY ID</v>
      </c>
      <c r="EA137" t="s">
        <v>1653</v>
      </c>
      <c r="EB137">
        <v>16908562</v>
      </c>
      <c r="EC137" t="s">
        <v>346</v>
      </c>
      <c r="ED137" s="11">
        <v>0.03</v>
      </c>
      <c r="EE137" s="9" t="str">
        <f>_xll.SNL.Clients.Office.Excel.Functions.SPG(EB137, "SP_COUNTRY_NAME")</f>
        <v>Brazil</v>
      </c>
      <c r="EF137" t="s">
        <v>355</v>
      </c>
      <c r="EG137">
        <v>111074</v>
      </c>
      <c r="EH137" t="s">
        <v>346</v>
      </c>
      <c r="EI137" s="11">
        <v>0.04</v>
      </c>
      <c r="EJ137" s="9" t="str">
        <f>_xll.SNL.Clients.Office.Excel.Functions.SPG(EG137, "SP_COUNTRY_NAME")</f>
        <v>USA</v>
      </c>
      <c r="EO137" s="9" t="str">
        <f>_xll.SNL.Clients.Office.Excel.Functions.SPG(EL137, "SP_COUNTRY_NAME")</f>
        <v>#INVALID COMPANY ID</v>
      </c>
      <c r="EP137" t="s">
        <v>405</v>
      </c>
      <c r="EQ137">
        <v>4035990</v>
      </c>
      <c r="ER137" t="s">
        <v>346</v>
      </c>
      <c r="ES137" s="11">
        <v>0</v>
      </c>
      <c r="ET137" s="9" t="str">
        <f>_xll.SNL.Clients.Office.Excel.Functions.SPG(EQ137, "SP_COUNTRY_NAME")</f>
        <v>Canada</v>
      </c>
      <c r="EY137" s="9" t="str">
        <f>_xll.SNL.Clients.Office.Excel.Functions.SPG(EV137, "SP_COUNTRY_NAME")</f>
        <v>#INVALID COMPANY ID</v>
      </c>
      <c r="FD137" s="9" t="str">
        <f>_xll.SNL.Clients.Office.Excel.Functions.SPG(FA137, "SP_COUNTRY_NAME")</f>
        <v>#INVALID COMPANY ID</v>
      </c>
      <c r="FI137" s="9" t="str">
        <f>_xll.SNL.Clients.Office.Excel.Functions.SPG(FF137, "SP_COUNTRY_NAME")</f>
        <v>#INVALID COMPANY ID</v>
      </c>
      <c r="FJ137" t="s">
        <v>451</v>
      </c>
      <c r="FK137">
        <v>5747632</v>
      </c>
      <c r="FL137" t="s">
        <v>346</v>
      </c>
      <c r="FM137" s="11">
        <v>0</v>
      </c>
      <c r="FN137" s="9" t="str">
        <f>_xll.SNL.Clients.Office.Excel.Functions.SPG(FK137, "SP_COUNTRY_NAME")</f>
        <v>Canada</v>
      </c>
      <c r="FS137" s="9" t="str">
        <f>_xll.SNL.Clients.Office.Excel.Functions.SPG(FP137, "SP_COUNTRY_NAME")</f>
        <v>#INVALID COMPANY ID</v>
      </c>
      <c r="FX137" s="9" t="str">
        <f>_xll.SNL.Clients.Office.Excel.Functions.SPG(FU137, "SP_COUNTRY_NAME")</f>
        <v>#INVALID COMPANY ID</v>
      </c>
      <c r="FY137" t="s">
        <v>355</v>
      </c>
      <c r="FZ137">
        <v>111074</v>
      </c>
      <c r="GA137" t="s">
        <v>346</v>
      </c>
      <c r="GB137" s="11">
        <v>0.04</v>
      </c>
      <c r="GC137" s="9" t="str">
        <f>_xll.SNL.Clients.Office.Excel.Functions.SPG(FZ137, "SP_COUNTRY_NAME")</f>
        <v>USA</v>
      </c>
      <c r="GH137" s="9" t="str">
        <f>_xll.SNL.Clients.Office.Excel.Functions.SPG(GE137, "SP_COUNTRY_NAME")</f>
        <v>#INVALID COMPANY ID</v>
      </c>
      <c r="GM137" s="9" t="str">
        <f>_xll.SNL.Clients.Office.Excel.Functions.SPG(GJ137, "SP_COUNTRY_NAME")</f>
        <v>#INVALID COMPANY ID</v>
      </c>
      <c r="GN137" t="s">
        <v>451</v>
      </c>
      <c r="GO137">
        <v>5747632</v>
      </c>
      <c r="GP137" t="s">
        <v>346</v>
      </c>
      <c r="GQ137" s="11">
        <v>0</v>
      </c>
      <c r="GR137" s="9" t="str">
        <f>_xll.SNL.Clients.Office.Excel.Functions.SPG(GO137, "SP_COUNTRY_NAME")</f>
        <v>Canada</v>
      </c>
      <c r="GS137" t="s">
        <v>751</v>
      </c>
      <c r="GT137">
        <v>4574748</v>
      </c>
      <c r="GU137" t="s">
        <v>346</v>
      </c>
      <c r="GV137" s="11">
        <v>0.01</v>
      </c>
      <c r="GW137" s="9" t="str">
        <f>_xll.SNL.Clients.Office.Excel.Functions.SPG(GT137, "SP_COUNTRY_NAME")</f>
        <v>China</v>
      </c>
      <c r="GX137" t="s">
        <v>1653</v>
      </c>
      <c r="GY137">
        <v>16908562</v>
      </c>
      <c r="GZ137" t="s">
        <v>346</v>
      </c>
      <c r="HA137" s="11">
        <v>0.03</v>
      </c>
      <c r="HB137" s="9" t="str">
        <f>_xll.SNL.Clients.Office.Excel.Functions.SPG(GY137, "SP_COUNTRY_NAME")</f>
        <v>Brazil</v>
      </c>
      <c r="HG137" s="9" t="str">
        <f>_xll.SNL.Clients.Office.Excel.Functions.SPG(HD137, "SP_COUNTRY_NAME")</f>
        <v>#INVALID COMPANY ID</v>
      </c>
    </row>
    <row r="138" spans="5:215" x14ac:dyDescent="0.35">
      <c r="E138" s="9" t="str">
        <f>_xll.SNL.Clients.Office.Excel.Functions.SPG(B138, "SP_COUNTRY_NAME")</f>
        <v>#INVALID COMPANY ID</v>
      </c>
      <c r="F138" t="s">
        <v>525</v>
      </c>
      <c r="G138">
        <v>4227087</v>
      </c>
      <c r="H138" t="s">
        <v>346</v>
      </c>
      <c r="I138" s="11">
        <v>0</v>
      </c>
      <c r="J138" s="9" t="str">
        <f>_xll.SNL.Clients.Office.Excel.Functions.SPG(G138, "SP_COUNTRY_NAME")</f>
        <v>Germany</v>
      </c>
      <c r="O138" s="9" t="str">
        <f>_xll.SNL.Clients.Office.Excel.Functions.SPG(L138, "SP_COUNTRY_NAME")</f>
        <v>#INVALID COMPANY ID</v>
      </c>
      <c r="T138" s="9" t="str">
        <f>_xll.SNL.Clients.Office.Excel.Functions.SPG(Q138, "SP_COUNTRY_NAME")</f>
        <v>#INVALID COMPANY ID</v>
      </c>
      <c r="U138" t="s">
        <v>560</v>
      </c>
      <c r="V138">
        <v>4095848</v>
      </c>
      <c r="W138" t="s">
        <v>346</v>
      </c>
      <c r="X138" s="11">
        <v>0.02</v>
      </c>
      <c r="Y138" s="9" t="str">
        <f>_xll.SNL.Clients.Office.Excel.Functions.SPG(V138, "SP_COUNTRY_NAME")</f>
        <v>USA</v>
      </c>
      <c r="AD138" s="9" t="str">
        <f>_xll.SNL.Clients.Office.Excel.Functions.SPG(AA138, "SP_COUNTRY_NAME")</f>
        <v>#INVALID COMPANY ID</v>
      </c>
      <c r="AE138" t="s">
        <v>1152</v>
      </c>
      <c r="AF138">
        <v>4789854</v>
      </c>
      <c r="AG138" t="s">
        <v>346</v>
      </c>
      <c r="AH138" s="11">
        <v>0</v>
      </c>
      <c r="AI138" s="9" t="str">
        <f>_xll.SNL.Clients.Office.Excel.Functions.SPG(AF138, "SP_COUNTRY_NAME")</f>
        <v>Poland</v>
      </c>
      <c r="AN138" s="9" t="str">
        <f>_xll.SNL.Clients.Office.Excel.Functions.SPG(AK138, "SP_COUNTRY_NAME")</f>
        <v>#INVALID COMPANY ID</v>
      </c>
      <c r="AO138" t="s">
        <v>1049</v>
      </c>
      <c r="AP138">
        <v>5767537</v>
      </c>
      <c r="AQ138" t="s">
        <v>365</v>
      </c>
      <c r="AR138" s="11">
        <v>0.01</v>
      </c>
      <c r="AS138" s="9" t="str">
        <f>_xll.SNL.Clients.Office.Excel.Functions.SPG(AP138, "SP_COUNTRY_NAME")</f>
        <v>Switzerland</v>
      </c>
      <c r="AX138" s="9" t="str">
        <f>_xll.SNL.Clients.Office.Excel.Functions.SPG(AU138, "SP_COUNTRY_NAME")</f>
        <v>#INVALID COMPANY ID</v>
      </c>
      <c r="BC138" s="9" t="str">
        <f>_xll.SNL.Clients.Office.Excel.Functions.SPG(AZ138, "SP_COUNTRY_NAME")</f>
        <v>#INVALID COMPANY ID</v>
      </c>
      <c r="BD138" t="s">
        <v>477</v>
      </c>
      <c r="BE138">
        <v>4119790</v>
      </c>
      <c r="BF138" t="s">
        <v>346</v>
      </c>
      <c r="BG138" s="11">
        <v>0.04</v>
      </c>
      <c r="BH138" s="9" t="str">
        <f>_xll.SNL.Clients.Office.Excel.Functions.SPG(BE138, "SP_COUNTRY_NAME")</f>
        <v>USA</v>
      </c>
      <c r="BI138" t="s">
        <v>425</v>
      </c>
      <c r="BJ138">
        <v>4137704</v>
      </c>
      <c r="BK138" t="s">
        <v>346</v>
      </c>
      <c r="BL138" s="11">
        <v>0.01</v>
      </c>
      <c r="BM138" s="9" t="str">
        <f>_xll.SNL.Clients.Office.Excel.Functions.SPG(BJ138, "SP_COUNTRY_NAME")</f>
        <v>Japan</v>
      </c>
      <c r="BN138" t="s">
        <v>786</v>
      </c>
      <c r="BO138">
        <v>4954984</v>
      </c>
      <c r="BP138" t="s">
        <v>346</v>
      </c>
      <c r="BQ138" s="11">
        <v>0.01</v>
      </c>
      <c r="BR138" s="9" t="str">
        <f>_xll.SNL.Clients.Office.Excel.Functions.SPG(BO138, "SP_COUNTRY_NAME")</f>
        <v>China</v>
      </c>
      <c r="BS138" t="s">
        <v>393</v>
      </c>
      <c r="BT138">
        <v>4723508</v>
      </c>
      <c r="BU138" t="s">
        <v>346</v>
      </c>
      <c r="BV138" s="11">
        <v>0.02</v>
      </c>
      <c r="BW138" s="9" t="str">
        <f>_xll.SNL.Clients.Office.Excel.Functions.SPG(BT138, "SP_COUNTRY_NAME")</f>
        <v>United Kingdom</v>
      </c>
      <c r="BX138" t="s">
        <v>560</v>
      </c>
      <c r="BY138">
        <v>4095848</v>
      </c>
      <c r="BZ138" t="s">
        <v>346</v>
      </c>
      <c r="CA138" s="11">
        <v>0.02</v>
      </c>
      <c r="CB138" s="9" t="str">
        <f>_xll.SNL.Clients.Office.Excel.Functions.SPG(BY138, "SP_COUNTRY_NAME")</f>
        <v>USA</v>
      </c>
      <c r="CC138" t="s">
        <v>1654</v>
      </c>
      <c r="CD138">
        <v>4112715</v>
      </c>
      <c r="CE138" t="s">
        <v>346</v>
      </c>
      <c r="CF138" s="11">
        <v>0.03</v>
      </c>
      <c r="CG138" s="9" t="str">
        <f>_xll.SNL.Clients.Office.Excel.Functions.SPG(CD138, "SP_COUNTRY_NAME")</f>
        <v>USA</v>
      </c>
      <c r="CH138" t="s">
        <v>1049</v>
      </c>
      <c r="CI138">
        <v>5767537</v>
      </c>
      <c r="CJ138" t="s">
        <v>365</v>
      </c>
      <c r="CK138" s="11">
        <v>0.01</v>
      </c>
      <c r="CL138" s="9" t="str">
        <f>_xll.SNL.Clients.Office.Excel.Functions.SPG(CI138, "SP_COUNTRY_NAME")</f>
        <v>Switzerland</v>
      </c>
      <c r="CM138" t="s">
        <v>1972</v>
      </c>
      <c r="CN138">
        <v>16894363</v>
      </c>
      <c r="CO138" t="s">
        <v>364</v>
      </c>
      <c r="CP138" s="11">
        <v>0.03</v>
      </c>
      <c r="CQ138" s="9" t="str">
        <f>_xll.SNL.Clients.Office.Excel.Functions.SPG(CN138, "SP_COUNTRY_NAME")</f>
        <v>USA</v>
      </c>
      <c r="CV138" s="9" t="str">
        <f>_xll.SNL.Clients.Office.Excel.Functions.SPG(CS138, "SP_COUNTRY_NAME")</f>
        <v>#INVALID COMPANY ID</v>
      </c>
      <c r="DA138" s="9" t="str">
        <f>_xll.SNL.Clients.Office.Excel.Functions.SPG(CX138, "SP_COUNTRY_NAME")</f>
        <v>#INVALID COMPANY ID</v>
      </c>
      <c r="DB138" t="s">
        <v>477</v>
      </c>
      <c r="DC138">
        <v>4119790</v>
      </c>
      <c r="DD138" t="s">
        <v>346</v>
      </c>
      <c r="DE138" s="11">
        <v>0.04</v>
      </c>
      <c r="DF138" s="9" t="str">
        <f>_xll.SNL.Clients.Office.Excel.Functions.SPG(DC138, "SP_COUNTRY_NAME")</f>
        <v>USA</v>
      </c>
      <c r="DK138" s="9" t="str">
        <f>_xll.SNL.Clients.Office.Excel.Functions.SPG(DH138, "SP_COUNTRY_NAME")</f>
        <v>#INVALID COMPANY ID</v>
      </c>
      <c r="DL138" t="s">
        <v>477</v>
      </c>
      <c r="DM138">
        <v>4119790</v>
      </c>
      <c r="DN138" t="s">
        <v>346</v>
      </c>
      <c r="DO138" s="11">
        <v>0.04</v>
      </c>
      <c r="DP138" s="9" t="str">
        <f>_xll.SNL.Clients.Office.Excel.Functions.SPG(DM138, "SP_COUNTRY_NAME")</f>
        <v>USA</v>
      </c>
      <c r="DU138" s="9" t="str">
        <f>_xll.SNL.Clients.Office.Excel.Functions.SPG(DR138, "SP_COUNTRY_NAME")</f>
        <v>#INVALID COMPANY ID</v>
      </c>
      <c r="DZ138" s="9" t="str">
        <f>_xll.SNL.Clients.Office.Excel.Functions.SPG(DW138, "SP_COUNTRY_NAME")</f>
        <v>#INVALID COMPANY ID</v>
      </c>
      <c r="EA138" t="s">
        <v>1654</v>
      </c>
      <c r="EB138">
        <v>4112715</v>
      </c>
      <c r="EC138" t="s">
        <v>346</v>
      </c>
      <c r="ED138" s="11">
        <v>0.03</v>
      </c>
      <c r="EE138" s="9" t="str">
        <f>_xll.SNL.Clients.Office.Excel.Functions.SPG(EB138, "SP_COUNTRY_NAME")</f>
        <v>USA</v>
      </c>
      <c r="EF138" t="s">
        <v>477</v>
      </c>
      <c r="EG138">
        <v>4119790</v>
      </c>
      <c r="EH138" t="s">
        <v>346</v>
      </c>
      <c r="EI138" s="11">
        <v>0.04</v>
      </c>
      <c r="EJ138" s="9" t="str">
        <f>_xll.SNL.Clients.Office.Excel.Functions.SPG(EG138, "SP_COUNTRY_NAME")</f>
        <v>USA</v>
      </c>
      <c r="EO138" s="9" t="str">
        <f>_xll.SNL.Clients.Office.Excel.Functions.SPG(EL138, "SP_COUNTRY_NAME")</f>
        <v>#INVALID COMPANY ID</v>
      </c>
      <c r="EP138" t="s">
        <v>897</v>
      </c>
      <c r="EQ138">
        <v>19438254</v>
      </c>
      <c r="ER138" t="s">
        <v>346</v>
      </c>
      <c r="ES138" s="11">
        <v>0</v>
      </c>
      <c r="ET138" s="9" t="str">
        <f>_xll.SNL.Clients.Office.Excel.Functions.SPG(EQ138, "SP_COUNTRY_NAME")</f>
        <v>China</v>
      </c>
      <c r="EY138" s="9" t="str">
        <f>_xll.SNL.Clients.Office.Excel.Functions.SPG(EV138, "SP_COUNTRY_NAME")</f>
        <v>#INVALID COMPANY ID</v>
      </c>
      <c r="FD138" s="9" t="str">
        <f>_xll.SNL.Clients.Office.Excel.Functions.SPG(FA138, "SP_COUNTRY_NAME")</f>
        <v>#INVALID COMPANY ID</v>
      </c>
      <c r="FI138" s="9" t="str">
        <f>_xll.SNL.Clients.Office.Excel.Functions.SPG(FF138, "SP_COUNTRY_NAME")</f>
        <v>#INVALID COMPANY ID</v>
      </c>
      <c r="FJ138" t="s">
        <v>823</v>
      </c>
      <c r="FK138">
        <v>4212913</v>
      </c>
      <c r="FL138" t="s">
        <v>346</v>
      </c>
      <c r="FM138" s="11">
        <v>0</v>
      </c>
      <c r="FN138" s="9" t="str">
        <f>_xll.SNL.Clients.Office.Excel.Functions.SPG(FK138, "SP_COUNTRY_NAME")</f>
        <v>Taiwan</v>
      </c>
      <c r="FS138" s="9" t="str">
        <f>_xll.SNL.Clients.Office.Excel.Functions.SPG(FP138, "SP_COUNTRY_NAME")</f>
        <v>#INVALID COMPANY ID</v>
      </c>
      <c r="FX138" s="9" t="str">
        <f>_xll.SNL.Clients.Office.Excel.Functions.SPG(FU138, "SP_COUNTRY_NAME")</f>
        <v>#INVALID COMPANY ID</v>
      </c>
      <c r="FY138" t="s">
        <v>477</v>
      </c>
      <c r="FZ138">
        <v>4119790</v>
      </c>
      <c r="GA138" t="s">
        <v>346</v>
      </c>
      <c r="GB138" s="11">
        <v>0.04</v>
      </c>
      <c r="GC138" s="9" t="str">
        <f>_xll.SNL.Clients.Office.Excel.Functions.SPG(FZ138, "SP_COUNTRY_NAME")</f>
        <v>USA</v>
      </c>
      <c r="GH138" s="9" t="str">
        <f>_xll.SNL.Clients.Office.Excel.Functions.SPG(GE138, "SP_COUNTRY_NAME")</f>
        <v>#INVALID COMPANY ID</v>
      </c>
      <c r="GM138" s="9" t="str">
        <f>_xll.SNL.Clients.Office.Excel.Functions.SPG(GJ138, "SP_COUNTRY_NAME")</f>
        <v>#INVALID COMPANY ID</v>
      </c>
      <c r="GN138" t="s">
        <v>823</v>
      </c>
      <c r="GO138">
        <v>4212913</v>
      </c>
      <c r="GP138" t="s">
        <v>346</v>
      </c>
      <c r="GQ138" s="11">
        <v>0</v>
      </c>
      <c r="GR138" s="9" t="str">
        <f>_xll.SNL.Clients.Office.Excel.Functions.SPG(GO138, "SP_COUNTRY_NAME")</f>
        <v>Taiwan</v>
      </c>
      <c r="GS138" t="s">
        <v>786</v>
      </c>
      <c r="GT138">
        <v>4954984</v>
      </c>
      <c r="GU138" t="s">
        <v>346</v>
      </c>
      <c r="GV138" s="11">
        <v>0.01</v>
      </c>
      <c r="GW138" s="9" t="str">
        <f>_xll.SNL.Clients.Office.Excel.Functions.SPG(GT138, "SP_COUNTRY_NAME")</f>
        <v>China</v>
      </c>
      <c r="GX138" t="s">
        <v>1654</v>
      </c>
      <c r="GY138">
        <v>4112715</v>
      </c>
      <c r="GZ138" t="s">
        <v>346</v>
      </c>
      <c r="HA138" s="11">
        <v>0.03</v>
      </c>
      <c r="HB138" s="9" t="str">
        <f>_xll.SNL.Clients.Office.Excel.Functions.SPG(GY138, "SP_COUNTRY_NAME")</f>
        <v>USA</v>
      </c>
      <c r="HG138" s="9" t="str">
        <f>_xll.SNL.Clients.Office.Excel.Functions.SPG(HD138, "SP_COUNTRY_NAME")</f>
        <v>#INVALID COMPANY ID</v>
      </c>
    </row>
    <row r="139" spans="5:215" x14ac:dyDescent="0.35">
      <c r="E139" s="9" t="str">
        <f>_xll.SNL.Clients.Office.Excel.Functions.SPG(B139, "SP_COUNTRY_NAME")</f>
        <v>#INVALID COMPANY ID</v>
      </c>
      <c r="F139" t="s">
        <v>526</v>
      </c>
      <c r="G139">
        <v>4248288</v>
      </c>
      <c r="H139" t="s">
        <v>346</v>
      </c>
      <c r="I139" s="11">
        <v>0</v>
      </c>
      <c r="J139" s="9" t="str">
        <f>_xll.SNL.Clients.Office.Excel.Functions.SPG(G139, "SP_COUNTRY_NAME")</f>
        <v>Canada</v>
      </c>
      <c r="O139" s="9" t="str">
        <f>_xll.SNL.Clients.Office.Excel.Functions.SPG(L139, "SP_COUNTRY_NAME")</f>
        <v>#INVALID COMPANY ID</v>
      </c>
      <c r="T139" s="9" t="str">
        <f>_xll.SNL.Clients.Office.Excel.Functions.SPG(Q139, "SP_COUNTRY_NAME")</f>
        <v>#INVALID COMPANY ID</v>
      </c>
      <c r="U139" t="s">
        <v>543</v>
      </c>
      <c r="V139">
        <v>4138118</v>
      </c>
      <c r="W139" t="s">
        <v>346</v>
      </c>
      <c r="X139" s="11">
        <v>0.02</v>
      </c>
      <c r="Y139" s="9" t="str">
        <f>_xll.SNL.Clients.Office.Excel.Functions.SPG(V139, "SP_COUNTRY_NAME")</f>
        <v>Hong Kong</v>
      </c>
      <c r="AD139" s="9" t="str">
        <f>_xll.SNL.Clients.Office.Excel.Functions.SPG(AA139, "SP_COUNTRY_NAME")</f>
        <v>#INVALID COMPANY ID</v>
      </c>
      <c r="AE139" t="s">
        <v>1153</v>
      </c>
      <c r="AF139">
        <v>4929448</v>
      </c>
      <c r="AG139" t="s">
        <v>346</v>
      </c>
      <c r="AH139" s="11">
        <v>0</v>
      </c>
      <c r="AI139" s="9" t="str">
        <f>_xll.SNL.Clients.Office.Excel.Functions.SPG(AF139, "SP_COUNTRY_NAME")</f>
        <v>Canada</v>
      </c>
      <c r="AN139" s="9" t="str">
        <f>_xll.SNL.Clients.Office.Excel.Functions.SPG(AK139, "SP_COUNTRY_NAME")</f>
        <v>#INVALID COMPANY ID</v>
      </c>
      <c r="AO139" t="s">
        <v>923</v>
      </c>
      <c r="AP139">
        <v>4119489</v>
      </c>
      <c r="AQ139" t="s">
        <v>346</v>
      </c>
      <c r="AR139" s="11">
        <v>0.01</v>
      </c>
      <c r="AS139" s="9" t="str">
        <f>_xll.SNL.Clients.Office.Excel.Functions.SPG(AP139, "SP_COUNTRY_NAME")</f>
        <v>USA</v>
      </c>
      <c r="AX139" s="9" t="str">
        <f>_xll.SNL.Clients.Office.Excel.Functions.SPG(AU139, "SP_COUNTRY_NAME")</f>
        <v>#INVALID COMPANY ID</v>
      </c>
      <c r="BC139" s="9" t="str">
        <f>_xll.SNL.Clients.Office.Excel.Functions.SPG(AZ139, "SP_COUNTRY_NAME")</f>
        <v>#INVALID COMPANY ID</v>
      </c>
      <c r="BD139" t="s">
        <v>1433</v>
      </c>
      <c r="BE139">
        <v>4139773</v>
      </c>
      <c r="BF139" t="s">
        <v>346</v>
      </c>
      <c r="BG139" s="11">
        <v>0.04</v>
      </c>
      <c r="BH139" s="9" t="str">
        <f>_xll.SNL.Clients.Office.Excel.Functions.SPG(BE139, "SP_COUNTRY_NAME")</f>
        <v>United Kingdom</v>
      </c>
      <c r="BI139" t="s">
        <v>499</v>
      </c>
      <c r="BJ139">
        <v>4073190</v>
      </c>
      <c r="BK139" t="s">
        <v>346</v>
      </c>
      <c r="BL139" s="11">
        <v>0.01</v>
      </c>
      <c r="BM139" s="9" t="str">
        <f>_xll.SNL.Clients.Office.Excel.Functions.SPG(BJ139, "SP_COUNTRY_NAME")</f>
        <v>USA</v>
      </c>
      <c r="BN139" t="s">
        <v>774</v>
      </c>
      <c r="BO139">
        <v>20057752</v>
      </c>
      <c r="BP139" t="s">
        <v>346</v>
      </c>
      <c r="BQ139" s="11">
        <v>0.01</v>
      </c>
      <c r="BR139" s="9" t="str">
        <f>_xll.SNL.Clients.Office.Excel.Functions.SPG(BO139, "SP_COUNTRY_NAME")</f>
        <v>China</v>
      </c>
      <c r="BS139" t="s">
        <v>738</v>
      </c>
      <c r="BT139">
        <v>4138005</v>
      </c>
      <c r="BU139" t="s">
        <v>369</v>
      </c>
      <c r="BV139" s="11">
        <v>0.02</v>
      </c>
      <c r="BW139" s="9" t="str">
        <f>_xll.SNL.Clients.Office.Excel.Functions.SPG(BT139, "SP_COUNTRY_NAME")</f>
        <v>Hong Kong</v>
      </c>
      <c r="BX139" t="s">
        <v>543</v>
      </c>
      <c r="BY139">
        <v>4138118</v>
      </c>
      <c r="BZ139" t="s">
        <v>346</v>
      </c>
      <c r="CA139" s="11">
        <v>0.02</v>
      </c>
      <c r="CB139" s="9" t="str">
        <f>_xll.SNL.Clients.Office.Excel.Functions.SPG(BY139, "SP_COUNTRY_NAME")</f>
        <v>Hong Kong</v>
      </c>
      <c r="CC139" t="s">
        <v>1655</v>
      </c>
      <c r="CD139">
        <v>4026057</v>
      </c>
      <c r="CE139" t="s">
        <v>346</v>
      </c>
      <c r="CF139" s="11">
        <v>0.03</v>
      </c>
      <c r="CG139" s="9" t="str">
        <f>_xll.SNL.Clients.Office.Excel.Functions.SPG(CD139, "SP_COUNTRY_NAME")</f>
        <v>USA</v>
      </c>
      <c r="CH139" t="s">
        <v>923</v>
      </c>
      <c r="CI139">
        <v>4119489</v>
      </c>
      <c r="CJ139" t="s">
        <v>346</v>
      </c>
      <c r="CK139" s="11">
        <v>0.01</v>
      </c>
      <c r="CL139" s="9" t="str">
        <f>_xll.SNL.Clients.Office.Excel.Functions.SPG(CI139, "SP_COUNTRY_NAME")</f>
        <v>USA</v>
      </c>
      <c r="CM139" t="s">
        <v>1973</v>
      </c>
      <c r="CN139">
        <v>4251523</v>
      </c>
      <c r="CO139" t="s">
        <v>364</v>
      </c>
      <c r="CP139" s="11">
        <v>0.03</v>
      </c>
      <c r="CQ139" s="9" t="str">
        <f>_xll.SNL.Clients.Office.Excel.Functions.SPG(CN139, "SP_COUNTRY_NAME")</f>
        <v>USA</v>
      </c>
      <c r="CV139" s="9" t="str">
        <f>_xll.SNL.Clients.Office.Excel.Functions.SPG(CS139, "SP_COUNTRY_NAME")</f>
        <v>#INVALID COMPANY ID</v>
      </c>
      <c r="DA139" s="9" t="str">
        <f>_xll.SNL.Clients.Office.Excel.Functions.SPG(CX139, "SP_COUNTRY_NAME")</f>
        <v>#INVALID COMPANY ID</v>
      </c>
      <c r="DB139" t="s">
        <v>1433</v>
      </c>
      <c r="DC139">
        <v>4139773</v>
      </c>
      <c r="DD139" t="s">
        <v>346</v>
      </c>
      <c r="DE139" s="11">
        <v>0.04</v>
      </c>
      <c r="DF139" s="9" t="str">
        <f>_xll.SNL.Clients.Office.Excel.Functions.SPG(DC139, "SP_COUNTRY_NAME")</f>
        <v>United Kingdom</v>
      </c>
      <c r="DK139" s="9" t="str">
        <f>_xll.SNL.Clients.Office.Excel.Functions.SPG(DH139, "SP_COUNTRY_NAME")</f>
        <v>#INVALID COMPANY ID</v>
      </c>
      <c r="DL139" t="s">
        <v>1433</v>
      </c>
      <c r="DM139">
        <v>4139773</v>
      </c>
      <c r="DN139" t="s">
        <v>346</v>
      </c>
      <c r="DO139" s="11">
        <v>0.04</v>
      </c>
      <c r="DP139" s="9" t="str">
        <f>_xll.SNL.Clients.Office.Excel.Functions.SPG(DM139, "SP_COUNTRY_NAME")</f>
        <v>United Kingdom</v>
      </c>
      <c r="DU139" s="9" t="str">
        <f>_xll.SNL.Clients.Office.Excel.Functions.SPG(DR139, "SP_COUNTRY_NAME")</f>
        <v>#INVALID COMPANY ID</v>
      </c>
      <c r="DZ139" s="9" t="str">
        <f>_xll.SNL.Clients.Office.Excel.Functions.SPG(DW139, "SP_COUNTRY_NAME")</f>
        <v>#INVALID COMPANY ID</v>
      </c>
      <c r="EA139" t="s">
        <v>1655</v>
      </c>
      <c r="EB139">
        <v>4026057</v>
      </c>
      <c r="EC139" t="s">
        <v>346</v>
      </c>
      <c r="ED139" s="11">
        <v>0.03</v>
      </c>
      <c r="EE139" s="9" t="str">
        <f>_xll.SNL.Clients.Office.Excel.Functions.SPG(EB139, "SP_COUNTRY_NAME")</f>
        <v>USA</v>
      </c>
      <c r="EF139" t="s">
        <v>1433</v>
      </c>
      <c r="EG139">
        <v>4139773</v>
      </c>
      <c r="EH139" t="s">
        <v>346</v>
      </c>
      <c r="EI139" s="11">
        <v>0.04</v>
      </c>
      <c r="EJ139" s="9" t="str">
        <f>_xll.SNL.Clients.Office.Excel.Functions.SPG(EG139, "SP_COUNTRY_NAME")</f>
        <v>United Kingdom</v>
      </c>
      <c r="EO139" s="9" t="str">
        <f>_xll.SNL.Clients.Office.Excel.Functions.SPG(EL139, "SP_COUNTRY_NAME")</f>
        <v>#INVALID COMPANY ID</v>
      </c>
      <c r="EP139" t="s">
        <v>656</v>
      </c>
      <c r="EQ139">
        <v>5826475</v>
      </c>
      <c r="ER139" t="s">
        <v>346</v>
      </c>
      <c r="ES139" s="11">
        <v>0</v>
      </c>
      <c r="ET139" s="9" t="str">
        <f>_xll.SNL.Clients.Office.Excel.Functions.SPG(EQ139, "SP_COUNTRY_NAME")</f>
        <v>China</v>
      </c>
      <c r="EY139" s="9" t="str">
        <f>_xll.SNL.Clients.Office.Excel.Functions.SPG(EV139, "SP_COUNTRY_NAME")</f>
        <v>#INVALID COMPANY ID</v>
      </c>
      <c r="FD139" s="9" t="str">
        <f>_xll.SNL.Clients.Office.Excel.Functions.SPG(FA139, "SP_COUNTRY_NAME")</f>
        <v>#INVALID COMPANY ID</v>
      </c>
      <c r="FI139" s="9" t="str">
        <f>_xll.SNL.Clients.Office.Excel.Functions.SPG(FF139, "SP_COUNTRY_NAME")</f>
        <v>#INVALID COMPANY ID</v>
      </c>
      <c r="FJ139" t="s">
        <v>589</v>
      </c>
      <c r="FK139">
        <v>4140617</v>
      </c>
      <c r="FL139" t="s">
        <v>346</v>
      </c>
      <c r="FM139" s="11">
        <v>0</v>
      </c>
      <c r="FN139" s="9" t="str">
        <f>_xll.SNL.Clients.Office.Excel.Functions.SPG(FK139, "SP_COUNTRY_NAME")</f>
        <v>Switzerland</v>
      </c>
      <c r="FS139" s="9" t="str">
        <f>_xll.SNL.Clients.Office.Excel.Functions.SPG(FP139, "SP_COUNTRY_NAME")</f>
        <v>#INVALID COMPANY ID</v>
      </c>
      <c r="FX139" s="9" t="str">
        <f>_xll.SNL.Clients.Office.Excel.Functions.SPG(FU139, "SP_COUNTRY_NAME")</f>
        <v>#INVALID COMPANY ID</v>
      </c>
      <c r="FY139" t="s">
        <v>1433</v>
      </c>
      <c r="FZ139">
        <v>4139773</v>
      </c>
      <c r="GA139" t="s">
        <v>346</v>
      </c>
      <c r="GB139" s="11">
        <v>0.04</v>
      </c>
      <c r="GC139" s="9" t="str">
        <f>_xll.SNL.Clients.Office.Excel.Functions.SPG(FZ139, "SP_COUNTRY_NAME")</f>
        <v>United Kingdom</v>
      </c>
      <c r="GH139" s="9" t="str">
        <f>_xll.SNL.Clients.Office.Excel.Functions.SPG(GE139, "SP_COUNTRY_NAME")</f>
        <v>#INVALID COMPANY ID</v>
      </c>
      <c r="GM139" s="9" t="str">
        <f>_xll.SNL.Clients.Office.Excel.Functions.SPG(GJ139, "SP_COUNTRY_NAME")</f>
        <v>#INVALID COMPANY ID</v>
      </c>
      <c r="GN139" t="s">
        <v>589</v>
      </c>
      <c r="GO139">
        <v>4140617</v>
      </c>
      <c r="GP139" t="s">
        <v>346</v>
      </c>
      <c r="GQ139" s="11">
        <v>0</v>
      </c>
      <c r="GR139" s="9" t="str">
        <f>_xll.SNL.Clients.Office.Excel.Functions.SPG(GO139, "SP_COUNTRY_NAME")</f>
        <v>Switzerland</v>
      </c>
      <c r="GS139" t="s">
        <v>774</v>
      </c>
      <c r="GT139">
        <v>20057752</v>
      </c>
      <c r="GU139" t="s">
        <v>346</v>
      </c>
      <c r="GV139" s="11">
        <v>0.01</v>
      </c>
      <c r="GW139" s="9" t="str">
        <f>_xll.SNL.Clients.Office.Excel.Functions.SPG(GT139, "SP_COUNTRY_NAME")</f>
        <v>China</v>
      </c>
      <c r="GX139" t="s">
        <v>1655</v>
      </c>
      <c r="GY139">
        <v>4026057</v>
      </c>
      <c r="GZ139" t="s">
        <v>346</v>
      </c>
      <c r="HA139" s="11">
        <v>0.03</v>
      </c>
      <c r="HB139" s="9" t="str">
        <f>_xll.SNL.Clients.Office.Excel.Functions.SPG(GY139, "SP_COUNTRY_NAME")</f>
        <v>USA</v>
      </c>
      <c r="HG139" s="9" t="str">
        <f>_xll.SNL.Clients.Office.Excel.Functions.SPG(HD139, "SP_COUNTRY_NAME")</f>
        <v>#INVALID COMPANY ID</v>
      </c>
    </row>
    <row r="140" spans="5:215" x14ac:dyDescent="0.35">
      <c r="E140" s="9" t="str">
        <f>_xll.SNL.Clients.Office.Excel.Functions.SPG(B140, "SP_COUNTRY_NAME")</f>
        <v>#INVALID COMPANY ID</v>
      </c>
      <c r="F140" t="s">
        <v>527</v>
      </c>
      <c r="G140">
        <v>4212947</v>
      </c>
      <c r="H140" t="s">
        <v>346</v>
      </c>
      <c r="I140" s="11">
        <v>0</v>
      </c>
      <c r="J140" s="9" t="str">
        <f>_xll.SNL.Clients.Office.Excel.Functions.SPG(G140, "SP_COUNTRY_NAME")</f>
        <v>Japan</v>
      </c>
      <c r="O140" s="9" t="str">
        <f>_xll.SNL.Clients.Office.Excel.Functions.SPG(L140, "SP_COUNTRY_NAME")</f>
        <v>#INVALID COMPANY ID</v>
      </c>
      <c r="T140" s="9" t="str">
        <f>_xll.SNL.Clients.Office.Excel.Functions.SPG(Q140, "SP_COUNTRY_NAME")</f>
        <v>#INVALID COMPANY ID</v>
      </c>
      <c r="U140" t="s">
        <v>754</v>
      </c>
      <c r="V140">
        <v>11183019</v>
      </c>
      <c r="W140" t="s">
        <v>346</v>
      </c>
      <c r="X140" s="11">
        <v>0.02</v>
      </c>
      <c r="Y140" s="9" t="str">
        <f>_xll.SNL.Clients.Office.Excel.Functions.SPG(V140, "SP_COUNTRY_NAME")</f>
        <v>China</v>
      </c>
      <c r="AD140" s="9" t="str">
        <f>_xll.SNL.Clients.Office.Excel.Functions.SPG(AA140, "SP_COUNTRY_NAME")</f>
        <v>#INVALID COMPANY ID</v>
      </c>
      <c r="AE140" t="s">
        <v>1154</v>
      </c>
      <c r="AF140">
        <v>4125909</v>
      </c>
      <c r="AG140" t="s">
        <v>346</v>
      </c>
      <c r="AH140" s="11">
        <v>0</v>
      </c>
      <c r="AI140" s="9" t="str">
        <f>_xll.SNL.Clients.Office.Excel.Functions.SPG(AF140, "SP_COUNTRY_NAME")</f>
        <v>Sweden</v>
      </c>
      <c r="AN140" s="9" t="str">
        <f>_xll.SNL.Clients.Office.Excel.Functions.SPG(AK140, "SP_COUNTRY_NAME")</f>
        <v>#INVALID COMPANY ID</v>
      </c>
      <c r="AO140" t="s">
        <v>1299</v>
      </c>
      <c r="AP140">
        <v>4277357</v>
      </c>
      <c r="AQ140" t="s">
        <v>346</v>
      </c>
      <c r="AR140" s="11">
        <v>0.01</v>
      </c>
      <c r="AS140" s="9" t="str">
        <f>_xll.SNL.Clients.Office.Excel.Functions.SPG(AP140, "SP_COUNTRY_NAME")</f>
        <v>South Africa</v>
      </c>
      <c r="AX140" s="9" t="str">
        <f>_xll.SNL.Clients.Office.Excel.Functions.SPG(AU140, "SP_COUNTRY_NAME")</f>
        <v>#INVALID COMPANY ID</v>
      </c>
      <c r="BC140" s="9" t="str">
        <f>_xll.SNL.Clients.Office.Excel.Functions.SPG(AZ140, "SP_COUNTRY_NAME")</f>
        <v>#INVALID COMPANY ID</v>
      </c>
      <c r="BD140" t="s">
        <v>1434</v>
      </c>
      <c r="BE140">
        <v>4437851</v>
      </c>
      <c r="BF140" t="s">
        <v>346</v>
      </c>
      <c r="BG140" s="11">
        <v>0.04</v>
      </c>
      <c r="BH140" s="9" t="str">
        <f>_xll.SNL.Clients.Office.Excel.Functions.SPG(BE140, "SP_COUNTRY_NAME")</f>
        <v>USA</v>
      </c>
      <c r="BI140" t="s">
        <v>475</v>
      </c>
      <c r="BJ140">
        <v>4115935</v>
      </c>
      <c r="BK140" t="s">
        <v>346</v>
      </c>
      <c r="BL140" s="11">
        <v>0.01</v>
      </c>
      <c r="BM140" s="9" t="str">
        <f>_xll.SNL.Clients.Office.Excel.Functions.SPG(BJ140, "SP_COUNTRY_NAME")</f>
        <v>USA</v>
      </c>
      <c r="BN140" t="s">
        <v>830</v>
      </c>
      <c r="BO140">
        <v>4621446</v>
      </c>
      <c r="BP140" t="s">
        <v>346</v>
      </c>
      <c r="BQ140" s="11">
        <v>0.01</v>
      </c>
      <c r="BR140" s="9" t="str">
        <f>_xll.SNL.Clients.Office.Excel.Functions.SPG(BO140, "SP_COUNTRY_NAME")</f>
        <v>China</v>
      </c>
      <c r="BS140" t="s">
        <v>797</v>
      </c>
      <c r="BT140">
        <v>4138761</v>
      </c>
      <c r="BU140" t="s">
        <v>346</v>
      </c>
      <c r="BV140" s="11">
        <v>0.02</v>
      </c>
      <c r="BW140" s="9" t="str">
        <f>_xll.SNL.Clients.Office.Excel.Functions.SPG(BT140, "SP_COUNTRY_NAME")</f>
        <v>China</v>
      </c>
      <c r="BX140" t="s">
        <v>754</v>
      </c>
      <c r="BY140">
        <v>11183019</v>
      </c>
      <c r="BZ140" t="s">
        <v>346</v>
      </c>
      <c r="CA140" s="11">
        <v>0.02</v>
      </c>
      <c r="CB140" s="9" t="str">
        <f>_xll.SNL.Clients.Office.Excel.Functions.SPG(BY140, "SP_COUNTRY_NAME")</f>
        <v>China</v>
      </c>
      <c r="CC140" t="s">
        <v>1656</v>
      </c>
      <c r="CD140">
        <v>4250319</v>
      </c>
      <c r="CE140" t="s">
        <v>364</v>
      </c>
      <c r="CF140" s="11">
        <v>0.03</v>
      </c>
      <c r="CG140" s="9" t="str">
        <f>_xll.SNL.Clients.Office.Excel.Functions.SPG(CD140, "SP_COUNTRY_NAME")</f>
        <v>Chile</v>
      </c>
      <c r="CH140" t="s">
        <v>1299</v>
      </c>
      <c r="CI140">
        <v>4277357</v>
      </c>
      <c r="CJ140" t="s">
        <v>346</v>
      </c>
      <c r="CK140" s="11">
        <v>0.01</v>
      </c>
      <c r="CL140" s="9" t="str">
        <f>_xll.SNL.Clients.Office.Excel.Functions.SPG(CI140, "SP_COUNTRY_NAME")</f>
        <v>South Africa</v>
      </c>
      <c r="CM140" t="s">
        <v>1683</v>
      </c>
      <c r="CN140">
        <v>4572787</v>
      </c>
      <c r="CO140" t="s">
        <v>364</v>
      </c>
      <c r="CP140" s="11">
        <v>0.03</v>
      </c>
      <c r="CQ140" s="9" t="str">
        <f>_xll.SNL.Clients.Office.Excel.Functions.SPG(CN140, "SP_COUNTRY_NAME")</f>
        <v>USA</v>
      </c>
      <c r="CV140" s="9" t="str">
        <f>_xll.SNL.Clients.Office.Excel.Functions.SPG(CS140, "SP_COUNTRY_NAME")</f>
        <v>#INVALID COMPANY ID</v>
      </c>
      <c r="DA140" s="9" t="str">
        <f>_xll.SNL.Clients.Office.Excel.Functions.SPG(CX140, "SP_COUNTRY_NAME")</f>
        <v>#INVALID COMPANY ID</v>
      </c>
      <c r="DB140" t="s">
        <v>1434</v>
      </c>
      <c r="DC140">
        <v>4437851</v>
      </c>
      <c r="DD140" t="s">
        <v>346</v>
      </c>
      <c r="DE140" s="11">
        <v>0.04</v>
      </c>
      <c r="DF140" s="9" t="str">
        <f>_xll.SNL.Clients.Office.Excel.Functions.SPG(DC140, "SP_COUNTRY_NAME")</f>
        <v>USA</v>
      </c>
      <c r="DK140" s="9" t="str">
        <f>_xll.SNL.Clients.Office.Excel.Functions.SPG(DH140, "SP_COUNTRY_NAME")</f>
        <v>#INVALID COMPANY ID</v>
      </c>
      <c r="DL140" t="s">
        <v>1434</v>
      </c>
      <c r="DM140">
        <v>4437851</v>
      </c>
      <c r="DN140" t="s">
        <v>346</v>
      </c>
      <c r="DO140" s="11">
        <v>0.04</v>
      </c>
      <c r="DP140" s="9" t="str">
        <f>_xll.SNL.Clients.Office.Excel.Functions.SPG(DM140, "SP_COUNTRY_NAME")</f>
        <v>USA</v>
      </c>
      <c r="DU140" s="9" t="str">
        <f>_xll.SNL.Clients.Office.Excel.Functions.SPG(DR140, "SP_COUNTRY_NAME")</f>
        <v>#INVALID COMPANY ID</v>
      </c>
      <c r="DZ140" s="9" t="str">
        <f>_xll.SNL.Clients.Office.Excel.Functions.SPG(DW140, "SP_COUNTRY_NAME")</f>
        <v>#INVALID COMPANY ID</v>
      </c>
      <c r="EA140" t="s">
        <v>1656</v>
      </c>
      <c r="EB140">
        <v>4250319</v>
      </c>
      <c r="EC140" t="s">
        <v>364</v>
      </c>
      <c r="ED140" s="11">
        <v>0.03</v>
      </c>
      <c r="EE140" s="9" t="str">
        <f>_xll.SNL.Clients.Office.Excel.Functions.SPG(EB140, "SP_COUNTRY_NAME")</f>
        <v>Chile</v>
      </c>
      <c r="EF140" t="s">
        <v>1434</v>
      </c>
      <c r="EG140">
        <v>4437851</v>
      </c>
      <c r="EH140" t="s">
        <v>346</v>
      </c>
      <c r="EI140" s="11">
        <v>0.04</v>
      </c>
      <c r="EJ140" s="9" t="str">
        <f>_xll.SNL.Clients.Office.Excel.Functions.SPG(EG140, "SP_COUNTRY_NAME")</f>
        <v>USA</v>
      </c>
      <c r="EO140" s="9" t="str">
        <f>_xll.SNL.Clients.Office.Excel.Functions.SPG(EL140, "SP_COUNTRY_NAME")</f>
        <v>#INVALID COMPANY ID</v>
      </c>
      <c r="EP140" t="s">
        <v>806</v>
      </c>
      <c r="EQ140">
        <v>4140536</v>
      </c>
      <c r="ER140" t="s">
        <v>346</v>
      </c>
      <c r="ES140" s="11">
        <v>0</v>
      </c>
      <c r="ET140" s="9" t="str">
        <f>_xll.SNL.Clients.Office.Excel.Functions.SPG(EQ140, "SP_COUNTRY_NAME")</f>
        <v>China</v>
      </c>
      <c r="EY140" s="9" t="str">
        <f>_xll.SNL.Clients.Office.Excel.Functions.SPG(EV140, "SP_COUNTRY_NAME")</f>
        <v>#INVALID COMPANY ID</v>
      </c>
      <c r="FD140" s="9" t="str">
        <f>_xll.SNL.Clients.Office.Excel.Functions.SPG(FA140, "SP_COUNTRY_NAME")</f>
        <v>#INVALID COMPANY ID</v>
      </c>
      <c r="FI140" s="9" t="str">
        <f>_xll.SNL.Clients.Office.Excel.Functions.SPG(FF140, "SP_COUNTRY_NAME")</f>
        <v>#INVALID COMPANY ID</v>
      </c>
      <c r="FN140" s="9" t="str">
        <f>_xll.SNL.Clients.Office.Excel.Functions.SPG(FK140, "SP_COUNTRY_NAME")</f>
        <v>#INVALID COMPANY ID</v>
      </c>
      <c r="FS140" s="9" t="str">
        <f>_xll.SNL.Clients.Office.Excel.Functions.SPG(FP140, "SP_COUNTRY_NAME")</f>
        <v>#INVALID COMPANY ID</v>
      </c>
      <c r="FX140" s="9" t="str">
        <f>_xll.SNL.Clients.Office.Excel.Functions.SPG(FU140, "SP_COUNTRY_NAME")</f>
        <v>#INVALID COMPANY ID</v>
      </c>
      <c r="FY140" t="s">
        <v>1434</v>
      </c>
      <c r="FZ140">
        <v>4437851</v>
      </c>
      <c r="GA140" t="s">
        <v>346</v>
      </c>
      <c r="GB140" s="11">
        <v>0.04</v>
      </c>
      <c r="GC140" s="9" t="str">
        <f>_xll.SNL.Clients.Office.Excel.Functions.SPG(FZ140, "SP_COUNTRY_NAME")</f>
        <v>USA</v>
      </c>
      <c r="GH140" s="9" t="str">
        <f>_xll.SNL.Clients.Office.Excel.Functions.SPG(GE140, "SP_COUNTRY_NAME")</f>
        <v>#INVALID COMPANY ID</v>
      </c>
      <c r="GM140" s="9" t="str">
        <f>_xll.SNL.Clients.Office.Excel.Functions.SPG(GJ140, "SP_COUNTRY_NAME")</f>
        <v>#INVALID COMPANY ID</v>
      </c>
      <c r="GR140" s="9" t="str">
        <f>_xll.SNL.Clients.Office.Excel.Functions.SPG(GO140, "SP_COUNTRY_NAME")</f>
        <v>#INVALID COMPANY ID</v>
      </c>
      <c r="GS140" t="s">
        <v>830</v>
      </c>
      <c r="GT140">
        <v>4621446</v>
      </c>
      <c r="GU140" t="s">
        <v>346</v>
      </c>
      <c r="GV140" s="11">
        <v>0.01</v>
      </c>
      <c r="GW140" s="9" t="str">
        <f>_xll.SNL.Clients.Office.Excel.Functions.SPG(GT140, "SP_COUNTRY_NAME")</f>
        <v>China</v>
      </c>
      <c r="GX140" t="s">
        <v>1656</v>
      </c>
      <c r="GY140">
        <v>4250319</v>
      </c>
      <c r="GZ140" t="s">
        <v>364</v>
      </c>
      <c r="HA140" s="11">
        <v>0.03</v>
      </c>
      <c r="HB140" s="9" t="str">
        <f>_xll.SNL.Clients.Office.Excel.Functions.SPG(GY140, "SP_COUNTRY_NAME")</f>
        <v>Chile</v>
      </c>
      <c r="HG140" s="9" t="str">
        <f>_xll.SNL.Clients.Office.Excel.Functions.SPG(HD140, "SP_COUNTRY_NAME")</f>
        <v>#INVALID COMPANY ID</v>
      </c>
    </row>
    <row r="141" spans="5:215" x14ac:dyDescent="0.35">
      <c r="E141" s="9" t="str">
        <f>_xll.SNL.Clients.Office.Excel.Functions.SPG(B141, "SP_COUNTRY_NAME")</f>
        <v>#INVALID COMPANY ID</v>
      </c>
      <c r="F141" t="s">
        <v>528</v>
      </c>
      <c r="G141">
        <v>4773761</v>
      </c>
      <c r="H141" t="s">
        <v>346</v>
      </c>
      <c r="I141" s="11">
        <v>0</v>
      </c>
      <c r="J141" s="9" t="str">
        <f>_xll.SNL.Clients.Office.Excel.Functions.SPG(G141, "SP_COUNTRY_NAME")</f>
        <v>Canada</v>
      </c>
      <c r="O141" s="9" t="str">
        <f>_xll.SNL.Clients.Office.Excel.Functions.SPG(L141, "SP_COUNTRY_NAME")</f>
        <v>#INVALID COMPANY ID</v>
      </c>
      <c r="T141" s="9" t="str">
        <f>_xll.SNL.Clients.Office.Excel.Functions.SPG(Q141, "SP_COUNTRY_NAME")</f>
        <v>#INVALID COMPANY ID</v>
      </c>
      <c r="U141" t="s">
        <v>530</v>
      </c>
      <c r="V141">
        <v>102729</v>
      </c>
      <c r="W141" t="s">
        <v>346</v>
      </c>
      <c r="X141" s="11">
        <v>0.02</v>
      </c>
      <c r="Y141" s="9" t="str">
        <f>_xll.SNL.Clients.Office.Excel.Functions.SPG(V141, "SP_COUNTRY_NAME")</f>
        <v>USA</v>
      </c>
      <c r="AD141" s="9" t="str">
        <f>_xll.SNL.Clients.Office.Excel.Functions.SPG(AA141, "SP_COUNTRY_NAME")</f>
        <v>#INVALID COMPANY ID</v>
      </c>
      <c r="AE141" t="s">
        <v>1155</v>
      </c>
      <c r="AF141" t="s">
        <v>300</v>
      </c>
      <c r="AG141" t="s">
        <v>361</v>
      </c>
      <c r="AH141" s="11">
        <v>0</v>
      </c>
      <c r="AI141" s="9" t="str">
        <f>_xll.SNL.Clients.Office.Excel.Functions.SPG(AF141, "SP_COUNTRY_NAME")</f>
        <v>China</v>
      </c>
      <c r="AN141" s="9" t="str">
        <f>_xll.SNL.Clients.Office.Excel.Functions.SPG(AK141, "SP_COUNTRY_NAME")</f>
        <v>#INVALID COMPANY ID</v>
      </c>
      <c r="AO141" t="s">
        <v>492</v>
      </c>
      <c r="AP141">
        <v>110674</v>
      </c>
      <c r="AQ141" t="s">
        <v>346</v>
      </c>
      <c r="AR141" s="11">
        <v>0.01</v>
      </c>
      <c r="AS141" s="9" t="str">
        <f>_xll.SNL.Clients.Office.Excel.Functions.SPG(AP141, "SP_COUNTRY_NAME")</f>
        <v>USA</v>
      </c>
      <c r="AX141" s="9" t="str">
        <f>_xll.SNL.Clients.Office.Excel.Functions.SPG(AU141, "SP_COUNTRY_NAME")</f>
        <v>#INVALID COMPANY ID</v>
      </c>
      <c r="BC141" s="9" t="str">
        <f>_xll.SNL.Clients.Office.Excel.Functions.SPG(AZ141, "SP_COUNTRY_NAME")</f>
        <v>#INVALID COMPANY ID</v>
      </c>
      <c r="BD141" t="s">
        <v>593</v>
      </c>
      <c r="BE141">
        <v>4138124</v>
      </c>
      <c r="BF141" t="s">
        <v>346</v>
      </c>
      <c r="BG141" s="11">
        <v>0.04</v>
      </c>
      <c r="BH141" s="9" t="str">
        <f>_xll.SNL.Clients.Office.Excel.Functions.SPG(BE141, "SP_COUNTRY_NAME")</f>
        <v>Japan</v>
      </c>
      <c r="BI141" t="s">
        <v>533</v>
      </c>
      <c r="BJ141">
        <v>4377155</v>
      </c>
      <c r="BK141" t="s">
        <v>346</v>
      </c>
      <c r="BL141" s="11">
        <v>0.01</v>
      </c>
      <c r="BM141" s="9" t="str">
        <f>_xll.SNL.Clients.Office.Excel.Functions.SPG(BJ141, "SP_COUNTRY_NAME")</f>
        <v>Belgium</v>
      </c>
      <c r="BN141" t="s">
        <v>810</v>
      </c>
      <c r="BO141">
        <v>106535824</v>
      </c>
      <c r="BP141" t="s">
        <v>346</v>
      </c>
      <c r="BQ141" s="11">
        <v>0.01</v>
      </c>
      <c r="BR141" s="9" t="str">
        <f>_xll.SNL.Clients.Office.Excel.Functions.SPG(BO141, "SP_COUNTRY_NAME")</f>
        <v>#INVALID COMPANY ID</v>
      </c>
      <c r="BS141" t="s">
        <v>687</v>
      </c>
      <c r="BT141">
        <v>4368709</v>
      </c>
      <c r="BU141" t="s">
        <v>346</v>
      </c>
      <c r="BV141" s="11">
        <v>0.02</v>
      </c>
      <c r="BW141" s="9" t="str">
        <f>_xll.SNL.Clients.Office.Excel.Functions.SPG(BT141, "SP_COUNTRY_NAME")</f>
        <v>China</v>
      </c>
      <c r="BX141" t="s">
        <v>530</v>
      </c>
      <c r="BY141">
        <v>102729</v>
      </c>
      <c r="BZ141" t="s">
        <v>346</v>
      </c>
      <c r="CA141" s="11">
        <v>0.02</v>
      </c>
      <c r="CB141" s="9" t="str">
        <f>_xll.SNL.Clients.Office.Excel.Functions.SPG(BY141, "SP_COUNTRY_NAME")</f>
        <v>USA</v>
      </c>
      <c r="CC141" t="s">
        <v>1657</v>
      </c>
      <c r="CD141">
        <v>102771</v>
      </c>
      <c r="CE141" t="s">
        <v>346</v>
      </c>
      <c r="CF141" s="11">
        <v>0.03</v>
      </c>
      <c r="CG141" s="9" t="str">
        <f>_xll.SNL.Clients.Office.Excel.Functions.SPG(CD141, "SP_COUNTRY_NAME")</f>
        <v>USA</v>
      </c>
      <c r="CH141" t="s">
        <v>492</v>
      </c>
      <c r="CI141">
        <v>110674</v>
      </c>
      <c r="CJ141" t="s">
        <v>346</v>
      </c>
      <c r="CK141" s="11">
        <v>0.01</v>
      </c>
      <c r="CL141" s="9" t="str">
        <f>_xll.SNL.Clients.Office.Excel.Functions.SPG(CI141, "SP_COUNTRY_NAME")</f>
        <v>USA</v>
      </c>
      <c r="CM141" t="s">
        <v>1276</v>
      </c>
      <c r="CN141">
        <v>8358474</v>
      </c>
      <c r="CO141" t="s">
        <v>346</v>
      </c>
      <c r="CP141" s="11">
        <v>0.03</v>
      </c>
      <c r="CQ141" s="9" t="str">
        <f>_xll.SNL.Clients.Office.Excel.Functions.SPG(CN141, "SP_COUNTRY_NAME")</f>
        <v>South Africa</v>
      </c>
      <c r="CV141" s="9" t="str">
        <f>_xll.SNL.Clients.Office.Excel.Functions.SPG(CS141, "SP_COUNTRY_NAME")</f>
        <v>#INVALID COMPANY ID</v>
      </c>
      <c r="DA141" s="9" t="str">
        <f>_xll.SNL.Clients.Office.Excel.Functions.SPG(CX141, "SP_COUNTRY_NAME")</f>
        <v>#INVALID COMPANY ID</v>
      </c>
      <c r="DB141" t="s">
        <v>593</v>
      </c>
      <c r="DC141">
        <v>4138124</v>
      </c>
      <c r="DD141" t="s">
        <v>346</v>
      </c>
      <c r="DE141" s="11">
        <v>0.04</v>
      </c>
      <c r="DF141" s="9" t="str">
        <f>_xll.SNL.Clients.Office.Excel.Functions.SPG(DC141, "SP_COUNTRY_NAME")</f>
        <v>Japan</v>
      </c>
      <c r="DK141" s="9" t="str">
        <f>_xll.SNL.Clients.Office.Excel.Functions.SPG(DH141, "SP_COUNTRY_NAME")</f>
        <v>#INVALID COMPANY ID</v>
      </c>
      <c r="DL141" t="s">
        <v>593</v>
      </c>
      <c r="DM141">
        <v>4138124</v>
      </c>
      <c r="DN141" t="s">
        <v>346</v>
      </c>
      <c r="DO141" s="11">
        <v>0.04</v>
      </c>
      <c r="DP141" s="9" t="str">
        <f>_xll.SNL.Clients.Office.Excel.Functions.SPG(DM141, "SP_COUNTRY_NAME")</f>
        <v>Japan</v>
      </c>
      <c r="DU141" s="9" t="str">
        <f>_xll.SNL.Clients.Office.Excel.Functions.SPG(DR141, "SP_COUNTRY_NAME")</f>
        <v>#INVALID COMPANY ID</v>
      </c>
      <c r="DZ141" s="9" t="str">
        <f>_xll.SNL.Clients.Office.Excel.Functions.SPG(DW141, "SP_COUNTRY_NAME")</f>
        <v>#INVALID COMPANY ID</v>
      </c>
      <c r="EA141" t="s">
        <v>1657</v>
      </c>
      <c r="EB141">
        <v>102771</v>
      </c>
      <c r="EC141" t="s">
        <v>346</v>
      </c>
      <c r="ED141" s="11">
        <v>0.03</v>
      </c>
      <c r="EE141" s="9" t="str">
        <f>_xll.SNL.Clients.Office.Excel.Functions.SPG(EB141, "SP_COUNTRY_NAME")</f>
        <v>USA</v>
      </c>
      <c r="EF141" t="s">
        <v>593</v>
      </c>
      <c r="EG141">
        <v>4138124</v>
      </c>
      <c r="EH141" t="s">
        <v>346</v>
      </c>
      <c r="EI141" s="11">
        <v>0.04</v>
      </c>
      <c r="EJ141" s="9" t="str">
        <f>_xll.SNL.Clients.Office.Excel.Functions.SPG(EG141, "SP_COUNTRY_NAME")</f>
        <v>Japan</v>
      </c>
      <c r="EO141" s="9" t="str">
        <f>_xll.SNL.Clients.Office.Excel.Functions.SPG(EL141, "SP_COUNTRY_NAME")</f>
        <v>#INVALID COMPANY ID</v>
      </c>
      <c r="EP141" t="s">
        <v>869</v>
      </c>
      <c r="EQ141">
        <v>4560837</v>
      </c>
      <c r="ER141" t="s">
        <v>346</v>
      </c>
      <c r="ES141" s="11">
        <v>0</v>
      </c>
      <c r="ET141" s="9" t="str">
        <f>_xll.SNL.Clients.Office.Excel.Functions.SPG(EQ141, "SP_COUNTRY_NAME")</f>
        <v>Hong Kong</v>
      </c>
      <c r="EY141" s="9" t="str">
        <f>_xll.SNL.Clients.Office.Excel.Functions.SPG(EV141, "SP_COUNTRY_NAME")</f>
        <v>#INVALID COMPANY ID</v>
      </c>
      <c r="FD141" s="9" t="str">
        <f>_xll.SNL.Clients.Office.Excel.Functions.SPG(FA141, "SP_COUNTRY_NAME")</f>
        <v>#INVALID COMPANY ID</v>
      </c>
      <c r="FI141" s="9" t="str">
        <f>_xll.SNL.Clients.Office.Excel.Functions.SPG(FF141, "SP_COUNTRY_NAME")</f>
        <v>#INVALID COMPANY ID</v>
      </c>
      <c r="FN141" s="9" t="str">
        <f>_xll.SNL.Clients.Office.Excel.Functions.SPG(FK141, "SP_COUNTRY_NAME")</f>
        <v>#INVALID COMPANY ID</v>
      </c>
      <c r="FS141" s="9" t="str">
        <f>_xll.SNL.Clients.Office.Excel.Functions.SPG(FP141, "SP_COUNTRY_NAME")</f>
        <v>#INVALID COMPANY ID</v>
      </c>
      <c r="FX141" s="9" t="str">
        <f>_xll.SNL.Clients.Office.Excel.Functions.SPG(FU141, "SP_COUNTRY_NAME")</f>
        <v>#INVALID COMPANY ID</v>
      </c>
      <c r="FY141" t="s">
        <v>593</v>
      </c>
      <c r="FZ141">
        <v>4138124</v>
      </c>
      <c r="GA141" t="s">
        <v>346</v>
      </c>
      <c r="GB141" s="11">
        <v>0.04</v>
      </c>
      <c r="GC141" s="9" t="str">
        <f>_xll.SNL.Clients.Office.Excel.Functions.SPG(FZ141, "SP_COUNTRY_NAME")</f>
        <v>Japan</v>
      </c>
      <c r="GH141" s="9" t="str">
        <f>_xll.SNL.Clients.Office.Excel.Functions.SPG(GE141, "SP_COUNTRY_NAME")</f>
        <v>#INVALID COMPANY ID</v>
      </c>
      <c r="GM141" s="9" t="str">
        <f>_xll.SNL.Clients.Office.Excel.Functions.SPG(GJ141, "SP_COUNTRY_NAME")</f>
        <v>#INVALID COMPANY ID</v>
      </c>
      <c r="GR141" s="9" t="str">
        <f>_xll.SNL.Clients.Office.Excel.Functions.SPG(GO141, "SP_COUNTRY_NAME")</f>
        <v>#INVALID COMPANY ID</v>
      </c>
      <c r="GS141" t="s">
        <v>810</v>
      </c>
      <c r="GT141">
        <v>106535824</v>
      </c>
      <c r="GU141" t="s">
        <v>346</v>
      </c>
      <c r="GV141" s="11">
        <v>0.01</v>
      </c>
      <c r="GW141" s="9" t="str">
        <f>_xll.SNL.Clients.Office.Excel.Functions.SPG(GT141, "SP_COUNTRY_NAME")</f>
        <v>#INVALID COMPANY ID</v>
      </c>
      <c r="GX141" t="s">
        <v>1657</v>
      </c>
      <c r="GY141">
        <v>102771</v>
      </c>
      <c r="GZ141" t="s">
        <v>346</v>
      </c>
      <c r="HA141" s="11">
        <v>0.03</v>
      </c>
      <c r="HB141" s="9" t="str">
        <f>_xll.SNL.Clients.Office.Excel.Functions.SPG(GY141, "SP_COUNTRY_NAME")</f>
        <v>USA</v>
      </c>
      <c r="HG141" s="9" t="str">
        <f>_xll.SNL.Clients.Office.Excel.Functions.SPG(HD141, "SP_COUNTRY_NAME")</f>
        <v>#INVALID COMPANY ID</v>
      </c>
    </row>
    <row r="142" spans="5:215" x14ac:dyDescent="0.35">
      <c r="E142" s="9" t="str">
        <f>_xll.SNL.Clients.Office.Excel.Functions.SPG(B142, "SP_COUNTRY_NAME")</f>
        <v>#INVALID COMPANY ID</v>
      </c>
      <c r="F142" t="s">
        <v>529</v>
      </c>
      <c r="G142">
        <v>110570</v>
      </c>
      <c r="H142" t="s">
        <v>346</v>
      </c>
      <c r="I142" s="11">
        <v>0</v>
      </c>
      <c r="J142" s="9" t="str">
        <f>_xll.SNL.Clients.Office.Excel.Functions.SPG(G142, "SP_COUNTRY_NAME")</f>
        <v>USA</v>
      </c>
      <c r="O142" s="9" t="str">
        <f>_xll.SNL.Clients.Office.Excel.Functions.SPG(L142, "SP_COUNTRY_NAME")</f>
        <v>#INVALID COMPANY ID</v>
      </c>
      <c r="T142" s="9" t="str">
        <f>_xll.SNL.Clients.Office.Excel.Functions.SPG(Q142, "SP_COUNTRY_NAME")</f>
        <v>#INVALID COMPANY ID</v>
      </c>
      <c r="U142" t="s">
        <v>650</v>
      </c>
      <c r="V142">
        <v>4550448</v>
      </c>
      <c r="W142" t="s">
        <v>346</v>
      </c>
      <c r="X142" s="11">
        <v>0.02</v>
      </c>
      <c r="Y142" s="9" t="str">
        <f>_xll.SNL.Clients.Office.Excel.Functions.SPG(V142, "SP_COUNTRY_NAME")</f>
        <v>China</v>
      </c>
      <c r="AD142" s="9" t="str">
        <f>_xll.SNL.Clients.Office.Excel.Functions.SPG(AA142, "SP_COUNTRY_NAME")</f>
        <v>#INVALID COMPANY ID</v>
      </c>
      <c r="AE142" t="s">
        <v>1103</v>
      </c>
      <c r="AF142">
        <v>4082660</v>
      </c>
      <c r="AG142" t="s">
        <v>346</v>
      </c>
      <c r="AH142" s="11">
        <v>0</v>
      </c>
      <c r="AI142" s="9" t="str">
        <f>_xll.SNL.Clients.Office.Excel.Functions.SPG(AF142, "SP_COUNTRY_NAME")</f>
        <v>USA</v>
      </c>
      <c r="AN142" s="9" t="str">
        <f>_xll.SNL.Clients.Office.Excel.Functions.SPG(AK142, "SP_COUNTRY_NAME")</f>
        <v>#INVALID COMPANY ID</v>
      </c>
      <c r="AO142" t="s">
        <v>1300</v>
      </c>
      <c r="AP142">
        <v>7789918</v>
      </c>
      <c r="AQ142" t="s">
        <v>346</v>
      </c>
      <c r="AR142" s="11">
        <v>0.01</v>
      </c>
      <c r="AS142" s="9" t="str">
        <f>_xll.SNL.Clients.Office.Excel.Functions.SPG(AP142, "SP_COUNTRY_NAME")</f>
        <v>Luxembourg</v>
      </c>
      <c r="AX142" s="9" t="str">
        <f>_xll.SNL.Clients.Office.Excel.Functions.SPG(AU142, "SP_COUNTRY_NAME")</f>
        <v>#INVALID COMPANY ID</v>
      </c>
      <c r="BC142" s="9" t="str">
        <f>_xll.SNL.Clients.Office.Excel.Functions.SPG(AZ142, "SP_COUNTRY_NAME")</f>
        <v>#INVALID COMPANY ID</v>
      </c>
      <c r="BD142" t="s">
        <v>611</v>
      </c>
      <c r="BE142">
        <v>4288242</v>
      </c>
      <c r="BF142" t="s">
        <v>346</v>
      </c>
      <c r="BG142" s="11">
        <v>0.04</v>
      </c>
      <c r="BH142" s="9" t="str">
        <f>_xll.SNL.Clients.Office.Excel.Functions.SPG(BE142, "SP_COUNTRY_NAME")</f>
        <v>USA</v>
      </c>
      <c r="BI142" t="s">
        <v>1570</v>
      </c>
      <c r="BJ142">
        <v>8111313</v>
      </c>
      <c r="BK142" t="s">
        <v>346</v>
      </c>
      <c r="BL142" s="11">
        <v>0.01</v>
      </c>
      <c r="BM142" s="9" t="str">
        <f>_xll.SNL.Clients.Office.Excel.Functions.SPG(BJ142, "SP_COUNTRY_NAME")</f>
        <v>Canada</v>
      </c>
      <c r="BN142" t="s">
        <v>765</v>
      </c>
      <c r="BO142">
        <v>10181318</v>
      </c>
      <c r="BP142" t="s">
        <v>346</v>
      </c>
      <c r="BQ142" s="11">
        <v>0.01</v>
      </c>
      <c r="BR142" s="9" t="str">
        <f>_xll.SNL.Clients.Office.Excel.Functions.SPG(BO142, "SP_COUNTRY_NAME")</f>
        <v>China</v>
      </c>
      <c r="BS142" t="s">
        <v>588</v>
      </c>
      <c r="BT142">
        <v>111537</v>
      </c>
      <c r="BU142" t="s">
        <v>346</v>
      </c>
      <c r="BV142" s="11">
        <v>0.02</v>
      </c>
      <c r="BW142" s="9" t="str">
        <f>_xll.SNL.Clients.Office.Excel.Functions.SPG(BT142, "SP_COUNTRY_NAME")</f>
        <v>USA</v>
      </c>
      <c r="BX142" t="s">
        <v>650</v>
      </c>
      <c r="BY142">
        <v>4550448</v>
      </c>
      <c r="BZ142" t="s">
        <v>346</v>
      </c>
      <c r="CA142" s="11">
        <v>0.02</v>
      </c>
      <c r="CB142" s="9" t="str">
        <f>_xll.SNL.Clients.Office.Excel.Functions.SPG(BY142, "SP_COUNTRY_NAME")</f>
        <v>China</v>
      </c>
      <c r="CC142" t="s">
        <v>1658</v>
      </c>
      <c r="CD142">
        <v>4347364</v>
      </c>
      <c r="CE142" t="s">
        <v>346</v>
      </c>
      <c r="CF142" s="11">
        <v>0.02</v>
      </c>
      <c r="CG142" s="9" t="str">
        <f>_xll.SNL.Clients.Office.Excel.Functions.SPG(CD142, "SP_COUNTRY_NAME")</f>
        <v>Chile</v>
      </c>
      <c r="CH142" t="s">
        <v>1300</v>
      </c>
      <c r="CI142">
        <v>7789918</v>
      </c>
      <c r="CJ142" t="s">
        <v>346</v>
      </c>
      <c r="CK142" s="11">
        <v>0.01</v>
      </c>
      <c r="CL142" s="9" t="str">
        <f>_xll.SNL.Clients.Office.Excel.Functions.SPG(CI142, "SP_COUNTRY_NAME")</f>
        <v>Luxembourg</v>
      </c>
      <c r="CM142" t="s">
        <v>531</v>
      </c>
      <c r="CN142">
        <v>4072215</v>
      </c>
      <c r="CO142" t="s">
        <v>346</v>
      </c>
      <c r="CP142" s="11">
        <v>0.03</v>
      </c>
      <c r="CQ142" s="9" t="str">
        <f>_xll.SNL.Clients.Office.Excel.Functions.SPG(CN142, "SP_COUNTRY_NAME")</f>
        <v>USA</v>
      </c>
      <c r="CV142" s="9" t="str">
        <f>_xll.SNL.Clients.Office.Excel.Functions.SPG(CS142, "SP_COUNTRY_NAME")</f>
        <v>#INVALID COMPANY ID</v>
      </c>
      <c r="DA142" s="9" t="str">
        <f>_xll.SNL.Clients.Office.Excel.Functions.SPG(CX142, "SP_COUNTRY_NAME")</f>
        <v>#INVALID COMPANY ID</v>
      </c>
      <c r="DB142" t="s">
        <v>611</v>
      </c>
      <c r="DC142">
        <v>4288242</v>
      </c>
      <c r="DD142" t="s">
        <v>346</v>
      </c>
      <c r="DE142" s="11">
        <v>0.04</v>
      </c>
      <c r="DF142" s="9" t="str">
        <f>_xll.SNL.Clients.Office.Excel.Functions.SPG(DC142, "SP_COUNTRY_NAME")</f>
        <v>USA</v>
      </c>
      <c r="DK142" s="9" t="str">
        <f>_xll.SNL.Clients.Office.Excel.Functions.SPG(DH142, "SP_COUNTRY_NAME")</f>
        <v>#INVALID COMPANY ID</v>
      </c>
      <c r="DL142" t="s">
        <v>611</v>
      </c>
      <c r="DM142">
        <v>4288242</v>
      </c>
      <c r="DN142" t="s">
        <v>346</v>
      </c>
      <c r="DO142" s="11">
        <v>0.04</v>
      </c>
      <c r="DP142" s="9" t="str">
        <f>_xll.SNL.Clients.Office.Excel.Functions.SPG(DM142, "SP_COUNTRY_NAME")</f>
        <v>USA</v>
      </c>
      <c r="DU142" s="9" t="str">
        <f>_xll.SNL.Clients.Office.Excel.Functions.SPG(DR142, "SP_COUNTRY_NAME")</f>
        <v>#INVALID COMPANY ID</v>
      </c>
      <c r="DZ142" s="9" t="str">
        <f>_xll.SNL.Clients.Office.Excel.Functions.SPG(DW142, "SP_COUNTRY_NAME")</f>
        <v>#INVALID COMPANY ID</v>
      </c>
      <c r="EA142" t="s">
        <v>1658</v>
      </c>
      <c r="EB142">
        <v>4347364</v>
      </c>
      <c r="EC142" t="s">
        <v>346</v>
      </c>
      <c r="ED142" s="11">
        <v>0.02</v>
      </c>
      <c r="EE142" s="9" t="str">
        <f>_xll.SNL.Clients.Office.Excel.Functions.SPG(EB142, "SP_COUNTRY_NAME")</f>
        <v>Chile</v>
      </c>
      <c r="EF142" t="s">
        <v>611</v>
      </c>
      <c r="EG142">
        <v>4288242</v>
      </c>
      <c r="EH142" t="s">
        <v>346</v>
      </c>
      <c r="EI142" s="11">
        <v>0.04</v>
      </c>
      <c r="EJ142" s="9" t="str">
        <f>_xll.SNL.Clients.Office.Excel.Functions.SPG(EG142, "SP_COUNTRY_NAME")</f>
        <v>USA</v>
      </c>
      <c r="EO142" s="9" t="str">
        <f>_xll.SNL.Clients.Office.Excel.Functions.SPG(EL142, "SP_COUNTRY_NAME")</f>
        <v>#INVALID COMPANY ID</v>
      </c>
      <c r="EP142" t="s">
        <v>886</v>
      </c>
      <c r="EQ142">
        <v>29518821</v>
      </c>
      <c r="ER142" t="s">
        <v>346</v>
      </c>
      <c r="ES142" s="11">
        <v>0</v>
      </c>
      <c r="ET142" s="9" t="str">
        <f>_xll.SNL.Clients.Office.Excel.Functions.SPG(EQ142, "SP_COUNTRY_NAME")</f>
        <v>China</v>
      </c>
      <c r="EY142" s="9" t="str">
        <f>_xll.SNL.Clients.Office.Excel.Functions.SPG(EV142, "SP_COUNTRY_NAME")</f>
        <v>#INVALID COMPANY ID</v>
      </c>
      <c r="FD142" s="9" t="str">
        <f>_xll.SNL.Clients.Office.Excel.Functions.SPG(FA142, "SP_COUNTRY_NAME")</f>
        <v>#INVALID COMPANY ID</v>
      </c>
      <c r="FI142" s="9" t="str">
        <f>_xll.SNL.Clients.Office.Excel.Functions.SPG(FF142, "SP_COUNTRY_NAME")</f>
        <v>#INVALID COMPANY ID</v>
      </c>
      <c r="FN142" s="9" t="str">
        <f>_xll.SNL.Clients.Office.Excel.Functions.SPG(FK142, "SP_COUNTRY_NAME")</f>
        <v>#INVALID COMPANY ID</v>
      </c>
      <c r="FS142" s="9" t="str">
        <f>_xll.SNL.Clients.Office.Excel.Functions.SPG(FP142, "SP_COUNTRY_NAME")</f>
        <v>#INVALID COMPANY ID</v>
      </c>
      <c r="FX142" s="9" t="str">
        <f>_xll.SNL.Clients.Office.Excel.Functions.SPG(FU142, "SP_COUNTRY_NAME")</f>
        <v>#INVALID COMPANY ID</v>
      </c>
      <c r="FY142" t="s">
        <v>611</v>
      </c>
      <c r="FZ142">
        <v>4288242</v>
      </c>
      <c r="GA142" t="s">
        <v>346</v>
      </c>
      <c r="GB142" s="11">
        <v>0.04</v>
      </c>
      <c r="GC142" s="9" t="str">
        <f>_xll.SNL.Clients.Office.Excel.Functions.SPG(FZ142, "SP_COUNTRY_NAME")</f>
        <v>USA</v>
      </c>
      <c r="GH142" s="9" t="str">
        <f>_xll.SNL.Clients.Office.Excel.Functions.SPG(GE142, "SP_COUNTRY_NAME")</f>
        <v>#INVALID COMPANY ID</v>
      </c>
      <c r="GM142" s="9" t="str">
        <f>_xll.SNL.Clients.Office.Excel.Functions.SPG(GJ142, "SP_COUNTRY_NAME")</f>
        <v>#INVALID COMPANY ID</v>
      </c>
      <c r="GR142" s="9" t="str">
        <f>_xll.SNL.Clients.Office.Excel.Functions.SPG(GO142, "SP_COUNTRY_NAME")</f>
        <v>#INVALID COMPANY ID</v>
      </c>
      <c r="GS142" t="s">
        <v>765</v>
      </c>
      <c r="GT142">
        <v>10181318</v>
      </c>
      <c r="GU142" t="s">
        <v>346</v>
      </c>
      <c r="GV142" s="11">
        <v>0.01</v>
      </c>
      <c r="GW142" s="9" t="str">
        <f>_xll.SNL.Clients.Office.Excel.Functions.SPG(GT142, "SP_COUNTRY_NAME")</f>
        <v>China</v>
      </c>
      <c r="GX142" t="s">
        <v>1658</v>
      </c>
      <c r="GY142">
        <v>4347364</v>
      </c>
      <c r="GZ142" t="s">
        <v>346</v>
      </c>
      <c r="HA142" s="11">
        <v>0.02</v>
      </c>
      <c r="HB142" s="9" t="str">
        <f>_xll.SNL.Clients.Office.Excel.Functions.SPG(GY142, "SP_COUNTRY_NAME")</f>
        <v>Chile</v>
      </c>
      <c r="HG142" s="9" t="str">
        <f>_xll.SNL.Clients.Office.Excel.Functions.SPG(HD142, "SP_COUNTRY_NAME")</f>
        <v>#INVALID COMPANY ID</v>
      </c>
    </row>
    <row r="143" spans="5:215" x14ac:dyDescent="0.35">
      <c r="E143" s="9" t="str">
        <f>_xll.SNL.Clients.Office.Excel.Functions.SPG(B143, "SP_COUNTRY_NAME")</f>
        <v>#INVALID COMPANY ID</v>
      </c>
      <c r="F143" t="s">
        <v>530</v>
      </c>
      <c r="G143">
        <v>102729</v>
      </c>
      <c r="H143" t="s">
        <v>346</v>
      </c>
      <c r="I143" s="11">
        <v>0</v>
      </c>
      <c r="J143" s="9" t="str">
        <f>_xll.SNL.Clients.Office.Excel.Functions.SPG(G143, "SP_COUNTRY_NAME")</f>
        <v>USA</v>
      </c>
      <c r="O143" s="9" t="str">
        <f>_xll.SNL.Clients.Office.Excel.Functions.SPG(L143, "SP_COUNTRY_NAME")</f>
        <v>#INVALID COMPANY ID</v>
      </c>
      <c r="T143" s="9" t="str">
        <f>_xll.SNL.Clients.Office.Excel.Functions.SPG(Q143, "SP_COUNTRY_NAME")</f>
        <v>#INVALID COMPANY ID</v>
      </c>
      <c r="U143" t="s">
        <v>755</v>
      </c>
      <c r="V143" t="s">
        <v>300</v>
      </c>
      <c r="W143" t="s">
        <v>361</v>
      </c>
      <c r="X143" s="11">
        <v>0.02</v>
      </c>
      <c r="Y143" s="9" t="str">
        <f>_xll.SNL.Clients.Office.Excel.Functions.SPG(V143, "SP_COUNTRY_NAME")</f>
        <v>China</v>
      </c>
      <c r="AD143" s="9" t="str">
        <f>_xll.SNL.Clients.Office.Excel.Functions.SPG(AA143, "SP_COUNTRY_NAME")</f>
        <v>#INVALID COMPANY ID</v>
      </c>
      <c r="AE143" t="s">
        <v>568</v>
      </c>
      <c r="AF143">
        <v>4135240</v>
      </c>
      <c r="AG143" t="s">
        <v>346</v>
      </c>
      <c r="AH143" s="11">
        <v>0</v>
      </c>
      <c r="AI143" s="9" t="str">
        <f>_xll.SNL.Clients.Office.Excel.Functions.SPG(AF143, "SP_COUNTRY_NAME")</f>
        <v>Australia</v>
      </c>
      <c r="AN143" s="9" t="str">
        <f>_xll.SNL.Clients.Office.Excel.Functions.SPG(AK143, "SP_COUNTRY_NAME")</f>
        <v>#INVALID COMPANY ID</v>
      </c>
      <c r="AO143" t="s">
        <v>583</v>
      </c>
      <c r="AP143">
        <v>4579014</v>
      </c>
      <c r="AQ143" t="s">
        <v>346</v>
      </c>
      <c r="AR143" s="11">
        <v>0.01</v>
      </c>
      <c r="AS143" s="9" t="str">
        <f>_xll.SNL.Clients.Office.Excel.Functions.SPG(AP143, "SP_COUNTRY_NAME")</f>
        <v>USA</v>
      </c>
      <c r="AX143" s="9" t="str">
        <f>_xll.SNL.Clients.Office.Excel.Functions.SPG(AU143, "SP_COUNTRY_NAME")</f>
        <v>#INVALID COMPANY ID</v>
      </c>
      <c r="BC143" s="9" t="str">
        <f>_xll.SNL.Clients.Office.Excel.Functions.SPG(AZ143, "SP_COUNTRY_NAME")</f>
        <v>#INVALID COMPANY ID</v>
      </c>
      <c r="BD143" t="s">
        <v>643</v>
      </c>
      <c r="BE143">
        <v>8365031</v>
      </c>
      <c r="BF143" t="s">
        <v>346</v>
      </c>
      <c r="BG143" s="11">
        <v>0.03</v>
      </c>
      <c r="BH143" s="9" t="str">
        <f>_xll.SNL.Clients.Office.Excel.Functions.SPG(BE143, "SP_COUNTRY_NAME")</f>
        <v>Australia</v>
      </c>
      <c r="BI143" t="s">
        <v>1571</v>
      </c>
      <c r="BJ143">
        <v>4235822</v>
      </c>
      <c r="BK143" t="s">
        <v>346</v>
      </c>
      <c r="BL143" s="11">
        <v>0.01</v>
      </c>
      <c r="BM143" s="9" t="str">
        <f>_xll.SNL.Clients.Office.Excel.Functions.SPG(BJ143, "SP_COUNTRY_NAME")</f>
        <v>Germany</v>
      </c>
      <c r="BN143" t="s">
        <v>823</v>
      </c>
      <c r="BO143">
        <v>4212913</v>
      </c>
      <c r="BP143" t="s">
        <v>346</v>
      </c>
      <c r="BQ143" s="11">
        <v>0.01</v>
      </c>
      <c r="BR143" s="9" t="str">
        <f>_xll.SNL.Clients.Office.Excel.Functions.SPG(BO143, "SP_COUNTRY_NAME")</f>
        <v>Taiwan</v>
      </c>
      <c r="BS143" t="s">
        <v>974</v>
      </c>
      <c r="BT143">
        <v>5828077</v>
      </c>
      <c r="BU143" t="s">
        <v>346</v>
      </c>
      <c r="BV143" s="11">
        <v>0.02</v>
      </c>
      <c r="BW143" s="9" t="str">
        <f>_xll.SNL.Clients.Office.Excel.Functions.SPG(BT143, "SP_COUNTRY_NAME")</f>
        <v>United Kingdom</v>
      </c>
      <c r="BX143" t="s">
        <v>755</v>
      </c>
      <c r="BY143" t="s">
        <v>300</v>
      </c>
      <c r="BZ143" t="s">
        <v>361</v>
      </c>
      <c r="CA143" s="11">
        <v>0.02</v>
      </c>
      <c r="CB143" s="9" t="str">
        <f>_xll.SNL.Clients.Office.Excel.Functions.SPG(BY143, "SP_COUNTRY_NAME")</f>
        <v>China</v>
      </c>
      <c r="CC143" t="s">
        <v>1659</v>
      </c>
      <c r="CD143">
        <v>4134300</v>
      </c>
      <c r="CE143" t="s">
        <v>364</v>
      </c>
      <c r="CF143" s="11">
        <v>0.02</v>
      </c>
      <c r="CG143" s="9" t="str">
        <f>_xll.SNL.Clients.Office.Excel.Functions.SPG(CD143, "SP_COUNTRY_NAME")</f>
        <v>USA</v>
      </c>
      <c r="CH143" t="s">
        <v>583</v>
      </c>
      <c r="CI143">
        <v>4579014</v>
      </c>
      <c r="CJ143" t="s">
        <v>346</v>
      </c>
      <c r="CK143" s="11">
        <v>0.01</v>
      </c>
      <c r="CL143" s="9" t="str">
        <f>_xll.SNL.Clients.Office.Excel.Functions.SPG(CI143, "SP_COUNTRY_NAME")</f>
        <v>USA</v>
      </c>
      <c r="CM143" t="s">
        <v>1974</v>
      </c>
      <c r="CN143" t="s">
        <v>300</v>
      </c>
      <c r="CO143" t="s">
        <v>361</v>
      </c>
      <c r="CP143" s="11">
        <v>0.03</v>
      </c>
      <c r="CQ143" s="9" t="str">
        <f>_xll.SNL.Clients.Office.Excel.Functions.SPG(CN143, "SP_COUNTRY_NAME")</f>
        <v>China</v>
      </c>
      <c r="CV143" s="9" t="str">
        <f>_xll.SNL.Clients.Office.Excel.Functions.SPG(CS143, "SP_COUNTRY_NAME")</f>
        <v>#INVALID COMPANY ID</v>
      </c>
      <c r="DA143" s="9" t="str">
        <f>_xll.SNL.Clients.Office.Excel.Functions.SPG(CX143, "SP_COUNTRY_NAME")</f>
        <v>#INVALID COMPANY ID</v>
      </c>
      <c r="DB143" t="s">
        <v>643</v>
      </c>
      <c r="DC143">
        <v>8365031</v>
      </c>
      <c r="DD143" t="s">
        <v>346</v>
      </c>
      <c r="DE143" s="11">
        <v>0.03</v>
      </c>
      <c r="DF143" s="9" t="str">
        <f>_xll.SNL.Clients.Office.Excel.Functions.SPG(DC143, "SP_COUNTRY_NAME")</f>
        <v>Australia</v>
      </c>
      <c r="DK143" s="9" t="str">
        <f>_xll.SNL.Clients.Office.Excel.Functions.SPG(DH143, "SP_COUNTRY_NAME")</f>
        <v>#INVALID COMPANY ID</v>
      </c>
      <c r="DL143" t="s">
        <v>643</v>
      </c>
      <c r="DM143">
        <v>8365031</v>
      </c>
      <c r="DN143" t="s">
        <v>346</v>
      </c>
      <c r="DO143" s="11">
        <v>0.03</v>
      </c>
      <c r="DP143" s="9" t="str">
        <f>_xll.SNL.Clients.Office.Excel.Functions.SPG(DM143, "SP_COUNTRY_NAME")</f>
        <v>Australia</v>
      </c>
      <c r="DU143" s="9" t="str">
        <f>_xll.SNL.Clients.Office.Excel.Functions.SPG(DR143, "SP_COUNTRY_NAME")</f>
        <v>#INVALID COMPANY ID</v>
      </c>
      <c r="DZ143" s="9" t="str">
        <f>_xll.SNL.Clients.Office.Excel.Functions.SPG(DW143, "SP_COUNTRY_NAME")</f>
        <v>#INVALID COMPANY ID</v>
      </c>
      <c r="EA143" t="s">
        <v>1659</v>
      </c>
      <c r="EB143">
        <v>4134300</v>
      </c>
      <c r="EC143" t="s">
        <v>364</v>
      </c>
      <c r="ED143" s="11">
        <v>0.02</v>
      </c>
      <c r="EE143" s="9" t="str">
        <f>_xll.SNL.Clients.Office.Excel.Functions.SPG(EB143, "SP_COUNTRY_NAME")</f>
        <v>USA</v>
      </c>
      <c r="EF143" t="s">
        <v>643</v>
      </c>
      <c r="EG143">
        <v>8365031</v>
      </c>
      <c r="EH143" t="s">
        <v>346</v>
      </c>
      <c r="EI143" s="11">
        <v>0.03</v>
      </c>
      <c r="EJ143" s="9" t="str">
        <f>_xll.SNL.Clients.Office.Excel.Functions.SPG(EG143, "SP_COUNTRY_NAME")</f>
        <v>Australia</v>
      </c>
      <c r="EO143" s="9" t="str">
        <f>_xll.SNL.Clients.Office.Excel.Functions.SPG(EL143, "SP_COUNTRY_NAME")</f>
        <v>#INVALID COMPANY ID</v>
      </c>
      <c r="EP143" t="s">
        <v>906</v>
      </c>
      <c r="EQ143">
        <v>5880770</v>
      </c>
      <c r="ER143" t="s">
        <v>346</v>
      </c>
      <c r="ES143" s="11">
        <v>0</v>
      </c>
      <c r="ET143" s="9" t="str">
        <f>_xll.SNL.Clients.Office.Excel.Functions.SPG(EQ143, "SP_COUNTRY_NAME")</f>
        <v>China</v>
      </c>
      <c r="EY143" s="9" t="str">
        <f>_xll.SNL.Clients.Office.Excel.Functions.SPG(EV143, "SP_COUNTRY_NAME")</f>
        <v>#INVALID COMPANY ID</v>
      </c>
      <c r="FD143" s="9" t="str">
        <f>_xll.SNL.Clients.Office.Excel.Functions.SPG(FA143, "SP_COUNTRY_NAME")</f>
        <v>#INVALID COMPANY ID</v>
      </c>
      <c r="FI143" s="9" t="str">
        <f>_xll.SNL.Clients.Office.Excel.Functions.SPG(FF143, "SP_COUNTRY_NAME")</f>
        <v>#INVALID COMPANY ID</v>
      </c>
      <c r="FN143" s="9" t="str">
        <f>_xll.SNL.Clients.Office.Excel.Functions.SPG(FK143, "SP_COUNTRY_NAME")</f>
        <v>#INVALID COMPANY ID</v>
      </c>
      <c r="FS143" s="9" t="str">
        <f>_xll.SNL.Clients.Office.Excel.Functions.SPG(FP143, "SP_COUNTRY_NAME")</f>
        <v>#INVALID COMPANY ID</v>
      </c>
      <c r="FX143" s="9" t="str">
        <f>_xll.SNL.Clients.Office.Excel.Functions.SPG(FU143, "SP_COUNTRY_NAME")</f>
        <v>#INVALID COMPANY ID</v>
      </c>
      <c r="FY143" t="s">
        <v>643</v>
      </c>
      <c r="FZ143">
        <v>8365031</v>
      </c>
      <c r="GA143" t="s">
        <v>346</v>
      </c>
      <c r="GB143" s="11">
        <v>0.03</v>
      </c>
      <c r="GC143" s="9" t="str">
        <f>_xll.SNL.Clients.Office.Excel.Functions.SPG(FZ143, "SP_COUNTRY_NAME")</f>
        <v>Australia</v>
      </c>
      <c r="GH143" s="9" t="str">
        <f>_xll.SNL.Clients.Office.Excel.Functions.SPG(GE143, "SP_COUNTRY_NAME")</f>
        <v>#INVALID COMPANY ID</v>
      </c>
      <c r="GM143" s="9" t="str">
        <f>_xll.SNL.Clients.Office.Excel.Functions.SPG(GJ143, "SP_COUNTRY_NAME")</f>
        <v>#INVALID COMPANY ID</v>
      </c>
      <c r="GR143" s="9" t="str">
        <f>_xll.SNL.Clients.Office.Excel.Functions.SPG(GO143, "SP_COUNTRY_NAME")</f>
        <v>#INVALID COMPANY ID</v>
      </c>
      <c r="GS143" t="s">
        <v>823</v>
      </c>
      <c r="GT143">
        <v>4212913</v>
      </c>
      <c r="GU143" t="s">
        <v>346</v>
      </c>
      <c r="GV143" s="11">
        <v>0.01</v>
      </c>
      <c r="GW143" s="9" t="str">
        <f>_xll.SNL.Clients.Office.Excel.Functions.SPG(GT143, "SP_COUNTRY_NAME")</f>
        <v>Taiwan</v>
      </c>
      <c r="GX143" t="s">
        <v>1659</v>
      </c>
      <c r="GY143">
        <v>4134300</v>
      </c>
      <c r="GZ143" t="s">
        <v>364</v>
      </c>
      <c r="HA143" s="11">
        <v>0.02</v>
      </c>
      <c r="HB143" s="9" t="str">
        <f>_xll.SNL.Clients.Office.Excel.Functions.SPG(GY143, "SP_COUNTRY_NAME")</f>
        <v>USA</v>
      </c>
      <c r="HG143" s="9" t="str">
        <f>_xll.SNL.Clients.Office.Excel.Functions.SPG(HD143, "SP_COUNTRY_NAME")</f>
        <v>#INVALID COMPANY ID</v>
      </c>
    </row>
    <row r="144" spans="5:215" x14ac:dyDescent="0.35">
      <c r="E144" s="9" t="str">
        <f>_xll.SNL.Clients.Office.Excel.Functions.SPG(B144, "SP_COUNTRY_NAME")</f>
        <v>#INVALID COMPANY ID</v>
      </c>
      <c r="F144" t="s">
        <v>531</v>
      </c>
      <c r="G144">
        <v>4072215</v>
      </c>
      <c r="H144" t="s">
        <v>346</v>
      </c>
      <c r="I144" s="11">
        <v>0</v>
      </c>
      <c r="J144" s="9" t="str">
        <f>_xll.SNL.Clients.Office.Excel.Functions.SPG(G144, "SP_COUNTRY_NAME")</f>
        <v>USA</v>
      </c>
      <c r="O144" s="9" t="str">
        <f>_xll.SNL.Clients.Office.Excel.Functions.SPG(L144, "SP_COUNTRY_NAME")</f>
        <v>#INVALID COMPANY ID</v>
      </c>
      <c r="T144" s="9" t="str">
        <f>_xll.SNL.Clients.Office.Excel.Functions.SPG(Q144, "SP_COUNTRY_NAME")</f>
        <v>#INVALID COMPANY ID</v>
      </c>
      <c r="U144" t="s">
        <v>678</v>
      </c>
      <c r="V144">
        <v>5877799</v>
      </c>
      <c r="W144" t="s">
        <v>346</v>
      </c>
      <c r="X144" s="11">
        <v>0.02</v>
      </c>
      <c r="Y144" s="9" t="str">
        <f>_xll.SNL.Clients.Office.Excel.Functions.SPG(V144, "SP_COUNTRY_NAME")</f>
        <v>China</v>
      </c>
      <c r="AD144" s="9" t="str">
        <f>_xll.SNL.Clients.Office.Excel.Functions.SPG(AA144, "SP_COUNTRY_NAME")</f>
        <v>#INVALID COMPANY ID</v>
      </c>
      <c r="AE144" t="s">
        <v>546</v>
      </c>
      <c r="AF144">
        <v>4158830</v>
      </c>
      <c r="AG144" t="s">
        <v>346</v>
      </c>
      <c r="AH144" s="11">
        <v>0</v>
      </c>
      <c r="AI144" s="9" t="str">
        <f>_xll.SNL.Clients.Office.Excel.Functions.SPG(AF144, "SP_COUNTRY_NAME")</f>
        <v>USA</v>
      </c>
      <c r="AN144" s="9" t="str">
        <f>_xll.SNL.Clients.Office.Excel.Functions.SPG(AK144, "SP_COUNTRY_NAME")</f>
        <v>#INVALID COMPANY ID</v>
      </c>
      <c r="AO144" t="s">
        <v>1301</v>
      </c>
      <c r="AP144">
        <v>4326066</v>
      </c>
      <c r="AQ144" t="s">
        <v>346</v>
      </c>
      <c r="AR144" s="11">
        <v>0.01</v>
      </c>
      <c r="AS144" s="9" t="str">
        <f>_xll.SNL.Clients.Office.Excel.Functions.SPG(AP144, "SP_COUNTRY_NAME")</f>
        <v>South Africa</v>
      </c>
      <c r="AX144" s="9" t="str">
        <f>_xll.SNL.Clients.Office.Excel.Functions.SPG(AU144, "SP_COUNTRY_NAME")</f>
        <v>#INVALID COMPANY ID</v>
      </c>
      <c r="BC144" s="9" t="str">
        <f>_xll.SNL.Clients.Office.Excel.Functions.SPG(AZ144, "SP_COUNTRY_NAME")</f>
        <v>#INVALID COMPANY ID</v>
      </c>
      <c r="BD144" t="s">
        <v>1111</v>
      </c>
      <c r="BE144">
        <v>4139331</v>
      </c>
      <c r="BF144" t="s">
        <v>346</v>
      </c>
      <c r="BG144" s="11">
        <v>0.03</v>
      </c>
      <c r="BH144" s="9" t="str">
        <f>_xll.SNL.Clients.Office.Excel.Functions.SPG(BE144, "SP_COUNTRY_NAME")</f>
        <v>Switzerland</v>
      </c>
      <c r="BI144" t="s">
        <v>1012</v>
      </c>
      <c r="BJ144">
        <v>4139945</v>
      </c>
      <c r="BK144" t="s">
        <v>346</v>
      </c>
      <c r="BL144" s="11">
        <v>0.01</v>
      </c>
      <c r="BM144" s="9" t="str">
        <f>_xll.SNL.Clients.Office.Excel.Functions.SPG(BJ144, "SP_COUNTRY_NAME")</f>
        <v>France</v>
      </c>
      <c r="BN144" t="s">
        <v>977</v>
      </c>
      <c r="BO144">
        <v>4578628</v>
      </c>
      <c r="BP144" t="s">
        <v>346</v>
      </c>
      <c r="BQ144" s="11">
        <v>0.01</v>
      </c>
      <c r="BR144" s="9" t="str">
        <f>_xll.SNL.Clients.Office.Excel.Functions.SPG(BO144, "SP_COUNTRY_NAME")</f>
        <v>USA</v>
      </c>
      <c r="BS144" t="s">
        <v>799</v>
      </c>
      <c r="BT144">
        <v>6520584</v>
      </c>
      <c r="BU144" t="s">
        <v>346</v>
      </c>
      <c r="BV144" s="11">
        <v>0.02</v>
      </c>
      <c r="BW144" s="9" t="str">
        <f>_xll.SNL.Clients.Office.Excel.Functions.SPG(BT144, "SP_COUNTRY_NAME")</f>
        <v>China</v>
      </c>
      <c r="BX144" t="s">
        <v>678</v>
      </c>
      <c r="BY144">
        <v>5877799</v>
      </c>
      <c r="BZ144" t="s">
        <v>346</v>
      </c>
      <c r="CA144" s="11">
        <v>0.02</v>
      </c>
      <c r="CB144" s="9" t="str">
        <f>_xll.SNL.Clients.Office.Excel.Functions.SPG(BY144, "SP_COUNTRY_NAME")</f>
        <v>China</v>
      </c>
      <c r="CC144" t="s">
        <v>1660</v>
      </c>
      <c r="CD144">
        <v>5845172</v>
      </c>
      <c r="CE144" t="s">
        <v>346</v>
      </c>
      <c r="CF144" s="11">
        <v>0.02</v>
      </c>
      <c r="CG144" s="9" t="str">
        <f>_xll.SNL.Clients.Office.Excel.Functions.SPG(CD144, "SP_COUNTRY_NAME")</f>
        <v>Brazil</v>
      </c>
      <c r="CH144" t="s">
        <v>1301</v>
      </c>
      <c r="CI144">
        <v>4326066</v>
      </c>
      <c r="CJ144" t="s">
        <v>346</v>
      </c>
      <c r="CK144" s="11">
        <v>0.01</v>
      </c>
      <c r="CL144" s="9" t="str">
        <f>_xll.SNL.Clients.Office.Excel.Functions.SPG(CI144, "SP_COUNTRY_NAME")</f>
        <v>South Africa</v>
      </c>
      <c r="CM144" t="s">
        <v>1807</v>
      </c>
      <c r="CN144">
        <v>23890076</v>
      </c>
      <c r="CO144" t="s">
        <v>346</v>
      </c>
      <c r="CP144" s="11">
        <v>0.03</v>
      </c>
      <c r="CQ144" s="9" t="str">
        <f>_xll.SNL.Clients.Office.Excel.Functions.SPG(CN144, "SP_COUNTRY_NAME")</f>
        <v>USA</v>
      </c>
      <c r="CV144" s="9" t="str">
        <f>_xll.SNL.Clients.Office.Excel.Functions.SPG(CS144, "SP_COUNTRY_NAME")</f>
        <v>#INVALID COMPANY ID</v>
      </c>
      <c r="DA144" s="9" t="str">
        <f>_xll.SNL.Clients.Office.Excel.Functions.SPG(CX144, "SP_COUNTRY_NAME")</f>
        <v>#INVALID COMPANY ID</v>
      </c>
      <c r="DB144" t="s">
        <v>1111</v>
      </c>
      <c r="DC144">
        <v>4139331</v>
      </c>
      <c r="DD144" t="s">
        <v>346</v>
      </c>
      <c r="DE144" s="11">
        <v>0.03</v>
      </c>
      <c r="DF144" s="9" t="str">
        <f>_xll.SNL.Clients.Office.Excel.Functions.SPG(DC144, "SP_COUNTRY_NAME")</f>
        <v>Switzerland</v>
      </c>
      <c r="DK144" s="9" t="str">
        <f>_xll.SNL.Clients.Office.Excel.Functions.SPG(DH144, "SP_COUNTRY_NAME")</f>
        <v>#INVALID COMPANY ID</v>
      </c>
      <c r="DL144" t="s">
        <v>1111</v>
      </c>
      <c r="DM144">
        <v>4139331</v>
      </c>
      <c r="DN144" t="s">
        <v>346</v>
      </c>
      <c r="DO144" s="11">
        <v>0.03</v>
      </c>
      <c r="DP144" s="9" t="str">
        <f>_xll.SNL.Clients.Office.Excel.Functions.SPG(DM144, "SP_COUNTRY_NAME")</f>
        <v>Switzerland</v>
      </c>
      <c r="DU144" s="9" t="str">
        <f>_xll.SNL.Clients.Office.Excel.Functions.SPG(DR144, "SP_COUNTRY_NAME")</f>
        <v>#INVALID COMPANY ID</v>
      </c>
      <c r="DZ144" s="9" t="str">
        <f>_xll.SNL.Clients.Office.Excel.Functions.SPG(DW144, "SP_COUNTRY_NAME")</f>
        <v>#INVALID COMPANY ID</v>
      </c>
      <c r="EA144" t="s">
        <v>1660</v>
      </c>
      <c r="EB144">
        <v>5845172</v>
      </c>
      <c r="EC144" t="s">
        <v>346</v>
      </c>
      <c r="ED144" s="11">
        <v>0.02</v>
      </c>
      <c r="EE144" s="9" t="str">
        <f>_xll.SNL.Clients.Office.Excel.Functions.SPG(EB144, "SP_COUNTRY_NAME")</f>
        <v>Brazil</v>
      </c>
      <c r="EF144" t="s">
        <v>1111</v>
      </c>
      <c r="EG144">
        <v>4139331</v>
      </c>
      <c r="EH144" t="s">
        <v>346</v>
      </c>
      <c r="EI144" s="11">
        <v>0.03</v>
      </c>
      <c r="EJ144" s="9" t="str">
        <f>_xll.SNL.Clients.Office.Excel.Functions.SPG(EG144, "SP_COUNTRY_NAME")</f>
        <v>Switzerland</v>
      </c>
      <c r="EO144" s="9" t="str">
        <f>_xll.SNL.Clients.Office.Excel.Functions.SPG(EL144, "SP_COUNTRY_NAME")</f>
        <v>#INVALID COMPANY ID</v>
      </c>
      <c r="EP144" t="s">
        <v>480</v>
      </c>
      <c r="EQ144">
        <v>4119651</v>
      </c>
      <c r="ER144" t="s">
        <v>346</v>
      </c>
      <c r="ES144" s="11">
        <v>0</v>
      </c>
      <c r="ET144" s="9" t="str">
        <f>_xll.SNL.Clients.Office.Excel.Functions.SPG(EQ144, "SP_COUNTRY_NAME")</f>
        <v>USA</v>
      </c>
      <c r="EY144" s="9" t="str">
        <f>_xll.SNL.Clients.Office.Excel.Functions.SPG(EV144, "SP_COUNTRY_NAME")</f>
        <v>#INVALID COMPANY ID</v>
      </c>
      <c r="FD144" s="9" t="str">
        <f>_xll.SNL.Clients.Office.Excel.Functions.SPG(FA144, "SP_COUNTRY_NAME")</f>
        <v>#INVALID COMPANY ID</v>
      </c>
      <c r="FI144" s="9" t="str">
        <f>_xll.SNL.Clients.Office.Excel.Functions.SPG(FF144, "SP_COUNTRY_NAME")</f>
        <v>#INVALID COMPANY ID</v>
      </c>
      <c r="FN144" s="9" t="str">
        <f>_xll.SNL.Clients.Office.Excel.Functions.SPG(FK144, "SP_COUNTRY_NAME")</f>
        <v>#INVALID COMPANY ID</v>
      </c>
      <c r="FS144" s="9" t="str">
        <f>_xll.SNL.Clients.Office.Excel.Functions.SPG(FP144, "SP_COUNTRY_NAME")</f>
        <v>#INVALID COMPANY ID</v>
      </c>
      <c r="FX144" s="9" t="str">
        <f>_xll.SNL.Clients.Office.Excel.Functions.SPG(FU144, "SP_COUNTRY_NAME")</f>
        <v>#INVALID COMPANY ID</v>
      </c>
      <c r="FY144" t="s">
        <v>1111</v>
      </c>
      <c r="FZ144">
        <v>4139331</v>
      </c>
      <c r="GA144" t="s">
        <v>346</v>
      </c>
      <c r="GB144" s="11">
        <v>0.03</v>
      </c>
      <c r="GC144" s="9" t="str">
        <f>_xll.SNL.Clients.Office.Excel.Functions.SPG(FZ144, "SP_COUNTRY_NAME")</f>
        <v>Switzerland</v>
      </c>
      <c r="GH144" s="9" t="str">
        <f>_xll.SNL.Clients.Office.Excel.Functions.SPG(GE144, "SP_COUNTRY_NAME")</f>
        <v>#INVALID COMPANY ID</v>
      </c>
      <c r="GM144" s="9" t="str">
        <f>_xll.SNL.Clients.Office.Excel.Functions.SPG(GJ144, "SP_COUNTRY_NAME")</f>
        <v>#INVALID COMPANY ID</v>
      </c>
      <c r="GR144" s="9" t="str">
        <f>_xll.SNL.Clients.Office.Excel.Functions.SPG(GO144, "SP_COUNTRY_NAME")</f>
        <v>#INVALID COMPANY ID</v>
      </c>
      <c r="GS144" t="s">
        <v>977</v>
      </c>
      <c r="GT144">
        <v>4578628</v>
      </c>
      <c r="GU144" t="s">
        <v>346</v>
      </c>
      <c r="GV144" s="11">
        <v>0.01</v>
      </c>
      <c r="GW144" s="9" t="str">
        <f>_xll.SNL.Clients.Office.Excel.Functions.SPG(GT144, "SP_COUNTRY_NAME")</f>
        <v>USA</v>
      </c>
      <c r="GX144" t="s">
        <v>1660</v>
      </c>
      <c r="GY144">
        <v>5845172</v>
      </c>
      <c r="GZ144" t="s">
        <v>346</v>
      </c>
      <c r="HA144" s="11">
        <v>0.02</v>
      </c>
      <c r="HB144" s="9" t="str">
        <f>_xll.SNL.Clients.Office.Excel.Functions.SPG(GY144, "SP_COUNTRY_NAME")</f>
        <v>Brazil</v>
      </c>
      <c r="HG144" s="9" t="str">
        <f>_xll.SNL.Clients.Office.Excel.Functions.SPG(HD144, "SP_COUNTRY_NAME")</f>
        <v>#INVALID COMPANY ID</v>
      </c>
    </row>
    <row r="145" spans="5:215" x14ac:dyDescent="0.35">
      <c r="E145" s="9" t="str">
        <f>_xll.SNL.Clients.Office.Excel.Functions.SPG(B145, "SP_COUNTRY_NAME")</f>
        <v>#INVALID COMPANY ID</v>
      </c>
      <c r="F145" t="s">
        <v>532</v>
      </c>
      <c r="G145">
        <v>4225018</v>
      </c>
      <c r="H145" t="s">
        <v>346</v>
      </c>
      <c r="I145" s="11">
        <v>0</v>
      </c>
      <c r="J145" s="9" t="str">
        <f>_xll.SNL.Clients.Office.Excel.Functions.SPG(G145, "SP_COUNTRY_NAME")</f>
        <v>Taiwan</v>
      </c>
      <c r="O145" s="9" t="str">
        <f>_xll.SNL.Clients.Office.Excel.Functions.SPG(L145, "SP_COUNTRY_NAME")</f>
        <v>#INVALID COMPANY ID</v>
      </c>
      <c r="T145" s="9" t="str">
        <f>_xll.SNL.Clients.Office.Excel.Functions.SPG(Q145, "SP_COUNTRY_NAME")</f>
        <v>#INVALID COMPANY ID</v>
      </c>
      <c r="U145" t="s">
        <v>756</v>
      </c>
      <c r="V145">
        <v>4026891</v>
      </c>
      <c r="W145" t="s">
        <v>346</v>
      </c>
      <c r="X145" s="11">
        <v>0.02</v>
      </c>
      <c r="Y145" s="9" t="str">
        <f>_xll.SNL.Clients.Office.Excel.Functions.SPG(V145, "SP_COUNTRY_NAME")</f>
        <v>United Kingdom</v>
      </c>
      <c r="AD145" s="9" t="str">
        <f>_xll.SNL.Clients.Office.Excel.Functions.SPG(AA145, "SP_COUNTRY_NAME")</f>
        <v>#INVALID COMPANY ID</v>
      </c>
      <c r="AE145" t="s">
        <v>631</v>
      </c>
      <c r="AF145">
        <v>112247511</v>
      </c>
      <c r="AG145" t="s">
        <v>346</v>
      </c>
      <c r="AH145" s="11">
        <v>0</v>
      </c>
      <c r="AI145" s="9" t="str">
        <f>_xll.SNL.Clients.Office.Excel.Functions.SPG(AF145, "SP_COUNTRY_NAME")</f>
        <v>USA</v>
      </c>
      <c r="AN145" s="9" t="str">
        <f>_xll.SNL.Clients.Office.Excel.Functions.SPG(AK145, "SP_COUNTRY_NAME")</f>
        <v>#INVALID COMPANY ID</v>
      </c>
      <c r="AO145" t="s">
        <v>1302</v>
      </c>
      <c r="AP145" t="s">
        <v>300</v>
      </c>
      <c r="AQ145" t="s">
        <v>361</v>
      </c>
      <c r="AR145" s="11">
        <v>0.01</v>
      </c>
      <c r="AS145" s="9" t="str">
        <f>_xll.SNL.Clients.Office.Excel.Functions.SPG(AP145, "SP_COUNTRY_NAME")</f>
        <v>China</v>
      </c>
      <c r="AX145" s="9" t="str">
        <f>_xll.SNL.Clients.Office.Excel.Functions.SPG(AU145, "SP_COUNTRY_NAME")</f>
        <v>#INVALID COMPANY ID</v>
      </c>
      <c r="BC145" s="9" t="str">
        <f>_xll.SNL.Clients.Office.Excel.Functions.SPG(AZ145, "SP_COUNTRY_NAME")</f>
        <v>#INVALID COMPANY ID</v>
      </c>
      <c r="BD145" t="s">
        <v>974</v>
      </c>
      <c r="BE145">
        <v>5828077</v>
      </c>
      <c r="BF145" t="s">
        <v>346</v>
      </c>
      <c r="BG145" s="11">
        <v>0.03</v>
      </c>
      <c r="BH145" s="9" t="str">
        <f>_xll.SNL.Clients.Office.Excel.Functions.SPG(BE145, "SP_COUNTRY_NAME")</f>
        <v>United Kingdom</v>
      </c>
      <c r="BI145" t="s">
        <v>522</v>
      </c>
      <c r="BJ145">
        <v>4118373</v>
      </c>
      <c r="BK145" t="s">
        <v>346</v>
      </c>
      <c r="BL145" s="11">
        <v>0.01</v>
      </c>
      <c r="BM145" s="9" t="str">
        <f>_xll.SNL.Clients.Office.Excel.Functions.SPG(BJ145, "SP_COUNTRY_NAME")</f>
        <v>USA</v>
      </c>
      <c r="BN145" t="s">
        <v>452</v>
      </c>
      <c r="BO145">
        <v>4784107</v>
      </c>
      <c r="BP145" t="s">
        <v>346</v>
      </c>
      <c r="BQ145" s="11">
        <v>0.01</v>
      </c>
      <c r="BR145" s="9" t="str">
        <f>_xll.SNL.Clients.Office.Excel.Functions.SPG(BO145, "SP_COUNTRY_NAME")</f>
        <v>France</v>
      </c>
      <c r="BS145" t="s">
        <v>650</v>
      </c>
      <c r="BT145">
        <v>4550448</v>
      </c>
      <c r="BU145" t="s">
        <v>346</v>
      </c>
      <c r="BV145" s="11">
        <v>0.02</v>
      </c>
      <c r="BW145" s="9" t="str">
        <f>_xll.SNL.Clients.Office.Excel.Functions.SPG(BT145, "SP_COUNTRY_NAME")</f>
        <v>China</v>
      </c>
      <c r="BX145" t="s">
        <v>756</v>
      </c>
      <c r="BY145">
        <v>4026891</v>
      </c>
      <c r="BZ145" t="s">
        <v>346</v>
      </c>
      <c r="CA145" s="11">
        <v>0.02</v>
      </c>
      <c r="CB145" s="9" t="str">
        <f>_xll.SNL.Clients.Office.Excel.Functions.SPG(BY145, "SP_COUNTRY_NAME")</f>
        <v>United Kingdom</v>
      </c>
      <c r="CC145" t="s">
        <v>1454</v>
      </c>
      <c r="CD145">
        <v>6708326</v>
      </c>
      <c r="CE145" t="s">
        <v>370</v>
      </c>
      <c r="CF145" s="11">
        <v>0.02</v>
      </c>
      <c r="CG145" s="9" t="str">
        <f>_xll.SNL.Clients.Office.Excel.Functions.SPG(CD145, "SP_COUNTRY_NAME")</f>
        <v>USA</v>
      </c>
      <c r="CH145" t="s">
        <v>1302</v>
      </c>
      <c r="CI145" t="s">
        <v>300</v>
      </c>
      <c r="CJ145" t="s">
        <v>361</v>
      </c>
      <c r="CK145" s="11">
        <v>0.01</v>
      </c>
      <c r="CL145" s="9" t="str">
        <f>_xll.SNL.Clients.Office.Excel.Functions.SPG(CI145, "SP_COUNTRY_NAME")</f>
        <v>China</v>
      </c>
      <c r="CM145" t="s">
        <v>1300</v>
      </c>
      <c r="CN145">
        <v>7789918</v>
      </c>
      <c r="CO145" t="s">
        <v>346</v>
      </c>
      <c r="CP145" s="11">
        <v>0.03</v>
      </c>
      <c r="CQ145" s="9" t="str">
        <f>_xll.SNL.Clients.Office.Excel.Functions.SPG(CN145, "SP_COUNTRY_NAME")</f>
        <v>Luxembourg</v>
      </c>
      <c r="CV145" s="9" t="str">
        <f>_xll.SNL.Clients.Office.Excel.Functions.SPG(CS145, "SP_COUNTRY_NAME")</f>
        <v>#INVALID COMPANY ID</v>
      </c>
      <c r="DA145" s="9" t="str">
        <f>_xll.SNL.Clients.Office.Excel.Functions.SPG(CX145, "SP_COUNTRY_NAME")</f>
        <v>#INVALID COMPANY ID</v>
      </c>
      <c r="DB145" t="s">
        <v>974</v>
      </c>
      <c r="DC145">
        <v>5828077</v>
      </c>
      <c r="DD145" t="s">
        <v>346</v>
      </c>
      <c r="DE145" s="11">
        <v>0.03</v>
      </c>
      <c r="DF145" s="9" t="str">
        <f>_xll.SNL.Clients.Office.Excel.Functions.SPG(DC145, "SP_COUNTRY_NAME")</f>
        <v>United Kingdom</v>
      </c>
      <c r="DK145" s="9" t="str">
        <f>_xll.SNL.Clients.Office.Excel.Functions.SPG(DH145, "SP_COUNTRY_NAME")</f>
        <v>#INVALID COMPANY ID</v>
      </c>
      <c r="DL145" t="s">
        <v>974</v>
      </c>
      <c r="DM145">
        <v>5828077</v>
      </c>
      <c r="DN145" t="s">
        <v>346</v>
      </c>
      <c r="DO145" s="11">
        <v>0.03</v>
      </c>
      <c r="DP145" s="9" t="str">
        <f>_xll.SNL.Clients.Office.Excel.Functions.SPG(DM145, "SP_COUNTRY_NAME")</f>
        <v>United Kingdom</v>
      </c>
      <c r="DU145" s="9" t="str">
        <f>_xll.SNL.Clients.Office.Excel.Functions.SPG(DR145, "SP_COUNTRY_NAME")</f>
        <v>#INVALID COMPANY ID</v>
      </c>
      <c r="DZ145" s="9" t="str">
        <f>_xll.SNL.Clients.Office.Excel.Functions.SPG(DW145, "SP_COUNTRY_NAME")</f>
        <v>#INVALID COMPANY ID</v>
      </c>
      <c r="EA145" t="s">
        <v>1454</v>
      </c>
      <c r="EB145">
        <v>6708326</v>
      </c>
      <c r="EC145" t="s">
        <v>370</v>
      </c>
      <c r="ED145" s="11">
        <v>0.02</v>
      </c>
      <c r="EE145" s="9" t="str">
        <f>_xll.SNL.Clients.Office.Excel.Functions.SPG(EB145, "SP_COUNTRY_NAME")</f>
        <v>USA</v>
      </c>
      <c r="EF145" t="s">
        <v>974</v>
      </c>
      <c r="EG145">
        <v>5828077</v>
      </c>
      <c r="EH145" t="s">
        <v>346</v>
      </c>
      <c r="EI145" s="11">
        <v>0.03</v>
      </c>
      <c r="EJ145" s="9" t="str">
        <f>_xll.SNL.Clients.Office.Excel.Functions.SPG(EG145, "SP_COUNTRY_NAME")</f>
        <v>United Kingdom</v>
      </c>
      <c r="EO145" s="9" t="str">
        <f>_xll.SNL.Clients.Office.Excel.Functions.SPG(EL145, "SP_COUNTRY_NAME")</f>
        <v>#INVALID COMPANY ID</v>
      </c>
      <c r="EP145" t="s">
        <v>790</v>
      </c>
      <c r="EQ145">
        <v>5883003</v>
      </c>
      <c r="ER145" t="s">
        <v>346</v>
      </c>
      <c r="ES145" s="11">
        <v>0</v>
      </c>
      <c r="ET145" s="9" t="str">
        <f>_xll.SNL.Clients.Office.Excel.Functions.SPG(EQ145, "SP_COUNTRY_NAME")</f>
        <v>China</v>
      </c>
      <c r="EY145" s="9" t="str">
        <f>_xll.SNL.Clients.Office.Excel.Functions.SPG(EV145, "SP_COUNTRY_NAME")</f>
        <v>#INVALID COMPANY ID</v>
      </c>
      <c r="FD145" s="9" t="str">
        <f>_xll.SNL.Clients.Office.Excel.Functions.SPG(FA145, "SP_COUNTRY_NAME")</f>
        <v>#INVALID COMPANY ID</v>
      </c>
      <c r="FI145" s="9" t="str">
        <f>_xll.SNL.Clients.Office.Excel.Functions.SPG(FF145, "SP_COUNTRY_NAME")</f>
        <v>#INVALID COMPANY ID</v>
      </c>
      <c r="FN145" s="9" t="str">
        <f>_xll.SNL.Clients.Office.Excel.Functions.SPG(FK145, "SP_COUNTRY_NAME")</f>
        <v>#INVALID COMPANY ID</v>
      </c>
      <c r="FS145" s="9" t="str">
        <f>_xll.SNL.Clients.Office.Excel.Functions.SPG(FP145, "SP_COUNTRY_NAME")</f>
        <v>#INVALID COMPANY ID</v>
      </c>
      <c r="FX145" s="9" t="str">
        <f>_xll.SNL.Clients.Office.Excel.Functions.SPG(FU145, "SP_COUNTRY_NAME")</f>
        <v>#INVALID COMPANY ID</v>
      </c>
      <c r="FY145" t="s">
        <v>974</v>
      </c>
      <c r="FZ145">
        <v>5828077</v>
      </c>
      <c r="GA145" t="s">
        <v>346</v>
      </c>
      <c r="GB145" s="11">
        <v>0.03</v>
      </c>
      <c r="GC145" s="9" t="str">
        <f>_xll.SNL.Clients.Office.Excel.Functions.SPG(FZ145, "SP_COUNTRY_NAME")</f>
        <v>United Kingdom</v>
      </c>
      <c r="GH145" s="9" t="str">
        <f>_xll.SNL.Clients.Office.Excel.Functions.SPG(GE145, "SP_COUNTRY_NAME")</f>
        <v>#INVALID COMPANY ID</v>
      </c>
      <c r="GM145" s="9" t="str">
        <f>_xll.SNL.Clients.Office.Excel.Functions.SPG(GJ145, "SP_COUNTRY_NAME")</f>
        <v>#INVALID COMPANY ID</v>
      </c>
      <c r="GR145" s="9" t="str">
        <f>_xll.SNL.Clients.Office.Excel.Functions.SPG(GO145, "SP_COUNTRY_NAME")</f>
        <v>#INVALID COMPANY ID</v>
      </c>
      <c r="GS145" t="s">
        <v>452</v>
      </c>
      <c r="GT145">
        <v>4784107</v>
      </c>
      <c r="GU145" t="s">
        <v>346</v>
      </c>
      <c r="GV145" s="11">
        <v>0.01</v>
      </c>
      <c r="GW145" s="9" t="str">
        <f>_xll.SNL.Clients.Office.Excel.Functions.SPG(GT145, "SP_COUNTRY_NAME")</f>
        <v>France</v>
      </c>
      <c r="GX145" t="s">
        <v>1454</v>
      </c>
      <c r="GY145">
        <v>6708326</v>
      </c>
      <c r="GZ145" t="s">
        <v>370</v>
      </c>
      <c r="HA145" s="11">
        <v>0.02</v>
      </c>
      <c r="HB145" s="9" t="str">
        <f>_xll.SNL.Clients.Office.Excel.Functions.SPG(GY145, "SP_COUNTRY_NAME")</f>
        <v>USA</v>
      </c>
      <c r="HG145" s="9" t="str">
        <f>_xll.SNL.Clients.Office.Excel.Functions.SPG(HD145, "SP_COUNTRY_NAME")</f>
        <v>#INVALID COMPANY ID</v>
      </c>
    </row>
    <row r="146" spans="5:215" x14ac:dyDescent="0.35">
      <c r="E146" s="9" t="str">
        <f>_xll.SNL.Clients.Office.Excel.Functions.SPG(B146, "SP_COUNTRY_NAME")</f>
        <v>#INVALID COMPANY ID</v>
      </c>
      <c r="F146" t="s">
        <v>533</v>
      </c>
      <c r="G146">
        <v>4377155</v>
      </c>
      <c r="H146" t="s">
        <v>346</v>
      </c>
      <c r="I146" s="11">
        <v>0</v>
      </c>
      <c r="J146" s="9" t="str">
        <f>_xll.SNL.Clients.Office.Excel.Functions.SPG(G146, "SP_COUNTRY_NAME")</f>
        <v>Belgium</v>
      </c>
      <c r="O146" s="9" t="str">
        <f>_xll.SNL.Clients.Office.Excel.Functions.SPG(L146, "SP_COUNTRY_NAME")</f>
        <v>#INVALID COMPANY ID</v>
      </c>
      <c r="T146" s="9" t="str">
        <f>_xll.SNL.Clients.Office.Excel.Functions.SPG(Q146, "SP_COUNTRY_NAME")</f>
        <v>#INVALID COMPANY ID</v>
      </c>
      <c r="U146" t="s">
        <v>407</v>
      </c>
      <c r="V146">
        <v>109754</v>
      </c>
      <c r="W146" t="s">
        <v>346</v>
      </c>
      <c r="X146" s="11">
        <v>0.02</v>
      </c>
      <c r="Y146" s="9" t="str">
        <f>_xll.SNL.Clients.Office.Excel.Functions.SPG(V146, "SP_COUNTRY_NAME")</f>
        <v>USA</v>
      </c>
      <c r="AD146" s="9" t="str">
        <f>_xll.SNL.Clients.Office.Excel.Functions.SPG(AA146, "SP_COUNTRY_NAME")</f>
        <v>#INVALID COMPANY ID</v>
      </c>
      <c r="AE146" t="s">
        <v>1156</v>
      </c>
      <c r="AF146">
        <v>142497992</v>
      </c>
      <c r="AG146" t="s">
        <v>346</v>
      </c>
      <c r="AH146" s="11">
        <v>0</v>
      </c>
      <c r="AI146" s="9" t="str">
        <f>_xll.SNL.Clients.Office.Excel.Functions.SPG(AF146, "SP_COUNTRY_NAME")</f>
        <v>Luxembourg</v>
      </c>
      <c r="AN146" s="9" t="str">
        <f>_xll.SNL.Clients.Office.Excel.Functions.SPG(AK146, "SP_COUNTRY_NAME")</f>
        <v>#INVALID COMPANY ID</v>
      </c>
      <c r="AO146" t="s">
        <v>1303</v>
      </c>
      <c r="AP146">
        <v>4265061</v>
      </c>
      <c r="AQ146" t="s">
        <v>346</v>
      </c>
      <c r="AR146" s="11">
        <v>0.01</v>
      </c>
      <c r="AS146" s="9" t="str">
        <f>_xll.SNL.Clients.Office.Excel.Functions.SPG(AP146, "SP_COUNTRY_NAME")</f>
        <v>South Africa</v>
      </c>
      <c r="AX146" s="9" t="str">
        <f>_xll.SNL.Clients.Office.Excel.Functions.SPG(AU146, "SP_COUNTRY_NAME")</f>
        <v>#INVALID COMPANY ID</v>
      </c>
      <c r="BC146" s="9" t="str">
        <f>_xll.SNL.Clients.Office.Excel.Functions.SPG(AZ146, "SP_COUNTRY_NAME")</f>
        <v>#INVALID COMPANY ID</v>
      </c>
      <c r="BD146" t="s">
        <v>1435</v>
      </c>
      <c r="BE146">
        <v>4239389</v>
      </c>
      <c r="BF146" t="s">
        <v>346</v>
      </c>
      <c r="BG146" s="11">
        <v>0.03</v>
      </c>
      <c r="BH146" s="9" t="str">
        <f>_xll.SNL.Clients.Office.Excel.Functions.SPG(BE146, "SP_COUNTRY_NAME")</f>
        <v>Ireland</v>
      </c>
      <c r="BI146" t="s">
        <v>1165</v>
      </c>
      <c r="BJ146">
        <v>10655279</v>
      </c>
      <c r="BK146" t="s">
        <v>346</v>
      </c>
      <c r="BL146" s="11">
        <v>0.01</v>
      </c>
      <c r="BM146" s="9" t="str">
        <f>_xll.SNL.Clients.Office.Excel.Functions.SPG(BJ146, "SP_COUNTRY_NAME")</f>
        <v>United Kingdom</v>
      </c>
      <c r="BN146" t="s">
        <v>831</v>
      </c>
      <c r="BO146">
        <v>109508756</v>
      </c>
      <c r="BP146" t="s">
        <v>346</v>
      </c>
      <c r="BQ146" s="11">
        <v>0.01</v>
      </c>
      <c r="BR146" s="9" t="str">
        <f>_xll.SNL.Clients.Office.Excel.Functions.SPG(BO146, "SP_COUNTRY_NAME")</f>
        <v>#INVALID COMPANY ID</v>
      </c>
      <c r="BS146" t="s">
        <v>461</v>
      </c>
      <c r="BT146">
        <v>4137912</v>
      </c>
      <c r="BU146" t="s">
        <v>346</v>
      </c>
      <c r="BV146" s="11">
        <v>0.02</v>
      </c>
      <c r="BW146" s="9" t="str">
        <f>_xll.SNL.Clients.Office.Excel.Functions.SPG(BT146, "SP_COUNTRY_NAME")</f>
        <v>Germany</v>
      </c>
      <c r="BX146" t="s">
        <v>407</v>
      </c>
      <c r="BY146">
        <v>109754</v>
      </c>
      <c r="BZ146" t="s">
        <v>346</v>
      </c>
      <c r="CA146" s="11">
        <v>0.02</v>
      </c>
      <c r="CB146" s="9" t="str">
        <f>_xll.SNL.Clients.Office.Excel.Functions.SPG(BY146, "SP_COUNTRY_NAME")</f>
        <v>USA</v>
      </c>
      <c r="CC146" t="s">
        <v>1661</v>
      </c>
      <c r="CD146">
        <v>4092965</v>
      </c>
      <c r="CE146" t="s">
        <v>366</v>
      </c>
      <c r="CF146" s="11">
        <v>0.02</v>
      </c>
      <c r="CG146" s="9" t="str">
        <f>_xll.SNL.Clients.Office.Excel.Functions.SPG(CD146, "SP_COUNTRY_NAME")</f>
        <v>USA</v>
      </c>
      <c r="CH146" t="s">
        <v>1303</v>
      </c>
      <c r="CI146">
        <v>4265061</v>
      </c>
      <c r="CJ146" t="s">
        <v>346</v>
      </c>
      <c r="CK146" s="11">
        <v>0.01</v>
      </c>
      <c r="CL146" s="9" t="str">
        <f>_xll.SNL.Clients.Office.Excel.Functions.SPG(CI146, "SP_COUNTRY_NAME")</f>
        <v>South Africa</v>
      </c>
      <c r="CM146" t="s">
        <v>1975</v>
      </c>
      <c r="CN146">
        <v>115711662</v>
      </c>
      <c r="CO146" t="s">
        <v>276</v>
      </c>
      <c r="CP146" s="11">
        <v>0.03</v>
      </c>
      <c r="CQ146" s="9" t="str">
        <f>_xll.SNL.Clients.Office.Excel.Functions.SPG(CN146, "SP_COUNTRY_NAME")</f>
        <v>USA</v>
      </c>
      <c r="CV146" s="9" t="str">
        <f>_xll.SNL.Clients.Office.Excel.Functions.SPG(CS146, "SP_COUNTRY_NAME")</f>
        <v>#INVALID COMPANY ID</v>
      </c>
      <c r="DA146" s="9" t="str">
        <f>_xll.SNL.Clients.Office.Excel.Functions.SPG(CX146, "SP_COUNTRY_NAME")</f>
        <v>#INVALID COMPANY ID</v>
      </c>
      <c r="DB146" t="s">
        <v>1435</v>
      </c>
      <c r="DC146">
        <v>4239389</v>
      </c>
      <c r="DD146" t="s">
        <v>346</v>
      </c>
      <c r="DE146" s="11">
        <v>0.03</v>
      </c>
      <c r="DF146" s="9" t="str">
        <f>_xll.SNL.Clients.Office.Excel.Functions.SPG(DC146, "SP_COUNTRY_NAME")</f>
        <v>Ireland</v>
      </c>
      <c r="DK146" s="9" t="str">
        <f>_xll.SNL.Clients.Office.Excel.Functions.SPG(DH146, "SP_COUNTRY_NAME")</f>
        <v>#INVALID COMPANY ID</v>
      </c>
      <c r="DL146" t="s">
        <v>1435</v>
      </c>
      <c r="DM146">
        <v>4239389</v>
      </c>
      <c r="DN146" t="s">
        <v>346</v>
      </c>
      <c r="DO146" s="11">
        <v>0.03</v>
      </c>
      <c r="DP146" s="9" t="str">
        <f>_xll.SNL.Clients.Office.Excel.Functions.SPG(DM146, "SP_COUNTRY_NAME")</f>
        <v>Ireland</v>
      </c>
      <c r="DU146" s="9" t="str">
        <f>_xll.SNL.Clients.Office.Excel.Functions.SPG(DR146, "SP_COUNTRY_NAME")</f>
        <v>#INVALID COMPANY ID</v>
      </c>
      <c r="DZ146" s="9" t="str">
        <f>_xll.SNL.Clients.Office.Excel.Functions.SPG(DW146, "SP_COUNTRY_NAME")</f>
        <v>#INVALID COMPANY ID</v>
      </c>
      <c r="EA146" t="s">
        <v>1661</v>
      </c>
      <c r="EB146">
        <v>4092965</v>
      </c>
      <c r="EC146" t="s">
        <v>366</v>
      </c>
      <c r="ED146" s="11">
        <v>0.02</v>
      </c>
      <c r="EE146" s="9" t="str">
        <f>_xll.SNL.Clients.Office.Excel.Functions.SPG(EB146, "SP_COUNTRY_NAME")</f>
        <v>USA</v>
      </c>
      <c r="EF146" t="s">
        <v>1435</v>
      </c>
      <c r="EG146">
        <v>4239389</v>
      </c>
      <c r="EH146" t="s">
        <v>346</v>
      </c>
      <c r="EI146" s="11">
        <v>0.03</v>
      </c>
      <c r="EJ146" s="9" t="str">
        <f>_xll.SNL.Clients.Office.Excel.Functions.SPG(EG146, "SP_COUNTRY_NAME")</f>
        <v>Ireland</v>
      </c>
      <c r="EO146" s="9" t="str">
        <f>_xll.SNL.Clients.Office.Excel.Functions.SPG(EL146, "SP_COUNTRY_NAME")</f>
        <v>#INVALID COMPANY ID</v>
      </c>
      <c r="EP146" t="s">
        <v>748</v>
      </c>
      <c r="EQ146">
        <v>4138088</v>
      </c>
      <c r="ER146" t="s">
        <v>346</v>
      </c>
      <c r="ES146" s="11">
        <v>0</v>
      </c>
      <c r="ET146" s="9" t="str">
        <f>_xll.SNL.Clients.Office.Excel.Functions.SPG(EQ146, "SP_COUNTRY_NAME")</f>
        <v>China</v>
      </c>
      <c r="EY146" s="9" t="str">
        <f>_xll.SNL.Clients.Office.Excel.Functions.SPG(EV146, "SP_COUNTRY_NAME")</f>
        <v>#INVALID COMPANY ID</v>
      </c>
      <c r="FD146" s="9" t="str">
        <f>_xll.SNL.Clients.Office.Excel.Functions.SPG(FA146, "SP_COUNTRY_NAME")</f>
        <v>#INVALID COMPANY ID</v>
      </c>
      <c r="FI146" s="9" t="str">
        <f>_xll.SNL.Clients.Office.Excel.Functions.SPG(FF146, "SP_COUNTRY_NAME")</f>
        <v>#INVALID COMPANY ID</v>
      </c>
      <c r="FN146" s="9" t="str">
        <f>_xll.SNL.Clients.Office.Excel.Functions.SPG(FK146, "SP_COUNTRY_NAME")</f>
        <v>#INVALID COMPANY ID</v>
      </c>
      <c r="FS146" s="9" t="str">
        <f>_xll.SNL.Clients.Office.Excel.Functions.SPG(FP146, "SP_COUNTRY_NAME")</f>
        <v>#INVALID COMPANY ID</v>
      </c>
      <c r="FX146" s="9" t="str">
        <f>_xll.SNL.Clients.Office.Excel.Functions.SPG(FU146, "SP_COUNTRY_NAME")</f>
        <v>#INVALID COMPANY ID</v>
      </c>
      <c r="FY146" t="s">
        <v>1435</v>
      </c>
      <c r="FZ146">
        <v>4239389</v>
      </c>
      <c r="GA146" t="s">
        <v>346</v>
      </c>
      <c r="GB146" s="11">
        <v>0.03</v>
      </c>
      <c r="GC146" s="9" t="str">
        <f>_xll.SNL.Clients.Office.Excel.Functions.SPG(FZ146, "SP_COUNTRY_NAME")</f>
        <v>Ireland</v>
      </c>
      <c r="GH146" s="9" t="str">
        <f>_xll.SNL.Clients.Office.Excel.Functions.SPG(GE146, "SP_COUNTRY_NAME")</f>
        <v>#INVALID COMPANY ID</v>
      </c>
      <c r="GM146" s="9" t="str">
        <f>_xll.SNL.Clients.Office.Excel.Functions.SPG(GJ146, "SP_COUNTRY_NAME")</f>
        <v>#INVALID COMPANY ID</v>
      </c>
      <c r="GR146" s="9" t="str">
        <f>_xll.SNL.Clients.Office.Excel.Functions.SPG(GO146, "SP_COUNTRY_NAME")</f>
        <v>#INVALID COMPANY ID</v>
      </c>
      <c r="GS146" t="s">
        <v>831</v>
      </c>
      <c r="GT146">
        <v>109508756</v>
      </c>
      <c r="GU146" t="s">
        <v>346</v>
      </c>
      <c r="GV146" s="11">
        <v>0.01</v>
      </c>
      <c r="GW146" s="9" t="str">
        <f>_xll.SNL.Clients.Office.Excel.Functions.SPG(GT146, "SP_COUNTRY_NAME")</f>
        <v>#INVALID COMPANY ID</v>
      </c>
      <c r="GX146" t="s">
        <v>1661</v>
      </c>
      <c r="GY146">
        <v>4092965</v>
      </c>
      <c r="GZ146" t="s">
        <v>366</v>
      </c>
      <c r="HA146" s="11">
        <v>0.02</v>
      </c>
      <c r="HB146" s="9" t="str">
        <f>_xll.SNL.Clients.Office.Excel.Functions.SPG(GY146, "SP_COUNTRY_NAME")</f>
        <v>USA</v>
      </c>
      <c r="HG146" s="9" t="str">
        <f>_xll.SNL.Clients.Office.Excel.Functions.SPG(HD146, "SP_COUNTRY_NAME")</f>
        <v>#INVALID COMPANY ID</v>
      </c>
    </row>
    <row r="147" spans="5:215" x14ac:dyDescent="0.35">
      <c r="E147" s="9" t="str">
        <f>_xll.SNL.Clients.Office.Excel.Functions.SPG(B147, "SP_COUNTRY_NAME")</f>
        <v>#INVALID COMPANY ID</v>
      </c>
      <c r="F147" t="s">
        <v>534</v>
      </c>
      <c r="G147">
        <v>4139851</v>
      </c>
      <c r="H147" t="s">
        <v>346</v>
      </c>
      <c r="I147" s="11">
        <v>0</v>
      </c>
      <c r="J147" s="9" t="str">
        <f>_xll.SNL.Clients.Office.Excel.Functions.SPG(G147, "SP_COUNTRY_NAME")</f>
        <v>Japan</v>
      </c>
      <c r="O147" s="9" t="str">
        <f>_xll.SNL.Clients.Office.Excel.Functions.SPG(L147, "SP_COUNTRY_NAME")</f>
        <v>#INVALID COMPANY ID</v>
      </c>
      <c r="T147" s="9" t="str">
        <f>_xll.SNL.Clients.Office.Excel.Functions.SPG(Q147, "SP_COUNTRY_NAME")</f>
        <v>#INVALID COMPANY ID</v>
      </c>
      <c r="U147" t="s">
        <v>757</v>
      </c>
      <c r="V147">
        <v>5804546</v>
      </c>
      <c r="W147" t="s">
        <v>364</v>
      </c>
      <c r="X147" s="11">
        <v>0.01</v>
      </c>
      <c r="Y147" s="9" t="str">
        <f>_xll.SNL.Clients.Office.Excel.Functions.SPG(V147, "SP_COUNTRY_NAME")</f>
        <v>Singapore</v>
      </c>
      <c r="AD147" s="9" t="str">
        <f>_xll.SNL.Clients.Office.Excel.Functions.SPG(AA147, "SP_COUNTRY_NAME")</f>
        <v>#INVALID COMPANY ID</v>
      </c>
      <c r="AE147" t="s">
        <v>1157</v>
      </c>
      <c r="AF147">
        <v>4090274</v>
      </c>
      <c r="AG147" t="s">
        <v>346</v>
      </c>
      <c r="AH147" s="11">
        <v>0</v>
      </c>
      <c r="AI147" s="9" t="str">
        <f>_xll.SNL.Clients.Office.Excel.Functions.SPG(AF147, "SP_COUNTRY_NAME")</f>
        <v>USA</v>
      </c>
      <c r="AN147" s="9" t="str">
        <f>_xll.SNL.Clients.Office.Excel.Functions.SPG(AK147, "SP_COUNTRY_NAME")</f>
        <v>#INVALID COMPANY ID</v>
      </c>
      <c r="AO147" t="s">
        <v>974</v>
      </c>
      <c r="AP147">
        <v>5828077</v>
      </c>
      <c r="AQ147" t="s">
        <v>346</v>
      </c>
      <c r="AR147" s="11">
        <v>0.01</v>
      </c>
      <c r="AS147" s="9" t="str">
        <f>_xll.SNL.Clients.Office.Excel.Functions.SPG(AP147, "SP_COUNTRY_NAME")</f>
        <v>United Kingdom</v>
      </c>
      <c r="AX147" s="9" t="str">
        <f>_xll.SNL.Clients.Office.Excel.Functions.SPG(AU147, "SP_COUNTRY_NAME")</f>
        <v>#INVALID COMPANY ID</v>
      </c>
      <c r="BC147" s="9" t="str">
        <f>_xll.SNL.Clients.Office.Excel.Functions.SPG(AZ147, "SP_COUNTRY_NAME")</f>
        <v>#INVALID COMPANY ID</v>
      </c>
      <c r="BD147" t="s">
        <v>415</v>
      </c>
      <c r="BE147">
        <v>110587</v>
      </c>
      <c r="BF147" t="s">
        <v>346</v>
      </c>
      <c r="BG147" s="11">
        <v>0.03</v>
      </c>
      <c r="BH147" s="9" t="str">
        <f>_xll.SNL.Clients.Office.Excel.Functions.SPG(BE147, "SP_COUNTRY_NAME")</f>
        <v>USA</v>
      </c>
      <c r="BI147" t="s">
        <v>622</v>
      </c>
      <c r="BJ147">
        <v>4072625</v>
      </c>
      <c r="BK147" t="s">
        <v>346</v>
      </c>
      <c r="BL147" s="11">
        <v>0.01</v>
      </c>
      <c r="BM147" s="9" t="str">
        <f>_xll.SNL.Clients.Office.Excel.Functions.SPG(BJ147, "SP_COUNTRY_NAME")</f>
        <v>USA</v>
      </c>
      <c r="BN147" t="s">
        <v>746</v>
      </c>
      <c r="BO147">
        <v>4332537</v>
      </c>
      <c r="BP147" t="s">
        <v>346</v>
      </c>
      <c r="BQ147" s="11">
        <v>0.01</v>
      </c>
      <c r="BR147" s="9" t="str">
        <f>_xll.SNL.Clients.Office.Excel.Functions.SPG(BO147, "SP_COUNTRY_NAME")</f>
        <v>China</v>
      </c>
      <c r="BS147" t="s">
        <v>754</v>
      </c>
      <c r="BT147">
        <v>11183019</v>
      </c>
      <c r="BU147" t="s">
        <v>346</v>
      </c>
      <c r="BV147" s="11">
        <v>0.02</v>
      </c>
      <c r="BW147" s="9" t="str">
        <f>_xll.SNL.Clients.Office.Excel.Functions.SPG(BT147, "SP_COUNTRY_NAME")</f>
        <v>China</v>
      </c>
      <c r="BX147" t="s">
        <v>757</v>
      </c>
      <c r="BY147">
        <v>5804546</v>
      </c>
      <c r="BZ147" t="s">
        <v>364</v>
      </c>
      <c r="CA147" s="11">
        <v>0.01</v>
      </c>
      <c r="CB147" s="9" t="str">
        <f>_xll.SNL.Clients.Office.Excel.Functions.SPG(BY147, "SP_COUNTRY_NAME")</f>
        <v>Singapore</v>
      </c>
      <c r="CC147" t="s">
        <v>451</v>
      </c>
      <c r="CD147">
        <v>5747632</v>
      </c>
      <c r="CE147" t="s">
        <v>346</v>
      </c>
      <c r="CF147" s="11">
        <v>0.02</v>
      </c>
      <c r="CG147" s="9" t="str">
        <f>_xll.SNL.Clients.Office.Excel.Functions.SPG(CD147, "SP_COUNTRY_NAME")</f>
        <v>Canada</v>
      </c>
      <c r="CH147" t="s">
        <v>974</v>
      </c>
      <c r="CI147">
        <v>5828077</v>
      </c>
      <c r="CJ147" t="s">
        <v>346</v>
      </c>
      <c r="CK147" s="11">
        <v>0.01</v>
      </c>
      <c r="CL147" s="9" t="str">
        <f>_xll.SNL.Clients.Office.Excel.Functions.SPG(CI147, "SP_COUNTRY_NAME")</f>
        <v>United Kingdom</v>
      </c>
      <c r="CM147" t="s">
        <v>452</v>
      </c>
      <c r="CN147">
        <v>4784107</v>
      </c>
      <c r="CO147" t="s">
        <v>346</v>
      </c>
      <c r="CP147" s="11">
        <v>0.03</v>
      </c>
      <c r="CQ147" s="9" t="str">
        <f>_xll.SNL.Clients.Office.Excel.Functions.SPG(CN147, "SP_COUNTRY_NAME")</f>
        <v>France</v>
      </c>
      <c r="CV147" s="9" t="str">
        <f>_xll.SNL.Clients.Office.Excel.Functions.SPG(CS147, "SP_COUNTRY_NAME")</f>
        <v>#INVALID COMPANY ID</v>
      </c>
      <c r="DA147" s="9" t="str">
        <f>_xll.SNL.Clients.Office.Excel.Functions.SPG(CX147, "SP_COUNTRY_NAME")</f>
        <v>#INVALID COMPANY ID</v>
      </c>
      <c r="DB147" t="s">
        <v>415</v>
      </c>
      <c r="DC147">
        <v>110587</v>
      </c>
      <c r="DD147" t="s">
        <v>346</v>
      </c>
      <c r="DE147" s="11">
        <v>0.03</v>
      </c>
      <c r="DF147" s="9" t="str">
        <f>_xll.SNL.Clients.Office.Excel.Functions.SPG(DC147, "SP_COUNTRY_NAME")</f>
        <v>USA</v>
      </c>
      <c r="DK147" s="9" t="str">
        <f>_xll.SNL.Clients.Office.Excel.Functions.SPG(DH147, "SP_COUNTRY_NAME")</f>
        <v>#INVALID COMPANY ID</v>
      </c>
      <c r="DL147" t="s">
        <v>415</v>
      </c>
      <c r="DM147">
        <v>110587</v>
      </c>
      <c r="DN147" t="s">
        <v>346</v>
      </c>
      <c r="DO147" s="11">
        <v>0.03</v>
      </c>
      <c r="DP147" s="9" t="str">
        <f>_xll.SNL.Clients.Office.Excel.Functions.SPG(DM147, "SP_COUNTRY_NAME")</f>
        <v>USA</v>
      </c>
      <c r="DU147" s="9" t="str">
        <f>_xll.SNL.Clients.Office.Excel.Functions.SPG(DR147, "SP_COUNTRY_NAME")</f>
        <v>#INVALID COMPANY ID</v>
      </c>
      <c r="DZ147" s="9" t="str">
        <f>_xll.SNL.Clients.Office.Excel.Functions.SPG(DW147, "SP_COUNTRY_NAME")</f>
        <v>#INVALID COMPANY ID</v>
      </c>
      <c r="EA147" t="s">
        <v>451</v>
      </c>
      <c r="EB147">
        <v>5747632</v>
      </c>
      <c r="EC147" t="s">
        <v>346</v>
      </c>
      <c r="ED147" s="11">
        <v>0.02</v>
      </c>
      <c r="EE147" s="9" t="str">
        <f>_xll.SNL.Clients.Office.Excel.Functions.SPG(EB147, "SP_COUNTRY_NAME")</f>
        <v>Canada</v>
      </c>
      <c r="EF147" t="s">
        <v>415</v>
      </c>
      <c r="EG147">
        <v>110587</v>
      </c>
      <c r="EH147" t="s">
        <v>346</v>
      </c>
      <c r="EI147" s="11">
        <v>0.03</v>
      </c>
      <c r="EJ147" s="9" t="str">
        <f>_xll.SNL.Clients.Office.Excel.Functions.SPG(EG147, "SP_COUNTRY_NAME")</f>
        <v>USA</v>
      </c>
      <c r="EO147" s="9" t="str">
        <f>_xll.SNL.Clients.Office.Excel.Functions.SPG(EL147, "SP_COUNTRY_NAME")</f>
        <v>#INVALID COMPANY ID</v>
      </c>
      <c r="EP147" t="s">
        <v>930</v>
      </c>
      <c r="EQ147">
        <v>6892772</v>
      </c>
      <c r="ER147" t="s">
        <v>346</v>
      </c>
      <c r="ES147" s="11">
        <v>0</v>
      </c>
      <c r="ET147" s="9" t="str">
        <f>_xll.SNL.Clients.Office.Excel.Functions.SPG(EQ147, "SP_COUNTRY_NAME")</f>
        <v>China</v>
      </c>
      <c r="EY147" s="9" t="str">
        <f>_xll.SNL.Clients.Office.Excel.Functions.SPG(EV147, "SP_COUNTRY_NAME")</f>
        <v>#INVALID COMPANY ID</v>
      </c>
      <c r="FD147" s="9" t="str">
        <f>_xll.SNL.Clients.Office.Excel.Functions.SPG(FA147, "SP_COUNTRY_NAME")</f>
        <v>#INVALID COMPANY ID</v>
      </c>
      <c r="FI147" s="9" t="str">
        <f>_xll.SNL.Clients.Office.Excel.Functions.SPG(FF147, "SP_COUNTRY_NAME")</f>
        <v>#INVALID COMPANY ID</v>
      </c>
      <c r="FN147" s="9" t="str">
        <f>_xll.SNL.Clients.Office.Excel.Functions.SPG(FK147, "SP_COUNTRY_NAME")</f>
        <v>#INVALID COMPANY ID</v>
      </c>
      <c r="FS147" s="9" t="str">
        <f>_xll.SNL.Clients.Office.Excel.Functions.SPG(FP147, "SP_COUNTRY_NAME")</f>
        <v>#INVALID COMPANY ID</v>
      </c>
      <c r="FX147" s="9" t="str">
        <f>_xll.SNL.Clients.Office.Excel.Functions.SPG(FU147, "SP_COUNTRY_NAME")</f>
        <v>#INVALID COMPANY ID</v>
      </c>
      <c r="FY147" t="s">
        <v>415</v>
      </c>
      <c r="FZ147">
        <v>110587</v>
      </c>
      <c r="GA147" t="s">
        <v>346</v>
      </c>
      <c r="GB147" s="11">
        <v>0.03</v>
      </c>
      <c r="GC147" s="9" t="str">
        <f>_xll.SNL.Clients.Office.Excel.Functions.SPG(FZ147, "SP_COUNTRY_NAME")</f>
        <v>USA</v>
      </c>
      <c r="GH147" s="9" t="str">
        <f>_xll.SNL.Clients.Office.Excel.Functions.SPG(GE147, "SP_COUNTRY_NAME")</f>
        <v>#INVALID COMPANY ID</v>
      </c>
      <c r="GM147" s="9" t="str">
        <f>_xll.SNL.Clients.Office.Excel.Functions.SPG(GJ147, "SP_COUNTRY_NAME")</f>
        <v>#INVALID COMPANY ID</v>
      </c>
      <c r="GR147" s="9" t="str">
        <f>_xll.SNL.Clients.Office.Excel.Functions.SPG(GO147, "SP_COUNTRY_NAME")</f>
        <v>#INVALID COMPANY ID</v>
      </c>
      <c r="GS147" t="s">
        <v>746</v>
      </c>
      <c r="GT147">
        <v>4332537</v>
      </c>
      <c r="GU147" t="s">
        <v>346</v>
      </c>
      <c r="GV147" s="11">
        <v>0.01</v>
      </c>
      <c r="GW147" s="9" t="str">
        <f>_xll.SNL.Clients.Office.Excel.Functions.SPG(GT147, "SP_COUNTRY_NAME")</f>
        <v>China</v>
      </c>
      <c r="GX147" t="s">
        <v>451</v>
      </c>
      <c r="GY147">
        <v>5747632</v>
      </c>
      <c r="GZ147" t="s">
        <v>346</v>
      </c>
      <c r="HA147" s="11">
        <v>0.02</v>
      </c>
      <c r="HB147" s="9" t="str">
        <f>_xll.SNL.Clients.Office.Excel.Functions.SPG(GY147, "SP_COUNTRY_NAME")</f>
        <v>Canada</v>
      </c>
      <c r="HG147" s="9" t="str">
        <f>_xll.SNL.Clients.Office.Excel.Functions.SPG(HD147, "SP_COUNTRY_NAME")</f>
        <v>#INVALID COMPANY ID</v>
      </c>
    </row>
    <row r="148" spans="5:215" x14ac:dyDescent="0.35">
      <c r="E148" s="9" t="str">
        <f>_xll.SNL.Clients.Office.Excel.Functions.SPG(B148, "SP_COUNTRY_NAME")</f>
        <v>#INVALID COMPANY ID</v>
      </c>
      <c r="F148" t="s">
        <v>535</v>
      </c>
      <c r="G148">
        <v>4434811</v>
      </c>
      <c r="H148" t="s">
        <v>346</v>
      </c>
      <c r="I148" s="11">
        <v>0</v>
      </c>
      <c r="J148" s="9" t="str">
        <f>_xll.SNL.Clients.Office.Excel.Functions.SPG(G148, "SP_COUNTRY_NAME")</f>
        <v>USA</v>
      </c>
      <c r="O148" s="9" t="str">
        <f>_xll.SNL.Clients.Office.Excel.Functions.SPG(L148, "SP_COUNTRY_NAME")</f>
        <v>#INVALID COMPANY ID</v>
      </c>
      <c r="T148" s="9" t="str">
        <f>_xll.SNL.Clients.Office.Excel.Functions.SPG(Q148, "SP_COUNTRY_NAME")</f>
        <v>#INVALID COMPANY ID</v>
      </c>
      <c r="U148" t="s">
        <v>758</v>
      </c>
      <c r="V148">
        <v>4890277</v>
      </c>
      <c r="W148" t="s">
        <v>346</v>
      </c>
      <c r="X148" s="11">
        <v>0.01</v>
      </c>
      <c r="Y148" s="9" t="str">
        <f>_xll.SNL.Clients.Office.Excel.Functions.SPG(V148, "SP_COUNTRY_NAME")</f>
        <v>China</v>
      </c>
      <c r="AD148" s="9" t="str">
        <f>_xll.SNL.Clients.Office.Excel.Functions.SPG(AA148, "SP_COUNTRY_NAME")</f>
        <v>#INVALID COMPANY ID</v>
      </c>
      <c r="AE148" t="s">
        <v>525</v>
      </c>
      <c r="AF148">
        <v>4227087</v>
      </c>
      <c r="AG148" t="s">
        <v>346</v>
      </c>
      <c r="AH148" s="11">
        <v>0</v>
      </c>
      <c r="AI148" s="9" t="str">
        <f>_xll.SNL.Clients.Office.Excel.Functions.SPG(AF148, "SP_COUNTRY_NAME")</f>
        <v>Germany</v>
      </c>
      <c r="AN148" s="9" t="str">
        <f>_xll.SNL.Clients.Office.Excel.Functions.SPG(AK148, "SP_COUNTRY_NAME")</f>
        <v>#INVALID COMPANY ID</v>
      </c>
      <c r="AO148" t="s">
        <v>398</v>
      </c>
      <c r="AP148">
        <v>4107954</v>
      </c>
      <c r="AQ148" t="s">
        <v>300</v>
      </c>
      <c r="AR148" s="11">
        <v>0.01</v>
      </c>
      <c r="AS148" s="9" t="str">
        <f>_xll.SNL.Clients.Office.Excel.Functions.SPG(AP148, "SP_COUNTRY_NAME")</f>
        <v>Japan</v>
      </c>
      <c r="AX148" s="9" t="str">
        <f>_xll.SNL.Clients.Office.Excel.Functions.SPG(AU148, "SP_COUNTRY_NAME")</f>
        <v>#INVALID COMPANY ID</v>
      </c>
      <c r="BC148" s="9" t="str">
        <f>_xll.SNL.Clients.Office.Excel.Functions.SPG(AZ148, "SP_COUNTRY_NAME")</f>
        <v>#INVALID COMPANY ID</v>
      </c>
      <c r="BD148" t="s">
        <v>444</v>
      </c>
      <c r="BE148">
        <v>109988</v>
      </c>
      <c r="BF148" t="s">
        <v>346</v>
      </c>
      <c r="BG148" s="11">
        <v>0.03</v>
      </c>
      <c r="BH148" s="9" t="str">
        <f>_xll.SNL.Clients.Office.Excel.Functions.SPG(BE148, "SP_COUNTRY_NAME")</f>
        <v>USA</v>
      </c>
      <c r="BI148" t="s">
        <v>519</v>
      </c>
      <c r="BJ148">
        <v>109968</v>
      </c>
      <c r="BK148" t="s">
        <v>346</v>
      </c>
      <c r="BL148" s="11">
        <v>0.01</v>
      </c>
      <c r="BM148" s="9" t="str">
        <f>_xll.SNL.Clients.Office.Excel.Functions.SPG(BJ148, "SP_COUNTRY_NAME")</f>
        <v>USA</v>
      </c>
      <c r="BN148" t="s">
        <v>466</v>
      </c>
      <c r="BO148">
        <v>111267</v>
      </c>
      <c r="BP148" t="s">
        <v>346</v>
      </c>
      <c r="BQ148" s="11">
        <v>0.01</v>
      </c>
      <c r="BR148" s="9" t="str">
        <f>_xll.SNL.Clients.Office.Excel.Functions.SPG(BO148, "SP_COUNTRY_NAME")</f>
        <v>United Kingdom</v>
      </c>
      <c r="BS148" t="s">
        <v>975</v>
      </c>
      <c r="BT148">
        <v>15119005</v>
      </c>
      <c r="BU148" t="s">
        <v>346</v>
      </c>
      <c r="BV148" s="11">
        <v>0.02</v>
      </c>
      <c r="BW148" s="9" t="str">
        <f>_xll.SNL.Clients.Office.Excel.Functions.SPG(BT148, "SP_COUNTRY_NAME")</f>
        <v>USA</v>
      </c>
      <c r="BX148" t="s">
        <v>758</v>
      </c>
      <c r="BY148">
        <v>4890277</v>
      </c>
      <c r="BZ148" t="s">
        <v>346</v>
      </c>
      <c r="CA148" s="11">
        <v>0.01</v>
      </c>
      <c r="CB148" s="9" t="str">
        <f>_xll.SNL.Clients.Office.Excel.Functions.SPG(BY148, "SP_COUNTRY_NAME")</f>
        <v>China</v>
      </c>
      <c r="CC148" t="s">
        <v>1662</v>
      </c>
      <c r="CD148">
        <v>5860684</v>
      </c>
      <c r="CE148" t="s">
        <v>364</v>
      </c>
      <c r="CF148" s="11">
        <v>0.02</v>
      </c>
      <c r="CG148" s="9" t="str">
        <f>_xll.SNL.Clients.Office.Excel.Functions.SPG(CD148, "SP_COUNTRY_NAME")</f>
        <v>Brazil</v>
      </c>
      <c r="CH148" t="s">
        <v>398</v>
      </c>
      <c r="CI148">
        <v>4107954</v>
      </c>
      <c r="CJ148" t="s">
        <v>300</v>
      </c>
      <c r="CK148" s="11">
        <v>0.01</v>
      </c>
      <c r="CL148" s="9" t="str">
        <f>_xll.SNL.Clients.Office.Excel.Functions.SPG(CI148, "SP_COUNTRY_NAME")</f>
        <v>Japan</v>
      </c>
      <c r="CM148" t="s">
        <v>466</v>
      </c>
      <c r="CN148">
        <v>111267</v>
      </c>
      <c r="CO148" t="s">
        <v>346</v>
      </c>
      <c r="CP148" s="11">
        <v>0.03</v>
      </c>
      <c r="CQ148" s="9" t="str">
        <f>_xll.SNL.Clients.Office.Excel.Functions.SPG(CN148, "SP_COUNTRY_NAME")</f>
        <v>United Kingdom</v>
      </c>
      <c r="CV148" s="9" t="str">
        <f>_xll.SNL.Clients.Office.Excel.Functions.SPG(CS148, "SP_COUNTRY_NAME")</f>
        <v>#INVALID COMPANY ID</v>
      </c>
      <c r="DA148" s="9" t="str">
        <f>_xll.SNL.Clients.Office.Excel.Functions.SPG(CX148, "SP_COUNTRY_NAME")</f>
        <v>#INVALID COMPANY ID</v>
      </c>
      <c r="DB148" t="s">
        <v>444</v>
      </c>
      <c r="DC148">
        <v>109988</v>
      </c>
      <c r="DD148" t="s">
        <v>346</v>
      </c>
      <c r="DE148" s="11">
        <v>0.03</v>
      </c>
      <c r="DF148" s="9" t="str">
        <f>_xll.SNL.Clients.Office.Excel.Functions.SPG(DC148, "SP_COUNTRY_NAME")</f>
        <v>USA</v>
      </c>
      <c r="DK148" s="9" t="str">
        <f>_xll.SNL.Clients.Office.Excel.Functions.SPG(DH148, "SP_COUNTRY_NAME")</f>
        <v>#INVALID COMPANY ID</v>
      </c>
      <c r="DL148" t="s">
        <v>444</v>
      </c>
      <c r="DM148">
        <v>109988</v>
      </c>
      <c r="DN148" t="s">
        <v>346</v>
      </c>
      <c r="DO148" s="11">
        <v>0.03</v>
      </c>
      <c r="DP148" s="9" t="str">
        <f>_xll.SNL.Clients.Office.Excel.Functions.SPG(DM148, "SP_COUNTRY_NAME")</f>
        <v>USA</v>
      </c>
      <c r="DU148" s="9" t="str">
        <f>_xll.SNL.Clients.Office.Excel.Functions.SPG(DR148, "SP_COUNTRY_NAME")</f>
        <v>#INVALID COMPANY ID</v>
      </c>
      <c r="DZ148" s="9" t="str">
        <f>_xll.SNL.Clients.Office.Excel.Functions.SPG(DW148, "SP_COUNTRY_NAME")</f>
        <v>#INVALID COMPANY ID</v>
      </c>
      <c r="EA148" t="s">
        <v>1662</v>
      </c>
      <c r="EB148">
        <v>5860684</v>
      </c>
      <c r="EC148" t="s">
        <v>364</v>
      </c>
      <c r="ED148" s="11">
        <v>0.02</v>
      </c>
      <c r="EE148" s="9" t="str">
        <f>_xll.SNL.Clients.Office.Excel.Functions.SPG(EB148, "SP_COUNTRY_NAME")</f>
        <v>Brazil</v>
      </c>
      <c r="EF148" t="s">
        <v>444</v>
      </c>
      <c r="EG148">
        <v>109988</v>
      </c>
      <c r="EH148" t="s">
        <v>346</v>
      </c>
      <c r="EI148" s="11">
        <v>0.03</v>
      </c>
      <c r="EJ148" s="9" t="str">
        <f>_xll.SNL.Clients.Office.Excel.Functions.SPG(EG148, "SP_COUNTRY_NAME")</f>
        <v>USA</v>
      </c>
      <c r="EO148" s="9" t="str">
        <f>_xll.SNL.Clients.Office.Excel.Functions.SPG(EL148, "SP_COUNTRY_NAME")</f>
        <v>#INVALID COMPANY ID</v>
      </c>
      <c r="EP148" t="s">
        <v>420</v>
      </c>
      <c r="EQ148">
        <v>19342220</v>
      </c>
      <c r="ER148" t="s">
        <v>346</v>
      </c>
      <c r="ES148" s="11">
        <v>0</v>
      </c>
      <c r="ET148" s="9" t="str">
        <f>_xll.SNL.Clients.Office.Excel.Functions.SPG(EQ148, "SP_COUNTRY_NAME")</f>
        <v>USA</v>
      </c>
      <c r="EY148" s="9" t="str">
        <f>_xll.SNL.Clients.Office.Excel.Functions.SPG(EV148, "SP_COUNTRY_NAME")</f>
        <v>#INVALID COMPANY ID</v>
      </c>
      <c r="FD148" s="9" t="str">
        <f>_xll.SNL.Clients.Office.Excel.Functions.SPG(FA148, "SP_COUNTRY_NAME")</f>
        <v>#INVALID COMPANY ID</v>
      </c>
      <c r="FI148" s="9" t="str">
        <f>_xll.SNL.Clients.Office.Excel.Functions.SPG(FF148, "SP_COUNTRY_NAME")</f>
        <v>#INVALID COMPANY ID</v>
      </c>
      <c r="FN148" s="9" t="str">
        <f>_xll.SNL.Clients.Office.Excel.Functions.SPG(FK148, "SP_COUNTRY_NAME")</f>
        <v>#INVALID COMPANY ID</v>
      </c>
      <c r="FS148" s="9" t="str">
        <f>_xll.SNL.Clients.Office.Excel.Functions.SPG(FP148, "SP_COUNTRY_NAME")</f>
        <v>#INVALID COMPANY ID</v>
      </c>
      <c r="FX148" s="9" t="str">
        <f>_xll.SNL.Clients.Office.Excel.Functions.SPG(FU148, "SP_COUNTRY_NAME")</f>
        <v>#INVALID COMPANY ID</v>
      </c>
      <c r="FY148" t="s">
        <v>444</v>
      </c>
      <c r="FZ148">
        <v>109988</v>
      </c>
      <c r="GA148" t="s">
        <v>346</v>
      </c>
      <c r="GB148" s="11">
        <v>0.03</v>
      </c>
      <c r="GC148" s="9" t="str">
        <f>_xll.SNL.Clients.Office.Excel.Functions.SPG(FZ148, "SP_COUNTRY_NAME")</f>
        <v>USA</v>
      </c>
      <c r="GH148" s="9" t="str">
        <f>_xll.SNL.Clients.Office.Excel.Functions.SPG(GE148, "SP_COUNTRY_NAME")</f>
        <v>#INVALID COMPANY ID</v>
      </c>
      <c r="GM148" s="9" t="str">
        <f>_xll.SNL.Clients.Office.Excel.Functions.SPG(GJ148, "SP_COUNTRY_NAME")</f>
        <v>#INVALID COMPANY ID</v>
      </c>
      <c r="GR148" s="9" t="str">
        <f>_xll.SNL.Clients.Office.Excel.Functions.SPG(GO148, "SP_COUNTRY_NAME")</f>
        <v>#INVALID COMPANY ID</v>
      </c>
      <c r="GS148" t="s">
        <v>466</v>
      </c>
      <c r="GT148">
        <v>111267</v>
      </c>
      <c r="GU148" t="s">
        <v>346</v>
      </c>
      <c r="GV148" s="11">
        <v>0.01</v>
      </c>
      <c r="GW148" s="9" t="str">
        <f>_xll.SNL.Clients.Office.Excel.Functions.SPG(GT148, "SP_COUNTRY_NAME")</f>
        <v>United Kingdom</v>
      </c>
      <c r="GX148" t="s">
        <v>1662</v>
      </c>
      <c r="GY148">
        <v>5860684</v>
      </c>
      <c r="GZ148" t="s">
        <v>364</v>
      </c>
      <c r="HA148" s="11">
        <v>0.02</v>
      </c>
      <c r="HB148" s="9" t="str">
        <f>_xll.SNL.Clients.Office.Excel.Functions.SPG(GY148, "SP_COUNTRY_NAME")</f>
        <v>Brazil</v>
      </c>
      <c r="HG148" s="9" t="str">
        <f>_xll.SNL.Clients.Office.Excel.Functions.SPG(HD148, "SP_COUNTRY_NAME")</f>
        <v>#INVALID COMPANY ID</v>
      </c>
    </row>
    <row r="149" spans="5:215" x14ac:dyDescent="0.35">
      <c r="E149" s="9" t="str">
        <f>_xll.SNL.Clients.Office.Excel.Functions.SPG(B149, "SP_COUNTRY_NAME")</f>
        <v>#INVALID COMPANY ID</v>
      </c>
      <c r="F149" t="s">
        <v>536</v>
      </c>
      <c r="G149">
        <v>4432074</v>
      </c>
      <c r="H149" t="s">
        <v>346</v>
      </c>
      <c r="I149" s="11">
        <v>0</v>
      </c>
      <c r="J149" s="9" t="str">
        <f>_xll.SNL.Clients.Office.Excel.Functions.SPG(G149, "SP_COUNTRY_NAME")</f>
        <v>Canada</v>
      </c>
      <c r="O149" s="9" t="str">
        <f>_xll.SNL.Clients.Office.Excel.Functions.SPG(L149, "SP_COUNTRY_NAME")</f>
        <v>#INVALID COMPANY ID</v>
      </c>
      <c r="T149" s="9" t="str">
        <f>_xll.SNL.Clients.Office.Excel.Functions.SPG(Q149, "SP_COUNTRY_NAME")</f>
        <v>#INVALID COMPANY ID</v>
      </c>
      <c r="U149" t="s">
        <v>759</v>
      </c>
      <c r="V149">
        <v>4549477</v>
      </c>
      <c r="W149" t="s">
        <v>346</v>
      </c>
      <c r="X149" s="11">
        <v>0.01</v>
      </c>
      <c r="Y149" s="9" t="str">
        <f>_xll.SNL.Clients.Office.Excel.Functions.SPG(V149, "SP_COUNTRY_NAME")</f>
        <v>Hong Kong</v>
      </c>
      <c r="AD149" s="9" t="str">
        <f>_xll.SNL.Clients.Office.Excel.Functions.SPG(AA149, "SP_COUNTRY_NAME")</f>
        <v>#INVALID COMPANY ID</v>
      </c>
      <c r="AE149" t="s">
        <v>510</v>
      </c>
      <c r="AF149">
        <v>4089114</v>
      </c>
      <c r="AG149" t="s">
        <v>346</v>
      </c>
      <c r="AH149" s="11">
        <v>0</v>
      </c>
      <c r="AI149" s="9" t="str">
        <f>_xll.SNL.Clients.Office.Excel.Functions.SPG(AF149, "SP_COUNTRY_NAME")</f>
        <v>USA</v>
      </c>
      <c r="AN149" s="9" t="str">
        <f>_xll.SNL.Clients.Office.Excel.Functions.SPG(AK149, "SP_COUNTRY_NAME")</f>
        <v>#INVALID COMPANY ID</v>
      </c>
      <c r="AO149" t="s">
        <v>1304</v>
      </c>
      <c r="AP149">
        <v>7490911</v>
      </c>
      <c r="AQ149" t="s">
        <v>346</v>
      </c>
      <c r="AR149" s="11">
        <v>0.01</v>
      </c>
      <c r="AS149" s="9" t="str">
        <f>_xll.SNL.Clients.Office.Excel.Functions.SPG(AP149, "SP_COUNTRY_NAME")</f>
        <v>South Africa</v>
      </c>
      <c r="AX149" s="9" t="str">
        <f>_xll.SNL.Clients.Office.Excel.Functions.SPG(AU149, "SP_COUNTRY_NAME")</f>
        <v>#INVALID COMPANY ID</v>
      </c>
      <c r="BC149" s="9" t="str">
        <f>_xll.SNL.Clients.Office.Excel.Functions.SPG(AZ149, "SP_COUNTRY_NAME")</f>
        <v>#INVALID COMPANY ID</v>
      </c>
      <c r="BD149" t="s">
        <v>412</v>
      </c>
      <c r="BE149">
        <v>109687</v>
      </c>
      <c r="BF149" t="s">
        <v>346</v>
      </c>
      <c r="BG149" s="11">
        <v>0.03</v>
      </c>
      <c r="BH149" s="9" t="str">
        <f>_xll.SNL.Clients.Office.Excel.Functions.SPG(BE149, "SP_COUNTRY_NAME")</f>
        <v>USA</v>
      </c>
      <c r="BI149" t="s">
        <v>1061</v>
      </c>
      <c r="BJ149">
        <v>4422379</v>
      </c>
      <c r="BK149" t="s">
        <v>346</v>
      </c>
      <c r="BL149" s="11">
        <v>0.01</v>
      </c>
      <c r="BM149" s="9" t="str">
        <f>_xll.SNL.Clients.Office.Excel.Functions.SPG(BJ149, "SP_COUNTRY_NAME")</f>
        <v>Germany</v>
      </c>
      <c r="BN149" t="s">
        <v>457</v>
      </c>
      <c r="BO149">
        <v>110399</v>
      </c>
      <c r="BP149" t="s">
        <v>346</v>
      </c>
      <c r="BQ149" s="11">
        <v>0.01</v>
      </c>
      <c r="BR149" s="9" t="str">
        <f>_xll.SNL.Clients.Office.Excel.Functions.SPG(BO149, "SP_COUNTRY_NAME")</f>
        <v>USA</v>
      </c>
      <c r="BS149" t="s">
        <v>976</v>
      </c>
      <c r="BT149">
        <v>5882287</v>
      </c>
      <c r="BU149" t="s">
        <v>346</v>
      </c>
      <c r="BV149" s="11">
        <v>0.02</v>
      </c>
      <c r="BW149" s="9" t="str">
        <f>_xll.SNL.Clients.Office.Excel.Functions.SPG(BT149, "SP_COUNTRY_NAME")</f>
        <v>United Kingdom</v>
      </c>
      <c r="BX149" t="s">
        <v>759</v>
      </c>
      <c r="BY149">
        <v>4549477</v>
      </c>
      <c r="BZ149" t="s">
        <v>346</v>
      </c>
      <c r="CA149" s="11">
        <v>0.01</v>
      </c>
      <c r="CB149" s="9" t="str">
        <f>_xll.SNL.Clients.Office.Excel.Functions.SPG(BY149, "SP_COUNTRY_NAME")</f>
        <v>Hong Kong</v>
      </c>
      <c r="CC149" t="s">
        <v>1663</v>
      </c>
      <c r="CD149">
        <v>4320346</v>
      </c>
      <c r="CE149" t="s">
        <v>346</v>
      </c>
      <c r="CF149" s="11">
        <v>0.02</v>
      </c>
      <c r="CG149" s="9" t="str">
        <f>_xll.SNL.Clients.Office.Excel.Functions.SPG(CD149, "SP_COUNTRY_NAME")</f>
        <v>United Kingdom</v>
      </c>
      <c r="CH149" t="s">
        <v>1304</v>
      </c>
      <c r="CI149">
        <v>7490911</v>
      </c>
      <c r="CJ149" t="s">
        <v>346</v>
      </c>
      <c r="CK149" s="11">
        <v>0.01</v>
      </c>
      <c r="CL149" s="9" t="str">
        <f>_xll.SNL.Clients.Office.Excel.Functions.SPG(CI149, "SP_COUNTRY_NAME")</f>
        <v>South Africa</v>
      </c>
      <c r="CM149" t="s">
        <v>431</v>
      </c>
      <c r="CN149">
        <v>4085931</v>
      </c>
      <c r="CO149" t="s">
        <v>346</v>
      </c>
      <c r="CP149" s="11">
        <v>0.03</v>
      </c>
      <c r="CQ149" s="9" t="str">
        <f>_xll.SNL.Clients.Office.Excel.Functions.SPG(CN149, "SP_COUNTRY_NAME")</f>
        <v>Japan</v>
      </c>
      <c r="CV149" s="9" t="str">
        <f>_xll.SNL.Clients.Office.Excel.Functions.SPG(CS149, "SP_COUNTRY_NAME")</f>
        <v>#INVALID COMPANY ID</v>
      </c>
      <c r="DA149" s="9" t="str">
        <f>_xll.SNL.Clients.Office.Excel.Functions.SPG(CX149, "SP_COUNTRY_NAME")</f>
        <v>#INVALID COMPANY ID</v>
      </c>
      <c r="DB149" t="s">
        <v>412</v>
      </c>
      <c r="DC149">
        <v>109687</v>
      </c>
      <c r="DD149" t="s">
        <v>346</v>
      </c>
      <c r="DE149" s="11">
        <v>0.03</v>
      </c>
      <c r="DF149" s="9" t="str">
        <f>_xll.SNL.Clients.Office.Excel.Functions.SPG(DC149, "SP_COUNTRY_NAME")</f>
        <v>USA</v>
      </c>
      <c r="DK149" s="9" t="str">
        <f>_xll.SNL.Clients.Office.Excel.Functions.SPG(DH149, "SP_COUNTRY_NAME")</f>
        <v>#INVALID COMPANY ID</v>
      </c>
      <c r="DL149" t="s">
        <v>412</v>
      </c>
      <c r="DM149">
        <v>109687</v>
      </c>
      <c r="DN149" t="s">
        <v>346</v>
      </c>
      <c r="DO149" s="11">
        <v>0.03</v>
      </c>
      <c r="DP149" s="9" t="str">
        <f>_xll.SNL.Clients.Office.Excel.Functions.SPG(DM149, "SP_COUNTRY_NAME")</f>
        <v>USA</v>
      </c>
      <c r="DU149" s="9" t="str">
        <f>_xll.SNL.Clients.Office.Excel.Functions.SPG(DR149, "SP_COUNTRY_NAME")</f>
        <v>#INVALID COMPANY ID</v>
      </c>
      <c r="DZ149" s="9" t="str">
        <f>_xll.SNL.Clients.Office.Excel.Functions.SPG(DW149, "SP_COUNTRY_NAME")</f>
        <v>#INVALID COMPANY ID</v>
      </c>
      <c r="EA149" t="s">
        <v>1663</v>
      </c>
      <c r="EB149">
        <v>4320346</v>
      </c>
      <c r="EC149" t="s">
        <v>346</v>
      </c>
      <c r="ED149" s="11">
        <v>0.02</v>
      </c>
      <c r="EE149" s="9" t="str">
        <f>_xll.SNL.Clients.Office.Excel.Functions.SPG(EB149, "SP_COUNTRY_NAME")</f>
        <v>United Kingdom</v>
      </c>
      <c r="EF149" t="s">
        <v>412</v>
      </c>
      <c r="EG149">
        <v>109687</v>
      </c>
      <c r="EH149" t="s">
        <v>346</v>
      </c>
      <c r="EI149" s="11">
        <v>0.03</v>
      </c>
      <c r="EJ149" s="9" t="str">
        <f>_xll.SNL.Clients.Office.Excel.Functions.SPG(EG149, "SP_COUNTRY_NAME")</f>
        <v>USA</v>
      </c>
      <c r="EO149" s="9" t="str">
        <f>_xll.SNL.Clients.Office.Excel.Functions.SPG(EL149, "SP_COUNTRY_NAME")</f>
        <v>#INVALID COMPANY ID</v>
      </c>
      <c r="EP149" t="s">
        <v>418</v>
      </c>
      <c r="EQ149">
        <v>109776</v>
      </c>
      <c r="ER149" t="s">
        <v>346</v>
      </c>
      <c r="ES149" s="11">
        <v>0</v>
      </c>
      <c r="ET149" s="9" t="str">
        <f>_xll.SNL.Clients.Office.Excel.Functions.SPG(EQ149, "SP_COUNTRY_NAME")</f>
        <v>USA</v>
      </c>
      <c r="EY149" s="9" t="str">
        <f>_xll.SNL.Clients.Office.Excel.Functions.SPG(EV149, "SP_COUNTRY_NAME")</f>
        <v>#INVALID COMPANY ID</v>
      </c>
      <c r="FD149" s="9" t="str">
        <f>_xll.SNL.Clients.Office.Excel.Functions.SPG(FA149, "SP_COUNTRY_NAME")</f>
        <v>#INVALID COMPANY ID</v>
      </c>
      <c r="FI149" s="9" t="str">
        <f>_xll.SNL.Clients.Office.Excel.Functions.SPG(FF149, "SP_COUNTRY_NAME")</f>
        <v>#INVALID COMPANY ID</v>
      </c>
      <c r="FN149" s="9" t="str">
        <f>_xll.SNL.Clients.Office.Excel.Functions.SPG(FK149, "SP_COUNTRY_NAME")</f>
        <v>#INVALID COMPANY ID</v>
      </c>
      <c r="FS149" s="9" t="str">
        <f>_xll.SNL.Clients.Office.Excel.Functions.SPG(FP149, "SP_COUNTRY_NAME")</f>
        <v>#INVALID COMPANY ID</v>
      </c>
      <c r="FX149" s="9" t="str">
        <f>_xll.SNL.Clients.Office.Excel.Functions.SPG(FU149, "SP_COUNTRY_NAME")</f>
        <v>#INVALID COMPANY ID</v>
      </c>
      <c r="FY149" t="s">
        <v>412</v>
      </c>
      <c r="FZ149">
        <v>109687</v>
      </c>
      <c r="GA149" t="s">
        <v>346</v>
      </c>
      <c r="GB149" s="11">
        <v>0.03</v>
      </c>
      <c r="GC149" s="9" t="str">
        <f>_xll.SNL.Clients.Office.Excel.Functions.SPG(FZ149, "SP_COUNTRY_NAME")</f>
        <v>USA</v>
      </c>
      <c r="GH149" s="9" t="str">
        <f>_xll.SNL.Clients.Office.Excel.Functions.SPG(GE149, "SP_COUNTRY_NAME")</f>
        <v>#INVALID COMPANY ID</v>
      </c>
      <c r="GM149" s="9" t="str">
        <f>_xll.SNL.Clients.Office.Excel.Functions.SPG(GJ149, "SP_COUNTRY_NAME")</f>
        <v>#INVALID COMPANY ID</v>
      </c>
      <c r="GR149" s="9" t="str">
        <f>_xll.SNL.Clients.Office.Excel.Functions.SPG(GO149, "SP_COUNTRY_NAME")</f>
        <v>#INVALID COMPANY ID</v>
      </c>
      <c r="GS149" t="s">
        <v>457</v>
      </c>
      <c r="GT149">
        <v>110399</v>
      </c>
      <c r="GU149" t="s">
        <v>346</v>
      </c>
      <c r="GV149" s="11">
        <v>0.01</v>
      </c>
      <c r="GW149" s="9" t="str">
        <f>_xll.SNL.Clients.Office.Excel.Functions.SPG(GT149, "SP_COUNTRY_NAME")</f>
        <v>USA</v>
      </c>
      <c r="GX149" t="s">
        <v>1663</v>
      </c>
      <c r="GY149">
        <v>4320346</v>
      </c>
      <c r="GZ149" t="s">
        <v>346</v>
      </c>
      <c r="HA149" s="11">
        <v>0.02</v>
      </c>
      <c r="HB149" s="9" t="str">
        <f>_xll.SNL.Clients.Office.Excel.Functions.SPG(GY149, "SP_COUNTRY_NAME")</f>
        <v>United Kingdom</v>
      </c>
      <c r="HG149" s="9" t="str">
        <f>_xll.SNL.Clients.Office.Excel.Functions.SPG(HD149, "SP_COUNTRY_NAME")</f>
        <v>#INVALID COMPANY ID</v>
      </c>
    </row>
    <row r="150" spans="5:215" x14ac:dyDescent="0.35">
      <c r="E150" s="9" t="str">
        <f>_xll.SNL.Clients.Office.Excel.Functions.SPG(B150, "SP_COUNTRY_NAME")</f>
        <v>#INVALID COMPANY ID</v>
      </c>
      <c r="F150" t="s">
        <v>537</v>
      </c>
      <c r="G150">
        <v>5834897</v>
      </c>
      <c r="H150" t="s">
        <v>346</v>
      </c>
      <c r="I150" s="11">
        <v>0</v>
      </c>
      <c r="J150" s="9" t="str">
        <f>_xll.SNL.Clients.Office.Excel.Functions.SPG(G150, "SP_COUNTRY_NAME")</f>
        <v>United Kingdom</v>
      </c>
      <c r="O150" s="9" t="str">
        <f>_xll.SNL.Clients.Office.Excel.Functions.SPG(L150, "SP_COUNTRY_NAME")</f>
        <v>#INVALID COMPANY ID</v>
      </c>
      <c r="T150" s="9" t="str">
        <f>_xll.SNL.Clients.Office.Excel.Functions.SPG(Q150, "SP_COUNTRY_NAME")</f>
        <v>#INVALID COMPANY ID</v>
      </c>
      <c r="U150" t="s">
        <v>760</v>
      </c>
      <c r="V150">
        <v>4677331</v>
      </c>
      <c r="W150" t="s">
        <v>346</v>
      </c>
      <c r="X150" s="11">
        <v>0.01</v>
      </c>
      <c r="Y150" s="9" t="str">
        <f>_xll.SNL.Clients.Office.Excel.Functions.SPG(V150, "SP_COUNTRY_NAME")</f>
        <v>China</v>
      </c>
      <c r="AD150" s="9" t="str">
        <f>_xll.SNL.Clients.Office.Excel.Functions.SPG(AA150, "SP_COUNTRY_NAME")</f>
        <v>#INVALID COMPANY ID</v>
      </c>
      <c r="AE150" t="s">
        <v>453</v>
      </c>
      <c r="AF150">
        <v>4318598</v>
      </c>
      <c r="AG150" t="s">
        <v>346</v>
      </c>
      <c r="AH150" s="11">
        <v>0</v>
      </c>
      <c r="AI150" s="9" t="str">
        <f>_xll.SNL.Clients.Office.Excel.Functions.SPG(AF150, "SP_COUNTRY_NAME")</f>
        <v>USA</v>
      </c>
      <c r="AN150" s="9" t="str">
        <f>_xll.SNL.Clients.Office.Excel.Functions.SPG(AK150, "SP_COUNTRY_NAME")</f>
        <v>#INVALID COMPANY ID</v>
      </c>
      <c r="AO150" t="s">
        <v>873</v>
      </c>
      <c r="AP150">
        <v>4873872</v>
      </c>
      <c r="AQ150" t="s">
        <v>346</v>
      </c>
      <c r="AR150" s="11">
        <v>0.01</v>
      </c>
      <c r="AS150" s="9" t="str">
        <f>_xll.SNL.Clients.Office.Excel.Functions.SPG(AP150, "SP_COUNTRY_NAME")</f>
        <v>Spain</v>
      </c>
      <c r="AX150" s="9" t="str">
        <f>_xll.SNL.Clients.Office.Excel.Functions.SPG(AU150, "SP_COUNTRY_NAME")</f>
        <v>#INVALID COMPANY ID</v>
      </c>
      <c r="BC150" s="9" t="str">
        <f>_xll.SNL.Clients.Office.Excel.Functions.SPG(AZ150, "SP_COUNTRY_NAME")</f>
        <v>#INVALID COMPANY ID</v>
      </c>
      <c r="BD150" t="s">
        <v>436</v>
      </c>
      <c r="BE150">
        <v>111219</v>
      </c>
      <c r="BF150" t="s">
        <v>346</v>
      </c>
      <c r="BG150" s="11">
        <v>0.03</v>
      </c>
      <c r="BH150" s="9" t="str">
        <f>_xll.SNL.Clients.Office.Excel.Functions.SPG(BE150, "SP_COUNTRY_NAME")</f>
        <v>USA</v>
      </c>
      <c r="BI150" t="s">
        <v>547</v>
      </c>
      <c r="BJ150">
        <v>4005523</v>
      </c>
      <c r="BK150" t="s">
        <v>346</v>
      </c>
      <c r="BL150" s="11">
        <v>0.01</v>
      </c>
      <c r="BM150" s="9" t="str">
        <f>_xll.SNL.Clients.Office.Excel.Functions.SPG(BJ150, "SP_COUNTRY_NAME")</f>
        <v>Canada</v>
      </c>
      <c r="BN150" t="s">
        <v>739</v>
      </c>
      <c r="BO150">
        <v>4311270</v>
      </c>
      <c r="BP150" t="s">
        <v>346</v>
      </c>
      <c r="BQ150" s="11">
        <v>0.01</v>
      </c>
      <c r="BR150" s="9" t="str">
        <f>_xll.SNL.Clients.Office.Excel.Functions.SPG(BO150, "SP_COUNTRY_NAME")</f>
        <v>China</v>
      </c>
      <c r="BS150" t="s">
        <v>748</v>
      </c>
      <c r="BT150">
        <v>4138088</v>
      </c>
      <c r="BU150" t="s">
        <v>346</v>
      </c>
      <c r="BV150" s="11">
        <v>0.02</v>
      </c>
      <c r="BW150" s="9" t="str">
        <f>_xll.SNL.Clients.Office.Excel.Functions.SPG(BT150, "SP_COUNTRY_NAME")</f>
        <v>China</v>
      </c>
      <c r="BX150" t="s">
        <v>760</v>
      </c>
      <c r="BY150">
        <v>4677331</v>
      </c>
      <c r="BZ150" t="s">
        <v>346</v>
      </c>
      <c r="CA150" s="11">
        <v>0.01</v>
      </c>
      <c r="CB150" s="9" t="str">
        <f>_xll.SNL.Clients.Office.Excel.Functions.SPG(BY150, "SP_COUNTRY_NAME")</f>
        <v>China</v>
      </c>
      <c r="CC150" t="s">
        <v>466</v>
      </c>
      <c r="CD150">
        <v>111267</v>
      </c>
      <c r="CE150" t="s">
        <v>346</v>
      </c>
      <c r="CF150" s="11">
        <v>0.02</v>
      </c>
      <c r="CG150" s="9" t="str">
        <f>_xll.SNL.Clients.Office.Excel.Functions.SPG(CD150, "SP_COUNTRY_NAME")</f>
        <v>United Kingdom</v>
      </c>
      <c r="CH150" t="s">
        <v>873</v>
      </c>
      <c r="CI150">
        <v>4873872</v>
      </c>
      <c r="CJ150" t="s">
        <v>346</v>
      </c>
      <c r="CK150" s="11">
        <v>0.01</v>
      </c>
      <c r="CL150" s="9" t="str">
        <f>_xll.SNL.Clients.Office.Excel.Functions.SPG(CI150, "SP_COUNTRY_NAME")</f>
        <v>Spain</v>
      </c>
      <c r="CM150" t="s">
        <v>1976</v>
      </c>
      <c r="CN150">
        <v>4255945</v>
      </c>
      <c r="CO150" t="s">
        <v>276</v>
      </c>
      <c r="CP150" s="11">
        <v>0.03</v>
      </c>
      <c r="CQ150" s="9" t="str">
        <f>_xll.SNL.Clients.Office.Excel.Functions.SPG(CN150, "SP_COUNTRY_NAME")</f>
        <v>USA</v>
      </c>
      <c r="CV150" s="9" t="str">
        <f>_xll.SNL.Clients.Office.Excel.Functions.SPG(CS150, "SP_COUNTRY_NAME")</f>
        <v>#INVALID COMPANY ID</v>
      </c>
      <c r="DA150" s="9" t="str">
        <f>_xll.SNL.Clients.Office.Excel.Functions.SPG(CX150, "SP_COUNTRY_NAME")</f>
        <v>#INVALID COMPANY ID</v>
      </c>
      <c r="DB150" t="s">
        <v>436</v>
      </c>
      <c r="DC150">
        <v>111219</v>
      </c>
      <c r="DD150" t="s">
        <v>346</v>
      </c>
      <c r="DE150" s="11">
        <v>0.03</v>
      </c>
      <c r="DF150" s="9" t="str">
        <f>_xll.SNL.Clients.Office.Excel.Functions.SPG(DC150, "SP_COUNTRY_NAME")</f>
        <v>USA</v>
      </c>
      <c r="DK150" s="9" t="str">
        <f>_xll.SNL.Clients.Office.Excel.Functions.SPG(DH150, "SP_COUNTRY_NAME")</f>
        <v>#INVALID COMPANY ID</v>
      </c>
      <c r="DL150" t="s">
        <v>436</v>
      </c>
      <c r="DM150">
        <v>111219</v>
      </c>
      <c r="DN150" t="s">
        <v>346</v>
      </c>
      <c r="DO150" s="11">
        <v>0.03</v>
      </c>
      <c r="DP150" s="9" t="str">
        <f>_xll.SNL.Clients.Office.Excel.Functions.SPG(DM150, "SP_COUNTRY_NAME")</f>
        <v>USA</v>
      </c>
      <c r="DU150" s="9" t="str">
        <f>_xll.SNL.Clients.Office.Excel.Functions.SPG(DR150, "SP_COUNTRY_NAME")</f>
        <v>#INVALID COMPANY ID</v>
      </c>
      <c r="DZ150" s="9" t="str">
        <f>_xll.SNL.Clients.Office.Excel.Functions.SPG(DW150, "SP_COUNTRY_NAME")</f>
        <v>#INVALID COMPANY ID</v>
      </c>
      <c r="EA150" t="s">
        <v>466</v>
      </c>
      <c r="EB150">
        <v>111267</v>
      </c>
      <c r="EC150" t="s">
        <v>346</v>
      </c>
      <c r="ED150" s="11">
        <v>0.02</v>
      </c>
      <c r="EE150" s="9" t="str">
        <f>_xll.SNL.Clients.Office.Excel.Functions.SPG(EB150, "SP_COUNTRY_NAME")</f>
        <v>United Kingdom</v>
      </c>
      <c r="EF150" t="s">
        <v>436</v>
      </c>
      <c r="EG150">
        <v>111219</v>
      </c>
      <c r="EH150" t="s">
        <v>346</v>
      </c>
      <c r="EI150" s="11">
        <v>0.03</v>
      </c>
      <c r="EJ150" s="9" t="str">
        <f>_xll.SNL.Clients.Office.Excel.Functions.SPG(EG150, "SP_COUNTRY_NAME")</f>
        <v>USA</v>
      </c>
      <c r="EO150" s="9" t="str">
        <f>_xll.SNL.Clients.Office.Excel.Functions.SPG(EL150, "SP_COUNTRY_NAME")</f>
        <v>#INVALID COMPANY ID</v>
      </c>
      <c r="ET150" s="9" t="str">
        <f>_xll.SNL.Clients.Office.Excel.Functions.SPG(EQ150, "SP_COUNTRY_NAME")</f>
        <v>#INVALID COMPANY ID</v>
      </c>
      <c r="EY150" s="9" t="str">
        <f>_xll.SNL.Clients.Office.Excel.Functions.SPG(EV150, "SP_COUNTRY_NAME")</f>
        <v>#INVALID COMPANY ID</v>
      </c>
      <c r="FD150" s="9" t="str">
        <f>_xll.SNL.Clients.Office.Excel.Functions.SPG(FA150, "SP_COUNTRY_NAME")</f>
        <v>#INVALID COMPANY ID</v>
      </c>
      <c r="FI150" s="9" t="str">
        <f>_xll.SNL.Clients.Office.Excel.Functions.SPG(FF150, "SP_COUNTRY_NAME")</f>
        <v>#INVALID COMPANY ID</v>
      </c>
      <c r="FN150" s="9" t="str">
        <f>_xll.SNL.Clients.Office.Excel.Functions.SPG(FK150, "SP_COUNTRY_NAME")</f>
        <v>#INVALID COMPANY ID</v>
      </c>
      <c r="FS150" s="9" t="str">
        <f>_xll.SNL.Clients.Office.Excel.Functions.SPG(FP150, "SP_COUNTRY_NAME")</f>
        <v>#INVALID COMPANY ID</v>
      </c>
      <c r="FX150" s="9" t="str">
        <f>_xll.SNL.Clients.Office.Excel.Functions.SPG(FU150, "SP_COUNTRY_NAME")</f>
        <v>#INVALID COMPANY ID</v>
      </c>
      <c r="FY150" t="s">
        <v>436</v>
      </c>
      <c r="FZ150">
        <v>111219</v>
      </c>
      <c r="GA150" t="s">
        <v>346</v>
      </c>
      <c r="GB150" s="11">
        <v>0.03</v>
      </c>
      <c r="GC150" s="9" t="str">
        <f>_xll.SNL.Clients.Office.Excel.Functions.SPG(FZ150, "SP_COUNTRY_NAME")</f>
        <v>USA</v>
      </c>
      <c r="GH150" s="9" t="str">
        <f>_xll.SNL.Clients.Office.Excel.Functions.SPG(GE150, "SP_COUNTRY_NAME")</f>
        <v>#INVALID COMPANY ID</v>
      </c>
      <c r="GM150" s="9" t="str">
        <f>_xll.SNL.Clients.Office.Excel.Functions.SPG(GJ150, "SP_COUNTRY_NAME")</f>
        <v>#INVALID COMPANY ID</v>
      </c>
      <c r="GR150" s="9" t="str">
        <f>_xll.SNL.Clients.Office.Excel.Functions.SPG(GO150, "SP_COUNTRY_NAME")</f>
        <v>#INVALID COMPANY ID</v>
      </c>
      <c r="GS150" t="s">
        <v>739</v>
      </c>
      <c r="GT150">
        <v>4311270</v>
      </c>
      <c r="GU150" t="s">
        <v>346</v>
      </c>
      <c r="GV150" s="11">
        <v>0.01</v>
      </c>
      <c r="GW150" s="9" t="str">
        <f>_xll.SNL.Clients.Office.Excel.Functions.SPG(GT150, "SP_COUNTRY_NAME")</f>
        <v>China</v>
      </c>
      <c r="GX150" t="s">
        <v>466</v>
      </c>
      <c r="GY150">
        <v>111267</v>
      </c>
      <c r="GZ150" t="s">
        <v>346</v>
      </c>
      <c r="HA150" s="11">
        <v>0.02</v>
      </c>
      <c r="HB150" s="9" t="str">
        <f>_xll.SNL.Clients.Office.Excel.Functions.SPG(GY150, "SP_COUNTRY_NAME")</f>
        <v>United Kingdom</v>
      </c>
      <c r="HG150" s="9" t="str">
        <f>_xll.SNL.Clients.Office.Excel.Functions.SPG(HD150, "SP_COUNTRY_NAME")</f>
        <v>#INVALID COMPANY ID</v>
      </c>
    </row>
    <row r="151" spans="5:215" x14ac:dyDescent="0.35">
      <c r="E151" s="9" t="str">
        <f>_xll.SNL.Clients.Office.Excel.Functions.SPG(B151, "SP_COUNTRY_NAME")</f>
        <v>#INVALID COMPANY ID</v>
      </c>
      <c r="F151" t="s">
        <v>538</v>
      </c>
      <c r="G151">
        <v>4547194</v>
      </c>
      <c r="H151" t="s">
        <v>346</v>
      </c>
      <c r="I151" s="11">
        <v>0</v>
      </c>
      <c r="J151" s="9" t="str">
        <f>_xll.SNL.Clients.Office.Excel.Functions.SPG(G151, "SP_COUNTRY_NAME")</f>
        <v>Italy</v>
      </c>
      <c r="O151" s="9" t="str">
        <f>_xll.SNL.Clients.Office.Excel.Functions.SPG(L151, "SP_COUNTRY_NAME")</f>
        <v>#INVALID COMPANY ID</v>
      </c>
      <c r="T151" s="9" t="str">
        <f>_xll.SNL.Clients.Office.Excel.Functions.SPG(Q151, "SP_COUNTRY_NAME")</f>
        <v>#INVALID COMPANY ID</v>
      </c>
      <c r="U151" t="s">
        <v>410</v>
      </c>
      <c r="V151">
        <v>5759394</v>
      </c>
      <c r="W151" t="s">
        <v>346</v>
      </c>
      <c r="X151" s="11">
        <v>0.01</v>
      </c>
      <c r="Y151" s="9" t="str">
        <f>_xll.SNL.Clients.Office.Excel.Functions.SPG(V151, "SP_COUNTRY_NAME")</f>
        <v>Ireland</v>
      </c>
      <c r="AD151" s="9" t="str">
        <f>_xll.SNL.Clients.Office.Excel.Functions.SPG(AA151, "SP_COUNTRY_NAME")</f>
        <v>#INVALID COMPANY ID</v>
      </c>
      <c r="AE151" t="s">
        <v>515</v>
      </c>
      <c r="AF151">
        <v>109731</v>
      </c>
      <c r="AG151" t="s">
        <v>346</v>
      </c>
      <c r="AH151" s="11">
        <v>0</v>
      </c>
      <c r="AI151" s="9" t="str">
        <f>_xll.SNL.Clients.Office.Excel.Functions.SPG(AF151, "SP_COUNTRY_NAME")</f>
        <v>USA</v>
      </c>
      <c r="AN151" s="9" t="str">
        <f>_xll.SNL.Clients.Office.Excel.Functions.SPG(AK151, "SP_COUNTRY_NAME")</f>
        <v>#INVALID COMPANY ID</v>
      </c>
      <c r="AO151" t="s">
        <v>1305</v>
      </c>
      <c r="AP151">
        <v>5866366</v>
      </c>
      <c r="AQ151" t="s">
        <v>346</v>
      </c>
      <c r="AR151" s="11">
        <v>0.01</v>
      </c>
      <c r="AS151" s="9" t="str">
        <f>_xll.SNL.Clients.Office.Excel.Functions.SPG(AP151, "SP_COUNTRY_NAME")</f>
        <v>South Africa</v>
      </c>
      <c r="AX151" s="9" t="str">
        <f>_xll.SNL.Clients.Office.Excel.Functions.SPG(AU151, "SP_COUNTRY_NAME")</f>
        <v>#INVALID COMPANY ID</v>
      </c>
      <c r="BC151" s="9" t="str">
        <f>_xll.SNL.Clients.Office.Excel.Functions.SPG(AZ151, "SP_COUNTRY_NAME")</f>
        <v>#INVALID COMPANY ID</v>
      </c>
      <c r="BD151" t="s">
        <v>1436</v>
      </c>
      <c r="BE151">
        <v>4138868</v>
      </c>
      <c r="BF151" t="s">
        <v>346</v>
      </c>
      <c r="BG151" s="11">
        <v>0.03</v>
      </c>
      <c r="BH151" s="9" t="str">
        <f>_xll.SNL.Clients.Office.Excel.Functions.SPG(BE151, "SP_COUNTRY_NAME")</f>
        <v>Luxembourg</v>
      </c>
      <c r="BI151" t="s">
        <v>586</v>
      </c>
      <c r="BJ151">
        <v>4251516</v>
      </c>
      <c r="BK151" t="s">
        <v>346</v>
      </c>
      <c r="BL151" s="11">
        <v>0.01</v>
      </c>
      <c r="BM151" s="9" t="str">
        <f>_xll.SNL.Clients.Office.Excel.Functions.SPG(BJ151, "SP_COUNTRY_NAME")</f>
        <v>Switzerland</v>
      </c>
      <c r="BN151" t="s">
        <v>760</v>
      </c>
      <c r="BO151">
        <v>4677331</v>
      </c>
      <c r="BP151" t="s">
        <v>346</v>
      </c>
      <c r="BQ151" s="11">
        <v>0.01</v>
      </c>
      <c r="BR151" s="9" t="str">
        <f>_xll.SNL.Clients.Office.Excel.Functions.SPG(BO151, "SP_COUNTRY_NAME")</f>
        <v>China</v>
      </c>
      <c r="BS151" t="s">
        <v>977</v>
      </c>
      <c r="BT151">
        <v>4578628</v>
      </c>
      <c r="BU151" t="s">
        <v>346</v>
      </c>
      <c r="BV151" s="11">
        <v>0.02</v>
      </c>
      <c r="BW151" s="9" t="str">
        <f>_xll.SNL.Clients.Office.Excel.Functions.SPG(BT151, "SP_COUNTRY_NAME")</f>
        <v>USA</v>
      </c>
      <c r="BX151" t="s">
        <v>410</v>
      </c>
      <c r="BY151">
        <v>5759394</v>
      </c>
      <c r="BZ151" t="s">
        <v>346</v>
      </c>
      <c r="CA151" s="11">
        <v>0.01</v>
      </c>
      <c r="CB151" s="9" t="str">
        <f>_xll.SNL.Clients.Office.Excel.Functions.SPG(BY151, "SP_COUNTRY_NAME")</f>
        <v>Ireland</v>
      </c>
      <c r="CC151" t="s">
        <v>1664</v>
      </c>
      <c r="CD151">
        <v>7384223</v>
      </c>
      <c r="CE151" t="s">
        <v>364</v>
      </c>
      <c r="CF151" s="11">
        <v>0.02</v>
      </c>
      <c r="CG151" s="9" t="str">
        <f>_xll.SNL.Clients.Office.Excel.Functions.SPG(CD151, "SP_COUNTRY_NAME")</f>
        <v>USA</v>
      </c>
      <c r="CH151" t="s">
        <v>1305</v>
      </c>
      <c r="CI151">
        <v>5866366</v>
      </c>
      <c r="CJ151" t="s">
        <v>346</v>
      </c>
      <c r="CK151" s="11">
        <v>0.01</v>
      </c>
      <c r="CL151" s="9" t="str">
        <f>_xll.SNL.Clients.Office.Excel.Functions.SPG(CI151, "SP_COUNTRY_NAME")</f>
        <v>South Africa</v>
      </c>
      <c r="CM151" t="s">
        <v>1831</v>
      </c>
      <c r="CN151">
        <v>4169610</v>
      </c>
      <c r="CO151" t="s">
        <v>346</v>
      </c>
      <c r="CP151" s="11">
        <v>0.03</v>
      </c>
      <c r="CQ151" s="9" t="str">
        <f>_xll.SNL.Clients.Office.Excel.Functions.SPG(CN151, "SP_COUNTRY_NAME")</f>
        <v>Canada</v>
      </c>
      <c r="CV151" s="9" t="str">
        <f>_xll.SNL.Clients.Office.Excel.Functions.SPG(CS151, "SP_COUNTRY_NAME")</f>
        <v>#INVALID COMPANY ID</v>
      </c>
      <c r="DA151" s="9" t="str">
        <f>_xll.SNL.Clients.Office.Excel.Functions.SPG(CX151, "SP_COUNTRY_NAME")</f>
        <v>#INVALID COMPANY ID</v>
      </c>
      <c r="DB151" t="s">
        <v>1436</v>
      </c>
      <c r="DC151">
        <v>4138868</v>
      </c>
      <c r="DD151" t="s">
        <v>346</v>
      </c>
      <c r="DE151" s="11">
        <v>0.03</v>
      </c>
      <c r="DF151" s="9" t="str">
        <f>_xll.SNL.Clients.Office.Excel.Functions.SPG(DC151, "SP_COUNTRY_NAME")</f>
        <v>Luxembourg</v>
      </c>
      <c r="DK151" s="9" t="str">
        <f>_xll.SNL.Clients.Office.Excel.Functions.SPG(DH151, "SP_COUNTRY_NAME")</f>
        <v>#INVALID COMPANY ID</v>
      </c>
      <c r="DL151" t="s">
        <v>1436</v>
      </c>
      <c r="DM151">
        <v>4138868</v>
      </c>
      <c r="DN151" t="s">
        <v>346</v>
      </c>
      <c r="DO151" s="11">
        <v>0.03</v>
      </c>
      <c r="DP151" s="9" t="str">
        <f>_xll.SNL.Clients.Office.Excel.Functions.SPG(DM151, "SP_COUNTRY_NAME")</f>
        <v>Luxembourg</v>
      </c>
      <c r="DU151" s="9" t="str">
        <f>_xll.SNL.Clients.Office.Excel.Functions.SPG(DR151, "SP_COUNTRY_NAME")</f>
        <v>#INVALID COMPANY ID</v>
      </c>
      <c r="DZ151" s="9" t="str">
        <f>_xll.SNL.Clients.Office.Excel.Functions.SPG(DW151, "SP_COUNTRY_NAME")</f>
        <v>#INVALID COMPANY ID</v>
      </c>
      <c r="EA151" t="s">
        <v>1664</v>
      </c>
      <c r="EB151">
        <v>7384223</v>
      </c>
      <c r="EC151" t="s">
        <v>364</v>
      </c>
      <c r="ED151" s="11">
        <v>0.02</v>
      </c>
      <c r="EE151" s="9" t="str">
        <f>_xll.SNL.Clients.Office.Excel.Functions.SPG(EB151, "SP_COUNTRY_NAME")</f>
        <v>USA</v>
      </c>
      <c r="EF151" t="s">
        <v>1436</v>
      </c>
      <c r="EG151">
        <v>4138868</v>
      </c>
      <c r="EH151" t="s">
        <v>346</v>
      </c>
      <c r="EI151" s="11">
        <v>0.03</v>
      </c>
      <c r="EJ151" s="9" t="str">
        <f>_xll.SNL.Clients.Office.Excel.Functions.SPG(EG151, "SP_COUNTRY_NAME")</f>
        <v>Luxembourg</v>
      </c>
      <c r="EO151" s="9" t="str">
        <f>_xll.SNL.Clients.Office.Excel.Functions.SPG(EL151, "SP_COUNTRY_NAME")</f>
        <v>#INVALID COMPANY ID</v>
      </c>
      <c r="ET151" s="9" t="str">
        <f>_xll.SNL.Clients.Office.Excel.Functions.SPG(EQ151, "SP_COUNTRY_NAME")</f>
        <v>#INVALID COMPANY ID</v>
      </c>
      <c r="EY151" s="9" t="str">
        <f>_xll.SNL.Clients.Office.Excel.Functions.SPG(EV151, "SP_COUNTRY_NAME")</f>
        <v>#INVALID COMPANY ID</v>
      </c>
      <c r="FD151" s="9" t="str">
        <f>_xll.SNL.Clients.Office.Excel.Functions.SPG(FA151, "SP_COUNTRY_NAME")</f>
        <v>#INVALID COMPANY ID</v>
      </c>
      <c r="FI151" s="9" t="str">
        <f>_xll.SNL.Clients.Office.Excel.Functions.SPG(FF151, "SP_COUNTRY_NAME")</f>
        <v>#INVALID COMPANY ID</v>
      </c>
      <c r="FN151" s="9" t="str">
        <f>_xll.SNL.Clients.Office.Excel.Functions.SPG(FK151, "SP_COUNTRY_NAME")</f>
        <v>#INVALID COMPANY ID</v>
      </c>
      <c r="FS151" s="9" t="str">
        <f>_xll.SNL.Clients.Office.Excel.Functions.SPG(FP151, "SP_COUNTRY_NAME")</f>
        <v>#INVALID COMPANY ID</v>
      </c>
      <c r="FX151" s="9" t="str">
        <f>_xll.SNL.Clients.Office.Excel.Functions.SPG(FU151, "SP_COUNTRY_NAME")</f>
        <v>#INVALID COMPANY ID</v>
      </c>
      <c r="FY151" t="s">
        <v>1436</v>
      </c>
      <c r="FZ151">
        <v>4138868</v>
      </c>
      <c r="GA151" t="s">
        <v>346</v>
      </c>
      <c r="GB151" s="11">
        <v>0.03</v>
      </c>
      <c r="GC151" s="9" t="str">
        <f>_xll.SNL.Clients.Office.Excel.Functions.SPG(FZ151, "SP_COUNTRY_NAME")</f>
        <v>Luxembourg</v>
      </c>
      <c r="GH151" s="9" t="str">
        <f>_xll.SNL.Clients.Office.Excel.Functions.SPG(GE151, "SP_COUNTRY_NAME")</f>
        <v>#INVALID COMPANY ID</v>
      </c>
      <c r="GM151" s="9" t="str">
        <f>_xll.SNL.Clients.Office.Excel.Functions.SPG(GJ151, "SP_COUNTRY_NAME")</f>
        <v>#INVALID COMPANY ID</v>
      </c>
      <c r="GR151" s="9" t="str">
        <f>_xll.SNL.Clients.Office.Excel.Functions.SPG(GO151, "SP_COUNTRY_NAME")</f>
        <v>#INVALID COMPANY ID</v>
      </c>
      <c r="GS151" t="s">
        <v>760</v>
      </c>
      <c r="GT151">
        <v>4677331</v>
      </c>
      <c r="GU151" t="s">
        <v>346</v>
      </c>
      <c r="GV151" s="11">
        <v>0.01</v>
      </c>
      <c r="GW151" s="9" t="str">
        <f>_xll.SNL.Clients.Office.Excel.Functions.SPG(GT151, "SP_COUNTRY_NAME")</f>
        <v>China</v>
      </c>
      <c r="GX151" t="s">
        <v>1664</v>
      </c>
      <c r="GY151">
        <v>7384223</v>
      </c>
      <c r="GZ151" t="s">
        <v>364</v>
      </c>
      <c r="HA151" s="11">
        <v>0.02</v>
      </c>
      <c r="HB151" s="9" t="str">
        <f>_xll.SNL.Clients.Office.Excel.Functions.SPG(GY151, "SP_COUNTRY_NAME")</f>
        <v>USA</v>
      </c>
      <c r="HG151" s="9" t="str">
        <f>_xll.SNL.Clients.Office.Excel.Functions.SPG(HD151, "SP_COUNTRY_NAME")</f>
        <v>#INVALID COMPANY ID</v>
      </c>
    </row>
    <row r="152" spans="5:215" x14ac:dyDescent="0.35">
      <c r="E152" s="9" t="str">
        <f>_xll.SNL.Clients.Office.Excel.Functions.SPG(B152, "SP_COUNTRY_NAME")</f>
        <v>#INVALID COMPANY ID</v>
      </c>
      <c r="F152" t="s">
        <v>539</v>
      </c>
      <c r="G152">
        <v>4341249</v>
      </c>
      <c r="H152" t="s">
        <v>346</v>
      </c>
      <c r="I152" s="11">
        <v>0</v>
      </c>
      <c r="J152" s="9" t="str">
        <f>_xll.SNL.Clients.Office.Excel.Functions.SPG(G152, "SP_COUNTRY_NAME")</f>
        <v>Japan</v>
      </c>
      <c r="O152" s="9" t="str">
        <f>_xll.SNL.Clients.Office.Excel.Functions.SPG(L152, "SP_COUNTRY_NAME")</f>
        <v>#INVALID COMPANY ID</v>
      </c>
      <c r="T152" s="9" t="str">
        <f>_xll.SNL.Clients.Office.Excel.Functions.SPG(Q152, "SP_COUNTRY_NAME")</f>
        <v>#INVALID COMPANY ID</v>
      </c>
      <c r="U152" t="s">
        <v>761</v>
      </c>
      <c r="V152">
        <v>15102002</v>
      </c>
      <c r="W152" t="s">
        <v>346</v>
      </c>
      <c r="X152" s="11">
        <v>0.01</v>
      </c>
      <c r="Y152" s="9" t="str">
        <f>_xll.SNL.Clients.Office.Excel.Functions.SPG(V152, "SP_COUNTRY_NAME")</f>
        <v>China</v>
      </c>
      <c r="AD152" s="9" t="str">
        <f>_xll.SNL.Clients.Office.Excel.Functions.SPG(AA152, "SP_COUNTRY_NAME")</f>
        <v>#INVALID COMPANY ID</v>
      </c>
      <c r="AE152" t="s">
        <v>873</v>
      </c>
      <c r="AF152">
        <v>4873872</v>
      </c>
      <c r="AG152" t="s">
        <v>346</v>
      </c>
      <c r="AH152" s="11">
        <v>0</v>
      </c>
      <c r="AI152" s="9" t="str">
        <f>_xll.SNL.Clients.Office.Excel.Functions.SPG(AF152, "SP_COUNTRY_NAME")</f>
        <v>Spain</v>
      </c>
      <c r="AN152" s="9" t="str">
        <f>_xll.SNL.Clients.Office.Excel.Functions.SPG(AK152, "SP_COUNTRY_NAME")</f>
        <v>#INVALID COMPANY ID</v>
      </c>
      <c r="AO152" t="s">
        <v>894</v>
      </c>
      <c r="AP152">
        <v>4139629</v>
      </c>
      <c r="AQ152" t="s">
        <v>346</v>
      </c>
      <c r="AR152" s="11">
        <v>0.01</v>
      </c>
      <c r="AS152" s="9" t="str">
        <f>_xll.SNL.Clients.Office.Excel.Functions.SPG(AP152, "SP_COUNTRY_NAME")</f>
        <v>Singapore</v>
      </c>
      <c r="AX152" s="9" t="str">
        <f>_xll.SNL.Clients.Office.Excel.Functions.SPG(AU152, "SP_COUNTRY_NAME")</f>
        <v>#INVALID COMPANY ID</v>
      </c>
      <c r="BC152" s="9" t="str">
        <f>_xll.SNL.Clients.Office.Excel.Functions.SPG(AZ152, "SP_COUNTRY_NAME")</f>
        <v>#INVALID COMPANY ID</v>
      </c>
      <c r="BD152" t="s">
        <v>1437</v>
      </c>
      <c r="BE152">
        <v>4296071</v>
      </c>
      <c r="BF152" t="s">
        <v>346</v>
      </c>
      <c r="BG152" s="11">
        <v>0.03</v>
      </c>
      <c r="BH152" s="9" t="str">
        <f>_xll.SNL.Clients.Office.Excel.Functions.SPG(BE152, "SP_COUNTRY_NAME")</f>
        <v>Hong Kong</v>
      </c>
      <c r="BI152" t="s">
        <v>1032</v>
      </c>
      <c r="BJ152">
        <v>4343973</v>
      </c>
      <c r="BK152" t="s">
        <v>346</v>
      </c>
      <c r="BL152" s="11">
        <v>0.01</v>
      </c>
      <c r="BM152" s="9" t="str">
        <f>_xll.SNL.Clients.Office.Excel.Functions.SPG(BJ152, "SP_COUNTRY_NAME")</f>
        <v>Norway</v>
      </c>
      <c r="BN152" t="s">
        <v>1034</v>
      </c>
      <c r="BO152">
        <v>4256960</v>
      </c>
      <c r="BP152" t="s">
        <v>346</v>
      </c>
      <c r="BQ152" s="11">
        <v>0.01</v>
      </c>
      <c r="BR152" s="9" t="str">
        <f>_xll.SNL.Clients.Office.Excel.Functions.SPG(BO152, "SP_COUNTRY_NAME")</f>
        <v>Latvia</v>
      </c>
      <c r="BS152" t="s">
        <v>743</v>
      </c>
      <c r="BT152">
        <v>4137999</v>
      </c>
      <c r="BU152" t="s">
        <v>346</v>
      </c>
      <c r="BV152" s="11">
        <v>0.02</v>
      </c>
      <c r="BW152" s="9" t="str">
        <f>_xll.SNL.Clients.Office.Excel.Functions.SPG(BT152, "SP_COUNTRY_NAME")</f>
        <v>China</v>
      </c>
      <c r="BX152" t="s">
        <v>761</v>
      </c>
      <c r="BY152">
        <v>15102002</v>
      </c>
      <c r="BZ152" t="s">
        <v>346</v>
      </c>
      <c r="CA152" s="11">
        <v>0.01</v>
      </c>
      <c r="CB152" s="9" t="str">
        <f>_xll.SNL.Clients.Office.Excel.Functions.SPG(BY152, "SP_COUNTRY_NAME")</f>
        <v>China</v>
      </c>
      <c r="CC152" t="s">
        <v>633</v>
      </c>
      <c r="CD152">
        <v>114508</v>
      </c>
      <c r="CE152" t="s">
        <v>366</v>
      </c>
      <c r="CF152" s="11">
        <v>0.02</v>
      </c>
      <c r="CG152" s="9" t="str">
        <f>_xll.SNL.Clients.Office.Excel.Functions.SPG(CD152, "SP_COUNTRY_NAME")</f>
        <v>United Kingdom</v>
      </c>
      <c r="CH152" t="s">
        <v>894</v>
      </c>
      <c r="CI152">
        <v>4139629</v>
      </c>
      <c r="CJ152" t="s">
        <v>346</v>
      </c>
      <c r="CK152" s="11">
        <v>0.01</v>
      </c>
      <c r="CL152" s="9" t="str">
        <f>_xll.SNL.Clients.Office.Excel.Functions.SPG(CI152, "SP_COUNTRY_NAME")</f>
        <v>Singapore</v>
      </c>
      <c r="CM152" t="s">
        <v>954</v>
      </c>
      <c r="CN152">
        <v>4026994</v>
      </c>
      <c r="CO152" t="s">
        <v>346</v>
      </c>
      <c r="CP152" s="11">
        <v>0.03</v>
      </c>
      <c r="CQ152" s="9" t="str">
        <f>_xll.SNL.Clients.Office.Excel.Functions.SPG(CN152, "SP_COUNTRY_NAME")</f>
        <v>Sweden</v>
      </c>
      <c r="CV152" s="9" t="str">
        <f>_xll.SNL.Clients.Office.Excel.Functions.SPG(CS152, "SP_COUNTRY_NAME")</f>
        <v>#INVALID COMPANY ID</v>
      </c>
      <c r="DA152" s="9" t="str">
        <f>_xll.SNL.Clients.Office.Excel.Functions.SPG(CX152, "SP_COUNTRY_NAME")</f>
        <v>#INVALID COMPANY ID</v>
      </c>
      <c r="DB152" t="s">
        <v>1437</v>
      </c>
      <c r="DC152">
        <v>4296071</v>
      </c>
      <c r="DD152" t="s">
        <v>346</v>
      </c>
      <c r="DE152" s="11">
        <v>0.03</v>
      </c>
      <c r="DF152" s="9" t="str">
        <f>_xll.SNL.Clients.Office.Excel.Functions.SPG(DC152, "SP_COUNTRY_NAME")</f>
        <v>Hong Kong</v>
      </c>
      <c r="DK152" s="9" t="str">
        <f>_xll.SNL.Clients.Office.Excel.Functions.SPG(DH152, "SP_COUNTRY_NAME")</f>
        <v>#INVALID COMPANY ID</v>
      </c>
      <c r="DL152" t="s">
        <v>1437</v>
      </c>
      <c r="DM152">
        <v>4296071</v>
      </c>
      <c r="DN152" t="s">
        <v>346</v>
      </c>
      <c r="DO152" s="11">
        <v>0.03</v>
      </c>
      <c r="DP152" s="9" t="str">
        <f>_xll.SNL.Clients.Office.Excel.Functions.SPG(DM152, "SP_COUNTRY_NAME")</f>
        <v>Hong Kong</v>
      </c>
      <c r="DU152" s="9" t="str">
        <f>_xll.SNL.Clients.Office.Excel.Functions.SPG(DR152, "SP_COUNTRY_NAME")</f>
        <v>#INVALID COMPANY ID</v>
      </c>
      <c r="DZ152" s="9" t="str">
        <f>_xll.SNL.Clients.Office.Excel.Functions.SPG(DW152, "SP_COUNTRY_NAME")</f>
        <v>#INVALID COMPANY ID</v>
      </c>
      <c r="EA152" t="s">
        <v>633</v>
      </c>
      <c r="EB152">
        <v>114508</v>
      </c>
      <c r="EC152" t="s">
        <v>366</v>
      </c>
      <c r="ED152" s="11">
        <v>0.02</v>
      </c>
      <c r="EE152" s="9" t="str">
        <f>_xll.SNL.Clients.Office.Excel.Functions.SPG(EB152, "SP_COUNTRY_NAME")</f>
        <v>United Kingdom</v>
      </c>
      <c r="EF152" t="s">
        <v>1437</v>
      </c>
      <c r="EG152">
        <v>4296071</v>
      </c>
      <c r="EH152" t="s">
        <v>346</v>
      </c>
      <c r="EI152" s="11">
        <v>0.03</v>
      </c>
      <c r="EJ152" s="9" t="str">
        <f>_xll.SNL.Clients.Office.Excel.Functions.SPG(EG152, "SP_COUNTRY_NAME")</f>
        <v>Hong Kong</v>
      </c>
      <c r="EO152" s="9" t="str">
        <f>_xll.SNL.Clients.Office.Excel.Functions.SPG(EL152, "SP_COUNTRY_NAME")</f>
        <v>#INVALID COMPANY ID</v>
      </c>
      <c r="ET152" s="9" t="str">
        <f>_xll.SNL.Clients.Office.Excel.Functions.SPG(EQ152, "SP_COUNTRY_NAME")</f>
        <v>#INVALID COMPANY ID</v>
      </c>
      <c r="EY152" s="9" t="str">
        <f>_xll.SNL.Clients.Office.Excel.Functions.SPG(EV152, "SP_COUNTRY_NAME")</f>
        <v>#INVALID COMPANY ID</v>
      </c>
      <c r="FD152" s="9" t="str">
        <f>_xll.SNL.Clients.Office.Excel.Functions.SPG(FA152, "SP_COUNTRY_NAME")</f>
        <v>#INVALID COMPANY ID</v>
      </c>
      <c r="FI152" s="9" t="str">
        <f>_xll.SNL.Clients.Office.Excel.Functions.SPG(FF152, "SP_COUNTRY_NAME")</f>
        <v>#INVALID COMPANY ID</v>
      </c>
      <c r="FN152" s="9" t="str">
        <f>_xll.SNL.Clients.Office.Excel.Functions.SPG(FK152, "SP_COUNTRY_NAME")</f>
        <v>#INVALID COMPANY ID</v>
      </c>
      <c r="FS152" s="9" t="str">
        <f>_xll.SNL.Clients.Office.Excel.Functions.SPG(FP152, "SP_COUNTRY_NAME")</f>
        <v>#INVALID COMPANY ID</v>
      </c>
      <c r="FX152" s="9" t="str">
        <f>_xll.SNL.Clients.Office.Excel.Functions.SPG(FU152, "SP_COUNTRY_NAME")</f>
        <v>#INVALID COMPANY ID</v>
      </c>
      <c r="FY152" t="s">
        <v>1437</v>
      </c>
      <c r="FZ152">
        <v>4296071</v>
      </c>
      <c r="GA152" t="s">
        <v>346</v>
      </c>
      <c r="GB152" s="11">
        <v>0.03</v>
      </c>
      <c r="GC152" s="9" t="str">
        <f>_xll.SNL.Clients.Office.Excel.Functions.SPG(FZ152, "SP_COUNTRY_NAME")</f>
        <v>Hong Kong</v>
      </c>
      <c r="GH152" s="9" t="str">
        <f>_xll.SNL.Clients.Office.Excel.Functions.SPG(GE152, "SP_COUNTRY_NAME")</f>
        <v>#INVALID COMPANY ID</v>
      </c>
      <c r="GM152" s="9" t="str">
        <f>_xll.SNL.Clients.Office.Excel.Functions.SPG(GJ152, "SP_COUNTRY_NAME")</f>
        <v>#INVALID COMPANY ID</v>
      </c>
      <c r="GR152" s="9" t="str">
        <f>_xll.SNL.Clients.Office.Excel.Functions.SPG(GO152, "SP_COUNTRY_NAME")</f>
        <v>#INVALID COMPANY ID</v>
      </c>
      <c r="GS152" t="s">
        <v>1034</v>
      </c>
      <c r="GT152">
        <v>4256960</v>
      </c>
      <c r="GU152" t="s">
        <v>346</v>
      </c>
      <c r="GV152" s="11">
        <v>0.01</v>
      </c>
      <c r="GW152" s="9" t="str">
        <f>_xll.SNL.Clients.Office.Excel.Functions.SPG(GT152, "SP_COUNTRY_NAME")</f>
        <v>Latvia</v>
      </c>
      <c r="GX152" t="s">
        <v>633</v>
      </c>
      <c r="GY152">
        <v>114508</v>
      </c>
      <c r="GZ152" t="s">
        <v>366</v>
      </c>
      <c r="HA152" s="11">
        <v>0.02</v>
      </c>
      <c r="HB152" s="9" t="str">
        <f>_xll.SNL.Clients.Office.Excel.Functions.SPG(GY152, "SP_COUNTRY_NAME")</f>
        <v>United Kingdom</v>
      </c>
      <c r="HG152" s="9" t="str">
        <f>_xll.SNL.Clients.Office.Excel.Functions.SPG(HD152, "SP_COUNTRY_NAME")</f>
        <v>#INVALID COMPANY ID</v>
      </c>
    </row>
    <row r="153" spans="5:215" x14ac:dyDescent="0.35">
      <c r="E153" s="9" t="str">
        <f>_xll.SNL.Clients.Office.Excel.Functions.SPG(B153, "SP_COUNTRY_NAME")</f>
        <v>#INVALID COMPANY ID</v>
      </c>
      <c r="F153" t="s">
        <v>540</v>
      </c>
      <c r="G153">
        <v>4281265</v>
      </c>
      <c r="H153" t="s">
        <v>346</v>
      </c>
      <c r="I153" s="11">
        <v>0</v>
      </c>
      <c r="J153" s="9" t="str">
        <f>_xll.SNL.Clients.Office.Excel.Functions.SPG(G153, "SP_COUNTRY_NAME")</f>
        <v>Canada</v>
      </c>
      <c r="O153" s="9" t="str">
        <f>_xll.SNL.Clients.Office.Excel.Functions.SPG(L153, "SP_COUNTRY_NAME")</f>
        <v>#INVALID COMPANY ID</v>
      </c>
      <c r="T153" s="9" t="str">
        <f>_xll.SNL.Clients.Office.Excel.Functions.SPG(Q153, "SP_COUNTRY_NAME")</f>
        <v>#INVALID COMPANY ID</v>
      </c>
      <c r="U153" t="s">
        <v>762</v>
      </c>
      <c r="V153">
        <v>5854382</v>
      </c>
      <c r="W153" t="s">
        <v>346</v>
      </c>
      <c r="X153" s="11">
        <v>0.01</v>
      </c>
      <c r="Y153" s="9" t="str">
        <f>_xll.SNL.Clients.Office.Excel.Functions.SPG(V153, "SP_COUNTRY_NAME")</f>
        <v>Hong Kong</v>
      </c>
      <c r="AD153" s="9" t="str">
        <f>_xll.SNL.Clients.Office.Excel.Functions.SPG(AA153, "SP_COUNTRY_NAME")</f>
        <v>#INVALID COMPANY ID</v>
      </c>
      <c r="AE153" t="s">
        <v>537</v>
      </c>
      <c r="AF153">
        <v>5834897</v>
      </c>
      <c r="AG153" t="s">
        <v>346</v>
      </c>
      <c r="AH153" s="11">
        <v>0</v>
      </c>
      <c r="AI153" s="9" t="str">
        <f>_xll.SNL.Clients.Office.Excel.Functions.SPG(AF153, "SP_COUNTRY_NAME")</f>
        <v>United Kingdom</v>
      </c>
      <c r="AN153" s="9" t="str">
        <f>_xll.SNL.Clients.Office.Excel.Functions.SPG(AK153, "SP_COUNTRY_NAME")</f>
        <v>#INVALID COMPANY ID</v>
      </c>
      <c r="AO153" t="s">
        <v>1306</v>
      </c>
      <c r="AP153">
        <v>5879300</v>
      </c>
      <c r="AQ153" t="s">
        <v>364</v>
      </c>
      <c r="AR153" s="11">
        <v>0.01</v>
      </c>
      <c r="AS153" s="9" t="str">
        <f>_xll.SNL.Clients.Office.Excel.Functions.SPG(AP153, "SP_COUNTRY_NAME")</f>
        <v>South Africa</v>
      </c>
      <c r="AX153" s="9" t="str">
        <f>_xll.SNL.Clients.Office.Excel.Functions.SPG(AU153, "SP_COUNTRY_NAME")</f>
        <v>#INVALID COMPANY ID</v>
      </c>
      <c r="BC153" s="9" t="str">
        <f>_xll.SNL.Clients.Office.Excel.Functions.SPG(AZ153, "SP_COUNTRY_NAME")</f>
        <v>#INVALID COMPANY ID</v>
      </c>
      <c r="BD153" t="s">
        <v>1438</v>
      </c>
      <c r="BE153">
        <v>4206137</v>
      </c>
      <c r="BF153" t="s">
        <v>346</v>
      </c>
      <c r="BG153" s="11">
        <v>0.03</v>
      </c>
      <c r="BH153" s="9" t="str">
        <f>_xll.SNL.Clients.Office.Excel.Functions.SPG(BE153, "SP_COUNTRY_NAME")</f>
        <v>Spain</v>
      </c>
      <c r="BI153" t="s">
        <v>498</v>
      </c>
      <c r="BJ153">
        <v>4187546</v>
      </c>
      <c r="BK153" t="s">
        <v>346</v>
      </c>
      <c r="BL153" s="11">
        <v>0.01</v>
      </c>
      <c r="BM153" s="9" t="str">
        <f>_xll.SNL.Clients.Office.Excel.Functions.SPG(BJ153, "SP_COUNTRY_NAME")</f>
        <v>USA</v>
      </c>
      <c r="BN153" t="s">
        <v>1239</v>
      </c>
      <c r="BO153">
        <v>111486</v>
      </c>
      <c r="BP153" t="s">
        <v>346</v>
      </c>
      <c r="BQ153" s="11">
        <v>0.01</v>
      </c>
      <c r="BR153" s="9" t="str">
        <f>_xll.SNL.Clients.Office.Excel.Functions.SPG(BO153, "SP_COUNTRY_NAME")</f>
        <v>USA</v>
      </c>
      <c r="BS153" t="s">
        <v>458</v>
      </c>
      <c r="BT153">
        <v>109806</v>
      </c>
      <c r="BU153" t="s">
        <v>346</v>
      </c>
      <c r="BV153" s="11">
        <v>0.02</v>
      </c>
      <c r="BW153" s="9" t="str">
        <f>_xll.SNL.Clients.Office.Excel.Functions.SPG(BT153, "SP_COUNTRY_NAME")</f>
        <v>USA</v>
      </c>
      <c r="BX153" t="s">
        <v>762</v>
      </c>
      <c r="BY153">
        <v>5854382</v>
      </c>
      <c r="BZ153" t="s">
        <v>346</v>
      </c>
      <c r="CA153" s="11">
        <v>0.01</v>
      </c>
      <c r="CB153" s="9" t="str">
        <f>_xll.SNL.Clients.Office.Excel.Functions.SPG(BY153, "SP_COUNTRY_NAME")</f>
        <v>Hong Kong</v>
      </c>
      <c r="CC153" t="s">
        <v>425</v>
      </c>
      <c r="CD153">
        <v>4137704</v>
      </c>
      <c r="CE153" t="s">
        <v>346</v>
      </c>
      <c r="CF153" s="11">
        <v>0.02</v>
      </c>
      <c r="CG153" s="9" t="str">
        <f>_xll.SNL.Clients.Office.Excel.Functions.SPG(CD153, "SP_COUNTRY_NAME")</f>
        <v>Japan</v>
      </c>
      <c r="CH153" t="s">
        <v>1306</v>
      </c>
      <c r="CI153">
        <v>5879300</v>
      </c>
      <c r="CJ153" t="s">
        <v>364</v>
      </c>
      <c r="CK153" s="11">
        <v>0.01</v>
      </c>
      <c r="CL153" s="9" t="str">
        <f>_xll.SNL.Clients.Office.Excel.Functions.SPG(CI153, "SP_COUNTRY_NAME")</f>
        <v>South Africa</v>
      </c>
      <c r="CM153" t="s">
        <v>425</v>
      </c>
      <c r="CN153">
        <v>4137704</v>
      </c>
      <c r="CO153" t="s">
        <v>346</v>
      </c>
      <c r="CP153" s="11">
        <v>0.03</v>
      </c>
      <c r="CQ153" s="9" t="str">
        <f>_xll.SNL.Clients.Office.Excel.Functions.SPG(CN153, "SP_COUNTRY_NAME")</f>
        <v>Japan</v>
      </c>
      <c r="CV153" s="9" t="str">
        <f>_xll.SNL.Clients.Office.Excel.Functions.SPG(CS153, "SP_COUNTRY_NAME")</f>
        <v>#INVALID COMPANY ID</v>
      </c>
      <c r="DA153" s="9" t="str">
        <f>_xll.SNL.Clients.Office.Excel.Functions.SPG(CX153, "SP_COUNTRY_NAME")</f>
        <v>#INVALID COMPANY ID</v>
      </c>
      <c r="DB153" t="s">
        <v>1438</v>
      </c>
      <c r="DC153">
        <v>4206137</v>
      </c>
      <c r="DD153" t="s">
        <v>346</v>
      </c>
      <c r="DE153" s="11">
        <v>0.03</v>
      </c>
      <c r="DF153" s="9" t="str">
        <f>_xll.SNL.Clients.Office.Excel.Functions.SPG(DC153, "SP_COUNTRY_NAME")</f>
        <v>Spain</v>
      </c>
      <c r="DK153" s="9" t="str">
        <f>_xll.SNL.Clients.Office.Excel.Functions.SPG(DH153, "SP_COUNTRY_NAME")</f>
        <v>#INVALID COMPANY ID</v>
      </c>
      <c r="DL153" t="s">
        <v>1438</v>
      </c>
      <c r="DM153">
        <v>4206137</v>
      </c>
      <c r="DN153" t="s">
        <v>346</v>
      </c>
      <c r="DO153" s="11">
        <v>0.03</v>
      </c>
      <c r="DP153" s="9" t="str">
        <f>_xll.SNL.Clients.Office.Excel.Functions.SPG(DM153, "SP_COUNTRY_NAME")</f>
        <v>Spain</v>
      </c>
      <c r="DU153" s="9" t="str">
        <f>_xll.SNL.Clients.Office.Excel.Functions.SPG(DR153, "SP_COUNTRY_NAME")</f>
        <v>#INVALID COMPANY ID</v>
      </c>
      <c r="DZ153" s="9" t="str">
        <f>_xll.SNL.Clients.Office.Excel.Functions.SPG(DW153, "SP_COUNTRY_NAME")</f>
        <v>#INVALID COMPANY ID</v>
      </c>
      <c r="EA153" t="s">
        <v>425</v>
      </c>
      <c r="EB153">
        <v>4137704</v>
      </c>
      <c r="EC153" t="s">
        <v>346</v>
      </c>
      <c r="ED153" s="11">
        <v>0.02</v>
      </c>
      <c r="EE153" s="9" t="str">
        <f>_xll.SNL.Clients.Office.Excel.Functions.SPG(EB153, "SP_COUNTRY_NAME")</f>
        <v>Japan</v>
      </c>
      <c r="EF153" t="s">
        <v>1438</v>
      </c>
      <c r="EG153">
        <v>4206137</v>
      </c>
      <c r="EH153" t="s">
        <v>346</v>
      </c>
      <c r="EI153" s="11">
        <v>0.03</v>
      </c>
      <c r="EJ153" s="9" t="str">
        <f>_xll.SNL.Clients.Office.Excel.Functions.SPG(EG153, "SP_COUNTRY_NAME")</f>
        <v>Spain</v>
      </c>
      <c r="EO153" s="9" t="str">
        <f>_xll.SNL.Clients.Office.Excel.Functions.SPG(EL153, "SP_COUNTRY_NAME")</f>
        <v>#INVALID COMPANY ID</v>
      </c>
      <c r="ET153" s="9" t="str">
        <f>_xll.SNL.Clients.Office.Excel.Functions.SPG(EQ153, "SP_COUNTRY_NAME")</f>
        <v>#INVALID COMPANY ID</v>
      </c>
      <c r="EY153" s="9" t="str">
        <f>_xll.SNL.Clients.Office.Excel.Functions.SPG(EV153, "SP_COUNTRY_NAME")</f>
        <v>#INVALID COMPANY ID</v>
      </c>
      <c r="FD153" s="9" t="str">
        <f>_xll.SNL.Clients.Office.Excel.Functions.SPG(FA153, "SP_COUNTRY_NAME")</f>
        <v>#INVALID COMPANY ID</v>
      </c>
      <c r="FI153" s="9" t="str">
        <f>_xll.SNL.Clients.Office.Excel.Functions.SPG(FF153, "SP_COUNTRY_NAME")</f>
        <v>#INVALID COMPANY ID</v>
      </c>
      <c r="FN153" s="9" t="str">
        <f>_xll.SNL.Clients.Office.Excel.Functions.SPG(FK153, "SP_COUNTRY_NAME")</f>
        <v>#INVALID COMPANY ID</v>
      </c>
      <c r="FS153" s="9" t="str">
        <f>_xll.SNL.Clients.Office.Excel.Functions.SPG(FP153, "SP_COUNTRY_NAME")</f>
        <v>#INVALID COMPANY ID</v>
      </c>
      <c r="FX153" s="9" t="str">
        <f>_xll.SNL.Clients.Office.Excel.Functions.SPG(FU153, "SP_COUNTRY_NAME")</f>
        <v>#INVALID COMPANY ID</v>
      </c>
      <c r="FY153" t="s">
        <v>1438</v>
      </c>
      <c r="FZ153">
        <v>4206137</v>
      </c>
      <c r="GA153" t="s">
        <v>346</v>
      </c>
      <c r="GB153" s="11">
        <v>0.03</v>
      </c>
      <c r="GC153" s="9" t="str">
        <f>_xll.SNL.Clients.Office.Excel.Functions.SPG(FZ153, "SP_COUNTRY_NAME")</f>
        <v>Spain</v>
      </c>
      <c r="GH153" s="9" t="str">
        <f>_xll.SNL.Clients.Office.Excel.Functions.SPG(GE153, "SP_COUNTRY_NAME")</f>
        <v>#INVALID COMPANY ID</v>
      </c>
      <c r="GM153" s="9" t="str">
        <f>_xll.SNL.Clients.Office.Excel.Functions.SPG(GJ153, "SP_COUNTRY_NAME")</f>
        <v>#INVALID COMPANY ID</v>
      </c>
      <c r="GR153" s="9" t="str">
        <f>_xll.SNL.Clients.Office.Excel.Functions.SPG(GO153, "SP_COUNTRY_NAME")</f>
        <v>#INVALID COMPANY ID</v>
      </c>
      <c r="GS153" t="s">
        <v>1239</v>
      </c>
      <c r="GT153">
        <v>111486</v>
      </c>
      <c r="GU153" t="s">
        <v>346</v>
      </c>
      <c r="GV153" s="11">
        <v>0.01</v>
      </c>
      <c r="GW153" s="9" t="str">
        <f>_xll.SNL.Clients.Office.Excel.Functions.SPG(GT153, "SP_COUNTRY_NAME")</f>
        <v>USA</v>
      </c>
      <c r="GX153" t="s">
        <v>425</v>
      </c>
      <c r="GY153">
        <v>4137704</v>
      </c>
      <c r="GZ153" t="s">
        <v>346</v>
      </c>
      <c r="HA153" s="11">
        <v>0.02</v>
      </c>
      <c r="HB153" s="9" t="str">
        <f>_xll.SNL.Clients.Office.Excel.Functions.SPG(GY153, "SP_COUNTRY_NAME")</f>
        <v>Japan</v>
      </c>
      <c r="HG153" s="9" t="str">
        <f>_xll.SNL.Clients.Office.Excel.Functions.SPG(HD153, "SP_COUNTRY_NAME")</f>
        <v>#INVALID COMPANY ID</v>
      </c>
    </row>
    <row r="154" spans="5:215" x14ac:dyDescent="0.35">
      <c r="E154" s="9" t="str">
        <f>_xll.SNL.Clients.Office.Excel.Functions.SPG(B154, "SP_COUNTRY_NAME")</f>
        <v>#INVALID COMPANY ID</v>
      </c>
      <c r="F154" t="s">
        <v>541</v>
      </c>
      <c r="G154">
        <v>4135098</v>
      </c>
      <c r="H154" t="s">
        <v>346</v>
      </c>
      <c r="I154" s="11">
        <v>0</v>
      </c>
      <c r="J154" s="9" t="str">
        <f>_xll.SNL.Clients.Office.Excel.Functions.SPG(G154, "SP_COUNTRY_NAME")</f>
        <v>United Kingdom</v>
      </c>
      <c r="O154" s="9" t="str">
        <f>_xll.SNL.Clients.Office.Excel.Functions.SPG(L154, "SP_COUNTRY_NAME")</f>
        <v>#INVALID COMPANY ID</v>
      </c>
      <c r="T154" s="9" t="str">
        <f>_xll.SNL.Clients.Office.Excel.Functions.SPG(Q154, "SP_COUNTRY_NAME")</f>
        <v>#INVALID COMPANY ID</v>
      </c>
      <c r="U154" t="s">
        <v>763</v>
      </c>
      <c r="V154">
        <v>110153</v>
      </c>
      <c r="W154" t="s">
        <v>364</v>
      </c>
      <c r="X154" s="11">
        <v>0.01</v>
      </c>
      <c r="Y154" s="9" t="str">
        <f>_xll.SNL.Clients.Office.Excel.Functions.SPG(V154, "SP_COUNTRY_NAME")</f>
        <v>USA</v>
      </c>
      <c r="AD154" s="9" t="str">
        <f>_xll.SNL.Clients.Office.Excel.Functions.SPG(AA154, "SP_COUNTRY_NAME")</f>
        <v>#INVALID COMPANY ID</v>
      </c>
      <c r="AE154" t="s">
        <v>1158</v>
      </c>
      <c r="AF154">
        <v>4422324</v>
      </c>
      <c r="AG154" t="s">
        <v>346</v>
      </c>
      <c r="AH154" s="11">
        <v>0</v>
      </c>
      <c r="AI154" s="9" t="str">
        <f>_xll.SNL.Clients.Office.Excel.Functions.SPG(AF154, "SP_COUNTRY_NAME")</f>
        <v>Germany</v>
      </c>
      <c r="AN154" s="9" t="str">
        <f>_xll.SNL.Clients.Office.Excel.Functions.SPG(AK154, "SP_COUNTRY_NAME")</f>
        <v>#INVALID COMPANY ID</v>
      </c>
      <c r="AO154" t="s">
        <v>425</v>
      </c>
      <c r="AP154">
        <v>4137704</v>
      </c>
      <c r="AQ154" t="s">
        <v>346</v>
      </c>
      <c r="AR154" s="11">
        <v>0.01</v>
      </c>
      <c r="AS154" s="9" t="str">
        <f>_xll.SNL.Clients.Office.Excel.Functions.SPG(AP154, "SP_COUNTRY_NAME")</f>
        <v>Japan</v>
      </c>
      <c r="AX154" s="9" t="str">
        <f>_xll.SNL.Clients.Office.Excel.Functions.SPG(AU154, "SP_COUNTRY_NAME")</f>
        <v>#INVALID COMPANY ID</v>
      </c>
      <c r="BC154" s="9" t="str">
        <f>_xll.SNL.Clients.Office.Excel.Functions.SPG(AZ154, "SP_COUNTRY_NAME")</f>
        <v>#INVALID COMPANY ID</v>
      </c>
      <c r="BD154" t="s">
        <v>1439</v>
      </c>
      <c r="BE154">
        <v>4233769</v>
      </c>
      <c r="BF154" t="s">
        <v>346</v>
      </c>
      <c r="BG154" s="11">
        <v>0.03</v>
      </c>
      <c r="BH154" s="9" t="str">
        <f>_xll.SNL.Clients.Office.Excel.Functions.SPG(BE154, "SP_COUNTRY_NAME")</f>
        <v>Denmark</v>
      </c>
      <c r="BI154" t="s">
        <v>1572</v>
      </c>
      <c r="BJ154">
        <v>4210643</v>
      </c>
      <c r="BK154" t="s">
        <v>364</v>
      </c>
      <c r="BL154" s="11">
        <v>0.01</v>
      </c>
      <c r="BM154" s="9" t="str">
        <f>_xll.SNL.Clients.Office.Excel.Functions.SPG(BJ154, "SP_COUNTRY_NAME")</f>
        <v>Germany</v>
      </c>
      <c r="BN154" t="s">
        <v>543</v>
      </c>
      <c r="BO154">
        <v>4138118</v>
      </c>
      <c r="BP154" t="s">
        <v>346</v>
      </c>
      <c r="BQ154" s="11">
        <v>0.01</v>
      </c>
      <c r="BR154" s="9" t="str">
        <f>_xll.SNL.Clients.Office.Excel.Functions.SPG(BO154, "SP_COUNTRY_NAME")</f>
        <v>Hong Kong</v>
      </c>
      <c r="BS154" t="s">
        <v>394</v>
      </c>
      <c r="BT154">
        <v>4048695</v>
      </c>
      <c r="BU154" t="s">
        <v>346</v>
      </c>
      <c r="BV154" s="11">
        <v>0.02</v>
      </c>
      <c r="BW154" s="9" t="str">
        <f>_xll.SNL.Clients.Office.Excel.Functions.SPG(BT154, "SP_COUNTRY_NAME")</f>
        <v>USA</v>
      </c>
      <c r="BX154" t="s">
        <v>763</v>
      </c>
      <c r="BY154">
        <v>110153</v>
      </c>
      <c r="BZ154" t="s">
        <v>364</v>
      </c>
      <c r="CA154" s="11">
        <v>0.01</v>
      </c>
      <c r="CB154" s="9" t="str">
        <f>_xll.SNL.Clients.Office.Excel.Functions.SPG(BY154, "SP_COUNTRY_NAME")</f>
        <v>USA</v>
      </c>
      <c r="CC154" t="s">
        <v>459</v>
      </c>
      <c r="CD154">
        <v>4140503</v>
      </c>
      <c r="CE154" t="s">
        <v>346</v>
      </c>
      <c r="CF154" s="11">
        <v>0.02</v>
      </c>
      <c r="CG154" s="9" t="str">
        <f>_xll.SNL.Clients.Office.Excel.Functions.SPG(CD154, "SP_COUNTRY_NAME")</f>
        <v>Ireland</v>
      </c>
      <c r="CH154" t="s">
        <v>425</v>
      </c>
      <c r="CI154">
        <v>4137704</v>
      </c>
      <c r="CJ154" t="s">
        <v>346</v>
      </c>
      <c r="CK154" s="11">
        <v>0.01</v>
      </c>
      <c r="CL154" s="9" t="str">
        <f>_xll.SNL.Clients.Office.Excel.Functions.SPG(CI154, "SP_COUNTRY_NAME")</f>
        <v>Japan</v>
      </c>
      <c r="CM154" t="s">
        <v>1977</v>
      </c>
      <c r="CN154" t="s">
        <v>300</v>
      </c>
      <c r="CO154" t="s">
        <v>361</v>
      </c>
      <c r="CP154" s="11">
        <v>0.03</v>
      </c>
      <c r="CQ154" s="9" t="str">
        <f>_xll.SNL.Clients.Office.Excel.Functions.SPG(CN154, "SP_COUNTRY_NAME")</f>
        <v>China</v>
      </c>
      <c r="CV154" s="9" t="str">
        <f>_xll.SNL.Clients.Office.Excel.Functions.SPG(CS154, "SP_COUNTRY_NAME")</f>
        <v>#INVALID COMPANY ID</v>
      </c>
      <c r="DA154" s="9" t="str">
        <f>_xll.SNL.Clients.Office.Excel.Functions.SPG(CX154, "SP_COUNTRY_NAME")</f>
        <v>#INVALID COMPANY ID</v>
      </c>
      <c r="DB154" t="s">
        <v>1439</v>
      </c>
      <c r="DC154">
        <v>4233769</v>
      </c>
      <c r="DD154" t="s">
        <v>346</v>
      </c>
      <c r="DE154" s="11">
        <v>0.03</v>
      </c>
      <c r="DF154" s="9" t="str">
        <f>_xll.SNL.Clients.Office.Excel.Functions.SPG(DC154, "SP_COUNTRY_NAME")</f>
        <v>Denmark</v>
      </c>
      <c r="DK154" s="9" t="str">
        <f>_xll.SNL.Clients.Office.Excel.Functions.SPG(DH154, "SP_COUNTRY_NAME")</f>
        <v>#INVALID COMPANY ID</v>
      </c>
      <c r="DL154" t="s">
        <v>1439</v>
      </c>
      <c r="DM154">
        <v>4233769</v>
      </c>
      <c r="DN154" t="s">
        <v>346</v>
      </c>
      <c r="DO154" s="11">
        <v>0.03</v>
      </c>
      <c r="DP154" s="9" t="str">
        <f>_xll.SNL.Clients.Office.Excel.Functions.SPG(DM154, "SP_COUNTRY_NAME")</f>
        <v>Denmark</v>
      </c>
      <c r="DU154" s="9" t="str">
        <f>_xll.SNL.Clients.Office.Excel.Functions.SPG(DR154, "SP_COUNTRY_NAME")</f>
        <v>#INVALID COMPANY ID</v>
      </c>
      <c r="DZ154" s="9" t="str">
        <f>_xll.SNL.Clients.Office.Excel.Functions.SPG(DW154, "SP_COUNTRY_NAME")</f>
        <v>#INVALID COMPANY ID</v>
      </c>
      <c r="EA154" t="s">
        <v>459</v>
      </c>
      <c r="EB154">
        <v>4140503</v>
      </c>
      <c r="EC154" t="s">
        <v>346</v>
      </c>
      <c r="ED154" s="11">
        <v>0.02</v>
      </c>
      <c r="EE154" s="9" t="str">
        <f>_xll.SNL.Clients.Office.Excel.Functions.SPG(EB154, "SP_COUNTRY_NAME")</f>
        <v>Ireland</v>
      </c>
      <c r="EF154" t="s">
        <v>1439</v>
      </c>
      <c r="EG154">
        <v>4233769</v>
      </c>
      <c r="EH154" t="s">
        <v>346</v>
      </c>
      <c r="EI154" s="11">
        <v>0.03</v>
      </c>
      <c r="EJ154" s="9" t="str">
        <f>_xll.SNL.Clients.Office.Excel.Functions.SPG(EG154, "SP_COUNTRY_NAME")</f>
        <v>Denmark</v>
      </c>
      <c r="EO154" s="9" t="str">
        <f>_xll.SNL.Clients.Office.Excel.Functions.SPG(EL154, "SP_COUNTRY_NAME")</f>
        <v>#INVALID COMPANY ID</v>
      </c>
      <c r="ET154" s="9" t="str">
        <f>_xll.SNL.Clients.Office.Excel.Functions.SPG(EQ154, "SP_COUNTRY_NAME")</f>
        <v>#INVALID COMPANY ID</v>
      </c>
      <c r="EY154" s="9" t="str">
        <f>_xll.SNL.Clients.Office.Excel.Functions.SPG(EV154, "SP_COUNTRY_NAME")</f>
        <v>#INVALID COMPANY ID</v>
      </c>
      <c r="FD154" s="9" t="str">
        <f>_xll.SNL.Clients.Office.Excel.Functions.SPG(FA154, "SP_COUNTRY_NAME")</f>
        <v>#INVALID COMPANY ID</v>
      </c>
      <c r="FI154" s="9" t="str">
        <f>_xll.SNL.Clients.Office.Excel.Functions.SPG(FF154, "SP_COUNTRY_NAME")</f>
        <v>#INVALID COMPANY ID</v>
      </c>
      <c r="FN154" s="9" t="str">
        <f>_xll.SNL.Clients.Office.Excel.Functions.SPG(FK154, "SP_COUNTRY_NAME")</f>
        <v>#INVALID COMPANY ID</v>
      </c>
      <c r="FS154" s="9" t="str">
        <f>_xll.SNL.Clients.Office.Excel.Functions.SPG(FP154, "SP_COUNTRY_NAME")</f>
        <v>#INVALID COMPANY ID</v>
      </c>
      <c r="FX154" s="9" t="str">
        <f>_xll.SNL.Clients.Office.Excel.Functions.SPG(FU154, "SP_COUNTRY_NAME")</f>
        <v>#INVALID COMPANY ID</v>
      </c>
      <c r="FY154" t="s">
        <v>1439</v>
      </c>
      <c r="FZ154">
        <v>4233769</v>
      </c>
      <c r="GA154" t="s">
        <v>346</v>
      </c>
      <c r="GB154" s="11">
        <v>0.03</v>
      </c>
      <c r="GC154" s="9" t="str">
        <f>_xll.SNL.Clients.Office.Excel.Functions.SPG(FZ154, "SP_COUNTRY_NAME")</f>
        <v>Denmark</v>
      </c>
      <c r="GH154" s="9" t="str">
        <f>_xll.SNL.Clients.Office.Excel.Functions.SPG(GE154, "SP_COUNTRY_NAME")</f>
        <v>#INVALID COMPANY ID</v>
      </c>
      <c r="GM154" s="9" t="str">
        <f>_xll.SNL.Clients.Office.Excel.Functions.SPG(GJ154, "SP_COUNTRY_NAME")</f>
        <v>#INVALID COMPANY ID</v>
      </c>
      <c r="GR154" s="9" t="str">
        <f>_xll.SNL.Clients.Office.Excel.Functions.SPG(GO154, "SP_COUNTRY_NAME")</f>
        <v>#INVALID COMPANY ID</v>
      </c>
      <c r="GS154" t="s">
        <v>543</v>
      </c>
      <c r="GT154">
        <v>4138118</v>
      </c>
      <c r="GU154" t="s">
        <v>346</v>
      </c>
      <c r="GV154" s="11">
        <v>0.01</v>
      </c>
      <c r="GW154" s="9" t="str">
        <f>_xll.SNL.Clients.Office.Excel.Functions.SPG(GT154, "SP_COUNTRY_NAME")</f>
        <v>Hong Kong</v>
      </c>
      <c r="GX154" t="s">
        <v>459</v>
      </c>
      <c r="GY154">
        <v>4140503</v>
      </c>
      <c r="GZ154" t="s">
        <v>346</v>
      </c>
      <c r="HA154" s="11">
        <v>0.02</v>
      </c>
      <c r="HB154" s="9" t="str">
        <f>_xll.SNL.Clients.Office.Excel.Functions.SPG(GY154, "SP_COUNTRY_NAME")</f>
        <v>Ireland</v>
      </c>
      <c r="HG154" s="9" t="str">
        <f>_xll.SNL.Clients.Office.Excel.Functions.SPG(HD154, "SP_COUNTRY_NAME")</f>
        <v>#INVALID COMPANY ID</v>
      </c>
    </row>
    <row r="155" spans="5:215" x14ac:dyDescent="0.35">
      <c r="E155" s="9" t="str">
        <f>_xll.SNL.Clients.Office.Excel.Functions.SPG(B155, "SP_COUNTRY_NAME")</f>
        <v>#INVALID COMPANY ID</v>
      </c>
      <c r="F155" t="s">
        <v>542</v>
      </c>
      <c r="G155">
        <v>4001519</v>
      </c>
      <c r="H155" t="s">
        <v>346</v>
      </c>
      <c r="I155" s="11">
        <v>0</v>
      </c>
      <c r="J155" s="9" t="str">
        <f>_xll.SNL.Clients.Office.Excel.Functions.SPG(G155, "SP_COUNTRY_NAME")</f>
        <v>USA</v>
      </c>
      <c r="O155" s="9" t="str">
        <f>_xll.SNL.Clients.Office.Excel.Functions.SPG(L155, "SP_COUNTRY_NAME")</f>
        <v>#INVALID COMPANY ID</v>
      </c>
      <c r="T155" s="9" t="str">
        <f>_xll.SNL.Clients.Office.Excel.Functions.SPG(Q155, "SP_COUNTRY_NAME")</f>
        <v>#INVALID COMPANY ID</v>
      </c>
      <c r="U155" t="s">
        <v>386</v>
      </c>
      <c r="V155">
        <v>4145085</v>
      </c>
      <c r="W155" t="s">
        <v>346</v>
      </c>
      <c r="X155" s="11">
        <v>0.01</v>
      </c>
      <c r="Y155" s="9" t="str">
        <f>_xll.SNL.Clients.Office.Excel.Functions.SPG(V155, "SP_COUNTRY_NAME")</f>
        <v>United Kingdom</v>
      </c>
      <c r="AD155" s="9" t="str">
        <f>_xll.SNL.Clients.Office.Excel.Functions.SPG(AA155, "SP_COUNTRY_NAME")</f>
        <v>#INVALID COMPANY ID</v>
      </c>
      <c r="AE155" t="s">
        <v>467</v>
      </c>
      <c r="AF155">
        <v>7108293</v>
      </c>
      <c r="AG155" t="s">
        <v>369</v>
      </c>
      <c r="AH155" s="11">
        <v>0</v>
      </c>
      <c r="AI155" s="9" t="str">
        <f>_xll.SNL.Clients.Office.Excel.Functions.SPG(AF155, "SP_COUNTRY_NAME")</f>
        <v>United Kingdom</v>
      </c>
      <c r="AN155" s="9" t="str">
        <f>_xll.SNL.Clients.Office.Excel.Functions.SPG(AK155, "SP_COUNTRY_NAME")</f>
        <v>#INVALID COMPANY ID</v>
      </c>
      <c r="AO155" t="s">
        <v>522</v>
      </c>
      <c r="AP155">
        <v>4118373</v>
      </c>
      <c r="AQ155" t="s">
        <v>346</v>
      </c>
      <c r="AR155" s="11">
        <v>0.01</v>
      </c>
      <c r="AS155" s="9" t="str">
        <f>_xll.SNL.Clients.Office.Excel.Functions.SPG(AP155, "SP_COUNTRY_NAME")</f>
        <v>USA</v>
      </c>
      <c r="AX155" s="9" t="str">
        <f>_xll.SNL.Clients.Office.Excel.Functions.SPG(AU155, "SP_COUNTRY_NAME")</f>
        <v>#INVALID COMPANY ID</v>
      </c>
      <c r="BC155" s="9" t="str">
        <f>_xll.SNL.Clients.Office.Excel.Functions.SPG(AZ155, "SP_COUNTRY_NAME")</f>
        <v>#INVALID COMPANY ID</v>
      </c>
      <c r="BD155" t="s">
        <v>442</v>
      </c>
      <c r="BE155">
        <v>4117611</v>
      </c>
      <c r="BF155" t="s">
        <v>346</v>
      </c>
      <c r="BG155" s="11">
        <v>0.03</v>
      </c>
      <c r="BH155" s="9" t="str">
        <f>_xll.SNL.Clients.Office.Excel.Functions.SPG(BE155, "SP_COUNTRY_NAME")</f>
        <v>USA</v>
      </c>
      <c r="BI155" t="s">
        <v>398</v>
      </c>
      <c r="BJ155">
        <v>4107954</v>
      </c>
      <c r="BK155" t="s">
        <v>300</v>
      </c>
      <c r="BL155" s="11">
        <v>0.01</v>
      </c>
      <c r="BM155" s="9" t="str">
        <f>_xll.SNL.Clients.Office.Excel.Functions.SPG(BJ155, "SP_COUNTRY_NAME")</f>
        <v>Japan</v>
      </c>
      <c r="BN155" t="s">
        <v>459</v>
      </c>
      <c r="BO155">
        <v>4140503</v>
      </c>
      <c r="BP155" t="s">
        <v>346</v>
      </c>
      <c r="BQ155" s="11">
        <v>0.01</v>
      </c>
      <c r="BR155" s="9" t="str">
        <f>_xll.SNL.Clients.Office.Excel.Functions.SPG(BO155, "SP_COUNTRY_NAME")</f>
        <v>Ireland</v>
      </c>
      <c r="BS155" t="s">
        <v>410</v>
      </c>
      <c r="BT155">
        <v>5759394</v>
      </c>
      <c r="BU155" t="s">
        <v>346</v>
      </c>
      <c r="BV155" s="11">
        <v>0.02</v>
      </c>
      <c r="BW155" s="9" t="str">
        <f>_xll.SNL.Clients.Office.Excel.Functions.SPG(BT155, "SP_COUNTRY_NAME")</f>
        <v>Ireland</v>
      </c>
      <c r="BX155" t="s">
        <v>386</v>
      </c>
      <c r="BY155">
        <v>4145085</v>
      </c>
      <c r="BZ155" t="s">
        <v>346</v>
      </c>
      <c r="CA155" s="11">
        <v>0.01</v>
      </c>
      <c r="CB155" s="9" t="str">
        <f>_xll.SNL.Clients.Office.Excel.Functions.SPG(BY155, "SP_COUNTRY_NAME")</f>
        <v>United Kingdom</v>
      </c>
      <c r="CC155" t="s">
        <v>583</v>
      </c>
      <c r="CD155">
        <v>4579014</v>
      </c>
      <c r="CE155" t="s">
        <v>346</v>
      </c>
      <c r="CF155" s="11">
        <v>0.02</v>
      </c>
      <c r="CG155" s="9" t="str">
        <f>_xll.SNL.Clients.Office.Excel.Functions.SPG(CD155, "SP_COUNTRY_NAME")</f>
        <v>USA</v>
      </c>
      <c r="CH155" t="s">
        <v>522</v>
      </c>
      <c r="CI155">
        <v>4118373</v>
      </c>
      <c r="CJ155" t="s">
        <v>346</v>
      </c>
      <c r="CK155" s="11">
        <v>0.01</v>
      </c>
      <c r="CL155" s="9" t="str">
        <f>_xll.SNL.Clients.Office.Excel.Functions.SPG(CI155, "SP_COUNTRY_NAME")</f>
        <v>USA</v>
      </c>
      <c r="CM155" t="s">
        <v>388</v>
      </c>
      <c r="CN155">
        <v>4057506</v>
      </c>
      <c r="CO155" t="s">
        <v>346</v>
      </c>
      <c r="CP155" s="11">
        <v>0.03</v>
      </c>
      <c r="CQ155" s="9" t="str">
        <f>_xll.SNL.Clients.Office.Excel.Functions.SPG(CN155, "SP_COUNTRY_NAME")</f>
        <v>USA</v>
      </c>
      <c r="CV155" s="9" t="str">
        <f>_xll.SNL.Clients.Office.Excel.Functions.SPG(CS155, "SP_COUNTRY_NAME")</f>
        <v>#INVALID COMPANY ID</v>
      </c>
      <c r="DA155" s="9" t="str">
        <f>_xll.SNL.Clients.Office.Excel.Functions.SPG(CX155, "SP_COUNTRY_NAME")</f>
        <v>#INVALID COMPANY ID</v>
      </c>
      <c r="DB155" t="s">
        <v>442</v>
      </c>
      <c r="DC155">
        <v>4117611</v>
      </c>
      <c r="DD155" t="s">
        <v>346</v>
      </c>
      <c r="DE155" s="11">
        <v>0.03</v>
      </c>
      <c r="DF155" s="9" t="str">
        <f>_xll.SNL.Clients.Office.Excel.Functions.SPG(DC155, "SP_COUNTRY_NAME")</f>
        <v>USA</v>
      </c>
      <c r="DK155" s="9" t="str">
        <f>_xll.SNL.Clients.Office.Excel.Functions.SPG(DH155, "SP_COUNTRY_NAME")</f>
        <v>#INVALID COMPANY ID</v>
      </c>
      <c r="DL155" t="s">
        <v>442</v>
      </c>
      <c r="DM155">
        <v>4117611</v>
      </c>
      <c r="DN155" t="s">
        <v>346</v>
      </c>
      <c r="DO155" s="11">
        <v>0.03</v>
      </c>
      <c r="DP155" s="9" t="str">
        <f>_xll.SNL.Clients.Office.Excel.Functions.SPG(DM155, "SP_COUNTRY_NAME")</f>
        <v>USA</v>
      </c>
      <c r="DU155" s="9" t="str">
        <f>_xll.SNL.Clients.Office.Excel.Functions.SPG(DR155, "SP_COUNTRY_NAME")</f>
        <v>#INVALID COMPANY ID</v>
      </c>
      <c r="DZ155" s="9" t="str">
        <f>_xll.SNL.Clients.Office.Excel.Functions.SPG(DW155, "SP_COUNTRY_NAME")</f>
        <v>#INVALID COMPANY ID</v>
      </c>
      <c r="EA155" t="s">
        <v>583</v>
      </c>
      <c r="EB155">
        <v>4579014</v>
      </c>
      <c r="EC155" t="s">
        <v>346</v>
      </c>
      <c r="ED155" s="11">
        <v>0.02</v>
      </c>
      <c r="EE155" s="9" t="str">
        <f>_xll.SNL.Clients.Office.Excel.Functions.SPG(EB155, "SP_COUNTRY_NAME")</f>
        <v>USA</v>
      </c>
      <c r="EF155" t="s">
        <v>442</v>
      </c>
      <c r="EG155">
        <v>4117611</v>
      </c>
      <c r="EH155" t="s">
        <v>346</v>
      </c>
      <c r="EI155" s="11">
        <v>0.03</v>
      </c>
      <c r="EJ155" s="9" t="str">
        <f>_xll.SNL.Clients.Office.Excel.Functions.SPG(EG155, "SP_COUNTRY_NAME")</f>
        <v>USA</v>
      </c>
      <c r="EO155" s="9" t="str">
        <f>_xll.SNL.Clients.Office.Excel.Functions.SPG(EL155, "SP_COUNTRY_NAME")</f>
        <v>#INVALID COMPANY ID</v>
      </c>
      <c r="ET155" s="9" t="str">
        <f>_xll.SNL.Clients.Office.Excel.Functions.SPG(EQ155, "SP_COUNTRY_NAME")</f>
        <v>#INVALID COMPANY ID</v>
      </c>
      <c r="EY155" s="9" t="str">
        <f>_xll.SNL.Clients.Office.Excel.Functions.SPG(EV155, "SP_COUNTRY_NAME")</f>
        <v>#INVALID COMPANY ID</v>
      </c>
      <c r="FD155" s="9" t="str">
        <f>_xll.SNL.Clients.Office.Excel.Functions.SPG(FA155, "SP_COUNTRY_NAME")</f>
        <v>#INVALID COMPANY ID</v>
      </c>
      <c r="FI155" s="9" t="str">
        <f>_xll.SNL.Clients.Office.Excel.Functions.SPG(FF155, "SP_COUNTRY_NAME")</f>
        <v>#INVALID COMPANY ID</v>
      </c>
      <c r="FN155" s="9" t="str">
        <f>_xll.SNL.Clients.Office.Excel.Functions.SPG(FK155, "SP_COUNTRY_NAME")</f>
        <v>#INVALID COMPANY ID</v>
      </c>
      <c r="FS155" s="9" t="str">
        <f>_xll.SNL.Clients.Office.Excel.Functions.SPG(FP155, "SP_COUNTRY_NAME")</f>
        <v>#INVALID COMPANY ID</v>
      </c>
      <c r="FX155" s="9" t="str">
        <f>_xll.SNL.Clients.Office.Excel.Functions.SPG(FU155, "SP_COUNTRY_NAME")</f>
        <v>#INVALID COMPANY ID</v>
      </c>
      <c r="FY155" t="s">
        <v>442</v>
      </c>
      <c r="FZ155">
        <v>4117611</v>
      </c>
      <c r="GA155" t="s">
        <v>346</v>
      </c>
      <c r="GB155" s="11">
        <v>0.03</v>
      </c>
      <c r="GC155" s="9" t="str">
        <f>_xll.SNL.Clients.Office.Excel.Functions.SPG(FZ155, "SP_COUNTRY_NAME")</f>
        <v>USA</v>
      </c>
      <c r="GH155" s="9" t="str">
        <f>_xll.SNL.Clients.Office.Excel.Functions.SPG(GE155, "SP_COUNTRY_NAME")</f>
        <v>#INVALID COMPANY ID</v>
      </c>
      <c r="GM155" s="9" t="str">
        <f>_xll.SNL.Clients.Office.Excel.Functions.SPG(GJ155, "SP_COUNTRY_NAME")</f>
        <v>#INVALID COMPANY ID</v>
      </c>
      <c r="GR155" s="9" t="str">
        <f>_xll.SNL.Clients.Office.Excel.Functions.SPG(GO155, "SP_COUNTRY_NAME")</f>
        <v>#INVALID COMPANY ID</v>
      </c>
      <c r="GS155" t="s">
        <v>459</v>
      </c>
      <c r="GT155">
        <v>4140503</v>
      </c>
      <c r="GU155" t="s">
        <v>346</v>
      </c>
      <c r="GV155" s="11">
        <v>0.01</v>
      </c>
      <c r="GW155" s="9" t="str">
        <f>_xll.SNL.Clients.Office.Excel.Functions.SPG(GT155, "SP_COUNTRY_NAME")</f>
        <v>Ireland</v>
      </c>
      <c r="GX155" t="s">
        <v>583</v>
      </c>
      <c r="GY155">
        <v>4579014</v>
      </c>
      <c r="GZ155" t="s">
        <v>346</v>
      </c>
      <c r="HA155" s="11">
        <v>0.02</v>
      </c>
      <c r="HB155" s="9" t="str">
        <f>_xll.SNL.Clients.Office.Excel.Functions.SPG(GY155, "SP_COUNTRY_NAME")</f>
        <v>USA</v>
      </c>
      <c r="HG155" s="9" t="str">
        <f>_xll.SNL.Clients.Office.Excel.Functions.SPG(HD155, "SP_COUNTRY_NAME")</f>
        <v>#INVALID COMPANY ID</v>
      </c>
    </row>
    <row r="156" spans="5:215" x14ac:dyDescent="0.35">
      <c r="E156" s="9" t="str">
        <f>_xll.SNL.Clients.Office.Excel.Functions.SPG(B156, "SP_COUNTRY_NAME")</f>
        <v>#INVALID COMPANY ID</v>
      </c>
      <c r="F156" t="s">
        <v>543</v>
      </c>
      <c r="G156">
        <v>4138118</v>
      </c>
      <c r="H156" t="s">
        <v>346</v>
      </c>
      <c r="I156" s="11">
        <v>0</v>
      </c>
      <c r="J156" s="9" t="str">
        <f>_xll.SNL.Clients.Office.Excel.Functions.SPG(G156, "SP_COUNTRY_NAME")</f>
        <v>Hong Kong</v>
      </c>
      <c r="O156" s="9" t="str">
        <f>_xll.SNL.Clients.Office.Excel.Functions.SPG(L156, "SP_COUNTRY_NAME")</f>
        <v>#INVALID COMPANY ID</v>
      </c>
      <c r="T156" s="9" t="str">
        <f>_xll.SNL.Clients.Office.Excel.Functions.SPG(Q156, "SP_COUNTRY_NAME")</f>
        <v>#INVALID COMPANY ID</v>
      </c>
      <c r="U156" t="s">
        <v>764</v>
      </c>
      <c r="V156">
        <v>5879252</v>
      </c>
      <c r="W156" t="s">
        <v>346</v>
      </c>
      <c r="X156" s="11">
        <v>0.01</v>
      </c>
      <c r="Y156" s="9" t="str">
        <f>_xll.SNL.Clients.Office.Excel.Functions.SPG(V156, "SP_COUNTRY_NAME")</f>
        <v>China</v>
      </c>
      <c r="AD156" s="9" t="str">
        <f>_xll.SNL.Clients.Office.Excel.Functions.SPG(AA156, "SP_COUNTRY_NAME")</f>
        <v>#INVALID COMPANY ID</v>
      </c>
      <c r="AE156" t="s">
        <v>1159</v>
      </c>
      <c r="AF156">
        <v>4329383</v>
      </c>
      <c r="AG156" t="s">
        <v>346</v>
      </c>
      <c r="AH156" s="11">
        <v>0</v>
      </c>
      <c r="AI156" s="9" t="str">
        <f>_xll.SNL.Clients.Office.Excel.Functions.SPG(AF156, "SP_COUNTRY_NAME")</f>
        <v>Spain</v>
      </c>
      <c r="AN156" s="9" t="str">
        <f>_xll.SNL.Clients.Office.Excel.Functions.SPG(AK156, "SP_COUNTRY_NAME")</f>
        <v>#INVALID COMPANY ID</v>
      </c>
      <c r="AO156" t="s">
        <v>1307</v>
      </c>
      <c r="AP156">
        <v>5852488</v>
      </c>
      <c r="AQ156" t="s">
        <v>346</v>
      </c>
      <c r="AR156" s="11">
        <v>0.01</v>
      </c>
      <c r="AS156" s="9" t="str">
        <f>_xll.SNL.Clients.Office.Excel.Functions.SPG(AP156, "SP_COUNTRY_NAME")</f>
        <v>South Africa</v>
      </c>
      <c r="AX156" s="9" t="str">
        <f>_xll.SNL.Clients.Office.Excel.Functions.SPG(AU156, "SP_COUNTRY_NAME")</f>
        <v>#INVALID COMPANY ID</v>
      </c>
      <c r="BC156" s="9" t="str">
        <f>_xll.SNL.Clients.Office.Excel.Functions.SPG(AZ156, "SP_COUNTRY_NAME")</f>
        <v>#INVALID COMPANY ID</v>
      </c>
      <c r="BD156" t="s">
        <v>1440</v>
      </c>
      <c r="BE156">
        <v>5746445</v>
      </c>
      <c r="BF156" t="s">
        <v>346</v>
      </c>
      <c r="BG156" s="11">
        <v>0.03</v>
      </c>
      <c r="BH156" s="9" t="str">
        <f>_xll.SNL.Clients.Office.Excel.Functions.SPG(BE156, "SP_COUNTRY_NAME")</f>
        <v>United Kingdom</v>
      </c>
      <c r="BI156" t="s">
        <v>1042</v>
      </c>
      <c r="BJ156">
        <v>6594844</v>
      </c>
      <c r="BK156" t="s">
        <v>346</v>
      </c>
      <c r="BL156" s="11">
        <v>0.01</v>
      </c>
      <c r="BM156" s="9" t="str">
        <f>_xll.SNL.Clients.Office.Excel.Functions.SPG(BJ156, "SP_COUNTRY_NAME")</f>
        <v>Singapore</v>
      </c>
      <c r="BN156" t="s">
        <v>667</v>
      </c>
      <c r="BO156">
        <v>4208762</v>
      </c>
      <c r="BP156" t="s">
        <v>346</v>
      </c>
      <c r="BQ156" s="11">
        <v>0.01</v>
      </c>
      <c r="BR156" s="9" t="str">
        <f>_xll.SNL.Clients.Office.Excel.Functions.SPG(BO156, "SP_COUNTRY_NAME")</f>
        <v>Hong Kong</v>
      </c>
      <c r="BS156" t="s">
        <v>411</v>
      </c>
      <c r="BT156">
        <v>4272373</v>
      </c>
      <c r="BU156" t="s">
        <v>346</v>
      </c>
      <c r="BV156" s="11">
        <v>0.02</v>
      </c>
      <c r="BW156" s="9" t="str">
        <f>_xll.SNL.Clients.Office.Excel.Functions.SPG(BT156, "SP_COUNTRY_NAME")</f>
        <v>United Kingdom</v>
      </c>
      <c r="BX156" t="s">
        <v>764</v>
      </c>
      <c r="BY156">
        <v>5879252</v>
      </c>
      <c r="BZ156" t="s">
        <v>346</v>
      </c>
      <c r="CA156" s="11">
        <v>0.01</v>
      </c>
      <c r="CB156" s="9" t="str">
        <f>_xll.SNL.Clients.Office.Excel.Functions.SPG(BY156, "SP_COUNTRY_NAME")</f>
        <v>China</v>
      </c>
      <c r="CC156" t="s">
        <v>482</v>
      </c>
      <c r="CD156">
        <v>4048742</v>
      </c>
      <c r="CE156" t="s">
        <v>346</v>
      </c>
      <c r="CF156" s="11">
        <v>0.02</v>
      </c>
      <c r="CG156" s="9" t="str">
        <f>_xll.SNL.Clients.Office.Excel.Functions.SPG(CD156, "SP_COUNTRY_NAME")</f>
        <v>Canada</v>
      </c>
      <c r="CH156" t="s">
        <v>1307</v>
      </c>
      <c r="CI156">
        <v>5852488</v>
      </c>
      <c r="CJ156" t="s">
        <v>346</v>
      </c>
      <c r="CK156" s="11">
        <v>0.01</v>
      </c>
      <c r="CL156" s="9" t="str">
        <f>_xll.SNL.Clients.Office.Excel.Functions.SPG(CI156, "SP_COUNTRY_NAME")</f>
        <v>South Africa</v>
      </c>
      <c r="CM156" t="s">
        <v>1775</v>
      </c>
      <c r="CN156">
        <v>4226156</v>
      </c>
      <c r="CO156" t="s">
        <v>364</v>
      </c>
      <c r="CP156" s="11">
        <v>0.02</v>
      </c>
      <c r="CQ156" s="9" t="str">
        <f>_xll.SNL.Clients.Office.Excel.Functions.SPG(CN156, "SP_COUNTRY_NAME")</f>
        <v>USA</v>
      </c>
      <c r="CV156" s="9" t="str">
        <f>_xll.SNL.Clients.Office.Excel.Functions.SPG(CS156, "SP_COUNTRY_NAME")</f>
        <v>#INVALID COMPANY ID</v>
      </c>
      <c r="DA156" s="9" t="str">
        <f>_xll.SNL.Clients.Office.Excel.Functions.SPG(CX156, "SP_COUNTRY_NAME")</f>
        <v>#INVALID COMPANY ID</v>
      </c>
      <c r="DB156" t="s">
        <v>1440</v>
      </c>
      <c r="DC156">
        <v>5746445</v>
      </c>
      <c r="DD156" t="s">
        <v>346</v>
      </c>
      <c r="DE156" s="11">
        <v>0.03</v>
      </c>
      <c r="DF156" s="9" t="str">
        <f>_xll.SNL.Clients.Office.Excel.Functions.SPG(DC156, "SP_COUNTRY_NAME")</f>
        <v>United Kingdom</v>
      </c>
      <c r="DK156" s="9" t="str">
        <f>_xll.SNL.Clients.Office.Excel.Functions.SPG(DH156, "SP_COUNTRY_NAME")</f>
        <v>#INVALID COMPANY ID</v>
      </c>
      <c r="DL156" t="s">
        <v>1440</v>
      </c>
      <c r="DM156">
        <v>5746445</v>
      </c>
      <c r="DN156" t="s">
        <v>346</v>
      </c>
      <c r="DO156" s="11">
        <v>0.03</v>
      </c>
      <c r="DP156" s="9" t="str">
        <f>_xll.SNL.Clients.Office.Excel.Functions.SPG(DM156, "SP_COUNTRY_NAME")</f>
        <v>United Kingdom</v>
      </c>
      <c r="DU156" s="9" t="str">
        <f>_xll.SNL.Clients.Office.Excel.Functions.SPG(DR156, "SP_COUNTRY_NAME")</f>
        <v>#INVALID COMPANY ID</v>
      </c>
      <c r="DZ156" s="9" t="str">
        <f>_xll.SNL.Clients.Office.Excel.Functions.SPG(DW156, "SP_COUNTRY_NAME")</f>
        <v>#INVALID COMPANY ID</v>
      </c>
      <c r="EA156" t="s">
        <v>482</v>
      </c>
      <c r="EB156">
        <v>4048742</v>
      </c>
      <c r="EC156" t="s">
        <v>346</v>
      </c>
      <c r="ED156" s="11">
        <v>0.02</v>
      </c>
      <c r="EE156" s="9" t="str">
        <f>_xll.SNL.Clients.Office.Excel.Functions.SPG(EB156, "SP_COUNTRY_NAME")</f>
        <v>Canada</v>
      </c>
      <c r="EF156" t="s">
        <v>1440</v>
      </c>
      <c r="EG156">
        <v>5746445</v>
      </c>
      <c r="EH156" t="s">
        <v>346</v>
      </c>
      <c r="EI156" s="11">
        <v>0.03</v>
      </c>
      <c r="EJ156" s="9" t="str">
        <f>_xll.SNL.Clients.Office.Excel.Functions.SPG(EG156, "SP_COUNTRY_NAME")</f>
        <v>United Kingdom</v>
      </c>
      <c r="EO156" s="9" t="str">
        <f>_xll.SNL.Clients.Office.Excel.Functions.SPG(EL156, "SP_COUNTRY_NAME")</f>
        <v>#INVALID COMPANY ID</v>
      </c>
      <c r="ET156" s="9" t="str">
        <f>_xll.SNL.Clients.Office.Excel.Functions.SPG(EQ156, "SP_COUNTRY_NAME")</f>
        <v>#INVALID COMPANY ID</v>
      </c>
      <c r="EY156" s="9" t="str">
        <f>_xll.SNL.Clients.Office.Excel.Functions.SPG(EV156, "SP_COUNTRY_NAME")</f>
        <v>#INVALID COMPANY ID</v>
      </c>
      <c r="FD156" s="9" t="str">
        <f>_xll.SNL.Clients.Office.Excel.Functions.SPG(FA156, "SP_COUNTRY_NAME")</f>
        <v>#INVALID COMPANY ID</v>
      </c>
      <c r="FI156" s="9" t="str">
        <f>_xll.SNL.Clients.Office.Excel.Functions.SPG(FF156, "SP_COUNTRY_NAME")</f>
        <v>#INVALID COMPANY ID</v>
      </c>
      <c r="FN156" s="9" t="str">
        <f>_xll.SNL.Clients.Office.Excel.Functions.SPG(FK156, "SP_COUNTRY_NAME")</f>
        <v>#INVALID COMPANY ID</v>
      </c>
      <c r="FS156" s="9" t="str">
        <f>_xll.SNL.Clients.Office.Excel.Functions.SPG(FP156, "SP_COUNTRY_NAME")</f>
        <v>#INVALID COMPANY ID</v>
      </c>
      <c r="FX156" s="9" t="str">
        <f>_xll.SNL.Clients.Office.Excel.Functions.SPG(FU156, "SP_COUNTRY_NAME")</f>
        <v>#INVALID COMPANY ID</v>
      </c>
      <c r="FY156" t="s">
        <v>1440</v>
      </c>
      <c r="FZ156">
        <v>5746445</v>
      </c>
      <c r="GA156" t="s">
        <v>346</v>
      </c>
      <c r="GB156" s="11">
        <v>0.03</v>
      </c>
      <c r="GC156" s="9" t="str">
        <f>_xll.SNL.Clients.Office.Excel.Functions.SPG(FZ156, "SP_COUNTRY_NAME")</f>
        <v>United Kingdom</v>
      </c>
      <c r="GH156" s="9" t="str">
        <f>_xll.SNL.Clients.Office.Excel.Functions.SPG(GE156, "SP_COUNTRY_NAME")</f>
        <v>#INVALID COMPANY ID</v>
      </c>
      <c r="GM156" s="9" t="str">
        <f>_xll.SNL.Clients.Office.Excel.Functions.SPG(GJ156, "SP_COUNTRY_NAME")</f>
        <v>#INVALID COMPANY ID</v>
      </c>
      <c r="GR156" s="9" t="str">
        <f>_xll.SNL.Clients.Office.Excel.Functions.SPG(GO156, "SP_COUNTRY_NAME")</f>
        <v>#INVALID COMPANY ID</v>
      </c>
      <c r="GS156" t="s">
        <v>667</v>
      </c>
      <c r="GT156">
        <v>4208762</v>
      </c>
      <c r="GU156" t="s">
        <v>346</v>
      </c>
      <c r="GV156" s="11">
        <v>0.01</v>
      </c>
      <c r="GW156" s="9" t="str">
        <f>_xll.SNL.Clients.Office.Excel.Functions.SPG(GT156, "SP_COUNTRY_NAME")</f>
        <v>Hong Kong</v>
      </c>
      <c r="GX156" t="s">
        <v>482</v>
      </c>
      <c r="GY156">
        <v>4048742</v>
      </c>
      <c r="GZ156" t="s">
        <v>346</v>
      </c>
      <c r="HA156" s="11">
        <v>0.02</v>
      </c>
      <c r="HB156" s="9" t="str">
        <f>_xll.SNL.Clients.Office.Excel.Functions.SPG(GY156, "SP_COUNTRY_NAME")</f>
        <v>Canada</v>
      </c>
      <c r="HG156" s="9" t="str">
        <f>_xll.SNL.Clients.Office.Excel.Functions.SPG(HD156, "SP_COUNTRY_NAME")</f>
        <v>#INVALID COMPANY ID</v>
      </c>
    </row>
    <row r="157" spans="5:215" x14ac:dyDescent="0.35">
      <c r="E157" s="9" t="str">
        <f>_xll.SNL.Clients.Office.Excel.Functions.SPG(B157, "SP_COUNTRY_NAME")</f>
        <v>#INVALID COMPANY ID</v>
      </c>
      <c r="F157" t="s">
        <v>544</v>
      </c>
      <c r="G157">
        <v>5745911</v>
      </c>
      <c r="H157" t="s">
        <v>369</v>
      </c>
      <c r="I157" s="11">
        <v>0</v>
      </c>
      <c r="J157" s="9" t="str">
        <f>_xll.SNL.Clients.Office.Excel.Functions.SPG(G157, "SP_COUNTRY_NAME")</f>
        <v>Italy</v>
      </c>
      <c r="O157" s="9" t="str">
        <f>_xll.SNL.Clients.Office.Excel.Functions.SPG(L157, "SP_COUNTRY_NAME")</f>
        <v>#INVALID COMPANY ID</v>
      </c>
      <c r="T157" s="9" t="str">
        <f>_xll.SNL.Clients.Office.Excel.Functions.SPG(Q157, "SP_COUNTRY_NAME")</f>
        <v>#INVALID COMPANY ID</v>
      </c>
      <c r="U157" t="s">
        <v>541</v>
      </c>
      <c r="V157">
        <v>4135098</v>
      </c>
      <c r="W157" t="s">
        <v>346</v>
      </c>
      <c r="X157" s="11">
        <v>0.01</v>
      </c>
      <c r="Y157" s="9" t="str">
        <f>_xll.SNL.Clients.Office.Excel.Functions.SPG(V157, "SP_COUNTRY_NAME")</f>
        <v>United Kingdom</v>
      </c>
      <c r="AD157" s="9" t="str">
        <f>_xll.SNL.Clients.Office.Excel.Functions.SPG(AA157, "SP_COUNTRY_NAME")</f>
        <v>#INVALID COMPANY ID</v>
      </c>
      <c r="AE157" t="s">
        <v>395</v>
      </c>
      <c r="AF157">
        <v>4153606</v>
      </c>
      <c r="AG157" t="s">
        <v>346</v>
      </c>
      <c r="AH157" s="11">
        <v>0</v>
      </c>
      <c r="AI157" s="9" t="str">
        <f>_xll.SNL.Clients.Office.Excel.Functions.SPG(AF157, "SP_COUNTRY_NAME")</f>
        <v>USA</v>
      </c>
      <c r="AN157" s="9" t="str">
        <f>_xll.SNL.Clients.Office.Excel.Functions.SPG(AK157, "SP_COUNTRY_NAME")</f>
        <v>#INVALID COMPANY ID</v>
      </c>
      <c r="AO157" t="s">
        <v>1308</v>
      </c>
      <c r="AP157">
        <v>5760527</v>
      </c>
      <c r="AQ157" t="s">
        <v>346</v>
      </c>
      <c r="AR157" s="11">
        <v>0.01</v>
      </c>
      <c r="AS157" s="9" t="str">
        <f>_xll.SNL.Clients.Office.Excel.Functions.SPG(AP157, "SP_COUNTRY_NAME")</f>
        <v>South Africa</v>
      </c>
      <c r="AX157" s="9" t="str">
        <f>_xll.SNL.Clients.Office.Excel.Functions.SPG(AU157, "SP_COUNTRY_NAME")</f>
        <v>#INVALID COMPANY ID</v>
      </c>
      <c r="BC157" s="9" t="str">
        <f>_xll.SNL.Clients.Office.Excel.Functions.SPG(AZ157, "SP_COUNTRY_NAME")</f>
        <v>#INVALID COMPANY ID</v>
      </c>
      <c r="BD157" t="s">
        <v>1441</v>
      </c>
      <c r="BE157">
        <v>5786329</v>
      </c>
      <c r="BF157" t="s">
        <v>365</v>
      </c>
      <c r="BG157" s="11">
        <v>0.03</v>
      </c>
      <c r="BH157" s="9" t="str">
        <f>_xll.SNL.Clients.Office.Excel.Functions.SPG(BE157, "SP_COUNTRY_NAME")</f>
        <v>Australia</v>
      </c>
      <c r="BI157" t="s">
        <v>476</v>
      </c>
      <c r="BJ157">
        <v>4139886</v>
      </c>
      <c r="BK157" t="s">
        <v>346</v>
      </c>
      <c r="BL157" s="11">
        <v>0.01</v>
      </c>
      <c r="BM157" s="9" t="str">
        <f>_xll.SNL.Clients.Office.Excel.Functions.SPG(BJ157, "SP_COUNTRY_NAME")</f>
        <v>Japan</v>
      </c>
      <c r="BN157" t="s">
        <v>797</v>
      </c>
      <c r="BO157">
        <v>4138761</v>
      </c>
      <c r="BP157" t="s">
        <v>346</v>
      </c>
      <c r="BQ157" s="11">
        <v>0.01</v>
      </c>
      <c r="BR157" s="9" t="str">
        <f>_xll.SNL.Clients.Office.Excel.Functions.SPG(BO157, "SP_COUNTRY_NAME")</f>
        <v>China</v>
      </c>
      <c r="BS157" t="s">
        <v>750</v>
      </c>
      <c r="BT157">
        <v>4138496</v>
      </c>
      <c r="BU157" t="s">
        <v>346</v>
      </c>
      <c r="BV157" s="11">
        <v>0.02</v>
      </c>
      <c r="BW157" s="9" t="str">
        <f>_xll.SNL.Clients.Office.Excel.Functions.SPG(BT157, "SP_COUNTRY_NAME")</f>
        <v>China</v>
      </c>
      <c r="BX157" t="s">
        <v>541</v>
      </c>
      <c r="BY157">
        <v>4135098</v>
      </c>
      <c r="BZ157" t="s">
        <v>346</v>
      </c>
      <c r="CA157" s="11">
        <v>0.01</v>
      </c>
      <c r="CB157" s="9" t="str">
        <f>_xll.SNL.Clients.Office.Excel.Functions.SPG(BY157, "SP_COUNTRY_NAME")</f>
        <v>United Kingdom</v>
      </c>
      <c r="CC157" t="s">
        <v>1665</v>
      </c>
      <c r="CD157">
        <v>5824729</v>
      </c>
      <c r="CE157" t="s">
        <v>364</v>
      </c>
      <c r="CF157" s="11">
        <v>0.02</v>
      </c>
      <c r="CG157" s="9" t="str">
        <f>_xll.SNL.Clients.Office.Excel.Functions.SPG(CD157, "SP_COUNTRY_NAME")</f>
        <v>Brazil</v>
      </c>
      <c r="CH157" t="s">
        <v>1308</v>
      </c>
      <c r="CI157">
        <v>5760527</v>
      </c>
      <c r="CJ157" t="s">
        <v>346</v>
      </c>
      <c r="CK157" s="11">
        <v>0.01</v>
      </c>
      <c r="CL157" s="9" t="str">
        <f>_xll.SNL.Clients.Office.Excel.Functions.SPG(CI157, "SP_COUNTRY_NAME")</f>
        <v>South Africa</v>
      </c>
      <c r="CM157" t="s">
        <v>1978</v>
      </c>
      <c r="CN157">
        <v>4031105</v>
      </c>
      <c r="CO157" t="s">
        <v>346</v>
      </c>
      <c r="CP157" s="11">
        <v>0.02</v>
      </c>
      <c r="CQ157" s="9" t="str">
        <f>_xll.SNL.Clients.Office.Excel.Functions.SPG(CN157, "SP_COUNTRY_NAME")</f>
        <v>USA</v>
      </c>
      <c r="CV157" s="9" t="str">
        <f>_xll.SNL.Clients.Office.Excel.Functions.SPG(CS157, "SP_COUNTRY_NAME")</f>
        <v>#INVALID COMPANY ID</v>
      </c>
      <c r="DA157" s="9" t="str">
        <f>_xll.SNL.Clients.Office.Excel.Functions.SPG(CX157, "SP_COUNTRY_NAME")</f>
        <v>#INVALID COMPANY ID</v>
      </c>
      <c r="DB157" t="s">
        <v>1441</v>
      </c>
      <c r="DC157">
        <v>5786329</v>
      </c>
      <c r="DD157" t="s">
        <v>365</v>
      </c>
      <c r="DE157" s="11">
        <v>0.03</v>
      </c>
      <c r="DF157" s="9" t="str">
        <f>_xll.SNL.Clients.Office.Excel.Functions.SPG(DC157, "SP_COUNTRY_NAME")</f>
        <v>Australia</v>
      </c>
      <c r="DK157" s="9" t="str">
        <f>_xll.SNL.Clients.Office.Excel.Functions.SPG(DH157, "SP_COUNTRY_NAME")</f>
        <v>#INVALID COMPANY ID</v>
      </c>
      <c r="DL157" t="s">
        <v>1441</v>
      </c>
      <c r="DM157">
        <v>5786329</v>
      </c>
      <c r="DN157" t="s">
        <v>365</v>
      </c>
      <c r="DO157" s="11">
        <v>0.03</v>
      </c>
      <c r="DP157" s="9" t="str">
        <f>_xll.SNL.Clients.Office.Excel.Functions.SPG(DM157, "SP_COUNTRY_NAME")</f>
        <v>Australia</v>
      </c>
      <c r="DU157" s="9" t="str">
        <f>_xll.SNL.Clients.Office.Excel.Functions.SPG(DR157, "SP_COUNTRY_NAME")</f>
        <v>#INVALID COMPANY ID</v>
      </c>
      <c r="DZ157" s="9" t="str">
        <f>_xll.SNL.Clients.Office.Excel.Functions.SPG(DW157, "SP_COUNTRY_NAME")</f>
        <v>#INVALID COMPANY ID</v>
      </c>
      <c r="EA157" t="s">
        <v>1665</v>
      </c>
      <c r="EB157">
        <v>5824729</v>
      </c>
      <c r="EC157" t="s">
        <v>364</v>
      </c>
      <c r="ED157" s="11">
        <v>0.02</v>
      </c>
      <c r="EE157" s="9" t="str">
        <f>_xll.SNL.Clients.Office.Excel.Functions.SPG(EB157, "SP_COUNTRY_NAME")</f>
        <v>Brazil</v>
      </c>
      <c r="EF157" t="s">
        <v>1441</v>
      </c>
      <c r="EG157">
        <v>5786329</v>
      </c>
      <c r="EH157" t="s">
        <v>365</v>
      </c>
      <c r="EI157" s="11">
        <v>0.03</v>
      </c>
      <c r="EJ157" s="9" t="str">
        <f>_xll.SNL.Clients.Office.Excel.Functions.SPG(EG157, "SP_COUNTRY_NAME")</f>
        <v>Australia</v>
      </c>
      <c r="EO157" s="9" t="str">
        <f>_xll.SNL.Clients.Office.Excel.Functions.SPG(EL157, "SP_COUNTRY_NAME")</f>
        <v>#INVALID COMPANY ID</v>
      </c>
      <c r="ET157" s="9" t="str">
        <f>_xll.SNL.Clients.Office.Excel.Functions.SPG(EQ157, "SP_COUNTRY_NAME")</f>
        <v>#INVALID COMPANY ID</v>
      </c>
      <c r="EY157" s="9" t="str">
        <f>_xll.SNL.Clients.Office.Excel.Functions.SPG(EV157, "SP_COUNTRY_NAME")</f>
        <v>#INVALID COMPANY ID</v>
      </c>
      <c r="FD157" s="9" t="str">
        <f>_xll.SNL.Clients.Office.Excel.Functions.SPG(FA157, "SP_COUNTRY_NAME")</f>
        <v>#INVALID COMPANY ID</v>
      </c>
      <c r="FI157" s="9" t="str">
        <f>_xll.SNL.Clients.Office.Excel.Functions.SPG(FF157, "SP_COUNTRY_NAME")</f>
        <v>#INVALID COMPANY ID</v>
      </c>
      <c r="FN157" s="9" t="str">
        <f>_xll.SNL.Clients.Office.Excel.Functions.SPG(FK157, "SP_COUNTRY_NAME")</f>
        <v>#INVALID COMPANY ID</v>
      </c>
      <c r="FS157" s="9" t="str">
        <f>_xll.SNL.Clients.Office.Excel.Functions.SPG(FP157, "SP_COUNTRY_NAME")</f>
        <v>#INVALID COMPANY ID</v>
      </c>
      <c r="FX157" s="9" t="str">
        <f>_xll.SNL.Clients.Office.Excel.Functions.SPG(FU157, "SP_COUNTRY_NAME")</f>
        <v>#INVALID COMPANY ID</v>
      </c>
      <c r="FY157" t="s">
        <v>1441</v>
      </c>
      <c r="FZ157">
        <v>5786329</v>
      </c>
      <c r="GA157" t="s">
        <v>365</v>
      </c>
      <c r="GB157" s="11">
        <v>0.03</v>
      </c>
      <c r="GC157" s="9" t="str">
        <f>_xll.SNL.Clients.Office.Excel.Functions.SPG(FZ157, "SP_COUNTRY_NAME")</f>
        <v>Australia</v>
      </c>
      <c r="GH157" s="9" t="str">
        <f>_xll.SNL.Clients.Office.Excel.Functions.SPG(GE157, "SP_COUNTRY_NAME")</f>
        <v>#INVALID COMPANY ID</v>
      </c>
      <c r="GM157" s="9" t="str">
        <f>_xll.SNL.Clients.Office.Excel.Functions.SPG(GJ157, "SP_COUNTRY_NAME")</f>
        <v>#INVALID COMPANY ID</v>
      </c>
      <c r="GR157" s="9" t="str">
        <f>_xll.SNL.Clients.Office.Excel.Functions.SPG(GO157, "SP_COUNTRY_NAME")</f>
        <v>#INVALID COMPANY ID</v>
      </c>
      <c r="GS157" t="s">
        <v>797</v>
      </c>
      <c r="GT157">
        <v>4138761</v>
      </c>
      <c r="GU157" t="s">
        <v>346</v>
      </c>
      <c r="GV157" s="11">
        <v>0.01</v>
      </c>
      <c r="GW157" s="9" t="str">
        <f>_xll.SNL.Clients.Office.Excel.Functions.SPG(GT157, "SP_COUNTRY_NAME")</f>
        <v>China</v>
      </c>
      <c r="GX157" t="s">
        <v>1665</v>
      </c>
      <c r="GY157">
        <v>5824729</v>
      </c>
      <c r="GZ157" t="s">
        <v>364</v>
      </c>
      <c r="HA157" s="11">
        <v>0.02</v>
      </c>
      <c r="HB157" s="9" t="str">
        <f>_xll.SNL.Clients.Office.Excel.Functions.SPG(GY157, "SP_COUNTRY_NAME")</f>
        <v>Brazil</v>
      </c>
      <c r="HG157" s="9" t="str">
        <f>_xll.SNL.Clients.Office.Excel.Functions.SPG(HD157, "SP_COUNTRY_NAME")</f>
        <v>#INVALID COMPANY ID</v>
      </c>
    </row>
    <row r="158" spans="5:215" x14ac:dyDescent="0.35">
      <c r="E158" s="9" t="str">
        <f>_xll.SNL.Clients.Office.Excel.Functions.SPG(B158, "SP_COUNTRY_NAME")</f>
        <v>#INVALID COMPANY ID</v>
      </c>
      <c r="F158" t="s">
        <v>545</v>
      </c>
      <c r="G158" t="s">
        <v>300</v>
      </c>
      <c r="H158" t="s">
        <v>361</v>
      </c>
      <c r="I158" s="11">
        <v>0</v>
      </c>
      <c r="J158" s="9" t="str">
        <f>_xll.SNL.Clients.Office.Excel.Functions.SPG(G158, "SP_COUNTRY_NAME")</f>
        <v>China</v>
      </c>
      <c r="O158" s="9" t="str">
        <f>_xll.SNL.Clients.Office.Excel.Functions.SPG(L158, "SP_COUNTRY_NAME")</f>
        <v>#INVALID COMPANY ID</v>
      </c>
      <c r="T158" s="9" t="str">
        <f>_xll.SNL.Clients.Office.Excel.Functions.SPG(Q158, "SP_COUNTRY_NAME")</f>
        <v>#INVALID COMPANY ID</v>
      </c>
      <c r="U158" t="s">
        <v>765</v>
      </c>
      <c r="V158">
        <v>10181318</v>
      </c>
      <c r="W158" t="s">
        <v>346</v>
      </c>
      <c r="X158" s="11">
        <v>0.01</v>
      </c>
      <c r="Y158" s="9" t="str">
        <f>_xll.SNL.Clients.Office.Excel.Functions.SPG(V158, "SP_COUNTRY_NAME")</f>
        <v>China</v>
      </c>
      <c r="AD158" s="9" t="str">
        <f>_xll.SNL.Clients.Office.Excel.Functions.SPG(AA158, "SP_COUNTRY_NAME")</f>
        <v>#INVALID COMPANY ID</v>
      </c>
      <c r="AE158" t="s">
        <v>523</v>
      </c>
      <c r="AF158">
        <v>7060057</v>
      </c>
      <c r="AG158" t="s">
        <v>346</v>
      </c>
      <c r="AH158" s="11">
        <v>0</v>
      </c>
      <c r="AI158" s="9" t="str">
        <f>_xll.SNL.Clients.Office.Excel.Functions.SPG(AF158, "SP_COUNTRY_NAME")</f>
        <v>Switzerland</v>
      </c>
      <c r="AN158" s="9" t="str">
        <f>_xll.SNL.Clients.Office.Excel.Functions.SPG(AK158, "SP_COUNTRY_NAME")</f>
        <v>#INVALID COMPANY ID</v>
      </c>
      <c r="AO158" t="s">
        <v>1309</v>
      </c>
      <c r="AP158">
        <v>114817542</v>
      </c>
      <c r="AQ158" t="s">
        <v>346</v>
      </c>
      <c r="AR158" s="11">
        <v>0.01</v>
      </c>
      <c r="AS158" s="9" t="str">
        <f>_xll.SNL.Clients.Office.Excel.Functions.SPG(AP158, "SP_COUNTRY_NAME")</f>
        <v>#INVALID COMPANY ID</v>
      </c>
      <c r="AX158" s="9" t="str">
        <f>_xll.SNL.Clients.Office.Excel.Functions.SPG(AU158, "SP_COUNTRY_NAME")</f>
        <v>#INVALID COMPANY ID</v>
      </c>
      <c r="BC158" s="9" t="str">
        <f>_xll.SNL.Clients.Office.Excel.Functions.SPG(AZ158, "SP_COUNTRY_NAME")</f>
        <v>#INVALID COMPANY ID</v>
      </c>
      <c r="BD158" t="s">
        <v>1442</v>
      </c>
      <c r="BE158" t="s">
        <v>300</v>
      </c>
      <c r="BF158" t="s">
        <v>361</v>
      </c>
      <c r="BG158" s="11">
        <v>0.03</v>
      </c>
      <c r="BH158" s="9" t="str">
        <f>_xll.SNL.Clients.Office.Excel.Functions.SPG(BE158, "SP_COUNTRY_NAME")</f>
        <v>China</v>
      </c>
      <c r="BI158" t="s">
        <v>837</v>
      </c>
      <c r="BJ158">
        <v>5830179</v>
      </c>
      <c r="BK158" t="s">
        <v>346</v>
      </c>
      <c r="BL158" s="11">
        <v>0.01</v>
      </c>
      <c r="BM158" s="9" t="str">
        <f>_xll.SNL.Clients.Office.Excel.Functions.SPG(BJ158, "SP_COUNTRY_NAME")</f>
        <v>Ireland</v>
      </c>
      <c r="BN158" t="s">
        <v>458</v>
      </c>
      <c r="BO158">
        <v>109806</v>
      </c>
      <c r="BP158" t="s">
        <v>346</v>
      </c>
      <c r="BQ158" s="11">
        <v>0.01</v>
      </c>
      <c r="BR158" s="9" t="str">
        <f>_xll.SNL.Clients.Office.Excel.Functions.SPG(BO158, "SP_COUNTRY_NAME")</f>
        <v>USA</v>
      </c>
      <c r="BS158" t="s">
        <v>978</v>
      </c>
      <c r="BT158">
        <v>4224292</v>
      </c>
      <c r="BU158" t="s">
        <v>346</v>
      </c>
      <c r="BV158" s="11">
        <v>0.02</v>
      </c>
      <c r="BW158" s="9" t="str">
        <f>_xll.SNL.Clients.Office.Excel.Functions.SPG(BT158, "SP_COUNTRY_NAME")</f>
        <v>Germany</v>
      </c>
      <c r="BX158" t="s">
        <v>765</v>
      </c>
      <c r="BY158">
        <v>10181318</v>
      </c>
      <c r="BZ158" t="s">
        <v>346</v>
      </c>
      <c r="CA158" s="11">
        <v>0.01</v>
      </c>
      <c r="CB158" s="9" t="str">
        <f>_xll.SNL.Clients.Office.Excel.Functions.SPG(BY158, "SP_COUNTRY_NAME")</f>
        <v>China</v>
      </c>
      <c r="CC158" t="s">
        <v>954</v>
      </c>
      <c r="CD158">
        <v>4026994</v>
      </c>
      <c r="CE158" t="s">
        <v>346</v>
      </c>
      <c r="CF158" s="11">
        <v>0.02</v>
      </c>
      <c r="CG158" s="9" t="str">
        <f>_xll.SNL.Clients.Office.Excel.Functions.SPG(CD158, "SP_COUNTRY_NAME")</f>
        <v>Sweden</v>
      </c>
      <c r="CH158" t="s">
        <v>1309</v>
      </c>
      <c r="CI158">
        <v>114817542</v>
      </c>
      <c r="CJ158" t="s">
        <v>346</v>
      </c>
      <c r="CK158" s="11">
        <v>0.01</v>
      </c>
      <c r="CL158" s="9" t="str">
        <f>_xll.SNL.Clients.Office.Excel.Functions.SPG(CI158, "SP_COUNTRY_NAME")</f>
        <v>#INVALID COMPANY ID</v>
      </c>
      <c r="CM158" t="s">
        <v>463</v>
      </c>
      <c r="CN158">
        <v>4138888</v>
      </c>
      <c r="CO158" t="s">
        <v>346</v>
      </c>
      <c r="CP158" s="11">
        <v>0.02</v>
      </c>
      <c r="CQ158" s="9" t="str">
        <f>_xll.SNL.Clients.Office.Excel.Functions.SPG(CN158, "SP_COUNTRY_NAME")</f>
        <v>Norway</v>
      </c>
      <c r="CV158" s="9" t="str">
        <f>_xll.SNL.Clients.Office.Excel.Functions.SPG(CS158, "SP_COUNTRY_NAME")</f>
        <v>#INVALID COMPANY ID</v>
      </c>
      <c r="DA158" s="9" t="str">
        <f>_xll.SNL.Clients.Office.Excel.Functions.SPG(CX158, "SP_COUNTRY_NAME")</f>
        <v>#INVALID COMPANY ID</v>
      </c>
      <c r="DB158" t="s">
        <v>1442</v>
      </c>
      <c r="DC158" t="s">
        <v>300</v>
      </c>
      <c r="DD158" t="s">
        <v>361</v>
      </c>
      <c r="DE158" s="11">
        <v>0.03</v>
      </c>
      <c r="DF158" s="9" t="str">
        <f>_xll.SNL.Clients.Office.Excel.Functions.SPG(DC158, "SP_COUNTRY_NAME")</f>
        <v>China</v>
      </c>
      <c r="DK158" s="9" t="str">
        <f>_xll.SNL.Clients.Office.Excel.Functions.SPG(DH158, "SP_COUNTRY_NAME")</f>
        <v>#INVALID COMPANY ID</v>
      </c>
      <c r="DL158" t="s">
        <v>1442</v>
      </c>
      <c r="DM158" t="s">
        <v>300</v>
      </c>
      <c r="DN158" t="s">
        <v>361</v>
      </c>
      <c r="DO158" s="11">
        <v>0.03</v>
      </c>
      <c r="DP158" s="9" t="str">
        <f>_xll.SNL.Clients.Office.Excel.Functions.SPG(DM158, "SP_COUNTRY_NAME")</f>
        <v>China</v>
      </c>
      <c r="DU158" s="9" t="str">
        <f>_xll.SNL.Clients.Office.Excel.Functions.SPG(DR158, "SP_COUNTRY_NAME")</f>
        <v>#INVALID COMPANY ID</v>
      </c>
      <c r="DZ158" s="9" t="str">
        <f>_xll.SNL.Clients.Office.Excel.Functions.SPG(DW158, "SP_COUNTRY_NAME")</f>
        <v>#INVALID COMPANY ID</v>
      </c>
      <c r="EA158" t="s">
        <v>954</v>
      </c>
      <c r="EB158">
        <v>4026994</v>
      </c>
      <c r="EC158" t="s">
        <v>346</v>
      </c>
      <c r="ED158" s="11">
        <v>0.02</v>
      </c>
      <c r="EE158" s="9" t="str">
        <f>_xll.SNL.Clients.Office.Excel.Functions.SPG(EB158, "SP_COUNTRY_NAME")</f>
        <v>Sweden</v>
      </c>
      <c r="EF158" t="s">
        <v>1442</v>
      </c>
      <c r="EG158" t="s">
        <v>300</v>
      </c>
      <c r="EH158" t="s">
        <v>361</v>
      </c>
      <c r="EI158" s="11">
        <v>0.03</v>
      </c>
      <c r="EJ158" s="9" t="str">
        <f>_xll.SNL.Clients.Office.Excel.Functions.SPG(EG158, "SP_COUNTRY_NAME")</f>
        <v>China</v>
      </c>
      <c r="EO158" s="9" t="str">
        <f>_xll.SNL.Clients.Office.Excel.Functions.SPG(EL158, "SP_COUNTRY_NAME")</f>
        <v>#INVALID COMPANY ID</v>
      </c>
      <c r="ET158" s="9" t="str">
        <f>_xll.SNL.Clients.Office.Excel.Functions.SPG(EQ158, "SP_COUNTRY_NAME")</f>
        <v>#INVALID COMPANY ID</v>
      </c>
      <c r="EY158" s="9" t="str">
        <f>_xll.SNL.Clients.Office.Excel.Functions.SPG(EV158, "SP_COUNTRY_NAME")</f>
        <v>#INVALID COMPANY ID</v>
      </c>
      <c r="FD158" s="9" t="str">
        <f>_xll.SNL.Clients.Office.Excel.Functions.SPG(FA158, "SP_COUNTRY_NAME")</f>
        <v>#INVALID COMPANY ID</v>
      </c>
      <c r="FI158" s="9" t="str">
        <f>_xll.SNL.Clients.Office.Excel.Functions.SPG(FF158, "SP_COUNTRY_NAME")</f>
        <v>#INVALID COMPANY ID</v>
      </c>
      <c r="FN158" s="9" t="str">
        <f>_xll.SNL.Clients.Office.Excel.Functions.SPG(FK158, "SP_COUNTRY_NAME")</f>
        <v>#INVALID COMPANY ID</v>
      </c>
      <c r="FS158" s="9" t="str">
        <f>_xll.SNL.Clients.Office.Excel.Functions.SPG(FP158, "SP_COUNTRY_NAME")</f>
        <v>#INVALID COMPANY ID</v>
      </c>
      <c r="FX158" s="9" t="str">
        <f>_xll.SNL.Clients.Office.Excel.Functions.SPG(FU158, "SP_COUNTRY_NAME")</f>
        <v>#INVALID COMPANY ID</v>
      </c>
      <c r="FY158" t="s">
        <v>1442</v>
      </c>
      <c r="FZ158" t="s">
        <v>300</v>
      </c>
      <c r="GA158" t="s">
        <v>361</v>
      </c>
      <c r="GB158" s="11">
        <v>0.03</v>
      </c>
      <c r="GC158" s="9" t="str">
        <f>_xll.SNL.Clients.Office.Excel.Functions.SPG(FZ158, "SP_COUNTRY_NAME")</f>
        <v>China</v>
      </c>
      <c r="GH158" s="9" t="str">
        <f>_xll.SNL.Clients.Office.Excel.Functions.SPG(GE158, "SP_COUNTRY_NAME")</f>
        <v>#INVALID COMPANY ID</v>
      </c>
      <c r="GM158" s="9" t="str">
        <f>_xll.SNL.Clients.Office.Excel.Functions.SPG(GJ158, "SP_COUNTRY_NAME")</f>
        <v>#INVALID COMPANY ID</v>
      </c>
      <c r="GR158" s="9" t="str">
        <f>_xll.SNL.Clients.Office.Excel.Functions.SPG(GO158, "SP_COUNTRY_NAME")</f>
        <v>#INVALID COMPANY ID</v>
      </c>
      <c r="GS158" t="s">
        <v>458</v>
      </c>
      <c r="GT158">
        <v>109806</v>
      </c>
      <c r="GU158" t="s">
        <v>346</v>
      </c>
      <c r="GV158" s="11">
        <v>0.01</v>
      </c>
      <c r="GW158" s="9" t="str">
        <f>_xll.SNL.Clients.Office.Excel.Functions.SPG(GT158, "SP_COUNTRY_NAME")</f>
        <v>USA</v>
      </c>
      <c r="GX158" t="s">
        <v>954</v>
      </c>
      <c r="GY158">
        <v>4026994</v>
      </c>
      <c r="GZ158" t="s">
        <v>346</v>
      </c>
      <c r="HA158" s="11">
        <v>0.02</v>
      </c>
      <c r="HB158" s="9" t="str">
        <f>_xll.SNL.Clients.Office.Excel.Functions.SPG(GY158, "SP_COUNTRY_NAME")</f>
        <v>Sweden</v>
      </c>
      <c r="HG158" s="9" t="str">
        <f>_xll.SNL.Clients.Office.Excel.Functions.SPG(HD158, "SP_COUNTRY_NAME")</f>
        <v>#INVALID COMPANY ID</v>
      </c>
    </row>
    <row r="159" spans="5:215" x14ac:dyDescent="0.35">
      <c r="E159" s="9" t="str">
        <f>_xll.SNL.Clients.Office.Excel.Functions.SPG(B159, "SP_COUNTRY_NAME")</f>
        <v>#INVALID COMPANY ID</v>
      </c>
      <c r="F159" t="s">
        <v>546</v>
      </c>
      <c r="G159">
        <v>4158830</v>
      </c>
      <c r="H159" t="s">
        <v>346</v>
      </c>
      <c r="I159" s="11">
        <v>0</v>
      </c>
      <c r="J159" s="9" t="str">
        <f>_xll.SNL.Clients.Office.Excel.Functions.SPG(G159, "SP_COUNTRY_NAME")</f>
        <v>USA</v>
      </c>
      <c r="O159" s="9" t="str">
        <f>_xll.SNL.Clients.Office.Excel.Functions.SPG(L159, "SP_COUNTRY_NAME")</f>
        <v>#INVALID COMPANY ID</v>
      </c>
      <c r="T159" s="9" t="str">
        <f>_xll.SNL.Clients.Office.Excel.Functions.SPG(Q159, "SP_COUNTRY_NAME")</f>
        <v>#INVALID COMPANY ID</v>
      </c>
      <c r="U159" t="s">
        <v>766</v>
      </c>
      <c r="V159">
        <v>4138826</v>
      </c>
      <c r="W159" t="s">
        <v>346</v>
      </c>
      <c r="X159" s="11">
        <v>0.01</v>
      </c>
      <c r="Y159" s="9" t="str">
        <f>_xll.SNL.Clients.Office.Excel.Functions.SPG(V159, "SP_COUNTRY_NAME")</f>
        <v>China</v>
      </c>
      <c r="AD159" s="9" t="str">
        <f>_xll.SNL.Clients.Office.Excel.Functions.SPG(AA159, "SP_COUNTRY_NAME")</f>
        <v>#INVALID COMPANY ID</v>
      </c>
      <c r="AE159" t="s">
        <v>533</v>
      </c>
      <c r="AF159">
        <v>4377155</v>
      </c>
      <c r="AG159" t="s">
        <v>346</v>
      </c>
      <c r="AH159" s="11">
        <v>0</v>
      </c>
      <c r="AI159" s="9" t="str">
        <f>_xll.SNL.Clients.Office.Excel.Functions.SPG(AF159, "SP_COUNTRY_NAME")</f>
        <v>Belgium</v>
      </c>
      <c r="AN159" s="9" t="str">
        <f>_xll.SNL.Clients.Office.Excel.Functions.SPG(AK159, "SP_COUNTRY_NAME")</f>
        <v>#INVALID COMPANY ID</v>
      </c>
      <c r="AO159" t="s">
        <v>913</v>
      </c>
      <c r="AP159">
        <v>26632854</v>
      </c>
      <c r="AQ159" t="s">
        <v>346</v>
      </c>
      <c r="AR159" s="11">
        <v>0.01</v>
      </c>
      <c r="AS159" s="9" t="str">
        <f>_xll.SNL.Clients.Office.Excel.Functions.SPG(AP159, "SP_COUNTRY_NAME")</f>
        <v>USA</v>
      </c>
      <c r="AX159" s="9" t="str">
        <f>_xll.SNL.Clients.Office.Excel.Functions.SPG(AU159, "SP_COUNTRY_NAME")</f>
        <v>#INVALID COMPANY ID</v>
      </c>
      <c r="BC159" s="9" t="str">
        <f>_xll.SNL.Clients.Office.Excel.Functions.SPG(AZ159, "SP_COUNTRY_NAME")</f>
        <v>#INVALID COMPANY ID</v>
      </c>
      <c r="BD159" t="s">
        <v>1443</v>
      </c>
      <c r="BE159">
        <v>105695553</v>
      </c>
      <c r="BF159" t="s">
        <v>346</v>
      </c>
      <c r="BG159" s="11">
        <v>0.03</v>
      </c>
      <c r="BH159" s="9" t="str">
        <f>_xll.SNL.Clients.Office.Excel.Functions.SPG(BE159, "SP_COUNTRY_NAME")</f>
        <v>Australia</v>
      </c>
      <c r="BI159" t="s">
        <v>1573</v>
      </c>
      <c r="BJ159">
        <v>5777599</v>
      </c>
      <c r="BK159" t="s">
        <v>346</v>
      </c>
      <c r="BL159" s="11">
        <v>0.01</v>
      </c>
      <c r="BM159" s="9" t="str">
        <f>_xll.SNL.Clients.Office.Excel.Functions.SPG(BJ159, "SP_COUNTRY_NAME")</f>
        <v>Switzerland</v>
      </c>
      <c r="BN159" t="s">
        <v>835</v>
      </c>
      <c r="BO159">
        <v>4878959</v>
      </c>
      <c r="BP159" t="s">
        <v>346</v>
      </c>
      <c r="BQ159" s="11">
        <v>0.01</v>
      </c>
      <c r="BR159" s="9" t="str">
        <f>_xll.SNL.Clients.Office.Excel.Functions.SPG(BO159, "SP_COUNTRY_NAME")</f>
        <v>China</v>
      </c>
      <c r="BS159" t="s">
        <v>735</v>
      </c>
      <c r="BT159">
        <v>4345966</v>
      </c>
      <c r="BU159" t="s">
        <v>346</v>
      </c>
      <c r="BV159" s="11">
        <v>0.02</v>
      </c>
      <c r="BW159" s="9" t="str">
        <f>_xll.SNL.Clients.Office.Excel.Functions.SPG(BT159, "SP_COUNTRY_NAME")</f>
        <v>China</v>
      </c>
      <c r="BX159" t="s">
        <v>766</v>
      </c>
      <c r="BY159">
        <v>4138826</v>
      </c>
      <c r="BZ159" t="s">
        <v>346</v>
      </c>
      <c r="CA159" s="11">
        <v>0.01</v>
      </c>
      <c r="CB159" s="9" t="str">
        <f>_xll.SNL.Clients.Office.Excel.Functions.SPG(BY159, "SP_COUNTRY_NAME")</f>
        <v>China</v>
      </c>
      <c r="CC159" t="s">
        <v>1666</v>
      </c>
      <c r="CD159">
        <v>8350548</v>
      </c>
      <c r="CE159" t="s">
        <v>364</v>
      </c>
      <c r="CF159" s="11">
        <v>0.02</v>
      </c>
      <c r="CG159" s="9" t="str">
        <f>_xll.SNL.Clients.Office.Excel.Functions.SPG(CD159, "SP_COUNTRY_NAME")</f>
        <v>Brazil</v>
      </c>
      <c r="CH159" t="s">
        <v>913</v>
      </c>
      <c r="CI159">
        <v>26632854</v>
      </c>
      <c r="CJ159" t="s">
        <v>346</v>
      </c>
      <c r="CK159" s="11">
        <v>0.01</v>
      </c>
      <c r="CL159" s="9" t="str">
        <f>_xll.SNL.Clients.Office.Excel.Functions.SPG(CI159, "SP_COUNTRY_NAME")</f>
        <v>USA</v>
      </c>
      <c r="CM159" t="s">
        <v>1979</v>
      </c>
      <c r="CN159">
        <v>13043196</v>
      </c>
      <c r="CO159" t="s">
        <v>346</v>
      </c>
      <c r="CP159" s="11">
        <v>0.02</v>
      </c>
      <c r="CQ159" s="9" t="str">
        <f>_xll.SNL.Clients.Office.Excel.Functions.SPG(CN159, "SP_COUNTRY_NAME")</f>
        <v>United Kingdom</v>
      </c>
      <c r="CV159" s="9" t="str">
        <f>_xll.SNL.Clients.Office.Excel.Functions.SPG(CS159, "SP_COUNTRY_NAME")</f>
        <v>#INVALID COMPANY ID</v>
      </c>
      <c r="DA159" s="9" t="str">
        <f>_xll.SNL.Clients.Office.Excel.Functions.SPG(CX159, "SP_COUNTRY_NAME")</f>
        <v>#INVALID COMPANY ID</v>
      </c>
      <c r="DB159" t="s">
        <v>1443</v>
      </c>
      <c r="DC159">
        <v>105695553</v>
      </c>
      <c r="DD159" t="s">
        <v>346</v>
      </c>
      <c r="DE159" s="11">
        <v>0.03</v>
      </c>
      <c r="DF159" s="9" t="str">
        <f>_xll.SNL.Clients.Office.Excel.Functions.SPG(DC159, "SP_COUNTRY_NAME")</f>
        <v>Australia</v>
      </c>
      <c r="DK159" s="9" t="str">
        <f>_xll.SNL.Clients.Office.Excel.Functions.SPG(DH159, "SP_COUNTRY_NAME")</f>
        <v>#INVALID COMPANY ID</v>
      </c>
      <c r="DL159" t="s">
        <v>1443</v>
      </c>
      <c r="DM159">
        <v>105695553</v>
      </c>
      <c r="DN159" t="s">
        <v>346</v>
      </c>
      <c r="DO159" s="11">
        <v>0.03</v>
      </c>
      <c r="DP159" s="9" t="str">
        <f>_xll.SNL.Clients.Office.Excel.Functions.SPG(DM159, "SP_COUNTRY_NAME")</f>
        <v>Australia</v>
      </c>
      <c r="DU159" s="9" t="str">
        <f>_xll.SNL.Clients.Office.Excel.Functions.SPG(DR159, "SP_COUNTRY_NAME")</f>
        <v>#INVALID COMPANY ID</v>
      </c>
      <c r="DZ159" s="9" t="str">
        <f>_xll.SNL.Clients.Office.Excel.Functions.SPG(DW159, "SP_COUNTRY_NAME")</f>
        <v>#INVALID COMPANY ID</v>
      </c>
      <c r="EA159" t="s">
        <v>1666</v>
      </c>
      <c r="EB159">
        <v>8350548</v>
      </c>
      <c r="EC159" t="s">
        <v>364</v>
      </c>
      <c r="ED159" s="11">
        <v>0.02</v>
      </c>
      <c r="EE159" s="9" t="str">
        <f>_xll.SNL.Clients.Office.Excel.Functions.SPG(EB159, "SP_COUNTRY_NAME")</f>
        <v>Brazil</v>
      </c>
      <c r="EF159" t="s">
        <v>1443</v>
      </c>
      <c r="EG159">
        <v>105695553</v>
      </c>
      <c r="EH159" t="s">
        <v>346</v>
      </c>
      <c r="EI159" s="11">
        <v>0.03</v>
      </c>
      <c r="EJ159" s="9" t="str">
        <f>_xll.SNL.Clients.Office.Excel.Functions.SPG(EG159, "SP_COUNTRY_NAME")</f>
        <v>Australia</v>
      </c>
      <c r="EO159" s="9" t="str">
        <f>_xll.SNL.Clients.Office.Excel.Functions.SPG(EL159, "SP_COUNTRY_NAME")</f>
        <v>#INVALID COMPANY ID</v>
      </c>
      <c r="ET159" s="9" t="str">
        <f>_xll.SNL.Clients.Office.Excel.Functions.SPG(EQ159, "SP_COUNTRY_NAME")</f>
        <v>#INVALID COMPANY ID</v>
      </c>
      <c r="EY159" s="9" t="str">
        <f>_xll.SNL.Clients.Office.Excel.Functions.SPG(EV159, "SP_COUNTRY_NAME")</f>
        <v>#INVALID COMPANY ID</v>
      </c>
      <c r="FD159" s="9" t="str">
        <f>_xll.SNL.Clients.Office.Excel.Functions.SPG(FA159, "SP_COUNTRY_NAME")</f>
        <v>#INVALID COMPANY ID</v>
      </c>
      <c r="FI159" s="9" t="str">
        <f>_xll.SNL.Clients.Office.Excel.Functions.SPG(FF159, "SP_COUNTRY_NAME")</f>
        <v>#INVALID COMPANY ID</v>
      </c>
      <c r="FN159" s="9" t="str">
        <f>_xll.SNL.Clients.Office.Excel.Functions.SPG(FK159, "SP_COUNTRY_NAME")</f>
        <v>#INVALID COMPANY ID</v>
      </c>
      <c r="FS159" s="9" t="str">
        <f>_xll.SNL.Clients.Office.Excel.Functions.SPG(FP159, "SP_COUNTRY_NAME")</f>
        <v>#INVALID COMPANY ID</v>
      </c>
      <c r="FX159" s="9" t="str">
        <f>_xll.SNL.Clients.Office.Excel.Functions.SPG(FU159, "SP_COUNTRY_NAME")</f>
        <v>#INVALID COMPANY ID</v>
      </c>
      <c r="FY159" t="s">
        <v>1443</v>
      </c>
      <c r="FZ159">
        <v>105695553</v>
      </c>
      <c r="GA159" t="s">
        <v>346</v>
      </c>
      <c r="GB159" s="11">
        <v>0.03</v>
      </c>
      <c r="GC159" s="9" t="str">
        <f>_xll.SNL.Clients.Office.Excel.Functions.SPG(FZ159, "SP_COUNTRY_NAME")</f>
        <v>Australia</v>
      </c>
      <c r="GH159" s="9" t="str">
        <f>_xll.SNL.Clients.Office.Excel.Functions.SPG(GE159, "SP_COUNTRY_NAME")</f>
        <v>#INVALID COMPANY ID</v>
      </c>
      <c r="GM159" s="9" t="str">
        <f>_xll.SNL.Clients.Office.Excel.Functions.SPG(GJ159, "SP_COUNTRY_NAME")</f>
        <v>#INVALID COMPANY ID</v>
      </c>
      <c r="GR159" s="9" t="str">
        <f>_xll.SNL.Clients.Office.Excel.Functions.SPG(GO159, "SP_COUNTRY_NAME")</f>
        <v>#INVALID COMPANY ID</v>
      </c>
      <c r="GS159" t="s">
        <v>835</v>
      </c>
      <c r="GT159">
        <v>4878959</v>
      </c>
      <c r="GU159" t="s">
        <v>346</v>
      </c>
      <c r="GV159" s="11">
        <v>0.01</v>
      </c>
      <c r="GW159" s="9" t="str">
        <f>_xll.SNL.Clients.Office.Excel.Functions.SPG(GT159, "SP_COUNTRY_NAME")</f>
        <v>China</v>
      </c>
      <c r="GX159" t="s">
        <v>1666</v>
      </c>
      <c r="GY159">
        <v>8350548</v>
      </c>
      <c r="GZ159" t="s">
        <v>364</v>
      </c>
      <c r="HA159" s="11">
        <v>0.02</v>
      </c>
      <c r="HB159" s="9" t="str">
        <f>_xll.SNL.Clients.Office.Excel.Functions.SPG(GY159, "SP_COUNTRY_NAME")</f>
        <v>Brazil</v>
      </c>
      <c r="HG159" s="9" t="str">
        <f>_xll.SNL.Clients.Office.Excel.Functions.SPG(HD159, "SP_COUNTRY_NAME")</f>
        <v>#INVALID COMPANY ID</v>
      </c>
    </row>
    <row r="160" spans="5:215" x14ac:dyDescent="0.35">
      <c r="E160" s="9" t="str">
        <f>_xll.SNL.Clients.Office.Excel.Functions.SPG(B160, "SP_COUNTRY_NAME")</f>
        <v>#INVALID COMPANY ID</v>
      </c>
      <c r="F160" t="s">
        <v>547</v>
      </c>
      <c r="G160">
        <v>4005523</v>
      </c>
      <c r="H160" t="s">
        <v>346</v>
      </c>
      <c r="I160" s="11">
        <v>0</v>
      </c>
      <c r="J160" s="9" t="str">
        <f>_xll.SNL.Clients.Office.Excel.Functions.SPG(G160, "SP_COUNTRY_NAME")</f>
        <v>Canada</v>
      </c>
      <c r="O160" s="9" t="str">
        <f>_xll.SNL.Clients.Office.Excel.Functions.SPG(L160, "SP_COUNTRY_NAME")</f>
        <v>#INVALID COMPANY ID</v>
      </c>
      <c r="T160" s="9" t="str">
        <f>_xll.SNL.Clients.Office.Excel.Functions.SPG(Q160, "SP_COUNTRY_NAME")</f>
        <v>#INVALID COMPANY ID</v>
      </c>
      <c r="U160" t="s">
        <v>524</v>
      </c>
      <c r="V160">
        <v>4147331</v>
      </c>
      <c r="W160" t="s">
        <v>346</v>
      </c>
      <c r="X160" s="11">
        <v>0.01</v>
      </c>
      <c r="Y160" s="9" t="str">
        <f>_xll.SNL.Clients.Office.Excel.Functions.SPG(V160, "SP_COUNTRY_NAME")</f>
        <v>United Kingdom</v>
      </c>
      <c r="AD160" s="9" t="str">
        <f>_xll.SNL.Clients.Office.Excel.Functions.SPG(AA160, "SP_COUNTRY_NAME")</f>
        <v>#INVALID COMPANY ID</v>
      </c>
      <c r="AE160" t="s">
        <v>570</v>
      </c>
      <c r="AF160">
        <v>106302708</v>
      </c>
      <c r="AG160" t="s">
        <v>346</v>
      </c>
      <c r="AH160" s="11">
        <v>0</v>
      </c>
      <c r="AI160" s="9" t="str">
        <f>_xll.SNL.Clients.Office.Excel.Functions.SPG(AF160, "SP_COUNTRY_NAME")</f>
        <v>Switzerland</v>
      </c>
      <c r="AN160" s="9" t="str">
        <f>_xll.SNL.Clients.Office.Excel.Functions.SPG(AK160, "SP_COUNTRY_NAME")</f>
        <v>#INVALID COMPANY ID</v>
      </c>
      <c r="AO160" t="s">
        <v>1310</v>
      </c>
      <c r="AP160" t="s">
        <v>300</v>
      </c>
      <c r="AQ160" t="s">
        <v>361</v>
      </c>
      <c r="AR160" s="11">
        <v>0.01</v>
      </c>
      <c r="AS160" s="9" t="str">
        <f>_xll.SNL.Clients.Office.Excel.Functions.SPG(AP160, "SP_COUNTRY_NAME")</f>
        <v>China</v>
      </c>
      <c r="AX160" s="9" t="str">
        <f>_xll.SNL.Clients.Office.Excel.Functions.SPG(AU160, "SP_COUNTRY_NAME")</f>
        <v>#INVALID COMPANY ID</v>
      </c>
      <c r="BC160" s="9" t="str">
        <f>_xll.SNL.Clients.Office.Excel.Functions.SPG(AZ160, "SP_COUNTRY_NAME")</f>
        <v>#INVALID COMPANY ID</v>
      </c>
      <c r="BD160" t="s">
        <v>931</v>
      </c>
      <c r="BE160">
        <v>109247</v>
      </c>
      <c r="BF160" t="s">
        <v>366</v>
      </c>
      <c r="BG160" s="11">
        <v>0.03</v>
      </c>
      <c r="BH160" s="9" t="str">
        <f>_xll.SNL.Clients.Office.Excel.Functions.SPG(BE160, "SP_COUNTRY_NAME")</f>
        <v>USA</v>
      </c>
      <c r="BI160" t="s">
        <v>510</v>
      </c>
      <c r="BJ160">
        <v>4089114</v>
      </c>
      <c r="BK160" t="s">
        <v>346</v>
      </c>
      <c r="BL160" s="11">
        <v>0.01</v>
      </c>
      <c r="BM160" s="9" t="str">
        <f>_xll.SNL.Clients.Office.Excel.Functions.SPG(BJ160, "SP_COUNTRY_NAME")</f>
        <v>USA</v>
      </c>
      <c r="BN160" t="s">
        <v>463</v>
      </c>
      <c r="BO160">
        <v>4138888</v>
      </c>
      <c r="BP160" t="s">
        <v>346</v>
      </c>
      <c r="BQ160" s="11">
        <v>0.01</v>
      </c>
      <c r="BR160" s="9" t="str">
        <f>_xll.SNL.Clients.Office.Excel.Functions.SPG(BO160, "SP_COUNTRY_NAME")</f>
        <v>Norway</v>
      </c>
      <c r="BS160" t="s">
        <v>651</v>
      </c>
      <c r="BT160">
        <v>7059915</v>
      </c>
      <c r="BU160" t="s">
        <v>346</v>
      </c>
      <c r="BV160" s="11">
        <v>0.02</v>
      </c>
      <c r="BW160" s="9" t="str">
        <f>_xll.SNL.Clients.Office.Excel.Functions.SPG(BT160, "SP_COUNTRY_NAME")</f>
        <v>China</v>
      </c>
      <c r="BX160" t="s">
        <v>524</v>
      </c>
      <c r="BY160">
        <v>4147331</v>
      </c>
      <c r="BZ160" t="s">
        <v>346</v>
      </c>
      <c r="CA160" s="11">
        <v>0.01</v>
      </c>
      <c r="CB160" s="9" t="str">
        <f>_xll.SNL.Clients.Office.Excel.Functions.SPG(BY160, "SP_COUNTRY_NAME")</f>
        <v>United Kingdom</v>
      </c>
      <c r="CC160" t="s">
        <v>1667</v>
      </c>
      <c r="CD160">
        <v>5857201</v>
      </c>
      <c r="CE160" t="s">
        <v>346</v>
      </c>
      <c r="CF160" s="11">
        <v>0.02</v>
      </c>
      <c r="CG160" s="9" t="str">
        <f>_xll.SNL.Clients.Office.Excel.Functions.SPG(CD160, "SP_COUNTRY_NAME")</f>
        <v>Brazil</v>
      </c>
      <c r="CH160" t="s">
        <v>1310</v>
      </c>
      <c r="CI160" t="s">
        <v>300</v>
      </c>
      <c r="CJ160" t="s">
        <v>361</v>
      </c>
      <c r="CK160" s="11">
        <v>0.01</v>
      </c>
      <c r="CL160" s="9" t="str">
        <f>_xll.SNL.Clients.Office.Excel.Functions.SPG(CI160, "SP_COUNTRY_NAME")</f>
        <v>China</v>
      </c>
      <c r="CM160" t="s">
        <v>597</v>
      </c>
      <c r="CN160">
        <v>4654230</v>
      </c>
      <c r="CO160" t="s">
        <v>346</v>
      </c>
      <c r="CP160" s="11">
        <v>0.02</v>
      </c>
      <c r="CQ160" s="9" t="str">
        <f>_xll.SNL.Clients.Office.Excel.Functions.SPG(CN160, "SP_COUNTRY_NAME")</f>
        <v>Australia</v>
      </c>
      <c r="CV160" s="9" t="str">
        <f>_xll.SNL.Clients.Office.Excel.Functions.SPG(CS160, "SP_COUNTRY_NAME")</f>
        <v>#INVALID COMPANY ID</v>
      </c>
      <c r="DA160" s="9" t="str">
        <f>_xll.SNL.Clients.Office.Excel.Functions.SPG(CX160, "SP_COUNTRY_NAME")</f>
        <v>#INVALID COMPANY ID</v>
      </c>
      <c r="DB160" t="s">
        <v>931</v>
      </c>
      <c r="DC160">
        <v>109247</v>
      </c>
      <c r="DD160" t="s">
        <v>366</v>
      </c>
      <c r="DE160" s="11">
        <v>0.03</v>
      </c>
      <c r="DF160" s="9" t="str">
        <f>_xll.SNL.Clients.Office.Excel.Functions.SPG(DC160, "SP_COUNTRY_NAME")</f>
        <v>USA</v>
      </c>
      <c r="DK160" s="9" t="str">
        <f>_xll.SNL.Clients.Office.Excel.Functions.SPG(DH160, "SP_COUNTRY_NAME")</f>
        <v>#INVALID COMPANY ID</v>
      </c>
      <c r="DL160" t="s">
        <v>931</v>
      </c>
      <c r="DM160">
        <v>109247</v>
      </c>
      <c r="DN160" t="s">
        <v>366</v>
      </c>
      <c r="DO160" s="11">
        <v>0.03</v>
      </c>
      <c r="DP160" s="9" t="str">
        <f>_xll.SNL.Clients.Office.Excel.Functions.SPG(DM160, "SP_COUNTRY_NAME")</f>
        <v>USA</v>
      </c>
      <c r="DU160" s="9" t="str">
        <f>_xll.SNL.Clients.Office.Excel.Functions.SPG(DR160, "SP_COUNTRY_NAME")</f>
        <v>#INVALID COMPANY ID</v>
      </c>
      <c r="DZ160" s="9" t="str">
        <f>_xll.SNL.Clients.Office.Excel.Functions.SPG(DW160, "SP_COUNTRY_NAME")</f>
        <v>#INVALID COMPANY ID</v>
      </c>
      <c r="EA160" t="s">
        <v>1667</v>
      </c>
      <c r="EB160">
        <v>5857201</v>
      </c>
      <c r="EC160" t="s">
        <v>346</v>
      </c>
      <c r="ED160" s="11">
        <v>0.02</v>
      </c>
      <c r="EE160" s="9" t="str">
        <f>_xll.SNL.Clients.Office.Excel.Functions.SPG(EB160, "SP_COUNTRY_NAME")</f>
        <v>Brazil</v>
      </c>
      <c r="EF160" t="s">
        <v>931</v>
      </c>
      <c r="EG160">
        <v>109247</v>
      </c>
      <c r="EH160" t="s">
        <v>366</v>
      </c>
      <c r="EI160" s="11">
        <v>0.03</v>
      </c>
      <c r="EJ160" s="9" t="str">
        <f>_xll.SNL.Clients.Office.Excel.Functions.SPG(EG160, "SP_COUNTRY_NAME")</f>
        <v>USA</v>
      </c>
      <c r="EO160" s="9" t="str">
        <f>_xll.SNL.Clients.Office.Excel.Functions.SPG(EL160, "SP_COUNTRY_NAME")</f>
        <v>#INVALID COMPANY ID</v>
      </c>
      <c r="ET160" s="9" t="str">
        <f>_xll.SNL.Clients.Office.Excel.Functions.SPG(EQ160, "SP_COUNTRY_NAME")</f>
        <v>#INVALID COMPANY ID</v>
      </c>
      <c r="EY160" s="9" t="str">
        <f>_xll.SNL.Clients.Office.Excel.Functions.SPG(EV160, "SP_COUNTRY_NAME")</f>
        <v>#INVALID COMPANY ID</v>
      </c>
      <c r="FD160" s="9" t="str">
        <f>_xll.SNL.Clients.Office.Excel.Functions.SPG(FA160, "SP_COUNTRY_NAME")</f>
        <v>#INVALID COMPANY ID</v>
      </c>
      <c r="FI160" s="9" t="str">
        <f>_xll.SNL.Clients.Office.Excel.Functions.SPG(FF160, "SP_COUNTRY_NAME")</f>
        <v>#INVALID COMPANY ID</v>
      </c>
      <c r="FN160" s="9" t="str">
        <f>_xll.SNL.Clients.Office.Excel.Functions.SPG(FK160, "SP_COUNTRY_NAME")</f>
        <v>#INVALID COMPANY ID</v>
      </c>
      <c r="FS160" s="9" t="str">
        <f>_xll.SNL.Clients.Office.Excel.Functions.SPG(FP160, "SP_COUNTRY_NAME")</f>
        <v>#INVALID COMPANY ID</v>
      </c>
      <c r="FX160" s="9" t="str">
        <f>_xll.SNL.Clients.Office.Excel.Functions.SPG(FU160, "SP_COUNTRY_NAME")</f>
        <v>#INVALID COMPANY ID</v>
      </c>
      <c r="FY160" t="s">
        <v>931</v>
      </c>
      <c r="FZ160">
        <v>109247</v>
      </c>
      <c r="GA160" t="s">
        <v>366</v>
      </c>
      <c r="GB160" s="11">
        <v>0.03</v>
      </c>
      <c r="GC160" s="9" t="str">
        <f>_xll.SNL.Clients.Office.Excel.Functions.SPG(FZ160, "SP_COUNTRY_NAME")</f>
        <v>USA</v>
      </c>
      <c r="GH160" s="9" t="str">
        <f>_xll.SNL.Clients.Office.Excel.Functions.SPG(GE160, "SP_COUNTRY_NAME")</f>
        <v>#INVALID COMPANY ID</v>
      </c>
      <c r="GM160" s="9" t="str">
        <f>_xll.SNL.Clients.Office.Excel.Functions.SPG(GJ160, "SP_COUNTRY_NAME")</f>
        <v>#INVALID COMPANY ID</v>
      </c>
      <c r="GR160" s="9" t="str">
        <f>_xll.SNL.Clients.Office.Excel.Functions.SPG(GO160, "SP_COUNTRY_NAME")</f>
        <v>#INVALID COMPANY ID</v>
      </c>
      <c r="GS160" t="s">
        <v>463</v>
      </c>
      <c r="GT160">
        <v>4138888</v>
      </c>
      <c r="GU160" t="s">
        <v>346</v>
      </c>
      <c r="GV160" s="11">
        <v>0.01</v>
      </c>
      <c r="GW160" s="9" t="str">
        <f>_xll.SNL.Clients.Office.Excel.Functions.SPG(GT160, "SP_COUNTRY_NAME")</f>
        <v>Norway</v>
      </c>
      <c r="GX160" t="s">
        <v>1667</v>
      </c>
      <c r="GY160">
        <v>5857201</v>
      </c>
      <c r="GZ160" t="s">
        <v>346</v>
      </c>
      <c r="HA160" s="11">
        <v>0.02</v>
      </c>
      <c r="HB160" s="9" t="str">
        <f>_xll.SNL.Clients.Office.Excel.Functions.SPG(GY160, "SP_COUNTRY_NAME")</f>
        <v>Brazil</v>
      </c>
      <c r="HG160" s="9" t="str">
        <f>_xll.SNL.Clients.Office.Excel.Functions.SPG(HD160, "SP_COUNTRY_NAME")</f>
        <v>#INVALID COMPANY ID</v>
      </c>
    </row>
    <row r="161" spans="5:215" x14ac:dyDescent="0.35">
      <c r="E161" s="9" t="str">
        <f>_xll.SNL.Clients.Office.Excel.Functions.SPG(B161, "SP_COUNTRY_NAME")</f>
        <v>#INVALID COMPANY ID</v>
      </c>
      <c r="F161" t="s">
        <v>548</v>
      </c>
      <c r="G161">
        <v>26480935</v>
      </c>
      <c r="H161" t="s">
        <v>346</v>
      </c>
      <c r="I161" s="11">
        <v>0</v>
      </c>
      <c r="J161" s="9" t="str">
        <f>_xll.SNL.Clients.Office.Excel.Functions.SPG(G161, "SP_COUNTRY_NAME")</f>
        <v>USA</v>
      </c>
      <c r="O161" s="9" t="str">
        <f>_xll.SNL.Clients.Office.Excel.Functions.SPG(L161, "SP_COUNTRY_NAME")</f>
        <v>#INVALID COMPANY ID</v>
      </c>
      <c r="T161" s="9" t="str">
        <f>_xll.SNL.Clients.Office.Excel.Functions.SPG(Q161, "SP_COUNTRY_NAME")</f>
        <v>#INVALID COMPANY ID</v>
      </c>
      <c r="U161" t="s">
        <v>767</v>
      </c>
      <c r="V161">
        <v>4139846</v>
      </c>
      <c r="W161" t="s">
        <v>346</v>
      </c>
      <c r="X161" s="11">
        <v>0.01</v>
      </c>
      <c r="Y161" s="9" t="str">
        <f>_xll.SNL.Clients.Office.Excel.Functions.SPG(V161, "SP_COUNTRY_NAME")</f>
        <v>France</v>
      </c>
      <c r="AD161" s="9" t="str">
        <f>_xll.SNL.Clients.Office.Excel.Functions.SPG(AA161, "SP_COUNTRY_NAME")</f>
        <v>#INVALID COMPANY ID</v>
      </c>
      <c r="AE161" t="s">
        <v>465</v>
      </c>
      <c r="AF161">
        <v>4119440</v>
      </c>
      <c r="AG161" t="s">
        <v>346</v>
      </c>
      <c r="AH161" s="11">
        <v>0</v>
      </c>
      <c r="AI161" s="9" t="str">
        <f>_xll.SNL.Clients.Office.Excel.Functions.SPG(AF161, "SP_COUNTRY_NAME")</f>
        <v>USA</v>
      </c>
      <c r="AN161" s="9" t="str">
        <f>_xll.SNL.Clients.Office.Excel.Functions.SPG(AK161, "SP_COUNTRY_NAME")</f>
        <v>#INVALID COMPANY ID</v>
      </c>
      <c r="AO161" t="s">
        <v>1311</v>
      </c>
      <c r="AP161">
        <v>5866214</v>
      </c>
      <c r="AQ161" t="s">
        <v>346</v>
      </c>
      <c r="AR161" s="11">
        <v>0.01</v>
      </c>
      <c r="AS161" s="9" t="str">
        <f>_xll.SNL.Clients.Office.Excel.Functions.SPG(AP161, "SP_COUNTRY_NAME")</f>
        <v>South Africa</v>
      </c>
      <c r="AX161" s="9" t="str">
        <f>_xll.SNL.Clients.Office.Excel.Functions.SPG(AU161, "SP_COUNTRY_NAME")</f>
        <v>#INVALID COMPANY ID</v>
      </c>
      <c r="BC161" s="9" t="str">
        <f>_xll.SNL.Clients.Office.Excel.Functions.SPG(AZ161, "SP_COUNTRY_NAME")</f>
        <v>#INVALID COMPANY ID</v>
      </c>
      <c r="BD161" t="s">
        <v>1294</v>
      </c>
      <c r="BE161">
        <v>4138986</v>
      </c>
      <c r="BF161" t="s">
        <v>346</v>
      </c>
      <c r="BG161" s="11">
        <v>0.03</v>
      </c>
      <c r="BH161" s="9" t="str">
        <f>_xll.SNL.Clients.Office.Excel.Functions.SPG(BE161, "SP_COUNTRY_NAME")</f>
        <v>South Africa</v>
      </c>
      <c r="BI161" t="s">
        <v>523</v>
      </c>
      <c r="BJ161">
        <v>7060057</v>
      </c>
      <c r="BK161" t="s">
        <v>346</v>
      </c>
      <c r="BL161" s="11">
        <v>0</v>
      </c>
      <c r="BM161" s="9" t="str">
        <f>_xll.SNL.Clients.Office.Excel.Functions.SPG(BJ161, "SP_COUNTRY_NAME")</f>
        <v>Switzerland</v>
      </c>
      <c r="BN161" t="s">
        <v>398</v>
      </c>
      <c r="BO161">
        <v>4107954</v>
      </c>
      <c r="BP161" t="s">
        <v>300</v>
      </c>
      <c r="BQ161" s="11">
        <v>0.01</v>
      </c>
      <c r="BR161" s="9" t="str">
        <f>_xll.SNL.Clients.Office.Excel.Functions.SPG(BO161, "SP_COUNTRY_NAME")</f>
        <v>Japan</v>
      </c>
      <c r="BS161" t="s">
        <v>663</v>
      </c>
      <c r="BT161">
        <v>4080954</v>
      </c>
      <c r="BU161" t="s">
        <v>346</v>
      </c>
      <c r="BV161" s="11">
        <v>0.02</v>
      </c>
      <c r="BW161" s="9" t="str">
        <f>_xll.SNL.Clients.Office.Excel.Functions.SPG(BT161, "SP_COUNTRY_NAME")</f>
        <v>Denmark</v>
      </c>
      <c r="BX161" t="s">
        <v>767</v>
      </c>
      <c r="BY161">
        <v>4139846</v>
      </c>
      <c r="BZ161" t="s">
        <v>346</v>
      </c>
      <c r="CA161" s="11">
        <v>0.01</v>
      </c>
      <c r="CB161" s="9" t="str">
        <f>_xll.SNL.Clients.Office.Excel.Functions.SPG(BY161, "SP_COUNTRY_NAME")</f>
        <v>France</v>
      </c>
      <c r="CC161" t="s">
        <v>657</v>
      </c>
      <c r="CD161">
        <v>5851513</v>
      </c>
      <c r="CE161" t="s">
        <v>346</v>
      </c>
      <c r="CF161" s="11">
        <v>0.02</v>
      </c>
      <c r="CG161" s="9" t="str">
        <f>_xll.SNL.Clients.Office.Excel.Functions.SPG(CD161, "SP_COUNTRY_NAME")</f>
        <v>Canada</v>
      </c>
      <c r="CH161" t="s">
        <v>1311</v>
      </c>
      <c r="CI161">
        <v>5866214</v>
      </c>
      <c r="CJ161" t="s">
        <v>346</v>
      </c>
      <c r="CK161" s="11">
        <v>0.01</v>
      </c>
      <c r="CL161" s="9" t="str">
        <f>_xll.SNL.Clients.Office.Excel.Functions.SPG(CI161, "SP_COUNTRY_NAME")</f>
        <v>South Africa</v>
      </c>
      <c r="CM161" t="s">
        <v>1980</v>
      </c>
      <c r="CN161">
        <v>4278930</v>
      </c>
      <c r="CO161" t="s">
        <v>346</v>
      </c>
      <c r="CP161" s="11">
        <v>0.02</v>
      </c>
      <c r="CQ161" s="9" t="str">
        <f>_xll.SNL.Clients.Office.Excel.Functions.SPG(CN161, "SP_COUNTRY_NAME")</f>
        <v>Austria</v>
      </c>
      <c r="CV161" s="9" t="str">
        <f>_xll.SNL.Clients.Office.Excel.Functions.SPG(CS161, "SP_COUNTRY_NAME")</f>
        <v>#INVALID COMPANY ID</v>
      </c>
      <c r="DA161" s="9" t="str">
        <f>_xll.SNL.Clients.Office.Excel.Functions.SPG(CX161, "SP_COUNTRY_NAME")</f>
        <v>#INVALID COMPANY ID</v>
      </c>
      <c r="DB161" t="s">
        <v>1294</v>
      </c>
      <c r="DC161">
        <v>4138986</v>
      </c>
      <c r="DD161" t="s">
        <v>346</v>
      </c>
      <c r="DE161" s="11">
        <v>0.03</v>
      </c>
      <c r="DF161" s="9" t="str">
        <f>_xll.SNL.Clients.Office.Excel.Functions.SPG(DC161, "SP_COUNTRY_NAME")</f>
        <v>South Africa</v>
      </c>
      <c r="DK161" s="9" t="str">
        <f>_xll.SNL.Clients.Office.Excel.Functions.SPG(DH161, "SP_COUNTRY_NAME")</f>
        <v>#INVALID COMPANY ID</v>
      </c>
      <c r="DL161" t="s">
        <v>1294</v>
      </c>
      <c r="DM161">
        <v>4138986</v>
      </c>
      <c r="DN161" t="s">
        <v>346</v>
      </c>
      <c r="DO161" s="11">
        <v>0.03</v>
      </c>
      <c r="DP161" s="9" t="str">
        <f>_xll.SNL.Clients.Office.Excel.Functions.SPG(DM161, "SP_COUNTRY_NAME")</f>
        <v>South Africa</v>
      </c>
      <c r="DU161" s="9" t="str">
        <f>_xll.SNL.Clients.Office.Excel.Functions.SPG(DR161, "SP_COUNTRY_NAME")</f>
        <v>#INVALID COMPANY ID</v>
      </c>
      <c r="DZ161" s="9" t="str">
        <f>_xll.SNL.Clients.Office.Excel.Functions.SPG(DW161, "SP_COUNTRY_NAME")</f>
        <v>#INVALID COMPANY ID</v>
      </c>
      <c r="EA161" t="s">
        <v>657</v>
      </c>
      <c r="EB161">
        <v>5851513</v>
      </c>
      <c r="EC161" t="s">
        <v>346</v>
      </c>
      <c r="ED161" s="11">
        <v>0.02</v>
      </c>
      <c r="EE161" s="9" t="str">
        <f>_xll.SNL.Clients.Office.Excel.Functions.SPG(EB161, "SP_COUNTRY_NAME")</f>
        <v>Canada</v>
      </c>
      <c r="EF161" t="s">
        <v>1294</v>
      </c>
      <c r="EG161">
        <v>4138986</v>
      </c>
      <c r="EH161" t="s">
        <v>346</v>
      </c>
      <c r="EI161" s="11">
        <v>0.03</v>
      </c>
      <c r="EJ161" s="9" t="str">
        <f>_xll.SNL.Clients.Office.Excel.Functions.SPG(EG161, "SP_COUNTRY_NAME")</f>
        <v>South Africa</v>
      </c>
      <c r="EO161" s="9" t="str">
        <f>_xll.SNL.Clients.Office.Excel.Functions.SPG(EL161, "SP_COUNTRY_NAME")</f>
        <v>#INVALID COMPANY ID</v>
      </c>
      <c r="ET161" s="9" t="str">
        <f>_xll.SNL.Clients.Office.Excel.Functions.SPG(EQ161, "SP_COUNTRY_NAME")</f>
        <v>#INVALID COMPANY ID</v>
      </c>
      <c r="EY161" s="9" t="str">
        <f>_xll.SNL.Clients.Office.Excel.Functions.SPG(EV161, "SP_COUNTRY_NAME")</f>
        <v>#INVALID COMPANY ID</v>
      </c>
      <c r="FD161" s="9" t="str">
        <f>_xll.SNL.Clients.Office.Excel.Functions.SPG(FA161, "SP_COUNTRY_NAME")</f>
        <v>#INVALID COMPANY ID</v>
      </c>
      <c r="FI161" s="9" t="str">
        <f>_xll.SNL.Clients.Office.Excel.Functions.SPG(FF161, "SP_COUNTRY_NAME")</f>
        <v>#INVALID COMPANY ID</v>
      </c>
      <c r="FN161" s="9" t="str">
        <f>_xll.SNL.Clients.Office.Excel.Functions.SPG(FK161, "SP_COUNTRY_NAME")</f>
        <v>#INVALID COMPANY ID</v>
      </c>
      <c r="FS161" s="9" t="str">
        <f>_xll.SNL.Clients.Office.Excel.Functions.SPG(FP161, "SP_COUNTRY_NAME")</f>
        <v>#INVALID COMPANY ID</v>
      </c>
      <c r="FX161" s="9" t="str">
        <f>_xll.SNL.Clients.Office.Excel.Functions.SPG(FU161, "SP_COUNTRY_NAME")</f>
        <v>#INVALID COMPANY ID</v>
      </c>
      <c r="FY161" t="s">
        <v>1294</v>
      </c>
      <c r="FZ161">
        <v>4138986</v>
      </c>
      <c r="GA161" t="s">
        <v>346</v>
      </c>
      <c r="GB161" s="11">
        <v>0.03</v>
      </c>
      <c r="GC161" s="9" t="str">
        <f>_xll.SNL.Clients.Office.Excel.Functions.SPG(FZ161, "SP_COUNTRY_NAME")</f>
        <v>South Africa</v>
      </c>
      <c r="GH161" s="9" t="str">
        <f>_xll.SNL.Clients.Office.Excel.Functions.SPG(GE161, "SP_COUNTRY_NAME")</f>
        <v>#INVALID COMPANY ID</v>
      </c>
      <c r="GM161" s="9" t="str">
        <f>_xll.SNL.Clients.Office.Excel.Functions.SPG(GJ161, "SP_COUNTRY_NAME")</f>
        <v>#INVALID COMPANY ID</v>
      </c>
      <c r="GR161" s="9" t="str">
        <f>_xll.SNL.Clients.Office.Excel.Functions.SPG(GO161, "SP_COUNTRY_NAME")</f>
        <v>#INVALID COMPANY ID</v>
      </c>
      <c r="GS161" t="s">
        <v>398</v>
      </c>
      <c r="GT161">
        <v>4107954</v>
      </c>
      <c r="GU161" t="s">
        <v>300</v>
      </c>
      <c r="GV161" s="11">
        <v>0.01</v>
      </c>
      <c r="GW161" s="9" t="str">
        <f>_xll.SNL.Clients.Office.Excel.Functions.SPG(GT161, "SP_COUNTRY_NAME")</f>
        <v>Japan</v>
      </c>
      <c r="GX161" t="s">
        <v>657</v>
      </c>
      <c r="GY161">
        <v>5851513</v>
      </c>
      <c r="GZ161" t="s">
        <v>346</v>
      </c>
      <c r="HA161" s="11">
        <v>0.02</v>
      </c>
      <c r="HB161" s="9" t="str">
        <f>_xll.SNL.Clients.Office.Excel.Functions.SPG(GY161, "SP_COUNTRY_NAME")</f>
        <v>Canada</v>
      </c>
      <c r="HG161" s="9" t="str">
        <f>_xll.SNL.Clients.Office.Excel.Functions.SPG(HD161, "SP_COUNTRY_NAME")</f>
        <v>#INVALID COMPANY ID</v>
      </c>
    </row>
    <row r="162" spans="5:215" x14ac:dyDescent="0.35">
      <c r="E162" s="9" t="str">
        <f>_xll.SNL.Clients.Office.Excel.Functions.SPG(B162, "SP_COUNTRY_NAME")</f>
        <v>#INVALID COMPANY ID</v>
      </c>
      <c r="F162" t="s">
        <v>549</v>
      </c>
      <c r="G162">
        <v>4556203</v>
      </c>
      <c r="H162" t="s">
        <v>346</v>
      </c>
      <c r="I162" s="11">
        <v>0</v>
      </c>
      <c r="J162" s="9" t="str">
        <f>_xll.SNL.Clients.Office.Excel.Functions.SPG(G162, "SP_COUNTRY_NAME")</f>
        <v>USA</v>
      </c>
      <c r="O162" s="9" t="str">
        <f>_xll.SNL.Clients.Office.Excel.Functions.SPG(L162, "SP_COUNTRY_NAME")</f>
        <v>#INVALID COMPANY ID</v>
      </c>
      <c r="T162" s="9" t="str">
        <f>_xll.SNL.Clients.Office.Excel.Functions.SPG(Q162, "SP_COUNTRY_NAME")</f>
        <v>#INVALID COMPANY ID</v>
      </c>
      <c r="U162" t="s">
        <v>529</v>
      </c>
      <c r="V162">
        <v>110570</v>
      </c>
      <c r="W162" t="s">
        <v>346</v>
      </c>
      <c r="X162" s="11">
        <v>0.01</v>
      </c>
      <c r="Y162" s="9" t="str">
        <f>_xll.SNL.Clients.Office.Excel.Functions.SPG(V162, "SP_COUNTRY_NAME")</f>
        <v>USA</v>
      </c>
      <c r="AD162" s="9" t="str">
        <f>_xll.SNL.Clients.Office.Excel.Functions.SPG(AA162, "SP_COUNTRY_NAME")</f>
        <v>#INVALID COMPANY ID</v>
      </c>
      <c r="AE162" t="s">
        <v>483</v>
      </c>
      <c r="AF162">
        <v>109763</v>
      </c>
      <c r="AG162" t="s">
        <v>346</v>
      </c>
      <c r="AH162" s="11">
        <v>0</v>
      </c>
      <c r="AI162" s="9" t="str">
        <f>_xll.SNL.Clients.Office.Excel.Functions.SPG(AF162, "SP_COUNTRY_NAME")</f>
        <v>USA</v>
      </c>
      <c r="AN162" s="9" t="str">
        <f>_xll.SNL.Clients.Office.Excel.Functions.SPG(AK162, "SP_COUNTRY_NAME")</f>
        <v>#INVALID COMPANY ID</v>
      </c>
      <c r="AO162" t="s">
        <v>1312</v>
      </c>
      <c r="AP162">
        <v>7944855</v>
      </c>
      <c r="AQ162" t="s">
        <v>346</v>
      </c>
      <c r="AR162" s="11">
        <v>0.01</v>
      </c>
      <c r="AS162" s="9" t="str">
        <f>_xll.SNL.Clients.Office.Excel.Functions.SPG(AP162, "SP_COUNTRY_NAME")</f>
        <v>South Africa</v>
      </c>
      <c r="AX162" s="9" t="str">
        <f>_xll.SNL.Clients.Office.Excel.Functions.SPG(AU162, "SP_COUNTRY_NAME")</f>
        <v>#INVALID COMPANY ID</v>
      </c>
      <c r="BC162" s="9" t="str">
        <f>_xll.SNL.Clients.Office.Excel.Functions.SPG(AZ162, "SP_COUNTRY_NAME")</f>
        <v>#INVALID COMPANY ID</v>
      </c>
      <c r="BD162" t="s">
        <v>603</v>
      </c>
      <c r="BE162">
        <v>110641</v>
      </c>
      <c r="BF162" t="s">
        <v>346</v>
      </c>
      <c r="BG162" s="11">
        <v>0.03</v>
      </c>
      <c r="BH162" s="9" t="str">
        <f>_xll.SNL.Clients.Office.Excel.Functions.SPG(BE162, "SP_COUNTRY_NAME")</f>
        <v>USA</v>
      </c>
      <c r="BI162" t="s">
        <v>1092</v>
      </c>
      <c r="BJ162">
        <v>27584974</v>
      </c>
      <c r="BK162" t="s">
        <v>346</v>
      </c>
      <c r="BL162" s="11">
        <v>0</v>
      </c>
      <c r="BM162" s="9" t="str">
        <f>_xll.SNL.Clients.Office.Excel.Functions.SPG(BJ162, "SP_COUNTRY_NAME")</f>
        <v>Canada</v>
      </c>
      <c r="BN162" t="s">
        <v>509</v>
      </c>
      <c r="BO162">
        <v>4226520</v>
      </c>
      <c r="BP162" t="s">
        <v>346</v>
      </c>
      <c r="BQ162" s="11">
        <v>0.01</v>
      </c>
      <c r="BR162" s="9" t="str">
        <f>_xll.SNL.Clients.Office.Excel.Functions.SPG(BO162, "SP_COUNTRY_NAME")</f>
        <v>Canada</v>
      </c>
      <c r="BS162" t="s">
        <v>530</v>
      </c>
      <c r="BT162">
        <v>102729</v>
      </c>
      <c r="BU162" t="s">
        <v>346</v>
      </c>
      <c r="BV162" s="11">
        <v>0.02</v>
      </c>
      <c r="BW162" s="9" t="str">
        <f>_xll.SNL.Clients.Office.Excel.Functions.SPG(BT162, "SP_COUNTRY_NAME")</f>
        <v>USA</v>
      </c>
      <c r="BX162" t="s">
        <v>529</v>
      </c>
      <c r="BY162">
        <v>110570</v>
      </c>
      <c r="BZ162" t="s">
        <v>346</v>
      </c>
      <c r="CA162" s="11">
        <v>0.01</v>
      </c>
      <c r="CB162" s="9" t="str">
        <f>_xll.SNL.Clients.Office.Excel.Functions.SPG(BY162, "SP_COUNTRY_NAME")</f>
        <v>USA</v>
      </c>
      <c r="CC162" t="s">
        <v>526</v>
      </c>
      <c r="CD162">
        <v>4248288</v>
      </c>
      <c r="CE162" t="s">
        <v>346</v>
      </c>
      <c r="CF162" s="11">
        <v>0.02</v>
      </c>
      <c r="CG162" s="9" t="str">
        <f>_xll.SNL.Clients.Office.Excel.Functions.SPG(CD162, "SP_COUNTRY_NAME")</f>
        <v>Canada</v>
      </c>
      <c r="CH162" t="s">
        <v>1312</v>
      </c>
      <c r="CI162">
        <v>7944855</v>
      </c>
      <c r="CJ162" t="s">
        <v>346</v>
      </c>
      <c r="CK162" s="11">
        <v>0.01</v>
      </c>
      <c r="CL162" s="9" t="str">
        <f>_xll.SNL.Clients.Office.Excel.Functions.SPG(CI162, "SP_COUNTRY_NAME")</f>
        <v>South Africa</v>
      </c>
      <c r="CM162" t="s">
        <v>936</v>
      </c>
      <c r="CN162">
        <v>100369</v>
      </c>
      <c r="CO162" t="s">
        <v>366</v>
      </c>
      <c r="CP162" s="11">
        <v>0.02</v>
      </c>
      <c r="CQ162" s="9" t="str">
        <f>_xll.SNL.Clients.Office.Excel.Functions.SPG(CN162, "SP_COUNTRY_NAME")</f>
        <v>USA</v>
      </c>
      <c r="CV162" s="9" t="str">
        <f>_xll.SNL.Clients.Office.Excel.Functions.SPG(CS162, "SP_COUNTRY_NAME")</f>
        <v>#INVALID COMPANY ID</v>
      </c>
      <c r="DA162" s="9" t="str">
        <f>_xll.SNL.Clients.Office.Excel.Functions.SPG(CX162, "SP_COUNTRY_NAME")</f>
        <v>#INVALID COMPANY ID</v>
      </c>
      <c r="DB162" t="s">
        <v>603</v>
      </c>
      <c r="DC162">
        <v>110641</v>
      </c>
      <c r="DD162" t="s">
        <v>346</v>
      </c>
      <c r="DE162" s="11">
        <v>0.03</v>
      </c>
      <c r="DF162" s="9" t="str">
        <f>_xll.SNL.Clients.Office.Excel.Functions.SPG(DC162, "SP_COUNTRY_NAME")</f>
        <v>USA</v>
      </c>
      <c r="DK162" s="9" t="str">
        <f>_xll.SNL.Clients.Office.Excel.Functions.SPG(DH162, "SP_COUNTRY_NAME")</f>
        <v>#INVALID COMPANY ID</v>
      </c>
      <c r="DL162" t="s">
        <v>603</v>
      </c>
      <c r="DM162">
        <v>110641</v>
      </c>
      <c r="DN162" t="s">
        <v>346</v>
      </c>
      <c r="DO162" s="11">
        <v>0.03</v>
      </c>
      <c r="DP162" s="9" t="str">
        <f>_xll.SNL.Clients.Office.Excel.Functions.SPG(DM162, "SP_COUNTRY_NAME")</f>
        <v>USA</v>
      </c>
      <c r="DU162" s="9" t="str">
        <f>_xll.SNL.Clients.Office.Excel.Functions.SPG(DR162, "SP_COUNTRY_NAME")</f>
        <v>#INVALID COMPANY ID</v>
      </c>
      <c r="DZ162" s="9" t="str">
        <f>_xll.SNL.Clients.Office.Excel.Functions.SPG(DW162, "SP_COUNTRY_NAME")</f>
        <v>#INVALID COMPANY ID</v>
      </c>
      <c r="EA162" t="s">
        <v>526</v>
      </c>
      <c r="EB162">
        <v>4248288</v>
      </c>
      <c r="EC162" t="s">
        <v>346</v>
      </c>
      <c r="ED162" s="11">
        <v>0.02</v>
      </c>
      <c r="EE162" s="9" t="str">
        <f>_xll.SNL.Clients.Office.Excel.Functions.SPG(EB162, "SP_COUNTRY_NAME")</f>
        <v>Canada</v>
      </c>
      <c r="EF162" t="s">
        <v>603</v>
      </c>
      <c r="EG162">
        <v>110641</v>
      </c>
      <c r="EH162" t="s">
        <v>346</v>
      </c>
      <c r="EI162" s="11">
        <v>0.03</v>
      </c>
      <c r="EJ162" s="9" t="str">
        <f>_xll.SNL.Clients.Office.Excel.Functions.SPG(EG162, "SP_COUNTRY_NAME")</f>
        <v>USA</v>
      </c>
      <c r="EO162" s="9" t="str">
        <f>_xll.SNL.Clients.Office.Excel.Functions.SPG(EL162, "SP_COUNTRY_NAME")</f>
        <v>#INVALID COMPANY ID</v>
      </c>
      <c r="ET162" s="9" t="str">
        <f>_xll.SNL.Clients.Office.Excel.Functions.SPG(EQ162, "SP_COUNTRY_NAME")</f>
        <v>#INVALID COMPANY ID</v>
      </c>
      <c r="EY162" s="9" t="str">
        <f>_xll.SNL.Clients.Office.Excel.Functions.SPG(EV162, "SP_COUNTRY_NAME")</f>
        <v>#INVALID COMPANY ID</v>
      </c>
      <c r="FD162" s="9" t="str">
        <f>_xll.SNL.Clients.Office.Excel.Functions.SPG(FA162, "SP_COUNTRY_NAME")</f>
        <v>#INVALID COMPANY ID</v>
      </c>
      <c r="FI162" s="9" t="str">
        <f>_xll.SNL.Clients.Office.Excel.Functions.SPG(FF162, "SP_COUNTRY_NAME")</f>
        <v>#INVALID COMPANY ID</v>
      </c>
      <c r="FN162" s="9" t="str">
        <f>_xll.SNL.Clients.Office.Excel.Functions.SPG(FK162, "SP_COUNTRY_NAME")</f>
        <v>#INVALID COMPANY ID</v>
      </c>
      <c r="FS162" s="9" t="str">
        <f>_xll.SNL.Clients.Office.Excel.Functions.SPG(FP162, "SP_COUNTRY_NAME")</f>
        <v>#INVALID COMPANY ID</v>
      </c>
      <c r="FX162" s="9" t="str">
        <f>_xll.SNL.Clients.Office.Excel.Functions.SPG(FU162, "SP_COUNTRY_NAME")</f>
        <v>#INVALID COMPANY ID</v>
      </c>
      <c r="FY162" t="s">
        <v>603</v>
      </c>
      <c r="FZ162">
        <v>110641</v>
      </c>
      <c r="GA162" t="s">
        <v>346</v>
      </c>
      <c r="GB162" s="11">
        <v>0.03</v>
      </c>
      <c r="GC162" s="9" t="str">
        <f>_xll.SNL.Clients.Office.Excel.Functions.SPG(FZ162, "SP_COUNTRY_NAME")</f>
        <v>USA</v>
      </c>
      <c r="GH162" s="9" t="str">
        <f>_xll.SNL.Clients.Office.Excel.Functions.SPG(GE162, "SP_COUNTRY_NAME")</f>
        <v>#INVALID COMPANY ID</v>
      </c>
      <c r="GM162" s="9" t="str">
        <f>_xll.SNL.Clients.Office.Excel.Functions.SPG(GJ162, "SP_COUNTRY_NAME")</f>
        <v>#INVALID COMPANY ID</v>
      </c>
      <c r="GR162" s="9" t="str">
        <f>_xll.SNL.Clients.Office.Excel.Functions.SPG(GO162, "SP_COUNTRY_NAME")</f>
        <v>#INVALID COMPANY ID</v>
      </c>
      <c r="GS162" t="s">
        <v>509</v>
      </c>
      <c r="GT162">
        <v>4226520</v>
      </c>
      <c r="GU162" t="s">
        <v>346</v>
      </c>
      <c r="GV162" s="11">
        <v>0.01</v>
      </c>
      <c r="GW162" s="9" t="str">
        <f>_xll.SNL.Clients.Office.Excel.Functions.SPG(GT162, "SP_COUNTRY_NAME")</f>
        <v>Canada</v>
      </c>
      <c r="GX162" t="s">
        <v>526</v>
      </c>
      <c r="GY162">
        <v>4248288</v>
      </c>
      <c r="GZ162" t="s">
        <v>346</v>
      </c>
      <c r="HA162" s="11">
        <v>0.02</v>
      </c>
      <c r="HB162" s="9" t="str">
        <f>_xll.SNL.Clients.Office.Excel.Functions.SPG(GY162, "SP_COUNTRY_NAME")</f>
        <v>Canada</v>
      </c>
      <c r="HG162" s="9" t="str">
        <f>_xll.SNL.Clients.Office.Excel.Functions.SPG(HD162, "SP_COUNTRY_NAME")</f>
        <v>#INVALID COMPANY ID</v>
      </c>
    </row>
    <row r="163" spans="5:215" x14ac:dyDescent="0.35">
      <c r="E163" s="9" t="str">
        <f>_xll.SNL.Clients.Office.Excel.Functions.SPG(B163, "SP_COUNTRY_NAME")</f>
        <v>#INVALID COMPANY ID</v>
      </c>
      <c r="F163" t="s">
        <v>550</v>
      </c>
      <c r="G163">
        <v>4138393</v>
      </c>
      <c r="H163" t="s">
        <v>346</v>
      </c>
      <c r="I163" s="11">
        <v>0</v>
      </c>
      <c r="J163" s="9" t="str">
        <f>_xll.SNL.Clients.Office.Excel.Functions.SPG(G163, "SP_COUNTRY_NAME")</f>
        <v>Spain</v>
      </c>
      <c r="O163" s="9" t="str">
        <f>_xll.SNL.Clients.Office.Excel.Functions.SPG(L163, "SP_COUNTRY_NAME")</f>
        <v>#INVALID COMPANY ID</v>
      </c>
      <c r="T163" s="9" t="str">
        <f>_xll.SNL.Clients.Office.Excel.Functions.SPG(Q163, "SP_COUNTRY_NAME")</f>
        <v>#INVALID COMPANY ID</v>
      </c>
      <c r="U163" t="s">
        <v>488</v>
      </c>
      <c r="V163">
        <v>4087052</v>
      </c>
      <c r="W163" t="s">
        <v>346</v>
      </c>
      <c r="X163" s="11">
        <v>0.01</v>
      </c>
      <c r="Y163" s="9" t="str">
        <f>_xll.SNL.Clients.Office.Excel.Functions.SPG(V163, "SP_COUNTRY_NAME")</f>
        <v>USA</v>
      </c>
      <c r="AD163" s="9" t="str">
        <f>_xll.SNL.Clients.Office.Excel.Functions.SPG(AA163, "SP_COUNTRY_NAME")</f>
        <v>#INVALID COMPANY ID</v>
      </c>
      <c r="AE163" t="s">
        <v>880</v>
      </c>
      <c r="AF163">
        <v>4139864</v>
      </c>
      <c r="AG163" t="s">
        <v>346</v>
      </c>
      <c r="AH163" s="11">
        <v>0</v>
      </c>
      <c r="AI163" s="9" t="str">
        <f>_xll.SNL.Clients.Office.Excel.Functions.SPG(AF163, "SP_COUNTRY_NAME")</f>
        <v>United Kingdom</v>
      </c>
      <c r="AN163" s="9" t="str">
        <f>_xll.SNL.Clients.Office.Excel.Functions.SPG(AK163, "SP_COUNTRY_NAME")</f>
        <v>#INVALID COMPANY ID</v>
      </c>
      <c r="AO163" t="s">
        <v>1313</v>
      </c>
      <c r="AP163">
        <v>5777655</v>
      </c>
      <c r="AQ163" t="s">
        <v>346</v>
      </c>
      <c r="AR163" s="11">
        <v>0.01</v>
      </c>
      <c r="AS163" s="9" t="str">
        <f>_xll.SNL.Clients.Office.Excel.Functions.SPG(AP163, "SP_COUNTRY_NAME")</f>
        <v>South Africa</v>
      </c>
      <c r="AX163" s="9" t="str">
        <f>_xll.SNL.Clients.Office.Excel.Functions.SPG(AU163, "SP_COUNTRY_NAME")</f>
        <v>#INVALID COMPANY ID</v>
      </c>
      <c r="BC163" s="9" t="str">
        <f>_xll.SNL.Clients.Office.Excel.Functions.SPG(AZ163, "SP_COUNTRY_NAME")</f>
        <v>#INVALID COMPANY ID</v>
      </c>
      <c r="BD163" t="s">
        <v>1444</v>
      </c>
      <c r="BE163">
        <v>4144847</v>
      </c>
      <c r="BF163" t="s">
        <v>346</v>
      </c>
      <c r="BG163" s="11">
        <v>0.03</v>
      </c>
      <c r="BH163" s="9" t="str">
        <f>_xll.SNL.Clients.Office.Excel.Functions.SPG(BE163, "SP_COUNTRY_NAME")</f>
        <v>Sweden</v>
      </c>
      <c r="BI163" t="s">
        <v>508</v>
      </c>
      <c r="BJ163">
        <v>4399282</v>
      </c>
      <c r="BK163" t="s">
        <v>346</v>
      </c>
      <c r="BL163" s="11">
        <v>0</v>
      </c>
      <c r="BM163" s="9" t="str">
        <f>_xll.SNL.Clients.Office.Excel.Functions.SPG(BJ163, "SP_COUNTRY_NAME")</f>
        <v>Canada</v>
      </c>
      <c r="BN163" t="s">
        <v>772</v>
      </c>
      <c r="BO163">
        <v>4137684</v>
      </c>
      <c r="BP163" t="s">
        <v>300</v>
      </c>
      <c r="BQ163" s="11">
        <v>0.01</v>
      </c>
      <c r="BR163" s="9" t="str">
        <f>_xll.SNL.Clients.Office.Excel.Functions.SPG(BO163, "SP_COUNTRY_NAME")</f>
        <v>China</v>
      </c>
      <c r="BS163" t="s">
        <v>753</v>
      </c>
      <c r="BT163">
        <v>10499632</v>
      </c>
      <c r="BU163" t="s">
        <v>363</v>
      </c>
      <c r="BV163" s="11">
        <v>0.02</v>
      </c>
      <c r="BW163" s="9" t="str">
        <f>_xll.SNL.Clients.Office.Excel.Functions.SPG(BT163, "SP_COUNTRY_NAME")</f>
        <v>United Kingdom</v>
      </c>
      <c r="BX163" t="s">
        <v>488</v>
      </c>
      <c r="BY163">
        <v>4087052</v>
      </c>
      <c r="BZ163" t="s">
        <v>346</v>
      </c>
      <c r="CA163" s="11">
        <v>0.01</v>
      </c>
      <c r="CB163" s="9" t="str">
        <f>_xll.SNL.Clients.Office.Excel.Functions.SPG(BY163, "SP_COUNTRY_NAME")</f>
        <v>USA</v>
      </c>
      <c r="CC163" t="s">
        <v>1668</v>
      </c>
      <c r="CD163">
        <v>19400125</v>
      </c>
      <c r="CE163" t="s">
        <v>346</v>
      </c>
      <c r="CF163" s="11">
        <v>0.02</v>
      </c>
      <c r="CG163" s="9" t="str">
        <f>_xll.SNL.Clients.Office.Excel.Functions.SPG(CD163, "SP_COUNTRY_NAME")</f>
        <v>Singapore</v>
      </c>
      <c r="CH163" t="s">
        <v>1313</v>
      </c>
      <c r="CI163">
        <v>5777655</v>
      </c>
      <c r="CJ163" t="s">
        <v>346</v>
      </c>
      <c r="CK163" s="11">
        <v>0.01</v>
      </c>
      <c r="CL163" s="9" t="str">
        <f>_xll.SNL.Clients.Office.Excel.Functions.SPG(CI163, "SP_COUNTRY_NAME")</f>
        <v>South Africa</v>
      </c>
      <c r="CM163" t="s">
        <v>1981</v>
      </c>
      <c r="CN163">
        <v>4253287</v>
      </c>
      <c r="CO163" t="s">
        <v>366</v>
      </c>
      <c r="CP163" s="11">
        <v>0.02</v>
      </c>
      <c r="CQ163" s="9" t="str">
        <f>_xll.SNL.Clients.Office.Excel.Functions.SPG(CN163, "SP_COUNTRY_NAME")</f>
        <v>USA</v>
      </c>
      <c r="CV163" s="9" t="str">
        <f>_xll.SNL.Clients.Office.Excel.Functions.SPG(CS163, "SP_COUNTRY_NAME")</f>
        <v>#INVALID COMPANY ID</v>
      </c>
      <c r="DA163" s="9" t="str">
        <f>_xll.SNL.Clients.Office.Excel.Functions.SPG(CX163, "SP_COUNTRY_NAME")</f>
        <v>#INVALID COMPANY ID</v>
      </c>
      <c r="DB163" t="s">
        <v>1444</v>
      </c>
      <c r="DC163">
        <v>4144847</v>
      </c>
      <c r="DD163" t="s">
        <v>346</v>
      </c>
      <c r="DE163" s="11">
        <v>0.03</v>
      </c>
      <c r="DF163" s="9" t="str">
        <f>_xll.SNL.Clients.Office.Excel.Functions.SPG(DC163, "SP_COUNTRY_NAME")</f>
        <v>Sweden</v>
      </c>
      <c r="DK163" s="9" t="str">
        <f>_xll.SNL.Clients.Office.Excel.Functions.SPG(DH163, "SP_COUNTRY_NAME")</f>
        <v>#INVALID COMPANY ID</v>
      </c>
      <c r="DL163" t="s">
        <v>1444</v>
      </c>
      <c r="DM163">
        <v>4144847</v>
      </c>
      <c r="DN163" t="s">
        <v>346</v>
      </c>
      <c r="DO163" s="11">
        <v>0.03</v>
      </c>
      <c r="DP163" s="9" t="str">
        <f>_xll.SNL.Clients.Office.Excel.Functions.SPG(DM163, "SP_COUNTRY_NAME")</f>
        <v>Sweden</v>
      </c>
      <c r="DU163" s="9" t="str">
        <f>_xll.SNL.Clients.Office.Excel.Functions.SPG(DR163, "SP_COUNTRY_NAME")</f>
        <v>#INVALID COMPANY ID</v>
      </c>
      <c r="DZ163" s="9" t="str">
        <f>_xll.SNL.Clients.Office.Excel.Functions.SPG(DW163, "SP_COUNTRY_NAME")</f>
        <v>#INVALID COMPANY ID</v>
      </c>
      <c r="EA163" t="s">
        <v>1668</v>
      </c>
      <c r="EB163">
        <v>19400125</v>
      </c>
      <c r="EC163" t="s">
        <v>346</v>
      </c>
      <c r="ED163" s="11">
        <v>0.02</v>
      </c>
      <c r="EE163" s="9" t="str">
        <f>_xll.SNL.Clients.Office.Excel.Functions.SPG(EB163, "SP_COUNTRY_NAME")</f>
        <v>Singapore</v>
      </c>
      <c r="EF163" t="s">
        <v>1444</v>
      </c>
      <c r="EG163">
        <v>4144847</v>
      </c>
      <c r="EH163" t="s">
        <v>346</v>
      </c>
      <c r="EI163" s="11">
        <v>0.03</v>
      </c>
      <c r="EJ163" s="9" t="str">
        <f>_xll.SNL.Clients.Office.Excel.Functions.SPG(EG163, "SP_COUNTRY_NAME")</f>
        <v>Sweden</v>
      </c>
      <c r="EO163" s="9" t="str">
        <f>_xll.SNL.Clients.Office.Excel.Functions.SPG(EL163, "SP_COUNTRY_NAME")</f>
        <v>#INVALID COMPANY ID</v>
      </c>
      <c r="ET163" s="9" t="str">
        <f>_xll.SNL.Clients.Office.Excel.Functions.SPG(EQ163, "SP_COUNTRY_NAME")</f>
        <v>#INVALID COMPANY ID</v>
      </c>
      <c r="EY163" s="9" t="str">
        <f>_xll.SNL.Clients.Office.Excel.Functions.SPG(EV163, "SP_COUNTRY_NAME")</f>
        <v>#INVALID COMPANY ID</v>
      </c>
      <c r="FD163" s="9" t="str">
        <f>_xll.SNL.Clients.Office.Excel.Functions.SPG(FA163, "SP_COUNTRY_NAME")</f>
        <v>#INVALID COMPANY ID</v>
      </c>
      <c r="FI163" s="9" t="str">
        <f>_xll.SNL.Clients.Office.Excel.Functions.SPG(FF163, "SP_COUNTRY_NAME")</f>
        <v>#INVALID COMPANY ID</v>
      </c>
      <c r="FN163" s="9" t="str">
        <f>_xll.SNL.Clients.Office.Excel.Functions.SPG(FK163, "SP_COUNTRY_NAME")</f>
        <v>#INVALID COMPANY ID</v>
      </c>
      <c r="FS163" s="9" t="str">
        <f>_xll.SNL.Clients.Office.Excel.Functions.SPG(FP163, "SP_COUNTRY_NAME")</f>
        <v>#INVALID COMPANY ID</v>
      </c>
      <c r="FX163" s="9" t="str">
        <f>_xll.SNL.Clients.Office.Excel.Functions.SPG(FU163, "SP_COUNTRY_NAME")</f>
        <v>#INVALID COMPANY ID</v>
      </c>
      <c r="FY163" t="s">
        <v>1444</v>
      </c>
      <c r="FZ163">
        <v>4144847</v>
      </c>
      <c r="GA163" t="s">
        <v>346</v>
      </c>
      <c r="GB163" s="11">
        <v>0.03</v>
      </c>
      <c r="GC163" s="9" t="str">
        <f>_xll.SNL.Clients.Office.Excel.Functions.SPG(FZ163, "SP_COUNTRY_NAME")</f>
        <v>Sweden</v>
      </c>
      <c r="GH163" s="9" t="str">
        <f>_xll.SNL.Clients.Office.Excel.Functions.SPG(GE163, "SP_COUNTRY_NAME")</f>
        <v>#INVALID COMPANY ID</v>
      </c>
      <c r="GM163" s="9" t="str">
        <f>_xll.SNL.Clients.Office.Excel.Functions.SPG(GJ163, "SP_COUNTRY_NAME")</f>
        <v>#INVALID COMPANY ID</v>
      </c>
      <c r="GR163" s="9" t="str">
        <f>_xll.SNL.Clients.Office.Excel.Functions.SPG(GO163, "SP_COUNTRY_NAME")</f>
        <v>#INVALID COMPANY ID</v>
      </c>
      <c r="GS163" t="s">
        <v>772</v>
      </c>
      <c r="GT163">
        <v>4137684</v>
      </c>
      <c r="GU163" t="s">
        <v>300</v>
      </c>
      <c r="GV163" s="11">
        <v>0.01</v>
      </c>
      <c r="GW163" s="9" t="str">
        <f>_xll.SNL.Clients.Office.Excel.Functions.SPG(GT163, "SP_COUNTRY_NAME")</f>
        <v>China</v>
      </c>
      <c r="GX163" t="s">
        <v>1668</v>
      </c>
      <c r="GY163">
        <v>19400125</v>
      </c>
      <c r="GZ163" t="s">
        <v>346</v>
      </c>
      <c r="HA163" s="11">
        <v>0.02</v>
      </c>
      <c r="HB163" s="9" t="str">
        <f>_xll.SNL.Clients.Office.Excel.Functions.SPG(GY163, "SP_COUNTRY_NAME")</f>
        <v>Singapore</v>
      </c>
      <c r="HG163" s="9" t="str">
        <f>_xll.SNL.Clients.Office.Excel.Functions.SPG(HD163, "SP_COUNTRY_NAME")</f>
        <v>#INVALID COMPANY ID</v>
      </c>
    </row>
    <row r="164" spans="5:215" x14ac:dyDescent="0.35">
      <c r="E164" s="9" t="str">
        <f>_xll.SNL.Clients.Office.Excel.Functions.SPG(B164, "SP_COUNTRY_NAME")</f>
        <v>#INVALID COMPANY ID</v>
      </c>
      <c r="F164" t="s">
        <v>551</v>
      </c>
      <c r="G164">
        <v>4137681</v>
      </c>
      <c r="H164" t="s">
        <v>346</v>
      </c>
      <c r="I164" s="11">
        <v>0</v>
      </c>
      <c r="J164" s="9" t="str">
        <f>_xll.SNL.Clients.Office.Excel.Functions.SPG(G164, "SP_COUNTRY_NAME")</f>
        <v>China</v>
      </c>
      <c r="O164" s="9" t="str">
        <f>_xll.SNL.Clients.Office.Excel.Functions.SPG(L164, "SP_COUNTRY_NAME")</f>
        <v>#INVALID COMPANY ID</v>
      </c>
      <c r="T164" s="9" t="str">
        <f>_xll.SNL.Clients.Office.Excel.Functions.SPG(Q164, "SP_COUNTRY_NAME")</f>
        <v>#INVALID COMPANY ID</v>
      </c>
      <c r="U164" t="s">
        <v>768</v>
      </c>
      <c r="V164" t="s">
        <v>300</v>
      </c>
      <c r="W164" t="s">
        <v>361</v>
      </c>
      <c r="X164" s="11">
        <v>0.01</v>
      </c>
      <c r="Y164" s="9" t="str">
        <f>_xll.SNL.Clients.Office.Excel.Functions.SPG(V164, "SP_COUNTRY_NAME")</f>
        <v>China</v>
      </c>
      <c r="AD164" s="9" t="str">
        <f>_xll.SNL.Clients.Office.Excel.Functions.SPG(AA164, "SP_COUNTRY_NAME")</f>
        <v>#INVALID COMPANY ID</v>
      </c>
      <c r="AE164" t="s">
        <v>549</v>
      </c>
      <c r="AF164">
        <v>4556203</v>
      </c>
      <c r="AG164" t="s">
        <v>346</v>
      </c>
      <c r="AH164" s="11">
        <v>0</v>
      </c>
      <c r="AI164" s="9" t="str">
        <f>_xll.SNL.Clients.Office.Excel.Functions.SPG(AF164, "SP_COUNTRY_NAME")</f>
        <v>USA</v>
      </c>
      <c r="AN164" s="9" t="str">
        <f>_xll.SNL.Clients.Office.Excel.Functions.SPG(AK164, "SP_COUNTRY_NAME")</f>
        <v>#INVALID COMPANY ID</v>
      </c>
      <c r="AO164" t="s">
        <v>1314</v>
      </c>
      <c r="AP164">
        <v>105607411</v>
      </c>
      <c r="AQ164" t="s">
        <v>346</v>
      </c>
      <c r="AR164" s="11">
        <v>0.01</v>
      </c>
      <c r="AS164" s="9" t="str">
        <f>_xll.SNL.Clients.Office.Excel.Functions.SPG(AP164, "SP_COUNTRY_NAME")</f>
        <v>South Africa</v>
      </c>
      <c r="AX164" s="9" t="str">
        <f>_xll.SNL.Clients.Office.Excel.Functions.SPG(AU164, "SP_COUNTRY_NAME")</f>
        <v>#INVALID COMPANY ID</v>
      </c>
      <c r="BC164" s="9" t="str">
        <f>_xll.SNL.Clients.Office.Excel.Functions.SPG(AZ164, "SP_COUNTRY_NAME")</f>
        <v>#INVALID COMPANY ID</v>
      </c>
      <c r="BD164" t="s">
        <v>1445</v>
      </c>
      <c r="BE164">
        <v>113830</v>
      </c>
      <c r="BF164" t="s">
        <v>346</v>
      </c>
      <c r="BG164" s="11">
        <v>0.03</v>
      </c>
      <c r="BH164" s="9" t="str">
        <f>_xll.SNL.Clients.Office.Excel.Functions.SPG(BE164, "SP_COUNTRY_NAME")</f>
        <v>Germany</v>
      </c>
      <c r="BI164" t="s">
        <v>1574</v>
      </c>
      <c r="BJ164">
        <v>4026908</v>
      </c>
      <c r="BK164" t="s">
        <v>346</v>
      </c>
      <c r="BL164" s="11">
        <v>0</v>
      </c>
      <c r="BM164" s="9" t="str">
        <f>_xll.SNL.Clients.Office.Excel.Functions.SPG(BJ164, "SP_COUNTRY_NAME")</f>
        <v>USA</v>
      </c>
      <c r="BN164" t="s">
        <v>444</v>
      </c>
      <c r="BO164">
        <v>109988</v>
      </c>
      <c r="BP164" t="s">
        <v>346</v>
      </c>
      <c r="BQ164" s="11">
        <v>0.01</v>
      </c>
      <c r="BR164" s="9" t="str">
        <f>_xll.SNL.Clients.Office.Excel.Functions.SPG(BO164, "SP_COUNTRY_NAME")</f>
        <v>USA</v>
      </c>
      <c r="BS164" t="s">
        <v>979</v>
      </c>
      <c r="BT164">
        <v>4041196</v>
      </c>
      <c r="BU164" t="s">
        <v>366</v>
      </c>
      <c r="BV164" s="11">
        <v>0.01</v>
      </c>
      <c r="BW164" s="9" t="str">
        <f>_xll.SNL.Clients.Office.Excel.Functions.SPG(BT164, "SP_COUNTRY_NAME")</f>
        <v>United Kingdom</v>
      </c>
      <c r="BX164" t="s">
        <v>768</v>
      </c>
      <c r="BY164" t="s">
        <v>300</v>
      </c>
      <c r="BZ164" t="s">
        <v>361</v>
      </c>
      <c r="CA164" s="11">
        <v>0.01</v>
      </c>
      <c r="CB164" s="9" t="str">
        <f>_xll.SNL.Clients.Office.Excel.Functions.SPG(BY164, "SP_COUNTRY_NAME")</f>
        <v>China</v>
      </c>
      <c r="CC164" t="s">
        <v>477</v>
      </c>
      <c r="CD164">
        <v>4119790</v>
      </c>
      <c r="CE164" t="s">
        <v>346</v>
      </c>
      <c r="CF164" s="11">
        <v>0.02</v>
      </c>
      <c r="CG164" s="9" t="str">
        <f>_xll.SNL.Clients.Office.Excel.Functions.SPG(CD164, "SP_COUNTRY_NAME")</f>
        <v>USA</v>
      </c>
      <c r="CH164" t="s">
        <v>1314</v>
      </c>
      <c r="CI164">
        <v>105607411</v>
      </c>
      <c r="CJ164" t="s">
        <v>346</v>
      </c>
      <c r="CK164" s="11">
        <v>0.01</v>
      </c>
      <c r="CL164" s="9" t="str">
        <f>_xll.SNL.Clients.Office.Excel.Functions.SPG(CI164, "SP_COUNTRY_NAME")</f>
        <v>South Africa</v>
      </c>
      <c r="CM164" t="s">
        <v>1274</v>
      </c>
      <c r="CN164">
        <v>25022507</v>
      </c>
      <c r="CO164" t="s">
        <v>346</v>
      </c>
      <c r="CP164" s="11">
        <v>0.02</v>
      </c>
      <c r="CQ164" s="9" t="str">
        <f>_xll.SNL.Clients.Office.Excel.Functions.SPG(CN164, "SP_COUNTRY_NAME")</f>
        <v>South Africa</v>
      </c>
      <c r="CV164" s="9" t="str">
        <f>_xll.SNL.Clients.Office.Excel.Functions.SPG(CS164, "SP_COUNTRY_NAME")</f>
        <v>#INVALID COMPANY ID</v>
      </c>
      <c r="DA164" s="9" t="str">
        <f>_xll.SNL.Clients.Office.Excel.Functions.SPG(CX164, "SP_COUNTRY_NAME")</f>
        <v>#INVALID COMPANY ID</v>
      </c>
      <c r="DB164" t="s">
        <v>1445</v>
      </c>
      <c r="DC164">
        <v>113830</v>
      </c>
      <c r="DD164" t="s">
        <v>346</v>
      </c>
      <c r="DE164" s="11">
        <v>0.03</v>
      </c>
      <c r="DF164" s="9" t="str">
        <f>_xll.SNL.Clients.Office.Excel.Functions.SPG(DC164, "SP_COUNTRY_NAME")</f>
        <v>Germany</v>
      </c>
      <c r="DK164" s="9" t="str">
        <f>_xll.SNL.Clients.Office.Excel.Functions.SPG(DH164, "SP_COUNTRY_NAME")</f>
        <v>#INVALID COMPANY ID</v>
      </c>
      <c r="DL164" t="s">
        <v>1445</v>
      </c>
      <c r="DM164">
        <v>113830</v>
      </c>
      <c r="DN164" t="s">
        <v>346</v>
      </c>
      <c r="DO164" s="11">
        <v>0.03</v>
      </c>
      <c r="DP164" s="9" t="str">
        <f>_xll.SNL.Clients.Office.Excel.Functions.SPG(DM164, "SP_COUNTRY_NAME")</f>
        <v>Germany</v>
      </c>
      <c r="DU164" s="9" t="str">
        <f>_xll.SNL.Clients.Office.Excel.Functions.SPG(DR164, "SP_COUNTRY_NAME")</f>
        <v>#INVALID COMPANY ID</v>
      </c>
      <c r="DZ164" s="9" t="str">
        <f>_xll.SNL.Clients.Office.Excel.Functions.SPG(DW164, "SP_COUNTRY_NAME")</f>
        <v>#INVALID COMPANY ID</v>
      </c>
      <c r="EA164" t="s">
        <v>477</v>
      </c>
      <c r="EB164">
        <v>4119790</v>
      </c>
      <c r="EC164" t="s">
        <v>346</v>
      </c>
      <c r="ED164" s="11">
        <v>0.02</v>
      </c>
      <c r="EE164" s="9" t="str">
        <f>_xll.SNL.Clients.Office.Excel.Functions.SPG(EB164, "SP_COUNTRY_NAME")</f>
        <v>USA</v>
      </c>
      <c r="EF164" t="s">
        <v>1445</v>
      </c>
      <c r="EG164">
        <v>113830</v>
      </c>
      <c r="EH164" t="s">
        <v>346</v>
      </c>
      <c r="EI164" s="11">
        <v>0.03</v>
      </c>
      <c r="EJ164" s="9" t="str">
        <f>_xll.SNL.Clients.Office.Excel.Functions.SPG(EG164, "SP_COUNTRY_NAME")</f>
        <v>Germany</v>
      </c>
      <c r="EO164" s="9" t="str">
        <f>_xll.SNL.Clients.Office.Excel.Functions.SPG(EL164, "SP_COUNTRY_NAME")</f>
        <v>#INVALID COMPANY ID</v>
      </c>
      <c r="ET164" s="9" t="str">
        <f>_xll.SNL.Clients.Office.Excel.Functions.SPG(EQ164, "SP_COUNTRY_NAME")</f>
        <v>#INVALID COMPANY ID</v>
      </c>
      <c r="EY164" s="9" t="str">
        <f>_xll.SNL.Clients.Office.Excel.Functions.SPG(EV164, "SP_COUNTRY_NAME")</f>
        <v>#INVALID COMPANY ID</v>
      </c>
      <c r="FD164" s="9" t="str">
        <f>_xll.SNL.Clients.Office.Excel.Functions.SPG(FA164, "SP_COUNTRY_NAME")</f>
        <v>#INVALID COMPANY ID</v>
      </c>
      <c r="FI164" s="9" t="str">
        <f>_xll.SNL.Clients.Office.Excel.Functions.SPG(FF164, "SP_COUNTRY_NAME")</f>
        <v>#INVALID COMPANY ID</v>
      </c>
      <c r="FN164" s="9" t="str">
        <f>_xll.SNL.Clients.Office.Excel.Functions.SPG(FK164, "SP_COUNTRY_NAME")</f>
        <v>#INVALID COMPANY ID</v>
      </c>
      <c r="FS164" s="9" t="str">
        <f>_xll.SNL.Clients.Office.Excel.Functions.SPG(FP164, "SP_COUNTRY_NAME")</f>
        <v>#INVALID COMPANY ID</v>
      </c>
      <c r="FX164" s="9" t="str">
        <f>_xll.SNL.Clients.Office.Excel.Functions.SPG(FU164, "SP_COUNTRY_NAME")</f>
        <v>#INVALID COMPANY ID</v>
      </c>
      <c r="FY164" t="s">
        <v>1445</v>
      </c>
      <c r="FZ164">
        <v>113830</v>
      </c>
      <c r="GA164" t="s">
        <v>346</v>
      </c>
      <c r="GB164" s="11">
        <v>0.03</v>
      </c>
      <c r="GC164" s="9" t="str">
        <f>_xll.SNL.Clients.Office.Excel.Functions.SPG(FZ164, "SP_COUNTRY_NAME")</f>
        <v>Germany</v>
      </c>
      <c r="GH164" s="9" t="str">
        <f>_xll.SNL.Clients.Office.Excel.Functions.SPG(GE164, "SP_COUNTRY_NAME")</f>
        <v>#INVALID COMPANY ID</v>
      </c>
      <c r="GM164" s="9" t="str">
        <f>_xll.SNL.Clients.Office.Excel.Functions.SPG(GJ164, "SP_COUNTRY_NAME")</f>
        <v>#INVALID COMPANY ID</v>
      </c>
      <c r="GR164" s="9" t="str">
        <f>_xll.SNL.Clients.Office.Excel.Functions.SPG(GO164, "SP_COUNTRY_NAME")</f>
        <v>#INVALID COMPANY ID</v>
      </c>
      <c r="GS164" t="s">
        <v>444</v>
      </c>
      <c r="GT164">
        <v>109988</v>
      </c>
      <c r="GU164" t="s">
        <v>346</v>
      </c>
      <c r="GV164" s="11">
        <v>0.01</v>
      </c>
      <c r="GW164" s="9" t="str">
        <f>_xll.SNL.Clients.Office.Excel.Functions.SPG(GT164, "SP_COUNTRY_NAME")</f>
        <v>USA</v>
      </c>
      <c r="GX164" t="s">
        <v>477</v>
      </c>
      <c r="GY164">
        <v>4119790</v>
      </c>
      <c r="GZ164" t="s">
        <v>346</v>
      </c>
      <c r="HA164" s="11">
        <v>0.02</v>
      </c>
      <c r="HB164" s="9" t="str">
        <f>_xll.SNL.Clients.Office.Excel.Functions.SPG(GY164, "SP_COUNTRY_NAME")</f>
        <v>USA</v>
      </c>
      <c r="HG164" s="9" t="str">
        <f>_xll.SNL.Clients.Office.Excel.Functions.SPG(HD164, "SP_COUNTRY_NAME")</f>
        <v>#INVALID COMPANY ID</v>
      </c>
    </row>
    <row r="165" spans="5:215" x14ac:dyDescent="0.35">
      <c r="E165" s="9" t="str">
        <f>_xll.SNL.Clients.Office.Excel.Functions.SPG(B165, "SP_COUNTRY_NAME")</f>
        <v>#INVALID COMPANY ID</v>
      </c>
      <c r="F165" t="s">
        <v>552</v>
      </c>
      <c r="G165">
        <v>4026973</v>
      </c>
      <c r="H165" t="s">
        <v>346</v>
      </c>
      <c r="I165" s="11">
        <v>0</v>
      </c>
      <c r="J165" s="9" t="str">
        <f>_xll.SNL.Clients.Office.Excel.Functions.SPG(G165, "SP_COUNTRY_NAME")</f>
        <v>United Kingdom</v>
      </c>
      <c r="O165" s="9" t="str">
        <f>_xll.SNL.Clients.Office.Excel.Functions.SPG(L165, "SP_COUNTRY_NAME")</f>
        <v>#INVALID COMPANY ID</v>
      </c>
      <c r="T165" s="9" t="str">
        <f>_xll.SNL.Clients.Office.Excel.Functions.SPG(Q165, "SP_COUNTRY_NAME")</f>
        <v>#INVALID COMPANY ID</v>
      </c>
      <c r="U165" t="s">
        <v>769</v>
      </c>
      <c r="V165">
        <v>4332718</v>
      </c>
      <c r="W165" t="s">
        <v>346</v>
      </c>
      <c r="X165" s="11">
        <v>0.01</v>
      </c>
      <c r="Y165" s="9" t="str">
        <f>_xll.SNL.Clients.Office.Excel.Functions.SPG(V165, "SP_COUNTRY_NAME")</f>
        <v>United Kingdom</v>
      </c>
      <c r="AD165" s="9" t="str">
        <f>_xll.SNL.Clients.Office.Excel.Functions.SPG(AA165, "SP_COUNTRY_NAME")</f>
        <v>#INVALID COMPANY ID</v>
      </c>
      <c r="AE165" t="s">
        <v>1067</v>
      </c>
      <c r="AF165">
        <v>4336776</v>
      </c>
      <c r="AG165" t="s">
        <v>346</v>
      </c>
      <c r="AH165" s="11">
        <v>0</v>
      </c>
      <c r="AI165" s="9" t="str">
        <f>_xll.SNL.Clients.Office.Excel.Functions.SPG(AF165, "SP_COUNTRY_NAME")</f>
        <v>Norway</v>
      </c>
      <c r="AN165" s="9" t="str">
        <f>_xll.SNL.Clients.Office.Excel.Functions.SPG(AK165, "SP_COUNTRY_NAME")</f>
        <v>#INVALID COMPANY ID</v>
      </c>
      <c r="AO165" t="s">
        <v>1315</v>
      </c>
      <c r="AP165">
        <v>4139315</v>
      </c>
      <c r="AQ165" t="s">
        <v>346</v>
      </c>
      <c r="AR165" s="11">
        <v>0.01</v>
      </c>
      <c r="AS165" s="9" t="str">
        <f>_xll.SNL.Clients.Office.Excel.Functions.SPG(AP165, "SP_COUNTRY_NAME")</f>
        <v>Germany</v>
      </c>
      <c r="AX165" s="9" t="str">
        <f>_xll.SNL.Clients.Office.Excel.Functions.SPG(AU165, "SP_COUNTRY_NAME")</f>
        <v>#INVALID COMPANY ID</v>
      </c>
      <c r="BC165" s="9" t="str">
        <f>_xll.SNL.Clients.Office.Excel.Functions.SPG(AZ165, "SP_COUNTRY_NAME")</f>
        <v>#INVALID COMPANY ID</v>
      </c>
      <c r="BD165" t="s">
        <v>1446</v>
      </c>
      <c r="BE165">
        <v>4116825</v>
      </c>
      <c r="BF165" t="s">
        <v>346</v>
      </c>
      <c r="BG165" s="11">
        <v>0.03</v>
      </c>
      <c r="BH165" s="9" t="str">
        <f>_xll.SNL.Clients.Office.Excel.Functions.SPG(BE165, "SP_COUNTRY_NAME")</f>
        <v>USA</v>
      </c>
      <c r="BI165" t="s">
        <v>549</v>
      </c>
      <c r="BJ165">
        <v>4556203</v>
      </c>
      <c r="BK165" t="s">
        <v>346</v>
      </c>
      <c r="BL165" s="11">
        <v>0</v>
      </c>
      <c r="BM165" s="9" t="str">
        <f>_xll.SNL.Clients.Office.Excel.Functions.SPG(BJ165, "SP_COUNTRY_NAME")</f>
        <v>USA</v>
      </c>
      <c r="BN165" t="s">
        <v>407</v>
      </c>
      <c r="BO165">
        <v>109754</v>
      </c>
      <c r="BP165" t="s">
        <v>346</v>
      </c>
      <c r="BQ165" s="11">
        <v>0.01</v>
      </c>
      <c r="BR165" s="9" t="str">
        <f>_xll.SNL.Clients.Office.Excel.Functions.SPG(BO165, "SP_COUNTRY_NAME")</f>
        <v>USA</v>
      </c>
      <c r="BS165" t="s">
        <v>541</v>
      </c>
      <c r="BT165">
        <v>4135098</v>
      </c>
      <c r="BU165" t="s">
        <v>346</v>
      </c>
      <c r="BV165" s="11">
        <v>0.01</v>
      </c>
      <c r="BW165" s="9" t="str">
        <f>_xll.SNL.Clients.Office.Excel.Functions.SPG(BT165, "SP_COUNTRY_NAME")</f>
        <v>United Kingdom</v>
      </c>
      <c r="BX165" t="s">
        <v>769</v>
      </c>
      <c r="BY165">
        <v>4332718</v>
      </c>
      <c r="BZ165" t="s">
        <v>346</v>
      </c>
      <c r="CA165" s="11">
        <v>0.01</v>
      </c>
      <c r="CB165" s="9" t="str">
        <f>_xll.SNL.Clients.Office.Excel.Functions.SPG(BY165, "SP_COUNTRY_NAME")</f>
        <v>United Kingdom</v>
      </c>
      <c r="CC165" t="s">
        <v>1411</v>
      </c>
      <c r="CD165">
        <v>100515</v>
      </c>
      <c r="CE165" t="s">
        <v>366</v>
      </c>
      <c r="CF165" s="11">
        <v>0.02</v>
      </c>
      <c r="CG165" s="9" t="str">
        <f>_xll.SNL.Clients.Office.Excel.Functions.SPG(CD165, "SP_COUNTRY_NAME")</f>
        <v>Canada</v>
      </c>
      <c r="CH165" t="s">
        <v>1315</v>
      </c>
      <c r="CI165">
        <v>4139315</v>
      </c>
      <c r="CJ165" t="s">
        <v>346</v>
      </c>
      <c r="CK165" s="11">
        <v>0.01</v>
      </c>
      <c r="CL165" s="9" t="str">
        <f>_xll.SNL.Clients.Office.Excel.Functions.SPG(CI165, "SP_COUNTRY_NAME")</f>
        <v>Germany</v>
      </c>
      <c r="CM165" t="s">
        <v>1982</v>
      </c>
      <c r="CN165">
        <v>15017834</v>
      </c>
      <c r="CO165" t="s">
        <v>346</v>
      </c>
      <c r="CP165" s="11">
        <v>0.02</v>
      </c>
      <c r="CQ165" s="9" t="str">
        <f>_xll.SNL.Clients.Office.Excel.Functions.SPG(CN165, "SP_COUNTRY_NAME")</f>
        <v>USA</v>
      </c>
      <c r="CV165" s="9" t="str">
        <f>_xll.SNL.Clients.Office.Excel.Functions.SPG(CS165, "SP_COUNTRY_NAME")</f>
        <v>#INVALID COMPANY ID</v>
      </c>
      <c r="DA165" s="9" t="str">
        <f>_xll.SNL.Clients.Office.Excel.Functions.SPG(CX165, "SP_COUNTRY_NAME")</f>
        <v>#INVALID COMPANY ID</v>
      </c>
      <c r="DB165" t="s">
        <v>1446</v>
      </c>
      <c r="DC165">
        <v>4116825</v>
      </c>
      <c r="DD165" t="s">
        <v>346</v>
      </c>
      <c r="DE165" s="11">
        <v>0.03</v>
      </c>
      <c r="DF165" s="9" t="str">
        <f>_xll.SNL.Clients.Office.Excel.Functions.SPG(DC165, "SP_COUNTRY_NAME")</f>
        <v>USA</v>
      </c>
      <c r="DK165" s="9" t="str">
        <f>_xll.SNL.Clients.Office.Excel.Functions.SPG(DH165, "SP_COUNTRY_NAME")</f>
        <v>#INVALID COMPANY ID</v>
      </c>
      <c r="DL165" t="s">
        <v>1446</v>
      </c>
      <c r="DM165">
        <v>4116825</v>
      </c>
      <c r="DN165" t="s">
        <v>346</v>
      </c>
      <c r="DO165" s="11">
        <v>0.03</v>
      </c>
      <c r="DP165" s="9" t="str">
        <f>_xll.SNL.Clients.Office.Excel.Functions.SPG(DM165, "SP_COUNTRY_NAME")</f>
        <v>USA</v>
      </c>
      <c r="DU165" s="9" t="str">
        <f>_xll.SNL.Clients.Office.Excel.Functions.SPG(DR165, "SP_COUNTRY_NAME")</f>
        <v>#INVALID COMPANY ID</v>
      </c>
      <c r="DZ165" s="9" t="str">
        <f>_xll.SNL.Clients.Office.Excel.Functions.SPG(DW165, "SP_COUNTRY_NAME")</f>
        <v>#INVALID COMPANY ID</v>
      </c>
      <c r="EA165" t="s">
        <v>1411</v>
      </c>
      <c r="EB165">
        <v>100515</v>
      </c>
      <c r="EC165" t="s">
        <v>366</v>
      </c>
      <c r="ED165" s="11">
        <v>0.02</v>
      </c>
      <c r="EE165" s="9" t="str">
        <f>_xll.SNL.Clients.Office.Excel.Functions.SPG(EB165, "SP_COUNTRY_NAME")</f>
        <v>Canada</v>
      </c>
      <c r="EF165" t="s">
        <v>1446</v>
      </c>
      <c r="EG165">
        <v>4116825</v>
      </c>
      <c r="EH165" t="s">
        <v>346</v>
      </c>
      <c r="EI165" s="11">
        <v>0.03</v>
      </c>
      <c r="EJ165" s="9" t="str">
        <f>_xll.SNL.Clients.Office.Excel.Functions.SPG(EG165, "SP_COUNTRY_NAME")</f>
        <v>USA</v>
      </c>
      <c r="EO165" s="9" t="str">
        <f>_xll.SNL.Clients.Office.Excel.Functions.SPG(EL165, "SP_COUNTRY_NAME")</f>
        <v>#INVALID COMPANY ID</v>
      </c>
      <c r="ET165" s="9" t="str">
        <f>_xll.SNL.Clients.Office.Excel.Functions.SPG(EQ165, "SP_COUNTRY_NAME")</f>
        <v>#INVALID COMPANY ID</v>
      </c>
      <c r="EY165" s="9" t="str">
        <f>_xll.SNL.Clients.Office.Excel.Functions.SPG(EV165, "SP_COUNTRY_NAME")</f>
        <v>#INVALID COMPANY ID</v>
      </c>
      <c r="FD165" s="9" t="str">
        <f>_xll.SNL.Clients.Office.Excel.Functions.SPG(FA165, "SP_COUNTRY_NAME")</f>
        <v>#INVALID COMPANY ID</v>
      </c>
      <c r="FI165" s="9" t="str">
        <f>_xll.SNL.Clients.Office.Excel.Functions.SPG(FF165, "SP_COUNTRY_NAME")</f>
        <v>#INVALID COMPANY ID</v>
      </c>
      <c r="FN165" s="9" t="str">
        <f>_xll.SNL.Clients.Office.Excel.Functions.SPG(FK165, "SP_COUNTRY_NAME")</f>
        <v>#INVALID COMPANY ID</v>
      </c>
      <c r="FS165" s="9" t="str">
        <f>_xll.SNL.Clients.Office.Excel.Functions.SPG(FP165, "SP_COUNTRY_NAME")</f>
        <v>#INVALID COMPANY ID</v>
      </c>
      <c r="FX165" s="9" t="str">
        <f>_xll.SNL.Clients.Office.Excel.Functions.SPG(FU165, "SP_COUNTRY_NAME")</f>
        <v>#INVALID COMPANY ID</v>
      </c>
      <c r="FY165" t="s">
        <v>1446</v>
      </c>
      <c r="FZ165">
        <v>4116825</v>
      </c>
      <c r="GA165" t="s">
        <v>346</v>
      </c>
      <c r="GB165" s="11">
        <v>0.03</v>
      </c>
      <c r="GC165" s="9" t="str">
        <f>_xll.SNL.Clients.Office.Excel.Functions.SPG(FZ165, "SP_COUNTRY_NAME")</f>
        <v>USA</v>
      </c>
      <c r="GH165" s="9" t="str">
        <f>_xll.SNL.Clients.Office.Excel.Functions.SPG(GE165, "SP_COUNTRY_NAME")</f>
        <v>#INVALID COMPANY ID</v>
      </c>
      <c r="GM165" s="9" t="str">
        <f>_xll.SNL.Clients.Office.Excel.Functions.SPG(GJ165, "SP_COUNTRY_NAME")</f>
        <v>#INVALID COMPANY ID</v>
      </c>
      <c r="GR165" s="9" t="str">
        <f>_xll.SNL.Clients.Office.Excel.Functions.SPG(GO165, "SP_COUNTRY_NAME")</f>
        <v>#INVALID COMPANY ID</v>
      </c>
      <c r="GS165" t="s">
        <v>407</v>
      </c>
      <c r="GT165">
        <v>109754</v>
      </c>
      <c r="GU165" t="s">
        <v>346</v>
      </c>
      <c r="GV165" s="11">
        <v>0.01</v>
      </c>
      <c r="GW165" s="9" t="str">
        <f>_xll.SNL.Clients.Office.Excel.Functions.SPG(GT165, "SP_COUNTRY_NAME")</f>
        <v>USA</v>
      </c>
      <c r="GX165" t="s">
        <v>1411</v>
      </c>
      <c r="GY165">
        <v>100515</v>
      </c>
      <c r="GZ165" t="s">
        <v>366</v>
      </c>
      <c r="HA165" s="11">
        <v>0.02</v>
      </c>
      <c r="HB165" s="9" t="str">
        <f>_xll.SNL.Clients.Office.Excel.Functions.SPG(GY165, "SP_COUNTRY_NAME")</f>
        <v>Canada</v>
      </c>
      <c r="HG165" s="9" t="str">
        <f>_xll.SNL.Clients.Office.Excel.Functions.SPG(HD165, "SP_COUNTRY_NAME")</f>
        <v>#INVALID COMPANY ID</v>
      </c>
    </row>
    <row r="166" spans="5:215" x14ac:dyDescent="0.35">
      <c r="E166" s="9" t="str">
        <f>_xll.SNL.Clients.Office.Excel.Functions.SPG(B166, "SP_COUNTRY_NAME")</f>
        <v>#INVALID COMPANY ID</v>
      </c>
      <c r="F166" t="s">
        <v>553</v>
      </c>
      <c r="G166">
        <v>4557089</v>
      </c>
      <c r="H166" t="s">
        <v>346</v>
      </c>
      <c r="I166" s="11">
        <v>0</v>
      </c>
      <c r="J166" s="9" t="str">
        <f>_xll.SNL.Clients.Office.Excel.Functions.SPG(G166, "SP_COUNTRY_NAME")</f>
        <v>Canada</v>
      </c>
      <c r="O166" s="9" t="str">
        <f>_xll.SNL.Clients.Office.Excel.Functions.SPG(L166, "SP_COUNTRY_NAME")</f>
        <v>#INVALID COMPANY ID</v>
      </c>
      <c r="T166" s="9" t="str">
        <f>_xll.SNL.Clients.Office.Excel.Functions.SPG(Q166, "SP_COUNTRY_NAME")</f>
        <v>#INVALID COMPANY ID</v>
      </c>
      <c r="U166" t="s">
        <v>687</v>
      </c>
      <c r="V166">
        <v>4368709</v>
      </c>
      <c r="W166" t="s">
        <v>346</v>
      </c>
      <c r="X166" s="11">
        <v>0.01</v>
      </c>
      <c r="Y166" s="9" t="str">
        <f>_xll.SNL.Clients.Office.Excel.Functions.SPG(V166, "SP_COUNTRY_NAME")</f>
        <v>China</v>
      </c>
      <c r="AD166" s="9" t="str">
        <f>_xll.SNL.Clients.Office.Excel.Functions.SPG(AA166, "SP_COUNTRY_NAME")</f>
        <v>#INVALID COMPANY ID</v>
      </c>
      <c r="AE166" t="s">
        <v>1160</v>
      </c>
      <c r="AF166">
        <v>5868744</v>
      </c>
      <c r="AG166" t="s">
        <v>346</v>
      </c>
      <c r="AH166" s="11">
        <v>0</v>
      </c>
      <c r="AI166" s="9" t="str">
        <f>_xll.SNL.Clients.Office.Excel.Functions.SPG(AF166, "SP_COUNTRY_NAME")</f>
        <v>Spain</v>
      </c>
      <c r="AN166" s="9" t="str">
        <f>_xll.SNL.Clients.Office.Excel.Functions.SPG(AK166, "SP_COUNTRY_NAME")</f>
        <v>#INVALID COMPANY ID</v>
      </c>
      <c r="AO166" t="s">
        <v>471</v>
      </c>
      <c r="AP166">
        <v>4102247</v>
      </c>
      <c r="AQ166" t="s">
        <v>346</v>
      </c>
      <c r="AR166" s="11">
        <v>0.01</v>
      </c>
      <c r="AS166" s="9" t="str">
        <f>_xll.SNL.Clients.Office.Excel.Functions.SPG(AP166, "SP_COUNTRY_NAME")</f>
        <v>USA</v>
      </c>
      <c r="AX166" s="9" t="str">
        <f>_xll.SNL.Clients.Office.Excel.Functions.SPG(AU166, "SP_COUNTRY_NAME")</f>
        <v>#INVALID COMPANY ID</v>
      </c>
      <c r="BC166" s="9" t="str">
        <f>_xll.SNL.Clients.Office.Excel.Functions.SPG(AZ166, "SP_COUNTRY_NAME")</f>
        <v>#INVALID COMPANY ID</v>
      </c>
      <c r="BD166" t="s">
        <v>455</v>
      </c>
      <c r="BE166">
        <v>4119538</v>
      </c>
      <c r="BF166" t="s">
        <v>364</v>
      </c>
      <c r="BG166" s="11">
        <v>0.03</v>
      </c>
      <c r="BH166" s="9" t="str">
        <f>_xll.SNL.Clients.Office.Excel.Functions.SPG(BE166, "SP_COUNTRY_NAME")</f>
        <v>USA</v>
      </c>
      <c r="BI166" t="s">
        <v>570</v>
      </c>
      <c r="BJ166">
        <v>106302708</v>
      </c>
      <c r="BK166" t="s">
        <v>346</v>
      </c>
      <c r="BL166" s="11">
        <v>0</v>
      </c>
      <c r="BM166" s="9" t="str">
        <f>_xll.SNL.Clients.Office.Excel.Functions.SPG(BJ166, "SP_COUNTRY_NAME")</f>
        <v>Switzerland</v>
      </c>
      <c r="BN166" t="s">
        <v>781</v>
      </c>
      <c r="BO166">
        <v>7794310</v>
      </c>
      <c r="BP166" t="s">
        <v>346</v>
      </c>
      <c r="BQ166" s="11">
        <v>0.01</v>
      </c>
      <c r="BR166" s="9" t="str">
        <f>_xll.SNL.Clients.Office.Excel.Functions.SPG(BO166, "SP_COUNTRY_NAME")</f>
        <v>United Kingdom</v>
      </c>
      <c r="BS166" t="s">
        <v>454</v>
      </c>
      <c r="BT166">
        <v>4145691</v>
      </c>
      <c r="BU166" t="s">
        <v>346</v>
      </c>
      <c r="BV166" s="11">
        <v>0.01</v>
      </c>
      <c r="BW166" s="9" t="str">
        <f>_xll.SNL.Clients.Office.Excel.Functions.SPG(BT166, "SP_COUNTRY_NAME")</f>
        <v>USA</v>
      </c>
      <c r="BX166" t="s">
        <v>687</v>
      </c>
      <c r="BY166">
        <v>4368709</v>
      </c>
      <c r="BZ166" t="s">
        <v>346</v>
      </c>
      <c r="CA166" s="11">
        <v>0.01</v>
      </c>
      <c r="CB166" s="9" t="str">
        <f>_xll.SNL.Clients.Office.Excel.Functions.SPG(BY166, "SP_COUNTRY_NAME")</f>
        <v>China</v>
      </c>
      <c r="CC166" t="s">
        <v>1669</v>
      </c>
      <c r="CD166">
        <v>4416867</v>
      </c>
      <c r="CE166" t="s">
        <v>346</v>
      </c>
      <c r="CF166" s="11">
        <v>0.02</v>
      </c>
      <c r="CG166" s="9" t="str">
        <f>_xll.SNL.Clients.Office.Excel.Functions.SPG(CD166, "SP_COUNTRY_NAME")</f>
        <v>Brazil</v>
      </c>
      <c r="CH166" t="s">
        <v>471</v>
      </c>
      <c r="CI166">
        <v>4102247</v>
      </c>
      <c r="CJ166" t="s">
        <v>346</v>
      </c>
      <c r="CK166" s="11">
        <v>0.01</v>
      </c>
      <c r="CL166" s="9" t="str">
        <f>_xll.SNL.Clients.Office.Excel.Functions.SPG(CI166, "SP_COUNTRY_NAME")</f>
        <v>USA</v>
      </c>
      <c r="CM166" t="s">
        <v>1751</v>
      </c>
      <c r="CN166">
        <v>4145924</v>
      </c>
      <c r="CO166" t="s">
        <v>346</v>
      </c>
      <c r="CP166" s="11">
        <v>0.02</v>
      </c>
      <c r="CQ166" s="9" t="str">
        <f>_xll.SNL.Clients.Office.Excel.Functions.SPG(CN166, "SP_COUNTRY_NAME")</f>
        <v>USA</v>
      </c>
      <c r="CV166" s="9" t="str">
        <f>_xll.SNL.Clients.Office.Excel.Functions.SPG(CS166, "SP_COUNTRY_NAME")</f>
        <v>#INVALID COMPANY ID</v>
      </c>
      <c r="DA166" s="9" t="str">
        <f>_xll.SNL.Clients.Office.Excel.Functions.SPG(CX166, "SP_COUNTRY_NAME")</f>
        <v>#INVALID COMPANY ID</v>
      </c>
      <c r="DB166" t="s">
        <v>455</v>
      </c>
      <c r="DC166">
        <v>4119538</v>
      </c>
      <c r="DD166" t="s">
        <v>364</v>
      </c>
      <c r="DE166" s="11">
        <v>0.03</v>
      </c>
      <c r="DF166" s="9" t="str">
        <f>_xll.SNL.Clients.Office.Excel.Functions.SPG(DC166, "SP_COUNTRY_NAME")</f>
        <v>USA</v>
      </c>
      <c r="DK166" s="9" t="str">
        <f>_xll.SNL.Clients.Office.Excel.Functions.SPG(DH166, "SP_COUNTRY_NAME")</f>
        <v>#INVALID COMPANY ID</v>
      </c>
      <c r="DL166" t="s">
        <v>455</v>
      </c>
      <c r="DM166">
        <v>4119538</v>
      </c>
      <c r="DN166" t="s">
        <v>364</v>
      </c>
      <c r="DO166" s="11">
        <v>0.03</v>
      </c>
      <c r="DP166" s="9" t="str">
        <f>_xll.SNL.Clients.Office.Excel.Functions.SPG(DM166, "SP_COUNTRY_NAME")</f>
        <v>USA</v>
      </c>
      <c r="DU166" s="9" t="str">
        <f>_xll.SNL.Clients.Office.Excel.Functions.SPG(DR166, "SP_COUNTRY_NAME")</f>
        <v>#INVALID COMPANY ID</v>
      </c>
      <c r="DZ166" s="9" t="str">
        <f>_xll.SNL.Clients.Office.Excel.Functions.SPG(DW166, "SP_COUNTRY_NAME")</f>
        <v>#INVALID COMPANY ID</v>
      </c>
      <c r="EA166" t="s">
        <v>1669</v>
      </c>
      <c r="EB166">
        <v>4416867</v>
      </c>
      <c r="EC166" t="s">
        <v>346</v>
      </c>
      <c r="ED166" s="11">
        <v>0.02</v>
      </c>
      <c r="EE166" s="9" t="str">
        <f>_xll.SNL.Clients.Office.Excel.Functions.SPG(EB166, "SP_COUNTRY_NAME")</f>
        <v>Brazil</v>
      </c>
      <c r="EF166" t="s">
        <v>455</v>
      </c>
      <c r="EG166">
        <v>4119538</v>
      </c>
      <c r="EH166" t="s">
        <v>364</v>
      </c>
      <c r="EI166" s="11">
        <v>0.03</v>
      </c>
      <c r="EJ166" s="9" t="str">
        <f>_xll.SNL.Clients.Office.Excel.Functions.SPG(EG166, "SP_COUNTRY_NAME")</f>
        <v>USA</v>
      </c>
      <c r="EO166" s="9" t="str">
        <f>_xll.SNL.Clients.Office.Excel.Functions.SPG(EL166, "SP_COUNTRY_NAME")</f>
        <v>#INVALID COMPANY ID</v>
      </c>
      <c r="ET166" s="9" t="str">
        <f>_xll.SNL.Clients.Office.Excel.Functions.SPG(EQ166, "SP_COUNTRY_NAME")</f>
        <v>#INVALID COMPANY ID</v>
      </c>
      <c r="EY166" s="9" t="str">
        <f>_xll.SNL.Clients.Office.Excel.Functions.SPG(EV166, "SP_COUNTRY_NAME")</f>
        <v>#INVALID COMPANY ID</v>
      </c>
      <c r="FD166" s="9" t="str">
        <f>_xll.SNL.Clients.Office.Excel.Functions.SPG(FA166, "SP_COUNTRY_NAME")</f>
        <v>#INVALID COMPANY ID</v>
      </c>
      <c r="FI166" s="9" t="str">
        <f>_xll.SNL.Clients.Office.Excel.Functions.SPG(FF166, "SP_COUNTRY_NAME")</f>
        <v>#INVALID COMPANY ID</v>
      </c>
      <c r="FN166" s="9" t="str">
        <f>_xll.SNL.Clients.Office.Excel.Functions.SPG(FK166, "SP_COUNTRY_NAME")</f>
        <v>#INVALID COMPANY ID</v>
      </c>
      <c r="FS166" s="9" t="str">
        <f>_xll.SNL.Clients.Office.Excel.Functions.SPG(FP166, "SP_COUNTRY_NAME")</f>
        <v>#INVALID COMPANY ID</v>
      </c>
      <c r="FX166" s="9" t="str">
        <f>_xll.SNL.Clients.Office.Excel.Functions.SPG(FU166, "SP_COUNTRY_NAME")</f>
        <v>#INVALID COMPANY ID</v>
      </c>
      <c r="FY166" t="s">
        <v>455</v>
      </c>
      <c r="FZ166">
        <v>4119538</v>
      </c>
      <c r="GA166" t="s">
        <v>364</v>
      </c>
      <c r="GB166" s="11">
        <v>0.03</v>
      </c>
      <c r="GC166" s="9" t="str">
        <f>_xll.SNL.Clients.Office.Excel.Functions.SPG(FZ166, "SP_COUNTRY_NAME")</f>
        <v>USA</v>
      </c>
      <c r="GH166" s="9" t="str">
        <f>_xll.SNL.Clients.Office.Excel.Functions.SPG(GE166, "SP_COUNTRY_NAME")</f>
        <v>#INVALID COMPANY ID</v>
      </c>
      <c r="GM166" s="9" t="str">
        <f>_xll.SNL.Clients.Office.Excel.Functions.SPG(GJ166, "SP_COUNTRY_NAME")</f>
        <v>#INVALID COMPANY ID</v>
      </c>
      <c r="GR166" s="9" t="str">
        <f>_xll.SNL.Clients.Office.Excel.Functions.SPG(GO166, "SP_COUNTRY_NAME")</f>
        <v>#INVALID COMPANY ID</v>
      </c>
      <c r="GS166" t="s">
        <v>781</v>
      </c>
      <c r="GT166">
        <v>7794310</v>
      </c>
      <c r="GU166" t="s">
        <v>346</v>
      </c>
      <c r="GV166" s="11">
        <v>0.01</v>
      </c>
      <c r="GW166" s="9" t="str">
        <f>_xll.SNL.Clients.Office.Excel.Functions.SPG(GT166, "SP_COUNTRY_NAME")</f>
        <v>United Kingdom</v>
      </c>
      <c r="GX166" t="s">
        <v>1669</v>
      </c>
      <c r="GY166">
        <v>4416867</v>
      </c>
      <c r="GZ166" t="s">
        <v>346</v>
      </c>
      <c r="HA166" s="11">
        <v>0.02</v>
      </c>
      <c r="HB166" s="9" t="str">
        <f>_xll.SNL.Clients.Office.Excel.Functions.SPG(GY166, "SP_COUNTRY_NAME")</f>
        <v>Brazil</v>
      </c>
      <c r="HG166" s="9" t="str">
        <f>_xll.SNL.Clients.Office.Excel.Functions.SPG(HD166, "SP_COUNTRY_NAME")</f>
        <v>#INVALID COMPANY ID</v>
      </c>
    </row>
    <row r="167" spans="5:215" x14ac:dyDescent="0.35">
      <c r="E167" s="9" t="str">
        <f>_xll.SNL.Clients.Office.Excel.Functions.SPG(B167, "SP_COUNTRY_NAME")</f>
        <v>#INVALID COMPANY ID</v>
      </c>
      <c r="F167" t="s">
        <v>412</v>
      </c>
      <c r="G167">
        <v>109687</v>
      </c>
      <c r="H167" t="s">
        <v>346</v>
      </c>
      <c r="I167" s="11">
        <v>0</v>
      </c>
      <c r="J167" s="9" t="str">
        <f>_xll.SNL.Clients.Office.Excel.Functions.SPG(G167, "SP_COUNTRY_NAME")</f>
        <v>USA</v>
      </c>
      <c r="O167" s="9" t="str">
        <f>_xll.SNL.Clients.Office.Excel.Functions.SPG(L167, "SP_COUNTRY_NAME")</f>
        <v>#INVALID COMPANY ID</v>
      </c>
      <c r="T167" s="9" t="str">
        <f>_xll.SNL.Clients.Office.Excel.Functions.SPG(Q167, "SP_COUNTRY_NAME")</f>
        <v>#INVALID COMPANY ID</v>
      </c>
      <c r="U167" t="s">
        <v>400</v>
      </c>
      <c r="V167">
        <v>7834181</v>
      </c>
      <c r="W167" t="s">
        <v>346</v>
      </c>
      <c r="X167" s="11">
        <v>0.01</v>
      </c>
      <c r="Y167" s="9" t="str">
        <f>_xll.SNL.Clients.Office.Excel.Functions.SPG(V167, "SP_COUNTRY_NAME")</f>
        <v>United Kingdom</v>
      </c>
      <c r="AD167" s="9" t="str">
        <f>_xll.SNL.Clients.Office.Excel.Functions.SPG(AA167, "SP_COUNTRY_NAME")</f>
        <v>#INVALID COMPANY ID</v>
      </c>
      <c r="AE167" t="s">
        <v>1161</v>
      </c>
      <c r="AF167">
        <v>4232567</v>
      </c>
      <c r="AG167" t="s">
        <v>364</v>
      </c>
      <c r="AH167" s="11">
        <v>0</v>
      </c>
      <c r="AI167" s="9" t="str">
        <f>_xll.SNL.Clients.Office.Excel.Functions.SPG(AF167, "SP_COUNTRY_NAME")</f>
        <v>Canada</v>
      </c>
      <c r="AN167" s="9" t="str">
        <f>_xll.SNL.Clients.Office.Excel.Functions.SPG(AK167, "SP_COUNTRY_NAME")</f>
        <v>#INVALID COMPANY ID</v>
      </c>
      <c r="AO167" t="s">
        <v>1316</v>
      </c>
      <c r="AP167">
        <v>4246573</v>
      </c>
      <c r="AQ167" t="s">
        <v>346</v>
      </c>
      <c r="AR167" s="11">
        <v>0.01</v>
      </c>
      <c r="AS167" s="9" t="str">
        <f>_xll.SNL.Clients.Office.Excel.Functions.SPG(AP167, "SP_COUNTRY_NAME")</f>
        <v>South Africa</v>
      </c>
      <c r="AX167" s="9" t="str">
        <f>_xll.SNL.Clients.Office.Excel.Functions.SPG(AU167, "SP_COUNTRY_NAME")</f>
        <v>#INVALID COMPANY ID</v>
      </c>
      <c r="BC167" s="9" t="str">
        <f>_xll.SNL.Clients.Office.Excel.Functions.SPG(AZ167, "SP_COUNTRY_NAME")</f>
        <v>#INVALID COMPANY ID</v>
      </c>
      <c r="BD167" t="s">
        <v>1447</v>
      </c>
      <c r="BE167">
        <v>4048674</v>
      </c>
      <c r="BF167" t="s">
        <v>346</v>
      </c>
      <c r="BG167" s="11">
        <v>0.03</v>
      </c>
      <c r="BH167" s="9" t="str">
        <f>_xll.SNL.Clients.Office.Excel.Functions.SPG(BE167, "SP_COUNTRY_NAME")</f>
        <v>USA</v>
      </c>
      <c r="BI167" t="s">
        <v>464</v>
      </c>
      <c r="BJ167">
        <v>4629378</v>
      </c>
      <c r="BK167" t="s">
        <v>346</v>
      </c>
      <c r="BL167" s="11">
        <v>0</v>
      </c>
      <c r="BM167" s="9" t="str">
        <f>_xll.SNL.Clients.Office.Excel.Functions.SPG(BJ167, "SP_COUNTRY_NAME")</f>
        <v>Japan</v>
      </c>
      <c r="BN167" t="s">
        <v>477</v>
      </c>
      <c r="BO167">
        <v>4119790</v>
      </c>
      <c r="BP167" t="s">
        <v>346</v>
      </c>
      <c r="BQ167" s="11">
        <v>0.01</v>
      </c>
      <c r="BR167" s="9" t="str">
        <f>_xll.SNL.Clients.Office.Excel.Functions.SPG(BO167, "SP_COUNTRY_NAME")</f>
        <v>USA</v>
      </c>
      <c r="BS167" t="s">
        <v>980</v>
      </c>
      <c r="BT167">
        <v>4273029</v>
      </c>
      <c r="BU167" t="s">
        <v>346</v>
      </c>
      <c r="BV167" s="11">
        <v>0.01</v>
      </c>
      <c r="BW167" s="9" t="str">
        <f>_xll.SNL.Clients.Office.Excel.Functions.SPG(BT167, "SP_COUNTRY_NAME")</f>
        <v>United Kingdom</v>
      </c>
      <c r="BX167" t="s">
        <v>400</v>
      </c>
      <c r="BY167">
        <v>7834181</v>
      </c>
      <c r="BZ167" t="s">
        <v>346</v>
      </c>
      <c r="CA167" s="11">
        <v>0.01</v>
      </c>
      <c r="CB167" s="9" t="str">
        <f>_xll.SNL.Clients.Office.Excel.Functions.SPG(BY167, "SP_COUNTRY_NAME")</f>
        <v>United Kingdom</v>
      </c>
      <c r="CC167" t="s">
        <v>1670</v>
      </c>
      <c r="CD167">
        <v>6283323</v>
      </c>
      <c r="CE167" t="s">
        <v>346</v>
      </c>
      <c r="CF167" s="11">
        <v>0.02</v>
      </c>
      <c r="CG167" s="9" t="str">
        <f>_xll.SNL.Clients.Office.Excel.Functions.SPG(CD167, "SP_COUNTRY_NAME")</f>
        <v>Brazil</v>
      </c>
      <c r="CH167" t="s">
        <v>1316</v>
      </c>
      <c r="CI167">
        <v>4246573</v>
      </c>
      <c r="CJ167" t="s">
        <v>346</v>
      </c>
      <c r="CK167" s="11">
        <v>0.01</v>
      </c>
      <c r="CL167" s="9" t="str">
        <f>_xll.SNL.Clients.Office.Excel.Functions.SPG(CI167, "SP_COUNTRY_NAME")</f>
        <v>South Africa</v>
      </c>
      <c r="CM167" t="s">
        <v>423</v>
      </c>
      <c r="CN167">
        <v>4318240</v>
      </c>
      <c r="CO167" t="s">
        <v>346</v>
      </c>
      <c r="CP167" s="11">
        <v>0.02</v>
      </c>
      <c r="CQ167" s="9" t="str">
        <f>_xll.SNL.Clients.Office.Excel.Functions.SPG(CN167, "SP_COUNTRY_NAME")</f>
        <v>Japan</v>
      </c>
      <c r="CV167" s="9" t="str">
        <f>_xll.SNL.Clients.Office.Excel.Functions.SPG(CS167, "SP_COUNTRY_NAME")</f>
        <v>#INVALID COMPANY ID</v>
      </c>
      <c r="DA167" s="9" t="str">
        <f>_xll.SNL.Clients.Office.Excel.Functions.SPG(CX167, "SP_COUNTRY_NAME")</f>
        <v>#INVALID COMPANY ID</v>
      </c>
      <c r="DB167" t="s">
        <v>1447</v>
      </c>
      <c r="DC167">
        <v>4048674</v>
      </c>
      <c r="DD167" t="s">
        <v>346</v>
      </c>
      <c r="DE167" s="11">
        <v>0.03</v>
      </c>
      <c r="DF167" s="9" t="str">
        <f>_xll.SNL.Clients.Office.Excel.Functions.SPG(DC167, "SP_COUNTRY_NAME")</f>
        <v>USA</v>
      </c>
      <c r="DK167" s="9" t="str">
        <f>_xll.SNL.Clients.Office.Excel.Functions.SPG(DH167, "SP_COUNTRY_NAME")</f>
        <v>#INVALID COMPANY ID</v>
      </c>
      <c r="DL167" t="s">
        <v>1447</v>
      </c>
      <c r="DM167">
        <v>4048674</v>
      </c>
      <c r="DN167" t="s">
        <v>346</v>
      </c>
      <c r="DO167" s="11">
        <v>0.03</v>
      </c>
      <c r="DP167" s="9" t="str">
        <f>_xll.SNL.Clients.Office.Excel.Functions.SPG(DM167, "SP_COUNTRY_NAME")</f>
        <v>USA</v>
      </c>
      <c r="DU167" s="9" t="str">
        <f>_xll.SNL.Clients.Office.Excel.Functions.SPG(DR167, "SP_COUNTRY_NAME")</f>
        <v>#INVALID COMPANY ID</v>
      </c>
      <c r="DZ167" s="9" t="str">
        <f>_xll.SNL.Clients.Office.Excel.Functions.SPG(DW167, "SP_COUNTRY_NAME")</f>
        <v>#INVALID COMPANY ID</v>
      </c>
      <c r="EA167" t="s">
        <v>1670</v>
      </c>
      <c r="EB167">
        <v>6283323</v>
      </c>
      <c r="EC167" t="s">
        <v>346</v>
      </c>
      <c r="ED167" s="11">
        <v>0.02</v>
      </c>
      <c r="EE167" s="9" t="str">
        <f>_xll.SNL.Clients.Office.Excel.Functions.SPG(EB167, "SP_COUNTRY_NAME")</f>
        <v>Brazil</v>
      </c>
      <c r="EF167" t="s">
        <v>1447</v>
      </c>
      <c r="EG167">
        <v>4048674</v>
      </c>
      <c r="EH167" t="s">
        <v>346</v>
      </c>
      <c r="EI167" s="11">
        <v>0.03</v>
      </c>
      <c r="EJ167" s="9" t="str">
        <f>_xll.SNL.Clients.Office.Excel.Functions.SPG(EG167, "SP_COUNTRY_NAME")</f>
        <v>USA</v>
      </c>
      <c r="EO167" s="9" t="str">
        <f>_xll.SNL.Clients.Office.Excel.Functions.SPG(EL167, "SP_COUNTRY_NAME")</f>
        <v>#INVALID COMPANY ID</v>
      </c>
      <c r="ET167" s="9" t="str">
        <f>_xll.SNL.Clients.Office.Excel.Functions.SPG(EQ167, "SP_COUNTRY_NAME")</f>
        <v>#INVALID COMPANY ID</v>
      </c>
      <c r="EY167" s="9" t="str">
        <f>_xll.SNL.Clients.Office.Excel.Functions.SPG(EV167, "SP_COUNTRY_NAME")</f>
        <v>#INVALID COMPANY ID</v>
      </c>
      <c r="FD167" s="9" t="str">
        <f>_xll.SNL.Clients.Office.Excel.Functions.SPG(FA167, "SP_COUNTRY_NAME")</f>
        <v>#INVALID COMPANY ID</v>
      </c>
      <c r="FI167" s="9" t="str">
        <f>_xll.SNL.Clients.Office.Excel.Functions.SPG(FF167, "SP_COUNTRY_NAME")</f>
        <v>#INVALID COMPANY ID</v>
      </c>
      <c r="FN167" s="9" t="str">
        <f>_xll.SNL.Clients.Office.Excel.Functions.SPG(FK167, "SP_COUNTRY_NAME")</f>
        <v>#INVALID COMPANY ID</v>
      </c>
      <c r="FS167" s="9" t="str">
        <f>_xll.SNL.Clients.Office.Excel.Functions.SPG(FP167, "SP_COUNTRY_NAME")</f>
        <v>#INVALID COMPANY ID</v>
      </c>
      <c r="FX167" s="9" t="str">
        <f>_xll.SNL.Clients.Office.Excel.Functions.SPG(FU167, "SP_COUNTRY_NAME")</f>
        <v>#INVALID COMPANY ID</v>
      </c>
      <c r="FY167" t="s">
        <v>1447</v>
      </c>
      <c r="FZ167">
        <v>4048674</v>
      </c>
      <c r="GA167" t="s">
        <v>346</v>
      </c>
      <c r="GB167" s="11">
        <v>0.03</v>
      </c>
      <c r="GC167" s="9" t="str">
        <f>_xll.SNL.Clients.Office.Excel.Functions.SPG(FZ167, "SP_COUNTRY_NAME")</f>
        <v>USA</v>
      </c>
      <c r="GH167" s="9" t="str">
        <f>_xll.SNL.Clients.Office.Excel.Functions.SPG(GE167, "SP_COUNTRY_NAME")</f>
        <v>#INVALID COMPANY ID</v>
      </c>
      <c r="GM167" s="9" t="str">
        <f>_xll.SNL.Clients.Office.Excel.Functions.SPG(GJ167, "SP_COUNTRY_NAME")</f>
        <v>#INVALID COMPANY ID</v>
      </c>
      <c r="GR167" s="9" t="str">
        <f>_xll.SNL.Clients.Office.Excel.Functions.SPG(GO167, "SP_COUNTRY_NAME")</f>
        <v>#INVALID COMPANY ID</v>
      </c>
      <c r="GS167" t="s">
        <v>477</v>
      </c>
      <c r="GT167">
        <v>4119790</v>
      </c>
      <c r="GU167" t="s">
        <v>346</v>
      </c>
      <c r="GV167" s="11">
        <v>0.01</v>
      </c>
      <c r="GW167" s="9" t="str">
        <f>_xll.SNL.Clients.Office.Excel.Functions.SPG(GT167, "SP_COUNTRY_NAME")</f>
        <v>USA</v>
      </c>
      <c r="GX167" t="s">
        <v>1670</v>
      </c>
      <c r="GY167">
        <v>6283323</v>
      </c>
      <c r="GZ167" t="s">
        <v>346</v>
      </c>
      <c r="HA167" s="11">
        <v>0.02</v>
      </c>
      <c r="HB167" s="9" t="str">
        <f>_xll.SNL.Clients.Office.Excel.Functions.SPG(GY167, "SP_COUNTRY_NAME")</f>
        <v>Brazil</v>
      </c>
      <c r="HG167" s="9" t="str">
        <f>_xll.SNL.Clients.Office.Excel.Functions.SPG(HD167, "SP_COUNTRY_NAME")</f>
        <v>#INVALID COMPANY ID</v>
      </c>
    </row>
    <row r="168" spans="5:215" x14ac:dyDescent="0.35">
      <c r="E168" s="9" t="str">
        <f>_xll.SNL.Clients.Office.Excel.Functions.SPG(B168, "SP_COUNTRY_NAME")</f>
        <v>#INVALID COMPANY ID</v>
      </c>
      <c r="F168" t="s">
        <v>554</v>
      </c>
      <c r="G168">
        <v>4408592</v>
      </c>
      <c r="H168" t="s">
        <v>346</v>
      </c>
      <c r="I168" s="11">
        <v>0</v>
      </c>
      <c r="J168" s="9" t="str">
        <f>_xll.SNL.Clients.Office.Excel.Functions.SPG(G168, "SP_COUNTRY_NAME")</f>
        <v>Hong Kong</v>
      </c>
      <c r="O168" s="9" t="str">
        <f>_xll.SNL.Clients.Office.Excel.Functions.SPG(L168, "SP_COUNTRY_NAME")</f>
        <v>#INVALID COMPANY ID</v>
      </c>
      <c r="T168" s="9" t="str">
        <f>_xll.SNL.Clients.Office.Excel.Functions.SPG(Q168, "SP_COUNTRY_NAME")</f>
        <v>#INVALID COMPANY ID</v>
      </c>
      <c r="U168" t="s">
        <v>770</v>
      </c>
      <c r="V168" t="s">
        <v>300</v>
      </c>
      <c r="W168" t="s">
        <v>361</v>
      </c>
      <c r="X168" s="11">
        <v>0.01</v>
      </c>
      <c r="Y168" s="9" t="str">
        <f>_xll.SNL.Clients.Office.Excel.Functions.SPG(V168, "SP_COUNTRY_NAME")</f>
        <v>China</v>
      </c>
      <c r="AD168" s="9" t="str">
        <f>_xll.SNL.Clients.Office.Excel.Functions.SPG(AA168, "SP_COUNTRY_NAME")</f>
        <v>#INVALID COMPANY ID</v>
      </c>
      <c r="AE168" t="s">
        <v>1162</v>
      </c>
      <c r="AF168">
        <v>4139861</v>
      </c>
      <c r="AG168" t="s">
        <v>346</v>
      </c>
      <c r="AH168" s="11">
        <v>0</v>
      </c>
      <c r="AI168" s="9" t="str">
        <f>_xll.SNL.Clients.Office.Excel.Functions.SPG(AF168, "SP_COUNTRY_NAME")</f>
        <v>Spain</v>
      </c>
      <c r="AN168" s="9" t="str">
        <f>_xll.SNL.Clients.Office.Excel.Functions.SPG(AK168, "SP_COUNTRY_NAME")</f>
        <v>#INVALID COMPANY ID</v>
      </c>
      <c r="AO168" t="s">
        <v>1317</v>
      </c>
      <c r="AP168">
        <v>7720214</v>
      </c>
      <c r="AQ168" t="s">
        <v>346</v>
      </c>
      <c r="AR168" s="11">
        <v>0.01</v>
      </c>
      <c r="AS168" s="9" t="str">
        <f>_xll.SNL.Clients.Office.Excel.Functions.SPG(AP168, "SP_COUNTRY_NAME")</f>
        <v>South Africa</v>
      </c>
      <c r="AX168" s="9" t="str">
        <f>_xll.SNL.Clients.Office.Excel.Functions.SPG(AU168, "SP_COUNTRY_NAME")</f>
        <v>#INVALID COMPANY ID</v>
      </c>
      <c r="BC168" s="9" t="str">
        <f>_xll.SNL.Clients.Office.Excel.Functions.SPG(AZ168, "SP_COUNTRY_NAME")</f>
        <v>#INVALID COMPANY ID</v>
      </c>
      <c r="BD168" t="s">
        <v>422</v>
      </c>
      <c r="BE168">
        <v>4048507</v>
      </c>
      <c r="BF168" t="s">
        <v>346</v>
      </c>
      <c r="BG168" s="11">
        <v>0.03</v>
      </c>
      <c r="BH168" s="9" t="str">
        <f>_xll.SNL.Clients.Office.Excel.Functions.SPG(BE168, "SP_COUNTRY_NAME")</f>
        <v>Japan</v>
      </c>
      <c r="BI168" t="s">
        <v>1338</v>
      </c>
      <c r="BJ168">
        <v>6758323</v>
      </c>
      <c r="BK168" t="s">
        <v>346</v>
      </c>
      <c r="BL168" s="11">
        <v>0</v>
      </c>
      <c r="BM168" s="9" t="str">
        <f>_xll.SNL.Clients.Office.Excel.Functions.SPG(BJ168, "SP_COUNTRY_NAME")</f>
        <v>South Africa</v>
      </c>
      <c r="BN168" t="s">
        <v>1240</v>
      </c>
      <c r="BO168" t="s">
        <v>300</v>
      </c>
      <c r="BP168" t="s">
        <v>361</v>
      </c>
      <c r="BQ168" s="11">
        <v>0</v>
      </c>
      <c r="BR168" s="9" t="str">
        <f>_xll.SNL.Clients.Office.Excel.Functions.SPG(BO168, "SP_COUNTRY_NAME")</f>
        <v>China</v>
      </c>
      <c r="BS168" t="s">
        <v>723</v>
      </c>
      <c r="BT168">
        <v>4536183</v>
      </c>
      <c r="BU168" t="s">
        <v>346</v>
      </c>
      <c r="BV168" s="11">
        <v>0.01</v>
      </c>
      <c r="BW168" s="9" t="str">
        <f>_xll.SNL.Clients.Office.Excel.Functions.SPG(BT168, "SP_COUNTRY_NAME")</f>
        <v>China</v>
      </c>
      <c r="BX168" t="s">
        <v>770</v>
      </c>
      <c r="BY168" t="s">
        <v>300</v>
      </c>
      <c r="BZ168" t="s">
        <v>361</v>
      </c>
      <c r="CA168" s="11">
        <v>0.01</v>
      </c>
      <c r="CB168" s="9" t="str">
        <f>_xll.SNL.Clients.Office.Excel.Functions.SPG(BY168, "SP_COUNTRY_NAME")</f>
        <v>China</v>
      </c>
      <c r="CC168" t="s">
        <v>1671</v>
      </c>
      <c r="CD168">
        <v>4224857</v>
      </c>
      <c r="CE168" t="s">
        <v>364</v>
      </c>
      <c r="CF168" s="11">
        <v>0.02</v>
      </c>
      <c r="CG168" s="9" t="str">
        <f>_xll.SNL.Clients.Office.Excel.Functions.SPG(CD168, "SP_COUNTRY_NAME")</f>
        <v>Brazil</v>
      </c>
      <c r="CH168" t="s">
        <v>1317</v>
      </c>
      <c r="CI168">
        <v>7720214</v>
      </c>
      <c r="CJ168" t="s">
        <v>346</v>
      </c>
      <c r="CK168" s="11">
        <v>0.01</v>
      </c>
      <c r="CL168" s="9" t="str">
        <f>_xll.SNL.Clients.Office.Excel.Functions.SPG(CI168, "SP_COUNTRY_NAME")</f>
        <v>South Africa</v>
      </c>
      <c r="CM168" t="s">
        <v>643</v>
      </c>
      <c r="CN168">
        <v>8365031</v>
      </c>
      <c r="CO168" t="s">
        <v>346</v>
      </c>
      <c r="CP168" s="11">
        <v>0.02</v>
      </c>
      <c r="CQ168" s="9" t="str">
        <f>_xll.SNL.Clients.Office.Excel.Functions.SPG(CN168, "SP_COUNTRY_NAME")</f>
        <v>Australia</v>
      </c>
      <c r="CV168" s="9" t="str">
        <f>_xll.SNL.Clients.Office.Excel.Functions.SPG(CS168, "SP_COUNTRY_NAME")</f>
        <v>#INVALID COMPANY ID</v>
      </c>
      <c r="DA168" s="9" t="str">
        <f>_xll.SNL.Clients.Office.Excel.Functions.SPG(CX168, "SP_COUNTRY_NAME")</f>
        <v>#INVALID COMPANY ID</v>
      </c>
      <c r="DB168" t="s">
        <v>422</v>
      </c>
      <c r="DC168">
        <v>4048507</v>
      </c>
      <c r="DD168" t="s">
        <v>346</v>
      </c>
      <c r="DE168" s="11">
        <v>0.03</v>
      </c>
      <c r="DF168" s="9" t="str">
        <f>_xll.SNL.Clients.Office.Excel.Functions.SPG(DC168, "SP_COUNTRY_NAME")</f>
        <v>Japan</v>
      </c>
      <c r="DK168" s="9" t="str">
        <f>_xll.SNL.Clients.Office.Excel.Functions.SPG(DH168, "SP_COUNTRY_NAME")</f>
        <v>#INVALID COMPANY ID</v>
      </c>
      <c r="DL168" t="s">
        <v>422</v>
      </c>
      <c r="DM168">
        <v>4048507</v>
      </c>
      <c r="DN168" t="s">
        <v>346</v>
      </c>
      <c r="DO168" s="11">
        <v>0.03</v>
      </c>
      <c r="DP168" s="9" t="str">
        <f>_xll.SNL.Clients.Office.Excel.Functions.SPG(DM168, "SP_COUNTRY_NAME")</f>
        <v>Japan</v>
      </c>
      <c r="DU168" s="9" t="str">
        <f>_xll.SNL.Clients.Office.Excel.Functions.SPG(DR168, "SP_COUNTRY_NAME")</f>
        <v>#INVALID COMPANY ID</v>
      </c>
      <c r="DZ168" s="9" t="str">
        <f>_xll.SNL.Clients.Office.Excel.Functions.SPG(DW168, "SP_COUNTRY_NAME")</f>
        <v>#INVALID COMPANY ID</v>
      </c>
      <c r="EA168" t="s">
        <v>1671</v>
      </c>
      <c r="EB168">
        <v>4224857</v>
      </c>
      <c r="EC168" t="s">
        <v>364</v>
      </c>
      <c r="ED168" s="11">
        <v>0.02</v>
      </c>
      <c r="EE168" s="9" t="str">
        <f>_xll.SNL.Clients.Office.Excel.Functions.SPG(EB168, "SP_COUNTRY_NAME")</f>
        <v>Brazil</v>
      </c>
      <c r="EF168" t="s">
        <v>422</v>
      </c>
      <c r="EG168">
        <v>4048507</v>
      </c>
      <c r="EH168" t="s">
        <v>346</v>
      </c>
      <c r="EI168" s="11">
        <v>0.03</v>
      </c>
      <c r="EJ168" s="9" t="str">
        <f>_xll.SNL.Clients.Office.Excel.Functions.SPG(EG168, "SP_COUNTRY_NAME")</f>
        <v>Japan</v>
      </c>
      <c r="EO168" s="9" t="str">
        <f>_xll.SNL.Clients.Office.Excel.Functions.SPG(EL168, "SP_COUNTRY_NAME")</f>
        <v>#INVALID COMPANY ID</v>
      </c>
      <c r="ET168" s="9" t="str">
        <f>_xll.SNL.Clients.Office.Excel.Functions.SPG(EQ168, "SP_COUNTRY_NAME")</f>
        <v>#INVALID COMPANY ID</v>
      </c>
      <c r="EY168" s="9" t="str">
        <f>_xll.SNL.Clients.Office.Excel.Functions.SPG(EV168, "SP_COUNTRY_NAME")</f>
        <v>#INVALID COMPANY ID</v>
      </c>
      <c r="FD168" s="9" t="str">
        <f>_xll.SNL.Clients.Office.Excel.Functions.SPG(FA168, "SP_COUNTRY_NAME")</f>
        <v>#INVALID COMPANY ID</v>
      </c>
      <c r="FI168" s="9" t="str">
        <f>_xll.SNL.Clients.Office.Excel.Functions.SPG(FF168, "SP_COUNTRY_NAME")</f>
        <v>#INVALID COMPANY ID</v>
      </c>
      <c r="FN168" s="9" t="str">
        <f>_xll.SNL.Clients.Office.Excel.Functions.SPG(FK168, "SP_COUNTRY_NAME")</f>
        <v>#INVALID COMPANY ID</v>
      </c>
      <c r="FS168" s="9" t="str">
        <f>_xll.SNL.Clients.Office.Excel.Functions.SPG(FP168, "SP_COUNTRY_NAME")</f>
        <v>#INVALID COMPANY ID</v>
      </c>
      <c r="FX168" s="9" t="str">
        <f>_xll.SNL.Clients.Office.Excel.Functions.SPG(FU168, "SP_COUNTRY_NAME")</f>
        <v>#INVALID COMPANY ID</v>
      </c>
      <c r="FY168" t="s">
        <v>422</v>
      </c>
      <c r="FZ168">
        <v>4048507</v>
      </c>
      <c r="GA168" t="s">
        <v>346</v>
      </c>
      <c r="GB168" s="11">
        <v>0.03</v>
      </c>
      <c r="GC168" s="9" t="str">
        <f>_xll.SNL.Clients.Office.Excel.Functions.SPG(FZ168, "SP_COUNTRY_NAME")</f>
        <v>Japan</v>
      </c>
      <c r="GH168" s="9" t="str">
        <f>_xll.SNL.Clients.Office.Excel.Functions.SPG(GE168, "SP_COUNTRY_NAME")</f>
        <v>#INVALID COMPANY ID</v>
      </c>
      <c r="GM168" s="9" t="str">
        <f>_xll.SNL.Clients.Office.Excel.Functions.SPG(GJ168, "SP_COUNTRY_NAME")</f>
        <v>#INVALID COMPANY ID</v>
      </c>
      <c r="GR168" s="9" t="str">
        <f>_xll.SNL.Clients.Office.Excel.Functions.SPG(GO168, "SP_COUNTRY_NAME")</f>
        <v>#INVALID COMPANY ID</v>
      </c>
      <c r="GS168" t="s">
        <v>1240</v>
      </c>
      <c r="GT168" t="s">
        <v>300</v>
      </c>
      <c r="GU168" t="s">
        <v>361</v>
      </c>
      <c r="GV168" s="11">
        <v>0</v>
      </c>
      <c r="GW168" s="9" t="str">
        <f>_xll.SNL.Clients.Office.Excel.Functions.SPG(GT168, "SP_COUNTRY_NAME")</f>
        <v>China</v>
      </c>
      <c r="GX168" t="s">
        <v>1671</v>
      </c>
      <c r="GY168">
        <v>4224857</v>
      </c>
      <c r="GZ168" t="s">
        <v>364</v>
      </c>
      <c r="HA168" s="11">
        <v>0.02</v>
      </c>
      <c r="HB168" s="9" t="str">
        <f>_xll.SNL.Clients.Office.Excel.Functions.SPG(GY168, "SP_COUNTRY_NAME")</f>
        <v>Brazil</v>
      </c>
      <c r="HG168" s="9" t="str">
        <f>_xll.SNL.Clients.Office.Excel.Functions.SPG(HD168, "SP_COUNTRY_NAME")</f>
        <v>#INVALID COMPANY ID</v>
      </c>
    </row>
    <row r="169" spans="5:215" x14ac:dyDescent="0.35">
      <c r="E169" s="9" t="str">
        <f>_xll.SNL.Clients.Office.Excel.Functions.SPG(B169, "SP_COUNTRY_NAME")</f>
        <v>#INVALID COMPANY ID</v>
      </c>
      <c r="F169" t="s">
        <v>555</v>
      </c>
      <c r="G169">
        <v>4581412</v>
      </c>
      <c r="H169" t="s">
        <v>346</v>
      </c>
      <c r="I169" s="11">
        <v>0</v>
      </c>
      <c r="J169" s="9" t="str">
        <f>_xll.SNL.Clients.Office.Excel.Functions.SPG(G169, "SP_COUNTRY_NAME")</f>
        <v>Spain</v>
      </c>
      <c r="O169" s="9" t="str">
        <f>_xll.SNL.Clients.Office.Excel.Functions.SPG(L169, "SP_COUNTRY_NAME")</f>
        <v>#INVALID COMPANY ID</v>
      </c>
      <c r="T169" s="9" t="str">
        <f>_xll.SNL.Clients.Office.Excel.Functions.SPG(Q169, "SP_COUNTRY_NAME")</f>
        <v>#INVALID COMPANY ID</v>
      </c>
      <c r="U169" t="s">
        <v>771</v>
      </c>
      <c r="V169">
        <v>4162576</v>
      </c>
      <c r="W169" t="s">
        <v>346</v>
      </c>
      <c r="X169" s="11">
        <v>0.01</v>
      </c>
      <c r="Y169" s="9" t="str">
        <f>_xll.SNL.Clients.Office.Excel.Functions.SPG(V169, "SP_COUNTRY_NAME")</f>
        <v>USA</v>
      </c>
      <c r="AD169" s="9" t="str">
        <f>_xll.SNL.Clients.Office.Excel.Functions.SPG(AA169, "SP_COUNTRY_NAME")</f>
        <v>#INVALID COMPANY ID</v>
      </c>
      <c r="AE169" t="s">
        <v>485</v>
      </c>
      <c r="AF169">
        <v>5652844</v>
      </c>
      <c r="AG169" t="s">
        <v>346</v>
      </c>
      <c r="AH169" s="11">
        <v>0</v>
      </c>
      <c r="AI169" s="9" t="str">
        <f>_xll.SNL.Clients.Office.Excel.Functions.SPG(AF169, "SP_COUNTRY_NAME")</f>
        <v>Japan</v>
      </c>
      <c r="AN169" s="9" t="str">
        <f>_xll.SNL.Clients.Office.Excel.Functions.SPG(AK169, "SP_COUNTRY_NAME")</f>
        <v>#INVALID COMPANY ID</v>
      </c>
      <c r="AO169" t="s">
        <v>589</v>
      </c>
      <c r="AP169">
        <v>4140617</v>
      </c>
      <c r="AQ169" t="s">
        <v>346</v>
      </c>
      <c r="AR169" s="11">
        <v>0.01</v>
      </c>
      <c r="AS169" s="9" t="str">
        <f>_xll.SNL.Clients.Office.Excel.Functions.SPG(AP169, "SP_COUNTRY_NAME")</f>
        <v>Switzerland</v>
      </c>
      <c r="AX169" s="9" t="str">
        <f>_xll.SNL.Clients.Office.Excel.Functions.SPG(AU169, "SP_COUNTRY_NAME")</f>
        <v>#INVALID COMPANY ID</v>
      </c>
      <c r="BC169" s="9" t="str">
        <f>_xll.SNL.Clients.Office.Excel.Functions.SPG(AZ169, "SP_COUNTRY_NAME")</f>
        <v>#INVALID COMPANY ID</v>
      </c>
      <c r="BD169" t="s">
        <v>1258</v>
      </c>
      <c r="BE169">
        <v>4418750</v>
      </c>
      <c r="BF169" t="s">
        <v>346</v>
      </c>
      <c r="BG169" s="11">
        <v>0.03</v>
      </c>
      <c r="BH169" s="9" t="str">
        <f>_xll.SNL.Clients.Office.Excel.Functions.SPG(BE169, "SP_COUNTRY_NAME")</f>
        <v>South Africa</v>
      </c>
      <c r="BI169" t="s">
        <v>1040</v>
      </c>
      <c r="BJ169">
        <v>4232927</v>
      </c>
      <c r="BK169" t="s">
        <v>346</v>
      </c>
      <c r="BL169" s="11">
        <v>0</v>
      </c>
      <c r="BM169" s="9" t="str">
        <f>_xll.SNL.Clients.Office.Excel.Functions.SPG(BJ169, "SP_COUNTRY_NAME")</f>
        <v>Luxembourg</v>
      </c>
      <c r="BN169" t="s">
        <v>586</v>
      </c>
      <c r="BO169">
        <v>4251516</v>
      </c>
      <c r="BP169" t="s">
        <v>346</v>
      </c>
      <c r="BQ169" s="11">
        <v>0</v>
      </c>
      <c r="BR169" s="9" t="str">
        <f>_xll.SNL.Clients.Office.Excel.Functions.SPG(BO169, "SP_COUNTRY_NAME")</f>
        <v>Switzerland</v>
      </c>
      <c r="BS169" t="s">
        <v>649</v>
      </c>
      <c r="BT169">
        <v>4606392</v>
      </c>
      <c r="BU169" t="s">
        <v>346</v>
      </c>
      <c r="BV169" s="11">
        <v>0.01</v>
      </c>
      <c r="BW169" s="9" t="str">
        <f>_xll.SNL.Clients.Office.Excel.Functions.SPG(BT169, "SP_COUNTRY_NAME")</f>
        <v>China</v>
      </c>
      <c r="BX169" t="s">
        <v>771</v>
      </c>
      <c r="BY169">
        <v>4162576</v>
      </c>
      <c r="BZ169" t="s">
        <v>346</v>
      </c>
      <c r="CA169" s="11">
        <v>0.01</v>
      </c>
      <c r="CB169" s="9" t="str">
        <f>_xll.SNL.Clients.Office.Excel.Functions.SPG(BY169, "SP_COUNTRY_NAME")</f>
        <v>USA</v>
      </c>
      <c r="CC169" t="s">
        <v>1672</v>
      </c>
      <c r="CD169">
        <v>4262013</v>
      </c>
      <c r="CE169" t="s">
        <v>346</v>
      </c>
      <c r="CF169" s="11">
        <v>0.02</v>
      </c>
      <c r="CG169" s="9" t="str">
        <f>_xll.SNL.Clients.Office.Excel.Functions.SPG(CD169, "SP_COUNTRY_NAME")</f>
        <v>USA</v>
      </c>
      <c r="CH169" t="s">
        <v>589</v>
      </c>
      <c r="CI169">
        <v>4140617</v>
      </c>
      <c r="CJ169" t="s">
        <v>346</v>
      </c>
      <c r="CK169" s="11">
        <v>0.01</v>
      </c>
      <c r="CL169" s="9" t="str">
        <f>_xll.SNL.Clients.Office.Excel.Functions.SPG(CI169, "SP_COUNTRY_NAME")</f>
        <v>Switzerland</v>
      </c>
      <c r="CM169" t="s">
        <v>1323</v>
      </c>
      <c r="CN169">
        <v>5854916</v>
      </c>
      <c r="CO169" t="s">
        <v>346</v>
      </c>
      <c r="CP169" s="11">
        <v>0.02</v>
      </c>
      <c r="CQ169" s="9" t="str">
        <f>_xll.SNL.Clients.Office.Excel.Functions.SPG(CN169, "SP_COUNTRY_NAME")</f>
        <v>South Africa</v>
      </c>
      <c r="CV169" s="9" t="str">
        <f>_xll.SNL.Clients.Office.Excel.Functions.SPG(CS169, "SP_COUNTRY_NAME")</f>
        <v>#INVALID COMPANY ID</v>
      </c>
      <c r="DA169" s="9" t="str">
        <f>_xll.SNL.Clients.Office.Excel.Functions.SPG(CX169, "SP_COUNTRY_NAME")</f>
        <v>#INVALID COMPANY ID</v>
      </c>
      <c r="DB169" t="s">
        <v>1258</v>
      </c>
      <c r="DC169">
        <v>4418750</v>
      </c>
      <c r="DD169" t="s">
        <v>346</v>
      </c>
      <c r="DE169" s="11">
        <v>0.03</v>
      </c>
      <c r="DF169" s="9" t="str">
        <f>_xll.SNL.Clients.Office.Excel.Functions.SPG(DC169, "SP_COUNTRY_NAME")</f>
        <v>South Africa</v>
      </c>
      <c r="DK169" s="9" t="str">
        <f>_xll.SNL.Clients.Office.Excel.Functions.SPG(DH169, "SP_COUNTRY_NAME")</f>
        <v>#INVALID COMPANY ID</v>
      </c>
      <c r="DL169" t="s">
        <v>1258</v>
      </c>
      <c r="DM169">
        <v>4418750</v>
      </c>
      <c r="DN169" t="s">
        <v>346</v>
      </c>
      <c r="DO169" s="11">
        <v>0.03</v>
      </c>
      <c r="DP169" s="9" t="str">
        <f>_xll.SNL.Clients.Office.Excel.Functions.SPG(DM169, "SP_COUNTRY_NAME")</f>
        <v>South Africa</v>
      </c>
      <c r="DU169" s="9" t="str">
        <f>_xll.SNL.Clients.Office.Excel.Functions.SPG(DR169, "SP_COUNTRY_NAME")</f>
        <v>#INVALID COMPANY ID</v>
      </c>
      <c r="DZ169" s="9" t="str">
        <f>_xll.SNL.Clients.Office.Excel.Functions.SPG(DW169, "SP_COUNTRY_NAME")</f>
        <v>#INVALID COMPANY ID</v>
      </c>
      <c r="EA169" t="s">
        <v>1672</v>
      </c>
      <c r="EB169">
        <v>4262013</v>
      </c>
      <c r="EC169" t="s">
        <v>346</v>
      </c>
      <c r="ED169" s="11">
        <v>0.02</v>
      </c>
      <c r="EE169" s="9" t="str">
        <f>_xll.SNL.Clients.Office.Excel.Functions.SPG(EB169, "SP_COUNTRY_NAME")</f>
        <v>USA</v>
      </c>
      <c r="EF169" t="s">
        <v>1258</v>
      </c>
      <c r="EG169">
        <v>4418750</v>
      </c>
      <c r="EH169" t="s">
        <v>346</v>
      </c>
      <c r="EI169" s="11">
        <v>0.03</v>
      </c>
      <c r="EJ169" s="9" t="str">
        <f>_xll.SNL.Clients.Office.Excel.Functions.SPG(EG169, "SP_COUNTRY_NAME")</f>
        <v>South Africa</v>
      </c>
      <c r="EO169" s="9" t="str">
        <f>_xll.SNL.Clients.Office.Excel.Functions.SPG(EL169, "SP_COUNTRY_NAME")</f>
        <v>#INVALID COMPANY ID</v>
      </c>
      <c r="ET169" s="9" t="str">
        <f>_xll.SNL.Clients.Office.Excel.Functions.SPG(EQ169, "SP_COUNTRY_NAME")</f>
        <v>#INVALID COMPANY ID</v>
      </c>
      <c r="EY169" s="9" t="str">
        <f>_xll.SNL.Clients.Office.Excel.Functions.SPG(EV169, "SP_COUNTRY_NAME")</f>
        <v>#INVALID COMPANY ID</v>
      </c>
      <c r="FD169" s="9" t="str">
        <f>_xll.SNL.Clients.Office.Excel.Functions.SPG(FA169, "SP_COUNTRY_NAME")</f>
        <v>#INVALID COMPANY ID</v>
      </c>
      <c r="FI169" s="9" t="str">
        <f>_xll.SNL.Clients.Office.Excel.Functions.SPG(FF169, "SP_COUNTRY_NAME")</f>
        <v>#INVALID COMPANY ID</v>
      </c>
      <c r="FN169" s="9" t="str">
        <f>_xll.SNL.Clients.Office.Excel.Functions.SPG(FK169, "SP_COUNTRY_NAME")</f>
        <v>#INVALID COMPANY ID</v>
      </c>
      <c r="FS169" s="9" t="str">
        <f>_xll.SNL.Clients.Office.Excel.Functions.SPG(FP169, "SP_COUNTRY_NAME")</f>
        <v>#INVALID COMPANY ID</v>
      </c>
      <c r="FX169" s="9" t="str">
        <f>_xll.SNL.Clients.Office.Excel.Functions.SPG(FU169, "SP_COUNTRY_NAME")</f>
        <v>#INVALID COMPANY ID</v>
      </c>
      <c r="FY169" t="s">
        <v>1258</v>
      </c>
      <c r="FZ169">
        <v>4418750</v>
      </c>
      <c r="GA169" t="s">
        <v>346</v>
      </c>
      <c r="GB169" s="11">
        <v>0.03</v>
      </c>
      <c r="GC169" s="9" t="str">
        <f>_xll.SNL.Clients.Office.Excel.Functions.SPG(FZ169, "SP_COUNTRY_NAME")</f>
        <v>South Africa</v>
      </c>
      <c r="GH169" s="9" t="str">
        <f>_xll.SNL.Clients.Office.Excel.Functions.SPG(GE169, "SP_COUNTRY_NAME")</f>
        <v>#INVALID COMPANY ID</v>
      </c>
      <c r="GM169" s="9" t="str">
        <f>_xll.SNL.Clients.Office.Excel.Functions.SPG(GJ169, "SP_COUNTRY_NAME")</f>
        <v>#INVALID COMPANY ID</v>
      </c>
      <c r="GR169" s="9" t="str">
        <f>_xll.SNL.Clients.Office.Excel.Functions.SPG(GO169, "SP_COUNTRY_NAME")</f>
        <v>#INVALID COMPANY ID</v>
      </c>
      <c r="GS169" t="s">
        <v>586</v>
      </c>
      <c r="GT169">
        <v>4251516</v>
      </c>
      <c r="GU169" t="s">
        <v>346</v>
      </c>
      <c r="GV169" s="11">
        <v>0</v>
      </c>
      <c r="GW169" s="9" t="str">
        <f>_xll.SNL.Clients.Office.Excel.Functions.SPG(GT169, "SP_COUNTRY_NAME")</f>
        <v>Switzerland</v>
      </c>
      <c r="GX169" t="s">
        <v>1672</v>
      </c>
      <c r="GY169">
        <v>4262013</v>
      </c>
      <c r="GZ169" t="s">
        <v>346</v>
      </c>
      <c r="HA169" s="11">
        <v>0.02</v>
      </c>
      <c r="HB169" s="9" t="str">
        <f>_xll.SNL.Clients.Office.Excel.Functions.SPG(GY169, "SP_COUNTRY_NAME")</f>
        <v>USA</v>
      </c>
      <c r="HG169" s="9" t="str">
        <f>_xll.SNL.Clients.Office.Excel.Functions.SPG(HD169, "SP_COUNTRY_NAME")</f>
        <v>#INVALID COMPANY ID</v>
      </c>
    </row>
    <row r="170" spans="5:215" x14ac:dyDescent="0.35">
      <c r="E170" s="9" t="str">
        <f>_xll.SNL.Clients.Office.Excel.Functions.SPG(B170, "SP_COUNTRY_NAME")</f>
        <v>#INVALID COMPANY ID</v>
      </c>
      <c r="F170" t="s">
        <v>556</v>
      </c>
      <c r="G170">
        <v>4273041</v>
      </c>
      <c r="H170" t="s">
        <v>346</v>
      </c>
      <c r="I170" s="11">
        <v>0</v>
      </c>
      <c r="J170" s="9" t="str">
        <f>_xll.SNL.Clients.Office.Excel.Functions.SPG(G170, "SP_COUNTRY_NAME")</f>
        <v>Singapore</v>
      </c>
      <c r="O170" s="9" t="str">
        <f>_xll.SNL.Clients.Office.Excel.Functions.SPG(L170, "SP_COUNTRY_NAME")</f>
        <v>#INVALID COMPANY ID</v>
      </c>
      <c r="T170" s="9" t="str">
        <f>_xll.SNL.Clients.Office.Excel.Functions.SPG(Q170, "SP_COUNTRY_NAME")</f>
        <v>#INVALID COMPANY ID</v>
      </c>
      <c r="U170" t="s">
        <v>546</v>
      </c>
      <c r="V170">
        <v>4158830</v>
      </c>
      <c r="W170" t="s">
        <v>346</v>
      </c>
      <c r="X170" s="11">
        <v>0.01</v>
      </c>
      <c r="Y170" s="9" t="str">
        <f>_xll.SNL.Clients.Office.Excel.Functions.SPG(V170, "SP_COUNTRY_NAME")</f>
        <v>USA</v>
      </c>
      <c r="AD170" s="9" t="str">
        <f>_xll.SNL.Clients.Office.Excel.Functions.SPG(AA170, "SP_COUNTRY_NAME")</f>
        <v>#INVALID COMPANY ID</v>
      </c>
      <c r="AE170" t="s">
        <v>1163</v>
      </c>
      <c r="AF170">
        <v>5796925</v>
      </c>
      <c r="AG170" t="s">
        <v>346</v>
      </c>
      <c r="AH170" s="11">
        <v>0</v>
      </c>
      <c r="AI170" s="9" t="str">
        <f>_xll.SNL.Clients.Office.Excel.Functions.SPG(AF170, "SP_COUNTRY_NAME")</f>
        <v>Germany</v>
      </c>
      <c r="AN170" s="9" t="str">
        <f>_xll.SNL.Clients.Office.Excel.Functions.SPG(AK170, "SP_COUNTRY_NAME")</f>
        <v>#INVALID COMPANY ID</v>
      </c>
      <c r="AO170" t="s">
        <v>1318</v>
      </c>
      <c r="AP170">
        <v>4234965</v>
      </c>
      <c r="AQ170" t="s">
        <v>346</v>
      </c>
      <c r="AR170" s="11">
        <v>0.01</v>
      </c>
      <c r="AS170" s="9" t="str">
        <f>_xll.SNL.Clients.Office.Excel.Functions.SPG(AP170, "SP_COUNTRY_NAME")</f>
        <v>Namibia</v>
      </c>
      <c r="AX170" s="9" t="str">
        <f>_xll.SNL.Clients.Office.Excel.Functions.SPG(AU170, "SP_COUNTRY_NAME")</f>
        <v>#INVALID COMPANY ID</v>
      </c>
      <c r="BC170" s="9" t="str">
        <f>_xll.SNL.Clients.Office.Excel.Functions.SPG(AZ170, "SP_COUNTRY_NAME")</f>
        <v>#INVALID COMPANY ID</v>
      </c>
      <c r="BD170" t="s">
        <v>1448</v>
      </c>
      <c r="BE170">
        <v>4395029</v>
      </c>
      <c r="BF170" t="s">
        <v>346</v>
      </c>
      <c r="BG170" s="11">
        <v>0.03</v>
      </c>
      <c r="BH170" s="9" t="str">
        <f>_xll.SNL.Clients.Office.Excel.Functions.SPG(BE170, "SP_COUNTRY_NAME")</f>
        <v>United Kingdom</v>
      </c>
      <c r="BI170" t="s">
        <v>579</v>
      </c>
      <c r="BJ170">
        <v>5842097</v>
      </c>
      <c r="BK170" t="s">
        <v>346</v>
      </c>
      <c r="BL170" s="11">
        <v>0</v>
      </c>
      <c r="BM170" s="9" t="str">
        <f>_xll.SNL.Clients.Office.Excel.Functions.SPG(BJ170, "SP_COUNTRY_NAME")</f>
        <v>Italy</v>
      </c>
      <c r="BN170" t="s">
        <v>562</v>
      </c>
      <c r="BO170">
        <v>4256114</v>
      </c>
      <c r="BP170" t="s">
        <v>346</v>
      </c>
      <c r="BQ170" s="11">
        <v>0</v>
      </c>
      <c r="BR170" s="9" t="str">
        <f>_xll.SNL.Clients.Office.Excel.Functions.SPG(BO170, "SP_COUNTRY_NAME")</f>
        <v>South Korea</v>
      </c>
      <c r="BS170" t="s">
        <v>666</v>
      </c>
      <c r="BT170">
        <v>4379197</v>
      </c>
      <c r="BU170" t="s">
        <v>346</v>
      </c>
      <c r="BV170" s="11">
        <v>0.01</v>
      </c>
      <c r="BW170" s="9" t="str">
        <f>_xll.SNL.Clients.Office.Excel.Functions.SPG(BT170, "SP_COUNTRY_NAME")</f>
        <v>China</v>
      </c>
      <c r="BX170" t="s">
        <v>546</v>
      </c>
      <c r="BY170">
        <v>4158830</v>
      </c>
      <c r="BZ170" t="s">
        <v>346</v>
      </c>
      <c r="CA170" s="11">
        <v>0.01</v>
      </c>
      <c r="CB170" s="9" t="str">
        <f>_xll.SNL.Clients.Office.Excel.Functions.SPG(BY170, "SP_COUNTRY_NAME")</f>
        <v>USA</v>
      </c>
      <c r="CC170" t="s">
        <v>423</v>
      </c>
      <c r="CD170">
        <v>4318240</v>
      </c>
      <c r="CE170" t="s">
        <v>346</v>
      </c>
      <c r="CF170" s="11">
        <v>0.02</v>
      </c>
      <c r="CG170" s="9" t="str">
        <f>_xll.SNL.Clients.Office.Excel.Functions.SPG(CD170, "SP_COUNTRY_NAME")</f>
        <v>Japan</v>
      </c>
      <c r="CH170" t="s">
        <v>1318</v>
      </c>
      <c r="CI170">
        <v>4234965</v>
      </c>
      <c r="CJ170" t="s">
        <v>346</v>
      </c>
      <c r="CK170" s="11">
        <v>0.01</v>
      </c>
      <c r="CL170" s="9" t="str">
        <f>_xll.SNL.Clients.Office.Excel.Functions.SPG(CI170, "SP_COUNTRY_NAME")</f>
        <v>Namibia</v>
      </c>
      <c r="CM170" t="s">
        <v>1293</v>
      </c>
      <c r="CN170">
        <v>4672160</v>
      </c>
      <c r="CO170" t="s">
        <v>346</v>
      </c>
      <c r="CP170" s="11">
        <v>0.02</v>
      </c>
      <c r="CQ170" s="9" t="str">
        <f>_xll.SNL.Clients.Office.Excel.Functions.SPG(CN170, "SP_COUNTRY_NAME")</f>
        <v>South Africa</v>
      </c>
      <c r="CV170" s="9" t="str">
        <f>_xll.SNL.Clients.Office.Excel.Functions.SPG(CS170, "SP_COUNTRY_NAME")</f>
        <v>#INVALID COMPANY ID</v>
      </c>
      <c r="DA170" s="9" t="str">
        <f>_xll.SNL.Clients.Office.Excel.Functions.SPG(CX170, "SP_COUNTRY_NAME")</f>
        <v>#INVALID COMPANY ID</v>
      </c>
      <c r="DB170" t="s">
        <v>1448</v>
      </c>
      <c r="DC170">
        <v>4395029</v>
      </c>
      <c r="DD170" t="s">
        <v>346</v>
      </c>
      <c r="DE170" s="11">
        <v>0.03</v>
      </c>
      <c r="DF170" s="9" t="str">
        <f>_xll.SNL.Clients.Office.Excel.Functions.SPG(DC170, "SP_COUNTRY_NAME")</f>
        <v>United Kingdom</v>
      </c>
      <c r="DK170" s="9" t="str">
        <f>_xll.SNL.Clients.Office.Excel.Functions.SPG(DH170, "SP_COUNTRY_NAME")</f>
        <v>#INVALID COMPANY ID</v>
      </c>
      <c r="DL170" t="s">
        <v>1448</v>
      </c>
      <c r="DM170">
        <v>4395029</v>
      </c>
      <c r="DN170" t="s">
        <v>346</v>
      </c>
      <c r="DO170" s="11">
        <v>0.03</v>
      </c>
      <c r="DP170" s="9" t="str">
        <f>_xll.SNL.Clients.Office.Excel.Functions.SPG(DM170, "SP_COUNTRY_NAME")</f>
        <v>United Kingdom</v>
      </c>
      <c r="DU170" s="9" t="str">
        <f>_xll.SNL.Clients.Office.Excel.Functions.SPG(DR170, "SP_COUNTRY_NAME")</f>
        <v>#INVALID COMPANY ID</v>
      </c>
      <c r="DZ170" s="9" t="str">
        <f>_xll.SNL.Clients.Office.Excel.Functions.SPG(DW170, "SP_COUNTRY_NAME")</f>
        <v>#INVALID COMPANY ID</v>
      </c>
      <c r="EA170" t="s">
        <v>423</v>
      </c>
      <c r="EB170">
        <v>4318240</v>
      </c>
      <c r="EC170" t="s">
        <v>346</v>
      </c>
      <c r="ED170" s="11">
        <v>0.02</v>
      </c>
      <c r="EE170" s="9" t="str">
        <f>_xll.SNL.Clients.Office.Excel.Functions.SPG(EB170, "SP_COUNTRY_NAME")</f>
        <v>Japan</v>
      </c>
      <c r="EF170" t="s">
        <v>1448</v>
      </c>
      <c r="EG170">
        <v>4395029</v>
      </c>
      <c r="EH170" t="s">
        <v>346</v>
      </c>
      <c r="EI170" s="11">
        <v>0.03</v>
      </c>
      <c r="EJ170" s="9" t="str">
        <f>_xll.SNL.Clients.Office.Excel.Functions.SPG(EG170, "SP_COUNTRY_NAME")</f>
        <v>United Kingdom</v>
      </c>
      <c r="EO170" s="9" t="str">
        <f>_xll.SNL.Clients.Office.Excel.Functions.SPG(EL170, "SP_COUNTRY_NAME")</f>
        <v>#INVALID COMPANY ID</v>
      </c>
      <c r="ET170" s="9" t="str">
        <f>_xll.SNL.Clients.Office.Excel.Functions.SPG(EQ170, "SP_COUNTRY_NAME")</f>
        <v>#INVALID COMPANY ID</v>
      </c>
      <c r="EY170" s="9" t="str">
        <f>_xll.SNL.Clients.Office.Excel.Functions.SPG(EV170, "SP_COUNTRY_NAME")</f>
        <v>#INVALID COMPANY ID</v>
      </c>
      <c r="FD170" s="9" t="str">
        <f>_xll.SNL.Clients.Office.Excel.Functions.SPG(FA170, "SP_COUNTRY_NAME")</f>
        <v>#INVALID COMPANY ID</v>
      </c>
      <c r="FI170" s="9" t="str">
        <f>_xll.SNL.Clients.Office.Excel.Functions.SPG(FF170, "SP_COUNTRY_NAME")</f>
        <v>#INVALID COMPANY ID</v>
      </c>
      <c r="FN170" s="9" t="str">
        <f>_xll.SNL.Clients.Office.Excel.Functions.SPG(FK170, "SP_COUNTRY_NAME")</f>
        <v>#INVALID COMPANY ID</v>
      </c>
      <c r="FS170" s="9" t="str">
        <f>_xll.SNL.Clients.Office.Excel.Functions.SPG(FP170, "SP_COUNTRY_NAME")</f>
        <v>#INVALID COMPANY ID</v>
      </c>
      <c r="FX170" s="9" t="str">
        <f>_xll.SNL.Clients.Office.Excel.Functions.SPG(FU170, "SP_COUNTRY_NAME")</f>
        <v>#INVALID COMPANY ID</v>
      </c>
      <c r="FY170" t="s">
        <v>1448</v>
      </c>
      <c r="FZ170">
        <v>4395029</v>
      </c>
      <c r="GA170" t="s">
        <v>346</v>
      </c>
      <c r="GB170" s="11">
        <v>0.03</v>
      </c>
      <c r="GC170" s="9" t="str">
        <f>_xll.SNL.Clients.Office.Excel.Functions.SPG(FZ170, "SP_COUNTRY_NAME")</f>
        <v>United Kingdom</v>
      </c>
      <c r="GH170" s="9" t="str">
        <f>_xll.SNL.Clients.Office.Excel.Functions.SPG(GE170, "SP_COUNTRY_NAME")</f>
        <v>#INVALID COMPANY ID</v>
      </c>
      <c r="GM170" s="9" t="str">
        <f>_xll.SNL.Clients.Office.Excel.Functions.SPG(GJ170, "SP_COUNTRY_NAME")</f>
        <v>#INVALID COMPANY ID</v>
      </c>
      <c r="GR170" s="9" t="str">
        <f>_xll.SNL.Clients.Office.Excel.Functions.SPG(GO170, "SP_COUNTRY_NAME")</f>
        <v>#INVALID COMPANY ID</v>
      </c>
      <c r="GS170" t="s">
        <v>562</v>
      </c>
      <c r="GT170">
        <v>4256114</v>
      </c>
      <c r="GU170" t="s">
        <v>346</v>
      </c>
      <c r="GV170" s="11">
        <v>0</v>
      </c>
      <c r="GW170" s="9" t="str">
        <f>_xll.SNL.Clients.Office.Excel.Functions.SPG(GT170, "SP_COUNTRY_NAME")</f>
        <v>South Korea</v>
      </c>
      <c r="GX170" t="s">
        <v>423</v>
      </c>
      <c r="GY170">
        <v>4318240</v>
      </c>
      <c r="GZ170" t="s">
        <v>346</v>
      </c>
      <c r="HA170" s="11">
        <v>0.02</v>
      </c>
      <c r="HB170" s="9" t="str">
        <f>_xll.SNL.Clients.Office.Excel.Functions.SPG(GY170, "SP_COUNTRY_NAME")</f>
        <v>Japan</v>
      </c>
      <c r="HG170" s="9" t="str">
        <f>_xll.SNL.Clients.Office.Excel.Functions.SPG(HD170, "SP_COUNTRY_NAME")</f>
        <v>#INVALID COMPANY ID</v>
      </c>
    </row>
    <row r="171" spans="5:215" x14ac:dyDescent="0.35">
      <c r="E171" s="9" t="str">
        <f>_xll.SNL.Clients.Office.Excel.Functions.SPG(B171, "SP_COUNTRY_NAME")</f>
        <v>#INVALID COMPANY ID</v>
      </c>
      <c r="F171" t="s">
        <v>557</v>
      </c>
      <c r="G171">
        <v>20326442</v>
      </c>
      <c r="H171" t="s">
        <v>346</v>
      </c>
      <c r="I171" s="11">
        <v>0</v>
      </c>
      <c r="J171" s="9" t="str">
        <f>_xll.SNL.Clients.Office.Excel.Functions.SPG(G171, "SP_COUNTRY_NAME")</f>
        <v>#INVALID COMPANY ID</v>
      </c>
      <c r="O171" s="9" t="str">
        <f>_xll.SNL.Clients.Office.Excel.Functions.SPG(L171, "SP_COUNTRY_NAME")</f>
        <v>#INVALID COMPANY ID</v>
      </c>
      <c r="T171" s="9" t="str">
        <f>_xll.SNL.Clients.Office.Excel.Functions.SPG(Q171, "SP_COUNTRY_NAME")</f>
        <v>#INVALID COMPANY ID</v>
      </c>
      <c r="U171" t="s">
        <v>404</v>
      </c>
      <c r="V171">
        <v>4383779</v>
      </c>
      <c r="W171" t="s">
        <v>346</v>
      </c>
      <c r="X171" s="11">
        <v>0.01</v>
      </c>
      <c r="Y171" s="9" t="str">
        <f>_xll.SNL.Clients.Office.Excel.Functions.SPG(V171, "SP_COUNTRY_NAME")</f>
        <v>USA</v>
      </c>
      <c r="AD171" s="9" t="str">
        <f>_xll.SNL.Clients.Office.Excel.Functions.SPG(AA171, "SP_COUNTRY_NAME")</f>
        <v>#INVALID COMPANY ID</v>
      </c>
      <c r="AE171" t="s">
        <v>566</v>
      </c>
      <c r="AF171">
        <v>5842545</v>
      </c>
      <c r="AG171" t="s">
        <v>346</v>
      </c>
      <c r="AH171" s="11">
        <v>0</v>
      </c>
      <c r="AI171" s="9" t="str">
        <f>_xll.SNL.Clients.Office.Excel.Functions.SPG(AF171, "SP_COUNTRY_NAME")</f>
        <v>USA</v>
      </c>
      <c r="AN171" s="9" t="str">
        <f>_xll.SNL.Clients.Office.Excel.Functions.SPG(AK171, "SP_COUNTRY_NAME")</f>
        <v>#INVALID COMPANY ID</v>
      </c>
      <c r="AO171" t="s">
        <v>1319</v>
      </c>
      <c r="AP171">
        <v>19910977</v>
      </c>
      <c r="AQ171" t="s">
        <v>346</v>
      </c>
      <c r="AR171" s="11">
        <v>0.01</v>
      </c>
      <c r="AS171" s="9" t="str">
        <f>_xll.SNL.Clients.Office.Excel.Functions.SPG(AP171, "SP_COUNTRY_NAME")</f>
        <v>South Africa</v>
      </c>
      <c r="AX171" s="9" t="str">
        <f>_xll.SNL.Clients.Office.Excel.Functions.SPG(AU171, "SP_COUNTRY_NAME")</f>
        <v>#INVALID COMPANY ID</v>
      </c>
      <c r="BC171" s="9" t="str">
        <f>_xll.SNL.Clients.Office.Excel.Functions.SPG(AZ171, "SP_COUNTRY_NAME")</f>
        <v>#INVALID COMPANY ID</v>
      </c>
      <c r="BD171" t="s">
        <v>1325</v>
      </c>
      <c r="BE171">
        <v>5760145</v>
      </c>
      <c r="BF171" t="s">
        <v>346</v>
      </c>
      <c r="BG171" s="11">
        <v>0.03</v>
      </c>
      <c r="BH171" s="9" t="str">
        <f>_xll.SNL.Clients.Office.Excel.Functions.SPG(BE171, "SP_COUNTRY_NAME")</f>
        <v>South Africa</v>
      </c>
      <c r="BI171" t="s">
        <v>390</v>
      </c>
      <c r="BJ171">
        <v>4135241</v>
      </c>
      <c r="BK171" t="s">
        <v>346</v>
      </c>
      <c r="BL171" s="11">
        <v>0</v>
      </c>
      <c r="BM171" s="9" t="str">
        <f>_xll.SNL.Clients.Office.Excel.Functions.SPG(BJ171, "SP_COUNTRY_NAME")</f>
        <v>Australia</v>
      </c>
      <c r="BN171" t="s">
        <v>675</v>
      </c>
      <c r="BO171">
        <v>4548312</v>
      </c>
      <c r="BP171" t="s">
        <v>346</v>
      </c>
      <c r="BQ171" s="11">
        <v>0</v>
      </c>
      <c r="BR171" s="9" t="str">
        <f>_xll.SNL.Clients.Office.Excel.Functions.SPG(BO171, "SP_COUNTRY_NAME")</f>
        <v>China</v>
      </c>
      <c r="BS171" t="s">
        <v>730</v>
      </c>
      <c r="BT171">
        <v>4436408</v>
      </c>
      <c r="BU171" t="s">
        <v>346</v>
      </c>
      <c r="BV171" s="11">
        <v>0.01</v>
      </c>
      <c r="BW171" s="9" t="str">
        <f>_xll.SNL.Clients.Office.Excel.Functions.SPG(BT171, "SP_COUNTRY_NAME")</f>
        <v>China</v>
      </c>
      <c r="BX171" t="s">
        <v>404</v>
      </c>
      <c r="BY171">
        <v>4383779</v>
      </c>
      <c r="BZ171" t="s">
        <v>346</v>
      </c>
      <c r="CA171" s="11">
        <v>0.01</v>
      </c>
      <c r="CB171" s="9" t="str">
        <f>_xll.SNL.Clients.Office.Excel.Functions.SPG(BY171, "SP_COUNTRY_NAME")</f>
        <v>USA</v>
      </c>
      <c r="CC171" t="s">
        <v>398</v>
      </c>
      <c r="CD171">
        <v>4107954</v>
      </c>
      <c r="CE171" t="s">
        <v>300</v>
      </c>
      <c r="CF171" s="11">
        <v>0.02</v>
      </c>
      <c r="CG171" s="9" t="str">
        <f>_xll.SNL.Clients.Office.Excel.Functions.SPG(CD171, "SP_COUNTRY_NAME")</f>
        <v>Japan</v>
      </c>
      <c r="CH171" t="s">
        <v>1319</v>
      </c>
      <c r="CI171">
        <v>19910977</v>
      </c>
      <c r="CJ171" t="s">
        <v>346</v>
      </c>
      <c r="CK171" s="11">
        <v>0.01</v>
      </c>
      <c r="CL171" s="9" t="str">
        <f>_xll.SNL.Clients.Office.Excel.Functions.SPG(CI171, "SP_COUNTRY_NAME")</f>
        <v>South Africa</v>
      </c>
      <c r="CM171" t="s">
        <v>1202</v>
      </c>
      <c r="CN171">
        <v>5850609</v>
      </c>
      <c r="CO171" t="s">
        <v>346</v>
      </c>
      <c r="CP171" s="11">
        <v>0.02</v>
      </c>
      <c r="CQ171" s="9" t="str">
        <f>_xll.SNL.Clients.Office.Excel.Functions.SPG(CN171, "SP_COUNTRY_NAME")</f>
        <v>Germany</v>
      </c>
      <c r="CV171" s="9" t="str">
        <f>_xll.SNL.Clients.Office.Excel.Functions.SPG(CS171, "SP_COUNTRY_NAME")</f>
        <v>#INVALID COMPANY ID</v>
      </c>
      <c r="DA171" s="9" t="str">
        <f>_xll.SNL.Clients.Office.Excel.Functions.SPG(CX171, "SP_COUNTRY_NAME")</f>
        <v>#INVALID COMPANY ID</v>
      </c>
      <c r="DB171" t="s">
        <v>1325</v>
      </c>
      <c r="DC171">
        <v>5760145</v>
      </c>
      <c r="DD171" t="s">
        <v>346</v>
      </c>
      <c r="DE171" s="11">
        <v>0.03</v>
      </c>
      <c r="DF171" s="9" t="str">
        <f>_xll.SNL.Clients.Office.Excel.Functions.SPG(DC171, "SP_COUNTRY_NAME")</f>
        <v>South Africa</v>
      </c>
      <c r="DK171" s="9" t="str">
        <f>_xll.SNL.Clients.Office.Excel.Functions.SPG(DH171, "SP_COUNTRY_NAME")</f>
        <v>#INVALID COMPANY ID</v>
      </c>
      <c r="DL171" t="s">
        <v>1325</v>
      </c>
      <c r="DM171">
        <v>5760145</v>
      </c>
      <c r="DN171" t="s">
        <v>346</v>
      </c>
      <c r="DO171" s="11">
        <v>0.03</v>
      </c>
      <c r="DP171" s="9" t="str">
        <f>_xll.SNL.Clients.Office.Excel.Functions.SPG(DM171, "SP_COUNTRY_NAME")</f>
        <v>South Africa</v>
      </c>
      <c r="DU171" s="9" t="str">
        <f>_xll.SNL.Clients.Office.Excel.Functions.SPG(DR171, "SP_COUNTRY_NAME")</f>
        <v>#INVALID COMPANY ID</v>
      </c>
      <c r="DZ171" s="9" t="str">
        <f>_xll.SNL.Clients.Office.Excel.Functions.SPG(DW171, "SP_COUNTRY_NAME")</f>
        <v>#INVALID COMPANY ID</v>
      </c>
      <c r="EA171" t="s">
        <v>398</v>
      </c>
      <c r="EB171">
        <v>4107954</v>
      </c>
      <c r="EC171" t="s">
        <v>300</v>
      </c>
      <c r="ED171" s="11">
        <v>0.02</v>
      </c>
      <c r="EE171" s="9" t="str">
        <f>_xll.SNL.Clients.Office.Excel.Functions.SPG(EB171, "SP_COUNTRY_NAME")</f>
        <v>Japan</v>
      </c>
      <c r="EF171" t="s">
        <v>1325</v>
      </c>
      <c r="EG171">
        <v>5760145</v>
      </c>
      <c r="EH171" t="s">
        <v>346</v>
      </c>
      <c r="EI171" s="11">
        <v>0.03</v>
      </c>
      <c r="EJ171" s="9" t="str">
        <f>_xll.SNL.Clients.Office.Excel.Functions.SPG(EG171, "SP_COUNTRY_NAME")</f>
        <v>South Africa</v>
      </c>
      <c r="EO171" s="9" t="str">
        <f>_xll.SNL.Clients.Office.Excel.Functions.SPG(EL171, "SP_COUNTRY_NAME")</f>
        <v>#INVALID COMPANY ID</v>
      </c>
      <c r="ET171" s="9" t="str">
        <f>_xll.SNL.Clients.Office.Excel.Functions.SPG(EQ171, "SP_COUNTRY_NAME")</f>
        <v>#INVALID COMPANY ID</v>
      </c>
      <c r="EY171" s="9" t="str">
        <f>_xll.SNL.Clients.Office.Excel.Functions.SPG(EV171, "SP_COUNTRY_NAME")</f>
        <v>#INVALID COMPANY ID</v>
      </c>
      <c r="FD171" s="9" t="str">
        <f>_xll.SNL.Clients.Office.Excel.Functions.SPG(FA171, "SP_COUNTRY_NAME")</f>
        <v>#INVALID COMPANY ID</v>
      </c>
      <c r="FI171" s="9" t="str">
        <f>_xll.SNL.Clients.Office.Excel.Functions.SPG(FF171, "SP_COUNTRY_NAME")</f>
        <v>#INVALID COMPANY ID</v>
      </c>
      <c r="FN171" s="9" t="str">
        <f>_xll.SNL.Clients.Office.Excel.Functions.SPG(FK171, "SP_COUNTRY_NAME")</f>
        <v>#INVALID COMPANY ID</v>
      </c>
      <c r="FS171" s="9" t="str">
        <f>_xll.SNL.Clients.Office.Excel.Functions.SPG(FP171, "SP_COUNTRY_NAME")</f>
        <v>#INVALID COMPANY ID</v>
      </c>
      <c r="FX171" s="9" t="str">
        <f>_xll.SNL.Clients.Office.Excel.Functions.SPG(FU171, "SP_COUNTRY_NAME")</f>
        <v>#INVALID COMPANY ID</v>
      </c>
      <c r="FY171" t="s">
        <v>1325</v>
      </c>
      <c r="FZ171">
        <v>5760145</v>
      </c>
      <c r="GA171" t="s">
        <v>346</v>
      </c>
      <c r="GB171" s="11">
        <v>0.03</v>
      </c>
      <c r="GC171" s="9" t="str">
        <f>_xll.SNL.Clients.Office.Excel.Functions.SPG(FZ171, "SP_COUNTRY_NAME")</f>
        <v>South Africa</v>
      </c>
      <c r="GH171" s="9" t="str">
        <f>_xll.SNL.Clients.Office.Excel.Functions.SPG(GE171, "SP_COUNTRY_NAME")</f>
        <v>#INVALID COMPANY ID</v>
      </c>
      <c r="GM171" s="9" t="str">
        <f>_xll.SNL.Clients.Office.Excel.Functions.SPG(GJ171, "SP_COUNTRY_NAME")</f>
        <v>#INVALID COMPANY ID</v>
      </c>
      <c r="GR171" s="9" t="str">
        <f>_xll.SNL.Clients.Office.Excel.Functions.SPG(GO171, "SP_COUNTRY_NAME")</f>
        <v>#INVALID COMPANY ID</v>
      </c>
      <c r="GS171" t="s">
        <v>675</v>
      </c>
      <c r="GT171">
        <v>4548312</v>
      </c>
      <c r="GU171" t="s">
        <v>346</v>
      </c>
      <c r="GV171" s="11">
        <v>0</v>
      </c>
      <c r="GW171" s="9" t="str">
        <f>_xll.SNL.Clients.Office.Excel.Functions.SPG(GT171, "SP_COUNTRY_NAME")</f>
        <v>China</v>
      </c>
      <c r="GX171" t="s">
        <v>398</v>
      </c>
      <c r="GY171">
        <v>4107954</v>
      </c>
      <c r="GZ171" t="s">
        <v>300</v>
      </c>
      <c r="HA171" s="11">
        <v>0.02</v>
      </c>
      <c r="HB171" s="9" t="str">
        <f>_xll.SNL.Clients.Office.Excel.Functions.SPG(GY171, "SP_COUNTRY_NAME")</f>
        <v>Japan</v>
      </c>
      <c r="HG171" s="9" t="str">
        <f>_xll.SNL.Clients.Office.Excel.Functions.SPG(HD171, "SP_COUNTRY_NAME")</f>
        <v>#INVALID COMPANY ID</v>
      </c>
    </row>
    <row r="172" spans="5:215" x14ac:dyDescent="0.35">
      <c r="E172" s="9" t="str">
        <f>_xll.SNL.Clients.Office.Excel.Functions.SPG(B172, "SP_COUNTRY_NAME")</f>
        <v>#INVALID COMPANY ID</v>
      </c>
      <c r="F172" t="s">
        <v>558</v>
      </c>
      <c r="G172">
        <v>109844</v>
      </c>
      <c r="H172" t="s">
        <v>346</v>
      </c>
      <c r="I172" s="11">
        <v>0</v>
      </c>
      <c r="J172" s="9" t="str">
        <f>_xll.SNL.Clients.Office.Excel.Functions.SPG(G172, "SP_COUNTRY_NAME")</f>
        <v>USA</v>
      </c>
      <c r="O172" s="9" t="str">
        <f>_xll.SNL.Clients.Office.Excel.Functions.SPG(L172, "SP_COUNTRY_NAME")</f>
        <v>#INVALID COMPANY ID</v>
      </c>
      <c r="T172" s="9" t="str">
        <f>_xll.SNL.Clients.Office.Excel.Functions.SPG(Q172, "SP_COUNTRY_NAME")</f>
        <v>#INVALID COMPANY ID</v>
      </c>
      <c r="U172" t="s">
        <v>772</v>
      </c>
      <c r="V172">
        <v>4137684</v>
      </c>
      <c r="W172" t="s">
        <v>300</v>
      </c>
      <c r="X172" s="11">
        <v>0.01</v>
      </c>
      <c r="Y172" s="9" t="str">
        <f>_xll.SNL.Clients.Office.Excel.Functions.SPG(V172, "SP_COUNTRY_NAME")</f>
        <v>China</v>
      </c>
      <c r="AD172" s="9" t="str">
        <f>_xll.SNL.Clients.Office.Excel.Functions.SPG(AA172, "SP_COUNTRY_NAME")</f>
        <v>#INVALID COMPANY ID</v>
      </c>
      <c r="AE172" t="s">
        <v>1164</v>
      </c>
      <c r="AF172" t="s">
        <v>300</v>
      </c>
      <c r="AG172" t="s">
        <v>361</v>
      </c>
      <c r="AH172" s="11">
        <v>0</v>
      </c>
      <c r="AI172" s="9" t="str">
        <f>_xll.SNL.Clients.Office.Excel.Functions.SPG(AF172, "SP_COUNTRY_NAME")</f>
        <v>China</v>
      </c>
      <c r="AN172" s="9" t="str">
        <f>_xll.SNL.Clients.Office.Excel.Functions.SPG(AK172, "SP_COUNTRY_NAME")</f>
        <v>#INVALID COMPANY ID</v>
      </c>
      <c r="AO172" t="s">
        <v>1320</v>
      </c>
      <c r="AP172">
        <v>4116164</v>
      </c>
      <c r="AQ172" t="s">
        <v>346</v>
      </c>
      <c r="AR172" s="11">
        <v>0.01</v>
      </c>
      <c r="AS172" s="9" t="str">
        <f>_xll.SNL.Clients.Office.Excel.Functions.SPG(AP172, "SP_COUNTRY_NAME")</f>
        <v>USA</v>
      </c>
      <c r="AX172" s="9" t="str">
        <f>_xll.SNL.Clients.Office.Excel.Functions.SPG(AU172, "SP_COUNTRY_NAME")</f>
        <v>#INVALID COMPANY ID</v>
      </c>
      <c r="BC172" s="9" t="str">
        <f>_xll.SNL.Clients.Office.Excel.Functions.SPG(AZ172, "SP_COUNTRY_NAME")</f>
        <v>#INVALID COMPANY ID</v>
      </c>
      <c r="BD172" t="s">
        <v>1449</v>
      </c>
      <c r="BE172">
        <v>4628064</v>
      </c>
      <c r="BF172" t="s">
        <v>346</v>
      </c>
      <c r="BG172" s="11">
        <v>0.03</v>
      </c>
      <c r="BH172" s="9" t="str">
        <f>_xll.SNL.Clients.Office.Excel.Functions.SPG(BE172, "SP_COUNTRY_NAME")</f>
        <v>Estonia</v>
      </c>
      <c r="BI172" t="s">
        <v>356</v>
      </c>
      <c r="BJ172">
        <v>4578944</v>
      </c>
      <c r="BK172" t="s">
        <v>346</v>
      </c>
      <c r="BL172" s="11">
        <v>0</v>
      </c>
      <c r="BM172" s="9" t="str">
        <f>_xll.SNL.Clients.Office.Excel.Functions.SPG(BJ172, "SP_COUNTRY_NAME")</f>
        <v>Australia</v>
      </c>
      <c r="BN172" t="s">
        <v>833</v>
      </c>
      <c r="BO172">
        <v>110527</v>
      </c>
      <c r="BP172" t="s">
        <v>346</v>
      </c>
      <c r="BQ172" s="11">
        <v>0</v>
      </c>
      <c r="BR172" s="9" t="str">
        <f>_xll.SNL.Clients.Office.Excel.Functions.SPG(BO172, "SP_COUNTRY_NAME")</f>
        <v>USA</v>
      </c>
      <c r="BS172" t="s">
        <v>795</v>
      </c>
      <c r="BT172">
        <v>27663277</v>
      </c>
      <c r="BU172" t="s">
        <v>346</v>
      </c>
      <c r="BV172" s="11">
        <v>0.01</v>
      </c>
      <c r="BW172" s="9" t="str">
        <f>_xll.SNL.Clients.Office.Excel.Functions.SPG(BT172, "SP_COUNTRY_NAME")</f>
        <v>#INVALID COMPANY ID</v>
      </c>
      <c r="BX172" t="s">
        <v>772</v>
      </c>
      <c r="BY172">
        <v>4137684</v>
      </c>
      <c r="BZ172" t="s">
        <v>300</v>
      </c>
      <c r="CA172" s="11">
        <v>0.01</v>
      </c>
      <c r="CB172" s="9" t="str">
        <f>_xll.SNL.Clients.Office.Excel.Functions.SPG(BY172, "SP_COUNTRY_NAME")</f>
        <v>China</v>
      </c>
      <c r="CC172" t="s">
        <v>1673</v>
      </c>
      <c r="CD172">
        <v>5773969</v>
      </c>
      <c r="CE172" t="s">
        <v>346</v>
      </c>
      <c r="CF172" s="11">
        <v>0.02</v>
      </c>
      <c r="CG172" s="9" t="str">
        <f>_xll.SNL.Clients.Office.Excel.Functions.SPG(CD172, "SP_COUNTRY_NAME")</f>
        <v>Brazil</v>
      </c>
      <c r="CH172" t="s">
        <v>1320</v>
      </c>
      <c r="CI172">
        <v>4116164</v>
      </c>
      <c r="CJ172" t="s">
        <v>346</v>
      </c>
      <c r="CK172" s="11">
        <v>0.01</v>
      </c>
      <c r="CL172" s="9" t="str">
        <f>_xll.SNL.Clients.Office.Excel.Functions.SPG(CI172, "SP_COUNTRY_NAME")</f>
        <v>USA</v>
      </c>
      <c r="CM172" t="s">
        <v>1983</v>
      </c>
      <c r="CN172">
        <v>4027846</v>
      </c>
      <c r="CO172" t="s">
        <v>346</v>
      </c>
      <c r="CP172" s="11">
        <v>0.02</v>
      </c>
      <c r="CQ172" s="9" t="str">
        <f>_xll.SNL.Clients.Office.Excel.Functions.SPG(CN172, "SP_COUNTRY_NAME")</f>
        <v>USA</v>
      </c>
      <c r="CV172" s="9" t="str">
        <f>_xll.SNL.Clients.Office.Excel.Functions.SPG(CS172, "SP_COUNTRY_NAME")</f>
        <v>#INVALID COMPANY ID</v>
      </c>
      <c r="DA172" s="9" t="str">
        <f>_xll.SNL.Clients.Office.Excel.Functions.SPG(CX172, "SP_COUNTRY_NAME")</f>
        <v>#INVALID COMPANY ID</v>
      </c>
      <c r="DB172" t="s">
        <v>1449</v>
      </c>
      <c r="DC172">
        <v>4628064</v>
      </c>
      <c r="DD172" t="s">
        <v>346</v>
      </c>
      <c r="DE172" s="11">
        <v>0.03</v>
      </c>
      <c r="DF172" s="9" t="str">
        <f>_xll.SNL.Clients.Office.Excel.Functions.SPG(DC172, "SP_COUNTRY_NAME")</f>
        <v>Estonia</v>
      </c>
      <c r="DK172" s="9" t="str">
        <f>_xll.SNL.Clients.Office.Excel.Functions.SPG(DH172, "SP_COUNTRY_NAME")</f>
        <v>#INVALID COMPANY ID</v>
      </c>
      <c r="DL172" t="s">
        <v>1449</v>
      </c>
      <c r="DM172">
        <v>4628064</v>
      </c>
      <c r="DN172" t="s">
        <v>346</v>
      </c>
      <c r="DO172" s="11">
        <v>0.03</v>
      </c>
      <c r="DP172" s="9" t="str">
        <f>_xll.SNL.Clients.Office.Excel.Functions.SPG(DM172, "SP_COUNTRY_NAME")</f>
        <v>Estonia</v>
      </c>
      <c r="DU172" s="9" t="str">
        <f>_xll.SNL.Clients.Office.Excel.Functions.SPG(DR172, "SP_COUNTRY_NAME")</f>
        <v>#INVALID COMPANY ID</v>
      </c>
      <c r="DZ172" s="9" t="str">
        <f>_xll.SNL.Clients.Office.Excel.Functions.SPG(DW172, "SP_COUNTRY_NAME")</f>
        <v>#INVALID COMPANY ID</v>
      </c>
      <c r="EA172" t="s">
        <v>1673</v>
      </c>
      <c r="EB172">
        <v>5773969</v>
      </c>
      <c r="EC172" t="s">
        <v>346</v>
      </c>
      <c r="ED172" s="11">
        <v>0.02</v>
      </c>
      <c r="EE172" s="9" t="str">
        <f>_xll.SNL.Clients.Office.Excel.Functions.SPG(EB172, "SP_COUNTRY_NAME")</f>
        <v>Brazil</v>
      </c>
      <c r="EF172" t="s">
        <v>1449</v>
      </c>
      <c r="EG172">
        <v>4628064</v>
      </c>
      <c r="EH172" t="s">
        <v>346</v>
      </c>
      <c r="EI172" s="11">
        <v>0.03</v>
      </c>
      <c r="EJ172" s="9" t="str">
        <f>_xll.SNL.Clients.Office.Excel.Functions.SPG(EG172, "SP_COUNTRY_NAME")</f>
        <v>Estonia</v>
      </c>
      <c r="EO172" s="9" t="str">
        <f>_xll.SNL.Clients.Office.Excel.Functions.SPG(EL172, "SP_COUNTRY_NAME")</f>
        <v>#INVALID COMPANY ID</v>
      </c>
      <c r="ET172" s="9" t="str">
        <f>_xll.SNL.Clients.Office.Excel.Functions.SPG(EQ172, "SP_COUNTRY_NAME")</f>
        <v>#INVALID COMPANY ID</v>
      </c>
      <c r="EY172" s="9" t="str">
        <f>_xll.SNL.Clients.Office.Excel.Functions.SPG(EV172, "SP_COUNTRY_NAME")</f>
        <v>#INVALID COMPANY ID</v>
      </c>
      <c r="FD172" s="9" t="str">
        <f>_xll.SNL.Clients.Office.Excel.Functions.SPG(FA172, "SP_COUNTRY_NAME")</f>
        <v>#INVALID COMPANY ID</v>
      </c>
      <c r="FI172" s="9" t="str">
        <f>_xll.SNL.Clients.Office.Excel.Functions.SPG(FF172, "SP_COUNTRY_NAME")</f>
        <v>#INVALID COMPANY ID</v>
      </c>
      <c r="FN172" s="9" t="str">
        <f>_xll.SNL.Clients.Office.Excel.Functions.SPG(FK172, "SP_COUNTRY_NAME")</f>
        <v>#INVALID COMPANY ID</v>
      </c>
      <c r="FS172" s="9" t="str">
        <f>_xll.SNL.Clients.Office.Excel.Functions.SPG(FP172, "SP_COUNTRY_NAME")</f>
        <v>#INVALID COMPANY ID</v>
      </c>
      <c r="FX172" s="9" t="str">
        <f>_xll.SNL.Clients.Office.Excel.Functions.SPG(FU172, "SP_COUNTRY_NAME")</f>
        <v>#INVALID COMPANY ID</v>
      </c>
      <c r="FY172" t="s">
        <v>1449</v>
      </c>
      <c r="FZ172">
        <v>4628064</v>
      </c>
      <c r="GA172" t="s">
        <v>346</v>
      </c>
      <c r="GB172" s="11">
        <v>0.03</v>
      </c>
      <c r="GC172" s="9" t="str">
        <f>_xll.SNL.Clients.Office.Excel.Functions.SPG(FZ172, "SP_COUNTRY_NAME")</f>
        <v>Estonia</v>
      </c>
      <c r="GH172" s="9" t="str">
        <f>_xll.SNL.Clients.Office.Excel.Functions.SPG(GE172, "SP_COUNTRY_NAME")</f>
        <v>#INVALID COMPANY ID</v>
      </c>
      <c r="GM172" s="9" t="str">
        <f>_xll.SNL.Clients.Office.Excel.Functions.SPG(GJ172, "SP_COUNTRY_NAME")</f>
        <v>#INVALID COMPANY ID</v>
      </c>
      <c r="GR172" s="9" t="str">
        <f>_xll.SNL.Clients.Office.Excel.Functions.SPG(GO172, "SP_COUNTRY_NAME")</f>
        <v>#INVALID COMPANY ID</v>
      </c>
      <c r="GS172" t="s">
        <v>833</v>
      </c>
      <c r="GT172">
        <v>110527</v>
      </c>
      <c r="GU172" t="s">
        <v>346</v>
      </c>
      <c r="GV172" s="11">
        <v>0</v>
      </c>
      <c r="GW172" s="9" t="str">
        <f>_xll.SNL.Clients.Office.Excel.Functions.SPG(GT172, "SP_COUNTRY_NAME")</f>
        <v>USA</v>
      </c>
      <c r="GX172" t="s">
        <v>1673</v>
      </c>
      <c r="GY172">
        <v>5773969</v>
      </c>
      <c r="GZ172" t="s">
        <v>346</v>
      </c>
      <c r="HA172" s="11">
        <v>0.02</v>
      </c>
      <c r="HB172" s="9" t="str">
        <f>_xll.SNL.Clients.Office.Excel.Functions.SPG(GY172, "SP_COUNTRY_NAME")</f>
        <v>Brazil</v>
      </c>
      <c r="HG172" s="9" t="str">
        <f>_xll.SNL.Clients.Office.Excel.Functions.SPG(HD172, "SP_COUNTRY_NAME")</f>
        <v>#INVALID COMPANY ID</v>
      </c>
    </row>
    <row r="173" spans="5:215" x14ac:dyDescent="0.35">
      <c r="E173" s="9" t="str">
        <f>_xll.SNL.Clients.Office.Excel.Functions.SPG(B173, "SP_COUNTRY_NAME")</f>
        <v>#INVALID COMPANY ID</v>
      </c>
      <c r="F173" t="s">
        <v>559</v>
      </c>
      <c r="G173">
        <v>4018163</v>
      </c>
      <c r="H173" t="s">
        <v>346</v>
      </c>
      <c r="I173" s="11">
        <v>0</v>
      </c>
      <c r="J173" s="9" t="str">
        <f>_xll.SNL.Clients.Office.Excel.Functions.SPG(G173, "SP_COUNTRY_NAME")</f>
        <v>USA</v>
      </c>
      <c r="O173" s="9" t="str">
        <f>_xll.SNL.Clients.Office.Excel.Functions.SPG(L173, "SP_COUNTRY_NAME")</f>
        <v>#INVALID COMPANY ID</v>
      </c>
      <c r="T173" s="9" t="str">
        <f>_xll.SNL.Clients.Office.Excel.Functions.SPG(Q173, "SP_COUNTRY_NAME")</f>
        <v>#INVALID COMPANY ID</v>
      </c>
      <c r="U173" t="s">
        <v>773</v>
      </c>
      <c r="V173">
        <v>4296648</v>
      </c>
      <c r="W173" t="s">
        <v>346</v>
      </c>
      <c r="X173" s="11">
        <v>0.01</v>
      </c>
      <c r="Y173" s="9" t="str">
        <f>_xll.SNL.Clients.Office.Excel.Functions.SPG(V173, "SP_COUNTRY_NAME")</f>
        <v>Japan</v>
      </c>
      <c r="AD173" s="9" t="str">
        <f>_xll.SNL.Clients.Office.Excel.Functions.SPG(AA173, "SP_COUNTRY_NAME")</f>
        <v>#INVALID COMPANY ID</v>
      </c>
      <c r="AE173" t="s">
        <v>1165</v>
      </c>
      <c r="AF173">
        <v>10655279</v>
      </c>
      <c r="AG173" t="s">
        <v>346</v>
      </c>
      <c r="AH173" s="11">
        <v>0</v>
      </c>
      <c r="AI173" s="9" t="str">
        <f>_xll.SNL.Clients.Office.Excel.Functions.SPG(AF173, "SP_COUNTRY_NAME")</f>
        <v>United Kingdom</v>
      </c>
      <c r="AN173" s="9" t="str">
        <f>_xll.SNL.Clients.Office.Excel.Functions.SPG(AK173, "SP_COUNTRY_NAME")</f>
        <v>#INVALID COMPANY ID</v>
      </c>
      <c r="AO173" t="s">
        <v>1321</v>
      </c>
      <c r="AP173">
        <v>4213183</v>
      </c>
      <c r="AQ173" t="s">
        <v>346</v>
      </c>
      <c r="AR173" s="11">
        <v>0.01</v>
      </c>
      <c r="AS173" s="9" t="str">
        <f>_xll.SNL.Clients.Office.Excel.Functions.SPG(AP173, "SP_COUNTRY_NAME")</f>
        <v>South Africa</v>
      </c>
      <c r="AX173" s="9" t="str">
        <f>_xll.SNL.Clients.Office.Excel.Functions.SPG(AU173, "SP_COUNTRY_NAME")</f>
        <v>#INVALID COMPANY ID</v>
      </c>
      <c r="BC173" s="9" t="str">
        <f>_xll.SNL.Clients.Office.Excel.Functions.SPG(AZ173, "SP_COUNTRY_NAME")</f>
        <v>#INVALID COMPANY ID</v>
      </c>
      <c r="BD173" t="s">
        <v>1007</v>
      </c>
      <c r="BE173">
        <v>5813728</v>
      </c>
      <c r="BF173" t="s">
        <v>346</v>
      </c>
      <c r="BG173" s="11">
        <v>0.03</v>
      </c>
      <c r="BH173" s="9" t="str">
        <f>_xll.SNL.Clients.Office.Excel.Functions.SPG(BE173, "SP_COUNTRY_NAME")</f>
        <v>Ireland</v>
      </c>
      <c r="BI173" t="s">
        <v>763</v>
      </c>
      <c r="BJ173">
        <v>110153</v>
      </c>
      <c r="BK173" t="s">
        <v>364</v>
      </c>
      <c r="BL173" s="11">
        <v>0</v>
      </c>
      <c r="BM173" s="9" t="str">
        <f>_xll.SNL.Clients.Office.Excel.Functions.SPG(BJ173, "SP_COUNTRY_NAME")</f>
        <v>USA</v>
      </c>
      <c r="BN173" t="s">
        <v>754</v>
      </c>
      <c r="BO173">
        <v>11183019</v>
      </c>
      <c r="BP173" t="s">
        <v>346</v>
      </c>
      <c r="BQ173" s="11">
        <v>0</v>
      </c>
      <c r="BR173" s="9" t="str">
        <f>_xll.SNL.Clients.Office.Excel.Functions.SPG(BO173, "SP_COUNTRY_NAME")</f>
        <v>China</v>
      </c>
      <c r="BS173" t="s">
        <v>731</v>
      </c>
      <c r="BT173">
        <v>4417406</v>
      </c>
      <c r="BU173" t="s">
        <v>346</v>
      </c>
      <c r="BV173" s="11">
        <v>0.01</v>
      </c>
      <c r="BW173" s="9" t="str">
        <f>_xll.SNL.Clients.Office.Excel.Functions.SPG(BT173, "SP_COUNTRY_NAME")</f>
        <v>China</v>
      </c>
      <c r="BX173" t="s">
        <v>773</v>
      </c>
      <c r="BY173">
        <v>4296648</v>
      </c>
      <c r="BZ173" t="s">
        <v>346</v>
      </c>
      <c r="CA173" s="11">
        <v>0.01</v>
      </c>
      <c r="CB173" s="9" t="str">
        <f>_xll.SNL.Clients.Office.Excel.Functions.SPG(BY173, "SP_COUNTRY_NAME")</f>
        <v>Japan</v>
      </c>
      <c r="CC173" t="s">
        <v>1674</v>
      </c>
      <c r="CD173">
        <v>5874743</v>
      </c>
      <c r="CE173" t="s">
        <v>364</v>
      </c>
      <c r="CF173" s="11">
        <v>0.02</v>
      </c>
      <c r="CG173" s="9" t="str">
        <f>_xll.SNL.Clients.Office.Excel.Functions.SPG(CD173, "SP_COUNTRY_NAME")</f>
        <v>Brazil</v>
      </c>
      <c r="CH173" t="s">
        <v>1321</v>
      </c>
      <c r="CI173">
        <v>4213183</v>
      </c>
      <c r="CJ173" t="s">
        <v>346</v>
      </c>
      <c r="CK173" s="11">
        <v>0.01</v>
      </c>
      <c r="CL173" s="9" t="str">
        <f>_xll.SNL.Clients.Office.Excel.Functions.SPG(CI173, "SP_COUNTRY_NAME")</f>
        <v>South Africa</v>
      </c>
      <c r="CM173" t="s">
        <v>477</v>
      </c>
      <c r="CN173">
        <v>4119790</v>
      </c>
      <c r="CO173" t="s">
        <v>346</v>
      </c>
      <c r="CP173" s="11">
        <v>0.02</v>
      </c>
      <c r="CQ173" s="9" t="str">
        <f>_xll.SNL.Clients.Office.Excel.Functions.SPG(CN173, "SP_COUNTRY_NAME")</f>
        <v>USA</v>
      </c>
      <c r="CV173" s="9" t="str">
        <f>_xll.SNL.Clients.Office.Excel.Functions.SPG(CS173, "SP_COUNTRY_NAME")</f>
        <v>#INVALID COMPANY ID</v>
      </c>
      <c r="DA173" s="9" t="str">
        <f>_xll.SNL.Clients.Office.Excel.Functions.SPG(CX173, "SP_COUNTRY_NAME")</f>
        <v>#INVALID COMPANY ID</v>
      </c>
      <c r="DB173" t="s">
        <v>1007</v>
      </c>
      <c r="DC173">
        <v>5813728</v>
      </c>
      <c r="DD173" t="s">
        <v>346</v>
      </c>
      <c r="DE173" s="11">
        <v>0.03</v>
      </c>
      <c r="DF173" s="9" t="str">
        <f>_xll.SNL.Clients.Office.Excel.Functions.SPG(DC173, "SP_COUNTRY_NAME")</f>
        <v>Ireland</v>
      </c>
      <c r="DK173" s="9" t="str">
        <f>_xll.SNL.Clients.Office.Excel.Functions.SPG(DH173, "SP_COUNTRY_NAME")</f>
        <v>#INVALID COMPANY ID</v>
      </c>
      <c r="DL173" t="s">
        <v>1007</v>
      </c>
      <c r="DM173">
        <v>5813728</v>
      </c>
      <c r="DN173" t="s">
        <v>346</v>
      </c>
      <c r="DO173" s="11">
        <v>0.03</v>
      </c>
      <c r="DP173" s="9" t="str">
        <f>_xll.SNL.Clients.Office.Excel.Functions.SPG(DM173, "SP_COUNTRY_NAME")</f>
        <v>Ireland</v>
      </c>
      <c r="DU173" s="9" t="str">
        <f>_xll.SNL.Clients.Office.Excel.Functions.SPG(DR173, "SP_COUNTRY_NAME")</f>
        <v>#INVALID COMPANY ID</v>
      </c>
      <c r="DZ173" s="9" t="str">
        <f>_xll.SNL.Clients.Office.Excel.Functions.SPG(DW173, "SP_COUNTRY_NAME")</f>
        <v>#INVALID COMPANY ID</v>
      </c>
      <c r="EA173" t="s">
        <v>1674</v>
      </c>
      <c r="EB173">
        <v>5874743</v>
      </c>
      <c r="EC173" t="s">
        <v>364</v>
      </c>
      <c r="ED173" s="11">
        <v>0.02</v>
      </c>
      <c r="EE173" s="9" t="str">
        <f>_xll.SNL.Clients.Office.Excel.Functions.SPG(EB173, "SP_COUNTRY_NAME")</f>
        <v>Brazil</v>
      </c>
      <c r="EF173" t="s">
        <v>1007</v>
      </c>
      <c r="EG173">
        <v>5813728</v>
      </c>
      <c r="EH173" t="s">
        <v>346</v>
      </c>
      <c r="EI173" s="11">
        <v>0.03</v>
      </c>
      <c r="EJ173" s="9" t="str">
        <f>_xll.SNL.Clients.Office.Excel.Functions.SPG(EG173, "SP_COUNTRY_NAME")</f>
        <v>Ireland</v>
      </c>
      <c r="EO173" s="9" t="str">
        <f>_xll.SNL.Clients.Office.Excel.Functions.SPG(EL173, "SP_COUNTRY_NAME")</f>
        <v>#INVALID COMPANY ID</v>
      </c>
      <c r="ET173" s="9" t="str">
        <f>_xll.SNL.Clients.Office.Excel.Functions.SPG(EQ173, "SP_COUNTRY_NAME")</f>
        <v>#INVALID COMPANY ID</v>
      </c>
      <c r="EY173" s="9" t="str">
        <f>_xll.SNL.Clients.Office.Excel.Functions.SPG(EV173, "SP_COUNTRY_NAME")</f>
        <v>#INVALID COMPANY ID</v>
      </c>
      <c r="FD173" s="9" t="str">
        <f>_xll.SNL.Clients.Office.Excel.Functions.SPG(FA173, "SP_COUNTRY_NAME")</f>
        <v>#INVALID COMPANY ID</v>
      </c>
      <c r="FI173" s="9" t="str">
        <f>_xll.SNL.Clients.Office.Excel.Functions.SPG(FF173, "SP_COUNTRY_NAME")</f>
        <v>#INVALID COMPANY ID</v>
      </c>
      <c r="FN173" s="9" t="str">
        <f>_xll.SNL.Clients.Office.Excel.Functions.SPG(FK173, "SP_COUNTRY_NAME")</f>
        <v>#INVALID COMPANY ID</v>
      </c>
      <c r="FS173" s="9" t="str">
        <f>_xll.SNL.Clients.Office.Excel.Functions.SPG(FP173, "SP_COUNTRY_NAME")</f>
        <v>#INVALID COMPANY ID</v>
      </c>
      <c r="FX173" s="9" t="str">
        <f>_xll.SNL.Clients.Office.Excel.Functions.SPG(FU173, "SP_COUNTRY_NAME")</f>
        <v>#INVALID COMPANY ID</v>
      </c>
      <c r="FY173" t="s">
        <v>1007</v>
      </c>
      <c r="FZ173">
        <v>5813728</v>
      </c>
      <c r="GA173" t="s">
        <v>346</v>
      </c>
      <c r="GB173" s="11">
        <v>0.03</v>
      </c>
      <c r="GC173" s="9" t="str">
        <f>_xll.SNL.Clients.Office.Excel.Functions.SPG(FZ173, "SP_COUNTRY_NAME")</f>
        <v>Ireland</v>
      </c>
      <c r="GH173" s="9" t="str">
        <f>_xll.SNL.Clients.Office.Excel.Functions.SPG(GE173, "SP_COUNTRY_NAME")</f>
        <v>#INVALID COMPANY ID</v>
      </c>
      <c r="GM173" s="9" t="str">
        <f>_xll.SNL.Clients.Office.Excel.Functions.SPG(GJ173, "SP_COUNTRY_NAME")</f>
        <v>#INVALID COMPANY ID</v>
      </c>
      <c r="GR173" s="9" t="str">
        <f>_xll.SNL.Clients.Office.Excel.Functions.SPG(GO173, "SP_COUNTRY_NAME")</f>
        <v>#INVALID COMPANY ID</v>
      </c>
      <c r="GS173" t="s">
        <v>754</v>
      </c>
      <c r="GT173">
        <v>11183019</v>
      </c>
      <c r="GU173" t="s">
        <v>346</v>
      </c>
      <c r="GV173" s="11">
        <v>0</v>
      </c>
      <c r="GW173" s="9" t="str">
        <f>_xll.SNL.Clients.Office.Excel.Functions.SPG(GT173, "SP_COUNTRY_NAME")</f>
        <v>China</v>
      </c>
      <c r="GX173" t="s">
        <v>1674</v>
      </c>
      <c r="GY173">
        <v>5874743</v>
      </c>
      <c r="GZ173" t="s">
        <v>364</v>
      </c>
      <c r="HA173" s="11">
        <v>0.02</v>
      </c>
      <c r="HB173" s="9" t="str">
        <f>_xll.SNL.Clients.Office.Excel.Functions.SPG(GY173, "SP_COUNTRY_NAME")</f>
        <v>Brazil</v>
      </c>
      <c r="HG173" s="9" t="str">
        <f>_xll.SNL.Clients.Office.Excel.Functions.SPG(HD173, "SP_COUNTRY_NAME")</f>
        <v>#INVALID COMPANY ID</v>
      </c>
    </row>
    <row r="174" spans="5:215" x14ac:dyDescent="0.35">
      <c r="E174" s="9" t="str">
        <f>_xll.SNL.Clients.Office.Excel.Functions.SPG(B174, "SP_COUNTRY_NAME")</f>
        <v>#INVALID COMPANY ID</v>
      </c>
      <c r="F174" t="s">
        <v>560</v>
      </c>
      <c r="G174">
        <v>4095848</v>
      </c>
      <c r="H174" t="s">
        <v>346</v>
      </c>
      <c r="I174" s="11">
        <v>0</v>
      </c>
      <c r="J174" s="9" t="str">
        <f>_xll.SNL.Clients.Office.Excel.Functions.SPG(G174, "SP_COUNTRY_NAME")</f>
        <v>USA</v>
      </c>
      <c r="O174" s="9" t="str">
        <f>_xll.SNL.Clients.Office.Excel.Functions.SPG(L174, "SP_COUNTRY_NAME")</f>
        <v>#INVALID COMPANY ID</v>
      </c>
      <c r="T174" s="9" t="str">
        <f>_xll.SNL.Clients.Office.Excel.Functions.SPG(Q174, "SP_COUNTRY_NAME")</f>
        <v>#INVALID COMPANY ID</v>
      </c>
      <c r="U174" t="s">
        <v>774</v>
      </c>
      <c r="V174">
        <v>20057752</v>
      </c>
      <c r="W174" t="s">
        <v>346</v>
      </c>
      <c r="X174" s="11">
        <v>0.01</v>
      </c>
      <c r="Y174" s="9" t="str">
        <f>_xll.SNL.Clients.Office.Excel.Functions.SPG(V174, "SP_COUNTRY_NAME")</f>
        <v>China</v>
      </c>
      <c r="AD174" s="9" t="str">
        <f>_xll.SNL.Clients.Office.Excel.Functions.SPG(AA174, "SP_COUNTRY_NAME")</f>
        <v>#INVALID COMPANY ID</v>
      </c>
      <c r="AE174" t="s">
        <v>1166</v>
      </c>
      <c r="AF174" t="s">
        <v>300</v>
      </c>
      <c r="AG174" t="s">
        <v>361</v>
      </c>
      <c r="AH174" s="11">
        <v>0</v>
      </c>
      <c r="AI174" s="9" t="str">
        <f>_xll.SNL.Clients.Office.Excel.Functions.SPG(AF174, "SP_COUNTRY_NAME")</f>
        <v>China</v>
      </c>
      <c r="AN174" s="9" t="str">
        <f>_xll.SNL.Clients.Office.Excel.Functions.SPG(AK174, "SP_COUNTRY_NAME")</f>
        <v>#INVALID COMPANY ID</v>
      </c>
      <c r="AO174" t="s">
        <v>504</v>
      </c>
      <c r="AP174">
        <v>4630169</v>
      </c>
      <c r="AQ174" t="s">
        <v>346</v>
      </c>
      <c r="AR174" s="11">
        <v>0.01</v>
      </c>
      <c r="AS174" s="9" t="str">
        <f>_xll.SNL.Clients.Office.Excel.Functions.SPG(AP174, "SP_COUNTRY_NAME")</f>
        <v>Germany</v>
      </c>
      <c r="AX174" s="9" t="str">
        <f>_xll.SNL.Clients.Office.Excel.Functions.SPG(AU174, "SP_COUNTRY_NAME")</f>
        <v>#INVALID COMPANY ID</v>
      </c>
      <c r="BC174" s="9" t="str">
        <f>_xll.SNL.Clients.Office.Excel.Functions.SPG(AZ174, "SP_COUNTRY_NAME")</f>
        <v>#INVALID COMPANY ID</v>
      </c>
      <c r="BD174" t="s">
        <v>987</v>
      </c>
      <c r="BE174">
        <v>110332</v>
      </c>
      <c r="BF174" t="s">
        <v>346</v>
      </c>
      <c r="BG174" s="11">
        <v>0.02</v>
      </c>
      <c r="BH174" s="9" t="str">
        <f>_xll.SNL.Clients.Office.Excel.Functions.SPG(BE174, "SP_COUNTRY_NAME")</f>
        <v>USA</v>
      </c>
      <c r="BI174" t="s">
        <v>1575</v>
      </c>
      <c r="BJ174">
        <v>19076918</v>
      </c>
      <c r="BK174" t="s">
        <v>300</v>
      </c>
      <c r="BL174" s="11">
        <v>0</v>
      </c>
      <c r="BM174" s="9" t="str">
        <f>_xll.SNL.Clients.Office.Excel.Functions.SPG(BJ174, "SP_COUNTRY_NAME")</f>
        <v>USA</v>
      </c>
      <c r="BN174" t="s">
        <v>802</v>
      </c>
      <c r="BO174">
        <v>4345262</v>
      </c>
      <c r="BP174" t="s">
        <v>346</v>
      </c>
      <c r="BQ174" s="11">
        <v>0</v>
      </c>
      <c r="BR174" s="9" t="str">
        <f>_xll.SNL.Clients.Office.Excel.Functions.SPG(BO174, "SP_COUNTRY_NAME")</f>
        <v>China</v>
      </c>
      <c r="BS174" t="s">
        <v>774</v>
      </c>
      <c r="BT174">
        <v>20057752</v>
      </c>
      <c r="BU174" t="s">
        <v>346</v>
      </c>
      <c r="BV174" s="11">
        <v>0.01</v>
      </c>
      <c r="BW174" s="9" t="str">
        <f>_xll.SNL.Clients.Office.Excel.Functions.SPG(BT174, "SP_COUNTRY_NAME")</f>
        <v>China</v>
      </c>
      <c r="BX174" t="s">
        <v>774</v>
      </c>
      <c r="BY174">
        <v>20057752</v>
      </c>
      <c r="BZ174" t="s">
        <v>346</v>
      </c>
      <c r="CA174" s="11">
        <v>0.01</v>
      </c>
      <c r="CB174" s="9" t="str">
        <f>_xll.SNL.Clients.Office.Excel.Functions.SPG(BY174, "SP_COUNTRY_NAME")</f>
        <v>China</v>
      </c>
      <c r="CC174" t="s">
        <v>1675</v>
      </c>
      <c r="CD174">
        <v>4338213</v>
      </c>
      <c r="CE174" t="s">
        <v>346</v>
      </c>
      <c r="CF174" s="11">
        <v>0.02</v>
      </c>
      <c r="CG174" s="9" t="str">
        <f>_xll.SNL.Clients.Office.Excel.Functions.SPG(CD174, "SP_COUNTRY_NAME")</f>
        <v>USA</v>
      </c>
      <c r="CH174" t="s">
        <v>504</v>
      </c>
      <c r="CI174">
        <v>4630169</v>
      </c>
      <c r="CJ174" t="s">
        <v>346</v>
      </c>
      <c r="CK174" s="11">
        <v>0.01</v>
      </c>
      <c r="CL174" s="9" t="str">
        <f>_xll.SNL.Clients.Office.Excel.Functions.SPG(CI174, "SP_COUNTRY_NAME")</f>
        <v>Germany</v>
      </c>
      <c r="CM174" t="s">
        <v>1984</v>
      </c>
      <c r="CN174">
        <v>4313747</v>
      </c>
      <c r="CO174" t="s">
        <v>364</v>
      </c>
      <c r="CP174" s="11">
        <v>0.02</v>
      </c>
      <c r="CQ174" s="9" t="str">
        <f>_xll.SNL.Clients.Office.Excel.Functions.SPG(CN174, "SP_COUNTRY_NAME")</f>
        <v>USA</v>
      </c>
      <c r="CV174" s="9" t="str">
        <f>_xll.SNL.Clients.Office.Excel.Functions.SPG(CS174, "SP_COUNTRY_NAME")</f>
        <v>#INVALID COMPANY ID</v>
      </c>
      <c r="DA174" s="9" t="str">
        <f>_xll.SNL.Clients.Office.Excel.Functions.SPG(CX174, "SP_COUNTRY_NAME")</f>
        <v>#INVALID COMPANY ID</v>
      </c>
      <c r="DB174" t="s">
        <v>987</v>
      </c>
      <c r="DC174">
        <v>110332</v>
      </c>
      <c r="DD174" t="s">
        <v>346</v>
      </c>
      <c r="DE174" s="11">
        <v>0.02</v>
      </c>
      <c r="DF174" s="9" t="str">
        <f>_xll.SNL.Clients.Office.Excel.Functions.SPG(DC174, "SP_COUNTRY_NAME")</f>
        <v>USA</v>
      </c>
      <c r="DK174" s="9" t="str">
        <f>_xll.SNL.Clients.Office.Excel.Functions.SPG(DH174, "SP_COUNTRY_NAME")</f>
        <v>#INVALID COMPANY ID</v>
      </c>
      <c r="DL174" t="s">
        <v>987</v>
      </c>
      <c r="DM174">
        <v>110332</v>
      </c>
      <c r="DN174" t="s">
        <v>346</v>
      </c>
      <c r="DO174" s="11">
        <v>0.02</v>
      </c>
      <c r="DP174" s="9" t="str">
        <f>_xll.SNL.Clients.Office.Excel.Functions.SPG(DM174, "SP_COUNTRY_NAME")</f>
        <v>USA</v>
      </c>
      <c r="DU174" s="9" t="str">
        <f>_xll.SNL.Clients.Office.Excel.Functions.SPG(DR174, "SP_COUNTRY_NAME")</f>
        <v>#INVALID COMPANY ID</v>
      </c>
      <c r="DZ174" s="9" t="str">
        <f>_xll.SNL.Clients.Office.Excel.Functions.SPG(DW174, "SP_COUNTRY_NAME")</f>
        <v>#INVALID COMPANY ID</v>
      </c>
      <c r="EA174" t="s">
        <v>1675</v>
      </c>
      <c r="EB174">
        <v>4338213</v>
      </c>
      <c r="EC174" t="s">
        <v>346</v>
      </c>
      <c r="ED174" s="11">
        <v>0.02</v>
      </c>
      <c r="EE174" s="9" t="str">
        <f>_xll.SNL.Clients.Office.Excel.Functions.SPG(EB174, "SP_COUNTRY_NAME")</f>
        <v>USA</v>
      </c>
      <c r="EF174" t="s">
        <v>987</v>
      </c>
      <c r="EG174">
        <v>110332</v>
      </c>
      <c r="EH174" t="s">
        <v>346</v>
      </c>
      <c r="EI174" s="11">
        <v>0.02</v>
      </c>
      <c r="EJ174" s="9" t="str">
        <f>_xll.SNL.Clients.Office.Excel.Functions.SPG(EG174, "SP_COUNTRY_NAME")</f>
        <v>USA</v>
      </c>
      <c r="EO174" s="9" t="str">
        <f>_xll.SNL.Clients.Office.Excel.Functions.SPG(EL174, "SP_COUNTRY_NAME")</f>
        <v>#INVALID COMPANY ID</v>
      </c>
      <c r="ET174" s="9" t="str">
        <f>_xll.SNL.Clients.Office.Excel.Functions.SPG(EQ174, "SP_COUNTRY_NAME")</f>
        <v>#INVALID COMPANY ID</v>
      </c>
      <c r="EY174" s="9" t="str">
        <f>_xll.SNL.Clients.Office.Excel.Functions.SPG(EV174, "SP_COUNTRY_NAME")</f>
        <v>#INVALID COMPANY ID</v>
      </c>
      <c r="FD174" s="9" t="str">
        <f>_xll.SNL.Clients.Office.Excel.Functions.SPG(FA174, "SP_COUNTRY_NAME")</f>
        <v>#INVALID COMPANY ID</v>
      </c>
      <c r="FI174" s="9" t="str">
        <f>_xll.SNL.Clients.Office.Excel.Functions.SPG(FF174, "SP_COUNTRY_NAME")</f>
        <v>#INVALID COMPANY ID</v>
      </c>
      <c r="FN174" s="9" t="str">
        <f>_xll.SNL.Clients.Office.Excel.Functions.SPG(FK174, "SP_COUNTRY_NAME")</f>
        <v>#INVALID COMPANY ID</v>
      </c>
      <c r="FS174" s="9" t="str">
        <f>_xll.SNL.Clients.Office.Excel.Functions.SPG(FP174, "SP_COUNTRY_NAME")</f>
        <v>#INVALID COMPANY ID</v>
      </c>
      <c r="FX174" s="9" t="str">
        <f>_xll.SNL.Clients.Office.Excel.Functions.SPG(FU174, "SP_COUNTRY_NAME")</f>
        <v>#INVALID COMPANY ID</v>
      </c>
      <c r="FY174" t="s">
        <v>987</v>
      </c>
      <c r="FZ174">
        <v>110332</v>
      </c>
      <c r="GA174" t="s">
        <v>346</v>
      </c>
      <c r="GB174" s="11">
        <v>0.02</v>
      </c>
      <c r="GC174" s="9" t="str">
        <f>_xll.SNL.Clients.Office.Excel.Functions.SPG(FZ174, "SP_COUNTRY_NAME")</f>
        <v>USA</v>
      </c>
      <c r="GH174" s="9" t="str">
        <f>_xll.SNL.Clients.Office.Excel.Functions.SPG(GE174, "SP_COUNTRY_NAME")</f>
        <v>#INVALID COMPANY ID</v>
      </c>
      <c r="GM174" s="9" t="str">
        <f>_xll.SNL.Clients.Office.Excel.Functions.SPG(GJ174, "SP_COUNTRY_NAME")</f>
        <v>#INVALID COMPANY ID</v>
      </c>
      <c r="GR174" s="9" t="str">
        <f>_xll.SNL.Clients.Office.Excel.Functions.SPG(GO174, "SP_COUNTRY_NAME")</f>
        <v>#INVALID COMPANY ID</v>
      </c>
      <c r="GS174" t="s">
        <v>802</v>
      </c>
      <c r="GT174">
        <v>4345262</v>
      </c>
      <c r="GU174" t="s">
        <v>346</v>
      </c>
      <c r="GV174" s="11">
        <v>0</v>
      </c>
      <c r="GW174" s="9" t="str">
        <f>_xll.SNL.Clients.Office.Excel.Functions.SPG(GT174, "SP_COUNTRY_NAME")</f>
        <v>China</v>
      </c>
      <c r="GX174" t="s">
        <v>1675</v>
      </c>
      <c r="GY174">
        <v>4338213</v>
      </c>
      <c r="GZ174" t="s">
        <v>346</v>
      </c>
      <c r="HA174" s="11">
        <v>0.02</v>
      </c>
      <c r="HB174" s="9" t="str">
        <f>_xll.SNL.Clients.Office.Excel.Functions.SPG(GY174, "SP_COUNTRY_NAME")</f>
        <v>USA</v>
      </c>
      <c r="HG174" s="9" t="str">
        <f>_xll.SNL.Clients.Office.Excel.Functions.SPG(HD174, "SP_COUNTRY_NAME")</f>
        <v>#INVALID COMPANY ID</v>
      </c>
    </row>
    <row r="175" spans="5:215" x14ac:dyDescent="0.35">
      <c r="E175" s="9" t="str">
        <f>_xll.SNL.Clients.Office.Excel.Functions.SPG(B175, "SP_COUNTRY_NAME")</f>
        <v>#INVALID COMPANY ID</v>
      </c>
      <c r="F175" t="s">
        <v>561</v>
      </c>
      <c r="G175">
        <v>4234727</v>
      </c>
      <c r="H175" t="s">
        <v>346</v>
      </c>
      <c r="I175" s="11">
        <v>0</v>
      </c>
      <c r="J175" s="9" t="str">
        <f>_xll.SNL.Clients.Office.Excel.Functions.SPG(G175, "SP_COUNTRY_NAME")</f>
        <v>Germany</v>
      </c>
      <c r="O175" s="9" t="str">
        <f>_xll.SNL.Clients.Office.Excel.Functions.SPG(L175, "SP_COUNTRY_NAME")</f>
        <v>#INVALID COMPANY ID</v>
      </c>
      <c r="T175" s="9" t="str">
        <f>_xll.SNL.Clients.Office.Excel.Functions.SPG(Q175, "SP_COUNTRY_NAME")</f>
        <v>#INVALID COMPANY ID</v>
      </c>
      <c r="U175" t="s">
        <v>459</v>
      </c>
      <c r="V175">
        <v>4140503</v>
      </c>
      <c r="W175" t="s">
        <v>346</v>
      </c>
      <c r="X175" s="11">
        <v>0.01</v>
      </c>
      <c r="Y175" s="9" t="str">
        <f>_xll.SNL.Clients.Office.Excel.Functions.SPG(V175, "SP_COUNTRY_NAME")</f>
        <v>Ireland</v>
      </c>
      <c r="AD175" s="9" t="str">
        <f>_xll.SNL.Clients.Office.Excel.Functions.SPG(AA175, "SP_COUNTRY_NAME")</f>
        <v>#INVALID COMPANY ID</v>
      </c>
      <c r="AE175" t="s">
        <v>1167</v>
      </c>
      <c r="AF175">
        <v>14992688</v>
      </c>
      <c r="AG175" t="s">
        <v>346</v>
      </c>
      <c r="AH175" s="11">
        <v>0</v>
      </c>
      <c r="AI175" s="9" t="str">
        <f>_xll.SNL.Clients.Office.Excel.Functions.SPG(AF175, "SP_COUNTRY_NAME")</f>
        <v>Italy</v>
      </c>
      <c r="AN175" s="9" t="str">
        <f>_xll.SNL.Clients.Office.Excel.Functions.SPG(AK175, "SP_COUNTRY_NAME")</f>
        <v>#INVALID COMPANY ID</v>
      </c>
      <c r="AO175" t="s">
        <v>1322</v>
      </c>
      <c r="AP175">
        <v>4147585</v>
      </c>
      <c r="AQ175" t="s">
        <v>346</v>
      </c>
      <c r="AR175" s="11">
        <v>0.01</v>
      </c>
      <c r="AS175" s="9" t="str">
        <f>_xll.SNL.Clients.Office.Excel.Functions.SPG(AP175, "SP_COUNTRY_NAME")</f>
        <v>Germany</v>
      </c>
      <c r="AX175" s="9" t="str">
        <f>_xll.SNL.Clients.Office.Excel.Functions.SPG(AU175, "SP_COUNTRY_NAME")</f>
        <v>#INVALID COMPANY ID</v>
      </c>
      <c r="BC175" s="9" t="str">
        <f>_xll.SNL.Clients.Office.Excel.Functions.SPG(AZ175, "SP_COUNTRY_NAME")</f>
        <v>#INVALID COMPANY ID</v>
      </c>
      <c r="BD175" t="s">
        <v>1450</v>
      </c>
      <c r="BE175">
        <v>4325233</v>
      </c>
      <c r="BF175" t="s">
        <v>346</v>
      </c>
      <c r="BG175" s="11">
        <v>0.02</v>
      </c>
      <c r="BH175" s="9" t="str">
        <f>_xll.SNL.Clients.Office.Excel.Functions.SPG(BE175, "SP_COUNTRY_NAME")</f>
        <v>United Kingdom</v>
      </c>
      <c r="BI175" t="s">
        <v>1451</v>
      </c>
      <c r="BJ175">
        <v>113985</v>
      </c>
      <c r="BK175" t="s">
        <v>366</v>
      </c>
      <c r="BL175" s="11">
        <v>0</v>
      </c>
      <c r="BM175" s="9" t="str">
        <f>_xll.SNL.Clients.Office.Excel.Functions.SPG(BJ175, "SP_COUNTRY_NAME")</f>
        <v>Germany</v>
      </c>
      <c r="BN175" t="s">
        <v>688</v>
      </c>
      <c r="BO175">
        <v>14821347</v>
      </c>
      <c r="BP175" t="s">
        <v>346</v>
      </c>
      <c r="BQ175" s="11">
        <v>0</v>
      </c>
      <c r="BR175" s="9" t="str">
        <f>_xll.SNL.Clients.Office.Excel.Functions.SPG(BO175, "SP_COUNTRY_NAME")</f>
        <v>Singapore</v>
      </c>
      <c r="BS175" t="s">
        <v>710</v>
      </c>
      <c r="BT175">
        <v>4559567</v>
      </c>
      <c r="BU175" t="s">
        <v>346</v>
      </c>
      <c r="BV175" s="11">
        <v>0.01</v>
      </c>
      <c r="BW175" s="9" t="str">
        <f>_xll.SNL.Clients.Office.Excel.Functions.SPG(BT175, "SP_COUNTRY_NAME")</f>
        <v>China</v>
      </c>
      <c r="BX175" t="s">
        <v>459</v>
      </c>
      <c r="BY175">
        <v>4140503</v>
      </c>
      <c r="BZ175" t="s">
        <v>346</v>
      </c>
      <c r="CA175" s="11">
        <v>0.01</v>
      </c>
      <c r="CB175" s="9" t="str">
        <f>_xll.SNL.Clients.Office.Excel.Functions.SPG(BY175, "SP_COUNTRY_NAME")</f>
        <v>Ireland</v>
      </c>
      <c r="CC175" t="s">
        <v>1676</v>
      </c>
      <c r="CD175">
        <v>4116978</v>
      </c>
      <c r="CE175" t="s">
        <v>346</v>
      </c>
      <c r="CF175" s="11">
        <v>0.02</v>
      </c>
      <c r="CG175" s="9" t="str">
        <f>_xll.SNL.Clients.Office.Excel.Functions.SPG(CD175, "SP_COUNTRY_NAME")</f>
        <v>USA</v>
      </c>
      <c r="CH175" t="s">
        <v>1322</v>
      </c>
      <c r="CI175">
        <v>4147585</v>
      </c>
      <c r="CJ175" t="s">
        <v>346</v>
      </c>
      <c r="CK175" s="11">
        <v>0.01</v>
      </c>
      <c r="CL175" s="9" t="str">
        <f>_xll.SNL.Clients.Office.Excel.Functions.SPG(CI175, "SP_COUNTRY_NAME")</f>
        <v>Germany</v>
      </c>
      <c r="CM175" t="s">
        <v>1680</v>
      </c>
      <c r="CN175">
        <v>109232</v>
      </c>
      <c r="CO175" t="s">
        <v>346</v>
      </c>
      <c r="CP175" s="11">
        <v>0.02</v>
      </c>
      <c r="CQ175" s="9" t="str">
        <f>_xll.SNL.Clients.Office.Excel.Functions.SPG(CN175, "SP_COUNTRY_NAME")</f>
        <v>USA</v>
      </c>
      <c r="CV175" s="9" t="str">
        <f>_xll.SNL.Clients.Office.Excel.Functions.SPG(CS175, "SP_COUNTRY_NAME")</f>
        <v>#INVALID COMPANY ID</v>
      </c>
      <c r="DA175" s="9" t="str">
        <f>_xll.SNL.Clients.Office.Excel.Functions.SPG(CX175, "SP_COUNTRY_NAME")</f>
        <v>#INVALID COMPANY ID</v>
      </c>
      <c r="DB175" t="s">
        <v>1450</v>
      </c>
      <c r="DC175">
        <v>4325233</v>
      </c>
      <c r="DD175" t="s">
        <v>346</v>
      </c>
      <c r="DE175" s="11">
        <v>0.02</v>
      </c>
      <c r="DF175" s="9" t="str">
        <f>_xll.SNL.Clients.Office.Excel.Functions.SPG(DC175, "SP_COUNTRY_NAME")</f>
        <v>United Kingdom</v>
      </c>
      <c r="DK175" s="9" t="str">
        <f>_xll.SNL.Clients.Office.Excel.Functions.SPG(DH175, "SP_COUNTRY_NAME")</f>
        <v>#INVALID COMPANY ID</v>
      </c>
      <c r="DL175" t="s">
        <v>1450</v>
      </c>
      <c r="DM175">
        <v>4325233</v>
      </c>
      <c r="DN175" t="s">
        <v>346</v>
      </c>
      <c r="DO175" s="11">
        <v>0.02</v>
      </c>
      <c r="DP175" s="9" t="str">
        <f>_xll.SNL.Clients.Office.Excel.Functions.SPG(DM175, "SP_COUNTRY_NAME")</f>
        <v>United Kingdom</v>
      </c>
      <c r="DU175" s="9" t="str">
        <f>_xll.SNL.Clients.Office.Excel.Functions.SPG(DR175, "SP_COUNTRY_NAME")</f>
        <v>#INVALID COMPANY ID</v>
      </c>
      <c r="DZ175" s="9" t="str">
        <f>_xll.SNL.Clients.Office.Excel.Functions.SPG(DW175, "SP_COUNTRY_NAME")</f>
        <v>#INVALID COMPANY ID</v>
      </c>
      <c r="EA175" t="s">
        <v>1676</v>
      </c>
      <c r="EB175">
        <v>4116978</v>
      </c>
      <c r="EC175" t="s">
        <v>346</v>
      </c>
      <c r="ED175" s="11">
        <v>0.02</v>
      </c>
      <c r="EE175" s="9" t="str">
        <f>_xll.SNL.Clients.Office.Excel.Functions.SPG(EB175, "SP_COUNTRY_NAME")</f>
        <v>USA</v>
      </c>
      <c r="EF175" t="s">
        <v>1450</v>
      </c>
      <c r="EG175">
        <v>4325233</v>
      </c>
      <c r="EH175" t="s">
        <v>346</v>
      </c>
      <c r="EI175" s="11">
        <v>0.02</v>
      </c>
      <c r="EJ175" s="9" t="str">
        <f>_xll.SNL.Clients.Office.Excel.Functions.SPG(EG175, "SP_COUNTRY_NAME")</f>
        <v>United Kingdom</v>
      </c>
      <c r="EO175" s="9" t="str">
        <f>_xll.SNL.Clients.Office.Excel.Functions.SPG(EL175, "SP_COUNTRY_NAME")</f>
        <v>#INVALID COMPANY ID</v>
      </c>
      <c r="ET175" s="9" t="str">
        <f>_xll.SNL.Clients.Office.Excel.Functions.SPG(EQ175, "SP_COUNTRY_NAME")</f>
        <v>#INVALID COMPANY ID</v>
      </c>
      <c r="EY175" s="9" t="str">
        <f>_xll.SNL.Clients.Office.Excel.Functions.SPG(EV175, "SP_COUNTRY_NAME")</f>
        <v>#INVALID COMPANY ID</v>
      </c>
      <c r="FD175" s="9" t="str">
        <f>_xll.SNL.Clients.Office.Excel.Functions.SPG(FA175, "SP_COUNTRY_NAME")</f>
        <v>#INVALID COMPANY ID</v>
      </c>
      <c r="FI175" s="9" t="str">
        <f>_xll.SNL.Clients.Office.Excel.Functions.SPG(FF175, "SP_COUNTRY_NAME")</f>
        <v>#INVALID COMPANY ID</v>
      </c>
      <c r="FN175" s="9" t="str">
        <f>_xll.SNL.Clients.Office.Excel.Functions.SPG(FK175, "SP_COUNTRY_NAME")</f>
        <v>#INVALID COMPANY ID</v>
      </c>
      <c r="FS175" s="9" t="str">
        <f>_xll.SNL.Clients.Office.Excel.Functions.SPG(FP175, "SP_COUNTRY_NAME")</f>
        <v>#INVALID COMPANY ID</v>
      </c>
      <c r="FX175" s="9" t="str">
        <f>_xll.SNL.Clients.Office.Excel.Functions.SPG(FU175, "SP_COUNTRY_NAME")</f>
        <v>#INVALID COMPANY ID</v>
      </c>
      <c r="FY175" t="s">
        <v>1450</v>
      </c>
      <c r="FZ175">
        <v>4325233</v>
      </c>
      <c r="GA175" t="s">
        <v>346</v>
      </c>
      <c r="GB175" s="11">
        <v>0.02</v>
      </c>
      <c r="GC175" s="9" t="str">
        <f>_xll.SNL.Clients.Office.Excel.Functions.SPG(FZ175, "SP_COUNTRY_NAME")</f>
        <v>United Kingdom</v>
      </c>
      <c r="GH175" s="9" t="str">
        <f>_xll.SNL.Clients.Office.Excel.Functions.SPG(GE175, "SP_COUNTRY_NAME")</f>
        <v>#INVALID COMPANY ID</v>
      </c>
      <c r="GM175" s="9" t="str">
        <f>_xll.SNL.Clients.Office.Excel.Functions.SPG(GJ175, "SP_COUNTRY_NAME")</f>
        <v>#INVALID COMPANY ID</v>
      </c>
      <c r="GR175" s="9" t="str">
        <f>_xll.SNL.Clients.Office.Excel.Functions.SPG(GO175, "SP_COUNTRY_NAME")</f>
        <v>#INVALID COMPANY ID</v>
      </c>
      <c r="GS175" t="s">
        <v>688</v>
      </c>
      <c r="GT175">
        <v>14821347</v>
      </c>
      <c r="GU175" t="s">
        <v>346</v>
      </c>
      <c r="GV175" s="11">
        <v>0</v>
      </c>
      <c r="GW175" s="9" t="str">
        <f>_xll.SNL.Clients.Office.Excel.Functions.SPG(GT175, "SP_COUNTRY_NAME")</f>
        <v>Singapore</v>
      </c>
      <c r="GX175" t="s">
        <v>1676</v>
      </c>
      <c r="GY175">
        <v>4116978</v>
      </c>
      <c r="GZ175" t="s">
        <v>346</v>
      </c>
      <c r="HA175" s="11">
        <v>0.02</v>
      </c>
      <c r="HB175" s="9" t="str">
        <f>_xll.SNL.Clients.Office.Excel.Functions.SPG(GY175, "SP_COUNTRY_NAME")</f>
        <v>USA</v>
      </c>
      <c r="HG175" s="9" t="str">
        <f>_xll.SNL.Clients.Office.Excel.Functions.SPG(HD175, "SP_COUNTRY_NAME")</f>
        <v>#INVALID COMPANY ID</v>
      </c>
    </row>
    <row r="176" spans="5:215" x14ac:dyDescent="0.35">
      <c r="E176" s="9" t="str">
        <f>_xll.SNL.Clients.Office.Excel.Functions.SPG(B176, "SP_COUNTRY_NAME")</f>
        <v>#INVALID COMPANY ID</v>
      </c>
      <c r="F176" t="s">
        <v>562</v>
      </c>
      <c r="G176">
        <v>4256114</v>
      </c>
      <c r="H176" t="s">
        <v>346</v>
      </c>
      <c r="I176" s="11">
        <v>0</v>
      </c>
      <c r="J176" s="9" t="str">
        <f>_xll.SNL.Clients.Office.Excel.Functions.SPG(G176, "SP_COUNTRY_NAME")</f>
        <v>South Korea</v>
      </c>
      <c r="O176" s="9" t="str">
        <f>_xll.SNL.Clients.Office.Excel.Functions.SPG(L176, "SP_COUNTRY_NAME")</f>
        <v>#INVALID COMPANY ID</v>
      </c>
      <c r="T176" s="9" t="str">
        <f>_xll.SNL.Clients.Office.Excel.Functions.SPG(Q176, "SP_COUNTRY_NAME")</f>
        <v>#INVALID COMPANY ID</v>
      </c>
      <c r="U176" t="s">
        <v>775</v>
      </c>
      <c r="V176">
        <v>19448171</v>
      </c>
      <c r="W176" t="s">
        <v>346</v>
      </c>
      <c r="X176" s="11">
        <v>0.01</v>
      </c>
      <c r="Y176" s="9" t="str">
        <f>_xll.SNL.Clients.Office.Excel.Functions.SPG(V176, "SP_COUNTRY_NAME")</f>
        <v>China</v>
      </c>
      <c r="AD176" s="9" t="str">
        <f>_xll.SNL.Clients.Office.Excel.Functions.SPG(AA176, "SP_COUNTRY_NAME")</f>
        <v>#INVALID COMPANY ID</v>
      </c>
      <c r="AE176" t="s">
        <v>412</v>
      </c>
      <c r="AF176">
        <v>109687</v>
      </c>
      <c r="AG176" t="s">
        <v>346</v>
      </c>
      <c r="AH176" s="11">
        <v>0</v>
      </c>
      <c r="AI176" s="9" t="str">
        <f>_xll.SNL.Clients.Office.Excel.Functions.SPG(AF176, "SP_COUNTRY_NAME")</f>
        <v>USA</v>
      </c>
      <c r="AN176" s="9" t="str">
        <f>_xll.SNL.Clients.Office.Excel.Functions.SPG(AK176, "SP_COUNTRY_NAME")</f>
        <v>#INVALID COMPANY ID</v>
      </c>
      <c r="AO176" t="s">
        <v>472</v>
      </c>
      <c r="AP176">
        <v>4048215</v>
      </c>
      <c r="AQ176" t="s">
        <v>346</v>
      </c>
      <c r="AR176" s="11">
        <v>0.01</v>
      </c>
      <c r="AS176" s="9" t="str">
        <f>_xll.SNL.Clients.Office.Excel.Functions.SPG(AP176, "SP_COUNTRY_NAME")</f>
        <v>USA</v>
      </c>
      <c r="AX176" s="9" t="str">
        <f>_xll.SNL.Clients.Office.Excel.Functions.SPG(AU176, "SP_COUNTRY_NAME")</f>
        <v>#INVALID COMPANY ID</v>
      </c>
      <c r="BC176" s="9" t="str">
        <f>_xll.SNL.Clients.Office.Excel.Functions.SPG(AZ176, "SP_COUNTRY_NAME")</f>
        <v>#INVALID COMPANY ID</v>
      </c>
      <c r="BD176" t="s">
        <v>1367</v>
      </c>
      <c r="BE176">
        <v>8246912</v>
      </c>
      <c r="BF176" t="s">
        <v>346</v>
      </c>
      <c r="BG176" s="11">
        <v>0.02</v>
      </c>
      <c r="BH176" s="9" t="str">
        <f>_xll.SNL.Clients.Office.Excel.Functions.SPG(BE176, "SP_COUNTRY_NAME")</f>
        <v>South Africa</v>
      </c>
      <c r="BI176" t="s">
        <v>526</v>
      </c>
      <c r="BJ176">
        <v>4248288</v>
      </c>
      <c r="BK176" t="s">
        <v>346</v>
      </c>
      <c r="BL176" s="11">
        <v>0</v>
      </c>
      <c r="BM176" s="9" t="str">
        <f>_xll.SNL.Clients.Office.Excel.Functions.SPG(BJ176, "SP_COUNTRY_NAME")</f>
        <v>Canada</v>
      </c>
      <c r="BN176" t="s">
        <v>1081</v>
      </c>
      <c r="BO176">
        <v>13728752</v>
      </c>
      <c r="BP176" t="s">
        <v>346</v>
      </c>
      <c r="BQ176" s="11">
        <v>0</v>
      </c>
      <c r="BR176" s="9" t="str">
        <f>_xll.SNL.Clients.Office.Excel.Functions.SPG(BO176, "SP_COUNTRY_NAME")</f>
        <v>United Kingdom</v>
      </c>
      <c r="BS176" t="s">
        <v>729</v>
      </c>
      <c r="BT176">
        <v>4304908</v>
      </c>
      <c r="BU176" t="s">
        <v>346</v>
      </c>
      <c r="BV176" s="11">
        <v>0.01</v>
      </c>
      <c r="BW176" s="9" t="str">
        <f>_xll.SNL.Clients.Office.Excel.Functions.SPG(BT176, "SP_COUNTRY_NAME")</f>
        <v>Hong Kong</v>
      </c>
      <c r="BX176" t="s">
        <v>775</v>
      </c>
      <c r="BY176">
        <v>19448171</v>
      </c>
      <c r="BZ176" t="s">
        <v>346</v>
      </c>
      <c r="CA176" s="11">
        <v>0.01</v>
      </c>
      <c r="CB176" s="9" t="str">
        <f>_xll.SNL.Clients.Office.Excel.Functions.SPG(BY176, "SP_COUNTRY_NAME")</f>
        <v>China</v>
      </c>
      <c r="CC176" t="s">
        <v>388</v>
      </c>
      <c r="CD176">
        <v>4057506</v>
      </c>
      <c r="CE176" t="s">
        <v>346</v>
      </c>
      <c r="CF176" s="11">
        <v>0.02</v>
      </c>
      <c r="CG176" s="9" t="str">
        <f>_xll.SNL.Clients.Office.Excel.Functions.SPG(CD176, "SP_COUNTRY_NAME")</f>
        <v>USA</v>
      </c>
      <c r="CH176" t="s">
        <v>472</v>
      </c>
      <c r="CI176">
        <v>4048215</v>
      </c>
      <c r="CJ176" t="s">
        <v>346</v>
      </c>
      <c r="CK176" s="11">
        <v>0.01</v>
      </c>
      <c r="CL176" s="9" t="str">
        <f>_xll.SNL.Clients.Office.Excel.Functions.SPG(CI176, "SP_COUNTRY_NAME")</f>
        <v>USA</v>
      </c>
      <c r="CM176" t="s">
        <v>1985</v>
      </c>
      <c r="CN176">
        <v>4244091</v>
      </c>
      <c r="CO176" t="s">
        <v>346</v>
      </c>
      <c r="CP176" s="11">
        <v>0.02</v>
      </c>
      <c r="CQ176" s="9" t="str">
        <f>_xll.SNL.Clients.Office.Excel.Functions.SPG(CN176, "SP_COUNTRY_NAME")</f>
        <v>USA</v>
      </c>
      <c r="CV176" s="9" t="str">
        <f>_xll.SNL.Clients.Office.Excel.Functions.SPG(CS176, "SP_COUNTRY_NAME")</f>
        <v>#INVALID COMPANY ID</v>
      </c>
      <c r="DA176" s="9" t="str">
        <f>_xll.SNL.Clients.Office.Excel.Functions.SPG(CX176, "SP_COUNTRY_NAME")</f>
        <v>#INVALID COMPANY ID</v>
      </c>
      <c r="DB176" t="s">
        <v>1367</v>
      </c>
      <c r="DC176">
        <v>8246912</v>
      </c>
      <c r="DD176" t="s">
        <v>346</v>
      </c>
      <c r="DE176" s="11">
        <v>0.02</v>
      </c>
      <c r="DF176" s="9" t="str">
        <f>_xll.SNL.Clients.Office.Excel.Functions.SPG(DC176, "SP_COUNTRY_NAME")</f>
        <v>South Africa</v>
      </c>
      <c r="DK176" s="9" t="str">
        <f>_xll.SNL.Clients.Office.Excel.Functions.SPG(DH176, "SP_COUNTRY_NAME")</f>
        <v>#INVALID COMPANY ID</v>
      </c>
      <c r="DL176" t="s">
        <v>1367</v>
      </c>
      <c r="DM176">
        <v>8246912</v>
      </c>
      <c r="DN176" t="s">
        <v>346</v>
      </c>
      <c r="DO176" s="11">
        <v>0.02</v>
      </c>
      <c r="DP176" s="9" t="str">
        <f>_xll.SNL.Clients.Office.Excel.Functions.SPG(DM176, "SP_COUNTRY_NAME")</f>
        <v>South Africa</v>
      </c>
      <c r="DU176" s="9" t="str">
        <f>_xll.SNL.Clients.Office.Excel.Functions.SPG(DR176, "SP_COUNTRY_NAME")</f>
        <v>#INVALID COMPANY ID</v>
      </c>
      <c r="DZ176" s="9" t="str">
        <f>_xll.SNL.Clients.Office.Excel.Functions.SPG(DW176, "SP_COUNTRY_NAME")</f>
        <v>#INVALID COMPANY ID</v>
      </c>
      <c r="EA176" t="s">
        <v>388</v>
      </c>
      <c r="EB176">
        <v>4057506</v>
      </c>
      <c r="EC176" t="s">
        <v>346</v>
      </c>
      <c r="ED176" s="11">
        <v>0.02</v>
      </c>
      <c r="EE176" s="9" t="str">
        <f>_xll.SNL.Clients.Office.Excel.Functions.SPG(EB176, "SP_COUNTRY_NAME")</f>
        <v>USA</v>
      </c>
      <c r="EF176" t="s">
        <v>1367</v>
      </c>
      <c r="EG176">
        <v>8246912</v>
      </c>
      <c r="EH176" t="s">
        <v>346</v>
      </c>
      <c r="EI176" s="11">
        <v>0.02</v>
      </c>
      <c r="EJ176" s="9" t="str">
        <f>_xll.SNL.Clients.Office.Excel.Functions.SPG(EG176, "SP_COUNTRY_NAME")</f>
        <v>South Africa</v>
      </c>
      <c r="EO176" s="9" t="str">
        <f>_xll.SNL.Clients.Office.Excel.Functions.SPG(EL176, "SP_COUNTRY_NAME")</f>
        <v>#INVALID COMPANY ID</v>
      </c>
      <c r="ET176" s="9" t="str">
        <f>_xll.SNL.Clients.Office.Excel.Functions.SPG(EQ176, "SP_COUNTRY_NAME")</f>
        <v>#INVALID COMPANY ID</v>
      </c>
      <c r="EY176" s="9" t="str">
        <f>_xll.SNL.Clients.Office.Excel.Functions.SPG(EV176, "SP_COUNTRY_NAME")</f>
        <v>#INVALID COMPANY ID</v>
      </c>
      <c r="FD176" s="9" t="str">
        <f>_xll.SNL.Clients.Office.Excel.Functions.SPG(FA176, "SP_COUNTRY_NAME")</f>
        <v>#INVALID COMPANY ID</v>
      </c>
      <c r="FI176" s="9" t="str">
        <f>_xll.SNL.Clients.Office.Excel.Functions.SPG(FF176, "SP_COUNTRY_NAME")</f>
        <v>#INVALID COMPANY ID</v>
      </c>
      <c r="FN176" s="9" t="str">
        <f>_xll.SNL.Clients.Office.Excel.Functions.SPG(FK176, "SP_COUNTRY_NAME")</f>
        <v>#INVALID COMPANY ID</v>
      </c>
      <c r="FS176" s="9" t="str">
        <f>_xll.SNL.Clients.Office.Excel.Functions.SPG(FP176, "SP_COUNTRY_NAME")</f>
        <v>#INVALID COMPANY ID</v>
      </c>
      <c r="FX176" s="9" t="str">
        <f>_xll.SNL.Clients.Office.Excel.Functions.SPG(FU176, "SP_COUNTRY_NAME")</f>
        <v>#INVALID COMPANY ID</v>
      </c>
      <c r="FY176" t="s">
        <v>1367</v>
      </c>
      <c r="FZ176">
        <v>8246912</v>
      </c>
      <c r="GA176" t="s">
        <v>346</v>
      </c>
      <c r="GB176" s="11">
        <v>0.02</v>
      </c>
      <c r="GC176" s="9" t="str">
        <f>_xll.SNL.Clients.Office.Excel.Functions.SPG(FZ176, "SP_COUNTRY_NAME")</f>
        <v>South Africa</v>
      </c>
      <c r="GH176" s="9" t="str">
        <f>_xll.SNL.Clients.Office.Excel.Functions.SPG(GE176, "SP_COUNTRY_NAME")</f>
        <v>#INVALID COMPANY ID</v>
      </c>
      <c r="GM176" s="9" t="str">
        <f>_xll.SNL.Clients.Office.Excel.Functions.SPG(GJ176, "SP_COUNTRY_NAME")</f>
        <v>#INVALID COMPANY ID</v>
      </c>
      <c r="GR176" s="9" t="str">
        <f>_xll.SNL.Clients.Office.Excel.Functions.SPG(GO176, "SP_COUNTRY_NAME")</f>
        <v>#INVALID COMPANY ID</v>
      </c>
      <c r="GS176" t="s">
        <v>1081</v>
      </c>
      <c r="GT176">
        <v>13728752</v>
      </c>
      <c r="GU176" t="s">
        <v>346</v>
      </c>
      <c r="GV176" s="11">
        <v>0</v>
      </c>
      <c r="GW176" s="9" t="str">
        <f>_xll.SNL.Clients.Office.Excel.Functions.SPG(GT176, "SP_COUNTRY_NAME")</f>
        <v>United Kingdom</v>
      </c>
      <c r="GX176" t="s">
        <v>388</v>
      </c>
      <c r="GY176">
        <v>4057506</v>
      </c>
      <c r="GZ176" t="s">
        <v>346</v>
      </c>
      <c r="HA176" s="11">
        <v>0.02</v>
      </c>
      <c r="HB176" s="9" t="str">
        <f>_xll.SNL.Clients.Office.Excel.Functions.SPG(GY176, "SP_COUNTRY_NAME")</f>
        <v>USA</v>
      </c>
      <c r="HG176" s="9" t="str">
        <f>_xll.SNL.Clients.Office.Excel.Functions.SPG(HD176, "SP_COUNTRY_NAME")</f>
        <v>#INVALID COMPANY ID</v>
      </c>
    </row>
    <row r="177" spans="5:215" x14ac:dyDescent="0.35">
      <c r="E177" s="9" t="str">
        <f>_xll.SNL.Clients.Office.Excel.Functions.SPG(B177, "SP_COUNTRY_NAME")</f>
        <v>#INVALID COMPANY ID</v>
      </c>
      <c r="F177" t="s">
        <v>405</v>
      </c>
      <c r="G177">
        <v>4035990</v>
      </c>
      <c r="H177" t="s">
        <v>346</v>
      </c>
      <c r="I177" s="11">
        <v>0</v>
      </c>
      <c r="J177" s="9" t="str">
        <f>_xll.SNL.Clients.Office.Excel.Functions.SPG(G177, "SP_COUNTRY_NAME")</f>
        <v>Canada</v>
      </c>
      <c r="O177" s="9" t="str">
        <f>_xll.SNL.Clients.Office.Excel.Functions.SPG(L177, "SP_COUNTRY_NAME")</f>
        <v>#INVALID COMPANY ID</v>
      </c>
      <c r="T177" s="9" t="str">
        <f>_xll.SNL.Clients.Office.Excel.Functions.SPG(Q177, "SP_COUNTRY_NAME")</f>
        <v>#INVALID COMPANY ID</v>
      </c>
      <c r="U177" t="s">
        <v>776</v>
      </c>
      <c r="V177">
        <v>4345268</v>
      </c>
      <c r="W177" t="s">
        <v>346</v>
      </c>
      <c r="X177" s="11">
        <v>0.01</v>
      </c>
      <c r="Y177" s="9" t="str">
        <f>_xll.SNL.Clients.Office.Excel.Functions.SPG(V177, "SP_COUNTRY_NAME")</f>
        <v>China</v>
      </c>
      <c r="AD177" s="9" t="str">
        <f>_xll.SNL.Clients.Office.Excel.Functions.SPG(AA177, "SP_COUNTRY_NAME")</f>
        <v>#INVALID COMPANY ID</v>
      </c>
      <c r="AE177" t="s">
        <v>1168</v>
      </c>
      <c r="AF177">
        <v>4785371</v>
      </c>
      <c r="AG177" t="s">
        <v>346</v>
      </c>
      <c r="AH177" s="11">
        <v>0</v>
      </c>
      <c r="AI177" s="9" t="str">
        <f>_xll.SNL.Clients.Office.Excel.Functions.SPG(AF177, "SP_COUNTRY_NAME")</f>
        <v>Türkiye</v>
      </c>
      <c r="AN177" s="9" t="str">
        <f>_xll.SNL.Clients.Office.Excel.Functions.SPG(AK177, "SP_COUNTRY_NAME")</f>
        <v>#INVALID COMPANY ID</v>
      </c>
      <c r="AO177" t="s">
        <v>1323</v>
      </c>
      <c r="AP177">
        <v>5854916</v>
      </c>
      <c r="AQ177" t="s">
        <v>346</v>
      </c>
      <c r="AR177" s="11">
        <v>0.01</v>
      </c>
      <c r="AS177" s="9" t="str">
        <f>_xll.SNL.Clients.Office.Excel.Functions.SPG(AP177, "SP_COUNTRY_NAME")</f>
        <v>South Africa</v>
      </c>
      <c r="AX177" s="9" t="str">
        <f>_xll.SNL.Clients.Office.Excel.Functions.SPG(AU177, "SP_COUNTRY_NAME")</f>
        <v>#INVALID COMPANY ID</v>
      </c>
      <c r="BC177" s="9" t="str">
        <f>_xll.SNL.Clients.Office.Excel.Functions.SPG(AZ177, "SP_COUNTRY_NAME")</f>
        <v>#INVALID COMPANY ID</v>
      </c>
      <c r="BD177" t="s">
        <v>501</v>
      </c>
      <c r="BE177">
        <v>111359</v>
      </c>
      <c r="BF177" t="s">
        <v>346</v>
      </c>
      <c r="BG177" s="11">
        <v>0.02</v>
      </c>
      <c r="BH177" s="9" t="str">
        <f>_xll.SNL.Clients.Office.Excel.Functions.SPG(BE177, "SP_COUNTRY_NAME")</f>
        <v>USA</v>
      </c>
      <c r="BI177" t="s">
        <v>1576</v>
      </c>
      <c r="BJ177">
        <v>4417267</v>
      </c>
      <c r="BK177" t="s">
        <v>346</v>
      </c>
      <c r="BL177" s="11">
        <v>0</v>
      </c>
      <c r="BM177" s="9" t="str">
        <f>_xll.SNL.Clients.Office.Excel.Functions.SPG(BJ177, "SP_COUNTRY_NAME")</f>
        <v>Andorra</v>
      </c>
      <c r="BN177" t="s">
        <v>827</v>
      </c>
      <c r="BO177">
        <v>4138775</v>
      </c>
      <c r="BP177" t="s">
        <v>346</v>
      </c>
      <c r="BQ177" s="11">
        <v>0</v>
      </c>
      <c r="BR177" s="9" t="str">
        <f>_xll.SNL.Clients.Office.Excel.Functions.SPG(BO177, "SP_COUNTRY_NAME")</f>
        <v>China</v>
      </c>
      <c r="BS177" t="s">
        <v>758</v>
      </c>
      <c r="BT177">
        <v>4890277</v>
      </c>
      <c r="BU177" t="s">
        <v>346</v>
      </c>
      <c r="BV177" s="11">
        <v>0.01</v>
      </c>
      <c r="BW177" s="9" t="str">
        <f>_xll.SNL.Clients.Office.Excel.Functions.SPG(BT177, "SP_COUNTRY_NAME")</f>
        <v>China</v>
      </c>
      <c r="BX177" t="s">
        <v>776</v>
      </c>
      <c r="BY177">
        <v>4345268</v>
      </c>
      <c r="BZ177" t="s">
        <v>346</v>
      </c>
      <c r="CA177" s="11">
        <v>0.01</v>
      </c>
      <c r="CB177" s="9" t="str">
        <f>_xll.SNL.Clients.Office.Excel.Functions.SPG(BY177, "SP_COUNTRY_NAME")</f>
        <v>China</v>
      </c>
      <c r="CC177" t="s">
        <v>829</v>
      </c>
      <c r="CD177">
        <v>4074095</v>
      </c>
      <c r="CE177" t="s">
        <v>346</v>
      </c>
      <c r="CF177" s="11">
        <v>0.02</v>
      </c>
      <c r="CG177" s="9" t="str">
        <f>_xll.SNL.Clients.Office.Excel.Functions.SPG(CD177, "SP_COUNTRY_NAME")</f>
        <v>United Kingdom</v>
      </c>
      <c r="CH177" t="s">
        <v>1323</v>
      </c>
      <c r="CI177">
        <v>5854916</v>
      </c>
      <c r="CJ177" t="s">
        <v>346</v>
      </c>
      <c r="CK177" s="11">
        <v>0.01</v>
      </c>
      <c r="CL177" s="9" t="str">
        <f>_xll.SNL.Clients.Office.Excel.Functions.SPG(CI177, "SP_COUNTRY_NAME")</f>
        <v>South Africa</v>
      </c>
      <c r="CM177" t="s">
        <v>749</v>
      </c>
      <c r="CN177">
        <v>109913</v>
      </c>
      <c r="CO177" t="s">
        <v>346</v>
      </c>
      <c r="CP177" s="11">
        <v>0.02</v>
      </c>
      <c r="CQ177" s="9" t="str">
        <f>_xll.SNL.Clients.Office.Excel.Functions.SPG(CN177, "SP_COUNTRY_NAME")</f>
        <v>USA</v>
      </c>
      <c r="CV177" s="9" t="str">
        <f>_xll.SNL.Clients.Office.Excel.Functions.SPG(CS177, "SP_COUNTRY_NAME")</f>
        <v>#INVALID COMPANY ID</v>
      </c>
      <c r="DA177" s="9" t="str">
        <f>_xll.SNL.Clients.Office.Excel.Functions.SPG(CX177, "SP_COUNTRY_NAME")</f>
        <v>#INVALID COMPANY ID</v>
      </c>
      <c r="DB177" t="s">
        <v>501</v>
      </c>
      <c r="DC177">
        <v>111359</v>
      </c>
      <c r="DD177" t="s">
        <v>346</v>
      </c>
      <c r="DE177" s="11">
        <v>0.02</v>
      </c>
      <c r="DF177" s="9" t="str">
        <f>_xll.SNL.Clients.Office.Excel.Functions.SPG(DC177, "SP_COUNTRY_NAME")</f>
        <v>USA</v>
      </c>
      <c r="DK177" s="9" t="str">
        <f>_xll.SNL.Clients.Office.Excel.Functions.SPG(DH177, "SP_COUNTRY_NAME")</f>
        <v>#INVALID COMPANY ID</v>
      </c>
      <c r="DL177" t="s">
        <v>501</v>
      </c>
      <c r="DM177">
        <v>111359</v>
      </c>
      <c r="DN177" t="s">
        <v>346</v>
      </c>
      <c r="DO177" s="11">
        <v>0.02</v>
      </c>
      <c r="DP177" s="9" t="str">
        <f>_xll.SNL.Clients.Office.Excel.Functions.SPG(DM177, "SP_COUNTRY_NAME")</f>
        <v>USA</v>
      </c>
      <c r="DU177" s="9" t="str">
        <f>_xll.SNL.Clients.Office.Excel.Functions.SPG(DR177, "SP_COUNTRY_NAME")</f>
        <v>#INVALID COMPANY ID</v>
      </c>
      <c r="DZ177" s="9" t="str">
        <f>_xll.SNL.Clients.Office.Excel.Functions.SPG(DW177, "SP_COUNTRY_NAME")</f>
        <v>#INVALID COMPANY ID</v>
      </c>
      <c r="EA177" t="s">
        <v>829</v>
      </c>
      <c r="EB177">
        <v>4074095</v>
      </c>
      <c r="EC177" t="s">
        <v>346</v>
      </c>
      <c r="ED177" s="11">
        <v>0.02</v>
      </c>
      <c r="EE177" s="9" t="str">
        <f>_xll.SNL.Clients.Office.Excel.Functions.SPG(EB177, "SP_COUNTRY_NAME")</f>
        <v>United Kingdom</v>
      </c>
      <c r="EF177" t="s">
        <v>501</v>
      </c>
      <c r="EG177">
        <v>111359</v>
      </c>
      <c r="EH177" t="s">
        <v>346</v>
      </c>
      <c r="EI177" s="11">
        <v>0.02</v>
      </c>
      <c r="EJ177" s="9" t="str">
        <f>_xll.SNL.Clients.Office.Excel.Functions.SPG(EG177, "SP_COUNTRY_NAME")</f>
        <v>USA</v>
      </c>
      <c r="EO177" s="9" t="str">
        <f>_xll.SNL.Clients.Office.Excel.Functions.SPG(EL177, "SP_COUNTRY_NAME")</f>
        <v>#INVALID COMPANY ID</v>
      </c>
      <c r="ET177" s="9" t="str">
        <f>_xll.SNL.Clients.Office.Excel.Functions.SPG(EQ177, "SP_COUNTRY_NAME")</f>
        <v>#INVALID COMPANY ID</v>
      </c>
      <c r="EY177" s="9" t="str">
        <f>_xll.SNL.Clients.Office.Excel.Functions.SPG(EV177, "SP_COUNTRY_NAME")</f>
        <v>#INVALID COMPANY ID</v>
      </c>
      <c r="FD177" s="9" t="str">
        <f>_xll.SNL.Clients.Office.Excel.Functions.SPG(FA177, "SP_COUNTRY_NAME")</f>
        <v>#INVALID COMPANY ID</v>
      </c>
      <c r="FI177" s="9" t="str">
        <f>_xll.SNL.Clients.Office.Excel.Functions.SPG(FF177, "SP_COUNTRY_NAME")</f>
        <v>#INVALID COMPANY ID</v>
      </c>
      <c r="FN177" s="9" t="str">
        <f>_xll.SNL.Clients.Office.Excel.Functions.SPG(FK177, "SP_COUNTRY_NAME")</f>
        <v>#INVALID COMPANY ID</v>
      </c>
      <c r="FS177" s="9" t="str">
        <f>_xll.SNL.Clients.Office.Excel.Functions.SPG(FP177, "SP_COUNTRY_NAME")</f>
        <v>#INVALID COMPANY ID</v>
      </c>
      <c r="FX177" s="9" t="str">
        <f>_xll.SNL.Clients.Office.Excel.Functions.SPG(FU177, "SP_COUNTRY_NAME")</f>
        <v>#INVALID COMPANY ID</v>
      </c>
      <c r="FY177" t="s">
        <v>501</v>
      </c>
      <c r="FZ177">
        <v>111359</v>
      </c>
      <c r="GA177" t="s">
        <v>346</v>
      </c>
      <c r="GB177" s="11">
        <v>0.02</v>
      </c>
      <c r="GC177" s="9" t="str">
        <f>_xll.SNL.Clients.Office.Excel.Functions.SPG(FZ177, "SP_COUNTRY_NAME")</f>
        <v>USA</v>
      </c>
      <c r="GH177" s="9" t="str">
        <f>_xll.SNL.Clients.Office.Excel.Functions.SPG(GE177, "SP_COUNTRY_NAME")</f>
        <v>#INVALID COMPANY ID</v>
      </c>
      <c r="GM177" s="9" t="str">
        <f>_xll.SNL.Clients.Office.Excel.Functions.SPG(GJ177, "SP_COUNTRY_NAME")</f>
        <v>#INVALID COMPANY ID</v>
      </c>
      <c r="GR177" s="9" t="str">
        <f>_xll.SNL.Clients.Office.Excel.Functions.SPG(GO177, "SP_COUNTRY_NAME")</f>
        <v>#INVALID COMPANY ID</v>
      </c>
      <c r="GS177" t="s">
        <v>827</v>
      </c>
      <c r="GT177">
        <v>4138775</v>
      </c>
      <c r="GU177" t="s">
        <v>346</v>
      </c>
      <c r="GV177" s="11">
        <v>0</v>
      </c>
      <c r="GW177" s="9" t="str">
        <f>_xll.SNL.Clients.Office.Excel.Functions.SPG(GT177, "SP_COUNTRY_NAME")</f>
        <v>China</v>
      </c>
      <c r="GX177" t="s">
        <v>829</v>
      </c>
      <c r="GY177">
        <v>4074095</v>
      </c>
      <c r="GZ177" t="s">
        <v>346</v>
      </c>
      <c r="HA177" s="11">
        <v>0.02</v>
      </c>
      <c r="HB177" s="9" t="str">
        <f>_xll.SNL.Clients.Office.Excel.Functions.SPG(GY177, "SP_COUNTRY_NAME")</f>
        <v>United Kingdom</v>
      </c>
      <c r="HG177" s="9" t="str">
        <f>_xll.SNL.Clients.Office.Excel.Functions.SPG(HD177, "SP_COUNTRY_NAME")</f>
        <v>#INVALID COMPANY ID</v>
      </c>
    </row>
    <row r="178" spans="5:215" x14ac:dyDescent="0.35">
      <c r="E178" s="9" t="str">
        <f>_xll.SNL.Clients.Office.Excel.Functions.SPG(B178, "SP_COUNTRY_NAME")</f>
        <v>#INVALID COMPANY ID</v>
      </c>
      <c r="F178" t="s">
        <v>563</v>
      </c>
      <c r="G178">
        <v>118352632</v>
      </c>
      <c r="H178" t="s">
        <v>346</v>
      </c>
      <c r="I178" s="11">
        <v>0</v>
      </c>
      <c r="J178" s="9" t="str">
        <f>_xll.SNL.Clients.Office.Excel.Functions.SPG(G178, "SP_COUNTRY_NAME")</f>
        <v>Spain</v>
      </c>
      <c r="O178" s="9" t="str">
        <f>_xll.SNL.Clients.Office.Excel.Functions.SPG(L178, "SP_COUNTRY_NAME")</f>
        <v>#INVALID COMPANY ID</v>
      </c>
      <c r="T178" s="9" t="str">
        <f>_xll.SNL.Clients.Office.Excel.Functions.SPG(Q178, "SP_COUNTRY_NAME")</f>
        <v>#INVALID COMPANY ID</v>
      </c>
      <c r="U178" t="s">
        <v>777</v>
      </c>
      <c r="V178">
        <v>107988050</v>
      </c>
      <c r="W178" t="s">
        <v>346</v>
      </c>
      <c r="X178" s="11">
        <v>0.01</v>
      </c>
      <c r="Y178" s="9" t="str">
        <f>_xll.SNL.Clients.Office.Excel.Functions.SPG(V178, "SP_COUNTRY_NAME")</f>
        <v>China</v>
      </c>
      <c r="AD178" s="9" t="str">
        <f>_xll.SNL.Clients.Office.Excel.Functions.SPG(AA178, "SP_COUNTRY_NAME")</f>
        <v>#INVALID COMPANY ID</v>
      </c>
      <c r="AE178" t="s">
        <v>1169</v>
      </c>
      <c r="AF178" t="s">
        <v>300</v>
      </c>
      <c r="AG178" t="s">
        <v>361</v>
      </c>
      <c r="AH178" s="11">
        <v>0</v>
      </c>
      <c r="AI178" s="9" t="str">
        <f>_xll.SNL.Clients.Office.Excel.Functions.SPG(AF178, "SP_COUNTRY_NAME")</f>
        <v>China</v>
      </c>
      <c r="AN178" s="9" t="str">
        <f>_xll.SNL.Clients.Office.Excel.Functions.SPG(AK178, "SP_COUNTRY_NAME")</f>
        <v>#INVALID COMPANY ID</v>
      </c>
      <c r="AO178" t="s">
        <v>422</v>
      </c>
      <c r="AP178">
        <v>4048507</v>
      </c>
      <c r="AQ178" t="s">
        <v>346</v>
      </c>
      <c r="AR178" s="11">
        <v>0.01</v>
      </c>
      <c r="AS178" s="9" t="str">
        <f>_xll.SNL.Clients.Office.Excel.Functions.SPG(AP178, "SP_COUNTRY_NAME")</f>
        <v>Japan</v>
      </c>
      <c r="AX178" s="9" t="str">
        <f>_xll.SNL.Clients.Office.Excel.Functions.SPG(AU178, "SP_COUNTRY_NAME")</f>
        <v>#INVALID COMPANY ID</v>
      </c>
      <c r="BC178" s="9" t="str">
        <f>_xll.SNL.Clients.Office.Excel.Functions.SPG(AZ178, "SP_COUNTRY_NAME")</f>
        <v>#INVALID COMPANY ID</v>
      </c>
      <c r="BD178" t="s">
        <v>409</v>
      </c>
      <c r="BE178">
        <v>102719</v>
      </c>
      <c r="BF178" t="s">
        <v>346</v>
      </c>
      <c r="BG178" s="11">
        <v>0.02</v>
      </c>
      <c r="BH178" s="9" t="str">
        <f>_xll.SNL.Clients.Office.Excel.Functions.SPG(BE178, "SP_COUNTRY_NAME")</f>
        <v>USA</v>
      </c>
      <c r="BI178" t="s">
        <v>1527</v>
      </c>
      <c r="BJ178">
        <v>4140026</v>
      </c>
      <c r="BK178" t="s">
        <v>346</v>
      </c>
      <c r="BL178" s="11">
        <v>0</v>
      </c>
      <c r="BM178" s="9" t="str">
        <f>_xll.SNL.Clients.Office.Excel.Functions.SPG(BJ178, "SP_COUNTRY_NAME")</f>
        <v>Germany</v>
      </c>
      <c r="BN178" t="s">
        <v>766</v>
      </c>
      <c r="BO178">
        <v>4138826</v>
      </c>
      <c r="BP178" t="s">
        <v>346</v>
      </c>
      <c r="BQ178" s="11">
        <v>0</v>
      </c>
      <c r="BR178" s="9" t="str">
        <f>_xll.SNL.Clients.Office.Excel.Functions.SPG(BO178, "SP_COUNTRY_NAME")</f>
        <v>China</v>
      </c>
      <c r="BS178" t="s">
        <v>740</v>
      </c>
      <c r="BT178">
        <v>4271664</v>
      </c>
      <c r="BU178" t="s">
        <v>346</v>
      </c>
      <c r="BV178" s="11">
        <v>0.01</v>
      </c>
      <c r="BW178" s="9" t="str">
        <f>_xll.SNL.Clients.Office.Excel.Functions.SPG(BT178, "SP_COUNTRY_NAME")</f>
        <v>United Kingdom</v>
      </c>
      <c r="BX178" t="s">
        <v>777</v>
      </c>
      <c r="BY178">
        <v>107988050</v>
      </c>
      <c r="BZ178" t="s">
        <v>346</v>
      </c>
      <c r="CA178" s="11">
        <v>0.01</v>
      </c>
      <c r="CB178" s="9" t="str">
        <f>_xll.SNL.Clients.Office.Excel.Functions.SPG(BY178, "SP_COUNTRY_NAME")</f>
        <v>China</v>
      </c>
      <c r="CC178" t="s">
        <v>1677</v>
      </c>
      <c r="CD178">
        <v>19547874</v>
      </c>
      <c r="CE178" t="s">
        <v>364</v>
      </c>
      <c r="CF178" s="11">
        <v>0.02</v>
      </c>
      <c r="CG178" s="9" t="str">
        <f>_xll.SNL.Clients.Office.Excel.Functions.SPG(CD178, "SP_COUNTRY_NAME")</f>
        <v>USA</v>
      </c>
      <c r="CH178" t="s">
        <v>422</v>
      </c>
      <c r="CI178">
        <v>4048507</v>
      </c>
      <c r="CJ178" t="s">
        <v>346</v>
      </c>
      <c r="CK178" s="11">
        <v>0.01</v>
      </c>
      <c r="CL178" s="9" t="str">
        <f>_xll.SNL.Clients.Office.Excel.Functions.SPG(CI178, "SP_COUNTRY_NAME")</f>
        <v>Japan</v>
      </c>
      <c r="CM178" t="s">
        <v>1725</v>
      </c>
      <c r="CN178">
        <v>11227495</v>
      </c>
      <c r="CO178" t="s">
        <v>346</v>
      </c>
      <c r="CP178" s="11">
        <v>0.02</v>
      </c>
      <c r="CQ178" s="9" t="str">
        <f>_xll.SNL.Clients.Office.Excel.Functions.SPG(CN178, "SP_COUNTRY_NAME")</f>
        <v>USA</v>
      </c>
      <c r="CV178" s="9" t="str">
        <f>_xll.SNL.Clients.Office.Excel.Functions.SPG(CS178, "SP_COUNTRY_NAME")</f>
        <v>#INVALID COMPANY ID</v>
      </c>
      <c r="DA178" s="9" t="str">
        <f>_xll.SNL.Clients.Office.Excel.Functions.SPG(CX178, "SP_COUNTRY_NAME")</f>
        <v>#INVALID COMPANY ID</v>
      </c>
      <c r="DB178" t="s">
        <v>409</v>
      </c>
      <c r="DC178">
        <v>102719</v>
      </c>
      <c r="DD178" t="s">
        <v>346</v>
      </c>
      <c r="DE178" s="11">
        <v>0.02</v>
      </c>
      <c r="DF178" s="9" t="str">
        <f>_xll.SNL.Clients.Office.Excel.Functions.SPG(DC178, "SP_COUNTRY_NAME")</f>
        <v>USA</v>
      </c>
      <c r="DK178" s="9" t="str">
        <f>_xll.SNL.Clients.Office.Excel.Functions.SPG(DH178, "SP_COUNTRY_NAME")</f>
        <v>#INVALID COMPANY ID</v>
      </c>
      <c r="DL178" t="s">
        <v>409</v>
      </c>
      <c r="DM178">
        <v>102719</v>
      </c>
      <c r="DN178" t="s">
        <v>346</v>
      </c>
      <c r="DO178" s="11">
        <v>0.02</v>
      </c>
      <c r="DP178" s="9" t="str">
        <f>_xll.SNL.Clients.Office.Excel.Functions.SPG(DM178, "SP_COUNTRY_NAME")</f>
        <v>USA</v>
      </c>
      <c r="DU178" s="9" t="str">
        <f>_xll.SNL.Clients.Office.Excel.Functions.SPG(DR178, "SP_COUNTRY_NAME")</f>
        <v>#INVALID COMPANY ID</v>
      </c>
      <c r="DZ178" s="9" t="str">
        <f>_xll.SNL.Clients.Office.Excel.Functions.SPG(DW178, "SP_COUNTRY_NAME")</f>
        <v>#INVALID COMPANY ID</v>
      </c>
      <c r="EA178" t="s">
        <v>1677</v>
      </c>
      <c r="EB178">
        <v>19547874</v>
      </c>
      <c r="EC178" t="s">
        <v>364</v>
      </c>
      <c r="ED178" s="11">
        <v>0.02</v>
      </c>
      <c r="EE178" s="9" t="str">
        <f>_xll.SNL.Clients.Office.Excel.Functions.SPG(EB178, "SP_COUNTRY_NAME")</f>
        <v>USA</v>
      </c>
      <c r="EF178" t="s">
        <v>409</v>
      </c>
      <c r="EG178">
        <v>102719</v>
      </c>
      <c r="EH178" t="s">
        <v>346</v>
      </c>
      <c r="EI178" s="11">
        <v>0.02</v>
      </c>
      <c r="EJ178" s="9" t="str">
        <f>_xll.SNL.Clients.Office.Excel.Functions.SPG(EG178, "SP_COUNTRY_NAME")</f>
        <v>USA</v>
      </c>
      <c r="EO178" s="9" t="str">
        <f>_xll.SNL.Clients.Office.Excel.Functions.SPG(EL178, "SP_COUNTRY_NAME")</f>
        <v>#INVALID COMPANY ID</v>
      </c>
      <c r="ET178" s="9" t="str">
        <f>_xll.SNL.Clients.Office.Excel.Functions.SPG(EQ178, "SP_COUNTRY_NAME")</f>
        <v>#INVALID COMPANY ID</v>
      </c>
      <c r="EY178" s="9" t="str">
        <f>_xll.SNL.Clients.Office.Excel.Functions.SPG(EV178, "SP_COUNTRY_NAME")</f>
        <v>#INVALID COMPANY ID</v>
      </c>
      <c r="FD178" s="9" t="str">
        <f>_xll.SNL.Clients.Office.Excel.Functions.SPG(FA178, "SP_COUNTRY_NAME")</f>
        <v>#INVALID COMPANY ID</v>
      </c>
      <c r="FI178" s="9" t="str">
        <f>_xll.SNL.Clients.Office.Excel.Functions.SPG(FF178, "SP_COUNTRY_NAME")</f>
        <v>#INVALID COMPANY ID</v>
      </c>
      <c r="FN178" s="9" t="str">
        <f>_xll.SNL.Clients.Office.Excel.Functions.SPG(FK178, "SP_COUNTRY_NAME")</f>
        <v>#INVALID COMPANY ID</v>
      </c>
      <c r="FS178" s="9" t="str">
        <f>_xll.SNL.Clients.Office.Excel.Functions.SPG(FP178, "SP_COUNTRY_NAME")</f>
        <v>#INVALID COMPANY ID</v>
      </c>
      <c r="FX178" s="9" t="str">
        <f>_xll.SNL.Clients.Office.Excel.Functions.SPG(FU178, "SP_COUNTRY_NAME")</f>
        <v>#INVALID COMPANY ID</v>
      </c>
      <c r="FY178" t="s">
        <v>409</v>
      </c>
      <c r="FZ178">
        <v>102719</v>
      </c>
      <c r="GA178" t="s">
        <v>346</v>
      </c>
      <c r="GB178" s="11">
        <v>0.02</v>
      </c>
      <c r="GC178" s="9" t="str">
        <f>_xll.SNL.Clients.Office.Excel.Functions.SPG(FZ178, "SP_COUNTRY_NAME")</f>
        <v>USA</v>
      </c>
      <c r="GH178" s="9" t="str">
        <f>_xll.SNL.Clients.Office.Excel.Functions.SPG(GE178, "SP_COUNTRY_NAME")</f>
        <v>#INVALID COMPANY ID</v>
      </c>
      <c r="GM178" s="9" t="str">
        <f>_xll.SNL.Clients.Office.Excel.Functions.SPG(GJ178, "SP_COUNTRY_NAME")</f>
        <v>#INVALID COMPANY ID</v>
      </c>
      <c r="GR178" s="9" t="str">
        <f>_xll.SNL.Clients.Office.Excel.Functions.SPG(GO178, "SP_COUNTRY_NAME")</f>
        <v>#INVALID COMPANY ID</v>
      </c>
      <c r="GS178" t="s">
        <v>766</v>
      </c>
      <c r="GT178">
        <v>4138826</v>
      </c>
      <c r="GU178" t="s">
        <v>346</v>
      </c>
      <c r="GV178" s="11">
        <v>0</v>
      </c>
      <c r="GW178" s="9" t="str">
        <f>_xll.SNL.Clients.Office.Excel.Functions.SPG(GT178, "SP_COUNTRY_NAME")</f>
        <v>China</v>
      </c>
      <c r="GX178" t="s">
        <v>1677</v>
      </c>
      <c r="GY178">
        <v>19547874</v>
      </c>
      <c r="GZ178" t="s">
        <v>364</v>
      </c>
      <c r="HA178" s="11">
        <v>0.02</v>
      </c>
      <c r="HB178" s="9" t="str">
        <f>_xll.SNL.Clients.Office.Excel.Functions.SPG(GY178, "SP_COUNTRY_NAME")</f>
        <v>USA</v>
      </c>
      <c r="HG178" s="9" t="str">
        <f>_xll.SNL.Clients.Office.Excel.Functions.SPG(HD178, "SP_COUNTRY_NAME")</f>
        <v>#INVALID COMPANY ID</v>
      </c>
    </row>
    <row r="179" spans="5:215" x14ac:dyDescent="0.35">
      <c r="E179" s="9" t="str">
        <f>_xll.SNL.Clients.Office.Excel.Functions.SPG(B179, "SP_COUNTRY_NAME")</f>
        <v>#INVALID COMPANY ID</v>
      </c>
      <c r="F179" t="s">
        <v>564</v>
      </c>
      <c r="G179">
        <v>4137693</v>
      </c>
      <c r="H179" t="s">
        <v>346</v>
      </c>
      <c r="I179" s="11">
        <v>0</v>
      </c>
      <c r="J179" s="9" t="str">
        <f>_xll.SNL.Clients.Office.Excel.Functions.SPG(G179, "SP_COUNTRY_NAME")</f>
        <v>Italy</v>
      </c>
      <c r="O179" s="9" t="str">
        <f>_xll.SNL.Clients.Office.Excel.Functions.SPG(L179, "SP_COUNTRY_NAME")</f>
        <v>#INVALID COMPANY ID</v>
      </c>
      <c r="T179" s="9" t="str">
        <f>_xll.SNL.Clients.Office.Excel.Functions.SPG(Q179, "SP_COUNTRY_NAME")</f>
        <v>#INVALID COMPANY ID</v>
      </c>
      <c r="U179" t="s">
        <v>461</v>
      </c>
      <c r="V179">
        <v>4137912</v>
      </c>
      <c r="W179" t="s">
        <v>346</v>
      </c>
      <c r="X179" s="11">
        <v>0.01</v>
      </c>
      <c r="Y179" s="9" t="str">
        <f>_xll.SNL.Clients.Office.Excel.Functions.SPG(V179, "SP_COUNTRY_NAME")</f>
        <v>Germany</v>
      </c>
      <c r="AD179" s="9" t="str">
        <f>_xll.SNL.Clients.Office.Excel.Functions.SPG(AA179, "SP_COUNTRY_NAME")</f>
        <v>#INVALID COMPANY ID</v>
      </c>
      <c r="AE179" t="s">
        <v>524</v>
      </c>
      <c r="AF179">
        <v>4147331</v>
      </c>
      <c r="AG179" t="s">
        <v>346</v>
      </c>
      <c r="AH179" s="11">
        <v>0</v>
      </c>
      <c r="AI179" s="9" t="str">
        <f>_xll.SNL.Clients.Office.Excel.Functions.SPG(AF179, "SP_COUNTRY_NAME")</f>
        <v>United Kingdom</v>
      </c>
      <c r="AN179" s="9" t="str">
        <f>_xll.SNL.Clients.Office.Excel.Functions.SPG(AK179, "SP_COUNTRY_NAME")</f>
        <v>#INVALID COMPANY ID</v>
      </c>
      <c r="AO179" t="s">
        <v>531</v>
      </c>
      <c r="AP179">
        <v>4072215</v>
      </c>
      <c r="AQ179" t="s">
        <v>346</v>
      </c>
      <c r="AR179" s="11">
        <v>0.01</v>
      </c>
      <c r="AS179" s="9" t="str">
        <f>_xll.SNL.Clients.Office.Excel.Functions.SPG(AP179, "SP_COUNTRY_NAME")</f>
        <v>USA</v>
      </c>
      <c r="AX179" s="9" t="str">
        <f>_xll.SNL.Clients.Office.Excel.Functions.SPG(AU179, "SP_COUNTRY_NAME")</f>
        <v>#INVALID COMPANY ID</v>
      </c>
      <c r="BC179" s="9" t="str">
        <f>_xll.SNL.Clients.Office.Excel.Functions.SPG(AZ179, "SP_COUNTRY_NAME")</f>
        <v>#INVALID COMPANY ID</v>
      </c>
      <c r="BD179" t="s">
        <v>880</v>
      </c>
      <c r="BE179">
        <v>4139864</v>
      </c>
      <c r="BF179" t="s">
        <v>346</v>
      </c>
      <c r="BG179" s="11">
        <v>0.02</v>
      </c>
      <c r="BH179" s="9" t="str">
        <f>_xll.SNL.Clients.Office.Excel.Functions.SPG(BE179, "SP_COUNTRY_NAME")</f>
        <v>United Kingdom</v>
      </c>
      <c r="BI179" t="s">
        <v>1104</v>
      </c>
      <c r="BJ179">
        <v>4145324</v>
      </c>
      <c r="BK179" t="s">
        <v>346</v>
      </c>
      <c r="BL179" s="11">
        <v>0</v>
      </c>
      <c r="BM179" s="9" t="str">
        <f>_xll.SNL.Clients.Office.Excel.Functions.SPG(BJ179, "SP_COUNTRY_NAME")</f>
        <v>Germany</v>
      </c>
      <c r="BN179" t="s">
        <v>796</v>
      </c>
      <c r="BO179">
        <v>19312355</v>
      </c>
      <c r="BP179" t="s">
        <v>346</v>
      </c>
      <c r="BQ179" s="11">
        <v>0</v>
      </c>
      <c r="BR179" s="9" t="str">
        <f>_xll.SNL.Clients.Office.Excel.Functions.SPG(BO179, "SP_COUNTRY_NAME")</f>
        <v>China</v>
      </c>
      <c r="BS179" t="s">
        <v>547</v>
      </c>
      <c r="BT179">
        <v>4005523</v>
      </c>
      <c r="BU179" t="s">
        <v>346</v>
      </c>
      <c r="BV179" s="11">
        <v>0.01</v>
      </c>
      <c r="BW179" s="9" t="str">
        <f>_xll.SNL.Clients.Office.Excel.Functions.SPG(BT179, "SP_COUNTRY_NAME")</f>
        <v>Canada</v>
      </c>
      <c r="BX179" t="s">
        <v>461</v>
      </c>
      <c r="BY179">
        <v>4137912</v>
      </c>
      <c r="BZ179" t="s">
        <v>346</v>
      </c>
      <c r="CA179" s="11">
        <v>0.01</v>
      </c>
      <c r="CB179" s="9" t="str">
        <f>_xll.SNL.Clients.Office.Excel.Functions.SPG(BY179, "SP_COUNTRY_NAME")</f>
        <v>Germany</v>
      </c>
      <c r="CC179" t="s">
        <v>963</v>
      </c>
      <c r="CD179">
        <v>4156964</v>
      </c>
      <c r="CE179" t="s">
        <v>346</v>
      </c>
      <c r="CF179" s="11">
        <v>0.02</v>
      </c>
      <c r="CG179" s="9" t="str">
        <f>_xll.SNL.Clients.Office.Excel.Functions.SPG(CD179, "SP_COUNTRY_NAME")</f>
        <v>Canada</v>
      </c>
      <c r="CH179" t="s">
        <v>531</v>
      </c>
      <c r="CI179">
        <v>4072215</v>
      </c>
      <c r="CJ179" t="s">
        <v>346</v>
      </c>
      <c r="CK179" s="11">
        <v>0.01</v>
      </c>
      <c r="CL179" s="9" t="str">
        <f>_xll.SNL.Clients.Office.Excel.Functions.SPG(CI179, "SP_COUNTRY_NAME")</f>
        <v>USA</v>
      </c>
      <c r="CM179" t="s">
        <v>1296</v>
      </c>
      <c r="CN179">
        <v>8091201</v>
      </c>
      <c r="CO179" t="s">
        <v>346</v>
      </c>
      <c r="CP179" s="11">
        <v>0.02</v>
      </c>
      <c r="CQ179" s="9" t="str">
        <f>_xll.SNL.Clients.Office.Excel.Functions.SPG(CN179, "SP_COUNTRY_NAME")</f>
        <v>Namibia</v>
      </c>
      <c r="CV179" s="9" t="str">
        <f>_xll.SNL.Clients.Office.Excel.Functions.SPG(CS179, "SP_COUNTRY_NAME")</f>
        <v>#INVALID COMPANY ID</v>
      </c>
      <c r="DA179" s="9" t="str">
        <f>_xll.SNL.Clients.Office.Excel.Functions.SPG(CX179, "SP_COUNTRY_NAME")</f>
        <v>#INVALID COMPANY ID</v>
      </c>
      <c r="DB179" t="s">
        <v>880</v>
      </c>
      <c r="DC179">
        <v>4139864</v>
      </c>
      <c r="DD179" t="s">
        <v>346</v>
      </c>
      <c r="DE179" s="11">
        <v>0.02</v>
      </c>
      <c r="DF179" s="9" t="str">
        <f>_xll.SNL.Clients.Office.Excel.Functions.SPG(DC179, "SP_COUNTRY_NAME")</f>
        <v>United Kingdom</v>
      </c>
      <c r="DK179" s="9" t="str">
        <f>_xll.SNL.Clients.Office.Excel.Functions.SPG(DH179, "SP_COUNTRY_NAME")</f>
        <v>#INVALID COMPANY ID</v>
      </c>
      <c r="DL179" t="s">
        <v>880</v>
      </c>
      <c r="DM179">
        <v>4139864</v>
      </c>
      <c r="DN179" t="s">
        <v>346</v>
      </c>
      <c r="DO179" s="11">
        <v>0.02</v>
      </c>
      <c r="DP179" s="9" t="str">
        <f>_xll.SNL.Clients.Office.Excel.Functions.SPG(DM179, "SP_COUNTRY_NAME")</f>
        <v>United Kingdom</v>
      </c>
      <c r="DU179" s="9" t="str">
        <f>_xll.SNL.Clients.Office.Excel.Functions.SPG(DR179, "SP_COUNTRY_NAME")</f>
        <v>#INVALID COMPANY ID</v>
      </c>
      <c r="DZ179" s="9" t="str">
        <f>_xll.SNL.Clients.Office.Excel.Functions.SPG(DW179, "SP_COUNTRY_NAME")</f>
        <v>#INVALID COMPANY ID</v>
      </c>
      <c r="EA179" t="s">
        <v>963</v>
      </c>
      <c r="EB179">
        <v>4156964</v>
      </c>
      <c r="EC179" t="s">
        <v>346</v>
      </c>
      <c r="ED179" s="11">
        <v>0.02</v>
      </c>
      <c r="EE179" s="9" t="str">
        <f>_xll.SNL.Clients.Office.Excel.Functions.SPG(EB179, "SP_COUNTRY_NAME")</f>
        <v>Canada</v>
      </c>
      <c r="EF179" t="s">
        <v>880</v>
      </c>
      <c r="EG179">
        <v>4139864</v>
      </c>
      <c r="EH179" t="s">
        <v>346</v>
      </c>
      <c r="EI179" s="11">
        <v>0.02</v>
      </c>
      <c r="EJ179" s="9" t="str">
        <f>_xll.SNL.Clients.Office.Excel.Functions.SPG(EG179, "SP_COUNTRY_NAME")</f>
        <v>United Kingdom</v>
      </c>
      <c r="EO179" s="9" t="str">
        <f>_xll.SNL.Clients.Office.Excel.Functions.SPG(EL179, "SP_COUNTRY_NAME")</f>
        <v>#INVALID COMPANY ID</v>
      </c>
      <c r="ET179" s="9" t="str">
        <f>_xll.SNL.Clients.Office.Excel.Functions.SPG(EQ179, "SP_COUNTRY_NAME")</f>
        <v>#INVALID COMPANY ID</v>
      </c>
      <c r="EY179" s="9" t="str">
        <f>_xll.SNL.Clients.Office.Excel.Functions.SPG(EV179, "SP_COUNTRY_NAME")</f>
        <v>#INVALID COMPANY ID</v>
      </c>
      <c r="FD179" s="9" t="str">
        <f>_xll.SNL.Clients.Office.Excel.Functions.SPG(FA179, "SP_COUNTRY_NAME")</f>
        <v>#INVALID COMPANY ID</v>
      </c>
      <c r="FI179" s="9" t="str">
        <f>_xll.SNL.Clients.Office.Excel.Functions.SPG(FF179, "SP_COUNTRY_NAME")</f>
        <v>#INVALID COMPANY ID</v>
      </c>
      <c r="FN179" s="9" t="str">
        <f>_xll.SNL.Clients.Office.Excel.Functions.SPG(FK179, "SP_COUNTRY_NAME")</f>
        <v>#INVALID COMPANY ID</v>
      </c>
      <c r="FS179" s="9" t="str">
        <f>_xll.SNL.Clients.Office.Excel.Functions.SPG(FP179, "SP_COUNTRY_NAME")</f>
        <v>#INVALID COMPANY ID</v>
      </c>
      <c r="FX179" s="9" t="str">
        <f>_xll.SNL.Clients.Office.Excel.Functions.SPG(FU179, "SP_COUNTRY_NAME")</f>
        <v>#INVALID COMPANY ID</v>
      </c>
      <c r="FY179" t="s">
        <v>880</v>
      </c>
      <c r="FZ179">
        <v>4139864</v>
      </c>
      <c r="GA179" t="s">
        <v>346</v>
      </c>
      <c r="GB179" s="11">
        <v>0.02</v>
      </c>
      <c r="GC179" s="9" t="str">
        <f>_xll.SNL.Clients.Office.Excel.Functions.SPG(FZ179, "SP_COUNTRY_NAME")</f>
        <v>United Kingdom</v>
      </c>
      <c r="GH179" s="9" t="str">
        <f>_xll.SNL.Clients.Office.Excel.Functions.SPG(GE179, "SP_COUNTRY_NAME")</f>
        <v>#INVALID COMPANY ID</v>
      </c>
      <c r="GM179" s="9" t="str">
        <f>_xll.SNL.Clients.Office.Excel.Functions.SPG(GJ179, "SP_COUNTRY_NAME")</f>
        <v>#INVALID COMPANY ID</v>
      </c>
      <c r="GR179" s="9" t="str">
        <f>_xll.SNL.Clients.Office.Excel.Functions.SPG(GO179, "SP_COUNTRY_NAME")</f>
        <v>#INVALID COMPANY ID</v>
      </c>
      <c r="GS179" t="s">
        <v>796</v>
      </c>
      <c r="GT179">
        <v>19312355</v>
      </c>
      <c r="GU179" t="s">
        <v>346</v>
      </c>
      <c r="GV179" s="11">
        <v>0</v>
      </c>
      <c r="GW179" s="9" t="str">
        <f>_xll.SNL.Clients.Office.Excel.Functions.SPG(GT179, "SP_COUNTRY_NAME")</f>
        <v>China</v>
      </c>
      <c r="GX179" t="s">
        <v>963</v>
      </c>
      <c r="GY179">
        <v>4156964</v>
      </c>
      <c r="GZ179" t="s">
        <v>346</v>
      </c>
      <c r="HA179" s="11">
        <v>0.02</v>
      </c>
      <c r="HB179" s="9" t="str">
        <f>_xll.SNL.Clients.Office.Excel.Functions.SPG(GY179, "SP_COUNTRY_NAME")</f>
        <v>Canada</v>
      </c>
      <c r="HG179" s="9" t="str">
        <f>_xll.SNL.Clients.Office.Excel.Functions.SPG(HD179, "SP_COUNTRY_NAME")</f>
        <v>#INVALID COMPANY ID</v>
      </c>
    </row>
    <row r="180" spans="5:215" x14ac:dyDescent="0.35">
      <c r="E180" s="9" t="str">
        <f>_xll.SNL.Clients.Office.Excel.Functions.SPG(B180, "SP_COUNTRY_NAME")</f>
        <v>#INVALID COMPANY ID</v>
      </c>
      <c r="F180" t="s">
        <v>565</v>
      </c>
      <c r="G180">
        <v>26566323</v>
      </c>
      <c r="H180" t="s">
        <v>346</v>
      </c>
      <c r="I180" s="11">
        <v>0</v>
      </c>
      <c r="J180" s="9" t="str">
        <f>_xll.SNL.Clients.Office.Excel.Functions.SPG(G180, "SP_COUNTRY_NAME")</f>
        <v>USA</v>
      </c>
      <c r="O180" s="9" t="str">
        <f>_xll.SNL.Clients.Office.Excel.Functions.SPG(L180, "SP_COUNTRY_NAME")</f>
        <v>#INVALID COMPANY ID</v>
      </c>
      <c r="T180" s="9" t="str">
        <f>_xll.SNL.Clients.Office.Excel.Functions.SPG(Q180, "SP_COUNTRY_NAME")</f>
        <v>#INVALID COMPANY ID</v>
      </c>
      <c r="U180" t="s">
        <v>778</v>
      </c>
      <c r="V180">
        <v>4341872</v>
      </c>
      <c r="W180" t="s">
        <v>346</v>
      </c>
      <c r="X180" s="11">
        <v>0.01</v>
      </c>
      <c r="Y180" s="9" t="str">
        <f>_xll.SNL.Clients.Office.Excel.Functions.SPG(V180, "SP_COUNTRY_NAME")</f>
        <v>China</v>
      </c>
      <c r="AD180" s="9" t="str">
        <f>_xll.SNL.Clients.Office.Excel.Functions.SPG(AA180, "SP_COUNTRY_NAME")</f>
        <v>#INVALID COMPANY ID</v>
      </c>
      <c r="AE180" t="s">
        <v>576</v>
      </c>
      <c r="AF180">
        <v>4672091</v>
      </c>
      <c r="AG180" t="s">
        <v>300</v>
      </c>
      <c r="AH180" s="11">
        <v>0</v>
      </c>
      <c r="AI180" s="9" t="str">
        <f>_xll.SNL.Clients.Office.Excel.Functions.SPG(AF180, "SP_COUNTRY_NAME")</f>
        <v>South Africa</v>
      </c>
      <c r="AN180" s="9" t="str">
        <f>_xll.SNL.Clients.Office.Excel.Functions.SPG(AK180, "SP_COUNTRY_NAME")</f>
        <v>#INVALID COMPANY ID</v>
      </c>
      <c r="AO180" t="s">
        <v>1324</v>
      </c>
      <c r="AP180">
        <v>4234580</v>
      </c>
      <c r="AQ180" t="s">
        <v>364</v>
      </c>
      <c r="AR180" s="11">
        <v>0.01</v>
      </c>
      <c r="AS180" s="9" t="str">
        <f>_xll.SNL.Clients.Office.Excel.Functions.SPG(AP180, "SP_COUNTRY_NAME")</f>
        <v>South Africa</v>
      </c>
      <c r="AX180" s="9" t="str">
        <f>_xll.SNL.Clients.Office.Excel.Functions.SPG(AU180, "SP_COUNTRY_NAME")</f>
        <v>#INVALID COMPANY ID</v>
      </c>
      <c r="BC180" s="9" t="str">
        <f>_xll.SNL.Clients.Office.Excel.Functions.SPG(AZ180, "SP_COUNTRY_NAME")</f>
        <v>#INVALID COMPANY ID</v>
      </c>
      <c r="BD180" t="s">
        <v>391</v>
      </c>
      <c r="BE180">
        <v>13582910</v>
      </c>
      <c r="BF180" t="s">
        <v>346</v>
      </c>
      <c r="BG180" s="11">
        <v>0.02</v>
      </c>
      <c r="BH180" s="9" t="str">
        <f>_xll.SNL.Clients.Office.Excel.Functions.SPG(BE180, "SP_COUNTRY_NAME")</f>
        <v>France</v>
      </c>
      <c r="BI180" t="s">
        <v>1202</v>
      </c>
      <c r="BJ180">
        <v>5850609</v>
      </c>
      <c r="BK180" t="s">
        <v>346</v>
      </c>
      <c r="BL180" s="11">
        <v>0</v>
      </c>
      <c r="BM180" s="9" t="str">
        <f>_xll.SNL.Clients.Office.Excel.Functions.SPG(BJ180, "SP_COUNTRY_NAME")</f>
        <v>Germany</v>
      </c>
      <c r="BN180" t="s">
        <v>462</v>
      </c>
      <c r="BO180">
        <v>109872</v>
      </c>
      <c r="BP180" t="s">
        <v>346</v>
      </c>
      <c r="BQ180" s="11">
        <v>0</v>
      </c>
      <c r="BR180" s="9" t="str">
        <f>_xll.SNL.Clients.Office.Excel.Functions.SPG(BO180, "SP_COUNTRY_NAME")</f>
        <v>USA</v>
      </c>
      <c r="BS180" t="s">
        <v>741</v>
      </c>
      <c r="BT180">
        <v>4404664</v>
      </c>
      <c r="BU180" t="s">
        <v>346</v>
      </c>
      <c r="BV180" s="11">
        <v>0.01</v>
      </c>
      <c r="BW180" s="9" t="str">
        <f>_xll.SNL.Clients.Office.Excel.Functions.SPG(BT180, "SP_COUNTRY_NAME")</f>
        <v>China</v>
      </c>
      <c r="BX180" t="s">
        <v>778</v>
      </c>
      <c r="BY180">
        <v>4341872</v>
      </c>
      <c r="BZ180" t="s">
        <v>346</v>
      </c>
      <c r="CA180" s="11">
        <v>0.01</v>
      </c>
      <c r="CB180" s="9" t="str">
        <f>_xll.SNL.Clients.Office.Excel.Functions.SPG(BY180, "SP_COUNTRY_NAME")</f>
        <v>China</v>
      </c>
      <c r="CC180" t="s">
        <v>1678</v>
      </c>
      <c r="CD180">
        <v>20025131</v>
      </c>
      <c r="CE180" t="s">
        <v>346</v>
      </c>
      <c r="CF180" s="11">
        <v>0.01</v>
      </c>
      <c r="CG180" s="9" t="str">
        <f>_xll.SNL.Clients.Office.Excel.Functions.SPG(CD180, "SP_COUNTRY_NAME")</f>
        <v>USA</v>
      </c>
      <c r="CH180" t="s">
        <v>1324</v>
      </c>
      <c r="CI180">
        <v>4234580</v>
      </c>
      <c r="CJ180" t="s">
        <v>364</v>
      </c>
      <c r="CK180" s="11">
        <v>0.01</v>
      </c>
      <c r="CL180" s="9" t="str">
        <f>_xll.SNL.Clients.Office.Excel.Functions.SPG(CI180, "SP_COUNTRY_NAME")</f>
        <v>South Africa</v>
      </c>
      <c r="CM180" t="s">
        <v>480</v>
      </c>
      <c r="CN180">
        <v>4119651</v>
      </c>
      <c r="CO180" t="s">
        <v>346</v>
      </c>
      <c r="CP180" s="11">
        <v>0.02</v>
      </c>
      <c r="CQ180" s="9" t="str">
        <f>_xll.SNL.Clients.Office.Excel.Functions.SPG(CN180, "SP_COUNTRY_NAME")</f>
        <v>USA</v>
      </c>
      <c r="CV180" s="9" t="str">
        <f>_xll.SNL.Clients.Office.Excel.Functions.SPG(CS180, "SP_COUNTRY_NAME")</f>
        <v>#INVALID COMPANY ID</v>
      </c>
      <c r="DA180" s="9" t="str">
        <f>_xll.SNL.Clients.Office.Excel.Functions.SPG(CX180, "SP_COUNTRY_NAME")</f>
        <v>#INVALID COMPANY ID</v>
      </c>
      <c r="DB180" t="s">
        <v>391</v>
      </c>
      <c r="DC180">
        <v>13582910</v>
      </c>
      <c r="DD180" t="s">
        <v>346</v>
      </c>
      <c r="DE180" s="11">
        <v>0.02</v>
      </c>
      <c r="DF180" s="9" t="str">
        <f>_xll.SNL.Clients.Office.Excel.Functions.SPG(DC180, "SP_COUNTRY_NAME")</f>
        <v>France</v>
      </c>
      <c r="DK180" s="9" t="str">
        <f>_xll.SNL.Clients.Office.Excel.Functions.SPG(DH180, "SP_COUNTRY_NAME")</f>
        <v>#INVALID COMPANY ID</v>
      </c>
      <c r="DL180" t="s">
        <v>391</v>
      </c>
      <c r="DM180">
        <v>13582910</v>
      </c>
      <c r="DN180" t="s">
        <v>346</v>
      </c>
      <c r="DO180" s="11">
        <v>0.02</v>
      </c>
      <c r="DP180" s="9" t="str">
        <f>_xll.SNL.Clients.Office.Excel.Functions.SPG(DM180, "SP_COUNTRY_NAME")</f>
        <v>France</v>
      </c>
      <c r="DU180" s="9" t="str">
        <f>_xll.SNL.Clients.Office.Excel.Functions.SPG(DR180, "SP_COUNTRY_NAME")</f>
        <v>#INVALID COMPANY ID</v>
      </c>
      <c r="DZ180" s="9" t="str">
        <f>_xll.SNL.Clients.Office.Excel.Functions.SPG(DW180, "SP_COUNTRY_NAME")</f>
        <v>#INVALID COMPANY ID</v>
      </c>
      <c r="EA180" t="s">
        <v>1678</v>
      </c>
      <c r="EB180">
        <v>20025131</v>
      </c>
      <c r="EC180" t="s">
        <v>346</v>
      </c>
      <c r="ED180" s="11">
        <v>0.01</v>
      </c>
      <c r="EE180" s="9" t="str">
        <f>_xll.SNL.Clients.Office.Excel.Functions.SPG(EB180, "SP_COUNTRY_NAME")</f>
        <v>USA</v>
      </c>
      <c r="EF180" t="s">
        <v>391</v>
      </c>
      <c r="EG180">
        <v>13582910</v>
      </c>
      <c r="EH180" t="s">
        <v>346</v>
      </c>
      <c r="EI180" s="11">
        <v>0.02</v>
      </c>
      <c r="EJ180" s="9" t="str">
        <f>_xll.SNL.Clients.Office.Excel.Functions.SPG(EG180, "SP_COUNTRY_NAME")</f>
        <v>France</v>
      </c>
      <c r="EO180" s="9" t="str">
        <f>_xll.SNL.Clients.Office.Excel.Functions.SPG(EL180, "SP_COUNTRY_NAME")</f>
        <v>#INVALID COMPANY ID</v>
      </c>
      <c r="ET180" s="9" t="str">
        <f>_xll.SNL.Clients.Office.Excel.Functions.SPG(EQ180, "SP_COUNTRY_NAME")</f>
        <v>#INVALID COMPANY ID</v>
      </c>
      <c r="EY180" s="9" t="str">
        <f>_xll.SNL.Clients.Office.Excel.Functions.SPG(EV180, "SP_COUNTRY_NAME")</f>
        <v>#INVALID COMPANY ID</v>
      </c>
      <c r="FD180" s="9" t="str">
        <f>_xll.SNL.Clients.Office.Excel.Functions.SPG(FA180, "SP_COUNTRY_NAME")</f>
        <v>#INVALID COMPANY ID</v>
      </c>
      <c r="FI180" s="9" t="str">
        <f>_xll.SNL.Clients.Office.Excel.Functions.SPG(FF180, "SP_COUNTRY_NAME")</f>
        <v>#INVALID COMPANY ID</v>
      </c>
      <c r="FN180" s="9" t="str">
        <f>_xll.SNL.Clients.Office.Excel.Functions.SPG(FK180, "SP_COUNTRY_NAME")</f>
        <v>#INVALID COMPANY ID</v>
      </c>
      <c r="FS180" s="9" t="str">
        <f>_xll.SNL.Clients.Office.Excel.Functions.SPG(FP180, "SP_COUNTRY_NAME")</f>
        <v>#INVALID COMPANY ID</v>
      </c>
      <c r="FX180" s="9" t="str">
        <f>_xll.SNL.Clients.Office.Excel.Functions.SPG(FU180, "SP_COUNTRY_NAME")</f>
        <v>#INVALID COMPANY ID</v>
      </c>
      <c r="FY180" t="s">
        <v>391</v>
      </c>
      <c r="FZ180">
        <v>13582910</v>
      </c>
      <c r="GA180" t="s">
        <v>346</v>
      </c>
      <c r="GB180" s="11">
        <v>0.02</v>
      </c>
      <c r="GC180" s="9" t="str">
        <f>_xll.SNL.Clients.Office.Excel.Functions.SPG(FZ180, "SP_COUNTRY_NAME")</f>
        <v>France</v>
      </c>
      <c r="GH180" s="9" t="str">
        <f>_xll.SNL.Clients.Office.Excel.Functions.SPG(GE180, "SP_COUNTRY_NAME")</f>
        <v>#INVALID COMPANY ID</v>
      </c>
      <c r="GM180" s="9" t="str">
        <f>_xll.SNL.Clients.Office.Excel.Functions.SPG(GJ180, "SP_COUNTRY_NAME")</f>
        <v>#INVALID COMPANY ID</v>
      </c>
      <c r="GR180" s="9" t="str">
        <f>_xll.SNL.Clients.Office.Excel.Functions.SPG(GO180, "SP_COUNTRY_NAME")</f>
        <v>#INVALID COMPANY ID</v>
      </c>
      <c r="GS180" t="s">
        <v>462</v>
      </c>
      <c r="GT180">
        <v>109872</v>
      </c>
      <c r="GU180" t="s">
        <v>346</v>
      </c>
      <c r="GV180" s="11">
        <v>0</v>
      </c>
      <c r="GW180" s="9" t="str">
        <f>_xll.SNL.Clients.Office.Excel.Functions.SPG(GT180, "SP_COUNTRY_NAME")</f>
        <v>USA</v>
      </c>
      <c r="GX180" t="s">
        <v>1678</v>
      </c>
      <c r="GY180">
        <v>20025131</v>
      </c>
      <c r="GZ180" t="s">
        <v>346</v>
      </c>
      <c r="HA180" s="11">
        <v>0.01</v>
      </c>
      <c r="HB180" s="9" t="str">
        <f>_xll.SNL.Clients.Office.Excel.Functions.SPG(GY180, "SP_COUNTRY_NAME")</f>
        <v>USA</v>
      </c>
      <c r="HG180" s="9" t="str">
        <f>_xll.SNL.Clients.Office.Excel.Functions.SPG(HD180, "SP_COUNTRY_NAME")</f>
        <v>#INVALID COMPANY ID</v>
      </c>
    </row>
    <row r="181" spans="5:215" x14ac:dyDescent="0.35">
      <c r="E181" s="9" t="str">
        <f>_xll.SNL.Clients.Office.Excel.Functions.SPG(B181, "SP_COUNTRY_NAME")</f>
        <v>#INVALID COMPANY ID</v>
      </c>
      <c r="F181" t="s">
        <v>566</v>
      </c>
      <c r="G181">
        <v>5842545</v>
      </c>
      <c r="H181" t="s">
        <v>346</v>
      </c>
      <c r="I181" s="11">
        <v>0</v>
      </c>
      <c r="J181" s="9" t="str">
        <f>_xll.SNL.Clients.Office.Excel.Functions.SPG(G181, "SP_COUNTRY_NAME")</f>
        <v>USA</v>
      </c>
      <c r="O181" s="9" t="str">
        <f>_xll.SNL.Clients.Office.Excel.Functions.SPG(L181, "SP_COUNTRY_NAME")</f>
        <v>#INVALID COMPANY ID</v>
      </c>
      <c r="T181" s="9" t="str">
        <f>_xll.SNL.Clients.Office.Excel.Functions.SPG(Q181, "SP_COUNTRY_NAME")</f>
        <v>#INVALID COMPANY ID</v>
      </c>
      <c r="U181" t="s">
        <v>779</v>
      </c>
      <c r="V181" t="s">
        <v>300</v>
      </c>
      <c r="W181" t="s">
        <v>361</v>
      </c>
      <c r="X181" s="11">
        <v>0.01</v>
      </c>
      <c r="Y181" s="9" t="str">
        <f>_xll.SNL.Clients.Office.Excel.Functions.SPG(V181, "SP_COUNTRY_NAME")</f>
        <v>China</v>
      </c>
      <c r="AD181" s="9" t="str">
        <f>_xll.SNL.Clients.Office.Excel.Functions.SPG(AA181, "SP_COUNTRY_NAME")</f>
        <v>#INVALID COMPANY ID</v>
      </c>
      <c r="AE181" t="s">
        <v>1170</v>
      </c>
      <c r="AF181" t="s">
        <v>300</v>
      </c>
      <c r="AG181" t="s">
        <v>361</v>
      </c>
      <c r="AH181" s="11">
        <v>0</v>
      </c>
      <c r="AI181" s="9" t="str">
        <f>_xll.SNL.Clients.Office.Excel.Functions.SPG(AF181, "SP_COUNTRY_NAME")</f>
        <v>China</v>
      </c>
      <c r="AN181" s="9" t="str">
        <f>_xll.SNL.Clients.Office.Excel.Functions.SPG(AK181, "SP_COUNTRY_NAME")</f>
        <v>#INVALID COMPANY ID</v>
      </c>
      <c r="AO181" t="s">
        <v>440</v>
      </c>
      <c r="AP181">
        <v>4140078</v>
      </c>
      <c r="AQ181" t="s">
        <v>346</v>
      </c>
      <c r="AR181" s="11">
        <v>0.01</v>
      </c>
      <c r="AS181" s="9" t="str">
        <f>_xll.SNL.Clients.Office.Excel.Functions.SPG(AP181, "SP_COUNTRY_NAME")</f>
        <v>Japan</v>
      </c>
      <c r="AX181" s="9" t="str">
        <f>_xll.SNL.Clients.Office.Excel.Functions.SPG(AU181, "SP_COUNTRY_NAME")</f>
        <v>#INVALID COMPANY ID</v>
      </c>
      <c r="BC181" s="9" t="str">
        <f>_xll.SNL.Clients.Office.Excel.Functions.SPG(AZ181, "SP_COUNTRY_NAME")</f>
        <v>#INVALID COMPANY ID</v>
      </c>
      <c r="BD181" t="s">
        <v>1451</v>
      </c>
      <c r="BE181">
        <v>113985</v>
      </c>
      <c r="BF181" t="s">
        <v>366</v>
      </c>
      <c r="BG181" s="11">
        <v>0.02</v>
      </c>
      <c r="BH181" s="9" t="str">
        <f>_xll.SNL.Clients.Office.Excel.Functions.SPG(BE181, "SP_COUNTRY_NAME")</f>
        <v>Germany</v>
      </c>
      <c r="BI181" t="s">
        <v>525</v>
      </c>
      <c r="BJ181">
        <v>4227087</v>
      </c>
      <c r="BK181" t="s">
        <v>346</v>
      </c>
      <c r="BL181" s="11">
        <v>0</v>
      </c>
      <c r="BM181" s="9" t="str">
        <f>_xll.SNL.Clients.Office.Excel.Functions.SPG(BJ181, "SP_COUNTRY_NAME")</f>
        <v>Germany</v>
      </c>
      <c r="BN181" t="s">
        <v>857</v>
      </c>
      <c r="BO181">
        <v>4262519</v>
      </c>
      <c r="BP181" t="s">
        <v>346</v>
      </c>
      <c r="BQ181" s="11">
        <v>0</v>
      </c>
      <c r="BR181" s="9" t="str">
        <f>_xll.SNL.Clients.Office.Excel.Functions.SPG(BO181, "SP_COUNTRY_NAME")</f>
        <v>USA</v>
      </c>
      <c r="BS181" t="s">
        <v>533</v>
      </c>
      <c r="BT181">
        <v>4377155</v>
      </c>
      <c r="BU181" t="s">
        <v>346</v>
      </c>
      <c r="BV181" s="11">
        <v>0.01</v>
      </c>
      <c r="BW181" s="9" t="str">
        <f>_xll.SNL.Clients.Office.Excel.Functions.SPG(BT181, "SP_COUNTRY_NAME")</f>
        <v>Belgium</v>
      </c>
      <c r="BX181" t="s">
        <v>779</v>
      </c>
      <c r="BY181" t="s">
        <v>300</v>
      </c>
      <c r="BZ181" t="s">
        <v>361</v>
      </c>
      <c r="CA181" s="11">
        <v>0.01</v>
      </c>
      <c r="CB181" s="9" t="str">
        <f>_xll.SNL.Clients.Office.Excel.Functions.SPG(BY181, "SP_COUNTRY_NAME")</f>
        <v>China</v>
      </c>
      <c r="CC181" t="s">
        <v>1679</v>
      </c>
      <c r="CD181">
        <v>4138692</v>
      </c>
      <c r="CE181" t="s">
        <v>346</v>
      </c>
      <c r="CF181" s="11">
        <v>0.01</v>
      </c>
      <c r="CG181" s="9" t="str">
        <f>_xll.SNL.Clients.Office.Excel.Functions.SPG(CD181, "SP_COUNTRY_NAME")</f>
        <v>Slovenia</v>
      </c>
      <c r="CH181" t="s">
        <v>440</v>
      </c>
      <c r="CI181">
        <v>4140078</v>
      </c>
      <c r="CJ181" t="s">
        <v>346</v>
      </c>
      <c r="CK181" s="11">
        <v>0.01</v>
      </c>
      <c r="CL181" s="9" t="str">
        <f>_xll.SNL.Clients.Office.Excel.Functions.SPG(CI181, "SP_COUNTRY_NAME")</f>
        <v>Japan</v>
      </c>
      <c r="CM181" t="s">
        <v>415</v>
      </c>
      <c r="CN181">
        <v>110587</v>
      </c>
      <c r="CO181" t="s">
        <v>346</v>
      </c>
      <c r="CP181" s="11">
        <v>0.02</v>
      </c>
      <c r="CQ181" s="9" t="str">
        <f>_xll.SNL.Clients.Office.Excel.Functions.SPG(CN181, "SP_COUNTRY_NAME")</f>
        <v>USA</v>
      </c>
      <c r="CV181" s="9" t="str">
        <f>_xll.SNL.Clients.Office.Excel.Functions.SPG(CS181, "SP_COUNTRY_NAME")</f>
        <v>#INVALID COMPANY ID</v>
      </c>
      <c r="DA181" s="9" t="str">
        <f>_xll.SNL.Clients.Office.Excel.Functions.SPG(CX181, "SP_COUNTRY_NAME")</f>
        <v>#INVALID COMPANY ID</v>
      </c>
      <c r="DB181" t="s">
        <v>1451</v>
      </c>
      <c r="DC181">
        <v>113985</v>
      </c>
      <c r="DD181" t="s">
        <v>366</v>
      </c>
      <c r="DE181" s="11">
        <v>0.02</v>
      </c>
      <c r="DF181" s="9" t="str">
        <f>_xll.SNL.Clients.Office.Excel.Functions.SPG(DC181, "SP_COUNTRY_NAME")</f>
        <v>Germany</v>
      </c>
      <c r="DK181" s="9" t="str">
        <f>_xll.SNL.Clients.Office.Excel.Functions.SPG(DH181, "SP_COUNTRY_NAME")</f>
        <v>#INVALID COMPANY ID</v>
      </c>
      <c r="DL181" t="s">
        <v>1451</v>
      </c>
      <c r="DM181">
        <v>113985</v>
      </c>
      <c r="DN181" t="s">
        <v>366</v>
      </c>
      <c r="DO181" s="11">
        <v>0.02</v>
      </c>
      <c r="DP181" s="9" t="str">
        <f>_xll.SNL.Clients.Office.Excel.Functions.SPG(DM181, "SP_COUNTRY_NAME")</f>
        <v>Germany</v>
      </c>
      <c r="DU181" s="9" t="str">
        <f>_xll.SNL.Clients.Office.Excel.Functions.SPG(DR181, "SP_COUNTRY_NAME")</f>
        <v>#INVALID COMPANY ID</v>
      </c>
      <c r="DZ181" s="9" t="str">
        <f>_xll.SNL.Clients.Office.Excel.Functions.SPG(DW181, "SP_COUNTRY_NAME")</f>
        <v>#INVALID COMPANY ID</v>
      </c>
      <c r="EA181" t="s">
        <v>1679</v>
      </c>
      <c r="EB181">
        <v>4138692</v>
      </c>
      <c r="EC181" t="s">
        <v>346</v>
      </c>
      <c r="ED181" s="11">
        <v>0.01</v>
      </c>
      <c r="EE181" s="9" t="str">
        <f>_xll.SNL.Clients.Office.Excel.Functions.SPG(EB181, "SP_COUNTRY_NAME")</f>
        <v>Slovenia</v>
      </c>
      <c r="EF181" t="s">
        <v>1451</v>
      </c>
      <c r="EG181">
        <v>113985</v>
      </c>
      <c r="EH181" t="s">
        <v>366</v>
      </c>
      <c r="EI181" s="11">
        <v>0.02</v>
      </c>
      <c r="EJ181" s="9" t="str">
        <f>_xll.SNL.Clients.Office.Excel.Functions.SPG(EG181, "SP_COUNTRY_NAME")</f>
        <v>Germany</v>
      </c>
      <c r="EO181" s="9" t="str">
        <f>_xll.SNL.Clients.Office.Excel.Functions.SPG(EL181, "SP_COUNTRY_NAME")</f>
        <v>#INVALID COMPANY ID</v>
      </c>
      <c r="ET181" s="9" t="str">
        <f>_xll.SNL.Clients.Office.Excel.Functions.SPG(EQ181, "SP_COUNTRY_NAME")</f>
        <v>#INVALID COMPANY ID</v>
      </c>
      <c r="EY181" s="9" t="str">
        <f>_xll.SNL.Clients.Office.Excel.Functions.SPG(EV181, "SP_COUNTRY_NAME")</f>
        <v>#INVALID COMPANY ID</v>
      </c>
      <c r="FD181" s="9" t="str">
        <f>_xll.SNL.Clients.Office.Excel.Functions.SPG(FA181, "SP_COUNTRY_NAME")</f>
        <v>#INVALID COMPANY ID</v>
      </c>
      <c r="FI181" s="9" t="str">
        <f>_xll.SNL.Clients.Office.Excel.Functions.SPG(FF181, "SP_COUNTRY_NAME")</f>
        <v>#INVALID COMPANY ID</v>
      </c>
      <c r="FN181" s="9" t="str">
        <f>_xll.SNL.Clients.Office.Excel.Functions.SPG(FK181, "SP_COUNTRY_NAME")</f>
        <v>#INVALID COMPANY ID</v>
      </c>
      <c r="FS181" s="9" t="str">
        <f>_xll.SNL.Clients.Office.Excel.Functions.SPG(FP181, "SP_COUNTRY_NAME")</f>
        <v>#INVALID COMPANY ID</v>
      </c>
      <c r="FX181" s="9" t="str">
        <f>_xll.SNL.Clients.Office.Excel.Functions.SPG(FU181, "SP_COUNTRY_NAME")</f>
        <v>#INVALID COMPANY ID</v>
      </c>
      <c r="FY181" t="s">
        <v>1451</v>
      </c>
      <c r="FZ181">
        <v>113985</v>
      </c>
      <c r="GA181" t="s">
        <v>366</v>
      </c>
      <c r="GB181" s="11">
        <v>0.02</v>
      </c>
      <c r="GC181" s="9" t="str">
        <f>_xll.SNL.Clients.Office.Excel.Functions.SPG(FZ181, "SP_COUNTRY_NAME")</f>
        <v>Germany</v>
      </c>
      <c r="GH181" s="9" t="str">
        <f>_xll.SNL.Clients.Office.Excel.Functions.SPG(GE181, "SP_COUNTRY_NAME")</f>
        <v>#INVALID COMPANY ID</v>
      </c>
      <c r="GM181" s="9" t="str">
        <f>_xll.SNL.Clients.Office.Excel.Functions.SPG(GJ181, "SP_COUNTRY_NAME")</f>
        <v>#INVALID COMPANY ID</v>
      </c>
      <c r="GR181" s="9" t="str">
        <f>_xll.SNL.Clients.Office.Excel.Functions.SPG(GO181, "SP_COUNTRY_NAME")</f>
        <v>#INVALID COMPANY ID</v>
      </c>
      <c r="GS181" t="s">
        <v>857</v>
      </c>
      <c r="GT181">
        <v>4262519</v>
      </c>
      <c r="GU181" t="s">
        <v>346</v>
      </c>
      <c r="GV181" s="11">
        <v>0</v>
      </c>
      <c r="GW181" s="9" t="str">
        <f>_xll.SNL.Clients.Office.Excel.Functions.SPG(GT181, "SP_COUNTRY_NAME")</f>
        <v>USA</v>
      </c>
      <c r="GX181" t="s">
        <v>1679</v>
      </c>
      <c r="GY181">
        <v>4138692</v>
      </c>
      <c r="GZ181" t="s">
        <v>346</v>
      </c>
      <c r="HA181" s="11">
        <v>0.01</v>
      </c>
      <c r="HB181" s="9" t="str">
        <f>_xll.SNL.Clients.Office.Excel.Functions.SPG(GY181, "SP_COUNTRY_NAME")</f>
        <v>Slovenia</v>
      </c>
      <c r="HG181" s="9" t="str">
        <f>_xll.SNL.Clients.Office.Excel.Functions.SPG(HD181, "SP_COUNTRY_NAME")</f>
        <v>#INVALID COMPANY ID</v>
      </c>
    </row>
    <row r="182" spans="5:215" x14ac:dyDescent="0.35">
      <c r="E182" s="9" t="str">
        <f>_xll.SNL.Clients.Office.Excel.Functions.SPG(B182, "SP_COUNTRY_NAME")</f>
        <v>#INVALID COMPANY ID</v>
      </c>
      <c r="F182" t="s">
        <v>567</v>
      </c>
      <c r="G182">
        <v>4139837</v>
      </c>
      <c r="H182" t="s">
        <v>346</v>
      </c>
      <c r="I182" s="11">
        <v>0</v>
      </c>
      <c r="J182" s="9" t="str">
        <f>_xll.SNL.Clients.Office.Excel.Functions.SPG(G182, "SP_COUNTRY_NAME")</f>
        <v>Japan</v>
      </c>
      <c r="O182" s="9" t="str">
        <f>_xll.SNL.Clients.Office.Excel.Functions.SPG(L182, "SP_COUNTRY_NAME")</f>
        <v>#INVALID COMPANY ID</v>
      </c>
      <c r="T182" s="9" t="str">
        <f>_xll.SNL.Clients.Office.Excel.Functions.SPG(Q182, "SP_COUNTRY_NAME")</f>
        <v>#INVALID COMPANY ID</v>
      </c>
      <c r="U182" t="s">
        <v>388</v>
      </c>
      <c r="V182">
        <v>4057506</v>
      </c>
      <c r="W182" t="s">
        <v>346</v>
      </c>
      <c r="X182" s="11">
        <v>0.01</v>
      </c>
      <c r="Y182" s="9" t="str">
        <f>_xll.SNL.Clients.Office.Excel.Functions.SPG(V182, "SP_COUNTRY_NAME")</f>
        <v>USA</v>
      </c>
      <c r="AD182" s="9" t="str">
        <f>_xll.SNL.Clients.Office.Excel.Functions.SPG(AA182, "SP_COUNTRY_NAME")</f>
        <v>#INVALID COMPANY ID</v>
      </c>
      <c r="AE182" t="s">
        <v>1100</v>
      </c>
      <c r="AF182">
        <v>4139199</v>
      </c>
      <c r="AG182" t="s">
        <v>346</v>
      </c>
      <c r="AH182" s="11">
        <v>0</v>
      </c>
      <c r="AI182" s="9" t="str">
        <f>_xll.SNL.Clients.Office.Excel.Functions.SPG(AF182, "SP_COUNTRY_NAME")</f>
        <v>Türkiye</v>
      </c>
      <c r="AN182" s="9" t="str">
        <f>_xll.SNL.Clients.Office.Excel.Functions.SPG(AK182, "SP_COUNTRY_NAME")</f>
        <v>#INVALID COMPANY ID</v>
      </c>
      <c r="AO182" t="s">
        <v>1325</v>
      </c>
      <c r="AP182">
        <v>5760145</v>
      </c>
      <c r="AQ182" t="s">
        <v>346</v>
      </c>
      <c r="AR182" s="11">
        <v>0.01</v>
      </c>
      <c r="AS182" s="9" t="str">
        <f>_xll.SNL.Clients.Office.Excel.Functions.SPG(AP182, "SP_COUNTRY_NAME")</f>
        <v>South Africa</v>
      </c>
      <c r="AX182" s="9" t="str">
        <f>_xll.SNL.Clients.Office.Excel.Functions.SPG(AU182, "SP_COUNTRY_NAME")</f>
        <v>#INVALID COMPANY ID</v>
      </c>
      <c r="BC182" s="9" t="str">
        <f>_xll.SNL.Clients.Office.Excel.Functions.SPG(AZ182, "SP_COUNTRY_NAME")</f>
        <v>#INVALID COMPANY ID</v>
      </c>
      <c r="BD182" t="s">
        <v>434</v>
      </c>
      <c r="BE182">
        <v>4120033</v>
      </c>
      <c r="BF182" t="s">
        <v>346</v>
      </c>
      <c r="BG182" s="11">
        <v>0.02</v>
      </c>
      <c r="BH182" s="9" t="str">
        <f>_xll.SNL.Clients.Office.Excel.Functions.SPG(BE182, "SP_COUNTRY_NAME")</f>
        <v>Japan</v>
      </c>
      <c r="BI182" t="s">
        <v>1577</v>
      </c>
      <c r="BJ182">
        <v>4137593</v>
      </c>
      <c r="BK182" t="s">
        <v>346</v>
      </c>
      <c r="BL182" s="11">
        <v>0</v>
      </c>
      <c r="BM182" s="9" t="str">
        <f>_xll.SNL.Clients.Office.Excel.Functions.SPG(BJ182, "SP_COUNTRY_NAME")</f>
        <v>Finland</v>
      </c>
      <c r="BN182" t="s">
        <v>663</v>
      </c>
      <c r="BO182">
        <v>4080954</v>
      </c>
      <c r="BP182" t="s">
        <v>346</v>
      </c>
      <c r="BQ182" s="11">
        <v>0</v>
      </c>
      <c r="BR182" s="9" t="str">
        <f>_xll.SNL.Clients.Office.Excel.Functions.SPG(BO182, "SP_COUNTRY_NAME")</f>
        <v>Denmark</v>
      </c>
      <c r="BS182" t="s">
        <v>981</v>
      </c>
      <c r="BT182">
        <v>4140081</v>
      </c>
      <c r="BU182" t="s">
        <v>346</v>
      </c>
      <c r="BV182" s="11">
        <v>0.01</v>
      </c>
      <c r="BW182" s="9" t="str">
        <f>_xll.SNL.Clients.Office.Excel.Functions.SPG(BT182, "SP_COUNTRY_NAME")</f>
        <v>France</v>
      </c>
      <c r="BX182" t="s">
        <v>388</v>
      </c>
      <c r="BY182">
        <v>4057506</v>
      </c>
      <c r="BZ182" t="s">
        <v>346</v>
      </c>
      <c r="CA182" s="11">
        <v>0.01</v>
      </c>
      <c r="CB182" s="9" t="str">
        <f>_xll.SNL.Clients.Office.Excel.Functions.SPG(BY182, "SP_COUNTRY_NAME")</f>
        <v>USA</v>
      </c>
      <c r="CC182" t="s">
        <v>599</v>
      </c>
      <c r="CD182">
        <v>19350037</v>
      </c>
      <c r="CE182" t="s">
        <v>346</v>
      </c>
      <c r="CF182" s="11">
        <v>0.01</v>
      </c>
      <c r="CG182" s="9" t="str">
        <f>_xll.SNL.Clients.Office.Excel.Functions.SPG(CD182, "SP_COUNTRY_NAME")</f>
        <v>United Kingdom</v>
      </c>
      <c r="CH182" t="s">
        <v>1325</v>
      </c>
      <c r="CI182">
        <v>5760145</v>
      </c>
      <c r="CJ182" t="s">
        <v>346</v>
      </c>
      <c r="CK182" s="11">
        <v>0.01</v>
      </c>
      <c r="CL182" s="9" t="str">
        <f>_xll.SNL.Clients.Office.Excel.Functions.SPG(CI182, "SP_COUNTRY_NAME")</f>
        <v>South Africa</v>
      </c>
      <c r="CM182" t="s">
        <v>663</v>
      </c>
      <c r="CN182">
        <v>4080954</v>
      </c>
      <c r="CO182" t="s">
        <v>346</v>
      </c>
      <c r="CP182" s="11">
        <v>0.02</v>
      </c>
      <c r="CQ182" s="9" t="str">
        <f>_xll.SNL.Clients.Office.Excel.Functions.SPG(CN182, "SP_COUNTRY_NAME")</f>
        <v>Denmark</v>
      </c>
      <c r="CV182" s="9" t="str">
        <f>_xll.SNL.Clients.Office.Excel.Functions.SPG(CS182, "SP_COUNTRY_NAME")</f>
        <v>#INVALID COMPANY ID</v>
      </c>
      <c r="DA182" s="9" t="str">
        <f>_xll.SNL.Clients.Office.Excel.Functions.SPG(CX182, "SP_COUNTRY_NAME")</f>
        <v>#INVALID COMPANY ID</v>
      </c>
      <c r="DB182" t="s">
        <v>434</v>
      </c>
      <c r="DC182">
        <v>4120033</v>
      </c>
      <c r="DD182" t="s">
        <v>346</v>
      </c>
      <c r="DE182" s="11">
        <v>0.02</v>
      </c>
      <c r="DF182" s="9" t="str">
        <f>_xll.SNL.Clients.Office.Excel.Functions.SPG(DC182, "SP_COUNTRY_NAME")</f>
        <v>Japan</v>
      </c>
      <c r="DK182" s="9" t="str">
        <f>_xll.SNL.Clients.Office.Excel.Functions.SPG(DH182, "SP_COUNTRY_NAME")</f>
        <v>#INVALID COMPANY ID</v>
      </c>
      <c r="DL182" t="s">
        <v>434</v>
      </c>
      <c r="DM182">
        <v>4120033</v>
      </c>
      <c r="DN182" t="s">
        <v>346</v>
      </c>
      <c r="DO182" s="11">
        <v>0.02</v>
      </c>
      <c r="DP182" s="9" t="str">
        <f>_xll.SNL.Clients.Office.Excel.Functions.SPG(DM182, "SP_COUNTRY_NAME")</f>
        <v>Japan</v>
      </c>
      <c r="DU182" s="9" t="str">
        <f>_xll.SNL.Clients.Office.Excel.Functions.SPG(DR182, "SP_COUNTRY_NAME")</f>
        <v>#INVALID COMPANY ID</v>
      </c>
      <c r="DZ182" s="9" t="str">
        <f>_xll.SNL.Clients.Office.Excel.Functions.SPG(DW182, "SP_COUNTRY_NAME")</f>
        <v>#INVALID COMPANY ID</v>
      </c>
      <c r="EA182" t="s">
        <v>599</v>
      </c>
      <c r="EB182">
        <v>19350037</v>
      </c>
      <c r="EC182" t="s">
        <v>346</v>
      </c>
      <c r="ED182" s="11">
        <v>0.01</v>
      </c>
      <c r="EE182" s="9" t="str">
        <f>_xll.SNL.Clients.Office.Excel.Functions.SPG(EB182, "SP_COUNTRY_NAME")</f>
        <v>United Kingdom</v>
      </c>
      <c r="EF182" t="s">
        <v>434</v>
      </c>
      <c r="EG182">
        <v>4120033</v>
      </c>
      <c r="EH182" t="s">
        <v>346</v>
      </c>
      <c r="EI182" s="11">
        <v>0.02</v>
      </c>
      <c r="EJ182" s="9" t="str">
        <f>_xll.SNL.Clients.Office.Excel.Functions.SPG(EG182, "SP_COUNTRY_NAME")</f>
        <v>Japan</v>
      </c>
      <c r="EO182" s="9" t="str">
        <f>_xll.SNL.Clients.Office.Excel.Functions.SPG(EL182, "SP_COUNTRY_NAME")</f>
        <v>#INVALID COMPANY ID</v>
      </c>
      <c r="ET182" s="9" t="str">
        <f>_xll.SNL.Clients.Office.Excel.Functions.SPG(EQ182, "SP_COUNTRY_NAME")</f>
        <v>#INVALID COMPANY ID</v>
      </c>
      <c r="EY182" s="9" t="str">
        <f>_xll.SNL.Clients.Office.Excel.Functions.SPG(EV182, "SP_COUNTRY_NAME")</f>
        <v>#INVALID COMPANY ID</v>
      </c>
      <c r="FD182" s="9" t="str">
        <f>_xll.SNL.Clients.Office.Excel.Functions.SPG(FA182, "SP_COUNTRY_NAME")</f>
        <v>#INVALID COMPANY ID</v>
      </c>
      <c r="FI182" s="9" t="str">
        <f>_xll.SNL.Clients.Office.Excel.Functions.SPG(FF182, "SP_COUNTRY_NAME")</f>
        <v>#INVALID COMPANY ID</v>
      </c>
      <c r="FN182" s="9" t="str">
        <f>_xll.SNL.Clients.Office.Excel.Functions.SPG(FK182, "SP_COUNTRY_NAME")</f>
        <v>#INVALID COMPANY ID</v>
      </c>
      <c r="FS182" s="9" t="str">
        <f>_xll.SNL.Clients.Office.Excel.Functions.SPG(FP182, "SP_COUNTRY_NAME")</f>
        <v>#INVALID COMPANY ID</v>
      </c>
      <c r="FX182" s="9" t="str">
        <f>_xll.SNL.Clients.Office.Excel.Functions.SPG(FU182, "SP_COUNTRY_NAME")</f>
        <v>#INVALID COMPANY ID</v>
      </c>
      <c r="FY182" t="s">
        <v>434</v>
      </c>
      <c r="FZ182">
        <v>4120033</v>
      </c>
      <c r="GA182" t="s">
        <v>346</v>
      </c>
      <c r="GB182" s="11">
        <v>0.02</v>
      </c>
      <c r="GC182" s="9" t="str">
        <f>_xll.SNL.Clients.Office.Excel.Functions.SPG(FZ182, "SP_COUNTRY_NAME")</f>
        <v>Japan</v>
      </c>
      <c r="GH182" s="9" t="str">
        <f>_xll.SNL.Clients.Office.Excel.Functions.SPG(GE182, "SP_COUNTRY_NAME")</f>
        <v>#INVALID COMPANY ID</v>
      </c>
      <c r="GM182" s="9" t="str">
        <f>_xll.SNL.Clients.Office.Excel.Functions.SPG(GJ182, "SP_COUNTRY_NAME")</f>
        <v>#INVALID COMPANY ID</v>
      </c>
      <c r="GR182" s="9" t="str">
        <f>_xll.SNL.Clients.Office.Excel.Functions.SPG(GO182, "SP_COUNTRY_NAME")</f>
        <v>#INVALID COMPANY ID</v>
      </c>
      <c r="GS182" t="s">
        <v>663</v>
      </c>
      <c r="GT182">
        <v>4080954</v>
      </c>
      <c r="GU182" t="s">
        <v>346</v>
      </c>
      <c r="GV182" s="11">
        <v>0</v>
      </c>
      <c r="GW182" s="9" t="str">
        <f>_xll.SNL.Clients.Office.Excel.Functions.SPG(GT182, "SP_COUNTRY_NAME")</f>
        <v>Denmark</v>
      </c>
      <c r="GX182" t="s">
        <v>599</v>
      </c>
      <c r="GY182">
        <v>19350037</v>
      </c>
      <c r="GZ182" t="s">
        <v>346</v>
      </c>
      <c r="HA182" s="11">
        <v>0.01</v>
      </c>
      <c r="HB182" s="9" t="str">
        <f>_xll.SNL.Clients.Office.Excel.Functions.SPG(GY182, "SP_COUNTRY_NAME")</f>
        <v>United Kingdom</v>
      </c>
      <c r="HG182" s="9" t="str">
        <f>_xll.SNL.Clients.Office.Excel.Functions.SPG(HD182, "SP_COUNTRY_NAME")</f>
        <v>#INVALID COMPANY ID</v>
      </c>
    </row>
    <row r="183" spans="5:215" x14ac:dyDescent="0.35">
      <c r="E183" s="9" t="str">
        <f>_xll.SNL.Clients.Office.Excel.Functions.SPG(B183, "SP_COUNTRY_NAME")</f>
        <v>#INVALID COMPANY ID</v>
      </c>
      <c r="F183" t="s">
        <v>568</v>
      </c>
      <c r="G183">
        <v>4135240</v>
      </c>
      <c r="H183" t="s">
        <v>346</v>
      </c>
      <c r="I183" s="11">
        <v>0</v>
      </c>
      <c r="J183" s="9" t="str">
        <f>_xll.SNL.Clients.Office.Excel.Functions.SPG(G183, "SP_COUNTRY_NAME")</f>
        <v>Australia</v>
      </c>
      <c r="O183" s="9" t="str">
        <f>_xll.SNL.Clients.Office.Excel.Functions.SPG(L183, "SP_COUNTRY_NAME")</f>
        <v>#INVALID COMPANY ID</v>
      </c>
      <c r="T183" s="9" t="str">
        <f>_xll.SNL.Clients.Office.Excel.Functions.SPG(Q183, "SP_COUNTRY_NAME")</f>
        <v>#INVALID COMPANY ID</v>
      </c>
      <c r="U183" t="s">
        <v>780</v>
      </c>
      <c r="V183" t="s">
        <v>300</v>
      </c>
      <c r="W183" t="s">
        <v>361</v>
      </c>
      <c r="X183" s="11">
        <v>0.01</v>
      </c>
      <c r="Y183" s="9" t="str">
        <f>_xll.SNL.Clients.Office.Excel.Functions.SPG(V183, "SP_COUNTRY_NAME")</f>
        <v>China</v>
      </c>
      <c r="AD183" s="9" t="str">
        <f>_xll.SNL.Clients.Office.Excel.Functions.SPG(AA183, "SP_COUNTRY_NAME")</f>
        <v>#INVALID COMPANY ID</v>
      </c>
      <c r="AE183" t="s">
        <v>591</v>
      </c>
      <c r="AF183">
        <v>109721</v>
      </c>
      <c r="AG183" t="s">
        <v>346</v>
      </c>
      <c r="AH183" s="11">
        <v>0</v>
      </c>
      <c r="AI183" s="9" t="str">
        <f>_xll.SNL.Clients.Office.Excel.Functions.SPG(AF183, "SP_COUNTRY_NAME")</f>
        <v>USA</v>
      </c>
      <c r="AN183" s="9" t="str">
        <f>_xll.SNL.Clients.Office.Excel.Functions.SPG(AK183, "SP_COUNTRY_NAME")</f>
        <v>#INVALID COMPANY ID</v>
      </c>
      <c r="AO183" t="s">
        <v>856</v>
      </c>
      <c r="AP183">
        <v>4141040</v>
      </c>
      <c r="AQ183" t="s">
        <v>346</v>
      </c>
      <c r="AR183" s="11">
        <v>0.01</v>
      </c>
      <c r="AS183" s="9" t="str">
        <f>_xll.SNL.Clients.Office.Excel.Functions.SPG(AP183, "SP_COUNTRY_NAME")</f>
        <v>United Kingdom</v>
      </c>
      <c r="AX183" s="9" t="str">
        <f>_xll.SNL.Clients.Office.Excel.Functions.SPG(AU183, "SP_COUNTRY_NAME")</f>
        <v>#INVALID COMPANY ID</v>
      </c>
      <c r="BC183" s="9" t="str">
        <f>_xll.SNL.Clients.Office.Excel.Functions.SPG(AZ183, "SP_COUNTRY_NAME")</f>
        <v>#INVALID COMPANY ID</v>
      </c>
      <c r="BD183" t="s">
        <v>961</v>
      </c>
      <c r="BE183">
        <v>4048349</v>
      </c>
      <c r="BF183" t="s">
        <v>346</v>
      </c>
      <c r="BG183" s="11">
        <v>0.02</v>
      </c>
      <c r="BH183" s="9" t="str">
        <f>_xll.SNL.Clients.Office.Excel.Functions.SPG(BE183, "SP_COUNTRY_NAME")</f>
        <v>United Kingdom</v>
      </c>
      <c r="BI183" t="s">
        <v>1530</v>
      </c>
      <c r="BJ183">
        <v>5755714</v>
      </c>
      <c r="BK183" t="s">
        <v>346</v>
      </c>
      <c r="BL183" s="11">
        <v>0</v>
      </c>
      <c r="BM183" s="9" t="str">
        <f>_xll.SNL.Clients.Office.Excel.Functions.SPG(BJ183, "SP_COUNTRY_NAME")</f>
        <v>Israel</v>
      </c>
      <c r="BN183" t="s">
        <v>501</v>
      </c>
      <c r="BO183">
        <v>111359</v>
      </c>
      <c r="BP183" t="s">
        <v>346</v>
      </c>
      <c r="BQ183" s="11">
        <v>0</v>
      </c>
      <c r="BR183" s="9" t="str">
        <f>_xll.SNL.Clients.Office.Excel.Functions.SPG(BO183, "SP_COUNTRY_NAME")</f>
        <v>USA</v>
      </c>
      <c r="BS183" t="s">
        <v>442</v>
      </c>
      <c r="BT183">
        <v>4117611</v>
      </c>
      <c r="BU183" t="s">
        <v>346</v>
      </c>
      <c r="BV183" s="11">
        <v>0.01</v>
      </c>
      <c r="BW183" s="9" t="str">
        <f>_xll.SNL.Clients.Office.Excel.Functions.SPG(BT183, "SP_COUNTRY_NAME")</f>
        <v>USA</v>
      </c>
      <c r="BX183" t="s">
        <v>780</v>
      </c>
      <c r="BY183" t="s">
        <v>300</v>
      </c>
      <c r="BZ183" t="s">
        <v>361</v>
      </c>
      <c r="CA183" s="11">
        <v>0.01</v>
      </c>
      <c r="CB183" s="9" t="str">
        <f>_xll.SNL.Clients.Office.Excel.Functions.SPG(BY183, "SP_COUNTRY_NAME")</f>
        <v>China</v>
      </c>
      <c r="CC183" t="s">
        <v>1680</v>
      </c>
      <c r="CD183">
        <v>109232</v>
      </c>
      <c r="CE183" t="s">
        <v>346</v>
      </c>
      <c r="CF183" s="11">
        <v>0.01</v>
      </c>
      <c r="CG183" s="9" t="str">
        <f>_xll.SNL.Clients.Office.Excel.Functions.SPG(CD183, "SP_COUNTRY_NAME")</f>
        <v>USA</v>
      </c>
      <c r="CH183" t="s">
        <v>856</v>
      </c>
      <c r="CI183">
        <v>4141040</v>
      </c>
      <c r="CJ183" t="s">
        <v>346</v>
      </c>
      <c r="CK183" s="11">
        <v>0.01</v>
      </c>
      <c r="CL183" s="9" t="str">
        <f>_xll.SNL.Clients.Office.Excel.Functions.SPG(CI183, "SP_COUNTRY_NAME")</f>
        <v>United Kingdom</v>
      </c>
      <c r="CM183" t="s">
        <v>1391</v>
      </c>
      <c r="CN183">
        <v>4217352</v>
      </c>
      <c r="CO183" t="s">
        <v>346</v>
      </c>
      <c r="CP183" s="11">
        <v>0.02</v>
      </c>
      <c r="CQ183" s="9" t="str">
        <f>_xll.SNL.Clients.Office.Excel.Functions.SPG(CN183, "SP_COUNTRY_NAME")</f>
        <v>South Africa</v>
      </c>
      <c r="CV183" s="9" t="str">
        <f>_xll.SNL.Clients.Office.Excel.Functions.SPG(CS183, "SP_COUNTRY_NAME")</f>
        <v>#INVALID COMPANY ID</v>
      </c>
      <c r="DA183" s="9" t="str">
        <f>_xll.SNL.Clients.Office.Excel.Functions.SPG(CX183, "SP_COUNTRY_NAME")</f>
        <v>#INVALID COMPANY ID</v>
      </c>
      <c r="DB183" t="s">
        <v>961</v>
      </c>
      <c r="DC183">
        <v>4048349</v>
      </c>
      <c r="DD183" t="s">
        <v>346</v>
      </c>
      <c r="DE183" s="11">
        <v>0.02</v>
      </c>
      <c r="DF183" s="9" t="str">
        <f>_xll.SNL.Clients.Office.Excel.Functions.SPG(DC183, "SP_COUNTRY_NAME")</f>
        <v>United Kingdom</v>
      </c>
      <c r="DK183" s="9" t="str">
        <f>_xll.SNL.Clients.Office.Excel.Functions.SPG(DH183, "SP_COUNTRY_NAME")</f>
        <v>#INVALID COMPANY ID</v>
      </c>
      <c r="DL183" t="s">
        <v>961</v>
      </c>
      <c r="DM183">
        <v>4048349</v>
      </c>
      <c r="DN183" t="s">
        <v>346</v>
      </c>
      <c r="DO183" s="11">
        <v>0.02</v>
      </c>
      <c r="DP183" s="9" t="str">
        <f>_xll.SNL.Clients.Office.Excel.Functions.SPG(DM183, "SP_COUNTRY_NAME")</f>
        <v>United Kingdom</v>
      </c>
      <c r="DU183" s="9" t="str">
        <f>_xll.SNL.Clients.Office.Excel.Functions.SPG(DR183, "SP_COUNTRY_NAME")</f>
        <v>#INVALID COMPANY ID</v>
      </c>
      <c r="DZ183" s="9" t="str">
        <f>_xll.SNL.Clients.Office.Excel.Functions.SPG(DW183, "SP_COUNTRY_NAME")</f>
        <v>#INVALID COMPANY ID</v>
      </c>
      <c r="EA183" t="s">
        <v>1680</v>
      </c>
      <c r="EB183">
        <v>109232</v>
      </c>
      <c r="EC183" t="s">
        <v>346</v>
      </c>
      <c r="ED183" s="11">
        <v>0.01</v>
      </c>
      <c r="EE183" s="9" t="str">
        <f>_xll.SNL.Clients.Office.Excel.Functions.SPG(EB183, "SP_COUNTRY_NAME")</f>
        <v>USA</v>
      </c>
      <c r="EF183" t="s">
        <v>961</v>
      </c>
      <c r="EG183">
        <v>4048349</v>
      </c>
      <c r="EH183" t="s">
        <v>346</v>
      </c>
      <c r="EI183" s="11">
        <v>0.02</v>
      </c>
      <c r="EJ183" s="9" t="str">
        <f>_xll.SNL.Clients.Office.Excel.Functions.SPG(EG183, "SP_COUNTRY_NAME")</f>
        <v>United Kingdom</v>
      </c>
      <c r="EO183" s="9" t="str">
        <f>_xll.SNL.Clients.Office.Excel.Functions.SPG(EL183, "SP_COUNTRY_NAME")</f>
        <v>#INVALID COMPANY ID</v>
      </c>
      <c r="ET183" s="9" t="str">
        <f>_xll.SNL.Clients.Office.Excel.Functions.SPG(EQ183, "SP_COUNTRY_NAME")</f>
        <v>#INVALID COMPANY ID</v>
      </c>
      <c r="EY183" s="9" t="str">
        <f>_xll.SNL.Clients.Office.Excel.Functions.SPG(EV183, "SP_COUNTRY_NAME")</f>
        <v>#INVALID COMPANY ID</v>
      </c>
      <c r="FD183" s="9" t="str">
        <f>_xll.SNL.Clients.Office.Excel.Functions.SPG(FA183, "SP_COUNTRY_NAME")</f>
        <v>#INVALID COMPANY ID</v>
      </c>
      <c r="FI183" s="9" t="str">
        <f>_xll.SNL.Clients.Office.Excel.Functions.SPG(FF183, "SP_COUNTRY_NAME")</f>
        <v>#INVALID COMPANY ID</v>
      </c>
      <c r="FN183" s="9" t="str">
        <f>_xll.SNL.Clients.Office.Excel.Functions.SPG(FK183, "SP_COUNTRY_NAME")</f>
        <v>#INVALID COMPANY ID</v>
      </c>
      <c r="FS183" s="9" t="str">
        <f>_xll.SNL.Clients.Office.Excel.Functions.SPG(FP183, "SP_COUNTRY_NAME")</f>
        <v>#INVALID COMPANY ID</v>
      </c>
      <c r="FX183" s="9" t="str">
        <f>_xll.SNL.Clients.Office.Excel.Functions.SPG(FU183, "SP_COUNTRY_NAME")</f>
        <v>#INVALID COMPANY ID</v>
      </c>
      <c r="FY183" t="s">
        <v>961</v>
      </c>
      <c r="FZ183">
        <v>4048349</v>
      </c>
      <c r="GA183" t="s">
        <v>346</v>
      </c>
      <c r="GB183" s="11">
        <v>0.02</v>
      </c>
      <c r="GC183" s="9" t="str">
        <f>_xll.SNL.Clients.Office.Excel.Functions.SPG(FZ183, "SP_COUNTRY_NAME")</f>
        <v>United Kingdom</v>
      </c>
      <c r="GH183" s="9" t="str">
        <f>_xll.SNL.Clients.Office.Excel.Functions.SPG(GE183, "SP_COUNTRY_NAME")</f>
        <v>#INVALID COMPANY ID</v>
      </c>
      <c r="GM183" s="9" t="str">
        <f>_xll.SNL.Clients.Office.Excel.Functions.SPG(GJ183, "SP_COUNTRY_NAME")</f>
        <v>#INVALID COMPANY ID</v>
      </c>
      <c r="GR183" s="9" t="str">
        <f>_xll.SNL.Clients.Office.Excel.Functions.SPG(GO183, "SP_COUNTRY_NAME")</f>
        <v>#INVALID COMPANY ID</v>
      </c>
      <c r="GS183" t="s">
        <v>501</v>
      </c>
      <c r="GT183">
        <v>111359</v>
      </c>
      <c r="GU183" t="s">
        <v>346</v>
      </c>
      <c r="GV183" s="11">
        <v>0</v>
      </c>
      <c r="GW183" s="9" t="str">
        <f>_xll.SNL.Clients.Office.Excel.Functions.SPG(GT183, "SP_COUNTRY_NAME")</f>
        <v>USA</v>
      </c>
      <c r="GX183" t="s">
        <v>1680</v>
      </c>
      <c r="GY183">
        <v>109232</v>
      </c>
      <c r="GZ183" t="s">
        <v>346</v>
      </c>
      <c r="HA183" s="11">
        <v>0.01</v>
      </c>
      <c r="HB183" s="9" t="str">
        <f>_xll.SNL.Clients.Office.Excel.Functions.SPG(GY183, "SP_COUNTRY_NAME")</f>
        <v>USA</v>
      </c>
      <c r="HG183" s="9" t="str">
        <f>_xll.SNL.Clients.Office.Excel.Functions.SPG(HD183, "SP_COUNTRY_NAME")</f>
        <v>#INVALID COMPANY ID</v>
      </c>
    </row>
    <row r="184" spans="5:215" x14ac:dyDescent="0.35">
      <c r="E184" s="9" t="str">
        <f>_xll.SNL.Clients.Office.Excel.Functions.SPG(B184, "SP_COUNTRY_NAME")</f>
        <v>#INVALID COMPANY ID</v>
      </c>
      <c r="F184" t="s">
        <v>569</v>
      </c>
      <c r="G184">
        <v>4332220</v>
      </c>
      <c r="H184" t="s">
        <v>346</v>
      </c>
      <c r="I184" s="11">
        <v>0</v>
      </c>
      <c r="J184" s="9" t="str">
        <f>_xll.SNL.Clients.Office.Excel.Functions.SPG(G184, "SP_COUNTRY_NAME")</f>
        <v>USA</v>
      </c>
      <c r="O184" s="9" t="str">
        <f>_xll.SNL.Clients.Office.Excel.Functions.SPG(L184, "SP_COUNTRY_NAME")</f>
        <v>#INVALID COMPANY ID</v>
      </c>
      <c r="T184" s="9" t="str">
        <f>_xll.SNL.Clients.Office.Excel.Functions.SPG(Q184, "SP_COUNTRY_NAME")</f>
        <v>#INVALID COMPANY ID</v>
      </c>
      <c r="U184" t="s">
        <v>471</v>
      </c>
      <c r="V184">
        <v>4102247</v>
      </c>
      <c r="W184" t="s">
        <v>346</v>
      </c>
      <c r="X184" s="11">
        <v>0.01</v>
      </c>
      <c r="Y184" s="9" t="str">
        <f>_xll.SNL.Clients.Office.Excel.Functions.SPG(V184, "SP_COUNTRY_NAME")</f>
        <v>USA</v>
      </c>
      <c r="AD184" s="9" t="str">
        <f>_xll.SNL.Clients.Office.Excel.Functions.SPG(AA184, "SP_COUNTRY_NAME")</f>
        <v>#INVALID COMPANY ID</v>
      </c>
      <c r="AE184" t="s">
        <v>1171</v>
      </c>
      <c r="AF184">
        <v>5762403</v>
      </c>
      <c r="AG184" t="s">
        <v>346</v>
      </c>
      <c r="AH184" s="11">
        <v>0</v>
      </c>
      <c r="AI184" s="9" t="str">
        <f>_xll.SNL.Clients.Office.Excel.Functions.SPG(AF184, "SP_COUNTRY_NAME")</f>
        <v>Türkiye</v>
      </c>
      <c r="AN184" s="9" t="str">
        <f>_xll.SNL.Clients.Office.Excel.Functions.SPG(AK184, "SP_COUNTRY_NAME")</f>
        <v>#INVALID COMPANY ID</v>
      </c>
      <c r="AO184" t="s">
        <v>1326</v>
      </c>
      <c r="AP184">
        <v>4230198</v>
      </c>
      <c r="AQ184" t="s">
        <v>346</v>
      </c>
      <c r="AR184" s="11">
        <v>0.01</v>
      </c>
      <c r="AS184" s="9" t="str">
        <f>_xll.SNL.Clients.Office.Excel.Functions.SPG(AP184, "SP_COUNTRY_NAME")</f>
        <v>South Africa</v>
      </c>
      <c r="AX184" s="9" t="str">
        <f>_xll.SNL.Clients.Office.Excel.Functions.SPG(AU184, "SP_COUNTRY_NAME")</f>
        <v>#INVALID COMPANY ID</v>
      </c>
      <c r="BC184" s="9" t="str">
        <f>_xll.SNL.Clients.Office.Excel.Functions.SPG(AZ184, "SP_COUNTRY_NAME")</f>
        <v>#INVALID COMPANY ID</v>
      </c>
      <c r="BD184" t="s">
        <v>1452</v>
      </c>
      <c r="BE184">
        <v>4022450</v>
      </c>
      <c r="BF184" t="s">
        <v>363</v>
      </c>
      <c r="BG184" s="11">
        <v>0.02</v>
      </c>
      <c r="BH184" s="9" t="str">
        <f>_xll.SNL.Clients.Office.Excel.Functions.SPG(BE184, "SP_COUNTRY_NAME")</f>
        <v>USA</v>
      </c>
      <c r="BI184" t="s">
        <v>1578</v>
      </c>
      <c r="BJ184">
        <v>106515681</v>
      </c>
      <c r="BK184" t="s">
        <v>346</v>
      </c>
      <c r="BL184" s="11">
        <v>0</v>
      </c>
      <c r="BM184" s="9" t="str">
        <f>_xll.SNL.Clients.Office.Excel.Functions.SPG(BJ184, "SP_COUNTRY_NAME")</f>
        <v>Ireland</v>
      </c>
      <c r="BN184" t="s">
        <v>843</v>
      </c>
      <c r="BO184">
        <v>4095386</v>
      </c>
      <c r="BP184" t="s">
        <v>364</v>
      </c>
      <c r="BQ184" s="11">
        <v>0</v>
      </c>
      <c r="BR184" s="9" t="str">
        <f>_xll.SNL.Clients.Office.Excel.Functions.SPG(BO184, "SP_COUNTRY_NAME")</f>
        <v>USA</v>
      </c>
      <c r="BS184" t="s">
        <v>459</v>
      </c>
      <c r="BT184">
        <v>4140503</v>
      </c>
      <c r="BU184" t="s">
        <v>346</v>
      </c>
      <c r="BV184" s="11">
        <v>0.01</v>
      </c>
      <c r="BW184" s="9" t="str">
        <f>_xll.SNL.Clients.Office.Excel.Functions.SPG(BT184, "SP_COUNTRY_NAME")</f>
        <v>Ireland</v>
      </c>
      <c r="BX184" t="s">
        <v>471</v>
      </c>
      <c r="BY184">
        <v>4102247</v>
      </c>
      <c r="BZ184" t="s">
        <v>346</v>
      </c>
      <c r="CA184" s="11">
        <v>0.01</v>
      </c>
      <c r="CB184" s="9" t="str">
        <f>_xll.SNL.Clients.Office.Excel.Functions.SPG(BY184, "SP_COUNTRY_NAME")</f>
        <v>USA</v>
      </c>
      <c r="CC184" t="s">
        <v>1681</v>
      </c>
      <c r="CD184">
        <v>4252258</v>
      </c>
      <c r="CE184" t="s">
        <v>346</v>
      </c>
      <c r="CF184" s="11">
        <v>0.01</v>
      </c>
      <c r="CG184" s="9" t="str">
        <f>_xll.SNL.Clients.Office.Excel.Functions.SPG(CD184, "SP_COUNTRY_NAME")</f>
        <v>Bermuda</v>
      </c>
      <c r="CH184" t="s">
        <v>1326</v>
      </c>
      <c r="CI184">
        <v>4230198</v>
      </c>
      <c r="CJ184" t="s">
        <v>346</v>
      </c>
      <c r="CK184" s="11">
        <v>0.01</v>
      </c>
      <c r="CL184" s="9" t="str">
        <f>_xll.SNL.Clients.Office.Excel.Functions.SPG(CI184, "SP_COUNTRY_NAME")</f>
        <v>South Africa</v>
      </c>
      <c r="CM184" t="s">
        <v>451</v>
      </c>
      <c r="CN184">
        <v>5747632</v>
      </c>
      <c r="CO184" t="s">
        <v>346</v>
      </c>
      <c r="CP184" s="11">
        <v>0.01</v>
      </c>
      <c r="CQ184" s="9" t="str">
        <f>_xll.SNL.Clients.Office.Excel.Functions.SPG(CN184, "SP_COUNTRY_NAME")</f>
        <v>Canada</v>
      </c>
      <c r="CV184" s="9" t="str">
        <f>_xll.SNL.Clients.Office.Excel.Functions.SPG(CS184, "SP_COUNTRY_NAME")</f>
        <v>#INVALID COMPANY ID</v>
      </c>
      <c r="DA184" s="9" t="str">
        <f>_xll.SNL.Clients.Office.Excel.Functions.SPG(CX184, "SP_COUNTRY_NAME")</f>
        <v>#INVALID COMPANY ID</v>
      </c>
      <c r="DB184" t="s">
        <v>1452</v>
      </c>
      <c r="DC184">
        <v>4022450</v>
      </c>
      <c r="DD184" t="s">
        <v>363</v>
      </c>
      <c r="DE184" s="11">
        <v>0.02</v>
      </c>
      <c r="DF184" s="9" t="str">
        <f>_xll.SNL.Clients.Office.Excel.Functions.SPG(DC184, "SP_COUNTRY_NAME")</f>
        <v>USA</v>
      </c>
      <c r="DK184" s="9" t="str">
        <f>_xll.SNL.Clients.Office.Excel.Functions.SPG(DH184, "SP_COUNTRY_NAME")</f>
        <v>#INVALID COMPANY ID</v>
      </c>
      <c r="DL184" t="s">
        <v>1452</v>
      </c>
      <c r="DM184">
        <v>4022450</v>
      </c>
      <c r="DN184" t="s">
        <v>363</v>
      </c>
      <c r="DO184" s="11">
        <v>0.02</v>
      </c>
      <c r="DP184" s="9" t="str">
        <f>_xll.SNL.Clients.Office.Excel.Functions.SPG(DM184, "SP_COUNTRY_NAME")</f>
        <v>USA</v>
      </c>
      <c r="DU184" s="9" t="str">
        <f>_xll.SNL.Clients.Office.Excel.Functions.SPG(DR184, "SP_COUNTRY_NAME")</f>
        <v>#INVALID COMPANY ID</v>
      </c>
      <c r="DZ184" s="9" t="str">
        <f>_xll.SNL.Clients.Office.Excel.Functions.SPG(DW184, "SP_COUNTRY_NAME")</f>
        <v>#INVALID COMPANY ID</v>
      </c>
      <c r="EA184" t="s">
        <v>1681</v>
      </c>
      <c r="EB184">
        <v>4252258</v>
      </c>
      <c r="EC184" t="s">
        <v>346</v>
      </c>
      <c r="ED184" s="11">
        <v>0.01</v>
      </c>
      <c r="EE184" s="9" t="str">
        <f>_xll.SNL.Clients.Office.Excel.Functions.SPG(EB184, "SP_COUNTRY_NAME")</f>
        <v>Bermuda</v>
      </c>
      <c r="EF184" t="s">
        <v>1452</v>
      </c>
      <c r="EG184">
        <v>4022450</v>
      </c>
      <c r="EH184" t="s">
        <v>363</v>
      </c>
      <c r="EI184" s="11">
        <v>0.02</v>
      </c>
      <c r="EJ184" s="9" t="str">
        <f>_xll.SNL.Clients.Office.Excel.Functions.SPG(EG184, "SP_COUNTRY_NAME")</f>
        <v>USA</v>
      </c>
      <c r="EO184" s="9" t="str">
        <f>_xll.SNL.Clients.Office.Excel.Functions.SPG(EL184, "SP_COUNTRY_NAME")</f>
        <v>#INVALID COMPANY ID</v>
      </c>
      <c r="ET184" s="9" t="str">
        <f>_xll.SNL.Clients.Office.Excel.Functions.SPG(EQ184, "SP_COUNTRY_NAME")</f>
        <v>#INVALID COMPANY ID</v>
      </c>
      <c r="EY184" s="9" t="str">
        <f>_xll.SNL.Clients.Office.Excel.Functions.SPG(EV184, "SP_COUNTRY_NAME")</f>
        <v>#INVALID COMPANY ID</v>
      </c>
      <c r="FD184" s="9" t="str">
        <f>_xll.SNL.Clients.Office.Excel.Functions.SPG(FA184, "SP_COUNTRY_NAME")</f>
        <v>#INVALID COMPANY ID</v>
      </c>
      <c r="FI184" s="9" t="str">
        <f>_xll.SNL.Clients.Office.Excel.Functions.SPG(FF184, "SP_COUNTRY_NAME")</f>
        <v>#INVALID COMPANY ID</v>
      </c>
      <c r="FN184" s="9" t="str">
        <f>_xll.SNL.Clients.Office.Excel.Functions.SPG(FK184, "SP_COUNTRY_NAME")</f>
        <v>#INVALID COMPANY ID</v>
      </c>
      <c r="FS184" s="9" t="str">
        <f>_xll.SNL.Clients.Office.Excel.Functions.SPG(FP184, "SP_COUNTRY_NAME")</f>
        <v>#INVALID COMPANY ID</v>
      </c>
      <c r="FX184" s="9" t="str">
        <f>_xll.SNL.Clients.Office.Excel.Functions.SPG(FU184, "SP_COUNTRY_NAME")</f>
        <v>#INVALID COMPANY ID</v>
      </c>
      <c r="FY184" t="s">
        <v>1452</v>
      </c>
      <c r="FZ184">
        <v>4022450</v>
      </c>
      <c r="GA184" t="s">
        <v>363</v>
      </c>
      <c r="GB184" s="11">
        <v>0.02</v>
      </c>
      <c r="GC184" s="9" t="str">
        <f>_xll.SNL.Clients.Office.Excel.Functions.SPG(FZ184, "SP_COUNTRY_NAME")</f>
        <v>USA</v>
      </c>
      <c r="GH184" s="9" t="str">
        <f>_xll.SNL.Clients.Office.Excel.Functions.SPG(GE184, "SP_COUNTRY_NAME")</f>
        <v>#INVALID COMPANY ID</v>
      </c>
      <c r="GM184" s="9" t="str">
        <f>_xll.SNL.Clients.Office.Excel.Functions.SPG(GJ184, "SP_COUNTRY_NAME")</f>
        <v>#INVALID COMPANY ID</v>
      </c>
      <c r="GR184" s="9" t="str">
        <f>_xll.SNL.Clients.Office.Excel.Functions.SPG(GO184, "SP_COUNTRY_NAME")</f>
        <v>#INVALID COMPANY ID</v>
      </c>
      <c r="GS184" t="s">
        <v>843</v>
      </c>
      <c r="GT184">
        <v>4095386</v>
      </c>
      <c r="GU184" t="s">
        <v>364</v>
      </c>
      <c r="GV184" s="11">
        <v>0</v>
      </c>
      <c r="GW184" s="9" t="str">
        <f>_xll.SNL.Clients.Office.Excel.Functions.SPG(GT184, "SP_COUNTRY_NAME")</f>
        <v>USA</v>
      </c>
      <c r="GX184" t="s">
        <v>1681</v>
      </c>
      <c r="GY184">
        <v>4252258</v>
      </c>
      <c r="GZ184" t="s">
        <v>346</v>
      </c>
      <c r="HA184" s="11">
        <v>0.01</v>
      </c>
      <c r="HB184" s="9" t="str">
        <f>_xll.SNL.Clients.Office.Excel.Functions.SPG(GY184, "SP_COUNTRY_NAME")</f>
        <v>Bermuda</v>
      </c>
      <c r="HG184" s="9" t="str">
        <f>_xll.SNL.Clients.Office.Excel.Functions.SPG(HD184, "SP_COUNTRY_NAME")</f>
        <v>#INVALID COMPANY ID</v>
      </c>
    </row>
    <row r="185" spans="5:215" x14ac:dyDescent="0.35">
      <c r="E185" s="9" t="str">
        <f>_xll.SNL.Clients.Office.Excel.Functions.SPG(B185, "SP_COUNTRY_NAME")</f>
        <v>#INVALID COMPANY ID</v>
      </c>
      <c r="F185" t="s">
        <v>570</v>
      </c>
      <c r="G185">
        <v>106302708</v>
      </c>
      <c r="H185" t="s">
        <v>346</v>
      </c>
      <c r="I185" s="11">
        <v>0</v>
      </c>
      <c r="J185" s="9" t="str">
        <f>_xll.SNL.Clients.Office.Excel.Functions.SPG(G185, "SP_COUNTRY_NAME")</f>
        <v>Switzerland</v>
      </c>
      <c r="O185" s="9" t="str">
        <f>_xll.SNL.Clients.Office.Excel.Functions.SPG(L185, "SP_COUNTRY_NAME")</f>
        <v>#INVALID COMPANY ID</v>
      </c>
      <c r="T185" s="9" t="str">
        <f>_xll.SNL.Clients.Office.Excel.Functions.SPG(Q185, "SP_COUNTRY_NAME")</f>
        <v>#INVALID COMPANY ID</v>
      </c>
      <c r="U185" t="s">
        <v>781</v>
      </c>
      <c r="V185">
        <v>7794310</v>
      </c>
      <c r="W185" t="s">
        <v>346</v>
      </c>
      <c r="X185" s="11">
        <v>0.01</v>
      </c>
      <c r="Y185" s="9" t="str">
        <f>_xll.SNL.Clients.Office.Excel.Functions.SPG(V185, "SP_COUNTRY_NAME")</f>
        <v>United Kingdom</v>
      </c>
      <c r="AD185" s="9" t="str">
        <f>_xll.SNL.Clients.Office.Excel.Functions.SPG(AA185, "SP_COUNTRY_NAME")</f>
        <v>#INVALID COMPANY ID</v>
      </c>
      <c r="AE185" t="s">
        <v>1172</v>
      </c>
      <c r="AF185">
        <v>4118152</v>
      </c>
      <c r="AG185" t="s">
        <v>346</v>
      </c>
      <c r="AH185" s="11">
        <v>0</v>
      </c>
      <c r="AI185" s="9" t="str">
        <f>_xll.SNL.Clients.Office.Excel.Functions.SPG(AF185, "SP_COUNTRY_NAME")</f>
        <v>USA</v>
      </c>
      <c r="AN185" s="9" t="str">
        <f>_xll.SNL.Clients.Office.Excel.Functions.SPG(AK185, "SP_COUNTRY_NAME")</f>
        <v>#INVALID COMPANY ID</v>
      </c>
      <c r="AO185" t="s">
        <v>1327</v>
      </c>
      <c r="AP185">
        <v>19814121</v>
      </c>
      <c r="AQ185" t="s">
        <v>346</v>
      </c>
      <c r="AR185" s="11">
        <v>0</v>
      </c>
      <c r="AS185" s="9" t="str">
        <f>_xll.SNL.Clients.Office.Excel.Functions.SPG(AP185, "SP_COUNTRY_NAME")</f>
        <v>South Africa</v>
      </c>
      <c r="AX185" s="9" t="str">
        <f>_xll.SNL.Clients.Office.Excel.Functions.SPG(AU185, "SP_COUNTRY_NAME")</f>
        <v>#INVALID COMPANY ID</v>
      </c>
      <c r="BC185" s="9" t="str">
        <f>_xll.SNL.Clients.Office.Excel.Functions.SPG(AZ185, "SP_COUNTRY_NAME")</f>
        <v>#INVALID COMPANY ID</v>
      </c>
      <c r="BD185" t="s">
        <v>1263</v>
      </c>
      <c r="BE185">
        <v>5760616</v>
      </c>
      <c r="BF185" t="s">
        <v>346</v>
      </c>
      <c r="BG185" s="11">
        <v>0.02</v>
      </c>
      <c r="BH185" s="9" t="str">
        <f>_xll.SNL.Clients.Office.Excel.Functions.SPG(BE185, "SP_COUNTRY_NAME")</f>
        <v>South Africa</v>
      </c>
      <c r="BI185" t="s">
        <v>1579</v>
      </c>
      <c r="BJ185">
        <v>6729616</v>
      </c>
      <c r="BK185" t="s">
        <v>346</v>
      </c>
      <c r="BL185" s="11">
        <v>0</v>
      </c>
      <c r="BM185" s="9" t="str">
        <f>_xll.SNL.Clients.Office.Excel.Functions.SPG(BJ185, "SP_COUNTRY_NAME")</f>
        <v>France</v>
      </c>
      <c r="BN185" t="s">
        <v>423</v>
      </c>
      <c r="BO185">
        <v>4318240</v>
      </c>
      <c r="BP185" t="s">
        <v>346</v>
      </c>
      <c r="BQ185" s="11">
        <v>0</v>
      </c>
      <c r="BR185" s="9" t="str">
        <f>_xll.SNL.Clients.Office.Excel.Functions.SPG(BO185, "SP_COUNTRY_NAME")</f>
        <v>Japan</v>
      </c>
      <c r="BS185" t="s">
        <v>982</v>
      </c>
      <c r="BT185">
        <v>4138911</v>
      </c>
      <c r="BU185" t="s">
        <v>346</v>
      </c>
      <c r="BV185" s="11">
        <v>0.01</v>
      </c>
      <c r="BW185" s="9" t="str">
        <f>_xll.SNL.Clients.Office.Excel.Functions.SPG(BT185, "SP_COUNTRY_NAME")</f>
        <v>Ireland</v>
      </c>
      <c r="BX185" t="s">
        <v>781</v>
      </c>
      <c r="BY185">
        <v>7794310</v>
      </c>
      <c r="BZ185" t="s">
        <v>346</v>
      </c>
      <c r="CA185" s="11">
        <v>0.01</v>
      </c>
      <c r="CB185" s="9" t="str">
        <f>_xll.SNL.Clients.Office.Excel.Functions.SPG(BY185, "SP_COUNTRY_NAME")</f>
        <v>United Kingdom</v>
      </c>
      <c r="CC185" t="s">
        <v>1200</v>
      </c>
      <c r="CD185">
        <v>4140083</v>
      </c>
      <c r="CE185" t="s">
        <v>346</v>
      </c>
      <c r="CF185" s="11">
        <v>0.01</v>
      </c>
      <c r="CG185" s="9" t="str">
        <f>_xll.SNL.Clients.Office.Excel.Functions.SPG(CD185, "SP_COUNTRY_NAME")</f>
        <v>Germany</v>
      </c>
      <c r="CH185" t="s">
        <v>1327</v>
      </c>
      <c r="CI185">
        <v>19814121</v>
      </c>
      <c r="CJ185" t="s">
        <v>346</v>
      </c>
      <c r="CK185" s="11">
        <v>0</v>
      </c>
      <c r="CL185" s="9" t="str">
        <f>_xll.SNL.Clients.Office.Excel.Functions.SPG(CI185, "SP_COUNTRY_NAME")</f>
        <v>South Africa</v>
      </c>
      <c r="CM185" t="s">
        <v>1986</v>
      </c>
      <c r="CN185">
        <v>7944630</v>
      </c>
      <c r="CO185" t="s">
        <v>346</v>
      </c>
      <c r="CP185" s="11">
        <v>0.01</v>
      </c>
      <c r="CQ185" s="9" t="str">
        <f>_xll.SNL.Clients.Office.Excel.Functions.SPG(CN185, "SP_COUNTRY_NAME")</f>
        <v>South Africa</v>
      </c>
      <c r="CV185" s="9" t="str">
        <f>_xll.SNL.Clients.Office.Excel.Functions.SPG(CS185, "SP_COUNTRY_NAME")</f>
        <v>#INVALID COMPANY ID</v>
      </c>
      <c r="DA185" s="9" t="str">
        <f>_xll.SNL.Clients.Office.Excel.Functions.SPG(CX185, "SP_COUNTRY_NAME")</f>
        <v>#INVALID COMPANY ID</v>
      </c>
      <c r="DB185" t="s">
        <v>1263</v>
      </c>
      <c r="DC185">
        <v>5760616</v>
      </c>
      <c r="DD185" t="s">
        <v>346</v>
      </c>
      <c r="DE185" s="11">
        <v>0.02</v>
      </c>
      <c r="DF185" s="9" t="str">
        <f>_xll.SNL.Clients.Office.Excel.Functions.SPG(DC185, "SP_COUNTRY_NAME")</f>
        <v>South Africa</v>
      </c>
      <c r="DK185" s="9" t="str">
        <f>_xll.SNL.Clients.Office.Excel.Functions.SPG(DH185, "SP_COUNTRY_NAME")</f>
        <v>#INVALID COMPANY ID</v>
      </c>
      <c r="DL185" t="s">
        <v>1263</v>
      </c>
      <c r="DM185">
        <v>5760616</v>
      </c>
      <c r="DN185" t="s">
        <v>346</v>
      </c>
      <c r="DO185" s="11">
        <v>0.02</v>
      </c>
      <c r="DP185" s="9" t="str">
        <f>_xll.SNL.Clients.Office.Excel.Functions.SPG(DM185, "SP_COUNTRY_NAME")</f>
        <v>South Africa</v>
      </c>
      <c r="DU185" s="9" t="str">
        <f>_xll.SNL.Clients.Office.Excel.Functions.SPG(DR185, "SP_COUNTRY_NAME")</f>
        <v>#INVALID COMPANY ID</v>
      </c>
      <c r="DZ185" s="9" t="str">
        <f>_xll.SNL.Clients.Office.Excel.Functions.SPG(DW185, "SP_COUNTRY_NAME")</f>
        <v>#INVALID COMPANY ID</v>
      </c>
      <c r="EA185" t="s">
        <v>1200</v>
      </c>
      <c r="EB185">
        <v>4140083</v>
      </c>
      <c r="EC185" t="s">
        <v>346</v>
      </c>
      <c r="ED185" s="11">
        <v>0.01</v>
      </c>
      <c r="EE185" s="9" t="str">
        <f>_xll.SNL.Clients.Office.Excel.Functions.SPG(EB185, "SP_COUNTRY_NAME")</f>
        <v>Germany</v>
      </c>
      <c r="EF185" t="s">
        <v>1263</v>
      </c>
      <c r="EG185">
        <v>5760616</v>
      </c>
      <c r="EH185" t="s">
        <v>346</v>
      </c>
      <c r="EI185" s="11">
        <v>0.02</v>
      </c>
      <c r="EJ185" s="9" t="str">
        <f>_xll.SNL.Clients.Office.Excel.Functions.SPG(EG185, "SP_COUNTRY_NAME")</f>
        <v>South Africa</v>
      </c>
      <c r="EO185" s="9" t="str">
        <f>_xll.SNL.Clients.Office.Excel.Functions.SPG(EL185, "SP_COUNTRY_NAME")</f>
        <v>#INVALID COMPANY ID</v>
      </c>
      <c r="ET185" s="9" t="str">
        <f>_xll.SNL.Clients.Office.Excel.Functions.SPG(EQ185, "SP_COUNTRY_NAME")</f>
        <v>#INVALID COMPANY ID</v>
      </c>
      <c r="EY185" s="9" t="str">
        <f>_xll.SNL.Clients.Office.Excel.Functions.SPG(EV185, "SP_COUNTRY_NAME")</f>
        <v>#INVALID COMPANY ID</v>
      </c>
      <c r="FD185" s="9" t="str">
        <f>_xll.SNL.Clients.Office.Excel.Functions.SPG(FA185, "SP_COUNTRY_NAME")</f>
        <v>#INVALID COMPANY ID</v>
      </c>
      <c r="FI185" s="9" t="str">
        <f>_xll.SNL.Clients.Office.Excel.Functions.SPG(FF185, "SP_COUNTRY_NAME")</f>
        <v>#INVALID COMPANY ID</v>
      </c>
      <c r="FN185" s="9" t="str">
        <f>_xll.SNL.Clients.Office.Excel.Functions.SPG(FK185, "SP_COUNTRY_NAME")</f>
        <v>#INVALID COMPANY ID</v>
      </c>
      <c r="FS185" s="9" t="str">
        <f>_xll.SNL.Clients.Office.Excel.Functions.SPG(FP185, "SP_COUNTRY_NAME")</f>
        <v>#INVALID COMPANY ID</v>
      </c>
      <c r="FX185" s="9" t="str">
        <f>_xll.SNL.Clients.Office.Excel.Functions.SPG(FU185, "SP_COUNTRY_NAME")</f>
        <v>#INVALID COMPANY ID</v>
      </c>
      <c r="FY185" t="s">
        <v>1263</v>
      </c>
      <c r="FZ185">
        <v>5760616</v>
      </c>
      <c r="GA185" t="s">
        <v>346</v>
      </c>
      <c r="GB185" s="11">
        <v>0.02</v>
      </c>
      <c r="GC185" s="9" t="str">
        <f>_xll.SNL.Clients.Office.Excel.Functions.SPG(FZ185, "SP_COUNTRY_NAME")</f>
        <v>South Africa</v>
      </c>
      <c r="GH185" s="9" t="str">
        <f>_xll.SNL.Clients.Office.Excel.Functions.SPG(GE185, "SP_COUNTRY_NAME")</f>
        <v>#INVALID COMPANY ID</v>
      </c>
      <c r="GM185" s="9" t="str">
        <f>_xll.SNL.Clients.Office.Excel.Functions.SPG(GJ185, "SP_COUNTRY_NAME")</f>
        <v>#INVALID COMPANY ID</v>
      </c>
      <c r="GR185" s="9" t="str">
        <f>_xll.SNL.Clients.Office.Excel.Functions.SPG(GO185, "SP_COUNTRY_NAME")</f>
        <v>#INVALID COMPANY ID</v>
      </c>
      <c r="GS185" t="s">
        <v>423</v>
      </c>
      <c r="GT185">
        <v>4318240</v>
      </c>
      <c r="GU185" t="s">
        <v>346</v>
      </c>
      <c r="GV185" s="11">
        <v>0</v>
      </c>
      <c r="GW185" s="9" t="str">
        <f>_xll.SNL.Clients.Office.Excel.Functions.SPG(GT185, "SP_COUNTRY_NAME")</f>
        <v>Japan</v>
      </c>
      <c r="GX185" t="s">
        <v>1200</v>
      </c>
      <c r="GY185">
        <v>4140083</v>
      </c>
      <c r="GZ185" t="s">
        <v>346</v>
      </c>
      <c r="HA185" s="11">
        <v>0.01</v>
      </c>
      <c r="HB185" s="9" t="str">
        <f>_xll.SNL.Clients.Office.Excel.Functions.SPG(GY185, "SP_COUNTRY_NAME")</f>
        <v>Germany</v>
      </c>
      <c r="HG185" s="9" t="str">
        <f>_xll.SNL.Clients.Office.Excel.Functions.SPG(HD185, "SP_COUNTRY_NAME")</f>
        <v>#INVALID COMPANY ID</v>
      </c>
    </row>
    <row r="186" spans="5:215" x14ac:dyDescent="0.35">
      <c r="E186" s="9" t="str">
        <f>_xll.SNL.Clients.Office.Excel.Functions.SPG(B186, "SP_COUNTRY_NAME")</f>
        <v>#INVALID COMPANY ID</v>
      </c>
      <c r="F186" t="s">
        <v>571</v>
      </c>
      <c r="G186">
        <v>22792340</v>
      </c>
      <c r="H186" t="s">
        <v>346</v>
      </c>
      <c r="I186" s="11">
        <v>0</v>
      </c>
      <c r="J186" s="9" t="str">
        <f>_xll.SNL.Clients.Office.Excel.Functions.SPG(G186, "SP_COUNTRY_NAME")</f>
        <v>USA</v>
      </c>
      <c r="O186" s="9" t="str">
        <f>_xll.SNL.Clients.Office.Excel.Functions.SPG(L186, "SP_COUNTRY_NAME")</f>
        <v>#INVALID COMPANY ID</v>
      </c>
      <c r="T186" s="9" t="str">
        <f>_xll.SNL.Clients.Office.Excel.Functions.SPG(Q186, "SP_COUNTRY_NAME")</f>
        <v>#INVALID COMPANY ID</v>
      </c>
      <c r="U186" t="s">
        <v>782</v>
      </c>
      <c r="V186">
        <v>4138745</v>
      </c>
      <c r="W186" t="s">
        <v>346</v>
      </c>
      <c r="X186" s="11">
        <v>0.01</v>
      </c>
      <c r="Y186" s="9" t="str">
        <f>_xll.SNL.Clients.Office.Excel.Functions.SPG(V186, "SP_COUNTRY_NAME")</f>
        <v>Singapore</v>
      </c>
      <c r="AD186" s="9" t="str">
        <f>_xll.SNL.Clients.Office.Excel.Functions.SPG(AA186, "SP_COUNTRY_NAME")</f>
        <v>#INVALID COMPANY ID</v>
      </c>
      <c r="AE186" t="s">
        <v>815</v>
      </c>
      <c r="AF186">
        <v>110287</v>
      </c>
      <c r="AG186" t="s">
        <v>346</v>
      </c>
      <c r="AH186" s="11">
        <v>0</v>
      </c>
      <c r="AI186" s="9" t="str">
        <f>_xll.SNL.Clients.Office.Excel.Functions.SPG(AF186, "SP_COUNTRY_NAME")</f>
        <v>Canada</v>
      </c>
      <c r="AN186" s="9" t="str">
        <f>_xll.SNL.Clients.Office.Excel.Functions.SPG(AK186, "SP_COUNTRY_NAME")</f>
        <v>#INVALID COMPANY ID</v>
      </c>
      <c r="AO186" t="s">
        <v>1328</v>
      </c>
      <c r="AP186">
        <v>5807523</v>
      </c>
      <c r="AQ186" t="s">
        <v>346</v>
      </c>
      <c r="AR186" s="11">
        <v>0</v>
      </c>
      <c r="AS186" s="9" t="str">
        <f>_xll.SNL.Clients.Office.Excel.Functions.SPG(AP186, "SP_COUNTRY_NAME")</f>
        <v>South Africa</v>
      </c>
      <c r="AX186" s="9" t="str">
        <f>_xll.SNL.Clients.Office.Excel.Functions.SPG(AU186, "SP_COUNTRY_NAME")</f>
        <v>#INVALID COMPANY ID</v>
      </c>
      <c r="BC186" s="9" t="str">
        <f>_xll.SNL.Clients.Office.Excel.Functions.SPG(AZ186, "SP_COUNTRY_NAME")</f>
        <v>#INVALID COMPANY ID</v>
      </c>
      <c r="BD186" t="s">
        <v>451</v>
      </c>
      <c r="BE186">
        <v>5747632</v>
      </c>
      <c r="BF186" t="s">
        <v>346</v>
      </c>
      <c r="BG186" s="11">
        <v>0.02</v>
      </c>
      <c r="BH186" s="9" t="str">
        <f>_xll.SNL.Clients.Office.Excel.Functions.SPG(BE186, "SP_COUNTRY_NAME")</f>
        <v>Canada</v>
      </c>
      <c r="BI186" t="s">
        <v>1045</v>
      </c>
      <c r="BJ186">
        <v>5776820</v>
      </c>
      <c r="BK186" t="s">
        <v>346</v>
      </c>
      <c r="BL186" s="11">
        <v>0</v>
      </c>
      <c r="BM186" s="9" t="str">
        <f>_xll.SNL.Clients.Office.Excel.Functions.SPG(BJ186, "SP_COUNTRY_NAME")</f>
        <v>Denmark</v>
      </c>
      <c r="BN186" t="s">
        <v>388</v>
      </c>
      <c r="BO186">
        <v>4057506</v>
      </c>
      <c r="BP186" t="s">
        <v>346</v>
      </c>
      <c r="BQ186" s="11">
        <v>0</v>
      </c>
      <c r="BR186" s="9" t="str">
        <f>_xll.SNL.Clients.Office.Excel.Functions.SPG(BO186, "SP_COUNTRY_NAME")</f>
        <v>USA</v>
      </c>
      <c r="BS186" t="s">
        <v>489</v>
      </c>
      <c r="BT186">
        <v>4324456</v>
      </c>
      <c r="BU186" t="s">
        <v>346</v>
      </c>
      <c r="BV186" s="11">
        <v>0.01</v>
      </c>
      <c r="BW186" s="9" t="str">
        <f>_xll.SNL.Clients.Office.Excel.Functions.SPG(BT186, "SP_COUNTRY_NAME")</f>
        <v>Italy</v>
      </c>
      <c r="BX186" t="s">
        <v>782</v>
      </c>
      <c r="BY186">
        <v>4138745</v>
      </c>
      <c r="BZ186" t="s">
        <v>346</v>
      </c>
      <c r="CA186" s="11">
        <v>0.01</v>
      </c>
      <c r="CB186" s="9" t="str">
        <f>_xll.SNL.Clients.Office.Excel.Functions.SPG(BY186, "SP_COUNTRY_NAME")</f>
        <v>Singapore</v>
      </c>
      <c r="CC186" t="s">
        <v>1682</v>
      </c>
      <c r="CD186">
        <v>4222570</v>
      </c>
      <c r="CE186" t="s">
        <v>346</v>
      </c>
      <c r="CF186" s="11">
        <v>0.01</v>
      </c>
      <c r="CG186" s="9" t="str">
        <f>_xll.SNL.Clients.Office.Excel.Functions.SPG(CD186, "SP_COUNTRY_NAME")</f>
        <v>Germany</v>
      </c>
      <c r="CH186" t="s">
        <v>1328</v>
      </c>
      <c r="CI186">
        <v>5807523</v>
      </c>
      <c r="CJ186" t="s">
        <v>346</v>
      </c>
      <c r="CK186" s="11">
        <v>0</v>
      </c>
      <c r="CL186" s="9" t="str">
        <f>_xll.SNL.Clients.Office.Excel.Functions.SPG(CI186, "SP_COUNTRY_NAME")</f>
        <v>South Africa</v>
      </c>
      <c r="CM186" t="s">
        <v>1291</v>
      </c>
      <c r="CN186">
        <v>5868733</v>
      </c>
      <c r="CO186" t="s">
        <v>346</v>
      </c>
      <c r="CP186" s="11">
        <v>0.01</v>
      </c>
      <c r="CQ186" s="9" t="str">
        <f>_xll.SNL.Clients.Office.Excel.Functions.SPG(CN186, "SP_COUNTRY_NAME")</f>
        <v>South Africa</v>
      </c>
      <c r="CV186" s="9" t="str">
        <f>_xll.SNL.Clients.Office.Excel.Functions.SPG(CS186, "SP_COUNTRY_NAME")</f>
        <v>#INVALID COMPANY ID</v>
      </c>
      <c r="DA186" s="9" t="str">
        <f>_xll.SNL.Clients.Office.Excel.Functions.SPG(CX186, "SP_COUNTRY_NAME")</f>
        <v>#INVALID COMPANY ID</v>
      </c>
      <c r="DB186" t="s">
        <v>451</v>
      </c>
      <c r="DC186">
        <v>5747632</v>
      </c>
      <c r="DD186" t="s">
        <v>346</v>
      </c>
      <c r="DE186" s="11">
        <v>0.02</v>
      </c>
      <c r="DF186" s="9" t="str">
        <f>_xll.SNL.Clients.Office.Excel.Functions.SPG(DC186, "SP_COUNTRY_NAME")</f>
        <v>Canada</v>
      </c>
      <c r="DK186" s="9" t="str">
        <f>_xll.SNL.Clients.Office.Excel.Functions.SPG(DH186, "SP_COUNTRY_NAME")</f>
        <v>#INVALID COMPANY ID</v>
      </c>
      <c r="DL186" t="s">
        <v>451</v>
      </c>
      <c r="DM186">
        <v>5747632</v>
      </c>
      <c r="DN186" t="s">
        <v>346</v>
      </c>
      <c r="DO186" s="11">
        <v>0.02</v>
      </c>
      <c r="DP186" s="9" t="str">
        <f>_xll.SNL.Clients.Office.Excel.Functions.SPG(DM186, "SP_COUNTRY_NAME")</f>
        <v>Canada</v>
      </c>
      <c r="DU186" s="9" t="str">
        <f>_xll.SNL.Clients.Office.Excel.Functions.SPG(DR186, "SP_COUNTRY_NAME")</f>
        <v>#INVALID COMPANY ID</v>
      </c>
      <c r="DZ186" s="9" t="str">
        <f>_xll.SNL.Clients.Office.Excel.Functions.SPG(DW186, "SP_COUNTRY_NAME")</f>
        <v>#INVALID COMPANY ID</v>
      </c>
      <c r="EA186" t="s">
        <v>1682</v>
      </c>
      <c r="EB186">
        <v>4222570</v>
      </c>
      <c r="EC186" t="s">
        <v>346</v>
      </c>
      <c r="ED186" s="11">
        <v>0.01</v>
      </c>
      <c r="EE186" s="9" t="str">
        <f>_xll.SNL.Clients.Office.Excel.Functions.SPG(EB186, "SP_COUNTRY_NAME")</f>
        <v>Germany</v>
      </c>
      <c r="EF186" t="s">
        <v>451</v>
      </c>
      <c r="EG186">
        <v>5747632</v>
      </c>
      <c r="EH186" t="s">
        <v>346</v>
      </c>
      <c r="EI186" s="11">
        <v>0.02</v>
      </c>
      <c r="EJ186" s="9" t="str">
        <f>_xll.SNL.Clients.Office.Excel.Functions.SPG(EG186, "SP_COUNTRY_NAME")</f>
        <v>Canada</v>
      </c>
      <c r="EO186" s="9" t="str">
        <f>_xll.SNL.Clients.Office.Excel.Functions.SPG(EL186, "SP_COUNTRY_NAME")</f>
        <v>#INVALID COMPANY ID</v>
      </c>
      <c r="ET186" s="9" t="str">
        <f>_xll.SNL.Clients.Office.Excel.Functions.SPG(EQ186, "SP_COUNTRY_NAME")</f>
        <v>#INVALID COMPANY ID</v>
      </c>
      <c r="EY186" s="9" t="str">
        <f>_xll.SNL.Clients.Office.Excel.Functions.SPG(EV186, "SP_COUNTRY_NAME")</f>
        <v>#INVALID COMPANY ID</v>
      </c>
      <c r="FD186" s="9" t="str">
        <f>_xll.SNL.Clients.Office.Excel.Functions.SPG(FA186, "SP_COUNTRY_NAME")</f>
        <v>#INVALID COMPANY ID</v>
      </c>
      <c r="FI186" s="9" t="str">
        <f>_xll.SNL.Clients.Office.Excel.Functions.SPG(FF186, "SP_COUNTRY_NAME")</f>
        <v>#INVALID COMPANY ID</v>
      </c>
      <c r="FN186" s="9" t="str">
        <f>_xll.SNL.Clients.Office.Excel.Functions.SPG(FK186, "SP_COUNTRY_NAME")</f>
        <v>#INVALID COMPANY ID</v>
      </c>
      <c r="FS186" s="9" t="str">
        <f>_xll.SNL.Clients.Office.Excel.Functions.SPG(FP186, "SP_COUNTRY_NAME")</f>
        <v>#INVALID COMPANY ID</v>
      </c>
      <c r="FX186" s="9" t="str">
        <f>_xll.SNL.Clients.Office.Excel.Functions.SPG(FU186, "SP_COUNTRY_NAME")</f>
        <v>#INVALID COMPANY ID</v>
      </c>
      <c r="FY186" t="s">
        <v>451</v>
      </c>
      <c r="FZ186">
        <v>5747632</v>
      </c>
      <c r="GA186" t="s">
        <v>346</v>
      </c>
      <c r="GB186" s="11">
        <v>0.02</v>
      </c>
      <c r="GC186" s="9" t="str">
        <f>_xll.SNL.Clients.Office.Excel.Functions.SPG(FZ186, "SP_COUNTRY_NAME")</f>
        <v>Canada</v>
      </c>
      <c r="GH186" s="9" t="str">
        <f>_xll.SNL.Clients.Office.Excel.Functions.SPG(GE186, "SP_COUNTRY_NAME")</f>
        <v>#INVALID COMPANY ID</v>
      </c>
      <c r="GM186" s="9" t="str">
        <f>_xll.SNL.Clients.Office.Excel.Functions.SPG(GJ186, "SP_COUNTRY_NAME")</f>
        <v>#INVALID COMPANY ID</v>
      </c>
      <c r="GR186" s="9" t="str">
        <f>_xll.SNL.Clients.Office.Excel.Functions.SPG(GO186, "SP_COUNTRY_NAME")</f>
        <v>#INVALID COMPANY ID</v>
      </c>
      <c r="GS186" t="s">
        <v>388</v>
      </c>
      <c r="GT186">
        <v>4057506</v>
      </c>
      <c r="GU186" t="s">
        <v>346</v>
      </c>
      <c r="GV186" s="11">
        <v>0</v>
      </c>
      <c r="GW186" s="9" t="str">
        <f>_xll.SNL.Clients.Office.Excel.Functions.SPG(GT186, "SP_COUNTRY_NAME")</f>
        <v>USA</v>
      </c>
      <c r="GX186" t="s">
        <v>1682</v>
      </c>
      <c r="GY186">
        <v>4222570</v>
      </c>
      <c r="GZ186" t="s">
        <v>346</v>
      </c>
      <c r="HA186" s="11">
        <v>0.01</v>
      </c>
      <c r="HB186" s="9" t="str">
        <f>_xll.SNL.Clients.Office.Excel.Functions.SPG(GY186, "SP_COUNTRY_NAME")</f>
        <v>Germany</v>
      </c>
      <c r="HG186" s="9" t="str">
        <f>_xll.SNL.Clients.Office.Excel.Functions.SPG(HD186, "SP_COUNTRY_NAME")</f>
        <v>#INVALID COMPANY ID</v>
      </c>
    </row>
    <row r="187" spans="5:215" x14ac:dyDescent="0.35">
      <c r="E187" s="9" t="str">
        <f>_xll.SNL.Clients.Office.Excel.Functions.SPG(B187, "SP_COUNTRY_NAME")</f>
        <v>#INVALID COMPANY ID</v>
      </c>
      <c r="F187" t="s">
        <v>572</v>
      </c>
      <c r="G187">
        <v>4294917</v>
      </c>
      <c r="H187" t="s">
        <v>346</v>
      </c>
      <c r="I187" s="11">
        <v>0</v>
      </c>
      <c r="J187" s="9" t="str">
        <f>_xll.SNL.Clients.Office.Excel.Functions.SPG(G187, "SP_COUNTRY_NAME")</f>
        <v>Switzerland</v>
      </c>
      <c r="O187" s="9" t="str">
        <f>_xll.SNL.Clients.Office.Excel.Functions.SPG(L187, "SP_COUNTRY_NAME")</f>
        <v>#INVALID COMPANY ID</v>
      </c>
      <c r="T187" s="9" t="str">
        <f>_xll.SNL.Clients.Office.Excel.Functions.SPG(Q187, "SP_COUNTRY_NAME")</f>
        <v>#INVALID COMPANY ID</v>
      </c>
      <c r="U187" t="s">
        <v>783</v>
      </c>
      <c r="V187" t="s">
        <v>300</v>
      </c>
      <c r="W187" t="s">
        <v>361</v>
      </c>
      <c r="X187" s="11">
        <v>0.01</v>
      </c>
      <c r="Y187" s="9" t="str">
        <f>_xll.SNL.Clients.Office.Excel.Functions.SPG(V187, "SP_COUNTRY_NAME")</f>
        <v>China</v>
      </c>
      <c r="AD187" s="9" t="str">
        <f>_xll.SNL.Clients.Office.Excel.Functions.SPG(AA187, "SP_COUNTRY_NAME")</f>
        <v>#INVALID COMPANY ID</v>
      </c>
      <c r="AE187" t="s">
        <v>859</v>
      </c>
      <c r="AF187">
        <v>4049161</v>
      </c>
      <c r="AG187" t="s">
        <v>346</v>
      </c>
      <c r="AH187" s="11">
        <v>0</v>
      </c>
      <c r="AI187" s="9" t="str">
        <f>_xll.SNL.Clients.Office.Excel.Functions.SPG(AF187, "SP_COUNTRY_NAME")</f>
        <v>USA</v>
      </c>
      <c r="AN187" s="9" t="str">
        <f>_xll.SNL.Clients.Office.Excel.Functions.SPG(AK187, "SP_COUNTRY_NAME")</f>
        <v>#INVALID COMPANY ID</v>
      </c>
      <c r="AO187" t="s">
        <v>1329</v>
      </c>
      <c r="AP187">
        <v>5804886</v>
      </c>
      <c r="AQ187" t="s">
        <v>346</v>
      </c>
      <c r="AR187" s="11">
        <v>0</v>
      </c>
      <c r="AS187" s="9" t="str">
        <f>_xll.SNL.Clients.Office.Excel.Functions.SPG(AP187, "SP_COUNTRY_NAME")</f>
        <v>South Africa</v>
      </c>
      <c r="AX187" s="9" t="str">
        <f>_xll.SNL.Clients.Office.Excel.Functions.SPG(AU187, "SP_COUNTRY_NAME")</f>
        <v>#INVALID COMPANY ID</v>
      </c>
      <c r="BC187" s="9" t="str">
        <f>_xll.SNL.Clients.Office.Excel.Functions.SPG(AZ187, "SP_COUNTRY_NAME")</f>
        <v>#INVALID COMPANY ID</v>
      </c>
      <c r="BD187" t="s">
        <v>388</v>
      </c>
      <c r="BE187">
        <v>4057506</v>
      </c>
      <c r="BF187" t="s">
        <v>346</v>
      </c>
      <c r="BG187" s="11">
        <v>0.02</v>
      </c>
      <c r="BH187" s="9" t="str">
        <f>_xll.SNL.Clients.Office.Excel.Functions.SPG(BE187, "SP_COUNTRY_NAME")</f>
        <v>USA</v>
      </c>
      <c r="BI187" t="s">
        <v>537</v>
      </c>
      <c r="BJ187">
        <v>5834897</v>
      </c>
      <c r="BK187" t="s">
        <v>346</v>
      </c>
      <c r="BL187" s="11">
        <v>0</v>
      </c>
      <c r="BM187" s="9" t="str">
        <f>_xll.SNL.Clients.Office.Excel.Functions.SPG(BJ187, "SP_COUNTRY_NAME")</f>
        <v>United Kingdom</v>
      </c>
      <c r="BN187" t="s">
        <v>836</v>
      </c>
      <c r="BO187">
        <v>4396635</v>
      </c>
      <c r="BP187" t="s">
        <v>346</v>
      </c>
      <c r="BQ187" s="11">
        <v>0</v>
      </c>
      <c r="BR187" s="9" t="str">
        <f>_xll.SNL.Clients.Office.Excel.Functions.SPG(BO187, "SP_COUNTRY_NAME")</f>
        <v>China</v>
      </c>
      <c r="BS187" t="s">
        <v>467</v>
      </c>
      <c r="BT187">
        <v>7108293</v>
      </c>
      <c r="BU187" t="s">
        <v>369</v>
      </c>
      <c r="BV187" s="11">
        <v>0.01</v>
      </c>
      <c r="BW187" s="9" t="str">
        <f>_xll.SNL.Clients.Office.Excel.Functions.SPG(BT187, "SP_COUNTRY_NAME")</f>
        <v>United Kingdom</v>
      </c>
      <c r="BX187" t="s">
        <v>783</v>
      </c>
      <c r="BY187" t="s">
        <v>300</v>
      </c>
      <c r="BZ187" t="s">
        <v>361</v>
      </c>
      <c r="CA187" s="11">
        <v>0.01</v>
      </c>
      <c r="CB187" s="9" t="str">
        <f>_xll.SNL.Clients.Office.Excel.Functions.SPG(BY187, "SP_COUNTRY_NAME")</f>
        <v>China</v>
      </c>
      <c r="CC187" t="s">
        <v>1683</v>
      </c>
      <c r="CD187">
        <v>4572787</v>
      </c>
      <c r="CE187" t="s">
        <v>364</v>
      </c>
      <c r="CF187" s="11">
        <v>0.01</v>
      </c>
      <c r="CG187" s="9" t="str">
        <f>_xll.SNL.Clients.Office.Excel.Functions.SPG(CD187, "SP_COUNTRY_NAME")</f>
        <v>USA</v>
      </c>
      <c r="CH187" t="s">
        <v>1329</v>
      </c>
      <c r="CI187">
        <v>5804886</v>
      </c>
      <c r="CJ187" t="s">
        <v>346</v>
      </c>
      <c r="CK187" s="11">
        <v>0</v>
      </c>
      <c r="CL187" s="9" t="str">
        <f>_xll.SNL.Clients.Office.Excel.Functions.SPG(CI187, "SP_COUNTRY_NAME")</f>
        <v>South Africa</v>
      </c>
      <c r="CM187" t="s">
        <v>1987</v>
      </c>
      <c r="CN187">
        <v>109355</v>
      </c>
      <c r="CO187" t="s">
        <v>366</v>
      </c>
      <c r="CP187" s="11">
        <v>0.01</v>
      </c>
      <c r="CQ187" s="9" t="str">
        <f>_xll.SNL.Clients.Office.Excel.Functions.SPG(CN187, "SP_COUNTRY_NAME")</f>
        <v>USA</v>
      </c>
      <c r="CV187" s="9" t="str">
        <f>_xll.SNL.Clients.Office.Excel.Functions.SPG(CS187, "SP_COUNTRY_NAME")</f>
        <v>#INVALID COMPANY ID</v>
      </c>
      <c r="DA187" s="9" t="str">
        <f>_xll.SNL.Clients.Office.Excel.Functions.SPG(CX187, "SP_COUNTRY_NAME")</f>
        <v>#INVALID COMPANY ID</v>
      </c>
      <c r="DB187" t="s">
        <v>388</v>
      </c>
      <c r="DC187">
        <v>4057506</v>
      </c>
      <c r="DD187" t="s">
        <v>346</v>
      </c>
      <c r="DE187" s="11">
        <v>0.02</v>
      </c>
      <c r="DF187" s="9" t="str">
        <f>_xll.SNL.Clients.Office.Excel.Functions.SPG(DC187, "SP_COUNTRY_NAME")</f>
        <v>USA</v>
      </c>
      <c r="DK187" s="9" t="str">
        <f>_xll.SNL.Clients.Office.Excel.Functions.SPG(DH187, "SP_COUNTRY_NAME")</f>
        <v>#INVALID COMPANY ID</v>
      </c>
      <c r="DL187" t="s">
        <v>388</v>
      </c>
      <c r="DM187">
        <v>4057506</v>
      </c>
      <c r="DN187" t="s">
        <v>346</v>
      </c>
      <c r="DO187" s="11">
        <v>0.02</v>
      </c>
      <c r="DP187" s="9" t="str">
        <f>_xll.SNL.Clients.Office.Excel.Functions.SPG(DM187, "SP_COUNTRY_NAME")</f>
        <v>USA</v>
      </c>
      <c r="DU187" s="9" t="str">
        <f>_xll.SNL.Clients.Office.Excel.Functions.SPG(DR187, "SP_COUNTRY_NAME")</f>
        <v>#INVALID COMPANY ID</v>
      </c>
      <c r="DZ187" s="9" t="str">
        <f>_xll.SNL.Clients.Office.Excel.Functions.SPG(DW187, "SP_COUNTRY_NAME")</f>
        <v>#INVALID COMPANY ID</v>
      </c>
      <c r="EA187" t="s">
        <v>1683</v>
      </c>
      <c r="EB187">
        <v>4572787</v>
      </c>
      <c r="EC187" t="s">
        <v>364</v>
      </c>
      <c r="ED187" s="11">
        <v>0.01</v>
      </c>
      <c r="EE187" s="9" t="str">
        <f>_xll.SNL.Clients.Office.Excel.Functions.SPG(EB187, "SP_COUNTRY_NAME")</f>
        <v>USA</v>
      </c>
      <c r="EF187" t="s">
        <v>388</v>
      </c>
      <c r="EG187">
        <v>4057506</v>
      </c>
      <c r="EH187" t="s">
        <v>346</v>
      </c>
      <c r="EI187" s="11">
        <v>0.02</v>
      </c>
      <c r="EJ187" s="9" t="str">
        <f>_xll.SNL.Clients.Office.Excel.Functions.SPG(EG187, "SP_COUNTRY_NAME")</f>
        <v>USA</v>
      </c>
      <c r="EO187" s="9" t="str">
        <f>_xll.SNL.Clients.Office.Excel.Functions.SPG(EL187, "SP_COUNTRY_NAME")</f>
        <v>#INVALID COMPANY ID</v>
      </c>
      <c r="ET187" s="9" t="str">
        <f>_xll.SNL.Clients.Office.Excel.Functions.SPG(EQ187, "SP_COUNTRY_NAME")</f>
        <v>#INVALID COMPANY ID</v>
      </c>
      <c r="EY187" s="9" t="str">
        <f>_xll.SNL.Clients.Office.Excel.Functions.SPG(EV187, "SP_COUNTRY_NAME")</f>
        <v>#INVALID COMPANY ID</v>
      </c>
      <c r="FD187" s="9" t="str">
        <f>_xll.SNL.Clients.Office.Excel.Functions.SPG(FA187, "SP_COUNTRY_NAME")</f>
        <v>#INVALID COMPANY ID</v>
      </c>
      <c r="FI187" s="9" t="str">
        <f>_xll.SNL.Clients.Office.Excel.Functions.SPG(FF187, "SP_COUNTRY_NAME")</f>
        <v>#INVALID COMPANY ID</v>
      </c>
      <c r="FN187" s="9" t="str">
        <f>_xll.SNL.Clients.Office.Excel.Functions.SPG(FK187, "SP_COUNTRY_NAME")</f>
        <v>#INVALID COMPANY ID</v>
      </c>
      <c r="FS187" s="9" t="str">
        <f>_xll.SNL.Clients.Office.Excel.Functions.SPG(FP187, "SP_COUNTRY_NAME")</f>
        <v>#INVALID COMPANY ID</v>
      </c>
      <c r="FX187" s="9" t="str">
        <f>_xll.SNL.Clients.Office.Excel.Functions.SPG(FU187, "SP_COUNTRY_NAME")</f>
        <v>#INVALID COMPANY ID</v>
      </c>
      <c r="FY187" t="s">
        <v>388</v>
      </c>
      <c r="FZ187">
        <v>4057506</v>
      </c>
      <c r="GA187" t="s">
        <v>346</v>
      </c>
      <c r="GB187" s="11">
        <v>0.02</v>
      </c>
      <c r="GC187" s="9" t="str">
        <f>_xll.SNL.Clients.Office.Excel.Functions.SPG(FZ187, "SP_COUNTRY_NAME")</f>
        <v>USA</v>
      </c>
      <c r="GH187" s="9" t="str">
        <f>_xll.SNL.Clients.Office.Excel.Functions.SPG(GE187, "SP_COUNTRY_NAME")</f>
        <v>#INVALID COMPANY ID</v>
      </c>
      <c r="GM187" s="9" t="str">
        <f>_xll.SNL.Clients.Office.Excel.Functions.SPG(GJ187, "SP_COUNTRY_NAME")</f>
        <v>#INVALID COMPANY ID</v>
      </c>
      <c r="GR187" s="9" t="str">
        <f>_xll.SNL.Clients.Office.Excel.Functions.SPG(GO187, "SP_COUNTRY_NAME")</f>
        <v>#INVALID COMPANY ID</v>
      </c>
      <c r="GS187" t="s">
        <v>836</v>
      </c>
      <c r="GT187">
        <v>4396635</v>
      </c>
      <c r="GU187" t="s">
        <v>346</v>
      </c>
      <c r="GV187" s="11">
        <v>0</v>
      </c>
      <c r="GW187" s="9" t="str">
        <f>_xll.SNL.Clients.Office.Excel.Functions.SPG(GT187, "SP_COUNTRY_NAME")</f>
        <v>China</v>
      </c>
      <c r="GX187" t="s">
        <v>1683</v>
      </c>
      <c r="GY187">
        <v>4572787</v>
      </c>
      <c r="GZ187" t="s">
        <v>364</v>
      </c>
      <c r="HA187" s="11">
        <v>0.01</v>
      </c>
      <c r="HB187" s="9" t="str">
        <f>_xll.SNL.Clients.Office.Excel.Functions.SPG(GY187, "SP_COUNTRY_NAME")</f>
        <v>USA</v>
      </c>
      <c r="HG187" s="9" t="str">
        <f>_xll.SNL.Clients.Office.Excel.Functions.SPG(HD187, "SP_COUNTRY_NAME")</f>
        <v>#INVALID COMPANY ID</v>
      </c>
    </row>
    <row r="188" spans="5:215" x14ac:dyDescent="0.35">
      <c r="E188" s="9" t="str">
        <f>_xll.SNL.Clients.Office.Excel.Functions.SPG(B188, "SP_COUNTRY_NAME")</f>
        <v>#INVALID COMPANY ID</v>
      </c>
      <c r="F188" t="s">
        <v>573</v>
      </c>
      <c r="G188">
        <v>5809681</v>
      </c>
      <c r="H188" t="s">
        <v>346</v>
      </c>
      <c r="I188" s="11">
        <v>0</v>
      </c>
      <c r="J188" s="9" t="str">
        <f>_xll.SNL.Clients.Office.Excel.Functions.SPG(G188, "SP_COUNTRY_NAME")</f>
        <v>Spain</v>
      </c>
      <c r="O188" s="9" t="str">
        <f>_xll.SNL.Clients.Office.Excel.Functions.SPG(L188, "SP_COUNTRY_NAME")</f>
        <v>#INVALID COMPANY ID</v>
      </c>
      <c r="T188" s="9" t="str">
        <f>_xll.SNL.Clients.Office.Excel.Functions.SPG(Q188, "SP_COUNTRY_NAME")</f>
        <v>#INVALID COMPANY ID</v>
      </c>
      <c r="U188" t="s">
        <v>784</v>
      </c>
      <c r="V188" t="s">
        <v>300</v>
      </c>
      <c r="W188" t="s">
        <v>361</v>
      </c>
      <c r="X188" s="11">
        <v>0.01</v>
      </c>
      <c r="Y188" s="9" t="str">
        <f>_xll.SNL.Clients.Office.Excel.Functions.SPG(V188, "SP_COUNTRY_NAME")</f>
        <v>China</v>
      </c>
      <c r="AD188" s="9" t="str">
        <f>_xll.SNL.Clients.Office.Excel.Functions.SPG(AA188, "SP_COUNTRY_NAME")</f>
        <v>#INVALID COMPANY ID</v>
      </c>
      <c r="AE188" t="s">
        <v>1173</v>
      </c>
      <c r="AF188">
        <v>4570672</v>
      </c>
      <c r="AG188" t="s">
        <v>346</v>
      </c>
      <c r="AH188" s="11">
        <v>0</v>
      </c>
      <c r="AI188" s="9" t="str">
        <f>_xll.SNL.Clients.Office.Excel.Functions.SPG(AF188, "SP_COUNTRY_NAME")</f>
        <v>Türkiye</v>
      </c>
      <c r="AN188" s="9" t="str">
        <f>_xll.SNL.Clients.Office.Excel.Functions.SPG(AK188, "SP_COUNTRY_NAME")</f>
        <v>#INVALID COMPANY ID</v>
      </c>
      <c r="AO188" t="s">
        <v>1330</v>
      </c>
      <c r="AP188">
        <v>19909326</v>
      </c>
      <c r="AQ188" t="s">
        <v>364</v>
      </c>
      <c r="AR188" s="11">
        <v>0</v>
      </c>
      <c r="AS188" s="9" t="str">
        <f>_xll.SNL.Clients.Office.Excel.Functions.SPG(AP188, "SP_COUNTRY_NAME")</f>
        <v>South Africa</v>
      </c>
      <c r="AX188" s="9" t="str">
        <f>_xll.SNL.Clients.Office.Excel.Functions.SPG(AU188, "SP_COUNTRY_NAME")</f>
        <v>#INVALID COMPANY ID</v>
      </c>
      <c r="BC188" s="9" t="str">
        <f>_xll.SNL.Clients.Office.Excel.Functions.SPG(AZ188, "SP_COUNTRY_NAME")</f>
        <v>#INVALID COMPANY ID</v>
      </c>
      <c r="BD188" t="s">
        <v>953</v>
      </c>
      <c r="BE188">
        <v>4039450</v>
      </c>
      <c r="BF188" t="s">
        <v>346</v>
      </c>
      <c r="BG188" s="11">
        <v>0.02</v>
      </c>
      <c r="BH188" s="9" t="str">
        <f>_xll.SNL.Clients.Office.Excel.Functions.SPG(BE188, "SP_COUNTRY_NAME")</f>
        <v>USA</v>
      </c>
      <c r="BI188" t="s">
        <v>540</v>
      </c>
      <c r="BJ188">
        <v>4281265</v>
      </c>
      <c r="BK188" t="s">
        <v>346</v>
      </c>
      <c r="BL188" s="11">
        <v>0</v>
      </c>
      <c r="BM188" s="9" t="str">
        <f>_xll.SNL.Clients.Office.Excel.Functions.SPG(BJ188, "SP_COUNTRY_NAME")</f>
        <v>Canada</v>
      </c>
      <c r="BN188" t="s">
        <v>472</v>
      </c>
      <c r="BO188">
        <v>4048215</v>
      </c>
      <c r="BP188" t="s">
        <v>346</v>
      </c>
      <c r="BQ188" s="11">
        <v>0</v>
      </c>
      <c r="BR188" s="9" t="str">
        <f>_xll.SNL.Clients.Office.Excel.Functions.SPG(BO188, "SP_COUNTRY_NAME")</f>
        <v>USA</v>
      </c>
      <c r="BS188" t="s">
        <v>822</v>
      </c>
      <c r="BT188">
        <v>15947616</v>
      </c>
      <c r="BU188" t="s">
        <v>346</v>
      </c>
      <c r="BV188" s="11">
        <v>0.01</v>
      </c>
      <c r="BW188" s="9" t="str">
        <f>_xll.SNL.Clients.Office.Excel.Functions.SPG(BT188, "SP_COUNTRY_NAME")</f>
        <v>China</v>
      </c>
      <c r="BX188" t="s">
        <v>784</v>
      </c>
      <c r="BY188" t="s">
        <v>300</v>
      </c>
      <c r="BZ188" t="s">
        <v>361</v>
      </c>
      <c r="CA188" s="11">
        <v>0.01</v>
      </c>
      <c r="CB188" s="9" t="str">
        <f>_xll.SNL.Clients.Office.Excel.Functions.SPG(BY188, "SP_COUNTRY_NAME")</f>
        <v>China</v>
      </c>
      <c r="CC188" t="s">
        <v>515</v>
      </c>
      <c r="CD188">
        <v>109731</v>
      </c>
      <c r="CE188" t="s">
        <v>346</v>
      </c>
      <c r="CF188" s="11">
        <v>0.01</v>
      </c>
      <c r="CG188" s="9" t="str">
        <f>_xll.SNL.Clients.Office.Excel.Functions.SPG(CD188, "SP_COUNTRY_NAME")</f>
        <v>USA</v>
      </c>
      <c r="CH188" t="s">
        <v>1330</v>
      </c>
      <c r="CI188">
        <v>19909326</v>
      </c>
      <c r="CJ188" t="s">
        <v>364</v>
      </c>
      <c r="CK188" s="11">
        <v>0</v>
      </c>
      <c r="CL188" s="9" t="str">
        <f>_xll.SNL.Clients.Office.Excel.Functions.SPG(CI188, "SP_COUNTRY_NAME")</f>
        <v>South Africa</v>
      </c>
      <c r="CM188" t="s">
        <v>873</v>
      </c>
      <c r="CN188">
        <v>4873872</v>
      </c>
      <c r="CO188" t="s">
        <v>346</v>
      </c>
      <c r="CP188" s="11">
        <v>0.01</v>
      </c>
      <c r="CQ188" s="9" t="str">
        <f>_xll.SNL.Clients.Office.Excel.Functions.SPG(CN188, "SP_COUNTRY_NAME")</f>
        <v>Spain</v>
      </c>
      <c r="CV188" s="9" t="str">
        <f>_xll.SNL.Clients.Office.Excel.Functions.SPG(CS188, "SP_COUNTRY_NAME")</f>
        <v>#INVALID COMPANY ID</v>
      </c>
      <c r="DA188" s="9" t="str">
        <f>_xll.SNL.Clients.Office.Excel.Functions.SPG(CX188, "SP_COUNTRY_NAME")</f>
        <v>#INVALID COMPANY ID</v>
      </c>
      <c r="DB188" t="s">
        <v>953</v>
      </c>
      <c r="DC188">
        <v>4039450</v>
      </c>
      <c r="DD188" t="s">
        <v>346</v>
      </c>
      <c r="DE188" s="11">
        <v>0.02</v>
      </c>
      <c r="DF188" s="9" t="str">
        <f>_xll.SNL.Clients.Office.Excel.Functions.SPG(DC188, "SP_COUNTRY_NAME")</f>
        <v>USA</v>
      </c>
      <c r="DK188" s="9" t="str">
        <f>_xll.SNL.Clients.Office.Excel.Functions.SPG(DH188, "SP_COUNTRY_NAME")</f>
        <v>#INVALID COMPANY ID</v>
      </c>
      <c r="DL188" t="s">
        <v>953</v>
      </c>
      <c r="DM188">
        <v>4039450</v>
      </c>
      <c r="DN188" t="s">
        <v>346</v>
      </c>
      <c r="DO188" s="11">
        <v>0.02</v>
      </c>
      <c r="DP188" s="9" t="str">
        <f>_xll.SNL.Clients.Office.Excel.Functions.SPG(DM188, "SP_COUNTRY_NAME")</f>
        <v>USA</v>
      </c>
      <c r="DU188" s="9" t="str">
        <f>_xll.SNL.Clients.Office.Excel.Functions.SPG(DR188, "SP_COUNTRY_NAME")</f>
        <v>#INVALID COMPANY ID</v>
      </c>
      <c r="DZ188" s="9" t="str">
        <f>_xll.SNL.Clients.Office.Excel.Functions.SPG(DW188, "SP_COUNTRY_NAME")</f>
        <v>#INVALID COMPANY ID</v>
      </c>
      <c r="EA188" t="s">
        <v>515</v>
      </c>
      <c r="EB188">
        <v>109731</v>
      </c>
      <c r="EC188" t="s">
        <v>346</v>
      </c>
      <c r="ED188" s="11">
        <v>0.01</v>
      </c>
      <c r="EE188" s="9" t="str">
        <f>_xll.SNL.Clients.Office.Excel.Functions.SPG(EB188, "SP_COUNTRY_NAME")</f>
        <v>USA</v>
      </c>
      <c r="EF188" t="s">
        <v>953</v>
      </c>
      <c r="EG188">
        <v>4039450</v>
      </c>
      <c r="EH188" t="s">
        <v>346</v>
      </c>
      <c r="EI188" s="11">
        <v>0.02</v>
      </c>
      <c r="EJ188" s="9" t="str">
        <f>_xll.SNL.Clients.Office.Excel.Functions.SPG(EG188, "SP_COUNTRY_NAME")</f>
        <v>USA</v>
      </c>
      <c r="EO188" s="9" t="str">
        <f>_xll.SNL.Clients.Office.Excel.Functions.SPG(EL188, "SP_COUNTRY_NAME")</f>
        <v>#INVALID COMPANY ID</v>
      </c>
      <c r="ET188" s="9" t="str">
        <f>_xll.SNL.Clients.Office.Excel.Functions.SPG(EQ188, "SP_COUNTRY_NAME")</f>
        <v>#INVALID COMPANY ID</v>
      </c>
      <c r="EY188" s="9" t="str">
        <f>_xll.SNL.Clients.Office.Excel.Functions.SPG(EV188, "SP_COUNTRY_NAME")</f>
        <v>#INVALID COMPANY ID</v>
      </c>
      <c r="FD188" s="9" t="str">
        <f>_xll.SNL.Clients.Office.Excel.Functions.SPG(FA188, "SP_COUNTRY_NAME")</f>
        <v>#INVALID COMPANY ID</v>
      </c>
      <c r="FI188" s="9" t="str">
        <f>_xll.SNL.Clients.Office.Excel.Functions.SPG(FF188, "SP_COUNTRY_NAME")</f>
        <v>#INVALID COMPANY ID</v>
      </c>
      <c r="FN188" s="9" t="str">
        <f>_xll.SNL.Clients.Office.Excel.Functions.SPG(FK188, "SP_COUNTRY_NAME")</f>
        <v>#INVALID COMPANY ID</v>
      </c>
      <c r="FS188" s="9" t="str">
        <f>_xll.SNL.Clients.Office.Excel.Functions.SPG(FP188, "SP_COUNTRY_NAME")</f>
        <v>#INVALID COMPANY ID</v>
      </c>
      <c r="FX188" s="9" t="str">
        <f>_xll.SNL.Clients.Office.Excel.Functions.SPG(FU188, "SP_COUNTRY_NAME")</f>
        <v>#INVALID COMPANY ID</v>
      </c>
      <c r="FY188" t="s">
        <v>953</v>
      </c>
      <c r="FZ188">
        <v>4039450</v>
      </c>
      <c r="GA188" t="s">
        <v>346</v>
      </c>
      <c r="GB188" s="11">
        <v>0.02</v>
      </c>
      <c r="GC188" s="9" t="str">
        <f>_xll.SNL.Clients.Office.Excel.Functions.SPG(FZ188, "SP_COUNTRY_NAME")</f>
        <v>USA</v>
      </c>
      <c r="GH188" s="9" t="str">
        <f>_xll.SNL.Clients.Office.Excel.Functions.SPG(GE188, "SP_COUNTRY_NAME")</f>
        <v>#INVALID COMPANY ID</v>
      </c>
      <c r="GM188" s="9" t="str">
        <f>_xll.SNL.Clients.Office.Excel.Functions.SPG(GJ188, "SP_COUNTRY_NAME")</f>
        <v>#INVALID COMPANY ID</v>
      </c>
      <c r="GR188" s="9" t="str">
        <f>_xll.SNL.Clients.Office.Excel.Functions.SPG(GO188, "SP_COUNTRY_NAME")</f>
        <v>#INVALID COMPANY ID</v>
      </c>
      <c r="GS188" t="s">
        <v>472</v>
      </c>
      <c r="GT188">
        <v>4048215</v>
      </c>
      <c r="GU188" t="s">
        <v>346</v>
      </c>
      <c r="GV188" s="11">
        <v>0</v>
      </c>
      <c r="GW188" s="9" t="str">
        <f>_xll.SNL.Clients.Office.Excel.Functions.SPG(GT188, "SP_COUNTRY_NAME")</f>
        <v>USA</v>
      </c>
      <c r="GX188" t="s">
        <v>515</v>
      </c>
      <c r="GY188">
        <v>109731</v>
      </c>
      <c r="GZ188" t="s">
        <v>346</v>
      </c>
      <c r="HA188" s="11">
        <v>0.01</v>
      </c>
      <c r="HB188" s="9" t="str">
        <f>_xll.SNL.Clients.Office.Excel.Functions.SPG(GY188, "SP_COUNTRY_NAME")</f>
        <v>USA</v>
      </c>
      <c r="HG188" s="9" t="str">
        <f>_xll.SNL.Clients.Office.Excel.Functions.SPG(HD188, "SP_COUNTRY_NAME")</f>
        <v>#INVALID COMPANY ID</v>
      </c>
    </row>
    <row r="189" spans="5:215" x14ac:dyDescent="0.35">
      <c r="E189" s="9" t="str">
        <f>_xll.SNL.Clients.Office.Excel.Functions.SPG(B189, "SP_COUNTRY_NAME")</f>
        <v>#INVALID COMPANY ID</v>
      </c>
      <c r="F189" t="s">
        <v>574</v>
      </c>
      <c r="G189">
        <v>4049157</v>
      </c>
      <c r="H189" t="s">
        <v>346</v>
      </c>
      <c r="I189" s="11">
        <v>0</v>
      </c>
      <c r="J189" s="9" t="str">
        <f>_xll.SNL.Clients.Office.Excel.Functions.SPG(G189, "SP_COUNTRY_NAME")</f>
        <v>USA</v>
      </c>
      <c r="O189" s="9" t="str">
        <f>_xll.SNL.Clients.Office.Excel.Functions.SPG(L189, "SP_COUNTRY_NAME")</f>
        <v>#INVALID COMPANY ID</v>
      </c>
      <c r="T189" s="9" t="str">
        <f>_xll.SNL.Clients.Office.Excel.Functions.SPG(Q189, "SP_COUNTRY_NAME")</f>
        <v>#INVALID COMPANY ID</v>
      </c>
      <c r="U189" t="s">
        <v>785</v>
      </c>
      <c r="V189">
        <v>4139950</v>
      </c>
      <c r="W189" t="s">
        <v>346</v>
      </c>
      <c r="X189" s="11">
        <v>0.01</v>
      </c>
      <c r="Y189" s="9" t="str">
        <f>_xll.SNL.Clients.Office.Excel.Functions.SPG(V189, "SP_COUNTRY_NAME")</f>
        <v>China</v>
      </c>
      <c r="AD189" s="9" t="str">
        <f>_xll.SNL.Clients.Office.Excel.Functions.SPG(AA189, "SP_COUNTRY_NAME")</f>
        <v>#INVALID COMPANY ID</v>
      </c>
      <c r="AE189" t="s">
        <v>1174</v>
      </c>
      <c r="AF189">
        <v>4147202</v>
      </c>
      <c r="AG189" t="s">
        <v>346</v>
      </c>
      <c r="AH189" s="11">
        <v>0</v>
      </c>
      <c r="AI189" s="9" t="str">
        <f>_xll.SNL.Clients.Office.Excel.Functions.SPG(AF189, "SP_COUNTRY_NAME")</f>
        <v>Canada</v>
      </c>
      <c r="AN189" s="9" t="str">
        <f>_xll.SNL.Clients.Office.Excel.Functions.SPG(AK189, "SP_COUNTRY_NAME")</f>
        <v>#INVALID COMPANY ID</v>
      </c>
      <c r="AO189" t="s">
        <v>1331</v>
      </c>
      <c r="AP189">
        <v>5788099</v>
      </c>
      <c r="AQ189" t="s">
        <v>346</v>
      </c>
      <c r="AR189" s="11">
        <v>0</v>
      </c>
      <c r="AS189" s="9" t="str">
        <f>_xll.SNL.Clients.Office.Excel.Functions.SPG(AP189, "SP_COUNTRY_NAME")</f>
        <v>South Africa</v>
      </c>
      <c r="AX189" s="9" t="str">
        <f>_xll.SNL.Clients.Office.Excel.Functions.SPG(AU189, "SP_COUNTRY_NAME")</f>
        <v>#INVALID COMPANY ID</v>
      </c>
      <c r="BC189" s="9" t="str">
        <f>_xll.SNL.Clients.Office.Excel.Functions.SPG(AZ189, "SP_COUNTRY_NAME")</f>
        <v>#INVALID COMPANY ID</v>
      </c>
      <c r="BD189" t="s">
        <v>1453</v>
      </c>
      <c r="BE189">
        <v>4139052</v>
      </c>
      <c r="BF189" t="s">
        <v>346</v>
      </c>
      <c r="BG189" s="11">
        <v>0.02</v>
      </c>
      <c r="BH189" s="9" t="str">
        <f>_xll.SNL.Clients.Office.Excel.Functions.SPG(BE189, "SP_COUNTRY_NAME")</f>
        <v>United Kingdom</v>
      </c>
      <c r="BI189" t="s">
        <v>550</v>
      </c>
      <c r="BJ189">
        <v>4138393</v>
      </c>
      <c r="BK189" t="s">
        <v>346</v>
      </c>
      <c r="BL189" s="11">
        <v>0</v>
      </c>
      <c r="BM189" s="9" t="str">
        <f>_xll.SNL.Clients.Office.Excel.Functions.SPG(BJ189, "SP_COUNTRY_NAME")</f>
        <v>Spain</v>
      </c>
      <c r="BN189" t="s">
        <v>851</v>
      </c>
      <c r="BO189">
        <v>4405395</v>
      </c>
      <c r="BP189" t="s">
        <v>346</v>
      </c>
      <c r="BQ189" s="11">
        <v>0</v>
      </c>
      <c r="BR189" s="9" t="str">
        <f>_xll.SNL.Clients.Office.Excel.Functions.SPG(BO189, "SP_COUNTRY_NAME")</f>
        <v>United Kingdom</v>
      </c>
      <c r="BS189" t="s">
        <v>759</v>
      </c>
      <c r="BT189">
        <v>4549477</v>
      </c>
      <c r="BU189" t="s">
        <v>346</v>
      </c>
      <c r="BV189" s="11">
        <v>0.01</v>
      </c>
      <c r="BW189" s="9" t="str">
        <f>_xll.SNL.Clients.Office.Excel.Functions.SPG(BT189, "SP_COUNTRY_NAME")</f>
        <v>Hong Kong</v>
      </c>
      <c r="BX189" t="s">
        <v>785</v>
      </c>
      <c r="BY189">
        <v>4139950</v>
      </c>
      <c r="BZ189" t="s">
        <v>346</v>
      </c>
      <c r="CA189" s="11">
        <v>0.01</v>
      </c>
      <c r="CB189" s="9" t="str">
        <f>_xll.SNL.Clients.Office.Excel.Functions.SPG(BY189, "SP_COUNTRY_NAME")</f>
        <v>China</v>
      </c>
      <c r="CC189" t="s">
        <v>547</v>
      </c>
      <c r="CD189">
        <v>4005523</v>
      </c>
      <c r="CE189" t="s">
        <v>346</v>
      </c>
      <c r="CF189" s="11">
        <v>0.01</v>
      </c>
      <c r="CG189" s="9" t="str">
        <f>_xll.SNL.Clients.Office.Excel.Functions.SPG(CD189, "SP_COUNTRY_NAME")</f>
        <v>Canada</v>
      </c>
      <c r="CH189" t="s">
        <v>1331</v>
      </c>
      <c r="CI189">
        <v>5788099</v>
      </c>
      <c r="CJ189" t="s">
        <v>346</v>
      </c>
      <c r="CK189" s="11">
        <v>0</v>
      </c>
      <c r="CL189" s="9" t="str">
        <f>_xll.SNL.Clients.Office.Excel.Functions.SPG(CI189, "SP_COUNTRY_NAME")</f>
        <v>South Africa</v>
      </c>
      <c r="CM189" t="s">
        <v>1750</v>
      </c>
      <c r="CN189">
        <v>4037127</v>
      </c>
      <c r="CO189" t="s">
        <v>346</v>
      </c>
      <c r="CP189" s="11">
        <v>0.01</v>
      </c>
      <c r="CQ189" s="9" t="str">
        <f>_xll.SNL.Clients.Office.Excel.Functions.SPG(CN189, "SP_COUNTRY_NAME")</f>
        <v>USA</v>
      </c>
      <c r="CV189" s="9" t="str">
        <f>_xll.SNL.Clients.Office.Excel.Functions.SPG(CS189, "SP_COUNTRY_NAME")</f>
        <v>#INVALID COMPANY ID</v>
      </c>
      <c r="DA189" s="9" t="str">
        <f>_xll.SNL.Clients.Office.Excel.Functions.SPG(CX189, "SP_COUNTRY_NAME")</f>
        <v>#INVALID COMPANY ID</v>
      </c>
      <c r="DB189" t="s">
        <v>1453</v>
      </c>
      <c r="DC189">
        <v>4139052</v>
      </c>
      <c r="DD189" t="s">
        <v>346</v>
      </c>
      <c r="DE189" s="11">
        <v>0.02</v>
      </c>
      <c r="DF189" s="9" t="str">
        <f>_xll.SNL.Clients.Office.Excel.Functions.SPG(DC189, "SP_COUNTRY_NAME")</f>
        <v>United Kingdom</v>
      </c>
      <c r="DK189" s="9" t="str">
        <f>_xll.SNL.Clients.Office.Excel.Functions.SPG(DH189, "SP_COUNTRY_NAME")</f>
        <v>#INVALID COMPANY ID</v>
      </c>
      <c r="DL189" t="s">
        <v>1453</v>
      </c>
      <c r="DM189">
        <v>4139052</v>
      </c>
      <c r="DN189" t="s">
        <v>346</v>
      </c>
      <c r="DO189" s="11">
        <v>0.02</v>
      </c>
      <c r="DP189" s="9" t="str">
        <f>_xll.SNL.Clients.Office.Excel.Functions.SPG(DM189, "SP_COUNTRY_NAME")</f>
        <v>United Kingdom</v>
      </c>
      <c r="DU189" s="9" t="str">
        <f>_xll.SNL.Clients.Office.Excel.Functions.SPG(DR189, "SP_COUNTRY_NAME")</f>
        <v>#INVALID COMPANY ID</v>
      </c>
      <c r="DZ189" s="9" t="str">
        <f>_xll.SNL.Clients.Office.Excel.Functions.SPG(DW189, "SP_COUNTRY_NAME")</f>
        <v>#INVALID COMPANY ID</v>
      </c>
      <c r="EA189" t="s">
        <v>547</v>
      </c>
      <c r="EB189">
        <v>4005523</v>
      </c>
      <c r="EC189" t="s">
        <v>346</v>
      </c>
      <c r="ED189" s="11">
        <v>0.01</v>
      </c>
      <c r="EE189" s="9" t="str">
        <f>_xll.SNL.Clients.Office.Excel.Functions.SPG(EB189, "SP_COUNTRY_NAME")</f>
        <v>Canada</v>
      </c>
      <c r="EF189" t="s">
        <v>1453</v>
      </c>
      <c r="EG189">
        <v>4139052</v>
      </c>
      <c r="EH189" t="s">
        <v>346</v>
      </c>
      <c r="EI189" s="11">
        <v>0.02</v>
      </c>
      <c r="EJ189" s="9" t="str">
        <f>_xll.SNL.Clients.Office.Excel.Functions.SPG(EG189, "SP_COUNTRY_NAME")</f>
        <v>United Kingdom</v>
      </c>
      <c r="EO189" s="9" t="str">
        <f>_xll.SNL.Clients.Office.Excel.Functions.SPG(EL189, "SP_COUNTRY_NAME")</f>
        <v>#INVALID COMPANY ID</v>
      </c>
      <c r="ET189" s="9" t="str">
        <f>_xll.SNL.Clients.Office.Excel.Functions.SPG(EQ189, "SP_COUNTRY_NAME")</f>
        <v>#INVALID COMPANY ID</v>
      </c>
      <c r="EY189" s="9" t="str">
        <f>_xll.SNL.Clients.Office.Excel.Functions.SPG(EV189, "SP_COUNTRY_NAME")</f>
        <v>#INVALID COMPANY ID</v>
      </c>
      <c r="FD189" s="9" t="str">
        <f>_xll.SNL.Clients.Office.Excel.Functions.SPG(FA189, "SP_COUNTRY_NAME")</f>
        <v>#INVALID COMPANY ID</v>
      </c>
      <c r="FI189" s="9" t="str">
        <f>_xll.SNL.Clients.Office.Excel.Functions.SPG(FF189, "SP_COUNTRY_NAME")</f>
        <v>#INVALID COMPANY ID</v>
      </c>
      <c r="FN189" s="9" t="str">
        <f>_xll.SNL.Clients.Office.Excel.Functions.SPG(FK189, "SP_COUNTRY_NAME")</f>
        <v>#INVALID COMPANY ID</v>
      </c>
      <c r="FS189" s="9" t="str">
        <f>_xll.SNL.Clients.Office.Excel.Functions.SPG(FP189, "SP_COUNTRY_NAME")</f>
        <v>#INVALID COMPANY ID</v>
      </c>
      <c r="FX189" s="9" t="str">
        <f>_xll.SNL.Clients.Office.Excel.Functions.SPG(FU189, "SP_COUNTRY_NAME")</f>
        <v>#INVALID COMPANY ID</v>
      </c>
      <c r="FY189" t="s">
        <v>1453</v>
      </c>
      <c r="FZ189">
        <v>4139052</v>
      </c>
      <c r="GA189" t="s">
        <v>346</v>
      </c>
      <c r="GB189" s="11">
        <v>0.02</v>
      </c>
      <c r="GC189" s="9" t="str">
        <f>_xll.SNL.Clients.Office.Excel.Functions.SPG(FZ189, "SP_COUNTRY_NAME")</f>
        <v>United Kingdom</v>
      </c>
      <c r="GH189" s="9" t="str">
        <f>_xll.SNL.Clients.Office.Excel.Functions.SPG(GE189, "SP_COUNTRY_NAME")</f>
        <v>#INVALID COMPANY ID</v>
      </c>
      <c r="GM189" s="9" t="str">
        <f>_xll.SNL.Clients.Office.Excel.Functions.SPG(GJ189, "SP_COUNTRY_NAME")</f>
        <v>#INVALID COMPANY ID</v>
      </c>
      <c r="GR189" s="9" t="str">
        <f>_xll.SNL.Clients.Office.Excel.Functions.SPG(GO189, "SP_COUNTRY_NAME")</f>
        <v>#INVALID COMPANY ID</v>
      </c>
      <c r="GS189" t="s">
        <v>851</v>
      </c>
      <c r="GT189">
        <v>4405395</v>
      </c>
      <c r="GU189" t="s">
        <v>346</v>
      </c>
      <c r="GV189" s="11">
        <v>0</v>
      </c>
      <c r="GW189" s="9" t="str">
        <f>_xll.SNL.Clients.Office.Excel.Functions.SPG(GT189, "SP_COUNTRY_NAME")</f>
        <v>United Kingdom</v>
      </c>
      <c r="GX189" t="s">
        <v>547</v>
      </c>
      <c r="GY189">
        <v>4005523</v>
      </c>
      <c r="GZ189" t="s">
        <v>346</v>
      </c>
      <c r="HA189" s="11">
        <v>0.01</v>
      </c>
      <c r="HB189" s="9" t="str">
        <f>_xll.SNL.Clients.Office.Excel.Functions.SPG(GY189, "SP_COUNTRY_NAME")</f>
        <v>Canada</v>
      </c>
      <c r="HG189" s="9" t="str">
        <f>_xll.SNL.Clients.Office.Excel.Functions.SPG(HD189, "SP_COUNTRY_NAME")</f>
        <v>#INVALID COMPANY ID</v>
      </c>
    </row>
    <row r="190" spans="5:215" x14ac:dyDescent="0.35">
      <c r="E190" s="9" t="str">
        <f>_xll.SNL.Clients.Office.Excel.Functions.SPG(B190, "SP_COUNTRY_NAME")</f>
        <v>#INVALID COMPANY ID</v>
      </c>
      <c r="F190" t="s">
        <v>575</v>
      </c>
      <c r="G190">
        <v>4575993</v>
      </c>
      <c r="H190" t="s">
        <v>346</v>
      </c>
      <c r="I190" s="11">
        <v>0</v>
      </c>
      <c r="J190" s="9" t="str">
        <f>_xll.SNL.Clients.Office.Excel.Functions.SPG(G190, "SP_COUNTRY_NAME")</f>
        <v>Canada</v>
      </c>
      <c r="O190" s="9" t="str">
        <f>_xll.SNL.Clients.Office.Excel.Functions.SPG(L190, "SP_COUNTRY_NAME")</f>
        <v>#INVALID COMPANY ID</v>
      </c>
      <c r="T190" s="9" t="str">
        <f>_xll.SNL.Clients.Office.Excel.Functions.SPG(Q190, "SP_COUNTRY_NAME")</f>
        <v>#INVALID COMPANY ID</v>
      </c>
      <c r="U190" t="s">
        <v>444</v>
      </c>
      <c r="V190">
        <v>109988</v>
      </c>
      <c r="W190" t="s">
        <v>346</v>
      </c>
      <c r="X190" s="11">
        <v>0.01</v>
      </c>
      <c r="Y190" s="9" t="str">
        <f>_xll.SNL.Clients.Office.Excel.Functions.SPG(V190, "SP_COUNTRY_NAME")</f>
        <v>USA</v>
      </c>
      <c r="AD190" s="9" t="str">
        <f>_xll.SNL.Clients.Office.Excel.Functions.SPG(AA190, "SP_COUNTRY_NAME")</f>
        <v>#INVALID COMPANY ID</v>
      </c>
      <c r="AE190" t="s">
        <v>1175</v>
      </c>
      <c r="AF190">
        <v>4138457</v>
      </c>
      <c r="AG190" t="s">
        <v>346</v>
      </c>
      <c r="AH190" s="11">
        <v>0</v>
      </c>
      <c r="AI190" s="9" t="str">
        <f>_xll.SNL.Clients.Office.Excel.Functions.SPG(AF190, "SP_COUNTRY_NAME")</f>
        <v>Germany</v>
      </c>
      <c r="AN190" s="9" t="str">
        <f>_xll.SNL.Clients.Office.Excel.Functions.SPG(AK190, "SP_COUNTRY_NAME")</f>
        <v>#INVALID COMPANY ID</v>
      </c>
      <c r="AO190" t="s">
        <v>1332</v>
      </c>
      <c r="AP190">
        <v>4949613</v>
      </c>
      <c r="AQ190" t="s">
        <v>346</v>
      </c>
      <c r="AR190" s="11">
        <v>0</v>
      </c>
      <c r="AS190" s="9" t="str">
        <f>_xll.SNL.Clients.Office.Excel.Functions.SPG(AP190, "SP_COUNTRY_NAME")</f>
        <v>South Africa</v>
      </c>
      <c r="AX190" s="9" t="str">
        <f>_xll.SNL.Clients.Office.Excel.Functions.SPG(AU190, "SP_COUNTRY_NAME")</f>
        <v>#INVALID COMPANY ID</v>
      </c>
      <c r="BC190" s="9" t="str">
        <f>_xll.SNL.Clients.Office.Excel.Functions.SPG(AZ190, "SP_COUNTRY_NAME")</f>
        <v>#INVALID COMPANY ID</v>
      </c>
      <c r="BD190" t="s">
        <v>1265</v>
      </c>
      <c r="BE190">
        <v>4118993</v>
      </c>
      <c r="BF190" t="s">
        <v>346</v>
      </c>
      <c r="BG190" s="11">
        <v>0.02</v>
      </c>
      <c r="BH190" s="9" t="str">
        <f>_xll.SNL.Clients.Office.Excel.Functions.SPG(BE190, "SP_COUNTRY_NAME")</f>
        <v>USA</v>
      </c>
      <c r="BI190" t="s">
        <v>1580</v>
      </c>
      <c r="BJ190">
        <v>4199123</v>
      </c>
      <c r="BK190" t="s">
        <v>346</v>
      </c>
      <c r="BL190" s="11">
        <v>0</v>
      </c>
      <c r="BM190" s="9" t="str">
        <f>_xll.SNL.Clients.Office.Excel.Functions.SPG(BJ190, "SP_COUNTRY_NAME")</f>
        <v>Germany</v>
      </c>
      <c r="BN190" t="s">
        <v>461</v>
      </c>
      <c r="BO190">
        <v>4137912</v>
      </c>
      <c r="BP190" t="s">
        <v>346</v>
      </c>
      <c r="BQ190" s="11">
        <v>0</v>
      </c>
      <c r="BR190" s="9" t="str">
        <f>_xll.SNL.Clients.Office.Excel.Functions.SPG(BO190, "SP_COUNTRY_NAME")</f>
        <v>Germany</v>
      </c>
      <c r="BS190" t="s">
        <v>777</v>
      </c>
      <c r="BT190">
        <v>107988050</v>
      </c>
      <c r="BU190" t="s">
        <v>346</v>
      </c>
      <c r="BV190" s="11">
        <v>0.01</v>
      </c>
      <c r="BW190" s="9" t="str">
        <f>_xll.SNL.Clients.Office.Excel.Functions.SPG(BT190, "SP_COUNTRY_NAME")</f>
        <v>China</v>
      </c>
      <c r="BX190" t="s">
        <v>444</v>
      </c>
      <c r="BY190">
        <v>109988</v>
      </c>
      <c r="BZ190" t="s">
        <v>346</v>
      </c>
      <c r="CA190" s="11">
        <v>0.01</v>
      </c>
      <c r="CB190" s="9" t="str">
        <f>_xll.SNL.Clients.Office.Excel.Functions.SPG(BY190, "SP_COUNTRY_NAME")</f>
        <v>USA</v>
      </c>
      <c r="CC190" t="s">
        <v>460</v>
      </c>
      <c r="CD190">
        <v>4337989</v>
      </c>
      <c r="CE190" t="s">
        <v>346</v>
      </c>
      <c r="CF190" s="11">
        <v>0.01</v>
      </c>
      <c r="CG190" s="9" t="str">
        <f>_xll.SNL.Clients.Office.Excel.Functions.SPG(CD190, "SP_COUNTRY_NAME")</f>
        <v>USA</v>
      </c>
      <c r="CH190" t="s">
        <v>1332</v>
      </c>
      <c r="CI190">
        <v>4949613</v>
      </c>
      <c r="CJ190" t="s">
        <v>346</v>
      </c>
      <c r="CK190" s="11">
        <v>0</v>
      </c>
      <c r="CL190" s="9" t="str">
        <f>_xll.SNL.Clients.Office.Excel.Functions.SPG(CI190, "SP_COUNTRY_NAME")</f>
        <v>South Africa</v>
      </c>
      <c r="CM190" t="s">
        <v>1185</v>
      </c>
      <c r="CN190">
        <v>110616</v>
      </c>
      <c r="CO190" t="s">
        <v>346</v>
      </c>
      <c r="CP190" s="11">
        <v>0.01</v>
      </c>
      <c r="CQ190" s="9" t="str">
        <f>_xll.SNL.Clients.Office.Excel.Functions.SPG(CN190, "SP_COUNTRY_NAME")</f>
        <v>United Kingdom</v>
      </c>
      <c r="CV190" s="9" t="str">
        <f>_xll.SNL.Clients.Office.Excel.Functions.SPG(CS190, "SP_COUNTRY_NAME")</f>
        <v>#INVALID COMPANY ID</v>
      </c>
      <c r="DA190" s="9" t="str">
        <f>_xll.SNL.Clients.Office.Excel.Functions.SPG(CX190, "SP_COUNTRY_NAME")</f>
        <v>#INVALID COMPANY ID</v>
      </c>
      <c r="DB190" t="s">
        <v>1265</v>
      </c>
      <c r="DC190">
        <v>4118993</v>
      </c>
      <c r="DD190" t="s">
        <v>346</v>
      </c>
      <c r="DE190" s="11">
        <v>0.02</v>
      </c>
      <c r="DF190" s="9" t="str">
        <f>_xll.SNL.Clients.Office.Excel.Functions.SPG(DC190, "SP_COUNTRY_NAME")</f>
        <v>USA</v>
      </c>
      <c r="DK190" s="9" t="str">
        <f>_xll.SNL.Clients.Office.Excel.Functions.SPG(DH190, "SP_COUNTRY_NAME")</f>
        <v>#INVALID COMPANY ID</v>
      </c>
      <c r="DL190" t="s">
        <v>1265</v>
      </c>
      <c r="DM190">
        <v>4118993</v>
      </c>
      <c r="DN190" t="s">
        <v>346</v>
      </c>
      <c r="DO190" s="11">
        <v>0.02</v>
      </c>
      <c r="DP190" s="9" t="str">
        <f>_xll.SNL.Clients.Office.Excel.Functions.SPG(DM190, "SP_COUNTRY_NAME")</f>
        <v>USA</v>
      </c>
      <c r="DU190" s="9" t="str">
        <f>_xll.SNL.Clients.Office.Excel.Functions.SPG(DR190, "SP_COUNTRY_NAME")</f>
        <v>#INVALID COMPANY ID</v>
      </c>
      <c r="DZ190" s="9" t="str">
        <f>_xll.SNL.Clients.Office.Excel.Functions.SPG(DW190, "SP_COUNTRY_NAME")</f>
        <v>#INVALID COMPANY ID</v>
      </c>
      <c r="EA190" t="s">
        <v>460</v>
      </c>
      <c r="EB190">
        <v>4337989</v>
      </c>
      <c r="EC190" t="s">
        <v>346</v>
      </c>
      <c r="ED190" s="11">
        <v>0.01</v>
      </c>
      <c r="EE190" s="9" t="str">
        <f>_xll.SNL.Clients.Office.Excel.Functions.SPG(EB190, "SP_COUNTRY_NAME")</f>
        <v>USA</v>
      </c>
      <c r="EF190" t="s">
        <v>1265</v>
      </c>
      <c r="EG190">
        <v>4118993</v>
      </c>
      <c r="EH190" t="s">
        <v>346</v>
      </c>
      <c r="EI190" s="11">
        <v>0.02</v>
      </c>
      <c r="EJ190" s="9" t="str">
        <f>_xll.SNL.Clients.Office.Excel.Functions.SPG(EG190, "SP_COUNTRY_NAME")</f>
        <v>USA</v>
      </c>
      <c r="EO190" s="9" t="str">
        <f>_xll.SNL.Clients.Office.Excel.Functions.SPG(EL190, "SP_COUNTRY_NAME")</f>
        <v>#INVALID COMPANY ID</v>
      </c>
      <c r="ET190" s="9" t="str">
        <f>_xll.SNL.Clients.Office.Excel.Functions.SPG(EQ190, "SP_COUNTRY_NAME")</f>
        <v>#INVALID COMPANY ID</v>
      </c>
      <c r="EY190" s="9" t="str">
        <f>_xll.SNL.Clients.Office.Excel.Functions.SPG(EV190, "SP_COUNTRY_NAME")</f>
        <v>#INVALID COMPANY ID</v>
      </c>
      <c r="FD190" s="9" t="str">
        <f>_xll.SNL.Clients.Office.Excel.Functions.SPG(FA190, "SP_COUNTRY_NAME")</f>
        <v>#INVALID COMPANY ID</v>
      </c>
      <c r="FI190" s="9" t="str">
        <f>_xll.SNL.Clients.Office.Excel.Functions.SPG(FF190, "SP_COUNTRY_NAME")</f>
        <v>#INVALID COMPANY ID</v>
      </c>
      <c r="FN190" s="9" t="str">
        <f>_xll.SNL.Clients.Office.Excel.Functions.SPG(FK190, "SP_COUNTRY_NAME")</f>
        <v>#INVALID COMPANY ID</v>
      </c>
      <c r="FS190" s="9" t="str">
        <f>_xll.SNL.Clients.Office.Excel.Functions.SPG(FP190, "SP_COUNTRY_NAME")</f>
        <v>#INVALID COMPANY ID</v>
      </c>
      <c r="FX190" s="9" t="str">
        <f>_xll.SNL.Clients.Office.Excel.Functions.SPG(FU190, "SP_COUNTRY_NAME")</f>
        <v>#INVALID COMPANY ID</v>
      </c>
      <c r="FY190" t="s">
        <v>1265</v>
      </c>
      <c r="FZ190">
        <v>4118993</v>
      </c>
      <c r="GA190" t="s">
        <v>346</v>
      </c>
      <c r="GB190" s="11">
        <v>0.02</v>
      </c>
      <c r="GC190" s="9" t="str">
        <f>_xll.SNL.Clients.Office.Excel.Functions.SPG(FZ190, "SP_COUNTRY_NAME")</f>
        <v>USA</v>
      </c>
      <c r="GH190" s="9" t="str">
        <f>_xll.SNL.Clients.Office.Excel.Functions.SPG(GE190, "SP_COUNTRY_NAME")</f>
        <v>#INVALID COMPANY ID</v>
      </c>
      <c r="GM190" s="9" t="str">
        <f>_xll.SNL.Clients.Office.Excel.Functions.SPG(GJ190, "SP_COUNTRY_NAME")</f>
        <v>#INVALID COMPANY ID</v>
      </c>
      <c r="GR190" s="9" t="str">
        <f>_xll.SNL.Clients.Office.Excel.Functions.SPG(GO190, "SP_COUNTRY_NAME")</f>
        <v>#INVALID COMPANY ID</v>
      </c>
      <c r="GS190" t="s">
        <v>461</v>
      </c>
      <c r="GT190">
        <v>4137912</v>
      </c>
      <c r="GU190" t="s">
        <v>346</v>
      </c>
      <c r="GV190" s="11">
        <v>0</v>
      </c>
      <c r="GW190" s="9" t="str">
        <f>_xll.SNL.Clients.Office.Excel.Functions.SPG(GT190, "SP_COUNTRY_NAME")</f>
        <v>Germany</v>
      </c>
      <c r="GX190" t="s">
        <v>460</v>
      </c>
      <c r="GY190">
        <v>4337989</v>
      </c>
      <c r="GZ190" t="s">
        <v>346</v>
      </c>
      <c r="HA190" s="11">
        <v>0.01</v>
      </c>
      <c r="HB190" s="9" t="str">
        <f>_xll.SNL.Clients.Office.Excel.Functions.SPG(GY190, "SP_COUNTRY_NAME")</f>
        <v>USA</v>
      </c>
      <c r="HG190" s="9" t="str">
        <f>_xll.SNL.Clients.Office.Excel.Functions.SPG(HD190, "SP_COUNTRY_NAME")</f>
        <v>#INVALID COMPANY ID</v>
      </c>
    </row>
    <row r="191" spans="5:215" x14ac:dyDescent="0.35">
      <c r="E191" s="9" t="str">
        <f>_xll.SNL.Clients.Office.Excel.Functions.SPG(B191, "SP_COUNTRY_NAME")</f>
        <v>#INVALID COMPANY ID</v>
      </c>
      <c r="F191" t="s">
        <v>576</v>
      </c>
      <c r="G191">
        <v>4672091</v>
      </c>
      <c r="H191" t="s">
        <v>300</v>
      </c>
      <c r="I191" s="11">
        <v>0</v>
      </c>
      <c r="J191" s="9" t="str">
        <f>_xll.SNL.Clients.Office.Excel.Functions.SPG(G191, "SP_COUNTRY_NAME")</f>
        <v>South Africa</v>
      </c>
      <c r="O191" s="9" t="str">
        <f>_xll.SNL.Clients.Office.Excel.Functions.SPG(L191, "SP_COUNTRY_NAME")</f>
        <v>#INVALID COMPANY ID</v>
      </c>
      <c r="T191" s="9" t="str">
        <f>_xll.SNL.Clients.Office.Excel.Functions.SPG(Q191, "SP_COUNTRY_NAME")</f>
        <v>#INVALID COMPANY ID</v>
      </c>
      <c r="U191" t="s">
        <v>442</v>
      </c>
      <c r="V191">
        <v>4117611</v>
      </c>
      <c r="W191" t="s">
        <v>346</v>
      </c>
      <c r="X191" s="11">
        <v>0.01</v>
      </c>
      <c r="Y191" s="9" t="str">
        <f>_xll.SNL.Clients.Office.Excel.Functions.SPG(V191, "SP_COUNTRY_NAME")</f>
        <v>USA</v>
      </c>
      <c r="AD191" s="9" t="str">
        <f>_xll.SNL.Clients.Office.Excel.Functions.SPG(AA191, "SP_COUNTRY_NAME")</f>
        <v>#INVALID COMPANY ID</v>
      </c>
      <c r="AE191" t="s">
        <v>1176</v>
      </c>
      <c r="AF191">
        <v>27786385</v>
      </c>
      <c r="AG191" t="s">
        <v>346</v>
      </c>
      <c r="AH191" s="11">
        <v>0</v>
      </c>
      <c r="AI191" s="9" t="str">
        <f>_xll.SNL.Clients.Office.Excel.Functions.SPG(AF191, "SP_COUNTRY_NAME")</f>
        <v>Germany</v>
      </c>
      <c r="AN191" s="9" t="str">
        <f>_xll.SNL.Clients.Office.Excel.Functions.SPG(AK191, "SP_COUNTRY_NAME")</f>
        <v>#INVALID COMPANY ID</v>
      </c>
      <c r="AO191" t="s">
        <v>1333</v>
      </c>
      <c r="AP191">
        <v>5871860</v>
      </c>
      <c r="AQ191" t="s">
        <v>346</v>
      </c>
      <c r="AR191" s="11">
        <v>0</v>
      </c>
      <c r="AS191" s="9" t="str">
        <f>_xll.SNL.Clients.Office.Excel.Functions.SPG(AP191, "SP_COUNTRY_NAME")</f>
        <v>South Africa</v>
      </c>
      <c r="AX191" s="9" t="str">
        <f>_xll.SNL.Clients.Office.Excel.Functions.SPG(AU191, "SP_COUNTRY_NAME")</f>
        <v>#INVALID COMPANY ID</v>
      </c>
      <c r="BC191" s="9" t="str">
        <f>_xll.SNL.Clients.Office.Excel.Functions.SPG(AZ191, "SP_COUNTRY_NAME")</f>
        <v>#INVALID COMPANY ID</v>
      </c>
      <c r="BD191" t="s">
        <v>1454</v>
      </c>
      <c r="BE191">
        <v>6708326</v>
      </c>
      <c r="BF191" t="s">
        <v>370</v>
      </c>
      <c r="BG191" s="11">
        <v>0.02</v>
      </c>
      <c r="BH191" s="9" t="str">
        <f>_xll.SNL.Clients.Office.Excel.Functions.SPG(BE191, "SP_COUNTRY_NAME")</f>
        <v>USA</v>
      </c>
      <c r="BI191" t="s">
        <v>462</v>
      </c>
      <c r="BJ191">
        <v>109872</v>
      </c>
      <c r="BK191" t="s">
        <v>346</v>
      </c>
      <c r="BL191" s="11">
        <v>0</v>
      </c>
      <c r="BM191" s="9" t="str">
        <f>_xll.SNL.Clients.Office.Excel.Functions.SPG(BJ191, "SP_COUNTRY_NAME")</f>
        <v>USA</v>
      </c>
      <c r="BN191" t="s">
        <v>533</v>
      </c>
      <c r="BO191">
        <v>4377155</v>
      </c>
      <c r="BP191" t="s">
        <v>346</v>
      </c>
      <c r="BQ191" s="11">
        <v>0</v>
      </c>
      <c r="BR191" s="9" t="str">
        <f>_xll.SNL.Clients.Office.Excel.Functions.SPG(BO191, "SP_COUNTRY_NAME")</f>
        <v>Belgium</v>
      </c>
      <c r="BS191" t="s">
        <v>983</v>
      </c>
      <c r="BT191">
        <v>4119768</v>
      </c>
      <c r="BU191" t="s">
        <v>346</v>
      </c>
      <c r="BV191" s="11">
        <v>0.01</v>
      </c>
      <c r="BW191" s="9" t="str">
        <f>_xll.SNL.Clients.Office.Excel.Functions.SPG(BT191, "SP_COUNTRY_NAME")</f>
        <v>USA</v>
      </c>
      <c r="BX191" t="s">
        <v>442</v>
      </c>
      <c r="BY191">
        <v>4117611</v>
      </c>
      <c r="BZ191" t="s">
        <v>346</v>
      </c>
      <c r="CA191" s="11">
        <v>0.01</v>
      </c>
      <c r="CB191" s="9" t="str">
        <f>_xll.SNL.Clients.Office.Excel.Functions.SPG(BY191, "SP_COUNTRY_NAME")</f>
        <v>USA</v>
      </c>
      <c r="CC191" t="s">
        <v>552</v>
      </c>
      <c r="CD191">
        <v>4026973</v>
      </c>
      <c r="CE191" t="s">
        <v>346</v>
      </c>
      <c r="CF191" s="11">
        <v>0.01</v>
      </c>
      <c r="CG191" s="9" t="str">
        <f>_xll.SNL.Clients.Office.Excel.Functions.SPG(CD191, "SP_COUNTRY_NAME")</f>
        <v>United Kingdom</v>
      </c>
      <c r="CH191" t="s">
        <v>1333</v>
      </c>
      <c r="CI191">
        <v>5871860</v>
      </c>
      <c r="CJ191" t="s">
        <v>346</v>
      </c>
      <c r="CK191" s="11">
        <v>0</v>
      </c>
      <c r="CL191" s="9" t="str">
        <f>_xll.SNL.Clients.Office.Excel.Functions.SPG(CI191, "SP_COUNTRY_NAME")</f>
        <v>South Africa</v>
      </c>
      <c r="CM191" t="s">
        <v>1901</v>
      </c>
      <c r="CN191">
        <v>4283610</v>
      </c>
      <c r="CO191" t="s">
        <v>346</v>
      </c>
      <c r="CP191" s="11">
        <v>0.01</v>
      </c>
      <c r="CQ191" s="9" t="str">
        <f>_xll.SNL.Clients.Office.Excel.Functions.SPG(CN191, "SP_COUNTRY_NAME")</f>
        <v>USA</v>
      </c>
      <c r="CV191" s="9" t="str">
        <f>_xll.SNL.Clients.Office.Excel.Functions.SPG(CS191, "SP_COUNTRY_NAME")</f>
        <v>#INVALID COMPANY ID</v>
      </c>
      <c r="DA191" s="9" t="str">
        <f>_xll.SNL.Clients.Office.Excel.Functions.SPG(CX191, "SP_COUNTRY_NAME")</f>
        <v>#INVALID COMPANY ID</v>
      </c>
      <c r="DB191" t="s">
        <v>1454</v>
      </c>
      <c r="DC191">
        <v>6708326</v>
      </c>
      <c r="DD191" t="s">
        <v>370</v>
      </c>
      <c r="DE191" s="11">
        <v>0.02</v>
      </c>
      <c r="DF191" s="9" t="str">
        <f>_xll.SNL.Clients.Office.Excel.Functions.SPG(DC191, "SP_COUNTRY_NAME")</f>
        <v>USA</v>
      </c>
      <c r="DK191" s="9" t="str">
        <f>_xll.SNL.Clients.Office.Excel.Functions.SPG(DH191, "SP_COUNTRY_NAME")</f>
        <v>#INVALID COMPANY ID</v>
      </c>
      <c r="DL191" t="s">
        <v>1454</v>
      </c>
      <c r="DM191">
        <v>6708326</v>
      </c>
      <c r="DN191" t="s">
        <v>370</v>
      </c>
      <c r="DO191" s="11">
        <v>0.02</v>
      </c>
      <c r="DP191" s="9" t="str">
        <f>_xll.SNL.Clients.Office.Excel.Functions.SPG(DM191, "SP_COUNTRY_NAME")</f>
        <v>USA</v>
      </c>
      <c r="DU191" s="9" t="str">
        <f>_xll.SNL.Clients.Office.Excel.Functions.SPG(DR191, "SP_COUNTRY_NAME")</f>
        <v>#INVALID COMPANY ID</v>
      </c>
      <c r="DZ191" s="9" t="str">
        <f>_xll.SNL.Clients.Office.Excel.Functions.SPG(DW191, "SP_COUNTRY_NAME")</f>
        <v>#INVALID COMPANY ID</v>
      </c>
      <c r="EA191" t="s">
        <v>552</v>
      </c>
      <c r="EB191">
        <v>4026973</v>
      </c>
      <c r="EC191" t="s">
        <v>346</v>
      </c>
      <c r="ED191" s="11">
        <v>0.01</v>
      </c>
      <c r="EE191" s="9" t="str">
        <f>_xll.SNL.Clients.Office.Excel.Functions.SPG(EB191, "SP_COUNTRY_NAME")</f>
        <v>United Kingdom</v>
      </c>
      <c r="EF191" t="s">
        <v>1454</v>
      </c>
      <c r="EG191">
        <v>6708326</v>
      </c>
      <c r="EH191" t="s">
        <v>370</v>
      </c>
      <c r="EI191" s="11">
        <v>0.02</v>
      </c>
      <c r="EJ191" s="9" t="str">
        <f>_xll.SNL.Clients.Office.Excel.Functions.SPG(EG191, "SP_COUNTRY_NAME")</f>
        <v>USA</v>
      </c>
      <c r="EO191" s="9" t="str">
        <f>_xll.SNL.Clients.Office.Excel.Functions.SPG(EL191, "SP_COUNTRY_NAME")</f>
        <v>#INVALID COMPANY ID</v>
      </c>
      <c r="ET191" s="9" t="str">
        <f>_xll.SNL.Clients.Office.Excel.Functions.SPG(EQ191, "SP_COUNTRY_NAME")</f>
        <v>#INVALID COMPANY ID</v>
      </c>
      <c r="EY191" s="9" t="str">
        <f>_xll.SNL.Clients.Office.Excel.Functions.SPG(EV191, "SP_COUNTRY_NAME")</f>
        <v>#INVALID COMPANY ID</v>
      </c>
      <c r="FD191" s="9" t="str">
        <f>_xll.SNL.Clients.Office.Excel.Functions.SPG(FA191, "SP_COUNTRY_NAME")</f>
        <v>#INVALID COMPANY ID</v>
      </c>
      <c r="FI191" s="9" t="str">
        <f>_xll.SNL.Clients.Office.Excel.Functions.SPG(FF191, "SP_COUNTRY_NAME")</f>
        <v>#INVALID COMPANY ID</v>
      </c>
      <c r="FN191" s="9" t="str">
        <f>_xll.SNL.Clients.Office.Excel.Functions.SPG(FK191, "SP_COUNTRY_NAME")</f>
        <v>#INVALID COMPANY ID</v>
      </c>
      <c r="FS191" s="9" t="str">
        <f>_xll.SNL.Clients.Office.Excel.Functions.SPG(FP191, "SP_COUNTRY_NAME")</f>
        <v>#INVALID COMPANY ID</v>
      </c>
      <c r="FX191" s="9" t="str">
        <f>_xll.SNL.Clients.Office.Excel.Functions.SPG(FU191, "SP_COUNTRY_NAME")</f>
        <v>#INVALID COMPANY ID</v>
      </c>
      <c r="FY191" t="s">
        <v>1454</v>
      </c>
      <c r="FZ191">
        <v>6708326</v>
      </c>
      <c r="GA191" t="s">
        <v>370</v>
      </c>
      <c r="GB191" s="11">
        <v>0.02</v>
      </c>
      <c r="GC191" s="9" t="str">
        <f>_xll.SNL.Clients.Office.Excel.Functions.SPG(FZ191, "SP_COUNTRY_NAME")</f>
        <v>USA</v>
      </c>
      <c r="GH191" s="9" t="str">
        <f>_xll.SNL.Clients.Office.Excel.Functions.SPG(GE191, "SP_COUNTRY_NAME")</f>
        <v>#INVALID COMPANY ID</v>
      </c>
      <c r="GM191" s="9" t="str">
        <f>_xll.SNL.Clients.Office.Excel.Functions.SPG(GJ191, "SP_COUNTRY_NAME")</f>
        <v>#INVALID COMPANY ID</v>
      </c>
      <c r="GR191" s="9" t="str">
        <f>_xll.SNL.Clients.Office.Excel.Functions.SPG(GO191, "SP_COUNTRY_NAME")</f>
        <v>#INVALID COMPANY ID</v>
      </c>
      <c r="GS191" t="s">
        <v>533</v>
      </c>
      <c r="GT191">
        <v>4377155</v>
      </c>
      <c r="GU191" t="s">
        <v>346</v>
      </c>
      <c r="GV191" s="11">
        <v>0</v>
      </c>
      <c r="GW191" s="9" t="str">
        <f>_xll.SNL.Clients.Office.Excel.Functions.SPG(GT191, "SP_COUNTRY_NAME")</f>
        <v>Belgium</v>
      </c>
      <c r="GX191" t="s">
        <v>552</v>
      </c>
      <c r="GY191">
        <v>4026973</v>
      </c>
      <c r="GZ191" t="s">
        <v>346</v>
      </c>
      <c r="HA191" s="11">
        <v>0.01</v>
      </c>
      <c r="HB191" s="9" t="str">
        <f>_xll.SNL.Clients.Office.Excel.Functions.SPG(GY191, "SP_COUNTRY_NAME")</f>
        <v>United Kingdom</v>
      </c>
      <c r="HG191" s="9" t="str">
        <f>_xll.SNL.Clients.Office.Excel.Functions.SPG(HD191, "SP_COUNTRY_NAME")</f>
        <v>#INVALID COMPANY ID</v>
      </c>
    </row>
    <row r="192" spans="5:215" x14ac:dyDescent="0.35">
      <c r="E192" s="9" t="str">
        <f>_xll.SNL.Clients.Office.Excel.Functions.SPG(B192, "SP_COUNTRY_NAME")</f>
        <v>#INVALID COMPANY ID</v>
      </c>
      <c r="F192" t="s">
        <v>577</v>
      </c>
      <c r="G192">
        <v>4026915</v>
      </c>
      <c r="H192" t="s">
        <v>346</v>
      </c>
      <c r="I192" s="11">
        <v>0</v>
      </c>
      <c r="J192" s="9" t="str">
        <f>_xll.SNL.Clients.Office.Excel.Functions.SPG(G192, "SP_COUNTRY_NAME")</f>
        <v>USA</v>
      </c>
      <c r="O192" s="9" t="str">
        <f>_xll.SNL.Clients.Office.Excel.Functions.SPG(L192, "SP_COUNTRY_NAME")</f>
        <v>#INVALID COMPANY ID</v>
      </c>
      <c r="T192" s="9" t="str">
        <f>_xll.SNL.Clients.Office.Excel.Functions.SPG(Q192, "SP_COUNTRY_NAME")</f>
        <v>#INVALID COMPANY ID</v>
      </c>
      <c r="U192" t="s">
        <v>786</v>
      </c>
      <c r="V192">
        <v>4954984</v>
      </c>
      <c r="W192" t="s">
        <v>346</v>
      </c>
      <c r="X192" s="11">
        <v>0.01</v>
      </c>
      <c r="Y192" s="9" t="str">
        <f>_xll.SNL.Clients.Office.Excel.Functions.SPG(V192, "SP_COUNTRY_NAME")</f>
        <v>China</v>
      </c>
      <c r="AD192" s="9" t="str">
        <f>_xll.SNL.Clients.Office.Excel.Functions.SPG(AA192, "SP_COUNTRY_NAME")</f>
        <v>#INVALID COMPANY ID</v>
      </c>
      <c r="AE192" t="s">
        <v>1177</v>
      </c>
      <c r="AF192">
        <v>13006872</v>
      </c>
      <c r="AG192" t="s">
        <v>364</v>
      </c>
      <c r="AH192" s="11">
        <v>0</v>
      </c>
      <c r="AI192" s="9" t="str">
        <f>_xll.SNL.Clients.Office.Excel.Functions.SPG(AF192, "SP_COUNTRY_NAME")</f>
        <v>USA</v>
      </c>
      <c r="AN192" s="9" t="str">
        <f>_xll.SNL.Clients.Office.Excel.Functions.SPG(AK192, "SP_COUNTRY_NAME")</f>
        <v>#INVALID COMPANY ID</v>
      </c>
      <c r="AO192" t="s">
        <v>509</v>
      </c>
      <c r="AP192">
        <v>4226520</v>
      </c>
      <c r="AQ192" t="s">
        <v>346</v>
      </c>
      <c r="AR192" s="11">
        <v>0</v>
      </c>
      <c r="AS192" s="9" t="str">
        <f>_xll.SNL.Clients.Office.Excel.Functions.SPG(AP192, "SP_COUNTRY_NAME")</f>
        <v>Canada</v>
      </c>
      <c r="AX192" s="9" t="str">
        <f>_xll.SNL.Clients.Office.Excel.Functions.SPG(AU192, "SP_COUNTRY_NAME")</f>
        <v>#INVALID COMPANY ID</v>
      </c>
      <c r="BC192" s="9" t="str">
        <f>_xll.SNL.Clients.Office.Excel.Functions.SPG(AZ192, "SP_COUNTRY_NAME")</f>
        <v>#INVALID COMPANY ID</v>
      </c>
      <c r="BD192" t="s">
        <v>1261</v>
      </c>
      <c r="BE192">
        <v>4139896</v>
      </c>
      <c r="BF192" t="s">
        <v>346</v>
      </c>
      <c r="BG192" s="11">
        <v>0.02</v>
      </c>
      <c r="BH192" s="9" t="str">
        <f>_xll.SNL.Clients.Office.Excel.Functions.SPG(BE192, "SP_COUNTRY_NAME")</f>
        <v>South Africa</v>
      </c>
      <c r="BI192" t="s">
        <v>500</v>
      </c>
      <c r="BJ192">
        <v>4048185</v>
      </c>
      <c r="BK192" t="s">
        <v>346</v>
      </c>
      <c r="BL192" s="11">
        <v>0</v>
      </c>
      <c r="BM192" s="9" t="str">
        <f>_xll.SNL.Clients.Office.Excel.Functions.SPG(BJ192, "SP_COUNTRY_NAME")</f>
        <v>USA</v>
      </c>
      <c r="BN192" t="s">
        <v>419</v>
      </c>
      <c r="BO192">
        <v>4338202</v>
      </c>
      <c r="BP192" t="s">
        <v>346</v>
      </c>
      <c r="BQ192" s="11">
        <v>0</v>
      </c>
      <c r="BR192" s="9" t="str">
        <f>_xll.SNL.Clients.Office.Excel.Functions.SPG(BO192, "SP_COUNTRY_NAME")</f>
        <v>USA</v>
      </c>
      <c r="BS192" t="s">
        <v>772</v>
      </c>
      <c r="BT192">
        <v>4137684</v>
      </c>
      <c r="BU192" t="s">
        <v>300</v>
      </c>
      <c r="BV192" s="11">
        <v>0.01</v>
      </c>
      <c r="BW192" s="9" t="str">
        <f>_xll.SNL.Clients.Office.Excel.Functions.SPG(BT192, "SP_COUNTRY_NAME")</f>
        <v>China</v>
      </c>
      <c r="BX192" t="s">
        <v>786</v>
      </c>
      <c r="BY192">
        <v>4954984</v>
      </c>
      <c r="BZ192" t="s">
        <v>346</v>
      </c>
      <c r="CA192" s="11">
        <v>0.01</v>
      </c>
      <c r="CB192" s="9" t="str">
        <f>_xll.SNL.Clients.Office.Excel.Functions.SPG(BY192, "SP_COUNTRY_NAME")</f>
        <v>China</v>
      </c>
      <c r="CC192" t="s">
        <v>1684</v>
      </c>
      <c r="CD192">
        <v>5838281</v>
      </c>
      <c r="CE192" t="s">
        <v>364</v>
      </c>
      <c r="CF192" s="11">
        <v>0.01</v>
      </c>
      <c r="CG192" s="9" t="str">
        <f>_xll.SNL.Clients.Office.Excel.Functions.SPG(CD192, "SP_COUNTRY_NAME")</f>
        <v>United Kingdom</v>
      </c>
      <c r="CH192" t="s">
        <v>509</v>
      </c>
      <c r="CI192">
        <v>4226520</v>
      </c>
      <c r="CJ192" t="s">
        <v>346</v>
      </c>
      <c r="CK192" s="11">
        <v>0</v>
      </c>
      <c r="CL192" s="9" t="str">
        <f>_xll.SNL.Clients.Office.Excel.Functions.SPG(CI192, "SP_COUNTRY_NAME")</f>
        <v>Canada</v>
      </c>
      <c r="CM192" t="s">
        <v>1988</v>
      </c>
      <c r="CN192">
        <v>4227089</v>
      </c>
      <c r="CO192" t="s">
        <v>346</v>
      </c>
      <c r="CP192" s="11">
        <v>0.01</v>
      </c>
      <c r="CQ192" s="9" t="str">
        <f>_xll.SNL.Clients.Office.Excel.Functions.SPG(CN192, "SP_COUNTRY_NAME")</f>
        <v>Switzerland</v>
      </c>
      <c r="CV192" s="9" t="str">
        <f>_xll.SNL.Clients.Office.Excel.Functions.SPG(CS192, "SP_COUNTRY_NAME")</f>
        <v>#INVALID COMPANY ID</v>
      </c>
      <c r="DA192" s="9" t="str">
        <f>_xll.SNL.Clients.Office.Excel.Functions.SPG(CX192, "SP_COUNTRY_NAME")</f>
        <v>#INVALID COMPANY ID</v>
      </c>
      <c r="DB192" t="s">
        <v>1261</v>
      </c>
      <c r="DC192">
        <v>4139896</v>
      </c>
      <c r="DD192" t="s">
        <v>346</v>
      </c>
      <c r="DE192" s="11">
        <v>0.02</v>
      </c>
      <c r="DF192" s="9" t="str">
        <f>_xll.SNL.Clients.Office.Excel.Functions.SPG(DC192, "SP_COUNTRY_NAME")</f>
        <v>South Africa</v>
      </c>
      <c r="DK192" s="9" t="str">
        <f>_xll.SNL.Clients.Office.Excel.Functions.SPG(DH192, "SP_COUNTRY_NAME")</f>
        <v>#INVALID COMPANY ID</v>
      </c>
      <c r="DL192" t="s">
        <v>1261</v>
      </c>
      <c r="DM192">
        <v>4139896</v>
      </c>
      <c r="DN192" t="s">
        <v>346</v>
      </c>
      <c r="DO192" s="11">
        <v>0.02</v>
      </c>
      <c r="DP192" s="9" t="str">
        <f>_xll.SNL.Clients.Office.Excel.Functions.SPG(DM192, "SP_COUNTRY_NAME")</f>
        <v>South Africa</v>
      </c>
      <c r="DU192" s="9" t="str">
        <f>_xll.SNL.Clients.Office.Excel.Functions.SPG(DR192, "SP_COUNTRY_NAME")</f>
        <v>#INVALID COMPANY ID</v>
      </c>
      <c r="DZ192" s="9" t="str">
        <f>_xll.SNL.Clients.Office.Excel.Functions.SPG(DW192, "SP_COUNTRY_NAME")</f>
        <v>#INVALID COMPANY ID</v>
      </c>
      <c r="EA192" t="s">
        <v>1684</v>
      </c>
      <c r="EB192">
        <v>5838281</v>
      </c>
      <c r="EC192" t="s">
        <v>364</v>
      </c>
      <c r="ED192" s="11">
        <v>0.01</v>
      </c>
      <c r="EE192" s="9" t="str">
        <f>_xll.SNL.Clients.Office.Excel.Functions.SPG(EB192, "SP_COUNTRY_NAME")</f>
        <v>United Kingdom</v>
      </c>
      <c r="EF192" t="s">
        <v>1261</v>
      </c>
      <c r="EG192">
        <v>4139896</v>
      </c>
      <c r="EH192" t="s">
        <v>346</v>
      </c>
      <c r="EI192" s="11">
        <v>0.02</v>
      </c>
      <c r="EJ192" s="9" t="str">
        <f>_xll.SNL.Clients.Office.Excel.Functions.SPG(EG192, "SP_COUNTRY_NAME")</f>
        <v>South Africa</v>
      </c>
      <c r="EO192" s="9" t="str">
        <f>_xll.SNL.Clients.Office.Excel.Functions.SPG(EL192, "SP_COUNTRY_NAME")</f>
        <v>#INVALID COMPANY ID</v>
      </c>
      <c r="ET192" s="9" t="str">
        <f>_xll.SNL.Clients.Office.Excel.Functions.SPG(EQ192, "SP_COUNTRY_NAME")</f>
        <v>#INVALID COMPANY ID</v>
      </c>
      <c r="EY192" s="9" t="str">
        <f>_xll.SNL.Clients.Office.Excel.Functions.SPG(EV192, "SP_COUNTRY_NAME")</f>
        <v>#INVALID COMPANY ID</v>
      </c>
      <c r="FD192" s="9" t="str">
        <f>_xll.SNL.Clients.Office.Excel.Functions.SPG(FA192, "SP_COUNTRY_NAME")</f>
        <v>#INVALID COMPANY ID</v>
      </c>
      <c r="FI192" s="9" t="str">
        <f>_xll.SNL.Clients.Office.Excel.Functions.SPG(FF192, "SP_COUNTRY_NAME")</f>
        <v>#INVALID COMPANY ID</v>
      </c>
      <c r="FN192" s="9" t="str">
        <f>_xll.SNL.Clients.Office.Excel.Functions.SPG(FK192, "SP_COUNTRY_NAME")</f>
        <v>#INVALID COMPANY ID</v>
      </c>
      <c r="FS192" s="9" t="str">
        <f>_xll.SNL.Clients.Office.Excel.Functions.SPG(FP192, "SP_COUNTRY_NAME")</f>
        <v>#INVALID COMPANY ID</v>
      </c>
      <c r="FX192" s="9" t="str">
        <f>_xll.SNL.Clients.Office.Excel.Functions.SPG(FU192, "SP_COUNTRY_NAME")</f>
        <v>#INVALID COMPANY ID</v>
      </c>
      <c r="FY192" t="s">
        <v>1261</v>
      </c>
      <c r="FZ192">
        <v>4139896</v>
      </c>
      <c r="GA192" t="s">
        <v>346</v>
      </c>
      <c r="GB192" s="11">
        <v>0.02</v>
      </c>
      <c r="GC192" s="9" t="str">
        <f>_xll.SNL.Clients.Office.Excel.Functions.SPG(FZ192, "SP_COUNTRY_NAME")</f>
        <v>South Africa</v>
      </c>
      <c r="GH192" s="9" t="str">
        <f>_xll.SNL.Clients.Office.Excel.Functions.SPG(GE192, "SP_COUNTRY_NAME")</f>
        <v>#INVALID COMPANY ID</v>
      </c>
      <c r="GM192" s="9" t="str">
        <f>_xll.SNL.Clients.Office.Excel.Functions.SPG(GJ192, "SP_COUNTRY_NAME")</f>
        <v>#INVALID COMPANY ID</v>
      </c>
      <c r="GR192" s="9" t="str">
        <f>_xll.SNL.Clients.Office.Excel.Functions.SPG(GO192, "SP_COUNTRY_NAME")</f>
        <v>#INVALID COMPANY ID</v>
      </c>
      <c r="GS192" t="s">
        <v>419</v>
      </c>
      <c r="GT192">
        <v>4338202</v>
      </c>
      <c r="GU192" t="s">
        <v>346</v>
      </c>
      <c r="GV192" s="11">
        <v>0</v>
      </c>
      <c r="GW192" s="9" t="str">
        <f>_xll.SNL.Clients.Office.Excel.Functions.SPG(GT192, "SP_COUNTRY_NAME")</f>
        <v>USA</v>
      </c>
      <c r="GX192" t="s">
        <v>1684</v>
      </c>
      <c r="GY192">
        <v>5838281</v>
      </c>
      <c r="GZ192" t="s">
        <v>364</v>
      </c>
      <c r="HA192" s="11">
        <v>0.01</v>
      </c>
      <c r="HB192" s="9" t="str">
        <f>_xll.SNL.Clients.Office.Excel.Functions.SPG(GY192, "SP_COUNTRY_NAME")</f>
        <v>United Kingdom</v>
      </c>
      <c r="HG192" s="9" t="str">
        <f>_xll.SNL.Clients.Office.Excel.Functions.SPG(HD192, "SP_COUNTRY_NAME")</f>
        <v>#INVALID COMPANY ID</v>
      </c>
    </row>
    <row r="193" spans="5:215" x14ac:dyDescent="0.35">
      <c r="E193" s="9" t="str">
        <f>_xll.SNL.Clients.Office.Excel.Functions.SPG(B193, "SP_COUNTRY_NAME")</f>
        <v>#INVALID COMPANY ID</v>
      </c>
      <c r="F193" t="s">
        <v>578</v>
      </c>
      <c r="G193">
        <v>5793585</v>
      </c>
      <c r="H193" t="s">
        <v>346</v>
      </c>
      <c r="I193" s="11">
        <v>0</v>
      </c>
      <c r="J193" s="9" t="str">
        <f>_xll.SNL.Clients.Office.Excel.Functions.SPG(G193, "SP_COUNTRY_NAME")</f>
        <v>Luxembourg</v>
      </c>
      <c r="O193" s="9" t="str">
        <f>_xll.SNL.Clients.Office.Excel.Functions.SPG(L193, "SP_COUNTRY_NAME")</f>
        <v>#INVALID COMPANY ID</v>
      </c>
      <c r="T193" s="9" t="str">
        <f>_xll.SNL.Clients.Office.Excel.Functions.SPG(Q193, "SP_COUNTRY_NAME")</f>
        <v>#INVALID COMPANY ID</v>
      </c>
      <c r="U193" t="s">
        <v>787</v>
      </c>
      <c r="V193" t="s">
        <v>300</v>
      </c>
      <c r="W193" t="s">
        <v>361</v>
      </c>
      <c r="X193" s="11">
        <v>0.01</v>
      </c>
      <c r="Y193" s="9" t="str">
        <f>_xll.SNL.Clients.Office.Excel.Functions.SPG(V193, "SP_COUNTRY_NAME")</f>
        <v>China</v>
      </c>
      <c r="AD193" s="9" t="str">
        <f>_xll.SNL.Clients.Office.Excel.Functions.SPG(AA193, "SP_COUNTRY_NAME")</f>
        <v>#INVALID COMPANY ID</v>
      </c>
      <c r="AE193" t="s">
        <v>602</v>
      </c>
      <c r="AF193">
        <v>4378744</v>
      </c>
      <c r="AG193" t="s">
        <v>346</v>
      </c>
      <c r="AH193" s="11">
        <v>0</v>
      </c>
      <c r="AI193" s="9" t="str">
        <f>_xll.SNL.Clients.Office.Excel.Functions.SPG(AF193, "SP_COUNTRY_NAME")</f>
        <v>Poland</v>
      </c>
      <c r="AN193" s="9" t="str">
        <f>_xll.SNL.Clients.Office.Excel.Functions.SPG(AK193, "SP_COUNTRY_NAME")</f>
        <v>#INVALID COMPANY ID</v>
      </c>
      <c r="AO193" t="s">
        <v>1334</v>
      </c>
      <c r="AP193">
        <v>4239667</v>
      </c>
      <c r="AQ193" t="s">
        <v>364</v>
      </c>
      <c r="AR193" s="11">
        <v>0</v>
      </c>
      <c r="AS193" s="9" t="str">
        <f>_xll.SNL.Clients.Office.Excel.Functions.SPG(AP193, "SP_COUNTRY_NAME")</f>
        <v>South Africa</v>
      </c>
      <c r="AX193" s="9" t="str">
        <f>_xll.SNL.Clients.Office.Excel.Functions.SPG(AU193, "SP_COUNTRY_NAME")</f>
        <v>#INVALID COMPANY ID</v>
      </c>
      <c r="BC193" s="9" t="str">
        <f>_xll.SNL.Clients.Office.Excel.Functions.SPG(AZ193, "SP_COUNTRY_NAME")</f>
        <v>#INVALID COMPANY ID</v>
      </c>
      <c r="BD193" t="s">
        <v>564</v>
      </c>
      <c r="BE193">
        <v>4137693</v>
      </c>
      <c r="BF193" t="s">
        <v>346</v>
      </c>
      <c r="BG193" s="11">
        <v>0.02</v>
      </c>
      <c r="BH193" s="9" t="str">
        <f>_xll.SNL.Clients.Office.Excel.Functions.SPG(BE193, "SP_COUNTRY_NAME")</f>
        <v>Italy</v>
      </c>
      <c r="BI193" t="s">
        <v>578</v>
      </c>
      <c r="BJ193">
        <v>5793585</v>
      </c>
      <c r="BK193" t="s">
        <v>346</v>
      </c>
      <c r="BL193" s="11">
        <v>0</v>
      </c>
      <c r="BM193" s="9" t="str">
        <f>_xll.SNL.Clients.Office.Excel.Functions.SPG(BJ193, "SP_COUNTRY_NAME")</f>
        <v>Luxembourg</v>
      </c>
      <c r="BN193" t="s">
        <v>821</v>
      </c>
      <c r="BO193">
        <v>4240614</v>
      </c>
      <c r="BP193" t="s">
        <v>346</v>
      </c>
      <c r="BQ193" s="11">
        <v>0</v>
      </c>
      <c r="BR193" s="9" t="str">
        <f>_xll.SNL.Clients.Office.Excel.Functions.SPG(BO193, "SP_COUNTRY_NAME")</f>
        <v>Taiwan</v>
      </c>
      <c r="BS193" t="s">
        <v>984</v>
      </c>
      <c r="BT193">
        <v>4113062</v>
      </c>
      <c r="BU193" t="s">
        <v>346</v>
      </c>
      <c r="BV193" s="11">
        <v>0.01</v>
      </c>
      <c r="BW193" s="9" t="str">
        <f>_xll.SNL.Clients.Office.Excel.Functions.SPG(BT193, "SP_COUNTRY_NAME")</f>
        <v>USA</v>
      </c>
      <c r="BX193" t="s">
        <v>787</v>
      </c>
      <c r="BY193" t="s">
        <v>300</v>
      </c>
      <c r="BZ193" t="s">
        <v>361</v>
      </c>
      <c r="CA193" s="11">
        <v>0.01</v>
      </c>
      <c r="CB193" s="9" t="str">
        <f>_xll.SNL.Clients.Office.Excel.Functions.SPG(BY193, "SP_COUNTRY_NAME")</f>
        <v>China</v>
      </c>
      <c r="CC193" t="s">
        <v>1685</v>
      </c>
      <c r="CD193">
        <v>4383268</v>
      </c>
      <c r="CE193" t="s">
        <v>366</v>
      </c>
      <c r="CF193" s="11">
        <v>0.01</v>
      </c>
      <c r="CG193" s="9" t="str">
        <f>_xll.SNL.Clients.Office.Excel.Functions.SPG(CD193, "SP_COUNTRY_NAME")</f>
        <v>USA</v>
      </c>
      <c r="CH193" t="s">
        <v>1334</v>
      </c>
      <c r="CI193">
        <v>4239667</v>
      </c>
      <c r="CJ193" t="s">
        <v>364</v>
      </c>
      <c r="CK193" s="11">
        <v>0</v>
      </c>
      <c r="CL193" s="9" t="str">
        <f>_xll.SNL.Clients.Office.Excel.Functions.SPG(CI193, "SP_COUNTRY_NAME")</f>
        <v>South Africa</v>
      </c>
      <c r="CM193" t="s">
        <v>468</v>
      </c>
      <c r="CN193">
        <v>4556191</v>
      </c>
      <c r="CO193" t="s">
        <v>346</v>
      </c>
      <c r="CP193" s="11">
        <v>0.01</v>
      </c>
      <c r="CQ193" s="9" t="str">
        <f>_xll.SNL.Clients.Office.Excel.Functions.SPG(CN193, "SP_COUNTRY_NAME")</f>
        <v>USA</v>
      </c>
      <c r="CV193" s="9" t="str">
        <f>_xll.SNL.Clients.Office.Excel.Functions.SPG(CS193, "SP_COUNTRY_NAME")</f>
        <v>#INVALID COMPANY ID</v>
      </c>
      <c r="DA193" s="9" t="str">
        <f>_xll.SNL.Clients.Office.Excel.Functions.SPG(CX193, "SP_COUNTRY_NAME")</f>
        <v>#INVALID COMPANY ID</v>
      </c>
      <c r="DB193" t="s">
        <v>564</v>
      </c>
      <c r="DC193">
        <v>4137693</v>
      </c>
      <c r="DD193" t="s">
        <v>346</v>
      </c>
      <c r="DE193" s="11">
        <v>0.02</v>
      </c>
      <c r="DF193" s="9" t="str">
        <f>_xll.SNL.Clients.Office.Excel.Functions.SPG(DC193, "SP_COUNTRY_NAME")</f>
        <v>Italy</v>
      </c>
      <c r="DK193" s="9" t="str">
        <f>_xll.SNL.Clients.Office.Excel.Functions.SPG(DH193, "SP_COUNTRY_NAME")</f>
        <v>#INVALID COMPANY ID</v>
      </c>
      <c r="DL193" t="s">
        <v>564</v>
      </c>
      <c r="DM193">
        <v>4137693</v>
      </c>
      <c r="DN193" t="s">
        <v>346</v>
      </c>
      <c r="DO193" s="11">
        <v>0.02</v>
      </c>
      <c r="DP193" s="9" t="str">
        <f>_xll.SNL.Clients.Office.Excel.Functions.SPG(DM193, "SP_COUNTRY_NAME")</f>
        <v>Italy</v>
      </c>
      <c r="DU193" s="9" t="str">
        <f>_xll.SNL.Clients.Office.Excel.Functions.SPG(DR193, "SP_COUNTRY_NAME")</f>
        <v>#INVALID COMPANY ID</v>
      </c>
      <c r="DZ193" s="9" t="str">
        <f>_xll.SNL.Clients.Office.Excel.Functions.SPG(DW193, "SP_COUNTRY_NAME")</f>
        <v>#INVALID COMPANY ID</v>
      </c>
      <c r="EA193" t="s">
        <v>1685</v>
      </c>
      <c r="EB193">
        <v>4383268</v>
      </c>
      <c r="EC193" t="s">
        <v>366</v>
      </c>
      <c r="ED193" s="11">
        <v>0.01</v>
      </c>
      <c r="EE193" s="9" t="str">
        <f>_xll.SNL.Clients.Office.Excel.Functions.SPG(EB193, "SP_COUNTRY_NAME")</f>
        <v>USA</v>
      </c>
      <c r="EF193" t="s">
        <v>564</v>
      </c>
      <c r="EG193">
        <v>4137693</v>
      </c>
      <c r="EH193" t="s">
        <v>346</v>
      </c>
      <c r="EI193" s="11">
        <v>0.02</v>
      </c>
      <c r="EJ193" s="9" t="str">
        <f>_xll.SNL.Clients.Office.Excel.Functions.SPG(EG193, "SP_COUNTRY_NAME")</f>
        <v>Italy</v>
      </c>
      <c r="EO193" s="9" t="str">
        <f>_xll.SNL.Clients.Office.Excel.Functions.SPG(EL193, "SP_COUNTRY_NAME")</f>
        <v>#INVALID COMPANY ID</v>
      </c>
      <c r="ET193" s="9" t="str">
        <f>_xll.SNL.Clients.Office.Excel.Functions.SPG(EQ193, "SP_COUNTRY_NAME")</f>
        <v>#INVALID COMPANY ID</v>
      </c>
      <c r="EY193" s="9" t="str">
        <f>_xll.SNL.Clients.Office.Excel.Functions.SPG(EV193, "SP_COUNTRY_NAME")</f>
        <v>#INVALID COMPANY ID</v>
      </c>
      <c r="FD193" s="9" t="str">
        <f>_xll.SNL.Clients.Office.Excel.Functions.SPG(FA193, "SP_COUNTRY_NAME")</f>
        <v>#INVALID COMPANY ID</v>
      </c>
      <c r="FI193" s="9" t="str">
        <f>_xll.SNL.Clients.Office.Excel.Functions.SPG(FF193, "SP_COUNTRY_NAME")</f>
        <v>#INVALID COMPANY ID</v>
      </c>
      <c r="FN193" s="9" t="str">
        <f>_xll.SNL.Clients.Office.Excel.Functions.SPG(FK193, "SP_COUNTRY_NAME")</f>
        <v>#INVALID COMPANY ID</v>
      </c>
      <c r="FS193" s="9" t="str">
        <f>_xll.SNL.Clients.Office.Excel.Functions.SPG(FP193, "SP_COUNTRY_NAME")</f>
        <v>#INVALID COMPANY ID</v>
      </c>
      <c r="FX193" s="9" t="str">
        <f>_xll.SNL.Clients.Office.Excel.Functions.SPG(FU193, "SP_COUNTRY_NAME")</f>
        <v>#INVALID COMPANY ID</v>
      </c>
      <c r="FY193" t="s">
        <v>564</v>
      </c>
      <c r="FZ193">
        <v>4137693</v>
      </c>
      <c r="GA193" t="s">
        <v>346</v>
      </c>
      <c r="GB193" s="11">
        <v>0.02</v>
      </c>
      <c r="GC193" s="9" t="str">
        <f>_xll.SNL.Clients.Office.Excel.Functions.SPG(FZ193, "SP_COUNTRY_NAME")</f>
        <v>Italy</v>
      </c>
      <c r="GH193" s="9" t="str">
        <f>_xll.SNL.Clients.Office.Excel.Functions.SPG(GE193, "SP_COUNTRY_NAME")</f>
        <v>#INVALID COMPANY ID</v>
      </c>
      <c r="GM193" s="9" t="str">
        <f>_xll.SNL.Clients.Office.Excel.Functions.SPG(GJ193, "SP_COUNTRY_NAME")</f>
        <v>#INVALID COMPANY ID</v>
      </c>
      <c r="GR193" s="9" t="str">
        <f>_xll.SNL.Clients.Office.Excel.Functions.SPG(GO193, "SP_COUNTRY_NAME")</f>
        <v>#INVALID COMPANY ID</v>
      </c>
      <c r="GS193" t="s">
        <v>821</v>
      </c>
      <c r="GT193">
        <v>4240614</v>
      </c>
      <c r="GU193" t="s">
        <v>346</v>
      </c>
      <c r="GV193" s="11">
        <v>0</v>
      </c>
      <c r="GW193" s="9" t="str">
        <f>_xll.SNL.Clients.Office.Excel.Functions.SPG(GT193, "SP_COUNTRY_NAME")</f>
        <v>Taiwan</v>
      </c>
      <c r="GX193" t="s">
        <v>1685</v>
      </c>
      <c r="GY193">
        <v>4383268</v>
      </c>
      <c r="GZ193" t="s">
        <v>366</v>
      </c>
      <c r="HA193" s="11">
        <v>0.01</v>
      </c>
      <c r="HB193" s="9" t="str">
        <f>_xll.SNL.Clients.Office.Excel.Functions.SPG(GY193, "SP_COUNTRY_NAME")</f>
        <v>USA</v>
      </c>
      <c r="HG193" s="9" t="str">
        <f>_xll.SNL.Clients.Office.Excel.Functions.SPG(HD193, "SP_COUNTRY_NAME")</f>
        <v>#INVALID COMPANY ID</v>
      </c>
    </row>
    <row r="194" spans="5:215" x14ac:dyDescent="0.35">
      <c r="E194" s="9" t="str">
        <f>_xll.SNL.Clients.Office.Excel.Functions.SPG(B194, "SP_COUNTRY_NAME")</f>
        <v>#INVALID COMPANY ID</v>
      </c>
      <c r="F194" t="s">
        <v>579</v>
      </c>
      <c r="G194">
        <v>5842097</v>
      </c>
      <c r="H194" t="s">
        <v>346</v>
      </c>
      <c r="I194" s="11">
        <v>0</v>
      </c>
      <c r="J194" s="9" t="str">
        <f>_xll.SNL.Clients.Office.Excel.Functions.SPG(G194, "SP_COUNTRY_NAME")</f>
        <v>Italy</v>
      </c>
      <c r="O194" s="9" t="str">
        <f>_xll.SNL.Clients.Office.Excel.Functions.SPG(L194, "SP_COUNTRY_NAME")</f>
        <v>#INVALID COMPANY ID</v>
      </c>
      <c r="T194" s="9" t="str">
        <f>_xll.SNL.Clients.Office.Excel.Functions.SPG(Q194, "SP_COUNTRY_NAME")</f>
        <v>#INVALID COMPANY ID</v>
      </c>
      <c r="U194" t="s">
        <v>788</v>
      </c>
      <c r="V194">
        <v>4592065</v>
      </c>
      <c r="W194" t="s">
        <v>346</v>
      </c>
      <c r="X194" s="11">
        <v>0.01</v>
      </c>
      <c r="Y194" s="9" t="str">
        <f>_xll.SNL.Clients.Office.Excel.Functions.SPG(V194, "SP_COUNTRY_NAME")</f>
        <v>China</v>
      </c>
      <c r="AD194" s="9" t="str">
        <f>_xll.SNL.Clients.Office.Excel.Functions.SPG(AA194, "SP_COUNTRY_NAME")</f>
        <v>#INVALID COMPANY ID</v>
      </c>
      <c r="AE194" t="s">
        <v>1178</v>
      </c>
      <c r="AF194">
        <v>5823212</v>
      </c>
      <c r="AG194" t="s">
        <v>346</v>
      </c>
      <c r="AH194" s="11">
        <v>0</v>
      </c>
      <c r="AI194" s="9" t="str">
        <f>_xll.SNL.Clients.Office.Excel.Functions.SPG(AF194, "SP_COUNTRY_NAME")</f>
        <v>#INVALID COMPANY ID</v>
      </c>
      <c r="AN194" s="9" t="str">
        <f>_xll.SNL.Clients.Office.Excel.Functions.SPG(AK194, "SP_COUNTRY_NAME")</f>
        <v>#INVALID COMPANY ID</v>
      </c>
      <c r="AO194" t="s">
        <v>1335</v>
      </c>
      <c r="AP194">
        <v>10308257</v>
      </c>
      <c r="AQ194" t="s">
        <v>364</v>
      </c>
      <c r="AR194" s="11">
        <v>0</v>
      </c>
      <c r="AS194" s="9" t="str">
        <f>_xll.SNL.Clients.Office.Excel.Functions.SPG(AP194, "SP_COUNTRY_NAME")</f>
        <v>South Africa</v>
      </c>
      <c r="AX194" s="9" t="str">
        <f>_xll.SNL.Clients.Office.Excel.Functions.SPG(AU194, "SP_COUNTRY_NAME")</f>
        <v>#INVALID COMPANY ID</v>
      </c>
      <c r="BC194" s="9" t="str">
        <f>_xll.SNL.Clients.Office.Excel.Functions.SPG(AZ194, "SP_COUNTRY_NAME")</f>
        <v>#INVALID COMPANY ID</v>
      </c>
      <c r="BD194" t="s">
        <v>1455</v>
      </c>
      <c r="BE194">
        <v>4064277</v>
      </c>
      <c r="BF194" t="s">
        <v>346</v>
      </c>
      <c r="BG194" s="11">
        <v>0.02</v>
      </c>
      <c r="BH194" s="9" t="str">
        <f>_xll.SNL.Clients.Office.Excel.Functions.SPG(BE194, "SP_COUNTRY_NAME")</f>
        <v>USA</v>
      </c>
      <c r="BI194" t="s">
        <v>412</v>
      </c>
      <c r="BJ194">
        <v>109687</v>
      </c>
      <c r="BK194" t="s">
        <v>346</v>
      </c>
      <c r="BL194" s="11">
        <v>0</v>
      </c>
      <c r="BM194" s="9" t="str">
        <f>_xll.SNL.Clients.Office.Excel.Functions.SPG(BJ194, "SP_COUNTRY_NAME")</f>
        <v>USA</v>
      </c>
      <c r="BN194" t="s">
        <v>811</v>
      </c>
      <c r="BO194">
        <v>4240414</v>
      </c>
      <c r="BP194" t="s">
        <v>346</v>
      </c>
      <c r="BQ194" s="11">
        <v>0</v>
      </c>
      <c r="BR194" s="9" t="str">
        <f>_xll.SNL.Clients.Office.Excel.Functions.SPG(BO194, "SP_COUNTRY_NAME")</f>
        <v>Taiwan</v>
      </c>
      <c r="BS194" t="s">
        <v>752</v>
      </c>
      <c r="BT194">
        <v>111272</v>
      </c>
      <c r="BU194" t="s">
        <v>346</v>
      </c>
      <c r="BV194" s="11">
        <v>0.01</v>
      </c>
      <c r="BW194" s="9" t="str">
        <f>_xll.SNL.Clients.Office.Excel.Functions.SPG(BT194, "SP_COUNTRY_NAME")</f>
        <v>United Kingdom</v>
      </c>
      <c r="BX194" t="s">
        <v>788</v>
      </c>
      <c r="BY194">
        <v>4592065</v>
      </c>
      <c r="BZ194" t="s">
        <v>346</v>
      </c>
      <c r="CA194" s="11">
        <v>0.01</v>
      </c>
      <c r="CB194" s="9" t="str">
        <f>_xll.SNL.Clients.Office.Excel.Functions.SPG(BY194, "SP_COUNTRY_NAME")</f>
        <v>China</v>
      </c>
      <c r="CC194" t="s">
        <v>1082</v>
      </c>
      <c r="CD194">
        <v>4425813</v>
      </c>
      <c r="CE194" t="s">
        <v>346</v>
      </c>
      <c r="CF194" s="11">
        <v>0.01</v>
      </c>
      <c r="CG194" s="9" t="str">
        <f>_xll.SNL.Clients.Office.Excel.Functions.SPG(CD194, "SP_COUNTRY_NAME")</f>
        <v>Germany</v>
      </c>
      <c r="CH194" t="s">
        <v>1335</v>
      </c>
      <c r="CI194">
        <v>10308257</v>
      </c>
      <c r="CJ194" t="s">
        <v>364</v>
      </c>
      <c r="CK194" s="11">
        <v>0</v>
      </c>
      <c r="CL194" s="9" t="str">
        <f>_xll.SNL.Clients.Office.Excel.Functions.SPG(CI194, "SP_COUNTRY_NAME")</f>
        <v>South Africa</v>
      </c>
      <c r="CM194" t="s">
        <v>1298</v>
      </c>
      <c r="CN194">
        <v>112262714</v>
      </c>
      <c r="CO194" t="s">
        <v>346</v>
      </c>
      <c r="CP194" s="11">
        <v>0.01</v>
      </c>
      <c r="CQ194" s="9" t="str">
        <f>_xll.SNL.Clients.Office.Excel.Functions.SPG(CN194, "SP_COUNTRY_NAME")</f>
        <v>#INVALID COMPANY ID</v>
      </c>
      <c r="CV194" s="9" t="str">
        <f>_xll.SNL.Clients.Office.Excel.Functions.SPG(CS194, "SP_COUNTRY_NAME")</f>
        <v>#INVALID COMPANY ID</v>
      </c>
      <c r="DA194" s="9" t="str">
        <f>_xll.SNL.Clients.Office.Excel.Functions.SPG(CX194, "SP_COUNTRY_NAME")</f>
        <v>#INVALID COMPANY ID</v>
      </c>
      <c r="DB194" t="s">
        <v>1455</v>
      </c>
      <c r="DC194">
        <v>4064277</v>
      </c>
      <c r="DD194" t="s">
        <v>346</v>
      </c>
      <c r="DE194" s="11">
        <v>0.02</v>
      </c>
      <c r="DF194" s="9" t="str">
        <f>_xll.SNL.Clients.Office.Excel.Functions.SPG(DC194, "SP_COUNTRY_NAME")</f>
        <v>USA</v>
      </c>
      <c r="DK194" s="9" t="str">
        <f>_xll.SNL.Clients.Office.Excel.Functions.SPG(DH194, "SP_COUNTRY_NAME")</f>
        <v>#INVALID COMPANY ID</v>
      </c>
      <c r="DL194" t="s">
        <v>1455</v>
      </c>
      <c r="DM194">
        <v>4064277</v>
      </c>
      <c r="DN194" t="s">
        <v>346</v>
      </c>
      <c r="DO194" s="11">
        <v>0.02</v>
      </c>
      <c r="DP194" s="9" t="str">
        <f>_xll.SNL.Clients.Office.Excel.Functions.SPG(DM194, "SP_COUNTRY_NAME")</f>
        <v>USA</v>
      </c>
      <c r="DU194" s="9" t="str">
        <f>_xll.SNL.Clients.Office.Excel.Functions.SPG(DR194, "SP_COUNTRY_NAME")</f>
        <v>#INVALID COMPANY ID</v>
      </c>
      <c r="DZ194" s="9" t="str">
        <f>_xll.SNL.Clients.Office.Excel.Functions.SPG(DW194, "SP_COUNTRY_NAME")</f>
        <v>#INVALID COMPANY ID</v>
      </c>
      <c r="EA194" t="s">
        <v>1082</v>
      </c>
      <c r="EB194">
        <v>4425813</v>
      </c>
      <c r="EC194" t="s">
        <v>346</v>
      </c>
      <c r="ED194" s="11">
        <v>0.01</v>
      </c>
      <c r="EE194" s="9" t="str">
        <f>_xll.SNL.Clients.Office.Excel.Functions.SPG(EB194, "SP_COUNTRY_NAME")</f>
        <v>Germany</v>
      </c>
      <c r="EF194" t="s">
        <v>1455</v>
      </c>
      <c r="EG194">
        <v>4064277</v>
      </c>
      <c r="EH194" t="s">
        <v>346</v>
      </c>
      <c r="EI194" s="11">
        <v>0.02</v>
      </c>
      <c r="EJ194" s="9" t="str">
        <f>_xll.SNL.Clients.Office.Excel.Functions.SPG(EG194, "SP_COUNTRY_NAME")</f>
        <v>USA</v>
      </c>
      <c r="EO194" s="9" t="str">
        <f>_xll.SNL.Clients.Office.Excel.Functions.SPG(EL194, "SP_COUNTRY_NAME")</f>
        <v>#INVALID COMPANY ID</v>
      </c>
      <c r="ET194" s="9" t="str">
        <f>_xll.SNL.Clients.Office.Excel.Functions.SPG(EQ194, "SP_COUNTRY_NAME")</f>
        <v>#INVALID COMPANY ID</v>
      </c>
      <c r="EY194" s="9" t="str">
        <f>_xll.SNL.Clients.Office.Excel.Functions.SPG(EV194, "SP_COUNTRY_NAME")</f>
        <v>#INVALID COMPANY ID</v>
      </c>
      <c r="FD194" s="9" t="str">
        <f>_xll.SNL.Clients.Office.Excel.Functions.SPG(FA194, "SP_COUNTRY_NAME")</f>
        <v>#INVALID COMPANY ID</v>
      </c>
      <c r="FI194" s="9" t="str">
        <f>_xll.SNL.Clients.Office.Excel.Functions.SPG(FF194, "SP_COUNTRY_NAME")</f>
        <v>#INVALID COMPANY ID</v>
      </c>
      <c r="FN194" s="9" t="str">
        <f>_xll.SNL.Clients.Office.Excel.Functions.SPG(FK194, "SP_COUNTRY_NAME")</f>
        <v>#INVALID COMPANY ID</v>
      </c>
      <c r="FS194" s="9" t="str">
        <f>_xll.SNL.Clients.Office.Excel.Functions.SPG(FP194, "SP_COUNTRY_NAME")</f>
        <v>#INVALID COMPANY ID</v>
      </c>
      <c r="FX194" s="9" t="str">
        <f>_xll.SNL.Clients.Office.Excel.Functions.SPG(FU194, "SP_COUNTRY_NAME")</f>
        <v>#INVALID COMPANY ID</v>
      </c>
      <c r="FY194" t="s">
        <v>1455</v>
      </c>
      <c r="FZ194">
        <v>4064277</v>
      </c>
      <c r="GA194" t="s">
        <v>346</v>
      </c>
      <c r="GB194" s="11">
        <v>0.02</v>
      </c>
      <c r="GC194" s="9" t="str">
        <f>_xll.SNL.Clients.Office.Excel.Functions.SPG(FZ194, "SP_COUNTRY_NAME")</f>
        <v>USA</v>
      </c>
      <c r="GH194" s="9" t="str">
        <f>_xll.SNL.Clients.Office.Excel.Functions.SPG(GE194, "SP_COUNTRY_NAME")</f>
        <v>#INVALID COMPANY ID</v>
      </c>
      <c r="GM194" s="9" t="str">
        <f>_xll.SNL.Clients.Office.Excel.Functions.SPG(GJ194, "SP_COUNTRY_NAME")</f>
        <v>#INVALID COMPANY ID</v>
      </c>
      <c r="GR194" s="9" t="str">
        <f>_xll.SNL.Clients.Office.Excel.Functions.SPG(GO194, "SP_COUNTRY_NAME")</f>
        <v>#INVALID COMPANY ID</v>
      </c>
      <c r="GS194" t="s">
        <v>811</v>
      </c>
      <c r="GT194">
        <v>4240414</v>
      </c>
      <c r="GU194" t="s">
        <v>346</v>
      </c>
      <c r="GV194" s="11">
        <v>0</v>
      </c>
      <c r="GW194" s="9" t="str">
        <f>_xll.SNL.Clients.Office.Excel.Functions.SPG(GT194, "SP_COUNTRY_NAME")</f>
        <v>Taiwan</v>
      </c>
      <c r="GX194" t="s">
        <v>1082</v>
      </c>
      <c r="GY194">
        <v>4425813</v>
      </c>
      <c r="GZ194" t="s">
        <v>346</v>
      </c>
      <c r="HA194" s="11">
        <v>0.01</v>
      </c>
      <c r="HB194" s="9" t="str">
        <f>_xll.SNL.Clients.Office.Excel.Functions.SPG(GY194, "SP_COUNTRY_NAME")</f>
        <v>Germany</v>
      </c>
      <c r="HG194" s="9" t="str">
        <f>_xll.SNL.Clients.Office.Excel.Functions.SPG(HD194, "SP_COUNTRY_NAME")</f>
        <v>#INVALID COMPANY ID</v>
      </c>
    </row>
    <row r="195" spans="5:215" x14ac:dyDescent="0.35">
      <c r="E195" s="9" t="str">
        <f>_xll.SNL.Clients.Office.Excel.Functions.SPG(B195, "SP_COUNTRY_NAME")</f>
        <v>#INVALID COMPANY ID</v>
      </c>
      <c r="F195" t="s">
        <v>580</v>
      </c>
      <c r="G195">
        <v>4037402</v>
      </c>
      <c r="H195" t="s">
        <v>346</v>
      </c>
      <c r="I195" s="11">
        <v>0</v>
      </c>
      <c r="J195" s="9" t="str">
        <f>_xll.SNL.Clients.Office.Excel.Functions.SPG(G195, "SP_COUNTRY_NAME")</f>
        <v>USA</v>
      </c>
      <c r="O195" s="9" t="str">
        <f>_xll.SNL.Clients.Office.Excel.Functions.SPG(L195, "SP_COUNTRY_NAME")</f>
        <v>#INVALID COMPANY ID</v>
      </c>
      <c r="T195" s="9" t="str">
        <f>_xll.SNL.Clients.Office.Excel.Functions.SPG(Q195, "SP_COUNTRY_NAME")</f>
        <v>#INVALID COMPANY ID</v>
      </c>
      <c r="U195" t="s">
        <v>482</v>
      </c>
      <c r="V195">
        <v>4048742</v>
      </c>
      <c r="W195" t="s">
        <v>346</v>
      </c>
      <c r="X195" s="11">
        <v>0.01</v>
      </c>
      <c r="Y195" s="9" t="str">
        <f>_xll.SNL.Clients.Office.Excel.Functions.SPG(V195, "SP_COUNTRY_NAME")</f>
        <v>Canada</v>
      </c>
      <c r="AD195" s="9" t="str">
        <f>_xll.SNL.Clients.Office.Excel.Functions.SPG(AA195, "SP_COUNTRY_NAME")</f>
        <v>#INVALID COMPANY ID</v>
      </c>
      <c r="AE195" t="s">
        <v>544</v>
      </c>
      <c r="AF195">
        <v>5745911</v>
      </c>
      <c r="AG195" t="s">
        <v>369</v>
      </c>
      <c r="AH195" s="11">
        <v>0</v>
      </c>
      <c r="AI195" s="9" t="str">
        <f>_xll.SNL.Clients.Office.Excel.Functions.SPG(AF195, "SP_COUNTRY_NAME")</f>
        <v>Italy</v>
      </c>
      <c r="AN195" s="9" t="str">
        <f>_xll.SNL.Clients.Office.Excel.Functions.SPG(AK195, "SP_COUNTRY_NAME")</f>
        <v>#INVALID COMPANY ID</v>
      </c>
      <c r="AO195" t="s">
        <v>652</v>
      </c>
      <c r="AP195">
        <v>4134208</v>
      </c>
      <c r="AQ195" t="s">
        <v>346</v>
      </c>
      <c r="AR195" s="11">
        <v>0</v>
      </c>
      <c r="AS195" s="9" t="str">
        <f>_xll.SNL.Clients.Office.Excel.Functions.SPG(AP195, "SP_COUNTRY_NAME")</f>
        <v>USA</v>
      </c>
      <c r="AX195" s="9" t="str">
        <f>_xll.SNL.Clients.Office.Excel.Functions.SPG(AU195, "SP_COUNTRY_NAME")</f>
        <v>#INVALID COMPANY ID</v>
      </c>
      <c r="BC195" s="9" t="str">
        <f>_xll.SNL.Clients.Office.Excel.Functions.SPG(AZ195, "SP_COUNTRY_NAME")</f>
        <v>#INVALID COMPANY ID</v>
      </c>
      <c r="BD195" t="s">
        <v>452</v>
      </c>
      <c r="BE195">
        <v>4784107</v>
      </c>
      <c r="BF195" t="s">
        <v>346</v>
      </c>
      <c r="BG195" s="11">
        <v>0.02</v>
      </c>
      <c r="BH195" s="9" t="str">
        <f>_xll.SNL.Clients.Office.Excel.Functions.SPG(BE195, "SP_COUNTRY_NAME")</f>
        <v>France</v>
      </c>
      <c r="BI195" t="s">
        <v>1581</v>
      </c>
      <c r="BJ195" t="s">
        <v>300</v>
      </c>
      <c r="BK195" t="s">
        <v>361</v>
      </c>
      <c r="BL195" s="11">
        <v>0</v>
      </c>
      <c r="BM195" s="9" t="str">
        <f>_xll.SNL.Clients.Office.Excel.Functions.SPG(BJ195, "SP_COUNTRY_NAME")</f>
        <v>China</v>
      </c>
      <c r="BN195" t="s">
        <v>799</v>
      </c>
      <c r="BO195">
        <v>6520584</v>
      </c>
      <c r="BP195" t="s">
        <v>346</v>
      </c>
      <c r="BQ195" s="11">
        <v>0</v>
      </c>
      <c r="BR195" s="9" t="str">
        <f>_xll.SNL.Clients.Office.Excel.Functions.SPG(BO195, "SP_COUNTRY_NAME")</f>
        <v>China</v>
      </c>
      <c r="BS195" t="s">
        <v>481</v>
      </c>
      <c r="BT195">
        <v>4376121</v>
      </c>
      <c r="BU195" t="s">
        <v>346</v>
      </c>
      <c r="BV195" s="11">
        <v>0.01</v>
      </c>
      <c r="BW195" s="9" t="str">
        <f>_xll.SNL.Clients.Office.Excel.Functions.SPG(BT195, "SP_COUNTRY_NAME")</f>
        <v>United Kingdom</v>
      </c>
      <c r="BX195" t="s">
        <v>482</v>
      </c>
      <c r="BY195">
        <v>4048742</v>
      </c>
      <c r="BZ195" t="s">
        <v>346</v>
      </c>
      <c r="CA195" s="11">
        <v>0.01</v>
      </c>
      <c r="CB195" s="9" t="str">
        <f>_xll.SNL.Clients.Office.Excel.Functions.SPG(BY195, "SP_COUNTRY_NAME")</f>
        <v>Canada</v>
      </c>
      <c r="CC195" t="s">
        <v>1686</v>
      </c>
      <c r="CD195">
        <v>7538222</v>
      </c>
      <c r="CE195" t="s">
        <v>346</v>
      </c>
      <c r="CF195" s="11">
        <v>0.01</v>
      </c>
      <c r="CG195" s="9" t="str">
        <f>_xll.SNL.Clients.Office.Excel.Functions.SPG(CD195, "SP_COUNTRY_NAME")</f>
        <v>USA</v>
      </c>
      <c r="CH195" t="s">
        <v>652</v>
      </c>
      <c r="CI195">
        <v>4134208</v>
      </c>
      <c r="CJ195" t="s">
        <v>346</v>
      </c>
      <c r="CK195" s="11">
        <v>0</v>
      </c>
      <c r="CL195" s="9" t="str">
        <f>_xll.SNL.Clients.Office.Excel.Functions.SPG(CI195, "SP_COUNTRY_NAME")</f>
        <v>USA</v>
      </c>
      <c r="CM195" t="s">
        <v>1034</v>
      </c>
      <c r="CN195">
        <v>4256960</v>
      </c>
      <c r="CO195" t="s">
        <v>346</v>
      </c>
      <c r="CP195" s="11">
        <v>0.01</v>
      </c>
      <c r="CQ195" s="9" t="str">
        <f>_xll.SNL.Clients.Office.Excel.Functions.SPG(CN195, "SP_COUNTRY_NAME")</f>
        <v>Latvia</v>
      </c>
      <c r="CV195" s="9" t="str">
        <f>_xll.SNL.Clients.Office.Excel.Functions.SPG(CS195, "SP_COUNTRY_NAME")</f>
        <v>#INVALID COMPANY ID</v>
      </c>
      <c r="DA195" s="9" t="str">
        <f>_xll.SNL.Clients.Office.Excel.Functions.SPG(CX195, "SP_COUNTRY_NAME")</f>
        <v>#INVALID COMPANY ID</v>
      </c>
      <c r="DB195" t="s">
        <v>452</v>
      </c>
      <c r="DC195">
        <v>4784107</v>
      </c>
      <c r="DD195" t="s">
        <v>346</v>
      </c>
      <c r="DE195" s="11">
        <v>0.02</v>
      </c>
      <c r="DF195" s="9" t="str">
        <f>_xll.SNL.Clients.Office.Excel.Functions.SPG(DC195, "SP_COUNTRY_NAME")</f>
        <v>France</v>
      </c>
      <c r="DK195" s="9" t="str">
        <f>_xll.SNL.Clients.Office.Excel.Functions.SPG(DH195, "SP_COUNTRY_NAME")</f>
        <v>#INVALID COMPANY ID</v>
      </c>
      <c r="DL195" t="s">
        <v>452</v>
      </c>
      <c r="DM195">
        <v>4784107</v>
      </c>
      <c r="DN195" t="s">
        <v>346</v>
      </c>
      <c r="DO195" s="11">
        <v>0.02</v>
      </c>
      <c r="DP195" s="9" t="str">
        <f>_xll.SNL.Clients.Office.Excel.Functions.SPG(DM195, "SP_COUNTRY_NAME")</f>
        <v>France</v>
      </c>
      <c r="DU195" s="9" t="str">
        <f>_xll.SNL.Clients.Office.Excel.Functions.SPG(DR195, "SP_COUNTRY_NAME")</f>
        <v>#INVALID COMPANY ID</v>
      </c>
      <c r="DZ195" s="9" t="str">
        <f>_xll.SNL.Clients.Office.Excel.Functions.SPG(DW195, "SP_COUNTRY_NAME")</f>
        <v>#INVALID COMPANY ID</v>
      </c>
      <c r="EA195" t="s">
        <v>1686</v>
      </c>
      <c r="EB195">
        <v>7538222</v>
      </c>
      <c r="EC195" t="s">
        <v>346</v>
      </c>
      <c r="ED195" s="11">
        <v>0.01</v>
      </c>
      <c r="EE195" s="9" t="str">
        <f>_xll.SNL.Clients.Office.Excel.Functions.SPG(EB195, "SP_COUNTRY_NAME")</f>
        <v>USA</v>
      </c>
      <c r="EF195" t="s">
        <v>452</v>
      </c>
      <c r="EG195">
        <v>4784107</v>
      </c>
      <c r="EH195" t="s">
        <v>346</v>
      </c>
      <c r="EI195" s="11">
        <v>0.02</v>
      </c>
      <c r="EJ195" s="9" t="str">
        <f>_xll.SNL.Clients.Office.Excel.Functions.SPG(EG195, "SP_COUNTRY_NAME")</f>
        <v>France</v>
      </c>
      <c r="EO195" s="9" t="str">
        <f>_xll.SNL.Clients.Office.Excel.Functions.SPG(EL195, "SP_COUNTRY_NAME")</f>
        <v>#INVALID COMPANY ID</v>
      </c>
      <c r="ET195" s="9" t="str">
        <f>_xll.SNL.Clients.Office.Excel.Functions.SPG(EQ195, "SP_COUNTRY_NAME")</f>
        <v>#INVALID COMPANY ID</v>
      </c>
      <c r="EY195" s="9" t="str">
        <f>_xll.SNL.Clients.Office.Excel.Functions.SPG(EV195, "SP_COUNTRY_NAME")</f>
        <v>#INVALID COMPANY ID</v>
      </c>
      <c r="FD195" s="9" t="str">
        <f>_xll.SNL.Clients.Office.Excel.Functions.SPG(FA195, "SP_COUNTRY_NAME")</f>
        <v>#INVALID COMPANY ID</v>
      </c>
      <c r="FI195" s="9" t="str">
        <f>_xll.SNL.Clients.Office.Excel.Functions.SPG(FF195, "SP_COUNTRY_NAME")</f>
        <v>#INVALID COMPANY ID</v>
      </c>
      <c r="FN195" s="9" t="str">
        <f>_xll.SNL.Clients.Office.Excel.Functions.SPG(FK195, "SP_COUNTRY_NAME")</f>
        <v>#INVALID COMPANY ID</v>
      </c>
      <c r="FS195" s="9" t="str">
        <f>_xll.SNL.Clients.Office.Excel.Functions.SPG(FP195, "SP_COUNTRY_NAME")</f>
        <v>#INVALID COMPANY ID</v>
      </c>
      <c r="FX195" s="9" t="str">
        <f>_xll.SNL.Clients.Office.Excel.Functions.SPG(FU195, "SP_COUNTRY_NAME")</f>
        <v>#INVALID COMPANY ID</v>
      </c>
      <c r="FY195" t="s">
        <v>452</v>
      </c>
      <c r="FZ195">
        <v>4784107</v>
      </c>
      <c r="GA195" t="s">
        <v>346</v>
      </c>
      <c r="GB195" s="11">
        <v>0.02</v>
      </c>
      <c r="GC195" s="9" t="str">
        <f>_xll.SNL.Clients.Office.Excel.Functions.SPG(FZ195, "SP_COUNTRY_NAME")</f>
        <v>France</v>
      </c>
      <c r="GH195" s="9" t="str">
        <f>_xll.SNL.Clients.Office.Excel.Functions.SPG(GE195, "SP_COUNTRY_NAME")</f>
        <v>#INVALID COMPANY ID</v>
      </c>
      <c r="GM195" s="9" t="str">
        <f>_xll.SNL.Clients.Office.Excel.Functions.SPG(GJ195, "SP_COUNTRY_NAME")</f>
        <v>#INVALID COMPANY ID</v>
      </c>
      <c r="GR195" s="9" t="str">
        <f>_xll.SNL.Clients.Office.Excel.Functions.SPG(GO195, "SP_COUNTRY_NAME")</f>
        <v>#INVALID COMPANY ID</v>
      </c>
      <c r="GS195" t="s">
        <v>799</v>
      </c>
      <c r="GT195">
        <v>6520584</v>
      </c>
      <c r="GU195" t="s">
        <v>346</v>
      </c>
      <c r="GV195" s="11">
        <v>0</v>
      </c>
      <c r="GW195" s="9" t="str">
        <f>_xll.SNL.Clients.Office.Excel.Functions.SPG(GT195, "SP_COUNTRY_NAME")</f>
        <v>China</v>
      </c>
      <c r="GX195" t="s">
        <v>1686</v>
      </c>
      <c r="GY195">
        <v>7538222</v>
      </c>
      <c r="GZ195" t="s">
        <v>346</v>
      </c>
      <c r="HA195" s="11">
        <v>0.01</v>
      </c>
      <c r="HB195" s="9" t="str">
        <f>_xll.SNL.Clients.Office.Excel.Functions.SPG(GY195, "SP_COUNTRY_NAME")</f>
        <v>USA</v>
      </c>
      <c r="HG195" s="9" t="str">
        <f>_xll.SNL.Clients.Office.Excel.Functions.SPG(HD195, "SP_COUNTRY_NAME")</f>
        <v>#INVALID COMPANY ID</v>
      </c>
    </row>
    <row r="196" spans="5:215" x14ac:dyDescent="0.35">
      <c r="E196" s="9" t="str">
        <f>_xll.SNL.Clients.Office.Excel.Functions.SPG(B196, "SP_COUNTRY_NAME")</f>
        <v>#INVALID COMPANY ID</v>
      </c>
      <c r="F196" t="s">
        <v>581</v>
      </c>
      <c r="G196">
        <v>115732953</v>
      </c>
      <c r="H196" t="s">
        <v>346</v>
      </c>
      <c r="I196" s="11">
        <v>0</v>
      </c>
      <c r="J196" s="9" t="str">
        <f>_xll.SNL.Clients.Office.Excel.Functions.SPG(G196, "SP_COUNTRY_NAME")</f>
        <v>Germany</v>
      </c>
      <c r="O196" s="9" t="str">
        <f>_xll.SNL.Clients.Office.Excel.Functions.SPG(L196, "SP_COUNTRY_NAME")</f>
        <v>#INVALID COMPANY ID</v>
      </c>
      <c r="T196" s="9" t="str">
        <f>_xll.SNL.Clients.Office.Excel.Functions.SPG(Q196, "SP_COUNTRY_NAME")</f>
        <v>#INVALID COMPANY ID</v>
      </c>
      <c r="U196" t="s">
        <v>789</v>
      </c>
      <c r="V196">
        <v>10169175</v>
      </c>
      <c r="W196" t="s">
        <v>346</v>
      </c>
      <c r="X196" s="11">
        <v>0.01</v>
      </c>
      <c r="Y196" s="9" t="str">
        <f>_xll.SNL.Clients.Office.Excel.Functions.SPG(V196, "SP_COUNTRY_NAME")</f>
        <v>USA</v>
      </c>
      <c r="AD196" s="9" t="str">
        <f>_xll.SNL.Clients.Office.Excel.Functions.SPG(AA196, "SP_COUNTRY_NAME")</f>
        <v>#INVALID COMPANY ID</v>
      </c>
      <c r="AE196" t="s">
        <v>1179</v>
      </c>
      <c r="AF196">
        <v>4556895</v>
      </c>
      <c r="AG196" t="s">
        <v>346</v>
      </c>
      <c r="AH196" s="11">
        <v>0</v>
      </c>
      <c r="AI196" s="9" t="str">
        <f>_xll.SNL.Clients.Office.Excel.Functions.SPG(AF196, "SP_COUNTRY_NAME")</f>
        <v>Denmark</v>
      </c>
      <c r="AN196" s="9" t="str">
        <f>_xll.SNL.Clients.Office.Excel.Functions.SPG(AK196, "SP_COUNTRY_NAME")</f>
        <v>#INVALID COMPANY ID</v>
      </c>
      <c r="AO196" t="s">
        <v>1070</v>
      </c>
      <c r="AP196">
        <v>4119544</v>
      </c>
      <c r="AQ196" t="s">
        <v>364</v>
      </c>
      <c r="AR196" s="11">
        <v>0</v>
      </c>
      <c r="AS196" s="9" t="str">
        <f>_xll.SNL.Clients.Office.Excel.Functions.SPG(AP196, "SP_COUNTRY_NAME")</f>
        <v>USA</v>
      </c>
      <c r="AX196" s="9" t="str">
        <f>_xll.SNL.Clients.Office.Excel.Functions.SPG(AU196, "SP_COUNTRY_NAME")</f>
        <v>#INVALID COMPANY ID</v>
      </c>
      <c r="BC196" s="9" t="str">
        <f>_xll.SNL.Clients.Office.Excel.Functions.SPG(AZ196, "SP_COUNTRY_NAME")</f>
        <v>#INVALID COMPANY ID</v>
      </c>
      <c r="BD196" t="s">
        <v>663</v>
      </c>
      <c r="BE196">
        <v>4080954</v>
      </c>
      <c r="BF196" t="s">
        <v>346</v>
      </c>
      <c r="BG196" s="11">
        <v>0.02</v>
      </c>
      <c r="BH196" s="9" t="str">
        <f>_xll.SNL.Clients.Office.Excel.Functions.SPG(BE196, "SP_COUNTRY_NAME")</f>
        <v>Denmark</v>
      </c>
      <c r="BI196" t="s">
        <v>1582</v>
      </c>
      <c r="BJ196" t="s">
        <v>300</v>
      </c>
      <c r="BK196" t="s">
        <v>361</v>
      </c>
      <c r="BL196" s="11">
        <v>0</v>
      </c>
      <c r="BM196" s="9" t="str">
        <f>_xll.SNL.Clients.Office.Excel.Functions.SPG(BJ196, "SP_COUNTRY_NAME")</f>
        <v>China</v>
      </c>
      <c r="BN196" t="s">
        <v>778</v>
      </c>
      <c r="BO196">
        <v>4341872</v>
      </c>
      <c r="BP196" t="s">
        <v>346</v>
      </c>
      <c r="BQ196" s="11">
        <v>0</v>
      </c>
      <c r="BR196" s="9" t="str">
        <f>_xll.SNL.Clients.Office.Excel.Functions.SPG(BO196, "SP_COUNTRY_NAME")</f>
        <v>China</v>
      </c>
      <c r="BS196" t="s">
        <v>756</v>
      </c>
      <c r="BT196">
        <v>4026891</v>
      </c>
      <c r="BU196" t="s">
        <v>346</v>
      </c>
      <c r="BV196" s="11">
        <v>0.01</v>
      </c>
      <c r="BW196" s="9" t="str">
        <f>_xll.SNL.Clients.Office.Excel.Functions.SPG(BT196, "SP_COUNTRY_NAME")</f>
        <v>United Kingdom</v>
      </c>
      <c r="BX196" t="s">
        <v>789</v>
      </c>
      <c r="BY196">
        <v>10169175</v>
      </c>
      <c r="BZ196" t="s">
        <v>346</v>
      </c>
      <c r="CA196" s="11">
        <v>0.01</v>
      </c>
      <c r="CB196" s="9" t="str">
        <f>_xll.SNL.Clients.Office.Excel.Functions.SPG(BY196, "SP_COUNTRY_NAME")</f>
        <v>USA</v>
      </c>
      <c r="CC196" t="s">
        <v>1687</v>
      </c>
      <c r="CD196">
        <v>4138723</v>
      </c>
      <c r="CE196" t="s">
        <v>346</v>
      </c>
      <c r="CF196" s="11">
        <v>0.01</v>
      </c>
      <c r="CG196" s="9" t="str">
        <f>_xll.SNL.Clients.Office.Excel.Functions.SPG(CD196, "SP_COUNTRY_NAME")</f>
        <v>United Kingdom</v>
      </c>
      <c r="CH196" t="s">
        <v>1070</v>
      </c>
      <c r="CI196">
        <v>4119544</v>
      </c>
      <c r="CJ196" t="s">
        <v>364</v>
      </c>
      <c r="CK196" s="11">
        <v>0</v>
      </c>
      <c r="CL196" s="9" t="str">
        <f>_xll.SNL.Clients.Office.Excel.Functions.SPG(CI196, "SP_COUNTRY_NAME")</f>
        <v>USA</v>
      </c>
      <c r="CM196" t="s">
        <v>1733</v>
      </c>
      <c r="CN196">
        <v>4853822</v>
      </c>
      <c r="CO196" t="s">
        <v>346</v>
      </c>
      <c r="CP196" s="11">
        <v>0.01</v>
      </c>
      <c r="CQ196" s="9" t="str">
        <f>_xll.SNL.Clients.Office.Excel.Functions.SPG(CN196, "SP_COUNTRY_NAME")</f>
        <v>United Kingdom</v>
      </c>
      <c r="CV196" s="9" t="str">
        <f>_xll.SNL.Clients.Office.Excel.Functions.SPG(CS196, "SP_COUNTRY_NAME")</f>
        <v>#INVALID COMPANY ID</v>
      </c>
      <c r="DA196" s="9" t="str">
        <f>_xll.SNL.Clients.Office.Excel.Functions.SPG(CX196, "SP_COUNTRY_NAME")</f>
        <v>#INVALID COMPANY ID</v>
      </c>
      <c r="DB196" t="s">
        <v>663</v>
      </c>
      <c r="DC196">
        <v>4080954</v>
      </c>
      <c r="DD196" t="s">
        <v>346</v>
      </c>
      <c r="DE196" s="11">
        <v>0.02</v>
      </c>
      <c r="DF196" s="9" t="str">
        <f>_xll.SNL.Clients.Office.Excel.Functions.SPG(DC196, "SP_COUNTRY_NAME")</f>
        <v>Denmark</v>
      </c>
      <c r="DK196" s="9" t="str">
        <f>_xll.SNL.Clients.Office.Excel.Functions.SPG(DH196, "SP_COUNTRY_NAME")</f>
        <v>#INVALID COMPANY ID</v>
      </c>
      <c r="DL196" t="s">
        <v>663</v>
      </c>
      <c r="DM196">
        <v>4080954</v>
      </c>
      <c r="DN196" t="s">
        <v>346</v>
      </c>
      <c r="DO196" s="11">
        <v>0.02</v>
      </c>
      <c r="DP196" s="9" t="str">
        <f>_xll.SNL.Clients.Office.Excel.Functions.SPG(DM196, "SP_COUNTRY_NAME")</f>
        <v>Denmark</v>
      </c>
      <c r="DU196" s="9" t="str">
        <f>_xll.SNL.Clients.Office.Excel.Functions.SPG(DR196, "SP_COUNTRY_NAME")</f>
        <v>#INVALID COMPANY ID</v>
      </c>
      <c r="DZ196" s="9" t="str">
        <f>_xll.SNL.Clients.Office.Excel.Functions.SPG(DW196, "SP_COUNTRY_NAME")</f>
        <v>#INVALID COMPANY ID</v>
      </c>
      <c r="EA196" t="s">
        <v>1687</v>
      </c>
      <c r="EB196">
        <v>4138723</v>
      </c>
      <c r="EC196" t="s">
        <v>346</v>
      </c>
      <c r="ED196" s="11">
        <v>0.01</v>
      </c>
      <c r="EE196" s="9" t="str">
        <f>_xll.SNL.Clients.Office.Excel.Functions.SPG(EB196, "SP_COUNTRY_NAME")</f>
        <v>United Kingdom</v>
      </c>
      <c r="EF196" t="s">
        <v>663</v>
      </c>
      <c r="EG196">
        <v>4080954</v>
      </c>
      <c r="EH196" t="s">
        <v>346</v>
      </c>
      <c r="EI196" s="11">
        <v>0.02</v>
      </c>
      <c r="EJ196" s="9" t="str">
        <f>_xll.SNL.Clients.Office.Excel.Functions.SPG(EG196, "SP_COUNTRY_NAME")</f>
        <v>Denmark</v>
      </c>
      <c r="EO196" s="9" t="str">
        <f>_xll.SNL.Clients.Office.Excel.Functions.SPG(EL196, "SP_COUNTRY_NAME")</f>
        <v>#INVALID COMPANY ID</v>
      </c>
      <c r="ET196" s="9" t="str">
        <f>_xll.SNL.Clients.Office.Excel.Functions.SPG(EQ196, "SP_COUNTRY_NAME")</f>
        <v>#INVALID COMPANY ID</v>
      </c>
      <c r="EY196" s="9" t="str">
        <f>_xll.SNL.Clients.Office.Excel.Functions.SPG(EV196, "SP_COUNTRY_NAME")</f>
        <v>#INVALID COMPANY ID</v>
      </c>
      <c r="FD196" s="9" t="str">
        <f>_xll.SNL.Clients.Office.Excel.Functions.SPG(FA196, "SP_COUNTRY_NAME")</f>
        <v>#INVALID COMPANY ID</v>
      </c>
      <c r="FI196" s="9" t="str">
        <f>_xll.SNL.Clients.Office.Excel.Functions.SPG(FF196, "SP_COUNTRY_NAME")</f>
        <v>#INVALID COMPANY ID</v>
      </c>
      <c r="FN196" s="9" t="str">
        <f>_xll.SNL.Clients.Office.Excel.Functions.SPG(FK196, "SP_COUNTRY_NAME")</f>
        <v>#INVALID COMPANY ID</v>
      </c>
      <c r="FS196" s="9" t="str">
        <f>_xll.SNL.Clients.Office.Excel.Functions.SPG(FP196, "SP_COUNTRY_NAME")</f>
        <v>#INVALID COMPANY ID</v>
      </c>
      <c r="FX196" s="9" t="str">
        <f>_xll.SNL.Clients.Office.Excel.Functions.SPG(FU196, "SP_COUNTRY_NAME")</f>
        <v>#INVALID COMPANY ID</v>
      </c>
      <c r="FY196" t="s">
        <v>663</v>
      </c>
      <c r="FZ196">
        <v>4080954</v>
      </c>
      <c r="GA196" t="s">
        <v>346</v>
      </c>
      <c r="GB196" s="11">
        <v>0.02</v>
      </c>
      <c r="GC196" s="9" t="str">
        <f>_xll.SNL.Clients.Office.Excel.Functions.SPG(FZ196, "SP_COUNTRY_NAME")</f>
        <v>Denmark</v>
      </c>
      <c r="GH196" s="9" t="str">
        <f>_xll.SNL.Clients.Office.Excel.Functions.SPG(GE196, "SP_COUNTRY_NAME")</f>
        <v>#INVALID COMPANY ID</v>
      </c>
      <c r="GM196" s="9" t="str">
        <f>_xll.SNL.Clients.Office.Excel.Functions.SPG(GJ196, "SP_COUNTRY_NAME")</f>
        <v>#INVALID COMPANY ID</v>
      </c>
      <c r="GR196" s="9" t="str">
        <f>_xll.SNL.Clients.Office.Excel.Functions.SPG(GO196, "SP_COUNTRY_NAME")</f>
        <v>#INVALID COMPANY ID</v>
      </c>
      <c r="GS196" t="s">
        <v>778</v>
      </c>
      <c r="GT196">
        <v>4341872</v>
      </c>
      <c r="GU196" t="s">
        <v>346</v>
      </c>
      <c r="GV196" s="11">
        <v>0</v>
      </c>
      <c r="GW196" s="9" t="str">
        <f>_xll.SNL.Clients.Office.Excel.Functions.SPG(GT196, "SP_COUNTRY_NAME")</f>
        <v>China</v>
      </c>
      <c r="GX196" t="s">
        <v>1687</v>
      </c>
      <c r="GY196">
        <v>4138723</v>
      </c>
      <c r="GZ196" t="s">
        <v>346</v>
      </c>
      <c r="HA196" s="11">
        <v>0.01</v>
      </c>
      <c r="HB196" s="9" t="str">
        <f>_xll.SNL.Clients.Office.Excel.Functions.SPG(GY196, "SP_COUNTRY_NAME")</f>
        <v>United Kingdom</v>
      </c>
      <c r="HG196" s="9" t="str">
        <f>_xll.SNL.Clients.Office.Excel.Functions.SPG(HD196, "SP_COUNTRY_NAME")</f>
        <v>#INVALID COMPANY ID</v>
      </c>
    </row>
    <row r="197" spans="5:215" x14ac:dyDescent="0.35">
      <c r="E197" s="9" t="str">
        <f>_xll.SNL.Clients.Office.Excel.Functions.SPG(B197, "SP_COUNTRY_NAME")</f>
        <v>#INVALID COMPANY ID</v>
      </c>
      <c r="F197" t="s">
        <v>582</v>
      </c>
      <c r="G197">
        <v>4119728</v>
      </c>
      <c r="H197" t="s">
        <v>634</v>
      </c>
      <c r="I197" s="11">
        <v>0</v>
      </c>
      <c r="J197" s="9" t="str">
        <f>_xll.SNL.Clients.Office.Excel.Functions.SPG(G197, "SP_COUNTRY_NAME")</f>
        <v>USA</v>
      </c>
      <c r="O197" s="9" t="str">
        <f>_xll.SNL.Clients.Office.Excel.Functions.SPG(L197, "SP_COUNTRY_NAME")</f>
        <v>#INVALID COMPANY ID</v>
      </c>
      <c r="T197" s="9" t="str">
        <f>_xll.SNL.Clients.Office.Excel.Functions.SPG(Q197, "SP_COUNTRY_NAME")</f>
        <v>#INVALID COMPANY ID</v>
      </c>
      <c r="U197" t="s">
        <v>790</v>
      </c>
      <c r="V197">
        <v>5883003</v>
      </c>
      <c r="W197" t="s">
        <v>346</v>
      </c>
      <c r="X197" s="11">
        <v>0.01</v>
      </c>
      <c r="Y197" s="9" t="str">
        <f>_xll.SNL.Clients.Office.Excel.Functions.SPG(V197, "SP_COUNTRY_NAME")</f>
        <v>China</v>
      </c>
      <c r="AD197" s="9" t="str">
        <f>_xll.SNL.Clients.Office.Excel.Functions.SPG(AA197, "SP_COUNTRY_NAME")</f>
        <v>#INVALID COMPANY ID</v>
      </c>
      <c r="AE197" t="s">
        <v>589</v>
      </c>
      <c r="AF197">
        <v>4140617</v>
      </c>
      <c r="AG197" t="s">
        <v>346</v>
      </c>
      <c r="AH197" s="11">
        <v>0</v>
      </c>
      <c r="AI197" s="9" t="str">
        <f>_xll.SNL.Clients.Office.Excel.Functions.SPG(AF197, "SP_COUNTRY_NAME")</f>
        <v>Switzerland</v>
      </c>
      <c r="AN197" s="9" t="str">
        <f>_xll.SNL.Clients.Office.Excel.Functions.SPG(AK197, "SP_COUNTRY_NAME")</f>
        <v>#INVALID COMPANY ID</v>
      </c>
      <c r="AO197" t="s">
        <v>824</v>
      </c>
      <c r="AP197">
        <v>4213196</v>
      </c>
      <c r="AQ197" t="s">
        <v>346</v>
      </c>
      <c r="AR197" s="11">
        <v>0</v>
      </c>
      <c r="AS197" s="9" t="str">
        <f>_xll.SNL.Clients.Office.Excel.Functions.SPG(AP197, "SP_COUNTRY_NAME")</f>
        <v>Japan</v>
      </c>
      <c r="AX197" s="9" t="str">
        <f>_xll.SNL.Clients.Office.Excel.Functions.SPG(AU197, "SP_COUNTRY_NAME")</f>
        <v>#INVALID COMPANY ID</v>
      </c>
      <c r="BC197" s="9" t="str">
        <f>_xll.SNL.Clients.Office.Excel.Functions.SPG(AZ197, "SP_COUNTRY_NAME")</f>
        <v>#INVALID COMPANY ID</v>
      </c>
      <c r="BD197" t="s">
        <v>460</v>
      </c>
      <c r="BE197">
        <v>4337989</v>
      </c>
      <c r="BF197" t="s">
        <v>346</v>
      </c>
      <c r="BG197" s="11">
        <v>0.02</v>
      </c>
      <c r="BH197" s="9" t="str">
        <f>_xll.SNL.Clients.Office.Excel.Functions.SPG(BE197, "SP_COUNTRY_NAME")</f>
        <v>USA</v>
      </c>
      <c r="BI197" t="s">
        <v>536</v>
      </c>
      <c r="BJ197">
        <v>4432074</v>
      </c>
      <c r="BK197" t="s">
        <v>346</v>
      </c>
      <c r="BL197" s="11">
        <v>0</v>
      </c>
      <c r="BM197" s="9" t="str">
        <f>_xll.SNL.Clients.Office.Excel.Functions.SPG(BJ197, "SP_COUNTRY_NAME")</f>
        <v>Canada</v>
      </c>
      <c r="BN197" t="s">
        <v>782</v>
      </c>
      <c r="BO197">
        <v>4138745</v>
      </c>
      <c r="BP197" t="s">
        <v>346</v>
      </c>
      <c r="BQ197" s="11">
        <v>0</v>
      </c>
      <c r="BR197" s="9" t="str">
        <f>_xll.SNL.Clients.Office.Excel.Functions.SPG(BO197, "SP_COUNTRY_NAME")</f>
        <v>Singapore</v>
      </c>
      <c r="BS197" t="s">
        <v>776</v>
      </c>
      <c r="BT197">
        <v>4345268</v>
      </c>
      <c r="BU197" t="s">
        <v>346</v>
      </c>
      <c r="BV197" s="11">
        <v>0.01</v>
      </c>
      <c r="BW197" s="9" t="str">
        <f>_xll.SNL.Clients.Office.Excel.Functions.SPG(BT197, "SP_COUNTRY_NAME")</f>
        <v>China</v>
      </c>
      <c r="BX197" t="s">
        <v>790</v>
      </c>
      <c r="BY197">
        <v>5883003</v>
      </c>
      <c r="BZ197" t="s">
        <v>346</v>
      </c>
      <c r="CA197" s="11">
        <v>0.01</v>
      </c>
      <c r="CB197" s="9" t="str">
        <f>_xll.SNL.Clients.Office.Excel.Functions.SPG(BY197, "SP_COUNTRY_NAME")</f>
        <v>China</v>
      </c>
      <c r="CC197" t="s">
        <v>1688</v>
      </c>
      <c r="CD197">
        <v>4319774</v>
      </c>
      <c r="CE197" t="s">
        <v>364</v>
      </c>
      <c r="CF197" s="11">
        <v>0.01</v>
      </c>
      <c r="CG197" s="9" t="str">
        <f>_xll.SNL.Clients.Office.Excel.Functions.SPG(CD197, "SP_COUNTRY_NAME")</f>
        <v>USA</v>
      </c>
      <c r="CH197" t="s">
        <v>824</v>
      </c>
      <c r="CI197">
        <v>4213196</v>
      </c>
      <c r="CJ197" t="s">
        <v>346</v>
      </c>
      <c r="CK197" s="11">
        <v>0</v>
      </c>
      <c r="CL197" s="9" t="str">
        <f>_xll.SNL.Clients.Office.Excel.Functions.SPG(CI197, "SP_COUNTRY_NAME")</f>
        <v>Japan</v>
      </c>
      <c r="CM197" t="s">
        <v>1292</v>
      </c>
      <c r="CN197">
        <v>5884486</v>
      </c>
      <c r="CO197" t="s">
        <v>346</v>
      </c>
      <c r="CP197" s="11">
        <v>0.01</v>
      </c>
      <c r="CQ197" s="9" t="str">
        <f>_xll.SNL.Clients.Office.Excel.Functions.SPG(CN197, "SP_COUNTRY_NAME")</f>
        <v>South Africa</v>
      </c>
      <c r="CV197" s="9" t="str">
        <f>_xll.SNL.Clients.Office.Excel.Functions.SPG(CS197, "SP_COUNTRY_NAME")</f>
        <v>#INVALID COMPANY ID</v>
      </c>
      <c r="DA197" s="9" t="str">
        <f>_xll.SNL.Clients.Office.Excel.Functions.SPG(CX197, "SP_COUNTRY_NAME")</f>
        <v>#INVALID COMPANY ID</v>
      </c>
      <c r="DB197" t="s">
        <v>460</v>
      </c>
      <c r="DC197">
        <v>4337989</v>
      </c>
      <c r="DD197" t="s">
        <v>346</v>
      </c>
      <c r="DE197" s="11">
        <v>0.02</v>
      </c>
      <c r="DF197" s="9" t="str">
        <f>_xll.SNL.Clients.Office.Excel.Functions.SPG(DC197, "SP_COUNTRY_NAME")</f>
        <v>USA</v>
      </c>
      <c r="DK197" s="9" t="str">
        <f>_xll.SNL.Clients.Office.Excel.Functions.SPG(DH197, "SP_COUNTRY_NAME")</f>
        <v>#INVALID COMPANY ID</v>
      </c>
      <c r="DL197" t="s">
        <v>460</v>
      </c>
      <c r="DM197">
        <v>4337989</v>
      </c>
      <c r="DN197" t="s">
        <v>346</v>
      </c>
      <c r="DO197" s="11">
        <v>0.02</v>
      </c>
      <c r="DP197" s="9" t="str">
        <f>_xll.SNL.Clients.Office.Excel.Functions.SPG(DM197, "SP_COUNTRY_NAME")</f>
        <v>USA</v>
      </c>
      <c r="DU197" s="9" t="str">
        <f>_xll.SNL.Clients.Office.Excel.Functions.SPG(DR197, "SP_COUNTRY_NAME")</f>
        <v>#INVALID COMPANY ID</v>
      </c>
      <c r="DZ197" s="9" t="str">
        <f>_xll.SNL.Clients.Office.Excel.Functions.SPG(DW197, "SP_COUNTRY_NAME")</f>
        <v>#INVALID COMPANY ID</v>
      </c>
      <c r="EA197" t="s">
        <v>1688</v>
      </c>
      <c r="EB197">
        <v>4319774</v>
      </c>
      <c r="EC197" t="s">
        <v>364</v>
      </c>
      <c r="ED197" s="11">
        <v>0.01</v>
      </c>
      <c r="EE197" s="9" t="str">
        <f>_xll.SNL.Clients.Office.Excel.Functions.SPG(EB197, "SP_COUNTRY_NAME")</f>
        <v>USA</v>
      </c>
      <c r="EF197" t="s">
        <v>460</v>
      </c>
      <c r="EG197">
        <v>4337989</v>
      </c>
      <c r="EH197" t="s">
        <v>346</v>
      </c>
      <c r="EI197" s="11">
        <v>0.02</v>
      </c>
      <c r="EJ197" s="9" t="str">
        <f>_xll.SNL.Clients.Office.Excel.Functions.SPG(EG197, "SP_COUNTRY_NAME")</f>
        <v>USA</v>
      </c>
      <c r="EO197" s="9" t="str">
        <f>_xll.SNL.Clients.Office.Excel.Functions.SPG(EL197, "SP_COUNTRY_NAME")</f>
        <v>#INVALID COMPANY ID</v>
      </c>
      <c r="ET197" s="9" t="str">
        <f>_xll.SNL.Clients.Office.Excel.Functions.SPG(EQ197, "SP_COUNTRY_NAME")</f>
        <v>#INVALID COMPANY ID</v>
      </c>
      <c r="EY197" s="9" t="str">
        <f>_xll.SNL.Clients.Office.Excel.Functions.SPG(EV197, "SP_COUNTRY_NAME")</f>
        <v>#INVALID COMPANY ID</v>
      </c>
      <c r="FD197" s="9" t="str">
        <f>_xll.SNL.Clients.Office.Excel.Functions.SPG(FA197, "SP_COUNTRY_NAME")</f>
        <v>#INVALID COMPANY ID</v>
      </c>
      <c r="FI197" s="9" t="str">
        <f>_xll.SNL.Clients.Office.Excel.Functions.SPG(FF197, "SP_COUNTRY_NAME")</f>
        <v>#INVALID COMPANY ID</v>
      </c>
      <c r="FN197" s="9" t="str">
        <f>_xll.SNL.Clients.Office.Excel.Functions.SPG(FK197, "SP_COUNTRY_NAME")</f>
        <v>#INVALID COMPANY ID</v>
      </c>
      <c r="FS197" s="9" t="str">
        <f>_xll.SNL.Clients.Office.Excel.Functions.SPG(FP197, "SP_COUNTRY_NAME")</f>
        <v>#INVALID COMPANY ID</v>
      </c>
      <c r="FX197" s="9" t="str">
        <f>_xll.SNL.Clients.Office.Excel.Functions.SPG(FU197, "SP_COUNTRY_NAME")</f>
        <v>#INVALID COMPANY ID</v>
      </c>
      <c r="FY197" t="s">
        <v>460</v>
      </c>
      <c r="FZ197">
        <v>4337989</v>
      </c>
      <c r="GA197" t="s">
        <v>346</v>
      </c>
      <c r="GB197" s="11">
        <v>0.02</v>
      </c>
      <c r="GC197" s="9" t="str">
        <f>_xll.SNL.Clients.Office.Excel.Functions.SPG(FZ197, "SP_COUNTRY_NAME")</f>
        <v>USA</v>
      </c>
      <c r="GH197" s="9" t="str">
        <f>_xll.SNL.Clients.Office.Excel.Functions.SPG(GE197, "SP_COUNTRY_NAME")</f>
        <v>#INVALID COMPANY ID</v>
      </c>
      <c r="GM197" s="9" t="str">
        <f>_xll.SNL.Clients.Office.Excel.Functions.SPG(GJ197, "SP_COUNTRY_NAME")</f>
        <v>#INVALID COMPANY ID</v>
      </c>
      <c r="GR197" s="9" t="str">
        <f>_xll.SNL.Clients.Office.Excel.Functions.SPG(GO197, "SP_COUNTRY_NAME")</f>
        <v>#INVALID COMPANY ID</v>
      </c>
      <c r="GS197" t="s">
        <v>782</v>
      </c>
      <c r="GT197">
        <v>4138745</v>
      </c>
      <c r="GU197" t="s">
        <v>346</v>
      </c>
      <c r="GV197" s="11">
        <v>0</v>
      </c>
      <c r="GW197" s="9" t="str">
        <f>_xll.SNL.Clients.Office.Excel.Functions.SPG(GT197, "SP_COUNTRY_NAME")</f>
        <v>Singapore</v>
      </c>
      <c r="GX197" t="s">
        <v>1688</v>
      </c>
      <c r="GY197">
        <v>4319774</v>
      </c>
      <c r="GZ197" t="s">
        <v>364</v>
      </c>
      <c r="HA197" s="11">
        <v>0.01</v>
      </c>
      <c r="HB197" s="9" t="str">
        <f>_xll.SNL.Clients.Office.Excel.Functions.SPG(GY197, "SP_COUNTRY_NAME")</f>
        <v>USA</v>
      </c>
      <c r="HG197" s="9" t="str">
        <f>_xll.SNL.Clients.Office.Excel.Functions.SPG(HD197, "SP_COUNTRY_NAME")</f>
        <v>#INVALID COMPANY ID</v>
      </c>
    </row>
    <row r="198" spans="5:215" x14ac:dyDescent="0.35">
      <c r="E198" s="9" t="str">
        <f>_xll.SNL.Clients.Office.Excel.Functions.SPG(B198, "SP_COUNTRY_NAME")</f>
        <v>#INVALID COMPANY ID</v>
      </c>
      <c r="F198" t="s">
        <v>583</v>
      </c>
      <c r="G198">
        <v>4579014</v>
      </c>
      <c r="H198" t="s">
        <v>346</v>
      </c>
      <c r="I198" s="11">
        <v>0</v>
      </c>
      <c r="J198" s="9" t="str">
        <f>_xll.SNL.Clients.Office.Excel.Functions.SPG(G198, "SP_COUNTRY_NAME")</f>
        <v>USA</v>
      </c>
      <c r="O198" s="9" t="str">
        <f>_xll.SNL.Clients.Office.Excel.Functions.SPG(L198, "SP_COUNTRY_NAME")</f>
        <v>#INVALID COMPANY ID</v>
      </c>
      <c r="T198" s="9" t="str">
        <f>_xll.SNL.Clients.Office.Excel.Functions.SPG(Q198, "SP_COUNTRY_NAME")</f>
        <v>#INVALID COMPANY ID</v>
      </c>
      <c r="U198" t="s">
        <v>791</v>
      </c>
      <c r="V198">
        <v>4139625</v>
      </c>
      <c r="W198" t="s">
        <v>346</v>
      </c>
      <c r="X198" s="11">
        <v>0.01</v>
      </c>
      <c r="Y198" s="9" t="str">
        <f>_xll.SNL.Clients.Office.Excel.Functions.SPG(V198, "SP_COUNTRY_NAME")</f>
        <v>Malaysia</v>
      </c>
      <c r="AD198" s="9" t="str">
        <f>_xll.SNL.Clients.Office.Excel.Functions.SPG(AA198, "SP_COUNTRY_NAME")</f>
        <v>#INVALID COMPANY ID</v>
      </c>
      <c r="AE198" t="s">
        <v>578</v>
      </c>
      <c r="AF198">
        <v>5793585</v>
      </c>
      <c r="AG198" t="s">
        <v>346</v>
      </c>
      <c r="AH198" s="11">
        <v>0</v>
      </c>
      <c r="AI198" s="9" t="str">
        <f>_xll.SNL.Clients.Office.Excel.Functions.SPG(AF198, "SP_COUNTRY_NAME")</f>
        <v>Luxembourg</v>
      </c>
      <c r="AN198" s="9" t="str">
        <f>_xll.SNL.Clients.Office.Excel.Functions.SPG(AK198, "SP_COUNTRY_NAME")</f>
        <v>#INVALID COMPANY ID</v>
      </c>
      <c r="AO198" t="s">
        <v>1336</v>
      </c>
      <c r="AP198">
        <v>118749616</v>
      </c>
      <c r="AQ198" t="s">
        <v>346</v>
      </c>
      <c r="AR198" s="11">
        <v>0</v>
      </c>
      <c r="AS198" s="9" t="str">
        <f>_xll.SNL.Clients.Office.Excel.Functions.SPG(AP198, "SP_COUNTRY_NAME")</f>
        <v>#INVALID COMPANY ID</v>
      </c>
      <c r="AX198" s="9" t="str">
        <f>_xll.SNL.Clients.Office.Excel.Functions.SPG(AU198, "SP_COUNTRY_NAME")</f>
        <v>#INVALID COMPANY ID</v>
      </c>
      <c r="BC198" s="9" t="str">
        <f>_xll.SNL.Clients.Office.Excel.Functions.SPG(AZ198, "SP_COUNTRY_NAME")</f>
        <v>#INVALID COMPANY ID</v>
      </c>
      <c r="BD198" t="s">
        <v>1456</v>
      </c>
      <c r="BE198">
        <v>4055762</v>
      </c>
      <c r="BF198" t="s">
        <v>366</v>
      </c>
      <c r="BG198" s="11">
        <v>0.02</v>
      </c>
      <c r="BH198" s="9" t="str">
        <f>_xll.SNL.Clients.Office.Excel.Functions.SPG(BE198, "SP_COUNTRY_NAME")</f>
        <v>Italy</v>
      </c>
      <c r="BI198" t="s">
        <v>1583</v>
      </c>
      <c r="BJ198">
        <v>4417299</v>
      </c>
      <c r="BK198" t="s">
        <v>346</v>
      </c>
      <c r="BL198" s="11">
        <v>0</v>
      </c>
      <c r="BM198" s="9" t="str">
        <f>_xll.SNL.Clients.Office.Excel.Functions.SPG(BJ198, "SP_COUNTRY_NAME")</f>
        <v>Germany</v>
      </c>
      <c r="BN198" t="s">
        <v>685</v>
      </c>
      <c r="BO198">
        <v>4641730</v>
      </c>
      <c r="BP198" t="s">
        <v>346</v>
      </c>
      <c r="BQ198" s="11">
        <v>0</v>
      </c>
      <c r="BR198" s="9" t="str">
        <f>_xll.SNL.Clients.Office.Excel.Functions.SPG(BO198, "SP_COUNTRY_NAME")</f>
        <v>Hong Kong</v>
      </c>
      <c r="BS198" t="s">
        <v>403</v>
      </c>
      <c r="BT198">
        <v>4033550</v>
      </c>
      <c r="BU198" t="s">
        <v>346</v>
      </c>
      <c r="BV198" s="11">
        <v>0.01</v>
      </c>
      <c r="BW198" s="9" t="str">
        <f>_xll.SNL.Clients.Office.Excel.Functions.SPG(BT198, "SP_COUNTRY_NAME")</f>
        <v>USA</v>
      </c>
      <c r="BX198" t="s">
        <v>791</v>
      </c>
      <c r="BY198">
        <v>4139625</v>
      </c>
      <c r="BZ198" t="s">
        <v>346</v>
      </c>
      <c r="CA198" s="11">
        <v>0.01</v>
      </c>
      <c r="CB198" s="9" t="str">
        <f>_xll.SNL.Clients.Office.Excel.Functions.SPG(BY198, "SP_COUNTRY_NAME")</f>
        <v>Malaysia</v>
      </c>
      <c r="CC198" t="s">
        <v>1689</v>
      </c>
      <c r="CD198">
        <v>4005755</v>
      </c>
      <c r="CE198" t="s">
        <v>363</v>
      </c>
      <c r="CF198" s="11">
        <v>0.01</v>
      </c>
      <c r="CG198" s="9" t="str">
        <f>_xll.SNL.Clients.Office.Excel.Functions.SPG(CD198, "SP_COUNTRY_NAME")</f>
        <v>USA</v>
      </c>
      <c r="CH198" t="s">
        <v>1336</v>
      </c>
      <c r="CI198">
        <v>118749616</v>
      </c>
      <c r="CJ198" t="s">
        <v>346</v>
      </c>
      <c r="CK198" s="11">
        <v>0</v>
      </c>
      <c r="CL198" s="9" t="str">
        <f>_xll.SNL.Clients.Office.Excel.Functions.SPG(CI198, "SP_COUNTRY_NAME")</f>
        <v>#INVALID COMPANY ID</v>
      </c>
      <c r="CM198" t="s">
        <v>1989</v>
      </c>
      <c r="CN198">
        <v>4540115</v>
      </c>
      <c r="CO198" t="s">
        <v>366</v>
      </c>
      <c r="CP198" s="11">
        <v>0.01</v>
      </c>
      <c r="CQ198" s="9" t="str">
        <f>_xll.SNL.Clients.Office.Excel.Functions.SPG(CN198, "SP_COUNTRY_NAME")</f>
        <v>Netherlands</v>
      </c>
      <c r="CV198" s="9" t="str">
        <f>_xll.SNL.Clients.Office.Excel.Functions.SPG(CS198, "SP_COUNTRY_NAME")</f>
        <v>#INVALID COMPANY ID</v>
      </c>
      <c r="DA198" s="9" t="str">
        <f>_xll.SNL.Clients.Office.Excel.Functions.SPG(CX198, "SP_COUNTRY_NAME")</f>
        <v>#INVALID COMPANY ID</v>
      </c>
      <c r="DB198" t="s">
        <v>1456</v>
      </c>
      <c r="DC198">
        <v>4055762</v>
      </c>
      <c r="DD198" t="s">
        <v>366</v>
      </c>
      <c r="DE198" s="11">
        <v>0.02</v>
      </c>
      <c r="DF198" s="9" t="str">
        <f>_xll.SNL.Clients.Office.Excel.Functions.SPG(DC198, "SP_COUNTRY_NAME")</f>
        <v>Italy</v>
      </c>
      <c r="DK198" s="9" t="str">
        <f>_xll.SNL.Clients.Office.Excel.Functions.SPG(DH198, "SP_COUNTRY_NAME")</f>
        <v>#INVALID COMPANY ID</v>
      </c>
      <c r="DL198" t="s">
        <v>1456</v>
      </c>
      <c r="DM198">
        <v>4055762</v>
      </c>
      <c r="DN198" t="s">
        <v>366</v>
      </c>
      <c r="DO198" s="11">
        <v>0.02</v>
      </c>
      <c r="DP198" s="9" t="str">
        <f>_xll.SNL.Clients.Office.Excel.Functions.SPG(DM198, "SP_COUNTRY_NAME")</f>
        <v>Italy</v>
      </c>
      <c r="DU198" s="9" t="str">
        <f>_xll.SNL.Clients.Office.Excel.Functions.SPG(DR198, "SP_COUNTRY_NAME")</f>
        <v>#INVALID COMPANY ID</v>
      </c>
      <c r="DZ198" s="9" t="str">
        <f>_xll.SNL.Clients.Office.Excel.Functions.SPG(DW198, "SP_COUNTRY_NAME")</f>
        <v>#INVALID COMPANY ID</v>
      </c>
      <c r="EA198" t="s">
        <v>1689</v>
      </c>
      <c r="EB198">
        <v>4005755</v>
      </c>
      <c r="EC198" t="s">
        <v>363</v>
      </c>
      <c r="ED198" s="11">
        <v>0.01</v>
      </c>
      <c r="EE198" s="9" t="str">
        <f>_xll.SNL.Clients.Office.Excel.Functions.SPG(EB198, "SP_COUNTRY_NAME")</f>
        <v>USA</v>
      </c>
      <c r="EF198" t="s">
        <v>1456</v>
      </c>
      <c r="EG198">
        <v>4055762</v>
      </c>
      <c r="EH198" t="s">
        <v>366</v>
      </c>
      <c r="EI198" s="11">
        <v>0.02</v>
      </c>
      <c r="EJ198" s="9" t="str">
        <f>_xll.SNL.Clients.Office.Excel.Functions.SPG(EG198, "SP_COUNTRY_NAME")</f>
        <v>Italy</v>
      </c>
      <c r="EO198" s="9" t="str">
        <f>_xll.SNL.Clients.Office.Excel.Functions.SPG(EL198, "SP_COUNTRY_NAME")</f>
        <v>#INVALID COMPANY ID</v>
      </c>
      <c r="ET198" s="9" t="str">
        <f>_xll.SNL.Clients.Office.Excel.Functions.SPG(EQ198, "SP_COUNTRY_NAME")</f>
        <v>#INVALID COMPANY ID</v>
      </c>
      <c r="EY198" s="9" t="str">
        <f>_xll.SNL.Clients.Office.Excel.Functions.SPG(EV198, "SP_COUNTRY_NAME")</f>
        <v>#INVALID COMPANY ID</v>
      </c>
      <c r="FD198" s="9" t="str">
        <f>_xll.SNL.Clients.Office.Excel.Functions.SPG(FA198, "SP_COUNTRY_NAME")</f>
        <v>#INVALID COMPANY ID</v>
      </c>
      <c r="FI198" s="9" t="str">
        <f>_xll.SNL.Clients.Office.Excel.Functions.SPG(FF198, "SP_COUNTRY_NAME")</f>
        <v>#INVALID COMPANY ID</v>
      </c>
      <c r="FN198" s="9" t="str">
        <f>_xll.SNL.Clients.Office.Excel.Functions.SPG(FK198, "SP_COUNTRY_NAME")</f>
        <v>#INVALID COMPANY ID</v>
      </c>
      <c r="FS198" s="9" t="str">
        <f>_xll.SNL.Clients.Office.Excel.Functions.SPG(FP198, "SP_COUNTRY_NAME")</f>
        <v>#INVALID COMPANY ID</v>
      </c>
      <c r="FX198" s="9" t="str">
        <f>_xll.SNL.Clients.Office.Excel.Functions.SPG(FU198, "SP_COUNTRY_NAME")</f>
        <v>#INVALID COMPANY ID</v>
      </c>
      <c r="FY198" t="s">
        <v>1456</v>
      </c>
      <c r="FZ198">
        <v>4055762</v>
      </c>
      <c r="GA198" t="s">
        <v>366</v>
      </c>
      <c r="GB198" s="11">
        <v>0.02</v>
      </c>
      <c r="GC198" s="9" t="str">
        <f>_xll.SNL.Clients.Office.Excel.Functions.SPG(FZ198, "SP_COUNTRY_NAME")</f>
        <v>Italy</v>
      </c>
      <c r="GH198" s="9" t="str">
        <f>_xll.SNL.Clients.Office.Excel.Functions.SPG(GE198, "SP_COUNTRY_NAME")</f>
        <v>#INVALID COMPANY ID</v>
      </c>
      <c r="GM198" s="9" t="str">
        <f>_xll.SNL.Clients.Office.Excel.Functions.SPG(GJ198, "SP_COUNTRY_NAME")</f>
        <v>#INVALID COMPANY ID</v>
      </c>
      <c r="GR198" s="9" t="str">
        <f>_xll.SNL.Clients.Office.Excel.Functions.SPG(GO198, "SP_COUNTRY_NAME")</f>
        <v>#INVALID COMPANY ID</v>
      </c>
      <c r="GS198" t="s">
        <v>685</v>
      </c>
      <c r="GT198">
        <v>4641730</v>
      </c>
      <c r="GU198" t="s">
        <v>346</v>
      </c>
      <c r="GV198" s="11">
        <v>0</v>
      </c>
      <c r="GW198" s="9" t="str">
        <f>_xll.SNL.Clients.Office.Excel.Functions.SPG(GT198, "SP_COUNTRY_NAME")</f>
        <v>Hong Kong</v>
      </c>
      <c r="GX198" t="s">
        <v>1689</v>
      </c>
      <c r="GY198">
        <v>4005755</v>
      </c>
      <c r="GZ198" t="s">
        <v>363</v>
      </c>
      <c r="HA198" s="11">
        <v>0.01</v>
      </c>
      <c r="HB198" s="9" t="str">
        <f>_xll.SNL.Clients.Office.Excel.Functions.SPG(GY198, "SP_COUNTRY_NAME")</f>
        <v>USA</v>
      </c>
      <c r="HG198" s="9" t="str">
        <f>_xll.SNL.Clients.Office.Excel.Functions.SPG(HD198, "SP_COUNTRY_NAME")</f>
        <v>#INVALID COMPANY ID</v>
      </c>
    </row>
    <row r="199" spans="5:215" x14ac:dyDescent="0.35">
      <c r="E199" s="9" t="str">
        <f>_xll.SNL.Clients.Office.Excel.Functions.SPG(B199, "SP_COUNTRY_NAME")</f>
        <v>#INVALID COMPANY ID</v>
      </c>
      <c r="F199" t="s">
        <v>584</v>
      </c>
      <c r="G199">
        <v>4138797</v>
      </c>
      <c r="H199" t="s">
        <v>346</v>
      </c>
      <c r="I199" s="11">
        <v>0</v>
      </c>
      <c r="J199" s="9" t="str">
        <f>_xll.SNL.Clients.Office.Excel.Functions.SPG(G199, "SP_COUNTRY_NAME")</f>
        <v>Hong Kong</v>
      </c>
      <c r="O199" s="9" t="str">
        <f>_xll.SNL.Clients.Office.Excel.Functions.SPG(L199, "SP_COUNTRY_NAME")</f>
        <v>#INVALID COMPANY ID</v>
      </c>
      <c r="T199" s="9" t="str">
        <f>_xll.SNL.Clients.Office.Excel.Functions.SPG(Q199, "SP_COUNTRY_NAME")</f>
        <v>#INVALID COMPANY ID</v>
      </c>
      <c r="U199" t="s">
        <v>792</v>
      </c>
      <c r="V199">
        <v>4314602</v>
      </c>
      <c r="W199" t="s">
        <v>346</v>
      </c>
      <c r="X199" s="11">
        <v>0.01</v>
      </c>
      <c r="Y199" s="9" t="str">
        <f>_xll.SNL.Clients.Office.Excel.Functions.SPG(V199, "SP_COUNTRY_NAME")</f>
        <v>Taiwan</v>
      </c>
      <c r="AD199" s="9" t="str">
        <f>_xll.SNL.Clients.Office.Excel.Functions.SPG(AA199, "SP_COUNTRY_NAME")</f>
        <v>#INVALID COMPANY ID</v>
      </c>
      <c r="AE199" t="s">
        <v>567</v>
      </c>
      <c r="AF199">
        <v>4139837</v>
      </c>
      <c r="AG199" t="s">
        <v>346</v>
      </c>
      <c r="AH199" s="11">
        <v>0</v>
      </c>
      <c r="AI199" s="9" t="str">
        <f>_xll.SNL.Clients.Office.Excel.Functions.SPG(AF199, "SP_COUNTRY_NAME")</f>
        <v>Japan</v>
      </c>
      <c r="AN199" s="9" t="str">
        <f>_xll.SNL.Clients.Office.Excel.Functions.SPG(AK199, "SP_COUNTRY_NAME")</f>
        <v>#INVALID COMPANY ID</v>
      </c>
      <c r="AO199" t="s">
        <v>464</v>
      </c>
      <c r="AP199">
        <v>4629378</v>
      </c>
      <c r="AQ199" t="s">
        <v>346</v>
      </c>
      <c r="AR199" s="11">
        <v>0</v>
      </c>
      <c r="AS199" s="9" t="str">
        <f>_xll.SNL.Clients.Office.Excel.Functions.SPG(AP199, "SP_COUNTRY_NAME")</f>
        <v>Japan</v>
      </c>
      <c r="AX199" s="9" t="str">
        <f>_xll.SNL.Clients.Office.Excel.Functions.SPG(AU199, "SP_COUNTRY_NAME")</f>
        <v>#INVALID COMPANY ID</v>
      </c>
      <c r="BC199" s="9" t="str">
        <f>_xll.SNL.Clients.Office.Excel.Functions.SPG(AZ199, "SP_COUNTRY_NAME")</f>
        <v>#INVALID COMPANY ID</v>
      </c>
      <c r="BD199" t="s">
        <v>449</v>
      </c>
      <c r="BE199">
        <v>4093616</v>
      </c>
      <c r="BF199" t="s">
        <v>346</v>
      </c>
      <c r="BG199" s="11">
        <v>0.02</v>
      </c>
      <c r="BH199" s="9" t="str">
        <f>_xll.SNL.Clients.Office.Excel.Functions.SPG(BE199, "SP_COUNTRY_NAME")</f>
        <v>Canada</v>
      </c>
      <c r="BI199" t="s">
        <v>1584</v>
      </c>
      <c r="BJ199" t="s">
        <v>300</v>
      </c>
      <c r="BK199" t="s">
        <v>361</v>
      </c>
      <c r="BL199" s="11">
        <v>0</v>
      </c>
      <c r="BM199" s="9" t="str">
        <f>_xll.SNL.Clients.Office.Excel.Functions.SPG(BJ199, "SP_COUNTRY_NAME")</f>
        <v>China</v>
      </c>
      <c r="BN199" t="s">
        <v>826</v>
      </c>
      <c r="BO199">
        <v>7789048</v>
      </c>
      <c r="BP199" t="s">
        <v>346</v>
      </c>
      <c r="BQ199" s="11">
        <v>0</v>
      </c>
      <c r="BR199" s="9" t="str">
        <f>_xll.SNL.Clients.Office.Excel.Functions.SPG(BO199, "SP_COUNTRY_NAME")</f>
        <v>China</v>
      </c>
      <c r="BS199" t="s">
        <v>407</v>
      </c>
      <c r="BT199">
        <v>109754</v>
      </c>
      <c r="BU199" t="s">
        <v>346</v>
      </c>
      <c r="BV199" s="11">
        <v>0.01</v>
      </c>
      <c r="BW199" s="9" t="str">
        <f>_xll.SNL.Clients.Office.Excel.Functions.SPG(BT199, "SP_COUNTRY_NAME")</f>
        <v>USA</v>
      </c>
      <c r="BX199" t="s">
        <v>792</v>
      </c>
      <c r="BY199">
        <v>4314602</v>
      </c>
      <c r="BZ199" t="s">
        <v>346</v>
      </c>
      <c r="CA199" s="11">
        <v>0.01</v>
      </c>
      <c r="CB199" s="9" t="str">
        <f>_xll.SNL.Clients.Office.Excel.Functions.SPG(BY199, "SP_COUNTRY_NAME")</f>
        <v>Taiwan</v>
      </c>
      <c r="CC199" t="s">
        <v>1415</v>
      </c>
      <c r="CD199">
        <v>4077805</v>
      </c>
      <c r="CE199" t="s">
        <v>366</v>
      </c>
      <c r="CF199" s="11">
        <v>0.01</v>
      </c>
      <c r="CG199" s="9" t="str">
        <f>_xll.SNL.Clients.Office.Excel.Functions.SPG(CD199, "SP_COUNTRY_NAME")</f>
        <v>France</v>
      </c>
      <c r="CH199" t="s">
        <v>464</v>
      </c>
      <c r="CI199">
        <v>4629378</v>
      </c>
      <c r="CJ199" t="s">
        <v>346</v>
      </c>
      <c r="CK199" s="11">
        <v>0</v>
      </c>
      <c r="CL199" s="9" t="str">
        <f>_xll.SNL.Clients.Office.Excel.Functions.SPG(CI199, "SP_COUNTRY_NAME")</f>
        <v>Japan</v>
      </c>
      <c r="CM199" t="s">
        <v>1990</v>
      </c>
      <c r="CN199">
        <v>14979346</v>
      </c>
      <c r="CO199" t="s">
        <v>346</v>
      </c>
      <c r="CP199" s="11">
        <v>0.01</v>
      </c>
      <c r="CQ199" s="9" t="str">
        <f>_xll.SNL.Clients.Office.Excel.Functions.SPG(CN199, "SP_COUNTRY_NAME")</f>
        <v>USA</v>
      </c>
      <c r="CV199" s="9" t="str">
        <f>_xll.SNL.Clients.Office.Excel.Functions.SPG(CS199, "SP_COUNTRY_NAME")</f>
        <v>#INVALID COMPANY ID</v>
      </c>
      <c r="DA199" s="9" t="str">
        <f>_xll.SNL.Clients.Office.Excel.Functions.SPG(CX199, "SP_COUNTRY_NAME")</f>
        <v>#INVALID COMPANY ID</v>
      </c>
      <c r="DB199" t="s">
        <v>449</v>
      </c>
      <c r="DC199">
        <v>4093616</v>
      </c>
      <c r="DD199" t="s">
        <v>346</v>
      </c>
      <c r="DE199" s="11">
        <v>0.02</v>
      </c>
      <c r="DF199" s="9" t="str">
        <f>_xll.SNL.Clients.Office.Excel.Functions.SPG(DC199, "SP_COUNTRY_NAME")</f>
        <v>Canada</v>
      </c>
      <c r="DK199" s="9" t="str">
        <f>_xll.SNL.Clients.Office.Excel.Functions.SPG(DH199, "SP_COUNTRY_NAME")</f>
        <v>#INVALID COMPANY ID</v>
      </c>
      <c r="DL199" t="s">
        <v>449</v>
      </c>
      <c r="DM199">
        <v>4093616</v>
      </c>
      <c r="DN199" t="s">
        <v>346</v>
      </c>
      <c r="DO199" s="11">
        <v>0.02</v>
      </c>
      <c r="DP199" s="9" t="str">
        <f>_xll.SNL.Clients.Office.Excel.Functions.SPG(DM199, "SP_COUNTRY_NAME")</f>
        <v>Canada</v>
      </c>
      <c r="DU199" s="9" t="str">
        <f>_xll.SNL.Clients.Office.Excel.Functions.SPG(DR199, "SP_COUNTRY_NAME")</f>
        <v>#INVALID COMPANY ID</v>
      </c>
      <c r="DZ199" s="9" t="str">
        <f>_xll.SNL.Clients.Office.Excel.Functions.SPG(DW199, "SP_COUNTRY_NAME")</f>
        <v>#INVALID COMPANY ID</v>
      </c>
      <c r="EA199" t="s">
        <v>1415</v>
      </c>
      <c r="EB199">
        <v>4077805</v>
      </c>
      <c r="EC199" t="s">
        <v>366</v>
      </c>
      <c r="ED199" s="11">
        <v>0.01</v>
      </c>
      <c r="EE199" s="9" t="str">
        <f>_xll.SNL.Clients.Office.Excel.Functions.SPG(EB199, "SP_COUNTRY_NAME")</f>
        <v>France</v>
      </c>
      <c r="EF199" t="s">
        <v>449</v>
      </c>
      <c r="EG199">
        <v>4093616</v>
      </c>
      <c r="EH199" t="s">
        <v>346</v>
      </c>
      <c r="EI199" s="11">
        <v>0.02</v>
      </c>
      <c r="EJ199" s="9" t="str">
        <f>_xll.SNL.Clients.Office.Excel.Functions.SPG(EG199, "SP_COUNTRY_NAME")</f>
        <v>Canada</v>
      </c>
      <c r="EO199" s="9" t="str">
        <f>_xll.SNL.Clients.Office.Excel.Functions.SPG(EL199, "SP_COUNTRY_NAME")</f>
        <v>#INVALID COMPANY ID</v>
      </c>
      <c r="ET199" s="9" t="str">
        <f>_xll.SNL.Clients.Office.Excel.Functions.SPG(EQ199, "SP_COUNTRY_NAME")</f>
        <v>#INVALID COMPANY ID</v>
      </c>
      <c r="EY199" s="9" t="str">
        <f>_xll.SNL.Clients.Office.Excel.Functions.SPG(EV199, "SP_COUNTRY_NAME")</f>
        <v>#INVALID COMPANY ID</v>
      </c>
      <c r="FD199" s="9" t="str">
        <f>_xll.SNL.Clients.Office.Excel.Functions.SPG(FA199, "SP_COUNTRY_NAME")</f>
        <v>#INVALID COMPANY ID</v>
      </c>
      <c r="FI199" s="9" t="str">
        <f>_xll.SNL.Clients.Office.Excel.Functions.SPG(FF199, "SP_COUNTRY_NAME")</f>
        <v>#INVALID COMPANY ID</v>
      </c>
      <c r="FN199" s="9" t="str">
        <f>_xll.SNL.Clients.Office.Excel.Functions.SPG(FK199, "SP_COUNTRY_NAME")</f>
        <v>#INVALID COMPANY ID</v>
      </c>
      <c r="FS199" s="9" t="str">
        <f>_xll.SNL.Clients.Office.Excel.Functions.SPG(FP199, "SP_COUNTRY_NAME")</f>
        <v>#INVALID COMPANY ID</v>
      </c>
      <c r="FX199" s="9" t="str">
        <f>_xll.SNL.Clients.Office.Excel.Functions.SPG(FU199, "SP_COUNTRY_NAME")</f>
        <v>#INVALID COMPANY ID</v>
      </c>
      <c r="FY199" t="s">
        <v>449</v>
      </c>
      <c r="FZ199">
        <v>4093616</v>
      </c>
      <c r="GA199" t="s">
        <v>346</v>
      </c>
      <c r="GB199" s="11">
        <v>0.02</v>
      </c>
      <c r="GC199" s="9" t="str">
        <f>_xll.SNL.Clients.Office.Excel.Functions.SPG(FZ199, "SP_COUNTRY_NAME")</f>
        <v>Canada</v>
      </c>
      <c r="GH199" s="9" t="str">
        <f>_xll.SNL.Clients.Office.Excel.Functions.SPG(GE199, "SP_COUNTRY_NAME")</f>
        <v>#INVALID COMPANY ID</v>
      </c>
      <c r="GM199" s="9" t="str">
        <f>_xll.SNL.Clients.Office.Excel.Functions.SPG(GJ199, "SP_COUNTRY_NAME")</f>
        <v>#INVALID COMPANY ID</v>
      </c>
      <c r="GR199" s="9" t="str">
        <f>_xll.SNL.Clients.Office.Excel.Functions.SPG(GO199, "SP_COUNTRY_NAME")</f>
        <v>#INVALID COMPANY ID</v>
      </c>
      <c r="GS199" t="s">
        <v>826</v>
      </c>
      <c r="GT199">
        <v>7789048</v>
      </c>
      <c r="GU199" t="s">
        <v>346</v>
      </c>
      <c r="GV199" s="11">
        <v>0</v>
      </c>
      <c r="GW199" s="9" t="str">
        <f>_xll.SNL.Clients.Office.Excel.Functions.SPG(GT199, "SP_COUNTRY_NAME")</f>
        <v>China</v>
      </c>
      <c r="GX199" t="s">
        <v>1415</v>
      </c>
      <c r="GY199">
        <v>4077805</v>
      </c>
      <c r="GZ199" t="s">
        <v>366</v>
      </c>
      <c r="HA199" s="11">
        <v>0.01</v>
      </c>
      <c r="HB199" s="9" t="str">
        <f>_xll.SNL.Clients.Office.Excel.Functions.SPG(GY199, "SP_COUNTRY_NAME")</f>
        <v>France</v>
      </c>
      <c r="HG199" s="9" t="str">
        <f>_xll.SNL.Clients.Office.Excel.Functions.SPG(HD199, "SP_COUNTRY_NAME")</f>
        <v>#INVALID COMPANY ID</v>
      </c>
    </row>
    <row r="200" spans="5:215" x14ac:dyDescent="0.35">
      <c r="E200" s="9" t="str">
        <f>_xll.SNL.Clients.Office.Excel.Functions.SPG(B200, "SP_COUNTRY_NAME")</f>
        <v>#INVALID COMPANY ID</v>
      </c>
      <c r="F200" t="s">
        <v>585</v>
      </c>
      <c r="G200">
        <v>4139382</v>
      </c>
      <c r="H200" t="s">
        <v>346</v>
      </c>
      <c r="I200" s="11">
        <v>0</v>
      </c>
      <c r="J200" s="9" t="str">
        <f>_xll.SNL.Clients.Office.Excel.Functions.SPG(G200, "SP_COUNTRY_NAME")</f>
        <v>Spain</v>
      </c>
      <c r="O200" s="9" t="str">
        <f>_xll.SNL.Clients.Office.Excel.Functions.SPG(L200, "SP_COUNTRY_NAME")</f>
        <v>#INVALID COMPANY ID</v>
      </c>
      <c r="T200" s="9" t="str">
        <f>_xll.SNL.Clients.Office.Excel.Functions.SPG(Q200, "SP_COUNTRY_NAME")</f>
        <v>#INVALID COMPANY ID</v>
      </c>
      <c r="U200" t="s">
        <v>793</v>
      </c>
      <c r="V200">
        <v>7798890</v>
      </c>
      <c r="W200" t="s">
        <v>346</v>
      </c>
      <c r="X200" s="11">
        <v>0.01</v>
      </c>
      <c r="Y200" s="9" t="str">
        <f>_xll.SNL.Clients.Office.Excel.Functions.SPG(V200, "SP_COUNTRY_NAME")</f>
        <v>China</v>
      </c>
      <c r="AD200" s="9" t="str">
        <f>_xll.SNL.Clients.Office.Excel.Functions.SPG(AA200, "SP_COUNTRY_NAME")</f>
        <v>#INVALID COMPANY ID</v>
      </c>
      <c r="AE200" t="s">
        <v>581</v>
      </c>
      <c r="AF200">
        <v>115732953</v>
      </c>
      <c r="AG200" t="s">
        <v>346</v>
      </c>
      <c r="AH200" s="11">
        <v>0</v>
      </c>
      <c r="AI200" s="9" t="str">
        <f>_xll.SNL.Clients.Office.Excel.Functions.SPG(AF200, "SP_COUNTRY_NAME")</f>
        <v>Germany</v>
      </c>
      <c r="AN200" s="9" t="str">
        <f>_xll.SNL.Clients.Office.Excel.Functions.SPG(AK200, "SP_COUNTRY_NAME")</f>
        <v>#INVALID COMPANY ID</v>
      </c>
      <c r="AO200" t="s">
        <v>1337</v>
      </c>
      <c r="AP200">
        <v>133963845</v>
      </c>
      <c r="AQ200" t="s">
        <v>346</v>
      </c>
      <c r="AR200" s="11">
        <v>0</v>
      </c>
      <c r="AS200" s="9" t="str">
        <f>_xll.SNL.Clients.Office.Excel.Functions.SPG(AP200, "SP_COUNTRY_NAME")</f>
        <v>#INVALID COMPANY ID</v>
      </c>
      <c r="AX200" s="9" t="str">
        <f>_xll.SNL.Clients.Office.Excel.Functions.SPG(AU200, "SP_COUNTRY_NAME")</f>
        <v>#INVALID COMPANY ID</v>
      </c>
      <c r="BC200" s="9" t="str">
        <f>_xll.SNL.Clients.Office.Excel.Functions.SPG(AZ200, "SP_COUNTRY_NAME")</f>
        <v>#INVALID COMPANY ID</v>
      </c>
      <c r="BD200" t="s">
        <v>403</v>
      </c>
      <c r="BE200">
        <v>4033550</v>
      </c>
      <c r="BF200" t="s">
        <v>346</v>
      </c>
      <c r="BG200" s="11">
        <v>0.02</v>
      </c>
      <c r="BH200" s="9" t="str">
        <f>_xll.SNL.Clients.Office.Excel.Functions.SPG(BE200, "SP_COUNTRY_NAME")</f>
        <v>USA</v>
      </c>
      <c r="BI200" t="s">
        <v>1585</v>
      </c>
      <c r="BJ200">
        <v>5800780</v>
      </c>
      <c r="BK200" t="s">
        <v>300</v>
      </c>
      <c r="BL200" s="11">
        <v>0</v>
      </c>
      <c r="BM200" s="9" t="str">
        <f>_xll.SNL.Clients.Office.Excel.Functions.SPG(BJ200, "SP_COUNTRY_NAME")</f>
        <v>Luxembourg</v>
      </c>
      <c r="BN200" t="s">
        <v>791</v>
      </c>
      <c r="BO200">
        <v>4139625</v>
      </c>
      <c r="BP200" t="s">
        <v>346</v>
      </c>
      <c r="BQ200" s="11">
        <v>0</v>
      </c>
      <c r="BR200" s="9" t="str">
        <f>_xll.SNL.Clients.Office.Excel.Functions.SPG(BO200, "SP_COUNTRY_NAME")</f>
        <v>Malaysia</v>
      </c>
      <c r="BS200" t="s">
        <v>985</v>
      </c>
      <c r="BT200">
        <v>13033925</v>
      </c>
      <c r="BU200" t="s">
        <v>346</v>
      </c>
      <c r="BV200" s="11">
        <v>0.01</v>
      </c>
      <c r="BW200" s="9" t="str">
        <f>_xll.SNL.Clients.Office.Excel.Functions.SPG(BT200, "SP_COUNTRY_NAME")</f>
        <v>Germany</v>
      </c>
      <c r="BX200" t="s">
        <v>793</v>
      </c>
      <c r="BY200">
        <v>7798890</v>
      </c>
      <c r="BZ200" t="s">
        <v>346</v>
      </c>
      <c r="CA200" s="11">
        <v>0.01</v>
      </c>
      <c r="CB200" s="9" t="str">
        <f>_xll.SNL.Clients.Office.Excel.Functions.SPG(BY200, "SP_COUNTRY_NAME")</f>
        <v>China</v>
      </c>
      <c r="CC200" t="s">
        <v>1690</v>
      </c>
      <c r="CD200">
        <v>4117333</v>
      </c>
      <c r="CE200" t="s">
        <v>364</v>
      </c>
      <c r="CF200" s="11">
        <v>0.01</v>
      </c>
      <c r="CG200" s="9" t="str">
        <f>_xll.SNL.Clients.Office.Excel.Functions.SPG(CD200, "SP_COUNTRY_NAME")</f>
        <v>France</v>
      </c>
      <c r="CH200" t="s">
        <v>1337</v>
      </c>
      <c r="CI200">
        <v>133963845</v>
      </c>
      <c r="CJ200" t="s">
        <v>346</v>
      </c>
      <c r="CK200" s="11">
        <v>0</v>
      </c>
      <c r="CL200" s="9" t="str">
        <f>_xll.SNL.Clients.Office.Excel.Functions.SPG(CI200, "SP_COUNTRY_NAME")</f>
        <v>#INVALID COMPANY ID</v>
      </c>
      <c r="CM200" t="s">
        <v>659</v>
      </c>
      <c r="CN200">
        <v>4139011</v>
      </c>
      <c r="CO200" t="s">
        <v>346</v>
      </c>
      <c r="CP200" s="11">
        <v>0.01</v>
      </c>
      <c r="CQ200" s="9" t="str">
        <f>_xll.SNL.Clients.Office.Excel.Functions.SPG(CN200, "SP_COUNTRY_NAME")</f>
        <v>Germany</v>
      </c>
      <c r="CV200" s="9" t="str">
        <f>_xll.SNL.Clients.Office.Excel.Functions.SPG(CS200, "SP_COUNTRY_NAME")</f>
        <v>#INVALID COMPANY ID</v>
      </c>
      <c r="DA200" s="9" t="str">
        <f>_xll.SNL.Clients.Office.Excel.Functions.SPG(CX200, "SP_COUNTRY_NAME")</f>
        <v>#INVALID COMPANY ID</v>
      </c>
      <c r="DB200" t="s">
        <v>403</v>
      </c>
      <c r="DC200">
        <v>4033550</v>
      </c>
      <c r="DD200" t="s">
        <v>346</v>
      </c>
      <c r="DE200" s="11">
        <v>0.02</v>
      </c>
      <c r="DF200" s="9" t="str">
        <f>_xll.SNL.Clients.Office.Excel.Functions.SPG(DC200, "SP_COUNTRY_NAME")</f>
        <v>USA</v>
      </c>
      <c r="DK200" s="9" t="str">
        <f>_xll.SNL.Clients.Office.Excel.Functions.SPG(DH200, "SP_COUNTRY_NAME")</f>
        <v>#INVALID COMPANY ID</v>
      </c>
      <c r="DL200" t="s">
        <v>403</v>
      </c>
      <c r="DM200">
        <v>4033550</v>
      </c>
      <c r="DN200" t="s">
        <v>346</v>
      </c>
      <c r="DO200" s="11">
        <v>0.02</v>
      </c>
      <c r="DP200" s="9" t="str">
        <f>_xll.SNL.Clients.Office.Excel.Functions.SPG(DM200, "SP_COUNTRY_NAME")</f>
        <v>USA</v>
      </c>
      <c r="DU200" s="9" t="str">
        <f>_xll.SNL.Clients.Office.Excel.Functions.SPG(DR200, "SP_COUNTRY_NAME")</f>
        <v>#INVALID COMPANY ID</v>
      </c>
      <c r="DZ200" s="9" t="str">
        <f>_xll.SNL.Clients.Office.Excel.Functions.SPG(DW200, "SP_COUNTRY_NAME")</f>
        <v>#INVALID COMPANY ID</v>
      </c>
      <c r="EA200" t="s">
        <v>1690</v>
      </c>
      <c r="EB200">
        <v>4117333</v>
      </c>
      <c r="EC200" t="s">
        <v>364</v>
      </c>
      <c r="ED200" s="11">
        <v>0.01</v>
      </c>
      <c r="EE200" s="9" t="str">
        <f>_xll.SNL.Clients.Office.Excel.Functions.SPG(EB200, "SP_COUNTRY_NAME")</f>
        <v>France</v>
      </c>
      <c r="EF200" t="s">
        <v>403</v>
      </c>
      <c r="EG200">
        <v>4033550</v>
      </c>
      <c r="EH200" t="s">
        <v>346</v>
      </c>
      <c r="EI200" s="11">
        <v>0.02</v>
      </c>
      <c r="EJ200" s="9" t="str">
        <f>_xll.SNL.Clients.Office.Excel.Functions.SPG(EG200, "SP_COUNTRY_NAME")</f>
        <v>USA</v>
      </c>
      <c r="EO200" s="9" t="str">
        <f>_xll.SNL.Clients.Office.Excel.Functions.SPG(EL200, "SP_COUNTRY_NAME")</f>
        <v>#INVALID COMPANY ID</v>
      </c>
      <c r="ET200" s="9" t="str">
        <f>_xll.SNL.Clients.Office.Excel.Functions.SPG(EQ200, "SP_COUNTRY_NAME")</f>
        <v>#INVALID COMPANY ID</v>
      </c>
      <c r="EY200" s="9" t="str">
        <f>_xll.SNL.Clients.Office.Excel.Functions.SPG(EV200, "SP_COUNTRY_NAME")</f>
        <v>#INVALID COMPANY ID</v>
      </c>
      <c r="FD200" s="9" t="str">
        <f>_xll.SNL.Clients.Office.Excel.Functions.SPG(FA200, "SP_COUNTRY_NAME")</f>
        <v>#INVALID COMPANY ID</v>
      </c>
      <c r="FI200" s="9" t="str">
        <f>_xll.SNL.Clients.Office.Excel.Functions.SPG(FF200, "SP_COUNTRY_NAME")</f>
        <v>#INVALID COMPANY ID</v>
      </c>
      <c r="FN200" s="9" t="str">
        <f>_xll.SNL.Clients.Office.Excel.Functions.SPG(FK200, "SP_COUNTRY_NAME")</f>
        <v>#INVALID COMPANY ID</v>
      </c>
      <c r="FS200" s="9" t="str">
        <f>_xll.SNL.Clients.Office.Excel.Functions.SPG(FP200, "SP_COUNTRY_NAME")</f>
        <v>#INVALID COMPANY ID</v>
      </c>
      <c r="FX200" s="9" t="str">
        <f>_xll.SNL.Clients.Office.Excel.Functions.SPG(FU200, "SP_COUNTRY_NAME")</f>
        <v>#INVALID COMPANY ID</v>
      </c>
      <c r="FY200" t="s">
        <v>403</v>
      </c>
      <c r="FZ200">
        <v>4033550</v>
      </c>
      <c r="GA200" t="s">
        <v>346</v>
      </c>
      <c r="GB200" s="11">
        <v>0.02</v>
      </c>
      <c r="GC200" s="9" t="str">
        <f>_xll.SNL.Clients.Office.Excel.Functions.SPG(FZ200, "SP_COUNTRY_NAME")</f>
        <v>USA</v>
      </c>
      <c r="GH200" s="9" t="str">
        <f>_xll.SNL.Clients.Office.Excel.Functions.SPG(GE200, "SP_COUNTRY_NAME")</f>
        <v>#INVALID COMPANY ID</v>
      </c>
      <c r="GM200" s="9" t="str">
        <f>_xll.SNL.Clients.Office.Excel.Functions.SPG(GJ200, "SP_COUNTRY_NAME")</f>
        <v>#INVALID COMPANY ID</v>
      </c>
      <c r="GR200" s="9" t="str">
        <f>_xll.SNL.Clients.Office.Excel.Functions.SPG(GO200, "SP_COUNTRY_NAME")</f>
        <v>#INVALID COMPANY ID</v>
      </c>
      <c r="GS200" t="s">
        <v>791</v>
      </c>
      <c r="GT200">
        <v>4139625</v>
      </c>
      <c r="GU200" t="s">
        <v>346</v>
      </c>
      <c r="GV200" s="11">
        <v>0</v>
      </c>
      <c r="GW200" s="9" t="str">
        <f>_xll.SNL.Clients.Office.Excel.Functions.SPG(GT200, "SP_COUNTRY_NAME")</f>
        <v>Malaysia</v>
      </c>
      <c r="GX200" t="s">
        <v>1690</v>
      </c>
      <c r="GY200">
        <v>4117333</v>
      </c>
      <c r="GZ200" t="s">
        <v>364</v>
      </c>
      <c r="HA200" s="11">
        <v>0.01</v>
      </c>
      <c r="HB200" s="9" t="str">
        <f>_xll.SNL.Clients.Office.Excel.Functions.SPG(GY200, "SP_COUNTRY_NAME")</f>
        <v>France</v>
      </c>
      <c r="HG200" s="9" t="str">
        <f>_xll.SNL.Clients.Office.Excel.Functions.SPG(HD200, "SP_COUNTRY_NAME")</f>
        <v>#INVALID COMPANY ID</v>
      </c>
    </row>
    <row r="201" spans="5:215" x14ac:dyDescent="0.35">
      <c r="E201" s="9" t="str">
        <f>_xll.SNL.Clients.Office.Excel.Functions.SPG(B201, "SP_COUNTRY_NAME")</f>
        <v>#INVALID COMPANY ID</v>
      </c>
      <c r="F201" t="s">
        <v>586</v>
      </c>
      <c r="G201">
        <v>4251516</v>
      </c>
      <c r="H201" t="s">
        <v>346</v>
      </c>
      <c r="I201" s="11">
        <v>0</v>
      </c>
      <c r="J201" s="9" t="str">
        <f>_xll.SNL.Clients.Office.Excel.Functions.SPG(G201, "SP_COUNTRY_NAME")</f>
        <v>Switzerland</v>
      </c>
      <c r="O201" s="9" t="str">
        <f>_xll.SNL.Clients.Office.Excel.Functions.SPG(L201, "SP_COUNTRY_NAME")</f>
        <v>#INVALID COMPANY ID</v>
      </c>
      <c r="T201" s="9" t="str">
        <f>_xll.SNL.Clients.Office.Excel.Functions.SPG(Q201, "SP_COUNTRY_NAME")</f>
        <v>#INVALID COMPANY ID</v>
      </c>
      <c r="U201" t="s">
        <v>423</v>
      </c>
      <c r="V201">
        <v>4318240</v>
      </c>
      <c r="W201" t="s">
        <v>346</v>
      </c>
      <c r="X201" s="11">
        <v>0.01</v>
      </c>
      <c r="Y201" s="9" t="str">
        <f>_xll.SNL.Clients.Office.Excel.Functions.SPG(V201, "SP_COUNTRY_NAME")</f>
        <v>Japan</v>
      </c>
      <c r="AD201" s="9" t="str">
        <f>_xll.SNL.Clients.Office.Excel.Functions.SPG(AA201, "SP_COUNTRY_NAME")</f>
        <v>#INVALID COMPANY ID</v>
      </c>
      <c r="AE201" t="s">
        <v>601</v>
      </c>
      <c r="AF201">
        <v>5816131</v>
      </c>
      <c r="AG201" t="s">
        <v>346</v>
      </c>
      <c r="AH201" s="11">
        <v>0</v>
      </c>
      <c r="AI201" s="9" t="str">
        <f>_xll.SNL.Clients.Office.Excel.Functions.SPG(AF201, "SP_COUNTRY_NAME")</f>
        <v>USA</v>
      </c>
      <c r="AN201" s="9" t="str">
        <f>_xll.SNL.Clients.Office.Excel.Functions.SPG(AK201, "SP_COUNTRY_NAME")</f>
        <v>#INVALID COMPANY ID</v>
      </c>
      <c r="AO201" t="s">
        <v>461</v>
      </c>
      <c r="AP201">
        <v>4137912</v>
      </c>
      <c r="AQ201" t="s">
        <v>346</v>
      </c>
      <c r="AR201" s="11">
        <v>0</v>
      </c>
      <c r="AS201" s="9" t="str">
        <f>_xll.SNL.Clients.Office.Excel.Functions.SPG(AP201, "SP_COUNTRY_NAME")</f>
        <v>Germany</v>
      </c>
      <c r="AX201" s="9" t="str">
        <f>_xll.SNL.Clients.Office.Excel.Functions.SPG(AU201, "SP_COUNTRY_NAME")</f>
        <v>#INVALID COMPANY ID</v>
      </c>
      <c r="BC201" s="9" t="str">
        <f>_xll.SNL.Clients.Office.Excel.Functions.SPG(AZ201, "SP_COUNTRY_NAME")</f>
        <v>#INVALID COMPANY ID</v>
      </c>
      <c r="BD201" t="s">
        <v>378</v>
      </c>
      <c r="BE201">
        <v>4048184</v>
      </c>
      <c r="BF201" t="s">
        <v>346</v>
      </c>
      <c r="BG201" s="11">
        <v>0.02</v>
      </c>
      <c r="BH201" s="9" t="str">
        <f>_xll.SNL.Clients.Office.Excel.Functions.SPG(BE201, "SP_COUNTRY_NAME")</f>
        <v>Canada</v>
      </c>
      <c r="BI201" t="s">
        <v>395</v>
      </c>
      <c r="BJ201">
        <v>4153606</v>
      </c>
      <c r="BK201" t="s">
        <v>346</v>
      </c>
      <c r="BL201" s="11">
        <v>0</v>
      </c>
      <c r="BM201" s="9" t="str">
        <f>_xll.SNL.Clients.Office.Excel.Functions.SPG(BJ201, "SP_COUNTRY_NAME")</f>
        <v>USA</v>
      </c>
      <c r="BN201" t="s">
        <v>838</v>
      </c>
      <c r="BO201">
        <v>4315032</v>
      </c>
      <c r="BP201" t="s">
        <v>346</v>
      </c>
      <c r="BQ201" s="11">
        <v>0</v>
      </c>
      <c r="BR201" s="9" t="str">
        <f>_xll.SNL.Clients.Office.Excel.Functions.SPG(BO201, "SP_COUNTRY_NAME")</f>
        <v>China</v>
      </c>
      <c r="BS201" t="s">
        <v>413</v>
      </c>
      <c r="BT201">
        <v>4114882</v>
      </c>
      <c r="BU201" t="s">
        <v>346</v>
      </c>
      <c r="BV201" s="11">
        <v>0.01</v>
      </c>
      <c r="BW201" s="9" t="str">
        <f>_xll.SNL.Clients.Office.Excel.Functions.SPG(BT201, "SP_COUNTRY_NAME")</f>
        <v>Canada</v>
      </c>
      <c r="BX201" t="s">
        <v>423</v>
      </c>
      <c r="BY201">
        <v>4318240</v>
      </c>
      <c r="BZ201" t="s">
        <v>346</v>
      </c>
      <c r="CA201" s="11">
        <v>0.01</v>
      </c>
      <c r="CB201" s="9" t="str">
        <f>_xll.SNL.Clients.Office.Excel.Functions.SPG(BY201, "SP_COUNTRY_NAME")</f>
        <v>Japan</v>
      </c>
      <c r="CC201" t="s">
        <v>471</v>
      </c>
      <c r="CD201">
        <v>4102247</v>
      </c>
      <c r="CE201" t="s">
        <v>346</v>
      </c>
      <c r="CF201" s="11">
        <v>0.01</v>
      </c>
      <c r="CG201" s="9" t="str">
        <f>_xll.SNL.Clients.Office.Excel.Functions.SPG(CD201, "SP_COUNTRY_NAME")</f>
        <v>USA</v>
      </c>
      <c r="CH201" t="s">
        <v>461</v>
      </c>
      <c r="CI201">
        <v>4137912</v>
      </c>
      <c r="CJ201" t="s">
        <v>346</v>
      </c>
      <c r="CK201" s="11">
        <v>0</v>
      </c>
      <c r="CL201" s="9" t="str">
        <f>_xll.SNL.Clients.Office.Excel.Functions.SPG(CI201, "SP_COUNTRY_NAME")</f>
        <v>Germany</v>
      </c>
      <c r="CM201" t="s">
        <v>1330</v>
      </c>
      <c r="CN201">
        <v>19909326</v>
      </c>
      <c r="CO201" t="s">
        <v>364</v>
      </c>
      <c r="CP201" s="11">
        <v>0.01</v>
      </c>
      <c r="CQ201" s="9" t="str">
        <f>_xll.SNL.Clients.Office.Excel.Functions.SPG(CN201, "SP_COUNTRY_NAME")</f>
        <v>South Africa</v>
      </c>
      <c r="CV201" s="9" t="str">
        <f>_xll.SNL.Clients.Office.Excel.Functions.SPG(CS201, "SP_COUNTRY_NAME")</f>
        <v>#INVALID COMPANY ID</v>
      </c>
      <c r="DA201" s="9" t="str">
        <f>_xll.SNL.Clients.Office.Excel.Functions.SPG(CX201, "SP_COUNTRY_NAME")</f>
        <v>#INVALID COMPANY ID</v>
      </c>
      <c r="DB201" t="s">
        <v>378</v>
      </c>
      <c r="DC201">
        <v>4048184</v>
      </c>
      <c r="DD201" t="s">
        <v>346</v>
      </c>
      <c r="DE201" s="11">
        <v>0.02</v>
      </c>
      <c r="DF201" s="9" t="str">
        <f>_xll.SNL.Clients.Office.Excel.Functions.SPG(DC201, "SP_COUNTRY_NAME")</f>
        <v>Canada</v>
      </c>
      <c r="DK201" s="9" t="str">
        <f>_xll.SNL.Clients.Office.Excel.Functions.SPG(DH201, "SP_COUNTRY_NAME")</f>
        <v>#INVALID COMPANY ID</v>
      </c>
      <c r="DL201" t="s">
        <v>378</v>
      </c>
      <c r="DM201">
        <v>4048184</v>
      </c>
      <c r="DN201" t="s">
        <v>346</v>
      </c>
      <c r="DO201" s="11">
        <v>0.02</v>
      </c>
      <c r="DP201" s="9" t="str">
        <f>_xll.SNL.Clients.Office.Excel.Functions.SPG(DM201, "SP_COUNTRY_NAME")</f>
        <v>Canada</v>
      </c>
      <c r="DU201" s="9" t="str">
        <f>_xll.SNL.Clients.Office.Excel.Functions.SPG(DR201, "SP_COUNTRY_NAME")</f>
        <v>#INVALID COMPANY ID</v>
      </c>
      <c r="DZ201" s="9" t="str">
        <f>_xll.SNL.Clients.Office.Excel.Functions.SPG(DW201, "SP_COUNTRY_NAME")</f>
        <v>#INVALID COMPANY ID</v>
      </c>
      <c r="EA201" t="s">
        <v>471</v>
      </c>
      <c r="EB201">
        <v>4102247</v>
      </c>
      <c r="EC201" t="s">
        <v>346</v>
      </c>
      <c r="ED201" s="11">
        <v>0.01</v>
      </c>
      <c r="EE201" s="9" t="str">
        <f>_xll.SNL.Clients.Office.Excel.Functions.SPG(EB201, "SP_COUNTRY_NAME")</f>
        <v>USA</v>
      </c>
      <c r="EF201" t="s">
        <v>378</v>
      </c>
      <c r="EG201">
        <v>4048184</v>
      </c>
      <c r="EH201" t="s">
        <v>346</v>
      </c>
      <c r="EI201" s="11">
        <v>0.02</v>
      </c>
      <c r="EJ201" s="9" t="str">
        <f>_xll.SNL.Clients.Office.Excel.Functions.SPG(EG201, "SP_COUNTRY_NAME")</f>
        <v>Canada</v>
      </c>
      <c r="EO201" s="9" t="str">
        <f>_xll.SNL.Clients.Office.Excel.Functions.SPG(EL201, "SP_COUNTRY_NAME")</f>
        <v>#INVALID COMPANY ID</v>
      </c>
      <c r="ET201" s="9" t="str">
        <f>_xll.SNL.Clients.Office.Excel.Functions.SPG(EQ201, "SP_COUNTRY_NAME")</f>
        <v>#INVALID COMPANY ID</v>
      </c>
      <c r="EY201" s="9" t="str">
        <f>_xll.SNL.Clients.Office.Excel.Functions.SPG(EV201, "SP_COUNTRY_NAME")</f>
        <v>#INVALID COMPANY ID</v>
      </c>
      <c r="FD201" s="9" t="str">
        <f>_xll.SNL.Clients.Office.Excel.Functions.SPG(FA201, "SP_COUNTRY_NAME")</f>
        <v>#INVALID COMPANY ID</v>
      </c>
      <c r="FI201" s="9" t="str">
        <f>_xll.SNL.Clients.Office.Excel.Functions.SPG(FF201, "SP_COUNTRY_NAME")</f>
        <v>#INVALID COMPANY ID</v>
      </c>
      <c r="FN201" s="9" t="str">
        <f>_xll.SNL.Clients.Office.Excel.Functions.SPG(FK201, "SP_COUNTRY_NAME")</f>
        <v>#INVALID COMPANY ID</v>
      </c>
      <c r="FS201" s="9" t="str">
        <f>_xll.SNL.Clients.Office.Excel.Functions.SPG(FP201, "SP_COUNTRY_NAME")</f>
        <v>#INVALID COMPANY ID</v>
      </c>
      <c r="FX201" s="9" t="str">
        <f>_xll.SNL.Clients.Office.Excel.Functions.SPG(FU201, "SP_COUNTRY_NAME")</f>
        <v>#INVALID COMPANY ID</v>
      </c>
      <c r="FY201" t="s">
        <v>378</v>
      </c>
      <c r="FZ201">
        <v>4048184</v>
      </c>
      <c r="GA201" t="s">
        <v>346</v>
      </c>
      <c r="GB201" s="11">
        <v>0.02</v>
      </c>
      <c r="GC201" s="9" t="str">
        <f>_xll.SNL.Clients.Office.Excel.Functions.SPG(FZ201, "SP_COUNTRY_NAME")</f>
        <v>Canada</v>
      </c>
      <c r="GH201" s="9" t="str">
        <f>_xll.SNL.Clients.Office.Excel.Functions.SPG(GE201, "SP_COUNTRY_NAME")</f>
        <v>#INVALID COMPANY ID</v>
      </c>
      <c r="GM201" s="9" t="str">
        <f>_xll.SNL.Clients.Office.Excel.Functions.SPG(GJ201, "SP_COUNTRY_NAME")</f>
        <v>#INVALID COMPANY ID</v>
      </c>
      <c r="GR201" s="9" t="str">
        <f>_xll.SNL.Clients.Office.Excel.Functions.SPG(GO201, "SP_COUNTRY_NAME")</f>
        <v>#INVALID COMPANY ID</v>
      </c>
      <c r="GS201" t="s">
        <v>838</v>
      </c>
      <c r="GT201">
        <v>4315032</v>
      </c>
      <c r="GU201" t="s">
        <v>346</v>
      </c>
      <c r="GV201" s="11">
        <v>0</v>
      </c>
      <c r="GW201" s="9" t="str">
        <f>_xll.SNL.Clients.Office.Excel.Functions.SPG(GT201, "SP_COUNTRY_NAME")</f>
        <v>China</v>
      </c>
      <c r="GX201" t="s">
        <v>471</v>
      </c>
      <c r="GY201">
        <v>4102247</v>
      </c>
      <c r="GZ201" t="s">
        <v>346</v>
      </c>
      <c r="HA201" s="11">
        <v>0.01</v>
      </c>
      <c r="HB201" s="9" t="str">
        <f>_xll.SNL.Clients.Office.Excel.Functions.SPG(GY201, "SP_COUNTRY_NAME")</f>
        <v>USA</v>
      </c>
      <c r="HG201" s="9" t="str">
        <f>_xll.SNL.Clients.Office.Excel.Functions.SPG(HD201, "SP_COUNTRY_NAME")</f>
        <v>#INVALID COMPANY ID</v>
      </c>
    </row>
    <row r="202" spans="5:215" x14ac:dyDescent="0.35">
      <c r="E202" s="9" t="str">
        <f>_xll.SNL.Clients.Office.Excel.Functions.SPG(B202, "SP_COUNTRY_NAME")</f>
        <v>#INVALID COMPANY ID</v>
      </c>
      <c r="F202" t="s">
        <v>587</v>
      </c>
      <c r="G202">
        <v>5844561</v>
      </c>
      <c r="H202" t="s">
        <v>346</v>
      </c>
      <c r="I202" s="11">
        <v>0</v>
      </c>
      <c r="J202" s="9" t="str">
        <f>_xll.SNL.Clients.Office.Excel.Functions.SPG(G202, "SP_COUNTRY_NAME")</f>
        <v>Japan</v>
      </c>
      <c r="O202" s="9" t="str">
        <f>_xll.SNL.Clients.Office.Excel.Functions.SPG(L202, "SP_COUNTRY_NAME")</f>
        <v>#INVALID COMPANY ID</v>
      </c>
      <c r="T202" s="9" t="str">
        <f>_xll.SNL.Clients.Office.Excel.Functions.SPG(Q202, "SP_COUNTRY_NAME")</f>
        <v>#INVALID COMPANY ID</v>
      </c>
      <c r="U202" t="s">
        <v>513</v>
      </c>
      <c r="V202">
        <v>4139819</v>
      </c>
      <c r="W202" t="s">
        <v>346</v>
      </c>
      <c r="X202" s="11">
        <v>0.01</v>
      </c>
      <c r="Y202" s="9" t="str">
        <f>_xll.SNL.Clients.Office.Excel.Functions.SPG(V202, "SP_COUNTRY_NAME")</f>
        <v>Singapore</v>
      </c>
      <c r="AD202" s="9" t="str">
        <f>_xll.SNL.Clients.Office.Excel.Functions.SPG(AA202, "SP_COUNTRY_NAME")</f>
        <v>#INVALID COMPANY ID</v>
      </c>
      <c r="AE202" t="s">
        <v>1180</v>
      </c>
      <c r="AF202">
        <v>4032624</v>
      </c>
      <c r="AG202" t="s">
        <v>346</v>
      </c>
      <c r="AH202" s="11">
        <v>0</v>
      </c>
      <c r="AI202" s="9" t="str">
        <f>_xll.SNL.Clients.Office.Excel.Functions.SPG(AF202, "SP_COUNTRY_NAME")</f>
        <v>USA</v>
      </c>
      <c r="AN202" s="9" t="str">
        <f>_xll.SNL.Clients.Office.Excel.Functions.SPG(AK202, "SP_COUNTRY_NAME")</f>
        <v>#INVALID COMPANY ID</v>
      </c>
      <c r="AO202" t="s">
        <v>1338</v>
      </c>
      <c r="AP202">
        <v>6758323</v>
      </c>
      <c r="AQ202" t="s">
        <v>346</v>
      </c>
      <c r="AR202" s="11">
        <v>0</v>
      </c>
      <c r="AS202" s="9" t="str">
        <f>_xll.SNL.Clients.Office.Excel.Functions.SPG(AP202, "SP_COUNTRY_NAME")</f>
        <v>South Africa</v>
      </c>
      <c r="AX202" s="9" t="str">
        <f>_xll.SNL.Clients.Office.Excel.Functions.SPG(AU202, "SP_COUNTRY_NAME")</f>
        <v>#INVALID COMPANY ID</v>
      </c>
      <c r="BC202" s="9" t="str">
        <f>_xll.SNL.Clients.Office.Excel.Functions.SPG(AZ202, "SP_COUNTRY_NAME")</f>
        <v>#INVALID COMPANY ID</v>
      </c>
      <c r="BD202" t="s">
        <v>407</v>
      </c>
      <c r="BE202">
        <v>109754</v>
      </c>
      <c r="BF202" t="s">
        <v>346</v>
      </c>
      <c r="BG202" s="11">
        <v>0.02</v>
      </c>
      <c r="BH202" s="9" t="str">
        <f>_xll.SNL.Clients.Office.Excel.Functions.SPG(BE202, "SP_COUNTRY_NAME")</f>
        <v>USA</v>
      </c>
      <c r="BI202" t="s">
        <v>1586</v>
      </c>
      <c r="BJ202" t="s">
        <v>300</v>
      </c>
      <c r="BK202" t="s">
        <v>361</v>
      </c>
      <c r="BL202" s="11">
        <v>0</v>
      </c>
      <c r="BM202" s="9" t="str">
        <f>_xll.SNL.Clients.Office.Excel.Functions.SPG(BJ202, "SP_COUNTRY_NAME")</f>
        <v>China</v>
      </c>
      <c r="BN202" t="s">
        <v>776</v>
      </c>
      <c r="BO202">
        <v>4345268</v>
      </c>
      <c r="BP202" t="s">
        <v>346</v>
      </c>
      <c r="BQ202" s="11">
        <v>0</v>
      </c>
      <c r="BR202" s="9" t="str">
        <f>_xll.SNL.Clients.Office.Excel.Functions.SPG(BO202, "SP_COUNTRY_NAME")</f>
        <v>China</v>
      </c>
      <c r="BS202" t="s">
        <v>732</v>
      </c>
      <c r="BT202">
        <v>4139789</v>
      </c>
      <c r="BU202" t="s">
        <v>346</v>
      </c>
      <c r="BV202" s="11">
        <v>0.01</v>
      </c>
      <c r="BW202" s="9" t="str">
        <f>_xll.SNL.Clients.Office.Excel.Functions.SPG(BT202, "SP_COUNTRY_NAME")</f>
        <v>China</v>
      </c>
      <c r="BX202" t="s">
        <v>513</v>
      </c>
      <c r="BY202">
        <v>4139819</v>
      </c>
      <c r="BZ202" t="s">
        <v>346</v>
      </c>
      <c r="CA202" s="11">
        <v>0.01</v>
      </c>
      <c r="CB202" s="9" t="str">
        <f>_xll.SNL.Clients.Office.Excel.Functions.SPG(BY202, "SP_COUNTRY_NAME")</f>
        <v>Singapore</v>
      </c>
      <c r="CC202" t="s">
        <v>1691</v>
      </c>
      <c r="CD202">
        <v>4115177</v>
      </c>
      <c r="CE202" t="s">
        <v>366</v>
      </c>
      <c r="CF202" s="11">
        <v>0.01</v>
      </c>
      <c r="CG202" s="9" t="str">
        <f>_xll.SNL.Clients.Office.Excel.Functions.SPG(CD202, "SP_COUNTRY_NAME")</f>
        <v>USA</v>
      </c>
      <c r="CH202" t="s">
        <v>1338</v>
      </c>
      <c r="CI202">
        <v>6758323</v>
      </c>
      <c r="CJ202" t="s">
        <v>346</v>
      </c>
      <c r="CK202" s="11">
        <v>0</v>
      </c>
      <c r="CL202" s="9" t="str">
        <f>_xll.SNL.Clients.Office.Excel.Functions.SPG(CI202, "SP_COUNTRY_NAME")</f>
        <v>South Africa</v>
      </c>
      <c r="CM202" t="s">
        <v>1283</v>
      </c>
      <c r="CN202">
        <v>19723341</v>
      </c>
      <c r="CO202" t="s">
        <v>346</v>
      </c>
      <c r="CP202" s="11">
        <v>0.01</v>
      </c>
      <c r="CQ202" s="9" t="str">
        <f>_xll.SNL.Clients.Office.Excel.Functions.SPG(CN202, "SP_COUNTRY_NAME")</f>
        <v>South Africa</v>
      </c>
      <c r="CV202" s="9" t="str">
        <f>_xll.SNL.Clients.Office.Excel.Functions.SPG(CS202, "SP_COUNTRY_NAME")</f>
        <v>#INVALID COMPANY ID</v>
      </c>
      <c r="DA202" s="9" t="str">
        <f>_xll.SNL.Clients.Office.Excel.Functions.SPG(CX202, "SP_COUNTRY_NAME")</f>
        <v>#INVALID COMPANY ID</v>
      </c>
      <c r="DB202" t="s">
        <v>407</v>
      </c>
      <c r="DC202">
        <v>109754</v>
      </c>
      <c r="DD202" t="s">
        <v>346</v>
      </c>
      <c r="DE202" s="11">
        <v>0.02</v>
      </c>
      <c r="DF202" s="9" t="str">
        <f>_xll.SNL.Clients.Office.Excel.Functions.SPG(DC202, "SP_COUNTRY_NAME")</f>
        <v>USA</v>
      </c>
      <c r="DK202" s="9" t="str">
        <f>_xll.SNL.Clients.Office.Excel.Functions.SPG(DH202, "SP_COUNTRY_NAME")</f>
        <v>#INVALID COMPANY ID</v>
      </c>
      <c r="DL202" t="s">
        <v>407</v>
      </c>
      <c r="DM202">
        <v>109754</v>
      </c>
      <c r="DN202" t="s">
        <v>346</v>
      </c>
      <c r="DO202" s="11">
        <v>0.02</v>
      </c>
      <c r="DP202" s="9" t="str">
        <f>_xll.SNL.Clients.Office.Excel.Functions.SPG(DM202, "SP_COUNTRY_NAME")</f>
        <v>USA</v>
      </c>
      <c r="DU202" s="9" t="str">
        <f>_xll.SNL.Clients.Office.Excel.Functions.SPG(DR202, "SP_COUNTRY_NAME")</f>
        <v>#INVALID COMPANY ID</v>
      </c>
      <c r="DZ202" s="9" t="str">
        <f>_xll.SNL.Clients.Office.Excel.Functions.SPG(DW202, "SP_COUNTRY_NAME")</f>
        <v>#INVALID COMPANY ID</v>
      </c>
      <c r="EA202" t="s">
        <v>1691</v>
      </c>
      <c r="EB202">
        <v>4115177</v>
      </c>
      <c r="EC202" t="s">
        <v>366</v>
      </c>
      <c r="ED202" s="11">
        <v>0.01</v>
      </c>
      <c r="EE202" s="9" t="str">
        <f>_xll.SNL.Clients.Office.Excel.Functions.SPG(EB202, "SP_COUNTRY_NAME")</f>
        <v>USA</v>
      </c>
      <c r="EF202" t="s">
        <v>407</v>
      </c>
      <c r="EG202">
        <v>109754</v>
      </c>
      <c r="EH202" t="s">
        <v>346</v>
      </c>
      <c r="EI202" s="11">
        <v>0.02</v>
      </c>
      <c r="EJ202" s="9" t="str">
        <f>_xll.SNL.Clients.Office.Excel.Functions.SPG(EG202, "SP_COUNTRY_NAME")</f>
        <v>USA</v>
      </c>
      <c r="EO202" s="9" t="str">
        <f>_xll.SNL.Clients.Office.Excel.Functions.SPG(EL202, "SP_COUNTRY_NAME")</f>
        <v>#INVALID COMPANY ID</v>
      </c>
      <c r="ET202" s="9" t="str">
        <f>_xll.SNL.Clients.Office.Excel.Functions.SPG(EQ202, "SP_COUNTRY_NAME")</f>
        <v>#INVALID COMPANY ID</v>
      </c>
      <c r="EY202" s="9" t="str">
        <f>_xll.SNL.Clients.Office.Excel.Functions.SPG(EV202, "SP_COUNTRY_NAME")</f>
        <v>#INVALID COMPANY ID</v>
      </c>
      <c r="FD202" s="9" t="str">
        <f>_xll.SNL.Clients.Office.Excel.Functions.SPG(FA202, "SP_COUNTRY_NAME")</f>
        <v>#INVALID COMPANY ID</v>
      </c>
      <c r="FI202" s="9" t="str">
        <f>_xll.SNL.Clients.Office.Excel.Functions.SPG(FF202, "SP_COUNTRY_NAME")</f>
        <v>#INVALID COMPANY ID</v>
      </c>
      <c r="FN202" s="9" t="str">
        <f>_xll.SNL.Clients.Office.Excel.Functions.SPG(FK202, "SP_COUNTRY_NAME")</f>
        <v>#INVALID COMPANY ID</v>
      </c>
      <c r="FS202" s="9" t="str">
        <f>_xll.SNL.Clients.Office.Excel.Functions.SPG(FP202, "SP_COUNTRY_NAME")</f>
        <v>#INVALID COMPANY ID</v>
      </c>
      <c r="FX202" s="9" t="str">
        <f>_xll.SNL.Clients.Office.Excel.Functions.SPG(FU202, "SP_COUNTRY_NAME")</f>
        <v>#INVALID COMPANY ID</v>
      </c>
      <c r="FY202" t="s">
        <v>407</v>
      </c>
      <c r="FZ202">
        <v>109754</v>
      </c>
      <c r="GA202" t="s">
        <v>346</v>
      </c>
      <c r="GB202" s="11">
        <v>0.02</v>
      </c>
      <c r="GC202" s="9" t="str">
        <f>_xll.SNL.Clients.Office.Excel.Functions.SPG(FZ202, "SP_COUNTRY_NAME")</f>
        <v>USA</v>
      </c>
      <c r="GH202" s="9" t="str">
        <f>_xll.SNL.Clients.Office.Excel.Functions.SPG(GE202, "SP_COUNTRY_NAME")</f>
        <v>#INVALID COMPANY ID</v>
      </c>
      <c r="GM202" s="9" t="str">
        <f>_xll.SNL.Clients.Office.Excel.Functions.SPG(GJ202, "SP_COUNTRY_NAME")</f>
        <v>#INVALID COMPANY ID</v>
      </c>
      <c r="GR202" s="9" t="str">
        <f>_xll.SNL.Clients.Office.Excel.Functions.SPG(GO202, "SP_COUNTRY_NAME")</f>
        <v>#INVALID COMPANY ID</v>
      </c>
      <c r="GS202" t="s">
        <v>776</v>
      </c>
      <c r="GT202">
        <v>4345268</v>
      </c>
      <c r="GU202" t="s">
        <v>346</v>
      </c>
      <c r="GV202" s="11">
        <v>0</v>
      </c>
      <c r="GW202" s="9" t="str">
        <f>_xll.SNL.Clients.Office.Excel.Functions.SPG(GT202, "SP_COUNTRY_NAME")</f>
        <v>China</v>
      </c>
      <c r="GX202" t="s">
        <v>1691</v>
      </c>
      <c r="GY202">
        <v>4115177</v>
      </c>
      <c r="GZ202" t="s">
        <v>366</v>
      </c>
      <c r="HA202" s="11">
        <v>0.01</v>
      </c>
      <c r="HB202" s="9" t="str">
        <f>_xll.SNL.Clients.Office.Excel.Functions.SPG(GY202, "SP_COUNTRY_NAME")</f>
        <v>USA</v>
      </c>
      <c r="HG202" s="9" t="str">
        <f>_xll.SNL.Clients.Office.Excel.Functions.SPG(HD202, "SP_COUNTRY_NAME")</f>
        <v>#INVALID COMPANY ID</v>
      </c>
    </row>
    <row r="203" spans="5:215" x14ac:dyDescent="0.35">
      <c r="E203" s="9" t="str">
        <f>_xll.SNL.Clients.Office.Excel.Functions.SPG(B203, "SP_COUNTRY_NAME")</f>
        <v>#INVALID COMPANY ID</v>
      </c>
      <c r="F203" t="s">
        <v>588</v>
      </c>
      <c r="G203">
        <v>111537</v>
      </c>
      <c r="H203" t="s">
        <v>346</v>
      </c>
      <c r="I203" s="11">
        <v>0</v>
      </c>
      <c r="J203" s="9" t="str">
        <f>_xll.SNL.Clients.Office.Excel.Functions.SPG(G203, "SP_COUNTRY_NAME")</f>
        <v>USA</v>
      </c>
      <c r="O203" s="9" t="str">
        <f>_xll.SNL.Clients.Office.Excel.Functions.SPG(L203, "SP_COUNTRY_NAME")</f>
        <v>#INVALID COMPANY ID</v>
      </c>
      <c r="T203" s="9" t="str">
        <f>_xll.SNL.Clients.Office.Excel.Functions.SPG(Q203, "SP_COUNTRY_NAME")</f>
        <v>#INVALID COMPANY ID</v>
      </c>
      <c r="U203" t="s">
        <v>356</v>
      </c>
      <c r="V203">
        <v>4578944</v>
      </c>
      <c r="W203" t="s">
        <v>346</v>
      </c>
      <c r="X203" s="11">
        <v>0.01</v>
      </c>
      <c r="Y203" s="9" t="str">
        <f>_xll.SNL.Clients.Office.Excel.Functions.SPG(V203, "SP_COUNTRY_NAME")</f>
        <v>Australia</v>
      </c>
      <c r="AD203" s="9" t="str">
        <f>_xll.SNL.Clients.Office.Excel.Functions.SPG(AA203, "SP_COUNTRY_NAME")</f>
        <v>#INVALID COMPANY ID</v>
      </c>
      <c r="AE203" t="s">
        <v>1181</v>
      </c>
      <c r="AF203">
        <v>5766970</v>
      </c>
      <c r="AG203" t="s">
        <v>346</v>
      </c>
      <c r="AH203" s="11">
        <v>0</v>
      </c>
      <c r="AI203" s="9" t="str">
        <f>_xll.SNL.Clients.Office.Excel.Functions.SPG(AF203, "SP_COUNTRY_NAME")</f>
        <v>Germany</v>
      </c>
      <c r="AN203" s="9" t="str">
        <f>_xll.SNL.Clients.Office.Excel.Functions.SPG(AK203, "SP_COUNTRY_NAME")</f>
        <v>#INVALID COMPANY ID</v>
      </c>
      <c r="AO203" t="s">
        <v>1339</v>
      </c>
      <c r="AP203">
        <v>29536489</v>
      </c>
      <c r="AQ203" t="s">
        <v>346</v>
      </c>
      <c r="AR203" s="11">
        <v>0</v>
      </c>
      <c r="AS203" s="9" t="str">
        <f>_xll.SNL.Clients.Office.Excel.Functions.SPG(AP203, "SP_COUNTRY_NAME")</f>
        <v>#INVALID COMPANY ID</v>
      </c>
      <c r="AX203" s="9" t="str">
        <f>_xll.SNL.Clients.Office.Excel.Functions.SPG(AU203, "SP_COUNTRY_NAME")</f>
        <v>#INVALID COMPANY ID</v>
      </c>
      <c r="BC203" s="9" t="str">
        <f>_xll.SNL.Clients.Office.Excel.Functions.SPG(AZ203, "SP_COUNTRY_NAME")</f>
        <v>#INVALID COMPANY ID</v>
      </c>
      <c r="BD203" t="s">
        <v>1457</v>
      </c>
      <c r="BE203">
        <v>111434</v>
      </c>
      <c r="BF203" t="s">
        <v>346</v>
      </c>
      <c r="BG203" s="11">
        <v>0.02</v>
      </c>
      <c r="BH203" s="9" t="str">
        <f>_xll.SNL.Clients.Office.Excel.Functions.SPG(BE203, "SP_COUNTRY_NAME")</f>
        <v>USA</v>
      </c>
      <c r="BI203" t="s">
        <v>546</v>
      </c>
      <c r="BJ203">
        <v>4158830</v>
      </c>
      <c r="BK203" t="s">
        <v>346</v>
      </c>
      <c r="BL203" s="11">
        <v>0</v>
      </c>
      <c r="BM203" s="9" t="str">
        <f>_xll.SNL.Clients.Office.Excel.Functions.SPG(BJ203, "SP_COUNTRY_NAME")</f>
        <v>USA</v>
      </c>
      <c r="BN203" t="s">
        <v>758</v>
      </c>
      <c r="BO203">
        <v>4890277</v>
      </c>
      <c r="BP203" t="s">
        <v>346</v>
      </c>
      <c r="BQ203" s="11">
        <v>0</v>
      </c>
      <c r="BR203" s="9" t="str">
        <f>_xll.SNL.Clients.Office.Excel.Functions.SPG(BO203, "SP_COUNTRY_NAME")</f>
        <v>China</v>
      </c>
      <c r="BS203" t="s">
        <v>389</v>
      </c>
      <c r="BT203">
        <v>109888</v>
      </c>
      <c r="BU203" t="s">
        <v>346</v>
      </c>
      <c r="BV203" s="11">
        <v>0.01</v>
      </c>
      <c r="BW203" s="9" t="str">
        <f>_xll.SNL.Clients.Office.Excel.Functions.SPG(BT203, "SP_COUNTRY_NAME")</f>
        <v>USA</v>
      </c>
      <c r="BX203" t="s">
        <v>356</v>
      </c>
      <c r="BY203">
        <v>4578944</v>
      </c>
      <c r="BZ203" t="s">
        <v>346</v>
      </c>
      <c r="CA203" s="11">
        <v>0.01</v>
      </c>
      <c r="CB203" s="9" t="str">
        <f>_xll.SNL.Clients.Office.Excel.Functions.SPG(BY203, "SP_COUNTRY_NAME")</f>
        <v>Australia</v>
      </c>
      <c r="CC203" t="s">
        <v>391</v>
      </c>
      <c r="CD203">
        <v>13582910</v>
      </c>
      <c r="CE203" t="s">
        <v>346</v>
      </c>
      <c r="CF203" s="11">
        <v>0.01</v>
      </c>
      <c r="CG203" s="9" t="str">
        <f>_xll.SNL.Clients.Office.Excel.Functions.SPG(CD203, "SP_COUNTRY_NAME")</f>
        <v>France</v>
      </c>
      <c r="CH203" t="s">
        <v>1339</v>
      </c>
      <c r="CI203">
        <v>29536489</v>
      </c>
      <c r="CJ203" t="s">
        <v>346</v>
      </c>
      <c r="CK203" s="11">
        <v>0</v>
      </c>
      <c r="CL203" s="9" t="str">
        <f>_xll.SNL.Clients.Office.Excel.Functions.SPG(CI203, "SP_COUNTRY_NAME")</f>
        <v>#INVALID COMPANY ID</v>
      </c>
      <c r="CM203" t="s">
        <v>1143</v>
      </c>
      <c r="CN203">
        <v>4138850</v>
      </c>
      <c r="CO203" t="s">
        <v>346</v>
      </c>
      <c r="CP203" s="11">
        <v>0.01</v>
      </c>
      <c r="CQ203" s="9" t="str">
        <f>_xll.SNL.Clients.Office.Excel.Functions.SPG(CN203, "SP_COUNTRY_NAME")</f>
        <v>South Africa</v>
      </c>
      <c r="CV203" s="9" t="str">
        <f>_xll.SNL.Clients.Office.Excel.Functions.SPG(CS203, "SP_COUNTRY_NAME")</f>
        <v>#INVALID COMPANY ID</v>
      </c>
      <c r="DA203" s="9" t="str">
        <f>_xll.SNL.Clients.Office.Excel.Functions.SPG(CX203, "SP_COUNTRY_NAME")</f>
        <v>#INVALID COMPANY ID</v>
      </c>
      <c r="DB203" t="s">
        <v>1457</v>
      </c>
      <c r="DC203">
        <v>111434</v>
      </c>
      <c r="DD203" t="s">
        <v>346</v>
      </c>
      <c r="DE203" s="11">
        <v>0.02</v>
      </c>
      <c r="DF203" s="9" t="str">
        <f>_xll.SNL.Clients.Office.Excel.Functions.SPG(DC203, "SP_COUNTRY_NAME")</f>
        <v>USA</v>
      </c>
      <c r="DK203" s="9" t="str">
        <f>_xll.SNL.Clients.Office.Excel.Functions.SPG(DH203, "SP_COUNTRY_NAME")</f>
        <v>#INVALID COMPANY ID</v>
      </c>
      <c r="DL203" t="s">
        <v>1457</v>
      </c>
      <c r="DM203">
        <v>111434</v>
      </c>
      <c r="DN203" t="s">
        <v>346</v>
      </c>
      <c r="DO203" s="11">
        <v>0.02</v>
      </c>
      <c r="DP203" s="9" t="str">
        <f>_xll.SNL.Clients.Office.Excel.Functions.SPG(DM203, "SP_COUNTRY_NAME")</f>
        <v>USA</v>
      </c>
      <c r="DU203" s="9" t="str">
        <f>_xll.SNL.Clients.Office.Excel.Functions.SPG(DR203, "SP_COUNTRY_NAME")</f>
        <v>#INVALID COMPANY ID</v>
      </c>
      <c r="DZ203" s="9" t="str">
        <f>_xll.SNL.Clients.Office.Excel.Functions.SPG(DW203, "SP_COUNTRY_NAME")</f>
        <v>#INVALID COMPANY ID</v>
      </c>
      <c r="EA203" t="s">
        <v>391</v>
      </c>
      <c r="EB203">
        <v>13582910</v>
      </c>
      <c r="EC203" t="s">
        <v>346</v>
      </c>
      <c r="ED203" s="11">
        <v>0.01</v>
      </c>
      <c r="EE203" s="9" t="str">
        <f>_xll.SNL.Clients.Office.Excel.Functions.SPG(EB203, "SP_COUNTRY_NAME")</f>
        <v>France</v>
      </c>
      <c r="EF203" t="s">
        <v>1457</v>
      </c>
      <c r="EG203">
        <v>111434</v>
      </c>
      <c r="EH203" t="s">
        <v>346</v>
      </c>
      <c r="EI203" s="11">
        <v>0.02</v>
      </c>
      <c r="EJ203" s="9" t="str">
        <f>_xll.SNL.Clients.Office.Excel.Functions.SPG(EG203, "SP_COUNTRY_NAME")</f>
        <v>USA</v>
      </c>
      <c r="EO203" s="9" t="str">
        <f>_xll.SNL.Clients.Office.Excel.Functions.SPG(EL203, "SP_COUNTRY_NAME")</f>
        <v>#INVALID COMPANY ID</v>
      </c>
      <c r="ET203" s="9" t="str">
        <f>_xll.SNL.Clients.Office.Excel.Functions.SPG(EQ203, "SP_COUNTRY_NAME")</f>
        <v>#INVALID COMPANY ID</v>
      </c>
      <c r="EY203" s="9" t="str">
        <f>_xll.SNL.Clients.Office.Excel.Functions.SPG(EV203, "SP_COUNTRY_NAME")</f>
        <v>#INVALID COMPANY ID</v>
      </c>
      <c r="FD203" s="9" t="str">
        <f>_xll.SNL.Clients.Office.Excel.Functions.SPG(FA203, "SP_COUNTRY_NAME")</f>
        <v>#INVALID COMPANY ID</v>
      </c>
      <c r="FI203" s="9" t="str">
        <f>_xll.SNL.Clients.Office.Excel.Functions.SPG(FF203, "SP_COUNTRY_NAME")</f>
        <v>#INVALID COMPANY ID</v>
      </c>
      <c r="FN203" s="9" t="str">
        <f>_xll.SNL.Clients.Office.Excel.Functions.SPG(FK203, "SP_COUNTRY_NAME")</f>
        <v>#INVALID COMPANY ID</v>
      </c>
      <c r="FS203" s="9" t="str">
        <f>_xll.SNL.Clients.Office.Excel.Functions.SPG(FP203, "SP_COUNTRY_NAME")</f>
        <v>#INVALID COMPANY ID</v>
      </c>
      <c r="FX203" s="9" t="str">
        <f>_xll.SNL.Clients.Office.Excel.Functions.SPG(FU203, "SP_COUNTRY_NAME")</f>
        <v>#INVALID COMPANY ID</v>
      </c>
      <c r="FY203" t="s">
        <v>1457</v>
      </c>
      <c r="FZ203">
        <v>111434</v>
      </c>
      <c r="GA203" t="s">
        <v>346</v>
      </c>
      <c r="GB203" s="11">
        <v>0.02</v>
      </c>
      <c r="GC203" s="9" t="str">
        <f>_xll.SNL.Clients.Office.Excel.Functions.SPG(FZ203, "SP_COUNTRY_NAME")</f>
        <v>USA</v>
      </c>
      <c r="GH203" s="9" t="str">
        <f>_xll.SNL.Clients.Office.Excel.Functions.SPG(GE203, "SP_COUNTRY_NAME")</f>
        <v>#INVALID COMPANY ID</v>
      </c>
      <c r="GM203" s="9" t="str">
        <f>_xll.SNL.Clients.Office.Excel.Functions.SPG(GJ203, "SP_COUNTRY_NAME")</f>
        <v>#INVALID COMPANY ID</v>
      </c>
      <c r="GR203" s="9" t="str">
        <f>_xll.SNL.Clients.Office.Excel.Functions.SPG(GO203, "SP_COUNTRY_NAME")</f>
        <v>#INVALID COMPANY ID</v>
      </c>
      <c r="GS203" t="s">
        <v>758</v>
      </c>
      <c r="GT203">
        <v>4890277</v>
      </c>
      <c r="GU203" t="s">
        <v>346</v>
      </c>
      <c r="GV203" s="11">
        <v>0</v>
      </c>
      <c r="GW203" s="9" t="str">
        <f>_xll.SNL.Clients.Office.Excel.Functions.SPG(GT203, "SP_COUNTRY_NAME")</f>
        <v>China</v>
      </c>
      <c r="GX203" t="s">
        <v>391</v>
      </c>
      <c r="GY203">
        <v>13582910</v>
      </c>
      <c r="GZ203" t="s">
        <v>346</v>
      </c>
      <c r="HA203" s="11">
        <v>0.01</v>
      </c>
      <c r="HB203" s="9" t="str">
        <f>_xll.SNL.Clients.Office.Excel.Functions.SPG(GY203, "SP_COUNTRY_NAME")</f>
        <v>France</v>
      </c>
      <c r="HG203" s="9" t="str">
        <f>_xll.SNL.Clients.Office.Excel.Functions.SPG(HD203, "SP_COUNTRY_NAME")</f>
        <v>#INVALID COMPANY ID</v>
      </c>
    </row>
    <row r="204" spans="5:215" x14ac:dyDescent="0.35">
      <c r="E204" s="9" t="str">
        <f>_xll.SNL.Clients.Office.Excel.Functions.SPG(B204, "SP_COUNTRY_NAME")</f>
        <v>#INVALID COMPANY ID</v>
      </c>
      <c r="F204" t="s">
        <v>589</v>
      </c>
      <c r="G204">
        <v>4140617</v>
      </c>
      <c r="H204" t="s">
        <v>346</v>
      </c>
      <c r="I204" s="11">
        <v>0</v>
      </c>
      <c r="J204" s="9" t="str">
        <f>_xll.SNL.Clients.Office.Excel.Functions.SPG(G204, "SP_COUNTRY_NAME")</f>
        <v>Switzerland</v>
      </c>
      <c r="O204" s="9" t="str">
        <f>_xll.SNL.Clients.Office.Excel.Functions.SPG(L204, "SP_COUNTRY_NAME")</f>
        <v>#INVALID COMPANY ID</v>
      </c>
      <c r="T204" s="9" t="str">
        <f>_xll.SNL.Clients.Office.Excel.Functions.SPG(Q204, "SP_COUNTRY_NAME")</f>
        <v>#INVALID COMPANY ID</v>
      </c>
      <c r="U204" t="s">
        <v>794</v>
      </c>
      <c r="V204" t="s">
        <v>300</v>
      </c>
      <c r="W204" t="s">
        <v>361</v>
      </c>
      <c r="X204" s="11">
        <v>0.01</v>
      </c>
      <c r="Y204" s="9" t="str">
        <f>_xll.SNL.Clients.Office.Excel.Functions.SPG(V204, "SP_COUNTRY_NAME")</f>
        <v>China</v>
      </c>
      <c r="AD204" s="9" t="str">
        <f>_xll.SNL.Clients.Office.Excel.Functions.SPG(AA204, "SP_COUNTRY_NAME")</f>
        <v>#INVALID COMPANY ID</v>
      </c>
      <c r="AE204" t="s">
        <v>1182</v>
      </c>
      <c r="AF204">
        <v>4117260</v>
      </c>
      <c r="AG204" t="s">
        <v>346</v>
      </c>
      <c r="AH204" s="11">
        <v>0</v>
      </c>
      <c r="AI204" s="9" t="str">
        <f>_xll.SNL.Clients.Office.Excel.Functions.SPG(AF204, "SP_COUNTRY_NAME")</f>
        <v>USA</v>
      </c>
      <c r="AN204" s="9" t="str">
        <f>_xll.SNL.Clients.Office.Excel.Functions.SPG(AK204, "SP_COUNTRY_NAME")</f>
        <v>#INVALID COMPANY ID</v>
      </c>
      <c r="AO204" t="s">
        <v>484</v>
      </c>
      <c r="AP204">
        <v>110386</v>
      </c>
      <c r="AQ204" t="s">
        <v>346</v>
      </c>
      <c r="AR204" s="11">
        <v>0</v>
      </c>
      <c r="AS204" s="9" t="str">
        <f>_xll.SNL.Clients.Office.Excel.Functions.SPG(AP204, "SP_COUNTRY_NAME")</f>
        <v>USA</v>
      </c>
      <c r="AX204" s="9" t="str">
        <f>_xll.SNL.Clients.Office.Excel.Functions.SPG(AU204, "SP_COUNTRY_NAME")</f>
        <v>#INVALID COMPANY ID</v>
      </c>
      <c r="BC204" s="9" t="str">
        <f>_xll.SNL.Clients.Office.Excel.Functions.SPG(AZ204, "SP_COUNTRY_NAME")</f>
        <v>#INVALID COMPANY ID</v>
      </c>
      <c r="BD204" t="s">
        <v>544</v>
      </c>
      <c r="BE204">
        <v>5745911</v>
      </c>
      <c r="BF204" t="s">
        <v>369</v>
      </c>
      <c r="BG204" s="11">
        <v>0.02</v>
      </c>
      <c r="BH204" s="9" t="str">
        <f>_xll.SNL.Clients.Office.Excel.Functions.SPG(BE204, "SP_COUNTRY_NAME")</f>
        <v>Italy</v>
      </c>
      <c r="BI204" t="s">
        <v>566</v>
      </c>
      <c r="BJ204">
        <v>5842545</v>
      </c>
      <c r="BK204" t="s">
        <v>346</v>
      </c>
      <c r="BL204" s="11">
        <v>0</v>
      </c>
      <c r="BM204" s="9" t="str">
        <f>_xll.SNL.Clients.Office.Excel.Functions.SPG(BJ204, "SP_COUNTRY_NAME")</f>
        <v>USA</v>
      </c>
      <c r="BN204" t="s">
        <v>1072</v>
      </c>
      <c r="BO204">
        <v>5760994</v>
      </c>
      <c r="BP204" t="s">
        <v>346</v>
      </c>
      <c r="BQ204" s="11">
        <v>0</v>
      </c>
      <c r="BR204" s="9" t="str">
        <f>_xll.SNL.Clients.Office.Excel.Functions.SPG(BO204, "SP_COUNTRY_NAME")</f>
        <v>Luxembourg</v>
      </c>
      <c r="BS204" t="s">
        <v>986</v>
      </c>
      <c r="BT204">
        <v>4120275</v>
      </c>
      <c r="BU204" t="s">
        <v>346</v>
      </c>
      <c r="BV204" s="11">
        <v>0.01</v>
      </c>
      <c r="BW204" s="9" t="str">
        <f>_xll.SNL.Clients.Office.Excel.Functions.SPG(BT204, "SP_COUNTRY_NAME")</f>
        <v>Switzerland</v>
      </c>
      <c r="BX204" t="s">
        <v>794</v>
      </c>
      <c r="BY204" t="s">
        <v>300</v>
      </c>
      <c r="BZ204" t="s">
        <v>361</v>
      </c>
      <c r="CA204" s="11">
        <v>0.01</v>
      </c>
      <c r="CB204" s="9" t="str">
        <f>_xll.SNL.Clients.Office.Excel.Functions.SPG(BY204, "SP_COUNTRY_NAME")</f>
        <v>China</v>
      </c>
      <c r="CC204" t="s">
        <v>1692</v>
      </c>
      <c r="CD204">
        <v>4119727</v>
      </c>
      <c r="CE204" t="s">
        <v>346</v>
      </c>
      <c r="CF204" s="11">
        <v>0.01</v>
      </c>
      <c r="CG204" s="9" t="str">
        <f>_xll.SNL.Clients.Office.Excel.Functions.SPG(CD204, "SP_COUNTRY_NAME")</f>
        <v>USA</v>
      </c>
      <c r="CH204" t="s">
        <v>484</v>
      </c>
      <c r="CI204">
        <v>110386</v>
      </c>
      <c r="CJ204" t="s">
        <v>346</v>
      </c>
      <c r="CK204" s="11">
        <v>0</v>
      </c>
      <c r="CL204" s="9" t="str">
        <f>_xll.SNL.Clients.Office.Excel.Functions.SPG(CI204, "SP_COUNTRY_NAME")</f>
        <v>USA</v>
      </c>
      <c r="CM204" t="s">
        <v>1303</v>
      </c>
      <c r="CN204">
        <v>4265061</v>
      </c>
      <c r="CO204" t="s">
        <v>346</v>
      </c>
      <c r="CP204" s="11">
        <v>0.01</v>
      </c>
      <c r="CQ204" s="9" t="str">
        <f>_xll.SNL.Clients.Office.Excel.Functions.SPG(CN204, "SP_COUNTRY_NAME")</f>
        <v>South Africa</v>
      </c>
      <c r="CV204" s="9" t="str">
        <f>_xll.SNL.Clients.Office.Excel.Functions.SPG(CS204, "SP_COUNTRY_NAME")</f>
        <v>#INVALID COMPANY ID</v>
      </c>
      <c r="DA204" s="9" t="str">
        <f>_xll.SNL.Clients.Office.Excel.Functions.SPG(CX204, "SP_COUNTRY_NAME")</f>
        <v>#INVALID COMPANY ID</v>
      </c>
      <c r="DB204" t="s">
        <v>544</v>
      </c>
      <c r="DC204">
        <v>5745911</v>
      </c>
      <c r="DD204" t="s">
        <v>369</v>
      </c>
      <c r="DE204" s="11">
        <v>0.02</v>
      </c>
      <c r="DF204" s="9" t="str">
        <f>_xll.SNL.Clients.Office.Excel.Functions.SPG(DC204, "SP_COUNTRY_NAME")</f>
        <v>Italy</v>
      </c>
      <c r="DK204" s="9" t="str">
        <f>_xll.SNL.Clients.Office.Excel.Functions.SPG(DH204, "SP_COUNTRY_NAME")</f>
        <v>#INVALID COMPANY ID</v>
      </c>
      <c r="DL204" t="s">
        <v>544</v>
      </c>
      <c r="DM204">
        <v>5745911</v>
      </c>
      <c r="DN204" t="s">
        <v>369</v>
      </c>
      <c r="DO204" s="11">
        <v>0.02</v>
      </c>
      <c r="DP204" s="9" t="str">
        <f>_xll.SNL.Clients.Office.Excel.Functions.SPG(DM204, "SP_COUNTRY_NAME")</f>
        <v>Italy</v>
      </c>
      <c r="DU204" s="9" t="str">
        <f>_xll.SNL.Clients.Office.Excel.Functions.SPG(DR204, "SP_COUNTRY_NAME")</f>
        <v>#INVALID COMPANY ID</v>
      </c>
      <c r="DZ204" s="9" t="str">
        <f>_xll.SNL.Clients.Office.Excel.Functions.SPG(DW204, "SP_COUNTRY_NAME")</f>
        <v>#INVALID COMPANY ID</v>
      </c>
      <c r="EA204" t="s">
        <v>1692</v>
      </c>
      <c r="EB204">
        <v>4119727</v>
      </c>
      <c r="EC204" t="s">
        <v>346</v>
      </c>
      <c r="ED204" s="11">
        <v>0.01</v>
      </c>
      <c r="EE204" s="9" t="str">
        <f>_xll.SNL.Clients.Office.Excel.Functions.SPG(EB204, "SP_COUNTRY_NAME")</f>
        <v>USA</v>
      </c>
      <c r="EF204" t="s">
        <v>544</v>
      </c>
      <c r="EG204">
        <v>5745911</v>
      </c>
      <c r="EH204" t="s">
        <v>369</v>
      </c>
      <c r="EI204" s="11">
        <v>0.02</v>
      </c>
      <c r="EJ204" s="9" t="str">
        <f>_xll.SNL.Clients.Office.Excel.Functions.SPG(EG204, "SP_COUNTRY_NAME")</f>
        <v>Italy</v>
      </c>
      <c r="EO204" s="9" t="str">
        <f>_xll.SNL.Clients.Office.Excel.Functions.SPG(EL204, "SP_COUNTRY_NAME")</f>
        <v>#INVALID COMPANY ID</v>
      </c>
      <c r="ET204" s="9" t="str">
        <f>_xll.SNL.Clients.Office.Excel.Functions.SPG(EQ204, "SP_COUNTRY_NAME")</f>
        <v>#INVALID COMPANY ID</v>
      </c>
      <c r="EY204" s="9" t="str">
        <f>_xll.SNL.Clients.Office.Excel.Functions.SPG(EV204, "SP_COUNTRY_NAME")</f>
        <v>#INVALID COMPANY ID</v>
      </c>
      <c r="FD204" s="9" t="str">
        <f>_xll.SNL.Clients.Office.Excel.Functions.SPG(FA204, "SP_COUNTRY_NAME")</f>
        <v>#INVALID COMPANY ID</v>
      </c>
      <c r="FI204" s="9" t="str">
        <f>_xll.SNL.Clients.Office.Excel.Functions.SPG(FF204, "SP_COUNTRY_NAME")</f>
        <v>#INVALID COMPANY ID</v>
      </c>
      <c r="FN204" s="9" t="str">
        <f>_xll.SNL.Clients.Office.Excel.Functions.SPG(FK204, "SP_COUNTRY_NAME")</f>
        <v>#INVALID COMPANY ID</v>
      </c>
      <c r="FS204" s="9" t="str">
        <f>_xll.SNL.Clients.Office.Excel.Functions.SPG(FP204, "SP_COUNTRY_NAME")</f>
        <v>#INVALID COMPANY ID</v>
      </c>
      <c r="FX204" s="9" t="str">
        <f>_xll.SNL.Clients.Office.Excel.Functions.SPG(FU204, "SP_COUNTRY_NAME")</f>
        <v>#INVALID COMPANY ID</v>
      </c>
      <c r="FY204" t="s">
        <v>544</v>
      </c>
      <c r="FZ204">
        <v>5745911</v>
      </c>
      <c r="GA204" t="s">
        <v>369</v>
      </c>
      <c r="GB204" s="11">
        <v>0.02</v>
      </c>
      <c r="GC204" s="9" t="str">
        <f>_xll.SNL.Clients.Office.Excel.Functions.SPG(FZ204, "SP_COUNTRY_NAME")</f>
        <v>Italy</v>
      </c>
      <c r="GH204" s="9" t="str">
        <f>_xll.SNL.Clients.Office.Excel.Functions.SPG(GE204, "SP_COUNTRY_NAME")</f>
        <v>#INVALID COMPANY ID</v>
      </c>
      <c r="GM204" s="9" t="str">
        <f>_xll.SNL.Clients.Office.Excel.Functions.SPG(GJ204, "SP_COUNTRY_NAME")</f>
        <v>#INVALID COMPANY ID</v>
      </c>
      <c r="GR204" s="9" t="str">
        <f>_xll.SNL.Clients.Office.Excel.Functions.SPG(GO204, "SP_COUNTRY_NAME")</f>
        <v>#INVALID COMPANY ID</v>
      </c>
      <c r="GS204" t="s">
        <v>1072</v>
      </c>
      <c r="GT204">
        <v>5760994</v>
      </c>
      <c r="GU204" t="s">
        <v>346</v>
      </c>
      <c r="GV204" s="11">
        <v>0</v>
      </c>
      <c r="GW204" s="9" t="str">
        <f>_xll.SNL.Clients.Office.Excel.Functions.SPG(GT204, "SP_COUNTRY_NAME")</f>
        <v>Luxembourg</v>
      </c>
      <c r="GX204" t="s">
        <v>1692</v>
      </c>
      <c r="GY204">
        <v>4119727</v>
      </c>
      <c r="GZ204" t="s">
        <v>346</v>
      </c>
      <c r="HA204" s="11">
        <v>0.01</v>
      </c>
      <c r="HB204" s="9" t="str">
        <f>_xll.SNL.Clients.Office.Excel.Functions.SPG(GY204, "SP_COUNTRY_NAME")</f>
        <v>USA</v>
      </c>
      <c r="HG204" s="9" t="str">
        <f>_xll.SNL.Clients.Office.Excel.Functions.SPG(HD204, "SP_COUNTRY_NAME")</f>
        <v>#INVALID COMPANY ID</v>
      </c>
    </row>
    <row r="205" spans="5:215" x14ac:dyDescent="0.35">
      <c r="E205" s="9" t="str">
        <f>_xll.SNL.Clients.Office.Excel.Functions.SPG(B205, "SP_COUNTRY_NAME")</f>
        <v>#INVALID COMPANY ID</v>
      </c>
      <c r="F205" t="s">
        <v>590</v>
      </c>
      <c r="G205">
        <v>5843650</v>
      </c>
      <c r="H205" t="s">
        <v>346</v>
      </c>
      <c r="I205" s="11">
        <v>0</v>
      </c>
      <c r="J205" s="9" t="str">
        <f>_xll.SNL.Clients.Office.Excel.Functions.SPG(G205, "SP_COUNTRY_NAME")</f>
        <v>Germany</v>
      </c>
      <c r="O205" s="9" t="str">
        <f>_xll.SNL.Clients.Office.Excel.Functions.SPG(L205, "SP_COUNTRY_NAME")</f>
        <v>#INVALID COMPANY ID</v>
      </c>
      <c r="T205" s="9" t="str">
        <f>_xll.SNL.Clients.Office.Excel.Functions.SPG(Q205, "SP_COUNTRY_NAME")</f>
        <v>#INVALID COMPANY ID</v>
      </c>
      <c r="U205" t="s">
        <v>795</v>
      </c>
      <c r="V205">
        <v>27663277</v>
      </c>
      <c r="W205" t="s">
        <v>346</v>
      </c>
      <c r="X205" s="11">
        <v>0.01</v>
      </c>
      <c r="Y205" s="9" t="str">
        <f>_xll.SNL.Clients.Office.Excel.Functions.SPG(V205, "SP_COUNTRY_NAME")</f>
        <v>#INVALID COMPANY ID</v>
      </c>
      <c r="AD205" s="9" t="str">
        <f>_xll.SNL.Clients.Office.Excel.Functions.SPG(AA205, "SP_COUNTRY_NAME")</f>
        <v>#INVALID COMPANY ID</v>
      </c>
      <c r="AE205" t="s">
        <v>430</v>
      </c>
      <c r="AF205">
        <v>4055767</v>
      </c>
      <c r="AG205" t="s">
        <v>346</v>
      </c>
      <c r="AH205" s="11">
        <v>0</v>
      </c>
      <c r="AI205" s="9" t="str">
        <f>_xll.SNL.Clients.Office.Excel.Functions.SPG(AF205, "SP_COUNTRY_NAME")</f>
        <v>USA</v>
      </c>
      <c r="AN205" s="9" t="str">
        <f>_xll.SNL.Clients.Office.Excel.Functions.SPG(AK205, "SP_COUNTRY_NAME")</f>
        <v>#INVALID COMPANY ID</v>
      </c>
      <c r="AO205" t="s">
        <v>1340</v>
      </c>
      <c r="AP205">
        <v>5829348</v>
      </c>
      <c r="AQ205" t="s">
        <v>346</v>
      </c>
      <c r="AR205" s="11">
        <v>0</v>
      </c>
      <c r="AS205" s="9" t="str">
        <f>_xll.SNL.Clients.Office.Excel.Functions.SPG(AP205, "SP_COUNTRY_NAME")</f>
        <v>South Africa</v>
      </c>
      <c r="AX205" s="9" t="str">
        <f>_xll.SNL.Clients.Office.Excel.Functions.SPG(AU205, "SP_COUNTRY_NAME")</f>
        <v>#INVALID COMPANY ID</v>
      </c>
      <c r="BC205" s="9" t="str">
        <f>_xll.SNL.Clients.Office.Excel.Functions.SPG(AZ205, "SP_COUNTRY_NAME")</f>
        <v>#INVALID COMPANY ID</v>
      </c>
      <c r="BD205" t="s">
        <v>555</v>
      </c>
      <c r="BE205">
        <v>4581412</v>
      </c>
      <c r="BF205" t="s">
        <v>346</v>
      </c>
      <c r="BG205" s="11">
        <v>0.02</v>
      </c>
      <c r="BH205" s="9" t="str">
        <f>_xll.SNL.Clients.Office.Excel.Functions.SPG(BE205, "SP_COUNTRY_NAME")</f>
        <v>Spain</v>
      </c>
      <c r="BI205" t="s">
        <v>558</v>
      </c>
      <c r="BJ205">
        <v>109844</v>
      </c>
      <c r="BK205" t="s">
        <v>346</v>
      </c>
      <c r="BL205" s="11">
        <v>0</v>
      </c>
      <c r="BM205" s="9" t="str">
        <f>_xll.SNL.Clients.Office.Excel.Functions.SPG(BJ205, "SP_COUNTRY_NAME")</f>
        <v>USA</v>
      </c>
      <c r="BN205" t="s">
        <v>659</v>
      </c>
      <c r="BO205">
        <v>4139011</v>
      </c>
      <c r="BP205" t="s">
        <v>346</v>
      </c>
      <c r="BQ205" s="11">
        <v>0</v>
      </c>
      <c r="BR205" s="9" t="str">
        <f>_xll.SNL.Clients.Office.Excel.Functions.SPG(BO205, "SP_COUNTRY_NAME")</f>
        <v>Germany</v>
      </c>
      <c r="BS205" t="s">
        <v>526</v>
      </c>
      <c r="BT205">
        <v>4248288</v>
      </c>
      <c r="BU205" t="s">
        <v>346</v>
      </c>
      <c r="BV205" s="11">
        <v>0.01</v>
      </c>
      <c r="BW205" s="9" t="str">
        <f>_xll.SNL.Clients.Office.Excel.Functions.SPG(BT205, "SP_COUNTRY_NAME")</f>
        <v>Canada</v>
      </c>
      <c r="BX205" t="s">
        <v>795</v>
      </c>
      <c r="BY205">
        <v>27663277</v>
      </c>
      <c r="BZ205" t="s">
        <v>346</v>
      </c>
      <c r="CA205" s="11">
        <v>0.01</v>
      </c>
      <c r="CB205" s="9" t="str">
        <f>_xll.SNL.Clients.Office.Excel.Functions.SPG(BY205, "SP_COUNTRY_NAME")</f>
        <v>#INVALID COMPANY ID</v>
      </c>
      <c r="CC205" t="s">
        <v>1693</v>
      </c>
      <c r="CD205">
        <v>5847714</v>
      </c>
      <c r="CE205" t="s">
        <v>364</v>
      </c>
      <c r="CF205" s="11">
        <v>0.01</v>
      </c>
      <c r="CG205" s="9" t="str">
        <f>_xll.SNL.Clients.Office.Excel.Functions.SPG(CD205, "SP_COUNTRY_NAME")</f>
        <v>Brazil</v>
      </c>
      <c r="CH205" t="s">
        <v>1340</v>
      </c>
      <c r="CI205">
        <v>5829348</v>
      </c>
      <c r="CJ205" t="s">
        <v>346</v>
      </c>
      <c r="CK205" s="11">
        <v>0</v>
      </c>
      <c r="CL205" s="9" t="str">
        <f>_xll.SNL.Clients.Office.Excel.Functions.SPG(CI205, "SP_COUNTRY_NAME")</f>
        <v>South Africa</v>
      </c>
      <c r="CM205" t="s">
        <v>1991</v>
      </c>
      <c r="CN205">
        <v>4097767</v>
      </c>
      <c r="CO205" t="s">
        <v>363</v>
      </c>
      <c r="CP205" s="11">
        <v>0.01</v>
      </c>
      <c r="CQ205" s="9" t="str">
        <f>_xll.SNL.Clients.Office.Excel.Functions.SPG(CN205, "SP_COUNTRY_NAME")</f>
        <v>USA</v>
      </c>
      <c r="CV205" s="9" t="str">
        <f>_xll.SNL.Clients.Office.Excel.Functions.SPG(CS205, "SP_COUNTRY_NAME")</f>
        <v>#INVALID COMPANY ID</v>
      </c>
      <c r="DA205" s="9" t="str">
        <f>_xll.SNL.Clients.Office.Excel.Functions.SPG(CX205, "SP_COUNTRY_NAME")</f>
        <v>#INVALID COMPANY ID</v>
      </c>
      <c r="DB205" t="s">
        <v>555</v>
      </c>
      <c r="DC205">
        <v>4581412</v>
      </c>
      <c r="DD205" t="s">
        <v>346</v>
      </c>
      <c r="DE205" s="11">
        <v>0.02</v>
      </c>
      <c r="DF205" s="9" t="str">
        <f>_xll.SNL.Clients.Office.Excel.Functions.SPG(DC205, "SP_COUNTRY_NAME")</f>
        <v>Spain</v>
      </c>
      <c r="DK205" s="9" t="str">
        <f>_xll.SNL.Clients.Office.Excel.Functions.SPG(DH205, "SP_COUNTRY_NAME")</f>
        <v>#INVALID COMPANY ID</v>
      </c>
      <c r="DL205" t="s">
        <v>555</v>
      </c>
      <c r="DM205">
        <v>4581412</v>
      </c>
      <c r="DN205" t="s">
        <v>346</v>
      </c>
      <c r="DO205" s="11">
        <v>0.02</v>
      </c>
      <c r="DP205" s="9" t="str">
        <f>_xll.SNL.Clients.Office.Excel.Functions.SPG(DM205, "SP_COUNTRY_NAME")</f>
        <v>Spain</v>
      </c>
      <c r="DU205" s="9" t="str">
        <f>_xll.SNL.Clients.Office.Excel.Functions.SPG(DR205, "SP_COUNTRY_NAME")</f>
        <v>#INVALID COMPANY ID</v>
      </c>
      <c r="DZ205" s="9" t="str">
        <f>_xll.SNL.Clients.Office.Excel.Functions.SPG(DW205, "SP_COUNTRY_NAME")</f>
        <v>#INVALID COMPANY ID</v>
      </c>
      <c r="EA205" t="s">
        <v>1693</v>
      </c>
      <c r="EB205">
        <v>5847714</v>
      </c>
      <c r="EC205" t="s">
        <v>364</v>
      </c>
      <c r="ED205" s="11">
        <v>0.01</v>
      </c>
      <c r="EE205" s="9" t="str">
        <f>_xll.SNL.Clients.Office.Excel.Functions.SPG(EB205, "SP_COUNTRY_NAME")</f>
        <v>Brazil</v>
      </c>
      <c r="EF205" t="s">
        <v>555</v>
      </c>
      <c r="EG205">
        <v>4581412</v>
      </c>
      <c r="EH205" t="s">
        <v>346</v>
      </c>
      <c r="EI205" s="11">
        <v>0.02</v>
      </c>
      <c r="EJ205" s="9" t="str">
        <f>_xll.SNL.Clients.Office.Excel.Functions.SPG(EG205, "SP_COUNTRY_NAME")</f>
        <v>Spain</v>
      </c>
      <c r="EO205" s="9" t="str">
        <f>_xll.SNL.Clients.Office.Excel.Functions.SPG(EL205, "SP_COUNTRY_NAME")</f>
        <v>#INVALID COMPANY ID</v>
      </c>
      <c r="ET205" s="9" t="str">
        <f>_xll.SNL.Clients.Office.Excel.Functions.SPG(EQ205, "SP_COUNTRY_NAME")</f>
        <v>#INVALID COMPANY ID</v>
      </c>
      <c r="EY205" s="9" t="str">
        <f>_xll.SNL.Clients.Office.Excel.Functions.SPG(EV205, "SP_COUNTRY_NAME")</f>
        <v>#INVALID COMPANY ID</v>
      </c>
      <c r="FD205" s="9" t="str">
        <f>_xll.SNL.Clients.Office.Excel.Functions.SPG(FA205, "SP_COUNTRY_NAME")</f>
        <v>#INVALID COMPANY ID</v>
      </c>
      <c r="FI205" s="9" t="str">
        <f>_xll.SNL.Clients.Office.Excel.Functions.SPG(FF205, "SP_COUNTRY_NAME")</f>
        <v>#INVALID COMPANY ID</v>
      </c>
      <c r="FN205" s="9" t="str">
        <f>_xll.SNL.Clients.Office.Excel.Functions.SPG(FK205, "SP_COUNTRY_NAME")</f>
        <v>#INVALID COMPANY ID</v>
      </c>
      <c r="FS205" s="9" t="str">
        <f>_xll.SNL.Clients.Office.Excel.Functions.SPG(FP205, "SP_COUNTRY_NAME")</f>
        <v>#INVALID COMPANY ID</v>
      </c>
      <c r="FX205" s="9" t="str">
        <f>_xll.SNL.Clients.Office.Excel.Functions.SPG(FU205, "SP_COUNTRY_NAME")</f>
        <v>#INVALID COMPANY ID</v>
      </c>
      <c r="FY205" t="s">
        <v>555</v>
      </c>
      <c r="FZ205">
        <v>4581412</v>
      </c>
      <c r="GA205" t="s">
        <v>346</v>
      </c>
      <c r="GB205" s="11">
        <v>0.02</v>
      </c>
      <c r="GC205" s="9" t="str">
        <f>_xll.SNL.Clients.Office.Excel.Functions.SPG(FZ205, "SP_COUNTRY_NAME")</f>
        <v>Spain</v>
      </c>
      <c r="GH205" s="9" t="str">
        <f>_xll.SNL.Clients.Office.Excel.Functions.SPG(GE205, "SP_COUNTRY_NAME")</f>
        <v>#INVALID COMPANY ID</v>
      </c>
      <c r="GM205" s="9" t="str">
        <f>_xll.SNL.Clients.Office.Excel.Functions.SPG(GJ205, "SP_COUNTRY_NAME")</f>
        <v>#INVALID COMPANY ID</v>
      </c>
      <c r="GR205" s="9" t="str">
        <f>_xll.SNL.Clients.Office.Excel.Functions.SPG(GO205, "SP_COUNTRY_NAME")</f>
        <v>#INVALID COMPANY ID</v>
      </c>
      <c r="GS205" t="s">
        <v>659</v>
      </c>
      <c r="GT205">
        <v>4139011</v>
      </c>
      <c r="GU205" t="s">
        <v>346</v>
      </c>
      <c r="GV205" s="11">
        <v>0</v>
      </c>
      <c r="GW205" s="9" t="str">
        <f>_xll.SNL.Clients.Office.Excel.Functions.SPG(GT205, "SP_COUNTRY_NAME")</f>
        <v>Germany</v>
      </c>
      <c r="GX205" t="s">
        <v>1693</v>
      </c>
      <c r="GY205">
        <v>5847714</v>
      </c>
      <c r="GZ205" t="s">
        <v>364</v>
      </c>
      <c r="HA205" s="11">
        <v>0.01</v>
      </c>
      <c r="HB205" s="9" t="str">
        <f>_xll.SNL.Clients.Office.Excel.Functions.SPG(GY205, "SP_COUNTRY_NAME")</f>
        <v>Brazil</v>
      </c>
      <c r="HG205" s="9" t="str">
        <f>_xll.SNL.Clients.Office.Excel.Functions.SPG(HD205, "SP_COUNTRY_NAME")</f>
        <v>#INVALID COMPANY ID</v>
      </c>
    </row>
    <row r="206" spans="5:215" x14ac:dyDescent="0.35">
      <c r="E206" s="9" t="str">
        <f>_xll.SNL.Clients.Office.Excel.Functions.SPG(B206, "SP_COUNTRY_NAME")</f>
        <v>#INVALID COMPANY ID</v>
      </c>
      <c r="F206" t="s">
        <v>591</v>
      </c>
      <c r="G206">
        <v>109721</v>
      </c>
      <c r="H206" t="s">
        <v>346</v>
      </c>
      <c r="I206" s="11">
        <v>0</v>
      </c>
      <c r="J206" s="9" t="str">
        <f>_xll.SNL.Clients.Office.Excel.Functions.SPG(G206, "SP_COUNTRY_NAME")</f>
        <v>USA</v>
      </c>
      <c r="O206" s="9" t="str">
        <f>_xll.SNL.Clients.Office.Excel.Functions.SPG(L206, "SP_COUNTRY_NAME")</f>
        <v>#INVALID COMPANY ID</v>
      </c>
      <c r="T206" s="9" t="str">
        <f>_xll.SNL.Clients.Office.Excel.Functions.SPG(Q206, "SP_COUNTRY_NAME")</f>
        <v>#INVALID COMPANY ID</v>
      </c>
      <c r="U206" t="s">
        <v>398</v>
      </c>
      <c r="V206">
        <v>4107954</v>
      </c>
      <c r="W206" t="s">
        <v>300</v>
      </c>
      <c r="X206" s="11">
        <v>0.01</v>
      </c>
      <c r="Y206" s="9" t="str">
        <f>_xll.SNL.Clients.Office.Excel.Functions.SPG(V206, "SP_COUNTRY_NAME")</f>
        <v>Japan</v>
      </c>
      <c r="AD206" s="9" t="str">
        <f>_xll.SNL.Clients.Office.Excel.Functions.SPG(AA206, "SP_COUNTRY_NAME")</f>
        <v>#INVALID COMPANY ID</v>
      </c>
      <c r="AE206" t="s">
        <v>446</v>
      </c>
      <c r="AF206">
        <v>4539004</v>
      </c>
      <c r="AG206" t="s">
        <v>346</v>
      </c>
      <c r="AH206" s="11">
        <v>0</v>
      </c>
      <c r="AI206" s="9" t="str">
        <f>_xll.SNL.Clients.Office.Excel.Functions.SPG(AF206, "SP_COUNTRY_NAME")</f>
        <v>USA</v>
      </c>
      <c r="AN206" s="9" t="str">
        <f>_xll.SNL.Clients.Office.Excel.Functions.SPG(AK206, "SP_COUNTRY_NAME")</f>
        <v>#INVALID COMPANY ID</v>
      </c>
      <c r="AO206" t="s">
        <v>1067</v>
      </c>
      <c r="AP206">
        <v>4336776</v>
      </c>
      <c r="AQ206" t="s">
        <v>346</v>
      </c>
      <c r="AR206" s="11">
        <v>0</v>
      </c>
      <c r="AS206" s="9" t="str">
        <f>_xll.SNL.Clients.Office.Excel.Functions.SPG(AP206, "SP_COUNTRY_NAME")</f>
        <v>Norway</v>
      </c>
      <c r="AX206" s="9" t="str">
        <f>_xll.SNL.Clients.Office.Excel.Functions.SPG(AU206, "SP_COUNTRY_NAME")</f>
        <v>#INVALID COMPANY ID</v>
      </c>
      <c r="BC206" s="9" t="str">
        <f>_xll.SNL.Clients.Office.Excel.Functions.SPG(AZ206, "SP_COUNTRY_NAME")</f>
        <v>#INVALID COMPANY ID</v>
      </c>
      <c r="BD206" t="s">
        <v>547</v>
      </c>
      <c r="BE206">
        <v>4005523</v>
      </c>
      <c r="BF206" t="s">
        <v>346</v>
      </c>
      <c r="BG206" s="11">
        <v>0.02</v>
      </c>
      <c r="BH206" s="9" t="str">
        <f>_xll.SNL.Clients.Office.Excel.Functions.SPG(BE206, "SP_COUNTRY_NAME")</f>
        <v>Canada</v>
      </c>
      <c r="BI206" t="s">
        <v>894</v>
      </c>
      <c r="BJ206">
        <v>4139629</v>
      </c>
      <c r="BK206" t="s">
        <v>346</v>
      </c>
      <c r="BL206" s="11">
        <v>0</v>
      </c>
      <c r="BM206" s="9" t="str">
        <f>_xll.SNL.Clients.Office.Excel.Functions.SPG(BJ206, "SP_COUNTRY_NAME")</f>
        <v>Singapore</v>
      </c>
      <c r="BN206" t="s">
        <v>408</v>
      </c>
      <c r="BO206">
        <v>4138917</v>
      </c>
      <c r="BP206" t="s">
        <v>346</v>
      </c>
      <c r="BQ206" s="11">
        <v>0</v>
      </c>
      <c r="BR206" s="9" t="str">
        <f>_xll.SNL.Clients.Office.Excel.Functions.SPG(BO206, "SP_COUNTRY_NAME")</f>
        <v>Australia</v>
      </c>
      <c r="BS206" t="s">
        <v>404</v>
      </c>
      <c r="BT206">
        <v>4383779</v>
      </c>
      <c r="BU206" t="s">
        <v>346</v>
      </c>
      <c r="BV206" s="11">
        <v>0.01</v>
      </c>
      <c r="BW206" s="9" t="str">
        <f>_xll.SNL.Clients.Office.Excel.Functions.SPG(BT206, "SP_COUNTRY_NAME")</f>
        <v>USA</v>
      </c>
      <c r="BX206" t="s">
        <v>398</v>
      </c>
      <c r="BY206">
        <v>4107954</v>
      </c>
      <c r="BZ206" t="s">
        <v>300</v>
      </c>
      <c r="CA206" s="11">
        <v>0.01</v>
      </c>
      <c r="CB206" s="9" t="str">
        <f>_xll.SNL.Clients.Office.Excel.Functions.SPG(BY206, "SP_COUNTRY_NAME")</f>
        <v>Japan</v>
      </c>
      <c r="CC206" t="s">
        <v>952</v>
      </c>
      <c r="CD206">
        <v>4244140</v>
      </c>
      <c r="CE206" t="s">
        <v>346</v>
      </c>
      <c r="CF206" s="11">
        <v>0.01</v>
      </c>
      <c r="CG206" s="9" t="str">
        <f>_xll.SNL.Clients.Office.Excel.Functions.SPG(CD206, "SP_COUNTRY_NAME")</f>
        <v>USA</v>
      </c>
      <c r="CH206" t="s">
        <v>1067</v>
      </c>
      <c r="CI206">
        <v>4336776</v>
      </c>
      <c r="CJ206" t="s">
        <v>346</v>
      </c>
      <c r="CK206" s="11">
        <v>0</v>
      </c>
      <c r="CL206" s="9" t="str">
        <f>_xll.SNL.Clients.Office.Excel.Functions.SPG(CI206, "SP_COUNTRY_NAME")</f>
        <v>Norway</v>
      </c>
      <c r="CM206" t="s">
        <v>1886</v>
      </c>
      <c r="CN206">
        <v>109739</v>
      </c>
      <c r="CO206" t="s">
        <v>346</v>
      </c>
      <c r="CP206" s="11">
        <v>0.01</v>
      </c>
      <c r="CQ206" s="9" t="str">
        <f>_xll.SNL.Clients.Office.Excel.Functions.SPG(CN206, "SP_COUNTRY_NAME")</f>
        <v>USA</v>
      </c>
      <c r="CV206" s="9" t="str">
        <f>_xll.SNL.Clients.Office.Excel.Functions.SPG(CS206, "SP_COUNTRY_NAME")</f>
        <v>#INVALID COMPANY ID</v>
      </c>
      <c r="DA206" s="9" t="str">
        <f>_xll.SNL.Clients.Office.Excel.Functions.SPG(CX206, "SP_COUNTRY_NAME")</f>
        <v>#INVALID COMPANY ID</v>
      </c>
      <c r="DB206" t="s">
        <v>547</v>
      </c>
      <c r="DC206">
        <v>4005523</v>
      </c>
      <c r="DD206" t="s">
        <v>346</v>
      </c>
      <c r="DE206" s="11">
        <v>0.02</v>
      </c>
      <c r="DF206" s="9" t="str">
        <f>_xll.SNL.Clients.Office.Excel.Functions.SPG(DC206, "SP_COUNTRY_NAME")</f>
        <v>Canada</v>
      </c>
      <c r="DK206" s="9" t="str">
        <f>_xll.SNL.Clients.Office.Excel.Functions.SPG(DH206, "SP_COUNTRY_NAME")</f>
        <v>#INVALID COMPANY ID</v>
      </c>
      <c r="DL206" t="s">
        <v>547</v>
      </c>
      <c r="DM206">
        <v>4005523</v>
      </c>
      <c r="DN206" t="s">
        <v>346</v>
      </c>
      <c r="DO206" s="11">
        <v>0.02</v>
      </c>
      <c r="DP206" s="9" t="str">
        <f>_xll.SNL.Clients.Office.Excel.Functions.SPG(DM206, "SP_COUNTRY_NAME")</f>
        <v>Canada</v>
      </c>
      <c r="DU206" s="9" t="str">
        <f>_xll.SNL.Clients.Office.Excel.Functions.SPG(DR206, "SP_COUNTRY_NAME")</f>
        <v>#INVALID COMPANY ID</v>
      </c>
      <c r="DZ206" s="9" t="str">
        <f>_xll.SNL.Clients.Office.Excel.Functions.SPG(DW206, "SP_COUNTRY_NAME")</f>
        <v>#INVALID COMPANY ID</v>
      </c>
      <c r="EA206" t="s">
        <v>952</v>
      </c>
      <c r="EB206">
        <v>4244140</v>
      </c>
      <c r="EC206" t="s">
        <v>346</v>
      </c>
      <c r="ED206" s="11">
        <v>0.01</v>
      </c>
      <c r="EE206" s="9" t="str">
        <f>_xll.SNL.Clients.Office.Excel.Functions.SPG(EB206, "SP_COUNTRY_NAME")</f>
        <v>USA</v>
      </c>
      <c r="EF206" t="s">
        <v>547</v>
      </c>
      <c r="EG206">
        <v>4005523</v>
      </c>
      <c r="EH206" t="s">
        <v>346</v>
      </c>
      <c r="EI206" s="11">
        <v>0.02</v>
      </c>
      <c r="EJ206" s="9" t="str">
        <f>_xll.SNL.Clients.Office.Excel.Functions.SPG(EG206, "SP_COUNTRY_NAME")</f>
        <v>Canada</v>
      </c>
      <c r="EO206" s="9" t="str">
        <f>_xll.SNL.Clients.Office.Excel.Functions.SPG(EL206, "SP_COUNTRY_NAME")</f>
        <v>#INVALID COMPANY ID</v>
      </c>
      <c r="ET206" s="9" t="str">
        <f>_xll.SNL.Clients.Office.Excel.Functions.SPG(EQ206, "SP_COUNTRY_NAME")</f>
        <v>#INVALID COMPANY ID</v>
      </c>
      <c r="EY206" s="9" t="str">
        <f>_xll.SNL.Clients.Office.Excel.Functions.SPG(EV206, "SP_COUNTRY_NAME")</f>
        <v>#INVALID COMPANY ID</v>
      </c>
      <c r="FD206" s="9" t="str">
        <f>_xll.SNL.Clients.Office.Excel.Functions.SPG(FA206, "SP_COUNTRY_NAME")</f>
        <v>#INVALID COMPANY ID</v>
      </c>
      <c r="FI206" s="9" t="str">
        <f>_xll.SNL.Clients.Office.Excel.Functions.SPG(FF206, "SP_COUNTRY_NAME")</f>
        <v>#INVALID COMPANY ID</v>
      </c>
      <c r="FN206" s="9" t="str">
        <f>_xll.SNL.Clients.Office.Excel.Functions.SPG(FK206, "SP_COUNTRY_NAME")</f>
        <v>#INVALID COMPANY ID</v>
      </c>
      <c r="FS206" s="9" t="str">
        <f>_xll.SNL.Clients.Office.Excel.Functions.SPG(FP206, "SP_COUNTRY_NAME")</f>
        <v>#INVALID COMPANY ID</v>
      </c>
      <c r="FX206" s="9" t="str">
        <f>_xll.SNL.Clients.Office.Excel.Functions.SPG(FU206, "SP_COUNTRY_NAME")</f>
        <v>#INVALID COMPANY ID</v>
      </c>
      <c r="FY206" t="s">
        <v>547</v>
      </c>
      <c r="FZ206">
        <v>4005523</v>
      </c>
      <c r="GA206" t="s">
        <v>346</v>
      </c>
      <c r="GB206" s="11">
        <v>0.02</v>
      </c>
      <c r="GC206" s="9" t="str">
        <f>_xll.SNL.Clients.Office.Excel.Functions.SPG(FZ206, "SP_COUNTRY_NAME")</f>
        <v>Canada</v>
      </c>
      <c r="GH206" s="9" t="str">
        <f>_xll.SNL.Clients.Office.Excel.Functions.SPG(GE206, "SP_COUNTRY_NAME")</f>
        <v>#INVALID COMPANY ID</v>
      </c>
      <c r="GM206" s="9" t="str">
        <f>_xll.SNL.Clients.Office.Excel.Functions.SPG(GJ206, "SP_COUNTRY_NAME")</f>
        <v>#INVALID COMPANY ID</v>
      </c>
      <c r="GR206" s="9" t="str">
        <f>_xll.SNL.Clients.Office.Excel.Functions.SPG(GO206, "SP_COUNTRY_NAME")</f>
        <v>#INVALID COMPANY ID</v>
      </c>
      <c r="GS206" t="s">
        <v>408</v>
      </c>
      <c r="GT206">
        <v>4138917</v>
      </c>
      <c r="GU206" t="s">
        <v>346</v>
      </c>
      <c r="GV206" s="11">
        <v>0</v>
      </c>
      <c r="GW206" s="9" t="str">
        <f>_xll.SNL.Clients.Office.Excel.Functions.SPG(GT206, "SP_COUNTRY_NAME")</f>
        <v>Australia</v>
      </c>
      <c r="GX206" t="s">
        <v>952</v>
      </c>
      <c r="GY206">
        <v>4244140</v>
      </c>
      <c r="GZ206" t="s">
        <v>346</v>
      </c>
      <c r="HA206" s="11">
        <v>0.01</v>
      </c>
      <c r="HB206" s="9" t="str">
        <f>_xll.SNL.Clients.Office.Excel.Functions.SPG(GY206, "SP_COUNTRY_NAME")</f>
        <v>USA</v>
      </c>
      <c r="HG206" s="9" t="str">
        <f>_xll.SNL.Clients.Office.Excel.Functions.SPG(HD206, "SP_COUNTRY_NAME")</f>
        <v>#INVALID COMPANY ID</v>
      </c>
    </row>
    <row r="207" spans="5:215" x14ac:dyDescent="0.35">
      <c r="E207" s="9" t="str">
        <f>_xll.SNL.Clients.Office.Excel.Functions.SPG(B207, "SP_COUNTRY_NAME")</f>
        <v>#INVALID COMPANY ID</v>
      </c>
      <c r="F207" t="s">
        <v>592</v>
      </c>
      <c r="G207">
        <v>1015222</v>
      </c>
      <c r="H207" t="s">
        <v>346</v>
      </c>
      <c r="I207" s="11">
        <v>0</v>
      </c>
      <c r="J207" s="9" t="str">
        <f>_xll.SNL.Clients.Office.Excel.Functions.SPG(G207, "SP_COUNTRY_NAME")</f>
        <v>USA</v>
      </c>
      <c r="O207" s="9" t="str">
        <f>_xll.SNL.Clients.Office.Excel.Functions.SPG(L207, "SP_COUNTRY_NAME")</f>
        <v>#INVALID COMPANY ID</v>
      </c>
      <c r="T207" s="9" t="str">
        <f>_xll.SNL.Clients.Office.Excel.Functions.SPG(Q207, "SP_COUNTRY_NAME")</f>
        <v>#INVALID COMPANY ID</v>
      </c>
      <c r="U207" t="s">
        <v>796</v>
      </c>
      <c r="V207">
        <v>19312355</v>
      </c>
      <c r="W207" t="s">
        <v>346</v>
      </c>
      <c r="X207" s="11">
        <v>0.01</v>
      </c>
      <c r="Y207" s="9" t="str">
        <f>_xll.SNL.Clients.Office.Excel.Functions.SPG(V207, "SP_COUNTRY_NAME")</f>
        <v>China</v>
      </c>
      <c r="AD207" s="9" t="str">
        <f>_xll.SNL.Clients.Office.Excel.Functions.SPG(AA207, "SP_COUNTRY_NAME")</f>
        <v>#INVALID COMPANY ID</v>
      </c>
      <c r="AE207" t="s">
        <v>1183</v>
      </c>
      <c r="AF207">
        <v>4142284</v>
      </c>
      <c r="AG207" t="s">
        <v>366</v>
      </c>
      <c r="AH207" s="11">
        <v>0</v>
      </c>
      <c r="AI207" s="9" t="str">
        <f>_xll.SNL.Clients.Office.Excel.Functions.SPG(AF207, "SP_COUNTRY_NAME")</f>
        <v>USA</v>
      </c>
      <c r="AN207" s="9" t="str">
        <f>_xll.SNL.Clients.Office.Excel.Functions.SPG(AK207, "SP_COUNTRY_NAME")</f>
        <v>#INVALID COMPANY ID</v>
      </c>
      <c r="AO207" t="s">
        <v>872</v>
      </c>
      <c r="AP207">
        <v>4025426</v>
      </c>
      <c r="AQ207" t="s">
        <v>300</v>
      </c>
      <c r="AR207" s="11">
        <v>0</v>
      </c>
      <c r="AS207" s="9" t="str">
        <f>_xll.SNL.Clients.Office.Excel.Functions.SPG(AP207, "SP_COUNTRY_NAME")</f>
        <v>USA</v>
      </c>
      <c r="AX207" s="9" t="str">
        <f>_xll.SNL.Clients.Office.Excel.Functions.SPG(AU207, "SP_COUNTRY_NAME")</f>
        <v>#INVALID COMPANY ID</v>
      </c>
      <c r="BC207" s="9" t="str">
        <f>_xll.SNL.Clients.Office.Excel.Functions.SPG(AZ207, "SP_COUNTRY_NAME")</f>
        <v>#INVALID COMPANY ID</v>
      </c>
      <c r="BD207" t="s">
        <v>1458</v>
      </c>
      <c r="BE207">
        <v>4187151</v>
      </c>
      <c r="BF207" t="s">
        <v>346</v>
      </c>
      <c r="BG207" s="11">
        <v>0.02</v>
      </c>
      <c r="BH207" s="9" t="str">
        <f>_xll.SNL.Clients.Office.Excel.Functions.SPG(BE207, "SP_COUNTRY_NAME")</f>
        <v>USA</v>
      </c>
      <c r="BI207" t="s">
        <v>1587</v>
      </c>
      <c r="BJ207">
        <v>4555471</v>
      </c>
      <c r="BK207" t="s">
        <v>364</v>
      </c>
      <c r="BL207" s="11">
        <v>0</v>
      </c>
      <c r="BM207" s="9" t="str">
        <f>_xll.SNL.Clients.Office.Excel.Functions.SPG(BJ207, "SP_COUNTRY_NAME")</f>
        <v>Italy</v>
      </c>
      <c r="BN207" t="s">
        <v>660</v>
      </c>
      <c r="BO207">
        <v>4099895</v>
      </c>
      <c r="BP207" t="s">
        <v>366</v>
      </c>
      <c r="BQ207" s="11">
        <v>0</v>
      </c>
      <c r="BR207" s="9" t="str">
        <f>_xll.SNL.Clients.Office.Excel.Functions.SPG(BO207, "SP_COUNTRY_NAME")</f>
        <v>Canada</v>
      </c>
      <c r="BS207" t="s">
        <v>429</v>
      </c>
      <c r="BT207">
        <v>4607441</v>
      </c>
      <c r="BU207" t="s">
        <v>346</v>
      </c>
      <c r="BV207" s="11">
        <v>0.01</v>
      </c>
      <c r="BW207" s="9" t="str">
        <f>_xll.SNL.Clients.Office.Excel.Functions.SPG(BT207, "SP_COUNTRY_NAME")</f>
        <v>Japan</v>
      </c>
      <c r="BX207" t="s">
        <v>796</v>
      </c>
      <c r="BY207">
        <v>19312355</v>
      </c>
      <c r="BZ207" t="s">
        <v>346</v>
      </c>
      <c r="CA207" s="11">
        <v>0.01</v>
      </c>
      <c r="CB207" s="9" t="str">
        <f>_xll.SNL.Clients.Office.Excel.Functions.SPG(BY207, "SP_COUNTRY_NAME")</f>
        <v>China</v>
      </c>
      <c r="CC207" t="s">
        <v>1694</v>
      </c>
      <c r="CD207">
        <v>4115842</v>
      </c>
      <c r="CE207" t="s">
        <v>346</v>
      </c>
      <c r="CF207" s="11">
        <v>0.01</v>
      </c>
      <c r="CG207" s="9" t="str">
        <f>_xll.SNL.Clients.Office.Excel.Functions.SPG(CD207, "SP_COUNTRY_NAME")</f>
        <v>USA</v>
      </c>
      <c r="CH207" t="s">
        <v>872</v>
      </c>
      <c r="CI207">
        <v>4025426</v>
      </c>
      <c r="CJ207" t="s">
        <v>300</v>
      </c>
      <c r="CK207" s="11">
        <v>0</v>
      </c>
      <c r="CL207" s="9" t="str">
        <f>_xll.SNL.Clients.Office.Excel.Functions.SPG(CI207, "SP_COUNTRY_NAME")</f>
        <v>USA</v>
      </c>
      <c r="CM207" t="s">
        <v>1992</v>
      </c>
      <c r="CN207">
        <v>4116320</v>
      </c>
      <c r="CO207" t="s">
        <v>346</v>
      </c>
      <c r="CP207" s="11">
        <v>0.01</v>
      </c>
      <c r="CQ207" s="9" t="str">
        <f>_xll.SNL.Clients.Office.Excel.Functions.SPG(CN207, "SP_COUNTRY_NAME")</f>
        <v>USA</v>
      </c>
      <c r="CV207" s="9" t="str">
        <f>_xll.SNL.Clients.Office.Excel.Functions.SPG(CS207, "SP_COUNTRY_NAME")</f>
        <v>#INVALID COMPANY ID</v>
      </c>
      <c r="DA207" s="9" t="str">
        <f>_xll.SNL.Clients.Office.Excel.Functions.SPG(CX207, "SP_COUNTRY_NAME")</f>
        <v>#INVALID COMPANY ID</v>
      </c>
      <c r="DB207" t="s">
        <v>1458</v>
      </c>
      <c r="DC207">
        <v>4187151</v>
      </c>
      <c r="DD207" t="s">
        <v>346</v>
      </c>
      <c r="DE207" s="11">
        <v>0.02</v>
      </c>
      <c r="DF207" s="9" t="str">
        <f>_xll.SNL.Clients.Office.Excel.Functions.SPG(DC207, "SP_COUNTRY_NAME")</f>
        <v>USA</v>
      </c>
      <c r="DK207" s="9" t="str">
        <f>_xll.SNL.Clients.Office.Excel.Functions.SPG(DH207, "SP_COUNTRY_NAME")</f>
        <v>#INVALID COMPANY ID</v>
      </c>
      <c r="DL207" t="s">
        <v>1458</v>
      </c>
      <c r="DM207">
        <v>4187151</v>
      </c>
      <c r="DN207" t="s">
        <v>346</v>
      </c>
      <c r="DO207" s="11">
        <v>0.02</v>
      </c>
      <c r="DP207" s="9" t="str">
        <f>_xll.SNL.Clients.Office.Excel.Functions.SPG(DM207, "SP_COUNTRY_NAME")</f>
        <v>USA</v>
      </c>
      <c r="DU207" s="9" t="str">
        <f>_xll.SNL.Clients.Office.Excel.Functions.SPG(DR207, "SP_COUNTRY_NAME")</f>
        <v>#INVALID COMPANY ID</v>
      </c>
      <c r="DZ207" s="9" t="str">
        <f>_xll.SNL.Clients.Office.Excel.Functions.SPG(DW207, "SP_COUNTRY_NAME")</f>
        <v>#INVALID COMPANY ID</v>
      </c>
      <c r="EA207" t="s">
        <v>1694</v>
      </c>
      <c r="EB207">
        <v>4115842</v>
      </c>
      <c r="EC207" t="s">
        <v>346</v>
      </c>
      <c r="ED207" s="11">
        <v>0.01</v>
      </c>
      <c r="EE207" s="9" t="str">
        <f>_xll.SNL.Clients.Office.Excel.Functions.SPG(EB207, "SP_COUNTRY_NAME")</f>
        <v>USA</v>
      </c>
      <c r="EF207" t="s">
        <v>1458</v>
      </c>
      <c r="EG207">
        <v>4187151</v>
      </c>
      <c r="EH207" t="s">
        <v>346</v>
      </c>
      <c r="EI207" s="11">
        <v>0.02</v>
      </c>
      <c r="EJ207" s="9" t="str">
        <f>_xll.SNL.Clients.Office.Excel.Functions.SPG(EG207, "SP_COUNTRY_NAME")</f>
        <v>USA</v>
      </c>
      <c r="EO207" s="9" t="str">
        <f>_xll.SNL.Clients.Office.Excel.Functions.SPG(EL207, "SP_COUNTRY_NAME")</f>
        <v>#INVALID COMPANY ID</v>
      </c>
      <c r="ET207" s="9" t="str">
        <f>_xll.SNL.Clients.Office.Excel.Functions.SPG(EQ207, "SP_COUNTRY_NAME")</f>
        <v>#INVALID COMPANY ID</v>
      </c>
      <c r="EY207" s="9" t="str">
        <f>_xll.SNL.Clients.Office.Excel.Functions.SPG(EV207, "SP_COUNTRY_NAME")</f>
        <v>#INVALID COMPANY ID</v>
      </c>
      <c r="FD207" s="9" t="str">
        <f>_xll.SNL.Clients.Office.Excel.Functions.SPG(FA207, "SP_COUNTRY_NAME")</f>
        <v>#INVALID COMPANY ID</v>
      </c>
      <c r="FI207" s="9" t="str">
        <f>_xll.SNL.Clients.Office.Excel.Functions.SPG(FF207, "SP_COUNTRY_NAME")</f>
        <v>#INVALID COMPANY ID</v>
      </c>
      <c r="FN207" s="9" t="str">
        <f>_xll.SNL.Clients.Office.Excel.Functions.SPG(FK207, "SP_COUNTRY_NAME")</f>
        <v>#INVALID COMPANY ID</v>
      </c>
      <c r="FS207" s="9" t="str">
        <f>_xll.SNL.Clients.Office.Excel.Functions.SPG(FP207, "SP_COUNTRY_NAME")</f>
        <v>#INVALID COMPANY ID</v>
      </c>
      <c r="FX207" s="9" t="str">
        <f>_xll.SNL.Clients.Office.Excel.Functions.SPG(FU207, "SP_COUNTRY_NAME")</f>
        <v>#INVALID COMPANY ID</v>
      </c>
      <c r="FY207" t="s">
        <v>1458</v>
      </c>
      <c r="FZ207">
        <v>4187151</v>
      </c>
      <c r="GA207" t="s">
        <v>346</v>
      </c>
      <c r="GB207" s="11">
        <v>0.02</v>
      </c>
      <c r="GC207" s="9" t="str">
        <f>_xll.SNL.Clients.Office.Excel.Functions.SPG(FZ207, "SP_COUNTRY_NAME")</f>
        <v>USA</v>
      </c>
      <c r="GH207" s="9" t="str">
        <f>_xll.SNL.Clients.Office.Excel.Functions.SPG(GE207, "SP_COUNTRY_NAME")</f>
        <v>#INVALID COMPANY ID</v>
      </c>
      <c r="GM207" s="9" t="str">
        <f>_xll.SNL.Clients.Office.Excel.Functions.SPG(GJ207, "SP_COUNTRY_NAME")</f>
        <v>#INVALID COMPANY ID</v>
      </c>
      <c r="GR207" s="9" t="str">
        <f>_xll.SNL.Clients.Office.Excel.Functions.SPG(GO207, "SP_COUNTRY_NAME")</f>
        <v>#INVALID COMPANY ID</v>
      </c>
      <c r="GS207" t="s">
        <v>660</v>
      </c>
      <c r="GT207">
        <v>4099895</v>
      </c>
      <c r="GU207" t="s">
        <v>366</v>
      </c>
      <c r="GV207" s="11">
        <v>0</v>
      </c>
      <c r="GW207" s="9" t="str">
        <f>_xll.SNL.Clients.Office.Excel.Functions.SPG(GT207, "SP_COUNTRY_NAME")</f>
        <v>Canada</v>
      </c>
      <c r="GX207" t="s">
        <v>1694</v>
      </c>
      <c r="GY207">
        <v>4115842</v>
      </c>
      <c r="GZ207" t="s">
        <v>346</v>
      </c>
      <c r="HA207" s="11">
        <v>0.01</v>
      </c>
      <c r="HB207" s="9" t="str">
        <f>_xll.SNL.Clients.Office.Excel.Functions.SPG(GY207, "SP_COUNTRY_NAME")</f>
        <v>USA</v>
      </c>
      <c r="HG207" s="9" t="str">
        <f>_xll.SNL.Clients.Office.Excel.Functions.SPG(HD207, "SP_COUNTRY_NAME")</f>
        <v>#INVALID COMPANY ID</v>
      </c>
    </row>
    <row r="208" spans="5:215" x14ac:dyDescent="0.35">
      <c r="E208" s="9" t="str">
        <f>_xll.SNL.Clients.Office.Excel.Functions.SPG(B208, "SP_COUNTRY_NAME")</f>
        <v>#INVALID COMPANY ID</v>
      </c>
      <c r="F208" t="s">
        <v>593</v>
      </c>
      <c r="G208">
        <v>4138124</v>
      </c>
      <c r="H208" t="s">
        <v>346</v>
      </c>
      <c r="I208" s="11">
        <v>0</v>
      </c>
      <c r="J208" s="9" t="str">
        <f>_xll.SNL.Clients.Office.Excel.Functions.SPG(G208, "SP_COUNTRY_NAME")</f>
        <v>Japan</v>
      </c>
      <c r="O208" s="9" t="str">
        <f>_xll.SNL.Clients.Office.Excel.Functions.SPG(L208, "SP_COUNTRY_NAME")</f>
        <v>#INVALID COMPANY ID</v>
      </c>
      <c r="T208" s="9" t="str">
        <f>_xll.SNL.Clients.Office.Excel.Functions.SPG(Q208, "SP_COUNTRY_NAME")</f>
        <v>#INVALID COMPANY ID</v>
      </c>
      <c r="U208" t="s">
        <v>797</v>
      </c>
      <c r="V208">
        <v>4138761</v>
      </c>
      <c r="W208" t="s">
        <v>346</v>
      </c>
      <c r="X208" s="11">
        <v>0.01</v>
      </c>
      <c r="Y208" s="9" t="str">
        <f>_xll.SNL.Clients.Office.Excel.Functions.SPG(V208, "SP_COUNTRY_NAME")</f>
        <v>China</v>
      </c>
      <c r="AD208" s="9" t="str">
        <f>_xll.SNL.Clients.Office.Excel.Functions.SPG(AA208, "SP_COUNTRY_NAME")</f>
        <v>#INVALID COMPANY ID</v>
      </c>
      <c r="AE208" t="s">
        <v>1184</v>
      </c>
      <c r="AF208">
        <v>110116</v>
      </c>
      <c r="AG208" t="s">
        <v>346</v>
      </c>
      <c r="AH208" s="11">
        <v>0</v>
      </c>
      <c r="AI208" s="9" t="str">
        <f>_xll.SNL.Clients.Office.Excel.Functions.SPG(AF208, "SP_COUNTRY_NAME")</f>
        <v>USA</v>
      </c>
      <c r="AN208" s="9" t="str">
        <f>_xll.SNL.Clients.Office.Excel.Functions.SPG(AK208, "SP_COUNTRY_NAME")</f>
        <v>#INVALID COMPANY ID</v>
      </c>
      <c r="AO208" t="s">
        <v>477</v>
      </c>
      <c r="AP208">
        <v>4119790</v>
      </c>
      <c r="AQ208" t="s">
        <v>346</v>
      </c>
      <c r="AR208" s="11">
        <v>0</v>
      </c>
      <c r="AS208" s="9" t="str">
        <f>_xll.SNL.Clients.Office.Excel.Functions.SPG(AP208, "SP_COUNTRY_NAME")</f>
        <v>USA</v>
      </c>
      <c r="AX208" s="9" t="str">
        <f>_xll.SNL.Clients.Office.Excel.Functions.SPG(AU208, "SP_COUNTRY_NAME")</f>
        <v>#INVALID COMPANY ID</v>
      </c>
      <c r="BC208" s="9" t="str">
        <f>_xll.SNL.Clients.Office.Excel.Functions.SPG(AZ208, "SP_COUNTRY_NAME")</f>
        <v>#INVALID COMPANY ID</v>
      </c>
      <c r="BD208" t="s">
        <v>963</v>
      </c>
      <c r="BE208">
        <v>4156964</v>
      </c>
      <c r="BF208" t="s">
        <v>346</v>
      </c>
      <c r="BG208" s="11">
        <v>0.02</v>
      </c>
      <c r="BH208" s="9" t="str">
        <f>_xll.SNL.Clients.Office.Excel.Functions.SPG(BE208, "SP_COUNTRY_NAME")</f>
        <v>Canada</v>
      </c>
      <c r="BI208" t="s">
        <v>544</v>
      </c>
      <c r="BJ208">
        <v>5745911</v>
      </c>
      <c r="BK208" t="s">
        <v>369</v>
      </c>
      <c r="BL208" s="11">
        <v>0</v>
      </c>
      <c r="BM208" s="9" t="str">
        <f>_xll.SNL.Clients.Office.Excel.Functions.SPG(BJ208, "SP_COUNTRY_NAME")</f>
        <v>Italy</v>
      </c>
      <c r="BN208" t="s">
        <v>728</v>
      </c>
      <c r="BO208">
        <v>4316929</v>
      </c>
      <c r="BP208" t="s">
        <v>346</v>
      </c>
      <c r="BQ208" s="11">
        <v>0</v>
      </c>
      <c r="BR208" s="9" t="str">
        <f>_xll.SNL.Clients.Office.Excel.Functions.SPG(BO208, "SP_COUNTRY_NAME")</f>
        <v>China</v>
      </c>
      <c r="BS208" t="s">
        <v>987</v>
      </c>
      <c r="BT208">
        <v>110332</v>
      </c>
      <c r="BU208" t="s">
        <v>346</v>
      </c>
      <c r="BV208" s="11">
        <v>0.01</v>
      </c>
      <c r="BW208" s="9" t="str">
        <f>_xll.SNL.Clients.Office.Excel.Functions.SPG(BT208, "SP_COUNTRY_NAME")</f>
        <v>USA</v>
      </c>
      <c r="BX208" t="s">
        <v>797</v>
      </c>
      <c r="BY208">
        <v>4138761</v>
      </c>
      <c r="BZ208" t="s">
        <v>346</v>
      </c>
      <c r="CA208" s="11">
        <v>0.01</v>
      </c>
      <c r="CB208" s="9" t="str">
        <f>_xll.SNL.Clients.Office.Excel.Functions.SPG(BY208, "SP_COUNTRY_NAME")</f>
        <v>China</v>
      </c>
      <c r="CC208" t="s">
        <v>1695</v>
      </c>
      <c r="CD208">
        <v>4548258</v>
      </c>
      <c r="CE208" t="s">
        <v>276</v>
      </c>
      <c r="CF208" s="11">
        <v>0.01</v>
      </c>
      <c r="CG208" s="9" t="str">
        <f>_xll.SNL.Clients.Office.Excel.Functions.SPG(CD208, "SP_COUNTRY_NAME")</f>
        <v>Brazil</v>
      </c>
      <c r="CH208" t="s">
        <v>477</v>
      </c>
      <c r="CI208">
        <v>4119790</v>
      </c>
      <c r="CJ208" t="s">
        <v>346</v>
      </c>
      <c r="CK208" s="11">
        <v>0</v>
      </c>
      <c r="CL208" s="9" t="str">
        <f>_xll.SNL.Clients.Office.Excel.Functions.SPG(CI208, "SP_COUNTRY_NAME")</f>
        <v>USA</v>
      </c>
      <c r="CM208" t="s">
        <v>459</v>
      </c>
      <c r="CN208">
        <v>4140503</v>
      </c>
      <c r="CO208" t="s">
        <v>346</v>
      </c>
      <c r="CP208" s="11">
        <v>0.01</v>
      </c>
      <c r="CQ208" s="9" t="str">
        <f>_xll.SNL.Clients.Office.Excel.Functions.SPG(CN208, "SP_COUNTRY_NAME")</f>
        <v>Ireland</v>
      </c>
      <c r="CV208" s="9" t="str">
        <f>_xll.SNL.Clients.Office.Excel.Functions.SPG(CS208, "SP_COUNTRY_NAME")</f>
        <v>#INVALID COMPANY ID</v>
      </c>
      <c r="DA208" s="9" t="str">
        <f>_xll.SNL.Clients.Office.Excel.Functions.SPG(CX208, "SP_COUNTRY_NAME")</f>
        <v>#INVALID COMPANY ID</v>
      </c>
      <c r="DB208" t="s">
        <v>963</v>
      </c>
      <c r="DC208">
        <v>4156964</v>
      </c>
      <c r="DD208" t="s">
        <v>346</v>
      </c>
      <c r="DE208" s="11">
        <v>0.02</v>
      </c>
      <c r="DF208" s="9" t="str">
        <f>_xll.SNL.Clients.Office.Excel.Functions.SPG(DC208, "SP_COUNTRY_NAME")</f>
        <v>Canada</v>
      </c>
      <c r="DK208" s="9" t="str">
        <f>_xll.SNL.Clients.Office.Excel.Functions.SPG(DH208, "SP_COUNTRY_NAME")</f>
        <v>#INVALID COMPANY ID</v>
      </c>
      <c r="DL208" t="s">
        <v>963</v>
      </c>
      <c r="DM208">
        <v>4156964</v>
      </c>
      <c r="DN208" t="s">
        <v>346</v>
      </c>
      <c r="DO208" s="11">
        <v>0.02</v>
      </c>
      <c r="DP208" s="9" t="str">
        <f>_xll.SNL.Clients.Office.Excel.Functions.SPG(DM208, "SP_COUNTRY_NAME")</f>
        <v>Canada</v>
      </c>
      <c r="DU208" s="9" t="str">
        <f>_xll.SNL.Clients.Office.Excel.Functions.SPG(DR208, "SP_COUNTRY_NAME")</f>
        <v>#INVALID COMPANY ID</v>
      </c>
      <c r="DZ208" s="9" t="str">
        <f>_xll.SNL.Clients.Office.Excel.Functions.SPG(DW208, "SP_COUNTRY_NAME")</f>
        <v>#INVALID COMPANY ID</v>
      </c>
      <c r="EA208" t="s">
        <v>1695</v>
      </c>
      <c r="EB208">
        <v>4548258</v>
      </c>
      <c r="EC208" t="s">
        <v>276</v>
      </c>
      <c r="ED208" s="11">
        <v>0.01</v>
      </c>
      <c r="EE208" s="9" t="str">
        <f>_xll.SNL.Clients.Office.Excel.Functions.SPG(EB208, "SP_COUNTRY_NAME")</f>
        <v>Brazil</v>
      </c>
      <c r="EF208" t="s">
        <v>963</v>
      </c>
      <c r="EG208">
        <v>4156964</v>
      </c>
      <c r="EH208" t="s">
        <v>346</v>
      </c>
      <c r="EI208" s="11">
        <v>0.02</v>
      </c>
      <c r="EJ208" s="9" t="str">
        <f>_xll.SNL.Clients.Office.Excel.Functions.SPG(EG208, "SP_COUNTRY_NAME")</f>
        <v>Canada</v>
      </c>
      <c r="EO208" s="9" t="str">
        <f>_xll.SNL.Clients.Office.Excel.Functions.SPG(EL208, "SP_COUNTRY_NAME")</f>
        <v>#INVALID COMPANY ID</v>
      </c>
      <c r="ET208" s="9" t="str">
        <f>_xll.SNL.Clients.Office.Excel.Functions.SPG(EQ208, "SP_COUNTRY_NAME")</f>
        <v>#INVALID COMPANY ID</v>
      </c>
      <c r="EY208" s="9" t="str">
        <f>_xll.SNL.Clients.Office.Excel.Functions.SPG(EV208, "SP_COUNTRY_NAME")</f>
        <v>#INVALID COMPANY ID</v>
      </c>
      <c r="FD208" s="9" t="str">
        <f>_xll.SNL.Clients.Office.Excel.Functions.SPG(FA208, "SP_COUNTRY_NAME")</f>
        <v>#INVALID COMPANY ID</v>
      </c>
      <c r="FI208" s="9" t="str">
        <f>_xll.SNL.Clients.Office.Excel.Functions.SPG(FF208, "SP_COUNTRY_NAME")</f>
        <v>#INVALID COMPANY ID</v>
      </c>
      <c r="FN208" s="9" t="str">
        <f>_xll.SNL.Clients.Office.Excel.Functions.SPG(FK208, "SP_COUNTRY_NAME")</f>
        <v>#INVALID COMPANY ID</v>
      </c>
      <c r="FS208" s="9" t="str">
        <f>_xll.SNL.Clients.Office.Excel.Functions.SPG(FP208, "SP_COUNTRY_NAME")</f>
        <v>#INVALID COMPANY ID</v>
      </c>
      <c r="FX208" s="9" t="str">
        <f>_xll.SNL.Clients.Office.Excel.Functions.SPG(FU208, "SP_COUNTRY_NAME")</f>
        <v>#INVALID COMPANY ID</v>
      </c>
      <c r="FY208" t="s">
        <v>963</v>
      </c>
      <c r="FZ208">
        <v>4156964</v>
      </c>
      <c r="GA208" t="s">
        <v>346</v>
      </c>
      <c r="GB208" s="11">
        <v>0.02</v>
      </c>
      <c r="GC208" s="9" t="str">
        <f>_xll.SNL.Clients.Office.Excel.Functions.SPG(FZ208, "SP_COUNTRY_NAME")</f>
        <v>Canada</v>
      </c>
      <c r="GH208" s="9" t="str">
        <f>_xll.SNL.Clients.Office.Excel.Functions.SPG(GE208, "SP_COUNTRY_NAME")</f>
        <v>#INVALID COMPANY ID</v>
      </c>
      <c r="GM208" s="9" t="str">
        <f>_xll.SNL.Clients.Office.Excel.Functions.SPG(GJ208, "SP_COUNTRY_NAME")</f>
        <v>#INVALID COMPANY ID</v>
      </c>
      <c r="GR208" s="9" t="str">
        <f>_xll.SNL.Clients.Office.Excel.Functions.SPG(GO208, "SP_COUNTRY_NAME")</f>
        <v>#INVALID COMPANY ID</v>
      </c>
      <c r="GS208" t="s">
        <v>728</v>
      </c>
      <c r="GT208">
        <v>4316929</v>
      </c>
      <c r="GU208" t="s">
        <v>346</v>
      </c>
      <c r="GV208" s="11">
        <v>0</v>
      </c>
      <c r="GW208" s="9" t="str">
        <f>_xll.SNL.Clients.Office.Excel.Functions.SPG(GT208, "SP_COUNTRY_NAME")</f>
        <v>China</v>
      </c>
      <c r="GX208" t="s">
        <v>1695</v>
      </c>
      <c r="GY208">
        <v>4548258</v>
      </c>
      <c r="GZ208" t="s">
        <v>276</v>
      </c>
      <c r="HA208" s="11">
        <v>0.01</v>
      </c>
      <c r="HB208" s="9" t="str">
        <f>_xll.SNL.Clients.Office.Excel.Functions.SPG(GY208, "SP_COUNTRY_NAME")</f>
        <v>Brazil</v>
      </c>
      <c r="HG208" s="9" t="str">
        <f>_xll.SNL.Clients.Office.Excel.Functions.SPG(HD208, "SP_COUNTRY_NAME")</f>
        <v>#INVALID COMPANY ID</v>
      </c>
    </row>
    <row r="209" spans="5:215" x14ac:dyDescent="0.35">
      <c r="E209" s="9" t="str">
        <f>_xll.SNL.Clients.Office.Excel.Functions.SPG(B209, "SP_COUNTRY_NAME")</f>
        <v>#INVALID COMPANY ID</v>
      </c>
      <c r="F209" t="s">
        <v>395</v>
      </c>
      <c r="G209">
        <v>4153606</v>
      </c>
      <c r="H209" t="s">
        <v>346</v>
      </c>
      <c r="I209" s="11">
        <v>0</v>
      </c>
      <c r="J209" s="9" t="str">
        <f>_xll.SNL.Clients.Office.Excel.Functions.SPG(G209, "SP_COUNTRY_NAME")</f>
        <v>USA</v>
      </c>
      <c r="O209" s="9" t="str">
        <f>_xll.SNL.Clients.Office.Excel.Functions.SPG(L209, "SP_COUNTRY_NAME")</f>
        <v>#INVALID COMPANY ID</v>
      </c>
      <c r="T209" s="9" t="str">
        <f>_xll.SNL.Clients.Office.Excel.Functions.SPG(Q209, "SP_COUNTRY_NAME")</f>
        <v>#INVALID COMPANY ID</v>
      </c>
      <c r="U209" t="s">
        <v>798</v>
      </c>
      <c r="V209" t="s">
        <v>300</v>
      </c>
      <c r="W209" t="s">
        <v>361</v>
      </c>
      <c r="X209" s="11">
        <v>0.01</v>
      </c>
      <c r="Y209" s="9" t="str">
        <f>_xll.SNL.Clients.Office.Excel.Functions.SPG(V209, "SP_COUNTRY_NAME")</f>
        <v>China</v>
      </c>
      <c r="AD209" s="9" t="str">
        <f>_xll.SNL.Clients.Office.Excel.Functions.SPG(AA209, "SP_COUNTRY_NAME")</f>
        <v>#INVALID COMPANY ID</v>
      </c>
      <c r="AE209" t="s">
        <v>1185</v>
      </c>
      <c r="AF209">
        <v>110616</v>
      </c>
      <c r="AG209" t="s">
        <v>346</v>
      </c>
      <c r="AH209" s="11">
        <v>0</v>
      </c>
      <c r="AI209" s="9" t="str">
        <f>_xll.SNL.Clients.Office.Excel.Functions.SPG(AF209, "SP_COUNTRY_NAME")</f>
        <v>United Kingdom</v>
      </c>
      <c r="AN209" s="9" t="str">
        <f>_xll.SNL.Clients.Office.Excel.Functions.SPG(AK209, "SP_COUNTRY_NAME")</f>
        <v>#INVALID COMPANY ID</v>
      </c>
      <c r="AO209" t="s">
        <v>1341</v>
      </c>
      <c r="AP209">
        <v>14965291</v>
      </c>
      <c r="AQ209" t="s">
        <v>346</v>
      </c>
      <c r="AR209" s="11">
        <v>0</v>
      </c>
      <c r="AS209" s="9" t="str">
        <f>_xll.SNL.Clients.Office.Excel.Functions.SPG(AP209, "SP_COUNTRY_NAME")</f>
        <v>South Africa</v>
      </c>
      <c r="AX209" s="9" t="str">
        <f>_xll.SNL.Clients.Office.Excel.Functions.SPG(AU209, "SP_COUNTRY_NAME")</f>
        <v>#INVALID COMPANY ID</v>
      </c>
      <c r="BC209" s="9" t="str">
        <f>_xll.SNL.Clients.Office.Excel.Functions.SPG(AZ209, "SP_COUNTRY_NAME")</f>
        <v>#INVALID COMPANY ID</v>
      </c>
      <c r="BD209" t="s">
        <v>1218</v>
      </c>
      <c r="BE209">
        <v>4423321</v>
      </c>
      <c r="BF209" t="s">
        <v>346</v>
      </c>
      <c r="BG209" s="11">
        <v>0.01</v>
      </c>
      <c r="BH209" s="9" t="str">
        <f>_xll.SNL.Clients.Office.Excel.Functions.SPG(BE209, "SP_COUNTRY_NAME")</f>
        <v>South Africa</v>
      </c>
      <c r="BI209" t="s">
        <v>1588</v>
      </c>
      <c r="BJ209" t="s">
        <v>300</v>
      </c>
      <c r="BK209" t="s">
        <v>361</v>
      </c>
      <c r="BL209" s="11">
        <v>0</v>
      </c>
      <c r="BM209" s="9" t="str">
        <f>_xll.SNL.Clients.Office.Excel.Functions.SPG(BJ209, "SP_COUNTRY_NAME")</f>
        <v>China</v>
      </c>
      <c r="BN209" t="s">
        <v>1098</v>
      </c>
      <c r="BO209">
        <v>4119219</v>
      </c>
      <c r="BP209" t="s">
        <v>346</v>
      </c>
      <c r="BQ209" s="11">
        <v>0</v>
      </c>
      <c r="BR209" s="9" t="str">
        <f>_xll.SNL.Clients.Office.Excel.Functions.SPG(BO209, "SP_COUNTRY_NAME")</f>
        <v>USA</v>
      </c>
      <c r="BS209" t="s">
        <v>988</v>
      </c>
      <c r="BT209">
        <v>4825704</v>
      </c>
      <c r="BU209" t="s">
        <v>346</v>
      </c>
      <c r="BV209" s="11">
        <v>0.01</v>
      </c>
      <c r="BW209" s="9" t="str">
        <f>_xll.SNL.Clients.Office.Excel.Functions.SPG(BT209, "SP_COUNTRY_NAME")</f>
        <v>Luxembourg</v>
      </c>
      <c r="BX209" t="s">
        <v>798</v>
      </c>
      <c r="BY209" t="s">
        <v>300</v>
      </c>
      <c r="BZ209" t="s">
        <v>361</v>
      </c>
      <c r="CA209" s="11">
        <v>0.01</v>
      </c>
      <c r="CB209" s="9" t="str">
        <f>_xll.SNL.Clients.Office.Excel.Functions.SPG(BY209, "SP_COUNTRY_NAME")</f>
        <v>China</v>
      </c>
      <c r="CC209" t="s">
        <v>1696</v>
      </c>
      <c r="CD209">
        <v>4724211</v>
      </c>
      <c r="CE209" t="s">
        <v>346</v>
      </c>
      <c r="CF209" s="11">
        <v>0.01</v>
      </c>
      <c r="CG209" s="9" t="str">
        <f>_xll.SNL.Clients.Office.Excel.Functions.SPG(CD209, "SP_COUNTRY_NAME")</f>
        <v>USA</v>
      </c>
      <c r="CH209" t="s">
        <v>1341</v>
      </c>
      <c r="CI209">
        <v>14965291</v>
      </c>
      <c r="CJ209" t="s">
        <v>346</v>
      </c>
      <c r="CK209" s="11">
        <v>0</v>
      </c>
      <c r="CL209" s="9" t="str">
        <f>_xll.SNL.Clients.Office.Excel.Functions.SPG(CI209, "SP_COUNTRY_NAME")</f>
        <v>South Africa</v>
      </c>
      <c r="CM209" t="s">
        <v>1262</v>
      </c>
      <c r="CN209">
        <v>4550016</v>
      </c>
      <c r="CO209" t="s">
        <v>364</v>
      </c>
      <c r="CP209" s="11">
        <v>0.01</v>
      </c>
      <c r="CQ209" s="9" t="str">
        <f>_xll.SNL.Clients.Office.Excel.Functions.SPG(CN209, "SP_COUNTRY_NAME")</f>
        <v>South Africa</v>
      </c>
      <c r="CV209" s="9" t="str">
        <f>_xll.SNL.Clients.Office.Excel.Functions.SPG(CS209, "SP_COUNTRY_NAME")</f>
        <v>#INVALID COMPANY ID</v>
      </c>
      <c r="DA209" s="9" t="str">
        <f>_xll.SNL.Clients.Office.Excel.Functions.SPG(CX209, "SP_COUNTRY_NAME")</f>
        <v>#INVALID COMPANY ID</v>
      </c>
      <c r="DB209" t="s">
        <v>1218</v>
      </c>
      <c r="DC209">
        <v>4423321</v>
      </c>
      <c r="DD209" t="s">
        <v>346</v>
      </c>
      <c r="DE209" s="11">
        <v>0.01</v>
      </c>
      <c r="DF209" s="9" t="str">
        <f>_xll.SNL.Clients.Office.Excel.Functions.SPG(DC209, "SP_COUNTRY_NAME")</f>
        <v>South Africa</v>
      </c>
      <c r="DK209" s="9" t="str">
        <f>_xll.SNL.Clients.Office.Excel.Functions.SPG(DH209, "SP_COUNTRY_NAME")</f>
        <v>#INVALID COMPANY ID</v>
      </c>
      <c r="DL209" t="s">
        <v>1218</v>
      </c>
      <c r="DM209">
        <v>4423321</v>
      </c>
      <c r="DN209" t="s">
        <v>346</v>
      </c>
      <c r="DO209" s="11">
        <v>0.01</v>
      </c>
      <c r="DP209" s="9" t="str">
        <f>_xll.SNL.Clients.Office.Excel.Functions.SPG(DM209, "SP_COUNTRY_NAME")</f>
        <v>South Africa</v>
      </c>
      <c r="DU209" s="9" t="str">
        <f>_xll.SNL.Clients.Office.Excel.Functions.SPG(DR209, "SP_COUNTRY_NAME")</f>
        <v>#INVALID COMPANY ID</v>
      </c>
      <c r="DZ209" s="9" t="str">
        <f>_xll.SNL.Clients.Office.Excel.Functions.SPG(DW209, "SP_COUNTRY_NAME")</f>
        <v>#INVALID COMPANY ID</v>
      </c>
      <c r="EA209" t="s">
        <v>1696</v>
      </c>
      <c r="EB209">
        <v>4724211</v>
      </c>
      <c r="EC209" t="s">
        <v>346</v>
      </c>
      <c r="ED209" s="11">
        <v>0.01</v>
      </c>
      <c r="EE209" s="9" t="str">
        <f>_xll.SNL.Clients.Office.Excel.Functions.SPG(EB209, "SP_COUNTRY_NAME")</f>
        <v>USA</v>
      </c>
      <c r="EF209" t="s">
        <v>1218</v>
      </c>
      <c r="EG209">
        <v>4423321</v>
      </c>
      <c r="EH209" t="s">
        <v>346</v>
      </c>
      <c r="EI209" s="11">
        <v>0.01</v>
      </c>
      <c r="EJ209" s="9" t="str">
        <f>_xll.SNL.Clients.Office.Excel.Functions.SPG(EG209, "SP_COUNTRY_NAME")</f>
        <v>South Africa</v>
      </c>
      <c r="EO209" s="9" t="str">
        <f>_xll.SNL.Clients.Office.Excel.Functions.SPG(EL209, "SP_COUNTRY_NAME")</f>
        <v>#INVALID COMPANY ID</v>
      </c>
      <c r="ET209" s="9" t="str">
        <f>_xll.SNL.Clients.Office.Excel.Functions.SPG(EQ209, "SP_COUNTRY_NAME")</f>
        <v>#INVALID COMPANY ID</v>
      </c>
      <c r="EY209" s="9" t="str">
        <f>_xll.SNL.Clients.Office.Excel.Functions.SPG(EV209, "SP_COUNTRY_NAME")</f>
        <v>#INVALID COMPANY ID</v>
      </c>
      <c r="FD209" s="9" t="str">
        <f>_xll.SNL.Clients.Office.Excel.Functions.SPG(FA209, "SP_COUNTRY_NAME")</f>
        <v>#INVALID COMPANY ID</v>
      </c>
      <c r="FI209" s="9" t="str">
        <f>_xll.SNL.Clients.Office.Excel.Functions.SPG(FF209, "SP_COUNTRY_NAME")</f>
        <v>#INVALID COMPANY ID</v>
      </c>
      <c r="FN209" s="9" t="str">
        <f>_xll.SNL.Clients.Office.Excel.Functions.SPG(FK209, "SP_COUNTRY_NAME")</f>
        <v>#INVALID COMPANY ID</v>
      </c>
      <c r="FS209" s="9" t="str">
        <f>_xll.SNL.Clients.Office.Excel.Functions.SPG(FP209, "SP_COUNTRY_NAME")</f>
        <v>#INVALID COMPANY ID</v>
      </c>
      <c r="FX209" s="9" t="str">
        <f>_xll.SNL.Clients.Office.Excel.Functions.SPG(FU209, "SP_COUNTRY_NAME")</f>
        <v>#INVALID COMPANY ID</v>
      </c>
      <c r="FY209" t="s">
        <v>1218</v>
      </c>
      <c r="FZ209">
        <v>4423321</v>
      </c>
      <c r="GA209" t="s">
        <v>346</v>
      </c>
      <c r="GB209" s="11">
        <v>0.01</v>
      </c>
      <c r="GC209" s="9" t="str">
        <f>_xll.SNL.Clients.Office.Excel.Functions.SPG(FZ209, "SP_COUNTRY_NAME")</f>
        <v>South Africa</v>
      </c>
      <c r="GH209" s="9" t="str">
        <f>_xll.SNL.Clients.Office.Excel.Functions.SPG(GE209, "SP_COUNTRY_NAME")</f>
        <v>#INVALID COMPANY ID</v>
      </c>
      <c r="GM209" s="9" t="str">
        <f>_xll.SNL.Clients.Office.Excel.Functions.SPG(GJ209, "SP_COUNTRY_NAME")</f>
        <v>#INVALID COMPANY ID</v>
      </c>
      <c r="GR209" s="9" t="str">
        <f>_xll.SNL.Clients.Office.Excel.Functions.SPG(GO209, "SP_COUNTRY_NAME")</f>
        <v>#INVALID COMPANY ID</v>
      </c>
      <c r="GS209" t="s">
        <v>1098</v>
      </c>
      <c r="GT209">
        <v>4119219</v>
      </c>
      <c r="GU209" t="s">
        <v>346</v>
      </c>
      <c r="GV209" s="11">
        <v>0</v>
      </c>
      <c r="GW209" s="9" t="str">
        <f>_xll.SNL.Clients.Office.Excel.Functions.SPG(GT209, "SP_COUNTRY_NAME")</f>
        <v>USA</v>
      </c>
      <c r="GX209" t="s">
        <v>1696</v>
      </c>
      <c r="GY209">
        <v>4724211</v>
      </c>
      <c r="GZ209" t="s">
        <v>346</v>
      </c>
      <c r="HA209" s="11">
        <v>0.01</v>
      </c>
      <c r="HB209" s="9" t="str">
        <f>_xll.SNL.Clients.Office.Excel.Functions.SPG(GY209, "SP_COUNTRY_NAME")</f>
        <v>USA</v>
      </c>
      <c r="HG209" s="9" t="str">
        <f>_xll.SNL.Clients.Office.Excel.Functions.SPG(HD209, "SP_COUNTRY_NAME")</f>
        <v>#INVALID COMPANY ID</v>
      </c>
    </row>
    <row r="210" spans="5:215" x14ac:dyDescent="0.35">
      <c r="E210" s="9" t="str">
        <f>_xll.SNL.Clients.Office.Excel.Functions.SPG(B210, "SP_COUNTRY_NAME")</f>
        <v>#INVALID COMPANY ID</v>
      </c>
      <c r="F210" t="s">
        <v>594</v>
      </c>
      <c r="G210">
        <v>5821164</v>
      </c>
      <c r="H210" t="s">
        <v>346</v>
      </c>
      <c r="I210" s="11">
        <v>0</v>
      </c>
      <c r="J210" s="9" t="str">
        <f>_xll.SNL.Clients.Office.Excel.Functions.SPG(G210, "SP_COUNTRY_NAME")</f>
        <v>Germany</v>
      </c>
      <c r="O210" s="9" t="str">
        <f>_xll.SNL.Clients.Office.Excel.Functions.SPG(L210, "SP_COUNTRY_NAME")</f>
        <v>#INVALID COMPANY ID</v>
      </c>
      <c r="T210" s="9" t="str">
        <f>_xll.SNL.Clients.Office.Excel.Functions.SPG(Q210, "SP_COUNTRY_NAME")</f>
        <v>#INVALID COMPANY ID</v>
      </c>
      <c r="U210" t="s">
        <v>799</v>
      </c>
      <c r="V210">
        <v>6520584</v>
      </c>
      <c r="W210" t="s">
        <v>346</v>
      </c>
      <c r="X210" s="11">
        <v>0.01</v>
      </c>
      <c r="Y210" s="9" t="str">
        <f>_xll.SNL.Clients.Office.Excel.Functions.SPG(V210, "SP_COUNTRY_NAME")</f>
        <v>China</v>
      </c>
      <c r="AD210" s="9" t="str">
        <f>_xll.SNL.Clients.Office.Excel.Functions.SPG(AA210, "SP_COUNTRY_NAME")</f>
        <v>#INVALID COMPANY ID</v>
      </c>
      <c r="AE210" t="s">
        <v>418</v>
      </c>
      <c r="AF210">
        <v>109776</v>
      </c>
      <c r="AG210" t="s">
        <v>346</v>
      </c>
      <c r="AH210" s="11">
        <v>0</v>
      </c>
      <c r="AI210" s="9" t="str">
        <f>_xll.SNL.Clients.Office.Excel.Functions.SPG(AF210, "SP_COUNTRY_NAME")</f>
        <v>USA</v>
      </c>
      <c r="AN210" s="9" t="str">
        <f>_xll.SNL.Clients.Office.Excel.Functions.SPG(AK210, "SP_COUNTRY_NAME")</f>
        <v>#INVALID COMPANY ID</v>
      </c>
      <c r="AO210" t="s">
        <v>1342</v>
      </c>
      <c r="AP210">
        <v>4277356</v>
      </c>
      <c r="AQ210" t="s">
        <v>346</v>
      </c>
      <c r="AR210" s="11">
        <v>0</v>
      </c>
      <c r="AS210" s="9" t="str">
        <f>_xll.SNL.Clients.Office.Excel.Functions.SPG(AP210, "SP_COUNTRY_NAME")</f>
        <v>South Africa</v>
      </c>
      <c r="AX210" s="9" t="str">
        <f>_xll.SNL.Clients.Office.Excel.Functions.SPG(AU210, "SP_COUNTRY_NAME")</f>
        <v>#INVALID COMPANY ID</v>
      </c>
      <c r="BC210" s="9" t="str">
        <f>_xll.SNL.Clients.Office.Excel.Functions.SPG(AZ210, "SP_COUNTRY_NAME")</f>
        <v>#INVALID COMPANY ID</v>
      </c>
      <c r="BD210" t="s">
        <v>541</v>
      </c>
      <c r="BE210">
        <v>4135098</v>
      </c>
      <c r="BF210" t="s">
        <v>346</v>
      </c>
      <c r="BG210" s="11">
        <v>0.01</v>
      </c>
      <c r="BH210" s="9" t="str">
        <f>_xll.SNL.Clients.Office.Excel.Functions.SPG(BE210, "SP_COUNTRY_NAME")</f>
        <v>United Kingdom</v>
      </c>
      <c r="BI210" t="s">
        <v>471</v>
      </c>
      <c r="BJ210">
        <v>4102247</v>
      </c>
      <c r="BK210" t="s">
        <v>346</v>
      </c>
      <c r="BL210" s="11">
        <v>0</v>
      </c>
      <c r="BM210" s="9" t="str">
        <f>_xll.SNL.Clients.Office.Excel.Functions.SPG(BJ210, "SP_COUNTRY_NAME")</f>
        <v>USA</v>
      </c>
      <c r="BN210" t="s">
        <v>510</v>
      </c>
      <c r="BO210">
        <v>4089114</v>
      </c>
      <c r="BP210" t="s">
        <v>346</v>
      </c>
      <c r="BQ210" s="11">
        <v>0</v>
      </c>
      <c r="BR210" s="9" t="str">
        <f>_xll.SNL.Clients.Office.Excel.Functions.SPG(BO210, "SP_COUNTRY_NAME")</f>
        <v>USA</v>
      </c>
      <c r="BS210" t="s">
        <v>788</v>
      </c>
      <c r="BT210">
        <v>4592065</v>
      </c>
      <c r="BU210" t="s">
        <v>346</v>
      </c>
      <c r="BV210" s="11">
        <v>0.01</v>
      </c>
      <c r="BW210" s="9" t="str">
        <f>_xll.SNL.Clients.Office.Excel.Functions.SPG(BT210, "SP_COUNTRY_NAME")</f>
        <v>China</v>
      </c>
      <c r="BX210" t="s">
        <v>799</v>
      </c>
      <c r="BY210">
        <v>6520584</v>
      </c>
      <c r="BZ210" t="s">
        <v>346</v>
      </c>
      <c r="CA210" s="11">
        <v>0.01</v>
      </c>
      <c r="CB210" s="9" t="str">
        <f>_xll.SNL.Clients.Office.Excel.Functions.SPG(BY210, "SP_COUNTRY_NAME")</f>
        <v>China</v>
      </c>
      <c r="CC210" t="s">
        <v>1697</v>
      </c>
      <c r="CD210">
        <v>4438040</v>
      </c>
      <c r="CE210" t="s">
        <v>346</v>
      </c>
      <c r="CF210" s="11">
        <v>0.01</v>
      </c>
      <c r="CG210" s="9" t="str">
        <f>_xll.SNL.Clients.Office.Excel.Functions.SPG(CD210, "SP_COUNTRY_NAME")</f>
        <v>Brazil</v>
      </c>
      <c r="CH210" t="s">
        <v>1342</v>
      </c>
      <c r="CI210">
        <v>4277356</v>
      </c>
      <c r="CJ210" t="s">
        <v>346</v>
      </c>
      <c r="CK210" s="11">
        <v>0</v>
      </c>
      <c r="CL210" s="9" t="str">
        <f>_xll.SNL.Clients.Office.Excel.Functions.SPG(CI210, "SP_COUNTRY_NAME")</f>
        <v>South Africa</v>
      </c>
      <c r="CM210" t="s">
        <v>1993</v>
      </c>
      <c r="CN210" t="s">
        <v>300</v>
      </c>
      <c r="CO210" t="s">
        <v>361</v>
      </c>
      <c r="CP210" s="11">
        <v>0.01</v>
      </c>
      <c r="CQ210" s="9" t="str">
        <f>_xll.SNL.Clients.Office.Excel.Functions.SPG(CN210, "SP_COUNTRY_NAME")</f>
        <v>China</v>
      </c>
      <c r="CV210" s="9" t="str">
        <f>_xll.SNL.Clients.Office.Excel.Functions.SPG(CS210, "SP_COUNTRY_NAME")</f>
        <v>#INVALID COMPANY ID</v>
      </c>
      <c r="DA210" s="9" t="str">
        <f>_xll.SNL.Clients.Office.Excel.Functions.SPG(CX210, "SP_COUNTRY_NAME")</f>
        <v>#INVALID COMPANY ID</v>
      </c>
      <c r="DB210" t="s">
        <v>541</v>
      </c>
      <c r="DC210">
        <v>4135098</v>
      </c>
      <c r="DD210" t="s">
        <v>346</v>
      </c>
      <c r="DE210" s="11">
        <v>0.01</v>
      </c>
      <c r="DF210" s="9" t="str">
        <f>_xll.SNL.Clients.Office.Excel.Functions.SPG(DC210, "SP_COUNTRY_NAME")</f>
        <v>United Kingdom</v>
      </c>
      <c r="DK210" s="9" t="str">
        <f>_xll.SNL.Clients.Office.Excel.Functions.SPG(DH210, "SP_COUNTRY_NAME")</f>
        <v>#INVALID COMPANY ID</v>
      </c>
      <c r="DL210" t="s">
        <v>541</v>
      </c>
      <c r="DM210">
        <v>4135098</v>
      </c>
      <c r="DN210" t="s">
        <v>346</v>
      </c>
      <c r="DO210" s="11">
        <v>0.01</v>
      </c>
      <c r="DP210" s="9" t="str">
        <f>_xll.SNL.Clients.Office.Excel.Functions.SPG(DM210, "SP_COUNTRY_NAME")</f>
        <v>United Kingdom</v>
      </c>
      <c r="DU210" s="9" t="str">
        <f>_xll.SNL.Clients.Office.Excel.Functions.SPG(DR210, "SP_COUNTRY_NAME")</f>
        <v>#INVALID COMPANY ID</v>
      </c>
      <c r="DZ210" s="9" t="str">
        <f>_xll.SNL.Clients.Office.Excel.Functions.SPG(DW210, "SP_COUNTRY_NAME")</f>
        <v>#INVALID COMPANY ID</v>
      </c>
      <c r="EA210" t="s">
        <v>1697</v>
      </c>
      <c r="EB210">
        <v>4438040</v>
      </c>
      <c r="EC210" t="s">
        <v>346</v>
      </c>
      <c r="ED210" s="11">
        <v>0.01</v>
      </c>
      <c r="EE210" s="9" t="str">
        <f>_xll.SNL.Clients.Office.Excel.Functions.SPG(EB210, "SP_COUNTRY_NAME")</f>
        <v>Brazil</v>
      </c>
      <c r="EF210" t="s">
        <v>541</v>
      </c>
      <c r="EG210">
        <v>4135098</v>
      </c>
      <c r="EH210" t="s">
        <v>346</v>
      </c>
      <c r="EI210" s="11">
        <v>0.01</v>
      </c>
      <c r="EJ210" s="9" t="str">
        <f>_xll.SNL.Clients.Office.Excel.Functions.SPG(EG210, "SP_COUNTRY_NAME")</f>
        <v>United Kingdom</v>
      </c>
      <c r="EO210" s="9" t="str">
        <f>_xll.SNL.Clients.Office.Excel.Functions.SPG(EL210, "SP_COUNTRY_NAME")</f>
        <v>#INVALID COMPANY ID</v>
      </c>
      <c r="ET210" s="9" t="str">
        <f>_xll.SNL.Clients.Office.Excel.Functions.SPG(EQ210, "SP_COUNTRY_NAME")</f>
        <v>#INVALID COMPANY ID</v>
      </c>
      <c r="EY210" s="9" t="str">
        <f>_xll.SNL.Clients.Office.Excel.Functions.SPG(EV210, "SP_COUNTRY_NAME")</f>
        <v>#INVALID COMPANY ID</v>
      </c>
      <c r="FD210" s="9" t="str">
        <f>_xll.SNL.Clients.Office.Excel.Functions.SPG(FA210, "SP_COUNTRY_NAME")</f>
        <v>#INVALID COMPANY ID</v>
      </c>
      <c r="FI210" s="9" t="str">
        <f>_xll.SNL.Clients.Office.Excel.Functions.SPG(FF210, "SP_COUNTRY_NAME")</f>
        <v>#INVALID COMPANY ID</v>
      </c>
      <c r="FN210" s="9" t="str">
        <f>_xll.SNL.Clients.Office.Excel.Functions.SPG(FK210, "SP_COUNTRY_NAME")</f>
        <v>#INVALID COMPANY ID</v>
      </c>
      <c r="FS210" s="9" t="str">
        <f>_xll.SNL.Clients.Office.Excel.Functions.SPG(FP210, "SP_COUNTRY_NAME")</f>
        <v>#INVALID COMPANY ID</v>
      </c>
      <c r="FX210" s="9" t="str">
        <f>_xll.SNL.Clients.Office.Excel.Functions.SPG(FU210, "SP_COUNTRY_NAME")</f>
        <v>#INVALID COMPANY ID</v>
      </c>
      <c r="FY210" t="s">
        <v>541</v>
      </c>
      <c r="FZ210">
        <v>4135098</v>
      </c>
      <c r="GA210" t="s">
        <v>346</v>
      </c>
      <c r="GB210" s="11">
        <v>0.01</v>
      </c>
      <c r="GC210" s="9" t="str">
        <f>_xll.SNL.Clients.Office.Excel.Functions.SPG(FZ210, "SP_COUNTRY_NAME")</f>
        <v>United Kingdom</v>
      </c>
      <c r="GH210" s="9" t="str">
        <f>_xll.SNL.Clients.Office.Excel.Functions.SPG(GE210, "SP_COUNTRY_NAME")</f>
        <v>#INVALID COMPANY ID</v>
      </c>
      <c r="GM210" s="9" t="str">
        <f>_xll.SNL.Clients.Office.Excel.Functions.SPG(GJ210, "SP_COUNTRY_NAME")</f>
        <v>#INVALID COMPANY ID</v>
      </c>
      <c r="GR210" s="9" t="str">
        <f>_xll.SNL.Clients.Office.Excel.Functions.SPG(GO210, "SP_COUNTRY_NAME")</f>
        <v>#INVALID COMPANY ID</v>
      </c>
      <c r="GS210" t="s">
        <v>510</v>
      </c>
      <c r="GT210">
        <v>4089114</v>
      </c>
      <c r="GU210" t="s">
        <v>346</v>
      </c>
      <c r="GV210" s="11">
        <v>0</v>
      </c>
      <c r="GW210" s="9" t="str">
        <f>_xll.SNL.Clients.Office.Excel.Functions.SPG(GT210, "SP_COUNTRY_NAME")</f>
        <v>USA</v>
      </c>
      <c r="GX210" t="s">
        <v>1697</v>
      </c>
      <c r="GY210">
        <v>4438040</v>
      </c>
      <c r="GZ210" t="s">
        <v>346</v>
      </c>
      <c r="HA210" s="11">
        <v>0.01</v>
      </c>
      <c r="HB210" s="9" t="str">
        <f>_xll.SNL.Clients.Office.Excel.Functions.SPG(GY210, "SP_COUNTRY_NAME")</f>
        <v>Brazil</v>
      </c>
      <c r="HG210" s="9" t="str">
        <f>_xll.SNL.Clients.Office.Excel.Functions.SPG(HD210, "SP_COUNTRY_NAME")</f>
        <v>#INVALID COMPANY ID</v>
      </c>
    </row>
    <row r="211" spans="5:215" x14ac:dyDescent="0.35">
      <c r="E211" s="9" t="str">
        <f>_xll.SNL.Clients.Office.Excel.Functions.SPG(B211, "SP_COUNTRY_NAME")</f>
        <v>#INVALID COMPANY ID</v>
      </c>
      <c r="F211" t="s">
        <v>595</v>
      </c>
      <c r="G211">
        <v>7706973</v>
      </c>
      <c r="H211" t="s">
        <v>276</v>
      </c>
      <c r="I211" s="11">
        <v>0</v>
      </c>
      <c r="J211" s="9" t="str">
        <f>_xll.SNL.Clients.Office.Excel.Functions.SPG(G211, "SP_COUNTRY_NAME")</f>
        <v>Germany</v>
      </c>
      <c r="O211" s="9" t="str">
        <f>_xll.SNL.Clients.Office.Excel.Functions.SPG(L211, "SP_COUNTRY_NAME")</f>
        <v>#INVALID COMPANY ID</v>
      </c>
      <c r="T211" s="9" t="str">
        <f>_xll.SNL.Clients.Office.Excel.Functions.SPG(Q211, "SP_COUNTRY_NAME")</f>
        <v>#INVALID COMPANY ID</v>
      </c>
      <c r="U211" t="s">
        <v>800</v>
      </c>
      <c r="V211">
        <v>5883563</v>
      </c>
      <c r="W211" t="s">
        <v>346</v>
      </c>
      <c r="X211" s="11">
        <v>0.01</v>
      </c>
      <c r="Y211" s="9" t="str">
        <f>_xll.SNL.Clients.Office.Excel.Functions.SPG(V211, "SP_COUNTRY_NAME")</f>
        <v>China</v>
      </c>
      <c r="AD211" s="9" t="str">
        <f>_xll.SNL.Clients.Office.Excel.Functions.SPG(AA211, "SP_COUNTRY_NAME")</f>
        <v>#INVALID COMPANY ID</v>
      </c>
      <c r="AE211" t="s">
        <v>905</v>
      </c>
      <c r="AF211">
        <v>4048818</v>
      </c>
      <c r="AG211" t="s">
        <v>346</v>
      </c>
      <c r="AH211" s="11">
        <v>0</v>
      </c>
      <c r="AI211" s="9" t="str">
        <f>_xll.SNL.Clients.Office.Excel.Functions.SPG(AF211, "SP_COUNTRY_NAME")</f>
        <v>USA</v>
      </c>
      <c r="AN211" s="9" t="str">
        <f>_xll.SNL.Clients.Office.Excel.Functions.SPG(AK211, "SP_COUNTRY_NAME")</f>
        <v>#INVALID COMPANY ID</v>
      </c>
      <c r="AO211" t="s">
        <v>568</v>
      </c>
      <c r="AP211">
        <v>4135240</v>
      </c>
      <c r="AQ211" t="s">
        <v>346</v>
      </c>
      <c r="AR211" s="11">
        <v>0</v>
      </c>
      <c r="AS211" s="9" t="str">
        <f>_xll.SNL.Clients.Office.Excel.Functions.SPG(AP211, "SP_COUNTRY_NAME")</f>
        <v>Australia</v>
      </c>
      <c r="AX211" s="9" t="str">
        <f>_xll.SNL.Clients.Office.Excel.Functions.SPG(AU211, "SP_COUNTRY_NAME")</f>
        <v>#INVALID COMPANY ID</v>
      </c>
      <c r="BC211" s="9" t="str">
        <f>_xll.SNL.Clients.Office.Excel.Functions.SPG(AZ211, "SP_COUNTRY_NAME")</f>
        <v>#INVALID COMPANY ID</v>
      </c>
      <c r="BD211" t="s">
        <v>475</v>
      </c>
      <c r="BE211">
        <v>4115935</v>
      </c>
      <c r="BF211" t="s">
        <v>346</v>
      </c>
      <c r="BG211" s="11">
        <v>0.01</v>
      </c>
      <c r="BH211" s="9" t="str">
        <f>_xll.SNL.Clients.Office.Excel.Functions.SPG(BE211, "SP_COUNTRY_NAME")</f>
        <v>USA</v>
      </c>
      <c r="BI211" t="s">
        <v>624</v>
      </c>
      <c r="BJ211">
        <v>4138992</v>
      </c>
      <c r="BK211" t="s">
        <v>346</v>
      </c>
      <c r="BL211" s="11">
        <v>0</v>
      </c>
      <c r="BM211" s="9" t="str">
        <f>_xll.SNL.Clients.Office.Excel.Functions.SPG(BJ211, "SP_COUNTRY_NAME")</f>
        <v>Canada</v>
      </c>
      <c r="BN211" t="s">
        <v>455</v>
      </c>
      <c r="BO211">
        <v>4119538</v>
      </c>
      <c r="BP211" t="s">
        <v>364</v>
      </c>
      <c r="BQ211" s="11">
        <v>0</v>
      </c>
      <c r="BR211" s="9" t="str">
        <f>_xll.SNL.Clients.Office.Excel.Functions.SPG(BO211, "SP_COUNTRY_NAME")</f>
        <v>USA</v>
      </c>
      <c r="BS211" t="s">
        <v>989</v>
      </c>
      <c r="BT211">
        <v>4115690</v>
      </c>
      <c r="BU211" t="s">
        <v>346</v>
      </c>
      <c r="BV211" s="11">
        <v>0.01</v>
      </c>
      <c r="BW211" s="9" t="str">
        <f>_xll.SNL.Clients.Office.Excel.Functions.SPG(BT211, "SP_COUNTRY_NAME")</f>
        <v>United Kingdom</v>
      </c>
      <c r="BX211" t="s">
        <v>800</v>
      </c>
      <c r="BY211">
        <v>5883563</v>
      </c>
      <c r="BZ211" t="s">
        <v>346</v>
      </c>
      <c r="CA211" s="11">
        <v>0.01</v>
      </c>
      <c r="CB211" s="9" t="str">
        <f>_xll.SNL.Clients.Office.Excel.Functions.SPG(BY211, "SP_COUNTRY_NAME")</f>
        <v>China</v>
      </c>
      <c r="CC211" t="s">
        <v>465</v>
      </c>
      <c r="CD211">
        <v>4119440</v>
      </c>
      <c r="CE211" t="s">
        <v>346</v>
      </c>
      <c r="CF211" s="11">
        <v>0.01</v>
      </c>
      <c r="CG211" s="9" t="str">
        <f>_xll.SNL.Clients.Office.Excel.Functions.SPG(CD211, "SP_COUNTRY_NAME")</f>
        <v>USA</v>
      </c>
      <c r="CH211" t="s">
        <v>568</v>
      </c>
      <c r="CI211">
        <v>4135240</v>
      </c>
      <c r="CJ211" t="s">
        <v>346</v>
      </c>
      <c r="CK211" s="11">
        <v>0</v>
      </c>
      <c r="CL211" s="9" t="str">
        <f>_xll.SNL.Clients.Office.Excel.Functions.SPG(CI211, "SP_COUNTRY_NAME")</f>
        <v>Australia</v>
      </c>
      <c r="CM211" t="s">
        <v>1788</v>
      </c>
      <c r="CN211">
        <v>5837967</v>
      </c>
      <c r="CO211" t="s">
        <v>364</v>
      </c>
      <c r="CP211" s="11">
        <v>0.01</v>
      </c>
      <c r="CQ211" s="9" t="str">
        <f>_xll.SNL.Clients.Office.Excel.Functions.SPG(CN211, "SP_COUNTRY_NAME")</f>
        <v>USA</v>
      </c>
      <c r="CV211" s="9" t="str">
        <f>_xll.SNL.Clients.Office.Excel.Functions.SPG(CS211, "SP_COUNTRY_NAME")</f>
        <v>#INVALID COMPANY ID</v>
      </c>
      <c r="DA211" s="9" t="str">
        <f>_xll.SNL.Clients.Office.Excel.Functions.SPG(CX211, "SP_COUNTRY_NAME")</f>
        <v>#INVALID COMPANY ID</v>
      </c>
      <c r="DB211" t="s">
        <v>475</v>
      </c>
      <c r="DC211">
        <v>4115935</v>
      </c>
      <c r="DD211" t="s">
        <v>346</v>
      </c>
      <c r="DE211" s="11">
        <v>0.01</v>
      </c>
      <c r="DF211" s="9" t="str">
        <f>_xll.SNL.Clients.Office.Excel.Functions.SPG(DC211, "SP_COUNTRY_NAME")</f>
        <v>USA</v>
      </c>
      <c r="DK211" s="9" t="str">
        <f>_xll.SNL.Clients.Office.Excel.Functions.SPG(DH211, "SP_COUNTRY_NAME")</f>
        <v>#INVALID COMPANY ID</v>
      </c>
      <c r="DL211" t="s">
        <v>475</v>
      </c>
      <c r="DM211">
        <v>4115935</v>
      </c>
      <c r="DN211" t="s">
        <v>346</v>
      </c>
      <c r="DO211" s="11">
        <v>0.01</v>
      </c>
      <c r="DP211" s="9" t="str">
        <f>_xll.SNL.Clients.Office.Excel.Functions.SPG(DM211, "SP_COUNTRY_NAME")</f>
        <v>USA</v>
      </c>
      <c r="DU211" s="9" t="str">
        <f>_xll.SNL.Clients.Office.Excel.Functions.SPG(DR211, "SP_COUNTRY_NAME")</f>
        <v>#INVALID COMPANY ID</v>
      </c>
      <c r="DZ211" s="9" t="str">
        <f>_xll.SNL.Clients.Office.Excel.Functions.SPG(DW211, "SP_COUNTRY_NAME")</f>
        <v>#INVALID COMPANY ID</v>
      </c>
      <c r="EA211" t="s">
        <v>465</v>
      </c>
      <c r="EB211">
        <v>4119440</v>
      </c>
      <c r="EC211" t="s">
        <v>346</v>
      </c>
      <c r="ED211" s="11">
        <v>0.01</v>
      </c>
      <c r="EE211" s="9" t="str">
        <f>_xll.SNL.Clients.Office.Excel.Functions.SPG(EB211, "SP_COUNTRY_NAME")</f>
        <v>USA</v>
      </c>
      <c r="EF211" t="s">
        <v>475</v>
      </c>
      <c r="EG211">
        <v>4115935</v>
      </c>
      <c r="EH211" t="s">
        <v>346</v>
      </c>
      <c r="EI211" s="11">
        <v>0.01</v>
      </c>
      <c r="EJ211" s="9" t="str">
        <f>_xll.SNL.Clients.Office.Excel.Functions.SPG(EG211, "SP_COUNTRY_NAME")</f>
        <v>USA</v>
      </c>
      <c r="EO211" s="9" t="str">
        <f>_xll.SNL.Clients.Office.Excel.Functions.SPG(EL211, "SP_COUNTRY_NAME")</f>
        <v>#INVALID COMPANY ID</v>
      </c>
      <c r="ET211" s="9" t="str">
        <f>_xll.SNL.Clients.Office.Excel.Functions.SPG(EQ211, "SP_COUNTRY_NAME")</f>
        <v>#INVALID COMPANY ID</v>
      </c>
      <c r="EY211" s="9" t="str">
        <f>_xll.SNL.Clients.Office.Excel.Functions.SPG(EV211, "SP_COUNTRY_NAME")</f>
        <v>#INVALID COMPANY ID</v>
      </c>
      <c r="FD211" s="9" t="str">
        <f>_xll.SNL.Clients.Office.Excel.Functions.SPG(FA211, "SP_COUNTRY_NAME")</f>
        <v>#INVALID COMPANY ID</v>
      </c>
      <c r="FI211" s="9" t="str">
        <f>_xll.SNL.Clients.Office.Excel.Functions.SPG(FF211, "SP_COUNTRY_NAME")</f>
        <v>#INVALID COMPANY ID</v>
      </c>
      <c r="FN211" s="9" t="str">
        <f>_xll.SNL.Clients.Office.Excel.Functions.SPG(FK211, "SP_COUNTRY_NAME")</f>
        <v>#INVALID COMPANY ID</v>
      </c>
      <c r="FS211" s="9" t="str">
        <f>_xll.SNL.Clients.Office.Excel.Functions.SPG(FP211, "SP_COUNTRY_NAME")</f>
        <v>#INVALID COMPANY ID</v>
      </c>
      <c r="FX211" s="9" t="str">
        <f>_xll.SNL.Clients.Office.Excel.Functions.SPG(FU211, "SP_COUNTRY_NAME")</f>
        <v>#INVALID COMPANY ID</v>
      </c>
      <c r="FY211" t="s">
        <v>475</v>
      </c>
      <c r="FZ211">
        <v>4115935</v>
      </c>
      <c r="GA211" t="s">
        <v>346</v>
      </c>
      <c r="GB211" s="11">
        <v>0.01</v>
      </c>
      <c r="GC211" s="9" t="str">
        <f>_xll.SNL.Clients.Office.Excel.Functions.SPG(FZ211, "SP_COUNTRY_NAME")</f>
        <v>USA</v>
      </c>
      <c r="GH211" s="9" t="str">
        <f>_xll.SNL.Clients.Office.Excel.Functions.SPG(GE211, "SP_COUNTRY_NAME")</f>
        <v>#INVALID COMPANY ID</v>
      </c>
      <c r="GM211" s="9" t="str">
        <f>_xll.SNL.Clients.Office.Excel.Functions.SPG(GJ211, "SP_COUNTRY_NAME")</f>
        <v>#INVALID COMPANY ID</v>
      </c>
      <c r="GR211" s="9" t="str">
        <f>_xll.SNL.Clients.Office.Excel.Functions.SPG(GO211, "SP_COUNTRY_NAME")</f>
        <v>#INVALID COMPANY ID</v>
      </c>
      <c r="GS211" t="s">
        <v>455</v>
      </c>
      <c r="GT211">
        <v>4119538</v>
      </c>
      <c r="GU211" t="s">
        <v>364</v>
      </c>
      <c r="GV211" s="11">
        <v>0</v>
      </c>
      <c r="GW211" s="9" t="str">
        <f>_xll.SNL.Clients.Office.Excel.Functions.SPG(GT211, "SP_COUNTRY_NAME")</f>
        <v>USA</v>
      </c>
      <c r="GX211" t="s">
        <v>465</v>
      </c>
      <c r="GY211">
        <v>4119440</v>
      </c>
      <c r="GZ211" t="s">
        <v>346</v>
      </c>
      <c r="HA211" s="11">
        <v>0.01</v>
      </c>
      <c r="HB211" s="9" t="str">
        <f>_xll.SNL.Clients.Office.Excel.Functions.SPG(GY211, "SP_COUNTRY_NAME")</f>
        <v>USA</v>
      </c>
      <c r="HG211" s="9" t="str">
        <f>_xll.SNL.Clients.Office.Excel.Functions.SPG(HD211, "SP_COUNTRY_NAME")</f>
        <v>#INVALID COMPANY ID</v>
      </c>
    </row>
    <row r="212" spans="5:215" x14ac:dyDescent="0.35">
      <c r="E212" s="9" t="str">
        <f>_xll.SNL.Clients.Office.Excel.Functions.SPG(B212, "SP_COUNTRY_NAME")</f>
        <v>#INVALID COMPANY ID</v>
      </c>
      <c r="F212" t="s">
        <v>596</v>
      </c>
      <c r="G212">
        <v>4140486</v>
      </c>
      <c r="H212" t="s">
        <v>346</v>
      </c>
      <c r="I212" s="11">
        <v>0</v>
      </c>
      <c r="J212" s="9" t="str">
        <f>_xll.SNL.Clients.Office.Excel.Functions.SPG(G212, "SP_COUNTRY_NAME")</f>
        <v>China</v>
      </c>
      <c r="O212" s="9" t="str">
        <f>_xll.SNL.Clients.Office.Excel.Functions.SPG(L212, "SP_COUNTRY_NAME")</f>
        <v>#INVALID COMPANY ID</v>
      </c>
      <c r="T212" s="9" t="str">
        <f>_xll.SNL.Clients.Office.Excel.Functions.SPG(Q212, "SP_COUNTRY_NAME")</f>
        <v>#INVALID COMPANY ID</v>
      </c>
      <c r="U212" t="s">
        <v>801</v>
      </c>
      <c r="V212" t="s">
        <v>300</v>
      </c>
      <c r="W212" t="s">
        <v>361</v>
      </c>
      <c r="X212" s="11">
        <v>0.01</v>
      </c>
      <c r="Y212" s="9" t="str">
        <f>_xll.SNL.Clients.Office.Excel.Functions.SPG(V212, "SP_COUNTRY_NAME")</f>
        <v>China</v>
      </c>
      <c r="AD212" s="9" t="str">
        <f>_xll.SNL.Clients.Office.Excel.Functions.SPG(AA212, "SP_COUNTRY_NAME")</f>
        <v>#INVALID COMPANY ID</v>
      </c>
      <c r="AE212" t="s">
        <v>1186</v>
      </c>
      <c r="AF212">
        <v>4093311</v>
      </c>
      <c r="AG212" t="s">
        <v>346</v>
      </c>
      <c r="AH212" s="11">
        <v>0</v>
      </c>
      <c r="AI212" s="9" t="str">
        <f>_xll.SNL.Clients.Office.Excel.Functions.SPG(AF212, "SP_COUNTRY_NAME")</f>
        <v>USA</v>
      </c>
      <c r="AN212" s="9" t="str">
        <f>_xll.SNL.Clients.Office.Excel.Functions.SPG(AK212, "SP_COUNTRY_NAME")</f>
        <v>#INVALID COMPANY ID</v>
      </c>
      <c r="AO212" t="s">
        <v>1343</v>
      </c>
      <c r="AP212">
        <v>13084932</v>
      </c>
      <c r="AQ212" t="s">
        <v>346</v>
      </c>
      <c r="AR212" s="11">
        <v>0</v>
      </c>
      <c r="AS212" s="9" t="str">
        <f>_xll.SNL.Clients.Office.Excel.Functions.SPG(AP212, "SP_COUNTRY_NAME")</f>
        <v>South Africa</v>
      </c>
      <c r="AX212" s="9" t="str">
        <f>_xll.SNL.Clients.Office.Excel.Functions.SPG(AU212, "SP_COUNTRY_NAME")</f>
        <v>#INVALID COMPANY ID</v>
      </c>
      <c r="BC212" s="9" t="str">
        <f>_xll.SNL.Clients.Office.Excel.Functions.SPG(AZ212, "SP_COUNTRY_NAME")</f>
        <v>#INVALID COMPANY ID</v>
      </c>
      <c r="BD212" t="s">
        <v>900</v>
      </c>
      <c r="BE212">
        <v>4264756</v>
      </c>
      <c r="BF212" t="s">
        <v>346</v>
      </c>
      <c r="BG212" s="11">
        <v>0.01</v>
      </c>
      <c r="BH212" s="9" t="str">
        <f>_xll.SNL.Clients.Office.Excel.Functions.SPG(BE212, "SP_COUNTRY_NAME")</f>
        <v>South Africa</v>
      </c>
      <c r="BI212" t="s">
        <v>1589</v>
      </c>
      <c r="BJ212">
        <v>16089675</v>
      </c>
      <c r="BK212" t="s">
        <v>346</v>
      </c>
      <c r="BL212" s="11">
        <v>0</v>
      </c>
      <c r="BM212" s="9" t="str">
        <f>_xll.SNL.Clients.Office.Excel.Functions.SPG(BJ212, "SP_COUNTRY_NAME")</f>
        <v>Ireland</v>
      </c>
      <c r="BN212" t="s">
        <v>733</v>
      </c>
      <c r="BO212">
        <v>5851125</v>
      </c>
      <c r="BP212" t="s">
        <v>346</v>
      </c>
      <c r="BQ212" s="11">
        <v>0</v>
      </c>
      <c r="BR212" s="9" t="str">
        <f>_xll.SNL.Clients.Office.Excel.Functions.SPG(BO212, "SP_COUNTRY_NAME")</f>
        <v>China</v>
      </c>
      <c r="BS212" t="s">
        <v>990</v>
      </c>
      <c r="BT212">
        <v>4139137</v>
      </c>
      <c r="BU212" t="s">
        <v>346</v>
      </c>
      <c r="BV212" s="11">
        <v>0.01</v>
      </c>
      <c r="BW212" s="9" t="str">
        <f>_xll.SNL.Clients.Office.Excel.Functions.SPG(BT212, "SP_COUNTRY_NAME")</f>
        <v>France</v>
      </c>
      <c r="BX212" t="s">
        <v>801</v>
      </c>
      <c r="BY212" t="s">
        <v>300</v>
      </c>
      <c r="BZ212" t="s">
        <v>361</v>
      </c>
      <c r="CA212" s="11">
        <v>0.01</v>
      </c>
      <c r="CB212" s="9" t="str">
        <f>_xll.SNL.Clients.Office.Excel.Functions.SPG(BY212, "SP_COUNTRY_NAME")</f>
        <v>China</v>
      </c>
      <c r="CC212" t="s">
        <v>1007</v>
      </c>
      <c r="CD212">
        <v>5813728</v>
      </c>
      <c r="CE212" t="s">
        <v>346</v>
      </c>
      <c r="CF212" s="11">
        <v>0.01</v>
      </c>
      <c r="CG212" s="9" t="str">
        <f>_xll.SNL.Clients.Office.Excel.Functions.SPG(CD212, "SP_COUNTRY_NAME")</f>
        <v>Ireland</v>
      </c>
      <c r="CH212" t="s">
        <v>1343</v>
      </c>
      <c r="CI212">
        <v>13084932</v>
      </c>
      <c r="CJ212" t="s">
        <v>346</v>
      </c>
      <c r="CK212" s="11">
        <v>0</v>
      </c>
      <c r="CL212" s="9" t="str">
        <f>_xll.SNL.Clients.Office.Excel.Functions.SPG(CI212, "SP_COUNTRY_NAME")</f>
        <v>South Africa</v>
      </c>
      <c r="CM212" t="s">
        <v>1306</v>
      </c>
      <c r="CN212">
        <v>5879300</v>
      </c>
      <c r="CO212" t="s">
        <v>364</v>
      </c>
      <c r="CP212" s="11">
        <v>0.01</v>
      </c>
      <c r="CQ212" s="9" t="str">
        <f>_xll.SNL.Clients.Office.Excel.Functions.SPG(CN212, "SP_COUNTRY_NAME")</f>
        <v>South Africa</v>
      </c>
      <c r="CV212" s="9" t="str">
        <f>_xll.SNL.Clients.Office.Excel.Functions.SPG(CS212, "SP_COUNTRY_NAME")</f>
        <v>#INVALID COMPANY ID</v>
      </c>
      <c r="DA212" s="9" t="str">
        <f>_xll.SNL.Clients.Office.Excel.Functions.SPG(CX212, "SP_COUNTRY_NAME")</f>
        <v>#INVALID COMPANY ID</v>
      </c>
      <c r="DB212" t="s">
        <v>900</v>
      </c>
      <c r="DC212">
        <v>4264756</v>
      </c>
      <c r="DD212" t="s">
        <v>346</v>
      </c>
      <c r="DE212" s="11">
        <v>0.01</v>
      </c>
      <c r="DF212" s="9" t="str">
        <f>_xll.SNL.Clients.Office.Excel.Functions.SPG(DC212, "SP_COUNTRY_NAME")</f>
        <v>South Africa</v>
      </c>
      <c r="DK212" s="9" t="str">
        <f>_xll.SNL.Clients.Office.Excel.Functions.SPG(DH212, "SP_COUNTRY_NAME")</f>
        <v>#INVALID COMPANY ID</v>
      </c>
      <c r="DL212" t="s">
        <v>900</v>
      </c>
      <c r="DM212">
        <v>4264756</v>
      </c>
      <c r="DN212" t="s">
        <v>346</v>
      </c>
      <c r="DO212" s="11">
        <v>0.01</v>
      </c>
      <c r="DP212" s="9" t="str">
        <f>_xll.SNL.Clients.Office.Excel.Functions.SPG(DM212, "SP_COUNTRY_NAME")</f>
        <v>South Africa</v>
      </c>
      <c r="DU212" s="9" t="str">
        <f>_xll.SNL.Clients.Office.Excel.Functions.SPG(DR212, "SP_COUNTRY_NAME")</f>
        <v>#INVALID COMPANY ID</v>
      </c>
      <c r="DZ212" s="9" t="str">
        <f>_xll.SNL.Clients.Office.Excel.Functions.SPG(DW212, "SP_COUNTRY_NAME")</f>
        <v>#INVALID COMPANY ID</v>
      </c>
      <c r="EA212" t="s">
        <v>1007</v>
      </c>
      <c r="EB212">
        <v>5813728</v>
      </c>
      <c r="EC212" t="s">
        <v>346</v>
      </c>
      <c r="ED212" s="11">
        <v>0.01</v>
      </c>
      <c r="EE212" s="9" t="str">
        <f>_xll.SNL.Clients.Office.Excel.Functions.SPG(EB212, "SP_COUNTRY_NAME")</f>
        <v>Ireland</v>
      </c>
      <c r="EF212" t="s">
        <v>900</v>
      </c>
      <c r="EG212">
        <v>4264756</v>
      </c>
      <c r="EH212" t="s">
        <v>346</v>
      </c>
      <c r="EI212" s="11">
        <v>0.01</v>
      </c>
      <c r="EJ212" s="9" t="str">
        <f>_xll.SNL.Clients.Office.Excel.Functions.SPG(EG212, "SP_COUNTRY_NAME")</f>
        <v>South Africa</v>
      </c>
      <c r="EO212" s="9" t="str">
        <f>_xll.SNL.Clients.Office.Excel.Functions.SPG(EL212, "SP_COUNTRY_NAME")</f>
        <v>#INVALID COMPANY ID</v>
      </c>
      <c r="ET212" s="9" t="str">
        <f>_xll.SNL.Clients.Office.Excel.Functions.SPG(EQ212, "SP_COUNTRY_NAME")</f>
        <v>#INVALID COMPANY ID</v>
      </c>
      <c r="EY212" s="9" t="str">
        <f>_xll.SNL.Clients.Office.Excel.Functions.SPG(EV212, "SP_COUNTRY_NAME")</f>
        <v>#INVALID COMPANY ID</v>
      </c>
      <c r="FD212" s="9" t="str">
        <f>_xll.SNL.Clients.Office.Excel.Functions.SPG(FA212, "SP_COUNTRY_NAME")</f>
        <v>#INVALID COMPANY ID</v>
      </c>
      <c r="FI212" s="9" t="str">
        <f>_xll.SNL.Clients.Office.Excel.Functions.SPG(FF212, "SP_COUNTRY_NAME")</f>
        <v>#INVALID COMPANY ID</v>
      </c>
      <c r="FN212" s="9" t="str">
        <f>_xll.SNL.Clients.Office.Excel.Functions.SPG(FK212, "SP_COUNTRY_NAME")</f>
        <v>#INVALID COMPANY ID</v>
      </c>
      <c r="FS212" s="9" t="str">
        <f>_xll.SNL.Clients.Office.Excel.Functions.SPG(FP212, "SP_COUNTRY_NAME")</f>
        <v>#INVALID COMPANY ID</v>
      </c>
      <c r="FX212" s="9" t="str">
        <f>_xll.SNL.Clients.Office.Excel.Functions.SPG(FU212, "SP_COUNTRY_NAME")</f>
        <v>#INVALID COMPANY ID</v>
      </c>
      <c r="FY212" t="s">
        <v>900</v>
      </c>
      <c r="FZ212">
        <v>4264756</v>
      </c>
      <c r="GA212" t="s">
        <v>346</v>
      </c>
      <c r="GB212" s="11">
        <v>0.01</v>
      </c>
      <c r="GC212" s="9" t="str">
        <f>_xll.SNL.Clients.Office.Excel.Functions.SPG(FZ212, "SP_COUNTRY_NAME")</f>
        <v>South Africa</v>
      </c>
      <c r="GH212" s="9" t="str">
        <f>_xll.SNL.Clients.Office.Excel.Functions.SPG(GE212, "SP_COUNTRY_NAME")</f>
        <v>#INVALID COMPANY ID</v>
      </c>
      <c r="GM212" s="9" t="str">
        <f>_xll.SNL.Clients.Office.Excel.Functions.SPG(GJ212, "SP_COUNTRY_NAME")</f>
        <v>#INVALID COMPANY ID</v>
      </c>
      <c r="GR212" s="9" t="str">
        <f>_xll.SNL.Clients.Office.Excel.Functions.SPG(GO212, "SP_COUNTRY_NAME")</f>
        <v>#INVALID COMPANY ID</v>
      </c>
      <c r="GS212" t="s">
        <v>733</v>
      </c>
      <c r="GT212">
        <v>5851125</v>
      </c>
      <c r="GU212" t="s">
        <v>346</v>
      </c>
      <c r="GV212" s="11">
        <v>0</v>
      </c>
      <c r="GW212" s="9" t="str">
        <f>_xll.SNL.Clients.Office.Excel.Functions.SPG(GT212, "SP_COUNTRY_NAME")</f>
        <v>China</v>
      </c>
      <c r="GX212" t="s">
        <v>1007</v>
      </c>
      <c r="GY212">
        <v>5813728</v>
      </c>
      <c r="GZ212" t="s">
        <v>346</v>
      </c>
      <c r="HA212" s="11">
        <v>0.01</v>
      </c>
      <c r="HB212" s="9" t="str">
        <f>_xll.SNL.Clients.Office.Excel.Functions.SPG(GY212, "SP_COUNTRY_NAME")</f>
        <v>Ireland</v>
      </c>
      <c r="HG212" s="9" t="str">
        <f>_xll.SNL.Clients.Office.Excel.Functions.SPG(HD212, "SP_COUNTRY_NAME")</f>
        <v>#INVALID COMPANY ID</v>
      </c>
    </row>
    <row r="213" spans="5:215" x14ac:dyDescent="0.35">
      <c r="E213" s="9" t="str">
        <f>_xll.SNL.Clients.Office.Excel.Functions.SPG(B213, "SP_COUNTRY_NAME")</f>
        <v>#INVALID COMPANY ID</v>
      </c>
      <c r="F213" t="s">
        <v>597</v>
      </c>
      <c r="G213">
        <v>4654230</v>
      </c>
      <c r="H213" t="s">
        <v>346</v>
      </c>
      <c r="I213" s="11">
        <v>0</v>
      </c>
      <c r="J213" s="9" t="str">
        <f>_xll.SNL.Clients.Office.Excel.Functions.SPG(G213, "SP_COUNTRY_NAME")</f>
        <v>Australia</v>
      </c>
      <c r="O213" s="9" t="str">
        <f>_xll.SNL.Clients.Office.Excel.Functions.SPG(L213, "SP_COUNTRY_NAME")</f>
        <v>#INVALID COMPANY ID</v>
      </c>
      <c r="T213" s="9" t="str">
        <f>_xll.SNL.Clients.Office.Excel.Functions.SPG(Q213, "SP_COUNTRY_NAME")</f>
        <v>#INVALID COMPANY ID</v>
      </c>
      <c r="U213" t="s">
        <v>802</v>
      </c>
      <c r="V213">
        <v>4345262</v>
      </c>
      <c r="W213" t="s">
        <v>346</v>
      </c>
      <c r="X213" s="11">
        <v>0.01</v>
      </c>
      <c r="Y213" s="9" t="str">
        <f>_xll.SNL.Clients.Office.Excel.Functions.SPG(V213, "SP_COUNTRY_NAME")</f>
        <v>China</v>
      </c>
      <c r="AD213" s="9" t="str">
        <f>_xll.SNL.Clients.Office.Excel.Functions.SPG(AA213, "SP_COUNTRY_NAME")</f>
        <v>#INVALID COMPANY ID</v>
      </c>
      <c r="AE213" t="s">
        <v>1187</v>
      </c>
      <c r="AF213">
        <v>4209260</v>
      </c>
      <c r="AG213" t="s">
        <v>346</v>
      </c>
      <c r="AH213" s="11">
        <v>0</v>
      </c>
      <c r="AI213" s="9" t="str">
        <f>_xll.SNL.Clients.Office.Excel.Functions.SPG(AF213, "SP_COUNTRY_NAME")</f>
        <v>USA</v>
      </c>
      <c r="AN213" s="9" t="str">
        <f>_xll.SNL.Clients.Office.Excel.Functions.SPG(AK213, "SP_COUNTRY_NAME")</f>
        <v>#INVALID COMPANY ID</v>
      </c>
      <c r="AO213" t="s">
        <v>1344</v>
      </c>
      <c r="AP213">
        <v>124019115</v>
      </c>
      <c r="AQ213" t="s">
        <v>346</v>
      </c>
      <c r="AR213" s="11">
        <v>0</v>
      </c>
      <c r="AS213" s="9" t="str">
        <f>_xll.SNL.Clients.Office.Excel.Functions.SPG(AP213, "SP_COUNTRY_NAME")</f>
        <v>South Africa</v>
      </c>
      <c r="AX213" s="9" t="str">
        <f>_xll.SNL.Clients.Office.Excel.Functions.SPG(AU213, "SP_COUNTRY_NAME")</f>
        <v>#INVALID COMPANY ID</v>
      </c>
      <c r="BC213" s="9" t="str">
        <f>_xll.SNL.Clients.Office.Excel.Functions.SPG(AZ213, "SP_COUNTRY_NAME")</f>
        <v>#INVALID COMPANY ID</v>
      </c>
      <c r="BD213" t="s">
        <v>749</v>
      </c>
      <c r="BE213">
        <v>109913</v>
      </c>
      <c r="BF213" t="s">
        <v>346</v>
      </c>
      <c r="BG213" s="11">
        <v>0.01</v>
      </c>
      <c r="BH213" s="9" t="str">
        <f>_xll.SNL.Clients.Office.Excel.Functions.SPG(BE213, "SP_COUNTRY_NAME")</f>
        <v>USA</v>
      </c>
      <c r="BI213" t="s">
        <v>659</v>
      </c>
      <c r="BJ213">
        <v>4139011</v>
      </c>
      <c r="BK213" t="s">
        <v>346</v>
      </c>
      <c r="BL213" s="11">
        <v>0</v>
      </c>
      <c r="BM213" s="9" t="str">
        <f>_xll.SNL.Clients.Office.Excel.Functions.SPG(BJ213, "SP_COUNTRY_NAME")</f>
        <v>Germany</v>
      </c>
      <c r="BN213" t="s">
        <v>824</v>
      </c>
      <c r="BO213">
        <v>4213196</v>
      </c>
      <c r="BP213" t="s">
        <v>346</v>
      </c>
      <c r="BQ213" s="11">
        <v>0</v>
      </c>
      <c r="BR213" s="9" t="str">
        <f>_xll.SNL.Clients.Office.Excel.Functions.SPG(BO213, "SP_COUNTRY_NAME")</f>
        <v>Japan</v>
      </c>
      <c r="BS213" t="s">
        <v>558</v>
      </c>
      <c r="BT213">
        <v>109844</v>
      </c>
      <c r="BU213" t="s">
        <v>346</v>
      </c>
      <c r="BV213" s="11">
        <v>0.01</v>
      </c>
      <c r="BW213" s="9" t="str">
        <f>_xll.SNL.Clients.Office.Excel.Functions.SPG(BT213, "SP_COUNTRY_NAME")</f>
        <v>USA</v>
      </c>
      <c r="BX213" t="s">
        <v>802</v>
      </c>
      <c r="BY213">
        <v>4345262</v>
      </c>
      <c r="BZ213" t="s">
        <v>346</v>
      </c>
      <c r="CA213" s="11">
        <v>0.01</v>
      </c>
      <c r="CB213" s="9" t="str">
        <f>_xll.SNL.Clients.Office.Excel.Functions.SPG(BY213, "SP_COUNTRY_NAME")</f>
        <v>China</v>
      </c>
      <c r="CC213" t="s">
        <v>419</v>
      </c>
      <c r="CD213">
        <v>4338202</v>
      </c>
      <c r="CE213" t="s">
        <v>346</v>
      </c>
      <c r="CF213" s="11">
        <v>0.01</v>
      </c>
      <c r="CG213" s="9" t="str">
        <f>_xll.SNL.Clients.Office.Excel.Functions.SPG(CD213, "SP_COUNTRY_NAME")</f>
        <v>USA</v>
      </c>
      <c r="CH213" t="s">
        <v>1344</v>
      </c>
      <c r="CI213">
        <v>124019115</v>
      </c>
      <c r="CJ213" t="s">
        <v>346</v>
      </c>
      <c r="CK213" s="11">
        <v>0</v>
      </c>
      <c r="CL213" s="9" t="str">
        <f>_xll.SNL.Clients.Office.Excel.Functions.SPG(CI213, "SP_COUNTRY_NAME")</f>
        <v>South Africa</v>
      </c>
      <c r="CM213" t="s">
        <v>489</v>
      </c>
      <c r="CN213">
        <v>4324456</v>
      </c>
      <c r="CO213" t="s">
        <v>346</v>
      </c>
      <c r="CP213" s="11">
        <v>0.01</v>
      </c>
      <c r="CQ213" s="9" t="str">
        <f>_xll.SNL.Clients.Office.Excel.Functions.SPG(CN213, "SP_COUNTRY_NAME")</f>
        <v>Italy</v>
      </c>
      <c r="CV213" s="9" t="str">
        <f>_xll.SNL.Clients.Office.Excel.Functions.SPG(CS213, "SP_COUNTRY_NAME")</f>
        <v>#INVALID COMPANY ID</v>
      </c>
      <c r="DA213" s="9" t="str">
        <f>_xll.SNL.Clients.Office.Excel.Functions.SPG(CX213, "SP_COUNTRY_NAME")</f>
        <v>#INVALID COMPANY ID</v>
      </c>
      <c r="DB213" t="s">
        <v>749</v>
      </c>
      <c r="DC213">
        <v>109913</v>
      </c>
      <c r="DD213" t="s">
        <v>346</v>
      </c>
      <c r="DE213" s="11">
        <v>0.01</v>
      </c>
      <c r="DF213" s="9" t="str">
        <f>_xll.SNL.Clients.Office.Excel.Functions.SPG(DC213, "SP_COUNTRY_NAME")</f>
        <v>USA</v>
      </c>
      <c r="DK213" s="9" t="str">
        <f>_xll.SNL.Clients.Office.Excel.Functions.SPG(DH213, "SP_COUNTRY_NAME")</f>
        <v>#INVALID COMPANY ID</v>
      </c>
      <c r="DL213" t="s">
        <v>749</v>
      </c>
      <c r="DM213">
        <v>109913</v>
      </c>
      <c r="DN213" t="s">
        <v>346</v>
      </c>
      <c r="DO213" s="11">
        <v>0.01</v>
      </c>
      <c r="DP213" s="9" t="str">
        <f>_xll.SNL.Clients.Office.Excel.Functions.SPG(DM213, "SP_COUNTRY_NAME")</f>
        <v>USA</v>
      </c>
      <c r="DU213" s="9" t="str">
        <f>_xll.SNL.Clients.Office.Excel.Functions.SPG(DR213, "SP_COUNTRY_NAME")</f>
        <v>#INVALID COMPANY ID</v>
      </c>
      <c r="DZ213" s="9" t="str">
        <f>_xll.SNL.Clients.Office.Excel.Functions.SPG(DW213, "SP_COUNTRY_NAME")</f>
        <v>#INVALID COMPANY ID</v>
      </c>
      <c r="EA213" t="s">
        <v>419</v>
      </c>
      <c r="EB213">
        <v>4338202</v>
      </c>
      <c r="EC213" t="s">
        <v>346</v>
      </c>
      <c r="ED213" s="11">
        <v>0.01</v>
      </c>
      <c r="EE213" s="9" t="str">
        <f>_xll.SNL.Clients.Office.Excel.Functions.SPG(EB213, "SP_COUNTRY_NAME")</f>
        <v>USA</v>
      </c>
      <c r="EF213" t="s">
        <v>749</v>
      </c>
      <c r="EG213">
        <v>109913</v>
      </c>
      <c r="EH213" t="s">
        <v>346</v>
      </c>
      <c r="EI213" s="11">
        <v>0.01</v>
      </c>
      <c r="EJ213" s="9" t="str">
        <f>_xll.SNL.Clients.Office.Excel.Functions.SPG(EG213, "SP_COUNTRY_NAME")</f>
        <v>USA</v>
      </c>
      <c r="EO213" s="9" t="str">
        <f>_xll.SNL.Clients.Office.Excel.Functions.SPG(EL213, "SP_COUNTRY_NAME")</f>
        <v>#INVALID COMPANY ID</v>
      </c>
      <c r="ET213" s="9" t="str">
        <f>_xll.SNL.Clients.Office.Excel.Functions.SPG(EQ213, "SP_COUNTRY_NAME")</f>
        <v>#INVALID COMPANY ID</v>
      </c>
      <c r="EY213" s="9" t="str">
        <f>_xll.SNL.Clients.Office.Excel.Functions.SPG(EV213, "SP_COUNTRY_NAME")</f>
        <v>#INVALID COMPANY ID</v>
      </c>
      <c r="FD213" s="9" t="str">
        <f>_xll.SNL.Clients.Office.Excel.Functions.SPG(FA213, "SP_COUNTRY_NAME")</f>
        <v>#INVALID COMPANY ID</v>
      </c>
      <c r="FI213" s="9" t="str">
        <f>_xll.SNL.Clients.Office.Excel.Functions.SPG(FF213, "SP_COUNTRY_NAME")</f>
        <v>#INVALID COMPANY ID</v>
      </c>
      <c r="FN213" s="9" t="str">
        <f>_xll.SNL.Clients.Office.Excel.Functions.SPG(FK213, "SP_COUNTRY_NAME")</f>
        <v>#INVALID COMPANY ID</v>
      </c>
      <c r="FS213" s="9" t="str">
        <f>_xll.SNL.Clients.Office.Excel.Functions.SPG(FP213, "SP_COUNTRY_NAME")</f>
        <v>#INVALID COMPANY ID</v>
      </c>
      <c r="FX213" s="9" t="str">
        <f>_xll.SNL.Clients.Office.Excel.Functions.SPG(FU213, "SP_COUNTRY_NAME")</f>
        <v>#INVALID COMPANY ID</v>
      </c>
      <c r="FY213" t="s">
        <v>749</v>
      </c>
      <c r="FZ213">
        <v>109913</v>
      </c>
      <c r="GA213" t="s">
        <v>346</v>
      </c>
      <c r="GB213" s="11">
        <v>0.01</v>
      </c>
      <c r="GC213" s="9" t="str">
        <f>_xll.SNL.Clients.Office.Excel.Functions.SPG(FZ213, "SP_COUNTRY_NAME")</f>
        <v>USA</v>
      </c>
      <c r="GH213" s="9" t="str">
        <f>_xll.SNL.Clients.Office.Excel.Functions.SPG(GE213, "SP_COUNTRY_NAME")</f>
        <v>#INVALID COMPANY ID</v>
      </c>
      <c r="GM213" s="9" t="str">
        <f>_xll.SNL.Clients.Office.Excel.Functions.SPG(GJ213, "SP_COUNTRY_NAME")</f>
        <v>#INVALID COMPANY ID</v>
      </c>
      <c r="GR213" s="9" t="str">
        <f>_xll.SNL.Clients.Office.Excel.Functions.SPG(GO213, "SP_COUNTRY_NAME")</f>
        <v>#INVALID COMPANY ID</v>
      </c>
      <c r="GS213" t="s">
        <v>824</v>
      </c>
      <c r="GT213">
        <v>4213196</v>
      </c>
      <c r="GU213" t="s">
        <v>346</v>
      </c>
      <c r="GV213" s="11">
        <v>0</v>
      </c>
      <c r="GW213" s="9" t="str">
        <f>_xll.SNL.Clients.Office.Excel.Functions.SPG(GT213, "SP_COUNTRY_NAME")</f>
        <v>Japan</v>
      </c>
      <c r="GX213" t="s">
        <v>419</v>
      </c>
      <c r="GY213">
        <v>4338202</v>
      </c>
      <c r="GZ213" t="s">
        <v>346</v>
      </c>
      <c r="HA213" s="11">
        <v>0.01</v>
      </c>
      <c r="HB213" s="9" t="str">
        <f>_xll.SNL.Clients.Office.Excel.Functions.SPG(GY213, "SP_COUNTRY_NAME")</f>
        <v>USA</v>
      </c>
      <c r="HG213" s="9" t="str">
        <f>_xll.SNL.Clients.Office.Excel.Functions.SPG(HD213, "SP_COUNTRY_NAME")</f>
        <v>#INVALID COMPANY ID</v>
      </c>
    </row>
    <row r="214" spans="5:215" x14ac:dyDescent="0.35">
      <c r="E214" s="9" t="str">
        <f>_xll.SNL.Clients.Office.Excel.Functions.SPG(B214, "SP_COUNTRY_NAME")</f>
        <v>#INVALID COMPANY ID</v>
      </c>
      <c r="F214" t="s">
        <v>598</v>
      </c>
      <c r="G214">
        <v>5753444</v>
      </c>
      <c r="H214" t="s">
        <v>346</v>
      </c>
      <c r="I214" s="11">
        <v>0</v>
      </c>
      <c r="J214" s="9" t="str">
        <f>_xll.SNL.Clients.Office.Excel.Functions.SPG(G214, "SP_COUNTRY_NAME")</f>
        <v>Switzerland</v>
      </c>
      <c r="O214" s="9" t="str">
        <f>_xll.SNL.Clients.Office.Excel.Functions.SPG(L214, "SP_COUNTRY_NAME")</f>
        <v>#INVALID COMPANY ID</v>
      </c>
      <c r="T214" s="9" t="str">
        <f>_xll.SNL.Clients.Office.Excel.Functions.SPG(Q214, "SP_COUNTRY_NAME")</f>
        <v>#INVALID COMPANY ID</v>
      </c>
      <c r="U214" t="s">
        <v>803</v>
      </c>
      <c r="V214">
        <v>5877802</v>
      </c>
      <c r="W214" t="s">
        <v>346</v>
      </c>
      <c r="X214" s="11">
        <v>0</v>
      </c>
      <c r="Y214" s="9" t="str">
        <f>_xll.SNL.Clients.Office.Excel.Functions.SPG(V214, "SP_COUNTRY_NAME")</f>
        <v>China</v>
      </c>
      <c r="AD214" s="9" t="str">
        <f>_xll.SNL.Clients.Office.Excel.Functions.SPG(AA214, "SP_COUNTRY_NAME")</f>
        <v>#INVALID COMPANY ID</v>
      </c>
      <c r="AE214" t="s">
        <v>1188</v>
      </c>
      <c r="AF214">
        <v>4413788</v>
      </c>
      <c r="AG214" t="s">
        <v>346</v>
      </c>
      <c r="AH214" s="11">
        <v>0</v>
      </c>
      <c r="AI214" s="9" t="str">
        <f>_xll.SNL.Clients.Office.Excel.Functions.SPG(AF214, "SP_COUNTRY_NAME")</f>
        <v>USA</v>
      </c>
      <c r="AN214" s="9" t="str">
        <f>_xll.SNL.Clients.Office.Excel.Functions.SPG(AK214, "SP_COUNTRY_NAME")</f>
        <v>#INVALID COMPANY ID</v>
      </c>
      <c r="AO214" t="s">
        <v>1345</v>
      </c>
      <c r="AP214">
        <v>10761756</v>
      </c>
      <c r="AQ214" t="s">
        <v>346</v>
      </c>
      <c r="AR214" s="11">
        <v>0</v>
      </c>
      <c r="AS214" s="9" t="str">
        <f>_xll.SNL.Clients.Office.Excel.Functions.SPG(AP214, "SP_COUNTRY_NAME")</f>
        <v>South Africa</v>
      </c>
      <c r="AX214" s="9" t="str">
        <f>_xll.SNL.Clients.Office.Excel.Functions.SPG(AU214, "SP_COUNTRY_NAME")</f>
        <v>#INVALID COMPANY ID</v>
      </c>
      <c r="BC214" s="9" t="str">
        <f>_xll.SNL.Clients.Office.Excel.Functions.SPG(AZ214, "SP_COUNTRY_NAME")</f>
        <v>#INVALID COMPANY ID</v>
      </c>
      <c r="BD214" t="s">
        <v>1262</v>
      </c>
      <c r="BE214">
        <v>4550016</v>
      </c>
      <c r="BF214" t="s">
        <v>364</v>
      </c>
      <c r="BG214" s="11">
        <v>0.01</v>
      </c>
      <c r="BH214" s="9" t="str">
        <f>_xll.SNL.Clients.Office.Excel.Functions.SPG(BE214, "SP_COUNTRY_NAME")</f>
        <v>South Africa</v>
      </c>
      <c r="BI214" t="s">
        <v>1590</v>
      </c>
      <c r="BJ214">
        <v>9195551</v>
      </c>
      <c r="BK214" t="s">
        <v>346</v>
      </c>
      <c r="BL214" s="11">
        <v>0</v>
      </c>
      <c r="BM214" s="9" t="str">
        <f>_xll.SNL.Clients.Office.Excel.Functions.SPG(BJ214, "SP_COUNTRY_NAME")</f>
        <v>Germany</v>
      </c>
      <c r="BN214" t="s">
        <v>777</v>
      </c>
      <c r="BO214">
        <v>107988050</v>
      </c>
      <c r="BP214" t="s">
        <v>346</v>
      </c>
      <c r="BQ214" s="11">
        <v>0</v>
      </c>
      <c r="BR214" s="9" t="str">
        <f>_xll.SNL.Clients.Office.Excel.Functions.SPG(BO214, "SP_COUNTRY_NAME")</f>
        <v>China</v>
      </c>
      <c r="BS214" t="s">
        <v>742</v>
      </c>
      <c r="BT214">
        <v>4209761</v>
      </c>
      <c r="BU214" t="s">
        <v>346</v>
      </c>
      <c r="BV214" s="11">
        <v>0.01</v>
      </c>
      <c r="BW214" s="9" t="str">
        <f>_xll.SNL.Clients.Office.Excel.Functions.SPG(BT214, "SP_COUNTRY_NAME")</f>
        <v>Singapore</v>
      </c>
      <c r="BX214" t="s">
        <v>803</v>
      </c>
      <c r="BY214">
        <v>5877802</v>
      </c>
      <c r="BZ214" t="s">
        <v>346</v>
      </c>
      <c r="CA214" s="11">
        <v>0</v>
      </c>
      <c r="CB214" s="9" t="str">
        <f>_xll.SNL.Clients.Office.Excel.Functions.SPG(BY214, "SP_COUNTRY_NAME")</f>
        <v>China</v>
      </c>
      <c r="CC214" t="s">
        <v>1698</v>
      </c>
      <c r="CD214">
        <v>4138462</v>
      </c>
      <c r="CE214" t="s">
        <v>363</v>
      </c>
      <c r="CF214" s="11">
        <v>0.01</v>
      </c>
      <c r="CG214" s="9" t="str">
        <f>_xll.SNL.Clients.Office.Excel.Functions.SPG(CD214, "SP_COUNTRY_NAME")</f>
        <v>USA</v>
      </c>
      <c r="CH214" t="s">
        <v>1345</v>
      </c>
      <c r="CI214">
        <v>10761756</v>
      </c>
      <c r="CJ214" t="s">
        <v>346</v>
      </c>
      <c r="CK214" s="11">
        <v>0</v>
      </c>
      <c r="CL214" s="9" t="str">
        <f>_xll.SNL.Clients.Office.Excel.Functions.SPG(CI214, "SP_COUNTRY_NAME")</f>
        <v>South Africa</v>
      </c>
      <c r="CM214" t="s">
        <v>478</v>
      </c>
      <c r="CN214">
        <v>5852503</v>
      </c>
      <c r="CO214" t="s">
        <v>346</v>
      </c>
      <c r="CP214" s="11">
        <v>0.01</v>
      </c>
      <c r="CQ214" s="9" t="str">
        <f>_xll.SNL.Clients.Office.Excel.Functions.SPG(CN214, "SP_COUNTRY_NAME")</f>
        <v>South Africa</v>
      </c>
      <c r="CV214" s="9" t="str">
        <f>_xll.SNL.Clients.Office.Excel.Functions.SPG(CS214, "SP_COUNTRY_NAME")</f>
        <v>#INVALID COMPANY ID</v>
      </c>
      <c r="DA214" s="9" t="str">
        <f>_xll.SNL.Clients.Office.Excel.Functions.SPG(CX214, "SP_COUNTRY_NAME")</f>
        <v>#INVALID COMPANY ID</v>
      </c>
      <c r="DB214" t="s">
        <v>1262</v>
      </c>
      <c r="DC214">
        <v>4550016</v>
      </c>
      <c r="DD214" t="s">
        <v>364</v>
      </c>
      <c r="DE214" s="11">
        <v>0.01</v>
      </c>
      <c r="DF214" s="9" t="str">
        <f>_xll.SNL.Clients.Office.Excel.Functions.SPG(DC214, "SP_COUNTRY_NAME")</f>
        <v>South Africa</v>
      </c>
      <c r="DK214" s="9" t="str">
        <f>_xll.SNL.Clients.Office.Excel.Functions.SPG(DH214, "SP_COUNTRY_NAME")</f>
        <v>#INVALID COMPANY ID</v>
      </c>
      <c r="DL214" t="s">
        <v>1262</v>
      </c>
      <c r="DM214">
        <v>4550016</v>
      </c>
      <c r="DN214" t="s">
        <v>364</v>
      </c>
      <c r="DO214" s="11">
        <v>0.01</v>
      </c>
      <c r="DP214" s="9" t="str">
        <f>_xll.SNL.Clients.Office.Excel.Functions.SPG(DM214, "SP_COUNTRY_NAME")</f>
        <v>South Africa</v>
      </c>
      <c r="DU214" s="9" t="str">
        <f>_xll.SNL.Clients.Office.Excel.Functions.SPG(DR214, "SP_COUNTRY_NAME")</f>
        <v>#INVALID COMPANY ID</v>
      </c>
      <c r="DZ214" s="9" t="str">
        <f>_xll.SNL.Clients.Office.Excel.Functions.SPG(DW214, "SP_COUNTRY_NAME")</f>
        <v>#INVALID COMPANY ID</v>
      </c>
      <c r="EA214" t="s">
        <v>1698</v>
      </c>
      <c r="EB214">
        <v>4138462</v>
      </c>
      <c r="EC214" t="s">
        <v>363</v>
      </c>
      <c r="ED214" s="11">
        <v>0.01</v>
      </c>
      <c r="EE214" s="9" t="str">
        <f>_xll.SNL.Clients.Office.Excel.Functions.SPG(EB214, "SP_COUNTRY_NAME")</f>
        <v>USA</v>
      </c>
      <c r="EF214" t="s">
        <v>1262</v>
      </c>
      <c r="EG214">
        <v>4550016</v>
      </c>
      <c r="EH214" t="s">
        <v>364</v>
      </c>
      <c r="EI214" s="11">
        <v>0.01</v>
      </c>
      <c r="EJ214" s="9" t="str">
        <f>_xll.SNL.Clients.Office.Excel.Functions.SPG(EG214, "SP_COUNTRY_NAME")</f>
        <v>South Africa</v>
      </c>
      <c r="EO214" s="9" t="str">
        <f>_xll.SNL.Clients.Office.Excel.Functions.SPG(EL214, "SP_COUNTRY_NAME")</f>
        <v>#INVALID COMPANY ID</v>
      </c>
      <c r="ET214" s="9" t="str">
        <f>_xll.SNL.Clients.Office.Excel.Functions.SPG(EQ214, "SP_COUNTRY_NAME")</f>
        <v>#INVALID COMPANY ID</v>
      </c>
      <c r="EY214" s="9" t="str">
        <f>_xll.SNL.Clients.Office.Excel.Functions.SPG(EV214, "SP_COUNTRY_NAME")</f>
        <v>#INVALID COMPANY ID</v>
      </c>
      <c r="FD214" s="9" t="str">
        <f>_xll.SNL.Clients.Office.Excel.Functions.SPG(FA214, "SP_COUNTRY_NAME")</f>
        <v>#INVALID COMPANY ID</v>
      </c>
      <c r="FI214" s="9" t="str">
        <f>_xll.SNL.Clients.Office.Excel.Functions.SPG(FF214, "SP_COUNTRY_NAME")</f>
        <v>#INVALID COMPANY ID</v>
      </c>
      <c r="FN214" s="9" t="str">
        <f>_xll.SNL.Clients.Office.Excel.Functions.SPG(FK214, "SP_COUNTRY_NAME")</f>
        <v>#INVALID COMPANY ID</v>
      </c>
      <c r="FS214" s="9" t="str">
        <f>_xll.SNL.Clients.Office.Excel.Functions.SPG(FP214, "SP_COUNTRY_NAME")</f>
        <v>#INVALID COMPANY ID</v>
      </c>
      <c r="FX214" s="9" t="str">
        <f>_xll.SNL.Clients.Office.Excel.Functions.SPG(FU214, "SP_COUNTRY_NAME")</f>
        <v>#INVALID COMPANY ID</v>
      </c>
      <c r="FY214" t="s">
        <v>1262</v>
      </c>
      <c r="FZ214">
        <v>4550016</v>
      </c>
      <c r="GA214" t="s">
        <v>364</v>
      </c>
      <c r="GB214" s="11">
        <v>0.01</v>
      </c>
      <c r="GC214" s="9" t="str">
        <f>_xll.SNL.Clients.Office.Excel.Functions.SPG(FZ214, "SP_COUNTRY_NAME")</f>
        <v>South Africa</v>
      </c>
      <c r="GH214" s="9" t="str">
        <f>_xll.SNL.Clients.Office.Excel.Functions.SPG(GE214, "SP_COUNTRY_NAME")</f>
        <v>#INVALID COMPANY ID</v>
      </c>
      <c r="GM214" s="9" t="str">
        <f>_xll.SNL.Clients.Office.Excel.Functions.SPG(GJ214, "SP_COUNTRY_NAME")</f>
        <v>#INVALID COMPANY ID</v>
      </c>
      <c r="GR214" s="9" t="str">
        <f>_xll.SNL.Clients.Office.Excel.Functions.SPG(GO214, "SP_COUNTRY_NAME")</f>
        <v>#INVALID COMPANY ID</v>
      </c>
      <c r="GS214" t="s">
        <v>777</v>
      </c>
      <c r="GT214">
        <v>107988050</v>
      </c>
      <c r="GU214" t="s">
        <v>346</v>
      </c>
      <c r="GV214" s="11">
        <v>0</v>
      </c>
      <c r="GW214" s="9" t="str">
        <f>_xll.SNL.Clients.Office.Excel.Functions.SPG(GT214, "SP_COUNTRY_NAME")</f>
        <v>China</v>
      </c>
      <c r="GX214" t="s">
        <v>1698</v>
      </c>
      <c r="GY214">
        <v>4138462</v>
      </c>
      <c r="GZ214" t="s">
        <v>363</v>
      </c>
      <c r="HA214" s="11">
        <v>0.01</v>
      </c>
      <c r="HB214" s="9" t="str">
        <f>_xll.SNL.Clients.Office.Excel.Functions.SPG(GY214, "SP_COUNTRY_NAME")</f>
        <v>USA</v>
      </c>
      <c r="HG214" s="9" t="str">
        <f>_xll.SNL.Clients.Office.Excel.Functions.SPG(HD214, "SP_COUNTRY_NAME")</f>
        <v>#INVALID COMPANY ID</v>
      </c>
    </row>
    <row r="215" spans="5:215" x14ac:dyDescent="0.35">
      <c r="E215" s="9" t="str">
        <f>_xll.SNL.Clients.Office.Excel.Functions.SPG(B215, "SP_COUNTRY_NAME")</f>
        <v>#INVALID COMPANY ID</v>
      </c>
      <c r="F215" t="s">
        <v>599</v>
      </c>
      <c r="G215">
        <v>19350037</v>
      </c>
      <c r="H215" t="s">
        <v>346</v>
      </c>
      <c r="I215" s="11">
        <v>0</v>
      </c>
      <c r="J215" s="9" t="str">
        <f>_xll.SNL.Clients.Office.Excel.Functions.SPG(G215, "SP_COUNTRY_NAME")</f>
        <v>United Kingdom</v>
      </c>
      <c r="O215" s="9" t="str">
        <f>_xll.SNL.Clients.Office.Excel.Functions.SPG(L215, "SP_COUNTRY_NAME")</f>
        <v>#INVALID COMPANY ID</v>
      </c>
      <c r="T215" s="9" t="str">
        <f>_xll.SNL.Clients.Office.Excel.Functions.SPG(Q215, "SP_COUNTRY_NAME")</f>
        <v>#INVALID COMPANY ID</v>
      </c>
      <c r="U215" t="s">
        <v>403</v>
      </c>
      <c r="V215">
        <v>4033550</v>
      </c>
      <c r="W215" t="s">
        <v>346</v>
      </c>
      <c r="X215" s="11">
        <v>0</v>
      </c>
      <c r="Y215" s="9" t="str">
        <f>_xll.SNL.Clients.Office.Excel.Functions.SPG(V215, "SP_COUNTRY_NAME")</f>
        <v>USA</v>
      </c>
      <c r="AD215" s="9" t="str">
        <f>_xll.SNL.Clients.Office.Excel.Functions.SPG(AA215, "SP_COUNTRY_NAME")</f>
        <v>#INVALID COMPANY ID</v>
      </c>
      <c r="AE215" t="s">
        <v>630</v>
      </c>
      <c r="AF215">
        <v>27861143</v>
      </c>
      <c r="AG215" t="s">
        <v>346</v>
      </c>
      <c r="AH215" s="11">
        <v>0</v>
      </c>
      <c r="AI215" s="9" t="str">
        <f>_xll.SNL.Clients.Office.Excel.Functions.SPG(AF215, "SP_COUNTRY_NAME")</f>
        <v>USA</v>
      </c>
      <c r="AN215" s="9" t="str">
        <f>_xll.SNL.Clients.Office.Excel.Functions.SPG(AK215, "SP_COUNTRY_NAME")</f>
        <v>#INVALID COMPANY ID</v>
      </c>
      <c r="AO215" t="s">
        <v>1346</v>
      </c>
      <c r="AP215">
        <v>29317018</v>
      </c>
      <c r="AQ215" t="s">
        <v>346</v>
      </c>
      <c r="AR215" s="11">
        <v>0</v>
      </c>
      <c r="AS215" s="9" t="str">
        <f>_xll.SNL.Clients.Office.Excel.Functions.SPG(AP215, "SP_COUNTRY_NAME")</f>
        <v>South Africa</v>
      </c>
      <c r="AX215" s="9" t="str">
        <f>_xll.SNL.Clients.Office.Excel.Functions.SPG(AU215, "SP_COUNTRY_NAME")</f>
        <v>#INVALID COMPANY ID</v>
      </c>
      <c r="BC215" s="9" t="str">
        <f>_xll.SNL.Clients.Office.Excel.Functions.SPG(AZ215, "SP_COUNTRY_NAME")</f>
        <v>#INVALID COMPANY ID</v>
      </c>
      <c r="BD215" t="s">
        <v>1286</v>
      </c>
      <c r="BE215">
        <v>4388414</v>
      </c>
      <c r="BF215" t="s">
        <v>346</v>
      </c>
      <c r="BG215" s="11">
        <v>0.01</v>
      </c>
      <c r="BH215" s="9" t="str">
        <f>_xll.SNL.Clients.Office.Excel.Functions.SPG(BE215, "SP_COUNTRY_NAME")</f>
        <v>South Africa</v>
      </c>
      <c r="BI215" t="s">
        <v>548</v>
      </c>
      <c r="BJ215">
        <v>26480935</v>
      </c>
      <c r="BK215" t="s">
        <v>346</v>
      </c>
      <c r="BL215" s="11">
        <v>0</v>
      </c>
      <c r="BM215" s="9" t="str">
        <f>_xll.SNL.Clients.Office.Excel.Functions.SPG(BJ215, "SP_COUNTRY_NAME")</f>
        <v>USA</v>
      </c>
      <c r="BN215" t="s">
        <v>1049</v>
      </c>
      <c r="BO215">
        <v>5767537</v>
      </c>
      <c r="BP215" t="s">
        <v>365</v>
      </c>
      <c r="BQ215" s="11">
        <v>0</v>
      </c>
      <c r="BR215" s="9" t="str">
        <f>_xll.SNL.Clients.Office.Excel.Functions.SPG(BO215, "SP_COUNTRY_NAME")</f>
        <v>Switzerland</v>
      </c>
      <c r="BS215" t="s">
        <v>734</v>
      </c>
      <c r="BT215">
        <v>4322244</v>
      </c>
      <c r="BU215" t="s">
        <v>346</v>
      </c>
      <c r="BV215" s="11">
        <v>0.01</v>
      </c>
      <c r="BW215" s="9" t="str">
        <f>_xll.SNL.Clients.Office.Excel.Functions.SPG(BT215, "SP_COUNTRY_NAME")</f>
        <v>China</v>
      </c>
      <c r="BX215" t="s">
        <v>403</v>
      </c>
      <c r="BY215">
        <v>4033550</v>
      </c>
      <c r="BZ215" t="s">
        <v>346</v>
      </c>
      <c r="CA215" s="11">
        <v>0</v>
      </c>
      <c r="CB215" s="9" t="str">
        <f>_xll.SNL.Clients.Office.Excel.Functions.SPG(BY215, "SP_COUNTRY_NAME")</f>
        <v>USA</v>
      </c>
      <c r="CC215" t="s">
        <v>1699</v>
      </c>
      <c r="CD215">
        <v>4562926</v>
      </c>
      <c r="CE215" t="s">
        <v>364</v>
      </c>
      <c r="CF215" s="11">
        <v>0.01</v>
      </c>
      <c r="CG215" s="9" t="str">
        <f>_xll.SNL.Clients.Office.Excel.Functions.SPG(CD215, "SP_COUNTRY_NAME")</f>
        <v>USA</v>
      </c>
      <c r="CH215" t="s">
        <v>1346</v>
      </c>
      <c r="CI215">
        <v>29317018</v>
      </c>
      <c r="CJ215" t="s">
        <v>346</v>
      </c>
      <c r="CK215" s="11">
        <v>0</v>
      </c>
      <c r="CL215" s="9" t="str">
        <f>_xll.SNL.Clients.Office.Excel.Functions.SPG(CI215, "SP_COUNTRY_NAME")</f>
        <v>South Africa</v>
      </c>
      <c r="CM215" t="s">
        <v>1855</v>
      </c>
      <c r="CN215">
        <v>4027675</v>
      </c>
      <c r="CO215" t="s">
        <v>346</v>
      </c>
      <c r="CP215" s="11">
        <v>0.01</v>
      </c>
      <c r="CQ215" s="9" t="str">
        <f>_xll.SNL.Clients.Office.Excel.Functions.SPG(CN215, "SP_COUNTRY_NAME")</f>
        <v>USA</v>
      </c>
      <c r="CV215" s="9" t="str">
        <f>_xll.SNL.Clients.Office.Excel.Functions.SPG(CS215, "SP_COUNTRY_NAME")</f>
        <v>#INVALID COMPANY ID</v>
      </c>
      <c r="DA215" s="9" t="str">
        <f>_xll.SNL.Clients.Office.Excel.Functions.SPG(CX215, "SP_COUNTRY_NAME")</f>
        <v>#INVALID COMPANY ID</v>
      </c>
      <c r="DB215" t="s">
        <v>1286</v>
      </c>
      <c r="DC215">
        <v>4388414</v>
      </c>
      <c r="DD215" t="s">
        <v>346</v>
      </c>
      <c r="DE215" s="11">
        <v>0.01</v>
      </c>
      <c r="DF215" s="9" t="str">
        <f>_xll.SNL.Clients.Office.Excel.Functions.SPG(DC215, "SP_COUNTRY_NAME")</f>
        <v>South Africa</v>
      </c>
      <c r="DK215" s="9" t="str">
        <f>_xll.SNL.Clients.Office.Excel.Functions.SPG(DH215, "SP_COUNTRY_NAME")</f>
        <v>#INVALID COMPANY ID</v>
      </c>
      <c r="DL215" t="s">
        <v>1286</v>
      </c>
      <c r="DM215">
        <v>4388414</v>
      </c>
      <c r="DN215" t="s">
        <v>346</v>
      </c>
      <c r="DO215" s="11">
        <v>0.01</v>
      </c>
      <c r="DP215" s="9" t="str">
        <f>_xll.SNL.Clients.Office.Excel.Functions.SPG(DM215, "SP_COUNTRY_NAME")</f>
        <v>South Africa</v>
      </c>
      <c r="DU215" s="9" t="str">
        <f>_xll.SNL.Clients.Office.Excel.Functions.SPG(DR215, "SP_COUNTRY_NAME")</f>
        <v>#INVALID COMPANY ID</v>
      </c>
      <c r="DZ215" s="9" t="str">
        <f>_xll.SNL.Clients.Office.Excel.Functions.SPG(DW215, "SP_COUNTRY_NAME")</f>
        <v>#INVALID COMPANY ID</v>
      </c>
      <c r="EA215" t="s">
        <v>1699</v>
      </c>
      <c r="EB215">
        <v>4562926</v>
      </c>
      <c r="EC215" t="s">
        <v>364</v>
      </c>
      <c r="ED215" s="11">
        <v>0.01</v>
      </c>
      <c r="EE215" s="9" t="str">
        <f>_xll.SNL.Clients.Office.Excel.Functions.SPG(EB215, "SP_COUNTRY_NAME")</f>
        <v>USA</v>
      </c>
      <c r="EF215" t="s">
        <v>1286</v>
      </c>
      <c r="EG215">
        <v>4388414</v>
      </c>
      <c r="EH215" t="s">
        <v>346</v>
      </c>
      <c r="EI215" s="11">
        <v>0.01</v>
      </c>
      <c r="EJ215" s="9" t="str">
        <f>_xll.SNL.Clients.Office.Excel.Functions.SPG(EG215, "SP_COUNTRY_NAME")</f>
        <v>South Africa</v>
      </c>
      <c r="EO215" s="9" t="str">
        <f>_xll.SNL.Clients.Office.Excel.Functions.SPG(EL215, "SP_COUNTRY_NAME")</f>
        <v>#INVALID COMPANY ID</v>
      </c>
      <c r="ET215" s="9" t="str">
        <f>_xll.SNL.Clients.Office.Excel.Functions.SPG(EQ215, "SP_COUNTRY_NAME")</f>
        <v>#INVALID COMPANY ID</v>
      </c>
      <c r="EY215" s="9" t="str">
        <f>_xll.SNL.Clients.Office.Excel.Functions.SPG(EV215, "SP_COUNTRY_NAME")</f>
        <v>#INVALID COMPANY ID</v>
      </c>
      <c r="FD215" s="9" t="str">
        <f>_xll.SNL.Clients.Office.Excel.Functions.SPG(FA215, "SP_COUNTRY_NAME")</f>
        <v>#INVALID COMPANY ID</v>
      </c>
      <c r="FI215" s="9" t="str">
        <f>_xll.SNL.Clients.Office.Excel.Functions.SPG(FF215, "SP_COUNTRY_NAME")</f>
        <v>#INVALID COMPANY ID</v>
      </c>
      <c r="FN215" s="9" t="str">
        <f>_xll.SNL.Clients.Office.Excel.Functions.SPG(FK215, "SP_COUNTRY_NAME")</f>
        <v>#INVALID COMPANY ID</v>
      </c>
      <c r="FS215" s="9" t="str">
        <f>_xll.SNL.Clients.Office.Excel.Functions.SPG(FP215, "SP_COUNTRY_NAME")</f>
        <v>#INVALID COMPANY ID</v>
      </c>
      <c r="FX215" s="9" t="str">
        <f>_xll.SNL.Clients.Office.Excel.Functions.SPG(FU215, "SP_COUNTRY_NAME")</f>
        <v>#INVALID COMPANY ID</v>
      </c>
      <c r="FY215" t="s">
        <v>1286</v>
      </c>
      <c r="FZ215">
        <v>4388414</v>
      </c>
      <c r="GA215" t="s">
        <v>346</v>
      </c>
      <c r="GB215" s="11">
        <v>0.01</v>
      </c>
      <c r="GC215" s="9" t="str">
        <f>_xll.SNL.Clients.Office.Excel.Functions.SPG(FZ215, "SP_COUNTRY_NAME")</f>
        <v>South Africa</v>
      </c>
      <c r="GH215" s="9" t="str">
        <f>_xll.SNL.Clients.Office.Excel.Functions.SPG(GE215, "SP_COUNTRY_NAME")</f>
        <v>#INVALID COMPANY ID</v>
      </c>
      <c r="GM215" s="9" t="str">
        <f>_xll.SNL.Clients.Office.Excel.Functions.SPG(GJ215, "SP_COUNTRY_NAME")</f>
        <v>#INVALID COMPANY ID</v>
      </c>
      <c r="GR215" s="9" t="str">
        <f>_xll.SNL.Clients.Office.Excel.Functions.SPG(GO215, "SP_COUNTRY_NAME")</f>
        <v>#INVALID COMPANY ID</v>
      </c>
      <c r="GS215" t="s">
        <v>1049</v>
      </c>
      <c r="GT215">
        <v>5767537</v>
      </c>
      <c r="GU215" t="s">
        <v>365</v>
      </c>
      <c r="GV215" s="11">
        <v>0</v>
      </c>
      <c r="GW215" s="9" t="str">
        <f>_xll.SNL.Clients.Office.Excel.Functions.SPG(GT215, "SP_COUNTRY_NAME")</f>
        <v>Switzerland</v>
      </c>
      <c r="GX215" t="s">
        <v>1699</v>
      </c>
      <c r="GY215">
        <v>4562926</v>
      </c>
      <c r="GZ215" t="s">
        <v>364</v>
      </c>
      <c r="HA215" s="11">
        <v>0.01</v>
      </c>
      <c r="HB215" s="9" t="str">
        <f>_xll.SNL.Clients.Office.Excel.Functions.SPG(GY215, "SP_COUNTRY_NAME")</f>
        <v>USA</v>
      </c>
      <c r="HG215" s="9" t="str">
        <f>_xll.SNL.Clients.Office.Excel.Functions.SPG(HD215, "SP_COUNTRY_NAME")</f>
        <v>#INVALID COMPANY ID</v>
      </c>
    </row>
    <row r="216" spans="5:215" x14ac:dyDescent="0.35">
      <c r="E216" s="9" t="str">
        <f>_xll.SNL.Clients.Office.Excel.Functions.SPG(B216, "SP_COUNTRY_NAME")</f>
        <v>#INVALID COMPANY ID</v>
      </c>
      <c r="F216" t="s">
        <v>600</v>
      </c>
      <c r="G216">
        <v>4145203</v>
      </c>
      <c r="H216" t="s">
        <v>346</v>
      </c>
      <c r="I216" s="11">
        <v>0</v>
      </c>
      <c r="J216" s="9" t="str">
        <f>_xll.SNL.Clients.Office.Excel.Functions.SPG(G216, "SP_COUNTRY_NAME")</f>
        <v>USA</v>
      </c>
      <c r="O216" s="9" t="str">
        <f>_xll.SNL.Clients.Office.Excel.Functions.SPG(L216, "SP_COUNTRY_NAME")</f>
        <v>#INVALID COMPANY ID</v>
      </c>
      <c r="T216" s="9" t="str">
        <f>_xll.SNL.Clients.Office.Excel.Functions.SPG(Q216, "SP_COUNTRY_NAME")</f>
        <v>#INVALID COMPANY ID</v>
      </c>
      <c r="U216" t="s">
        <v>804</v>
      </c>
      <c r="V216">
        <v>5813336</v>
      </c>
      <c r="W216" t="s">
        <v>346</v>
      </c>
      <c r="X216" s="11">
        <v>0</v>
      </c>
      <c r="Y216" s="9" t="str">
        <f>_xll.SNL.Clients.Office.Excel.Functions.SPG(V216, "SP_COUNTRY_NAME")</f>
        <v>United Kingdom</v>
      </c>
      <c r="AD216" s="9" t="str">
        <f>_xll.SNL.Clients.Office.Excel.Functions.SPG(AA216, "SP_COUNTRY_NAME")</f>
        <v>#INVALID COMPANY ID</v>
      </c>
      <c r="AE216" t="s">
        <v>1189</v>
      </c>
      <c r="AF216">
        <v>10869810</v>
      </c>
      <c r="AG216" t="s">
        <v>346</v>
      </c>
      <c r="AH216" s="11">
        <v>0</v>
      </c>
      <c r="AI216" s="9" t="str">
        <f>_xll.SNL.Clients.Office.Excel.Functions.SPG(AF216, "SP_COUNTRY_NAME")</f>
        <v>Singapore</v>
      </c>
      <c r="AN216" s="9" t="str">
        <f>_xll.SNL.Clients.Office.Excel.Functions.SPG(AK216, "SP_COUNTRY_NAME")</f>
        <v>#INVALID COMPANY ID</v>
      </c>
      <c r="AO216" t="s">
        <v>1347</v>
      </c>
      <c r="AP216">
        <v>4225263</v>
      </c>
      <c r="AQ216" t="s">
        <v>346</v>
      </c>
      <c r="AR216" s="11">
        <v>0</v>
      </c>
      <c r="AS216" s="9" t="str">
        <f>_xll.SNL.Clients.Office.Excel.Functions.SPG(AP216, "SP_COUNTRY_NAME")</f>
        <v>South Africa</v>
      </c>
      <c r="AX216" s="9" t="str">
        <f>_xll.SNL.Clients.Office.Excel.Functions.SPG(AU216, "SP_COUNTRY_NAME")</f>
        <v>#INVALID COMPANY ID</v>
      </c>
      <c r="BC216" s="9" t="str">
        <f>_xll.SNL.Clients.Office.Excel.Functions.SPG(AZ216, "SP_COUNTRY_NAME")</f>
        <v>#INVALID COMPANY ID</v>
      </c>
      <c r="BD216" t="s">
        <v>1459</v>
      </c>
      <c r="BE216">
        <v>7060956</v>
      </c>
      <c r="BF216" t="s">
        <v>346</v>
      </c>
      <c r="BG216" s="11">
        <v>0.01</v>
      </c>
      <c r="BH216" s="9" t="str">
        <f>_xll.SNL.Clients.Office.Excel.Functions.SPG(BE216, "SP_COUNTRY_NAME")</f>
        <v>United Kingdom</v>
      </c>
      <c r="BI216" t="s">
        <v>608</v>
      </c>
      <c r="BJ216">
        <v>110427</v>
      </c>
      <c r="BK216" t="s">
        <v>346</v>
      </c>
      <c r="BL216" s="11">
        <v>0</v>
      </c>
      <c r="BM216" s="9" t="str">
        <f>_xll.SNL.Clients.Office.Excel.Functions.SPG(BJ216, "SP_COUNTRY_NAME")</f>
        <v>United Kingdom</v>
      </c>
      <c r="BN216" t="s">
        <v>492</v>
      </c>
      <c r="BO216">
        <v>110674</v>
      </c>
      <c r="BP216" t="s">
        <v>346</v>
      </c>
      <c r="BQ216" s="11">
        <v>0</v>
      </c>
      <c r="BR216" s="9" t="str">
        <f>_xll.SNL.Clients.Office.Excel.Functions.SPG(BO216, "SP_COUNTRY_NAME")</f>
        <v>USA</v>
      </c>
      <c r="BS216" t="s">
        <v>991</v>
      </c>
      <c r="BT216">
        <v>4206857</v>
      </c>
      <c r="BU216" t="s">
        <v>346</v>
      </c>
      <c r="BV216" s="11">
        <v>0.01</v>
      </c>
      <c r="BW216" s="9" t="str">
        <f>_xll.SNL.Clients.Office.Excel.Functions.SPG(BT216, "SP_COUNTRY_NAME")</f>
        <v>Australia</v>
      </c>
      <c r="BX216" t="s">
        <v>804</v>
      </c>
      <c r="BY216">
        <v>5813336</v>
      </c>
      <c r="BZ216" t="s">
        <v>346</v>
      </c>
      <c r="CA216" s="11">
        <v>0</v>
      </c>
      <c r="CB216" s="9" t="str">
        <f>_xll.SNL.Clients.Office.Excel.Functions.SPG(BY216, "SP_COUNTRY_NAME")</f>
        <v>United Kingdom</v>
      </c>
      <c r="CC216" t="s">
        <v>496</v>
      </c>
      <c r="CD216">
        <v>110495</v>
      </c>
      <c r="CE216" t="s">
        <v>346</v>
      </c>
      <c r="CF216" s="11">
        <v>0.01</v>
      </c>
      <c r="CG216" s="9" t="str">
        <f>_xll.SNL.Clients.Office.Excel.Functions.SPG(CD216, "SP_COUNTRY_NAME")</f>
        <v>USA</v>
      </c>
      <c r="CH216" t="s">
        <v>1347</v>
      </c>
      <c r="CI216">
        <v>4225263</v>
      </c>
      <c r="CJ216" t="s">
        <v>346</v>
      </c>
      <c r="CK216" s="11">
        <v>0</v>
      </c>
      <c r="CL216" s="9" t="str">
        <f>_xll.SNL.Clients.Office.Excel.Functions.SPG(CI216, "SP_COUNTRY_NAME")</f>
        <v>South Africa</v>
      </c>
      <c r="CM216" t="s">
        <v>1994</v>
      </c>
      <c r="CN216">
        <v>4314289</v>
      </c>
      <c r="CO216" t="s">
        <v>346</v>
      </c>
      <c r="CP216" s="11">
        <v>0.01</v>
      </c>
      <c r="CQ216" s="9" t="str">
        <f>_xll.SNL.Clients.Office.Excel.Functions.SPG(CN216, "SP_COUNTRY_NAME")</f>
        <v>South Africa</v>
      </c>
      <c r="CV216" s="9" t="str">
        <f>_xll.SNL.Clients.Office.Excel.Functions.SPG(CS216, "SP_COUNTRY_NAME")</f>
        <v>#INVALID COMPANY ID</v>
      </c>
      <c r="DA216" s="9" t="str">
        <f>_xll.SNL.Clients.Office.Excel.Functions.SPG(CX216, "SP_COUNTRY_NAME")</f>
        <v>#INVALID COMPANY ID</v>
      </c>
      <c r="DB216" t="s">
        <v>1459</v>
      </c>
      <c r="DC216">
        <v>7060956</v>
      </c>
      <c r="DD216" t="s">
        <v>346</v>
      </c>
      <c r="DE216" s="11">
        <v>0.01</v>
      </c>
      <c r="DF216" s="9" t="str">
        <f>_xll.SNL.Clients.Office.Excel.Functions.SPG(DC216, "SP_COUNTRY_NAME")</f>
        <v>United Kingdom</v>
      </c>
      <c r="DK216" s="9" t="str">
        <f>_xll.SNL.Clients.Office.Excel.Functions.SPG(DH216, "SP_COUNTRY_NAME")</f>
        <v>#INVALID COMPANY ID</v>
      </c>
      <c r="DL216" t="s">
        <v>1459</v>
      </c>
      <c r="DM216">
        <v>7060956</v>
      </c>
      <c r="DN216" t="s">
        <v>346</v>
      </c>
      <c r="DO216" s="11">
        <v>0.01</v>
      </c>
      <c r="DP216" s="9" t="str">
        <f>_xll.SNL.Clients.Office.Excel.Functions.SPG(DM216, "SP_COUNTRY_NAME")</f>
        <v>United Kingdom</v>
      </c>
      <c r="DU216" s="9" t="str">
        <f>_xll.SNL.Clients.Office.Excel.Functions.SPG(DR216, "SP_COUNTRY_NAME")</f>
        <v>#INVALID COMPANY ID</v>
      </c>
      <c r="DZ216" s="9" t="str">
        <f>_xll.SNL.Clients.Office.Excel.Functions.SPG(DW216, "SP_COUNTRY_NAME")</f>
        <v>#INVALID COMPANY ID</v>
      </c>
      <c r="EA216" t="s">
        <v>496</v>
      </c>
      <c r="EB216">
        <v>110495</v>
      </c>
      <c r="EC216" t="s">
        <v>346</v>
      </c>
      <c r="ED216" s="11">
        <v>0.01</v>
      </c>
      <c r="EE216" s="9" t="str">
        <f>_xll.SNL.Clients.Office.Excel.Functions.SPG(EB216, "SP_COUNTRY_NAME")</f>
        <v>USA</v>
      </c>
      <c r="EF216" t="s">
        <v>1459</v>
      </c>
      <c r="EG216">
        <v>7060956</v>
      </c>
      <c r="EH216" t="s">
        <v>346</v>
      </c>
      <c r="EI216" s="11">
        <v>0.01</v>
      </c>
      <c r="EJ216" s="9" t="str">
        <f>_xll.SNL.Clients.Office.Excel.Functions.SPG(EG216, "SP_COUNTRY_NAME")</f>
        <v>United Kingdom</v>
      </c>
      <c r="EO216" s="9" t="str">
        <f>_xll.SNL.Clients.Office.Excel.Functions.SPG(EL216, "SP_COUNTRY_NAME")</f>
        <v>#INVALID COMPANY ID</v>
      </c>
      <c r="ET216" s="9" t="str">
        <f>_xll.SNL.Clients.Office.Excel.Functions.SPG(EQ216, "SP_COUNTRY_NAME")</f>
        <v>#INVALID COMPANY ID</v>
      </c>
      <c r="EY216" s="9" t="str">
        <f>_xll.SNL.Clients.Office.Excel.Functions.SPG(EV216, "SP_COUNTRY_NAME")</f>
        <v>#INVALID COMPANY ID</v>
      </c>
      <c r="FD216" s="9" t="str">
        <f>_xll.SNL.Clients.Office.Excel.Functions.SPG(FA216, "SP_COUNTRY_NAME")</f>
        <v>#INVALID COMPANY ID</v>
      </c>
      <c r="FI216" s="9" t="str">
        <f>_xll.SNL.Clients.Office.Excel.Functions.SPG(FF216, "SP_COUNTRY_NAME")</f>
        <v>#INVALID COMPANY ID</v>
      </c>
      <c r="FN216" s="9" t="str">
        <f>_xll.SNL.Clients.Office.Excel.Functions.SPG(FK216, "SP_COUNTRY_NAME")</f>
        <v>#INVALID COMPANY ID</v>
      </c>
      <c r="FS216" s="9" t="str">
        <f>_xll.SNL.Clients.Office.Excel.Functions.SPG(FP216, "SP_COUNTRY_NAME")</f>
        <v>#INVALID COMPANY ID</v>
      </c>
      <c r="FX216" s="9" t="str">
        <f>_xll.SNL.Clients.Office.Excel.Functions.SPG(FU216, "SP_COUNTRY_NAME")</f>
        <v>#INVALID COMPANY ID</v>
      </c>
      <c r="FY216" t="s">
        <v>1459</v>
      </c>
      <c r="FZ216">
        <v>7060956</v>
      </c>
      <c r="GA216" t="s">
        <v>346</v>
      </c>
      <c r="GB216" s="11">
        <v>0.01</v>
      </c>
      <c r="GC216" s="9" t="str">
        <f>_xll.SNL.Clients.Office.Excel.Functions.SPG(FZ216, "SP_COUNTRY_NAME")</f>
        <v>United Kingdom</v>
      </c>
      <c r="GH216" s="9" t="str">
        <f>_xll.SNL.Clients.Office.Excel.Functions.SPG(GE216, "SP_COUNTRY_NAME")</f>
        <v>#INVALID COMPANY ID</v>
      </c>
      <c r="GM216" s="9" t="str">
        <f>_xll.SNL.Clients.Office.Excel.Functions.SPG(GJ216, "SP_COUNTRY_NAME")</f>
        <v>#INVALID COMPANY ID</v>
      </c>
      <c r="GR216" s="9" t="str">
        <f>_xll.SNL.Clients.Office.Excel.Functions.SPG(GO216, "SP_COUNTRY_NAME")</f>
        <v>#INVALID COMPANY ID</v>
      </c>
      <c r="GS216" t="s">
        <v>492</v>
      </c>
      <c r="GT216">
        <v>110674</v>
      </c>
      <c r="GU216" t="s">
        <v>346</v>
      </c>
      <c r="GV216" s="11">
        <v>0</v>
      </c>
      <c r="GW216" s="9" t="str">
        <f>_xll.SNL.Clients.Office.Excel.Functions.SPG(GT216, "SP_COUNTRY_NAME")</f>
        <v>USA</v>
      </c>
      <c r="GX216" t="s">
        <v>496</v>
      </c>
      <c r="GY216">
        <v>110495</v>
      </c>
      <c r="GZ216" t="s">
        <v>346</v>
      </c>
      <c r="HA216" s="11">
        <v>0.01</v>
      </c>
      <c r="HB216" s="9" t="str">
        <f>_xll.SNL.Clients.Office.Excel.Functions.SPG(GY216, "SP_COUNTRY_NAME")</f>
        <v>USA</v>
      </c>
      <c r="HG216" s="9" t="str">
        <f>_xll.SNL.Clients.Office.Excel.Functions.SPG(HD216, "SP_COUNTRY_NAME")</f>
        <v>#INVALID COMPANY ID</v>
      </c>
    </row>
    <row r="217" spans="5:215" x14ac:dyDescent="0.35">
      <c r="E217" s="9" t="str">
        <f>_xll.SNL.Clients.Office.Excel.Functions.SPG(B217, "SP_COUNTRY_NAME")</f>
        <v>#INVALID COMPANY ID</v>
      </c>
      <c r="F217" t="s">
        <v>601</v>
      </c>
      <c r="G217">
        <v>5816131</v>
      </c>
      <c r="H217" t="s">
        <v>346</v>
      </c>
      <c r="I217" s="11">
        <v>0</v>
      </c>
      <c r="J217" s="9" t="str">
        <f>_xll.SNL.Clients.Office.Excel.Functions.SPG(G217, "SP_COUNTRY_NAME")</f>
        <v>USA</v>
      </c>
      <c r="O217" s="9" t="str">
        <f>_xll.SNL.Clients.Office.Excel.Functions.SPG(L217, "SP_COUNTRY_NAME")</f>
        <v>#INVALID COMPANY ID</v>
      </c>
      <c r="T217" s="9" t="str">
        <f>_xll.SNL.Clients.Office.Excel.Functions.SPG(Q217, "SP_COUNTRY_NAME")</f>
        <v>#INVALID COMPANY ID</v>
      </c>
      <c r="U217" t="s">
        <v>805</v>
      </c>
      <c r="V217">
        <v>4066647</v>
      </c>
      <c r="W217" t="s">
        <v>369</v>
      </c>
      <c r="X217" s="11">
        <v>0</v>
      </c>
      <c r="Y217" s="9" t="str">
        <f>_xll.SNL.Clients.Office.Excel.Functions.SPG(V217, "SP_COUNTRY_NAME")</f>
        <v>Canada</v>
      </c>
      <c r="AD217" s="9" t="str">
        <f>_xll.SNL.Clients.Office.Excel.Functions.SPG(AA217, "SP_COUNTRY_NAME")</f>
        <v>#INVALID COMPANY ID</v>
      </c>
      <c r="AE217" t="s">
        <v>455</v>
      </c>
      <c r="AF217">
        <v>4119538</v>
      </c>
      <c r="AG217" t="s">
        <v>364</v>
      </c>
      <c r="AH217" s="11">
        <v>0</v>
      </c>
      <c r="AI217" s="9" t="str">
        <f>_xll.SNL.Clients.Office.Excel.Functions.SPG(AF217, "SP_COUNTRY_NAME")</f>
        <v>USA</v>
      </c>
      <c r="AN217" s="9" t="str">
        <f>_xll.SNL.Clients.Office.Excel.Functions.SPG(AK217, "SP_COUNTRY_NAME")</f>
        <v>#INVALID COMPANY ID</v>
      </c>
      <c r="AO217" t="s">
        <v>1348</v>
      </c>
      <c r="AP217">
        <v>5864676</v>
      </c>
      <c r="AQ217" t="s">
        <v>346</v>
      </c>
      <c r="AR217" s="11">
        <v>0</v>
      </c>
      <c r="AS217" s="9" t="str">
        <f>_xll.SNL.Clients.Office.Excel.Functions.SPG(AP217, "SP_COUNTRY_NAME")</f>
        <v>South Africa</v>
      </c>
      <c r="AX217" s="9" t="str">
        <f>_xll.SNL.Clients.Office.Excel.Functions.SPG(AU217, "SP_COUNTRY_NAME")</f>
        <v>#INVALID COMPANY ID</v>
      </c>
      <c r="BC217" s="9" t="str">
        <f>_xll.SNL.Clients.Office.Excel.Functions.SPG(AZ217, "SP_COUNTRY_NAME")</f>
        <v>#INVALID COMPANY ID</v>
      </c>
      <c r="BD217" t="s">
        <v>1269</v>
      </c>
      <c r="BE217">
        <v>4840599</v>
      </c>
      <c r="BF217" t="s">
        <v>364</v>
      </c>
      <c r="BG217" s="11">
        <v>0.01</v>
      </c>
      <c r="BH217" s="9" t="str">
        <f>_xll.SNL.Clients.Office.Excel.Functions.SPG(BE217, "SP_COUNTRY_NAME")</f>
        <v>South Africa</v>
      </c>
      <c r="BI217" t="s">
        <v>591</v>
      </c>
      <c r="BJ217">
        <v>109721</v>
      </c>
      <c r="BK217" t="s">
        <v>346</v>
      </c>
      <c r="BL217" s="11">
        <v>0</v>
      </c>
      <c r="BM217" s="9" t="str">
        <f>_xll.SNL.Clients.Office.Excel.Functions.SPG(BJ217, "SP_COUNTRY_NAME")</f>
        <v>USA</v>
      </c>
      <c r="BN217" t="s">
        <v>788</v>
      </c>
      <c r="BO217">
        <v>4592065</v>
      </c>
      <c r="BP217" t="s">
        <v>346</v>
      </c>
      <c r="BQ217" s="11">
        <v>0</v>
      </c>
      <c r="BR217" s="9" t="str">
        <f>_xll.SNL.Clients.Office.Excel.Functions.SPG(BO217, "SP_COUNTRY_NAME")</f>
        <v>China</v>
      </c>
      <c r="BS217" t="s">
        <v>554</v>
      </c>
      <c r="BT217">
        <v>4408592</v>
      </c>
      <c r="BU217" t="s">
        <v>346</v>
      </c>
      <c r="BV217" s="11">
        <v>0.01</v>
      </c>
      <c r="BW217" s="9" t="str">
        <f>_xll.SNL.Clients.Office.Excel.Functions.SPG(BT217, "SP_COUNTRY_NAME")</f>
        <v>Hong Kong</v>
      </c>
      <c r="BX217" t="s">
        <v>805</v>
      </c>
      <c r="BY217">
        <v>4066647</v>
      </c>
      <c r="BZ217" t="s">
        <v>369</v>
      </c>
      <c r="CA217" s="11">
        <v>0</v>
      </c>
      <c r="CB217" s="9" t="str">
        <f>_xll.SNL.Clients.Office.Excel.Functions.SPG(BY217, "SP_COUNTRY_NAME")</f>
        <v>Canada</v>
      </c>
      <c r="CC217" t="s">
        <v>1700</v>
      </c>
      <c r="CD217">
        <v>4117795</v>
      </c>
      <c r="CE217" t="s">
        <v>346</v>
      </c>
      <c r="CF217" s="11">
        <v>0.01</v>
      </c>
      <c r="CG217" s="9" t="str">
        <f>_xll.SNL.Clients.Office.Excel.Functions.SPG(CD217, "SP_COUNTRY_NAME")</f>
        <v>USA</v>
      </c>
      <c r="CH217" t="s">
        <v>1348</v>
      </c>
      <c r="CI217">
        <v>5864676</v>
      </c>
      <c r="CJ217" t="s">
        <v>346</v>
      </c>
      <c r="CK217" s="11">
        <v>0</v>
      </c>
      <c r="CL217" s="9" t="str">
        <f>_xll.SNL.Clients.Office.Excel.Functions.SPG(CI217, "SP_COUNTRY_NAME")</f>
        <v>South Africa</v>
      </c>
      <c r="CM217" t="s">
        <v>1995</v>
      </c>
      <c r="CN217">
        <v>4145129</v>
      </c>
      <c r="CO217" t="s">
        <v>346</v>
      </c>
      <c r="CP217" s="11">
        <v>0.01</v>
      </c>
      <c r="CQ217" s="9" t="str">
        <f>_xll.SNL.Clients.Office.Excel.Functions.SPG(CN217, "SP_COUNTRY_NAME")</f>
        <v>Finland</v>
      </c>
      <c r="CV217" s="9" t="str">
        <f>_xll.SNL.Clients.Office.Excel.Functions.SPG(CS217, "SP_COUNTRY_NAME")</f>
        <v>#INVALID COMPANY ID</v>
      </c>
      <c r="DA217" s="9" t="str">
        <f>_xll.SNL.Clients.Office.Excel.Functions.SPG(CX217, "SP_COUNTRY_NAME")</f>
        <v>#INVALID COMPANY ID</v>
      </c>
      <c r="DB217" t="s">
        <v>1269</v>
      </c>
      <c r="DC217">
        <v>4840599</v>
      </c>
      <c r="DD217" t="s">
        <v>364</v>
      </c>
      <c r="DE217" s="11">
        <v>0.01</v>
      </c>
      <c r="DF217" s="9" t="str">
        <f>_xll.SNL.Clients.Office.Excel.Functions.SPG(DC217, "SP_COUNTRY_NAME")</f>
        <v>South Africa</v>
      </c>
      <c r="DK217" s="9" t="str">
        <f>_xll.SNL.Clients.Office.Excel.Functions.SPG(DH217, "SP_COUNTRY_NAME")</f>
        <v>#INVALID COMPANY ID</v>
      </c>
      <c r="DL217" t="s">
        <v>1269</v>
      </c>
      <c r="DM217">
        <v>4840599</v>
      </c>
      <c r="DN217" t="s">
        <v>364</v>
      </c>
      <c r="DO217" s="11">
        <v>0.01</v>
      </c>
      <c r="DP217" s="9" t="str">
        <f>_xll.SNL.Clients.Office.Excel.Functions.SPG(DM217, "SP_COUNTRY_NAME")</f>
        <v>South Africa</v>
      </c>
      <c r="DU217" s="9" t="str">
        <f>_xll.SNL.Clients.Office.Excel.Functions.SPG(DR217, "SP_COUNTRY_NAME")</f>
        <v>#INVALID COMPANY ID</v>
      </c>
      <c r="DZ217" s="9" t="str">
        <f>_xll.SNL.Clients.Office.Excel.Functions.SPG(DW217, "SP_COUNTRY_NAME")</f>
        <v>#INVALID COMPANY ID</v>
      </c>
      <c r="EA217" t="s">
        <v>1700</v>
      </c>
      <c r="EB217">
        <v>4117795</v>
      </c>
      <c r="EC217" t="s">
        <v>346</v>
      </c>
      <c r="ED217" s="11">
        <v>0.01</v>
      </c>
      <c r="EE217" s="9" t="str">
        <f>_xll.SNL.Clients.Office.Excel.Functions.SPG(EB217, "SP_COUNTRY_NAME")</f>
        <v>USA</v>
      </c>
      <c r="EF217" t="s">
        <v>1269</v>
      </c>
      <c r="EG217">
        <v>4840599</v>
      </c>
      <c r="EH217" t="s">
        <v>364</v>
      </c>
      <c r="EI217" s="11">
        <v>0.01</v>
      </c>
      <c r="EJ217" s="9" t="str">
        <f>_xll.SNL.Clients.Office.Excel.Functions.SPG(EG217, "SP_COUNTRY_NAME")</f>
        <v>South Africa</v>
      </c>
      <c r="EO217" s="9" t="str">
        <f>_xll.SNL.Clients.Office.Excel.Functions.SPG(EL217, "SP_COUNTRY_NAME")</f>
        <v>#INVALID COMPANY ID</v>
      </c>
      <c r="ET217" s="9" t="str">
        <f>_xll.SNL.Clients.Office.Excel.Functions.SPG(EQ217, "SP_COUNTRY_NAME")</f>
        <v>#INVALID COMPANY ID</v>
      </c>
      <c r="EY217" s="9" t="str">
        <f>_xll.SNL.Clients.Office.Excel.Functions.SPG(EV217, "SP_COUNTRY_NAME")</f>
        <v>#INVALID COMPANY ID</v>
      </c>
      <c r="FD217" s="9" t="str">
        <f>_xll.SNL.Clients.Office.Excel.Functions.SPG(FA217, "SP_COUNTRY_NAME")</f>
        <v>#INVALID COMPANY ID</v>
      </c>
      <c r="FI217" s="9" t="str">
        <f>_xll.SNL.Clients.Office.Excel.Functions.SPG(FF217, "SP_COUNTRY_NAME")</f>
        <v>#INVALID COMPANY ID</v>
      </c>
      <c r="FN217" s="9" t="str">
        <f>_xll.SNL.Clients.Office.Excel.Functions.SPG(FK217, "SP_COUNTRY_NAME")</f>
        <v>#INVALID COMPANY ID</v>
      </c>
      <c r="FS217" s="9" t="str">
        <f>_xll.SNL.Clients.Office.Excel.Functions.SPG(FP217, "SP_COUNTRY_NAME")</f>
        <v>#INVALID COMPANY ID</v>
      </c>
      <c r="FX217" s="9" t="str">
        <f>_xll.SNL.Clients.Office.Excel.Functions.SPG(FU217, "SP_COUNTRY_NAME")</f>
        <v>#INVALID COMPANY ID</v>
      </c>
      <c r="FY217" t="s">
        <v>1269</v>
      </c>
      <c r="FZ217">
        <v>4840599</v>
      </c>
      <c r="GA217" t="s">
        <v>364</v>
      </c>
      <c r="GB217" s="11">
        <v>0.01</v>
      </c>
      <c r="GC217" s="9" t="str">
        <f>_xll.SNL.Clients.Office.Excel.Functions.SPG(FZ217, "SP_COUNTRY_NAME")</f>
        <v>South Africa</v>
      </c>
      <c r="GH217" s="9" t="str">
        <f>_xll.SNL.Clients.Office.Excel.Functions.SPG(GE217, "SP_COUNTRY_NAME")</f>
        <v>#INVALID COMPANY ID</v>
      </c>
      <c r="GM217" s="9" t="str">
        <f>_xll.SNL.Clients.Office.Excel.Functions.SPG(GJ217, "SP_COUNTRY_NAME")</f>
        <v>#INVALID COMPANY ID</v>
      </c>
      <c r="GR217" s="9" t="str">
        <f>_xll.SNL.Clients.Office.Excel.Functions.SPG(GO217, "SP_COUNTRY_NAME")</f>
        <v>#INVALID COMPANY ID</v>
      </c>
      <c r="GS217" t="s">
        <v>788</v>
      </c>
      <c r="GT217">
        <v>4592065</v>
      </c>
      <c r="GU217" t="s">
        <v>346</v>
      </c>
      <c r="GV217" s="11">
        <v>0</v>
      </c>
      <c r="GW217" s="9" t="str">
        <f>_xll.SNL.Clients.Office.Excel.Functions.SPG(GT217, "SP_COUNTRY_NAME")</f>
        <v>China</v>
      </c>
      <c r="GX217" t="s">
        <v>1700</v>
      </c>
      <c r="GY217">
        <v>4117795</v>
      </c>
      <c r="GZ217" t="s">
        <v>346</v>
      </c>
      <c r="HA217" s="11">
        <v>0.01</v>
      </c>
      <c r="HB217" s="9" t="str">
        <f>_xll.SNL.Clients.Office.Excel.Functions.SPG(GY217, "SP_COUNTRY_NAME")</f>
        <v>USA</v>
      </c>
      <c r="HG217" s="9" t="str">
        <f>_xll.SNL.Clients.Office.Excel.Functions.SPG(HD217, "SP_COUNTRY_NAME")</f>
        <v>#INVALID COMPANY ID</v>
      </c>
    </row>
    <row r="218" spans="5:215" x14ac:dyDescent="0.35">
      <c r="E218" s="9" t="str">
        <f>_xll.SNL.Clients.Office.Excel.Functions.SPG(B218, "SP_COUNTRY_NAME")</f>
        <v>#INVALID COMPANY ID</v>
      </c>
      <c r="F218" t="s">
        <v>602</v>
      </c>
      <c r="G218">
        <v>4378744</v>
      </c>
      <c r="H218" t="s">
        <v>346</v>
      </c>
      <c r="I218" s="11">
        <v>0</v>
      </c>
      <c r="J218" s="9" t="str">
        <f>_xll.SNL.Clients.Office.Excel.Functions.SPG(G218, "SP_COUNTRY_NAME")</f>
        <v>Poland</v>
      </c>
      <c r="O218" s="9" t="str">
        <f>_xll.SNL.Clients.Office.Excel.Functions.SPG(L218, "SP_COUNTRY_NAME")</f>
        <v>#INVALID COMPANY ID</v>
      </c>
      <c r="T218" s="9" t="str">
        <f>_xll.SNL.Clients.Office.Excel.Functions.SPG(Q218, "SP_COUNTRY_NAME")</f>
        <v>#INVALID COMPANY ID</v>
      </c>
      <c r="U218" t="s">
        <v>806</v>
      </c>
      <c r="V218">
        <v>4140536</v>
      </c>
      <c r="W218" t="s">
        <v>346</v>
      </c>
      <c r="X218" s="11">
        <v>0</v>
      </c>
      <c r="Y218" s="9" t="str">
        <f>_xll.SNL.Clients.Office.Excel.Functions.SPG(V218, "SP_COUNTRY_NAME")</f>
        <v>China</v>
      </c>
      <c r="AD218" s="9" t="str">
        <f>_xll.SNL.Clients.Office.Excel.Functions.SPG(AA218, "SP_COUNTRY_NAME")</f>
        <v>#INVALID COMPANY ID</v>
      </c>
      <c r="AE218" t="s">
        <v>1190</v>
      </c>
      <c r="AF218">
        <v>4135104</v>
      </c>
      <c r="AG218" t="s">
        <v>364</v>
      </c>
      <c r="AH218" s="11">
        <v>-0.76</v>
      </c>
      <c r="AI218" s="9" t="str">
        <f>_xll.SNL.Clients.Office.Excel.Functions.SPG(AF218, "SP_COUNTRY_NAME")</f>
        <v>United Kingdom</v>
      </c>
      <c r="AN218" s="9" t="str">
        <f>_xll.SNL.Clients.Office.Excel.Functions.SPG(AK218, "SP_COUNTRY_NAME")</f>
        <v>#INVALID COMPANY ID</v>
      </c>
      <c r="AO218" t="s">
        <v>480</v>
      </c>
      <c r="AP218">
        <v>4119651</v>
      </c>
      <c r="AQ218" t="s">
        <v>346</v>
      </c>
      <c r="AR218" s="11">
        <v>0</v>
      </c>
      <c r="AS218" s="9" t="str">
        <f>_xll.SNL.Clients.Office.Excel.Functions.SPG(AP218, "SP_COUNTRY_NAME")</f>
        <v>USA</v>
      </c>
      <c r="AX218" s="9" t="str">
        <f>_xll.SNL.Clients.Office.Excel.Functions.SPG(AU218, "SP_COUNTRY_NAME")</f>
        <v>#INVALID COMPANY ID</v>
      </c>
      <c r="BC218" s="9" t="str">
        <f>_xll.SNL.Clients.Office.Excel.Functions.SPG(AZ218, "SP_COUNTRY_NAME")</f>
        <v>#INVALID COMPANY ID</v>
      </c>
      <c r="BD218" t="s">
        <v>472</v>
      </c>
      <c r="BE218">
        <v>4048215</v>
      </c>
      <c r="BF218" t="s">
        <v>346</v>
      </c>
      <c r="BG218" s="11">
        <v>0.01</v>
      </c>
      <c r="BH218" s="9" t="str">
        <f>_xll.SNL.Clients.Office.Excel.Functions.SPG(BE218, "SP_COUNTRY_NAME")</f>
        <v>USA</v>
      </c>
      <c r="BI218" t="s">
        <v>631</v>
      </c>
      <c r="BJ218">
        <v>112247511</v>
      </c>
      <c r="BK218" t="s">
        <v>346</v>
      </c>
      <c r="BL218" s="11">
        <v>0</v>
      </c>
      <c r="BM218" s="9" t="str">
        <f>_xll.SNL.Clients.Office.Excel.Functions.SPG(BJ218, "SP_COUNTRY_NAME")</f>
        <v>USA</v>
      </c>
      <c r="BN218" t="s">
        <v>480</v>
      </c>
      <c r="BO218">
        <v>4119651</v>
      </c>
      <c r="BP218" t="s">
        <v>346</v>
      </c>
      <c r="BQ218" s="11">
        <v>0</v>
      </c>
      <c r="BR218" s="9" t="str">
        <f>_xll.SNL.Clients.Office.Excel.Functions.SPG(BO218, "SP_COUNTRY_NAME")</f>
        <v>USA</v>
      </c>
      <c r="BS218" t="s">
        <v>992</v>
      </c>
      <c r="BT218">
        <v>4346066</v>
      </c>
      <c r="BU218" t="s">
        <v>346</v>
      </c>
      <c r="BV218" s="11">
        <v>0.01</v>
      </c>
      <c r="BW218" s="9" t="str">
        <f>_xll.SNL.Clients.Office.Excel.Functions.SPG(BT218, "SP_COUNTRY_NAME")</f>
        <v>Malaysia</v>
      </c>
      <c r="BX218" t="s">
        <v>806</v>
      </c>
      <c r="BY218">
        <v>4140536</v>
      </c>
      <c r="BZ218" t="s">
        <v>346</v>
      </c>
      <c r="CA218" s="11">
        <v>0</v>
      </c>
      <c r="CB218" s="9" t="str">
        <f>_xll.SNL.Clients.Office.Excel.Functions.SPG(BY218, "SP_COUNTRY_NAME")</f>
        <v>China</v>
      </c>
      <c r="CC218" t="s">
        <v>1701</v>
      </c>
      <c r="CD218">
        <v>19110619</v>
      </c>
      <c r="CE218" t="s">
        <v>346</v>
      </c>
      <c r="CF218" s="11">
        <v>0.01</v>
      </c>
      <c r="CG218" s="9" t="str">
        <f>_xll.SNL.Clients.Office.Excel.Functions.SPG(CD218, "SP_COUNTRY_NAME")</f>
        <v>USA</v>
      </c>
      <c r="CH218" t="s">
        <v>480</v>
      </c>
      <c r="CI218">
        <v>4119651</v>
      </c>
      <c r="CJ218" t="s">
        <v>346</v>
      </c>
      <c r="CK218" s="11">
        <v>0</v>
      </c>
      <c r="CL218" s="9" t="str">
        <f>_xll.SNL.Clients.Office.Excel.Functions.SPG(CI218, "SP_COUNTRY_NAME")</f>
        <v>USA</v>
      </c>
      <c r="CM218" t="s">
        <v>1422</v>
      </c>
      <c r="CN218">
        <v>100519</v>
      </c>
      <c r="CO218" t="s">
        <v>346</v>
      </c>
      <c r="CP218" s="11">
        <v>0.01</v>
      </c>
      <c r="CQ218" s="9" t="str">
        <f>_xll.SNL.Clients.Office.Excel.Functions.SPG(CN218, "SP_COUNTRY_NAME")</f>
        <v>Canada</v>
      </c>
      <c r="CV218" s="9" t="str">
        <f>_xll.SNL.Clients.Office.Excel.Functions.SPG(CS218, "SP_COUNTRY_NAME")</f>
        <v>#INVALID COMPANY ID</v>
      </c>
      <c r="DA218" s="9" t="str">
        <f>_xll.SNL.Clients.Office.Excel.Functions.SPG(CX218, "SP_COUNTRY_NAME")</f>
        <v>#INVALID COMPANY ID</v>
      </c>
      <c r="DB218" t="s">
        <v>472</v>
      </c>
      <c r="DC218">
        <v>4048215</v>
      </c>
      <c r="DD218" t="s">
        <v>346</v>
      </c>
      <c r="DE218" s="11">
        <v>0.01</v>
      </c>
      <c r="DF218" s="9" t="str">
        <f>_xll.SNL.Clients.Office.Excel.Functions.SPG(DC218, "SP_COUNTRY_NAME")</f>
        <v>USA</v>
      </c>
      <c r="DK218" s="9" t="str">
        <f>_xll.SNL.Clients.Office.Excel.Functions.SPG(DH218, "SP_COUNTRY_NAME")</f>
        <v>#INVALID COMPANY ID</v>
      </c>
      <c r="DL218" t="s">
        <v>472</v>
      </c>
      <c r="DM218">
        <v>4048215</v>
      </c>
      <c r="DN218" t="s">
        <v>346</v>
      </c>
      <c r="DO218" s="11">
        <v>0.01</v>
      </c>
      <c r="DP218" s="9" t="str">
        <f>_xll.SNL.Clients.Office.Excel.Functions.SPG(DM218, "SP_COUNTRY_NAME")</f>
        <v>USA</v>
      </c>
      <c r="DU218" s="9" t="str">
        <f>_xll.SNL.Clients.Office.Excel.Functions.SPG(DR218, "SP_COUNTRY_NAME")</f>
        <v>#INVALID COMPANY ID</v>
      </c>
      <c r="DZ218" s="9" t="str">
        <f>_xll.SNL.Clients.Office.Excel.Functions.SPG(DW218, "SP_COUNTRY_NAME")</f>
        <v>#INVALID COMPANY ID</v>
      </c>
      <c r="EA218" t="s">
        <v>1701</v>
      </c>
      <c r="EB218">
        <v>19110619</v>
      </c>
      <c r="EC218" t="s">
        <v>346</v>
      </c>
      <c r="ED218" s="11">
        <v>0.01</v>
      </c>
      <c r="EE218" s="9" t="str">
        <f>_xll.SNL.Clients.Office.Excel.Functions.SPG(EB218, "SP_COUNTRY_NAME")</f>
        <v>USA</v>
      </c>
      <c r="EF218" t="s">
        <v>472</v>
      </c>
      <c r="EG218">
        <v>4048215</v>
      </c>
      <c r="EH218" t="s">
        <v>346</v>
      </c>
      <c r="EI218" s="11">
        <v>0.01</v>
      </c>
      <c r="EJ218" s="9" t="str">
        <f>_xll.SNL.Clients.Office.Excel.Functions.SPG(EG218, "SP_COUNTRY_NAME")</f>
        <v>USA</v>
      </c>
      <c r="EO218" s="9" t="str">
        <f>_xll.SNL.Clients.Office.Excel.Functions.SPG(EL218, "SP_COUNTRY_NAME")</f>
        <v>#INVALID COMPANY ID</v>
      </c>
      <c r="ET218" s="9" t="str">
        <f>_xll.SNL.Clients.Office.Excel.Functions.SPG(EQ218, "SP_COUNTRY_NAME")</f>
        <v>#INVALID COMPANY ID</v>
      </c>
      <c r="EY218" s="9" t="str">
        <f>_xll.SNL.Clients.Office.Excel.Functions.SPG(EV218, "SP_COUNTRY_NAME")</f>
        <v>#INVALID COMPANY ID</v>
      </c>
      <c r="FD218" s="9" t="str">
        <f>_xll.SNL.Clients.Office.Excel.Functions.SPG(FA218, "SP_COUNTRY_NAME")</f>
        <v>#INVALID COMPANY ID</v>
      </c>
      <c r="FI218" s="9" t="str">
        <f>_xll.SNL.Clients.Office.Excel.Functions.SPG(FF218, "SP_COUNTRY_NAME")</f>
        <v>#INVALID COMPANY ID</v>
      </c>
      <c r="FN218" s="9" t="str">
        <f>_xll.SNL.Clients.Office.Excel.Functions.SPG(FK218, "SP_COUNTRY_NAME")</f>
        <v>#INVALID COMPANY ID</v>
      </c>
      <c r="FS218" s="9" t="str">
        <f>_xll.SNL.Clients.Office.Excel.Functions.SPG(FP218, "SP_COUNTRY_NAME")</f>
        <v>#INVALID COMPANY ID</v>
      </c>
      <c r="FX218" s="9" t="str">
        <f>_xll.SNL.Clients.Office.Excel.Functions.SPG(FU218, "SP_COUNTRY_NAME")</f>
        <v>#INVALID COMPANY ID</v>
      </c>
      <c r="FY218" t="s">
        <v>472</v>
      </c>
      <c r="FZ218">
        <v>4048215</v>
      </c>
      <c r="GA218" t="s">
        <v>346</v>
      </c>
      <c r="GB218" s="11">
        <v>0.01</v>
      </c>
      <c r="GC218" s="9" t="str">
        <f>_xll.SNL.Clients.Office.Excel.Functions.SPG(FZ218, "SP_COUNTRY_NAME")</f>
        <v>USA</v>
      </c>
      <c r="GH218" s="9" t="str">
        <f>_xll.SNL.Clients.Office.Excel.Functions.SPG(GE218, "SP_COUNTRY_NAME")</f>
        <v>#INVALID COMPANY ID</v>
      </c>
      <c r="GM218" s="9" t="str">
        <f>_xll.SNL.Clients.Office.Excel.Functions.SPG(GJ218, "SP_COUNTRY_NAME")</f>
        <v>#INVALID COMPANY ID</v>
      </c>
      <c r="GR218" s="9" t="str">
        <f>_xll.SNL.Clients.Office.Excel.Functions.SPG(GO218, "SP_COUNTRY_NAME")</f>
        <v>#INVALID COMPANY ID</v>
      </c>
      <c r="GS218" t="s">
        <v>480</v>
      </c>
      <c r="GT218">
        <v>4119651</v>
      </c>
      <c r="GU218" t="s">
        <v>346</v>
      </c>
      <c r="GV218" s="11">
        <v>0</v>
      </c>
      <c r="GW218" s="9" t="str">
        <f>_xll.SNL.Clients.Office.Excel.Functions.SPG(GT218, "SP_COUNTRY_NAME")</f>
        <v>USA</v>
      </c>
      <c r="GX218" t="s">
        <v>1701</v>
      </c>
      <c r="GY218">
        <v>19110619</v>
      </c>
      <c r="GZ218" t="s">
        <v>346</v>
      </c>
      <c r="HA218" s="11">
        <v>0.01</v>
      </c>
      <c r="HB218" s="9" t="str">
        <f>_xll.SNL.Clients.Office.Excel.Functions.SPG(GY218, "SP_COUNTRY_NAME")</f>
        <v>USA</v>
      </c>
      <c r="HG218" s="9" t="str">
        <f>_xll.SNL.Clients.Office.Excel.Functions.SPG(HD218, "SP_COUNTRY_NAME")</f>
        <v>#INVALID COMPANY ID</v>
      </c>
    </row>
    <row r="219" spans="5:215" x14ac:dyDescent="0.35">
      <c r="E219" s="9" t="str">
        <f>_xll.SNL.Clients.Office.Excel.Functions.SPG(B219, "SP_COUNTRY_NAME")</f>
        <v>#INVALID COMPANY ID</v>
      </c>
      <c r="F219" t="s">
        <v>603</v>
      </c>
      <c r="G219">
        <v>110641</v>
      </c>
      <c r="H219" t="s">
        <v>346</v>
      </c>
      <c r="I219" s="11">
        <v>0</v>
      </c>
      <c r="J219" s="9" t="str">
        <f>_xll.SNL.Clients.Office.Excel.Functions.SPG(G219, "SP_COUNTRY_NAME")</f>
        <v>USA</v>
      </c>
      <c r="O219" s="9" t="str">
        <f>_xll.SNL.Clients.Office.Excel.Functions.SPG(L219, "SP_COUNTRY_NAME")</f>
        <v>#INVALID COMPANY ID</v>
      </c>
      <c r="T219" s="9" t="str">
        <f>_xll.SNL.Clients.Office.Excel.Functions.SPG(Q219, "SP_COUNTRY_NAME")</f>
        <v>#INVALID COMPANY ID</v>
      </c>
      <c r="U219" t="s">
        <v>532</v>
      </c>
      <c r="V219">
        <v>4225018</v>
      </c>
      <c r="W219" t="s">
        <v>346</v>
      </c>
      <c r="X219" s="11">
        <v>0</v>
      </c>
      <c r="Y219" s="9" t="str">
        <f>_xll.SNL.Clients.Office.Excel.Functions.SPG(V219, "SP_COUNTRY_NAME")</f>
        <v>Taiwan</v>
      </c>
      <c r="AD219" s="9" t="str">
        <f>_xll.SNL.Clients.Office.Excel.Functions.SPG(AA219, "SP_COUNTRY_NAME")</f>
        <v>#INVALID COMPANY ID</v>
      </c>
      <c r="AI219" s="9" t="str">
        <f>_xll.SNL.Clients.Office.Excel.Functions.SPG(AF219, "SP_COUNTRY_NAME")</f>
        <v>#INVALID COMPANY ID</v>
      </c>
      <c r="AN219" s="9" t="str">
        <f>_xll.SNL.Clients.Office.Excel.Functions.SPG(AK219, "SP_COUNTRY_NAME")</f>
        <v>#INVALID COMPANY ID</v>
      </c>
      <c r="AO219" t="s">
        <v>1349</v>
      </c>
      <c r="AP219">
        <v>4428399</v>
      </c>
      <c r="AQ219" t="s">
        <v>346</v>
      </c>
      <c r="AR219" s="11">
        <v>0</v>
      </c>
      <c r="AS219" s="9" t="str">
        <f>_xll.SNL.Clients.Office.Excel.Functions.SPG(AP219, "SP_COUNTRY_NAME")</f>
        <v>South Africa</v>
      </c>
      <c r="AX219" s="9" t="str">
        <f>_xll.SNL.Clients.Office.Excel.Functions.SPG(AU219, "SP_COUNTRY_NAME")</f>
        <v>#INVALID COMPANY ID</v>
      </c>
      <c r="BC219" s="9" t="str">
        <f>_xll.SNL.Clients.Office.Excel.Functions.SPG(AZ219, "SP_COUNTRY_NAME")</f>
        <v>#INVALID COMPANY ID</v>
      </c>
      <c r="BD219" t="s">
        <v>423</v>
      </c>
      <c r="BE219">
        <v>4318240</v>
      </c>
      <c r="BF219" t="s">
        <v>346</v>
      </c>
      <c r="BG219" s="11">
        <v>0.01</v>
      </c>
      <c r="BH219" s="9" t="str">
        <f>_xll.SNL.Clients.Office.Excel.Functions.SPG(BE219, "SP_COUNTRY_NAME")</f>
        <v>Japan</v>
      </c>
      <c r="BI219" t="s">
        <v>485</v>
      </c>
      <c r="BJ219">
        <v>5652844</v>
      </c>
      <c r="BK219" t="s">
        <v>346</v>
      </c>
      <c r="BL219" s="11">
        <v>0</v>
      </c>
      <c r="BM219" s="9" t="str">
        <f>_xll.SNL.Clients.Office.Excel.Functions.SPG(BJ219, "SP_COUNTRY_NAME")</f>
        <v>Japan</v>
      </c>
      <c r="BN219" t="s">
        <v>522</v>
      </c>
      <c r="BO219">
        <v>4118373</v>
      </c>
      <c r="BP219" t="s">
        <v>346</v>
      </c>
      <c r="BQ219" s="11">
        <v>0</v>
      </c>
      <c r="BR219" s="9" t="str">
        <f>_xll.SNL.Clients.Office.Excel.Functions.SPG(BO219, "SP_COUNTRY_NAME")</f>
        <v>USA</v>
      </c>
      <c r="BS219" t="s">
        <v>832</v>
      </c>
      <c r="BT219">
        <v>15135223</v>
      </c>
      <c r="BU219" t="s">
        <v>346</v>
      </c>
      <c r="BV219" s="11">
        <v>0.01</v>
      </c>
      <c r="BW219" s="9" t="str">
        <f>_xll.SNL.Clients.Office.Excel.Functions.SPG(BT219, "SP_COUNTRY_NAME")</f>
        <v>China</v>
      </c>
      <c r="BX219" t="s">
        <v>532</v>
      </c>
      <c r="BY219">
        <v>4225018</v>
      </c>
      <c r="BZ219" t="s">
        <v>346</v>
      </c>
      <c r="CA219" s="11">
        <v>0</v>
      </c>
      <c r="CB219" s="9" t="str">
        <f>_xll.SNL.Clients.Office.Excel.Functions.SPG(BY219, "SP_COUNTRY_NAME")</f>
        <v>Taiwan</v>
      </c>
      <c r="CC219" t="s">
        <v>1702</v>
      </c>
      <c r="CD219">
        <v>4326048</v>
      </c>
      <c r="CE219" t="s">
        <v>364</v>
      </c>
      <c r="CF219" s="11">
        <v>0.01</v>
      </c>
      <c r="CG219" s="9" t="str">
        <f>_xll.SNL.Clients.Office.Excel.Functions.SPG(CD219, "SP_COUNTRY_NAME")</f>
        <v>USA</v>
      </c>
      <c r="CH219" t="s">
        <v>1349</v>
      </c>
      <c r="CI219">
        <v>4428399</v>
      </c>
      <c r="CJ219" t="s">
        <v>346</v>
      </c>
      <c r="CK219" s="11">
        <v>0</v>
      </c>
      <c r="CL219" s="9" t="str">
        <f>_xll.SNL.Clients.Office.Excel.Functions.SPG(CI219, "SP_COUNTRY_NAME")</f>
        <v>South Africa</v>
      </c>
      <c r="CM219" t="s">
        <v>1996</v>
      </c>
      <c r="CN219">
        <v>4119592</v>
      </c>
      <c r="CO219" t="s">
        <v>346</v>
      </c>
      <c r="CP219" s="11">
        <v>0.01</v>
      </c>
      <c r="CQ219" s="9" t="str">
        <f>_xll.SNL.Clients.Office.Excel.Functions.SPG(CN219, "SP_COUNTRY_NAME")</f>
        <v>USA</v>
      </c>
      <c r="CV219" s="9" t="str">
        <f>_xll.SNL.Clients.Office.Excel.Functions.SPG(CS219, "SP_COUNTRY_NAME")</f>
        <v>#INVALID COMPANY ID</v>
      </c>
      <c r="DA219" s="9" t="str">
        <f>_xll.SNL.Clients.Office.Excel.Functions.SPG(CX219, "SP_COUNTRY_NAME")</f>
        <v>#INVALID COMPANY ID</v>
      </c>
      <c r="DB219" t="s">
        <v>423</v>
      </c>
      <c r="DC219">
        <v>4318240</v>
      </c>
      <c r="DD219" t="s">
        <v>346</v>
      </c>
      <c r="DE219" s="11">
        <v>0.01</v>
      </c>
      <c r="DF219" s="9" t="str">
        <f>_xll.SNL.Clients.Office.Excel.Functions.SPG(DC219, "SP_COUNTRY_NAME")</f>
        <v>Japan</v>
      </c>
      <c r="DK219" s="9" t="str">
        <f>_xll.SNL.Clients.Office.Excel.Functions.SPG(DH219, "SP_COUNTRY_NAME")</f>
        <v>#INVALID COMPANY ID</v>
      </c>
      <c r="DL219" t="s">
        <v>423</v>
      </c>
      <c r="DM219">
        <v>4318240</v>
      </c>
      <c r="DN219" t="s">
        <v>346</v>
      </c>
      <c r="DO219" s="11">
        <v>0.01</v>
      </c>
      <c r="DP219" s="9" t="str">
        <f>_xll.SNL.Clients.Office.Excel.Functions.SPG(DM219, "SP_COUNTRY_NAME")</f>
        <v>Japan</v>
      </c>
      <c r="DU219" s="9" t="str">
        <f>_xll.SNL.Clients.Office.Excel.Functions.SPG(DR219, "SP_COUNTRY_NAME")</f>
        <v>#INVALID COMPANY ID</v>
      </c>
      <c r="DZ219" s="9" t="str">
        <f>_xll.SNL.Clients.Office.Excel.Functions.SPG(DW219, "SP_COUNTRY_NAME")</f>
        <v>#INVALID COMPANY ID</v>
      </c>
      <c r="EA219" t="s">
        <v>1702</v>
      </c>
      <c r="EB219">
        <v>4326048</v>
      </c>
      <c r="EC219" t="s">
        <v>364</v>
      </c>
      <c r="ED219" s="11">
        <v>0.01</v>
      </c>
      <c r="EE219" s="9" t="str">
        <f>_xll.SNL.Clients.Office.Excel.Functions.SPG(EB219, "SP_COUNTRY_NAME")</f>
        <v>USA</v>
      </c>
      <c r="EF219" t="s">
        <v>423</v>
      </c>
      <c r="EG219">
        <v>4318240</v>
      </c>
      <c r="EH219" t="s">
        <v>346</v>
      </c>
      <c r="EI219" s="11">
        <v>0.01</v>
      </c>
      <c r="EJ219" s="9" t="str">
        <f>_xll.SNL.Clients.Office.Excel.Functions.SPG(EG219, "SP_COUNTRY_NAME")</f>
        <v>Japan</v>
      </c>
      <c r="EO219" s="9" t="str">
        <f>_xll.SNL.Clients.Office.Excel.Functions.SPG(EL219, "SP_COUNTRY_NAME")</f>
        <v>#INVALID COMPANY ID</v>
      </c>
      <c r="ET219" s="9" t="str">
        <f>_xll.SNL.Clients.Office.Excel.Functions.SPG(EQ219, "SP_COUNTRY_NAME")</f>
        <v>#INVALID COMPANY ID</v>
      </c>
      <c r="EY219" s="9" t="str">
        <f>_xll.SNL.Clients.Office.Excel.Functions.SPG(EV219, "SP_COUNTRY_NAME")</f>
        <v>#INVALID COMPANY ID</v>
      </c>
      <c r="FD219" s="9" t="str">
        <f>_xll.SNL.Clients.Office.Excel.Functions.SPG(FA219, "SP_COUNTRY_NAME")</f>
        <v>#INVALID COMPANY ID</v>
      </c>
      <c r="FI219" s="9" t="str">
        <f>_xll.SNL.Clients.Office.Excel.Functions.SPG(FF219, "SP_COUNTRY_NAME")</f>
        <v>#INVALID COMPANY ID</v>
      </c>
      <c r="FN219" s="9" t="str">
        <f>_xll.SNL.Clients.Office.Excel.Functions.SPG(FK219, "SP_COUNTRY_NAME")</f>
        <v>#INVALID COMPANY ID</v>
      </c>
      <c r="FS219" s="9" t="str">
        <f>_xll.SNL.Clients.Office.Excel.Functions.SPG(FP219, "SP_COUNTRY_NAME")</f>
        <v>#INVALID COMPANY ID</v>
      </c>
      <c r="FX219" s="9" t="str">
        <f>_xll.SNL.Clients.Office.Excel.Functions.SPG(FU219, "SP_COUNTRY_NAME")</f>
        <v>#INVALID COMPANY ID</v>
      </c>
      <c r="FY219" t="s">
        <v>423</v>
      </c>
      <c r="FZ219">
        <v>4318240</v>
      </c>
      <c r="GA219" t="s">
        <v>346</v>
      </c>
      <c r="GB219" s="11">
        <v>0.01</v>
      </c>
      <c r="GC219" s="9" t="str">
        <f>_xll.SNL.Clients.Office.Excel.Functions.SPG(FZ219, "SP_COUNTRY_NAME")</f>
        <v>Japan</v>
      </c>
      <c r="GH219" s="9" t="str">
        <f>_xll.SNL.Clients.Office.Excel.Functions.SPG(GE219, "SP_COUNTRY_NAME")</f>
        <v>#INVALID COMPANY ID</v>
      </c>
      <c r="GM219" s="9" t="str">
        <f>_xll.SNL.Clients.Office.Excel.Functions.SPG(GJ219, "SP_COUNTRY_NAME")</f>
        <v>#INVALID COMPANY ID</v>
      </c>
      <c r="GR219" s="9" t="str">
        <f>_xll.SNL.Clients.Office.Excel.Functions.SPG(GO219, "SP_COUNTRY_NAME")</f>
        <v>#INVALID COMPANY ID</v>
      </c>
      <c r="GS219" t="s">
        <v>522</v>
      </c>
      <c r="GT219">
        <v>4118373</v>
      </c>
      <c r="GU219" t="s">
        <v>346</v>
      </c>
      <c r="GV219" s="11">
        <v>0</v>
      </c>
      <c r="GW219" s="9" t="str">
        <f>_xll.SNL.Clients.Office.Excel.Functions.SPG(GT219, "SP_COUNTRY_NAME")</f>
        <v>USA</v>
      </c>
      <c r="GX219" t="s">
        <v>1702</v>
      </c>
      <c r="GY219">
        <v>4326048</v>
      </c>
      <c r="GZ219" t="s">
        <v>364</v>
      </c>
      <c r="HA219" s="11">
        <v>0.01</v>
      </c>
      <c r="HB219" s="9" t="str">
        <f>_xll.SNL.Clients.Office.Excel.Functions.SPG(GY219, "SP_COUNTRY_NAME")</f>
        <v>USA</v>
      </c>
      <c r="HG219" s="9" t="str">
        <f>_xll.SNL.Clients.Office.Excel.Functions.SPG(HD219, "SP_COUNTRY_NAME")</f>
        <v>#INVALID COMPANY ID</v>
      </c>
    </row>
    <row r="220" spans="5:215" x14ac:dyDescent="0.35">
      <c r="E220" s="9" t="str">
        <f>_xll.SNL.Clients.Office.Excel.Functions.SPG(B220, "SP_COUNTRY_NAME")</f>
        <v>#INVALID COMPANY ID</v>
      </c>
      <c r="F220" t="s">
        <v>604</v>
      </c>
      <c r="G220">
        <v>4216438</v>
      </c>
      <c r="H220" t="s">
        <v>346</v>
      </c>
      <c r="I220" s="11">
        <v>0</v>
      </c>
      <c r="J220" s="9" t="str">
        <f>_xll.SNL.Clients.Office.Excel.Functions.SPG(G220, "SP_COUNTRY_NAME")</f>
        <v>Taiwan</v>
      </c>
      <c r="O220" s="9" t="str">
        <f>_xll.SNL.Clients.Office.Excel.Functions.SPG(L220, "SP_COUNTRY_NAME")</f>
        <v>#INVALID COMPANY ID</v>
      </c>
      <c r="T220" s="9" t="str">
        <f>_xll.SNL.Clients.Office.Excel.Functions.SPG(Q220, "SP_COUNTRY_NAME")</f>
        <v>#INVALID COMPANY ID</v>
      </c>
      <c r="U220" t="s">
        <v>449</v>
      </c>
      <c r="V220">
        <v>4093616</v>
      </c>
      <c r="W220" t="s">
        <v>346</v>
      </c>
      <c r="X220" s="11">
        <v>0</v>
      </c>
      <c r="Y220" s="9" t="str">
        <f>_xll.SNL.Clients.Office.Excel.Functions.SPG(V220, "SP_COUNTRY_NAME")</f>
        <v>Canada</v>
      </c>
      <c r="AD220" s="9" t="str">
        <f>_xll.SNL.Clients.Office.Excel.Functions.SPG(AA220, "SP_COUNTRY_NAME")</f>
        <v>#INVALID COMPANY ID</v>
      </c>
      <c r="AI220" s="9" t="str">
        <f>_xll.SNL.Clients.Office.Excel.Functions.SPG(AF220, "SP_COUNTRY_NAME")</f>
        <v>#INVALID COMPANY ID</v>
      </c>
      <c r="AN220" s="9" t="str">
        <f>_xll.SNL.Clients.Office.Excel.Functions.SPG(AK220, "SP_COUNTRY_NAME")</f>
        <v>#INVALID COMPANY ID</v>
      </c>
      <c r="AO220" t="s">
        <v>1350</v>
      </c>
      <c r="AP220">
        <v>4029888</v>
      </c>
      <c r="AQ220" t="s">
        <v>346</v>
      </c>
      <c r="AR220" s="11">
        <v>0</v>
      </c>
      <c r="AS220" s="9" t="str">
        <f>_xll.SNL.Clients.Office.Excel.Functions.SPG(AP220, "SP_COUNTRY_NAME")</f>
        <v>USA</v>
      </c>
      <c r="AX220" s="9" t="str">
        <f>_xll.SNL.Clients.Office.Excel.Functions.SPG(AU220, "SP_COUNTRY_NAME")</f>
        <v>#INVALID COMPANY ID</v>
      </c>
      <c r="BC220" s="9" t="str">
        <f>_xll.SNL.Clients.Office.Excel.Functions.SPG(AZ220, "SP_COUNTRY_NAME")</f>
        <v>#INVALID COMPANY ID</v>
      </c>
      <c r="BD220" t="s">
        <v>558</v>
      </c>
      <c r="BE220">
        <v>109844</v>
      </c>
      <c r="BF220" t="s">
        <v>346</v>
      </c>
      <c r="BG220" s="11">
        <v>0.01</v>
      </c>
      <c r="BH220" s="9" t="str">
        <f>_xll.SNL.Clients.Office.Excel.Functions.SPG(BE220, "SP_COUNTRY_NAME")</f>
        <v>USA</v>
      </c>
      <c r="BI220" t="s">
        <v>625</v>
      </c>
      <c r="BJ220">
        <v>111206</v>
      </c>
      <c r="BK220" t="s">
        <v>346</v>
      </c>
      <c r="BL220" s="11">
        <v>0</v>
      </c>
      <c r="BM220" s="9" t="str">
        <f>_xll.SNL.Clients.Office.Excel.Functions.SPG(BJ220, "SP_COUNTRY_NAME")</f>
        <v>USA</v>
      </c>
      <c r="BN220" t="s">
        <v>507</v>
      </c>
      <c r="BO220">
        <v>4150758</v>
      </c>
      <c r="BP220" t="s">
        <v>366</v>
      </c>
      <c r="BQ220" s="11">
        <v>0</v>
      </c>
      <c r="BR220" s="9" t="str">
        <f>_xll.SNL.Clients.Office.Excel.Functions.SPG(BO220, "SP_COUNTRY_NAME")</f>
        <v>Switzerland</v>
      </c>
      <c r="BS220" t="s">
        <v>428</v>
      </c>
      <c r="BT220">
        <v>4116134</v>
      </c>
      <c r="BU220" t="s">
        <v>346</v>
      </c>
      <c r="BV220" s="11">
        <v>0.01</v>
      </c>
      <c r="BW220" s="9" t="str">
        <f>_xll.SNL.Clients.Office.Excel.Functions.SPG(BT220, "SP_COUNTRY_NAME")</f>
        <v>Japan</v>
      </c>
      <c r="BX220" t="s">
        <v>449</v>
      </c>
      <c r="BY220">
        <v>4093616</v>
      </c>
      <c r="BZ220" t="s">
        <v>346</v>
      </c>
      <c r="CA220" s="11">
        <v>0</v>
      </c>
      <c r="CB220" s="9" t="str">
        <f>_xll.SNL.Clients.Office.Excel.Functions.SPG(BY220, "SP_COUNTRY_NAME")</f>
        <v>Canada</v>
      </c>
      <c r="CC220" t="s">
        <v>1703</v>
      </c>
      <c r="CD220">
        <v>6733987</v>
      </c>
      <c r="CE220" t="s">
        <v>346</v>
      </c>
      <c r="CF220" s="11">
        <v>0.01</v>
      </c>
      <c r="CG220" s="9" t="str">
        <f>_xll.SNL.Clients.Office.Excel.Functions.SPG(CD220, "SP_COUNTRY_NAME")</f>
        <v>Brazil</v>
      </c>
      <c r="CH220" t="s">
        <v>1350</v>
      </c>
      <c r="CI220">
        <v>4029888</v>
      </c>
      <c r="CJ220" t="s">
        <v>346</v>
      </c>
      <c r="CK220" s="11">
        <v>0</v>
      </c>
      <c r="CL220" s="9" t="str">
        <f>_xll.SNL.Clients.Office.Excel.Functions.SPG(CI220, "SP_COUNTRY_NAME")</f>
        <v>USA</v>
      </c>
      <c r="CM220" t="s">
        <v>1997</v>
      </c>
      <c r="CN220">
        <v>133140347</v>
      </c>
      <c r="CO220" t="s">
        <v>346</v>
      </c>
      <c r="CP220" s="11">
        <v>0.01</v>
      </c>
      <c r="CQ220" s="9" t="str">
        <f>_xll.SNL.Clients.Office.Excel.Functions.SPG(CN220, "SP_COUNTRY_NAME")</f>
        <v>USA</v>
      </c>
      <c r="CV220" s="9" t="str">
        <f>_xll.SNL.Clients.Office.Excel.Functions.SPG(CS220, "SP_COUNTRY_NAME")</f>
        <v>#INVALID COMPANY ID</v>
      </c>
      <c r="DA220" s="9" t="str">
        <f>_xll.SNL.Clients.Office.Excel.Functions.SPG(CX220, "SP_COUNTRY_NAME")</f>
        <v>#INVALID COMPANY ID</v>
      </c>
      <c r="DB220" t="s">
        <v>558</v>
      </c>
      <c r="DC220">
        <v>109844</v>
      </c>
      <c r="DD220" t="s">
        <v>346</v>
      </c>
      <c r="DE220" s="11">
        <v>0.01</v>
      </c>
      <c r="DF220" s="9" t="str">
        <f>_xll.SNL.Clients.Office.Excel.Functions.SPG(DC220, "SP_COUNTRY_NAME")</f>
        <v>USA</v>
      </c>
      <c r="DK220" s="9" t="str">
        <f>_xll.SNL.Clients.Office.Excel.Functions.SPG(DH220, "SP_COUNTRY_NAME")</f>
        <v>#INVALID COMPANY ID</v>
      </c>
      <c r="DL220" t="s">
        <v>558</v>
      </c>
      <c r="DM220">
        <v>109844</v>
      </c>
      <c r="DN220" t="s">
        <v>346</v>
      </c>
      <c r="DO220" s="11">
        <v>0.01</v>
      </c>
      <c r="DP220" s="9" t="str">
        <f>_xll.SNL.Clients.Office.Excel.Functions.SPG(DM220, "SP_COUNTRY_NAME")</f>
        <v>USA</v>
      </c>
      <c r="DU220" s="9" t="str">
        <f>_xll.SNL.Clients.Office.Excel.Functions.SPG(DR220, "SP_COUNTRY_NAME")</f>
        <v>#INVALID COMPANY ID</v>
      </c>
      <c r="DZ220" s="9" t="str">
        <f>_xll.SNL.Clients.Office.Excel.Functions.SPG(DW220, "SP_COUNTRY_NAME")</f>
        <v>#INVALID COMPANY ID</v>
      </c>
      <c r="EA220" t="s">
        <v>1703</v>
      </c>
      <c r="EB220">
        <v>6733987</v>
      </c>
      <c r="EC220" t="s">
        <v>346</v>
      </c>
      <c r="ED220" s="11">
        <v>0.01</v>
      </c>
      <c r="EE220" s="9" t="str">
        <f>_xll.SNL.Clients.Office.Excel.Functions.SPG(EB220, "SP_COUNTRY_NAME")</f>
        <v>Brazil</v>
      </c>
      <c r="EF220" t="s">
        <v>558</v>
      </c>
      <c r="EG220">
        <v>109844</v>
      </c>
      <c r="EH220" t="s">
        <v>346</v>
      </c>
      <c r="EI220" s="11">
        <v>0.01</v>
      </c>
      <c r="EJ220" s="9" t="str">
        <f>_xll.SNL.Clients.Office.Excel.Functions.SPG(EG220, "SP_COUNTRY_NAME")</f>
        <v>USA</v>
      </c>
      <c r="EO220" s="9" t="str">
        <f>_xll.SNL.Clients.Office.Excel.Functions.SPG(EL220, "SP_COUNTRY_NAME")</f>
        <v>#INVALID COMPANY ID</v>
      </c>
      <c r="ET220" s="9" t="str">
        <f>_xll.SNL.Clients.Office.Excel.Functions.SPG(EQ220, "SP_COUNTRY_NAME")</f>
        <v>#INVALID COMPANY ID</v>
      </c>
      <c r="EY220" s="9" t="str">
        <f>_xll.SNL.Clients.Office.Excel.Functions.SPG(EV220, "SP_COUNTRY_NAME")</f>
        <v>#INVALID COMPANY ID</v>
      </c>
      <c r="FD220" s="9" t="str">
        <f>_xll.SNL.Clients.Office.Excel.Functions.SPG(FA220, "SP_COUNTRY_NAME")</f>
        <v>#INVALID COMPANY ID</v>
      </c>
      <c r="FI220" s="9" t="str">
        <f>_xll.SNL.Clients.Office.Excel.Functions.SPG(FF220, "SP_COUNTRY_NAME")</f>
        <v>#INVALID COMPANY ID</v>
      </c>
      <c r="FN220" s="9" t="str">
        <f>_xll.SNL.Clients.Office.Excel.Functions.SPG(FK220, "SP_COUNTRY_NAME")</f>
        <v>#INVALID COMPANY ID</v>
      </c>
      <c r="FS220" s="9" t="str">
        <f>_xll.SNL.Clients.Office.Excel.Functions.SPG(FP220, "SP_COUNTRY_NAME")</f>
        <v>#INVALID COMPANY ID</v>
      </c>
      <c r="FX220" s="9" t="str">
        <f>_xll.SNL.Clients.Office.Excel.Functions.SPG(FU220, "SP_COUNTRY_NAME")</f>
        <v>#INVALID COMPANY ID</v>
      </c>
      <c r="FY220" t="s">
        <v>558</v>
      </c>
      <c r="FZ220">
        <v>109844</v>
      </c>
      <c r="GA220" t="s">
        <v>346</v>
      </c>
      <c r="GB220" s="11">
        <v>0.01</v>
      </c>
      <c r="GC220" s="9" t="str">
        <f>_xll.SNL.Clients.Office.Excel.Functions.SPG(FZ220, "SP_COUNTRY_NAME")</f>
        <v>USA</v>
      </c>
      <c r="GH220" s="9" t="str">
        <f>_xll.SNL.Clients.Office.Excel.Functions.SPG(GE220, "SP_COUNTRY_NAME")</f>
        <v>#INVALID COMPANY ID</v>
      </c>
      <c r="GM220" s="9" t="str">
        <f>_xll.SNL.Clients.Office.Excel.Functions.SPG(GJ220, "SP_COUNTRY_NAME")</f>
        <v>#INVALID COMPANY ID</v>
      </c>
      <c r="GR220" s="9" t="str">
        <f>_xll.SNL.Clients.Office.Excel.Functions.SPG(GO220, "SP_COUNTRY_NAME")</f>
        <v>#INVALID COMPANY ID</v>
      </c>
      <c r="GS220" t="s">
        <v>507</v>
      </c>
      <c r="GT220">
        <v>4150758</v>
      </c>
      <c r="GU220" t="s">
        <v>366</v>
      </c>
      <c r="GV220" s="11">
        <v>0</v>
      </c>
      <c r="GW220" s="9" t="str">
        <f>_xll.SNL.Clients.Office.Excel.Functions.SPG(GT220, "SP_COUNTRY_NAME")</f>
        <v>Switzerland</v>
      </c>
      <c r="GX220" t="s">
        <v>1703</v>
      </c>
      <c r="GY220">
        <v>6733987</v>
      </c>
      <c r="GZ220" t="s">
        <v>346</v>
      </c>
      <c r="HA220" s="11">
        <v>0.01</v>
      </c>
      <c r="HB220" s="9" t="str">
        <f>_xll.SNL.Clients.Office.Excel.Functions.SPG(GY220, "SP_COUNTRY_NAME")</f>
        <v>Brazil</v>
      </c>
      <c r="HG220" s="9" t="str">
        <f>_xll.SNL.Clients.Office.Excel.Functions.SPG(HD220, "SP_COUNTRY_NAME")</f>
        <v>#INVALID COMPANY ID</v>
      </c>
    </row>
    <row r="221" spans="5:215" x14ac:dyDescent="0.35">
      <c r="E221" s="9" t="str">
        <f>_xll.SNL.Clients.Office.Excel.Functions.SPG(B221, "SP_COUNTRY_NAME")</f>
        <v>#INVALID COMPANY ID</v>
      </c>
      <c r="F221" t="s">
        <v>605</v>
      </c>
      <c r="G221">
        <v>111489</v>
      </c>
      <c r="H221" t="s">
        <v>346</v>
      </c>
      <c r="I221" s="11">
        <v>0</v>
      </c>
      <c r="J221" s="9" t="str">
        <f>_xll.SNL.Clients.Office.Excel.Functions.SPG(G221, "SP_COUNTRY_NAME")</f>
        <v>USA</v>
      </c>
      <c r="O221" s="9" t="str">
        <f>_xll.SNL.Clients.Office.Excel.Functions.SPG(L221, "SP_COUNTRY_NAME")</f>
        <v>#INVALID COMPANY ID</v>
      </c>
      <c r="T221" s="9" t="str">
        <f>_xll.SNL.Clients.Office.Excel.Functions.SPG(Q221, "SP_COUNTRY_NAME")</f>
        <v>#INVALID COMPANY ID</v>
      </c>
      <c r="U221" t="s">
        <v>807</v>
      </c>
      <c r="V221">
        <v>4553770</v>
      </c>
      <c r="W221" t="s">
        <v>346</v>
      </c>
      <c r="X221" s="11">
        <v>0</v>
      </c>
      <c r="Y221" s="9" t="str">
        <f>_xll.SNL.Clients.Office.Excel.Functions.SPG(V221, "SP_COUNTRY_NAME")</f>
        <v>China</v>
      </c>
      <c r="AD221" s="9" t="str">
        <f>_xll.SNL.Clients.Office.Excel.Functions.SPG(AA221, "SP_COUNTRY_NAME")</f>
        <v>#INVALID COMPANY ID</v>
      </c>
      <c r="AI221" s="9" t="str">
        <f>_xll.SNL.Clients.Office.Excel.Functions.SPG(AF221, "SP_COUNTRY_NAME")</f>
        <v>#INVALID COMPANY ID</v>
      </c>
      <c r="AN221" s="9" t="str">
        <f>_xll.SNL.Clients.Office.Excel.Functions.SPG(AK221, "SP_COUNTRY_NAME")</f>
        <v>#INVALID COMPANY ID</v>
      </c>
      <c r="AO221" t="s">
        <v>1351</v>
      </c>
      <c r="AP221">
        <v>4140057</v>
      </c>
      <c r="AQ221" t="s">
        <v>346</v>
      </c>
      <c r="AR221" s="11">
        <v>0</v>
      </c>
      <c r="AS221" s="9" t="str">
        <f>_xll.SNL.Clients.Office.Excel.Functions.SPG(AP221, "SP_COUNTRY_NAME")</f>
        <v>Austria</v>
      </c>
      <c r="AX221" s="9" t="str">
        <f>_xll.SNL.Clients.Office.Excel.Functions.SPG(AU221, "SP_COUNTRY_NAME")</f>
        <v>#INVALID COMPANY ID</v>
      </c>
      <c r="BC221" s="9" t="str">
        <f>_xll.SNL.Clients.Office.Excel.Functions.SPG(AZ221, "SP_COUNTRY_NAME")</f>
        <v>#INVALID COMPANY ID</v>
      </c>
      <c r="BD221" t="s">
        <v>356</v>
      </c>
      <c r="BE221">
        <v>4578944</v>
      </c>
      <c r="BF221" t="s">
        <v>346</v>
      </c>
      <c r="BG221" s="11">
        <v>0.01</v>
      </c>
      <c r="BH221" s="9" t="str">
        <f>_xll.SNL.Clients.Office.Excel.Functions.SPG(BE221, "SP_COUNTRY_NAME")</f>
        <v>Australia</v>
      </c>
      <c r="BI221" t="s">
        <v>574</v>
      </c>
      <c r="BJ221">
        <v>4049157</v>
      </c>
      <c r="BK221" t="s">
        <v>346</v>
      </c>
      <c r="BL221" s="11">
        <v>0</v>
      </c>
      <c r="BM221" s="9" t="str">
        <f>_xll.SNL.Clients.Office.Excel.Functions.SPG(BJ221, "SP_COUNTRY_NAME")</f>
        <v>USA</v>
      </c>
      <c r="BN221" t="s">
        <v>491</v>
      </c>
      <c r="BO221">
        <v>106960</v>
      </c>
      <c r="BP221" t="s">
        <v>346</v>
      </c>
      <c r="BQ221" s="11">
        <v>0</v>
      </c>
      <c r="BR221" s="9" t="str">
        <f>_xll.SNL.Clients.Office.Excel.Functions.SPG(BO221, "SP_COUNTRY_NAME")</f>
        <v>Canada</v>
      </c>
      <c r="BS221" t="s">
        <v>757</v>
      </c>
      <c r="BT221">
        <v>5804546</v>
      </c>
      <c r="BU221" t="s">
        <v>364</v>
      </c>
      <c r="BV221" s="11">
        <v>0.01</v>
      </c>
      <c r="BW221" s="9" t="str">
        <f>_xll.SNL.Clients.Office.Excel.Functions.SPG(BT221, "SP_COUNTRY_NAME")</f>
        <v>Singapore</v>
      </c>
      <c r="BX221" t="s">
        <v>807</v>
      </c>
      <c r="BY221">
        <v>4553770</v>
      </c>
      <c r="BZ221" t="s">
        <v>346</v>
      </c>
      <c r="CA221" s="11">
        <v>0</v>
      </c>
      <c r="CB221" s="9" t="str">
        <f>_xll.SNL.Clients.Office.Excel.Functions.SPG(BY221, "SP_COUNTRY_NAME")</f>
        <v>China</v>
      </c>
      <c r="CC221" t="s">
        <v>1704</v>
      </c>
      <c r="CD221">
        <v>1000525</v>
      </c>
      <c r="CE221" t="s">
        <v>346</v>
      </c>
      <c r="CF221" s="11">
        <v>0.01</v>
      </c>
      <c r="CG221" s="9" t="str">
        <f>_xll.SNL.Clients.Office.Excel.Functions.SPG(CD221, "SP_COUNTRY_NAME")</f>
        <v>USA</v>
      </c>
      <c r="CH221" t="s">
        <v>1351</v>
      </c>
      <c r="CI221">
        <v>4140057</v>
      </c>
      <c r="CJ221" t="s">
        <v>346</v>
      </c>
      <c r="CK221" s="11">
        <v>0</v>
      </c>
      <c r="CL221" s="9" t="str">
        <f>_xll.SNL.Clients.Office.Excel.Functions.SPG(CI221, "SP_COUNTRY_NAME")</f>
        <v>Austria</v>
      </c>
      <c r="CM221" t="s">
        <v>1359</v>
      </c>
      <c r="CN221">
        <v>4213188</v>
      </c>
      <c r="CO221" t="s">
        <v>346</v>
      </c>
      <c r="CP221" s="11">
        <v>0.01</v>
      </c>
      <c r="CQ221" s="9" t="str">
        <f>_xll.SNL.Clients.Office.Excel.Functions.SPG(CN221, "SP_COUNTRY_NAME")</f>
        <v>South Africa</v>
      </c>
      <c r="CV221" s="9" t="str">
        <f>_xll.SNL.Clients.Office.Excel.Functions.SPG(CS221, "SP_COUNTRY_NAME")</f>
        <v>#INVALID COMPANY ID</v>
      </c>
      <c r="DA221" s="9" t="str">
        <f>_xll.SNL.Clients.Office.Excel.Functions.SPG(CX221, "SP_COUNTRY_NAME")</f>
        <v>#INVALID COMPANY ID</v>
      </c>
      <c r="DB221" t="s">
        <v>356</v>
      </c>
      <c r="DC221">
        <v>4578944</v>
      </c>
      <c r="DD221" t="s">
        <v>346</v>
      </c>
      <c r="DE221" s="11">
        <v>0.01</v>
      </c>
      <c r="DF221" s="9" t="str">
        <f>_xll.SNL.Clients.Office.Excel.Functions.SPG(DC221, "SP_COUNTRY_NAME")</f>
        <v>Australia</v>
      </c>
      <c r="DK221" s="9" t="str">
        <f>_xll.SNL.Clients.Office.Excel.Functions.SPG(DH221, "SP_COUNTRY_NAME")</f>
        <v>#INVALID COMPANY ID</v>
      </c>
      <c r="DL221" t="s">
        <v>356</v>
      </c>
      <c r="DM221">
        <v>4578944</v>
      </c>
      <c r="DN221" t="s">
        <v>346</v>
      </c>
      <c r="DO221" s="11">
        <v>0.01</v>
      </c>
      <c r="DP221" s="9" t="str">
        <f>_xll.SNL.Clients.Office.Excel.Functions.SPG(DM221, "SP_COUNTRY_NAME")</f>
        <v>Australia</v>
      </c>
      <c r="DU221" s="9" t="str">
        <f>_xll.SNL.Clients.Office.Excel.Functions.SPG(DR221, "SP_COUNTRY_NAME")</f>
        <v>#INVALID COMPANY ID</v>
      </c>
      <c r="DZ221" s="9" t="str">
        <f>_xll.SNL.Clients.Office.Excel.Functions.SPG(DW221, "SP_COUNTRY_NAME")</f>
        <v>#INVALID COMPANY ID</v>
      </c>
      <c r="EA221" t="s">
        <v>1704</v>
      </c>
      <c r="EB221">
        <v>1000525</v>
      </c>
      <c r="EC221" t="s">
        <v>346</v>
      </c>
      <c r="ED221" s="11">
        <v>0.01</v>
      </c>
      <c r="EE221" s="9" t="str">
        <f>_xll.SNL.Clients.Office.Excel.Functions.SPG(EB221, "SP_COUNTRY_NAME")</f>
        <v>USA</v>
      </c>
      <c r="EF221" t="s">
        <v>356</v>
      </c>
      <c r="EG221">
        <v>4578944</v>
      </c>
      <c r="EH221" t="s">
        <v>346</v>
      </c>
      <c r="EI221" s="11">
        <v>0.01</v>
      </c>
      <c r="EJ221" s="9" t="str">
        <f>_xll.SNL.Clients.Office.Excel.Functions.SPG(EG221, "SP_COUNTRY_NAME")</f>
        <v>Australia</v>
      </c>
      <c r="EO221" s="9" t="str">
        <f>_xll.SNL.Clients.Office.Excel.Functions.SPG(EL221, "SP_COUNTRY_NAME")</f>
        <v>#INVALID COMPANY ID</v>
      </c>
      <c r="ET221" s="9" t="str">
        <f>_xll.SNL.Clients.Office.Excel.Functions.SPG(EQ221, "SP_COUNTRY_NAME")</f>
        <v>#INVALID COMPANY ID</v>
      </c>
      <c r="EY221" s="9" t="str">
        <f>_xll.SNL.Clients.Office.Excel.Functions.SPG(EV221, "SP_COUNTRY_NAME")</f>
        <v>#INVALID COMPANY ID</v>
      </c>
      <c r="FD221" s="9" t="str">
        <f>_xll.SNL.Clients.Office.Excel.Functions.SPG(FA221, "SP_COUNTRY_NAME")</f>
        <v>#INVALID COMPANY ID</v>
      </c>
      <c r="FI221" s="9" t="str">
        <f>_xll.SNL.Clients.Office.Excel.Functions.SPG(FF221, "SP_COUNTRY_NAME")</f>
        <v>#INVALID COMPANY ID</v>
      </c>
      <c r="FN221" s="9" t="str">
        <f>_xll.SNL.Clients.Office.Excel.Functions.SPG(FK221, "SP_COUNTRY_NAME")</f>
        <v>#INVALID COMPANY ID</v>
      </c>
      <c r="FS221" s="9" t="str">
        <f>_xll.SNL.Clients.Office.Excel.Functions.SPG(FP221, "SP_COUNTRY_NAME")</f>
        <v>#INVALID COMPANY ID</v>
      </c>
      <c r="FX221" s="9" t="str">
        <f>_xll.SNL.Clients.Office.Excel.Functions.SPG(FU221, "SP_COUNTRY_NAME")</f>
        <v>#INVALID COMPANY ID</v>
      </c>
      <c r="FY221" t="s">
        <v>356</v>
      </c>
      <c r="FZ221">
        <v>4578944</v>
      </c>
      <c r="GA221" t="s">
        <v>346</v>
      </c>
      <c r="GB221" s="11">
        <v>0.01</v>
      </c>
      <c r="GC221" s="9" t="str">
        <f>_xll.SNL.Clients.Office.Excel.Functions.SPG(FZ221, "SP_COUNTRY_NAME")</f>
        <v>Australia</v>
      </c>
      <c r="GH221" s="9" t="str">
        <f>_xll.SNL.Clients.Office.Excel.Functions.SPG(GE221, "SP_COUNTRY_NAME")</f>
        <v>#INVALID COMPANY ID</v>
      </c>
      <c r="GM221" s="9" t="str">
        <f>_xll.SNL.Clients.Office.Excel.Functions.SPG(GJ221, "SP_COUNTRY_NAME")</f>
        <v>#INVALID COMPANY ID</v>
      </c>
      <c r="GR221" s="9" t="str">
        <f>_xll.SNL.Clients.Office.Excel.Functions.SPG(GO221, "SP_COUNTRY_NAME")</f>
        <v>#INVALID COMPANY ID</v>
      </c>
      <c r="GS221" t="s">
        <v>491</v>
      </c>
      <c r="GT221">
        <v>106960</v>
      </c>
      <c r="GU221" t="s">
        <v>346</v>
      </c>
      <c r="GV221" s="11">
        <v>0</v>
      </c>
      <c r="GW221" s="9" t="str">
        <f>_xll.SNL.Clients.Office.Excel.Functions.SPG(GT221, "SP_COUNTRY_NAME")</f>
        <v>Canada</v>
      </c>
      <c r="GX221" t="s">
        <v>1704</v>
      </c>
      <c r="GY221">
        <v>1000525</v>
      </c>
      <c r="GZ221" t="s">
        <v>346</v>
      </c>
      <c r="HA221" s="11">
        <v>0.01</v>
      </c>
      <c r="HB221" s="9" t="str">
        <f>_xll.SNL.Clients.Office.Excel.Functions.SPG(GY221, "SP_COUNTRY_NAME")</f>
        <v>USA</v>
      </c>
      <c r="HG221" s="9" t="str">
        <f>_xll.SNL.Clients.Office.Excel.Functions.SPG(HD221, "SP_COUNTRY_NAME")</f>
        <v>#INVALID COMPANY ID</v>
      </c>
    </row>
    <row r="222" spans="5:215" x14ac:dyDescent="0.35">
      <c r="E222" s="9" t="str">
        <f>_xll.SNL.Clients.Office.Excel.Functions.SPG(B222, "SP_COUNTRY_NAME")</f>
        <v>#INVALID COMPANY ID</v>
      </c>
      <c r="F222" t="s">
        <v>606</v>
      </c>
      <c r="G222">
        <v>10346719</v>
      </c>
      <c r="H222" t="s">
        <v>346</v>
      </c>
      <c r="I222" s="11">
        <v>0</v>
      </c>
      <c r="J222" s="9" t="str">
        <f>_xll.SNL.Clients.Office.Excel.Functions.SPG(G222, "SP_COUNTRY_NAME")</f>
        <v>United Kingdom</v>
      </c>
      <c r="O222" s="9" t="str">
        <f>_xll.SNL.Clients.Office.Excel.Functions.SPG(L222, "SP_COUNTRY_NAME")</f>
        <v>#INVALID COMPANY ID</v>
      </c>
      <c r="T222" s="9" t="str">
        <f>_xll.SNL.Clients.Office.Excel.Functions.SPG(Q222, "SP_COUNTRY_NAME")</f>
        <v>#INVALID COMPANY ID</v>
      </c>
      <c r="U222" t="s">
        <v>808</v>
      </c>
      <c r="V222">
        <v>4138631</v>
      </c>
      <c r="W222" t="s">
        <v>346</v>
      </c>
      <c r="X222" s="11">
        <v>0</v>
      </c>
      <c r="Y222" s="9" t="str">
        <f>_xll.SNL.Clients.Office.Excel.Functions.SPG(V222, "SP_COUNTRY_NAME")</f>
        <v>China</v>
      </c>
      <c r="AD222" s="9" t="str">
        <f>_xll.SNL.Clients.Office.Excel.Functions.SPG(AA222, "SP_COUNTRY_NAME")</f>
        <v>#INVALID COMPANY ID</v>
      </c>
      <c r="AI222" s="9" t="str">
        <f>_xll.SNL.Clients.Office.Excel.Functions.SPG(AF222, "SP_COUNTRY_NAME")</f>
        <v>#INVALID COMPANY ID</v>
      </c>
      <c r="AN222" s="9" t="str">
        <f>_xll.SNL.Clients.Office.Excel.Functions.SPG(AK222, "SP_COUNTRY_NAME")</f>
        <v>#INVALID COMPANY ID</v>
      </c>
      <c r="AO222" t="s">
        <v>1242</v>
      </c>
      <c r="AP222">
        <v>5864922</v>
      </c>
      <c r="AQ222" t="s">
        <v>346</v>
      </c>
      <c r="AR222" s="11">
        <v>0</v>
      </c>
      <c r="AS222" s="9" t="str">
        <f>_xll.SNL.Clients.Office.Excel.Functions.SPG(AP222, "SP_COUNTRY_NAME")</f>
        <v>France</v>
      </c>
      <c r="AX222" s="9" t="str">
        <f>_xll.SNL.Clients.Office.Excel.Functions.SPG(AU222, "SP_COUNTRY_NAME")</f>
        <v>#INVALID COMPANY ID</v>
      </c>
      <c r="BC222" s="9" t="str">
        <f>_xll.SNL.Clients.Office.Excel.Functions.SPG(AZ222, "SP_COUNTRY_NAME")</f>
        <v>#INVALID COMPANY ID</v>
      </c>
      <c r="BD222" t="s">
        <v>851</v>
      </c>
      <c r="BE222">
        <v>4405395</v>
      </c>
      <c r="BF222" t="s">
        <v>346</v>
      </c>
      <c r="BG222" s="11">
        <v>0.01</v>
      </c>
      <c r="BH222" s="9" t="str">
        <f>_xll.SNL.Clients.Office.Excel.Functions.SPG(BE222, "SP_COUNTRY_NAME")</f>
        <v>United Kingdom</v>
      </c>
      <c r="BI222" t="s">
        <v>592</v>
      </c>
      <c r="BJ222">
        <v>1015222</v>
      </c>
      <c r="BK222" t="s">
        <v>346</v>
      </c>
      <c r="BL222" s="11">
        <v>0</v>
      </c>
      <c r="BM222" s="9" t="str">
        <f>_xll.SNL.Clients.Office.Excel.Functions.SPG(BJ222, "SP_COUNTRY_NAME")</f>
        <v>USA</v>
      </c>
      <c r="BN222" t="s">
        <v>825</v>
      </c>
      <c r="BO222">
        <v>5868824</v>
      </c>
      <c r="BP222" t="s">
        <v>346</v>
      </c>
      <c r="BQ222" s="11">
        <v>0</v>
      </c>
      <c r="BR222" s="9" t="str">
        <f>_xll.SNL.Clients.Office.Excel.Functions.SPG(BO222, "SP_COUNTRY_NAME")</f>
        <v>China</v>
      </c>
      <c r="BS222" t="s">
        <v>355</v>
      </c>
      <c r="BT222">
        <v>111074</v>
      </c>
      <c r="BU222" t="s">
        <v>346</v>
      </c>
      <c r="BV222" s="11">
        <v>0.01</v>
      </c>
      <c r="BW222" s="9" t="str">
        <f>_xll.SNL.Clients.Office.Excel.Functions.SPG(BT222, "SP_COUNTRY_NAME")</f>
        <v>USA</v>
      </c>
      <c r="BX222" t="s">
        <v>808</v>
      </c>
      <c r="BY222">
        <v>4138631</v>
      </c>
      <c r="BZ222" t="s">
        <v>346</v>
      </c>
      <c r="CA222" s="11">
        <v>0</v>
      </c>
      <c r="CB222" s="9" t="str">
        <f>_xll.SNL.Clients.Office.Excel.Functions.SPG(BY222, "SP_COUNTRY_NAME")</f>
        <v>China</v>
      </c>
      <c r="CC222" t="s">
        <v>1705</v>
      </c>
      <c r="CD222">
        <v>4413792</v>
      </c>
      <c r="CE222" t="s">
        <v>346</v>
      </c>
      <c r="CF222" s="11">
        <v>0.01</v>
      </c>
      <c r="CG222" s="9" t="str">
        <f>_xll.SNL.Clients.Office.Excel.Functions.SPG(CD222, "SP_COUNTRY_NAME")</f>
        <v>USA</v>
      </c>
      <c r="CH222" t="s">
        <v>1242</v>
      </c>
      <c r="CI222">
        <v>5864922</v>
      </c>
      <c r="CJ222" t="s">
        <v>346</v>
      </c>
      <c r="CK222" s="11">
        <v>0</v>
      </c>
      <c r="CL222" s="9" t="str">
        <f>_xll.SNL.Clients.Office.Excel.Functions.SPG(CI222, "SP_COUNTRY_NAME")</f>
        <v>France</v>
      </c>
      <c r="CM222" t="s">
        <v>1311</v>
      </c>
      <c r="CN222">
        <v>5866214</v>
      </c>
      <c r="CO222" t="s">
        <v>346</v>
      </c>
      <c r="CP222" s="11">
        <v>0.01</v>
      </c>
      <c r="CQ222" s="9" t="str">
        <f>_xll.SNL.Clients.Office.Excel.Functions.SPG(CN222, "SP_COUNTRY_NAME")</f>
        <v>South Africa</v>
      </c>
      <c r="CV222" s="9" t="str">
        <f>_xll.SNL.Clients.Office.Excel.Functions.SPG(CS222, "SP_COUNTRY_NAME")</f>
        <v>#INVALID COMPANY ID</v>
      </c>
      <c r="DA222" s="9" t="str">
        <f>_xll.SNL.Clients.Office.Excel.Functions.SPG(CX222, "SP_COUNTRY_NAME")</f>
        <v>#INVALID COMPANY ID</v>
      </c>
      <c r="DB222" t="s">
        <v>851</v>
      </c>
      <c r="DC222">
        <v>4405395</v>
      </c>
      <c r="DD222" t="s">
        <v>346</v>
      </c>
      <c r="DE222" s="11">
        <v>0.01</v>
      </c>
      <c r="DF222" s="9" t="str">
        <f>_xll.SNL.Clients.Office.Excel.Functions.SPG(DC222, "SP_COUNTRY_NAME")</f>
        <v>United Kingdom</v>
      </c>
      <c r="DK222" s="9" t="str">
        <f>_xll.SNL.Clients.Office.Excel.Functions.SPG(DH222, "SP_COUNTRY_NAME")</f>
        <v>#INVALID COMPANY ID</v>
      </c>
      <c r="DL222" t="s">
        <v>851</v>
      </c>
      <c r="DM222">
        <v>4405395</v>
      </c>
      <c r="DN222" t="s">
        <v>346</v>
      </c>
      <c r="DO222" s="11">
        <v>0.01</v>
      </c>
      <c r="DP222" s="9" t="str">
        <f>_xll.SNL.Clients.Office.Excel.Functions.SPG(DM222, "SP_COUNTRY_NAME")</f>
        <v>United Kingdom</v>
      </c>
      <c r="DU222" s="9" t="str">
        <f>_xll.SNL.Clients.Office.Excel.Functions.SPG(DR222, "SP_COUNTRY_NAME")</f>
        <v>#INVALID COMPANY ID</v>
      </c>
      <c r="DZ222" s="9" t="str">
        <f>_xll.SNL.Clients.Office.Excel.Functions.SPG(DW222, "SP_COUNTRY_NAME")</f>
        <v>#INVALID COMPANY ID</v>
      </c>
      <c r="EA222" t="s">
        <v>1705</v>
      </c>
      <c r="EB222">
        <v>4413792</v>
      </c>
      <c r="EC222" t="s">
        <v>346</v>
      </c>
      <c r="ED222" s="11">
        <v>0.01</v>
      </c>
      <c r="EE222" s="9" t="str">
        <f>_xll.SNL.Clients.Office.Excel.Functions.SPG(EB222, "SP_COUNTRY_NAME")</f>
        <v>USA</v>
      </c>
      <c r="EF222" t="s">
        <v>851</v>
      </c>
      <c r="EG222">
        <v>4405395</v>
      </c>
      <c r="EH222" t="s">
        <v>346</v>
      </c>
      <c r="EI222" s="11">
        <v>0.01</v>
      </c>
      <c r="EJ222" s="9" t="str">
        <f>_xll.SNL.Clients.Office.Excel.Functions.SPG(EG222, "SP_COUNTRY_NAME")</f>
        <v>United Kingdom</v>
      </c>
      <c r="EO222" s="9" t="str">
        <f>_xll.SNL.Clients.Office.Excel.Functions.SPG(EL222, "SP_COUNTRY_NAME")</f>
        <v>#INVALID COMPANY ID</v>
      </c>
      <c r="ET222" s="9" t="str">
        <f>_xll.SNL.Clients.Office.Excel.Functions.SPG(EQ222, "SP_COUNTRY_NAME")</f>
        <v>#INVALID COMPANY ID</v>
      </c>
      <c r="EY222" s="9" t="str">
        <f>_xll.SNL.Clients.Office.Excel.Functions.SPG(EV222, "SP_COUNTRY_NAME")</f>
        <v>#INVALID COMPANY ID</v>
      </c>
      <c r="FD222" s="9" t="str">
        <f>_xll.SNL.Clients.Office.Excel.Functions.SPG(FA222, "SP_COUNTRY_NAME")</f>
        <v>#INVALID COMPANY ID</v>
      </c>
      <c r="FI222" s="9" t="str">
        <f>_xll.SNL.Clients.Office.Excel.Functions.SPG(FF222, "SP_COUNTRY_NAME")</f>
        <v>#INVALID COMPANY ID</v>
      </c>
      <c r="FN222" s="9" t="str">
        <f>_xll.SNL.Clients.Office.Excel.Functions.SPG(FK222, "SP_COUNTRY_NAME")</f>
        <v>#INVALID COMPANY ID</v>
      </c>
      <c r="FS222" s="9" t="str">
        <f>_xll.SNL.Clients.Office.Excel.Functions.SPG(FP222, "SP_COUNTRY_NAME")</f>
        <v>#INVALID COMPANY ID</v>
      </c>
      <c r="FX222" s="9" t="str">
        <f>_xll.SNL.Clients.Office.Excel.Functions.SPG(FU222, "SP_COUNTRY_NAME")</f>
        <v>#INVALID COMPANY ID</v>
      </c>
      <c r="FY222" t="s">
        <v>851</v>
      </c>
      <c r="FZ222">
        <v>4405395</v>
      </c>
      <c r="GA222" t="s">
        <v>346</v>
      </c>
      <c r="GB222" s="11">
        <v>0.01</v>
      </c>
      <c r="GC222" s="9" t="str">
        <f>_xll.SNL.Clients.Office.Excel.Functions.SPG(FZ222, "SP_COUNTRY_NAME")</f>
        <v>United Kingdom</v>
      </c>
      <c r="GH222" s="9" t="str">
        <f>_xll.SNL.Clients.Office.Excel.Functions.SPG(GE222, "SP_COUNTRY_NAME")</f>
        <v>#INVALID COMPANY ID</v>
      </c>
      <c r="GM222" s="9" t="str">
        <f>_xll.SNL.Clients.Office.Excel.Functions.SPG(GJ222, "SP_COUNTRY_NAME")</f>
        <v>#INVALID COMPANY ID</v>
      </c>
      <c r="GR222" s="9" t="str">
        <f>_xll.SNL.Clients.Office.Excel.Functions.SPG(GO222, "SP_COUNTRY_NAME")</f>
        <v>#INVALID COMPANY ID</v>
      </c>
      <c r="GS222" t="s">
        <v>825</v>
      </c>
      <c r="GT222">
        <v>5868824</v>
      </c>
      <c r="GU222" t="s">
        <v>346</v>
      </c>
      <c r="GV222" s="11">
        <v>0</v>
      </c>
      <c r="GW222" s="9" t="str">
        <f>_xll.SNL.Clients.Office.Excel.Functions.SPG(GT222, "SP_COUNTRY_NAME")</f>
        <v>China</v>
      </c>
      <c r="GX222" t="s">
        <v>1705</v>
      </c>
      <c r="GY222">
        <v>4413792</v>
      </c>
      <c r="GZ222" t="s">
        <v>346</v>
      </c>
      <c r="HA222" s="11">
        <v>0.01</v>
      </c>
      <c r="HB222" s="9" t="str">
        <f>_xll.SNL.Clients.Office.Excel.Functions.SPG(GY222, "SP_COUNTRY_NAME")</f>
        <v>USA</v>
      </c>
      <c r="HG222" s="9" t="str">
        <f>_xll.SNL.Clients.Office.Excel.Functions.SPG(HD222, "SP_COUNTRY_NAME")</f>
        <v>#INVALID COMPANY ID</v>
      </c>
    </row>
    <row r="223" spans="5:215" x14ac:dyDescent="0.35">
      <c r="E223" s="9" t="str">
        <f>_xll.SNL.Clients.Office.Excel.Functions.SPG(B223, "SP_COUNTRY_NAME")</f>
        <v>#INVALID COMPANY ID</v>
      </c>
      <c r="F223" t="s">
        <v>607</v>
      </c>
      <c r="G223">
        <v>17501722</v>
      </c>
      <c r="H223" t="s">
        <v>366</v>
      </c>
      <c r="I223" s="11">
        <v>0</v>
      </c>
      <c r="J223" s="9" t="str">
        <f>_xll.SNL.Clients.Office.Excel.Functions.SPG(G223, "SP_COUNTRY_NAME")</f>
        <v>United Kingdom</v>
      </c>
      <c r="O223" s="9" t="str">
        <f>_xll.SNL.Clients.Office.Excel.Functions.SPG(L223, "SP_COUNTRY_NAME")</f>
        <v>#INVALID COMPANY ID</v>
      </c>
      <c r="T223" s="9" t="str">
        <f>_xll.SNL.Clients.Office.Excel.Functions.SPG(Q223, "SP_COUNTRY_NAME")</f>
        <v>#INVALID COMPANY ID</v>
      </c>
      <c r="U223" t="s">
        <v>809</v>
      </c>
      <c r="V223">
        <v>8682054</v>
      </c>
      <c r="W223" t="s">
        <v>346</v>
      </c>
      <c r="X223" s="11">
        <v>0</v>
      </c>
      <c r="Y223" s="9" t="str">
        <f>_xll.SNL.Clients.Office.Excel.Functions.SPG(V223, "SP_COUNTRY_NAME")</f>
        <v>Hong Kong</v>
      </c>
      <c r="AD223" s="9" t="str">
        <f>_xll.SNL.Clients.Office.Excel.Functions.SPG(AA223, "SP_COUNTRY_NAME")</f>
        <v>#INVALID COMPANY ID</v>
      </c>
      <c r="AI223" s="9" t="str">
        <f>_xll.SNL.Clients.Office.Excel.Functions.SPG(AF223, "SP_COUNTRY_NAME")</f>
        <v>#INVALID COMPANY ID</v>
      </c>
      <c r="AN223" s="9" t="str">
        <f>_xll.SNL.Clients.Office.Excel.Functions.SPG(AK223, "SP_COUNTRY_NAME")</f>
        <v>#INVALID COMPANY ID</v>
      </c>
      <c r="AO223" t="s">
        <v>439</v>
      </c>
      <c r="AP223">
        <v>4757367</v>
      </c>
      <c r="AQ223" t="s">
        <v>363</v>
      </c>
      <c r="AR223" s="11">
        <v>0</v>
      </c>
      <c r="AS223" s="9" t="str">
        <f>_xll.SNL.Clients.Office.Excel.Functions.SPG(AP223, "SP_COUNTRY_NAME")</f>
        <v>Australia</v>
      </c>
      <c r="AX223" s="9" t="str">
        <f>_xll.SNL.Clients.Office.Excel.Functions.SPG(AU223, "SP_COUNTRY_NAME")</f>
        <v>#INVALID COMPANY ID</v>
      </c>
      <c r="BC223" s="9" t="str">
        <f>_xll.SNL.Clients.Office.Excel.Functions.SPG(AZ223, "SP_COUNTRY_NAME")</f>
        <v>#INVALID COMPANY ID</v>
      </c>
      <c r="BD223" t="s">
        <v>1460</v>
      </c>
      <c r="BE223">
        <v>4073155</v>
      </c>
      <c r="BF223" t="s">
        <v>346</v>
      </c>
      <c r="BG223" s="11">
        <v>0.01</v>
      </c>
      <c r="BH223" s="9" t="str">
        <f>_xll.SNL.Clients.Office.Excel.Functions.SPG(BE223, "SP_COUNTRY_NAME")</f>
        <v>USA</v>
      </c>
      <c r="BI223" t="s">
        <v>1591</v>
      </c>
      <c r="BJ223">
        <v>4182942</v>
      </c>
      <c r="BK223" t="s">
        <v>346</v>
      </c>
      <c r="BL223" s="11">
        <v>0</v>
      </c>
      <c r="BM223" s="9" t="str">
        <f>_xll.SNL.Clients.Office.Excel.Functions.SPG(BJ223, "SP_COUNTRY_NAME")</f>
        <v>Switzerland</v>
      </c>
      <c r="BN223" t="s">
        <v>482</v>
      </c>
      <c r="BO223">
        <v>4048742</v>
      </c>
      <c r="BP223" t="s">
        <v>346</v>
      </c>
      <c r="BQ223" s="11">
        <v>0</v>
      </c>
      <c r="BR223" s="9" t="str">
        <f>_xll.SNL.Clients.Office.Excel.Functions.SPG(BO223, "SP_COUNTRY_NAME")</f>
        <v>Canada</v>
      </c>
      <c r="BS223" t="s">
        <v>401</v>
      </c>
      <c r="BT223">
        <v>4139862</v>
      </c>
      <c r="BU223" t="s">
        <v>346</v>
      </c>
      <c r="BV223" s="11">
        <v>0.01</v>
      </c>
      <c r="BW223" s="9" t="str">
        <f>_xll.SNL.Clients.Office.Excel.Functions.SPG(BT223, "SP_COUNTRY_NAME")</f>
        <v>United Kingdom</v>
      </c>
      <c r="BX223" t="s">
        <v>809</v>
      </c>
      <c r="BY223">
        <v>8682054</v>
      </c>
      <c r="BZ223" t="s">
        <v>346</v>
      </c>
      <c r="CA223" s="11">
        <v>0</v>
      </c>
      <c r="CB223" s="9" t="str">
        <f>_xll.SNL.Clients.Office.Excel.Functions.SPG(BY223, "SP_COUNTRY_NAME")</f>
        <v>Hong Kong</v>
      </c>
      <c r="CC223" t="s">
        <v>1706</v>
      </c>
      <c r="CD223">
        <v>118902457</v>
      </c>
      <c r="CE223" t="s">
        <v>346</v>
      </c>
      <c r="CF223" s="11">
        <v>0.01</v>
      </c>
      <c r="CG223" s="9" t="str">
        <f>_xll.SNL.Clients.Office.Excel.Functions.SPG(CD223, "SP_COUNTRY_NAME")</f>
        <v>#INVALID COMPANY ID</v>
      </c>
      <c r="CH223" t="s">
        <v>439</v>
      </c>
      <c r="CI223">
        <v>4757367</v>
      </c>
      <c r="CJ223" t="s">
        <v>363</v>
      </c>
      <c r="CK223" s="11">
        <v>0</v>
      </c>
      <c r="CL223" s="9" t="str">
        <f>_xll.SNL.Clients.Office.Excel.Functions.SPG(CI223, "SP_COUNTRY_NAME")</f>
        <v>Australia</v>
      </c>
      <c r="CM223" t="s">
        <v>1639</v>
      </c>
      <c r="CN223">
        <v>4166919</v>
      </c>
      <c r="CO223" t="s">
        <v>346</v>
      </c>
      <c r="CP223" s="11">
        <v>0.01</v>
      </c>
      <c r="CQ223" s="9" t="str">
        <f>_xll.SNL.Clients.Office.Excel.Functions.SPG(CN223, "SP_COUNTRY_NAME")</f>
        <v>USA</v>
      </c>
      <c r="CV223" s="9" t="str">
        <f>_xll.SNL.Clients.Office.Excel.Functions.SPG(CS223, "SP_COUNTRY_NAME")</f>
        <v>#INVALID COMPANY ID</v>
      </c>
      <c r="DA223" s="9" t="str">
        <f>_xll.SNL.Clients.Office.Excel.Functions.SPG(CX223, "SP_COUNTRY_NAME")</f>
        <v>#INVALID COMPANY ID</v>
      </c>
      <c r="DB223" t="s">
        <v>1460</v>
      </c>
      <c r="DC223">
        <v>4073155</v>
      </c>
      <c r="DD223" t="s">
        <v>346</v>
      </c>
      <c r="DE223" s="11">
        <v>0.01</v>
      </c>
      <c r="DF223" s="9" t="str">
        <f>_xll.SNL.Clients.Office.Excel.Functions.SPG(DC223, "SP_COUNTRY_NAME")</f>
        <v>USA</v>
      </c>
      <c r="DK223" s="9" t="str">
        <f>_xll.SNL.Clients.Office.Excel.Functions.SPG(DH223, "SP_COUNTRY_NAME")</f>
        <v>#INVALID COMPANY ID</v>
      </c>
      <c r="DL223" t="s">
        <v>1460</v>
      </c>
      <c r="DM223">
        <v>4073155</v>
      </c>
      <c r="DN223" t="s">
        <v>346</v>
      </c>
      <c r="DO223" s="11">
        <v>0.01</v>
      </c>
      <c r="DP223" s="9" t="str">
        <f>_xll.SNL.Clients.Office.Excel.Functions.SPG(DM223, "SP_COUNTRY_NAME")</f>
        <v>USA</v>
      </c>
      <c r="DU223" s="9" t="str">
        <f>_xll.SNL.Clients.Office.Excel.Functions.SPG(DR223, "SP_COUNTRY_NAME")</f>
        <v>#INVALID COMPANY ID</v>
      </c>
      <c r="DZ223" s="9" t="str">
        <f>_xll.SNL.Clients.Office.Excel.Functions.SPG(DW223, "SP_COUNTRY_NAME")</f>
        <v>#INVALID COMPANY ID</v>
      </c>
      <c r="EA223" t="s">
        <v>1706</v>
      </c>
      <c r="EB223">
        <v>118902457</v>
      </c>
      <c r="EC223" t="s">
        <v>346</v>
      </c>
      <c r="ED223" s="11">
        <v>0.01</v>
      </c>
      <c r="EE223" s="9" t="str">
        <f>_xll.SNL.Clients.Office.Excel.Functions.SPG(EB223, "SP_COUNTRY_NAME")</f>
        <v>#INVALID COMPANY ID</v>
      </c>
      <c r="EF223" t="s">
        <v>1460</v>
      </c>
      <c r="EG223">
        <v>4073155</v>
      </c>
      <c r="EH223" t="s">
        <v>346</v>
      </c>
      <c r="EI223" s="11">
        <v>0.01</v>
      </c>
      <c r="EJ223" s="9" t="str">
        <f>_xll.SNL.Clients.Office.Excel.Functions.SPG(EG223, "SP_COUNTRY_NAME")</f>
        <v>USA</v>
      </c>
      <c r="EO223" s="9" t="str">
        <f>_xll.SNL.Clients.Office.Excel.Functions.SPG(EL223, "SP_COUNTRY_NAME")</f>
        <v>#INVALID COMPANY ID</v>
      </c>
      <c r="ET223" s="9" t="str">
        <f>_xll.SNL.Clients.Office.Excel.Functions.SPG(EQ223, "SP_COUNTRY_NAME")</f>
        <v>#INVALID COMPANY ID</v>
      </c>
      <c r="EY223" s="9" t="str">
        <f>_xll.SNL.Clients.Office.Excel.Functions.SPG(EV223, "SP_COUNTRY_NAME")</f>
        <v>#INVALID COMPANY ID</v>
      </c>
      <c r="FD223" s="9" t="str">
        <f>_xll.SNL.Clients.Office.Excel.Functions.SPG(FA223, "SP_COUNTRY_NAME")</f>
        <v>#INVALID COMPANY ID</v>
      </c>
      <c r="FI223" s="9" t="str">
        <f>_xll.SNL.Clients.Office.Excel.Functions.SPG(FF223, "SP_COUNTRY_NAME")</f>
        <v>#INVALID COMPANY ID</v>
      </c>
      <c r="FN223" s="9" t="str">
        <f>_xll.SNL.Clients.Office.Excel.Functions.SPG(FK223, "SP_COUNTRY_NAME")</f>
        <v>#INVALID COMPANY ID</v>
      </c>
      <c r="FS223" s="9" t="str">
        <f>_xll.SNL.Clients.Office.Excel.Functions.SPG(FP223, "SP_COUNTRY_NAME")</f>
        <v>#INVALID COMPANY ID</v>
      </c>
      <c r="FX223" s="9" t="str">
        <f>_xll.SNL.Clients.Office.Excel.Functions.SPG(FU223, "SP_COUNTRY_NAME")</f>
        <v>#INVALID COMPANY ID</v>
      </c>
      <c r="FY223" t="s">
        <v>1460</v>
      </c>
      <c r="FZ223">
        <v>4073155</v>
      </c>
      <c r="GA223" t="s">
        <v>346</v>
      </c>
      <c r="GB223" s="11">
        <v>0.01</v>
      </c>
      <c r="GC223" s="9" t="str">
        <f>_xll.SNL.Clients.Office.Excel.Functions.SPG(FZ223, "SP_COUNTRY_NAME")</f>
        <v>USA</v>
      </c>
      <c r="GH223" s="9" t="str">
        <f>_xll.SNL.Clients.Office.Excel.Functions.SPG(GE223, "SP_COUNTRY_NAME")</f>
        <v>#INVALID COMPANY ID</v>
      </c>
      <c r="GM223" s="9" t="str">
        <f>_xll.SNL.Clients.Office.Excel.Functions.SPG(GJ223, "SP_COUNTRY_NAME")</f>
        <v>#INVALID COMPANY ID</v>
      </c>
      <c r="GR223" s="9" t="str">
        <f>_xll.SNL.Clients.Office.Excel.Functions.SPG(GO223, "SP_COUNTRY_NAME")</f>
        <v>#INVALID COMPANY ID</v>
      </c>
      <c r="GS223" t="s">
        <v>482</v>
      </c>
      <c r="GT223">
        <v>4048742</v>
      </c>
      <c r="GU223" t="s">
        <v>346</v>
      </c>
      <c r="GV223" s="11">
        <v>0</v>
      </c>
      <c r="GW223" s="9" t="str">
        <f>_xll.SNL.Clients.Office.Excel.Functions.SPG(GT223, "SP_COUNTRY_NAME")</f>
        <v>Canada</v>
      </c>
      <c r="GX223" t="s">
        <v>1706</v>
      </c>
      <c r="GY223">
        <v>118902457</v>
      </c>
      <c r="GZ223" t="s">
        <v>346</v>
      </c>
      <c r="HA223" s="11">
        <v>0.01</v>
      </c>
      <c r="HB223" s="9" t="str">
        <f>_xll.SNL.Clients.Office.Excel.Functions.SPG(GY223, "SP_COUNTRY_NAME")</f>
        <v>#INVALID COMPANY ID</v>
      </c>
      <c r="HG223" s="9" t="str">
        <f>_xll.SNL.Clients.Office.Excel.Functions.SPG(HD223, "SP_COUNTRY_NAME")</f>
        <v>#INVALID COMPANY ID</v>
      </c>
    </row>
    <row r="224" spans="5:215" x14ac:dyDescent="0.35">
      <c r="E224" s="9" t="str">
        <f>_xll.SNL.Clients.Office.Excel.Functions.SPG(B224, "SP_COUNTRY_NAME")</f>
        <v>#INVALID COMPANY ID</v>
      </c>
      <c r="F224" t="s">
        <v>608</v>
      </c>
      <c r="G224">
        <v>110427</v>
      </c>
      <c r="H224" t="s">
        <v>346</v>
      </c>
      <c r="I224" s="11">
        <v>0</v>
      </c>
      <c r="J224" s="9" t="str">
        <f>_xll.SNL.Clients.Office.Excel.Functions.SPG(G224, "SP_COUNTRY_NAME")</f>
        <v>United Kingdom</v>
      </c>
      <c r="O224" s="9" t="str">
        <f>_xll.SNL.Clients.Office.Excel.Functions.SPG(L224, "SP_COUNTRY_NAME")</f>
        <v>#INVALID COMPANY ID</v>
      </c>
      <c r="T224" s="9" t="str">
        <f>_xll.SNL.Clients.Office.Excel.Functions.SPG(Q224, "SP_COUNTRY_NAME")</f>
        <v>#INVALID COMPANY ID</v>
      </c>
      <c r="U224" t="s">
        <v>810</v>
      </c>
      <c r="V224">
        <v>106535824</v>
      </c>
      <c r="W224" t="s">
        <v>346</v>
      </c>
      <c r="X224" s="11">
        <v>0</v>
      </c>
      <c r="Y224" s="9" t="str">
        <f>_xll.SNL.Clients.Office.Excel.Functions.SPG(V224, "SP_COUNTRY_NAME")</f>
        <v>#INVALID COMPANY ID</v>
      </c>
      <c r="AD224" s="9" t="str">
        <f>_xll.SNL.Clients.Office.Excel.Functions.SPG(AA224, "SP_COUNTRY_NAME")</f>
        <v>#INVALID COMPANY ID</v>
      </c>
      <c r="AI224" s="9" t="str">
        <f>_xll.SNL.Clients.Office.Excel.Functions.SPG(AF224, "SP_COUNTRY_NAME")</f>
        <v>#INVALID COMPANY ID</v>
      </c>
      <c r="AN224" s="9" t="str">
        <f>_xll.SNL.Clients.Office.Excel.Functions.SPG(AK224, "SP_COUNTRY_NAME")</f>
        <v>#INVALID COMPANY ID</v>
      </c>
      <c r="AO224" t="s">
        <v>395</v>
      </c>
      <c r="AP224">
        <v>4153606</v>
      </c>
      <c r="AQ224" t="s">
        <v>346</v>
      </c>
      <c r="AR224" s="11">
        <v>0</v>
      </c>
      <c r="AS224" s="9" t="str">
        <f>_xll.SNL.Clients.Office.Excel.Functions.SPG(AP224, "SP_COUNTRY_NAME")</f>
        <v>USA</v>
      </c>
      <c r="AX224" s="9" t="str">
        <f>_xll.SNL.Clients.Office.Excel.Functions.SPG(AU224, "SP_COUNTRY_NAME")</f>
        <v>#INVALID COMPANY ID</v>
      </c>
      <c r="BC224" s="9" t="str">
        <f>_xll.SNL.Clients.Office.Excel.Functions.SPG(AZ224, "SP_COUNTRY_NAME")</f>
        <v>#INVALID COMPANY ID</v>
      </c>
      <c r="BD224" t="s">
        <v>1268</v>
      </c>
      <c r="BE224">
        <v>4418744</v>
      </c>
      <c r="BF224" t="s">
        <v>346</v>
      </c>
      <c r="BG224" s="11">
        <v>0.01</v>
      </c>
      <c r="BH224" s="9" t="str">
        <f>_xll.SNL.Clients.Office.Excel.Functions.SPG(BE224, "SP_COUNTRY_NAME")</f>
        <v>South Africa</v>
      </c>
      <c r="BI224" t="s">
        <v>588</v>
      </c>
      <c r="BJ224">
        <v>111537</v>
      </c>
      <c r="BK224" t="s">
        <v>346</v>
      </c>
      <c r="BL224" s="11">
        <v>0</v>
      </c>
      <c r="BM224" s="9" t="str">
        <f>_xll.SNL.Clients.Office.Excel.Functions.SPG(BJ224, "SP_COUNTRY_NAME")</f>
        <v>USA</v>
      </c>
      <c r="BN224" t="s">
        <v>1241</v>
      </c>
      <c r="BO224">
        <v>100522</v>
      </c>
      <c r="BP224" t="s">
        <v>366</v>
      </c>
      <c r="BQ224" s="11">
        <v>0</v>
      </c>
      <c r="BR224" s="9" t="str">
        <f>_xll.SNL.Clients.Office.Excel.Functions.SPG(BO224, "SP_COUNTRY_NAME")</f>
        <v>Canada</v>
      </c>
      <c r="BS224" t="s">
        <v>487</v>
      </c>
      <c r="BT224">
        <v>4111901</v>
      </c>
      <c r="BU224" t="s">
        <v>346</v>
      </c>
      <c r="BV224" s="11">
        <v>0.01</v>
      </c>
      <c r="BW224" s="9" t="str">
        <f>_xll.SNL.Clients.Office.Excel.Functions.SPG(BT224, "SP_COUNTRY_NAME")</f>
        <v>Belgium</v>
      </c>
      <c r="BX224" t="s">
        <v>810</v>
      </c>
      <c r="BY224">
        <v>106535824</v>
      </c>
      <c r="BZ224" t="s">
        <v>346</v>
      </c>
      <c r="CA224" s="11">
        <v>0</v>
      </c>
      <c r="CB224" s="9" t="str">
        <f>_xll.SNL.Clients.Office.Excel.Functions.SPG(BY224, "SP_COUNTRY_NAME")</f>
        <v>#INVALID COMPANY ID</v>
      </c>
      <c r="CC224" t="s">
        <v>410</v>
      </c>
      <c r="CD224">
        <v>5759394</v>
      </c>
      <c r="CE224" t="s">
        <v>346</v>
      </c>
      <c r="CF224" s="11">
        <v>0.01</v>
      </c>
      <c r="CG224" s="9" t="str">
        <f>_xll.SNL.Clients.Office.Excel.Functions.SPG(CD224, "SP_COUNTRY_NAME")</f>
        <v>Ireland</v>
      </c>
      <c r="CH224" t="s">
        <v>395</v>
      </c>
      <c r="CI224">
        <v>4153606</v>
      </c>
      <c r="CJ224" t="s">
        <v>346</v>
      </c>
      <c r="CK224" s="11">
        <v>0</v>
      </c>
      <c r="CL224" s="9" t="str">
        <f>_xll.SNL.Clients.Office.Excel.Functions.SPG(CI224, "SP_COUNTRY_NAME")</f>
        <v>USA</v>
      </c>
      <c r="CM224" t="s">
        <v>1998</v>
      </c>
      <c r="CN224" t="s">
        <v>300</v>
      </c>
      <c r="CO224" t="s">
        <v>361</v>
      </c>
      <c r="CP224" s="11">
        <v>0.01</v>
      </c>
      <c r="CQ224" s="9" t="str">
        <f>_xll.SNL.Clients.Office.Excel.Functions.SPG(CN224, "SP_COUNTRY_NAME")</f>
        <v>China</v>
      </c>
      <c r="CV224" s="9" t="str">
        <f>_xll.SNL.Clients.Office.Excel.Functions.SPG(CS224, "SP_COUNTRY_NAME")</f>
        <v>#INVALID COMPANY ID</v>
      </c>
      <c r="DA224" s="9" t="str">
        <f>_xll.SNL.Clients.Office.Excel.Functions.SPG(CX224, "SP_COUNTRY_NAME")</f>
        <v>#INVALID COMPANY ID</v>
      </c>
      <c r="DB224" t="s">
        <v>1268</v>
      </c>
      <c r="DC224">
        <v>4418744</v>
      </c>
      <c r="DD224" t="s">
        <v>346</v>
      </c>
      <c r="DE224" s="11">
        <v>0.01</v>
      </c>
      <c r="DF224" s="9" t="str">
        <f>_xll.SNL.Clients.Office.Excel.Functions.SPG(DC224, "SP_COUNTRY_NAME")</f>
        <v>South Africa</v>
      </c>
      <c r="DK224" s="9" t="str">
        <f>_xll.SNL.Clients.Office.Excel.Functions.SPG(DH224, "SP_COUNTRY_NAME")</f>
        <v>#INVALID COMPANY ID</v>
      </c>
      <c r="DL224" t="s">
        <v>1268</v>
      </c>
      <c r="DM224">
        <v>4418744</v>
      </c>
      <c r="DN224" t="s">
        <v>346</v>
      </c>
      <c r="DO224" s="11">
        <v>0.01</v>
      </c>
      <c r="DP224" s="9" t="str">
        <f>_xll.SNL.Clients.Office.Excel.Functions.SPG(DM224, "SP_COUNTRY_NAME")</f>
        <v>South Africa</v>
      </c>
      <c r="DU224" s="9" t="str">
        <f>_xll.SNL.Clients.Office.Excel.Functions.SPG(DR224, "SP_COUNTRY_NAME")</f>
        <v>#INVALID COMPANY ID</v>
      </c>
      <c r="DZ224" s="9" t="str">
        <f>_xll.SNL.Clients.Office.Excel.Functions.SPG(DW224, "SP_COUNTRY_NAME")</f>
        <v>#INVALID COMPANY ID</v>
      </c>
      <c r="EA224" t="s">
        <v>410</v>
      </c>
      <c r="EB224">
        <v>5759394</v>
      </c>
      <c r="EC224" t="s">
        <v>346</v>
      </c>
      <c r="ED224" s="11">
        <v>0.01</v>
      </c>
      <c r="EE224" s="9" t="str">
        <f>_xll.SNL.Clients.Office.Excel.Functions.SPG(EB224, "SP_COUNTRY_NAME")</f>
        <v>Ireland</v>
      </c>
      <c r="EF224" t="s">
        <v>1268</v>
      </c>
      <c r="EG224">
        <v>4418744</v>
      </c>
      <c r="EH224" t="s">
        <v>346</v>
      </c>
      <c r="EI224" s="11">
        <v>0.01</v>
      </c>
      <c r="EJ224" s="9" t="str">
        <f>_xll.SNL.Clients.Office.Excel.Functions.SPG(EG224, "SP_COUNTRY_NAME")</f>
        <v>South Africa</v>
      </c>
      <c r="EO224" s="9" t="str">
        <f>_xll.SNL.Clients.Office.Excel.Functions.SPG(EL224, "SP_COUNTRY_NAME")</f>
        <v>#INVALID COMPANY ID</v>
      </c>
      <c r="ET224" s="9" t="str">
        <f>_xll.SNL.Clients.Office.Excel.Functions.SPG(EQ224, "SP_COUNTRY_NAME")</f>
        <v>#INVALID COMPANY ID</v>
      </c>
      <c r="EY224" s="9" t="str">
        <f>_xll.SNL.Clients.Office.Excel.Functions.SPG(EV224, "SP_COUNTRY_NAME")</f>
        <v>#INVALID COMPANY ID</v>
      </c>
      <c r="FD224" s="9" t="str">
        <f>_xll.SNL.Clients.Office.Excel.Functions.SPG(FA224, "SP_COUNTRY_NAME")</f>
        <v>#INVALID COMPANY ID</v>
      </c>
      <c r="FI224" s="9" t="str">
        <f>_xll.SNL.Clients.Office.Excel.Functions.SPG(FF224, "SP_COUNTRY_NAME")</f>
        <v>#INVALID COMPANY ID</v>
      </c>
      <c r="FN224" s="9" t="str">
        <f>_xll.SNL.Clients.Office.Excel.Functions.SPG(FK224, "SP_COUNTRY_NAME")</f>
        <v>#INVALID COMPANY ID</v>
      </c>
      <c r="FS224" s="9" t="str">
        <f>_xll.SNL.Clients.Office.Excel.Functions.SPG(FP224, "SP_COUNTRY_NAME")</f>
        <v>#INVALID COMPANY ID</v>
      </c>
      <c r="FX224" s="9" t="str">
        <f>_xll.SNL.Clients.Office.Excel.Functions.SPG(FU224, "SP_COUNTRY_NAME")</f>
        <v>#INVALID COMPANY ID</v>
      </c>
      <c r="FY224" t="s">
        <v>1268</v>
      </c>
      <c r="FZ224">
        <v>4418744</v>
      </c>
      <c r="GA224" t="s">
        <v>346</v>
      </c>
      <c r="GB224" s="11">
        <v>0.01</v>
      </c>
      <c r="GC224" s="9" t="str">
        <f>_xll.SNL.Clients.Office.Excel.Functions.SPG(FZ224, "SP_COUNTRY_NAME")</f>
        <v>South Africa</v>
      </c>
      <c r="GH224" s="9" t="str">
        <f>_xll.SNL.Clients.Office.Excel.Functions.SPG(GE224, "SP_COUNTRY_NAME")</f>
        <v>#INVALID COMPANY ID</v>
      </c>
      <c r="GM224" s="9" t="str">
        <f>_xll.SNL.Clients.Office.Excel.Functions.SPG(GJ224, "SP_COUNTRY_NAME")</f>
        <v>#INVALID COMPANY ID</v>
      </c>
      <c r="GR224" s="9" t="str">
        <f>_xll.SNL.Clients.Office.Excel.Functions.SPG(GO224, "SP_COUNTRY_NAME")</f>
        <v>#INVALID COMPANY ID</v>
      </c>
      <c r="GS224" t="s">
        <v>1241</v>
      </c>
      <c r="GT224">
        <v>100522</v>
      </c>
      <c r="GU224" t="s">
        <v>366</v>
      </c>
      <c r="GV224" s="11">
        <v>0</v>
      </c>
      <c r="GW224" s="9" t="str">
        <f>_xll.SNL.Clients.Office.Excel.Functions.SPG(GT224, "SP_COUNTRY_NAME")</f>
        <v>Canada</v>
      </c>
      <c r="GX224" t="s">
        <v>410</v>
      </c>
      <c r="GY224">
        <v>5759394</v>
      </c>
      <c r="GZ224" t="s">
        <v>346</v>
      </c>
      <c r="HA224" s="11">
        <v>0.01</v>
      </c>
      <c r="HB224" s="9" t="str">
        <f>_xll.SNL.Clients.Office.Excel.Functions.SPG(GY224, "SP_COUNTRY_NAME")</f>
        <v>Ireland</v>
      </c>
      <c r="HG224" s="9" t="str">
        <f>_xll.SNL.Clients.Office.Excel.Functions.SPG(HD224, "SP_COUNTRY_NAME")</f>
        <v>#INVALID COMPANY ID</v>
      </c>
    </row>
    <row r="225" spans="5:215" x14ac:dyDescent="0.35">
      <c r="E225" s="9" t="str">
        <f>_xll.SNL.Clients.Office.Excel.Functions.SPG(B225, "SP_COUNTRY_NAME")</f>
        <v>#INVALID COMPANY ID</v>
      </c>
      <c r="F225" t="s">
        <v>609</v>
      </c>
      <c r="G225">
        <v>4975908</v>
      </c>
      <c r="H225" t="s">
        <v>346</v>
      </c>
      <c r="I225" s="11">
        <v>0</v>
      </c>
      <c r="J225" s="9" t="str">
        <f>_xll.SNL.Clients.Office.Excel.Functions.SPG(G225, "SP_COUNTRY_NAME")</f>
        <v>USA</v>
      </c>
      <c r="O225" s="9" t="str">
        <f>_xll.SNL.Clients.Office.Excel.Functions.SPG(L225, "SP_COUNTRY_NAME")</f>
        <v>#INVALID COMPANY ID</v>
      </c>
      <c r="T225" s="9" t="str">
        <f>_xll.SNL.Clients.Office.Excel.Functions.SPG(Q225, "SP_COUNTRY_NAME")</f>
        <v>#INVALID COMPANY ID</v>
      </c>
      <c r="U225" t="s">
        <v>811</v>
      </c>
      <c r="V225">
        <v>4240414</v>
      </c>
      <c r="W225" t="s">
        <v>346</v>
      </c>
      <c r="X225" s="11">
        <v>0</v>
      </c>
      <c r="Y225" s="9" t="str">
        <f>_xll.SNL.Clients.Office.Excel.Functions.SPG(V225, "SP_COUNTRY_NAME")</f>
        <v>Taiwan</v>
      </c>
      <c r="AD225" s="9" t="str">
        <f>_xll.SNL.Clients.Office.Excel.Functions.SPG(AA225, "SP_COUNTRY_NAME")</f>
        <v>#INVALID COMPANY ID</v>
      </c>
      <c r="AI225" s="9" t="str">
        <f>_xll.SNL.Clients.Office.Excel.Functions.SPG(AF225, "SP_COUNTRY_NAME")</f>
        <v>#INVALID COMPANY ID</v>
      </c>
      <c r="AN225" s="9" t="str">
        <f>_xll.SNL.Clients.Office.Excel.Functions.SPG(AK225, "SP_COUNTRY_NAME")</f>
        <v>#INVALID COMPANY ID</v>
      </c>
      <c r="AO225" t="s">
        <v>548</v>
      </c>
      <c r="AP225">
        <v>26480935</v>
      </c>
      <c r="AQ225" t="s">
        <v>346</v>
      </c>
      <c r="AR225" s="11">
        <v>0</v>
      </c>
      <c r="AS225" s="9" t="str">
        <f>_xll.SNL.Clients.Office.Excel.Functions.SPG(AP225, "SP_COUNTRY_NAME")</f>
        <v>USA</v>
      </c>
      <c r="AX225" s="9" t="str">
        <f>_xll.SNL.Clients.Office.Excel.Functions.SPG(AU225, "SP_COUNTRY_NAME")</f>
        <v>#INVALID COMPANY ID</v>
      </c>
      <c r="BC225" s="9" t="str">
        <f>_xll.SNL.Clients.Office.Excel.Functions.SPG(AZ225, "SP_COUNTRY_NAME")</f>
        <v>#INVALID COMPANY ID</v>
      </c>
      <c r="BD225" t="s">
        <v>428</v>
      </c>
      <c r="BE225">
        <v>4116134</v>
      </c>
      <c r="BF225" t="s">
        <v>346</v>
      </c>
      <c r="BG225" s="11">
        <v>0.01</v>
      </c>
      <c r="BH225" s="9" t="str">
        <f>_xll.SNL.Clients.Office.Excel.Functions.SPG(BE225, "SP_COUNTRY_NAME")</f>
        <v>Japan</v>
      </c>
      <c r="BI225" t="s">
        <v>1524</v>
      </c>
      <c r="BJ225">
        <v>7794598</v>
      </c>
      <c r="BK225" t="s">
        <v>346</v>
      </c>
      <c r="BL225" s="11">
        <v>0</v>
      </c>
      <c r="BM225" s="9" t="str">
        <f>_xll.SNL.Clients.Office.Excel.Functions.SPG(BJ225, "SP_COUNTRY_NAME")</f>
        <v>Luxembourg</v>
      </c>
      <c r="BN225" t="s">
        <v>403</v>
      </c>
      <c r="BO225">
        <v>4033550</v>
      </c>
      <c r="BP225" t="s">
        <v>346</v>
      </c>
      <c r="BQ225" s="11">
        <v>0</v>
      </c>
      <c r="BR225" s="9" t="str">
        <f>_xll.SNL.Clients.Office.Excel.Functions.SPG(BO225, "SP_COUNTRY_NAME")</f>
        <v>USA</v>
      </c>
      <c r="BS225" t="s">
        <v>400</v>
      </c>
      <c r="BT225">
        <v>7834181</v>
      </c>
      <c r="BU225" t="s">
        <v>346</v>
      </c>
      <c r="BV225" s="11">
        <v>0.01</v>
      </c>
      <c r="BW225" s="9" t="str">
        <f>_xll.SNL.Clients.Office.Excel.Functions.SPG(BT225, "SP_COUNTRY_NAME")</f>
        <v>United Kingdom</v>
      </c>
      <c r="BX225" t="s">
        <v>811</v>
      </c>
      <c r="BY225">
        <v>4240414</v>
      </c>
      <c r="BZ225" t="s">
        <v>346</v>
      </c>
      <c r="CA225" s="11">
        <v>0</v>
      </c>
      <c r="CB225" s="9" t="str">
        <f>_xll.SNL.Clients.Office.Excel.Functions.SPG(BY225, "SP_COUNTRY_NAME")</f>
        <v>Taiwan</v>
      </c>
      <c r="CC225" t="s">
        <v>1707</v>
      </c>
      <c r="CD225">
        <v>4283469</v>
      </c>
      <c r="CE225" t="s">
        <v>369</v>
      </c>
      <c r="CF225" s="11">
        <v>0.01</v>
      </c>
      <c r="CG225" s="9" t="str">
        <f>_xll.SNL.Clients.Office.Excel.Functions.SPG(CD225, "SP_COUNTRY_NAME")</f>
        <v>Chile</v>
      </c>
      <c r="CH225" t="s">
        <v>548</v>
      </c>
      <c r="CI225">
        <v>26480935</v>
      </c>
      <c r="CJ225" t="s">
        <v>346</v>
      </c>
      <c r="CK225" s="11">
        <v>0</v>
      </c>
      <c r="CL225" s="9" t="str">
        <f>_xll.SNL.Clients.Office.Excel.Functions.SPG(CI225, "SP_COUNTRY_NAME")</f>
        <v>USA</v>
      </c>
      <c r="CM225" t="s">
        <v>1411</v>
      </c>
      <c r="CN225">
        <v>100515</v>
      </c>
      <c r="CO225" t="s">
        <v>366</v>
      </c>
      <c r="CP225" s="11">
        <v>0.01</v>
      </c>
      <c r="CQ225" s="9" t="str">
        <f>_xll.SNL.Clients.Office.Excel.Functions.SPG(CN225, "SP_COUNTRY_NAME")</f>
        <v>Canada</v>
      </c>
      <c r="CV225" s="9" t="str">
        <f>_xll.SNL.Clients.Office.Excel.Functions.SPG(CS225, "SP_COUNTRY_NAME")</f>
        <v>#INVALID COMPANY ID</v>
      </c>
      <c r="DA225" s="9" t="str">
        <f>_xll.SNL.Clients.Office.Excel.Functions.SPG(CX225, "SP_COUNTRY_NAME")</f>
        <v>#INVALID COMPANY ID</v>
      </c>
      <c r="DB225" t="s">
        <v>428</v>
      </c>
      <c r="DC225">
        <v>4116134</v>
      </c>
      <c r="DD225" t="s">
        <v>346</v>
      </c>
      <c r="DE225" s="11">
        <v>0.01</v>
      </c>
      <c r="DF225" s="9" t="str">
        <f>_xll.SNL.Clients.Office.Excel.Functions.SPG(DC225, "SP_COUNTRY_NAME")</f>
        <v>Japan</v>
      </c>
      <c r="DK225" s="9" t="str">
        <f>_xll.SNL.Clients.Office.Excel.Functions.SPG(DH225, "SP_COUNTRY_NAME")</f>
        <v>#INVALID COMPANY ID</v>
      </c>
      <c r="DL225" t="s">
        <v>428</v>
      </c>
      <c r="DM225">
        <v>4116134</v>
      </c>
      <c r="DN225" t="s">
        <v>346</v>
      </c>
      <c r="DO225" s="11">
        <v>0.01</v>
      </c>
      <c r="DP225" s="9" t="str">
        <f>_xll.SNL.Clients.Office.Excel.Functions.SPG(DM225, "SP_COUNTRY_NAME")</f>
        <v>Japan</v>
      </c>
      <c r="DU225" s="9" t="str">
        <f>_xll.SNL.Clients.Office.Excel.Functions.SPG(DR225, "SP_COUNTRY_NAME")</f>
        <v>#INVALID COMPANY ID</v>
      </c>
      <c r="DZ225" s="9" t="str">
        <f>_xll.SNL.Clients.Office.Excel.Functions.SPG(DW225, "SP_COUNTRY_NAME")</f>
        <v>#INVALID COMPANY ID</v>
      </c>
      <c r="EA225" t="s">
        <v>1707</v>
      </c>
      <c r="EB225">
        <v>4283469</v>
      </c>
      <c r="EC225" t="s">
        <v>369</v>
      </c>
      <c r="ED225" s="11">
        <v>0.01</v>
      </c>
      <c r="EE225" s="9" t="str">
        <f>_xll.SNL.Clients.Office.Excel.Functions.SPG(EB225, "SP_COUNTRY_NAME")</f>
        <v>Chile</v>
      </c>
      <c r="EF225" t="s">
        <v>428</v>
      </c>
      <c r="EG225">
        <v>4116134</v>
      </c>
      <c r="EH225" t="s">
        <v>346</v>
      </c>
      <c r="EI225" s="11">
        <v>0.01</v>
      </c>
      <c r="EJ225" s="9" t="str">
        <f>_xll.SNL.Clients.Office.Excel.Functions.SPG(EG225, "SP_COUNTRY_NAME")</f>
        <v>Japan</v>
      </c>
      <c r="EO225" s="9" t="str">
        <f>_xll.SNL.Clients.Office.Excel.Functions.SPG(EL225, "SP_COUNTRY_NAME")</f>
        <v>#INVALID COMPANY ID</v>
      </c>
      <c r="ET225" s="9" t="str">
        <f>_xll.SNL.Clients.Office.Excel.Functions.SPG(EQ225, "SP_COUNTRY_NAME")</f>
        <v>#INVALID COMPANY ID</v>
      </c>
      <c r="EY225" s="9" t="str">
        <f>_xll.SNL.Clients.Office.Excel.Functions.SPG(EV225, "SP_COUNTRY_NAME")</f>
        <v>#INVALID COMPANY ID</v>
      </c>
      <c r="FD225" s="9" t="str">
        <f>_xll.SNL.Clients.Office.Excel.Functions.SPG(FA225, "SP_COUNTRY_NAME")</f>
        <v>#INVALID COMPANY ID</v>
      </c>
      <c r="FI225" s="9" t="str">
        <f>_xll.SNL.Clients.Office.Excel.Functions.SPG(FF225, "SP_COUNTRY_NAME")</f>
        <v>#INVALID COMPANY ID</v>
      </c>
      <c r="FN225" s="9" t="str">
        <f>_xll.SNL.Clients.Office.Excel.Functions.SPG(FK225, "SP_COUNTRY_NAME")</f>
        <v>#INVALID COMPANY ID</v>
      </c>
      <c r="FS225" s="9" t="str">
        <f>_xll.SNL.Clients.Office.Excel.Functions.SPG(FP225, "SP_COUNTRY_NAME")</f>
        <v>#INVALID COMPANY ID</v>
      </c>
      <c r="FX225" s="9" t="str">
        <f>_xll.SNL.Clients.Office.Excel.Functions.SPG(FU225, "SP_COUNTRY_NAME")</f>
        <v>#INVALID COMPANY ID</v>
      </c>
      <c r="FY225" t="s">
        <v>428</v>
      </c>
      <c r="FZ225">
        <v>4116134</v>
      </c>
      <c r="GA225" t="s">
        <v>346</v>
      </c>
      <c r="GB225" s="11">
        <v>0.01</v>
      </c>
      <c r="GC225" s="9" t="str">
        <f>_xll.SNL.Clients.Office.Excel.Functions.SPG(FZ225, "SP_COUNTRY_NAME")</f>
        <v>Japan</v>
      </c>
      <c r="GH225" s="9" t="str">
        <f>_xll.SNL.Clients.Office.Excel.Functions.SPG(GE225, "SP_COUNTRY_NAME")</f>
        <v>#INVALID COMPANY ID</v>
      </c>
      <c r="GM225" s="9" t="str">
        <f>_xll.SNL.Clients.Office.Excel.Functions.SPG(GJ225, "SP_COUNTRY_NAME")</f>
        <v>#INVALID COMPANY ID</v>
      </c>
      <c r="GR225" s="9" t="str">
        <f>_xll.SNL.Clients.Office.Excel.Functions.SPG(GO225, "SP_COUNTRY_NAME")</f>
        <v>#INVALID COMPANY ID</v>
      </c>
      <c r="GS225" t="s">
        <v>403</v>
      </c>
      <c r="GT225">
        <v>4033550</v>
      </c>
      <c r="GU225" t="s">
        <v>346</v>
      </c>
      <c r="GV225" s="11">
        <v>0</v>
      </c>
      <c r="GW225" s="9" t="str">
        <f>_xll.SNL.Clients.Office.Excel.Functions.SPG(GT225, "SP_COUNTRY_NAME")</f>
        <v>USA</v>
      </c>
      <c r="GX225" t="s">
        <v>1707</v>
      </c>
      <c r="GY225">
        <v>4283469</v>
      </c>
      <c r="GZ225" t="s">
        <v>369</v>
      </c>
      <c r="HA225" s="11">
        <v>0.01</v>
      </c>
      <c r="HB225" s="9" t="str">
        <f>_xll.SNL.Clients.Office.Excel.Functions.SPG(GY225, "SP_COUNTRY_NAME")</f>
        <v>Chile</v>
      </c>
      <c r="HG225" s="9" t="str">
        <f>_xll.SNL.Clients.Office.Excel.Functions.SPG(HD225, "SP_COUNTRY_NAME")</f>
        <v>#INVALID COMPANY ID</v>
      </c>
    </row>
    <row r="226" spans="5:215" x14ac:dyDescent="0.35">
      <c r="E226" s="9" t="str">
        <f>_xll.SNL.Clients.Office.Excel.Functions.SPG(B226, "SP_COUNTRY_NAME")</f>
        <v>#INVALID COMPANY ID</v>
      </c>
      <c r="F226" t="s">
        <v>610</v>
      </c>
      <c r="G226">
        <v>10343382</v>
      </c>
      <c r="H226" t="s">
        <v>276</v>
      </c>
      <c r="I226" s="11">
        <v>0</v>
      </c>
      <c r="J226" s="9" t="str">
        <f>_xll.SNL.Clients.Office.Excel.Functions.SPG(G226, "SP_COUNTRY_NAME")</f>
        <v>USA</v>
      </c>
      <c r="O226" s="9" t="str">
        <f>_xll.SNL.Clients.Office.Excel.Functions.SPG(L226, "SP_COUNTRY_NAME")</f>
        <v>#INVALID COMPANY ID</v>
      </c>
      <c r="T226" s="9" t="str">
        <f>_xll.SNL.Clients.Office.Excel.Functions.SPG(Q226, "SP_COUNTRY_NAME")</f>
        <v>#INVALID COMPANY ID</v>
      </c>
      <c r="U226" t="s">
        <v>812</v>
      </c>
      <c r="V226" t="s">
        <v>300</v>
      </c>
      <c r="W226" t="s">
        <v>361</v>
      </c>
      <c r="X226" s="11">
        <v>0</v>
      </c>
      <c r="Y226" s="9" t="str">
        <f>_xll.SNL.Clients.Office.Excel.Functions.SPG(V226, "SP_COUNTRY_NAME")</f>
        <v>China</v>
      </c>
      <c r="AD226" s="9" t="str">
        <f>_xll.SNL.Clients.Office.Excel.Functions.SPG(AA226, "SP_COUNTRY_NAME")</f>
        <v>#INVALID COMPANY ID</v>
      </c>
      <c r="AI226" s="9" t="str">
        <f>_xll.SNL.Clients.Office.Excel.Functions.SPG(AF226, "SP_COUNTRY_NAME")</f>
        <v>#INVALID COMPANY ID</v>
      </c>
      <c r="AN226" s="9" t="str">
        <f>_xll.SNL.Clients.Office.Excel.Functions.SPG(AK226, "SP_COUNTRY_NAME")</f>
        <v>#INVALID COMPANY ID</v>
      </c>
      <c r="AO226" t="s">
        <v>1247</v>
      </c>
      <c r="AP226">
        <v>4579063</v>
      </c>
      <c r="AQ226" t="s">
        <v>346</v>
      </c>
      <c r="AR226" s="11">
        <v>0</v>
      </c>
      <c r="AS226" s="9" t="str">
        <f>_xll.SNL.Clients.Office.Excel.Functions.SPG(AP226, "SP_COUNTRY_NAME")</f>
        <v>USA</v>
      </c>
      <c r="AX226" s="9" t="str">
        <f>_xll.SNL.Clients.Office.Excel.Functions.SPG(AU226, "SP_COUNTRY_NAME")</f>
        <v>#INVALID COMPANY ID</v>
      </c>
      <c r="BC226" s="9" t="str">
        <f>_xll.SNL.Clients.Office.Excel.Functions.SPG(AZ226, "SP_COUNTRY_NAME")</f>
        <v>#INVALID COMPANY ID</v>
      </c>
      <c r="BD226" t="s">
        <v>510</v>
      </c>
      <c r="BE226">
        <v>4089114</v>
      </c>
      <c r="BF226" t="s">
        <v>346</v>
      </c>
      <c r="BG226" s="11">
        <v>0.01</v>
      </c>
      <c r="BH226" s="9" t="str">
        <f>_xll.SNL.Clients.Office.Excel.Functions.SPG(BE226, "SP_COUNTRY_NAME")</f>
        <v>USA</v>
      </c>
      <c r="BI226" t="s">
        <v>589</v>
      </c>
      <c r="BJ226">
        <v>4140617</v>
      </c>
      <c r="BK226" t="s">
        <v>346</v>
      </c>
      <c r="BL226" s="11">
        <v>0</v>
      </c>
      <c r="BM226" s="9" t="str">
        <f>_xll.SNL.Clients.Office.Excel.Functions.SPG(BJ226, "SP_COUNTRY_NAME")</f>
        <v>Switzerland</v>
      </c>
      <c r="BN226" t="s">
        <v>1242</v>
      </c>
      <c r="BO226">
        <v>5864922</v>
      </c>
      <c r="BP226" t="s">
        <v>346</v>
      </c>
      <c r="BQ226" s="11">
        <v>0</v>
      </c>
      <c r="BR226" s="9" t="str">
        <f>_xll.SNL.Clients.Office.Excel.Functions.SPG(BO226, "SP_COUNTRY_NAME")</f>
        <v>France</v>
      </c>
      <c r="BS226" t="s">
        <v>993</v>
      </c>
      <c r="BT226">
        <v>4551743</v>
      </c>
      <c r="BU226" t="s">
        <v>346</v>
      </c>
      <c r="BV226" s="11">
        <v>0.01</v>
      </c>
      <c r="BW226" s="9" t="str">
        <f>_xll.SNL.Clients.Office.Excel.Functions.SPG(BT226, "SP_COUNTRY_NAME")</f>
        <v>United Kingdom</v>
      </c>
      <c r="BX226" t="s">
        <v>812</v>
      </c>
      <c r="BY226" t="s">
        <v>300</v>
      </c>
      <c r="BZ226" t="s">
        <v>361</v>
      </c>
      <c r="CA226" s="11">
        <v>0</v>
      </c>
      <c r="CB226" s="9" t="str">
        <f>_xll.SNL.Clients.Office.Excel.Functions.SPG(BY226, "SP_COUNTRY_NAME")</f>
        <v>China</v>
      </c>
      <c r="CC226" t="s">
        <v>1018</v>
      </c>
      <c r="CD226">
        <v>4117563</v>
      </c>
      <c r="CE226" t="s">
        <v>346</v>
      </c>
      <c r="CF226" s="11">
        <v>0.01</v>
      </c>
      <c r="CG226" s="9" t="str">
        <f>_xll.SNL.Clients.Office.Excel.Functions.SPG(CD226, "SP_COUNTRY_NAME")</f>
        <v>USA</v>
      </c>
      <c r="CH226" t="s">
        <v>1247</v>
      </c>
      <c r="CI226">
        <v>4579063</v>
      </c>
      <c r="CJ226" t="s">
        <v>346</v>
      </c>
      <c r="CK226" s="11">
        <v>0</v>
      </c>
      <c r="CL226" s="9" t="str">
        <f>_xll.SNL.Clients.Office.Excel.Functions.SPG(CI226, "SP_COUNTRY_NAME")</f>
        <v>USA</v>
      </c>
      <c r="CM226" t="s">
        <v>1999</v>
      </c>
      <c r="CN226">
        <v>4111723</v>
      </c>
      <c r="CO226" t="s">
        <v>276</v>
      </c>
      <c r="CP226" s="11">
        <v>0.01</v>
      </c>
      <c r="CQ226" s="9" t="str">
        <f>_xll.SNL.Clients.Office.Excel.Functions.SPG(CN226, "SP_COUNTRY_NAME")</f>
        <v>USA</v>
      </c>
      <c r="CV226" s="9" t="str">
        <f>_xll.SNL.Clients.Office.Excel.Functions.SPG(CS226, "SP_COUNTRY_NAME")</f>
        <v>#INVALID COMPANY ID</v>
      </c>
      <c r="DA226" s="9" t="str">
        <f>_xll.SNL.Clients.Office.Excel.Functions.SPG(CX226, "SP_COUNTRY_NAME")</f>
        <v>#INVALID COMPANY ID</v>
      </c>
      <c r="DB226" t="s">
        <v>510</v>
      </c>
      <c r="DC226">
        <v>4089114</v>
      </c>
      <c r="DD226" t="s">
        <v>346</v>
      </c>
      <c r="DE226" s="11">
        <v>0.01</v>
      </c>
      <c r="DF226" s="9" t="str">
        <f>_xll.SNL.Clients.Office.Excel.Functions.SPG(DC226, "SP_COUNTRY_NAME")</f>
        <v>USA</v>
      </c>
      <c r="DK226" s="9" t="str">
        <f>_xll.SNL.Clients.Office.Excel.Functions.SPG(DH226, "SP_COUNTRY_NAME")</f>
        <v>#INVALID COMPANY ID</v>
      </c>
      <c r="DL226" t="s">
        <v>510</v>
      </c>
      <c r="DM226">
        <v>4089114</v>
      </c>
      <c r="DN226" t="s">
        <v>346</v>
      </c>
      <c r="DO226" s="11">
        <v>0.01</v>
      </c>
      <c r="DP226" s="9" t="str">
        <f>_xll.SNL.Clients.Office.Excel.Functions.SPG(DM226, "SP_COUNTRY_NAME")</f>
        <v>USA</v>
      </c>
      <c r="DU226" s="9" t="str">
        <f>_xll.SNL.Clients.Office.Excel.Functions.SPG(DR226, "SP_COUNTRY_NAME")</f>
        <v>#INVALID COMPANY ID</v>
      </c>
      <c r="DZ226" s="9" t="str">
        <f>_xll.SNL.Clients.Office.Excel.Functions.SPG(DW226, "SP_COUNTRY_NAME")</f>
        <v>#INVALID COMPANY ID</v>
      </c>
      <c r="EA226" t="s">
        <v>1018</v>
      </c>
      <c r="EB226">
        <v>4117563</v>
      </c>
      <c r="EC226" t="s">
        <v>346</v>
      </c>
      <c r="ED226" s="11">
        <v>0.01</v>
      </c>
      <c r="EE226" s="9" t="str">
        <f>_xll.SNL.Clients.Office.Excel.Functions.SPG(EB226, "SP_COUNTRY_NAME")</f>
        <v>USA</v>
      </c>
      <c r="EF226" t="s">
        <v>510</v>
      </c>
      <c r="EG226">
        <v>4089114</v>
      </c>
      <c r="EH226" t="s">
        <v>346</v>
      </c>
      <c r="EI226" s="11">
        <v>0.01</v>
      </c>
      <c r="EJ226" s="9" t="str">
        <f>_xll.SNL.Clients.Office.Excel.Functions.SPG(EG226, "SP_COUNTRY_NAME")</f>
        <v>USA</v>
      </c>
      <c r="EO226" s="9" t="str">
        <f>_xll.SNL.Clients.Office.Excel.Functions.SPG(EL226, "SP_COUNTRY_NAME")</f>
        <v>#INVALID COMPANY ID</v>
      </c>
      <c r="ET226" s="9" t="str">
        <f>_xll.SNL.Clients.Office.Excel.Functions.SPG(EQ226, "SP_COUNTRY_NAME")</f>
        <v>#INVALID COMPANY ID</v>
      </c>
      <c r="EY226" s="9" t="str">
        <f>_xll.SNL.Clients.Office.Excel.Functions.SPG(EV226, "SP_COUNTRY_NAME")</f>
        <v>#INVALID COMPANY ID</v>
      </c>
      <c r="FD226" s="9" t="str">
        <f>_xll.SNL.Clients.Office.Excel.Functions.SPG(FA226, "SP_COUNTRY_NAME")</f>
        <v>#INVALID COMPANY ID</v>
      </c>
      <c r="FI226" s="9" t="str">
        <f>_xll.SNL.Clients.Office.Excel.Functions.SPG(FF226, "SP_COUNTRY_NAME")</f>
        <v>#INVALID COMPANY ID</v>
      </c>
      <c r="FN226" s="9" t="str">
        <f>_xll.SNL.Clients.Office.Excel.Functions.SPG(FK226, "SP_COUNTRY_NAME")</f>
        <v>#INVALID COMPANY ID</v>
      </c>
      <c r="FS226" s="9" t="str">
        <f>_xll.SNL.Clients.Office.Excel.Functions.SPG(FP226, "SP_COUNTRY_NAME")</f>
        <v>#INVALID COMPANY ID</v>
      </c>
      <c r="FX226" s="9" t="str">
        <f>_xll.SNL.Clients.Office.Excel.Functions.SPG(FU226, "SP_COUNTRY_NAME")</f>
        <v>#INVALID COMPANY ID</v>
      </c>
      <c r="FY226" t="s">
        <v>510</v>
      </c>
      <c r="FZ226">
        <v>4089114</v>
      </c>
      <c r="GA226" t="s">
        <v>346</v>
      </c>
      <c r="GB226" s="11">
        <v>0.01</v>
      </c>
      <c r="GC226" s="9" t="str">
        <f>_xll.SNL.Clients.Office.Excel.Functions.SPG(FZ226, "SP_COUNTRY_NAME")</f>
        <v>USA</v>
      </c>
      <c r="GH226" s="9" t="str">
        <f>_xll.SNL.Clients.Office.Excel.Functions.SPG(GE226, "SP_COUNTRY_NAME")</f>
        <v>#INVALID COMPANY ID</v>
      </c>
      <c r="GM226" s="9" t="str">
        <f>_xll.SNL.Clients.Office.Excel.Functions.SPG(GJ226, "SP_COUNTRY_NAME")</f>
        <v>#INVALID COMPANY ID</v>
      </c>
      <c r="GR226" s="9" t="str">
        <f>_xll.SNL.Clients.Office.Excel.Functions.SPG(GO226, "SP_COUNTRY_NAME")</f>
        <v>#INVALID COMPANY ID</v>
      </c>
      <c r="GS226" t="s">
        <v>1242</v>
      </c>
      <c r="GT226">
        <v>5864922</v>
      </c>
      <c r="GU226" t="s">
        <v>346</v>
      </c>
      <c r="GV226" s="11">
        <v>0</v>
      </c>
      <c r="GW226" s="9" t="str">
        <f>_xll.SNL.Clients.Office.Excel.Functions.SPG(GT226, "SP_COUNTRY_NAME")</f>
        <v>France</v>
      </c>
      <c r="GX226" t="s">
        <v>1018</v>
      </c>
      <c r="GY226">
        <v>4117563</v>
      </c>
      <c r="GZ226" t="s">
        <v>346</v>
      </c>
      <c r="HA226" s="11">
        <v>0.01</v>
      </c>
      <c r="HB226" s="9" t="str">
        <f>_xll.SNL.Clients.Office.Excel.Functions.SPG(GY226, "SP_COUNTRY_NAME")</f>
        <v>USA</v>
      </c>
      <c r="HG226" s="9" t="str">
        <f>_xll.SNL.Clients.Office.Excel.Functions.SPG(HD226, "SP_COUNTRY_NAME")</f>
        <v>#INVALID COMPANY ID</v>
      </c>
    </row>
    <row r="227" spans="5:215" x14ac:dyDescent="0.35">
      <c r="E227" s="9" t="str">
        <f>_xll.SNL.Clients.Office.Excel.Functions.SPG(B227, "SP_COUNTRY_NAME")</f>
        <v>#INVALID COMPANY ID</v>
      </c>
      <c r="F227" t="s">
        <v>419</v>
      </c>
      <c r="G227">
        <v>4338202</v>
      </c>
      <c r="H227" t="s">
        <v>346</v>
      </c>
      <c r="I227" s="11">
        <v>0</v>
      </c>
      <c r="J227" s="9" t="str">
        <f>_xll.SNL.Clients.Office.Excel.Functions.SPG(G227, "SP_COUNTRY_NAME")</f>
        <v>USA</v>
      </c>
      <c r="O227" s="9" t="str">
        <f>_xll.SNL.Clients.Office.Excel.Functions.SPG(L227, "SP_COUNTRY_NAME")</f>
        <v>#INVALID COMPANY ID</v>
      </c>
      <c r="T227" s="9" t="str">
        <f>_xll.SNL.Clients.Office.Excel.Functions.SPG(Q227, "SP_COUNTRY_NAME")</f>
        <v>#INVALID COMPANY ID</v>
      </c>
      <c r="U227" t="s">
        <v>813</v>
      </c>
      <c r="V227">
        <v>5810740</v>
      </c>
      <c r="W227" t="s">
        <v>346</v>
      </c>
      <c r="X227" s="11">
        <v>0</v>
      </c>
      <c r="Y227" s="9" t="str">
        <f>_xll.SNL.Clients.Office.Excel.Functions.SPG(V227, "SP_COUNTRY_NAME")</f>
        <v>China</v>
      </c>
      <c r="AD227" s="9" t="str">
        <f>_xll.SNL.Clients.Office.Excel.Functions.SPG(AA227, "SP_COUNTRY_NAME")</f>
        <v>#INVALID COMPANY ID</v>
      </c>
      <c r="AI227" s="9" t="str">
        <f>_xll.SNL.Clients.Office.Excel.Functions.SPG(AF227, "SP_COUNTRY_NAME")</f>
        <v>#INVALID COMPANY ID</v>
      </c>
      <c r="AN227" s="9" t="str">
        <f>_xll.SNL.Clients.Office.Excel.Functions.SPG(AK227, "SP_COUNTRY_NAME")</f>
        <v>#INVALID COMPANY ID</v>
      </c>
      <c r="AO227" t="s">
        <v>428</v>
      </c>
      <c r="AP227">
        <v>4116134</v>
      </c>
      <c r="AQ227" t="s">
        <v>346</v>
      </c>
      <c r="AR227" s="11">
        <v>0</v>
      </c>
      <c r="AS227" s="9" t="str">
        <f>_xll.SNL.Clients.Office.Excel.Functions.SPG(AP227, "SP_COUNTRY_NAME")</f>
        <v>Japan</v>
      </c>
      <c r="AX227" s="9" t="str">
        <f>_xll.SNL.Clients.Office.Excel.Functions.SPG(AU227, "SP_COUNTRY_NAME")</f>
        <v>#INVALID COMPANY ID</v>
      </c>
      <c r="BC227" s="9" t="str">
        <f>_xll.SNL.Clients.Office.Excel.Functions.SPG(AZ227, "SP_COUNTRY_NAME")</f>
        <v>#INVALID COMPANY ID</v>
      </c>
      <c r="BD227" t="s">
        <v>488</v>
      </c>
      <c r="BE227">
        <v>4087052</v>
      </c>
      <c r="BF227" t="s">
        <v>346</v>
      </c>
      <c r="BG227" s="11">
        <v>0.01</v>
      </c>
      <c r="BH227" s="9" t="str">
        <f>_xll.SNL.Clients.Office.Excel.Functions.SPG(BE227, "SP_COUNTRY_NAME")</f>
        <v>USA</v>
      </c>
      <c r="BI227" t="s">
        <v>925</v>
      </c>
      <c r="BJ227">
        <v>4055966</v>
      </c>
      <c r="BK227" t="s">
        <v>346</v>
      </c>
      <c r="BL227" s="11">
        <v>0</v>
      </c>
      <c r="BM227" s="9" t="str">
        <f>_xll.SNL.Clients.Office.Excel.Functions.SPG(BJ227, "SP_COUNTRY_NAME")</f>
        <v>USA</v>
      </c>
      <c r="BN227" t="s">
        <v>800</v>
      </c>
      <c r="BO227">
        <v>5883563</v>
      </c>
      <c r="BP227" t="s">
        <v>346</v>
      </c>
      <c r="BQ227" s="11">
        <v>0</v>
      </c>
      <c r="BR227" s="9" t="str">
        <f>_xll.SNL.Clients.Office.Excel.Functions.SPG(BO227, "SP_COUNTRY_NAME")</f>
        <v>China</v>
      </c>
      <c r="BS227" t="s">
        <v>802</v>
      </c>
      <c r="BT227">
        <v>4345262</v>
      </c>
      <c r="BU227" t="s">
        <v>346</v>
      </c>
      <c r="BV227" s="11">
        <v>0.01</v>
      </c>
      <c r="BW227" s="9" t="str">
        <f>_xll.SNL.Clients.Office.Excel.Functions.SPG(BT227, "SP_COUNTRY_NAME")</f>
        <v>China</v>
      </c>
      <c r="BX227" t="s">
        <v>813</v>
      </c>
      <c r="BY227">
        <v>5810740</v>
      </c>
      <c r="BZ227" t="s">
        <v>346</v>
      </c>
      <c r="CA227" s="11">
        <v>0</v>
      </c>
      <c r="CB227" s="9" t="str">
        <f>_xll.SNL.Clients.Office.Excel.Functions.SPG(BY227, "SP_COUNTRY_NAME")</f>
        <v>China</v>
      </c>
      <c r="CC227" t="s">
        <v>1708</v>
      </c>
      <c r="CD227">
        <v>4188958</v>
      </c>
      <c r="CE227" t="s">
        <v>346</v>
      </c>
      <c r="CF227" s="11">
        <v>0.01</v>
      </c>
      <c r="CG227" s="9" t="str">
        <f>_xll.SNL.Clients.Office.Excel.Functions.SPG(CD227, "SP_COUNTRY_NAME")</f>
        <v>USA</v>
      </c>
      <c r="CH227" t="s">
        <v>428</v>
      </c>
      <c r="CI227">
        <v>4116134</v>
      </c>
      <c r="CJ227" t="s">
        <v>346</v>
      </c>
      <c r="CK227" s="11">
        <v>0</v>
      </c>
      <c r="CL227" s="9" t="str">
        <f>_xll.SNL.Clients.Office.Excel.Functions.SPG(CI227, "SP_COUNTRY_NAME")</f>
        <v>Japan</v>
      </c>
      <c r="CM227" t="s">
        <v>1305</v>
      </c>
      <c r="CN227">
        <v>5866366</v>
      </c>
      <c r="CO227" t="s">
        <v>346</v>
      </c>
      <c r="CP227" s="11">
        <v>0.01</v>
      </c>
      <c r="CQ227" s="9" t="str">
        <f>_xll.SNL.Clients.Office.Excel.Functions.SPG(CN227, "SP_COUNTRY_NAME")</f>
        <v>South Africa</v>
      </c>
      <c r="CV227" s="9" t="str">
        <f>_xll.SNL.Clients.Office.Excel.Functions.SPG(CS227, "SP_COUNTRY_NAME")</f>
        <v>#INVALID COMPANY ID</v>
      </c>
      <c r="DA227" s="9" t="str">
        <f>_xll.SNL.Clients.Office.Excel.Functions.SPG(CX227, "SP_COUNTRY_NAME")</f>
        <v>#INVALID COMPANY ID</v>
      </c>
      <c r="DB227" t="s">
        <v>488</v>
      </c>
      <c r="DC227">
        <v>4087052</v>
      </c>
      <c r="DD227" t="s">
        <v>346</v>
      </c>
      <c r="DE227" s="11">
        <v>0.01</v>
      </c>
      <c r="DF227" s="9" t="str">
        <f>_xll.SNL.Clients.Office.Excel.Functions.SPG(DC227, "SP_COUNTRY_NAME")</f>
        <v>USA</v>
      </c>
      <c r="DK227" s="9" t="str">
        <f>_xll.SNL.Clients.Office.Excel.Functions.SPG(DH227, "SP_COUNTRY_NAME")</f>
        <v>#INVALID COMPANY ID</v>
      </c>
      <c r="DL227" t="s">
        <v>488</v>
      </c>
      <c r="DM227">
        <v>4087052</v>
      </c>
      <c r="DN227" t="s">
        <v>346</v>
      </c>
      <c r="DO227" s="11">
        <v>0.01</v>
      </c>
      <c r="DP227" s="9" t="str">
        <f>_xll.SNL.Clients.Office.Excel.Functions.SPG(DM227, "SP_COUNTRY_NAME")</f>
        <v>USA</v>
      </c>
      <c r="DU227" s="9" t="str">
        <f>_xll.SNL.Clients.Office.Excel.Functions.SPG(DR227, "SP_COUNTRY_NAME")</f>
        <v>#INVALID COMPANY ID</v>
      </c>
      <c r="DZ227" s="9" t="str">
        <f>_xll.SNL.Clients.Office.Excel.Functions.SPG(DW227, "SP_COUNTRY_NAME")</f>
        <v>#INVALID COMPANY ID</v>
      </c>
      <c r="EA227" t="s">
        <v>1708</v>
      </c>
      <c r="EB227">
        <v>4188958</v>
      </c>
      <c r="EC227" t="s">
        <v>346</v>
      </c>
      <c r="ED227" s="11">
        <v>0.01</v>
      </c>
      <c r="EE227" s="9" t="str">
        <f>_xll.SNL.Clients.Office.Excel.Functions.SPG(EB227, "SP_COUNTRY_NAME")</f>
        <v>USA</v>
      </c>
      <c r="EF227" t="s">
        <v>488</v>
      </c>
      <c r="EG227">
        <v>4087052</v>
      </c>
      <c r="EH227" t="s">
        <v>346</v>
      </c>
      <c r="EI227" s="11">
        <v>0.01</v>
      </c>
      <c r="EJ227" s="9" t="str">
        <f>_xll.SNL.Clients.Office.Excel.Functions.SPG(EG227, "SP_COUNTRY_NAME")</f>
        <v>USA</v>
      </c>
      <c r="EO227" s="9" t="str">
        <f>_xll.SNL.Clients.Office.Excel.Functions.SPG(EL227, "SP_COUNTRY_NAME")</f>
        <v>#INVALID COMPANY ID</v>
      </c>
      <c r="ET227" s="9" t="str">
        <f>_xll.SNL.Clients.Office.Excel.Functions.SPG(EQ227, "SP_COUNTRY_NAME")</f>
        <v>#INVALID COMPANY ID</v>
      </c>
      <c r="EY227" s="9" t="str">
        <f>_xll.SNL.Clients.Office.Excel.Functions.SPG(EV227, "SP_COUNTRY_NAME")</f>
        <v>#INVALID COMPANY ID</v>
      </c>
      <c r="FD227" s="9" t="str">
        <f>_xll.SNL.Clients.Office.Excel.Functions.SPG(FA227, "SP_COUNTRY_NAME")</f>
        <v>#INVALID COMPANY ID</v>
      </c>
      <c r="FI227" s="9" t="str">
        <f>_xll.SNL.Clients.Office.Excel.Functions.SPG(FF227, "SP_COUNTRY_NAME")</f>
        <v>#INVALID COMPANY ID</v>
      </c>
      <c r="FN227" s="9" t="str">
        <f>_xll.SNL.Clients.Office.Excel.Functions.SPG(FK227, "SP_COUNTRY_NAME")</f>
        <v>#INVALID COMPANY ID</v>
      </c>
      <c r="FS227" s="9" t="str">
        <f>_xll.SNL.Clients.Office.Excel.Functions.SPG(FP227, "SP_COUNTRY_NAME")</f>
        <v>#INVALID COMPANY ID</v>
      </c>
      <c r="FX227" s="9" t="str">
        <f>_xll.SNL.Clients.Office.Excel.Functions.SPG(FU227, "SP_COUNTRY_NAME")</f>
        <v>#INVALID COMPANY ID</v>
      </c>
      <c r="FY227" t="s">
        <v>488</v>
      </c>
      <c r="FZ227">
        <v>4087052</v>
      </c>
      <c r="GA227" t="s">
        <v>346</v>
      </c>
      <c r="GB227" s="11">
        <v>0.01</v>
      </c>
      <c r="GC227" s="9" t="str">
        <f>_xll.SNL.Clients.Office.Excel.Functions.SPG(FZ227, "SP_COUNTRY_NAME")</f>
        <v>USA</v>
      </c>
      <c r="GH227" s="9" t="str">
        <f>_xll.SNL.Clients.Office.Excel.Functions.SPG(GE227, "SP_COUNTRY_NAME")</f>
        <v>#INVALID COMPANY ID</v>
      </c>
      <c r="GM227" s="9" t="str">
        <f>_xll.SNL.Clients.Office.Excel.Functions.SPG(GJ227, "SP_COUNTRY_NAME")</f>
        <v>#INVALID COMPANY ID</v>
      </c>
      <c r="GR227" s="9" t="str">
        <f>_xll.SNL.Clients.Office.Excel.Functions.SPG(GO227, "SP_COUNTRY_NAME")</f>
        <v>#INVALID COMPANY ID</v>
      </c>
      <c r="GS227" t="s">
        <v>800</v>
      </c>
      <c r="GT227">
        <v>5883563</v>
      </c>
      <c r="GU227" t="s">
        <v>346</v>
      </c>
      <c r="GV227" s="11">
        <v>0</v>
      </c>
      <c r="GW227" s="9" t="str">
        <f>_xll.SNL.Clients.Office.Excel.Functions.SPG(GT227, "SP_COUNTRY_NAME")</f>
        <v>China</v>
      </c>
      <c r="GX227" t="s">
        <v>1708</v>
      </c>
      <c r="GY227">
        <v>4188958</v>
      </c>
      <c r="GZ227" t="s">
        <v>346</v>
      </c>
      <c r="HA227" s="11">
        <v>0.01</v>
      </c>
      <c r="HB227" s="9" t="str">
        <f>_xll.SNL.Clients.Office.Excel.Functions.SPG(GY227, "SP_COUNTRY_NAME")</f>
        <v>USA</v>
      </c>
      <c r="HG227" s="9" t="str">
        <f>_xll.SNL.Clients.Office.Excel.Functions.SPG(HD227, "SP_COUNTRY_NAME")</f>
        <v>#INVALID COMPANY ID</v>
      </c>
    </row>
    <row r="228" spans="5:215" x14ac:dyDescent="0.35">
      <c r="E228" s="9" t="str">
        <f>_xll.SNL.Clients.Office.Excel.Functions.SPG(B228, "SP_COUNTRY_NAME")</f>
        <v>#INVALID COMPANY ID</v>
      </c>
      <c r="F228" t="s">
        <v>611</v>
      </c>
      <c r="G228">
        <v>4288242</v>
      </c>
      <c r="H228" t="s">
        <v>346</v>
      </c>
      <c r="I228" s="11">
        <v>0</v>
      </c>
      <c r="J228" s="9" t="str">
        <f>_xll.SNL.Clients.Office.Excel.Functions.SPG(G228, "SP_COUNTRY_NAME")</f>
        <v>USA</v>
      </c>
      <c r="O228" s="9" t="str">
        <f>_xll.SNL.Clients.Office.Excel.Functions.SPG(L228, "SP_COUNTRY_NAME")</f>
        <v>#INVALID COMPANY ID</v>
      </c>
      <c r="T228" s="9" t="str">
        <f>_xll.SNL.Clients.Office.Excel.Functions.SPG(Q228, "SP_COUNTRY_NAME")</f>
        <v>#INVALID COMPANY ID</v>
      </c>
      <c r="U228" t="s">
        <v>814</v>
      </c>
      <c r="V228">
        <v>133018323</v>
      </c>
      <c r="W228" t="s">
        <v>346</v>
      </c>
      <c r="X228" s="11">
        <v>0</v>
      </c>
      <c r="Y228" s="9" t="str">
        <f>_xll.SNL.Clients.Office.Excel.Functions.SPG(V228, "SP_COUNTRY_NAME")</f>
        <v>USA</v>
      </c>
      <c r="AD228" s="9" t="str">
        <f>_xll.SNL.Clients.Office.Excel.Functions.SPG(AA228, "SP_COUNTRY_NAME")</f>
        <v>#INVALID COMPANY ID</v>
      </c>
      <c r="AI228" s="9" t="str">
        <f>_xll.SNL.Clients.Office.Excel.Functions.SPG(AF228, "SP_COUNTRY_NAME")</f>
        <v>#INVALID COMPANY ID</v>
      </c>
      <c r="AN228" s="9" t="str">
        <f>_xll.SNL.Clients.Office.Excel.Functions.SPG(AK228, "SP_COUNTRY_NAME")</f>
        <v>#INVALID COMPANY ID</v>
      </c>
      <c r="AO228" t="s">
        <v>453</v>
      </c>
      <c r="AP228">
        <v>4318598</v>
      </c>
      <c r="AQ228" t="s">
        <v>346</v>
      </c>
      <c r="AR228" s="11">
        <v>0</v>
      </c>
      <c r="AS228" s="9" t="str">
        <f>_xll.SNL.Clients.Office.Excel.Functions.SPG(AP228, "SP_COUNTRY_NAME")</f>
        <v>USA</v>
      </c>
      <c r="AX228" s="9" t="str">
        <f>_xll.SNL.Clients.Office.Excel.Functions.SPG(AU228, "SP_COUNTRY_NAME")</f>
        <v>#INVALID COMPANY ID</v>
      </c>
      <c r="BC228" s="9" t="str">
        <f>_xll.SNL.Clients.Office.Excel.Functions.SPG(AZ228, "SP_COUNTRY_NAME")</f>
        <v>#INVALID COMPANY ID</v>
      </c>
      <c r="BD228" t="s">
        <v>1266</v>
      </c>
      <c r="BE228">
        <v>5842278</v>
      </c>
      <c r="BF228" t="s">
        <v>346</v>
      </c>
      <c r="BG228" s="11">
        <v>0.01</v>
      </c>
      <c r="BH228" s="9" t="str">
        <f>_xll.SNL.Clients.Office.Excel.Functions.SPG(BE228, "SP_COUNTRY_NAME")</f>
        <v>South Africa</v>
      </c>
      <c r="BI228" t="s">
        <v>1175</v>
      </c>
      <c r="BJ228">
        <v>4138457</v>
      </c>
      <c r="BK228" t="s">
        <v>346</v>
      </c>
      <c r="BL228" s="11">
        <v>0</v>
      </c>
      <c r="BM228" s="9" t="str">
        <f>_xll.SNL.Clients.Office.Excel.Functions.SPG(BJ228, "SP_COUNTRY_NAME")</f>
        <v>Germany</v>
      </c>
      <c r="BN228" t="s">
        <v>730</v>
      </c>
      <c r="BO228">
        <v>4436408</v>
      </c>
      <c r="BP228" t="s">
        <v>346</v>
      </c>
      <c r="BQ228" s="11">
        <v>0</v>
      </c>
      <c r="BR228" s="9" t="str">
        <f>_xll.SNL.Clients.Office.Excel.Functions.SPG(BO228, "SP_COUNTRY_NAME")</f>
        <v>China</v>
      </c>
      <c r="BS228" t="s">
        <v>565</v>
      </c>
      <c r="BT228">
        <v>26566323</v>
      </c>
      <c r="BU228" t="s">
        <v>346</v>
      </c>
      <c r="BV228" s="11">
        <v>0.01</v>
      </c>
      <c r="BW228" s="9" t="str">
        <f>_xll.SNL.Clients.Office.Excel.Functions.SPG(BT228, "SP_COUNTRY_NAME")</f>
        <v>USA</v>
      </c>
      <c r="BX228" t="s">
        <v>814</v>
      </c>
      <c r="BY228">
        <v>133018323</v>
      </c>
      <c r="BZ228" t="s">
        <v>346</v>
      </c>
      <c r="CA228" s="11">
        <v>0</v>
      </c>
      <c r="CB228" s="9" t="str">
        <f>_xll.SNL.Clients.Office.Excel.Functions.SPG(BY228, "SP_COUNTRY_NAME")</f>
        <v>USA</v>
      </c>
      <c r="CC228" t="s">
        <v>1709</v>
      </c>
      <c r="CD228">
        <v>7260213</v>
      </c>
      <c r="CE228" t="s">
        <v>346</v>
      </c>
      <c r="CF228" s="11">
        <v>0.01</v>
      </c>
      <c r="CG228" s="9" t="str">
        <f>_xll.SNL.Clients.Office.Excel.Functions.SPG(CD228, "SP_COUNTRY_NAME")</f>
        <v>United Kingdom</v>
      </c>
      <c r="CH228" t="s">
        <v>453</v>
      </c>
      <c r="CI228">
        <v>4318598</v>
      </c>
      <c r="CJ228" t="s">
        <v>346</v>
      </c>
      <c r="CK228" s="11">
        <v>0</v>
      </c>
      <c r="CL228" s="9" t="str">
        <f>_xll.SNL.Clients.Office.Excel.Functions.SPG(CI228, "SP_COUNTRY_NAME")</f>
        <v>USA</v>
      </c>
      <c r="CM228" t="s">
        <v>2000</v>
      </c>
      <c r="CN228">
        <v>4138856</v>
      </c>
      <c r="CO228" t="s">
        <v>363</v>
      </c>
      <c r="CP228" s="11">
        <v>0.01</v>
      </c>
      <c r="CQ228" s="9" t="str">
        <f>_xll.SNL.Clients.Office.Excel.Functions.SPG(CN228, "SP_COUNTRY_NAME")</f>
        <v>USA</v>
      </c>
      <c r="CV228" s="9" t="str">
        <f>_xll.SNL.Clients.Office.Excel.Functions.SPG(CS228, "SP_COUNTRY_NAME")</f>
        <v>#INVALID COMPANY ID</v>
      </c>
      <c r="DA228" s="9" t="str">
        <f>_xll.SNL.Clients.Office.Excel.Functions.SPG(CX228, "SP_COUNTRY_NAME")</f>
        <v>#INVALID COMPANY ID</v>
      </c>
      <c r="DB228" t="s">
        <v>1266</v>
      </c>
      <c r="DC228">
        <v>5842278</v>
      </c>
      <c r="DD228" t="s">
        <v>346</v>
      </c>
      <c r="DE228" s="11">
        <v>0.01</v>
      </c>
      <c r="DF228" s="9" t="str">
        <f>_xll.SNL.Clients.Office.Excel.Functions.SPG(DC228, "SP_COUNTRY_NAME")</f>
        <v>South Africa</v>
      </c>
      <c r="DK228" s="9" t="str">
        <f>_xll.SNL.Clients.Office.Excel.Functions.SPG(DH228, "SP_COUNTRY_NAME")</f>
        <v>#INVALID COMPANY ID</v>
      </c>
      <c r="DL228" t="s">
        <v>1266</v>
      </c>
      <c r="DM228">
        <v>5842278</v>
      </c>
      <c r="DN228" t="s">
        <v>346</v>
      </c>
      <c r="DO228" s="11">
        <v>0.01</v>
      </c>
      <c r="DP228" s="9" t="str">
        <f>_xll.SNL.Clients.Office.Excel.Functions.SPG(DM228, "SP_COUNTRY_NAME")</f>
        <v>South Africa</v>
      </c>
      <c r="DU228" s="9" t="str">
        <f>_xll.SNL.Clients.Office.Excel.Functions.SPG(DR228, "SP_COUNTRY_NAME")</f>
        <v>#INVALID COMPANY ID</v>
      </c>
      <c r="DZ228" s="9" t="str">
        <f>_xll.SNL.Clients.Office.Excel.Functions.SPG(DW228, "SP_COUNTRY_NAME")</f>
        <v>#INVALID COMPANY ID</v>
      </c>
      <c r="EA228" t="s">
        <v>1709</v>
      </c>
      <c r="EB228">
        <v>7260213</v>
      </c>
      <c r="EC228" t="s">
        <v>346</v>
      </c>
      <c r="ED228" s="11">
        <v>0.01</v>
      </c>
      <c r="EE228" s="9" t="str">
        <f>_xll.SNL.Clients.Office.Excel.Functions.SPG(EB228, "SP_COUNTRY_NAME")</f>
        <v>United Kingdom</v>
      </c>
      <c r="EF228" t="s">
        <v>1266</v>
      </c>
      <c r="EG228">
        <v>5842278</v>
      </c>
      <c r="EH228" t="s">
        <v>346</v>
      </c>
      <c r="EI228" s="11">
        <v>0.01</v>
      </c>
      <c r="EJ228" s="9" t="str">
        <f>_xll.SNL.Clients.Office.Excel.Functions.SPG(EG228, "SP_COUNTRY_NAME")</f>
        <v>South Africa</v>
      </c>
      <c r="EO228" s="9" t="str">
        <f>_xll.SNL.Clients.Office.Excel.Functions.SPG(EL228, "SP_COUNTRY_NAME")</f>
        <v>#INVALID COMPANY ID</v>
      </c>
      <c r="ET228" s="9" t="str">
        <f>_xll.SNL.Clients.Office.Excel.Functions.SPG(EQ228, "SP_COUNTRY_NAME")</f>
        <v>#INVALID COMPANY ID</v>
      </c>
      <c r="EY228" s="9" t="str">
        <f>_xll.SNL.Clients.Office.Excel.Functions.SPG(EV228, "SP_COUNTRY_NAME")</f>
        <v>#INVALID COMPANY ID</v>
      </c>
      <c r="FD228" s="9" t="str">
        <f>_xll.SNL.Clients.Office.Excel.Functions.SPG(FA228, "SP_COUNTRY_NAME")</f>
        <v>#INVALID COMPANY ID</v>
      </c>
      <c r="FI228" s="9" t="str">
        <f>_xll.SNL.Clients.Office.Excel.Functions.SPG(FF228, "SP_COUNTRY_NAME")</f>
        <v>#INVALID COMPANY ID</v>
      </c>
      <c r="FN228" s="9" t="str">
        <f>_xll.SNL.Clients.Office.Excel.Functions.SPG(FK228, "SP_COUNTRY_NAME")</f>
        <v>#INVALID COMPANY ID</v>
      </c>
      <c r="FS228" s="9" t="str">
        <f>_xll.SNL.Clients.Office.Excel.Functions.SPG(FP228, "SP_COUNTRY_NAME")</f>
        <v>#INVALID COMPANY ID</v>
      </c>
      <c r="FX228" s="9" t="str">
        <f>_xll.SNL.Clients.Office.Excel.Functions.SPG(FU228, "SP_COUNTRY_NAME")</f>
        <v>#INVALID COMPANY ID</v>
      </c>
      <c r="FY228" t="s">
        <v>1266</v>
      </c>
      <c r="FZ228">
        <v>5842278</v>
      </c>
      <c r="GA228" t="s">
        <v>346</v>
      </c>
      <c r="GB228" s="11">
        <v>0.01</v>
      </c>
      <c r="GC228" s="9" t="str">
        <f>_xll.SNL.Clients.Office.Excel.Functions.SPG(FZ228, "SP_COUNTRY_NAME")</f>
        <v>South Africa</v>
      </c>
      <c r="GH228" s="9" t="str">
        <f>_xll.SNL.Clients.Office.Excel.Functions.SPG(GE228, "SP_COUNTRY_NAME")</f>
        <v>#INVALID COMPANY ID</v>
      </c>
      <c r="GM228" s="9" t="str">
        <f>_xll.SNL.Clients.Office.Excel.Functions.SPG(GJ228, "SP_COUNTRY_NAME")</f>
        <v>#INVALID COMPANY ID</v>
      </c>
      <c r="GR228" s="9" t="str">
        <f>_xll.SNL.Clients.Office.Excel.Functions.SPG(GO228, "SP_COUNTRY_NAME")</f>
        <v>#INVALID COMPANY ID</v>
      </c>
      <c r="GS228" t="s">
        <v>730</v>
      </c>
      <c r="GT228">
        <v>4436408</v>
      </c>
      <c r="GU228" t="s">
        <v>346</v>
      </c>
      <c r="GV228" s="11">
        <v>0</v>
      </c>
      <c r="GW228" s="9" t="str">
        <f>_xll.SNL.Clients.Office.Excel.Functions.SPG(GT228, "SP_COUNTRY_NAME")</f>
        <v>China</v>
      </c>
      <c r="GX228" t="s">
        <v>1709</v>
      </c>
      <c r="GY228">
        <v>7260213</v>
      </c>
      <c r="GZ228" t="s">
        <v>346</v>
      </c>
      <c r="HA228" s="11">
        <v>0.01</v>
      </c>
      <c r="HB228" s="9" t="str">
        <f>_xll.SNL.Clients.Office.Excel.Functions.SPG(GY228, "SP_COUNTRY_NAME")</f>
        <v>United Kingdom</v>
      </c>
      <c r="HG228" s="9" t="str">
        <f>_xll.SNL.Clients.Office.Excel.Functions.SPG(HD228, "SP_COUNTRY_NAME")</f>
        <v>#INVALID COMPANY ID</v>
      </c>
    </row>
    <row r="229" spans="5:215" x14ac:dyDescent="0.35">
      <c r="E229" s="9" t="str">
        <f>_xll.SNL.Clients.Office.Excel.Functions.SPG(B229, "SP_COUNTRY_NAME")</f>
        <v>#INVALID COMPANY ID</v>
      </c>
      <c r="F229" t="s">
        <v>612</v>
      </c>
      <c r="G229">
        <v>5805166</v>
      </c>
      <c r="H229" t="s">
        <v>346</v>
      </c>
      <c r="I229" s="11">
        <v>0</v>
      </c>
      <c r="J229" s="9" t="str">
        <f>_xll.SNL.Clients.Office.Excel.Functions.SPG(G229, "SP_COUNTRY_NAME")</f>
        <v>Luxembourg</v>
      </c>
      <c r="O229" s="9" t="str">
        <f>_xll.SNL.Clients.Office.Excel.Functions.SPG(L229, "SP_COUNTRY_NAME")</f>
        <v>#INVALID COMPANY ID</v>
      </c>
      <c r="T229" s="9" t="str">
        <f>_xll.SNL.Clients.Office.Excel.Functions.SPG(Q229, "SP_COUNTRY_NAME")</f>
        <v>#INVALID COMPANY ID</v>
      </c>
      <c r="U229" t="s">
        <v>685</v>
      </c>
      <c r="V229">
        <v>4641730</v>
      </c>
      <c r="W229" t="s">
        <v>346</v>
      </c>
      <c r="X229" s="11">
        <v>0</v>
      </c>
      <c r="Y229" s="9" t="str">
        <f>_xll.SNL.Clients.Office.Excel.Functions.SPG(V229, "SP_COUNTRY_NAME")</f>
        <v>Hong Kong</v>
      </c>
      <c r="AD229" s="9" t="str">
        <f>_xll.SNL.Clients.Office.Excel.Functions.SPG(AA229, "SP_COUNTRY_NAME")</f>
        <v>#INVALID COMPANY ID</v>
      </c>
      <c r="AI229" s="9" t="str">
        <f>_xll.SNL.Clients.Office.Excel.Functions.SPG(AF229, "SP_COUNTRY_NAME")</f>
        <v>#INVALID COMPANY ID</v>
      </c>
      <c r="AN229" s="9" t="str">
        <f>_xll.SNL.Clients.Office.Excel.Functions.SPG(AK229, "SP_COUNTRY_NAME")</f>
        <v>#INVALID COMPANY ID</v>
      </c>
      <c r="AO229" t="s">
        <v>1352</v>
      </c>
      <c r="AP229">
        <v>10796005</v>
      </c>
      <c r="AQ229" t="s">
        <v>346</v>
      </c>
      <c r="AR229" s="11">
        <v>0</v>
      </c>
      <c r="AS229" s="9" t="str">
        <f>_xll.SNL.Clients.Office.Excel.Functions.SPG(AP229, "SP_COUNTRY_NAME")</f>
        <v>South Africa</v>
      </c>
      <c r="AX229" s="9" t="str">
        <f>_xll.SNL.Clients.Office.Excel.Functions.SPG(AU229, "SP_COUNTRY_NAME")</f>
        <v>#INVALID COMPANY ID</v>
      </c>
      <c r="BC229" s="9" t="str">
        <f>_xll.SNL.Clients.Office.Excel.Functions.SPG(AZ229, "SP_COUNTRY_NAME")</f>
        <v>#INVALID COMPANY ID</v>
      </c>
      <c r="BD229" t="s">
        <v>894</v>
      </c>
      <c r="BE229">
        <v>4139629</v>
      </c>
      <c r="BF229" t="s">
        <v>346</v>
      </c>
      <c r="BG229" s="11">
        <v>0.01</v>
      </c>
      <c r="BH229" s="9" t="str">
        <f>_xll.SNL.Clients.Office.Excel.Functions.SPG(BE229, "SP_COUNTRY_NAME")</f>
        <v>Singapore</v>
      </c>
      <c r="BI229" t="s">
        <v>1543</v>
      </c>
      <c r="BJ229">
        <v>5763215</v>
      </c>
      <c r="BK229" t="s">
        <v>346</v>
      </c>
      <c r="BL229" s="11">
        <v>0</v>
      </c>
      <c r="BM229" s="9" t="str">
        <f>_xll.SNL.Clients.Office.Excel.Functions.SPG(BJ229, "SP_COUNTRY_NAME")</f>
        <v>Switzerland</v>
      </c>
      <c r="BN229" t="s">
        <v>425</v>
      </c>
      <c r="BO229">
        <v>4137704</v>
      </c>
      <c r="BP229" t="s">
        <v>346</v>
      </c>
      <c r="BQ229" s="11">
        <v>0</v>
      </c>
      <c r="BR229" s="9" t="str">
        <f>_xll.SNL.Clients.Office.Excel.Functions.SPG(BO229, "SP_COUNTRY_NAME")</f>
        <v>Japan</v>
      </c>
      <c r="BS229" t="s">
        <v>778</v>
      </c>
      <c r="BT229">
        <v>4341872</v>
      </c>
      <c r="BU229" t="s">
        <v>346</v>
      </c>
      <c r="BV229" s="11">
        <v>0.01</v>
      </c>
      <c r="BW229" s="9" t="str">
        <f>_xll.SNL.Clients.Office.Excel.Functions.SPG(BT229, "SP_COUNTRY_NAME")</f>
        <v>China</v>
      </c>
      <c r="BX229" t="s">
        <v>685</v>
      </c>
      <c r="BY229">
        <v>4641730</v>
      </c>
      <c r="BZ229" t="s">
        <v>346</v>
      </c>
      <c r="CA229" s="11">
        <v>0</v>
      </c>
      <c r="CB229" s="9" t="str">
        <f>_xll.SNL.Clients.Office.Excel.Functions.SPG(BY229, "SP_COUNTRY_NAME")</f>
        <v>Hong Kong</v>
      </c>
      <c r="CC229" t="s">
        <v>488</v>
      </c>
      <c r="CD229">
        <v>4087052</v>
      </c>
      <c r="CE229" t="s">
        <v>346</v>
      </c>
      <c r="CF229" s="11">
        <v>0.01</v>
      </c>
      <c r="CG229" s="9" t="str">
        <f>_xll.SNL.Clients.Office.Excel.Functions.SPG(CD229, "SP_COUNTRY_NAME")</f>
        <v>USA</v>
      </c>
      <c r="CH229" t="s">
        <v>1352</v>
      </c>
      <c r="CI229">
        <v>10796005</v>
      </c>
      <c r="CJ229" t="s">
        <v>346</v>
      </c>
      <c r="CK229" s="11">
        <v>0</v>
      </c>
      <c r="CL229" s="9" t="str">
        <f>_xll.SNL.Clients.Office.Excel.Functions.SPG(CI229, "SP_COUNTRY_NAME")</f>
        <v>South Africa</v>
      </c>
      <c r="CM229" t="s">
        <v>583</v>
      </c>
      <c r="CN229">
        <v>4579014</v>
      </c>
      <c r="CO229" t="s">
        <v>346</v>
      </c>
      <c r="CP229" s="11">
        <v>0.01</v>
      </c>
      <c r="CQ229" s="9" t="str">
        <f>_xll.SNL.Clients.Office.Excel.Functions.SPG(CN229, "SP_COUNTRY_NAME")</f>
        <v>USA</v>
      </c>
      <c r="CV229" s="9" t="str">
        <f>_xll.SNL.Clients.Office.Excel.Functions.SPG(CS229, "SP_COUNTRY_NAME")</f>
        <v>#INVALID COMPANY ID</v>
      </c>
      <c r="DA229" s="9" t="str">
        <f>_xll.SNL.Clients.Office.Excel.Functions.SPG(CX229, "SP_COUNTRY_NAME")</f>
        <v>#INVALID COMPANY ID</v>
      </c>
      <c r="DB229" t="s">
        <v>894</v>
      </c>
      <c r="DC229">
        <v>4139629</v>
      </c>
      <c r="DD229" t="s">
        <v>346</v>
      </c>
      <c r="DE229" s="11">
        <v>0.01</v>
      </c>
      <c r="DF229" s="9" t="str">
        <f>_xll.SNL.Clients.Office.Excel.Functions.SPG(DC229, "SP_COUNTRY_NAME")</f>
        <v>Singapore</v>
      </c>
      <c r="DK229" s="9" t="str">
        <f>_xll.SNL.Clients.Office.Excel.Functions.SPG(DH229, "SP_COUNTRY_NAME")</f>
        <v>#INVALID COMPANY ID</v>
      </c>
      <c r="DL229" t="s">
        <v>894</v>
      </c>
      <c r="DM229">
        <v>4139629</v>
      </c>
      <c r="DN229" t="s">
        <v>346</v>
      </c>
      <c r="DO229" s="11">
        <v>0.01</v>
      </c>
      <c r="DP229" s="9" t="str">
        <f>_xll.SNL.Clients.Office.Excel.Functions.SPG(DM229, "SP_COUNTRY_NAME")</f>
        <v>Singapore</v>
      </c>
      <c r="DU229" s="9" t="str">
        <f>_xll.SNL.Clients.Office.Excel.Functions.SPG(DR229, "SP_COUNTRY_NAME")</f>
        <v>#INVALID COMPANY ID</v>
      </c>
      <c r="DZ229" s="9" t="str">
        <f>_xll.SNL.Clients.Office.Excel.Functions.SPG(DW229, "SP_COUNTRY_NAME")</f>
        <v>#INVALID COMPANY ID</v>
      </c>
      <c r="EA229" t="s">
        <v>488</v>
      </c>
      <c r="EB229">
        <v>4087052</v>
      </c>
      <c r="EC229" t="s">
        <v>346</v>
      </c>
      <c r="ED229" s="11">
        <v>0.01</v>
      </c>
      <c r="EE229" s="9" t="str">
        <f>_xll.SNL.Clients.Office.Excel.Functions.SPG(EB229, "SP_COUNTRY_NAME")</f>
        <v>USA</v>
      </c>
      <c r="EF229" t="s">
        <v>894</v>
      </c>
      <c r="EG229">
        <v>4139629</v>
      </c>
      <c r="EH229" t="s">
        <v>346</v>
      </c>
      <c r="EI229" s="11">
        <v>0.01</v>
      </c>
      <c r="EJ229" s="9" t="str">
        <f>_xll.SNL.Clients.Office.Excel.Functions.SPG(EG229, "SP_COUNTRY_NAME")</f>
        <v>Singapore</v>
      </c>
      <c r="EO229" s="9" t="str">
        <f>_xll.SNL.Clients.Office.Excel.Functions.SPG(EL229, "SP_COUNTRY_NAME")</f>
        <v>#INVALID COMPANY ID</v>
      </c>
      <c r="ET229" s="9" t="str">
        <f>_xll.SNL.Clients.Office.Excel.Functions.SPG(EQ229, "SP_COUNTRY_NAME")</f>
        <v>#INVALID COMPANY ID</v>
      </c>
      <c r="EY229" s="9" t="str">
        <f>_xll.SNL.Clients.Office.Excel.Functions.SPG(EV229, "SP_COUNTRY_NAME")</f>
        <v>#INVALID COMPANY ID</v>
      </c>
      <c r="FD229" s="9" t="str">
        <f>_xll.SNL.Clients.Office.Excel.Functions.SPG(FA229, "SP_COUNTRY_NAME")</f>
        <v>#INVALID COMPANY ID</v>
      </c>
      <c r="FI229" s="9" t="str">
        <f>_xll.SNL.Clients.Office.Excel.Functions.SPG(FF229, "SP_COUNTRY_NAME")</f>
        <v>#INVALID COMPANY ID</v>
      </c>
      <c r="FN229" s="9" t="str">
        <f>_xll.SNL.Clients.Office.Excel.Functions.SPG(FK229, "SP_COUNTRY_NAME")</f>
        <v>#INVALID COMPANY ID</v>
      </c>
      <c r="FS229" s="9" t="str">
        <f>_xll.SNL.Clients.Office.Excel.Functions.SPG(FP229, "SP_COUNTRY_NAME")</f>
        <v>#INVALID COMPANY ID</v>
      </c>
      <c r="FX229" s="9" t="str">
        <f>_xll.SNL.Clients.Office.Excel.Functions.SPG(FU229, "SP_COUNTRY_NAME")</f>
        <v>#INVALID COMPANY ID</v>
      </c>
      <c r="FY229" t="s">
        <v>894</v>
      </c>
      <c r="FZ229">
        <v>4139629</v>
      </c>
      <c r="GA229" t="s">
        <v>346</v>
      </c>
      <c r="GB229" s="11">
        <v>0.01</v>
      </c>
      <c r="GC229" s="9" t="str">
        <f>_xll.SNL.Clients.Office.Excel.Functions.SPG(FZ229, "SP_COUNTRY_NAME")</f>
        <v>Singapore</v>
      </c>
      <c r="GH229" s="9" t="str">
        <f>_xll.SNL.Clients.Office.Excel.Functions.SPG(GE229, "SP_COUNTRY_NAME")</f>
        <v>#INVALID COMPANY ID</v>
      </c>
      <c r="GM229" s="9" t="str">
        <f>_xll.SNL.Clients.Office.Excel.Functions.SPG(GJ229, "SP_COUNTRY_NAME")</f>
        <v>#INVALID COMPANY ID</v>
      </c>
      <c r="GR229" s="9" t="str">
        <f>_xll.SNL.Clients.Office.Excel.Functions.SPG(GO229, "SP_COUNTRY_NAME")</f>
        <v>#INVALID COMPANY ID</v>
      </c>
      <c r="GS229" t="s">
        <v>425</v>
      </c>
      <c r="GT229">
        <v>4137704</v>
      </c>
      <c r="GU229" t="s">
        <v>346</v>
      </c>
      <c r="GV229" s="11">
        <v>0</v>
      </c>
      <c r="GW229" s="9" t="str">
        <f>_xll.SNL.Clients.Office.Excel.Functions.SPG(GT229, "SP_COUNTRY_NAME")</f>
        <v>Japan</v>
      </c>
      <c r="GX229" t="s">
        <v>488</v>
      </c>
      <c r="GY229">
        <v>4087052</v>
      </c>
      <c r="GZ229" t="s">
        <v>346</v>
      </c>
      <c r="HA229" s="11">
        <v>0.01</v>
      </c>
      <c r="HB229" s="9" t="str">
        <f>_xll.SNL.Clients.Office.Excel.Functions.SPG(GY229, "SP_COUNTRY_NAME")</f>
        <v>USA</v>
      </c>
      <c r="HG229" s="9" t="str">
        <f>_xll.SNL.Clients.Office.Excel.Functions.SPG(HD229, "SP_COUNTRY_NAME")</f>
        <v>#INVALID COMPANY ID</v>
      </c>
    </row>
    <row r="230" spans="5:215" x14ac:dyDescent="0.35">
      <c r="E230" s="9" t="str">
        <f>_xll.SNL.Clients.Office.Excel.Functions.SPG(B230, "SP_COUNTRY_NAME")</f>
        <v>#INVALID COMPANY ID</v>
      </c>
      <c r="F230" t="s">
        <v>613</v>
      </c>
      <c r="G230">
        <v>27267005</v>
      </c>
      <c r="H230" t="s">
        <v>346</v>
      </c>
      <c r="I230" s="11">
        <v>0</v>
      </c>
      <c r="J230" s="9" t="str">
        <f>_xll.SNL.Clients.Office.Excel.Functions.SPG(G230, "SP_COUNTRY_NAME")</f>
        <v>Ireland</v>
      </c>
      <c r="O230" s="9" t="str">
        <f>_xll.SNL.Clients.Office.Excel.Functions.SPG(L230, "SP_COUNTRY_NAME")</f>
        <v>#INVALID COMPANY ID</v>
      </c>
      <c r="T230" s="9" t="str">
        <f>_xll.SNL.Clients.Office.Excel.Functions.SPG(Q230, "SP_COUNTRY_NAME")</f>
        <v>#INVALID COMPANY ID</v>
      </c>
      <c r="U230" t="s">
        <v>428</v>
      </c>
      <c r="V230">
        <v>4116134</v>
      </c>
      <c r="W230" t="s">
        <v>346</v>
      </c>
      <c r="X230" s="11">
        <v>0</v>
      </c>
      <c r="Y230" s="9" t="str">
        <f>_xll.SNL.Clients.Office.Excel.Functions.SPG(V230, "SP_COUNTRY_NAME")</f>
        <v>Japan</v>
      </c>
      <c r="AD230" s="9" t="str">
        <f>_xll.SNL.Clients.Office.Excel.Functions.SPG(AA230, "SP_COUNTRY_NAME")</f>
        <v>#INVALID COMPANY ID</v>
      </c>
      <c r="AI230" s="9" t="str">
        <f>_xll.SNL.Clients.Office.Excel.Functions.SPG(AF230, "SP_COUNTRY_NAME")</f>
        <v>#INVALID COMPANY ID</v>
      </c>
      <c r="AN230" s="9" t="str">
        <f>_xll.SNL.Clients.Office.Excel.Functions.SPG(AK230, "SP_COUNTRY_NAME")</f>
        <v>#INVALID COMPANY ID</v>
      </c>
      <c r="AO230" t="s">
        <v>1353</v>
      </c>
      <c r="AP230">
        <v>5867014</v>
      </c>
      <c r="AQ230" t="s">
        <v>364</v>
      </c>
      <c r="AR230" s="11">
        <v>0</v>
      </c>
      <c r="AS230" s="9" t="str">
        <f>_xll.SNL.Clients.Office.Excel.Functions.SPG(AP230, "SP_COUNTRY_NAME")</f>
        <v>South Africa</v>
      </c>
      <c r="AX230" s="9" t="str">
        <f>_xll.SNL.Clients.Office.Excel.Functions.SPG(AU230, "SP_COUNTRY_NAME")</f>
        <v>#INVALID COMPANY ID</v>
      </c>
      <c r="BC230" s="9" t="str">
        <f>_xll.SNL.Clients.Office.Excel.Functions.SPG(AZ230, "SP_COUNTRY_NAME")</f>
        <v>#INVALID COMPANY ID</v>
      </c>
      <c r="BD230" t="s">
        <v>984</v>
      </c>
      <c r="BE230">
        <v>4113062</v>
      </c>
      <c r="BF230" t="s">
        <v>346</v>
      </c>
      <c r="BG230" s="11">
        <v>0.01</v>
      </c>
      <c r="BH230" s="9" t="str">
        <f>_xll.SNL.Clients.Office.Excel.Functions.SPG(BE230, "SP_COUNTRY_NAME")</f>
        <v>USA</v>
      </c>
      <c r="BI230" t="s">
        <v>1247</v>
      </c>
      <c r="BJ230">
        <v>4579063</v>
      </c>
      <c r="BK230" t="s">
        <v>346</v>
      </c>
      <c r="BL230" s="11">
        <v>0</v>
      </c>
      <c r="BM230" s="9" t="str">
        <f>_xll.SNL.Clients.Office.Excel.Functions.SPG(BJ230, "SP_COUNTRY_NAME")</f>
        <v>USA</v>
      </c>
      <c r="BN230" t="s">
        <v>822</v>
      </c>
      <c r="BO230">
        <v>15947616</v>
      </c>
      <c r="BP230" t="s">
        <v>346</v>
      </c>
      <c r="BQ230" s="11">
        <v>0</v>
      </c>
      <c r="BR230" s="9" t="str">
        <f>_xll.SNL.Clients.Office.Excel.Functions.SPG(BO230, "SP_COUNTRY_NAME")</f>
        <v>China</v>
      </c>
      <c r="BS230" t="s">
        <v>745</v>
      </c>
      <c r="BT230">
        <v>4120036</v>
      </c>
      <c r="BU230" t="s">
        <v>364</v>
      </c>
      <c r="BV230" s="11">
        <v>0.01</v>
      </c>
      <c r="BW230" s="9" t="str">
        <f>_xll.SNL.Clients.Office.Excel.Functions.SPG(BT230, "SP_COUNTRY_NAME")</f>
        <v>Hong Kong</v>
      </c>
      <c r="BX230" t="s">
        <v>428</v>
      </c>
      <c r="BY230">
        <v>4116134</v>
      </c>
      <c r="BZ230" t="s">
        <v>346</v>
      </c>
      <c r="CA230" s="11">
        <v>0</v>
      </c>
      <c r="CB230" s="9" t="str">
        <f>_xll.SNL.Clients.Office.Excel.Functions.SPG(BY230, "SP_COUNTRY_NAME")</f>
        <v>Japan</v>
      </c>
      <c r="CC230" t="s">
        <v>1710</v>
      </c>
      <c r="CD230">
        <v>4291339</v>
      </c>
      <c r="CE230" t="s">
        <v>346</v>
      </c>
      <c r="CF230" s="11">
        <v>0.01</v>
      </c>
      <c r="CG230" s="9" t="str">
        <f>_xll.SNL.Clients.Office.Excel.Functions.SPG(CD230, "SP_COUNTRY_NAME")</f>
        <v>Brazil</v>
      </c>
      <c r="CH230" t="s">
        <v>1353</v>
      </c>
      <c r="CI230">
        <v>5867014</v>
      </c>
      <c r="CJ230" t="s">
        <v>364</v>
      </c>
      <c r="CK230" s="11">
        <v>0</v>
      </c>
      <c r="CL230" s="9" t="str">
        <f>_xll.SNL.Clients.Office.Excel.Functions.SPG(CI230, "SP_COUNTRY_NAME")</f>
        <v>South Africa</v>
      </c>
      <c r="CM230" t="s">
        <v>2001</v>
      </c>
      <c r="CN230">
        <v>4030090</v>
      </c>
      <c r="CO230" t="s">
        <v>276</v>
      </c>
      <c r="CP230" s="11">
        <v>0.01</v>
      </c>
      <c r="CQ230" s="9" t="str">
        <f>_xll.SNL.Clients.Office.Excel.Functions.SPG(CN230, "SP_COUNTRY_NAME")</f>
        <v>USA</v>
      </c>
      <c r="CV230" s="9" t="str">
        <f>_xll.SNL.Clients.Office.Excel.Functions.SPG(CS230, "SP_COUNTRY_NAME")</f>
        <v>#INVALID COMPANY ID</v>
      </c>
      <c r="DA230" s="9" t="str">
        <f>_xll.SNL.Clients.Office.Excel.Functions.SPG(CX230, "SP_COUNTRY_NAME")</f>
        <v>#INVALID COMPANY ID</v>
      </c>
      <c r="DB230" t="s">
        <v>984</v>
      </c>
      <c r="DC230">
        <v>4113062</v>
      </c>
      <c r="DD230" t="s">
        <v>346</v>
      </c>
      <c r="DE230" s="11">
        <v>0.01</v>
      </c>
      <c r="DF230" s="9" t="str">
        <f>_xll.SNL.Clients.Office.Excel.Functions.SPG(DC230, "SP_COUNTRY_NAME")</f>
        <v>USA</v>
      </c>
      <c r="DK230" s="9" t="str">
        <f>_xll.SNL.Clients.Office.Excel.Functions.SPG(DH230, "SP_COUNTRY_NAME")</f>
        <v>#INVALID COMPANY ID</v>
      </c>
      <c r="DL230" t="s">
        <v>984</v>
      </c>
      <c r="DM230">
        <v>4113062</v>
      </c>
      <c r="DN230" t="s">
        <v>346</v>
      </c>
      <c r="DO230" s="11">
        <v>0.01</v>
      </c>
      <c r="DP230" s="9" t="str">
        <f>_xll.SNL.Clients.Office.Excel.Functions.SPG(DM230, "SP_COUNTRY_NAME")</f>
        <v>USA</v>
      </c>
      <c r="DU230" s="9" t="str">
        <f>_xll.SNL.Clients.Office.Excel.Functions.SPG(DR230, "SP_COUNTRY_NAME")</f>
        <v>#INVALID COMPANY ID</v>
      </c>
      <c r="DZ230" s="9" t="str">
        <f>_xll.SNL.Clients.Office.Excel.Functions.SPG(DW230, "SP_COUNTRY_NAME")</f>
        <v>#INVALID COMPANY ID</v>
      </c>
      <c r="EA230" t="s">
        <v>1710</v>
      </c>
      <c r="EB230">
        <v>4291339</v>
      </c>
      <c r="EC230" t="s">
        <v>346</v>
      </c>
      <c r="ED230" s="11">
        <v>0.01</v>
      </c>
      <c r="EE230" s="9" t="str">
        <f>_xll.SNL.Clients.Office.Excel.Functions.SPG(EB230, "SP_COUNTRY_NAME")</f>
        <v>Brazil</v>
      </c>
      <c r="EF230" t="s">
        <v>984</v>
      </c>
      <c r="EG230">
        <v>4113062</v>
      </c>
      <c r="EH230" t="s">
        <v>346</v>
      </c>
      <c r="EI230" s="11">
        <v>0.01</v>
      </c>
      <c r="EJ230" s="9" t="str">
        <f>_xll.SNL.Clients.Office.Excel.Functions.SPG(EG230, "SP_COUNTRY_NAME")</f>
        <v>USA</v>
      </c>
      <c r="EO230" s="9" t="str">
        <f>_xll.SNL.Clients.Office.Excel.Functions.SPG(EL230, "SP_COUNTRY_NAME")</f>
        <v>#INVALID COMPANY ID</v>
      </c>
      <c r="ET230" s="9" t="str">
        <f>_xll.SNL.Clients.Office.Excel.Functions.SPG(EQ230, "SP_COUNTRY_NAME")</f>
        <v>#INVALID COMPANY ID</v>
      </c>
      <c r="EY230" s="9" t="str">
        <f>_xll.SNL.Clients.Office.Excel.Functions.SPG(EV230, "SP_COUNTRY_NAME")</f>
        <v>#INVALID COMPANY ID</v>
      </c>
      <c r="FD230" s="9" t="str">
        <f>_xll.SNL.Clients.Office.Excel.Functions.SPG(FA230, "SP_COUNTRY_NAME")</f>
        <v>#INVALID COMPANY ID</v>
      </c>
      <c r="FI230" s="9" t="str">
        <f>_xll.SNL.Clients.Office.Excel.Functions.SPG(FF230, "SP_COUNTRY_NAME")</f>
        <v>#INVALID COMPANY ID</v>
      </c>
      <c r="FN230" s="9" t="str">
        <f>_xll.SNL.Clients.Office.Excel.Functions.SPG(FK230, "SP_COUNTRY_NAME")</f>
        <v>#INVALID COMPANY ID</v>
      </c>
      <c r="FS230" s="9" t="str">
        <f>_xll.SNL.Clients.Office.Excel.Functions.SPG(FP230, "SP_COUNTRY_NAME")</f>
        <v>#INVALID COMPANY ID</v>
      </c>
      <c r="FX230" s="9" t="str">
        <f>_xll.SNL.Clients.Office.Excel.Functions.SPG(FU230, "SP_COUNTRY_NAME")</f>
        <v>#INVALID COMPANY ID</v>
      </c>
      <c r="FY230" t="s">
        <v>984</v>
      </c>
      <c r="FZ230">
        <v>4113062</v>
      </c>
      <c r="GA230" t="s">
        <v>346</v>
      </c>
      <c r="GB230" s="11">
        <v>0.01</v>
      </c>
      <c r="GC230" s="9" t="str">
        <f>_xll.SNL.Clients.Office.Excel.Functions.SPG(FZ230, "SP_COUNTRY_NAME")</f>
        <v>USA</v>
      </c>
      <c r="GH230" s="9" t="str">
        <f>_xll.SNL.Clients.Office.Excel.Functions.SPG(GE230, "SP_COUNTRY_NAME")</f>
        <v>#INVALID COMPANY ID</v>
      </c>
      <c r="GM230" s="9" t="str">
        <f>_xll.SNL.Clients.Office.Excel.Functions.SPG(GJ230, "SP_COUNTRY_NAME")</f>
        <v>#INVALID COMPANY ID</v>
      </c>
      <c r="GR230" s="9" t="str">
        <f>_xll.SNL.Clients.Office.Excel.Functions.SPG(GO230, "SP_COUNTRY_NAME")</f>
        <v>#INVALID COMPANY ID</v>
      </c>
      <c r="GS230" t="s">
        <v>822</v>
      </c>
      <c r="GT230">
        <v>15947616</v>
      </c>
      <c r="GU230" t="s">
        <v>346</v>
      </c>
      <c r="GV230" s="11">
        <v>0</v>
      </c>
      <c r="GW230" s="9" t="str">
        <f>_xll.SNL.Clients.Office.Excel.Functions.SPG(GT230, "SP_COUNTRY_NAME")</f>
        <v>China</v>
      </c>
      <c r="GX230" t="s">
        <v>1710</v>
      </c>
      <c r="GY230">
        <v>4291339</v>
      </c>
      <c r="GZ230" t="s">
        <v>346</v>
      </c>
      <c r="HA230" s="11">
        <v>0.01</v>
      </c>
      <c r="HB230" s="9" t="str">
        <f>_xll.SNL.Clients.Office.Excel.Functions.SPG(GY230, "SP_COUNTRY_NAME")</f>
        <v>Brazil</v>
      </c>
      <c r="HG230" s="9" t="str">
        <f>_xll.SNL.Clients.Office.Excel.Functions.SPG(HD230, "SP_COUNTRY_NAME")</f>
        <v>#INVALID COMPANY ID</v>
      </c>
    </row>
    <row r="231" spans="5:215" x14ac:dyDescent="0.35">
      <c r="E231" s="9" t="str">
        <f>_xll.SNL.Clients.Office.Excel.Functions.SPG(B231, "SP_COUNTRY_NAME")</f>
        <v>#INVALID COMPANY ID</v>
      </c>
      <c r="F231" t="s">
        <v>614</v>
      </c>
      <c r="G231">
        <v>7844534</v>
      </c>
      <c r="H231" t="s">
        <v>346</v>
      </c>
      <c r="I231" s="11">
        <v>0</v>
      </c>
      <c r="J231" s="9" t="str">
        <f>_xll.SNL.Clients.Office.Excel.Functions.SPG(G231, "SP_COUNTRY_NAME")</f>
        <v>Switzerland</v>
      </c>
      <c r="O231" s="9" t="str">
        <f>_xll.SNL.Clients.Office.Excel.Functions.SPG(L231, "SP_COUNTRY_NAME")</f>
        <v>#INVALID COMPANY ID</v>
      </c>
      <c r="T231" s="9" t="str">
        <f>_xll.SNL.Clients.Office.Excel.Functions.SPG(Q231, "SP_COUNTRY_NAME")</f>
        <v>#INVALID COMPANY ID</v>
      </c>
      <c r="U231" t="s">
        <v>815</v>
      </c>
      <c r="V231">
        <v>110287</v>
      </c>
      <c r="W231" t="s">
        <v>346</v>
      </c>
      <c r="X231" s="11">
        <v>0</v>
      </c>
      <c r="Y231" s="9" t="str">
        <f>_xll.SNL.Clients.Office.Excel.Functions.SPG(V231, "SP_COUNTRY_NAME")</f>
        <v>Canada</v>
      </c>
      <c r="AD231" s="9" t="str">
        <f>_xll.SNL.Clients.Office.Excel.Functions.SPG(AA231, "SP_COUNTRY_NAME")</f>
        <v>#INVALID COMPANY ID</v>
      </c>
      <c r="AI231" s="9" t="str">
        <f>_xll.SNL.Clients.Office.Excel.Functions.SPG(AF231, "SP_COUNTRY_NAME")</f>
        <v>#INVALID COMPANY ID</v>
      </c>
      <c r="AN231" s="9" t="str">
        <f>_xll.SNL.Clients.Office.Excel.Functions.SPG(AK231, "SP_COUNTRY_NAME")</f>
        <v>#INVALID COMPANY ID</v>
      </c>
      <c r="AO231" t="s">
        <v>1032</v>
      </c>
      <c r="AP231">
        <v>4343973</v>
      </c>
      <c r="AQ231" t="s">
        <v>346</v>
      </c>
      <c r="AR231" s="11">
        <v>0</v>
      </c>
      <c r="AS231" s="9" t="str">
        <f>_xll.SNL.Clients.Office.Excel.Functions.SPG(AP231, "SP_COUNTRY_NAME")</f>
        <v>Norway</v>
      </c>
      <c r="AX231" s="9" t="str">
        <f>_xll.SNL.Clients.Office.Excel.Functions.SPG(AU231, "SP_COUNTRY_NAME")</f>
        <v>#INVALID COMPANY ID</v>
      </c>
      <c r="BC231" s="9" t="str">
        <f>_xll.SNL.Clients.Office.Excel.Functions.SPG(AZ231, "SP_COUNTRY_NAME")</f>
        <v>#INVALID COMPANY ID</v>
      </c>
      <c r="BD231" t="s">
        <v>1461</v>
      </c>
      <c r="BE231">
        <v>5783407</v>
      </c>
      <c r="BF231" t="s">
        <v>346</v>
      </c>
      <c r="BG231" s="11">
        <v>0.01</v>
      </c>
      <c r="BH231" s="9" t="str">
        <f>_xll.SNL.Clients.Office.Excel.Functions.SPG(BE231, "SP_COUNTRY_NAME")</f>
        <v>Canada</v>
      </c>
      <c r="BI231" t="s">
        <v>1592</v>
      </c>
      <c r="BJ231" t="s">
        <v>300</v>
      </c>
      <c r="BK231" t="s">
        <v>361</v>
      </c>
      <c r="BL231" s="11">
        <v>0</v>
      </c>
      <c r="BM231" s="9" t="str">
        <f>_xll.SNL.Clients.Office.Excel.Functions.SPG(BJ231, "SP_COUNTRY_NAME")</f>
        <v>China</v>
      </c>
      <c r="BN231" t="s">
        <v>918</v>
      </c>
      <c r="BO231">
        <v>4860042</v>
      </c>
      <c r="BP231" t="s">
        <v>346</v>
      </c>
      <c r="BQ231" s="11">
        <v>0</v>
      </c>
      <c r="BR231" s="9" t="str">
        <f>_xll.SNL.Clients.Office.Excel.Functions.SPG(BO231, "SP_COUNTRY_NAME")</f>
        <v>China</v>
      </c>
      <c r="BS231" t="s">
        <v>934</v>
      </c>
      <c r="BT231">
        <v>10533696</v>
      </c>
      <c r="BU231" t="s">
        <v>346</v>
      </c>
      <c r="BV231" s="11">
        <v>0.01</v>
      </c>
      <c r="BW231" s="9" t="str">
        <f>_xll.SNL.Clients.Office.Excel.Functions.SPG(BT231, "SP_COUNTRY_NAME")</f>
        <v>Hong Kong</v>
      </c>
      <c r="BX231" t="s">
        <v>815</v>
      </c>
      <c r="BY231">
        <v>110287</v>
      </c>
      <c r="BZ231" t="s">
        <v>346</v>
      </c>
      <c r="CA231" s="11">
        <v>0</v>
      </c>
      <c r="CB231" s="9" t="str">
        <f>_xll.SNL.Clients.Office.Excel.Functions.SPG(BY231, "SP_COUNTRY_NAME")</f>
        <v>Canada</v>
      </c>
      <c r="CC231" t="s">
        <v>549</v>
      </c>
      <c r="CD231">
        <v>4556203</v>
      </c>
      <c r="CE231" t="s">
        <v>346</v>
      </c>
      <c r="CF231" s="11">
        <v>0.01</v>
      </c>
      <c r="CG231" s="9" t="str">
        <f>_xll.SNL.Clients.Office.Excel.Functions.SPG(CD231, "SP_COUNTRY_NAME")</f>
        <v>USA</v>
      </c>
      <c r="CH231" t="s">
        <v>1032</v>
      </c>
      <c r="CI231">
        <v>4343973</v>
      </c>
      <c r="CJ231" t="s">
        <v>346</v>
      </c>
      <c r="CK231" s="11">
        <v>0</v>
      </c>
      <c r="CL231" s="9" t="str">
        <f>_xll.SNL.Clients.Office.Excel.Functions.SPG(CI231, "SP_COUNTRY_NAME")</f>
        <v>Norway</v>
      </c>
      <c r="CM231" t="s">
        <v>1290</v>
      </c>
      <c r="CN231">
        <v>4275763</v>
      </c>
      <c r="CO231" t="s">
        <v>346</v>
      </c>
      <c r="CP231" s="11">
        <v>0.01</v>
      </c>
      <c r="CQ231" s="9" t="str">
        <f>_xll.SNL.Clients.Office.Excel.Functions.SPG(CN231, "SP_COUNTRY_NAME")</f>
        <v>South Africa</v>
      </c>
      <c r="CV231" s="9" t="str">
        <f>_xll.SNL.Clients.Office.Excel.Functions.SPG(CS231, "SP_COUNTRY_NAME")</f>
        <v>#INVALID COMPANY ID</v>
      </c>
      <c r="DA231" s="9" t="str">
        <f>_xll.SNL.Clients.Office.Excel.Functions.SPG(CX231, "SP_COUNTRY_NAME")</f>
        <v>#INVALID COMPANY ID</v>
      </c>
      <c r="DB231" t="s">
        <v>1461</v>
      </c>
      <c r="DC231">
        <v>5783407</v>
      </c>
      <c r="DD231" t="s">
        <v>346</v>
      </c>
      <c r="DE231" s="11">
        <v>0.01</v>
      </c>
      <c r="DF231" s="9" t="str">
        <f>_xll.SNL.Clients.Office.Excel.Functions.SPG(DC231, "SP_COUNTRY_NAME")</f>
        <v>Canada</v>
      </c>
      <c r="DK231" s="9" t="str">
        <f>_xll.SNL.Clients.Office.Excel.Functions.SPG(DH231, "SP_COUNTRY_NAME")</f>
        <v>#INVALID COMPANY ID</v>
      </c>
      <c r="DL231" t="s">
        <v>1461</v>
      </c>
      <c r="DM231">
        <v>5783407</v>
      </c>
      <c r="DN231" t="s">
        <v>346</v>
      </c>
      <c r="DO231" s="11">
        <v>0.01</v>
      </c>
      <c r="DP231" s="9" t="str">
        <f>_xll.SNL.Clients.Office.Excel.Functions.SPG(DM231, "SP_COUNTRY_NAME")</f>
        <v>Canada</v>
      </c>
      <c r="DU231" s="9" t="str">
        <f>_xll.SNL.Clients.Office.Excel.Functions.SPG(DR231, "SP_COUNTRY_NAME")</f>
        <v>#INVALID COMPANY ID</v>
      </c>
      <c r="DZ231" s="9" t="str">
        <f>_xll.SNL.Clients.Office.Excel.Functions.SPG(DW231, "SP_COUNTRY_NAME")</f>
        <v>#INVALID COMPANY ID</v>
      </c>
      <c r="EA231" t="s">
        <v>549</v>
      </c>
      <c r="EB231">
        <v>4556203</v>
      </c>
      <c r="EC231" t="s">
        <v>346</v>
      </c>
      <c r="ED231" s="11">
        <v>0.01</v>
      </c>
      <c r="EE231" s="9" t="str">
        <f>_xll.SNL.Clients.Office.Excel.Functions.SPG(EB231, "SP_COUNTRY_NAME")</f>
        <v>USA</v>
      </c>
      <c r="EF231" t="s">
        <v>1461</v>
      </c>
      <c r="EG231">
        <v>5783407</v>
      </c>
      <c r="EH231" t="s">
        <v>346</v>
      </c>
      <c r="EI231" s="11">
        <v>0.01</v>
      </c>
      <c r="EJ231" s="9" t="str">
        <f>_xll.SNL.Clients.Office.Excel.Functions.SPG(EG231, "SP_COUNTRY_NAME")</f>
        <v>Canada</v>
      </c>
      <c r="EO231" s="9" t="str">
        <f>_xll.SNL.Clients.Office.Excel.Functions.SPG(EL231, "SP_COUNTRY_NAME")</f>
        <v>#INVALID COMPANY ID</v>
      </c>
      <c r="ET231" s="9" t="str">
        <f>_xll.SNL.Clients.Office.Excel.Functions.SPG(EQ231, "SP_COUNTRY_NAME")</f>
        <v>#INVALID COMPANY ID</v>
      </c>
      <c r="EY231" s="9" t="str">
        <f>_xll.SNL.Clients.Office.Excel.Functions.SPG(EV231, "SP_COUNTRY_NAME")</f>
        <v>#INVALID COMPANY ID</v>
      </c>
      <c r="FD231" s="9" t="str">
        <f>_xll.SNL.Clients.Office.Excel.Functions.SPG(FA231, "SP_COUNTRY_NAME")</f>
        <v>#INVALID COMPANY ID</v>
      </c>
      <c r="FI231" s="9" t="str">
        <f>_xll.SNL.Clients.Office.Excel.Functions.SPG(FF231, "SP_COUNTRY_NAME")</f>
        <v>#INVALID COMPANY ID</v>
      </c>
      <c r="FN231" s="9" t="str">
        <f>_xll.SNL.Clients.Office.Excel.Functions.SPG(FK231, "SP_COUNTRY_NAME")</f>
        <v>#INVALID COMPANY ID</v>
      </c>
      <c r="FS231" s="9" t="str">
        <f>_xll.SNL.Clients.Office.Excel.Functions.SPG(FP231, "SP_COUNTRY_NAME")</f>
        <v>#INVALID COMPANY ID</v>
      </c>
      <c r="FX231" s="9" t="str">
        <f>_xll.SNL.Clients.Office.Excel.Functions.SPG(FU231, "SP_COUNTRY_NAME")</f>
        <v>#INVALID COMPANY ID</v>
      </c>
      <c r="FY231" t="s">
        <v>1461</v>
      </c>
      <c r="FZ231">
        <v>5783407</v>
      </c>
      <c r="GA231" t="s">
        <v>346</v>
      </c>
      <c r="GB231" s="11">
        <v>0.01</v>
      </c>
      <c r="GC231" s="9" t="str">
        <f>_xll.SNL.Clients.Office.Excel.Functions.SPG(FZ231, "SP_COUNTRY_NAME")</f>
        <v>Canada</v>
      </c>
      <c r="GH231" s="9" t="str">
        <f>_xll.SNL.Clients.Office.Excel.Functions.SPG(GE231, "SP_COUNTRY_NAME")</f>
        <v>#INVALID COMPANY ID</v>
      </c>
      <c r="GM231" s="9" t="str">
        <f>_xll.SNL.Clients.Office.Excel.Functions.SPG(GJ231, "SP_COUNTRY_NAME")</f>
        <v>#INVALID COMPANY ID</v>
      </c>
      <c r="GR231" s="9" t="str">
        <f>_xll.SNL.Clients.Office.Excel.Functions.SPG(GO231, "SP_COUNTRY_NAME")</f>
        <v>#INVALID COMPANY ID</v>
      </c>
      <c r="GS231" t="s">
        <v>918</v>
      </c>
      <c r="GT231">
        <v>4860042</v>
      </c>
      <c r="GU231" t="s">
        <v>346</v>
      </c>
      <c r="GV231" s="11">
        <v>0</v>
      </c>
      <c r="GW231" s="9" t="str">
        <f>_xll.SNL.Clients.Office.Excel.Functions.SPG(GT231, "SP_COUNTRY_NAME")</f>
        <v>China</v>
      </c>
      <c r="GX231" t="s">
        <v>549</v>
      </c>
      <c r="GY231">
        <v>4556203</v>
      </c>
      <c r="GZ231" t="s">
        <v>346</v>
      </c>
      <c r="HA231" s="11">
        <v>0.01</v>
      </c>
      <c r="HB231" s="9" t="str">
        <f>_xll.SNL.Clients.Office.Excel.Functions.SPG(GY231, "SP_COUNTRY_NAME")</f>
        <v>USA</v>
      </c>
      <c r="HG231" s="9" t="str">
        <f>_xll.SNL.Clients.Office.Excel.Functions.SPG(HD231, "SP_COUNTRY_NAME")</f>
        <v>#INVALID COMPANY ID</v>
      </c>
    </row>
    <row r="232" spans="5:215" x14ac:dyDescent="0.35">
      <c r="E232" s="9" t="str">
        <f>_xll.SNL.Clients.Office.Excel.Functions.SPG(B232, "SP_COUNTRY_NAME")</f>
        <v>#INVALID COMPANY ID</v>
      </c>
      <c r="F232" t="s">
        <v>615</v>
      </c>
      <c r="G232">
        <v>109947</v>
      </c>
      <c r="H232" t="s">
        <v>346</v>
      </c>
      <c r="I232" s="11">
        <v>0</v>
      </c>
      <c r="J232" s="9" t="str">
        <f>_xll.SNL.Clients.Office.Excel.Functions.SPG(G232, "SP_COUNTRY_NAME")</f>
        <v>USA</v>
      </c>
      <c r="O232" s="9" t="str">
        <f>_xll.SNL.Clients.Office.Excel.Functions.SPG(L232, "SP_COUNTRY_NAME")</f>
        <v>#INVALID COMPANY ID</v>
      </c>
      <c r="T232" s="9" t="str">
        <f>_xll.SNL.Clients.Office.Excel.Functions.SPG(Q232, "SP_COUNTRY_NAME")</f>
        <v>#INVALID COMPANY ID</v>
      </c>
      <c r="U232" t="s">
        <v>487</v>
      </c>
      <c r="V232">
        <v>4111901</v>
      </c>
      <c r="W232" t="s">
        <v>346</v>
      </c>
      <c r="X232" s="11">
        <v>0</v>
      </c>
      <c r="Y232" s="9" t="str">
        <f>_xll.SNL.Clients.Office.Excel.Functions.SPG(V232, "SP_COUNTRY_NAME")</f>
        <v>Belgium</v>
      </c>
      <c r="AD232" s="9" t="str">
        <f>_xll.SNL.Clients.Office.Excel.Functions.SPG(AA232, "SP_COUNTRY_NAME")</f>
        <v>#INVALID COMPANY ID</v>
      </c>
      <c r="AI232" s="9" t="str">
        <f>_xll.SNL.Clients.Office.Excel.Functions.SPG(AF232, "SP_COUNTRY_NAME")</f>
        <v>#INVALID COMPANY ID</v>
      </c>
      <c r="AN232" s="9" t="str">
        <f>_xll.SNL.Clients.Office.Excel.Functions.SPG(AK232, "SP_COUNTRY_NAME")</f>
        <v>#INVALID COMPANY ID</v>
      </c>
      <c r="AO232" t="s">
        <v>1077</v>
      </c>
      <c r="AP232">
        <v>5804824</v>
      </c>
      <c r="AQ232" t="s">
        <v>346</v>
      </c>
      <c r="AR232" s="11">
        <v>0</v>
      </c>
      <c r="AS232" s="9" t="str">
        <f>_xll.SNL.Clients.Office.Excel.Functions.SPG(AP232, "SP_COUNTRY_NAME")</f>
        <v>Luxembourg</v>
      </c>
      <c r="AX232" s="9" t="str">
        <f>_xll.SNL.Clients.Office.Excel.Functions.SPG(AU232, "SP_COUNTRY_NAME")</f>
        <v>#INVALID COMPANY ID</v>
      </c>
      <c r="BC232" s="9" t="str">
        <f>_xll.SNL.Clients.Office.Excel.Functions.SPG(AZ232, "SP_COUNTRY_NAME")</f>
        <v>#INVALID COMPANY ID</v>
      </c>
      <c r="BD232" t="s">
        <v>1462</v>
      </c>
      <c r="BE232">
        <v>4360933</v>
      </c>
      <c r="BF232" t="s">
        <v>346</v>
      </c>
      <c r="BG232" s="11">
        <v>0.01</v>
      </c>
      <c r="BH232" s="9" t="str">
        <f>_xll.SNL.Clients.Office.Excel.Functions.SPG(BE232, "SP_COUNTRY_NAME")</f>
        <v>United Kingdom</v>
      </c>
      <c r="BI232" t="s">
        <v>1593</v>
      </c>
      <c r="BJ232" t="s">
        <v>300</v>
      </c>
      <c r="BK232" t="s">
        <v>361</v>
      </c>
      <c r="BL232" s="11">
        <v>0</v>
      </c>
      <c r="BM232" s="9" t="str">
        <f>_xll.SNL.Clients.Office.Excel.Functions.SPG(BJ232, "SP_COUNTRY_NAME")</f>
        <v>China</v>
      </c>
      <c r="BN232" t="s">
        <v>849</v>
      </c>
      <c r="BO232">
        <v>4336717</v>
      </c>
      <c r="BP232" t="s">
        <v>346</v>
      </c>
      <c r="BQ232" s="11">
        <v>0</v>
      </c>
      <c r="BR232" s="9" t="str">
        <f>_xll.SNL.Clients.Office.Excel.Functions.SPG(BO232, "SP_COUNTRY_NAME")</f>
        <v>China</v>
      </c>
      <c r="BS232" t="s">
        <v>876</v>
      </c>
      <c r="BT232">
        <v>7731166</v>
      </c>
      <c r="BU232" t="s">
        <v>346</v>
      </c>
      <c r="BV232" s="11">
        <v>0.01</v>
      </c>
      <c r="BW232" s="9" t="str">
        <f>_xll.SNL.Clients.Office.Excel.Functions.SPG(BT232, "SP_COUNTRY_NAME")</f>
        <v>China</v>
      </c>
      <c r="BX232" t="s">
        <v>487</v>
      </c>
      <c r="BY232">
        <v>4111901</v>
      </c>
      <c r="BZ232" t="s">
        <v>346</v>
      </c>
      <c r="CA232" s="11">
        <v>0</v>
      </c>
      <c r="CB232" s="9" t="str">
        <f>_xll.SNL.Clients.Office.Excel.Functions.SPG(BY232, "SP_COUNTRY_NAME")</f>
        <v>Belgium</v>
      </c>
      <c r="CC232" t="s">
        <v>1711</v>
      </c>
      <c r="CD232">
        <v>5847725</v>
      </c>
      <c r="CE232" t="s">
        <v>346</v>
      </c>
      <c r="CF232" s="11">
        <v>0.01</v>
      </c>
      <c r="CG232" s="9" t="str">
        <f>_xll.SNL.Clients.Office.Excel.Functions.SPG(CD232, "SP_COUNTRY_NAME")</f>
        <v>Brazil</v>
      </c>
      <c r="CH232" t="s">
        <v>1077</v>
      </c>
      <c r="CI232">
        <v>5804824</v>
      </c>
      <c r="CJ232" t="s">
        <v>346</v>
      </c>
      <c r="CK232" s="11">
        <v>0</v>
      </c>
      <c r="CL232" s="9" t="str">
        <f>_xll.SNL.Clients.Office.Excel.Functions.SPG(CI232, "SP_COUNTRY_NAME")</f>
        <v>Luxembourg</v>
      </c>
      <c r="CM232" t="s">
        <v>1796</v>
      </c>
      <c r="CN232">
        <v>4271661</v>
      </c>
      <c r="CO232" t="s">
        <v>346</v>
      </c>
      <c r="CP232" s="11">
        <v>0.01</v>
      </c>
      <c r="CQ232" s="9" t="str">
        <f>_xll.SNL.Clients.Office.Excel.Functions.SPG(CN232, "SP_COUNTRY_NAME")</f>
        <v>Canada</v>
      </c>
      <c r="CV232" s="9" t="str">
        <f>_xll.SNL.Clients.Office.Excel.Functions.SPG(CS232, "SP_COUNTRY_NAME")</f>
        <v>#INVALID COMPANY ID</v>
      </c>
      <c r="DA232" s="9" t="str">
        <f>_xll.SNL.Clients.Office.Excel.Functions.SPG(CX232, "SP_COUNTRY_NAME")</f>
        <v>#INVALID COMPANY ID</v>
      </c>
      <c r="DB232" t="s">
        <v>1462</v>
      </c>
      <c r="DC232">
        <v>4360933</v>
      </c>
      <c r="DD232" t="s">
        <v>346</v>
      </c>
      <c r="DE232" s="11">
        <v>0.01</v>
      </c>
      <c r="DF232" s="9" t="str">
        <f>_xll.SNL.Clients.Office.Excel.Functions.SPG(DC232, "SP_COUNTRY_NAME")</f>
        <v>United Kingdom</v>
      </c>
      <c r="DK232" s="9" t="str">
        <f>_xll.SNL.Clients.Office.Excel.Functions.SPG(DH232, "SP_COUNTRY_NAME")</f>
        <v>#INVALID COMPANY ID</v>
      </c>
      <c r="DL232" t="s">
        <v>1462</v>
      </c>
      <c r="DM232">
        <v>4360933</v>
      </c>
      <c r="DN232" t="s">
        <v>346</v>
      </c>
      <c r="DO232" s="11">
        <v>0.01</v>
      </c>
      <c r="DP232" s="9" t="str">
        <f>_xll.SNL.Clients.Office.Excel.Functions.SPG(DM232, "SP_COUNTRY_NAME")</f>
        <v>United Kingdom</v>
      </c>
      <c r="DU232" s="9" t="str">
        <f>_xll.SNL.Clients.Office.Excel.Functions.SPG(DR232, "SP_COUNTRY_NAME")</f>
        <v>#INVALID COMPANY ID</v>
      </c>
      <c r="DZ232" s="9" t="str">
        <f>_xll.SNL.Clients.Office.Excel.Functions.SPG(DW232, "SP_COUNTRY_NAME")</f>
        <v>#INVALID COMPANY ID</v>
      </c>
      <c r="EA232" t="s">
        <v>1711</v>
      </c>
      <c r="EB232">
        <v>5847725</v>
      </c>
      <c r="EC232" t="s">
        <v>346</v>
      </c>
      <c r="ED232" s="11">
        <v>0.01</v>
      </c>
      <c r="EE232" s="9" t="str">
        <f>_xll.SNL.Clients.Office.Excel.Functions.SPG(EB232, "SP_COUNTRY_NAME")</f>
        <v>Brazil</v>
      </c>
      <c r="EF232" t="s">
        <v>1462</v>
      </c>
      <c r="EG232">
        <v>4360933</v>
      </c>
      <c r="EH232" t="s">
        <v>346</v>
      </c>
      <c r="EI232" s="11">
        <v>0.01</v>
      </c>
      <c r="EJ232" s="9" t="str">
        <f>_xll.SNL.Clients.Office.Excel.Functions.SPG(EG232, "SP_COUNTRY_NAME")</f>
        <v>United Kingdom</v>
      </c>
      <c r="EO232" s="9" t="str">
        <f>_xll.SNL.Clients.Office.Excel.Functions.SPG(EL232, "SP_COUNTRY_NAME")</f>
        <v>#INVALID COMPANY ID</v>
      </c>
      <c r="ET232" s="9" t="str">
        <f>_xll.SNL.Clients.Office.Excel.Functions.SPG(EQ232, "SP_COUNTRY_NAME")</f>
        <v>#INVALID COMPANY ID</v>
      </c>
      <c r="EY232" s="9" t="str">
        <f>_xll.SNL.Clients.Office.Excel.Functions.SPG(EV232, "SP_COUNTRY_NAME")</f>
        <v>#INVALID COMPANY ID</v>
      </c>
      <c r="FD232" s="9" t="str">
        <f>_xll.SNL.Clients.Office.Excel.Functions.SPG(FA232, "SP_COUNTRY_NAME")</f>
        <v>#INVALID COMPANY ID</v>
      </c>
      <c r="FI232" s="9" t="str">
        <f>_xll.SNL.Clients.Office.Excel.Functions.SPG(FF232, "SP_COUNTRY_NAME")</f>
        <v>#INVALID COMPANY ID</v>
      </c>
      <c r="FN232" s="9" t="str">
        <f>_xll.SNL.Clients.Office.Excel.Functions.SPG(FK232, "SP_COUNTRY_NAME")</f>
        <v>#INVALID COMPANY ID</v>
      </c>
      <c r="FS232" s="9" t="str">
        <f>_xll.SNL.Clients.Office.Excel.Functions.SPG(FP232, "SP_COUNTRY_NAME")</f>
        <v>#INVALID COMPANY ID</v>
      </c>
      <c r="FX232" s="9" t="str">
        <f>_xll.SNL.Clients.Office.Excel.Functions.SPG(FU232, "SP_COUNTRY_NAME")</f>
        <v>#INVALID COMPANY ID</v>
      </c>
      <c r="FY232" t="s">
        <v>1462</v>
      </c>
      <c r="FZ232">
        <v>4360933</v>
      </c>
      <c r="GA232" t="s">
        <v>346</v>
      </c>
      <c r="GB232" s="11">
        <v>0.01</v>
      </c>
      <c r="GC232" s="9" t="str">
        <f>_xll.SNL.Clients.Office.Excel.Functions.SPG(FZ232, "SP_COUNTRY_NAME")</f>
        <v>United Kingdom</v>
      </c>
      <c r="GH232" s="9" t="str">
        <f>_xll.SNL.Clients.Office.Excel.Functions.SPG(GE232, "SP_COUNTRY_NAME")</f>
        <v>#INVALID COMPANY ID</v>
      </c>
      <c r="GM232" s="9" t="str">
        <f>_xll.SNL.Clients.Office.Excel.Functions.SPG(GJ232, "SP_COUNTRY_NAME")</f>
        <v>#INVALID COMPANY ID</v>
      </c>
      <c r="GR232" s="9" t="str">
        <f>_xll.SNL.Clients.Office.Excel.Functions.SPG(GO232, "SP_COUNTRY_NAME")</f>
        <v>#INVALID COMPANY ID</v>
      </c>
      <c r="GS232" t="s">
        <v>849</v>
      </c>
      <c r="GT232">
        <v>4336717</v>
      </c>
      <c r="GU232" t="s">
        <v>346</v>
      </c>
      <c r="GV232" s="11">
        <v>0</v>
      </c>
      <c r="GW232" s="9" t="str">
        <f>_xll.SNL.Clients.Office.Excel.Functions.SPG(GT232, "SP_COUNTRY_NAME")</f>
        <v>China</v>
      </c>
      <c r="GX232" t="s">
        <v>1711</v>
      </c>
      <c r="GY232">
        <v>5847725</v>
      </c>
      <c r="GZ232" t="s">
        <v>346</v>
      </c>
      <c r="HA232" s="11">
        <v>0.01</v>
      </c>
      <c r="HB232" s="9" t="str">
        <f>_xll.SNL.Clients.Office.Excel.Functions.SPG(GY232, "SP_COUNTRY_NAME")</f>
        <v>Brazil</v>
      </c>
      <c r="HG232" s="9" t="str">
        <f>_xll.SNL.Clients.Office.Excel.Functions.SPG(HD232, "SP_COUNTRY_NAME")</f>
        <v>#INVALID COMPANY ID</v>
      </c>
    </row>
    <row r="233" spans="5:215" x14ac:dyDescent="0.35">
      <c r="E233" s="9" t="str">
        <f>_xll.SNL.Clients.Office.Excel.Functions.SPG(B233, "SP_COUNTRY_NAME")</f>
        <v>#INVALID COMPANY ID</v>
      </c>
      <c r="F233" t="s">
        <v>616</v>
      </c>
      <c r="G233">
        <v>5769650</v>
      </c>
      <c r="H233" t="s">
        <v>346</v>
      </c>
      <c r="I233" s="11">
        <v>0</v>
      </c>
      <c r="J233" s="9" t="str">
        <f>_xll.SNL.Clients.Office.Excel.Functions.SPG(G233, "SP_COUNTRY_NAME")</f>
        <v>Canada</v>
      </c>
      <c r="O233" s="9" t="str">
        <f>_xll.SNL.Clients.Office.Excel.Functions.SPG(L233, "SP_COUNTRY_NAME")</f>
        <v>#INVALID COMPANY ID</v>
      </c>
      <c r="T233" s="9" t="str">
        <f>_xll.SNL.Clients.Office.Excel.Functions.SPG(Q233, "SP_COUNTRY_NAME")</f>
        <v>#INVALID COMPANY ID</v>
      </c>
      <c r="U233" t="s">
        <v>675</v>
      </c>
      <c r="V233">
        <v>4548312</v>
      </c>
      <c r="W233" t="s">
        <v>346</v>
      </c>
      <c r="X233" s="11">
        <v>0</v>
      </c>
      <c r="Y233" s="9" t="str">
        <f>_xll.SNL.Clients.Office.Excel.Functions.SPG(V233, "SP_COUNTRY_NAME")</f>
        <v>China</v>
      </c>
      <c r="AD233" s="9" t="str">
        <f>_xll.SNL.Clients.Office.Excel.Functions.SPG(AA233, "SP_COUNTRY_NAME")</f>
        <v>#INVALID COMPANY ID</v>
      </c>
      <c r="AI233" s="9" t="str">
        <f>_xll.SNL.Clients.Office.Excel.Functions.SPG(AF233, "SP_COUNTRY_NAME")</f>
        <v>#INVALID COMPANY ID</v>
      </c>
      <c r="AN233" s="9" t="str">
        <f>_xll.SNL.Clients.Office.Excel.Functions.SPG(AK233, "SP_COUNTRY_NAME")</f>
        <v>#INVALID COMPANY ID</v>
      </c>
      <c r="AO233" t="s">
        <v>1245</v>
      </c>
      <c r="AP233">
        <v>6729481</v>
      </c>
      <c r="AQ233" t="s">
        <v>346</v>
      </c>
      <c r="AR233" s="11">
        <v>0</v>
      </c>
      <c r="AS233" s="9" t="str">
        <f>_xll.SNL.Clients.Office.Excel.Functions.SPG(AP233, "SP_COUNTRY_NAME")</f>
        <v>Germany</v>
      </c>
      <c r="AX233" s="9" t="str">
        <f>_xll.SNL.Clients.Office.Excel.Functions.SPG(AU233, "SP_COUNTRY_NAME")</f>
        <v>#INVALID COMPANY ID</v>
      </c>
      <c r="BC233" s="9" t="str">
        <f>_xll.SNL.Clients.Office.Excel.Functions.SPG(AZ233, "SP_COUNTRY_NAME")</f>
        <v>#INVALID COMPANY ID</v>
      </c>
      <c r="BD233" t="s">
        <v>999</v>
      </c>
      <c r="BE233">
        <v>4031268</v>
      </c>
      <c r="BF233" t="s">
        <v>346</v>
      </c>
      <c r="BG233" s="11">
        <v>0.01</v>
      </c>
      <c r="BH233" s="9" t="str">
        <f>_xll.SNL.Clients.Office.Excel.Functions.SPG(BE233, "SP_COUNTRY_NAME")</f>
        <v>USA</v>
      </c>
      <c r="BI233" t="s">
        <v>581</v>
      </c>
      <c r="BJ233">
        <v>115732953</v>
      </c>
      <c r="BK233" t="s">
        <v>346</v>
      </c>
      <c r="BL233" s="11">
        <v>0</v>
      </c>
      <c r="BM233" s="9" t="str">
        <f>_xll.SNL.Clients.Office.Excel.Functions.SPG(BJ233, "SP_COUNTRY_NAME")</f>
        <v>Germany</v>
      </c>
      <c r="BN233" t="s">
        <v>719</v>
      </c>
      <c r="BO233">
        <v>4139954</v>
      </c>
      <c r="BP233" t="s">
        <v>346</v>
      </c>
      <c r="BQ233" s="11">
        <v>0</v>
      </c>
      <c r="BR233" s="9" t="str">
        <f>_xll.SNL.Clients.Office.Excel.Functions.SPG(BO233, "SP_COUNTRY_NAME")</f>
        <v>Hong Kong</v>
      </c>
      <c r="BS233" t="s">
        <v>875</v>
      </c>
      <c r="BT233">
        <v>4139902</v>
      </c>
      <c r="BU233" t="s">
        <v>346</v>
      </c>
      <c r="BV233" s="11">
        <v>0.01</v>
      </c>
      <c r="BW233" s="9" t="str">
        <f>_xll.SNL.Clients.Office.Excel.Functions.SPG(BT233, "SP_COUNTRY_NAME")</f>
        <v>China</v>
      </c>
      <c r="BX233" t="s">
        <v>675</v>
      </c>
      <c r="BY233">
        <v>4548312</v>
      </c>
      <c r="BZ233" t="s">
        <v>346</v>
      </c>
      <c r="CA233" s="11">
        <v>0</v>
      </c>
      <c r="CB233" s="9" t="str">
        <f>_xll.SNL.Clients.Office.Excel.Functions.SPG(BY233, "SP_COUNTRY_NAME")</f>
        <v>China</v>
      </c>
      <c r="CC233" t="s">
        <v>1712</v>
      </c>
      <c r="CD233">
        <v>4187561</v>
      </c>
      <c r="CE233" t="s">
        <v>346</v>
      </c>
      <c r="CF233" s="11">
        <v>0.01</v>
      </c>
      <c r="CG233" s="9" t="str">
        <f>_xll.SNL.Clients.Office.Excel.Functions.SPG(CD233, "SP_COUNTRY_NAME")</f>
        <v>USA</v>
      </c>
      <c r="CH233" t="s">
        <v>1245</v>
      </c>
      <c r="CI233">
        <v>6729481</v>
      </c>
      <c r="CJ233" t="s">
        <v>346</v>
      </c>
      <c r="CK233" s="11">
        <v>0</v>
      </c>
      <c r="CL233" s="9" t="str">
        <f>_xll.SNL.Clients.Office.Excel.Functions.SPG(CI233, "SP_COUNTRY_NAME")</f>
        <v>Germany</v>
      </c>
      <c r="CM233" t="s">
        <v>1896</v>
      </c>
      <c r="CN233">
        <v>13980941</v>
      </c>
      <c r="CO233" t="s">
        <v>346</v>
      </c>
      <c r="CP233" s="11">
        <v>0.01</v>
      </c>
      <c r="CQ233" s="9" t="str">
        <f>_xll.SNL.Clients.Office.Excel.Functions.SPG(CN233, "SP_COUNTRY_NAME")</f>
        <v>USA</v>
      </c>
      <c r="CV233" s="9" t="str">
        <f>_xll.SNL.Clients.Office.Excel.Functions.SPG(CS233, "SP_COUNTRY_NAME")</f>
        <v>#INVALID COMPANY ID</v>
      </c>
      <c r="DA233" s="9" t="str">
        <f>_xll.SNL.Clients.Office.Excel.Functions.SPG(CX233, "SP_COUNTRY_NAME")</f>
        <v>#INVALID COMPANY ID</v>
      </c>
      <c r="DB233" t="s">
        <v>999</v>
      </c>
      <c r="DC233">
        <v>4031268</v>
      </c>
      <c r="DD233" t="s">
        <v>346</v>
      </c>
      <c r="DE233" s="11">
        <v>0.01</v>
      </c>
      <c r="DF233" s="9" t="str">
        <f>_xll.SNL.Clients.Office.Excel.Functions.SPG(DC233, "SP_COUNTRY_NAME")</f>
        <v>USA</v>
      </c>
      <c r="DK233" s="9" t="str">
        <f>_xll.SNL.Clients.Office.Excel.Functions.SPG(DH233, "SP_COUNTRY_NAME")</f>
        <v>#INVALID COMPANY ID</v>
      </c>
      <c r="DL233" t="s">
        <v>999</v>
      </c>
      <c r="DM233">
        <v>4031268</v>
      </c>
      <c r="DN233" t="s">
        <v>346</v>
      </c>
      <c r="DO233" s="11">
        <v>0.01</v>
      </c>
      <c r="DP233" s="9" t="str">
        <f>_xll.SNL.Clients.Office.Excel.Functions.SPG(DM233, "SP_COUNTRY_NAME")</f>
        <v>USA</v>
      </c>
      <c r="DU233" s="9" t="str">
        <f>_xll.SNL.Clients.Office.Excel.Functions.SPG(DR233, "SP_COUNTRY_NAME")</f>
        <v>#INVALID COMPANY ID</v>
      </c>
      <c r="DZ233" s="9" t="str">
        <f>_xll.SNL.Clients.Office.Excel.Functions.SPG(DW233, "SP_COUNTRY_NAME")</f>
        <v>#INVALID COMPANY ID</v>
      </c>
      <c r="EA233" t="s">
        <v>1712</v>
      </c>
      <c r="EB233">
        <v>4187561</v>
      </c>
      <c r="EC233" t="s">
        <v>346</v>
      </c>
      <c r="ED233" s="11">
        <v>0.01</v>
      </c>
      <c r="EE233" s="9" t="str">
        <f>_xll.SNL.Clients.Office.Excel.Functions.SPG(EB233, "SP_COUNTRY_NAME")</f>
        <v>USA</v>
      </c>
      <c r="EF233" t="s">
        <v>999</v>
      </c>
      <c r="EG233">
        <v>4031268</v>
      </c>
      <c r="EH233" t="s">
        <v>346</v>
      </c>
      <c r="EI233" s="11">
        <v>0.01</v>
      </c>
      <c r="EJ233" s="9" t="str">
        <f>_xll.SNL.Clients.Office.Excel.Functions.SPG(EG233, "SP_COUNTRY_NAME")</f>
        <v>USA</v>
      </c>
      <c r="EO233" s="9" t="str">
        <f>_xll.SNL.Clients.Office.Excel.Functions.SPG(EL233, "SP_COUNTRY_NAME")</f>
        <v>#INVALID COMPANY ID</v>
      </c>
      <c r="ET233" s="9" t="str">
        <f>_xll.SNL.Clients.Office.Excel.Functions.SPG(EQ233, "SP_COUNTRY_NAME")</f>
        <v>#INVALID COMPANY ID</v>
      </c>
      <c r="EY233" s="9" t="str">
        <f>_xll.SNL.Clients.Office.Excel.Functions.SPG(EV233, "SP_COUNTRY_NAME")</f>
        <v>#INVALID COMPANY ID</v>
      </c>
      <c r="FD233" s="9" t="str">
        <f>_xll.SNL.Clients.Office.Excel.Functions.SPG(FA233, "SP_COUNTRY_NAME")</f>
        <v>#INVALID COMPANY ID</v>
      </c>
      <c r="FI233" s="9" t="str">
        <f>_xll.SNL.Clients.Office.Excel.Functions.SPG(FF233, "SP_COUNTRY_NAME")</f>
        <v>#INVALID COMPANY ID</v>
      </c>
      <c r="FN233" s="9" t="str">
        <f>_xll.SNL.Clients.Office.Excel.Functions.SPG(FK233, "SP_COUNTRY_NAME")</f>
        <v>#INVALID COMPANY ID</v>
      </c>
      <c r="FS233" s="9" t="str">
        <f>_xll.SNL.Clients.Office.Excel.Functions.SPG(FP233, "SP_COUNTRY_NAME")</f>
        <v>#INVALID COMPANY ID</v>
      </c>
      <c r="FX233" s="9" t="str">
        <f>_xll.SNL.Clients.Office.Excel.Functions.SPG(FU233, "SP_COUNTRY_NAME")</f>
        <v>#INVALID COMPANY ID</v>
      </c>
      <c r="FY233" t="s">
        <v>999</v>
      </c>
      <c r="FZ233">
        <v>4031268</v>
      </c>
      <c r="GA233" t="s">
        <v>346</v>
      </c>
      <c r="GB233" s="11">
        <v>0.01</v>
      </c>
      <c r="GC233" s="9" t="str">
        <f>_xll.SNL.Clients.Office.Excel.Functions.SPG(FZ233, "SP_COUNTRY_NAME")</f>
        <v>USA</v>
      </c>
      <c r="GH233" s="9" t="str">
        <f>_xll.SNL.Clients.Office.Excel.Functions.SPG(GE233, "SP_COUNTRY_NAME")</f>
        <v>#INVALID COMPANY ID</v>
      </c>
      <c r="GM233" s="9" t="str">
        <f>_xll.SNL.Clients.Office.Excel.Functions.SPG(GJ233, "SP_COUNTRY_NAME")</f>
        <v>#INVALID COMPANY ID</v>
      </c>
      <c r="GR233" s="9" t="str">
        <f>_xll.SNL.Clients.Office.Excel.Functions.SPG(GO233, "SP_COUNTRY_NAME")</f>
        <v>#INVALID COMPANY ID</v>
      </c>
      <c r="GS233" t="s">
        <v>719</v>
      </c>
      <c r="GT233">
        <v>4139954</v>
      </c>
      <c r="GU233" t="s">
        <v>346</v>
      </c>
      <c r="GV233" s="11">
        <v>0</v>
      </c>
      <c r="GW233" s="9" t="str">
        <f>_xll.SNL.Clients.Office.Excel.Functions.SPG(GT233, "SP_COUNTRY_NAME")</f>
        <v>Hong Kong</v>
      </c>
      <c r="GX233" t="s">
        <v>1712</v>
      </c>
      <c r="GY233">
        <v>4187561</v>
      </c>
      <c r="GZ233" t="s">
        <v>346</v>
      </c>
      <c r="HA233" s="11">
        <v>0.01</v>
      </c>
      <c r="HB233" s="9" t="str">
        <f>_xll.SNL.Clients.Office.Excel.Functions.SPG(GY233, "SP_COUNTRY_NAME")</f>
        <v>USA</v>
      </c>
      <c r="HG233" s="9" t="str">
        <f>_xll.SNL.Clients.Office.Excel.Functions.SPG(HD233, "SP_COUNTRY_NAME")</f>
        <v>#INVALID COMPANY ID</v>
      </c>
    </row>
    <row r="234" spans="5:215" x14ac:dyDescent="0.35">
      <c r="E234" s="9" t="str">
        <f>_xll.SNL.Clients.Office.Excel.Functions.SPG(B234, "SP_COUNTRY_NAME")</f>
        <v>#INVALID COMPANY ID</v>
      </c>
      <c r="F234" t="s">
        <v>617</v>
      </c>
      <c r="G234">
        <v>4117990</v>
      </c>
      <c r="H234" t="s">
        <v>346</v>
      </c>
      <c r="I234" s="11">
        <v>0</v>
      </c>
      <c r="J234" s="9" t="str">
        <f>_xll.SNL.Clients.Office.Excel.Functions.SPG(G234, "SP_COUNTRY_NAME")</f>
        <v>USA</v>
      </c>
      <c r="O234" s="9" t="str">
        <f>_xll.SNL.Clients.Office.Excel.Functions.SPG(L234, "SP_COUNTRY_NAME")</f>
        <v>#INVALID COMPANY ID</v>
      </c>
      <c r="T234" s="9" t="str">
        <f>_xll.SNL.Clients.Office.Excel.Functions.SPG(Q234, "SP_COUNTRY_NAME")</f>
        <v>#INVALID COMPANY ID</v>
      </c>
      <c r="U234" t="s">
        <v>816</v>
      </c>
      <c r="V234">
        <v>4187337</v>
      </c>
      <c r="W234" t="s">
        <v>364</v>
      </c>
      <c r="X234" s="11">
        <v>0</v>
      </c>
      <c r="Y234" s="9" t="str">
        <f>_xll.SNL.Clients.Office.Excel.Functions.SPG(V234, "SP_COUNTRY_NAME")</f>
        <v>Spain</v>
      </c>
      <c r="AD234" s="9" t="str">
        <f>_xll.SNL.Clients.Office.Excel.Functions.SPG(AA234, "SP_COUNTRY_NAME")</f>
        <v>#INVALID COMPANY ID</v>
      </c>
      <c r="AI234" s="9" t="str">
        <f>_xll.SNL.Clients.Office.Excel.Functions.SPG(AF234, "SP_COUNTRY_NAME")</f>
        <v>#INVALID COMPANY ID</v>
      </c>
      <c r="AN234" s="9" t="str">
        <f>_xll.SNL.Clients.Office.Excel.Functions.SPG(AK234, "SP_COUNTRY_NAME")</f>
        <v>#INVALID COMPANY ID</v>
      </c>
      <c r="AO234" t="s">
        <v>882</v>
      </c>
      <c r="AP234">
        <v>110793</v>
      </c>
      <c r="AQ234" t="s">
        <v>346</v>
      </c>
      <c r="AR234" s="11">
        <v>0</v>
      </c>
      <c r="AS234" s="9" t="str">
        <f>_xll.SNL.Clients.Office.Excel.Functions.SPG(AP234, "SP_COUNTRY_NAME")</f>
        <v>USA</v>
      </c>
      <c r="AX234" s="9" t="str">
        <f>_xll.SNL.Clients.Office.Excel.Functions.SPG(AU234, "SP_COUNTRY_NAME")</f>
        <v>#INVALID COMPANY ID</v>
      </c>
      <c r="BC234" s="9" t="str">
        <f>_xll.SNL.Clients.Office.Excel.Functions.SPG(AZ234, "SP_COUNTRY_NAME")</f>
        <v>#INVALID COMPANY ID</v>
      </c>
      <c r="BD234" t="s">
        <v>440</v>
      </c>
      <c r="BE234">
        <v>4140078</v>
      </c>
      <c r="BF234" t="s">
        <v>346</v>
      </c>
      <c r="BG234" s="11">
        <v>0.01</v>
      </c>
      <c r="BH234" s="9" t="str">
        <f>_xll.SNL.Clients.Office.Excel.Functions.SPG(BE234, "SP_COUNTRY_NAME")</f>
        <v>Japan</v>
      </c>
      <c r="BI234" t="s">
        <v>576</v>
      </c>
      <c r="BJ234">
        <v>4672091</v>
      </c>
      <c r="BK234" t="s">
        <v>300</v>
      </c>
      <c r="BL234" s="11">
        <v>0</v>
      </c>
      <c r="BM234" s="9" t="str">
        <f>_xll.SNL.Clients.Office.Excel.Functions.SPG(BJ234, "SP_COUNTRY_NAME")</f>
        <v>South Africa</v>
      </c>
      <c r="BN234" t="s">
        <v>589</v>
      </c>
      <c r="BO234">
        <v>4140617</v>
      </c>
      <c r="BP234" t="s">
        <v>346</v>
      </c>
      <c r="BQ234" s="11">
        <v>0</v>
      </c>
      <c r="BR234" s="9" t="str">
        <f>_xll.SNL.Clients.Office.Excel.Functions.SPG(BO234, "SP_COUNTRY_NAME")</f>
        <v>Switzerland</v>
      </c>
      <c r="BS234" t="s">
        <v>515</v>
      </c>
      <c r="BT234">
        <v>109731</v>
      </c>
      <c r="BU234" t="s">
        <v>346</v>
      </c>
      <c r="BV234" s="11">
        <v>0.01</v>
      </c>
      <c r="BW234" s="9" t="str">
        <f>_xll.SNL.Clients.Office.Excel.Functions.SPG(BT234, "SP_COUNTRY_NAME")</f>
        <v>USA</v>
      </c>
      <c r="BX234" t="s">
        <v>816</v>
      </c>
      <c r="BY234">
        <v>4187337</v>
      </c>
      <c r="BZ234" t="s">
        <v>364</v>
      </c>
      <c r="CA234" s="11">
        <v>0</v>
      </c>
      <c r="CB234" s="9" t="str">
        <f>_xll.SNL.Clients.Office.Excel.Functions.SPG(BY234, "SP_COUNTRY_NAME")</f>
        <v>Spain</v>
      </c>
      <c r="CC234" t="s">
        <v>469</v>
      </c>
      <c r="CD234">
        <v>4026996</v>
      </c>
      <c r="CE234" t="s">
        <v>346</v>
      </c>
      <c r="CF234" s="11">
        <v>0.01</v>
      </c>
      <c r="CG234" s="9" t="str">
        <f>_xll.SNL.Clients.Office.Excel.Functions.SPG(CD234, "SP_COUNTRY_NAME")</f>
        <v>USA</v>
      </c>
      <c r="CH234" t="s">
        <v>882</v>
      </c>
      <c r="CI234">
        <v>110793</v>
      </c>
      <c r="CJ234" t="s">
        <v>346</v>
      </c>
      <c r="CK234" s="11">
        <v>0</v>
      </c>
      <c r="CL234" s="9" t="str">
        <f>_xll.SNL.Clients.Office.Excel.Functions.SPG(CI234, "SP_COUNTRY_NAME")</f>
        <v>USA</v>
      </c>
      <c r="CM234" t="s">
        <v>2002</v>
      </c>
      <c r="CN234">
        <v>4280559</v>
      </c>
      <c r="CO234" t="s">
        <v>364</v>
      </c>
      <c r="CP234" s="11">
        <v>0.01</v>
      </c>
      <c r="CQ234" s="9" t="str">
        <f>_xll.SNL.Clients.Office.Excel.Functions.SPG(CN234, "SP_COUNTRY_NAME")</f>
        <v>USA</v>
      </c>
      <c r="CV234" s="9" t="str">
        <f>_xll.SNL.Clients.Office.Excel.Functions.SPG(CS234, "SP_COUNTRY_NAME")</f>
        <v>#INVALID COMPANY ID</v>
      </c>
      <c r="DA234" s="9" t="str">
        <f>_xll.SNL.Clients.Office.Excel.Functions.SPG(CX234, "SP_COUNTRY_NAME")</f>
        <v>#INVALID COMPANY ID</v>
      </c>
      <c r="DB234" t="s">
        <v>440</v>
      </c>
      <c r="DC234">
        <v>4140078</v>
      </c>
      <c r="DD234" t="s">
        <v>346</v>
      </c>
      <c r="DE234" s="11">
        <v>0.01</v>
      </c>
      <c r="DF234" s="9" t="str">
        <f>_xll.SNL.Clients.Office.Excel.Functions.SPG(DC234, "SP_COUNTRY_NAME")</f>
        <v>Japan</v>
      </c>
      <c r="DK234" s="9" t="str">
        <f>_xll.SNL.Clients.Office.Excel.Functions.SPG(DH234, "SP_COUNTRY_NAME")</f>
        <v>#INVALID COMPANY ID</v>
      </c>
      <c r="DL234" t="s">
        <v>440</v>
      </c>
      <c r="DM234">
        <v>4140078</v>
      </c>
      <c r="DN234" t="s">
        <v>346</v>
      </c>
      <c r="DO234" s="11">
        <v>0.01</v>
      </c>
      <c r="DP234" s="9" t="str">
        <f>_xll.SNL.Clients.Office.Excel.Functions.SPG(DM234, "SP_COUNTRY_NAME")</f>
        <v>Japan</v>
      </c>
      <c r="DU234" s="9" t="str">
        <f>_xll.SNL.Clients.Office.Excel.Functions.SPG(DR234, "SP_COUNTRY_NAME")</f>
        <v>#INVALID COMPANY ID</v>
      </c>
      <c r="DZ234" s="9" t="str">
        <f>_xll.SNL.Clients.Office.Excel.Functions.SPG(DW234, "SP_COUNTRY_NAME")</f>
        <v>#INVALID COMPANY ID</v>
      </c>
      <c r="EA234" t="s">
        <v>469</v>
      </c>
      <c r="EB234">
        <v>4026996</v>
      </c>
      <c r="EC234" t="s">
        <v>346</v>
      </c>
      <c r="ED234" s="11">
        <v>0.01</v>
      </c>
      <c r="EE234" s="9" t="str">
        <f>_xll.SNL.Clients.Office.Excel.Functions.SPG(EB234, "SP_COUNTRY_NAME")</f>
        <v>USA</v>
      </c>
      <c r="EF234" t="s">
        <v>440</v>
      </c>
      <c r="EG234">
        <v>4140078</v>
      </c>
      <c r="EH234" t="s">
        <v>346</v>
      </c>
      <c r="EI234" s="11">
        <v>0.01</v>
      </c>
      <c r="EJ234" s="9" t="str">
        <f>_xll.SNL.Clients.Office.Excel.Functions.SPG(EG234, "SP_COUNTRY_NAME")</f>
        <v>Japan</v>
      </c>
      <c r="EO234" s="9" t="str">
        <f>_xll.SNL.Clients.Office.Excel.Functions.SPG(EL234, "SP_COUNTRY_NAME")</f>
        <v>#INVALID COMPANY ID</v>
      </c>
      <c r="ET234" s="9" t="str">
        <f>_xll.SNL.Clients.Office.Excel.Functions.SPG(EQ234, "SP_COUNTRY_NAME")</f>
        <v>#INVALID COMPANY ID</v>
      </c>
      <c r="EY234" s="9" t="str">
        <f>_xll.SNL.Clients.Office.Excel.Functions.SPG(EV234, "SP_COUNTRY_NAME")</f>
        <v>#INVALID COMPANY ID</v>
      </c>
      <c r="FD234" s="9" t="str">
        <f>_xll.SNL.Clients.Office.Excel.Functions.SPG(FA234, "SP_COUNTRY_NAME")</f>
        <v>#INVALID COMPANY ID</v>
      </c>
      <c r="FI234" s="9" t="str">
        <f>_xll.SNL.Clients.Office.Excel.Functions.SPG(FF234, "SP_COUNTRY_NAME")</f>
        <v>#INVALID COMPANY ID</v>
      </c>
      <c r="FN234" s="9" t="str">
        <f>_xll.SNL.Clients.Office.Excel.Functions.SPG(FK234, "SP_COUNTRY_NAME")</f>
        <v>#INVALID COMPANY ID</v>
      </c>
      <c r="FS234" s="9" t="str">
        <f>_xll.SNL.Clients.Office.Excel.Functions.SPG(FP234, "SP_COUNTRY_NAME")</f>
        <v>#INVALID COMPANY ID</v>
      </c>
      <c r="FX234" s="9" t="str">
        <f>_xll.SNL.Clients.Office.Excel.Functions.SPG(FU234, "SP_COUNTRY_NAME")</f>
        <v>#INVALID COMPANY ID</v>
      </c>
      <c r="FY234" t="s">
        <v>440</v>
      </c>
      <c r="FZ234">
        <v>4140078</v>
      </c>
      <c r="GA234" t="s">
        <v>346</v>
      </c>
      <c r="GB234" s="11">
        <v>0.01</v>
      </c>
      <c r="GC234" s="9" t="str">
        <f>_xll.SNL.Clients.Office.Excel.Functions.SPG(FZ234, "SP_COUNTRY_NAME")</f>
        <v>Japan</v>
      </c>
      <c r="GH234" s="9" t="str">
        <f>_xll.SNL.Clients.Office.Excel.Functions.SPG(GE234, "SP_COUNTRY_NAME")</f>
        <v>#INVALID COMPANY ID</v>
      </c>
      <c r="GM234" s="9" t="str">
        <f>_xll.SNL.Clients.Office.Excel.Functions.SPG(GJ234, "SP_COUNTRY_NAME")</f>
        <v>#INVALID COMPANY ID</v>
      </c>
      <c r="GR234" s="9" t="str">
        <f>_xll.SNL.Clients.Office.Excel.Functions.SPG(GO234, "SP_COUNTRY_NAME")</f>
        <v>#INVALID COMPANY ID</v>
      </c>
      <c r="GS234" t="s">
        <v>589</v>
      </c>
      <c r="GT234">
        <v>4140617</v>
      </c>
      <c r="GU234" t="s">
        <v>346</v>
      </c>
      <c r="GV234" s="11">
        <v>0</v>
      </c>
      <c r="GW234" s="9" t="str">
        <f>_xll.SNL.Clients.Office.Excel.Functions.SPG(GT234, "SP_COUNTRY_NAME")</f>
        <v>Switzerland</v>
      </c>
      <c r="GX234" t="s">
        <v>469</v>
      </c>
      <c r="GY234">
        <v>4026996</v>
      </c>
      <c r="GZ234" t="s">
        <v>346</v>
      </c>
      <c r="HA234" s="11">
        <v>0.01</v>
      </c>
      <c r="HB234" s="9" t="str">
        <f>_xll.SNL.Clients.Office.Excel.Functions.SPG(GY234, "SP_COUNTRY_NAME")</f>
        <v>USA</v>
      </c>
      <c r="HG234" s="9" t="str">
        <f>_xll.SNL.Clients.Office.Excel.Functions.SPG(HD234, "SP_COUNTRY_NAME")</f>
        <v>#INVALID COMPANY ID</v>
      </c>
    </row>
    <row r="235" spans="5:215" x14ac:dyDescent="0.35">
      <c r="E235" s="9" t="str">
        <f>_xll.SNL.Clients.Office.Excel.Functions.SPG(B235, "SP_COUNTRY_NAME")</f>
        <v>#INVALID COMPANY ID</v>
      </c>
      <c r="F235" t="s">
        <v>618</v>
      </c>
      <c r="G235">
        <v>100406</v>
      </c>
      <c r="H235" t="s">
        <v>366</v>
      </c>
      <c r="I235" s="11">
        <v>0</v>
      </c>
      <c r="J235" s="9" t="str">
        <f>_xll.SNL.Clients.Office.Excel.Functions.SPG(G235, "SP_COUNTRY_NAME")</f>
        <v>USA</v>
      </c>
      <c r="O235" s="9" t="str">
        <f>_xll.SNL.Clients.Office.Excel.Functions.SPG(L235, "SP_COUNTRY_NAME")</f>
        <v>#INVALID COMPANY ID</v>
      </c>
      <c r="T235" s="9" t="str">
        <f>_xll.SNL.Clients.Office.Excel.Functions.SPG(Q235, "SP_COUNTRY_NAME")</f>
        <v>#INVALID COMPANY ID</v>
      </c>
      <c r="U235" t="s">
        <v>445</v>
      </c>
      <c r="V235">
        <v>4241120</v>
      </c>
      <c r="W235" t="s">
        <v>346</v>
      </c>
      <c r="X235" s="11">
        <v>0</v>
      </c>
      <c r="Y235" s="9" t="str">
        <f>_xll.SNL.Clients.Office.Excel.Functions.SPG(V235, "SP_COUNTRY_NAME")</f>
        <v>Taiwan</v>
      </c>
      <c r="AD235" s="9" t="str">
        <f>_xll.SNL.Clients.Office.Excel.Functions.SPG(AA235, "SP_COUNTRY_NAME")</f>
        <v>#INVALID COMPANY ID</v>
      </c>
      <c r="AI235" s="9" t="str">
        <f>_xll.SNL.Clients.Office.Excel.Functions.SPG(AF235, "SP_COUNTRY_NAME")</f>
        <v>#INVALID COMPANY ID</v>
      </c>
      <c r="AN235" s="9" t="str">
        <f>_xll.SNL.Clients.Office.Excel.Functions.SPG(AK235, "SP_COUNTRY_NAME")</f>
        <v>#INVALID COMPANY ID</v>
      </c>
      <c r="AO235" t="s">
        <v>1354</v>
      </c>
      <c r="AP235">
        <v>4305801</v>
      </c>
      <c r="AQ235" t="s">
        <v>346</v>
      </c>
      <c r="AR235" s="11">
        <v>0</v>
      </c>
      <c r="AS235" s="9" t="str">
        <f>_xll.SNL.Clients.Office.Excel.Functions.SPG(AP235, "SP_COUNTRY_NAME")</f>
        <v>South Africa</v>
      </c>
      <c r="AX235" s="9" t="str">
        <f>_xll.SNL.Clients.Office.Excel.Functions.SPG(AU235, "SP_COUNTRY_NAME")</f>
        <v>#INVALID COMPANY ID</v>
      </c>
      <c r="BC235" s="9" t="str">
        <f>_xll.SNL.Clients.Office.Excel.Functions.SPG(AZ235, "SP_COUNTRY_NAME")</f>
        <v>#INVALID COMPANY ID</v>
      </c>
      <c r="BD235" t="s">
        <v>413</v>
      </c>
      <c r="BE235">
        <v>4114882</v>
      </c>
      <c r="BF235" t="s">
        <v>346</v>
      </c>
      <c r="BG235" s="11">
        <v>0.01</v>
      </c>
      <c r="BH235" s="9" t="str">
        <f>_xll.SNL.Clients.Office.Excel.Functions.SPG(BE235, "SP_COUNTRY_NAME")</f>
        <v>Canada</v>
      </c>
      <c r="BI235" t="s">
        <v>598</v>
      </c>
      <c r="BJ235">
        <v>5753444</v>
      </c>
      <c r="BK235" t="s">
        <v>346</v>
      </c>
      <c r="BL235" s="11">
        <v>0</v>
      </c>
      <c r="BM235" s="9" t="str">
        <f>_xll.SNL.Clients.Office.Excel.Functions.SPG(BJ235, "SP_COUNTRY_NAME")</f>
        <v>Switzerland</v>
      </c>
      <c r="BN235" t="s">
        <v>867</v>
      </c>
      <c r="BO235">
        <v>4557386</v>
      </c>
      <c r="BP235" t="s">
        <v>346</v>
      </c>
      <c r="BQ235" s="11">
        <v>0</v>
      </c>
      <c r="BR235" s="9" t="str">
        <f>_xll.SNL.Clients.Office.Excel.Functions.SPG(BO235, "SP_COUNTRY_NAME")</f>
        <v>China</v>
      </c>
      <c r="BS235" t="s">
        <v>994</v>
      </c>
      <c r="BT235">
        <v>19464645</v>
      </c>
      <c r="BU235" t="s">
        <v>346</v>
      </c>
      <c r="BV235" s="11">
        <v>0.01</v>
      </c>
      <c r="BW235" s="9" t="str">
        <f>_xll.SNL.Clients.Office.Excel.Functions.SPG(BT235, "SP_COUNTRY_NAME")</f>
        <v>Sweden</v>
      </c>
      <c r="BX235" t="s">
        <v>445</v>
      </c>
      <c r="BY235">
        <v>4241120</v>
      </c>
      <c r="BZ235" t="s">
        <v>346</v>
      </c>
      <c r="CA235" s="11">
        <v>0</v>
      </c>
      <c r="CB235" s="9" t="str">
        <f>_xll.SNL.Clients.Office.Excel.Functions.SPG(BY235, "SP_COUNTRY_NAME")</f>
        <v>Taiwan</v>
      </c>
      <c r="CC235" t="s">
        <v>1713</v>
      </c>
      <c r="CD235">
        <v>109453</v>
      </c>
      <c r="CE235" t="s">
        <v>366</v>
      </c>
      <c r="CF235" s="11">
        <v>0.01</v>
      </c>
      <c r="CG235" s="9" t="str">
        <f>_xll.SNL.Clients.Office.Excel.Functions.SPG(CD235, "SP_COUNTRY_NAME")</f>
        <v>USA</v>
      </c>
      <c r="CH235" t="s">
        <v>1354</v>
      </c>
      <c r="CI235">
        <v>4305801</v>
      </c>
      <c r="CJ235" t="s">
        <v>346</v>
      </c>
      <c r="CK235" s="11">
        <v>0</v>
      </c>
      <c r="CL235" s="9" t="str">
        <f>_xll.SNL.Clients.Office.Excel.Functions.SPG(CI235, "SP_COUNTRY_NAME")</f>
        <v>South Africa</v>
      </c>
      <c r="CM235" t="s">
        <v>1348</v>
      </c>
      <c r="CN235">
        <v>5864676</v>
      </c>
      <c r="CO235" t="s">
        <v>346</v>
      </c>
      <c r="CP235" s="11">
        <v>0.01</v>
      </c>
      <c r="CQ235" s="9" t="str">
        <f>_xll.SNL.Clients.Office.Excel.Functions.SPG(CN235, "SP_COUNTRY_NAME")</f>
        <v>South Africa</v>
      </c>
      <c r="CV235" s="9" t="str">
        <f>_xll.SNL.Clients.Office.Excel.Functions.SPG(CS235, "SP_COUNTRY_NAME")</f>
        <v>#INVALID COMPANY ID</v>
      </c>
      <c r="DA235" s="9" t="str">
        <f>_xll.SNL.Clients.Office.Excel.Functions.SPG(CX235, "SP_COUNTRY_NAME")</f>
        <v>#INVALID COMPANY ID</v>
      </c>
      <c r="DB235" t="s">
        <v>413</v>
      </c>
      <c r="DC235">
        <v>4114882</v>
      </c>
      <c r="DD235" t="s">
        <v>346</v>
      </c>
      <c r="DE235" s="11">
        <v>0.01</v>
      </c>
      <c r="DF235" s="9" t="str">
        <f>_xll.SNL.Clients.Office.Excel.Functions.SPG(DC235, "SP_COUNTRY_NAME")</f>
        <v>Canada</v>
      </c>
      <c r="DK235" s="9" t="str">
        <f>_xll.SNL.Clients.Office.Excel.Functions.SPG(DH235, "SP_COUNTRY_NAME")</f>
        <v>#INVALID COMPANY ID</v>
      </c>
      <c r="DL235" t="s">
        <v>413</v>
      </c>
      <c r="DM235">
        <v>4114882</v>
      </c>
      <c r="DN235" t="s">
        <v>346</v>
      </c>
      <c r="DO235" s="11">
        <v>0.01</v>
      </c>
      <c r="DP235" s="9" t="str">
        <f>_xll.SNL.Clients.Office.Excel.Functions.SPG(DM235, "SP_COUNTRY_NAME")</f>
        <v>Canada</v>
      </c>
      <c r="DU235" s="9" t="str">
        <f>_xll.SNL.Clients.Office.Excel.Functions.SPG(DR235, "SP_COUNTRY_NAME")</f>
        <v>#INVALID COMPANY ID</v>
      </c>
      <c r="DZ235" s="9" t="str">
        <f>_xll.SNL.Clients.Office.Excel.Functions.SPG(DW235, "SP_COUNTRY_NAME")</f>
        <v>#INVALID COMPANY ID</v>
      </c>
      <c r="EA235" t="s">
        <v>1713</v>
      </c>
      <c r="EB235">
        <v>109453</v>
      </c>
      <c r="EC235" t="s">
        <v>366</v>
      </c>
      <c r="ED235" s="11">
        <v>0.01</v>
      </c>
      <c r="EE235" s="9" t="str">
        <f>_xll.SNL.Clients.Office.Excel.Functions.SPG(EB235, "SP_COUNTRY_NAME")</f>
        <v>USA</v>
      </c>
      <c r="EF235" t="s">
        <v>413</v>
      </c>
      <c r="EG235">
        <v>4114882</v>
      </c>
      <c r="EH235" t="s">
        <v>346</v>
      </c>
      <c r="EI235" s="11">
        <v>0.01</v>
      </c>
      <c r="EJ235" s="9" t="str">
        <f>_xll.SNL.Clients.Office.Excel.Functions.SPG(EG235, "SP_COUNTRY_NAME")</f>
        <v>Canada</v>
      </c>
      <c r="EO235" s="9" t="str">
        <f>_xll.SNL.Clients.Office.Excel.Functions.SPG(EL235, "SP_COUNTRY_NAME")</f>
        <v>#INVALID COMPANY ID</v>
      </c>
      <c r="ET235" s="9" t="str">
        <f>_xll.SNL.Clients.Office.Excel.Functions.SPG(EQ235, "SP_COUNTRY_NAME")</f>
        <v>#INVALID COMPANY ID</v>
      </c>
      <c r="EY235" s="9" t="str">
        <f>_xll.SNL.Clients.Office.Excel.Functions.SPG(EV235, "SP_COUNTRY_NAME")</f>
        <v>#INVALID COMPANY ID</v>
      </c>
      <c r="FD235" s="9" t="str">
        <f>_xll.SNL.Clients.Office.Excel.Functions.SPG(FA235, "SP_COUNTRY_NAME")</f>
        <v>#INVALID COMPANY ID</v>
      </c>
      <c r="FI235" s="9" t="str">
        <f>_xll.SNL.Clients.Office.Excel.Functions.SPG(FF235, "SP_COUNTRY_NAME")</f>
        <v>#INVALID COMPANY ID</v>
      </c>
      <c r="FN235" s="9" t="str">
        <f>_xll.SNL.Clients.Office.Excel.Functions.SPG(FK235, "SP_COUNTRY_NAME")</f>
        <v>#INVALID COMPANY ID</v>
      </c>
      <c r="FS235" s="9" t="str">
        <f>_xll.SNL.Clients.Office.Excel.Functions.SPG(FP235, "SP_COUNTRY_NAME")</f>
        <v>#INVALID COMPANY ID</v>
      </c>
      <c r="FX235" s="9" t="str">
        <f>_xll.SNL.Clients.Office.Excel.Functions.SPG(FU235, "SP_COUNTRY_NAME")</f>
        <v>#INVALID COMPANY ID</v>
      </c>
      <c r="FY235" t="s">
        <v>413</v>
      </c>
      <c r="FZ235">
        <v>4114882</v>
      </c>
      <c r="GA235" t="s">
        <v>346</v>
      </c>
      <c r="GB235" s="11">
        <v>0.01</v>
      </c>
      <c r="GC235" s="9" t="str">
        <f>_xll.SNL.Clients.Office.Excel.Functions.SPG(FZ235, "SP_COUNTRY_NAME")</f>
        <v>Canada</v>
      </c>
      <c r="GH235" s="9" t="str">
        <f>_xll.SNL.Clients.Office.Excel.Functions.SPG(GE235, "SP_COUNTRY_NAME")</f>
        <v>#INVALID COMPANY ID</v>
      </c>
      <c r="GM235" s="9" t="str">
        <f>_xll.SNL.Clients.Office.Excel.Functions.SPG(GJ235, "SP_COUNTRY_NAME")</f>
        <v>#INVALID COMPANY ID</v>
      </c>
      <c r="GR235" s="9" t="str">
        <f>_xll.SNL.Clients.Office.Excel.Functions.SPG(GO235, "SP_COUNTRY_NAME")</f>
        <v>#INVALID COMPANY ID</v>
      </c>
      <c r="GS235" t="s">
        <v>867</v>
      </c>
      <c r="GT235">
        <v>4557386</v>
      </c>
      <c r="GU235" t="s">
        <v>346</v>
      </c>
      <c r="GV235" s="11">
        <v>0</v>
      </c>
      <c r="GW235" s="9" t="str">
        <f>_xll.SNL.Clients.Office.Excel.Functions.SPG(GT235, "SP_COUNTRY_NAME")</f>
        <v>China</v>
      </c>
      <c r="GX235" t="s">
        <v>1713</v>
      </c>
      <c r="GY235">
        <v>109453</v>
      </c>
      <c r="GZ235" t="s">
        <v>366</v>
      </c>
      <c r="HA235" s="11">
        <v>0.01</v>
      </c>
      <c r="HB235" s="9" t="str">
        <f>_xll.SNL.Clients.Office.Excel.Functions.SPG(GY235, "SP_COUNTRY_NAME")</f>
        <v>USA</v>
      </c>
      <c r="HG235" s="9" t="str">
        <f>_xll.SNL.Clients.Office.Excel.Functions.SPG(HD235, "SP_COUNTRY_NAME")</f>
        <v>#INVALID COMPANY ID</v>
      </c>
    </row>
    <row r="236" spans="5:215" x14ac:dyDescent="0.35">
      <c r="E236" s="9" t="str">
        <f>_xll.SNL.Clients.Office.Excel.Functions.SPG(B236, "SP_COUNTRY_NAME")</f>
        <v>#INVALID COMPANY ID</v>
      </c>
      <c r="F236" t="s">
        <v>619</v>
      </c>
      <c r="G236">
        <v>4615512</v>
      </c>
      <c r="H236" t="s">
        <v>346</v>
      </c>
      <c r="I236" s="11">
        <v>0</v>
      </c>
      <c r="J236" s="9" t="str">
        <f>_xll.SNL.Clients.Office.Excel.Functions.SPG(G236, "SP_COUNTRY_NAME")</f>
        <v>USA</v>
      </c>
      <c r="O236" s="9" t="str">
        <f>_xll.SNL.Clients.Office.Excel.Functions.SPG(L236, "SP_COUNTRY_NAME")</f>
        <v>#INVALID COMPANY ID</v>
      </c>
      <c r="T236" s="9" t="str">
        <f>_xll.SNL.Clients.Office.Excel.Functions.SPG(Q236, "SP_COUNTRY_NAME")</f>
        <v>#INVALID COMPANY ID</v>
      </c>
      <c r="U236" t="s">
        <v>604</v>
      </c>
      <c r="V236">
        <v>4216438</v>
      </c>
      <c r="W236" t="s">
        <v>346</v>
      </c>
      <c r="X236" s="11">
        <v>0</v>
      </c>
      <c r="Y236" s="9" t="str">
        <f>_xll.SNL.Clients.Office.Excel.Functions.SPG(V236, "SP_COUNTRY_NAME")</f>
        <v>Taiwan</v>
      </c>
      <c r="AD236" s="9" t="str">
        <f>_xll.SNL.Clients.Office.Excel.Functions.SPG(AA236, "SP_COUNTRY_NAME")</f>
        <v>#INVALID COMPANY ID</v>
      </c>
      <c r="AI236" s="9" t="str">
        <f>_xll.SNL.Clients.Office.Excel.Functions.SPG(AF236, "SP_COUNTRY_NAME")</f>
        <v>#INVALID COMPANY ID</v>
      </c>
      <c r="AN236" s="9" t="str">
        <f>_xll.SNL.Clients.Office.Excel.Functions.SPG(AK236, "SP_COUNTRY_NAME")</f>
        <v>#INVALID COMPANY ID</v>
      </c>
      <c r="AO236" t="s">
        <v>1355</v>
      </c>
      <c r="AP236">
        <v>4027327</v>
      </c>
      <c r="AQ236" t="s">
        <v>346</v>
      </c>
      <c r="AR236" s="11">
        <v>0</v>
      </c>
      <c r="AS236" s="9" t="str">
        <f>_xll.SNL.Clients.Office.Excel.Functions.SPG(AP236, "SP_COUNTRY_NAME")</f>
        <v>USA</v>
      </c>
      <c r="AX236" s="9" t="str">
        <f>_xll.SNL.Clients.Office.Excel.Functions.SPG(AU236, "SP_COUNTRY_NAME")</f>
        <v>#INVALID COMPANY ID</v>
      </c>
      <c r="BC236" s="9" t="str">
        <f>_xll.SNL.Clients.Office.Excel.Functions.SPG(AZ236, "SP_COUNTRY_NAME")</f>
        <v>#INVALID COMPANY ID</v>
      </c>
      <c r="BD236" t="s">
        <v>1289</v>
      </c>
      <c r="BE236">
        <v>5813354</v>
      </c>
      <c r="BF236" t="s">
        <v>346</v>
      </c>
      <c r="BG236" s="11">
        <v>0.01</v>
      </c>
      <c r="BH236" s="9" t="str">
        <f>_xll.SNL.Clients.Office.Excel.Functions.SPG(BE236, "SP_COUNTRY_NAME")</f>
        <v>South Africa</v>
      </c>
      <c r="BI236" t="s">
        <v>517</v>
      </c>
      <c r="BJ236">
        <v>111097</v>
      </c>
      <c r="BK236" t="s">
        <v>346</v>
      </c>
      <c r="BL236" s="11">
        <v>0</v>
      </c>
      <c r="BM236" s="9" t="str">
        <f>_xll.SNL.Clients.Office.Excel.Functions.SPG(BJ236, "SP_COUNTRY_NAME")</f>
        <v>USA</v>
      </c>
      <c r="BN236" t="s">
        <v>604</v>
      </c>
      <c r="BO236">
        <v>4216438</v>
      </c>
      <c r="BP236" t="s">
        <v>346</v>
      </c>
      <c r="BQ236" s="11">
        <v>0</v>
      </c>
      <c r="BR236" s="9" t="str">
        <f>_xll.SNL.Clients.Office.Excel.Functions.SPG(BO236, "SP_COUNTRY_NAME")</f>
        <v>Taiwan</v>
      </c>
      <c r="BS236" t="s">
        <v>995</v>
      </c>
      <c r="BT236">
        <v>4186090</v>
      </c>
      <c r="BU236" t="s">
        <v>366</v>
      </c>
      <c r="BV236" s="11">
        <v>0.01</v>
      </c>
      <c r="BW236" s="9" t="str">
        <f>_xll.SNL.Clients.Office.Excel.Functions.SPG(BT236, "SP_COUNTRY_NAME")</f>
        <v>Germany</v>
      </c>
      <c r="BX236" t="s">
        <v>604</v>
      </c>
      <c r="BY236">
        <v>4216438</v>
      </c>
      <c r="BZ236" t="s">
        <v>346</v>
      </c>
      <c r="CA236" s="11">
        <v>0</v>
      </c>
      <c r="CB236" s="9" t="str">
        <f>_xll.SNL.Clients.Office.Excel.Functions.SPG(BY236, "SP_COUNTRY_NAME")</f>
        <v>Taiwan</v>
      </c>
      <c r="CC236" t="s">
        <v>1714</v>
      </c>
      <c r="CD236">
        <v>4222753</v>
      </c>
      <c r="CE236" t="s">
        <v>346</v>
      </c>
      <c r="CF236" s="11">
        <v>0.01</v>
      </c>
      <c r="CG236" s="9" t="str">
        <f>_xll.SNL.Clients.Office.Excel.Functions.SPG(CD236, "SP_COUNTRY_NAME")</f>
        <v>USA</v>
      </c>
      <c r="CH236" t="s">
        <v>1355</v>
      </c>
      <c r="CI236">
        <v>4027327</v>
      </c>
      <c r="CJ236" t="s">
        <v>346</v>
      </c>
      <c r="CK236" s="11">
        <v>0</v>
      </c>
      <c r="CL236" s="9" t="str">
        <f>_xll.SNL.Clients.Office.Excel.Functions.SPG(CI236, "SP_COUNTRY_NAME")</f>
        <v>USA</v>
      </c>
      <c r="CM236" t="s">
        <v>1902</v>
      </c>
      <c r="CN236">
        <v>4546465</v>
      </c>
      <c r="CO236" t="s">
        <v>346</v>
      </c>
      <c r="CP236" s="11">
        <v>0.01</v>
      </c>
      <c r="CQ236" s="9" t="str">
        <f>_xll.SNL.Clients.Office.Excel.Functions.SPG(CN236, "SP_COUNTRY_NAME")</f>
        <v>Germany</v>
      </c>
      <c r="CV236" s="9" t="str">
        <f>_xll.SNL.Clients.Office.Excel.Functions.SPG(CS236, "SP_COUNTRY_NAME")</f>
        <v>#INVALID COMPANY ID</v>
      </c>
      <c r="DA236" s="9" t="str">
        <f>_xll.SNL.Clients.Office.Excel.Functions.SPG(CX236, "SP_COUNTRY_NAME")</f>
        <v>#INVALID COMPANY ID</v>
      </c>
      <c r="DB236" t="s">
        <v>1289</v>
      </c>
      <c r="DC236">
        <v>5813354</v>
      </c>
      <c r="DD236" t="s">
        <v>346</v>
      </c>
      <c r="DE236" s="11">
        <v>0.01</v>
      </c>
      <c r="DF236" s="9" t="str">
        <f>_xll.SNL.Clients.Office.Excel.Functions.SPG(DC236, "SP_COUNTRY_NAME")</f>
        <v>South Africa</v>
      </c>
      <c r="DK236" s="9" t="str">
        <f>_xll.SNL.Clients.Office.Excel.Functions.SPG(DH236, "SP_COUNTRY_NAME")</f>
        <v>#INVALID COMPANY ID</v>
      </c>
      <c r="DL236" t="s">
        <v>1289</v>
      </c>
      <c r="DM236">
        <v>5813354</v>
      </c>
      <c r="DN236" t="s">
        <v>346</v>
      </c>
      <c r="DO236" s="11">
        <v>0.01</v>
      </c>
      <c r="DP236" s="9" t="str">
        <f>_xll.SNL.Clients.Office.Excel.Functions.SPG(DM236, "SP_COUNTRY_NAME")</f>
        <v>South Africa</v>
      </c>
      <c r="DU236" s="9" t="str">
        <f>_xll.SNL.Clients.Office.Excel.Functions.SPG(DR236, "SP_COUNTRY_NAME")</f>
        <v>#INVALID COMPANY ID</v>
      </c>
      <c r="DZ236" s="9" t="str">
        <f>_xll.SNL.Clients.Office.Excel.Functions.SPG(DW236, "SP_COUNTRY_NAME")</f>
        <v>#INVALID COMPANY ID</v>
      </c>
      <c r="EA236" t="s">
        <v>1714</v>
      </c>
      <c r="EB236">
        <v>4222753</v>
      </c>
      <c r="EC236" t="s">
        <v>346</v>
      </c>
      <c r="ED236" s="11">
        <v>0.01</v>
      </c>
      <c r="EE236" s="9" t="str">
        <f>_xll.SNL.Clients.Office.Excel.Functions.SPG(EB236, "SP_COUNTRY_NAME")</f>
        <v>USA</v>
      </c>
      <c r="EF236" t="s">
        <v>1289</v>
      </c>
      <c r="EG236">
        <v>5813354</v>
      </c>
      <c r="EH236" t="s">
        <v>346</v>
      </c>
      <c r="EI236" s="11">
        <v>0.01</v>
      </c>
      <c r="EJ236" s="9" t="str">
        <f>_xll.SNL.Clients.Office.Excel.Functions.SPG(EG236, "SP_COUNTRY_NAME")</f>
        <v>South Africa</v>
      </c>
      <c r="EO236" s="9" t="str">
        <f>_xll.SNL.Clients.Office.Excel.Functions.SPG(EL236, "SP_COUNTRY_NAME")</f>
        <v>#INVALID COMPANY ID</v>
      </c>
      <c r="ET236" s="9" t="str">
        <f>_xll.SNL.Clients.Office.Excel.Functions.SPG(EQ236, "SP_COUNTRY_NAME")</f>
        <v>#INVALID COMPANY ID</v>
      </c>
      <c r="EY236" s="9" t="str">
        <f>_xll.SNL.Clients.Office.Excel.Functions.SPG(EV236, "SP_COUNTRY_NAME")</f>
        <v>#INVALID COMPANY ID</v>
      </c>
      <c r="FD236" s="9" t="str">
        <f>_xll.SNL.Clients.Office.Excel.Functions.SPG(FA236, "SP_COUNTRY_NAME")</f>
        <v>#INVALID COMPANY ID</v>
      </c>
      <c r="FI236" s="9" t="str">
        <f>_xll.SNL.Clients.Office.Excel.Functions.SPG(FF236, "SP_COUNTRY_NAME")</f>
        <v>#INVALID COMPANY ID</v>
      </c>
      <c r="FN236" s="9" t="str">
        <f>_xll.SNL.Clients.Office.Excel.Functions.SPG(FK236, "SP_COUNTRY_NAME")</f>
        <v>#INVALID COMPANY ID</v>
      </c>
      <c r="FS236" s="9" t="str">
        <f>_xll.SNL.Clients.Office.Excel.Functions.SPG(FP236, "SP_COUNTRY_NAME")</f>
        <v>#INVALID COMPANY ID</v>
      </c>
      <c r="FX236" s="9" t="str">
        <f>_xll.SNL.Clients.Office.Excel.Functions.SPG(FU236, "SP_COUNTRY_NAME")</f>
        <v>#INVALID COMPANY ID</v>
      </c>
      <c r="FY236" t="s">
        <v>1289</v>
      </c>
      <c r="FZ236">
        <v>5813354</v>
      </c>
      <c r="GA236" t="s">
        <v>346</v>
      </c>
      <c r="GB236" s="11">
        <v>0.01</v>
      </c>
      <c r="GC236" s="9" t="str">
        <f>_xll.SNL.Clients.Office.Excel.Functions.SPG(FZ236, "SP_COUNTRY_NAME")</f>
        <v>South Africa</v>
      </c>
      <c r="GH236" s="9" t="str">
        <f>_xll.SNL.Clients.Office.Excel.Functions.SPG(GE236, "SP_COUNTRY_NAME")</f>
        <v>#INVALID COMPANY ID</v>
      </c>
      <c r="GM236" s="9" t="str">
        <f>_xll.SNL.Clients.Office.Excel.Functions.SPG(GJ236, "SP_COUNTRY_NAME")</f>
        <v>#INVALID COMPANY ID</v>
      </c>
      <c r="GR236" s="9" t="str">
        <f>_xll.SNL.Clients.Office.Excel.Functions.SPG(GO236, "SP_COUNTRY_NAME")</f>
        <v>#INVALID COMPANY ID</v>
      </c>
      <c r="GS236" t="s">
        <v>604</v>
      </c>
      <c r="GT236">
        <v>4216438</v>
      </c>
      <c r="GU236" t="s">
        <v>346</v>
      </c>
      <c r="GV236" s="11">
        <v>0</v>
      </c>
      <c r="GW236" s="9" t="str">
        <f>_xll.SNL.Clients.Office.Excel.Functions.SPG(GT236, "SP_COUNTRY_NAME")</f>
        <v>Taiwan</v>
      </c>
      <c r="GX236" t="s">
        <v>1714</v>
      </c>
      <c r="GY236">
        <v>4222753</v>
      </c>
      <c r="GZ236" t="s">
        <v>346</v>
      </c>
      <c r="HA236" s="11">
        <v>0.01</v>
      </c>
      <c r="HB236" s="9" t="str">
        <f>_xll.SNL.Clients.Office.Excel.Functions.SPG(GY236, "SP_COUNTRY_NAME")</f>
        <v>USA</v>
      </c>
      <c r="HG236" s="9" t="str">
        <f>_xll.SNL.Clients.Office.Excel.Functions.SPG(HD236, "SP_COUNTRY_NAME")</f>
        <v>#INVALID COMPANY ID</v>
      </c>
    </row>
    <row r="237" spans="5:215" x14ac:dyDescent="0.35">
      <c r="E237" s="9" t="str">
        <f>_xll.SNL.Clients.Office.Excel.Functions.SPG(B237, "SP_COUNTRY_NAME")</f>
        <v>#INVALID COMPANY ID</v>
      </c>
      <c r="F237" t="s">
        <v>620</v>
      </c>
      <c r="G237">
        <v>4093059</v>
      </c>
      <c r="H237" t="s">
        <v>346</v>
      </c>
      <c r="I237" s="11">
        <v>0</v>
      </c>
      <c r="J237" s="9" t="str">
        <f>_xll.SNL.Clients.Office.Excel.Functions.SPG(G237, "SP_COUNTRY_NAME")</f>
        <v>USA</v>
      </c>
      <c r="O237" s="9" t="str">
        <f>_xll.SNL.Clients.Office.Excel.Functions.SPG(L237, "SP_COUNTRY_NAME")</f>
        <v>#INVALID COMPANY ID</v>
      </c>
      <c r="T237" s="9" t="str">
        <f>_xll.SNL.Clients.Office.Excel.Functions.SPG(Q237, "SP_COUNTRY_NAME")</f>
        <v>#INVALID COMPANY ID</v>
      </c>
      <c r="U237" t="s">
        <v>817</v>
      </c>
      <c r="V237">
        <v>4135100</v>
      </c>
      <c r="W237" t="s">
        <v>346</v>
      </c>
      <c r="X237" s="11">
        <v>0</v>
      </c>
      <c r="Y237" s="9" t="str">
        <f>_xll.SNL.Clients.Office.Excel.Functions.SPG(V237, "SP_COUNTRY_NAME")</f>
        <v>United Kingdom</v>
      </c>
      <c r="AD237" s="9" t="str">
        <f>_xll.SNL.Clients.Office.Excel.Functions.SPG(AA237, "SP_COUNTRY_NAME")</f>
        <v>#INVALID COMPANY ID</v>
      </c>
      <c r="AI237" s="9" t="str">
        <f>_xll.SNL.Clients.Office.Excel.Functions.SPG(AF237, "SP_COUNTRY_NAME")</f>
        <v>#INVALID COMPANY ID</v>
      </c>
      <c r="AN237" s="9" t="str">
        <f>_xll.SNL.Clients.Office.Excel.Functions.SPG(AK237, "SP_COUNTRY_NAME")</f>
        <v>#INVALID COMPANY ID</v>
      </c>
      <c r="AO237" t="s">
        <v>1356</v>
      </c>
      <c r="AP237">
        <v>5830723</v>
      </c>
      <c r="AQ237" t="s">
        <v>346</v>
      </c>
      <c r="AR237" s="11">
        <v>0</v>
      </c>
      <c r="AS237" s="9" t="str">
        <f>_xll.SNL.Clients.Office.Excel.Functions.SPG(AP237, "SP_COUNTRY_NAME")</f>
        <v>South Africa</v>
      </c>
      <c r="AX237" s="9" t="str">
        <f>_xll.SNL.Clients.Office.Excel.Functions.SPG(AU237, "SP_COUNTRY_NAME")</f>
        <v>#INVALID COMPANY ID</v>
      </c>
      <c r="BC237" s="9" t="str">
        <f>_xll.SNL.Clients.Office.Excel.Functions.SPG(AZ237, "SP_COUNTRY_NAME")</f>
        <v>#INVALID COMPANY ID</v>
      </c>
      <c r="BD237" t="s">
        <v>1147</v>
      </c>
      <c r="BE237">
        <v>4187733</v>
      </c>
      <c r="BF237" t="s">
        <v>346</v>
      </c>
      <c r="BG237" s="11">
        <v>0.01</v>
      </c>
      <c r="BH237" s="9" t="str">
        <f>_xll.SNL.Clients.Office.Excel.Functions.SPG(BE237, "SP_COUNTRY_NAME")</f>
        <v>Switzerland</v>
      </c>
      <c r="BI237" t="s">
        <v>1594</v>
      </c>
      <c r="BJ237" t="s">
        <v>300</v>
      </c>
      <c r="BK237" t="s">
        <v>361</v>
      </c>
      <c r="BL237" s="11">
        <v>0</v>
      </c>
      <c r="BM237" s="9" t="str">
        <f>_xll.SNL.Clients.Office.Excel.Functions.SPG(BJ237, "SP_COUNTRY_NAME")</f>
        <v>China</v>
      </c>
      <c r="BN237" t="s">
        <v>875</v>
      </c>
      <c r="BO237">
        <v>4139902</v>
      </c>
      <c r="BP237" t="s">
        <v>346</v>
      </c>
      <c r="BQ237" s="11">
        <v>0</v>
      </c>
      <c r="BR237" s="9" t="str">
        <f>_xll.SNL.Clients.Office.Excel.Functions.SPG(BO237, "SP_COUNTRY_NAME")</f>
        <v>China</v>
      </c>
      <c r="BS237" t="s">
        <v>739</v>
      </c>
      <c r="BT237">
        <v>4311270</v>
      </c>
      <c r="BU237" t="s">
        <v>346</v>
      </c>
      <c r="BV237" s="11">
        <v>0.01</v>
      </c>
      <c r="BW237" s="9" t="str">
        <f>_xll.SNL.Clients.Office.Excel.Functions.SPG(BT237, "SP_COUNTRY_NAME")</f>
        <v>China</v>
      </c>
      <c r="BX237" t="s">
        <v>817</v>
      </c>
      <c r="BY237">
        <v>4135100</v>
      </c>
      <c r="BZ237" t="s">
        <v>346</v>
      </c>
      <c r="CA237" s="11">
        <v>0</v>
      </c>
      <c r="CB237" s="9" t="str">
        <f>_xll.SNL.Clients.Office.Excel.Functions.SPG(BY237, "SP_COUNTRY_NAME")</f>
        <v>United Kingdom</v>
      </c>
      <c r="CC237" t="s">
        <v>925</v>
      </c>
      <c r="CD237">
        <v>4055966</v>
      </c>
      <c r="CE237" t="s">
        <v>346</v>
      </c>
      <c r="CF237" s="11">
        <v>0.01</v>
      </c>
      <c r="CG237" s="9" t="str">
        <f>_xll.SNL.Clients.Office.Excel.Functions.SPG(CD237, "SP_COUNTRY_NAME")</f>
        <v>USA</v>
      </c>
      <c r="CH237" t="s">
        <v>1356</v>
      </c>
      <c r="CI237">
        <v>5830723</v>
      </c>
      <c r="CJ237" t="s">
        <v>346</v>
      </c>
      <c r="CK237" s="11">
        <v>0</v>
      </c>
      <c r="CL237" s="9" t="str">
        <f>_xll.SNL.Clients.Office.Excel.Functions.SPG(CI237, "SP_COUNTRY_NAME")</f>
        <v>South Africa</v>
      </c>
      <c r="CM237" t="s">
        <v>2003</v>
      </c>
      <c r="CN237">
        <v>4320445</v>
      </c>
      <c r="CO237" t="s">
        <v>364</v>
      </c>
      <c r="CP237" s="11">
        <v>0.01</v>
      </c>
      <c r="CQ237" s="9" t="str">
        <f>_xll.SNL.Clients.Office.Excel.Functions.SPG(CN237, "SP_COUNTRY_NAME")</f>
        <v>South Africa</v>
      </c>
      <c r="CV237" s="9" t="str">
        <f>_xll.SNL.Clients.Office.Excel.Functions.SPG(CS237, "SP_COUNTRY_NAME")</f>
        <v>#INVALID COMPANY ID</v>
      </c>
      <c r="DA237" s="9" t="str">
        <f>_xll.SNL.Clients.Office.Excel.Functions.SPG(CX237, "SP_COUNTRY_NAME")</f>
        <v>#INVALID COMPANY ID</v>
      </c>
      <c r="DB237" t="s">
        <v>1147</v>
      </c>
      <c r="DC237">
        <v>4187733</v>
      </c>
      <c r="DD237" t="s">
        <v>346</v>
      </c>
      <c r="DE237" s="11">
        <v>0.01</v>
      </c>
      <c r="DF237" s="9" t="str">
        <f>_xll.SNL.Clients.Office.Excel.Functions.SPG(DC237, "SP_COUNTRY_NAME")</f>
        <v>Switzerland</v>
      </c>
      <c r="DK237" s="9" t="str">
        <f>_xll.SNL.Clients.Office.Excel.Functions.SPG(DH237, "SP_COUNTRY_NAME")</f>
        <v>#INVALID COMPANY ID</v>
      </c>
      <c r="DL237" t="s">
        <v>1147</v>
      </c>
      <c r="DM237">
        <v>4187733</v>
      </c>
      <c r="DN237" t="s">
        <v>346</v>
      </c>
      <c r="DO237" s="11">
        <v>0.01</v>
      </c>
      <c r="DP237" s="9" t="str">
        <f>_xll.SNL.Clients.Office.Excel.Functions.SPG(DM237, "SP_COUNTRY_NAME")</f>
        <v>Switzerland</v>
      </c>
      <c r="DU237" s="9" t="str">
        <f>_xll.SNL.Clients.Office.Excel.Functions.SPG(DR237, "SP_COUNTRY_NAME")</f>
        <v>#INVALID COMPANY ID</v>
      </c>
      <c r="DZ237" s="9" t="str">
        <f>_xll.SNL.Clients.Office.Excel.Functions.SPG(DW237, "SP_COUNTRY_NAME")</f>
        <v>#INVALID COMPANY ID</v>
      </c>
      <c r="EA237" t="s">
        <v>925</v>
      </c>
      <c r="EB237">
        <v>4055966</v>
      </c>
      <c r="EC237" t="s">
        <v>346</v>
      </c>
      <c r="ED237" s="11">
        <v>0.01</v>
      </c>
      <c r="EE237" s="9" t="str">
        <f>_xll.SNL.Clients.Office.Excel.Functions.SPG(EB237, "SP_COUNTRY_NAME")</f>
        <v>USA</v>
      </c>
      <c r="EF237" t="s">
        <v>1147</v>
      </c>
      <c r="EG237">
        <v>4187733</v>
      </c>
      <c r="EH237" t="s">
        <v>346</v>
      </c>
      <c r="EI237" s="11">
        <v>0.01</v>
      </c>
      <c r="EJ237" s="9" t="str">
        <f>_xll.SNL.Clients.Office.Excel.Functions.SPG(EG237, "SP_COUNTRY_NAME")</f>
        <v>Switzerland</v>
      </c>
      <c r="EO237" s="9" t="str">
        <f>_xll.SNL.Clients.Office.Excel.Functions.SPG(EL237, "SP_COUNTRY_NAME")</f>
        <v>#INVALID COMPANY ID</v>
      </c>
      <c r="ET237" s="9" t="str">
        <f>_xll.SNL.Clients.Office.Excel.Functions.SPG(EQ237, "SP_COUNTRY_NAME")</f>
        <v>#INVALID COMPANY ID</v>
      </c>
      <c r="EY237" s="9" t="str">
        <f>_xll.SNL.Clients.Office.Excel.Functions.SPG(EV237, "SP_COUNTRY_NAME")</f>
        <v>#INVALID COMPANY ID</v>
      </c>
      <c r="FD237" s="9" t="str">
        <f>_xll.SNL.Clients.Office.Excel.Functions.SPG(FA237, "SP_COUNTRY_NAME")</f>
        <v>#INVALID COMPANY ID</v>
      </c>
      <c r="FI237" s="9" t="str">
        <f>_xll.SNL.Clients.Office.Excel.Functions.SPG(FF237, "SP_COUNTRY_NAME")</f>
        <v>#INVALID COMPANY ID</v>
      </c>
      <c r="FN237" s="9" t="str">
        <f>_xll.SNL.Clients.Office.Excel.Functions.SPG(FK237, "SP_COUNTRY_NAME")</f>
        <v>#INVALID COMPANY ID</v>
      </c>
      <c r="FS237" s="9" t="str">
        <f>_xll.SNL.Clients.Office.Excel.Functions.SPG(FP237, "SP_COUNTRY_NAME")</f>
        <v>#INVALID COMPANY ID</v>
      </c>
      <c r="FX237" s="9" t="str">
        <f>_xll.SNL.Clients.Office.Excel.Functions.SPG(FU237, "SP_COUNTRY_NAME")</f>
        <v>#INVALID COMPANY ID</v>
      </c>
      <c r="FY237" t="s">
        <v>1147</v>
      </c>
      <c r="FZ237">
        <v>4187733</v>
      </c>
      <c r="GA237" t="s">
        <v>346</v>
      </c>
      <c r="GB237" s="11">
        <v>0.01</v>
      </c>
      <c r="GC237" s="9" t="str">
        <f>_xll.SNL.Clients.Office.Excel.Functions.SPG(FZ237, "SP_COUNTRY_NAME")</f>
        <v>Switzerland</v>
      </c>
      <c r="GH237" s="9" t="str">
        <f>_xll.SNL.Clients.Office.Excel.Functions.SPG(GE237, "SP_COUNTRY_NAME")</f>
        <v>#INVALID COMPANY ID</v>
      </c>
      <c r="GM237" s="9" t="str">
        <f>_xll.SNL.Clients.Office.Excel.Functions.SPG(GJ237, "SP_COUNTRY_NAME")</f>
        <v>#INVALID COMPANY ID</v>
      </c>
      <c r="GR237" s="9" t="str">
        <f>_xll.SNL.Clients.Office.Excel.Functions.SPG(GO237, "SP_COUNTRY_NAME")</f>
        <v>#INVALID COMPANY ID</v>
      </c>
      <c r="GS237" t="s">
        <v>875</v>
      </c>
      <c r="GT237">
        <v>4139902</v>
      </c>
      <c r="GU237" t="s">
        <v>346</v>
      </c>
      <c r="GV237" s="11">
        <v>0</v>
      </c>
      <c r="GW237" s="9" t="str">
        <f>_xll.SNL.Clients.Office.Excel.Functions.SPG(GT237, "SP_COUNTRY_NAME")</f>
        <v>China</v>
      </c>
      <c r="GX237" t="s">
        <v>925</v>
      </c>
      <c r="GY237">
        <v>4055966</v>
      </c>
      <c r="GZ237" t="s">
        <v>346</v>
      </c>
      <c r="HA237" s="11">
        <v>0.01</v>
      </c>
      <c r="HB237" s="9" t="str">
        <f>_xll.SNL.Clients.Office.Excel.Functions.SPG(GY237, "SP_COUNTRY_NAME")</f>
        <v>USA</v>
      </c>
      <c r="HG237" s="9" t="str">
        <f>_xll.SNL.Clients.Office.Excel.Functions.SPG(HD237, "SP_COUNTRY_NAME")</f>
        <v>#INVALID COMPANY ID</v>
      </c>
    </row>
    <row r="238" spans="5:215" x14ac:dyDescent="0.35">
      <c r="E238" s="9" t="str">
        <f>_xll.SNL.Clients.Office.Excel.Functions.SPG(B238, "SP_COUNTRY_NAME")</f>
        <v>#INVALID COMPANY ID</v>
      </c>
      <c r="F238" t="s">
        <v>621</v>
      </c>
      <c r="G238">
        <v>4110324</v>
      </c>
      <c r="H238" t="s">
        <v>346</v>
      </c>
      <c r="I238" s="11">
        <v>0</v>
      </c>
      <c r="J238" s="9" t="str">
        <f>_xll.SNL.Clients.Office.Excel.Functions.SPG(G238, "SP_COUNTRY_NAME")</f>
        <v>USA</v>
      </c>
      <c r="O238" s="9" t="str">
        <f>_xll.SNL.Clients.Office.Excel.Functions.SPG(L238, "SP_COUNTRY_NAME")</f>
        <v>#INVALID COMPANY ID</v>
      </c>
      <c r="T238" s="9" t="str">
        <f>_xll.SNL.Clients.Office.Excel.Functions.SPG(Q238, "SP_COUNTRY_NAME")</f>
        <v>#INVALID COMPANY ID</v>
      </c>
      <c r="U238" t="s">
        <v>523</v>
      </c>
      <c r="V238">
        <v>7060057</v>
      </c>
      <c r="W238" t="s">
        <v>346</v>
      </c>
      <c r="X238" s="11">
        <v>0</v>
      </c>
      <c r="Y238" s="9" t="str">
        <f>_xll.SNL.Clients.Office.Excel.Functions.SPG(V238, "SP_COUNTRY_NAME")</f>
        <v>Switzerland</v>
      </c>
      <c r="AD238" s="9" t="str">
        <f>_xll.SNL.Clients.Office.Excel.Functions.SPG(AA238, "SP_COUNTRY_NAME")</f>
        <v>#INVALID COMPANY ID</v>
      </c>
      <c r="AI238" s="9" t="str">
        <f>_xll.SNL.Clients.Office.Excel.Functions.SPG(AF238, "SP_COUNTRY_NAME")</f>
        <v>#INVALID COMPANY ID</v>
      </c>
      <c r="AN238" s="9" t="str">
        <f>_xll.SNL.Clients.Office.Excel.Functions.SPG(AK238, "SP_COUNTRY_NAME")</f>
        <v>#INVALID COMPANY ID</v>
      </c>
      <c r="AO238" t="s">
        <v>1357</v>
      </c>
      <c r="AP238">
        <v>26357812</v>
      </c>
      <c r="AQ238" t="s">
        <v>366</v>
      </c>
      <c r="AR238" s="11">
        <v>0</v>
      </c>
      <c r="AS238" s="9" t="str">
        <f>_xll.SNL.Clients.Office.Excel.Functions.SPG(AP238, "SP_COUNTRY_NAME")</f>
        <v>South Africa</v>
      </c>
      <c r="AX238" s="9" t="str">
        <f>_xll.SNL.Clients.Office.Excel.Functions.SPG(AU238, "SP_COUNTRY_NAME")</f>
        <v>#INVALID COMPANY ID</v>
      </c>
      <c r="BC238" s="9" t="str">
        <f>_xll.SNL.Clients.Office.Excel.Functions.SPG(AZ238, "SP_COUNTRY_NAME")</f>
        <v>#INVALID COMPANY ID</v>
      </c>
      <c r="BD238" t="s">
        <v>1463</v>
      </c>
      <c r="BE238">
        <v>5834515</v>
      </c>
      <c r="BF238" t="s">
        <v>346</v>
      </c>
      <c r="BG238" s="11">
        <v>0.01</v>
      </c>
      <c r="BH238" s="9" t="str">
        <f>_xll.SNL.Clients.Office.Excel.Functions.SPG(BE238, "SP_COUNTRY_NAME")</f>
        <v>United Kingdom</v>
      </c>
      <c r="BI238" t="s">
        <v>602</v>
      </c>
      <c r="BJ238">
        <v>4378744</v>
      </c>
      <c r="BK238" t="s">
        <v>346</v>
      </c>
      <c r="BL238" s="11">
        <v>0</v>
      </c>
      <c r="BM238" s="9" t="str">
        <f>_xll.SNL.Clients.Office.Excel.Functions.SPG(BJ238, "SP_COUNTRY_NAME")</f>
        <v>Poland</v>
      </c>
      <c r="BN238" t="s">
        <v>1077</v>
      </c>
      <c r="BO238">
        <v>5804824</v>
      </c>
      <c r="BP238" t="s">
        <v>346</v>
      </c>
      <c r="BQ238" s="11">
        <v>0</v>
      </c>
      <c r="BR238" s="9" t="str">
        <f>_xll.SNL.Clients.Office.Excel.Functions.SPG(BO238, "SP_COUNTRY_NAME")</f>
        <v>Luxembourg</v>
      </c>
      <c r="BS238" t="s">
        <v>472</v>
      </c>
      <c r="BT238">
        <v>4048215</v>
      </c>
      <c r="BU238" t="s">
        <v>346</v>
      </c>
      <c r="BV238" s="11">
        <v>0.01</v>
      </c>
      <c r="BW238" s="9" t="str">
        <f>_xll.SNL.Clients.Office.Excel.Functions.SPG(BT238, "SP_COUNTRY_NAME")</f>
        <v>USA</v>
      </c>
      <c r="BX238" t="s">
        <v>523</v>
      </c>
      <c r="BY238">
        <v>7060057</v>
      </c>
      <c r="BZ238" t="s">
        <v>346</v>
      </c>
      <c r="CA238" s="11">
        <v>0</v>
      </c>
      <c r="CB238" s="9" t="str">
        <f>_xll.SNL.Clients.Office.Excel.Functions.SPG(BY238, "SP_COUNTRY_NAME")</f>
        <v>Switzerland</v>
      </c>
      <c r="CC238" t="s">
        <v>1715</v>
      </c>
      <c r="CD238">
        <v>5850734</v>
      </c>
      <c r="CE238" t="s">
        <v>346</v>
      </c>
      <c r="CF238" s="11">
        <v>0.01</v>
      </c>
      <c r="CG238" s="9" t="str">
        <f>_xll.SNL.Clients.Office.Excel.Functions.SPG(CD238, "SP_COUNTRY_NAME")</f>
        <v>Brazil</v>
      </c>
      <c r="CH238" t="s">
        <v>1357</v>
      </c>
      <c r="CI238">
        <v>26357812</v>
      </c>
      <c r="CJ238" t="s">
        <v>366</v>
      </c>
      <c r="CK238" s="11">
        <v>0</v>
      </c>
      <c r="CL238" s="9" t="str">
        <f>_xll.SNL.Clients.Office.Excel.Functions.SPG(CI238, "SP_COUNTRY_NAME")</f>
        <v>South Africa</v>
      </c>
      <c r="CM238" t="s">
        <v>1314</v>
      </c>
      <c r="CN238">
        <v>105607411</v>
      </c>
      <c r="CO238" t="s">
        <v>346</v>
      </c>
      <c r="CP238" s="11">
        <v>0.01</v>
      </c>
      <c r="CQ238" s="9" t="str">
        <f>_xll.SNL.Clients.Office.Excel.Functions.SPG(CN238, "SP_COUNTRY_NAME")</f>
        <v>South Africa</v>
      </c>
      <c r="CV238" s="9" t="str">
        <f>_xll.SNL.Clients.Office.Excel.Functions.SPG(CS238, "SP_COUNTRY_NAME")</f>
        <v>#INVALID COMPANY ID</v>
      </c>
      <c r="DA238" s="9" t="str">
        <f>_xll.SNL.Clients.Office.Excel.Functions.SPG(CX238, "SP_COUNTRY_NAME")</f>
        <v>#INVALID COMPANY ID</v>
      </c>
      <c r="DB238" t="s">
        <v>1463</v>
      </c>
      <c r="DC238">
        <v>5834515</v>
      </c>
      <c r="DD238" t="s">
        <v>346</v>
      </c>
      <c r="DE238" s="11">
        <v>0.01</v>
      </c>
      <c r="DF238" s="9" t="str">
        <f>_xll.SNL.Clients.Office.Excel.Functions.SPG(DC238, "SP_COUNTRY_NAME")</f>
        <v>United Kingdom</v>
      </c>
      <c r="DK238" s="9" t="str">
        <f>_xll.SNL.Clients.Office.Excel.Functions.SPG(DH238, "SP_COUNTRY_NAME")</f>
        <v>#INVALID COMPANY ID</v>
      </c>
      <c r="DL238" t="s">
        <v>1463</v>
      </c>
      <c r="DM238">
        <v>5834515</v>
      </c>
      <c r="DN238" t="s">
        <v>346</v>
      </c>
      <c r="DO238" s="11">
        <v>0.01</v>
      </c>
      <c r="DP238" s="9" t="str">
        <f>_xll.SNL.Clients.Office.Excel.Functions.SPG(DM238, "SP_COUNTRY_NAME")</f>
        <v>United Kingdom</v>
      </c>
      <c r="DU238" s="9" t="str">
        <f>_xll.SNL.Clients.Office.Excel.Functions.SPG(DR238, "SP_COUNTRY_NAME")</f>
        <v>#INVALID COMPANY ID</v>
      </c>
      <c r="DZ238" s="9" t="str">
        <f>_xll.SNL.Clients.Office.Excel.Functions.SPG(DW238, "SP_COUNTRY_NAME")</f>
        <v>#INVALID COMPANY ID</v>
      </c>
      <c r="EA238" t="s">
        <v>1715</v>
      </c>
      <c r="EB238">
        <v>5850734</v>
      </c>
      <c r="EC238" t="s">
        <v>346</v>
      </c>
      <c r="ED238" s="11">
        <v>0.01</v>
      </c>
      <c r="EE238" s="9" t="str">
        <f>_xll.SNL.Clients.Office.Excel.Functions.SPG(EB238, "SP_COUNTRY_NAME")</f>
        <v>Brazil</v>
      </c>
      <c r="EF238" t="s">
        <v>1463</v>
      </c>
      <c r="EG238">
        <v>5834515</v>
      </c>
      <c r="EH238" t="s">
        <v>346</v>
      </c>
      <c r="EI238" s="11">
        <v>0.01</v>
      </c>
      <c r="EJ238" s="9" t="str">
        <f>_xll.SNL.Clients.Office.Excel.Functions.SPG(EG238, "SP_COUNTRY_NAME")</f>
        <v>United Kingdom</v>
      </c>
      <c r="EO238" s="9" t="str">
        <f>_xll.SNL.Clients.Office.Excel.Functions.SPG(EL238, "SP_COUNTRY_NAME")</f>
        <v>#INVALID COMPANY ID</v>
      </c>
      <c r="ET238" s="9" t="str">
        <f>_xll.SNL.Clients.Office.Excel.Functions.SPG(EQ238, "SP_COUNTRY_NAME")</f>
        <v>#INVALID COMPANY ID</v>
      </c>
      <c r="EY238" s="9" t="str">
        <f>_xll.SNL.Clients.Office.Excel.Functions.SPG(EV238, "SP_COUNTRY_NAME")</f>
        <v>#INVALID COMPANY ID</v>
      </c>
      <c r="FD238" s="9" t="str">
        <f>_xll.SNL.Clients.Office.Excel.Functions.SPG(FA238, "SP_COUNTRY_NAME")</f>
        <v>#INVALID COMPANY ID</v>
      </c>
      <c r="FI238" s="9" t="str">
        <f>_xll.SNL.Clients.Office.Excel.Functions.SPG(FF238, "SP_COUNTRY_NAME")</f>
        <v>#INVALID COMPANY ID</v>
      </c>
      <c r="FN238" s="9" t="str">
        <f>_xll.SNL.Clients.Office.Excel.Functions.SPG(FK238, "SP_COUNTRY_NAME")</f>
        <v>#INVALID COMPANY ID</v>
      </c>
      <c r="FS238" s="9" t="str">
        <f>_xll.SNL.Clients.Office.Excel.Functions.SPG(FP238, "SP_COUNTRY_NAME")</f>
        <v>#INVALID COMPANY ID</v>
      </c>
      <c r="FX238" s="9" t="str">
        <f>_xll.SNL.Clients.Office.Excel.Functions.SPG(FU238, "SP_COUNTRY_NAME")</f>
        <v>#INVALID COMPANY ID</v>
      </c>
      <c r="FY238" t="s">
        <v>1463</v>
      </c>
      <c r="FZ238">
        <v>5834515</v>
      </c>
      <c r="GA238" t="s">
        <v>346</v>
      </c>
      <c r="GB238" s="11">
        <v>0.01</v>
      </c>
      <c r="GC238" s="9" t="str">
        <f>_xll.SNL.Clients.Office.Excel.Functions.SPG(FZ238, "SP_COUNTRY_NAME")</f>
        <v>United Kingdom</v>
      </c>
      <c r="GH238" s="9" t="str">
        <f>_xll.SNL.Clients.Office.Excel.Functions.SPG(GE238, "SP_COUNTRY_NAME")</f>
        <v>#INVALID COMPANY ID</v>
      </c>
      <c r="GM238" s="9" t="str">
        <f>_xll.SNL.Clients.Office.Excel.Functions.SPG(GJ238, "SP_COUNTRY_NAME")</f>
        <v>#INVALID COMPANY ID</v>
      </c>
      <c r="GR238" s="9" t="str">
        <f>_xll.SNL.Clients.Office.Excel.Functions.SPG(GO238, "SP_COUNTRY_NAME")</f>
        <v>#INVALID COMPANY ID</v>
      </c>
      <c r="GS238" t="s">
        <v>1077</v>
      </c>
      <c r="GT238">
        <v>5804824</v>
      </c>
      <c r="GU238" t="s">
        <v>346</v>
      </c>
      <c r="GV238" s="11">
        <v>0</v>
      </c>
      <c r="GW238" s="9" t="str">
        <f>_xll.SNL.Clients.Office.Excel.Functions.SPG(GT238, "SP_COUNTRY_NAME")</f>
        <v>Luxembourg</v>
      </c>
      <c r="GX238" t="s">
        <v>1715</v>
      </c>
      <c r="GY238">
        <v>5850734</v>
      </c>
      <c r="GZ238" t="s">
        <v>346</v>
      </c>
      <c r="HA238" s="11">
        <v>0.01</v>
      </c>
      <c r="HB238" s="9" t="str">
        <f>_xll.SNL.Clients.Office.Excel.Functions.SPG(GY238, "SP_COUNTRY_NAME")</f>
        <v>Brazil</v>
      </c>
      <c r="HG238" s="9" t="str">
        <f>_xll.SNL.Clients.Office.Excel.Functions.SPG(HD238, "SP_COUNTRY_NAME")</f>
        <v>#INVALID COMPANY ID</v>
      </c>
    </row>
    <row r="239" spans="5:215" x14ac:dyDescent="0.35">
      <c r="E239" s="9" t="str">
        <f>_xll.SNL.Clients.Office.Excel.Functions.SPG(B239, "SP_COUNTRY_NAME")</f>
        <v>#INVALID COMPANY ID</v>
      </c>
      <c r="F239" t="s">
        <v>622</v>
      </c>
      <c r="G239">
        <v>4072625</v>
      </c>
      <c r="H239" t="s">
        <v>346</v>
      </c>
      <c r="I239" s="11">
        <v>0</v>
      </c>
      <c r="J239" s="9" t="str">
        <f>_xll.SNL.Clients.Office.Excel.Functions.SPG(G239, "SP_COUNTRY_NAME")</f>
        <v>USA</v>
      </c>
      <c r="O239" s="9" t="str">
        <f>_xll.SNL.Clients.Office.Excel.Functions.SPG(L239, "SP_COUNTRY_NAME")</f>
        <v>#INVALID COMPANY ID</v>
      </c>
      <c r="T239" s="9" t="str">
        <f>_xll.SNL.Clients.Office.Excel.Functions.SPG(Q239, "SP_COUNTRY_NAME")</f>
        <v>#INVALID COMPANY ID</v>
      </c>
      <c r="U239" t="s">
        <v>472</v>
      </c>
      <c r="V239">
        <v>4048215</v>
      </c>
      <c r="W239" t="s">
        <v>346</v>
      </c>
      <c r="X239" s="11">
        <v>0</v>
      </c>
      <c r="Y239" s="9" t="str">
        <f>_xll.SNL.Clients.Office.Excel.Functions.SPG(V239, "SP_COUNTRY_NAME")</f>
        <v>USA</v>
      </c>
      <c r="AD239" s="9" t="str">
        <f>_xll.SNL.Clients.Office.Excel.Functions.SPG(AA239, "SP_COUNTRY_NAME")</f>
        <v>#INVALID COMPANY ID</v>
      </c>
      <c r="AI239" s="9" t="str">
        <f>_xll.SNL.Clients.Office.Excel.Functions.SPG(AF239, "SP_COUNTRY_NAME")</f>
        <v>#INVALID COMPANY ID</v>
      </c>
      <c r="AN239" s="9" t="str">
        <f>_xll.SNL.Clients.Office.Excel.Functions.SPG(AK239, "SP_COUNTRY_NAME")</f>
        <v>#INVALID COMPANY ID</v>
      </c>
      <c r="AO239" t="s">
        <v>1358</v>
      </c>
      <c r="AP239">
        <v>8264448</v>
      </c>
      <c r="AQ239" t="s">
        <v>346</v>
      </c>
      <c r="AR239" s="11">
        <v>0</v>
      </c>
      <c r="AS239" s="9" t="str">
        <f>_xll.SNL.Clients.Office.Excel.Functions.SPG(AP239, "SP_COUNTRY_NAME")</f>
        <v>South Africa</v>
      </c>
      <c r="AX239" s="9" t="str">
        <f>_xll.SNL.Clients.Office.Excel.Functions.SPG(AU239, "SP_COUNTRY_NAME")</f>
        <v>#INVALID COMPANY ID</v>
      </c>
      <c r="BC239" s="9" t="str">
        <f>_xll.SNL.Clients.Office.Excel.Functions.SPG(AZ239, "SP_COUNTRY_NAME")</f>
        <v>#INVALID COMPANY ID</v>
      </c>
      <c r="BD239" t="s">
        <v>478</v>
      </c>
      <c r="BE239">
        <v>5852503</v>
      </c>
      <c r="BF239" t="s">
        <v>346</v>
      </c>
      <c r="BG239" s="11">
        <v>0.01</v>
      </c>
      <c r="BH239" s="9" t="str">
        <f>_xll.SNL.Clients.Office.Excel.Functions.SPG(BE239, "SP_COUNTRY_NAME")</f>
        <v>South Africa</v>
      </c>
      <c r="BI239" t="s">
        <v>603</v>
      </c>
      <c r="BJ239">
        <v>110641</v>
      </c>
      <c r="BK239" t="s">
        <v>346</v>
      </c>
      <c r="BL239" s="11">
        <v>0</v>
      </c>
      <c r="BM239" s="9" t="str">
        <f>_xll.SNL.Clients.Office.Excel.Functions.SPG(BJ239, "SP_COUNTRY_NAME")</f>
        <v>USA</v>
      </c>
      <c r="BN239" t="s">
        <v>840</v>
      </c>
      <c r="BO239">
        <v>4581365</v>
      </c>
      <c r="BP239" t="s">
        <v>346</v>
      </c>
      <c r="BQ239" s="11">
        <v>0</v>
      </c>
      <c r="BR239" s="9" t="str">
        <f>_xll.SNL.Clients.Office.Excel.Functions.SPG(BO239, "SP_COUNTRY_NAME")</f>
        <v>Hong Kong</v>
      </c>
      <c r="BS239" t="s">
        <v>398</v>
      </c>
      <c r="BT239">
        <v>4107954</v>
      </c>
      <c r="BU239" t="s">
        <v>300</v>
      </c>
      <c r="BV239" s="11">
        <v>0.01</v>
      </c>
      <c r="BW239" s="9" t="str">
        <f>_xll.SNL.Clients.Office.Excel.Functions.SPG(BT239, "SP_COUNTRY_NAME")</f>
        <v>Japan</v>
      </c>
      <c r="BX239" t="s">
        <v>472</v>
      </c>
      <c r="BY239">
        <v>4048215</v>
      </c>
      <c r="BZ239" t="s">
        <v>346</v>
      </c>
      <c r="CA239" s="11">
        <v>0</v>
      </c>
      <c r="CB239" s="9" t="str">
        <f>_xll.SNL.Clients.Office.Excel.Functions.SPG(BY239, "SP_COUNTRY_NAME")</f>
        <v>USA</v>
      </c>
      <c r="CC239" t="s">
        <v>1716</v>
      </c>
      <c r="CD239">
        <v>5774447</v>
      </c>
      <c r="CE239" t="s">
        <v>369</v>
      </c>
      <c r="CF239" s="11">
        <v>0.01</v>
      </c>
      <c r="CG239" s="9" t="str">
        <f>_xll.SNL.Clients.Office.Excel.Functions.SPG(CD239, "SP_COUNTRY_NAME")</f>
        <v>Brazil</v>
      </c>
      <c r="CH239" t="s">
        <v>1358</v>
      </c>
      <c r="CI239">
        <v>8264448</v>
      </c>
      <c r="CJ239" t="s">
        <v>346</v>
      </c>
      <c r="CK239" s="11">
        <v>0</v>
      </c>
      <c r="CL239" s="9" t="str">
        <f>_xll.SNL.Clients.Office.Excel.Functions.SPG(CI239, "SP_COUNTRY_NAME")</f>
        <v>South Africa</v>
      </c>
      <c r="CM239" t="s">
        <v>2004</v>
      </c>
      <c r="CN239">
        <v>9751424</v>
      </c>
      <c r="CO239" t="s">
        <v>364</v>
      </c>
      <c r="CP239" s="11">
        <v>0.01</v>
      </c>
      <c r="CQ239" s="9" t="str">
        <f>_xll.SNL.Clients.Office.Excel.Functions.SPG(CN239, "SP_COUNTRY_NAME")</f>
        <v>USA</v>
      </c>
      <c r="CV239" s="9" t="str">
        <f>_xll.SNL.Clients.Office.Excel.Functions.SPG(CS239, "SP_COUNTRY_NAME")</f>
        <v>#INVALID COMPANY ID</v>
      </c>
      <c r="DA239" s="9" t="str">
        <f>_xll.SNL.Clients.Office.Excel.Functions.SPG(CX239, "SP_COUNTRY_NAME")</f>
        <v>#INVALID COMPANY ID</v>
      </c>
      <c r="DB239" t="s">
        <v>478</v>
      </c>
      <c r="DC239">
        <v>5852503</v>
      </c>
      <c r="DD239" t="s">
        <v>346</v>
      </c>
      <c r="DE239" s="11">
        <v>0.01</v>
      </c>
      <c r="DF239" s="9" t="str">
        <f>_xll.SNL.Clients.Office.Excel.Functions.SPG(DC239, "SP_COUNTRY_NAME")</f>
        <v>South Africa</v>
      </c>
      <c r="DK239" s="9" t="str">
        <f>_xll.SNL.Clients.Office.Excel.Functions.SPG(DH239, "SP_COUNTRY_NAME")</f>
        <v>#INVALID COMPANY ID</v>
      </c>
      <c r="DL239" t="s">
        <v>478</v>
      </c>
      <c r="DM239">
        <v>5852503</v>
      </c>
      <c r="DN239" t="s">
        <v>346</v>
      </c>
      <c r="DO239" s="11">
        <v>0.01</v>
      </c>
      <c r="DP239" s="9" t="str">
        <f>_xll.SNL.Clients.Office.Excel.Functions.SPG(DM239, "SP_COUNTRY_NAME")</f>
        <v>South Africa</v>
      </c>
      <c r="DU239" s="9" t="str">
        <f>_xll.SNL.Clients.Office.Excel.Functions.SPG(DR239, "SP_COUNTRY_NAME")</f>
        <v>#INVALID COMPANY ID</v>
      </c>
      <c r="DZ239" s="9" t="str">
        <f>_xll.SNL.Clients.Office.Excel.Functions.SPG(DW239, "SP_COUNTRY_NAME")</f>
        <v>#INVALID COMPANY ID</v>
      </c>
      <c r="EA239" t="s">
        <v>1716</v>
      </c>
      <c r="EB239">
        <v>5774447</v>
      </c>
      <c r="EC239" t="s">
        <v>369</v>
      </c>
      <c r="ED239" s="11">
        <v>0.01</v>
      </c>
      <c r="EE239" s="9" t="str">
        <f>_xll.SNL.Clients.Office.Excel.Functions.SPG(EB239, "SP_COUNTRY_NAME")</f>
        <v>Brazil</v>
      </c>
      <c r="EF239" t="s">
        <v>478</v>
      </c>
      <c r="EG239">
        <v>5852503</v>
      </c>
      <c r="EH239" t="s">
        <v>346</v>
      </c>
      <c r="EI239" s="11">
        <v>0.01</v>
      </c>
      <c r="EJ239" s="9" t="str">
        <f>_xll.SNL.Clients.Office.Excel.Functions.SPG(EG239, "SP_COUNTRY_NAME")</f>
        <v>South Africa</v>
      </c>
      <c r="EO239" s="9" t="str">
        <f>_xll.SNL.Clients.Office.Excel.Functions.SPG(EL239, "SP_COUNTRY_NAME")</f>
        <v>#INVALID COMPANY ID</v>
      </c>
      <c r="ET239" s="9" t="str">
        <f>_xll.SNL.Clients.Office.Excel.Functions.SPG(EQ239, "SP_COUNTRY_NAME")</f>
        <v>#INVALID COMPANY ID</v>
      </c>
      <c r="EY239" s="9" t="str">
        <f>_xll.SNL.Clients.Office.Excel.Functions.SPG(EV239, "SP_COUNTRY_NAME")</f>
        <v>#INVALID COMPANY ID</v>
      </c>
      <c r="FD239" s="9" t="str">
        <f>_xll.SNL.Clients.Office.Excel.Functions.SPG(FA239, "SP_COUNTRY_NAME")</f>
        <v>#INVALID COMPANY ID</v>
      </c>
      <c r="FI239" s="9" t="str">
        <f>_xll.SNL.Clients.Office.Excel.Functions.SPG(FF239, "SP_COUNTRY_NAME")</f>
        <v>#INVALID COMPANY ID</v>
      </c>
      <c r="FN239" s="9" t="str">
        <f>_xll.SNL.Clients.Office.Excel.Functions.SPG(FK239, "SP_COUNTRY_NAME")</f>
        <v>#INVALID COMPANY ID</v>
      </c>
      <c r="FS239" s="9" t="str">
        <f>_xll.SNL.Clients.Office.Excel.Functions.SPG(FP239, "SP_COUNTRY_NAME")</f>
        <v>#INVALID COMPANY ID</v>
      </c>
      <c r="FX239" s="9" t="str">
        <f>_xll.SNL.Clients.Office.Excel.Functions.SPG(FU239, "SP_COUNTRY_NAME")</f>
        <v>#INVALID COMPANY ID</v>
      </c>
      <c r="FY239" t="s">
        <v>478</v>
      </c>
      <c r="FZ239">
        <v>5852503</v>
      </c>
      <c r="GA239" t="s">
        <v>346</v>
      </c>
      <c r="GB239" s="11">
        <v>0.01</v>
      </c>
      <c r="GC239" s="9" t="str">
        <f>_xll.SNL.Clients.Office.Excel.Functions.SPG(FZ239, "SP_COUNTRY_NAME")</f>
        <v>South Africa</v>
      </c>
      <c r="GH239" s="9" t="str">
        <f>_xll.SNL.Clients.Office.Excel.Functions.SPG(GE239, "SP_COUNTRY_NAME")</f>
        <v>#INVALID COMPANY ID</v>
      </c>
      <c r="GM239" s="9" t="str">
        <f>_xll.SNL.Clients.Office.Excel.Functions.SPG(GJ239, "SP_COUNTRY_NAME")</f>
        <v>#INVALID COMPANY ID</v>
      </c>
      <c r="GR239" s="9" t="str">
        <f>_xll.SNL.Clients.Office.Excel.Functions.SPG(GO239, "SP_COUNTRY_NAME")</f>
        <v>#INVALID COMPANY ID</v>
      </c>
      <c r="GS239" t="s">
        <v>840</v>
      </c>
      <c r="GT239">
        <v>4581365</v>
      </c>
      <c r="GU239" t="s">
        <v>346</v>
      </c>
      <c r="GV239" s="11">
        <v>0</v>
      </c>
      <c r="GW239" s="9" t="str">
        <f>_xll.SNL.Clients.Office.Excel.Functions.SPG(GT239, "SP_COUNTRY_NAME")</f>
        <v>Hong Kong</v>
      </c>
      <c r="GX239" t="s">
        <v>1716</v>
      </c>
      <c r="GY239">
        <v>5774447</v>
      </c>
      <c r="GZ239" t="s">
        <v>369</v>
      </c>
      <c r="HA239" s="11">
        <v>0.01</v>
      </c>
      <c r="HB239" s="9" t="str">
        <f>_xll.SNL.Clients.Office.Excel.Functions.SPG(GY239, "SP_COUNTRY_NAME")</f>
        <v>Brazil</v>
      </c>
      <c r="HG239" s="9" t="str">
        <f>_xll.SNL.Clients.Office.Excel.Functions.SPG(HD239, "SP_COUNTRY_NAME")</f>
        <v>#INVALID COMPANY ID</v>
      </c>
    </row>
    <row r="240" spans="5:215" x14ac:dyDescent="0.35">
      <c r="E240" s="9" t="str">
        <f>_xll.SNL.Clients.Office.Excel.Functions.SPG(B240, "SP_COUNTRY_NAME")</f>
        <v>#INVALID COMPANY ID</v>
      </c>
      <c r="F240" t="s">
        <v>623</v>
      </c>
      <c r="G240">
        <v>4138267</v>
      </c>
      <c r="H240" t="s">
        <v>346</v>
      </c>
      <c r="I240" s="11">
        <v>0</v>
      </c>
      <c r="J240" s="9" t="str">
        <f>_xll.SNL.Clients.Office.Excel.Functions.SPG(G240, "SP_COUNTRY_NAME")</f>
        <v>Switzerland</v>
      </c>
      <c r="O240" s="9" t="str">
        <f>_xll.SNL.Clients.Office.Excel.Functions.SPG(L240, "SP_COUNTRY_NAME")</f>
        <v>#INVALID COMPANY ID</v>
      </c>
      <c r="T240" s="9" t="str">
        <f>_xll.SNL.Clients.Office.Excel.Functions.SPG(Q240, "SP_COUNTRY_NAME")</f>
        <v>#INVALID COMPANY ID</v>
      </c>
      <c r="U240" t="s">
        <v>656</v>
      </c>
      <c r="V240">
        <v>5826475</v>
      </c>
      <c r="W240" t="s">
        <v>346</v>
      </c>
      <c r="X240" s="11">
        <v>0</v>
      </c>
      <c r="Y240" s="9" t="str">
        <f>_xll.SNL.Clients.Office.Excel.Functions.SPG(V240, "SP_COUNTRY_NAME")</f>
        <v>China</v>
      </c>
      <c r="AD240" s="9" t="str">
        <f>_xll.SNL.Clients.Office.Excel.Functions.SPG(AA240, "SP_COUNTRY_NAME")</f>
        <v>#INVALID COMPANY ID</v>
      </c>
      <c r="AI240" s="9" t="str">
        <f>_xll.SNL.Clients.Office.Excel.Functions.SPG(AF240, "SP_COUNTRY_NAME")</f>
        <v>#INVALID COMPANY ID</v>
      </c>
      <c r="AN240" s="9" t="str">
        <f>_xll.SNL.Clients.Office.Excel.Functions.SPG(AK240, "SP_COUNTRY_NAME")</f>
        <v>#INVALID COMPANY ID</v>
      </c>
      <c r="AO240" t="s">
        <v>491</v>
      </c>
      <c r="AP240">
        <v>106960</v>
      </c>
      <c r="AQ240" t="s">
        <v>346</v>
      </c>
      <c r="AR240" s="11">
        <v>0</v>
      </c>
      <c r="AS240" s="9" t="str">
        <f>_xll.SNL.Clients.Office.Excel.Functions.SPG(AP240, "SP_COUNTRY_NAME")</f>
        <v>Canada</v>
      </c>
      <c r="AX240" s="9" t="str">
        <f>_xll.SNL.Clients.Office.Excel.Functions.SPG(AU240, "SP_COUNTRY_NAME")</f>
        <v>#INVALID COMPANY ID</v>
      </c>
      <c r="BC240" s="9" t="str">
        <f>_xll.SNL.Clients.Office.Excel.Functions.SPG(AZ240, "SP_COUNTRY_NAME")</f>
        <v>#INVALID COMPANY ID</v>
      </c>
      <c r="BD240" t="s">
        <v>1284</v>
      </c>
      <c r="BE240">
        <v>4235022</v>
      </c>
      <c r="BF240" t="s">
        <v>346</v>
      </c>
      <c r="BG240" s="11">
        <v>0.01</v>
      </c>
      <c r="BH240" s="9" t="str">
        <f>_xll.SNL.Clients.Office.Excel.Functions.SPG(BE240, "SP_COUNTRY_NAME")</f>
        <v>South Africa</v>
      </c>
      <c r="BI240" t="s">
        <v>1595</v>
      </c>
      <c r="BJ240" t="s">
        <v>300</v>
      </c>
      <c r="BK240" t="s">
        <v>361</v>
      </c>
      <c r="BL240" s="11">
        <v>0</v>
      </c>
      <c r="BM240" s="9" t="str">
        <f>_xll.SNL.Clients.Office.Excel.Functions.SPG(BJ240, "SP_COUNTRY_NAME")</f>
        <v>China</v>
      </c>
      <c r="BN240" t="s">
        <v>807</v>
      </c>
      <c r="BO240">
        <v>4553770</v>
      </c>
      <c r="BP240" t="s">
        <v>346</v>
      </c>
      <c r="BQ240" s="11">
        <v>0</v>
      </c>
      <c r="BR240" s="9" t="str">
        <f>_xll.SNL.Clients.Office.Excel.Functions.SPG(BO240, "SP_COUNTRY_NAME")</f>
        <v>China</v>
      </c>
      <c r="BS240" t="s">
        <v>861</v>
      </c>
      <c r="BT240">
        <v>5823548</v>
      </c>
      <c r="BU240" t="s">
        <v>346</v>
      </c>
      <c r="BV240" s="11">
        <v>0.01</v>
      </c>
      <c r="BW240" s="9" t="str">
        <f>_xll.SNL.Clients.Office.Excel.Functions.SPG(BT240, "SP_COUNTRY_NAME")</f>
        <v>China</v>
      </c>
      <c r="BX240" t="s">
        <v>656</v>
      </c>
      <c r="BY240">
        <v>5826475</v>
      </c>
      <c r="BZ240" t="s">
        <v>346</v>
      </c>
      <c r="CA240" s="11">
        <v>0</v>
      </c>
      <c r="CB240" s="9" t="str">
        <f>_xll.SNL.Clients.Office.Excel.Functions.SPG(BY240, "SP_COUNTRY_NAME")</f>
        <v>China</v>
      </c>
      <c r="CC240" t="s">
        <v>896</v>
      </c>
      <c r="CD240">
        <v>4272541</v>
      </c>
      <c r="CE240" t="s">
        <v>346</v>
      </c>
      <c r="CF240" s="11">
        <v>0.01</v>
      </c>
      <c r="CG240" s="9" t="str">
        <f>_xll.SNL.Clients.Office.Excel.Functions.SPG(CD240, "SP_COUNTRY_NAME")</f>
        <v>USA</v>
      </c>
      <c r="CH240" t="s">
        <v>491</v>
      </c>
      <c r="CI240">
        <v>106960</v>
      </c>
      <c r="CJ240" t="s">
        <v>346</v>
      </c>
      <c r="CK240" s="11">
        <v>0</v>
      </c>
      <c r="CL240" s="9" t="str">
        <f>_xll.SNL.Clients.Office.Excel.Functions.SPG(CI240, "SP_COUNTRY_NAME")</f>
        <v>Canada</v>
      </c>
      <c r="CM240" t="s">
        <v>1316</v>
      </c>
      <c r="CN240">
        <v>4246573</v>
      </c>
      <c r="CO240" t="s">
        <v>346</v>
      </c>
      <c r="CP240" s="11">
        <v>0.01</v>
      </c>
      <c r="CQ240" s="9" t="str">
        <f>_xll.SNL.Clients.Office.Excel.Functions.SPG(CN240, "SP_COUNTRY_NAME")</f>
        <v>South Africa</v>
      </c>
      <c r="CV240" s="9" t="str">
        <f>_xll.SNL.Clients.Office.Excel.Functions.SPG(CS240, "SP_COUNTRY_NAME")</f>
        <v>#INVALID COMPANY ID</v>
      </c>
      <c r="DA240" s="9" t="str">
        <f>_xll.SNL.Clients.Office.Excel.Functions.SPG(CX240, "SP_COUNTRY_NAME")</f>
        <v>#INVALID COMPANY ID</v>
      </c>
      <c r="DB240" t="s">
        <v>1284</v>
      </c>
      <c r="DC240">
        <v>4235022</v>
      </c>
      <c r="DD240" t="s">
        <v>346</v>
      </c>
      <c r="DE240" s="11">
        <v>0.01</v>
      </c>
      <c r="DF240" s="9" t="str">
        <f>_xll.SNL.Clients.Office.Excel.Functions.SPG(DC240, "SP_COUNTRY_NAME")</f>
        <v>South Africa</v>
      </c>
      <c r="DK240" s="9" t="str">
        <f>_xll.SNL.Clients.Office.Excel.Functions.SPG(DH240, "SP_COUNTRY_NAME")</f>
        <v>#INVALID COMPANY ID</v>
      </c>
      <c r="DL240" t="s">
        <v>1284</v>
      </c>
      <c r="DM240">
        <v>4235022</v>
      </c>
      <c r="DN240" t="s">
        <v>346</v>
      </c>
      <c r="DO240" s="11">
        <v>0.01</v>
      </c>
      <c r="DP240" s="9" t="str">
        <f>_xll.SNL.Clients.Office.Excel.Functions.SPG(DM240, "SP_COUNTRY_NAME")</f>
        <v>South Africa</v>
      </c>
      <c r="DU240" s="9" t="str">
        <f>_xll.SNL.Clients.Office.Excel.Functions.SPG(DR240, "SP_COUNTRY_NAME")</f>
        <v>#INVALID COMPANY ID</v>
      </c>
      <c r="DZ240" s="9" t="str">
        <f>_xll.SNL.Clients.Office.Excel.Functions.SPG(DW240, "SP_COUNTRY_NAME")</f>
        <v>#INVALID COMPANY ID</v>
      </c>
      <c r="EA240" t="s">
        <v>896</v>
      </c>
      <c r="EB240">
        <v>4272541</v>
      </c>
      <c r="EC240" t="s">
        <v>346</v>
      </c>
      <c r="ED240" s="11">
        <v>0.01</v>
      </c>
      <c r="EE240" s="9" t="str">
        <f>_xll.SNL.Clients.Office.Excel.Functions.SPG(EB240, "SP_COUNTRY_NAME")</f>
        <v>USA</v>
      </c>
      <c r="EF240" t="s">
        <v>1284</v>
      </c>
      <c r="EG240">
        <v>4235022</v>
      </c>
      <c r="EH240" t="s">
        <v>346</v>
      </c>
      <c r="EI240" s="11">
        <v>0.01</v>
      </c>
      <c r="EJ240" s="9" t="str">
        <f>_xll.SNL.Clients.Office.Excel.Functions.SPG(EG240, "SP_COUNTRY_NAME")</f>
        <v>South Africa</v>
      </c>
      <c r="EO240" s="9" t="str">
        <f>_xll.SNL.Clients.Office.Excel.Functions.SPG(EL240, "SP_COUNTRY_NAME")</f>
        <v>#INVALID COMPANY ID</v>
      </c>
      <c r="ET240" s="9" t="str">
        <f>_xll.SNL.Clients.Office.Excel.Functions.SPG(EQ240, "SP_COUNTRY_NAME")</f>
        <v>#INVALID COMPANY ID</v>
      </c>
      <c r="EY240" s="9" t="str">
        <f>_xll.SNL.Clients.Office.Excel.Functions.SPG(EV240, "SP_COUNTRY_NAME")</f>
        <v>#INVALID COMPANY ID</v>
      </c>
      <c r="FD240" s="9" t="str">
        <f>_xll.SNL.Clients.Office.Excel.Functions.SPG(FA240, "SP_COUNTRY_NAME")</f>
        <v>#INVALID COMPANY ID</v>
      </c>
      <c r="FI240" s="9" t="str">
        <f>_xll.SNL.Clients.Office.Excel.Functions.SPG(FF240, "SP_COUNTRY_NAME")</f>
        <v>#INVALID COMPANY ID</v>
      </c>
      <c r="FN240" s="9" t="str">
        <f>_xll.SNL.Clients.Office.Excel.Functions.SPG(FK240, "SP_COUNTRY_NAME")</f>
        <v>#INVALID COMPANY ID</v>
      </c>
      <c r="FS240" s="9" t="str">
        <f>_xll.SNL.Clients.Office.Excel.Functions.SPG(FP240, "SP_COUNTRY_NAME")</f>
        <v>#INVALID COMPANY ID</v>
      </c>
      <c r="FX240" s="9" t="str">
        <f>_xll.SNL.Clients.Office.Excel.Functions.SPG(FU240, "SP_COUNTRY_NAME")</f>
        <v>#INVALID COMPANY ID</v>
      </c>
      <c r="FY240" t="s">
        <v>1284</v>
      </c>
      <c r="FZ240">
        <v>4235022</v>
      </c>
      <c r="GA240" t="s">
        <v>346</v>
      </c>
      <c r="GB240" s="11">
        <v>0.01</v>
      </c>
      <c r="GC240" s="9" t="str">
        <f>_xll.SNL.Clients.Office.Excel.Functions.SPG(FZ240, "SP_COUNTRY_NAME")</f>
        <v>South Africa</v>
      </c>
      <c r="GH240" s="9" t="str">
        <f>_xll.SNL.Clients.Office.Excel.Functions.SPG(GE240, "SP_COUNTRY_NAME")</f>
        <v>#INVALID COMPANY ID</v>
      </c>
      <c r="GM240" s="9" t="str">
        <f>_xll.SNL.Clients.Office.Excel.Functions.SPG(GJ240, "SP_COUNTRY_NAME")</f>
        <v>#INVALID COMPANY ID</v>
      </c>
      <c r="GR240" s="9" t="str">
        <f>_xll.SNL.Clients.Office.Excel.Functions.SPG(GO240, "SP_COUNTRY_NAME")</f>
        <v>#INVALID COMPANY ID</v>
      </c>
      <c r="GS240" t="s">
        <v>807</v>
      </c>
      <c r="GT240">
        <v>4553770</v>
      </c>
      <c r="GU240" t="s">
        <v>346</v>
      </c>
      <c r="GV240" s="11">
        <v>0</v>
      </c>
      <c r="GW240" s="9" t="str">
        <f>_xll.SNL.Clients.Office.Excel.Functions.SPG(GT240, "SP_COUNTRY_NAME")</f>
        <v>China</v>
      </c>
      <c r="GX240" t="s">
        <v>896</v>
      </c>
      <c r="GY240">
        <v>4272541</v>
      </c>
      <c r="GZ240" t="s">
        <v>346</v>
      </c>
      <c r="HA240" s="11">
        <v>0.01</v>
      </c>
      <c r="HB240" s="9" t="str">
        <f>_xll.SNL.Clients.Office.Excel.Functions.SPG(GY240, "SP_COUNTRY_NAME")</f>
        <v>USA</v>
      </c>
      <c r="HG240" s="9" t="str">
        <f>_xll.SNL.Clients.Office.Excel.Functions.SPG(HD240, "SP_COUNTRY_NAME")</f>
        <v>#INVALID COMPANY ID</v>
      </c>
    </row>
    <row r="241" spans="5:215" x14ac:dyDescent="0.35">
      <c r="E241" s="9" t="str">
        <f>_xll.SNL.Clients.Office.Excel.Functions.SPG(B241, "SP_COUNTRY_NAME")</f>
        <v>#INVALID COMPANY ID</v>
      </c>
      <c r="F241" t="s">
        <v>624</v>
      </c>
      <c r="G241">
        <v>4138992</v>
      </c>
      <c r="H241" t="s">
        <v>346</v>
      </c>
      <c r="I241" s="11">
        <v>0</v>
      </c>
      <c r="J241" s="9" t="str">
        <f>_xll.SNL.Clients.Office.Excel.Functions.SPG(G241, "SP_COUNTRY_NAME")</f>
        <v>Canada</v>
      </c>
      <c r="O241" s="9" t="str">
        <f>_xll.SNL.Clients.Office.Excel.Functions.SPG(L241, "SP_COUNTRY_NAME")</f>
        <v>#INVALID COMPANY ID</v>
      </c>
      <c r="T241" s="9" t="str">
        <f>_xll.SNL.Clients.Office.Excel.Functions.SPG(Q241, "SP_COUNTRY_NAME")</f>
        <v>#INVALID COMPANY ID</v>
      </c>
      <c r="U241" t="s">
        <v>818</v>
      </c>
      <c r="V241">
        <v>5819977</v>
      </c>
      <c r="W241" t="s">
        <v>346</v>
      </c>
      <c r="X241" s="11">
        <v>0</v>
      </c>
      <c r="Y241" s="9" t="str">
        <f>_xll.SNL.Clients.Office.Excel.Functions.SPG(V241, "SP_COUNTRY_NAME")</f>
        <v>China</v>
      </c>
      <c r="AD241" s="9" t="str">
        <f>_xll.SNL.Clients.Office.Excel.Functions.SPG(AA241, "SP_COUNTRY_NAME")</f>
        <v>#INVALID COMPANY ID</v>
      </c>
      <c r="AI241" s="9" t="str">
        <f>_xll.SNL.Clients.Office.Excel.Functions.SPG(AF241, "SP_COUNTRY_NAME")</f>
        <v>#INVALID COMPANY ID</v>
      </c>
      <c r="AN241" s="9" t="str">
        <f>_xll.SNL.Clients.Office.Excel.Functions.SPG(AK241, "SP_COUNTRY_NAME")</f>
        <v>#INVALID COMPANY ID</v>
      </c>
      <c r="AO241" t="s">
        <v>1359</v>
      </c>
      <c r="AP241">
        <v>4213188</v>
      </c>
      <c r="AQ241" t="s">
        <v>346</v>
      </c>
      <c r="AR241" s="11">
        <v>0</v>
      </c>
      <c r="AS241" s="9" t="str">
        <f>_xll.SNL.Clients.Office.Excel.Functions.SPG(AP241, "SP_COUNTRY_NAME")</f>
        <v>South Africa</v>
      </c>
      <c r="AX241" s="9" t="str">
        <f>_xll.SNL.Clients.Office.Excel.Functions.SPG(AU241, "SP_COUNTRY_NAME")</f>
        <v>#INVALID COMPANY ID</v>
      </c>
      <c r="BC241" s="9" t="str">
        <f>_xll.SNL.Clients.Office.Excel.Functions.SPG(AZ241, "SP_COUNTRY_NAME")</f>
        <v>#INVALID COMPANY ID</v>
      </c>
      <c r="BD241" t="s">
        <v>491</v>
      </c>
      <c r="BE241">
        <v>106960</v>
      </c>
      <c r="BF241" t="s">
        <v>346</v>
      </c>
      <c r="BG241" s="11">
        <v>0.01</v>
      </c>
      <c r="BH241" s="9" t="str">
        <f>_xll.SNL.Clients.Office.Excel.Functions.SPG(BE241, "SP_COUNTRY_NAME")</f>
        <v>Canada</v>
      </c>
      <c r="BI241" t="s">
        <v>600</v>
      </c>
      <c r="BJ241">
        <v>4145203</v>
      </c>
      <c r="BK241" t="s">
        <v>346</v>
      </c>
      <c r="BL241" s="11">
        <v>0</v>
      </c>
      <c r="BM241" s="9" t="str">
        <f>_xll.SNL.Clients.Office.Excel.Functions.SPG(BJ241, "SP_COUNTRY_NAME")</f>
        <v>USA</v>
      </c>
      <c r="BN241" t="s">
        <v>1031</v>
      </c>
      <c r="BO241">
        <v>4212529</v>
      </c>
      <c r="BP241" t="s">
        <v>346</v>
      </c>
      <c r="BQ241" s="11">
        <v>0</v>
      </c>
      <c r="BR241" s="9" t="str">
        <f>_xll.SNL.Clients.Office.Excel.Functions.SPG(BO241, "SP_COUNTRY_NAME")</f>
        <v>Germany</v>
      </c>
      <c r="BS241" t="s">
        <v>856</v>
      </c>
      <c r="BT241">
        <v>4141040</v>
      </c>
      <c r="BU241" t="s">
        <v>346</v>
      </c>
      <c r="BV241" s="11">
        <v>0.01</v>
      </c>
      <c r="BW241" s="9" t="str">
        <f>_xll.SNL.Clients.Office.Excel.Functions.SPG(BT241, "SP_COUNTRY_NAME")</f>
        <v>United Kingdom</v>
      </c>
      <c r="BX241" t="s">
        <v>818</v>
      </c>
      <c r="BY241">
        <v>5819977</v>
      </c>
      <c r="BZ241" t="s">
        <v>346</v>
      </c>
      <c r="CA241" s="11">
        <v>0</v>
      </c>
      <c r="CB241" s="9" t="str">
        <f>_xll.SNL.Clients.Office.Excel.Functions.SPG(BY241, "SP_COUNTRY_NAME")</f>
        <v>China</v>
      </c>
      <c r="CC241" t="s">
        <v>480</v>
      </c>
      <c r="CD241">
        <v>4119651</v>
      </c>
      <c r="CE241" t="s">
        <v>346</v>
      </c>
      <c r="CF241" s="11">
        <v>0.01</v>
      </c>
      <c r="CG241" s="9" t="str">
        <f>_xll.SNL.Clients.Office.Excel.Functions.SPG(CD241, "SP_COUNTRY_NAME")</f>
        <v>USA</v>
      </c>
      <c r="CH241" t="s">
        <v>1359</v>
      </c>
      <c r="CI241">
        <v>4213188</v>
      </c>
      <c r="CJ241" t="s">
        <v>346</v>
      </c>
      <c r="CK241" s="11">
        <v>0</v>
      </c>
      <c r="CL241" s="9" t="str">
        <f>_xll.SNL.Clients.Office.Excel.Functions.SPG(CI241, "SP_COUNTRY_NAME")</f>
        <v>South Africa</v>
      </c>
      <c r="CM241" t="s">
        <v>1319</v>
      </c>
      <c r="CN241">
        <v>19910977</v>
      </c>
      <c r="CO241" t="s">
        <v>346</v>
      </c>
      <c r="CP241" s="11">
        <v>0.01</v>
      </c>
      <c r="CQ241" s="9" t="str">
        <f>_xll.SNL.Clients.Office.Excel.Functions.SPG(CN241, "SP_COUNTRY_NAME")</f>
        <v>South Africa</v>
      </c>
      <c r="CV241" s="9" t="str">
        <f>_xll.SNL.Clients.Office.Excel.Functions.SPG(CS241, "SP_COUNTRY_NAME")</f>
        <v>#INVALID COMPANY ID</v>
      </c>
      <c r="DA241" s="9" t="str">
        <f>_xll.SNL.Clients.Office.Excel.Functions.SPG(CX241, "SP_COUNTRY_NAME")</f>
        <v>#INVALID COMPANY ID</v>
      </c>
      <c r="DB241" t="s">
        <v>491</v>
      </c>
      <c r="DC241">
        <v>106960</v>
      </c>
      <c r="DD241" t="s">
        <v>346</v>
      </c>
      <c r="DE241" s="11">
        <v>0.01</v>
      </c>
      <c r="DF241" s="9" t="str">
        <f>_xll.SNL.Clients.Office.Excel.Functions.SPG(DC241, "SP_COUNTRY_NAME")</f>
        <v>Canada</v>
      </c>
      <c r="DK241" s="9" t="str">
        <f>_xll.SNL.Clients.Office.Excel.Functions.SPG(DH241, "SP_COUNTRY_NAME")</f>
        <v>#INVALID COMPANY ID</v>
      </c>
      <c r="DL241" t="s">
        <v>491</v>
      </c>
      <c r="DM241">
        <v>106960</v>
      </c>
      <c r="DN241" t="s">
        <v>346</v>
      </c>
      <c r="DO241" s="11">
        <v>0.01</v>
      </c>
      <c r="DP241" s="9" t="str">
        <f>_xll.SNL.Clients.Office.Excel.Functions.SPG(DM241, "SP_COUNTRY_NAME")</f>
        <v>Canada</v>
      </c>
      <c r="DU241" s="9" t="str">
        <f>_xll.SNL.Clients.Office.Excel.Functions.SPG(DR241, "SP_COUNTRY_NAME")</f>
        <v>#INVALID COMPANY ID</v>
      </c>
      <c r="DZ241" s="9" t="str">
        <f>_xll.SNL.Clients.Office.Excel.Functions.SPG(DW241, "SP_COUNTRY_NAME")</f>
        <v>#INVALID COMPANY ID</v>
      </c>
      <c r="EA241" t="s">
        <v>480</v>
      </c>
      <c r="EB241">
        <v>4119651</v>
      </c>
      <c r="EC241" t="s">
        <v>346</v>
      </c>
      <c r="ED241" s="11">
        <v>0.01</v>
      </c>
      <c r="EE241" s="9" t="str">
        <f>_xll.SNL.Clients.Office.Excel.Functions.SPG(EB241, "SP_COUNTRY_NAME")</f>
        <v>USA</v>
      </c>
      <c r="EF241" t="s">
        <v>491</v>
      </c>
      <c r="EG241">
        <v>106960</v>
      </c>
      <c r="EH241" t="s">
        <v>346</v>
      </c>
      <c r="EI241" s="11">
        <v>0.01</v>
      </c>
      <c r="EJ241" s="9" t="str">
        <f>_xll.SNL.Clients.Office.Excel.Functions.SPG(EG241, "SP_COUNTRY_NAME")</f>
        <v>Canada</v>
      </c>
      <c r="EO241" s="9" t="str">
        <f>_xll.SNL.Clients.Office.Excel.Functions.SPG(EL241, "SP_COUNTRY_NAME")</f>
        <v>#INVALID COMPANY ID</v>
      </c>
      <c r="ET241" s="9" t="str">
        <f>_xll.SNL.Clients.Office.Excel.Functions.SPG(EQ241, "SP_COUNTRY_NAME")</f>
        <v>#INVALID COMPANY ID</v>
      </c>
      <c r="EY241" s="9" t="str">
        <f>_xll.SNL.Clients.Office.Excel.Functions.SPG(EV241, "SP_COUNTRY_NAME")</f>
        <v>#INVALID COMPANY ID</v>
      </c>
      <c r="FD241" s="9" t="str">
        <f>_xll.SNL.Clients.Office.Excel.Functions.SPG(FA241, "SP_COUNTRY_NAME")</f>
        <v>#INVALID COMPANY ID</v>
      </c>
      <c r="FI241" s="9" t="str">
        <f>_xll.SNL.Clients.Office.Excel.Functions.SPG(FF241, "SP_COUNTRY_NAME")</f>
        <v>#INVALID COMPANY ID</v>
      </c>
      <c r="FN241" s="9" t="str">
        <f>_xll.SNL.Clients.Office.Excel.Functions.SPG(FK241, "SP_COUNTRY_NAME")</f>
        <v>#INVALID COMPANY ID</v>
      </c>
      <c r="FS241" s="9" t="str">
        <f>_xll.SNL.Clients.Office.Excel.Functions.SPG(FP241, "SP_COUNTRY_NAME")</f>
        <v>#INVALID COMPANY ID</v>
      </c>
      <c r="FX241" s="9" t="str">
        <f>_xll.SNL.Clients.Office.Excel.Functions.SPG(FU241, "SP_COUNTRY_NAME")</f>
        <v>#INVALID COMPANY ID</v>
      </c>
      <c r="FY241" t="s">
        <v>491</v>
      </c>
      <c r="FZ241">
        <v>106960</v>
      </c>
      <c r="GA241" t="s">
        <v>346</v>
      </c>
      <c r="GB241" s="11">
        <v>0.01</v>
      </c>
      <c r="GC241" s="9" t="str">
        <f>_xll.SNL.Clients.Office.Excel.Functions.SPG(FZ241, "SP_COUNTRY_NAME")</f>
        <v>Canada</v>
      </c>
      <c r="GH241" s="9" t="str">
        <f>_xll.SNL.Clients.Office.Excel.Functions.SPG(GE241, "SP_COUNTRY_NAME")</f>
        <v>#INVALID COMPANY ID</v>
      </c>
      <c r="GM241" s="9" t="str">
        <f>_xll.SNL.Clients.Office.Excel.Functions.SPG(GJ241, "SP_COUNTRY_NAME")</f>
        <v>#INVALID COMPANY ID</v>
      </c>
      <c r="GR241" s="9" t="str">
        <f>_xll.SNL.Clients.Office.Excel.Functions.SPG(GO241, "SP_COUNTRY_NAME")</f>
        <v>#INVALID COMPANY ID</v>
      </c>
      <c r="GS241" t="s">
        <v>1031</v>
      </c>
      <c r="GT241">
        <v>4212529</v>
      </c>
      <c r="GU241" t="s">
        <v>346</v>
      </c>
      <c r="GV241" s="11">
        <v>0</v>
      </c>
      <c r="GW241" s="9" t="str">
        <f>_xll.SNL.Clients.Office.Excel.Functions.SPG(GT241, "SP_COUNTRY_NAME")</f>
        <v>Germany</v>
      </c>
      <c r="GX241" t="s">
        <v>480</v>
      </c>
      <c r="GY241">
        <v>4119651</v>
      </c>
      <c r="GZ241" t="s">
        <v>346</v>
      </c>
      <c r="HA241" s="11">
        <v>0.01</v>
      </c>
      <c r="HB241" s="9" t="str">
        <f>_xll.SNL.Clients.Office.Excel.Functions.SPG(GY241, "SP_COUNTRY_NAME")</f>
        <v>USA</v>
      </c>
      <c r="HG241" s="9" t="str">
        <f>_xll.SNL.Clients.Office.Excel.Functions.SPG(HD241, "SP_COUNTRY_NAME")</f>
        <v>#INVALID COMPANY ID</v>
      </c>
    </row>
    <row r="242" spans="5:215" x14ac:dyDescent="0.35">
      <c r="E242" s="9" t="str">
        <f>_xll.SNL.Clients.Office.Excel.Functions.SPG(B242, "SP_COUNTRY_NAME")</f>
        <v>#INVALID COMPANY ID</v>
      </c>
      <c r="F242" t="s">
        <v>418</v>
      </c>
      <c r="G242">
        <v>109776</v>
      </c>
      <c r="H242" t="s">
        <v>346</v>
      </c>
      <c r="I242" s="11">
        <v>0</v>
      </c>
      <c r="J242" s="9" t="str">
        <f>_xll.SNL.Clients.Office.Excel.Functions.SPG(G242, "SP_COUNTRY_NAME")</f>
        <v>USA</v>
      </c>
      <c r="O242" s="9" t="str">
        <f>_xll.SNL.Clients.Office.Excel.Functions.SPG(L242, "SP_COUNTRY_NAME")</f>
        <v>#INVALID COMPANY ID</v>
      </c>
      <c r="T242" s="9" t="str">
        <f>_xll.SNL.Clients.Office.Excel.Functions.SPG(Q242, "SP_COUNTRY_NAME")</f>
        <v>#INVALID COMPANY ID</v>
      </c>
      <c r="U242" t="s">
        <v>584</v>
      </c>
      <c r="V242">
        <v>4138797</v>
      </c>
      <c r="W242" t="s">
        <v>346</v>
      </c>
      <c r="X242" s="11">
        <v>0</v>
      </c>
      <c r="Y242" s="9" t="str">
        <f>_xll.SNL.Clients.Office.Excel.Functions.SPG(V242, "SP_COUNTRY_NAME")</f>
        <v>Hong Kong</v>
      </c>
      <c r="AD242" s="9" t="str">
        <f>_xll.SNL.Clients.Office.Excel.Functions.SPG(AA242, "SP_COUNTRY_NAME")</f>
        <v>#INVALID COMPANY ID</v>
      </c>
      <c r="AI242" s="9" t="str">
        <f>_xll.SNL.Clients.Office.Excel.Functions.SPG(AF242, "SP_COUNTRY_NAME")</f>
        <v>#INVALID COMPANY ID</v>
      </c>
      <c r="AN242" s="9" t="str">
        <f>_xll.SNL.Clients.Office.Excel.Functions.SPG(AK242, "SP_COUNTRY_NAME")</f>
        <v>#INVALID COMPANY ID</v>
      </c>
      <c r="AO242" t="s">
        <v>1360</v>
      </c>
      <c r="AP242">
        <v>4337895</v>
      </c>
      <c r="AQ242" t="s">
        <v>364</v>
      </c>
      <c r="AR242" s="11">
        <v>0</v>
      </c>
      <c r="AS242" s="9" t="str">
        <f>_xll.SNL.Clients.Office.Excel.Functions.SPG(AP242, "SP_COUNTRY_NAME")</f>
        <v>USA</v>
      </c>
      <c r="AX242" s="9" t="str">
        <f>_xll.SNL.Clients.Office.Excel.Functions.SPG(AU242, "SP_COUNTRY_NAME")</f>
        <v>#INVALID COMPANY ID</v>
      </c>
      <c r="BC242" s="9" t="str">
        <f>_xll.SNL.Clients.Office.Excel.Functions.SPG(AZ242, "SP_COUNTRY_NAME")</f>
        <v>#INVALID COMPANY ID</v>
      </c>
      <c r="BD242" t="s">
        <v>425</v>
      </c>
      <c r="BE242">
        <v>4137704</v>
      </c>
      <c r="BF242" t="s">
        <v>346</v>
      </c>
      <c r="BG242" s="11">
        <v>0.01</v>
      </c>
      <c r="BH242" s="9" t="str">
        <f>_xll.SNL.Clients.Office.Excel.Functions.SPG(BE242, "SP_COUNTRY_NAME")</f>
        <v>Japan</v>
      </c>
      <c r="BI242" t="s">
        <v>575</v>
      </c>
      <c r="BJ242">
        <v>4575993</v>
      </c>
      <c r="BK242" t="s">
        <v>346</v>
      </c>
      <c r="BL242" s="11">
        <v>0</v>
      </c>
      <c r="BM242" s="9" t="str">
        <f>_xll.SNL.Clients.Office.Excel.Functions.SPG(BJ242, "SP_COUNTRY_NAME")</f>
        <v>Canada</v>
      </c>
      <c r="BN242" t="s">
        <v>1038</v>
      </c>
      <c r="BO242">
        <v>4137587</v>
      </c>
      <c r="BP242" t="s">
        <v>346</v>
      </c>
      <c r="BQ242" s="11">
        <v>0</v>
      </c>
      <c r="BR242" s="9" t="str">
        <f>_xll.SNL.Clients.Office.Excel.Functions.SPG(BO242, "SP_COUNTRY_NAME")</f>
        <v>Denmark</v>
      </c>
      <c r="BS242" t="s">
        <v>996</v>
      </c>
      <c r="BT242">
        <v>4314411</v>
      </c>
      <c r="BU242" t="s">
        <v>346</v>
      </c>
      <c r="BV242" s="11">
        <v>0.01</v>
      </c>
      <c r="BW242" s="9" t="str">
        <f>_xll.SNL.Clients.Office.Excel.Functions.SPG(BT242, "SP_COUNTRY_NAME")</f>
        <v>Sweden</v>
      </c>
      <c r="BX242" t="s">
        <v>584</v>
      </c>
      <c r="BY242">
        <v>4138797</v>
      </c>
      <c r="BZ242" t="s">
        <v>346</v>
      </c>
      <c r="CA242" s="11">
        <v>0</v>
      </c>
      <c r="CB242" s="9" t="str">
        <f>_xll.SNL.Clients.Office.Excel.Functions.SPG(BY242, "SP_COUNTRY_NAME")</f>
        <v>Hong Kong</v>
      </c>
      <c r="CC242" t="s">
        <v>403</v>
      </c>
      <c r="CD242">
        <v>4033550</v>
      </c>
      <c r="CE242" t="s">
        <v>346</v>
      </c>
      <c r="CF242" s="11">
        <v>0.01</v>
      </c>
      <c r="CG242" s="9" t="str">
        <f>_xll.SNL.Clients.Office.Excel.Functions.SPG(CD242, "SP_COUNTRY_NAME")</f>
        <v>USA</v>
      </c>
      <c r="CH242" t="s">
        <v>1360</v>
      </c>
      <c r="CI242">
        <v>4337895</v>
      </c>
      <c r="CJ242" t="s">
        <v>364</v>
      </c>
      <c r="CK242" s="11">
        <v>0</v>
      </c>
      <c r="CL242" s="9" t="str">
        <f>_xll.SNL.Clients.Office.Excel.Functions.SPG(CI242, "SP_COUNTRY_NAME")</f>
        <v>USA</v>
      </c>
      <c r="CM242" t="s">
        <v>551</v>
      </c>
      <c r="CN242">
        <v>4137681</v>
      </c>
      <c r="CO242" t="s">
        <v>346</v>
      </c>
      <c r="CP242" s="11">
        <v>0.01</v>
      </c>
      <c r="CQ242" s="9" t="str">
        <f>_xll.SNL.Clients.Office.Excel.Functions.SPG(CN242, "SP_COUNTRY_NAME")</f>
        <v>China</v>
      </c>
      <c r="CV242" s="9" t="str">
        <f>_xll.SNL.Clients.Office.Excel.Functions.SPG(CS242, "SP_COUNTRY_NAME")</f>
        <v>#INVALID COMPANY ID</v>
      </c>
      <c r="DA242" s="9" t="str">
        <f>_xll.SNL.Clients.Office.Excel.Functions.SPG(CX242, "SP_COUNTRY_NAME")</f>
        <v>#INVALID COMPANY ID</v>
      </c>
      <c r="DB242" t="s">
        <v>425</v>
      </c>
      <c r="DC242">
        <v>4137704</v>
      </c>
      <c r="DD242" t="s">
        <v>346</v>
      </c>
      <c r="DE242" s="11">
        <v>0.01</v>
      </c>
      <c r="DF242" s="9" t="str">
        <f>_xll.SNL.Clients.Office.Excel.Functions.SPG(DC242, "SP_COUNTRY_NAME")</f>
        <v>Japan</v>
      </c>
      <c r="DK242" s="9" t="str">
        <f>_xll.SNL.Clients.Office.Excel.Functions.SPG(DH242, "SP_COUNTRY_NAME")</f>
        <v>#INVALID COMPANY ID</v>
      </c>
      <c r="DL242" t="s">
        <v>425</v>
      </c>
      <c r="DM242">
        <v>4137704</v>
      </c>
      <c r="DN242" t="s">
        <v>346</v>
      </c>
      <c r="DO242" s="11">
        <v>0.01</v>
      </c>
      <c r="DP242" s="9" t="str">
        <f>_xll.SNL.Clients.Office.Excel.Functions.SPG(DM242, "SP_COUNTRY_NAME")</f>
        <v>Japan</v>
      </c>
      <c r="DU242" s="9" t="str">
        <f>_xll.SNL.Clients.Office.Excel.Functions.SPG(DR242, "SP_COUNTRY_NAME")</f>
        <v>#INVALID COMPANY ID</v>
      </c>
      <c r="DZ242" s="9" t="str">
        <f>_xll.SNL.Clients.Office.Excel.Functions.SPG(DW242, "SP_COUNTRY_NAME")</f>
        <v>#INVALID COMPANY ID</v>
      </c>
      <c r="EA242" t="s">
        <v>403</v>
      </c>
      <c r="EB242">
        <v>4033550</v>
      </c>
      <c r="EC242" t="s">
        <v>346</v>
      </c>
      <c r="ED242" s="11">
        <v>0.01</v>
      </c>
      <c r="EE242" s="9" t="str">
        <f>_xll.SNL.Clients.Office.Excel.Functions.SPG(EB242, "SP_COUNTRY_NAME")</f>
        <v>USA</v>
      </c>
      <c r="EF242" t="s">
        <v>425</v>
      </c>
      <c r="EG242">
        <v>4137704</v>
      </c>
      <c r="EH242" t="s">
        <v>346</v>
      </c>
      <c r="EI242" s="11">
        <v>0.01</v>
      </c>
      <c r="EJ242" s="9" t="str">
        <f>_xll.SNL.Clients.Office.Excel.Functions.SPG(EG242, "SP_COUNTRY_NAME")</f>
        <v>Japan</v>
      </c>
      <c r="EO242" s="9" t="str">
        <f>_xll.SNL.Clients.Office.Excel.Functions.SPG(EL242, "SP_COUNTRY_NAME")</f>
        <v>#INVALID COMPANY ID</v>
      </c>
      <c r="ET242" s="9" t="str">
        <f>_xll.SNL.Clients.Office.Excel.Functions.SPG(EQ242, "SP_COUNTRY_NAME")</f>
        <v>#INVALID COMPANY ID</v>
      </c>
      <c r="EY242" s="9" t="str">
        <f>_xll.SNL.Clients.Office.Excel.Functions.SPG(EV242, "SP_COUNTRY_NAME")</f>
        <v>#INVALID COMPANY ID</v>
      </c>
      <c r="FD242" s="9" t="str">
        <f>_xll.SNL.Clients.Office.Excel.Functions.SPG(FA242, "SP_COUNTRY_NAME")</f>
        <v>#INVALID COMPANY ID</v>
      </c>
      <c r="FI242" s="9" t="str">
        <f>_xll.SNL.Clients.Office.Excel.Functions.SPG(FF242, "SP_COUNTRY_NAME")</f>
        <v>#INVALID COMPANY ID</v>
      </c>
      <c r="FN242" s="9" t="str">
        <f>_xll.SNL.Clients.Office.Excel.Functions.SPG(FK242, "SP_COUNTRY_NAME")</f>
        <v>#INVALID COMPANY ID</v>
      </c>
      <c r="FS242" s="9" t="str">
        <f>_xll.SNL.Clients.Office.Excel.Functions.SPG(FP242, "SP_COUNTRY_NAME")</f>
        <v>#INVALID COMPANY ID</v>
      </c>
      <c r="FX242" s="9" t="str">
        <f>_xll.SNL.Clients.Office.Excel.Functions.SPG(FU242, "SP_COUNTRY_NAME")</f>
        <v>#INVALID COMPANY ID</v>
      </c>
      <c r="FY242" t="s">
        <v>425</v>
      </c>
      <c r="FZ242">
        <v>4137704</v>
      </c>
      <c r="GA242" t="s">
        <v>346</v>
      </c>
      <c r="GB242" s="11">
        <v>0.01</v>
      </c>
      <c r="GC242" s="9" t="str">
        <f>_xll.SNL.Clients.Office.Excel.Functions.SPG(FZ242, "SP_COUNTRY_NAME")</f>
        <v>Japan</v>
      </c>
      <c r="GH242" s="9" t="str">
        <f>_xll.SNL.Clients.Office.Excel.Functions.SPG(GE242, "SP_COUNTRY_NAME")</f>
        <v>#INVALID COMPANY ID</v>
      </c>
      <c r="GM242" s="9" t="str">
        <f>_xll.SNL.Clients.Office.Excel.Functions.SPG(GJ242, "SP_COUNTRY_NAME")</f>
        <v>#INVALID COMPANY ID</v>
      </c>
      <c r="GR242" s="9" t="str">
        <f>_xll.SNL.Clients.Office.Excel.Functions.SPG(GO242, "SP_COUNTRY_NAME")</f>
        <v>#INVALID COMPANY ID</v>
      </c>
      <c r="GS242" t="s">
        <v>1038</v>
      </c>
      <c r="GT242">
        <v>4137587</v>
      </c>
      <c r="GU242" t="s">
        <v>346</v>
      </c>
      <c r="GV242" s="11">
        <v>0</v>
      </c>
      <c r="GW242" s="9" t="str">
        <f>_xll.SNL.Clients.Office.Excel.Functions.SPG(GT242, "SP_COUNTRY_NAME")</f>
        <v>Denmark</v>
      </c>
      <c r="GX242" t="s">
        <v>403</v>
      </c>
      <c r="GY242">
        <v>4033550</v>
      </c>
      <c r="GZ242" t="s">
        <v>346</v>
      </c>
      <c r="HA242" s="11">
        <v>0.01</v>
      </c>
      <c r="HB242" s="9" t="str">
        <f>_xll.SNL.Clients.Office.Excel.Functions.SPG(GY242, "SP_COUNTRY_NAME")</f>
        <v>USA</v>
      </c>
      <c r="HG242" s="9" t="str">
        <f>_xll.SNL.Clients.Office.Excel.Functions.SPG(HD242, "SP_COUNTRY_NAME")</f>
        <v>#INVALID COMPANY ID</v>
      </c>
    </row>
    <row r="243" spans="5:215" x14ac:dyDescent="0.35">
      <c r="E243" s="9" t="str">
        <f>_xll.SNL.Clients.Office.Excel.Functions.SPG(B243, "SP_COUNTRY_NAME")</f>
        <v>#INVALID COMPANY ID</v>
      </c>
      <c r="F243" t="s">
        <v>625</v>
      </c>
      <c r="G243">
        <v>111206</v>
      </c>
      <c r="H243" t="s">
        <v>346</v>
      </c>
      <c r="I243" s="11">
        <v>0</v>
      </c>
      <c r="J243" s="9" t="str">
        <f>_xll.SNL.Clients.Office.Excel.Functions.SPG(G243, "SP_COUNTRY_NAME")</f>
        <v>USA</v>
      </c>
      <c r="O243" s="9" t="str">
        <f>_xll.SNL.Clients.Office.Excel.Functions.SPG(L243, "SP_COUNTRY_NAME")</f>
        <v>#INVALID COMPANY ID</v>
      </c>
      <c r="T243" s="9" t="str">
        <f>_xll.SNL.Clients.Office.Excel.Functions.SPG(Q243, "SP_COUNTRY_NAME")</f>
        <v>#INVALID COMPANY ID</v>
      </c>
      <c r="U243" t="s">
        <v>819</v>
      </c>
      <c r="V243">
        <v>108037678</v>
      </c>
      <c r="W243" t="s">
        <v>346</v>
      </c>
      <c r="X243" s="11">
        <v>0</v>
      </c>
      <c r="Y243" s="9" t="str">
        <f>_xll.SNL.Clients.Office.Excel.Functions.SPG(V243, "SP_COUNTRY_NAME")</f>
        <v>China</v>
      </c>
      <c r="AD243" s="9" t="str">
        <f>_xll.SNL.Clients.Office.Excel.Functions.SPG(AA243, "SP_COUNTRY_NAME")</f>
        <v>#INVALID COMPANY ID</v>
      </c>
      <c r="AI243" s="9" t="str">
        <f>_xll.SNL.Clients.Office.Excel.Functions.SPG(AF243, "SP_COUNTRY_NAME")</f>
        <v>#INVALID COMPANY ID</v>
      </c>
      <c r="AN243" s="9" t="str">
        <f>_xll.SNL.Clients.Office.Excel.Functions.SPG(AK243, "SP_COUNTRY_NAME")</f>
        <v>#INVALID COMPANY ID</v>
      </c>
      <c r="AO243" t="s">
        <v>526</v>
      </c>
      <c r="AP243">
        <v>4248288</v>
      </c>
      <c r="AQ243" t="s">
        <v>346</v>
      </c>
      <c r="AR243" s="11">
        <v>0</v>
      </c>
      <c r="AS243" s="9" t="str">
        <f>_xll.SNL.Clients.Office.Excel.Functions.SPG(AP243, "SP_COUNTRY_NAME")</f>
        <v>Canada</v>
      </c>
      <c r="AX243" s="9" t="str">
        <f>_xll.SNL.Clients.Office.Excel.Functions.SPG(AU243, "SP_COUNTRY_NAME")</f>
        <v>#INVALID COMPANY ID</v>
      </c>
      <c r="BC243" s="9" t="str">
        <f>_xll.SNL.Clients.Office.Excel.Functions.SPG(AZ243, "SP_COUNTRY_NAME")</f>
        <v>#INVALID COMPANY ID</v>
      </c>
      <c r="BD243" t="s">
        <v>1283</v>
      </c>
      <c r="BE243">
        <v>19723341</v>
      </c>
      <c r="BF243" t="s">
        <v>346</v>
      </c>
      <c r="BG243" s="11">
        <v>0.01</v>
      </c>
      <c r="BH243" s="9" t="str">
        <f>_xll.SNL.Clients.Office.Excel.Functions.SPG(BE243, "SP_COUNTRY_NAME")</f>
        <v>South Africa</v>
      </c>
      <c r="BI243" t="s">
        <v>580</v>
      </c>
      <c r="BJ243">
        <v>4037402</v>
      </c>
      <c r="BK243" t="s">
        <v>346</v>
      </c>
      <c r="BL243" s="11">
        <v>0</v>
      </c>
      <c r="BM243" s="9" t="str">
        <f>_xll.SNL.Clients.Office.Excel.Functions.SPG(BJ243, "SP_COUNTRY_NAME")</f>
        <v>USA</v>
      </c>
      <c r="BN243" t="s">
        <v>671</v>
      </c>
      <c r="BO243">
        <v>5862433</v>
      </c>
      <c r="BP243" t="s">
        <v>346</v>
      </c>
      <c r="BQ243" s="11">
        <v>0</v>
      </c>
      <c r="BR243" s="9" t="str">
        <f>_xll.SNL.Clients.Office.Excel.Functions.SPG(BO243, "SP_COUNTRY_NAME")</f>
        <v>Hong Kong</v>
      </c>
      <c r="BS243" t="s">
        <v>997</v>
      </c>
      <c r="BT243">
        <v>4430994</v>
      </c>
      <c r="BU243" t="s">
        <v>346</v>
      </c>
      <c r="BV243" s="11">
        <v>0.01</v>
      </c>
      <c r="BW243" s="9" t="str">
        <f>_xll.SNL.Clients.Office.Excel.Functions.SPG(BT243, "SP_COUNTRY_NAME")</f>
        <v>Hong Kong</v>
      </c>
      <c r="BX243" t="s">
        <v>819</v>
      </c>
      <c r="BY243">
        <v>108037678</v>
      </c>
      <c r="BZ243" t="s">
        <v>346</v>
      </c>
      <c r="CA243" s="11">
        <v>0</v>
      </c>
      <c r="CB243" s="9" t="str">
        <f>_xll.SNL.Clients.Office.Excel.Functions.SPG(BY243, "SP_COUNTRY_NAME")</f>
        <v>China</v>
      </c>
      <c r="CC243" t="s">
        <v>437</v>
      </c>
      <c r="CD243">
        <v>4102073</v>
      </c>
      <c r="CE243" t="s">
        <v>346</v>
      </c>
      <c r="CF243" s="11">
        <v>0.01</v>
      </c>
      <c r="CG243" s="9" t="str">
        <f>_xll.SNL.Clients.Office.Excel.Functions.SPG(CD243, "SP_COUNTRY_NAME")</f>
        <v>USA</v>
      </c>
      <c r="CH243" t="s">
        <v>526</v>
      </c>
      <c r="CI243">
        <v>4248288</v>
      </c>
      <c r="CJ243" t="s">
        <v>346</v>
      </c>
      <c r="CK243" s="11">
        <v>0</v>
      </c>
      <c r="CL243" s="9" t="str">
        <f>_xll.SNL.Clients.Office.Excel.Functions.SPG(CI243, "SP_COUNTRY_NAME")</f>
        <v>Canada</v>
      </c>
      <c r="CM243" t="s">
        <v>403</v>
      </c>
      <c r="CN243">
        <v>4033550</v>
      </c>
      <c r="CO243" t="s">
        <v>346</v>
      </c>
      <c r="CP243" s="11">
        <v>0.01</v>
      </c>
      <c r="CQ243" s="9" t="str">
        <f>_xll.SNL.Clients.Office.Excel.Functions.SPG(CN243, "SP_COUNTRY_NAME")</f>
        <v>USA</v>
      </c>
      <c r="CV243" s="9" t="str">
        <f>_xll.SNL.Clients.Office.Excel.Functions.SPG(CS243, "SP_COUNTRY_NAME")</f>
        <v>#INVALID COMPANY ID</v>
      </c>
      <c r="DA243" s="9" t="str">
        <f>_xll.SNL.Clients.Office.Excel.Functions.SPG(CX243, "SP_COUNTRY_NAME")</f>
        <v>#INVALID COMPANY ID</v>
      </c>
      <c r="DB243" t="s">
        <v>1283</v>
      </c>
      <c r="DC243">
        <v>19723341</v>
      </c>
      <c r="DD243" t="s">
        <v>346</v>
      </c>
      <c r="DE243" s="11">
        <v>0.01</v>
      </c>
      <c r="DF243" s="9" t="str">
        <f>_xll.SNL.Clients.Office.Excel.Functions.SPG(DC243, "SP_COUNTRY_NAME")</f>
        <v>South Africa</v>
      </c>
      <c r="DK243" s="9" t="str">
        <f>_xll.SNL.Clients.Office.Excel.Functions.SPG(DH243, "SP_COUNTRY_NAME")</f>
        <v>#INVALID COMPANY ID</v>
      </c>
      <c r="DL243" t="s">
        <v>1283</v>
      </c>
      <c r="DM243">
        <v>19723341</v>
      </c>
      <c r="DN243" t="s">
        <v>346</v>
      </c>
      <c r="DO243" s="11">
        <v>0.01</v>
      </c>
      <c r="DP243" s="9" t="str">
        <f>_xll.SNL.Clients.Office.Excel.Functions.SPG(DM243, "SP_COUNTRY_NAME")</f>
        <v>South Africa</v>
      </c>
      <c r="DU243" s="9" t="str">
        <f>_xll.SNL.Clients.Office.Excel.Functions.SPG(DR243, "SP_COUNTRY_NAME")</f>
        <v>#INVALID COMPANY ID</v>
      </c>
      <c r="DZ243" s="9" t="str">
        <f>_xll.SNL.Clients.Office.Excel.Functions.SPG(DW243, "SP_COUNTRY_NAME")</f>
        <v>#INVALID COMPANY ID</v>
      </c>
      <c r="EA243" t="s">
        <v>437</v>
      </c>
      <c r="EB243">
        <v>4102073</v>
      </c>
      <c r="EC243" t="s">
        <v>346</v>
      </c>
      <c r="ED243" s="11">
        <v>0.01</v>
      </c>
      <c r="EE243" s="9" t="str">
        <f>_xll.SNL.Clients.Office.Excel.Functions.SPG(EB243, "SP_COUNTRY_NAME")</f>
        <v>USA</v>
      </c>
      <c r="EF243" t="s">
        <v>1283</v>
      </c>
      <c r="EG243">
        <v>19723341</v>
      </c>
      <c r="EH243" t="s">
        <v>346</v>
      </c>
      <c r="EI243" s="11">
        <v>0.01</v>
      </c>
      <c r="EJ243" s="9" t="str">
        <f>_xll.SNL.Clients.Office.Excel.Functions.SPG(EG243, "SP_COUNTRY_NAME")</f>
        <v>South Africa</v>
      </c>
      <c r="EO243" s="9" t="str">
        <f>_xll.SNL.Clients.Office.Excel.Functions.SPG(EL243, "SP_COUNTRY_NAME")</f>
        <v>#INVALID COMPANY ID</v>
      </c>
      <c r="ET243" s="9" t="str">
        <f>_xll.SNL.Clients.Office.Excel.Functions.SPG(EQ243, "SP_COUNTRY_NAME")</f>
        <v>#INVALID COMPANY ID</v>
      </c>
      <c r="EY243" s="9" t="str">
        <f>_xll.SNL.Clients.Office.Excel.Functions.SPG(EV243, "SP_COUNTRY_NAME")</f>
        <v>#INVALID COMPANY ID</v>
      </c>
      <c r="FD243" s="9" t="str">
        <f>_xll.SNL.Clients.Office.Excel.Functions.SPG(FA243, "SP_COUNTRY_NAME")</f>
        <v>#INVALID COMPANY ID</v>
      </c>
      <c r="FI243" s="9" t="str">
        <f>_xll.SNL.Clients.Office.Excel.Functions.SPG(FF243, "SP_COUNTRY_NAME")</f>
        <v>#INVALID COMPANY ID</v>
      </c>
      <c r="FN243" s="9" t="str">
        <f>_xll.SNL.Clients.Office.Excel.Functions.SPG(FK243, "SP_COUNTRY_NAME")</f>
        <v>#INVALID COMPANY ID</v>
      </c>
      <c r="FS243" s="9" t="str">
        <f>_xll.SNL.Clients.Office.Excel.Functions.SPG(FP243, "SP_COUNTRY_NAME")</f>
        <v>#INVALID COMPANY ID</v>
      </c>
      <c r="FX243" s="9" t="str">
        <f>_xll.SNL.Clients.Office.Excel.Functions.SPG(FU243, "SP_COUNTRY_NAME")</f>
        <v>#INVALID COMPANY ID</v>
      </c>
      <c r="FY243" t="s">
        <v>1283</v>
      </c>
      <c r="FZ243">
        <v>19723341</v>
      </c>
      <c r="GA243" t="s">
        <v>346</v>
      </c>
      <c r="GB243" s="11">
        <v>0.01</v>
      </c>
      <c r="GC243" s="9" t="str">
        <f>_xll.SNL.Clients.Office.Excel.Functions.SPG(FZ243, "SP_COUNTRY_NAME")</f>
        <v>South Africa</v>
      </c>
      <c r="GH243" s="9" t="str">
        <f>_xll.SNL.Clients.Office.Excel.Functions.SPG(GE243, "SP_COUNTRY_NAME")</f>
        <v>#INVALID COMPANY ID</v>
      </c>
      <c r="GM243" s="9" t="str">
        <f>_xll.SNL.Clients.Office.Excel.Functions.SPG(GJ243, "SP_COUNTRY_NAME")</f>
        <v>#INVALID COMPANY ID</v>
      </c>
      <c r="GR243" s="9" t="str">
        <f>_xll.SNL.Clients.Office.Excel.Functions.SPG(GO243, "SP_COUNTRY_NAME")</f>
        <v>#INVALID COMPANY ID</v>
      </c>
      <c r="GS243" t="s">
        <v>671</v>
      </c>
      <c r="GT243">
        <v>5862433</v>
      </c>
      <c r="GU243" t="s">
        <v>346</v>
      </c>
      <c r="GV243" s="11">
        <v>0</v>
      </c>
      <c r="GW243" s="9" t="str">
        <f>_xll.SNL.Clients.Office.Excel.Functions.SPG(GT243, "SP_COUNTRY_NAME")</f>
        <v>Hong Kong</v>
      </c>
      <c r="GX243" t="s">
        <v>437</v>
      </c>
      <c r="GY243">
        <v>4102073</v>
      </c>
      <c r="GZ243" t="s">
        <v>346</v>
      </c>
      <c r="HA243" s="11">
        <v>0.01</v>
      </c>
      <c r="HB243" s="9" t="str">
        <f>_xll.SNL.Clients.Office.Excel.Functions.SPG(GY243, "SP_COUNTRY_NAME")</f>
        <v>USA</v>
      </c>
      <c r="HG243" s="9" t="str">
        <f>_xll.SNL.Clients.Office.Excel.Functions.SPG(HD243, "SP_COUNTRY_NAME")</f>
        <v>#INVALID COMPANY ID</v>
      </c>
    </row>
    <row r="244" spans="5:215" x14ac:dyDescent="0.35">
      <c r="E244" s="9" t="str">
        <f>_xll.SNL.Clients.Office.Excel.Functions.SPG(B244, "SP_COUNTRY_NAME")</f>
        <v>#INVALID COMPANY ID</v>
      </c>
      <c r="F244" t="s">
        <v>626</v>
      </c>
      <c r="G244">
        <v>4035337</v>
      </c>
      <c r="H244" t="s">
        <v>346</v>
      </c>
      <c r="I244" s="11">
        <v>0</v>
      </c>
      <c r="J244" s="9" t="str">
        <f>_xll.SNL.Clients.Office.Excel.Functions.SPG(G244, "SP_COUNTRY_NAME")</f>
        <v>USA</v>
      </c>
      <c r="O244" s="9" t="str">
        <f>_xll.SNL.Clients.Office.Excel.Functions.SPG(L244, "SP_COUNTRY_NAME")</f>
        <v>#INVALID COMPANY ID</v>
      </c>
      <c r="T244" s="9" t="str">
        <f>_xll.SNL.Clients.Office.Excel.Functions.SPG(Q244, "SP_COUNTRY_NAME")</f>
        <v>#INVALID COMPANY ID</v>
      </c>
      <c r="U244" t="s">
        <v>603</v>
      </c>
      <c r="V244">
        <v>110641</v>
      </c>
      <c r="W244" t="s">
        <v>346</v>
      </c>
      <c r="X244" s="11">
        <v>0</v>
      </c>
      <c r="Y244" s="9" t="str">
        <f>_xll.SNL.Clients.Office.Excel.Functions.SPG(V244, "SP_COUNTRY_NAME")</f>
        <v>USA</v>
      </c>
      <c r="AD244" s="9" t="str">
        <f>_xll.SNL.Clients.Office.Excel.Functions.SPG(AA244, "SP_COUNTRY_NAME")</f>
        <v>#INVALID COMPANY ID</v>
      </c>
      <c r="AI244" s="9" t="str">
        <f>_xll.SNL.Clients.Office.Excel.Functions.SPG(AF244, "SP_COUNTRY_NAME")</f>
        <v>#INVALID COMPANY ID</v>
      </c>
      <c r="AN244" s="9" t="str">
        <f>_xll.SNL.Clients.Office.Excel.Functions.SPG(AK244, "SP_COUNTRY_NAME")</f>
        <v>#INVALID COMPANY ID</v>
      </c>
      <c r="AO244" t="s">
        <v>517</v>
      </c>
      <c r="AP244">
        <v>111097</v>
      </c>
      <c r="AQ244" t="s">
        <v>346</v>
      </c>
      <c r="AR244" s="11">
        <v>0</v>
      </c>
      <c r="AS244" s="9" t="str">
        <f>_xll.SNL.Clients.Office.Excel.Functions.SPG(AP244, "SP_COUNTRY_NAME")</f>
        <v>USA</v>
      </c>
      <c r="AX244" s="9" t="str">
        <f>_xll.SNL.Clients.Office.Excel.Functions.SPG(AU244, "SP_COUNTRY_NAME")</f>
        <v>#INVALID COMPANY ID</v>
      </c>
      <c r="BC244" s="9" t="str">
        <f>_xll.SNL.Clients.Office.Excel.Functions.SPG(AZ244, "SP_COUNTRY_NAME")</f>
        <v>#INVALID COMPANY ID</v>
      </c>
      <c r="BD244" t="s">
        <v>1464</v>
      </c>
      <c r="BE244">
        <v>4066487</v>
      </c>
      <c r="BF244" t="s">
        <v>346</v>
      </c>
      <c r="BG244" s="11">
        <v>0.01</v>
      </c>
      <c r="BH244" s="9" t="str">
        <f>_xll.SNL.Clients.Office.Excel.Functions.SPG(BE244, "SP_COUNTRY_NAME")</f>
        <v>USA</v>
      </c>
      <c r="BI244" t="s">
        <v>1596</v>
      </c>
      <c r="BJ244" t="s">
        <v>300</v>
      </c>
      <c r="BK244" t="s">
        <v>361</v>
      </c>
      <c r="BL244" s="11">
        <v>0</v>
      </c>
      <c r="BM244" s="9" t="str">
        <f>_xll.SNL.Clients.Office.Excel.Functions.SPG(BJ244, "SP_COUNTRY_NAME")</f>
        <v>China</v>
      </c>
      <c r="BN244" t="s">
        <v>628</v>
      </c>
      <c r="BO244">
        <v>4289501</v>
      </c>
      <c r="BP244" t="s">
        <v>346</v>
      </c>
      <c r="BQ244" s="11">
        <v>0</v>
      </c>
      <c r="BR244" s="9" t="str">
        <f>_xll.SNL.Clients.Office.Excel.Functions.SPG(BO244, "SP_COUNTRY_NAME")</f>
        <v>United Kingdom</v>
      </c>
      <c r="BS244" t="s">
        <v>998</v>
      </c>
      <c r="BT244">
        <v>5753419</v>
      </c>
      <c r="BU244" t="s">
        <v>346</v>
      </c>
      <c r="BV244" s="11">
        <v>0.01</v>
      </c>
      <c r="BW244" s="9" t="str">
        <f>_xll.SNL.Clients.Office.Excel.Functions.SPG(BT244, "SP_COUNTRY_NAME")</f>
        <v>Switzerland</v>
      </c>
      <c r="BX244" t="s">
        <v>603</v>
      </c>
      <c r="BY244">
        <v>110641</v>
      </c>
      <c r="BZ244" t="s">
        <v>346</v>
      </c>
      <c r="CA244" s="11">
        <v>0</v>
      </c>
      <c r="CB244" s="9" t="str">
        <f>_xll.SNL.Clients.Office.Excel.Functions.SPG(BY244, "SP_COUNTRY_NAME")</f>
        <v>USA</v>
      </c>
      <c r="CC244" t="s">
        <v>1207</v>
      </c>
      <c r="CD244">
        <v>5855000</v>
      </c>
      <c r="CE244" t="s">
        <v>346</v>
      </c>
      <c r="CF244" s="11">
        <v>0.01</v>
      </c>
      <c r="CG244" s="9" t="str">
        <f>_xll.SNL.Clients.Office.Excel.Functions.SPG(CD244, "SP_COUNTRY_NAME")</f>
        <v>Germany</v>
      </c>
      <c r="CH244" t="s">
        <v>517</v>
      </c>
      <c r="CI244">
        <v>111097</v>
      </c>
      <c r="CJ244" t="s">
        <v>346</v>
      </c>
      <c r="CK244" s="11">
        <v>0</v>
      </c>
      <c r="CL244" s="9" t="str">
        <f>_xll.SNL.Clients.Office.Excel.Functions.SPG(CI244, "SP_COUNTRY_NAME")</f>
        <v>USA</v>
      </c>
      <c r="CM244" t="s">
        <v>1220</v>
      </c>
      <c r="CN244">
        <v>4218892</v>
      </c>
      <c r="CO244" t="s">
        <v>346</v>
      </c>
      <c r="CP244" s="11">
        <v>0.01</v>
      </c>
      <c r="CQ244" s="9" t="str">
        <f>_xll.SNL.Clients.Office.Excel.Functions.SPG(CN244, "SP_COUNTRY_NAME")</f>
        <v>USA</v>
      </c>
      <c r="CV244" s="9" t="str">
        <f>_xll.SNL.Clients.Office.Excel.Functions.SPG(CS244, "SP_COUNTRY_NAME")</f>
        <v>#INVALID COMPANY ID</v>
      </c>
      <c r="DA244" s="9" t="str">
        <f>_xll.SNL.Clients.Office.Excel.Functions.SPG(CX244, "SP_COUNTRY_NAME")</f>
        <v>#INVALID COMPANY ID</v>
      </c>
      <c r="DB244" t="s">
        <v>1464</v>
      </c>
      <c r="DC244">
        <v>4066487</v>
      </c>
      <c r="DD244" t="s">
        <v>346</v>
      </c>
      <c r="DE244" s="11">
        <v>0.01</v>
      </c>
      <c r="DF244" s="9" t="str">
        <f>_xll.SNL.Clients.Office.Excel.Functions.SPG(DC244, "SP_COUNTRY_NAME")</f>
        <v>USA</v>
      </c>
      <c r="DK244" s="9" t="str">
        <f>_xll.SNL.Clients.Office.Excel.Functions.SPG(DH244, "SP_COUNTRY_NAME")</f>
        <v>#INVALID COMPANY ID</v>
      </c>
      <c r="DL244" t="s">
        <v>1464</v>
      </c>
      <c r="DM244">
        <v>4066487</v>
      </c>
      <c r="DN244" t="s">
        <v>346</v>
      </c>
      <c r="DO244" s="11">
        <v>0.01</v>
      </c>
      <c r="DP244" s="9" t="str">
        <f>_xll.SNL.Clients.Office.Excel.Functions.SPG(DM244, "SP_COUNTRY_NAME")</f>
        <v>USA</v>
      </c>
      <c r="DU244" s="9" t="str">
        <f>_xll.SNL.Clients.Office.Excel.Functions.SPG(DR244, "SP_COUNTRY_NAME")</f>
        <v>#INVALID COMPANY ID</v>
      </c>
      <c r="DZ244" s="9" t="str">
        <f>_xll.SNL.Clients.Office.Excel.Functions.SPG(DW244, "SP_COUNTRY_NAME")</f>
        <v>#INVALID COMPANY ID</v>
      </c>
      <c r="EA244" t="s">
        <v>1207</v>
      </c>
      <c r="EB244">
        <v>5855000</v>
      </c>
      <c r="EC244" t="s">
        <v>346</v>
      </c>
      <c r="ED244" s="11">
        <v>0.01</v>
      </c>
      <c r="EE244" s="9" t="str">
        <f>_xll.SNL.Clients.Office.Excel.Functions.SPG(EB244, "SP_COUNTRY_NAME")</f>
        <v>Germany</v>
      </c>
      <c r="EF244" t="s">
        <v>1464</v>
      </c>
      <c r="EG244">
        <v>4066487</v>
      </c>
      <c r="EH244" t="s">
        <v>346</v>
      </c>
      <c r="EI244" s="11">
        <v>0.01</v>
      </c>
      <c r="EJ244" s="9" t="str">
        <f>_xll.SNL.Clients.Office.Excel.Functions.SPG(EG244, "SP_COUNTRY_NAME")</f>
        <v>USA</v>
      </c>
      <c r="EO244" s="9" t="str">
        <f>_xll.SNL.Clients.Office.Excel.Functions.SPG(EL244, "SP_COUNTRY_NAME")</f>
        <v>#INVALID COMPANY ID</v>
      </c>
      <c r="ET244" s="9" t="str">
        <f>_xll.SNL.Clients.Office.Excel.Functions.SPG(EQ244, "SP_COUNTRY_NAME")</f>
        <v>#INVALID COMPANY ID</v>
      </c>
      <c r="EY244" s="9" t="str">
        <f>_xll.SNL.Clients.Office.Excel.Functions.SPG(EV244, "SP_COUNTRY_NAME")</f>
        <v>#INVALID COMPANY ID</v>
      </c>
      <c r="FD244" s="9" t="str">
        <f>_xll.SNL.Clients.Office.Excel.Functions.SPG(FA244, "SP_COUNTRY_NAME")</f>
        <v>#INVALID COMPANY ID</v>
      </c>
      <c r="FI244" s="9" t="str">
        <f>_xll.SNL.Clients.Office.Excel.Functions.SPG(FF244, "SP_COUNTRY_NAME")</f>
        <v>#INVALID COMPANY ID</v>
      </c>
      <c r="FN244" s="9" t="str">
        <f>_xll.SNL.Clients.Office.Excel.Functions.SPG(FK244, "SP_COUNTRY_NAME")</f>
        <v>#INVALID COMPANY ID</v>
      </c>
      <c r="FS244" s="9" t="str">
        <f>_xll.SNL.Clients.Office.Excel.Functions.SPG(FP244, "SP_COUNTRY_NAME")</f>
        <v>#INVALID COMPANY ID</v>
      </c>
      <c r="FX244" s="9" t="str">
        <f>_xll.SNL.Clients.Office.Excel.Functions.SPG(FU244, "SP_COUNTRY_NAME")</f>
        <v>#INVALID COMPANY ID</v>
      </c>
      <c r="FY244" t="s">
        <v>1464</v>
      </c>
      <c r="FZ244">
        <v>4066487</v>
      </c>
      <c r="GA244" t="s">
        <v>346</v>
      </c>
      <c r="GB244" s="11">
        <v>0.01</v>
      </c>
      <c r="GC244" s="9" t="str">
        <f>_xll.SNL.Clients.Office.Excel.Functions.SPG(FZ244, "SP_COUNTRY_NAME")</f>
        <v>USA</v>
      </c>
      <c r="GH244" s="9" t="str">
        <f>_xll.SNL.Clients.Office.Excel.Functions.SPG(GE244, "SP_COUNTRY_NAME")</f>
        <v>#INVALID COMPANY ID</v>
      </c>
      <c r="GM244" s="9" t="str">
        <f>_xll.SNL.Clients.Office.Excel.Functions.SPG(GJ244, "SP_COUNTRY_NAME")</f>
        <v>#INVALID COMPANY ID</v>
      </c>
      <c r="GR244" s="9" t="str">
        <f>_xll.SNL.Clients.Office.Excel.Functions.SPG(GO244, "SP_COUNTRY_NAME")</f>
        <v>#INVALID COMPANY ID</v>
      </c>
      <c r="GS244" t="s">
        <v>628</v>
      </c>
      <c r="GT244">
        <v>4289501</v>
      </c>
      <c r="GU244" t="s">
        <v>346</v>
      </c>
      <c r="GV244" s="11">
        <v>0</v>
      </c>
      <c r="GW244" s="9" t="str">
        <f>_xll.SNL.Clients.Office.Excel.Functions.SPG(GT244, "SP_COUNTRY_NAME")</f>
        <v>United Kingdom</v>
      </c>
      <c r="GX244" t="s">
        <v>1207</v>
      </c>
      <c r="GY244">
        <v>5855000</v>
      </c>
      <c r="GZ244" t="s">
        <v>346</v>
      </c>
      <c r="HA244" s="11">
        <v>0.01</v>
      </c>
      <c r="HB244" s="9" t="str">
        <f>_xll.SNL.Clients.Office.Excel.Functions.SPG(GY244, "SP_COUNTRY_NAME")</f>
        <v>Germany</v>
      </c>
      <c r="HG244" s="9" t="str">
        <f>_xll.SNL.Clients.Office.Excel.Functions.SPG(HD244, "SP_COUNTRY_NAME")</f>
        <v>#INVALID COMPANY ID</v>
      </c>
    </row>
    <row r="245" spans="5:215" x14ac:dyDescent="0.35">
      <c r="E245" s="9" t="str">
        <f>_xll.SNL.Clients.Office.Excel.Functions.SPG(B245, "SP_COUNTRY_NAME")</f>
        <v>#INVALID COMPANY ID</v>
      </c>
      <c r="F245" t="s">
        <v>627</v>
      </c>
      <c r="G245">
        <v>4566684</v>
      </c>
      <c r="H245" t="s">
        <v>346</v>
      </c>
      <c r="I245" s="11">
        <v>0</v>
      </c>
      <c r="J245" s="9" t="str">
        <f>_xll.SNL.Clients.Office.Excel.Functions.SPG(G245, "SP_COUNTRY_NAME")</f>
        <v>USA</v>
      </c>
      <c r="O245" s="9" t="str">
        <f>_xll.SNL.Clients.Office.Excel.Functions.SPG(L245, "SP_COUNTRY_NAME")</f>
        <v>#INVALID COMPANY ID</v>
      </c>
      <c r="T245" s="9" t="str">
        <f>_xll.SNL.Clients.Office.Excel.Functions.SPG(Q245, "SP_COUNTRY_NAME")</f>
        <v>#INVALID COMPANY ID</v>
      </c>
      <c r="U245" t="s">
        <v>820</v>
      </c>
      <c r="V245">
        <v>4240804</v>
      </c>
      <c r="W245" t="s">
        <v>346</v>
      </c>
      <c r="X245" s="11">
        <v>0</v>
      </c>
      <c r="Y245" s="9" t="str">
        <f>_xll.SNL.Clients.Office.Excel.Functions.SPG(V245, "SP_COUNTRY_NAME")</f>
        <v>Taiwan</v>
      </c>
      <c r="AD245" s="9" t="str">
        <f>_xll.SNL.Clients.Office.Excel.Functions.SPG(AA245, "SP_COUNTRY_NAME")</f>
        <v>#INVALID COMPANY ID</v>
      </c>
      <c r="AI245" s="9" t="str">
        <f>_xll.SNL.Clients.Office.Excel.Functions.SPG(AF245, "SP_COUNTRY_NAME")</f>
        <v>#INVALID COMPANY ID</v>
      </c>
      <c r="AN245" s="9" t="str">
        <f>_xll.SNL.Clients.Office.Excel.Functions.SPG(AK245, "SP_COUNTRY_NAME")</f>
        <v>#INVALID COMPANY ID</v>
      </c>
      <c r="AO245" t="s">
        <v>569</v>
      </c>
      <c r="AP245">
        <v>4332220</v>
      </c>
      <c r="AQ245" t="s">
        <v>346</v>
      </c>
      <c r="AR245" s="11">
        <v>0</v>
      </c>
      <c r="AS245" s="9" t="str">
        <f>_xll.SNL.Clients.Office.Excel.Functions.SPG(AP245, "SP_COUNTRY_NAME")</f>
        <v>USA</v>
      </c>
      <c r="AX245" s="9" t="str">
        <f>_xll.SNL.Clients.Office.Excel.Functions.SPG(AU245, "SP_COUNTRY_NAME")</f>
        <v>#INVALID COMPANY ID</v>
      </c>
      <c r="BC245" s="9" t="str">
        <f>_xll.SNL.Clients.Office.Excel.Functions.SPG(AZ245, "SP_COUNTRY_NAME")</f>
        <v>#INVALID COMPANY ID</v>
      </c>
      <c r="BD245" t="s">
        <v>1465</v>
      </c>
      <c r="BE245">
        <v>4140473</v>
      </c>
      <c r="BF245" t="s">
        <v>346</v>
      </c>
      <c r="BG245" s="11">
        <v>0.01</v>
      </c>
      <c r="BH245" s="9" t="str">
        <f>_xll.SNL.Clients.Office.Excel.Functions.SPG(BE245, "SP_COUNTRY_NAME")</f>
        <v>United Kingdom</v>
      </c>
      <c r="BI245" t="s">
        <v>1597</v>
      </c>
      <c r="BJ245" t="s">
        <v>300</v>
      </c>
      <c r="BK245" t="s">
        <v>361</v>
      </c>
      <c r="BL245" s="11">
        <v>0</v>
      </c>
      <c r="BM245" s="9" t="str">
        <f>_xll.SNL.Clients.Office.Excel.Functions.SPG(BJ245, "SP_COUNTRY_NAME")</f>
        <v>China</v>
      </c>
      <c r="BN245" t="s">
        <v>844</v>
      </c>
      <c r="BO245">
        <v>4139779</v>
      </c>
      <c r="BP245" t="s">
        <v>346</v>
      </c>
      <c r="BQ245" s="11">
        <v>0</v>
      </c>
      <c r="BR245" s="9" t="str">
        <f>_xll.SNL.Clients.Office.Excel.Functions.SPG(BO245, "SP_COUNTRY_NAME")</f>
        <v>India</v>
      </c>
      <c r="BS245" t="s">
        <v>412</v>
      </c>
      <c r="BT245">
        <v>109687</v>
      </c>
      <c r="BU245" t="s">
        <v>346</v>
      </c>
      <c r="BV245" s="11">
        <v>0.01</v>
      </c>
      <c r="BW245" s="9" t="str">
        <f>_xll.SNL.Clients.Office.Excel.Functions.SPG(BT245, "SP_COUNTRY_NAME")</f>
        <v>USA</v>
      </c>
      <c r="BX245" t="s">
        <v>820</v>
      </c>
      <c r="BY245">
        <v>4240804</v>
      </c>
      <c r="BZ245" t="s">
        <v>346</v>
      </c>
      <c r="CA245" s="11">
        <v>0</v>
      </c>
      <c r="CB245" s="9" t="str">
        <f>_xll.SNL.Clients.Office.Excel.Functions.SPG(BY245, "SP_COUNTRY_NAME")</f>
        <v>Taiwan</v>
      </c>
      <c r="CC245" t="s">
        <v>716</v>
      </c>
      <c r="CD245">
        <v>4310789</v>
      </c>
      <c r="CE245" t="s">
        <v>346</v>
      </c>
      <c r="CF245" s="11">
        <v>0.01</v>
      </c>
      <c r="CG245" s="9" t="str">
        <f>_xll.SNL.Clients.Office.Excel.Functions.SPG(CD245, "SP_COUNTRY_NAME")</f>
        <v>France</v>
      </c>
      <c r="CH245" t="s">
        <v>569</v>
      </c>
      <c r="CI245">
        <v>4332220</v>
      </c>
      <c r="CJ245" t="s">
        <v>346</v>
      </c>
      <c r="CK245" s="11">
        <v>0</v>
      </c>
      <c r="CL245" s="9" t="str">
        <f>_xll.SNL.Clients.Office.Excel.Functions.SPG(CI245, "SP_COUNTRY_NAME")</f>
        <v>USA</v>
      </c>
      <c r="CM245" t="s">
        <v>2005</v>
      </c>
      <c r="CN245" t="s">
        <v>300</v>
      </c>
      <c r="CO245" t="s">
        <v>361</v>
      </c>
      <c r="CP245" s="11">
        <v>0.01</v>
      </c>
      <c r="CQ245" s="9" t="str">
        <f>_xll.SNL.Clients.Office.Excel.Functions.SPG(CN245, "SP_COUNTRY_NAME")</f>
        <v>China</v>
      </c>
      <c r="CV245" s="9" t="str">
        <f>_xll.SNL.Clients.Office.Excel.Functions.SPG(CS245, "SP_COUNTRY_NAME")</f>
        <v>#INVALID COMPANY ID</v>
      </c>
      <c r="DA245" s="9" t="str">
        <f>_xll.SNL.Clients.Office.Excel.Functions.SPG(CX245, "SP_COUNTRY_NAME")</f>
        <v>#INVALID COMPANY ID</v>
      </c>
      <c r="DB245" t="s">
        <v>1465</v>
      </c>
      <c r="DC245">
        <v>4140473</v>
      </c>
      <c r="DD245" t="s">
        <v>346</v>
      </c>
      <c r="DE245" s="11">
        <v>0.01</v>
      </c>
      <c r="DF245" s="9" t="str">
        <f>_xll.SNL.Clients.Office.Excel.Functions.SPG(DC245, "SP_COUNTRY_NAME")</f>
        <v>United Kingdom</v>
      </c>
      <c r="DK245" s="9" t="str">
        <f>_xll.SNL.Clients.Office.Excel.Functions.SPG(DH245, "SP_COUNTRY_NAME")</f>
        <v>#INVALID COMPANY ID</v>
      </c>
      <c r="DL245" t="s">
        <v>1465</v>
      </c>
      <c r="DM245">
        <v>4140473</v>
      </c>
      <c r="DN245" t="s">
        <v>346</v>
      </c>
      <c r="DO245" s="11">
        <v>0.01</v>
      </c>
      <c r="DP245" s="9" t="str">
        <f>_xll.SNL.Clients.Office.Excel.Functions.SPG(DM245, "SP_COUNTRY_NAME")</f>
        <v>United Kingdom</v>
      </c>
      <c r="DU245" s="9" t="str">
        <f>_xll.SNL.Clients.Office.Excel.Functions.SPG(DR245, "SP_COUNTRY_NAME")</f>
        <v>#INVALID COMPANY ID</v>
      </c>
      <c r="DZ245" s="9" t="str">
        <f>_xll.SNL.Clients.Office.Excel.Functions.SPG(DW245, "SP_COUNTRY_NAME")</f>
        <v>#INVALID COMPANY ID</v>
      </c>
      <c r="EA245" t="s">
        <v>716</v>
      </c>
      <c r="EB245">
        <v>4310789</v>
      </c>
      <c r="EC245" t="s">
        <v>346</v>
      </c>
      <c r="ED245" s="11">
        <v>0.01</v>
      </c>
      <c r="EE245" s="9" t="str">
        <f>_xll.SNL.Clients.Office.Excel.Functions.SPG(EB245, "SP_COUNTRY_NAME")</f>
        <v>France</v>
      </c>
      <c r="EF245" t="s">
        <v>1465</v>
      </c>
      <c r="EG245">
        <v>4140473</v>
      </c>
      <c r="EH245" t="s">
        <v>346</v>
      </c>
      <c r="EI245" s="11">
        <v>0.01</v>
      </c>
      <c r="EJ245" s="9" t="str">
        <f>_xll.SNL.Clients.Office.Excel.Functions.SPG(EG245, "SP_COUNTRY_NAME")</f>
        <v>United Kingdom</v>
      </c>
      <c r="EO245" s="9" t="str">
        <f>_xll.SNL.Clients.Office.Excel.Functions.SPG(EL245, "SP_COUNTRY_NAME")</f>
        <v>#INVALID COMPANY ID</v>
      </c>
      <c r="ET245" s="9" t="str">
        <f>_xll.SNL.Clients.Office.Excel.Functions.SPG(EQ245, "SP_COUNTRY_NAME")</f>
        <v>#INVALID COMPANY ID</v>
      </c>
      <c r="EY245" s="9" t="str">
        <f>_xll.SNL.Clients.Office.Excel.Functions.SPG(EV245, "SP_COUNTRY_NAME")</f>
        <v>#INVALID COMPANY ID</v>
      </c>
      <c r="FD245" s="9" t="str">
        <f>_xll.SNL.Clients.Office.Excel.Functions.SPG(FA245, "SP_COUNTRY_NAME")</f>
        <v>#INVALID COMPANY ID</v>
      </c>
      <c r="FI245" s="9" t="str">
        <f>_xll.SNL.Clients.Office.Excel.Functions.SPG(FF245, "SP_COUNTRY_NAME")</f>
        <v>#INVALID COMPANY ID</v>
      </c>
      <c r="FN245" s="9" t="str">
        <f>_xll.SNL.Clients.Office.Excel.Functions.SPG(FK245, "SP_COUNTRY_NAME")</f>
        <v>#INVALID COMPANY ID</v>
      </c>
      <c r="FS245" s="9" t="str">
        <f>_xll.SNL.Clients.Office.Excel.Functions.SPG(FP245, "SP_COUNTRY_NAME")</f>
        <v>#INVALID COMPANY ID</v>
      </c>
      <c r="FX245" s="9" t="str">
        <f>_xll.SNL.Clients.Office.Excel.Functions.SPG(FU245, "SP_COUNTRY_NAME")</f>
        <v>#INVALID COMPANY ID</v>
      </c>
      <c r="FY245" t="s">
        <v>1465</v>
      </c>
      <c r="FZ245">
        <v>4140473</v>
      </c>
      <c r="GA245" t="s">
        <v>346</v>
      </c>
      <c r="GB245" s="11">
        <v>0.01</v>
      </c>
      <c r="GC245" s="9" t="str">
        <f>_xll.SNL.Clients.Office.Excel.Functions.SPG(FZ245, "SP_COUNTRY_NAME")</f>
        <v>United Kingdom</v>
      </c>
      <c r="GH245" s="9" t="str">
        <f>_xll.SNL.Clients.Office.Excel.Functions.SPG(GE245, "SP_COUNTRY_NAME")</f>
        <v>#INVALID COMPANY ID</v>
      </c>
      <c r="GM245" s="9" t="str">
        <f>_xll.SNL.Clients.Office.Excel.Functions.SPG(GJ245, "SP_COUNTRY_NAME")</f>
        <v>#INVALID COMPANY ID</v>
      </c>
      <c r="GR245" s="9" t="str">
        <f>_xll.SNL.Clients.Office.Excel.Functions.SPG(GO245, "SP_COUNTRY_NAME")</f>
        <v>#INVALID COMPANY ID</v>
      </c>
      <c r="GS245" t="s">
        <v>844</v>
      </c>
      <c r="GT245">
        <v>4139779</v>
      </c>
      <c r="GU245" t="s">
        <v>346</v>
      </c>
      <c r="GV245" s="11">
        <v>0</v>
      </c>
      <c r="GW245" s="9" t="str">
        <f>_xll.SNL.Clients.Office.Excel.Functions.SPG(GT245, "SP_COUNTRY_NAME")</f>
        <v>India</v>
      </c>
      <c r="GX245" t="s">
        <v>716</v>
      </c>
      <c r="GY245">
        <v>4310789</v>
      </c>
      <c r="GZ245" t="s">
        <v>346</v>
      </c>
      <c r="HA245" s="11">
        <v>0.01</v>
      </c>
      <c r="HB245" s="9" t="str">
        <f>_xll.SNL.Clients.Office.Excel.Functions.SPG(GY245, "SP_COUNTRY_NAME")</f>
        <v>France</v>
      </c>
      <c r="HG245" s="9" t="str">
        <f>_xll.SNL.Clients.Office.Excel.Functions.SPG(HD245, "SP_COUNTRY_NAME")</f>
        <v>#INVALID COMPANY ID</v>
      </c>
    </row>
    <row r="246" spans="5:215" x14ac:dyDescent="0.35">
      <c r="E246" s="9" t="str">
        <f>_xll.SNL.Clients.Office.Excel.Functions.SPG(B246, "SP_COUNTRY_NAME")</f>
        <v>#INVALID COMPANY ID</v>
      </c>
      <c r="F246" t="s">
        <v>628</v>
      </c>
      <c r="G246">
        <v>4289501</v>
      </c>
      <c r="H246" t="s">
        <v>346</v>
      </c>
      <c r="I246" s="11">
        <v>0</v>
      </c>
      <c r="J246" s="9" t="str">
        <f>_xll.SNL.Clients.Office.Excel.Functions.SPG(G246, "SP_COUNTRY_NAME")</f>
        <v>United Kingdom</v>
      </c>
      <c r="O246" s="9" t="str">
        <f>_xll.SNL.Clients.Office.Excel.Functions.SPG(L246, "SP_COUNTRY_NAME")</f>
        <v>#INVALID COMPANY ID</v>
      </c>
      <c r="T246" s="9" t="str">
        <f>_xll.SNL.Clients.Office.Excel.Functions.SPG(Q246, "SP_COUNTRY_NAME")</f>
        <v>#INVALID COMPANY ID</v>
      </c>
      <c r="U246" t="s">
        <v>408</v>
      </c>
      <c r="V246">
        <v>4138917</v>
      </c>
      <c r="W246" t="s">
        <v>346</v>
      </c>
      <c r="X246" s="11">
        <v>0</v>
      </c>
      <c r="Y246" s="9" t="str">
        <f>_xll.SNL.Clients.Office.Excel.Functions.SPG(V246, "SP_COUNTRY_NAME")</f>
        <v>Australia</v>
      </c>
      <c r="AD246" s="9" t="str">
        <f>_xll.SNL.Clients.Office.Excel.Functions.SPG(AA246, "SP_COUNTRY_NAME")</f>
        <v>#INVALID COMPANY ID</v>
      </c>
      <c r="AI246" s="9" t="str">
        <f>_xll.SNL.Clients.Office.Excel.Functions.SPG(AF246, "SP_COUNTRY_NAME")</f>
        <v>#INVALID COMPANY ID</v>
      </c>
      <c r="AN246" s="9" t="str">
        <f>_xll.SNL.Clients.Office.Excel.Functions.SPG(AK246, "SP_COUNTRY_NAME")</f>
        <v>#INVALID COMPANY ID</v>
      </c>
      <c r="AO246" t="s">
        <v>1361</v>
      </c>
      <c r="AP246">
        <v>4142020</v>
      </c>
      <c r="AQ246" t="s">
        <v>346</v>
      </c>
      <c r="AR246" s="11">
        <v>0</v>
      </c>
      <c r="AS246" s="9" t="str">
        <f>_xll.SNL.Clients.Office.Excel.Functions.SPG(AP246, "SP_COUNTRY_NAME")</f>
        <v>India</v>
      </c>
      <c r="AX246" s="9" t="str">
        <f>_xll.SNL.Clients.Office.Excel.Functions.SPG(AU246, "SP_COUNTRY_NAME")</f>
        <v>#INVALID COMPANY ID</v>
      </c>
      <c r="BC246" s="9" t="str">
        <f>_xll.SNL.Clients.Office.Excel.Functions.SPG(AZ246, "SP_COUNTRY_NAME")</f>
        <v>#INVALID COMPANY ID</v>
      </c>
      <c r="BD246" t="s">
        <v>1466</v>
      </c>
      <c r="BE246">
        <v>4139354</v>
      </c>
      <c r="BF246" t="s">
        <v>346</v>
      </c>
      <c r="BG246" s="11">
        <v>0.01</v>
      </c>
      <c r="BH246" s="9" t="str">
        <f>_xll.SNL.Clients.Office.Excel.Functions.SPG(BE246, "SP_COUNTRY_NAME")</f>
        <v>United Kingdom</v>
      </c>
      <c r="BI246" t="s">
        <v>454</v>
      </c>
      <c r="BJ246">
        <v>4145691</v>
      </c>
      <c r="BK246" t="s">
        <v>346</v>
      </c>
      <c r="BL246" s="11">
        <v>0</v>
      </c>
      <c r="BM246" s="9" t="str">
        <f>_xll.SNL.Clients.Office.Excel.Functions.SPG(BJ246, "SP_COUNTRY_NAME")</f>
        <v>USA</v>
      </c>
      <c r="BN246" t="s">
        <v>391</v>
      </c>
      <c r="BO246">
        <v>13582910</v>
      </c>
      <c r="BP246" t="s">
        <v>346</v>
      </c>
      <c r="BQ246" s="11">
        <v>0</v>
      </c>
      <c r="BR246" s="9" t="str">
        <f>_xll.SNL.Clients.Office.Excel.Functions.SPG(BO246, "SP_COUNTRY_NAME")</f>
        <v>France</v>
      </c>
      <c r="BS246" t="s">
        <v>445</v>
      </c>
      <c r="BT246">
        <v>4241120</v>
      </c>
      <c r="BU246" t="s">
        <v>346</v>
      </c>
      <c r="BV246" s="11">
        <v>0.01</v>
      </c>
      <c r="BW246" s="9" t="str">
        <f>_xll.SNL.Clients.Office.Excel.Functions.SPG(BT246, "SP_COUNTRY_NAME")</f>
        <v>Taiwan</v>
      </c>
      <c r="BX246" t="s">
        <v>408</v>
      </c>
      <c r="BY246">
        <v>4138917</v>
      </c>
      <c r="BZ246" t="s">
        <v>346</v>
      </c>
      <c r="CA246" s="11">
        <v>0</v>
      </c>
      <c r="CB246" s="9" t="str">
        <f>_xll.SNL.Clients.Office.Excel.Functions.SPG(BY246, "SP_COUNTRY_NAME")</f>
        <v>Australia</v>
      </c>
      <c r="CC246" t="s">
        <v>1717</v>
      </c>
      <c r="CD246">
        <v>4117421</v>
      </c>
      <c r="CE246" t="s">
        <v>346</v>
      </c>
      <c r="CF246" s="11">
        <v>0.01</v>
      </c>
      <c r="CG246" s="9" t="str">
        <f>_xll.SNL.Clients.Office.Excel.Functions.SPG(CD246, "SP_COUNTRY_NAME")</f>
        <v>USA</v>
      </c>
      <c r="CH246" t="s">
        <v>1361</v>
      </c>
      <c r="CI246">
        <v>4142020</v>
      </c>
      <c r="CJ246" t="s">
        <v>346</v>
      </c>
      <c r="CK246" s="11">
        <v>0</v>
      </c>
      <c r="CL246" s="9" t="str">
        <f>_xll.SNL.Clients.Office.Excel.Functions.SPG(CI246, "SP_COUNTRY_NAME")</f>
        <v>India</v>
      </c>
      <c r="CM246" t="s">
        <v>2006</v>
      </c>
      <c r="CN246">
        <v>4186534</v>
      </c>
      <c r="CO246" t="s">
        <v>346</v>
      </c>
      <c r="CP246" s="11">
        <v>0.01</v>
      </c>
      <c r="CQ246" s="9" t="str">
        <f>_xll.SNL.Clients.Office.Excel.Functions.SPG(CN246, "SP_COUNTRY_NAME")</f>
        <v>USA</v>
      </c>
      <c r="CV246" s="9" t="str">
        <f>_xll.SNL.Clients.Office.Excel.Functions.SPG(CS246, "SP_COUNTRY_NAME")</f>
        <v>#INVALID COMPANY ID</v>
      </c>
      <c r="DA246" s="9" t="str">
        <f>_xll.SNL.Clients.Office.Excel.Functions.SPG(CX246, "SP_COUNTRY_NAME")</f>
        <v>#INVALID COMPANY ID</v>
      </c>
      <c r="DB246" t="s">
        <v>1466</v>
      </c>
      <c r="DC246">
        <v>4139354</v>
      </c>
      <c r="DD246" t="s">
        <v>346</v>
      </c>
      <c r="DE246" s="11">
        <v>0.01</v>
      </c>
      <c r="DF246" s="9" t="str">
        <f>_xll.SNL.Clients.Office.Excel.Functions.SPG(DC246, "SP_COUNTRY_NAME")</f>
        <v>United Kingdom</v>
      </c>
      <c r="DK246" s="9" t="str">
        <f>_xll.SNL.Clients.Office.Excel.Functions.SPG(DH246, "SP_COUNTRY_NAME")</f>
        <v>#INVALID COMPANY ID</v>
      </c>
      <c r="DL246" t="s">
        <v>1466</v>
      </c>
      <c r="DM246">
        <v>4139354</v>
      </c>
      <c r="DN246" t="s">
        <v>346</v>
      </c>
      <c r="DO246" s="11">
        <v>0.01</v>
      </c>
      <c r="DP246" s="9" t="str">
        <f>_xll.SNL.Clients.Office.Excel.Functions.SPG(DM246, "SP_COUNTRY_NAME")</f>
        <v>United Kingdom</v>
      </c>
      <c r="DU246" s="9" t="str">
        <f>_xll.SNL.Clients.Office.Excel.Functions.SPG(DR246, "SP_COUNTRY_NAME")</f>
        <v>#INVALID COMPANY ID</v>
      </c>
      <c r="DZ246" s="9" t="str">
        <f>_xll.SNL.Clients.Office.Excel.Functions.SPG(DW246, "SP_COUNTRY_NAME")</f>
        <v>#INVALID COMPANY ID</v>
      </c>
      <c r="EA246" t="s">
        <v>1717</v>
      </c>
      <c r="EB246">
        <v>4117421</v>
      </c>
      <c r="EC246" t="s">
        <v>346</v>
      </c>
      <c r="ED246" s="11">
        <v>0.01</v>
      </c>
      <c r="EE246" s="9" t="str">
        <f>_xll.SNL.Clients.Office.Excel.Functions.SPG(EB246, "SP_COUNTRY_NAME")</f>
        <v>USA</v>
      </c>
      <c r="EF246" t="s">
        <v>1466</v>
      </c>
      <c r="EG246">
        <v>4139354</v>
      </c>
      <c r="EH246" t="s">
        <v>346</v>
      </c>
      <c r="EI246" s="11">
        <v>0.01</v>
      </c>
      <c r="EJ246" s="9" t="str">
        <f>_xll.SNL.Clients.Office.Excel.Functions.SPG(EG246, "SP_COUNTRY_NAME")</f>
        <v>United Kingdom</v>
      </c>
      <c r="EO246" s="9" t="str">
        <f>_xll.SNL.Clients.Office.Excel.Functions.SPG(EL246, "SP_COUNTRY_NAME")</f>
        <v>#INVALID COMPANY ID</v>
      </c>
      <c r="ET246" s="9" t="str">
        <f>_xll.SNL.Clients.Office.Excel.Functions.SPG(EQ246, "SP_COUNTRY_NAME")</f>
        <v>#INVALID COMPANY ID</v>
      </c>
      <c r="EY246" s="9" t="str">
        <f>_xll.SNL.Clients.Office.Excel.Functions.SPG(EV246, "SP_COUNTRY_NAME")</f>
        <v>#INVALID COMPANY ID</v>
      </c>
      <c r="FD246" s="9" t="str">
        <f>_xll.SNL.Clients.Office.Excel.Functions.SPG(FA246, "SP_COUNTRY_NAME")</f>
        <v>#INVALID COMPANY ID</v>
      </c>
      <c r="FI246" s="9" t="str">
        <f>_xll.SNL.Clients.Office.Excel.Functions.SPG(FF246, "SP_COUNTRY_NAME")</f>
        <v>#INVALID COMPANY ID</v>
      </c>
      <c r="FN246" s="9" t="str">
        <f>_xll.SNL.Clients.Office.Excel.Functions.SPG(FK246, "SP_COUNTRY_NAME")</f>
        <v>#INVALID COMPANY ID</v>
      </c>
      <c r="FS246" s="9" t="str">
        <f>_xll.SNL.Clients.Office.Excel.Functions.SPG(FP246, "SP_COUNTRY_NAME")</f>
        <v>#INVALID COMPANY ID</v>
      </c>
      <c r="FX246" s="9" t="str">
        <f>_xll.SNL.Clients.Office.Excel.Functions.SPG(FU246, "SP_COUNTRY_NAME")</f>
        <v>#INVALID COMPANY ID</v>
      </c>
      <c r="FY246" t="s">
        <v>1466</v>
      </c>
      <c r="FZ246">
        <v>4139354</v>
      </c>
      <c r="GA246" t="s">
        <v>346</v>
      </c>
      <c r="GB246" s="11">
        <v>0.01</v>
      </c>
      <c r="GC246" s="9" t="str">
        <f>_xll.SNL.Clients.Office.Excel.Functions.SPG(FZ246, "SP_COUNTRY_NAME")</f>
        <v>United Kingdom</v>
      </c>
      <c r="GH246" s="9" t="str">
        <f>_xll.SNL.Clients.Office.Excel.Functions.SPG(GE246, "SP_COUNTRY_NAME")</f>
        <v>#INVALID COMPANY ID</v>
      </c>
      <c r="GM246" s="9" t="str">
        <f>_xll.SNL.Clients.Office.Excel.Functions.SPG(GJ246, "SP_COUNTRY_NAME")</f>
        <v>#INVALID COMPANY ID</v>
      </c>
      <c r="GR246" s="9" t="str">
        <f>_xll.SNL.Clients.Office.Excel.Functions.SPG(GO246, "SP_COUNTRY_NAME")</f>
        <v>#INVALID COMPANY ID</v>
      </c>
      <c r="GS246" t="s">
        <v>391</v>
      </c>
      <c r="GT246">
        <v>13582910</v>
      </c>
      <c r="GU246" t="s">
        <v>346</v>
      </c>
      <c r="GV246" s="11">
        <v>0</v>
      </c>
      <c r="GW246" s="9" t="str">
        <f>_xll.SNL.Clients.Office.Excel.Functions.SPG(GT246, "SP_COUNTRY_NAME")</f>
        <v>France</v>
      </c>
      <c r="GX246" t="s">
        <v>1717</v>
      </c>
      <c r="GY246">
        <v>4117421</v>
      </c>
      <c r="GZ246" t="s">
        <v>346</v>
      </c>
      <c r="HA246" s="11">
        <v>0.01</v>
      </c>
      <c r="HB246" s="9" t="str">
        <f>_xll.SNL.Clients.Office.Excel.Functions.SPG(GY246, "SP_COUNTRY_NAME")</f>
        <v>USA</v>
      </c>
      <c r="HG246" s="9" t="str">
        <f>_xll.SNL.Clients.Office.Excel.Functions.SPG(HD246, "SP_COUNTRY_NAME")</f>
        <v>#INVALID COMPANY ID</v>
      </c>
    </row>
    <row r="247" spans="5:215" x14ac:dyDescent="0.35">
      <c r="E247" s="9" t="str">
        <f>_xll.SNL.Clients.Office.Excel.Functions.SPG(B247, "SP_COUNTRY_NAME")</f>
        <v>#INVALID COMPANY ID</v>
      </c>
      <c r="F247" t="s">
        <v>629</v>
      </c>
      <c r="G247">
        <v>4279122</v>
      </c>
      <c r="H247" t="s">
        <v>346</v>
      </c>
      <c r="I247" s="11">
        <v>0</v>
      </c>
      <c r="J247" s="9" t="str">
        <f>_xll.SNL.Clients.Office.Excel.Functions.SPG(G247, "SP_COUNTRY_NAME")</f>
        <v>Australia</v>
      </c>
      <c r="O247" s="9" t="str">
        <f>_xll.SNL.Clients.Office.Excel.Functions.SPG(L247, "SP_COUNTRY_NAME")</f>
        <v>#INVALID COMPANY ID</v>
      </c>
      <c r="T247" s="9" t="str">
        <f>_xll.SNL.Clients.Office.Excel.Functions.SPG(Q247, "SP_COUNTRY_NAME")</f>
        <v>#INVALID COMPANY ID</v>
      </c>
      <c r="U247" t="s">
        <v>491</v>
      </c>
      <c r="V247">
        <v>106960</v>
      </c>
      <c r="W247" t="s">
        <v>346</v>
      </c>
      <c r="X247" s="11">
        <v>0</v>
      </c>
      <c r="Y247" s="9" t="str">
        <f>_xll.SNL.Clients.Office.Excel.Functions.SPG(V247, "SP_COUNTRY_NAME")</f>
        <v>Canada</v>
      </c>
      <c r="AD247" s="9" t="str">
        <f>_xll.SNL.Clients.Office.Excel.Functions.SPG(AA247, "SP_COUNTRY_NAME")</f>
        <v>#INVALID COMPANY ID</v>
      </c>
      <c r="AI247" s="9" t="str">
        <f>_xll.SNL.Clients.Office.Excel.Functions.SPG(AF247, "SP_COUNTRY_NAME")</f>
        <v>#INVALID COMPANY ID</v>
      </c>
      <c r="AN247" s="9" t="str">
        <f>_xll.SNL.Clients.Office.Excel.Functions.SPG(AK247, "SP_COUNTRY_NAME")</f>
        <v>#INVALID COMPANY ID</v>
      </c>
      <c r="AO247" t="s">
        <v>1362</v>
      </c>
      <c r="AP247">
        <v>5879182</v>
      </c>
      <c r="AQ247" t="s">
        <v>346</v>
      </c>
      <c r="AR247" s="11">
        <v>0</v>
      </c>
      <c r="AS247" s="9" t="str">
        <f>_xll.SNL.Clients.Office.Excel.Functions.SPG(AP247, "SP_COUNTRY_NAME")</f>
        <v>South Africa</v>
      </c>
      <c r="AX247" s="9" t="str">
        <f>_xll.SNL.Clients.Office.Excel.Functions.SPG(AU247, "SP_COUNTRY_NAME")</f>
        <v>#INVALID COMPANY ID</v>
      </c>
      <c r="BC247" s="9" t="str">
        <f>_xll.SNL.Clients.Office.Excel.Functions.SPG(AZ247, "SP_COUNTRY_NAME")</f>
        <v>#INVALID COMPANY ID</v>
      </c>
      <c r="BD247" t="s">
        <v>1281</v>
      </c>
      <c r="BE247">
        <v>4631098</v>
      </c>
      <c r="BF247" t="s">
        <v>364</v>
      </c>
      <c r="BG247" s="11">
        <v>0.01</v>
      </c>
      <c r="BH247" s="9" t="str">
        <f>_xll.SNL.Clients.Office.Excel.Functions.SPG(BE247, "SP_COUNTRY_NAME")</f>
        <v>South Africa</v>
      </c>
      <c r="BI247" t="s">
        <v>1536</v>
      </c>
      <c r="BJ247">
        <v>111820246</v>
      </c>
      <c r="BK247" t="s">
        <v>346</v>
      </c>
      <c r="BL247" s="11">
        <v>0</v>
      </c>
      <c r="BM247" s="9" t="str">
        <f>_xll.SNL.Clients.Office.Excel.Functions.SPG(BJ247, "SP_COUNTRY_NAME")</f>
        <v>Germany</v>
      </c>
      <c r="BN247" t="s">
        <v>405</v>
      </c>
      <c r="BO247">
        <v>4035990</v>
      </c>
      <c r="BP247" t="s">
        <v>346</v>
      </c>
      <c r="BQ247" s="11">
        <v>0</v>
      </c>
      <c r="BR247" s="9" t="str">
        <f>_xll.SNL.Clients.Office.Excel.Functions.SPG(BO247, "SP_COUNTRY_NAME")</f>
        <v>Canada</v>
      </c>
      <c r="BS247" t="s">
        <v>483</v>
      </c>
      <c r="BT247">
        <v>109763</v>
      </c>
      <c r="BU247" t="s">
        <v>346</v>
      </c>
      <c r="BV247" s="11">
        <v>0.01</v>
      </c>
      <c r="BW247" s="9" t="str">
        <f>_xll.SNL.Clients.Office.Excel.Functions.SPG(BT247, "SP_COUNTRY_NAME")</f>
        <v>USA</v>
      </c>
      <c r="BX247" t="s">
        <v>491</v>
      </c>
      <c r="BY247">
        <v>106960</v>
      </c>
      <c r="BZ247" t="s">
        <v>346</v>
      </c>
      <c r="CA247" s="11">
        <v>0</v>
      </c>
      <c r="CB247" s="9" t="str">
        <f>_xll.SNL.Clients.Office.Excel.Functions.SPG(BY247, "SP_COUNTRY_NAME")</f>
        <v>Canada</v>
      </c>
      <c r="CC247" t="s">
        <v>1718</v>
      </c>
      <c r="CD247" t="s">
        <v>300</v>
      </c>
      <c r="CE247" t="s">
        <v>361</v>
      </c>
      <c r="CF247" s="11">
        <v>0.01</v>
      </c>
      <c r="CG247" s="9" t="str">
        <f>_xll.SNL.Clients.Office.Excel.Functions.SPG(CD247, "SP_COUNTRY_NAME")</f>
        <v>China</v>
      </c>
      <c r="CH247" t="s">
        <v>1362</v>
      </c>
      <c r="CI247">
        <v>5879182</v>
      </c>
      <c r="CJ247" t="s">
        <v>346</v>
      </c>
      <c r="CK247" s="11">
        <v>0</v>
      </c>
      <c r="CL247" s="9" t="str">
        <f>_xll.SNL.Clients.Office.Excel.Functions.SPG(CI247, "SP_COUNTRY_NAME")</f>
        <v>South Africa</v>
      </c>
      <c r="CM247" t="s">
        <v>2007</v>
      </c>
      <c r="CN247">
        <v>110770</v>
      </c>
      <c r="CO247" t="s">
        <v>346</v>
      </c>
      <c r="CP247" s="11">
        <v>0.01</v>
      </c>
      <c r="CQ247" s="9" t="str">
        <f>_xll.SNL.Clients.Office.Excel.Functions.SPG(CN247, "SP_COUNTRY_NAME")</f>
        <v>USA</v>
      </c>
      <c r="CV247" s="9" t="str">
        <f>_xll.SNL.Clients.Office.Excel.Functions.SPG(CS247, "SP_COUNTRY_NAME")</f>
        <v>#INVALID COMPANY ID</v>
      </c>
      <c r="DA247" s="9" t="str">
        <f>_xll.SNL.Clients.Office.Excel.Functions.SPG(CX247, "SP_COUNTRY_NAME")</f>
        <v>#INVALID COMPANY ID</v>
      </c>
      <c r="DB247" t="s">
        <v>1281</v>
      </c>
      <c r="DC247">
        <v>4631098</v>
      </c>
      <c r="DD247" t="s">
        <v>364</v>
      </c>
      <c r="DE247" s="11">
        <v>0.01</v>
      </c>
      <c r="DF247" s="9" t="str">
        <f>_xll.SNL.Clients.Office.Excel.Functions.SPG(DC247, "SP_COUNTRY_NAME")</f>
        <v>South Africa</v>
      </c>
      <c r="DK247" s="9" t="str">
        <f>_xll.SNL.Clients.Office.Excel.Functions.SPG(DH247, "SP_COUNTRY_NAME")</f>
        <v>#INVALID COMPANY ID</v>
      </c>
      <c r="DL247" t="s">
        <v>1281</v>
      </c>
      <c r="DM247">
        <v>4631098</v>
      </c>
      <c r="DN247" t="s">
        <v>364</v>
      </c>
      <c r="DO247" s="11">
        <v>0.01</v>
      </c>
      <c r="DP247" s="9" t="str">
        <f>_xll.SNL.Clients.Office.Excel.Functions.SPG(DM247, "SP_COUNTRY_NAME")</f>
        <v>South Africa</v>
      </c>
      <c r="DU247" s="9" t="str">
        <f>_xll.SNL.Clients.Office.Excel.Functions.SPG(DR247, "SP_COUNTRY_NAME")</f>
        <v>#INVALID COMPANY ID</v>
      </c>
      <c r="DZ247" s="9" t="str">
        <f>_xll.SNL.Clients.Office.Excel.Functions.SPG(DW247, "SP_COUNTRY_NAME")</f>
        <v>#INVALID COMPANY ID</v>
      </c>
      <c r="EA247" t="s">
        <v>1718</v>
      </c>
      <c r="EB247" t="s">
        <v>300</v>
      </c>
      <c r="EC247" t="s">
        <v>361</v>
      </c>
      <c r="ED247" s="11">
        <v>0.01</v>
      </c>
      <c r="EE247" s="9" t="str">
        <f>_xll.SNL.Clients.Office.Excel.Functions.SPG(EB247, "SP_COUNTRY_NAME")</f>
        <v>China</v>
      </c>
      <c r="EF247" t="s">
        <v>1281</v>
      </c>
      <c r="EG247">
        <v>4631098</v>
      </c>
      <c r="EH247" t="s">
        <v>364</v>
      </c>
      <c r="EI247" s="11">
        <v>0.01</v>
      </c>
      <c r="EJ247" s="9" t="str">
        <f>_xll.SNL.Clients.Office.Excel.Functions.SPG(EG247, "SP_COUNTRY_NAME")</f>
        <v>South Africa</v>
      </c>
      <c r="EO247" s="9" t="str">
        <f>_xll.SNL.Clients.Office.Excel.Functions.SPG(EL247, "SP_COUNTRY_NAME")</f>
        <v>#INVALID COMPANY ID</v>
      </c>
      <c r="ET247" s="9" t="str">
        <f>_xll.SNL.Clients.Office.Excel.Functions.SPG(EQ247, "SP_COUNTRY_NAME")</f>
        <v>#INVALID COMPANY ID</v>
      </c>
      <c r="EY247" s="9" t="str">
        <f>_xll.SNL.Clients.Office.Excel.Functions.SPG(EV247, "SP_COUNTRY_NAME")</f>
        <v>#INVALID COMPANY ID</v>
      </c>
      <c r="FD247" s="9" t="str">
        <f>_xll.SNL.Clients.Office.Excel.Functions.SPG(FA247, "SP_COUNTRY_NAME")</f>
        <v>#INVALID COMPANY ID</v>
      </c>
      <c r="FI247" s="9" t="str">
        <f>_xll.SNL.Clients.Office.Excel.Functions.SPG(FF247, "SP_COUNTRY_NAME")</f>
        <v>#INVALID COMPANY ID</v>
      </c>
      <c r="FN247" s="9" t="str">
        <f>_xll.SNL.Clients.Office.Excel.Functions.SPG(FK247, "SP_COUNTRY_NAME")</f>
        <v>#INVALID COMPANY ID</v>
      </c>
      <c r="FS247" s="9" t="str">
        <f>_xll.SNL.Clients.Office.Excel.Functions.SPG(FP247, "SP_COUNTRY_NAME")</f>
        <v>#INVALID COMPANY ID</v>
      </c>
      <c r="FX247" s="9" t="str">
        <f>_xll.SNL.Clients.Office.Excel.Functions.SPG(FU247, "SP_COUNTRY_NAME")</f>
        <v>#INVALID COMPANY ID</v>
      </c>
      <c r="FY247" t="s">
        <v>1281</v>
      </c>
      <c r="FZ247">
        <v>4631098</v>
      </c>
      <c r="GA247" t="s">
        <v>364</v>
      </c>
      <c r="GB247" s="11">
        <v>0.01</v>
      </c>
      <c r="GC247" s="9" t="str">
        <f>_xll.SNL.Clients.Office.Excel.Functions.SPG(FZ247, "SP_COUNTRY_NAME")</f>
        <v>South Africa</v>
      </c>
      <c r="GH247" s="9" t="str">
        <f>_xll.SNL.Clients.Office.Excel.Functions.SPG(GE247, "SP_COUNTRY_NAME")</f>
        <v>#INVALID COMPANY ID</v>
      </c>
      <c r="GM247" s="9" t="str">
        <f>_xll.SNL.Clients.Office.Excel.Functions.SPG(GJ247, "SP_COUNTRY_NAME")</f>
        <v>#INVALID COMPANY ID</v>
      </c>
      <c r="GR247" s="9" t="str">
        <f>_xll.SNL.Clients.Office.Excel.Functions.SPG(GO247, "SP_COUNTRY_NAME")</f>
        <v>#INVALID COMPANY ID</v>
      </c>
      <c r="GS247" t="s">
        <v>405</v>
      </c>
      <c r="GT247">
        <v>4035990</v>
      </c>
      <c r="GU247" t="s">
        <v>346</v>
      </c>
      <c r="GV247" s="11">
        <v>0</v>
      </c>
      <c r="GW247" s="9" t="str">
        <f>_xll.SNL.Clients.Office.Excel.Functions.SPG(GT247, "SP_COUNTRY_NAME")</f>
        <v>Canada</v>
      </c>
      <c r="GX247" t="s">
        <v>1718</v>
      </c>
      <c r="GY247" t="s">
        <v>300</v>
      </c>
      <c r="GZ247" t="s">
        <v>361</v>
      </c>
      <c r="HA247" s="11">
        <v>0.01</v>
      </c>
      <c r="HB247" s="9" t="str">
        <f>_xll.SNL.Clients.Office.Excel.Functions.SPG(GY247, "SP_COUNTRY_NAME")</f>
        <v>China</v>
      </c>
      <c r="HG247" s="9" t="str">
        <f>_xll.SNL.Clients.Office.Excel.Functions.SPG(HD247, "SP_COUNTRY_NAME")</f>
        <v>#INVALID COMPANY ID</v>
      </c>
    </row>
    <row r="248" spans="5:215" x14ac:dyDescent="0.35">
      <c r="E248" s="9" t="str">
        <f>_xll.SNL.Clients.Office.Excel.Functions.SPG(B248, "SP_COUNTRY_NAME")</f>
        <v>#INVALID COMPANY ID</v>
      </c>
      <c r="F248" t="s">
        <v>630</v>
      </c>
      <c r="G248">
        <v>27861143</v>
      </c>
      <c r="H248" t="s">
        <v>346</v>
      </c>
      <c r="I248" s="11">
        <v>0</v>
      </c>
      <c r="J248" s="9" t="str">
        <f>_xll.SNL.Clients.Office.Excel.Functions.SPG(G248, "SP_COUNTRY_NAME")</f>
        <v>USA</v>
      </c>
      <c r="O248" s="9" t="str">
        <f>_xll.SNL.Clients.Office.Excel.Functions.SPG(L248, "SP_COUNTRY_NAME")</f>
        <v>#INVALID COMPANY ID</v>
      </c>
      <c r="T248" s="9" t="str">
        <f>_xll.SNL.Clients.Office.Excel.Functions.SPG(Q248, "SP_COUNTRY_NAME")</f>
        <v>#INVALID COMPANY ID</v>
      </c>
      <c r="U248" t="s">
        <v>821</v>
      </c>
      <c r="V248">
        <v>4240614</v>
      </c>
      <c r="W248" t="s">
        <v>346</v>
      </c>
      <c r="X248" s="11">
        <v>0</v>
      </c>
      <c r="Y248" s="9" t="str">
        <f>_xll.SNL.Clients.Office.Excel.Functions.SPG(V248, "SP_COUNTRY_NAME")</f>
        <v>Taiwan</v>
      </c>
      <c r="AD248" s="9" t="str">
        <f>_xll.SNL.Clients.Office.Excel.Functions.SPG(AA248, "SP_COUNTRY_NAME")</f>
        <v>#INVALID COMPANY ID</v>
      </c>
      <c r="AI248" s="9" t="str">
        <f>_xll.SNL.Clients.Office.Excel.Functions.SPG(AF248, "SP_COUNTRY_NAME")</f>
        <v>#INVALID COMPANY ID</v>
      </c>
      <c r="AN248" s="9" t="str">
        <f>_xll.SNL.Clients.Office.Excel.Functions.SPG(AK248, "SP_COUNTRY_NAME")</f>
        <v>#INVALID COMPANY ID</v>
      </c>
      <c r="AO248" t="s">
        <v>404</v>
      </c>
      <c r="AP248">
        <v>4383779</v>
      </c>
      <c r="AQ248" t="s">
        <v>346</v>
      </c>
      <c r="AR248" s="11">
        <v>0</v>
      </c>
      <c r="AS248" s="9" t="str">
        <f>_xll.SNL.Clients.Office.Excel.Functions.SPG(AP248, "SP_COUNTRY_NAME")</f>
        <v>USA</v>
      </c>
      <c r="AX248" s="9" t="str">
        <f>_xll.SNL.Clients.Office.Excel.Functions.SPG(AU248, "SP_COUNTRY_NAME")</f>
        <v>#INVALID COMPANY ID</v>
      </c>
      <c r="BC248" s="9" t="str">
        <f>_xll.SNL.Clients.Office.Excel.Functions.SPG(AZ248, "SP_COUNTRY_NAME")</f>
        <v>#INVALID COMPANY ID</v>
      </c>
      <c r="BD248" t="s">
        <v>459</v>
      </c>
      <c r="BE248">
        <v>4140503</v>
      </c>
      <c r="BF248" t="s">
        <v>346</v>
      </c>
      <c r="BG248" s="11">
        <v>0.01</v>
      </c>
      <c r="BH248" s="9" t="str">
        <f>_xll.SNL.Clients.Office.Excel.Functions.SPG(BE248, "SP_COUNTRY_NAME")</f>
        <v>Ireland</v>
      </c>
      <c r="BI248" t="s">
        <v>1079</v>
      </c>
      <c r="BJ248">
        <v>100435035</v>
      </c>
      <c r="BK248" t="s">
        <v>346</v>
      </c>
      <c r="BL248" s="11">
        <v>0</v>
      </c>
      <c r="BM248" s="9" t="str">
        <f>_xll.SNL.Clients.Office.Excel.Functions.SPG(BJ248, "SP_COUNTRY_NAME")</f>
        <v>Switzerland</v>
      </c>
      <c r="BN248" t="s">
        <v>523</v>
      </c>
      <c r="BO248">
        <v>7060057</v>
      </c>
      <c r="BP248" t="s">
        <v>346</v>
      </c>
      <c r="BQ248" s="11">
        <v>0</v>
      </c>
      <c r="BR248" s="9" t="str">
        <f>_xll.SNL.Clients.Office.Excel.Functions.SPG(BO248, "SP_COUNTRY_NAME")</f>
        <v>Switzerland</v>
      </c>
      <c r="BS248" t="s">
        <v>849</v>
      </c>
      <c r="BT248">
        <v>4336717</v>
      </c>
      <c r="BU248" t="s">
        <v>346</v>
      </c>
      <c r="BV248" s="11">
        <v>0.01</v>
      </c>
      <c r="BW248" s="9" t="str">
        <f>_xll.SNL.Clients.Office.Excel.Functions.SPG(BT248, "SP_COUNTRY_NAME")</f>
        <v>China</v>
      </c>
      <c r="BX248" t="s">
        <v>821</v>
      </c>
      <c r="BY248">
        <v>4240614</v>
      </c>
      <c r="BZ248" t="s">
        <v>346</v>
      </c>
      <c r="CA248" s="11">
        <v>0</v>
      </c>
      <c r="CB248" s="9" t="str">
        <f>_xll.SNL.Clients.Office.Excel.Functions.SPG(BY248, "SP_COUNTRY_NAME")</f>
        <v>Taiwan</v>
      </c>
      <c r="CC248" t="s">
        <v>1719</v>
      </c>
      <c r="CD248">
        <v>4243310</v>
      </c>
      <c r="CE248" t="s">
        <v>346</v>
      </c>
      <c r="CF248" s="11">
        <v>0.01</v>
      </c>
      <c r="CG248" s="9" t="str">
        <f>_xll.SNL.Clients.Office.Excel.Functions.SPG(CD248, "SP_COUNTRY_NAME")</f>
        <v>Brazil</v>
      </c>
      <c r="CH248" t="s">
        <v>404</v>
      </c>
      <c r="CI248">
        <v>4383779</v>
      </c>
      <c r="CJ248" t="s">
        <v>346</v>
      </c>
      <c r="CK248" s="11">
        <v>0</v>
      </c>
      <c r="CL248" s="9" t="str">
        <f>_xll.SNL.Clients.Office.Excel.Functions.SPG(CI248, "SP_COUNTRY_NAME")</f>
        <v>USA</v>
      </c>
      <c r="CM248" t="s">
        <v>2008</v>
      </c>
      <c r="CN248">
        <v>4022690</v>
      </c>
      <c r="CO248" t="s">
        <v>364</v>
      </c>
      <c r="CP248" s="11">
        <v>0.01</v>
      </c>
      <c r="CQ248" s="9" t="str">
        <f>_xll.SNL.Clients.Office.Excel.Functions.SPG(CN248, "SP_COUNTRY_NAME")</f>
        <v>USA</v>
      </c>
      <c r="CV248" s="9" t="str">
        <f>_xll.SNL.Clients.Office.Excel.Functions.SPG(CS248, "SP_COUNTRY_NAME")</f>
        <v>#INVALID COMPANY ID</v>
      </c>
      <c r="DA248" s="9" t="str">
        <f>_xll.SNL.Clients.Office.Excel.Functions.SPG(CX248, "SP_COUNTRY_NAME")</f>
        <v>#INVALID COMPANY ID</v>
      </c>
      <c r="DB248" t="s">
        <v>459</v>
      </c>
      <c r="DC248">
        <v>4140503</v>
      </c>
      <c r="DD248" t="s">
        <v>346</v>
      </c>
      <c r="DE248" s="11">
        <v>0.01</v>
      </c>
      <c r="DF248" s="9" t="str">
        <f>_xll.SNL.Clients.Office.Excel.Functions.SPG(DC248, "SP_COUNTRY_NAME")</f>
        <v>Ireland</v>
      </c>
      <c r="DK248" s="9" t="str">
        <f>_xll.SNL.Clients.Office.Excel.Functions.SPG(DH248, "SP_COUNTRY_NAME")</f>
        <v>#INVALID COMPANY ID</v>
      </c>
      <c r="DL248" t="s">
        <v>459</v>
      </c>
      <c r="DM248">
        <v>4140503</v>
      </c>
      <c r="DN248" t="s">
        <v>346</v>
      </c>
      <c r="DO248" s="11">
        <v>0.01</v>
      </c>
      <c r="DP248" s="9" t="str">
        <f>_xll.SNL.Clients.Office.Excel.Functions.SPG(DM248, "SP_COUNTRY_NAME")</f>
        <v>Ireland</v>
      </c>
      <c r="DU248" s="9" t="str">
        <f>_xll.SNL.Clients.Office.Excel.Functions.SPG(DR248, "SP_COUNTRY_NAME")</f>
        <v>#INVALID COMPANY ID</v>
      </c>
      <c r="DZ248" s="9" t="str">
        <f>_xll.SNL.Clients.Office.Excel.Functions.SPG(DW248, "SP_COUNTRY_NAME")</f>
        <v>#INVALID COMPANY ID</v>
      </c>
      <c r="EA248" t="s">
        <v>1719</v>
      </c>
      <c r="EB248">
        <v>4243310</v>
      </c>
      <c r="EC248" t="s">
        <v>346</v>
      </c>
      <c r="ED248" s="11">
        <v>0.01</v>
      </c>
      <c r="EE248" s="9" t="str">
        <f>_xll.SNL.Clients.Office.Excel.Functions.SPG(EB248, "SP_COUNTRY_NAME")</f>
        <v>Brazil</v>
      </c>
      <c r="EF248" t="s">
        <v>459</v>
      </c>
      <c r="EG248">
        <v>4140503</v>
      </c>
      <c r="EH248" t="s">
        <v>346</v>
      </c>
      <c r="EI248" s="11">
        <v>0.01</v>
      </c>
      <c r="EJ248" s="9" t="str">
        <f>_xll.SNL.Clients.Office.Excel.Functions.SPG(EG248, "SP_COUNTRY_NAME")</f>
        <v>Ireland</v>
      </c>
      <c r="EO248" s="9" t="str">
        <f>_xll.SNL.Clients.Office.Excel.Functions.SPG(EL248, "SP_COUNTRY_NAME")</f>
        <v>#INVALID COMPANY ID</v>
      </c>
      <c r="ET248" s="9" t="str">
        <f>_xll.SNL.Clients.Office.Excel.Functions.SPG(EQ248, "SP_COUNTRY_NAME")</f>
        <v>#INVALID COMPANY ID</v>
      </c>
      <c r="EY248" s="9" t="str">
        <f>_xll.SNL.Clients.Office.Excel.Functions.SPG(EV248, "SP_COUNTRY_NAME")</f>
        <v>#INVALID COMPANY ID</v>
      </c>
      <c r="FD248" s="9" t="str">
        <f>_xll.SNL.Clients.Office.Excel.Functions.SPG(FA248, "SP_COUNTRY_NAME")</f>
        <v>#INVALID COMPANY ID</v>
      </c>
      <c r="FI248" s="9" t="str">
        <f>_xll.SNL.Clients.Office.Excel.Functions.SPG(FF248, "SP_COUNTRY_NAME")</f>
        <v>#INVALID COMPANY ID</v>
      </c>
      <c r="FN248" s="9" t="str">
        <f>_xll.SNL.Clients.Office.Excel.Functions.SPG(FK248, "SP_COUNTRY_NAME")</f>
        <v>#INVALID COMPANY ID</v>
      </c>
      <c r="FS248" s="9" t="str">
        <f>_xll.SNL.Clients.Office.Excel.Functions.SPG(FP248, "SP_COUNTRY_NAME")</f>
        <v>#INVALID COMPANY ID</v>
      </c>
      <c r="FX248" s="9" t="str">
        <f>_xll.SNL.Clients.Office.Excel.Functions.SPG(FU248, "SP_COUNTRY_NAME")</f>
        <v>#INVALID COMPANY ID</v>
      </c>
      <c r="FY248" t="s">
        <v>459</v>
      </c>
      <c r="FZ248">
        <v>4140503</v>
      </c>
      <c r="GA248" t="s">
        <v>346</v>
      </c>
      <c r="GB248" s="11">
        <v>0.01</v>
      </c>
      <c r="GC248" s="9" t="str">
        <f>_xll.SNL.Clients.Office.Excel.Functions.SPG(FZ248, "SP_COUNTRY_NAME")</f>
        <v>Ireland</v>
      </c>
      <c r="GH248" s="9" t="str">
        <f>_xll.SNL.Clients.Office.Excel.Functions.SPG(GE248, "SP_COUNTRY_NAME")</f>
        <v>#INVALID COMPANY ID</v>
      </c>
      <c r="GM248" s="9" t="str">
        <f>_xll.SNL.Clients.Office.Excel.Functions.SPG(GJ248, "SP_COUNTRY_NAME")</f>
        <v>#INVALID COMPANY ID</v>
      </c>
      <c r="GR248" s="9" t="str">
        <f>_xll.SNL.Clients.Office.Excel.Functions.SPG(GO248, "SP_COUNTRY_NAME")</f>
        <v>#INVALID COMPANY ID</v>
      </c>
      <c r="GS248" t="s">
        <v>523</v>
      </c>
      <c r="GT248">
        <v>7060057</v>
      </c>
      <c r="GU248" t="s">
        <v>346</v>
      </c>
      <c r="GV248" s="11">
        <v>0</v>
      </c>
      <c r="GW248" s="9" t="str">
        <f>_xll.SNL.Clients.Office.Excel.Functions.SPG(GT248, "SP_COUNTRY_NAME")</f>
        <v>Switzerland</v>
      </c>
      <c r="GX248" t="s">
        <v>1719</v>
      </c>
      <c r="GY248">
        <v>4243310</v>
      </c>
      <c r="GZ248" t="s">
        <v>346</v>
      </c>
      <c r="HA248" s="11">
        <v>0.01</v>
      </c>
      <c r="HB248" s="9" t="str">
        <f>_xll.SNL.Clients.Office.Excel.Functions.SPG(GY248, "SP_COUNTRY_NAME")</f>
        <v>Brazil</v>
      </c>
      <c r="HG248" s="9" t="str">
        <f>_xll.SNL.Clients.Office.Excel.Functions.SPG(HD248, "SP_COUNTRY_NAME")</f>
        <v>#INVALID COMPANY ID</v>
      </c>
    </row>
    <row r="249" spans="5:215" x14ac:dyDescent="0.35">
      <c r="E249" s="9" t="str">
        <f>_xll.SNL.Clients.Office.Excel.Functions.SPG(B249, "SP_COUNTRY_NAME")</f>
        <v>#INVALID COMPANY ID</v>
      </c>
      <c r="F249" t="s">
        <v>631</v>
      </c>
      <c r="G249">
        <v>112247511</v>
      </c>
      <c r="H249" t="s">
        <v>346</v>
      </c>
      <c r="I249" s="11">
        <v>0</v>
      </c>
      <c r="J249" s="9" t="str">
        <f>_xll.SNL.Clients.Office.Excel.Functions.SPG(G249, "SP_COUNTRY_NAME")</f>
        <v>USA</v>
      </c>
      <c r="O249" s="9" t="str">
        <f>_xll.SNL.Clients.Office.Excel.Functions.SPG(L249, "SP_COUNTRY_NAME")</f>
        <v>#INVALID COMPANY ID</v>
      </c>
      <c r="T249" s="9" t="str">
        <f>_xll.SNL.Clients.Office.Excel.Functions.SPG(Q249, "SP_COUNTRY_NAME")</f>
        <v>#INVALID COMPANY ID</v>
      </c>
      <c r="U249" t="s">
        <v>822</v>
      </c>
      <c r="V249">
        <v>15947616</v>
      </c>
      <c r="W249" t="s">
        <v>346</v>
      </c>
      <c r="X249" s="11">
        <v>0</v>
      </c>
      <c r="Y249" s="9" t="str">
        <f>_xll.SNL.Clients.Office.Excel.Functions.SPG(V249, "SP_COUNTRY_NAME")</f>
        <v>China</v>
      </c>
      <c r="AD249" s="9" t="str">
        <f>_xll.SNL.Clients.Office.Excel.Functions.SPG(AA249, "SP_COUNTRY_NAME")</f>
        <v>#INVALID COMPANY ID</v>
      </c>
      <c r="AI249" s="9" t="str">
        <f>_xll.SNL.Clients.Office.Excel.Functions.SPG(AF249, "SP_COUNTRY_NAME")</f>
        <v>#INVALID COMPANY ID</v>
      </c>
      <c r="AN249" s="9" t="str">
        <f>_xll.SNL.Clients.Office.Excel.Functions.SPG(AK249, "SP_COUNTRY_NAME")</f>
        <v>#INVALID COMPANY ID</v>
      </c>
      <c r="AO249" t="s">
        <v>1363</v>
      </c>
      <c r="AP249">
        <v>13069459</v>
      </c>
      <c r="AQ249" t="s">
        <v>346</v>
      </c>
      <c r="AR249" s="11">
        <v>0</v>
      </c>
      <c r="AS249" s="9" t="str">
        <f>_xll.SNL.Clients.Office.Excel.Functions.SPG(AP249, "SP_COUNTRY_NAME")</f>
        <v>South Africa</v>
      </c>
      <c r="AX249" s="9" t="str">
        <f>_xll.SNL.Clients.Office.Excel.Functions.SPG(AU249, "SP_COUNTRY_NAME")</f>
        <v>#INVALID COMPANY ID</v>
      </c>
      <c r="BC249" s="9" t="str">
        <f>_xll.SNL.Clients.Office.Excel.Functions.SPG(AZ249, "SP_COUNTRY_NAME")</f>
        <v>#INVALID COMPANY ID</v>
      </c>
      <c r="BD249" t="s">
        <v>419</v>
      </c>
      <c r="BE249">
        <v>4338202</v>
      </c>
      <c r="BF249" t="s">
        <v>346</v>
      </c>
      <c r="BG249" s="11">
        <v>0.01</v>
      </c>
      <c r="BH249" s="9" t="str">
        <f>_xll.SNL.Clients.Office.Excel.Functions.SPG(BE249, "SP_COUNTRY_NAME")</f>
        <v>USA</v>
      </c>
      <c r="BI249" t="s">
        <v>597</v>
      </c>
      <c r="BJ249">
        <v>4654230</v>
      </c>
      <c r="BK249" t="s">
        <v>346</v>
      </c>
      <c r="BL249" s="11">
        <v>0</v>
      </c>
      <c r="BM249" s="9" t="str">
        <f>_xll.SNL.Clients.Office.Excel.Functions.SPG(BJ249, "SP_COUNTRY_NAME")</f>
        <v>Australia</v>
      </c>
      <c r="BN249" t="s">
        <v>656</v>
      </c>
      <c r="BO249">
        <v>5826475</v>
      </c>
      <c r="BP249" t="s">
        <v>346</v>
      </c>
      <c r="BQ249" s="11">
        <v>0</v>
      </c>
      <c r="BR249" s="9" t="str">
        <f>_xll.SNL.Clients.Office.Excel.Functions.SPG(BO249, "SP_COUNTRY_NAME")</f>
        <v>China</v>
      </c>
      <c r="BS249" t="s">
        <v>392</v>
      </c>
      <c r="BT249">
        <v>4398826</v>
      </c>
      <c r="BU249" t="s">
        <v>346</v>
      </c>
      <c r="BV249" s="11">
        <v>0.01</v>
      </c>
      <c r="BW249" s="9" t="str">
        <f>_xll.SNL.Clients.Office.Excel.Functions.SPG(BT249, "SP_COUNTRY_NAME")</f>
        <v>USA</v>
      </c>
      <c r="BX249" t="s">
        <v>822</v>
      </c>
      <c r="BY249">
        <v>15947616</v>
      </c>
      <c r="BZ249" t="s">
        <v>346</v>
      </c>
      <c r="CA249" s="11">
        <v>0</v>
      </c>
      <c r="CB249" s="9" t="str">
        <f>_xll.SNL.Clients.Office.Excel.Functions.SPG(BY249, "SP_COUNTRY_NAME")</f>
        <v>China</v>
      </c>
      <c r="CC249" t="s">
        <v>1720</v>
      </c>
      <c r="CD249">
        <v>4339274</v>
      </c>
      <c r="CE249" t="s">
        <v>346</v>
      </c>
      <c r="CF249" s="11">
        <v>0.01</v>
      </c>
      <c r="CG249" s="9" t="str">
        <f>_xll.SNL.Clients.Office.Excel.Functions.SPG(CD249, "SP_COUNTRY_NAME")</f>
        <v>USA</v>
      </c>
      <c r="CH249" t="s">
        <v>1363</v>
      </c>
      <c r="CI249">
        <v>13069459</v>
      </c>
      <c r="CJ249" t="s">
        <v>346</v>
      </c>
      <c r="CK249" s="11">
        <v>0</v>
      </c>
      <c r="CL249" s="9" t="str">
        <f>_xll.SNL.Clients.Office.Excel.Functions.SPG(CI249, "SP_COUNTRY_NAME")</f>
        <v>South Africa</v>
      </c>
      <c r="CM249" t="s">
        <v>882</v>
      </c>
      <c r="CN249">
        <v>110793</v>
      </c>
      <c r="CO249" t="s">
        <v>346</v>
      </c>
      <c r="CP249" s="11">
        <v>0.01</v>
      </c>
      <c r="CQ249" s="9" t="str">
        <f>_xll.SNL.Clients.Office.Excel.Functions.SPG(CN249, "SP_COUNTRY_NAME")</f>
        <v>USA</v>
      </c>
      <c r="CV249" s="9" t="str">
        <f>_xll.SNL.Clients.Office.Excel.Functions.SPG(CS249, "SP_COUNTRY_NAME")</f>
        <v>#INVALID COMPANY ID</v>
      </c>
      <c r="DA249" s="9" t="str">
        <f>_xll.SNL.Clients.Office.Excel.Functions.SPG(CX249, "SP_COUNTRY_NAME")</f>
        <v>#INVALID COMPANY ID</v>
      </c>
      <c r="DB249" t="s">
        <v>419</v>
      </c>
      <c r="DC249">
        <v>4338202</v>
      </c>
      <c r="DD249" t="s">
        <v>346</v>
      </c>
      <c r="DE249" s="11">
        <v>0.01</v>
      </c>
      <c r="DF249" s="9" t="str">
        <f>_xll.SNL.Clients.Office.Excel.Functions.SPG(DC249, "SP_COUNTRY_NAME")</f>
        <v>USA</v>
      </c>
      <c r="DK249" s="9" t="str">
        <f>_xll.SNL.Clients.Office.Excel.Functions.SPG(DH249, "SP_COUNTRY_NAME")</f>
        <v>#INVALID COMPANY ID</v>
      </c>
      <c r="DL249" t="s">
        <v>419</v>
      </c>
      <c r="DM249">
        <v>4338202</v>
      </c>
      <c r="DN249" t="s">
        <v>346</v>
      </c>
      <c r="DO249" s="11">
        <v>0.01</v>
      </c>
      <c r="DP249" s="9" t="str">
        <f>_xll.SNL.Clients.Office.Excel.Functions.SPG(DM249, "SP_COUNTRY_NAME")</f>
        <v>USA</v>
      </c>
      <c r="DU249" s="9" t="str">
        <f>_xll.SNL.Clients.Office.Excel.Functions.SPG(DR249, "SP_COUNTRY_NAME")</f>
        <v>#INVALID COMPANY ID</v>
      </c>
      <c r="DZ249" s="9" t="str">
        <f>_xll.SNL.Clients.Office.Excel.Functions.SPG(DW249, "SP_COUNTRY_NAME")</f>
        <v>#INVALID COMPANY ID</v>
      </c>
      <c r="EA249" t="s">
        <v>1720</v>
      </c>
      <c r="EB249">
        <v>4339274</v>
      </c>
      <c r="EC249" t="s">
        <v>346</v>
      </c>
      <c r="ED249" s="11">
        <v>0.01</v>
      </c>
      <c r="EE249" s="9" t="str">
        <f>_xll.SNL.Clients.Office.Excel.Functions.SPG(EB249, "SP_COUNTRY_NAME")</f>
        <v>USA</v>
      </c>
      <c r="EF249" t="s">
        <v>419</v>
      </c>
      <c r="EG249">
        <v>4338202</v>
      </c>
      <c r="EH249" t="s">
        <v>346</v>
      </c>
      <c r="EI249" s="11">
        <v>0.01</v>
      </c>
      <c r="EJ249" s="9" t="str">
        <f>_xll.SNL.Clients.Office.Excel.Functions.SPG(EG249, "SP_COUNTRY_NAME")</f>
        <v>USA</v>
      </c>
      <c r="EO249" s="9" t="str">
        <f>_xll.SNL.Clients.Office.Excel.Functions.SPG(EL249, "SP_COUNTRY_NAME")</f>
        <v>#INVALID COMPANY ID</v>
      </c>
      <c r="ET249" s="9" t="str">
        <f>_xll.SNL.Clients.Office.Excel.Functions.SPG(EQ249, "SP_COUNTRY_NAME")</f>
        <v>#INVALID COMPANY ID</v>
      </c>
      <c r="EY249" s="9" t="str">
        <f>_xll.SNL.Clients.Office.Excel.Functions.SPG(EV249, "SP_COUNTRY_NAME")</f>
        <v>#INVALID COMPANY ID</v>
      </c>
      <c r="FD249" s="9" t="str">
        <f>_xll.SNL.Clients.Office.Excel.Functions.SPG(FA249, "SP_COUNTRY_NAME")</f>
        <v>#INVALID COMPANY ID</v>
      </c>
      <c r="FI249" s="9" t="str">
        <f>_xll.SNL.Clients.Office.Excel.Functions.SPG(FF249, "SP_COUNTRY_NAME")</f>
        <v>#INVALID COMPANY ID</v>
      </c>
      <c r="FN249" s="9" t="str">
        <f>_xll.SNL.Clients.Office.Excel.Functions.SPG(FK249, "SP_COUNTRY_NAME")</f>
        <v>#INVALID COMPANY ID</v>
      </c>
      <c r="FS249" s="9" t="str">
        <f>_xll.SNL.Clients.Office.Excel.Functions.SPG(FP249, "SP_COUNTRY_NAME")</f>
        <v>#INVALID COMPANY ID</v>
      </c>
      <c r="FX249" s="9" t="str">
        <f>_xll.SNL.Clients.Office.Excel.Functions.SPG(FU249, "SP_COUNTRY_NAME")</f>
        <v>#INVALID COMPANY ID</v>
      </c>
      <c r="FY249" t="s">
        <v>419</v>
      </c>
      <c r="FZ249">
        <v>4338202</v>
      </c>
      <c r="GA249" t="s">
        <v>346</v>
      </c>
      <c r="GB249" s="11">
        <v>0.01</v>
      </c>
      <c r="GC249" s="9" t="str">
        <f>_xll.SNL.Clients.Office.Excel.Functions.SPG(FZ249, "SP_COUNTRY_NAME")</f>
        <v>USA</v>
      </c>
      <c r="GH249" s="9" t="str">
        <f>_xll.SNL.Clients.Office.Excel.Functions.SPG(GE249, "SP_COUNTRY_NAME")</f>
        <v>#INVALID COMPANY ID</v>
      </c>
      <c r="GM249" s="9" t="str">
        <f>_xll.SNL.Clients.Office.Excel.Functions.SPG(GJ249, "SP_COUNTRY_NAME")</f>
        <v>#INVALID COMPANY ID</v>
      </c>
      <c r="GR249" s="9" t="str">
        <f>_xll.SNL.Clients.Office.Excel.Functions.SPG(GO249, "SP_COUNTRY_NAME")</f>
        <v>#INVALID COMPANY ID</v>
      </c>
      <c r="GS249" t="s">
        <v>656</v>
      </c>
      <c r="GT249">
        <v>5826475</v>
      </c>
      <c r="GU249" t="s">
        <v>346</v>
      </c>
      <c r="GV249" s="11">
        <v>0</v>
      </c>
      <c r="GW249" s="9" t="str">
        <f>_xll.SNL.Clients.Office.Excel.Functions.SPG(GT249, "SP_COUNTRY_NAME")</f>
        <v>China</v>
      </c>
      <c r="GX249" t="s">
        <v>1720</v>
      </c>
      <c r="GY249">
        <v>4339274</v>
      </c>
      <c r="GZ249" t="s">
        <v>346</v>
      </c>
      <c r="HA249" s="11">
        <v>0.01</v>
      </c>
      <c r="HB249" s="9" t="str">
        <f>_xll.SNL.Clients.Office.Excel.Functions.SPG(GY249, "SP_COUNTRY_NAME")</f>
        <v>USA</v>
      </c>
      <c r="HG249" s="9" t="str">
        <f>_xll.SNL.Clients.Office.Excel.Functions.SPG(HD249, "SP_COUNTRY_NAME")</f>
        <v>#INVALID COMPANY ID</v>
      </c>
    </row>
    <row r="250" spans="5:215" x14ac:dyDescent="0.35">
      <c r="E250" s="9" t="str">
        <f>_xll.SNL.Clients.Office.Excel.Functions.SPG(B250, "SP_COUNTRY_NAME")</f>
        <v>#INVALID COMPANY ID</v>
      </c>
      <c r="F250" t="s">
        <v>632</v>
      </c>
      <c r="G250">
        <v>112689727</v>
      </c>
      <c r="H250" t="s">
        <v>346</v>
      </c>
      <c r="I250" s="11">
        <v>0</v>
      </c>
      <c r="J250" s="9" t="str">
        <f>_xll.SNL.Clients.Office.Excel.Functions.SPG(G250, "SP_COUNTRY_NAME")</f>
        <v>USA</v>
      </c>
      <c r="O250" s="9" t="str">
        <f>_xll.SNL.Clients.Office.Excel.Functions.SPG(L250, "SP_COUNTRY_NAME")</f>
        <v>#INVALID COMPANY ID</v>
      </c>
      <c r="T250" s="9" t="str">
        <f>_xll.SNL.Clients.Office.Excel.Functions.SPG(Q250, "SP_COUNTRY_NAME")</f>
        <v>#INVALID COMPANY ID</v>
      </c>
      <c r="U250" t="s">
        <v>823</v>
      </c>
      <c r="V250">
        <v>4212913</v>
      </c>
      <c r="W250" t="s">
        <v>346</v>
      </c>
      <c r="X250" s="11">
        <v>0</v>
      </c>
      <c r="Y250" s="9" t="str">
        <f>_xll.SNL.Clients.Office.Excel.Functions.SPG(V250, "SP_COUNTRY_NAME")</f>
        <v>Taiwan</v>
      </c>
      <c r="AD250" s="9" t="str">
        <f>_xll.SNL.Clients.Office.Excel.Functions.SPG(AA250, "SP_COUNTRY_NAME")</f>
        <v>#INVALID COMPANY ID</v>
      </c>
      <c r="AI250" s="9" t="str">
        <f>_xll.SNL.Clients.Office.Excel.Functions.SPG(AF250, "SP_COUNTRY_NAME")</f>
        <v>#INVALID COMPANY ID</v>
      </c>
      <c r="AN250" s="9" t="str">
        <f>_xll.SNL.Clients.Office.Excel.Functions.SPG(AK250, "SP_COUNTRY_NAME")</f>
        <v>#INVALID COMPANY ID</v>
      </c>
      <c r="AO250" t="s">
        <v>1364</v>
      </c>
      <c r="AP250">
        <v>10890287</v>
      </c>
      <c r="AQ250" t="s">
        <v>346</v>
      </c>
      <c r="AR250" s="11">
        <v>0</v>
      </c>
      <c r="AS250" s="9" t="str">
        <f>_xll.SNL.Clients.Office.Excel.Functions.SPG(AP250, "SP_COUNTRY_NAME")</f>
        <v>South Africa</v>
      </c>
      <c r="AX250" s="9" t="str">
        <f>_xll.SNL.Clients.Office.Excel.Functions.SPG(AU250, "SP_COUNTRY_NAME")</f>
        <v>#INVALID COMPANY ID</v>
      </c>
      <c r="BC250" s="9" t="str">
        <f>_xll.SNL.Clients.Office.Excel.Functions.SPG(AZ250, "SP_COUNTRY_NAME")</f>
        <v>#INVALID COMPANY ID</v>
      </c>
      <c r="BD250" t="s">
        <v>890</v>
      </c>
      <c r="BE250">
        <v>4260136</v>
      </c>
      <c r="BF250" t="s">
        <v>346</v>
      </c>
      <c r="BG250" s="11">
        <v>0.01</v>
      </c>
      <c r="BH250" s="9" t="str">
        <f>_xll.SNL.Clients.Office.Excel.Functions.SPG(BE250, "SP_COUNTRY_NAME")</f>
        <v>France</v>
      </c>
      <c r="BI250" t="s">
        <v>1598</v>
      </c>
      <c r="BJ250">
        <v>5872037</v>
      </c>
      <c r="BK250" t="s">
        <v>346</v>
      </c>
      <c r="BL250" s="11">
        <v>0</v>
      </c>
      <c r="BM250" s="9" t="str">
        <f>_xll.SNL.Clients.Office.Excel.Functions.SPG(BJ250, "SP_COUNTRY_NAME")</f>
        <v>Italy</v>
      </c>
      <c r="BN250" t="s">
        <v>440</v>
      </c>
      <c r="BO250">
        <v>4140078</v>
      </c>
      <c r="BP250" t="s">
        <v>346</v>
      </c>
      <c r="BQ250" s="11">
        <v>0</v>
      </c>
      <c r="BR250" s="9" t="str">
        <f>_xll.SNL.Clients.Office.Excel.Functions.SPG(BO250, "SP_COUNTRY_NAME")</f>
        <v>Japan</v>
      </c>
      <c r="BS250" t="s">
        <v>667</v>
      </c>
      <c r="BT250">
        <v>4208762</v>
      </c>
      <c r="BU250" t="s">
        <v>346</v>
      </c>
      <c r="BV250" s="11">
        <v>0.01</v>
      </c>
      <c r="BW250" s="9" t="str">
        <f>_xll.SNL.Clients.Office.Excel.Functions.SPG(BT250, "SP_COUNTRY_NAME")</f>
        <v>Hong Kong</v>
      </c>
      <c r="BX250" t="s">
        <v>823</v>
      </c>
      <c r="BY250">
        <v>4212913</v>
      </c>
      <c r="BZ250" t="s">
        <v>346</v>
      </c>
      <c r="CA250" s="11">
        <v>0</v>
      </c>
      <c r="CB250" s="9" t="str">
        <f>_xll.SNL.Clients.Office.Excel.Functions.SPG(BY250, "SP_COUNTRY_NAME")</f>
        <v>Taiwan</v>
      </c>
      <c r="CC250" t="s">
        <v>1721</v>
      </c>
      <c r="CD250">
        <v>4560824</v>
      </c>
      <c r="CE250" t="s">
        <v>346</v>
      </c>
      <c r="CF250" s="11">
        <v>0.01</v>
      </c>
      <c r="CG250" s="9" t="str">
        <f>_xll.SNL.Clients.Office.Excel.Functions.SPG(CD250, "SP_COUNTRY_NAME")</f>
        <v>USA</v>
      </c>
      <c r="CH250" t="s">
        <v>1364</v>
      </c>
      <c r="CI250">
        <v>10890287</v>
      </c>
      <c r="CJ250" t="s">
        <v>346</v>
      </c>
      <c r="CK250" s="11">
        <v>0</v>
      </c>
      <c r="CL250" s="9" t="str">
        <f>_xll.SNL.Clients.Office.Excel.Functions.SPG(CI250, "SP_COUNTRY_NAME")</f>
        <v>South Africa</v>
      </c>
      <c r="CM250" t="s">
        <v>1349</v>
      </c>
      <c r="CN250">
        <v>4428399</v>
      </c>
      <c r="CO250" t="s">
        <v>346</v>
      </c>
      <c r="CP250" s="11">
        <v>0.01</v>
      </c>
      <c r="CQ250" s="9" t="str">
        <f>_xll.SNL.Clients.Office.Excel.Functions.SPG(CN250, "SP_COUNTRY_NAME")</f>
        <v>South Africa</v>
      </c>
      <c r="CV250" s="9" t="str">
        <f>_xll.SNL.Clients.Office.Excel.Functions.SPG(CS250, "SP_COUNTRY_NAME")</f>
        <v>#INVALID COMPANY ID</v>
      </c>
      <c r="DA250" s="9" t="str">
        <f>_xll.SNL.Clients.Office.Excel.Functions.SPG(CX250, "SP_COUNTRY_NAME")</f>
        <v>#INVALID COMPANY ID</v>
      </c>
      <c r="DB250" t="s">
        <v>890</v>
      </c>
      <c r="DC250">
        <v>4260136</v>
      </c>
      <c r="DD250" t="s">
        <v>346</v>
      </c>
      <c r="DE250" s="11">
        <v>0.01</v>
      </c>
      <c r="DF250" s="9" t="str">
        <f>_xll.SNL.Clients.Office.Excel.Functions.SPG(DC250, "SP_COUNTRY_NAME")</f>
        <v>France</v>
      </c>
      <c r="DK250" s="9" t="str">
        <f>_xll.SNL.Clients.Office.Excel.Functions.SPG(DH250, "SP_COUNTRY_NAME")</f>
        <v>#INVALID COMPANY ID</v>
      </c>
      <c r="DL250" t="s">
        <v>890</v>
      </c>
      <c r="DM250">
        <v>4260136</v>
      </c>
      <c r="DN250" t="s">
        <v>346</v>
      </c>
      <c r="DO250" s="11">
        <v>0.01</v>
      </c>
      <c r="DP250" s="9" t="str">
        <f>_xll.SNL.Clients.Office.Excel.Functions.SPG(DM250, "SP_COUNTRY_NAME")</f>
        <v>France</v>
      </c>
      <c r="DU250" s="9" t="str">
        <f>_xll.SNL.Clients.Office.Excel.Functions.SPG(DR250, "SP_COUNTRY_NAME")</f>
        <v>#INVALID COMPANY ID</v>
      </c>
      <c r="DZ250" s="9" t="str">
        <f>_xll.SNL.Clients.Office.Excel.Functions.SPG(DW250, "SP_COUNTRY_NAME")</f>
        <v>#INVALID COMPANY ID</v>
      </c>
      <c r="EA250" t="s">
        <v>1721</v>
      </c>
      <c r="EB250">
        <v>4560824</v>
      </c>
      <c r="EC250" t="s">
        <v>346</v>
      </c>
      <c r="ED250" s="11">
        <v>0.01</v>
      </c>
      <c r="EE250" s="9" t="str">
        <f>_xll.SNL.Clients.Office.Excel.Functions.SPG(EB250, "SP_COUNTRY_NAME")</f>
        <v>USA</v>
      </c>
      <c r="EF250" t="s">
        <v>890</v>
      </c>
      <c r="EG250">
        <v>4260136</v>
      </c>
      <c r="EH250" t="s">
        <v>346</v>
      </c>
      <c r="EI250" s="11">
        <v>0.01</v>
      </c>
      <c r="EJ250" s="9" t="str">
        <f>_xll.SNL.Clients.Office.Excel.Functions.SPG(EG250, "SP_COUNTRY_NAME")</f>
        <v>France</v>
      </c>
      <c r="EO250" s="9" t="str">
        <f>_xll.SNL.Clients.Office.Excel.Functions.SPG(EL250, "SP_COUNTRY_NAME")</f>
        <v>#INVALID COMPANY ID</v>
      </c>
      <c r="ET250" s="9" t="str">
        <f>_xll.SNL.Clients.Office.Excel.Functions.SPG(EQ250, "SP_COUNTRY_NAME")</f>
        <v>#INVALID COMPANY ID</v>
      </c>
      <c r="EY250" s="9" t="str">
        <f>_xll.SNL.Clients.Office.Excel.Functions.SPG(EV250, "SP_COUNTRY_NAME")</f>
        <v>#INVALID COMPANY ID</v>
      </c>
      <c r="FD250" s="9" t="str">
        <f>_xll.SNL.Clients.Office.Excel.Functions.SPG(FA250, "SP_COUNTRY_NAME")</f>
        <v>#INVALID COMPANY ID</v>
      </c>
      <c r="FI250" s="9" t="str">
        <f>_xll.SNL.Clients.Office.Excel.Functions.SPG(FF250, "SP_COUNTRY_NAME")</f>
        <v>#INVALID COMPANY ID</v>
      </c>
      <c r="FN250" s="9" t="str">
        <f>_xll.SNL.Clients.Office.Excel.Functions.SPG(FK250, "SP_COUNTRY_NAME")</f>
        <v>#INVALID COMPANY ID</v>
      </c>
      <c r="FS250" s="9" t="str">
        <f>_xll.SNL.Clients.Office.Excel.Functions.SPG(FP250, "SP_COUNTRY_NAME")</f>
        <v>#INVALID COMPANY ID</v>
      </c>
      <c r="FX250" s="9" t="str">
        <f>_xll.SNL.Clients.Office.Excel.Functions.SPG(FU250, "SP_COUNTRY_NAME")</f>
        <v>#INVALID COMPANY ID</v>
      </c>
      <c r="FY250" t="s">
        <v>890</v>
      </c>
      <c r="FZ250">
        <v>4260136</v>
      </c>
      <c r="GA250" t="s">
        <v>346</v>
      </c>
      <c r="GB250" s="11">
        <v>0.01</v>
      </c>
      <c r="GC250" s="9" t="str">
        <f>_xll.SNL.Clients.Office.Excel.Functions.SPG(FZ250, "SP_COUNTRY_NAME")</f>
        <v>France</v>
      </c>
      <c r="GH250" s="9" t="str">
        <f>_xll.SNL.Clients.Office.Excel.Functions.SPG(GE250, "SP_COUNTRY_NAME")</f>
        <v>#INVALID COMPANY ID</v>
      </c>
      <c r="GM250" s="9" t="str">
        <f>_xll.SNL.Clients.Office.Excel.Functions.SPG(GJ250, "SP_COUNTRY_NAME")</f>
        <v>#INVALID COMPANY ID</v>
      </c>
      <c r="GR250" s="9" t="str">
        <f>_xll.SNL.Clients.Office.Excel.Functions.SPG(GO250, "SP_COUNTRY_NAME")</f>
        <v>#INVALID COMPANY ID</v>
      </c>
      <c r="GS250" t="s">
        <v>440</v>
      </c>
      <c r="GT250">
        <v>4140078</v>
      </c>
      <c r="GU250" t="s">
        <v>346</v>
      </c>
      <c r="GV250" s="11">
        <v>0</v>
      </c>
      <c r="GW250" s="9" t="str">
        <f>_xll.SNL.Clients.Office.Excel.Functions.SPG(GT250, "SP_COUNTRY_NAME")</f>
        <v>Japan</v>
      </c>
      <c r="GX250" t="s">
        <v>1721</v>
      </c>
      <c r="GY250">
        <v>4560824</v>
      </c>
      <c r="GZ250" t="s">
        <v>346</v>
      </c>
      <c r="HA250" s="11">
        <v>0.01</v>
      </c>
      <c r="HB250" s="9" t="str">
        <f>_xll.SNL.Clients.Office.Excel.Functions.SPG(GY250, "SP_COUNTRY_NAME")</f>
        <v>USA</v>
      </c>
      <c r="HG250" s="9" t="str">
        <f>_xll.SNL.Clients.Office.Excel.Functions.SPG(HD250, "SP_COUNTRY_NAME")</f>
        <v>#INVALID COMPANY ID</v>
      </c>
    </row>
    <row r="251" spans="5:215" x14ac:dyDescent="0.35">
      <c r="E251" s="9" t="str">
        <f>_xll.SNL.Clients.Office.Excel.Functions.SPG(B251, "SP_COUNTRY_NAME")</f>
        <v>#INVALID COMPANY ID</v>
      </c>
      <c r="F251" t="s">
        <v>633</v>
      </c>
      <c r="G251">
        <v>114508</v>
      </c>
      <c r="H251" t="s">
        <v>366</v>
      </c>
      <c r="I251" s="11">
        <v>-0.9</v>
      </c>
      <c r="J251" s="9" t="str">
        <f>_xll.SNL.Clients.Office.Excel.Functions.SPG(G251, "SP_COUNTRY_NAME")</f>
        <v>United Kingdom</v>
      </c>
      <c r="O251" s="9" t="str">
        <f>_xll.SNL.Clients.Office.Excel.Functions.SPG(L251, "SP_COUNTRY_NAME")</f>
        <v>#INVALID COMPANY ID</v>
      </c>
      <c r="T251" s="9" t="str">
        <f>_xll.SNL.Clients.Office.Excel.Functions.SPG(Q251, "SP_COUNTRY_NAME")</f>
        <v>#INVALID COMPANY ID</v>
      </c>
      <c r="U251" t="s">
        <v>824</v>
      </c>
      <c r="V251">
        <v>4213196</v>
      </c>
      <c r="W251" t="s">
        <v>346</v>
      </c>
      <c r="X251" s="11">
        <v>0</v>
      </c>
      <c r="Y251" s="9" t="str">
        <f>_xll.SNL.Clients.Office.Excel.Functions.SPG(V251, "SP_COUNTRY_NAME")</f>
        <v>Japan</v>
      </c>
      <c r="AD251" s="9" t="str">
        <f>_xll.SNL.Clients.Office.Excel.Functions.SPG(AA251, "SP_COUNTRY_NAME")</f>
        <v>#INVALID COMPANY ID</v>
      </c>
      <c r="AI251" s="9" t="str">
        <f>_xll.SNL.Clients.Office.Excel.Functions.SPG(AF251, "SP_COUNTRY_NAME")</f>
        <v>#INVALID COMPANY ID</v>
      </c>
      <c r="AN251" s="9" t="str">
        <f>_xll.SNL.Clients.Office.Excel.Functions.SPG(AK251, "SP_COUNTRY_NAME")</f>
        <v>#INVALID COMPANY ID</v>
      </c>
      <c r="AO251" t="s">
        <v>860</v>
      </c>
      <c r="AP251">
        <v>110879</v>
      </c>
      <c r="AQ251" t="s">
        <v>346</v>
      </c>
      <c r="AR251" s="11">
        <v>0</v>
      </c>
      <c r="AS251" s="9" t="str">
        <f>_xll.SNL.Clients.Office.Excel.Functions.SPG(AP251, "SP_COUNTRY_NAME")</f>
        <v>USA</v>
      </c>
      <c r="AX251" s="9" t="str">
        <f>_xll.SNL.Clients.Office.Excel.Functions.SPG(AU251, "SP_COUNTRY_NAME")</f>
        <v>#INVALID COMPANY ID</v>
      </c>
      <c r="BC251" s="9" t="str">
        <f>_xll.SNL.Clients.Office.Excel.Functions.SPG(AZ251, "SP_COUNTRY_NAME")</f>
        <v>#INVALID COMPANY ID</v>
      </c>
      <c r="BD251" t="s">
        <v>1467</v>
      </c>
      <c r="BE251">
        <v>13959</v>
      </c>
      <c r="BF251" t="s">
        <v>634</v>
      </c>
      <c r="BG251" s="11">
        <v>0.01</v>
      </c>
      <c r="BH251" s="9" t="str">
        <f>_xll.SNL.Clients.Office.Excel.Functions.SPG(BE251, "SP_COUNTRY_NAME")</f>
        <v>USA</v>
      </c>
      <c r="BI251" t="s">
        <v>607</v>
      </c>
      <c r="BJ251">
        <v>17501722</v>
      </c>
      <c r="BK251" t="s">
        <v>366</v>
      </c>
      <c r="BL251" s="11">
        <v>0</v>
      </c>
      <c r="BM251" s="9" t="str">
        <f>_xll.SNL.Clients.Office.Excel.Functions.SPG(BJ251, "SP_COUNTRY_NAME")</f>
        <v>United Kingdom</v>
      </c>
      <c r="BN251" t="s">
        <v>785</v>
      </c>
      <c r="BO251">
        <v>4139950</v>
      </c>
      <c r="BP251" t="s">
        <v>346</v>
      </c>
      <c r="BQ251" s="11">
        <v>0</v>
      </c>
      <c r="BR251" s="9" t="str">
        <f>_xll.SNL.Clients.Office.Excel.Functions.SPG(BO251, "SP_COUNTRY_NAME")</f>
        <v>China</v>
      </c>
      <c r="BS251" t="s">
        <v>821</v>
      </c>
      <c r="BT251">
        <v>4240614</v>
      </c>
      <c r="BU251" t="s">
        <v>346</v>
      </c>
      <c r="BV251" s="11">
        <v>0.01</v>
      </c>
      <c r="BW251" s="9" t="str">
        <f>_xll.SNL.Clients.Office.Excel.Functions.SPG(BT251, "SP_COUNTRY_NAME")</f>
        <v>Taiwan</v>
      </c>
      <c r="BX251" t="s">
        <v>824</v>
      </c>
      <c r="BY251">
        <v>4213196</v>
      </c>
      <c r="BZ251" t="s">
        <v>346</v>
      </c>
      <c r="CA251" s="11">
        <v>0</v>
      </c>
      <c r="CB251" s="9" t="str">
        <f>_xll.SNL.Clients.Office.Excel.Functions.SPG(BY251, "SP_COUNTRY_NAME")</f>
        <v>Japan</v>
      </c>
      <c r="CC251" t="s">
        <v>1722</v>
      </c>
      <c r="CD251">
        <v>110939</v>
      </c>
      <c r="CE251" t="s">
        <v>346</v>
      </c>
      <c r="CF251" s="11">
        <v>0.01</v>
      </c>
      <c r="CG251" s="9" t="str">
        <f>_xll.SNL.Clients.Office.Excel.Functions.SPG(CD251, "SP_COUNTRY_NAME")</f>
        <v>USA</v>
      </c>
      <c r="CH251" t="s">
        <v>860</v>
      </c>
      <c r="CI251">
        <v>110879</v>
      </c>
      <c r="CJ251" t="s">
        <v>346</v>
      </c>
      <c r="CK251" s="11">
        <v>0</v>
      </c>
      <c r="CL251" s="9" t="str">
        <f>_xll.SNL.Clients.Office.Excel.Functions.SPG(CI251, "SP_COUNTRY_NAME")</f>
        <v>USA</v>
      </c>
      <c r="CM251" t="s">
        <v>2009</v>
      </c>
      <c r="CN251">
        <v>4237297</v>
      </c>
      <c r="CO251" t="s">
        <v>364</v>
      </c>
      <c r="CP251" s="11">
        <v>0.01</v>
      </c>
      <c r="CQ251" s="9" t="str">
        <f>_xll.SNL.Clients.Office.Excel.Functions.SPG(CN251, "SP_COUNTRY_NAME")</f>
        <v>USA</v>
      </c>
      <c r="CV251" s="9" t="str">
        <f>_xll.SNL.Clients.Office.Excel.Functions.SPG(CS251, "SP_COUNTRY_NAME")</f>
        <v>#INVALID COMPANY ID</v>
      </c>
      <c r="DA251" s="9" t="str">
        <f>_xll.SNL.Clients.Office.Excel.Functions.SPG(CX251, "SP_COUNTRY_NAME")</f>
        <v>#INVALID COMPANY ID</v>
      </c>
      <c r="DB251" t="s">
        <v>1467</v>
      </c>
      <c r="DC251">
        <v>13959</v>
      </c>
      <c r="DD251" t="s">
        <v>634</v>
      </c>
      <c r="DE251" s="11">
        <v>0.01</v>
      </c>
      <c r="DF251" s="9" t="str">
        <f>_xll.SNL.Clients.Office.Excel.Functions.SPG(DC251, "SP_COUNTRY_NAME")</f>
        <v>USA</v>
      </c>
      <c r="DK251" s="9" t="str">
        <f>_xll.SNL.Clients.Office.Excel.Functions.SPG(DH251, "SP_COUNTRY_NAME")</f>
        <v>#INVALID COMPANY ID</v>
      </c>
      <c r="DL251" t="s">
        <v>1467</v>
      </c>
      <c r="DM251">
        <v>13959</v>
      </c>
      <c r="DN251" t="s">
        <v>634</v>
      </c>
      <c r="DO251" s="11">
        <v>0.01</v>
      </c>
      <c r="DP251" s="9" t="str">
        <f>_xll.SNL.Clients.Office.Excel.Functions.SPG(DM251, "SP_COUNTRY_NAME")</f>
        <v>USA</v>
      </c>
      <c r="DU251" s="9" t="str">
        <f>_xll.SNL.Clients.Office.Excel.Functions.SPG(DR251, "SP_COUNTRY_NAME")</f>
        <v>#INVALID COMPANY ID</v>
      </c>
      <c r="DZ251" s="9" t="str">
        <f>_xll.SNL.Clients.Office.Excel.Functions.SPG(DW251, "SP_COUNTRY_NAME")</f>
        <v>#INVALID COMPANY ID</v>
      </c>
      <c r="EA251" t="s">
        <v>1722</v>
      </c>
      <c r="EB251">
        <v>110939</v>
      </c>
      <c r="EC251" t="s">
        <v>346</v>
      </c>
      <c r="ED251" s="11">
        <v>0.01</v>
      </c>
      <c r="EE251" s="9" t="str">
        <f>_xll.SNL.Clients.Office.Excel.Functions.SPG(EB251, "SP_COUNTRY_NAME")</f>
        <v>USA</v>
      </c>
      <c r="EF251" t="s">
        <v>1467</v>
      </c>
      <c r="EG251">
        <v>13959</v>
      </c>
      <c r="EH251" t="s">
        <v>634</v>
      </c>
      <c r="EI251" s="11">
        <v>0.01</v>
      </c>
      <c r="EJ251" s="9" t="str">
        <f>_xll.SNL.Clients.Office.Excel.Functions.SPG(EG251, "SP_COUNTRY_NAME")</f>
        <v>USA</v>
      </c>
      <c r="EO251" s="9" t="str">
        <f>_xll.SNL.Clients.Office.Excel.Functions.SPG(EL251, "SP_COUNTRY_NAME")</f>
        <v>#INVALID COMPANY ID</v>
      </c>
      <c r="ET251" s="9" t="str">
        <f>_xll.SNL.Clients.Office.Excel.Functions.SPG(EQ251, "SP_COUNTRY_NAME")</f>
        <v>#INVALID COMPANY ID</v>
      </c>
      <c r="EY251" s="9" t="str">
        <f>_xll.SNL.Clients.Office.Excel.Functions.SPG(EV251, "SP_COUNTRY_NAME")</f>
        <v>#INVALID COMPANY ID</v>
      </c>
      <c r="FD251" s="9" t="str">
        <f>_xll.SNL.Clients.Office.Excel.Functions.SPG(FA251, "SP_COUNTRY_NAME")</f>
        <v>#INVALID COMPANY ID</v>
      </c>
      <c r="FI251" s="9" t="str">
        <f>_xll.SNL.Clients.Office.Excel.Functions.SPG(FF251, "SP_COUNTRY_NAME")</f>
        <v>#INVALID COMPANY ID</v>
      </c>
      <c r="FN251" s="9" t="str">
        <f>_xll.SNL.Clients.Office.Excel.Functions.SPG(FK251, "SP_COUNTRY_NAME")</f>
        <v>#INVALID COMPANY ID</v>
      </c>
      <c r="FS251" s="9" t="str">
        <f>_xll.SNL.Clients.Office.Excel.Functions.SPG(FP251, "SP_COUNTRY_NAME")</f>
        <v>#INVALID COMPANY ID</v>
      </c>
      <c r="FX251" s="9" t="str">
        <f>_xll.SNL.Clients.Office.Excel.Functions.SPG(FU251, "SP_COUNTRY_NAME")</f>
        <v>#INVALID COMPANY ID</v>
      </c>
      <c r="FY251" t="s">
        <v>1467</v>
      </c>
      <c r="FZ251">
        <v>13959</v>
      </c>
      <c r="GA251" t="s">
        <v>634</v>
      </c>
      <c r="GB251" s="11">
        <v>0.01</v>
      </c>
      <c r="GC251" s="9" t="str">
        <f>_xll.SNL.Clients.Office.Excel.Functions.SPG(FZ251, "SP_COUNTRY_NAME")</f>
        <v>USA</v>
      </c>
      <c r="GH251" s="9" t="str">
        <f>_xll.SNL.Clients.Office.Excel.Functions.SPG(GE251, "SP_COUNTRY_NAME")</f>
        <v>#INVALID COMPANY ID</v>
      </c>
      <c r="GM251" s="9" t="str">
        <f>_xll.SNL.Clients.Office.Excel.Functions.SPG(GJ251, "SP_COUNTRY_NAME")</f>
        <v>#INVALID COMPANY ID</v>
      </c>
      <c r="GR251" s="9" t="str">
        <f>_xll.SNL.Clients.Office.Excel.Functions.SPG(GO251, "SP_COUNTRY_NAME")</f>
        <v>#INVALID COMPANY ID</v>
      </c>
      <c r="GS251" t="s">
        <v>785</v>
      </c>
      <c r="GT251">
        <v>4139950</v>
      </c>
      <c r="GU251" t="s">
        <v>346</v>
      </c>
      <c r="GV251" s="11">
        <v>0</v>
      </c>
      <c r="GW251" s="9" t="str">
        <f>_xll.SNL.Clients.Office.Excel.Functions.SPG(GT251, "SP_COUNTRY_NAME")</f>
        <v>China</v>
      </c>
      <c r="GX251" t="s">
        <v>1722</v>
      </c>
      <c r="GY251">
        <v>110939</v>
      </c>
      <c r="GZ251" t="s">
        <v>346</v>
      </c>
      <c r="HA251" s="11">
        <v>0.01</v>
      </c>
      <c r="HB251" s="9" t="str">
        <f>_xll.SNL.Clients.Office.Excel.Functions.SPG(GY251, "SP_COUNTRY_NAME")</f>
        <v>USA</v>
      </c>
      <c r="HG251" s="9" t="str">
        <f>_xll.SNL.Clients.Office.Excel.Functions.SPG(HD251, "SP_COUNTRY_NAME")</f>
        <v>#INVALID COMPANY ID</v>
      </c>
    </row>
    <row r="252" spans="5:215" x14ac:dyDescent="0.35">
      <c r="E252" s="9" t="str">
        <f>_xll.SNL.Clients.Office.Excel.Functions.SPG(B252, "SP_COUNTRY_NAME")</f>
        <v>#INVALID COMPANY ID</v>
      </c>
      <c r="J252" s="9" t="str">
        <f>_xll.SNL.Clients.Office.Excel.Functions.SPG(G252, "SP_COUNTRY_NAME")</f>
        <v>#INVALID COMPANY ID</v>
      </c>
      <c r="O252" s="9" t="str">
        <f>_xll.SNL.Clients.Office.Excel.Functions.SPG(L252, "SP_COUNTRY_NAME")</f>
        <v>#INVALID COMPANY ID</v>
      </c>
      <c r="T252" s="9" t="str">
        <f>_xll.SNL.Clients.Office.Excel.Functions.SPG(Q252, "SP_COUNTRY_NAME")</f>
        <v>#INVALID COMPANY ID</v>
      </c>
      <c r="U252" t="s">
        <v>825</v>
      </c>
      <c r="V252">
        <v>5868824</v>
      </c>
      <c r="W252" t="s">
        <v>346</v>
      </c>
      <c r="X252" s="11">
        <v>0</v>
      </c>
      <c r="Y252" s="9" t="str">
        <f>_xll.SNL.Clients.Office.Excel.Functions.SPG(V252, "SP_COUNTRY_NAME")</f>
        <v>China</v>
      </c>
      <c r="AD252" s="9" t="str">
        <f>_xll.SNL.Clients.Office.Excel.Functions.SPG(AA252, "SP_COUNTRY_NAME")</f>
        <v>#INVALID COMPANY ID</v>
      </c>
      <c r="AI252" s="9" t="str">
        <f>_xll.SNL.Clients.Office.Excel.Functions.SPG(AF252, "SP_COUNTRY_NAME")</f>
        <v>#INVALID COMPANY ID</v>
      </c>
      <c r="AN252" s="9" t="str">
        <f>_xll.SNL.Clients.Office.Excel.Functions.SPG(AK252, "SP_COUNTRY_NAME")</f>
        <v>#INVALID COMPANY ID</v>
      </c>
      <c r="AO252" t="s">
        <v>458</v>
      </c>
      <c r="AP252">
        <v>109806</v>
      </c>
      <c r="AQ252" t="s">
        <v>346</v>
      </c>
      <c r="AR252" s="11">
        <v>0</v>
      </c>
      <c r="AS252" s="9" t="str">
        <f>_xll.SNL.Clients.Office.Excel.Functions.SPG(AP252, "SP_COUNTRY_NAME")</f>
        <v>USA</v>
      </c>
      <c r="AX252" s="9" t="str">
        <f>_xll.SNL.Clients.Office.Excel.Functions.SPG(AU252, "SP_COUNTRY_NAME")</f>
        <v>#INVALID COMPANY ID</v>
      </c>
      <c r="BC252" s="9" t="str">
        <f>_xll.SNL.Clients.Office.Excel.Functions.SPG(AZ252, "SP_COUNTRY_NAME")</f>
        <v>#INVALID COMPANY ID</v>
      </c>
      <c r="BD252" t="s">
        <v>398</v>
      </c>
      <c r="BE252">
        <v>4107954</v>
      </c>
      <c r="BF252" t="s">
        <v>300</v>
      </c>
      <c r="BG252" s="11">
        <v>0.01</v>
      </c>
      <c r="BH252" s="9" t="str">
        <f>_xll.SNL.Clients.Office.Excel.Functions.SPG(BE252, "SP_COUNTRY_NAME")</f>
        <v>Japan</v>
      </c>
      <c r="BI252" t="s">
        <v>582</v>
      </c>
      <c r="BJ252">
        <v>4119728</v>
      </c>
      <c r="BK252" t="s">
        <v>634</v>
      </c>
      <c r="BL252" s="11">
        <v>0</v>
      </c>
      <c r="BM252" s="9" t="str">
        <f>_xll.SNL.Clients.Office.Excel.Functions.SPG(BJ252, "SP_COUNTRY_NAME")</f>
        <v>USA</v>
      </c>
      <c r="BN252" t="s">
        <v>464</v>
      </c>
      <c r="BO252">
        <v>4629378</v>
      </c>
      <c r="BP252" t="s">
        <v>346</v>
      </c>
      <c r="BQ252" s="11">
        <v>0</v>
      </c>
      <c r="BR252" s="9" t="str">
        <f>_xll.SNL.Clients.Office.Excel.Functions.SPG(BO252, "SP_COUNTRY_NAME")</f>
        <v>Japan</v>
      </c>
      <c r="BS252" t="s">
        <v>452</v>
      </c>
      <c r="BT252">
        <v>4784107</v>
      </c>
      <c r="BU252" t="s">
        <v>346</v>
      </c>
      <c r="BV252" s="11">
        <v>0.01</v>
      </c>
      <c r="BW252" s="9" t="str">
        <f>_xll.SNL.Clients.Office.Excel.Functions.SPG(BT252, "SP_COUNTRY_NAME")</f>
        <v>France</v>
      </c>
      <c r="BX252" t="s">
        <v>825</v>
      </c>
      <c r="BY252">
        <v>5868824</v>
      </c>
      <c r="BZ252" t="s">
        <v>346</v>
      </c>
      <c r="CA252" s="11">
        <v>0</v>
      </c>
      <c r="CB252" s="9" t="str">
        <f>_xll.SNL.Clients.Office.Excel.Functions.SPG(BY252, "SP_COUNTRY_NAME")</f>
        <v>China</v>
      </c>
      <c r="CC252" t="s">
        <v>1723</v>
      </c>
      <c r="CD252">
        <v>23892764</v>
      </c>
      <c r="CE252" t="s">
        <v>346</v>
      </c>
      <c r="CF252" s="11">
        <v>0.01</v>
      </c>
      <c r="CG252" s="9" t="str">
        <f>_xll.SNL.Clients.Office.Excel.Functions.SPG(CD252, "SP_COUNTRY_NAME")</f>
        <v>Brazil</v>
      </c>
      <c r="CH252" t="s">
        <v>458</v>
      </c>
      <c r="CI252">
        <v>109806</v>
      </c>
      <c r="CJ252" t="s">
        <v>346</v>
      </c>
      <c r="CK252" s="11">
        <v>0</v>
      </c>
      <c r="CL252" s="9" t="str">
        <f>_xll.SNL.Clients.Office.Excel.Functions.SPG(CI252, "SP_COUNTRY_NAME")</f>
        <v>USA</v>
      </c>
      <c r="CM252" t="s">
        <v>472</v>
      </c>
      <c r="CN252">
        <v>4048215</v>
      </c>
      <c r="CO252" t="s">
        <v>346</v>
      </c>
      <c r="CP252" s="11">
        <v>0.01</v>
      </c>
      <c r="CQ252" s="9" t="str">
        <f>_xll.SNL.Clients.Office.Excel.Functions.SPG(CN252, "SP_COUNTRY_NAME")</f>
        <v>USA</v>
      </c>
      <c r="CV252" s="9" t="str">
        <f>_xll.SNL.Clients.Office.Excel.Functions.SPG(CS252, "SP_COUNTRY_NAME")</f>
        <v>#INVALID COMPANY ID</v>
      </c>
      <c r="DA252" s="9" t="str">
        <f>_xll.SNL.Clients.Office.Excel.Functions.SPG(CX252, "SP_COUNTRY_NAME")</f>
        <v>#INVALID COMPANY ID</v>
      </c>
      <c r="DB252" t="s">
        <v>398</v>
      </c>
      <c r="DC252">
        <v>4107954</v>
      </c>
      <c r="DD252" t="s">
        <v>300</v>
      </c>
      <c r="DE252" s="11">
        <v>0.01</v>
      </c>
      <c r="DF252" s="9" t="str">
        <f>_xll.SNL.Clients.Office.Excel.Functions.SPG(DC252, "SP_COUNTRY_NAME")</f>
        <v>Japan</v>
      </c>
      <c r="DK252" s="9" t="str">
        <f>_xll.SNL.Clients.Office.Excel.Functions.SPG(DH252, "SP_COUNTRY_NAME")</f>
        <v>#INVALID COMPANY ID</v>
      </c>
      <c r="DL252" t="s">
        <v>398</v>
      </c>
      <c r="DM252">
        <v>4107954</v>
      </c>
      <c r="DN252" t="s">
        <v>300</v>
      </c>
      <c r="DO252" s="11">
        <v>0.01</v>
      </c>
      <c r="DP252" s="9" t="str">
        <f>_xll.SNL.Clients.Office.Excel.Functions.SPG(DM252, "SP_COUNTRY_NAME")</f>
        <v>Japan</v>
      </c>
      <c r="DU252" s="9" t="str">
        <f>_xll.SNL.Clients.Office.Excel.Functions.SPG(DR252, "SP_COUNTRY_NAME")</f>
        <v>#INVALID COMPANY ID</v>
      </c>
      <c r="DZ252" s="9" t="str">
        <f>_xll.SNL.Clients.Office.Excel.Functions.SPG(DW252, "SP_COUNTRY_NAME")</f>
        <v>#INVALID COMPANY ID</v>
      </c>
      <c r="EA252" t="s">
        <v>1723</v>
      </c>
      <c r="EB252">
        <v>23892764</v>
      </c>
      <c r="EC252" t="s">
        <v>346</v>
      </c>
      <c r="ED252" s="11">
        <v>0.01</v>
      </c>
      <c r="EE252" s="9" t="str">
        <f>_xll.SNL.Clients.Office.Excel.Functions.SPG(EB252, "SP_COUNTRY_NAME")</f>
        <v>Brazil</v>
      </c>
      <c r="EF252" t="s">
        <v>398</v>
      </c>
      <c r="EG252">
        <v>4107954</v>
      </c>
      <c r="EH252" t="s">
        <v>300</v>
      </c>
      <c r="EI252" s="11">
        <v>0.01</v>
      </c>
      <c r="EJ252" s="9" t="str">
        <f>_xll.SNL.Clients.Office.Excel.Functions.SPG(EG252, "SP_COUNTRY_NAME")</f>
        <v>Japan</v>
      </c>
      <c r="EO252" s="9" t="str">
        <f>_xll.SNL.Clients.Office.Excel.Functions.SPG(EL252, "SP_COUNTRY_NAME")</f>
        <v>#INVALID COMPANY ID</v>
      </c>
      <c r="ET252" s="9" t="str">
        <f>_xll.SNL.Clients.Office.Excel.Functions.SPG(EQ252, "SP_COUNTRY_NAME")</f>
        <v>#INVALID COMPANY ID</v>
      </c>
      <c r="EY252" s="9" t="str">
        <f>_xll.SNL.Clients.Office.Excel.Functions.SPG(EV252, "SP_COUNTRY_NAME")</f>
        <v>#INVALID COMPANY ID</v>
      </c>
      <c r="FD252" s="9" t="str">
        <f>_xll.SNL.Clients.Office.Excel.Functions.SPG(FA252, "SP_COUNTRY_NAME")</f>
        <v>#INVALID COMPANY ID</v>
      </c>
      <c r="FI252" s="9" t="str">
        <f>_xll.SNL.Clients.Office.Excel.Functions.SPG(FF252, "SP_COUNTRY_NAME")</f>
        <v>#INVALID COMPANY ID</v>
      </c>
      <c r="FN252" s="9" t="str">
        <f>_xll.SNL.Clients.Office.Excel.Functions.SPG(FK252, "SP_COUNTRY_NAME")</f>
        <v>#INVALID COMPANY ID</v>
      </c>
      <c r="FS252" s="9" t="str">
        <f>_xll.SNL.Clients.Office.Excel.Functions.SPG(FP252, "SP_COUNTRY_NAME")</f>
        <v>#INVALID COMPANY ID</v>
      </c>
      <c r="FX252" s="9" t="str">
        <f>_xll.SNL.Clients.Office.Excel.Functions.SPG(FU252, "SP_COUNTRY_NAME")</f>
        <v>#INVALID COMPANY ID</v>
      </c>
      <c r="FY252" t="s">
        <v>398</v>
      </c>
      <c r="FZ252">
        <v>4107954</v>
      </c>
      <c r="GA252" t="s">
        <v>300</v>
      </c>
      <c r="GB252" s="11">
        <v>0.01</v>
      </c>
      <c r="GC252" s="9" t="str">
        <f>_xll.SNL.Clients.Office.Excel.Functions.SPG(FZ252, "SP_COUNTRY_NAME")</f>
        <v>Japan</v>
      </c>
      <c r="GH252" s="9" t="str">
        <f>_xll.SNL.Clients.Office.Excel.Functions.SPG(GE252, "SP_COUNTRY_NAME")</f>
        <v>#INVALID COMPANY ID</v>
      </c>
      <c r="GM252" s="9" t="str">
        <f>_xll.SNL.Clients.Office.Excel.Functions.SPG(GJ252, "SP_COUNTRY_NAME")</f>
        <v>#INVALID COMPANY ID</v>
      </c>
      <c r="GR252" s="9" t="str">
        <f>_xll.SNL.Clients.Office.Excel.Functions.SPG(GO252, "SP_COUNTRY_NAME")</f>
        <v>#INVALID COMPANY ID</v>
      </c>
      <c r="GS252" t="s">
        <v>464</v>
      </c>
      <c r="GT252">
        <v>4629378</v>
      </c>
      <c r="GU252" t="s">
        <v>346</v>
      </c>
      <c r="GV252" s="11">
        <v>0</v>
      </c>
      <c r="GW252" s="9" t="str">
        <f>_xll.SNL.Clients.Office.Excel.Functions.SPG(GT252, "SP_COUNTRY_NAME")</f>
        <v>Japan</v>
      </c>
      <c r="GX252" t="s">
        <v>1723</v>
      </c>
      <c r="GY252">
        <v>23892764</v>
      </c>
      <c r="GZ252" t="s">
        <v>346</v>
      </c>
      <c r="HA252" s="11">
        <v>0.01</v>
      </c>
      <c r="HB252" s="9" t="str">
        <f>_xll.SNL.Clients.Office.Excel.Functions.SPG(GY252, "SP_COUNTRY_NAME")</f>
        <v>Brazil</v>
      </c>
      <c r="HG252" s="9" t="str">
        <f>_xll.SNL.Clients.Office.Excel.Functions.SPG(HD252, "SP_COUNTRY_NAME")</f>
        <v>#INVALID COMPANY ID</v>
      </c>
    </row>
    <row r="253" spans="5:215" x14ac:dyDescent="0.35">
      <c r="E253" s="9" t="str">
        <f>_xll.SNL.Clients.Office.Excel.Functions.SPG(B253, "SP_COUNTRY_NAME")</f>
        <v>#INVALID COMPANY ID</v>
      </c>
      <c r="J253" s="9" t="str">
        <f>_xll.SNL.Clients.Office.Excel.Functions.SPG(G253, "SP_COUNTRY_NAME")</f>
        <v>#INVALID COMPANY ID</v>
      </c>
      <c r="O253" s="9" t="str">
        <f>_xll.SNL.Clients.Office.Excel.Functions.SPG(L253, "SP_COUNTRY_NAME")</f>
        <v>#INVALID COMPANY ID</v>
      </c>
      <c r="T253" s="9" t="str">
        <f>_xll.SNL.Clients.Office.Excel.Functions.SPG(Q253, "SP_COUNTRY_NAME")</f>
        <v>#INVALID COMPANY ID</v>
      </c>
      <c r="U253" t="s">
        <v>826</v>
      </c>
      <c r="V253">
        <v>7789048</v>
      </c>
      <c r="W253" t="s">
        <v>346</v>
      </c>
      <c r="X253" s="11">
        <v>0</v>
      </c>
      <c r="Y253" s="9" t="str">
        <f>_xll.SNL.Clients.Office.Excel.Functions.SPG(V253, "SP_COUNTRY_NAME")</f>
        <v>China</v>
      </c>
      <c r="AD253" s="9" t="str">
        <f>_xll.SNL.Clients.Office.Excel.Functions.SPG(AA253, "SP_COUNTRY_NAME")</f>
        <v>#INVALID COMPANY ID</v>
      </c>
      <c r="AI253" s="9" t="str">
        <f>_xll.SNL.Clients.Office.Excel.Functions.SPG(AF253, "SP_COUNTRY_NAME")</f>
        <v>#INVALID COMPANY ID</v>
      </c>
      <c r="AN253" s="9" t="str">
        <f>_xll.SNL.Clients.Office.Excel.Functions.SPG(AK253, "SP_COUNTRY_NAME")</f>
        <v>#INVALID COMPANY ID</v>
      </c>
      <c r="AO253" t="s">
        <v>1365</v>
      </c>
      <c r="AP253">
        <v>4581414</v>
      </c>
      <c r="AQ253" t="s">
        <v>346</v>
      </c>
      <c r="AR253" s="11">
        <v>0</v>
      </c>
      <c r="AS253" s="9" t="str">
        <f>_xll.SNL.Clients.Office.Excel.Functions.SPG(AP253, "SP_COUNTRY_NAME")</f>
        <v>South Africa</v>
      </c>
      <c r="AX253" s="9" t="str">
        <f>_xll.SNL.Clients.Office.Excel.Functions.SPG(AU253, "SP_COUNTRY_NAME")</f>
        <v>#INVALID COMPANY ID</v>
      </c>
      <c r="BC253" s="9" t="str">
        <f>_xll.SNL.Clients.Office.Excel.Functions.SPG(AZ253, "SP_COUNTRY_NAME")</f>
        <v>#INVALID COMPANY ID</v>
      </c>
      <c r="BD253" t="s">
        <v>855</v>
      </c>
      <c r="BE253">
        <v>8532130</v>
      </c>
      <c r="BF253" t="s">
        <v>346</v>
      </c>
      <c r="BG253" s="11">
        <v>0.01</v>
      </c>
      <c r="BH253" s="9" t="str">
        <f>_xll.SNL.Clients.Office.Excel.Functions.SPG(BE253, "SP_COUNTRY_NAME")</f>
        <v>South Africa</v>
      </c>
      <c r="BI253" t="s">
        <v>605</v>
      </c>
      <c r="BJ253">
        <v>111489</v>
      </c>
      <c r="BK253" t="s">
        <v>346</v>
      </c>
      <c r="BL253" s="11">
        <v>0</v>
      </c>
      <c r="BM253" s="9" t="str">
        <f>_xll.SNL.Clients.Office.Excel.Functions.SPG(BJ253, "SP_COUNTRY_NAME")</f>
        <v>USA</v>
      </c>
      <c r="BN253" t="s">
        <v>886</v>
      </c>
      <c r="BO253">
        <v>29518821</v>
      </c>
      <c r="BP253" t="s">
        <v>346</v>
      </c>
      <c r="BQ253" s="11">
        <v>0</v>
      </c>
      <c r="BR253" s="9" t="str">
        <f>_xll.SNL.Clients.Office.Excel.Functions.SPG(BO253, "SP_COUNTRY_NAME")</f>
        <v>China</v>
      </c>
      <c r="BS253" t="s">
        <v>786</v>
      </c>
      <c r="BT253">
        <v>4954984</v>
      </c>
      <c r="BU253" t="s">
        <v>346</v>
      </c>
      <c r="BV253" s="11">
        <v>0.01</v>
      </c>
      <c r="BW253" s="9" t="str">
        <f>_xll.SNL.Clients.Office.Excel.Functions.SPG(BT253, "SP_COUNTRY_NAME")</f>
        <v>China</v>
      </c>
      <c r="BX253" t="s">
        <v>826</v>
      </c>
      <c r="BY253">
        <v>7789048</v>
      </c>
      <c r="BZ253" t="s">
        <v>346</v>
      </c>
      <c r="CA253" s="11">
        <v>0</v>
      </c>
      <c r="CB253" s="9" t="str">
        <f>_xll.SNL.Clients.Office.Excel.Functions.SPG(BY253, "SP_COUNTRY_NAME")</f>
        <v>China</v>
      </c>
      <c r="CC253" t="s">
        <v>1724</v>
      </c>
      <c r="CD253">
        <v>4975164</v>
      </c>
      <c r="CE253" t="s">
        <v>346</v>
      </c>
      <c r="CF253" s="11">
        <v>0.01</v>
      </c>
      <c r="CG253" s="9" t="str">
        <f>_xll.SNL.Clients.Office.Excel.Functions.SPG(CD253, "SP_COUNTRY_NAME")</f>
        <v>USA</v>
      </c>
      <c r="CH253" t="s">
        <v>1365</v>
      </c>
      <c r="CI253">
        <v>4581414</v>
      </c>
      <c r="CJ253" t="s">
        <v>346</v>
      </c>
      <c r="CK253" s="11">
        <v>0</v>
      </c>
      <c r="CL253" s="9" t="str">
        <f>_xll.SNL.Clients.Office.Excel.Functions.SPG(CI253, "SP_COUNTRY_NAME")</f>
        <v>South Africa</v>
      </c>
      <c r="CM253" t="s">
        <v>937</v>
      </c>
      <c r="CN253">
        <v>4041896</v>
      </c>
      <c r="CO253" t="s">
        <v>366</v>
      </c>
      <c r="CP253" s="11">
        <v>0.01</v>
      </c>
      <c r="CQ253" s="9" t="str">
        <f>_xll.SNL.Clients.Office.Excel.Functions.SPG(CN253, "SP_COUNTRY_NAME")</f>
        <v>USA</v>
      </c>
      <c r="CV253" s="9" t="str">
        <f>_xll.SNL.Clients.Office.Excel.Functions.SPG(CS253, "SP_COUNTRY_NAME")</f>
        <v>#INVALID COMPANY ID</v>
      </c>
      <c r="DA253" s="9" t="str">
        <f>_xll.SNL.Clients.Office.Excel.Functions.SPG(CX253, "SP_COUNTRY_NAME")</f>
        <v>#INVALID COMPANY ID</v>
      </c>
      <c r="DB253" t="s">
        <v>855</v>
      </c>
      <c r="DC253">
        <v>8532130</v>
      </c>
      <c r="DD253" t="s">
        <v>346</v>
      </c>
      <c r="DE253" s="11">
        <v>0.01</v>
      </c>
      <c r="DF253" s="9" t="str">
        <f>_xll.SNL.Clients.Office.Excel.Functions.SPG(DC253, "SP_COUNTRY_NAME")</f>
        <v>South Africa</v>
      </c>
      <c r="DK253" s="9" t="str">
        <f>_xll.SNL.Clients.Office.Excel.Functions.SPG(DH253, "SP_COUNTRY_NAME")</f>
        <v>#INVALID COMPANY ID</v>
      </c>
      <c r="DL253" t="s">
        <v>855</v>
      </c>
      <c r="DM253">
        <v>8532130</v>
      </c>
      <c r="DN253" t="s">
        <v>346</v>
      </c>
      <c r="DO253" s="11">
        <v>0.01</v>
      </c>
      <c r="DP253" s="9" t="str">
        <f>_xll.SNL.Clients.Office.Excel.Functions.SPG(DM253, "SP_COUNTRY_NAME")</f>
        <v>South Africa</v>
      </c>
      <c r="DU253" s="9" t="str">
        <f>_xll.SNL.Clients.Office.Excel.Functions.SPG(DR253, "SP_COUNTRY_NAME")</f>
        <v>#INVALID COMPANY ID</v>
      </c>
      <c r="DZ253" s="9" t="str">
        <f>_xll.SNL.Clients.Office.Excel.Functions.SPG(DW253, "SP_COUNTRY_NAME")</f>
        <v>#INVALID COMPANY ID</v>
      </c>
      <c r="EA253" t="s">
        <v>1724</v>
      </c>
      <c r="EB253">
        <v>4975164</v>
      </c>
      <c r="EC253" t="s">
        <v>346</v>
      </c>
      <c r="ED253" s="11">
        <v>0.01</v>
      </c>
      <c r="EE253" s="9" t="str">
        <f>_xll.SNL.Clients.Office.Excel.Functions.SPG(EB253, "SP_COUNTRY_NAME")</f>
        <v>USA</v>
      </c>
      <c r="EF253" t="s">
        <v>855</v>
      </c>
      <c r="EG253">
        <v>8532130</v>
      </c>
      <c r="EH253" t="s">
        <v>346</v>
      </c>
      <c r="EI253" s="11">
        <v>0.01</v>
      </c>
      <c r="EJ253" s="9" t="str">
        <f>_xll.SNL.Clients.Office.Excel.Functions.SPG(EG253, "SP_COUNTRY_NAME")</f>
        <v>South Africa</v>
      </c>
      <c r="EO253" s="9" t="str">
        <f>_xll.SNL.Clients.Office.Excel.Functions.SPG(EL253, "SP_COUNTRY_NAME")</f>
        <v>#INVALID COMPANY ID</v>
      </c>
      <c r="ET253" s="9" t="str">
        <f>_xll.SNL.Clients.Office.Excel.Functions.SPG(EQ253, "SP_COUNTRY_NAME")</f>
        <v>#INVALID COMPANY ID</v>
      </c>
      <c r="EY253" s="9" t="str">
        <f>_xll.SNL.Clients.Office.Excel.Functions.SPG(EV253, "SP_COUNTRY_NAME")</f>
        <v>#INVALID COMPANY ID</v>
      </c>
      <c r="FD253" s="9" t="str">
        <f>_xll.SNL.Clients.Office.Excel.Functions.SPG(FA253, "SP_COUNTRY_NAME")</f>
        <v>#INVALID COMPANY ID</v>
      </c>
      <c r="FI253" s="9" t="str">
        <f>_xll.SNL.Clients.Office.Excel.Functions.SPG(FF253, "SP_COUNTRY_NAME")</f>
        <v>#INVALID COMPANY ID</v>
      </c>
      <c r="FN253" s="9" t="str">
        <f>_xll.SNL.Clients.Office.Excel.Functions.SPG(FK253, "SP_COUNTRY_NAME")</f>
        <v>#INVALID COMPANY ID</v>
      </c>
      <c r="FS253" s="9" t="str">
        <f>_xll.SNL.Clients.Office.Excel.Functions.SPG(FP253, "SP_COUNTRY_NAME")</f>
        <v>#INVALID COMPANY ID</v>
      </c>
      <c r="FX253" s="9" t="str">
        <f>_xll.SNL.Clients.Office.Excel.Functions.SPG(FU253, "SP_COUNTRY_NAME")</f>
        <v>#INVALID COMPANY ID</v>
      </c>
      <c r="FY253" t="s">
        <v>855</v>
      </c>
      <c r="FZ253">
        <v>8532130</v>
      </c>
      <c r="GA253" t="s">
        <v>346</v>
      </c>
      <c r="GB253" s="11">
        <v>0.01</v>
      </c>
      <c r="GC253" s="9" t="str">
        <f>_xll.SNL.Clients.Office.Excel.Functions.SPG(FZ253, "SP_COUNTRY_NAME")</f>
        <v>South Africa</v>
      </c>
      <c r="GH253" s="9" t="str">
        <f>_xll.SNL.Clients.Office.Excel.Functions.SPG(GE253, "SP_COUNTRY_NAME")</f>
        <v>#INVALID COMPANY ID</v>
      </c>
      <c r="GM253" s="9" t="str">
        <f>_xll.SNL.Clients.Office.Excel.Functions.SPG(GJ253, "SP_COUNTRY_NAME")</f>
        <v>#INVALID COMPANY ID</v>
      </c>
      <c r="GR253" s="9" t="str">
        <f>_xll.SNL.Clients.Office.Excel.Functions.SPG(GO253, "SP_COUNTRY_NAME")</f>
        <v>#INVALID COMPANY ID</v>
      </c>
      <c r="GS253" t="s">
        <v>886</v>
      </c>
      <c r="GT253">
        <v>29518821</v>
      </c>
      <c r="GU253" t="s">
        <v>346</v>
      </c>
      <c r="GV253" s="11">
        <v>0</v>
      </c>
      <c r="GW253" s="9" t="str">
        <f>_xll.SNL.Clients.Office.Excel.Functions.SPG(GT253, "SP_COUNTRY_NAME")</f>
        <v>China</v>
      </c>
      <c r="GX253" t="s">
        <v>1724</v>
      </c>
      <c r="GY253">
        <v>4975164</v>
      </c>
      <c r="GZ253" t="s">
        <v>346</v>
      </c>
      <c r="HA253" s="11">
        <v>0.01</v>
      </c>
      <c r="HB253" s="9" t="str">
        <f>_xll.SNL.Clients.Office.Excel.Functions.SPG(GY253, "SP_COUNTRY_NAME")</f>
        <v>USA</v>
      </c>
      <c r="HG253" s="9" t="str">
        <f>_xll.SNL.Clients.Office.Excel.Functions.SPG(HD253, "SP_COUNTRY_NAME")</f>
        <v>#INVALID COMPANY ID</v>
      </c>
    </row>
    <row r="254" spans="5:215" x14ac:dyDescent="0.35">
      <c r="E254" s="9" t="str">
        <f>_xll.SNL.Clients.Office.Excel.Functions.SPG(B254, "SP_COUNTRY_NAME")</f>
        <v>#INVALID COMPANY ID</v>
      </c>
      <c r="J254" s="9" t="str">
        <f>_xll.SNL.Clients.Office.Excel.Functions.SPG(G254, "SP_COUNTRY_NAME")</f>
        <v>#INVALID COMPANY ID</v>
      </c>
      <c r="O254" s="9" t="str">
        <f>_xll.SNL.Clients.Office.Excel.Functions.SPG(L254, "SP_COUNTRY_NAME")</f>
        <v>#INVALID COMPANY ID</v>
      </c>
      <c r="T254" s="9" t="str">
        <f>_xll.SNL.Clients.Office.Excel.Functions.SPG(Q254, "SP_COUNTRY_NAME")</f>
        <v>#INVALID COMPANY ID</v>
      </c>
      <c r="U254" t="s">
        <v>496</v>
      </c>
      <c r="V254">
        <v>110495</v>
      </c>
      <c r="W254" t="s">
        <v>346</v>
      </c>
      <c r="X254" s="11">
        <v>0</v>
      </c>
      <c r="Y254" s="9" t="str">
        <f>_xll.SNL.Clients.Office.Excel.Functions.SPG(V254, "SP_COUNTRY_NAME")</f>
        <v>USA</v>
      </c>
      <c r="AD254" s="9" t="str">
        <f>_xll.SNL.Clients.Office.Excel.Functions.SPG(AA254, "SP_COUNTRY_NAME")</f>
        <v>#INVALID COMPANY ID</v>
      </c>
      <c r="AI254" s="9" t="str">
        <f>_xll.SNL.Clients.Office.Excel.Functions.SPG(AF254, "SP_COUNTRY_NAME")</f>
        <v>#INVALID COMPANY ID</v>
      </c>
      <c r="AN254" s="9" t="str">
        <f>_xll.SNL.Clients.Office.Excel.Functions.SPG(AK254, "SP_COUNTRY_NAME")</f>
        <v>#INVALID COMPANY ID</v>
      </c>
      <c r="AO254" t="s">
        <v>603</v>
      </c>
      <c r="AP254">
        <v>110641</v>
      </c>
      <c r="AQ254" t="s">
        <v>346</v>
      </c>
      <c r="AR254" s="11">
        <v>0</v>
      </c>
      <c r="AS254" s="9" t="str">
        <f>_xll.SNL.Clients.Office.Excel.Functions.SPG(AP254, "SP_COUNTRY_NAME")</f>
        <v>USA</v>
      </c>
      <c r="AX254" s="9" t="str">
        <f>_xll.SNL.Clients.Office.Excel.Functions.SPG(AU254, "SP_COUNTRY_NAME")</f>
        <v>#INVALID COMPANY ID</v>
      </c>
      <c r="BC254" s="9" t="str">
        <f>_xll.SNL.Clients.Office.Excel.Functions.SPG(AZ254, "SP_COUNTRY_NAME")</f>
        <v>#INVALID COMPANY ID</v>
      </c>
      <c r="BD254" t="s">
        <v>1276</v>
      </c>
      <c r="BE254">
        <v>8358474</v>
      </c>
      <c r="BF254" t="s">
        <v>346</v>
      </c>
      <c r="BG254" s="11">
        <v>0.01</v>
      </c>
      <c r="BH254" s="9" t="str">
        <f>_xll.SNL.Clients.Office.Excel.Functions.SPG(BE254, "SP_COUNTRY_NAME")</f>
        <v>South Africa</v>
      </c>
      <c r="BI254" t="s">
        <v>601</v>
      </c>
      <c r="BJ254">
        <v>5816131</v>
      </c>
      <c r="BK254" t="s">
        <v>346</v>
      </c>
      <c r="BL254" s="11">
        <v>0</v>
      </c>
      <c r="BM254" s="9" t="str">
        <f>_xll.SNL.Clients.Office.Excel.Functions.SPG(BJ254, "SP_COUNTRY_NAME")</f>
        <v>USA</v>
      </c>
      <c r="BN254" t="s">
        <v>806</v>
      </c>
      <c r="BO254">
        <v>4140536</v>
      </c>
      <c r="BP254" t="s">
        <v>346</v>
      </c>
      <c r="BQ254" s="11">
        <v>0</v>
      </c>
      <c r="BR254" s="9" t="str">
        <f>_xll.SNL.Clients.Office.Excel.Functions.SPG(BO254, "SP_COUNTRY_NAME")</f>
        <v>China</v>
      </c>
      <c r="BS254" t="s">
        <v>827</v>
      </c>
      <c r="BT254">
        <v>4138775</v>
      </c>
      <c r="BU254" t="s">
        <v>346</v>
      </c>
      <c r="BV254" s="11">
        <v>0.01</v>
      </c>
      <c r="BW254" s="9" t="str">
        <f>_xll.SNL.Clients.Office.Excel.Functions.SPG(BT254, "SP_COUNTRY_NAME")</f>
        <v>China</v>
      </c>
      <c r="BX254" t="s">
        <v>496</v>
      </c>
      <c r="BY254">
        <v>110495</v>
      </c>
      <c r="BZ254" t="s">
        <v>346</v>
      </c>
      <c r="CA254" s="11">
        <v>0</v>
      </c>
      <c r="CB254" s="9" t="str">
        <f>_xll.SNL.Clients.Office.Excel.Functions.SPG(BY254, "SP_COUNTRY_NAME")</f>
        <v>USA</v>
      </c>
      <c r="CC254" t="s">
        <v>1725</v>
      </c>
      <c r="CD254">
        <v>11227495</v>
      </c>
      <c r="CE254" t="s">
        <v>346</v>
      </c>
      <c r="CF254" s="11">
        <v>0.01</v>
      </c>
      <c r="CG254" s="9" t="str">
        <f>_xll.SNL.Clients.Office.Excel.Functions.SPG(CD254, "SP_COUNTRY_NAME")</f>
        <v>USA</v>
      </c>
      <c r="CH254" t="s">
        <v>603</v>
      </c>
      <c r="CI254">
        <v>110641</v>
      </c>
      <c r="CJ254" t="s">
        <v>346</v>
      </c>
      <c r="CK254" s="11">
        <v>0</v>
      </c>
      <c r="CL254" s="9" t="str">
        <f>_xll.SNL.Clients.Office.Excel.Functions.SPG(CI254, "SP_COUNTRY_NAME")</f>
        <v>USA</v>
      </c>
      <c r="CM254" t="s">
        <v>1334</v>
      </c>
      <c r="CN254">
        <v>4239667</v>
      </c>
      <c r="CO254" t="s">
        <v>364</v>
      </c>
      <c r="CP254" s="11">
        <v>0.01</v>
      </c>
      <c r="CQ254" s="9" t="str">
        <f>_xll.SNL.Clients.Office.Excel.Functions.SPG(CN254, "SP_COUNTRY_NAME")</f>
        <v>South Africa</v>
      </c>
      <c r="CV254" s="9" t="str">
        <f>_xll.SNL.Clients.Office.Excel.Functions.SPG(CS254, "SP_COUNTRY_NAME")</f>
        <v>#INVALID COMPANY ID</v>
      </c>
      <c r="DA254" s="9" t="str">
        <f>_xll.SNL.Clients.Office.Excel.Functions.SPG(CX254, "SP_COUNTRY_NAME")</f>
        <v>#INVALID COMPANY ID</v>
      </c>
      <c r="DB254" t="s">
        <v>1276</v>
      </c>
      <c r="DC254">
        <v>8358474</v>
      </c>
      <c r="DD254" t="s">
        <v>346</v>
      </c>
      <c r="DE254" s="11">
        <v>0.01</v>
      </c>
      <c r="DF254" s="9" t="str">
        <f>_xll.SNL.Clients.Office.Excel.Functions.SPG(DC254, "SP_COUNTRY_NAME")</f>
        <v>South Africa</v>
      </c>
      <c r="DK254" s="9" t="str">
        <f>_xll.SNL.Clients.Office.Excel.Functions.SPG(DH254, "SP_COUNTRY_NAME")</f>
        <v>#INVALID COMPANY ID</v>
      </c>
      <c r="DL254" t="s">
        <v>1276</v>
      </c>
      <c r="DM254">
        <v>8358474</v>
      </c>
      <c r="DN254" t="s">
        <v>346</v>
      </c>
      <c r="DO254" s="11">
        <v>0.01</v>
      </c>
      <c r="DP254" s="9" t="str">
        <f>_xll.SNL.Clients.Office.Excel.Functions.SPG(DM254, "SP_COUNTRY_NAME")</f>
        <v>South Africa</v>
      </c>
      <c r="DU254" s="9" t="str">
        <f>_xll.SNL.Clients.Office.Excel.Functions.SPG(DR254, "SP_COUNTRY_NAME")</f>
        <v>#INVALID COMPANY ID</v>
      </c>
      <c r="DZ254" s="9" t="str">
        <f>_xll.SNL.Clients.Office.Excel.Functions.SPG(DW254, "SP_COUNTRY_NAME")</f>
        <v>#INVALID COMPANY ID</v>
      </c>
      <c r="EA254" t="s">
        <v>1725</v>
      </c>
      <c r="EB254">
        <v>11227495</v>
      </c>
      <c r="EC254" t="s">
        <v>346</v>
      </c>
      <c r="ED254" s="11">
        <v>0.01</v>
      </c>
      <c r="EE254" s="9" t="str">
        <f>_xll.SNL.Clients.Office.Excel.Functions.SPG(EB254, "SP_COUNTRY_NAME")</f>
        <v>USA</v>
      </c>
      <c r="EF254" t="s">
        <v>1276</v>
      </c>
      <c r="EG254">
        <v>8358474</v>
      </c>
      <c r="EH254" t="s">
        <v>346</v>
      </c>
      <c r="EI254" s="11">
        <v>0.01</v>
      </c>
      <c r="EJ254" s="9" t="str">
        <f>_xll.SNL.Clients.Office.Excel.Functions.SPG(EG254, "SP_COUNTRY_NAME")</f>
        <v>South Africa</v>
      </c>
      <c r="EO254" s="9" t="str">
        <f>_xll.SNL.Clients.Office.Excel.Functions.SPG(EL254, "SP_COUNTRY_NAME")</f>
        <v>#INVALID COMPANY ID</v>
      </c>
      <c r="ET254" s="9" t="str">
        <f>_xll.SNL.Clients.Office.Excel.Functions.SPG(EQ254, "SP_COUNTRY_NAME")</f>
        <v>#INVALID COMPANY ID</v>
      </c>
      <c r="EY254" s="9" t="str">
        <f>_xll.SNL.Clients.Office.Excel.Functions.SPG(EV254, "SP_COUNTRY_NAME")</f>
        <v>#INVALID COMPANY ID</v>
      </c>
      <c r="FD254" s="9" t="str">
        <f>_xll.SNL.Clients.Office.Excel.Functions.SPG(FA254, "SP_COUNTRY_NAME")</f>
        <v>#INVALID COMPANY ID</v>
      </c>
      <c r="FI254" s="9" t="str">
        <f>_xll.SNL.Clients.Office.Excel.Functions.SPG(FF254, "SP_COUNTRY_NAME")</f>
        <v>#INVALID COMPANY ID</v>
      </c>
      <c r="FN254" s="9" t="str">
        <f>_xll.SNL.Clients.Office.Excel.Functions.SPG(FK254, "SP_COUNTRY_NAME")</f>
        <v>#INVALID COMPANY ID</v>
      </c>
      <c r="FS254" s="9" t="str">
        <f>_xll.SNL.Clients.Office.Excel.Functions.SPG(FP254, "SP_COUNTRY_NAME")</f>
        <v>#INVALID COMPANY ID</v>
      </c>
      <c r="FX254" s="9" t="str">
        <f>_xll.SNL.Clients.Office.Excel.Functions.SPG(FU254, "SP_COUNTRY_NAME")</f>
        <v>#INVALID COMPANY ID</v>
      </c>
      <c r="FY254" t="s">
        <v>1276</v>
      </c>
      <c r="FZ254">
        <v>8358474</v>
      </c>
      <c r="GA254" t="s">
        <v>346</v>
      </c>
      <c r="GB254" s="11">
        <v>0.01</v>
      </c>
      <c r="GC254" s="9" t="str">
        <f>_xll.SNL.Clients.Office.Excel.Functions.SPG(FZ254, "SP_COUNTRY_NAME")</f>
        <v>South Africa</v>
      </c>
      <c r="GH254" s="9" t="str">
        <f>_xll.SNL.Clients.Office.Excel.Functions.SPG(GE254, "SP_COUNTRY_NAME")</f>
        <v>#INVALID COMPANY ID</v>
      </c>
      <c r="GM254" s="9" t="str">
        <f>_xll.SNL.Clients.Office.Excel.Functions.SPG(GJ254, "SP_COUNTRY_NAME")</f>
        <v>#INVALID COMPANY ID</v>
      </c>
      <c r="GR254" s="9" t="str">
        <f>_xll.SNL.Clients.Office.Excel.Functions.SPG(GO254, "SP_COUNTRY_NAME")</f>
        <v>#INVALID COMPANY ID</v>
      </c>
      <c r="GS254" t="s">
        <v>806</v>
      </c>
      <c r="GT254">
        <v>4140536</v>
      </c>
      <c r="GU254" t="s">
        <v>346</v>
      </c>
      <c r="GV254" s="11">
        <v>0</v>
      </c>
      <c r="GW254" s="9" t="str">
        <f>_xll.SNL.Clients.Office.Excel.Functions.SPG(GT254, "SP_COUNTRY_NAME")</f>
        <v>China</v>
      </c>
      <c r="GX254" t="s">
        <v>1725</v>
      </c>
      <c r="GY254">
        <v>11227495</v>
      </c>
      <c r="GZ254" t="s">
        <v>346</v>
      </c>
      <c r="HA254" s="11">
        <v>0.01</v>
      </c>
      <c r="HB254" s="9" t="str">
        <f>_xll.SNL.Clients.Office.Excel.Functions.SPG(GY254, "SP_COUNTRY_NAME")</f>
        <v>USA</v>
      </c>
      <c r="HG254" s="9" t="str">
        <f>_xll.SNL.Clients.Office.Excel.Functions.SPG(HD254, "SP_COUNTRY_NAME")</f>
        <v>#INVALID COMPANY ID</v>
      </c>
    </row>
    <row r="255" spans="5:215" x14ac:dyDescent="0.35">
      <c r="E255" s="9" t="str">
        <f>_xll.SNL.Clients.Office.Excel.Functions.SPG(B255, "SP_COUNTRY_NAME")</f>
        <v>#INVALID COMPANY ID</v>
      </c>
      <c r="J255" s="9" t="str">
        <f>_xll.SNL.Clients.Office.Excel.Functions.SPG(G255, "SP_COUNTRY_NAME")</f>
        <v>#INVALID COMPANY ID</v>
      </c>
      <c r="O255" s="9" t="str">
        <f>_xll.SNL.Clients.Office.Excel.Functions.SPG(L255, "SP_COUNTRY_NAME")</f>
        <v>#INVALID COMPANY ID</v>
      </c>
      <c r="T255" s="9" t="str">
        <f>_xll.SNL.Clients.Office.Excel.Functions.SPG(Q255, "SP_COUNTRY_NAME")</f>
        <v>#INVALID COMPANY ID</v>
      </c>
      <c r="U255" t="s">
        <v>460</v>
      </c>
      <c r="V255">
        <v>4337989</v>
      </c>
      <c r="W255" t="s">
        <v>346</v>
      </c>
      <c r="X255" s="11">
        <v>0</v>
      </c>
      <c r="Y255" s="9" t="str">
        <f>_xll.SNL.Clients.Office.Excel.Functions.SPG(V255, "SP_COUNTRY_NAME")</f>
        <v>USA</v>
      </c>
      <c r="AD255" s="9" t="str">
        <f>_xll.SNL.Clients.Office.Excel.Functions.SPG(AA255, "SP_COUNTRY_NAME")</f>
        <v>#INVALID COMPANY ID</v>
      </c>
      <c r="AI255" s="9" t="str">
        <f>_xll.SNL.Clients.Office.Excel.Functions.SPG(AF255, "SP_COUNTRY_NAME")</f>
        <v>#INVALID COMPANY ID</v>
      </c>
      <c r="AN255" s="9" t="str">
        <f>_xll.SNL.Clients.Office.Excel.Functions.SPG(AK255, "SP_COUNTRY_NAME")</f>
        <v>#INVALID COMPANY ID</v>
      </c>
      <c r="AO255" t="s">
        <v>1366</v>
      </c>
      <c r="AP255">
        <v>115685602</v>
      </c>
      <c r="AQ255" t="s">
        <v>364</v>
      </c>
      <c r="AR255" s="11">
        <v>0</v>
      </c>
      <c r="AS255" s="9" t="str">
        <f>_xll.SNL.Clients.Office.Excel.Functions.SPG(AP255, "SP_COUNTRY_NAME")</f>
        <v>South Africa</v>
      </c>
      <c r="AX255" s="9" t="str">
        <f>_xll.SNL.Clients.Office.Excel.Functions.SPG(AU255, "SP_COUNTRY_NAME")</f>
        <v>#INVALID COMPANY ID</v>
      </c>
      <c r="BC255" s="9" t="str">
        <f>_xll.SNL.Clients.Office.Excel.Functions.SPG(AZ255, "SP_COUNTRY_NAME")</f>
        <v>#INVALID COMPANY ID</v>
      </c>
      <c r="BD255" t="s">
        <v>1468</v>
      </c>
      <c r="BE255">
        <v>4224817</v>
      </c>
      <c r="BF255" t="s">
        <v>346</v>
      </c>
      <c r="BG255" s="11">
        <v>0.01</v>
      </c>
      <c r="BH255" s="9" t="str">
        <f>_xll.SNL.Clients.Office.Excel.Functions.SPG(BE255, "SP_COUNTRY_NAME")</f>
        <v>United Kingdom</v>
      </c>
      <c r="BI255" t="s">
        <v>610</v>
      </c>
      <c r="BJ255">
        <v>10343382</v>
      </c>
      <c r="BK255" t="s">
        <v>276</v>
      </c>
      <c r="BL255" s="11">
        <v>0</v>
      </c>
      <c r="BM255" s="9" t="str">
        <f>_xll.SNL.Clients.Office.Excel.Functions.SPG(BJ255, "SP_COUNTRY_NAME")</f>
        <v>USA</v>
      </c>
      <c r="BN255" t="s">
        <v>1243</v>
      </c>
      <c r="BO255" t="s">
        <v>300</v>
      </c>
      <c r="BP255" t="s">
        <v>361</v>
      </c>
      <c r="BQ255" s="11">
        <v>0</v>
      </c>
      <c r="BR255" s="9" t="str">
        <f>_xll.SNL.Clients.Office.Excel.Functions.SPG(BO255, "SP_COUNTRY_NAME")</f>
        <v>China</v>
      </c>
      <c r="BS255" t="s">
        <v>402</v>
      </c>
      <c r="BT255">
        <v>4065216</v>
      </c>
      <c r="BU255" t="s">
        <v>346</v>
      </c>
      <c r="BV255" s="11">
        <v>0.01</v>
      </c>
      <c r="BW255" s="9" t="str">
        <f>_xll.SNL.Clients.Office.Excel.Functions.SPG(BT255, "SP_COUNTRY_NAME")</f>
        <v>United Kingdom</v>
      </c>
      <c r="BX255" t="s">
        <v>460</v>
      </c>
      <c r="BY255">
        <v>4337989</v>
      </c>
      <c r="BZ255" t="s">
        <v>346</v>
      </c>
      <c r="CA255" s="11">
        <v>0</v>
      </c>
      <c r="CB255" s="9" t="str">
        <f>_xll.SNL.Clients.Office.Excel.Functions.SPG(BY255, "SP_COUNTRY_NAME")</f>
        <v>USA</v>
      </c>
      <c r="CC255" t="s">
        <v>1726</v>
      </c>
      <c r="CD255">
        <v>4288845</v>
      </c>
      <c r="CE255" t="s">
        <v>364</v>
      </c>
      <c r="CF255" s="11">
        <v>0.01</v>
      </c>
      <c r="CG255" s="9" t="str">
        <f>_xll.SNL.Clients.Office.Excel.Functions.SPG(CD255, "SP_COUNTRY_NAME")</f>
        <v>United Kingdom</v>
      </c>
      <c r="CH255" t="s">
        <v>1366</v>
      </c>
      <c r="CI255">
        <v>115685602</v>
      </c>
      <c r="CJ255" t="s">
        <v>364</v>
      </c>
      <c r="CK255" s="11">
        <v>0</v>
      </c>
      <c r="CL255" s="9" t="str">
        <f>_xll.SNL.Clients.Office.Excel.Functions.SPG(CI255, "SP_COUNTRY_NAME")</f>
        <v>South Africa</v>
      </c>
      <c r="CM255" t="s">
        <v>1328</v>
      </c>
      <c r="CN255">
        <v>5807523</v>
      </c>
      <c r="CO255" t="s">
        <v>346</v>
      </c>
      <c r="CP255" s="11">
        <v>0.01</v>
      </c>
      <c r="CQ255" s="9" t="str">
        <f>_xll.SNL.Clients.Office.Excel.Functions.SPG(CN255, "SP_COUNTRY_NAME")</f>
        <v>South Africa</v>
      </c>
      <c r="CV255" s="9" t="str">
        <f>_xll.SNL.Clients.Office.Excel.Functions.SPG(CS255, "SP_COUNTRY_NAME")</f>
        <v>#INVALID COMPANY ID</v>
      </c>
      <c r="DA255" s="9" t="str">
        <f>_xll.SNL.Clients.Office.Excel.Functions.SPG(CX255, "SP_COUNTRY_NAME")</f>
        <v>#INVALID COMPANY ID</v>
      </c>
      <c r="DB255" t="s">
        <v>1468</v>
      </c>
      <c r="DC255">
        <v>4224817</v>
      </c>
      <c r="DD255" t="s">
        <v>346</v>
      </c>
      <c r="DE255" s="11">
        <v>0.01</v>
      </c>
      <c r="DF255" s="9" t="str">
        <f>_xll.SNL.Clients.Office.Excel.Functions.SPG(DC255, "SP_COUNTRY_NAME")</f>
        <v>United Kingdom</v>
      </c>
      <c r="DK255" s="9" t="str">
        <f>_xll.SNL.Clients.Office.Excel.Functions.SPG(DH255, "SP_COUNTRY_NAME")</f>
        <v>#INVALID COMPANY ID</v>
      </c>
      <c r="DL255" t="s">
        <v>1468</v>
      </c>
      <c r="DM255">
        <v>4224817</v>
      </c>
      <c r="DN255" t="s">
        <v>346</v>
      </c>
      <c r="DO255" s="11">
        <v>0.01</v>
      </c>
      <c r="DP255" s="9" t="str">
        <f>_xll.SNL.Clients.Office.Excel.Functions.SPG(DM255, "SP_COUNTRY_NAME")</f>
        <v>United Kingdom</v>
      </c>
      <c r="DU255" s="9" t="str">
        <f>_xll.SNL.Clients.Office.Excel.Functions.SPG(DR255, "SP_COUNTRY_NAME")</f>
        <v>#INVALID COMPANY ID</v>
      </c>
      <c r="DZ255" s="9" t="str">
        <f>_xll.SNL.Clients.Office.Excel.Functions.SPG(DW255, "SP_COUNTRY_NAME")</f>
        <v>#INVALID COMPANY ID</v>
      </c>
      <c r="EA255" t="s">
        <v>1726</v>
      </c>
      <c r="EB255">
        <v>4288845</v>
      </c>
      <c r="EC255" t="s">
        <v>364</v>
      </c>
      <c r="ED255" s="11">
        <v>0.01</v>
      </c>
      <c r="EE255" s="9" t="str">
        <f>_xll.SNL.Clients.Office.Excel.Functions.SPG(EB255, "SP_COUNTRY_NAME")</f>
        <v>United Kingdom</v>
      </c>
      <c r="EF255" t="s">
        <v>1468</v>
      </c>
      <c r="EG255">
        <v>4224817</v>
      </c>
      <c r="EH255" t="s">
        <v>346</v>
      </c>
      <c r="EI255" s="11">
        <v>0.01</v>
      </c>
      <c r="EJ255" s="9" t="str">
        <f>_xll.SNL.Clients.Office.Excel.Functions.SPG(EG255, "SP_COUNTRY_NAME")</f>
        <v>United Kingdom</v>
      </c>
      <c r="EO255" s="9" t="str">
        <f>_xll.SNL.Clients.Office.Excel.Functions.SPG(EL255, "SP_COUNTRY_NAME")</f>
        <v>#INVALID COMPANY ID</v>
      </c>
      <c r="ET255" s="9" t="str">
        <f>_xll.SNL.Clients.Office.Excel.Functions.SPG(EQ255, "SP_COUNTRY_NAME")</f>
        <v>#INVALID COMPANY ID</v>
      </c>
      <c r="EY255" s="9" t="str">
        <f>_xll.SNL.Clients.Office.Excel.Functions.SPG(EV255, "SP_COUNTRY_NAME")</f>
        <v>#INVALID COMPANY ID</v>
      </c>
      <c r="FD255" s="9" t="str">
        <f>_xll.SNL.Clients.Office.Excel.Functions.SPG(FA255, "SP_COUNTRY_NAME")</f>
        <v>#INVALID COMPANY ID</v>
      </c>
      <c r="FI255" s="9" t="str">
        <f>_xll.SNL.Clients.Office.Excel.Functions.SPG(FF255, "SP_COUNTRY_NAME")</f>
        <v>#INVALID COMPANY ID</v>
      </c>
      <c r="FN255" s="9" t="str">
        <f>_xll.SNL.Clients.Office.Excel.Functions.SPG(FK255, "SP_COUNTRY_NAME")</f>
        <v>#INVALID COMPANY ID</v>
      </c>
      <c r="FS255" s="9" t="str">
        <f>_xll.SNL.Clients.Office.Excel.Functions.SPG(FP255, "SP_COUNTRY_NAME")</f>
        <v>#INVALID COMPANY ID</v>
      </c>
      <c r="FX255" s="9" t="str">
        <f>_xll.SNL.Clients.Office.Excel.Functions.SPG(FU255, "SP_COUNTRY_NAME")</f>
        <v>#INVALID COMPANY ID</v>
      </c>
      <c r="FY255" t="s">
        <v>1468</v>
      </c>
      <c r="FZ255">
        <v>4224817</v>
      </c>
      <c r="GA255" t="s">
        <v>346</v>
      </c>
      <c r="GB255" s="11">
        <v>0.01</v>
      </c>
      <c r="GC255" s="9" t="str">
        <f>_xll.SNL.Clients.Office.Excel.Functions.SPG(FZ255, "SP_COUNTRY_NAME")</f>
        <v>United Kingdom</v>
      </c>
      <c r="GH255" s="9" t="str">
        <f>_xll.SNL.Clients.Office.Excel.Functions.SPG(GE255, "SP_COUNTRY_NAME")</f>
        <v>#INVALID COMPANY ID</v>
      </c>
      <c r="GM255" s="9" t="str">
        <f>_xll.SNL.Clients.Office.Excel.Functions.SPG(GJ255, "SP_COUNTRY_NAME")</f>
        <v>#INVALID COMPANY ID</v>
      </c>
      <c r="GR255" s="9" t="str">
        <f>_xll.SNL.Clients.Office.Excel.Functions.SPG(GO255, "SP_COUNTRY_NAME")</f>
        <v>#INVALID COMPANY ID</v>
      </c>
      <c r="GS255" t="s">
        <v>1243</v>
      </c>
      <c r="GT255" t="s">
        <v>300</v>
      </c>
      <c r="GU255" t="s">
        <v>361</v>
      </c>
      <c r="GV255" s="11">
        <v>0</v>
      </c>
      <c r="GW255" s="9" t="str">
        <f>_xll.SNL.Clients.Office.Excel.Functions.SPG(GT255, "SP_COUNTRY_NAME")</f>
        <v>China</v>
      </c>
      <c r="GX255" t="s">
        <v>1726</v>
      </c>
      <c r="GY255">
        <v>4288845</v>
      </c>
      <c r="GZ255" t="s">
        <v>364</v>
      </c>
      <c r="HA255" s="11">
        <v>0.01</v>
      </c>
      <c r="HB255" s="9" t="str">
        <f>_xll.SNL.Clients.Office.Excel.Functions.SPG(GY255, "SP_COUNTRY_NAME")</f>
        <v>United Kingdom</v>
      </c>
      <c r="HG255" s="9" t="str">
        <f>_xll.SNL.Clients.Office.Excel.Functions.SPG(HD255, "SP_COUNTRY_NAME")</f>
        <v>#INVALID COMPANY ID</v>
      </c>
    </row>
    <row r="256" spans="5:215" x14ac:dyDescent="0.35">
      <c r="E256" s="9" t="str">
        <f>_xll.SNL.Clients.Office.Excel.Functions.SPG(B256, "SP_COUNTRY_NAME")</f>
        <v>#INVALID COMPANY ID</v>
      </c>
      <c r="J256" s="9" t="str">
        <f>_xll.SNL.Clients.Office.Excel.Functions.SPG(G256, "SP_COUNTRY_NAME")</f>
        <v>#INVALID COMPANY ID</v>
      </c>
      <c r="O256" s="9" t="str">
        <f>_xll.SNL.Clients.Office.Excel.Functions.SPG(L256, "SP_COUNTRY_NAME")</f>
        <v>#INVALID COMPANY ID</v>
      </c>
      <c r="T256" s="9" t="str">
        <f>_xll.SNL.Clients.Office.Excel.Functions.SPG(Q256, "SP_COUNTRY_NAME")</f>
        <v>#INVALID COMPANY ID</v>
      </c>
      <c r="U256" t="s">
        <v>641</v>
      </c>
      <c r="V256">
        <v>4820048</v>
      </c>
      <c r="W256" t="s">
        <v>346</v>
      </c>
      <c r="X256" s="11">
        <v>0</v>
      </c>
      <c r="Y256" s="9" t="str">
        <f>_xll.SNL.Clients.Office.Excel.Functions.SPG(V256, "SP_COUNTRY_NAME")</f>
        <v>China</v>
      </c>
      <c r="AD256" s="9" t="str">
        <f>_xll.SNL.Clients.Office.Excel.Functions.SPG(AA256, "SP_COUNTRY_NAME")</f>
        <v>#INVALID COMPANY ID</v>
      </c>
      <c r="AI256" s="9" t="str">
        <f>_xll.SNL.Clients.Office.Excel.Functions.SPG(AF256, "SP_COUNTRY_NAME")</f>
        <v>#INVALID COMPANY ID</v>
      </c>
      <c r="AN256" s="9" t="str">
        <f>_xll.SNL.Clients.Office.Excel.Functions.SPG(AK256, "SP_COUNTRY_NAME")</f>
        <v>#INVALID COMPANY ID</v>
      </c>
      <c r="AO256" t="s">
        <v>1367</v>
      </c>
      <c r="AP256">
        <v>8246912</v>
      </c>
      <c r="AQ256" t="s">
        <v>346</v>
      </c>
      <c r="AR256" s="11">
        <v>0</v>
      </c>
      <c r="AS256" s="9" t="str">
        <f>_xll.SNL.Clients.Office.Excel.Functions.SPG(AP256, "SP_COUNTRY_NAME")</f>
        <v>South Africa</v>
      </c>
      <c r="AX256" s="9" t="str">
        <f>_xll.SNL.Clients.Office.Excel.Functions.SPG(AU256, "SP_COUNTRY_NAME")</f>
        <v>#INVALID COMPANY ID</v>
      </c>
      <c r="BC256" s="9" t="str">
        <f>_xll.SNL.Clients.Office.Excel.Functions.SPG(AZ256, "SP_COUNTRY_NAME")</f>
        <v>#INVALID COMPANY ID</v>
      </c>
      <c r="BD256" t="s">
        <v>499</v>
      </c>
      <c r="BE256">
        <v>4073190</v>
      </c>
      <c r="BF256" t="s">
        <v>346</v>
      </c>
      <c r="BG256" s="11">
        <v>0.01</v>
      </c>
      <c r="BH256" s="9" t="str">
        <f>_xll.SNL.Clients.Office.Excel.Functions.SPG(BE256, "SP_COUNTRY_NAME")</f>
        <v>USA</v>
      </c>
      <c r="BI256" t="s">
        <v>613</v>
      </c>
      <c r="BJ256">
        <v>27267005</v>
      </c>
      <c r="BK256" t="s">
        <v>346</v>
      </c>
      <c r="BL256" s="11">
        <v>0</v>
      </c>
      <c r="BM256" s="9" t="str">
        <f>_xll.SNL.Clients.Office.Excel.Functions.SPG(BJ256, "SP_COUNTRY_NAME")</f>
        <v>Ireland</v>
      </c>
      <c r="BN256" t="s">
        <v>881</v>
      </c>
      <c r="BO256">
        <v>4608579</v>
      </c>
      <c r="BP256" t="s">
        <v>346</v>
      </c>
      <c r="BQ256" s="11">
        <v>0</v>
      </c>
      <c r="BR256" s="9" t="str">
        <f>_xll.SNL.Clients.Office.Excel.Functions.SPG(BO256, "SP_COUNTRY_NAME")</f>
        <v>China</v>
      </c>
      <c r="BS256" t="s">
        <v>867</v>
      </c>
      <c r="BT256">
        <v>4557386</v>
      </c>
      <c r="BU256" t="s">
        <v>346</v>
      </c>
      <c r="BV256" s="11">
        <v>0.01</v>
      </c>
      <c r="BW256" s="9" t="str">
        <f>_xll.SNL.Clients.Office.Excel.Functions.SPG(BT256, "SP_COUNTRY_NAME")</f>
        <v>China</v>
      </c>
      <c r="BX256" t="s">
        <v>641</v>
      </c>
      <c r="BY256">
        <v>4820048</v>
      </c>
      <c r="BZ256" t="s">
        <v>346</v>
      </c>
      <c r="CA256" s="11">
        <v>0</v>
      </c>
      <c r="CB256" s="9" t="str">
        <f>_xll.SNL.Clients.Office.Excel.Functions.SPG(BY256, "SP_COUNTRY_NAME")</f>
        <v>China</v>
      </c>
      <c r="CC256" t="s">
        <v>1727</v>
      </c>
      <c r="CD256">
        <v>19734686</v>
      </c>
      <c r="CE256" t="s">
        <v>346</v>
      </c>
      <c r="CF256" s="11">
        <v>0.01</v>
      </c>
      <c r="CG256" s="9" t="str">
        <f>_xll.SNL.Clients.Office.Excel.Functions.SPG(CD256, "SP_COUNTRY_NAME")</f>
        <v>Brazil</v>
      </c>
      <c r="CH256" t="s">
        <v>1367</v>
      </c>
      <c r="CI256">
        <v>8246912</v>
      </c>
      <c r="CJ256" t="s">
        <v>346</v>
      </c>
      <c r="CK256" s="11">
        <v>0</v>
      </c>
      <c r="CL256" s="9" t="str">
        <f>_xll.SNL.Clients.Office.Excel.Functions.SPG(CI256, "SP_COUNTRY_NAME")</f>
        <v>South Africa</v>
      </c>
      <c r="CM256" t="s">
        <v>1312</v>
      </c>
      <c r="CN256">
        <v>7944855</v>
      </c>
      <c r="CO256" t="s">
        <v>346</v>
      </c>
      <c r="CP256" s="11">
        <v>0.01</v>
      </c>
      <c r="CQ256" s="9" t="str">
        <f>_xll.SNL.Clients.Office.Excel.Functions.SPG(CN256, "SP_COUNTRY_NAME")</f>
        <v>South Africa</v>
      </c>
      <c r="CV256" s="9" t="str">
        <f>_xll.SNL.Clients.Office.Excel.Functions.SPG(CS256, "SP_COUNTRY_NAME")</f>
        <v>#INVALID COMPANY ID</v>
      </c>
      <c r="DA256" s="9" t="str">
        <f>_xll.SNL.Clients.Office.Excel.Functions.SPG(CX256, "SP_COUNTRY_NAME")</f>
        <v>#INVALID COMPANY ID</v>
      </c>
      <c r="DB256" t="s">
        <v>499</v>
      </c>
      <c r="DC256">
        <v>4073190</v>
      </c>
      <c r="DD256" t="s">
        <v>346</v>
      </c>
      <c r="DE256" s="11">
        <v>0.01</v>
      </c>
      <c r="DF256" s="9" t="str">
        <f>_xll.SNL.Clients.Office.Excel.Functions.SPG(DC256, "SP_COUNTRY_NAME")</f>
        <v>USA</v>
      </c>
      <c r="DK256" s="9" t="str">
        <f>_xll.SNL.Clients.Office.Excel.Functions.SPG(DH256, "SP_COUNTRY_NAME")</f>
        <v>#INVALID COMPANY ID</v>
      </c>
      <c r="DL256" t="s">
        <v>499</v>
      </c>
      <c r="DM256">
        <v>4073190</v>
      </c>
      <c r="DN256" t="s">
        <v>346</v>
      </c>
      <c r="DO256" s="11">
        <v>0.01</v>
      </c>
      <c r="DP256" s="9" t="str">
        <f>_xll.SNL.Clients.Office.Excel.Functions.SPG(DM256, "SP_COUNTRY_NAME")</f>
        <v>USA</v>
      </c>
      <c r="DU256" s="9" t="str">
        <f>_xll.SNL.Clients.Office.Excel.Functions.SPG(DR256, "SP_COUNTRY_NAME")</f>
        <v>#INVALID COMPANY ID</v>
      </c>
      <c r="DZ256" s="9" t="str">
        <f>_xll.SNL.Clients.Office.Excel.Functions.SPG(DW256, "SP_COUNTRY_NAME")</f>
        <v>#INVALID COMPANY ID</v>
      </c>
      <c r="EA256" t="s">
        <v>1727</v>
      </c>
      <c r="EB256">
        <v>19734686</v>
      </c>
      <c r="EC256" t="s">
        <v>346</v>
      </c>
      <c r="ED256" s="11">
        <v>0.01</v>
      </c>
      <c r="EE256" s="9" t="str">
        <f>_xll.SNL.Clients.Office.Excel.Functions.SPG(EB256, "SP_COUNTRY_NAME")</f>
        <v>Brazil</v>
      </c>
      <c r="EF256" t="s">
        <v>499</v>
      </c>
      <c r="EG256">
        <v>4073190</v>
      </c>
      <c r="EH256" t="s">
        <v>346</v>
      </c>
      <c r="EI256" s="11">
        <v>0.01</v>
      </c>
      <c r="EJ256" s="9" t="str">
        <f>_xll.SNL.Clients.Office.Excel.Functions.SPG(EG256, "SP_COUNTRY_NAME")</f>
        <v>USA</v>
      </c>
      <c r="EO256" s="9" t="str">
        <f>_xll.SNL.Clients.Office.Excel.Functions.SPG(EL256, "SP_COUNTRY_NAME")</f>
        <v>#INVALID COMPANY ID</v>
      </c>
      <c r="ET256" s="9" t="str">
        <f>_xll.SNL.Clients.Office.Excel.Functions.SPG(EQ256, "SP_COUNTRY_NAME")</f>
        <v>#INVALID COMPANY ID</v>
      </c>
      <c r="EY256" s="9" t="str">
        <f>_xll.SNL.Clients.Office.Excel.Functions.SPG(EV256, "SP_COUNTRY_NAME")</f>
        <v>#INVALID COMPANY ID</v>
      </c>
      <c r="FD256" s="9" t="str">
        <f>_xll.SNL.Clients.Office.Excel.Functions.SPG(FA256, "SP_COUNTRY_NAME")</f>
        <v>#INVALID COMPANY ID</v>
      </c>
      <c r="FI256" s="9" t="str">
        <f>_xll.SNL.Clients.Office.Excel.Functions.SPG(FF256, "SP_COUNTRY_NAME")</f>
        <v>#INVALID COMPANY ID</v>
      </c>
      <c r="FN256" s="9" t="str">
        <f>_xll.SNL.Clients.Office.Excel.Functions.SPG(FK256, "SP_COUNTRY_NAME")</f>
        <v>#INVALID COMPANY ID</v>
      </c>
      <c r="FS256" s="9" t="str">
        <f>_xll.SNL.Clients.Office.Excel.Functions.SPG(FP256, "SP_COUNTRY_NAME")</f>
        <v>#INVALID COMPANY ID</v>
      </c>
      <c r="FX256" s="9" t="str">
        <f>_xll.SNL.Clients.Office.Excel.Functions.SPG(FU256, "SP_COUNTRY_NAME")</f>
        <v>#INVALID COMPANY ID</v>
      </c>
      <c r="FY256" t="s">
        <v>499</v>
      </c>
      <c r="FZ256">
        <v>4073190</v>
      </c>
      <c r="GA256" t="s">
        <v>346</v>
      </c>
      <c r="GB256" s="11">
        <v>0.01</v>
      </c>
      <c r="GC256" s="9" t="str">
        <f>_xll.SNL.Clients.Office.Excel.Functions.SPG(FZ256, "SP_COUNTRY_NAME")</f>
        <v>USA</v>
      </c>
      <c r="GH256" s="9" t="str">
        <f>_xll.SNL.Clients.Office.Excel.Functions.SPG(GE256, "SP_COUNTRY_NAME")</f>
        <v>#INVALID COMPANY ID</v>
      </c>
      <c r="GM256" s="9" t="str">
        <f>_xll.SNL.Clients.Office.Excel.Functions.SPG(GJ256, "SP_COUNTRY_NAME")</f>
        <v>#INVALID COMPANY ID</v>
      </c>
      <c r="GR256" s="9" t="str">
        <f>_xll.SNL.Clients.Office.Excel.Functions.SPG(GO256, "SP_COUNTRY_NAME")</f>
        <v>#INVALID COMPANY ID</v>
      </c>
      <c r="GS256" t="s">
        <v>881</v>
      </c>
      <c r="GT256">
        <v>4608579</v>
      </c>
      <c r="GU256" t="s">
        <v>346</v>
      </c>
      <c r="GV256" s="11">
        <v>0</v>
      </c>
      <c r="GW256" s="9" t="str">
        <f>_xll.SNL.Clients.Office.Excel.Functions.SPG(GT256, "SP_COUNTRY_NAME")</f>
        <v>China</v>
      </c>
      <c r="GX256" t="s">
        <v>1727</v>
      </c>
      <c r="GY256">
        <v>19734686</v>
      </c>
      <c r="GZ256" t="s">
        <v>346</v>
      </c>
      <c r="HA256" s="11">
        <v>0.01</v>
      </c>
      <c r="HB256" s="9" t="str">
        <f>_xll.SNL.Clients.Office.Excel.Functions.SPG(GY256, "SP_COUNTRY_NAME")</f>
        <v>Brazil</v>
      </c>
      <c r="HG256" s="9" t="str">
        <f>_xll.SNL.Clients.Office.Excel.Functions.SPG(HD256, "SP_COUNTRY_NAME")</f>
        <v>#INVALID COMPANY ID</v>
      </c>
    </row>
    <row r="257" spans="5:215" x14ac:dyDescent="0.35">
      <c r="E257" s="9" t="str">
        <f>_xll.SNL.Clients.Office.Excel.Functions.SPG(B257, "SP_COUNTRY_NAME")</f>
        <v>#INVALID COMPANY ID</v>
      </c>
      <c r="J257" s="9" t="str">
        <f>_xll.SNL.Clients.Office.Excel.Functions.SPG(G257, "SP_COUNTRY_NAME")</f>
        <v>#INVALID COMPANY ID</v>
      </c>
      <c r="O257" s="9" t="str">
        <f>_xll.SNL.Clients.Office.Excel.Functions.SPG(L257, "SP_COUNTRY_NAME")</f>
        <v>#INVALID COMPANY ID</v>
      </c>
      <c r="T257" s="9" t="str">
        <f>_xll.SNL.Clients.Office.Excel.Functions.SPG(Q257, "SP_COUNTRY_NAME")</f>
        <v>#INVALID COMPANY ID</v>
      </c>
      <c r="U257" t="s">
        <v>827</v>
      </c>
      <c r="V257">
        <v>4138775</v>
      </c>
      <c r="W257" t="s">
        <v>346</v>
      </c>
      <c r="X257" s="11">
        <v>0</v>
      </c>
      <c r="Y257" s="9" t="str">
        <f>_xll.SNL.Clients.Office.Excel.Functions.SPG(V257, "SP_COUNTRY_NAME")</f>
        <v>China</v>
      </c>
      <c r="AD257" s="9" t="str">
        <f>_xll.SNL.Clients.Office.Excel.Functions.SPG(AA257, "SP_COUNTRY_NAME")</f>
        <v>#INVALID COMPANY ID</v>
      </c>
      <c r="AI257" s="9" t="str">
        <f>_xll.SNL.Clients.Office.Excel.Functions.SPG(AF257, "SP_COUNTRY_NAME")</f>
        <v>#INVALID COMPANY ID</v>
      </c>
      <c r="AN257" s="9" t="str">
        <f>_xll.SNL.Clients.Office.Excel.Functions.SPG(AK257, "SP_COUNTRY_NAME")</f>
        <v>#INVALID COMPANY ID</v>
      </c>
      <c r="AO257" t="s">
        <v>1368</v>
      </c>
      <c r="AP257">
        <v>11023422</v>
      </c>
      <c r="AQ257" t="s">
        <v>346</v>
      </c>
      <c r="AR257" s="11">
        <v>0</v>
      </c>
      <c r="AS257" s="9" t="str">
        <f>_xll.SNL.Clients.Office.Excel.Functions.SPG(AP257, "SP_COUNTRY_NAME")</f>
        <v>South Africa</v>
      </c>
      <c r="AX257" s="9" t="str">
        <f>_xll.SNL.Clients.Office.Excel.Functions.SPG(AU257, "SP_COUNTRY_NAME")</f>
        <v>#INVALID COMPANY ID</v>
      </c>
      <c r="BC257" s="9" t="str">
        <f>_xll.SNL.Clients.Office.Excel.Functions.SPG(AZ257, "SP_COUNTRY_NAME")</f>
        <v>#INVALID COMPANY ID</v>
      </c>
      <c r="BD257" t="s">
        <v>1469</v>
      </c>
      <c r="BE257">
        <v>4145396</v>
      </c>
      <c r="BF257" t="s">
        <v>346</v>
      </c>
      <c r="BG257" s="11">
        <v>0.01</v>
      </c>
      <c r="BH257" s="9" t="str">
        <f>_xll.SNL.Clients.Office.Excel.Functions.SPG(BE257, "SP_COUNTRY_NAME")</f>
        <v>USA</v>
      </c>
      <c r="BI257" t="s">
        <v>614</v>
      </c>
      <c r="BJ257">
        <v>7844534</v>
      </c>
      <c r="BK257" t="s">
        <v>346</v>
      </c>
      <c r="BL257" s="11">
        <v>0</v>
      </c>
      <c r="BM257" s="9" t="str">
        <f>_xll.SNL.Clients.Office.Excel.Functions.SPG(BJ257, "SP_COUNTRY_NAME")</f>
        <v>Switzerland</v>
      </c>
      <c r="BN257" t="s">
        <v>837</v>
      </c>
      <c r="BO257">
        <v>5830179</v>
      </c>
      <c r="BP257" t="s">
        <v>346</v>
      </c>
      <c r="BQ257" s="11">
        <v>0</v>
      </c>
      <c r="BR257" s="9" t="str">
        <f>_xll.SNL.Clients.Office.Excel.Functions.SPG(BO257, "SP_COUNTRY_NAME")</f>
        <v>Ireland</v>
      </c>
      <c r="BS257" t="s">
        <v>773</v>
      </c>
      <c r="BT257">
        <v>4296648</v>
      </c>
      <c r="BU257" t="s">
        <v>346</v>
      </c>
      <c r="BV257" s="11">
        <v>0</v>
      </c>
      <c r="BW257" s="9" t="str">
        <f>_xll.SNL.Clients.Office.Excel.Functions.SPG(BT257, "SP_COUNTRY_NAME")</f>
        <v>Japan</v>
      </c>
      <c r="BX257" t="s">
        <v>827</v>
      </c>
      <c r="BY257">
        <v>4138775</v>
      </c>
      <c r="BZ257" t="s">
        <v>346</v>
      </c>
      <c r="CA257" s="11">
        <v>0</v>
      </c>
      <c r="CB257" s="9" t="str">
        <f>_xll.SNL.Clients.Office.Excel.Functions.SPG(BY257, "SP_COUNTRY_NAME")</f>
        <v>China</v>
      </c>
      <c r="CC257" t="s">
        <v>1728</v>
      </c>
      <c r="CD257">
        <v>5846303</v>
      </c>
      <c r="CE257" t="s">
        <v>346</v>
      </c>
      <c r="CF257" s="11">
        <v>0.01</v>
      </c>
      <c r="CG257" s="9" t="str">
        <f>_xll.SNL.Clients.Office.Excel.Functions.SPG(CD257, "SP_COUNTRY_NAME")</f>
        <v>Brazil</v>
      </c>
      <c r="CH257" t="s">
        <v>1368</v>
      </c>
      <c r="CI257">
        <v>11023422</v>
      </c>
      <c r="CJ257" t="s">
        <v>346</v>
      </c>
      <c r="CK257" s="11">
        <v>0</v>
      </c>
      <c r="CL257" s="9" t="str">
        <f>_xll.SNL.Clients.Office.Excel.Functions.SPG(CI257, "SP_COUNTRY_NAME")</f>
        <v>South Africa</v>
      </c>
      <c r="CM257" t="s">
        <v>2010</v>
      </c>
      <c r="CN257">
        <v>4146337</v>
      </c>
      <c r="CO257" t="s">
        <v>346</v>
      </c>
      <c r="CP257" s="11">
        <v>0.01</v>
      </c>
      <c r="CQ257" s="9" t="str">
        <f>_xll.SNL.Clients.Office.Excel.Functions.SPG(CN257, "SP_COUNTRY_NAME")</f>
        <v>USA</v>
      </c>
      <c r="CV257" s="9" t="str">
        <f>_xll.SNL.Clients.Office.Excel.Functions.SPG(CS257, "SP_COUNTRY_NAME")</f>
        <v>#INVALID COMPANY ID</v>
      </c>
      <c r="DA257" s="9" t="str">
        <f>_xll.SNL.Clients.Office.Excel.Functions.SPG(CX257, "SP_COUNTRY_NAME")</f>
        <v>#INVALID COMPANY ID</v>
      </c>
      <c r="DB257" t="s">
        <v>1469</v>
      </c>
      <c r="DC257">
        <v>4145396</v>
      </c>
      <c r="DD257" t="s">
        <v>346</v>
      </c>
      <c r="DE257" s="11">
        <v>0.01</v>
      </c>
      <c r="DF257" s="9" t="str">
        <f>_xll.SNL.Clients.Office.Excel.Functions.SPG(DC257, "SP_COUNTRY_NAME")</f>
        <v>USA</v>
      </c>
      <c r="DK257" s="9" t="str">
        <f>_xll.SNL.Clients.Office.Excel.Functions.SPG(DH257, "SP_COUNTRY_NAME")</f>
        <v>#INVALID COMPANY ID</v>
      </c>
      <c r="DL257" t="s">
        <v>1469</v>
      </c>
      <c r="DM257">
        <v>4145396</v>
      </c>
      <c r="DN257" t="s">
        <v>346</v>
      </c>
      <c r="DO257" s="11">
        <v>0.01</v>
      </c>
      <c r="DP257" s="9" t="str">
        <f>_xll.SNL.Clients.Office.Excel.Functions.SPG(DM257, "SP_COUNTRY_NAME")</f>
        <v>USA</v>
      </c>
      <c r="DU257" s="9" t="str">
        <f>_xll.SNL.Clients.Office.Excel.Functions.SPG(DR257, "SP_COUNTRY_NAME")</f>
        <v>#INVALID COMPANY ID</v>
      </c>
      <c r="DZ257" s="9" t="str">
        <f>_xll.SNL.Clients.Office.Excel.Functions.SPG(DW257, "SP_COUNTRY_NAME")</f>
        <v>#INVALID COMPANY ID</v>
      </c>
      <c r="EA257" t="s">
        <v>1728</v>
      </c>
      <c r="EB257">
        <v>5846303</v>
      </c>
      <c r="EC257" t="s">
        <v>346</v>
      </c>
      <c r="ED257" s="11">
        <v>0.01</v>
      </c>
      <c r="EE257" s="9" t="str">
        <f>_xll.SNL.Clients.Office.Excel.Functions.SPG(EB257, "SP_COUNTRY_NAME")</f>
        <v>Brazil</v>
      </c>
      <c r="EF257" t="s">
        <v>1469</v>
      </c>
      <c r="EG257">
        <v>4145396</v>
      </c>
      <c r="EH257" t="s">
        <v>346</v>
      </c>
      <c r="EI257" s="11">
        <v>0.01</v>
      </c>
      <c r="EJ257" s="9" t="str">
        <f>_xll.SNL.Clients.Office.Excel.Functions.SPG(EG257, "SP_COUNTRY_NAME")</f>
        <v>USA</v>
      </c>
      <c r="EO257" s="9" t="str">
        <f>_xll.SNL.Clients.Office.Excel.Functions.SPG(EL257, "SP_COUNTRY_NAME")</f>
        <v>#INVALID COMPANY ID</v>
      </c>
      <c r="ET257" s="9" t="str">
        <f>_xll.SNL.Clients.Office.Excel.Functions.SPG(EQ257, "SP_COUNTRY_NAME")</f>
        <v>#INVALID COMPANY ID</v>
      </c>
      <c r="EY257" s="9" t="str">
        <f>_xll.SNL.Clients.Office.Excel.Functions.SPG(EV257, "SP_COUNTRY_NAME")</f>
        <v>#INVALID COMPANY ID</v>
      </c>
      <c r="FD257" s="9" t="str">
        <f>_xll.SNL.Clients.Office.Excel.Functions.SPG(FA257, "SP_COUNTRY_NAME")</f>
        <v>#INVALID COMPANY ID</v>
      </c>
      <c r="FI257" s="9" t="str">
        <f>_xll.SNL.Clients.Office.Excel.Functions.SPG(FF257, "SP_COUNTRY_NAME")</f>
        <v>#INVALID COMPANY ID</v>
      </c>
      <c r="FN257" s="9" t="str">
        <f>_xll.SNL.Clients.Office.Excel.Functions.SPG(FK257, "SP_COUNTRY_NAME")</f>
        <v>#INVALID COMPANY ID</v>
      </c>
      <c r="FS257" s="9" t="str">
        <f>_xll.SNL.Clients.Office.Excel.Functions.SPG(FP257, "SP_COUNTRY_NAME")</f>
        <v>#INVALID COMPANY ID</v>
      </c>
      <c r="FX257" s="9" t="str">
        <f>_xll.SNL.Clients.Office.Excel.Functions.SPG(FU257, "SP_COUNTRY_NAME")</f>
        <v>#INVALID COMPANY ID</v>
      </c>
      <c r="FY257" t="s">
        <v>1469</v>
      </c>
      <c r="FZ257">
        <v>4145396</v>
      </c>
      <c r="GA257" t="s">
        <v>346</v>
      </c>
      <c r="GB257" s="11">
        <v>0.01</v>
      </c>
      <c r="GC257" s="9" t="str">
        <f>_xll.SNL.Clients.Office.Excel.Functions.SPG(FZ257, "SP_COUNTRY_NAME")</f>
        <v>USA</v>
      </c>
      <c r="GH257" s="9" t="str">
        <f>_xll.SNL.Clients.Office.Excel.Functions.SPG(GE257, "SP_COUNTRY_NAME")</f>
        <v>#INVALID COMPANY ID</v>
      </c>
      <c r="GM257" s="9" t="str">
        <f>_xll.SNL.Clients.Office.Excel.Functions.SPG(GJ257, "SP_COUNTRY_NAME")</f>
        <v>#INVALID COMPANY ID</v>
      </c>
      <c r="GR257" s="9" t="str">
        <f>_xll.SNL.Clients.Office.Excel.Functions.SPG(GO257, "SP_COUNTRY_NAME")</f>
        <v>#INVALID COMPANY ID</v>
      </c>
      <c r="GS257" t="s">
        <v>837</v>
      </c>
      <c r="GT257">
        <v>5830179</v>
      </c>
      <c r="GU257" t="s">
        <v>346</v>
      </c>
      <c r="GV257" s="11">
        <v>0</v>
      </c>
      <c r="GW257" s="9" t="str">
        <f>_xll.SNL.Clients.Office.Excel.Functions.SPG(GT257, "SP_COUNTRY_NAME")</f>
        <v>Ireland</v>
      </c>
      <c r="GX257" t="s">
        <v>1728</v>
      </c>
      <c r="GY257">
        <v>5846303</v>
      </c>
      <c r="GZ257" t="s">
        <v>346</v>
      </c>
      <c r="HA257" s="11">
        <v>0.01</v>
      </c>
      <c r="HB257" s="9" t="str">
        <f>_xll.SNL.Clients.Office.Excel.Functions.SPG(GY257, "SP_COUNTRY_NAME")</f>
        <v>Brazil</v>
      </c>
      <c r="HG257" s="9" t="str">
        <f>_xll.SNL.Clients.Office.Excel.Functions.SPG(HD257, "SP_COUNTRY_NAME")</f>
        <v>#INVALID COMPANY ID</v>
      </c>
    </row>
    <row r="258" spans="5:215" x14ac:dyDescent="0.35">
      <c r="E258" s="9" t="str">
        <f>_xll.SNL.Clients.Office.Excel.Functions.SPG(B258, "SP_COUNTRY_NAME")</f>
        <v>#INVALID COMPANY ID</v>
      </c>
      <c r="J258" s="9" t="str">
        <f>_xll.SNL.Clients.Office.Excel.Functions.SPG(G258, "SP_COUNTRY_NAME")</f>
        <v>#INVALID COMPANY ID</v>
      </c>
      <c r="O258" s="9" t="str">
        <f>_xll.SNL.Clients.Office.Excel.Functions.SPG(L258, "SP_COUNTRY_NAME")</f>
        <v>#INVALID COMPANY ID</v>
      </c>
      <c r="T258" s="9" t="str">
        <f>_xll.SNL.Clients.Office.Excel.Functions.SPG(Q258, "SP_COUNTRY_NAME")</f>
        <v>#INVALID COMPANY ID</v>
      </c>
      <c r="U258" t="s">
        <v>828</v>
      </c>
      <c r="V258">
        <v>4311273</v>
      </c>
      <c r="W258" t="s">
        <v>346</v>
      </c>
      <c r="X258" s="11">
        <v>0</v>
      </c>
      <c r="Y258" s="9" t="str">
        <f>_xll.SNL.Clients.Office.Excel.Functions.SPG(V258, "SP_COUNTRY_NAME")</f>
        <v>Hong Kong</v>
      </c>
      <c r="AD258" s="9" t="str">
        <f>_xll.SNL.Clients.Office.Excel.Functions.SPG(AA258, "SP_COUNTRY_NAME")</f>
        <v>#INVALID COMPANY ID</v>
      </c>
      <c r="AI258" s="9" t="str">
        <f>_xll.SNL.Clients.Office.Excel.Functions.SPG(AF258, "SP_COUNTRY_NAME")</f>
        <v>#INVALID COMPANY ID</v>
      </c>
      <c r="AN258" s="9" t="str">
        <f>_xll.SNL.Clients.Office.Excel.Functions.SPG(AK258, "SP_COUNTRY_NAME")</f>
        <v>#INVALID COMPANY ID</v>
      </c>
      <c r="AO258" t="s">
        <v>1369</v>
      </c>
      <c r="AP258">
        <v>8342880</v>
      </c>
      <c r="AQ258" t="s">
        <v>346</v>
      </c>
      <c r="AR258" s="11">
        <v>0</v>
      </c>
      <c r="AS258" s="9" t="str">
        <f>_xll.SNL.Clients.Office.Excel.Functions.SPG(AP258, "SP_COUNTRY_NAME")</f>
        <v>South Africa</v>
      </c>
      <c r="AX258" s="9" t="str">
        <f>_xll.SNL.Clients.Office.Excel.Functions.SPG(AU258, "SP_COUNTRY_NAME")</f>
        <v>#INVALID COMPANY ID</v>
      </c>
      <c r="BC258" s="9" t="str">
        <f>_xll.SNL.Clients.Office.Excel.Functions.SPG(AZ258, "SP_COUNTRY_NAME")</f>
        <v>#INVALID COMPANY ID</v>
      </c>
      <c r="BD258" t="s">
        <v>1018</v>
      </c>
      <c r="BE258">
        <v>4117563</v>
      </c>
      <c r="BF258" t="s">
        <v>346</v>
      </c>
      <c r="BG258" s="11">
        <v>0.01</v>
      </c>
      <c r="BH258" s="9" t="str">
        <f>_xll.SNL.Clients.Office.Excel.Functions.SPG(BE258, "SP_COUNTRY_NAME")</f>
        <v>USA</v>
      </c>
      <c r="BI258" t="s">
        <v>1599</v>
      </c>
      <c r="BJ258">
        <v>4283802</v>
      </c>
      <c r="BK258" t="s">
        <v>346</v>
      </c>
      <c r="BL258" s="11">
        <v>0</v>
      </c>
      <c r="BM258" s="9" t="str">
        <f>_xll.SNL.Clients.Office.Excel.Functions.SPG(BJ258, "SP_COUNTRY_NAME")</f>
        <v>USA</v>
      </c>
      <c r="BN258" t="s">
        <v>484</v>
      </c>
      <c r="BO258">
        <v>110386</v>
      </c>
      <c r="BP258" t="s">
        <v>346</v>
      </c>
      <c r="BQ258" s="11">
        <v>0</v>
      </c>
      <c r="BR258" s="9" t="str">
        <f>_xll.SNL.Clients.Office.Excel.Functions.SPG(BO258, "SP_COUNTRY_NAME")</f>
        <v>USA</v>
      </c>
      <c r="BS258" t="s">
        <v>506</v>
      </c>
      <c r="BT258">
        <v>4242466</v>
      </c>
      <c r="BU258" t="s">
        <v>346</v>
      </c>
      <c r="BV258" s="11">
        <v>0</v>
      </c>
      <c r="BW258" s="9" t="str">
        <f>_xll.SNL.Clients.Office.Excel.Functions.SPG(BT258, "SP_COUNTRY_NAME")</f>
        <v>Germany</v>
      </c>
      <c r="BX258" t="s">
        <v>828</v>
      </c>
      <c r="BY258">
        <v>4311273</v>
      </c>
      <c r="BZ258" t="s">
        <v>346</v>
      </c>
      <c r="CA258" s="11">
        <v>0</v>
      </c>
      <c r="CB258" s="9" t="str">
        <f>_xll.SNL.Clients.Office.Excel.Functions.SPG(BY258, "SP_COUNTRY_NAME")</f>
        <v>Hong Kong</v>
      </c>
      <c r="CC258" t="s">
        <v>1729</v>
      </c>
      <c r="CD258">
        <v>5884240</v>
      </c>
      <c r="CE258" t="s">
        <v>346</v>
      </c>
      <c r="CF258" s="11">
        <v>0.01</v>
      </c>
      <c r="CG258" s="9" t="str">
        <f>_xll.SNL.Clients.Office.Excel.Functions.SPG(CD258, "SP_COUNTRY_NAME")</f>
        <v>Brazil</v>
      </c>
      <c r="CH258" t="s">
        <v>1369</v>
      </c>
      <c r="CI258">
        <v>8342880</v>
      </c>
      <c r="CJ258" t="s">
        <v>346</v>
      </c>
      <c r="CK258" s="11">
        <v>0</v>
      </c>
      <c r="CL258" s="9" t="str">
        <f>_xll.SNL.Clients.Office.Excel.Functions.SPG(CI258, "SP_COUNTRY_NAME")</f>
        <v>South Africa</v>
      </c>
      <c r="CM258" t="s">
        <v>1326</v>
      </c>
      <c r="CN258">
        <v>4230198</v>
      </c>
      <c r="CO258" t="s">
        <v>346</v>
      </c>
      <c r="CP258" s="11">
        <v>0.01</v>
      </c>
      <c r="CQ258" s="9" t="str">
        <f>_xll.SNL.Clients.Office.Excel.Functions.SPG(CN258, "SP_COUNTRY_NAME")</f>
        <v>South Africa</v>
      </c>
      <c r="CV258" s="9" t="str">
        <f>_xll.SNL.Clients.Office.Excel.Functions.SPG(CS258, "SP_COUNTRY_NAME")</f>
        <v>#INVALID COMPANY ID</v>
      </c>
      <c r="DA258" s="9" t="str">
        <f>_xll.SNL.Clients.Office.Excel.Functions.SPG(CX258, "SP_COUNTRY_NAME")</f>
        <v>#INVALID COMPANY ID</v>
      </c>
      <c r="DB258" t="s">
        <v>1018</v>
      </c>
      <c r="DC258">
        <v>4117563</v>
      </c>
      <c r="DD258" t="s">
        <v>346</v>
      </c>
      <c r="DE258" s="11">
        <v>0.01</v>
      </c>
      <c r="DF258" s="9" t="str">
        <f>_xll.SNL.Clients.Office.Excel.Functions.SPG(DC258, "SP_COUNTRY_NAME")</f>
        <v>USA</v>
      </c>
      <c r="DK258" s="9" t="str">
        <f>_xll.SNL.Clients.Office.Excel.Functions.SPG(DH258, "SP_COUNTRY_NAME")</f>
        <v>#INVALID COMPANY ID</v>
      </c>
      <c r="DL258" t="s">
        <v>1018</v>
      </c>
      <c r="DM258">
        <v>4117563</v>
      </c>
      <c r="DN258" t="s">
        <v>346</v>
      </c>
      <c r="DO258" s="11">
        <v>0.01</v>
      </c>
      <c r="DP258" s="9" t="str">
        <f>_xll.SNL.Clients.Office.Excel.Functions.SPG(DM258, "SP_COUNTRY_NAME")</f>
        <v>USA</v>
      </c>
      <c r="DU258" s="9" t="str">
        <f>_xll.SNL.Clients.Office.Excel.Functions.SPG(DR258, "SP_COUNTRY_NAME")</f>
        <v>#INVALID COMPANY ID</v>
      </c>
      <c r="DZ258" s="9" t="str">
        <f>_xll.SNL.Clients.Office.Excel.Functions.SPG(DW258, "SP_COUNTRY_NAME")</f>
        <v>#INVALID COMPANY ID</v>
      </c>
      <c r="EA258" t="s">
        <v>1729</v>
      </c>
      <c r="EB258">
        <v>5884240</v>
      </c>
      <c r="EC258" t="s">
        <v>346</v>
      </c>
      <c r="ED258" s="11">
        <v>0.01</v>
      </c>
      <c r="EE258" s="9" t="str">
        <f>_xll.SNL.Clients.Office.Excel.Functions.SPG(EB258, "SP_COUNTRY_NAME")</f>
        <v>Brazil</v>
      </c>
      <c r="EF258" t="s">
        <v>1018</v>
      </c>
      <c r="EG258">
        <v>4117563</v>
      </c>
      <c r="EH258" t="s">
        <v>346</v>
      </c>
      <c r="EI258" s="11">
        <v>0.01</v>
      </c>
      <c r="EJ258" s="9" t="str">
        <f>_xll.SNL.Clients.Office.Excel.Functions.SPG(EG258, "SP_COUNTRY_NAME")</f>
        <v>USA</v>
      </c>
      <c r="EO258" s="9" t="str">
        <f>_xll.SNL.Clients.Office.Excel.Functions.SPG(EL258, "SP_COUNTRY_NAME")</f>
        <v>#INVALID COMPANY ID</v>
      </c>
      <c r="ET258" s="9" t="str">
        <f>_xll.SNL.Clients.Office.Excel.Functions.SPG(EQ258, "SP_COUNTRY_NAME")</f>
        <v>#INVALID COMPANY ID</v>
      </c>
      <c r="EY258" s="9" t="str">
        <f>_xll.SNL.Clients.Office.Excel.Functions.SPG(EV258, "SP_COUNTRY_NAME")</f>
        <v>#INVALID COMPANY ID</v>
      </c>
      <c r="FD258" s="9" t="str">
        <f>_xll.SNL.Clients.Office.Excel.Functions.SPG(FA258, "SP_COUNTRY_NAME")</f>
        <v>#INVALID COMPANY ID</v>
      </c>
      <c r="FI258" s="9" t="str">
        <f>_xll.SNL.Clients.Office.Excel.Functions.SPG(FF258, "SP_COUNTRY_NAME")</f>
        <v>#INVALID COMPANY ID</v>
      </c>
      <c r="FN258" s="9" t="str">
        <f>_xll.SNL.Clients.Office.Excel.Functions.SPG(FK258, "SP_COUNTRY_NAME")</f>
        <v>#INVALID COMPANY ID</v>
      </c>
      <c r="FS258" s="9" t="str">
        <f>_xll.SNL.Clients.Office.Excel.Functions.SPG(FP258, "SP_COUNTRY_NAME")</f>
        <v>#INVALID COMPANY ID</v>
      </c>
      <c r="FX258" s="9" t="str">
        <f>_xll.SNL.Clients.Office.Excel.Functions.SPG(FU258, "SP_COUNTRY_NAME")</f>
        <v>#INVALID COMPANY ID</v>
      </c>
      <c r="FY258" t="s">
        <v>1018</v>
      </c>
      <c r="FZ258">
        <v>4117563</v>
      </c>
      <c r="GA258" t="s">
        <v>346</v>
      </c>
      <c r="GB258" s="11">
        <v>0.01</v>
      </c>
      <c r="GC258" s="9" t="str">
        <f>_xll.SNL.Clients.Office.Excel.Functions.SPG(FZ258, "SP_COUNTRY_NAME")</f>
        <v>USA</v>
      </c>
      <c r="GH258" s="9" t="str">
        <f>_xll.SNL.Clients.Office.Excel.Functions.SPG(GE258, "SP_COUNTRY_NAME")</f>
        <v>#INVALID COMPANY ID</v>
      </c>
      <c r="GM258" s="9" t="str">
        <f>_xll.SNL.Clients.Office.Excel.Functions.SPG(GJ258, "SP_COUNTRY_NAME")</f>
        <v>#INVALID COMPANY ID</v>
      </c>
      <c r="GR258" s="9" t="str">
        <f>_xll.SNL.Clients.Office.Excel.Functions.SPG(GO258, "SP_COUNTRY_NAME")</f>
        <v>#INVALID COMPANY ID</v>
      </c>
      <c r="GS258" t="s">
        <v>484</v>
      </c>
      <c r="GT258">
        <v>110386</v>
      </c>
      <c r="GU258" t="s">
        <v>346</v>
      </c>
      <c r="GV258" s="11">
        <v>0</v>
      </c>
      <c r="GW258" s="9" t="str">
        <f>_xll.SNL.Clients.Office.Excel.Functions.SPG(GT258, "SP_COUNTRY_NAME")</f>
        <v>USA</v>
      </c>
      <c r="GX258" t="s">
        <v>1729</v>
      </c>
      <c r="GY258">
        <v>5884240</v>
      </c>
      <c r="GZ258" t="s">
        <v>346</v>
      </c>
      <c r="HA258" s="11">
        <v>0.01</v>
      </c>
      <c r="HB258" s="9" t="str">
        <f>_xll.SNL.Clients.Office.Excel.Functions.SPG(GY258, "SP_COUNTRY_NAME")</f>
        <v>Brazil</v>
      </c>
      <c r="HG258" s="9" t="str">
        <f>_xll.SNL.Clients.Office.Excel.Functions.SPG(HD258, "SP_COUNTRY_NAME")</f>
        <v>#INVALID COMPANY ID</v>
      </c>
    </row>
    <row r="259" spans="5:215" x14ac:dyDescent="0.35">
      <c r="E259" s="9" t="str">
        <f>_xll.SNL.Clients.Office.Excel.Functions.SPG(B259, "SP_COUNTRY_NAME")</f>
        <v>#INVALID COMPANY ID</v>
      </c>
      <c r="J259" s="9" t="str">
        <f>_xll.SNL.Clients.Office.Excel.Functions.SPG(G259, "SP_COUNTRY_NAME")</f>
        <v>#INVALID COMPANY ID</v>
      </c>
      <c r="O259" s="9" t="str">
        <f>_xll.SNL.Clients.Office.Excel.Functions.SPG(L259, "SP_COUNTRY_NAME")</f>
        <v>#INVALID COMPANY ID</v>
      </c>
      <c r="T259" s="9" t="str">
        <f>_xll.SNL.Clients.Office.Excel.Functions.SPG(Q259, "SP_COUNTRY_NAME")</f>
        <v>#INVALID COMPANY ID</v>
      </c>
      <c r="U259" t="s">
        <v>829</v>
      </c>
      <c r="V259">
        <v>4074095</v>
      </c>
      <c r="W259" t="s">
        <v>346</v>
      </c>
      <c r="X259" s="11">
        <v>0</v>
      </c>
      <c r="Y259" s="9" t="str">
        <f>_xll.SNL.Clients.Office.Excel.Functions.SPG(V259, "SP_COUNTRY_NAME")</f>
        <v>United Kingdom</v>
      </c>
      <c r="AD259" s="9" t="str">
        <f>_xll.SNL.Clients.Office.Excel.Functions.SPG(AA259, "SP_COUNTRY_NAME")</f>
        <v>#INVALID COMPANY ID</v>
      </c>
      <c r="AI259" s="9" t="str">
        <f>_xll.SNL.Clients.Office.Excel.Functions.SPG(AF259, "SP_COUNTRY_NAME")</f>
        <v>#INVALID COMPANY ID</v>
      </c>
      <c r="AN259" s="9" t="str">
        <f>_xll.SNL.Clients.Office.Excel.Functions.SPG(AK259, "SP_COUNTRY_NAME")</f>
        <v>#INVALID COMPANY ID</v>
      </c>
      <c r="AO259" t="s">
        <v>680</v>
      </c>
      <c r="AP259">
        <v>4246606</v>
      </c>
      <c r="AQ259" t="s">
        <v>346</v>
      </c>
      <c r="AR259" s="11">
        <v>0</v>
      </c>
      <c r="AS259" s="9" t="str">
        <f>_xll.SNL.Clients.Office.Excel.Functions.SPG(AP259, "SP_COUNTRY_NAME")</f>
        <v>Italy</v>
      </c>
      <c r="AX259" s="9" t="str">
        <f>_xll.SNL.Clients.Office.Excel.Functions.SPG(AU259, "SP_COUNTRY_NAME")</f>
        <v>#INVALID COMPANY ID</v>
      </c>
      <c r="BC259" s="9" t="str">
        <f>_xll.SNL.Clients.Office.Excel.Functions.SPG(AZ259, "SP_COUNTRY_NAME")</f>
        <v>#INVALID COMPANY ID</v>
      </c>
      <c r="BD259" t="s">
        <v>498</v>
      </c>
      <c r="BE259">
        <v>4187546</v>
      </c>
      <c r="BF259" t="s">
        <v>346</v>
      </c>
      <c r="BG259" s="11">
        <v>0.01</v>
      </c>
      <c r="BH259" s="9" t="str">
        <f>_xll.SNL.Clients.Office.Excel.Functions.SPG(BE259, "SP_COUNTRY_NAME")</f>
        <v>USA</v>
      </c>
      <c r="BI259" t="s">
        <v>387</v>
      </c>
      <c r="BJ259">
        <v>4020980</v>
      </c>
      <c r="BK259" t="s">
        <v>346</v>
      </c>
      <c r="BL259" s="11">
        <v>0</v>
      </c>
      <c r="BM259" s="9" t="str">
        <f>_xll.SNL.Clients.Office.Excel.Functions.SPG(BJ259, "SP_COUNTRY_NAME")</f>
        <v>Bermuda</v>
      </c>
      <c r="BN259" t="s">
        <v>737</v>
      </c>
      <c r="BO259">
        <v>4120029</v>
      </c>
      <c r="BP259" t="s">
        <v>346</v>
      </c>
      <c r="BQ259" s="11">
        <v>0</v>
      </c>
      <c r="BR259" s="9" t="str">
        <f>_xll.SNL.Clients.Office.Excel.Functions.SPG(BO259, "SP_COUNTRY_NAME")</f>
        <v>Hong Kong</v>
      </c>
      <c r="BS259" t="s">
        <v>766</v>
      </c>
      <c r="BT259">
        <v>4138826</v>
      </c>
      <c r="BU259" t="s">
        <v>346</v>
      </c>
      <c r="BV259" s="11">
        <v>0</v>
      </c>
      <c r="BW259" s="9" t="str">
        <f>_xll.SNL.Clients.Office.Excel.Functions.SPG(BT259, "SP_COUNTRY_NAME")</f>
        <v>China</v>
      </c>
      <c r="BX259" t="s">
        <v>829</v>
      </c>
      <c r="BY259">
        <v>4074095</v>
      </c>
      <c r="BZ259" t="s">
        <v>346</v>
      </c>
      <c r="CA259" s="11">
        <v>0</v>
      </c>
      <c r="CB259" s="9" t="str">
        <f>_xll.SNL.Clients.Office.Excel.Functions.SPG(BY259, "SP_COUNTRY_NAME")</f>
        <v>United Kingdom</v>
      </c>
      <c r="CC259" t="s">
        <v>467</v>
      </c>
      <c r="CD259">
        <v>7108293</v>
      </c>
      <c r="CE259" t="s">
        <v>369</v>
      </c>
      <c r="CF259" s="11">
        <v>0.01</v>
      </c>
      <c r="CG259" s="9" t="str">
        <f>_xll.SNL.Clients.Office.Excel.Functions.SPG(CD259, "SP_COUNTRY_NAME")</f>
        <v>United Kingdom</v>
      </c>
      <c r="CH259" t="s">
        <v>680</v>
      </c>
      <c r="CI259">
        <v>4246606</v>
      </c>
      <c r="CJ259" t="s">
        <v>346</v>
      </c>
      <c r="CK259" s="11">
        <v>0</v>
      </c>
      <c r="CL259" s="9" t="str">
        <f>_xll.SNL.Clients.Office.Excel.Functions.SPG(CI259, "SP_COUNTRY_NAME")</f>
        <v>Italy</v>
      </c>
      <c r="CM259" t="s">
        <v>440</v>
      </c>
      <c r="CN259">
        <v>4140078</v>
      </c>
      <c r="CO259" t="s">
        <v>346</v>
      </c>
      <c r="CP259" s="11">
        <v>0.01</v>
      </c>
      <c r="CQ259" s="9" t="str">
        <f>_xll.SNL.Clients.Office.Excel.Functions.SPG(CN259, "SP_COUNTRY_NAME")</f>
        <v>Japan</v>
      </c>
      <c r="CV259" s="9" t="str">
        <f>_xll.SNL.Clients.Office.Excel.Functions.SPG(CS259, "SP_COUNTRY_NAME")</f>
        <v>#INVALID COMPANY ID</v>
      </c>
      <c r="DA259" s="9" t="str">
        <f>_xll.SNL.Clients.Office.Excel.Functions.SPG(CX259, "SP_COUNTRY_NAME")</f>
        <v>#INVALID COMPANY ID</v>
      </c>
      <c r="DB259" t="s">
        <v>498</v>
      </c>
      <c r="DC259">
        <v>4187546</v>
      </c>
      <c r="DD259" t="s">
        <v>346</v>
      </c>
      <c r="DE259" s="11">
        <v>0.01</v>
      </c>
      <c r="DF259" s="9" t="str">
        <f>_xll.SNL.Clients.Office.Excel.Functions.SPG(DC259, "SP_COUNTRY_NAME")</f>
        <v>USA</v>
      </c>
      <c r="DK259" s="9" t="str">
        <f>_xll.SNL.Clients.Office.Excel.Functions.SPG(DH259, "SP_COUNTRY_NAME")</f>
        <v>#INVALID COMPANY ID</v>
      </c>
      <c r="DL259" t="s">
        <v>498</v>
      </c>
      <c r="DM259">
        <v>4187546</v>
      </c>
      <c r="DN259" t="s">
        <v>346</v>
      </c>
      <c r="DO259" s="11">
        <v>0.01</v>
      </c>
      <c r="DP259" s="9" t="str">
        <f>_xll.SNL.Clients.Office.Excel.Functions.SPG(DM259, "SP_COUNTRY_NAME")</f>
        <v>USA</v>
      </c>
      <c r="DU259" s="9" t="str">
        <f>_xll.SNL.Clients.Office.Excel.Functions.SPG(DR259, "SP_COUNTRY_NAME")</f>
        <v>#INVALID COMPANY ID</v>
      </c>
      <c r="DZ259" s="9" t="str">
        <f>_xll.SNL.Clients.Office.Excel.Functions.SPG(DW259, "SP_COUNTRY_NAME")</f>
        <v>#INVALID COMPANY ID</v>
      </c>
      <c r="EA259" t="s">
        <v>467</v>
      </c>
      <c r="EB259">
        <v>7108293</v>
      </c>
      <c r="EC259" t="s">
        <v>369</v>
      </c>
      <c r="ED259" s="11">
        <v>0.01</v>
      </c>
      <c r="EE259" s="9" t="str">
        <f>_xll.SNL.Clients.Office.Excel.Functions.SPG(EB259, "SP_COUNTRY_NAME")</f>
        <v>United Kingdom</v>
      </c>
      <c r="EF259" t="s">
        <v>498</v>
      </c>
      <c r="EG259">
        <v>4187546</v>
      </c>
      <c r="EH259" t="s">
        <v>346</v>
      </c>
      <c r="EI259" s="11">
        <v>0.01</v>
      </c>
      <c r="EJ259" s="9" t="str">
        <f>_xll.SNL.Clients.Office.Excel.Functions.SPG(EG259, "SP_COUNTRY_NAME")</f>
        <v>USA</v>
      </c>
      <c r="EO259" s="9" t="str">
        <f>_xll.SNL.Clients.Office.Excel.Functions.SPG(EL259, "SP_COUNTRY_NAME")</f>
        <v>#INVALID COMPANY ID</v>
      </c>
      <c r="ET259" s="9" t="str">
        <f>_xll.SNL.Clients.Office.Excel.Functions.SPG(EQ259, "SP_COUNTRY_NAME")</f>
        <v>#INVALID COMPANY ID</v>
      </c>
      <c r="EY259" s="9" t="str">
        <f>_xll.SNL.Clients.Office.Excel.Functions.SPG(EV259, "SP_COUNTRY_NAME")</f>
        <v>#INVALID COMPANY ID</v>
      </c>
      <c r="FD259" s="9" t="str">
        <f>_xll.SNL.Clients.Office.Excel.Functions.SPG(FA259, "SP_COUNTRY_NAME")</f>
        <v>#INVALID COMPANY ID</v>
      </c>
      <c r="FI259" s="9" t="str">
        <f>_xll.SNL.Clients.Office.Excel.Functions.SPG(FF259, "SP_COUNTRY_NAME")</f>
        <v>#INVALID COMPANY ID</v>
      </c>
      <c r="FN259" s="9" t="str">
        <f>_xll.SNL.Clients.Office.Excel.Functions.SPG(FK259, "SP_COUNTRY_NAME")</f>
        <v>#INVALID COMPANY ID</v>
      </c>
      <c r="FS259" s="9" t="str">
        <f>_xll.SNL.Clients.Office.Excel.Functions.SPG(FP259, "SP_COUNTRY_NAME")</f>
        <v>#INVALID COMPANY ID</v>
      </c>
      <c r="FX259" s="9" t="str">
        <f>_xll.SNL.Clients.Office.Excel.Functions.SPG(FU259, "SP_COUNTRY_NAME")</f>
        <v>#INVALID COMPANY ID</v>
      </c>
      <c r="FY259" t="s">
        <v>498</v>
      </c>
      <c r="FZ259">
        <v>4187546</v>
      </c>
      <c r="GA259" t="s">
        <v>346</v>
      </c>
      <c r="GB259" s="11">
        <v>0.01</v>
      </c>
      <c r="GC259" s="9" t="str">
        <f>_xll.SNL.Clients.Office.Excel.Functions.SPG(FZ259, "SP_COUNTRY_NAME")</f>
        <v>USA</v>
      </c>
      <c r="GH259" s="9" t="str">
        <f>_xll.SNL.Clients.Office.Excel.Functions.SPG(GE259, "SP_COUNTRY_NAME")</f>
        <v>#INVALID COMPANY ID</v>
      </c>
      <c r="GM259" s="9" t="str">
        <f>_xll.SNL.Clients.Office.Excel.Functions.SPG(GJ259, "SP_COUNTRY_NAME")</f>
        <v>#INVALID COMPANY ID</v>
      </c>
      <c r="GR259" s="9" t="str">
        <f>_xll.SNL.Clients.Office.Excel.Functions.SPG(GO259, "SP_COUNTRY_NAME")</f>
        <v>#INVALID COMPANY ID</v>
      </c>
      <c r="GS259" t="s">
        <v>737</v>
      </c>
      <c r="GT259">
        <v>4120029</v>
      </c>
      <c r="GU259" t="s">
        <v>346</v>
      </c>
      <c r="GV259" s="11">
        <v>0</v>
      </c>
      <c r="GW259" s="9" t="str">
        <f>_xll.SNL.Clients.Office.Excel.Functions.SPG(GT259, "SP_COUNTRY_NAME")</f>
        <v>Hong Kong</v>
      </c>
      <c r="GX259" t="s">
        <v>467</v>
      </c>
      <c r="GY259">
        <v>7108293</v>
      </c>
      <c r="GZ259" t="s">
        <v>369</v>
      </c>
      <c r="HA259" s="11">
        <v>0.01</v>
      </c>
      <c r="HB259" s="9" t="str">
        <f>_xll.SNL.Clients.Office.Excel.Functions.SPG(GY259, "SP_COUNTRY_NAME")</f>
        <v>United Kingdom</v>
      </c>
      <c r="HG259" s="9" t="str">
        <f>_xll.SNL.Clients.Office.Excel.Functions.SPG(HD259, "SP_COUNTRY_NAME")</f>
        <v>#INVALID COMPANY ID</v>
      </c>
    </row>
    <row r="260" spans="5:215" x14ac:dyDescent="0.35">
      <c r="E260" s="9" t="str">
        <f>_xll.SNL.Clients.Office.Excel.Functions.SPG(B260, "SP_COUNTRY_NAME")</f>
        <v>#INVALID COMPANY ID</v>
      </c>
      <c r="J260" s="9" t="str">
        <f>_xll.SNL.Clients.Office.Excel.Functions.SPG(G260, "SP_COUNTRY_NAME")</f>
        <v>#INVALID COMPANY ID</v>
      </c>
      <c r="O260" s="9" t="str">
        <f>_xll.SNL.Clients.Office.Excel.Functions.SPG(L260, "SP_COUNTRY_NAME")</f>
        <v>#INVALID COMPANY ID</v>
      </c>
      <c r="T260" s="9" t="str">
        <f>_xll.SNL.Clients.Office.Excel.Functions.SPG(Q260, "SP_COUNTRY_NAME")</f>
        <v>#INVALID COMPANY ID</v>
      </c>
      <c r="U260" t="s">
        <v>425</v>
      </c>
      <c r="V260">
        <v>4137704</v>
      </c>
      <c r="W260" t="s">
        <v>346</v>
      </c>
      <c r="X260" s="11">
        <v>0</v>
      </c>
      <c r="Y260" s="9" t="str">
        <f>_xll.SNL.Clients.Office.Excel.Functions.SPG(V260, "SP_COUNTRY_NAME")</f>
        <v>Japan</v>
      </c>
      <c r="AD260" s="9" t="str">
        <f>_xll.SNL.Clients.Office.Excel.Functions.SPG(AA260, "SP_COUNTRY_NAME")</f>
        <v>#INVALID COMPANY ID</v>
      </c>
      <c r="AI260" s="9" t="str">
        <f>_xll.SNL.Clients.Office.Excel.Functions.SPG(AF260, "SP_COUNTRY_NAME")</f>
        <v>#INVALID COMPANY ID</v>
      </c>
      <c r="AN260" s="9" t="str">
        <f>_xll.SNL.Clients.Office.Excel.Functions.SPG(AK260, "SP_COUNTRY_NAME")</f>
        <v>#INVALID COMPANY ID</v>
      </c>
      <c r="AO260" t="s">
        <v>600</v>
      </c>
      <c r="AP260">
        <v>4145203</v>
      </c>
      <c r="AQ260" t="s">
        <v>346</v>
      </c>
      <c r="AR260" s="11">
        <v>0</v>
      </c>
      <c r="AS260" s="9" t="str">
        <f>_xll.SNL.Clients.Office.Excel.Functions.SPG(AP260, "SP_COUNTRY_NAME")</f>
        <v>USA</v>
      </c>
      <c r="AX260" s="9" t="str">
        <f>_xll.SNL.Clients.Office.Excel.Functions.SPG(AU260, "SP_COUNTRY_NAME")</f>
        <v>#INVALID COMPANY ID</v>
      </c>
      <c r="BC260" s="9" t="str">
        <f>_xll.SNL.Clients.Office.Excel.Functions.SPG(AZ260, "SP_COUNTRY_NAME")</f>
        <v>#INVALID COMPANY ID</v>
      </c>
      <c r="BD260" t="s">
        <v>502</v>
      </c>
      <c r="BE260">
        <v>4225041</v>
      </c>
      <c r="BF260" t="s">
        <v>346</v>
      </c>
      <c r="BG260" s="11">
        <v>0.01</v>
      </c>
      <c r="BH260" s="9" t="str">
        <f>_xll.SNL.Clients.Office.Excel.Functions.SPG(BE260, "SP_COUNTRY_NAME")</f>
        <v>Ireland</v>
      </c>
      <c r="BI260" t="s">
        <v>599</v>
      </c>
      <c r="BJ260">
        <v>19350037</v>
      </c>
      <c r="BK260" t="s">
        <v>346</v>
      </c>
      <c r="BL260" s="11">
        <v>0</v>
      </c>
      <c r="BM260" s="9" t="str">
        <f>_xll.SNL.Clients.Office.Excel.Functions.SPG(BJ260, "SP_COUNTRY_NAME")</f>
        <v>United Kingdom</v>
      </c>
      <c r="BN260" t="s">
        <v>395</v>
      </c>
      <c r="BO260">
        <v>4153606</v>
      </c>
      <c r="BP260" t="s">
        <v>346</v>
      </c>
      <c r="BQ260" s="11">
        <v>0</v>
      </c>
      <c r="BR260" s="9" t="str">
        <f>_xll.SNL.Clients.Office.Excel.Functions.SPG(BO260, "SP_COUNTRY_NAME")</f>
        <v>USA</v>
      </c>
      <c r="BS260" t="s">
        <v>657</v>
      </c>
      <c r="BT260">
        <v>5851513</v>
      </c>
      <c r="BU260" t="s">
        <v>346</v>
      </c>
      <c r="BV260" s="11">
        <v>0</v>
      </c>
      <c r="BW260" s="9" t="str">
        <f>_xll.SNL.Clients.Office.Excel.Functions.SPG(BT260, "SP_COUNTRY_NAME")</f>
        <v>Canada</v>
      </c>
      <c r="BX260" t="s">
        <v>425</v>
      </c>
      <c r="BY260">
        <v>4137704</v>
      </c>
      <c r="BZ260" t="s">
        <v>346</v>
      </c>
      <c r="CA260" s="11">
        <v>0</v>
      </c>
      <c r="CB260" s="9" t="str">
        <f>_xll.SNL.Clients.Office.Excel.Functions.SPG(BY260, "SP_COUNTRY_NAME")</f>
        <v>Japan</v>
      </c>
      <c r="CC260" t="s">
        <v>1730</v>
      </c>
      <c r="CD260">
        <v>4609245</v>
      </c>
      <c r="CE260" t="s">
        <v>346</v>
      </c>
      <c r="CF260" s="11">
        <v>0.01</v>
      </c>
      <c r="CG260" s="9" t="str">
        <f>_xll.SNL.Clients.Office.Excel.Functions.SPG(CD260, "SP_COUNTRY_NAME")</f>
        <v>Brazil</v>
      </c>
      <c r="CH260" t="s">
        <v>600</v>
      </c>
      <c r="CI260">
        <v>4145203</v>
      </c>
      <c r="CJ260" t="s">
        <v>346</v>
      </c>
      <c r="CK260" s="11">
        <v>0</v>
      </c>
      <c r="CL260" s="9" t="str">
        <f>_xll.SNL.Clients.Office.Excel.Functions.SPG(CI260, "SP_COUNTRY_NAME")</f>
        <v>USA</v>
      </c>
      <c r="CM260" t="s">
        <v>433</v>
      </c>
      <c r="CN260">
        <v>3000896</v>
      </c>
      <c r="CO260" t="s">
        <v>346</v>
      </c>
      <c r="CP260" s="11">
        <v>0.01</v>
      </c>
      <c r="CQ260" s="9" t="str">
        <f>_xll.SNL.Clients.Office.Excel.Functions.SPG(CN260, "SP_COUNTRY_NAME")</f>
        <v>USA</v>
      </c>
      <c r="CV260" s="9" t="str">
        <f>_xll.SNL.Clients.Office.Excel.Functions.SPG(CS260, "SP_COUNTRY_NAME")</f>
        <v>#INVALID COMPANY ID</v>
      </c>
      <c r="DA260" s="9" t="str">
        <f>_xll.SNL.Clients.Office.Excel.Functions.SPG(CX260, "SP_COUNTRY_NAME")</f>
        <v>#INVALID COMPANY ID</v>
      </c>
      <c r="DB260" t="s">
        <v>502</v>
      </c>
      <c r="DC260">
        <v>4225041</v>
      </c>
      <c r="DD260" t="s">
        <v>346</v>
      </c>
      <c r="DE260" s="11">
        <v>0.01</v>
      </c>
      <c r="DF260" s="9" t="str">
        <f>_xll.SNL.Clients.Office.Excel.Functions.SPG(DC260, "SP_COUNTRY_NAME")</f>
        <v>Ireland</v>
      </c>
      <c r="DK260" s="9" t="str">
        <f>_xll.SNL.Clients.Office.Excel.Functions.SPG(DH260, "SP_COUNTRY_NAME")</f>
        <v>#INVALID COMPANY ID</v>
      </c>
      <c r="DL260" t="s">
        <v>502</v>
      </c>
      <c r="DM260">
        <v>4225041</v>
      </c>
      <c r="DN260" t="s">
        <v>346</v>
      </c>
      <c r="DO260" s="11">
        <v>0.01</v>
      </c>
      <c r="DP260" s="9" t="str">
        <f>_xll.SNL.Clients.Office.Excel.Functions.SPG(DM260, "SP_COUNTRY_NAME")</f>
        <v>Ireland</v>
      </c>
      <c r="DU260" s="9" t="str">
        <f>_xll.SNL.Clients.Office.Excel.Functions.SPG(DR260, "SP_COUNTRY_NAME")</f>
        <v>#INVALID COMPANY ID</v>
      </c>
      <c r="DZ260" s="9" t="str">
        <f>_xll.SNL.Clients.Office.Excel.Functions.SPG(DW260, "SP_COUNTRY_NAME")</f>
        <v>#INVALID COMPANY ID</v>
      </c>
      <c r="EA260" t="s">
        <v>1730</v>
      </c>
      <c r="EB260">
        <v>4609245</v>
      </c>
      <c r="EC260" t="s">
        <v>346</v>
      </c>
      <c r="ED260" s="11">
        <v>0.01</v>
      </c>
      <c r="EE260" s="9" t="str">
        <f>_xll.SNL.Clients.Office.Excel.Functions.SPG(EB260, "SP_COUNTRY_NAME")</f>
        <v>Brazil</v>
      </c>
      <c r="EF260" t="s">
        <v>502</v>
      </c>
      <c r="EG260">
        <v>4225041</v>
      </c>
      <c r="EH260" t="s">
        <v>346</v>
      </c>
      <c r="EI260" s="11">
        <v>0.01</v>
      </c>
      <c r="EJ260" s="9" t="str">
        <f>_xll.SNL.Clients.Office.Excel.Functions.SPG(EG260, "SP_COUNTRY_NAME")</f>
        <v>Ireland</v>
      </c>
      <c r="EO260" s="9" t="str">
        <f>_xll.SNL.Clients.Office.Excel.Functions.SPG(EL260, "SP_COUNTRY_NAME")</f>
        <v>#INVALID COMPANY ID</v>
      </c>
      <c r="ET260" s="9" t="str">
        <f>_xll.SNL.Clients.Office.Excel.Functions.SPG(EQ260, "SP_COUNTRY_NAME")</f>
        <v>#INVALID COMPANY ID</v>
      </c>
      <c r="EY260" s="9" t="str">
        <f>_xll.SNL.Clients.Office.Excel.Functions.SPG(EV260, "SP_COUNTRY_NAME")</f>
        <v>#INVALID COMPANY ID</v>
      </c>
      <c r="FD260" s="9" t="str">
        <f>_xll.SNL.Clients.Office.Excel.Functions.SPG(FA260, "SP_COUNTRY_NAME")</f>
        <v>#INVALID COMPANY ID</v>
      </c>
      <c r="FI260" s="9" t="str">
        <f>_xll.SNL.Clients.Office.Excel.Functions.SPG(FF260, "SP_COUNTRY_NAME")</f>
        <v>#INVALID COMPANY ID</v>
      </c>
      <c r="FN260" s="9" t="str">
        <f>_xll.SNL.Clients.Office.Excel.Functions.SPG(FK260, "SP_COUNTRY_NAME")</f>
        <v>#INVALID COMPANY ID</v>
      </c>
      <c r="FS260" s="9" t="str">
        <f>_xll.SNL.Clients.Office.Excel.Functions.SPG(FP260, "SP_COUNTRY_NAME")</f>
        <v>#INVALID COMPANY ID</v>
      </c>
      <c r="FX260" s="9" t="str">
        <f>_xll.SNL.Clients.Office.Excel.Functions.SPG(FU260, "SP_COUNTRY_NAME")</f>
        <v>#INVALID COMPANY ID</v>
      </c>
      <c r="FY260" t="s">
        <v>502</v>
      </c>
      <c r="FZ260">
        <v>4225041</v>
      </c>
      <c r="GA260" t="s">
        <v>346</v>
      </c>
      <c r="GB260" s="11">
        <v>0.01</v>
      </c>
      <c r="GC260" s="9" t="str">
        <f>_xll.SNL.Clients.Office.Excel.Functions.SPG(FZ260, "SP_COUNTRY_NAME")</f>
        <v>Ireland</v>
      </c>
      <c r="GH260" s="9" t="str">
        <f>_xll.SNL.Clients.Office.Excel.Functions.SPG(GE260, "SP_COUNTRY_NAME")</f>
        <v>#INVALID COMPANY ID</v>
      </c>
      <c r="GM260" s="9" t="str">
        <f>_xll.SNL.Clients.Office.Excel.Functions.SPG(GJ260, "SP_COUNTRY_NAME")</f>
        <v>#INVALID COMPANY ID</v>
      </c>
      <c r="GR260" s="9" t="str">
        <f>_xll.SNL.Clients.Office.Excel.Functions.SPG(GO260, "SP_COUNTRY_NAME")</f>
        <v>#INVALID COMPANY ID</v>
      </c>
      <c r="GS260" t="s">
        <v>395</v>
      </c>
      <c r="GT260">
        <v>4153606</v>
      </c>
      <c r="GU260" t="s">
        <v>346</v>
      </c>
      <c r="GV260" s="11">
        <v>0</v>
      </c>
      <c r="GW260" s="9" t="str">
        <f>_xll.SNL.Clients.Office.Excel.Functions.SPG(GT260, "SP_COUNTRY_NAME")</f>
        <v>USA</v>
      </c>
      <c r="GX260" t="s">
        <v>1730</v>
      </c>
      <c r="GY260">
        <v>4609245</v>
      </c>
      <c r="GZ260" t="s">
        <v>346</v>
      </c>
      <c r="HA260" s="11">
        <v>0.01</v>
      </c>
      <c r="HB260" s="9" t="str">
        <f>_xll.SNL.Clients.Office.Excel.Functions.SPG(GY260, "SP_COUNTRY_NAME")</f>
        <v>Brazil</v>
      </c>
      <c r="HG260" s="9" t="str">
        <f>_xll.SNL.Clients.Office.Excel.Functions.SPG(HD260, "SP_COUNTRY_NAME")</f>
        <v>#INVALID COMPANY ID</v>
      </c>
    </row>
    <row r="261" spans="5:215" x14ac:dyDescent="0.35">
      <c r="E261" s="9" t="str">
        <f>_xll.SNL.Clients.Office.Excel.Functions.SPG(B261, "SP_COUNTRY_NAME")</f>
        <v>#INVALID COMPANY ID</v>
      </c>
      <c r="J261" s="9" t="str">
        <f>_xll.SNL.Clients.Office.Excel.Functions.SPG(G261, "SP_COUNTRY_NAME")</f>
        <v>#INVALID COMPANY ID</v>
      </c>
      <c r="O261" s="9" t="str">
        <f>_xll.SNL.Clients.Office.Excel.Functions.SPG(L261, "SP_COUNTRY_NAME")</f>
        <v>#INVALID COMPANY ID</v>
      </c>
      <c r="T261" s="9" t="str">
        <f>_xll.SNL.Clients.Office.Excel.Functions.SPG(Q261, "SP_COUNTRY_NAME")</f>
        <v>#INVALID COMPANY ID</v>
      </c>
      <c r="U261" t="s">
        <v>378</v>
      </c>
      <c r="V261">
        <v>4048184</v>
      </c>
      <c r="W261" t="s">
        <v>346</v>
      </c>
      <c r="X261" s="11">
        <v>0</v>
      </c>
      <c r="Y261" s="9" t="str">
        <f>_xll.SNL.Clients.Office.Excel.Functions.SPG(V261, "SP_COUNTRY_NAME")</f>
        <v>Canada</v>
      </c>
      <c r="AD261" s="9" t="str">
        <f>_xll.SNL.Clients.Office.Excel.Functions.SPG(AA261, "SP_COUNTRY_NAME")</f>
        <v>#INVALID COMPANY ID</v>
      </c>
      <c r="AI261" s="9" t="str">
        <f>_xll.SNL.Clients.Office.Excel.Functions.SPG(AF261, "SP_COUNTRY_NAME")</f>
        <v>#INVALID COMPANY ID</v>
      </c>
      <c r="AN261" s="9" t="str">
        <f>_xll.SNL.Clients.Office.Excel.Functions.SPG(AK261, "SP_COUNTRY_NAME")</f>
        <v>#INVALID COMPANY ID</v>
      </c>
      <c r="AO261" t="s">
        <v>1178</v>
      </c>
      <c r="AP261">
        <v>5823212</v>
      </c>
      <c r="AQ261" t="s">
        <v>346</v>
      </c>
      <c r="AR261" s="11">
        <v>0</v>
      </c>
      <c r="AS261" s="9" t="str">
        <f>_xll.SNL.Clients.Office.Excel.Functions.SPG(AP261, "SP_COUNTRY_NAME")</f>
        <v>#INVALID COMPANY ID</v>
      </c>
      <c r="AX261" s="9" t="str">
        <f>_xll.SNL.Clients.Office.Excel.Functions.SPG(AU261, "SP_COUNTRY_NAME")</f>
        <v>#INVALID COMPANY ID</v>
      </c>
      <c r="BC261" s="9" t="str">
        <f>_xll.SNL.Clients.Office.Excel.Functions.SPG(AZ261, "SP_COUNTRY_NAME")</f>
        <v>#INVALID COMPANY ID</v>
      </c>
      <c r="BD261" t="s">
        <v>559</v>
      </c>
      <c r="BE261">
        <v>4018163</v>
      </c>
      <c r="BF261" t="s">
        <v>346</v>
      </c>
      <c r="BG261" s="11">
        <v>0.01</v>
      </c>
      <c r="BH261" s="9" t="str">
        <f>_xll.SNL.Clients.Office.Excel.Functions.SPG(BE261, "SP_COUNTRY_NAME")</f>
        <v>USA</v>
      </c>
      <c r="BI261" t="s">
        <v>1600</v>
      </c>
      <c r="BJ261" t="s">
        <v>300</v>
      </c>
      <c r="BK261" t="s">
        <v>361</v>
      </c>
      <c r="BL261" s="11">
        <v>0</v>
      </c>
      <c r="BM261" s="9" t="str">
        <f>_xll.SNL.Clients.Office.Excel.Functions.SPG(BJ261, "SP_COUNTRY_NAME")</f>
        <v>China</v>
      </c>
      <c r="BN261" t="s">
        <v>576</v>
      </c>
      <c r="BO261">
        <v>4672091</v>
      </c>
      <c r="BP261" t="s">
        <v>300</v>
      </c>
      <c r="BQ261" s="11">
        <v>0</v>
      </c>
      <c r="BR261" s="9" t="str">
        <f>_xll.SNL.Clients.Office.Excel.Functions.SPG(BO261, "SP_COUNTRY_NAME")</f>
        <v>South Africa</v>
      </c>
      <c r="BS261" t="s">
        <v>543</v>
      </c>
      <c r="BT261">
        <v>4138118</v>
      </c>
      <c r="BU261" t="s">
        <v>346</v>
      </c>
      <c r="BV261" s="11">
        <v>0</v>
      </c>
      <c r="BW261" s="9" t="str">
        <f>_xll.SNL.Clients.Office.Excel.Functions.SPG(BT261, "SP_COUNTRY_NAME")</f>
        <v>Hong Kong</v>
      </c>
      <c r="BX261" t="s">
        <v>378</v>
      </c>
      <c r="BY261">
        <v>4048184</v>
      </c>
      <c r="BZ261" t="s">
        <v>346</v>
      </c>
      <c r="CA261" s="11">
        <v>0</v>
      </c>
      <c r="CB261" s="9" t="str">
        <f>_xll.SNL.Clients.Office.Excel.Functions.SPG(BY261, "SP_COUNTRY_NAME")</f>
        <v>Canada</v>
      </c>
      <c r="CC261" t="s">
        <v>979</v>
      </c>
      <c r="CD261">
        <v>4041196</v>
      </c>
      <c r="CE261" t="s">
        <v>366</v>
      </c>
      <c r="CF261" s="11">
        <v>0.01</v>
      </c>
      <c r="CG261" s="9" t="str">
        <f>_xll.SNL.Clients.Office.Excel.Functions.SPG(CD261, "SP_COUNTRY_NAME")</f>
        <v>United Kingdom</v>
      </c>
      <c r="CH261" t="s">
        <v>1178</v>
      </c>
      <c r="CI261">
        <v>5823212</v>
      </c>
      <c r="CJ261" t="s">
        <v>346</v>
      </c>
      <c r="CK261" s="11">
        <v>0</v>
      </c>
      <c r="CL261" s="9" t="str">
        <f>_xll.SNL.Clients.Office.Excel.Functions.SPG(CI261, "SP_COUNTRY_NAME")</f>
        <v>#INVALID COMPANY ID</v>
      </c>
      <c r="CM261" t="s">
        <v>2011</v>
      </c>
      <c r="CN261" t="s">
        <v>300</v>
      </c>
      <c r="CO261" t="s">
        <v>361</v>
      </c>
      <c r="CP261" s="11">
        <v>0.01</v>
      </c>
      <c r="CQ261" s="9" t="str">
        <f>_xll.SNL.Clients.Office.Excel.Functions.SPG(CN261, "SP_COUNTRY_NAME")</f>
        <v>China</v>
      </c>
      <c r="CV261" s="9" t="str">
        <f>_xll.SNL.Clients.Office.Excel.Functions.SPG(CS261, "SP_COUNTRY_NAME")</f>
        <v>#INVALID COMPANY ID</v>
      </c>
      <c r="DA261" s="9" t="str">
        <f>_xll.SNL.Clients.Office.Excel.Functions.SPG(CX261, "SP_COUNTRY_NAME")</f>
        <v>#INVALID COMPANY ID</v>
      </c>
      <c r="DB261" t="s">
        <v>559</v>
      </c>
      <c r="DC261">
        <v>4018163</v>
      </c>
      <c r="DD261" t="s">
        <v>346</v>
      </c>
      <c r="DE261" s="11">
        <v>0.01</v>
      </c>
      <c r="DF261" s="9" t="str">
        <f>_xll.SNL.Clients.Office.Excel.Functions.SPG(DC261, "SP_COUNTRY_NAME")</f>
        <v>USA</v>
      </c>
      <c r="DK261" s="9" t="str">
        <f>_xll.SNL.Clients.Office.Excel.Functions.SPG(DH261, "SP_COUNTRY_NAME")</f>
        <v>#INVALID COMPANY ID</v>
      </c>
      <c r="DL261" t="s">
        <v>559</v>
      </c>
      <c r="DM261">
        <v>4018163</v>
      </c>
      <c r="DN261" t="s">
        <v>346</v>
      </c>
      <c r="DO261" s="11">
        <v>0.01</v>
      </c>
      <c r="DP261" s="9" t="str">
        <f>_xll.SNL.Clients.Office.Excel.Functions.SPG(DM261, "SP_COUNTRY_NAME")</f>
        <v>USA</v>
      </c>
      <c r="DU261" s="9" t="str">
        <f>_xll.SNL.Clients.Office.Excel.Functions.SPG(DR261, "SP_COUNTRY_NAME")</f>
        <v>#INVALID COMPANY ID</v>
      </c>
      <c r="DZ261" s="9" t="str">
        <f>_xll.SNL.Clients.Office.Excel.Functions.SPG(DW261, "SP_COUNTRY_NAME")</f>
        <v>#INVALID COMPANY ID</v>
      </c>
      <c r="EA261" t="s">
        <v>979</v>
      </c>
      <c r="EB261">
        <v>4041196</v>
      </c>
      <c r="EC261" t="s">
        <v>366</v>
      </c>
      <c r="ED261" s="11">
        <v>0.01</v>
      </c>
      <c r="EE261" s="9" t="str">
        <f>_xll.SNL.Clients.Office.Excel.Functions.SPG(EB261, "SP_COUNTRY_NAME")</f>
        <v>United Kingdom</v>
      </c>
      <c r="EF261" t="s">
        <v>559</v>
      </c>
      <c r="EG261">
        <v>4018163</v>
      </c>
      <c r="EH261" t="s">
        <v>346</v>
      </c>
      <c r="EI261" s="11">
        <v>0.01</v>
      </c>
      <c r="EJ261" s="9" t="str">
        <f>_xll.SNL.Clients.Office.Excel.Functions.SPG(EG261, "SP_COUNTRY_NAME")</f>
        <v>USA</v>
      </c>
      <c r="EO261" s="9" t="str">
        <f>_xll.SNL.Clients.Office.Excel.Functions.SPG(EL261, "SP_COUNTRY_NAME")</f>
        <v>#INVALID COMPANY ID</v>
      </c>
      <c r="ET261" s="9" t="str">
        <f>_xll.SNL.Clients.Office.Excel.Functions.SPG(EQ261, "SP_COUNTRY_NAME")</f>
        <v>#INVALID COMPANY ID</v>
      </c>
      <c r="EY261" s="9" t="str">
        <f>_xll.SNL.Clients.Office.Excel.Functions.SPG(EV261, "SP_COUNTRY_NAME")</f>
        <v>#INVALID COMPANY ID</v>
      </c>
      <c r="FD261" s="9" t="str">
        <f>_xll.SNL.Clients.Office.Excel.Functions.SPG(FA261, "SP_COUNTRY_NAME")</f>
        <v>#INVALID COMPANY ID</v>
      </c>
      <c r="FI261" s="9" t="str">
        <f>_xll.SNL.Clients.Office.Excel.Functions.SPG(FF261, "SP_COUNTRY_NAME")</f>
        <v>#INVALID COMPANY ID</v>
      </c>
      <c r="FN261" s="9" t="str">
        <f>_xll.SNL.Clients.Office.Excel.Functions.SPG(FK261, "SP_COUNTRY_NAME")</f>
        <v>#INVALID COMPANY ID</v>
      </c>
      <c r="FS261" s="9" t="str">
        <f>_xll.SNL.Clients.Office.Excel.Functions.SPG(FP261, "SP_COUNTRY_NAME")</f>
        <v>#INVALID COMPANY ID</v>
      </c>
      <c r="FX261" s="9" t="str">
        <f>_xll.SNL.Clients.Office.Excel.Functions.SPG(FU261, "SP_COUNTRY_NAME")</f>
        <v>#INVALID COMPANY ID</v>
      </c>
      <c r="FY261" t="s">
        <v>559</v>
      </c>
      <c r="FZ261">
        <v>4018163</v>
      </c>
      <c r="GA261" t="s">
        <v>346</v>
      </c>
      <c r="GB261" s="11">
        <v>0.01</v>
      </c>
      <c r="GC261" s="9" t="str">
        <f>_xll.SNL.Clients.Office.Excel.Functions.SPG(FZ261, "SP_COUNTRY_NAME")</f>
        <v>USA</v>
      </c>
      <c r="GH261" s="9" t="str">
        <f>_xll.SNL.Clients.Office.Excel.Functions.SPG(GE261, "SP_COUNTRY_NAME")</f>
        <v>#INVALID COMPANY ID</v>
      </c>
      <c r="GM261" s="9" t="str">
        <f>_xll.SNL.Clients.Office.Excel.Functions.SPG(GJ261, "SP_COUNTRY_NAME")</f>
        <v>#INVALID COMPANY ID</v>
      </c>
      <c r="GR261" s="9" t="str">
        <f>_xll.SNL.Clients.Office.Excel.Functions.SPG(GO261, "SP_COUNTRY_NAME")</f>
        <v>#INVALID COMPANY ID</v>
      </c>
      <c r="GS261" t="s">
        <v>576</v>
      </c>
      <c r="GT261">
        <v>4672091</v>
      </c>
      <c r="GU261" t="s">
        <v>300</v>
      </c>
      <c r="GV261" s="11">
        <v>0</v>
      </c>
      <c r="GW261" s="9" t="str">
        <f>_xll.SNL.Clients.Office.Excel.Functions.SPG(GT261, "SP_COUNTRY_NAME")</f>
        <v>South Africa</v>
      </c>
      <c r="GX261" t="s">
        <v>979</v>
      </c>
      <c r="GY261">
        <v>4041196</v>
      </c>
      <c r="GZ261" t="s">
        <v>366</v>
      </c>
      <c r="HA261" s="11">
        <v>0.01</v>
      </c>
      <c r="HB261" s="9" t="str">
        <f>_xll.SNL.Clients.Office.Excel.Functions.SPG(GY261, "SP_COUNTRY_NAME")</f>
        <v>United Kingdom</v>
      </c>
      <c r="HG261" s="9" t="str">
        <f>_xll.SNL.Clients.Office.Excel.Functions.SPG(HD261, "SP_COUNTRY_NAME")</f>
        <v>#INVALID COMPANY ID</v>
      </c>
    </row>
    <row r="262" spans="5:215" x14ac:dyDescent="0.35">
      <c r="E262" s="9" t="str">
        <f>_xll.SNL.Clients.Office.Excel.Functions.SPG(B262, "SP_COUNTRY_NAME")</f>
        <v>#INVALID COMPANY ID</v>
      </c>
      <c r="J262" s="9" t="str">
        <f>_xll.SNL.Clients.Office.Excel.Functions.SPG(G262, "SP_COUNTRY_NAME")</f>
        <v>#INVALID COMPANY ID</v>
      </c>
      <c r="O262" s="9" t="str">
        <f>_xll.SNL.Clients.Office.Excel.Functions.SPG(L262, "SP_COUNTRY_NAME")</f>
        <v>#INVALID COMPANY ID</v>
      </c>
      <c r="T262" s="9" t="str">
        <f>_xll.SNL.Clients.Office.Excel.Functions.SPG(Q262, "SP_COUNTRY_NAME")</f>
        <v>#INVALID COMPANY ID</v>
      </c>
      <c r="U262" t="s">
        <v>830</v>
      </c>
      <c r="V262">
        <v>4621446</v>
      </c>
      <c r="W262" t="s">
        <v>346</v>
      </c>
      <c r="X262" s="11">
        <v>0</v>
      </c>
      <c r="Y262" s="9" t="str">
        <f>_xll.SNL.Clients.Office.Excel.Functions.SPG(V262, "SP_COUNTRY_NAME")</f>
        <v>China</v>
      </c>
      <c r="AD262" s="9" t="str">
        <f>_xll.SNL.Clients.Office.Excel.Functions.SPG(AA262, "SP_COUNTRY_NAME")</f>
        <v>#INVALID COMPANY ID</v>
      </c>
      <c r="AI262" s="9" t="str">
        <f>_xll.SNL.Clients.Office.Excel.Functions.SPG(AF262, "SP_COUNTRY_NAME")</f>
        <v>#INVALID COMPANY ID</v>
      </c>
      <c r="AN262" s="9" t="str">
        <f>_xll.SNL.Clients.Office.Excel.Functions.SPG(AK262, "SP_COUNTRY_NAME")</f>
        <v>#INVALID COMPANY ID</v>
      </c>
      <c r="AO262" t="s">
        <v>564</v>
      </c>
      <c r="AP262">
        <v>4137693</v>
      </c>
      <c r="AQ262" t="s">
        <v>346</v>
      </c>
      <c r="AR262" s="11">
        <v>0</v>
      </c>
      <c r="AS262" s="9" t="str">
        <f>_xll.SNL.Clients.Office.Excel.Functions.SPG(AP262, "SP_COUNTRY_NAME")</f>
        <v>Italy</v>
      </c>
      <c r="AX262" s="9" t="str">
        <f>_xll.SNL.Clients.Office.Excel.Functions.SPG(AU262, "SP_COUNTRY_NAME")</f>
        <v>#INVALID COMPANY ID</v>
      </c>
      <c r="BC262" s="9" t="str">
        <f>_xll.SNL.Clients.Office.Excel.Functions.SPG(AZ262, "SP_COUNTRY_NAME")</f>
        <v>#INVALID COMPANY ID</v>
      </c>
      <c r="BD262" t="s">
        <v>1280</v>
      </c>
      <c r="BE262">
        <v>5818409</v>
      </c>
      <c r="BF262" t="s">
        <v>364</v>
      </c>
      <c r="BG262" s="11">
        <v>0.01</v>
      </c>
      <c r="BH262" s="9" t="str">
        <f>_xll.SNL.Clients.Office.Excel.Functions.SPG(BE262, "SP_COUNTRY_NAME")</f>
        <v>South Africa</v>
      </c>
      <c r="BI262" t="s">
        <v>1601</v>
      </c>
      <c r="BJ262" t="s">
        <v>300</v>
      </c>
      <c r="BK262" t="s">
        <v>361</v>
      </c>
      <c r="BL262" s="11">
        <v>0</v>
      </c>
      <c r="BM262" s="9" t="str">
        <f>_xll.SNL.Clients.Office.Excel.Functions.SPG(BJ262, "SP_COUNTRY_NAME")</f>
        <v>China</v>
      </c>
      <c r="BN262" t="s">
        <v>1244</v>
      </c>
      <c r="BO262">
        <v>106982880</v>
      </c>
      <c r="BP262" t="s">
        <v>346</v>
      </c>
      <c r="BQ262" s="11">
        <v>0</v>
      </c>
      <c r="BR262" s="9" t="str">
        <f>_xll.SNL.Clients.Office.Excel.Functions.SPG(BO262, "SP_COUNTRY_NAME")</f>
        <v>China</v>
      </c>
      <c r="BS262" t="s">
        <v>449</v>
      </c>
      <c r="BT262">
        <v>4093616</v>
      </c>
      <c r="BU262" t="s">
        <v>346</v>
      </c>
      <c r="BV262" s="11">
        <v>0</v>
      </c>
      <c r="BW262" s="9" t="str">
        <f>_xll.SNL.Clients.Office.Excel.Functions.SPG(BT262, "SP_COUNTRY_NAME")</f>
        <v>Canada</v>
      </c>
      <c r="BX262" t="s">
        <v>830</v>
      </c>
      <c r="BY262">
        <v>4621446</v>
      </c>
      <c r="BZ262" t="s">
        <v>346</v>
      </c>
      <c r="CA262" s="11">
        <v>0</v>
      </c>
      <c r="CB262" s="9" t="str">
        <f>_xll.SNL.Clients.Office.Excel.Functions.SPG(BY262, "SP_COUNTRY_NAME")</f>
        <v>China</v>
      </c>
      <c r="CC262" t="s">
        <v>472</v>
      </c>
      <c r="CD262">
        <v>4048215</v>
      </c>
      <c r="CE262" t="s">
        <v>346</v>
      </c>
      <c r="CF262" s="11">
        <v>0.01</v>
      </c>
      <c r="CG262" s="9" t="str">
        <f>_xll.SNL.Clients.Office.Excel.Functions.SPG(CD262, "SP_COUNTRY_NAME")</f>
        <v>USA</v>
      </c>
      <c r="CH262" t="s">
        <v>564</v>
      </c>
      <c r="CI262">
        <v>4137693</v>
      </c>
      <c r="CJ262" t="s">
        <v>346</v>
      </c>
      <c r="CK262" s="11">
        <v>0</v>
      </c>
      <c r="CL262" s="9" t="str">
        <f>_xll.SNL.Clients.Office.Excel.Functions.SPG(CI262, "SP_COUNTRY_NAME")</f>
        <v>Italy</v>
      </c>
      <c r="CM262" t="s">
        <v>2012</v>
      </c>
      <c r="CN262">
        <v>5849928</v>
      </c>
      <c r="CO262" t="s">
        <v>364</v>
      </c>
      <c r="CP262" s="11">
        <v>0.01</v>
      </c>
      <c r="CQ262" s="9" t="str">
        <f>_xll.SNL.Clients.Office.Excel.Functions.SPG(CN262, "SP_COUNTRY_NAME")</f>
        <v>South Africa</v>
      </c>
      <c r="CV262" s="9" t="str">
        <f>_xll.SNL.Clients.Office.Excel.Functions.SPG(CS262, "SP_COUNTRY_NAME")</f>
        <v>#INVALID COMPANY ID</v>
      </c>
      <c r="DA262" s="9" t="str">
        <f>_xll.SNL.Clients.Office.Excel.Functions.SPG(CX262, "SP_COUNTRY_NAME")</f>
        <v>#INVALID COMPANY ID</v>
      </c>
      <c r="DB262" t="s">
        <v>1280</v>
      </c>
      <c r="DC262">
        <v>5818409</v>
      </c>
      <c r="DD262" t="s">
        <v>364</v>
      </c>
      <c r="DE262" s="11">
        <v>0.01</v>
      </c>
      <c r="DF262" s="9" t="str">
        <f>_xll.SNL.Clients.Office.Excel.Functions.SPG(DC262, "SP_COUNTRY_NAME")</f>
        <v>South Africa</v>
      </c>
      <c r="DK262" s="9" t="str">
        <f>_xll.SNL.Clients.Office.Excel.Functions.SPG(DH262, "SP_COUNTRY_NAME")</f>
        <v>#INVALID COMPANY ID</v>
      </c>
      <c r="DL262" t="s">
        <v>1280</v>
      </c>
      <c r="DM262">
        <v>5818409</v>
      </c>
      <c r="DN262" t="s">
        <v>364</v>
      </c>
      <c r="DO262" s="11">
        <v>0.01</v>
      </c>
      <c r="DP262" s="9" t="str">
        <f>_xll.SNL.Clients.Office.Excel.Functions.SPG(DM262, "SP_COUNTRY_NAME")</f>
        <v>South Africa</v>
      </c>
      <c r="DU262" s="9" t="str">
        <f>_xll.SNL.Clients.Office.Excel.Functions.SPG(DR262, "SP_COUNTRY_NAME")</f>
        <v>#INVALID COMPANY ID</v>
      </c>
      <c r="DZ262" s="9" t="str">
        <f>_xll.SNL.Clients.Office.Excel.Functions.SPG(DW262, "SP_COUNTRY_NAME")</f>
        <v>#INVALID COMPANY ID</v>
      </c>
      <c r="EA262" t="s">
        <v>472</v>
      </c>
      <c r="EB262">
        <v>4048215</v>
      </c>
      <c r="EC262" t="s">
        <v>346</v>
      </c>
      <c r="ED262" s="11">
        <v>0.01</v>
      </c>
      <c r="EE262" s="9" t="str">
        <f>_xll.SNL.Clients.Office.Excel.Functions.SPG(EB262, "SP_COUNTRY_NAME")</f>
        <v>USA</v>
      </c>
      <c r="EF262" t="s">
        <v>1280</v>
      </c>
      <c r="EG262">
        <v>5818409</v>
      </c>
      <c r="EH262" t="s">
        <v>364</v>
      </c>
      <c r="EI262" s="11">
        <v>0.01</v>
      </c>
      <c r="EJ262" s="9" t="str">
        <f>_xll.SNL.Clients.Office.Excel.Functions.SPG(EG262, "SP_COUNTRY_NAME")</f>
        <v>South Africa</v>
      </c>
      <c r="EO262" s="9" t="str">
        <f>_xll.SNL.Clients.Office.Excel.Functions.SPG(EL262, "SP_COUNTRY_NAME")</f>
        <v>#INVALID COMPANY ID</v>
      </c>
      <c r="ET262" s="9" t="str">
        <f>_xll.SNL.Clients.Office.Excel.Functions.SPG(EQ262, "SP_COUNTRY_NAME")</f>
        <v>#INVALID COMPANY ID</v>
      </c>
      <c r="EY262" s="9" t="str">
        <f>_xll.SNL.Clients.Office.Excel.Functions.SPG(EV262, "SP_COUNTRY_NAME")</f>
        <v>#INVALID COMPANY ID</v>
      </c>
      <c r="FD262" s="9" t="str">
        <f>_xll.SNL.Clients.Office.Excel.Functions.SPG(FA262, "SP_COUNTRY_NAME")</f>
        <v>#INVALID COMPANY ID</v>
      </c>
      <c r="FI262" s="9" t="str">
        <f>_xll.SNL.Clients.Office.Excel.Functions.SPG(FF262, "SP_COUNTRY_NAME")</f>
        <v>#INVALID COMPANY ID</v>
      </c>
      <c r="FN262" s="9" t="str">
        <f>_xll.SNL.Clients.Office.Excel.Functions.SPG(FK262, "SP_COUNTRY_NAME")</f>
        <v>#INVALID COMPANY ID</v>
      </c>
      <c r="FS262" s="9" t="str">
        <f>_xll.SNL.Clients.Office.Excel.Functions.SPG(FP262, "SP_COUNTRY_NAME")</f>
        <v>#INVALID COMPANY ID</v>
      </c>
      <c r="FX262" s="9" t="str">
        <f>_xll.SNL.Clients.Office.Excel.Functions.SPG(FU262, "SP_COUNTRY_NAME")</f>
        <v>#INVALID COMPANY ID</v>
      </c>
      <c r="FY262" t="s">
        <v>1280</v>
      </c>
      <c r="FZ262">
        <v>5818409</v>
      </c>
      <c r="GA262" t="s">
        <v>364</v>
      </c>
      <c r="GB262" s="11">
        <v>0.01</v>
      </c>
      <c r="GC262" s="9" t="str">
        <f>_xll.SNL.Clients.Office.Excel.Functions.SPG(FZ262, "SP_COUNTRY_NAME")</f>
        <v>South Africa</v>
      </c>
      <c r="GH262" s="9" t="str">
        <f>_xll.SNL.Clients.Office.Excel.Functions.SPG(GE262, "SP_COUNTRY_NAME")</f>
        <v>#INVALID COMPANY ID</v>
      </c>
      <c r="GM262" s="9" t="str">
        <f>_xll.SNL.Clients.Office.Excel.Functions.SPG(GJ262, "SP_COUNTRY_NAME")</f>
        <v>#INVALID COMPANY ID</v>
      </c>
      <c r="GR262" s="9" t="str">
        <f>_xll.SNL.Clients.Office.Excel.Functions.SPG(GO262, "SP_COUNTRY_NAME")</f>
        <v>#INVALID COMPANY ID</v>
      </c>
      <c r="GS262" t="s">
        <v>1244</v>
      </c>
      <c r="GT262">
        <v>106982880</v>
      </c>
      <c r="GU262" t="s">
        <v>346</v>
      </c>
      <c r="GV262" s="11">
        <v>0</v>
      </c>
      <c r="GW262" s="9" t="str">
        <f>_xll.SNL.Clients.Office.Excel.Functions.SPG(GT262, "SP_COUNTRY_NAME")</f>
        <v>China</v>
      </c>
      <c r="GX262" t="s">
        <v>472</v>
      </c>
      <c r="GY262">
        <v>4048215</v>
      </c>
      <c r="GZ262" t="s">
        <v>346</v>
      </c>
      <c r="HA262" s="11">
        <v>0.01</v>
      </c>
      <c r="HB262" s="9" t="str">
        <f>_xll.SNL.Clients.Office.Excel.Functions.SPG(GY262, "SP_COUNTRY_NAME")</f>
        <v>USA</v>
      </c>
      <c r="HG262" s="9" t="str">
        <f>_xll.SNL.Clients.Office.Excel.Functions.SPG(HD262, "SP_COUNTRY_NAME")</f>
        <v>#INVALID COMPANY ID</v>
      </c>
    </row>
    <row r="263" spans="5:215" x14ac:dyDescent="0.35">
      <c r="E263" s="9" t="str">
        <f>_xll.SNL.Clients.Office.Excel.Functions.SPG(B263, "SP_COUNTRY_NAME")</f>
        <v>#INVALID COMPANY ID</v>
      </c>
      <c r="J263" s="9" t="str">
        <f>_xll.SNL.Clients.Office.Excel.Functions.SPG(G263, "SP_COUNTRY_NAME")</f>
        <v>#INVALID COMPANY ID</v>
      </c>
      <c r="O263" s="9" t="str">
        <f>_xll.SNL.Clients.Office.Excel.Functions.SPG(L263, "SP_COUNTRY_NAME")</f>
        <v>#INVALID COMPANY ID</v>
      </c>
      <c r="T263" s="9" t="str">
        <f>_xll.SNL.Clients.Office.Excel.Functions.SPG(Q263, "SP_COUNTRY_NAME")</f>
        <v>#INVALID COMPANY ID</v>
      </c>
      <c r="U263" t="s">
        <v>831</v>
      </c>
      <c r="V263">
        <v>109508756</v>
      </c>
      <c r="W263" t="s">
        <v>346</v>
      </c>
      <c r="X263" s="11">
        <v>0</v>
      </c>
      <c r="Y263" s="9" t="str">
        <f>_xll.SNL.Clients.Office.Excel.Functions.SPG(V263, "SP_COUNTRY_NAME")</f>
        <v>#INVALID COMPANY ID</v>
      </c>
      <c r="AD263" s="9" t="str">
        <f>_xll.SNL.Clients.Office.Excel.Functions.SPG(AA263, "SP_COUNTRY_NAME")</f>
        <v>#INVALID COMPANY ID</v>
      </c>
      <c r="AI263" s="9" t="str">
        <f>_xll.SNL.Clients.Office.Excel.Functions.SPG(AF263, "SP_COUNTRY_NAME")</f>
        <v>#INVALID COMPANY ID</v>
      </c>
      <c r="AN263" s="9" t="str">
        <f>_xll.SNL.Clients.Office.Excel.Functions.SPG(AK263, "SP_COUNTRY_NAME")</f>
        <v>#INVALID COMPANY ID</v>
      </c>
      <c r="AO263" t="s">
        <v>628</v>
      </c>
      <c r="AP263">
        <v>4289501</v>
      </c>
      <c r="AQ263" t="s">
        <v>346</v>
      </c>
      <c r="AR263" s="11">
        <v>0</v>
      </c>
      <c r="AS263" s="9" t="str">
        <f>_xll.SNL.Clients.Office.Excel.Functions.SPG(AP263, "SP_COUNTRY_NAME")</f>
        <v>United Kingdom</v>
      </c>
      <c r="AX263" s="9" t="str">
        <f>_xll.SNL.Clients.Office.Excel.Functions.SPG(AU263, "SP_COUNTRY_NAME")</f>
        <v>#INVALID COMPANY ID</v>
      </c>
      <c r="BC263" s="9" t="str">
        <f>_xll.SNL.Clients.Office.Excel.Functions.SPG(AZ263, "SP_COUNTRY_NAME")</f>
        <v>#INVALID COMPANY ID</v>
      </c>
      <c r="BD263" t="s">
        <v>1141</v>
      </c>
      <c r="BE263">
        <v>5767199</v>
      </c>
      <c r="BF263" t="s">
        <v>346</v>
      </c>
      <c r="BG263" s="11">
        <v>0.01</v>
      </c>
      <c r="BH263" s="9" t="str">
        <f>_xll.SNL.Clients.Office.Excel.Functions.SPG(BE263, "SP_COUNTRY_NAME")</f>
        <v>Finland</v>
      </c>
      <c r="BI263" t="s">
        <v>1179</v>
      </c>
      <c r="BJ263">
        <v>4556895</v>
      </c>
      <c r="BK263" t="s">
        <v>346</v>
      </c>
      <c r="BL263" s="11">
        <v>0</v>
      </c>
      <c r="BM263" s="9" t="str">
        <f>_xll.SNL.Clients.Office.Excel.Functions.SPG(BJ263, "SP_COUNTRY_NAME")</f>
        <v>Denmark</v>
      </c>
      <c r="BN263" t="s">
        <v>439</v>
      </c>
      <c r="BO263">
        <v>4757367</v>
      </c>
      <c r="BP263" t="s">
        <v>363</v>
      </c>
      <c r="BQ263" s="11">
        <v>0</v>
      </c>
      <c r="BR263" s="9" t="str">
        <f>_xll.SNL.Clients.Office.Excel.Functions.SPG(BO263, "SP_COUNTRY_NAME")</f>
        <v>Australia</v>
      </c>
      <c r="BS263" t="s">
        <v>532</v>
      </c>
      <c r="BT263">
        <v>4225018</v>
      </c>
      <c r="BU263" t="s">
        <v>346</v>
      </c>
      <c r="BV263" s="11">
        <v>0</v>
      </c>
      <c r="BW263" s="9" t="str">
        <f>_xll.SNL.Clients.Office.Excel.Functions.SPG(BT263, "SP_COUNTRY_NAME")</f>
        <v>Taiwan</v>
      </c>
      <c r="BX263" t="s">
        <v>831</v>
      </c>
      <c r="BY263">
        <v>109508756</v>
      </c>
      <c r="BZ263" t="s">
        <v>346</v>
      </c>
      <c r="CA263" s="11">
        <v>0</v>
      </c>
      <c r="CB263" s="9" t="str">
        <f>_xll.SNL.Clients.Office.Excel.Functions.SPG(BY263, "SP_COUNTRY_NAME")</f>
        <v>#INVALID COMPANY ID</v>
      </c>
      <c r="CC263" t="s">
        <v>1731</v>
      </c>
      <c r="CD263" t="s">
        <v>300</v>
      </c>
      <c r="CE263" t="s">
        <v>361</v>
      </c>
      <c r="CF263" s="11">
        <v>0.01</v>
      </c>
      <c r="CG263" s="9" t="str">
        <f>_xll.SNL.Clients.Office.Excel.Functions.SPG(CD263, "SP_COUNTRY_NAME")</f>
        <v>China</v>
      </c>
      <c r="CH263" t="s">
        <v>628</v>
      </c>
      <c r="CI263">
        <v>4289501</v>
      </c>
      <c r="CJ263" t="s">
        <v>346</v>
      </c>
      <c r="CK263" s="11">
        <v>0</v>
      </c>
      <c r="CL263" s="9" t="str">
        <f>_xll.SNL.Clients.Office.Excel.Functions.SPG(CI263, "SP_COUNTRY_NAME")</f>
        <v>United Kingdom</v>
      </c>
      <c r="CM263" t="s">
        <v>2013</v>
      </c>
      <c r="CN263">
        <v>124646695</v>
      </c>
      <c r="CO263" t="s">
        <v>276</v>
      </c>
      <c r="CP263" s="11">
        <v>0.01</v>
      </c>
      <c r="CQ263" s="9" t="str">
        <f>_xll.SNL.Clients.Office.Excel.Functions.SPG(CN263, "SP_COUNTRY_NAME")</f>
        <v>USA</v>
      </c>
      <c r="CV263" s="9" t="str">
        <f>_xll.SNL.Clients.Office.Excel.Functions.SPG(CS263, "SP_COUNTRY_NAME")</f>
        <v>#INVALID COMPANY ID</v>
      </c>
      <c r="DA263" s="9" t="str">
        <f>_xll.SNL.Clients.Office.Excel.Functions.SPG(CX263, "SP_COUNTRY_NAME")</f>
        <v>#INVALID COMPANY ID</v>
      </c>
      <c r="DB263" t="s">
        <v>1141</v>
      </c>
      <c r="DC263">
        <v>5767199</v>
      </c>
      <c r="DD263" t="s">
        <v>346</v>
      </c>
      <c r="DE263" s="11">
        <v>0.01</v>
      </c>
      <c r="DF263" s="9" t="str">
        <f>_xll.SNL.Clients.Office.Excel.Functions.SPG(DC263, "SP_COUNTRY_NAME")</f>
        <v>Finland</v>
      </c>
      <c r="DK263" s="9" t="str">
        <f>_xll.SNL.Clients.Office.Excel.Functions.SPG(DH263, "SP_COUNTRY_NAME")</f>
        <v>#INVALID COMPANY ID</v>
      </c>
      <c r="DL263" t="s">
        <v>1141</v>
      </c>
      <c r="DM263">
        <v>5767199</v>
      </c>
      <c r="DN263" t="s">
        <v>346</v>
      </c>
      <c r="DO263" s="11">
        <v>0.01</v>
      </c>
      <c r="DP263" s="9" t="str">
        <f>_xll.SNL.Clients.Office.Excel.Functions.SPG(DM263, "SP_COUNTRY_NAME")</f>
        <v>Finland</v>
      </c>
      <c r="DU263" s="9" t="str">
        <f>_xll.SNL.Clients.Office.Excel.Functions.SPG(DR263, "SP_COUNTRY_NAME")</f>
        <v>#INVALID COMPANY ID</v>
      </c>
      <c r="DZ263" s="9" t="str">
        <f>_xll.SNL.Clients.Office.Excel.Functions.SPG(DW263, "SP_COUNTRY_NAME")</f>
        <v>#INVALID COMPANY ID</v>
      </c>
      <c r="EA263" t="s">
        <v>1731</v>
      </c>
      <c r="EB263" t="s">
        <v>300</v>
      </c>
      <c r="EC263" t="s">
        <v>361</v>
      </c>
      <c r="ED263" s="11">
        <v>0.01</v>
      </c>
      <c r="EE263" s="9" t="str">
        <f>_xll.SNL.Clients.Office.Excel.Functions.SPG(EB263, "SP_COUNTRY_NAME")</f>
        <v>China</v>
      </c>
      <c r="EF263" t="s">
        <v>1141</v>
      </c>
      <c r="EG263">
        <v>5767199</v>
      </c>
      <c r="EH263" t="s">
        <v>346</v>
      </c>
      <c r="EI263" s="11">
        <v>0.01</v>
      </c>
      <c r="EJ263" s="9" t="str">
        <f>_xll.SNL.Clients.Office.Excel.Functions.SPG(EG263, "SP_COUNTRY_NAME")</f>
        <v>Finland</v>
      </c>
      <c r="EO263" s="9" t="str">
        <f>_xll.SNL.Clients.Office.Excel.Functions.SPG(EL263, "SP_COUNTRY_NAME")</f>
        <v>#INVALID COMPANY ID</v>
      </c>
      <c r="ET263" s="9" t="str">
        <f>_xll.SNL.Clients.Office.Excel.Functions.SPG(EQ263, "SP_COUNTRY_NAME")</f>
        <v>#INVALID COMPANY ID</v>
      </c>
      <c r="EY263" s="9" t="str">
        <f>_xll.SNL.Clients.Office.Excel.Functions.SPG(EV263, "SP_COUNTRY_NAME")</f>
        <v>#INVALID COMPANY ID</v>
      </c>
      <c r="FD263" s="9" t="str">
        <f>_xll.SNL.Clients.Office.Excel.Functions.SPG(FA263, "SP_COUNTRY_NAME")</f>
        <v>#INVALID COMPANY ID</v>
      </c>
      <c r="FI263" s="9" t="str">
        <f>_xll.SNL.Clients.Office.Excel.Functions.SPG(FF263, "SP_COUNTRY_NAME")</f>
        <v>#INVALID COMPANY ID</v>
      </c>
      <c r="FN263" s="9" t="str">
        <f>_xll.SNL.Clients.Office.Excel.Functions.SPG(FK263, "SP_COUNTRY_NAME")</f>
        <v>#INVALID COMPANY ID</v>
      </c>
      <c r="FS263" s="9" t="str">
        <f>_xll.SNL.Clients.Office.Excel.Functions.SPG(FP263, "SP_COUNTRY_NAME")</f>
        <v>#INVALID COMPANY ID</v>
      </c>
      <c r="FX263" s="9" t="str">
        <f>_xll.SNL.Clients.Office.Excel.Functions.SPG(FU263, "SP_COUNTRY_NAME")</f>
        <v>#INVALID COMPANY ID</v>
      </c>
      <c r="FY263" t="s">
        <v>1141</v>
      </c>
      <c r="FZ263">
        <v>5767199</v>
      </c>
      <c r="GA263" t="s">
        <v>346</v>
      </c>
      <c r="GB263" s="11">
        <v>0.01</v>
      </c>
      <c r="GC263" s="9" t="str">
        <f>_xll.SNL.Clients.Office.Excel.Functions.SPG(FZ263, "SP_COUNTRY_NAME")</f>
        <v>Finland</v>
      </c>
      <c r="GH263" s="9" t="str">
        <f>_xll.SNL.Clients.Office.Excel.Functions.SPG(GE263, "SP_COUNTRY_NAME")</f>
        <v>#INVALID COMPANY ID</v>
      </c>
      <c r="GM263" s="9" t="str">
        <f>_xll.SNL.Clients.Office.Excel.Functions.SPG(GJ263, "SP_COUNTRY_NAME")</f>
        <v>#INVALID COMPANY ID</v>
      </c>
      <c r="GR263" s="9" t="str">
        <f>_xll.SNL.Clients.Office.Excel.Functions.SPG(GO263, "SP_COUNTRY_NAME")</f>
        <v>#INVALID COMPANY ID</v>
      </c>
      <c r="GS263" t="s">
        <v>439</v>
      </c>
      <c r="GT263">
        <v>4757367</v>
      </c>
      <c r="GU263" t="s">
        <v>363</v>
      </c>
      <c r="GV263" s="11">
        <v>0</v>
      </c>
      <c r="GW263" s="9" t="str">
        <f>_xll.SNL.Clients.Office.Excel.Functions.SPG(GT263, "SP_COUNTRY_NAME")</f>
        <v>Australia</v>
      </c>
      <c r="GX263" t="s">
        <v>1731</v>
      </c>
      <c r="GY263" t="s">
        <v>300</v>
      </c>
      <c r="GZ263" t="s">
        <v>361</v>
      </c>
      <c r="HA263" s="11">
        <v>0.01</v>
      </c>
      <c r="HB263" s="9" t="str">
        <f>_xll.SNL.Clients.Office.Excel.Functions.SPG(GY263, "SP_COUNTRY_NAME")</f>
        <v>China</v>
      </c>
      <c r="HG263" s="9" t="str">
        <f>_xll.SNL.Clients.Office.Excel.Functions.SPG(HD263, "SP_COUNTRY_NAME")</f>
        <v>#INVALID COMPANY ID</v>
      </c>
    </row>
    <row r="264" spans="5:215" x14ac:dyDescent="0.35">
      <c r="E264" s="9" t="str">
        <f>_xll.SNL.Clients.Office.Excel.Functions.SPG(B264, "SP_COUNTRY_NAME")</f>
        <v>#INVALID COMPANY ID</v>
      </c>
      <c r="J264" s="9" t="str">
        <f>_xll.SNL.Clients.Office.Excel.Functions.SPG(G264, "SP_COUNTRY_NAME")</f>
        <v>#INVALID COMPANY ID</v>
      </c>
      <c r="O264" s="9" t="str">
        <f>_xll.SNL.Clients.Office.Excel.Functions.SPG(L264, "SP_COUNTRY_NAME")</f>
        <v>#INVALID COMPANY ID</v>
      </c>
      <c r="T264" s="9" t="str">
        <f>_xll.SNL.Clients.Office.Excel.Functions.SPG(Q264, "SP_COUNTRY_NAME")</f>
        <v>#INVALID COMPANY ID</v>
      </c>
      <c r="U264" t="s">
        <v>465</v>
      </c>
      <c r="V264">
        <v>4119440</v>
      </c>
      <c r="W264" t="s">
        <v>346</v>
      </c>
      <c r="X264" s="11">
        <v>0</v>
      </c>
      <c r="Y264" s="9" t="str">
        <f>_xll.SNL.Clients.Office.Excel.Functions.SPG(V264, "SP_COUNTRY_NAME")</f>
        <v>USA</v>
      </c>
      <c r="AD264" s="9" t="str">
        <f>_xll.SNL.Clients.Office.Excel.Functions.SPG(AA264, "SP_COUNTRY_NAME")</f>
        <v>#INVALID COMPANY ID</v>
      </c>
      <c r="AI264" s="9" t="str">
        <f>_xll.SNL.Clients.Office.Excel.Functions.SPG(AF264, "SP_COUNTRY_NAME")</f>
        <v>#INVALID COMPANY ID</v>
      </c>
      <c r="AN264" s="9" t="str">
        <f>_xll.SNL.Clients.Office.Excel.Functions.SPG(AK264, "SP_COUNTRY_NAME")</f>
        <v>#INVALID COMPANY ID</v>
      </c>
      <c r="AO264" t="s">
        <v>1370</v>
      </c>
      <c r="AP264">
        <v>19495946</v>
      </c>
      <c r="AQ264" t="s">
        <v>346</v>
      </c>
      <c r="AR264" s="11">
        <v>0</v>
      </c>
      <c r="AS264" s="9" t="str">
        <f>_xll.SNL.Clients.Office.Excel.Functions.SPG(AP264, "SP_COUNTRY_NAME")</f>
        <v>South Africa</v>
      </c>
      <c r="AX264" s="9" t="str">
        <f>_xll.SNL.Clients.Office.Excel.Functions.SPG(AU264, "SP_COUNTRY_NAME")</f>
        <v>#INVALID COMPANY ID</v>
      </c>
      <c r="BC264" s="9" t="str">
        <f>_xll.SNL.Clients.Office.Excel.Functions.SPG(AZ264, "SP_COUNTRY_NAME")</f>
        <v>#INVALID COMPANY ID</v>
      </c>
      <c r="BD264" t="s">
        <v>1239</v>
      </c>
      <c r="BE264">
        <v>111486</v>
      </c>
      <c r="BF264" t="s">
        <v>346</v>
      </c>
      <c r="BG264" s="11">
        <v>0.01</v>
      </c>
      <c r="BH264" s="9" t="str">
        <f>_xll.SNL.Clients.Office.Excel.Functions.SPG(BE264, "SP_COUNTRY_NAME")</f>
        <v>USA</v>
      </c>
      <c r="BI264" t="s">
        <v>1602</v>
      </c>
      <c r="BJ264">
        <v>5764468</v>
      </c>
      <c r="BK264" t="s">
        <v>346</v>
      </c>
      <c r="BL264" s="11">
        <v>0</v>
      </c>
      <c r="BM264" s="9" t="str">
        <f>_xll.SNL.Clients.Office.Excel.Functions.SPG(BJ264, "SP_COUNTRY_NAME")</f>
        <v>Ireland</v>
      </c>
      <c r="BN264" t="s">
        <v>717</v>
      </c>
      <c r="BO264">
        <v>4345275</v>
      </c>
      <c r="BP264" t="s">
        <v>346</v>
      </c>
      <c r="BQ264" s="11">
        <v>0</v>
      </c>
      <c r="BR264" s="9" t="str">
        <f>_xll.SNL.Clients.Office.Excel.Functions.SPG(BO264, "SP_COUNTRY_NAME")</f>
        <v>China</v>
      </c>
      <c r="BS264" t="s">
        <v>538</v>
      </c>
      <c r="BT264">
        <v>4547194</v>
      </c>
      <c r="BU264" t="s">
        <v>346</v>
      </c>
      <c r="BV264" s="11">
        <v>0</v>
      </c>
      <c r="BW264" s="9" t="str">
        <f>_xll.SNL.Clients.Office.Excel.Functions.SPG(BT264, "SP_COUNTRY_NAME")</f>
        <v>Italy</v>
      </c>
      <c r="BX264" t="s">
        <v>465</v>
      </c>
      <c r="BY264">
        <v>4119440</v>
      </c>
      <c r="BZ264" t="s">
        <v>346</v>
      </c>
      <c r="CA264" s="11">
        <v>0</v>
      </c>
      <c r="CB264" s="9" t="str">
        <f>_xll.SNL.Clients.Office.Excel.Functions.SPG(BY264, "SP_COUNTRY_NAME")</f>
        <v>USA</v>
      </c>
      <c r="CC264" t="s">
        <v>1732</v>
      </c>
      <c r="CD264">
        <v>5803574</v>
      </c>
      <c r="CE264" t="s">
        <v>364</v>
      </c>
      <c r="CF264" s="11">
        <v>0.01</v>
      </c>
      <c r="CG264" s="9" t="str">
        <f>_xll.SNL.Clients.Office.Excel.Functions.SPG(CD264, "SP_COUNTRY_NAME")</f>
        <v>Brazil</v>
      </c>
      <c r="CH264" t="s">
        <v>1370</v>
      </c>
      <c r="CI264">
        <v>19495946</v>
      </c>
      <c r="CJ264" t="s">
        <v>346</v>
      </c>
      <c r="CK264" s="11">
        <v>0</v>
      </c>
      <c r="CL264" s="9" t="str">
        <f>_xll.SNL.Clients.Office.Excel.Functions.SPG(CI264, "SP_COUNTRY_NAME")</f>
        <v>South Africa</v>
      </c>
      <c r="CM264" t="s">
        <v>2014</v>
      </c>
      <c r="CN264">
        <v>6691825</v>
      </c>
      <c r="CO264" t="s">
        <v>346</v>
      </c>
      <c r="CP264" s="11">
        <v>0.01</v>
      </c>
      <c r="CQ264" s="9" t="str">
        <f>_xll.SNL.Clients.Office.Excel.Functions.SPG(CN264, "SP_COUNTRY_NAME")</f>
        <v>United Kingdom</v>
      </c>
      <c r="CV264" s="9" t="str">
        <f>_xll.SNL.Clients.Office.Excel.Functions.SPG(CS264, "SP_COUNTRY_NAME")</f>
        <v>#INVALID COMPANY ID</v>
      </c>
      <c r="DA264" s="9" t="str">
        <f>_xll.SNL.Clients.Office.Excel.Functions.SPG(CX264, "SP_COUNTRY_NAME")</f>
        <v>#INVALID COMPANY ID</v>
      </c>
      <c r="DB264" t="s">
        <v>1239</v>
      </c>
      <c r="DC264">
        <v>111486</v>
      </c>
      <c r="DD264" t="s">
        <v>346</v>
      </c>
      <c r="DE264" s="11">
        <v>0.01</v>
      </c>
      <c r="DF264" s="9" t="str">
        <f>_xll.SNL.Clients.Office.Excel.Functions.SPG(DC264, "SP_COUNTRY_NAME")</f>
        <v>USA</v>
      </c>
      <c r="DK264" s="9" t="str">
        <f>_xll.SNL.Clients.Office.Excel.Functions.SPG(DH264, "SP_COUNTRY_NAME")</f>
        <v>#INVALID COMPANY ID</v>
      </c>
      <c r="DL264" t="s">
        <v>1239</v>
      </c>
      <c r="DM264">
        <v>111486</v>
      </c>
      <c r="DN264" t="s">
        <v>346</v>
      </c>
      <c r="DO264" s="11">
        <v>0.01</v>
      </c>
      <c r="DP264" s="9" t="str">
        <f>_xll.SNL.Clients.Office.Excel.Functions.SPG(DM264, "SP_COUNTRY_NAME")</f>
        <v>USA</v>
      </c>
      <c r="DU264" s="9" t="str">
        <f>_xll.SNL.Clients.Office.Excel.Functions.SPG(DR264, "SP_COUNTRY_NAME")</f>
        <v>#INVALID COMPANY ID</v>
      </c>
      <c r="DZ264" s="9" t="str">
        <f>_xll.SNL.Clients.Office.Excel.Functions.SPG(DW264, "SP_COUNTRY_NAME")</f>
        <v>#INVALID COMPANY ID</v>
      </c>
      <c r="EA264" t="s">
        <v>1732</v>
      </c>
      <c r="EB264">
        <v>5803574</v>
      </c>
      <c r="EC264" t="s">
        <v>364</v>
      </c>
      <c r="ED264" s="11">
        <v>0.01</v>
      </c>
      <c r="EE264" s="9" t="str">
        <f>_xll.SNL.Clients.Office.Excel.Functions.SPG(EB264, "SP_COUNTRY_NAME")</f>
        <v>Brazil</v>
      </c>
      <c r="EF264" t="s">
        <v>1239</v>
      </c>
      <c r="EG264">
        <v>111486</v>
      </c>
      <c r="EH264" t="s">
        <v>346</v>
      </c>
      <c r="EI264" s="11">
        <v>0.01</v>
      </c>
      <c r="EJ264" s="9" t="str">
        <f>_xll.SNL.Clients.Office.Excel.Functions.SPG(EG264, "SP_COUNTRY_NAME")</f>
        <v>USA</v>
      </c>
      <c r="EO264" s="9" t="str">
        <f>_xll.SNL.Clients.Office.Excel.Functions.SPG(EL264, "SP_COUNTRY_NAME")</f>
        <v>#INVALID COMPANY ID</v>
      </c>
      <c r="ET264" s="9" t="str">
        <f>_xll.SNL.Clients.Office.Excel.Functions.SPG(EQ264, "SP_COUNTRY_NAME")</f>
        <v>#INVALID COMPANY ID</v>
      </c>
      <c r="EY264" s="9" t="str">
        <f>_xll.SNL.Clients.Office.Excel.Functions.SPG(EV264, "SP_COUNTRY_NAME")</f>
        <v>#INVALID COMPANY ID</v>
      </c>
      <c r="FD264" s="9" t="str">
        <f>_xll.SNL.Clients.Office.Excel.Functions.SPG(FA264, "SP_COUNTRY_NAME")</f>
        <v>#INVALID COMPANY ID</v>
      </c>
      <c r="FI264" s="9" t="str">
        <f>_xll.SNL.Clients.Office.Excel.Functions.SPG(FF264, "SP_COUNTRY_NAME")</f>
        <v>#INVALID COMPANY ID</v>
      </c>
      <c r="FN264" s="9" t="str">
        <f>_xll.SNL.Clients.Office.Excel.Functions.SPG(FK264, "SP_COUNTRY_NAME")</f>
        <v>#INVALID COMPANY ID</v>
      </c>
      <c r="FS264" s="9" t="str">
        <f>_xll.SNL.Clients.Office.Excel.Functions.SPG(FP264, "SP_COUNTRY_NAME")</f>
        <v>#INVALID COMPANY ID</v>
      </c>
      <c r="FX264" s="9" t="str">
        <f>_xll.SNL.Clients.Office.Excel.Functions.SPG(FU264, "SP_COUNTRY_NAME")</f>
        <v>#INVALID COMPANY ID</v>
      </c>
      <c r="FY264" t="s">
        <v>1239</v>
      </c>
      <c r="FZ264">
        <v>111486</v>
      </c>
      <c r="GA264" t="s">
        <v>346</v>
      </c>
      <c r="GB264" s="11">
        <v>0.01</v>
      </c>
      <c r="GC264" s="9" t="str">
        <f>_xll.SNL.Clients.Office.Excel.Functions.SPG(FZ264, "SP_COUNTRY_NAME")</f>
        <v>USA</v>
      </c>
      <c r="GH264" s="9" t="str">
        <f>_xll.SNL.Clients.Office.Excel.Functions.SPG(GE264, "SP_COUNTRY_NAME")</f>
        <v>#INVALID COMPANY ID</v>
      </c>
      <c r="GM264" s="9" t="str">
        <f>_xll.SNL.Clients.Office.Excel.Functions.SPG(GJ264, "SP_COUNTRY_NAME")</f>
        <v>#INVALID COMPANY ID</v>
      </c>
      <c r="GR264" s="9" t="str">
        <f>_xll.SNL.Clients.Office.Excel.Functions.SPG(GO264, "SP_COUNTRY_NAME")</f>
        <v>#INVALID COMPANY ID</v>
      </c>
      <c r="GS264" t="s">
        <v>717</v>
      </c>
      <c r="GT264">
        <v>4345275</v>
      </c>
      <c r="GU264" t="s">
        <v>346</v>
      </c>
      <c r="GV264" s="11">
        <v>0</v>
      </c>
      <c r="GW264" s="9" t="str">
        <f>_xll.SNL.Clients.Office.Excel.Functions.SPG(GT264, "SP_COUNTRY_NAME")</f>
        <v>China</v>
      </c>
      <c r="GX264" t="s">
        <v>1732</v>
      </c>
      <c r="GY264">
        <v>5803574</v>
      </c>
      <c r="GZ264" t="s">
        <v>364</v>
      </c>
      <c r="HA264" s="11">
        <v>0.01</v>
      </c>
      <c r="HB264" s="9" t="str">
        <f>_xll.SNL.Clients.Office.Excel.Functions.SPG(GY264, "SP_COUNTRY_NAME")</f>
        <v>Brazil</v>
      </c>
      <c r="HG264" s="9" t="str">
        <f>_xll.SNL.Clients.Office.Excel.Functions.SPG(HD264, "SP_COUNTRY_NAME")</f>
        <v>#INVALID COMPANY ID</v>
      </c>
    </row>
    <row r="265" spans="5:215" x14ac:dyDescent="0.35">
      <c r="E265" s="9" t="str">
        <f>_xll.SNL.Clients.Office.Excel.Functions.SPG(B265, "SP_COUNTRY_NAME")</f>
        <v>#INVALID COMPANY ID</v>
      </c>
      <c r="J265" s="9" t="str">
        <f>_xll.SNL.Clients.Office.Excel.Functions.SPG(G265, "SP_COUNTRY_NAME")</f>
        <v>#INVALID COMPANY ID</v>
      </c>
      <c r="O265" s="9" t="str">
        <f>_xll.SNL.Clients.Office.Excel.Functions.SPG(L265, "SP_COUNTRY_NAME")</f>
        <v>#INVALID COMPANY ID</v>
      </c>
      <c r="T265" s="9" t="str">
        <f>_xll.SNL.Clients.Office.Excel.Functions.SPG(Q265, "SP_COUNTRY_NAME")</f>
        <v>#INVALID COMPANY ID</v>
      </c>
      <c r="U265" t="s">
        <v>832</v>
      </c>
      <c r="V265">
        <v>15135223</v>
      </c>
      <c r="W265" t="s">
        <v>346</v>
      </c>
      <c r="X265" s="11">
        <v>0</v>
      </c>
      <c r="Y265" s="9" t="str">
        <f>_xll.SNL.Clients.Office.Excel.Functions.SPG(V265, "SP_COUNTRY_NAME")</f>
        <v>China</v>
      </c>
      <c r="AD265" s="9" t="str">
        <f>_xll.SNL.Clients.Office.Excel.Functions.SPG(AA265, "SP_COUNTRY_NAME")</f>
        <v>#INVALID COMPANY ID</v>
      </c>
      <c r="AI265" s="9" t="str">
        <f>_xll.SNL.Clients.Office.Excel.Functions.SPG(AF265, "SP_COUNTRY_NAME")</f>
        <v>#INVALID COMPANY ID</v>
      </c>
      <c r="AN265" s="9" t="str">
        <f>_xll.SNL.Clients.Office.Excel.Functions.SPG(AK265, "SP_COUNTRY_NAME")</f>
        <v>#INVALID COMPANY ID</v>
      </c>
      <c r="AO265" t="s">
        <v>1371</v>
      </c>
      <c r="AP265">
        <v>7789175</v>
      </c>
      <c r="AQ265" t="s">
        <v>346</v>
      </c>
      <c r="AR265" s="11">
        <v>0</v>
      </c>
      <c r="AS265" s="9" t="str">
        <f>_xll.SNL.Clients.Office.Excel.Functions.SPG(AP265, "SP_COUNTRY_NAME")</f>
        <v>South Africa</v>
      </c>
      <c r="AX265" s="9" t="str">
        <f>_xll.SNL.Clients.Office.Excel.Functions.SPG(AU265, "SP_COUNTRY_NAME")</f>
        <v>#INVALID COMPANY ID</v>
      </c>
      <c r="BC265" s="9" t="str">
        <f>_xll.SNL.Clients.Office.Excel.Functions.SPG(AZ265, "SP_COUNTRY_NAME")</f>
        <v>#INVALID COMPANY ID</v>
      </c>
      <c r="BD265" t="s">
        <v>1470</v>
      </c>
      <c r="BE265">
        <v>4049169</v>
      </c>
      <c r="BF265" t="s">
        <v>366</v>
      </c>
      <c r="BG265" s="11">
        <v>0.01</v>
      </c>
      <c r="BH265" s="9" t="str">
        <f>_xll.SNL.Clients.Office.Excel.Functions.SPG(BE265, "SP_COUNTRY_NAME")</f>
        <v>Australia</v>
      </c>
      <c r="BI265" t="s">
        <v>1603</v>
      </c>
      <c r="BJ265" t="s">
        <v>300</v>
      </c>
      <c r="BK265" t="s">
        <v>361</v>
      </c>
      <c r="BL265" s="11">
        <v>0</v>
      </c>
      <c r="BM265" s="9" t="str">
        <f>_xll.SNL.Clients.Office.Excel.Functions.SPG(BJ265, "SP_COUNTRY_NAME")</f>
        <v>China</v>
      </c>
      <c r="BN265" t="s">
        <v>553</v>
      </c>
      <c r="BO265">
        <v>4557089</v>
      </c>
      <c r="BP265" t="s">
        <v>346</v>
      </c>
      <c r="BQ265" s="11">
        <v>0</v>
      </c>
      <c r="BR265" s="9" t="str">
        <f>_xll.SNL.Clients.Office.Excel.Functions.SPG(BO265, "SP_COUNTRY_NAME")</f>
        <v>Canada</v>
      </c>
      <c r="BS265" t="s">
        <v>507</v>
      </c>
      <c r="BT265">
        <v>4150758</v>
      </c>
      <c r="BU265" t="s">
        <v>366</v>
      </c>
      <c r="BV265" s="11">
        <v>0</v>
      </c>
      <c r="BW265" s="9" t="str">
        <f>_xll.SNL.Clients.Office.Excel.Functions.SPG(BT265, "SP_COUNTRY_NAME")</f>
        <v>Switzerland</v>
      </c>
      <c r="BX265" t="s">
        <v>832</v>
      </c>
      <c r="BY265">
        <v>15135223</v>
      </c>
      <c r="BZ265" t="s">
        <v>346</v>
      </c>
      <c r="CA265" s="11">
        <v>0</v>
      </c>
      <c r="CB265" s="9" t="str">
        <f>_xll.SNL.Clients.Office.Excel.Functions.SPG(BY265, "SP_COUNTRY_NAME")</f>
        <v>China</v>
      </c>
      <c r="CC265" t="s">
        <v>1733</v>
      </c>
      <c r="CD265">
        <v>4853822</v>
      </c>
      <c r="CE265" t="s">
        <v>346</v>
      </c>
      <c r="CF265" s="11">
        <v>0.01</v>
      </c>
      <c r="CG265" s="9" t="str">
        <f>_xll.SNL.Clients.Office.Excel.Functions.SPG(CD265, "SP_COUNTRY_NAME")</f>
        <v>United Kingdom</v>
      </c>
      <c r="CH265" t="s">
        <v>1371</v>
      </c>
      <c r="CI265">
        <v>7789175</v>
      </c>
      <c r="CJ265" t="s">
        <v>346</v>
      </c>
      <c r="CK265" s="11">
        <v>0</v>
      </c>
      <c r="CL265" s="9" t="str">
        <f>_xll.SNL.Clients.Office.Excel.Functions.SPG(CI265, "SP_COUNTRY_NAME")</f>
        <v>South Africa</v>
      </c>
      <c r="CM265" t="s">
        <v>2015</v>
      </c>
      <c r="CN265">
        <v>4582215</v>
      </c>
      <c r="CO265" t="s">
        <v>346</v>
      </c>
      <c r="CP265" s="11">
        <v>0</v>
      </c>
      <c r="CQ265" s="9" t="str">
        <f>_xll.SNL.Clients.Office.Excel.Functions.SPG(CN265, "SP_COUNTRY_NAME")</f>
        <v>USA</v>
      </c>
      <c r="CV265" s="9" t="str">
        <f>_xll.SNL.Clients.Office.Excel.Functions.SPG(CS265, "SP_COUNTRY_NAME")</f>
        <v>#INVALID COMPANY ID</v>
      </c>
      <c r="DA265" s="9" t="str">
        <f>_xll.SNL.Clients.Office.Excel.Functions.SPG(CX265, "SP_COUNTRY_NAME")</f>
        <v>#INVALID COMPANY ID</v>
      </c>
      <c r="DB265" t="s">
        <v>1470</v>
      </c>
      <c r="DC265">
        <v>4049169</v>
      </c>
      <c r="DD265" t="s">
        <v>366</v>
      </c>
      <c r="DE265" s="11">
        <v>0.01</v>
      </c>
      <c r="DF265" s="9" t="str">
        <f>_xll.SNL.Clients.Office.Excel.Functions.SPG(DC265, "SP_COUNTRY_NAME")</f>
        <v>Australia</v>
      </c>
      <c r="DK265" s="9" t="str">
        <f>_xll.SNL.Clients.Office.Excel.Functions.SPG(DH265, "SP_COUNTRY_NAME")</f>
        <v>#INVALID COMPANY ID</v>
      </c>
      <c r="DL265" t="s">
        <v>1470</v>
      </c>
      <c r="DM265">
        <v>4049169</v>
      </c>
      <c r="DN265" t="s">
        <v>366</v>
      </c>
      <c r="DO265" s="11">
        <v>0.01</v>
      </c>
      <c r="DP265" s="9" t="str">
        <f>_xll.SNL.Clients.Office.Excel.Functions.SPG(DM265, "SP_COUNTRY_NAME")</f>
        <v>Australia</v>
      </c>
      <c r="DU265" s="9" t="str">
        <f>_xll.SNL.Clients.Office.Excel.Functions.SPG(DR265, "SP_COUNTRY_NAME")</f>
        <v>#INVALID COMPANY ID</v>
      </c>
      <c r="DZ265" s="9" t="str">
        <f>_xll.SNL.Clients.Office.Excel.Functions.SPG(DW265, "SP_COUNTRY_NAME")</f>
        <v>#INVALID COMPANY ID</v>
      </c>
      <c r="EA265" t="s">
        <v>1733</v>
      </c>
      <c r="EB265">
        <v>4853822</v>
      </c>
      <c r="EC265" t="s">
        <v>346</v>
      </c>
      <c r="ED265" s="11">
        <v>0.01</v>
      </c>
      <c r="EE265" s="9" t="str">
        <f>_xll.SNL.Clients.Office.Excel.Functions.SPG(EB265, "SP_COUNTRY_NAME")</f>
        <v>United Kingdom</v>
      </c>
      <c r="EF265" t="s">
        <v>1470</v>
      </c>
      <c r="EG265">
        <v>4049169</v>
      </c>
      <c r="EH265" t="s">
        <v>366</v>
      </c>
      <c r="EI265" s="11">
        <v>0.01</v>
      </c>
      <c r="EJ265" s="9" t="str">
        <f>_xll.SNL.Clients.Office.Excel.Functions.SPG(EG265, "SP_COUNTRY_NAME")</f>
        <v>Australia</v>
      </c>
      <c r="EO265" s="9" t="str">
        <f>_xll.SNL.Clients.Office.Excel.Functions.SPG(EL265, "SP_COUNTRY_NAME")</f>
        <v>#INVALID COMPANY ID</v>
      </c>
      <c r="ET265" s="9" t="str">
        <f>_xll.SNL.Clients.Office.Excel.Functions.SPG(EQ265, "SP_COUNTRY_NAME")</f>
        <v>#INVALID COMPANY ID</v>
      </c>
      <c r="EY265" s="9" t="str">
        <f>_xll.SNL.Clients.Office.Excel.Functions.SPG(EV265, "SP_COUNTRY_NAME")</f>
        <v>#INVALID COMPANY ID</v>
      </c>
      <c r="FD265" s="9" t="str">
        <f>_xll.SNL.Clients.Office.Excel.Functions.SPG(FA265, "SP_COUNTRY_NAME")</f>
        <v>#INVALID COMPANY ID</v>
      </c>
      <c r="FI265" s="9" t="str">
        <f>_xll.SNL.Clients.Office.Excel.Functions.SPG(FF265, "SP_COUNTRY_NAME")</f>
        <v>#INVALID COMPANY ID</v>
      </c>
      <c r="FN265" s="9" t="str">
        <f>_xll.SNL.Clients.Office.Excel.Functions.SPG(FK265, "SP_COUNTRY_NAME")</f>
        <v>#INVALID COMPANY ID</v>
      </c>
      <c r="FS265" s="9" t="str">
        <f>_xll.SNL.Clients.Office.Excel.Functions.SPG(FP265, "SP_COUNTRY_NAME")</f>
        <v>#INVALID COMPANY ID</v>
      </c>
      <c r="FX265" s="9" t="str">
        <f>_xll.SNL.Clients.Office.Excel.Functions.SPG(FU265, "SP_COUNTRY_NAME")</f>
        <v>#INVALID COMPANY ID</v>
      </c>
      <c r="FY265" t="s">
        <v>1470</v>
      </c>
      <c r="FZ265">
        <v>4049169</v>
      </c>
      <c r="GA265" t="s">
        <v>366</v>
      </c>
      <c r="GB265" s="11">
        <v>0.01</v>
      </c>
      <c r="GC265" s="9" t="str">
        <f>_xll.SNL.Clients.Office.Excel.Functions.SPG(FZ265, "SP_COUNTRY_NAME")</f>
        <v>Australia</v>
      </c>
      <c r="GH265" s="9" t="str">
        <f>_xll.SNL.Clients.Office.Excel.Functions.SPG(GE265, "SP_COUNTRY_NAME")</f>
        <v>#INVALID COMPANY ID</v>
      </c>
      <c r="GM265" s="9" t="str">
        <f>_xll.SNL.Clients.Office.Excel.Functions.SPG(GJ265, "SP_COUNTRY_NAME")</f>
        <v>#INVALID COMPANY ID</v>
      </c>
      <c r="GR265" s="9" t="str">
        <f>_xll.SNL.Clients.Office.Excel.Functions.SPG(GO265, "SP_COUNTRY_NAME")</f>
        <v>#INVALID COMPANY ID</v>
      </c>
      <c r="GS265" t="s">
        <v>553</v>
      </c>
      <c r="GT265">
        <v>4557089</v>
      </c>
      <c r="GU265" t="s">
        <v>346</v>
      </c>
      <c r="GV265" s="11">
        <v>0</v>
      </c>
      <c r="GW265" s="9" t="str">
        <f>_xll.SNL.Clients.Office.Excel.Functions.SPG(GT265, "SP_COUNTRY_NAME")</f>
        <v>Canada</v>
      </c>
      <c r="GX265" t="s">
        <v>1733</v>
      </c>
      <c r="GY265">
        <v>4853822</v>
      </c>
      <c r="GZ265" t="s">
        <v>346</v>
      </c>
      <c r="HA265" s="11">
        <v>0.01</v>
      </c>
      <c r="HB265" s="9" t="str">
        <f>_xll.SNL.Clients.Office.Excel.Functions.SPG(GY265, "SP_COUNTRY_NAME")</f>
        <v>United Kingdom</v>
      </c>
      <c r="HG265" s="9" t="str">
        <f>_xll.SNL.Clients.Office.Excel.Functions.SPG(HD265, "SP_COUNTRY_NAME")</f>
        <v>#INVALID COMPANY ID</v>
      </c>
    </row>
    <row r="266" spans="5:215" x14ac:dyDescent="0.35">
      <c r="E266" s="9" t="str">
        <f>_xll.SNL.Clients.Office.Excel.Functions.SPG(B266, "SP_COUNTRY_NAME")</f>
        <v>#INVALID COMPANY ID</v>
      </c>
      <c r="J266" s="9" t="str">
        <f>_xll.SNL.Clients.Office.Excel.Functions.SPG(G266, "SP_COUNTRY_NAME")</f>
        <v>#INVALID COMPANY ID</v>
      </c>
      <c r="O266" s="9" t="str">
        <f>_xll.SNL.Clients.Office.Excel.Functions.SPG(L266, "SP_COUNTRY_NAME")</f>
        <v>#INVALID COMPANY ID</v>
      </c>
      <c r="T266" s="9" t="str">
        <f>_xll.SNL.Clients.Office.Excel.Functions.SPG(Q266, "SP_COUNTRY_NAME")</f>
        <v>#INVALID COMPANY ID</v>
      </c>
      <c r="U266" t="s">
        <v>833</v>
      </c>
      <c r="V266">
        <v>110527</v>
      </c>
      <c r="W266" t="s">
        <v>346</v>
      </c>
      <c r="X266" s="11">
        <v>0</v>
      </c>
      <c r="Y266" s="9" t="str">
        <f>_xll.SNL.Clients.Office.Excel.Functions.SPG(V266, "SP_COUNTRY_NAME")</f>
        <v>USA</v>
      </c>
      <c r="AD266" s="9" t="str">
        <f>_xll.SNL.Clients.Office.Excel.Functions.SPG(AA266, "SP_COUNTRY_NAME")</f>
        <v>#INVALID COMPANY ID</v>
      </c>
      <c r="AI266" s="9" t="str">
        <f>_xll.SNL.Clients.Office.Excel.Functions.SPG(AF266, "SP_COUNTRY_NAME")</f>
        <v>#INVALID COMPANY ID</v>
      </c>
      <c r="AN266" s="9" t="str">
        <f>_xll.SNL.Clients.Office.Excel.Functions.SPG(AK266, "SP_COUNTRY_NAME")</f>
        <v>#INVALID COMPANY ID</v>
      </c>
      <c r="AO266" t="s">
        <v>1372</v>
      </c>
      <c r="AP266">
        <v>5869594</v>
      </c>
      <c r="AQ266" t="s">
        <v>346</v>
      </c>
      <c r="AR266" s="11">
        <v>0</v>
      </c>
      <c r="AS266" s="9" t="str">
        <f>_xll.SNL.Clients.Office.Excel.Functions.SPG(AP266, "SP_COUNTRY_NAME")</f>
        <v>South Africa</v>
      </c>
      <c r="AX266" s="9" t="str">
        <f>_xll.SNL.Clients.Office.Excel.Functions.SPG(AU266, "SP_COUNTRY_NAME")</f>
        <v>#INVALID COMPANY ID</v>
      </c>
      <c r="BC266" s="9" t="str">
        <f>_xll.SNL.Clients.Office.Excel.Functions.SPG(AZ266, "SP_COUNTRY_NAME")</f>
        <v>#INVALID COMPANY ID</v>
      </c>
      <c r="BD266" t="s">
        <v>1471</v>
      </c>
      <c r="BE266">
        <v>5758195</v>
      </c>
      <c r="BF266" t="s">
        <v>346</v>
      </c>
      <c r="BG266" s="11">
        <v>0.01</v>
      </c>
      <c r="BH266" s="9" t="str">
        <f>_xll.SNL.Clients.Office.Excel.Functions.SPG(BE266, "SP_COUNTRY_NAME")</f>
        <v>South Africa</v>
      </c>
      <c r="BI266" t="s">
        <v>1604</v>
      </c>
      <c r="BJ266" t="s">
        <v>300</v>
      </c>
      <c r="BK266" t="s">
        <v>361</v>
      </c>
      <c r="BL266" s="11">
        <v>0</v>
      </c>
      <c r="BM266" s="9" t="str">
        <f>_xll.SNL.Clients.Office.Excel.Functions.SPG(BJ266, "SP_COUNTRY_NAME")</f>
        <v>China</v>
      </c>
      <c r="BN266" t="s">
        <v>1080</v>
      </c>
      <c r="BO266">
        <v>4644090</v>
      </c>
      <c r="BP266" t="s">
        <v>346</v>
      </c>
      <c r="BQ266" s="11">
        <v>0</v>
      </c>
      <c r="BR266" s="9" t="str">
        <f>_xll.SNL.Clients.Office.Excel.Functions.SPG(BO266, "SP_COUNTRY_NAME")</f>
        <v>Hong Kong</v>
      </c>
      <c r="BS266" t="s">
        <v>463</v>
      </c>
      <c r="BT266">
        <v>4138888</v>
      </c>
      <c r="BU266" t="s">
        <v>346</v>
      </c>
      <c r="BV266" s="11">
        <v>0</v>
      </c>
      <c r="BW266" s="9" t="str">
        <f>_xll.SNL.Clients.Office.Excel.Functions.SPG(BT266, "SP_COUNTRY_NAME")</f>
        <v>Norway</v>
      </c>
      <c r="BX266" t="s">
        <v>833</v>
      </c>
      <c r="BY266">
        <v>110527</v>
      </c>
      <c r="BZ266" t="s">
        <v>346</v>
      </c>
      <c r="CA266" s="11">
        <v>0</v>
      </c>
      <c r="CB266" s="9" t="str">
        <f>_xll.SNL.Clients.Office.Excel.Functions.SPG(BY266, "SP_COUNTRY_NAME")</f>
        <v>USA</v>
      </c>
      <c r="CC266" t="s">
        <v>1734</v>
      </c>
      <c r="CD266">
        <v>4093038</v>
      </c>
      <c r="CE266" t="s">
        <v>346</v>
      </c>
      <c r="CF266" s="11">
        <v>0.01</v>
      </c>
      <c r="CG266" s="9" t="str">
        <f>_xll.SNL.Clients.Office.Excel.Functions.SPG(CD266, "SP_COUNTRY_NAME")</f>
        <v>USA</v>
      </c>
      <c r="CH266" t="s">
        <v>1372</v>
      </c>
      <c r="CI266">
        <v>5869594</v>
      </c>
      <c r="CJ266" t="s">
        <v>346</v>
      </c>
      <c r="CK266" s="11">
        <v>0</v>
      </c>
      <c r="CL266" s="9" t="str">
        <f>_xll.SNL.Clients.Office.Excel.Functions.SPG(CI266, "SP_COUNTRY_NAME")</f>
        <v>South Africa</v>
      </c>
      <c r="CM266" t="s">
        <v>1768</v>
      </c>
      <c r="CN266">
        <v>4853792</v>
      </c>
      <c r="CO266" t="s">
        <v>366</v>
      </c>
      <c r="CP266" s="11">
        <v>0</v>
      </c>
      <c r="CQ266" s="9" t="str">
        <f>_xll.SNL.Clients.Office.Excel.Functions.SPG(CN266, "SP_COUNTRY_NAME")</f>
        <v>United Kingdom</v>
      </c>
      <c r="CV266" s="9" t="str">
        <f>_xll.SNL.Clients.Office.Excel.Functions.SPG(CS266, "SP_COUNTRY_NAME")</f>
        <v>#INVALID COMPANY ID</v>
      </c>
      <c r="DA266" s="9" t="str">
        <f>_xll.SNL.Clients.Office.Excel.Functions.SPG(CX266, "SP_COUNTRY_NAME")</f>
        <v>#INVALID COMPANY ID</v>
      </c>
      <c r="DB266" t="s">
        <v>1471</v>
      </c>
      <c r="DC266">
        <v>5758195</v>
      </c>
      <c r="DD266" t="s">
        <v>346</v>
      </c>
      <c r="DE266" s="11">
        <v>0.01</v>
      </c>
      <c r="DF266" s="9" t="str">
        <f>_xll.SNL.Clients.Office.Excel.Functions.SPG(DC266, "SP_COUNTRY_NAME")</f>
        <v>South Africa</v>
      </c>
      <c r="DK266" s="9" t="str">
        <f>_xll.SNL.Clients.Office.Excel.Functions.SPG(DH266, "SP_COUNTRY_NAME")</f>
        <v>#INVALID COMPANY ID</v>
      </c>
      <c r="DL266" t="s">
        <v>1471</v>
      </c>
      <c r="DM266">
        <v>5758195</v>
      </c>
      <c r="DN266" t="s">
        <v>346</v>
      </c>
      <c r="DO266" s="11">
        <v>0.01</v>
      </c>
      <c r="DP266" s="9" t="str">
        <f>_xll.SNL.Clients.Office.Excel.Functions.SPG(DM266, "SP_COUNTRY_NAME")</f>
        <v>South Africa</v>
      </c>
      <c r="DU266" s="9" t="str">
        <f>_xll.SNL.Clients.Office.Excel.Functions.SPG(DR266, "SP_COUNTRY_NAME")</f>
        <v>#INVALID COMPANY ID</v>
      </c>
      <c r="DZ266" s="9" t="str">
        <f>_xll.SNL.Clients.Office.Excel.Functions.SPG(DW266, "SP_COUNTRY_NAME")</f>
        <v>#INVALID COMPANY ID</v>
      </c>
      <c r="EA266" t="s">
        <v>1734</v>
      </c>
      <c r="EB266">
        <v>4093038</v>
      </c>
      <c r="EC266" t="s">
        <v>346</v>
      </c>
      <c r="ED266" s="11">
        <v>0.01</v>
      </c>
      <c r="EE266" s="9" t="str">
        <f>_xll.SNL.Clients.Office.Excel.Functions.SPG(EB266, "SP_COUNTRY_NAME")</f>
        <v>USA</v>
      </c>
      <c r="EF266" t="s">
        <v>1471</v>
      </c>
      <c r="EG266">
        <v>5758195</v>
      </c>
      <c r="EH266" t="s">
        <v>346</v>
      </c>
      <c r="EI266" s="11">
        <v>0.01</v>
      </c>
      <c r="EJ266" s="9" t="str">
        <f>_xll.SNL.Clients.Office.Excel.Functions.SPG(EG266, "SP_COUNTRY_NAME")</f>
        <v>South Africa</v>
      </c>
      <c r="EO266" s="9" t="str">
        <f>_xll.SNL.Clients.Office.Excel.Functions.SPG(EL266, "SP_COUNTRY_NAME")</f>
        <v>#INVALID COMPANY ID</v>
      </c>
      <c r="ET266" s="9" t="str">
        <f>_xll.SNL.Clients.Office.Excel.Functions.SPG(EQ266, "SP_COUNTRY_NAME")</f>
        <v>#INVALID COMPANY ID</v>
      </c>
      <c r="EY266" s="9" t="str">
        <f>_xll.SNL.Clients.Office.Excel.Functions.SPG(EV266, "SP_COUNTRY_NAME")</f>
        <v>#INVALID COMPANY ID</v>
      </c>
      <c r="FD266" s="9" t="str">
        <f>_xll.SNL.Clients.Office.Excel.Functions.SPG(FA266, "SP_COUNTRY_NAME")</f>
        <v>#INVALID COMPANY ID</v>
      </c>
      <c r="FI266" s="9" t="str">
        <f>_xll.SNL.Clients.Office.Excel.Functions.SPG(FF266, "SP_COUNTRY_NAME")</f>
        <v>#INVALID COMPANY ID</v>
      </c>
      <c r="FN266" s="9" t="str">
        <f>_xll.SNL.Clients.Office.Excel.Functions.SPG(FK266, "SP_COUNTRY_NAME")</f>
        <v>#INVALID COMPANY ID</v>
      </c>
      <c r="FS266" s="9" t="str">
        <f>_xll.SNL.Clients.Office.Excel.Functions.SPG(FP266, "SP_COUNTRY_NAME")</f>
        <v>#INVALID COMPANY ID</v>
      </c>
      <c r="FX266" s="9" t="str">
        <f>_xll.SNL.Clients.Office.Excel.Functions.SPG(FU266, "SP_COUNTRY_NAME")</f>
        <v>#INVALID COMPANY ID</v>
      </c>
      <c r="FY266" t="s">
        <v>1471</v>
      </c>
      <c r="FZ266">
        <v>5758195</v>
      </c>
      <c r="GA266" t="s">
        <v>346</v>
      </c>
      <c r="GB266" s="11">
        <v>0.01</v>
      </c>
      <c r="GC266" s="9" t="str">
        <f>_xll.SNL.Clients.Office.Excel.Functions.SPG(FZ266, "SP_COUNTRY_NAME")</f>
        <v>South Africa</v>
      </c>
      <c r="GH266" s="9" t="str">
        <f>_xll.SNL.Clients.Office.Excel.Functions.SPG(GE266, "SP_COUNTRY_NAME")</f>
        <v>#INVALID COMPANY ID</v>
      </c>
      <c r="GM266" s="9" t="str">
        <f>_xll.SNL.Clients.Office.Excel.Functions.SPG(GJ266, "SP_COUNTRY_NAME")</f>
        <v>#INVALID COMPANY ID</v>
      </c>
      <c r="GR266" s="9" t="str">
        <f>_xll.SNL.Clients.Office.Excel.Functions.SPG(GO266, "SP_COUNTRY_NAME")</f>
        <v>#INVALID COMPANY ID</v>
      </c>
      <c r="GS266" t="s">
        <v>1080</v>
      </c>
      <c r="GT266">
        <v>4644090</v>
      </c>
      <c r="GU266" t="s">
        <v>346</v>
      </c>
      <c r="GV266" s="11">
        <v>0</v>
      </c>
      <c r="GW266" s="9" t="str">
        <f>_xll.SNL.Clients.Office.Excel.Functions.SPG(GT266, "SP_COUNTRY_NAME")</f>
        <v>Hong Kong</v>
      </c>
      <c r="GX266" t="s">
        <v>1734</v>
      </c>
      <c r="GY266">
        <v>4093038</v>
      </c>
      <c r="GZ266" t="s">
        <v>346</v>
      </c>
      <c r="HA266" s="11">
        <v>0.01</v>
      </c>
      <c r="HB266" s="9" t="str">
        <f>_xll.SNL.Clients.Office.Excel.Functions.SPG(GY266, "SP_COUNTRY_NAME")</f>
        <v>USA</v>
      </c>
      <c r="HG266" s="9" t="str">
        <f>_xll.SNL.Clients.Office.Excel.Functions.SPG(HD266, "SP_COUNTRY_NAME")</f>
        <v>#INVALID COMPANY ID</v>
      </c>
    </row>
    <row r="267" spans="5:215" x14ac:dyDescent="0.35">
      <c r="E267" s="9" t="str">
        <f>_xll.SNL.Clients.Office.Excel.Functions.SPG(B267, "SP_COUNTRY_NAME")</f>
        <v>#INVALID COMPANY ID</v>
      </c>
      <c r="J267" s="9" t="str">
        <f>_xll.SNL.Clients.Office.Excel.Functions.SPG(G267, "SP_COUNTRY_NAME")</f>
        <v>#INVALID COMPANY ID</v>
      </c>
      <c r="O267" s="9" t="str">
        <f>_xll.SNL.Clients.Office.Excel.Functions.SPG(L267, "SP_COUNTRY_NAME")</f>
        <v>#INVALID COMPANY ID</v>
      </c>
      <c r="T267" s="9" t="str">
        <f>_xll.SNL.Clients.Office.Excel.Functions.SPG(Q267, "SP_COUNTRY_NAME")</f>
        <v>#INVALID COMPANY ID</v>
      </c>
      <c r="U267" t="s">
        <v>834</v>
      </c>
      <c r="V267">
        <v>4097957</v>
      </c>
      <c r="W267" t="s">
        <v>346</v>
      </c>
      <c r="X267" s="11">
        <v>0</v>
      </c>
      <c r="Y267" s="9" t="str">
        <f>_xll.SNL.Clients.Office.Excel.Functions.SPG(V267, "SP_COUNTRY_NAME")</f>
        <v>USA</v>
      </c>
      <c r="AD267" s="9" t="str">
        <f>_xll.SNL.Clients.Office.Excel.Functions.SPG(AA267, "SP_COUNTRY_NAME")</f>
        <v>#INVALID COMPANY ID</v>
      </c>
      <c r="AI267" s="9" t="str">
        <f>_xll.SNL.Clients.Office.Excel.Functions.SPG(AF267, "SP_COUNTRY_NAME")</f>
        <v>#INVALID COMPANY ID</v>
      </c>
      <c r="AN267" s="9" t="str">
        <f>_xll.SNL.Clients.Office.Excel.Functions.SPG(AK267, "SP_COUNTRY_NAME")</f>
        <v>#INVALID COMPANY ID</v>
      </c>
      <c r="AO267" t="s">
        <v>1373</v>
      </c>
      <c r="AP267">
        <v>4399531</v>
      </c>
      <c r="AQ267" t="s">
        <v>346</v>
      </c>
      <c r="AR267" s="11">
        <v>0</v>
      </c>
      <c r="AS267" s="9" t="str">
        <f>_xll.SNL.Clients.Office.Excel.Functions.SPG(AP267, "SP_COUNTRY_NAME")</f>
        <v>Spain</v>
      </c>
      <c r="AX267" s="9" t="str">
        <f>_xll.SNL.Clients.Office.Excel.Functions.SPG(AU267, "SP_COUNTRY_NAME")</f>
        <v>#INVALID COMPANY ID</v>
      </c>
      <c r="BC267" s="9" t="str">
        <f>_xll.SNL.Clients.Office.Excel.Functions.SPG(AZ267, "SP_COUNTRY_NAME")</f>
        <v>#INVALID COMPANY ID</v>
      </c>
      <c r="BD267" t="s">
        <v>1162</v>
      </c>
      <c r="BE267">
        <v>4139861</v>
      </c>
      <c r="BF267" t="s">
        <v>346</v>
      </c>
      <c r="BG267" s="11">
        <v>0.01</v>
      </c>
      <c r="BH267" s="9" t="str">
        <f>_xll.SNL.Clients.Office.Excel.Functions.SPG(BE267, "SP_COUNTRY_NAME")</f>
        <v>Spain</v>
      </c>
      <c r="BI267" t="s">
        <v>418</v>
      </c>
      <c r="BJ267">
        <v>109776</v>
      </c>
      <c r="BK267" t="s">
        <v>346</v>
      </c>
      <c r="BL267" s="11">
        <v>0</v>
      </c>
      <c r="BM267" s="9" t="str">
        <f>_xll.SNL.Clients.Office.Excel.Functions.SPG(BJ267, "SP_COUNTRY_NAME")</f>
        <v>USA</v>
      </c>
      <c r="BN267" t="s">
        <v>870</v>
      </c>
      <c r="BO267">
        <v>8364410</v>
      </c>
      <c r="BP267" t="s">
        <v>346</v>
      </c>
      <c r="BQ267" s="11">
        <v>0</v>
      </c>
      <c r="BR267" s="9" t="str">
        <f>_xll.SNL.Clients.Office.Excel.Functions.SPG(BO267, "SP_COUNTRY_NAME")</f>
        <v>China</v>
      </c>
      <c r="BS267" t="s">
        <v>806</v>
      </c>
      <c r="BT267">
        <v>4140536</v>
      </c>
      <c r="BU267" t="s">
        <v>346</v>
      </c>
      <c r="BV267" s="11">
        <v>0</v>
      </c>
      <c r="BW267" s="9" t="str">
        <f>_xll.SNL.Clients.Office.Excel.Functions.SPG(BT267, "SP_COUNTRY_NAME")</f>
        <v>China</v>
      </c>
      <c r="BX267" t="s">
        <v>834</v>
      </c>
      <c r="BY267">
        <v>4097957</v>
      </c>
      <c r="BZ267" t="s">
        <v>346</v>
      </c>
      <c r="CA267" s="11">
        <v>0</v>
      </c>
      <c r="CB267" s="9" t="str">
        <f>_xll.SNL.Clients.Office.Excel.Functions.SPG(BY267, "SP_COUNTRY_NAME")</f>
        <v>USA</v>
      </c>
      <c r="CC267" t="s">
        <v>1735</v>
      </c>
      <c r="CD267">
        <v>4590847</v>
      </c>
      <c r="CE267" t="s">
        <v>346</v>
      </c>
      <c r="CF267" s="11">
        <v>0.01</v>
      </c>
      <c r="CG267" s="9" t="str">
        <f>_xll.SNL.Clients.Office.Excel.Functions.SPG(CD267, "SP_COUNTRY_NAME")</f>
        <v>USA</v>
      </c>
      <c r="CH267" t="s">
        <v>1373</v>
      </c>
      <c r="CI267">
        <v>4399531</v>
      </c>
      <c r="CJ267" t="s">
        <v>346</v>
      </c>
      <c r="CK267" s="11">
        <v>0</v>
      </c>
      <c r="CL267" s="9" t="str">
        <f>_xll.SNL.Clients.Office.Excel.Functions.SPG(CI267, "SP_COUNTRY_NAME")</f>
        <v>Spain</v>
      </c>
      <c r="CM267" t="s">
        <v>1700</v>
      </c>
      <c r="CN267">
        <v>4117795</v>
      </c>
      <c r="CO267" t="s">
        <v>346</v>
      </c>
      <c r="CP267" s="11">
        <v>0</v>
      </c>
      <c r="CQ267" s="9" t="str">
        <f>_xll.SNL.Clients.Office.Excel.Functions.SPG(CN267, "SP_COUNTRY_NAME")</f>
        <v>USA</v>
      </c>
      <c r="CV267" s="9" t="str">
        <f>_xll.SNL.Clients.Office.Excel.Functions.SPG(CS267, "SP_COUNTRY_NAME")</f>
        <v>#INVALID COMPANY ID</v>
      </c>
      <c r="DA267" s="9" t="str">
        <f>_xll.SNL.Clients.Office.Excel.Functions.SPG(CX267, "SP_COUNTRY_NAME")</f>
        <v>#INVALID COMPANY ID</v>
      </c>
      <c r="DB267" t="s">
        <v>1162</v>
      </c>
      <c r="DC267">
        <v>4139861</v>
      </c>
      <c r="DD267" t="s">
        <v>346</v>
      </c>
      <c r="DE267" s="11">
        <v>0.01</v>
      </c>
      <c r="DF267" s="9" t="str">
        <f>_xll.SNL.Clients.Office.Excel.Functions.SPG(DC267, "SP_COUNTRY_NAME")</f>
        <v>Spain</v>
      </c>
      <c r="DK267" s="9" t="str">
        <f>_xll.SNL.Clients.Office.Excel.Functions.SPG(DH267, "SP_COUNTRY_NAME")</f>
        <v>#INVALID COMPANY ID</v>
      </c>
      <c r="DL267" t="s">
        <v>1162</v>
      </c>
      <c r="DM267">
        <v>4139861</v>
      </c>
      <c r="DN267" t="s">
        <v>346</v>
      </c>
      <c r="DO267" s="11">
        <v>0.01</v>
      </c>
      <c r="DP267" s="9" t="str">
        <f>_xll.SNL.Clients.Office.Excel.Functions.SPG(DM267, "SP_COUNTRY_NAME")</f>
        <v>Spain</v>
      </c>
      <c r="DU267" s="9" t="str">
        <f>_xll.SNL.Clients.Office.Excel.Functions.SPG(DR267, "SP_COUNTRY_NAME")</f>
        <v>#INVALID COMPANY ID</v>
      </c>
      <c r="DZ267" s="9" t="str">
        <f>_xll.SNL.Clients.Office.Excel.Functions.SPG(DW267, "SP_COUNTRY_NAME")</f>
        <v>#INVALID COMPANY ID</v>
      </c>
      <c r="EA267" t="s">
        <v>1735</v>
      </c>
      <c r="EB267">
        <v>4590847</v>
      </c>
      <c r="EC267" t="s">
        <v>346</v>
      </c>
      <c r="ED267" s="11">
        <v>0.01</v>
      </c>
      <c r="EE267" s="9" t="str">
        <f>_xll.SNL.Clients.Office.Excel.Functions.SPG(EB267, "SP_COUNTRY_NAME")</f>
        <v>USA</v>
      </c>
      <c r="EF267" t="s">
        <v>1162</v>
      </c>
      <c r="EG267">
        <v>4139861</v>
      </c>
      <c r="EH267" t="s">
        <v>346</v>
      </c>
      <c r="EI267" s="11">
        <v>0.01</v>
      </c>
      <c r="EJ267" s="9" t="str">
        <f>_xll.SNL.Clients.Office.Excel.Functions.SPG(EG267, "SP_COUNTRY_NAME")</f>
        <v>Spain</v>
      </c>
      <c r="EO267" s="9" t="str">
        <f>_xll.SNL.Clients.Office.Excel.Functions.SPG(EL267, "SP_COUNTRY_NAME")</f>
        <v>#INVALID COMPANY ID</v>
      </c>
      <c r="ET267" s="9" t="str">
        <f>_xll.SNL.Clients.Office.Excel.Functions.SPG(EQ267, "SP_COUNTRY_NAME")</f>
        <v>#INVALID COMPANY ID</v>
      </c>
      <c r="EY267" s="9" t="str">
        <f>_xll.SNL.Clients.Office.Excel.Functions.SPG(EV267, "SP_COUNTRY_NAME")</f>
        <v>#INVALID COMPANY ID</v>
      </c>
      <c r="FD267" s="9" t="str">
        <f>_xll.SNL.Clients.Office.Excel.Functions.SPG(FA267, "SP_COUNTRY_NAME")</f>
        <v>#INVALID COMPANY ID</v>
      </c>
      <c r="FI267" s="9" t="str">
        <f>_xll.SNL.Clients.Office.Excel.Functions.SPG(FF267, "SP_COUNTRY_NAME")</f>
        <v>#INVALID COMPANY ID</v>
      </c>
      <c r="FN267" s="9" t="str">
        <f>_xll.SNL.Clients.Office.Excel.Functions.SPG(FK267, "SP_COUNTRY_NAME")</f>
        <v>#INVALID COMPANY ID</v>
      </c>
      <c r="FS267" s="9" t="str">
        <f>_xll.SNL.Clients.Office.Excel.Functions.SPG(FP267, "SP_COUNTRY_NAME")</f>
        <v>#INVALID COMPANY ID</v>
      </c>
      <c r="FX267" s="9" t="str">
        <f>_xll.SNL.Clients.Office.Excel.Functions.SPG(FU267, "SP_COUNTRY_NAME")</f>
        <v>#INVALID COMPANY ID</v>
      </c>
      <c r="FY267" t="s">
        <v>1162</v>
      </c>
      <c r="FZ267">
        <v>4139861</v>
      </c>
      <c r="GA267" t="s">
        <v>346</v>
      </c>
      <c r="GB267" s="11">
        <v>0.01</v>
      </c>
      <c r="GC267" s="9" t="str">
        <f>_xll.SNL.Clients.Office.Excel.Functions.SPG(FZ267, "SP_COUNTRY_NAME")</f>
        <v>Spain</v>
      </c>
      <c r="GH267" s="9" t="str">
        <f>_xll.SNL.Clients.Office.Excel.Functions.SPG(GE267, "SP_COUNTRY_NAME")</f>
        <v>#INVALID COMPANY ID</v>
      </c>
      <c r="GM267" s="9" t="str">
        <f>_xll.SNL.Clients.Office.Excel.Functions.SPG(GJ267, "SP_COUNTRY_NAME")</f>
        <v>#INVALID COMPANY ID</v>
      </c>
      <c r="GR267" s="9" t="str">
        <f>_xll.SNL.Clients.Office.Excel.Functions.SPG(GO267, "SP_COUNTRY_NAME")</f>
        <v>#INVALID COMPANY ID</v>
      </c>
      <c r="GS267" t="s">
        <v>870</v>
      </c>
      <c r="GT267">
        <v>8364410</v>
      </c>
      <c r="GU267" t="s">
        <v>346</v>
      </c>
      <c r="GV267" s="11">
        <v>0</v>
      </c>
      <c r="GW267" s="9" t="str">
        <f>_xll.SNL.Clients.Office.Excel.Functions.SPG(GT267, "SP_COUNTRY_NAME")</f>
        <v>China</v>
      </c>
      <c r="GX267" t="s">
        <v>1735</v>
      </c>
      <c r="GY267">
        <v>4590847</v>
      </c>
      <c r="GZ267" t="s">
        <v>346</v>
      </c>
      <c r="HA267" s="11">
        <v>0.01</v>
      </c>
      <c r="HB267" s="9" t="str">
        <f>_xll.SNL.Clients.Office.Excel.Functions.SPG(GY267, "SP_COUNTRY_NAME")</f>
        <v>USA</v>
      </c>
      <c r="HG267" s="9" t="str">
        <f>_xll.SNL.Clients.Office.Excel.Functions.SPG(HD267, "SP_COUNTRY_NAME")</f>
        <v>#INVALID COMPANY ID</v>
      </c>
    </row>
    <row r="268" spans="5:215" x14ac:dyDescent="0.35">
      <c r="E268" s="9" t="str">
        <f>_xll.SNL.Clients.Office.Excel.Functions.SPG(B268, "SP_COUNTRY_NAME")</f>
        <v>#INVALID COMPANY ID</v>
      </c>
      <c r="J268" s="9" t="str">
        <f>_xll.SNL.Clients.Office.Excel.Functions.SPG(G268, "SP_COUNTRY_NAME")</f>
        <v>#INVALID COMPANY ID</v>
      </c>
      <c r="O268" s="9" t="str">
        <f>_xll.SNL.Clients.Office.Excel.Functions.SPG(L268, "SP_COUNTRY_NAME")</f>
        <v>#INVALID COMPANY ID</v>
      </c>
      <c r="T268" s="9" t="str">
        <f>_xll.SNL.Clients.Office.Excel.Functions.SPG(Q268, "SP_COUNTRY_NAME")</f>
        <v>#INVALID COMPANY ID</v>
      </c>
      <c r="U268" t="s">
        <v>835</v>
      </c>
      <c r="V268">
        <v>4878959</v>
      </c>
      <c r="W268" t="s">
        <v>346</v>
      </c>
      <c r="X268" s="11">
        <v>0</v>
      </c>
      <c r="Y268" s="9" t="str">
        <f>_xll.SNL.Clients.Office.Excel.Functions.SPG(V268, "SP_COUNTRY_NAME")</f>
        <v>China</v>
      </c>
      <c r="AD268" s="9" t="str">
        <f>_xll.SNL.Clients.Office.Excel.Functions.SPG(AA268, "SP_COUNTRY_NAME")</f>
        <v>#INVALID COMPANY ID</v>
      </c>
      <c r="AI268" s="9" t="str">
        <f>_xll.SNL.Clients.Office.Excel.Functions.SPG(AF268, "SP_COUNTRY_NAME")</f>
        <v>#INVALID COMPANY ID</v>
      </c>
      <c r="AN268" s="9" t="str">
        <f>_xll.SNL.Clients.Office.Excel.Functions.SPG(AK268, "SP_COUNTRY_NAME")</f>
        <v>#INVALID COMPANY ID</v>
      </c>
      <c r="AO268" t="s">
        <v>1374</v>
      </c>
      <c r="AP268">
        <v>7941727</v>
      </c>
      <c r="AQ268" t="s">
        <v>346</v>
      </c>
      <c r="AR268" s="11">
        <v>0</v>
      </c>
      <c r="AS268" s="9" t="str">
        <f>_xll.SNL.Clients.Office.Excel.Functions.SPG(AP268, "SP_COUNTRY_NAME")</f>
        <v>South Africa</v>
      </c>
      <c r="AX268" s="9" t="str">
        <f>_xll.SNL.Clients.Office.Excel.Functions.SPG(AU268, "SP_COUNTRY_NAME")</f>
        <v>#INVALID COMPANY ID</v>
      </c>
      <c r="BC268" s="9" t="str">
        <f>_xll.SNL.Clients.Office.Excel.Functions.SPG(AZ268, "SP_COUNTRY_NAME")</f>
        <v>#INVALID COMPANY ID</v>
      </c>
      <c r="BD268" t="s">
        <v>1273</v>
      </c>
      <c r="BE268">
        <v>4423324</v>
      </c>
      <c r="BF268" t="s">
        <v>346</v>
      </c>
      <c r="BG268" s="11">
        <v>0.01</v>
      </c>
      <c r="BH268" s="9" t="str">
        <f>_xll.SNL.Clients.Office.Excel.Functions.SPG(BE268, "SP_COUNTRY_NAME")</f>
        <v>South Africa</v>
      </c>
      <c r="BI268" t="s">
        <v>1605</v>
      </c>
      <c r="BJ268">
        <v>110330</v>
      </c>
      <c r="BK268" t="s">
        <v>346</v>
      </c>
      <c r="BL268" s="11">
        <v>0</v>
      </c>
      <c r="BM268" s="9" t="str">
        <f>_xll.SNL.Clients.Office.Excel.Functions.SPG(BJ268, "SP_COUNTRY_NAME")</f>
        <v>USA</v>
      </c>
      <c r="BN268" t="s">
        <v>850</v>
      </c>
      <c r="BO268">
        <v>5853751</v>
      </c>
      <c r="BP268" t="s">
        <v>346</v>
      </c>
      <c r="BQ268" s="11">
        <v>0</v>
      </c>
      <c r="BR268" s="9" t="str">
        <f>_xll.SNL.Clients.Office.Excel.Functions.SPG(BO268, "SP_COUNTRY_NAME")</f>
        <v>China</v>
      </c>
      <c r="BS268" t="s">
        <v>488</v>
      </c>
      <c r="BT268">
        <v>4087052</v>
      </c>
      <c r="BU268" t="s">
        <v>346</v>
      </c>
      <c r="BV268" s="11">
        <v>0</v>
      </c>
      <c r="BW268" s="9" t="str">
        <f>_xll.SNL.Clients.Office.Excel.Functions.SPG(BT268, "SP_COUNTRY_NAME")</f>
        <v>USA</v>
      </c>
      <c r="BX268" t="s">
        <v>835</v>
      </c>
      <c r="BY268">
        <v>4878959</v>
      </c>
      <c r="BZ268" t="s">
        <v>346</v>
      </c>
      <c r="CA268" s="11">
        <v>0</v>
      </c>
      <c r="CB268" s="9" t="str">
        <f>_xll.SNL.Clients.Office.Excel.Functions.SPG(BY268, "SP_COUNTRY_NAME")</f>
        <v>China</v>
      </c>
      <c r="CC268" t="s">
        <v>1736</v>
      </c>
      <c r="CD268">
        <v>4118104</v>
      </c>
      <c r="CE268" t="s">
        <v>346</v>
      </c>
      <c r="CF268" s="11">
        <v>0.01</v>
      </c>
      <c r="CG268" s="9" t="str">
        <f>_xll.SNL.Clients.Office.Excel.Functions.SPG(CD268, "SP_COUNTRY_NAME")</f>
        <v>USA</v>
      </c>
      <c r="CH268" t="s">
        <v>1374</v>
      </c>
      <c r="CI268">
        <v>7941727</v>
      </c>
      <c r="CJ268" t="s">
        <v>346</v>
      </c>
      <c r="CK268" s="11">
        <v>0</v>
      </c>
      <c r="CL268" s="9" t="str">
        <f>_xll.SNL.Clients.Office.Excel.Functions.SPG(CI268, "SP_COUNTRY_NAME")</f>
        <v>South Africa</v>
      </c>
      <c r="CM268" t="s">
        <v>1327</v>
      </c>
      <c r="CN268">
        <v>19814121</v>
      </c>
      <c r="CO268" t="s">
        <v>346</v>
      </c>
      <c r="CP268" s="11">
        <v>0</v>
      </c>
      <c r="CQ268" s="9" t="str">
        <f>_xll.SNL.Clients.Office.Excel.Functions.SPG(CN268, "SP_COUNTRY_NAME")</f>
        <v>South Africa</v>
      </c>
      <c r="CV268" s="9" t="str">
        <f>_xll.SNL.Clients.Office.Excel.Functions.SPG(CS268, "SP_COUNTRY_NAME")</f>
        <v>#INVALID COMPANY ID</v>
      </c>
      <c r="DA268" s="9" t="str">
        <f>_xll.SNL.Clients.Office.Excel.Functions.SPG(CX268, "SP_COUNTRY_NAME")</f>
        <v>#INVALID COMPANY ID</v>
      </c>
      <c r="DB268" t="s">
        <v>1273</v>
      </c>
      <c r="DC268">
        <v>4423324</v>
      </c>
      <c r="DD268" t="s">
        <v>346</v>
      </c>
      <c r="DE268" s="11">
        <v>0.01</v>
      </c>
      <c r="DF268" s="9" t="str">
        <f>_xll.SNL.Clients.Office.Excel.Functions.SPG(DC268, "SP_COUNTRY_NAME")</f>
        <v>South Africa</v>
      </c>
      <c r="DK268" s="9" t="str">
        <f>_xll.SNL.Clients.Office.Excel.Functions.SPG(DH268, "SP_COUNTRY_NAME")</f>
        <v>#INVALID COMPANY ID</v>
      </c>
      <c r="DL268" t="s">
        <v>1273</v>
      </c>
      <c r="DM268">
        <v>4423324</v>
      </c>
      <c r="DN268" t="s">
        <v>346</v>
      </c>
      <c r="DO268" s="11">
        <v>0.01</v>
      </c>
      <c r="DP268" s="9" t="str">
        <f>_xll.SNL.Clients.Office.Excel.Functions.SPG(DM268, "SP_COUNTRY_NAME")</f>
        <v>South Africa</v>
      </c>
      <c r="DU268" s="9" t="str">
        <f>_xll.SNL.Clients.Office.Excel.Functions.SPG(DR268, "SP_COUNTRY_NAME")</f>
        <v>#INVALID COMPANY ID</v>
      </c>
      <c r="DZ268" s="9" t="str">
        <f>_xll.SNL.Clients.Office.Excel.Functions.SPG(DW268, "SP_COUNTRY_NAME")</f>
        <v>#INVALID COMPANY ID</v>
      </c>
      <c r="EA268" t="s">
        <v>1736</v>
      </c>
      <c r="EB268">
        <v>4118104</v>
      </c>
      <c r="EC268" t="s">
        <v>346</v>
      </c>
      <c r="ED268" s="11">
        <v>0.01</v>
      </c>
      <c r="EE268" s="9" t="str">
        <f>_xll.SNL.Clients.Office.Excel.Functions.SPG(EB268, "SP_COUNTRY_NAME")</f>
        <v>USA</v>
      </c>
      <c r="EF268" t="s">
        <v>1273</v>
      </c>
      <c r="EG268">
        <v>4423324</v>
      </c>
      <c r="EH268" t="s">
        <v>346</v>
      </c>
      <c r="EI268" s="11">
        <v>0.01</v>
      </c>
      <c r="EJ268" s="9" t="str">
        <f>_xll.SNL.Clients.Office.Excel.Functions.SPG(EG268, "SP_COUNTRY_NAME")</f>
        <v>South Africa</v>
      </c>
      <c r="EO268" s="9" t="str">
        <f>_xll.SNL.Clients.Office.Excel.Functions.SPG(EL268, "SP_COUNTRY_NAME")</f>
        <v>#INVALID COMPANY ID</v>
      </c>
      <c r="ET268" s="9" t="str">
        <f>_xll.SNL.Clients.Office.Excel.Functions.SPG(EQ268, "SP_COUNTRY_NAME")</f>
        <v>#INVALID COMPANY ID</v>
      </c>
      <c r="EY268" s="9" t="str">
        <f>_xll.SNL.Clients.Office.Excel.Functions.SPG(EV268, "SP_COUNTRY_NAME")</f>
        <v>#INVALID COMPANY ID</v>
      </c>
      <c r="FD268" s="9" t="str">
        <f>_xll.SNL.Clients.Office.Excel.Functions.SPG(FA268, "SP_COUNTRY_NAME")</f>
        <v>#INVALID COMPANY ID</v>
      </c>
      <c r="FI268" s="9" t="str">
        <f>_xll.SNL.Clients.Office.Excel.Functions.SPG(FF268, "SP_COUNTRY_NAME")</f>
        <v>#INVALID COMPANY ID</v>
      </c>
      <c r="FN268" s="9" t="str">
        <f>_xll.SNL.Clients.Office.Excel.Functions.SPG(FK268, "SP_COUNTRY_NAME")</f>
        <v>#INVALID COMPANY ID</v>
      </c>
      <c r="FS268" s="9" t="str">
        <f>_xll.SNL.Clients.Office.Excel.Functions.SPG(FP268, "SP_COUNTRY_NAME")</f>
        <v>#INVALID COMPANY ID</v>
      </c>
      <c r="FX268" s="9" t="str">
        <f>_xll.SNL.Clients.Office.Excel.Functions.SPG(FU268, "SP_COUNTRY_NAME")</f>
        <v>#INVALID COMPANY ID</v>
      </c>
      <c r="FY268" t="s">
        <v>1273</v>
      </c>
      <c r="FZ268">
        <v>4423324</v>
      </c>
      <c r="GA268" t="s">
        <v>346</v>
      </c>
      <c r="GB268" s="11">
        <v>0.01</v>
      </c>
      <c r="GC268" s="9" t="str">
        <f>_xll.SNL.Clients.Office.Excel.Functions.SPG(FZ268, "SP_COUNTRY_NAME")</f>
        <v>South Africa</v>
      </c>
      <c r="GH268" s="9" t="str">
        <f>_xll.SNL.Clients.Office.Excel.Functions.SPG(GE268, "SP_COUNTRY_NAME")</f>
        <v>#INVALID COMPANY ID</v>
      </c>
      <c r="GM268" s="9" t="str">
        <f>_xll.SNL.Clients.Office.Excel.Functions.SPG(GJ268, "SP_COUNTRY_NAME")</f>
        <v>#INVALID COMPANY ID</v>
      </c>
      <c r="GR268" s="9" t="str">
        <f>_xll.SNL.Clients.Office.Excel.Functions.SPG(GO268, "SP_COUNTRY_NAME")</f>
        <v>#INVALID COMPANY ID</v>
      </c>
      <c r="GS268" t="s">
        <v>850</v>
      </c>
      <c r="GT268">
        <v>5853751</v>
      </c>
      <c r="GU268" t="s">
        <v>346</v>
      </c>
      <c r="GV268" s="11">
        <v>0</v>
      </c>
      <c r="GW268" s="9" t="str">
        <f>_xll.SNL.Clients.Office.Excel.Functions.SPG(GT268, "SP_COUNTRY_NAME")</f>
        <v>China</v>
      </c>
      <c r="GX268" t="s">
        <v>1736</v>
      </c>
      <c r="GY268">
        <v>4118104</v>
      </c>
      <c r="GZ268" t="s">
        <v>346</v>
      </c>
      <c r="HA268" s="11">
        <v>0.01</v>
      </c>
      <c r="HB268" s="9" t="str">
        <f>_xll.SNL.Clients.Office.Excel.Functions.SPG(GY268, "SP_COUNTRY_NAME")</f>
        <v>USA</v>
      </c>
      <c r="HG268" s="9" t="str">
        <f>_xll.SNL.Clients.Office.Excel.Functions.SPG(HD268, "SP_COUNTRY_NAME")</f>
        <v>#INVALID COMPANY ID</v>
      </c>
    </row>
    <row r="269" spans="5:215" x14ac:dyDescent="0.35">
      <c r="E269" s="9" t="str">
        <f>_xll.SNL.Clients.Office.Excel.Functions.SPG(B269, "SP_COUNTRY_NAME")</f>
        <v>#INVALID COMPANY ID</v>
      </c>
      <c r="J269" s="9" t="str">
        <f>_xll.SNL.Clients.Office.Excel.Functions.SPG(G269, "SP_COUNTRY_NAME")</f>
        <v>#INVALID COMPANY ID</v>
      </c>
      <c r="O269" s="9" t="str">
        <f>_xll.SNL.Clients.Office.Excel.Functions.SPG(L269, "SP_COUNTRY_NAME")</f>
        <v>#INVALID COMPANY ID</v>
      </c>
      <c r="T269" s="9" t="str">
        <f>_xll.SNL.Clients.Office.Excel.Functions.SPG(Q269, "SP_COUNTRY_NAME")</f>
        <v>#INVALID COMPANY ID</v>
      </c>
      <c r="U269" t="s">
        <v>836</v>
      </c>
      <c r="V269">
        <v>4396635</v>
      </c>
      <c r="W269" t="s">
        <v>346</v>
      </c>
      <c r="X269" s="11">
        <v>0</v>
      </c>
      <c r="Y269" s="9" t="str">
        <f>_xll.SNL.Clients.Office.Excel.Functions.SPG(V269, "SP_COUNTRY_NAME")</f>
        <v>China</v>
      </c>
      <c r="AD269" s="9" t="str">
        <f>_xll.SNL.Clients.Office.Excel.Functions.SPG(AA269, "SP_COUNTRY_NAME")</f>
        <v>#INVALID COMPANY ID</v>
      </c>
      <c r="AI269" s="9" t="str">
        <f>_xll.SNL.Clients.Office.Excel.Functions.SPG(AF269, "SP_COUNTRY_NAME")</f>
        <v>#INVALID COMPANY ID</v>
      </c>
      <c r="AN269" s="9" t="str">
        <f>_xll.SNL.Clients.Office.Excel.Functions.SPG(AK269, "SP_COUNTRY_NAME")</f>
        <v>#INVALID COMPANY ID</v>
      </c>
      <c r="AO269" t="s">
        <v>540</v>
      </c>
      <c r="AP269">
        <v>4281265</v>
      </c>
      <c r="AQ269" t="s">
        <v>346</v>
      </c>
      <c r="AR269" s="11">
        <v>0</v>
      </c>
      <c r="AS269" s="9" t="str">
        <f>_xll.SNL.Clients.Office.Excel.Functions.SPG(AP269, "SP_COUNTRY_NAME")</f>
        <v>Canada</v>
      </c>
      <c r="AX269" s="9" t="str">
        <f>_xll.SNL.Clients.Office.Excel.Functions.SPG(AU269, "SP_COUNTRY_NAME")</f>
        <v>#INVALID COMPANY ID</v>
      </c>
      <c r="BC269" s="9" t="str">
        <f>_xll.SNL.Clients.Office.Excel.Functions.SPG(AZ269, "SP_COUNTRY_NAME")</f>
        <v>#INVALID COMPANY ID</v>
      </c>
      <c r="BD269" t="s">
        <v>1472</v>
      </c>
      <c r="BE269">
        <v>7357269</v>
      </c>
      <c r="BF269" t="s">
        <v>346</v>
      </c>
      <c r="BG269" s="11">
        <v>0</v>
      </c>
      <c r="BH269" s="9" t="str">
        <f>_xll.SNL.Clients.Office.Excel.Functions.SPG(BE269, "SP_COUNTRY_NAME")</f>
        <v>USA</v>
      </c>
      <c r="BI269" t="s">
        <v>882</v>
      </c>
      <c r="BJ269">
        <v>110793</v>
      </c>
      <c r="BK269" t="s">
        <v>346</v>
      </c>
      <c r="BL269" s="11">
        <v>0</v>
      </c>
      <c r="BM269" s="9" t="str">
        <f>_xll.SNL.Clients.Office.Excel.Functions.SPG(BJ269, "SP_COUNTRY_NAME")</f>
        <v>USA</v>
      </c>
      <c r="BN269" t="s">
        <v>895</v>
      </c>
      <c r="BO269">
        <v>106158792</v>
      </c>
      <c r="BP269" t="s">
        <v>346</v>
      </c>
      <c r="BQ269" s="11">
        <v>0</v>
      </c>
      <c r="BR269" s="9" t="str">
        <f>_xll.SNL.Clients.Office.Excel.Functions.SPG(BO269, "SP_COUNTRY_NAME")</f>
        <v>China</v>
      </c>
      <c r="BS269" t="s">
        <v>999</v>
      </c>
      <c r="BT269">
        <v>4031268</v>
      </c>
      <c r="BU269" t="s">
        <v>346</v>
      </c>
      <c r="BV269" s="11">
        <v>0</v>
      </c>
      <c r="BW269" s="9" t="str">
        <f>_xll.SNL.Clients.Office.Excel.Functions.SPG(BT269, "SP_COUNTRY_NAME")</f>
        <v>USA</v>
      </c>
      <c r="BX269" t="s">
        <v>836</v>
      </c>
      <c r="BY269">
        <v>4396635</v>
      </c>
      <c r="BZ269" t="s">
        <v>346</v>
      </c>
      <c r="CA269" s="11">
        <v>0</v>
      </c>
      <c r="CB269" s="9" t="str">
        <f>_xll.SNL.Clients.Office.Excel.Functions.SPG(BY269, "SP_COUNTRY_NAME")</f>
        <v>China</v>
      </c>
      <c r="CC269" t="s">
        <v>489</v>
      </c>
      <c r="CD269">
        <v>4324456</v>
      </c>
      <c r="CE269" t="s">
        <v>346</v>
      </c>
      <c r="CF269" s="11">
        <v>0.01</v>
      </c>
      <c r="CG269" s="9" t="str">
        <f>_xll.SNL.Clients.Office.Excel.Functions.SPG(CD269, "SP_COUNTRY_NAME")</f>
        <v>Italy</v>
      </c>
      <c r="CH269" t="s">
        <v>540</v>
      </c>
      <c r="CI269">
        <v>4281265</v>
      </c>
      <c r="CJ269" t="s">
        <v>346</v>
      </c>
      <c r="CK269" s="11">
        <v>0</v>
      </c>
      <c r="CL269" s="9" t="str">
        <f>_xll.SNL.Clients.Office.Excel.Functions.SPG(CI269, "SP_COUNTRY_NAME")</f>
        <v>Canada</v>
      </c>
      <c r="CM269" t="s">
        <v>824</v>
      </c>
      <c r="CN269">
        <v>4213196</v>
      </c>
      <c r="CO269" t="s">
        <v>346</v>
      </c>
      <c r="CP269" s="11">
        <v>0</v>
      </c>
      <c r="CQ269" s="9" t="str">
        <f>_xll.SNL.Clients.Office.Excel.Functions.SPG(CN269, "SP_COUNTRY_NAME")</f>
        <v>Japan</v>
      </c>
      <c r="CV269" s="9" t="str">
        <f>_xll.SNL.Clients.Office.Excel.Functions.SPG(CS269, "SP_COUNTRY_NAME")</f>
        <v>#INVALID COMPANY ID</v>
      </c>
      <c r="DA269" s="9" t="str">
        <f>_xll.SNL.Clients.Office.Excel.Functions.SPG(CX269, "SP_COUNTRY_NAME")</f>
        <v>#INVALID COMPANY ID</v>
      </c>
      <c r="DB269" t="s">
        <v>1472</v>
      </c>
      <c r="DC269">
        <v>7357269</v>
      </c>
      <c r="DD269" t="s">
        <v>346</v>
      </c>
      <c r="DE269" s="11">
        <v>0</v>
      </c>
      <c r="DF269" s="9" t="str">
        <f>_xll.SNL.Clients.Office.Excel.Functions.SPG(DC269, "SP_COUNTRY_NAME")</f>
        <v>USA</v>
      </c>
      <c r="DK269" s="9" t="str">
        <f>_xll.SNL.Clients.Office.Excel.Functions.SPG(DH269, "SP_COUNTRY_NAME")</f>
        <v>#INVALID COMPANY ID</v>
      </c>
      <c r="DL269" t="s">
        <v>1472</v>
      </c>
      <c r="DM269">
        <v>7357269</v>
      </c>
      <c r="DN269" t="s">
        <v>346</v>
      </c>
      <c r="DO269" s="11">
        <v>0</v>
      </c>
      <c r="DP269" s="9" t="str">
        <f>_xll.SNL.Clients.Office.Excel.Functions.SPG(DM269, "SP_COUNTRY_NAME")</f>
        <v>USA</v>
      </c>
      <c r="DU269" s="9" t="str">
        <f>_xll.SNL.Clients.Office.Excel.Functions.SPG(DR269, "SP_COUNTRY_NAME")</f>
        <v>#INVALID COMPANY ID</v>
      </c>
      <c r="DZ269" s="9" t="str">
        <f>_xll.SNL.Clients.Office.Excel.Functions.SPG(DW269, "SP_COUNTRY_NAME")</f>
        <v>#INVALID COMPANY ID</v>
      </c>
      <c r="EA269" t="s">
        <v>489</v>
      </c>
      <c r="EB269">
        <v>4324456</v>
      </c>
      <c r="EC269" t="s">
        <v>346</v>
      </c>
      <c r="ED269" s="11">
        <v>0.01</v>
      </c>
      <c r="EE269" s="9" t="str">
        <f>_xll.SNL.Clients.Office.Excel.Functions.SPG(EB269, "SP_COUNTRY_NAME")</f>
        <v>Italy</v>
      </c>
      <c r="EF269" t="s">
        <v>1472</v>
      </c>
      <c r="EG269">
        <v>7357269</v>
      </c>
      <c r="EH269" t="s">
        <v>346</v>
      </c>
      <c r="EI269" s="11">
        <v>0</v>
      </c>
      <c r="EJ269" s="9" t="str">
        <f>_xll.SNL.Clients.Office.Excel.Functions.SPG(EG269, "SP_COUNTRY_NAME")</f>
        <v>USA</v>
      </c>
      <c r="EO269" s="9" t="str">
        <f>_xll.SNL.Clients.Office.Excel.Functions.SPG(EL269, "SP_COUNTRY_NAME")</f>
        <v>#INVALID COMPANY ID</v>
      </c>
      <c r="ET269" s="9" t="str">
        <f>_xll.SNL.Clients.Office.Excel.Functions.SPG(EQ269, "SP_COUNTRY_NAME")</f>
        <v>#INVALID COMPANY ID</v>
      </c>
      <c r="EY269" s="9" t="str">
        <f>_xll.SNL.Clients.Office.Excel.Functions.SPG(EV269, "SP_COUNTRY_NAME")</f>
        <v>#INVALID COMPANY ID</v>
      </c>
      <c r="FD269" s="9" t="str">
        <f>_xll.SNL.Clients.Office.Excel.Functions.SPG(FA269, "SP_COUNTRY_NAME")</f>
        <v>#INVALID COMPANY ID</v>
      </c>
      <c r="FI269" s="9" t="str">
        <f>_xll.SNL.Clients.Office.Excel.Functions.SPG(FF269, "SP_COUNTRY_NAME")</f>
        <v>#INVALID COMPANY ID</v>
      </c>
      <c r="FN269" s="9" t="str">
        <f>_xll.SNL.Clients.Office.Excel.Functions.SPG(FK269, "SP_COUNTRY_NAME")</f>
        <v>#INVALID COMPANY ID</v>
      </c>
      <c r="FS269" s="9" t="str">
        <f>_xll.SNL.Clients.Office.Excel.Functions.SPG(FP269, "SP_COUNTRY_NAME")</f>
        <v>#INVALID COMPANY ID</v>
      </c>
      <c r="FX269" s="9" t="str">
        <f>_xll.SNL.Clients.Office.Excel.Functions.SPG(FU269, "SP_COUNTRY_NAME")</f>
        <v>#INVALID COMPANY ID</v>
      </c>
      <c r="FY269" t="s">
        <v>1472</v>
      </c>
      <c r="FZ269">
        <v>7357269</v>
      </c>
      <c r="GA269" t="s">
        <v>346</v>
      </c>
      <c r="GB269" s="11">
        <v>0</v>
      </c>
      <c r="GC269" s="9" t="str">
        <f>_xll.SNL.Clients.Office.Excel.Functions.SPG(FZ269, "SP_COUNTRY_NAME")</f>
        <v>USA</v>
      </c>
      <c r="GH269" s="9" t="str">
        <f>_xll.SNL.Clients.Office.Excel.Functions.SPG(GE269, "SP_COUNTRY_NAME")</f>
        <v>#INVALID COMPANY ID</v>
      </c>
      <c r="GM269" s="9" t="str">
        <f>_xll.SNL.Clients.Office.Excel.Functions.SPG(GJ269, "SP_COUNTRY_NAME")</f>
        <v>#INVALID COMPANY ID</v>
      </c>
      <c r="GR269" s="9" t="str">
        <f>_xll.SNL.Clients.Office.Excel.Functions.SPG(GO269, "SP_COUNTRY_NAME")</f>
        <v>#INVALID COMPANY ID</v>
      </c>
      <c r="GS269" t="s">
        <v>895</v>
      </c>
      <c r="GT269">
        <v>106158792</v>
      </c>
      <c r="GU269" t="s">
        <v>346</v>
      </c>
      <c r="GV269" s="11">
        <v>0</v>
      </c>
      <c r="GW269" s="9" t="str">
        <f>_xll.SNL.Clients.Office.Excel.Functions.SPG(GT269, "SP_COUNTRY_NAME")</f>
        <v>China</v>
      </c>
      <c r="GX269" t="s">
        <v>489</v>
      </c>
      <c r="GY269">
        <v>4324456</v>
      </c>
      <c r="GZ269" t="s">
        <v>346</v>
      </c>
      <c r="HA269" s="11">
        <v>0.01</v>
      </c>
      <c r="HB269" s="9" t="str">
        <f>_xll.SNL.Clients.Office.Excel.Functions.SPG(GY269, "SP_COUNTRY_NAME")</f>
        <v>Italy</v>
      </c>
      <c r="HG269" s="9" t="str">
        <f>_xll.SNL.Clients.Office.Excel.Functions.SPG(HD269, "SP_COUNTRY_NAME")</f>
        <v>#INVALID COMPANY ID</v>
      </c>
    </row>
    <row r="270" spans="5:215" x14ac:dyDescent="0.35">
      <c r="E270" s="9" t="str">
        <f>_xll.SNL.Clients.Office.Excel.Functions.SPG(B270, "SP_COUNTRY_NAME")</f>
        <v>#INVALID COMPANY ID</v>
      </c>
      <c r="J270" s="9" t="str">
        <f>_xll.SNL.Clients.Office.Excel.Functions.SPG(G270, "SP_COUNTRY_NAME")</f>
        <v>#INVALID COMPANY ID</v>
      </c>
      <c r="O270" s="9" t="str">
        <f>_xll.SNL.Clients.Office.Excel.Functions.SPG(L270, "SP_COUNTRY_NAME")</f>
        <v>#INVALID COMPANY ID</v>
      </c>
      <c r="T270" s="9" t="str">
        <f>_xll.SNL.Clients.Office.Excel.Functions.SPG(Q270, "SP_COUNTRY_NAME")</f>
        <v>#INVALID COMPANY ID</v>
      </c>
      <c r="U270" t="s">
        <v>837</v>
      </c>
      <c r="V270">
        <v>5830179</v>
      </c>
      <c r="W270" t="s">
        <v>346</v>
      </c>
      <c r="X270" s="11">
        <v>0</v>
      </c>
      <c r="Y270" s="9" t="str">
        <f>_xll.SNL.Clients.Office.Excel.Functions.SPG(V270, "SP_COUNTRY_NAME")</f>
        <v>Ireland</v>
      </c>
      <c r="AD270" s="9" t="str">
        <f>_xll.SNL.Clients.Office.Excel.Functions.SPG(AA270, "SP_COUNTRY_NAME")</f>
        <v>#INVALID COMPANY ID</v>
      </c>
      <c r="AI270" s="9" t="str">
        <f>_xll.SNL.Clients.Office.Excel.Functions.SPG(AF270, "SP_COUNTRY_NAME")</f>
        <v>#INVALID COMPANY ID</v>
      </c>
      <c r="AN270" s="9" t="str">
        <f>_xll.SNL.Clients.Office.Excel.Functions.SPG(AK270, "SP_COUNTRY_NAME")</f>
        <v>#INVALID COMPANY ID</v>
      </c>
      <c r="AO270" t="s">
        <v>1375</v>
      </c>
      <c r="AP270">
        <v>6696616</v>
      </c>
      <c r="AQ270" t="s">
        <v>364</v>
      </c>
      <c r="AR270" s="11">
        <v>0</v>
      </c>
      <c r="AS270" s="9" t="str">
        <f>_xll.SNL.Clients.Office.Excel.Functions.SPG(AP270, "SP_COUNTRY_NAME")</f>
        <v>South Africa</v>
      </c>
      <c r="AX270" s="9" t="str">
        <f>_xll.SNL.Clients.Office.Excel.Functions.SPG(AU270, "SP_COUNTRY_NAME")</f>
        <v>#INVALID COMPANY ID</v>
      </c>
      <c r="BC270" s="9" t="str">
        <f>_xll.SNL.Clients.Office.Excel.Functions.SPG(AZ270, "SP_COUNTRY_NAME")</f>
        <v>#INVALID COMPANY ID</v>
      </c>
      <c r="BD270" t="s">
        <v>781</v>
      </c>
      <c r="BE270">
        <v>7794310</v>
      </c>
      <c r="BF270" t="s">
        <v>346</v>
      </c>
      <c r="BG270" s="11">
        <v>0</v>
      </c>
      <c r="BH270" s="9" t="str">
        <f>_xll.SNL.Clients.Office.Excel.Functions.SPG(BE270, "SP_COUNTRY_NAME")</f>
        <v>United Kingdom</v>
      </c>
      <c r="BI270" t="s">
        <v>1606</v>
      </c>
      <c r="BJ270">
        <v>4119479</v>
      </c>
      <c r="BK270" t="s">
        <v>346</v>
      </c>
      <c r="BL270" s="11">
        <v>0</v>
      </c>
      <c r="BM270" s="9" t="str">
        <f>_xll.SNL.Clients.Office.Excel.Functions.SPG(BJ270, "SP_COUNTRY_NAME")</f>
        <v>USA</v>
      </c>
      <c r="BN270" t="s">
        <v>892</v>
      </c>
      <c r="BO270">
        <v>4307010</v>
      </c>
      <c r="BP270" t="s">
        <v>346</v>
      </c>
      <c r="BQ270" s="11">
        <v>0</v>
      </c>
      <c r="BR270" s="9" t="str">
        <f>_xll.SNL.Clients.Office.Excel.Functions.SPG(BO270, "SP_COUNTRY_NAME")</f>
        <v>USA</v>
      </c>
      <c r="BS270" t="s">
        <v>1000</v>
      </c>
      <c r="BT270">
        <v>4138488</v>
      </c>
      <c r="BU270" t="s">
        <v>300</v>
      </c>
      <c r="BV270" s="11">
        <v>0</v>
      </c>
      <c r="BW270" s="9" t="str">
        <f>_xll.SNL.Clients.Office.Excel.Functions.SPG(BT270, "SP_COUNTRY_NAME")</f>
        <v>France</v>
      </c>
      <c r="BX270" t="s">
        <v>837</v>
      </c>
      <c r="BY270">
        <v>5830179</v>
      </c>
      <c r="BZ270" t="s">
        <v>346</v>
      </c>
      <c r="CA270" s="11">
        <v>0</v>
      </c>
      <c r="CB270" s="9" t="str">
        <f>_xll.SNL.Clients.Office.Excel.Functions.SPG(BY270, "SP_COUNTRY_NAME")</f>
        <v>Ireland</v>
      </c>
      <c r="CC270" t="s">
        <v>1241</v>
      </c>
      <c r="CD270">
        <v>100522</v>
      </c>
      <c r="CE270" t="s">
        <v>366</v>
      </c>
      <c r="CF270" s="11">
        <v>0.01</v>
      </c>
      <c r="CG270" s="9" t="str">
        <f>_xll.SNL.Clients.Office.Excel.Functions.SPG(CD270, "SP_COUNTRY_NAME")</f>
        <v>Canada</v>
      </c>
      <c r="CH270" t="s">
        <v>1375</v>
      </c>
      <c r="CI270">
        <v>6696616</v>
      </c>
      <c r="CJ270" t="s">
        <v>364</v>
      </c>
      <c r="CK270" s="11">
        <v>0</v>
      </c>
      <c r="CL270" s="9" t="str">
        <f>_xll.SNL.Clients.Office.Excel.Functions.SPG(CI270, "SP_COUNTRY_NAME")</f>
        <v>South Africa</v>
      </c>
      <c r="CM270" t="s">
        <v>1836</v>
      </c>
      <c r="CN270">
        <v>4111513</v>
      </c>
      <c r="CO270" t="s">
        <v>346</v>
      </c>
      <c r="CP270" s="11">
        <v>0</v>
      </c>
      <c r="CQ270" s="9" t="str">
        <f>_xll.SNL.Clients.Office.Excel.Functions.SPG(CN270, "SP_COUNTRY_NAME")</f>
        <v>USA</v>
      </c>
      <c r="CV270" s="9" t="str">
        <f>_xll.SNL.Clients.Office.Excel.Functions.SPG(CS270, "SP_COUNTRY_NAME")</f>
        <v>#INVALID COMPANY ID</v>
      </c>
      <c r="DA270" s="9" t="str">
        <f>_xll.SNL.Clients.Office.Excel.Functions.SPG(CX270, "SP_COUNTRY_NAME")</f>
        <v>#INVALID COMPANY ID</v>
      </c>
      <c r="DB270" t="s">
        <v>781</v>
      </c>
      <c r="DC270">
        <v>7794310</v>
      </c>
      <c r="DD270" t="s">
        <v>346</v>
      </c>
      <c r="DE270" s="11">
        <v>0</v>
      </c>
      <c r="DF270" s="9" t="str">
        <f>_xll.SNL.Clients.Office.Excel.Functions.SPG(DC270, "SP_COUNTRY_NAME")</f>
        <v>United Kingdom</v>
      </c>
      <c r="DK270" s="9" t="str">
        <f>_xll.SNL.Clients.Office.Excel.Functions.SPG(DH270, "SP_COUNTRY_NAME")</f>
        <v>#INVALID COMPANY ID</v>
      </c>
      <c r="DL270" t="s">
        <v>781</v>
      </c>
      <c r="DM270">
        <v>7794310</v>
      </c>
      <c r="DN270" t="s">
        <v>346</v>
      </c>
      <c r="DO270" s="11">
        <v>0</v>
      </c>
      <c r="DP270" s="9" t="str">
        <f>_xll.SNL.Clients.Office.Excel.Functions.SPG(DM270, "SP_COUNTRY_NAME")</f>
        <v>United Kingdom</v>
      </c>
      <c r="DU270" s="9" t="str">
        <f>_xll.SNL.Clients.Office.Excel.Functions.SPG(DR270, "SP_COUNTRY_NAME")</f>
        <v>#INVALID COMPANY ID</v>
      </c>
      <c r="DZ270" s="9" t="str">
        <f>_xll.SNL.Clients.Office.Excel.Functions.SPG(DW270, "SP_COUNTRY_NAME")</f>
        <v>#INVALID COMPANY ID</v>
      </c>
      <c r="EA270" t="s">
        <v>1241</v>
      </c>
      <c r="EB270">
        <v>100522</v>
      </c>
      <c r="EC270" t="s">
        <v>366</v>
      </c>
      <c r="ED270" s="11">
        <v>0.01</v>
      </c>
      <c r="EE270" s="9" t="str">
        <f>_xll.SNL.Clients.Office.Excel.Functions.SPG(EB270, "SP_COUNTRY_NAME")</f>
        <v>Canada</v>
      </c>
      <c r="EF270" t="s">
        <v>781</v>
      </c>
      <c r="EG270">
        <v>7794310</v>
      </c>
      <c r="EH270" t="s">
        <v>346</v>
      </c>
      <c r="EI270" s="11">
        <v>0</v>
      </c>
      <c r="EJ270" s="9" t="str">
        <f>_xll.SNL.Clients.Office.Excel.Functions.SPG(EG270, "SP_COUNTRY_NAME")</f>
        <v>United Kingdom</v>
      </c>
      <c r="EO270" s="9" t="str">
        <f>_xll.SNL.Clients.Office.Excel.Functions.SPG(EL270, "SP_COUNTRY_NAME")</f>
        <v>#INVALID COMPANY ID</v>
      </c>
      <c r="ET270" s="9" t="str">
        <f>_xll.SNL.Clients.Office.Excel.Functions.SPG(EQ270, "SP_COUNTRY_NAME")</f>
        <v>#INVALID COMPANY ID</v>
      </c>
      <c r="EY270" s="9" t="str">
        <f>_xll.SNL.Clients.Office.Excel.Functions.SPG(EV270, "SP_COUNTRY_NAME")</f>
        <v>#INVALID COMPANY ID</v>
      </c>
      <c r="FD270" s="9" t="str">
        <f>_xll.SNL.Clients.Office.Excel.Functions.SPG(FA270, "SP_COUNTRY_NAME")</f>
        <v>#INVALID COMPANY ID</v>
      </c>
      <c r="FI270" s="9" t="str">
        <f>_xll.SNL.Clients.Office.Excel.Functions.SPG(FF270, "SP_COUNTRY_NAME")</f>
        <v>#INVALID COMPANY ID</v>
      </c>
      <c r="FN270" s="9" t="str">
        <f>_xll.SNL.Clients.Office.Excel.Functions.SPG(FK270, "SP_COUNTRY_NAME")</f>
        <v>#INVALID COMPANY ID</v>
      </c>
      <c r="FS270" s="9" t="str">
        <f>_xll.SNL.Clients.Office.Excel.Functions.SPG(FP270, "SP_COUNTRY_NAME")</f>
        <v>#INVALID COMPANY ID</v>
      </c>
      <c r="FX270" s="9" t="str">
        <f>_xll.SNL.Clients.Office.Excel.Functions.SPG(FU270, "SP_COUNTRY_NAME")</f>
        <v>#INVALID COMPANY ID</v>
      </c>
      <c r="FY270" t="s">
        <v>781</v>
      </c>
      <c r="FZ270">
        <v>7794310</v>
      </c>
      <c r="GA270" t="s">
        <v>346</v>
      </c>
      <c r="GB270" s="11">
        <v>0</v>
      </c>
      <c r="GC270" s="9" t="str">
        <f>_xll.SNL.Clients.Office.Excel.Functions.SPG(FZ270, "SP_COUNTRY_NAME")</f>
        <v>United Kingdom</v>
      </c>
      <c r="GH270" s="9" t="str">
        <f>_xll.SNL.Clients.Office.Excel.Functions.SPG(GE270, "SP_COUNTRY_NAME")</f>
        <v>#INVALID COMPANY ID</v>
      </c>
      <c r="GM270" s="9" t="str">
        <f>_xll.SNL.Clients.Office.Excel.Functions.SPG(GJ270, "SP_COUNTRY_NAME")</f>
        <v>#INVALID COMPANY ID</v>
      </c>
      <c r="GR270" s="9" t="str">
        <f>_xll.SNL.Clients.Office.Excel.Functions.SPG(GO270, "SP_COUNTRY_NAME")</f>
        <v>#INVALID COMPANY ID</v>
      </c>
      <c r="GS270" t="s">
        <v>892</v>
      </c>
      <c r="GT270">
        <v>4307010</v>
      </c>
      <c r="GU270" t="s">
        <v>346</v>
      </c>
      <c r="GV270" s="11">
        <v>0</v>
      </c>
      <c r="GW270" s="9" t="str">
        <f>_xll.SNL.Clients.Office.Excel.Functions.SPG(GT270, "SP_COUNTRY_NAME")</f>
        <v>USA</v>
      </c>
      <c r="GX270" t="s">
        <v>1241</v>
      </c>
      <c r="GY270">
        <v>100522</v>
      </c>
      <c r="GZ270" t="s">
        <v>366</v>
      </c>
      <c r="HA270" s="11">
        <v>0.01</v>
      </c>
      <c r="HB270" s="9" t="str">
        <f>_xll.SNL.Clients.Office.Excel.Functions.SPG(GY270, "SP_COUNTRY_NAME")</f>
        <v>Canada</v>
      </c>
      <c r="HG270" s="9" t="str">
        <f>_xll.SNL.Clients.Office.Excel.Functions.SPG(HD270, "SP_COUNTRY_NAME")</f>
        <v>#INVALID COMPANY ID</v>
      </c>
    </row>
    <row r="271" spans="5:215" x14ac:dyDescent="0.35">
      <c r="E271" s="9" t="str">
        <f>_xll.SNL.Clients.Office.Excel.Functions.SPG(B271, "SP_COUNTRY_NAME")</f>
        <v>#INVALID COMPANY ID</v>
      </c>
      <c r="J271" s="9" t="str">
        <f>_xll.SNL.Clients.Office.Excel.Functions.SPG(G271, "SP_COUNTRY_NAME")</f>
        <v>#INVALID COMPANY ID</v>
      </c>
      <c r="O271" s="9" t="str">
        <f>_xll.SNL.Clients.Office.Excel.Functions.SPG(L271, "SP_COUNTRY_NAME")</f>
        <v>#INVALID COMPANY ID</v>
      </c>
      <c r="T271" s="9" t="str">
        <f>_xll.SNL.Clients.Office.Excel.Functions.SPG(Q271, "SP_COUNTRY_NAME")</f>
        <v>#INVALID COMPANY ID</v>
      </c>
      <c r="U271" t="s">
        <v>838</v>
      </c>
      <c r="V271">
        <v>4315032</v>
      </c>
      <c r="W271" t="s">
        <v>346</v>
      </c>
      <c r="X271" s="11">
        <v>0</v>
      </c>
      <c r="Y271" s="9" t="str">
        <f>_xll.SNL.Clients.Office.Excel.Functions.SPG(V271, "SP_COUNTRY_NAME")</f>
        <v>China</v>
      </c>
      <c r="AD271" s="9" t="str">
        <f>_xll.SNL.Clients.Office.Excel.Functions.SPG(AA271, "SP_COUNTRY_NAME")</f>
        <v>#INVALID COMPANY ID</v>
      </c>
      <c r="AI271" s="9" t="str">
        <f>_xll.SNL.Clients.Office.Excel.Functions.SPG(AF271, "SP_COUNTRY_NAME")</f>
        <v>#INVALID COMPANY ID</v>
      </c>
      <c r="AN271" s="9" t="str">
        <f>_xll.SNL.Clients.Office.Excel.Functions.SPG(AK271, "SP_COUNTRY_NAME")</f>
        <v>#INVALID COMPANY ID</v>
      </c>
      <c r="AO271" t="s">
        <v>1376</v>
      </c>
      <c r="AP271">
        <v>110794</v>
      </c>
      <c r="AQ271" t="s">
        <v>346</v>
      </c>
      <c r="AR271" s="11">
        <v>0</v>
      </c>
      <c r="AS271" s="9" t="str">
        <f>_xll.SNL.Clients.Office.Excel.Functions.SPG(AP271, "SP_COUNTRY_NAME")</f>
        <v>USA</v>
      </c>
      <c r="AX271" s="9" t="str">
        <f>_xll.SNL.Clients.Office.Excel.Functions.SPG(AU271, "SP_COUNTRY_NAME")</f>
        <v>#INVALID COMPANY ID</v>
      </c>
      <c r="BC271" s="9" t="str">
        <f>_xll.SNL.Clients.Office.Excel.Functions.SPG(AZ271, "SP_COUNTRY_NAME")</f>
        <v>#INVALID COMPANY ID</v>
      </c>
      <c r="BD271" t="s">
        <v>484</v>
      </c>
      <c r="BE271">
        <v>110386</v>
      </c>
      <c r="BF271" t="s">
        <v>346</v>
      </c>
      <c r="BG271" s="11">
        <v>0</v>
      </c>
      <c r="BH271" s="9" t="str">
        <f>_xll.SNL.Clients.Office.Excel.Functions.SPG(BE271, "SP_COUNTRY_NAME")</f>
        <v>USA</v>
      </c>
      <c r="BI271" t="s">
        <v>413</v>
      </c>
      <c r="BJ271">
        <v>4114882</v>
      </c>
      <c r="BK271" t="s">
        <v>346</v>
      </c>
      <c r="BL271" s="11">
        <v>0</v>
      </c>
      <c r="BM271" s="9" t="str">
        <f>_xll.SNL.Clients.Office.Excel.Functions.SPG(BJ271, "SP_COUNTRY_NAME")</f>
        <v>Canada</v>
      </c>
      <c r="BN271" t="s">
        <v>390</v>
      </c>
      <c r="BO271">
        <v>4135241</v>
      </c>
      <c r="BP271" t="s">
        <v>346</v>
      </c>
      <c r="BQ271" s="11">
        <v>0</v>
      </c>
      <c r="BR271" s="9" t="str">
        <f>_xll.SNL.Clients.Office.Excel.Functions.SPG(BO271, "SP_COUNTRY_NAME")</f>
        <v>Australia</v>
      </c>
      <c r="BS271" t="s">
        <v>1001</v>
      </c>
      <c r="BT271">
        <v>109692</v>
      </c>
      <c r="BU271" t="s">
        <v>346</v>
      </c>
      <c r="BV271" s="11">
        <v>0</v>
      </c>
      <c r="BW271" s="9" t="str">
        <f>_xll.SNL.Clients.Office.Excel.Functions.SPG(BT271, "SP_COUNTRY_NAME")</f>
        <v>USA</v>
      </c>
      <c r="BX271" t="s">
        <v>838</v>
      </c>
      <c r="BY271">
        <v>4315032</v>
      </c>
      <c r="BZ271" t="s">
        <v>346</v>
      </c>
      <c r="CA271" s="11">
        <v>0</v>
      </c>
      <c r="CB271" s="9" t="str">
        <f>_xll.SNL.Clients.Office.Excel.Functions.SPG(BY271, "SP_COUNTRY_NAME")</f>
        <v>China</v>
      </c>
      <c r="CC271" t="s">
        <v>1737</v>
      </c>
      <c r="CD271">
        <v>4224428</v>
      </c>
      <c r="CE271" t="s">
        <v>346</v>
      </c>
      <c r="CF271" s="11">
        <v>0.01</v>
      </c>
      <c r="CG271" s="9" t="str">
        <f>_xll.SNL.Clients.Office.Excel.Functions.SPG(CD271, "SP_COUNTRY_NAME")</f>
        <v>Brazil</v>
      </c>
      <c r="CH271" t="s">
        <v>1376</v>
      </c>
      <c r="CI271">
        <v>110794</v>
      </c>
      <c r="CJ271" t="s">
        <v>346</v>
      </c>
      <c r="CK271" s="11">
        <v>0</v>
      </c>
      <c r="CL271" s="9" t="str">
        <f>_xll.SNL.Clients.Office.Excel.Functions.SPG(CI271, "SP_COUNTRY_NAME")</f>
        <v>USA</v>
      </c>
      <c r="CM271" t="s">
        <v>1506</v>
      </c>
      <c r="CN271">
        <v>5864340</v>
      </c>
      <c r="CO271" t="s">
        <v>346</v>
      </c>
      <c r="CP271" s="11">
        <v>0</v>
      </c>
      <c r="CQ271" s="9" t="str">
        <f>_xll.SNL.Clients.Office.Excel.Functions.SPG(CN271, "SP_COUNTRY_NAME")</f>
        <v>Sudan</v>
      </c>
      <c r="CV271" s="9" t="str">
        <f>_xll.SNL.Clients.Office.Excel.Functions.SPG(CS271, "SP_COUNTRY_NAME")</f>
        <v>#INVALID COMPANY ID</v>
      </c>
      <c r="DA271" s="9" t="str">
        <f>_xll.SNL.Clients.Office.Excel.Functions.SPG(CX271, "SP_COUNTRY_NAME")</f>
        <v>#INVALID COMPANY ID</v>
      </c>
      <c r="DB271" t="s">
        <v>484</v>
      </c>
      <c r="DC271">
        <v>110386</v>
      </c>
      <c r="DD271" t="s">
        <v>346</v>
      </c>
      <c r="DE271" s="11">
        <v>0</v>
      </c>
      <c r="DF271" s="9" t="str">
        <f>_xll.SNL.Clients.Office.Excel.Functions.SPG(DC271, "SP_COUNTRY_NAME")</f>
        <v>USA</v>
      </c>
      <c r="DK271" s="9" t="str">
        <f>_xll.SNL.Clients.Office.Excel.Functions.SPG(DH271, "SP_COUNTRY_NAME")</f>
        <v>#INVALID COMPANY ID</v>
      </c>
      <c r="DL271" t="s">
        <v>484</v>
      </c>
      <c r="DM271">
        <v>110386</v>
      </c>
      <c r="DN271" t="s">
        <v>346</v>
      </c>
      <c r="DO271" s="11">
        <v>0</v>
      </c>
      <c r="DP271" s="9" t="str">
        <f>_xll.SNL.Clients.Office.Excel.Functions.SPG(DM271, "SP_COUNTRY_NAME")</f>
        <v>USA</v>
      </c>
      <c r="DU271" s="9" t="str">
        <f>_xll.SNL.Clients.Office.Excel.Functions.SPG(DR271, "SP_COUNTRY_NAME")</f>
        <v>#INVALID COMPANY ID</v>
      </c>
      <c r="DZ271" s="9" t="str">
        <f>_xll.SNL.Clients.Office.Excel.Functions.SPG(DW271, "SP_COUNTRY_NAME")</f>
        <v>#INVALID COMPANY ID</v>
      </c>
      <c r="EA271" t="s">
        <v>1737</v>
      </c>
      <c r="EB271">
        <v>4224428</v>
      </c>
      <c r="EC271" t="s">
        <v>346</v>
      </c>
      <c r="ED271" s="11">
        <v>0.01</v>
      </c>
      <c r="EE271" s="9" t="str">
        <f>_xll.SNL.Clients.Office.Excel.Functions.SPG(EB271, "SP_COUNTRY_NAME")</f>
        <v>Brazil</v>
      </c>
      <c r="EF271" t="s">
        <v>484</v>
      </c>
      <c r="EG271">
        <v>110386</v>
      </c>
      <c r="EH271" t="s">
        <v>346</v>
      </c>
      <c r="EI271" s="11">
        <v>0</v>
      </c>
      <c r="EJ271" s="9" t="str">
        <f>_xll.SNL.Clients.Office.Excel.Functions.SPG(EG271, "SP_COUNTRY_NAME")</f>
        <v>USA</v>
      </c>
      <c r="EO271" s="9" t="str">
        <f>_xll.SNL.Clients.Office.Excel.Functions.SPG(EL271, "SP_COUNTRY_NAME")</f>
        <v>#INVALID COMPANY ID</v>
      </c>
      <c r="ET271" s="9" t="str">
        <f>_xll.SNL.Clients.Office.Excel.Functions.SPG(EQ271, "SP_COUNTRY_NAME")</f>
        <v>#INVALID COMPANY ID</v>
      </c>
      <c r="EY271" s="9" t="str">
        <f>_xll.SNL.Clients.Office.Excel.Functions.SPG(EV271, "SP_COUNTRY_NAME")</f>
        <v>#INVALID COMPANY ID</v>
      </c>
      <c r="FD271" s="9" t="str">
        <f>_xll.SNL.Clients.Office.Excel.Functions.SPG(FA271, "SP_COUNTRY_NAME")</f>
        <v>#INVALID COMPANY ID</v>
      </c>
      <c r="FI271" s="9" t="str">
        <f>_xll.SNL.Clients.Office.Excel.Functions.SPG(FF271, "SP_COUNTRY_NAME")</f>
        <v>#INVALID COMPANY ID</v>
      </c>
      <c r="FN271" s="9" t="str">
        <f>_xll.SNL.Clients.Office.Excel.Functions.SPG(FK271, "SP_COUNTRY_NAME")</f>
        <v>#INVALID COMPANY ID</v>
      </c>
      <c r="FS271" s="9" t="str">
        <f>_xll.SNL.Clients.Office.Excel.Functions.SPG(FP271, "SP_COUNTRY_NAME")</f>
        <v>#INVALID COMPANY ID</v>
      </c>
      <c r="FX271" s="9" t="str">
        <f>_xll.SNL.Clients.Office.Excel.Functions.SPG(FU271, "SP_COUNTRY_NAME")</f>
        <v>#INVALID COMPANY ID</v>
      </c>
      <c r="FY271" t="s">
        <v>484</v>
      </c>
      <c r="FZ271">
        <v>110386</v>
      </c>
      <c r="GA271" t="s">
        <v>346</v>
      </c>
      <c r="GB271" s="11">
        <v>0</v>
      </c>
      <c r="GC271" s="9" t="str">
        <f>_xll.SNL.Clients.Office.Excel.Functions.SPG(FZ271, "SP_COUNTRY_NAME")</f>
        <v>USA</v>
      </c>
      <c r="GH271" s="9" t="str">
        <f>_xll.SNL.Clients.Office.Excel.Functions.SPG(GE271, "SP_COUNTRY_NAME")</f>
        <v>#INVALID COMPANY ID</v>
      </c>
      <c r="GM271" s="9" t="str">
        <f>_xll.SNL.Clients.Office.Excel.Functions.SPG(GJ271, "SP_COUNTRY_NAME")</f>
        <v>#INVALID COMPANY ID</v>
      </c>
      <c r="GR271" s="9" t="str">
        <f>_xll.SNL.Clients.Office.Excel.Functions.SPG(GO271, "SP_COUNTRY_NAME")</f>
        <v>#INVALID COMPANY ID</v>
      </c>
      <c r="GS271" t="s">
        <v>390</v>
      </c>
      <c r="GT271">
        <v>4135241</v>
      </c>
      <c r="GU271" t="s">
        <v>346</v>
      </c>
      <c r="GV271" s="11">
        <v>0</v>
      </c>
      <c r="GW271" s="9" t="str">
        <f>_xll.SNL.Clients.Office.Excel.Functions.SPG(GT271, "SP_COUNTRY_NAME")</f>
        <v>Australia</v>
      </c>
      <c r="GX271" t="s">
        <v>1737</v>
      </c>
      <c r="GY271">
        <v>4224428</v>
      </c>
      <c r="GZ271" t="s">
        <v>346</v>
      </c>
      <c r="HA271" s="11">
        <v>0.01</v>
      </c>
      <c r="HB271" s="9" t="str">
        <f>_xll.SNL.Clients.Office.Excel.Functions.SPG(GY271, "SP_COUNTRY_NAME")</f>
        <v>Brazil</v>
      </c>
      <c r="HG271" s="9" t="str">
        <f>_xll.SNL.Clients.Office.Excel.Functions.SPG(HD271, "SP_COUNTRY_NAME")</f>
        <v>#INVALID COMPANY ID</v>
      </c>
    </row>
    <row r="272" spans="5:215" x14ac:dyDescent="0.35">
      <c r="E272" s="9" t="str">
        <f>_xll.SNL.Clients.Office.Excel.Functions.SPG(B272, "SP_COUNTRY_NAME")</f>
        <v>#INVALID COMPANY ID</v>
      </c>
      <c r="J272" s="9" t="str">
        <f>_xll.SNL.Clients.Office.Excel.Functions.SPG(G272, "SP_COUNTRY_NAME")</f>
        <v>#INVALID COMPANY ID</v>
      </c>
      <c r="O272" s="9" t="str">
        <f>_xll.SNL.Clients.Office.Excel.Functions.SPG(L272, "SP_COUNTRY_NAME")</f>
        <v>#INVALID COMPANY ID</v>
      </c>
      <c r="T272" s="9" t="str">
        <f>_xll.SNL.Clients.Office.Excel.Functions.SPG(Q272, "SP_COUNTRY_NAME")</f>
        <v>#INVALID COMPANY ID</v>
      </c>
      <c r="U272" t="s">
        <v>440</v>
      </c>
      <c r="V272">
        <v>4140078</v>
      </c>
      <c r="W272" t="s">
        <v>346</v>
      </c>
      <c r="X272" s="11">
        <v>0</v>
      </c>
      <c r="Y272" s="9" t="str">
        <f>_xll.SNL.Clients.Office.Excel.Functions.SPG(V272, "SP_COUNTRY_NAME")</f>
        <v>Japan</v>
      </c>
      <c r="AD272" s="9" t="str">
        <f>_xll.SNL.Clients.Office.Excel.Functions.SPG(AA272, "SP_COUNTRY_NAME")</f>
        <v>#INVALID COMPANY ID</v>
      </c>
      <c r="AI272" s="9" t="str">
        <f>_xll.SNL.Clients.Office.Excel.Functions.SPG(AF272, "SP_COUNTRY_NAME")</f>
        <v>#INVALID COMPANY ID</v>
      </c>
      <c r="AN272" s="9" t="str">
        <f>_xll.SNL.Clients.Office.Excel.Functions.SPG(AK272, "SP_COUNTRY_NAME")</f>
        <v>#INVALID COMPANY ID</v>
      </c>
      <c r="AO272" t="s">
        <v>520</v>
      </c>
      <c r="AP272">
        <v>103661</v>
      </c>
      <c r="AQ272" t="s">
        <v>346</v>
      </c>
      <c r="AR272" s="11">
        <v>0</v>
      </c>
      <c r="AS272" s="9" t="str">
        <f>_xll.SNL.Clients.Office.Excel.Functions.SPG(AP272, "SP_COUNTRY_NAME")</f>
        <v>USA</v>
      </c>
      <c r="AX272" s="9" t="str">
        <f>_xll.SNL.Clients.Office.Excel.Functions.SPG(AU272, "SP_COUNTRY_NAME")</f>
        <v>#INVALID COMPANY ID</v>
      </c>
      <c r="BC272" s="9" t="str">
        <f>_xll.SNL.Clients.Office.Excel.Functions.SPG(AZ272, "SP_COUNTRY_NAME")</f>
        <v>#INVALID COMPANY ID</v>
      </c>
      <c r="BD272" t="s">
        <v>1473</v>
      </c>
      <c r="BE272">
        <v>25429472</v>
      </c>
      <c r="BF272" t="s">
        <v>346</v>
      </c>
      <c r="BG272" s="11">
        <v>0</v>
      </c>
      <c r="BH272" s="9" t="str">
        <f>_xll.SNL.Clients.Office.Excel.Functions.SPG(BE272, "SP_COUNTRY_NAME")</f>
        <v>Ireland</v>
      </c>
      <c r="BI272" t="s">
        <v>359</v>
      </c>
      <c r="BJ272">
        <v>4144380</v>
      </c>
      <c r="BK272" t="s">
        <v>346</v>
      </c>
      <c r="BL272" s="11">
        <v>0</v>
      </c>
      <c r="BM272" s="9" t="str">
        <f>_xll.SNL.Clients.Office.Excel.Functions.SPG(BJ272, "SP_COUNTRY_NAME")</f>
        <v>France</v>
      </c>
      <c r="BN272" t="s">
        <v>869</v>
      </c>
      <c r="BO272">
        <v>4560837</v>
      </c>
      <c r="BP272" t="s">
        <v>346</v>
      </c>
      <c r="BQ272" s="11">
        <v>0</v>
      </c>
      <c r="BR272" s="9" t="str">
        <f>_xll.SNL.Clients.Office.Excel.Functions.SPG(BO272, "SP_COUNTRY_NAME")</f>
        <v>Hong Kong</v>
      </c>
      <c r="BS272" t="s">
        <v>643</v>
      </c>
      <c r="BT272">
        <v>8365031</v>
      </c>
      <c r="BU272" t="s">
        <v>346</v>
      </c>
      <c r="BV272" s="11">
        <v>0</v>
      </c>
      <c r="BW272" s="9" t="str">
        <f>_xll.SNL.Clients.Office.Excel.Functions.SPG(BT272, "SP_COUNTRY_NAME")</f>
        <v>Australia</v>
      </c>
      <c r="BX272" t="s">
        <v>440</v>
      </c>
      <c r="BY272">
        <v>4140078</v>
      </c>
      <c r="BZ272" t="s">
        <v>346</v>
      </c>
      <c r="CA272" s="11">
        <v>0</v>
      </c>
      <c r="CB272" s="9" t="str">
        <f>_xll.SNL.Clients.Office.Excel.Functions.SPG(BY272, "SP_COUNTRY_NAME")</f>
        <v>Japan</v>
      </c>
      <c r="CC272" t="s">
        <v>1738</v>
      </c>
      <c r="CD272">
        <v>27890771</v>
      </c>
      <c r="CE272" t="s">
        <v>364</v>
      </c>
      <c r="CF272" s="11">
        <v>0.01</v>
      </c>
      <c r="CG272" s="9" t="str">
        <f>_xll.SNL.Clients.Office.Excel.Functions.SPG(CD272, "SP_COUNTRY_NAME")</f>
        <v>Brazil</v>
      </c>
      <c r="CH272" t="s">
        <v>520</v>
      </c>
      <c r="CI272">
        <v>103661</v>
      </c>
      <c r="CJ272" t="s">
        <v>346</v>
      </c>
      <c r="CK272" s="11">
        <v>0</v>
      </c>
      <c r="CL272" s="9" t="str">
        <f>_xll.SNL.Clients.Office.Excel.Functions.SPG(CI272, "SP_COUNTRY_NAME")</f>
        <v>USA</v>
      </c>
      <c r="CM272" t="s">
        <v>1833</v>
      </c>
      <c r="CN272">
        <v>4027022</v>
      </c>
      <c r="CO272" t="s">
        <v>346</v>
      </c>
      <c r="CP272" s="11">
        <v>0</v>
      </c>
      <c r="CQ272" s="9" t="str">
        <f>_xll.SNL.Clients.Office.Excel.Functions.SPG(CN272, "SP_COUNTRY_NAME")</f>
        <v>USA</v>
      </c>
      <c r="CV272" s="9" t="str">
        <f>_xll.SNL.Clients.Office.Excel.Functions.SPG(CS272, "SP_COUNTRY_NAME")</f>
        <v>#INVALID COMPANY ID</v>
      </c>
      <c r="DA272" s="9" t="str">
        <f>_xll.SNL.Clients.Office.Excel.Functions.SPG(CX272, "SP_COUNTRY_NAME")</f>
        <v>#INVALID COMPANY ID</v>
      </c>
      <c r="DB272" t="s">
        <v>1473</v>
      </c>
      <c r="DC272">
        <v>25429472</v>
      </c>
      <c r="DD272" t="s">
        <v>346</v>
      </c>
      <c r="DE272" s="11">
        <v>0</v>
      </c>
      <c r="DF272" s="9" t="str">
        <f>_xll.SNL.Clients.Office.Excel.Functions.SPG(DC272, "SP_COUNTRY_NAME")</f>
        <v>Ireland</v>
      </c>
      <c r="DK272" s="9" t="str">
        <f>_xll.SNL.Clients.Office.Excel.Functions.SPG(DH272, "SP_COUNTRY_NAME")</f>
        <v>#INVALID COMPANY ID</v>
      </c>
      <c r="DL272" t="s">
        <v>1473</v>
      </c>
      <c r="DM272">
        <v>25429472</v>
      </c>
      <c r="DN272" t="s">
        <v>346</v>
      </c>
      <c r="DO272" s="11">
        <v>0</v>
      </c>
      <c r="DP272" s="9" t="str">
        <f>_xll.SNL.Clients.Office.Excel.Functions.SPG(DM272, "SP_COUNTRY_NAME")</f>
        <v>Ireland</v>
      </c>
      <c r="DU272" s="9" t="str">
        <f>_xll.SNL.Clients.Office.Excel.Functions.SPG(DR272, "SP_COUNTRY_NAME")</f>
        <v>#INVALID COMPANY ID</v>
      </c>
      <c r="DZ272" s="9" t="str">
        <f>_xll.SNL.Clients.Office.Excel.Functions.SPG(DW272, "SP_COUNTRY_NAME")</f>
        <v>#INVALID COMPANY ID</v>
      </c>
      <c r="EA272" t="s">
        <v>1738</v>
      </c>
      <c r="EB272">
        <v>27890771</v>
      </c>
      <c r="EC272" t="s">
        <v>364</v>
      </c>
      <c r="ED272" s="11">
        <v>0.01</v>
      </c>
      <c r="EE272" s="9" t="str">
        <f>_xll.SNL.Clients.Office.Excel.Functions.SPG(EB272, "SP_COUNTRY_NAME")</f>
        <v>Brazil</v>
      </c>
      <c r="EF272" t="s">
        <v>1473</v>
      </c>
      <c r="EG272">
        <v>25429472</v>
      </c>
      <c r="EH272" t="s">
        <v>346</v>
      </c>
      <c r="EI272" s="11">
        <v>0</v>
      </c>
      <c r="EJ272" s="9" t="str">
        <f>_xll.SNL.Clients.Office.Excel.Functions.SPG(EG272, "SP_COUNTRY_NAME")</f>
        <v>Ireland</v>
      </c>
      <c r="EO272" s="9" t="str">
        <f>_xll.SNL.Clients.Office.Excel.Functions.SPG(EL272, "SP_COUNTRY_NAME")</f>
        <v>#INVALID COMPANY ID</v>
      </c>
      <c r="ET272" s="9" t="str">
        <f>_xll.SNL.Clients.Office.Excel.Functions.SPG(EQ272, "SP_COUNTRY_NAME")</f>
        <v>#INVALID COMPANY ID</v>
      </c>
      <c r="EY272" s="9" t="str">
        <f>_xll.SNL.Clients.Office.Excel.Functions.SPG(EV272, "SP_COUNTRY_NAME")</f>
        <v>#INVALID COMPANY ID</v>
      </c>
      <c r="FD272" s="9" t="str">
        <f>_xll.SNL.Clients.Office.Excel.Functions.SPG(FA272, "SP_COUNTRY_NAME")</f>
        <v>#INVALID COMPANY ID</v>
      </c>
      <c r="FI272" s="9" t="str">
        <f>_xll.SNL.Clients.Office.Excel.Functions.SPG(FF272, "SP_COUNTRY_NAME")</f>
        <v>#INVALID COMPANY ID</v>
      </c>
      <c r="FN272" s="9" t="str">
        <f>_xll.SNL.Clients.Office.Excel.Functions.SPG(FK272, "SP_COUNTRY_NAME")</f>
        <v>#INVALID COMPANY ID</v>
      </c>
      <c r="FS272" s="9" t="str">
        <f>_xll.SNL.Clients.Office.Excel.Functions.SPG(FP272, "SP_COUNTRY_NAME")</f>
        <v>#INVALID COMPANY ID</v>
      </c>
      <c r="FX272" s="9" t="str">
        <f>_xll.SNL.Clients.Office.Excel.Functions.SPG(FU272, "SP_COUNTRY_NAME")</f>
        <v>#INVALID COMPANY ID</v>
      </c>
      <c r="FY272" t="s">
        <v>1473</v>
      </c>
      <c r="FZ272">
        <v>25429472</v>
      </c>
      <c r="GA272" t="s">
        <v>346</v>
      </c>
      <c r="GB272" s="11">
        <v>0</v>
      </c>
      <c r="GC272" s="9" t="str">
        <f>_xll.SNL.Clients.Office.Excel.Functions.SPG(FZ272, "SP_COUNTRY_NAME")</f>
        <v>Ireland</v>
      </c>
      <c r="GH272" s="9" t="str">
        <f>_xll.SNL.Clients.Office.Excel.Functions.SPG(GE272, "SP_COUNTRY_NAME")</f>
        <v>#INVALID COMPANY ID</v>
      </c>
      <c r="GM272" s="9" t="str">
        <f>_xll.SNL.Clients.Office.Excel.Functions.SPG(GJ272, "SP_COUNTRY_NAME")</f>
        <v>#INVALID COMPANY ID</v>
      </c>
      <c r="GR272" s="9" t="str">
        <f>_xll.SNL.Clients.Office.Excel.Functions.SPG(GO272, "SP_COUNTRY_NAME")</f>
        <v>#INVALID COMPANY ID</v>
      </c>
      <c r="GS272" t="s">
        <v>869</v>
      </c>
      <c r="GT272">
        <v>4560837</v>
      </c>
      <c r="GU272" t="s">
        <v>346</v>
      </c>
      <c r="GV272" s="11">
        <v>0</v>
      </c>
      <c r="GW272" s="9" t="str">
        <f>_xll.SNL.Clients.Office.Excel.Functions.SPG(GT272, "SP_COUNTRY_NAME")</f>
        <v>Hong Kong</v>
      </c>
      <c r="GX272" t="s">
        <v>1738</v>
      </c>
      <c r="GY272">
        <v>27890771</v>
      </c>
      <c r="GZ272" t="s">
        <v>364</v>
      </c>
      <c r="HA272" s="11">
        <v>0.01</v>
      </c>
      <c r="HB272" s="9" t="str">
        <f>_xll.SNL.Clients.Office.Excel.Functions.SPG(GY272, "SP_COUNTRY_NAME")</f>
        <v>Brazil</v>
      </c>
      <c r="HG272" s="9" t="str">
        <f>_xll.SNL.Clients.Office.Excel.Functions.SPG(HD272, "SP_COUNTRY_NAME")</f>
        <v>#INVALID COMPANY ID</v>
      </c>
    </row>
    <row r="273" spans="5:215" x14ac:dyDescent="0.35">
      <c r="E273" s="9" t="str">
        <f>_xll.SNL.Clients.Office.Excel.Functions.SPG(B273, "SP_COUNTRY_NAME")</f>
        <v>#INVALID COMPANY ID</v>
      </c>
      <c r="J273" s="9" t="str">
        <f>_xll.SNL.Clients.Office.Excel.Functions.SPG(G273, "SP_COUNTRY_NAME")</f>
        <v>#INVALID COMPANY ID</v>
      </c>
      <c r="O273" s="9" t="str">
        <f>_xll.SNL.Clients.Office.Excel.Functions.SPG(L273, "SP_COUNTRY_NAME")</f>
        <v>#INVALID COMPANY ID</v>
      </c>
      <c r="T273" s="9" t="str">
        <f>_xll.SNL.Clients.Office.Excel.Functions.SPG(Q273, "SP_COUNTRY_NAME")</f>
        <v>#INVALID COMPANY ID</v>
      </c>
      <c r="U273" t="s">
        <v>547</v>
      </c>
      <c r="V273">
        <v>4005523</v>
      </c>
      <c r="W273" t="s">
        <v>346</v>
      </c>
      <c r="X273" s="11">
        <v>0</v>
      </c>
      <c r="Y273" s="9" t="str">
        <f>_xll.SNL.Clients.Office.Excel.Functions.SPG(V273, "SP_COUNTRY_NAME")</f>
        <v>Canada</v>
      </c>
      <c r="AD273" s="9" t="str">
        <f>_xll.SNL.Clients.Office.Excel.Functions.SPG(AA273, "SP_COUNTRY_NAME")</f>
        <v>#INVALID COMPANY ID</v>
      </c>
      <c r="AI273" s="9" t="str">
        <f>_xll.SNL.Clients.Office.Excel.Functions.SPG(AF273, "SP_COUNTRY_NAME")</f>
        <v>#INVALID COMPANY ID</v>
      </c>
      <c r="AN273" s="9" t="str">
        <f>_xll.SNL.Clients.Office.Excel.Functions.SPG(AK273, "SP_COUNTRY_NAME")</f>
        <v>#INVALID COMPANY ID</v>
      </c>
      <c r="AO273" t="s">
        <v>1377</v>
      </c>
      <c r="AP273">
        <v>5830610</v>
      </c>
      <c r="AQ273" t="s">
        <v>346</v>
      </c>
      <c r="AR273" s="11">
        <v>0</v>
      </c>
      <c r="AS273" s="9" t="str">
        <f>_xll.SNL.Clients.Office.Excel.Functions.SPG(AP273, "SP_COUNTRY_NAME")</f>
        <v>South Africa</v>
      </c>
      <c r="AX273" s="9" t="str">
        <f>_xll.SNL.Clients.Office.Excel.Functions.SPG(AU273, "SP_COUNTRY_NAME")</f>
        <v>#INVALID COMPANY ID</v>
      </c>
      <c r="BC273" s="9" t="str">
        <f>_xll.SNL.Clients.Office.Excel.Functions.SPG(AZ273, "SP_COUNTRY_NAME")</f>
        <v>#INVALID COMPANY ID</v>
      </c>
      <c r="BD273" t="s">
        <v>508</v>
      </c>
      <c r="BE273">
        <v>4399282</v>
      </c>
      <c r="BF273" t="s">
        <v>346</v>
      </c>
      <c r="BG273" s="11">
        <v>0</v>
      </c>
      <c r="BH273" s="9" t="str">
        <f>_xll.SNL.Clients.Office.Excel.Functions.SPG(BE273, "SP_COUNTRY_NAME")</f>
        <v>Canada</v>
      </c>
      <c r="BI273" t="s">
        <v>1144</v>
      </c>
      <c r="BJ273">
        <v>4342473</v>
      </c>
      <c r="BK273" t="s">
        <v>346</v>
      </c>
      <c r="BL273" s="11">
        <v>0</v>
      </c>
      <c r="BM273" s="9" t="str">
        <f>_xll.SNL.Clients.Office.Excel.Functions.SPG(BJ273, "SP_COUNTRY_NAME")</f>
        <v>Switzerland</v>
      </c>
      <c r="BN273" t="s">
        <v>1245</v>
      </c>
      <c r="BO273">
        <v>6729481</v>
      </c>
      <c r="BP273" t="s">
        <v>346</v>
      </c>
      <c r="BQ273" s="11">
        <v>0</v>
      </c>
      <c r="BR273" s="9" t="str">
        <f>_xll.SNL.Clients.Office.Excel.Functions.SPG(BO273, "SP_COUNTRY_NAME")</f>
        <v>Germany</v>
      </c>
      <c r="BS273" t="s">
        <v>1002</v>
      </c>
      <c r="BT273">
        <v>110470</v>
      </c>
      <c r="BU273" t="s">
        <v>346</v>
      </c>
      <c r="BV273" s="11">
        <v>0</v>
      </c>
      <c r="BW273" s="9" t="str">
        <f>_xll.SNL.Clients.Office.Excel.Functions.SPG(BT273, "SP_COUNTRY_NAME")</f>
        <v>USA</v>
      </c>
      <c r="BX273" t="s">
        <v>547</v>
      </c>
      <c r="BY273">
        <v>4005523</v>
      </c>
      <c r="BZ273" t="s">
        <v>346</v>
      </c>
      <c r="CA273" s="11">
        <v>0</v>
      </c>
      <c r="CB273" s="9" t="str">
        <f>_xll.SNL.Clients.Office.Excel.Functions.SPG(BY273, "SP_COUNTRY_NAME")</f>
        <v>Canada</v>
      </c>
      <c r="CC273" t="s">
        <v>923</v>
      </c>
      <c r="CD273">
        <v>4119489</v>
      </c>
      <c r="CE273" t="s">
        <v>346</v>
      </c>
      <c r="CF273" s="11">
        <v>0.01</v>
      </c>
      <c r="CG273" s="9" t="str">
        <f>_xll.SNL.Clients.Office.Excel.Functions.SPG(CD273, "SP_COUNTRY_NAME")</f>
        <v>USA</v>
      </c>
      <c r="CH273" t="s">
        <v>1377</v>
      </c>
      <c r="CI273">
        <v>5830610</v>
      </c>
      <c r="CJ273" t="s">
        <v>346</v>
      </c>
      <c r="CK273" s="11">
        <v>0</v>
      </c>
      <c r="CL273" s="9" t="str">
        <f>_xll.SNL.Clients.Office.Excel.Functions.SPG(CI273, "SP_COUNTRY_NAME")</f>
        <v>South Africa</v>
      </c>
      <c r="CM273" t="s">
        <v>1477</v>
      </c>
      <c r="CN273">
        <v>4588955</v>
      </c>
      <c r="CO273" t="s">
        <v>364</v>
      </c>
      <c r="CP273" s="11">
        <v>0</v>
      </c>
      <c r="CQ273" s="9" t="str">
        <f>_xll.SNL.Clients.Office.Excel.Functions.SPG(CN273, "SP_COUNTRY_NAME")</f>
        <v>South Africa</v>
      </c>
      <c r="CV273" s="9" t="str">
        <f>_xll.SNL.Clients.Office.Excel.Functions.SPG(CS273, "SP_COUNTRY_NAME")</f>
        <v>#INVALID COMPANY ID</v>
      </c>
      <c r="DA273" s="9" t="str">
        <f>_xll.SNL.Clients.Office.Excel.Functions.SPG(CX273, "SP_COUNTRY_NAME")</f>
        <v>#INVALID COMPANY ID</v>
      </c>
      <c r="DB273" t="s">
        <v>508</v>
      </c>
      <c r="DC273">
        <v>4399282</v>
      </c>
      <c r="DD273" t="s">
        <v>346</v>
      </c>
      <c r="DE273" s="11">
        <v>0</v>
      </c>
      <c r="DF273" s="9" t="str">
        <f>_xll.SNL.Clients.Office.Excel.Functions.SPG(DC273, "SP_COUNTRY_NAME")</f>
        <v>Canada</v>
      </c>
      <c r="DK273" s="9" t="str">
        <f>_xll.SNL.Clients.Office.Excel.Functions.SPG(DH273, "SP_COUNTRY_NAME")</f>
        <v>#INVALID COMPANY ID</v>
      </c>
      <c r="DL273" t="s">
        <v>508</v>
      </c>
      <c r="DM273">
        <v>4399282</v>
      </c>
      <c r="DN273" t="s">
        <v>346</v>
      </c>
      <c r="DO273" s="11">
        <v>0</v>
      </c>
      <c r="DP273" s="9" t="str">
        <f>_xll.SNL.Clients.Office.Excel.Functions.SPG(DM273, "SP_COUNTRY_NAME")</f>
        <v>Canada</v>
      </c>
      <c r="DU273" s="9" t="str">
        <f>_xll.SNL.Clients.Office.Excel.Functions.SPG(DR273, "SP_COUNTRY_NAME")</f>
        <v>#INVALID COMPANY ID</v>
      </c>
      <c r="DZ273" s="9" t="str">
        <f>_xll.SNL.Clients.Office.Excel.Functions.SPG(DW273, "SP_COUNTRY_NAME")</f>
        <v>#INVALID COMPANY ID</v>
      </c>
      <c r="EA273" t="s">
        <v>923</v>
      </c>
      <c r="EB273">
        <v>4119489</v>
      </c>
      <c r="EC273" t="s">
        <v>346</v>
      </c>
      <c r="ED273" s="11">
        <v>0.01</v>
      </c>
      <c r="EE273" s="9" t="str">
        <f>_xll.SNL.Clients.Office.Excel.Functions.SPG(EB273, "SP_COUNTRY_NAME")</f>
        <v>USA</v>
      </c>
      <c r="EF273" t="s">
        <v>508</v>
      </c>
      <c r="EG273">
        <v>4399282</v>
      </c>
      <c r="EH273" t="s">
        <v>346</v>
      </c>
      <c r="EI273" s="11">
        <v>0</v>
      </c>
      <c r="EJ273" s="9" t="str">
        <f>_xll.SNL.Clients.Office.Excel.Functions.SPG(EG273, "SP_COUNTRY_NAME")</f>
        <v>Canada</v>
      </c>
      <c r="EO273" s="9" t="str">
        <f>_xll.SNL.Clients.Office.Excel.Functions.SPG(EL273, "SP_COUNTRY_NAME")</f>
        <v>#INVALID COMPANY ID</v>
      </c>
      <c r="ET273" s="9" t="str">
        <f>_xll.SNL.Clients.Office.Excel.Functions.SPG(EQ273, "SP_COUNTRY_NAME")</f>
        <v>#INVALID COMPANY ID</v>
      </c>
      <c r="EY273" s="9" t="str">
        <f>_xll.SNL.Clients.Office.Excel.Functions.SPG(EV273, "SP_COUNTRY_NAME")</f>
        <v>#INVALID COMPANY ID</v>
      </c>
      <c r="FD273" s="9" t="str">
        <f>_xll.SNL.Clients.Office.Excel.Functions.SPG(FA273, "SP_COUNTRY_NAME")</f>
        <v>#INVALID COMPANY ID</v>
      </c>
      <c r="FI273" s="9" t="str">
        <f>_xll.SNL.Clients.Office.Excel.Functions.SPG(FF273, "SP_COUNTRY_NAME")</f>
        <v>#INVALID COMPANY ID</v>
      </c>
      <c r="FN273" s="9" t="str">
        <f>_xll.SNL.Clients.Office.Excel.Functions.SPG(FK273, "SP_COUNTRY_NAME")</f>
        <v>#INVALID COMPANY ID</v>
      </c>
      <c r="FS273" s="9" t="str">
        <f>_xll.SNL.Clients.Office.Excel.Functions.SPG(FP273, "SP_COUNTRY_NAME")</f>
        <v>#INVALID COMPANY ID</v>
      </c>
      <c r="FX273" s="9" t="str">
        <f>_xll.SNL.Clients.Office.Excel.Functions.SPG(FU273, "SP_COUNTRY_NAME")</f>
        <v>#INVALID COMPANY ID</v>
      </c>
      <c r="FY273" t="s">
        <v>508</v>
      </c>
      <c r="FZ273">
        <v>4399282</v>
      </c>
      <c r="GA273" t="s">
        <v>346</v>
      </c>
      <c r="GB273" s="11">
        <v>0</v>
      </c>
      <c r="GC273" s="9" t="str">
        <f>_xll.SNL.Clients.Office.Excel.Functions.SPG(FZ273, "SP_COUNTRY_NAME")</f>
        <v>Canada</v>
      </c>
      <c r="GH273" s="9" t="str">
        <f>_xll.SNL.Clients.Office.Excel.Functions.SPG(GE273, "SP_COUNTRY_NAME")</f>
        <v>#INVALID COMPANY ID</v>
      </c>
      <c r="GM273" s="9" t="str">
        <f>_xll.SNL.Clients.Office.Excel.Functions.SPG(GJ273, "SP_COUNTRY_NAME")</f>
        <v>#INVALID COMPANY ID</v>
      </c>
      <c r="GR273" s="9" t="str">
        <f>_xll.SNL.Clients.Office.Excel.Functions.SPG(GO273, "SP_COUNTRY_NAME")</f>
        <v>#INVALID COMPANY ID</v>
      </c>
      <c r="GS273" t="s">
        <v>1245</v>
      </c>
      <c r="GT273">
        <v>6729481</v>
      </c>
      <c r="GU273" t="s">
        <v>346</v>
      </c>
      <c r="GV273" s="11">
        <v>0</v>
      </c>
      <c r="GW273" s="9" t="str">
        <f>_xll.SNL.Clients.Office.Excel.Functions.SPG(GT273, "SP_COUNTRY_NAME")</f>
        <v>Germany</v>
      </c>
      <c r="GX273" t="s">
        <v>923</v>
      </c>
      <c r="GY273">
        <v>4119489</v>
      </c>
      <c r="GZ273" t="s">
        <v>346</v>
      </c>
      <c r="HA273" s="11">
        <v>0.01</v>
      </c>
      <c r="HB273" s="9" t="str">
        <f>_xll.SNL.Clients.Office.Excel.Functions.SPG(GY273, "SP_COUNTRY_NAME")</f>
        <v>USA</v>
      </c>
      <c r="HG273" s="9" t="str">
        <f>_xll.SNL.Clients.Office.Excel.Functions.SPG(HD273, "SP_COUNTRY_NAME")</f>
        <v>#INVALID COMPANY ID</v>
      </c>
    </row>
    <row r="274" spans="5:215" x14ac:dyDescent="0.35">
      <c r="E274" s="9" t="str">
        <f>_xll.SNL.Clients.Office.Excel.Functions.SPG(B274, "SP_COUNTRY_NAME")</f>
        <v>#INVALID COMPANY ID</v>
      </c>
      <c r="J274" s="9" t="str">
        <f>_xll.SNL.Clients.Office.Excel.Functions.SPG(G274, "SP_COUNTRY_NAME")</f>
        <v>#INVALID COMPANY ID</v>
      </c>
      <c r="O274" s="9" t="str">
        <f>_xll.SNL.Clients.Office.Excel.Functions.SPG(L274, "SP_COUNTRY_NAME")</f>
        <v>#INVALID COMPANY ID</v>
      </c>
      <c r="T274" s="9" t="str">
        <f>_xll.SNL.Clients.Office.Excel.Functions.SPG(Q274, "SP_COUNTRY_NAME")</f>
        <v>#INVALID COMPANY ID</v>
      </c>
      <c r="U274" t="s">
        <v>522</v>
      </c>
      <c r="V274">
        <v>4118373</v>
      </c>
      <c r="W274" t="s">
        <v>346</v>
      </c>
      <c r="X274" s="11">
        <v>0</v>
      </c>
      <c r="Y274" s="9" t="str">
        <f>_xll.SNL.Clients.Office.Excel.Functions.SPG(V274, "SP_COUNTRY_NAME")</f>
        <v>USA</v>
      </c>
      <c r="AD274" s="9" t="str">
        <f>_xll.SNL.Clients.Office.Excel.Functions.SPG(AA274, "SP_COUNTRY_NAME")</f>
        <v>#INVALID COMPANY ID</v>
      </c>
      <c r="AI274" s="9" t="str">
        <f>_xll.SNL.Clients.Office.Excel.Functions.SPG(AF274, "SP_COUNTRY_NAME")</f>
        <v>#INVALID COMPANY ID</v>
      </c>
      <c r="AN274" s="9" t="str">
        <f>_xll.SNL.Clients.Office.Excel.Functions.SPG(AK274, "SP_COUNTRY_NAME")</f>
        <v>#INVALID COMPANY ID</v>
      </c>
      <c r="AO274" t="s">
        <v>1378</v>
      </c>
      <c r="AP274">
        <v>5763686</v>
      </c>
      <c r="AQ274" t="s">
        <v>346</v>
      </c>
      <c r="AR274" s="11">
        <v>0</v>
      </c>
      <c r="AS274" s="9" t="str">
        <f>_xll.SNL.Clients.Office.Excel.Functions.SPG(AP274, "SP_COUNTRY_NAME")</f>
        <v>Australia</v>
      </c>
      <c r="AX274" s="9" t="str">
        <f>_xll.SNL.Clients.Office.Excel.Functions.SPG(AU274, "SP_COUNTRY_NAME")</f>
        <v>#INVALID COMPANY ID</v>
      </c>
      <c r="BC274" s="9" t="str">
        <f>_xll.SNL.Clients.Office.Excel.Functions.SPG(AZ274, "SP_COUNTRY_NAME")</f>
        <v>#INVALID COMPANY ID</v>
      </c>
      <c r="BD274" t="s">
        <v>1474</v>
      </c>
      <c r="BE274">
        <v>4255658</v>
      </c>
      <c r="BF274" t="s">
        <v>346</v>
      </c>
      <c r="BG274" s="11">
        <v>0</v>
      </c>
      <c r="BH274" s="9" t="str">
        <f>_xll.SNL.Clients.Office.Excel.Functions.SPG(BE274, "SP_COUNTRY_NAME")</f>
        <v>Germany</v>
      </c>
      <c r="BI274" t="s">
        <v>1607</v>
      </c>
      <c r="BJ274">
        <v>4225175</v>
      </c>
      <c r="BK274" t="s">
        <v>346</v>
      </c>
      <c r="BL274" s="11">
        <v>0</v>
      </c>
      <c r="BM274" s="9" t="str">
        <f>_xll.SNL.Clients.Office.Excel.Functions.SPG(BJ274, "SP_COUNTRY_NAME")</f>
        <v>France</v>
      </c>
      <c r="BN274" t="s">
        <v>846</v>
      </c>
      <c r="BO274">
        <v>5855481</v>
      </c>
      <c r="BP274" t="s">
        <v>346</v>
      </c>
      <c r="BQ274" s="11">
        <v>0</v>
      </c>
      <c r="BR274" s="9" t="str">
        <f>_xll.SNL.Clients.Office.Excel.Functions.SPG(BO274, "SP_COUNTRY_NAME")</f>
        <v>China</v>
      </c>
      <c r="BS274" t="s">
        <v>523</v>
      </c>
      <c r="BT274">
        <v>7060057</v>
      </c>
      <c r="BU274" t="s">
        <v>346</v>
      </c>
      <c r="BV274" s="11">
        <v>0</v>
      </c>
      <c r="BW274" s="9" t="str">
        <f>_xll.SNL.Clients.Office.Excel.Functions.SPG(BT274, "SP_COUNTRY_NAME")</f>
        <v>Switzerland</v>
      </c>
      <c r="BX274" t="s">
        <v>522</v>
      </c>
      <c r="BY274">
        <v>4118373</v>
      </c>
      <c r="BZ274" t="s">
        <v>346</v>
      </c>
      <c r="CA274" s="11">
        <v>0</v>
      </c>
      <c r="CB274" s="9" t="str">
        <f>_xll.SNL.Clients.Office.Excel.Functions.SPG(BY274, "SP_COUNTRY_NAME")</f>
        <v>USA</v>
      </c>
      <c r="CC274" t="s">
        <v>1739</v>
      </c>
      <c r="CD274">
        <v>4282430</v>
      </c>
      <c r="CE274" t="s">
        <v>346</v>
      </c>
      <c r="CF274" s="11">
        <v>0.01</v>
      </c>
      <c r="CG274" s="9" t="str">
        <f>_xll.SNL.Clients.Office.Excel.Functions.SPG(CD274, "SP_COUNTRY_NAME")</f>
        <v>USA</v>
      </c>
      <c r="CH274" t="s">
        <v>1378</v>
      </c>
      <c r="CI274">
        <v>5763686</v>
      </c>
      <c r="CJ274" t="s">
        <v>346</v>
      </c>
      <c r="CK274" s="11">
        <v>0</v>
      </c>
      <c r="CL274" s="9" t="str">
        <f>_xll.SNL.Clients.Office.Excel.Functions.SPG(CI274, "SP_COUNTRY_NAME")</f>
        <v>Australia</v>
      </c>
      <c r="CM274" t="s">
        <v>1352</v>
      </c>
      <c r="CN274">
        <v>10796005</v>
      </c>
      <c r="CO274" t="s">
        <v>346</v>
      </c>
      <c r="CP274" s="11">
        <v>0</v>
      </c>
      <c r="CQ274" s="9" t="str">
        <f>_xll.SNL.Clients.Office.Excel.Functions.SPG(CN274, "SP_COUNTRY_NAME")</f>
        <v>South Africa</v>
      </c>
      <c r="CV274" s="9" t="str">
        <f>_xll.SNL.Clients.Office.Excel.Functions.SPG(CS274, "SP_COUNTRY_NAME")</f>
        <v>#INVALID COMPANY ID</v>
      </c>
      <c r="DA274" s="9" t="str">
        <f>_xll.SNL.Clients.Office.Excel.Functions.SPG(CX274, "SP_COUNTRY_NAME")</f>
        <v>#INVALID COMPANY ID</v>
      </c>
      <c r="DB274" t="s">
        <v>1474</v>
      </c>
      <c r="DC274">
        <v>4255658</v>
      </c>
      <c r="DD274" t="s">
        <v>346</v>
      </c>
      <c r="DE274" s="11">
        <v>0</v>
      </c>
      <c r="DF274" s="9" t="str">
        <f>_xll.SNL.Clients.Office.Excel.Functions.SPG(DC274, "SP_COUNTRY_NAME")</f>
        <v>Germany</v>
      </c>
      <c r="DK274" s="9" t="str">
        <f>_xll.SNL.Clients.Office.Excel.Functions.SPG(DH274, "SP_COUNTRY_NAME")</f>
        <v>#INVALID COMPANY ID</v>
      </c>
      <c r="DL274" t="s">
        <v>1474</v>
      </c>
      <c r="DM274">
        <v>4255658</v>
      </c>
      <c r="DN274" t="s">
        <v>346</v>
      </c>
      <c r="DO274" s="11">
        <v>0</v>
      </c>
      <c r="DP274" s="9" t="str">
        <f>_xll.SNL.Clients.Office.Excel.Functions.SPG(DM274, "SP_COUNTRY_NAME")</f>
        <v>Germany</v>
      </c>
      <c r="DU274" s="9" t="str">
        <f>_xll.SNL.Clients.Office.Excel.Functions.SPG(DR274, "SP_COUNTRY_NAME")</f>
        <v>#INVALID COMPANY ID</v>
      </c>
      <c r="DZ274" s="9" t="str">
        <f>_xll.SNL.Clients.Office.Excel.Functions.SPG(DW274, "SP_COUNTRY_NAME")</f>
        <v>#INVALID COMPANY ID</v>
      </c>
      <c r="EA274" t="s">
        <v>1739</v>
      </c>
      <c r="EB274">
        <v>4282430</v>
      </c>
      <c r="EC274" t="s">
        <v>346</v>
      </c>
      <c r="ED274" s="11">
        <v>0.01</v>
      </c>
      <c r="EE274" s="9" t="str">
        <f>_xll.SNL.Clients.Office.Excel.Functions.SPG(EB274, "SP_COUNTRY_NAME")</f>
        <v>USA</v>
      </c>
      <c r="EF274" t="s">
        <v>1474</v>
      </c>
      <c r="EG274">
        <v>4255658</v>
      </c>
      <c r="EH274" t="s">
        <v>346</v>
      </c>
      <c r="EI274" s="11">
        <v>0</v>
      </c>
      <c r="EJ274" s="9" t="str">
        <f>_xll.SNL.Clients.Office.Excel.Functions.SPG(EG274, "SP_COUNTRY_NAME")</f>
        <v>Germany</v>
      </c>
      <c r="EO274" s="9" t="str">
        <f>_xll.SNL.Clients.Office.Excel.Functions.SPG(EL274, "SP_COUNTRY_NAME")</f>
        <v>#INVALID COMPANY ID</v>
      </c>
      <c r="ET274" s="9" t="str">
        <f>_xll.SNL.Clients.Office.Excel.Functions.SPG(EQ274, "SP_COUNTRY_NAME")</f>
        <v>#INVALID COMPANY ID</v>
      </c>
      <c r="EY274" s="9" t="str">
        <f>_xll.SNL.Clients.Office.Excel.Functions.SPG(EV274, "SP_COUNTRY_NAME")</f>
        <v>#INVALID COMPANY ID</v>
      </c>
      <c r="FD274" s="9" t="str">
        <f>_xll.SNL.Clients.Office.Excel.Functions.SPG(FA274, "SP_COUNTRY_NAME")</f>
        <v>#INVALID COMPANY ID</v>
      </c>
      <c r="FI274" s="9" t="str">
        <f>_xll.SNL.Clients.Office.Excel.Functions.SPG(FF274, "SP_COUNTRY_NAME")</f>
        <v>#INVALID COMPANY ID</v>
      </c>
      <c r="FN274" s="9" t="str">
        <f>_xll.SNL.Clients.Office.Excel.Functions.SPG(FK274, "SP_COUNTRY_NAME")</f>
        <v>#INVALID COMPANY ID</v>
      </c>
      <c r="FS274" s="9" t="str">
        <f>_xll.SNL.Clients.Office.Excel.Functions.SPG(FP274, "SP_COUNTRY_NAME")</f>
        <v>#INVALID COMPANY ID</v>
      </c>
      <c r="FX274" s="9" t="str">
        <f>_xll.SNL.Clients.Office.Excel.Functions.SPG(FU274, "SP_COUNTRY_NAME")</f>
        <v>#INVALID COMPANY ID</v>
      </c>
      <c r="FY274" t="s">
        <v>1474</v>
      </c>
      <c r="FZ274">
        <v>4255658</v>
      </c>
      <c r="GA274" t="s">
        <v>346</v>
      </c>
      <c r="GB274" s="11">
        <v>0</v>
      </c>
      <c r="GC274" s="9" t="str">
        <f>_xll.SNL.Clients.Office.Excel.Functions.SPG(FZ274, "SP_COUNTRY_NAME")</f>
        <v>Germany</v>
      </c>
      <c r="GH274" s="9" t="str">
        <f>_xll.SNL.Clients.Office.Excel.Functions.SPG(GE274, "SP_COUNTRY_NAME")</f>
        <v>#INVALID COMPANY ID</v>
      </c>
      <c r="GM274" s="9" t="str">
        <f>_xll.SNL.Clients.Office.Excel.Functions.SPG(GJ274, "SP_COUNTRY_NAME")</f>
        <v>#INVALID COMPANY ID</v>
      </c>
      <c r="GR274" s="9" t="str">
        <f>_xll.SNL.Clients.Office.Excel.Functions.SPG(GO274, "SP_COUNTRY_NAME")</f>
        <v>#INVALID COMPANY ID</v>
      </c>
      <c r="GS274" t="s">
        <v>846</v>
      </c>
      <c r="GT274">
        <v>5855481</v>
      </c>
      <c r="GU274" t="s">
        <v>346</v>
      </c>
      <c r="GV274" s="11">
        <v>0</v>
      </c>
      <c r="GW274" s="9" t="str">
        <f>_xll.SNL.Clients.Office.Excel.Functions.SPG(GT274, "SP_COUNTRY_NAME")</f>
        <v>China</v>
      </c>
      <c r="GX274" t="s">
        <v>1739</v>
      </c>
      <c r="GY274">
        <v>4282430</v>
      </c>
      <c r="GZ274" t="s">
        <v>346</v>
      </c>
      <c r="HA274" s="11">
        <v>0.01</v>
      </c>
      <c r="HB274" s="9" t="str">
        <f>_xll.SNL.Clients.Office.Excel.Functions.SPG(GY274, "SP_COUNTRY_NAME")</f>
        <v>USA</v>
      </c>
      <c r="HG274" s="9" t="str">
        <f>_xll.SNL.Clients.Office.Excel.Functions.SPG(HD274, "SP_COUNTRY_NAME")</f>
        <v>#INVALID COMPANY ID</v>
      </c>
    </row>
    <row r="275" spans="5:215" x14ac:dyDescent="0.35">
      <c r="E275" s="9" t="str">
        <f>_xll.SNL.Clients.Office.Excel.Functions.SPG(B275, "SP_COUNTRY_NAME")</f>
        <v>#INVALID COMPANY ID</v>
      </c>
      <c r="J275" s="9" t="str">
        <f>_xll.SNL.Clients.Office.Excel.Functions.SPG(G275, "SP_COUNTRY_NAME")</f>
        <v>#INVALID COMPANY ID</v>
      </c>
      <c r="O275" s="9" t="str">
        <f>_xll.SNL.Clients.Office.Excel.Functions.SPG(L275, "SP_COUNTRY_NAME")</f>
        <v>#INVALID COMPANY ID</v>
      </c>
      <c r="T275" s="9" t="str">
        <f>_xll.SNL.Clients.Office.Excel.Functions.SPG(Q275, "SP_COUNTRY_NAME")</f>
        <v>#INVALID COMPANY ID</v>
      </c>
      <c r="U275" t="s">
        <v>839</v>
      </c>
      <c r="V275">
        <v>5759900</v>
      </c>
      <c r="W275" t="s">
        <v>346</v>
      </c>
      <c r="X275" s="11">
        <v>0</v>
      </c>
      <c r="Y275" s="9" t="str">
        <f>_xll.SNL.Clients.Office.Excel.Functions.SPG(V275, "SP_COUNTRY_NAME")</f>
        <v>United Kingdom</v>
      </c>
      <c r="AD275" s="9" t="str">
        <f>_xll.SNL.Clients.Office.Excel.Functions.SPG(AA275, "SP_COUNTRY_NAME")</f>
        <v>#INVALID COMPANY ID</v>
      </c>
      <c r="AI275" s="9" t="str">
        <f>_xll.SNL.Clients.Office.Excel.Functions.SPG(AF275, "SP_COUNTRY_NAME")</f>
        <v>#INVALID COMPANY ID</v>
      </c>
      <c r="AN275" s="9" t="str">
        <f>_xll.SNL.Clients.Office.Excel.Functions.SPG(AK275, "SP_COUNTRY_NAME")</f>
        <v>#INVALID COMPANY ID</v>
      </c>
      <c r="AO275" t="s">
        <v>413</v>
      </c>
      <c r="AP275">
        <v>4114882</v>
      </c>
      <c r="AQ275" t="s">
        <v>346</v>
      </c>
      <c r="AR275" s="11">
        <v>0</v>
      </c>
      <c r="AS275" s="9" t="str">
        <f>_xll.SNL.Clients.Office.Excel.Functions.SPG(AP275, "SP_COUNTRY_NAME")</f>
        <v>Canada</v>
      </c>
      <c r="AX275" s="9" t="str">
        <f>_xll.SNL.Clients.Office.Excel.Functions.SPG(AU275, "SP_COUNTRY_NAME")</f>
        <v>#INVALID COMPANY ID</v>
      </c>
      <c r="BC275" s="9" t="str">
        <f>_xll.SNL.Clients.Office.Excel.Functions.SPG(AZ275, "SP_COUNTRY_NAME")</f>
        <v>#INVALID COMPANY ID</v>
      </c>
      <c r="BD275" t="s">
        <v>509</v>
      </c>
      <c r="BE275">
        <v>4226520</v>
      </c>
      <c r="BF275" t="s">
        <v>346</v>
      </c>
      <c r="BG275" s="11">
        <v>0</v>
      </c>
      <c r="BH275" s="9" t="str">
        <f>_xll.SNL.Clients.Office.Excel.Functions.SPG(BE275, "SP_COUNTRY_NAME")</f>
        <v>Canada</v>
      </c>
      <c r="BI275" t="s">
        <v>405</v>
      </c>
      <c r="BJ275">
        <v>4035990</v>
      </c>
      <c r="BK275" t="s">
        <v>346</v>
      </c>
      <c r="BL275" s="11">
        <v>0</v>
      </c>
      <c r="BM275" s="9" t="str">
        <f>_xll.SNL.Clients.Office.Excel.Functions.SPG(BJ275, "SP_COUNTRY_NAME")</f>
        <v>Canada</v>
      </c>
      <c r="BN275" t="s">
        <v>771</v>
      </c>
      <c r="BO275">
        <v>4162576</v>
      </c>
      <c r="BP275" t="s">
        <v>346</v>
      </c>
      <c r="BQ275" s="11">
        <v>0</v>
      </c>
      <c r="BR275" s="9" t="str">
        <f>_xll.SNL.Clients.Office.Excel.Functions.SPG(BO275, "SP_COUNTRY_NAME")</f>
        <v>USA</v>
      </c>
      <c r="BS275" t="s">
        <v>1003</v>
      </c>
      <c r="BT275">
        <v>4077794</v>
      </c>
      <c r="BU275" t="s">
        <v>346</v>
      </c>
      <c r="BV275" s="11">
        <v>0</v>
      </c>
      <c r="BW275" s="9" t="str">
        <f>_xll.SNL.Clients.Office.Excel.Functions.SPG(BT275, "SP_COUNTRY_NAME")</f>
        <v>USA</v>
      </c>
      <c r="BX275" t="s">
        <v>839</v>
      </c>
      <c r="BY275">
        <v>5759900</v>
      </c>
      <c r="BZ275" t="s">
        <v>346</v>
      </c>
      <c r="CA275" s="11">
        <v>0</v>
      </c>
      <c r="CB275" s="9" t="str">
        <f>_xll.SNL.Clients.Office.Excel.Functions.SPG(BY275, "SP_COUNTRY_NAME")</f>
        <v>United Kingdom</v>
      </c>
      <c r="CC275" t="s">
        <v>1740</v>
      </c>
      <c r="CD275">
        <v>4056453</v>
      </c>
      <c r="CE275" t="s">
        <v>366</v>
      </c>
      <c r="CF275" s="11">
        <v>0.01</v>
      </c>
      <c r="CG275" s="9" t="str">
        <f>_xll.SNL.Clients.Office.Excel.Functions.SPG(CD275, "SP_COUNTRY_NAME")</f>
        <v>Canada</v>
      </c>
      <c r="CH275" t="s">
        <v>413</v>
      </c>
      <c r="CI275">
        <v>4114882</v>
      </c>
      <c r="CJ275" t="s">
        <v>346</v>
      </c>
      <c r="CK275" s="11">
        <v>0</v>
      </c>
      <c r="CL275" s="9" t="str">
        <f>_xll.SNL.Clients.Office.Excel.Functions.SPG(CI275, "SP_COUNTRY_NAME")</f>
        <v>Canada</v>
      </c>
      <c r="CM275" t="s">
        <v>1842</v>
      </c>
      <c r="CN275">
        <v>4785392</v>
      </c>
      <c r="CO275" t="s">
        <v>346</v>
      </c>
      <c r="CP275" s="11">
        <v>0</v>
      </c>
      <c r="CQ275" s="9" t="str">
        <f>_xll.SNL.Clients.Office.Excel.Functions.SPG(CN275, "SP_COUNTRY_NAME")</f>
        <v>USA</v>
      </c>
      <c r="CV275" s="9" t="str">
        <f>_xll.SNL.Clients.Office.Excel.Functions.SPG(CS275, "SP_COUNTRY_NAME")</f>
        <v>#INVALID COMPANY ID</v>
      </c>
      <c r="DA275" s="9" t="str">
        <f>_xll.SNL.Clients.Office.Excel.Functions.SPG(CX275, "SP_COUNTRY_NAME")</f>
        <v>#INVALID COMPANY ID</v>
      </c>
      <c r="DB275" t="s">
        <v>509</v>
      </c>
      <c r="DC275">
        <v>4226520</v>
      </c>
      <c r="DD275" t="s">
        <v>346</v>
      </c>
      <c r="DE275" s="11">
        <v>0</v>
      </c>
      <c r="DF275" s="9" t="str">
        <f>_xll.SNL.Clients.Office.Excel.Functions.SPG(DC275, "SP_COUNTRY_NAME")</f>
        <v>Canada</v>
      </c>
      <c r="DK275" s="9" t="str">
        <f>_xll.SNL.Clients.Office.Excel.Functions.SPG(DH275, "SP_COUNTRY_NAME")</f>
        <v>#INVALID COMPANY ID</v>
      </c>
      <c r="DL275" t="s">
        <v>509</v>
      </c>
      <c r="DM275">
        <v>4226520</v>
      </c>
      <c r="DN275" t="s">
        <v>346</v>
      </c>
      <c r="DO275" s="11">
        <v>0</v>
      </c>
      <c r="DP275" s="9" t="str">
        <f>_xll.SNL.Clients.Office.Excel.Functions.SPG(DM275, "SP_COUNTRY_NAME")</f>
        <v>Canada</v>
      </c>
      <c r="DU275" s="9" t="str">
        <f>_xll.SNL.Clients.Office.Excel.Functions.SPG(DR275, "SP_COUNTRY_NAME")</f>
        <v>#INVALID COMPANY ID</v>
      </c>
      <c r="DZ275" s="9" t="str">
        <f>_xll.SNL.Clients.Office.Excel.Functions.SPG(DW275, "SP_COUNTRY_NAME")</f>
        <v>#INVALID COMPANY ID</v>
      </c>
      <c r="EA275" t="s">
        <v>1740</v>
      </c>
      <c r="EB275">
        <v>4056453</v>
      </c>
      <c r="EC275" t="s">
        <v>366</v>
      </c>
      <c r="ED275" s="11">
        <v>0.01</v>
      </c>
      <c r="EE275" s="9" t="str">
        <f>_xll.SNL.Clients.Office.Excel.Functions.SPG(EB275, "SP_COUNTRY_NAME")</f>
        <v>Canada</v>
      </c>
      <c r="EF275" t="s">
        <v>509</v>
      </c>
      <c r="EG275">
        <v>4226520</v>
      </c>
      <c r="EH275" t="s">
        <v>346</v>
      </c>
      <c r="EI275" s="11">
        <v>0</v>
      </c>
      <c r="EJ275" s="9" t="str">
        <f>_xll.SNL.Clients.Office.Excel.Functions.SPG(EG275, "SP_COUNTRY_NAME")</f>
        <v>Canada</v>
      </c>
      <c r="EO275" s="9" t="str">
        <f>_xll.SNL.Clients.Office.Excel.Functions.SPG(EL275, "SP_COUNTRY_NAME")</f>
        <v>#INVALID COMPANY ID</v>
      </c>
      <c r="ET275" s="9" t="str">
        <f>_xll.SNL.Clients.Office.Excel.Functions.SPG(EQ275, "SP_COUNTRY_NAME")</f>
        <v>#INVALID COMPANY ID</v>
      </c>
      <c r="EY275" s="9" t="str">
        <f>_xll.SNL.Clients.Office.Excel.Functions.SPG(EV275, "SP_COUNTRY_NAME")</f>
        <v>#INVALID COMPANY ID</v>
      </c>
      <c r="FD275" s="9" t="str">
        <f>_xll.SNL.Clients.Office.Excel.Functions.SPG(FA275, "SP_COUNTRY_NAME")</f>
        <v>#INVALID COMPANY ID</v>
      </c>
      <c r="FI275" s="9" t="str">
        <f>_xll.SNL.Clients.Office.Excel.Functions.SPG(FF275, "SP_COUNTRY_NAME")</f>
        <v>#INVALID COMPANY ID</v>
      </c>
      <c r="FN275" s="9" t="str">
        <f>_xll.SNL.Clients.Office.Excel.Functions.SPG(FK275, "SP_COUNTRY_NAME")</f>
        <v>#INVALID COMPANY ID</v>
      </c>
      <c r="FS275" s="9" t="str">
        <f>_xll.SNL.Clients.Office.Excel.Functions.SPG(FP275, "SP_COUNTRY_NAME")</f>
        <v>#INVALID COMPANY ID</v>
      </c>
      <c r="FX275" s="9" t="str">
        <f>_xll.SNL.Clients.Office.Excel.Functions.SPG(FU275, "SP_COUNTRY_NAME")</f>
        <v>#INVALID COMPANY ID</v>
      </c>
      <c r="FY275" t="s">
        <v>509</v>
      </c>
      <c r="FZ275">
        <v>4226520</v>
      </c>
      <c r="GA275" t="s">
        <v>346</v>
      </c>
      <c r="GB275" s="11">
        <v>0</v>
      </c>
      <c r="GC275" s="9" t="str">
        <f>_xll.SNL.Clients.Office.Excel.Functions.SPG(FZ275, "SP_COUNTRY_NAME")</f>
        <v>Canada</v>
      </c>
      <c r="GH275" s="9" t="str">
        <f>_xll.SNL.Clients.Office.Excel.Functions.SPG(GE275, "SP_COUNTRY_NAME")</f>
        <v>#INVALID COMPANY ID</v>
      </c>
      <c r="GM275" s="9" t="str">
        <f>_xll.SNL.Clients.Office.Excel.Functions.SPG(GJ275, "SP_COUNTRY_NAME")</f>
        <v>#INVALID COMPANY ID</v>
      </c>
      <c r="GR275" s="9" t="str">
        <f>_xll.SNL.Clients.Office.Excel.Functions.SPG(GO275, "SP_COUNTRY_NAME")</f>
        <v>#INVALID COMPANY ID</v>
      </c>
      <c r="GS275" t="s">
        <v>771</v>
      </c>
      <c r="GT275">
        <v>4162576</v>
      </c>
      <c r="GU275" t="s">
        <v>346</v>
      </c>
      <c r="GV275" s="11">
        <v>0</v>
      </c>
      <c r="GW275" s="9" t="str">
        <f>_xll.SNL.Clients.Office.Excel.Functions.SPG(GT275, "SP_COUNTRY_NAME")</f>
        <v>USA</v>
      </c>
      <c r="GX275" t="s">
        <v>1740</v>
      </c>
      <c r="GY275">
        <v>4056453</v>
      </c>
      <c r="GZ275" t="s">
        <v>366</v>
      </c>
      <c r="HA275" s="11">
        <v>0.01</v>
      </c>
      <c r="HB275" s="9" t="str">
        <f>_xll.SNL.Clients.Office.Excel.Functions.SPG(GY275, "SP_COUNTRY_NAME")</f>
        <v>Canada</v>
      </c>
      <c r="HG275" s="9" t="str">
        <f>_xll.SNL.Clients.Office.Excel.Functions.SPG(HD275, "SP_COUNTRY_NAME")</f>
        <v>#INVALID COMPANY ID</v>
      </c>
    </row>
    <row r="276" spans="5:215" x14ac:dyDescent="0.35">
      <c r="E276" s="9" t="str">
        <f>_xll.SNL.Clients.Office.Excel.Functions.SPG(B276, "SP_COUNTRY_NAME")</f>
        <v>#INVALID COMPANY ID</v>
      </c>
      <c r="J276" s="9" t="str">
        <f>_xll.SNL.Clients.Office.Excel.Functions.SPG(G276, "SP_COUNTRY_NAME")</f>
        <v>#INVALID COMPANY ID</v>
      </c>
      <c r="O276" s="9" t="str">
        <f>_xll.SNL.Clients.Office.Excel.Functions.SPG(L276, "SP_COUNTRY_NAME")</f>
        <v>#INVALID COMPANY ID</v>
      </c>
      <c r="T276" s="9" t="str">
        <f>_xll.SNL.Clients.Office.Excel.Functions.SPG(Q276, "SP_COUNTRY_NAME")</f>
        <v>#INVALID COMPANY ID</v>
      </c>
      <c r="U276" t="s">
        <v>840</v>
      </c>
      <c r="V276">
        <v>4581365</v>
      </c>
      <c r="W276" t="s">
        <v>346</v>
      </c>
      <c r="X276" s="11">
        <v>0</v>
      </c>
      <c r="Y276" s="9" t="str">
        <f>_xll.SNL.Clients.Office.Excel.Functions.SPG(V276, "SP_COUNTRY_NAME")</f>
        <v>Hong Kong</v>
      </c>
      <c r="AD276" s="9" t="str">
        <f>_xll.SNL.Clients.Office.Excel.Functions.SPG(AA276, "SP_COUNTRY_NAME")</f>
        <v>#INVALID COMPANY ID</v>
      </c>
      <c r="AI276" s="9" t="str">
        <f>_xll.SNL.Clients.Office.Excel.Functions.SPG(AF276, "SP_COUNTRY_NAME")</f>
        <v>#INVALID COMPANY ID</v>
      </c>
      <c r="AN276" s="9" t="str">
        <f>_xll.SNL.Clients.Office.Excel.Functions.SPG(AK276, "SP_COUNTRY_NAME")</f>
        <v>#INVALID COMPANY ID</v>
      </c>
      <c r="AO276" t="s">
        <v>455</v>
      </c>
      <c r="AP276">
        <v>4119538</v>
      </c>
      <c r="AQ276" t="s">
        <v>364</v>
      </c>
      <c r="AR276" s="11">
        <v>0</v>
      </c>
      <c r="AS276" s="9" t="str">
        <f>_xll.SNL.Clients.Office.Excel.Functions.SPG(AP276, "SP_COUNTRY_NAME")</f>
        <v>USA</v>
      </c>
      <c r="AX276" s="9" t="str">
        <f>_xll.SNL.Clients.Office.Excel.Functions.SPG(AU276, "SP_COUNTRY_NAME")</f>
        <v>#INVALID COMPANY ID</v>
      </c>
      <c r="BC276" s="9" t="str">
        <f>_xll.SNL.Clients.Office.Excel.Functions.SPG(AZ276, "SP_COUNTRY_NAME")</f>
        <v>#INVALID COMPANY ID</v>
      </c>
      <c r="BD276" t="s">
        <v>552</v>
      </c>
      <c r="BE276">
        <v>4026973</v>
      </c>
      <c r="BF276" t="s">
        <v>346</v>
      </c>
      <c r="BG276" s="11">
        <v>0</v>
      </c>
      <c r="BH276" s="9" t="str">
        <f>_xll.SNL.Clients.Office.Excel.Functions.SPG(BE276, "SP_COUNTRY_NAME")</f>
        <v>United Kingdom</v>
      </c>
      <c r="BI276" t="s">
        <v>455</v>
      </c>
      <c r="BJ276">
        <v>4119538</v>
      </c>
      <c r="BK276" t="s">
        <v>364</v>
      </c>
      <c r="BL276" s="11">
        <v>-0.52</v>
      </c>
      <c r="BM276" s="9" t="str">
        <f>_xll.SNL.Clients.Office.Excel.Functions.SPG(BJ276, "SP_COUNTRY_NAME")</f>
        <v>USA</v>
      </c>
      <c r="BN276" t="s">
        <v>877</v>
      </c>
      <c r="BO276">
        <v>4167462</v>
      </c>
      <c r="BP276" t="s">
        <v>366</v>
      </c>
      <c r="BQ276" s="11">
        <v>0</v>
      </c>
      <c r="BR276" s="9" t="str">
        <f>_xll.SNL.Clients.Office.Excel.Functions.SPG(BO276, "SP_COUNTRY_NAME")</f>
        <v>USA</v>
      </c>
      <c r="BS276" t="s">
        <v>1004</v>
      </c>
      <c r="BT276">
        <v>4115970</v>
      </c>
      <c r="BU276" t="s">
        <v>346</v>
      </c>
      <c r="BV276" s="11">
        <v>0</v>
      </c>
      <c r="BW276" s="9" t="str">
        <f>_xll.SNL.Clients.Office.Excel.Functions.SPG(BT276, "SP_COUNTRY_NAME")</f>
        <v>USA</v>
      </c>
      <c r="BX276" t="s">
        <v>840</v>
      </c>
      <c r="BY276">
        <v>4581365</v>
      </c>
      <c r="BZ276" t="s">
        <v>346</v>
      </c>
      <c r="CA276" s="11">
        <v>0</v>
      </c>
      <c r="CB276" s="9" t="str">
        <f>_xll.SNL.Clients.Office.Excel.Functions.SPG(BY276, "SP_COUNTRY_NAME")</f>
        <v>Hong Kong</v>
      </c>
      <c r="CC276" t="s">
        <v>1092</v>
      </c>
      <c r="CD276">
        <v>27584974</v>
      </c>
      <c r="CE276" t="s">
        <v>346</v>
      </c>
      <c r="CF276" s="11">
        <v>0.01</v>
      </c>
      <c r="CG276" s="9" t="str">
        <f>_xll.SNL.Clients.Office.Excel.Functions.SPG(CD276, "SP_COUNTRY_NAME")</f>
        <v>Canada</v>
      </c>
      <c r="CH276" t="s">
        <v>455</v>
      </c>
      <c r="CI276">
        <v>4119538</v>
      </c>
      <c r="CJ276" t="s">
        <v>364</v>
      </c>
      <c r="CK276" s="11">
        <v>0</v>
      </c>
      <c r="CL276" s="9" t="str">
        <f>_xll.SNL.Clients.Office.Excel.Functions.SPG(CI276, "SP_COUNTRY_NAME")</f>
        <v>USA</v>
      </c>
      <c r="CM276" t="s">
        <v>509</v>
      </c>
      <c r="CN276">
        <v>4226520</v>
      </c>
      <c r="CO276" t="s">
        <v>346</v>
      </c>
      <c r="CP276" s="11">
        <v>0</v>
      </c>
      <c r="CQ276" s="9" t="str">
        <f>_xll.SNL.Clients.Office.Excel.Functions.SPG(CN276, "SP_COUNTRY_NAME")</f>
        <v>Canada</v>
      </c>
      <c r="CV276" s="9" t="str">
        <f>_xll.SNL.Clients.Office.Excel.Functions.SPG(CS276, "SP_COUNTRY_NAME")</f>
        <v>#INVALID COMPANY ID</v>
      </c>
      <c r="DA276" s="9" t="str">
        <f>_xll.SNL.Clients.Office.Excel.Functions.SPG(CX276, "SP_COUNTRY_NAME")</f>
        <v>#INVALID COMPANY ID</v>
      </c>
      <c r="DB276" t="s">
        <v>552</v>
      </c>
      <c r="DC276">
        <v>4026973</v>
      </c>
      <c r="DD276" t="s">
        <v>346</v>
      </c>
      <c r="DE276" s="11">
        <v>0</v>
      </c>
      <c r="DF276" s="9" t="str">
        <f>_xll.SNL.Clients.Office.Excel.Functions.SPG(DC276, "SP_COUNTRY_NAME")</f>
        <v>United Kingdom</v>
      </c>
      <c r="DK276" s="9" t="str">
        <f>_xll.SNL.Clients.Office.Excel.Functions.SPG(DH276, "SP_COUNTRY_NAME")</f>
        <v>#INVALID COMPANY ID</v>
      </c>
      <c r="DL276" t="s">
        <v>552</v>
      </c>
      <c r="DM276">
        <v>4026973</v>
      </c>
      <c r="DN276" t="s">
        <v>346</v>
      </c>
      <c r="DO276" s="11">
        <v>0</v>
      </c>
      <c r="DP276" s="9" t="str">
        <f>_xll.SNL.Clients.Office.Excel.Functions.SPG(DM276, "SP_COUNTRY_NAME")</f>
        <v>United Kingdom</v>
      </c>
      <c r="DU276" s="9" t="str">
        <f>_xll.SNL.Clients.Office.Excel.Functions.SPG(DR276, "SP_COUNTRY_NAME")</f>
        <v>#INVALID COMPANY ID</v>
      </c>
      <c r="DZ276" s="9" t="str">
        <f>_xll.SNL.Clients.Office.Excel.Functions.SPG(DW276, "SP_COUNTRY_NAME")</f>
        <v>#INVALID COMPANY ID</v>
      </c>
      <c r="EA276" t="s">
        <v>1092</v>
      </c>
      <c r="EB276">
        <v>27584974</v>
      </c>
      <c r="EC276" t="s">
        <v>346</v>
      </c>
      <c r="ED276" s="11">
        <v>0.01</v>
      </c>
      <c r="EE276" s="9" t="str">
        <f>_xll.SNL.Clients.Office.Excel.Functions.SPG(EB276, "SP_COUNTRY_NAME")</f>
        <v>Canada</v>
      </c>
      <c r="EF276" t="s">
        <v>552</v>
      </c>
      <c r="EG276">
        <v>4026973</v>
      </c>
      <c r="EH276" t="s">
        <v>346</v>
      </c>
      <c r="EI276" s="11">
        <v>0</v>
      </c>
      <c r="EJ276" s="9" t="str">
        <f>_xll.SNL.Clients.Office.Excel.Functions.SPG(EG276, "SP_COUNTRY_NAME")</f>
        <v>United Kingdom</v>
      </c>
      <c r="EO276" s="9" t="str">
        <f>_xll.SNL.Clients.Office.Excel.Functions.SPG(EL276, "SP_COUNTRY_NAME")</f>
        <v>#INVALID COMPANY ID</v>
      </c>
      <c r="ET276" s="9" t="str">
        <f>_xll.SNL.Clients.Office.Excel.Functions.SPG(EQ276, "SP_COUNTRY_NAME")</f>
        <v>#INVALID COMPANY ID</v>
      </c>
      <c r="EY276" s="9" t="str">
        <f>_xll.SNL.Clients.Office.Excel.Functions.SPG(EV276, "SP_COUNTRY_NAME")</f>
        <v>#INVALID COMPANY ID</v>
      </c>
      <c r="FD276" s="9" t="str">
        <f>_xll.SNL.Clients.Office.Excel.Functions.SPG(FA276, "SP_COUNTRY_NAME")</f>
        <v>#INVALID COMPANY ID</v>
      </c>
      <c r="FI276" s="9" t="str">
        <f>_xll.SNL.Clients.Office.Excel.Functions.SPG(FF276, "SP_COUNTRY_NAME")</f>
        <v>#INVALID COMPANY ID</v>
      </c>
      <c r="FN276" s="9" t="str">
        <f>_xll.SNL.Clients.Office.Excel.Functions.SPG(FK276, "SP_COUNTRY_NAME")</f>
        <v>#INVALID COMPANY ID</v>
      </c>
      <c r="FS276" s="9" t="str">
        <f>_xll.SNL.Clients.Office.Excel.Functions.SPG(FP276, "SP_COUNTRY_NAME")</f>
        <v>#INVALID COMPANY ID</v>
      </c>
      <c r="FX276" s="9" t="str">
        <f>_xll.SNL.Clients.Office.Excel.Functions.SPG(FU276, "SP_COUNTRY_NAME")</f>
        <v>#INVALID COMPANY ID</v>
      </c>
      <c r="FY276" t="s">
        <v>552</v>
      </c>
      <c r="FZ276">
        <v>4026973</v>
      </c>
      <c r="GA276" t="s">
        <v>346</v>
      </c>
      <c r="GB276" s="11">
        <v>0</v>
      </c>
      <c r="GC276" s="9" t="str">
        <f>_xll.SNL.Clients.Office.Excel.Functions.SPG(FZ276, "SP_COUNTRY_NAME")</f>
        <v>United Kingdom</v>
      </c>
      <c r="GH276" s="9" t="str">
        <f>_xll.SNL.Clients.Office.Excel.Functions.SPG(GE276, "SP_COUNTRY_NAME")</f>
        <v>#INVALID COMPANY ID</v>
      </c>
      <c r="GM276" s="9" t="str">
        <f>_xll.SNL.Clients.Office.Excel.Functions.SPG(GJ276, "SP_COUNTRY_NAME")</f>
        <v>#INVALID COMPANY ID</v>
      </c>
      <c r="GR276" s="9" t="str">
        <f>_xll.SNL.Clients.Office.Excel.Functions.SPG(GO276, "SP_COUNTRY_NAME")</f>
        <v>#INVALID COMPANY ID</v>
      </c>
      <c r="GS276" t="s">
        <v>877</v>
      </c>
      <c r="GT276">
        <v>4167462</v>
      </c>
      <c r="GU276" t="s">
        <v>366</v>
      </c>
      <c r="GV276" s="11">
        <v>0</v>
      </c>
      <c r="GW276" s="9" t="str">
        <f>_xll.SNL.Clients.Office.Excel.Functions.SPG(GT276, "SP_COUNTRY_NAME")</f>
        <v>USA</v>
      </c>
      <c r="GX276" t="s">
        <v>1092</v>
      </c>
      <c r="GY276">
        <v>27584974</v>
      </c>
      <c r="GZ276" t="s">
        <v>346</v>
      </c>
      <c r="HA276" s="11">
        <v>0.01</v>
      </c>
      <c r="HB276" s="9" t="str">
        <f>_xll.SNL.Clients.Office.Excel.Functions.SPG(GY276, "SP_COUNTRY_NAME")</f>
        <v>Canada</v>
      </c>
      <c r="HG276" s="9" t="str">
        <f>_xll.SNL.Clients.Office.Excel.Functions.SPG(HD276, "SP_COUNTRY_NAME")</f>
        <v>#INVALID COMPANY ID</v>
      </c>
    </row>
    <row r="277" spans="5:215" x14ac:dyDescent="0.35">
      <c r="E277" s="9" t="str">
        <f>_xll.SNL.Clients.Office.Excel.Functions.SPG(B277, "SP_COUNTRY_NAME")</f>
        <v>#INVALID COMPANY ID</v>
      </c>
      <c r="J277" s="9" t="str">
        <f>_xll.SNL.Clients.Office.Excel.Functions.SPG(G277, "SP_COUNTRY_NAME")</f>
        <v>#INVALID COMPANY ID</v>
      </c>
      <c r="O277" s="9" t="str">
        <f>_xll.SNL.Clients.Office.Excel.Functions.SPG(L277, "SP_COUNTRY_NAME")</f>
        <v>#INVALID COMPANY ID</v>
      </c>
      <c r="T277" s="9" t="str">
        <f>_xll.SNL.Clients.Office.Excel.Functions.SPG(Q277, "SP_COUNTRY_NAME")</f>
        <v>#INVALID COMPANY ID</v>
      </c>
      <c r="U277" t="s">
        <v>671</v>
      </c>
      <c r="V277">
        <v>5862433</v>
      </c>
      <c r="W277" t="s">
        <v>346</v>
      </c>
      <c r="X277" s="11">
        <v>0</v>
      </c>
      <c r="Y277" s="9" t="str">
        <f>_xll.SNL.Clients.Office.Excel.Functions.SPG(V277, "SP_COUNTRY_NAME")</f>
        <v>Hong Kong</v>
      </c>
      <c r="AD277" s="9" t="str">
        <f>_xll.SNL.Clients.Office.Excel.Functions.SPG(AA277, "SP_COUNTRY_NAME")</f>
        <v>#INVALID COMPANY ID</v>
      </c>
      <c r="AI277" s="9" t="str">
        <f>_xll.SNL.Clients.Office.Excel.Functions.SPG(AF277, "SP_COUNTRY_NAME")</f>
        <v>#INVALID COMPANY ID</v>
      </c>
      <c r="AN277" s="9" t="str">
        <f>_xll.SNL.Clients.Office.Excel.Functions.SPG(AK277, "SP_COUNTRY_NAME")</f>
        <v>#INVALID COMPANY ID</v>
      </c>
      <c r="AO277" t="s">
        <v>1379</v>
      </c>
      <c r="AP277">
        <v>20326977</v>
      </c>
      <c r="AQ277" t="s">
        <v>346</v>
      </c>
      <c r="AR277" s="11">
        <v>0</v>
      </c>
      <c r="AS277" s="9" t="str">
        <f>_xll.SNL.Clients.Office.Excel.Functions.SPG(AP277, "SP_COUNTRY_NAME")</f>
        <v>South Africa</v>
      </c>
      <c r="AX277" s="9" t="str">
        <f>_xll.SNL.Clients.Office.Excel.Functions.SPG(AU277, "SP_COUNTRY_NAME")</f>
        <v>#INVALID COMPANY ID</v>
      </c>
      <c r="BC277" s="9" t="str">
        <f>_xll.SNL.Clients.Office.Excel.Functions.SPG(AZ277, "SP_COUNTRY_NAME")</f>
        <v>#INVALID COMPANY ID</v>
      </c>
      <c r="BD277" t="s">
        <v>1475</v>
      </c>
      <c r="BE277">
        <v>4029724</v>
      </c>
      <c r="BF277" t="s">
        <v>346</v>
      </c>
      <c r="BG277" s="11">
        <v>0</v>
      </c>
      <c r="BH277" s="9" t="str">
        <f>_xll.SNL.Clients.Office.Excel.Functions.SPG(BE277, "SP_COUNTRY_NAME")</f>
        <v>USA</v>
      </c>
      <c r="BI277" t="s">
        <v>1608</v>
      </c>
      <c r="BJ277">
        <v>4207125</v>
      </c>
      <c r="BK277" t="s">
        <v>364</v>
      </c>
      <c r="BL277" s="11">
        <v>-0.55000000000000004</v>
      </c>
      <c r="BM277" s="9" t="str">
        <f>_xll.SNL.Clients.Office.Excel.Functions.SPG(BJ277, "SP_COUNTRY_NAME")</f>
        <v>United Kingdom</v>
      </c>
      <c r="BN277" t="s">
        <v>762</v>
      </c>
      <c r="BO277">
        <v>5854382</v>
      </c>
      <c r="BP277" t="s">
        <v>346</v>
      </c>
      <c r="BQ277" s="11">
        <v>0</v>
      </c>
      <c r="BR277" s="9" t="str">
        <f>_xll.SNL.Clients.Office.Excel.Functions.SPG(BO277, "SP_COUNTRY_NAME")</f>
        <v>Hong Kong</v>
      </c>
      <c r="BS277" t="s">
        <v>1005</v>
      </c>
      <c r="BT277">
        <v>4134765</v>
      </c>
      <c r="BU277" t="s">
        <v>364</v>
      </c>
      <c r="BV277" s="11">
        <v>0</v>
      </c>
      <c r="BW277" s="9" t="str">
        <f>_xll.SNL.Clients.Office.Excel.Functions.SPG(BT277, "SP_COUNTRY_NAME")</f>
        <v>USA</v>
      </c>
      <c r="BX277" t="s">
        <v>671</v>
      </c>
      <c r="BY277">
        <v>5862433</v>
      </c>
      <c r="BZ277" t="s">
        <v>346</v>
      </c>
      <c r="CA277" s="11">
        <v>0</v>
      </c>
      <c r="CB277" s="9" t="str">
        <f>_xll.SNL.Clients.Office.Excel.Functions.SPG(BY277, "SP_COUNTRY_NAME")</f>
        <v>Hong Kong</v>
      </c>
      <c r="CC277" t="s">
        <v>1741</v>
      </c>
      <c r="CD277">
        <v>28775263</v>
      </c>
      <c r="CE277" t="s">
        <v>346</v>
      </c>
      <c r="CF277" s="11">
        <v>0.01</v>
      </c>
      <c r="CG277" s="9" t="str">
        <f>_xll.SNL.Clients.Office.Excel.Functions.SPG(CD277, "SP_COUNTRY_NAME")</f>
        <v>Brazil</v>
      </c>
      <c r="CH277" t="s">
        <v>1379</v>
      </c>
      <c r="CI277">
        <v>20326977</v>
      </c>
      <c r="CJ277" t="s">
        <v>346</v>
      </c>
      <c r="CK277" s="11">
        <v>0</v>
      </c>
      <c r="CL277" s="9" t="str">
        <f>_xll.SNL.Clients.Office.Excel.Functions.SPG(CI277, "SP_COUNTRY_NAME")</f>
        <v>South Africa</v>
      </c>
      <c r="CM277" t="s">
        <v>1251</v>
      </c>
      <c r="CN277">
        <v>4119608</v>
      </c>
      <c r="CO277" t="s">
        <v>346</v>
      </c>
      <c r="CP277" s="11">
        <v>0</v>
      </c>
      <c r="CQ277" s="9" t="str">
        <f>_xll.SNL.Clients.Office.Excel.Functions.SPG(CN277, "SP_COUNTRY_NAME")</f>
        <v>USA</v>
      </c>
      <c r="CV277" s="9" t="str">
        <f>_xll.SNL.Clients.Office.Excel.Functions.SPG(CS277, "SP_COUNTRY_NAME")</f>
        <v>#INVALID COMPANY ID</v>
      </c>
      <c r="DA277" s="9" t="str">
        <f>_xll.SNL.Clients.Office.Excel.Functions.SPG(CX277, "SP_COUNTRY_NAME")</f>
        <v>#INVALID COMPANY ID</v>
      </c>
      <c r="DB277" t="s">
        <v>1475</v>
      </c>
      <c r="DC277">
        <v>4029724</v>
      </c>
      <c r="DD277" t="s">
        <v>346</v>
      </c>
      <c r="DE277" s="11">
        <v>0</v>
      </c>
      <c r="DF277" s="9" t="str">
        <f>_xll.SNL.Clients.Office.Excel.Functions.SPG(DC277, "SP_COUNTRY_NAME")</f>
        <v>USA</v>
      </c>
      <c r="DK277" s="9" t="str">
        <f>_xll.SNL.Clients.Office.Excel.Functions.SPG(DH277, "SP_COUNTRY_NAME")</f>
        <v>#INVALID COMPANY ID</v>
      </c>
      <c r="DL277" t="s">
        <v>1475</v>
      </c>
      <c r="DM277">
        <v>4029724</v>
      </c>
      <c r="DN277" t="s">
        <v>346</v>
      </c>
      <c r="DO277" s="11">
        <v>0</v>
      </c>
      <c r="DP277" s="9" t="str">
        <f>_xll.SNL.Clients.Office.Excel.Functions.SPG(DM277, "SP_COUNTRY_NAME")</f>
        <v>USA</v>
      </c>
      <c r="DU277" s="9" t="str">
        <f>_xll.SNL.Clients.Office.Excel.Functions.SPG(DR277, "SP_COUNTRY_NAME")</f>
        <v>#INVALID COMPANY ID</v>
      </c>
      <c r="DZ277" s="9" t="str">
        <f>_xll.SNL.Clients.Office.Excel.Functions.SPG(DW277, "SP_COUNTRY_NAME")</f>
        <v>#INVALID COMPANY ID</v>
      </c>
      <c r="EA277" t="s">
        <v>1741</v>
      </c>
      <c r="EB277">
        <v>28775263</v>
      </c>
      <c r="EC277" t="s">
        <v>346</v>
      </c>
      <c r="ED277" s="11">
        <v>0.01</v>
      </c>
      <c r="EE277" s="9" t="str">
        <f>_xll.SNL.Clients.Office.Excel.Functions.SPG(EB277, "SP_COUNTRY_NAME")</f>
        <v>Brazil</v>
      </c>
      <c r="EF277" t="s">
        <v>1475</v>
      </c>
      <c r="EG277">
        <v>4029724</v>
      </c>
      <c r="EH277" t="s">
        <v>346</v>
      </c>
      <c r="EI277" s="11">
        <v>0</v>
      </c>
      <c r="EJ277" s="9" t="str">
        <f>_xll.SNL.Clients.Office.Excel.Functions.SPG(EG277, "SP_COUNTRY_NAME")</f>
        <v>USA</v>
      </c>
      <c r="EO277" s="9" t="str">
        <f>_xll.SNL.Clients.Office.Excel.Functions.SPG(EL277, "SP_COUNTRY_NAME")</f>
        <v>#INVALID COMPANY ID</v>
      </c>
      <c r="ET277" s="9" t="str">
        <f>_xll.SNL.Clients.Office.Excel.Functions.SPG(EQ277, "SP_COUNTRY_NAME")</f>
        <v>#INVALID COMPANY ID</v>
      </c>
      <c r="EY277" s="9" t="str">
        <f>_xll.SNL.Clients.Office.Excel.Functions.SPG(EV277, "SP_COUNTRY_NAME")</f>
        <v>#INVALID COMPANY ID</v>
      </c>
      <c r="FD277" s="9" t="str">
        <f>_xll.SNL.Clients.Office.Excel.Functions.SPG(FA277, "SP_COUNTRY_NAME")</f>
        <v>#INVALID COMPANY ID</v>
      </c>
      <c r="FI277" s="9" t="str">
        <f>_xll.SNL.Clients.Office.Excel.Functions.SPG(FF277, "SP_COUNTRY_NAME")</f>
        <v>#INVALID COMPANY ID</v>
      </c>
      <c r="FN277" s="9" t="str">
        <f>_xll.SNL.Clients.Office.Excel.Functions.SPG(FK277, "SP_COUNTRY_NAME")</f>
        <v>#INVALID COMPANY ID</v>
      </c>
      <c r="FS277" s="9" t="str">
        <f>_xll.SNL.Clients.Office.Excel.Functions.SPG(FP277, "SP_COUNTRY_NAME")</f>
        <v>#INVALID COMPANY ID</v>
      </c>
      <c r="FX277" s="9" t="str">
        <f>_xll.SNL.Clients.Office.Excel.Functions.SPG(FU277, "SP_COUNTRY_NAME")</f>
        <v>#INVALID COMPANY ID</v>
      </c>
      <c r="FY277" t="s">
        <v>1475</v>
      </c>
      <c r="FZ277">
        <v>4029724</v>
      </c>
      <c r="GA277" t="s">
        <v>346</v>
      </c>
      <c r="GB277" s="11">
        <v>0</v>
      </c>
      <c r="GC277" s="9" t="str">
        <f>_xll.SNL.Clients.Office.Excel.Functions.SPG(FZ277, "SP_COUNTRY_NAME")</f>
        <v>USA</v>
      </c>
      <c r="GH277" s="9" t="str">
        <f>_xll.SNL.Clients.Office.Excel.Functions.SPG(GE277, "SP_COUNTRY_NAME")</f>
        <v>#INVALID COMPANY ID</v>
      </c>
      <c r="GM277" s="9" t="str">
        <f>_xll.SNL.Clients.Office.Excel.Functions.SPG(GJ277, "SP_COUNTRY_NAME")</f>
        <v>#INVALID COMPANY ID</v>
      </c>
      <c r="GR277" s="9" t="str">
        <f>_xll.SNL.Clients.Office.Excel.Functions.SPG(GO277, "SP_COUNTRY_NAME")</f>
        <v>#INVALID COMPANY ID</v>
      </c>
      <c r="GS277" t="s">
        <v>762</v>
      </c>
      <c r="GT277">
        <v>5854382</v>
      </c>
      <c r="GU277" t="s">
        <v>346</v>
      </c>
      <c r="GV277" s="11">
        <v>0</v>
      </c>
      <c r="GW277" s="9" t="str">
        <f>_xll.SNL.Clients.Office.Excel.Functions.SPG(GT277, "SP_COUNTRY_NAME")</f>
        <v>Hong Kong</v>
      </c>
      <c r="GX277" t="s">
        <v>1741</v>
      </c>
      <c r="GY277">
        <v>28775263</v>
      </c>
      <c r="GZ277" t="s">
        <v>346</v>
      </c>
      <c r="HA277" s="11">
        <v>0.01</v>
      </c>
      <c r="HB277" s="9" t="str">
        <f>_xll.SNL.Clients.Office.Excel.Functions.SPG(GY277, "SP_COUNTRY_NAME")</f>
        <v>Brazil</v>
      </c>
      <c r="HG277" s="9" t="str">
        <f>_xll.SNL.Clients.Office.Excel.Functions.SPG(HD277, "SP_COUNTRY_NAME")</f>
        <v>#INVALID COMPANY ID</v>
      </c>
    </row>
    <row r="278" spans="5:215" x14ac:dyDescent="0.35">
      <c r="E278" s="9" t="str">
        <f>_xll.SNL.Clients.Office.Excel.Functions.SPG(B278, "SP_COUNTRY_NAME")</f>
        <v>#INVALID COMPANY ID</v>
      </c>
      <c r="J278" s="9" t="str">
        <f>_xll.SNL.Clients.Office.Excel.Functions.SPG(G278, "SP_COUNTRY_NAME")</f>
        <v>#INVALID COMPANY ID</v>
      </c>
      <c r="O278" s="9" t="str">
        <f>_xll.SNL.Clients.Office.Excel.Functions.SPG(L278, "SP_COUNTRY_NAME")</f>
        <v>#INVALID COMPANY ID</v>
      </c>
      <c r="T278" s="9" t="str">
        <f>_xll.SNL.Clients.Office.Excel.Functions.SPG(Q278, "SP_COUNTRY_NAME")</f>
        <v>#INVALID COMPANY ID</v>
      </c>
      <c r="U278" t="s">
        <v>841</v>
      </c>
      <c r="V278">
        <v>4281886</v>
      </c>
      <c r="W278" t="s">
        <v>346</v>
      </c>
      <c r="X278" s="11">
        <v>0</v>
      </c>
      <c r="Y278" s="9" t="str">
        <f>_xll.SNL.Clients.Office.Excel.Functions.SPG(V278, "SP_COUNTRY_NAME")</f>
        <v>Taiwan</v>
      </c>
      <c r="AD278" s="9" t="str">
        <f>_xll.SNL.Clients.Office.Excel.Functions.SPG(AA278, "SP_COUNTRY_NAME")</f>
        <v>#INVALID COMPANY ID</v>
      </c>
      <c r="AI278" s="9" t="str">
        <f>_xll.SNL.Clients.Office.Excel.Functions.SPG(AF278, "SP_COUNTRY_NAME")</f>
        <v>#INVALID COMPANY ID</v>
      </c>
      <c r="AN278" s="9" t="str">
        <f>_xll.SNL.Clients.Office.Excel.Functions.SPG(AK278, "SP_COUNTRY_NAME")</f>
        <v>#INVALID COMPANY ID</v>
      </c>
      <c r="AO278" t="s">
        <v>1380</v>
      </c>
      <c r="AP278">
        <v>20326927</v>
      </c>
      <c r="AQ278" t="s">
        <v>346</v>
      </c>
      <c r="AR278" s="11">
        <v>0</v>
      </c>
      <c r="AS278" s="9" t="str">
        <f>_xll.SNL.Clients.Office.Excel.Functions.SPG(AP278, "SP_COUNTRY_NAME")</f>
        <v>South Africa</v>
      </c>
      <c r="AX278" s="9" t="str">
        <f>_xll.SNL.Clients.Office.Excel.Functions.SPG(AU278, "SP_COUNTRY_NAME")</f>
        <v>#INVALID COMPANY ID</v>
      </c>
      <c r="BC278" s="9" t="str">
        <f>_xll.SNL.Clients.Office.Excel.Functions.SPG(AZ278, "SP_COUNTRY_NAME")</f>
        <v>#INVALID COMPANY ID</v>
      </c>
      <c r="BD278" t="s">
        <v>468</v>
      </c>
      <c r="BE278">
        <v>4556191</v>
      </c>
      <c r="BF278" t="s">
        <v>346</v>
      </c>
      <c r="BG278" s="11">
        <v>0</v>
      </c>
      <c r="BH278" s="9" t="str">
        <f>_xll.SNL.Clients.Office.Excel.Functions.SPG(BE278, "SP_COUNTRY_NAME")</f>
        <v>USA</v>
      </c>
      <c r="BI278" t="s">
        <v>1609</v>
      </c>
      <c r="BJ278">
        <v>4135463</v>
      </c>
      <c r="BK278" t="s">
        <v>364</v>
      </c>
      <c r="BL278" s="11">
        <v>-0.88</v>
      </c>
      <c r="BM278" s="9" t="str">
        <f>_xll.SNL.Clients.Office.Excel.Functions.SPG(BJ278, "SP_COUNTRY_NAME")</f>
        <v>USA</v>
      </c>
      <c r="BN278" t="s">
        <v>1246</v>
      </c>
      <c r="BO278">
        <v>4138119</v>
      </c>
      <c r="BP278" t="s">
        <v>346</v>
      </c>
      <c r="BQ278" s="11">
        <v>0</v>
      </c>
      <c r="BR278" s="9" t="str">
        <f>_xll.SNL.Clients.Office.Excel.Functions.SPG(BO278, "SP_COUNTRY_NAME")</f>
        <v>Malaysia</v>
      </c>
      <c r="BS278" t="s">
        <v>1006</v>
      </c>
      <c r="BT278">
        <v>9795838</v>
      </c>
      <c r="BU278" t="s">
        <v>346</v>
      </c>
      <c r="BV278" s="11">
        <v>0</v>
      </c>
      <c r="BW278" s="9" t="str">
        <f>_xll.SNL.Clients.Office.Excel.Functions.SPG(BT278, "SP_COUNTRY_NAME")</f>
        <v>China</v>
      </c>
      <c r="BX278" t="s">
        <v>841</v>
      </c>
      <c r="BY278">
        <v>4281886</v>
      </c>
      <c r="BZ278" t="s">
        <v>346</v>
      </c>
      <c r="CA278" s="11">
        <v>0</v>
      </c>
      <c r="CB278" s="9" t="str">
        <f>_xll.SNL.Clients.Office.Excel.Functions.SPG(BY278, "SP_COUNTRY_NAME")</f>
        <v>Taiwan</v>
      </c>
      <c r="CC278" t="s">
        <v>1742</v>
      </c>
      <c r="CD278">
        <v>4658016</v>
      </c>
      <c r="CE278" t="s">
        <v>346</v>
      </c>
      <c r="CF278" s="11">
        <v>0.01</v>
      </c>
      <c r="CG278" s="9" t="str">
        <f>_xll.SNL.Clients.Office.Excel.Functions.SPG(CD278, "SP_COUNTRY_NAME")</f>
        <v>Brazil</v>
      </c>
      <c r="CH278" t="s">
        <v>1380</v>
      </c>
      <c r="CI278">
        <v>20326927</v>
      </c>
      <c r="CJ278" t="s">
        <v>346</v>
      </c>
      <c r="CK278" s="11">
        <v>0</v>
      </c>
      <c r="CL278" s="9" t="str">
        <f>_xll.SNL.Clients.Office.Excel.Functions.SPG(CI278, "SP_COUNTRY_NAME")</f>
        <v>South Africa</v>
      </c>
      <c r="CM278" t="s">
        <v>1762</v>
      </c>
      <c r="CN278">
        <v>4217906</v>
      </c>
      <c r="CO278" t="s">
        <v>364</v>
      </c>
      <c r="CP278" s="11">
        <v>0</v>
      </c>
      <c r="CQ278" s="9" t="str">
        <f>_xll.SNL.Clients.Office.Excel.Functions.SPG(CN278, "SP_COUNTRY_NAME")</f>
        <v>USA</v>
      </c>
      <c r="CV278" s="9" t="str">
        <f>_xll.SNL.Clients.Office.Excel.Functions.SPG(CS278, "SP_COUNTRY_NAME")</f>
        <v>#INVALID COMPANY ID</v>
      </c>
      <c r="DA278" s="9" t="str">
        <f>_xll.SNL.Clients.Office.Excel.Functions.SPG(CX278, "SP_COUNTRY_NAME")</f>
        <v>#INVALID COMPANY ID</v>
      </c>
      <c r="DB278" t="s">
        <v>468</v>
      </c>
      <c r="DC278">
        <v>4556191</v>
      </c>
      <c r="DD278" t="s">
        <v>346</v>
      </c>
      <c r="DE278" s="11">
        <v>0</v>
      </c>
      <c r="DF278" s="9" t="str">
        <f>_xll.SNL.Clients.Office.Excel.Functions.SPG(DC278, "SP_COUNTRY_NAME")</f>
        <v>USA</v>
      </c>
      <c r="DK278" s="9" t="str">
        <f>_xll.SNL.Clients.Office.Excel.Functions.SPG(DH278, "SP_COUNTRY_NAME")</f>
        <v>#INVALID COMPANY ID</v>
      </c>
      <c r="DL278" t="s">
        <v>468</v>
      </c>
      <c r="DM278">
        <v>4556191</v>
      </c>
      <c r="DN278" t="s">
        <v>346</v>
      </c>
      <c r="DO278" s="11">
        <v>0</v>
      </c>
      <c r="DP278" s="9" t="str">
        <f>_xll.SNL.Clients.Office.Excel.Functions.SPG(DM278, "SP_COUNTRY_NAME")</f>
        <v>USA</v>
      </c>
      <c r="DU278" s="9" t="str">
        <f>_xll.SNL.Clients.Office.Excel.Functions.SPG(DR278, "SP_COUNTRY_NAME")</f>
        <v>#INVALID COMPANY ID</v>
      </c>
      <c r="DZ278" s="9" t="str">
        <f>_xll.SNL.Clients.Office.Excel.Functions.SPG(DW278, "SP_COUNTRY_NAME")</f>
        <v>#INVALID COMPANY ID</v>
      </c>
      <c r="EA278" t="s">
        <v>1742</v>
      </c>
      <c r="EB278">
        <v>4658016</v>
      </c>
      <c r="EC278" t="s">
        <v>346</v>
      </c>
      <c r="ED278" s="11">
        <v>0.01</v>
      </c>
      <c r="EE278" s="9" t="str">
        <f>_xll.SNL.Clients.Office.Excel.Functions.SPG(EB278, "SP_COUNTRY_NAME")</f>
        <v>Brazil</v>
      </c>
      <c r="EF278" t="s">
        <v>468</v>
      </c>
      <c r="EG278">
        <v>4556191</v>
      </c>
      <c r="EH278" t="s">
        <v>346</v>
      </c>
      <c r="EI278" s="11">
        <v>0</v>
      </c>
      <c r="EJ278" s="9" t="str">
        <f>_xll.SNL.Clients.Office.Excel.Functions.SPG(EG278, "SP_COUNTRY_NAME")</f>
        <v>USA</v>
      </c>
      <c r="EO278" s="9" t="str">
        <f>_xll.SNL.Clients.Office.Excel.Functions.SPG(EL278, "SP_COUNTRY_NAME")</f>
        <v>#INVALID COMPANY ID</v>
      </c>
      <c r="ET278" s="9" t="str">
        <f>_xll.SNL.Clients.Office.Excel.Functions.SPG(EQ278, "SP_COUNTRY_NAME")</f>
        <v>#INVALID COMPANY ID</v>
      </c>
      <c r="EY278" s="9" t="str">
        <f>_xll.SNL.Clients.Office.Excel.Functions.SPG(EV278, "SP_COUNTRY_NAME")</f>
        <v>#INVALID COMPANY ID</v>
      </c>
      <c r="FD278" s="9" t="str">
        <f>_xll.SNL.Clients.Office.Excel.Functions.SPG(FA278, "SP_COUNTRY_NAME")</f>
        <v>#INVALID COMPANY ID</v>
      </c>
      <c r="FI278" s="9" t="str">
        <f>_xll.SNL.Clients.Office.Excel.Functions.SPG(FF278, "SP_COUNTRY_NAME")</f>
        <v>#INVALID COMPANY ID</v>
      </c>
      <c r="FN278" s="9" t="str">
        <f>_xll.SNL.Clients.Office.Excel.Functions.SPG(FK278, "SP_COUNTRY_NAME")</f>
        <v>#INVALID COMPANY ID</v>
      </c>
      <c r="FS278" s="9" t="str">
        <f>_xll.SNL.Clients.Office.Excel.Functions.SPG(FP278, "SP_COUNTRY_NAME")</f>
        <v>#INVALID COMPANY ID</v>
      </c>
      <c r="FX278" s="9" t="str">
        <f>_xll.SNL.Clients.Office.Excel.Functions.SPG(FU278, "SP_COUNTRY_NAME")</f>
        <v>#INVALID COMPANY ID</v>
      </c>
      <c r="FY278" t="s">
        <v>468</v>
      </c>
      <c r="FZ278">
        <v>4556191</v>
      </c>
      <c r="GA278" t="s">
        <v>346</v>
      </c>
      <c r="GB278" s="11">
        <v>0</v>
      </c>
      <c r="GC278" s="9" t="str">
        <f>_xll.SNL.Clients.Office.Excel.Functions.SPG(FZ278, "SP_COUNTRY_NAME")</f>
        <v>USA</v>
      </c>
      <c r="GH278" s="9" t="str">
        <f>_xll.SNL.Clients.Office.Excel.Functions.SPG(GE278, "SP_COUNTRY_NAME")</f>
        <v>#INVALID COMPANY ID</v>
      </c>
      <c r="GM278" s="9" t="str">
        <f>_xll.SNL.Clients.Office.Excel.Functions.SPG(GJ278, "SP_COUNTRY_NAME")</f>
        <v>#INVALID COMPANY ID</v>
      </c>
      <c r="GR278" s="9" t="str">
        <f>_xll.SNL.Clients.Office.Excel.Functions.SPG(GO278, "SP_COUNTRY_NAME")</f>
        <v>#INVALID COMPANY ID</v>
      </c>
      <c r="GS278" t="s">
        <v>1246</v>
      </c>
      <c r="GT278">
        <v>4138119</v>
      </c>
      <c r="GU278" t="s">
        <v>346</v>
      </c>
      <c r="GV278" s="11">
        <v>0</v>
      </c>
      <c r="GW278" s="9" t="str">
        <f>_xll.SNL.Clients.Office.Excel.Functions.SPG(GT278, "SP_COUNTRY_NAME")</f>
        <v>Malaysia</v>
      </c>
      <c r="GX278" t="s">
        <v>1742</v>
      </c>
      <c r="GY278">
        <v>4658016</v>
      </c>
      <c r="GZ278" t="s">
        <v>346</v>
      </c>
      <c r="HA278" s="11">
        <v>0.01</v>
      </c>
      <c r="HB278" s="9" t="str">
        <f>_xll.SNL.Clients.Office.Excel.Functions.SPG(GY278, "SP_COUNTRY_NAME")</f>
        <v>Brazil</v>
      </c>
      <c r="HG278" s="9" t="str">
        <f>_xll.SNL.Clients.Office.Excel.Functions.SPG(HD278, "SP_COUNTRY_NAME")</f>
        <v>#INVALID COMPANY ID</v>
      </c>
    </row>
    <row r="279" spans="5:215" x14ac:dyDescent="0.35">
      <c r="E279" s="9" t="str">
        <f>_xll.SNL.Clients.Office.Excel.Functions.SPG(B279, "SP_COUNTRY_NAME")</f>
        <v>#INVALID COMPANY ID</v>
      </c>
      <c r="J279" s="9" t="str">
        <f>_xll.SNL.Clients.Office.Excel.Functions.SPG(G279, "SP_COUNTRY_NAME")</f>
        <v>#INVALID COMPANY ID</v>
      </c>
      <c r="O279" s="9" t="str">
        <f>_xll.SNL.Clients.Office.Excel.Functions.SPG(L279, "SP_COUNTRY_NAME")</f>
        <v>#INVALID COMPANY ID</v>
      </c>
      <c r="T279" s="9" t="str">
        <f>_xll.SNL.Clients.Office.Excel.Functions.SPG(Q279, "SP_COUNTRY_NAME")</f>
        <v>#INVALID COMPANY ID</v>
      </c>
      <c r="U279" t="s">
        <v>842</v>
      </c>
      <c r="V279">
        <v>19437756</v>
      </c>
      <c r="W279" t="s">
        <v>346</v>
      </c>
      <c r="X279" s="11">
        <v>0</v>
      </c>
      <c r="Y279" s="9" t="str">
        <f>_xll.SNL.Clients.Office.Excel.Functions.SPG(V279, "SP_COUNTRY_NAME")</f>
        <v>China</v>
      </c>
      <c r="AD279" s="9" t="str">
        <f>_xll.SNL.Clients.Office.Excel.Functions.SPG(AA279, "SP_COUNTRY_NAME")</f>
        <v>#INVALID COMPANY ID</v>
      </c>
      <c r="AI279" s="9" t="str">
        <f>_xll.SNL.Clients.Office.Excel.Functions.SPG(AF279, "SP_COUNTRY_NAME")</f>
        <v>#INVALID COMPANY ID</v>
      </c>
      <c r="AN279" s="9" t="str">
        <f>_xll.SNL.Clients.Office.Excel.Functions.SPG(AK279, "SP_COUNTRY_NAME")</f>
        <v>#INVALID COMPANY ID</v>
      </c>
      <c r="AO279" t="s">
        <v>502</v>
      </c>
      <c r="AP279">
        <v>4225041</v>
      </c>
      <c r="AQ279" t="s">
        <v>346</v>
      </c>
      <c r="AR279" s="11">
        <v>0</v>
      </c>
      <c r="AS279" s="9" t="str">
        <f>_xll.SNL.Clients.Office.Excel.Functions.SPG(AP279, "SP_COUNTRY_NAME")</f>
        <v>Ireland</v>
      </c>
      <c r="AX279" s="9" t="str">
        <f>_xll.SNL.Clients.Office.Excel.Functions.SPG(AU279, "SP_COUNTRY_NAME")</f>
        <v>#INVALID COMPANY ID</v>
      </c>
      <c r="BC279" s="9" t="str">
        <f>_xll.SNL.Clients.Office.Excel.Functions.SPG(AZ279, "SP_COUNTRY_NAME")</f>
        <v>#INVALID COMPANY ID</v>
      </c>
      <c r="BD279" t="s">
        <v>1476</v>
      </c>
      <c r="BE279">
        <v>110895</v>
      </c>
      <c r="BF279" t="s">
        <v>634</v>
      </c>
      <c r="BG279" s="11">
        <v>0</v>
      </c>
      <c r="BH279" s="9" t="str">
        <f>_xll.SNL.Clients.Office.Excel.Functions.SPG(BE279, "SP_COUNTRY_NAME")</f>
        <v>USA</v>
      </c>
      <c r="BM279" s="9" t="str">
        <f>_xll.SNL.Clients.Office.Excel.Functions.SPG(BJ279, "SP_COUNTRY_NAME")</f>
        <v>#INVALID COMPANY ID</v>
      </c>
      <c r="BN279" t="s">
        <v>808</v>
      </c>
      <c r="BO279">
        <v>4138631</v>
      </c>
      <c r="BP279" t="s">
        <v>346</v>
      </c>
      <c r="BQ279" s="11">
        <v>0</v>
      </c>
      <c r="BR279" s="9" t="str">
        <f>_xll.SNL.Clients.Office.Excel.Functions.SPG(BO279, "SP_COUNTRY_NAME")</f>
        <v>China</v>
      </c>
      <c r="BS279" t="s">
        <v>1007</v>
      </c>
      <c r="BT279">
        <v>5813728</v>
      </c>
      <c r="BU279" t="s">
        <v>346</v>
      </c>
      <c r="BV279" s="11">
        <v>0</v>
      </c>
      <c r="BW279" s="9" t="str">
        <f>_xll.SNL.Clients.Office.Excel.Functions.SPG(BT279, "SP_COUNTRY_NAME")</f>
        <v>Ireland</v>
      </c>
      <c r="BX279" t="s">
        <v>842</v>
      </c>
      <c r="BY279">
        <v>19437756</v>
      </c>
      <c r="BZ279" t="s">
        <v>346</v>
      </c>
      <c r="CA279" s="11">
        <v>0</v>
      </c>
      <c r="CB279" s="9" t="str">
        <f>_xll.SNL.Clients.Office.Excel.Functions.SPG(BY279, "SP_COUNTRY_NAME")</f>
        <v>China</v>
      </c>
      <c r="CC279" t="s">
        <v>1743</v>
      </c>
      <c r="CD279">
        <v>4315019</v>
      </c>
      <c r="CE279" t="s">
        <v>346</v>
      </c>
      <c r="CF279" s="11">
        <v>0.01</v>
      </c>
      <c r="CG279" s="9" t="str">
        <f>_xll.SNL.Clients.Office.Excel.Functions.SPG(CD279, "SP_COUNTRY_NAME")</f>
        <v>Brazil</v>
      </c>
      <c r="CH279" t="s">
        <v>502</v>
      </c>
      <c r="CI279">
        <v>4225041</v>
      </c>
      <c r="CJ279" t="s">
        <v>346</v>
      </c>
      <c r="CK279" s="11">
        <v>0</v>
      </c>
      <c r="CL279" s="9" t="str">
        <f>_xll.SNL.Clients.Office.Excel.Functions.SPG(CI279, "SP_COUNTRY_NAME")</f>
        <v>Ireland</v>
      </c>
      <c r="CM279" t="s">
        <v>1341</v>
      </c>
      <c r="CN279">
        <v>14965291</v>
      </c>
      <c r="CO279" t="s">
        <v>346</v>
      </c>
      <c r="CP279" s="11">
        <v>0</v>
      </c>
      <c r="CQ279" s="9" t="str">
        <f>_xll.SNL.Clients.Office.Excel.Functions.SPG(CN279, "SP_COUNTRY_NAME")</f>
        <v>South Africa</v>
      </c>
      <c r="CV279" s="9" t="str">
        <f>_xll.SNL.Clients.Office.Excel.Functions.SPG(CS279, "SP_COUNTRY_NAME")</f>
        <v>#INVALID COMPANY ID</v>
      </c>
      <c r="DA279" s="9" t="str">
        <f>_xll.SNL.Clients.Office.Excel.Functions.SPG(CX279, "SP_COUNTRY_NAME")</f>
        <v>#INVALID COMPANY ID</v>
      </c>
      <c r="DB279" t="s">
        <v>1476</v>
      </c>
      <c r="DC279">
        <v>110895</v>
      </c>
      <c r="DD279" t="s">
        <v>634</v>
      </c>
      <c r="DE279" s="11">
        <v>0</v>
      </c>
      <c r="DF279" s="9" t="str">
        <f>_xll.SNL.Clients.Office.Excel.Functions.SPG(DC279, "SP_COUNTRY_NAME")</f>
        <v>USA</v>
      </c>
      <c r="DK279" s="9" t="str">
        <f>_xll.SNL.Clients.Office.Excel.Functions.SPG(DH279, "SP_COUNTRY_NAME")</f>
        <v>#INVALID COMPANY ID</v>
      </c>
      <c r="DL279" t="s">
        <v>1476</v>
      </c>
      <c r="DM279">
        <v>110895</v>
      </c>
      <c r="DN279" t="s">
        <v>634</v>
      </c>
      <c r="DO279" s="11">
        <v>0</v>
      </c>
      <c r="DP279" s="9" t="str">
        <f>_xll.SNL.Clients.Office.Excel.Functions.SPG(DM279, "SP_COUNTRY_NAME")</f>
        <v>USA</v>
      </c>
      <c r="DU279" s="9" t="str">
        <f>_xll.SNL.Clients.Office.Excel.Functions.SPG(DR279, "SP_COUNTRY_NAME")</f>
        <v>#INVALID COMPANY ID</v>
      </c>
      <c r="DZ279" s="9" t="str">
        <f>_xll.SNL.Clients.Office.Excel.Functions.SPG(DW279, "SP_COUNTRY_NAME")</f>
        <v>#INVALID COMPANY ID</v>
      </c>
      <c r="EA279" t="s">
        <v>1743</v>
      </c>
      <c r="EB279">
        <v>4315019</v>
      </c>
      <c r="EC279" t="s">
        <v>346</v>
      </c>
      <c r="ED279" s="11">
        <v>0.01</v>
      </c>
      <c r="EE279" s="9" t="str">
        <f>_xll.SNL.Clients.Office.Excel.Functions.SPG(EB279, "SP_COUNTRY_NAME")</f>
        <v>Brazil</v>
      </c>
      <c r="EF279" t="s">
        <v>1476</v>
      </c>
      <c r="EG279">
        <v>110895</v>
      </c>
      <c r="EH279" t="s">
        <v>634</v>
      </c>
      <c r="EI279" s="11">
        <v>0</v>
      </c>
      <c r="EJ279" s="9" t="str">
        <f>_xll.SNL.Clients.Office.Excel.Functions.SPG(EG279, "SP_COUNTRY_NAME")</f>
        <v>USA</v>
      </c>
      <c r="EO279" s="9" t="str">
        <f>_xll.SNL.Clients.Office.Excel.Functions.SPG(EL279, "SP_COUNTRY_NAME")</f>
        <v>#INVALID COMPANY ID</v>
      </c>
      <c r="ET279" s="9" t="str">
        <f>_xll.SNL.Clients.Office.Excel.Functions.SPG(EQ279, "SP_COUNTRY_NAME")</f>
        <v>#INVALID COMPANY ID</v>
      </c>
      <c r="EY279" s="9" t="str">
        <f>_xll.SNL.Clients.Office.Excel.Functions.SPG(EV279, "SP_COUNTRY_NAME")</f>
        <v>#INVALID COMPANY ID</v>
      </c>
      <c r="FD279" s="9" t="str">
        <f>_xll.SNL.Clients.Office.Excel.Functions.SPG(FA279, "SP_COUNTRY_NAME")</f>
        <v>#INVALID COMPANY ID</v>
      </c>
      <c r="FI279" s="9" t="str">
        <f>_xll.SNL.Clients.Office.Excel.Functions.SPG(FF279, "SP_COUNTRY_NAME")</f>
        <v>#INVALID COMPANY ID</v>
      </c>
      <c r="FN279" s="9" t="str">
        <f>_xll.SNL.Clients.Office.Excel.Functions.SPG(FK279, "SP_COUNTRY_NAME")</f>
        <v>#INVALID COMPANY ID</v>
      </c>
      <c r="FS279" s="9" t="str">
        <f>_xll.SNL.Clients.Office.Excel.Functions.SPG(FP279, "SP_COUNTRY_NAME")</f>
        <v>#INVALID COMPANY ID</v>
      </c>
      <c r="FX279" s="9" t="str">
        <f>_xll.SNL.Clients.Office.Excel.Functions.SPG(FU279, "SP_COUNTRY_NAME")</f>
        <v>#INVALID COMPANY ID</v>
      </c>
      <c r="FY279" t="s">
        <v>1476</v>
      </c>
      <c r="FZ279">
        <v>110895</v>
      </c>
      <c r="GA279" t="s">
        <v>634</v>
      </c>
      <c r="GB279" s="11">
        <v>0</v>
      </c>
      <c r="GC279" s="9" t="str">
        <f>_xll.SNL.Clients.Office.Excel.Functions.SPG(FZ279, "SP_COUNTRY_NAME")</f>
        <v>USA</v>
      </c>
      <c r="GH279" s="9" t="str">
        <f>_xll.SNL.Clients.Office.Excel.Functions.SPG(GE279, "SP_COUNTRY_NAME")</f>
        <v>#INVALID COMPANY ID</v>
      </c>
      <c r="GM279" s="9" t="str">
        <f>_xll.SNL.Clients.Office.Excel.Functions.SPG(GJ279, "SP_COUNTRY_NAME")</f>
        <v>#INVALID COMPANY ID</v>
      </c>
      <c r="GR279" s="9" t="str">
        <f>_xll.SNL.Clients.Office.Excel.Functions.SPG(GO279, "SP_COUNTRY_NAME")</f>
        <v>#INVALID COMPANY ID</v>
      </c>
      <c r="GS279" t="s">
        <v>808</v>
      </c>
      <c r="GT279">
        <v>4138631</v>
      </c>
      <c r="GU279" t="s">
        <v>346</v>
      </c>
      <c r="GV279" s="11">
        <v>0</v>
      </c>
      <c r="GW279" s="9" t="str">
        <f>_xll.SNL.Clients.Office.Excel.Functions.SPG(GT279, "SP_COUNTRY_NAME")</f>
        <v>China</v>
      </c>
      <c r="GX279" t="s">
        <v>1743</v>
      </c>
      <c r="GY279">
        <v>4315019</v>
      </c>
      <c r="GZ279" t="s">
        <v>346</v>
      </c>
      <c r="HA279" s="11">
        <v>0.01</v>
      </c>
      <c r="HB279" s="9" t="str">
        <f>_xll.SNL.Clients.Office.Excel.Functions.SPG(GY279, "SP_COUNTRY_NAME")</f>
        <v>Brazil</v>
      </c>
      <c r="HG279" s="9" t="str">
        <f>_xll.SNL.Clients.Office.Excel.Functions.SPG(HD279, "SP_COUNTRY_NAME")</f>
        <v>#INVALID COMPANY ID</v>
      </c>
    </row>
    <row r="280" spans="5:215" x14ac:dyDescent="0.35">
      <c r="E280" s="9" t="str">
        <f>_xll.SNL.Clients.Office.Excel.Functions.SPG(B280, "SP_COUNTRY_NAME")</f>
        <v>#INVALID COMPANY ID</v>
      </c>
      <c r="J280" s="9" t="str">
        <f>_xll.SNL.Clients.Office.Excel.Functions.SPG(G280, "SP_COUNTRY_NAME")</f>
        <v>#INVALID COMPANY ID</v>
      </c>
      <c r="O280" s="9" t="str">
        <f>_xll.SNL.Clients.Office.Excel.Functions.SPG(L280, "SP_COUNTRY_NAME")</f>
        <v>#INVALID COMPANY ID</v>
      </c>
      <c r="T280" s="9" t="str">
        <f>_xll.SNL.Clients.Office.Excel.Functions.SPG(Q280, "SP_COUNTRY_NAME")</f>
        <v>#INVALID COMPANY ID</v>
      </c>
      <c r="U280" t="s">
        <v>477</v>
      </c>
      <c r="V280">
        <v>4119790</v>
      </c>
      <c r="W280" t="s">
        <v>346</v>
      </c>
      <c r="X280" s="11">
        <v>0</v>
      </c>
      <c r="Y280" s="9" t="str">
        <f>_xll.SNL.Clients.Office.Excel.Functions.SPG(V280, "SP_COUNTRY_NAME")</f>
        <v>USA</v>
      </c>
      <c r="AD280" s="9" t="str">
        <f>_xll.SNL.Clients.Office.Excel.Functions.SPG(AA280, "SP_COUNTRY_NAME")</f>
        <v>#INVALID COMPANY ID</v>
      </c>
      <c r="AI280" s="9" t="str">
        <f>_xll.SNL.Clients.Office.Excel.Functions.SPG(AF280, "SP_COUNTRY_NAME")</f>
        <v>#INVALID COMPANY ID</v>
      </c>
      <c r="AN280" s="9" t="str">
        <f>_xll.SNL.Clients.Office.Excel.Functions.SPG(AK280, "SP_COUNTRY_NAME")</f>
        <v>#INVALID COMPANY ID</v>
      </c>
      <c r="AO280" t="s">
        <v>519</v>
      </c>
      <c r="AP280">
        <v>109968</v>
      </c>
      <c r="AQ280" t="s">
        <v>346</v>
      </c>
      <c r="AR280" s="11">
        <v>0</v>
      </c>
      <c r="AS280" s="9" t="str">
        <f>_xll.SNL.Clients.Office.Excel.Functions.SPG(AP280, "SP_COUNTRY_NAME")</f>
        <v>USA</v>
      </c>
      <c r="AX280" s="9" t="str">
        <f>_xll.SNL.Clients.Office.Excel.Functions.SPG(AU280, "SP_COUNTRY_NAME")</f>
        <v>#INVALID COMPANY ID</v>
      </c>
      <c r="BC280" s="9" t="str">
        <f>_xll.SNL.Clients.Office.Excel.Functions.SPG(AZ280, "SP_COUNTRY_NAME")</f>
        <v>#INVALID COMPANY ID</v>
      </c>
      <c r="BD280" t="s">
        <v>1210</v>
      </c>
      <c r="BE280">
        <v>4304195</v>
      </c>
      <c r="BF280" t="s">
        <v>346</v>
      </c>
      <c r="BG280" s="11">
        <v>0</v>
      </c>
      <c r="BH280" s="9" t="str">
        <f>_xll.SNL.Clients.Office.Excel.Functions.SPG(BE280, "SP_COUNTRY_NAME")</f>
        <v>South Africa</v>
      </c>
      <c r="BM280" s="9" t="str">
        <f>_xll.SNL.Clients.Office.Excel.Functions.SPG(BJ280, "SP_COUNTRY_NAME")</f>
        <v>#INVALID COMPANY ID</v>
      </c>
      <c r="BN280" t="s">
        <v>896</v>
      </c>
      <c r="BO280">
        <v>4272541</v>
      </c>
      <c r="BP280" t="s">
        <v>346</v>
      </c>
      <c r="BQ280" s="11">
        <v>0</v>
      </c>
      <c r="BR280" s="9" t="str">
        <f>_xll.SNL.Clients.Office.Excel.Functions.SPG(BO280, "SP_COUNTRY_NAME")</f>
        <v>USA</v>
      </c>
      <c r="BS280" t="s">
        <v>1008</v>
      </c>
      <c r="BT280">
        <v>4056822</v>
      </c>
      <c r="BU280" t="s">
        <v>346</v>
      </c>
      <c r="BV280" s="11">
        <v>0</v>
      </c>
      <c r="BW280" s="9" t="str">
        <f>_xll.SNL.Clients.Office.Excel.Functions.SPG(BT280, "SP_COUNTRY_NAME")</f>
        <v>Switzerland</v>
      </c>
      <c r="BX280" t="s">
        <v>477</v>
      </c>
      <c r="BY280">
        <v>4119790</v>
      </c>
      <c r="BZ280" t="s">
        <v>346</v>
      </c>
      <c r="CA280" s="11">
        <v>0</v>
      </c>
      <c r="CB280" s="9" t="str">
        <f>_xll.SNL.Clients.Office.Excel.Functions.SPG(BY280, "SP_COUNTRY_NAME")</f>
        <v>USA</v>
      </c>
      <c r="CC280" t="s">
        <v>1744</v>
      </c>
      <c r="CD280">
        <v>4252252</v>
      </c>
      <c r="CE280" t="s">
        <v>364</v>
      </c>
      <c r="CF280" s="11">
        <v>0.01</v>
      </c>
      <c r="CG280" s="9" t="str">
        <f>_xll.SNL.Clients.Office.Excel.Functions.SPG(CD280, "SP_COUNTRY_NAME")</f>
        <v>USA</v>
      </c>
      <c r="CH280" t="s">
        <v>519</v>
      </c>
      <c r="CI280">
        <v>109968</v>
      </c>
      <c r="CJ280" t="s">
        <v>346</v>
      </c>
      <c r="CK280" s="11">
        <v>0</v>
      </c>
      <c r="CL280" s="9" t="str">
        <f>_xll.SNL.Clients.Office.Excel.Functions.SPG(CI280, "SP_COUNTRY_NAME")</f>
        <v>USA</v>
      </c>
      <c r="CM280" t="s">
        <v>978</v>
      </c>
      <c r="CN280">
        <v>4224292</v>
      </c>
      <c r="CO280" t="s">
        <v>346</v>
      </c>
      <c r="CP280" s="11">
        <v>0</v>
      </c>
      <c r="CQ280" s="9" t="str">
        <f>_xll.SNL.Clients.Office.Excel.Functions.SPG(CN280, "SP_COUNTRY_NAME")</f>
        <v>Germany</v>
      </c>
      <c r="CV280" s="9" t="str">
        <f>_xll.SNL.Clients.Office.Excel.Functions.SPG(CS280, "SP_COUNTRY_NAME")</f>
        <v>#INVALID COMPANY ID</v>
      </c>
      <c r="DA280" s="9" t="str">
        <f>_xll.SNL.Clients.Office.Excel.Functions.SPG(CX280, "SP_COUNTRY_NAME")</f>
        <v>#INVALID COMPANY ID</v>
      </c>
      <c r="DB280" t="s">
        <v>1210</v>
      </c>
      <c r="DC280">
        <v>4304195</v>
      </c>
      <c r="DD280" t="s">
        <v>346</v>
      </c>
      <c r="DE280" s="11">
        <v>0</v>
      </c>
      <c r="DF280" s="9" t="str">
        <f>_xll.SNL.Clients.Office.Excel.Functions.SPG(DC280, "SP_COUNTRY_NAME")</f>
        <v>South Africa</v>
      </c>
      <c r="DK280" s="9" t="str">
        <f>_xll.SNL.Clients.Office.Excel.Functions.SPG(DH280, "SP_COUNTRY_NAME")</f>
        <v>#INVALID COMPANY ID</v>
      </c>
      <c r="DL280" t="s">
        <v>1210</v>
      </c>
      <c r="DM280">
        <v>4304195</v>
      </c>
      <c r="DN280" t="s">
        <v>346</v>
      </c>
      <c r="DO280" s="11">
        <v>0</v>
      </c>
      <c r="DP280" s="9" t="str">
        <f>_xll.SNL.Clients.Office.Excel.Functions.SPG(DM280, "SP_COUNTRY_NAME")</f>
        <v>South Africa</v>
      </c>
      <c r="DU280" s="9" t="str">
        <f>_xll.SNL.Clients.Office.Excel.Functions.SPG(DR280, "SP_COUNTRY_NAME")</f>
        <v>#INVALID COMPANY ID</v>
      </c>
      <c r="DZ280" s="9" t="str">
        <f>_xll.SNL.Clients.Office.Excel.Functions.SPG(DW280, "SP_COUNTRY_NAME")</f>
        <v>#INVALID COMPANY ID</v>
      </c>
      <c r="EA280" t="s">
        <v>1744</v>
      </c>
      <c r="EB280">
        <v>4252252</v>
      </c>
      <c r="EC280" t="s">
        <v>364</v>
      </c>
      <c r="ED280" s="11">
        <v>0.01</v>
      </c>
      <c r="EE280" s="9" t="str">
        <f>_xll.SNL.Clients.Office.Excel.Functions.SPG(EB280, "SP_COUNTRY_NAME")</f>
        <v>USA</v>
      </c>
      <c r="EF280" t="s">
        <v>1210</v>
      </c>
      <c r="EG280">
        <v>4304195</v>
      </c>
      <c r="EH280" t="s">
        <v>346</v>
      </c>
      <c r="EI280" s="11">
        <v>0</v>
      </c>
      <c r="EJ280" s="9" t="str">
        <f>_xll.SNL.Clients.Office.Excel.Functions.SPG(EG280, "SP_COUNTRY_NAME")</f>
        <v>South Africa</v>
      </c>
      <c r="EO280" s="9" t="str">
        <f>_xll.SNL.Clients.Office.Excel.Functions.SPG(EL280, "SP_COUNTRY_NAME")</f>
        <v>#INVALID COMPANY ID</v>
      </c>
      <c r="ET280" s="9" t="str">
        <f>_xll.SNL.Clients.Office.Excel.Functions.SPG(EQ280, "SP_COUNTRY_NAME")</f>
        <v>#INVALID COMPANY ID</v>
      </c>
      <c r="EY280" s="9" t="str">
        <f>_xll.SNL.Clients.Office.Excel.Functions.SPG(EV280, "SP_COUNTRY_NAME")</f>
        <v>#INVALID COMPANY ID</v>
      </c>
      <c r="FD280" s="9" t="str">
        <f>_xll.SNL.Clients.Office.Excel.Functions.SPG(FA280, "SP_COUNTRY_NAME")</f>
        <v>#INVALID COMPANY ID</v>
      </c>
      <c r="FI280" s="9" t="str">
        <f>_xll.SNL.Clients.Office.Excel.Functions.SPG(FF280, "SP_COUNTRY_NAME")</f>
        <v>#INVALID COMPANY ID</v>
      </c>
      <c r="FN280" s="9" t="str">
        <f>_xll.SNL.Clients.Office.Excel.Functions.SPG(FK280, "SP_COUNTRY_NAME")</f>
        <v>#INVALID COMPANY ID</v>
      </c>
      <c r="FS280" s="9" t="str">
        <f>_xll.SNL.Clients.Office.Excel.Functions.SPG(FP280, "SP_COUNTRY_NAME")</f>
        <v>#INVALID COMPANY ID</v>
      </c>
      <c r="FX280" s="9" t="str">
        <f>_xll.SNL.Clients.Office.Excel.Functions.SPG(FU280, "SP_COUNTRY_NAME")</f>
        <v>#INVALID COMPANY ID</v>
      </c>
      <c r="FY280" t="s">
        <v>1210</v>
      </c>
      <c r="FZ280">
        <v>4304195</v>
      </c>
      <c r="GA280" t="s">
        <v>346</v>
      </c>
      <c r="GB280" s="11">
        <v>0</v>
      </c>
      <c r="GC280" s="9" t="str">
        <f>_xll.SNL.Clients.Office.Excel.Functions.SPG(FZ280, "SP_COUNTRY_NAME")</f>
        <v>South Africa</v>
      </c>
      <c r="GH280" s="9" t="str">
        <f>_xll.SNL.Clients.Office.Excel.Functions.SPG(GE280, "SP_COUNTRY_NAME")</f>
        <v>#INVALID COMPANY ID</v>
      </c>
      <c r="GM280" s="9" t="str">
        <f>_xll.SNL.Clients.Office.Excel.Functions.SPG(GJ280, "SP_COUNTRY_NAME")</f>
        <v>#INVALID COMPANY ID</v>
      </c>
      <c r="GR280" s="9" t="str">
        <f>_xll.SNL.Clients.Office.Excel.Functions.SPG(GO280, "SP_COUNTRY_NAME")</f>
        <v>#INVALID COMPANY ID</v>
      </c>
      <c r="GS280" t="s">
        <v>896</v>
      </c>
      <c r="GT280">
        <v>4272541</v>
      </c>
      <c r="GU280" t="s">
        <v>346</v>
      </c>
      <c r="GV280" s="11">
        <v>0</v>
      </c>
      <c r="GW280" s="9" t="str">
        <f>_xll.SNL.Clients.Office.Excel.Functions.SPG(GT280, "SP_COUNTRY_NAME")</f>
        <v>USA</v>
      </c>
      <c r="GX280" t="s">
        <v>1744</v>
      </c>
      <c r="GY280">
        <v>4252252</v>
      </c>
      <c r="GZ280" t="s">
        <v>364</v>
      </c>
      <c r="HA280" s="11">
        <v>0.01</v>
      </c>
      <c r="HB280" s="9" t="str">
        <f>_xll.SNL.Clients.Office.Excel.Functions.SPG(GY280, "SP_COUNTRY_NAME")</f>
        <v>USA</v>
      </c>
      <c r="HG280" s="9" t="str">
        <f>_xll.SNL.Clients.Office.Excel.Functions.SPG(HD280, "SP_COUNTRY_NAME")</f>
        <v>#INVALID COMPANY ID</v>
      </c>
    </row>
    <row r="281" spans="5:215" x14ac:dyDescent="0.35">
      <c r="E281" s="9" t="str">
        <f>_xll.SNL.Clients.Office.Excel.Functions.SPG(B281, "SP_COUNTRY_NAME")</f>
        <v>#INVALID COMPANY ID</v>
      </c>
      <c r="J281" s="9" t="str">
        <f>_xll.SNL.Clients.Office.Excel.Functions.SPG(G281, "SP_COUNTRY_NAME")</f>
        <v>#INVALID COMPANY ID</v>
      </c>
      <c r="O281" s="9" t="str">
        <f>_xll.SNL.Clients.Office.Excel.Functions.SPG(L281, "SP_COUNTRY_NAME")</f>
        <v>#INVALID COMPANY ID</v>
      </c>
      <c r="T281" s="9" t="str">
        <f>_xll.SNL.Clients.Office.Excel.Functions.SPG(Q281, "SP_COUNTRY_NAME")</f>
        <v>#INVALID COMPANY ID</v>
      </c>
      <c r="U281" t="s">
        <v>843</v>
      </c>
      <c r="V281">
        <v>4095386</v>
      </c>
      <c r="W281" t="s">
        <v>364</v>
      </c>
      <c r="X281" s="11">
        <v>0</v>
      </c>
      <c r="Y281" s="9" t="str">
        <f>_xll.SNL.Clients.Office.Excel.Functions.SPG(V281, "SP_COUNTRY_NAME")</f>
        <v>USA</v>
      </c>
      <c r="AD281" s="9" t="str">
        <f>_xll.SNL.Clients.Office.Excel.Functions.SPG(AA281, "SP_COUNTRY_NAME")</f>
        <v>#INVALID COMPANY ID</v>
      </c>
      <c r="AI281" s="9" t="str">
        <f>_xll.SNL.Clients.Office.Excel.Functions.SPG(AF281, "SP_COUNTRY_NAME")</f>
        <v>#INVALID COMPANY ID</v>
      </c>
      <c r="AN281" s="9" t="str">
        <f>_xll.SNL.Clients.Office.Excel.Functions.SPG(AK281, "SP_COUNTRY_NAME")</f>
        <v>#INVALID COMPANY ID</v>
      </c>
      <c r="AO281" t="s">
        <v>1381</v>
      </c>
      <c r="AP281">
        <v>9321263</v>
      </c>
      <c r="AQ281" t="s">
        <v>346</v>
      </c>
      <c r="AR281" s="11">
        <v>0</v>
      </c>
      <c r="AS281" s="9" t="str">
        <f>_xll.SNL.Clients.Office.Excel.Functions.SPG(AP281, "SP_COUNTRY_NAME")</f>
        <v>USA</v>
      </c>
      <c r="AX281" s="9" t="str">
        <f>_xll.SNL.Clients.Office.Excel.Functions.SPG(AU281, "SP_COUNTRY_NAME")</f>
        <v>#INVALID COMPANY ID</v>
      </c>
      <c r="BC281" s="9" t="str">
        <f>_xll.SNL.Clients.Office.Excel.Functions.SPG(AZ281, "SP_COUNTRY_NAME")</f>
        <v>#INVALID COMPANY ID</v>
      </c>
      <c r="BD281" t="s">
        <v>823</v>
      </c>
      <c r="BE281">
        <v>4212913</v>
      </c>
      <c r="BF281" t="s">
        <v>346</v>
      </c>
      <c r="BG281" s="11">
        <v>0</v>
      </c>
      <c r="BH281" s="9" t="str">
        <f>_xll.SNL.Clients.Office.Excel.Functions.SPG(BE281, "SP_COUNTRY_NAME")</f>
        <v>Taiwan</v>
      </c>
      <c r="BM281" s="9" t="str">
        <f>_xll.SNL.Clients.Office.Excel.Functions.SPG(BJ281, "SP_COUNTRY_NAME")</f>
        <v>#INVALID COMPANY ID</v>
      </c>
      <c r="BN281" t="s">
        <v>898</v>
      </c>
      <c r="BO281">
        <v>106229912</v>
      </c>
      <c r="BP281" t="s">
        <v>346</v>
      </c>
      <c r="BQ281" s="11">
        <v>0</v>
      </c>
      <c r="BR281" s="9" t="str">
        <f>_xll.SNL.Clients.Office.Excel.Functions.SPG(BO281, "SP_COUNTRY_NAME")</f>
        <v>China</v>
      </c>
      <c r="BS281" t="s">
        <v>662</v>
      </c>
      <c r="BT281">
        <v>4316799</v>
      </c>
      <c r="BU281" t="s">
        <v>346</v>
      </c>
      <c r="BV281" s="11">
        <v>0</v>
      </c>
      <c r="BW281" s="9" t="str">
        <f>_xll.SNL.Clients.Office.Excel.Functions.SPG(BT281, "SP_COUNTRY_NAME")</f>
        <v>China</v>
      </c>
      <c r="BX281" t="s">
        <v>843</v>
      </c>
      <c r="BY281">
        <v>4095386</v>
      </c>
      <c r="BZ281" t="s">
        <v>364</v>
      </c>
      <c r="CA281" s="11">
        <v>0</v>
      </c>
      <c r="CB281" s="9" t="str">
        <f>_xll.SNL.Clients.Office.Excel.Functions.SPG(BY281, "SP_COUNTRY_NAME")</f>
        <v>USA</v>
      </c>
      <c r="CC281" t="s">
        <v>978</v>
      </c>
      <c r="CD281">
        <v>4224292</v>
      </c>
      <c r="CE281" t="s">
        <v>346</v>
      </c>
      <c r="CF281" s="11">
        <v>0.01</v>
      </c>
      <c r="CG281" s="9" t="str">
        <f>_xll.SNL.Clients.Office.Excel.Functions.SPG(CD281, "SP_COUNTRY_NAME")</f>
        <v>Germany</v>
      </c>
      <c r="CH281" t="s">
        <v>1381</v>
      </c>
      <c r="CI281">
        <v>9321263</v>
      </c>
      <c r="CJ281" t="s">
        <v>346</v>
      </c>
      <c r="CK281" s="11">
        <v>0</v>
      </c>
      <c r="CL281" s="9" t="str">
        <f>_xll.SNL.Clients.Office.Excel.Functions.SPG(CI281, "SP_COUNTRY_NAME")</f>
        <v>USA</v>
      </c>
      <c r="CM281" t="s">
        <v>2016</v>
      </c>
      <c r="CN281">
        <v>4048459</v>
      </c>
      <c r="CO281" t="s">
        <v>346</v>
      </c>
      <c r="CP281" s="11">
        <v>0</v>
      </c>
      <c r="CQ281" s="9" t="str">
        <f>_xll.SNL.Clients.Office.Excel.Functions.SPG(CN281, "SP_COUNTRY_NAME")</f>
        <v>USA</v>
      </c>
      <c r="CV281" s="9" t="str">
        <f>_xll.SNL.Clients.Office.Excel.Functions.SPG(CS281, "SP_COUNTRY_NAME")</f>
        <v>#INVALID COMPANY ID</v>
      </c>
      <c r="DA281" s="9" t="str">
        <f>_xll.SNL.Clients.Office.Excel.Functions.SPG(CX281, "SP_COUNTRY_NAME")</f>
        <v>#INVALID COMPANY ID</v>
      </c>
      <c r="DB281" t="s">
        <v>823</v>
      </c>
      <c r="DC281">
        <v>4212913</v>
      </c>
      <c r="DD281" t="s">
        <v>346</v>
      </c>
      <c r="DE281" s="11">
        <v>0</v>
      </c>
      <c r="DF281" s="9" t="str">
        <f>_xll.SNL.Clients.Office.Excel.Functions.SPG(DC281, "SP_COUNTRY_NAME")</f>
        <v>Taiwan</v>
      </c>
      <c r="DK281" s="9" t="str">
        <f>_xll.SNL.Clients.Office.Excel.Functions.SPG(DH281, "SP_COUNTRY_NAME")</f>
        <v>#INVALID COMPANY ID</v>
      </c>
      <c r="DL281" t="s">
        <v>823</v>
      </c>
      <c r="DM281">
        <v>4212913</v>
      </c>
      <c r="DN281" t="s">
        <v>346</v>
      </c>
      <c r="DO281" s="11">
        <v>0</v>
      </c>
      <c r="DP281" s="9" t="str">
        <f>_xll.SNL.Clients.Office.Excel.Functions.SPG(DM281, "SP_COUNTRY_NAME")</f>
        <v>Taiwan</v>
      </c>
      <c r="DU281" s="9" t="str">
        <f>_xll.SNL.Clients.Office.Excel.Functions.SPG(DR281, "SP_COUNTRY_NAME")</f>
        <v>#INVALID COMPANY ID</v>
      </c>
      <c r="DZ281" s="9" t="str">
        <f>_xll.SNL.Clients.Office.Excel.Functions.SPG(DW281, "SP_COUNTRY_NAME")</f>
        <v>#INVALID COMPANY ID</v>
      </c>
      <c r="EA281" t="s">
        <v>978</v>
      </c>
      <c r="EB281">
        <v>4224292</v>
      </c>
      <c r="EC281" t="s">
        <v>346</v>
      </c>
      <c r="ED281" s="11">
        <v>0.01</v>
      </c>
      <c r="EE281" s="9" t="str">
        <f>_xll.SNL.Clients.Office.Excel.Functions.SPG(EB281, "SP_COUNTRY_NAME")</f>
        <v>Germany</v>
      </c>
      <c r="EF281" t="s">
        <v>823</v>
      </c>
      <c r="EG281">
        <v>4212913</v>
      </c>
      <c r="EH281" t="s">
        <v>346</v>
      </c>
      <c r="EI281" s="11">
        <v>0</v>
      </c>
      <c r="EJ281" s="9" t="str">
        <f>_xll.SNL.Clients.Office.Excel.Functions.SPG(EG281, "SP_COUNTRY_NAME")</f>
        <v>Taiwan</v>
      </c>
      <c r="EO281" s="9" t="str">
        <f>_xll.SNL.Clients.Office.Excel.Functions.SPG(EL281, "SP_COUNTRY_NAME")</f>
        <v>#INVALID COMPANY ID</v>
      </c>
      <c r="ET281" s="9" t="str">
        <f>_xll.SNL.Clients.Office.Excel.Functions.SPG(EQ281, "SP_COUNTRY_NAME")</f>
        <v>#INVALID COMPANY ID</v>
      </c>
      <c r="EY281" s="9" t="str">
        <f>_xll.SNL.Clients.Office.Excel.Functions.SPG(EV281, "SP_COUNTRY_NAME")</f>
        <v>#INVALID COMPANY ID</v>
      </c>
      <c r="FD281" s="9" t="str">
        <f>_xll.SNL.Clients.Office.Excel.Functions.SPG(FA281, "SP_COUNTRY_NAME")</f>
        <v>#INVALID COMPANY ID</v>
      </c>
      <c r="FI281" s="9" t="str">
        <f>_xll.SNL.Clients.Office.Excel.Functions.SPG(FF281, "SP_COUNTRY_NAME")</f>
        <v>#INVALID COMPANY ID</v>
      </c>
      <c r="FN281" s="9" t="str">
        <f>_xll.SNL.Clients.Office.Excel.Functions.SPG(FK281, "SP_COUNTRY_NAME")</f>
        <v>#INVALID COMPANY ID</v>
      </c>
      <c r="FS281" s="9" t="str">
        <f>_xll.SNL.Clients.Office.Excel.Functions.SPG(FP281, "SP_COUNTRY_NAME")</f>
        <v>#INVALID COMPANY ID</v>
      </c>
      <c r="FX281" s="9" t="str">
        <f>_xll.SNL.Clients.Office.Excel.Functions.SPG(FU281, "SP_COUNTRY_NAME")</f>
        <v>#INVALID COMPANY ID</v>
      </c>
      <c r="FY281" t="s">
        <v>823</v>
      </c>
      <c r="FZ281">
        <v>4212913</v>
      </c>
      <c r="GA281" t="s">
        <v>346</v>
      </c>
      <c r="GB281" s="11">
        <v>0</v>
      </c>
      <c r="GC281" s="9" t="str">
        <f>_xll.SNL.Clients.Office.Excel.Functions.SPG(FZ281, "SP_COUNTRY_NAME")</f>
        <v>Taiwan</v>
      </c>
      <c r="GH281" s="9" t="str">
        <f>_xll.SNL.Clients.Office.Excel.Functions.SPG(GE281, "SP_COUNTRY_NAME")</f>
        <v>#INVALID COMPANY ID</v>
      </c>
      <c r="GM281" s="9" t="str">
        <f>_xll.SNL.Clients.Office.Excel.Functions.SPG(GJ281, "SP_COUNTRY_NAME")</f>
        <v>#INVALID COMPANY ID</v>
      </c>
      <c r="GR281" s="9" t="str">
        <f>_xll.SNL.Clients.Office.Excel.Functions.SPG(GO281, "SP_COUNTRY_NAME")</f>
        <v>#INVALID COMPANY ID</v>
      </c>
      <c r="GS281" t="s">
        <v>898</v>
      </c>
      <c r="GT281">
        <v>106229912</v>
      </c>
      <c r="GU281" t="s">
        <v>346</v>
      </c>
      <c r="GV281" s="11">
        <v>0</v>
      </c>
      <c r="GW281" s="9" t="str">
        <f>_xll.SNL.Clients.Office.Excel.Functions.SPG(GT281, "SP_COUNTRY_NAME")</f>
        <v>China</v>
      </c>
      <c r="GX281" t="s">
        <v>978</v>
      </c>
      <c r="GY281">
        <v>4224292</v>
      </c>
      <c r="GZ281" t="s">
        <v>346</v>
      </c>
      <c r="HA281" s="11">
        <v>0.01</v>
      </c>
      <c r="HB281" s="9" t="str">
        <f>_xll.SNL.Clients.Office.Excel.Functions.SPG(GY281, "SP_COUNTRY_NAME")</f>
        <v>Germany</v>
      </c>
      <c r="HG281" s="9" t="str">
        <f>_xll.SNL.Clients.Office.Excel.Functions.SPG(HD281, "SP_COUNTRY_NAME")</f>
        <v>#INVALID COMPANY ID</v>
      </c>
    </row>
    <row r="282" spans="5:215" x14ac:dyDescent="0.35">
      <c r="E282" s="9" t="str">
        <f>_xll.SNL.Clients.Office.Excel.Functions.SPG(B282, "SP_COUNTRY_NAME")</f>
        <v>#INVALID COMPANY ID</v>
      </c>
      <c r="J282" s="9" t="str">
        <f>_xll.SNL.Clients.Office.Excel.Functions.SPG(G282, "SP_COUNTRY_NAME")</f>
        <v>#INVALID COMPANY ID</v>
      </c>
      <c r="O282" s="9" t="str">
        <f>_xll.SNL.Clients.Office.Excel.Functions.SPG(L282, "SP_COUNTRY_NAME")</f>
        <v>#INVALID COMPANY ID</v>
      </c>
      <c r="T282" s="9" t="str">
        <f>_xll.SNL.Clients.Office.Excel.Functions.SPG(Q282, "SP_COUNTRY_NAME")</f>
        <v>#INVALID COMPANY ID</v>
      </c>
      <c r="U282" t="s">
        <v>844</v>
      </c>
      <c r="V282">
        <v>4139779</v>
      </c>
      <c r="W282" t="s">
        <v>346</v>
      </c>
      <c r="X282" s="11">
        <v>0</v>
      </c>
      <c r="Y282" s="9" t="str">
        <f>_xll.SNL.Clients.Office.Excel.Functions.SPG(V282, "SP_COUNTRY_NAME")</f>
        <v>India</v>
      </c>
      <c r="AD282" s="9" t="str">
        <f>_xll.SNL.Clients.Office.Excel.Functions.SPG(AA282, "SP_COUNTRY_NAME")</f>
        <v>#INVALID COMPANY ID</v>
      </c>
      <c r="AI282" s="9" t="str">
        <f>_xll.SNL.Clients.Office.Excel.Functions.SPG(AF282, "SP_COUNTRY_NAME")</f>
        <v>#INVALID COMPANY ID</v>
      </c>
      <c r="AN282" s="9" t="str">
        <f>_xll.SNL.Clients.Office.Excel.Functions.SPG(AK282, "SP_COUNTRY_NAME")</f>
        <v>#INVALID COMPANY ID</v>
      </c>
      <c r="AO282" t="s">
        <v>1382</v>
      </c>
      <c r="AP282" t="s">
        <v>300</v>
      </c>
      <c r="AQ282" t="s">
        <v>361</v>
      </c>
      <c r="AR282" s="11">
        <v>0</v>
      </c>
      <c r="AS282" s="9" t="str">
        <f>_xll.SNL.Clients.Office.Excel.Functions.SPG(AP282, "SP_COUNTRY_NAME")</f>
        <v>China</v>
      </c>
      <c r="AX282" s="9" t="str">
        <f>_xll.SNL.Clients.Office.Excel.Functions.SPG(AU282, "SP_COUNTRY_NAME")</f>
        <v>#INVALID COMPANY ID</v>
      </c>
      <c r="BC282" s="9" t="str">
        <f>_xll.SNL.Clients.Office.Excel.Functions.SPG(AZ282, "SP_COUNTRY_NAME")</f>
        <v>#INVALID COMPANY ID</v>
      </c>
      <c r="BD282" t="s">
        <v>470</v>
      </c>
      <c r="BE282">
        <v>109849</v>
      </c>
      <c r="BF282" t="s">
        <v>346</v>
      </c>
      <c r="BG282" s="11">
        <v>0</v>
      </c>
      <c r="BH282" s="9" t="str">
        <f>_xll.SNL.Clients.Office.Excel.Functions.SPG(BE282, "SP_COUNTRY_NAME")</f>
        <v>USA</v>
      </c>
      <c r="BM282" s="9" t="str">
        <f>_xll.SNL.Clients.Office.Excel.Functions.SPG(BJ282, "SP_COUNTRY_NAME")</f>
        <v>#INVALID COMPANY ID</v>
      </c>
      <c r="BN282" t="s">
        <v>445</v>
      </c>
      <c r="BO282">
        <v>4241120</v>
      </c>
      <c r="BP282" t="s">
        <v>346</v>
      </c>
      <c r="BQ282" s="11">
        <v>0</v>
      </c>
      <c r="BR282" s="9" t="str">
        <f>_xll.SNL.Clients.Office.Excel.Functions.SPG(BO282, "SP_COUNTRY_NAME")</f>
        <v>Taiwan</v>
      </c>
      <c r="BS282" t="s">
        <v>771</v>
      </c>
      <c r="BT282">
        <v>4162576</v>
      </c>
      <c r="BU282" t="s">
        <v>346</v>
      </c>
      <c r="BV282" s="11">
        <v>0</v>
      </c>
      <c r="BW282" s="9" t="str">
        <f>_xll.SNL.Clients.Office.Excel.Functions.SPG(BT282, "SP_COUNTRY_NAME")</f>
        <v>USA</v>
      </c>
      <c r="BX282" t="s">
        <v>844</v>
      </c>
      <c r="BY282">
        <v>4139779</v>
      </c>
      <c r="BZ282" t="s">
        <v>346</v>
      </c>
      <c r="CA282" s="11">
        <v>0</v>
      </c>
      <c r="CB282" s="9" t="str">
        <f>_xll.SNL.Clients.Office.Excel.Functions.SPG(BY282, "SP_COUNTRY_NAME")</f>
        <v>India</v>
      </c>
      <c r="CC282" t="s">
        <v>1745</v>
      </c>
      <c r="CD282">
        <v>4561053</v>
      </c>
      <c r="CE282" t="s">
        <v>364</v>
      </c>
      <c r="CF282" s="11">
        <v>0.01</v>
      </c>
      <c r="CG282" s="9" t="str">
        <f>_xll.SNL.Clients.Office.Excel.Functions.SPG(CD282, "SP_COUNTRY_NAME")</f>
        <v>Brazil</v>
      </c>
      <c r="CH282" t="s">
        <v>1382</v>
      </c>
      <c r="CI282" t="s">
        <v>300</v>
      </c>
      <c r="CJ282" t="s">
        <v>361</v>
      </c>
      <c r="CK282" s="11">
        <v>0</v>
      </c>
      <c r="CL282" s="9" t="str">
        <f>_xll.SNL.Clients.Office.Excel.Functions.SPG(CI282, "SP_COUNTRY_NAME")</f>
        <v>China</v>
      </c>
      <c r="CM282" t="s">
        <v>2017</v>
      </c>
      <c r="CN282">
        <v>6676765</v>
      </c>
      <c r="CO282" t="s">
        <v>346</v>
      </c>
      <c r="CP282" s="11">
        <v>0</v>
      </c>
      <c r="CQ282" s="9" t="str">
        <f>_xll.SNL.Clients.Office.Excel.Functions.SPG(CN282, "SP_COUNTRY_NAME")</f>
        <v>USA</v>
      </c>
      <c r="CV282" s="9" t="str">
        <f>_xll.SNL.Clients.Office.Excel.Functions.SPG(CS282, "SP_COUNTRY_NAME")</f>
        <v>#INVALID COMPANY ID</v>
      </c>
      <c r="DA282" s="9" t="str">
        <f>_xll.SNL.Clients.Office.Excel.Functions.SPG(CX282, "SP_COUNTRY_NAME")</f>
        <v>#INVALID COMPANY ID</v>
      </c>
      <c r="DB282" t="s">
        <v>470</v>
      </c>
      <c r="DC282">
        <v>109849</v>
      </c>
      <c r="DD282" t="s">
        <v>346</v>
      </c>
      <c r="DE282" s="11">
        <v>0</v>
      </c>
      <c r="DF282" s="9" t="str">
        <f>_xll.SNL.Clients.Office.Excel.Functions.SPG(DC282, "SP_COUNTRY_NAME")</f>
        <v>USA</v>
      </c>
      <c r="DK282" s="9" t="str">
        <f>_xll.SNL.Clients.Office.Excel.Functions.SPG(DH282, "SP_COUNTRY_NAME")</f>
        <v>#INVALID COMPANY ID</v>
      </c>
      <c r="DL282" t="s">
        <v>470</v>
      </c>
      <c r="DM282">
        <v>109849</v>
      </c>
      <c r="DN282" t="s">
        <v>346</v>
      </c>
      <c r="DO282" s="11">
        <v>0</v>
      </c>
      <c r="DP282" s="9" t="str">
        <f>_xll.SNL.Clients.Office.Excel.Functions.SPG(DM282, "SP_COUNTRY_NAME")</f>
        <v>USA</v>
      </c>
      <c r="DU282" s="9" t="str">
        <f>_xll.SNL.Clients.Office.Excel.Functions.SPG(DR282, "SP_COUNTRY_NAME")</f>
        <v>#INVALID COMPANY ID</v>
      </c>
      <c r="DZ282" s="9" t="str">
        <f>_xll.SNL.Clients.Office.Excel.Functions.SPG(DW282, "SP_COUNTRY_NAME")</f>
        <v>#INVALID COMPANY ID</v>
      </c>
      <c r="EA282" t="s">
        <v>1745</v>
      </c>
      <c r="EB282">
        <v>4561053</v>
      </c>
      <c r="EC282" t="s">
        <v>364</v>
      </c>
      <c r="ED282" s="11">
        <v>0.01</v>
      </c>
      <c r="EE282" s="9" t="str">
        <f>_xll.SNL.Clients.Office.Excel.Functions.SPG(EB282, "SP_COUNTRY_NAME")</f>
        <v>Brazil</v>
      </c>
      <c r="EF282" t="s">
        <v>470</v>
      </c>
      <c r="EG282">
        <v>109849</v>
      </c>
      <c r="EH282" t="s">
        <v>346</v>
      </c>
      <c r="EI282" s="11">
        <v>0</v>
      </c>
      <c r="EJ282" s="9" t="str">
        <f>_xll.SNL.Clients.Office.Excel.Functions.SPG(EG282, "SP_COUNTRY_NAME")</f>
        <v>USA</v>
      </c>
      <c r="EO282" s="9" t="str">
        <f>_xll.SNL.Clients.Office.Excel.Functions.SPG(EL282, "SP_COUNTRY_NAME")</f>
        <v>#INVALID COMPANY ID</v>
      </c>
      <c r="ET282" s="9" t="str">
        <f>_xll.SNL.Clients.Office.Excel.Functions.SPG(EQ282, "SP_COUNTRY_NAME")</f>
        <v>#INVALID COMPANY ID</v>
      </c>
      <c r="EY282" s="9" t="str">
        <f>_xll.SNL.Clients.Office.Excel.Functions.SPG(EV282, "SP_COUNTRY_NAME")</f>
        <v>#INVALID COMPANY ID</v>
      </c>
      <c r="FD282" s="9" t="str">
        <f>_xll.SNL.Clients.Office.Excel.Functions.SPG(FA282, "SP_COUNTRY_NAME")</f>
        <v>#INVALID COMPANY ID</v>
      </c>
      <c r="FI282" s="9" t="str">
        <f>_xll.SNL.Clients.Office.Excel.Functions.SPG(FF282, "SP_COUNTRY_NAME")</f>
        <v>#INVALID COMPANY ID</v>
      </c>
      <c r="FN282" s="9" t="str">
        <f>_xll.SNL.Clients.Office.Excel.Functions.SPG(FK282, "SP_COUNTRY_NAME")</f>
        <v>#INVALID COMPANY ID</v>
      </c>
      <c r="FS282" s="9" t="str">
        <f>_xll.SNL.Clients.Office.Excel.Functions.SPG(FP282, "SP_COUNTRY_NAME")</f>
        <v>#INVALID COMPANY ID</v>
      </c>
      <c r="FX282" s="9" t="str">
        <f>_xll.SNL.Clients.Office.Excel.Functions.SPG(FU282, "SP_COUNTRY_NAME")</f>
        <v>#INVALID COMPANY ID</v>
      </c>
      <c r="FY282" t="s">
        <v>470</v>
      </c>
      <c r="FZ282">
        <v>109849</v>
      </c>
      <c r="GA282" t="s">
        <v>346</v>
      </c>
      <c r="GB282" s="11">
        <v>0</v>
      </c>
      <c r="GC282" s="9" t="str">
        <f>_xll.SNL.Clients.Office.Excel.Functions.SPG(FZ282, "SP_COUNTRY_NAME")</f>
        <v>USA</v>
      </c>
      <c r="GH282" s="9" t="str">
        <f>_xll.SNL.Clients.Office.Excel.Functions.SPG(GE282, "SP_COUNTRY_NAME")</f>
        <v>#INVALID COMPANY ID</v>
      </c>
      <c r="GM282" s="9" t="str">
        <f>_xll.SNL.Clients.Office.Excel.Functions.SPG(GJ282, "SP_COUNTRY_NAME")</f>
        <v>#INVALID COMPANY ID</v>
      </c>
      <c r="GR282" s="9" t="str">
        <f>_xll.SNL.Clients.Office.Excel.Functions.SPG(GO282, "SP_COUNTRY_NAME")</f>
        <v>#INVALID COMPANY ID</v>
      </c>
      <c r="GS282" t="s">
        <v>445</v>
      </c>
      <c r="GT282">
        <v>4241120</v>
      </c>
      <c r="GU282" t="s">
        <v>346</v>
      </c>
      <c r="GV282" s="11">
        <v>0</v>
      </c>
      <c r="GW282" s="9" t="str">
        <f>_xll.SNL.Clients.Office.Excel.Functions.SPG(GT282, "SP_COUNTRY_NAME")</f>
        <v>Taiwan</v>
      </c>
      <c r="GX282" t="s">
        <v>1745</v>
      </c>
      <c r="GY282">
        <v>4561053</v>
      </c>
      <c r="GZ282" t="s">
        <v>364</v>
      </c>
      <c r="HA282" s="11">
        <v>0.01</v>
      </c>
      <c r="HB282" s="9" t="str">
        <f>_xll.SNL.Clients.Office.Excel.Functions.SPG(GY282, "SP_COUNTRY_NAME")</f>
        <v>Brazil</v>
      </c>
      <c r="HG282" s="9" t="str">
        <f>_xll.SNL.Clients.Office.Excel.Functions.SPG(HD282, "SP_COUNTRY_NAME")</f>
        <v>#INVALID COMPANY ID</v>
      </c>
    </row>
    <row r="283" spans="5:215" x14ac:dyDescent="0.35">
      <c r="E283" s="9" t="str">
        <f>_xll.SNL.Clients.Office.Excel.Functions.SPG(B283, "SP_COUNTRY_NAME")</f>
        <v>#INVALID COMPANY ID</v>
      </c>
      <c r="J283" s="9" t="str">
        <f>_xll.SNL.Clients.Office.Excel.Functions.SPG(G283, "SP_COUNTRY_NAME")</f>
        <v>#INVALID COMPANY ID</v>
      </c>
      <c r="O283" s="9" t="str">
        <f>_xll.SNL.Clients.Office.Excel.Functions.SPG(L283, "SP_COUNTRY_NAME")</f>
        <v>#INVALID COMPANY ID</v>
      </c>
      <c r="T283" s="9" t="str">
        <f>_xll.SNL.Clients.Office.Excel.Functions.SPG(Q283, "SP_COUNTRY_NAME")</f>
        <v>#INVALID COMPANY ID</v>
      </c>
      <c r="U283" t="s">
        <v>845</v>
      </c>
      <c r="V283">
        <v>4577892</v>
      </c>
      <c r="W283" t="s">
        <v>346</v>
      </c>
      <c r="X283" s="11">
        <v>0</v>
      </c>
      <c r="Y283" s="9" t="str">
        <f>_xll.SNL.Clients.Office.Excel.Functions.SPG(V283, "SP_COUNTRY_NAME")</f>
        <v>Hong Kong</v>
      </c>
      <c r="AD283" s="9" t="str">
        <f>_xll.SNL.Clients.Office.Excel.Functions.SPG(AA283, "SP_COUNTRY_NAME")</f>
        <v>#INVALID COMPANY ID</v>
      </c>
      <c r="AI283" s="9" t="str">
        <f>_xll.SNL.Clients.Office.Excel.Functions.SPG(AF283, "SP_COUNTRY_NAME")</f>
        <v>#INVALID COMPANY ID</v>
      </c>
      <c r="AN283" s="9" t="str">
        <f>_xll.SNL.Clients.Office.Excel.Functions.SPG(AK283, "SP_COUNTRY_NAME")</f>
        <v>#INVALID COMPANY ID</v>
      </c>
      <c r="AO283" t="s">
        <v>1383</v>
      </c>
      <c r="AP283">
        <v>9146959</v>
      </c>
      <c r="AQ283" t="s">
        <v>346</v>
      </c>
      <c r="AR283" s="11">
        <v>0</v>
      </c>
      <c r="AS283" s="9" t="str">
        <f>_xll.SNL.Clients.Office.Excel.Functions.SPG(AP283, "SP_COUNTRY_NAME")</f>
        <v>South Africa</v>
      </c>
      <c r="AX283" s="9" t="str">
        <f>_xll.SNL.Clients.Office.Excel.Functions.SPG(AU283, "SP_COUNTRY_NAME")</f>
        <v>#INVALID COMPANY ID</v>
      </c>
      <c r="BC283" s="9" t="str">
        <f>_xll.SNL.Clients.Office.Excel.Functions.SPG(AZ283, "SP_COUNTRY_NAME")</f>
        <v>#INVALID COMPANY ID</v>
      </c>
      <c r="BD283" t="s">
        <v>1477</v>
      </c>
      <c r="BE283">
        <v>4588955</v>
      </c>
      <c r="BF283" t="s">
        <v>364</v>
      </c>
      <c r="BG283" s="11">
        <v>0</v>
      </c>
      <c r="BH283" s="9" t="str">
        <f>_xll.SNL.Clients.Office.Excel.Functions.SPG(BE283, "SP_COUNTRY_NAME")</f>
        <v>South Africa</v>
      </c>
      <c r="BM283" s="9" t="str">
        <f>_xll.SNL.Clients.Office.Excel.Functions.SPG(BJ283, "SP_COUNTRY_NAME")</f>
        <v>#INVALID COMPANY ID</v>
      </c>
      <c r="BN283" t="s">
        <v>819</v>
      </c>
      <c r="BO283">
        <v>108037678</v>
      </c>
      <c r="BP283" t="s">
        <v>346</v>
      </c>
      <c r="BQ283" s="11">
        <v>0</v>
      </c>
      <c r="BR283" s="9" t="str">
        <f>_xll.SNL.Clients.Office.Excel.Functions.SPG(BO283, "SP_COUNTRY_NAME")</f>
        <v>China</v>
      </c>
      <c r="BS283" t="s">
        <v>685</v>
      </c>
      <c r="BT283">
        <v>4641730</v>
      </c>
      <c r="BU283" t="s">
        <v>346</v>
      </c>
      <c r="BV283" s="11">
        <v>0</v>
      </c>
      <c r="BW283" s="9" t="str">
        <f>_xll.SNL.Clients.Office.Excel.Functions.SPG(BT283, "SP_COUNTRY_NAME")</f>
        <v>Hong Kong</v>
      </c>
      <c r="BX283" t="s">
        <v>845</v>
      </c>
      <c r="BY283">
        <v>4577892</v>
      </c>
      <c r="BZ283" t="s">
        <v>346</v>
      </c>
      <c r="CA283" s="11">
        <v>0</v>
      </c>
      <c r="CB283" s="9" t="str">
        <f>_xll.SNL.Clients.Office.Excel.Functions.SPG(BY283, "SP_COUNTRY_NAME")</f>
        <v>Hong Kong</v>
      </c>
      <c r="CC283" t="s">
        <v>1746</v>
      </c>
      <c r="CD283">
        <v>4276616</v>
      </c>
      <c r="CE283" t="s">
        <v>364</v>
      </c>
      <c r="CF283" s="11">
        <v>0.01</v>
      </c>
      <c r="CG283" s="9" t="str">
        <f>_xll.SNL.Clients.Office.Excel.Functions.SPG(CD283, "SP_COUNTRY_NAME")</f>
        <v>Brazil</v>
      </c>
      <c r="CH283" t="s">
        <v>1383</v>
      </c>
      <c r="CI283">
        <v>9146959</v>
      </c>
      <c r="CJ283" t="s">
        <v>346</v>
      </c>
      <c r="CK283" s="11">
        <v>0</v>
      </c>
      <c r="CL283" s="9" t="str">
        <f>_xll.SNL.Clients.Office.Excel.Functions.SPG(CI283, "SP_COUNTRY_NAME")</f>
        <v>South Africa</v>
      </c>
      <c r="CM283" t="s">
        <v>2018</v>
      </c>
      <c r="CN283">
        <v>4320033</v>
      </c>
      <c r="CO283" t="s">
        <v>346</v>
      </c>
      <c r="CP283" s="11">
        <v>0</v>
      </c>
      <c r="CQ283" s="9" t="str">
        <f>_xll.SNL.Clients.Office.Excel.Functions.SPG(CN283, "SP_COUNTRY_NAME")</f>
        <v>USA</v>
      </c>
      <c r="CV283" s="9" t="str">
        <f>_xll.SNL.Clients.Office.Excel.Functions.SPG(CS283, "SP_COUNTRY_NAME")</f>
        <v>#INVALID COMPANY ID</v>
      </c>
      <c r="DA283" s="9" t="str">
        <f>_xll.SNL.Clients.Office.Excel.Functions.SPG(CX283, "SP_COUNTRY_NAME")</f>
        <v>#INVALID COMPANY ID</v>
      </c>
      <c r="DB283" t="s">
        <v>1477</v>
      </c>
      <c r="DC283">
        <v>4588955</v>
      </c>
      <c r="DD283" t="s">
        <v>364</v>
      </c>
      <c r="DE283" s="11">
        <v>0</v>
      </c>
      <c r="DF283" s="9" t="str">
        <f>_xll.SNL.Clients.Office.Excel.Functions.SPG(DC283, "SP_COUNTRY_NAME")</f>
        <v>South Africa</v>
      </c>
      <c r="DK283" s="9" t="str">
        <f>_xll.SNL.Clients.Office.Excel.Functions.SPG(DH283, "SP_COUNTRY_NAME")</f>
        <v>#INVALID COMPANY ID</v>
      </c>
      <c r="DL283" t="s">
        <v>1477</v>
      </c>
      <c r="DM283">
        <v>4588955</v>
      </c>
      <c r="DN283" t="s">
        <v>364</v>
      </c>
      <c r="DO283" s="11">
        <v>0</v>
      </c>
      <c r="DP283" s="9" t="str">
        <f>_xll.SNL.Clients.Office.Excel.Functions.SPG(DM283, "SP_COUNTRY_NAME")</f>
        <v>South Africa</v>
      </c>
      <c r="DU283" s="9" t="str">
        <f>_xll.SNL.Clients.Office.Excel.Functions.SPG(DR283, "SP_COUNTRY_NAME")</f>
        <v>#INVALID COMPANY ID</v>
      </c>
      <c r="DZ283" s="9" t="str">
        <f>_xll.SNL.Clients.Office.Excel.Functions.SPG(DW283, "SP_COUNTRY_NAME")</f>
        <v>#INVALID COMPANY ID</v>
      </c>
      <c r="EA283" t="s">
        <v>1746</v>
      </c>
      <c r="EB283">
        <v>4276616</v>
      </c>
      <c r="EC283" t="s">
        <v>364</v>
      </c>
      <c r="ED283" s="11">
        <v>0.01</v>
      </c>
      <c r="EE283" s="9" t="str">
        <f>_xll.SNL.Clients.Office.Excel.Functions.SPG(EB283, "SP_COUNTRY_NAME")</f>
        <v>Brazil</v>
      </c>
      <c r="EF283" t="s">
        <v>1477</v>
      </c>
      <c r="EG283">
        <v>4588955</v>
      </c>
      <c r="EH283" t="s">
        <v>364</v>
      </c>
      <c r="EI283" s="11">
        <v>0</v>
      </c>
      <c r="EJ283" s="9" t="str">
        <f>_xll.SNL.Clients.Office.Excel.Functions.SPG(EG283, "SP_COUNTRY_NAME")</f>
        <v>South Africa</v>
      </c>
      <c r="EO283" s="9" t="str">
        <f>_xll.SNL.Clients.Office.Excel.Functions.SPG(EL283, "SP_COUNTRY_NAME")</f>
        <v>#INVALID COMPANY ID</v>
      </c>
      <c r="ET283" s="9" t="str">
        <f>_xll.SNL.Clients.Office.Excel.Functions.SPG(EQ283, "SP_COUNTRY_NAME")</f>
        <v>#INVALID COMPANY ID</v>
      </c>
      <c r="EY283" s="9" t="str">
        <f>_xll.SNL.Clients.Office.Excel.Functions.SPG(EV283, "SP_COUNTRY_NAME")</f>
        <v>#INVALID COMPANY ID</v>
      </c>
      <c r="FD283" s="9" t="str">
        <f>_xll.SNL.Clients.Office.Excel.Functions.SPG(FA283, "SP_COUNTRY_NAME")</f>
        <v>#INVALID COMPANY ID</v>
      </c>
      <c r="FI283" s="9" t="str">
        <f>_xll.SNL.Clients.Office.Excel.Functions.SPG(FF283, "SP_COUNTRY_NAME")</f>
        <v>#INVALID COMPANY ID</v>
      </c>
      <c r="FN283" s="9" t="str">
        <f>_xll.SNL.Clients.Office.Excel.Functions.SPG(FK283, "SP_COUNTRY_NAME")</f>
        <v>#INVALID COMPANY ID</v>
      </c>
      <c r="FS283" s="9" t="str">
        <f>_xll.SNL.Clients.Office.Excel.Functions.SPG(FP283, "SP_COUNTRY_NAME")</f>
        <v>#INVALID COMPANY ID</v>
      </c>
      <c r="FX283" s="9" t="str">
        <f>_xll.SNL.Clients.Office.Excel.Functions.SPG(FU283, "SP_COUNTRY_NAME")</f>
        <v>#INVALID COMPANY ID</v>
      </c>
      <c r="FY283" t="s">
        <v>1477</v>
      </c>
      <c r="FZ283">
        <v>4588955</v>
      </c>
      <c r="GA283" t="s">
        <v>364</v>
      </c>
      <c r="GB283" s="11">
        <v>0</v>
      </c>
      <c r="GC283" s="9" t="str">
        <f>_xll.SNL.Clients.Office.Excel.Functions.SPG(FZ283, "SP_COUNTRY_NAME")</f>
        <v>South Africa</v>
      </c>
      <c r="GH283" s="9" t="str">
        <f>_xll.SNL.Clients.Office.Excel.Functions.SPG(GE283, "SP_COUNTRY_NAME")</f>
        <v>#INVALID COMPANY ID</v>
      </c>
      <c r="GM283" s="9" t="str">
        <f>_xll.SNL.Clients.Office.Excel.Functions.SPG(GJ283, "SP_COUNTRY_NAME")</f>
        <v>#INVALID COMPANY ID</v>
      </c>
      <c r="GR283" s="9" t="str">
        <f>_xll.SNL.Clients.Office.Excel.Functions.SPG(GO283, "SP_COUNTRY_NAME")</f>
        <v>#INVALID COMPANY ID</v>
      </c>
      <c r="GS283" t="s">
        <v>819</v>
      </c>
      <c r="GT283">
        <v>108037678</v>
      </c>
      <c r="GU283" t="s">
        <v>346</v>
      </c>
      <c r="GV283" s="11">
        <v>0</v>
      </c>
      <c r="GW283" s="9" t="str">
        <f>_xll.SNL.Clients.Office.Excel.Functions.SPG(GT283, "SP_COUNTRY_NAME")</f>
        <v>China</v>
      </c>
      <c r="GX283" t="s">
        <v>1746</v>
      </c>
      <c r="GY283">
        <v>4276616</v>
      </c>
      <c r="GZ283" t="s">
        <v>364</v>
      </c>
      <c r="HA283" s="11">
        <v>0.01</v>
      </c>
      <c r="HB283" s="9" t="str">
        <f>_xll.SNL.Clients.Office.Excel.Functions.SPG(GY283, "SP_COUNTRY_NAME")</f>
        <v>Brazil</v>
      </c>
      <c r="HG283" s="9" t="str">
        <f>_xll.SNL.Clients.Office.Excel.Functions.SPG(HD283, "SP_COUNTRY_NAME")</f>
        <v>#INVALID COMPANY ID</v>
      </c>
    </row>
    <row r="284" spans="5:215" x14ac:dyDescent="0.35">
      <c r="E284" s="9" t="str">
        <f>_xll.SNL.Clients.Office.Excel.Functions.SPG(B284, "SP_COUNTRY_NAME")</f>
        <v>#INVALID COMPANY ID</v>
      </c>
      <c r="J284" s="9" t="str">
        <f>_xll.SNL.Clients.Office.Excel.Functions.SPG(G284, "SP_COUNTRY_NAME")</f>
        <v>#INVALID COMPANY ID</v>
      </c>
      <c r="O284" s="9" t="str">
        <f>_xll.SNL.Clients.Office.Excel.Functions.SPG(L284, "SP_COUNTRY_NAME")</f>
        <v>#INVALID COMPANY ID</v>
      </c>
      <c r="T284" s="9" t="str">
        <f>_xll.SNL.Clients.Office.Excel.Functions.SPG(Q284, "SP_COUNTRY_NAME")</f>
        <v>#INVALID COMPANY ID</v>
      </c>
      <c r="U284" t="s">
        <v>846</v>
      </c>
      <c r="V284">
        <v>5855481</v>
      </c>
      <c r="W284" t="s">
        <v>346</v>
      </c>
      <c r="X284" s="11">
        <v>0</v>
      </c>
      <c r="Y284" s="9" t="str">
        <f>_xll.SNL.Clients.Office.Excel.Functions.SPG(V284, "SP_COUNTRY_NAME")</f>
        <v>China</v>
      </c>
      <c r="AD284" s="9" t="str">
        <f>_xll.SNL.Clients.Office.Excel.Functions.SPG(AA284, "SP_COUNTRY_NAME")</f>
        <v>#INVALID COMPANY ID</v>
      </c>
      <c r="AI284" s="9" t="str">
        <f>_xll.SNL.Clients.Office.Excel.Functions.SPG(AF284, "SP_COUNTRY_NAME")</f>
        <v>#INVALID COMPANY ID</v>
      </c>
      <c r="AN284" s="9" t="str">
        <f>_xll.SNL.Clients.Office.Excel.Functions.SPG(AK284, "SP_COUNTRY_NAME")</f>
        <v>#INVALID COMPANY ID</v>
      </c>
      <c r="AO284" t="s">
        <v>599</v>
      </c>
      <c r="AP284">
        <v>19350037</v>
      </c>
      <c r="AQ284" t="s">
        <v>346</v>
      </c>
      <c r="AR284" s="11">
        <v>0</v>
      </c>
      <c r="AS284" s="9" t="str">
        <f>_xll.SNL.Clients.Office.Excel.Functions.SPG(AP284, "SP_COUNTRY_NAME")</f>
        <v>United Kingdom</v>
      </c>
      <c r="AX284" s="9" t="str">
        <f>_xll.SNL.Clients.Office.Excel.Functions.SPG(AU284, "SP_COUNTRY_NAME")</f>
        <v>#INVALID COMPANY ID</v>
      </c>
      <c r="BC284" s="9" t="str">
        <f>_xll.SNL.Clients.Office.Excel.Functions.SPG(AZ284, "SP_COUNTRY_NAME")</f>
        <v>#INVALID COMPANY ID</v>
      </c>
      <c r="BD284" t="s">
        <v>1478</v>
      </c>
      <c r="BE284">
        <v>4339354</v>
      </c>
      <c r="BF284" t="s">
        <v>346</v>
      </c>
      <c r="BG284" s="11">
        <v>0</v>
      </c>
      <c r="BH284" s="9" t="str">
        <f>_xll.SNL.Clients.Office.Excel.Functions.SPG(BE284, "SP_COUNTRY_NAME")</f>
        <v>USA</v>
      </c>
      <c r="BM284" s="9" t="str">
        <f>_xll.SNL.Clients.Office.Excel.Functions.SPG(BJ284, "SP_COUNTRY_NAME")</f>
        <v>#INVALID COMPANY ID</v>
      </c>
      <c r="BN284" t="s">
        <v>887</v>
      </c>
      <c r="BO284">
        <v>5843533</v>
      </c>
      <c r="BP284" t="s">
        <v>346</v>
      </c>
      <c r="BQ284" s="11">
        <v>0</v>
      </c>
      <c r="BR284" s="9" t="str">
        <f>_xll.SNL.Clients.Office.Excel.Functions.SPG(BO284, "SP_COUNTRY_NAME")</f>
        <v>China</v>
      </c>
      <c r="BS284" t="s">
        <v>509</v>
      </c>
      <c r="BT284">
        <v>4226520</v>
      </c>
      <c r="BU284" t="s">
        <v>346</v>
      </c>
      <c r="BV284" s="11">
        <v>0</v>
      </c>
      <c r="BW284" s="9" t="str">
        <f>_xll.SNL.Clients.Office.Excel.Functions.SPG(BT284, "SP_COUNTRY_NAME")</f>
        <v>Canada</v>
      </c>
      <c r="BX284" t="s">
        <v>846</v>
      </c>
      <c r="BY284">
        <v>5855481</v>
      </c>
      <c r="BZ284" t="s">
        <v>346</v>
      </c>
      <c r="CA284" s="11">
        <v>0</v>
      </c>
      <c r="CB284" s="9" t="str">
        <f>_xll.SNL.Clients.Office.Excel.Functions.SPG(BY284, "SP_COUNTRY_NAME")</f>
        <v>China</v>
      </c>
      <c r="CC284" t="s">
        <v>1747</v>
      </c>
      <c r="CD284">
        <v>4240640</v>
      </c>
      <c r="CE284" t="s">
        <v>346</v>
      </c>
      <c r="CF284" s="11">
        <v>0.01</v>
      </c>
      <c r="CG284" s="9" t="str">
        <f>_xll.SNL.Clients.Office.Excel.Functions.SPG(CD284, "SP_COUNTRY_NAME")</f>
        <v>Spain</v>
      </c>
      <c r="CH284" t="s">
        <v>599</v>
      </c>
      <c r="CI284">
        <v>19350037</v>
      </c>
      <c r="CJ284" t="s">
        <v>346</v>
      </c>
      <c r="CK284" s="11">
        <v>0</v>
      </c>
      <c r="CL284" s="9" t="str">
        <f>_xll.SNL.Clients.Office.Excel.Functions.SPG(CI284, "SP_COUNTRY_NAME")</f>
        <v>United Kingdom</v>
      </c>
      <c r="CM284" t="s">
        <v>549</v>
      </c>
      <c r="CN284">
        <v>4556203</v>
      </c>
      <c r="CO284" t="s">
        <v>346</v>
      </c>
      <c r="CP284" s="11">
        <v>0</v>
      </c>
      <c r="CQ284" s="9" t="str">
        <f>_xll.SNL.Clients.Office.Excel.Functions.SPG(CN284, "SP_COUNTRY_NAME")</f>
        <v>USA</v>
      </c>
      <c r="CV284" s="9" t="str">
        <f>_xll.SNL.Clients.Office.Excel.Functions.SPG(CS284, "SP_COUNTRY_NAME")</f>
        <v>#INVALID COMPANY ID</v>
      </c>
      <c r="DA284" s="9" t="str">
        <f>_xll.SNL.Clients.Office.Excel.Functions.SPG(CX284, "SP_COUNTRY_NAME")</f>
        <v>#INVALID COMPANY ID</v>
      </c>
      <c r="DB284" t="s">
        <v>1478</v>
      </c>
      <c r="DC284">
        <v>4339354</v>
      </c>
      <c r="DD284" t="s">
        <v>346</v>
      </c>
      <c r="DE284" s="11">
        <v>0</v>
      </c>
      <c r="DF284" s="9" t="str">
        <f>_xll.SNL.Clients.Office.Excel.Functions.SPG(DC284, "SP_COUNTRY_NAME")</f>
        <v>USA</v>
      </c>
      <c r="DK284" s="9" t="str">
        <f>_xll.SNL.Clients.Office.Excel.Functions.SPG(DH284, "SP_COUNTRY_NAME")</f>
        <v>#INVALID COMPANY ID</v>
      </c>
      <c r="DL284" t="s">
        <v>1478</v>
      </c>
      <c r="DM284">
        <v>4339354</v>
      </c>
      <c r="DN284" t="s">
        <v>346</v>
      </c>
      <c r="DO284" s="11">
        <v>0</v>
      </c>
      <c r="DP284" s="9" t="str">
        <f>_xll.SNL.Clients.Office.Excel.Functions.SPG(DM284, "SP_COUNTRY_NAME")</f>
        <v>USA</v>
      </c>
      <c r="DU284" s="9" t="str">
        <f>_xll.SNL.Clients.Office.Excel.Functions.SPG(DR284, "SP_COUNTRY_NAME")</f>
        <v>#INVALID COMPANY ID</v>
      </c>
      <c r="DZ284" s="9" t="str">
        <f>_xll.SNL.Clients.Office.Excel.Functions.SPG(DW284, "SP_COUNTRY_NAME")</f>
        <v>#INVALID COMPANY ID</v>
      </c>
      <c r="EA284" t="s">
        <v>1747</v>
      </c>
      <c r="EB284">
        <v>4240640</v>
      </c>
      <c r="EC284" t="s">
        <v>346</v>
      </c>
      <c r="ED284" s="11">
        <v>0.01</v>
      </c>
      <c r="EE284" s="9" t="str">
        <f>_xll.SNL.Clients.Office.Excel.Functions.SPG(EB284, "SP_COUNTRY_NAME")</f>
        <v>Spain</v>
      </c>
      <c r="EF284" t="s">
        <v>1478</v>
      </c>
      <c r="EG284">
        <v>4339354</v>
      </c>
      <c r="EH284" t="s">
        <v>346</v>
      </c>
      <c r="EI284" s="11">
        <v>0</v>
      </c>
      <c r="EJ284" s="9" t="str">
        <f>_xll.SNL.Clients.Office.Excel.Functions.SPG(EG284, "SP_COUNTRY_NAME")</f>
        <v>USA</v>
      </c>
      <c r="EO284" s="9" t="str">
        <f>_xll.SNL.Clients.Office.Excel.Functions.SPG(EL284, "SP_COUNTRY_NAME")</f>
        <v>#INVALID COMPANY ID</v>
      </c>
      <c r="ET284" s="9" t="str">
        <f>_xll.SNL.Clients.Office.Excel.Functions.SPG(EQ284, "SP_COUNTRY_NAME")</f>
        <v>#INVALID COMPANY ID</v>
      </c>
      <c r="EY284" s="9" t="str">
        <f>_xll.SNL.Clients.Office.Excel.Functions.SPG(EV284, "SP_COUNTRY_NAME")</f>
        <v>#INVALID COMPANY ID</v>
      </c>
      <c r="FD284" s="9" t="str">
        <f>_xll.SNL.Clients.Office.Excel.Functions.SPG(FA284, "SP_COUNTRY_NAME")</f>
        <v>#INVALID COMPANY ID</v>
      </c>
      <c r="FI284" s="9" t="str">
        <f>_xll.SNL.Clients.Office.Excel.Functions.SPG(FF284, "SP_COUNTRY_NAME")</f>
        <v>#INVALID COMPANY ID</v>
      </c>
      <c r="FN284" s="9" t="str">
        <f>_xll.SNL.Clients.Office.Excel.Functions.SPG(FK284, "SP_COUNTRY_NAME")</f>
        <v>#INVALID COMPANY ID</v>
      </c>
      <c r="FS284" s="9" t="str">
        <f>_xll.SNL.Clients.Office.Excel.Functions.SPG(FP284, "SP_COUNTRY_NAME")</f>
        <v>#INVALID COMPANY ID</v>
      </c>
      <c r="FX284" s="9" t="str">
        <f>_xll.SNL.Clients.Office.Excel.Functions.SPG(FU284, "SP_COUNTRY_NAME")</f>
        <v>#INVALID COMPANY ID</v>
      </c>
      <c r="FY284" t="s">
        <v>1478</v>
      </c>
      <c r="FZ284">
        <v>4339354</v>
      </c>
      <c r="GA284" t="s">
        <v>346</v>
      </c>
      <c r="GB284" s="11">
        <v>0</v>
      </c>
      <c r="GC284" s="9" t="str">
        <f>_xll.SNL.Clients.Office.Excel.Functions.SPG(FZ284, "SP_COUNTRY_NAME")</f>
        <v>USA</v>
      </c>
      <c r="GH284" s="9" t="str">
        <f>_xll.SNL.Clients.Office.Excel.Functions.SPG(GE284, "SP_COUNTRY_NAME")</f>
        <v>#INVALID COMPANY ID</v>
      </c>
      <c r="GM284" s="9" t="str">
        <f>_xll.SNL.Clients.Office.Excel.Functions.SPG(GJ284, "SP_COUNTRY_NAME")</f>
        <v>#INVALID COMPANY ID</v>
      </c>
      <c r="GR284" s="9" t="str">
        <f>_xll.SNL.Clients.Office.Excel.Functions.SPG(GO284, "SP_COUNTRY_NAME")</f>
        <v>#INVALID COMPANY ID</v>
      </c>
      <c r="GS284" t="s">
        <v>887</v>
      </c>
      <c r="GT284">
        <v>5843533</v>
      </c>
      <c r="GU284" t="s">
        <v>346</v>
      </c>
      <c r="GV284" s="11">
        <v>0</v>
      </c>
      <c r="GW284" s="9" t="str">
        <f>_xll.SNL.Clients.Office.Excel.Functions.SPG(GT284, "SP_COUNTRY_NAME")</f>
        <v>China</v>
      </c>
      <c r="GX284" t="s">
        <v>1747</v>
      </c>
      <c r="GY284">
        <v>4240640</v>
      </c>
      <c r="GZ284" t="s">
        <v>346</v>
      </c>
      <c r="HA284" s="11">
        <v>0.01</v>
      </c>
      <c r="HB284" s="9" t="str">
        <f>_xll.SNL.Clients.Office.Excel.Functions.SPG(GY284, "SP_COUNTRY_NAME")</f>
        <v>Spain</v>
      </c>
      <c r="HG284" s="9" t="str">
        <f>_xll.SNL.Clients.Office.Excel.Functions.SPG(HD284, "SP_COUNTRY_NAME")</f>
        <v>#INVALID COMPANY ID</v>
      </c>
    </row>
    <row r="285" spans="5:215" x14ac:dyDescent="0.35">
      <c r="E285" s="9" t="str">
        <f>_xll.SNL.Clients.Office.Excel.Functions.SPG(B285, "SP_COUNTRY_NAME")</f>
        <v>#INVALID COMPANY ID</v>
      </c>
      <c r="J285" s="9" t="str">
        <f>_xll.SNL.Clients.Office.Excel.Functions.SPG(G285, "SP_COUNTRY_NAME")</f>
        <v>#INVALID COMPANY ID</v>
      </c>
      <c r="O285" s="9" t="str">
        <f>_xll.SNL.Clients.Office.Excel.Functions.SPG(L285, "SP_COUNTRY_NAME")</f>
        <v>#INVALID COMPANY ID</v>
      </c>
      <c r="T285" s="9" t="str">
        <f>_xll.SNL.Clients.Office.Excel.Functions.SPG(Q285, "SP_COUNTRY_NAME")</f>
        <v>#INVALID COMPANY ID</v>
      </c>
      <c r="U285" t="s">
        <v>847</v>
      </c>
      <c r="V285">
        <v>11172585</v>
      </c>
      <c r="W285" t="s">
        <v>346</v>
      </c>
      <c r="X285" s="11">
        <v>0</v>
      </c>
      <c r="Y285" s="9" t="str">
        <f>_xll.SNL.Clients.Office.Excel.Functions.SPG(V285, "SP_COUNTRY_NAME")</f>
        <v>China</v>
      </c>
      <c r="AD285" s="9" t="str">
        <f>_xll.SNL.Clients.Office.Excel.Functions.SPG(AA285, "SP_COUNTRY_NAME")</f>
        <v>#INVALID COMPANY ID</v>
      </c>
      <c r="AI285" s="9" t="str">
        <f>_xll.SNL.Clients.Office.Excel.Functions.SPG(AF285, "SP_COUNTRY_NAME")</f>
        <v>#INVALID COMPANY ID</v>
      </c>
      <c r="AN285" s="9" t="str">
        <f>_xll.SNL.Clients.Office.Excel.Functions.SPG(AK285, "SP_COUNTRY_NAME")</f>
        <v>#INVALID COMPANY ID</v>
      </c>
      <c r="AO285" t="s">
        <v>1384</v>
      </c>
      <c r="AP285">
        <v>28669074</v>
      </c>
      <c r="AQ285" t="s">
        <v>346</v>
      </c>
      <c r="AR285" s="11">
        <v>0</v>
      </c>
      <c r="AS285" s="9" t="str">
        <f>_xll.SNL.Clients.Office.Excel.Functions.SPG(AP285, "SP_COUNTRY_NAME")</f>
        <v>USA</v>
      </c>
      <c r="AX285" s="9" t="str">
        <f>_xll.SNL.Clients.Office.Excel.Functions.SPG(AU285, "SP_COUNTRY_NAME")</f>
        <v>#INVALID COMPANY ID</v>
      </c>
      <c r="BC285" s="9" t="str">
        <f>_xll.SNL.Clients.Office.Excel.Functions.SPG(AZ285, "SP_COUNTRY_NAME")</f>
        <v>#INVALID COMPANY ID</v>
      </c>
      <c r="BD285" t="s">
        <v>1274</v>
      </c>
      <c r="BE285">
        <v>25022507</v>
      </c>
      <c r="BF285" t="s">
        <v>346</v>
      </c>
      <c r="BG285" s="11">
        <v>0</v>
      </c>
      <c r="BH285" s="9" t="str">
        <f>_xll.SNL.Clients.Office.Excel.Functions.SPG(BE285, "SP_COUNTRY_NAME")</f>
        <v>South Africa</v>
      </c>
      <c r="BM285" s="9" t="str">
        <f>_xll.SNL.Clients.Office.Excel.Functions.SPG(BJ285, "SP_COUNTRY_NAME")</f>
        <v>#INVALID COMPANY ID</v>
      </c>
      <c r="BN285" t="s">
        <v>952</v>
      </c>
      <c r="BO285">
        <v>4244140</v>
      </c>
      <c r="BP285" t="s">
        <v>346</v>
      </c>
      <c r="BQ285" s="11">
        <v>0</v>
      </c>
      <c r="BR285" s="9" t="str">
        <f>_xll.SNL.Clients.Office.Excel.Functions.SPG(BO285, "SP_COUNTRY_NAME")</f>
        <v>USA</v>
      </c>
      <c r="BS285" t="s">
        <v>1009</v>
      </c>
      <c r="BT285">
        <v>4056821</v>
      </c>
      <c r="BU285" t="s">
        <v>346</v>
      </c>
      <c r="BV285" s="11">
        <v>0</v>
      </c>
      <c r="BW285" s="9" t="str">
        <f>_xll.SNL.Clients.Office.Excel.Functions.SPG(BT285, "SP_COUNTRY_NAME")</f>
        <v>Switzerland</v>
      </c>
      <c r="BX285" t="s">
        <v>847</v>
      </c>
      <c r="BY285">
        <v>11172585</v>
      </c>
      <c r="BZ285" t="s">
        <v>346</v>
      </c>
      <c r="CA285" s="11">
        <v>0</v>
      </c>
      <c r="CB285" s="9" t="str">
        <f>_xll.SNL.Clients.Office.Excel.Functions.SPG(BY285, "SP_COUNTRY_NAME")</f>
        <v>China</v>
      </c>
      <c r="CC285" t="s">
        <v>1748</v>
      </c>
      <c r="CD285">
        <v>5863095</v>
      </c>
      <c r="CE285" t="s">
        <v>346</v>
      </c>
      <c r="CF285" s="11">
        <v>0.01</v>
      </c>
      <c r="CG285" s="9" t="str">
        <f>_xll.SNL.Clients.Office.Excel.Functions.SPG(CD285, "SP_COUNTRY_NAME")</f>
        <v>USA</v>
      </c>
      <c r="CH285" t="s">
        <v>1384</v>
      </c>
      <c r="CI285">
        <v>28669074</v>
      </c>
      <c r="CJ285" t="s">
        <v>346</v>
      </c>
      <c r="CK285" s="11">
        <v>0</v>
      </c>
      <c r="CL285" s="9" t="str">
        <f>_xll.SNL.Clients.Office.Excel.Functions.SPG(CI285, "SP_COUNTRY_NAME")</f>
        <v>USA</v>
      </c>
      <c r="CM285" t="s">
        <v>2019</v>
      </c>
      <c r="CN285">
        <v>5750365</v>
      </c>
      <c r="CO285" t="s">
        <v>346</v>
      </c>
      <c r="CP285" s="11">
        <v>0</v>
      </c>
      <c r="CQ285" s="9" t="str">
        <f>_xll.SNL.Clients.Office.Excel.Functions.SPG(CN285, "SP_COUNTRY_NAME")</f>
        <v>USA</v>
      </c>
      <c r="CV285" s="9" t="str">
        <f>_xll.SNL.Clients.Office.Excel.Functions.SPG(CS285, "SP_COUNTRY_NAME")</f>
        <v>#INVALID COMPANY ID</v>
      </c>
      <c r="DA285" s="9" t="str">
        <f>_xll.SNL.Clients.Office.Excel.Functions.SPG(CX285, "SP_COUNTRY_NAME")</f>
        <v>#INVALID COMPANY ID</v>
      </c>
      <c r="DB285" t="s">
        <v>1274</v>
      </c>
      <c r="DC285">
        <v>25022507</v>
      </c>
      <c r="DD285" t="s">
        <v>346</v>
      </c>
      <c r="DE285" s="11">
        <v>0</v>
      </c>
      <c r="DF285" s="9" t="str">
        <f>_xll.SNL.Clients.Office.Excel.Functions.SPG(DC285, "SP_COUNTRY_NAME")</f>
        <v>South Africa</v>
      </c>
      <c r="DK285" s="9" t="str">
        <f>_xll.SNL.Clients.Office.Excel.Functions.SPG(DH285, "SP_COUNTRY_NAME")</f>
        <v>#INVALID COMPANY ID</v>
      </c>
      <c r="DL285" t="s">
        <v>1274</v>
      </c>
      <c r="DM285">
        <v>25022507</v>
      </c>
      <c r="DN285" t="s">
        <v>346</v>
      </c>
      <c r="DO285" s="11">
        <v>0</v>
      </c>
      <c r="DP285" s="9" t="str">
        <f>_xll.SNL.Clients.Office.Excel.Functions.SPG(DM285, "SP_COUNTRY_NAME")</f>
        <v>South Africa</v>
      </c>
      <c r="DU285" s="9" t="str">
        <f>_xll.SNL.Clients.Office.Excel.Functions.SPG(DR285, "SP_COUNTRY_NAME")</f>
        <v>#INVALID COMPANY ID</v>
      </c>
      <c r="DZ285" s="9" t="str">
        <f>_xll.SNL.Clients.Office.Excel.Functions.SPG(DW285, "SP_COUNTRY_NAME")</f>
        <v>#INVALID COMPANY ID</v>
      </c>
      <c r="EA285" t="s">
        <v>1748</v>
      </c>
      <c r="EB285">
        <v>5863095</v>
      </c>
      <c r="EC285" t="s">
        <v>346</v>
      </c>
      <c r="ED285" s="11">
        <v>0.01</v>
      </c>
      <c r="EE285" s="9" t="str">
        <f>_xll.SNL.Clients.Office.Excel.Functions.SPG(EB285, "SP_COUNTRY_NAME")</f>
        <v>USA</v>
      </c>
      <c r="EF285" t="s">
        <v>1274</v>
      </c>
      <c r="EG285">
        <v>25022507</v>
      </c>
      <c r="EH285" t="s">
        <v>346</v>
      </c>
      <c r="EI285" s="11">
        <v>0</v>
      </c>
      <c r="EJ285" s="9" t="str">
        <f>_xll.SNL.Clients.Office.Excel.Functions.SPG(EG285, "SP_COUNTRY_NAME")</f>
        <v>South Africa</v>
      </c>
      <c r="EO285" s="9" t="str">
        <f>_xll.SNL.Clients.Office.Excel.Functions.SPG(EL285, "SP_COUNTRY_NAME")</f>
        <v>#INVALID COMPANY ID</v>
      </c>
      <c r="ET285" s="9" t="str">
        <f>_xll.SNL.Clients.Office.Excel.Functions.SPG(EQ285, "SP_COUNTRY_NAME")</f>
        <v>#INVALID COMPANY ID</v>
      </c>
      <c r="EY285" s="9" t="str">
        <f>_xll.SNL.Clients.Office.Excel.Functions.SPG(EV285, "SP_COUNTRY_NAME")</f>
        <v>#INVALID COMPANY ID</v>
      </c>
      <c r="FD285" s="9" t="str">
        <f>_xll.SNL.Clients.Office.Excel.Functions.SPG(FA285, "SP_COUNTRY_NAME")</f>
        <v>#INVALID COMPANY ID</v>
      </c>
      <c r="FI285" s="9" t="str">
        <f>_xll.SNL.Clients.Office.Excel.Functions.SPG(FF285, "SP_COUNTRY_NAME")</f>
        <v>#INVALID COMPANY ID</v>
      </c>
      <c r="FN285" s="9" t="str">
        <f>_xll.SNL.Clients.Office.Excel.Functions.SPG(FK285, "SP_COUNTRY_NAME")</f>
        <v>#INVALID COMPANY ID</v>
      </c>
      <c r="FS285" s="9" t="str">
        <f>_xll.SNL.Clients.Office.Excel.Functions.SPG(FP285, "SP_COUNTRY_NAME")</f>
        <v>#INVALID COMPANY ID</v>
      </c>
      <c r="FX285" s="9" t="str">
        <f>_xll.SNL.Clients.Office.Excel.Functions.SPG(FU285, "SP_COUNTRY_NAME")</f>
        <v>#INVALID COMPANY ID</v>
      </c>
      <c r="FY285" t="s">
        <v>1274</v>
      </c>
      <c r="FZ285">
        <v>25022507</v>
      </c>
      <c r="GA285" t="s">
        <v>346</v>
      </c>
      <c r="GB285" s="11">
        <v>0</v>
      </c>
      <c r="GC285" s="9" t="str">
        <f>_xll.SNL.Clients.Office.Excel.Functions.SPG(FZ285, "SP_COUNTRY_NAME")</f>
        <v>South Africa</v>
      </c>
      <c r="GH285" s="9" t="str">
        <f>_xll.SNL.Clients.Office.Excel.Functions.SPG(GE285, "SP_COUNTRY_NAME")</f>
        <v>#INVALID COMPANY ID</v>
      </c>
      <c r="GM285" s="9" t="str">
        <f>_xll.SNL.Clients.Office.Excel.Functions.SPG(GJ285, "SP_COUNTRY_NAME")</f>
        <v>#INVALID COMPANY ID</v>
      </c>
      <c r="GR285" s="9" t="str">
        <f>_xll.SNL.Clients.Office.Excel.Functions.SPG(GO285, "SP_COUNTRY_NAME")</f>
        <v>#INVALID COMPANY ID</v>
      </c>
      <c r="GS285" t="s">
        <v>952</v>
      </c>
      <c r="GT285">
        <v>4244140</v>
      </c>
      <c r="GU285" t="s">
        <v>346</v>
      </c>
      <c r="GV285" s="11">
        <v>0</v>
      </c>
      <c r="GW285" s="9" t="str">
        <f>_xll.SNL.Clients.Office.Excel.Functions.SPG(GT285, "SP_COUNTRY_NAME")</f>
        <v>USA</v>
      </c>
      <c r="GX285" t="s">
        <v>1748</v>
      </c>
      <c r="GY285">
        <v>5863095</v>
      </c>
      <c r="GZ285" t="s">
        <v>346</v>
      </c>
      <c r="HA285" s="11">
        <v>0.01</v>
      </c>
      <c r="HB285" s="9" t="str">
        <f>_xll.SNL.Clients.Office.Excel.Functions.SPG(GY285, "SP_COUNTRY_NAME")</f>
        <v>USA</v>
      </c>
      <c r="HG285" s="9" t="str">
        <f>_xll.SNL.Clients.Office.Excel.Functions.SPG(HD285, "SP_COUNTRY_NAME")</f>
        <v>#INVALID COMPANY ID</v>
      </c>
    </row>
    <row r="286" spans="5:215" x14ac:dyDescent="0.35">
      <c r="E286" s="9" t="str">
        <f>_xll.SNL.Clients.Office.Excel.Functions.SPG(B286, "SP_COUNTRY_NAME")</f>
        <v>#INVALID COMPANY ID</v>
      </c>
      <c r="J286" s="9" t="str">
        <f>_xll.SNL.Clients.Office.Excel.Functions.SPG(G286, "SP_COUNTRY_NAME")</f>
        <v>#INVALID COMPANY ID</v>
      </c>
      <c r="O286" s="9" t="str">
        <f>_xll.SNL.Clients.Office.Excel.Functions.SPG(L286, "SP_COUNTRY_NAME")</f>
        <v>#INVALID COMPANY ID</v>
      </c>
      <c r="T286" s="9" t="str">
        <f>_xll.SNL.Clients.Office.Excel.Functions.SPG(Q286, "SP_COUNTRY_NAME")</f>
        <v>#INVALID COMPANY ID</v>
      </c>
      <c r="U286" t="s">
        <v>848</v>
      </c>
      <c r="V286">
        <v>4117833</v>
      </c>
      <c r="W286" t="s">
        <v>346</v>
      </c>
      <c r="X286" s="11">
        <v>0</v>
      </c>
      <c r="Y286" s="9" t="str">
        <f>_xll.SNL.Clients.Office.Excel.Functions.SPG(V286, "SP_COUNTRY_NAME")</f>
        <v>Singapore</v>
      </c>
      <c r="AD286" s="9" t="str">
        <f>_xll.SNL.Clients.Office.Excel.Functions.SPG(AA286, "SP_COUNTRY_NAME")</f>
        <v>#INVALID COMPANY ID</v>
      </c>
      <c r="AI286" s="9" t="str">
        <f>_xll.SNL.Clients.Office.Excel.Functions.SPG(AF286, "SP_COUNTRY_NAME")</f>
        <v>#INVALID COMPANY ID</v>
      </c>
      <c r="AN286" s="9" t="str">
        <f>_xll.SNL.Clients.Office.Excel.Functions.SPG(AK286, "SP_COUNTRY_NAME")</f>
        <v>#INVALID COMPANY ID</v>
      </c>
      <c r="AO286" t="s">
        <v>618</v>
      </c>
      <c r="AP286">
        <v>100406</v>
      </c>
      <c r="AQ286" t="s">
        <v>366</v>
      </c>
      <c r="AR286" s="11">
        <v>0</v>
      </c>
      <c r="AS286" s="9" t="str">
        <f>_xll.SNL.Clients.Office.Excel.Functions.SPG(AP286, "SP_COUNTRY_NAME")</f>
        <v>USA</v>
      </c>
      <c r="AX286" s="9" t="str">
        <f>_xll.SNL.Clients.Office.Excel.Functions.SPG(AU286, "SP_COUNTRY_NAME")</f>
        <v>#INVALID COMPANY ID</v>
      </c>
      <c r="BC286" s="9" t="str">
        <f>_xll.SNL.Clients.Office.Excel.Functions.SPG(AZ286, "SP_COUNTRY_NAME")</f>
        <v>#INVALID COMPANY ID</v>
      </c>
      <c r="BD286" t="s">
        <v>540</v>
      </c>
      <c r="BE286">
        <v>4281265</v>
      </c>
      <c r="BF286" t="s">
        <v>346</v>
      </c>
      <c r="BG286" s="11">
        <v>0</v>
      </c>
      <c r="BH286" s="9" t="str">
        <f>_xll.SNL.Clients.Office.Excel.Functions.SPG(BE286, "SP_COUNTRY_NAME")</f>
        <v>Canada</v>
      </c>
      <c r="BM286" s="9" t="str">
        <f>_xll.SNL.Clients.Office.Excel.Functions.SPG(BJ286, "SP_COUNTRY_NAME")</f>
        <v>#INVALID COMPANY ID</v>
      </c>
      <c r="BN286" t="s">
        <v>905</v>
      </c>
      <c r="BO286">
        <v>4048818</v>
      </c>
      <c r="BP286" t="s">
        <v>346</v>
      </c>
      <c r="BQ286" s="11">
        <v>0</v>
      </c>
      <c r="BR286" s="9" t="str">
        <f>_xll.SNL.Clients.Office.Excel.Functions.SPG(BO286, "SP_COUNTRY_NAME")</f>
        <v>USA</v>
      </c>
      <c r="BS286" t="s">
        <v>1010</v>
      </c>
      <c r="BT286">
        <v>4119836</v>
      </c>
      <c r="BU286" t="s">
        <v>346</v>
      </c>
      <c r="BV286" s="11">
        <v>0</v>
      </c>
      <c r="BW286" s="9" t="str">
        <f>_xll.SNL.Clients.Office.Excel.Functions.SPG(BT286, "SP_COUNTRY_NAME")</f>
        <v>Austria</v>
      </c>
      <c r="BX286" t="s">
        <v>848</v>
      </c>
      <c r="BY286">
        <v>4117833</v>
      </c>
      <c r="BZ286" t="s">
        <v>346</v>
      </c>
      <c r="CA286" s="11">
        <v>0</v>
      </c>
      <c r="CB286" s="9" t="str">
        <f>_xll.SNL.Clients.Office.Excel.Functions.SPG(BY286, "SP_COUNTRY_NAME")</f>
        <v>Singapore</v>
      </c>
      <c r="CC286" t="s">
        <v>1749</v>
      </c>
      <c r="CD286">
        <v>6744855</v>
      </c>
      <c r="CE286" t="s">
        <v>346</v>
      </c>
      <c r="CF286" s="11">
        <v>0.01</v>
      </c>
      <c r="CG286" s="9" t="str">
        <f>_xll.SNL.Clients.Office.Excel.Functions.SPG(CD286, "SP_COUNTRY_NAME")</f>
        <v>Brazil</v>
      </c>
      <c r="CH286" t="s">
        <v>618</v>
      </c>
      <c r="CI286">
        <v>100406</v>
      </c>
      <c r="CJ286" t="s">
        <v>366</v>
      </c>
      <c r="CK286" s="11">
        <v>0</v>
      </c>
      <c r="CL286" s="9" t="str">
        <f>_xll.SNL.Clients.Office.Excel.Functions.SPG(CI286, "SP_COUNTRY_NAME")</f>
        <v>USA</v>
      </c>
      <c r="CM286" t="s">
        <v>2020</v>
      </c>
      <c r="CN286">
        <v>4117859</v>
      </c>
      <c r="CO286" t="s">
        <v>346</v>
      </c>
      <c r="CP286" s="11">
        <v>0</v>
      </c>
      <c r="CQ286" s="9" t="str">
        <f>_xll.SNL.Clients.Office.Excel.Functions.SPG(CN286, "SP_COUNTRY_NAME")</f>
        <v>USA</v>
      </c>
      <c r="CV286" s="9" t="str">
        <f>_xll.SNL.Clients.Office.Excel.Functions.SPG(CS286, "SP_COUNTRY_NAME")</f>
        <v>#INVALID COMPANY ID</v>
      </c>
      <c r="DA286" s="9" t="str">
        <f>_xll.SNL.Clients.Office.Excel.Functions.SPG(CX286, "SP_COUNTRY_NAME")</f>
        <v>#INVALID COMPANY ID</v>
      </c>
      <c r="DB286" t="s">
        <v>540</v>
      </c>
      <c r="DC286">
        <v>4281265</v>
      </c>
      <c r="DD286" t="s">
        <v>346</v>
      </c>
      <c r="DE286" s="11">
        <v>0</v>
      </c>
      <c r="DF286" s="9" t="str">
        <f>_xll.SNL.Clients.Office.Excel.Functions.SPG(DC286, "SP_COUNTRY_NAME")</f>
        <v>Canada</v>
      </c>
      <c r="DK286" s="9" t="str">
        <f>_xll.SNL.Clients.Office.Excel.Functions.SPG(DH286, "SP_COUNTRY_NAME")</f>
        <v>#INVALID COMPANY ID</v>
      </c>
      <c r="DL286" t="s">
        <v>540</v>
      </c>
      <c r="DM286">
        <v>4281265</v>
      </c>
      <c r="DN286" t="s">
        <v>346</v>
      </c>
      <c r="DO286" s="11">
        <v>0</v>
      </c>
      <c r="DP286" s="9" t="str">
        <f>_xll.SNL.Clients.Office.Excel.Functions.SPG(DM286, "SP_COUNTRY_NAME")</f>
        <v>Canada</v>
      </c>
      <c r="DU286" s="9" t="str">
        <f>_xll.SNL.Clients.Office.Excel.Functions.SPG(DR286, "SP_COUNTRY_NAME")</f>
        <v>#INVALID COMPANY ID</v>
      </c>
      <c r="DZ286" s="9" t="str">
        <f>_xll.SNL.Clients.Office.Excel.Functions.SPG(DW286, "SP_COUNTRY_NAME")</f>
        <v>#INVALID COMPANY ID</v>
      </c>
      <c r="EA286" t="s">
        <v>1749</v>
      </c>
      <c r="EB286">
        <v>6744855</v>
      </c>
      <c r="EC286" t="s">
        <v>346</v>
      </c>
      <c r="ED286" s="11">
        <v>0.01</v>
      </c>
      <c r="EE286" s="9" t="str">
        <f>_xll.SNL.Clients.Office.Excel.Functions.SPG(EB286, "SP_COUNTRY_NAME")</f>
        <v>Brazil</v>
      </c>
      <c r="EF286" t="s">
        <v>540</v>
      </c>
      <c r="EG286">
        <v>4281265</v>
      </c>
      <c r="EH286" t="s">
        <v>346</v>
      </c>
      <c r="EI286" s="11">
        <v>0</v>
      </c>
      <c r="EJ286" s="9" t="str">
        <f>_xll.SNL.Clients.Office.Excel.Functions.SPG(EG286, "SP_COUNTRY_NAME")</f>
        <v>Canada</v>
      </c>
      <c r="EO286" s="9" t="str">
        <f>_xll.SNL.Clients.Office.Excel.Functions.SPG(EL286, "SP_COUNTRY_NAME")</f>
        <v>#INVALID COMPANY ID</v>
      </c>
      <c r="ET286" s="9" t="str">
        <f>_xll.SNL.Clients.Office.Excel.Functions.SPG(EQ286, "SP_COUNTRY_NAME")</f>
        <v>#INVALID COMPANY ID</v>
      </c>
      <c r="EY286" s="9" t="str">
        <f>_xll.SNL.Clients.Office.Excel.Functions.SPG(EV286, "SP_COUNTRY_NAME")</f>
        <v>#INVALID COMPANY ID</v>
      </c>
      <c r="FD286" s="9" t="str">
        <f>_xll.SNL.Clients.Office.Excel.Functions.SPG(FA286, "SP_COUNTRY_NAME")</f>
        <v>#INVALID COMPANY ID</v>
      </c>
      <c r="FI286" s="9" t="str">
        <f>_xll.SNL.Clients.Office.Excel.Functions.SPG(FF286, "SP_COUNTRY_NAME")</f>
        <v>#INVALID COMPANY ID</v>
      </c>
      <c r="FN286" s="9" t="str">
        <f>_xll.SNL.Clients.Office.Excel.Functions.SPG(FK286, "SP_COUNTRY_NAME")</f>
        <v>#INVALID COMPANY ID</v>
      </c>
      <c r="FS286" s="9" t="str">
        <f>_xll.SNL.Clients.Office.Excel.Functions.SPG(FP286, "SP_COUNTRY_NAME")</f>
        <v>#INVALID COMPANY ID</v>
      </c>
      <c r="FX286" s="9" t="str">
        <f>_xll.SNL.Clients.Office.Excel.Functions.SPG(FU286, "SP_COUNTRY_NAME")</f>
        <v>#INVALID COMPANY ID</v>
      </c>
      <c r="FY286" t="s">
        <v>540</v>
      </c>
      <c r="FZ286">
        <v>4281265</v>
      </c>
      <c r="GA286" t="s">
        <v>346</v>
      </c>
      <c r="GB286" s="11">
        <v>0</v>
      </c>
      <c r="GC286" s="9" t="str">
        <f>_xll.SNL.Clients.Office.Excel.Functions.SPG(FZ286, "SP_COUNTRY_NAME")</f>
        <v>Canada</v>
      </c>
      <c r="GH286" s="9" t="str">
        <f>_xll.SNL.Clients.Office.Excel.Functions.SPG(GE286, "SP_COUNTRY_NAME")</f>
        <v>#INVALID COMPANY ID</v>
      </c>
      <c r="GM286" s="9" t="str">
        <f>_xll.SNL.Clients.Office.Excel.Functions.SPG(GJ286, "SP_COUNTRY_NAME")</f>
        <v>#INVALID COMPANY ID</v>
      </c>
      <c r="GR286" s="9" t="str">
        <f>_xll.SNL.Clients.Office.Excel.Functions.SPG(GO286, "SP_COUNTRY_NAME")</f>
        <v>#INVALID COMPANY ID</v>
      </c>
      <c r="GS286" t="s">
        <v>905</v>
      </c>
      <c r="GT286">
        <v>4048818</v>
      </c>
      <c r="GU286" t="s">
        <v>346</v>
      </c>
      <c r="GV286" s="11">
        <v>0</v>
      </c>
      <c r="GW286" s="9" t="str">
        <f>_xll.SNL.Clients.Office.Excel.Functions.SPG(GT286, "SP_COUNTRY_NAME")</f>
        <v>USA</v>
      </c>
      <c r="GX286" t="s">
        <v>1749</v>
      </c>
      <c r="GY286">
        <v>6744855</v>
      </c>
      <c r="GZ286" t="s">
        <v>346</v>
      </c>
      <c r="HA286" s="11">
        <v>0.01</v>
      </c>
      <c r="HB286" s="9" t="str">
        <f>_xll.SNL.Clients.Office.Excel.Functions.SPG(GY286, "SP_COUNTRY_NAME")</f>
        <v>Brazil</v>
      </c>
      <c r="HG286" s="9" t="str">
        <f>_xll.SNL.Clients.Office.Excel.Functions.SPG(HD286, "SP_COUNTRY_NAME")</f>
        <v>#INVALID COMPANY ID</v>
      </c>
    </row>
    <row r="287" spans="5:215" x14ac:dyDescent="0.35">
      <c r="E287" s="9" t="str">
        <f>_xll.SNL.Clients.Office.Excel.Functions.SPG(B287, "SP_COUNTRY_NAME")</f>
        <v>#INVALID COMPANY ID</v>
      </c>
      <c r="J287" s="9" t="str">
        <f>_xll.SNL.Clients.Office.Excel.Functions.SPG(G287, "SP_COUNTRY_NAME")</f>
        <v>#INVALID COMPANY ID</v>
      </c>
      <c r="O287" s="9" t="str">
        <f>_xll.SNL.Clients.Office.Excel.Functions.SPG(L287, "SP_COUNTRY_NAME")</f>
        <v>#INVALID COMPANY ID</v>
      </c>
      <c r="T287" s="9" t="str">
        <f>_xll.SNL.Clients.Office.Excel.Functions.SPG(Q287, "SP_COUNTRY_NAME")</f>
        <v>#INVALID COMPANY ID</v>
      </c>
      <c r="U287" t="s">
        <v>849</v>
      </c>
      <c r="V287">
        <v>4336717</v>
      </c>
      <c r="W287" t="s">
        <v>346</v>
      </c>
      <c r="X287" s="11">
        <v>0</v>
      </c>
      <c r="Y287" s="9" t="str">
        <f>_xll.SNL.Clients.Office.Excel.Functions.SPG(V287, "SP_COUNTRY_NAME")</f>
        <v>China</v>
      </c>
      <c r="AD287" s="9" t="str">
        <f>_xll.SNL.Clients.Office.Excel.Functions.SPG(AA287, "SP_COUNTRY_NAME")</f>
        <v>#INVALID COMPANY ID</v>
      </c>
      <c r="AI287" s="9" t="str">
        <f>_xll.SNL.Clients.Office.Excel.Functions.SPG(AF287, "SP_COUNTRY_NAME")</f>
        <v>#INVALID COMPANY ID</v>
      </c>
      <c r="AN287" s="9" t="str">
        <f>_xll.SNL.Clients.Office.Excel.Functions.SPG(AK287, "SP_COUNTRY_NAME")</f>
        <v>#INVALID COMPANY ID</v>
      </c>
      <c r="AO287" t="s">
        <v>418</v>
      </c>
      <c r="AP287">
        <v>109776</v>
      </c>
      <c r="AQ287" t="s">
        <v>346</v>
      </c>
      <c r="AR287" s="11">
        <v>0</v>
      </c>
      <c r="AS287" s="9" t="str">
        <f>_xll.SNL.Clients.Office.Excel.Functions.SPG(AP287, "SP_COUNTRY_NAME")</f>
        <v>USA</v>
      </c>
      <c r="AX287" s="9" t="str">
        <f>_xll.SNL.Clients.Office.Excel.Functions.SPG(AU287, "SP_COUNTRY_NAME")</f>
        <v>#INVALID COMPANY ID</v>
      </c>
      <c r="BC287" s="9" t="str">
        <f>_xll.SNL.Clients.Office.Excel.Functions.SPG(AZ287, "SP_COUNTRY_NAME")</f>
        <v>#INVALID COMPANY ID</v>
      </c>
      <c r="BD287" t="s">
        <v>464</v>
      </c>
      <c r="BE287">
        <v>4629378</v>
      </c>
      <c r="BF287" t="s">
        <v>346</v>
      </c>
      <c r="BG287" s="11">
        <v>0</v>
      </c>
      <c r="BH287" s="9" t="str">
        <f>_xll.SNL.Clients.Office.Excel.Functions.SPG(BE287, "SP_COUNTRY_NAME")</f>
        <v>Japan</v>
      </c>
      <c r="BM287" s="9" t="str">
        <f>_xll.SNL.Clients.Office.Excel.Functions.SPG(BJ287, "SP_COUNTRY_NAME")</f>
        <v>#INVALID COMPANY ID</v>
      </c>
      <c r="BN287" t="s">
        <v>376</v>
      </c>
      <c r="BO287">
        <v>4030986</v>
      </c>
      <c r="BP287" t="s">
        <v>346</v>
      </c>
      <c r="BQ287" s="11">
        <v>0</v>
      </c>
      <c r="BR287" s="9" t="str">
        <f>_xll.SNL.Clients.Office.Excel.Functions.SPG(BO287, "SP_COUNTRY_NAME")</f>
        <v>USA</v>
      </c>
      <c r="BS287" t="s">
        <v>1011</v>
      </c>
      <c r="BT287">
        <v>4368630</v>
      </c>
      <c r="BU287" t="s">
        <v>346</v>
      </c>
      <c r="BV287" s="11">
        <v>0</v>
      </c>
      <c r="BW287" s="9" t="str">
        <f>_xll.SNL.Clients.Office.Excel.Functions.SPG(BT287, "SP_COUNTRY_NAME")</f>
        <v>India</v>
      </c>
      <c r="BX287" t="s">
        <v>849</v>
      </c>
      <c r="BY287">
        <v>4336717</v>
      </c>
      <c r="BZ287" t="s">
        <v>346</v>
      </c>
      <c r="CA287" s="11">
        <v>0</v>
      </c>
      <c r="CB287" s="9" t="str">
        <f>_xll.SNL.Clients.Office.Excel.Functions.SPG(BY287, "SP_COUNTRY_NAME")</f>
        <v>China</v>
      </c>
      <c r="CC287" t="s">
        <v>1750</v>
      </c>
      <c r="CD287">
        <v>4037127</v>
      </c>
      <c r="CE287" t="s">
        <v>346</v>
      </c>
      <c r="CF287" s="11">
        <v>0.01</v>
      </c>
      <c r="CG287" s="9" t="str">
        <f>_xll.SNL.Clients.Office.Excel.Functions.SPG(CD287, "SP_COUNTRY_NAME")</f>
        <v>USA</v>
      </c>
      <c r="CH287" t="s">
        <v>418</v>
      </c>
      <c r="CI287">
        <v>109776</v>
      </c>
      <c r="CJ287" t="s">
        <v>346</v>
      </c>
      <c r="CK287" s="11">
        <v>0</v>
      </c>
      <c r="CL287" s="9" t="str">
        <f>_xll.SNL.Clients.Office.Excel.Functions.SPG(CI287, "SP_COUNTRY_NAME")</f>
        <v>USA</v>
      </c>
      <c r="CM287" t="s">
        <v>352</v>
      </c>
      <c r="CN287">
        <v>4143440</v>
      </c>
      <c r="CO287" t="s">
        <v>346</v>
      </c>
      <c r="CP287" s="11">
        <v>0</v>
      </c>
      <c r="CQ287" s="9" t="str">
        <f>_xll.SNL.Clients.Office.Excel.Functions.SPG(CN287, "SP_COUNTRY_NAME")</f>
        <v>USA</v>
      </c>
      <c r="CV287" s="9" t="str">
        <f>_xll.SNL.Clients.Office.Excel.Functions.SPG(CS287, "SP_COUNTRY_NAME")</f>
        <v>#INVALID COMPANY ID</v>
      </c>
      <c r="DA287" s="9" t="str">
        <f>_xll.SNL.Clients.Office.Excel.Functions.SPG(CX287, "SP_COUNTRY_NAME")</f>
        <v>#INVALID COMPANY ID</v>
      </c>
      <c r="DB287" t="s">
        <v>464</v>
      </c>
      <c r="DC287">
        <v>4629378</v>
      </c>
      <c r="DD287" t="s">
        <v>346</v>
      </c>
      <c r="DE287" s="11">
        <v>0</v>
      </c>
      <c r="DF287" s="9" t="str">
        <f>_xll.SNL.Clients.Office.Excel.Functions.SPG(DC287, "SP_COUNTRY_NAME")</f>
        <v>Japan</v>
      </c>
      <c r="DK287" s="9" t="str">
        <f>_xll.SNL.Clients.Office.Excel.Functions.SPG(DH287, "SP_COUNTRY_NAME")</f>
        <v>#INVALID COMPANY ID</v>
      </c>
      <c r="DL287" t="s">
        <v>464</v>
      </c>
      <c r="DM287">
        <v>4629378</v>
      </c>
      <c r="DN287" t="s">
        <v>346</v>
      </c>
      <c r="DO287" s="11">
        <v>0</v>
      </c>
      <c r="DP287" s="9" t="str">
        <f>_xll.SNL.Clients.Office.Excel.Functions.SPG(DM287, "SP_COUNTRY_NAME")</f>
        <v>Japan</v>
      </c>
      <c r="DU287" s="9" t="str">
        <f>_xll.SNL.Clients.Office.Excel.Functions.SPG(DR287, "SP_COUNTRY_NAME")</f>
        <v>#INVALID COMPANY ID</v>
      </c>
      <c r="DZ287" s="9" t="str">
        <f>_xll.SNL.Clients.Office.Excel.Functions.SPG(DW287, "SP_COUNTRY_NAME")</f>
        <v>#INVALID COMPANY ID</v>
      </c>
      <c r="EA287" t="s">
        <v>1750</v>
      </c>
      <c r="EB287">
        <v>4037127</v>
      </c>
      <c r="EC287" t="s">
        <v>346</v>
      </c>
      <c r="ED287" s="11">
        <v>0.01</v>
      </c>
      <c r="EE287" s="9" t="str">
        <f>_xll.SNL.Clients.Office.Excel.Functions.SPG(EB287, "SP_COUNTRY_NAME")</f>
        <v>USA</v>
      </c>
      <c r="EF287" t="s">
        <v>464</v>
      </c>
      <c r="EG287">
        <v>4629378</v>
      </c>
      <c r="EH287" t="s">
        <v>346</v>
      </c>
      <c r="EI287" s="11">
        <v>0</v>
      </c>
      <c r="EJ287" s="9" t="str">
        <f>_xll.SNL.Clients.Office.Excel.Functions.SPG(EG287, "SP_COUNTRY_NAME")</f>
        <v>Japan</v>
      </c>
      <c r="EO287" s="9" t="str">
        <f>_xll.SNL.Clients.Office.Excel.Functions.SPG(EL287, "SP_COUNTRY_NAME")</f>
        <v>#INVALID COMPANY ID</v>
      </c>
      <c r="ET287" s="9" t="str">
        <f>_xll.SNL.Clients.Office.Excel.Functions.SPG(EQ287, "SP_COUNTRY_NAME")</f>
        <v>#INVALID COMPANY ID</v>
      </c>
      <c r="EY287" s="9" t="str">
        <f>_xll.SNL.Clients.Office.Excel.Functions.SPG(EV287, "SP_COUNTRY_NAME")</f>
        <v>#INVALID COMPANY ID</v>
      </c>
      <c r="FD287" s="9" t="str">
        <f>_xll.SNL.Clients.Office.Excel.Functions.SPG(FA287, "SP_COUNTRY_NAME")</f>
        <v>#INVALID COMPANY ID</v>
      </c>
      <c r="FI287" s="9" t="str">
        <f>_xll.SNL.Clients.Office.Excel.Functions.SPG(FF287, "SP_COUNTRY_NAME")</f>
        <v>#INVALID COMPANY ID</v>
      </c>
      <c r="FN287" s="9" t="str">
        <f>_xll.SNL.Clients.Office.Excel.Functions.SPG(FK287, "SP_COUNTRY_NAME")</f>
        <v>#INVALID COMPANY ID</v>
      </c>
      <c r="FS287" s="9" t="str">
        <f>_xll.SNL.Clients.Office.Excel.Functions.SPG(FP287, "SP_COUNTRY_NAME")</f>
        <v>#INVALID COMPANY ID</v>
      </c>
      <c r="FX287" s="9" t="str">
        <f>_xll.SNL.Clients.Office.Excel.Functions.SPG(FU287, "SP_COUNTRY_NAME")</f>
        <v>#INVALID COMPANY ID</v>
      </c>
      <c r="FY287" t="s">
        <v>464</v>
      </c>
      <c r="FZ287">
        <v>4629378</v>
      </c>
      <c r="GA287" t="s">
        <v>346</v>
      </c>
      <c r="GB287" s="11">
        <v>0</v>
      </c>
      <c r="GC287" s="9" t="str">
        <f>_xll.SNL.Clients.Office.Excel.Functions.SPG(FZ287, "SP_COUNTRY_NAME")</f>
        <v>Japan</v>
      </c>
      <c r="GH287" s="9" t="str">
        <f>_xll.SNL.Clients.Office.Excel.Functions.SPG(GE287, "SP_COUNTRY_NAME")</f>
        <v>#INVALID COMPANY ID</v>
      </c>
      <c r="GM287" s="9" t="str">
        <f>_xll.SNL.Clients.Office.Excel.Functions.SPG(GJ287, "SP_COUNTRY_NAME")</f>
        <v>#INVALID COMPANY ID</v>
      </c>
      <c r="GR287" s="9" t="str">
        <f>_xll.SNL.Clients.Office.Excel.Functions.SPG(GO287, "SP_COUNTRY_NAME")</f>
        <v>#INVALID COMPANY ID</v>
      </c>
      <c r="GS287" t="s">
        <v>376</v>
      </c>
      <c r="GT287">
        <v>4030986</v>
      </c>
      <c r="GU287" t="s">
        <v>346</v>
      </c>
      <c r="GV287" s="11">
        <v>0</v>
      </c>
      <c r="GW287" s="9" t="str">
        <f>_xll.SNL.Clients.Office.Excel.Functions.SPG(GT287, "SP_COUNTRY_NAME")</f>
        <v>USA</v>
      </c>
      <c r="GX287" t="s">
        <v>1750</v>
      </c>
      <c r="GY287">
        <v>4037127</v>
      </c>
      <c r="GZ287" t="s">
        <v>346</v>
      </c>
      <c r="HA287" s="11">
        <v>0.01</v>
      </c>
      <c r="HB287" s="9" t="str">
        <f>_xll.SNL.Clients.Office.Excel.Functions.SPG(GY287, "SP_COUNTRY_NAME")</f>
        <v>USA</v>
      </c>
      <c r="HG287" s="9" t="str">
        <f>_xll.SNL.Clients.Office.Excel.Functions.SPG(HD287, "SP_COUNTRY_NAME")</f>
        <v>#INVALID COMPANY ID</v>
      </c>
    </row>
    <row r="288" spans="5:215" x14ac:dyDescent="0.35">
      <c r="E288" s="9" t="str">
        <f>_xll.SNL.Clients.Office.Excel.Functions.SPG(B288, "SP_COUNTRY_NAME")</f>
        <v>#INVALID COMPANY ID</v>
      </c>
      <c r="J288" s="9" t="str">
        <f>_xll.SNL.Clients.Office.Excel.Functions.SPG(G288, "SP_COUNTRY_NAME")</f>
        <v>#INVALID COMPANY ID</v>
      </c>
      <c r="O288" s="9" t="str">
        <f>_xll.SNL.Clients.Office.Excel.Functions.SPG(L288, "SP_COUNTRY_NAME")</f>
        <v>#INVALID COMPANY ID</v>
      </c>
      <c r="T288" s="9" t="str">
        <f>_xll.SNL.Clients.Office.Excel.Functions.SPG(Q288, "SP_COUNTRY_NAME")</f>
        <v>#INVALID COMPANY ID</v>
      </c>
      <c r="U288" t="s">
        <v>850</v>
      </c>
      <c r="V288">
        <v>5853751</v>
      </c>
      <c r="W288" t="s">
        <v>346</v>
      </c>
      <c r="X288" s="11">
        <v>0</v>
      </c>
      <c r="Y288" s="9" t="str">
        <f>_xll.SNL.Clients.Office.Excel.Functions.SPG(V288, "SP_COUNTRY_NAME")</f>
        <v>China</v>
      </c>
      <c r="AD288" s="9" t="str">
        <f>_xll.SNL.Clients.Office.Excel.Functions.SPG(AA288, "SP_COUNTRY_NAME")</f>
        <v>#INVALID COMPANY ID</v>
      </c>
      <c r="AI288" s="9" t="str">
        <f>_xll.SNL.Clients.Office.Excel.Functions.SPG(AF288, "SP_COUNTRY_NAME")</f>
        <v>#INVALID COMPANY ID</v>
      </c>
      <c r="AN288" s="9" t="str">
        <f>_xll.SNL.Clients.Office.Excel.Functions.SPG(AK288, "SP_COUNTRY_NAME")</f>
        <v>#INVALID COMPANY ID</v>
      </c>
      <c r="AO288" t="s">
        <v>1004</v>
      </c>
      <c r="AP288">
        <v>4115970</v>
      </c>
      <c r="AQ288" t="s">
        <v>346</v>
      </c>
      <c r="AR288" s="11">
        <v>0</v>
      </c>
      <c r="AS288" s="9" t="str">
        <f>_xll.SNL.Clients.Office.Excel.Functions.SPG(AP288, "SP_COUNTRY_NAME")</f>
        <v>USA</v>
      </c>
      <c r="AX288" s="9" t="str">
        <f>_xll.SNL.Clients.Office.Excel.Functions.SPG(AU288, "SP_COUNTRY_NAME")</f>
        <v>#INVALID COMPANY ID</v>
      </c>
      <c r="BC288" s="9" t="str">
        <f>_xll.SNL.Clients.Office.Excel.Functions.SPG(AZ288, "SP_COUNTRY_NAME")</f>
        <v>#INVALID COMPANY ID</v>
      </c>
      <c r="BD288" t="s">
        <v>1479</v>
      </c>
      <c r="BE288">
        <v>5867291</v>
      </c>
      <c r="BF288" t="s">
        <v>364</v>
      </c>
      <c r="BG288" s="11">
        <v>0</v>
      </c>
      <c r="BH288" s="9" t="str">
        <f>_xll.SNL.Clients.Office.Excel.Functions.SPG(BE288, "SP_COUNTRY_NAME")</f>
        <v>South Africa</v>
      </c>
      <c r="BM288" s="9" t="str">
        <f>_xll.SNL.Clients.Office.Excel.Functions.SPG(BJ288, "SP_COUNTRY_NAME")</f>
        <v>#INVALID COMPANY ID</v>
      </c>
      <c r="BN288" t="s">
        <v>1247</v>
      </c>
      <c r="BO288">
        <v>4579063</v>
      </c>
      <c r="BP288" t="s">
        <v>346</v>
      </c>
      <c r="BQ288" s="11">
        <v>0</v>
      </c>
      <c r="BR288" s="9" t="str">
        <f>_xll.SNL.Clients.Office.Excel.Functions.SPG(BO288, "SP_COUNTRY_NAME")</f>
        <v>USA</v>
      </c>
      <c r="BS288" t="s">
        <v>419</v>
      </c>
      <c r="BT288">
        <v>4338202</v>
      </c>
      <c r="BU288" t="s">
        <v>346</v>
      </c>
      <c r="BV288" s="11">
        <v>0</v>
      </c>
      <c r="BW288" s="9" t="str">
        <f>_xll.SNL.Clients.Office.Excel.Functions.SPG(BT288, "SP_COUNTRY_NAME")</f>
        <v>USA</v>
      </c>
      <c r="BX288" t="s">
        <v>850</v>
      </c>
      <c r="BY288">
        <v>5853751</v>
      </c>
      <c r="BZ288" t="s">
        <v>346</v>
      </c>
      <c r="CA288" s="11">
        <v>0</v>
      </c>
      <c r="CB288" s="9" t="str">
        <f>_xll.SNL.Clients.Office.Excel.Functions.SPG(BY288, "SP_COUNTRY_NAME")</f>
        <v>China</v>
      </c>
      <c r="CC288" t="s">
        <v>504</v>
      </c>
      <c r="CD288">
        <v>4630169</v>
      </c>
      <c r="CE288" t="s">
        <v>346</v>
      </c>
      <c r="CF288" s="11">
        <v>0.01</v>
      </c>
      <c r="CG288" s="9" t="str">
        <f>_xll.SNL.Clients.Office.Excel.Functions.SPG(CD288, "SP_COUNTRY_NAME")</f>
        <v>Germany</v>
      </c>
      <c r="CH288" t="s">
        <v>1004</v>
      </c>
      <c r="CI288">
        <v>4115970</v>
      </c>
      <c r="CJ288" t="s">
        <v>346</v>
      </c>
      <c r="CK288" s="11">
        <v>0</v>
      </c>
      <c r="CL288" s="9" t="str">
        <f>_xll.SNL.Clients.Office.Excel.Functions.SPG(CI288, "SP_COUNTRY_NAME")</f>
        <v>USA</v>
      </c>
      <c r="CM288" t="s">
        <v>2021</v>
      </c>
      <c r="CN288">
        <v>9337684</v>
      </c>
      <c r="CO288" t="s">
        <v>346</v>
      </c>
      <c r="CP288" s="11">
        <v>0</v>
      </c>
      <c r="CQ288" s="9" t="str">
        <f>_xll.SNL.Clients.Office.Excel.Functions.SPG(CN288, "SP_COUNTRY_NAME")</f>
        <v>Hong Kong</v>
      </c>
      <c r="CV288" s="9" t="str">
        <f>_xll.SNL.Clients.Office.Excel.Functions.SPG(CS288, "SP_COUNTRY_NAME")</f>
        <v>#INVALID COMPANY ID</v>
      </c>
      <c r="DA288" s="9" t="str">
        <f>_xll.SNL.Clients.Office.Excel.Functions.SPG(CX288, "SP_COUNTRY_NAME")</f>
        <v>#INVALID COMPANY ID</v>
      </c>
      <c r="DB288" t="s">
        <v>1479</v>
      </c>
      <c r="DC288">
        <v>5867291</v>
      </c>
      <c r="DD288" t="s">
        <v>364</v>
      </c>
      <c r="DE288" s="11">
        <v>0</v>
      </c>
      <c r="DF288" s="9" t="str">
        <f>_xll.SNL.Clients.Office.Excel.Functions.SPG(DC288, "SP_COUNTRY_NAME")</f>
        <v>South Africa</v>
      </c>
      <c r="DK288" s="9" t="str">
        <f>_xll.SNL.Clients.Office.Excel.Functions.SPG(DH288, "SP_COUNTRY_NAME")</f>
        <v>#INVALID COMPANY ID</v>
      </c>
      <c r="DL288" t="s">
        <v>1479</v>
      </c>
      <c r="DM288">
        <v>5867291</v>
      </c>
      <c r="DN288" t="s">
        <v>364</v>
      </c>
      <c r="DO288" s="11">
        <v>0</v>
      </c>
      <c r="DP288" s="9" t="str">
        <f>_xll.SNL.Clients.Office.Excel.Functions.SPG(DM288, "SP_COUNTRY_NAME")</f>
        <v>South Africa</v>
      </c>
      <c r="DU288" s="9" t="str">
        <f>_xll.SNL.Clients.Office.Excel.Functions.SPG(DR288, "SP_COUNTRY_NAME")</f>
        <v>#INVALID COMPANY ID</v>
      </c>
      <c r="DZ288" s="9" t="str">
        <f>_xll.SNL.Clients.Office.Excel.Functions.SPG(DW288, "SP_COUNTRY_NAME")</f>
        <v>#INVALID COMPANY ID</v>
      </c>
      <c r="EA288" t="s">
        <v>504</v>
      </c>
      <c r="EB288">
        <v>4630169</v>
      </c>
      <c r="EC288" t="s">
        <v>346</v>
      </c>
      <c r="ED288" s="11">
        <v>0.01</v>
      </c>
      <c r="EE288" s="9" t="str">
        <f>_xll.SNL.Clients.Office.Excel.Functions.SPG(EB288, "SP_COUNTRY_NAME")</f>
        <v>Germany</v>
      </c>
      <c r="EF288" t="s">
        <v>1479</v>
      </c>
      <c r="EG288">
        <v>5867291</v>
      </c>
      <c r="EH288" t="s">
        <v>364</v>
      </c>
      <c r="EI288" s="11">
        <v>0</v>
      </c>
      <c r="EJ288" s="9" t="str">
        <f>_xll.SNL.Clients.Office.Excel.Functions.SPG(EG288, "SP_COUNTRY_NAME")</f>
        <v>South Africa</v>
      </c>
      <c r="EO288" s="9" t="str">
        <f>_xll.SNL.Clients.Office.Excel.Functions.SPG(EL288, "SP_COUNTRY_NAME")</f>
        <v>#INVALID COMPANY ID</v>
      </c>
      <c r="ET288" s="9" t="str">
        <f>_xll.SNL.Clients.Office.Excel.Functions.SPG(EQ288, "SP_COUNTRY_NAME")</f>
        <v>#INVALID COMPANY ID</v>
      </c>
      <c r="EY288" s="9" t="str">
        <f>_xll.SNL.Clients.Office.Excel.Functions.SPG(EV288, "SP_COUNTRY_NAME")</f>
        <v>#INVALID COMPANY ID</v>
      </c>
      <c r="FD288" s="9" t="str">
        <f>_xll.SNL.Clients.Office.Excel.Functions.SPG(FA288, "SP_COUNTRY_NAME")</f>
        <v>#INVALID COMPANY ID</v>
      </c>
      <c r="FI288" s="9" t="str">
        <f>_xll.SNL.Clients.Office.Excel.Functions.SPG(FF288, "SP_COUNTRY_NAME")</f>
        <v>#INVALID COMPANY ID</v>
      </c>
      <c r="FN288" s="9" t="str">
        <f>_xll.SNL.Clients.Office.Excel.Functions.SPG(FK288, "SP_COUNTRY_NAME")</f>
        <v>#INVALID COMPANY ID</v>
      </c>
      <c r="FS288" s="9" t="str">
        <f>_xll.SNL.Clients.Office.Excel.Functions.SPG(FP288, "SP_COUNTRY_NAME")</f>
        <v>#INVALID COMPANY ID</v>
      </c>
      <c r="FX288" s="9" t="str">
        <f>_xll.SNL.Clients.Office.Excel.Functions.SPG(FU288, "SP_COUNTRY_NAME")</f>
        <v>#INVALID COMPANY ID</v>
      </c>
      <c r="FY288" t="s">
        <v>1479</v>
      </c>
      <c r="FZ288">
        <v>5867291</v>
      </c>
      <c r="GA288" t="s">
        <v>364</v>
      </c>
      <c r="GB288" s="11">
        <v>0</v>
      </c>
      <c r="GC288" s="9" t="str">
        <f>_xll.SNL.Clients.Office.Excel.Functions.SPG(FZ288, "SP_COUNTRY_NAME")</f>
        <v>South Africa</v>
      </c>
      <c r="GH288" s="9" t="str">
        <f>_xll.SNL.Clients.Office.Excel.Functions.SPG(GE288, "SP_COUNTRY_NAME")</f>
        <v>#INVALID COMPANY ID</v>
      </c>
      <c r="GM288" s="9" t="str">
        <f>_xll.SNL.Clients.Office.Excel.Functions.SPG(GJ288, "SP_COUNTRY_NAME")</f>
        <v>#INVALID COMPANY ID</v>
      </c>
      <c r="GR288" s="9" t="str">
        <f>_xll.SNL.Clients.Office.Excel.Functions.SPG(GO288, "SP_COUNTRY_NAME")</f>
        <v>#INVALID COMPANY ID</v>
      </c>
      <c r="GS288" t="s">
        <v>1247</v>
      </c>
      <c r="GT288">
        <v>4579063</v>
      </c>
      <c r="GU288" t="s">
        <v>346</v>
      </c>
      <c r="GV288" s="11">
        <v>0</v>
      </c>
      <c r="GW288" s="9" t="str">
        <f>_xll.SNL.Clients.Office.Excel.Functions.SPG(GT288, "SP_COUNTRY_NAME")</f>
        <v>USA</v>
      </c>
      <c r="GX288" t="s">
        <v>504</v>
      </c>
      <c r="GY288">
        <v>4630169</v>
      </c>
      <c r="GZ288" t="s">
        <v>346</v>
      </c>
      <c r="HA288" s="11">
        <v>0.01</v>
      </c>
      <c r="HB288" s="9" t="str">
        <f>_xll.SNL.Clients.Office.Excel.Functions.SPG(GY288, "SP_COUNTRY_NAME")</f>
        <v>Germany</v>
      </c>
      <c r="HG288" s="9" t="str">
        <f>_xll.SNL.Clients.Office.Excel.Functions.SPG(HD288, "SP_COUNTRY_NAME")</f>
        <v>#INVALID COMPANY ID</v>
      </c>
    </row>
    <row r="289" spans="5:215" x14ac:dyDescent="0.35">
      <c r="E289" s="9" t="str">
        <f>_xll.SNL.Clients.Office.Excel.Functions.SPG(B289, "SP_COUNTRY_NAME")</f>
        <v>#INVALID COMPANY ID</v>
      </c>
      <c r="J289" s="9" t="str">
        <f>_xll.SNL.Clients.Office.Excel.Functions.SPG(G289, "SP_COUNTRY_NAME")</f>
        <v>#INVALID COMPANY ID</v>
      </c>
      <c r="O289" s="9" t="str">
        <f>_xll.SNL.Clients.Office.Excel.Functions.SPG(L289, "SP_COUNTRY_NAME")</f>
        <v>#INVALID COMPANY ID</v>
      </c>
      <c r="T289" s="9" t="str">
        <f>_xll.SNL.Clients.Office.Excel.Functions.SPG(Q289, "SP_COUNTRY_NAME")</f>
        <v>#INVALID COMPANY ID</v>
      </c>
      <c r="U289" t="s">
        <v>464</v>
      </c>
      <c r="V289">
        <v>4629378</v>
      </c>
      <c r="W289" t="s">
        <v>346</v>
      </c>
      <c r="X289" s="11">
        <v>0</v>
      </c>
      <c r="Y289" s="9" t="str">
        <f>_xll.SNL.Clients.Office.Excel.Functions.SPG(V289, "SP_COUNTRY_NAME")</f>
        <v>Japan</v>
      </c>
      <c r="AD289" s="9" t="str">
        <f>_xll.SNL.Clients.Office.Excel.Functions.SPG(AA289, "SP_COUNTRY_NAME")</f>
        <v>#INVALID COMPANY ID</v>
      </c>
      <c r="AI289" s="9" t="str">
        <f>_xll.SNL.Clients.Office.Excel.Functions.SPG(AF289, "SP_COUNTRY_NAME")</f>
        <v>#INVALID COMPANY ID</v>
      </c>
      <c r="AN289" s="9" t="str">
        <f>_xll.SNL.Clients.Office.Excel.Functions.SPG(AK289, "SP_COUNTRY_NAME")</f>
        <v>#INVALID COMPANY ID</v>
      </c>
      <c r="AO289" t="s">
        <v>1385</v>
      </c>
      <c r="AP289">
        <v>4187459</v>
      </c>
      <c r="AQ289" t="s">
        <v>276</v>
      </c>
      <c r="AR289" s="11">
        <v>0</v>
      </c>
      <c r="AS289" s="9" t="str">
        <f>_xll.SNL.Clients.Office.Excel.Functions.SPG(AP289, "SP_COUNTRY_NAME")</f>
        <v>USA</v>
      </c>
      <c r="AX289" s="9" t="str">
        <f>_xll.SNL.Clients.Office.Excel.Functions.SPG(AU289, "SP_COUNTRY_NAME")</f>
        <v>#INVALID COMPANY ID</v>
      </c>
      <c r="BC289" s="9" t="str">
        <f>_xll.SNL.Clients.Office.Excel.Functions.SPG(AZ289, "SP_COUNTRY_NAME")</f>
        <v>#INVALID COMPANY ID</v>
      </c>
      <c r="BD289" t="s">
        <v>1267</v>
      </c>
      <c r="BE289">
        <v>4304196</v>
      </c>
      <c r="BF289" t="s">
        <v>346</v>
      </c>
      <c r="BG289" s="11">
        <v>0</v>
      </c>
      <c r="BH289" s="9" t="str">
        <f>_xll.SNL.Clients.Office.Excel.Functions.SPG(BE289, "SP_COUNTRY_NAME")</f>
        <v>South Africa</v>
      </c>
      <c r="BM289" s="9" t="str">
        <f>_xll.SNL.Clients.Office.Excel.Functions.SPG(BJ289, "SP_COUNTRY_NAME")</f>
        <v>#INVALID COMPANY ID</v>
      </c>
      <c r="BN289" t="s">
        <v>428</v>
      </c>
      <c r="BO289">
        <v>4116134</v>
      </c>
      <c r="BP289" t="s">
        <v>346</v>
      </c>
      <c r="BQ289" s="11">
        <v>0</v>
      </c>
      <c r="BR289" s="9" t="str">
        <f>_xll.SNL.Clients.Office.Excel.Functions.SPG(BO289, "SP_COUNTRY_NAME")</f>
        <v>Japan</v>
      </c>
      <c r="BS289" t="s">
        <v>378</v>
      </c>
      <c r="BT289">
        <v>4048184</v>
      </c>
      <c r="BU289" t="s">
        <v>346</v>
      </c>
      <c r="BV289" s="11">
        <v>0</v>
      </c>
      <c r="BW289" s="9" t="str">
        <f>_xll.SNL.Clients.Office.Excel.Functions.SPG(BT289, "SP_COUNTRY_NAME")</f>
        <v>Canada</v>
      </c>
      <c r="BX289" t="s">
        <v>464</v>
      </c>
      <c r="BY289">
        <v>4629378</v>
      </c>
      <c r="BZ289" t="s">
        <v>346</v>
      </c>
      <c r="CA289" s="11">
        <v>0</v>
      </c>
      <c r="CB289" s="9" t="str">
        <f>_xll.SNL.Clients.Office.Excel.Functions.SPG(BY289, "SP_COUNTRY_NAME")</f>
        <v>Japan</v>
      </c>
      <c r="CC289" t="s">
        <v>1751</v>
      </c>
      <c r="CD289">
        <v>4145924</v>
      </c>
      <c r="CE289" t="s">
        <v>346</v>
      </c>
      <c r="CF289" s="11">
        <v>0.01</v>
      </c>
      <c r="CG289" s="9" t="str">
        <f>_xll.SNL.Clients.Office.Excel.Functions.SPG(CD289, "SP_COUNTRY_NAME")</f>
        <v>USA</v>
      </c>
      <c r="CH289" t="s">
        <v>1385</v>
      </c>
      <c r="CI289">
        <v>4187459</v>
      </c>
      <c r="CJ289" t="s">
        <v>276</v>
      </c>
      <c r="CK289" s="11">
        <v>0</v>
      </c>
      <c r="CL289" s="9" t="str">
        <f>_xll.SNL.Clients.Office.Excel.Functions.SPG(CI289, "SP_COUNTRY_NAME")</f>
        <v>USA</v>
      </c>
      <c r="CM289" t="s">
        <v>2022</v>
      </c>
      <c r="CN289">
        <v>4212108</v>
      </c>
      <c r="CO289" t="s">
        <v>276</v>
      </c>
      <c r="CP289" s="11">
        <v>0</v>
      </c>
      <c r="CQ289" s="9" t="str">
        <f>_xll.SNL.Clients.Office.Excel.Functions.SPG(CN289, "SP_COUNTRY_NAME")</f>
        <v>USA</v>
      </c>
      <c r="CV289" s="9" t="str">
        <f>_xll.SNL.Clients.Office.Excel.Functions.SPG(CS289, "SP_COUNTRY_NAME")</f>
        <v>#INVALID COMPANY ID</v>
      </c>
      <c r="DA289" s="9" t="str">
        <f>_xll.SNL.Clients.Office.Excel.Functions.SPG(CX289, "SP_COUNTRY_NAME")</f>
        <v>#INVALID COMPANY ID</v>
      </c>
      <c r="DB289" t="s">
        <v>1267</v>
      </c>
      <c r="DC289">
        <v>4304196</v>
      </c>
      <c r="DD289" t="s">
        <v>346</v>
      </c>
      <c r="DE289" s="11">
        <v>0</v>
      </c>
      <c r="DF289" s="9" t="str">
        <f>_xll.SNL.Clients.Office.Excel.Functions.SPG(DC289, "SP_COUNTRY_NAME")</f>
        <v>South Africa</v>
      </c>
      <c r="DK289" s="9" t="str">
        <f>_xll.SNL.Clients.Office.Excel.Functions.SPG(DH289, "SP_COUNTRY_NAME")</f>
        <v>#INVALID COMPANY ID</v>
      </c>
      <c r="DL289" t="s">
        <v>1267</v>
      </c>
      <c r="DM289">
        <v>4304196</v>
      </c>
      <c r="DN289" t="s">
        <v>346</v>
      </c>
      <c r="DO289" s="11">
        <v>0</v>
      </c>
      <c r="DP289" s="9" t="str">
        <f>_xll.SNL.Clients.Office.Excel.Functions.SPG(DM289, "SP_COUNTRY_NAME")</f>
        <v>South Africa</v>
      </c>
      <c r="DU289" s="9" t="str">
        <f>_xll.SNL.Clients.Office.Excel.Functions.SPG(DR289, "SP_COUNTRY_NAME")</f>
        <v>#INVALID COMPANY ID</v>
      </c>
      <c r="DZ289" s="9" t="str">
        <f>_xll.SNL.Clients.Office.Excel.Functions.SPG(DW289, "SP_COUNTRY_NAME")</f>
        <v>#INVALID COMPANY ID</v>
      </c>
      <c r="EA289" t="s">
        <v>1751</v>
      </c>
      <c r="EB289">
        <v>4145924</v>
      </c>
      <c r="EC289" t="s">
        <v>346</v>
      </c>
      <c r="ED289" s="11">
        <v>0.01</v>
      </c>
      <c r="EE289" s="9" t="str">
        <f>_xll.SNL.Clients.Office.Excel.Functions.SPG(EB289, "SP_COUNTRY_NAME")</f>
        <v>USA</v>
      </c>
      <c r="EF289" t="s">
        <v>1267</v>
      </c>
      <c r="EG289">
        <v>4304196</v>
      </c>
      <c r="EH289" t="s">
        <v>346</v>
      </c>
      <c r="EI289" s="11">
        <v>0</v>
      </c>
      <c r="EJ289" s="9" t="str">
        <f>_xll.SNL.Clients.Office.Excel.Functions.SPG(EG289, "SP_COUNTRY_NAME")</f>
        <v>South Africa</v>
      </c>
      <c r="EO289" s="9" t="str">
        <f>_xll.SNL.Clients.Office.Excel.Functions.SPG(EL289, "SP_COUNTRY_NAME")</f>
        <v>#INVALID COMPANY ID</v>
      </c>
      <c r="ET289" s="9" t="str">
        <f>_xll.SNL.Clients.Office.Excel.Functions.SPG(EQ289, "SP_COUNTRY_NAME")</f>
        <v>#INVALID COMPANY ID</v>
      </c>
      <c r="EY289" s="9" t="str">
        <f>_xll.SNL.Clients.Office.Excel.Functions.SPG(EV289, "SP_COUNTRY_NAME")</f>
        <v>#INVALID COMPANY ID</v>
      </c>
      <c r="FD289" s="9" t="str">
        <f>_xll.SNL.Clients.Office.Excel.Functions.SPG(FA289, "SP_COUNTRY_NAME")</f>
        <v>#INVALID COMPANY ID</v>
      </c>
      <c r="FI289" s="9" t="str">
        <f>_xll.SNL.Clients.Office.Excel.Functions.SPG(FF289, "SP_COUNTRY_NAME")</f>
        <v>#INVALID COMPANY ID</v>
      </c>
      <c r="FN289" s="9" t="str">
        <f>_xll.SNL.Clients.Office.Excel.Functions.SPG(FK289, "SP_COUNTRY_NAME")</f>
        <v>#INVALID COMPANY ID</v>
      </c>
      <c r="FS289" s="9" t="str">
        <f>_xll.SNL.Clients.Office.Excel.Functions.SPG(FP289, "SP_COUNTRY_NAME")</f>
        <v>#INVALID COMPANY ID</v>
      </c>
      <c r="FX289" s="9" t="str">
        <f>_xll.SNL.Clients.Office.Excel.Functions.SPG(FU289, "SP_COUNTRY_NAME")</f>
        <v>#INVALID COMPANY ID</v>
      </c>
      <c r="FY289" t="s">
        <v>1267</v>
      </c>
      <c r="FZ289">
        <v>4304196</v>
      </c>
      <c r="GA289" t="s">
        <v>346</v>
      </c>
      <c r="GB289" s="11">
        <v>0</v>
      </c>
      <c r="GC289" s="9" t="str">
        <f>_xll.SNL.Clients.Office.Excel.Functions.SPG(FZ289, "SP_COUNTRY_NAME")</f>
        <v>South Africa</v>
      </c>
      <c r="GH289" s="9" t="str">
        <f>_xll.SNL.Clients.Office.Excel.Functions.SPG(GE289, "SP_COUNTRY_NAME")</f>
        <v>#INVALID COMPANY ID</v>
      </c>
      <c r="GM289" s="9" t="str">
        <f>_xll.SNL.Clients.Office.Excel.Functions.SPG(GJ289, "SP_COUNTRY_NAME")</f>
        <v>#INVALID COMPANY ID</v>
      </c>
      <c r="GR289" s="9" t="str">
        <f>_xll.SNL.Clients.Office.Excel.Functions.SPG(GO289, "SP_COUNTRY_NAME")</f>
        <v>#INVALID COMPANY ID</v>
      </c>
      <c r="GS289" t="s">
        <v>428</v>
      </c>
      <c r="GT289">
        <v>4116134</v>
      </c>
      <c r="GU289" t="s">
        <v>346</v>
      </c>
      <c r="GV289" s="11">
        <v>0</v>
      </c>
      <c r="GW289" s="9" t="str">
        <f>_xll.SNL.Clients.Office.Excel.Functions.SPG(GT289, "SP_COUNTRY_NAME")</f>
        <v>Japan</v>
      </c>
      <c r="GX289" t="s">
        <v>1751</v>
      </c>
      <c r="GY289">
        <v>4145924</v>
      </c>
      <c r="GZ289" t="s">
        <v>346</v>
      </c>
      <c r="HA289" s="11">
        <v>0.01</v>
      </c>
      <c r="HB289" s="9" t="str">
        <f>_xll.SNL.Clients.Office.Excel.Functions.SPG(GY289, "SP_COUNTRY_NAME")</f>
        <v>USA</v>
      </c>
      <c r="HG289" s="9" t="str">
        <f>_xll.SNL.Clients.Office.Excel.Functions.SPG(HD289, "SP_COUNTRY_NAME")</f>
        <v>#INVALID COMPANY ID</v>
      </c>
    </row>
    <row r="290" spans="5:215" x14ac:dyDescent="0.35">
      <c r="E290" s="9" t="str">
        <f>_xll.SNL.Clients.Office.Excel.Functions.SPG(B290, "SP_COUNTRY_NAME")</f>
        <v>#INVALID COMPANY ID</v>
      </c>
      <c r="J290" s="9" t="str">
        <f>_xll.SNL.Clients.Office.Excel.Functions.SPG(G290, "SP_COUNTRY_NAME")</f>
        <v>#INVALID COMPANY ID</v>
      </c>
      <c r="O290" s="9" t="str">
        <f>_xll.SNL.Clients.Office.Excel.Functions.SPG(L290, "SP_COUNTRY_NAME")</f>
        <v>#INVALID COMPANY ID</v>
      </c>
      <c r="T290" s="9" t="str">
        <f>_xll.SNL.Clients.Office.Excel.Functions.SPG(Q290, "SP_COUNTRY_NAME")</f>
        <v>#INVALID COMPANY ID</v>
      </c>
      <c r="U290" t="s">
        <v>480</v>
      </c>
      <c r="V290">
        <v>4119651</v>
      </c>
      <c r="W290" t="s">
        <v>346</v>
      </c>
      <c r="X290" s="11">
        <v>0</v>
      </c>
      <c r="Y290" s="9" t="str">
        <f>_xll.SNL.Clients.Office.Excel.Functions.SPG(V290, "SP_COUNTRY_NAME")</f>
        <v>USA</v>
      </c>
      <c r="AD290" s="9" t="str">
        <f>_xll.SNL.Clients.Office.Excel.Functions.SPG(AA290, "SP_COUNTRY_NAME")</f>
        <v>#INVALID COMPANY ID</v>
      </c>
      <c r="AI290" s="9" t="str">
        <f>_xll.SNL.Clients.Office.Excel.Functions.SPG(AF290, "SP_COUNTRY_NAME")</f>
        <v>#INVALID COMPANY ID</v>
      </c>
      <c r="AN290" s="9" t="str">
        <f>_xll.SNL.Clients.Office.Excel.Functions.SPG(AK290, "SP_COUNTRY_NAME")</f>
        <v>#INVALID COMPANY ID</v>
      </c>
      <c r="AO290" t="s">
        <v>630</v>
      </c>
      <c r="AP290">
        <v>27861143</v>
      </c>
      <c r="AQ290" t="s">
        <v>346</v>
      </c>
      <c r="AR290" s="11">
        <v>0</v>
      </c>
      <c r="AS290" s="9" t="str">
        <f>_xll.SNL.Clients.Office.Excel.Functions.SPG(AP290, "SP_COUNTRY_NAME")</f>
        <v>USA</v>
      </c>
      <c r="AX290" s="9" t="str">
        <f>_xll.SNL.Clients.Office.Excel.Functions.SPG(AU290, "SP_COUNTRY_NAME")</f>
        <v>#INVALID COMPANY ID</v>
      </c>
      <c r="BC290" s="9" t="str">
        <f>_xll.SNL.Clients.Office.Excel.Functions.SPG(AZ290, "SP_COUNTRY_NAME")</f>
        <v>#INVALID COMPANY ID</v>
      </c>
      <c r="BD290" t="s">
        <v>476</v>
      </c>
      <c r="BE290">
        <v>4139886</v>
      </c>
      <c r="BF290" t="s">
        <v>346</v>
      </c>
      <c r="BG290" s="11">
        <v>0</v>
      </c>
      <c r="BH290" s="9" t="str">
        <f>_xll.SNL.Clients.Office.Excel.Functions.SPG(BE290, "SP_COUNTRY_NAME")</f>
        <v>Japan</v>
      </c>
      <c r="BM290" s="9" t="str">
        <f>_xll.SNL.Clients.Office.Excel.Functions.SPG(BJ290, "SP_COUNTRY_NAME")</f>
        <v>#INVALID COMPANY ID</v>
      </c>
      <c r="BN290" t="s">
        <v>1248</v>
      </c>
      <c r="BO290">
        <v>4315520</v>
      </c>
      <c r="BP290" t="s">
        <v>346</v>
      </c>
      <c r="BQ290" s="11">
        <v>0</v>
      </c>
      <c r="BR290" s="9" t="str">
        <f>_xll.SNL.Clients.Office.Excel.Functions.SPG(BO290, "SP_COUNTRY_NAME")</f>
        <v>Taiwan</v>
      </c>
      <c r="BS290" t="s">
        <v>815</v>
      </c>
      <c r="BT290">
        <v>110287</v>
      </c>
      <c r="BU290" t="s">
        <v>346</v>
      </c>
      <c r="BV290" s="11">
        <v>0</v>
      </c>
      <c r="BW290" s="9" t="str">
        <f>_xll.SNL.Clients.Office.Excel.Functions.SPG(BT290, "SP_COUNTRY_NAME")</f>
        <v>Canada</v>
      </c>
      <c r="BX290" t="s">
        <v>480</v>
      </c>
      <c r="BY290">
        <v>4119651</v>
      </c>
      <c r="BZ290" t="s">
        <v>346</v>
      </c>
      <c r="CA290" s="11">
        <v>0</v>
      </c>
      <c r="CB290" s="9" t="str">
        <f>_xll.SNL.Clients.Office.Excel.Functions.SPG(BY290, "SP_COUNTRY_NAME")</f>
        <v>USA</v>
      </c>
      <c r="CC290" t="s">
        <v>1752</v>
      </c>
      <c r="CD290">
        <v>4026737</v>
      </c>
      <c r="CE290" t="s">
        <v>346</v>
      </c>
      <c r="CF290" s="11">
        <v>0.01</v>
      </c>
      <c r="CG290" s="9" t="str">
        <f>_xll.SNL.Clients.Office.Excel.Functions.SPG(CD290, "SP_COUNTRY_NAME")</f>
        <v>USA</v>
      </c>
      <c r="CH290" t="s">
        <v>630</v>
      </c>
      <c r="CI290">
        <v>27861143</v>
      </c>
      <c r="CJ290" t="s">
        <v>346</v>
      </c>
      <c r="CK290" s="11">
        <v>0</v>
      </c>
      <c r="CL290" s="9" t="str">
        <f>_xll.SNL.Clients.Office.Excel.Functions.SPG(CI290, "SP_COUNTRY_NAME")</f>
        <v>USA</v>
      </c>
      <c r="CM290" t="s">
        <v>1308</v>
      </c>
      <c r="CN290">
        <v>5760527</v>
      </c>
      <c r="CO290" t="s">
        <v>346</v>
      </c>
      <c r="CP290" s="11">
        <v>0</v>
      </c>
      <c r="CQ290" s="9" t="str">
        <f>_xll.SNL.Clients.Office.Excel.Functions.SPG(CN290, "SP_COUNTRY_NAME")</f>
        <v>South Africa</v>
      </c>
      <c r="CV290" s="9" t="str">
        <f>_xll.SNL.Clients.Office.Excel.Functions.SPG(CS290, "SP_COUNTRY_NAME")</f>
        <v>#INVALID COMPANY ID</v>
      </c>
      <c r="DA290" s="9" t="str">
        <f>_xll.SNL.Clients.Office.Excel.Functions.SPG(CX290, "SP_COUNTRY_NAME")</f>
        <v>#INVALID COMPANY ID</v>
      </c>
      <c r="DB290" t="s">
        <v>476</v>
      </c>
      <c r="DC290">
        <v>4139886</v>
      </c>
      <c r="DD290" t="s">
        <v>346</v>
      </c>
      <c r="DE290" s="11">
        <v>0</v>
      </c>
      <c r="DF290" s="9" t="str">
        <f>_xll.SNL.Clients.Office.Excel.Functions.SPG(DC290, "SP_COUNTRY_NAME")</f>
        <v>Japan</v>
      </c>
      <c r="DK290" s="9" t="str">
        <f>_xll.SNL.Clients.Office.Excel.Functions.SPG(DH290, "SP_COUNTRY_NAME")</f>
        <v>#INVALID COMPANY ID</v>
      </c>
      <c r="DL290" t="s">
        <v>476</v>
      </c>
      <c r="DM290">
        <v>4139886</v>
      </c>
      <c r="DN290" t="s">
        <v>346</v>
      </c>
      <c r="DO290" s="11">
        <v>0</v>
      </c>
      <c r="DP290" s="9" t="str">
        <f>_xll.SNL.Clients.Office.Excel.Functions.SPG(DM290, "SP_COUNTRY_NAME")</f>
        <v>Japan</v>
      </c>
      <c r="DU290" s="9" t="str">
        <f>_xll.SNL.Clients.Office.Excel.Functions.SPG(DR290, "SP_COUNTRY_NAME")</f>
        <v>#INVALID COMPANY ID</v>
      </c>
      <c r="DZ290" s="9" t="str">
        <f>_xll.SNL.Clients.Office.Excel.Functions.SPG(DW290, "SP_COUNTRY_NAME")</f>
        <v>#INVALID COMPANY ID</v>
      </c>
      <c r="EA290" t="s">
        <v>1752</v>
      </c>
      <c r="EB290">
        <v>4026737</v>
      </c>
      <c r="EC290" t="s">
        <v>346</v>
      </c>
      <c r="ED290" s="11">
        <v>0.01</v>
      </c>
      <c r="EE290" s="9" t="str">
        <f>_xll.SNL.Clients.Office.Excel.Functions.SPG(EB290, "SP_COUNTRY_NAME")</f>
        <v>USA</v>
      </c>
      <c r="EF290" t="s">
        <v>476</v>
      </c>
      <c r="EG290">
        <v>4139886</v>
      </c>
      <c r="EH290" t="s">
        <v>346</v>
      </c>
      <c r="EI290" s="11">
        <v>0</v>
      </c>
      <c r="EJ290" s="9" t="str">
        <f>_xll.SNL.Clients.Office.Excel.Functions.SPG(EG290, "SP_COUNTRY_NAME")</f>
        <v>Japan</v>
      </c>
      <c r="EO290" s="9" t="str">
        <f>_xll.SNL.Clients.Office.Excel.Functions.SPG(EL290, "SP_COUNTRY_NAME")</f>
        <v>#INVALID COMPANY ID</v>
      </c>
      <c r="ET290" s="9" t="str">
        <f>_xll.SNL.Clients.Office.Excel.Functions.SPG(EQ290, "SP_COUNTRY_NAME")</f>
        <v>#INVALID COMPANY ID</v>
      </c>
      <c r="EY290" s="9" t="str">
        <f>_xll.SNL.Clients.Office.Excel.Functions.SPG(EV290, "SP_COUNTRY_NAME")</f>
        <v>#INVALID COMPANY ID</v>
      </c>
      <c r="FD290" s="9" t="str">
        <f>_xll.SNL.Clients.Office.Excel.Functions.SPG(FA290, "SP_COUNTRY_NAME")</f>
        <v>#INVALID COMPANY ID</v>
      </c>
      <c r="FI290" s="9" t="str">
        <f>_xll.SNL.Clients.Office.Excel.Functions.SPG(FF290, "SP_COUNTRY_NAME")</f>
        <v>#INVALID COMPANY ID</v>
      </c>
      <c r="FN290" s="9" t="str">
        <f>_xll.SNL.Clients.Office.Excel.Functions.SPG(FK290, "SP_COUNTRY_NAME")</f>
        <v>#INVALID COMPANY ID</v>
      </c>
      <c r="FS290" s="9" t="str">
        <f>_xll.SNL.Clients.Office.Excel.Functions.SPG(FP290, "SP_COUNTRY_NAME")</f>
        <v>#INVALID COMPANY ID</v>
      </c>
      <c r="FX290" s="9" t="str">
        <f>_xll.SNL.Clients.Office.Excel.Functions.SPG(FU290, "SP_COUNTRY_NAME")</f>
        <v>#INVALID COMPANY ID</v>
      </c>
      <c r="FY290" t="s">
        <v>476</v>
      </c>
      <c r="FZ290">
        <v>4139886</v>
      </c>
      <c r="GA290" t="s">
        <v>346</v>
      </c>
      <c r="GB290" s="11">
        <v>0</v>
      </c>
      <c r="GC290" s="9" t="str">
        <f>_xll.SNL.Clients.Office.Excel.Functions.SPG(FZ290, "SP_COUNTRY_NAME")</f>
        <v>Japan</v>
      </c>
      <c r="GH290" s="9" t="str">
        <f>_xll.SNL.Clients.Office.Excel.Functions.SPG(GE290, "SP_COUNTRY_NAME")</f>
        <v>#INVALID COMPANY ID</v>
      </c>
      <c r="GM290" s="9" t="str">
        <f>_xll.SNL.Clients.Office.Excel.Functions.SPG(GJ290, "SP_COUNTRY_NAME")</f>
        <v>#INVALID COMPANY ID</v>
      </c>
      <c r="GR290" s="9" t="str">
        <f>_xll.SNL.Clients.Office.Excel.Functions.SPG(GO290, "SP_COUNTRY_NAME")</f>
        <v>#INVALID COMPANY ID</v>
      </c>
      <c r="GS290" t="s">
        <v>1248</v>
      </c>
      <c r="GT290">
        <v>4315520</v>
      </c>
      <c r="GU290" t="s">
        <v>346</v>
      </c>
      <c r="GV290" s="11">
        <v>0</v>
      </c>
      <c r="GW290" s="9" t="str">
        <f>_xll.SNL.Clients.Office.Excel.Functions.SPG(GT290, "SP_COUNTRY_NAME")</f>
        <v>Taiwan</v>
      </c>
      <c r="GX290" t="s">
        <v>1752</v>
      </c>
      <c r="GY290">
        <v>4026737</v>
      </c>
      <c r="GZ290" t="s">
        <v>346</v>
      </c>
      <c r="HA290" s="11">
        <v>0.01</v>
      </c>
      <c r="HB290" s="9" t="str">
        <f>_xll.SNL.Clients.Office.Excel.Functions.SPG(GY290, "SP_COUNTRY_NAME")</f>
        <v>USA</v>
      </c>
      <c r="HG290" s="9" t="str">
        <f>_xll.SNL.Clients.Office.Excel.Functions.SPG(HD290, "SP_COUNTRY_NAME")</f>
        <v>#INVALID COMPANY ID</v>
      </c>
    </row>
    <row r="291" spans="5:215" x14ac:dyDescent="0.35">
      <c r="E291" s="9" t="str">
        <f>_xll.SNL.Clients.Office.Excel.Functions.SPG(B291, "SP_COUNTRY_NAME")</f>
        <v>#INVALID COMPANY ID</v>
      </c>
      <c r="J291" s="9" t="str">
        <f>_xll.SNL.Clients.Office.Excel.Functions.SPG(G291, "SP_COUNTRY_NAME")</f>
        <v>#INVALID COMPANY ID</v>
      </c>
      <c r="O291" s="9" t="str">
        <f>_xll.SNL.Clients.Office.Excel.Functions.SPG(L291, "SP_COUNTRY_NAME")</f>
        <v>#INVALID COMPANY ID</v>
      </c>
      <c r="T291" s="9" t="str">
        <f>_xll.SNL.Clients.Office.Excel.Functions.SPG(Q291, "SP_COUNTRY_NAME")</f>
        <v>#INVALID COMPANY ID</v>
      </c>
      <c r="U291" t="s">
        <v>542</v>
      </c>
      <c r="V291">
        <v>4001519</v>
      </c>
      <c r="W291" t="s">
        <v>346</v>
      </c>
      <c r="X291" s="11">
        <v>0</v>
      </c>
      <c r="Y291" s="9" t="str">
        <f>_xll.SNL.Clients.Office.Excel.Functions.SPG(V291, "SP_COUNTRY_NAME")</f>
        <v>USA</v>
      </c>
      <c r="AD291" s="9" t="str">
        <f>_xll.SNL.Clients.Office.Excel.Functions.SPG(AA291, "SP_COUNTRY_NAME")</f>
        <v>#INVALID COMPANY ID</v>
      </c>
      <c r="AI291" s="9" t="str">
        <f>_xll.SNL.Clients.Office.Excel.Functions.SPG(AF291, "SP_COUNTRY_NAME")</f>
        <v>#INVALID COMPANY ID</v>
      </c>
      <c r="AN291" s="9" t="str">
        <f>_xll.SNL.Clients.Office.Excel.Functions.SPG(AK291, "SP_COUNTRY_NAME")</f>
        <v>#INVALID COMPANY ID</v>
      </c>
      <c r="AO291" t="s">
        <v>420</v>
      </c>
      <c r="AP291">
        <v>19342220</v>
      </c>
      <c r="AQ291" t="s">
        <v>346</v>
      </c>
      <c r="AR291" s="11">
        <v>0</v>
      </c>
      <c r="AS291" s="9" t="str">
        <f>_xll.SNL.Clients.Office.Excel.Functions.SPG(AP291, "SP_COUNTRY_NAME")</f>
        <v>USA</v>
      </c>
      <c r="AX291" s="9" t="str">
        <f>_xll.SNL.Clients.Office.Excel.Functions.SPG(AU291, "SP_COUNTRY_NAME")</f>
        <v>#INVALID COMPANY ID</v>
      </c>
      <c r="BC291" s="9" t="str">
        <f>_xll.SNL.Clients.Office.Excel.Functions.SPG(AZ291, "SP_COUNTRY_NAME")</f>
        <v>#INVALID COMPANY ID</v>
      </c>
      <c r="BD291" t="s">
        <v>1306</v>
      </c>
      <c r="BE291">
        <v>5879300</v>
      </c>
      <c r="BF291" t="s">
        <v>364</v>
      </c>
      <c r="BG291" s="11">
        <v>0</v>
      </c>
      <c r="BH291" s="9" t="str">
        <f>_xll.SNL.Clients.Office.Excel.Functions.SPG(BE291, "SP_COUNTRY_NAME")</f>
        <v>South Africa</v>
      </c>
      <c r="BM291" s="9" t="str">
        <f>_xll.SNL.Clients.Office.Excel.Functions.SPG(BJ291, "SP_COUNTRY_NAME")</f>
        <v>#INVALID COMPANY ID</v>
      </c>
      <c r="BN291" t="s">
        <v>526</v>
      </c>
      <c r="BO291">
        <v>4248288</v>
      </c>
      <c r="BP291" t="s">
        <v>346</v>
      </c>
      <c r="BQ291" s="11">
        <v>0</v>
      </c>
      <c r="BR291" s="9" t="str">
        <f>_xll.SNL.Clients.Office.Excel.Functions.SPG(BO291, "SP_COUNTRY_NAME")</f>
        <v>Canada</v>
      </c>
      <c r="BS291" t="s">
        <v>560</v>
      </c>
      <c r="BT291">
        <v>4095848</v>
      </c>
      <c r="BU291" t="s">
        <v>346</v>
      </c>
      <c r="BV291" s="11">
        <v>0</v>
      </c>
      <c r="BW291" s="9" t="str">
        <f>_xll.SNL.Clients.Office.Excel.Functions.SPG(BT291, "SP_COUNTRY_NAME")</f>
        <v>USA</v>
      </c>
      <c r="BX291" t="s">
        <v>542</v>
      </c>
      <c r="BY291">
        <v>4001519</v>
      </c>
      <c r="BZ291" t="s">
        <v>346</v>
      </c>
      <c r="CA291" s="11">
        <v>0</v>
      </c>
      <c r="CB291" s="9" t="str">
        <f>_xll.SNL.Clients.Office.Excel.Functions.SPG(BY291, "SP_COUNTRY_NAME")</f>
        <v>USA</v>
      </c>
      <c r="CC291" t="s">
        <v>1753</v>
      </c>
      <c r="CD291">
        <v>7062751</v>
      </c>
      <c r="CE291" t="s">
        <v>346</v>
      </c>
      <c r="CF291" s="11">
        <v>0.01</v>
      </c>
      <c r="CG291" s="9" t="str">
        <f>_xll.SNL.Clients.Office.Excel.Functions.SPG(CD291, "SP_COUNTRY_NAME")</f>
        <v>Canada</v>
      </c>
      <c r="CH291" t="s">
        <v>420</v>
      </c>
      <c r="CI291">
        <v>19342220</v>
      </c>
      <c r="CJ291" t="s">
        <v>346</v>
      </c>
      <c r="CK291" s="11">
        <v>0</v>
      </c>
      <c r="CL291" s="9" t="str">
        <f>_xll.SNL.Clients.Office.Excel.Functions.SPG(CI291, "SP_COUNTRY_NAME")</f>
        <v>USA</v>
      </c>
      <c r="CM291" t="s">
        <v>1340</v>
      </c>
      <c r="CN291">
        <v>5829348</v>
      </c>
      <c r="CO291" t="s">
        <v>346</v>
      </c>
      <c r="CP291" s="11">
        <v>0</v>
      </c>
      <c r="CQ291" s="9" t="str">
        <f>_xll.SNL.Clients.Office.Excel.Functions.SPG(CN291, "SP_COUNTRY_NAME")</f>
        <v>South Africa</v>
      </c>
      <c r="CV291" s="9" t="str">
        <f>_xll.SNL.Clients.Office.Excel.Functions.SPG(CS291, "SP_COUNTRY_NAME")</f>
        <v>#INVALID COMPANY ID</v>
      </c>
      <c r="DA291" s="9" t="str">
        <f>_xll.SNL.Clients.Office.Excel.Functions.SPG(CX291, "SP_COUNTRY_NAME")</f>
        <v>#INVALID COMPANY ID</v>
      </c>
      <c r="DB291" t="s">
        <v>1306</v>
      </c>
      <c r="DC291">
        <v>5879300</v>
      </c>
      <c r="DD291" t="s">
        <v>364</v>
      </c>
      <c r="DE291" s="11">
        <v>0</v>
      </c>
      <c r="DF291" s="9" t="str">
        <f>_xll.SNL.Clients.Office.Excel.Functions.SPG(DC291, "SP_COUNTRY_NAME")</f>
        <v>South Africa</v>
      </c>
      <c r="DK291" s="9" t="str">
        <f>_xll.SNL.Clients.Office.Excel.Functions.SPG(DH291, "SP_COUNTRY_NAME")</f>
        <v>#INVALID COMPANY ID</v>
      </c>
      <c r="DL291" t="s">
        <v>1306</v>
      </c>
      <c r="DM291">
        <v>5879300</v>
      </c>
      <c r="DN291" t="s">
        <v>364</v>
      </c>
      <c r="DO291" s="11">
        <v>0</v>
      </c>
      <c r="DP291" s="9" t="str">
        <f>_xll.SNL.Clients.Office.Excel.Functions.SPG(DM291, "SP_COUNTRY_NAME")</f>
        <v>South Africa</v>
      </c>
      <c r="DU291" s="9" t="str">
        <f>_xll.SNL.Clients.Office.Excel.Functions.SPG(DR291, "SP_COUNTRY_NAME")</f>
        <v>#INVALID COMPANY ID</v>
      </c>
      <c r="DZ291" s="9" t="str">
        <f>_xll.SNL.Clients.Office.Excel.Functions.SPG(DW291, "SP_COUNTRY_NAME")</f>
        <v>#INVALID COMPANY ID</v>
      </c>
      <c r="EA291" t="s">
        <v>1753</v>
      </c>
      <c r="EB291">
        <v>7062751</v>
      </c>
      <c r="EC291" t="s">
        <v>346</v>
      </c>
      <c r="ED291" s="11">
        <v>0.01</v>
      </c>
      <c r="EE291" s="9" t="str">
        <f>_xll.SNL.Clients.Office.Excel.Functions.SPG(EB291, "SP_COUNTRY_NAME")</f>
        <v>Canada</v>
      </c>
      <c r="EF291" t="s">
        <v>1306</v>
      </c>
      <c r="EG291">
        <v>5879300</v>
      </c>
      <c r="EH291" t="s">
        <v>364</v>
      </c>
      <c r="EI291" s="11">
        <v>0</v>
      </c>
      <c r="EJ291" s="9" t="str">
        <f>_xll.SNL.Clients.Office.Excel.Functions.SPG(EG291, "SP_COUNTRY_NAME")</f>
        <v>South Africa</v>
      </c>
      <c r="EO291" s="9" t="str">
        <f>_xll.SNL.Clients.Office.Excel.Functions.SPG(EL291, "SP_COUNTRY_NAME")</f>
        <v>#INVALID COMPANY ID</v>
      </c>
      <c r="ET291" s="9" t="str">
        <f>_xll.SNL.Clients.Office.Excel.Functions.SPG(EQ291, "SP_COUNTRY_NAME")</f>
        <v>#INVALID COMPANY ID</v>
      </c>
      <c r="EY291" s="9" t="str">
        <f>_xll.SNL.Clients.Office.Excel.Functions.SPG(EV291, "SP_COUNTRY_NAME")</f>
        <v>#INVALID COMPANY ID</v>
      </c>
      <c r="FD291" s="9" t="str">
        <f>_xll.SNL.Clients.Office.Excel.Functions.SPG(FA291, "SP_COUNTRY_NAME")</f>
        <v>#INVALID COMPANY ID</v>
      </c>
      <c r="FI291" s="9" t="str">
        <f>_xll.SNL.Clients.Office.Excel.Functions.SPG(FF291, "SP_COUNTRY_NAME")</f>
        <v>#INVALID COMPANY ID</v>
      </c>
      <c r="FN291" s="9" t="str">
        <f>_xll.SNL.Clients.Office.Excel.Functions.SPG(FK291, "SP_COUNTRY_NAME")</f>
        <v>#INVALID COMPANY ID</v>
      </c>
      <c r="FS291" s="9" t="str">
        <f>_xll.SNL.Clients.Office.Excel.Functions.SPG(FP291, "SP_COUNTRY_NAME")</f>
        <v>#INVALID COMPANY ID</v>
      </c>
      <c r="FX291" s="9" t="str">
        <f>_xll.SNL.Clients.Office.Excel.Functions.SPG(FU291, "SP_COUNTRY_NAME")</f>
        <v>#INVALID COMPANY ID</v>
      </c>
      <c r="FY291" t="s">
        <v>1306</v>
      </c>
      <c r="FZ291">
        <v>5879300</v>
      </c>
      <c r="GA291" t="s">
        <v>364</v>
      </c>
      <c r="GB291" s="11">
        <v>0</v>
      </c>
      <c r="GC291" s="9" t="str">
        <f>_xll.SNL.Clients.Office.Excel.Functions.SPG(FZ291, "SP_COUNTRY_NAME")</f>
        <v>South Africa</v>
      </c>
      <c r="GH291" s="9" t="str">
        <f>_xll.SNL.Clients.Office.Excel.Functions.SPG(GE291, "SP_COUNTRY_NAME")</f>
        <v>#INVALID COMPANY ID</v>
      </c>
      <c r="GM291" s="9" t="str">
        <f>_xll.SNL.Clients.Office.Excel.Functions.SPG(GJ291, "SP_COUNTRY_NAME")</f>
        <v>#INVALID COMPANY ID</v>
      </c>
      <c r="GR291" s="9" t="str">
        <f>_xll.SNL.Clients.Office.Excel.Functions.SPG(GO291, "SP_COUNTRY_NAME")</f>
        <v>#INVALID COMPANY ID</v>
      </c>
      <c r="GS291" t="s">
        <v>526</v>
      </c>
      <c r="GT291">
        <v>4248288</v>
      </c>
      <c r="GU291" t="s">
        <v>346</v>
      </c>
      <c r="GV291" s="11">
        <v>0</v>
      </c>
      <c r="GW291" s="9" t="str">
        <f>_xll.SNL.Clients.Office.Excel.Functions.SPG(GT291, "SP_COUNTRY_NAME")</f>
        <v>Canada</v>
      </c>
      <c r="GX291" t="s">
        <v>1753</v>
      </c>
      <c r="GY291">
        <v>7062751</v>
      </c>
      <c r="GZ291" t="s">
        <v>346</v>
      </c>
      <c r="HA291" s="11">
        <v>0.01</v>
      </c>
      <c r="HB291" s="9" t="str">
        <f>_xll.SNL.Clients.Office.Excel.Functions.SPG(GY291, "SP_COUNTRY_NAME")</f>
        <v>Canada</v>
      </c>
      <c r="HG291" s="9" t="str">
        <f>_xll.SNL.Clients.Office.Excel.Functions.SPG(HD291, "SP_COUNTRY_NAME")</f>
        <v>#INVALID COMPANY ID</v>
      </c>
    </row>
    <row r="292" spans="5:215" x14ac:dyDescent="0.35">
      <c r="E292" s="9" t="str">
        <f>_xll.SNL.Clients.Office.Excel.Functions.SPG(B292, "SP_COUNTRY_NAME")</f>
        <v>#INVALID COMPANY ID</v>
      </c>
      <c r="J292" s="9" t="str">
        <f>_xll.SNL.Clients.Office.Excel.Functions.SPG(G292, "SP_COUNTRY_NAME")</f>
        <v>#INVALID COMPANY ID</v>
      </c>
      <c r="O292" s="9" t="str">
        <f>_xll.SNL.Clients.Office.Excel.Functions.SPG(L292, "SP_COUNTRY_NAME")</f>
        <v>#INVALID COMPANY ID</v>
      </c>
      <c r="T292" s="9" t="str">
        <f>_xll.SNL.Clients.Office.Excel.Functions.SPG(Q292, "SP_COUNTRY_NAME")</f>
        <v>#INVALID COMPANY ID</v>
      </c>
      <c r="U292" t="s">
        <v>509</v>
      </c>
      <c r="V292">
        <v>4226520</v>
      </c>
      <c r="W292" t="s">
        <v>346</v>
      </c>
      <c r="X292" s="11">
        <v>0</v>
      </c>
      <c r="Y292" s="9" t="str">
        <f>_xll.SNL.Clients.Office.Excel.Functions.SPG(V292, "SP_COUNTRY_NAME")</f>
        <v>Canada</v>
      </c>
      <c r="AD292" s="9" t="str">
        <f>_xll.SNL.Clients.Office.Excel.Functions.SPG(AA292, "SP_COUNTRY_NAME")</f>
        <v>#INVALID COMPANY ID</v>
      </c>
      <c r="AI292" s="9" t="str">
        <f>_xll.SNL.Clients.Office.Excel.Functions.SPG(AF292, "SP_COUNTRY_NAME")</f>
        <v>#INVALID COMPANY ID</v>
      </c>
      <c r="AN292" s="9" t="str">
        <f>_xll.SNL.Clients.Office.Excel.Functions.SPG(AK292, "SP_COUNTRY_NAME")</f>
        <v>#INVALID COMPANY ID</v>
      </c>
      <c r="AO292" t="s">
        <v>392</v>
      </c>
      <c r="AP292">
        <v>4398826</v>
      </c>
      <c r="AQ292" t="s">
        <v>346</v>
      </c>
      <c r="AR292" s="11">
        <v>0</v>
      </c>
      <c r="AS292" s="9" t="str">
        <f>_xll.SNL.Clients.Office.Excel.Functions.SPG(AP292, "SP_COUNTRY_NAME")</f>
        <v>USA</v>
      </c>
      <c r="AX292" s="9" t="str">
        <f>_xll.SNL.Clients.Office.Excel.Functions.SPG(AU292, "SP_COUNTRY_NAME")</f>
        <v>#INVALID COMPANY ID</v>
      </c>
      <c r="BC292" s="9" t="str">
        <f>_xll.SNL.Clients.Office.Excel.Functions.SPG(AZ292, "SP_COUNTRY_NAME")</f>
        <v>#INVALID COMPANY ID</v>
      </c>
      <c r="BD292" t="s">
        <v>1313</v>
      </c>
      <c r="BE292">
        <v>5777655</v>
      </c>
      <c r="BF292" t="s">
        <v>346</v>
      </c>
      <c r="BG292" s="11">
        <v>0</v>
      </c>
      <c r="BH292" s="9" t="str">
        <f>_xll.SNL.Clients.Office.Excel.Functions.SPG(BE292, "SP_COUNTRY_NAME")</f>
        <v>South Africa</v>
      </c>
      <c r="BM292" s="9" t="str">
        <f>_xll.SNL.Clients.Office.Excel.Functions.SPG(BJ292, "SP_COUNTRY_NAME")</f>
        <v>#INVALID COMPANY ID</v>
      </c>
      <c r="BN292" t="s">
        <v>883</v>
      </c>
      <c r="BO292">
        <v>4288829</v>
      </c>
      <c r="BP292" t="s">
        <v>364</v>
      </c>
      <c r="BQ292" s="11">
        <v>0</v>
      </c>
      <c r="BR292" s="9" t="str">
        <f>_xll.SNL.Clients.Office.Excel.Functions.SPG(BO292, "SP_COUNTRY_NAME")</f>
        <v>Hong Kong</v>
      </c>
      <c r="BS292" t="s">
        <v>513</v>
      </c>
      <c r="BT292">
        <v>4139819</v>
      </c>
      <c r="BU292" t="s">
        <v>346</v>
      </c>
      <c r="BV292" s="11">
        <v>0</v>
      </c>
      <c r="BW292" s="9" t="str">
        <f>_xll.SNL.Clients.Office.Excel.Functions.SPG(BT292, "SP_COUNTRY_NAME")</f>
        <v>Singapore</v>
      </c>
      <c r="BX292" t="s">
        <v>509</v>
      </c>
      <c r="BY292">
        <v>4226520</v>
      </c>
      <c r="BZ292" t="s">
        <v>346</v>
      </c>
      <c r="CA292" s="11">
        <v>0</v>
      </c>
      <c r="CB292" s="9" t="str">
        <f>_xll.SNL.Clients.Office.Excel.Functions.SPG(BY292, "SP_COUNTRY_NAME")</f>
        <v>Canada</v>
      </c>
      <c r="CC292" t="s">
        <v>1754</v>
      </c>
      <c r="CD292">
        <v>4583833</v>
      </c>
      <c r="CE292" t="s">
        <v>276</v>
      </c>
      <c r="CF292" s="11">
        <v>0.01</v>
      </c>
      <c r="CG292" s="9" t="str">
        <f>_xll.SNL.Clients.Office.Excel.Functions.SPG(CD292, "SP_COUNTRY_NAME")</f>
        <v>USA</v>
      </c>
      <c r="CH292" t="s">
        <v>392</v>
      </c>
      <c r="CI292">
        <v>4398826</v>
      </c>
      <c r="CJ292" t="s">
        <v>346</v>
      </c>
      <c r="CK292" s="11">
        <v>0</v>
      </c>
      <c r="CL292" s="9" t="str">
        <f>_xll.SNL.Clients.Office.Excel.Functions.SPG(CI292, "SP_COUNTRY_NAME")</f>
        <v>USA</v>
      </c>
      <c r="CM292" t="s">
        <v>2023</v>
      </c>
      <c r="CN292">
        <v>105908838</v>
      </c>
      <c r="CO292" t="s">
        <v>364</v>
      </c>
      <c r="CP292" s="11">
        <v>0</v>
      </c>
      <c r="CQ292" s="9" t="str">
        <f>_xll.SNL.Clients.Office.Excel.Functions.SPG(CN292, "SP_COUNTRY_NAME")</f>
        <v>USA</v>
      </c>
      <c r="CV292" s="9" t="str">
        <f>_xll.SNL.Clients.Office.Excel.Functions.SPG(CS292, "SP_COUNTRY_NAME")</f>
        <v>#INVALID COMPANY ID</v>
      </c>
      <c r="DA292" s="9" t="str">
        <f>_xll.SNL.Clients.Office.Excel.Functions.SPG(CX292, "SP_COUNTRY_NAME")</f>
        <v>#INVALID COMPANY ID</v>
      </c>
      <c r="DB292" t="s">
        <v>1313</v>
      </c>
      <c r="DC292">
        <v>5777655</v>
      </c>
      <c r="DD292" t="s">
        <v>346</v>
      </c>
      <c r="DE292" s="11">
        <v>0</v>
      </c>
      <c r="DF292" s="9" t="str">
        <f>_xll.SNL.Clients.Office.Excel.Functions.SPG(DC292, "SP_COUNTRY_NAME")</f>
        <v>South Africa</v>
      </c>
      <c r="DK292" s="9" t="str">
        <f>_xll.SNL.Clients.Office.Excel.Functions.SPG(DH292, "SP_COUNTRY_NAME")</f>
        <v>#INVALID COMPANY ID</v>
      </c>
      <c r="DL292" t="s">
        <v>1313</v>
      </c>
      <c r="DM292">
        <v>5777655</v>
      </c>
      <c r="DN292" t="s">
        <v>346</v>
      </c>
      <c r="DO292" s="11">
        <v>0</v>
      </c>
      <c r="DP292" s="9" t="str">
        <f>_xll.SNL.Clients.Office.Excel.Functions.SPG(DM292, "SP_COUNTRY_NAME")</f>
        <v>South Africa</v>
      </c>
      <c r="DU292" s="9" t="str">
        <f>_xll.SNL.Clients.Office.Excel.Functions.SPG(DR292, "SP_COUNTRY_NAME")</f>
        <v>#INVALID COMPANY ID</v>
      </c>
      <c r="DZ292" s="9" t="str">
        <f>_xll.SNL.Clients.Office.Excel.Functions.SPG(DW292, "SP_COUNTRY_NAME")</f>
        <v>#INVALID COMPANY ID</v>
      </c>
      <c r="EA292" t="s">
        <v>1754</v>
      </c>
      <c r="EB292">
        <v>4583833</v>
      </c>
      <c r="EC292" t="s">
        <v>276</v>
      </c>
      <c r="ED292" s="11">
        <v>0.01</v>
      </c>
      <c r="EE292" s="9" t="str">
        <f>_xll.SNL.Clients.Office.Excel.Functions.SPG(EB292, "SP_COUNTRY_NAME")</f>
        <v>USA</v>
      </c>
      <c r="EF292" t="s">
        <v>1313</v>
      </c>
      <c r="EG292">
        <v>5777655</v>
      </c>
      <c r="EH292" t="s">
        <v>346</v>
      </c>
      <c r="EI292" s="11">
        <v>0</v>
      </c>
      <c r="EJ292" s="9" t="str">
        <f>_xll.SNL.Clients.Office.Excel.Functions.SPG(EG292, "SP_COUNTRY_NAME")</f>
        <v>South Africa</v>
      </c>
      <c r="EO292" s="9" t="str">
        <f>_xll.SNL.Clients.Office.Excel.Functions.SPG(EL292, "SP_COUNTRY_NAME")</f>
        <v>#INVALID COMPANY ID</v>
      </c>
      <c r="ET292" s="9" t="str">
        <f>_xll.SNL.Clients.Office.Excel.Functions.SPG(EQ292, "SP_COUNTRY_NAME")</f>
        <v>#INVALID COMPANY ID</v>
      </c>
      <c r="EY292" s="9" t="str">
        <f>_xll.SNL.Clients.Office.Excel.Functions.SPG(EV292, "SP_COUNTRY_NAME")</f>
        <v>#INVALID COMPANY ID</v>
      </c>
      <c r="FD292" s="9" t="str">
        <f>_xll.SNL.Clients.Office.Excel.Functions.SPG(FA292, "SP_COUNTRY_NAME")</f>
        <v>#INVALID COMPANY ID</v>
      </c>
      <c r="FI292" s="9" t="str">
        <f>_xll.SNL.Clients.Office.Excel.Functions.SPG(FF292, "SP_COUNTRY_NAME")</f>
        <v>#INVALID COMPANY ID</v>
      </c>
      <c r="FN292" s="9" t="str">
        <f>_xll.SNL.Clients.Office.Excel.Functions.SPG(FK292, "SP_COUNTRY_NAME")</f>
        <v>#INVALID COMPANY ID</v>
      </c>
      <c r="FS292" s="9" t="str">
        <f>_xll.SNL.Clients.Office.Excel.Functions.SPG(FP292, "SP_COUNTRY_NAME")</f>
        <v>#INVALID COMPANY ID</v>
      </c>
      <c r="FX292" s="9" t="str">
        <f>_xll.SNL.Clients.Office.Excel.Functions.SPG(FU292, "SP_COUNTRY_NAME")</f>
        <v>#INVALID COMPANY ID</v>
      </c>
      <c r="FY292" t="s">
        <v>1313</v>
      </c>
      <c r="FZ292">
        <v>5777655</v>
      </c>
      <c r="GA292" t="s">
        <v>346</v>
      </c>
      <c r="GB292" s="11">
        <v>0</v>
      </c>
      <c r="GC292" s="9" t="str">
        <f>_xll.SNL.Clients.Office.Excel.Functions.SPG(FZ292, "SP_COUNTRY_NAME")</f>
        <v>South Africa</v>
      </c>
      <c r="GH292" s="9" t="str">
        <f>_xll.SNL.Clients.Office.Excel.Functions.SPG(GE292, "SP_COUNTRY_NAME")</f>
        <v>#INVALID COMPANY ID</v>
      </c>
      <c r="GM292" s="9" t="str">
        <f>_xll.SNL.Clients.Office.Excel.Functions.SPG(GJ292, "SP_COUNTRY_NAME")</f>
        <v>#INVALID COMPANY ID</v>
      </c>
      <c r="GR292" s="9" t="str">
        <f>_xll.SNL.Clients.Office.Excel.Functions.SPG(GO292, "SP_COUNTRY_NAME")</f>
        <v>#INVALID COMPANY ID</v>
      </c>
      <c r="GS292" t="s">
        <v>883</v>
      </c>
      <c r="GT292">
        <v>4288829</v>
      </c>
      <c r="GU292" t="s">
        <v>364</v>
      </c>
      <c r="GV292" s="11">
        <v>0</v>
      </c>
      <c r="GW292" s="9" t="str">
        <f>_xll.SNL.Clients.Office.Excel.Functions.SPG(GT292, "SP_COUNTRY_NAME")</f>
        <v>Hong Kong</v>
      </c>
      <c r="GX292" t="s">
        <v>1754</v>
      </c>
      <c r="GY292">
        <v>4583833</v>
      </c>
      <c r="GZ292" t="s">
        <v>276</v>
      </c>
      <c r="HA292" s="11">
        <v>0.01</v>
      </c>
      <c r="HB292" s="9" t="str">
        <f>_xll.SNL.Clients.Office.Excel.Functions.SPG(GY292, "SP_COUNTRY_NAME")</f>
        <v>USA</v>
      </c>
      <c r="HG292" s="9" t="str">
        <f>_xll.SNL.Clients.Office.Excel.Functions.SPG(HD292, "SP_COUNTRY_NAME")</f>
        <v>#INVALID COMPANY ID</v>
      </c>
    </row>
    <row r="293" spans="5:215" x14ac:dyDescent="0.35">
      <c r="E293" s="9" t="str">
        <f>_xll.SNL.Clients.Office.Excel.Functions.SPG(B293, "SP_COUNTRY_NAME")</f>
        <v>#INVALID COMPANY ID</v>
      </c>
      <c r="J293" s="9" t="str">
        <f>_xll.SNL.Clients.Office.Excel.Functions.SPG(G293, "SP_COUNTRY_NAME")</f>
        <v>#INVALID COMPANY ID</v>
      </c>
      <c r="O293" s="9" t="str">
        <f>_xll.SNL.Clients.Office.Excel.Functions.SPG(L293, "SP_COUNTRY_NAME")</f>
        <v>#INVALID COMPANY ID</v>
      </c>
      <c r="T293" s="9" t="str">
        <f>_xll.SNL.Clients.Office.Excel.Functions.SPG(Q293, "SP_COUNTRY_NAME")</f>
        <v>#INVALID COMPANY ID</v>
      </c>
      <c r="U293" t="s">
        <v>434</v>
      </c>
      <c r="V293">
        <v>4120033</v>
      </c>
      <c r="W293" t="s">
        <v>346</v>
      </c>
      <c r="X293" s="11">
        <v>0</v>
      </c>
      <c r="Y293" s="9" t="str">
        <f>_xll.SNL.Clients.Office.Excel.Functions.SPG(V293, "SP_COUNTRY_NAME")</f>
        <v>Japan</v>
      </c>
      <c r="AD293" s="9" t="str">
        <f>_xll.SNL.Clients.Office.Excel.Functions.SPG(AA293, "SP_COUNTRY_NAME")</f>
        <v>#INVALID COMPANY ID</v>
      </c>
      <c r="AI293" s="9" t="str">
        <f>_xll.SNL.Clients.Office.Excel.Functions.SPG(AF293, "SP_COUNTRY_NAME")</f>
        <v>#INVALID COMPANY ID</v>
      </c>
      <c r="AN293" s="9" t="str">
        <f>_xll.SNL.Clients.Office.Excel.Functions.SPG(AK293, "SP_COUNTRY_NAME")</f>
        <v>#INVALID COMPANY ID</v>
      </c>
      <c r="AS293" s="9" t="str">
        <f>_xll.SNL.Clients.Office.Excel.Functions.SPG(AP293, "SP_COUNTRY_NAME")</f>
        <v>#INVALID COMPANY ID</v>
      </c>
      <c r="AX293" s="9" t="str">
        <f>_xll.SNL.Clients.Office.Excel.Functions.SPG(AU293, "SP_COUNTRY_NAME")</f>
        <v>#INVALID COMPANY ID</v>
      </c>
      <c r="BC293" s="9" t="str">
        <f>_xll.SNL.Clients.Office.Excel.Functions.SPG(AZ293, "SP_COUNTRY_NAME")</f>
        <v>#INVALID COMPANY ID</v>
      </c>
      <c r="BD293" t="s">
        <v>492</v>
      </c>
      <c r="BE293">
        <v>110674</v>
      </c>
      <c r="BF293" t="s">
        <v>346</v>
      </c>
      <c r="BG293" s="11">
        <v>0</v>
      </c>
      <c r="BH293" s="9" t="str">
        <f>_xll.SNL.Clients.Office.Excel.Functions.SPG(BE293, "SP_COUNTRY_NAME")</f>
        <v>USA</v>
      </c>
      <c r="BM293" s="9" t="str">
        <f>_xll.SNL.Clients.Office.Excel.Functions.SPG(BJ293, "SP_COUNTRY_NAME")</f>
        <v>#INVALID COMPANY ID</v>
      </c>
      <c r="BN293" t="s">
        <v>818</v>
      </c>
      <c r="BO293">
        <v>5819977</v>
      </c>
      <c r="BP293" t="s">
        <v>346</v>
      </c>
      <c r="BQ293" s="11">
        <v>0</v>
      </c>
      <c r="BR293" s="9" t="str">
        <f>_xll.SNL.Clients.Office.Excel.Functions.SPG(BO293, "SP_COUNTRY_NAME")</f>
        <v>China</v>
      </c>
      <c r="BS293" t="s">
        <v>775</v>
      </c>
      <c r="BT293">
        <v>19448171</v>
      </c>
      <c r="BU293" t="s">
        <v>346</v>
      </c>
      <c r="BV293" s="11">
        <v>0</v>
      </c>
      <c r="BW293" s="9" t="str">
        <f>_xll.SNL.Clients.Office.Excel.Functions.SPG(BT293, "SP_COUNTRY_NAME")</f>
        <v>China</v>
      </c>
      <c r="BX293" t="s">
        <v>434</v>
      </c>
      <c r="BY293">
        <v>4120033</v>
      </c>
      <c r="BZ293" t="s">
        <v>346</v>
      </c>
      <c r="CA293" s="11">
        <v>0</v>
      </c>
      <c r="CB293" s="9" t="str">
        <f>_xll.SNL.Clients.Office.Excel.Functions.SPG(BY293, "SP_COUNTRY_NAME")</f>
        <v>Japan</v>
      </c>
      <c r="CC293" t="s">
        <v>458</v>
      </c>
      <c r="CD293">
        <v>109806</v>
      </c>
      <c r="CE293" t="s">
        <v>346</v>
      </c>
      <c r="CF293" s="11">
        <v>0.01</v>
      </c>
      <c r="CG293" s="9" t="str">
        <f>_xll.SNL.Clients.Office.Excel.Functions.SPG(CD293, "SP_COUNTRY_NAME")</f>
        <v>USA</v>
      </c>
      <c r="CL293" s="9" t="str">
        <f>_xll.SNL.Clients.Office.Excel.Functions.SPG(CI293, "SP_COUNTRY_NAME")</f>
        <v>#INVALID COMPANY ID</v>
      </c>
      <c r="CM293" t="s">
        <v>2024</v>
      </c>
      <c r="CN293">
        <v>101288928</v>
      </c>
      <c r="CO293" t="s">
        <v>346</v>
      </c>
      <c r="CP293" s="11">
        <v>0</v>
      </c>
      <c r="CQ293" s="9" t="str">
        <f>_xll.SNL.Clients.Office.Excel.Functions.SPG(CN293, "SP_COUNTRY_NAME")</f>
        <v>USA</v>
      </c>
      <c r="CV293" s="9" t="str">
        <f>_xll.SNL.Clients.Office.Excel.Functions.SPG(CS293, "SP_COUNTRY_NAME")</f>
        <v>#INVALID COMPANY ID</v>
      </c>
      <c r="DA293" s="9" t="str">
        <f>_xll.SNL.Clients.Office.Excel.Functions.SPG(CX293, "SP_COUNTRY_NAME")</f>
        <v>#INVALID COMPANY ID</v>
      </c>
      <c r="DB293" t="s">
        <v>492</v>
      </c>
      <c r="DC293">
        <v>110674</v>
      </c>
      <c r="DD293" t="s">
        <v>346</v>
      </c>
      <c r="DE293" s="11">
        <v>0</v>
      </c>
      <c r="DF293" s="9" t="str">
        <f>_xll.SNL.Clients.Office.Excel.Functions.SPG(DC293, "SP_COUNTRY_NAME")</f>
        <v>USA</v>
      </c>
      <c r="DK293" s="9" t="str">
        <f>_xll.SNL.Clients.Office.Excel.Functions.SPG(DH293, "SP_COUNTRY_NAME")</f>
        <v>#INVALID COMPANY ID</v>
      </c>
      <c r="DL293" t="s">
        <v>492</v>
      </c>
      <c r="DM293">
        <v>110674</v>
      </c>
      <c r="DN293" t="s">
        <v>346</v>
      </c>
      <c r="DO293" s="11">
        <v>0</v>
      </c>
      <c r="DP293" s="9" t="str">
        <f>_xll.SNL.Clients.Office.Excel.Functions.SPG(DM293, "SP_COUNTRY_NAME")</f>
        <v>USA</v>
      </c>
      <c r="DU293" s="9" t="str">
        <f>_xll.SNL.Clients.Office.Excel.Functions.SPG(DR293, "SP_COUNTRY_NAME")</f>
        <v>#INVALID COMPANY ID</v>
      </c>
      <c r="DZ293" s="9" t="str">
        <f>_xll.SNL.Clients.Office.Excel.Functions.SPG(DW293, "SP_COUNTRY_NAME")</f>
        <v>#INVALID COMPANY ID</v>
      </c>
      <c r="EA293" t="s">
        <v>458</v>
      </c>
      <c r="EB293">
        <v>109806</v>
      </c>
      <c r="EC293" t="s">
        <v>346</v>
      </c>
      <c r="ED293" s="11">
        <v>0.01</v>
      </c>
      <c r="EE293" s="9" t="str">
        <f>_xll.SNL.Clients.Office.Excel.Functions.SPG(EB293, "SP_COUNTRY_NAME")</f>
        <v>USA</v>
      </c>
      <c r="EF293" t="s">
        <v>492</v>
      </c>
      <c r="EG293">
        <v>110674</v>
      </c>
      <c r="EH293" t="s">
        <v>346</v>
      </c>
      <c r="EI293" s="11">
        <v>0</v>
      </c>
      <c r="EJ293" s="9" t="str">
        <f>_xll.SNL.Clients.Office.Excel.Functions.SPG(EG293, "SP_COUNTRY_NAME")</f>
        <v>USA</v>
      </c>
      <c r="EO293" s="9" t="str">
        <f>_xll.SNL.Clients.Office.Excel.Functions.SPG(EL293, "SP_COUNTRY_NAME")</f>
        <v>#INVALID COMPANY ID</v>
      </c>
      <c r="ET293" s="9" t="str">
        <f>_xll.SNL.Clients.Office.Excel.Functions.SPG(EQ293, "SP_COUNTRY_NAME")</f>
        <v>#INVALID COMPANY ID</v>
      </c>
      <c r="EY293" s="9" t="str">
        <f>_xll.SNL.Clients.Office.Excel.Functions.SPG(EV293, "SP_COUNTRY_NAME")</f>
        <v>#INVALID COMPANY ID</v>
      </c>
      <c r="FD293" s="9" t="str">
        <f>_xll.SNL.Clients.Office.Excel.Functions.SPG(FA293, "SP_COUNTRY_NAME")</f>
        <v>#INVALID COMPANY ID</v>
      </c>
      <c r="FI293" s="9" t="str">
        <f>_xll.SNL.Clients.Office.Excel.Functions.SPG(FF293, "SP_COUNTRY_NAME")</f>
        <v>#INVALID COMPANY ID</v>
      </c>
      <c r="FN293" s="9" t="str">
        <f>_xll.SNL.Clients.Office.Excel.Functions.SPG(FK293, "SP_COUNTRY_NAME")</f>
        <v>#INVALID COMPANY ID</v>
      </c>
      <c r="FS293" s="9" t="str">
        <f>_xll.SNL.Clients.Office.Excel.Functions.SPG(FP293, "SP_COUNTRY_NAME")</f>
        <v>#INVALID COMPANY ID</v>
      </c>
      <c r="FX293" s="9" t="str">
        <f>_xll.SNL.Clients.Office.Excel.Functions.SPG(FU293, "SP_COUNTRY_NAME")</f>
        <v>#INVALID COMPANY ID</v>
      </c>
      <c r="FY293" t="s">
        <v>492</v>
      </c>
      <c r="FZ293">
        <v>110674</v>
      </c>
      <c r="GA293" t="s">
        <v>346</v>
      </c>
      <c r="GB293" s="11">
        <v>0</v>
      </c>
      <c r="GC293" s="9" t="str">
        <f>_xll.SNL.Clients.Office.Excel.Functions.SPG(FZ293, "SP_COUNTRY_NAME")</f>
        <v>USA</v>
      </c>
      <c r="GH293" s="9" t="str">
        <f>_xll.SNL.Clients.Office.Excel.Functions.SPG(GE293, "SP_COUNTRY_NAME")</f>
        <v>#INVALID COMPANY ID</v>
      </c>
      <c r="GM293" s="9" t="str">
        <f>_xll.SNL.Clients.Office.Excel.Functions.SPG(GJ293, "SP_COUNTRY_NAME")</f>
        <v>#INVALID COMPANY ID</v>
      </c>
      <c r="GR293" s="9" t="str">
        <f>_xll.SNL.Clients.Office.Excel.Functions.SPG(GO293, "SP_COUNTRY_NAME")</f>
        <v>#INVALID COMPANY ID</v>
      </c>
      <c r="GS293" t="s">
        <v>818</v>
      </c>
      <c r="GT293">
        <v>5819977</v>
      </c>
      <c r="GU293" t="s">
        <v>346</v>
      </c>
      <c r="GV293" s="11">
        <v>0</v>
      </c>
      <c r="GW293" s="9" t="str">
        <f>_xll.SNL.Clients.Office.Excel.Functions.SPG(GT293, "SP_COUNTRY_NAME")</f>
        <v>China</v>
      </c>
      <c r="GX293" t="s">
        <v>458</v>
      </c>
      <c r="GY293">
        <v>109806</v>
      </c>
      <c r="GZ293" t="s">
        <v>346</v>
      </c>
      <c r="HA293" s="11">
        <v>0.01</v>
      </c>
      <c r="HB293" s="9" t="str">
        <f>_xll.SNL.Clients.Office.Excel.Functions.SPG(GY293, "SP_COUNTRY_NAME")</f>
        <v>USA</v>
      </c>
      <c r="HG293" s="9" t="str">
        <f>_xll.SNL.Clients.Office.Excel.Functions.SPG(HD293, "SP_COUNTRY_NAME")</f>
        <v>#INVALID COMPANY ID</v>
      </c>
    </row>
    <row r="294" spans="5:215" x14ac:dyDescent="0.35">
      <c r="E294" s="9" t="str">
        <f>_xll.SNL.Clients.Office.Excel.Functions.SPG(B294, "SP_COUNTRY_NAME")</f>
        <v>#INVALID COMPANY ID</v>
      </c>
      <c r="J294" s="9" t="str">
        <f>_xll.SNL.Clients.Office.Excel.Functions.SPG(G294, "SP_COUNTRY_NAME")</f>
        <v>#INVALID COMPANY ID</v>
      </c>
      <c r="O294" s="9" t="str">
        <f>_xll.SNL.Clients.Office.Excel.Functions.SPG(L294, "SP_COUNTRY_NAME")</f>
        <v>#INVALID COMPANY ID</v>
      </c>
      <c r="T294" s="9" t="str">
        <f>_xll.SNL.Clients.Office.Excel.Functions.SPG(Q294, "SP_COUNTRY_NAME")</f>
        <v>#INVALID COMPANY ID</v>
      </c>
      <c r="U294" t="s">
        <v>851</v>
      </c>
      <c r="V294">
        <v>4405395</v>
      </c>
      <c r="W294" t="s">
        <v>346</v>
      </c>
      <c r="X294" s="11">
        <v>0</v>
      </c>
      <c r="Y294" s="9" t="str">
        <f>_xll.SNL.Clients.Office.Excel.Functions.SPG(V294, "SP_COUNTRY_NAME")</f>
        <v>United Kingdom</v>
      </c>
      <c r="AD294" s="9" t="str">
        <f>_xll.SNL.Clients.Office.Excel.Functions.SPG(AA294, "SP_COUNTRY_NAME")</f>
        <v>#INVALID COMPANY ID</v>
      </c>
      <c r="AI294" s="9" t="str">
        <f>_xll.SNL.Clients.Office.Excel.Functions.SPG(AF294, "SP_COUNTRY_NAME")</f>
        <v>#INVALID COMPANY ID</v>
      </c>
      <c r="AN294" s="9" t="str">
        <f>_xll.SNL.Clients.Office.Excel.Functions.SPG(AK294, "SP_COUNTRY_NAME")</f>
        <v>#INVALID COMPANY ID</v>
      </c>
      <c r="AS294" s="9" t="str">
        <f>_xll.SNL.Clients.Office.Excel.Functions.SPG(AP294, "SP_COUNTRY_NAME")</f>
        <v>#INVALID COMPANY ID</v>
      </c>
      <c r="AX294" s="9" t="str">
        <f>_xll.SNL.Clients.Office.Excel.Functions.SPG(AU294, "SP_COUNTRY_NAME")</f>
        <v>#INVALID COMPANY ID</v>
      </c>
      <c r="BC294" s="9" t="str">
        <f>_xll.SNL.Clients.Office.Excel.Functions.SPG(AZ294, "SP_COUNTRY_NAME")</f>
        <v>#INVALID COMPANY ID</v>
      </c>
      <c r="BD294" t="s">
        <v>1480</v>
      </c>
      <c r="BE294">
        <v>4339647</v>
      </c>
      <c r="BF294" t="s">
        <v>364</v>
      </c>
      <c r="BG294" s="11">
        <v>0</v>
      </c>
      <c r="BH294" s="9" t="str">
        <f>_xll.SNL.Clients.Office.Excel.Functions.SPG(BE294, "SP_COUNTRY_NAME")</f>
        <v>United Kingdom</v>
      </c>
      <c r="BM294" s="9" t="str">
        <f>_xll.SNL.Clients.Office.Excel.Functions.SPG(BJ294, "SP_COUNTRY_NAME")</f>
        <v>#INVALID COMPANY ID</v>
      </c>
      <c r="BN294" t="s">
        <v>517</v>
      </c>
      <c r="BO294">
        <v>111097</v>
      </c>
      <c r="BP294" t="s">
        <v>346</v>
      </c>
      <c r="BQ294" s="11">
        <v>0</v>
      </c>
      <c r="BR294" s="9" t="str">
        <f>_xll.SNL.Clients.Office.Excel.Functions.SPG(BO294, "SP_COUNTRY_NAME")</f>
        <v>USA</v>
      </c>
      <c r="BS294" t="s">
        <v>475</v>
      </c>
      <c r="BT294">
        <v>4115935</v>
      </c>
      <c r="BU294" t="s">
        <v>346</v>
      </c>
      <c r="BV294" s="11">
        <v>0</v>
      </c>
      <c r="BW294" s="9" t="str">
        <f>_xll.SNL.Clients.Office.Excel.Functions.SPG(BT294, "SP_COUNTRY_NAME")</f>
        <v>USA</v>
      </c>
      <c r="BX294" t="s">
        <v>851</v>
      </c>
      <c r="BY294">
        <v>4405395</v>
      </c>
      <c r="BZ294" t="s">
        <v>346</v>
      </c>
      <c r="CA294" s="11">
        <v>0</v>
      </c>
      <c r="CB294" s="9" t="str">
        <f>_xll.SNL.Clients.Office.Excel.Functions.SPG(BY294, "SP_COUNTRY_NAME")</f>
        <v>United Kingdom</v>
      </c>
      <c r="CC294" t="s">
        <v>1755</v>
      </c>
      <c r="CD294">
        <v>5866138</v>
      </c>
      <c r="CE294" t="s">
        <v>364</v>
      </c>
      <c r="CF294" s="11">
        <v>0.01</v>
      </c>
      <c r="CG294" s="9" t="str">
        <f>_xll.SNL.Clients.Office.Excel.Functions.SPG(CD294, "SP_COUNTRY_NAME")</f>
        <v>United Kingdom</v>
      </c>
      <c r="CL294" s="9" t="str">
        <f>_xll.SNL.Clients.Office.Excel.Functions.SPG(CI294, "SP_COUNTRY_NAME")</f>
        <v>#INVALID COMPANY ID</v>
      </c>
      <c r="CM294" t="s">
        <v>464</v>
      </c>
      <c r="CN294">
        <v>4629378</v>
      </c>
      <c r="CO294" t="s">
        <v>346</v>
      </c>
      <c r="CP294" s="11">
        <v>0</v>
      </c>
      <c r="CQ294" s="9" t="str">
        <f>_xll.SNL.Clients.Office.Excel.Functions.SPG(CN294, "SP_COUNTRY_NAME")</f>
        <v>Japan</v>
      </c>
      <c r="CV294" s="9" t="str">
        <f>_xll.SNL.Clients.Office.Excel.Functions.SPG(CS294, "SP_COUNTRY_NAME")</f>
        <v>#INVALID COMPANY ID</v>
      </c>
      <c r="DA294" s="9" t="str">
        <f>_xll.SNL.Clients.Office.Excel.Functions.SPG(CX294, "SP_COUNTRY_NAME")</f>
        <v>#INVALID COMPANY ID</v>
      </c>
      <c r="DB294" t="s">
        <v>1480</v>
      </c>
      <c r="DC294">
        <v>4339647</v>
      </c>
      <c r="DD294" t="s">
        <v>364</v>
      </c>
      <c r="DE294" s="11">
        <v>0</v>
      </c>
      <c r="DF294" s="9" t="str">
        <f>_xll.SNL.Clients.Office.Excel.Functions.SPG(DC294, "SP_COUNTRY_NAME")</f>
        <v>United Kingdom</v>
      </c>
      <c r="DK294" s="9" t="str">
        <f>_xll.SNL.Clients.Office.Excel.Functions.SPG(DH294, "SP_COUNTRY_NAME")</f>
        <v>#INVALID COMPANY ID</v>
      </c>
      <c r="DL294" t="s">
        <v>1480</v>
      </c>
      <c r="DM294">
        <v>4339647</v>
      </c>
      <c r="DN294" t="s">
        <v>364</v>
      </c>
      <c r="DO294" s="11">
        <v>0</v>
      </c>
      <c r="DP294" s="9" t="str">
        <f>_xll.SNL.Clients.Office.Excel.Functions.SPG(DM294, "SP_COUNTRY_NAME")</f>
        <v>United Kingdom</v>
      </c>
      <c r="DU294" s="9" t="str">
        <f>_xll.SNL.Clients.Office.Excel.Functions.SPG(DR294, "SP_COUNTRY_NAME")</f>
        <v>#INVALID COMPANY ID</v>
      </c>
      <c r="DZ294" s="9" t="str">
        <f>_xll.SNL.Clients.Office.Excel.Functions.SPG(DW294, "SP_COUNTRY_NAME")</f>
        <v>#INVALID COMPANY ID</v>
      </c>
      <c r="EA294" t="s">
        <v>1755</v>
      </c>
      <c r="EB294">
        <v>5866138</v>
      </c>
      <c r="EC294" t="s">
        <v>364</v>
      </c>
      <c r="ED294" s="11">
        <v>0.01</v>
      </c>
      <c r="EE294" s="9" t="str">
        <f>_xll.SNL.Clients.Office.Excel.Functions.SPG(EB294, "SP_COUNTRY_NAME")</f>
        <v>United Kingdom</v>
      </c>
      <c r="EF294" t="s">
        <v>1480</v>
      </c>
      <c r="EG294">
        <v>4339647</v>
      </c>
      <c r="EH294" t="s">
        <v>364</v>
      </c>
      <c r="EI294" s="11">
        <v>0</v>
      </c>
      <c r="EJ294" s="9" t="str">
        <f>_xll.SNL.Clients.Office.Excel.Functions.SPG(EG294, "SP_COUNTRY_NAME")</f>
        <v>United Kingdom</v>
      </c>
      <c r="EO294" s="9" t="str">
        <f>_xll.SNL.Clients.Office.Excel.Functions.SPG(EL294, "SP_COUNTRY_NAME")</f>
        <v>#INVALID COMPANY ID</v>
      </c>
      <c r="ET294" s="9" t="str">
        <f>_xll.SNL.Clients.Office.Excel.Functions.SPG(EQ294, "SP_COUNTRY_NAME")</f>
        <v>#INVALID COMPANY ID</v>
      </c>
      <c r="EY294" s="9" t="str">
        <f>_xll.SNL.Clients.Office.Excel.Functions.SPG(EV294, "SP_COUNTRY_NAME")</f>
        <v>#INVALID COMPANY ID</v>
      </c>
      <c r="FD294" s="9" t="str">
        <f>_xll.SNL.Clients.Office.Excel.Functions.SPG(FA294, "SP_COUNTRY_NAME")</f>
        <v>#INVALID COMPANY ID</v>
      </c>
      <c r="FI294" s="9" t="str">
        <f>_xll.SNL.Clients.Office.Excel.Functions.SPG(FF294, "SP_COUNTRY_NAME")</f>
        <v>#INVALID COMPANY ID</v>
      </c>
      <c r="FN294" s="9" t="str">
        <f>_xll.SNL.Clients.Office.Excel.Functions.SPG(FK294, "SP_COUNTRY_NAME")</f>
        <v>#INVALID COMPANY ID</v>
      </c>
      <c r="FS294" s="9" t="str">
        <f>_xll.SNL.Clients.Office.Excel.Functions.SPG(FP294, "SP_COUNTRY_NAME")</f>
        <v>#INVALID COMPANY ID</v>
      </c>
      <c r="FX294" s="9" t="str">
        <f>_xll.SNL.Clients.Office.Excel.Functions.SPG(FU294, "SP_COUNTRY_NAME")</f>
        <v>#INVALID COMPANY ID</v>
      </c>
      <c r="FY294" t="s">
        <v>1480</v>
      </c>
      <c r="FZ294">
        <v>4339647</v>
      </c>
      <c r="GA294" t="s">
        <v>364</v>
      </c>
      <c r="GB294" s="11">
        <v>0</v>
      </c>
      <c r="GC294" s="9" t="str">
        <f>_xll.SNL.Clients.Office.Excel.Functions.SPG(FZ294, "SP_COUNTRY_NAME")</f>
        <v>United Kingdom</v>
      </c>
      <c r="GH294" s="9" t="str">
        <f>_xll.SNL.Clients.Office.Excel.Functions.SPG(GE294, "SP_COUNTRY_NAME")</f>
        <v>#INVALID COMPANY ID</v>
      </c>
      <c r="GM294" s="9" t="str">
        <f>_xll.SNL.Clients.Office.Excel.Functions.SPG(GJ294, "SP_COUNTRY_NAME")</f>
        <v>#INVALID COMPANY ID</v>
      </c>
      <c r="GR294" s="9" t="str">
        <f>_xll.SNL.Clients.Office.Excel.Functions.SPG(GO294, "SP_COUNTRY_NAME")</f>
        <v>#INVALID COMPANY ID</v>
      </c>
      <c r="GS294" t="s">
        <v>517</v>
      </c>
      <c r="GT294">
        <v>111097</v>
      </c>
      <c r="GU294" t="s">
        <v>346</v>
      </c>
      <c r="GV294" s="11">
        <v>0</v>
      </c>
      <c r="GW294" s="9" t="str">
        <f>_xll.SNL.Clients.Office.Excel.Functions.SPG(GT294, "SP_COUNTRY_NAME")</f>
        <v>USA</v>
      </c>
      <c r="GX294" t="s">
        <v>1755</v>
      </c>
      <c r="GY294">
        <v>5866138</v>
      </c>
      <c r="GZ294" t="s">
        <v>364</v>
      </c>
      <c r="HA294" s="11">
        <v>0.01</v>
      </c>
      <c r="HB294" s="9" t="str">
        <f>_xll.SNL.Clients.Office.Excel.Functions.SPG(GY294, "SP_COUNTRY_NAME")</f>
        <v>United Kingdom</v>
      </c>
      <c r="HG294" s="9" t="str">
        <f>_xll.SNL.Clients.Office.Excel.Functions.SPG(HD294, "SP_COUNTRY_NAME")</f>
        <v>#INVALID COMPANY ID</v>
      </c>
    </row>
    <row r="295" spans="5:215" x14ac:dyDescent="0.35">
      <c r="E295" s="9" t="str">
        <f>_xll.SNL.Clients.Office.Excel.Functions.SPG(B295, "SP_COUNTRY_NAME")</f>
        <v>#INVALID COMPANY ID</v>
      </c>
      <c r="J295" s="9" t="str">
        <f>_xll.SNL.Clients.Office.Excel.Functions.SPG(G295, "SP_COUNTRY_NAME")</f>
        <v>#INVALID COMPANY ID</v>
      </c>
      <c r="O295" s="9" t="str">
        <f>_xll.SNL.Clients.Office.Excel.Functions.SPG(L295, "SP_COUNTRY_NAME")</f>
        <v>#INVALID COMPANY ID</v>
      </c>
      <c r="T295" s="9" t="str">
        <f>_xll.SNL.Clients.Office.Excel.Functions.SPG(Q295, "SP_COUNTRY_NAME")</f>
        <v>#INVALID COMPANY ID</v>
      </c>
      <c r="U295" t="s">
        <v>852</v>
      </c>
      <c r="V295">
        <v>5866758</v>
      </c>
      <c r="W295" t="s">
        <v>346</v>
      </c>
      <c r="X295" s="11">
        <v>0</v>
      </c>
      <c r="Y295" s="9" t="str">
        <f>_xll.SNL.Clients.Office.Excel.Functions.SPG(V295, "SP_COUNTRY_NAME")</f>
        <v>China</v>
      </c>
      <c r="AD295" s="9" t="str">
        <f>_xll.SNL.Clients.Office.Excel.Functions.SPG(AA295, "SP_COUNTRY_NAME")</f>
        <v>#INVALID COMPANY ID</v>
      </c>
      <c r="AI295" s="9" t="str">
        <f>_xll.SNL.Clients.Office.Excel.Functions.SPG(AF295, "SP_COUNTRY_NAME")</f>
        <v>#INVALID COMPANY ID</v>
      </c>
      <c r="AN295" s="9" t="str">
        <f>_xll.SNL.Clients.Office.Excel.Functions.SPG(AK295, "SP_COUNTRY_NAME")</f>
        <v>#INVALID COMPANY ID</v>
      </c>
      <c r="AS295" s="9" t="str">
        <f>_xll.SNL.Clients.Office.Excel.Functions.SPG(AP295, "SP_COUNTRY_NAME")</f>
        <v>#INVALID COMPANY ID</v>
      </c>
      <c r="AX295" s="9" t="str">
        <f>_xll.SNL.Clients.Office.Excel.Functions.SPG(AU295, "SP_COUNTRY_NAME")</f>
        <v>#INVALID COMPANY ID</v>
      </c>
      <c r="BC295" s="9" t="str">
        <f>_xll.SNL.Clients.Office.Excel.Functions.SPG(AZ295, "SP_COUNTRY_NAME")</f>
        <v>#INVALID COMPANY ID</v>
      </c>
      <c r="BD295" t="s">
        <v>1152</v>
      </c>
      <c r="BE295">
        <v>4789854</v>
      </c>
      <c r="BF295" t="s">
        <v>346</v>
      </c>
      <c r="BG295" s="11">
        <v>0</v>
      </c>
      <c r="BH295" s="9" t="str">
        <f>_xll.SNL.Clients.Office.Excel.Functions.SPG(BE295, "SP_COUNTRY_NAME")</f>
        <v>Poland</v>
      </c>
      <c r="BM295" s="9" t="str">
        <f>_xll.SNL.Clients.Office.Excel.Functions.SPG(BJ295, "SP_COUNTRY_NAME")</f>
        <v>#INVALID COMPANY ID</v>
      </c>
      <c r="BN295" t="s">
        <v>515</v>
      </c>
      <c r="BO295">
        <v>109731</v>
      </c>
      <c r="BP295" t="s">
        <v>346</v>
      </c>
      <c r="BQ295" s="11">
        <v>0</v>
      </c>
      <c r="BR295" s="9" t="str">
        <f>_xll.SNL.Clients.Office.Excel.Functions.SPG(BO295, "SP_COUNTRY_NAME")</f>
        <v>USA</v>
      </c>
      <c r="BS295" t="s">
        <v>829</v>
      </c>
      <c r="BT295">
        <v>4074095</v>
      </c>
      <c r="BU295" t="s">
        <v>346</v>
      </c>
      <c r="BV295" s="11">
        <v>0</v>
      </c>
      <c r="BW295" s="9" t="str">
        <f>_xll.SNL.Clients.Office.Excel.Functions.SPG(BT295, "SP_COUNTRY_NAME")</f>
        <v>United Kingdom</v>
      </c>
      <c r="BX295" t="s">
        <v>852</v>
      </c>
      <c r="BY295">
        <v>5866758</v>
      </c>
      <c r="BZ295" t="s">
        <v>346</v>
      </c>
      <c r="CA295" s="11">
        <v>0</v>
      </c>
      <c r="CB295" s="9" t="str">
        <f>_xll.SNL.Clients.Office.Excel.Functions.SPG(BY295, "SP_COUNTRY_NAME")</f>
        <v>China</v>
      </c>
      <c r="CC295" t="s">
        <v>621</v>
      </c>
      <c r="CD295">
        <v>4110324</v>
      </c>
      <c r="CE295" t="s">
        <v>346</v>
      </c>
      <c r="CF295" s="11">
        <v>0.01</v>
      </c>
      <c r="CG295" s="9" t="str">
        <f>_xll.SNL.Clients.Office.Excel.Functions.SPG(CD295, "SP_COUNTRY_NAME")</f>
        <v>USA</v>
      </c>
      <c r="CL295" s="9" t="str">
        <f>_xll.SNL.Clients.Office.Excel.Functions.SPG(CI295, "SP_COUNTRY_NAME")</f>
        <v>#INVALID COMPANY ID</v>
      </c>
      <c r="CM295" t="s">
        <v>475</v>
      </c>
      <c r="CN295">
        <v>4115935</v>
      </c>
      <c r="CO295" t="s">
        <v>346</v>
      </c>
      <c r="CP295" s="11">
        <v>0</v>
      </c>
      <c r="CQ295" s="9" t="str">
        <f>_xll.SNL.Clients.Office.Excel.Functions.SPG(CN295, "SP_COUNTRY_NAME")</f>
        <v>USA</v>
      </c>
      <c r="CV295" s="9" t="str">
        <f>_xll.SNL.Clients.Office.Excel.Functions.SPG(CS295, "SP_COUNTRY_NAME")</f>
        <v>#INVALID COMPANY ID</v>
      </c>
      <c r="DA295" s="9" t="str">
        <f>_xll.SNL.Clients.Office.Excel.Functions.SPG(CX295, "SP_COUNTRY_NAME")</f>
        <v>#INVALID COMPANY ID</v>
      </c>
      <c r="DB295" t="s">
        <v>1152</v>
      </c>
      <c r="DC295">
        <v>4789854</v>
      </c>
      <c r="DD295" t="s">
        <v>346</v>
      </c>
      <c r="DE295" s="11">
        <v>0</v>
      </c>
      <c r="DF295" s="9" t="str">
        <f>_xll.SNL.Clients.Office.Excel.Functions.SPG(DC295, "SP_COUNTRY_NAME")</f>
        <v>Poland</v>
      </c>
      <c r="DK295" s="9" t="str">
        <f>_xll.SNL.Clients.Office.Excel.Functions.SPG(DH295, "SP_COUNTRY_NAME")</f>
        <v>#INVALID COMPANY ID</v>
      </c>
      <c r="DL295" t="s">
        <v>1152</v>
      </c>
      <c r="DM295">
        <v>4789854</v>
      </c>
      <c r="DN295" t="s">
        <v>346</v>
      </c>
      <c r="DO295" s="11">
        <v>0</v>
      </c>
      <c r="DP295" s="9" t="str">
        <f>_xll.SNL.Clients.Office.Excel.Functions.SPG(DM295, "SP_COUNTRY_NAME")</f>
        <v>Poland</v>
      </c>
      <c r="DU295" s="9" t="str">
        <f>_xll.SNL.Clients.Office.Excel.Functions.SPG(DR295, "SP_COUNTRY_NAME")</f>
        <v>#INVALID COMPANY ID</v>
      </c>
      <c r="DZ295" s="9" t="str">
        <f>_xll.SNL.Clients.Office.Excel.Functions.SPG(DW295, "SP_COUNTRY_NAME")</f>
        <v>#INVALID COMPANY ID</v>
      </c>
      <c r="EA295" t="s">
        <v>621</v>
      </c>
      <c r="EB295">
        <v>4110324</v>
      </c>
      <c r="EC295" t="s">
        <v>346</v>
      </c>
      <c r="ED295" s="11">
        <v>0.01</v>
      </c>
      <c r="EE295" s="9" t="str">
        <f>_xll.SNL.Clients.Office.Excel.Functions.SPG(EB295, "SP_COUNTRY_NAME")</f>
        <v>USA</v>
      </c>
      <c r="EF295" t="s">
        <v>1152</v>
      </c>
      <c r="EG295">
        <v>4789854</v>
      </c>
      <c r="EH295" t="s">
        <v>346</v>
      </c>
      <c r="EI295" s="11">
        <v>0</v>
      </c>
      <c r="EJ295" s="9" t="str">
        <f>_xll.SNL.Clients.Office.Excel.Functions.SPG(EG295, "SP_COUNTRY_NAME")</f>
        <v>Poland</v>
      </c>
      <c r="EO295" s="9" t="str">
        <f>_xll.SNL.Clients.Office.Excel.Functions.SPG(EL295, "SP_COUNTRY_NAME")</f>
        <v>#INVALID COMPANY ID</v>
      </c>
      <c r="ET295" s="9" t="str">
        <f>_xll.SNL.Clients.Office.Excel.Functions.SPG(EQ295, "SP_COUNTRY_NAME")</f>
        <v>#INVALID COMPANY ID</v>
      </c>
      <c r="EY295" s="9" t="str">
        <f>_xll.SNL.Clients.Office.Excel.Functions.SPG(EV295, "SP_COUNTRY_NAME")</f>
        <v>#INVALID COMPANY ID</v>
      </c>
      <c r="FD295" s="9" t="str">
        <f>_xll.SNL.Clients.Office.Excel.Functions.SPG(FA295, "SP_COUNTRY_NAME")</f>
        <v>#INVALID COMPANY ID</v>
      </c>
      <c r="FI295" s="9" t="str">
        <f>_xll.SNL.Clients.Office.Excel.Functions.SPG(FF295, "SP_COUNTRY_NAME")</f>
        <v>#INVALID COMPANY ID</v>
      </c>
      <c r="FN295" s="9" t="str">
        <f>_xll.SNL.Clients.Office.Excel.Functions.SPG(FK295, "SP_COUNTRY_NAME")</f>
        <v>#INVALID COMPANY ID</v>
      </c>
      <c r="FS295" s="9" t="str">
        <f>_xll.SNL.Clients.Office.Excel.Functions.SPG(FP295, "SP_COUNTRY_NAME")</f>
        <v>#INVALID COMPANY ID</v>
      </c>
      <c r="FX295" s="9" t="str">
        <f>_xll.SNL.Clients.Office.Excel.Functions.SPG(FU295, "SP_COUNTRY_NAME")</f>
        <v>#INVALID COMPANY ID</v>
      </c>
      <c r="FY295" t="s">
        <v>1152</v>
      </c>
      <c r="FZ295">
        <v>4789854</v>
      </c>
      <c r="GA295" t="s">
        <v>346</v>
      </c>
      <c r="GB295" s="11">
        <v>0</v>
      </c>
      <c r="GC295" s="9" t="str">
        <f>_xll.SNL.Clients.Office.Excel.Functions.SPG(FZ295, "SP_COUNTRY_NAME")</f>
        <v>Poland</v>
      </c>
      <c r="GH295" s="9" t="str">
        <f>_xll.SNL.Clients.Office.Excel.Functions.SPG(GE295, "SP_COUNTRY_NAME")</f>
        <v>#INVALID COMPANY ID</v>
      </c>
      <c r="GM295" s="9" t="str">
        <f>_xll.SNL.Clients.Office.Excel.Functions.SPG(GJ295, "SP_COUNTRY_NAME")</f>
        <v>#INVALID COMPANY ID</v>
      </c>
      <c r="GR295" s="9" t="str">
        <f>_xll.SNL.Clients.Office.Excel.Functions.SPG(GO295, "SP_COUNTRY_NAME")</f>
        <v>#INVALID COMPANY ID</v>
      </c>
      <c r="GS295" t="s">
        <v>515</v>
      </c>
      <c r="GT295">
        <v>109731</v>
      </c>
      <c r="GU295" t="s">
        <v>346</v>
      </c>
      <c r="GV295" s="11">
        <v>0</v>
      </c>
      <c r="GW295" s="9" t="str">
        <f>_xll.SNL.Clients.Office.Excel.Functions.SPG(GT295, "SP_COUNTRY_NAME")</f>
        <v>USA</v>
      </c>
      <c r="GX295" t="s">
        <v>621</v>
      </c>
      <c r="GY295">
        <v>4110324</v>
      </c>
      <c r="GZ295" t="s">
        <v>346</v>
      </c>
      <c r="HA295" s="11">
        <v>0.01</v>
      </c>
      <c r="HB295" s="9" t="str">
        <f>_xll.SNL.Clients.Office.Excel.Functions.SPG(GY295, "SP_COUNTRY_NAME")</f>
        <v>USA</v>
      </c>
      <c r="HG295" s="9" t="str">
        <f>_xll.SNL.Clients.Office.Excel.Functions.SPG(HD295, "SP_COUNTRY_NAME")</f>
        <v>#INVALID COMPANY ID</v>
      </c>
    </row>
    <row r="296" spans="5:215" x14ac:dyDescent="0.35">
      <c r="E296" s="9" t="str">
        <f>_xll.SNL.Clients.Office.Excel.Functions.SPG(B296, "SP_COUNTRY_NAME")</f>
        <v>#INVALID COMPANY ID</v>
      </c>
      <c r="J296" s="9" t="str">
        <f>_xll.SNL.Clients.Office.Excel.Functions.SPG(G296, "SP_COUNTRY_NAME")</f>
        <v>#INVALID COMPANY ID</v>
      </c>
      <c r="O296" s="9" t="str">
        <f>_xll.SNL.Clients.Office.Excel.Functions.SPG(L296, "SP_COUNTRY_NAME")</f>
        <v>#INVALID COMPANY ID</v>
      </c>
      <c r="T296" s="9" t="str">
        <f>_xll.SNL.Clients.Office.Excel.Functions.SPG(Q296, "SP_COUNTRY_NAME")</f>
        <v>#INVALID COMPANY ID</v>
      </c>
      <c r="U296" t="s">
        <v>853</v>
      </c>
      <c r="V296">
        <v>4259935</v>
      </c>
      <c r="W296" t="s">
        <v>346</v>
      </c>
      <c r="X296" s="11">
        <v>0</v>
      </c>
      <c r="Y296" s="9" t="str">
        <f>_xll.SNL.Clients.Office.Excel.Functions.SPG(V296, "SP_COUNTRY_NAME")</f>
        <v>Hong Kong</v>
      </c>
      <c r="AD296" s="9" t="str">
        <f>_xll.SNL.Clients.Office.Excel.Functions.SPG(AA296, "SP_COUNTRY_NAME")</f>
        <v>#INVALID COMPANY ID</v>
      </c>
      <c r="AI296" s="9" t="str">
        <f>_xll.SNL.Clients.Office.Excel.Functions.SPG(AF296, "SP_COUNTRY_NAME")</f>
        <v>#INVALID COMPANY ID</v>
      </c>
      <c r="AN296" s="9" t="str">
        <f>_xll.SNL.Clients.Office.Excel.Functions.SPG(AK296, "SP_COUNTRY_NAME")</f>
        <v>#INVALID COMPANY ID</v>
      </c>
      <c r="AS296" s="9" t="str">
        <f>_xll.SNL.Clients.Office.Excel.Functions.SPG(AP296, "SP_COUNTRY_NAME")</f>
        <v>#INVALID COMPANY ID</v>
      </c>
      <c r="AX296" s="9" t="str">
        <f>_xll.SNL.Clients.Office.Excel.Functions.SPG(AU296, "SP_COUNTRY_NAME")</f>
        <v>#INVALID COMPANY ID</v>
      </c>
      <c r="BC296" s="9" t="str">
        <f>_xll.SNL.Clients.Office.Excel.Functions.SPG(AZ296, "SP_COUNTRY_NAME")</f>
        <v>#INVALID COMPANY ID</v>
      </c>
      <c r="BD296" t="s">
        <v>1481</v>
      </c>
      <c r="BE296">
        <v>4255852</v>
      </c>
      <c r="BF296" t="s">
        <v>346</v>
      </c>
      <c r="BG296" s="11">
        <v>0</v>
      </c>
      <c r="BH296" s="9" t="str">
        <f>_xll.SNL.Clients.Office.Excel.Functions.SPG(BE296, "SP_COUNTRY_NAME")</f>
        <v>USA</v>
      </c>
      <c r="BM296" s="9" t="str">
        <f>_xll.SNL.Clients.Office.Excel.Functions.SPG(BJ296, "SP_COUNTRY_NAME")</f>
        <v>#INVALID COMPANY ID</v>
      </c>
      <c r="BN296" t="s">
        <v>871</v>
      </c>
      <c r="BO296">
        <v>4055159</v>
      </c>
      <c r="BP296" t="s">
        <v>346</v>
      </c>
      <c r="BQ296" s="11">
        <v>0</v>
      </c>
      <c r="BR296" s="9" t="str">
        <f>_xll.SNL.Clients.Office.Excel.Functions.SPG(BO296, "SP_COUNTRY_NAME")</f>
        <v>USA</v>
      </c>
      <c r="BS296" t="s">
        <v>824</v>
      </c>
      <c r="BT296">
        <v>4213196</v>
      </c>
      <c r="BU296" t="s">
        <v>346</v>
      </c>
      <c r="BV296" s="11">
        <v>0</v>
      </c>
      <c r="BW296" s="9" t="str">
        <f>_xll.SNL.Clients.Office.Excel.Functions.SPG(BT296, "SP_COUNTRY_NAME")</f>
        <v>Japan</v>
      </c>
      <c r="BX296" t="s">
        <v>853</v>
      </c>
      <c r="BY296">
        <v>4259935</v>
      </c>
      <c r="BZ296" t="s">
        <v>346</v>
      </c>
      <c r="CA296" s="11">
        <v>0</v>
      </c>
      <c r="CB296" s="9" t="str">
        <f>_xll.SNL.Clients.Office.Excel.Functions.SPG(BY296, "SP_COUNTRY_NAME")</f>
        <v>Hong Kong</v>
      </c>
      <c r="CC296" t="s">
        <v>1756</v>
      </c>
      <c r="CD296">
        <v>110379</v>
      </c>
      <c r="CE296" t="s">
        <v>346</v>
      </c>
      <c r="CF296" s="11">
        <v>0</v>
      </c>
      <c r="CG296" s="9" t="str">
        <f>_xll.SNL.Clients.Office.Excel.Functions.SPG(CD296, "SP_COUNTRY_NAME")</f>
        <v>USA</v>
      </c>
      <c r="CL296" s="9" t="str">
        <f>_xll.SNL.Clients.Office.Excel.Functions.SPG(CI296, "SP_COUNTRY_NAME")</f>
        <v>#INVALID COMPANY ID</v>
      </c>
      <c r="CM296" t="s">
        <v>1339</v>
      </c>
      <c r="CN296">
        <v>29536489</v>
      </c>
      <c r="CO296" t="s">
        <v>346</v>
      </c>
      <c r="CP296" s="11">
        <v>0</v>
      </c>
      <c r="CQ296" s="9" t="str">
        <f>_xll.SNL.Clients.Office.Excel.Functions.SPG(CN296, "SP_COUNTRY_NAME")</f>
        <v>#INVALID COMPANY ID</v>
      </c>
      <c r="CV296" s="9" t="str">
        <f>_xll.SNL.Clients.Office.Excel.Functions.SPG(CS296, "SP_COUNTRY_NAME")</f>
        <v>#INVALID COMPANY ID</v>
      </c>
      <c r="DA296" s="9" t="str">
        <f>_xll.SNL.Clients.Office.Excel.Functions.SPG(CX296, "SP_COUNTRY_NAME")</f>
        <v>#INVALID COMPANY ID</v>
      </c>
      <c r="DB296" t="s">
        <v>1481</v>
      </c>
      <c r="DC296">
        <v>4255852</v>
      </c>
      <c r="DD296" t="s">
        <v>346</v>
      </c>
      <c r="DE296" s="11">
        <v>0</v>
      </c>
      <c r="DF296" s="9" t="str">
        <f>_xll.SNL.Clients.Office.Excel.Functions.SPG(DC296, "SP_COUNTRY_NAME")</f>
        <v>USA</v>
      </c>
      <c r="DK296" s="9" t="str">
        <f>_xll.SNL.Clients.Office.Excel.Functions.SPG(DH296, "SP_COUNTRY_NAME")</f>
        <v>#INVALID COMPANY ID</v>
      </c>
      <c r="DL296" t="s">
        <v>1481</v>
      </c>
      <c r="DM296">
        <v>4255852</v>
      </c>
      <c r="DN296" t="s">
        <v>346</v>
      </c>
      <c r="DO296" s="11">
        <v>0</v>
      </c>
      <c r="DP296" s="9" t="str">
        <f>_xll.SNL.Clients.Office.Excel.Functions.SPG(DM296, "SP_COUNTRY_NAME")</f>
        <v>USA</v>
      </c>
      <c r="DU296" s="9" t="str">
        <f>_xll.SNL.Clients.Office.Excel.Functions.SPG(DR296, "SP_COUNTRY_NAME")</f>
        <v>#INVALID COMPANY ID</v>
      </c>
      <c r="DZ296" s="9" t="str">
        <f>_xll.SNL.Clients.Office.Excel.Functions.SPG(DW296, "SP_COUNTRY_NAME")</f>
        <v>#INVALID COMPANY ID</v>
      </c>
      <c r="EA296" t="s">
        <v>1756</v>
      </c>
      <c r="EB296">
        <v>110379</v>
      </c>
      <c r="EC296" t="s">
        <v>346</v>
      </c>
      <c r="ED296" s="11">
        <v>0</v>
      </c>
      <c r="EE296" s="9" t="str">
        <f>_xll.SNL.Clients.Office.Excel.Functions.SPG(EB296, "SP_COUNTRY_NAME")</f>
        <v>USA</v>
      </c>
      <c r="EF296" t="s">
        <v>1481</v>
      </c>
      <c r="EG296">
        <v>4255852</v>
      </c>
      <c r="EH296" t="s">
        <v>346</v>
      </c>
      <c r="EI296" s="11">
        <v>0</v>
      </c>
      <c r="EJ296" s="9" t="str">
        <f>_xll.SNL.Clients.Office.Excel.Functions.SPG(EG296, "SP_COUNTRY_NAME")</f>
        <v>USA</v>
      </c>
      <c r="EO296" s="9" t="str">
        <f>_xll.SNL.Clients.Office.Excel.Functions.SPG(EL296, "SP_COUNTRY_NAME")</f>
        <v>#INVALID COMPANY ID</v>
      </c>
      <c r="ET296" s="9" t="str">
        <f>_xll.SNL.Clients.Office.Excel.Functions.SPG(EQ296, "SP_COUNTRY_NAME")</f>
        <v>#INVALID COMPANY ID</v>
      </c>
      <c r="EY296" s="9" t="str">
        <f>_xll.SNL.Clients.Office.Excel.Functions.SPG(EV296, "SP_COUNTRY_NAME")</f>
        <v>#INVALID COMPANY ID</v>
      </c>
      <c r="FD296" s="9" t="str">
        <f>_xll.SNL.Clients.Office.Excel.Functions.SPG(FA296, "SP_COUNTRY_NAME")</f>
        <v>#INVALID COMPANY ID</v>
      </c>
      <c r="FI296" s="9" t="str">
        <f>_xll.SNL.Clients.Office.Excel.Functions.SPG(FF296, "SP_COUNTRY_NAME")</f>
        <v>#INVALID COMPANY ID</v>
      </c>
      <c r="FN296" s="9" t="str">
        <f>_xll.SNL.Clients.Office.Excel.Functions.SPG(FK296, "SP_COUNTRY_NAME")</f>
        <v>#INVALID COMPANY ID</v>
      </c>
      <c r="FS296" s="9" t="str">
        <f>_xll.SNL.Clients.Office.Excel.Functions.SPG(FP296, "SP_COUNTRY_NAME")</f>
        <v>#INVALID COMPANY ID</v>
      </c>
      <c r="FX296" s="9" t="str">
        <f>_xll.SNL.Clients.Office.Excel.Functions.SPG(FU296, "SP_COUNTRY_NAME")</f>
        <v>#INVALID COMPANY ID</v>
      </c>
      <c r="FY296" t="s">
        <v>1481</v>
      </c>
      <c r="FZ296">
        <v>4255852</v>
      </c>
      <c r="GA296" t="s">
        <v>346</v>
      </c>
      <c r="GB296" s="11">
        <v>0</v>
      </c>
      <c r="GC296" s="9" t="str">
        <f>_xll.SNL.Clients.Office.Excel.Functions.SPG(FZ296, "SP_COUNTRY_NAME")</f>
        <v>USA</v>
      </c>
      <c r="GH296" s="9" t="str">
        <f>_xll.SNL.Clients.Office.Excel.Functions.SPG(GE296, "SP_COUNTRY_NAME")</f>
        <v>#INVALID COMPANY ID</v>
      </c>
      <c r="GM296" s="9" t="str">
        <f>_xll.SNL.Clients.Office.Excel.Functions.SPG(GJ296, "SP_COUNTRY_NAME")</f>
        <v>#INVALID COMPANY ID</v>
      </c>
      <c r="GR296" s="9" t="str">
        <f>_xll.SNL.Clients.Office.Excel.Functions.SPG(GO296, "SP_COUNTRY_NAME")</f>
        <v>#INVALID COMPANY ID</v>
      </c>
      <c r="GS296" t="s">
        <v>871</v>
      </c>
      <c r="GT296">
        <v>4055159</v>
      </c>
      <c r="GU296" t="s">
        <v>346</v>
      </c>
      <c r="GV296" s="11">
        <v>0</v>
      </c>
      <c r="GW296" s="9" t="str">
        <f>_xll.SNL.Clients.Office.Excel.Functions.SPG(GT296, "SP_COUNTRY_NAME")</f>
        <v>USA</v>
      </c>
      <c r="GX296" t="s">
        <v>1756</v>
      </c>
      <c r="GY296">
        <v>110379</v>
      </c>
      <c r="GZ296" t="s">
        <v>346</v>
      </c>
      <c r="HA296" s="11">
        <v>0</v>
      </c>
      <c r="HB296" s="9" t="str">
        <f>_xll.SNL.Clients.Office.Excel.Functions.SPG(GY296, "SP_COUNTRY_NAME")</f>
        <v>USA</v>
      </c>
      <c r="HG296" s="9" t="str">
        <f>_xll.SNL.Clients.Office.Excel.Functions.SPG(HD296, "SP_COUNTRY_NAME")</f>
        <v>#INVALID COMPANY ID</v>
      </c>
    </row>
    <row r="297" spans="5:215" x14ac:dyDescent="0.35">
      <c r="E297" s="9" t="str">
        <f>_xll.SNL.Clients.Office.Excel.Functions.SPG(B297, "SP_COUNTRY_NAME")</f>
        <v>#INVALID COMPANY ID</v>
      </c>
      <c r="J297" s="9" t="str">
        <f>_xll.SNL.Clients.Office.Excel.Functions.SPG(G297, "SP_COUNTRY_NAME")</f>
        <v>#INVALID COMPANY ID</v>
      </c>
      <c r="O297" s="9" t="str">
        <f>_xll.SNL.Clients.Office.Excel.Functions.SPG(L297, "SP_COUNTRY_NAME")</f>
        <v>#INVALID COMPANY ID</v>
      </c>
      <c r="T297" s="9" t="str">
        <f>_xll.SNL.Clients.Office.Excel.Functions.SPG(Q297, "SP_COUNTRY_NAME")</f>
        <v>#INVALID COMPANY ID</v>
      </c>
      <c r="U297" t="s">
        <v>854</v>
      </c>
      <c r="V297">
        <v>5777425</v>
      </c>
      <c r="W297" t="s">
        <v>346</v>
      </c>
      <c r="X297" s="11">
        <v>0</v>
      </c>
      <c r="Y297" s="9" t="str">
        <f>_xll.SNL.Clients.Office.Excel.Functions.SPG(V297, "SP_COUNTRY_NAME")</f>
        <v>China</v>
      </c>
      <c r="AD297" s="9" t="str">
        <f>_xll.SNL.Clients.Office.Excel.Functions.SPG(AA297, "SP_COUNTRY_NAME")</f>
        <v>#INVALID COMPANY ID</v>
      </c>
      <c r="AI297" s="9" t="str">
        <f>_xll.SNL.Clients.Office.Excel.Functions.SPG(AF297, "SP_COUNTRY_NAME")</f>
        <v>#INVALID COMPANY ID</v>
      </c>
      <c r="AN297" s="9" t="str">
        <f>_xll.SNL.Clients.Office.Excel.Functions.SPG(AK297, "SP_COUNTRY_NAME")</f>
        <v>#INVALID COMPANY ID</v>
      </c>
      <c r="AS297" s="9" t="str">
        <f>_xll.SNL.Clients.Office.Excel.Functions.SPG(AP297, "SP_COUNTRY_NAME")</f>
        <v>#INVALID COMPANY ID</v>
      </c>
      <c r="AX297" s="9" t="str">
        <f>_xll.SNL.Clients.Office.Excel.Functions.SPG(AU297, "SP_COUNTRY_NAME")</f>
        <v>#INVALID COMPANY ID</v>
      </c>
      <c r="BC297" s="9" t="str">
        <f>_xll.SNL.Clients.Office.Excel.Functions.SPG(AZ297, "SP_COUNTRY_NAME")</f>
        <v>#INVALID COMPANY ID</v>
      </c>
      <c r="BD297" t="s">
        <v>585</v>
      </c>
      <c r="BE297">
        <v>4139382</v>
      </c>
      <c r="BF297" t="s">
        <v>346</v>
      </c>
      <c r="BG297" s="11">
        <v>0</v>
      </c>
      <c r="BH297" s="9" t="str">
        <f>_xll.SNL.Clients.Office.Excel.Functions.SPG(BE297, "SP_COUNTRY_NAME")</f>
        <v>Spain</v>
      </c>
      <c r="BM297" s="9" t="str">
        <f>_xll.SNL.Clients.Office.Excel.Functions.SPG(BJ297, "SP_COUNTRY_NAME")</f>
        <v>#INVALID COMPANY ID</v>
      </c>
      <c r="BN297" t="s">
        <v>882</v>
      </c>
      <c r="BO297">
        <v>110793</v>
      </c>
      <c r="BP297" t="s">
        <v>346</v>
      </c>
      <c r="BQ297" s="11">
        <v>0</v>
      </c>
      <c r="BR297" s="9" t="str">
        <f>_xll.SNL.Clients.Office.Excel.Functions.SPG(BO297, "SP_COUNTRY_NAME")</f>
        <v>USA</v>
      </c>
      <c r="BS297" t="s">
        <v>1012</v>
      </c>
      <c r="BT297">
        <v>4139945</v>
      </c>
      <c r="BU297" t="s">
        <v>346</v>
      </c>
      <c r="BV297" s="11">
        <v>0</v>
      </c>
      <c r="BW297" s="9" t="str">
        <f>_xll.SNL.Clients.Office.Excel.Functions.SPG(BT297, "SP_COUNTRY_NAME")</f>
        <v>France</v>
      </c>
      <c r="BX297" t="s">
        <v>854</v>
      </c>
      <c r="BY297">
        <v>5777425</v>
      </c>
      <c r="BZ297" t="s">
        <v>346</v>
      </c>
      <c r="CA297" s="11">
        <v>0</v>
      </c>
      <c r="CB297" s="9" t="str">
        <f>_xll.SNL.Clients.Office.Excel.Functions.SPG(BY297, "SP_COUNTRY_NAME")</f>
        <v>China</v>
      </c>
      <c r="CC297" t="s">
        <v>1757</v>
      </c>
      <c r="CD297">
        <v>4279126</v>
      </c>
      <c r="CE297" t="s">
        <v>346</v>
      </c>
      <c r="CF297" s="11">
        <v>0</v>
      </c>
      <c r="CG297" s="9" t="str">
        <f>_xll.SNL.Clients.Office.Excel.Functions.SPG(CD297, "SP_COUNTRY_NAME")</f>
        <v>Chile</v>
      </c>
      <c r="CL297" s="9" t="str">
        <f>_xll.SNL.Clients.Office.Excel.Functions.SPG(CI297, "SP_COUNTRY_NAME")</f>
        <v>#INVALID COMPANY ID</v>
      </c>
      <c r="CM297" t="s">
        <v>358</v>
      </c>
      <c r="CN297">
        <v>4137806</v>
      </c>
      <c r="CO297" t="s">
        <v>346</v>
      </c>
      <c r="CP297" s="11">
        <v>0</v>
      </c>
      <c r="CQ297" s="9" t="str">
        <f>_xll.SNL.Clients.Office.Excel.Functions.SPG(CN297, "SP_COUNTRY_NAME")</f>
        <v>Singapore</v>
      </c>
      <c r="CV297" s="9" t="str">
        <f>_xll.SNL.Clients.Office.Excel.Functions.SPG(CS297, "SP_COUNTRY_NAME")</f>
        <v>#INVALID COMPANY ID</v>
      </c>
      <c r="DA297" s="9" t="str">
        <f>_xll.SNL.Clients.Office.Excel.Functions.SPG(CX297, "SP_COUNTRY_NAME")</f>
        <v>#INVALID COMPANY ID</v>
      </c>
      <c r="DB297" t="s">
        <v>585</v>
      </c>
      <c r="DC297">
        <v>4139382</v>
      </c>
      <c r="DD297" t="s">
        <v>346</v>
      </c>
      <c r="DE297" s="11">
        <v>0</v>
      </c>
      <c r="DF297" s="9" t="str">
        <f>_xll.SNL.Clients.Office.Excel.Functions.SPG(DC297, "SP_COUNTRY_NAME")</f>
        <v>Spain</v>
      </c>
      <c r="DK297" s="9" t="str">
        <f>_xll.SNL.Clients.Office.Excel.Functions.SPG(DH297, "SP_COUNTRY_NAME")</f>
        <v>#INVALID COMPANY ID</v>
      </c>
      <c r="DL297" t="s">
        <v>585</v>
      </c>
      <c r="DM297">
        <v>4139382</v>
      </c>
      <c r="DN297" t="s">
        <v>346</v>
      </c>
      <c r="DO297" s="11">
        <v>0</v>
      </c>
      <c r="DP297" s="9" t="str">
        <f>_xll.SNL.Clients.Office.Excel.Functions.SPG(DM297, "SP_COUNTRY_NAME")</f>
        <v>Spain</v>
      </c>
      <c r="DU297" s="9" t="str">
        <f>_xll.SNL.Clients.Office.Excel.Functions.SPG(DR297, "SP_COUNTRY_NAME")</f>
        <v>#INVALID COMPANY ID</v>
      </c>
      <c r="DZ297" s="9" t="str">
        <f>_xll.SNL.Clients.Office.Excel.Functions.SPG(DW297, "SP_COUNTRY_NAME")</f>
        <v>#INVALID COMPANY ID</v>
      </c>
      <c r="EA297" t="s">
        <v>1757</v>
      </c>
      <c r="EB297">
        <v>4279126</v>
      </c>
      <c r="EC297" t="s">
        <v>346</v>
      </c>
      <c r="ED297" s="11">
        <v>0</v>
      </c>
      <c r="EE297" s="9" t="str">
        <f>_xll.SNL.Clients.Office.Excel.Functions.SPG(EB297, "SP_COUNTRY_NAME")</f>
        <v>Chile</v>
      </c>
      <c r="EF297" t="s">
        <v>585</v>
      </c>
      <c r="EG297">
        <v>4139382</v>
      </c>
      <c r="EH297" t="s">
        <v>346</v>
      </c>
      <c r="EI297" s="11">
        <v>0</v>
      </c>
      <c r="EJ297" s="9" t="str">
        <f>_xll.SNL.Clients.Office.Excel.Functions.SPG(EG297, "SP_COUNTRY_NAME")</f>
        <v>Spain</v>
      </c>
      <c r="EO297" s="9" t="str">
        <f>_xll.SNL.Clients.Office.Excel.Functions.SPG(EL297, "SP_COUNTRY_NAME")</f>
        <v>#INVALID COMPANY ID</v>
      </c>
      <c r="ET297" s="9" t="str">
        <f>_xll.SNL.Clients.Office.Excel.Functions.SPG(EQ297, "SP_COUNTRY_NAME")</f>
        <v>#INVALID COMPANY ID</v>
      </c>
      <c r="EY297" s="9" t="str">
        <f>_xll.SNL.Clients.Office.Excel.Functions.SPG(EV297, "SP_COUNTRY_NAME")</f>
        <v>#INVALID COMPANY ID</v>
      </c>
      <c r="FD297" s="9" t="str">
        <f>_xll.SNL.Clients.Office.Excel.Functions.SPG(FA297, "SP_COUNTRY_NAME")</f>
        <v>#INVALID COMPANY ID</v>
      </c>
      <c r="FI297" s="9" t="str">
        <f>_xll.SNL.Clients.Office.Excel.Functions.SPG(FF297, "SP_COUNTRY_NAME")</f>
        <v>#INVALID COMPANY ID</v>
      </c>
      <c r="FN297" s="9" t="str">
        <f>_xll.SNL.Clients.Office.Excel.Functions.SPG(FK297, "SP_COUNTRY_NAME")</f>
        <v>#INVALID COMPANY ID</v>
      </c>
      <c r="FS297" s="9" t="str">
        <f>_xll.SNL.Clients.Office.Excel.Functions.SPG(FP297, "SP_COUNTRY_NAME")</f>
        <v>#INVALID COMPANY ID</v>
      </c>
      <c r="FX297" s="9" t="str">
        <f>_xll.SNL.Clients.Office.Excel.Functions.SPG(FU297, "SP_COUNTRY_NAME")</f>
        <v>#INVALID COMPANY ID</v>
      </c>
      <c r="FY297" t="s">
        <v>585</v>
      </c>
      <c r="FZ297">
        <v>4139382</v>
      </c>
      <c r="GA297" t="s">
        <v>346</v>
      </c>
      <c r="GB297" s="11">
        <v>0</v>
      </c>
      <c r="GC297" s="9" t="str">
        <f>_xll.SNL.Clients.Office.Excel.Functions.SPG(FZ297, "SP_COUNTRY_NAME")</f>
        <v>Spain</v>
      </c>
      <c r="GH297" s="9" t="str">
        <f>_xll.SNL.Clients.Office.Excel.Functions.SPG(GE297, "SP_COUNTRY_NAME")</f>
        <v>#INVALID COMPANY ID</v>
      </c>
      <c r="GM297" s="9" t="str">
        <f>_xll.SNL.Clients.Office.Excel.Functions.SPG(GJ297, "SP_COUNTRY_NAME")</f>
        <v>#INVALID COMPANY ID</v>
      </c>
      <c r="GR297" s="9" t="str">
        <f>_xll.SNL.Clients.Office.Excel.Functions.SPG(GO297, "SP_COUNTRY_NAME")</f>
        <v>#INVALID COMPANY ID</v>
      </c>
      <c r="GS297" t="s">
        <v>882</v>
      </c>
      <c r="GT297">
        <v>110793</v>
      </c>
      <c r="GU297" t="s">
        <v>346</v>
      </c>
      <c r="GV297" s="11">
        <v>0</v>
      </c>
      <c r="GW297" s="9" t="str">
        <f>_xll.SNL.Clients.Office.Excel.Functions.SPG(GT297, "SP_COUNTRY_NAME")</f>
        <v>USA</v>
      </c>
      <c r="GX297" t="s">
        <v>1757</v>
      </c>
      <c r="GY297">
        <v>4279126</v>
      </c>
      <c r="GZ297" t="s">
        <v>346</v>
      </c>
      <c r="HA297" s="11">
        <v>0</v>
      </c>
      <c r="HB297" s="9" t="str">
        <f>_xll.SNL.Clients.Office.Excel.Functions.SPG(GY297, "SP_COUNTRY_NAME")</f>
        <v>Chile</v>
      </c>
      <c r="HG297" s="9" t="str">
        <f>_xll.SNL.Clients.Office.Excel.Functions.SPG(HD297, "SP_COUNTRY_NAME")</f>
        <v>#INVALID COMPANY ID</v>
      </c>
    </row>
    <row r="298" spans="5:215" x14ac:dyDescent="0.35">
      <c r="E298" s="9" t="str">
        <f>_xll.SNL.Clients.Office.Excel.Functions.SPG(B298, "SP_COUNTRY_NAME")</f>
        <v>#INVALID COMPANY ID</v>
      </c>
      <c r="J298" s="9" t="str">
        <f>_xll.SNL.Clients.Office.Excel.Functions.SPG(G298, "SP_COUNTRY_NAME")</f>
        <v>#INVALID COMPANY ID</v>
      </c>
      <c r="O298" s="9" t="str">
        <f>_xll.SNL.Clients.Office.Excel.Functions.SPG(L298, "SP_COUNTRY_NAME")</f>
        <v>#INVALID COMPANY ID</v>
      </c>
      <c r="T298" s="9" t="str">
        <f>_xll.SNL.Clients.Office.Excel.Functions.SPG(Q298, "SP_COUNTRY_NAME")</f>
        <v>#INVALID COMPANY ID</v>
      </c>
      <c r="U298" t="s">
        <v>855</v>
      </c>
      <c r="V298">
        <v>8532130</v>
      </c>
      <c r="W298" t="s">
        <v>346</v>
      </c>
      <c r="X298" s="11">
        <v>0</v>
      </c>
      <c r="Y298" s="9" t="str">
        <f>_xll.SNL.Clients.Office.Excel.Functions.SPG(V298, "SP_COUNTRY_NAME")</f>
        <v>South Africa</v>
      </c>
      <c r="AD298" s="9" t="str">
        <f>_xll.SNL.Clients.Office.Excel.Functions.SPG(AA298, "SP_COUNTRY_NAME")</f>
        <v>#INVALID COMPANY ID</v>
      </c>
      <c r="AI298" s="9" t="str">
        <f>_xll.SNL.Clients.Office.Excel.Functions.SPG(AF298, "SP_COUNTRY_NAME")</f>
        <v>#INVALID COMPANY ID</v>
      </c>
      <c r="AN298" s="9" t="str">
        <f>_xll.SNL.Clients.Office.Excel.Functions.SPG(AK298, "SP_COUNTRY_NAME")</f>
        <v>#INVALID COMPANY ID</v>
      </c>
      <c r="AS298" s="9" t="str">
        <f>_xll.SNL.Clients.Office.Excel.Functions.SPG(AP298, "SP_COUNTRY_NAME")</f>
        <v>#INVALID COMPANY ID</v>
      </c>
      <c r="AX298" s="9" t="str">
        <f>_xll.SNL.Clients.Office.Excel.Functions.SPG(AU298, "SP_COUNTRY_NAME")</f>
        <v>#INVALID COMPANY ID</v>
      </c>
      <c r="BC298" s="9" t="str">
        <f>_xll.SNL.Clients.Office.Excel.Functions.SPG(AZ298, "SP_COUNTRY_NAME")</f>
        <v>#INVALID COMPANY ID</v>
      </c>
      <c r="BD298" t="s">
        <v>1482</v>
      </c>
      <c r="BE298">
        <v>8307279</v>
      </c>
      <c r="BF298" t="s">
        <v>346</v>
      </c>
      <c r="BG298" s="11">
        <v>0</v>
      </c>
      <c r="BH298" s="9" t="str">
        <f>_xll.SNL.Clients.Office.Excel.Functions.SPG(BE298, "SP_COUNTRY_NAME")</f>
        <v>United Kingdom</v>
      </c>
      <c r="BM298" s="9" t="str">
        <f>_xll.SNL.Clients.Office.Excel.Functions.SPG(BJ298, "SP_COUNTRY_NAME")</f>
        <v>#INVALID COMPANY ID</v>
      </c>
      <c r="BN298" t="s">
        <v>923</v>
      </c>
      <c r="BO298">
        <v>4119489</v>
      </c>
      <c r="BP298" t="s">
        <v>346</v>
      </c>
      <c r="BQ298" s="11">
        <v>0</v>
      </c>
      <c r="BR298" s="9" t="str">
        <f>_xll.SNL.Clients.Office.Excel.Functions.SPG(BO298, "SP_COUNTRY_NAME")</f>
        <v>USA</v>
      </c>
      <c r="BS298" t="s">
        <v>1013</v>
      </c>
      <c r="BT298">
        <v>4253894</v>
      </c>
      <c r="BU298" t="s">
        <v>346</v>
      </c>
      <c r="BV298" s="11">
        <v>0</v>
      </c>
      <c r="BW298" s="9" t="str">
        <f>_xll.SNL.Clients.Office.Excel.Functions.SPG(BT298, "SP_COUNTRY_NAME")</f>
        <v>Luxembourg</v>
      </c>
      <c r="BX298" t="s">
        <v>855</v>
      </c>
      <c r="BY298">
        <v>8532130</v>
      </c>
      <c r="BZ298" t="s">
        <v>346</v>
      </c>
      <c r="CA298" s="11">
        <v>0</v>
      </c>
      <c r="CB298" s="9" t="str">
        <f>_xll.SNL.Clients.Office.Excel.Functions.SPG(BY298, "SP_COUNTRY_NAME")</f>
        <v>South Africa</v>
      </c>
      <c r="CC298" t="s">
        <v>1457</v>
      </c>
      <c r="CD298">
        <v>111434</v>
      </c>
      <c r="CE298" t="s">
        <v>346</v>
      </c>
      <c r="CF298" s="11">
        <v>0</v>
      </c>
      <c r="CG298" s="9" t="str">
        <f>_xll.SNL.Clients.Office.Excel.Functions.SPG(CD298, "SP_COUNTRY_NAME")</f>
        <v>USA</v>
      </c>
      <c r="CL298" s="9" t="str">
        <f>_xll.SNL.Clients.Office.Excel.Functions.SPG(CI298, "SP_COUNTRY_NAME")</f>
        <v>#INVALID COMPANY ID</v>
      </c>
      <c r="CM298" t="s">
        <v>1809</v>
      </c>
      <c r="CN298">
        <v>12764260</v>
      </c>
      <c r="CO298" t="s">
        <v>346</v>
      </c>
      <c r="CP298" s="11">
        <v>0</v>
      </c>
      <c r="CQ298" s="9" t="str">
        <f>_xll.SNL.Clients.Office.Excel.Functions.SPG(CN298, "SP_COUNTRY_NAME")</f>
        <v>USA</v>
      </c>
      <c r="CV298" s="9" t="str">
        <f>_xll.SNL.Clients.Office.Excel.Functions.SPG(CS298, "SP_COUNTRY_NAME")</f>
        <v>#INVALID COMPANY ID</v>
      </c>
      <c r="DA298" s="9" t="str">
        <f>_xll.SNL.Clients.Office.Excel.Functions.SPG(CX298, "SP_COUNTRY_NAME")</f>
        <v>#INVALID COMPANY ID</v>
      </c>
      <c r="DB298" t="s">
        <v>1482</v>
      </c>
      <c r="DC298">
        <v>8307279</v>
      </c>
      <c r="DD298" t="s">
        <v>346</v>
      </c>
      <c r="DE298" s="11">
        <v>0</v>
      </c>
      <c r="DF298" s="9" t="str">
        <f>_xll.SNL.Clients.Office.Excel.Functions.SPG(DC298, "SP_COUNTRY_NAME")</f>
        <v>United Kingdom</v>
      </c>
      <c r="DK298" s="9" t="str">
        <f>_xll.SNL.Clients.Office.Excel.Functions.SPG(DH298, "SP_COUNTRY_NAME")</f>
        <v>#INVALID COMPANY ID</v>
      </c>
      <c r="DL298" t="s">
        <v>1482</v>
      </c>
      <c r="DM298">
        <v>8307279</v>
      </c>
      <c r="DN298" t="s">
        <v>346</v>
      </c>
      <c r="DO298" s="11">
        <v>0</v>
      </c>
      <c r="DP298" s="9" t="str">
        <f>_xll.SNL.Clients.Office.Excel.Functions.SPG(DM298, "SP_COUNTRY_NAME")</f>
        <v>United Kingdom</v>
      </c>
      <c r="DU298" s="9" t="str">
        <f>_xll.SNL.Clients.Office.Excel.Functions.SPG(DR298, "SP_COUNTRY_NAME")</f>
        <v>#INVALID COMPANY ID</v>
      </c>
      <c r="DZ298" s="9" t="str">
        <f>_xll.SNL.Clients.Office.Excel.Functions.SPG(DW298, "SP_COUNTRY_NAME")</f>
        <v>#INVALID COMPANY ID</v>
      </c>
      <c r="EA298" t="s">
        <v>1457</v>
      </c>
      <c r="EB298">
        <v>111434</v>
      </c>
      <c r="EC298" t="s">
        <v>346</v>
      </c>
      <c r="ED298" s="11">
        <v>0</v>
      </c>
      <c r="EE298" s="9" t="str">
        <f>_xll.SNL.Clients.Office.Excel.Functions.SPG(EB298, "SP_COUNTRY_NAME")</f>
        <v>USA</v>
      </c>
      <c r="EF298" t="s">
        <v>1482</v>
      </c>
      <c r="EG298">
        <v>8307279</v>
      </c>
      <c r="EH298" t="s">
        <v>346</v>
      </c>
      <c r="EI298" s="11">
        <v>0</v>
      </c>
      <c r="EJ298" s="9" t="str">
        <f>_xll.SNL.Clients.Office.Excel.Functions.SPG(EG298, "SP_COUNTRY_NAME")</f>
        <v>United Kingdom</v>
      </c>
      <c r="EO298" s="9" t="str">
        <f>_xll.SNL.Clients.Office.Excel.Functions.SPG(EL298, "SP_COUNTRY_NAME")</f>
        <v>#INVALID COMPANY ID</v>
      </c>
      <c r="ET298" s="9" t="str">
        <f>_xll.SNL.Clients.Office.Excel.Functions.SPG(EQ298, "SP_COUNTRY_NAME")</f>
        <v>#INVALID COMPANY ID</v>
      </c>
      <c r="EY298" s="9" t="str">
        <f>_xll.SNL.Clients.Office.Excel.Functions.SPG(EV298, "SP_COUNTRY_NAME")</f>
        <v>#INVALID COMPANY ID</v>
      </c>
      <c r="FD298" s="9" t="str">
        <f>_xll.SNL.Clients.Office.Excel.Functions.SPG(FA298, "SP_COUNTRY_NAME")</f>
        <v>#INVALID COMPANY ID</v>
      </c>
      <c r="FI298" s="9" t="str">
        <f>_xll.SNL.Clients.Office.Excel.Functions.SPG(FF298, "SP_COUNTRY_NAME")</f>
        <v>#INVALID COMPANY ID</v>
      </c>
      <c r="FN298" s="9" t="str">
        <f>_xll.SNL.Clients.Office.Excel.Functions.SPG(FK298, "SP_COUNTRY_NAME")</f>
        <v>#INVALID COMPANY ID</v>
      </c>
      <c r="FS298" s="9" t="str">
        <f>_xll.SNL.Clients.Office.Excel.Functions.SPG(FP298, "SP_COUNTRY_NAME")</f>
        <v>#INVALID COMPANY ID</v>
      </c>
      <c r="FX298" s="9" t="str">
        <f>_xll.SNL.Clients.Office.Excel.Functions.SPG(FU298, "SP_COUNTRY_NAME")</f>
        <v>#INVALID COMPANY ID</v>
      </c>
      <c r="FY298" t="s">
        <v>1482</v>
      </c>
      <c r="FZ298">
        <v>8307279</v>
      </c>
      <c r="GA298" t="s">
        <v>346</v>
      </c>
      <c r="GB298" s="11">
        <v>0</v>
      </c>
      <c r="GC298" s="9" t="str">
        <f>_xll.SNL.Clients.Office.Excel.Functions.SPG(FZ298, "SP_COUNTRY_NAME")</f>
        <v>United Kingdom</v>
      </c>
      <c r="GH298" s="9" t="str">
        <f>_xll.SNL.Clients.Office.Excel.Functions.SPG(GE298, "SP_COUNTRY_NAME")</f>
        <v>#INVALID COMPANY ID</v>
      </c>
      <c r="GM298" s="9" t="str">
        <f>_xll.SNL.Clients.Office.Excel.Functions.SPG(GJ298, "SP_COUNTRY_NAME")</f>
        <v>#INVALID COMPANY ID</v>
      </c>
      <c r="GR298" s="9" t="str">
        <f>_xll.SNL.Clients.Office.Excel.Functions.SPG(GO298, "SP_COUNTRY_NAME")</f>
        <v>#INVALID COMPANY ID</v>
      </c>
      <c r="GS298" t="s">
        <v>923</v>
      </c>
      <c r="GT298">
        <v>4119489</v>
      </c>
      <c r="GU298" t="s">
        <v>346</v>
      </c>
      <c r="GV298" s="11">
        <v>0</v>
      </c>
      <c r="GW298" s="9" t="str">
        <f>_xll.SNL.Clients.Office.Excel.Functions.SPG(GT298, "SP_COUNTRY_NAME")</f>
        <v>USA</v>
      </c>
      <c r="GX298" t="s">
        <v>1457</v>
      </c>
      <c r="GY298">
        <v>111434</v>
      </c>
      <c r="GZ298" t="s">
        <v>346</v>
      </c>
      <c r="HA298" s="11">
        <v>0</v>
      </c>
      <c r="HB298" s="9" t="str">
        <f>_xll.SNL.Clients.Office.Excel.Functions.SPG(GY298, "SP_COUNTRY_NAME")</f>
        <v>USA</v>
      </c>
      <c r="HG298" s="9" t="str">
        <f>_xll.SNL.Clients.Office.Excel.Functions.SPG(HD298, "SP_COUNTRY_NAME")</f>
        <v>#INVALID COMPANY ID</v>
      </c>
    </row>
    <row r="299" spans="5:215" x14ac:dyDescent="0.35">
      <c r="E299" s="9" t="str">
        <f>_xll.SNL.Clients.Office.Excel.Functions.SPG(B299, "SP_COUNTRY_NAME")</f>
        <v>#INVALID COMPANY ID</v>
      </c>
      <c r="J299" s="9" t="str">
        <f>_xll.SNL.Clients.Office.Excel.Functions.SPG(G299, "SP_COUNTRY_NAME")</f>
        <v>#INVALID COMPANY ID</v>
      </c>
      <c r="O299" s="9" t="str">
        <f>_xll.SNL.Clients.Office.Excel.Functions.SPG(L299, "SP_COUNTRY_NAME")</f>
        <v>#INVALID COMPANY ID</v>
      </c>
      <c r="T299" s="9" t="str">
        <f>_xll.SNL.Clients.Office.Excel.Functions.SPG(Q299, "SP_COUNTRY_NAME")</f>
        <v>#INVALID COMPANY ID</v>
      </c>
      <c r="U299" t="s">
        <v>856</v>
      </c>
      <c r="V299">
        <v>4141040</v>
      </c>
      <c r="W299" t="s">
        <v>346</v>
      </c>
      <c r="X299" s="11">
        <v>0</v>
      </c>
      <c r="Y299" s="9" t="str">
        <f>_xll.SNL.Clients.Office.Excel.Functions.SPG(V299, "SP_COUNTRY_NAME")</f>
        <v>United Kingdom</v>
      </c>
      <c r="AD299" s="9" t="str">
        <f>_xll.SNL.Clients.Office.Excel.Functions.SPG(AA299, "SP_COUNTRY_NAME")</f>
        <v>#INVALID COMPANY ID</v>
      </c>
      <c r="AI299" s="9" t="str">
        <f>_xll.SNL.Clients.Office.Excel.Functions.SPG(AF299, "SP_COUNTRY_NAME")</f>
        <v>#INVALID COMPANY ID</v>
      </c>
      <c r="AN299" s="9" t="str">
        <f>_xll.SNL.Clients.Office.Excel.Functions.SPG(AK299, "SP_COUNTRY_NAME")</f>
        <v>#INVALID COMPANY ID</v>
      </c>
      <c r="AS299" s="9" t="str">
        <f>_xll.SNL.Clients.Office.Excel.Functions.SPG(AP299, "SP_COUNTRY_NAME")</f>
        <v>#INVALID COMPANY ID</v>
      </c>
      <c r="AX299" s="9" t="str">
        <f>_xll.SNL.Clients.Office.Excel.Functions.SPG(AU299, "SP_COUNTRY_NAME")</f>
        <v>#INVALID COMPANY ID</v>
      </c>
      <c r="BC299" s="9" t="str">
        <f>_xll.SNL.Clients.Office.Excel.Functions.SPG(AZ299, "SP_COUNTRY_NAME")</f>
        <v>#INVALID COMPANY ID</v>
      </c>
      <c r="BD299" t="s">
        <v>1483</v>
      </c>
      <c r="BE299">
        <v>110956</v>
      </c>
      <c r="BF299" t="s">
        <v>346</v>
      </c>
      <c r="BG299" s="11">
        <v>0</v>
      </c>
      <c r="BH299" s="9" t="str">
        <f>_xll.SNL.Clients.Office.Excel.Functions.SPG(BE299, "SP_COUNTRY_NAME")</f>
        <v>USA</v>
      </c>
      <c r="BM299" s="9" t="str">
        <f>_xll.SNL.Clients.Office.Excel.Functions.SPG(BJ299, "SP_COUNTRY_NAME")</f>
        <v>#INVALID COMPANY ID</v>
      </c>
      <c r="BN299" t="s">
        <v>1040</v>
      </c>
      <c r="BO299">
        <v>4232927</v>
      </c>
      <c r="BP299" t="s">
        <v>346</v>
      </c>
      <c r="BQ299" s="11">
        <v>0</v>
      </c>
      <c r="BR299" s="9" t="str">
        <f>_xll.SNL.Clients.Office.Excel.Functions.SPG(BO299, "SP_COUNTRY_NAME")</f>
        <v>Luxembourg</v>
      </c>
      <c r="BS299" t="s">
        <v>859</v>
      </c>
      <c r="BT299">
        <v>4049161</v>
      </c>
      <c r="BU299" t="s">
        <v>346</v>
      </c>
      <c r="BV299" s="11">
        <v>0</v>
      </c>
      <c r="BW299" s="9" t="str">
        <f>_xll.SNL.Clients.Office.Excel.Functions.SPG(BT299, "SP_COUNTRY_NAME")</f>
        <v>USA</v>
      </c>
      <c r="BX299" t="s">
        <v>856</v>
      </c>
      <c r="BY299">
        <v>4141040</v>
      </c>
      <c r="BZ299" t="s">
        <v>346</v>
      </c>
      <c r="CA299" s="11">
        <v>0</v>
      </c>
      <c r="CB299" s="9" t="str">
        <f>_xll.SNL.Clients.Office.Excel.Functions.SPG(BY299, "SP_COUNTRY_NAME")</f>
        <v>United Kingdom</v>
      </c>
      <c r="CC299" t="s">
        <v>1758</v>
      </c>
      <c r="CD299">
        <v>4291208</v>
      </c>
      <c r="CE299" t="s">
        <v>364</v>
      </c>
      <c r="CF299" s="11">
        <v>0</v>
      </c>
      <c r="CG299" s="9" t="str">
        <f>_xll.SNL.Clients.Office.Excel.Functions.SPG(CD299, "SP_COUNTRY_NAME")</f>
        <v>Brazil</v>
      </c>
      <c r="CL299" s="9" t="str">
        <f>_xll.SNL.Clients.Office.Excel.Functions.SPG(CI299, "SP_COUNTRY_NAME")</f>
        <v>#INVALID COMPANY ID</v>
      </c>
      <c r="CM299" t="s">
        <v>2025</v>
      </c>
      <c r="CN299">
        <v>4320117</v>
      </c>
      <c r="CO299" t="s">
        <v>346</v>
      </c>
      <c r="CP299" s="11">
        <v>0</v>
      </c>
      <c r="CQ299" s="9" t="str">
        <f>_xll.SNL.Clients.Office.Excel.Functions.SPG(CN299, "SP_COUNTRY_NAME")</f>
        <v>USA</v>
      </c>
      <c r="CV299" s="9" t="str">
        <f>_xll.SNL.Clients.Office.Excel.Functions.SPG(CS299, "SP_COUNTRY_NAME")</f>
        <v>#INVALID COMPANY ID</v>
      </c>
      <c r="DA299" s="9" t="str">
        <f>_xll.SNL.Clients.Office.Excel.Functions.SPG(CX299, "SP_COUNTRY_NAME")</f>
        <v>#INVALID COMPANY ID</v>
      </c>
      <c r="DB299" t="s">
        <v>1483</v>
      </c>
      <c r="DC299">
        <v>110956</v>
      </c>
      <c r="DD299" t="s">
        <v>346</v>
      </c>
      <c r="DE299" s="11">
        <v>0</v>
      </c>
      <c r="DF299" s="9" t="str">
        <f>_xll.SNL.Clients.Office.Excel.Functions.SPG(DC299, "SP_COUNTRY_NAME")</f>
        <v>USA</v>
      </c>
      <c r="DK299" s="9" t="str">
        <f>_xll.SNL.Clients.Office.Excel.Functions.SPG(DH299, "SP_COUNTRY_NAME")</f>
        <v>#INVALID COMPANY ID</v>
      </c>
      <c r="DL299" t="s">
        <v>1483</v>
      </c>
      <c r="DM299">
        <v>110956</v>
      </c>
      <c r="DN299" t="s">
        <v>346</v>
      </c>
      <c r="DO299" s="11">
        <v>0</v>
      </c>
      <c r="DP299" s="9" t="str">
        <f>_xll.SNL.Clients.Office.Excel.Functions.SPG(DM299, "SP_COUNTRY_NAME")</f>
        <v>USA</v>
      </c>
      <c r="DU299" s="9" t="str">
        <f>_xll.SNL.Clients.Office.Excel.Functions.SPG(DR299, "SP_COUNTRY_NAME")</f>
        <v>#INVALID COMPANY ID</v>
      </c>
      <c r="DZ299" s="9" t="str">
        <f>_xll.SNL.Clients.Office.Excel.Functions.SPG(DW299, "SP_COUNTRY_NAME")</f>
        <v>#INVALID COMPANY ID</v>
      </c>
      <c r="EA299" t="s">
        <v>1758</v>
      </c>
      <c r="EB299">
        <v>4291208</v>
      </c>
      <c r="EC299" t="s">
        <v>364</v>
      </c>
      <c r="ED299" s="11">
        <v>0</v>
      </c>
      <c r="EE299" s="9" t="str">
        <f>_xll.SNL.Clients.Office.Excel.Functions.SPG(EB299, "SP_COUNTRY_NAME")</f>
        <v>Brazil</v>
      </c>
      <c r="EF299" t="s">
        <v>1483</v>
      </c>
      <c r="EG299">
        <v>110956</v>
      </c>
      <c r="EH299" t="s">
        <v>346</v>
      </c>
      <c r="EI299" s="11">
        <v>0</v>
      </c>
      <c r="EJ299" s="9" t="str">
        <f>_xll.SNL.Clients.Office.Excel.Functions.SPG(EG299, "SP_COUNTRY_NAME")</f>
        <v>USA</v>
      </c>
      <c r="EO299" s="9" t="str">
        <f>_xll.SNL.Clients.Office.Excel.Functions.SPG(EL299, "SP_COUNTRY_NAME")</f>
        <v>#INVALID COMPANY ID</v>
      </c>
      <c r="ET299" s="9" t="str">
        <f>_xll.SNL.Clients.Office.Excel.Functions.SPG(EQ299, "SP_COUNTRY_NAME")</f>
        <v>#INVALID COMPANY ID</v>
      </c>
      <c r="EY299" s="9" t="str">
        <f>_xll.SNL.Clients.Office.Excel.Functions.SPG(EV299, "SP_COUNTRY_NAME")</f>
        <v>#INVALID COMPANY ID</v>
      </c>
      <c r="FD299" s="9" t="str">
        <f>_xll.SNL.Clients.Office.Excel.Functions.SPG(FA299, "SP_COUNTRY_NAME")</f>
        <v>#INVALID COMPANY ID</v>
      </c>
      <c r="FI299" s="9" t="str">
        <f>_xll.SNL.Clients.Office.Excel.Functions.SPG(FF299, "SP_COUNTRY_NAME")</f>
        <v>#INVALID COMPANY ID</v>
      </c>
      <c r="FN299" s="9" t="str">
        <f>_xll.SNL.Clients.Office.Excel.Functions.SPG(FK299, "SP_COUNTRY_NAME")</f>
        <v>#INVALID COMPANY ID</v>
      </c>
      <c r="FS299" s="9" t="str">
        <f>_xll.SNL.Clients.Office.Excel.Functions.SPG(FP299, "SP_COUNTRY_NAME")</f>
        <v>#INVALID COMPANY ID</v>
      </c>
      <c r="FX299" s="9" t="str">
        <f>_xll.SNL.Clients.Office.Excel.Functions.SPG(FU299, "SP_COUNTRY_NAME")</f>
        <v>#INVALID COMPANY ID</v>
      </c>
      <c r="FY299" t="s">
        <v>1483</v>
      </c>
      <c r="FZ299">
        <v>110956</v>
      </c>
      <c r="GA299" t="s">
        <v>346</v>
      </c>
      <c r="GB299" s="11">
        <v>0</v>
      </c>
      <c r="GC299" s="9" t="str">
        <f>_xll.SNL.Clients.Office.Excel.Functions.SPG(FZ299, "SP_COUNTRY_NAME")</f>
        <v>USA</v>
      </c>
      <c r="GH299" s="9" t="str">
        <f>_xll.SNL.Clients.Office.Excel.Functions.SPG(GE299, "SP_COUNTRY_NAME")</f>
        <v>#INVALID COMPANY ID</v>
      </c>
      <c r="GM299" s="9" t="str">
        <f>_xll.SNL.Clients.Office.Excel.Functions.SPG(GJ299, "SP_COUNTRY_NAME")</f>
        <v>#INVALID COMPANY ID</v>
      </c>
      <c r="GR299" s="9" t="str">
        <f>_xll.SNL.Clients.Office.Excel.Functions.SPG(GO299, "SP_COUNTRY_NAME")</f>
        <v>#INVALID COMPANY ID</v>
      </c>
      <c r="GS299" t="s">
        <v>1040</v>
      </c>
      <c r="GT299">
        <v>4232927</v>
      </c>
      <c r="GU299" t="s">
        <v>346</v>
      </c>
      <c r="GV299" s="11">
        <v>0</v>
      </c>
      <c r="GW299" s="9" t="str">
        <f>_xll.SNL.Clients.Office.Excel.Functions.SPG(GT299, "SP_COUNTRY_NAME")</f>
        <v>Luxembourg</v>
      </c>
      <c r="GX299" t="s">
        <v>1758</v>
      </c>
      <c r="GY299">
        <v>4291208</v>
      </c>
      <c r="GZ299" t="s">
        <v>364</v>
      </c>
      <c r="HA299" s="11">
        <v>0</v>
      </c>
      <c r="HB299" s="9" t="str">
        <f>_xll.SNL.Clients.Office.Excel.Functions.SPG(GY299, "SP_COUNTRY_NAME")</f>
        <v>Brazil</v>
      </c>
      <c r="HG299" s="9" t="str">
        <f>_xll.SNL.Clients.Office.Excel.Functions.SPG(HD299, "SP_COUNTRY_NAME")</f>
        <v>#INVALID COMPANY ID</v>
      </c>
    </row>
    <row r="300" spans="5:215" x14ac:dyDescent="0.35">
      <c r="E300" s="9" t="str">
        <f>_xll.SNL.Clients.Office.Excel.Functions.SPG(B300, "SP_COUNTRY_NAME")</f>
        <v>#INVALID COMPANY ID</v>
      </c>
      <c r="J300" s="9" t="str">
        <f>_xll.SNL.Clients.Office.Excel.Functions.SPG(G300, "SP_COUNTRY_NAME")</f>
        <v>#INVALID COMPANY ID</v>
      </c>
      <c r="O300" s="9" t="str">
        <f>_xll.SNL.Clients.Office.Excel.Functions.SPG(L300, "SP_COUNTRY_NAME")</f>
        <v>#INVALID COMPANY ID</v>
      </c>
      <c r="T300" s="9" t="str">
        <f>_xll.SNL.Clients.Office.Excel.Functions.SPG(Q300, "SP_COUNTRY_NAME")</f>
        <v>#INVALID COMPANY ID</v>
      </c>
      <c r="U300" t="s">
        <v>857</v>
      </c>
      <c r="V300">
        <v>4262519</v>
      </c>
      <c r="W300" t="s">
        <v>346</v>
      </c>
      <c r="X300" s="11">
        <v>0</v>
      </c>
      <c r="Y300" s="9" t="str">
        <f>_xll.SNL.Clients.Office.Excel.Functions.SPG(V300, "SP_COUNTRY_NAME")</f>
        <v>USA</v>
      </c>
      <c r="AD300" s="9" t="str">
        <f>_xll.SNL.Clients.Office.Excel.Functions.SPG(AA300, "SP_COUNTRY_NAME")</f>
        <v>#INVALID COMPANY ID</v>
      </c>
      <c r="AI300" s="9" t="str">
        <f>_xll.SNL.Clients.Office.Excel.Functions.SPG(AF300, "SP_COUNTRY_NAME")</f>
        <v>#INVALID COMPANY ID</v>
      </c>
      <c r="AN300" s="9" t="str">
        <f>_xll.SNL.Clients.Office.Excel.Functions.SPG(AK300, "SP_COUNTRY_NAME")</f>
        <v>#INVALID COMPANY ID</v>
      </c>
      <c r="AS300" s="9" t="str">
        <f>_xll.SNL.Clients.Office.Excel.Functions.SPG(AP300, "SP_COUNTRY_NAME")</f>
        <v>#INVALID COMPANY ID</v>
      </c>
      <c r="AX300" s="9" t="str">
        <f>_xll.SNL.Clients.Office.Excel.Functions.SPG(AU300, "SP_COUNTRY_NAME")</f>
        <v>#INVALID COMPANY ID</v>
      </c>
      <c r="BC300" s="9" t="str">
        <f>_xll.SNL.Clients.Office.Excel.Functions.SPG(AZ300, "SP_COUNTRY_NAME")</f>
        <v>#INVALID COMPANY ID</v>
      </c>
      <c r="BD300" t="s">
        <v>1287</v>
      </c>
      <c r="BE300">
        <v>6727027</v>
      </c>
      <c r="BF300" t="s">
        <v>346</v>
      </c>
      <c r="BG300" s="11">
        <v>0</v>
      </c>
      <c r="BH300" s="9" t="str">
        <f>_xll.SNL.Clients.Office.Excel.Functions.SPG(BE300, "SP_COUNTRY_NAME")</f>
        <v>South Africa</v>
      </c>
      <c r="BM300" s="9" t="str">
        <f>_xll.SNL.Clients.Office.Excel.Functions.SPG(BJ300, "SP_COUNTRY_NAME")</f>
        <v>#INVALID COMPANY ID</v>
      </c>
      <c r="BN300" t="s">
        <v>890</v>
      </c>
      <c r="BO300">
        <v>4260136</v>
      </c>
      <c r="BP300" t="s">
        <v>346</v>
      </c>
      <c r="BQ300" s="11">
        <v>0</v>
      </c>
      <c r="BR300" s="9" t="str">
        <f>_xll.SNL.Clients.Office.Excel.Functions.SPG(BO300, "SP_COUNTRY_NAME")</f>
        <v>France</v>
      </c>
      <c r="BS300" t="s">
        <v>1014</v>
      </c>
      <c r="BT300">
        <v>5886333</v>
      </c>
      <c r="BU300" t="s">
        <v>346</v>
      </c>
      <c r="BV300" s="11">
        <v>0</v>
      </c>
      <c r="BW300" s="9" t="str">
        <f>_xll.SNL.Clients.Office.Excel.Functions.SPG(BT300, "SP_COUNTRY_NAME")</f>
        <v>Switzerland</v>
      </c>
      <c r="BX300" t="s">
        <v>857</v>
      </c>
      <c r="BY300">
        <v>4262519</v>
      </c>
      <c r="BZ300" t="s">
        <v>346</v>
      </c>
      <c r="CA300" s="11">
        <v>0</v>
      </c>
      <c r="CB300" s="9" t="str">
        <f>_xll.SNL.Clients.Office.Excel.Functions.SPG(BY300, "SP_COUNTRY_NAME")</f>
        <v>USA</v>
      </c>
      <c r="CC300" t="s">
        <v>1759</v>
      </c>
      <c r="CD300">
        <v>19760305</v>
      </c>
      <c r="CE300" t="s">
        <v>346</v>
      </c>
      <c r="CF300" s="11">
        <v>0</v>
      </c>
      <c r="CG300" s="9" t="str">
        <f>_xll.SNL.Clients.Office.Excel.Functions.SPG(CD300, "SP_COUNTRY_NAME")</f>
        <v>Brazil</v>
      </c>
      <c r="CL300" s="9" t="str">
        <f>_xll.SNL.Clients.Office.Excel.Functions.SPG(CI300, "SP_COUNTRY_NAME")</f>
        <v>#INVALID COMPANY ID</v>
      </c>
      <c r="CM300" t="s">
        <v>2026</v>
      </c>
      <c r="CN300">
        <v>110322</v>
      </c>
      <c r="CO300" t="s">
        <v>346</v>
      </c>
      <c r="CP300" s="11">
        <v>0</v>
      </c>
      <c r="CQ300" s="9" t="str">
        <f>_xll.SNL.Clients.Office.Excel.Functions.SPG(CN300, "SP_COUNTRY_NAME")</f>
        <v>USA</v>
      </c>
      <c r="CV300" s="9" t="str">
        <f>_xll.SNL.Clients.Office.Excel.Functions.SPG(CS300, "SP_COUNTRY_NAME")</f>
        <v>#INVALID COMPANY ID</v>
      </c>
      <c r="DA300" s="9" t="str">
        <f>_xll.SNL.Clients.Office.Excel.Functions.SPG(CX300, "SP_COUNTRY_NAME")</f>
        <v>#INVALID COMPANY ID</v>
      </c>
      <c r="DB300" t="s">
        <v>1287</v>
      </c>
      <c r="DC300">
        <v>6727027</v>
      </c>
      <c r="DD300" t="s">
        <v>346</v>
      </c>
      <c r="DE300" s="11">
        <v>0</v>
      </c>
      <c r="DF300" s="9" t="str">
        <f>_xll.SNL.Clients.Office.Excel.Functions.SPG(DC300, "SP_COUNTRY_NAME")</f>
        <v>South Africa</v>
      </c>
      <c r="DK300" s="9" t="str">
        <f>_xll.SNL.Clients.Office.Excel.Functions.SPG(DH300, "SP_COUNTRY_NAME")</f>
        <v>#INVALID COMPANY ID</v>
      </c>
      <c r="DL300" t="s">
        <v>1287</v>
      </c>
      <c r="DM300">
        <v>6727027</v>
      </c>
      <c r="DN300" t="s">
        <v>346</v>
      </c>
      <c r="DO300" s="11">
        <v>0</v>
      </c>
      <c r="DP300" s="9" t="str">
        <f>_xll.SNL.Clients.Office.Excel.Functions.SPG(DM300, "SP_COUNTRY_NAME")</f>
        <v>South Africa</v>
      </c>
      <c r="DU300" s="9" t="str">
        <f>_xll.SNL.Clients.Office.Excel.Functions.SPG(DR300, "SP_COUNTRY_NAME")</f>
        <v>#INVALID COMPANY ID</v>
      </c>
      <c r="DZ300" s="9" t="str">
        <f>_xll.SNL.Clients.Office.Excel.Functions.SPG(DW300, "SP_COUNTRY_NAME")</f>
        <v>#INVALID COMPANY ID</v>
      </c>
      <c r="EA300" t="s">
        <v>1759</v>
      </c>
      <c r="EB300">
        <v>19760305</v>
      </c>
      <c r="EC300" t="s">
        <v>346</v>
      </c>
      <c r="ED300" s="11">
        <v>0</v>
      </c>
      <c r="EE300" s="9" t="str">
        <f>_xll.SNL.Clients.Office.Excel.Functions.SPG(EB300, "SP_COUNTRY_NAME")</f>
        <v>Brazil</v>
      </c>
      <c r="EF300" t="s">
        <v>1287</v>
      </c>
      <c r="EG300">
        <v>6727027</v>
      </c>
      <c r="EH300" t="s">
        <v>346</v>
      </c>
      <c r="EI300" s="11">
        <v>0</v>
      </c>
      <c r="EJ300" s="9" t="str">
        <f>_xll.SNL.Clients.Office.Excel.Functions.SPG(EG300, "SP_COUNTRY_NAME")</f>
        <v>South Africa</v>
      </c>
      <c r="EO300" s="9" t="str">
        <f>_xll.SNL.Clients.Office.Excel.Functions.SPG(EL300, "SP_COUNTRY_NAME")</f>
        <v>#INVALID COMPANY ID</v>
      </c>
      <c r="ET300" s="9" t="str">
        <f>_xll.SNL.Clients.Office.Excel.Functions.SPG(EQ300, "SP_COUNTRY_NAME")</f>
        <v>#INVALID COMPANY ID</v>
      </c>
      <c r="EY300" s="9" t="str">
        <f>_xll.SNL.Clients.Office.Excel.Functions.SPG(EV300, "SP_COUNTRY_NAME")</f>
        <v>#INVALID COMPANY ID</v>
      </c>
      <c r="FD300" s="9" t="str">
        <f>_xll.SNL.Clients.Office.Excel.Functions.SPG(FA300, "SP_COUNTRY_NAME")</f>
        <v>#INVALID COMPANY ID</v>
      </c>
      <c r="FI300" s="9" t="str">
        <f>_xll.SNL.Clients.Office.Excel.Functions.SPG(FF300, "SP_COUNTRY_NAME")</f>
        <v>#INVALID COMPANY ID</v>
      </c>
      <c r="FN300" s="9" t="str">
        <f>_xll.SNL.Clients.Office.Excel.Functions.SPG(FK300, "SP_COUNTRY_NAME")</f>
        <v>#INVALID COMPANY ID</v>
      </c>
      <c r="FS300" s="9" t="str">
        <f>_xll.SNL.Clients.Office.Excel.Functions.SPG(FP300, "SP_COUNTRY_NAME")</f>
        <v>#INVALID COMPANY ID</v>
      </c>
      <c r="FX300" s="9" t="str">
        <f>_xll.SNL.Clients.Office.Excel.Functions.SPG(FU300, "SP_COUNTRY_NAME")</f>
        <v>#INVALID COMPANY ID</v>
      </c>
      <c r="FY300" t="s">
        <v>1287</v>
      </c>
      <c r="FZ300">
        <v>6727027</v>
      </c>
      <c r="GA300" t="s">
        <v>346</v>
      </c>
      <c r="GB300" s="11">
        <v>0</v>
      </c>
      <c r="GC300" s="9" t="str">
        <f>_xll.SNL.Clients.Office.Excel.Functions.SPG(FZ300, "SP_COUNTRY_NAME")</f>
        <v>South Africa</v>
      </c>
      <c r="GH300" s="9" t="str">
        <f>_xll.SNL.Clients.Office.Excel.Functions.SPG(GE300, "SP_COUNTRY_NAME")</f>
        <v>#INVALID COMPANY ID</v>
      </c>
      <c r="GM300" s="9" t="str">
        <f>_xll.SNL.Clients.Office.Excel.Functions.SPG(GJ300, "SP_COUNTRY_NAME")</f>
        <v>#INVALID COMPANY ID</v>
      </c>
      <c r="GR300" s="9" t="str">
        <f>_xll.SNL.Clients.Office.Excel.Functions.SPG(GO300, "SP_COUNTRY_NAME")</f>
        <v>#INVALID COMPANY ID</v>
      </c>
      <c r="GS300" t="s">
        <v>890</v>
      </c>
      <c r="GT300">
        <v>4260136</v>
      </c>
      <c r="GU300" t="s">
        <v>346</v>
      </c>
      <c r="GV300" s="11">
        <v>0</v>
      </c>
      <c r="GW300" s="9" t="str">
        <f>_xll.SNL.Clients.Office.Excel.Functions.SPG(GT300, "SP_COUNTRY_NAME")</f>
        <v>France</v>
      </c>
      <c r="GX300" t="s">
        <v>1759</v>
      </c>
      <c r="GY300">
        <v>19760305</v>
      </c>
      <c r="GZ300" t="s">
        <v>346</v>
      </c>
      <c r="HA300" s="11">
        <v>0</v>
      </c>
      <c r="HB300" s="9" t="str">
        <f>_xll.SNL.Clients.Office.Excel.Functions.SPG(GY300, "SP_COUNTRY_NAME")</f>
        <v>Brazil</v>
      </c>
      <c r="HG300" s="9" t="str">
        <f>_xll.SNL.Clients.Office.Excel.Functions.SPG(HD300, "SP_COUNTRY_NAME")</f>
        <v>#INVALID COMPANY ID</v>
      </c>
    </row>
    <row r="301" spans="5:215" x14ac:dyDescent="0.35">
      <c r="E301" s="9" t="str">
        <f>_xll.SNL.Clients.Office.Excel.Functions.SPG(B301, "SP_COUNTRY_NAME")</f>
        <v>#INVALID COMPANY ID</v>
      </c>
      <c r="J301" s="9" t="str">
        <f>_xll.SNL.Clients.Office.Excel.Functions.SPG(G301, "SP_COUNTRY_NAME")</f>
        <v>#INVALID COMPANY ID</v>
      </c>
      <c r="O301" s="9" t="str">
        <f>_xll.SNL.Clients.Office.Excel.Functions.SPG(L301, "SP_COUNTRY_NAME")</f>
        <v>#INVALID COMPANY ID</v>
      </c>
      <c r="T301" s="9" t="str">
        <f>_xll.SNL.Clients.Office.Excel.Functions.SPG(Q301, "SP_COUNTRY_NAME")</f>
        <v>#INVALID COMPANY ID</v>
      </c>
      <c r="U301" t="s">
        <v>602</v>
      </c>
      <c r="V301">
        <v>4378744</v>
      </c>
      <c r="W301" t="s">
        <v>346</v>
      </c>
      <c r="X301" s="11">
        <v>0</v>
      </c>
      <c r="Y301" s="9" t="str">
        <f>_xll.SNL.Clients.Office.Excel.Functions.SPG(V301, "SP_COUNTRY_NAME")</f>
        <v>Poland</v>
      </c>
      <c r="AD301" s="9" t="str">
        <f>_xll.SNL.Clients.Office.Excel.Functions.SPG(AA301, "SP_COUNTRY_NAME")</f>
        <v>#INVALID COMPANY ID</v>
      </c>
      <c r="AI301" s="9" t="str">
        <f>_xll.SNL.Clients.Office.Excel.Functions.SPG(AF301, "SP_COUNTRY_NAME")</f>
        <v>#INVALID COMPANY ID</v>
      </c>
      <c r="AN301" s="9" t="str">
        <f>_xll.SNL.Clients.Office.Excel.Functions.SPG(AK301, "SP_COUNTRY_NAME")</f>
        <v>#INVALID COMPANY ID</v>
      </c>
      <c r="AS301" s="9" t="str">
        <f>_xll.SNL.Clients.Office.Excel.Functions.SPG(AP301, "SP_COUNTRY_NAME")</f>
        <v>#INVALID COMPANY ID</v>
      </c>
      <c r="AX301" s="9" t="str">
        <f>_xll.SNL.Clients.Office.Excel.Functions.SPG(AU301, "SP_COUNTRY_NAME")</f>
        <v>#INVALID COMPANY ID</v>
      </c>
      <c r="BC301" s="9" t="str">
        <f>_xll.SNL.Clients.Office.Excel.Functions.SPG(AZ301, "SP_COUNTRY_NAME")</f>
        <v>#INVALID COMPANY ID</v>
      </c>
      <c r="BD301" t="s">
        <v>1347</v>
      </c>
      <c r="BE301">
        <v>4225263</v>
      </c>
      <c r="BF301" t="s">
        <v>346</v>
      </c>
      <c r="BG301" s="11">
        <v>0</v>
      </c>
      <c r="BH301" s="9" t="str">
        <f>_xll.SNL.Clients.Office.Excel.Functions.SPG(BE301, "SP_COUNTRY_NAME")</f>
        <v>South Africa</v>
      </c>
      <c r="BM301" s="9" t="str">
        <f>_xll.SNL.Clients.Office.Excel.Functions.SPG(BJ301, "SP_COUNTRY_NAME")</f>
        <v>#INVALID COMPANY ID</v>
      </c>
      <c r="BN301" t="s">
        <v>605</v>
      </c>
      <c r="BO301">
        <v>111489</v>
      </c>
      <c r="BP301" t="s">
        <v>346</v>
      </c>
      <c r="BQ301" s="11">
        <v>0</v>
      </c>
      <c r="BR301" s="9" t="str">
        <f>_xll.SNL.Clients.Office.Excel.Functions.SPG(BO301, "SP_COUNTRY_NAME")</f>
        <v>USA</v>
      </c>
      <c r="BS301" t="s">
        <v>1015</v>
      </c>
      <c r="BT301">
        <v>4135174</v>
      </c>
      <c r="BU301" t="s">
        <v>364</v>
      </c>
      <c r="BV301" s="11">
        <v>0</v>
      </c>
      <c r="BW301" s="9" t="str">
        <f>_xll.SNL.Clients.Office.Excel.Functions.SPG(BT301, "SP_COUNTRY_NAME")</f>
        <v>United Kingdom</v>
      </c>
      <c r="BX301" t="s">
        <v>602</v>
      </c>
      <c r="BY301">
        <v>4378744</v>
      </c>
      <c r="BZ301" t="s">
        <v>346</v>
      </c>
      <c r="CA301" s="11">
        <v>0</v>
      </c>
      <c r="CB301" s="9" t="str">
        <f>_xll.SNL.Clients.Office.Excel.Functions.SPG(BY301, "SP_COUNTRY_NAME")</f>
        <v>Poland</v>
      </c>
      <c r="CC301" t="s">
        <v>1760</v>
      </c>
      <c r="CD301">
        <v>118324063</v>
      </c>
      <c r="CE301" t="s">
        <v>346</v>
      </c>
      <c r="CF301" s="11">
        <v>0</v>
      </c>
      <c r="CG301" s="9" t="str">
        <f>_xll.SNL.Clients.Office.Excel.Functions.SPG(CD301, "SP_COUNTRY_NAME")</f>
        <v>Brazil</v>
      </c>
      <c r="CL301" s="9" t="str">
        <f>_xll.SNL.Clients.Office.Excel.Functions.SPG(CI301, "SP_COUNTRY_NAME")</f>
        <v>#INVALID COMPANY ID</v>
      </c>
      <c r="CM301" t="s">
        <v>1344</v>
      </c>
      <c r="CN301">
        <v>124019115</v>
      </c>
      <c r="CO301" t="s">
        <v>346</v>
      </c>
      <c r="CP301" s="11">
        <v>0</v>
      </c>
      <c r="CQ301" s="9" t="str">
        <f>_xll.SNL.Clients.Office.Excel.Functions.SPG(CN301, "SP_COUNTRY_NAME")</f>
        <v>South Africa</v>
      </c>
      <c r="CV301" s="9" t="str">
        <f>_xll.SNL.Clients.Office.Excel.Functions.SPG(CS301, "SP_COUNTRY_NAME")</f>
        <v>#INVALID COMPANY ID</v>
      </c>
      <c r="DA301" s="9" t="str">
        <f>_xll.SNL.Clients.Office.Excel.Functions.SPG(CX301, "SP_COUNTRY_NAME")</f>
        <v>#INVALID COMPANY ID</v>
      </c>
      <c r="DB301" t="s">
        <v>1347</v>
      </c>
      <c r="DC301">
        <v>4225263</v>
      </c>
      <c r="DD301" t="s">
        <v>346</v>
      </c>
      <c r="DE301" s="11">
        <v>0</v>
      </c>
      <c r="DF301" s="9" t="str">
        <f>_xll.SNL.Clients.Office.Excel.Functions.SPG(DC301, "SP_COUNTRY_NAME")</f>
        <v>South Africa</v>
      </c>
      <c r="DK301" s="9" t="str">
        <f>_xll.SNL.Clients.Office.Excel.Functions.SPG(DH301, "SP_COUNTRY_NAME")</f>
        <v>#INVALID COMPANY ID</v>
      </c>
      <c r="DL301" t="s">
        <v>1347</v>
      </c>
      <c r="DM301">
        <v>4225263</v>
      </c>
      <c r="DN301" t="s">
        <v>346</v>
      </c>
      <c r="DO301" s="11">
        <v>0</v>
      </c>
      <c r="DP301" s="9" t="str">
        <f>_xll.SNL.Clients.Office.Excel.Functions.SPG(DM301, "SP_COUNTRY_NAME")</f>
        <v>South Africa</v>
      </c>
      <c r="DU301" s="9" t="str">
        <f>_xll.SNL.Clients.Office.Excel.Functions.SPG(DR301, "SP_COUNTRY_NAME")</f>
        <v>#INVALID COMPANY ID</v>
      </c>
      <c r="DZ301" s="9" t="str">
        <f>_xll.SNL.Clients.Office.Excel.Functions.SPG(DW301, "SP_COUNTRY_NAME")</f>
        <v>#INVALID COMPANY ID</v>
      </c>
      <c r="EA301" t="s">
        <v>1760</v>
      </c>
      <c r="EB301">
        <v>118324063</v>
      </c>
      <c r="EC301" t="s">
        <v>346</v>
      </c>
      <c r="ED301" s="11">
        <v>0</v>
      </c>
      <c r="EE301" s="9" t="str">
        <f>_xll.SNL.Clients.Office.Excel.Functions.SPG(EB301, "SP_COUNTRY_NAME")</f>
        <v>Brazil</v>
      </c>
      <c r="EF301" t="s">
        <v>1347</v>
      </c>
      <c r="EG301">
        <v>4225263</v>
      </c>
      <c r="EH301" t="s">
        <v>346</v>
      </c>
      <c r="EI301" s="11">
        <v>0</v>
      </c>
      <c r="EJ301" s="9" t="str">
        <f>_xll.SNL.Clients.Office.Excel.Functions.SPG(EG301, "SP_COUNTRY_NAME")</f>
        <v>South Africa</v>
      </c>
      <c r="EO301" s="9" t="str">
        <f>_xll.SNL.Clients.Office.Excel.Functions.SPG(EL301, "SP_COUNTRY_NAME")</f>
        <v>#INVALID COMPANY ID</v>
      </c>
      <c r="ET301" s="9" t="str">
        <f>_xll.SNL.Clients.Office.Excel.Functions.SPG(EQ301, "SP_COUNTRY_NAME")</f>
        <v>#INVALID COMPANY ID</v>
      </c>
      <c r="EY301" s="9" t="str">
        <f>_xll.SNL.Clients.Office.Excel.Functions.SPG(EV301, "SP_COUNTRY_NAME")</f>
        <v>#INVALID COMPANY ID</v>
      </c>
      <c r="FD301" s="9" t="str">
        <f>_xll.SNL.Clients.Office.Excel.Functions.SPG(FA301, "SP_COUNTRY_NAME")</f>
        <v>#INVALID COMPANY ID</v>
      </c>
      <c r="FI301" s="9" t="str">
        <f>_xll.SNL.Clients.Office.Excel.Functions.SPG(FF301, "SP_COUNTRY_NAME")</f>
        <v>#INVALID COMPANY ID</v>
      </c>
      <c r="FN301" s="9" t="str">
        <f>_xll.SNL.Clients.Office.Excel.Functions.SPG(FK301, "SP_COUNTRY_NAME")</f>
        <v>#INVALID COMPANY ID</v>
      </c>
      <c r="FS301" s="9" t="str">
        <f>_xll.SNL.Clients.Office.Excel.Functions.SPG(FP301, "SP_COUNTRY_NAME")</f>
        <v>#INVALID COMPANY ID</v>
      </c>
      <c r="FX301" s="9" t="str">
        <f>_xll.SNL.Clients.Office.Excel.Functions.SPG(FU301, "SP_COUNTRY_NAME")</f>
        <v>#INVALID COMPANY ID</v>
      </c>
      <c r="FY301" t="s">
        <v>1347</v>
      </c>
      <c r="FZ301">
        <v>4225263</v>
      </c>
      <c r="GA301" t="s">
        <v>346</v>
      </c>
      <c r="GB301" s="11">
        <v>0</v>
      </c>
      <c r="GC301" s="9" t="str">
        <f>_xll.SNL.Clients.Office.Excel.Functions.SPG(FZ301, "SP_COUNTRY_NAME")</f>
        <v>South Africa</v>
      </c>
      <c r="GH301" s="9" t="str">
        <f>_xll.SNL.Clients.Office.Excel.Functions.SPG(GE301, "SP_COUNTRY_NAME")</f>
        <v>#INVALID COMPANY ID</v>
      </c>
      <c r="GM301" s="9" t="str">
        <f>_xll.SNL.Clients.Office.Excel.Functions.SPG(GJ301, "SP_COUNTRY_NAME")</f>
        <v>#INVALID COMPANY ID</v>
      </c>
      <c r="GR301" s="9" t="str">
        <f>_xll.SNL.Clients.Office.Excel.Functions.SPG(GO301, "SP_COUNTRY_NAME")</f>
        <v>#INVALID COMPANY ID</v>
      </c>
      <c r="GS301" t="s">
        <v>605</v>
      </c>
      <c r="GT301">
        <v>111489</v>
      </c>
      <c r="GU301" t="s">
        <v>346</v>
      </c>
      <c r="GV301" s="11">
        <v>0</v>
      </c>
      <c r="GW301" s="9" t="str">
        <f>_xll.SNL.Clients.Office.Excel.Functions.SPG(GT301, "SP_COUNTRY_NAME")</f>
        <v>USA</v>
      </c>
      <c r="GX301" t="s">
        <v>1760</v>
      </c>
      <c r="GY301">
        <v>118324063</v>
      </c>
      <c r="GZ301" t="s">
        <v>346</v>
      </c>
      <c r="HA301" s="11">
        <v>0</v>
      </c>
      <c r="HB301" s="9" t="str">
        <f>_xll.SNL.Clients.Office.Excel.Functions.SPG(GY301, "SP_COUNTRY_NAME")</f>
        <v>Brazil</v>
      </c>
      <c r="HG301" s="9" t="str">
        <f>_xll.SNL.Clients.Office.Excel.Functions.SPG(HD301, "SP_COUNTRY_NAME")</f>
        <v>#INVALID COMPANY ID</v>
      </c>
    </row>
    <row r="302" spans="5:215" x14ac:dyDescent="0.35">
      <c r="E302" s="9" t="str">
        <f>_xll.SNL.Clients.Office.Excel.Functions.SPG(B302, "SP_COUNTRY_NAME")</f>
        <v>#INVALID COMPANY ID</v>
      </c>
      <c r="J302" s="9" t="str">
        <f>_xll.SNL.Clients.Office.Excel.Functions.SPG(G302, "SP_COUNTRY_NAME")</f>
        <v>#INVALID COMPANY ID</v>
      </c>
      <c r="O302" s="9" t="str">
        <f>_xll.SNL.Clients.Office.Excel.Functions.SPG(L302, "SP_COUNTRY_NAME")</f>
        <v>#INVALID COMPANY ID</v>
      </c>
      <c r="T302" s="9" t="str">
        <f>_xll.SNL.Clients.Office.Excel.Functions.SPG(Q302, "SP_COUNTRY_NAME")</f>
        <v>#INVALID COMPANY ID</v>
      </c>
      <c r="U302" t="s">
        <v>589</v>
      </c>
      <c r="V302">
        <v>4140617</v>
      </c>
      <c r="W302" t="s">
        <v>346</v>
      </c>
      <c r="X302" s="11">
        <v>0</v>
      </c>
      <c r="Y302" s="9" t="str">
        <f>_xll.SNL.Clients.Office.Excel.Functions.SPG(V302, "SP_COUNTRY_NAME")</f>
        <v>Switzerland</v>
      </c>
      <c r="AD302" s="9" t="str">
        <f>_xll.SNL.Clients.Office.Excel.Functions.SPG(AA302, "SP_COUNTRY_NAME")</f>
        <v>#INVALID COMPANY ID</v>
      </c>
      <c r="AI302" s="9" t="str">
        <f>_xll.SNL.Clients.Office.Excel.Functions.SPG(AF302, "SP_COUNTRY_NAME")</f>
        <v>#INVALID COMPANY ID</v>
      </c>
      <c r="AN302" s="9" t="str">
        <f>_xll.SNL.Clients.Office.Excel.Functions.SPG(AK302, "SP_COUNTRY_NAME")</f>
        <v>#INVALID COMPANY ID</v>
      </c>
      <c r="AS302" s="9" t="str">
        <f>_xll.SNL.Clients.Office.Excel.Functions.SPG(AP302, "SP_COUNTRY_NAME")</f>
        <v>#INVALID COMPANY ID</v>
      </c>
      <c r="AX302" s="9" t="str">
        <f>_xll.SNL.Clients.Office.Excel.Functions.SPG(AU302, "SP_COUNTRY_NAME")</f>
        <v>#INVALID COMPANY ID</v>
      </c>
      <c r="BC302" s="9" t="str">
        <f>_xll.SNL.Clients.Office.Excel.Functions.SPG(AZ302, "SP_COUNTRY_NAME")</f>
        <v>#INVALID COMPANY ID</v>
      </c>
      <c r="BD302" t="s">
        <v>1484</v>
      </c>
      <c r="BE302">
        <v>5813975</v>
      </c>
      <c r="BF302" t="s">
        <v>346</v>
      </c>
      <c r="BG302" s="11">
        <v>0</v>
      </c>
      <c r="BH302" s="9" t="str">
        <f>_xll.SNL.Clients.Office.Excel.Functions.SPG(BE302, "SP_COUNTRY_NAME")</f>
        <v>United Kingdom</v>
      </c>
      <c r="BM302" s="9" t="str">
        <f>_xll.SNL.Clients.Office.Excel.Functions.SPG(BJ302, "SP_COUNTRY_NAME")</f>
        <v>#INVALID COMPANY ID</v>
      </c>
      <c r="BN302" t="s">
        <v>914</v>
      </c>
      <c r="BO302">
        <v>4772536</v>
      </c>
      <c r="BP302" t="s">
        <v>346</v>
      </c>
      <c r="BQ302" s="11">
        <v>0</v>
      </c>
      <c r="BR302" s="9" t="str">
        <f>_xll.SNL.Clients.Office.Excel.Functions.SPG(BO302, "SP_COUNTRY_NAME")</f>
        <v>China</v>
      </c>
      <c r="BS302" t="s">
        <v>850</v>
      </c>
      <c r="BT302">
        <v>5853751</v>
      </c>
      <c r="BU302" t="s">
        <v>346</v>
      </c>
      <c r="BV302" s="11">
        <v>0</v>
      </c>
      <c r="BW302" s="9" t="str">
        <f>_xll.SNL.Clients.Office.Excel.Functions.SPG(BT302, "SP_COUNTRY_NAME")</f>
        <v>China</v>
      </c>
      <c r="BX302" t="s">
        <v>589</v>
      </c>
      <c r="BY302">
        <v>4140617</v>
      </c>
      <c r="BZ302" t="s">
        <v>346</v>
      </c>
      <c r="CA302" s="11">
        <v>0</v>
      </c>
      <c r="CB302" s="9" t="str">
        <f>_xll.SNL.Clients.Office.Excel.Functions.SPG(BY302, "SP_COUNTRY_NAME")</f>
        <v>Switzerland</v>
      </c>
      <c r="CC302" t="s">
        <v>1761</v>
      </c>
      <c r="CD302">
        <v>110979</v>
      </c>
      <c r="CE302" t="s">
        <v>346</v>
      </c>
      <c r="CF302" s="11">
        <v>0</v>
      </c>
      <c r="CG302" s="9" t="str">
        <f>_xll.SNL.Clients.Office.Excel.Functions.SPG(CD302, "SP_COUNTRY_NAME")</f>
        <v>USA</v>
      </c>
      <c r="CL302" s="9" t="str">
        <f>_xll.SNL.Clients.Office.Excel.Functions.SPG(CI302, "SP_COUNTRY_NAME")</f>
        <v>#INVALID COMPANY ID</v>
      </c>
      <c r="CM302" t="s">
        <v>1324</v>
      </c>
      <c r="CN302">
        <v>4234580</v>
      </c>
      <c r="CO302" t="s">
        <v>364</v>
      </c>
      <c r="CP302" s="11">
        <v>0</v>
      </c>
      <c r="CQ302" s="9" t="str">
        <f>_xll.SNL.Clients.Office.Excel.Functions.SPG(CN302, "SP_COUNTRY_NAME")</f>
        <v>South Africa</v>
      </c>
      <c r="CV302" s="9" t="str">
        <f>_xll.SNL.Clients.Office.Excel.Functions.SPG(CS302, "SP_COUNTRY_NAME")</f>
        <v>#INVALID COMPANY ID</v>
      </c>
      <c r="DA302" s="9" t="str">
        <f>_xll.SNL.Clients.Office.Excel.Functions.SPG(CX302, "SP_COUNTRY_NAME")</f>
        <v>#INVALID COMPANY ID</v>
      </c>
      <c r="DB302" t="s">
        <v>1484</v>
      </c>
      <c r="DC302">
        <v>5813975</v>
      </c>
      <c r="DD302" t="s">
        <v>346</v>
      </c>
      <c r="DE302" s="11">
        <v>0</v>
      </c>
      <c r="DF302" s="9" t="str">
        <f>_xll.SNL.Clients.Office.Excel.Functions.SPG(DC302, "SP_COUNTRY_NAME")</f>
        <v>United Kingdom</v>
      </c>
      <c r="DK302" s="9" t="str">
        <f>_xll.SNL.Clients.Office.Excel.Functions.SPG(DH302, "SP_COUNTRY_NAME")</f>
        <v>#INVALID COMPANY ID</v>
      </c>
      <c r="DL302" t="s">
        <v>1484</v>
      </c>
      <c r="DM302">
        <v>5813975</v>
      </c>
      <c r="DN302" t="s">
        <v>346</v>
      </c>
      <c r="DO302" s="11">
        <v>0</v>
      </c>
      <c r="DP302" s="9" t="str">
        <f>_xll.SNL.Clients.Office.Excel.Functions.SPG(DM302, "SP_COUNTRY_NAME")</f>
        <v>United Kingdom</v>
      </c>
      <c r="DU302" s="9" t="str">
        <f>_xll.SNL.Clients.Office.Excel.Functions.SPG(DR302, "SP_COUNTRY_NAME")</f>
        <v>#INVALID COMPANY ID</v>
      </c>
      <c r="DZ302" s="9" t="str">
        <f>_xll.SNL.Clients.Office.Excel.Functions.SPG(DW302, "SP_COUNTRY_NAME")</f>
        <v>#INVALID COMPANY ID</v>
      </c>
      <c r="EA302" t="s">
        <v>1761</v>
      </c>
      <c r="EB302">
        <v>110979</v>
      </c>
      <c r="EC302" t="s">
        <v>346</v>
      </c>
      <c r="ED302" s="11">
        <v>0</v>
      </c>
      <c r="EE302" s="9" t="str">
        <f>_xll.SNL.Clients.Office.Excel.Functions.SPG(EB302, "SP_COUNTRY_NAME")</f>
        <v>USA</v>
      </c>
      <c r="EF302" t="s">
        <v>1484</v>
      </c>
      <c r="EG302">
        <v>5813975</v>
      </c>
      <c r="EH302" t="s">
        <v>346</v>
      </c>
      <c r="EI302" s="11">
        <v>0</v>
      </c>
      <c r="EJ302" s="9" t="str">
        <f>_xll.SNL.Clients.Office.Excel.Functions.SPG(EG302, "SP_COUNTRY_NAME")</f>
        <v>United Kingdom</v>
      </c>
      <c r="EO302" s="9" t="str">
        <f>_xll.SNL.Clients.Office.Excel.Functions.SPG(EL302, "SP_COUNTRY_NAME")</f>
        <v>#INVALID COMPANY ID</v>
      </c>
      <c r="ET302" s="9" t="str">
        <f>_xll.SNL.Clients.Office.Excel.Functions.SPG(EQ302, "SP_COUNTRY_NAME")</f>
        <v>#INVALID COMPANY ID</v>
      </c>
      <c r="EY302" s="9" t="str">
        <f>_xll.SNL.Clients.Office.Excel.Functions.SPG(EV302, "SP_COUNTRY_NAME")</f>
        <v>#INVALID COMPANY ID</v>
      </c>
      <c r="FD302" s="9" t="str">
        <f>_xll.SNL.Clients.Office.Excel.Functions.SPG(FA302, "SP_COUNTRY_NAME")</f>
        <v>#INVALID COMPANY ID</v>
      </c>
      <c r="FI302" s="9" t="str">
        <f>_xll.SNL.Clients.Office.Excel.Functions.SPG(FF302, "SP_COUNTRY_NAME")</f>
        <v>#INVALID COMPANY ID</v>
      </c>
      <c r="FN302" s="9" t="str">
        <f>_xll.SNL.Clients.Office.Excel.Functions.SPG(FK302, "SP_COUNTRY_NAME")</f>
        <v>#INVALID COMPANY ID</v>
      </c>
      <c r="FS302" s="9" t="str">
        <f>_xll.SNL.Clients.Office.Excel.Functions.SPG(FP302, "SP_COUNTRY_NAME")</f>
        <v>#INVALID COMPANY ID</v>
      </c>
      <c r="FX302" s="9" t="str">
        <f>_xll.SNL.Clients.Office.Excel.Functions.SPG(FU302, "SP_COUNTRY_NAME")</f>
        <v>#INVALID COMPANY ID</v>
      </c>
      <c r="FY302" t="s">
        <v>1484</v>
      </c>
      <c r="FZ302">
        <v>5813975</v>
      </c>
      <c r="GA302" t="s">
        <v>346</v>
      </c>
      <c r="GB302" s="11">
        <v>0</v>
      </c>
      <c r="GC302" s="9" t="str">
        <f>_xll.SNL.Clients.Office.Excel.Functions.SPG(FZ302, "SP_COUNTRY_NAME")</f>
        <v>United Kingdom</v>
      </c>
      <c r="GH302" s="9" t="str">
        <f>_xll.SNL.Clients.Office.Excel.Functions.SPG(GE302, "SP_COUNTRY_NAME")</f>
        <v>#INVALID COMPANY ID</v>
      </c>
      <c r="GM302" s="9" t="str">
        <f>_xll.SNL.Clients.Office.Excel.Functions.SPG(GJ302, "SP_COUNTRY_NAME")</f>
        <v>#INVALID COMPANY ID</v>
      </c>
      <c r="GR302" s="9" t="str">
        <f>_xll.SNL.Clients.Office.Excel.Functions.SPG(GO302, "SP_COUNTRY_NAME")</f>
        <v>#INVALID COMPANY ID</v>
      </c>
      <c r="GS302" t="s">
        <v>914</v>
      </c>
      <c r="GT302">
        <v>4772536</v>
      </c>
      <c r="GU302" t="s">
        <v>346</v>
      </c>
      <c r="GV302" s="11">
        <v>0</v>
      </c>
      <c r="GW302" s="9" t="str">
        <f>_xll.SNL.Clients.Office.Excel.Functions.SPG(GT302, "SP_COUNTRY_NAME")</f>
        <v>China</v>
      </c>
      <c r="GX302" t="s">
        <v>1761</v>
      </c>
      <c r="GY302">
        <v>110979</v>
      </c>
      <c r="GZ302" t="s">
        <v>346</v>
      </c>
      <c r="HA302" s="11">
        <v>0</v>
      </c>
      <c r="HB302" s="9" t="str">
        <f>_xll.SNL.Clients.Office.Excel.Functions.SPG(GY302, "SP_COUNTRY_NAME")</f>
        <v>USA</v>
      </c>
      <c r="HG302" s="9" t="str">
        <f>_xll.SNL.Clients.Office.Excel.Functions.SPG(HD302, "SP_COUNTRY_NAME")</f>
        <v>#INVALID COMPANY ID</v>
      </c>
    </row>
    <row r="303" spans="5:215" x14ac:dyDescent="0.35">
      <c r="E303" s="9" t="str">
        <f>_xll.SNL.Clients.Office.Excel.Functions.SPG(B303, "SP_COUNTRY_NAME")</f>
        <v>#INVALID COMPANY ID</v>
      </c>
      <c r="J303" s="9" t="str">
        <f>_xll.SNL.Clients.Office.Excel.Functions.SPG(G303, "SP_COUNTRY_NAME")</f>
        <v>#INVALID COMPANY ID</v>
      </c>
      <c r="O303" s="9" t="str">
        <f>_xll.SNL.Clients.Office.Excel.Functions.SPG(L303, "SP_COUNTRY_NAME")</f>
        <v>#INVALID COMPANY ID</v>
      </c>
      <c r="T303" s="9" t="str">
        <f>_xll.SNL.Clients.Office.Excel.Functions.SPG(Q303, "SP_COUNTRY_NAME")</f>
        <v>#INVALID COMPANY ID</v>
      </c>
      <c r="U303" t="s">
        <v>858</v>
      </c>
      <c r="V303">
        <v>123879915</v>
      </c>
      <c r="W303" t="s">
        <v>346</v>
      </c>
      <c r="X303" s="11">
        <v>0</v>
      </c>
      <c r="Y303" s="9" t="str">
        <f>_xll.SNL.Clients.Office.Excel.Functions.SPG(V303, "SP_COUNTRY_NAME")</f>
        <v>#INVALID COMPANY ID</v>
      </c>
      <c r="AD303" s="9" t="str">
        <f>_xll.SNL.Clients.Office.Excel.Functions.SPG(AA303, "SP_COUNTRY_NAME")</f>
        <v>#INVALID COMPANY ID</v>
      </c>
      <c r="AI303" s="9" t="str">
        <f>_xll.SNL.Clients.Office.Excel.Functions.SPG(AF303, "SP_COUNTRY_NAME")</f>
        <v>#INVALID COMPANY ID</v>
      </c>
      <c r="AN303" s="9" t="str">
        <f>_xll.SNL.Clients.Office.Excel.Functions.SPG(AK303, "SP_COUNTRY_NAME")</f>
        <v>#INVALID COMPANY ID</v>
      </c>
      <c r="AS303" s="9" t="str">
        <f>_xll.SNL.Clients.Office.Excel.Functions.SPG(AP303, "SP_COUNTRY_NAME")</f>
        <v>#INVALID COMPANY ID</v>
      </c>
      <c r="AX303" s="9" t="str">
        <f>_xll.SNL.Clients.Office.Excel.Functions.SPG(AU303, "SP_COUNTRY_NAME")</f>
        <v>#INVALID COMPANY ID</v>
      </c>
      <c r="BC303" s="9" t="str">
        <f>_xll.SNL.Clients.Office.Excel.Functions.SPG(AZ303, "SP_COUNTRY_NAME")</f>
        <v>#INVALID COMPANY ID</v>
      </c>
      <c r="BD303" t="s">
        <v>526</v>
      </c>
      <c r="BE303">
        <v>4248288</v>
      </c>
      <c r="BF303" t="s">
        <v>346</v>
      </c>
      <c r="BG303" s="11">
        <v>0</v>
      </c>
      <c r="BH303" s="9" t="str">
        <f>_xll.SNL.Clients.Office.Excel.Functions.SPG(BE303, "SP_COUNTRY_NAME")</f>
        <v>Canada</v>
      </c>
      <c r="BM303" s="9" t="str">
        <f>_xll.SNL.Clients.Office.Excel.Functions.SPG(BJ303, "SP_COUNTRY_NAME")</f>
        <v>#INVALID COMPANY ID</v>
      </c>
      <c r="BN303" t="s">
        <v>1045</v>
      </c>
      <c r="BO303">
        <v>5776820</v>
      </c>
      <c r="BP303" t="s">
        <v>346</v>
      </c>
      <c r="BQ303" s="11">
        <v>0</v>
      </c>
      <c r="BR303" s="9" t="str">
        <f>_xll.SNL.Clients.Office.Excel.Functions.SPG(BO303, "SP_COUNTRY_NAME")</f>
        <v>Denmark</v>
      </c>
      <c r="BS303" t="s">
        <v>884</v>
      </c>
      <c r="BT303">
        <v>4281837</v>
      </c>
      <c r="BU303" t="s">
        <v>346</v>
      </c>
      <c r="BV303" s="11">
        <v>0</v>
      </c>
      <c r="BW303" s="9" t="str">
        <f>_xll.SNL.Clients.Office.Excel.Functions.SPG(BT303, "SP_COUNTRY_NAME")</f>
        <v>Taiwan</v>
      </c>
      <c r="BX303" t="s">
        <v>858</v>
      </c>
      <c r="BY303">
        <v>123879915</v>
      </c>
      <c r="BZ303" t="s">
        <v>346</v>
      </c>
      <c r="CA303" s="11">
        <v>0</v>
      </c>
      <c r="CB303" s="9" t="str">
        <f>_xll.SNL.Clients.Office.Excel.Functions.SPG(BY303, "SP_COUNTRY_NAME")</f>
        <v>#INVALID COMPANY ID</v>
      </c>
      <c r="CC303" t="s">
        <v>597</v>
      </c>
      <c r="CD303">
        <v>4654230</v>
      </c>
      <c r="CE303" t="s">
        <v>346</v>
      </c>
      <c r="CF303" s="11">
        <v>0</v>
      </c>
      <c r="CG303" s="9" t="str">
        <f>_xll.SNL.Clients.Office.Excel.Functions.SPG(CD303, "SP_COUNTRY_NAME")</f>
        <v>Australia</v>
      </c>
      <c r="CL303" s="9" t="str">
        <f>_xll.SNL.Clients.Office.Excel.Functions.SPG(CI303, "SP_COUNTRY_NAME")</f>
        <v>#INVALID COMPANY ID</v>
      </c>
      <c r="CM303" t="s">
        <v>1284</v>
      </c>
      <c r="CN303">
        <v>4235022</v>
      </c>
      <c r="CO303" t="s">
        <v>346</v>
      </c>
      <c r="CP303" s="11">
        <v>0</v>
      </c>
      <c r="CQ303" s="9" t="str">
        <f>_xll.SNL.Clients.Office.Excel.Functions.SPG(CN303, "SP_COUNTRY_NAME")</f>
        <v>South Africa</v>
      </c>
      <c r="CV303" s="9" t="str">
        <f>_xll.SNL.Clients.Office.Excel.Functions.SPG(CS303, "SP_COUNTRY_NAME")</f>
        <v>#INVALID COMPANY ID</v>
      </c>
      <c r="DA303" s="9" t="str">
        <f>_xll.SNL.Clients.Office.Excel.Functions.SPG(CX303, "SP_COUNTRY_NAME")</f>
        <v>#INVALID COMPANY ID</v>
      </c>
      <c r="DB303" t="s">
        <v>526</v>
      </c>
      <c r="DC303">
        <v>4248288</v>
      </c>
      <c r="DD303" t="s">
        <v>346</v>
      </c>
      <c r="DE303" s="11">
        <v>0</v>
      </c>
      <c r="DF303" s="9" t="str">
        <f>_xll.SNL.Clients.Office.Excel.Functions.SPG(DC303, "SP_COUNTRY_NAME")</f>
        <v>Canada</v>
      </c>
      <c r="DK303" s="9" t="str">
        <f>_xll.SNL.Clients.Office.Excel.Functions.SPG(DH303, "SP_COUNTRY_NAME")</f>
        <v>#INVALID COMPANY ID</v>
      </c>
      <c r="DL303" t="s">
        <v>526</v>
      </c>
      <c r="DM303">
        <v>4248288</v>
      </c>
      <c r="DN303" t="s">
        <v>346</v>
      </c>
      <c r="DO303" s="11">
        <v>0</v>
      </c>
      <c r="DP303" s="9" t="str">
        <f>_xll.SNL.Clients.Office.Excel.Functions.SPG(DM303, "SP_COUNTRY_NAME")</f>
        <v>Canada</v>
      </c>
      <c r="DU303" s="9" t="str">
        <f>_xll.SNL.Clients.Office.Excel.Functions.SPG(DR303, "SP_COUNTRY_NAME")</f>
        <v>#INVALID COMPANY ID</v>
      </c>
      <c r="DZ303" s="9" t="str">
        <f>_xll.SNL.Clients.Office.Excel.Functions.SPG(DW303, "SP_COUNTRY_NAME")</f>
        <v>#INVALID COMPANY ID</v>
      </c>
      <c r="EA303" t="s">
        <v>597</v>
      </c>
      <c r="EB303">
        <v>4654230</v>
      </c>
      <c r="EC303" t="s">
        <v>346</v>
      </c>
      <c r="ED303" s="11">
        <v>0</v>
      </c>
      <c r="EE303" s="9" t="str">
        <f>_xll.SNL.Clients.Office.Excel.Functions.SPG(EB303, "SP_COUNTRY_NAME")</f>
        <v>Australia</v>
      </c>
      <c r="EF303" t="s">
        <v>526</v>
      </c>
      <c r="EG303">
        <v>4248288</v>
      </c>
      <c r="EH303" t="s">
        <v>346</v>
      </c>
      <c r="EI303" s="11">
        <v>0</v>
      </c>
      <c r="EJ303" s="9" t="str">
        <f>_xll.SNL.Clients.Office.Excel.Functions.SPG(EG303, "SP_COUNTRY_NAME")</f>
        <v>Canada</v>
      </c>
      <c r="EO303" s="9" t="str">
        <f>_xll.SNL.Clients.Office.Excel.Functions.SPG(EL303, "SP_COUNTRY_NAME")</f>
        <v>#INVALID COMPANY ID</v>
      </c>
      <c r="ET303" s="9" t="str">
        <f>_xll.SNL.Clients.Office.Excel.Functions.SPG(EQ303, "SP_COUNTRY_NAME")</f>
        <v>#INVALID COMPANY ID</v>
      </c>
      <c r="EY303" s="9" t="str">
        <f>_xll.SNL.Clients.Office.Excel.Functions.SPG(EV303, "SP_COUNTRY_NAME")</f>
        <v>#INVALID COMPANY ID</v>
      </c>
      <c r="FD303" s="9" t="str">
        <f>_xll.SNL.Clients.Office.Excel.Functions.SPG(FA303, "SP_COUNTRY_NAME")</f>
        <v>#INVALID COMPANY ID</v>
      </c>
      <c r="FI303" s="9" t="str">
        <f>_xll.SNL.Clients.Office.Excel.Functions.SPG(FF303, "SP_COUNTRY_NAME")</f>
        <v>#INVALID COMPANY ID</v>
      </c>
      <c r="FN303" s="9" t="str">
        <f>_xll.SNL.Clients.Office.Excel.Functions.SPG(FK303, "SP_COUNTRY_NAME")</f>
        <v>#INVALID COMPANY ID</v>
      </c>
      <c r="FS303" s="9" t="str">
        <f>_xll.SNL.Clients.Office.Excel.Functions.SPG(FP303, "SP_COUNTRY_NAME")</f>
        <v>#INVALID COMPANY ID</v>
      </c>
      <c r="FX303" s="9" t="str">
        <f>_xll.SNL.Clients.Office.Excel.Functions.SPG(FU303, "SP_COUNTRY_NAME")</f>
        <v>#INVALID COMPANY ID</v>
      </c>
      <c r="FY303" t="s">
        <v>526</v>
      </c>
      <c r="FZ303">
        <v>4248288</v>
      </c>
      <c r="GA303" t="s">
        <v>346</v>
      </c>
      <c r="GB303" s="11">
        <v>0</v>
      </c>
      <c r="GC303" s="9" t="str">
        <f>_xll.SNL.Clients.Office.Excel.Functions.SPG(FZ303, "SP_COUNTRY_NAME")</f>
        <v>Canada</v>
      </c>
      <c r="GH303" s="9" t="str">
        <f>_xll.SNL.Clients.Office.Excel.Functions.SPG(GE303, "SP_COUNTRY_NAME")</f>
        <v>#INVALID COMPANY ID</v>
      </c>
      <c r="GM303" s="9" t="str">
        <f>_xll.SNL.Clients.Office.Excel.Functions.SPG(GJ303, "SP_COUNTRY_NAME")</f>
        <v>#INVALID COMPANY ID</v>
      </c>
      <c r="GR303" s="9" t="str">
        <f>_xll.SNL.Clients.Office.Excel.Functions.SPG(GO303, "SP_COUNTRY_NAME")</f>
        <v>#INVALID COMPANY ID</v>
      </c>
      <c r="GS303" t="s">
        <v>1045</v>
      </c>
      <c r="GT303">
        <v>5776820</v>
      </c>
      <c r="GU303" t="s">
        <v>346</v>
      </c>
      <c r="GV303" s="11">
        <v>0</v>
      </c>
      <c r="GW303" s="9" t="str">
        <f>_xll.SNL.Clients.Office.Excel.Functions.SPG(GT303, "SP_COUNTRY_NAME")</f>
        <v>Denmark</v>
      </c>
      <c r="GX303" t="s">
        <v>597</v>
      </c>
      <c r="GY303">
        <v>4654230</v>
      </c>
      <c r="GZ303" t="s">
        <v>346</v>
      </c>
      <c r="HA303" s="11">
        <v>0</v>
      </c>
      <c r="HB303" s="9" t="str">
        <f>_xll.SNL.Clients.Office.Excel.Functions.SPG(GY303, "SP_COUNTRY_NAME")</f>
        <v>Australia</v>
      </c>
      <c r="HG303" s="9" t="str">
        <f>_xll.SNL.Clients.Office.Excel.Functions.SPG(HD303, "SP_COUNTRY_NAME")</f>
        <v>#INVALID COMPANY ID</v>
      </c>
    </row>
    <row r="304" spans="5:215" x14ac:dyDescent="0.35">
      <c r="E304" s="9" t="str">
        <f>_xll.SNL.Clients.Office.Excel.Functions.SPG(B304, "SP_COUNTRY_NAME")</f>
        <v>#INVALID COMPANY ID</v>
      </c>
      <c r="J304" s="9" t="str">
        <f>_xll.SNL.Clients.Office.Excel.Functions.SPG(G304, "SP_COUNTRY_NAME")</f>
        <v>#INVALID COMPANY ID</v>
      </c>
      <c r="O304" s="9" t="str">
        <f>_xll.SNL.Clients.Office.Excel.Functions.SPG(L304, "SP_COUNTRY_NAME")</f>
        <v>#INVALID COMPANY ID</v>
      </c>
      <c r="T304" s="9" t="str">
        <f>_xll.SNL.Clients.Office.Excel.Functions.SPG(Q304, "SP_COUNTRY_NAME")</f>
        <v>#INVALID COMPANY ID</v>
      </c>
      <c r="U304" t="s">
        <v>859</v>
      </c>
      <c r="V304">
        <v>4049161</v>
      </c>
      <c r="W304" t="s">
        <v>346</v>
      </c>
      <c r="X304" s="11">
        <v>0</v>
      </c>
      <c r="Y304" s="9" t="str">
        <f>_xll.SNL.Clients.Office.Excel.Functions.SPG(V304, "SP_COUNTRY_NAME")</f>
        <v>USA</v>
      </c>
      <c r="AD304" s="9" t="str">
        <f>_xll.SNL.Clients.Office.Excel.Functions.SPG(AA304, "SP_COUNTRY_NAME")</f>
        <v>#INVALID COMPANY ID</v>
      </c>
      <c r="AI304" s="9" t="str">
        <f>_xll.SNL.Clients.Office.Excel.Functions.SPG(AF304, "SP_COUNTRY_NAME")</f>
        <v>#INVALID COMPANY ID</v>
      </c>
      <c r="AN304" s="9" t="str">
        <f>_xll.SNL.Clients.Office.Excel.Functions.SPG(AK304, "SP_COUNTRY_NAME")</f>
        <v>#INVALID COMPANY ID</v>
      </c>
      <c r="AS304" s="9" t="str">
        <f>_xll.SNL.Clients.Office.Excel.Functions.SPG(AP304, "SP_COUNTRY_NAME")</f>
        <v>#INVALID COMPANY ID</v>
      </c>
      <c r="AX304" s="9" t="str">
        <f>_xll.SNL.Clients.Office.Excel.Functions.SPG(AU304, "SP_COUNTRY_NAME")</f>
        <v>#INVALID COMPANY ID</v>
      </c>
      <c r="BC304" s="9" t="str">
        <f>_xll.SNL.Clients.Office.Excel.Functions.SPG(AZ304, "SP_COUNTRY_NAME")</f>
        <v>#INVALID COMPANY ID</v>
      </c>
      <c r="BD304" t="s">
        <v>679</v>
      </c>
      <c r="BE304">
        <v>4138221</v>
      </c>
      <c r="BF304" t="s">
        <v>346</v>
      </c>
      <c r="BG304" s="11">
        <v>0</v>
      </c>
      <c r="BH304" s="9" t="str">
        <f>_xll.SNL.Clients.Office.Excel.Functions.SPG(BE304, "SP_COUNTRY_NAME")</f>
        <v>China</v>
      </c>
      <c r="BM304" s="9" t="str">
        <f>_xll.SNL.Clients.Office.Excel.Functions.SPG(BJ304, "SP_COUNTRY_NAME")</f>
        <v>#INVALID COMPANY ID</v>
      </c>
      <c r="BN304" t="s">
        <v>606</v>
      </c>
      <c r="BO304">
        <v>10346719</v>
      </c>
      <c r="BP304" t="s">
        <v>346</v>
      </c>
      <c r="BQ304" s="11">
        <v>0</v>
      </c>
      <c r="BR304" s="9" t="str">
        <f>_xll.SNL.Clients.Office.Excel.Functions.SPG(BO304, "SP_COUNTRY_NAME")</f>
        <v>United Kingdom</v>
      </c>
      <c r="BS304" t="s">
        <v>792</v>
      </c>
      <c r="BT304">
        <v>4314602</v>
      </c>
      <c r="BU304" t="s">
        <v>346</v>
      </c>
      <c r="BV304" s="11">
        <v>0</v>
      </c>
      <c r="BW304" s="9" t="str">
        <f>_xll.SNL.Clients.Office.Excel.Functions.SPG(BT304, "SP_COUNTRY_NAME")</f>
        <v>Taiwan</v>
      </c>
      <c r="BX304" t="s">
        <v>859</v>
      </c>
      <c r="BY304">
        <v>4049161</v>
      </c>
      <c r="BZ304" t="s">
        <v>346</v>
      </c>
      <c r="CA304" s="11">
        <v>0</v>
      </c>
      <c r="CB304" s="9" t="str">
        <f>_xll.SNL.Clients.Office.Excel.Functions.SPG(BY304, "SP_COUNTRY_NAME")</f>
        <v>USA</v>
      </c>
      <c r="CC304" t="s">
        <v>1202</v>
      </c>
      <c r="CD304">
        <v>5850609</v>
      </c>
      <c r="CE304" t="s">
        <v>346</v>
      </c>
      <c r="CF304" s="11">
        <v>0</v>
      </c>
      <c r="CG304" s="9" t="str">
        <f>_xll.SNL.Clients.Office.Excel.Functions.SPG(CD304, "SP_COUNTRY_NAME")</f>
        <v>Germany</v>
      </c>
      <c r="CL304" s="9" t="str">
        <f>_xll.SNL.Clients.Office.Excel.Functions.SPG(CI304, "SP_COUNTRY_NAME")</f>
        <v>#INVALID COMPANY ID</v>
      </c>
      <c r="CM304" t="s">
        <v>2027</v>
      </c>
      <c r="CN304">
        <v>8896286</v>
      </c>
      <c r="CO304" t="s">
        <v>364</v>
      </c>
      <c r="CP304" s="11">
        <v>0</v>
      </c>
      <c r="CQ304" s="9" t="str">
        <f>_xll.SNL.Clients.Office.Excel.Functions.SPG(CN304, "SP_COUNTRY_NAME")</f>
        <v>Brazil</v>
      </c>
      <c r="CV304" s="9" t="str">
        <f>_xll.SNL.Clients.Office.Excel.Functions.SPG(CS304, "SP_COUNTRY_NAME")</f>
        <v>#INVALID COMPANY ID</v>
      </c>
      <c r="DA304" s="9" t="str">
        <f>_xll.SNL.Clients.Office.Excel.Functions.SPG(CX304, "SP_COUNTRY_NAME")</f>
        <v>#INVALID COMPANY ID</v>
      </c>
      <c r="DB304" t="s">
        <v>679</v>
      </c>
      <c r="DC304">
        <v>4138221</v>
      </c>
      <c r="DD304" t="s">
        <v>346</v>
      </c>
      <c r="DE304" s="11">
        <v>0</v>
      </c>
      <c r="DF304" s="9" t="str">
        <f>_xll.SNL.Clients.Office.Excel.Functions.SPG(DC304, "SP_COUNTRY_NAME")</f>
        <v>China</v>
      </c>
      <c r="DK304" s="9" t="str">
        <f>_xll.SNL.Clients.Office.Excel.Functions.SPG(DH304, "SP_COUNTRY_NAME")</f>
        <v>#INVALID COMPANY ID</v>
      </c>
      <c r="DL304" t="s">
        <v>679</v>
      </c>
      <c r="DM304">
        <v>4138221</v>
      </c>
      <c r="DN304" t="s">
        <v>346</v>
      </c>
      <c r="DO304" s="11">
        <v>0</v>
      </c>
      <c r="DP304" s="9" t="str">
        <f>_xll.SNL.Clients.Office.Excel.Functions.SPG(DM304, "SP_COUNTRY_NAME")</f>
        <v>China</v>
      </c>
      <c r="DU304" s="9" t="str">
        <f>_xll.SNL.Clients.Office.Excel.Functions.SPG(DR304, "SP_COUNTRY_NAME")</f>
        <v>#INVALID COMPANY ID</v>
      </c>
      <c r="DZ304" s="9" t="str">
        <f>_xll.SNL.Clients.Office.Excel.Functions.SPG(DW304, "SP_COUNTRY_NAME")</f>
        <v>#INVALID COMPANY ID</v>
      </c>
      <c r="EA304" t="s">
        <v>1202</v>
      </c>
      <c r="EB304">
        <v>5850609</v>
      </c>
      <c r="EC304" t="s">
        <v>346</v>
      </c>
      <c r="ED304" s="11">
        <v>0</v>
      </c>
      <c r="EE304" s="9" t="str">
        <f>_xll.SNL.Clients.Office.Excel.Functions.SPG(EB304, "SP_COUNTRY_NAME")</f>
        <v>Germany</v>
      </c>
      <c r="EF304" t="s">
        <v>679</v>
      </c>
      <c r="EG304">
        <v>4138221</v>
      </c>
      <c r="EH304" t="s">
        <v>346</v>
      </c>
      <c r="EI304" s="11">
        <v>0</v>
      </c>
      <c r="EJ304" s="9" t="str">
        <f>_xll.SNL.Clients.Office.Excel.Functions.SPG(EG304, "SP_COUNTRY_NAME")</f>
        <v>China</v>
      </c>
      <c r="EO304" s="9" t="str">
        <f>_xll.SNL.Clients.Office.Excel.Functions.SPG(EL304, "SP_COUNTRY_NAME")</f>
        <v>#INVALID COMPANY ID</v>
      </c>
      <c r="ET304" s="9" t="str">
        <f>_xll.SNL.Clients.Office.Excel.Functions.SPG(EQ304, "SP_COUNTRY_NAME")</f>
        <v>#INVALID COMPANY ID</v>
      </c>
      <c r="EY304" s="9" t="str">
        <f>_xll.SNL.Clients.Office.Excel.Functions.SPG(EV304, "SP_COUNTRY_NAME")</f>
        <v>#INVALID COMPANY ID</v>
      </c>
      <c r="FD304" s="9" t="str">
        <f>_xll.SNL.Clients.Office.Excel.Functions.SPG(FA304, "SP_COUNTRY_NAME")</f>
        <v>#INVALID COMPANY ID</v>
      </c>
      <c r="FI304" s="9" t="str">
        <f>_xll.SNL.Clients.Office.Excel.Functions.SPG(FF304, "SP_COUNTRY_NAME")</f>
        <v>#INVALID COMPANY ID</v>
      </c>
      <c r="FN304" s="9" t="str">
        <f>_xll.SNL.Clients.Office.Excel.Functions.SPG(FK304, "SP_COUNTRY_NAME")</f>
        <v>#INVALID COMPANY ID</v>
      </c>
      <c r="FS304" s="9" t="str">
        <f>_xll.SNL.Clients.Office.Excel.Functions.SPG(FP304, "SP_COUNTRY_NAME")</f>
        <v>#INVALID COMPANY ID</v>
      </c>
      <c r="FX304" s="9" t="str">
        <f>_xll.SNL.Clients.Office.Excel.Functions.SPG(FU304, "SP_COUNTRY_NAME")</f>
        <v>#INVALID COMPANY ID</v>
      </c>
      <c r="FY304" t="s">
        <v>679</v>
      </c>
      <c r="FZ304">
        <v>4138221</v>
      </c>
      <c r="GA304" t="s">
        <v>346</v>
      </c>
      <c r="GB304" s="11">
        <v>0</v>
      </c>
      <c r="GC304" s="9" t="str">
        <f>_xll.SNL.Clients.Office.Excel.Functions.SPG(FZ304, "SP_COUNTRY_NAME")</f>
        <v>China</v>
      </c>
      <c r="GH304" s="9" t="str">
        <f>_xll.SNL.Clients.Office.Excel.Functions.SPG(GE304, "SP_COUNTRY_NAME")</f>
        <v>#INVALID COMPANY ID</v>
      </c>
      <c r="GM304" s="9" t="str">
        <f>_xll.SNL.Clients.Office.Excel.Functions.SPG(GJ304, "SP_COUNTRY_NAME")</f>
        <v>#INVALID COMPANY ID</v>
      </c>
      <c r="GR304" s="9" t="str">
        <f>_xll.SNL.Clients.Office.Excel.Functions.SPG(GO304, "SP_COUNTRY_NAME")</f>
        <v>#INVALID COMPANY ID</v>
      </c>
      <c r="GS304" t="s">
        <v>606</v>
      </c>
      <c r="GT304">
        <v>10346719</v>
      </c>
      <c r="GU304" t="s">
        <v>346</v>
      </c>
      <c r="GV304" s="11">
        <v>0</v>
      </c>
      <c r="GW304" s="9" t="str">
        <f>_xll.SNL.Clients.Office.Excel.Functions.SPG(GT304, "SP_COUNTRY_NAME")</f>
        <v>United Kingdom</v>
      </c>
      <c r="GX304" t="s">
        <v>1202</v>
      </c>
      <c r="GY304">
        <v>5850609</v>
      </c>
      <c r="GZ304" t="s">
        <v>346</v>
      </c>
      <c r="HA304" s="11">
        <v>0</v>
      </c>
      <c r="HB304" s="9" t="str">
        <f>_xll.SNL.Clients.Office.Excel.Functions.SPG(GY304, "SP_COUNTRY_NAME")</f>
        <v>Germany</v>
      </c>
      <c r="HG304" s="9" t="str">
        <f>_xll.SNL.Clients.Office.Excel.Functions.SPG(HD304, "SP_COUNTRY_NAME")</f>
        <v>#INVALID COMPANY ID</v>
      </c>
    </row>
    <row r="305" spans="5:215" x14ac:dyDescent="0.35">
      <c r="E305" s="9" t="str">
        <f>_xll.SNL.Clients.Office.Excel.Functions.SPG(B305, "SP_COUNTRY_NAME")</f>
        <v>#INVALID COMPANY ID</v>
      </c>
      <c r="J305" s="9" t="str">
        <f>_xll.SNL.Clients.Office.Excel.Functions.SPG(G305, "SP_COUNTRY_NAME")</f>
        <v>#INVALID COMPANY ID</v>
      </c>
      <c r="O305" s="9" t="str">
        <f>_xll.SNL.Clients.Office.Excel.Functions.SPG(L305, "SP_COUNTRY_NAME")</f>
        <v>#INVALID COMPANY ID</v>
      </c>
      <c r="T305" s="9" t="str">
        <f>_xll.SNL.Clients.Office.Excel.Functions.SPG(Q305, "SP_COUNTRY_NAME")</f>
        <v>#INVALID COMPANY ID</v>
      </c>
      <c r="U305" t="s">
        <v>860</v>
      </c>
      <c r="V305">
        <v>110879</v>
      </c>
      <c r="W305" t="s">
        <v>346</v>
      </c>
      <c r="X305" s="11">
        <v>0</v>
      </c>
      <c r="Y305" s="9" t="str">
        <f>_xll.SNL.Clients.Office.Excel.Functions.SPG(V305, "SP_COUNTRY_NAME")</f>
        <v>USA</v>
      </c>
      <c r="AD305" s="9" t="str">
        <f>_xll.SNL.Clients.Office.Excel.Functions.SPG(AA305, "SP_COUNTRY_NAME")</f>
        <v>#INVALID COMPANY ID</v>
      </c>
      <c r="AI305" s="9" t="str">
        <f>_xll.SNL.Clients.Office.Excel.Functions.SPG(AF305, "SP_COUNTRY_NAME")</f>
        <v>#INVALID COMPANY ID</v>
      </c>
      <c r="AN305" s="9" t="str">
        <f>_xll.SNL.Clients.Office.Excel.Functions.SPG(AK305, "SP_COUNTRY_NAME")</f>
        <v>#INVALID COMPANY ID</v>
      </c>
      <c r="AS305" s="9" t="str">
        <f>_xll.SNL.Clients.Office.Excel.Functions.SPG(AP305, "SP_COUNTRY_NAME")</f>
        <v>#INVALID COMPANY ID</v>
      </c>
      <c r="AX305" s="9" t="str">
        <f>_xll.SNL.Clients.Office.Excel.Functions.SPG(AU305, "SP_COUNTRY_NAME")</f>
        <v>#INVALID COMPANY ID</v>
      </c>
      <c r="BC305" s="9" t="str">
        <f>_xll.SNL.Clients.Office.Excel.Functions.SPG(AZ305, "SP_COUNTRY_NAME")</f>
        <v>#INVALID COMPANY ID</v>
      </c>
      <c r="BD305" t="s">
        <v>1333</v>
      </c>
      <c r="BE305">
        <v>5871860</v>
      </c>
      <c r="BF305" t="s">
        <v>346</v>
      </c>
      <c r="BG305" s="11">
        <v>0</v>
      </c>
      <c r="BH305" s="9" t="str">
        <f>_xll.SNL.Clients.Office.Excel.Functions.SPG(BE305, "SP_COUNTRY_NAME")</f>
        <v>South Africa</v>
      </c>
      <c r="BM305" s="9" t="str">
        <f>_xll.SNL.Clients.Office.Excel.Functions.SPG(BJ305, "SP_COUNTRY_NAME")</f>
        <v>#INVALID COMPANY ID</v>
      </c>
      <c r="BN305" t="s">
        <v>858</v>
      </c>
      <c r="BO305">
        <v>123879915</v>
      </c>
      <c r="BP305" t="s">
        <v>346</v>
      </c>
      <c r="BQ305" s="11">
        <v>0</v>
      </c>
      <c r="BR305" s="9" t="str">
        <f>_xll.SNL.Clients.Office.Excel.Functions.SPG(BO305, "SP_COUNTRY_NAME")</f>
        <v>#INVALID COMPANY ID</v>
      </c>
      <c r="BS305" t="s">
        <v>894</v>
      </c>
      <c r="BT305">
        <v>4139629</v>
      </c>
      <c r="BU305" t="s">
        <v>346</v>
      </c>
      <c r="BV305" s="11">
        <v>0</v>
      </c>
      <c r="BW305" s="9" t="str">
        <f>_xll.SNL.Clients.Office.Excel.Functions.SPG(BT305, "SP_COUNTRY_NAME")</f>
        <v>Singapore</v>
      </c>
      <c r="BX305" t="s">
        <v>860</v>
      </c>
      <c r="BY305">
        <v>110879</v>
      </c>
      <c r="BZ305" t="s">
        <v>346</v>
      </c>
      <c r="CA305" s="11">
        <v>0</v>
      </c>
      <c r="CB305" s="9" t="str">
        <f>_xll.SNL.Clients.Office.Excel.Functions.SPG(BY305, "SP_COUNTRY_NAME")</f>
        <v>USA</v>
      </c>
      <c r="CC305" t="s">
        <v>894</v>
      </c>
      <c r="CD305">
        <v>4139629</v>
      </c>
      <c r="CE305" t="s">
        <v>346</v>
      </c>
      <c r="CF305" s="11">
        <v>0</v>
      </c>
      <c r="CG305" s="9" t="str">
        <f>_xll.SNL.Clients.Office.Excel.Functions.SPG(CD305, "SP_COUNTRY_NAME")</f>
        <v>Singapore</v>
      </c>
      <c r="CL305" s="9" t="str">
        <f>_xll.SNL.Clients.Office.Excel.Functions.SPG(CI305, "SP_COUNTRY_NAME")</f>
        <v>#INVALID COMPANY ID</v>
      </c>
      <c r="CM305" t="s">
        <v>2028</v>
      </c>
      <c r="CN305">
        <v>4431044</v>
      </c>
      <c r="CO305" t="s">
        <v>346</v>
      </c>
      <c r="CP305" s="11">
        <v>0</v>
      </c>
      <c r="CQ305" s="9" t="str">
        <f>_xll.SNL.Clients.Office.Excel.Functions.SPG(CN305, "SP_COUNTRY_NAME")</f>
        <v>USA</v>
      </c>
      <c r="CV305" s="9" t="str">
        <f>_xll.SNL.Clients.Office.Excel.Functions.SPG(CS305, "SP_COUNTRY_NAME")</f>
        <v>#INVALID COMPANY ID</v>
      </c>
      <c r="DA305" s="9" t="str">
        <f>_xll.SNL.Clients.Office.Excel.Functions.SPG(CX305, "SP_COUNTRY_NAME")</f>
        <v>#INVALID COMPANY ID</v>
      </c>
      <c r="DB305" t="s">
        <v>1333</v>
      </c>
      <c r="DC305">
        <v>5871860</v>
      </c>
      <c r="DD305" t="s">
        <v>346</v>
      </c>
      <c r="DE305" s="11">
        <v>0</v>
      </c>
      <c r="DF305" s="9" t="str">
        <f>_xll.SNL.Clients.Office.Excel.Functions.SPG(DC305, "SP_COUNTRY_NAME")</f>
        <v>South Africa</v>
      </c>
      <c r="DK305" s="9" t="str">
        <f>_xll.SNL.Clients.Office.Excel.Functions.SPG(DH305, "SP_COUNTRY_NAME")</f>
        <v>#INVALID COMPANY ID</v>
      </c>
      <c r="DL305" t="s">
        <v>1333</v>
      </c>
      <c r="DM305">
        <v>5871860</v>
      </c>
      <c r="DN305" t="s">
        <v>346</v>
      </c>
      <c r="DO305" s="11">
        <v>0</v>
      </c>
      <c r="DP305" s="9" t="str">
        <f>_xll.SNL.Clients.Office.Excel.Functions.SPG(DM305, "SP_COUNTRY_NAME")</f>
        <v>South Africa</v>
      </c>
      <c r="DU305" s="9" t="str">
        <f>_xll.SNL.Clients.Office.Excel.Functions.SPG(DR305, "SP_COUNTRY_NAME")</f>
        <v>#INVALID COMPANY ID</v>
      </c>
      <c r="DZ305" s="9" t="str">
        <f>_xll.SNL.Clients.Office.Excel.Functions.SPG(DW305, "SP_COUNTRY_NAME")</f>
        <v>#INVALID COMPANY ID</v>
      </c>
      <c r="EA305" t="s">
        <v>894</v>
      </c>
      <c r="EB305">
        <v>4139629</v>
      </c>
      <c r="EC305" t="s">
        <v>346</v>
      </c>
      <c r="ED305" s="11">
        <v>0</v>
      </c>
      <c r="EE305" s="9" t="str">
        <f>_xll.SNL.Clients.Office.Excel.Functions.SPG(EB305, "SP_COUNTRY_NAME")</f>
        <v>Singapore</v>
      </c>
      <c r="EF305" t="s">
        <v>1333</v>
      </c>
      <c r="EG305">
        <v>5871860</v>
      </c>
      <c r="EH305" t="s">
        <v>346</v>
      </c>
      <c r="EI305" s="11">
        <v>0</v>
      </c>
      <c r="EJ305" s="9" t="str">
        <f>_xll.SNL.Clients.Office.Excel.Functions.SPG(EG305, "SP_COUNTRY_NAME")</f>
        <v>South Africa</v>
      </c>
      <c r="EO305" s="9" t="str">
        <f>_xll.SNL.Clients.Office.Excel.Functions.SPG(EL305, "SP_COUNTRY_NAME")</f>
        <v>#INVALID COMPANY ID</v>
      </c>
      <c r="ET305" s="9" t="str">
        <f>_xll.SNL.Clients.Office.Excel.Functions.SPG(EQ305, "SP_COUNTRY_NAME")</f>
        <v>#INVALID COMPANY ID</v>
      </c>
      <c r="EY305" s="9" t="str">
        <f>_xll.SNL.Clients.Office.Excel.Functions.SPG(EV305, "SP_COUNTRY_NAME")</f>
        <v>#INVALID COMPANY ID</v>
      </c>
      <c r="FD305" s="9" t="str">
        <f>_xll.SNL.Clients.Office.Excel.Functions.SPG(FA305, "SP_COUNTRY_NAME")</f>
        <v>#INVALID COMPANY ID</v>
      </c>
      <c r="FI305" s="9" t="str">
        <f>_xll.SNL.Clients.Office.Excel.Functions.SPG(FF305, "SP_COUNTRY_NAME")</f>
        <v>#INVALID COMPANY ID</v>
      </c>
      <c r="FN305" s="9" t="str">
        <f>_xll.SNL.Clients.Office.Excel.Functions.SPG(FK305, "SP_COUNTRY_NAME")</f>
        <v>#INVALID COMPANY ID</v>
      </c>
      <c r="FS305" s="9" t="str">
        <f>_xll.SNL.Clients.Office.Excel.Functions.SPG(FP305, "SP_COUNTRY_NAME")</f>
        <v>#INVALID COMPANY ID</v>
      </c>
      <c r="FX305" s="9" t="str">
        <f>_xll.SNL.Clients.Office.Excel.Functions.SPG(FU305, "SP_COUNTRY_NAME")</f>
        <v>#INVALID COMPANY ID</v>
      </c>
      <c r="FY305" t="s">
        <v>1333</v>
      </c>
      <c r="FZ305">
        <v>5871860</v>
      </c>
      <c r="GA305" t="s">
        <v>346</v>
      </c>
      <c r="GB305" s="11">
        <v>0</v>
      </c>
      <c r="GC305" s="9" t="str">
        <f>_xll.SNL.Clients.Office.Excel.Functions.SPG(FZ305, "SP_COUNTRY_NAME")</f>
        <v>South Africa</v>
      </c>
      <c r="GH305" s="9" t="str">
        <f>_xll.SNL.Clients.Office.Excel.Functions.SPG(GE305, "SP_COUNTRY_NAME")</f>
        <v>#INVALID COMPANY ID</v>
      </c>
      <c r="GM305" s="9" t="str">
        <f>_xll.SNL.Clients.Office.Excel.Functions.SPG(GJ305, "SP_COUNTRY_NAME")</f>
        <v>#INVALID COMPANY ID</v>
      </c>
      <c r="GR305" s="9" t="str">
        <f>_xll.SNL.Clients.Office.Excel.Functions.SPG(GO305, "SP_COUNTRY_NAME")</f>
        <v>#INVALID COMPANY ID</v>
      </c>
      <c r="GS305" t="s">
        <v>858</v>
      </c>
      <c r="GT305">
        <v>123879915</v>
      </c>
      <c r="GU305" t="s">
        <v>346</v>
      </c>
      <c r="GV305" s="11">
        <v>0</v>
      </c>
      <c r="GW305" s="9" t="str">
        <f>_xll.SNL.Clients.Office.Excel.Functions.SPG(GT305, "SP_COUNTRY_NAME")</f>
        <v>#INVALID COMPANY ID</v>
      </c>
      <c r="GX305" t="s">
        <v>894</v>
      </c>
      <c r="GY305">
        <v>4139629</v>
      </c>
      <c r="GZ305" t="s">
        <v>346</v>
      </c>
      <c r="HA305" s="11">
        <v>0</v>
      </c>
      <c r="HB305" s="9" t="str">
        <f>_xll.SNL.Clients.Office.Excel.Functions.SPG(GY305, "SP_COUNTRY_NAME")</f>
        <v>Singapore</v>
      </c>
      <c r="HG305" s="9" t="str">
        <f>_xll.SNL.Clients.Office.Excel.Functions.SPG(HD305, "SP_COUNTRY_NAME")</f>
        <v>#INVALID COMPANY ID</v>
      </c>
    </row>
    <row r="306" spans="5:215" x14ac:dyDescent="0.35">
      <c r="E306" s="9" t="str">
        <f>_xll.SNL.Clients.Office.Excel.Functions.SPG(B306, "SP_COUNTRY_NAME")</f>
        <v>#INVALID COMPANY ID</v>
      </c>
      <c r="J306" s="9" t="str">
        <f>_xll.SNL.Clients.Office.Excel.Functions.SPG(G306, "SP_COUNTRY_NAME")</f>
        <v>#INVALID COMPANY ID</v>
      </c>
      <c r="O306" s="9" t="str">
        <f>_xll.SNL.Clients.Office.Excel.Functions.SPG(L306, "SP_COUNTRY_NAME")</f>
        <v>#INVALID COMPANY ID</v>
      </c>
      <c r="T306" s="9" t="str">
        <f>_xll.SNL.Clients.Office.Excel.Functions.SPG(Q306, "SP_COUNTRY_NAME")</f>
        <v>#INVALID COMPANY ID</v>
      </c>
      <c r="U306" t="s">
        <v>861</v>
      </c>
      <c r="V306">
        <v>5823548</v>
      </c>
      <c r="W306" t="s">
        <v>346</v>
      </c>
      <c r="X306" s="11">
        <v>0</v>
      </c>
      <c r="Y306" s="9" t="str">
        <f>_xll.SNL.Clients.Office.Excel.Functions.SPG(V306, "SP_COUNTRY_NAME")</f>
        <v>China</v>
      </c>
      <c r="AD306" s="9" t="str">
        <f>_xll.SNL.Clients.Office.Excel.Functions.SPG(AA306, "SP_COUNTRY_NAME")</f>
        <v>#INVALID COMPANY ID</v>
      </c>
      <c r="AI306" s="9" t="str">
        <f>_xll.SNL.Clients.Office.Excel.Functions.SPG(AF306, "SP_COUNTRY_NAME")</f>
        <v>#INVALID COMPANY ID</v>
      </c>
      <c r="AN306" s="9" t="str">
        <f>_xll.SNL.Clients.Office.Excel.Functions.SPG(AK306, "SP_COUNTRY_NAME")</f>
        <v>#INVALID COMPANY ID</v>
      </c>
      <c r="AS306" s="9" t="str">
        <f>_xll.SNL.Clients.Office.Excel.Functions.SPG(AP306, "SP_COUNTRY_NAME")</f>
        <v>#INVALID COMPANY ID</v>
      </c>
      <c r="AX306" s="9" t="str">
        <f>_xll.SNL.Clients.Office.Excel.Functions.SPG(AU306, "SP_COUNTRY_NAME")</f>
        <v>#INVALID COMPANY ID</v>
      </c>
      <c r="BC306" s="9" t="str">
        <f>_xll.SNL.Clients.Office.Excel.Functions.SPG(AZ306, "SP_COUNTRY_NAME")</f>
        <v>#INVALID COMPANY ID</v>
      </c>
      <c r="BD306" t="s">
        <v>1076</v>
      </c>
      <c r="BE306">
        <v>5877271</v>
      </c>
      <c r="BF306" t="s">
        <v>346</v>
      </c>
      <c r="BG306" s="11">
        <v>0</v>
      </c>
      <c r="BH306" s="9" t="str">
        <f>_xll.SNL.Clients.Office.Excel.Functions.SPG(BE306, "SP_COUNTRY_NAME")</f>
        <v>South Africa</v>
      </c>
      <c r="BM306" s="9" t="str">
        <f>_xll.SNL.Clients.Office.Excel.Functions.SPG(BJ306, "SP_COUNTRY_NAME")</f>
        <v>#INVALID COMPANY ID</v>
      </c>
      <c r="BN306" t="s">
        <v>1249</v>
      </c>
      <c r="BO306">
        <v>5879076</v>
      </c>
      <c r="BP306" t="s">
        <v>346</v>
      </c>
      <c r="BQ306" s="11">
        <v>0</v>
      </c>
      <c r="BR306" s="9" t="str">
        <f>_xll.SNL.Clients.Office.Excel.Functions.SPG(BO306, "SP_COUNTRY_NAME")</f>
        <v>China</v>
      </c>
      <c r="BS306" t="s">
        <v>1016</v>
      </c>
      <c r="BT306">
        <v>4219913</v>
      </c>
      <c r="BU306" t="s">
        <v>346</v>
      </c>
      <c r="BV306" s="11">
        <v>0</v>
      </c>
      <c r="BW306" s="9" t="str">
        <f>_xll.SNL.Clients.Office.Excel.Functions.SPG(BT306, "SP_COUNTRY_NAME")</f>
        <v>Hong Kong</v>
      </c>
      <c r="BX306" t="s">
        <v>861</v>
      </c>
      <c r="BY306">
        <v>5823548</v>
      </c>
      <c r="BZ306" t="s">
        <v>346</v>
      </c>
      <c r="CA306" s="11">
        <v>0</v>
      </c>
      <c r="CB306" s="9" t="str">
        <f>_xll.SNL.Clients.Office.Excel.Functions.SPG(BY306, "SP_COUNTRY_NAME")</f>
        <v>China</v>
      </c>
      <c r="CC306" t="s">
        <v>1472</v>
      </c>
      <c r="CD306">
        <v>7357269</v>
      </c>
      <c r="CE306" t="s">
        <v>346</v>
      </c>
      <c r="CF306" s="11">
        <v>0</v>
      </c>
      <c r="CG306" s="9" t="str">
        <f>_xll.SNL.Clients.Office.Excel.Functions.SPG(CD306, "SP_COUNTRY_NAME")</f>
        <v>USA</v>
      </c>
      <c r="CL306" s="9" t="str">
        <f>_xll.SNL.Clients.Office.Excel.Functions.SPG(CI306, "SP_COUNTRY_NAME")</f>
        <v>#INVALID COMPANY ID</v>
      </c>
      <c r="CM306" t="s">
        <v>1871</v>
      </c>
      <c r="CN306">
        <v>4048290</v>
      </c>
      <c r="CO306" t="s">
        <v>276</v>
      </c>
      <c r="CP306" s="11">
        <v>0</v>
      </c>
      <c r="CQ306" s="9" t="str">
        <f>_xll.SNL.Clients.Office.Excel.Functions.SPG(CN306, "SP_COUNTRY_NAME")</f>
        <v>USA</v>
      </c>
      <c r="CV306" s="9" t="str">
        <f>_xll.SNL.Clients.Office.Excel.Functions.SPG(CS306, "SP_COUNTRY_NAME")</f>
        <v>#INVALID COMPANY ID</v>
      </c>
      <c r="DA306" s="9" t="str">
        <f>_xll.SNL.Clients.Office.Excel.Functions.SPG(CX306, "SP_COUNTRY_NAME")</f>
        <v>#INVALID COMPANY ID</v>
      </c>
      <c r="DB306" t="s">
        <v>1076</v>
      </c>
      <c r="DC306">
        <v>5877271</v>
      </c>
      <c r="DD306" t="s">
        <v>346</v>
      </c>
      <c r="DE306" s="11">
        <v>0</v>
      </c>
      <c r="DF306" s="9" t="str">
        <f>_xll.SNL.Clients.Office.Excel.Functions.SPG(DC306, "SP_COUNTRY_NAME")</f>
        <v>South Africa</v>
      </c>
      <c r="DK306" s="9" t="str">
        <f>_xll.SNL.Clients.Office.Excel.Functions.SPG(DH306, "SP_COUNTRY_NAME")</f>
        <v>#INVALID COMPANY ID</v>
      </c>
      <c r="DL306" t="s">
        <v>1076</v>
      </c>
      <c r="DM306">
        <v>5877271</v>
      </c>
      <c r="DN306" t="s">
        <v>346</v>
      </c>
      <c r="DO306" s="11">
        <v>0</v>
      </c>
      <c r="DP306" s="9" t="str">
        <f>_xll.SNL.Clients.Office.Excel.Functions.SPG(DM306, "SP_COUNTRY_NAME")</f>
        <v>South Africa</v>
      </c>
      <c r="DU306" s="9" t="str">
        <f>_xll.SNL.Clients.Office.Excel.Functions.SPG(DR306, "SP_COUNTRY_NAME")</f>
        <v>#INVALID COMPANY ID</v>
      </c>
      <c r="DZ306" s="9" t="str">
        <f>_xll.SNL.Clients.Office.Excel.Functions.SPG(DW306, "SP_COUNTRY_NAME")</f>
        <v>#INVALID COMPANY ID</v>
      </c>
      <c r="EA306" t="s">
        <v>1472</v>
      </c>
      <c r="EB306">
        <v>7357269</v>
      </c>
      <c r="EC306" t="s">
        <v>346</v>
      </c>
      <c r="ED306" s="11">
        <v>0</v>
      </c>
      <c r="EE306" s="9" t="str">
        <f>_xll.SNL.Clients.Office.Excel.Functions.SPG(EB306, "SP_COUNTRY_NAME")</f>
        <v>USA</v>
      </c>
      <c r="EF306" t="s">
        <v>1076</v>
      </c>
      <c r="EG306">
        <v>5877271</v>
      </c>
      <c r="EH306" t="s">
        <v>346</v>
      </c>
      <c r="EI306" s="11">
        <v>0</v>
      </c>
      <c r="EJ306" s="9" t="str">
        <f>_xll.SNL.Clients.Office.Excel.Functions.SPG(EG306, "SP_COUNTRY_NAME")</f>
        <v>South Africa</v>
      </c>
      <c r="EO306" s="9" t="str">
        <f>_xll.SNL.Clients.Office.Excel.Functions.SPG(EL306, "SP_COUNTRY_NAME")</f>
        <v>#INVALID COMPANY ID</v>
      </c>
      <c r="ET306" s="9" t="str">
        <f>_xll.SNL.Clients.Office.Excel.Functions.SPG(EQ306, "SP_COUNTRY_NAME")</f>
        <v>#INVALID COMPANY ID</v>
      </c>
      <c r="EY306" s="9" t="str">
        <f>_xll.SNL.Clients.Office.Excel.Functions.SPG(EV306, "SP_COUNTRY_NAME")</f>
        <v>#INVALID COMPANY ID</v>
      </c>
      <c r="FD306" s="9" t="str">
        <f>_xll.SNL.Clients.Office.Excel.Functions.SPG(FA306, "SP_COUNTRY_NAME")</f>
        <v>#INVALID COMPANY ID</v>
      </c>
      <c r="FI306" s="9" t="str">
        <f>_xll.SNL.Clients.Office.Excel.Functions.SPG(FF306, "SP_COUNTRY_NAME")</f>
        <v>#INVALID COMPANY ID</v>
      </c>
      <c r="FN306" s="9" t="str">
        <f>_xll.SNL.Clients.Office.Excel.Functions.SPG(FK306, "SP_COUNTRY_NAME")</f>
        <v>#INVALID COMPANY ID</v>
      </c>
      <c r="FS306" s="9" t="str">
        <f>_xll.SNL.Clients.Office.Excel.Functions.SPG(FP306, "SP_COUNTRY_NAME")</f>
        <v>#INVALID COMPANY ID</v>
      </c>
      <c r="FX306" s="9" t="str">
        <f>_xll.SNL.Clients.Office.Excel.Functions.SPG(FU306, "SP_COUNTRY_NAME")</f>
        <v>#INVALID COMPANY ID</v>
      </c>
      <c r="FY306" t="s">
        <v>1076</v>
      </c>
      <c r="FZ306">
        <v>5877271</v>
      </c>
      <c r="GA306" t="s">
        <v>346</v>
      </c>
      <c r="GB306" s="11">
        <v>0</v>
      </c>
      <c r="GC306" s="9" t="str">
        <f>_xll.SNL.Clients.Office.Excel.Functions.SPG(FZ306, "SP_COUNTRY_NAME")</f>
        <v>South Africa</v>
      </c>
      <c r="GH306" s="9" t="str">
        <f>_xll.SNL.Clients.Office.Excel.Functions.SPG(GE306, "SP_COUNTRY_NAME")</f>
        <v>#INVALID COMPANY ID</v>
      </c>
      <c r="GM306" s="9" t="str">
        <f>_xll.SNL.Clients.Office.Excel.Functions.SPG(GJ306, "SP_COUNTRY_NAME")</f>
        <v>#INVALID COMPANY ID</v>
      </c>
      <c r="GR306" s="9" t="str">
        <f>_xll.SNL.Clients.Office.Excel.Functions.SPG(GO306, "SP_COUNTRY_NAME")</f>
        <v>#INVALID COMPANY ID</v>
      </c>
      <c r="GS306" t="s">
        <v>1249</v>
      </c>
      <c r="GT306">
        <v>5879076</v>
      </c>
      <c r="GU306" t="s">
        <v>346</v>
      </c>
      <c r="GV306" s="11">
        <v>0</v>
      </c>
      <c r="GW306" s="9" t="str">
        <f>_xll.SNL.Clients.Office.Excel.Functions.SPG(GT306, "SP_COUNTRY_NAME")</f>
        <v>China</v>
      </c>
      <c r="GX306" t="s">
        <v>1472</v>
      </c>
      <c r="GY306">
        <v>7357269</v>
      </c>
      <c r="GZ306" t="s">
        <v>346</v>
      </c>
      <c r="HA306" s="11">
        <v>0</v>
      </c>
      <c r="HB306" s="9" t="str">
        <f>_xll.SNL.Clients.Office.Excel.Functions.SPG(GY306, "SP_COUNTRY_NAME")</f>
        <v>USA</v>
      </c>
      <c r="HG306" s="9" t="str">
        <f>_xll.SNL.Clients.Office.Excel.Functions.SPG(HD306, "SP_COUNTRY_NAME")</f>
        <v>#INVALID COMPANY ID</v>
      </c>
    </row>
    <row r="307" spans="5:215" x14ac:dyDescent="0.35">
      <c r="E307" s="9" t="str">
        <f>_xll.SNL.Clients.Office.Excel.Functions.SPG(B307, "SP_COUNTRY_NAME")</f>
        <v>#INVALID COMPANY ID</v>
      </c>
      <c r="J307" s="9" t="str">
        <f>_xll.SNL.Clients.Office.Excel.Functions.SPG(G307, "SP_COUNTRY_NAME")</f>
        <v>#INVALID COMPANY ID</v>
      </c>
      <c r="O307" s="9" t="str">
        <f>_xll.SNL.Clients.Office.Excel.Functions.SPG(L307, "SP_COUNTRY_NAME")</f>
        <v>#INVALID COMPANY ID</v>
      </c>
      <c r="T307" s="9" t="str">
        <f>_xll.SNL.Clients.Office.Excel.Functions.SPG(Q307, "SP_COUNTRY_NAME")</f>
        <v>#INVALID COMPANY ID</v>
      </c>
      <c r="U307" t="s">
        <v>576</v>
      </c>
      <c r="V307">
        <v>4672091</v>
      </c>
      <c r="W307" t="s">
        <v>300</v>
      </c>
      <c r="X307" s="11">
        <v>0</v>
      </c>
      <c r="Y307" s="9" t="str">
        <f>_xll.SNL.Clients.Office.Excel.Functions.SPG(V307, "SP_COUNTRY_NAME")</f>
        <v>South Africa</v>
      </c>
      <c r="AD307" s="9" t="str">
        <f>_xll.SNL.Clients.Office.Excel.Functions.SPG(AA307, "SP_COUNTRY_NAME")</f>
        <v>#INVALID COMPANY ID</v>
      </c>
      <c r="AI307" s="9" t="str">
        <f>_xll.SNL.Clients.Office.Excel.Functions.SPG(AF307, "SP_COUNTRY_NAME")</f>
        <v>#INVALID COMPANY ID</v>
      </c>
      <c r="AN307" s="9" t="str">
        <f>_xll.SNL.Clients.Office.Excel.Functions.SPG(AK307, "SP_COUNTRY_NAME")</f>
        <v>#INVALID COMPANY ID</v>
      </c>
      <c r="AS307" s="9" t="str">
        <f>_xll.SNL.Clients.Office.Excel.Functions.SPG(AP307, "SP_COUNTRY_NAME")</f>
        <v>#INVALID COMPANY ID</v>
      </c>
      <c r="AX307" s="9" t="str">
        <f>_xll.SNL.Clients.Office.Excel.Functions.SPG(AU307, "SP_COUNTRY_NAME")</f>
        <v>#INVALID COMPANY ID</v>
      </c>
      <c r="BC307" s="9" t="str">
        <f>_xll.SNL.Clients.Office.Excel.Functions.SPG(AZ307, "SP_COUNTRY_NAME")</f>
        <v>#INVALID COMPANY ID</v>
      </c>
      <c r="BD307" t="s">
        <v>1485</v>
      </c>
      <c r="BE307">
        <v>4672272</v>
      </c>
      <c r="BF307" t="s">
        <v>346</v>
      </c>
      <c r="BG307" s="11">
        <v>0</v>
      </c>
      <c r="BH307" s="9" t="str">
        <f>_xll.SNL.Clients.Office.Excel.Functions.SPG(BE307, "SP_COUNTRY_NAME")</f>
        <v>South Africa</v>
      </c>
      <c r="BM307" s="9" t="str">
        <f>_xll.SNL.Clients.Office.Excel.Functions.SPG(BJ307, "SP_COUNTRY_NAME")</f>
        <v>#INVALID COMPANY ID</v>
      </c>
      <c r="BN307" t="s">
        <v>909</v>
      </c>
      <c r="BO307">
        <v>11220187</v>
      </c>
      <c r="BP307" t="s">
        <v>346</v>
      </c>
      <c r="BQ307" s="11">
        <v>0</v>
      </c>
      <c r="BR307" s="9" t="str">
        <f>_xll.SNL.Clients.Office.Excel.Functions.SPG(BO307, "SP_COUNTRY_NAME")</f>
        <v>China</v>
      </c>
      <c r="BS307" t="s">
        <v>482</v>
      </c>
      <c r="BT307">
        <v>4048742</v>
      </c>
      <c r="BU307" t="s">
        <v>346</v>
      </c>
      <c r="BV307" s="11">
        <v>0</v>
      </c>
      <c r="BW307" s="9" t="str">
        <f>_xll.SNL.Clients.Office.Excel.Functions.SPG(BT307, "SP_COUNTRY_NAME")</f>
        <v>Canada</v>
      </c>
      <c r="BX307" t="s">
        <v>576</v>
      </c>
      <c r="BY307">
        <v>4672091</v>
      </c>
      <c r="BZ307" t="s">
        <v>300</v>
      </c>
      <c r="CA307" s="11">
        <v>0</v>
      </c>
      <c r="CB307" s="9" t="str">
        <f>_xll.SNL.Clients.Office.Excel.Functions.SPG(BY307, "SP_COUNTRY_NAME")</f>
        <v>South Africa</v>
      </c>
      <c r="CC307" t="s">
        <v>1762</v>
      </c>
      <c r="CD307">
        <v>4217906</v>
      </c>
      <c r="CE307" t="s">
        <v>364</v>
      </c>
      <c r="CF307" s="11">
        <v>0</v>
      </c>
      <c r="CG307" s="9" t="str">
        <f>_xll.SNL.Clients.Office.Excel.Functions.SPG(CD307, "SP_COUNTRY_NAME")</f>
        <v>USA</v>
      </c>
      <c r="CL307" s="9" t="str">
        <f>_xll.SNL.Clients.Office.Excel.Functions.SPG(CI307, "SP_COUNTRY_NAME")</f>
        <v>#INVALID COMPANY ID</v>
      </c>
      <c r="CM307" t="s">
        <v>1335</v>
      </c>
      <c r="CN307">
        <v>10308257</v>
      </c>
      <c r="CO307" t="s">
        <v>364</v>
      </c>
      <c r="CP307" s="11">
        <v>0</v>
      </c>
      <c r="CQ307" s="9" t="str">
        <f>_xll.SNL.Clients.Office.Excel.Functions.SPG(CN307, "SP_COUNTRY_NAME")</f>
        <v>South Africa</v>
      </c>
      <c r="CV307" s="9" t="str">
        <f>_xll.SNL.Clients.Office.Excel.Functions.SPG(CS307, "SP_COUNTRY_NAME")</f>
        <v>#INVALID COMPANY ID</v>
      </c>
      <c r="DA307" s="9" t="str">
        <f>_xll.SNL.Clients.Office.Excel.Functions.SPG(CX307, "SP_COUNTRY_NAME")</f>
        <v>#INVALID COMPANY ID</v>
      </c>
      <c r="DB307" t="s">
        <v>1485</v>
      </c>
      <c r="DC307">
        <v>4672272</v>
      </c>
      <c r="DD307" t="s">
        <v>346</v>
      </c>
      <c r="DE307" s="11">
        <v>0</v>
      </c>
      <c r="DF307" s="9" t="str">
        <f>_xll.SNL.Clients.Office.Excel.Functions.SPG(DC307, "SP_COUNTRY_NAME")</f>
        <v>South Africa</v>
      </c>
      <c r="DK307" s="9" t="str">
        <f>_xll.SNL.Clients.Office.Excel.Functions.SPG(DH307, "SP_COUNTRY_NAME")</f>
        <v>#INVALID COMPANY ID</v>
      </c>
      <c r="DL307" t="s">
        <v>1485</v>
      </c>
      <c r="DM307">
        <v>4672272</v>
      </c>
      <c r="DN307" t="s">
        <v>346</v>
      </c>
      <c r="DO307" s="11">
        <v>0</v>
      </c>
      <c r="DP307" s="9" t="str">
        <f>_xll.SNL.Clients.Office.Excel.Functions.SPG(DM307, "SP_COUNTRY_NAME")</f>
        <v>South Africa</v>
      </c>
      <c r="DU307" s="9" t="str">
        <f>_xll.SNL.Clients.Office.Excel.Functions.SPG(DR307, "SP_COUNTRY_NAME")</f>
        <v>#INVALID COMPANY ID</v>
      </c>
      <c r="DZ307" s="9" t="str">
        <f>_xll.SNL.Clients.Office.Excel.Functions.SPG(DW307, "SP_COUNTRY_NAME")</f>
        <v>#INVALID COMPANY ID</v>
      </c>
      <c r="EA307" t="s">
        <v>1762</v>
      </c>
      <c r="EB307">
        <v>4217906</v>
      </c>
      <c r="EC307" t="s">
        <v>364</v>
      </c>
      <c r="ED307" s="11">
        <v>0</v>
      </c>
      <c r="EE307" s="9" t="str">
        <f>_xll.SNL.Clients.Office.Excel.Functions.SPG(EB307, "SP_COUNTRY_NAME")</f>
        <v>USA</v>
      </c>
      <c r="EF307" t="s">
        <v>1485</v>
      </c>
      <c r="EG307">
        <v>4672272</v>
      </c>
      <c r="EH307" t="s">
        <v>346</v>
      </c>
      <c r="EI307" s="11">
        <v>0</v>
      </c>
      <c r="EJ307" s="9" t="str">
        <f>_xll.SNL.Clients.Office.Excel.Functions.SPG(EG307, "SP_COUNTRY_NAME")</f>
        <v>South Africa</v>
      </c>
      <c r="EO307" s="9" t="str">
        <f>_xll.SNL.Clients.Office.Excel.Functions.SPG(EL307, "SP_COUNTRY_NAME")</f>
        <v>#INVALID COMPANY ID</v>
      </c>
      <c r="ET307" s="9" t="str">
        <f>_xll.SNL.Clients.Office.Excel.Functions.SPG(EQ307, "SP_COUNTRY_NAME")</f>
        <v>#INVALID COMPANY ID</v>
      </c>
      <c r="EY307" s="9" t="str">
        <f>_xll.SNL.Clients.Office.Excel.Functions.SPG(EV307, "SP_COUNTRY_NAME")</f>
        <v>#INVALID COMPANY ID</v>
      </c>
      <c r="FD307" s="9" t="str">
        <f>_xll.SNL.Clients.Office.Excel.Functions.SPG(FA307, "SP_COUNTRY_NAME")</f>
        <v>#INVALID COMPANY ID</v>
      </c>
      <c r="FI307" s="9" t="str">
        <f>_xll.SNL.Clients.Office.Excel.Functions.SPG(FF307, "SP_COUNTRY_NAME")</f>
        <v>#INVALID COMPANY ID</v>
      </c>
      <c r="FN307" s="9" t="str">
        <f>_xll.SNL.Clients.Office.Excel.Functions.SPG(FK307, "SP_COUNTRY_NAME")</f>
        <v>#INVALID COMPANY ID</v>
      </c>
      <c r="FS307" s="9" t="str">
        <f>_xll.SNL.Clients.Office.Excel.Functions.SPG(FP307, "SP_COUNTRY_NAME")</f>
        <v>#INVALID COMPANY ID</v>
      </c>
      <c r="FX307" s="9" t="str">
        <f>_xll.SNL.Clients.Office.Excel.Functions.SPG(FU307, "SP_COUNTRY_NAME")</f>
        <v>#INVALID COMPANY ID</v>
      </c>
      <c r="FY307" t="s">
        <v>1485</v>
      </c>
      <c r="FZ307">
        <v>4672272</v>
      </c>
      <c r="GA307" t="s">
        <v>346</v>
      </c>
      <c r="GB307" s="11">
        <v>0</v>
      </c>
      <c r="GC307" s="9" t="str">
        <f>_xll.SNL.Clients.Office.Excel.Functions.SPG(FZ307, "SP_COUNTRY_NAME")</f>
        <v>South Africa</v>
      </c>
      <c r="GH307" s="9" t="str">
        <f>_xll.SNL.Clients.Office.Excel.Functions.SPG(GE307, "SP_COUNTRY_NAME")</f>
        <v>#INVALID COMPANY ID</v>
      </c>
      <c r="GM307" s="9" t="str">
        <f>_xll.SNL.Clients.Office.Excel.Functions.SPG(GJ307, "SP_COUNTRY_NAME")</f>
        <v>#INVALID COMPANY ID</v>
      </c>
      <c r="GR307" s="9" t="str">
        <f>_xll.SNL.Clients.Office.Excel.Functions.SPG(GO307, "SP_COUNTRY_NAME")</f>
        <v>#INVALID COMPANY ID</v>
      </c>
      <c r="GS307" t="s">
        <v>909</v>
      </c>
      <c r="GT307">
        <v>11220187</v>
      </c>
      <c r="GU307" t="s">
        <v>346</v>
      </c>
      <c r="GV307" s="11">
        <v>0</v>
      </c>
      <c r="GW307" s="9" t="str">
        <f>_xll.SNL.Clients.Office.Excel.Functions.SPG(GT307, "SP_COUNTRY_NAME")</f>
        <v>China</v>
      </c>
      <c r="GX307" t="s">
        <v>1762</v>
      </c>
      <c r="GY307">
        <v>4217906</v>
      </c>
      <c r="GZ307" t="s">
        <v>364</v>
      </c>
      <c r="HA307" s="11">
        <v>0</v>
      </c>
      <c r="HB307" s="9" t="str">
        <f>_xll.SNL.Clients.Office.Excel.Functions.SPG(GY307, "SP_COUNTRY_NAME")</f>
        <v>USA</v>
      </c>
      <c r="HG307" s="9" t="str">
        <f>_xll.SNL.Clients.Office.Excel.Functions.SPG(HD307, "SP_COUNTRY_NAME")</f>
        <v>#INVALID COMPANY ID</v>
      </c>
    </row>
    <row r="308" spans="5:215" x14ac:dyDescent="0.35">
      <c r="E308" s="9" t="str">
        <f>_xll.SNL.Clients.Office.Excel.Functions.SPG(B308, "SP_COUNTRY_NAME")</f>
        <v>#INVALID COMPANY ID</v>
      </c>
      <c r="J308" s="9" t="str">
        <f>_xll.SNL.Clients.Office.Excel.Functions.SPG(G308, "SP_COUNTRY_NAME")</f>
        <v>#INVALID COMPANY ID</v>
      </c>
      <c r="O308" s="9" t="str">
        <f>_xll.SNL.Clients.Office.Excel.Functions.SPG(L308, "SP_COUNTRY_NAME")</f>
        <v>#INVALID COMPANY ID</v>
      </c>
      <c r="T308" s="9" t="str">
        <f>_xll.SNL.Clients.Office.Excel.Functions.SPG(Q308, "SP_COUNTRY_NAME")</f>
        <v>#INVALID COMPANY ID</v>
      </c>
      <c r="U308" t="s">
        <v>862</v>
      </c>
      <c r="V308">
        <v>4278931</v>
      </c>
      <c r="W308" t="s">
        <v>346</v>
      </c>
      <c r="X308" s="11">
        <v>0</v>
      </c>
      <c r="Y308" s="9" t="str">
        <f>_xll.SNL.Clients.Office.Excel.Functions.SPG(V308, "SP_COUNTRY_NAME")</f>
        <v>Taiwan</v>
      </c>
      <c r="AD308" s="9" t="str">
        <f>_xll.SNL.Clients.Office.Excel.Functions.SPG(AA308, "SP_COUNTRY_NAME")</f>
        <v>#INVALID COMPANY ID</v>
      </c>
      <c r="AI308" s="9" t="str">
        <f>_xll.SNL.Clients.Office.Excel.Functions.SPG(AF308, "SP_COUNTRY_NAME")</f>
        <v>#INVALID COMPANY ID</v>
      </c>
      <c r="AN308" s="9" t="str">
        <f>_xll.SNL.Clients.Office.Excel.Functions.SPG(AK308, "SP_COUNTRY_NAME")</f>
        <v>#INVALID COMPANY ID</v>
      </c>
      <c r="AS308" s="9" t="str">
        <f>_xll.SNL.Clients.Office.Excel.Functions.SPG(AP308, "SP_COUNTRY_NAME")</f>
        <v>#INVALID COMPANY ID</v>
      </c>
      <c r="AX308" s="9" t="str">
        <f>_xll.SNL.Clients.Office.Excel.Functions.SPG(AU308, "SP_COUNTRY_NAME")</f>
        <v>#INVALID COMPANY ID</v>
      </c>
      <c r="BC308" s="9" t="str">
        <f>_xll.SNL.Clients.Office.Excel.Functions.SPG(AZ308, "SP_COUNTRY_NAME")</f>
        <v>#INVALID COMPANY ID</v>
      </c>
      <c r="BD308" t="s">
        <v>814</v>
      </c>
      <c r="BE308">
        <v>133018323</v>
      </c>
      <c r="BF308" t="s">
        <v>346</v>
      </c>
      <c r="BG308" s="11">
        <v>0</v>
      </c>
      <c r="BH308" s="9" t="str">
        <f>_xll.SNL.Clients.Office.Excel.Functions.SPG(BE308, "SP_COUNTRY_NAME")</f>
        <v>USA</v>
      </c>
      <c r="BM308" s="9" t="str">
        <f>_xll.SNL.Clients.Office.Excel.Functions.SPG(BJ308, "SP_COUNTRY_NAME")</f>
        <v>#INVALID COMPANY ID</v>
      </c>
      <c r="BN308" t="s">
        <v>793</v>
      </c>
      <c r="BO308">
        <v>7798890</v>
      </c>
      <c r="BP308" t="s">
        <v>346</v>
      </c>
      <c r="BQ308" s="11">
        <v>0</v>
      </c>
      <c r="BR308" s="9" t="str">
        <f>_xll.SNL.Clients.Office.Excel.Functions.SPG(BO308, "SP_COUNTRY_NAME")</f>
        <v>China</v>
      </c>
      <c r="BS308" t="s">
        <v>1017</v>
      </c>
      <c r="BT308">
        <v>4138485</v>
      </c>
      <c r="BU308" t="s">
        <v>346</v>
      </c>
      <c r="BV308" s="11">
        <v>0</v>
      </c>
      <c r="BW308" s="9" t="str">
        <f>_xll.SNL.Clients.Office.Excel.Functions.SPG(BT308, "SP_COUNTRY_NAME")</f>
        <v>France</v>
      </c>
      <c r="BX308" t="s">
        <v>862</v>
      </c>
      <c r="BY308">
        <v>4278931</v>
      </c>
      <c r="BZ308" t="s">
        <v>346</v>
      </c>
      <c r="CA308" s="11">
        <v>0</v>
      </c>
      <c r="CB308" s="9" t="str">
        <f>_xll.SNL.Clients.Office.Excel.Functions.SPG(BY308, "SP_COUNTRY_NAME")</f>
        <v>Taiwan</v>
      </c>
      <c r="CC308" t="s">
        <v>1763</v>
      </c>
      <c r="CD308">
        <v>5752951</v>
      </c>
      <c r="CE308" t="s">
        <v>346</v>
      </c>
      <c r="CF308" s="11">
        <v>0</v>
      </c>
      <c r="CG308" s="9" t="str">
        <f>_xll.SNL.Clients.Office.Excel.Functions.SPG(CD308, "SP_COUNTRY_NAME")</f>
        <v>Canada</v>
      </c>
      <c r="CL308" s="9" t="str">
        <f>_xll.SNL.Clients.Office.Excel.Functions.SPG(CI308, "SP_COUNTRY_NAME")</f>
        <v>#INVALID COMPANY ID</v>
      </c>
      <c r="CM308" t="s">
        <v>2029</v>
      </c>
      <c r="CN308">
        <v>5803703</v>
      </c>
      <c r="CO308" t="s">
        <v>346</v>
      </c>
      <c r="CP308" s="11">
        <v>0</v>
      </c>
      <c r="CQ308" s="9" t="str">
        <f>_xll.SNL.Clients.Office.Excel.Functions.SPG(CN308, "SP_COUNTRY_NAME")</f>
        <v>Germany</v>
      </c>
      <c r="CV308" s="9" t="str">
        <f>_xll.SNL.Clients.Office.Excel.Functions.SPG(CS308, "SP_COUNTRY_NAME")</f>
        <v>#INVALID COMPANY ID</v>
      </c>
      <c r="DA308" s="9" t="str">
        <f>_xll.SNL.Clients.Office.Excel.Functions.SPG(CX308, "SP_COUNTRY_NAME")</f>
        <v>#INVALID COMPANY ID</v>
      </c>
      <c r="DB308" t="s">
        <v>814</v>
      </c>
      <c r="DC308">
        <v>133018323</v>
      </c>
      <c r="DD308" t="s">
        <v>346</v>
      </c>
      <c r="DE308" s="11">
        <v>0</v>
      </c>
      <c r="DF308" s="9" t="str">
        <f>_xll.SNL.Clients.Office.Excel.Functions.SPG(DC308, "SP_COUNTRY_NAME")</f>
        <v>USA</v>
      </c>
      <c r="DK308" s="9" t="str">
        <f>_xll.SNL.Clients.Office.Excel.Functions.SPG(DH308, "SP_COUNTRY_NAME")</f>
        <v>#INVALID COMPANY ID</v>
      </c>
      <c r="DL308" t="s">
        <v>814</v>
      </c>
      <c r="DM308">
        <v>133018323</v>
      </c>
      <c r="DN308" t="s">
        <v>346</v>
      </c>
      <c r="DO308" s="11">
        <v>0</v>
      </c>
      <c r="DP308" s="9" t="str">
        <f>_xll.SNL.Clients.Office.Excel.Functions.SPG(DM308, "SP_COUNTRY_NAME")</f>
        <v>USA</v>
      </c>
      <c r="DU308" s="9" t="str">
        <f>_xll.SNL.Clients.Office.Excel.Functions.SPG(DR308, "SP_COUNTRY_NAME")</f>
        <v>#INVALID COMPANY ID</v>
      </c>
      <c r="DZ308" s="9" t="str">
        <f>_xll.SNL.Clients.Office.Excel.Functions.SPG(DW308, "SP_COUNTRY_NAME")</f>
        <v>#INVALID COMPANY ID</v>
      </c>
      <c r="EA308" t="s">
        <v>1763</v>
      </c>
      <c r="EB308">
        <v>5752951</v>
      </c>
      <c r="EC308" t="s">
        <v>346</v>
      </c>
      <c r="ED308" s="11">
        <v>0</v>
      </c>
      <c r="EE308" s="9" t="str">
        <f>_xll.SNL.Clients.Office.Excel.Functions.SPG(EB308, "SP_COUNTRY_NAME")</f>
        <v>Canada</v>
      </c>
      <c r="EF308" t="s">
        <v>814</v>
      </c>
      <c r="EG308">
        <v>133018323</v>
      </c>
      <c r="EH308" t="s">
        <v>346</v>
      </c>
      <c r="EI308" s="11">
        <v>0</v>
      </c>
      <c r="EJ308" s="9" t="str">
        <f>_xll.SNL.Clients.Office.Excel.Functions.SPG(EG308, "SP_COUNTRY_NAME")</f>
        <v>USA</v>
      </c>
      <c r="EO308" s="9" t="str">
        <f>_xll.SNL.Clients.Office.Excel.Functions.SPG(EL308, "SP_COUNTRY_NAME")</f>
        <v>#INVALID COMPANY ID</v>
      </c>
      <c r="ET308" s="9" t="str">
        <f>_xll.SNL.Clients.Office.Excel.Functions.SPG(EQ308, "SP_COUNTRY_NAME")</f>
        <v>#INVALID COMPANY ID</v>
      </c>
      <c r="EY308" s="9" t="str">
        <f>_xll.SNL.Clients.Office.Excel.Functions.SPG(EV308, "SP_COUNTRY_NAME")</f>
        <v>#INVALID COMPANY ID</v>
      </c>
      <c r="FD308" s="9" t="str">
        <f>_xll.SNL.Clients.Office.Excel.Functions.SPG(FA308, "SP_COUNTRY_NAME")</f>
        <v>#INVALID COMPANY ID</v>
      </c>
      <c r="FI308" s="9" t="str">
        <f>_xll.SNL.Clients.Office.Excel.Functions.SPG(FF308, "SP_COUNTRY_NAME")</f>
        <v>#INVALID COMPANY ID</v>
      </c>
      <c r="FN308" s="9" t="str">
        <f>_xll.SNL.Clients.Office.Excel.Functions.SPG(FK308, "SP_COUNTRY_NAME")</f>
        <v>#INVALID COMPANY ID</v>
      </c>
      <c r="FS308" s="9" t="str">
        <f>_xll.SNL.Clients.Office.Excel.Functions.SPG(FP308, "SP_COUNTRY_NAME")</f>
        <v>#INVALID COMPANY ID</v>
      </c>
      <c r="FX308" s="9" t="str">
        <f>_xll.SNL.Clients.Office.Excel.Functions.SPG(FU308, "SP_COUNTRY_NAME")</f>
        <v>#INVALID COMPANY ID</v>
      </c>
      <c r="FY308" t="s">
        <v>814</v>
      </c>
      <c r="FZ308">
        <v>133018323</v>
      </c>
      <c r="GA308" t="s">
        <v>346</v>
      </c>
      <c r="GB308" s="11">
        <v>0</v>
      </c>
      <c r="GC308" s="9" t="str">
        <f>_xll.SNL.Clients.Office.Excel.Functions.SPG(FZ308, "SP_COUNTRY_NAME")</f>
        <v>USA</v>
      </c>
      <c r="GH308" s="9" t="str">
        <f>_xll.SNL.Clients.Office.Excel.Functions.SPG(GE308, "SP_COUNTRY_NAME")</f>
        <v>#INVALID COMPANY ID</v>
      </c>
      <c r="GM308" s="9" t="str">
        <f>_xll.SNL.Clients.Office.Excel.Functions.SPG(GJ308, "SP_COUNTRY_NAME")</f>
        <v>#INVALID COMPANY ID</v>
      </c>
      <c r="GR308" s="9" t="str">
        <f>_xll.SNL.Clients.Office.Excel.Functions.SPG(GO308, "SP_COUNTRY_NAME")</f>
        <v>#INVALID COMPANY ID</v>
      </c>
      <c r="GS308" t="s">
        <v>793</v>
      </c>
      <c r="GT308">
        <v>7798890</v>
      </c>
      <c r="GU308" t="s">
        <v>346</v>
      </c>
      <c r="GV308" s="11">
        <v>0</v>
      </c>
      <c r="GW308" s="9" t="str">
        <f>_xll.SNL.Clients.Office.Excel.Functions.SPG(GT308, "SP_COUNTRY_NAME")</f>
        <v>China</v>
      </c>
      <c r="GX308" t="s">
        <v>1763</v>
      </c>
      <c r="GY308">
        <v>5752951</v>
      </c>
      <c r="GZ308" t="s">
        <v>346</v>
      </c>
      <c r="HA308" s="11">
        <v>0</v>
      </c>
      <c r="HB308" s="9" t="str">
        <f>_xll.SNL.Clients.Office.Excel.Functions.SPG(GY308, "SP_COUNTRY_NAME")</f>
        <v>Canada</v>
      </c>
      <c r="HG308" s="9" t="str">
        <f>_xll.SNL.Clients.Office.Excel.Functions.SPG(HD308, "SP_COUNTRY_NAME")</f>
        <v>#INVALID COMPANY ID</v>
      </c>
    </row>
    <row r="309" spans="5:215" x14ac:dyDescent="0.35">
      <c r="E309" s="9" t="str">
        <f>_xll.SNL.Clients.Office.Excel.Functions.SPG(B309, "SP_COUNTRY_NAME")</f>
        <v>#INVALID COMPANY ID</v>
      </c>
      <c r="J309" s="9" t="str">
        <f>_xll.SNL.Clients.Office.Excel.Functions.SPG(G309, "SP_COUNTRY_NAME")</f>
        <v>#INVALID COMPANY ID</v>
      </c>
      <c r="O309" s="9" t="str">
        <f>_xll.SNL.Clients.Office.Excel.Functions.SPG(L309, "SP_COUNTRY_NAME")</f>
        <v>#INVALID COMPANY ID</v>
      </c>
      <c r="T309" s="9" t="str">
        <f>_xll.SNL.Clients.Office.Excel.Functions.SPG(Q309, "SP_COUNTRY_NAME")</f>
        <v>#INVALID COMPANY ID</v>
      </c>
      <c r="U309" t="s">
        <v>863</v>
      </c>
      <c r="V309">
        <v>4190455</v>
      </c>
      <c r="W309" t="s">
        <v>346</v>
      </c>
      <c r="X309" s="11">
        <v>0</v>
      </c>
      <c r="Y309" s="9" t="str">
        <f>_xll.SNL.Clients.Office.Excel.Functions.SPG(V309, "SP_COUNTRY_NAME")</f>
        <v>Malaysia</v>
      </c>
      <c r="AD309" s="9" t="str">
        <f>_xll.SNL.Clients.Office.Excel.Functions.SPG(AA309, "SP_COUNTRY_NAME")</f>
        <v>#INVALID COMPANY ID</v>
      </c>
      <c r="AI309" s="9" t="str">
        <f>_xll.SNL.Clients.Office.Excel.Functions.SPG(AF309, "SP_COUNTRY_NAME")</f>
        <v>#INVALID COMPANY ID</v>
      </c>
      <c r="AN309" s="9" t="str">
        <f>_xll.SNL.Clients.Office.Excel.Functions.SPG(AK309, "SP_COUNTRY_NAME")</f>
        <v>#INVALID COMPANY ID</v>
      </c>
      <c r="AS309" s="9" t="str">
        <f>_xll.SNL.Clients.Office.Excel.Functions.SPG(AP309, "SP_COUNTRY_NAME")</f>
        <v>#INVALID COMPANY ID</v>
      </c>
      <c r="AX309" s="9" t="str">
        <f>_xll.SNL.Clients.Office.Excel.Functions.SPG(AU309, "SP_COUNTRY_NAME")</f>
        <v>#INVALID COMPANY ID</v>
      </c>
      <c r="BC309" s="9" t="str">
        <f>_xll.SNL.Clients.Office.Excel.Functions.SPG(AZ309, "SP_COUNTRY_NAME")</f>
        <v>#INVALID COMPANY ID</v>
      </c>
      <c r="BD309" t="s">
        <v>756</v>
      </c>
      <c r="BE309">
        <v>4026891</v>
      </c>
      <c r="BF309" t="s">
        <v>346</v>
      </c>
      <c r="BG309" s="11">
        <v>0</v>
      </c>
      <c r="BH309" s="9" t="str">
        <f>_xll.SNL.Clients.Office.Excel.Functions.SPG(BE309, "SP_COUNTRY_NAME")</f>
        <v>United Kingdom</v>
      </c>
      <c r="BM309" s="9" t="str">
        <f>_xll.SNL.Clients.Office.Excel.Functions.SPG(BJ309, "SP_COUNTRY_NAME")</f>
        <v>#INVALID COMPANY ID</v>
      </c>
      <c r="BN309" t="s">
        <v>903</v>
      </c>
      <c r="BO309">
        <v>19241294</v>
      </c>
      <c r="BP309" t="s">
        <v>346</v>
      </c>
      <c r="BQ309" s="11">
        <v>0</v>
      </c>
      <c r="BR309" s="9" t="str">
        <f>_xll.SNL.Clients.Office.Excel.Functions.SPG(BO309, "SP_COUNTRY_NAME")</f>
        <v>#INVALID COMPANY ID</v>
      </c>
      <c r="BS309" t="s">
        <v>444</v>
      </c>
      <c r="BT309">
        <v>109988</v>
      </c>
      <c r="BU309" t="s">
        <v>346</v>
      </c>
      <c r="BV309" s="11">
        <v>0</v>
      </c>
      <c r="BW309" s="9" t="str">
        <f>_xll.SNL.Clients.Office.Excel.Functions.SPG(BT309, "SP_COUNTRY_NAME")</f>
        <v>USA</v>
      </c>
      <c r="BX309" t="s">
        <v>863</v>
      </c>
      <c r="BY309">
        <v>4190455</v>
      </c>
      <c r="BZ309" t="s">
        <v>346</v>
      </c>
      <c r="CA309" s="11">
        <v>0</v>
      </c>
      <c r="CB309" s="9" t="str">
        <f>_xll.SNL.Clients.Office.Excel.Functions.SPG(BY309, "SP_COUNTRY_NAME")</f>
        <v>Malaysia</v>
      </c>
      <c r="CC309" t="s">
        <v>1764</v>
      </c>
      <c r="CD309">
        <v>12966365</v>
      </c>
      <c r="CE309" t="s">
        <v>276</v>
      </c>
      <c r="CF309" s="11">
        <v>0</v>
      </c>
      <c r="CG309" s="9" t="str">
        <f>_xll.SNL.Clients.Office.Excel.Functions.SPG(CD309, "SP_COUNTRY_NAME")</f>
        <v>USA</v>
      </c>
      <c r="CL309" s="9" t="str">
        <f>_xll.SNL.Clients.Office.Excel.Functions.SPG(CI309, "SP_COUNTRY_NAME")</f>
        <v>#INVALID COMPANY ID</v>
      </c>
      <c r="CM309" t="s">
        <v>837</v>
      </c>
      <c r="CN309">
        <v>5830179</v>
      </c>
      <c r="CO309" t="s">
        <v>346</v>
      </c>
      <c r="CP309" s="11">
        <v>0</v>
      </c>
      <c r="CQ309" s="9" t="str">
        <f>_xll.SNL.Clients.Office.Excel.Functions.SPG(CN309, "SP_COUNTRY_NAME")</f>
        <v>Ireland</v>
      </c>
      <c r="CV309" s="9" t="str">
        <f>_xll.SNL.Clients.Office.Excel.Functions.SPG(CS309, "SP_COUNTRY_NAME")</f>
        <v>#INVALID COMPANY ID</v>
      </c>
      <c r="DA309" s="9" t="str">
        <f>_xll.SNL.Clients.Office.Excel.Functions.SPG(CX309, "SP_COUNTRY_NAME")</f>
        <v>#INVALID COMPANY ID</v>
      </c>
      <c r="DB309" t="s">
        <v>756</v>
      </c>
      <c r="DC309">
        <v>4026891</v>
      </c>
      <c r="DD309" t="s">
        <v>346</v>
      </c>
      <c r="DE309" s="11">
        <v>0</v>
      </c>
      <c r="DF309" s="9" t="str">
        <f>_xll.SNL.Clients.Office.Excel.Functions.SPG(DC309, "SP_COUNTRY_NAME")</f>
        <v>United Kingdom</v>
      </c>
      <c r="DK309" s="9" t="str">
        <f>_xll.SNL.Clients.Office.Excel.Functions.SPG(DH309, "SP_COUNTRY_NAME")</f>
        <v>#INVALID COMPANY ID</v>
      </c>
      <c r="DL309" t="s">
        <v>756</v>
      </c>
      <c r="DM309">
        <v>4026891</v>
      </c>
      <c r="DN309" t="s">
        <v>346</v>
      </c>
      <c r="DO309" s="11">
        <v>0</v>
      </c>
      <c r="DP309" s="9" t="str">
        <f>_xll.SNL.Clients.Office.Excel.Functions.SPG(DM309, "SP_COUNTRY_NAME")</f>
        <v>United Kingdom</v>
      </c>
      <c r="DU309" s="9" t="str">
        <f>_xll.SNL.Clients.Office.Excel.Functions.SPG(DR309, "SP_COUNTRY_NAME")</f>
        <v>#INVALID COMPANY ID</v>
      </c>
      <c r="DZ309" s="9" t="str">
        <f>_xll.SNL.Clients.Office.Excel.Functions.SPG(DW309, "SP_COUNTRY_NAME")</f>
        <v>#INVALID COMPANY ID</v>
      </c>
      <c r="EA309" t="s">
        <v>1764</v>
      </c>
      <c r="EB309">
        <v>12966365</v>
      </c>
      <c r="EC309" t="s">
        <v>276</v>
      </c>
      <c r="ED309" s="11">
        <v>0</v>
      </c>
      <c r="EE309" s="9" t="str">
        <f>_xll.SNL.Clients.Office.Excel.Functions.SPG(EB309, "SP_COUNTRY_NAME")</f>
        <v>USA</v>
      </c>
      <c r="EF309" t="s">
        <v>756</v>
      </c>
      <c r="EG309">
        <v>4026891</v>
      </c>
      <c r="EH309" t="s">
        <v>346</v>
      </c>
      <c r="EI309" s="11">
        <v>0</v>
      </c>
      <c r="EJ309" s="9" t="str">
        <f>_xll.SNL.Clients.Office.Excel.Functions.SPG(EG309, "SP_COUNTRY_NAME")</f>
        <v>United Kingdom</v>
      </c>
      <c r="EO309" s="9" t="str">
        <f>_xll.SNL.Clients.Office.Excel.Functions.SPG(EL309, "SP_COUNTRY_NAME")</f>
        <v>#INVALID COMPANY ID</v>
      </c>
      <c r="ET309" s="9" t="str">
        <f>_xll.SNL.Clients.Office.Excel.Functions.SPG(EQ309, "SP_COUNTRY_NAME")</f>
        <v>#INVALID COMPANY ID</v>
      </c>
      <c r="EY309" s="9" t="str">
        <f>_xll.SNL.Clients.Office.Excel.Functions.SPG(EV309, "SP_COUNTRY_NAME")</f>
        <v>#INVALID COMPANY ID</v>
      </c>
      <c r="FD309" s="9" t="str">
        <f>_xll.SNL.Clients.Office.Excel.Functions.SPG(FA309, "SP_COUNTRY_NAME")</f>
        <v>#INVALID COMPANY ID</v>
      </c>
      <c r="FI309" s="9" t="str">
        <f>_xll.SNL.Clients.Office.Excel.Functions.SPG(FF309, "SP_COUNTRY_NAME")</f>
        <v>#INVALID COMPANY ID</v>
      </c>
      <c r="FN309" s="9" t="str">
        <f>_xll.SNL.Clients.Office.Excel.Functions.SPG(FK309, "SP_COUNTRY_NAME")</f>
        <v>#INVALID COMPANY ID</v>
      </c>
      <c r="FS309" s="9" t="str">
        <f>_xll.SNL.Clients.Office.Excel.Functions.SPG(FP309, "SP_COUNTRY_NAME")</f>
        <v>#INVALID COMPANY ID</v>
      </c>
      <c r="FX309" s="9" t="str">
        <f>_xll.SNL.Clients.Office.Excel.Functions.SPG(FU309, "SP_COUNTRY_NAME")</f>
        <v>#INVALID COMPANY ID</v>
      </c>
      <c r="FY309" t="s">
        <v>756</v>
      </c>
      <c r="FZ309">
        <v>4026891</v>
      </c>
      <c r="GA309" t="s">
        <v>346</v>
      </c>
      <c r="GB309" s="11">
        <v>0</v>
      </c>
      <c r="GC309" s="9" t="str">
        <f>_xll.SNL.Clients.Office.Excel.Functions.SPG(FZ309, "SP_COUNTRY_NAME")</f>
        <v>United Kingdom</v>
      </c>
      <c r="GH309" s="9" t="str">
        <f>_xll.SNL.Clients.Office.Excel.Functions.SPG(GE309, "SP_COUNTRY_NAME")</f>
        <v>#INVALID COMPANY ID</v>
      </c>
      <c r="GM309" s="9" t="str">
        <f>_xll.SNL.Clients.Office.Excel.Functions.SPG(GJ309, "SP_COUNTRY_NAME")</f>
        <v>#INVALID COMPANY ID</v>
      </c>
      <c r="GR309" s="9" t="str">
        <f>_xll.SNL.Clients.Office.Excel.Functions.SPG(GO309, "SP_COUNTRY_NAME")</f>
        <v>#INVALID COMPANY ID</v>
      </c>
      <c r="GS309" t="s">
        <v>903</v>
      </c>
      <c r="GT309">
        <v>19241294</v>
      </c>
      <c r="GU309" t="s">
        <v>346</v>
      </c>
      <c r="GV309" s="11">
        <v>0</v>
      </c>
      <c r="GW309" s="9" t="str">
        <f>_xll.SNL.Clients.Office.Excel.Functions.SPG(GT309, "SP_COUNTRY_NAME")</f>
        <v>#INVALID COMPANY ID</v>
      </c>
      <c r="GX309" t="s">
        <v>1764</v>
      </c>
      <c r="GY309">
        <v>12966365</v>
      </c>
      <c r="GZ309" t="s">
        <v>276</v>
      </c>
      <c r="HA309" s="11">
        <v>0</v>
      </c>
      <c r="HB309" s="9" t="str">
        <f>_xll.SNL.Clients.Office.Excel.Functions.SPG(GY309, "SP_COUNTRY_NAME")</f>
        <v>USA</v>
      </c>
      <c r="HG309" s="9" t="str">
        <f>_xll.SNL.Clients.Office.Excel.Functions.SPG(HD309, "SP_COUNTRY_NAME")</f>
        <v>#INVALID COMPANY ID</v>
      </c>
    </row>
    <row r="310" spans="5:215" x14ac:dyDescent="0.35">
      <c r="E310" s="9" t="str">
        <f>_xll.SNL.Clients.Office.Excel.Functions.SPG(B310, "SP_COUNTRY_NAME")</f>
        <v>#INVALID COMPANY ID</v>
      </c>
      <c r="J310" s="9" t="str">
        <f>_xll.SNL.Clients.Office.Excel.Functions.SPG(G310, "SP_COUNTRY_NAME")</f>
        <v>#INVALID COMPANY ID</v>
      </c>
      <c r="O310" s="9" t="str">
        <f>_xll.SNL.Clients.Office.Excel.Functions.SPG(L310, "SP_COUNTRY_NAME")</f>
        <v>#INVALID COMPANY ID</v>
      </c>
      <c r="T310" s="9" t="str">
        <f>_xll.SNL.Clients.Office.Excel.Functions.SPG(Q310, "SP_COUNTRY_NAME")</f>
        <v>#INVALID COMPANY ID</v>
      </c>
      <c r="U310" t="s">
        <v>864</v>
      </c>
      <c r="V310">
        <v>4345969</v>
      </c>
      <c r="W310" t="s">
        <v>346</v>
      </c>
      <c r="X310" s="11">
        <v>0</v>
      </c>
      <c r="Y310" s="9" t="str">
        <f>_xll.SNL.Clients.Office.Excel.Functions.SPG(V310, "SP_COUNTRY_NAME")</f>
        <v>China</v>
      </c>
      <c r="AD310" s="9" t="str">
        <f>_xll.SNL.Clients.Office.Excel.Functions.SPG(AA310, "SP_COUNTRY_NAME")</f>
        <v>#INVALID COMPANY ID</v>
      </c>
      <c r="AI310" s="9" t="str">
        <f>_xll.SNL.Clients.Office.Excel.Functions.SPG(AF310, "SP_COUNTRY_NAME")</f>
        <v>#INVALID COMPANY ID</v>
      </c>
      <c r="AN310" s="9" t="str">
        <f>_xll.SNL.Clients.Office.Excel.Functions.SPG(AK310, "SP_COUNTRY_NAME")</f>
        <v>#INVALID COMPANY ID</v>
      </c>
      <c r="AS310" s="9" t="str">
        <f>_xll.SNL.Clients.Office.Excel.Functions.SPG(AP310, "SP_COUNTRY_NAME")</f>
        <v>#INVALID COMPANY ID</v>
      </c>
      <c r="AX310" s="9" t="str">
        <f>_xll.SNL.Clients.Office.Excel.Functions.SPG(AU310, "SP_COUNTRY_NAME")</f>
        <v>#INVALID COMPANY ID</v>
      </c>
      <c r="BC310" s="9" t="str">
        <f>_xll.SNL.Clients.Office.Excel.Functions.SPG(AZ310, "SP_COUNTRY_NAME")</f>
        <v>#INVALID COMPANY ID</v>
      </c>
      <c r="BD310" t="s">
        <v>582</v>
      </c>
      <c r="BE310">
        <v>4119728</v>
      </c>
      <c r="BF310" t="s">
        <v>634</v>
      </c>
      <c r="BG310" s="11">
        <v>0</v>
      </c>
      <c r="BH310" s="9" t="str">
        <f>_xll.SNL.Clients.Office.Excel.Functions.SPG(BE310, "SP_COUNTRY_NAME")</f>
        <v>USA</v>
      </c>
      <c r="BM310" s="9" t="str">
        <f>_xll.SNL.Clients.Office.Excel.Functions.SPG(BJ310, "SP_COUNTRY_NAME")</f>
        <v>#INVALID COMPANY ID</v>
      </c>
      <c r="BN310" t="s">
        <v>859</v>
      </c>
      <c r="BO310">
        <v>4049161</v>
      </c>
      <c r="BP310" t="s">
        <v>346</v>
      </c>
      <c r="BQ310" s="11">
        <v>0</v>
      </c>
      <c r="BR310" s="9" t="str">
        <f>_xll.SNL.Clients.Office.Excel.Functions.SPG(BO310, "SP_COUNTRY_NAME")</f>
        <v>USA</v>
      </c>
      <c r="BS310" t="s">
        <v>460</v>
      </c>
      <c r="BT310">
        <v>4337989</v>
      </c>
      <c r="BU310" t="s">
        <v>346</v>
      </c>
      <c r="BV310" s="11">
        <v>0</v>
      </c>
      <c r="BW310" s="9" t="str">
        <f>_xll.SNL.Clients.Office.Excel.Functions.SPG(BT310, "SP_COUNTRY_NAME")</f>
        <v>USA</v>
      </c>
      <c r="BX310" t="s">
        <v>864</v>
      </c>
      <c r="BY310">
        <v>4345969</v>
      </c>
      <c r="BZ310" t="s">
        <v>346</v>
      </c>
      <c r="CA310" s="11">
        <v>0</v>
      </c>
      <c r="CB310" s="9" t="str">
        <f>_xll.SNL.Clients.Office.Excel.Functions.SPG(BY310, "SP_COUNTRY_NAME")</f>
        <v>China</v>
      </c>
      <c r="CC310" t="s">
        <v>475</v>
      </c>
      <c r="CD310">
        <v>4115935</v>
      </c>
      <c r="CE310" t="s">
        <v>346</v>
      </c>
      <c r="CF310" s="11">
        <v>0</v>
      </c>
      <c r="CG310" s="9" t="str">
        <f>_xll.SNL.Clients.Office.Excel.Functions.SPG(CD310, "SP_COUNTRY_NAME")</f>
        <v>USA</v>
      </c>
      <c r="CL310" s="9" t="str">
        <f>_xll.SNL.Clients.Office.Excel.Functions.SPG(CI310, "SP_COUNTRY_NAME")</f>
        <v>#INVALID COMPANY ID</v>
      </c>
      <c r="CM310" t="s">
        <v>1346</v>
      </c>
      <c r="CN310">
        <v>29317018</v>
      </c>
      <c r="CO310" t="s">
        <v>346</v>
      </c>
      <c r="CP310" s="11">
        <v>0</v>
      </c>
      <c r="CQ310" s="9" t="str">
        <f>_xll.SNL.Clients.Office.Excel.Functions.SPG(CN310, "SP_COUNTRY_NAME")</f>
        <v>South Africa</v>
      </c>
      <c r="CV310" s="9" t="str">
        <f>_xll.SNL.Clients.Office.Excel.Functions.SPG(CS310, "SP_COUNTRY_NAME")</f>
        <v>#INVALID COMPANY ID</v>
      </c>
      <c r="DA310" s="9" t="str">
        <f>_xll.SNL.Clients.Office.Excel.Functions.SPG(CX310, "SP_COUNTRY_NAME")</f>
        <v>#INVALID COMPANY ID</v>
      </c>
      <c r="DB310" t="s">
        <v>582</v>
      </c>
      <c r="DC310">
        <v>4119728</v>
      </c>
      <c r="DD310" t="s">
        <v>634</v>
      </c>
      <c r="DE310" s="11">
        <v>0</v>
      </c>
      <c r="DF310" s="9" t="str">
        <f>_xll.SNL.Clients.Office.Excel.Functions.SPG(DC310, "SP_COUNTRY_NAME")</f>
        <v>USA</v>
      </c>
      <c r="DK310" s="9" t="str">
        <f>_xll.SNL.Clients.Office.Excel.Functions.SPG(DH310, "SP_COUNTRY_NAME")</f>
        <v>#INVALID COMPANY ID</v>
      </c>
      <c r="DL310" t="s">
        <v>582</v>
      </c>
      <c r="DM310">
        <v>4119728</v>
      </c>
      <c r="DN310" t="s">
        <v>634</v>
      </c>
      <c r="DO310" s="11">
        <v>0</v>
      </c>
      <c r="DP310" s="9" t="str">
        <f>_xll.SNL.Clients.Office.Excel.Functions.SPG(DM310, "SP_COUNTRY_NAME")</f>
        <v>USA</v>
      </c>
      <c r="DU310" s="9" t="str">
        <f>_xll.SNL.Clients.Office.Excel.Functions.SPG(DR310, "SP_COUNTRY_NAME")</f>
        <v>#INVALID COMPANY ID</v>
      </c>
      <c r="DZ310" s="9" t="str">
        <f>_xll.SNL.Clients.Office.Excel.Functions.SPG(DW310, "SP_COUNTRY_NAME")</f>
        <v>#INVALID COMPANY ID</v>
      </c>
      <c r="EA310" t="s">
        <v>475</v>
      </c>
      <c r="EB310">
        <v>4115935</v>
      </c>
      <c r="EC310" t="s">
        <v>346</v>
      </c>
      <c r="ED310" s="11">
        <v>0</v>
      </c>
      <c r="EE310" s="9" t="str">
        <f>_xll.SNL.Clients.Office.Excel.Functions.SPG(EB310, "SP_COUNTRY_NAME")</f>
        <v>USA</v>
      </c>
      <c r="EF310" t="s">
        <v>582</v>
      </c>
      <c r="EG310">
        <v>4119728</v>
      </c>
      <c r="EH310" t="s">
        <v>634</v>
      </c>
      <c r="EI310" s="11">
        <v>0</v>
      </c>
      <c r="EJ310" s="9" t="str">
        <f>_xll.SNL.Clients.Office.Excel.Functions.SPG(EG310, "SP_COUNTRY_NAME")</f>
        <v>USA</v>
      </c>
      <c r="EO310" s="9" t="str">
        <f>_xll.SNL.Clients.Office.Excel.Functions.SPG(EL310, "SP_COUNTRY_NAME")</f>
        <v>#INVALID COMPANY ID</v>
      </c>
      <c r="ET310" s="9" t="str">
        <f>_xll.SNL.Clients.Office.Excel.Functions.SPG(EQ310, "SP_COUNTRY_NAME")</f>
        <v>#INVALID COMPANY ID</v>
      </c>
      <c r="EY310" s="9" t="str">
        <f>_xll.SNL.Clients.Office.Excel.Functions.SPG(EV310, "SP_COUNTRY_NAME")</f>
        <v>#INVALID COMPANY ID</v>
      </c>
      <c r="FD310" s="9" t="str">
        <f>_xll.SNL.Clients.Office.Excel.Functions.SPG(FA310, "SP_COUNTRY_NAME")</f>
        <v>#INVALID COMPANY ID</v>
      </c>
      <c r="FI310" s="9" t="str">
        <f>_xll.SNL.Clients.Office.Excel.Functions.SPG(FF310, "SP_COUNTRY_NAME")</f>
        <v>#INVALID COMPANY ID</v>
      </c>
      <c r="FN310" s="9" t="str">
        <f>_xll.SNL.Clients.Office.Excel.Functions.SPG(FK310, "SP_COUNTRY_NAME")</f>
        <v>#INVALID COMPANY ID</v>
      </c>
      <c r="FS310" s="9" t="str">
        <f>_xll.SNL.Clients.Office.Excel.Functions.SPG(FP310, "SP_COUNTRY_NAME")</f>
        <v>#INVALID COMPANY ID</v>
      </c>
      <c r="FX310" s="9" t="str">
        <f>_xll.SNL.Clients.Office.Excel.Functions.SPG(FU310, "SP_COUNTRY_NAME")</f>
        <v>#INVALID COMPANY ID</v>
      </c>
      <c r="FY310" t="s">
        <v>582</v>
      </c>
      <c r="FZ310">
        <v>4119728</v>
      </c>
      <c r="GA310" t="s">
        <v>634</v>
      </c>
      <c r="GB310" s="11">
        <v>0</v>
      </c>
      <c r="GC310" s="9" t="str">
        <f>_xll.SNL.Clients.Office.Excel.Functions.SPG(FZ310, "SP_COUNTRY_NAME")</f>
        <v>USA</v>
      </c>
      <c r="GH310" s="9" t="str">
        <f>_xll.SNL.Clients.Office.Excel.Functions.SPG(GE310, "SP_COUNTRY_NAME")</f>
        <v>#INVALID COMPANY ID</v>
      </c>
      <c r="GM310" s="9" t="str">
        <f>_xll.SNL.Clients.Office.Excel.Functions.SPG(GJ310, "SP_COUNTRY_NAME")</f>
        <v>#INVALID COMPANY ID</v>
      </c>
      <c r="GR310" s="9" t="str">
        <f>_xll.SNL.Clients.Office.Excel.Functions.SPG(GO310, "SP_COUNTRY_NAME")</f>
        <v>#INVALID COMPANY ID</v>
      </c>
      <c r="GS310" t="s">
        <v>859</v>
      </c>
      <c r="GT310">
        <v>4049161</v>
      </c>
      <c r="GU310" t="s">
        <v>346</v>
      </c>
      <c r="GV310" s="11">
        <v>0</v>
      </c>
      <c r="GW310" s="9" t="str">
        <f>_xll.SNL.Clients.Office.Excel.Functions.SPG(GT310, "SP_COUNTRY_NAME")</f>
        <v>USA</v>
      </c>
      <c r="GX310" t="s">
        <v>475</v>
      </c>
      <c r="GY310">
        <v>4115935</v>
      </c>
      <c r="GZ310" t="s">
        <v>346</v>
      </c>
      <c r="HA310" s="11">
        <v>0</v>
      </c>
      <c r="HB310" s="9" t="str">
        <f>_xll.SNL.Clients.Office.Excel.Functions.SPG(GY310, "SP_COUNTRY_NAME")</f>
        <v>USA</v>
      </c>
      <c r="HG310" s="9" t="str">
        <f>_xll.SNL.Clients.Office.Excel.Functions.SPG(HD310, "SP_COUNTRY_NAME")</f>
        <v>#INVALID COMPANY ID</v>
      </c>
    </row>
    <row r="311" spans="5:215" x14ac:dyDescent="0.35">
      <c r="E311" s="9" t="str">
        <f>_xll.SNL.Clients.Office.Excel.Functions.SPG(B311, "SP_COUNTRY_NAME")</f>
        <v>#INVALID COMPANY ID</v>
      </c>
      <c r="J311" s="9" t="str">
        <f>_xll.SNL.Clients.Office.Excel.Functions.SPG(G311, "SP_COUNTRY_NAME")</f>
        <v>#INVALID COMPANY ID</v>
      </c>
      <c r="O311" s="9" t="str">
        <f>_xll.SNL.Clients.Office.Excel.Functions.SPG(L311, "SP_COUNTRY_NAME")</f>
        <v>#INVALID COMPANY ID</v>
      </c>
      <c r="T311" s="9" t="str">
        <f>_xll.SNL.Clients.Office.Excel.Functions.SPG(Q311, "SP_COUNTRY_NAME")</f>
        <v>#INVALID COMPANY ID</v>
      </c>
      <c r="U311" t="s">
        <v>865</v>
      </c>
      <c r="V311">
        <v>4669111</v>
      </c>
      <c r="W311" t="s">
        <v>346</v>
      </c>
      <c r="X311" s="11">
        <v>0</v>
      </c>
      <c r="Y311" s="9" t="str">
        <f>_xll.SNL.Clients.Office.Excel.Functions.SPG(V311, "SP_COUNTRY_NAME")</f>
        <v>China</v>
      </c>
      <c r="AD311" s="9" t="str">
        <f>_xll.SNL.Clients.Office.Excel.Functions.SPG(AA311, "SP_COUNTRY_NAME")</f>
        <v>#INVALID COMPANY ID</v>
      </c>
      <c r="AI311" s="9" t="str">
        <f>_xll.SNL.Clients.Office.Excel.Functions.SPG(AF311, "SP_COUNTRY_NAME")</f>
        <v>#INVALID COMPANY ID</v>
      </c>
      <c r="AN311" s="9" t="str">
        <f>_xll.SNL.Clients.Office.Excel.Functions.SPG(AK311, "SP_COUNTRY_NAME")</f>
        <v>#INVALID COMPANY ID</v>
      </c>
      <c r="AS311" s="9" t="str">
        <f>_xll.SNL.Clients.Office.Excel.Functions.SPG(AP311, "SP_COUNTRY_NAME")</f>
        <v>#INVALID COMPANY ID</v>
      </c>
      <c r="AX311" s="9" t="str">
        <f>_xll.SNL.Clients.Office.Excel.Functions.SPG(AU311, "SP_COUNTRY_NAME")</f>
        <v>#INVALID COMPANY ID</v>
      </c>
      <c r="BC311" s="9" t="str">
        <f>_xll.SNL.Clients.Office.Excel.Functions.SPG(AZ311, "SP_COUNTRY_NAME")</f>
        <v>#INVALID COMPANY ID</v>
      </c>
      <c r="BD311" t="s">
        <v>1343</v>
      </c>
      <c r="BE311">
        <v>13084932</v>
      </c>
      <c r="BF311" t="s">
        <v>346</v>
      </c>
      <c r="BG311" s="11">
        <v>0</v>
      </c>
      <c r="BH311" s="9" t="str">
        <f>_xll.SNL.Clients.Office.Excel.Functions.SPG(BE311, "SP_COUNTRY_NAME")</f>
        <v>South Africa</v>
      </c>
      <c r="BM311" s="9" t="str">
        <f>_xll.SNL.Clients.Office.Excel.Functions.SPG(BJ311, "SP_COUNTRY_NAME")</f>
        <v>#INVALID COMPANY ID</v>
      </c>
      <c r="BN311" t="s">
        <v>520</v>
      </c>
      <c r="BO311">
        <v>103661</v>
      </c>
      <c r="BP311" t="s">
        <v>346</v>
      </c>
      <c r="BQ311" s="11">
        <v>0</v>
      </c>
      <c r="BR311" s="9" t="str">
        <f>_xll.SNL.Clients.Office.Excel.Functions.SPG(BO311, "SP_COUNTRY_NAME")</f>
        <v>USA</v>
      </c>
      <c r="BS311" t="s">
        <v>857</v>
      </c>
      <c r="BT311">
        <v>4262519</v>
      </c>
      <c r="BU311" t="s">
        <v>346</v>
      </c>
      <c r="BV311" s="11">
        <v>0</v>
      </c>
      <c r="BW311" s="9" t="str">
        <f>_xll.SNL.Clients.Office.Excel.Functions.SPG(BT311, "SP_COUNTRY_NAME")</f>
        <v>USA</v>
      </c>
      <c r="BX311" t="s">
        <v>865</v>
      </c>
      <c r="BY311">
        <v>4669111</v>
      </c>
      <c r="BZ311" t="s">
        <v>346</v>
      </c>
      <c r="CA311" s="11">
        <v>0</v>
      </c>
      <c r="CB311" s="9" t="str">
        <f>_xll.SNL.Clients.Office.Excel.Functions.SPG(BY311, "SP_COUNTRY_NAME")</f>
        <v>China</v>
      </c>
      <c r="CC311" t="s">
        <v>1765</v>
      </c>
      <c r="CD311">
        <v>110462</v>
      </c>
      <c r="CE311" t="s">
        <v>346</v>
      </c>
      <c r="CF311" s="11">
        <v>0</v>
      </c>
      <c r="CG311" s="9" t="str">
        <f>_xll.SNL.Clients.Office.Excel.Functions.SPG(CD311, "SP_COUNTRY_NAME")</f>
        <v>USA</v>
      </c>
      <c r="CL311" s="9" t="str">
        <f>_xll.SNL.Clients.Office.Excel.Functions.SPG(CI311, "SP_COUNTRY_NAME")</f>
        <v>#INVALID COMPANY ID</v>
      </c>
      <c r="CM311" t="s">
        <v>1714</v>
      </c>
      <c r="CN311">
        <v>4222753</v>
      </c>
      <c r="CO311" t="s">
        <v>346</v>
      </c>
      <c r="CP311" s="11">
        <v>0</v>
      </c>
      <c r="CQ311" s="9" t="str">
        <f>_xll.SNL.Clients.Office.Excel.Functions.SPG(CN311, "SP_COUNTRY_NAME")</f>
        <v>USA</v>
      </c>
      <c r="CV311" s="9" t="str">
        <f>_xll.SNL.Clients.Office.Excel.Functions.SPG(CS311, "SP_COUNTRY_NAME")</f>
        <v>#INVALID COMPANY ID</v>
      </c>
      <c r="DA311" s="9" t="str">
        <f>_xll.SNL.Clients.Office.Excel.Functions.SPG(CX311, "SP_COUNTRY_NAME")</f>
        <v>#INVALID COMPANY ID</v>
      </c>
      <c r="DB311" t="s">
        <v>1343</v>
      </c>
      <c r="DC311">
        <v>13084932</v>
      </c>
      <c r="DD311" t="s">
        <v>346</v>
      </c>
      <c r="DE311" s="11">
        <v>0</v>
      </c>
      <c r="DF311" s="9" t="str">
        <f>_xll.SNL.Clients.Office.Excel.Functions.SPG(DC311, "SP_COUNTRY_NAME")</f>
        <v>South Africa</v>
      </c>
      <c r="DK311" s="9" t="str">
        <f>_xll.SNL.Clients.Office.Excel.Functions.SPG(DH311, "SP_COUNTRY_NAME")</f>
        <v>#INVALID COMPANY ID</v>
      </c>
      <c r="DL311" t="s">
        <v>1343</v>
      </c>
      <c r="DM311">
        <v>13084932</v>
      </c>
      <c r="DN311" t="s">
        <v>346</v>
      </c>
      <c r="DO311" s="11">
        <v>0</v>
      </c>
      <c r="DP311" s="9" t="str">
        <f>_xll.SNL.Clients.Office.Excel.Functions.SPG(DM311, "SP_COUNTRY_NAME")</f>
        <v>South Africa</v>
      </c>
      <c r="DU311" s="9" t="str">
        <f>_xll.SNL.Clients.Office.Excel.Functions.SPG(DR311, "SP_COUNTRY_NAME")</f>
        <v>#INVALID COMPANY ID</v>
      </c>
      <c r="DZ311" s="9" t="str">
        <f>_xll.SNL.Clients.Office.Excel.Functions.SPG(DW311, "SP_COUNTRY_NAME")</f>
        <v>#INVALID COMPANY ID</v>
      </c>
      <c r="EA311" t="s">
        <v>1765</v>
      </c>
      <c r="EB311">
        <v>110462</v>
      </c>
      <c r="EC311" t="s">
        <v>346</v>
      </c>
      <c r="ED311" s="11">
        <v>0</v>
      </c>
      <c r="EE311" s="9" t="str">
        <f>_xll.SNL.Clients.Office.Excel.Functions.SPG(EB311, "SP_COUNTRY_NAME")</f>
        <v>USA</v>
      </c>
      <c r="EF311" t="s">
        <v>1343</v>
      </c>
      <c r="EG311">
        <v>13084932</v>
      </c>
      <c r="EH311" t="s">
        <v>346</v>
      </c>
      <c r="EI311" s="11">
        <v>0</v>
      </c>
      <c r="EJ311" s="9" t="str">
        <f>_xll.SNL.Clients.Office.Excel.Functions.SPG(EG311, "SP_COUNTRY_NAME")</f>
        <v>South Africa</v>
      </c>
      <c r="EO311" s="9" t="str">
        <f>_xll.SNL.Clients.Office.Excel.Functions.SPG(EL311, "SP_COUNTRY_NAME")</f>
        <v>#INVALID COMPANY ID</v>
      </c>
      <c r="ET311" s="9" t="str">
        <f>_xll.SNL.Clients.Office.Excel.Functions.SPG(EQ311, "SP_COUNTRY_NAME")</f>
        <v>#INVALID COMPANY ID</v>
      </c>
      <c r="EY311" s="9" t="str">
        <f>_xll.SNL.Clients.Office.Excel.Functions.SPG(EV311, "SP_COUNTRY_NAME")</f>
        <v>#INVALID COMPANY ID</v>
      </c>
      <c r="FD311" s="9" t="str">
        <f>_xll.SNL.Clients.Office.Excel.Functions.SPG(FA311, "SP_COUNTRY_NAME")</f>
        <v>#INVALID COMPANY ID</v>
      </c>
      <c r="FI311" s="9" t="str">
        <f>_xll.SNL.Clients.Office.Excel.Functions.SPG(FF311, "SP_COUNTRY_NAME")</f>
        <v>#INVALID COMPANY ID</v>
      </c>
      <c r="FN311" s="9" t="str">
        <f>_xll.SNL.Clients.Office.Excel.Functions.SPG(FK311, "SP_COUNTRY_NAME")</f>
        <v>#INVALID COMPANY ID</v>
      </c>
      <c r="FS311" s="9" t="str">
        <f>_xll.SNL.Clients.Office.Excel.Functions.SPG(FP311, "SP_COUNTRY_NAME")</f>
        <v>#INVALID COMPANY ID</v>
      </c>
      <c r="FX311" s="9" t="str">
        <f>_xll.SNL.Clients.Office.Excel.Functions.SPG(FU311, "SP_COUNTRY_NAME")</f>
        <v>#INVALID COMPANY ID</v>
      </c>
      <c r="FY311" t="s">
        <v>1343</v>
      </c>
      <c r="FZ311">
        <v>13084932</v>
      </c>
      <c r="GA311" t="s">
        <v>346</v>
      </c>
      <c r="GB311" s="11">
        <v>0</v>
      </c>
      <c r="GC311" s="9" t="str">
        <f>_xll.SNL.Clients.Office.Excel.Functions.SPG(FZ311, "SP_COUNTRY_NAME")</f>
        <v>South Africa</v>
      </c>
      <c r="GH311" s="9" t="str">
        <f>_xll.SNL.Clients.Office.Excel.Functions.SPG(GE311, "SP_COUNTRY_NAME")</f>
        <v>#INVALID COMPANY ID</v>
      </c>
      <c r="GM311" s="9" t="str">
        <f>_xll.SNL.Clients.Office.Excel.Functions.SPG(GJ311, "SP_COUNTRY_NAME")</f>
        <v>#INVALID COMPANY ID</v>
      </c>
      <c r="GR311" s="9" t="str">
        <f>_xll.SNL.Clients.Office.Excel.Functions.SPG(GO311, "SP_COUNTRY_NAME")</f>
        <v>#INVALID COMPANY ID</v>
      </c>
      <c r="GS311" t="s">
        <v>520</v>
      </c>
      <c r="GT311">
        <v>103661</v>
      </c>
      <c r="GU311" t="s">
        <v>346</v>
      </c>
      <c r="GV311" s="11">
        <v>0</v>
      </c>
      <c r="GW311" s="9" t="str">
        <f>_xll.SNL.Clients.Office.Excel.Functions.SPG(GT311, "SP_COUNTRY_NAME")</f>
        <v>USA</v>
      </c>
      <c r="GX311" t="s">
        <v>1765</v>
      </c>
      <c r="GY311">
        <v>110462</v>
      </c>
      <c r="GZ311" t="s">
        <v>346</v>
      </c>
      <c r="HA311" s="11">
        <v>0</v>
      </c>
      <c r="HB311" s="9" t="str">
        <f>_xll.SNL.Clients.Office.Excel.Functions.SPG(GY311, "SP_COUNTRY_NAME")</f>
        <v>USA</v>
      </c>
      <c r="HG311" s="9" t="str">
        <f>_xll.SNL.Clients.Office.Excel.Functions.SPG(HD311, "SP_COUNTRY_NAME")</f>
        <v>#INVALID COMPANY ID</v>
      </c>
    </row>
    <row r="312" spans="5:215" x14ac:dyDescent="0.35">
      <c r="E312" s="9" t="str">
        <f>_xll.SNL.Clients.Office.Excel.Functions.SPG(B312, "SP_COUNTRY_NAME")</f>
        <v>#INVALID COMPANY ID</v>
      </c>
      <c r="J312" s="9" t="str">
        <f>_xll.SNL.Clients.Office.Excel.Functions.SPG(G312, "SP_COUNTRY_NAME")</f>
        <v>#INVALID COMPANY ID</v>
      </c>
      <c r="O312" s="9" t="str">
        <f>_xll.SNL.Clients.Office.Excel.Functions.SPG(L312, "SP_COUNTRY_NAME")</f>
        <v>#INVALID COMPANY ID</v>
      </c>
      <c r="T312" s="9" t="str">
        <f>_xll.SNL.Clients.Office.Excel.Functions.SPG(Q312, "SP_COUNTRY_NAME")</f>
        <v>#INVALID COMPANY ID</v>
      </c>
      <c r="U312" t="s">
        <v>866</v>
      </c>
      <c r="V312">
        <v>5829542</v>
      </c>
      <c r="W312" t="s">
        <v>346</v>
      </c>
      <c r="X312" s="11">
        <v>0</v>
      </c>
      <c r="Y312" s="9" t="str">
        <f>_xll.SNL.Clients.Office.Excel.Functions.SPG(V312, "SP_COUNTRY_NAME")</f>
        <v>China</v>
      </c>
      <c r="AD312" s="9" t="str">
        <f>_xll.SNL.Clients.Office.Excel.Functions.SPG(AA312, "SP_COUNTRY_NAME")</f>
        <v>#INVALID COMPANY ID</v>
      </c>
      <c r="AI312" s="9" t="str">
        <f>_xll.SNL.Clients.Office.Excel.Functions.SPG(AF312, "SP_COUNTRY_NAME")</f>
        <v>#INVALID COMPANY ID</v>
      </c>
      <c r="AN312" s="9" t="str">
        <f>_xll.SNL.Clients.Office.Excel.Functions.SPG(AK312, "SP_COUNTRY_NAME")</f>
        <v>#INVALID COMPANY ID</v>
      </c>
      <c r="AS312" s="9" t="str">
        <f>_xll.SNL.Clients.Office.Excel.Functions.SPG(AP312, "SP_COUNTRY_NAME")</f>
        <v>#INVALID COMPANY ID</v>
      </c>
      <c r="AX312" s="9" t="str">
        <f>_xll.SNL.Clients.Office.Excel.Functions.SPG(AU312, "SP_COUNTRY_NAME")</f>
        <v>#INVALID COMPANY ID</v>
      </c>
      <c r="BC312" s="9" t="str">
        <f>_xll.SNL.Clients.Office.Excel.Functions.SPG(AZ312, "SP_COUNTRY_NAME")</f>
        <v>#INVALID COMPANY ID</v>
      </c>
      <c r="BD312" t="s">
        <v>1486</v>
      </c>
      <c r="BE312">
        <v>4948675</v>
      </c>
      <c r="BF312" t="s">
        <v>346</v>
      </c>
      <c r="BG312" s="11">
        <v>0</v>
      </c>
      <c r="BH312" s="9" t="str">
        <f>_xll.SNL.Clients.Office.Excel.Functions.SPG(BE312, "SP_COUNTRY_NAME")</f>
        <v>South Africa</v>
      </c>
      <c r="BM312" s="9" t="str">
        <f>_xll.SNL.Clients.Office.Excel.Functions.SPG(BJ312, "SP_COUNTRY_NAME")</f>
        <v>#INVALID COMPANY ID</v>
      </c>
      <c r="BN312" t="s">
        <v>897</v>
      </c>
      <c r="BO312">
        <v>19438254</v>
      </c>
      <c r="BP312" t="s">
        <v>346</v>
      </c>
      <c r="BQ312" s="11">
        <v>0</v>
      </c>
      <c r="BR312" s="9" t="str">
        <f>_xll.SNL.Clients.Office.Excel.Functions.SPG(BO312, "SP_COUNTRY_NAME")</f>
        <v>China</v>
      </c>
      <c r="BS312" t="s">
        <v>789</v>
      </c>
      <c r="BT312">
        <v>10169175</v>
      </c>
      <c r="BU312" t="s">
        <v>346</v>
      </c>
      <c r="BV312" s="11">
        <v>0</v>
      </c>
      <c r="BW312" s="9" t="str">
        <f>_xll.SNL.Clients.Office.Excel.Functions.SPG(BT312, "SP_COUNTRY_NAME")</f>
        <v>USA</v>
      </c>
      <c r="BX312" t="s">
        <v>866</v>
      </c>
      <c r="BY312">
        <v>5829542</v>
      </c>
      <c r="BZ312" t="s">
        <v>346</v>
      </c>
      <c r="CA312" s="11">
        <v>0</v>
      </c>
      <c r="CB312" s="9" t="str">
        <f>_xll.SNL.Clients.Office.Excel.Functions.SPG(BY312, "SP_COUNTRY_NAME")</f>
        <v>China</v>
      </c>
      <c r="CC312" t="s">
        <v>1766</v>
      </c>
      <c r="CD312">
        <v>4420105</v>
      </c>
      <c r="CE312" t="s">
        <v>346</v>
      </c>
      <c r="CF312" s="11">
        <v>0</v>
      </c>
      <c r="CG312" s="9" t="str">
        <f>_xll.SNL.Clients.Office.Excel.Functions.SPG(CD312, "SP_COUNTRY_NAME")</f>
        <v>Brazil</v>
      </c>
      <c r="CL312" s="9" t="str">
        <f>_xll.SNL.Clients.Office.Excel.Functions.SPG(CI312, "SP_COUNTRY_NAME")</f>
        <v>#INVALID COMPANY ID</v>
      </c>
      <c r="CM312" t="s">
        <v>2030</v>
      </c>
      <c r="CN312">
        <v>133155690</v>
      </c>
      <c r="CO312" t="s">
        <v>276</v>
      </c>
      <c r="CP312" s="11">
        <v>0</v>
      </c>
      <c r="CQ312" s="9" t="str">
        <f>_xll.SNL.Clients.Office.Excel.Functions.SPG(CN312, "SP_COUNTRY_NAME")</f>
        <v>#INVALID COMPANY ID</v>
      </c>
      <c r="CV312" s="9" t="str">
        <f>_xll.SNL.Clients.Office.Excel.Functions.SPG(CS312, "SP_COUNTRY_NAME")</f>
        <v>#INVALID COMPANY ID</v>
      </c>
      <c r="DA312" s="9" t="str">
        <f>_xll.SNL.Clients.Office.Excel.Functions.SPG(CX312, "SP_COUNTRY_NAME")</f>
        <v>#INVALID COMPANY ID</v>
      </c>
      <c r="DB312" t="s">
        <v>1486</v>
      </c>
      <c r="DC312">
        <v>4948675</v>
      </c>
      <c r="DD312" t="s">
        <v>346</v>
      </c>
      <c r="DE312" s="11">
        <v>0</v>
      </c>
      <c r="DF312" s="9" t="str">
        <f>_xll.SNL.Clients.Office.Excel.Functions.SPG(DC312, "SP_COUNTRY_NAME")</f>
        <v>South Africa</v>
      </c>
      <c r="DK312" s="9" t="str">
        <f>_xll.SNL.Clients.Office.Excel.Functions.SPG(DH312, "SP_COUNTRY_NAME")</f>
        <v>#INVALID COMPANY ID</v>
      </c>
      <c r="DL312" t="s">
        <v>1486</v>
      </c>
      <c r="DM312">
        <v>4948675</v>
      </c>
      <c r="DN312" t="s">
        <v>346</v>
      </c>
      <c r="DO312" s="11">
        <v>0</v>
      </c>
      <c r="DP312" s="9" t="str">
        <f>_xll.SNL.Clients.Office.Excel.Functions.SPG(DM312, "SP_COUNTRY_NAME")</f>
        <v>South Africa</v>
      </c>
      <c r="DU312" s="9" t="str">
        <f>_xll.SNL.Clients.Office.Excel.Functions.SPG(DR312, "SP_COUNTRY_NAME")</f>
        <v>#INVALID COMPANY ID</v>
      </c>
      <c r="DZ312" s="9" t="str">
        <f>_xll.SNL.Clients.Office.Excel.Functions.SPG(DW312, "SP_COUNTRY_NAME")</f>
        <v>#INVALID COMPANY ID</v>
      </c>
      <c r="EA312" t="s">
        <v>1766</v>
      </c>
      <c r="EB312">
        <v>4420105</v>
      </c>
      <c r="EC312" t="s">
        <v>346</v>
      </c>
      <c r="ED312" s="11">
        <v>0</v>
      </c>
      <c r="EE312" s="9" t="str">
        <f>_xll.SNL.Clients.Office.Excel.Functions.SPG(EB312, "SP_COUNTRY_NAME")</f>
        <v>Brazil</v>
      </c>
      <c r="EF312" t="s">
        <v>1486</v>
      </c>
      <c r="EG312">
        <v>4948675</v>
      </c>
      <c r="EH312" t="s">
        <v>346</v>
      </c>
      <c r="EI312" s="11">
        <v>0</v>
      </c>
      <c r="EJ312" s="9" t="str">
        <f>_xll.SNL.Clients.Office.Excel.Functions.SPG(EG312, "SP_COUNTRY_NAME")</f>
        <v>South Africa</v>
      </c>
      <c r="EO312" s="9" t="str">
        <f>_xll.SNL.Clients.Office.Excel.Functions.SPG(EL312, "SP_COUNTRY_NAME")</f>
        <v>#INVALID COMPANY ID</v>
      </c>
      <c r="ET312" s="9" t="str">
        <f>_xll.SNL.Clients.Office.Excel.Functions.SPG(EQ312, "SP_COUNTRY_NAME")</f>
        <v>#INVALID COMPANY ID</v>
      </c>
      <c r="EY312" s="9" t="str">
        <f>_xll.SNL.Clients.Office.Excel.Functions.SPG(EV312, "SP_COUNTRY_NAME")</f>
        <v>#INVALID COMPANY ID</v>
      </c>
      <c r="FD312" s="9" t="str">
        <f>_xll.SNL.Clients.Office.Excel.Functions.SPG(FA312, "SP_COUNTRY_NAME")</f>
        <v>#INVALID COMPANY ID</v>
      </c>
      <c r="FI312" s="9" t="str">
        <f>_xll.SNL.Clients.Office.Excel.Functions.SPG(FF312, "SP_COUNTRY_NAME")</f>
        <v>#INVALID COMPANY ID</v>
      </c>
      <c r="FN312" s="9" t="str">
        <f>_xll.SNL.Clients.Office.Excel.Functions.SPG(FK312, "SP_COUNTRY_NAME")</f>
        <v>#INVALID COMPANY ID</v>
      </c>
      <c r="FS312" s="9" t="str">
        <f>_xll.SNL.Clients.Office.Excel.Functions.SPG(FP312, "SP_COUNTRY_NAME")</f>
        <v>#INVALID COMPANY ID</v>
      </c>
      <c r="FX312" s="9" t="str">
        <f>_xll.SNL.Clients.Office.Excel.Functions.SPG(FU312, "SP_COUNTRY_NAME")</f>
        <v>#INVALID COMPANY ID</v>
      </c>
      <c r="FY312" t="s">
        <v>1486</v>
      </c>
      <c r="FZ312">
        <v>4948675</v>
      </c>
      <c r="GA312" t="s">
        <v>346</v>
      </c>
      <c r="GB312" s="11">
        <v>0</v>
      </c>
      <c r="GC312" s="9" t="str">
        <f>_xll.SNL.Clients.Office.Excel.Functions.SPG(FZ312, "SP_COUNTRY_NAME")</f>
        <v>South Africa</v>
      </c>
      <c r="GH312" s="9" t="str">
        <f>_xll.SNL.Clients.Office.Excel.Functions.SPG(GE312, "SP_COUNTRY_NAME")</f>
        <v>#INVALID COMPANY ID</v>
      </c>
      <c r="GM312" s="9" t="str">
        <f>_xll.SNL.Clients.Office.Excel.Functions.SPG(GJ312, "SP_COUNTRY_NAME")</f>
        <v>#INVALID COMPANY ID</v>
      </c>
      <c r="GR312" s="9" t="str">
        <f>_xll.SNL.Clients.Office.Excel.Functions.SPG(GO312, "SP_COUNTRY_NAME")</f>
        <v>#INVALID COMPANY ID</v>
      </c>
      <c r="GS312" t="s">
        <v>897</v>
      </c>
      <c r="GT312">
        <v>19438254</v>
      </c>
      <c r="GU312" t="s">
        <v>346</v>
      </c>
      <c r="GV312" s="11">
        <v>0</v>
      </c>
      <c r="GW312" s="9" t="str">
        <f>_xll.SNL.Clients.Office.Excel.Functions.SPG(GT312, "SP_COUNTRY_NAME")</f>
        <v>China</v>
      </c>
      <c r="GX312" t="s">
        <v>1766</v>
      </c>
      <c r="GY312">
        <v>4420105</v>
      </c>
      <c r="GZ312" t="s">
        <v>346</v>
      </c>
      <c r="HA312" s="11">
        <v>0</v>
      </c>
      <c r="HB312" s="9" t="str">
        <f>_xll.SNL.Clients.Office.Excel.Functions.SPG(GY312, "SP_COUNTRY_NAME")</f>
        <v>Brazil</v>
      </c>
      <c r="HG312" s="9" t="str">
        <f>_xll.SNL.Clients.Office.Excel.Functions.SPG(HD312, "SP_COUNTRY_NAME")</f>
        <v>#INVALID COMPANY ID</v>
      </c>
    </row>
    <row r="313" spans="5:215" x14ac:dyDescent="0.35">
      <c r="E313" s="9" t="str">
        <f>_xll.SNL.Clients.Office.Excel.Functions.SPG(B313, "SP_COUNTRY_NAME")</f>
        <v>#INVALID COMPANY ID</v>
      </c>
      <c r="J313" s="9" t="str">
        <f>_xll.SNL.Clients.Office.Excel.Functions.SPG(G313, "SP_COUNTRY_NAME")</f>
        <v>#INVALID COMPANY ID</v>
      </c>
      <c r="O313" s="9" t="str">
        <f>_xll.SNL.Clients.Office.Excel.Functions.SPG(L313, "SP_COUNTRY_NAME")</f>
        <v>#INVALID COMPANY ID</v>
      </c>
      <c r="T313" s="9" t="str">
        <f>_xll.SNL.Clients.Office.Excel.Functions.SPG(Q313, "SP_COUNTRY_NAME")</f>
        <v>#INVALID COMPANY ID</v>
      </c>
      <c r="U313" t="s">
        <v>533</v>
      </c>
      <c r="V313">
        <v>4377155</v>
      </c>
      <c r="W313" t="s">
        <v>346</v>
      </c>
      <c r="X313" s="11">
        <v>0</v>
      </c>
      <c r="Y313" s="9" t="str">
        <f>_xll.SNL.Clients.Office.Excel.Functions.SPG(V313, "SP_COUNTRY_NAME")</f>
        <v>Belgium</v>
      </c>
      <c r="AD313" s="9" t="str">
        <f>_xll.SNL.Clients.Office.Excel.Functions.SPG(AA313, "SP_COUNTRY_NAME")</f>
        <v>#INVALID COMPANY ID</v>
      </c>
      <c r="AI313" s="9" t="str">
        <f>_xll.SNL.Clients.Office.Excel.Functions.SPG(AF313, "SP_COUNTRY_NAME")</f>
        <v>#INVALID COMPANY ID</v>
      </c>
      <c r="AN313" s="9" t="str">
        <f>_xll.SNL.Clients.Office.Excel.Functions.SPG(AK313, "SP_COUNTRY_NAME")</f>
        <v>#INVALID COMPANY ID</v>
      </c>
      <c r="AS313" s="9" t="str">
        <f>_xll.SNL.Clients.Office.Excel.Functions.SPG(AP313, "SP_COUNTRY_NAME")</f>
        <v>#INVALID COMPANY ID</v>
      </c>
      <c r="AX313" s="9" t="str">
        <f>_xll.SNL.Clients.Office.Excel.Functions.SPG(AU313, "SP_COUNTRY_NAME")</f>
        <v>#INVALID COMPANY ID</v>
      </c>
      <c r="BC313" s="9" t="str">
        <f>_xll.SNL.Clients.Office.Excel.Functions.SPG(AZ313, "SP_COUNTRY_NAME")</f>
        <v>#INVALID COMPANY ID</v>
      </c>
      <c r="BD313" t="s">
        <v>462</v>
      </c>
      <c r="BE313">
        <v>109872</v>
      </c>
      <c r="BF313" t="s">
        <v>346</v>
      </c>
      <c r="BG313" s="11">
        <v>0</v>
      </c>
      <c r="BH313" s="9" t="str">
        <f>_xll.SNL.Clients.Office.Excel.Functions.SPG(BE313, "SP_COUNTRY_NAME")</f>
        <v>USA</v>
      </c>
      <c r="BM313" s="9" t="str">
        <f>_xll.SNL.Clients.Office.Excel.Functions.SPG(BJ313, "SP_COUNTRY_NAME")</f>
        <v>#INVALID COMPANY ID</v>
      </c>
      <c r="BN313" t="s">
        <v>413</v>
      </c>
      <c r="BO313">
        <v>4114882</v>
      </c>
      <c r="BP313" t="s">
        <v>346</v>
      </c>
      <c r="BQ313" s="11">
        <v>0</v>
      </c>
      <c r="BR313" s="9" t="str">
        <f>_xll.SNL.Clients.Office.Excel.Functions.SPG(BO313, "SP_COUNTRY_NAME")</f>
        <v>Canada</v>
      </c>
      <c r="BS313" t="s">
        <v>811</v>
      </c>
      <c r="BT313">
        <v>4240414</v>
      </c>
      <c r="BU313" t="s">
        <v>346</v>
      </c>
      <c r="BV313" s="11">
        <v>0</v>
      </c>
      <c r="BW313" s="9" t="str">
        <f>_xll.SNL.Clients.Office.Excel.Functions.SPG(BT313, "SP_COUNTRY_NAME")</f>
        <v>Taiwan</v>
      </c>
      <c r="BX313" t="s">
        <v>533</v>
      </c>
      <c r="BY313">
        <v>4377155</v>
      </c>
      <c r="BZ313" t="s">
        <v>346</v>
      </c>
      <c r="CA313" s="11">
        <v>0</v>
      </c>
      <c r="CB313" s="9" t="str">
        <f>_xll.SNL.Clients.Office.Excel.Functions.SPG(BY313, "SP_COUNTRY_NAME")</f>
        <v>Belgium</v>
      </c>
      <c r="CC313" t="s">
        <v>1767</v>
      </c>
      <c r="CD313">
        <v>7168394</v>
      </c>
      <c r="CE313" t="s">
        <v>346</v>
      </c>
      <c r="CF313" s="11">
        <v>0</v>
      </c>
      <c r="CG313" s="9" t="str">
        <f>_xll.SNL.Clients.Office.Excel.Functions.SPG(CD313, "SP_COUNTRY_NAME")</f>
        <v>Brazil</v>
      </c>
      <c r="CL313" s="9" t="str">
        <f>_xll.SNL.Clients.Office.Excel.Functions.SPG(CI313, "SP_COUNTRY_NAME")</f>
        <v>#INVALID COMPANY ID</v>
      </c>
      <c r="CM313" t="s">
        <v>2031</v>
      </c>
      <c r="CN313">
        <v>4253405</v>
      </c>
      <c r="CO313" t="s">
        <v>346</v>
      </c>
      <c r="CP313" s="11">
        <v>0</v>
      </c>
      <c r="CQ313" s="9" t="str">
        <f>_xll.SNL.Clients.Office.Excel.Functions.SPG(CN313, "SP_COUNTRY_NAME")</f>
        <v>Japan</v>
      </c>
      <c r="CV313" s="9" t="str">
        <f>_xll.SNL.Clients.Office.Excel.Functions.SPG(CS313, "SP_COUNTRY_NAME")</f>
        <v>#INVALID COMPANY ID</v>
      </c>
      <c r="DA313" s="9" t="str">
        <f>_xll.SNL.Clients.Office.Excel.Functions.SPG(CX313, "SP_COUNTRY_NAME")</f>
        <v>#INVALID COMPANY ID</v>
      </c>
      <c r="DB313" t="s">
        <v>462</v>
      </c>
      <c r="DC313">
        <v>109872</v>
      </c>
      <c r="DD313" t="s">
        <v>346</v>
      </c>
      <c r="DE313" s="11">
        <v>0</v>
      </c>
      <c r="DF313" s="9" t="str">
        <f>_xll.SNL.Clients.Office.Excel.Functions.SPG(DC313, "SP_COUNTRY_NAME")</f>
        <v>USA</v>
      </c>
      <c r="DK313" s="9" t="str">
        <f>_xll.SNL.Clients.Office.Excel.Functions.SPG(DH313, "SP_COUNTRY_NAME")</f>
        <v>#INVALID COMPANY ID</v>
      </c>
      <c r="DL313" t="s">
        <v>462</v>
      </c>
      <c r="DM313">
        <v>109872</v>
      </c>
      <c r="DN313" t="s">
        <v>346</v>
      </c>
      <c r="DO313" s="11">
        <v>0</v>
      </c>
      <c r="DP313" s="9" t="str">
        <f>_xll.SNL.Clients.Office.Excel.Functions.SPG(DM313, "SP_COUNTRY_NAME")</f>
        <v>USA</v>
      </c>
      <c r="DU313" s="9" t="str">
        <f>_xll.SNL.Clients.Office.Excel.Functions.SPG(DR313, "SP_COUNTRY_NAME")</f>
        <v>#INVALID COMPANY ID</v>
      </c>
      <c r="DZ313" s="9" t="str">
        <f>_xll.SNL.Clients.Office.Excel.Functions.SPG(DW313, "SP_COUNTRY_NAME")</f>
        <v>#INVALID COMPANY ID</v>
      </c>
      <c r="EA313" t="s">
        <v>1767</v>
      </c>
      <c r="EB313">
        <v>7168394</v>
      </c>
      <c r="EC313" t="s">
        <v>346</v>
      </c>
      <c r="ED313" s="11">
        <v>0</v>
      </c>
      <c r="EE313" s="9" t="str">
        <f>_xll.SNL.Clients.Office.Excel.Functions.SPG(EB313, "SP_COUNTRY_NAME")</f>
        <v>Brazil</v>
      </c>
      <c r="EF313" t="s">
        <v>462</v>
      </c>
      <c r="EG313">
        <v>109872</v>
      </c>
      <c r="EH313" t="s">
        <v>346</v>
      </c>
      <c r="EI313" s="11">
        <v>0</v>
      </c>
      <c r="EJ313" s="9" t="str">
        <f>_xll.SNL.Clients.Office.Excel.Functions.SPG(EG313, "SP_COUNTRY_NAME")</f>
        <v>USA</v>
      </c>
      <c r="EO313" s="9" t="str">
        <f>_xll.SNL.Clients.Office.Excel.Functions.SPG(EL313, "SP_COUNTRY_NAME")</f>
        <v>#INVALID COMPANY ID</v>
      </c>
      <c r="ET313" s="9" t="str">
        <f>_xll.SNL.Clients.Office.Excel.Functions.SPG(EQ313, "SP_COUNTRY_NAME")</f>
        <v>#INVALID COMPANY ID</v>
      </c>
      <c r="EY313" s="9" t="str">
        <f>_xll.SNL.Clients.Office.Excel.Functions.SPG(EV313, "SP_COUNTRY_NAME")</f>
        <v>#INVALID COMPANY ID</v>
      </c>
      <c r="FD313" s="9" t="str">
        <f>_xll.SNL.Clients.Office.Excel.Functions.SPG(FA313, "SP_COUNTRY_NAME")</f>
        <v>#INVALID COMPANY ID</v>
      </c>
      <c r="FI313" s="9" t="str">
        <f>_xll.SNL.Clients.Office.Excel.Functions.SPG(FF313, "SP_COUNTRY_NAME")</f>
        <v>#INVALID COMPANY ID</v>
      </c>
      <c r="FN313" s="9" t="str">
        <f>_xll.SNL.Clients.Office.Excel.Functions.SPG(FK313, "SP_COUNTRY_NAME")</f>
        <v>#INVALID COMPANY ID</v>
      </c>
      <c r="FS313" s="9" t="str">
        <f>_xll.SNL.Clients.Office.Excel.Functions.SPG(FP313, "SP_COUNTRY_NAME")</f>
        <v>#INVALID COMPANY ID</v>
      </c>
      <c r="FX313" s="9" t="str">
        <f>_xll.SNL.Clients.Office.Excel.Functions.SPG(FU313, "SP_COUNTRY_NAME")</f>
        <v>#INVALID COMPANY ID</v>
      </c>
      <c r="FY313" t="s">
        <v>462</v>
      </c>
      <c r="FZ313">
        <v>109872</v>
      </c>
      <c r="GA313" t="s">
        <v>346</v>
      </c>
      <c r="GB313" s="11">
        <v>0</v>
      </c>
      <c r="GC313" s="9" t="str">
        <f>_xll.SNL.Clients.Office.Excel.Functions.SPG(FZ313, "SP_COUNTRY_NAME")</f>
        <v>USA</v>
      </c>
      <c r="GH313" s="9" t="str">
        <f>_xll.SNL.Clients.Office.Excel.Functions.SPG(GE313, "SP_COUNTRY_NAME")</f>
        <v>#INVALID COMPANY ID</v>
      </c>
      <c r="GM313" s="9" t="str">
        <f>_xll.SNL.Clients.Office.Excel.Functions.SPG(GJ313, "SP_COUNTRY_NAME")</f>
        <v>#INVALID COMPANY ID</v>
      </c>
      <c r="GR313" s="9" t="str">
        <f>_xll.SNL.Clients.Office.Excel.Functions.SPG(GO313, "SP_COUNTRY_NAME")</f>
        <v>#INVALID COMPANY ID</v>
      </c>
      <c r="GS313" t="s">
        <v>413</v>
      </c>
      <c r="GT313">
        <v>4114882</v>
      </c>
      <c r="GU313" t="s">
        <v>346</v>
      </c>
      <c r="GV313" s="11">
        <v>0</v>
      </c>
      <c r="GW313" s="9" t="str">
        <f>_xll.SNL.Clients.Office.Excel.Functions.SPG(GT313, "SP_COUNTRY_NAME")</f>
        <v>Canada</v>
      </c>
      <c r="GX313" t="s">
        <v>1767</v>
      </c>
      <c r="GY313">
        <v>7168394</v>
      </c>
      <c r="GZ313" t="s">
        <v>346</v>
      </c>
      <c r="HA313" s="11">
        <v>0</v>
      </c>
      <c r="HB313" s="9" t="str">
        <f>_xll.SNL.Clients.Office.Excel.Functions.SPG(GY313, "SP_COUNTRY_NAME")</f>
        <v>Brazil</v>
      </c>
      <c r="HG313" s="9" t="str">
        <f>_xll.SNL.Clients.Office.Excel.Functions.SPG(HD313, "SP_COUNTRY_NAME")</f>
        <v>#INVALID COMPANY ID</v>
      </c>
    </row>
    <row r="314" spans="5:215" x14ac:dyDescent="0.35">
      <c r="E314" s="9" t="str">
        <f>_xll.SNL.Clients.Office.Excel.Functions.SPG(B314, "SP_COUNTRY_NAME")</f>
        <v>#INVALID COMPANY ID</v>
      </c>
      <c r="J314" s="9" t="str">
        <f>_xll.SNL.Clients.Office.Excel.Functions.SPG(G314, "SP_COUNTRY_NAME")</f>
        <v>#INVALID COMPANY ID</v>
      </c>
      <c r="O314" s="9" t="str">
        <f>_xll.SNL.Clients.Office.Excel.Functions.SPG(L314, "SP_COUNTRY_NAME")</f>
        <v>#INVALID COMPANY ID</v>
      </c>
      <c r="T314" s="9" t="str">
        <f>_xll.SNL.Clients.Office.Excel.Functions.SPG(Q314, "SP_COUNTRY_NAME")</f>
        <v>#INVALID COMPANY ID</v>
      </c>
      <c r="U314" t="s">
        <v>867</v>
      </c>
      <c r="V314">
        <v>4557386</v>
      </c>
      <c r="W314" t="s">
        <v>346</v>
      </c>
      <c r="X314" s="11">
        <v>0</v>
      </c>
      <c r="Y314" s="9" t="str">
        <f>_xll.SNL.Clients.Office.Excel.Functions.SPG(V314, "SP_COUNTRY_NAME")</f>
        <v>China</v>
      </c>
      <c r="AD314" s="9" t="str">
        <f>_xll.SNL.Clients.Office.Excel.Functions.SPG(AA314, "SP_COUNTRY_NAME")</f>
        <v>#INVALID COMPANY ID</v>
      </c>
      <c r="AI314" s="9" t="str">
        <f>_xll.SNL.Clients.Office.Excel.Functions.SPG(AF314, "SP_COUNTRY_NAME")</f>
        <v>#INVALID COMPANY ID</v>
      </c>
      <c r="AN314" s="9" t="str">
        <f>_xll.SNL.Clients.Office.Excel.Functions.SPG(AK314, "SP_COUNTRY_NAME")</f>
        <v>#INVALID COMPANY ID</v>
      </c>
      <c r="AS314" s="9" t="str">
        <f>_xll.SNL.Clients.Office.Excel.Functions.SPG(AP314, "SP_COUNTRY_NAME")</f>
        <v>#INVALID COMPANY ID</v>
      </c>
      <c r="AX314" s="9" t="str">
        <f>_xll.SNL.Clients.Office.Excel.Functions.SPG(AU314, "SP_COUNTRY_NAME")</f>
        <v>#INVALID COMPANY ID</v>
      </c>
      <c r="BC314" s="9" t="str">
        <f>_xll.SNL.Clients.Office.Excel.Functions.SPG(AZ314, "SP_COUNTRY_NAME")</f>
        <v>#INVALID COMPANY ID</v>
      </c>
      <c r="BD314" t="s">
        <v>1487</v>
      </c>
      <c r="BE314">
        <v>4150521</v>
      </c>
      <c r="BF314" t="s">
        <v>366</v>
      </c>
      <c r="BG314" s="11">
        <v>0</v>
      </c>
      <c r="BH314" s="9" t="str">
        <f>_xll.SNL.Clients.Office.Excel.Functions.SPG(BE314, "SP_COUNTRY_NAME")</f>
        <v>Germany</v>
      </c>
      <c r="BM314" s="9" t="str">
        <f>_xll.SNL.Clients.Office.Excel.Functions.SPG(BJ314, "SP_COUNTRY_NAME")</f>
        <v>#INVALID COMPANY ID</v>
      </c>
      <c r="BN314" t="s">
        <v>861</v>
      </c>
      <c r="BO314">
        <v>5823548</v>
      </c>
      <c r="BP314" t="s">
        <v>346</v>
      </c>
      <c r="BQ314" s="11">
        <v>0</v>
      </c>
      <c r="BR314" s="9" t="str">
        <f>_xll.SNL.Clients.Office.Excel.Functions.SPG(BO314, "SP_COUNTRY_NAME")</f>
        <v>China</v>
      </c>
      <c r="BS314" t="s">
        <v>800</v>
      </c>
      <c r="BT314">
        <v>5883563</v>
      </c>
      <c r="BU314" t="s">
        <v>346</v>
      </c>
      <c r="BV314" s="11">
        <v>0</v>
      </c>
      <c r="BW314" s="9" t="str">
        <f>_xll.SNL.Clients.Office.Excel.Functions.SPG(BT314, "SP_COUNTRY_NAME")</f>
        <v>China</v>
      </c>
      <c r="BX314" t="s">
        <v>867</v>
      </c>
      <c r="BY314">
        <v>4557386</v>
      </c>
      <c r="BZ314" t="s">
        <v>346</v>
      </c>
      <c r="CA314" s="11">
        <v>0</v>
      </c>
      <c r="CB314" s="9" t="str">
        <f>_xll.SNL.Clients.Office.Excel.Functions.SPG(BY314, "SP_COUNTRY_NAME")</f>
        <v>China</v>
      </c>
      <c r="CC314" t="s">
        <v>1768</v>
      </c>
      <c r="CD314">
        <v>4853792</v>
      </c>
      <c r="CE314" t="s">
        <v>366</v>
      </c>
      <c r="CF314" s="11">
        <v>0</v>
      </c>
      <c r="CG314" s="9" t="str">
        <f>_xll.SNL.Clients.Office.Excel.Functions.SPG(CD314, "SP_COUNTRY_NAME")</f>
        <v>United Kingdom</v>
      </c>
      <c r="CL314" s="9" t="str">
        <f>_xll.SNL.Clients.Office.Excel.Functions.SPG(CI314, "SP_COUNTRY_NAME")</f>
        <v>#INVALID COMPANY ID</v>
      </c>
      <c r="CM314" t="s">
        <v>2032</v>
      </c>
      <c r="CN314">
        <v>4773613</v>
      </c>
      <c r="CO314" t="s">
        <v>346</v>
      </c>
      <c r="CP314" s="11">
        <v>0</v>
      </c>
      <c r="CQ314" s="9" t="str">
        <f>_xll.SNL.Clients.Office.Excel.Functions.SPG(CN314, "SP_COUNTRY_NAME")</f>
        <v>Chile</v>
      </c>
      <c r="CV314" s="9" t="str">
        <f>_xll.SNL.Clients.Office.Excel.Functions.SPG(CS314, "SP_COUNTRY_NAME")</f>
        <v>#INVALID COMPANY ID</v>
      </c>
      <c r="DA314" s="9" t="str">
        <f>_xll.SNL.Clients.Office.Excel.Functions.SPG(CX314, "SP_COUNTRY_NAME")</f>
        <v>#INVALID COMPANY ID</v>
      </c>
      <c r="DB314" t="s">
        <v>1487</v>
      </c>
      <c r="DC314">
        <v>4150521</v>
      </c>
      <c r="DD314" t="s">
        <v>366</v>
      </c>
      <c r="DE314" s="11">
        <v>0</v>
      </c>
      <c r="DF314" s="9" t="str">
        <f>_xll.SNL.Clients.Office.Excel.Functions.SPG(DC314, "SP_COUNTRY_NAME")</f>
        <v>Germany</v>
      </c>
      <c r="DK314" s="9" t="str">
        <f>_xll.SNL.Clients.Office.Excel.Functions.SPG(DH314, "SP_COUNTRY_NAME")</f>
        <v>#INVALID COMPANY ID</v>
      </c>
      <c r="DL314" t="s">
        <v>1487</v>
      </c>
      <c r="DM314">
        <v>4150521</v>
      </c>
      <c r="DN314" t="s">
        <v>366</v>
      </c>
      <c r="DO314" s="11">
        <v>0</v>
      </c>
      <c r="DP314" s="9" t="str">
        <f>_xll.SNL.Clients.Office.Excel.Functions.SPG(DM314, "SP_COUNTRY_NAME")</f>
        <v>Germany</v>
      </c>
      <c r="DU314" s="9" t="str">
        <f>_xll.SNL.Clients.Office.Excel.Functions.SPG(DR314, "SP_COUNTRY_NAME")</f>
        <v>#INVALID COMPANY ID</v>
      </c>
      <c r="DZ314" s="9" t="str">
        <f>_xll.SNL.Clients.Office.Excel.Functions.SPG(DW314, "SP_COUNTRY_NAME")</f>
        <v>#INVALID COMPANY ID</v>
      </c>
      <c r="EA314" t="s">
        <v>1768</v>
      </c>
      <c r="EB314">
        <v>4853792</v>
      </c>
      <c r="EC314" t="s">
        <v>366</v>
      </c>
      <c r="ED314" s="11">
        <v>0</v>
      </c>
      <c r="EE314" s="9" t="str">
        <f>_xll.SNL.Clients.Office.Excel.Functions.SPG(EB314, "SP_COUNTRY_NAME")</f>
        <v>United Kingdom</v>
      </c>
      <c r="EF314" t="s">
        <v>1487</v>
      </c>
      <c r="EG314">
        <v>4150521</v>
      </c>
      <c r="EH314" t="s">
        <v>366</v>
      </c>
      <c r="EI314" s="11">
        <v>0</v>
      </c>
      <c r="EJ314" s="9" t="str">
        <f>_xll.SNL.Clients.Office.Excel.Functions.SPG(EG314, "SP_COUNTRY_NAME")</f>
        <v>Germany</v>
      </c>
      <c r="EO314" s="9" t="str">
        <f>_xll.SNL.Clients.Office.Excel.Functions.SPG(EL314, "SP_COUNTRY_NAME")</f>
        <v>#INVALID COMPANY ID</v>
      </c>
      <c r="ET314" s="9" t="str">
        <f>_xll.SNL.Clients.Office.Excel.Functions.SPG(EQ314, "SP_COUNTRY_NAME")</f>
        <v>#INVALID COMPANY ID</v>
      </c>
      <c r="EY314" s="9" t="str">
        <f>_xll.SNL.Clients.Office.Excel.Functions.SPG(EV314, "SP_COUNTRY_NAME")</f>
        <v>#INVALID COMPANY ID</v>
      </c>
      <c r="FD314" s="9" t="str">
        <f>_xll.SNL.Clients.Office.Excel.Functions.SPG(FA314, "SP_COUNTRY_NAME")</f>
        <v>#INVALID COMPANY ID</v>
      </c>
      <c r="FI314" s="9" t="str">
        <f>_xll.SNL.Clients.Office.Excel.Functions.SPG(FF314, "SP_COUNTRY_NAME")</f>
        <v>#INVALID COMPANY ID</v>
      </c>
      <c r="FN314" s="9" t="str">
        <f>_xll.SNL.Clients.Office.Excel.Functions.SPG(FK314, "SP_COUNTRY_NAME")</f>
        <v>#INVALID COMPANY ID</v>
      </c>
      <c r="FS314" s="9" t="str">
        <f>_xll.SNL.Clients.Office.Excel.Functions.SPG(FP314, "SP_COUNTRY_NAME")</f>
        <v>#INVALID COMPANY ID</v>
      </c>
      <c r="FX314" s="9" t="str">
        <f>_xll.SNL.Clients.Office.Excel.Functions.SPG(FU314, "SP_COUNTRY_NAME")</f>
        <v>#INVALID COMPANY ID</v>
      </c>
      <c r="FY314" t="s">
        <v>1487</v>
      </c>
      <c r="FZ314">
        <v>4150521</v>
      </c>
      <c r="GA314" t="s">
        <v>366</v>
      </c>
      <c r="GB314" s="11">
        <v>0</v>
      </c>
      <c r="GC314" s="9" t="str">
        <f>_xll.SNL.Clients.Office.Excel.Functions.SPG(FZ314, "SP_COUNTRY_NAME")</f>
        <v>Germany</v>
      </c>
      <c r="GH314" s="9" t="str">
        <f>_xll.SNL.Clients.Office.Excel.Functions.SPG(GE314, "SP_COUNTRY_NAME")</f>
        <v>#INVALID COMPANY ID</v>
      </c>
      <c r="GM314" s="9" t="str">
        <f>_xll.SNL.Clients.Office.Excel.Functions.SPG(GJ314, "SP_COUNTRY_NAME")</f>
        <v>#INVALID COMPANY ID</v>
      </c>
      <c r="GR314" s="9" t="str">
        <f>_xll.SNL.Clients.Office.Excel.Functions.SPG(GO314, "SP_COUNTRY_NAME")</f>
        <v>#INVALID COMPANY ID</v>
      </c>
      <c r="GS314" t="s">
        <v>861</v>
      </c>
      <c r="GT314">
        <v>5823548</v>
      </c>
      <c r="GU314" t="s">
        <v>346</v>
      </c>
      <c r="GV314" s="11">
        <v>0</v>
      </c>
      <c r="GW314" s="9" t="str">
        <f>_xll.SNL.Clients.Office.Excel.Functions.SPG(GT314, "SP_COUNTRY_NAME")</f>
        <v>China</v>
      </c>
      <c r="GX314" t="s">
        <v>1768</v>
      </c>
      <c r="GY314">
        <v>4853792</v>
      </c>
      <c r="GZ314" t="s">
        <v>366</v>
      </c>
      <c r="HA314" s="11">
        <v>0</v>
      </c>
      <c r="HB314" s="9" t="str">
        <f>_xll.SNL.Clients.Office.Excel.Functions.SPG(GY314, "SP_COUNTRY_NAME")</f>
        <v>United Kingdom</v>
      </c>
      <c r="HG314" s="9" t="str">
        <f>_xll.SNL.Clients.Office.Excel.Functions.SPG(HD314, "SP_COUNTRY_NAME")</f>
        <v>#INVALID COMPANY ID</v>
      </c>
    </row>
    <row r="315" spans="5:215" x14ac:dyDescent="0.35">
      <c r="E315" s="9" t="str">
        <f>_xll.SNL.Clients.Office.Excel.Functions.SPG(B315, "SP_COUNTRY_NAME")</f>
        <v>#INVALID COMPANY ID</v>
      </c>
      <c r="J315" s="9" t="str">
        <f>_xll.SNL.Clients.Office.Excel.Functions.SPG(G315, "SP_COUNTRY_NAME")</f>
        <v>#INVALID COMPANY ID</v>
      </c>
      <c r="O315" s="9" t="str">
        <f>_xll.SNL.Clients.Office.Excel.Functions.SPG(L315, "SP_COUNTRY_NAME")</f>
        <v>#INVALID COMPANY ID</v>
      </c>
      <c r="T315" s="9" t="str">
        <f>_xll.SNL.Clients.Office.Excel.Functions.SPG(Q315, "SP_COUNTRY_NAME")</f>
        <v>#INVALID COMPANY ID</v>
      </c>
      <c r="U315" t="s">
        <v>868</v>
      </c>
      <c r="V315">
        <v>4138374</v>
      </c>
      <c r="W315" t="s">
        <v>346</v>
      </c>
      <c r="X315" s="11">
        <v>0</v>
      </c>
      <c r="Y315" s="9" t="str">
        <f>_xll.SNL.Clients.Office.Excel.Functions.SPG(V315, "SP_COUNTRY_NAME")</f>
        <v>Japan</v>
      </c>
      <c r="AD315" s="9" t="str">
        <f>_xll.SNL.Clients.Office.Excel.Functions.SPG(AA315, "SP_COUNTRY_NAME")</f>
        <v>#INVALID COMPANY ID</v>
      </c>
      <c r="AI315" s="9" t="str">
        <f>_xll.SNL.Clients.Office.Excel.Functions.SPG(AF315, "SP_COUNTRY_NAME")</f>
        <v>#INVALID COMPANY ID</v>
      </c>
      <c r="AN315" s="9" t="str">
        <f>_xll.SNL.Clients.Office.Excel.Functions.SPG(AK315, "SP_COUNTRY_NAME")</f>
        <v>#INVALID COMPANY ID</v>
      </c>
      <c r="AS315" s="9" t="str">
        <f>_xll.SNL.Clients.Office.Excel.Functions.SPG(AP315, "SP_COUNTRY_NAME")</f>
        <v>#INVALID COMPANY ID</v>
      </c>
      <c r="AX315" s="9" t="str">
        <f>_xll.SNL.Clients.Office.Excel.Functions.SPG(AU315, "SP_COUNTRY_NAME")</f>
        <v>#INVALID COMPANY ID</v>
      </c>
      <c r="BC315" s="9" t="str">
        <f>_xll.SNL.Clients.Office.Excel.Functions.SPG(AZ315, "SP_COUNTRY_NAME")</f>
        <v>#INVALID COMPANY ID</v>
      </c>
      <c r="BD315" t="s">
        <v>500</v>
      </c>
      <c r="BE315">
        <v>4048185</v>
      </c>
      <c r="BF315" t="s">
        <v>346</v>
      </c>
      <c r="BG315" s="11">
        <v>0</v>
      </c>
      <c r="BH315" s="9" t="str">
        <f>_xll.SNL.Clients.Office.Excel.Functions.SPG(BE315, "SP_COUNTRY_NAME")</f>
        <v>USA</v>
      </c>
      <c r="BM315" s="9" t="str">
        <f>_xll.SNL.Clients.Office.Excel.Functions.SPG(BJ315, "SP_COUNTRY_NAME")</f>
        <v>#INVALID COMPANY ID</v>
      </c>
      <c r="BN315" t="s">
        <v>865</v>
      </c>
      <c r="BO315">
        <v>4669111</v>
      </c>
      <c r="BP315" t="s">
        <v>346</v>
      </c>
      <c r="BQ315" s="11">
        <v>0</v>
      </c>
      <c r="BR315" s="9" t="str">
        <f>_xll.SNL.Clients.Office.Excel.Functions.SPG(BO315, "SP_COUNTRY_NAME")</f>
        <v>China</v>
      </c>
      <c r="BS315" t="s">
        <v>1018</v>
      </c>
      <c r="BT315">
        <v>4117563</v>
      </c>
      <c r="BU315" t="s">
        <v>346</v>
      </c>
      <c r="BV315" s="11">
        <v>0</v>
      </c>
      <c r="BW315" s="9" t="str">
        <f>_xll.SNL.Clients.Office.Excel.Functions.SPG(BT315, "SP_COUNTRY_NAME")</f>
        <v>USA</v>
      </c>
      <c r="BX315" t="s">
        <v>868</v>
      </c>
      <c r="BY315">
        <v>4138374</v>
      </c>
      <c r="BZ315" t="s">
        <v>346</v>
      </c>
      <c r="CA315" s="11">
        <v>0</v>
      </c>
      <c r="CB315" s="9" t="str">
        <f>_xll.SNL.Clients.Office.Excel.Functions.SPG(BY315, "SP_COUNTRY_NAME")</f>
        <v>Japan</v>
      </c>
      <c r="CC315" t="s">
        <v>782</v>
      </c>
      <c r="CD315">
        <v>4138745</v>
      </c>
      <c r="CE315" t="s">
        <v>346</v>
      </c>
      <c r="CF315" s="11">
        <v>0</v>
      </c>
      <c r="CG315" s="9" t="str">
        <f>_xll.SNL.Clients.Office.Excel.Functions.SPG(CD315, "SP_COUNTRY_NAME")</f>
        <v>Singapore</v>
      </c>
      <c r="CL315" s="9" t="str">
        <f>_xll.SNL.Clients.Office.Excel.Functions.SPG(CI315, "SP_COUNTRY_NAME")</f>
        <v>#INVALID COMPANY ID</v>
      </c>
      <c r="CM315" t="s">
        <v>2033</v>
      </c>
      <c r="CN315">
        <v>4255310</v>
      </c>
      <c r="CO315" t="s">
        <v>365</v>
      </c>
      <c r="CP315" s="11">
        <v>0</v>
      </c>
      <c r="CQ315" s="9" t="str">
        <f>_xll.SNL.Clients.Office.Excel.Functions.SPG(CN315, "SP_COUNTRY_NAME")</f>
        <v>USA</v>
      </c>
      <c r="CV315" s="9" t="str">
        <f>_xll.SNL.Clients.Office.Excel.Functions.SPG(CS315, "SP_COUNTRY_NAME")</f>
        <v>#INVALID COMPANY ID</v>
      </c>
      <c r="DA315" s="9" t="str">
        <f>_xll.SNL.Clients.Office.Excel.Functions.SPG(CX315, "SP_COUNTRY_NAME")</f>
        <v>#INVALID COMPANY ID</v>
      </c>
      <c r="DB315" t="s">
        <v>500</v>
      </c>
      <c r="DC315">
        <v>4048185</v>
      </c>
      <c r="DD315" t="s">
        <v>346</v>
      </c>
      <c r="DE315" s="11">
        <v>0</v>
      </c>
      <c r="DF315" s="9" t="str">
        <f>_xll.SNL.Clients.Office.Excel.Functions.SPG(DC315, "SP_COUNTRY_NAME")</f>
        <v>USA</v>
      </c>
      <c r="DK315" s="9" t="str">
        <f>_xll.SNL.Clients.Office.Excel.Functions.SPG(DH315, "SP_COUNTRY_NAME")</f>
        <v>#INVALID COMPANY ID</v>
      </c>
      <c r="DL315" t="s">
        <v>500</v>
      </c>
      <c r="DM315">
        <v>4048185</v>
      </c>
      <c r="DN315" t="s">
        <v>346</v>
      </c>
      <c r="DO315" s="11">
        <v>0</v>
      </c>
      <c r="DP315" s="9" t="str">
        <f>_xll.SNL.Clients.Office.Excel.Functions.SPG(DM315, "SP_COUNTRY_NAME")</f>
        <v>USA</v>
      </c>
      <c r="DU315" s="9" t="str">
        <f>_xll.SNL.Clients.Office.Excel.Functions.SPG(DR315, "SP_COUNTRY_NAME")</f>
        <v>#INVALID COMPANY ID</v>
      </c>
      <c r="DZ315" s="9" t="str">
        <f>_xll.SNL.Clients.Office.Excel.Functions.SPG(DW315, "SP_COUNTRY_NAME")</f>
        <v>#INVALID COMPANY ID</v>
      </c>
      <c r="EA315" t="s">
        <v>782</v>
      </c>
      <c r="EB315">
        <v>4138745</v>
      </c>
      <c r="EC315" t="s">
        <v>346</v>
      </c>
      <c r="ED315" s="11">
        <v>0</v>
      </c>
      <c r="EE315" s="9" t="str">
        <f>_xll.SNL.Clients.Office.Excel.Functions.SPG(EB315, "SP_COUNTRY_NAME")</f>
        <v>Singapore</v>
      </c>
      <c r="EF315" t="s">
        <v>500</v>
      </c>
      <c r="EG315">
        <v>4048185</v>
      </c>
      <c r="EH315" t="s">
        <v>346</v>
      </c>
      <c r="EI315" s="11">
        <v>0</v>
      </c>
      <c r="EJ315" s="9" t="str">
        <f>_xll.SNL.Clients.Office.Excel.Functions.SPG(EG315, "SP_COUNTRY_NAME")</f>
        <v>USA</v>
      </c>
      <c r="EO315" s="9" t="str">
        <f>_xll.SNL.Clients.Office.Excel.Functions.SPG(EL315, "SP_COUNTRY_NAME")</f>
        <v>#INVALID COMPANY ID</v>
      </c>
      <c r="ET315" s="9" t="str">
        <f>_xll.SNL.Clients.Office.Excel.Functions.SPG(EQ315, "SP_COUNTRY_NAME")</f>
        <v>#INVALID COMPANY ID</v>
      </c>
      <c r="EY315" s="9" t="str">
        <f>_xll.SNL.Clients.Office.Excel.Functions.SPG(EV315, "SP_COUNTRY_NAME")</f>
        <v>#INVALID COMPANY ID</v>
      </c>
      <c r="FD315" s="9" t="str">
        <f>_xll.SNL.Clients.Office.Excel.Functions.SPG(FA315, "SP_COUNTRY_NAME")</f>
        <v>#INVALID COMPANY ID</v>
      </c>
      <c r="FI315" s="9" t="str">
        <f>_xll.SNL.Clients.Office.Excel.Functions.SPG(FF315, "SP_COUNTRY_NAME")</f>
        <v>#INVALID COMPANY ID</v>
      </c>
      <c r="FN315" s="9" t="str">
        <f>_xll.SNL.Clients.Office.Excel.Functions.SPG(FK315, "SP_COUNTRY_NAME")</f>
        <v>#INVALID COMPANY ID</v>
      </c>
      <c r="FS315" s="9" t="str">
        <f>_xll.SNL.Clients.Office.Excel.Functions.SPG(FP315, "SP_COUNTRY_NAME")</f>
        <v>#INVALID COMPANY ID</v>
      </c>
      <c r="FX315" s="9" t="str">
        <f>_xll.SNL.Clients.Office.Excel.Functions.SPG(FU315, "SP_COUNTRY_NAME")</f>
        <v>#INVALID COMPANY ID</v>
      </c>
      <c r="FY315" t="s">
        <v>500</v>
      </c>
      <c r="FZ315">
        <v>4048185</v>
      </c>
      <c r="GA315" t="s">
        <v>346</v>
      </c>
      <c r="GB315" s="11">
        <v>0</v>
      </c>
      <c r="GC315" s="9" t="str">
        <f>_xll.SNL.Clients.Office.Excel.Functions.SPG(FZ315, "SP_COUNTRY_NAME")</f>
        <v>USA</v>
      </c>
      <c r="GH315" s="9" t="str">
        <f>_xll.SNL.Clients.Office.Excel.Functions.SPG(GE315, "SP_COUNTRY_NAME")</f>
        <v>#INVALID COMPANY ID</v>
      </c>
      <c r="GM315" s="9" t="str">
        <f>_xll.SNL.Clients.Office.Excel.Functions.SPG(GJ315, "SP_COUNTRY_NAME")</f>
        <v>#INVALID COMPANY ID</v>
      </c>
      <c r="GR315" s="9" t="str">
        <f>_xll.SNL.Clients.Office.Excel.Functions.SPG(GO315, "SP_COUNTRY_NAME")</f>
        <v>#INVALID COMPANY ID</v>
      </c>
      <c r="GS315" t="s">
        <v>865</v>
      </c>
      <c r="GT315">
        <v>4669111</v>
      </c>
      <c r="GU315" t="s">
        <v>346</v>
      </c>
      <c r="GV315" s="11">
        <v>0</v>
      </c>
      <c r="GW315" s="9" t="str">
        <f>_xll.SNL.Clients.Office.Excel.Functions.SPG(GT315, "SP_COUNTRY_NAME")</f>
        <v>China</v>
      </c>
      <c r="GX315" t="s">
        <v>782</v>
      </c>
      <c r="GY315">
        <v>4138745</v>
      </c>
      <c r="GZ315" t="s">
        <v>346</v>
      </c>
      <c r="HA315" s="11">
        <v>0</v>
      </c>
      <c r="HB315" s="9" t="str">
        <f>_xll.SNL.Clients.Office.Excel.Functions.SPG(GY315, "SP_COUNTRY_NAME")</f>
        <v>Singapore</v>
      </c>
      <c r="HG315" s="9" t="str">
        <f>_xll.SNL.Clients.Office.Excel.Functions.SPG(HD315, "SP_COUNTRY_NAME")</f>
        <v>#INVALID COMPANY ID</v>
      </c>
    </row>
    <row r="316" spans="5:215" x14ac:dyDescent="0.35">
      <c r="E316" s="9" t="str">
        <f>_xll.SNL.Clients.Office.Excel.Functions.SPG(B316, "SP_COUNTRY_NAME")</f>
        <v>#INVALID COMPANY ID</v>
      </c>
      <c r="J316" s="9" t="str">
        <f>_xll.SNL.Clients.Office.Excel.Functions.SPG(G316, "SP_COUNTRY_NAME")</f>
        <v>#INVALID COMPANY ID</v>
      </c>
      <c r="O316" s="9" t="str">
        <f>_xll.SNL.Clients.Office.Excel.Functions.SPG(L316, "SP_COUNTRY_NAME")</f>
        <v>#INVALID COMPANY ID</v>
      </c>
      <c r="T316" s="9" t="str">
        <f>_xll.SNL.Clients.Office.Excel.Functions.SPG(Q316, "SP_COUNTRY_NAME")</f>
        <v>#INVALID COMPANY ID</v>
      </c>
      <c r="U316" t="s">
        <v>517</v>
      </c>
      <c r="V316">
        <v>111097</v>
      </c>
      <c r="W316" t="s">
        <v>346</v>
      </c>
      <c r="X316" s="11">
        <v>0</v>
      </c>
      <c r="Y316" s="9" t="str">
        <f>_xll.SNL.Clients.Office.Excel.Functions.SPG(V316, "SP_COUNTRY_NAME")</f>
        <v>USA</v>
      </c>
      <c r="AD316" s="9" t="str">
        <f>_xll.SNL.Clients.Office.Excel.Functions.SPG(AA316, "SP_COUNTRY_NAME")</f>
        <v>#INVALID COMPANY ID</v>
      </c>
      <c r="AI316" s="9" t="str">
        <f>_xll.SNL.Clients.Office.Excel.Functions.SPG(AF316, "SP_COUNTRY_NAME")</f>
        <v>#INVALID COMPANY ID</v>
      </c>
      <c r="AN316" s="9" t="str">
        <f>_xll.SNL.Clients.Office.Excel.Functions.SPG(AK316, "SP_COUNTRY_NAME")</f>
        <v>#INVALID COMPANY ID</v>
      </c>
      <c r="AS316" s="9" t="str">
        <f>_xll.SNL.Clients.Office.Excel.Functions.SPG(AP316, "SP_COUNTRY_NAME")</f>
        <v>#INVALID COMPANY ID</v>
      </c>
      <c r="AX316" s="9" t="str">
        <f>_xll.SNL.Clients.Office.Excel.Functions.SPG(AU316, "SP_COUNTRY_NAME")</f>
        <v>#INVALID COMPANY ID</v>
      </c>
      <c r="BC316" s="9" t="str">
        <f>_xll.SNL.Clients.Office.Excel.Functions.SPG(AZ316, "SP_COUNTRY_NAME")</f>
        <v>#INVALID COMPANY ID</v>
      </c>
      <c r="BD316" t="s">
        <v>1488</v>
      </c>
      <c r="BE316">
        <v>4245888</v>
      </c>
      <c r="BF316" t="s">
        <v>346</v>
      </c>
      <c r="BG316" s="11">
        <v>0</v>
      </c>
      <c r="BH316" s="9" t="str">
        <f>_xll.SNL.Clients.Office.Excel.Functions.SPG(BE316, "SP_COUNTRY_NAME")</f>
        <v>France</v>
      </c>
      <c r="BM316" s="9" t="str">
        <f>_xll.SNL.Clients.Office.Excel.Functions.SPG(BJ316, "SP_COUNTRY_NAME")</f>
        <v>#INVALID COMPANY ID</v>
      </c>
      <c r="BN316" t="s">
        <v>906</v>
      </c>
      <c r="BO316">
        <v>5880770</v>
      </c>
      <c r="BP316" t="s">
        <v>346</v>
      </c>
      <c r="BQ316" s="11">
        <v>0</v>
      </c>
      <c r="BR316" s="9" t="str">
        <f>_xll.SNL.Clients.Office.Excel.Functions.SPG(BO316, "SP_COUNTRY_NAME")</f>
        <v>China</v>
      </c>
      <c r="BS316" t="s">
        <v>477</v>
      </c>
      <c r="BT316">
        <v>4119790</v>
      </c>
      <c r="BU316" t="s">
        <v>346</v>
      </c>
      <c r="BV316" s="11">
        <v>0</v>
      </c>
      <c r="BW316" s="9" t="str">
        <f>_xll.SNL.Clients.Office.Excel.Functions.SPG(BT316, "SP_COUNTRY_NAME")</f>
        <v>USA</v>
      </c>
      <c r="BX316" t="s">
        <v>517</v>
      </c>
      <c r="BY316">
        <v>111097</v>
      </c>
      <c r="BZ316" t="s">
        <v>346</v>
      </c>
      <c r="CA316" s="11">
        <v>0</v>
      </c>
      <c r="CB316" s="9" t="str">
        <f>_xll.SNL.Clients.Office.Excel.Functions.SPG(BY316, "SP_COUNTRY_NAME")</f>
        <v>USA</v>
      </c>
      <c r="CC316" t="s">
        <v>440</v>
      </c>
      <c r="CD316">
        <v>4140078</v>
      </c>
      <c r="CE316" t="s">
        <v>346</v>
      </c>
      <c r="CF316" s="11">
        <v>0</v>
      </c>
      <c r="CG316" s="9" t="str">
        <f>_xll.SNL.Clients.Office.Excel.Functions.SPG(CD316, "SP_COUNTRY_NAME")</f>
        <v>Japan</v>
      </c>
      <c r="CL316" s="9" t="str">
        <f>_xll.SNL.Clients.Office.Excel.Functions.SPG(CI316, "SP_COUNTRY_NAME")</f>
        <v>#INVALID COMPANY ID</v>
      </c>
      <c r="CM316" t="s">
        <v>1754</v>
      </c>
      <c r="CN316">
        <v>4583833</v>
      </c>
      <c r="CO316" t="s">
        <v>276</v>
      </c>
      <c r="CP316" s="11">
        <v>0</v>
      </c>
      <c r="CQ316" s="9" t="str">
        <f>_xll.SNL.Clients.Office.Excel.Functions.SPG(CN316, "SP_COUNTRY_NAME")</f>
        <v>USA</v>
      </c>
      <c r="CV316" s="9" t="str">
        <f>_xll.SNL.Clients.Office.Excel.Functions.SPG(CS316, "SP_COUNTRY_NAME")</f>
        <v>#INVALID COMPANY ID</v>
      </c>
      <c r="DA316" s="9" t="str">
        <f>_xll.SNL.Clients.Office.Excel.Functions.SPG(CX316, "SP_COUNTRY_NAME")</f>
        <v>#INVALID COMPANY ID</v>
      </c>
      <c r="DB316" t="s">
        <v>1488</v>
      </c>
      <c r="DC316">
        <v>4245888</v>
      </c>
      <c r="DD316" t="s">
        <v>346</v>
      </c>
      <c r="DE316" s="11">
        <v>0</v>
      </c>
      <c r="DF316" s="9" t="str">
        <f>_xll.SNL.Clients.Office.Excel.Functions.SPG(DC316, "SP_COUNTRY_NAME")</f>
        <v>France</v>
      </c>
      <c r="DK316" s="9" t="str">
        <f>_xll.SNL.Clients.Office.Excel.Functions.SPG(DH316, "SP_COUNTRY_NAME")</f>
        <v>#INVALID COMPANY ID</v>
      </c>
      <c r="DL316" t="s">
        <v>1488</v>
      </c>
      <c r="DM316">
        <v>4245888</v>
      </c>
      <c r="DN316" t="s">
        <v>346</v>
      </c>
      <c r="DO316" s="11">
        <v>0</v>
      </c>
      <c r="DP316" s="9" t="str">
        <f>_xll.SNL.Clients.Office.Excel.Functions.SPG(DM316, "SP_COUNTRY_NAME")</f>
        <v>France</v>
      </c>
      <c r="DU316" s="9" t="str">
        <f>_xll.SNL.Clients.Office.Excel.Functions.SPG(DR316, "SP_COUNTRY_NAME")</f>
        <v>#INVALID COMPANY ID</v>
      </c>
      <c r="DZ316" s="9" t="str">
        <f>_xll.SNL.Clients.Office.Excel.Functions.SPG(DW316, "SP_COUNTRY_NAME")</f>
        <v>#INVALID COMPANY ID</v>
      </c>
      <c r="EA316" t="s">
        <v>440</v>
      </c>
      <c r="EB316">
        <v>4140078</v>
      </c>
      <c r="EC316" t="s">
        <v>346</v>
      </c>
      <c r="ED316" s="11">
        <v>0</v>
      </c>
      <c r="EE316" s="9" t="str">
        <f>_xll.SNL.Clients.Office.Excel.Functions.SPG(EB316, "SP_COUNTRY_NAME")</f>
        <v>Japan</v>
      </c>
      <c r="EF316" t="s">
        <v>1488</v>
      </c>
      <c r="EG316">
        <v>4245888</v>
      </c>
      <c r="EH316" t="s">
        <v>346</v>
      </c>
      <c r="EI316" s="11">
        <v>0</v>
      </c>
      <c r="EJ316" s="9" t="str">
        <f>_xll.SNL.Clients.Office.Excel.Functions.SPG(EG316, "SP_COUNTRY_NAME")</f>
        <v>France</v>
      </c>
      <c r="EO316" s="9" t="str">
        <f>_xll.SNL.Clients.Office.Excel.Functions.SPG(EL316, "SP_COUNTRY_NAME")</f>
        <v>#INVALID COMPANY ID</v>
      </c>
      <c r="ET316" s="9" t="str">
        <f>_xll.SNL.Clients.Office.Excel.Functions.SPG(EQ316, "SP_COUNTRY_NAME")</f>
        <v>#INVALID COMPANY ID</v>
      </c>
      <c r="EY316" s="9" t="str">
        <f>_xll.SNL.Clients.Office.Excel.Functions.SPG(EV316, "SP_COUNTRY_NAME")</f>
        <v>#INVALID COMPANY ID</v>
      </c>
      <c r="FD316" s="9" t="str">
        <f>_xll.SNL.Clients.Office.Excel.Functions.SPG(FA316, "SP_COUNTRY_NAME")</f>
        <v>#INVALID COMPANY ID</v>
      </c>
      <c r="FI316" s="9" t="str">
        <f>_xll.SNL.Clients.Office.Excel.Functions.SPG(FF316, "SP_COUNTRY_NAME")</f>
        <v>#INVALID COMPANY ID</v>
      </c>
      <c r="FN316" s="9" t="str">
        <f>_xll.SNL.Clients.Office.Excel.Functions.SPG(FK316, "SP_COUNTRY_NAME")</f>
        <v>#INVALID COMPANY ID</v>
      </c>
      <c r="FS316" s="9" t="str">
        <f>_xll.SNL.Clients.Office.Excel.Functions.SPG(FP316, "SP_COUNTRY_NAME")</f>
        <v>#INVALID COMPANY ID</v>
      </c>
      <c r="FX316" s="9" t="str">
        <f>_xll.SNL.Clients.Office.Excel.Functions.SPG(FU316, "SP_COUNTRY_NAME")</f>
        <v>#INVALID COMPANY ID</v>
      </c>
      <c r="FY316" t="s">
        <v>1488</v>
      </c>
      <c r="FZ316">
        <v>4245888</v>
      </c>
      <c r="GA316" t="s">
        <v>346</v>
      </c>
      <c r="GB316" s="11">
        <v>0</v>
      </c>
      <c r="GC316" s="9" t="str">
        <f>_xll.SNL.Clients.Office.Excel.Functions.SPG(FZ316, "SP_COUNTRY_NAME")</f>
        <v>France</v>
      </c>
      <c r="GH316" s="9" t="str">
        <f>_xll.SNL.Clients.Office.Excel.Functions.SPG(GE316, "SP_COUNTRY_NAME")</f>
        <v>#INVALID COMPANY ID</v>
      </c>
      <c r="GM316" s="9" t="str">
        <f>_xll.SNL.Clients.Office.Excel.Functions.SPG(GJ316, "SP_COUNTRY_NAME")</f>
        <v>#INVALID COMPANY ID</v>
      </c>
      <c r="GR316" s="9" t="str">
        <f>_xll.SNL.Clients.Office.Excel.Functions.SPG(GO316, "SP_COUNTRY_NAME")</f>
        <v>#INVALID COMPANY ID</v>
      </c>
      <c r="GS316" t="s">
        <v>906</v>
      </c>
      <c r="GT316">
        <v>5880770</v>
      </c>
      <c r="GU316" t="s">
        <v>346</v>
      </c>
      <c r="GV316" s="11">
        <v>0</v>
      </c>
      <c r="GW316" s="9" t="str">
        <f>_xll.SNL.Clients.Office.Excel.Functions.SPG(GT316, "SP_COUNTRY_NAME")</f>
        <v>China</v>
      </c>
      <c r="GX316" t="s">
        <v>440</v>
      </c>
      <c r="GY316">
        <v>4140078</v>
      </c>
      <c r="GZ316" t="s">
        <v>346</v>
      </c>
      <c r="HA316" s="11">
        <v>0</v>
      </c>
      <c r="HB316" s="9" t="str">
        <f>_xll.SNL.Clients.Office.Excel.Functions.SPG(GY316, "SP_COUNTRY_NAME")</f>
        <v>Japan</v>
      </c>
      <c r="HG316" s="9" t="str">
        <f>_xll.SNL.Clients.Office.Excel.Functions.SPG(HD316, "SP_COUNTRY_NAME")</f>
        <v>#INVALID COMPANY ID</v>
      </c>
    </row>
    <row r="317" spans="5:215" x14ac:dyDescent="0.35">
      <c r="E317" s="9" t="str">
        <f>_xll.SNL.Clients.Office.Excel.Functions.SPG(B317, "SP_COUNTRY_NAME")</f>
        <v>#INVALID COMPANY ID</v>
      </c>
      <c r="J317" s="9" t="str">
        <f>_xll.SNL.Clients.Office.Excel.Functions.SPG(G317, "SP_COUNTRY_NAME")</f>
        <v>#INVALID COMPANY ID</v>
      </c>
      <c r="O317" s="9" t="str">
        <f>_xll.SNL.Clients.Office.Excel.Functions.SPG(L317, "SP_COUNTRY_NAME")</f>
        <v>#INVALID COMPANY ID</v>
      </c>
      <c r="T317" s="9" t="str">
        <f>_xll.SNL.Clients.Office.Excel.Functions.SPG(Q317, "SP_COUNTRY_NAME")</f>
        <v>#INVALID COMPANY ID</v>
      </c>
      <c r="U317" t="s">
        <v>869</v>
      </c>
      <c r="V317">
        <v>4560837</v>
      </c>
      <c r="W317" t="s">
        <v>346</v>
      </c>
      <c r="X317" s="11">
        <v>0</v>
      </c>
      <c r="Y317" s="9" t="str">
        <f>_xll.SNL.Clients.Office.Excel.Functions.SPG(V317, "SP_COUNTRY_NAME")</f>
        <v>Hong Kong</v>
      </c>
      <c r="AD317" s="9" t="str">
        <f>_xll.SNL.Clients.Office.Excel.Functions.SPG(AA317, "SP_COUNTRY_NAME")</f>
        <v>#INVALID COMPANY ID</v>
      </c>
      <c r="AI317" s="9" t="str">
        <f>_xll.SNL.Clients.Office.Excel.Functions.SPG(AF317, "SP_COUNTRY_NAME")</f>
        <v>#INVALID COMPANY ID</v>
      </c>
      <c r="AN317" s="9" t="str">
        <f>_xll.SNL.Clients.Office.Excel.Functions.SPG(AK317, "SP_COUNTRY_NAME")</f>
        <v>#INVALID COMPANY ID</v>
      </c>
      <c r="AS317" s="9" t="str">
        <f>_xll.SNL.Clients.Office.Excel.Functions.SPG(AP317, "SP_COUNTRY_NAME")</f>
        <v>#INVALID COMPANY ID</v>
      </c>
      <c r="AX317" s="9" t="str">
        <f>_xll.SNL.Clients.Office.Excel.Functions.SPG(AU317, "SP_COUNTRY_NAME")</f>
        <v>#INVALID COMPANY ID</v>
      </c>
      <c r="BC317" s="9" t="str">
        <f>_xll.SNL.Clients.Office.Excel.Functions.SPG(AZ317, "SP_COUNTRY_NAME")</f>
        <v>#INVALID COMPANY ID</v>
      </c>
      <c r="BD317" t="s">
        <v>1489</v>
      </c>
      <c r="BE317">
        <v>4055223</v>
      </c>
      <c r="BF317" t="s">
        <v>276</v>
      </c>
      <c r="BG317" s="11">
        <v>0</v>
      </c>
      <c r="BH317" s="9" t="str">
        <f>_xll.SNL.Clients.Office.Excel.Functions.SPG(BE317, "SP_COUNTRY_NAME")</f>
        <v>USA</v>
      </c>
      <c r="BM317" s="9" t="str">
        <f>_xll.SNL.Clients.Office.Excel.Functions.SPG(BJ317, "SP_COUNTRY_NAME")</f>
        <v>#INVALID COMPANY ID</v>
      </c>
      <c r="BN317" t="s">
        <v>603</v>
      </c>
      <c r="BO317">
        <v>110641</v>
      </c>
      <c r="BP317" t="s">
        <v>346</v>
      </c>
      <c r="BQ317" s="11">
        <v>0</v>
      </c>
      <c r="BR317" s="9" t="str">
        <f>_xll.SNL.Clients.Office.Excel.Functions.SPG(BO317, "SP_COUNTRY_NAME")</f>
        <v>USA</v>
      </c>
      <c r="BS317" t="s">
        <v>1019</v>
      </c>
      <c r="BT317">
        <v>4119213</v>
      </c>
      <c r="BU317" t="s">
        <v>346</v>
      </c>
      <c r="BV317" s="11">
        <v>0</v>
      </c>
      <c r="BW317" s="9" t="str">
        <f>_xll.SNL.Clients.Office.Excel.Functions.SPG(BT317, "SP_COUNTRY_NAME")</f>
        <v>USA</v>
      </c>
      <c r="BX317" t="s">
        <v>869</v>
      </c>
      <c r="BY317">
        <v>4560837</v>
      </c>
      <c r="BZ317" t="s">
        <v>346</v>
      </c>
      <c r="CA317" s="11">
        <v>0</v>
      </c>
      <c r="CB317" s="9" t="str">
        <f>_xll.SNL.Clients.Office.Excel.Functions.SPG(BY317, "SP_COUNTRY_NAME")</f>
        <v>Hong Kong</v>
      </c>
      <c r="CC317" t="s">
        <v>1769</v>
      </c>
      <c r="CD317">
        <v>4231312</v>
      </c>
      <c r="CE317" t="s">
        <v>346</v>
      </c>
      <c r="CF317" s="11">
        <v>0</v>
      </c>
      <c r="CG317" s="9" t="str">
        <f>_xll.SNL.Clients.Office.Excel.Functions.SPG(CD317, "SP_COUNTRY_NAME")</f>
        <v>USA</v>
      </c>
      <c r="CL317" s="9" t="str">
        <f>_xll.SNL.Clients.Office.Excel.Functions.SPG(CI317, "SP_COUNTRY_NAME")</f>
        <v>#INVALID COMPANY ID</v>
      </c>
      <c r="CM317" t="s">
        <v>1345</v>
      </c>
      <c r="CN317">
        <v>10761756</v>
      </c>
      <c r="CO317" t="s">
        <v>346</v>
      </c>
      <c r="CP317" s="11">
        <v>0</v>
      </c>
      <c r="CQ317" s="9" t="str">
        <f>_xll.SNL.Clients.Office.Excel.Functions.SPG(CN317, "SP_COUNTRY_NAME")</f>
        <v>South Africa</v>
      </c>
      <c r="CV317" s="9" t="str">
        <f>_xll.SNL.Clients.Office.Excel.Functions.SPG(CS317, "SP_COUNTRY_NAME")</f>
        <v>#INVALID COMPANY ID</v>
      </c>
      <c r="DA317" s="9" t="str">
        <f>_xll.SNL.Clients.Office.Excel.Functions.SPG(CX317, "SP_COUNTRY_NAME")</f>
        <v>#INVALID COMPANY ID</v>
      </c>
      <c r="DB317" t="s">
        <v>1489</v>
      </c>
      <c r="DC317">
        <v>4055223</v>
      </c>
      <c r="DD317" t="s">
        <v>276</v>
      </c>
      <c r="DE317" s="11">
        <v>0</v>
      </c>
      <c r="DF317" s="9" t="str">
        <f>_xll.SNL.Clients.Office.Excel.Functions.SPG(DC317, "SP_COUNTRY_NAME")</f>
        <v>USA</v>
      </c>
      <c r="DK317" s="9" t="str">
        <f>_xll.SNL.Clients.Office.Excel.Functions.SPG(DH317, "SP_COUNTRY_NAME")</f>
        <v>#INVALID COMPANY ID</v>
      </c>
      <c r="DL317" t="s">
        <v>1489</v>
      </c>
      <c r="DM317">
        <v>4055223</v>
      </c>
      <c r="DN317" t="s">
        <v>276</v>
      </c>
      <c r="DO317" s="11">
        <v>0</v>
      </c>
      <c r="DP317" s="9" t="str">
        <f>_xll.SNL.Clients.Office.Excel.Functions.SPG(DM317, "SP_COUNTRY_NAME")</f>
        <v>USA</v>
      </c>
      <c r="DU317" s="9" t="str">
        <f>_xll.SNL.Clients.Office.Excel.Functions.SPG(DR317, "SP_COUNTRY_NAME")</f>
        <v>#INVALID COMPANY ID</v>
      </c>
      <c r="DZ317" s="9" t="str">
        <f>_xll.SNL.Clients.Office.Excel.Functions.SPG(DW317, "SP_COUNTRY_NAME")</f>
        <v>#INVALID COMPANY ID</v>
      </c>
      <c r="EA317" t="s">
        <v>1769</v>
      </c>
      <c r="EB317">
        <v>4231312</v>
      </c>
      <c r="EC317" t="s">
        <v>346</v>
      </c>
      <c r="ED317" s="11">
        <v>0</v>
      </c>
      <c r="EE317" s="9" t="str">
        <f>_xll.SNL.Clients.Office.Excel.Functions.SPG(EB317, "SP_COUNTRY_NAME")</f>
        <v>USA</v>
      </c>
      <c r="EF317" t="s">
        <v>1489</v>
      </c>
      <c r="EG317">
        <v>4055223</v>
      </c>
      <c r="EH317" t="s">
        <v>276</v>
      </c>
      <c r="EI317" s="11">
        <v>0</v>
      </c>
      <c r="EJ317" s="9" t="str">
        <f>_xll.SNL.Clients.Office.Excel.Functions.SPG(EG317, "SP_COUNTRY_NAME")</f>
        <v>USA</v>
      </c>
      <c r="EO317" s="9" t="str">
        <f>_xll.SNL.Clients.Office.Excel.Functions.SPG(EL317, "SP_COUNTRY_NAME")</f>
        <v>#INVALID COMPANY ID</v>
      </c>
      <c r="ET317" s="9" t="str">
        <f>_xll.SNL.Clients.Office.Excel.Functions.SPG(EQ317, "SP_COUNTRY_NAME")</f>
        <v>#INVALID COMPANY ID</v>
      </c>
      <c r="EY317" s="9" t="str">
        <f>_xll.SNL.Clients.Office.Excel.Functions.SPG(EV317, "SP_COUNTRY_NAME")</f>
        <v>#INVALID COMPANY ID</v>
      </c>
      <c r="FD317" s="9" t="str">
        <f>_xll.SNL.Clients.Office.Excel.Functions.SPG(FA317, "SP_COUNTRY_NAME")</f>
        <v>#INVALID COMPANY ID</v>
      </c>
      <c r="FI317" s="9" t="str">
        <f>_xll.SNL.Clients.Office.Excel.Functions.SPG(FF317, "SP_COUNTRY_NAME")</f>
        <v>#INVALID COMPANY ID</v>
      </c>
      <c r="FN317" s="9" t="str">
        <f>_xll.SNL.Clients.Office.Excel.Functions.SPG(FK317, "SP_COUNTRY_NAME")</f>
        <v>#INVALID COMPANY ID</v>
      </c>
      <c r="FS317" s="9" t="str">
        <f>_xll.SNL.Clients.Office.Excel.Functions.SPG(FP317, "SP_COUNTRY_NAME")</f>
        <v>#INVALID COMPANY ID</v>
      </c>
      <c r="FX317" s="9" t="str">
        <f>_xll.SNL.Clients.Office.Excel.Functions.SPG(FU317, "SP_COUNTRY_NAME")</f>
        <v>#INVALID COMPANY ID</v>
      </c>
      <c r="FY317" t="s">
        <v>1489</v>
      </c>
      <c r="FZ317">
        <v>4055223</v>
      </c>
      <c r="GA317" t="s">
        <v>276</v>
      </c>
      <c r="GB317" s="11">
        <v>0</v>
      </c>
      <c r="GC317" s="9" t="str">
        <f>_xll.SNL.Clients.Office.Excel.Functions.SPG(FZ317, "SP_COUNTRY_NAME")</f>
        <v>USA</v>
      </c>
      <c r="GH317" s="9" t="str">
        <f>_xll.SNL.Clients.Office.Excel.Functions.SPG(GE317, "SP_COUNTRY_NAME")</f>
        <v>#INVALID COMPANY ID</v>
      </c>
      <c r="GM317" s="9" t="str">
        <f>_xll.SNL.Clients.Office.Excel.Functions.SPG(GJ317, "SP_COUNTRY_NAME")</f>
        <v>#INVALID COMPANY ID</v>
      </c>
      <c r="GR317" s="9" t="str">
        <f>_xll.SNL.Clients.Office.Excel.Functions.SPG(GO317, "SP_COUNTRY_NAME")</f>
        <v>#INVALID COMPANY ID</v>
      </c>
      <c r="GS317" t="s">
        <v>603</v>
      </c>
      <c r="GT317">
        <v>110641</v>
      </c>
      <c r="GU317" t="s">
        <v>346</v>
      </c>
      <c r="GV317" s="11">
        <v>0</v>
      </c>
      <c r="GW317" s="9" t="str">
        <f>_xll.SNL.Clients.Office.Excel.Functions.SPG(GT317, "SP_COUNTRY_NAME")</f>
        <v>USA</v>
      </c>
      <c r="GX317" t="s">
        <v>1769</v>
      </c>
      <c r="GY317">
        <v>4231312</v>
      </c>
      <c r="GZ317" t="s">
        <v>346</v>
      </c>
      <c r="HA317" s="11">
        <v>0</v>
      </c>
      <c r="HB317" s="9" t="str">
        <f>_xll.SNL.Clients.Office.Excel.Functions.SPG(GY317, "SP_COUNTRY_NAME")</f>
        <v>USA</v>
      </c>
      <c r="HG317" s="9" t="str">
        <f>_xll.SNL.Clients.Office.Excel.Functions.SPG(HD317, "SP_COUNTRY_NAME")</f>
        <v>#INVALID COMPANY ID</v>
      </c>
    </row>
    <row r="318" spans="5:215" x14ac:dyDescent="0.35">
      <c r="E318" s="9" t="str">
        <f>_xll.SNL.Clients.Office.Excel.Functions.SPG(B318, "SP_COUNTRY_NAME")</f>
        <v>#INVALID COMPANY ID</v>
      </c>
      <c r="J318" s="9" t="str">
        <f>_xll.SNL.Clients.Office.Excel.Functions.SPG(G318, "SP_COUNTRY_NAME")</f>
        <v>#INVALID COMPANY ID</v>
      </c>
      <c r="O318" s="9" t="str">
        <f>_xll.SNL.Clients.Office.Excel.Functions.SPG(L318, "SP_COUNTRY_NAME")</f>
        <v>#INVALID COMPANY ID</v>
      </c>
      <c r="T318" s="9" t="str">
        <f>_xll.SNL.Clients.Office.Excel.Functions.SPG(Q318, "SP_COUNTRY_NAME")</f>
        <v>#INVALID COMPANY ID</v>
      </c>
      <c r="U318" t="s">
        <v>592</v>
      </c>
      <c r="V318">
        <v>1015222</v>
      </c>
      <c r="W318" t="s">
        <v>346</v>
      </c>
      <c r="X318" s="11">
        <v>0</v>
      </c>
      <c r="Y318" s="9" t="str">
        <f>_xll.SNL.Clients.Office.Excel.Functions.SPG(V318, "SP_COUNTRY_NAME")</f>
        <v>USA</v>
      </c>
      <c r="AD318" s="9" t="str">
        <f>_xll.SNL.Clients.Office.Excel.Functions.SPG(AA318, "SP_COUNTRY_NAME")</f>
        <v>#INVALID COMPANY ID</v>
      </c>
      <c r="AI318" s="9" t="str">
        <f>_xll.SNL.Clients.Office.Excel.Functions.SPG(AF318, "SP_COUNTRY_NAME")</f>
        <v>#INVALID COMPANY ID</v>
      </c>
      <c r="AN318" s="9" t="str">
        <f>_xll.SNL.Clients.Office.Excel.Functions.SPG(AK318, "SP_COUNTRY_NAME")</f>
        <v>#INVALID COMPANY ID</v>
      </c>
      <c r="AS318" s="9" t="str">
        <f>_xll.SNL.Clients.Office.Excel.Functions.SPG(AP318, "SP_COUNTRY_NAME")</f>
        <v>#INVALID COMPANY ID</v>
      </c>
      <c r="AX318" s="9" t="str">
        <f>_xll.SNL.Clients.Office.Excel.Functions.SPG(AU318, "SP_COUNTRY_NAME")</f>
        <v>#INVALID COMPANY ID</v>
      </c>
      <c r="BC318" s="9" t="str">
        <f>_xll.SNL.Clients.Office.Excel.Functions.SPG(AZ318, "SP_COUNTRY_NAME")</f>
        <v>#INVALID COMPANY ID</v>
      </c>
      <c r="BD318" t="s">
        <v>1490</v>
      </c>
      <c r="BE318">
        <v>5875144</v>
      </c>
      <c r="BF318" t="s">
        <v>346</v>
      </c>
      <c r="BG318" s="11">
        <v>0</v>
      </c>
      <c r="BH318" s="9" t="str">
        <f>_xll.SNL.Clients.Office.Excel.Functions.SPG(BE318, "SP_COUNTRY_NAME")</f>
        <v>USA</v>
      </c>
      <c r="BM318" s="9" t="str">
        <f>_xll.SNL.Clients.Office.Excel.Functions.SPG(BJ318, "SP_COUNTRY_NAME")</f>
        <v>#INVALID COMPANY ID</v>
      </c>
      <c r="BN318" t="s">
        <v>908</v>
      </c>
      <c r="BO318">
        <v>4138232</v>
      </c>
      <c r="BP318" t="s">
        <v>366</v>
      </c>
      <c r="BQ318" s="11">
        <v>0</v>
      </c>
      <c r="BR318" s="9" t="str">
        <f>_xll.SNL.Clients.Office.Excel.Functions.SPG(BO318, "SP_COUNTRY_NAME")</f>
        <v>China</v>
      </c>
      <c r="BS318" t="s">
        <v>804</v>
      </c>
      <c r="BT318">
        <v>5813336</v>
      </c>
      <c r="BU318" t="s">
        <v>346</v>
      </c>
      <c r="BV318" s="11">
        <v>0</v>
      </c>
      <c r="BW318" s="9" t="str">
        <f>_xll.SNL.Clients.Office.Excel.Functions.SPG(BT318, "SP_COUNTRY_NAME")</f>
        <v>United Kingdom</v>
      </c>
      <c r="BX318" t="s">
        <v>592</v>
      </c>
      <c r="BY318">
        <v>1015222</v>
      </c>
      <c r="BZ318" t="s">
        <v>346</v>
      </c>
      <c r="CA318" s="11">
        <v>0</v>
      </c>
      <c r="CB318" s="9" t="str">
        <f>_xll.SNL.Clients.Office.Excel.Functions.SPG(BY318, "SP_COUNTRY_NAME")</f>
        <v>USA</v>
      </c>
      <c r="CC318" t="s">
        <v>1770</v>
      </c>
      <c r="CD318">
        <v>4632538</v>
      </c>
      <c r="CE318" t="s">
        <v>346</v>
      </c>
      <c r="CF318" s="11">
        <v>0</v>
      </c>
      <c r="CG318" s="9" t="str">
        <f>_xll.SNL.Clients.Office.Excel.Functions.SPG(CD318, "SP_COUNTRY_NAME")</f>
        <v>Germany</v>
      </c>
      <c r="CL318" s="9" t="str">
        <f>_xll.SNL.Clients.Office.Excel.Functions.SPG(CI318, "SP_COUNTRY_NAME")</f>
        <v>#INVALID COMPANY ID</v>
      </c>
      <c r="CM318" t="s">
        <v>2034</v>
      </c>
      <c r="CN318">
        <v>4118549</v>
      </c>
      <c r="CO318" t="s">
        <v>346</v>
      </c>
      <c r="CP318" s="11">
        <v>0</v>
      </c>
      <c r="CQ318" s="9" t="str">
        <f>_xll.SNL.Clients.Office.Excel.Functions.SPG(CN318, "SP_COUNTRY_NAME")</f>
        <v>USA</v>
      </c>
      <c r="CV318" s="9" t="str">
        <f>_xll.SNL.Clients.Office.Excel.Functions.SPG(CS318, "SP_COUNTRY_NAME")</f>
        <v>#INVALID COMPANY ID</v>
      </c>
      <c r="DA318" s="9" t="str">
        <f>_xll.SNL.Clients.Office.Excel.Functions.SPG(CX318, "SP_COUNTRY_NAME")</f>
        <v>#INVALID COMPANY ID</v>
      </c>
      <c r="DB318" t="s">
        <v>1490</v>
      </c>
      <c r="DC318">
        <v>5875144</v>
      </c>
      <c r="DD318" t="s">
        <v>346</v>
      </c>
      <c r="DE318" s="11">
        <v>0</v>
      </c>
      <c r="DF318" s="9" t="str">
        <f>_xll.SNL.Clients.Office.Excel.Functions.SPG(DC318, "SP_COUNTRY_NAME")</f>
        <v>USA</v>
      </c>
      <c r="DK318" s="9" t="str">
        <f>_xll.SNL.Clients.Office.Excel.Functions.SPG(DH318, "SP_COUNTRY_NAME")</f>
        <v>#INVALID COMPANY ID</v>
      </c>
      <c r="DL318" t="s">
        <v>1490</v>
      </c>
      <c r="DM318">
        <v>5875144</v>
      </c>
      <c r="DN318" t="s">
        <v>346</v>
      </c>
      <c r="DO318" s="11">
        <v>0</v>
      </c>
      <c r="DP318" s="9" t="str">
        <f>_xll.SNL.Clients.Office.Excel.Functions.SPG(DM318, "SP_COUNTRY_NAME")</f>
        <v>USA</v>
      </c>
      <c r="DU318" s="9" t="str">
        <f>_xll.SNL.Clients.Office.Excel.Functions.SPG(DR318, "SP_COUNTRY_NAME")</f>
        <v>#INVALID COMPANY ID</v>
      </c>
      <c r="DZ318" s="9" t="str">
        <f>_xll.SNL.Clients.Office.Excel.Functions.SPG(DW318, "SP_COUNTRY_NAME")</f>
        <v>#INVALID COMPANY ID</v>
      </c>
      <c r="EA318" t="s">
        <v>1770</v>
      </c>
      <c r="EB318">
        <v>4632538</v>
      </c>
      <c r="EC318" t="s">
        <v>346</v>
      </c>
      <c r="ED318" s="11">
        <v>0</v>
      </c>
      <c r="EE318" s="9" t="str">
        <f>_xll.SNL.Clients.Office.Excel.Functions.SPG(EB318, "SP_COUNTRY_NAME")</f>
        <v>Germany</v>
      </c>
      <c r="EF318" t="s">
        <v>1490</v>
      </c>
      <c r="EG318">
        <v>5875144</v>
      </c>
      <c r="EH318" t="s">
        <v>346</v>
      </c>
      <c r="EI318" s="11">
        <v>0</v>
      </c>
      <c r="EJ318" s="9" t="str">
        <f>_xll.SNL.Clients.Office.Excel.Functions.SPG(EG318, "SP_COUNTRY_NAME")</f>
        <v>USA</v>
      </c>
      <c r="EO318" s="9" t="str">
        <f>_xll.SNL.Clients.Office.Excel.Functions.SPG(EL318, "SP_COUNTRY_NAME")</f>
        <v>#INVALID COMPANY ID</v>
      </c>
      <c r="ET318" s="9" t="str">
        <f>_xll.SNL.Clients.Office.Excel.Functions.SPG(EQ318, "SP_COUNTRY_NAME")</f>
        <v>#INVALID COMPANY ID</v>
      </c>
      <c r="EY318" s="9" t="str">
        <f>_xll.SNL.Clients.Office.Excel.Functions.SPG(EV318, "SP_COUNTRY_NAME")</f>
        <v>#INVALID COMPANY ID</v>
      </c>
      <c r="FD318" s="9" t="str">
        <f>_xll.SNL.Clients.Office.Excel.Functions.SPG(FA318, "SP_COUNTRY_NAME")</f>
        <v>#INVALID COMPANY ID</v>
      </c>
      <c r="FI318" s="9" t="str">
        <f>_xll.SNL.Clients.Office.Excel.Functions.SPG(FF318, "SP_COUNTRY_NAME")</f>
        <v>#INVALID COMPANY ID</v>
      </c>
      <c r="FN318" s="9" t="str">
        <f>_xll.SNL.Clients.Office.Excel.Functions.SPG(FK318, "SP_COUNTRY_NAME")</f>
        <v>#INVALID COMPANY ID</v>
      </c>
      <c r="FS318" s="9" t="str">
        <f>_xll.SNL.Clients.Office.Excel.Functions.SPG(FP318, "SP_COUNTRY_NAME")</f>
        <v>#INVALID COMPANY ID</v>
      </c>
      <c r="FX318" s="9" t="str">
        <f>_xll.SNL.Clients.Office.Excel.Functions.SPG(FU318, "SP_COUNTRY_NAME")</f>
        <v>#INVALID COMPANY ID</v>
      </c>
      <c r="FY318" t="s">
        <v>1490</v>
      </c>
      <c r="FZ318">
        <v>5875144</v>
      </c>
      <c r="GA318" t="s">
        <v>346</v>
      </c>
      <c r="GB318" s="11">
        <v>0</v>
      </c>
      <c r="GC318" s="9" t="str">
        <f>_xll.SNL.Clients.Office.Excel.Functions.SPG(FZ318, "SP_COUNTRY_NAME")</f>
        <v>USA</v>
      </c>
      <c r="GH318" s="9" t="str">
        <f>_xll.SNL.Clients.Office.Excel.Functions.SPG(GE318, "SP_COUNTRY_NAME")</f>
        <v>#INVALID COMPANY ID</v>
      </c>
      <c r="GM318" s="9" t="str">
        <f>_xll.SNL.Clients.Office.Excel.Functions.SPG(GJ318, "SP_COUNTRY_NAME")</f>
        <v>#INVALID COMPANY ID</v>
      </c>
      <c r="GR318" s="9" t="str">
        <f>_xll.SNL.Clients.Office.Excel.Functions.SPG(GO318, "SP_COUNTRY_NAME")</f>
        <v>#INVALID COMPANY ID</v>
      </c>
      <c r="GS318" t="s">
        <v>908</v>
      </c>
      <c r="GT318">
        <v>4138232</v>
      </c>
      <c r="GU318" t="s">
        <v>366</v>
      </c>
      <c r="GV318" s="11">
        <v>0</v>
      </c>
      <c r="GW318" s="9" t="str">
        <f>_xll.SNL.Clients.Office.Excel.Functions.SPG(GT318, "SP_COUNTRY_NAME")</f>
        <v>China</v>
      </c>
      <c r="GX318" t="s">
        <v>1770</v>
      </c>
      <c r="GY318">
        <v>4632538</v>
      </c>
      <c r="GZ318" t="s">
        <v>346</v>
      </c>
      <c r="HA318" s="11">
        <v>0</v>
      </c>
      <c r="HB318" s="9" t="str">
        <f>_xll.SNL.Clients.Office.Excel.Functions.SPG(GY318, "SP_COUNTRY_NAME")</f>
        <v>Germany</v>
      </c>
      <c r="HG318" s="9" t="str">
        <f>_xll.SNL.Clients.Office.Excel.Functions.SPG(HD318, "SP_COUNTRY_NAME")</f>
        <v>#INVALID COMPANY ID</v>
      </c>
    </row>
    <row r="319" spans="5:215" x14ac:dyDescent="0.35">
      <c r="E319" s="9" t="str">
        <f>_xll.SNL.Clients.Office.Excel.Functions.SPG(B319, "SP_COUNTRY_NAME")</f>
        <v>#INVALID COMPANY ID</v>
      </c>
      <c r="J319" s="9" t="str">
        <f>_xll.SNL.Clients.Office.Excel.Functions.SPG(G319, "SP_COUNTRY_NAME")</f>
        <v>#INVALID COMPANY ID</v>
      </c>
      <c r="O319" s="9" t="str">
        <f>_xll.SNL.Clients.Office.Excel.Functions.SPG(L319, "SP_COUNTRY_NAME")</f>
        <v>#INVALID COMPANY ID</v>
      </c>
      <c r="T319" s="9" t="str">
        <f>_xll.SNL.Clients.Office.Excel.Functions.SPG(Q319, "SP_COUNTRY_NAME")</f>
        <v>#INVALID COMPANY ID</v>
      </c>
      <c r="U319" t="s">
        <v>870</v>
      </c>
      <c r="V319">
        <v>8364410</v>
      </c>
      <c r="W319" t="s">
        <v>346</v>
      </c>
      <c r="X319" s="11">
        <v>0</v>
      </c>
      <c r="Y319" s="9" t="str">
        <f>_xll.SNL.Clients.Office.Excel.Functions.SPG(V319, "SP_COUNTRY_NAME")</f>
        <v>China</v>
      </c>
      <c r="AD319" s="9" t="str">
        <f>_xll.SNL.Clients.Office.Excel.Functions.SPG(AA319, "SP_COUNTRY_NAME")</f>
        <v>#INVALID COMPANY ID</v>
      </c>
      <c r="AI319" s="9" t="str">
        <f>_xll.SNL.Clients.Office.Excel.Functions.SPG(AF319, "SP_COUNTRY_NAME")</f>
        <v>#INVALID COMPANY ID</v>
      </c>
      <c r="AN319" s="9" t="str">
        <f>_xll.SNL.Clients.Office.Excel.Functions.SPG(AK319, "SP_COUNTRY_NAME")</f>
        <v>#INVALID COMPANY ID</v>
      </c>
      <c r="AS319" s="9" t="str">
        <f>_xll.SNL.Clients.Office.Excel.Functions.SPG(AP319, "SP_COUNTRY_NAME")</f>
        <v>#INVALID COMPANY ID</v>
      </c>
      <c r="AX319" s="9" t="str">
        <f>_xll.SNL.Clients.Office.Excel.Functions.SPG(AU319, "SP_COUNTRY_NAME")</f>
        <v>#INVALID COMPANY ID</v>
      </c>
      <c r="BC319" s="9" t="str">
        <f>_xll.SNL.Clients.Office.Excel.Functions.SPG(AZ319, "SP_COUNTRY_NAME")</f>
        <v>#INVALID COMPANY ID</v>
      </c>
      <c r="BD319" t="s">
        <v>1137</v>
      </c>
      <c r="BE319">
        <v>4219045</v>
      </c>
      <c r="BF319" t="s">
        <v>346</v>
      </c>
      <c r="BG319" s="11">
        <v>0</v>
      </c>
      <c r="BH319" s="9" t="str">
        <f>_xll.SNL.Clients.Office.Excel.Functions.SPG(BE319, "SP_COUNTRY_NAME")</f>
        <v>USA</v>
      </c>
      <c r="BM319" s="9" t="str">
        <f>_xll.SNL.Clients.Office.Excel.Functions.SPG(BJ319, "SP_COUNTRY_NAME")</f>
        <v>#INVALID COMPANY ID</v>
      </c>
      <c r="BN319" t="s">
        <v>828</v>
      </c>
      <c r="BO319">
        <v>4311273</v>
      </c>
      <c r="BP319" t="s">
        <v>346</v>
      </c>
      <c r="BQ319" s="11">
        <v>0</v>
      </c>
      <c r="BR319" s="9" t="str">
        <f>_xll.SNL.Clients.Office.Excel.Functions.SPG(BO319, "SP_COUNTRY_NAME")</f>
        <v>Hong Kong</v>
      </c>
      <c r="BS319" t="s">
        <v>496</v>
      </c>
      <c r="BT319">
        <v>110495</v>
      </c>
      <c r="BU319" t="s">
        <v>346</v>
      </c>
      <c r="BV319" s="11">
        <v>0</v>
      </c>
      <c r="BW319" s="9" t="str">
        <f>_xll.SNL.Clients.Office.Excel.Functions.SPG(BT319, "SP_COUNTRY_NAME")</f>
        <v>USA</v>
      </c>
      <c r="BX319" t="s">
        <v>870</v>
      </c>
      <c r="BY319">
        <v>8364410</v>
      </c>
      <c r="BZ319" t="s">
        <v>346</v>
      </c>
      <c r="CA319" s="11">
        <v>0</v>
      </c>
      <c r="CB319" s="9" t="str">
        <f>_xll.SNL.Clients.Office.Excel.Functions.SPG(BY319, "SP_COUNTRY_NAME")</f>
        <v>China</v>
      </c>
      <c r="CC319" t="s">
        <v>1771</v>
      </c>
      <c r="CD319">
        <v>4305081</v>
      </c>
      <c r="CE319" t="s">
        <v>346</v>
      </c>
      <c r="CF319" s="11">
        <v>0</v>
      </c>
      <c r="CG319" s="9" t="str">
        <f>_xll.SNL.Clients.Office.Excel.Functions.SPG(CD319, "SP_COUNTRY_NAME")</f>
        <v>Canada</v>
      </c>
      <c r="CL319" s="9" t="str">
        <f>_xll.SNL.Clients.Office.Excel.Functions.SPG(CI319, "SP_COUNTRY_NAME")</f>
        <v>#INVALID COMPANY ID</v>
      </c>
      <c r="CM319" t="s">
        <v>2035</v>
      </c>
      <c r="CN319">
        <v>4000991</v>
      </c>
      <c r="CO319" t="s">
        <v>366</v>
      </c>
      <c r="CP319" s="11">
        <v>0</v>
      </c>
      <c r="CQ319" s="9" t="str">
        <f>_xll.SNL.Clients.Office.Excel.Functions.SPG(CN319, "SP_COUNTRY_NAME")</f>
        <v>Netherlands</v>
      </c>
      <c r="CV319" s="9" t="str">
        <f>_xll.SNL.Clients.Office.Excel.Functions.SPG(CS319, "SP_COUNTRY_NAME")</f>
        <v>#INVALID COMPANY ID</v>
      </c>
      <c r="DA319" s="9" t="str">
        <f>_xll.SNL.Clients.Office.Excel.Functions.SPG(CX319, "SP_COUNTRY_NAME")</f>
        <v>#INVALID COMPANY ID</v>
      </c>
      <c r="DB319" t="s">
        <v>1137</v>
      </c>
      <c r="DC319">
        <v>4219045</v>
      </c>
      <c r="DD319" t="s">
        <v>346</v>
      </c>
      <c r="DE319" s="11">
        <v>0</v>
      </c>
      <c r="DF319" s="9" t="str">
        <f>_xll.SNL.Clients.Office.Excel.Functions.SPG(DC319, "SP_COUNTRY_NAME")</f>
        <v>USA</v>
      </c>
      <c r="DK319" s="9" t="str">
        <f>_xll.SNL.Clients.Office.Excel.Functions.SPG(DH319, "SP_COUNTRY_NAME")</f>
        <v>#INVALID COMPANY ID</v>
      </c>
      <c r="DL319" t="s">
        <v>1137</v>
      </c>
      <c r="DM319">
        <v>4219045</v>
      </c>
      <c r="DN319" t="s">
        <v>346</v>
      </c>
      <c r="DO319" s="11">
        <v>0</v>
      </c>
      <c r="DP319" s="9" t="str">
        <f>_xll.SNL.Clients.Office.Excel.Functions.SPG(DM319, "SP_COUNTRY_NAME")</f>
        <v>USA</v>
      </c>
      <c r="DU319" s="9" t="str">
        <f>_xll.SNL.Clients.Office.Excel.Functions.SPG(DR319, "SP_COUNTRY_NAME")</f>
        <v>#INVALID COMPANY ID</v>
      </c>
      <c r="DZ319" s="9" t="str">
        <f>_xll.SNL.Clients.Office.Excel.Functions.SPG(DW319, "SP_COUNTRY_NAME")</f>
        <v>#INVALID COMPANY ID</v>
      </c>
      <c r="EA319" t="s">
        <v>1771</v>
      </c>
      <c r="EB319">
        <v>4305081</v>
      </c>
      <c r="EC319" t="s">
        <v>346</v>
      </c>
      <c r="ED319" s="11">
        <v>0</v>
      </c>
      <c r="EE319" s="9" t="str">
        <f>_xll.SNL.Clients.Office.Excel.Functions.SPG(EB319, "SP_COUNTRY_NAME")</f>
        <v>Canada</v>
      </c>
      <c r="EF319" t="s">
        <v>1137</v>
      </c>
      <c r="EG319">
        <v>4219045</v>
      </c>
      <c r="EH319" t="s">
        <v>346</v>
      </c>
      <c r="EI319" s="11">
        <v>0</v>
      </c>
      <c r="EJ319" s="9" t="str">
        <f>_xll.SNL.Clients.Office.Excel.Functions.SPG(EG319, "SP_COUNTRY_NAME")</f>
        <v>USA</v>
      </c>
      <c r="EO319" s="9" t="str">
        <f>_xll.SNL.Clients.Office.Excel.Functions.SPG(EL319, "SP_COUNTRY_NAME")</f>
        <v>#INVALID COMPANY ID</v>
      </c>
      <c r="ET319" s="9" t="str">
        <f>_xll.SNL.Clients.Office.Excel.Functions.SPG(EQ319, "SP_COUNTRY_NAME")</f>
        <v>#INVALID COMPANY ID</v>
      </c>
      <c r="EY319" s="9" t="str">
        <f>_xll.SNL.Clients.Office.Excel.Functions.SPG(EV319, "SP_COUNTRY_NAME")</f>
        <v>#INVALID COMPANY ID</v>
      </c>
      <c r="FD319" s="9" t="str">
        <f>_xll.SNL.Clients.Office.Excel.Functions.SPG(FA319, "SP_COUNTRY_NAME")</f>
        <v>#INVALID COMPANY ID</v>
      </c>
      <c r="FI319" s="9" t="str">
        <f>_xll.SNL.Clients.Office.Excel.Functions.SPG(FF319, "SP_COUNTRY_NAME")</f>
        <v>#INVALID COMPANY ID</v>
      </c>
      <c r="FN319" s="9" t="str">
        <f>_xll.SNL.Clients.Office.Excel.Functions.SPG(FK319, "SP_COUNTRY_NAME")</f>
        <v>#INVALID COMPANY ID</v>
      </c>
      <c r="FS319" s="9" t="str">
        <f>_xll.SNL.Clients.Office.Excel.Functions.SPG(FP319, "SP_COUNTRY_NAME")</f>
        <v>#INVALID COMPANY ID</v>
      </c>
      <c r="FX319" s="9" t="str">
        <f>_xll.SNL.Clients.Office.Excel.Functions.SPG(FU319, "SP_COUNTRY_NAME")</f>
        <v>#INVALID COMPANY ID</v>
      </c>
      <c r="FY319" t="s">
        <v>1137</v>
      </c>
      <c r="FZ319">
        <v>4219045</v>
      </c>
      <c r="GA319" t="s">
        <v>346</v>
      </c>
      <c r="GB319" s="11">
        <v>0</v>
      </c>
      <c r="GC319" s="9" t="str">
        <f>_xll.SNL.Clients.Office.Excel.Functions.SPG(FZ319, "SP_COUNTRY_NAME")</f>
        <v>USA</v>
      </c>
      <c r="GH319" s="9" t="str">
        <f>_xll.SNL.Clients.Office.Excel.Functions.SPG(GE319, "SP_COUNTRY_NAME")</f>
        <v>#INVALID COMPANY ID</v>
      </c>
      <c r="GM319" s="9" t="str">
        <f>_xll.SNL.Clients.Office.Excel.Functions.SPG(GJ319, "SP_COUNTRY_NAME")</f>
        <v>#INVALID COMPANY ID</v>
      </c>
      <c r="GR319" s="9" t="str">
        <f>_xll.SNL.Clients.Office.Excel.Functions.SPG(GO319, "SP_COUNTRY_NAME")</f>
        <v>#INVALID COMPANY ID</v>
      </c>
      <c r="GS319" t="s">
        <v>828</v>
      </c>
      <c r="GT319">
        <v>4311273</v>
      </c>
      <c r="GU319" t="s">
        <v>346</v>
      </c>
      <c r="GV319" s="11">
        <v>0</v>
      </c>
      <c r="GW319" s="9" t="str">
        <f>_xll.SNL.Clients.Office.Excel.Functions.SPG(GT319, "SP_COUNTRY_NAME")</f>
        <v>Hong Kong</v>
      </c>
      <c r="GX319" t="s">
        <v>1771</v>
      </c>
      <c r="GY319">
        <v>4305081</v>
      </c>
      <c r="GZ319" t="s">
        <v>346</v>
      </c>
      <c r="HA319" s="11">
        <v>0</v>
      </c>
      <c r="HB319" s="9" t="str">
        <f>_xll.SNL.Clients.Office.Excel.Functions.SPG(GY319, "SP_COUNTRY_NAME")</f>
        <v>Canada</v>
      </c>
      <c r="HG319" s="9" t="str">
        <f>_xll.SNL.Clients.Office.Excel.Functions.SPG(HD319, "SP_COUNTRY_NAME")</f>
        <v>#INVALID COMPANY ID</v>
      </c>
    </row>
    <row r="320" spans="5:215" x14ac:dyDescent="0.35">
      <c r="E320" s="9" t="str">
        <f>_xll.SNL.Clients.Office.Excel.Functions.SPG(B320, "SP_COUNTRY_NAME")</f>
        <v>#INVALID COMPANY ID</v>
      </c>
      <c r="J320" s="9" t="str">
        <f>_xll.SNL.Clients.Office.Excel.Functions.SPG(G320, "SP_COUNTRY_NAME")</f>
        <v>#INVALID COMPANY ID</v>
      </c>
      <c r="O320" s="9" t="str">
        <f>_xll.SNL.Clients.Office.Excel.Functions.SPG(L320, "SP_COUNTRY_NAME")</f>
        <v>#INVALID COMPANY ID</v>
      </c>
      <c r="T320" s="9" t="str">
        <f>_xll.SNL.Clients.Office.Excel.Functions.SPG(Q320, "SP_COUNTRY_NAME")</f>
        <v>#INVALID COMPANY ID</v>
      </c>
      <c r="U320" t="s">
        <v>871</v>
      </c>
      <c r="V320">
        <v>4055159</v>
      </c>
      <c r="W320" t="s">
        <v>346</v>
      </c>
      <c r="X320" s="11">
        <v>0</v>
      </c>
      <c r="Y320" s="9" t="str">
        <f>_xll.SNL.Clients.Office.Excel.Functions.SPG(V320, "SP_COUNTRY_NAME")</f>
        <v>USA</v>
      </c>
      <c r="AD320" s="9" t="str">
        <f>_xll.SNL.Clients.Office.Excel.Functions.SPG(AA320, "SP_COUNTRY_NAME")</f>
        <v>#INVALID COMPANY ID</v>
      </c>
      <c r="AI320" s="9" t="str">
        <f>_xll.SNL.Clients.Office.Excel.Functions.SPG(AF320, "SP_COUNTRY_NAME")</f>
        <v>#INVALID COMPANY ID</v>
      </c>
      <c r="AN320" s="9" t="str">
        <f>_xll.SNL.Clients.Office.Excel.Functions.SPG(AK320, "SP_COUNTRY_NAME")</f>
        <v>#INVALID COMPANY ID</v>
      </c>
      <c r="AS320" s="9" t="str">
        <f>_xll.SNL.Clients.Office.Excel.Functions.SPG(AP320, "SP_COUNTRY_NAME")</f>
        <v>#INVALID COMPANY ID</v>
      </c>
      <c r="AX320" s="9" t="str">
        <f>_xll.SNL.Clients.Office.Excel.Functions.SPG(AU320, "SP_COUNTRY_NAME")</f>
        <v>#INVALID COMPANY ID</v>
      </c>
      <c r="BC320" s="9" t="str">
        <f>_xll.SNL.Clients.Office.Excel.Functions.SPG(AZ320, "SP_COUNTRY_NAME")</f>
        <v>#INVALID COMPANY ID</v>
      </c>
      <c r="BD320" t="s">
        <v>1491</v>
      </c>
      <c r="BE320">
        <v>4428318</v>
      </c>
      <c r="BF320" t="s">
        <v>346</v>
      </c>
      <c r="BG320" s="11">
        <v>0</v>
      </c>
      <c r="BH320" s="9" t="str">
        <f>_xll.SNL.Clients.Office.Excel.Functions.SPG(BE320, "SP_COUNTRY_NAME")</f>
        <v>Ireland</v>
      </c>
      <c r="BM320" s="9" t="str">
        <f>_xll.SNL.Clients.Office.Excel.Functions.SPG(BJ320, "SP_COUNTRY_NAME")</f>
        <v>#INVALID COMPANY ID</v>
      </c>
      <c r="BN320" t="s">
        <v>1250</v>
      </c>
      <c r="BO320">
        <v>4539092</v>
      </c>
      <c r="BP320" t="s">
        <v>364</v>
      </c>
      <c r="BQ320" s="11">
        <v>0</v>
      </c>
      <c r="BR320" s="9" t="str">
        <f>_xll.SNL.Clients.Office.Excel.Functions.SPG(BO320, "SP_COUNTRY_NAME")</f>
        <v>United Kingdom</v>
      </c>
      <c r="BS320" t="s">
        <v>819</v>
      </c>
      <c r="BT320">
        <v>108037678</v>
      </c>
      <c r="BU320" t="s">
        <v>346</v>
      </c>
      <c r="BV320" s="11">
        <v>0</v>
      </c>
      <c r="BW320" s="9" t="str">
        <f>_xll.SNL.Clients.Office.Excel.Functions.SPG(BT320, "SP_COUNTRY_NAME")</f>
        <v>China</v>
      </c>
      <c r="BX320" t="s">
        <v>871</v>
      </c>
      <c r="BY320">
        <v>4055159</v>
      </c>
      <c r="BZ320" t="s">
        <v>346</v>
      </c>
      <c r="CA320" s="11">
        <v>0</v>
      </c>
      <c r="CB320" s="9" t="str">
        <f>_xll.SNL.Clients.Office.Excel.Functions.SPG(BY320, "SP_COUNTRY_NAME")</f>
        <v>USA</v>
      </c>
      <c r="CC320" t="s">
        <v>1772</v>
      </c>
      <c r="CD320">
        <v>6571315</v>
      </c>
      <c r="CE320" t="s">
        <v>346</v>
      </c>
      <c r="CF320" s="11">
        <v>0</v>
      </c>
      <c r="CG320" s="9" t="str">
        <f>_xll.SNL.Clients.Office.Excel.Functions.SPG(CD320, "SP_COUNTRY_NAME")</f>
        <v>Brazil</v>
      </c>
      <c r="CL320" s="9" t="str">
        <f>_xll.SNL.Clients.Office.Excel.Functions.SPG(CI320, "SP_COUNTRY_NAME")</f>
        <v>#INVALID COMPANY ID</v>
      </c>
      <c r="CM320" t="s">
        <v>2036</v>
      </c>
      <c r="CN320" t="s">
        <v>300</v>
      </c>
      <c r="CO320" t="s">
        <v>361</v>
      </c>
      <c r="CP320" s="11">
        <v>0</v>
      </c>
      <c r="CQ320" s="9" t="str">
        <f>_xll.SNL.Clients.Office.Excel.Functions.SPG(CN320, "SP_COUNTRY_NAME")</f>
        <v>China</v>
      </c>
      <c r="CV320" s="9" t="str">
        <f>_xll.SNL.Clients.Office.Excel.Functions.SPG(CS320, "SP_COUNTRY_NAME")</f>
        <v>#INVALID COMPANY ID</v>
      </c>
      <c r="DA320" s="9" t="str">
        <f>_xll.SNL.Clients.Office.Excel.Functions.SPG(CX320, "SP_COUNTRY_NAME")</f>
        <v>#INVALID COMPANY ID</v>
      </c>
      <c r="DB320" t="s">
        <v>1491</v>
      </c>
      <c r="DC320">
        <v>4428318</v>
      </c>
      <c r="DD320" t="s">
        <v>346</v>
      </c>
      <c r="DE320" s="11">
        <v>0</v>
      </c>
      <c r="DF320" s="9" t="str">
        <f>_xll.SNL.Clients.Office.Excel.Functions.SPG(DC320, "SP_COUNTRY_NAME")</f>
        <v>Ireland</v>
      </c>
      <c r="DK320" s="9" t="str">
        <f>_xll.SNL.Clients.Office.Excel.Functions.SPG(DH320, "SP_COUNTRY_NAME")</f>
        <v>#INVALID COMPANY ID</v>
      </c>
      <c r="DL320" t="s">
        <v>1491</v>
      </c>
      <c r="DM320">
        <v>4428318</v>
      </c>
      <c r="DN320" t="s">
        <v>346</v>
      </c>
      <c r="DO320" s="11">
        <v>0</v>
      </c>
      <c r="DP320" s="9" t="str">
        <f>_xll.SNL.Clients.Office.Excel.Functions.SPG(DM320, "SP_COUNTRY_NAME")</f>
        <v>Ireland</v>
      </c>
      <c r="DU320" s="9" t="str">
        <f>_xll.SNL.Clients.Office.Excel.Functions.SPG(DR320, "SP_COUNTRY_NAME")</f>
        <v>#INVALID COMPANY ID</v>
      </c>
      <c r="DZ320" s="9" t="str">
        <f>_xll.SNL.Clients.Office.Excel.Functions.SPG(DW320, "SP_COUNTRY_NAME")</f>
        <v>#INVALID COMPANY ID</v>
      </c>
      <c r="EA320" t="s">
        <v>1772</v>
      </c>
      <c r="EB320">
        <v>6571315</v>
      </c>
      <c r="EC320" t="s">
        <v>346</v>
      </c>
      <c r="ED320" s="11">
        <v>0</v>
      </c>
      <c r="EE320" s="9" t="str">
        <f>_xll.SNL.Clients.Office.Excel.Functions.SPG(EB320, "SP_COUNTRY_NAME")</f>
        <v>Brazil</v>
      </c>
      <c r="EF320" t="s">
        <v>1491</v>
      </c>
      <c r="EG320">
        <v>4428318</v>
      </c>
      <c r="EH320" t="s">
        <v>346</v>
      </c>
      <c r="EI320" s="11">
        <v>0</v>
      </c>
      <c r="EJ320" s="9" t="str">
        <f>_xll.SNL.Clients.Office.Excel.Functions.SPG(EG320, "SP_COUNTRY_NAME")</f>
        <v>Ireland</v>
      </c>
      <c r="EO320" s="9" t="str">
        <f>_xll.SNL.Clients.Office.Excel.Functions.SPG(EL320, "SP_COUNTRY_NAME")</f>
        <v>#INVALID COMPANY ID</v>
      </c>
      <c r="ET320" s="9" t="str">
        <f>_xll.SNL.Clients.Office.Excel.Functions.SPG(EQ320, "SP_COUNTRY_NAME")</f>
        <v>#INVALID COMPANY ID</v>
      </c>
      <c r="EY320" s="9" t="str">
        <f>_xll.SNL.Clients.Office.Excel.Functions.SPG(EV320, "SP_COUNTRY_NAME")</f>
        <v>#INVALID COMPANY ID</v>
      </c>
      <c r="FD320" s="9" t="str">
        <f>_xll.SNL.Clients.Office.Excel.Functions.SPG(FA320, "SP_COUNTRY_NAME")</f>
        <v>#INVALID COMPANY ID</v>
      </c>
      <c r="FI320" s="9" t="str">
        <f>_xll.SNL.Clients.Office.Excel.Functions.SPG(FF320, "SP_COUNTRY_NAME")</f>
        <v>#INVALID COMPANY ID</v>
      </c>
      <c r="FN320" s="9" t="str">
        <f>_xll.SNL.Clients.Office.Excel.Functions.SPG(FK320, "SP_COUNTRY_NAME")</f>
        <v>#INVALID COMPANY ID</v>
      </c>
      <c r="FS320" s="9" t="str">
        <f>_xll.SNL.Clients.Office.Excel.Functions.SPG(FP320, "SP_COUNTRY_NAME")</f>
        <v>#INVALID COMPANY ID</v>
      </c>
      <c r="FX320" s="9" t="str">
        <f>_xll.SNL.Clients.Office.Excel.Functions.SPG(FU320, "SP_COUNTRY_NAME")</f>
        <v>#INVALID COMPANY ID</v>
      </c>
      <c r="FY320" t="s">
        <v>1491</v>
      </c>
      <c r="FZ320">
        <v>4428318</v>
      </c>
      <c r="GA320" t="s">
        <v>346</v>
      </c>
      <c r="GB320" s="11">
        <v>0</v>
      </c>
      <c r="GC320" s="9" t="str">
        <f>_xll.SNL.Clients.Office.Excel.Functions.SPG(FZ320, "SP_COUNTRY_NAME")</f>
        <v>Ireland</v>
      </c>
      <c r="GH320" s="9" t="str">
        <f>_xll.SNL.Clients.Office.Excel.Functions.SPG(GE320, "SP_COUNTRY_NAME")</f>
        <v>#INVALID COMPANY ID</v>
      </c>
      <c r="GM320" s="9" t="str">
        <f>_xll.SNL.Clients.Office.Excel.Functions.SPG(GJ320, "SP_COUNTRY_NAME")</f>
        <v>#INVALID COMPANY ID</v>
      </c>
      <c r="GR320" s="9" t="str">
        <f>_xll.SNL.Clients.Office.Excel.Functions.SPG(GO320, "SP_COUNTRY_NAME")</f>
        <v>#INVALID COMPANY ID</v>
      </c>
      <c r="GS320" t="s">
        <v>1250</v>
      </c>
      <c r="GT320">
        <v>4539092</v>
      </c>
      <c r="GU320" t="s">
        <v>364</v>
      </c>
      <c r="GV320" s="11">
        <v>0</v>
      </c>
      <c r="GW320" s="9" t="str">
        <f>_xll.SNL.Clients.Office.Excel.Functions.SPG(GT320, "SP_COUNTRY_NAME")</f>
        <v>United Kingdom</v>
      </c>
      <c r="GX320" t="s">
        <v>1772</v>
      </c>
      <c r="GY320">
        <v>6571315</v>
      </c>
      <c r="GZ320" t="s">
        <v>346</v>
      </c>
      <c r="HA320" s="11">
        <v>0</v>
      </c>
      <c r="HB320" s="9" t="str">
        <f>_xll.SNL.Clients.Office.Excel.Functions.SPG(GY320, "SP_COUNTRY_NAME")</f>
        <v>Brazil</v>
      </c>
      <c r="HG320" s="9" t="str">
        <f>_xll.SNL.Clients.Office.Excel.Functions.SPG(HD320, "SP_COUNTRY_NAME")</f>
        <v>#INVALID COMPANY ID</v>
      </c>
    </row>
    <row r="321" spans="5:215" x14ac:dyDescent="0.35">
      <c r="E321" s="9" t="str">
        <f>_xll.SNL.Clients.Office.Excel.Functions.SPG(B321, "SP_COUNTRY_NAME")</f>
        <v>#INVALID COMPANY ID</v>
      </c>
      <c r="J321" s="9" t="str">
        <f>_xll.SNL.Clients.Office.Excel.Functions.SPG(G321, "SP_COUNTRY_NAME")</f>
        <v>#INVALID COMPANY ID</v>
      </c>
      <c r="O321" s="9" t="str">
        <f>_xll.SNL.Clients.Office.Excel.Functions.SPG(L321, "SP_COUNTRY_NAME")</f>
        <v>#INVALID COMPANY ID</v>
      </c>
      <c r="T321" s="9" t="str">
        <f>_xll.SNL.Clients.Office.Excel.Functions.SPG(Q321, "SP_COUNTRY_NAME")</f>
        <v>#INVALID COMPANY ID</v>
      </c>
      <c r="U321" t="s">
        <v>439</v>
      </c>
      <c r="V321">
        <v>4757367</v>
      </c>
      <c r="W321" t="s">
        <v>363</v>
      </c>
      <c r="X321" s="11">
        <v>0</v>
      </c>
      <c r="Y321" s="9" t="str">
        <f>_xll.SNL.Clients.Office.Excel.Functions.SPG(V321, "SP_COUNTRY_NAME")</f>
        <v>Australia</v>
      </c>
      <c r="AD321" s="9" t="str">
        <f>_xll.SNL.Clients.Office.Excel.Functions.SPG(AA321, "SP_COUNTRY_NAME")</f>
        <v>#INVALID COMPANY ID</v>
      </c>
      <c r="AI321" s="9" t="str">
        <f>_xll.SNL.Clients.Office.Excel.Functions.SPG(AF321, "SP_COUNTRY_NAME")</f>
        <v>#INVALID COMPANY ID</v>
      </c>
      <c r="AN321" s="9" t="str">
        <f>_xll.SNL.Clients.Office.Excel.Functions.SPG(AK321, "SP_COUNTRY_NAME")</f>
        <v>#INVALID COMPANY ID</v>
      </c>
      <c r="AS321" s="9" t="str">
        <f>_xll.SNL.Clients.Office.Excel.Functions.SPG(AP321, "SP_COUNTRY_NAME")</f>
        <v>#INVALID COMPANY ID</v>
      </c>
      <c r="AX321" s="9" t="str">
        <f>_xll.SNL.Clients.Office.Excel.Functions.SPG(AU321, "SP_COUNTRY_NAME")</f>
        <v>#INVALID COMPANY ID</v>
      </c>
      <c r="BC321" s="9" t="str">
        <f>_xll.SNL.Clients.Office.Excel.Functions.SPG(AZ321, "SP_COUNTRY_NAME")</f>
        <v>#INVALID COMPANY ID</v>
      </c>
      <c r="BD321" t="s">
        <v>1303</v>
      </c>
      <c r="BE321">
        <v>4265061</v>
      </c>
      <c r="BF321" t="s">
        <v>346</v>
      </c>
      <c r="BG321" s="11">
        <v>0</v>
      </c>
      <c r="BH321" s="9" t="str">
        <f>_xll.SNL.Clients.Office.Excel.Functions.SPG(BE321, "SP_COUNTRY_NAME")</f>
        <v>South Africa</v>
      </c>
      <c r="BM321" s="9" t="str">
        <f>_xll.SNL.Clients.Office.Excel.Functions.SPG(BJ321, "SP_COUNTRY_NAME")</f>
        <v>#INVALID COMPANY ID</v>
      </c>
      <c r="BN321" t="s">
        <v>1251</v>
      </c>
      <c r="BO321">
        <v>4119608</v>
      </c>
      <c r="BP321" t="s">
        <v>346</v>
      </c>
      <c r="BQ321" s="11">
        <v>0</v>
      </c>
      <c r="BR321" s="9" t="str">
        <f>_xll.SNL.Clients.Office.Excel.Functions.SPG(BO321, "SP_COUNTRY_NAME")</f>
        <v>USA</v>
      </c>
      <c r="BS321" t="s">
        <v>1020</v>
      </c>
      <c r="BT321">
        <v>111352</v>
      </c>
      <c r="BU321" t="s">
        <v>346</v>
      </c>
      <c r="BV321" s="11">
        <v>0</v>
      </c>
      <c r="BW321" s="9" t="str">
        <f>_xll.SNL.Clients.Office.Excel.Functions.SPG(BT321, "SP_COUNTRY_NAME")</f>
        <v>USA</v>
      </c>
      <c r="BX321" t="s">
        <v>439</v>
      </c>
      <c r="BY321">
        <v>4757367</v>
      </c>
      <c r="BZ321" t="s">
        <v>363</v>
      </c>
      <c r="CA321" s="11">
        <v>0</v>
      </c>
      <c r="CB321" s="9" t="str">
        <f>_xll.SNL.Clients.Office.Excel.Functions.SPG(BY321, "SP_COUNTRY_NAME")</f>
        <v>Australia</v>
      </c>
      <c r="CC321" t="s">
        <v>1773</v>
      </c>
      <c r="CD321">
        <v>4338027</v>
      </c>
      <c r="CE321" t="s">
        <v>346</v>
      </c>
      <c r="CF321" s="11">
        <v>0</v>
      </c>
      <c r="CG321" s="9" t="str">
        <f>_xll.SNL.Clients.Office.Excel.Functions.SPG(CD321, "SP_COUNTRY_NAME")</f>
        <v>Jersey</v>
      </c>
      <c r="CL321" s="9" t="str">
        <f>_xll.SNL.Clients.Office.Excel.Functions.SPG(CI321, "SP_COUNTRY_NAME")</f>
        <v>#INVALID COMPANY ID</v>
      </c>
      <c r="CM321" t="s">
        <v>1724</v>
      </c>
      <c r="CN321">
        <v>4975164</v>
      </c>
      <c r="CO321" t="s">
        <v>346</v>
      </c>
      <c r="CP321" s="11">
        <v>0</v>
      </c>
      <c r="CQ321" s="9" t="str">
        <f>_xll.SNL.Clients.Office.Excel.Functions.SPG(CN321, "SP_COUNTRY_NAME")</f>
        <v>USA</v>
      </c>
      <c r="CV321" s="9" t="str">
        <f>_xll.SNL.Clients.Office.Excel.Functions.SPG(CS321, "SP_COUNTRY_NAME")</f>
        <v>#INVALID COMPANY ID</v>
      </c>
      <c r="DA321" s="9" t="str">
        <f>_xll.SNL.Clients.Office.Excel.Functions.SPG(CX321, "SP_COUNTRY_NAME")</f>
        <v>#INVALID COMPANY ID</v>
      </c>
      <c r="DB321" t="s">
        <v>1303</v>
      </c>
      <c r="DC321">
        <v>4265061</v>
      </c>
      <c r="DD321" t="s">
        <v>346</v>
      </c>
      <c r="DE321" s="11">
        <v>0</v>
      </c>
      <c r="DF321" s="9" t="str">
        <f>_xll.SNL.Clients.Office.Excel.Functions.SPG(DC321, "SP_COUNTRY_NAME")</f>
        <v>South Africa</v>
      </c>
      <c r="DK321" s="9" t="str">
        <f>_xll.SNL.Clients.Office.Excel.Functions.SPG(DH321, "SP_COUNTRY_NAME")</f>
        <v>#INVALID COMPANY ID</v>
      </c>
      <c r="DL321" t="s">
        <v>1303</v>
      </c>
      <c r="DM321">
        <v>4265061</v>
      </c>
      <c r="DN321" t="s">
        <v>346</v>
      </c>
      <c r="DO321" s="11">
        <v>0</v>
      </c>
      <c r="DP321" s="9" t="str">
        <f>_xll.SNL.Clients.Office.Excel.Functions.SPG(DM321, "SP_COUNTRY_NAME")</f>
        <v>South Africa</v>
      </c>
      <c r="DU321" s="9" t="str">
        <f>_xll.SNL.Clients.Office.Excel.Functions.SPG(DR321, "SP_COUNTRY_NAME")</f>
        <v>#INVALID COMPANY ID</v>
      </c>
      <c r="DZ321" s="9" t="str">
        <f>_xll.SNL.Clients.Office.Excel.Functions.SPG(DW321, "SP_COUNTRY_NAME")</f>
        <v>#INVALID COMPANY ID</v>
      </c>
      <c r="EA321" t="s">
        <v>1773</v>
      </c>
      <c r="EB321">
        <v>4338027</v>
      </c>
      <c r="EC321" t="s">
        <v>346</v>
      </c>
      <c r="ED321" s="11">
        <v>0</v>
      </c>
      <c r="EE321" s="9" t="str">
        <f>_xll.SNL.Clients.Office.Excel.Functions.SPG(EB321, "SP_COUNTRY_NAME")</f>
        <v>Jersey</v>
      </c>
      <c r="EF321" t="s">
        <v>1303</v>
      </c>
      <c r="EG321">
        <v>4265061</v>
      </c>
      <c r="EH321" t="s">
        <v>346</v>
      </c>
      <c r="EI321" s="11">
        <v>0</v>
      </c>
      <c r="EJ321" s="9" t="str">
        <f>_xll.SNL.Clients.Office.Excel.Functions.SPG(EG321, "SP_COUNTRY_NAME")</f>
        <v>South Africa</v>
      </c>
      <c r="EO321" s="9" t="str">
        <f>_xll.SNL.Clients.Office.Excel.Functions.SPG(EL321, "SP_COUNTRY_NAME")</f>
        <v>#INVALID COMPANY ID</v>
      </c>
      <c r="ET321" s="9" t="str">
        <f>_xll.SNL.Clients.Office.Excel.Functions.SPG(EQ321, "SP_COUNTRY_NAME")</f>
        <v>#INVALID COMPANY ID</v>
      </c>
      <c r="EY321" s="9" t="str">
        <f>_xll.SNL.Clients.Office.Excel.Functions.SPG(EV321, "SP_COUNTRY_NAME")</f>
        <v>#INVALID COMPANY ID</v>
      </c>
      <c r="FD321" s="9" t="str">
        <f>_xll.SNL.Clients.Office.Excel.Functions.SPG(FA321, "SP_COUNTRY_NAME")</f>
        <v>#INVALID COMPANY ID</v>
      </c>
      <c r="FI321" s="9" t="str">
        <f>_xll.SNL.Clients.Office.Excel.Functions.SPG(FF321, "SP_COUNTRY_NAME")</f>
        <v>#INVALID COMPANY ID</v>
      </c>
      <c r="FN321" s="9" t="str">
        <f>_xll.SNL.Clients.Office.Excel.Functions.SPG(FK321, "SP_COUNTRY_NAME")</f>
        <v>#INVALID COMPANY ID</v>
      </c>
      <c r="FS321" s="9" t="str">
        <f>_xll.SNL.Clients.Office.Excel.Functions.SPG(FP321, "SP_COUNTRY_NAME")</f>
        <v>#INVALID COMPANY ID</v>
      </c>
      <c r="FX321" s="9" t="str">
        <f>_xll.SNL.Clients.Office.Excel.Functions.SPG(FU321, "SP_COUNTRY_NAME")</f>
        <v>#INVALID COMPANY ID</v>
      </c>
      <c r="FY321" t="s">
        <v>1303</v>
      </c>
      <c r="FZ321">
        <v>4265061</v>
      </c>
      <c r="GA321" t="s">
        <v>346</v>
      </c>
      <c r="GB321" s="11">
        <v>0</v>
      </c>
      <c r="GC321" s="9" t="str">
        <f>_xll.SNL.Clients.Office.Excel.Functions.SPG(FZ321, "SP_COUNTRY_NAME")</f>
        <v>South Africa</v>
      </c>
      <c r="GH321" s="9" t="str">
        <f>_xll.SNL.Clients.Office.Excel.Functions.SPG(GE321, "SP_COUNTRY_NAME")</f>
        <v>#INVALID COMPANY ID</v>
      </c>
      <c r="GM321" s="9" t="str">
        <f>_xll.SNL.Clients.Office.Excel.Functions.SPG(GJ321, "SP_COUNTRY_NAME")</f>
        <v>#INVALID COMPANY ID</v>
      </c>
      <c r="GR321" s="9" t="str">
        <f>_xll.SNL.Clients.Office.Excel.Functions.SPG(GO321, "SP_COUNTRY_NAME")</f>
        <v>#INVALID COMPANY ID</v>
      </c>
      <c r="GS321" t="s">
        <v>1251</v>
      </c>
      <c r="GT321">
        <v>4119608</v>
      </c>
      <c r="GU321" t="s">
        <v>346</v>
      </c>
      <c r="GV321" s="11">
        <v>0</v>
      </c>
      <c r="GW321" s="9" t="str">
        <f>_xll.SNL.Clients.Office.Excel.Functions.SPG(GT321, "SP_COUNTRY_NAME")</f>
        <v>USA</v>
      </c>
      <c r="GX321" t="s">
        <v>1773</v>
      </c>
      <c r="GY321">
        <v>4338027</v>
      </c>
      <c r="GZ321" t="s">
        <v>346</v>
      </c>
      <c r="HA321" s="11">
        <v>0</v>
      </c>
      <c r="HB321" s="9" t="str">
        <f>_xll.SNL.Clients.Office.Excel.Functions.SPG(GY321, "SP_COUNTRY_NAME")</f>
        <v>Jersey</v>
      </c>
      <c r="HG321" s="9" t="str">
        <f>_xll.SNL.Clients.Office.Excel.Functions.SPG(HD321, "SP_COUNTRY_NAME")</f>
        <v>#INVALID COMPANY ID</v>
      </c>
    </row>
    <row r="322" spans="5:215" x14ac:dyDescent="0.35">
      <c r="E322" s="9" t="str">
        <f>_xll.SNL.Clients.Office.Excel.Functions.SPG(B322, "SP_COUNTRY_NAME")</f>
        <v>#INVALID COMPANY ID</v>
      </c>
      <c r="J322" s="9" t="str">
        <f>_xll.SNL.Clients.Office.Excel.Functions.SPG(G322, "SP_COUNTRY_NAME")</f>
        <v>#INVALID COMPANY ID</v>
      </c>
      <c r="O322" s="9" t="str">
        <f>_xll.SNL.Clients.Office.Excel.Functions.SPG(L322, "SP_COUNTRY_NAME")</f>
        <v>#INVALID COMPANY ID</v>
      </c>
      <c r="T322" s="9" t="str">
        <f>_xll.SNL.Clients.Office.Excel.Functions.SPG(Q322, "SP_COUNTRY_NAME")</f>
        <v>#INVALID COMPANY ID</v>
      </c>
      <c r="U322" t="s">
        <v>872</v>
      </c>
      <c r="V322">
        <v>4025426</v>
      </c>
      <c r="W322" t="s">
        <v>300</v>
      </c>
      <c r="X322" s="11">
        <v>0</v>
      </c>
      <c r="Y322" s="9" t="str">
        <f>_xll.SNL.Clients.Office.Excel.Functions.SPG(V322, "SP_COUNTRY_NAME")</f>
        <v>USA</v>
      </c>
      <c r="AD322" s="9" t="str">
        <f>_xll.SNL.Clients.Office.Excel.Functions.SPG(AA322, "SP_COUNTRY_NAME")</f>
        <v>#INVALID COMPANY ID</v>
      </c>
      <c r="AI322" s="9" t="str">
        <f>_xll.SNL.Clients.Office.Excel.Functions.SPG(AF322, "SP_COUNTRY_NAME")</f>
        <v>#INVALID COMPANY ID</v>
      </c>
      <c r="AN322" s="9" t="str">
        <f>_xll.SNL.Clients.Office.Excel.Functions.SPG(AK322, "SP_COUNTRY_NAME")</f>
        <v>#INVALID COMPANY ID</v>
      </c>
      <c r="AS322" s="9" t="str">
        <f>_xll.SNL.Clients.Office.Excel.Functions.SPG(AP322, "SP_COUNTRY_NAME")</f>
        <v>#INVALID COMPANY ID</v>
      </c>
      <c r="AX322" s="9" t="str">
        <f>_xll.SNL.Clients.Office.Excel.Functions.SPG(AU322, "SP_COUNTRY_NAME")</f>
        <v>#INVALID COMPANY ID</v>
      </c>
      <c r="BC322" s="9" t="str">
        <f>_xll.SNL.Clients.Office.Excel.Functions.SPG(AZ322, "SP_COUNTRY_NAME")</f>
        <v>#INVALID COMPANY ID</v>
      </c>
      <c r="BD322" t="s">
        <v>1146</v>
      </c>
      <c r="BE322">
        <v>4138223</v>
      </c>
      <c r="BF322" t="s">
        <v>346</v>
      </c>
      <c r="BG322" s="11">
        <v>0</v>
      </c>
      <c r="BH322" s="9" t="str">
        <f>_xll.SNL.Clients.Office.Excel.Functions.SPG(BE322, "SP_COUNTRY_NAME")</f>
        <v>Switzerland</v>
      </c>
      <c r="BM322" s="9" t="str">
        <f>_xll.SNL.Clients.Office.Excel.Functions.SPG(BJ322, "SP_COUNTRY_NAME")</f>
        <v>#INVALID COMPANY ID</v>
      </c>
      <c r="BN322" t="s">
        <v>921</v>
      </c>
      <c r="BO322">
        <v>5853282</v>
      </c>
      <c r="BP322" t="s">
        <v>346</v>
      </c>
      <c r="BQ322" s="11">
        <v>0</v>
      </c>
      <c r="BR322" s="9" t="str">
        <f>_xll.SNL.Clients.Office.Excel.Functions.SPG(BO322, "SP_COUNTRY_NAME")</f>
        <v>China</v>
      </c>
      <c r="BS322" t="s">
        <v>890</v>
      </c>
      <c r="BT322">
        <v>4260136</v>
      </c>
      <c r="BU322" t="s">
        <v>346</v>
      </c>
      <c r="BV322" s="11">
        <v>0</v>
      </c>
      <c r="BW322" s="9" t="str">
        <f>_xll.SNL.Clients.Office.Excel.Functions.SPG(BT322, "SP_COUNTRY_NAME")</f>
        <v>France</v>
      </c>
      <c r="BX322" t="s">
        <v>872</v>
      </c>
      <c r="BY322">
        <v>4025426</v>
      </c>
      <c r="BZ322" t="s">
        <v>300</v>
      </c>
      <c r="CA322" s="11">
        <v>0</v>
      </c>
      <c r="CB322" s="9" t="str">
        <f>_xll.SNL.Clients.Office.Excel.Functions.SPG(BY322, "SP_COUNTRY_NAME")</f>
        <v>USA</v>
      </c>
      <c r="CC322" t="s">
        <v>1500</v>
      </c>
      <c r="CD322">
        <v>4388826</v>
      </c>
      <c r="CE322" t="s">
        <v>346</v>
      </c>
      <c r="CF322" s="11">
        <v>0</v>
      </c>
      <c r="CG322" s="9" t="str">
        <f>_xll.SNL.Clients.Office.Excel.Functions.SPG(CD322, "SP_COUNTRY_NAME")</f>
        <v>USA</v>
      </c>
      <c r="CL322" s="9" t="str">
        <f>_xll.SNL.Clients.Office.Excel.Functions.SPG(CI322, "SP_COUNTRY_NAME")</f>
        <v>#INVALID COMPANY ID</v>
      </c>
      <c r="CM322" t="s">
        <v>625</v>
      </c>
      <c r="CN322">
        <v>111206</v>
      </c>
      <c r="CO322" t="s">
        <v>346</v>
      </c>
      <c r="CP322" s="11">
        <v>0</v>
      </c>
      <c r="CQ322" s="9" t="str">
        <f>_xll.SNL.Clients.Office.Excel.Functions.SPG(CN322, "SP_COUNTRY_NAME")</f>
        <v>USA</v>
      </c>
      <c r="CV322" s="9" t="str">
        <f>_xll.SNL.Clients.Office.Excel.Functions.SPG(CS322, "SP_COUNTRY_NAME")</f>
        <v>#INVALID COMPANY ID</v>
      </c>
      <c r="DA322" s="9" t="str">
        <f>_xll.SNL.Clients.Office.Excel.Functions.SPG(CX322, "SP_COUNTRY_NAME")</f>
        <v>#INVALID COMPANY ID</v>
      </c>
      <c r="DB322" t="s">
        <v>1146</v>
      </c>
      <c r="DC322">
        <v>4138223</v>
      </c>
      <c r="DD322" t="s">
        <v>346</v>
      </c>
      <c r="DE322" s="11">
        <v>0</v>
      </c>
      <c r="DF322" s="9" t="str">
        <f>_xll.SNL.Clients.Office.Excel.Functions.SPG(DC322, "SP_COUNTRY_NAME")</f>
        <v>Switzerland</v>
      </c>
      <c r="DK322" s="9" t="str">
        <f>_xll.SNL.Clients.Office.Excel.Functions.SPG(DH322, "SP_COUNTRY_NAME")</f>
        <v>#INVALID COMPANY ID</v>
      </c>
      <c r="DL322" t="s">
        <v>1146</v>
      </c>
      <c r="DM322">
        <v>4138223</v>
      </c>
      <c r="DN322" t="s">
        <v>346</v>
      </c>
      <c r="DO322" s="11">
        <v>0</v>
      </c>
      <c r="DP322" s="9" t="str">
        <f>_xll.SNL.Clients.Office.Excel.Functions.SPG(DM322, "SP_COUNTRY_NAME")</f>
        <v>Switzerland</v>
      </c>
      <c r="DU322" s="9" t="str">
        <f>_xll.SNL.Clients.Office.Excel.Functions.SPG(DR322, "SP_COUNTRY_NAME")</f>
        <v>#INVALID COMPANY ID</v>
      </c>
      <c r="DZ322" s="9" t="str">
        <f>_xll.SNL.Clients.Office.Excel.Functions.SPG(DW322, "SP_COUNTRY_NAME")</f>
        <v>#INVALID COMPANY ID</v>
      </c>
      <c r="EA322" t="s">
        <v>1500</v>
      </c>
      <c r="EB322">
        <v>4388826</v>
      </c>
      <c r="EC322" t="s">
        <v>346</v>
      </c>
      <c r="ED322" s="11">
        <v>0</v>
      </c>
      <c r="EE322" s="9" t="str">
        <f>_xll.SNL.Clients.Office.Excel.Functions.SPG(EB322, "SP_COUNTRY_NAME")</f>
        <v>USA</v>
      </c>
      <c r="EF322" t="s">
        <v>1146</v>
      </c>
      <c r="EG322">
        <v>4138223</v>
      </c>
      <c r="EH322" t="s">
        <v>346</v>
      </c>
      <c r="EI322" s="11">
        <v>0</v>
      </c>
      <c r="EJ322" s="9" t="str">
        <f>_xll.SNL.Clients.Office.Excel.Functions.SPG(EG322, "SP_COUNTRY_NAME")</f>
        <v>Switzerland</v>
      </c>
      <c r="EO322" s="9" t="str">
        <f>_xll.SNL.Clients.Office.Excel.Functions.SPG(EL322, "SP_COUNTRY_NAME")</f>
        <v>#INVALID COMPANY ID</v>
      </c>
      <c r="ET322" s="9" t="str">
        <f>_xll.SNL.Clients.Office.Excel.Functions.SPG(EQ322, "SP_COUNTRY_NAME")</f>
        <v>#INVALID COMPANY ID</v>
      </c>
      <c r="EY322" s="9" t="str">
        <f>_xll.SNL.Clients.Office.Excel.Functions.SPG(EV322, "SP_COUNTRY_NAME")</f>
        <v>#INVALID COMPANY ID</v>
      </c>
      <c r="FD322" s="9" t="str">
        <f>_xll.SNL.Clients.Office.Excel.Functions.SPG(FA322, "SP_COUNTRY_NAME")</f>
        <v>#INVALID COMPANY ID</v>
      </c>
      <c r="FI322" s="9" t="str">
        <f>_xll.SNL.Clients.Office.Excel.Functions.SPG(FF322, "SP_COUNTRY_NAME")</f>
        <v>#INVALID COMPANY ID</v>
      </c>
      <c r="FN322" s="9" t="str">
        <f>_xll.SNL.Clients.Office.Excel.Functions.SPG(FK322, "SP_COUNTRY_NAME")</f>
        <v>#INVALID COMPANY ID</v>
      </c>
      <c r="FS322" s="9" t="str">
        <f>_xll.SNL.Clients.Office.Excel.Functions.SPG(FP322, "SP_COUNTRY_NAME")</f>
        <v>#INVALID COMPANY ID</v>
      </c>
      <c r="FX322" s="9" t="str">
        <f>_xll.SNL.Clients.Office.Excel.Functions.SPG(FU322, "SP_COUNTRY_NAME")</f>
        <v>#INVALID COMPANY ID</v>
      </c>
      <c r="FY322" t="s">
        <v>1146</v>
      </c>
      <c r="FZ322">
        <v>4138223</v>
      </c>
      <c r="GA322" t="s">
        <v>346</v>
      </c>
      <c r="GB322" s="11">
        <v>0</v>
      </c>
      <c r="GC322" s="9" t="str">
        <f>_xll.SNL.Clients.Office.Excel.Functions.SPG(FZ322, "SP_COUNTRY_NAME")</f>
        <v>Switzerland</v>
      </c>
      <c r="GH322" s="9" t="str">
        <f>_xll.SNL.Clients.Office.Excel.Functions.SPG(GE322, "SP_COUNTRY_NAME")</f>
        <v>#INVALID COMPANY ID</v>
      </c>
      <c r="GM322" s="9" t="str">
        <f>_xll.SNL.Clients.Office.Excel.Functions.SPG(GJ322, "SP_COUNTRY_NAME")</f>
        <v>#INVALID COMPANY ID</v>
      </c>
      <c r="GR322" s="9" t="str">
        <f>_xll.SNL.Clients.Office.Excel.Functions.SPG(GO322, "SP_COUNTRY_NAME")</f>
        <v>#INVALID COMPANY ID</v>
      </c>
      <c r="GS322" t="s">
        <v>921</v>
      </c>
      <c r="GT322">
        <v>5853282</v>
      </c>
      <c r="GU322" t="s">
        <v>346</v>
      </c>
      <c r="GV322" s="11">
        <v>0</v>
      </c>
      <c r="GW322" s="9" t="str">
        <f>_xll.SNL.Clients.Office.Excel.Functions.SPG(GT322, "SP_COUNTRY_NAME")</f>
        <v>China</v>
      </c>
      <c r="GX322" t="s">
        <v>1500</v>
      </c>
      <c r="GY322">
        <v>4388826</v>
      </c>
      <c r="GZ322" t="s">
        <v>346</v>
      </c>
      <c r="HA322" s="11">
        <v>0</v>
      </c>
      <c r="HB322" s="9" t="str">
        <f>_xll.SNL.Clients.Office.Excel.Functions.SPG(GY322, "SP_COUNTRY_NAME")</f>
        <v>USA</v>
      </c>
      <c r="HG322" s="9" t="str">
        <f>_xll.SNL.Clients.Office.Excel.Functions.SPG(HD322, "SP_COUNTRY_NAME")</f>
        <v>#INVALID COMPANY ID</v>
      </c>
    </row>
    <row r="323" spans="5:215" x14ac:dyDescent="0.35">
      <c r="E323" s="9" t="str">
        <f>_xll.SNL.Clients.Office.Excel.Functions.SPG(B323, "SP_COUNTRY_NAME")</f>
        <v>#INVALID COMPANY ID</v>
      </c>
      <c r="J323" s="9" t="str">
        <f>_xll.SNL.Clients.Office.Excel.Functions.SPG(G323, "SP_COUNTRY_NAME")</f>
        <v>#INVALID COMPANY ID</v>
      </c>
      <c r="O323" s="9" t="str">
        <f>_xll.SNL.Clients.Office.Excel.Functions.SPG(L323, "SP_COUNTRY_NAME")</f>
        <v>#INVALID COMPANY ID</v>
      </c>
      <c r="T323" s="9" t="str">
        <f>_xll.SNL.Clients.Office.Excel.Functions.SPG(Q323, "SP_COUNTRY_NAME")</f>
        <v>#INVALID COMPANY ID</v>
      </c>
      <c r="U323" t="s">
        <v>873</v>
      </c>
      <c r="V323">
        <v>4873872</v>
      </c>
      <c r="W323" t="s">
        <v>346</v>
      </c>
      <c r="X323" s="11">
        <v>0</v>
      </c>
      <c r="Y323" s="9" t="str">
        <f>_xll.SNL.Clients.Office.Excel.Functions.SPG(V323, "SP_COUNTRY_NAME")</f>
        <v>Spain</v>
      </c>
      <c r="AD323" s="9" t="str">
        <f>_xll.SNL.Clients.Office.Excel.Functions.SPG(AA323, "SP_COUNTRY_NAME")</f>
        <v>#INVALID COMPANY ID</v>
      </c>
      <c r="AI323" s="9" t="str">
        <f>_xll.SNL.Clients.Office.Excel.Functions.SPG(AF323, "SP_COUNTRY_NAME")</f>
        <v>#INVALID COMPANY ID</v>
      </c>
      <c r="AN323" s="9" t="str">
        <f>_xll.SNL.Clients.Office.Excel.Functions.SPG(AK323, "SP_COUNTRY_NAME")</f>
        <v>#INVALID COMPANY ID</v>
      </c>
      <c r="AS323" s="9" t="str">
        <f>_xll.SNL.Clients.Office.Excel.Functions.SPG(AP323, "SP_COUNTRY_NAME")</f>
        <v>#INVALID COMPANY ID</v>
      </c>
      <c r="AX323" s="9" t="str">
        <f>_xll.SNL.Clients.Office.Excel.Functions.SPG(AU323, "SP_COUNTRY_NAME")</f>
        <v>#INVALID COMPANY ID</v>
      </c>
      <c r="BC323" s="9" t="str">
        <f>_xll.SNL.Clients.Office.Excel.Functions.SPG(AZ323, "SP_COUNTRY_NAME")</f>
        <v>#INVALID COMPANY ID</v>
      </c>
      <c r="BD323" t="s">
        <v>1492</v>
      </c>
      <c r="BE323">
        <v>4229289</v>
      </c>
      <c r="BF323" t="s">
        <v>346</v>
      </c>
      <c r="BG323" s="11">
        <v>0</v>
      </c>
      <c r="BH323" s="9" t="str">
        <f>_xll.SNL.Clients.Office.Excel.Functions.SPG(BE323, "SP_COUNTRY_NAME")</f>
        <v>Luxembourg</v>
      </c>
      <c r="BM323" s="9" t="str">
        <f>_xll.SNL.Clients.Office.Excel.Functions.SPG(BJ323, "SP_COUNTRY_NAME")</f>
        <v>#INVALID COMPANY ID</v>
      </c>
      <c r="BN323" t="s">
        <v>591</v>
      </c>
      <c r="BO323">
        <v>109721</v>
      </c>
      <c r="BP323" t="s">
        <v>346</v>
      </c>
      <c r="BQ323" s="11">
        <v>0</v>
      </c>
      <c r="BR323" s="9" t="str">
        <f>_xll.SNL.Clients.Office.Excel.Functions.SPG(BO323, "SP_COUNTRY_NAME")</f>
        <v>USA</v>
      </c>
      <c r="BS323" t="s">
        <v>820</v>
      </c>
      <c r="BT323">
        <v>4240804</v>
      </c>
      <c r="BU323" t="s">
        <v>346</v>
      </c>
      <c r="BV323" s="11">
        <v>0</v>
      </c>
      <c r="BW323" s="9" t="str">
        <f>_xll.SNL.Clients.Office.Excel.Functions.SPG(BT323, "SP_COUNTRY_NAME")</f>
        <v>Taiwan</v>
      </c>
      <c r="BX323" t="s">
        <v>873</v>
      </c>
      <c r="BY323">
        <v>4873872</v>
      </c>
      <c r="BZ323" t="s">
        <v>346</v>
      </c>
      <c r="CA323" s="11">
        <v>0</v>
      </c>
      <c r="CB323" s="9" t="str">
        <f>_xll.SNL.Clients.Office.Excel.Functions.SPG(BY323, "SP_COUNTRY_NAME")</f>
        <v>Spain</v>
      </c>
      <c r="CC323" t="s">
        <v>1774</v>
      </c>
      <c r="CD323">
        <v>5774712</v>
      </c>
      <c r="CE323" t="s">
        <v>346</v>
      </c>
      <c r="CF323" s="11">
        <v>0</v>
      </c>
      <c r="CG323" s="9" t="str">
        <f>_xll.SNL.Clients.Office.Excel.Functions.SPG(CD323, "SP_COUNTRY_NAME")</f>
        <v>USA</v>
      </c>
      <c r="CL323" s="9" t="str">
        <f>_xll.SNL.Clients.Office.Excel.Functions.SPG(CI323, "SP_COUNTRY_NAME")</f>
        <v>#INVALID COMPANY ID</v>
      </c>
      <c r="CM323" t="s">
        <v>2037</v>
      </c>
      <c r="CN323">
        <v>4305266</v>
      </c>
      <c r="CO323" t="s">
        <v>346</v>
      </c>
      <c r="CP323" s="11">
        <v>0</v>
      </c>
      <c r="CQ323" s="9" t="str">
        <f>_xll.SNL.Clients.Office.Excel.Functions.SPG(CN323, "SP_COUNTRY_NAME")</f>
        <v>USA</v>
      </c>
      <c r="CV323" s="9" t="str">
        <f>_xll.SNL.Clients.Office.Excel.Functions.SPG(CS323, "SP_COUNTRY_NAME")</f>
        <v>#INVALID COMPANY ID</v>
      </c>
      <c r="DA323" s="9" t="str">
        <f>_xll.SNL.Clients.Office.Excel.Functions.SPG(CX323, "SP_COUNTRY_NAME")</f>
        <v>#INVALID COMPANY ID</v>
      </c>
      <c r="DB323" t="s">
        <v>1492</v>
      </c>
      <c r="DC323">
        <v>4229289</v>
      </c>
      <c r="DD323" t="s">
        <v>346</v>
      </c>
      <c r="DE323" s="11">
        <v>0</v>
      </c>
      <c r="DF323" s="9" t="str">
        <f>_xll.SNL.Clients.Office.Excel.Functions.SPG(DC323, "SP_COUNTRY_NAME")</f>
        <v>Luxembourg</v>
      </c>
      <c r="DK323" s="9" t="str">
        <f>_xll.SNL.Clients.Office.Excel.Functions.SPG(DH323, "SP_COUNTRY_NAME")</f>
        <v>#INVALID COMPANY ID</v>
      </c>
      <c r="DL323" t="s">
        <v>1492</v>
      </c>
      <c r="DM323">
        <v>4229289</v>
      </c>
      <c r="DN323" t="s">
        <v>346</v>
      </c>
      <c r="DO323" s="11">
        <v>0</v>
      </c>
      <c r="DP323" s="9" t="str">
        <f>_xll.SNL.Clients.Office.Excel.Functions.SPG(DM323, "SP_COUNTRY_NAME")</f>
        <v>Luxembourg</v>
      </c>
      <c r="DU323" s="9" t="str">
        <f>_xll.SNL.Clients.Office.Excel.Functions.SPG(DR323, "SP_COUNTRY_NAME")</f>
        <v>#INVALID COMPANY ID</v>
      </c>
      <c r="DZ323" s="9" t="str">
        <f>_xll.SNL.Clients.Office.Excel.Functions.SPG(DW323, "SP_COUNTRY_NAME")</f>
        <v>#INVALID COMPANY ID</v>
      </c>
      <c r="EA323" t="s">
        <v>1774</v>
      </c>
      <c r="EB323">
        <v>5774712</v>
      </c>
      <c r="EC323" t="s">
        <v>346</v>
      </c>
      <c r="ED323" s="11">
        <v>0</v>
      </c>
      <c r="EE323" s="9" t="str">
        <f>_xll.SNL.Clients.Office.Excel.Functions.SPG(EB323, "SP_COUNTRY_NAME")</f>
        <v>USA</v>
      </c>
      <c r="EF323" t="s">
        <v>1492</v>
      </c>
      <c r="EG323">
        <v>4229289</v>
      </c>
      <c r="EH323" t="s">
        <v>346</v>
      </c>
      <c r="EI323" s="11">
        <v>0</v>
      </c>
      <c r="EJ323" s="9" t="str">
        <f>_xll.SNL.Clients.Office.Excel.Functions.SPG(EG323, "SP_COUNTRY_NAME")</f>
        <v>Luxembourg</v>
      </c>
      <c r="EO323" s="9" t="str">
        <f>_xll.SNL.Clients.Office.Excel.Functions.SPG(EL323, "SP_COUNTRY_NAME")</f>
        <v>#INVALID COMPANY ID</v>
      </c>
      <c r="ET323" s="9" t="str">
        <f>_xll.SNL.Clients.Office.Excel.Functions.SPG(EQ323, "SP_COUNTRY_NAME")</f>
        <v>#INVALID COMPANY ID</v>
      </c>
      <c r="EY323" s="9" t="str">
        <f>_xll.SNL.Clients.Office.Excel.Functions.SPG(EV323, "SP_COUNTRY_NAME")</f>
        <v>#INVALID COMPANY ID</v>
      </c>
      <c r="FD323" s="9" t="str">
        <f>_xll.SNL.Clients.Office.Excel.Functions.SPG(FA323, "SP_COUNTRY_NAME")</f>
        <v>#INVALID COMPANY ID</v>
      </c>
      <c r="FI323" s="9" t="str">
        <f>_xll.SNL.Clients.Office.Excel.Functions.SPG(FF323, "SP_COUNTRY_NAME")</f>
        <v>#INVALID COMPANY ID</v>
      </c>
      <c r="FN323" s="9" t="str">
        <f>_xll.SNL.Clients.Office.Excel.Functions.SPG(FK323, "SP_COUNTRY_NAME")</f>
        <v>#INVALID COMPANY ID</v>
      </c>
      <c r="FS323" s="9" t="str">
        <f>_xll.SNL.Clients.Office.Excel.Functions.SPG(FP323, "SP_COUNTRY_NAME")</f>
        <v>#INVALID COMPANY ID</v>
      </c>
      <c r="FX323" s="9" t="str">
        <f>_xll.SNL.Clients.Office.Excel.Functions.SPG(FU323, "SP_COUNTRY_NAME")</f>
        <v>#INVALID COMPANY ID</v>
      </c>
      <c r="FY323" t="s">
        <v>1492</v>
      </c>
      <c r="FZ323">
        <v>4229289</v>
      </c>
      <c r="GA323" t="s">
        <v>346</v>
      </c>
      <c r="GB323" s="11">
        <v>0</v>
      </c>
      <c r="GC323" s="9" t="str">
        <f>_xll.SNL.Clients.Office.Excel.Functions.SPG(FZ323, "SP_COUNTRY_NAME")</f>
        <v>Luxembourg</v>
      </c>
      <c r="GH323" s="9" t="str">
        <f>_xll.SNL.Clients.Office.Excel.Functions.SPG(GE323, "SP_COUNTRY_NAME")</f>
        <v>#INVALID COMPANY ID</v>
      </c>
      <c r="GM323" s="9" t="str">
        <f>_xll.SNL.Clients.Office.Excel.Functions.SPG(GJ323, "SP_COUNTRY_NAME")</f>
        <v>#INVALID COMPANY ID</v>
      </c>
      <c r="GR323" s="9" t="str">
        <f>_xll.SNL.Clients.Office.Excel.Functions.SPG(GO323, "SP_COUNTRY_NAME")</f>
        <v>#INVALID COMPANY ID</v>
      </c>
      <c r="GS323" t="s">
        <v>591</v>
      </c>
      <c r="GT323">
        <v>109721</v>
      </c>
      <c r="GU323" t="s">
        <v>346</v>
      </c>
      <c r="GV323" s="11">
        <v>0</v>
      </c>
      <c r="GW323" s="9" t="str">
        <f>_xll.SNL.Clients.Office.Excel.Functions.SPG(GT323, "SP_COUNTRY_NAME")</f>
        <v>USA</v>
      </c>
      <c r="GX323" t="s">
        <v>1774</v>
      </c>
      <c r="GY323">
        <v>5774712</v>
      </c>
      <c r="GZ323" t="s">
        <v>346</v>
      </c>
      <c r="HA323" s="11">
        <v>0</v>
      </c>
      <c r="HB323" s="9" t="str">
        <f>_xll.SNL.Clients.Office.Excel.Functions.SPG(GY323, "SP_COUNTRY_NAME")</f>
        <v>USA</v>
      </c>
      <c r="HG323" s="9" t="str">
        <f>_xll.SNL.Clients.Office.Excel.Functions.SPG(HD323, "SP_COUNTRY_NAME")</f>
        <v>#INVALID COMPANY ID</v>
      </c>
    </row>
    <row r="324" spans="5:215" x14ac:dyDescent="0.35">
      <c r="E324" s="9" t="str">
        <f>_xll.SNL.Clients.Office.Excel.Functions.SPG(B324, "SP_COUNTRY_NAME")</f>
        <v>#INVALID COMPANY ID</v>
      </c>
      <c r="J324" s="9" t="str">
        <f>_xll.SNL.Clients.Office.Excel.Functions.SPG(G324, "SP_COUNTRY_NAME")</f>
        <v>#INVALID COMPANY ID</v>
      </c>
      <c r="O324" s="9" t="str">
        <f>_xll.SNL.Clients.Office.Excel.Functions.SPG(L324, "SP_COUNTRY_NAME")</f>
        <v>#INVALID COMPANY ID</v>
      </c>
      <c r="T324" s="9" t="str">
        <f>_xll.SNL.Clients.Office.Excel.Functions.SPG(Q324, "SP_COUNTRY_NAME")</f>
        <v>#INVALID COMPANY ID</v>
      </c>
      <c r="U324" t="s">
        <v>874</v>
      </c>
      <c r="V324">
        <v>4111802</v>
      </c>
      <c r="W324" t="s">
        <v>346</v>
      </c>
      <c r="X324" s="11">
        <v>0</v>
      </c>
      <c r="Y324" s="9" t="str">
        <f>_xll.SNL.Clients.Office.Excel.Functions.SPG(V324, "SP_COUNTRY_NAME")</f>
        <v>Japan</v>
      </c>
      <c r="AD324" s="9" t="str">
        <f>_xll.SNL.Clients.Office.Excel.Functions.SPG(AA324, "SP_COUNTRY_NAME")</f>
        <v>#INVALID COMPANY ID</v>
      </c>
      <c r="AI324" s="9" t="str">
        <f>_xll.SNL.Clients.Office.Excel.Functions.SPG(AF324, "SP_COUNTRY_NAME")</f>
        <v>#INVALID COMPANY ID</v>
      </c>
      <c r="AN324" s="9" t="str">
        <f>_xll.SNL.Clients.Office.Excel.Functions.SPG(AK324, "SP_COUNTRY_NAME")</f>
        <v>#INVALID COMPANY ID</v>
      </c>
      <c r="AS324" s="9" t="str">
        <f>_xll.SNL.Clients.Office.Excel.Functions.SPG(AP324, "SP_COUNTRY_NAME")</f>
        <v>#INVALID COMPANY ID</v>
      </c>
      <c r="AX324" s="9" t="str">
        <f>_xll.SNL.Clients.Office.Excel.Functions.SPG(AU324, "SP_COUNTRY_NAME")</f>
        <v>#INVALID COMPANY ID</v>
      </c>
      <c r="BC324" s="9" t="str">
        <f>_xll.SNL.Clients.Office.Excel.Functions.SPG(AZ324, "SP_COUNTRY_NAME")</f>
        <v>#INVALID COMPANY ID</v>
      </c>
      <c r="BD324" t="s">
        <v>1332</v>
      </c>
      <c r="BE324">
        <v>4949613</v>
      </c>
      <c r="BF324" t="s">
        <v>346</v>
      </c>
      <c r="BG324" s="11">
        <v>0</v>
      </c>
      <c r="BH324" s="9" t="str">
        <f>_xll.SNL.Clients.Office.Excel.Functions.SPG(BE324, "SP_COUNTRY_NAME")</f>
        <v>South Africa</v>
      </c>
      <c r="BM324" s="9" t="str">
        <f>_xll.SNL.Clients.Office.Excel.Functions.SPG(BJ324, "SP_COUNTRY_NAME")</f>
        <v>#INVALID COMPANY ID</v>
      </c>
      <c r="BN324" t="s">
        <v>502</v>
      </c>
      <c r="BO324">
        <v>4225041</v>
      </c>
      <c r="BP324" t="s">
        <v>346</v>
      </c>
      <c r="BQ324" s="11">
        <v>0</v>
      </c>
      <c r="BR324" s="9" t="str">
        <f>_xll.SNL.Clients.Office.Excel.Functions.SPG(BO324, "SP_COUNTRY_NAME")</f>
        <v>Ireland</v>
      </c>
      <c r="BS324" t="s">
        <v>835</v>
      </c>
      <c r="BT324">
        <v>4878959</v>
      </c>
      <c r="BU324" t="s">
        <v>346</v>
      </c>
      <c r="BV324" s="11">
        <v>0</v>
      </c>
      <c r="BW324" s="9" t="str">
        <f>_xll.SNL.Clients.Office.Excel.Functions.SPG(BT324, "SP_COUNTRY_NAME")</f>
        <v>China</v>
      </c>
      <c r="BX324" t="s">
        <v>874</v>
      </c>
      <c r="BY324">
        <v>4111802</v>
      </c>
      <c r="BZ324" t="s">
        <v>346</v>
      </c>
      <c r="CA324" s="11">
        <v>0</v>
      </c>
      <c r="CB324" s="9" t="str">
        <f>_xll.SNL.Clients.Office.Excel.Functions.SPG(BY324, "SP_COUNTRY_NAME")</f>
        <v>Japan</v>
      </c>
      <c r="CC324" t="s">
        <v>1775</v>
      </c>
      <c r="CD324">
        <v>4226156</v>
      </c>
      <c r="CE324" t="s">
        <v>364</v>
      </c>
      <c r="CF324" s="11">
        <v>0</v>
      </c>
      <c r="CG324" s="9" t="str">
        <f>_xll.SNL.Clients.Office.Excel.Functions.SPG(CD324, "SP_COUNTRY_NAME")</f>
        <v>USA</v>
      </c>
      <c r="CL324" s="9" t="str">
        <f>_xll.SNL.Clients.Office.Excel.Functions.SPG(CI324, "SP_COUNTRY_NAME")</f>
        <v>#INVALID COMPANY ID</v>
      </c>
      <c r="CM324" t="s">
        <v>1321</v>
      </c>
      <c r="CN324">
        <v>4213183</v>
      </c>
      <c r="CO324" t="s">
        <v>346</v>
      </c>
      <c r="CP324" s="11">
        <v>0</v>
      </c>
      <c r="CQ324" s="9" t="str">
        <f>_xll.SNL.Clients.Office.Excel.Functions.SPG(CN324, "SP_COUNTRY_NAME")</f>
        <v>South Africa</v>
      </c>
      <c r="CV324" s="9" t="str">
        <f>_xll.SNL.Clients.Office.Excel.Functions.SPG(CS324, "SP_COUNTRY_NAME")</f>
        <v>#INVALID COMPANY ID</v>
      </c>
      <c r="DA324" s="9" t="str">
        <f>_xll.SNL.Clients.Office.Excel.Functions.SPG(CX324, "SP_COUNTRY_NAME")</f>
        <v>#INVALID COMPANY ID</v>
      </c>
      <c r="DB324" t="s">
        <v>1332</v>
      </c>
      <c r="DC324">
        <v>4949613</v>
      </c>
      <c r="DD324" t="s">
        <v>346</v>
      </c>
      <c r="DE324" s="11">
        <v>0</v>
      </c>
      <c r="DF324" s="9" t="str">
        <f>_xll.SNL.Clients.Office.Excel.Functions.SPG(DC324, "SP_COUNTRY_NAME")</f>
        <v>South Africa</v>
      </c>
      <c r="DK324" s="9" t="str">
        <f>_xll.SNL.Clients.Office.Excel.Functions.SPG(DH324, "SP_COUNTRY_NAME")</f>
        <v>#INVALID COMPANY ID</v>
      </c>
      <c r="DL324" t="s">
        <v>1332</v>
      </c>
      <c r="DM324">
        <v>4949613</v>
      </c>
      <c r="DN324" t="s">
        <v>346</v>
      </c>
      <c r="DO324" s="11">
        <v>0</v>
      </c>
      <c r="DP324" s="9" t="str">
        <f>_xll.SNL.Clients.Office.Excel.Functions.SPG(DM324, "SP_COUNTRY_NAME")</f>
        <v>South Africa</v>
      </c>
      <c r="DU324" s="9" t="str">
        <f>_xll.SNL.Clients.Office.Excel.Functions.SPG(DR324, "SP_COUNTRY_NAME")</f>
        <v>#INVALID COMPANY ID</v>
      </c>
      <c r="DZ324" s="9" t="str">
        <f>_xll.SNL.Clients.Office.Excel.Functions.SPG(DW324, "SP_COUNTRY_NAME")</f>
        <v>#INVALID COMPANY ID</v>
      </c>
      <c r="EA324" t="s">
        <v>1775</v>
      </c>
      <c r="EB324">
        <v>4226156</v>
      </c>
      <c r="EC324" t="s">
        <v>364</v>
      </c>
      <c r="ED324" s="11">
        <v>0</v>
      </c>
      <c r="EE324" s="9" t="str">
        <f>_xll.SNL.Clients.Office.Excel.Functions.SPG(EB324, "SP_COUNTRY_NAME")</f>
        <v>USA</v>
      </c>
      <c r="EF324" t="s">
        <v>1332</v>
      </c>
      <c r="EG324">
        <v>4949613</v>
      </c>
      <c r="EH324" t="s">
        <v>346</v>
      </c>
      <c r="EI324" s="11">
        <v>0</v>
      </c>
      <c r="EJ324" s="9" t="str">
        <f>_xll.SNL.Clients.Office.Excel.Functions.SPG(EG324, "SP_COUNTRY_NAME")</f>
        <v>South Africa</v>
      </c>
      <c r="EO324" s="9" t="str">
        <f>_xll.SNL.Clients.Office.Excel.Functions.SPG(EL324, "SP_COUNTRY_NAME")</f>
        <v>#INVALID COMPANY ID</v>
      </c>
      <c r="ET324" s="9" t="str">
        <f>_xll.SNL.Clients.Office.Excel.Functions.SPG(EQ324, "SP_COUNTRY_NAME")</f>
        <v>#INVALID COMPANY ID</v>
      </c>
      <c r="EY324" s="9" t="str">
        <f>_xll.SNL.Clients.Office.Excel.Functions.SPG(EV324, "SP_COUNTRY_NAME")</f>
        <v>#INVALID COMPANY ID</v>
      </c>
      <c r="FD324" s="9" t="str">
        <f>_xll.SNL.Clients.Office.Excel.Functions.SPG(FA324, "SP_COUNTRY_NAME")</f>
        <v>#INVALID COMPANY ID</v>
      </c>
      <c r="FI324" s="9" t="str">
        <f>_xll.SNL.Clients.Office.Excel.Functions.SPG(FF324, "SP_COUNTRY_NAME")</f>
        <v>#INVALID COMPANY ID</v>
      </c>
      <c r="FN324" s="9" t="str">
        <f>_xll.SNL.Clients.Office.Excel.Functions.SPG(FK324, "SP_COUNTRY_NAME")</f>
        <v>#INVALID COMPANY ID</v>
      </c>
      <c r="FS324" s="9" t="str">
        <f>_xll.SNL.Clients.Office.Excel.Functions.SPG(FP324, "SP_COUNTRY_NAME")</f>
        <v>#INVALID COMPANY ID</v>
      </c>
      <c r="FX324" s="9" t="str">
        <f>_xll.SNL.Clients.Office.Excel.Functions.SPG(FU324, "SP_COUNTRY_NAME")</f>
        <v>#INVALID COMPANY ID</v>
      </c>
      <c r="FY324" t="s">
        <v>1332</v>
      </c>
      <c r="FZ324">
        <v>4949613</v>
      </c>
      <c r="GA324" t="s">
        <v>346</v>
      </c>
      <c r="GB324" s="11">
        <v>0</v>
      </c>
      <c r="GC324" s="9" t="str">
        <f>_xll.SNL.Clients.Office.Excel.Functions.SPG(FZ324, "SP_COUNTRY_NAME")</f>
        <v>South Africa</v>
      </c>
      <c r="GH324" s="9" t="str">
        <f>_xll.SNL.Clients.Office.Excel.Functions.SPG(GE324, "SP_COUNTRY_NAME")</f>
        <v>#INVALID COMPANY ID</v>
      </c>
      <c r="GM324" s="9" t="str">
        <f>_xll.SNL.Clients.Office.Excel.Functions.SPG(GJ324, "SP_COUNTRY_NAME")</f>
        <v>#INVALID COMPANY ID</v>
      </c>
      <c r="GR324" s="9" t="str">
        <f>_xll.SNL.Clients.Office.Excel.Functions.SPG(GO324, "SP_COUNTRY_NAME")</f>
        <v>#INVALID COMPANY ID</v>
      </c>
      <c r="GS324" t="s">
        <v>502</v>
      </c>
      <c r="GT324">
        <v>4225041</v>
      </c>
      <c r="GU324" t="s">
        <v>346</v>
      </c>
      <c r="GV324" s="11">
        <v>0</v>
      </c>
      <c r="GW324" s="9" t="str">
        <f>_xll.SNL.Clients.Office.Excel.Functions.SPG(GT324, "SP_COUNTRY_NAME")</f>
        <v>Ireland</v>
      </c>
      <c r="GX324" t="s">
        <v>1775</v>
      </c>
      <c r="GY324">
        <v>4226156</v>
      </c>
      <c r="GZ324" t="s">
        <v>364</v>
      </c>
      <c r="HA324" s="11">
        <v>0</v>
      </c>
      <c r="HB324" s="9" t="str">
        <f>_xll.SNL.Clients.Office.Excel.Functions.SPG(GY324, "SP_COUNTRY_NAME")</f>
        <v>USA</v>
      </c>
      <c r="HG324" s="9" t="str">
        <f>_xll.SNL.Clients.Office.Excel.Functions.SPG(HD324, "SP_COUNTRY_NAME")</f>
        <v>#INVALID COMPANY ID</v>
      </c>
    </row>
    <row r="325" spans="5:215" x14ac:dyDescent="0.35">
      <c r="E325" s="9" t="str">
        <f>_xll.SNL.Clients.Office.Excel.Functions.SPG(B325, "SP_COUNTRY_NAME")</f>
        <v>#INVALID COMPANY ID</v>
      </c>
      <c r="J325" s="9" t="str">
        <f>_xll.SNL.Clients.Office.Excel.Functions.SPG(G325, "SP_COUNTRY_NAME")</f>
        <v>#INVALID COMPANY ID</v>
      </c>
      <c r="O325" s="9" t="str">
        <f>_xll.SNL.Clients.Office.Excel.Functions.SPG(L325, "SP_COUNTRY_NAME")</f>
        <v>#INVALID COMPANY ID</v>
      </c>
      <c r="T325" s="9" t="str">
        <f>_xll.SNL.Clients.Office.Excel.Functions.SPG(Q325, "SP_COUNTRY_NAME")</f>
        <v>#INVALID COMPANY ID</v>
      </c>
      <c r="U325" t="s">
        <v>631</v>
      </c>
      <c r="V325">
        <v>112247511</v>
      </c>
      <c r="W325" t="s">
        <v>346</v>
      </c>
      <c r="X325" s="11">
        <v>0</v>
      </c>
      <c r="Y325" s="9" t="str">
        <f>_xll.SNL.Clients.Office.Excel.Functions.SPG(V325, "SP_COUNTRY_NAME")</f>
        <v>USA</v>
      </c>
      <c r="AD325" s="9" t="str">
        <f>_xll.SNL.Clients.Office.Excel.Functions.SPG(AA325, "SP_COUNTRY_NAME")</f>
        <v>#INVALID COMPANY ID</v>
      </c>
      <c r="AI325" s="9" t="str">
        <f>_xll.SNL.Clients.Office.Excel.Functions.SPG(AF325, "SP_COUNTRY_NAME")</f>
        <v>#INVALID COMPANY ID</v>
      </c>
      <c r="AN325" s="9" t="str">
        <f>_xll.SNL.Clients.Office.Excel.Functions.SPG(AK325, "SP_COUNTRY_NAME")</f>
        <v>#INVALID COMPANY ID</v>
      </c>
      <c r="AS325" s="9" t="str">
        <f>_xll.SNL.Clients.Office.Excel.Functions.SPG(AP325, "SP_COUNTRY_NAME")</f>
        <v>#INVALID COMPANY ID</v>
      </c>
      <c r="AX325" s="9" t="str">
        <f>_xll.SNL.Clients.Office.Excel.Functions.SPG(AU325, "SP_COUNTRY_NAME")</f>
        <v>#INVALID COMPANY ID</v>
      </c>
      <c r="BC325" s="9" t="str">
        <f>_xll.SNL.Clients.Office.Excel.Functions.SPG(AZ325, "SP_COUNTRY_NAME")</f>
        <v>#INVALID COMPANY ID</v>
      </c>
      <c r="BD325" t="s">
        <v>586</v>
      </c>
      <c r="BE325">
        <v>4251516</v>
      </c>
      <c r="BF325" t="s">
        <v>346</v>
      </c>
      <c r="BG325" s="11">
        <v>0</v>
      </c>
      <c r="BH325" s="9" t="str">
        <f>_xll.SNL.Clients.Office.Excel.Functions.SPG(BE325, "SP_COUNTRY_NAME")</f>
        <v>Switzerland</v>
      </c>
      <c r="BM325" s="9" t="str">
        <f>_xll.SNL.Clients.Office.Excel.Functions.SPG(BJ325, "SP_COUNTRY_NAME")</f>
        <v>#INVALID COMPANY ID</v>
      </c>
      <c r="BN325" t="s">
        <v>812</v>
      </c>
      <c r="BO325" t="s">
        <v>300</v>
      </c>
      <c r="BP325" t="s">
        <v>361</v>
      </c>
      <c r="BQ325" s="11">
        <v>0</v>
      </c>
      <c r="BR325" s="9" t="str">
        <f>_xll.SNL.Clients.Office.Excel.Functions.SPG(BO325, "SP_COUNTRY_NAME")</f>
        <v>China</v>
      </c>
      <c r="BS325" t="s">
        <v>1021</v>
      </c>
      <c r="BT325" t="s">
        <v>300</v>
      </c>
      <c r="BU325" t="s">
        <v>361</v>
      </c>
      <c r="BV325" s="11">
        <v>0</v>
      </c>
      <c r="BW325" s="9" t="str">
        <f>_xll.SNL.Clients.Office.Excel.Functions.SPG(BT325, "SP_COUNTRY_NAME")</f>
        <v>China</v>
      </c>
      <c r="BX325" t="s">
        <v>631</v>
      </c>
      <c r="BY325">
        <v>112247511</v>
      </c>
      <c r="BZ325" t="s">
        <v>346</v>
      </c>
      <c r="CA325" s="11">
        <v>0</v>
      </c>
      <c r="CB325" s="9" t="str">
        <f>_xll.SNL.Clients.Office.Excel.Functions.SPG(BY325, "SP_COUNTRY_NAME")</f>
        <v>USA</v>
      </c>
      <c r="CC325" t="s">
        <v>1185</v>
      </c>
      <c r="CD325">
        <v>110616</v>
      </c>
      <c r="CE325" t="s">
        <v>346</v>
      </c>
      <c r="CF325" s="11">
        <v>0</v>
      </c>
      <c r="CG325" s="9" t="str">
        <f>_xll.SNL.Clients.Office.Excel.Functions.SPG(CD325, "SP_COUNTRY_NAME")</f>
        <v>United Kingdom</v>
      </c>
      <c r="CL325" s="9" t="str">
        <f>_xll.SNL.Clients.Office.Excel.Functions.SPG(CI325, "SP_COUNTRY_NAME")</f>
        <v>#INVALID COMPANY ID</v>
      </c>
      <c r="CM325" t="s">
        <v>2038</v>
      </c>
      <c r="CN325">
        <v>4677843</v>
      </c>
      <c r="CO325" t="s">
        <v>346</v>
      </c>
      <c r="CP325" s="11">
        <v>0</v>
      </c>
      <c r="CQ325" s="9" t="str">
        <f>_xll.SNL.Clients.Office.Excel.Functions.SPG(CN325, "SP_COUNTRY_NAME")</f>
        <v>USA</v>
      </c>
      <c r="CV325" s="9" t="str">
        <f>_xll.SNL.Clients.Office.Excel.Functions.SPG(CS325, "SP_COUNTRY_NAME")</f>
        <v>#INVALID COMPANY ID</v>
      </c>
      <c r="DA325" s="9" t="str">
        <f>_xll.SNL.Clients.Office.Excel.Functions.SPG(CX325, "SP_COUNTRY_NAME")</f>
        <v>#INVALID COMPANY ID</v>
      </c>
      <c r="DB325" t="s">
        <v>586</v>
      </c>
      <c r="DC325">
        <v>4251516</v>
      </c>
      <c r="DD325" t="s">
        <v>346</v>
      </c>
      <c r="DE325" s="11">
        <v>0</v>
      </c>
      <c r="DF325" s="9" t="str">
        <f>_xll.SNL.Clients.Office.Excel.Functions.SPG(DC325, "SP_COUNTRY_NAME")</f>
        <v>Switzerland</v>
      </c>
      <c r="DK325" s="9" t="str">
        <f>_xll.SNL.Clients.Office.Excel.Functions.SPG(DH325, "SP_COUNTRY_NAME")</f>
        <v>#INVALID COMPANY ID</v>
      </c>
      <c r="DL325" t="s">
        <v>586</v>
      </c>
      <c r="DM325">
        <v>4251516</v>
      </c>
      <c r="DN325" t="s">
        <v>346</v>
      </c>
      <c r="DO325" s="11">
        <v>0</v>
      </c>
      <c r="DP325" s="9" t="str">
        <f>_xll.SNL.Clients.Office.Excel.Functions.SPG(DM325, "SP_COUNTRY_NAME")</f>
        <v>Switzerland</v>
      </c>
      <c r="DU325" s="9" t="str">
        <f>_xll.SNL.Clients.Office.Excel.Functions.SPG(DR325, "SP_COUNTRY_NAME")</f>
        <v>#INVALID COMPANY ID</v>
      </c>
      <c r="DZ325" s="9" t="str">
        <f>_xll.SNL.Clients.Office.Excel.Functions.SPG(DW325, "SP_COUNTRY_NAME")</f>
        <v>#INVALID COMPANY ID</v>
      </c>
      <c r="EA325" t="s">
        <v>1185</v>
      </c>
      <c r="EB325">
        <v>110616</v>
      </c>
      <c r="EC325" t="s">
        <v>346</v>
      </c>
      <c r="ED325" s="11">
        <v>0</v>
      </c>
      <c r="EE325" s="9" t="str">
        <f>_xll.SNL.Clients.Office.Excel.Functions.SPG(EB325, "SP_COUNTRY_NAME")</f>
        <v>United Kingdom</v>
      </c>
      <c r="EF325" t="s">
        <v>586</v>
      </c>
      <c r="EG325">
        <v>4251516</v>
      </c>
      <c r="EH325" t="s">
        <v>346</v>
      </c>
      <c r="EI325" s="11">
        <v>0</v>
      </c>
      <c r="EJ325" s="9" t="str">
        <f>_xll.SNL.Clients.Office.Excel.Functions.SPG(EG325, "SP_COUNTRY_NAME")</f>
        <v>Switzerland</v>
      </c>
      <c r="EO325" s="9" t="str">
        <f>_xll.SNL.Clients.Office.Excel.Functions.SPG(EL325, "SP_COUNTRY_NAME")</f>
        <v>#INVALID COMPANY ID</v>
      </c>
      <c r="ET325" s="9" t="str">
        <f>_xll.SNL.Clients.Office.Excel.Functions.SPG(EQ325, "SP_COUNTRY_NAME")</f>
        <v>#INVALID COMPANY ID</v>
      </c>
      <c r="EY325" s="9" t="str">
        <f>_xll.SNL.Clients.Office.Excel.Functions.SPG(EV325, "SP_COUNTRY_NAME")</f>
        <v>#INVALID COMPANY ID</v>
      </c>
      <c r="FD325" s="9" t="str">
        <f>_xll.SNL.Clients.Office.Excel.Functions.SPG(FA325, "SP_COUNTRY_NAME")</f>
        <v>#INVALID COMPANY ID</v>
      </c>
      <c r="FI325" s="9" t="str">
        <f>_xll.SNL.Clients.Office.Excel.Functions.SPG(FF325, "SP_COUNTRY_NAME")</f>
        <v>#INVALID COMPANY ID</v>
      </c>
      <c r="FN325" s="9" t="str">
        <f>_xll.SNL.Clients.Office.Excel.Functions.SPG(FK325, "SP_COUNTRY_NAME")</f>
        <v>#INVALID COMPANY ID</v>
      </c>
      <c r="FS325" s="9" t="str">
        <f>_xll.SNL.Clients.Office.Excel.Functions.SPG(FP325, "SP_COUNTRY_NAME")</f>
        <v>#INVALID COMPANY ID</v>
      </c>
      <c r="FX325" s="9" t="str">
        <f>_xll.SNL.Clients.Office.Excel.Functions.SPG(FU325, "SP_COUNTRY_NAME")</f>
        <v>#INVALID COMPANY ID</v>
      </c>
      <c r="FY325" t="s">
        <v>586</v>
      </c>
      <c r="FZ325">
        <v>4251516</v>
      </c>
      <c r="GA325" t="s">
        <v>346</v>
      </c>
      <c r="GB325" s="11">
        <v>0</v>
      </c>
      <c r="GC325" s="9" t="str">
        <f>_xll.SNL.Clients.Office.Excel.Functions.SPG(FZ325, "SP_COUNTRY_NAME")</f>
        <v>Switzerland</v>
      </c>
      <c r="GH325" s="9" t="str">
        <f>_xll.SNL.Clients.Office.Excel.Functions.SPG(GE325, "SP_COUNTRY_NAME")</f>
        <v>#INVALID COMPANY ID</v>
      </c>
      <c r="GM325" s="9" t="str">
        <f>_xll.SNL.Clients.Office.Excel.Functions.SPG(GJ325, "SP_COUNTRY_NAME")</f>
        <v>#INVALID COMPANY ID</v>
      </c>
      <c r="GR325" s="9" t="str">
        <f>_xll.SNL.Clients.Office.Excel.Functions.SPG(GO325, "SP_COUNTRY_NAME")</f>
        <v>#INVALID COMPANY ID</v>
      </c>
      <c r="GS325" t="s">
        <v>812</v>
      </c>
      <c r="GT325" t="s">
        <v>300</v>
      </c>
      <c r="GU325" t="s">
        <v>361</v>
      </c>
      <c r="GV325" s="11">
        <v>0</v>
      </c>
      <c r="GW325" s="9" t="str">
        <f>_xll.SNL.Clients.Office.Excel.Functions.SPG(GT325, "SP_COUNTRY_NAME")</f>
        <v>China</v>
      </c>
      <c r="GX325" t="s">
        <v>1185</v>
      </c>
      <c r="GY325">
        <v>110616</v>
      </c>
      <c r="GZ325" t="s">
        <v>346</v>
      </c>
      <c r="HA325" s="11">
        <v>0</v>
      </c>
      <c r="HB325" s="9" t="str">
        <f>_xll.SNL.Clients.Office.Excel.Functions.SPG(GY325, "SP_COUNTRY_NAME")</f>
        <v>United Kingdom</v>
      </c>
      <c r="HG325" s="9" t="str">
        <f>_xll.SNL.Clients.Office.Excel.Functions.SPG(HD325, "SP_COUNTRY_NAME")</f>
        <v>#INVALID COMPANY ID</v>
      </c>
    </row>
    <row r="326" spans="5:215" x14ac:dyDescent="0.35">
      <c r="E326" s="9" t="str">
        <f>_xll.SNL.Clients.Office.Excel.Functions.SPG(B326, "SP_COUNTRY_NAME")</f>
        <v>#INVALID COMPANY ID</v>
      </c>
      <c r="J326" s="9" t="str">
        <f>_xll.SNL.Clients.Office.Excel.Functions.SPG(G326, "SP_COUNTRY_NAME")</f>
        <v>#INVALID COMPANY ID</v>
      </c>
      <c r="O326" s="9" t="str">
        <f>_xll.SNL.Clients.Office.Excel.Functions.SPG(L326, "SP_COUNTRY_NAME")</f>
        <v>#INVALID COMPANY ID</v>
      </c>
      <c r="T326" s="9" t="str">
        <f>_xll.SNL.Clients.Office.Excel.Functions.SPG(Q326, "SP_COUNTRY_NAME")</f>
        <v>#INVALID COMPANY ID</v>
      </c>
      <c r="U326" t="s">
        <v>875</v>
      </c>
      <c r="V326">
        <v>4139902</v>
      </c>
      <c r="W326" t="s">
        <v>346</v>
      </c>
      <c r="X326" s="11">
        <v>0</v>
      </c>
      <c r="Y326" s="9" t="str">
        <f>_xll.SNL.Clients.Office.Excel.Functions.SPG(V326, "SP_COUNTRY_NAME")</f>
        <v>China</v>
      </c>
      <c r="AD326" s="9" t="str">
        <f>_xll.SNL.Clients.Office.Excel.Functions.SPG(AA326, "SP_COUNTRY_NAME")</f>
        <v>#INVALID COMPANY ID</v>
      </c>
      <c r="AI326" s="9" t="str">
        <f>_xll.SNL.Clients.Office.Excel.Functions.SPG(AF326, "SP_COUNTRY_NAME")</f>
        <v>#INVALID COMPANY ID</v>
      </c>
      <c r="AN326" s="9" t="str">
        <f>_xll.SNL.Clients.Office.Excel.Functions.SPG(AK326, "SP_COUNTRY_NAME")</f>
        <v>#INVALID COMPANY ID</v>
      </c>
      <c r="AS326" s="9" t="str">
        <f>_xll.SNL.Clients.Office.Excel.Functions.SPG(AP326, "SP_COUNTRY_NAME")</f>
        <v>#INVALID COMPANY ID</v>
      </c>
      <c r="AX326" s="9" t="str">
        <f>_xll.SNL.Clients.Office.Excel.Functions.SPG(AU326, "SP_COUNTRY_NAME")</f>
        <v>#INVALID COMPANY ID</v>
      </c>
      <c r="BC326" s="9" t="str">
        <f>_xll.SNL.Clients.Office.Excel.Functions.SPG(AZ326, "SP_COUNTRY_NAME")</f>
        <v>#INVALID COMPANY ID</v>
      </c>
      <c r="BD326" t="s">
        <v>519</v>
      </c>
      <c r="BE326">
        <v>109968</v>
      </c>
      <c r="BF326" t="s">
        <v>346</v>
      </c>
      <c r="BG326" s="11">
        <v>0</v>
      </c>
      <c r="BH326" s="9" t="str">
        <f>_xll.SNL.Clients.Office.Excel.Functions.SPG(BE326, "SP_COUNTRY_NAME")</f>
        <v>USA</v>
      </c>
      <c r="BM326" s="9" t="str">
        <f>_xll.SNL.Clients.Office.Excel.Functions.SPG(BJ326, "SP_COUNTRY_NAME")</f>
        <v>#INVALID COMPANY ID</v>
      </c>
      <c r="BN326" t="s">
        <v>891</v>
      </c>
      <c r="BO326">
        <v>4190959</v>
      </c>
      <c r="BP326" t="s">
        <v>346</v>
      </c>
      <c r="BQ326" s="11">
        <v>0</v>
      </c>
      <c r="BR326" s="9" t="str">
        <f>_xll.SNL.Clients.Office.Excel.Functions.SPG(BO326, "SP_COUNTRY_NAME")</f>
        <v>Malaysia</v>
      </c>
      <c r="BS326" t="s">
        <v>1022</v>
      </c>
      <c r="BT326">
        <v>4139961</v>
      </c>
      <c r="BU326" t="s">
        <v>346</v>
      </c>
      <c r="BV326" s="11">
        <v>0</v>
      </c>
      <c r="BW326" s="9" t="str">
        <f>_xll.SNL.Clients.Office.Excel.Functions.SPG(BT326, "SP_COUNTRY_NAME")</f>
        <v>Switzerland</v>
      </c>
      <c r="BX326" t="s">
        <v>875</v>
      </c>
      <c r="BY326">
        <v>4139902</v>
      </c>
      <c r="BZ326" t="s">
        <v>346</v>
      </c>
      <c r="CA326" s="11">
        <v>0</v>
      </c>
      <c r="CB326" s="9" t="str">
        <f>_xll.SNL.Clients.Office.Excel.Functions.SPG(BY326, "SP_COUNTRY_NAME")</f>
        <v>China</v>
      </c>
      <c r="CC326" t="s">
        <v>880</v>
      </c>
      <c r="CD326">
        <v>4139864</v>
      </c>
      <c r="CE326" t="s">
        <v>346</v>
      </c>
      <c r="CF326" s="11">
        <v>0</v>
      </c>
      <c r="CG326" s="9" t="str">
        <f>_xll.SNL.Clients.Office.Excel.Functions.SPG(CD326, "SP_COUNTRY_NAME")</f>
        <v>United Kingdom</v>
      </c>
      <c r="CL326" s="9" t="str">
        <f>_xll.SNL.Clients.Office.Excel.Functions.SPG(CI326, "SP_COUNTRY_NAME")</f>
        <v>#INVALID COMPANY ID</v>
      </c>
      <c r="CM326" t="s">
        <v>2039</v>
      </c>
      <c r="CN326">
        <v>5776234</v>
      </c>
      <c r="CO326" t="s">
        <v>346</v>
      </c>
      <c r="CP326" s="11">
        <v>0</v>
      </c>
      <c r="CQ326" s="9" t="str">
        <f>_xll.SNL.Clients.Office.Excel.Functions.SPG(CN326, "SP_COUNTRY_NAME")</f>
        <v>United Kingdom</v>
      </c>
      <c r="CV326" s="9" t="str">
        <f>_xll.SNL.Clients.Office.Excel.Functions.SPG(CS326, "SP_COUNTRY_NAME")</f>
        <v>#INVALID COMPANY ID</v>
      </c>
      <c r="DA326" s="9" t="str">
        <f>_xll.SNL.Clients.Office.Excel.Functions.SPG(CX326, "SP_COUNTRY_NAME")</f>
        <v>#INVALID COMPANY ID</v>
      </c>
      <c r="DB326" t="s">
        <v>519</v>
      </c>
      <c r="DC326">
        <v>109968</v>
      </c>
      <c r="DD326" t="s">
        <v>346</v>
      </c>
      <c r="DE326" s="11">
        <v>0</v>
      </c>
      <c r="DF326" s="9" t="str">
        <f>_xll.SNL.Clients.Office.Excel.Functions.SPG(DC326, "SP_COUNTRY_NAME")</f>
        <v>USA</v>
      </c>
      <c r="DK326" s="9" t="str">
        <f>_xll.SNL.Clients.Office.Excel.Functions.SPG(DH326, "SP_COUNTRY_NAME")</f>
        <v>#INVALID COMPANY ID</v>
      </c>
      <c r="DL326" t="s">
        <v>519</v>
      </c>
      <c r="DM326">
        <v>109968</v>
      </c>
      <c r="DN326" t="s">
        <v>346</v>
      </c>
      <c r="DO326" s="11">
        <v>0</v>
      </c>
      <c r="DP326" s="9" t="str">
        <f>_xll.SNL.Clients.Office.Excel.Functions.SPG(DM326, "SP_COUNTRY_NAME")</f>
        <v>USA</v>
      </c>
      <c r="DU326" s="9" t="str">
        <f>_xll.SNL.Clients.Office.Excel.Functions.SPG(DR326, "SP_COUNTRY_NAME")</f>
        <v>#INVALID COMPANY ID</v>
      </c>
      <c r="DZ326" s="9" t="str">
        <f>_xll.SNL.Clients.Office.Excel.Functions.SPG(DW326, "SP_COUNTRY_NAME")</f>
        <v>#INVALID COMPANY ID</v>
      </c>
      <c r="EA326" t="s">
        <v>880</v>
      </c>
      <c r="EB326">
        <v>4139864</v>
      </c>
      <c r="EC326" t="s">
        <v>346</v>
      </c>
      <c r="ED326" s="11">
        <v>0</v>
      </c>
      <c r="EE326" s="9" t="str">
        <f>_xll.SNL.Clients.Office.Excel.Functions.SPG(EB326, "SP_COUNTRY_NAME")</f>
        <v>United Kingdom</v>
      </c>
      <c r="EF326" t="s">
        <v>519</v>
      </c>
      <c r="EG326">
        <v>109968</v>
      </c>
      <c r="EH326" t="s">
        <v>346</v>
      </c>
      <c r="EI326" s="11">
        <v>0</v>
      </c>
      <c r="EJ326" s="9" t="str">
        <f>_xll.SNL.Clients.Office.Excel.Functions.SPG(EG326, "SP_COUNTRY_NAME")</f>
        <v>USA</v>
      </c>
      <c r="EO326" s="9" t="str">
        <f>_xll.SNL.Clients.Office.Excel.Functions.SPG(EL326, "SP_COUNTRY_NAME")</f>
        <v>#INVALID COMPANY ID</v>
      </c>
      <c r="ET326" s="9" t="str">
        <f>_xll.SNL.Clients.Office.Excel.Functions.SPG(EQ326, "SP_COUNTRY_NAME")</f>
        <v>#INVALID COMPANY ID</v>
      </c>
      <c r="EY326" s="9" t="str">
        <f>_xll.SNL.Clients.Office.Excel.Functions.SPG(EV326, "SP_COUNTRY_NAME")</f>
        <v>#INVALID COMPANY ID</v>
      </c>
      <c r="FD326" s="9" t="str">
        <f>_xll.SNL.Clients.Office.Excel.Functions.SPG(FA326, "SP_COUNTRY_NAME")</f>
        <v>#INVALID COMPANY ID</v>
      </c>
      <c r="FI326" s="9" t="str">
        <f>_xll.SNL.Clients.Office.Excel.Functions.SPG(FF326, "SP_COUNTRY_NAME")</f>
        <v>#INVALID COMPANY ID</v>
      </c>
      <c r="FN326" s="9" t="str">
        <f>_xll.SNL.Clients.Office.Excel.Functions.SPG(FK326, "SP_COUNTRY_NAME")</f>
        <v>#INVALID COMPANY ID</v>
      </c>
      <c r="FS326" s="9" t="str">
        <f>_xll.SNL.Clients.Office.Excel.Functions.SPG(FP326, "SP_COUNTRY_NAME")</f>
        <v>#INVALID COMPANY ID</v>
      </c>
      <c r="FX326" s="9" t="str">
        <f>_xll.SNL.Clients.Office.Excel.Functions.SPG(FU326, "SP_COUNTRY_NAME")</f>
        <v>#INVALID COMPANY ID</v>
      </c>
      <c r="FY326" t="s">
        <v>519</v>
      </c>
      <c r="FZ326">
        <v>109968</v>
      </c>
      <c r="GA326" t="s">
        <v>346</v>
      </c>
      <c r="GB326" s="11">
        <v>0</v>
      </c>
      <c r="GC326" s="9" t="str">
        <f>_xll.SNL.Clients.Office.Excel.Functions.SPG(FZ326, "SP_COUNTRY_NAME")</f>
        <v>USA</v>
      </c>
      <c r="GH326" s="9" t="str">
        <f>_xll.SNL.Clients.Office.Excel.Functions.SPG(GE326, "SP_COUNTRY_NAME")</f>
        <v>#INVALID COMPANY ID</v>
      </c>
      <c r="GM326" s="9" t="str">
        <f>_xll.SNL.Clients.Office.Excel.Functions.SPG(GJ326, "SP_COUNTRY_NAME")</f>
        <v>#INVALID COMPANY ID</v>
      </c>
      <c r="GR326" s="9" t="str">
        <f>_xll.SNL.Clients.Office.Excel.Functions.SPG(GO326, "SP_COUNTRY_NAME")</f>
        <v>#INVALID COMPANY ID</v>
      </c>
      <c r="GS326" t="s">
        <v>891</v>
      </c>
      <c r="GT326">
        <v>4190959</v>
      </c>
      <c r="GU326" t="s">
        <v>346</v>
      </c>
      <c r="GV326" s="11">
        <v>0</v>
      </c>
      <c r="GW326" s="9" t="str">
        <f>_xll.SNL.Clients.Office.Excel.Functions.SPG(GT326, "SP_COUNTRY_NAME")</f>
        <v>Malaysia</v>
      </c>
      <c r="GX326" t="s">
        <v>880</v>
      </c>
      <c r="GY326">
        <v>4139864</v>
      </c>
      <c r="GZ326" t="s">
        <v>346</v>
      </c>
      <c r="HA326" s="11">
        <v>0</v>
      </c>
      <c r="HB326" s="9" t="str">
        <f>_xll.SNL.Clients.Office.Excel.Functions.SPG(GY326, "SP_COUNTRY_NAME")</f>
        <v>United Kingdom</v>
      </c>
      <c r="HG326" s="9" t="str">
        <f>_xll.SNL.Clients.Office.Excel.Functions.SPG(HD326, "SP_COUNTRY_NAME")</f>
        <v>#INVALID COMPANY ID</v>
      </c>
    </row>
    <row r="327" spans="5:215" x14ac:dyDescent="0.35">
      <c r="E327" s="9" t="str">
        <f>_xll.SNL.Clients.Office.Excel.Functions.SPG(B327, "SP_COUNTRY_NAME")</f>
        <v>#INVALID COMPANY ID</v>
      </c>
      <c r="J327" s="9" t="str">
        <f>_xll.SNL.Clients.Office.Excel.Functions.SPG(G327, "SP_COUNTRY_NAME")</f>
        <v>#INVALID COMPANY ID</v>
      </c>
      <c r="O327" s="9" t="str">
        <f>_xll.SNL.Clients.Office.Excel.Functions.SPG(L327, "SP_COUNTRY_NAME")</f>
        <v>#INVALID COMPANY ID</v>
      </c>
      <c r="T327" s="9" t="str">
        <f>_xll.SNL.Clients.Office.Excel.Functions.SPG(Q327, "SP_COUNTRY_NAME")</f>
        <v>#INVALID COMPANY ID</v>
      </c>
      <c r="U327" t="s">
        <v>876</v>
      </c>
      <c r="V327">
        <v>7731166</v>
      </c>
      <c r="W327" t="s">
        <v>346</v>
      </c>
      <c r="X327" s="11">
        <v>0</v>
      </c>
      <c r="Y327" s="9" t="str">
        <f>_xll.SNL.Clients.Office.Excel.Functions.SPG(V327, "SP_COUNTRY_NAME")</f>
        <v>China</v>
      </c>
      <c r="AD327" s="9" t="str">
        <f>_xll.SNL.Clients.Office.Excel.Functions.SPG(AA327, "SP_COUNTRY_NAME")</f>
        <v>#INVALID COMPANY ID</v>
      </c>
      <c r="AI327" s="9" t="str">
        <f>_xll.SNL.Clients.Office.Excel.Functions.SPG(AF327, "SP_COUNTRY_NAME")</f>
        <v>#INVALID COMPANY ID</v>
      </c>
      <c r="AN327" s="9" t="str">
        <f>_xll.SNL.Clients.Office.Excel.Functions.SPG(AK327, "SP_COUNTRY_NAME")</f>
        <v>#INVALID COMPANY ID</v>
      </c>
      <c r="AS327" s="9" t="str">
        <f>_xll.SNL.Clients.Office.Excel.Functions.SPG(AP327, "SP_COUNTRY_NAME")</f>
        <v>#INVALID COMPANY ID</v>
      </c>
      <c r="AX327" s="9" t="str">
        <f>_xll.SNL.Clients.Office.Excel.Functions.SPG(AU327, "SP_COUNTRY_NAME")</f>
        <v>#INVALID COMPANY ID</v>
      </c>
      <c r="BC327" s="9" t="str">
        <f>_xll.SNL.Clients.Office.Excel.Functions.SPG(AZ327, "SP_COUNTRY_NAME")</f>
        <v>#INVALID COMPANY ID</v>
      </c>
      <c r="BD327" t="s">
        <v>531</v>
      </c>
      <c r="BE327">
        <v>4072215</v>
      </c>
      <c r="BF327" t="s">
        <v>346</v>
      </c>
      <c r="BG327" s="11">
        <v>0</v>
      </c>
      <c r="BH327" s="9" t="str">
        <f>_xll.SNL.Clients.Office.Excel.Functions.SPG(BE327, "SP_COUNTRY_NAME")</f>
        <v>USA</v>
      </c>
      <c r="BM327" s="9" t="str">
        <f>_xll.SNL.Clients.Office.Excel.Functions.SPG(BJ327, "SP_COUNTRY_NAME")</f>
        <v>#INVALID COMPANY ID</v>
      </c>
      <c r="BN327" t="s">
        <v>1252</v>
      </c>
      <c r="BO327">
        <v>4230200</v>
      </c>
      <c r="BP327" t="s">
        <v>346</v>
      </c>
      <c r="BQ327" s="11">
        <v>0</v>
      </c>
      <c r="BR327" s="9" t="str">
        <f>_xll.SNL.Clients.Office.Excel.Functions.SPG(BO327, "SP_COUNTRY_NAME")</f>
        <v>France</v>
      </c>
      <c r="BS327" t="s">
        <v>1023</v>
      </c>
      <c r="BT327">
        <v>4257101</v>
      </c>
      <c r="BU327" t="s">
        <v>366</v>
      </c>
      <c r="BV327" s="11">
        <v>0</v>
      </c>
      <c r="BW327" s="9" t="str">
        <f>_xll.SNL.Clients.Office.Excel.Functions.SPG(BT327, "SP_COUNTRY_NAME")</f>
        <v>Singapore</v>
      </c>
      <c r="BX327" t="s">
        <v>876</v>
      </c>
      <c r="BY327">
        <v>7731166</v>
      </c>
      <c r="BZ327" t="s">
        <v>346</v>
      </c>
      <c r="CA327" s="11">
        <v>0</v>
      </c>
      <c r="CB327" s="9" t="str">
        <f>_xll.SNL.Clients.Office.Excel.Functions.SPG(BY327, "SP_COUNTRY_NAME")</f>
        <v>China</v>
      </c>
      <c r="CC327" t="s">
        <v>1776</v>
      </c>
      <c r="CD327">
        <v>4552228</v>
      </c>
      <c r="CE327" t="s">
        <v>364</v>
      </c>
      <c r="CF327" s="11">
        <v>0</v>
      </c>
      <c r="CG327" s="9" t="str">
        <f>_xll.SNL.Clients.Office.Excel.Functions.SPG(CD327, "SP_COUNTRY_NAME")</f>
        <v>Brazil</v>
      </c>
      <c r="CL327" s="9" t="str">
        <f>_xll.SNL.Clients.Office.Excel.Functions.SPG(CI327, "SP_COUNTRY_NAME")</f>
        <v>#INVALID COMPANY ID</v>
      </c>
      <c r="CM327" t="s">
        <v>1895</v>
      </c>
      <c r="CN327">
        <v>4134197</v>
      </c>
      <c r="CO327" t="s">
        <v>364</v>
      </c>
      <c r="CP327" s="11">
        <v>0</v>
      </c>
      <c r="CQ327" s="9" t="str">
        <f>_xll.SNL.Clients.Office.Excel.Functions.SPG(CN327, "SP_COUNTRY_NAME")</f>
        <v>USA</v>
      </c>
      <c r="CV327" s="9" t="str">
        <f>_xll.SNL.Clients.Office.Excel.Functions.SPG(CS327, "SP_COUNTRY_NAME")</f>
        <v>#INVALID COMPANY ID</v>
      </c>
      <c r="DA327" s="9" t="str">
        <f>_xll.SNL.Clients.Office.Excel.Functions.SPG(CX327, "SP_COUNTRY_NAME")</f>
        <v>#INVALID COMPANY ID</v>
      </c>
      <c r="DB327" t="s">
        <v>531</v>
      </c>
      <c r="DC327">
        <v>4072215</v>
      </c>
      <c r="DD327" t="s">
        <v>346</v>
      </c>
      <c r="DE327" s="11">
        <v>0</v>
      </c>
      <c r="DF327" s="9" t="str">
        <f>_xll.SNL.Clients.Office.Excel.Functions.SPG(DC327, "SP_COUNTRY_NAME")</f>
        <v>USA</v>
      </c>
      <c r="DK327" s="9" t="str">
        <f>_xll.SNL.Clients.Office.Excel.Functions.SPG(DH327, "SP_COUNTRY_NAME")</f>
        <v>#INVALID COMPANY ID</v>
      </c>
      <c r="DL327" t="s">
        <v>531</v>
      </c>
      <c r="DM327">
        <v>4072215</v>
      </c>
      <c r="DN327" t="s">
        <v>346</v>
      </c>
      <c r="DO327" s="11">
        <v>0</v>
      </c>
      <c r="DP327" s="9" t="str">
        <f>_xll.SNL.Clients.Office.Excel.Functions.SPG(DM327, "SP_COUNTRY_NAME")</f>
        <v>USA</v>
      </c>
      <c r="DU327" s="9" t="str">
        <f>_xll.SNL.Clients.Office.Excel.Functions.SPG(DR327, "SP_COUNTRY_NAME")</f>
        <v>#INVALID COMPANY ID</v>
      </c>
      <c r="DZ327" s="9" t="str">
        <f>_xll.SNL.Clients.Office.Excel.Functions.SPG(DW327, "SP_COUNTRY_NAME")</f>
        <v>#INVALID COMPANY ID</v>
      </c>
      <c r="EA327" t="s">
        <v>1776</v>
      </c>
      <c r="EB327">
        <v>4552228</v>
      </c>
      <c r="EC327" t="s">
        <v>364</v>
      </c>
      <c r="ED327" s="11">
        <v>0</v>
      </c>
      <c r="EE327" s="9" t="str">
        <f>_xll.SNL.Clients.Office.Excel.Functions.SPG(EB327, "SP_COUNTRY_NAME")</f>
        <v>Brazil</v>
      </c>
      <c r="EF327" t="s">
        <v>531</v>
      </c>
      <c r="EG327">
        <v>4072215</v>
      </c>
      <c r="EH327" t="s">
        <v>346</v>
      </c>
      <c r="EI327" s="11">
        <v>0</v>
      </c>
      <c r="EJ327" s="9" t="str">
        <f>_xll.SNL.Clients.Office.Excel.Functions.SPG(EG327, "SP_COUNTRY_NAME")</f>
        <v>USA</v>
      </c>
      <c r="EO327" s="9" t="str">
        <f>_xll.SNL.Clients.Office.Excel.Functions.SPG(EL327, "SP_COUNTRY_NAME")</f>
        <v>#INVALID COMPANY ID</v>
      </c>
      <c r="ET327" s="9" t="str">
        <f>_xll.SNL.Clients.Office.Excel.Functions.SPG(EQ327, "SP_COUNTRY_NAME")</f>
        <v>#INVALID COMPANY ID</v>
      </c>
      <c r="EY327" s="9" t="str">
        <f>_xll.SNL.Clients.Office.Excel.Functions.SPG(EV327, "SP_COUNTRY_NAME")</f>
        <v>#INVALID COMPANY ID</v>
      </c>
      <c r="FD327" s="9" t="str">
        <f>_xll.SNL.Clients.Office.Excel.Functions.SPG(FA327, "SP_COUNTRY_NAME")</f>
        <v>#INVALID COMPANY ID</v>
      </c>
      <c r="FI327" s="9" t="str">
        <f>_xll.SNL.Clients.Office.Excel.Functions.SPG(FF327, "SP_COUNTRY_NAME")</f>
        <v>#INVALID COMPANY ID</v>
      </c>
      <c r="FN327" s="9" t="str">
        <f>_xll.SNL.Clients.Office.Excel.Functions.SPG(FK327, "SP_COUNTRY_NAME")</f>
        <v>#INVALID COMPANY ID</v>
      </c>
      <c r="FS327" s="9" t="str">
        <f>_xll.SNL.Clients.Office.Excel.Functions.SPG(FP327, "SP_COUNTRY_NAME")</f>
        <v>#INVALID COMPANY ID</v>
      </c>
      <c r="FX327" s="9" t="str">
        <f>_xll.SNL.Clients.Office.Excel.Functions.SPG(FU327, "SP_COUNTRY_NAME")</f>
        <v>#INVALID COMPANY ID</v>
      </c>
      <c r="FY327" t="s">
        <v>531</v>
      </c>
      <c r="FZ327">
        <v>4072215</v>
      </c>
      <c r="GA327" t="s">
        <v>346</v>
      </c>
      <c r="GB327" s="11">
        <v>0</v>
      </c>
      <c r="GC327" s="9" t="str">
        <f>_xll.SNL.Clients.Office.Excel.Functions.SPG(FZ327, "SP_COUNTRY_NAME")</f>
        <v>USA</v>
      </c>
      <c r="GH327" s="9" t="str">
        <f>_xll.SNL.Clients.Office.Excel.Functions.SPG(GE327, "SP_COUNTRY_NAME")</f>
        <v>#INVALID COMPANY ID</v>
      </c>
      <c r="GM327" s="9" t="str">
        <f>_xll.SNL.Clients.Office.Excel.Functions.SPG(GJ327, "SP_COUNTRY_NAME")</f>
        <v>#INVALID COMPANY ID</v>
      </c>
      <c r="GR327" s="9" t="str">
        <f>_xll.SNL.Clients.Office.Excel.Functions.SPG(GO327, "SP_COUNTRY_NAME")</f>
        <v>#INVALID COMPANY ID</v>
      </c>
      <c r="GS327" t="s">
        <v>1252</v>
      </c>
      <c r="GT327">
        <v>4230200</v>
      </c>
      <c r="GU327" t="s">
        <v>346</v>
      </c>
      <c r="GV327" s="11">
        <v>0</v>
      </c>
      <c r="GW327" s="9" t="str">
        <f>_xll.SNL.Clients.Office.Excel.Functions.SPG(GT327, "SP_COUNTRY_NAME")</f>
        <v>France</v>
      </c>
      <c r="GX327" t="s">
        <v>1776</v>
      </c>
      <c r="GY327">
        <v>4552228</v>
      </c>
      <c r="GZ327" t="s">
        <v>364</v>
      </c>
      <c r="HA327" s="11">
        <v>0</v>
      </c>
      <c r="HB327" s="9" t="str">
        <f>_xll.SNL.Clients.Office.Excel.Functions.SPG(GY327, "SP_COUNTRY_NAME")</f>
        <v>Brazil</v>
      </c>
      <c r="HG327" s="9" t="str">
        <f>_xll.SNL.Clients.Office.Excel.Functions.SPG(HD327, "SP_COUNTRY_NAME")</f>
        <v>#INVALID COMPANY ID</v>
      </c>
    </row>
    <row r="328" spans="5:215" x14ac:dyDescent="0.35">
      <c r="E328" s="9" t="str">
        <f>_xll.SNL.Clients.Office.Excel.Functions.SPG(B328, "SP_COUNTRY_NAME")</f>
        <v>#INVALID COMPANY ID</v>
      </c>
      <c r="J328" s="9" t="str">
        <f>_xll.SNL.Clients.Office.Excel.Functions.SPG(G328, "SP_COUNTRY_NAME")</f>
        <v>#INVALID COMPANY ID</v>
      </c>
      <c r="O328" s="9" t="str">
        <f>_xll.SNL.Clients.Office.Excel.Functions.SPG(L328, "SP_COUNTRY_NAME")</f>
        <v>#INVALID COMPANY ID</v>
      </c>
      <c r="T328" s="9" t="str">
        <f>_xll.SNL.Clients.Office.Excel.Functions.SPG(Q328, "SP_COUNTRY_NAME")</f>
        <v>#INVALID COMPANY ID</v>
      </c>
      <c r="U328" t="s">
        <v>877</v>
      </c>
      <c r="V328">
        <v>4167462</v>
      </c>
      <c r="W328" t="s">
        <v>366</v>
      </c>
      <c r="X328" s="11">
        <v>0</v>
      </c>
      <c r="Y328" s="9" t="str">
        <f>_xll.SNL.Clients.Office.Excel.Functions.SPG(V328, "SP_COUNTRY_NAME")</f>
        <v>USA</v>
      </c>
      <c r="AD328" s="9" t="str">
        <f>_xll.SNL.Clients.Office.Excel.Functions.SPG(AA328, "SP_COUNTRY_NAME")</f>
        <v>#INVALID COMPANY ID</v>
      </c>
      <c r="AI328" s="9" t="str">
        <f>_xll.SNL.Clients.Office.Excel.Functions.SPG(AF328, "SP_COUNTRY_NAME")</f>
        <v>#INVALID COMPANY ID</v>
      </c>
      <c r="AN328" s="9" t="str">
        <f>_xll.SNL.Clients.Office.Excel.Functions.SPG(AK328, "SP_COUNTRY_NAME")</f>
        <v>#INVALID COMPANY ID</v>
      </c>
      <c r="AS328" s="9" t="str">
        <f>_xll.SNL.Clients.Office.Excel.Functions.SPG(AP328, "SP_COUNTRY_NAME")</f>
        <v>#INVALID COMPANY ID</v>
      </c>
      <c r="AX328" s="9" t="str">
        <f>_xll.SNL.Clients.Office.Excel.Functions.SPG(AU328, "SP_COUNTRY_NAME")</f>
        <v>#INVALID COMPANY ID</v>
      </c>
      <c r="BC328" s="9" t="str">
        <f>_xll.SNL.Clients.Office.Excel.Functions.SPG(AZ328, "SP_COUNTRY_NAME")</f>
        <v>#INVALID COMPANY ID</v>
      </c>
      <c r="BD328" t="s">
        <v>1493</v>
      </c>
      <c r="BE328">
        <v>4672316</v>
      </c>
      <c r="BF328" t="s">
        <v>346</v>
      </c>
      <c r="BG328" s="11">
        <v>0</v>
      </c>
      <c r="BH328" s="9" t="str">
        <f>_xll.SNL.Clients.Office.Excel.Functions.SPG(BE328, "SP_COUNTRY_NAME")</f>
        <v>South Africa</v>
      </c>
      <c r="BM328" s="9" t="str">
        <f>_xll.SNL.Clients.Office.Excel.Functions.SPG(BJ328, "SP_COUNTRY_NAME")</f>
        <v>#INVALID COMPANY ID</v>
      </c>
      <c r="BN328" t="s">
        <v>790</v>
      </c>
      <c r="BO328">
        <v>5883003</v>
      </c>
      <c r="BP328" t="s">
        <v>346</v>
      </c>
      <c r="BQ328" s="11">
        <v>0</v>
      </c>
      <c r="BR328" s="9" t="str">
        <f>_xll.SNL.Clients.Office.Excel.Functions.SPG(BO328, "SP_COUNTRY_NAME")</f>
        <v>China</v>
      </c>
      <c r="BS328" t="s">
        <v>1024</v>
      </c>
      <c r="BT328">
        <v>5749757</v>
      </c>
      <c r="BU328" t="s">
        <v>346</v>
      </c>
      <c r="BV328" s="11">
        <v>0</v>
      </c>
      <c r="BW328" s="9" t="str">
        <f>_xll.SNL.Clients.Office.Excel.Functions.SPG(BT328, "SP_COUNTRY_NAME")</f>
        <v>United Kingdom</v>
      </c>
      <c r="BX328" t="s">
        <v>877</v>
      </c>
      <c r="BY328">
        <v>4167462</v>
      </c>
      <c r="BZ328" t="s">
        <v>366</v>
      </c>
      <c r="CA328" s="11">
        <v>0</v>
      </c>
      <c r="CB328" s="9" t="str">
        <f>_xll.SNL.Clients.Office.Excel.Functions.SPG(BY328, "SP_COUNTRY_NAME")</f>
        <v>USA</v>
      </c>
      <c r="CC328" t="s">
        <v>378</v>
      </c>
      <c r="CD328">
        <v>4048184</v>
      </c>
      <c r="CE328" t="s">
        <v>346</v>
      </c>
      <c r="CF328" s="11">
        <v>0</v>
      </c>
      <c r="CG328" s="9" t="str">
        <f>_xll.SNL.Clients.Office.Excel.Functions.SPG(CD328, "SP_COUNTRY_NAME")</f>
        <v>Canada</v>
      </c>
      <c r="CL328" s="9" t="str">
        <f>_xll.SNL.Clients.Office.Excel.Functions.SPG(CI328, "SP_COUNTRY_NAME")</f>
        <v>#INVALID COMPANY ID</v>
      </c>
      <c r="CM328" t="s">
        <v>816</v>
      </c>
      <c r="CN328">
        <v>4187337</v>
      </c>
      <c r="CO328" t="s">
        <v>364</v>
      </c>
      <c r="CP328" s="11">
        <v>0</v>
      </c>
      <c r="CQ328" s="9" t="str">
        <f>_xll.SNL.Clients.Office.Excel.Functions.SPG(CN328, "SP_COUNTRY_NAME")</f>
        <v>Spain</v>
      </c>
      <c r="CV328" s="9" t="str">
        <f>_xll.SNL.Clients.Office.Excel.Functions.SPG(CS328, "SP_COUNTRY_NAME")</f>
        <v>#INVALID COMPANY ID</v>
      </c>
      <c r="DA328" s="9" t="str">
        <f>_xll.SNL.Clients.Office.Excel.Functions.SPG(CX328, "SP_COUNTRY_NAME")</f>
        <v>#INVALID COMPANY ID</v>
      </c>
      <c r="DB328" t="s">
        <v>1493</v>
      </c>
      <c r="DC328">
        <v>4672316</v>
      </c>
      <c r="DD328" t="s">
        <v>346</v>
      </c>
      <c r="DE328" s="11">
        <v>0</v>
      </c>
      <c r="DF328" s="9" t="str">
        <f>_xll.SNL.Clients.Office.Excel.Functions.SPG(DC328, "SP_COUNTRY_NAME")</f>
        <v>South Africa</v>
      </c>
      <c r="DK328" s="9" t="str">
        <f>_xll.SNL.Clients.Office.Excel.Functions.SPG(DH328, "SP_COUNTRY_NAME")</f>
        <v>#INVALID COMPANY ID</v>
      </c>
      <c r="DL328" t="s">
        <v>1493</v>
      </c>
      <c r="DM328">
        <v>4672316</v>
      </c>
      <c r="DN328" t="s">
        <v>346</v>
      </c>
      <c r="DO328" s="11">
        <v>0</v>
      </c>
      <c r="DP328" s="9" t="str">
        <f>_xll.SNL.Clients.Office.Excel.Functions.SPG(DM328, "SP_COUNTRY_NAME")</f>
        <v>South Africa</v>
      </c>
      <c r="DU328" s="9" t="str">
        <f>_xll.SNL.Clients.Office.Excel.Functions.SPG(DR328, "SP_COUNTRY_NAME")</f>
        <v>#INVALID COMPANY ID</v>
      </c>
      <c r="DZ328" s="9" t="str">
        <f>_xll.SNL.Clients.Office.Excel.Functions.SPG(DW328, "SP_COUNTRY_NAME")</f>
        <v>#INVALID COMPANY ID</v>
      </c>
      <c r="EA328" t="s">
        <v>378</v>
      </c>
      <c r="EB328">
        <v>4048184</v>
      </c>
      <c r="EC328" t="s">
        <v>346</v>
      </c>
      <c r="ED328" s="11">
        <v>0</v>
      </c>
      <c r="EE328" s="9" t="str">
        <f>_xll.SNL.Clients.Office.Excel.Functions.SPG(EB328, "SP_COUNTRY_NAME")</f>
        <v>Canada</v>
      </c>
      <c r="EF328" t="s">
        <v>1493</v>
      </c>
      <c r="EG328">
        <v>4672316</v>
      </c>
      <c r="EH328" t="s">
        <v>346</v>
      </c>
      <c r="EI328" s="11">
        <v>0</v>
      </c>
      <c r="EJ328" s="9" t="str">
        <f>_xll.SNL.Clients.Office.Excel.Functions.SPG(EG328, "SP_COUNTRY_NAME")</f>
        <v>South Africa</v>
      </c>
      <c r="EO328" s="9" t="str">
        <f>_xll.SNL.Clients.Office.Excel.Functions.SPG(EL328, "SP_COUNTRY_NAME")</f>
        <v>#INVALID COMPANY ID</v>
      </c>
      <c r="ET328" s="9" t="str">
        <f>_xll.SNL.Clients.Office.Excel.Functions.SPG(EQ328, "SP_COUNTRY_NAME")</f>
        <v>#INVALID COMPANY ID</v>
      </c>
      <c r="EY328" s="9" t="str">
        <f>_xll.SNL.Clients.Office.Excel.Functions.SPG(EV328, "SP_COUNTRY_NAME")</f>
        <v>#INVALID COMPANY ID</v>
      </c>
      <c r="FD328" s="9" t="str">
        <f>_xll.SNL.Clients.Office.Excel.Functions.SPG(FA328, "SP_COUNTRY_NAME")</f>
        <v>#INVALID COMPANY ID</v>
      </c>
      <c r="FI328" s="9" t="str">
        <f>_xll.SNL.Clients.Office.Excel.Functions.SPG(FF328, "SP_COUNTRY_NAME")</f>
        <v>#INVALID COMPANY ID</v>
      </c>
      <c r="FN328" s="9" t="str">
        <f>_xll.SNL.Clients.Office.Excel.Functions.SPG(FK328, "SP_COUNTRY_NAME")</f>
        <v>#INVALID COMPANY ID</v>
      </c>
      <c r="FS328" s="9" t="str">
        <f>_xll.SNL.Clients.Office.Excel.Functions.SPG(FP328, "SP_COUNTRY_NAME")</f>
        <v>#INVALID COMPANY ID</v>
      </c>
      <c r="FX328" s="9" t="str">
        <f>_xll.SNL.Clients.Office.Excel.Functions.SPG(FU328, "SP_COUNTRY_NAME")</f>
        <v>#INVALID COMPANY ID</v>
      </c>
      <c r="FY328" t="s">
        <v>1493</v>
      </c>
      <c r="FZ328">
        <v>4672316</v>
      </c>
      <c r="GA328" t="s">
        <v>346</v>
      </c>
      <c r="GB328" s="11">
        <v>0</v>
      </c>
      <c r="GC328" s="9" t="str">
        <f>_xll.SNL.Clients.Office.Excel.Functions.SPG(FZ328, "SP_COUNTRY_NAME")</f>
        <v>South Africa</v>
      </c>
      <c r="GH328" s="9" t="str">
        <f>_xll.SNL.Clients.Office.Excel.Functions.SPG(GE328, "SP_COUNTRY_NAME")</f>
        <v>#INVALID COMPANY ID</v>
      </c>
      <c r="GM328" s="9" t="str">
        <f>_xll.SNL.Clients.Office.Excel.Functions.SPG(GJ328, "SP_COUNTRY_NAME")</f>
        <v>#INVALID COMPANY ID</v>
      </c>
      <c r="GR328" s="9" t="str">
        <f>_xll.SNL.Clients.Office.Excel.Functions.SPG(GO328, "SP_COUNTRY_NAME")</f>
        <v>#INVALID COMPANY ID</v>
      </c>
      <c r="GS328" t="s">
        <v>790</v>
      </c>
      <c r="GT328">
        <v>5883003</v>
      </c>
      <c r="GU328" t="s">
        <v>346</v>
      </c>
      <c r="GV328" s="11">
        <v>0</v>
      </c>
      <c r="GW328" s="9" t="str">
        <f>_xll.SNL.Clients.Office.Excel.Functions.SPG(GT328, "SP_COUNTRY_NAME")</f>
        <v>China</v>
      </c>
      <c r="GX328" t="s">
        <v>378</v>
      </c>
      <c r="GY328">
        <v>4048184</v>
      </c>
      <c r="GZ328" t="s">
        <v>346</v>
      </c>
      <c r="HA328" s="11">
        <v>0</v>
      </c>
      <c r="HB328" s="9" t="str">
        <f>_xll.SNL.Clients.Office.Excel.Functions.SPG(GY328, "SP_COUNTRY_NAME")</f>
        <v>Canada</v>
      </c>
      <c r="HG328" s="9" t="str">
        <f>_xll.SNL.Clients.Office.Excel.Functions.SPG(HD328, "SP_COUNTRY_NAME")</f>
        <v>#INVALID COMPANY ID</v>
      </c>
    </row>
    <row r="329" spans="5:215" x14ac:dyDescent="0.35">
      <c r="E329" s="9" t="str">
        <f>_xll.SNL.Clients.Office.Excel.Functions.SPG(B329, "SP_COUNTRY_NAME")</f>
        <v>#INVALID COMPANY ID</v>
      </c>
      <c r="J329" s="9" t="str">
        <f>_xll.SNL.Clients.Office.Excel.Functions.SPG(G329, "SP_COUNTRY_NAME")</f>
        <v>#INVALID COMPANY ID</v>
      </c>
      <c r="O329" s="9" t="str">
        <f>_xll.SNL.Clients.Office.Excel.Functions.SPG(L329, "SP_COUNTRY_NAME")</f>
        <v>#INVALID COMPANY ID</v>
      </c>
      <c r="T329" s="9" t="str">
        <f>_xll.SNL.Clients.Office.Excel.Functions.SPG(Q329, "SP_COUNTRY_NAME")</f>
        <v>#INVALID COMPANY ID</v>
      </c>
      <c r="U329" t="s">
        <v>878</v>
      </c>
      <c r="V329">
        <v>4138146</v>
      </c>
      <c r="W329" t="s">
        <v>346</v>
      </c>
      <c r="X329" s="11">
        <v>0</v>
      </c>
      <c r="Y329" s="9" t="str">
        <f>_xll.SNL.Clients.Office.Excel.Functions.SPG(V329, "SP_COUNTRY_NAME")</f>
        <v>United Kingdom</v>
      </c>
      <c r="AD329" s="9" t="str">
        <f>_xll.SNL.Clients.Office.Excel.Functions.SPG(AA329, "SP_COUNTRY_NAME")</f>
        <v>#INVALID COMPANY ID</v>
      </c>
      <c r="AI329" s="9" t="str">
        <f>_xll.SNL.Clients.Office.Excel.Functions.SPG(AF329, "SP_COUNTRY_NAME")</f>
        <v>#INVALID COMPANY ID</v>
      </c>
      <c r="AN329" s="9" t="str">
        <f>_xll.SNL.Clients.Office.Excel.Functions.SPG(AK329, "SP_COUNTRY_NAME")</f>
        <v>#INVALID COMPANY ID</v>
      </c>
      <c r="AS329" s="9" t="str">
        <f>_xll.SNL.Clients.Office.Excel.Functions.SPG(AP329, "SP_COUNTRY_NAME")</f>
        <v>#INVALID COMPANY ID</v>
      </c>
      <c r="AX329" s="9" t="str">
        <f>_xll.SNL.Clients.Office.Excel.Functions.SPG(AU329, "SP_COUNTRY_NAME")</f>
        <v>#INVALID COMPANY ID</v>
      </c>
      <c r="BC329" s="9" t="str">
        <f>_xll.SNL.Clients.Office.Excel.Functions.SPG(AZ329, "SP_COUNTRY_NAME")</f>
        <v>#INVALID COMPANY ID</v>
      </c>
      <c r="BD329" t="s">
        <v>517</v>
      </c>
      <c r="BE329">
        <v>111097</v>
      </c>
      <c r="BF329" t="s">
        <v>346</v>
      </c>
      <c r="BG329" s="11">
        <v>0</v>
      </c>
      <c r="BH329" s="9" t="str">
        <f>_xll.SNL.Clients.Office.Excel.Functions.SPG(BE329, "SP_COUNTRY_NAME")</f>
        <v>USA</v>
      </c>
      <c r="BM329" s="9" t="str">
        <f>_xll.SNL.Clients.Office.Excel.Functions.SPG(BJ329, "SP_COUNTRY_NAME")</f>
        <v>#INVALID COMPANY ID</v>
      </c>
      <c r="BN329" t="s">
        <v>1179</v>
      </c>
      <c r="BO329">
        <v>4556895</v>
      </c>
      <c r="BP329" t="s">
        <v>346</v>
      </c>
      <c r="BQ329" s="11">
        <v>0</v>
      </c>
      <c r="BR329" s="9" t="str">
        <f>_xll.SNL.Clients.Office.Excel.Functions.SPG(BO329, "SP_COUNTRY_NAME")</f>
        <v>Denmark</v>
      </c>
      <c r="BS329" t="s">
        <v>805</v>
      </c>
      <c r="BT329">
        <v>4066647</v>
      </c>
      <c r="BU329" t="s">
        <v>369</v>
      </c>
      <c r="BV329" s="11">
        <v>0</v>
      </c>
      <c r="BW329" s="9" t="str">
        <f>_xll.SNL.Clients.Office.Excel.Functions.SPG(BT329, "SP_COUNTRY_NAME")</f>
        <v>Canada</v>
      </c>
      <c r="BX329" t="s">
        <v>878</v>
      </c>
      <c r="BY329">
        <v>4138146</v>
      </c>
      <c r="BZ329" t="s">
        <v>346</v>
      </c>
      <c r="CA329" s="11">
        <v>0</v>
      </c>
      <c r="CB329" s="9" t="str">
        <f>_xll.SNL.Clients.Office.Excel.Functions.SPG(BY329, "SP_COUNTRY_NAME")</f>
        <v>United Kingdom</v>
      </c>
      <c r="CC329" t="s">
        <v>1777</v>
      </c>
      <c r="CD329">
        <v>4115973</v>
      </c>
      <c r="CE329" t="s">
        <v>346</v>
      </c>
      <c r="CF329" s="11">
        <v>0</v>
      </c>
      <c r="CG329" s="9" t="str">
        <f>_xll.SNL.Clients.Office.Excel.Functions.SPG(CD329, "SP_COUNTRY_NAME")</f>
        <v>USA</v>
      </c>
      <c r="CL329" s="9" t="str">
        <f>_xll.SNL.Clients.Office.Excel.Functions.SPG(CI329, "SP_COUNTRY_NAME")</f>
        <v>#INVALID COMPANY ID</v>
      </c>
      <c r="CM329" t="s">
        <v>2040</v>
      </c>
      <c r="CN329">
        <v>10737375</v>
      </c>
      <c r="CO329" t="s">
        <v>276</v>
      </c>
      <c r="CP329" s="11">
        <v>0</v>
      </c>
      <c r="CQ329" s="9" t="str">
        <f>_xll.SNL.Clients.Office.Excel.Functions.SPG(CN329, "SP_COUNTRY_NAME")</f>
        <v>USA</v>
      </c>
      <c r="CV329" s="9" t="str">
        <f>_xll.SNL.Clients.Office.Excel.Functions.SPG(CS329, "SP_COUNTRY_NAME")</f>
        <v>#INVALID COMPANY ID</v>
      </c>
      <c r="DA329" s="9" t="str">
        <f>_xll.SNL.Clients.Office.Excel.Functions.SPG(CX329, "SP_COUNTRY_NAME")</f>
        <v>#INVALID COMPANY ID</v>
      </c>
      <c r="DB329" t="s">
        <v>517</v>
      </c>
      <c r="DC329">
        <v>111097</v>
      </c>
      <c r="DD329" t="s">
        <v>346</v>
      </c>
      <c r="DE329" s="11">
        <v>0</v>
      </c>
      <c r="DF329" s="9" t="str">
        <f>_xll.SNL.Clients.Office.Excel.Functions.SPG(DC329, "SP_COUNTRY_NAME")</f>
        <v>USA</v>
      </c>
      <c r="DK329" s="9" t="str">
        <f>_xll.SNL.Clients.Office.Excel.Functions.SPG(DH329, "SP_COUNTRY_NAME")</f>
        <v>#INVALID COMPANY ID</v>
      </c>
      <c r="DL329" t="s">
        <v>517</v>
      </c>
      <c r="DM329">
        <v>111097</v>
      </c>
      <c r="DN329" t="s">
        <v>346</v>
      </c>
      <c r="DO329" s="11">
        <v>0</v>
      </c>
      <c r="DP329" s="9" t="str">
        <f>_xll.SNL.Clients.Office.Excel.Functions.SPG(DM329, "SP_COUNTRY_NAME")</f>
        <v>USA</v>
      </c>
      <c r="DU329" s="9" t="str">
        <f>_xll.SNL.Clients.Office.Excel.Functions.SPG(DR329, "SP_COUNTRY_NAME")</f>
        <v>#INVALID COMPANY ID</v>
      </c>
      <c r="DZ329" s="9" t="str">
        <f>_xll.SNL.Clients.Office.Excel.Functions.SPG(DW329, "SP_COUNTRY_NAME")</f>
        <v>#INVALID COMPANY ID</v>
      </c>
      <c r="EA329" t="s">
        <v>1777</v>
      </c>
      <c r="EB329">
        <v>4115973</v>
      </c>
      <c r="EC329" t="s">
        <v>346</v>
      </c>
      <c r="ED329" s="11">
        <v>0</v>
      </c>
      <c r="EE329" s="9" t="str">
        <f>_xll.SNL.Clients.Office.Excel.Functions.SPG(EB329, "SP_COUNTRY_NAME")</f>
        <v>USA</v>
      </c>
      <c r="EF329" t="s">
        <v>517</v>
      </c>
      <c r="EG329">
        <v>111097</v>
      </c>
      <c r="EH329" t="s">
        <v>346</v>
      </c>
      <c r="EI329" s="11">
        <v>0</v>
      </c>
      <c r="EJ329" s="9" t="str">
        <f>_xll.SNL.Clients.Office.Excel.Functions.SPG(EG329, "SP_COUNTRY_NAME")</f>
        <v>USA</v>
      </c>
      <c r="EO329" s="9" t="str">
        <f>_xll.SNL.Clients.Office.Excel.Functions.SPG(EL329, "SP_COUNTRY_NAME")</f>
        <v>#INVALID COMPANY ID</v>
      </c>
      <c r="ET329" s="9" t="str">
        <f>_xll.SNL.Clients.Office.Excel.Functions.SPG(EQ329, "SP_COUNTRY_NAME")</f>
        <v>#INVALID COMPANY ID</v>
      </c>
      <c r="EY329" s="9" t="str">
        <f>_xll.SNL.Clients.Office.Excel.Functions.SPG(EV329, "SP_COUNTRY_NAME")</f>
        <v>#INVALID COMPANY ID</v>
      </c>
      <c r="FD329" s="9" t="str">
        <f>_xll.SNL.Clients.Office.Excel.Functions.SPG(FA329, "SP_COUNTRY_NAME")</f>
        <v>#INVALID COMPANY ID</v>
      </c>
      <c r="FI329" s="9" t="str">
        <f>_xll.SNL.Clients.Office.Excel.Functions.SPG(FF329, "SP_COUNTRY_NAME")</f>
        <v>#INVALID COMPANY ID</v>
      </c>
      <c r="FN329" s="9" t="str">
        <f>_xll.SNL.Clients.Office.Excel.Functions.SPG(FK329, "SP_COUNTRY_NAME")</f>
        <v>#INVALID COMPANY ID</v>
      </c>
      <c r="FS329" s="9" t="str">
        <f>_xll.SNL.Clients.Office.Excel.Functions.SPG(FP329, "SP_COUNTRY_NAME")</f>
        <v>#INVALID COMPANY ID</v>
      </c>
      <c r="FX329" s="9" t="str">
        <f>_xll.SNL.Clients.Office.Excel.Functions.SPG(FU329, "SP_COUNTRY_NAME")</f>
        <v>#INVALID COMPANY ID</v>
      </c>
      <c r="FY329" t="s">
        <v>517</v>
      </c>
      <c r="FZ329">
        <v>111097</v>
      </c>
      <c r="GA329" t="s">
        <v>346</v>
      </c>
      <c r="GB329" s="11">
        <v>0</v>
      </c>
      <c r="GC329" s="9" t="str">
        <f>_xll.SNL.Clients.Office.Excel.Functions.SPG(FZ329, "SP_COUNTRY_NAME")</f>
        <v>USA</v>
      </c>
      <c r="GH329" s="9" t="str">
        <f>_xll.SNL.Clients.Office.Excel.Functions.SPG(GE329, "SP_COUNTRY_NAME")</f>
        <v>#INVALID COMPANY ID</v>
      </c>
      <c r="GM329" s="9" t="str">
        <f>_xll.SNL.Clients.Office.Excel.Functions.SPG(GJ329, "SP_COUNTRY_NAME")</f>
        <v>#INVALID COMPANY ID</v>
      </c>
      <c r="GR329" s="9" t="str">
        <f>_xll.SNL.Clients.Office.Excel.Functions.SPG(GO329, "SP_COUNTRY_NAME")</f>
        <v>#INVALID COMPANY ID</v>
      </c>
      <c r="GS329" t="s">
        <v>1179</v>
      </c>
      <c r="GT329">
        <v>4556895</v>
      </c>
      <c r="GU329" t="s">
        <v>346</v>
      </c>
      <c r="GV329" s="11">
        <v>0</v>
      </c>
      <c r="GW329" s="9" t="str">
        <f>_xll.SNL.Clients.Office.Excel.Functions.SPG(GT329, "SP_COUNTRY_NAME")</f>
        <v>Denmark</v>
      </c>
      <c r="GX329" t="s">
        <v>1777</v>
      </c>
      <c r="GY329">
        <v>4115973</v>
      </c>
      <c r="GZ329" t="s">
        <v>346</v>
      </c>
      <c r="HA329" s="11">
        <v>0</v>
      </c>
      <c r="HB329" s="9" t="str">
        <f>_xll.SNL.Clients.Office.Excel.Functions.SPG(GY329, "SP_COUNTRY_NAME")</f>
        <v>USA</v>
      </c>
      <c r="HG329" s="9" t="str">
        <f>_xll.SNL.Clients.Office.Excel.Functions.SPG(HD329, "SP_COUNTRY_NAME")</f>
        <v>#INVALID COMPANY ID</v>
      </c>
    </row>
    <row r="330" spans="5:215" x14ac:dyDescent="0.35">
      <c r="E330" s="9" t="str">
        <f>_xll.SNL.Clients.Office.Excel.Functions.SPG(B330, "SP_COUNTRY_NAME")</f>
        <v>#INVALID COMPANY ID</v>
      </c>
      <c r="J330" s="9" t="str">
        <f>_xll.SNL.Clients.Office.Excel.Functions.SPG(G330, "SP_COUNTRY_NAME")</f>
        <v>#INVALID COMPANY ID</v>
      </c>
      <c r="O330" s="9" t="str">
        <f>_xll.SNL.Clients.Office.Excel.Functions.SPG(L330, "SP_COUNTRY_NAME")</f>
        <v>#INVALID COMPANY ID</v>
      </c>
      <c r="T330" s="9" t="str">
        <f>_xll.SNL.Clients.Office.Excel.Functions.SPG(Q330, "SP_COUNTRY_NAME")</f>
        <v>#INVALID COMPANY ID</v>
      </c>
      <c r="U330" t="s">
        <v>879</v>
      </c>
      <c r="V330">
        <v>5841553</v>
      </c>
      <c r="W330" t="s">
        <v>346</v>
      </c>
      <c r="X330" s="11">
        <v>0</v>
      </c>
      <c r="Y330" s="9" t="str">
        <f>_xll.SNL.Clients.Office.Excel.Functions.SPG(V330, "SP_COUNTRY_NAME")</f>
        <v>China</v>
      </c>
      <c r="AD330" s="9" t="str">
        <f>_xll.SNL.Clients.Office.Excel.Functions.SPG(AA330, "SP_COUNTRY_NAME")</f>
        <v>#INVALID COMPANY ID</v>
      </c>
      <c r="AI330" s="9" t="str">
        <f>_xll.SNL.Clients.Office.Excel.Functions.SPG(AF330, "SP_COUNTRY_NAME")</f>
        <v>#INVALID COMPANY ID</v>
      </c>
      <c r="AN330" s="9" t="str">
        <f>_xll.SNL.Clients.Office.Excel.Functions.SPG(AK330, "SP_COUNTRY_NAME")</f>
        <v>#INVALID COMPANY ID</v>
      </c>
      <c r="AS330" s="9" t="str">
        <f>_xll.SNL.Clients.Office.Excel.Functions.SPG(AP330, "SP_COUNTRY_NAME")</f>
        <v>#INVALID COMPANY ID</v>
      </c>
      <c r="AX330" s="9" t="str">
        <f>_xll.SNL.Clients.Office.Excel.Functions.SPG(AU330, "SP_COUNTRY_NAME")</f>
        <v>#INVALID COMPANY ID</v>
      </c>
      <c r="BC330" s="9" t="str">
        <f>_xll.SNL.Clients.Office.Excel.Functions.SPG(AZ330, "SP_COUNTRY_NAME")</f>
        <v>#INVALID COMPANY ID</v>
      </c>
      <c r="BD330" t="s">
        <v>1494</v>
      </c>
      <c r="BE330">
        <v>4565421</v>
      </c>
      <c r="BF330" t="s">
        <v>346</v>
      </c>
      <c r="BG330" s="11">
        <v>0</v>
      </c>
      <c r="BH330" s="9" t="str">
        <f>_xll.SNL.Clients.Office.Excel.Functions.SPG(BE330, "SP_COUNTRY_NAME")</f>
        <v>Australia</v>
      </c>
      <c r="BM330" s="9" t="str">
        <f>_xll.SNL.Clients.Office.Excel.Functions.SPG(BJ330, "SP_COUNTRY_NAME")</f>
        <v>#INVALID COMPANY ID</v>
      </c>
      <c r="BN330" t="s">
        <v>928</v>
      </c>
      <c r="BO330">
        <v>4587777</v>
      </c>
      <c r="BP330" t="s">
        <v>346</v>
      </c>
      <c r="BQ330" s="11">
        <v>0</v>
      </c>
      <c r="BR330" s="9" t="str">
        <f>_xll.SNL.Clients.Office.Excel.Functions.SPG(BO330, "SP_COUNTRY_NAME")</f>
        <v>China</v>
      </c>
      <c r="BS330" t="s">
        <v>1025</v>
      </c>
      <c r="BT330">
        <v>4137552</v>
      </c>
      <c r="BU330" t="s">
        <v>346</v>
      </c>
      <c r="BV330" s="11">
        <v>0</v>
      </c>
      <c r="BW330" s="9" t="str">
        <f>_xll.SNL.Clients.Office.Excel.Functions.SPG(BT330, "SP_COUNTRY_NAME")</f>
        <v>France</v>
      </c>
      <c r="BX330" t="s">
        <v>879</v>
      </c>
      <c r="BY330">
        <v>5841553</v>
      </c>
      <c r="BZ330" t="s">
        <v>346</v>
      </c>
      <c r="CA330" s="11">
        <v>0</v>
      </c>
      <c r="CB330" s="9" t="str">
        <f>_xll.SNL.Clients.Office.Excel.Functions.SPG(BY330, "SP_COUNTRY_NAME")</f>
        <v>China</v>
      </c>
      <c r="CC330" t="s">
        <v>1778</v>
      </c>
      <c r="CD330">
        <v>5857613</v>
      </c>
      <c r="CE330" t="s">
        <v>346</v>
      </c>
      <c r="CF330" s="11">
        <v>0</v>
      </c>
      <c r="CG330" s="9" t="str">
        <f>_xll.SNL.Clients.Office.Excel.Functions.SPG(CD330, "SP_COUNTRY_NAME")</f>
        <v>Brazil</v>
      </c>
      <c r="CL330" s="9" t="str">
        <f>_xll.SNL.Clients.Office.Excel.Functions.SPG(CI330, "SP_COUNTRY_NAME")</f>
        <v>#INVALID COMPANY ID</v>
      </c>
      <c r="CM330" t="s">
        <v>2041</v>
      </c>
      <c r="CN330">
        <v>8328672</v>
      </c>
      <c r="CO330" t="s">
        <v>346</v>
      </c>
      <c r="CP330" s="11">
        <v>0</v>
      </c>
      <c r="CQ330" s="9" t="str">
        <f>_xll.SNL.Clients.Office.Excel.Functions.SPG(CN330, "SP_COUNTRY_NAME")</f>
        <v>Germany</v>
      </c>
      <c r="CV330" s="9" t="str">
        <f>_xll.SNL.Clients.Office.Excel.Functions.SPG(CS330, "SP_COUNTRY_NAME")</f>
        <v>#INVALID COMPANY ID</v>
      </c>
      <c r="DA330" s="9" t="str">
        <f>_xll.SNL.Clients.Office.Excel.Functions.SPG(CX330, "SP_COUNTRY_NAME")</f>
        <v>#INVALID COMPANY ID</v>
      </c>
      <c r="DB330" t="s">
        <v>1494</v>
      </c>
      <c r="DC330">
        <v>4565421</v>
      </c>
      <c r="DD330" t="s">
        <v>346</v>
      </c>
      <c r="DE330" s="11">
        <v>0</v>
      </c>
      <c r="DF330" s="9" t="str">
        <f>_xll.SNL.Clients.Office.Excel.Functions.SPG(DC330, "SP_COUNTRY_NAME")</f>
        <v>Australia</v>
      </c>
      <c r="DK330" s="9" t="str">
        <f>_xll.SNL.Clients.Office.Excel.Functions.SPG(DH330, "SP_COUNTRY_NAME")</f>
        <v>#INVALID COMPANY ID</v>
      </c>
      <c r="DL330" t="s">
        <v>1494</v>
      </c>
      <c r="DM330">
        <v>4565421</v>
      </c>
      <c r="DN330" t="s">
        <v>346</v>
      </c>
      <c r="DO330" s="11">
        <v>0</v>
      </c>
      <c r="DP330" s="9" t="str">
        <f>_xll.SNL.Clients.Office.Excel.Functions.SPG(DM330, "SP_COUNTRY_NAME")</f>
        <v>Australia</v>
      </c>
      <c r="DU330" s="9" t="str">
        <f>_xll.SNL.Clients.Office.Excel.Functions.SPG(DR330, "SP_COUNTRY_NAME")</f>
        <v>#INVALID COMPANY ID</v>
      </c>
      <c r="DZ330" s="9" t="str">
        <f>_xll.SNL.Clients.Office.Excel.Functions.SPG(DW330, "SP_COUNTRY_NAME")</f>
        <v>#INVALID COMPANY ID</v>
      </c>
      <c r="EA330" t="s">
        <v>1778</v>
      </c>
      <c r="EB330">
        <v>5857613</v>
      </c>
      <c r="EC330" t="s">
        <v>346</v>
      </c>
      <c r="ED330" s="11">
        <v>0</v>
      </c>
      <c r="EE330" s="9" t="str">
        <f>_xll.SNL.Clients.Office.Excel.Functions.SPG(EB330, "SP_COUNTRY_NAME")</f>
        <v>Brazil</v>
      </c>
      <c r="EF330" t="s">
        <v>1494</v>
      </c>
      <c r="EG330">
        <v>4565421</v>
      </c>
      <c r="EH330" t="s">
        <v>346</v>
      </c>
      <c r="EI330" s="11">
        <v>0</v>
      </c>
      <c r="EJ330" s="9" t="str">
        <f>_xll.SNL.Clients.Office.Excel.Functions.SPG(EG330, "SP_COUNTRY_NAME")</f>
        <v>Australia</v>
      </c>
      <c r="EO330" s="9" t="str">
        <f>_xll.SNL.Clients.Office.Excel.Functions.SPG(EL330, "SP_COUNTRY_NAME")</f>
        <v>#INVALID COMPANY ID</v>
      </c>
      <c r="ET330" s="9" t="str">
        <f>_xll.SNL.Clients.Office.Excel.Functions.SPG(EQ330, "SP_COUNTRY_NAME")</f>
        <v>#INVALID COMPANY ID</v>
      </c>
      <c r="EY330" s="9" t="str">
        <f>_xll.SNL.Clients.Office.Excel.Functions.SPG(EV330, "SP_COUNTRY_NAME")</f>
        <v>#INVALID COMPANY ID</v>
      </c>
      <c r="FD330" s="9" t="str">
        <f>_xll.SNL.Clients.Office.Excel.Functions.SPG(FA330, "SP_COUNTRY_NAME")</f>
        <v>#INVALID COMPANY ID</v>
      </c>
      <c r="FI330" s="9" t="str">
        <f>_xll.SNL.Clients.Office.Excel.Functions.SPG(FF330, "SP_COUNTRY_NAME")</f>
        <v>#INVALID COMPANY ID</v>
      </c>
      <c r="FN330" s="9" t="str">
        <f>_xll.SNL.Clients.Office.Excel.Functions.SPG(FK330, "SP_COUNTRY_NAME")</f>
        <v>#INVALID COMPANY ID</v>
      </c>
      <c r="FS330" s="9" t="str">
        <f>_xll.SNL.Clients.Office.Excel.Functions.SPG(FP330, "SP_COUNTRY_NAME")</f>
        <v>#INVALID COMPANY ID</v>
      </c>
      <c r="FX330" s="9" t="str">
        <f>_xll.SNL.Clients.Office.Excel.Functions.SPG(FU330, "SP_COUNTRY_NAME")</f>
        <v>#INVALID COMPANY ID</v>
      </c>
      <c r="FY330" t="s">
        <v>1494</v>
      </c>
      <c r="FZ330">
        <v>4565421</v>
      </c>
      <c r="GA330" t="s">
        <v>346</v>
      </c>
      <c r="GB330" s="11">
        <v>0</v>
      </c>
      <c r="GC330" s="9" t="str">
        <f>_xll.SNL.Clients.Office.Excel.Functions.SPG(FZ330, "SP_COUNTRY_NAME")</f>
        <v>Australia</v>
      </c>
      <c r="GH330" s="9" t="str">
        <f>_xll.SNL.Clients.Office.Excel.Functions.SPG(GE330, "SP_COUNTRY_NAME")</f>
        <v>#INVALID COMPANY ID</v>
      </c>
      <c r="GM330" s="9" t="str">
        <f>_xll.SNL.Clients.Office.Excel.Functions.SPG(GJ330, "SP_COUNTRY_NAME")</f>
        <v>#INVALID COMPANY ID</v>
      </c>
      <c r="GR330" s="9" t="str">
        <f>_xll.SNL.Clients.Office.Excel.Functions.SPG(GO330, "SP_COUNTRY_NAME")</f>
        <v>#INVALID COMPANY ID</v>
      </c>
      <c r="GS330" t="s">
        <v>928</v>
      </c>
      <c r="GT330">
        <v>4587777</v>
      </c>
      <c r="GU330" t="s">
        <v>346</v>
      </c>
      <c r="GV330" s="11">
        <v>0</v>
      </c>
      <c r="GW330" s="9" t="str">
        <f>_xll.SNL.Clients.Office.Excel.Functions.SPG(GT330, "SP_COUNTRY_NAME")</f>
        <v>China</v>
      </c>
      <c r="GX330" t="s">
        <v>1778</v>
      </c>
      <c r="GY330">
        <v>5857613</v>
      </c>
      <c r="GZ330" t="s">
        <v>346</v>
      </c>
      <c r="HA330" s="11">
        <v>0</v>
      </c>
      <c r="HB330" s="9" t="str">
        <f>_xll.SNL.Clients.Office.Excel.Functions.SPG(GY330, "SP_COUNTRY_NAME")</f>
        <v>Brazil</v>
      </c>
      <c r="HG330" s="9" t="str">
        <f>_xll.SNL.Clients.Office.Excel.Functions.SPG(HD330, "SP_COUNTRY_NAME")</f>
        <v>#INVALID COMPANY ID</v>
      </c>
    </row>
    <row r="331" spans="5:215" x14ac:dyDescent="0.35">
      <c r="E331" s="9" t="str">
        <f>_xll.SNL.Clients.Office.Excel.Functions.SPG(B331, "SP_COUNTRY_NAME")</f>
        <v>#INVALID COMPANY ID</v>
      </c>
      <c r="J331" s="9" t="str">
        <f>_xll.SNL.Clients.Office.Excel.Functions.SPG(G331, "SP_COUNTRY_NAME")</f>
        <v>#INVALID COMPANY ID</v>
      </c>
      <c r="O331" s="9" t="str">
        <f>_xll.SNL.Clients.Office.Excel.Functions.SPG(L331, "SP_COUNTRY_NAME")</f>
        <v>#INVALID COMPANY ID</v>
      </c>
      <c r="T331" s="9" t="str">
        <f>_xll.SNL.Clients.Office.Excel.Functions.SPG(Q331, "SP_COUNTRY_NAME")</f>
        <v>#INVALID COMPANY ID</v>
      </c>
      <c r="U331" t="s">
        <v>880</v>
      </c>
      <c r="V331">
        <v>4139864</v>
      </c>
      <c r="W331" t="s">
        <v>346</v>
      </c>
      <c r="X331" s="11">
        <v>0</v>
      </c>
      <c r="Y331" s="9" t="str">
        <f>_xll.SNL.Clients.Office.Excel.Functions.SPG(V331, "SP_COUNTRY_NAME")</f>
        <v>United Kingdom</v>
      </c>
      <c r="AD331" s="9" t="str">
        <f>_xll.SNL.Clients.Office.Excel.Functions.SPG(AA331, "SP_COUNTRY_NAME")</f>
        <v>#INVALID COMPANY ID</v>
      </c>
      <c r="AI331" s="9" t="str">
        <f>_xll.SNL.Clients.Office.Excel.Functions.SPG(AF331, "SP_COUNTRY_NAME")</f>
        <v>#INVALID COMPANY ID</v>
      </c>
      <c r="AN331" s="9" t="str">
        <f>_xll.SNL.Clients.Office.Excel.Functions.SPG(AK331, "SP_COUNTRY_NAME")</f>
        <v>#INVALID COMPANY ID</v>
      </c>
      <c r="AS331" s="9" t="str">
        <f>_xll.SNL.Clients.Office.Excel.Functions.SPG(AP331, "SP_COUNTRY_NAME")</f>
        <v>#INVALID COMPANY ID</v>
      </c>
      <c r="AX331" s="9" t="str">
        <f>_xll.SNL.Clients.Office.Excel.Functions.SPG(AU331, "SP_COUNTRY_NAME")</f>
        <v>#INVALID COMPANY ID</v>
      </c>
      <c r="BC331" s="9" t="str">
        <f>_xll.SNL.Clients.Office.Excel.Functions.SPG(AZ331, "SP_COUNTRY_NAME")</f>
        <v>#INVALID COMPANY ID</v>
      </c>
      <c r="BD331" t="s">
        <v>1495</v>
      </c>
      <c r="BE331">
        <v>4324453</v>
      </c>
      <c r="BF331" t="s">
        <v>346</v>
      </c>
      <c r="BG331" s="11">
        <v>0</v>
      </c>
      <c r="BH331" s="9" t="str">
        <f>_xll.SNL.Clients.Office.Excel.Functions.SPG(BE331, "SP_COUNTRY_NAME")</f>
        <v>South Africa</v>
      </c>
      <c r="BM331" s="9" t="str">
        <f>_xll.SNL.Clients.Office.Excel.Functions.SPG(BJ331, "SP_COUNTRY_NAME")</f>
        <v>#INVALID COMPANY ID</v>
      </c>
      <c r="BN331" t="s">
        <v>930</v>
      </c>
      <c r="BO331">
        <v>6892772</v>
      </c>
      <c r="BP331" t="s">
        <v>346</v>
      </c>
      <c r="BQ331" s="11">
        <v>0</v>
      </c>
      <c r="BR331" s="9" t="str">
        <f>_xll.SNL.Clients.Office.Excel.Functions.SPG(BO331, "SP_COUNTRY_NAME")</f>
        <v>China</v>
      </c>
      <c r="BS331" t="s">
        <v>497</v>
      </c>
      <c r="BT331">
        <v>4138770</v>
      </c>
      <c r="BU331" t="s">
        <v>346</v>
      </c>
      <c r="BV331" s="11">
        <v>0</v>
      </c>
      <c r="BW331" s="9" t="str">
        <f>_xll.SNL.Clients.Office.Excel.Functions.SPG(BT331, "SP_COUNTRY_NAME")</f>
        <v>United Kingdom</v>
      </c>
      <c r="BX331" t="s">
        <v>880</v>
      </c>
      <c r="BY331">
        <v>4139864</v>
      </c>
      <c r="BZ331" t="s">
        <v>346</v>
      </c>
      <c r="CA331" s="11">
        <v>0</v>
      </c>
      <c r="CB331" s="9" t="str">
        <f>_xll.SNL.Clients.Office.Excel.Functions.SPG(BY331, "SP_COUNTRY_NAME")</f>
        <v>United Kingdom</v>
      </c>
      <c r="CC331" t="s">
        <v>1779</v>
      </c>
      <c r="CD331">
        <v>110354</v>
      </c>
      <c r="CE331" t="s">
        <v>346</v>
      </c>
      <c r="CF331" s="11">
        <v>0</v>
      </c>
      <c r="CG331" s="9" t="str">
        <f>_xll.SNL.Clients.Office.Excel.Functions.SPG(CD331, "SP_COUNTRY_NAME")</f>
        <v>USA</v>
      </c>
      <c r="CL331" s="9" t="str">
        <f>_xll.SNL.Clients.Office.Excel.Functions.SPG(CI331, "SP_COUNTRY_NAME")</f>
        <v>#INVALID COMPANY ID</v>
      </c>
      <c r="CM331" t="s">
        <v>1332</v>
      </c>
      <c r="CN331">
        <v>4949613</v>
      </c>
      <c r="CO331" t="s">
        <v>346</v>
      </c>
      <c r="CP331" s="11">
        <v>0</v>
      </c>
      <c r="CQ331" s="9" t="str">
        <f>_xll.SNL.Clients.Office.Excel.Functions.SPG(CN331, "SP_COUNTRY_NAME")</f>
        <v>South Africa</v>
      </c>
      <c r="CV331" s="9" t="str">
        <f>_xll.SNL.Clients.Office.Excel.Functions.SPG(CS331, "SP_COUNTRY_NAME")</f>
        <v>#INVALID COMPANY ID</v>
      </c>
      <c r="DA331" s="9" t="str">
        <f>_xll.SNL.Clients.Office.Excel.Functions.SPG(CX331, "SP_COUNTRY_NAME")</f>
        <v>#INVALID COMPANY ID</v>
      </c>
      <c r="DB331" t="s">
        <v>1495</v>
      </c>
      <c r="DC331">
        <v>4324453</v>
      </c>
      <c r="DD331" t="s">
        <v>346</v>
      </c>
      <c r="DE331" s="11">
        <v>0</v>
      </c>
      <c r="DF331" s="9" t="str">
        <f>_xll.SNL.Clients.Office.Excel.Functions.SPG(DC331, "SP_COUNTRY_NAME")</f>
        <v>South Africa</v>
      </c>
      <c r="DK331" s="9" t="str">
        <f>_xll.SNL.Clients.Office.Excel.Functions.SPG(DH331, "SP_COUNTRY_NAME")</f>
        <v>#INVALID COMPANY ID</v>
      </c>
      <c r="DL331" t="s">
        <v>1495</v>
      </c>
      <c r="DM331">
        <v>4324453</v>
      </c>
      <c r="DN331" t="s">
        <v>346</v>
      </c>
      <c r="DO331" s="11">
        <v>0</v>
      </c>
      <c r="DP331" s="9" t="str">
        <f>_xll.SNL.Clients.Office.Excel.Functions.SPG(DM331, "SP_COUNTRY_NAME")</f>
        <v>South Africa</v>
      </c>
      <c r="DU331" s="9" t="str">
        <f>_xll.SNL.Clients.Office.Excel.Functions.SPG(DR331, "SP_COUNTRY_NAME")</f>
        <v>#INVALID COMPANY ID</v>
      </c>
      <c r="DZ331" s="9" t="str">
        <f>_xll.SNL.Clients.Office.Excel.Functions.SPG(DW331, "SP_COUNTRY_NAME")</f>
        <v>#INVALID COMPANY ID</v>
      </c>
      <c r="EA331" t="s">
        <v>1779</v>
      </c>
      <c r="EB331">
        <v>110354</v>
      </c>
      <c r="EC331" t="s">
        <v>346</v>
      </c>
      <c r="ED331" s="11">
        <v>0</v>
      </c>
      <c r="EE331" s="9" t="str">
        <f>_xll.SNL.Clients.Office.Excel.Functions.SPG(EB331, "SP_COUNTRY_NAME")</f>
        <v>USA</v>
      </c>
      <c r="EF331" t="s">
        <v>1495</v>
      </c>
      <c r="EG331">
        <v>4324453</v>
      </c>
      <c r="EH331" t="s">
        <v>346</v>
      </c>
      <c r="EI331" s="11">
        <v>0</v>
      </c>
      <c r="EJ331" s="9" t="str">
        <f>_xll.SNL.Clients.Office.Excel.Functions.SPG(EG331, "SP_COUNTRY_NAME")</f>
        <v>South Africa</v>
      </c>
      <c r="EO331" s="9" t="str">
        <f>_xll.SNL.Clients.Office.Excel.Functions.SPG(EL331, "SP_COUNTRY_NAME")</f>
        <v>#INVALID COMPANY ID</v>
      </c>
      <c r="ET331" s="9" t="str">
        <f>_xll.SNL.Clients.Office.Excel.Functions.SPG(EQ331, "SP_COUNTRY_NAME")</f>
        <v>#INVALID COMPANY ID</v>
      </c>
      <c r="EY331" s="9" t="str">
        <f>_xll.SNL.Clients.Office.Excel.Functions.SPG(EV331, "SP_COUNTRY_NAME")</f>
        <v>#INVALID COMPANY ID</v>
      </c>
      <c r="FD331" s="9" t="str">
        <f>_xll.SNL.Clients.Office.Excel.Functions.SPG(FA331, "SP_COUNTRY_NAME")</f>
        <v>#INVALID COMPANY ID</v>
      </c>
      <c r="FI331" s="9" t="str">
        <f>_xll.SNL.Clients.Office.Excel.Functions.SPG(FF331, "SP_COUNTRY_NAME")</f>
        <v>#INVALID COMPANY ID</v>
      </c>
      <c r="FN331" s="9" t="str">
        <f>_xll.SNL.Clients.Office.Excel.Functions.SPG(FK331, "SP_COUNTRY_NAME")</f>
        <v>#INVALID COMPANY ID</v>
      </c>
      <c r="FS331" s="9" t="str">
        <f>_xll.SNL.Clients.Office.Excel.Functions.SPG(FP331, "SP_COUNTRY_NAME")</f>
        <v>#INVALID COMPANY ID</v>
      </c>
      <c r="FX331" s="9" t="str">
        <f>_xll.SNL.Clients.Office.Excel.Functions.SPG(FU331, "SP_COUNTRY_NAME")</f>
        <v>#INVALID COMPANY ID</v>
      </c>
      <c r="FY331" t="s">
        <v>1495</v>
      </c>
      <c r="FZ331">
        <v>4324453</v>
      </c>
      <c r="GA331" t="s">
        <v>346</v>
      </c>
      <c r="GB331" s="11">
        <v>0</v>
      </c>
      <c r="GC331" s="9" t="str">
        <f>_xll.SNL.Clients.Office.Excel.Functions.SPG(FZ331, "SP_COUNTRY_NAME")</f>
        <v>South Africa</v>
      </c>
      <c r="GH331" s="9" t="str">
        <f>_xll.SNL.Clients.Office.Excel.Functions.SPG(GE331, "SP_COUNTRY_NAME")</f>
        <v>#INVALID COMPANY ID</v>
      </c>
      <c r="GM331" s="9" t="str">
        <f>_xll.SNL.Clients.Office.Excel.Functions.SPG(GJ331, "SP_COUNTRY_NAME")</f>
        <v>#INVALID COMPANY ID</v>
      </c>
      <c r="GR331" s="9" t="str">
        <f>_xll.SNL.Clients.Office.Excel.Functions.SPG(GO331, "SP_COUNTRY_NAME")</f>
        <v>#INVALID COMPANY ID</v>
      </c>
      <c r="GS331" t="s">
        <v>930</v>
      </c>
      <c r="GT331">
        <v>6892772</v>
      </c>
      <c r="GU331" t="s">
        <v>346</v>
      </c>
      <c r="GV331" s="11">
        <v>0</v>
      </c>
      <c r="GW331" s="9" t="str">
        <f>_xll.SNL.Clients.Office.Excel.Functions.SPG(GT331, "SP_COUNTRY_NAME")</f>
        <v>China</v>
      </c>
      <c r="GX331" t="s">
        <v>1779</v>
      </c>
      <c r="GY331">
        <v>110354</v>
      </c>
      <c r="GZ331" t="s">
        <v>346</v>
      </c>
      <c r="HA331" s="11">
        <v>0</v>
      </c>
      <c r="HB331" s="9" t="str">
        <f>_xll.SNL.Clients.Office.Excel.Functions.SPG(GY331, "SP_COUNTRY_NAME")</f>
        <v>USA</v>
      </c>
      <c r="HG331" s="9" t="str">
        <f>_xll.SNL.Clients.Office.Excel.Functions.SPG(HD331, "SP_COUNTRY_NAME")</f>
        <v>#INVALID COMPANY ID</v>
      </c>
    </row>
    <row r="332" spans="5:215" x14ac:dyDescent="0.35">
      <c r="E332" s="9" t="str">
        <f>_xll.SNL.Clients.Office.Excel.Functions.SPG(B332, "SP_COUNTRY_NAME")</f>
        <v>#INVALID COMPANY ID</v>
      </c>
      <c r="J332" s="9" t="str">
        <f>_xll.SNL.Clients.Office.Excel.Functions.SPG(G332, "SP_COUNTRY_NAME")</f>
        <v>#INVALID COMPANY ID</v>
      </c>
      <c r="O332" s="9" t="str">
        <f>_xll.SNL.Clients.Office.Excel.Functions.SPG(L332, "SP_COUNTRY_NAME")</f>
        <v>#INVALID COMPANY ID</v>
      </c>
      <c r="T332" s="9" t="str">
        <f>_xll.SNL.Clients.Office.Excel.Functions.SPG(Q332, "SP_COUNTRY_NAME")</f>
        <v>#INVALID COMPANY ID</v>
      </c>
      <c r="U332" t="s">
        <v>475</v>
      </c>
      <c r="V332">
        <v>4115935</v>
      </c>
      <c r="W332" t="s">
        <v>346</v>
      </c>
      <c r="X332" s="11">
        <v>0</v>
      </c>
      <c r="Y332" s="9" t="str">
        <f>_xll.SNL.Clients.Office.Excel.Functions.SPG(V332, "SP_COUNTRY_NAME")</f>
        <v>USA</v>
      </c>
      <c r="AD332" s="9" t="str">
        <f>_xll.SNL.Clients.Office.Excel.Functions.SPG(AA332, "SP_COUNTRY_NAME")</f>
        <v>#INVALID COMPANY ID</v>
      </c>
      <c r="AI332" s="9" t="str">
        <f>_xll.SNL.Clients.Office.Excel.Functions.SPG(AF332, "SP_COUNTRY_NAME")</f>
        <v>#INVALID COMPANY ID</v>
      </c>
      <c r="AN332" s="9" t="str">
        <f>_xll.SNL.Clients.Office.Excel.Functions.SPG(AK332, "SP_COUNTRY_NAME")</f>
        <v>#INVALID COMPANY ID</v>
      </c>
      <c r="AS332" s="9" t="str">
        <f>_xll.SNL.Clients.Office.Excel.Functions.SPG(AP332, "SP_COUNTRY_NAME")</f>
        <v>#INVALID COMPANY ID</v>
      </c>
      <c r="AX332" s="9" t="str">
        <f>_xll.SNL.Clients.Office.Excel.Functions.SPG(AU332, "SP_COUNTRY_NAME")</f>
        <v>#INVALID COMPANY ID</v>
      </c>
      <c r="BC332" s="9" t="str">
        <f>_xll.SNL.Clients.Office.Excel.Functions.SPG(AZ332, "SP_COUNTRY_NAME")</f>
        <v>#INVALID COMPANY ID</v>
      </c>
      <c r="BD332" t="s">
        <v>536</v>
      </c>
      <c r="BE332">
        <v>4432074</v>
      </c>
      <c r="BF332" t="s">
        <v>346</v>
      </c>
      <c r="BG332" s="11">
        <v>0</v>
      </c>
      <c r="BH332" s="9" t="str">
        <f>_xll.SNL.Clients.Office.Excel.Functions.SPG(BE332, "SP_COUNTRY_NAME")</f>
        <v>Canada</v>
      </c>
      <c r="BM332" s="9" t="str">
        <f>_xll.SNL.Clients.Office.Excel.Functions.SPG(BJ332, "SP_COUNTRY_NAME")</f>
        <v>#INVALID COMPANY ID</v>
      </c>
      <c r="BN332" t="s">
        <v>1253</v>
      </c>
      <c r="BO332">
        <v>25838827</v>
      </c>
      <c r="BP332" t="s">
        <v>369</v>
      </c>
      <c r="BQ332" s="11">
        <v>0</v>
      </c>
      <c r="BR332" s="9" t="str">
        <f>_xll.SNL.Clients.Office.Excel.Functions.SPG(BO332, "SP_COUNTRY_NAME")</f>
        <v>China</v>
      </c>
      <c r="BS332" t="s">
        <v>641</v>
      </c>
      <c r="BT332">
        <v>4820048</v>
      </c>
      <c r="BU332" t="s">
        <v>346</v>
      </c>
      <c r="BV332" s="11">
        <v>0</v>
      </c>
      <c r="BW332" s="9" t="str">
        <f>_xll.SNL.Clients.Office.Excel.Functions.SPG(BT332, "SP_COUNTRY_NAME")</f>
        <v>China</v>
      </c>
      <c r="BX332" t="s">
        <v>475</v>
      </c>
      <c r="BY332">
        <v>4115935</v>
      </c>
      <c r="BZ332" t="s">
        <v>346</v>
      </c>
      <c r="CA332" s="11">
        <v>0</v>
      </c>
      <c r="CB332" s="9" t="str">
        <f>_xll.SNL.Clients.Office.Excel.Functions.SPG(BY332, "SP_COUNTRY_NAME")</f>
        <v>USA</v>
      </c>
      <c r="CC332" t="s">
        <v>1780</v>
      </c>
      <c r="CD332">
        <v>110082</v>
      </c>
      <c r="CE332" t="s">
        <v>346</v>
      </c>
      <c r="CF332" s="11">
        <v>0</v>
      </c>
      <c r="CG332" s="9" t="str">
        <f>_xll.SNL.Clients.Office.Excel.Functions.SPG(CD332, "SP_COUNTRY_NAME")</f>
        <v>USA</v>
      </c>
      <c r="CL332" s="9" t="str">
        <f>_xll.SNL.Clients.Office.Excel.Functions.SPG(CI332, "SP_COUNTRY_NAME")</f>
        <v>#INVALID COMPANY ID</v>
      </c>
      <c r="CM332" t="s">
        <v>1661</v>
      </c>
      <c r="CN332">
        <v>4092965</v>
      </c>
      <c r="CO332" t="s">
        <v>366</v>
      </c>
      <c r="CP332" s="11">
        <v>0</v>
      </c>
      <c r="CQ332" s="9" t="str">
        <f>_xll.SNL.Clients.Office.Excel.Functions.SPG(CN332, "SP_COUNTRY_NAME")</f>
        <v>USA</v>
      </c>
      <c r="CV332" s="9" t="str">
        <f>_xll.SNL.Clients.Office.Excel.Functions.SPG(CS332, "SP_COUNTRY_NAME")</f>
        <v>#INVALID COMPANY ID</v>
      </c>
      <c r="DA332" s="9" t="str">
        <f>_xll.SNL.Clients.Office.Excel.Functions.SPG(CX332, "SP_COUNTRY_NAME")</f>
        <v>#INVALID COMPANY ID</v>
      </c>
      <c r="DB332" t="s">
        <v>536</v>
      </c>
      <c r="DC332">
        <v>4432074</v>
      </c>
      <c r="DD332" t="s">
        <v>346</v>
      </c>
      <c r="DE332" s="11">
        <v>0</v>
      </c>
      <c r="DF332" s="9" t="str">
        <f>_xll.SNL.Clients.Office.Excel.Functions.SPG(DC332, "SP_COUNTRY_NAME")</f>
        <v>Canada</v>
      </c>
      <c r="DK332" s="9" t="str">
        <f>_xll.SNL.Clients.Office.Excel.Functions.SPG(DH332, "SP_COUNTRY_NAME")</f>
        <v>#INVALID COMPANY ID</v>
      </c>
      <c r="DL332" t="s">
        <v>536</v>
      </c>
      <c r="DM332">
        <v>4432074</v>
      </c>
      <c r="DN332" t="s">
        <v>346</v>
      </c>
      <c r="DO332" s="11">
        <v>0</v>
      </c>
      <c r="DP332" s="9" t="str">
        <f>_xll.SNL.Clients.Office.Excel.Functions.SPG(DM332, "SP_COUNTRY_NAME")</f>
        <v>Canada</v>
      </c>
      <c r="DU332" s="9" t="str">
        <f>_xll.SNL.Clients.Office.Excel.Functions.SPG(DR332, "SP_COUNTRY_NAME")</f>
        <v>#INVALID COMPANY ID</v>
      </c>
      <c r="DZ332" s="9" t="str">
        <f>_xll.SNL.Clients.Office.Excel.Functions.SPG(DW332, "SP_COUNTRY_NAME")</f>
        <v>#INVALID COMPANY ID</v>
      </c>
      <c r="EA332" t="s">
        <v>1780</v>
      </c>
      <c r="EB332">
        <v>110082</v>
      </c>
      <c r="EC332" t="s">
        <v>346</v>
      </c>
      <c r="ED332" s="11">
        <v>0</v>
      </c>
      <c r="EE332" s="9" t="str">
        <f>_xll.SNL.Clients.Office.Excel.Functions.SPG(EB332, "SP_COUNTRY_NAME")</f>
        <v>USA</v>
      </c>
      <c r="EF332" t="s">
        <v>536</v>
      </c>
      <c r="EG332">
        <v>4432074</v>
      </c>
      <c r="EH332" t="s">
        <v>346</v>
      </c>
      <c r="EI332" s="11">
        <v>0</v>
      </c>
      <c r="EJ332" s="9" t="str">
        <f>_xll.SNL.Clients.Office.Excel.Functions.SPG(EG332, "SP_COUNTRY_NAME")</f>
        <v>Canada</v>
      </c>
      <c r="EO332" s="9" t="str">
        <f>_xll.SNL.Clients.Office.Excel.Functions.SPG(EL332, "SP_COUNTRY_NAME")</f>
        <v>#INVALID COMPANY ID</v>
      </c>
      <c r="ET332" s="9" t="str">
        <f>_xll.SNL.Clients.Office.Excel.Functions.SPG(EQ332, "SP_COUNTRY_NAME")</f>
        <v>#INVALID COMPANY ID</v>
      </c>
      <c r="EY332" s="9" t="str">
        <f>_xll.SNL.Clients.Office.Excel.Functions.SPG(EV332, "SP_COUNTRY_NAME")</f>
        <v>#INVALID COMPANY ID</v>
      </c>
      <c r="FD332" s="9" t="str">
        <f>_xll.SNL.Clients.Office.Excel.Functions.SPG(FA332, "SP_COUNTRY_NAME")</f>
        <v>#INVALID COMPANY ID</v>
      </c>
      <c r="FI332" s="9" t="str">
        <f>_xll.SNL.Clients.Office.Excel.Functions.SPG(FF332, "SP_COUNTRY_NAME")</f>
        <v>#INVALID COMPANY ID</v>
      </c>
      <c r="FN332" s="9" t="str">
        <f>_xll.SNL.Clients.Office.Excel.Functions.SPG(FK332, "SP_COUNTRY_NAME")</f>
        <v>#INVALID COMPANY ID</v>
      </c>
      <c r="FS332" s="9" t="str">
        <f>_xll.SNL.Clients.Office.Excel.Functions.SPG(FP332, "SP_COUNTRY_NAME")</f>
        <v>#INVALID COMPANY ID</v>
      </c>
      <c r="FX332" s="9" t="str">
        <f>_xll.SNL.Clients.Office.Excel.Functions.SPG(FU332, "SP_COUNTRY_NAME")</f>
        <v>#INVALID COMPANY ID</v>
      </c>
      <c r="FY332" t="s">
        <v>536</v>
      </c>
      <c r="FZ332">
        <v>4432074</v>
      </c>
      <c r="GA332" t="s">
        <v>346</v>
      </c>
      <c r="GB332" s="11">
        <v>0</v>
      </c>
      <c r="GC332" s="9" t="str">
        <f>_xll.SNL.Clients.Office.Excel.Functions.SPG(FZ332, "SP_COUNTRY_NAME")</f>
        <v>Canada</v>
      </c>
      <c r="GH332" s="9" t="str">
        <f>_xll.SNL.Clients.Office.Excel.Functions.SPG(GE332, "SP_COUNTRY_NAME")</f>
        <v>#INVALID COMPANY ID</v>
      </c>
      <c r="GM332" s="9" t="str">
        <f>_xll.SNL.Clients.Office.Excel.Functions.SPG(GJ332, "SP_COUNTRY_NAME")</f>
        <v>#INVALID COMPANY ID</v>
      </c>
      <c r="GR332" s="9" t="str">
        <f>_xll.SNL.Clients.Office.Excel.Functions.SPG(GO332, "SP_COUNTRY_NAME")</f>
        <v>#INVALID COMPANY ID</v>
      </c>
      <c r="GS332" t="s">
        <v>1253</v>
      </c>
      <c r="GT332">
        <v>25838827</v>
      </c>
      <c r="GU332" t="s">
        <v>369</v>
      </c>
      <c r="GV332" s="11">
        <v>0</v>
      </c>
      <c r="GW332" s="9" t="str">
        <f>_xll.SNL.Clients.Office.Excel.Functions.SPG(GT332, "SP_COUNTRY_NAME")</f>
        <v>China</v>
      </c>
      <c r="GX332" t="s">
        <v>1780</v>
      </c>
      <c r="GY332">
        <v>110082</v>
      </c>
      <c r="GZ332" t="s">
        <v>346</v>
      </c>
      <c r="HA332" s="11">
        <v>0</v>
      </c>
      <c r="HB332" s="9" t="str">
        <f>_xll.SNL.Clients.Office.Excel.Functions.SPG(GY332, "SP_COUNTRY_NAME")</f>
        <v>USA</v>
      </c>
      <c r="HG332" s="9" t="str">
        <f>_xll.SNL.Clients.Office.Excel.Functions.SPG(HD332, "SP_COUNTRY_NAME")</f>
        <v>#INVALID COMPANY ID</v>
      </c>
    </row>
    <row r="333" spans="5:215" x14ac:dyDescent="0.35">
      <c r="E333" s="9" t="str">
        <f>_xll.SNL.Clients.Office.Excel.Functions.SPG(B333, "SP_COUNTRY_NAME")</f>
        <v>#INVALID COMPANY ID</v>
      </c>
      <c r="J333" s="9" t="str">
        <f>_xll.SNL.Clients.Office.Excel.Functions.SPG(G333, "SP_COUNTRY_NAME")</f>
        <v>#INVALID COMPANY ID</v>
      </c>
      <c r="O333" s="9" t="str">
        <f>_xll.SNL.Clients.Office.Excel.Functions.SPG(L333, "SP_COUNTRY_NAME")</f>
        <v>#INVALID COMPANY ID</v>
      </c>
      <c r="T333" s="9" t="str">
        <f>_xll.SNL.Clients.Office.Excel.Functions.SPG(Q333, "SP_COUNTRY_NAME")</f>
        <v>#INVALID COMPANY ID</v>
      </c>
      <c r="U333" t="s">
        <v>412</v>
      </c>
      <c r="V333">
        <v>109687</v>
      </c>
      <c r="W333" t="s">
        <v>346</v>
      </c>
      <c r="X333" s="11">
        <v>0</v>
      </c>
      <c r="Y333" s="9" t="str">
        <f>_xll.SNL.Clients.Office.Excel.Functions.SPG(V333, "SP_COUNTRY_NAME")</f>
        <v>USA</v>
      </c>
      <c r="AD333" s="9" t="str">
        <f>_xll.SNL.Clients.Office.Excel.Functions.SPG(AA333, "SP_COUNTRY_NAME")</f>
        <v>#INVALID COMPANY ID</v>
      </c>
      <c r="AI333" s="9" t="str">
        <f>_xll.SNL.Clients.Office.Excel.Functions.SPG(AF333, "SP_COUNTRY_NAME")</f>
        <v>#INVALID COMPANY ID</v>
      </c>
      <c r="AN333" s="9" t="str">
        <f>_xll.SNL.Clients.Office.Excel.Functions.SPG(AK333, "SP_COUNTRY_NAME")</f>
        <v>#INVALID COMPANY ID</v>
      </c>
      <c r="AS333" s="9" t="str">
        <f>_xll.SNL.Clients.Office.Excel.Functions.SPG(AP333, "SP_COUNTRY_NAME")</f>
        <v>#INVALID COMPANY ID</v>
      </c>
      <c r="AX333" s="9" t="str">
        <f>_xll.SNL.Clients.Office.Excel.Functions.SPG(AU333, "SP_COUNTRY_NAME")</f>
        <v>#INVALID COMPANY ID</v>
      </c>
      <c r="BC333" s="9" t="str">
        <f>_xll.SNL.Clients.Office.Excel.Functions.SPG(AZ333, "SP_COUNTRY_NAME")</f>
        <v>#INVALID COMPANY ID</v>
      </c>
      <c r="BD333" t="s">
        <v>1496</v>
      </c>
      <c r="BE333">
        <v>5860870</v>
      </c>
      <c r="BF333" t="s">
        <v>346</v>
      </c>
      <c r="BG333" s="11">
        <v>0</v>
      </c>
      <c r="BH333" s="9" t="str">
        <f>_xll.SNL.Clients.Office.Excel.Functions.SPG(BE333, "SP_COUNTRY_NAME")</f>
        <v>France</v>
      </c>
      <c r="BM333" s="9" t="str">
        <f>_xll.SNL.Clients.Office.Excel.Functions.SPG(BJ333, "SP_COUNTRY_NAME")</f>
        <v>#INVALID COMPANY ID</v>
      </c>
      <c r="BN333" t="s">
        <v>1254</v>
      </c>
      <c r="BO333">
        <v>4313305</v>
      </c>
      <c r="BP333" t="s">
        <v>346</v>
      </c>
      <c r="BQ333" s="11">
        <v>0</v>
      </c>
      <c r="BR333" s="9" t="str">
        <f>_xll.SNL.Clients.Office.Excel.Functions.SPG(BO333, "SP_COUNTRY_NAME")</f>
        <v>China</v>
      </c>
      <c r="BS333" t="s">
        <v>813</v>
      </c>
      <c r="BT333">
        <v>5810740</v>
      </c>
      <c r="BU333" t="s">
        <v>346</v>
      </c>
      <c r="BV333" s="11">
        <v>0</v>
      </c>
      <c r="BW333" s="9" t="str">
        <f>_xll.SNL.Clients.Office.Excel.Functions.SPG(BT333, "SP_COUNTRY_NAME")</f>
        <v>China</v>
      </c>
      <c r="BX333" t="s">
        <v>412</v>
      </c>
      <c r="BY333">
        <v>109687</v>
      </c>
      <c r="BZ333" t="s">
        <v>346</v>
      </c>
      <c r="CA333" s="11">
        <v>0</v>
      </c>
      <c r="CB333" s="9" t="str">
        <f>_xll.SNL.Clients.Office.Excel.Functions.SPG(BY333, "SP_COUNTRY_NAME")</f>
        <v>USA</v>
      </c>
      <c r="CC333" t="s">
        <v>528</v>
      </c>
      <c r="CD333">
        <v>4773761</v>
      </c>
      <c r="CE333" t="s">
        <v>346</v>
      </c>
      <c r="CF333" s="11">
        <v>0</v>
      </c>
      <c r="CG333" s="9" t="str">
        <f>_xll.SNL.Clients.Office.Excel.Functions.SPG(CD333, "SP_COUNTRY_NAME")</f>
        <v>Canada</v>
      </c>
      <c r="CL333" s="9" t="str">
        <f>_xll.SNL.Clients.Office.Excel.Functions.SPG(CI333, "SP_COUNTRY_NAME")</f>
        <v>#INVALID COMPANY ID</v>
      </c>
      <c r="CM333" t="s">
        <v>1241</v>
      </c>
      <c r="CN333">
        <v>100522</v>
      </c>
      <c r="CO333" t="s">
        <v>366</v>
      </c>
      <c r="CP333" s="11">
        <v>0</v>
      </c>
      <c r="CQ333" s="9" t="str">
        <f>_xll.SNL.Clients.Office.Excel.Functions.SPG(CN333, "SP_COUNTRY_NAME")</f>
        <v>Canada</v>
      </c>
      <c r="CV333" s="9" t="str">
        <f>_xll.SNL.Clients.Office.Excel.Functions.SPG(CS333, "SP_COUNTRY_NAME")</f>
        <v>#INVALID COMPANY ID</v>
      </c>
      <c r="DA333" s="9" t="str">
        <f>_xll.SNL.Clients.Office.Excel.Functions.SPG(CX333, "SP_COUNTRY_NAME")</f>
        <v>#INVALID COMPANY ID</v>
      </c>
      <c r="DB333" t="s">
        <v>1496</v>
      </c>
      <c r="DC333">
        <v>5860870</v>
      </c>
      <c r="DD333" t="s">
        <v>346</v>
      </c>
      <c r="DE333" s="11">
        <v>0</v>
      </c>
      <c r="DF333" s="9" t="str">
        <f>_xll.SNL.Clients.Office.Excel.Functions.SPG(DC333, "SP_COUNTRY_NAME")</f>
        <v>France</v>
      </c>
      <c r="DK333" s="9" t="str">
        <f>_xll.SNL.Clients.Office.Excel.Functions.SPG(DH333, "SP_COUNTRY_NAME")</f>
        <v>#INVALID COMPANY ID</v>
      </c>
      <c r="DL333" t="s">
        <v>1496</v>
      </c>
      <c r="DM333">
        <v>5860870</v>
      </c>
      <c r="DN333" t="s">
        <v>346</v>
      </c>
      <c r="DO333" s="11">
        <v>0</v>
      </c>
      <c r="DP333" s="9" t="str">
        <f>_xll.SNL.Clients.Office.Excel.Functions.SPG(DM333, "SP_COUNTRY_NAME")</f>
        <v>France</v>
      </c>
      <c r="DU333" s="9" t="str">
        <f>_xll.SNL.Clients.Office.Excel.Functions.SPG(DR333, "SP_COUNTRY_NAME")</f>
        <v>#INVALID COMPANY ID</v>
      </c>
      <c r="DZ333" s="9" t="str">
        <f>_xll.SNL.Clients.Office.Excel.Functions.SPG(DW333, "SP_COUNTRY_NAME")</f>
        <v>#INVALID COMPANY ID</v>
      </c>
      <c r="EA333" t="s">
        <v>528</v>
      </c>
      <c r="EB333">
        <v>4773761</v>
      </c>
      <c r="EC333" t="s">
        <v>346</v>
      </c>
      <c r="ED333" s="11">
        <v>0</v>
      </c>
      <c r="EE333" s="9" t="str">
        <f>_xll.SNL.Clients.Office.Excel.Functions.SPG(EB333, "SP_COUNTRY_NAME")</f>
        <v>Canada</v>
      </c>
      <c r="EF333" t="s">
        <v>1496</v>
      </c>
      <c r="EG333">
        <v>5860870</v>
      </c>
      <c r="EH333" t="s">
        <v>346</v>
      </c>
      <c r="EI333" s="11">
        <v>0</v>
      </c>
      <c r="EJ333" s="9" t="str">
        <f>_xll.SNL.Clients.Office.Excel.Functions.SPG(EG333, "SP_COUNTRY_NAME")</f>
        <v>France</v>
      </c>
      <c r="EO333" s="9" t="str">
        <f>_xll.SNL.Clients.Office.Excel.Functions.SPG(EL333, "SP_COUNTRY_NAME")</f>
        <v>#INVALID COMPANY ID</v>
      </c>
      <c r="ET333" s="9" t="str">
        <f>_xll.SNL.Clients.Office.Excel.Functions.SPG(EQ333, "SP_COUNTRY_NAME")</f>
        <v>#INVALID COMPANY ID</v>
      </c>
      <c r="EY333" s="9" t="str">
        <f>_xll.SNL.Clients.Office.Excel.Functions.SPG(EV333, "SP_COUNTRY_NAME")</f>
        <v>#INVALID COMPANY ID</v>
      </c>
      <c r="FD333" s="9" t="str">
        <f>_xll.SNL.Clients.Office.Excel.Functions.SPG(FA333, "SP_COUNTRY_NAME")</f>
        <v>#INVALID COMPANY ID</v>
      </c>
      <c r="FI333" s="9" t="str">
        <f>_xll.SNL.Clients.Office.Excel.Functions.SPG(FF333, "SP_COUNTRY_NAME")</f>
        <v>#INVALID COMPANY ID</v>
      </c>
      <c r="FN333" s="9" t="str">
        <f>_xll.SNL.Clients.Office.Excel.Functions.SPG(FK333, "SP_COUNTRY_NAME")</f>
        <v>#INVALID COMPANY ID</v>
      </c>
      <c r="FS333" s="9" t="str">
        <f>_xll.SNL.Clients.Office.Excel.Functions.SPG(FP333, "SP_COUNTRY_NAME")</f>
        <v>#INVALID COMPANY ID</v>
      </c>
      <c r="FX333" s="9" t="str">
        <f>_xll.SNL.Clients.Office.Excel.Functions.SPG(FU333, "SP_COUNTRY_NAME")</f>
        <v>#INVALID COMPANY ID</v>
      </c>
      <c r="FY333" t="s">
        <v>1496</v>
      </c>
      <c r="FZ333">
        <v>5860870</v>
      </c>
      <c r="GA333" t="s">
        <v>346</v>
      </c>
      <c r="GB333" s="11">
        <v>0</v>
      </c>
      <c r="GC333" s="9" t="str">
        <f>_xll.SNL.Clients.Office.Excel.Functions.SPG(FZ333, "SP_COUNTRY_NAME")</f>
        <v>France</v>
      </c>
      <c r="GH333" s="9" t="str">
        <f>_xll.SNL.Clients.Office.Excel.Functions.SPG(GE333, "SP_COUNTRY_NAME")</f>
        <v>#INVALID COMPANY ID</v>
      </c>
      <c r="GM333" s="9" t="str">
        <f>_xll.SNL.Clients.Office.Excel.Functions.SPG(GJ333, "SP_COUNTRY_NAME")</f>
        <v>#INVALID COMPANY ID</v>
      </c>
      <c r="GR333" s="9" t="str">
        <f>_xll.SNL.Clients.Office.Excel.Functions.SPG(GO333, "SP_COUNTRY_NAME")</f>
        <v>#INVALID COMPANY ID</v>
      </c>
      <c r="GS333" t="s">
        <v>1254</v>
      </c>
      <c r="GT333">
        <v>4313305</v>
      </c>
      <c r="GU333" t="s">
        <v>346</v>
      </c>
      <c r="GV333" s="11">
        <v>0</v>
      </c>
      <c r="GW333" s="9" t="str">
        <f>_xll.SNL.Clients.Office.Excel.Functions.SPG(GT333, "SP_COUNTRY_NAME")</f>
        <v>China</v>
      </c>
      <c r="GX333" t="s">
        <v>528</v>
      </c>
      <c r="GY333">
        <v>4773761</v>
      </c>
      <c r="GZ333" t="s">
        <v>346</v>
      </c>
      <c r="HA333" s="11">
        <v>0</v>
      </c>
      <c r="HB333" s="9" t="str">
        <f>_xll.SNL.Clients.Office.Excel.Functions.SPG(GY333, "SP_COUNTRY_NAME")</f>
        <v>Canada</v>
      </c>
      <c r="HG333" s="9" t="str">
        <f>_xll.SNL.Clients.Office.Excel.Functions.SPG(HD333, "SP_COUNTRY_NAME")</f>
        <v>#INVALID COMPANY ID</v>
      </c>
    </row>
    <row r="334" spans="5:215" x14ac:dyDescent="0.35">
      <c r="E334" s="9" t="str">
        <f>_xll.SNL.Clients.Office.Excel.Functions.SPG(B334, "SP_COUNTRY_NAME")</f>
        <v>#INVALID COMPANY ID</v>
      </c>
      <c r="J334" s="9" t="str">
        <f>_xll.SNL.Clients.Office.Excel.Functions.SPG(G334, "SP_COUNTRY_NAME")</f>
        <v>#INVALID COMPANY ID</v>
      </c>
      <c r="O334" s="9" t="str">
        <f>_xll.SNL.Clients.Office.Excel.Functions.SPG(L334, "SP_COUNTRY_NAME")</f>
        <v>#INVALID COMPANY ID</v>
      </c>
      <c r="T334" s="9" t="str">
        <f>_xll.SNL.Clients.Office.Excel.Functions.SPG(Q334, "SP_COUNTRY_NAME")</f>
        <v>#INVALID COMPANY ID</v>
      </c>
      <c r="U334" t="s">
        <v>881</v>
      </c>
      <c r="V334">
        <v>4608579</v>
      </c>
      <c r="W334" t="s">
        <v>346</v>
      </c>
      <c r="X334" s="11">
        <v>0</v>
      </c>
      <c r="Y334" s="9" t="str">
        <f>_xll.SNL.Clients.Office.Excel.Functions.SPG(V334, "SP_COUNTRY_NAME")</f>
        <v>China</v>
      </c>
      <c r="AD334" s="9" t="str">
        <f>_xll.SNL.Clients.Office.Excel.Functions.SPG(AA334, "SP_COUNTRY_NAME")</f>
        <v>#INVALID COMPANY ID</v>
      </c>
      <c r="AI334" s="9" t="str">
        <f>_xll.SNL.Clients.Office.Excel.Functions.SPG(AF334, "SP_COUNTRY_NAME")</f>
        <v>#INVALID COMPANY ID</v>
      </c>
      <c r="AN334" s="9" t="str">
        <f>_xll.SNL.Clients.Office.Excel.Functions.SPG(AK334, "SP_COUNTRY_NAME")</f>
        <v>#INVALID COMPANY ID</v>
      </c>
      <c r="AS334" s="9" t="str">
        <f>_xll.SNL.Clients.Office.Excel.Functions.SPG(AP334, "SP_COUNTRY_NAME")</f>
        <v>#INVALID COMPANY ID</v>
      </c>
      <c r="AX334" s="9" t="str">
        <f>_xll.SNL.Clients.Office.Excel.Functions.SPG(AU334, "SP_COUNTRY_NAME")</f>
        <v>#INVALID COMPANY ID</v>
      </c>
      <c r="BC334" s="9" t="str">
        <f>_xll.SNL.Clients.Office.Excel.Functions.SPG(AZ334, "SP_COUNTRY_NAME")</f>
        <v>#INVALID COMPANY ID</v>
      </c>
      <c r="BD334" t="s">
        <v>538</v>
      </c>
      <c r="BE334">
        <v>4547194</v>
      </c>
      <c r="BF334" t="s">
        <v>346</v>
      </c>
      <c r="BG334" s="11">
        <v>0</v>
      </c>
      <c r="BH334" s="9" t="str">
        <f>_xll.SNL.Clients.Office.Excel.Functions.SPG(BE334, "SP_COUNTRY_NAME")</f>
        <v>Italy</v>
      </c>
      <c r="BM334" s="9" t="str">
        <f>_xll.SNL.Clients.Office.Excel.Functions.SPG(BJ334, "SP_COUNTRY_NAME")</f>
        <v>#INVALID COMPANY ID</v>
      </c>
      <c r="BN334" t="s">
        <v>792</v>
      </c>
      <c r="BO334">
        <v>4314602</v>
      </c>
      <c r="BP334" t="s">
        <v>346</v>
      </c>
      <c r="BQ334" s="11">
        <v>0</v>
      </c>
      <c r="BR334" s="9" t="str">
        <f>_xll.SNL.Clients.Office.Excel.Functions.SPG(BO334, "SP_COUNTRY_NAME")</f>
        <v>Taiwan</v>
      </c>
      <c r="BS334" t="s">
        <v>529</v>
      </c>
      <c r="BT334">
        <v>110570</v>
      </c>
      <c r="BU334" t="s">
        <v>346</v>
      </c>
      <c r="BV334" s="11">
        <v>0</v>
      </c>
      <c r="BW334" s="9" t="str">
        <f>_xll.SNL.Clients.Office.Excel.Functions.SPG(BT334, "SP_COUNTRY_NAME")</f>
        <v>USA</v>
      </c>
      <c r="BX334" t="s">
        <v>881</v>
      </c>
      <c r="BY334">
        <v>4608579</v>
      </c>
      <c r="BZ334" t="s">
        <v>346</v>
      </c>
      <c r="CA334" s="11">
        <v>0</v>
      </c>
      <c r="CB334" s="9" t="str">
        <f>_xll.SNL.Clients.Office.Excel.Functions.SPG(BY334, "SP_COUNTRY_NAME")</f>
        <v>China</v>
      </c>
      <c r="CC334" t="s">
        <v>1781</v>
      </c>
      <c r="CD334">
        <v>4420079</v>
      </c>
      <c r="CE334" t="s">
        <v>364</v>
      </c>
      <c r="CF334" s="11">
        <v>0</v>
      </c>
      <c r="CG334" s="9" t="str">
        <f>_xll.SNL.Clients.Office.Excel.Functions.SPG(CD334, "SP_COUNTRY_NAME")</f>
        <v>Brazil</v>
      </c>
      <c r="CL334" s="9" t="str">
        <f>_xll.SNL.Clients.Office.Excel.Functions.SPG(CI334, "SP_COUNTRY_NAME")</f>
        <v>#INVALID COMPANY ID</v>
      </c>
      <c r="CM334" t="s">
        <v>2042</v>
      </c>
      <c r="CN334">
        <v>27734737</v>
      </c>
      <c r="CO334" t="s">
        <v>364</v>
      </c>
      <c r="CP334" s="11">
        <v>0</v>
      </c>
      <c r="CQ334" s="9" t="str">
        <f>_xll.SNL.Clients.Office.Excel.Functions.SPG(CN334, "SP_COUNTRY_NAME")</f>
        <v>USA</v>
      </c>
      <c r="CV334" s="9" t="str">
        <f>_xll.SNL.Clients.Office.Excel.Functions.SPG(CS334, "SP_COUNTRY_NAME")</f>
        <v>#INVALID COMPANY ID</v>
      </c>
      <c r="DA334" s="9" t="str">
        <f>_xll.SNL.Clients.Office.Excel.Functions.SPG(CX334, "SP_COUNTRY_NAME")</f>
        <v>#INVALID COMPANY ID</v>
      </c>
      <c r="DB334" t="s">
        <v>538</v>
      </c>
      <c r="DC334">
        <v>4547194</v>
      </c>
      <c r="DD334" t="s">
        <v>346</v>
      </c>
      <c r="DE334" s="11">
        <v>0</v>
      </c>
      <c r="DF334" s="9" t="str">
        <f>_xll.SNL.Clients.Office.Excel.Functions.SPG(DC334, "SP_COUNTRY_NAME")</f>
        <v>Italy</v>
      </c>
      <c r="DK334" s="9" t="str">
        <f>_xll.SNL.Clients.Office.Excel.Functions.SPG(DH334, "SP_COUNTRY_NAME")</f>
        <v>#INVALID COMPANY ID</v>
      </c>
      <c r="DL334" t="s">
        <v>538</v>
      </c>
      <c r="DM334">
        <v>4547194</v>
      </c>
      <c r="DN334" t="s">
        <v>346</v>
      </c>
      <c r="DO334" s="11">
        <v>0</v>
      </c>
      <c r="DP334" s="9" t="str">
        <f>_xll.SNL.Clients.Office.Excel.Functions.SPG(DM334, "SP_COUNTRY_NAME")</f>
        <v>Italy</v>
      </c>
      <c r="DU334" s="9" t="str">
        <f>_xll.SNL.Clients.Office.Excel.Functions.SPG(DR334, "SP_COUNTRY_NAME")</f>
        <v>#INVALID COMPANY ID</v>
      </c>
      <c r="DZ334" s="9" t="str">
        <f>_xll.SNL.Clients.Office.Excel.Functions.SPG(DW334, "SP_COUNTRY_NAME")</f>
        <v>#INVALID COMPANY ID</v>
      </c>
      <c r="EA334" t="s">
        <v>1781</v>
      </c>
      <c r="EB334">
        <v>4420079</v>
      </c>
      <c r="EC334" t="s">
        <v>364</v>
      </c>
      <c r="ED334" s="11">
        <v>0</v>
      </c>
      <c r="EE334" s="9" t="str">
        <f>_xll.SNL.Clients.Office.Excel.Functions.SPG(EB334, "SP_COUNTRY_NAME")</f>
        <v>Brazil</v>
      </c>
      <c r="EF334" t="s">
        <v>538</v>
      </c>
      <c r="EG334">
        <v>4547194</v>
      </c>
      <c r="EH334" t="s">
        <v>346</v>
      </c>
      <c r="EI334" s="11">
        <v>0</v>
      </c>
      <c r="EJ334" s="9" t="str">
        <f>_xll.SNL.Clients.Office.Excel.Functions.SPG(EG334, "SP_COUNTRY_NAME")</f>
        <v>Italy</v>
      </c>
      <c r="EO334" s="9" t="str">
        <f>_xll.SNL.Clients.Office.Excel.Functions.SPG(EL334, "SP_COUNTRY_NAME")</f>
        <v>#INVALID COMPANY ID</v>
      </c>
      <c r="ET334" s="9" t="str">
        <f>_xll.SNL.Clients.Office.Excel.Functions.SPG(EQ334, "SP_COUNTRY_NAME")</f>
        <v>#INVALID COMPANY ID</v>
      </c>
      <c r="EY334" s="9" t="str">
        <f>_xll.SNL.Clients.Office.Excel.Functions.SPG(EV334, "SP_COUNTRY_NAME")</f>
        <v>#INVALID COMPANY ID</v>
      </c>
      <c r="FD334" s="9" t="str">
        <f>_xll.SNL.Clients.Office.Excel.Functions.SPG(FA334, "SP_COUNTRY_NAME")</f>
        <v>#INVALID COMPANY ID</v>
      </c>
      <c r="FI334" s="9" t="str">
        <f>_xll.SNL.Clients.Office.Excel.Functions.SPG(FF334, "SP_COUNTRY_NAME")</f>
        <v>#INVALID COMPANY ID</v>
      </c>
      <c r="FN334" s="9" t="str">
        <f>_xll.SNL.Clients.Office.Excel.Functions.SPG(FK334, "SP_COUNTRY_NAME")</f>
        <v>#INVALID COMPANY ID</v>
      </c>
      <c r="FS334" s="9" t="str">
        <f>_xll.SNL.Clients.Office.Excel.Functions.SPG(FP334, "SP_COUNTRY_NAME")</f>
        <v>#INVALID COMPANY ID</v>
      </c>
      <c r="FX334" s="9" t="str">
        <f>_xll.SNL.Clients.Office.Excel.Functions.SPG(FU334, "SP_COUNTRY_NAME")</f>
        <v>#INVALID COMPANY ID</v>
      </c>
      <c r="FY334" t="s">
        <v>538</v>
      </c>
      <c r="FZ334">
        <v>4547194</v>
      </c>
      <c r="GA334" t="s">
        <v>346</v>
      </c>
      <c r="GB334" s="11">
        <v>0</v>
      </c>
      <c r="GC334" s="9" t="str">
        <f>_xll.SNL.Clients.Office.Excel.Functions.SPG(FZ334, "SP_COUNTRY_NAME")</f>
        <v>Italy</v>
      </c>
      <c r="GH334" s="9" t="str">
        <f>_xll.SNL.Clients.Office.Excel.Functions.SPG(GE334, "SP_COUNTRY_NAME")</f>
        <v>#INVALID COMPANY ID</v>
      </c>
      <c r="GM334" s="9" t="str">
        <f>_xll.SNL.Clients.Office.Excel.Functions.SPG(GJ334, "SP_COUNTRY_NAME")</f>
        <v>#INVALID COMPANY ID</v>
      </c>
      <c r="GR334" s="9" t="str">
        <f>_xll.SNL.Clients.Office.Excel.Functions.SPG(GO334, "SP_COUNTRY_NAME")</f>
        <v>#INVALID COMPANY ID</v>
      </c>
      <c r="GS334" t="s">
        <v>792</v>
      </c>
      <c r="GT334">
        <v>4314602</v>
      </c>
      <c r="GU334" t="s">
        <v>346</v>
      </c>
      <c r="GV334" s="11">
        <v>0</v>
      </c>
      <c r="GW334" s="9" t="str">
        <f>_xll.SNL.Clients.Office.Excel.Functions.SPG(GT334, "SP_COUNTRY_NAME")</f>
        <v>Taiwan</v>
      </c>
      <c r="GX334" t="s">
        <v>1781</v>
      </c>
      <c r="GY334">
        <v>4420079</v>
      </c>
      <c r="GZ334" t="s">
        <v>364</v>
      </c>
      <c r="HA334" s="11">
        <v>0</v>
      </c>
      <c r="HB334" s="9" t="str">
        <f>_xll.SNL.Clients.Office.Excel.Functions.SPG(GY334, "SP_COUNTRY_NAME")</f>
        <v>Brazil</v>
      </c>
      <c r="HG334" s="9" t="str">
        <f>_xll.SNL.Clients.Office.Excel.Functions.SPG(HD334, "SP_COUNTRY_NAME")</f>
        <v>#INVALID COMPANY ID</v>
      </c>
    </row>
    <row r="335" spans="5:215" x14ac:dyDescent="0.35">
      <c r="E335" s="9" t="str">
        <f>_xll.SNL.Clients.Office.Excel.Functions.SPG(B335, "SP_COUNTRY_NAME")</f>
        <v>#INVALID COMPANY ID</v>
      </c>
      <c r="J335" s="9" t="str">
        <f>_xll.SNL.Clients.Office.Excel.Functions.SPG(G335, "SP_COUNTRY_NAME")</f>
        <v>#INVALID COMPANY ID</v>
      </c>
      <c r="O335" s="9" t="str">
        <f>_xll.SNL.Clients.Office.Excel.Functions.SPG(L335, "SP_COUNTRY_NAME")</f>
        <v>#INVALID COMPANY ID</v>
      </c>
      <c r="T335" s="9" t="str">
        <f>_xll.SNL.Clients.Office.Excel.Functions.SPG(Q335, "SP_COUNTRY_NAME")</f>
        <v>#INVALID COMPANY ID</v>
      </c>
      <c r="U335" t="s">
        <v>882</v>
      </c>
      <c r="V335">
        <v>110793</v>
      </c>
      <c r="W335" t="s">
        <v>346</v>
      </c>
      <c r="X335" s="11">
        <v>0</v>
      </c>
      <c r="Y335" s="9" t="str">
        <f>_xll.SNL.Clients.Office.Excel.Functions.SPG(V335, "SP_COUNTRY_NAME")</f>
        <v>USA</v>
      </c>
      <c r="AD335" s="9" t="str">
        <f>_xll.SNL.Clients.Office.Excel.Functions.SPG(AA335, "SP_COUNTRY_NAME")</f>
        <v>#INVALID COMPANY ID</v>
      </c>
      <c r="AI335" s="9" t="str">
        <f>_xll.SNL.Clients.Office.Excel.Functions.SPG(AF335, "SP_COUNTRY_NAME")</f>
        <v>#INVALID COMPANY ID</v>
      </c>
      <c r="AN335" s="9" t="str">
        <f>_xll.SNL.Clients.Office.Excel.Functions.SPG(AK335, "SP_COUNTRY_NAME")</f>
        <v>#INVALID COMPANY ID</v>
      </c>
      <c r="AS335" s="9" t="str">
        <f>_xll.SNL.Clients.Office.Excel.Functions.SPG(AP335, "SP_COUNTRY_NAME")</f>
        <v>#INVALID COMPANY ID</v>
      </c>
      <c r="AX335" s="9" t="str">
        <f>_xll.SNL.Clients.Office.Excel.Functions.SPG(AU335, "SP_COUNTRY_NAME")</f>
        <v>#INVALID COMPANY ID</v>
      </c>
      <c r="BC335" s="9" t="str">
        <f>_xll.SNL.Clients.Office.Excel.Functions.SPG(AZ335, "SP_COUNTRY_NAME")</f>
        <v>#INVALID COMPANY ID</v>
      </c>
      <c r="BD335" t="s">
        <v>1293</v>
      </c>
      <c r="BE335">
        <v>4672160</v>
      </c>
      <c r="BF335" t="s">
        <v>346</v>
      </c>
      <c r="BG335" s="11">
        <v>0</v>
      </c>
      <c r="BH335" s="9" t="str">
        <f>_xll.SNL.Clients.Office.Excel.Functions.SPG(BE335, "SP_COUNTRY_NAME")</f>
        <v>South Africa</v>
      </c>
      <c r="BM335" s="9" t="str">
        <f>_xll.SNL.Clients.Office.Excel.Functions.SPG(BJ335, "SP_COUNTRY_NAME")</f>
        <v>#INVALID COMPANY ID</v>
      </c>
      <c r="BN335" t="s">
        <v>532</v>
      </c>
      <c r="BO335">
        <v>4225018</v>
      </c>
      <c r="BP335" t="s">
        <v>346</v>
      </c>
      <c r="BQ335" s="11">
        <v>0</v>
      </c>
      <c r="BR335" s="9" t="str">
        <f>_xll.SNL.Clients.Office.Excel.Functions.SPG(BO335, "SP_COUNTRY_NAME")</f>
        <v>Taiwan</v>
      </c>
      <c r="BS335" t="s">
        <v>781</v>
      </c>
      <c r="BT335">
        <v>7794310</v>
      </c>
      <c r="BU335" t="s">
        <v>346</v>
      </c>
      <c r="BV335" s="11">
        <v>0</v>
      </c>
      <c r="BW335" s="9" t="str">
        <f>_xll.SNL.Clients.Office.Excel.Functions.SPG(BT335, "SP_COUNTRY_NAME")</f>
        <v>United Kingdom</v>
      </c>
      <c r="BX335" t="s">
        <v>882</v>
      </c>
      <c r="BY335">
        <v>110793</v>
      </c>
      <c r="BZ335" t="s">
        <v>346</v>
      </c>
      <c r="CA335" s="11">
        <v>0</v>
      </c>
      <c r="CB335" s="9" t="str">
        <f>_xll.SNL.Clients.Office.Excel.Functions.SPG(BY335, "SP_COUNTRY_NAME")</f>
        <v>USA</v>
      </c>
      <c r="CC335" t="s">
        <v>509</v>
      </c>
      <c r="CD335">
        <v>4226520</v>
      </c>
      <c r="CE335" t="s">
        <v>346</v>
      </c>
      <c r="CF335" s="11">
        <v>0</v>
      </c>
      <c r="CG335" s="9" t="str">
        <f>_xll.SNL.Clients.Office.Excel.Functions.SPG(CD335, "SP_COUNTRY_NAME")</f>
        <v>Canada</v>
      </c>
      <c r="CL335" s="9" t="str">
        <f>_xll.SNL.Clients.Office.Excel.Functions.SPG(CI335, "SP_COUNTRY_NAME")</f>
        <v>#INVALID COMPANY ID</v>
      </c>
      <c r="CM335" t="s">
        <v>2043</v>
      </c>
      <c r="CN335">
        <v>4157397</v>
      </c>
      <c r="CO335" t="s">
        <v>369</v>
      </c>
      <c r="CP335" s="11">
        <v>0</v>
      </c>
      <c r="CQ335" s="9" t="str">
        <f>_xll.SNL.Clients.Office.Excel.Functions.SPG(CN335, "SP_COUNTRY_NAME")</f>
        <v>USA</v>
      </c>
      <c r="CV335" s="9" t="str">
        <f>_xll.SNL.Clients.Office.Excel.Functions.SPG(CS335, "SP_COUNTRY_NAME")</f>
        <v>#INVALID COMPANY ID</v>
      </c>
      <c r="DA335" s="9" t="str">
        <f>_xll.SNL.Clients.Office.Excel.Functions.SPG(CX335, "SP_COUNTRY_NAME")</f>
        <v>#INVALID COMPANY ID</v>
      </c>
      <c r="DB335" t="s">
        <v>1293</v>
      </c>
      <c r="DC335">
        <v>4672160</v>
      </c>
      <c r="DD335" t="s">
        <v>346</v>
      </c>
      <c r="DE335" s="11">
        <v>0</v>
      </c>
      <c r="DF335" s="9" t="str">
        <f>_xll.SNL.Clients.Office.Excel.Functions.SPG(DC335, "SP_COUNTRY_NAME")</f>
        <v>South Africa</v>
      </c>
      <c r="DK335" s="9" t="str">
        <f>_xll.SNL.Clients.Office.Excel.Functions.SPG(DH335, "SP_COUNTRY_NAME")</f>
        <v>#INVALID COMPANY ID</v>
      </c>
      <c r="DL335" t="s">
        <v>1293</v>
      </c>
      <c r="DM335">
        <v>4672160</v>
      </c>
      <c r="DN335" t="s">
        <v>346</v>
      </c>
      <c r="DO335" s="11">
        <v>0</v>
      </c>
      <c r="DP335" s="9" t="str">
        <f>_xll.SNL.Clients.Office.Excel.Functions.SPG(DM335, "SP_COUNTRY_NAME")</f>
        <v>South Africa</v>
      </c>
      <c r="DU335" s="9" t="str">
        <f>_xll.SNL.Clients.Office.Excel.Functions.SPG(DR335, "SP_COUNTRY_NAME")</f>
        <v>#INVALID COMPANY ID</v>
      </c>
      <c r="DZ335" s="9" t="str">
        <f>_xll.SNL.Clients.Office.Excel.Functions.SPG(DW335, "SP_COUNTRY_NAME")</f>
        <v>#INVALID COMPANY ID</v>
      </c>
      <c r="EA335" t="s">
        <v>509</v>
      </c>
      <c r="EB335">
        <v>4226520</v>
      </c>
      <c r="EC335" t="s">
        <v>346</v>
      </c>
      <c r="ED335" s="11">
        <v>0</v>
      </c>
      <c r="EE335" s="9" t="str">
        <f>_xll.SNL.Clients.Office.Excel.Functions.SPG(EB335, "SP_COUNTRY_NAME")</f>
        <v>Canada</v>
      </c>
      <c r="EF335" t="s">
        <v>1293</v>
      </c>
      <c r="EG335">
        <v>4672160</v>
      </c>
      <c r="EH335" t="s">
        <v>346</v>
      </c>
      <c r="EI335" s="11">
        <v>0</v>
      </c>
      <c r="EJ335" s="9" t="str">
        <f>_xll.SNL.Clients.Office.Excel.Functions.SPG(EG335, "SP_COUNTRY_NAME")</f>
        <v>South Africa</v>
      </c>
      <c r="EO335" s="9" t="str">
        <f>_xll.SNL.Clients.Office.Excel.Functions.SPG(EL335, "SP_COUNTRY_NAME")</f>
        <v>#INVALID COMPANY ID</v>
      </c>
      <c r="ET335" s="9" t="str">
        <f>_xll.SNL.Clients.Office.Excel.Functions.SPG(EQ335, "SP_COUNTRY_NAME")</f>
        <v>#INVALID COMPANY ID</v>
      </c>
      <c r="EY335" s="9" t="str">
        <f>_xll.SNL.Clients.Office.Excel.Functions.SPG(EV335, "SP_COUNTRY_NAME")</f>
        <v>#INVALID COMPANY ID</v>
      </c>
      <c r="FD335" s="9" t="str">
        <f>_xll.SNL.Clients.Office.Excel.Functions.SPG(FA335, "SP_COUNTRY_NAME")</f>
        <v>#INVALID COMPANY ID</v>
      </c>
      <c r="FI335" s="9" t="str">
        <f>_xll.SNL.Clients.Office.Excel.Functions.SPG(FF335, "SP_COUNTRY_NAME")</f>
        <v>#INVALID COMPANY ID</v>
      </c>
      <c r="FN335" s="9" t="str">
        <f>_xll.SNL.Clients.Office.Excel.Functions.SPG(FK335, "SP_COUNTRY_NAME")</f>
        <v>#INVALID COMPANY ID</v>
      </c>
      <c r="FS335" s="9" t="str">
        <f>_xll.SNL.Clients.Office.Excel.Functions.SPG(FP335, "SP_COUNTRY_NAME")</f>
        <v>#INVALID COMPANY ID</v>
      </c>
      <c r="FX335" s="9" t="str">
        <f>_xll.SNL.Clients.Office.Excel.Functions.SPG(FU335, "SP_COUNTRY_NAME")</f>
        <v>#INVALID COMPANY ID</v>
      </c>
      <c r="FY335" t="s">
        <v>1293</v>
      </c>
      <c r="FZ335">
        <v>4672160</v>
      </c>
      <c r="GA335" t="s">
        <v>346</v>
      </c>
      <c r="GB335" s="11">
        <v>0</v>
      </c>
      <c r="GC335" s="9" t="str">
        <f>_xll.SNL.Clients.Office.Excel.Functions.SPG(FZ335, "SP_COUNTRY_NAME")</f>
        <v>South Africa</v>
      </c>
      <c r="GH335" s="9" t="str">
        <f>_xll.SNL.Clients.Office.Excel.Functions.SPG(GE335, "SP_COUNTRY_NAME")</f>
        <v>#INVALID COMPANY ID</v>
      </c>
      <c r="GM335" s="9" t="str">
        <f>_xll.SNL.Clients.Office.Excel.Functions.SPG(GJ335, "SP_COUNTRY_NAME")</f>
        <v>#INVALID COMPANY ID</v>
      </c>
      <c r="GR335" s="9" t="str">
        <f>_xll.SNL.Clients.Office.Excel.Functions.SPG(GO335, "SP_COUNTRY_NAME")</f>
        <v>#INVALID COMPANY ID</v>
      </c>
      <c r="GS335" t="s">
        <v>532</v>
      </c>
      <c r="GT335">
        <v>4225018</v>
      </c>
      <c r="GU335" t="s">
        <v>346</v>
      </c>
      <c r="GV335" s="11">
        <v>0</v>
      </c>
      <c r="GW335" s="9" t="str">
        <f>_xll.SNL.Clients.Office.Excel.Functions.SPG(GT335, "SP_COUNTRY_NAME")</f>
        <v>Taiwan</v>
      </c>
      <c r="GX335" t="s">
        <v>509</v>
      </c>
      <c r="GY335">
        <v>4226520</v>
      </c>
      <c r="GZ335" t="s">
        <v>346</v>
      </c>
      <c r="HA335" s="11">
        <v>0</v>
      </c>
      <c r="HB335" s="9" t="str">
        <f>_xll.SNL.Clients.Office.Excel.Functions.SPG(GY335, "SP_COUNTRY_NAME")</f>
        <v>Canada</v>
      </c>
      <c r="HG335" s="9" t="str">
        <f>_xll.SNL.Clients.Office.Excel.Functions.SPG(HD335, "SP_COUNTRY_NAME")</f>
        <v>#INVALID COMPANY ID</v>
      </c>
    </row>
    <row r="336" spans="5:215" x14ac:dyDescent="0.35">
      <c r="E336" s="9" t="str">
        <f>_xll.SNL.Clients.Office.Excel.Functions.SPG(B336, "SP_COUNTRY_NAME")</f>
        <v>#INVALID COMPANY ID</v>
      </c>
      <c r="J336" s="9" t="str">
        <f>_xll.SNL.Clients.Office.Excel.Functions.SPG(G336, "SP_COUNTRY_NAME")</f>
        <v>#INVALID COMPANY ID</v>
      </c>
      <c r="O336" s="9" t="str">
        <f>_xll.SNL.Clients.Office.Excel.Functions.SPG(L336, "SP_COUNTRY_NAME")</f>
        <v>#INVALID COMPANY ID</v>
      </c>
      <c r="T336" s="9" t="str">
        <f>_xll.SNL.Clients.Office.Excel.Functions.SPG(Q336, "SP_COUNTRY_NAME")</f>
        <v>#INVALID COMPANY ID</v>
      </c>
      <c r="U336" t="s">
        <v>883</v>
      </c>
      <c r="V336">
        <v>4288829</v>
      </c>
      <c r="W336" t="s">
        <v>364</v>
      </c>
      <c r="X336" s="11">
        <v>0</v>
      </c>
      <c r="Y336" s="9" t="str">
        <f>_xll.SNL.Clients.Office.Excel.Functions.SPG(V336, "SP_COUNTRY_NAME")</f>
        <v>Hong Kong</v>
      </c>
      <c r="AD336" s="9" t="str">
        <f>_xll.SNL.Clients.Office.Excel.Functions.SPG(AA336, "SP_COUNTRY_NAME")</f>
        <v>#INVALID COMPANY ID</v>
      </c>
      <c r="AI336" s="9" t="str">
        <f>_xll.SNL.Clients.Office.Excel.Functions.SPG(AF336, "SP_COUNTRY_NAME")</f>
        <v>#INVALID COMPANY ID</v>
      </c>
      <c r="AN336" s="9" t="str">
        <f>_xll.SNL.Clients.Office.Excel.Functions.SPG(AK336, "SP_COUNTRY_NAME")</f>
        <v>#INVALID COMPANY ID</v>
      </c>
      <c r="AS336" s="9" t="str">
        <f>_xll.SNL.Clients.Office.Excel.Functions.SPG(AP336, "SP_COUNTRY_NAME")</f>
        <v>#INVALID COMPANY ID</v>
      </c>
      <c r="AX336" s="9" t="str">
        <f>_xll.SNL.Clients.Office.Excel.Functions.SPG(AU336, "SP_COUNTRY_NAME")</f>
        <v>#INVALID COMPANY ID</v>
      </c>
      <c r="BC336" s="9" t="str">
        <f>_xll.SNL.Clients.Office.Excel.Functions.SPG(AZ336, "SP_COUNTRY_NAME")</f>
        <v>#INVALID COMPANY ID</v>
      </c>
      <c r="BD336" t="s">
        <v>1084</v>
      </c>
      <c r="BE336">
        <v>6731032</v>
      </c>
      <c r="BF336" t="s">
        <v>346</v>
      </c>
      <c r="BG336" s="11">
        <v>0</v>
      </c>
      <c r="BH336" s="9" t="str">
        <f>_xll.SNL.Clients.Office.Excel.Functions.SPG(BE336, "SP_COUNTRY_NAME")</f>
        <v>Switzerland</v>
      </c>
      <c r="BM336" s="9" t="str">
        <f>_xll.SNL.Clients.Office.Excel.Functions.SPG(BJ336, "SP_COUNTRY_NAME")</f>
        <v>#INVALID COMPANY ID</v>
      </c>
      <c r="BN336" t="s">
        <v>498</v>
      </c>
      <c r="BO336">
        <v>4187546</v>
      </c>
      <c r="BP336" t="s">
        <v>346</v>
      </c>
      <c r="BQ336" s="11">
        <v>0</v>
      </c>
      <c r="BR336" s="9" t="str">
        <f>_xll.SNL.Clients.Office.Excel.Functions.SPG(BO336, "SP_COUNTRY_NAME")</f>
        <v>USA</v>
      </c>
      <c r="BS336" t="s">
        <v>837</v>
      </c>
      <c r="BT336">
        <v>5830179</v>
      </c>
      <c r="BU336" t="s">
        <v>346</v>
      </c>
      <c r="BV336" s="11">
        <v>0</v>
      </c>
      <c r="BW336" s="9" t="str">
        <f>_xll.SNL.Clients.Office.Excel.Functions.SPG(BT336, "SP_COUNTRY_NAME")</f>
        <v>Ireland</v>
      </c>
      <c r="BX336" t="s">
        <v>883</v>
      </c>
      <c r="BY336">
        <v>4288829</v>
      </c>
      <c r="BZ336" t="s">
        <v>364</v>
      </c>
      <c r="CA336" s="11">
        <v>0</v>
      </c>
      <c r="CB336" s="9" t="str">
        <f>_xll.SNL.Clients.Office.Excel.Functions.SPG(BY336, "SP_COUNTRY_NAME")</f>
        <v>Hong Kong</v>
      </c>
      <c r="CC336" t="s">
        <v>1782</v>
      </c>
      <c r="CD336">
        <v>108146967</v>
      </c>
      <c r="CE336" t="s">
        <v>346</v>
      </c>
      <c r="CF336" s="11">
        <v>0</v>
      </c>
      <c r="CG336" s="9" t="str">
        <f>_xll.SNL.Clients.Office.Excel.Functions.SPG(CD336, "SP_COUNTRY_NAME")</f>
        <v>Brazil</v>
      </c>
      <c r="CL336" s="9" t="str">
        <f>_xll.SNL.Clients.Office.Excel.Functions.SPG(CI336, "SP_COUNTRY_NAME")</f>
        <v>#INVALID COMPANY ID</v>
      </c>
      <c r="CM336" t="s">
        <v>1103</v>
      </c>
      <c r="CN336">
        <v>4082660</v>
      </c>
      <c r="CO336" t="s">
        <v>346</v>
      </c>
      <c r="CP336" s="11">
        <v>0</v>
      </c>
      <c r="CQ336" s="9" t="str">
        <f>_xll.SNL.Clients.Office.Excel.Functions.SPG(CN336, "SP_COUNTRY_NAME")</f>
        <v>USA</v>
      </c>
      <c r="CV336" s="9" t="str">
        <f>_xll.SNL.Clients.Office.Excel.Functions.SPG(CS336, "SP_COUNTRY_NAME")</f>
        <v>#INVALID COMPANY ID</v>
      </c>
      <c r="DA336" s="9" t="str">
        <f>_xll.SNL.Clients.Office.Excel.Functions.SPG(CX336, "SP_COUNTRY_NAME")</f>
        <v>#INVALID COMPANY ID</v>
      </c>
      <c r="DB336" t="s">
        <v>1084</v>
      </c>
      <c r="DC336">
        <v>6731032</v>
      </c>
      <c r="DD336" t="s">
        <v>346</v>
      </c>
      <c r="DE336" s="11">
        <v>0</v>
      </c>
      <c r="DF336" s="9" t="str">
        <f>_xll.SNL.Clients.Office.Excel.Functions.SPG(DC336, "SP_COUNTRY_NAME")</f>
        <v>Switzerland</v>
      </c>
      <c r="DK336" s="9" t="str">
        <f>_xll.SNL.Clients.Office.Excel.Functions.SPG(DH336, "SP_COUNTRY_NAME")</f>
        <v>#INVALID COMPANY ID</v>
      </c>
      <c r="DL336" t="s">
        <v>1084</v>
      </c>
      <c r="DM336">
        <v>6731032</v>
      </c>
      <c r="DN336" t="s">
        <v>346</v>
      </c>
      <c r="DO336" s="11">
        <v>0</v>
      </c>
      <c r="DP336" s="9" t="str">
        <f>_xll.SNL.Clients.Office.Excel.Functions.SPG(DM336, "SP_COUNTRY_NAME")</f>
        <v>Switzerland</v>
      </c>
      <c r="DU336" s="9" t="str">
        <f>_xll.SNL.Clients.Office.Excel.Functions.SPG(DR336, "SP_COUNTRY_NAME")</f>
        <v>#INVALID COMPANY ID</v>
      </c>
      <c r="DZ336" s="9" t="str">
        <f>_xll.SNL.Clients.Office.Excel.Functions.SPG(DW336, "SP_COUNTRY_NAME")</f>
        <v>#INVALID COMPANY ID</v>
      </c>
      <c r="EA336" t="s">
        <v>1782</v>
      </c>
      <c r="EB336">
        <v>108146967</v>
      </c>
      <c r="EC336" t="s">
        <v>346</v>
      </c>
      <c r="ED336" s="11">
        <v>0</v>
      </c>
      <c r="EE336" s="9" t="str">
        <f>_xll.SNL.Clients.Office.Excel.Functions.SPG(EB336, "SP_COUNTRY_NAME")</f>
        <v>Brazil</v>
      </c>
      <c r="EF336" t="s">
        <v>1084</v>
      </c>
      <c r="EG336">
        <v>6731032</v>
      </c>
      <c r="EH336" t="s">
        <v>346</v>
      </c>
      <c r="EI336" s="11">
        <v>0</v>
      </c>
      <c r="EJ336" s="9" t="str">
        <f>_xll.SNL.Clients.Office.Excel.Functions.SPG(EG336, "SP_COUNTRY_NAME")</f>
        <v>Switzerland</v>
      </c>
      <c r="EO336" s="9" t="str">
        <f>_xll.SNL.Clients.Office.Excel.Functions.SPG(EL336, "SP_COUNTRY_NAME")</f>
        <v>#INVALID COMPANY ID</v>
      </c>
      <c r="ET336" s="9" t="str">
        <f>_xll.SNL.Clients.Office.Excel.Functions.SPG(EQ336, "SP_COUNTRY_NAME")</f>
        <v>#INVALID COMPANY ID</v>
      </c>
      <c r="EY336" s="9" t="str">
        <f>_xll.SNL.Clients.Office.Excel.Functions.SPG(EV336, "SP_COUNTRY_NAME")</f>
        <v>#INVALID COMPANY ID</v>
      </c>
      <c r="FD336" s="9" t="str">
        <f>_xll.SNL.Clients.Office.Excel.Functions.SPG(FA336, "SP_COUNTRY_NAME")</f>
        <v>#INVALID COMPANY ID</v>
      </c>
      <c r="FI336" s="9" t="str">
        <f>_xll.SNL.Clients.Office.Excel.Functions.SPG(FF336, "SP_COUNTRY_NAME")</f>
        <v>#INVALID COMPANY ID</v>
      </c>
      <c r="FN336" s="9" t="str">
        <f>_xll.SNL.Clients.Office.Excel.Functions.SPG(FK336, "SP_COUNTRY_NAME")</f>
        <v>#INVALID COMPANY ID</v>
      </c>
      <c r="FS336" s="9" t="str">
        <f>_xll.SNL.Clients.Office.Excel.Functions.SPG(FP336, "SP_COUNTRY_NAME")</f>
        <v>#INVALID COMPANY ID</v>
      </c>
      <c r="FX336" s="9" t="str">
        <f>_xll.SNL.Clients.Office.Excel.Functions.SPG(FU336, "SP_COUNTRY_NAME")</f>
        <v>#INVALID COMPANY ID</v>
      </c>
      <c r="FY336" t="s">
        <v>1084</v>
      </c>
      <c r="FZ336">
        <v>6731032</v>
      </c>
      <c r="GA336" t="s">
        <v>346</v>
      </c>
      <c r="GB336" s="11">
        <v>0</v>
      </c>
      <c r="GC336" s="9" t="str">
        <f>_xll.SNL.Clients.Office.Excel.Functions.SPG(FZ336, "SP_COUNTRY_NAME")</f>
        <v>Switzerland</v>
      </c>
      <c r="GH336" s="9" t="str">
        <f>_xll.SNL.Clients.Office.Excel.Functions.SPG(GE336, "SP_COUNTRY_NAME")</f>
        <v>#INVALID COMPANY ID</v>
      </c>
      <c r="GM336" s="9" t="str">
        <f>_xll.SNL.Clients.Office.Excel.Functions.SPG(GJ336, "SP_COUNTRY_NAME")</f>
        <v>#INVALID COMPANY ID</v>
      </c>
      <c r="GR336" s="9" t="str">
        <f>_xll.SNL.Clients.Office.Excel.Functions.SPG(GO336, "SP_COUNTRY_NAME")</f>
        <v>#INVALID COMPANY ID</v>
      </c>
      <c r="GS336" t="s">
        <v>498</v>
      </c>
      <c r="GT336">
        <v>4187546</v>
      </c>
      <c r="GU336" t="s">
        <v>346</v>
      </c>
      <c r="GV336" s="11">
        <v>0</v>
      </c>
      <c r="GW336" s="9" t="str">
        <f>_xll.SNL.Clients.Office.Excel.Functions.SPG(GT336, "SP_COUNTRY_NAME")</f>
        <v>USA</v>
      </c>
      <c r="GX336" t="s">
        <v>1782</v>
      </c>
      <c r="GY336">
        <v>108146967</v>
      </c>
      <c r="GZ336" t="s">
        <v>346</v>
      </c>
      <c r="HA336" s="11">
        <v>0</v>
      </c>
      <c r="HB336" s="9" t="str">
        <f>_xll.SNL.Clients.Office.Excel.Functions.SPG(GY336, "SP_COUNTRY_NAME")</f>
        <v>Brazil</v>
      </c>
      <c r="HG336" s="9" t="str">
        <f>_xll.SNL.Clients.Office.Excel.Functions.SPG(HD336, "SP_COUNTRY_NAME")</f>
        <v>#INVALID COMPANY ID</v>
      </c>
    </row>
    <row r="337" spans="5:215" x14ac:dyDescent="0.35">
      <c r="E337" s="9" t="str">
        <f>_xll.SNL.Clients.Office.Excel.Functions.SPG(B337, "SP_COUNTRY_NAME")</f>
        <v>#INVALID COMPANY ID</v>
      </c>
      <c r="J337" s="9" t="str">
        <f>_xll.SNL.Clients.Office.Excel.Functions.SPG(G337, "SP_COUNTRY_NAME")</f>
        <v>#INVALID COMPANY ID</v>
      </c>
      <c r="O337" s="9" t="str">
        <f>_xll.SNL.Clients.Office.Excel.Functions.SPG(L337, "SP_COUNTRY_NAME")</f>
        <v>#INVALID COMPANY ID</v>
      </c>
      <c r="T337" s="9" t="str">
        <f>_xll.SNL.Clients.Office.Excel.Functions.SPG(Q337, "SP_COUNTRY_NAME")</f>
        <v>#INVALID COMPANY ID</v>
      </c>
      <c r="U337" t="s">
        <v>884</v>
      </c>
      <c r="V337">
        <v>4281837</v>
      </c>
      <c r="W337" t="s">
        <v>346</v>
      </c>
      <c r="X337" s="11">
        <v>0</v>
      </c>
      <c r="Y337" s="9" t="str">
        <f>_xll.SNL.Clients.Office.Excel.Functions.SPG(V337, "SP_COUNTRY_NAME")</f>
        <v>Taiwan</v>
      </c>
      <c r="AD337" s="9" t="str">
        <f>_xll.SNL.Clients.Office.Excel.Functions.SPG(AA337, "SP_COUNTRY_NAME")</f>
        <v>#INVALID COMPANY ID</v>
      </c>
      <c r="AI337" s="9" t="str">
        <f>_xll.SNL.Clients.Office.Excel.Functions.SPG(AF337, "SP_COUNTRY_NAME")</f>
        <v>#INVALID COMPANY ID</v>
      </c>
      <c r="AN337" s="9" t="str">
        <f>_xll.SNL.Clients.Office.Excel.Functions.SPG(AK337, "SP_COUNTRY_NAME")</f>
        <v>#INVALID COMPANY ID</v>
      </c>
      <c r="AS337" s="9" t="str">
        <f>_xll.SNL.Clients.Office.Excel.Functions.SPG(AP337, "SP_COUNTRY_NAME")</f>
        <v>#INVALID COMPANY ID</v>
      </c>
      <c r="AX337" s="9" t="str">
        <f>_xll.SNL.Clients.Office.Excel.Functions.SPG(AU337, "SP_COUNTRY_NAME")</f>
        <v>#INVALID COMPANY ID</v>
      </c>
      <c r="BC337" s="9" t="str">
        <f>_xll.SNL.Clients.Office.Excel.Functions.SPG(AZ337, "SP_COUNTRY_NAME")</f>
        <v>#INVALID COMPANY ID</v>
      </c>
      <c r="BD337" t="s">
        <v>1316</v>
      </c>
      <c r="BE337">
        <v>4246573</v>
      </c>
      <c r="BF337" t="s">
        <v>346</v>
      </c>
      <c r="BG337" s="11">
        <v>0</v>
      </c>
      <c r="BH337" s="9" t="str">
        <f>_xll.SNL.Clients.Office.Excel.Functions.SPG(BE337, "SP_COUNTRY_NAME")</f>
        <v>South Africa</v>
      </c>
      <c r="BM337" s="9" t="str">
        <f>_xll.SNL.Clients.Office.Excel.Functions.SPG(BJ337, "SP_COUNTRY_NAME")</f>
        <v>#INVALID COMPANY ID</v>
      </c>
      <c r="BN337" t="s">
        <v>359</v>
      </c>
      <c r="BO337">
        <v>4144380</v>
      </c>
      <c r="BP337" t="s">
        <v>346</v>
      </c>
      <c r="BQ337" s="11">
        <v>0</v>
      </c>
      <c r="BR337" s="9" t="str">
        <f>_xll.SNL.Clients.Office.Excel.Functions.SPG(BO337, "SP_COUNTRY_NAME")</f>
        <v>France</v>
      </c>
      <c r="BS337" t="s">
        <v>791</v>
      </c>
      <c r="BT337">
        <v>4139625</v>
      </c>
      <c r="BU337" t="s">
        <v>346</v>
      </c>
      <c r="BV337" s="11">
        <v>0</v>
      </c>
      <c r="BW337" s="9" t="str">
        <f>_xll.SNL.Clients.Office.Excel.Functions.SPG(BT337, "SP_COUNTRY_NAME")</f>
        <v>Malaysia</v>
      </c>
      <c r="BX337" t="s">
        <v>884</v>
      </c>
      <c r="BY337">
        <v>4281837</v>
      </c>
      <c r="BZ337" t="s">
        <v>346</v>
      </c>
      <c r="CA337" s="11">
        <v>0</v>
      </c>
      <c r="CB337" s="9" t="str">
        <f>_xll.SNL.Clients.Office.Excel.Functions.SPG(BY337, "SP_COUNTRY_NAME")</f>
        <v>Taiwan</v>
      </c>
      <c r="CC337" t="s">
        <v>1783</v>
      </c>
      <c r="CD337">
        <v>4426129</v>
      </c>
      <c r="CE337" t="s">
        <v>365</v>
      </c>
      <c r="CF337" s="11">
        <v>0</v>
      </c>
      <c r="CG337" s="9" t="str">
        <f>_xll.SNL.Clients.Office.Excel.Functions.SPG(CD337, "SP_COUNTRY_NAME")</f>
        <v>Brazil</v>
      </c>
      <c r="CL337" s="9" t="str">
        <f>_xll.SNL.Clients.Office.Excel.Functions.SPG(CI337, "SP_COUNTRY_NAME")</f>
        <v>#INVALID COMPANY ID</v>
      </c>
      <c r="CM337" t="s">
        <v>2044</v>
      </c>
      <c r="CN337">
        <v>111448835</v>
      </c>
      <c r="CO337" t="s">
        <v>346</v>
      </c>
      <c r="CP337" s="11">
        <v>0</v>
      </c>
      <c r="CQ337" s="9" t="str">
        <f>_xll.SNL.Clients.Office.Excel.Functions.SPG(CN337, "SP_COUNTRY_NAME")</f>
        <v>USA</v>
      </c>
      <c r="CV337" s="9" t="str">
        <f>_xll.SNL.Clients.Office.Excel.Functions.SPG(CS337, "SP_COUNTRY_NAME")</f>
        <v>#INVALID COMPANY ID</v>
      </c>
      <c r="DA337" s="9" t="str">
        <f>_xll.SNL.Clients.Office.Excel.Functions.SPG(CX337, "SP_COUNTRY_NAME")</f>
        <v>#INVALID COMPANY ID</v>
      </c>
      <c r="DB337" t="s">
        <v>1316</v>
      </c>
      <c r="DC337">
        <v>4246573</v>
      </c>
      <c r="DD337" t="s">
        <v>346</v>
      </c>
      <c r="DE337" s="11">
        <v>0</v>
      </c>
      <c r="DF337" s="9" t="str">
        <f>_xll.SNL.Clients.Office.Excel.Functions.SPG(DC337, "SP_COUNTRY_NAME")</f>
        <v>South Africa</v>
      </c>
      <c r="DK337" s="9" t="str">
        <f>_xll.SNL.Clients.Office.Excel.Functions.SPG(DH337, "SP_COUNTRY_NAME")</f>
        <v>#INVALID COMPANY ID</v>
      </c>
      <c r="DL337" t="s">
        <v>1316</v>
      </c>
      <c r="DM337">
        <v>4246573</v>
      </c>
      <c r="DN337" t="s">
        <v>346</v>
      </c>
      <c r="DO337" s="11">
        <v>0</v>
      </c>
      <c r="DP337" s="9" t="str">
        <f>_xll.SNL.Clients.Office.Excel.Functions.SPG(DM337, "SP_COUNTRY_NAME")</f>
        <v>South Africa</v>
      </c>
      <c r="DU337" s="9" t="str">
        <f>_xll.SNL.Clients.Office.Excel.Functions.SPG(DR337, "SP_COUNTRY_NAME")</f>
        <v>#INVALID COMPANY ID</v>
      </c>
      <c r="DZ337" s="9" t="str">
        <f>_xll.SNL.Clients.Office.Excel.Functions.SPG(DW337, "SP_COUNTRY_NAME")</f>
        <v>#INVALID COMPANY ID</v>
      </c>
      <c r="EA337" t="s">
        <v>1783</v>
      </c>
      <c r="EB337">
        <v>4426129</v>
      </c>
      <c r="EC337" t="s">
        <v>365</v>
      </c>
      <c r="ED337" s="11">
        <v>0</v>
      </c>
      <c r="EE337" s="9" t="str">
        <f>_xll.SNL.Clients.Office.Excel.Functions.SPG(EB337, "SP_COUNTRY_NAME")</f>
        <v>Brazil</v>
      </c>
      <c r="EF337" t="s">
        <v>1316</v>
      </c>
      <c r="EG337">
        <v>4246573</v>
      </c>
      <c r="EH337" t="s">
        <v>346</v>
      </c>
      <c r="EI337" s="11">
        <v>0</v>
      </c>
      <c r="EJ337" s="9" t="str">
        <f>_xll.SNL.Clients.Office.Excel.Functions.SPG(EG337, "SP_COUNTRY_NAME")</f>
        <v>South Africa</v>
      </c>
      <c r="EO337" s="9" t="str">
        <f>_xll.SNL.Clients.Office.Excel.Functions.SPG(EL337, "SP_COUNTRY_NAME")</f>
        <v>#INVALID COMPANY ID</v>
      </c>
      <c r="ET337" s="9" t="str">
        <f>_xll.SNL.Clients.Office.Excel.Functions.SPG(EQ337, "SP_COUNTRY_NAME")</f>
        <v>#INVALID COMPANY ID</v>
      </c>
      <c r="EY337" s="9" t="str">
        <f>_xll.SNL.Clients.Office.Excel.Functions.SPG(EV337, "SP_COUNTRY_NAME")</f>
        <v>#INVALID COMPANY ID</v>
      </c>
      <c r="FD337" s="9" t="str">
        <f>_xll.SNL.Clients.Office.Excel.Functions.SPG(FA337, "SP_COUNTRY_NAME")</f>
        <v>#INVALID COMPANY ID</v>
      </c>
      <c r="FI337" s="9" t="str">
        <f>_xll.SNL.Clients.Office.Excel.Functions.SPG(FF337, "SP_COUNTRY_NAME")</f>
        <v>#INVALID COMPANY ID</v>
      </c>
      <c r="FN337" s="9" t="str">
        <f>_xll.SNL.Clients.Office.Excel.Functions.SPG(FK337, "SP_COUNTRY_NAME")</f>
        <v>#INVALID COMPANY ID</v>
      </c>
      <c r="FS337" s="9" t="str">
        <f>_xll.SNL.Clients.Office.Excel.Functions.SPG(FP337, "SP_COUNTRY_NAME")</f>
        <v>#INVALID COMPANY ID</v>
      </c>
      <c r="FX337" s="9" t="str">
        <f>_xll.SNL.Clients.Office.Excel.Functions.SPG(FU337, "SP_COUNTRY_NAME")</f>
        <v>#INVALID COMPANY ID</v>
      </c>
      <c r="FY337" t="s">
        <v>1316</v>
      </c>
      <c r="FZ337">
        <v>4246573</v>
      </c>
      <c r="GA337" t="s">
        <v>346</v>
      </c>
      <c r="GB337" s="11">
        <v>0</v>
      </c>
      <c r="GC337" s="9" t="str">
        <f>_xll.SNL.Clients.Office.Excel.Functions.SPG(FZ337, "SP_COUNTRY_NAME")</f>
        <v>South Africa</v>
      </c>
      <c r="GH337" s="9" t="str">
        <f>_xll.SNL.Clients.Office.Excel.Functions.SPG(GE337, "SP_COUNTRY_NAME")</f>
        <v>#INVALID COMPANY ID</v>
      </c>
      <c r="GM337" s="9" t="str">
        <f>_xll.SNL.Clients.Office.Excel.Functions.SPG(GJ337, "SP_COUNTRY_NAME")</f>
        <v>#INVALID COMPANY ID</v>
      </c>
      <c r="GR337" s="9" t="str">
        <f>_xll.SNL.Clients.Office.Excel.Functions.SPG(GO337, "SP_COUNTRY_NAME")</f>
        <v>#INVALID COMPANY ID</v>
      </c>
      <c r="GS337" t="s">
        <v>359</v>
      </c>
      <c r="GT337">
        <v>4144380</v>
      </c>
      <c r="GU337" t="s">
        <v>346</v>
      </c>
      <c r="GV337" s="11">
        <v>0</v>
      </c>
      <c r="GW337" s="9" t="str">
        <f>_xll.SNL.Clients.Office.Excel.Functions.SPG(GT337, "SP_COUNTRY_NAME")</f>
        <v>France</v>
      </c>
      <c r="GX337" t="s">
        <v>1783</v>
      </c>
      <c r="GY337">
        <v>4426129</v>
      </c>
      <c r="GZ337" t="s">
        <v>365</v>
      </c>
      <c r="HA337" s="11">
        <v>0</v>
      </c>
      <c r="HB337" s="9" t="str">
        <f>_xll.SNL.Clients.Office.Excel.Functions.SPG(GY337, "SP_COUNTRY_NAME")</f>
        <v>Brazil</v>
      </c>
      <c r="HG337" s="9" t="str">
        <f>_xll.SNL.Clients.Office.Excel.Functions.SPG(HD337, "SP_COUNTRY_NAME")</f>
        <v>#INVALID COMPANY ID</v>
      </c>
    </row>
    <row r="338" spans="5:215" x14ac:dyDescent="0.35">
      <c r="E338" s="9" t="str">
        <f>_xll.SNL.Clients.Office.Excel.Functions.SPG(B338, "SP_COUNTRY_NAME")</f>
        <v>#INVALID COMPANY ID</v>
      </c>
      <c r="J338" s="9" t="str">
        <f>_xll.SNL.Clients.Office.Excel.Functions.SPG(G338, "SP_COUNTRY_NAME")</f>
        <v>#INVALID COMPANY ID</v>
      </c>
      <c r="O338" s="9" t="str">
        <f>_xll.SNL.Clients.Office.Excel.Functions.SPG(L338, "SP_COUNTRY_NAME")</f>
        <v>#INVALID COMPANY ID</v>
      </c>
      <c r="T338" s="9" t="str">
        <f>_xll.SNL.Clients.Office.Excel.Functions.SPG(Q338, "SP_COUNTRY_NAME")</f>
        <v>#INVALID COMPANY ID</v>
      </c>
      <c r="U338" t="s">
        <v>498</v>
      </c>
      <c r="V338">
        <v>4187546</v>
      </c>
      <c r="W338" t="s">
        <v>346</v>
      </c>
      <c r="X338" s="11">
        <v>0</v>
      </c>
      <c r="Y338" s="9" t="str">
        <f>_xll.SNL.Clients.Office.Excel.Functions.SPG(V338, "SP_COUNTRY_NAME")</f>
        <v>USA</v>
      </c>
      <c r="AD338" s="9" t="str">
        <f>_xll.SNL.Clients.Office.Excel.Functions.SPG(AA338, "SP_COUNTRY_NAME")</f>
        <v>#INVALID COMPANY ID</v>
      </c>
      <c r="AI338" s="9" t="str">
        <f>_xll.SNL.Clients.Office.Excel.Functions.SPG(AF338, "SP_COUNTRY_NAME")</f>
        <v>#INVALID COMPANY ID</v>
      </c>
      <c r="AN338" s="9" t="str">
        <f>_xll.SNL.Clients.Office.Excel.Functions.SPG(AK338, "SP_COUNTRY_NAME")</f>
        <v>#INVALID COMPANY ID</v>
      </c>
      <c r="AS338" s="9" t="str">
        <f>_xll.SNL.Clients.Office.Excel.Functions.SPG(AP338, "SP_COUNTRY_NAME")</f>
        <v>#INVALID COMPANY ID</v>
      </c>
      <c r="AX338" s="9" t="str">
        <f>_xll.SNL.Clients.Office.Excel.Functions.SPG(AU338, "SP_COUNTRY_NAME")</f>
        <v>#INVALID COMPANY ID</v>
      </c>
      <c r="BC338" s="9" t="str">
        <f>_xll.SNL.Clients.Office.Excel.Functions.SPG(AZ338, "SP_COUNTRY_NAME")</f>
        <v>#INVALID COMPANY ID</v>
      </c>
      <c r="BD338" t="s">
        <v>1308</v>
      </c>
      <c r="BE338">
        <v>5760527</v>
      </c>
      <c r="BF338" t="s">
        <v>346</v>
      </c>
      <c r="BG338" s="11">
        <v>0</v>
      </c>
      <c r="BH338" s="9" t="str">
        <f>_xll.SNL.Clients.Office.Excel.Functions.SPG(BE338, "SP_COUNTRY_NAME")</f>
        <v>South Africa</v>
      </c>
      <c r="BM338" s="9" t="str">
        <f>_xll.SNL.Clients.Office.Excel.Functions.SPG(BJ338, "SP_COUNTRY_NAME")</f>
        <v>#INVALID COMPANY ID</v>
      </c>
      <c r="BN338" t="s">
        <v>904</v>
      </c>
      <c r="BO338">
        <v>4377113</v>
      </c>
      <c r="BP338" t="s">
        <v>346</v>
      </c>
      <c r="BQ338" s="11">
        <v>0</v>
      </c>
      <c r="BR338" s="9" t="str">
        <f>_xll.SNL.Clients.Office.Excel.Functions.SPG(BO338, "SP_COUNTRY_NAME")</f>
        <v>USA</v>
      </c>
      <c r="BS338" t="s">
        <v>1026</v>
      </c>
      <c r="BT338">
        <v>139139532</v>
      </c>
      <c r="BU338" t="s">
        <v>346</v>
      </c>
      <c r="BV338" s="11">
        <v>0</v>
      </c>
      <c r="BW338" s="9" t="str">
        <f>_xll.SNL.Clients.Office.Excel.Functions.SPG(BT338, "SP_COUNTRY_NAME")</f>
        <v>#INVALID COMPANY ID</v>
      </c>
      <c r="BX338" t="s">
        <v>498</v>
      </c>
      <c r="BY338">
        <v>4187546</v>
      </c>
      <c r="BZ338" t="s">
        <v>346</v>
      </c>
      <c r="CA338" s="11">
        <v>0</v>
      </c>
      <c r="CB338" s="9" t="str">
        <f>_xll.SNL.Clients.Office.Excel.Functions.SPG(BY338, "SP_COUNTRY_NAME")</f>
        <v>USA</v>
      </c>
      <c r="CC338" t="s">
        <v>1784</v>
      </c>
      <c r="CD338">
        <v>4905054</v>
      </c>
      <c r="CE338" t="s">
        <v>364</v>
      </c>
      <c r="CF338" s="11">
        <v>0</v>
      </c>
      <c r="CG338" s="9" t="str">
        <f>_xll.SNL.Clients.Office.Excel.Functions.SPG(CD338, "SP_COUNTRY_NAME")</f>
        <v>USA</v>
      </c>
      <c r="CL338" s="9" t="str">
        <f>_xll.SNL.Clients.Office.Excel.Functions.SPG(CI338, "SP_COUNTRY_NAME")</f>
        <v>#INVALID COMPANY ID</v>
      </c>
      <c r="CM338" t="s">
        <v>680</v>
      </c>
      <c r="CN338">
        <v>4246606</v>
      </c>
      <c r="CO338" t="s">
        <v>346</v>
      </c>
      <c r="CP338" s="11">
        <v>0</v>
      </c>
      <c r="CQ338" s="9" t="str">
        <f>_xll.SNL.Clients.Office.Excel.Functions.SPG(CN338, "SP_COUNTRY_NAME")</f>
        <v>Italy</v>
      </c>
      <c r="CV338" s="9" t="str">
        <f>_xll.SNL.Clients.Office.Excel.Functions.SPG(CS338, "SP_COUNTRY_NAME")</f>
        <v>#INVALID COMPANY ID</v>
      </c>
      <c r="DA338" s="9" t="str">
        <f>_xll.SNL.Clients.Office.Excel.Functions.SPG(CX338, "SP_COUNTRY_NAME")</f>
        <v>#INVALID COMPANY ID</v>
      </c>
      <c r="DB338" t="s">
        <v>1308</v>
      </c>
      <c r="DC338">
        <v>5760527</v>
      </c>
      <c r="DD338" t="s">
        <v>346</v>
      </c>
      <c r="DE338" s="11">
        <v>0</v>
      </c>
      <c r="DF338" s="9" t="str">
        <f>_xll.SNL.Clients.Office.Excel.Functions.SPG(DC338, "SP_COUNTRY_NAME")</f>
        <v>South Africa</v>
      </c>
      <c r="DK338" s="9" t="str">
        <f>_xll.SNL.Clients.Office.Excel.Functions.SPG(DH338, "SP_COUNTRY_NAME")</f>
        <v>#INVALID COMPANY ID</v>
      </c>
      <c r="DL338" t="s">
        <v>1308</v>
      </c>
      <c r="DM338">
        <v>5760527</v>
      </c>
      <c r="DN338" t="s">
        <v>346</v>
      </c>
      <c r="DO338" s="11">
        <v>0</v>
      </c>
      <c r="DP338" s="9" t="str">
        <f>_xll.SNL.Clients.Office.Excel.Functions.SPG(DM338, "SP_COUNTRY_NAME")</f>
        <v>South Africa</v>
      </c>
      <c r="DU338" s="9" t="str">
        <f>_xll.SNL.Clients.Office.Excel.Functions.SPG(DR338, "SP_COUNTRY_NAME")</f>
        <v>#INVALID COMPANY ID</v>
      </c>
      <c r="DZ338" s="9" t="str">
        <f>_xll.SNL.Clients.Office.Excel.Functions.SPG(DW338, "SP_COUNTRY_NAME")</f>
        <v>#INVALID COMPANY ID</v>
      </c>
      <c r="EA338" t="s">
        <v>1784</v>
      </c>
      <c r="EB338">
        <v>4905054</v>
      </c>
      <c r="EC338" t="s">
        <v>364</v>
      </c>
      <c r="ED338" s="11">
        <v>0</v>
      </c>
      <c r="EE338" s="9" t="str">
        <f>_xll.SNL.Clients.Office.Excel.Functions.SPG(EB338, "SP_COUNTRY_NAME")</f>
        <v>USA</v>
      </c>
      <c r="EF338" t="s">
        <v>1308</v>
      </c>
      <c r="EG338">
        <v>5760527</v>
      </c>
      <c r="EH338" t="s">
        <v>346</v>
      </c>
      <c r="EI338" s="11">
        <v>0</v>
      </c>
      <c r="EJ338" s="9" t="str">
        <f>_xll.SNL.Clients.Office.Excel.Functions.SPG(EG338, "SP_COUNTRY_NAME")</f>
        <v>South Africa</v>
      </c>
      <c r="EO338" s="9" t="str">
        <f>_xll.SNL.Clients.Office.Excel.Functions.SPG(EL338, "SP_COUNTRY_NAME")</f>
        <v>#INVALID COMPANY ID</v>
      </c>
      <c r="ET338" s="9" t="str">
        <f>_xll.SNL.Clients.Office.Excel.Functions.SPG(EQ338, "SP_COUNTRY_NAME")</f>
        <v>#INVALID COMPANY ID</v>
      </c>
      <c r="EY338" s="9" t="str">
        <f>_xll.SNL.Clients.Office.Excel.Functions.SPG(EV338, "SP_COUNTRY_NAME")</f>
        <v>#INVALID COMPANY ID</v>
      </c>
      <c r="FD338" s="9" t="str">
        <f>_xll.SNL.Clients.Office.Excel.Functions.SPG(FA338, "SP_COUNTRY_NAME")</f>
        <v>#INVALID COMPANY ID</v>
      </c>
      <c r="FI338" s="9" t="str">
        <f>_xll.SNL.Clients.Office.Excel.Functions.SPG(FF338, "SP_COUNTRY_NAME")</f>
        <v>#INVALID COMPANY ID</v>
      </c>
      <c r="FN338" s="9" t="str">
        <f>_xll.SNL.Clients.Office.Excel.Functions.SPG(FK338, "SP_COUNTRY_NAME")</f>
        <v>#INVALID COMPANY ID</v>
      </c>
      <c r="FS338" s="9" t="str">
        <f>_xll.SNL.Clients.Office.Excel.Functions.SPG(FP338, "SP_COUNTRY_NAME")</f>
        <v>#INVALID COMPANY ID</v>
      </c>
      <c r="FX338" s="9" t="str">
        <f>_xll.SNL.Clients.Office.Excel.Functions.SPG(FU338, "SP_COUNTRY_NAME")</f>
        <v>#INVALID COMPANY ID</v>
      </c>
      <c r="FY338" t="s">
        <v>1308</v>
      </c>
      <c r="FZ338">
        <v>5760527</v>
      </c>
      <c r="GA338" t="s">
        <v>346</v>
      </c>
      <c r="GB338" s="11">
        <v>0</v>
      </c>
      <c r="GC338" s="9" t="str">
        <f>_xll.SNL.Clients.Office.Excel.Functions.SPG(FZ338, "SP_COUNTRY_NAME")</f>
        <v>South Africa</v>
      </c>
      <c r="GH338" s="9" t="str">
        <f>_xll.SNL.Clients.Office.Excel.Functions.SPG(GE338, "SP_COUNTRY_NAME")</f>
        <v>#INVALID COMPANY ID</v>
      </c>
      <c r="GM338" s="9" t="str">
        <f>_xll.SNL.Clients.Office.Excel.Functions.SPG(GJ338, "SP_COUNTRY_NAME")</f>
        <v>#INVALID COMPANY ID</v>
      </c>
      <c r="GR338" s="9" t="str">
        <f>_xll.SNL.Clients.Office.Excel.Functions.SPG(GO338, "SP_COUNTRY_NAME")</f>
        <v>#INVALID COMPANY ID</v>
      </c>
      <c r="GS338" t="s">
        <v>904</v>
      </c>
      <c r="GT338">
        <v>4377113</v>
      </c>
      <c r="GU338" t="s">
        <v>346</v>
      </c>
      <c r="GV338" s="11">
        <v>0</v>
      </c>
      <c r="GW338" s="9" t="str">
        <f>_xll.SNL.Clients.Office.Excel.Functions.SPG(GT338, "SP_COUNTRY_NAME")</f>
        <v>USA</v>
      </c>
      <c r="GX338" t="s">
        <v>1784</v>
      </c>
      <c r="GY338">
        <v>4905054</v>
      </c>
      <c r="GZ338" t="s">
        <v>364</v>
      </c>
      <c r="HA338" s="11">
        <v>0</v>
      </c>
      <c r="HB338" s="9" t="str">
        <f>_xll.SNL.Clients.Office.Excel.Functions.SPG(GY338, "SP_COUNTRY_NAME")</f>
        <v>USA</v>
      </c>
      <c r="HG338" s="9" t="str">
        <f>_xll.SNL.Clients.Office.Excel.Functions.SPG(HD338, "SP_COUNTRY_NAME")</f>
        <v>#INVALID COMPANY ID</v>
      </c>
    </row>
    <row r="339" spans="5:215" x14ac:dyDescent="0.35">
      <c r="E339" s="9" t="str">
        <f>_xll.SNL.Clients.Office.Excel.Functions.SPG(B339, "SP_COUNTRY_NAME")</f>
        <v>#INVALID COMPANY ID</v>
      </c>
      <c r="J339" s="9" t="str">
        <f>_xll.SNL.Clients.Office.Excel.Functions.SPG(G339, "SP_COUNTRY_NAME")</f>
        <v>#INVALID COMPANY ID</v>
      </c>
      <c r="O339" s="9" t="str">
        <f>_xll.SNL.Clients.Office.Excel.Functions.SPG(L339, "SP_COUNTRY_NAME")</f>
        <v>#INVALID COMPANY ID</v>
      </c>
      <c r="T339" s="9" t="str">
        <f>_xll.SNL.Clients.Office.Excel.Functions.SPG(Q339, "SP_COUNTRY_NAME")</f>
        <v>#INVALID COMPANY ID</v>
      </c>
      <c r="U339" t="s">
        <v>885</v>
      </c>
      <c r="V339">
        <v>4281020</v>
      </c>
      <c r="W339" t="s">
        <v>346</v>
      </c>
      <c r="X339" s="11">
        <v>0</v>
      </c>
      <c r="Y339" s="9" t="str">
        <f>_xll.SNL.Clients.Office.Excel.Functions.SPG(V339, "SP_COUNTRY_NAME")</f>
        <v>Hong Kong</v>
      </c>
      <c r="AD339" s="9" t="str">
        <f>_xll.SNL.Clients.Office.Excel.Functions.SPG(AA339, "SP_COUNTRY_NAME")</f>
        <v>#INVALID COMPANY ID</v>
      </c>
      <c r="AI339" s="9" t="str">
        <f>_xll.SNL.Clients.Office.Excel.Functions.SPG(AF339, "SP_COUNTRY_NAME")</f>
        <v>#INVALID COMPANY ID</v>
      </c>
      <c r="AN339" s="9" t="str">
        <f>_xll.SNL.Clients.Office.Excel.Functions.SPG(AK339, "SP_COUNTRY_NAME")</f>
        <v>#INVALID COMPANY ID</v>
      </c>
      <c r="AS339" s="9" t="str">
        <f>_xll.SNL.Clients.Office.Excel.Functions.SPG(AP339, "SP_COUNTRY_NAME")</f>
        <v>#INVALID COMPANY ID</v>
      </c>
      <c r="AX339" s="9" t="str">
        <f>_xll.SNL.Clients.Office.Excel.Functions.SPG(AU339, "SP_COUNTRY_NAME")</f>
        <v>#INVALID COMPANY ID</v>
      </c>
      <c r="BC339" s="9" t="str">
        <f>_xll.SNL.Clients.Office.Excel.Functions.SPG(AZ339, "SP_COUNTRY_NAME")</f>
        <v>#INVALID COMPANY ID</v>
      </c>
      <c r="BD339" t="s">
        <v>592</v>
      </c>
      <c r="BE339">
        <v>1015222</v>
      </c>
      <c r="BF339" t="s">
        <v>346</v>
      </c>
      <c r="BG339" s="11">
        <v>0</v>
      </c>
      <c r="BH339" s="9" t="str">
        <f>_xll.SNL.Clients.Office.Excel.Functions.SPG(BE339, "SP_COUNTRY_NAME")</f>
        <v>USA</v>
      </c>
      <c r="BM339" s="9" t="str">
        <f>_xll.SNL.Clients.Office.Excel.Functions.SPG(BJ339, "SP_COUNTRY_NAME")</f>
        <v>#INVALID COMPANY ID</v>
      </c>
      <c r="BN339" t="s">
        <v>418</v>
      </c>
      <c r="BO339">
        <v>109776</v>
      </c>
      <c r="BP339" t="s">
        <v>346</v>
      </c>
      <c r="BQ339" s="11">
        <v>0</v>
      </c>
      <c r="BR339" s="9" t="str">
        <f>_xll.SNL.Clients.Office.Excel.Functions.SPG(BO339, "SP_COUNTRY_NAME")</f>
        <v>USA</v>
      </c>
      <c r="BS339" t="s">
        <v>1027</v>
      </c>
      <c r="BT339">
        <v>4434914</v>
      </c>
      <c r="BU339" t="s">
        <v>346</v>
      </c>
      <c r="BV339" s="11">
        <v>0</v>
      </c>
      <c r="BW339" s="9" t="str">
        <f>_xll.SNL.Clients.Office.Excel.Functions.SPG(BT339, "SP_COUNTRY_NAME")</f>
        <v>United Kingdom</v>
      </c>
      <c r="BX339" t="s">
        <v>885</v>
      </c>
      <c r="BY339">
        <v>4281020</v>
      </c>
      <c r="BZ339" t="s">
        <v>346</v>
      </c>
      <c r="CA339" s="11">
        <v>0</v>
      </c>
      <c r="CB339" s="9" t="str">
        <f>_xll.SNL.Clients.Office.Excel.Functions.SPG(BY339, "SP_COUNTRY_NAME")</f>
        <v>Hong Kong</v>
      </c>
      <c r="CC339" t="s">
        <v>1785</v>
      </c>
      <c r="CD339">
        <v>5784767</v>
      </c>
      <c r="CE339" t="s">
        <v>346</v>
      </c>
      <c r="CF339" s="11">
        <v>0</v>
      </c>
      <c r="CG339" s="9" t="str">
        <f>_xll.SNL.Clients.Office.Excel.Functions.SPG(CD339, "SP_COUNTRY_NAME")</f>
        <v>Brazil</v>
      </c>
      <c r="CL339" s="9" t="str">
        <f>_xll.SNL.Clients.Office.Excel.Functions.SPG(CI339, "SP_COUNTRY_NAME")</f>
        <v>#INVALID COMPANY ID</v>
      </c>
      <c r="CM339" t="s">
        <v>1838</v>
      </c>
      <c r="CN339">
        <v>4219077</v>
      </c>
      <c r="CO339" t="s">
        <v>346</v>
      </c>
      <c r="CP339" s="11">
        <v>0</v>
      </c>
      <c r="CQ339" s="9" t="str">
        <f>_xll.SNL.Clients.Office.Excel.Functions.SPG(CN339, "SP_COUNTRY_NAME")</f>
        <v>USA</v>
      </c>
      <c r="CV339" s="9" t="str">
        <f>_xll.SNL.Clients.Office.Excel.Functions.SPG(CS339, "SP_COUNTRY_NAME")</f>
        <v>#INVALID COMPANY ID</v>
      </c>
      <c r="DA339" s="9" t="str">
        <f>_xll.SNL.Clients.Office.Excel.Functions.SPG(CX339, "SP_COUNTRY_NAME")</f>
        <v>#INVALID COMPANY ID</v>
      </c>
      <c r="DB339" t="s">
        <v>592</v>
      </c>
      <c r="DC339">
        <v>1015222</v>
      </c>
      <c r="DD339" t="s">
        <v>346</v>
      </c>
      <c r="DE339" s="11">
        <v>0</v>
      </c>
      <c r="DF339" s="9" t="str">
        <f>_xll.SNL.Clients.Office.Excel.Functions.SPG(DC339, "SP_COUNTRY_NAME")</f>
        <v>USA</v>
      </c>
      <c r="DK339" s="9" t="str">
        <f>_xll.SNL.Clients.Office.Excel.Functions.SPG(DH339, "SP_COUNTRY_NAME")</f>
        <v>#INVALID COMPANY ID</v>
      </c>
      <c r="DL339" t="s">
        <v>592</v>
      </c>
      <c r="DM339">
        <v>1015222</v>
      </c>
      <c r="DN339" t="s">
        <v>346</v>
      </c>
      <c r="DO339" s="11">
        <v>0</v>
      </c>
      <c r="DP339" s="9" t="str">
        <f>_xll.SNL.Clients.Office.Excel.Functions.SPG(DM339, "SP_COUNTRY_NAME")</f>
        <v>USA</v>
      </c>
      <c r="DU339" s="9" t="str">
        <f>_xll.SNL.Clients.Office.Excel.Functions.SPG(DR339, "SP_COUNTRY_NAME")</f>
        <v>#INVALID COMPANY ID</v>
      </c>
      <c r="DZ339" s="9" t="str">
        <f>_xll.SNL.Clients.Office.Excel.Functions.SPG(DW339, "SP_COUNTRY_NAME")</f>
        <v>#INVALID COMPANY ID</v>
      </c>
      <c r="EA339" t="s">
        <v>1785</v>
      </c>
      <c r="EB339">
        <v>5784767</v>
      </c>
      <c r="EC339" t="s">
        <v>346</v>
      </c>
      <c r="ED339" s="11">
        <v>0</v>
      </c>
      <c r="EE339" s="9" t="str">
        <f>_xll.SNL.Clients.Office.Excel.Functions.SPG(EB339, "SP_COUNTRY_NAME")</f>
        <v>Brazil</v>
      </c>
      <c r="EF339" t="s">
        <v>592</v>
      </c>
      <c r="EG339">
        <v>1015222</v>
      </c>
      <c r="EH339" t="s">
        <v>346</v>
      </c>
      <c r="EI339" s="11">
        <v>0</v>
      </c>
      <c r="EJ339" s="9" t="str">
        <f>_xll.SNL.Clients.Office.Excel.Functions.SPG(EG339, "SP_COUNTRY_NAME")</f>
        <v>USA</v>
      </c>
      <c r="EO339" s="9" t="str">
        <f>_xll.SNL.Clients.Office.Excel.Functions.SPG(EL339, "SP_COUNTRY_NAME")</f>
        <v>#INVALID COMPANY ID</v>
      </c>
      <c r="ET339" s="9" t="str">
        <f>_xll.SNL.Clients.Office.Excel.Functions.SPG(EQ339, "SP_COUNTRY_NAME")</f>
        <v>#INVALID COMPANY ID</v>
      </c>
      <c r="EY339" s="9" t="str">
        <f>_xll.SNL.Clients.Office.Excel.Functions.SPG(EV339, "SP_COUNTRY_NAME")</f>
        <v>#INVALID COMPANY ID</v>
      </c>
      <c r="FD339" s="9" t="str">
        <f>_xll.SNL.Clients.Office.Excel.Functions.SPG(FA339, "SP_COUNTRY_NAME")</f>
        <v>#INVALID COMPANY ID</v>
      </c>
      <c r="FI339" s="9" t="str">
        <f>_xll.SNL.Clients.Office.Excel.Functions.SPG(FF339, "SP_COUNTRY_NAME")</f>
        <v>#INVALID COMPANY ID</v>
      </c>
      <c r="FN339" s="9" t="str">
        <f>_xll.SNL.Clients.Office.Excel.Functions.SPG(FK339, "SP_COUNTRY_NAME")</f>
        <v>#INVALID COMPANY ID</v>
      </c>
      <c r="FS339" s="9" t="str">
        <f>_xll.SNL.Clients.Office.Excel.Functions.SPG(FP339, "SP_COUNTRY_NAME")</f>
        <v>#INVALID COMPANY ID</v>
      </c>
      <c r="FX339" s="9" t="str">
        <f>_xll.SNL.Clients.Office.Excel.Functions.SPG(FU339, "SP_COUNTRY_NAME")</f>
        <v>#INVALID COMPANY ID</v>
      </c>
      <c r="FY339" t="s">
        <v>592</v>
      </c>
      <c r="FZ339">
        <v>1015222</v>
      </c>
      <c r="GA339" t="s">
        <v>346</v>
      </c>
      <c r="GB339" s="11">
        <v>0</v>
      </c>
      <c r="GC339" s="9" t="str">
        <f>_xll.SNL.Clients.Office.Excel.Functions.SPG(FZ339, "SP_COUNTRY_NAME")</f>
        <v>USA</v>
      </c>
      <c r="GH339" s="9" t="str">
        <f>_xll.SNL.Clients.Office.Excel.Functions.SPG(GE339, "SP_COUNTRY_NAME")</f>
        <v>#INVALID COMPANY ID</v>
      </c>
      <c r="GM339" s="9" t="str">
        <f>_xll.SNL.Clients.Office.Excel.Functions.SPG(GJ339, "SP_COUNTRY_NAME")</f>
        <v>#INVALID COMPANY ID</v>
      </c>
      <c r="GR339" s="9" t="str">
        <f>_xll.SNL.Clients.Office.Excel.Functions.SPG(GO339, "SP_COUNTRY_NAME")</f>
        <v>#INVALID COMPANY ID</v>
      </c>
      <c r="GS339" t="s">
        <v>418</v>
      </c>
      <c r="GT339">
        <v>109776</v>
      </c>
      <c r="GU339" t="s">
        <v>346</v>
      </c>
      <c r="GV339" s="11">
        <v>0</v>
      </c>
      <c r="GW339" s="9" t="str">
        <f>_xll.SNL.Clients.Office.Excel.Functions.SPG(GT339, "SP_COUNTRY_NAME")</f>
        <v>USA</v>
      </c>
      <c r="GX339" t="s">
        <v>1785</v>
      </c>
      <c r="GY339">
        <v>5784767</v>
      </c>
      <c r="GZ339" t="s">
        <v>346</v>
      </c>
      <c r="HA339" s="11">
        <v>0</v>
      </c>
      <c r="HB339" s="9" t="str">
        <f>_xll.SNL.Clients.Office.Excel.Functions.SPG(GY339, "SP_COUNTRY_NAME")</f>
        <v>Brazil</v>
      </c>
      <c r="HG339" s="9" t="str">
        <f>_xll.SNL.Clients.Office.Excel.Functions.SPG(HD339, "SP_COUNTRY_NAME")</f>
        <v>#INVALID COMPANY ID</v>
      </c>
    </row>
    <row r="340" spans="5:215" x14ac:dyDescent="0.35">
      <c r="E340" s="9" t="str">
        <f>_xll.SNL.Clients.Office.Excel.Functions.SPG(B340, "SP_COUNTRY_NAME")</f>
        <v>#INVALID COMPANY ID</v>
      </c>
      <c r="J340" s="9" t="str">
        <f>_xll.SNL.Clients.Office.Excel.Functions.SPG(G340, "SP_COUNTRY_NAME")</f>
        <v>#INVALID COMPANY ID</v>
      </c>
      <c r="O340" s="9" t="str">
        <f>_xll.SNL.Clients.Office.Excel.Functions.SPG(L340, "SP_COUNTRY_NAME")</f>
        <v>#INVALID COMPANY ID</v>
      </c>
      <c r="T340" s="9" t="str">
        <f>_xll.SNL.Clients.Office.Excel.Functions.SPG(Q340, "SP_COUNTRY_NAME")</f>
        <v>#INVALID COMPANY ID</v>
      </c>
      <c r="U340" t="s">
        <v>886</v>
      </c>
      <c r="V340">
        <v>29518821</v>
      </c>
      <c r="W340" t="s">
        <v>346</v>
      </c>
      <c r="X340" s="11">
        <v>0</v>
      </c>
      <c r="Y340" s="9" t="str">
        <f>_xll.SNL.Clients.Office.Excel.Functions.SPG(V340, "SP_COUNTRY_NAME")</f>
        <v>China</v>
      </c>
      <c r="AD340" s="9" t="str">
        <f>_xll.SNL.Clients.Office.Excel.Functions.SPG(AA340, "SP_COUNTRY_NAME")</f>
        <v>#INVALID COMPANY ID</v>
      </c>
      <c r="AI340" s="9" t="str">
        <f>_xll.SNL.Clients.Office.Excel.Functions.SPG(AF340, "SP_COUNTRY_NAME")</f>
        <v>#INVALID COMPANY ID</v>
      </c>
      <c r="AN340" s="9" t="str">
        <f>_xll.SNL.Clients.Office.Excel.Functions.SPG(AK340, "SP_COUNTRY_NAME")</f>
        <v>#INVALID COMPANY ID</v>
      </c>
      <c r="AS340" s="9" t="str">
        <f>_xll.SNL.Clients.Office.Excel.Functions.SPG(AP340, "SP_COUNTRY_NAME")</f>
        <v>#INVALID COMPANY ID</v>
      </c>
      <c r="AX340" s="9" t="str">
        <f>_xll.SNL.Clients.Office.Excel.Functions.SPG(AU340, "SP_COUNTRY_NAME")</f>
        <v>#INVALID COMPANY ID</v>
      </c>
      <c r="BC340" s="9" t="str">
        <f>_xll.SNL.Clients.Office.Excel.Functions.SPG(AZ340, "SP_COUNTRY_NAME")</f>
        <v>#INVALID COMPANY ID</v>
      </c>
      <c r="BD340" t="s">
        <v>1497</v>
      </c>
      <c r="BE340">
        <v>7729796</v>
      </c>
      <c r="BF340" t="s">
        <v>346</v>
      </c>
      <c r="BG340" s="11">
        <v>0</v>
      </c>
      <c r="BH340" s="9" t="str">
        <f>_xll.SNL.Clients.Office.Excel.Functions.SPG(BE340, "SP_COUNTRY_NAME")</f>
        <v>Germany</v>
      </c>
      <c r="BM340" s="9" t="str">
        <f>_xll.SNL.Clients.Office.Excel.Functions.SPG(BJ340, "SP_COUNTRY_NAME")</f>
        <v>#INVALID COMPANY ID</v>
      </c>
      <c r="BN340" t="s">
        <v>433</v>
      </c>
      <c r="BO340">
        <v>3000896</v>
      </c>
      <c r="BP340" t="s">
        <v>346</v>
      </c>
      <c r="BQ340" s="11">
        <v>0</v>
      </c>
      <c r="BR340" s="9" t="str">
        <f>_xll.SNL.Clients.Office.Excel.Functions.SPG(BO340, "SP_COUNTRY_NAME")</f>
        <v>USA</v>
      </c>
      <c r="BS340" t="s">
        <v>1028</v>
      </c>
      <c r="BT340">
        <v>4139830</v>
      </c>
      <c r="BU340" t="s">
        <v>346</v>
      </c>
      <c r="BV340" s="11">
        <v>0</v>
      </c>
      <c r="BW340" s="9" t="str">
        <f>_xll.SNL.Clients.Office.Excel.Functions.SPG(BT340, "SP_COUNTRY_NAME")</f>
        <v>Germany</v>
      </c>
      <c r="BX340" t="s">
        <v>886</v>
      </c>
      <c r="BY340">
        <v>29518821</v>
      </c>
      <c r="BZ340" t="s">
        <v>346</v>
      </c>
      <c r="CA340" s="11">
        <v>0</v>
      </c>
      <c r="CB340" s="9" t="str">
        <f>_xll.SNL.Clients.Office.Excel.Functions.SPG(BY340, "SP_COUNTRY_NAME")</f>
        <v>China</v>
      </c>
      <c r="CC340" t="s">
        <v>1786</v>
      </c>
      <c r="CD340">
        <v>4097611</v>
      </c>
      <c r="CE340" t="s">
        <v>364</v>
      </c>
      <c r="CF340" s="11">
        <v>0</v>
      </c>
      <c r="CG340" s="9" t="str">
        <f>_xll.SNL.Clients.Office.Excel.Functions.SPG(CD340, "SP_COUNTRY_NAME")</f>
        <v>USA</v>
      </c>
      <c r="CL340" s="9" t="str">
        <f>_xll.SNL.Clients.Office.Excel.Functions.SPG(CI340, "SP_COUNTRY_NAME")</f>
        <v>#INVALID COMPANY ID</v>
      </c>
      <c r="CM340" t="s">
        <v>2045</v>
      </c>
      <c r="CN340">
        <v>132235024</v>
      </c>
      <c r="CO340" t="s">
        <v>276</v>
      </c>
      <c r="CP340" s="11">
        <v>0</v>
      </c>
      <c r="CQ340" s="9" t="str">
        <f>_xll.SNL.Clients.Office.Excel.Functions.SPG(CN340, "SP_COUNTRY_NAME")</f>
        <v>#INVALID COMPANY ID</v>
      </c>
      <c r="CV340" s="9" t="str">
        <f>_xll.SNL.Clients.Office.Excel.Functions.SPG(CS340, "SP_COUNTRY_NAME")</f>
        <v>#INVALID COMPANY ID</v>
      </c>
      <c r="DA340" s="9" t="str">
        <f>_xll.SNL.Clients.Office.Excel.Functions.SPG(CX340, "SP_COUNTRY_NAME")</f>
        <v>#INVALID COMPANY ID</v>
      </c>
      <c r="DB340" t="s">
        <v>1497</v>
      </c>
      <c r="DC340">
        <v>7729796</v>
      </c>
      <c r="DD340" t="s">
        <v>346</v>
      </c>
      <c r="DE340" s="11">
        <v>0</v>
      </c>
      <c r="DF340" s="9" t="str">
        <f>_xll.SNL.Clients.Office.Excel.Functions.SPG(DC340, "SP_COUNTRY_NAME")</f>
        <v>Germany</v>
      </c>
      <c r="DK340" s="9" t="str">
        <f>_xll.SNL.Clients.Office.Excel.Functions.SPG(DH340, "SP_COUNTRY_NAME")</f>
        <v>#INVALID COMPANY ID</v>
      </c>
      <c r="DL340" t="s">
        <v>1497</v>
      </c>
      <c r="DM340">
        <v>7729796</v>
      </c>
      <c r="DN340" t="s">
        <v>346</v>
      </c>
      <c r="DO340" s="11">
        <v>0</v>
      </c>
      <c r="DP340" s="9" t="str">
        <f>_xll.SNL.Clients.Office.Excel.Functions.SPG(DM340, "SP_COUNTRY_NAME")</f>
        <v>Germany</v>
      </c>
      <c r="DU340" s="9" t="str">
        <f>_xll.SNL.Clients.Office.Excel.Functions.SPG(DR340, "SP_COUNTRY_NAME")</f>
        <v>#INVALID COMPANY ID</v>
      </c>
      <c r="DZ340" s="9" t="str">
        <f>_xll.SNL.Clients.Office.Excel.Functions.SPG(DW340, "SP_COUNTRY_NAME")</f>
        <v>#INVALID COMPANY ID</v>
      </c>
      <c r="EA340" t="s">
        <v>1786</v>
      </c>
      <c r="EB340">
        <v>4097611</v>
      </c>
      <c r="EC340" t="s">
        <v>364</v>
      </c>
      <c r="ED340" s="11">
        <v>0</v>
      </c>
      <c r="EE340" s="9" t="str">
        <f>_xll.SNL.Clients.Office.Excel.Functions.SPG(EB340, "SP_COUNTRY_NAME")</f>
        <v>USA</v>
      </c>
      <c r="EF340" t="s">
        <v>1497</v>
      </c>
      <c r="EG340">
        <v>7729796</v>
      </c>
      <c r="EH340" t="s">
        <v>346</v>
      </c>
      <c r="EI340" s="11">
        <v>0</v>
      </c>
      <c r="EJ340" s="9" t="str">
        <f>_xll.SNL.Clients.Office.Excel.Functions.SPG(EG340, "SP_COUNTRY_NAME")</f>
        <v>Germany</v>
      </c>
      <c r="EO340" s="9" t="str">
        <f>_xll.SNL.Clients.Office.Excel.Functions.SPG(EL340, "SP_COUNTRY_NAME")</f>
        <v>#INVALID COMPANY ID</v>
      </c>
      <c r="ET340" s="9" t="str">
        <f>_xll.SNL.Clients.Office.Excel.Functions.SPG(EQ340, "SP_COUNTRY_NAME")</f>
        <v>#INVALID COMPANY ID</v>
      </c>
      <c r="EY340" s="9" t="str">
        <f>_xll.SNL.Clients.Office.Excel.Functions.SPG(EV340, "SP_COUNTRY_NAME")</f>
        <v>#INVALID COMPANY ID</v>
      </c>
      <c r="FD340" s="9" t="str">
        <f>_xll.SNL.Clients.Office.Excel.Functions.SPG(FA340, "SP_COUNTRY_NAME")</f>
        <v>#INVALID COMPANY ID</v>
      </c>
      <c r="FI340" s="9" t="str">
        <f>_xll.SNL.Clients.Office.Excel.Functions.SPG(FF340, "SP_COUNTRY_NAME")</f>
        <v>#INVALID COMPANY ID</v>
      </c>
      <c r="FN340" s="9" t="str">
        <f>_xll.SNL.Clients.Office.Excel.Functions.SPG(FK340, "SP_COUNTRY_NAME")</f>
        <v>#INVALID COMPANY ID</v>
      </c>
      <c r="FS340" s="9" t="str">
        <f>_xll.SNL.Clients.Office.Excel.Functions.SPG(FP340, "SP_COUNTRY_NAME")</f>
        <v>#INVALID COMPANY ID</v>
      </c>
      <c r="FX340" s="9" t="str">
        <f>_xll.SNL.Clients.Office.Excel.Functions.SPG(FU340, "SP_COUNTRY_NAME")</f>
        <v>#INVALID COMPANY ID</v>
      </c>
      <c r="FY340" t="s">
        <v>1497</v>
      </c>
      <c r="FZ340">
        <v>7729796</v>
      </c>
      <c r="GA340" t="s">
        <v>346</v>
      </c>
      <c r="GB340" s="11">
        <v>0</v>
      </c>
      <c r="GC340" s="9" t="str">
        <f>_xll.SNL.Clients.Office.Excel.Functions.SPG(FZ340, "SP_COUNTRY_NAME")</f>
        <v>Germany</v>
      </c>
      <c r="GH340" s="9" t="str">
        <f>_xll.SNL.Clients.Office.Excel.Functions.SPG(GE340, "SP_COUNTRY_NAME")</f>
        <v>#INVALID COMPANY ID</v>
      </c>
      <c r="GM340" s="9" t="str">
        <f>_xll.SNL.Clients.Office.Excel.Functions.SPG(GJ340, "SP_COUNTRY_NAME")</f>
        <v>#INVALID COMPANY ID</v>
      </c>
      <c r="GR340" s="9" t="str">
        <f>_xll.SNL.Clients.Office.Excel.Functions.SPG(GO340, "SP_COUNTRY_NAME")</f>
        <v>#INVALID COMPANY ID</v>
      </c>
      <c r="GS340" t="s">
        <v>433</v>
      </c>
      <c r="GT340">
        <v>3000896</v>
      </c>
      <c r="GU340" t="s">
        <v>346</v>
      </c>
      <c r="GV340" s="11">
        <v>0</v>
      </c>
      <c r="GW340" s="9" t="str">
        <f>_xll.SNL.Clients.Office.Excel.Functions.SPG(GT340, "SP_COUNTRY_NAME")</f>
        <v>USA</v>
      </c>
      <c r="GX340" t="s">
        <v>1786</v>
      </c>
      <c r="GY340">
        <v>4097611</v>
      </c>
      <c r="GZ340" t="s">
        <v>364</v>
      </c>
      <c r="HA340" s="11">
        <v>0</v>
      </c>
      <c r="HB340" s="9" t="str">
        <f>_xll.SNL.Clients.Office.Excel.Functions.SPG(GY340, "SP_COUNTRY_NAME")</f>
        <v>USA</v>
      </c>
      <c r="HG340" s="9" t="str">
        <f>_xll.SNL.Clients.Office.Excel.Functions.SPG(HD340, "SP_COUNTRY_NAME")</f>
        <v>#INVALID COMPANY ID</v>
      </c>
    </row>
    <row r="341" spans="5:215" x14ac:dyDescent="0.35">
      <c r="E341" s="9" t="str">
        <f>_xll.SNL.Clients.Office.Excel.Functions.SPG(B341, "SP_COUNTRY_NAME")</f>
        <v>#INVALID COMPANY ID</v>
      </c>
      <c r="J341" s="9" t="str">
        <f>_xll.SNL.Clients.Office.Excel.Functions.SPG(G341, "SP_COUNTRY_NAME")</f>
        <v>#INVALID COMPANY ID</v>
      </c>
      <c r="O341" s="9" t="str">
        <f>_xll.SNL.Clients.Office.Excel.Functions.SPG(L341, "SP_COUNTRY_NAME")</f>
        <v>#INVALID COMPANY ID</v>
      </c>
      <c r="T341" s="9" t="str">
        <f>_xll.SNL.Clients.Office.Excel.Functions.SPG(Q341, "SP_COUNTRY_NAME")</f>
        <v>#INVALID COMPANY ID</v>
      </c>
      <c r="U341" t="s">
        <v>483</v>
      </c>
      <c r="V341">
        <v>109763</v>
      </c>
      <c r="W341" t="s">
        <v>346</v>
      </c>
      <c r="X341" s="11">
        <v>0</v>
      </c>
      <c r="Y341" s="9" t="str">
        <f>_xll.SNL.Clients.Office.Excel.Functions.SPG(V341, "SP_COUNTRY_NAME")</f>
        <v>USA</v>
      </c>
      <c r="AD341" s="9" t="str">
        <f>_xll.SNL.Clients.Office.Excel.Functions.SPG(AA341, "SP_COUNTRY_NAME")</f>
        <v>#INVALID COMPANY ID</v>
      </c>
      <c r="AI341" s="9" t="str">
        <f>_xll.SNL.Clients.Office.Excel.Functions.SPG(AF341, "SP_COUNTRY_NAME")</f>
        <v>#INVALID COMPANY ID</v>
      </c>
      <c r="AN341" s="9" t="str">
        <f>_xll.SNL.Clients.Office.Excel.Functions.SPG(AK341, "SP_COUNTRY_NAME")</f>
        <v>#INVALID COMPANY ID</v>
      </c>
      <c r="AS341" s="9" t="str">
        <f>_xll.SNL.Clients.Office.Excel.Functions.SPG(AP341, "SP_COUNTRY_NAME")</f>
        <v>#INVALID COMPANY ID</v>
      </c>
      <c r="AX341" s="9" t="str">
        <f>_xll.SNL.Clients.Office.Excel.Functions.SPG(AU341, "SP_COUNTRY_NAME")</f>
        <v>#INVALID COMPANY ID</v>
      </c>
      <c r="BC341" s="9" t="str">
        <f>_xll.SNL.Clients.Office.Excel.Functions.SPG(AZ341, "SP_COUNTRY_NAME")</f>
        <v>#INVALID COMPANY ID</v>
      </c>
      <c r="BD341" t="s">
        <v>1296</v>
      </c>
      <c r="BE341">
        <v>8091201</v>
      </c>
      <c r="BF341" t="s">
        <v>346</v>
      </c>
      <c r="BG341" s="11">
        <v>0</v>
      </c>
      <c r="BH341" s="9" t="str">
        <f>_xll.SNL.Clients.Office.Excel.Functions.SPG(BE341, "SP_COUNTRY_NAME")</f>
        <v>Namibia</v>
      </c>
      <c r="BM341" s="9" t="str">
        <f>_xll.SNL.Clients.Office.Excel.Functions.SPG(BJ341, "SP_COUNTRY_NAME")</f>
        <v>#INVALID COMPANY ID</v>
      </c>
      <c r="BN341" t="s">
        <v>860</v>
      </c>
      <c r="BO341">
        <v>110879</v>
      </c>
      <c r="BP341" t="s">
        <v>346</v>
      </c>
      <c r="BQ341" s="11">
        <v>0</v>
      </c>
      <c r="BR341" s="9" t="str">
        <f>_xll.SNL.Clients.Office.Excel.Functions.SPG(BO341, "SP_COUNTRY_NAME")</f>
        <v>USA</v>
      </c>
      <c r="BS341" t="s">
        <v>423</v>
      </c>
      <c r="BT341">
        <v>4318240</v>
      </c>
      <c r="BU341" t="s">
        <v>346</v>
      </c>
      <c r="BV341" s="11">
        <v>0</v>
      </c>
      <c r="BW341" s="9" t="str">
        <f>_xll.SNL.Clients.Office.Excel.Functions.SPG(BT341, "SP_COUNTRY_NAME")</f>
        <v>Japan</v>
      </c>
      <c r="BX341" t="s">
        <v>483</v>
      </c>
      <c r="BY341">
        <v>109763</v>
      </c>
      <c r="BZ341" t="s">
        <v>346</v>
      </c>
      <c r="CA341" s="11">
        <v>0</v>
      </c>
      <c r="CB341" s="9" t="str">
        <f>_xll.SNL.Clients.Office.Excel.Functions.SPG(BY341, "SP_COUNTRY_NAME")</f>
        <v>USA</v>
      </c>
      <c r="CC341" t="s">
        <v>1787</v>
      </c>
      <c r="CD341">
        <v>19181171</v>
      </c>
      <c r="CE341" t="s">
        <v>346</v>
      </c>
      <c r="CF341" s="11">
        <v>0</v>
      </c>
      <c r="CG341" s="9" t="str">
        <f>_xll.SNL.Clients.Office.Excel.Functions.SPG(CD341, "SP_COUNTRY_NAME")</f>
        <v>USA</v>
      </c>
      <c r="CL341" s="9" t="str">
        <f>_xll.SNL.Clients.Office.Excel.Functions.SPG(CI341, "SP_COUNTRY_NAME")</f>
        <v>#INVALID COMPANY ID</v>
      </c>
      <c r="CM341" t="s">
        <v>395</v>
      </c>
      <c r="CN341">
        <v>4153606</v>
      </c>
      <c r="CO341" t="s">
        <v>346</v>
      </c>
      <c r="CP341" s="11">
        <v>0</v>
      </c>
      <c r="CQ341" s="9" t="str">
        <f>_xll.SNL.Clients.Office.Excel.Functions.SPG(CN341, "SP_COUNTRY_NAME")</f>
        <v>USA</v>
      </c>
      <c r="CV341" s="9" t="str">
        <f>_xll.SNL.Clients.Office.Excel.Functions.SPG(CS341, "SP_COUNTRY_NAME")</f>
        <v>#INVALID COMPANY ID</v>
      </c>
      <c r="DA341" s="9" t="str">
        <f>_xll.SNL.Clients.Office.Excel.Functions.SPG(CX341, "SP_COUNTRY_NAME")</f>
        <v>#INVALID COMPANY ID</v>
      </c>
      <c r="DB341" t="s">
        <v>1296</v>
      </c>
      <c r="DC341">
        <v>8091201</v>
      </c>
      <c r="DD341" t="s">
        <v>346</v>
      </c>
      <c r="DE341" s="11">
        <v>0</v>
      </c>
      <c r="DF341" s="9" t="str">
        <f>_xll.SNL.Clients.Office.Excel.Functions.SPG(DC341, "SP_COUNTRY_NAME")</f>
        <v>Namibia</v>
      </c>
      <c r="DK341" s="9" t="str">
        <f>_xll.SNL.Clients.Office.Excel.Functions.SPG(DH341, "SP_COUNTRY_NAME")</f>
        <v>#INVALID COMPANY ID</v>
      </c>
      <c r="DL341" t="s">
        <v>1296</v>
      </c>
      <c r="DM341">
        <v>8091201</v>
      </c>
      <c r="DN341" t="s">
        <v>346</v>
      </c>
      <c r="DO341" s="11">
        <v>0</v>
      </c>
      <c r="DP341" s="9" t="str">
        <f>_xll.SNL.Clients.Office.Excel.Functions.SPG(DM341, "SP_COUNTRY_NAME")</f>
        <v>Namibia</v>
      </c>
      <c r="DU341" s="9" t="str">
        <f>_xll.SNL.Clients.Office.Excel.Functions.SPG(DR341, "SP_COUNTRY_NAME")</f>
        <v>#INVALID COMPANY ID</v>
      </c>
      <c r="DZ341" s="9" t="str">
        <f>_xll.SNL.Clients.Office.Excel.Functions.SPG(DW341, "SP_COUNTRY_NAME")</f>
        <v>#INVALID COMPANY ID</v>
      </c>
      <c r="EA341" t="s">
        <v>1787</v>
      </c>
      <c r="EB341">
        <v>19181171</v>
      </c>
      <c r="EC341" t="s">
        <v>346</v>
      </c>
      <c r="ED341" s="11">
        <v>0</v>
      </c>
      <c r="EE341" s="9" t="str">
        <f>_xll.SNL.Clients.Office.Excel.Functions.SPG(EB341, "SP_COUNTRY_NAME")</f>
        <v>USA</v>
      </c>
      <c r="EF341" t="s">
        <v>1296</v>
      </c>
      <c r="EG341">
        <v>8091201</v>
      </c>
      <c r="EH341" t="s">
        <v>346</v>
      </c>
      <c r="EI341" s="11">
        <v>0</v>
      </c>
      <c r="EJ341" s="9" t="str">
        <f>_xll.SNL.Clients.Office.Excel.Functions.SPG(EG341, "SP_COUNTRY_NAME")</f>
        <v>Namibia</v>
      </c>
      <c r="EO341" s="9" t="str">
        <f>_xll.SNL.Clients.Office.Excel.Functions.SPG(EL341, "SP_COUNTRY_NAME")</f>
        <v>#INVALID COMPANY ID</v>
      </c>
      <c r="ET341" s="9" t="str">
        <f>_xll.SNL.Clients.Office.Excel.Functions.SPG(EQ341, "SP_COUNTRY_NAME")</f>
        <v>#INVALID COMPANY ID</v>
      </c>
      <c r="EY341" s="9" t="str">
        <f>_xll.SNL.Clients.Office.Excel.Functions.SPG(EV341, "SP_COUNTRY_NAME")</f>
        <v>#INVALID COMPANY ID</v>
      </c>
      <c r="FD341" s="9" t="str">
        <f>_xll.SNL.Clients.Office.Excel.Functions.SPG(FA341, "SP_COUNTRY_NAME")</f>
        <v>#INVALID COMPANY ID</v>
      </c>
      <c r="FI341" s="9" t="str">
        <f>_xll.SNL.Clients.Office.Excel.Functions.SPG(FF341, "SP_COUNTRY_NAME")</f>
        <v>#INVALID COMPANY ID</v>
      </c>
      <c r="FN341" s="9" t="str">
        <f>_xll.SNL.Clients.Office.Excel.Functions.SPG(FK341, "SP_COUNTRY_NAME")</f>
        <v>#INVALID COMPANY ID</v>
      </c>
      <c r="FS341" s="9" t="str">
        <f>_xll.SNL.Clients.Office.Excel.Functions.SPG(FP341, "SP_COUNTRY_NAME")</f>
        <v>#INVALID COMPANY ID</v>
      </c>
      <c r="FX341" s="9" t="str">
        <f>_xll.SNL.Clients.Office.Excel.Functions.SPG(FU341, "SP_COUNTRY_NAME")</f>
        <v>#INVALID COMPANY ID</v>
      </c>
      <c r="FY341" t="s">
        <v>1296</v>
      </c>
      <c r="FZ341">
        <v>8091201</v>
      </c>
      <c r="GA341" t="s">
        <v>346</v>
      </c>
      <c r="GB341" s="11">
        <v>0</v>
      </c>
      <c r="GC341" s="9" t="str">
        <f>_xll.SNL.Clients.Office.Excel.Functions.SPG(FZ341, "SP_COUNTRY_NAME")</f>
        <v>Namibia</v>
      </c>
      <c r="GH341" s="9" t="str">
        <f>_xll.SNL.Clients.Office.Excel.Functions.SPG(GE341, "SP_COUNTRY_NAME")</f>
        <v>#INVALID COMPANY ID</v>
      </c>
      <c r="GM341" s="9" t="str">
        <f>_xll.SNL.Clients.Office.Excel.Functions.SPG(GJ341, "SP_COUNTRY_NAME")</f>
        <v>#INVALID COMPANY ID</v>
      </c>
      <c r="GR341" s="9" t="str">
        <f>_xll.SNL.Clients.Office.Excel.Functions.SPG(GO341, "SP_COUNTRY_NAME")</f>
        <v>#INVALID COMPANY ID</v>
      </c>
      <c r="GS341" t="s">
        <v>860</v>
      </c>
      <c r="GT341">
        <v>110879</v>
      </c>
      <c r="GU341" t="s">
        <v>346</v>
      </c>
      <c r="GV341" s="11">
        <v>0</v>
      </c>
      <c r="GW341" s="9" t="str">
        <f>_xll.SNL.Clients.Office.Excel.Functions.SPG(GT341, "SP_COUNTRY_NAME")</f>
        <v>USA</v>
      </c>
      <c r="GX341" t="s">
        <v>1787</v>
      </c>
      <c r="GY341">
        <v>19181171</v>
      </c>
      <c r="GZ341" t="s">
        <v>346</v>
      </c>
      <c r="HA341" s="11">
        <v>0</v>
      </c>
      <c r="HB341" s="9" t="str">
        <f>_xll.SNL.Clients.Office.Excel.Functions.SPG(GY341, "SP_COUNTRY_NAME")</f>
        <v>USA</v>
      </c>
      <c r="HG341" s="9" t="str">
        <f>_xll.SNL.Clients.Office.Excel.Functions.SPG(HD341, "SP_COUNTRY_NAME")</f>
        <v>#INVALID COMPANY ID</v>
      </c>
    </row>
    <row r="342" spans="5:215" x14ac:dyDescent="0.35">
      <c r="E342" s="9" t="str">
        <f>_xll.SNL.Clients.Office.Excel.Functions.SPG(B342, "SP_COUNTRY_NAME")</f>
        <v>#INVALID COMPANY ID</v>
      </c>
      <c r="J342" s="9" t="str">
        <f>_xll.SNL.Clients.Office.Excel.Functions.SPG(G342, "SP_COUNTRY_NAME")</f>
        <v>#INVALID COMPANY ID</v>
      </c>
      <c r="O342" s="9" t="str">
        <f>_xll.SNL.Clients.Office.Excel.Functions.SPG(L342, "SP_COUNTRY_NAME")</f>
        <v>#INVALID COMPANY ID</v>
      </c>
      <c r="T342" s="9" t="str">
        <f>_xll.SNL.Clients.Office.Excel.Functions.SPG(Q342, "SP_COUNTRY_NAME")</f>
        <v>#INVALID COMPANY ID</v>
      </c>
      <c r="U342" t="s">
        <v>526</v>
      </c>
      <c r="V342">
        <v>4248288</v>
      </c>
      <c r="W342" t="s">
        <v>346</v>
      </c>
      <c r="X342" s="11">
        <v>0</v>
      </c>
      <c r="Y342" s="9" t="str">
        <f>_xll.SNL.Clients.Office.Excel.Functions.SPG(V342, "SP_COUNTRY_NAME")</f>
        <v>Canada</v>
      </c>
      <c r="AD342" s="9" t="str">
        <f>_xll.SNL.Clients.Office.Excel.Functions.SPG(AA342, "SP_COUNTRY_NAME")</f>
        <v>#INVALID COMPANY ID</v>
      </c>
      <c r="AI342" s="9" t="str">
        <f>_xll.SNL.Clients.Office.Excel.Functions.SPG(AF342, "SP_COUNTRY_NAME")</f>
        <v>#INVALID COMPANY ID</v>
      </c>
      <c r="AN342" s="9" t="str">
        <f>_xll.SNL.Clients.Office.Excel.Functions.SPG(AK342, "SP_COUNTRY_NAME")</f>
        <v>#INVALID COMPANY ID</v>
      </c>
      <c r="AS342" s="9" t="str">
        <f>_xll.SNL.Clients.Office.Excel.Functions.SPG(AP342, "SP_COUNTRY_NAME")</f>
        <v>#INVALID COMPANY ID</v>
      </c>
      <c r="AX342" s="9" t="str">
        <f>_xll.SNL.Clients.Office.Excel.Functions.SPG(AU342, "SP_COUNTRY_NAME")</f>
        <v>#INVALID COMPANY ID</v>
      </c>
      <c r="BC342" s="9" t="str">
        <f>_xll.SNL.Clients.Office.Excel.Functions.SPG(AZ342, "SP_COUNTRY_NAME")</f>
        <v>#INVALID COMPANY ID</v>
      </c>
      <c r="BD342" t="s">
        <v>405</v>
      </c>
      <c r="BE342">
        <v>4035990</v>
      </c>
      <c r="BF342" t="s">
        <v>346</v>
      </c>
      <c r="BG342" s="11">
        <v>0</v>
      </c>
      <c r="BH342" s="9" t="str">
        <f>_xll.SNL.Clients.Office.Excel.Functions.SPG(BE342, "SP_COUNTRY_NAME")</f>
        <v>Canada</v>
      </c>
      <c r="BM342" s="9" t="str">
        <f>_xll.SNL.Clients.Office.Excel.Functions.SPG(BJ342, "SP_COUNTRY_NAME")</f>
        <v>#INVALID COMPANY ID</v>
      </c>
      <c r="BN342" t="s">
        <v>752</v>
      </c>
      <c r="BO342">
        <v>111272</v>
      </c>
      <c r="BP342" t="s">
        <v>346</v>
      </c>
      <c r="BQ342" s="11">
        <v>0</v>
      </c>
      <c r="BR342" s="9" t="str">
        <f>_xll.SNL.Clients.Office.Excel.Functions.SPG(BO342, "SP_COUNTRY_NAME")</f>
        <v>United Kingdom</v>
      </c>
      <c r="BS342" t="s">
        <v>923</v>
      </c>
      <c r="BT342">
        <v>4119489</v>
      </c>
      <c r="BU342" t="s">
        <v>346</v>
      </c>
      <c r="BV342" s="11">
        <v>0</v>
      </c>
      <c r="BW342" s="9" t="str">
        <f>_xll.SNL.Clients.Office.Excel.Functions.SPG(BT342, "SP_COUNTRY_NAME")</f>
        <v>USA</v>
      </c>
      <c r="BX342" t="s">
        <v>526</v>
      </c>
      <c r="BY342">
        <v>4248288</v>
      </c>
      <c r="BZ342" t="s">
        <v>346</v>
      </c>
      <c r="CA342" s="11">
        <v>0</v>
      </c>
      <c r="CB342" s="9" t="str">
        <f>_xll.SNL.Clients.Office.Excel.Functions.SPG(BY342, "SP_COUNTRY_NAME")</f>
        <v>Canada</v>
      </c>
      <c r="CC342" t="s">
        <v>1788</v>
      </c>
      <c r="CD342">
        <v>5837967</v>
      </c>
      <c r="CE342" t="s">
        <v>364</v>
      </c>
      <c r="CF342" s="11">
        <v>0</v>
      </c>
      <c r="CG342" s="9" t="str">
        <f>_xll.SNL.Clients.Office.Excel.Functions.SPG(CD342, "SP_COUNTRY_NAME")</f>
        <v>USA</v>
      </c>
      <c r="CL342" s="9" t="str">
        <f>_xll.SNL.Clients.Office.Excel.Functions.SPG(CI342, "SP_COUNTRY_NAME")</f>
        <v>#INVALID COMPANY ID</v>
      </c>
      <c r="CM342" t="s">
        <v>2046</v>
      </c>
      <c r="CN342">
        <v>4218652</v>
      </c>
      <c r="CO342" t="s">
        <v>346</v>
      </c>
      <c r="CP342" s="11">
        <v>0</v>
      </c>
      <c r="CQ342" s="9" t="str">
        <f>_xll.SNL.Clients.Office.Excel.Functions.SPG(CN342, "SP_COUNTRY_NAME")</f>
        <v>USA</v>
      </c>
      <c r="CV342" s="9" t="str">
        <f>_xll.SNL.Clients.Office.Excel.Functions.SPG(CS342, "SP_COUNTRY_NAME")</f>
        <v>#INVALID COMPANY ID</v>
      </c>
      <c r="DA342" s="9" t="str">
        <f>_xll.SNL.Clients.Office.Excel.Functions.SPG(CX342, "SP_COUNTRY_NAME")</f>
        <v>#INVALID COMPANY ID</v>
      </c>
      <c r="DB342" t="s">
        <v>405</v>
      </c>
      <c r="DC342">
        <v>4035990</v>
      </c>
      <c r="DD342" t="s">
        <v>346</v>
      </c>
      <c r="DE342" s="11">
        <v>0</v>
      </c>
      <c r="DF342" s="9" t="str">
        <f>_xll.SNL.Clients.Office.Excel.Functions.SPG(DC342, "SP_COUNTRY_NAME")</f>
        <v>Canada</v>
      </c>
      <c r="DK342" s="9" t="str">
        <f>_xll.SNL.Clients.Office.Excel.Functions.SPG(DH342, "SP_COUNTRY_NAME")</f>
        <v>#INVALID COMPANY ID</v>
      </c>
      <c r="DL342" t="s">
        <v>405</v>
      </c>
      <c r="DM342">
        <v>4035990</v>
      </c>
      <c r="DN342" t="s">
        <v>346</v>
      </c>
      <c r="DO342" s="11">
        <v>0</v>
      </c>
      <c r="DP342" s="9" t="str">
        <f>_xll.SNL.Clients.Office.Excel.Functions.SPG(DM342, "SP_COUNTRY_NAME")</f>
        <v>Canada</v>
      </c>
      <c r="DU342" s="9" t="str">
        <f>_xll.SNL.Clients.Office.Excel.Functions.SPG(DR342, "SP_COUNTRY_NAME")</f>
        <v>#INVALID COMPANY ID</v>
      </c>
      <c r="DZ342" s="9" t="str">
        <f>_xll.SNL.Clients.Office.Excel.Functions.SPG(DW342, "SP_COUNTRY_NAME")</f>
        <v>#INVALID COMPANY ID</v>
      </c>
      <c r="EA342" t="s">
        <v>1788</v>
      </c>
      <c r="EB342">
        <v>5837967</v>
      </c>
      <c r="EC342" t="s">
        <v>364</v>
      </c>
      <c r="ED342" s="11">
        <v>0</v>
      </c>
      <c r="EE342" s="9" t="str">
        <f>_xll.SNL.Clients.Office.Excel.Functions.SPG(EB342, "SP_COUNTRY_NAME")</f>
        <v>USA</v>
      </c>
      <c r="EF342" t="s">
        <v>405</v>
      </c>
      <c r="EG342">
        <v>4035990</v>
      </c>
      <c r="EH342" t="s">
        <v>346</v>
      </c>
      <c r="EI342" s="11">
        <v>0</v>
      </c>
      <c r="EJ342" s="9" t="str">
        <f>_xll.SNL.Clients.Office.Excel.Functions.SPG(EG342, "SP_COUNTRY_NAME")</f>
        <v>Canada</v>
      </c>
      <c r="EO342" s="9" t="str">
        <f>_xll.SNL.Clients.Office.Excel.Functions.SPG(EL342, "SP_COUNTRY_NAME")</f>
        <v>#INVALID COMPANY ID</v>
      </c>
      <c r="ET342" s="9" t="str">
        <f>_xll.SNL.Clients.Office.Excel.Functions.SPG(EQ342, "SP_COUNTRY_NAME")</f>
        <v>#INVALID COMPANY ID</v>
      </c>
      <c r="EY342" s="9" t="str">
        <f>_xll.SNL.Clients.Office.Excel.Functions.SPG(EV342, "SP_COUNTRY_NAME")</f>
        <v>#INVALID COMPANY ID</v>
      </c>
      <c r="FD342" s="9" t="str">
        <f>_xll.SNL.Clients.Office.Excel.Functions.SPG(FA342, "SP_COUNTRY_NAME")</f>
        <v>#INVALID COMPANY ID</v>
      </c>
      <c r="FI342" s="9" t="str">
        <f>_xll.SNL.Clients.Office.Excel.Functions.SPG(FF342, "SP_COUNTRY_NAME")</f>
        <v>#INVALID COMPANY ID</v>
      </c>
      <c r="FN342" s="9" t="str">
        <f>_xll.SNL.Clients.Office.Excel.Functions.SPG(FK342, "SP_COUNTRY_NAME")</f>
        <v>#INVALID COMPANY ID</v>
      </c>
      <c r="FS342" s="9" t="str">
        <f>_xll.SNL.Clients.Office.Excel.Functions.SPG(FP342, "SP_COUNTRY_NAME")</f>
        <v>#INVALID COMPANY ID</v>
      </c>
      <c r="FX342" s="9" t="str">
        <f>_xll.SNL.Clients.Office.Excel.Functions.SPG(FU342, "SP_COUNTRY_NAME")</f>
        <v>#INVALID COMPANY ID</v>
      </c>
      <c r="FY342" t="s">
        <v>405</v>
      </c>
      <c r="FZ342">
        <v>4035990</v>
      </c>
      <c r="GA342" t="s">
        <v>346</v>
      </c>
      <c r="GB342" s="11">
        <v>0</v>
      </c>
      <c r="GC342" s="9" t="str">
        <f>_xll.SNL.Clients.Office.Excel.Functions.SPG(FZ342, "SP_COUNTRY_NAME")</f>
        <v>Canada</v>
      </c>
      <c r="GH342" s="9" t="str">
        <f>_xll.SNL.Clients.Office.Excel.Functions.SPG(GE342, "SP_COUNTRY_NAME")</f>
        <v>#INVALID COMPANY ID</v>
      </c>
      <c r="GM342" s="9" t="str">
        <f>_xll.SNL.Clients.Office.Excel.Functions.SPG(GJ342, "SP_COUNTRY_NAME")</f>
        <v>#INVALID COMPANY ID</v>
      </c>
      <c r="GR342" s="9" t="str">
        <f>_xll.SNL.Clients.Office.Excel.Functions.SPG(GO342, "SP_COUNTRY_NAME")</f>
        <v>#INVALID COMPANY ID</v>
      </c>
      <c r="GS342" t="s">
        <v>752</v>
      </c>
      <c r="GT342">
        <v>111272</v>
      </c>
      <c r="GU342" t="s">
        <v>346</v>
      </c>
      <c r="GV342" s="11">
        <v>0</v>
      </c>
      <c r="GW342" s="9" t="str">
        <f>_xll.SNL.Clients.Office.Excel.Functions.SPG(GT342, "SP_COUNTRY_NAME")</f>
        <v>United Kingdom</v>
      </c>
      <c r="GX342" t="s">
        <v>1788</v>
      </c>
      <c r="GY342">
        <v>5837967</v>
      </c>
      <c r="GZ342" t="s">
        <v>364</v>
      </c>
      <c r="HA342" s="11">
        <v>0</v>
      </c>
      <c r="HB342" s="9" t="str">
        <f>_xll.SNL.Clients.Office.Excel.Functions.SPG(GY342, "SP_COUNTRY_NAME")</f>
        <v>USA</v>
      </c>
      <c r="HG342" s="9" t="str">
        <f>_xll.SNL.Clients.Office.Excel.Functions.SPG(HD342, "SP_COUNTRY_NAME")</f>
        <v>#INVALID COMPANY ID</v>
      </c>
    </row>
    <row r="343" spans="5:215" x14ac:dyDescent="0.35">
      <c r="E343" s="9" t="str">
        <f>_xll.SNL.Clients.Office.Excel.Functions.SPG(B343, "SP_COUNTRY_NAME")</f>
        <v>#INVALID COMPANY ID</v>
      </c>
      <c r="J343" s="9" t="str">
        <f>_xll.SNL.Clients.Office.Excel.Functions.SPG(G343, "SP_COUNTRY_NAME")</f>
        <v>#INVALID COMPANY ID</v>
      </c>
      <c r="O343" s="9" t="str">
        <f>_xll.SNL.Clients.Office.Excel.Functions.SPG(L343, "SP_COUNTRY_NAME")</f>
        <v>#INVALID COMPANY ID</v>
      </c>
      <c r="T343" s="9" t="str">
        <f>_xll.SNL.Clients.Office.Excel.Functions.SPG(Q343, "SP_COUNTRY_NAME")</f>
        <v>#INVALID COMPANY ID</v>
      </c>
      <c r="U343" t="s">
        <v>887</v>
      </c>
      <c r="V343">
        <v>5843533</v>
      </c>
      <c r="W343" t="s">
        <v>346</v>
      </c>
      <c r="X343" s="11">
        <v>0</v>
      </c>
      <c r="Y343" s="9" t="str">
        <f>_xll.SNL.Clients.Office.Excel.Functions.SPG(V343, "SP_COUNTRY_NAME")</f>
        <v>China</v>
      </c>
      <c r="AD343" s="9" t="str">
        <f>_xll.SNL.Clients.Office.Excel.Functions.SPG(AA343, "SP_COUNTRY_NAME")</f>
        <v>#INVALID COMPANY ID</v>
      </c>
      <c r="AI343" s="9" t="str">
        <f>_xll.SNL.Clients.Office.Excel.Functions.SPG(AF343, "SP_COUNTRY_NAME")</f>
        <v>#INVALID COMPANY ID</v>
      </c>
      <c r="AN343" s="9" t="str">
        <f>_xll.SNL.Clients.Office.Excel.Functions.SPG(AK343, "SP_COUNTRY_NAME")</f>
        <v>#INVALID COMPANY ID</v>
      </c>
      <c r="AS343" s="9" t="str">
        <f>_xll.SNL.Clients.Office.Excel.Functions.SPG(AP343, "SP_COUNTRY_NAME")</f>
        <v>#INVALID COMPANY ID</v>
      </c>
      <c r="AX343" s="9" t="str">
        <f>_xll.SNL.Clients.Office.Excel.Functions.SPG(AU343, "SP_COUNTRY_NAME")</f>
        <v>#INVALID COMPANY ID</v>
      </c>
      <c r="BC343" s="9" t="str">
        <f>_xll.SNL.Clients.Office.Excel.Functions.SPG(AZ343, "SP_COUNTRY_NAME")</f>
        <v>#INVALID COMPANY ID</v>
      </c>
      <c r="BD343" t="s">
        <v>1290</v>
      </c>
      <c r="BE343">
        <v>4275763</v>
      </c>
      <c r="BF343" t="s">
        <v>346</v>
      </c>
      <c r="BG343" s="11">
        <v>0</v>
      </c>
      <c r="BH343" s="9" t="str">
        <f>_xll.SNL.Clients.Office.Excel.Functions.SPG(BE343, "SP_COUNTRY_NAME")</f>
        <v>South Africa</v>
      </c>
      <c r="BM343" s="9" t="str">
        <f>_xll.SNL.Clients.Office.Excel.Functions.SPG(BJ343, "SP_COUNTRY_NAME")</f>
        <v>#INVALID COMPANY ID</v>
      </c>
      <c r="BN343" t="s">
        <v>420</v>
      </c>
      <c r="BO343">
        <v>19342220</v>
      </c>
      <c r="BP343" t="s">
        <v>346</v>
      </c>
      <c r="BQ343" s="11">
        <v>0</v>
      </c>
      <c r="BR343" s="9" t="str">
        <f>_xll.SNL.Clients.Office.Excel.Functions.SPG(BO343, "SP_COUNTRY_NAME")</f>
        <v>USA</v>
      </c>
      <c r="BS343" t="s">
        <v>1029</v>
      </c>
      <c r="BT343">
        <v>109927</v>
      </c>
      <c r="BU343" t="s">
        <v>346</v>
      </c>
      <c r="BV343" s="11">
        <v>0</v>
      </c>
      <c r="BW343" s="9" t="str">
        <f>_xll.SNL.Clients.Office.Excel.Functions.SPG(BT343, "SP_COUNTRY_NAME")</f>
        <v>USA</v>
      </c>
      <c r="BX343" t="s">
        <v>887</v>
      </c>
      <c r="BY343">
        <v>5843533</v>
      </c>
      <c r="BZ343" t="s">
        <v>346</v>
      </c>
      <c r="CA343" s="11">
        <v>0</v>
      </c>
      <c r="CB343" s="9" t="str">
        <f>_xll.SNL.Clients.Office.Excel.Functions.SPG(BY343, "SP_COUNTRY_NAME")</f>
        <v>China</v>
      </c>
      <c r="CC343" t="s">
        <v>625</v>
      </c>
      <c r="CD343">
        <v>111206</v>
      </c>
      <c r="CE343" t="s">
        <v>346</v>
      </c>
      <c r="CF343" s="11">
        <v>0</v>
      </c>
      <c r="CG343" s="9" t="str">
        <f>_xll.SNL.Clients.Office.Excel.Functions.SPG(CD343, "SP_COUNTRY_NAME")</f>
        <v>USA</v>
      </c>
      <c r="CL343" s="9" t="str">
        <f>_xll.SNL.Clients.Office.Excel.Functions.SPG(CI343, "SP_COUNTRY_NAME")</f>
        <v>#INVALID COMPANY ID</v>
      </c>
      <c r="CM343" t="s">
        <v>533</v>
      </c>
      <c r="CN343">
        <v>4377155</v>
      </c>
      <c r="CO343" t="s">
        <v>346</v>
      </c>
      <c r="CP343" s="11">
        <v>0</v>
      </c>
      <c r="CQ343" s="9" t="str">
        <f>_xll.SNL.Clients.Office.Excel.Functions.SPG(CN343, "SP_COUNTRY_NAME")</f>
        <v>Belgium</v>
      </c>
      <c r="CV343" s="9" t="str">
        <f>_xll.SNL.Clients.Office.Excel.Functions.SPG(CS343, "SP_COUNTRY_NAME")</f>
        <v>#INVALID COMPANY ID</v>
      </c>
      <c r="DA343" s="9" t="str">
        <f>_xll.SNL.Clients.Office.Excel.Functions.SPG(CX343, "SP_COUNTRY_NAME")</f>
        <v>#INVALID COMPANY ID</v>
      </c>
      <c r="DB343" t="s">
        <v>1290</v>
      </c>
      <c r="DC343">
        <v>4275763</v>
      </c>
      <c r="DD343" t="s">
        <v>346</v>
      </c>
      <c r="DE343" s="11">
        <v>0</v>
      </c>
      <c r="DF343" s="9" t="str">
        <f>_xll.SNL.Clients.Office.Excel.Functions.SPG(DC343, "SP_COUNTRY_NAME")</f>
        <v>South Africa</v>
      </c>
      <c r="DK343" s="9" t="str">
        <f>_xll.SNL.Clients.Office.Excel.Functions.SPG(DH343, "SP_COUNTRY_NAME")</f>
        <v>#INVALID COMPANY ID</v>
      </c>
      <c r="DL343" t="s">
        <v>1290</v>
      </c>
      <c r="DM343">
        <v>4275763</v>
      </c>
      <c r="DN343" t="s">
        <v>346</v>
      </c>
      <c r="DO343" s="11">
        <v>0</v>
      </c>
      <c r="DP343" s="9" t="str">
        <f>_xll.SNL.Clients.Office.Excel.Functions.SPG(DM343, "SP_COUNTRY_NAME")</f>
        <v>South Africa</v>
      </c>
      <c r="DU343" s="9" t="str">
        <f>_xll.SNL.Clients.Office.Excel.Functions.SPG(DR343, "SP_COUNTRY_NAME")</f>
        <v>#INVALID COMPANY ID</v>
      </c>
      <c r="DZ343" s="9" t="str">
        <f>_xll.SNL.Clients.Office.Excel.Functions.SPG(DW343, "SP_COUNTRY_NAME")</f>
        <v>#INVALID COMPANY ID</v>
      </c>
      <c r="EA343" t="s">
        <v>625</v>
      </c>
      <c r="EB343">
        <v>111206</v>
      </c>
      <c r="EC343" t="s">
        <v>346</v>
      </c>
      <c r="ED343" s="11">
        <v>0</v>
      </c>
      <c r="EE343" s="9" t="str">
        <f>_xll.SNL.Clients.Office.Excel.Functions.SPG(EB343, "SP_COUNTRY_NAME")</f>
        <v>USA</v>
      </c>
      <c r="EF343" t="s">
        <v>1290</v>
      </c>
      <c r="EG343">
        <v>4275763</v>
      </c>
      <c r="EH343" t="s">
        <v>346</v>
      </c>
      <c r="EI343" s="11">
        <v>0</v>
      </c>
      <c r="EJ343" s="9" t="str">
        <f>_xll.SNL.Clients.Office.Excel.Functions.SPG(EG343, "SP_COUNTRY_NAME")</f>
        <v>South Africa</v>
      </c>
      <c r="EO343" s="9" t="str">
        <f>_xll.SNL.Clients.Office.Excel.Functions.SPG(EL343, "SP_COUNTRY_NAME")</f>
        <v>#INVALID COMPANY ID</v>
      </c>
      <c r="ET343" s="9" t="str">
        <f>_xll.SNL.Clients.Office.Excel.Functions.SPG(EQ343, "SP_COUNTRY_NAME")</f>
        <v>#INVALID COMPANY ID</v>
      </c>
      <c r="EY343" s="9" t="str">
        <f>_xll.SNL.Clients.Office.Excel.Functions.SPG(EV343, "SP_COUNTRY_NAME")</f>
        <v>#INVALID COMPANY ID</v>
      </c>
      <c r="FD343" s="9" t="str">
        <f>_xll.SNL.Clients.Office.Excel.Functions.SPG(FA343, "SP_COUNTRY_NAME")</f>
        <v>#INVALID COMPANY ID</v>
      </c>
      <c r="FI343" s="9" t="str">
        <f>_xll.SNL.Clients.Office.Excel.Functions.SPG(FF343, "SP_COUNTRY_NAME")</f>
        <v>#INVALID COMPANY ID</v>
      </c>
      <c r="FN343" s="9" t="str">
        <f>_xll.SNL.Clients.Office.Excel.Functions.SPG(FK343, "SP_COUNTRY_NAME")</f>
        <v>#INVALID COMPANY ID</v>
      </c>
      <c r="FS343" s="9" t="str">
        <f>_xll.SNL.Clients.Office.Excel.Functions.SPG(FP343, "SP_COUNTRY_NAME")</f>
        <v>#INVALID COMPANY ID</v>
      </c>
      <c r="FX343" s="9" t="str">
        <f>_xll.SNL.Clients.Office.Excel.Functions.SPG(FU343, "SP_COUNTRY_NAME")</f>
        <v>#INVALID COMPANY ID</v>
      </c>
      <c r="FY343" t="s">
        <v>1290</v>
      </c>
      <c r="FZ343">
        <v>4275763</v>
      </c>
      <c r="GA343" t="s">
        <v>346</v>
      </c>
      <c r="GB343" s="11">
        <v>0</v>
      </c>
      <c r="GC343" s="9" t="str">
        <f>_xll.SNL.Clients.Office.Excel.Functions.SPG(FZ343, "SP_COUNTRY_NAME")</f>
        <v>South Africa</v>
      </c>
      <c r="GH343" s="9" t="str">
        <f>_xll.SNL.Clients.Office.Excel.Functions.SPG(GE343, "SP_COUNTRY_NAME")</f>
        <v>#INVALID COMPANY ID</v>
      </c>
      <c r="GM343" s="9" t="str">
        <f>_xll.SNL.Clients.Office.Excel.Functions.SPG(GJ343, "SP_COUNTRY_NAME")</f>
        <v>#INVALID COMPANY ID</v>
      </c>
      <c r="GR343" s="9" t="str">
        <f>_xll.SNL.Clients.Office.Excel.Functions.SPG(GO343, "SP_COUNTRY_NAME")</f>
        <v>#INVALID COMPANY ID</v>
      </c>
      <c r="GS343" t="s">
        <v>420</v>
      </c>
      <c r="GT343">
        <v>19342220</v>
      </c>
      <c r="GU343" t="s">
        <v>346</v>
      </c>
      <c r="GV343" s="11">
        <v>0</v>
      </c>
      <c r="GW343" s="9" t="str">
        <f>_xll.SNL.Clients.Office.Excel.Functions.SPG(GT343, "SP_COUNTRY_NAME")</f>
        <v>USA</v>
      </c>
      <c r="GX343" t="s">
        <v>625</v>
      </c>
      <c r="GY343">
        <v>111206</v>
      </c>
      <c r="GZ343" t="s">
        <v>346</v>
      </c>
      <c r="HA343" s="11">
        <v>0</v>
      </c>
      <c r="HB343" s="9" t="str">
        <f>_xll.SNL.Clients.Office.Excel.Functions.SPG(GY343, "SP_COUNTRY_NAME")</f>
        <v>USA</v>
      </c>
      <c r="HG343" s="9" t="str">
        <f>_xll.SNL.Clients.Office.Excel.Functions.SPG(HD343, "SP_COUNTRY_NAME")</f>
        <v>#INVALID COMPANY ID</v>
      </c>
    </row>
    <row r="344" spans="5:215" x14ac:dyDescent="0.35">
      <c r="E344" s="9" t="str">
        <f>_xll.SNL.Clients.Office.Excel.Functions.SPG(B344, "SP_COUNTRY_NAME")</f>
        <v>#INVALID COMPANY ID</v>
      </c>
      <c r="J344" s="9" t="str">
        <f>_xll.SNL.Clients.Office.Excel.Functions.SPG(G344, "SP_COUNTRY_NAME")</f>
        <v>#INVALID COMPANY ID</v>
      </c>
      <c r="O344" s="9" t="str">
        <f>_xll.SNL.Clients.Office.Excel.Functions.SPG(L344, "SP_COUNTRY_NAME")</f>
        <v>#INVALID COMPANY ID</v>
      </c>
      <c r="T344" s="9" t="str">
        <f>_xll.SNL.Clients.Office.Excel.Functions.SPG(Q344, "SP_COUNTRY_NAME")</f>
        <v>#INVALID COMPANY ID</v>
      </c>
      <c r="U344" t="s">
        <v>888</v>
      </c>
      <c r="V344">
        <v>4248806</v>
      </c>
      <c r="W344" t="s">
        <v>346</v>
      </c>
      <c r="X344" s="11">
        <v>0</v>
      </c>
      <c r="Y344" s="9" t="str">
        <f>_xll.SNL.Clients.Office.Excel.Functions.SPG(V344, "SP_COUNTRY_NAME")</f>
        <v>Taiwan</v>
      </c>
      <c r="AD344" s="9" t="str">
        <f>_xll.SNL.Clients.Office.Excel.Functions.SPG(AA344, "SP_COUNTRY_NAME")</f>
        <v>#INVALID COMPANY ID</v>
      </c>
      <c r="AI344" s="9" t="str">
        <f>_xll.SNL.Clients.Office.Excel.Functions.SPG(AF344, "SP_COUNTRY_NAME")</f>
        <v>#INVALID COMPANY ID</v>
      </c>
      <c r="AN344" s="9" t="str">
        <f>_xll.SNL.Clients.Office.Excel.Functions.SPG(AK344, "SP_COUNTRY_NAME")</f>
        <v>#INVALID COMPANY ID</v>
      </c>
      <c r="AS344" s="9" t="str">
        <f>_xll.SNL.Clients.Office.Excel.Functions.SPG(AP344, "SP_COUNTRY_NAME")</f>
        <v>#INVALID COMPANY ID</v>
      </c>
      <c r="AX344" s="9" t="str">
        <f>_xll.SNL.Clients.Office.Excel.Functions.SPG(AU344, "SP_COUNTRY_NAME")</f>
        <v>#INVALID COMPANY ID</v>
      </c>
      <c r="BC344" s="9" t="str">
        <f>_xll.SNL.Clients.Office.Excel.Functions.SPG(AZ344, "SP_COUNTRY_NAME")</f>
        <v>#INVALID COMPANY ID</v>
      </c>
      <c r="BD344" t="s">
        <v>1498</v>
      </c>
      <c r="BE344">
        <v>7945673</v>
      </c>
      <c r="BF344" t="s">
        <v>346</v>
      </c>
      <c r="BG344" s="11">
        <v>0</v>
      </c>
      <c r="BH344" s="9" t="str">
        <f>_xll.SNL.Clients.Office.Excel.Functions.SPG(BE344, "SP_COUNTRY_NAME")</f>
        <v>South Africa</v>
      </c>
      <c r="BM344" s="9" t="str">
        <f>_xll.SNL.Clients.Office.Excel.Functions.SPG(BJ344, "SP_COUNTRY_NAME")</f>
        <v>#INVALID COMPANY ID</v>
      </c>
      <c r="BN344" t="s">
        <v>934</v>
      </c>
      <c r="BO344">
        <v>10533696</v>
      </c>
      <c r="BP344" t="s">
        <v>346</v>
      </c>
      <c r="BQ344" s="11">
        <v>0</v>
      </c>
      <c r="BR344" s="9" t="str">
        <f>_xll.SNL.Clients.Office.Excel.Functions.SPG(BO344, "SP_COUNTRY_NAME")</f>
        <v>Hong Kong</v>
      </c>
      <c r="BS344" t="s">
        <v>761</v>
      </c>
      <c r="BT344">
        <v>15102002</v>
      </c>
      <c r="BU344" t="s">
        <v>346</v>
      </c>
      <c r="BV344" s="11">
        <v>0</v>
      </c>
      <c r="BW344" s="9" t="str">
        <f>_xll.SNL.Clients.Office.Excel.Functions.SPG(BT344, "SP_COUNTRY_NAME")</f>
        <v>China</v>
      </c>
      <c r="BX344" t="s">
        <v>888</v>
      </c>
      <c r="BY344">
        <v>4248806</v>
      </c>
      <c r="BZ344" t="s">
        <v>346</v>
      </c>
      <c r="CA344" s="11">
        <v>0</v>
      </c>
      <c r="CB344" s="9" t="str">
        <f>_xll.SNL.Clients.Office.Excel.Functions.SPG(BY344, "SP_COUNTRY_NAME")</f>
        <v>Taiwan</v>
      </c>
      <c r="CC344" t="s">
        <v>1789</v>
      </c>
      <c r="CD344">
        <v>4320743</v>
      </c>
      <c r="CE344" t="s">
        <v>346</v>
      </c>
      <c r="CF344" s="11">
        <v>0</v>
      </c>
      <c r="CG344" s="9" t="str">
        <f>_xll.SNL.Clients.Office.Excel.Functions.SPG(CD344, "SP_COUNTRY_NAME")</f>
        <v>USA</v>
      </c>
      <c r="CL344" s="9" t="str">
        <f>_xll.SNL.Clients.Office.Excel.Functions.SPG(CI344, "SP_COUNTRY_NAME")</f>
        <v>#INVALID COMPANY ID</v>
      </c>
      <c r="CM344" t="s">
        <v>2047</v>
      </c>
      <c r="CN344">
        <v>100423759</v>
      </c>
      <c r="CO344" t="s">
        <v>346</v>
      </c>
      <c r="CP344" s="11">
        <v>0</v>
      </c>
      <c r="CQ344" s="9" t="str">
        <f>_xll.SNL.Clients.Office.Excel.Functions.SPG(CN344, "SP_COUNTRY_NAME")</f>
        <v>USA</v>
      </c>
      <c r="CV344" s="9" t="str">
        <f>_xll.SNL.Clients.Office.Excel.Functions.SPG(CS344, "SP_COUNTRY_NAME")</f>
        <v>#INVALID COMPANY ID</v>
      </c>
      <c r="DA344" s="9" t="str">
        <f>_xll.SNL.Clients.Office.Excel.Functions.SPG(CX344, "SP_COUNTRY_NAME")</f>
        <v>#INVALID COMPANY ID</v>
      </c>
      <c r="DB344" t="s">
        <v>1498</v>
      </c>
      <c r="DC344">
        <v>7945673</v>
      </c>
      <c r="DD344" t="s">
        <v>346</v>
      </c>
      <c r="DE344" s="11">
        <v>0</v>
      </c>
      <c r="DF344" s="9" t="str">
        <f>_xll.SNL.Clients.Office.Excel.Functions.SPG(DC344, "SP_COUNTRY_NAME")</f>
        <v>South Africa</v>
      </c>
      <c r="DK344" s="9" t="str">
        <f>_xll.SNL.Clients.Office.Excel.Functions.SPG(DH344, "SP_COUNTRY_NAME")</f>
        <v>#INVALID COMPANY ID</v>
      </c>
      <c r="DL344" t="s">
        <v>1498</v>
      </c>
      <c r="DM344">
        <v>7945673</v>
      </c>
      <c r="DN344" t="s">
        <v>346</v>
      </c>
      <c r="DO344" s="11">
        <v>0</v>
      </c>
      <c r="DP344" s="9" t="str">
        <f>_xll.SNL.Clients.Office.Excel.Functions.SPG(DM344, "SP_COUNTRY_NAME")</f>
        <v>South Africa</v>
      </c>
      <c r="DU344" s="9" t="str">
        <f>_xll.SNL.Clients.Office.Excel.Functions.SPG(DR344, "SP_COUNTRY_NAME")</f>
        <v>#INVALID COMPANY ID</v>
      </c>
      <c r="DZ344" s="9" t="str">
        <f>_xll.SNL.Clients.Office.Excel.Functions.SPG(DW344, "SP_COUNTRY_NAME")</f>
        <v>#INVALID COMPANY ID</v>
      </c>
      <c r="EA344" t="s">
        <v>1789</v>
      </c>
      <c r="EB344">
        <v>4320743</v>
      </c>
      <c r="EC344" t="s">
        <v>346</v>
      </c>
      <c r="ED344" s="11">
        <v>0</v>
      </c>
      <c r="EE344" s="9" t="str">
        <f>_xll.SNL.Clients.Office.Excel.Functions.SPG(EB344, "SP_COUNTRY_NAME")</f>
        <v>USA</v>
      </c>
      <c r="EF344" t="s">
        <v>1498</v>
      </c>
      <c r="EG344">
        <v>7945673</v>
      </c>
      <c r="EH344" t="s">
        <v>346</v>
      </c>
      <c r="EI344" s="11">
        <v>0</v>
      </c>
      <c r="EJ344" s="9" t="str">
        <f>_xll.SNL.Clients.Office.Excel.Functions.SPG(EG344, "SP_COUNTRY_NAME")</f>
        <v>South Africa</v>
      </c>
      <c r="EO344" s="9" t="str">
        <f>_xll.SNL.Clients.Office.Excel.Functions.SPG(EL344, "SP_COUNTRY_NAME")</f>
        <v>#INVALID COMPANY ID</v>
      </c>
      <c r="ET344" s="9" t="str">
        <f>_xll.SNL.Clients.Office.Excel.Functions.SPG(EQ344, "SP_COUNTRY_NAME")</f>
        <v>#INVALID COMPANY ID</v>
      </c>
      <c r="EY344" s="9" t="str">
        <f>_xll.SNL.Clients.Office.Excel.Functions.SPG(EV344, "SP_COUNTRY_NAME")</f>
        <v>#INVALID COMPANY ID</v>
      </c>
      <c r="FD344" s="9" t="str">
        <f>_xll.SNL.Clients.Office.Excel.Functions.SPG(FA344, "SP_COUNTRY_NAME")</f>
        <v>#INVALID COMPANY ID</v>
      </c>
      <c r="FI344" s="9" t="str">
        <f>_xll.SNL.Clients.Office.Excel.Functions.SPG(FF344, "SP_COUNTRY_NAME")</f>
        <v>#INVALID COMPANY ID</v>
      </c>
      <c r="FN344" s="9" t="str">
        <f>_xll.SNL.Clients.Office.Excel.Functions.SPG(FK344, "SP_COUNTRY_NAME")</f>
        <v>#INVALID COMPANY ID</v>
      </c>
      <c r="FS344" s="9" t="str">
        <f>_xll.SNL.Clients.Office.Excel.Functions.SPG(FP344, "SP_COUNTRY_NAME")</f>
        <v>#INVALID COMPANY ID</v>
      </c>
      <c r="FX344" s="9" t="str">
        <f>_xll.SNL.Clients.Office.Excel.Functions.SPG(FU344, "SP_COUNTRY_NAME")</f>
        <v>#INVALID COMPANY ID</v>
      </c>
      <c r="FY344" t="s">
        <v>1498</v>
      </c>
      <c r="FZ344">
        <v>7945673</v>
      </c>
      <c r="GA344" t="s">
        <v>346</v>
      </c>
      <c r="GB344" s="11">
        <v>0</v>
      </c>
      <c r="GC344" s="9" t="str">
        <f>_xll.SNL.Clients.Office.Excel.Functions.SPG(FZ344, "SP_COUNTRY_NAME")</f>
        <v>South Africa</v>
      </c>
      <c r="GH344" s="9" t="str">
        <f>_xll.SNL.Clients.Office.Excel.Functions.SPG(GE344, "SP_COUNTRY_NAME")</f>
        <v>#INVALID COMPANY ID</v>
      </c>
      <c r="GM344" s="9" t="str">
        <f>_xll.SNL.Clients.Office.Excel.Functions.SPG(GJ344, "SP_COUNTRY_NAME")</f>
        <v>#INVALID COMPANY ID</v>
      </c>
      <c r="GR344" s="9" t="str">
        <f>_xll.SNL.Clients.Office.Excel.Functions.SPG(GO344, "SP_COUNTRY_NAME")</f>
        <v>#INVALID COMPANY ID</v>
      </c>
      <c r="GS344" t="s">
        <v>934</v>
      </c>
      <c r="GT344">
        <v>10533696</v>
      </c>
      <c r="GU344" t="s">
        <v>346</v>
      </c>
      <c r="GV344" s="11">
        <v>0</v>
      </c>
      <c r="GW344" s="9" t="str">
        <f>_xll.SNL.Clients.Office.Excel.Functions.SPG(GT344, "SP_COUNTRY_NAME")</f>
        <v>Hong Kong</v>
      </c>
      <c r="GX344" t="s">
        <v>1789</v>
      </c>
      <c r="GY344">
        <v>4320743</v>
      </c>
      <c r="GZ344" t="s">
        <v>346</v>
      </c>
      <c r="HA344" s="11">
        <v>0</v>
      </c>
      <c r="HB344" s="9" t="str">
        <f>_xll.SNL.Clients.Office.Excel.Functions.SPG(GY344, "SP_COUNTRY_NAME")</f>
        <v>USA</v>
      </c>
      <c r="HG344" s="9" t="str">
        <f>_xll.SNL.Clients.Office.Excel.Functions.SPG(HD344, "SP_COUNTRY_NAME")</f>
        <v>#INVALID COMPANY ID</v>
      </c>
    </row>
    <row r="345" spans="5:215" x14ac:dyDescent="0.35">
      <c r="E345" s="9" t="str">
        <f>_xll.SNL.Clients.Office.Excel.Functions.SPG(B345, "SP_COUNTRY_NAME")</f>
        <v>#INVALID COMPANY ID</v>
      </c>
      <c r="J345" s="9" t="str">
        <f>_xll.SNL.Clients.Office.Excel.Functions.SPG(G345, "SP_COUNTRY_NAME")</f>
        <v>#INVALID COMPANY ID</v>
      </c>
      <c r="O345" s="9" t="str">
        <f>_xll.SNL.Clients.Office.Excel.Functions.SPG(L345, "SP_COUNTRY_NAME")</f>
        <v>#INVALID COMPANY ID</v>
      </c>
      <c r="T345" s="9" t="str">
        <f>_xll.SNL.Clients.Office.Excel.Functions.SPG(Q345, "SP_COUNTRY_NAME")</f>
        <v>#INVALID COMPANY ID</v>
      </c>
      <c r="U345" t="s">
        <v>889</v>
      </c>
      <c r="V345">
        <v>4213180</v>
      </c>
      <c r="W345" t="s">
        <v>346</v>
      </c>
      <c r="X345" s="11">
        <v>0</v>
      </c>
      <c r="Y345" s="9" t="str">
        <f>_xll.SNL.Clients.Office.Excel.Functions.SPG(V345, "SP_COUNTRY_NAME")</f>
        <v>Hong Kong</v>
      </c>
      <c r="AD345" s="9" t="str">
        <f>_xll.SNL.Clients.Office.Excel.Functions.SPG(AA345, "SP_COUNTRY_NAME")</f>
        <v>#INVALID COMPANY ID</v>
      </c>
      <c r="AI345" s="9" t="str">
        <f>_xll.SNL.Clients.Office.Excel.Functions.SPG(AF345, "SP_COUNTRY_NAME")</f>
        <v>#INVALID COMPANY ID</v>
      </c>
      <c r="AN345" s="9" t="str">
        <f>_xll.SNL.Clients.Office.Excel.Functions.SPG(AK345, "SP_COUNTRY_NAME")</f>
        <v>#INVALID COMPANY ID</v>
      </c>
      <c r="AS345" s="9" t="str">
        <f>_xll.SNL.Clients.Office.Excel.Functions.SPG(AP345, "SP_COUNTRY_NAME")</f>
        <v>#INVALID COMPANY ID</v>
      </c>
      <c r="AX345" s="9" t="str">
        <f>_xll.SNL.Clients.Office.Excel.Functions.SPG(AU345, "SP_COUNTRY_NAME")</f>
        <v>#INVALID COMPANY ID</v>
      </c>
      <c r="BC345" s="9" t="str">
        <f>_xll.SNL.Clients.Office.Excel.Functions.SPG(AZ345, "SP_COUNTRY_NAME")</f>
        <v>#INVALID COMPANY ID</v>
      </c>
      <c r="BD345" t="s">
        <v>522</v>
      </c>
      <c r="BE345">
        <v>4118373</v>
      </c>
      <c r="BF345" t="s">
        <v>346</v>
      </c>
      <c r="BG345" s="11">
        <v>0</v>
      </c>
      <c r="BH345" s="9" t="str">
        <f>_xll.SNL.Clients.Office.Excel.Functions.SPG(BE345, "SP_COUNTRY_NAME")</f>
        <v>USA</v>
      </c>
      <c r="BM345" s="9" t="str">
        <f>_xll.SNL.Clients.Office.Excel.Functions.SPG(BJ345, "SP_COUNTRY_NAME")</f>
        <v>#INVALID COMPANY ID</v>
      </c>
      <c r="BN345" t="s">
        <v>937</v>
      </c>
      <c r="BO345">
        <v>4041896</v>
      </c>
      <c r="BP345" t="s">
        <v>366</v>
      </c>
      <c r="BQ345" s="11">
        <v>-0.06</v>
      </c>
      <c r="BR345" s="9" t="str">
        <f>_xll.SNL.Clients.Office.Excel.Functions.SPG(BO345, "SP_COUNTRY_NAME")</f>
        <v>USA</v>
      </c>
      <c r="BS345" t="s">
        <v>816</v>
      </c>
      <c r="BT345">
        <v>4187337</v>
      </c>
      <c r="BU345" t="s">
        <v>364</v>
      </c>
      <c r="BV345" s="11">
        <v>0</v>
      </c>
      <c r="BW345" s="9" t="str">
        <f>_xll.SNL.Clients.Office.Excel.Functions.SPG(BT345, "SP_COUNTRY_NAME")</f>
        <v>Spain</v>
      </c>
      <c r="BX345" t="s">
        <v>889</v>
      </c>
      <c r="BY345">
        <v>4213180</v>
      </c>
      <c r="BZ345" t="s">
        <v>346</v>
      </c>
      <c r="CA345" s="11">
        <v>0</v>
      </c>
      <c r="CB345" s="9" t="str">
        <f>_xll.SNL.Clients.Office.Excel.Functions.SPG(BY345, "SP_COUNTRY_NAME")</f>
        <v>Hong Kong</v>
      </c>
      <c r="CC345" t="s">
        <v>1066</v>
      </c>
      <c r="CD345">
        <v>4304962</v>
      </c>
      <c r="CE345" t="s">
        <v>346</v>
      </c>
      <c r="CF345" s="11">
        <v>0</v>
      </c>
      <c r="CG345" s="9" t="str">
        <f>_xll.SNL.Clients.Office.Excel.Functions.SPG(CD345, "SP_COUNTRY_NAME")</f>
        <v>France</v>
      </c>
      <c r="CL345" s="9" t="str">
        <f>_xll.SNL.Clients.Office.Excel.Functions.SPG(CI345, "SP_COUNTRY_NAME")</f>
        <v>#INVALID COMPANY ID</v>
      </c>
      <c r="CM345" t="s">
        <v>419</v>
      </c>
      <c r="CN345">
        <v>4338202</v>
      </c>
      <c r="CO345" t="s">
        <v>346</v>
      </c>
      <c r="CP345" s="11">
        <v>0</v>
      </c>
      <c r="CQ345" s="9" t="str">
        <f>_xll.SNL.Clients.Office.Excel.Functions.SPG(CN345, "SP_COUNTRY_NAME")</f>
        <v>USA</v>
      </c>
      <c r="CV345" s="9" t="str">
        <f>_xll.SNL.Clients.Office.Excel.Functions.SPG(CS345, "SP_COUNTRY_NAME")</f>
        <v>#INVALID COMPANY ID</v>
      </c>
      <c r="DA345" s="9" t="str">
        <f>_xll.SNL.Clients.Office.Excel.Functions.SPG(CX345, "SP_COUNTRY_NAME")</f>
        <v>#INVALID COMPANY ID</v>
      </c>
      <c r="DB345" t="s">
        <v>522</v>
      </c>
      <c r="DC345">
        <v>4118373</v>
      </c>
      <c r="DD345" t="s">
        <v>346</v>
      </c>
      <c r="DE345" s="11">
        <v>0</v>
      </c>
      <c r="DF345" s="9" t="str">
        <f>_xll.SNL.Clients.Office.Excel.Functions.SPG(DC345, "SP_COUNTRY_NAME")</f>
        <v>USA</v>
      </c>
      <c r="DK345" s="9" t="str">
        <f>_xll.SNL.Clients.Office.Excel.Functions.SPG(DH345, "SP_COUNTRY_NAME")</f>
        <v>#INVALID COMPANY ID</v>
      </c>
      <c r="DL345" t="s">
        <v>522</v>
      </c>
      <c r="DM345">
        <v>4118373</v>
      </c>
      <c r="DN345" t="s">
        <v>346</v>
      </c>
      <c r="DO345" s="11">
        <v>0</v>
      </c>
      <c r="DP345" s="9" t="str">
        <f>_xll.SNL.Clients.Office.Excel.Functions.SPG(DM345, "SP_COUNTRY_NAME")</f>
        <v>USA</v>
      </c>
      <c r="DU345" s="9" t="str">
        <f>_xll.SNL.Clients.Office.Excel.Functions.SPG(DR345, "SP_COUNTRY_NAME")</f>
        <v>#INVALID COMPANY ID</v>
      </c>
      <c r="DZ345" s="9" t="str">
        <f>_xll.SNL.Clients.Office.Excel.Functions.SPG(DW345, "SP_COUNTRY_NAME")</f>
        <v>#INVALID COMPANY ID</v>
      </c>
      <c r="EA345" t="s">
        <v>1066</v>
      </c>
      <c r="EB345">
        <v>4304962</v>
      </c>
      <c r="EC345" t="s">
        <v>346</v>
      </c>
      <c r="ED345" s="11">
        <v>0</v>
      </c>
      <c r="EE345" s="9" t="str">
        <f>_xll.SNL.Clients.Office.Excel.Functions.SPG(EB345, "SP_COUNTRY_NAME")</f>
        <v>France</v>
      </c>
      <c r="EF345" t="s">
        <v>522</v>
      </c>
      <c r="EG345">
        <v>4118373</v>
      </c>
      <c r="EH345" t="s">
        <v>346</v>
      </c>
      <c r="EI345" s="11">
        <v>0</v>
      </c>
      <c r="EJ345" s="9" t="str">
        <f>_xll.SNL.Clients.Office.Excel.Functions.SPG(EG345, "SP_COUNTRY_NAME")</f>
        <v>USA</v>
      </c>
      <c r="EO345" s="9" t="str">
        <f>_xll.SNL.Clients.Office.Excel.Functions.SPG(EL345, "SP_COUNTRY_NAME")</f>
        <v>#INVALID COMPANY ID</v>
      </c>
      <c r="ET345" s="9" t="str">
        <f>_xll.SNL.Clients.Office.Excel.Functions.SPG(EQ345, "SP_COUNTRY_NAME")</f>
        <v>#INVALID COMPANY ID</v>
      </c>
      <c r="EY345" s="9" t="str">
        <f>_xll.SNL.Clients.Office.Excel.Functions.SPG(EV345, "SP_COUNTRY_NAME")</f>
        <v>#INVALID COMPANY ID</v>
      </c>
      <c r="FD345" s="9" t="str">
        <f>_xll.SNL.Clients.Office.Excel.Functions.SPG(FA345, "SP_COUNTRY_NAME")</f>
        <v>#INVALID COMPANY ID</v>
      </c>
      <c r="FI345" s="9" t="str">
        <f>_xll.SNL.Clients.Office.Excel.Functions.SPG(FF345, "SP_COUNTRY_NAME")</f>
        <v>#INVALID COMPANY ID</v>
      </c>
      <c r="FN345" s="9" t="str">
        <f>_xll.SNL.Clients.Office.Excel.Functions.SPG(FK345, "SP_COUNTRY_NAME")</f>
        <v>#INVALID COMPANY ID</v>
      </c>
      <c r="FS345" s="9" t="str">
        <f>_xll.SNL.Clients.Office.Excel.Functions.SPG(FP345, "SP_COUNTRY_NAME")</f>
        <v>#INVALID COMPANY ID</v>
      </c>
      <c r="FX345" s="9" t="str">
        <f>_xll.SNL.Clients.Office.Excel.Functions.SPG(FU345, "SP_COUNTRY_NAME")</f>
        <v>#INVALID COMPANY ID</v>
      </c>
      <c r="FY345" t="s">
        <v>522</v>
      </c>
      <c r="FZ345">
        <v>4118373</v>
      </c>
      <c r="GA345" t="s">
        <v>346</v>
      </c>
      <c r="GB345" s="11">
        <v>0</v>
      </c>
      <c r="GC345" s="9" t="str">
        <f>_xll.SNL.Clients.Office.Excel.Functions.SPG(FZ345, "SP_COUNTRY_NAME")</f>
        <v>USA</v>
      </c>
      <c r="GH345" s="9" t="str">
        <f>_xll.SNL.Clients.Office.Excel.Functions.SPG(GE345, "SP_COUNTRY_NAME")</f>
        <v>#INVALID COMPANY ID</v>
      </c>
      <c r="GM345" s="9" t="str">
        <f>_xll.SNL.Clients.Office.Excel.Functions.SPG(GJ345, "SP_COUNTRY_NAME")</f>
        <v>#INVALID COMPANY ID</v>
      </c>
      <c r="GR345" s="9" t="str">
        <f>_xll.SNL.Clients.Office.Excel.Functions.SPG(GO345, "SP_COUNTRY_NAME")</f>
        <v>#INVALID COMPANY ID</v>
      </c>
      <c r="GS345" t="s">
        <v>937</v>
      </c>
      <c r="GT345">
        <v>4041896</v>
      </c>
      <c r="GU345" t="s">
        <v>366</v>
      </c>
      <c r="GV345" s="11">
        <v>-0.06</v>
      </c>
      <c r="GW345" s="9" t="str">
        <f>_xll.SNL.Clients.Office.Excel.Functions.SPG(GT345, "SP_COUNTRY_NAME")</f>
        <v>USA</v>
      </c>
      <c r="GX345" t="s">
        <v>1066</v>
      </c>
      <c r="GY345">
        <v>4304962</v>
      </c>
      <c r="GZ345" t="s">
        <v>346</v>
      </c>
      <c r="HA345" s="11">
        <v>0</v>
      </c>
      <c r="HB345" s="9" t="str">
        <f>_xll.SNL.Clients.Office.Excel.Functions.SPG(GY345, "SP_COUNTRY_NAME")</f>
        <v>France</v>
      </c>
      <c r="HG345" s="9" t="str">
        <f>_xll.SNL.Clients.Office.Excel.Functions.SPG(HD345, "SP_COUNTRY_NAME")</f>
        <v>#INVALID COMPANY ID</v>
      </c>
    </row>
    <row r="346" spans="5:215" x14ac:dyDescent="0.35">
      <c r="E346" s="9" t="str">
        <f>_xll.SNL.Clients.Office.Excel.Functions.SPG(B346, "SP_COUNTRY_NAME")</f>
        <v>#INVALID COMPANY ID</v>
      </c>
      <c r="J346" s="9" t="str">
        <f>_xll.SNL.Clients.Office.Excel.Functions.SPG(G346, "SP_COUNTRY_NAME")</f>
        <v>#INVALID COMPANY ID</v>
      </c>
      <c r="O346" s="9" t="str">
        <f>_xll.SNL.Clients.Office.Excel.Functions.SPG(L346, "SP_COUNTRY_NAME")</f>
        <v>#INVALID COMPANY ID</v>
      </c>
      <c r="T346" s="9" t="str">
        <f>_xll.SNL.Clients.Office.Excel.Functions.SPG(Q346, "SP_COUNTRY_NAME")</f>
        <v>#INVALID COMPANY ID</v>
      </c>
      <c r="U346" t="s">
        <v>390</v>
      </c>
      <c r="V346">
        <v>4135241</v>
      </c>
      <c r="W346" t="s">
        <v>346</v>
      </c>
      <c r="X346" s="11">
        <v>0</v>
      </c>
      <c r="Y346" s="9" t="str">
        <f>_xll.SNL.Clients.Office.Excel.Functions.SPG(V346, "SP_COUNTRY_NAME")</f>
        <v>Australia</v>
      </c>
      <c r="AD346" s="9" t="str">
        <f>_xll.SNL.Clients.Office.Excel.Functions.SPG(AA346, "SP_COUNTRY_NAME")</f>
        <v>#INVALID COMPANY ID</v>
      </c>
      <c r="AI346" s="9" t="str">
        <f>_xll.SNL.Clients.Office.Excel.Functions.SPG(AF346, "SP_COUNTRY_NAME")</f>
        <v>#INVALID COMPANY ID</v>
      </c>
      <c r="AN346" s="9" t="str">
        <f>_xll.SNL.Clients.Office.Excel.Functions.SPG(AK346, "SP_COUNTRY_NAME")</f>
        <v>#INVALID COMPANY ID</v>
      </c>
      <c r="AS346" s="9" t="str">
        <f>_xll.SNL.Clients.Office.Excel.Functions.SPG(AP346, "SP_COUNTRY_NAME")</f>
        <v>#INVALID COMPANY ID</v>
      </c>
      <c r="AX346" s="9" t="str">
        <f>_xll.SNL.Clients.Office.Excel.Functions.SPG(AU346, "SP_COUNTRY_NAME")</f>
        <v>#INVALID COMPANY ID</v>
      </c>
      <c r="BC346" s="9" t="str">
        <f>_xll.SNL.Clients.Office.Excel.Functions.SPG(AZ346, "SP_COUNTRY_NAME")</f>
        <v>#INVALID COMPANY ID</v>
      </c>
      <c r="BD346" t="s">
        <v>1278</v>
      </c>
      <c r="BE346">
        <v>7496233</v>
      </c>
      <c r="BF346" t="s">
        <v>346</v>
      </c>
      <c r="BG346" s="11">
        <v>0</v>
      </c>
      <c r="BH346" s="9" t="str">
        <f>_xll.SNL.Clients.Office.Excel.Functions.SPG(BE346, "SP_COUNTRY_NAME")</f>
        <v>South Africa</v>
      </c>
      <c r="BM346" s="9" t="str">
        <f>_xll.SNL.Clients.Office.Excel.Functions.SPG(BJ346, "SP_COUNTRY_NAME")</f>
        <v>#INVALID COMPANY ID</v>
      </c>
      <c r="BR346" s="9" t="str">
        <f>_xll.SNL.Clients.Office.Excel.Functions.SPG(BO346, "SP_COUNTRY_NAME")</f>
        <v>#INVALID COMPANY ID</v>
      </c>
      <c r="BS346" t="s">
        <v>455</v>
      </c>
      <c r="BT346">
        <v>4119538</v>
      </c>
      <c r="BU346" t="s">
        <v>364</v>
      </c>
      <c r="BV346" s="11">
        <v>0</v>
      </c>
      <c r="BW346" s="9" t="str">
        <f>_xll.SNL.Clients.Office.Excel.Functions.SPG(BT346, "SP_COUNTRY_NAME")</f>
        <v>USA</v>
      </c>
      <c r="BX346" t="s">
        <v>390</v>
      </c>
      <c r="BY346">
        <v>4135241</v>
      </c>
      <c r="BZ346" t="s">
        <v>346</v>
      </c>
      <c r="CA346" s="11">
        <v>0</v>
      </c>
      <c r="CB346" s="9" t="str">
        <f>_xll.SNL.Clients.Office.Excel.Functions.SPG(BY346, "SP_COUNTRY_NAME")</f>
        <v>Australia</v>
      </c>
      <c r="CC346" t="s">
        <v>443</v>
      </c>
      <c r="CD346">
        <v>110787</v>
      </c>
      <c r="CE346" t="s">
        <v>346</v>
      </c>
      <c r="CF346" s="11">
        <v>0</v>
      </c>
      <c r="CG346" s="9" t="str">
        <f>_xll.SNL.Clients.Office.Excel.Functions.SPG(CD346, "SP_COUNTRY_NAME")</f>
        <v>USA</v>
      </c>
      <c r="CL346" s="9" t="str">
        <f>_xll.SNL.Clients.Office.Excel.Functions.SPG(CI346, "SP_COUNTRY_NAME")</f>
        <v>#INVALID COMPANY ID</v>
      </c>
      <c r="CM346" t="s">
        <v>1752</v>
      </c>
      <c r="CN346">
        <v>4026737</v>
      </c>
      <c r="CO346" t="s">
        <v>346</v>
      </c>
      <c r="CP346" s="11">
        <v>0</v>
      </c>
      <c r="CQ346" s="9" t="str">
        <f>_xll.SNL.Clients.Office.Excel.Functions.SPG(CN346, "SP_COUNTRY_NAME")</f>
        <v>USA</v>
      </c>
      <c r="CV346" s="9" t="str">
        <f>_xll.SNL.Clients.Office.Excel.Functions.SPG(CS346, "SP_COUNTRY_NAME")</f>
        <v>#INVALID COMPANY ID</v>
      </c>
      <c r="DA346" s="9" t="str">
        <f>_xll.SNL.Clients.Office.Excel.Functions.SPG(CX346, "SP_COUNTRY_NAME")</f>
        <v>#INVALID COMPANY ID</v>
      </c>
      <c r="DB346" t="s">
        <v>1278</v>
      </c>
      <c r="DC346">
        <v>7496233</v>
      </c>
      <c r="DD346" t="s">
        <v>346</v>
      </c>
      <c r="DE346" s="11">
        <v>0</v>
      </c>
      <c r="DF346" s="9" t="str">
        <f>_xll.SNL.Clients.Office.Excel.Functions.SPG(DC346, "SP_COUNTRY_NAME")</f>
        <v>South Africa</v>
      </c>
      <c r="DK346" s="9" t="str">
        <f>_xll.SNL.Clients.Office.Excel.Functions.SPG(DH346, "SP_COUNTRY_NAME")</f>
        <v>#INVALID COMPANY ID</v>
      </c>
      <c r="DL346" t="s">
        <v>1278</v>
      </c>
      <c r="DM346">
        <v>7496233</v>
      </c>
      <c r="DN346" t="s">
        <v>346</v>
      </c>
      <c r="DO346" s="11">
        <v>0</v>
      </c>
      <c r="DP346" s="9" t="str">
        <f>_xll.SNL.Clients.Office.Excel.Functions.SPG(DM346, "SP_COUNTRY_NAME")</f>
        <v>South Africa</v>
      </c>
      <c r="DU346" s="9" t="str">
        <f>_xll.SNL.Clients.Office.Excel.Functions.SPG(DR346, "SP_COUNTRY_NAME")</f>
        <v>#INVALID COMPANY ID</v>
      </c>
      <c r="DZ346" s="9" t="str">
        <f>_xll.SNL.Clients.Office.Excel.Functions.SPG(DW346, "SP_COUNTRY_NAME")</f>
        <v>#INVALID COMPANY ID</v>
      </c>
      <c r="EA346" t="s">
        <v>443</v>
      </c>
      <c r="EB346">
        <v>110787</v>
      </c>
      <c r="EC346" t="s">
        <v>346</v>
      </c>
      <c r="ED346" s="11">
        <v>0</v>
      </c>
      <c r="EE346" s="9" t="str">
        <f>_xll.SNL.Clients.Office.Excel.Functions.SPG(EB346, "SP_COUNTRY_NAME")</f>
        <v>USA</v>
      </c>
      <c r="EF346" t="s">
        <v>1278</v>
      </c>
      <c r="EG346">
        <v>7496233</v>
      </c>
      <c r="EH346" t="s">
        <v>346</v>
      </c>
      <c r="EI346" s="11">
        <v>0</v>
      </c>
      <c r="EJ346" s="9" t="str">
        <f>_xll.SNL.Clients.Office.Excel.Functions.SPG(EG346, "SP_COUNTRY_NAME")</f>
        <v>South Africa</v>
      </c>
      <c r="EO346" s="9" t="str">
        <f>_xll.SNL.Clients.Office.Excel.Functions.SPG(EL346, "SP_COUNTRY_NAME")</f>
        <v>#INVALID COMPANY ID</v>
      </c>
      <c r="ET346" s="9" t="str">
        <f>_xll.SNL.Clients.Office.Excel.Functions.SPG(EQ346, "SP_COUNTRY_NAME")</f>
        <v>#INVALID COMPANY ID</v>
      </c>
      <c r="EY346" s="9" t="str">
        <f>_xll.SNL.Clients.Office.Excel.Functions.SPG(EV346, "SP_COUNTRY_NAME")</f>
        <v>#INVALID COMPANY ID</v>
      </c>
      <c r="FD346" s="9" t="str">
        <f>_xll.SNL.Clients.Office.Excel.Functions.SPG(FA346, "SP_COUNTRY_NAME")</f>
        <v>#INVALID COMPANY ID</v>
      </c>
      <c r="FI346" s="9" t="str">
        <f>_xll.SNL.Clients.Office.Excel.Functions.SPG(FF346, "SP_COUNTRY_NAME")</f>
        <v>#INVALID COMPANY ID</v>
      </c>
      <c r="FN346" s="9" t="str">
        <f>_xll.SNL.Clients.Office.Excel.Functions.SPG(FK346, "SP_COUNTRY_NAME")</f>
        <v>#INVALID COMPANY ID</v>
      </c>
      <c r="FS346" s="9" t="str">
        <f>_xll.SNL.Clients.Office.Excel.Functions.SPG(FP346, "SP_COUNTRY_NAME")</f>
        <v>#INVALID COMPANY ID</v>
      </c>
      <c r="FX346" s="9" t="str">
        <f>_xll.SNL.Clients.Office.Excel.Functions.SPG(FU346, "SP_COUNTRY_NAME")</f>
        <v>#INVALID COMPANY ID</v>
      </c>
      <c r="FY346" t="s">
        <v>1278</v>
      </c>
      <c r="FZ346">
        <v>7496233</v>
      </c>
      <c r="GA346" t="s">
        <v>346</v>
      </c>
      <c r="GB346" s="11">
        <v>0</v>
      </c>
      <c r="GC346" s="9" t="str">
        <f>_xll.SNL.Clients.Office.Excel.Functions.SPG(FZ346, "SP_COUNTRY_NAME")</f>
        <v>South Africa</v>
      </c>
      <c r="GH346" s="9" t="str">
        <f>_xll.SNL.Clients.Office.Excel.Functions.SPG(GE346, "SP_COUNTRY_NAME")</f>
        <v>#INVALID COMPANY ID</v>
      </c>
      <c r="GM346" s="9" t="str">
        <f>_xll.SNL.Clients.Office.Excel.Functions.SPG(GJ346, "SP_COUNTRY_NAME")</f>
        <v>#INVALID COMPANY ID</v>
      </c>
      <c r="GR346" s="9" t="str">
        <f>_xll.SNL.Clients.Office.Excel.Functions.SPG(GO346, "SP_COUNTRY_NAME")</f>
        <v>#INVALID COMPANY ID</v>
      </c>
      <c r="GW346" s="9" t="str">
        <f>_xll.SNL.Clients.Office.Excel.Functions.SPG(GT346, "SP_COUNTRY_NAME")</f>
        <v>#INVALID COMPANY ID</v>
      </c>
      <c r="GX346" t="s">
        <v>443</v>
      </c>
      <c r="GY346">
        <v>110787</v>
      </c>
      <c r="GZ346" t="s">
        <v>346</v>
      </c>
      <c r="HA346" s="11">
        <v>0</v>
      </c>
      <c r="HB346" s="9" t="str">
        <f>_xll.SNL.Clients.Office.Excel.Functions.SPG(GY346, "SP_COUNTRY_NAME")</f>
        <v>USA</v>
      </c>
      <c r="HG346" s="9" t="str">
        <f>_xll.SNL.Clients.Office.Excel.Functions.SPG(HD346, "SP_COUNTRY_NAME")</f>
        <v>#INVALID COMPANY ID</v>
      </c>
    </row>
    <row r="347" spans="5:215" x14ac:dyDescent="0.35">
      <c r="E347" s="9" t="str">
        <f>_xll.SNL.Clients.Office.Excel.Functions.SPG(B347, "SP_COUNTRY_NAME")</f>
        <v>#INVALID COMPANY ID</v>
      </c>
      <c r="J347" s="9" t="str">
        <f>_xll.SNL.Clients.Office.Excel.Functions.SPG(G347, "SP_COUNTRY_NAME")</f>
        <v>#INVALID COMPANY ID</v>
      </c>
      <c r="O347" s="9" t="str">
        <f>_xll.SNL.Clients.Office.Excel.Functions.SPG(L347, "SP_COUNTRY_NAME")</f>
        <v>#INVALID COMPANY ID</v>
      </c>
      <c r="T347" s="9" t="str">
        <f>_xll.SNL.Clients.Office.Excel.Functions.SPG(Q347, "SP_COUNTRY_NAME")</f>
        <v>#INVALID COMPANY ID</v>
      </c>
      <c r="U347" t="s">
        <v>890</v>
      </c>
      <c r="V347">
        <v>4260136</v>
      </c>
      <c r="W347" t="s">
        <v>346</v>
      </c>
      <c r="X347" s="11">
        <v>0</v>
      </c>
      <c r="Y347" s="9" t="str">
        <f>_xll.SNL.Clients.Office.Excel.Functions.SPG(V347, "SP_COUNTRY_NAME")</f>
        <v>France</v>
      </c>
      <c r="AD347" s="9" t="str">
        <f>_xll.SNL.Clients.Office.Excel.Functions.SPG(AA347, "SP_COUNTRY_NAME")</f>
        <v>#INVALID COMPANY ID</v>
      </c>
      <c r="AI347" s="9" t="str">
        <f>_xll.SNL.Clients.Office.Excel.Functions.SPG(AF347, "SP_COUNTRY_NAME")</f>
        <v>#INVALID COMPANY ID</v>
      </c>
      <c r="AN347" s="9" t="str">
        <f>_xll.SNL.Clients.Office.Excel.Functions.SPG(AK347, "SP_COUNTRY_NAME")</f>
        <v>#INVALID COMPANY ID</v>
      </c>
      <c r="AS347" s="9" t="str">
        <f>_xll.SNL.Clients.Office.Excel.Functions.SPG(AP347, "SP_COUNTRY_NAME")</f>
        <v>#INVALID COMPANY ID</v>
      </c>
      <c r="AX347" s="9" t="str">
        <f>_xll.SNL.Clients.Office.Excel.Functions.SPG(AU347, "SP_COUNTRY_NAME")</f>
        <v>#INVALID COMPANY ID</v>
      </c>
      <c r="BC347" s="9" t="str">
        <f>_xll.SNL.Clients.Office.Excel.Functions.SPG(AZ347, "SP_COUNTRY_NAME")</f>
        <v>#INVALID COMPANY ID</v>
      </c>
      <c r="BD347" t="s">
        <v>1359</v>
      </c>
      <c r="BE347">
        <v>4213188</v>
      </c>
      <c r="BF347" t="s">
        <v>346</v>
      </c>
      <c r="BG347" s="11">
        <v>0</v>
      </c>
      <c r="BH347" s="9" t="str">
        <f>_xll.SNL.Clients.Office.Excel.Functions.SPG(BE347, "SP_COUNTRY_NAME")</f>
        <v>South Africa</v>
      </c>
      <c r="BM347" s="9" t="str">
        <f>_xll.SNL.Clients.Office.Excel.Functions.SPG(BJ347, "SP_COUNTRY_NAME")</f>
        <v>#INVALID COMPANY ID</v>
      </c>
      <c r="BR347" s="9" t="str">
        <f>_xll.SNL.Clients.Office.Excel.Functions.SPG(BO347, "SP_COUNTRY_NAME")</f>
        <v>#INVALID COMPANY ID</v>
      </c>
      <c r="BS347" t="s">
        <v>579</v>
      </c>
      <c r="BT347">
        <v>5842097</v>
      </c>
      <c r="BU347" t="s">
        <v>346</v>
      </c>
      <c r="BV347" s="11">
        <v>0</v>
      </c>
      <c r="BW347" s="9" t="str">
        <f>_xll.SNL.Clients.Office.Excel.Functions.SPG(BT347, "SP_COUNTRY_NAME")</f>
        <v>Italy</v>
      </c>
      <c r="BX347" t="s">
        <v>890</v>
      </c>
      <c r="BY347">
        <v>4260136</v>
      </c>
      <c r="BZ347" t="s">
        <v>346</v>
      </c>
      <c r="CA347" s="11">
        <v>0</v>
      </c>
      <c r="CB347" s="9" t="str">
        <f>_xll.SNL.Clients.Office.Excel.Functions.SPG(BY347, "SP_COUNTRY_NAME")</f>
        <v>France</v>
      </c>
      <c r="CC347" t="s">
        <v>857</v>
      </c>
      <c r="CD347">
        <v>4262519</v>
      </c>
      <c r="CE347" t="s">
        <v>346</v>
      </c>
      <c r="CF347" s="11">
        <v>0</v>
      </c>
      <c r="CG347" s="9" t="str">
        <f>_xll.SNL.Clients.Office.Excel.Functions.SPG(CD347, "SP_COUNTRY_NAME")</f>
        <v>USA</v>
      </c>
      <c r="CL347" s="9" t="str">
        <f>_xll.SNL.Clients.Office.Excel.Functions.SPG(CI347, "SP_COUNTRY_NAME")</f>
        <v>#INVALID COMPANY ID</v>
      </c>
      <c r="CM347" t="s">
        <v>1325</v>
      </c>
      <c r="CN347">
        <v>5760145</v>
      </c>
      <c r="CO347" t="s">
        <v>346</v>
      </c>
      <c r="CP347" s="11">
        <v>0</v>
      </c>
      <c r="CQ347" s="9" t="str">
        <f>_xll.SNL.Clients.Office.Excel.Functions.SPG(CN347, "SP_COUNTRY_NAME")</f>
        <v>South Africa</v>
      </c>
      <c r="CV347" s="9" t="str">
        <f>_xll.SNL.Clients.Office.Excel.Functions.SPG(CS347, "SP_COUNTRY_NAME")</f>
        <v>#INVALID COMPANY ID</v>
      </c>
      <c r="DA347" s="9" t="str">
        <f>_xll.SNL.Clients.Office.Excel.Functions.SPG(CX347, "SP_COUNTRY_NAME")</f>
        <v>#INVALID COMPANY ID</v>
      </c>
      <c r="DB347" t="s">
        <v>1359</v>
      </c>
      <c r="DC347">
        <v>4213188</v>
      </c>
      <c r="DD347" t="s">
        <v>346</v>
      </c>
      <c r="DE347" s="11">
        <v>0</v>
      </c>
      <c r="DF347" s="9" t="str">
        <f>_xll.SNL.Clients.Office.Excel.Functions.SPG(DC347, "SP_COUNTRY_NAME")</f>
        <v>South Africa</v>
      </c>
      <c r="DK347" s="9" t="str">
        <f>_xll.SNL.Clients.Office.Excel.Functions.SPG(DH347, "SP_COUNTRY_NAME")</f>
        <v>#INVALID COMPANY ID</v>
      </c>
      <c r="DL347" t="s">
        <v>1359</v>
      </c>
      <c r="DM347">
        <v>4213188</v>
      </c>
      <c r="DN347" t="s">
        <v>346</v>
      </c>
      <c r="DO347" s="11">
        <v>0</v>
      </c>
      <c r="DP347" s="9" t="str">
        <f>_xll.SNL.Clients.Office.Excel.Functions.SPG(DM347, "SP_COUNTRY_NAME")</f>
        <v>South Africa</v>
      </c>
      <c r="DU347" s="9" t="str">
        <f>_xll.SNL.Clients.Office.Excel.Functions.SPG(DR347, "SP_COUNTRY_NAME")</f>
        <v>#INVALID COMPANY ID</v>
      </c>
      <c r="DZ347" s="9" t="str">
        <f>_xll.SNL.Clients.Office.Excel.Functions.SPG(DW347, "SP_COUNTRY_NAME")</f>
        <v>#INVALID COMPANY ID</v>
      </c>
      <c r="EA347" t="s">
        <v>857</v>
      </c>
      <c r="EB347">
        <v>4262519</v>
      </c>
      <c r="EC347" t="s">
        <v>346</v>
      </c>
      <c r="ED347" s="11">
        <v>0</v>
      </c>
      <c r="EE347" s="9" t="str">
        <f>_xll.SNL.Clients.Office.Excel.Functions.SPG(EB347, "SP_COUNTRY_NAME")</f>
        <v>USA</v>
      </c>
      <c r="EF347" t="s">
        <v>1359</v>
      </c>
      <c r="EG347">
        <v>4213188</v>
      </c>
      <c r="EH347" t="s">
        <v>346</v>
      </c>
      <c r="EI347" s="11">
        <v>0</v>
      </c>
      <c r="EJ347" s="9" t="str">
        <f>_xll.SNL.Clients.Office.Excel.Functions.SPG(EG347, "SP_COUNTRY_NAME")</f>
        <v>South Africa</v>
      </c>
      <c r="EO347" s="9" t="str">
        <f>_xll.SNL.Clients.Office.Excel.Functions.SPG(EL347, "SP_COUNTRY_NAME")</f>
        <v>#INVALID COMPANY ID</v>
      </c>
      <c r="ET347" s="9" t="str">
        <f>_xll.SNL.Clients.Office.Excel.Functions.SPG(EQ347, "SP_COUNTRY_NAME")</f>
        <v>#INVALID COMPANY ID</v>
      </c>
      <c r="EY347" s="9" t="str">
        <f>_xll.SNL.Clients.Office.Excel.Functions.SPG(EV347, "SP_COUNTRY_NAME")</f>
        <v>#INVALID COMPANY ID</v>
      </c>
      <c r="FD347" s="9" t="str">
        <f>_xll.SNL.Clients.Office.Excel.Functions.SPG(FA347, "SP_COUNTRY_NAME")</f>
        <v>#INVALID COMPANY ID</v>
      </c>
      <c r="FI347" s="9" t="str">
        <f>_xll.SNL.Clients.Office.Excel.Functions.SPG(FF347, "SP_COUNTRY_NAME")</f>
        <v>#INVALID COMPANY ID</v>
      </c>
      <c r="FN347" s="9" t="str">
        <f>_xll.SNL.Clients.Office.Excel.Functions.SPG(FK347, "SP_COUNTRY_NAME")</f>
        <v>#INVALID COMPANY ID</v>
      </c>
      <c r="FS347" s="9" t="str">
        <f>_xll.SNL.Clients.Office.Excel.Functions.SPG(FP347, "SP_COUNTRY_NAME")</f>
        <v>#INVALID COMPANY ID</v>
      </c>
      <c r="FX347" s="9" t="str">
        <f>_xll.SNL.Clients.Office.Excel.Functions.SPG(FU347, "SP_COUNTRY_NAME")</f>
        <v>#INVALID COMPANY ID</v>
      </c>
      <c r="FY347" t="s">
        <v>1359</v>
      </c>
      <c r="FZ347">
        <v>4213188</v>
      </c>
      <c r="GA347" t="s">
        <v>346</v>
      </c>
      <c r="GB347" s="11">
        <v>0</v>
      </c>
      <c r="GC347" s="9" t="str">
        <f>_xll.SNL.Clients.Office.Excel.Functions.SPG(FZ347, "SP_COUNTRY_NAME")</f>
        <v>South Africa</v>
      </c>
      <c r="GH347" s="9" t="str">
        <f>_xll.SNL.Clients.Office.Excel.Functions.SPG(GE347, "SP_COUNTRY_NAME")</f>
        <v>#INVALID COMPANY ID</v>
      </c>
      <c r="GM347" s="9" t="str">
        <f>_xll.SNL.Clients.Office.Excel.Functions.SPG(GJ347, "SP_COUNTRY_NAME")</f>
        <v>#INVALID COMPANY ID</v>
      </c>
      <c r="GR347" s="9" t="str">
        <f>_xll.SNL.Clients.Office.Excel.Functions.SPG(GO347, "SP_COUNTRY_NAME")</f>
        <v>#INVALID COMPANY ID</v>
      </c>
      <c r="GW347" s="9" t="str">
        <f>_xll.SNL.Clients.Office.Excel.Functions.SPG(GT347, "SP_COUNTRY_NAME")</f>
        <v>#INVALID COMPANY ID</v>
      </c>
      <c r="GX347" t="s">
        <v>857</v>
      </c>
      <c r="GY347">
        <v>4262519</v>
      </c>
      <c r="GZ347" t="s">
        <v>346</v>
      </c>
      <c r="HA347" s="11">
        <v>0</v>
      </c>
      <c r="HB347" s="9" t="str">
        <f>_xll.SNL.Clients.Office.Excel.Functions.SPG(GY347, "SP_COUNTRY_NAME")</f>
        <v>USA</v>
      </c>
      <c r="HG347" s="9" t="str">
        <f>_xll.SNL.Clients.Office.Excel.Functions.SPG(HD347, "SP_COUNTRY_NAME")</f>
        <v>#INVALID COMPANY ID</v>
      </c>
    </row>
    <row r="348" spans="5:215" x14ac:dyDescent="0.35">
      <c r="E348" s="9" t="str">
        <f>_xll.SNL.Clients.Office.Excel.Functions.SPG(B348, "SP_COUNTRY_NAME")</f>
        <v>#INVALID COMPANY ID</v>
      </c>
      <c r="J348" s="9" t="str">
        <f>_xll.SNL.Clients.Office.Excel.Functions.SPG(G348, "SP_COUNTRY_NAME")</f>
        <v>#INVALID COMPANY ID</v>
      </c>
      <c r="O348" s="9" t="str">
        <f>_xll.SNL.Clients.Office.Excel.Functions.SPG(L348, "SP_COUNTRY_NAME")</f>
        <v>#INVALID COMPANY ID</v>
      </c>
      <c r="T348" s="9" t="str">
        <f>_xll.SNL.Clients.Office.Excel.Functions.SPG(Q348, "SP_COUNTRY_NAME")</f>
        <v>#INVALID COMPANY ID</v>
      </c>
      <c r="U348" t="s">
        <v>891</v>
      </c>
      <c r="V348">
        <v>4190959</v>
      </c>
      <c r="W348" t="s">
        <v>346</v>
      </c>
      <c r="X348" s="11">
        <v>0</v>
      </c>
      <c r="Y348" s="9" t="str">
        <f>_xll.SNL.Clients.Office.Excel.Functions.SPG(V348, "SP_COUNTRY_NAME")</f>
        <v>Malaysia</v>
      </c>
      <c r="AD348" s="9" t="str">
        <f>_xll.SNL.Clients.Office.Excel.Functions.SPG(AA348, "SP_COUNTRY_NAME")</f>
        <v>#INVALID COMPANY ID</v>
      </c>
      <c r="AI348" s="9" t="str">
        <f>_xll.SNL.Clients.Office.Excel.Functions.SPG(AF348, "SP_COUNTRY_NAME")</f>
        <v>#INVALID COMPANY ID</v>
      </c>
      <c r="AN348" s="9" t="str">
        <f>_xll.SNL.Clients.Office.Excel.Functions.SPG(AK348, "SP_COUNTRY_NAME")</f>
        <v>#INVALID COMPANY ID</v>
      </c>
      <c r="AS348" s="9" t="str">
        <f>_xll.SNL.Clients.Office.Excel.Functions.SPG(AP348, "SP_COUNTRY_NAME")</f>
        <v>#INVALID COMPANY ID</v>
      </c>
      <c r="AX348" s="9" t="str">
        <f>_xll.SNL.Clients.Office.Excel.Functions.SPG(AU348, "SP_COUNTRY_NAME")</f>
        <v>#INVALID COMPANY ID</v>
      </c>
      <c r="BC348" s="9" t="str">
        <f>_xll.SNL.Clients.Office.Excel.Functions.SPG(AZ348, "SP_COUNTRY_NAME")</f>
        <v>#INVALID COMPANY ID</v>
      </c>
      <c r="BD348" t="s">
        <v>504</v>
      </c>
      <c r="BE348">
        <v>4630169</v>
      </c>
      <c r="BF348" t="s">
        <v>346</v>
      </c>
      <c r="BG348" s="11">
        <v>0</v>
      </c>
      <c r="BH348" s="9" t="str">
        <f>_xll.SNL.Clients.Office.Excel.Functions.SPG(BE348, "SP_COUNTRY_NAME")</f>
        <v>Germany</v>
      </c>
      <c r="BM348" s="9" t="str">
        <f>_xll.SNL.Clients.Office.Excel.Functions.SPG(BJ348, "SP_COUNTRY_NAME")</f>
        <v>#INVALID COMPANY ID</v>
      </c>
      <c r="BR348" s="9" t="str">
        <f>_xll.SNL.Clients.Office.Excel.Functions.SPG(BO348, "SP_COUNTRY_NAME")</f>
        <v>#INVALID COMPANY ID</v>
      </c>
      <c r="BS348" t="s">
        <v>1030</v>
      </c>
      <c r="BT348">
        <v>11220191</v>
      </c>
      <c r="BU348" t="s">
        <v>346</v>
      </c>
      <c r="BV348" s="11">
        <v>0</v>
      </c>
      <c r="BW348" s="9" t="str">
        <f>_xll.SNL.Clients.Office.Excel.Functions.SPG(BT348, "SP_COUNTRY_NAME")</f>
        <v>China</v>
      </c>
      <c r="BX348" t="s">
        <v>891</v>
      </c>
      <c r="BY348">
        <v>4190959</v>
      </c>
      <c r="BZ348" t="s">
        <v>346</v>
      </c>
      <c r="CA348" s="11">
        <v>0</v>
      </c>
      <c r="CB348" s="9" t="str">
        <f>_xll.SNL.Clients.Office.Excel.Functions.SPG(BY348, "SP_COUNTRY_NAME")</f>
        <v>Malaysia</v>
      </c>
      <c r="CC348" t="s">
        <v>1790</v>
      </c>
      <c r="CD348">
        <v>4251001</v>
      </c>
      <c r="CE348" t="s">
        <v>366</v>
      </c>
      <c r="CF348" s="11">
        <v>0</v>
      </c>
      <c r="CG348" s="9" t="str">
        <f>_xll.SNL.Clients.Office.Excel.Functions.SPG(CD348, "SP_COUNTRY_NAME")</f>
        <v>Brazil</v>
      </c>
      <c r="CL348" s="9" t="str">
        <f>_xll.SNL.Clients.Office.Excel.Functions.SPG(CI348, "SP_COUNTRY_NAME")</f>
        <v>#INVALID COMPANY ID</v>
      </c>
      <c r="CM348" t="s">
        <v>2048</v>
      </c>
      <c r="CN348">
        <v>108004431</v>
      </c>
      <c r="CO348" t="s">
        <v>346</v>
      </c>
      <c r="CP348" s="11">
        <v>0</v>
      </c>
      <c r="CQ348" s="9" t="str">
        <f>_xll.SNL.Clients.Office.Excel.Functions.SPG(CN348, "SP_COUNTRY_NAME")</f>
        <v>USA</v>
      </c>
      <c r="CV348" s="9" t="str">
        <f>_xll.SNL.Clients.Office.Excel.Functions.SPG(CS348, "SP_COUNTRY_NAME")</f>
        <v>#INVALID COMPANY ID</v>
      </c>
      <c r="DA348" s="9" t="str">
        <f>_xll.SNL.Clients.Office.Excel.Functions.SPG(CX348, "SP_COUNTRY_NAME")</f>
        <v>#INVALID COMPANY ID</v>
      </c>
      <c r="DB348" t="s">
        <v>504</v>
      </c>
      <c r="DC348">
        <v>4630169</v>
      </c>
      <c r="DD348" t="s">
        <v>346</v>
      </c>
      <c r="DE348" s="11">
        <v>0</v>
      </c>
      <c r="DF348" s="9" t="str">
        <f>_xll.SNL.Clients.Office.Excel.Functions.SPG(DC348, "SP_COUNTRY_NAME")</f>
        <v>Germany</v>
      </c>
      <c r="DK348" s="9" t="str">
        <f>_xll.SNL.Clients.Office.Excel.Functions.SPG(DH348, "SP_COUNTRY_NAME")</f>
        <v>#INVALID COMPANY ID</v>
      </c>
      <c r="DL348" t="s">
        <v>504</v>
      </c>
      <c r="DM348">
        <v>4630169</v>
      </c>
      <c r="DN348" t="s">
        <v>346</v>
      </c>
      <c r="DO348" s="11">
        <v>0</v>
      </c>
      <c r="DP348" s="9" t="str">
        <f>_xll.SNL.Clients.Office.Excel.Functions.SPG(DM348, "SP_COUNTRY_NAME")</f>
        <v>Germany</v>
      </c>
      <c r="DU348" s="9" t="str">
        <f>_xll.SNL.Clients.Office.Excel.Functions.SPG(DR348, "SP_COUNTRY_NAME")</f>
        <v>#INVALID COMPANY ID</v>
      </c>
      <c r="DZ348" s="9" t="str">
        <f>_xll.SNL.Clients.Office.Excel.Functions.SPG(DW348, "SP_COUNTRY_NAME")</f>
        <v>#INVALID COMPANY ID</v>
      </c>
      <c r="EA348" t="s">
        <v>1790</v>
      </c>
      <c r="EB348">
        <v>4251001</v>
      </c>
      <c r="EC348" t="s">
        <v>366</v>
      </c>
      <c r="ED348" s="11">
        <v>0</v>
      </c>
      <c r="EE348" s="9" t="str">
        <f>_xll.SNL.Clients.Office.Excel.Functions.SPG(EB348, "SP_COUNTRY_NAME")</f>
        <v>Brazil</v>
      </c>
      <c r="EF348" t="s">
        <v>504</v>
      </c>
      <c r="EG348">
        <v>4630169</v>
      </c>
      <c r="EH348" t="s">
        <v>346</v>
      </c>
      <c r="EI348" s="11">
        <v>0</v>
      </c>
      <c r="EJ348" s="9" t="str">
        <f>_xll.SNL.Clients.Office.Excel.Functions.SPG(EG348, "SP_COUNTRY_NAME")</f>
        <v>Germany</v>
      </c>
      <c r="EO348" s="9" t="str">
        <f>_xll.SNL.Clients.Office.Excel.Functions.SPG(EL348, "SP_COUNTRY_NAME")</f>
        <v>#INVALID COMPANY ID</v>
      </c>
      <c r="ET348" s="9" t="str">
        <f>_xll.SNL.Clients.Office.Excel.Functions.SPG(EQ348, "SP_COUNTRY_NAME")</f>
        <v>#INVALID COMPANY ID</v>
      </c>
      <c r="EY348" s="9" t="str">
        <f>_xll.SNL.Clients.Office.Excel.Functions.SPG(EV348, "SP_COUNTRY_NAME")</f>
        <v>#INVALID COMPANY ID</v>
      </c>
      <c r="FD348" s="9" t="str">
        <f>_xll.SNL.Clients.Office.Excel.Functions.SPG(FA348, "SP_COUNTRY_NAME")</f>
        <v>#INVALID COMPANY ID</v>
      </c>
      <c r="FI348" s="9" t="str">
        <f>_xll.SNL.Clients.Office.Excel.Functions.SPG(FF348, "SP_COUNTRY_NAME")</f>
        <v>#INVALID COMPANY ID</v>
      </c>
      <c r="FN348" s="9" t="str">
        <f>_xll.SNL.Clients.Office.Excel.Functions.SPG(FK348, "SP_COUNTRY_NAME")</f>
        <v>#INVALID COMPANY ID</v>
      </c>
      <c r="FS348" s="9" t="str">
        <f>_xll.SNL.Clients.Office.Excel.Functions.SPG(FP348, "SP_COUNTRY_NAME")</f>
        <v>#INVALID COMPANY ID</v>
      </c>
      <c r="FX348" s="9" t="str">
        <f>_xll.SNL.Clients.Office.Excel.Functions.SPG(FU348, "SP_COUNTRY_NAME")</f>
        <v>#INVALID COMPANY ID</v>
      </c>
      <c r="FY348" t="s">
        <v>504</v>
      </c>
      <c r="FZ348">
        <v>4630169</v>
      </c>
      <c r="GA348" t="s">
        <v>346</v>
      </c>
      <c r="GB348" s="11">
        <v>0</v>
      </c>
      <c r="GC348" s="9" t="str">
        <f>_xll.SNL.Clients.Office.Excel.Functions.SPG(FZ348, "SP_COUNTRY_NAME")</f>
        <v>Germany</v>
      </c>
      <c r="GH348" s="9" t="str">
        <f>_xll.SNL.Clients.Office.Excel.Functions.SPG(GE348, "SP_COUNTRY_NAME")</f>
        <v>#INVALID COMPANY ID</v>
      </c>
      <c r="GM348" s="9" t="str">
        <f>_xll.SNL.Clients.Office.Excel.Functions.SPG(GJ348, "SP_COUNTRY_NAME")</f>
        <v>#INVALID COMPANY ID</v>
      </c>
      <c r="GR348" s="9" t="str">
        <f>_xll.SNL.Clients.Office.Excel.Functions.SPG(GO348, "SP_COUNTRY_NAME")</f>
        <v>#INVALID COMPANY ID</v>
      </c>
      <c r="GW348" s="9" t="str">
        <f>_xll.SNL.Clients.Office.Excel.Functions.SPG(GT348, "SP_COUNTRY_NAME")</f>
        <v>#INVALID COMPANY ID</v>
      </c>
      <c r="GX348" t="s">
        <v>1790</v>
      </c>
      <c r="GY348">
        <v>4251001</v>
      </c>
      <c r="GZ348" t="s">
        <v>366</v>
      </c>
      <c r="HA348" s="11">
        <v>0</v>
      </c>
      <c r="HB348" s="9" t="str">
        <f>_xll.SNL.Clients.Office.Excel.Functions.SPG(GY348, "SP_COUNTRY_NAME")</f>
        <v>Brazil</v>
      </c>
      <c r="HG348" s="9" t="str">
        <f>_xll.SNL.Clients.Office.Excel.Functions.SPG(HD348, "SP_COUNTRY_NAME")</f>
        <v>#INVALID COMPANY ID</v>
      </c>
    </row>
    <row r="349" spans="5:215" x14ac:dyDescent="0.35">
      <c r="E349" s="9" t="str">
        <f>_xll.SNL.Clients.Office.Excel.Functions.SPG(B349, "SP_COUNTRY_NAME")</f>
        <v>#INVALID COMPANY ID</v>
      </c>
      <c r="J349" s="9" t="str">
        <f>_xll.SNL.Clients.Office.Excel.Functions.SPG(G349, "SP_COUNTRY_NAME")</f>
        <v>#INVALID COMPANY ID</v>
      </c>
      <c r="O349" s="9" t="str">
        <f>_xll.SNL.Clients.Office.Excel.Functions.SPG(L349, "SP_COUNTRY_NAME")</f>
        <v>#INVALID COMPANY ID</v>
      </c>
      <c r="T349" s="9" t="str">
        <f>_xll.SNL.Clients.Office.Excel.Functions.SPG(Q349, "SP_COUNTRY_NAME")</f>
        <v>#INVALID COMPANY ID</v>
      </c>
      <c r="U349" t="s">
        <v>892</v>
      </c>
      <c r="V349">
        <v>4307010</v>
      </c>
      <c r="W349" t="s">
        <v>346</v>
      </c>
      <c r="X349" s="11">
        <v>0</v>
      </c>
      <c r="Y349" s="9" t="str">
        <f>_xll.SNL.Clients.Office.Excel.Functions.SPG(V349, "SP_COUNTRY_NAME")</f>
        <v>USA</v>
      </c>
      <c r="AD349" s="9" t="str">
        <f>_xll.SNL.Clients.Office.Excel.Functions.SPG(AA349, "SP_COUNTRY_NAME")</f>
        <v>#INVALID COMPANY ID</v>
      </c>
      <c r="AI349" s="9" t="str">
        <f>_xll.SNL.Clients.Office.Excel.Functions.SPG(AF349, "SP_COUNTRY_NAME")</f>
        <v>#INVALID COMPANY ID</v>
      </c>
      <c r="AN349" s="9" t="str">
        <f>_xll.SNL.Clients.Office.Excel.Functions.SPG(AK349, "SP_COUNTRY_NAME")</f>
        <v>#INVALID COMPANY ID</v>
      </c>
      <c r="AS349" s="9" t="str">
        <f>_xll.SNL.Clients.Office.Excel.Functions.SPG(AP349, "SP_COUNTRY_NAME")</f>
        <v>#INVALID COMPANY ID</v>
      </c>
      <c r="AX349" s="9" t="str">
        <f>_xll.SNL.Clients.Office.Excel.Functions.SPG(AU349, "SP_COUNTRY_NAME")</f>
        <v>#INVALID COMPANY ID</v>
      </c>
      <c r="BC349" s="9" t="str">
        <f>_xll.SNL.Clients.Office.Excel.Functions.SPG(AZ349, "SP_COUNTRY_NAME")</f>
        <v>#INVALID COMPANY ID</v>
      </c>
      <c r="BD349" t="s">
        <v>1065</v>
      </c>
      <c r="BE349">
        <v>4240703</v>
      </c>
      <c r="BF349" t="s">
        <v>346</v>
      </c>
      <c r="BG349" s="11">
        <v>0</v>
      </c>
      <c r="BH349" s="9" t="str">
        <f>_xll.SNL.Clients.Office.Excel.Functions.SPG(BE349, "SP_COUNTRY_NAME")</f>
        <v>Taiwan</v>
      </c>
      <c r="BM349" s="9" t="str">
        <f>_xll.SNL.Clients.Office.Excel.Functions.SPG(BJ349, "SP_COUNTRY_NAME")</f>
        <v>#INVALID COMPANY ID</v>
      </c>
      <c r="BR349" s="9" t="str">
        <f>_xll.SNL.Clients.Office.Excel.Functions.SPG(BO349, "SP_COUNTRY_NAME")</f>
        <v>#INVALID COMPANY ID</v>
      </c>
      <c r="BS349" t="s">
        <v>1031</v>
      </c>
      <c r="BT349">
        <v>4212529</v>
      </c>
      <c r="BU349" t="s">
        <v>346</v>
      </c>
      <c r="BV349" s="11">
        <v>0</v>
      </c>
      <c r="BW349" s="9" t="str">
        <f>_xll.SNL.Clients.Office.Excel.Functions.SPG(BT349, "SP_COUNTRY_NAME")</f>
        <v>Germany</v>
      </c>
      <c r="BX349" t="s">
        <v>892</v>
      </c>
      <c r="BY349">
        <v>4307010</v>
      </c>
      <c r="BZ349" t="s">
        <v>346</v>
      </c>
      <c r="CA349" s="11">
        <v>0</v>
      </c>
      <c r="CB349" s="9" t="str">
        <f>_xll.SNL.Clients.Office.Excel.Functions.SPG(BY349, "SP_COUNTRY_NAME")</f>
        <v>USA</v>
      </c>
      <c r="CC349" t="s">
        <v>1791</v>
      </c>
      <c r="CD349">
        <v>1021746</v>
      </c>
      <c r="CE349" t="s">
        <v>366</v>
      </c>
      <c r="CF349" s="11">
        <v>0</v>
      </c>
      <c r="CG349" s="9" t="str">
        <f>_xll.SNL.Clients.Office.Excel.Functions.SPG(CD349, "SP_COUNTRY_NAME")</f>
        <v>USA</v>
      </c>
      <c r="CL349" s="9" t="str">
        <f>_xll.SNL.Clients.Office.Excel.Functions.SPG(CI349, "SP_COUNTRY_NAME")</f>
        <v>#INVALID COMPANY ID</v>
      </c>
      <c r="CM349" t="s">
        <v>2049</v>
      </c>
      <c r="CN349">
        <v>138948344</v>
      </c>
      <c r="CO349" t="s">
        <v>346</v>
      </c>
      <c r="CP349" s="11">
        <v>0</v>
      </c>
      <c r="CQ349" s="9" t="str">
        <f>_xll.SNL.Clients.Office.Excel.Functions.SPG(CN349, "SP_COUNTRY_NAME")</f>
        <v>#INVALID COMPANY ID</v>
      </c>
      <c r="CV349" s="9" t="str">
        <f>_xll.SNL.Clients.Office.Excel.Functions.SPG(CS349, "SP_COUNTRY_NAME")</f>
        <v>#INVALID COMPANY ID</v>
      </c>
      <c r="DA349" s="9" t="str">
        <f>_xll.SNL.Clients.Office.Excel.Functions.SPG(CX349, "SP_COUNTRY_NAME")</f>
        <v>#INVALID COMPANY ID</v>
      </c>
      <c r="DB349" t="s">
        <v>1065</v>
      </c>
      <c r="DC349">
        <v>4240703</v>
      </c>
      <c r="DD349" t="s">
        <v>346</v>
      </c>
      <c r="DE349" s="11">
        <v>0</v>
      </c>
      <c r="DF349" s="9" t="str">
        <f>_xll.SNL.Clients.Office.Excel.Functions.SPG(DC349, "SP_COUNTRY_NAME")</f>
        <v>Taiwan</v>
      </c>
      <c r="DK349" s="9" t="str">
        <f>_xll.SNL.Clients.Office.Excel.Functions.SPG(DH349, "SP_COUNTRY_NAME")</f>
        <v>#INVALID COMPANY ID</v>
      </c>
      <c r="DL349" t="s">
        <v>1065</v>
      </c>
      <c r="DM349">
        <v>4240703</v>
      </c>
      <c r="DN349" t="s">
        <v>346</v>
      </c>
      <c r="DO349" s="11">
        <v>0</v>
      </c>
      <c r="DP349" s="9" t="str">
        <f>_xll.SNL.Clients.Office.Excel.Functions.SPG(DM349, "SP_COUNTRY_NAME")</f>
        <v>Taiwan</v>
      </c>
      <c r="DU349" s="9" t="str">
        <f>_xll.SNL.Clients.Office.Excel.Functions.SPG(DR349, "SP_COUNTRY_NAME")</f>
        <v>#INVALID COMPANY ID</v>
      </c>
      <c r="DZ349" s="9" t="str">
        <f>_xll.SNL.Clients.Office.Excel.Functions.SPG(DW349, "SP_COUNTRY_NAME")</f>
        <v>#INVALID COMPANY ID</v>
      </c>
      <c r="EA349" t="s">
        <v>1791</v>
      </c>
      <c r="EB349">
        <v>1021746</v>
      </c>
      <c r="EC349" t="s">
        <v>366</v>
      </c>
      <c r="ED349" s="11">
        <v>0</v>
      </c>
      <c r="EE349" s="9" t="str">
        <f>_xll.SNL.Clients.Office.Excel.Functions.SPG(EB349, "SP_COUNTRY_NAME")</f>
        <v>USA</v>
      </c>
      <c r="EF349" t="s">
        <v>1065</v>
      </c>
      <c r="EG349">
        <v>4240703</v>
      </c>
      <c r="EH349" t="s">
        <v>346</v>
      </c>
      <c r="EI349" s="11">
        <v>0</v>
      </c>
      <c r="EJ349" s="9" t="str">
        <f>_xll.SNL.Clients.Office.Excel.Functions.SPG(EG349, "SP_COUNTRY_NAME")</f>
        <v>Taiwan</v>
      </c>
      <c r="EO349" s="9" t="str">
        <f>_xll.SNL.Clients.Office.Excel.Functions.SPG(EL349, "SP_COUNTRY_NAME")</f>
        <v>#INVALID COMPANY ID</v>
      </c>
      <c r="ET349" s="9" t="str">
        <f>_xll.SNL.Clients.Office.Excel.Functions.SPG(EQ349, "SP_COUNTRY_NAME")</f>
        <v>#INVALID COMPANY ID</v>
      </c>
      <c r="EY349" s="9" t="str">
        <f>_xll.SNL.Clients.Office.Excel.Functions.SPG(EV349, "SP_COUNTRY_NAME")</f>
        <v>#INVALID COMPANY ID</v>
      </c>
      <c r="FD349" s="9" t="str">
        <f>_xll.SNL.Clients.Office.Excel.Functions.SPG(FA349, "SP_COUNTRY_NAME")</f>
        <v>#INVALID COMPANY ID</v>
      </c>
      <c r="FI349" s="9" t="str">
        <f>_xll.SNL.Clients.Office.Excel.Functions.SPG(FF349, "SP_COUNTRY_NAME")</f>
        <v>#INVALID COMPANY ID</v>
      </c>
      <c r="FN349" s="9" t="str">
        <f>_xll.SNL.Clients.Office.Excel.Functions.SPG(FK349, "SP_COUNTRY_NAME")</f>
        <v>#INVALID COMPANY ID</v>
      </c>
      <c r="FS349" s="9" t="str">
        <f>_xll.SNL.Clients.Office.Excel.Functions.SPG(FP349, "SP_COUNTRY_NAME")</f>
        <v>#INVALID COMPANY ID</v>
      </c>
      <c r="FX349" s="9" t="str">
        <f>_xll.SNL.Clients.Office.Excel.Functions.SPG(FU349, "SP_COUNTRY_NAME")</f>
        <v>#INVALID COMPANY ID</v>
      </c>
      <c r="FY349" t="s">
        <v>1065</v>
      </c>
      <c r="FZ349">
        <v>4240703</v>
      </c>
      <c r="GA349" t="s">
        <v>346</v>
      </c>
      <c r="GB349" s="11">
        <v>0</v>
      </c>
      <c r="GC349" s="9" t="str">
        <f>_xll.SNL.Clients.Office.Excel.Functions.SPG(FZ349, "SP_COUNTRY_NAME")</f>
        <v>Taiwan</v>
      </c>
      <c r="GH349" s="9" t="str">
        <f>_xll.SNL.Clients.Office.Excel.Functions.SPG(GE349, "SP_COUNTRY_NAME")</f>
        <v>#INVALID COMPANY ID</v>
      </c>
      <c r="GM349" s="9" t="str">
        <f>_xll.SNL.Clients.Office.Excel.Functions.SPG(GJ349, "SP_COUNTRY_NAME")</f>
        <v>#INVALID COMPANY ID</v>
      </c>
      <c r="GR349" s="9" t="str">
        <f>_xll.SNL.Clients.Office.Excel.Functions.SPG(GO349, "SP_COUNTRY_NAME")</f>
        <v>#INVALID COMPANY ID</v>
      </c>
      <c r="GW349" s="9" t="str">
        <f>_xll.SNL.Clients.Office.Excel.Functions.SPG(GT349, "SP_COUNTRY_NAME")</f>
        <v>#INVALID COMPANY ID</v>
      </c>
      <c r="GX349" t="s">
        <v>1791</v>
      </c>
      <c r="GY349">
        <v>1021746</v>
      </c>
      <c r="GZ349" t="s">
        <v>366</v>
      </c>
      <c r="HA349" s="11">
        <v>0</v>
      </c>
      <c r="HB349" s="9" t="str">
        <f>_xll.SNL.Clients.Office.Excel.Functions.SPG(GY349, "SP_COUNTRY_NAME")</f>
        <v>USA</v>
      </c>
      <c r="HG349" s="9" t="str">
        <f>_xll.SNL.Clients.Office.Excel.Functions.SPG(HD349, "SP_COUNTRY_NAME")</f>
        <v>#INVALID COMPANY ID</v>
      </c>
    </row>
    <row r="350" spans="5:215" x14ac:dyDescent="0.35">
      <c r="E350" s="9" t="str">
        <f>_xll.SNL.Clients.Office.Excel.Functions.SPG(B350, "SP_COUNTRY_NAME")</f>
        <v>#INVALID COMPANY ID</v>
      </c>
      <c r="J350" s="9" t="str">
        <f>_xll.SNL.Clients.Office.Excel.Functions.SPG(G350, "SP_COUNTRY_NAME")</f>
        <v>#INVALID COMPANY ID</v>
      </c>
      <c r="O350" s="9" t="str">
        <f>_xll.SNL.Clients.Office.Excel.Functions.SPG(L350, "SP_COUNTRY_NAME")</f>
        <v>#INVALID COMPANY ID</v>
      </c>
      <c r="T350" s="9" t="str">
        <f>_xll.SNL.Clients.Office.Excel.Functions.SPG(Q350, "SP_COUNTRY_NAME")</f>
        <v>#INVALID COMPANY ID</v>
      </c>
      <c r="U350" t="s">
        <v>568</v>
      </c>
      <c r="V350">
        <v>4135240</v>
      </c>
      <c r="W350" t="s">
        <v>346</v>
      </c>
      <c r="X350" s="11">
        <v>0</v>
      </c>
      <c r="Y350" s="9" t="str">
        <f>_xll.SNL.Clients.Office.Excel.Functions.SPG(V350, "SP_COUNTRY_NAME")</f>
        <v>Australia</v>
      </c>
      <c r="AD350" s="9" t="str">
        <f>_xll.SNL.Clients.Office.Excel.Functions.SPG(AA350, "SP_COUNTRY_NAME")</f>
        <v>#INVALID COMPANY ID</v>
      </c>
      <c r="AI350" s="9" t="str">
        <f>_xll.SNL.Clients.Office.Excel.Functions.SPG(AF350, "SP_COUNTRY_NAME")</f>
        <v>#INVALID COMPANY ID</v>
      </c>
      <c r="AN350" s="9" t="str">
        <f>_xll.SNL.Clients.Office.Excel.Functions.SPG(AK350, "SP_COUNTRY_NAME")</f>
        <v>#INVALID COMPANY ID</v>
      </c>
      <c r="AS350" s="9" t="str">
        <f>_xll.SNL.Clients.Office.Excel.Functions.SPG(AP350, "SP_COUNTRY_NAME")</f>
        <v>#INVALID COMPANY ID</v>
      </c>
      <c r="AX350" s="9" t="str">
        <f>_xll.SNL.Clients.Office.Excel.Functions.SPG(AU350, "SP_COUNTRY_NAME")</f>
        <v>#INVALID COMPANY ID</v>
      </c>
      <c r="BC350" s="9" t="str">
        <f>_xll.SNL.Clients.Office.Excel.Functions.SPG(AZ350, "SP_COUNTRY_NAME")</f>
        <v>#INVALID COMPANY ID</v>
      </c>
      <c r="BD350" t="s">
        <v>1338</v>
      </c>
      <c r="BE350">
        <v>6758323</v>
      </c>
      <c r="BF350" t="s">
        <v>346</v>
      </c>
      <c r="BG350" s="11">
        <v>0</v>
      </c>
      <c r="BH350" s="9" t="str">
        <f>_xll.SNL.Clients.Office.Excel.Functions.SPG(BE350, "SP_COUNTRY_NAME")</f>
        <v>South Africa</v>
      </c>
      <c r="BM350" s="9" t="str">
        <f>_xll.SNL.Clients.Office.Excel.Functions.SPG(BJ350, "SP_COUNTRY_NAME")</f>
        <v>#INVALID COMPANY ID</v>
      </c>
      <c r="BR350" s="9" t="str">
        <f>_xll.SNL.Clients.Office.Excel.Functions.SPG(BO350, "SP_COUNTRY_NAME")</f>
        <v>#INVALID COMPANY ID</v>
      </c>
      <c r="BS350" t="s">
        <v>1032</v>
      </c>
      <c r="BT350">
        <v>4343973</v>
      </c>
      <c r="BU350" t="s">
        <v>346</v>
      </c>
      <c r="BV350" s="11">
        <v>0</v>
      </c>
      <c r="BW350" s="9" t="str">
        <f>_xll.SNL.Clients.Office.Excel.Functions.SPG(BT350, "SP_COUNTRY_NAME")</f>
        <v>Norway</v>
      </c>
      <c r="BX350" t="s">
        <v>568</v>
      </c>
      <c r="BY350">
        <v>4135240</v>
      </c>
      <c r="BZ350" t="s">
        <v>346</v>
      </c>
      <c r="CA350" s="11">
        <v>0</v>
      </c>
      <c r="CB350" s="9" t="str">
        <f>_xll.SNL.Clients.Office.Excel.Functions.SPG(BY350, "SP_COUNTRY_NAME")</f>
        <v>Australia</v>
      </c>
      <c r="CC350" t="s">
        <v>464</v>
      </c>
      <c r="CD350">
        <v>4629378</v>
      </c>
      <c r="CE350" t="s">
        <v>346</v>
      </c>
      <c r="CF350" s="11">
        <v>0</v>
      </c>
      <c r="CG350" s="9" t="str">
        <f>_xll.SNL.Clients.Office.Excel.Functions.SPG(CD350, "SP_COUNTRY_NAME")</f>
        <v>Japan</v>
      </c>
      <c r="CL350" s="9" t="str">
        <f>_xll.SNL.Clients.Office.Excel.Functions.SPG(CI350, "SP_COUNTRY_NAME")</f>
        <v>#INVALID COMPANY ID</v>
      </c>
      <c r="CM350" t="s">
        <v>2050</v>
      </c>
      <c r="CN350">
        <v>4435552</v>
      </c>
      <c r="CO350" t="s">
        <v>366</v>
      </c>
      <c r="CP350" s="11">
        <v>0</v>
      </c>
      <c r="CQ350" s="9" t="str">
        <f>_xll.SNL.Clients.Office.Excel.Functions.SPG(CN350, "SP_COUNTRY_NAME")</f>
        <v>USA</v>
      </c>
      <c r="CV350" s="9" t="str">
        <f>_xll.SNL.Clients.Office.Excel.Functions.SPG(CS350, "SP_COUNTRY_NAME")</f>
        <v>#INVALID COMPANY ID</v>
      </c>
      <c r="DA350" s="9" t="str">
        <f>_xll.SNL.Clients.Office.Excel.Functions.SPG(CX350, "SP_COUNTRY_NAME")</f>
        <v>#INVALID COMPANY ID</v>
      </c>
      <c r="DB350" t="s">
        <v>1338</v>
      </c>
      <c r="DC350">
        <v>6758323</v>
      </c>
      <c r="DD350" t="s">
        <v>346</v>
      </c>
      <c r="DE350" s="11">
        <v>0</v>
      </c>
      <c r="DF350" s="9" t="str">
        <f>_xll.SNL.Clients.Office.Excel.Functions.SPG(DC350, "SP_COUNTRY_NAME")</f>
        <v>South Africa</v>
      </c>
      <c r="DK350" s="9" t="str">
        <f>_xll.SNL.Clients.Office.Excel.Functions.SPG(DH350, "SP_COUNTRY_NAME")</f>
        <v>#INVALID COMPANY ID</v>
      </c>
      <c r="DL350" t="s">
        <v>1338</v>
      </c>
      <c r="DM350">
        <v>6758323</v>
      </c>
      <c r="DN350" t="s">
        <v>346</v>
      </c>
      <c r="DO350" s="11">
        <v>0</v>
      </c>
      <c r="DP350" s="9" t="str">
        <f>_xll.SNL.Clients.Office.Excel.Functions.SPG(DM350, "SP_COUNTRY_NAME")</f>
        <v>South Africa</v>
      </c>
      <c r="DU350" s="9" t="str">
        <f>_xll.SNL.Clients.Office.Excel.Functions.SPG(DR350, "SP_COUNTRY_NAME")</f>
        <v>#INVALID COMPANY ID</v>
      </c>
      <c r="DZ350" s="9" t="str">
        <f>_xll.SNL.Clients.Office.Excel.Functions.SPG(DW350, "SP_COUNTRY_NAME")</f>
        <v>#INVALID COMPANY ID</v>
      </c>
      <c r="EA350" t="s">
        <v>464</v>
      </c>
      <c r="EB350">
        <v>4629378</v>
      </c>
      <c r="EC350" t="s">
        <v>346</v>
      </c>
      <c r="ED350" s="11">
        <v>0</v>
      </c>
      <c r="EE350" s="9" t="str">
        <f>_xll.SNL.Clients.Office.Excel.Functions.SPG(EB350, "SP_COUNTRY_NAME")</f>
        <v>Japan</v>
      </c>
      <c r="EF350" t="s">
        <v>1338</v>
      </c>
      <c r="EG350">
        <v>6758323</v>
      </c>
      <c r="EH350" t="s">
        <v>346</v>
      </c>
      <c r="EI350" s="11">
        <v>0</v>
      </c>
      <c r="EJ350" s="9" t="str">
        <f>_xll.SNL.Clients.Office.Excel.Functions.SPG(EG350, "SP_COUNTRY_NAME")</f>
        <v>South Africa</v>
      </c>
      <c r="EO350" s="9" t="str">
        <f>_xll.SNL.Clients.Office.Excel.Functions.SPG(EL350, "SP_COUNTRY_NAME")</f>
        <v>#INVALID COMPANY ID</v>
      </c>
      <c r="ET350" s="9" t="str">
        <f>_xll.SNL.Clients.Office.Excel.Functions.SPG(EQ350, "SP_COUNTRY_NAME")</f>
        <v>#INVALID COMPANY ID</v>
      </c>
      <c r="EY350" s="9" t="str">
        <f>_xll.SNL.Clients.Office.Excel.Functions.SPG(EV350, "SP_COUNTRY_NAME")</f>
        <v>#INVALID COMPANY ID</v>
      </c>
      <c r="FD350" s="9" t="str">
        <f>_xll.SNL.Clients.Office.Excel.Functions.SPG(FA350, "SP_COUNTRY_NAME")</f>
        <v>#INVALID COMPANY ID</v>
      </c>
      <c r="FI350" s="9" t="str">
        <f>_xll.SNL.Clients.Office.Excel.Functions.SPG(FF350, "SP_COUNTRY_NAME")</f>
        <v>#INVALID COMPANY ID</v>
      </c>
      <c r="FN350" s="9" t="str">
        <f>_xll.SNL.Clients.Office.Excel.Functions.SPG(FK350, "SP_COUNTRY_NAME")</f>
        <v>#INVALID COMPANY ID</v>
      </c>
      <c r="FS350" s="9" t="str">
        <f>_xll.SNL.Clients.Office.Excel.Functions.SPG(FP350, "SP_COUNTRY_NAME")</f>
        <v>#INVALID COMPANY ID</v>
      </c>
      <c r="FX350" s="9" t="str">
        <f>_xll.SNL.Clients.Office.Excel.Functions.SPG(FU350, "SP_COUNTRY_NAME")</f>
        <v>#INVALID COMPANY ID</v>
      </c>
      <c r="FY350" t="s">
        <v>1338</v>
      </c>
      <c r="FZ350">
        <v>6758323</v>
      </c>
      <c r="GA350" t="s">
        <v>346</v>
      </c>
      <c r="GB350" s="11">
        <v>0</v>
      </c>
      <c r="GC350" s="9" t="str">
        <f>_xll.SNL.Clients.Office.Excel.Functions.SPG(FZ350, "SP_COUNTRY_NAME")</f>
        <v>South Africa</v>
      </c>
      <c r="GH350" s="9" t="str">
        <f>_xll.SNL.Clients.Office.Excel.Functions.SPG(GE350, "SP_COUNTRY_NAME")</f>
        <v>#INVALID COMPANY ID</v>
      </c>
      <c r="GM350" s="9" t="str">
        <f>_xll.SNL.Clients.Office.Excel.Functions.SPG(GJ350, "SP_COUNTRY_NAME")</f>
        <v>#INVALID COMPANY ID</v>
      </c>
      <c r="GR350" s="9" t="str">
        <f>_xll.SNL.Clients.Office.Excel.Functions.SPG(GO350, "SP_COUNTRY_NAME")</f>
        <v>#INVALID COMPANY ID</v>
      </c>
      <c r="GW350" s="9" t="str">
        <f>_xll.SNL.Clients.Office.Excel.Functions.SPG(GT350, "SP_COUNTRY_NAME")</f>
        <v>#INVALID COMPANY ID</v>
      </c>
      <c r="GX350" t="s">
        <v>464</v>
      </c>
      <c r="GY350">
        <v>4629378</v>
      </c>
      <c r="GZ350" t="s">
        <v>346</v>
      </c>
      <c r="HA350" s="11">
        <v>0</v>
      </c>
      <c r="HB350" s="9" t="str">
        <f>_xll.SNL.Clients.Office.Excel.Functions.SPG(GY350, "SP_COUNTRY_NAME")</f>
        <v>Japan</v>
      </c>
      <c r="HG350" s="9" t="str">
        <f>_xll.SNL.Clients.Office.Excel.Functions.SPG(HD350, "SP_COUNTRY_NAME")</f>
        <v>#INVALID COMPANY ID</v>
      </c>
    </row>
    <row r="351" spans="5:215" x14ac:dyDescent="0.35">
      <c r="E351" s="9" t="str">
        <f>_xll.SNL.Clients.Office.Excel.Functions.SPG(B351, "SP_COUNTRY_NAME")</f>
        <v>#INVALID COMPANY ID</v>
      </c>
      <c r="J351" s="9" t="str">
        <f>_xll.SNL.Clients.Office.Excel.Functions.SPG(G351, "SP_COUNTRY_NAME")</f>
        <v>#INVALID COMPANY ID</v>
      </c>
      <c r="O351" s="9" t="str">
        <f>_xll.SNL.Clients.Office.Excel.Functions.SPG(L351, "SP_COUNTRY_NAME")</f>
        <v>#INVALID COMPANY ID</v>
      </c>
      <c r="T351" s="9" t="str">
        <f>_xll.SNL.Clients.Office.Excel.Functions.SPG(Q351, "SP_COUNTRY_NAME")</f>
        <v>#INVALID COMPANY ID</v>
      </c>
      <c r="U351" t="s">
        <v>893</v>
      </c>
      <c r="V351">
        <v>5849983</v>
      </c>
      <c r="W351" t="s">
        <v>346</v>
      </c>
      <c r="X351" s="11">
        <v>0</v>
      </c>
      <c r="Y351" s="9" t="str">
        <f>_xll.SNL.Clients.Office.Excel.Functions.SPG(V351, "SP_COUNTRY_NAME")</f>
        <v>Luxembourg</v>
      </c>
      <c r="AD351" s="9" t="str">
        <f>_xll.SNL.Clients.Office.Excel.Functions.SPG(AA351, "SP_COUNTRY_NAME")</f>
        <v>#INVALID COMPANY ID</v>
      </c>
      <c r="AI351" s="9" t="str">
        <f>_xll.SNL.Clients.Office.Excel.Functions.SPG(AF351, "SP_COUNTRY_NAME")</f>
        <v>#INVALID COMPANY ID</v>
      </c>
      <c r="AN351" s="9" t="str">
        <f>_xll.SNL.Clients.Office.Excel.Functions.SPG(AK351, "SP_COUNTRY_NAME")</f>
        <v>#INVALID COMPANY ID</v>
      </c>
      <c r="AS351" s="9" t="str">
        <f>_xll.SNL.Clients.Office.Excel.Functions.SPG(AP351, "SP_COUNTRY_NAME")</f>
        <v>#INVALID COMPANY ID</v>
      </c>
      <c r="AX351" s="9" t="str">
        <f>_xll.SNL.Clients.Office.Excel.Functions.SPG(AU351, "SP_COUNTRY_NAME")</f>
        <v>#INVALID COMPANY ID</v>
      </c>
      <c r="BC351" s="9" t="str">
        <f>_xll.SNL.Clients.Office.Excel.Functions.SPG(AZ351, "SP_COUNTRY_NAME")</f>
        <v>#INVALID COMPANY ID</v>
      </c>
      <c r="BD351" t="s">
        <v>570</v>
      </c>
      <c r="BE351">
        <v>106302708</v>
      </c>
      <c r="BF351" t="s">
        <v>346</v>
      </c>
      <c r="BG351" s="11">
        <v>0</v>
      </c>
      <c r="BH351" s="9" t="str">
        <f>_xll.SNL.Clients.Office.Excel.Functions.SPG(BE351, "SP_COUNTRY_NAME")</f>
        <v>Switzerland</v>
      </c>
      <c r="BM351" s="9" t="str">
        <f>_xll.SNL.Clients.Office.Excel.Functions.SPG(BJ351, "SP_COUNTRY_NAME")</f>
        <v>#INVALID COMPANY ID</v>
      </c>
      <c r="BR351" s="9" t="str">
        <f>_xll.SNL.Clients.Office.Excel.Functions.SPG(BO351, "SP_COUNTRY_NAME")</f>
        <v>#INVALID COMPANY ID</v>
      </c>
      <c r="BS351" t="s">
        <v>852</v>
      </c>
      <c r="BT351">
        <v>5866758</v>
      </c>
      <c r="BU351" t="s">
        <v>346</v>
      </c>
      <c r="BV351" s="11">
        <v>0</v>
      </c>
      <c r="BW351" s="9" t="str">
        <f>_xll.SNL.Clients.Office.Excel.Functions.SPG(BT351, "SP_COUNTRY_NAME")</f>
        <v>China</v>
      </c>
      <c r="BX351" t="s">
        <v>893</v>
      </c>
      <c r="BY351">
        <v>5849983</v>
      </c>
      <c r="BZ351" t="s">
        <v>346</v>
      </c>
      <c r="CA351" s="11">
        <v>0</v>
      </c>
      <c r="CB351" s="9" t="str">
        <f>_xll.SNL.Clients.Office.Excel.Functions.SPG(BY351, "SP_COUNTRY_NAME")</f>
        <v>Luxembourg</v>
      </c>
      <c r="CC351" t="s">
        <v>1392</v>
      </c>
      <c r="CD351">
        <v>4155715</v>
      </c>
      <c r="CE351" t="s">
        <v>346</v>
      </c>
      <c r="CF351" s="11">
        <v>0</v>
      </c>
      <c r="CG351" s="9" t="str">
        <f>_xll.SNL.Clients.Office.Excel.Functions.SPG(CD351, "SP_COUNTRY_NAME")</f>
        <v>Australia</v>
      </c>
      <c r="CL351" s="9" t="str">
        <f>_xll.SNL.Clients.Office.Excel.Functions.SPG(CI351, "SP_COUNTRY_NAME")</f>
        <v>#INVALID COMPANY ID</v>
      </c>
      <c r="CM351" t="s">
        <v>1793</v>
      </c>
      <c r="CN351">
        <v>4773635</v>
      </c>
      <c r="CO351" t="s">
        <v>346</v>
      </c>
      <c r="CP351" s="11">
        <v>0</v>
      </c>
      <c r="CQ351" s="9" t="str">
        <f>_xll.SNL.Clients.Office.Excel.Functions.SPG(CN351, "SP_COUNTRY_NAME")</f>
        <v>Switzerland</v>
      </c>
      <c r="CV351" s="9" t="str">
        <f>_xll.SNL.Clients.Office.Excel.Functions.SPG(CS351, "SP_COUNTRY_NAME")</f>
        <v>#INVALID COMPANY ID</v>
      </c>
      <c r="DA351" s="9" t="str">
        <f>_xll.SNL.Clients.Office.Excel.Functions.SPG(CX351, "SP_COUNTRY_NAME")</f>
        <v>#INVALID COMPANY ID</v>
      </c>
      <c r="DB351" t="s">
        <v>570</v>
      </c>
      <c r="DC351">
        <v>106302708</v>
      </c>
      <c r="DD351" t="s">
        <v>346</v>
      </c>
      <c r="DE351" s="11">
        <v>0</v>
      </c>
      <c r="DF351" s="9" t="str">
        <f>_xll.SNL.Clients.Office.Excel.Functions.SPG(DC351, "SP_COUNTRY_NAME")</f>
        <v>Switzerland</v>
      </c>
      <c r="DK351" s="9" t="str">
        <f>_xll.SNL.Clients.Office.Excel.Functions.SPG(DH351, "SP_COUNTRY_NAME")</f>
        <v>#INVALID COMPANY ID</v>
      </c>
      <c r="DL351" t="s">
        <v>570</v>
      </c>
      <c r="DM351">
        <v>106302708</v>
      </c>
      <c r="DN351" t="s">
        <v>346</v>
      </c>
      <c r="DO351" s="11">
        <v>0</v>
      </c>
      <c r="DP351" s="9" t="str">
        <f>_xll.SNL.Clients.Office.Excel.Functions.SPG(DM351, "SP_COUNTRY_NAME")</f>
        <v>Switzerland</v>
      </c>
      <c r="DU351" s="9" t="str">
        <f>_xll.SNL.Clients.Office.Excel.Functions.SPG(DR351, "SP_COUNTRY_NAME")</f>
        <v>#INVALID COMPANY ID</v>
      </c>
      <c r="DZ351" s="9" t="str">
        <f>_xll.SNL.Clients.Office.Excel.Functions.SPG(DW351, "SP_COUNTRY_NAME")</f>
        <v>#INVALID COMPANY ID</v>
      </c>
      <c r="EA351" t="s">
        <v>1392</v>
      </c>
      <c r="EB351">
        <v>4155715</v>
      </c>
      <c r="EC351" t="s">
        <v>346</v>
      </c>
      <c r="ED351" s="11">
        <v>0</v>
      </c>
      <c r="EE351" s="9" t="str">
        <f>_xll.SNL.Clients.Office.Excel.Functions.SPG(EB351, "SP_COUNTRY_NAME")</f>
        <v>Australia</v>
      </c>
      <c r="EF351" t="s">
        <v>570</v>
      </c>
      <c r="EG351">
        <v>106302708</v>
      </c>
      <c r="EH351" t="s">
        <v>346</v>
      </c>
      <c r="EI351" s="11">
        <v>0</v>
      </c>
      <c r="EJ351" s="9" t="str">
        <f>_xll.SNL.Clients.Office.Excel.Functions.SPG(EG351, "SP_COUNTRY_NAME")</f>
        <v>Switzerland</v>
      </c>
      <c r="EO351" s="9" t="str">
        <f>_xll.SNL.Clients.Office.Excel.Functions.SPG(EL351, "SP_COUNTRY_NAME")</f>
        <v>#INVALID COMPANY ID</v>
      </c>
      <c r="ET351" s="9" t="str">
        <f>_xll.SNL.Clients.Office.Excel.Functions.SPG(EQ351, "SP_COUNTRY_NAME")</f>
        <v>#INVALID COMPANY ID</v>
      </c>
      <c r="EY351" s="9" t="str">
        <f>_xll.SNL.Clients.Office.Excel.Functions.SPG(EV351, "SP_COUNTRY_NAME")</f>
        <v>#INVALID COMPANY ID</v>
      </c>
      <c r="FD351" s="9" t="str">
        <f>_xll.SNL.Clients.Office.Excel.Functions.SPG(FA351, "SP_COUNTRY_NAME")</f>
        <v>#INVALID COMPANY ID</v>
      </c>
      <c r="FI351" s="9" t="str">
        <f>_xll.SNL.Clients.Office.Excel.Functions.SPG(FF351, "SP_COUNTRY_NAME")</f>
        <v>#INVALID COMPANY ID</v>
      </c>
      <c r="FN351" s="9" t="str">
        <f>_xll.SNL.Clients.Office.Excel.Functions.SPG(FK351, "SP_COUNTRY_NAME")</f>
        <v>#INVALID COMPANY ID</v>
      </c>
      <c r="FS351" s="9" t="str">
        <f>_xll.SNL.Clients.Office.Excel.Functions.SPG(FP351, "SP_COUNTRY_NAME")</f>
        <v>#INVALID COMPANY ID</v>
      </c>
      <c r="FX351" s="9" t="str">
        <f>_xll.SNL.Clients.Office.Excel.Functions.SPG(FU351, "SP_COUNTRY_NAME")</f>
        <v>#INVALID COMPANY ID</v>
      </c>
      <c r="FY351" t="s">
        <v>570</v>
      </c>
      <c r="FZ351">
        <v>106302708</v>
      </c>
      <c r="GA351" t="s">
        <v>346</v>
      </c>
      <c r="GB351" s="11">
        <v>0</v>
      </c>
      <c r="GC351" s="9" t="str">
        <f>_xll.SNL.Clients.Office.Excel.Functions.SPG(FZ351, "SP_COUNTRY_NAME")</f>
        <v>Switzerland</v>
      </c>
      <c r="GH351" s="9" t="str">
        <f>_xll.SNL.Clients.Office.Excel.Functions.SPG(GE351, "SP_COUNTRY_NAME")</f>
        <v>#INVALID COMPANY ID</v>
      </c>
      <c r="GM351" s="9" t="str">
        <f>_xll.SNL.Clients.Office.Excel.Functions.SPG(GJ351, "SP_COUNTRY_NAME")</f>
        <v>#INVALID COMPANY ID</v>
      </c>
      <c r="GR351" s="9" t="str">
        <f>_xll.SNL.Clients.Office.Excel.Functions.SPG(GO351, "SP_COUNTRY_NAME")</f>
        <v>#INVALID COMPANY ID</v>
      </c>
      <c r="GW351" s="9" t="str">
        <f>_xll.SNL.Clients.Office.Excel.Functions.SPG(GT351, "SP_COUNTRY_NAME")</f>
        <v>#INVALID COMPANY ID</v>
      </c>
      <c r="GX351" t="s">
        <v>1392</v>
      </c>
      <c r="GY351">
        <v>4155715</v>
      </c>
      <c r="GZ351" t="s">
        <v>346</v>
      </c>
      <c r="HA351" s="11">
        <v>0</v>
      </c>
      <c r="HB351" s="9" t="str">
        <f>_xll.SNL.Clients.Office.Excel.Functions.SPG(GY351, "SP_COUNTRY_NAME")</f>
        <v>Australia</v>
      </c>
      <c r="HG351" s="9" t="str">
        <f>_xll.SNL.Clients.Office.Excel.Functions.SPG(HD351, "SP_COUNTRY_NAME")</f>
        <v>#INVALID COMPANY ID</v>
      </c>
    </row>
    <row r="352" spans="5:215" x14ac:dyDescent="0.35">
      <c r="E352" s="9" t="str">
        <f>_xll.SNL.Clients.Office.Excel.Functions.SPG(B352, "SP_COUNTRY_NAME")</f>
        <v>#INVALID COMPANY ID</v>
      </c>
      <c r="J352" s="9" t="str">
        <f>_xll.SNL.Clients.Office.Excel.Functions.SPG(G352, "SP_COUNTRY_NAME")</f>
        <v>#INVALID COMPANY ID</v>
      </c>
      <c r="O352" s="9" t="str">
        <f>_xll.SNL.Clients.Office.Excel.Functions.SPG(L352, "SP_COUNTRY_NAME")</f>
        <v>#INVALID COMPANY ID</v>
      </c>
      <c r="T352" s="9" t="str">
        <f>_xll.SNL.Clients.Office.Excel.Functions.SPG(Q352, "SP_COUNTRY_NAME")</f>
        <v>#INVALID COMPANY ID</v>
      </c>
      <c r="U352" t="s">
        <v>894</v>
      </c>
      <c r="V352">
        <v>4139629</v>
      </c>
      <c r="W352" t="s">
        <v>346</v>
      </c>
      <c r="X352" s="11">
        <v>0</v>
      </c>
      <c r="Y352" s="9" t="str">
        <f>_xll.SNL.Clients.Office.Excel.Functions.SPG(V352, "SP_COUNTRY_NAME")</f>
        <v>Singapore</v>
      </c>
      <c r="AD352" s="9" t="str">
        <f>_xll.SNL.Clients.Office.Excel.Functions.SPG(AA352, "SP_COUNTRY_NAME")</f>
        <v>#INVALID COMPANY ID</v>
      </c>
      <c r="AI352" s="9" t="str">
        <f>_xll.SNL.Clients.Office.Excel.Functions.SPG(AF352, "SP_COUNTRY_NAME")</f>
        <v>#INVALID COMPANY ID</v>
      </c>
      <c r="AN352" s="9" t="str">
        <f>_xll.SNL.Clients.Office.Excel.Functions.SPG(AK352, "SP_COUNTRY_NAME")</f>
        <v>#INVALID COMPANY ID</v>
      </c>
      <c r="AS352" s="9" t="str">
        <f>_xll.SNL.Clients.Office.Excel.Functions.SPG(AP352, "SP_COUNTRY_NAME")</f>
        <v>#INVALID COMPANY ID</v>
      </c>
      <c r="AX352" s="9" t="str">
        <f>_xll.SNL.Clients.Office.Excel.Functions.SPG(AU352, "SP_COUNTRY_NAME")</f>
        <v>#INVALID COMPANY ID</v>
      </c>
      <c r="BC352" s="9" t="str">
        <f>_xll.SNL.Clients.Office.Excel.Functions.SPG(AZ352, "SP_COUNTRY_NAME")</f>
        <v>#INVALID COMPANY ID</v>
      </c>
      <c r="BD352" t="s">
        <v>1499</v>
      </c>
      <c r="BE352">
        <v>5642815</v>
      </c>
      <c r="BF352" t="s">
        <v>346</v>
      </c>
      <c r="BG352" s="11">
        <v>0</v>
      </c>
      <c r="BH352" s="9" t="str">
        <f>_xll.SNL.Clients.Office.Excel.Functions.SPG(BE352, "SP_COUNTRY_NAME")</f>
        <v>Spain</v>
      </c>
      <c r="BM352" s="9" t="str">
        <f>_xll.SNL.Clients.Office.Excel.Functions.SPG(BJ352, "SP_COUNTRY_NAME")</f>
        <v>#INVALID COMPANY ID</v>
      </c>
      <c r="BR352" s="9" t="str">
        <f>_xll.SNL.Clients.Office.Excel.Functions.SPG(BO352, "SP_COUNTRY_NAME")</f>
        <v>#INVALID COMPANY ID</v>
      </c>
      <c r="BS352" t="s">
        <v>1033</v>
      </c>
      <c r="BT352">
        <v>4138131</v>
      </c>
      <c r="BU352" t="s">
        <v>346</v>
      </c>
      <c r="BV352" s="11">
        <v>0</v>
      </c>
      <c r="BW352" s="9" t="str">
        <f>_xll.SNL.Clients.Office.Excel.Functions.SPG(BT352, "SP_COUNTRY_NAME")</f>
        <v>Germany</v>
      </c>
      <c r="BX352" t="s">
        <v>894</v>
      </c>
      <c r="BY352">
        <v>4139629</v>
      </c>
      <c r="BZ352" t="s">
        <v>346</v>
      </c>
      <c r="CA352" s="11">
        <v>0</v>
      </c>
      <c r="CB352" s="9" t="str">
        <f>_xll.SNL.Clients.Office.Excel.Functions.SPG(BY352, "SP_COUNTRY_NAME")</f>
        <v>Singapore</v>
      </c>
      <c r="CC352" t="s">
        <v>977</v>
      </c>
      <c r="CD352">
        <v>4578628</v>
      </c>
      <c r="CE352" t="s">
        <v>346</v>
      </c>
      <c r="CF352" s="11">
        <v>0</v>
      </c>
      <c r="CG352" s="9" t="str">
        <f>_xll.SNL.Clients.Office.Excel.Functions.SPG(CD352, "SP_COUNTRY_NAME")</f>
        <v>USA</v>
      </c>
      <c r="CL352" s="9" t="str">
        <f>_xll.SNL.Clients.Office.Excel.Functions.SPG(CI352, "SP_COUNTRY_NAME")</f>
        <v>#INVALID COMPANY ID</v>
      </c>
      <c r="CM352" t="s">
        <v>2051</v>
      </c>
      <c r="CN352">
        <v>4045946</v>
      </c>
      <c r="CO352" t="s">
        <v>346</v>
      </c>
      <c r="CP352" s="11">
        <v>0</v>
      </c>
      <c r="CQ352" s="9" t="str">
        <f>_xll.SNL.Clients.Office.Excel.Functions.SPG(CN352, "SP_COUNTRY_NAME")</f>
        <v>USA</v>
      </c>
      <c r="CV352" s="9" t="str">
        <f>_xll.SNL.Clients.Office.Excel.Functions.SPG(CS352, "SP_COUNTRY_NAME")</f>
        <v>#INVALID COMPANY ID</v>
      </c>
      <c r="DA352" s="9" t="str">
        <f>_xll.SNL.Clients.Office.Excel.Functions.SPG(CX352, "SP_COUNTRY_NAME")</f>
        <v>#INVALID COMPANY ID</v>
      </c>
      <c r="DB352" t="s">
        <v>1499</v>
      </c>
      <c r="DC352">
        <v>5642815</v>
      </c>
      <c r="DD352" t="s">
        <v>346</v>
      </c>
      <c r="DE352" s="11">
        <v>0</v>
      </c>
      <c r="DF352" s="9" t="str">
        <f>_xll.SNL.Clients.Office.Excel.Functions.SPG(DC352, "SP_COUNTRY_NAME")</f>
        <v>Spain</v>
      </c>
      <c r="DK352" s="9" t="str">
        <f>_xll.SNL.Clients.Office.Excel.Functions.SPG(DH352, "SP_COUNTRY_NAME")</f>
        <v>#INVALID COMPANY ID</v>
      </c>
      <c r="DL352" t="s">
        <v>1499</v>
      </c>
      <c r="DM352">
        <v>5642815</v>
      </c>
      <c r="DN352" t="s">
        <v>346</v>
      </c>
      <c r="DO352" s="11">
        <v>0</v>
      </c>
      <c r="DP352" s="9" t="str">
        <f>_xll.SNL.Clients.Office.Excel.Functions.SPG(DM352, "SP_COUNTRY_NAME")</f>
        <v>Spain</v>
      </c>
      <c r="DU352" s="9" t="str">
        <f>_xll.SNL.Clients.Office.Excel.Functions.SPG(DR352, "SP_COUNTRY_NAME")</f>
        <v>#INVALID COMPANY ID</v>
      </c>
      <c r="DZ352" s="9" t="str">
        <f>_xll.SNL.Clients.Office.Excel.Functions.SPG(DW352, "SP_COUNTRY_NAME")</f>
        <v>#INVALID COMPANY ID</v>
      </c>
      <c r="EA352" t="s">
        <v>977</v>
      </c>
      <c r="EB352">
        <v>4578628</v>
      </c>
      <c r="EC352" t="s">
        <v>346</v>
      </c>
      <c r="ED352" s="11">
        <v>0</v>
      </c>
      <c r="EE352" s="9" t="str">
        <f>_xll.SNL.Clients.Office.Excel.Functions.SPG(EB352, "SP_COUNTRY_NAME")</f>
        <v>USA</v>
      </c>
      <c r="EF352" t="s">
        <v>1499</v>
      </c>
      <c r="EG352">
        <v>5642815</v>
      </c>
      <c r="EH352" t="s">
        <v>346</v>
      </c>
      <c r="EI352" s="11">
        <v>0</v>
      </c>
      <c r="EJ352" s="9" t="str">
        <f>_xll.SNL.Clients.Office.Excel.Functions.SPG(EG352, "SP_COUNTRY_NAME")</f>
        <v>Spain</v>
      </c>
      <c r="EO352" s="9" t="str">
        <f>_xll.SNL.Clients.Office.Excel.Functions.SPG(EL352, "SP_COUNTRY_NAME")</f>
        <v>#INVALID COMPANY ID</v>
      </c>
      <c r="ET352" s="9" t="str">
        <f>_xll.SNL.Clients.Office.Excel.Functions.SPG(EQ352, "SP_COUNTRY_NAME")</f>
        <v>#INVALID COMPANY ID</v>
      </c>
      <c r="EY352" s="9" t="str">
        <f>_xll.SNL.Clients.Office.Excel.Functions.SPG(EV352, "SP_COUNTRY_NAME")</f>
        <v>#INVALID COMPANY ID</v>
      </c>
      <c r="FD352" s="9" t="str">
        <f>_xll.SNL.Clients.Office.Excel.Functions.SPG(FA352, "SP_COUNTRY_NAME")</f>
        <v>#INVALID COMPANY ID</v>
      </c>
      <c r="FI352" s="9" t="str">
        <f>_xll.SNL.Clients.Office.Excel.Functions.SPG(FF352, "SP_COUNTRY_NAME")</f>
        <v>#INVALID COMPANY ID</v>
      </c>
      <c r="FN352" s="9" t="str">
        <f>_xll.SNL.Clients.Office.Excel.Functions.SPG(FK352, "SP_COUNTRY_NAME")</f>
        <v>#INVALID COMPANY ID</v>
      </c>
      <c r="FS352" s="9" t="str">
        <f>_xll.SNL.Clients.Office.Excel.Functions.SPG(FP352, "SP_COUNTRY_NAME")</f>
        <v>#INVALID COMPANY ID</v>
      </c>
      <c r="FX352" s="9" t="str">
        <f>_xll.SNL.Clients.Office.Excel.Functions.SPG(FU352, "SP_COUNTRY_NAME")</f>
        <v>#INVALID COMPANY ID</v>
      </c>
      <c r="FY352" t="s">
        <v>1499</v>
      </c>
      <c r="FZ352">
        <v>5642815</v>
      </c>
      <c r="GA352" t="s">
        <v>346</v>
      </c>
      <c r="GB352" s="11">
        <v>0</v>
      </c>
      <c r="GC352" s="9" t="str">
        <f>_xll.SNL.Clients.Office.Excel.Functions.SPG(FZ352, "SP_COUNTRY_NAME")</f>
        <v>Spain</v>
      </c>
      <c r="GH352" s="9" t="str">
        <f>_xll.SNL.Clients.Office.Excel.Functions.SPG(GE352, "SP_COUNTRY_NAME")</f>
        <v>#INVALID COMPANY ID</v>
      </c>
      <c r="GM352" s="9" t="str">
        <f>_xll.SNL.Clients.Office.Excel.Functions.SPG(GJ352, "SP_COUNTRY_NAME")</f>
        <v>#INVALID COMPANY ID</v>
      </c>
      <c r="GR352" s="9" t="str">
        <f>_xll.SNL.Clients.Office.Excel.Functions.SPG(GO352, "SP_COUNTRY_NAME")</f>
        <v>#INVALID COMPANY ID</v>
      </c>
      <c r="GW352" s="9" t="str">
        <f>_xll.SNL.Clients.Office.Excel.Functions.SPG(GT352, "SP_COUNTRY_NAME")</f>
        <v>#INVALID COMPANY ID</v>
      </c>
      <c r="GX352" t="s">
        <v>977</v>
      </c>
      <c r="GY352">
        <v>4578628</v>
      </c>
      <c r="GZ352" t="s">
        <v>346</v>
      </c>
      <c r="HA352" s="11">
        <v>0</v>
      </c>
      <c r="HB352" s="9" t="str">
        <f>_xll.SNL.Clients.Office.Excel.Functions.SPG(GY352, "SP_COUNTRY_NAME")</f>
        <v>USA</v>
      </c>
      <c r="HG352" s="9" t="str">
        <f>_xll.SNL.Clients.Office.Excel.Functions.SPG(HD352, "SP_COUNTRY_NAME")</f>
        <v>#INVALID COMPANY ID</v>
      </c>
    </row>
    <row r="353" spans="5:215" x14ac:dyDescent="0.35">
      <c r="E353" s="9" t="str">
        <f>_xll.SNL.Clients.Office.Excel.Functions.SPG(B353, "SP_COUNTRY_NAME")</f>
        <v>#INVALID COMPANY ID</v>
      </c>
      <c r="J353" s="9" t="str">
        <f>_xll.SNL.Clients.Office.Excel.Functions.SPG(G353, "SP_COUNTRY_NAME")</f>
        <v>#INVALID COMPANY ID</v>
      </c>
      <c r="O353" s="9" t="str">
        <f>_xll.SNL.Clients.Office.Excel.Functions.SPG(L353, "SP_COUNTRY_NAME")</f>
        <v>#INVALID COMPANY ID</v>
      </c>
      <c r="T353" s="9" t="str">
        <f>_xll.SNL.Clients.Office.Excel.Functions.SPG(Q353, "SP_COUNTRY_NAME")</f>
        <v>#INVALID COMPANY ID</v>
      </c>
      <c r="U353" t="s">
        <v>895</v>
      </c>
      <c r="V353">
        <v>106158792</v>
      </c>
      <c r="W353" t="s">
        <v>346</v>
      </c>
      <c r="X353" s="11">
        <v>0</v>
      </c>
      <c r="Y353" s="9" t="str">
        <f>_xll.SNL.Clients.Office.Excel.Functions.SPG(V353, "SP_COUNTRY_NAME")</f>
        <v>China</v>
      </c>
      <c r="AD353" s="9" t="str">
        <f>_xll.SNL.Clients.Office.Excel.Functions.SPG(AA353, "SP_COUNTRY_NAME")</f>
        <v>#INVALID COMPANY ID</v>
      </c>
      <c r="AI353" s="9" t="str">
        <f>_xll.SNL.Clients.Office.Excel.Functions.SPG(AF353, "SP_COUNTRY_NAME")</f>
        <v>#INVALID COMPANY ID</v>
      </c>
      <c r="AN353" s="9" t="str">
        <f>_xll.SNL.Clients.Office.Excel.Functions.SPG(AK353, "SP_COUNTRY_NAME")</f>
        <v>#INVALID COMPANY ID</v>
      </c>
      <c r="AS353" s="9" t="str">
        <f>_xll.SNL.Clients.Office.Excel.Functions.SPG(AP353, "SP_COUNTRY_NAME")</f>
        <v>#INVALID COMPANY ID</v>
      </c>
      <c r="AX353" s="9" t="str">
        <f>_xll.SNL.Clients.Office.Excel.Functions.SPG(AU353, "SP_COUNTRY_NAME")</f>
        <v>#INVALID COMPANY ID</v>
      </c>
      <c r="BC353" s="9" t="str">
        <f>_xll.SNL.Clients.Office.Excel.Functions.SPG(AZ353, "SP_COUNTRY_NAME")</f>
        <v>#INVALID COMPANY ID</v>
      </c>
      <c r="BD353" t="s">
        <v>1330</v>
      </c>
      <c r="BE353">
        <v>19909326</v>
      </c>
      <c r="BF353" t="s">
        <v>364</v>
      </c>
      <c r="BG353" s="11">
        <v>0</v>
      </c>
      <c r="BH353" s="9" t="str">
        <f>_xll.SNL.Clients.Office.Excel.Functions.SPG(BE353, "SP_COUNTRY_NAME")</f>
        <v>South Africa</v>
      </c>
      <c r="BM353" s="9" t="str">
        <f>_xll.SNL.Clients.Office.Excel.Functions.SPG(BJ353, "SP_COUNTRY_NAME")</f>
        <v>#INVALID COMPANY ID</v>
      </c>
      <c r="BR353" s="9" t="str">
        <f>_xll.SNL.Clients.Office.Excel.Functions.SPG(BO353, "SP_COUNTRY_NAME")</f>
        <v>#INVALID COMPANY ID</v>
      </c>
      <c r="BS353" t="s">
        <v>919</v>
      </c>
      <c r="BT353">
        <v>28469313</v>
      </c>
      <c r="BU353" t="s">
        <v>346</v>
      </c>
      <c r="BV353" s="11">
        <v>0</v>
      </c>
      <c r="BW353" s="9" t="str">
        <f>_xll.SNL.Clients.Office.Excel.Functions.SPG(BT353, "SP_COUNTRY_NAME")</f>
        <v>China</v>
      </c>
      <c r="BX353" t="s">
        <v>895</v>
      </c>
      <c r="BY353">
        <v>106158792</v>
      </c>
      <c r="BZ353" t="s">
        <v>346</v>
      </c>
      <c r="CA353" s="11">
        <v>0</v>
      </c>
      <c r="CB353" s="9" t="str">
        <f>_xll.SNL.Clients.Office.Excel.Functions.SPG(BY353, "SP_COUNTRY_NAME")</f>
        <v>China</v>
      </c>
      <c r="CC353" t="s">
        <v>1028</v>
      </c>
      <c r="CD353">
        <v>4139830</v>
      </c>
      <c r="CE353" t="s">
        <v>346</v>
      </c>
      <c r="CF353" s="11">
        <v>0</v>
      </c>
      <c r="CG353" s="9" t="str">
        <f>_xll.SNL.Clients.Office.Excel.Functions.SPG(CD353, "SP_COUNTRY_NAME")</f>
        <v>Germany</v>
      </c>
      <c r="CL353" s="9" t="str">
        <f>_xll.SNL.Clients.Office.Excel.Functions.SPG(CI353, "SP_COUNTRY_NAME")</f>
        <v>#INVALID COMPANY ID</v>
      </c>
      <c r="CM353" t="s">
        <v>1370</v>
      </c>
      <c r="CN353">
        <v>19495946</v>
      </c>
      <c r="CO353" t="s">
        <v>346</v>
      </c>
      <c r="CP353" s="11">
        <v>0</v>
      </c>
      <c r="CQ353" s="9" t="str">
        <f>_xll.SNL.Clients.Office.Excel.Functions.SPG(CN353, "SP_COUNTRY_NAME")</f>
        <v>South Africa</v>
      </c>
      <c r="CV353" s="9" t="str">
        <f>_xll.SNL.Clients.Office.Excel.Functions.SPG(CS353, "SP_COUNTRY_NAME")</f>
        <v>#INVALID COMPANY ID</v>
      </c>
      <c r="DA353" s="9" t="str">
        <f>_xll.SNL.Clients.Office.Excel.Functions.SPG(CX353, "SP_COUNTRY_NAME")</f>
        <v>#INVALID COMPANY ID</v>
      </c>
      <c r="DB353" t="s">
        <v>1330</v>
      </c>
      <c r="DC353">
        <v>19909326</v>
      </c>
      <c r="DD353" t="s">
        <v>364</v>
      </c>
      <c r="DE353" s="11">
        <v>0</v>
      </c>
      <c r="DF353" s="9" t="str">
        <f>_xll.SNL.Clients.Office.Excel.Functions.SPG(DC353, "SP_COUNTRY_NAME")</f>
        <v>South Africa</v>
      </c>
      <c r="DK353" s="9" t="str">
        <f>_xll.SNL.Clients.Office.Excel.Functions.SPG(DH353, "SP_COUNTRY_NAME")</f>
        <v>#INVALID COMPANY ID</v>
      </c>
      <c r="DL353" t="s">
        <v>1330</v>
      </c>
      <c r="DM353">
        <v>19909326</v>
      </c>
      <c r="DN353" t="s">
        <v>364</v>
      </c>
      <c r="DO353" s="11">
        <v>0</v>
      </c>
      <c r="DP353" s="9" t="str">
        <f>_xll.SNL.Clients.Office.Excel.Functions.SPG(DM353, "SP_COUNTRY_NAME")</f>
        <v>South Africa</v>
      </c>
      <c r="DU353" s="9" t="str">
        <f>_xll.SNL.Clients.Office.Excel.Functions.SPG(DR353, "SP_COUNTRY_NAME")</f>
        <v>#INVALID COMPANY ID</v>
      </c>
      <c r="DZ353" s="9" t="str">
        <f>_xll.SNL.Clients.Office.Excel.Functions.SPG(DW353, "SP_COUNTRY_NAME")</f>
        <v>#INVALID COMPANY ID</v>
      </c>
      <c r="EA353" t="s">
        <v>1028</v>
      </c>
      <c r="EB353">
        <v>4139830</v>
      </c>
      <c r="EC353" t="s">
        <v>346</v>
      </c>
      <c r="ED353" s="11">
        <v>0</v>
      </c>
      <c r="EE353" s="9" t="str">
        <f>_xll.SNL.Clients.Office.Excel.Functions.SPG(EB353, "SP_COUNTRY_NAME")</f>
        <v>Germany</v>
      </c>
      <c r="EF353" t="s">
        <v>1330</v>
      </c>
      <c r="EG353">
        <v>19909326</v>
      </c>
      <c r="EH353" t="s">
        <v>364</v>
      </c>
      <c r="EI353" s="11">
        <v>0</v>
      </c>
      <c r="EJ353" s="9" t="str">
        <f>_xll.SNL.Clients.Office.Excel.Functions.SPG(EG353, "SP_COUNTRY_NAME")</f>
        <v>South Africa</v>
      </c>
      <c r="EO353" s="9" t="str">
        <f>_xll.SNL.Clients.Office.Excel.Functions.SPG(EL353, "SP_COUNTRY_NAME")</f>
        <v>#INVALID COMPANY ID</v>
      </c>
      <c r="ET353" s="9" t="str">
        <f>_xll.SNL.Clients.Office.Excel.Functions.SPG(EQ353, "SP_COUNTRY_NAME")</f>
        <v>#INVALID COMPANY ID</v>
      </c>
      <c r="EY353" s="9" t="str">
        <f>_xll.SNL.Clients.Office.Excel.Functions.SPG(EV353, "SP_COUNTRY_NAME")</f>
        <v>#INVALID COMPANY ID</v>
      </c>
      <c r="FD353" s="9" t="str">
        <f>_xll.SNL.Clients.Office.Excel.Functions.SPG(FA353, "SP_COUNTRY_NAME")</f>
        <v>#INVALID COMPANY ID</v>
      </c>
      <c r="FI353" s="9" t="str">
        <f>_xll.SNL.Clients.Office.Excel.Functions.SPG(FF353, "SP_COUNTRY_NAME")</f>
        <v>#INVALID COMPANY ID</v>
      </c>
      <c r="FN353" s="9" t="str">
        <f>_xll.SNL.Clients.Office.Excel.Functions.SPG(FK353, "SP_COUNTRY_NAME")</f>
        <v>#INVALID COMPANY ID</v>
      </c>
      <c r="FS353" s="9" t="str">
        <f>_xll.SNL.Clients.Office.Excel.Functions.SPG(FP353, "SP_COUNTRY_NAME")</f>
        <v>#INVALID COMPANY ID</v>
      </c>
      <c r="FX353" s="9" t="str">
        <f>_xll.SNL.Clients.Office.Excel.Functions.SPG(FU353, "SP_COUNTRY_NAME")</f>
        <v>#INVALID COMPANY ID</v>
      </c>
      <c r="FY353" t="s">
        <v>1330</v>
      </c>
      <c r="FZ353">
        <v>19909326</v>
      </c>
      <c r="GA353" t="s">
        <v>364</v>
      </c>
      <c r="GB353" s="11">
        <v>0</v>
      </c>
      <c r="GC353" s="9" t="str">
        <f>_xll.SNL.Clients.Office.Excel.Functions.SPG(FZ353, "SP_COUNTRY_NAME")</f>
        <v>South Africa</v>
      </c>
      <c r="GH353" s="9" t="str">
        <f>_xll.SNL.Clients.Office.Excel.Functions.SPG(GE353, "SP_COUNTRY_NAME")</f>
        <v>#INVALID COMPANY ID</v>
      </c>
      <c r="GM353" s="9" t="str">
        <f>_xll.SNL.Clients.Office.Excel.Functions.SPG(GJ353, "SP_COUNTRY_NAME")</f>
        <v>#INVALID COMPANY ID</v>
      </c>
      <c r="GR353" s="9" t="str">
        <f>_xll.SNL.Clients.Office.Excel.Functions.SPG(GO353, "SP_COUNTRY_NAME")</f>
        <v>#INVALID COMPANY ID</v>
      </c>
      <c r="GW353" s="9" t="str">
        <f>_xll.SNL.Clients.Office.Excel.Functions.SPG(GT353, "SP_COUNTRY_NAME")</f>
        <v>#INVALID COMPANY ID</v>
      </c>
      <c r="GX353" t="s">
        <v>1028</v>
      </c>
      <c r="GY353">
        <v>4139830</v>
      </c>
      <c r="GZ353" t="s">
        <v>346</v>
      </c>
      <c r="HA353" s="11">
        <v>0</v>
      </c>
      <c r="HB353" s="9" t="str">
        <f>_xll.SNL.Clients.Office.Excel.Functions.SPG(GY353, "SP_COUNTRY_NAME")</f>
        <v>Germany</v>
      </c>
      <c r="HG353" s="9" t="str">
        <f>_xll.SNL.Clients.Office.Excel.Functions.SPG(HD353, "SP_COUNTRY_NAME")</f>
        <v>#INVALID COMPANY ID</v>
      </c>
    </row>
    <row r="354" spans="5:215" x14ac:dyDescent="0.35">
      <c r="E354" s="9" t="str">
        <f>_xll.SNL.Clients.Office.Excel.Functions.SPG(B354, "SP_COUNTRY_NAME")</f>
        <v>#INVALID COMPANY ID</v>
      </c>
      <c r="J354" s="9" t="str">
        <f>_xll.SNL.Clients.Office.Excel.Functions.SPG(G354, "SP_COUNTRY_NAME")</f>
        <v>#INVALID COMPANY ID</v>
      </c>
      <c r="O354" s="9" t="str">
        <f>_xll.SNL.Clients.Office.Excel.Functions.SPG(L354, "SP_COUNTRY_NAME")</f>
        <v>#INVALID COMPANY ID</v>
      </c>
      <c r="T354" s="9" t="str">
        <f>_xll.SNL.Clients.Office.Excel.Functions.SPG(Q354, "SP_COUNTRY_NAME")</f>
        <v>#INVALID COMPANY ID</v>
      </c>
      <c r="U354" t="s">
        <v>896</v>
      </c>
      <c r="V354">
        <v>4272541</v>
      </c>
      <c r="W354" t="s">
        <v>346</v>
      </c>
      <c r="X354" s="11">
        <v>0</v>
      </c>
      <c r="Y354" s="9" t="str">
        <f>_xll.SNL.Clients.Office.Excel.Functions.SPG(V354, "SP_COUNTRY_NAME")</f>
        <v>USA</v>
      </c>
      <c r="AD354" s="9" t="str">
        <f>_xll.SNL.Clients.Office.Excel.Functions.SPG(AA354, "SP_COUNTRY_NAME")</f>
        <v>#INVALID COMPANY ID</v>
      </c>
      <c r="AI354" s="9" t="str">
        <f>_xll.SNL.Clients.Office.Excel.Functions.SPG(AF354, "SP_COUNTRY_NAME")</f>
        <v>#INVALID COMPANY ID</v>
      </c>
      <c r="AN354" s="9" t="str">
        <f>_xll.SNL.Clients.Office.Excel.Functions.SPG(AK354, "SP_COUNTRY_NAME")</f>
        <v>#INVALID COMPANY ID</v>
      </c>
      <c r="AS354" s="9" t="str">
        <f>_xll.SNL.Clients.Office.Excel.Functions.SPG(AP354, "SP_COUNTRY_NAME")</f>
        <v>#INVALID COMPANY ID</v>
      </c>
      <c r="AX354" s="9" t="str">
        <f>_xll.SNL.Clients.Office.Excel.Functions.SPG(AU354, "SP_COUNTRY_NAME")</f>
        <v>#INVALID COMPANY ID</v>
      </c>
      <c r="BC354" s="9" t="str">
        <f>_xll.SNL.Clients.Office.Excel.Functions.SPG(AZ354, "SP_COUNTRY_NAME")</f>
        <v>#INVALID COMPANY ID</v>
      </c>
      <c r="BD354" t="s">
        <v>1500</v>
      </c>
      <c r="BE354">
        <v>4388826</v>
      </c>
      <c r="BF354" t="s">
        <v>346</v>
      </c>
      <c r="BG354" s="11">
        <v>0</v>
      </c>
      <c r="BH354" s="9" t="str">
        <f>_xll.SNL.Clients.Office.Excel.Functions.SPG(BE354, "SP_COUNTRY_NAME")</f>
        <v>USA</v>
      </c>
      <c r="BM354" s="9" t="str">
        <f>_xll.SNL.Clients.Office.Excel.Functions.SPG(BJ354, "SP_COUNTRY_NAME")</f>
        <v>#INVALID COMPANY ID</v>
      </c>
      <c r="BR354" s="9" t="str">
        <f>_xll.SNL.Clients.Office.Excel.Functions.SPG(BO354, "SP_COUNTRY_NAME")</f>
        <v>#INVALID COMPANY ID</v>
      </c>
      <c r="BS354" t="s">
        <v>1034</v>
      </c>
      <c r="BT354">
        <v>4256960</v>
      </c>
      <c r="BU354" t="s">
        <v>346</v>
      </c>
      <c r="BV354" s="11">
        <v>0</v>
      </c>
      <c r="BW354" s="9" t="str">
        <f>_xll.SNL.Clients.Office.Excel.Functions.SPG(BT354, "SP_COUNTRY_NAME")</f>
        <v>Latvia</v>
      </c>
      <c r="BX354" t="s">
        <v>896</v>
      </c>
      <c r="BY354">
        <v>4272541</v>
      </c>
      <c r="BZ354" t="s">
        <v>346</v>
      </c>
      <c r="CA354" s="11">
        <v>0</v>
      </c>
      <c r="CB354" s="9" t="str">
        <f>_xll.SNL.Clients.Office.Excel.Functions.SPG(BY354, "SP_COUNTRY_NAME")</f>
        <v>USA</v>
      </c>
      <c r="CC354" t="s">
        <v>1792</v>
      </c>
      <c r="CD354">
        <v>4134940</v>
      </c>
      <c r="CE354" t="s">
        <v>346</v>
      </c>
      <c r="CF354" s="11">
        <v>0</v>
      </c>
      <c r="CG354" s="9" t="str">
        <f>_xll.SNL.Clients.Office.Excel.Functions.SPG(CD354, "SP_COUNTRY_NAME")</f>
        <v>USA</v>
      </c>
      <c r="CL354" s="9" t="str">
        <f>_xll.SNL.Clients.Office.Excel.Functions.SPG(CI354, "SP_COUNTRY_NAME")</f>
        <v>#INVALID COMPANY ID</v>
      </c>
      <c r="CM354" t="s">
        <v>1425</v>
      </c>
      <c r="CN354">
        <v>4115725</v>
      </c>
      <c r="CO354" t="s">
        <v>346</v>
      </c>
      <c r="CP354" s="11">
        <v>0</v>
      </c>
      <c r="CQ354" s="9" t="str">
        <f>_xll.SNL.Clients.Office.Excel.Functions.SPG(CN354, "SP_COUNTRY_NAME")</f>
        <v>United Kingdom</v>
      </c>
      <c r="CV354" s="9" t="str">
        <f>_xll.SNL.Clients.Office.Excel.Functions.SPG(CS354, "SP_COUNTRY_NAME")</f>
        <v>#INVALID COMPANY ID</v>
      </c>
      <c r="DA354" s="9" t="str">
        <f>_xll.SNL.Clients.Office.Excel.Functions.SPG(CX354, "SP_COUNTRY_NAME")</f>
        <v>#INVALID COMPANY ID</v>
      </c>
      <c r="DB354" t="s">
        <v>1500</v>
      </c>
      <c r="DC354">
        <v>4388826</v>
      </c>
      <c r="DD354" t="s">
        <v>346</v>
      </c>
      <c r="DE354" s="11">
        <v>0</v>
      </c>
      <c r="DF354" s="9" t="str">
        <f>_xll.SNL.Clients.Office.Excel.Functions.SPG(DC354, "SP_COUNTRY_NAME")</f>
        <v>USA</v>
      </c>
      <c r="DK354" s="9" t="str">
        <f>_xll.SNL.Clients.Office.Excel.Functions.SPG(DH354, "SP_COUNTRY_NAME")</f>
        <v>#INVALID COMPANY ID</v>
      </c>
      <c r="DL354" t="s">
        <v>1500</v>
      </c>
      <c r="DM354">
        <v>4388826</v>
      </c>
      <c r="DN354" t="s">
        <v>346</v>
      </c>
      <c r="DO354" s="11">
        <v>0</v>
      </c>
      <c r="DP354" s="9" t="str">
        <f>_xll.SNL.Clients.Office.Excel.Functions.SPG(DM354, "SP_COUNTRY_NAME")</f>
        <v>USA</v>
      </c>
      <c r="DU354" s="9" t="str">
        <f>_xll.SNL.Clients.Office.Excel.Functions.SPG(DR354, "SP_COUNTRY_NAME")</f>
        <v>#INVALID COMPANY ID</v>
      </c>
      <c r="DZ354" s="9" t="str">
        <f>_xll.SNL.Clients.Office.Excel.Functions.SPG(DW354, "SP_COUNTRY_NAME")</f>
        <v>#INVALID COMPANY ID</v>
      </c>
      <c r="EA354" t="s">
        <v>1792</v>
      </c>
      <c r="EB354">
        <v>4134940</v>
      </c>
      <c r="EC354" t="s">
        <v>346</v>
      </c>
      <c r="ED354" s="11">
        <v>0</v>
      </c>
      <c r="EE354" s="9" t="str">
        <f>_xll.SNL.Clients.Office.Excel.Functions.SPG(EB354, "SP_COUNTRY_NAME")</f>
        <v>USA</v>
      </c>
      <c r="EF354" t="s">
        <v>1500</v>
      </c>
      <c r="EG354">
        <v>4388826</v>
      </c>
      <c r="EH354" t="s">
        <v>346</v>
      </c>
      <c r="EI354" s="11">
        <v>0</v>
      </c>
      <c r="EJ354" s="9" t="str">
        <f>_xll.SNL.Clients.Office.Excel.Functions.SPG(EG354, "SP_COUNTRY_NAME")</f>
        <v>USA</v>
      </c>
      <c r="EO354" s="9" t="str">
        <f>_xll.SNL.Clients.Office.Excel.Functions.SPG(EL354, "SP_COUNTRY_NAME")</f>
        <v>#INVALID COMPANY ID</v>
      </c>
      <c r="ET354" s="9" t="str">
        <f>_xll.SNL.Clients.Office.Excel.Functions.SPG(EQ354, "SP_COUNTRY_NAME")</f>
        <v>#INVALID COMPANY ID</v>
      </c>
      <c r="EY354" s="9" t="str">
        <f>_xll.SNL.Clients.Office.Excel.Functions.SPG(EV354, "SP_COUNTRY_NAME")</f>
        <v>#INVALID COMPANY ID</v>
      </c>
      <c r="FD354" s="9" t="str">
        <f>_xll.SNL.Clients.Office.Excel.Functions.SPG(FA354, "SP_COUNTRY_NAME")</f>
        <v>#INVALID COMPANY ID</v>
      </c>
      <c r="FI354" s="9" t="str">
        <f>_xll.SNL.Clients.Office.Excel.Functions.SPG(FF354, "SP_COUNTRY_NAME")</f>
        <v>#INVALID COMPANY ID</v>
      </c>
      <c r="FN354" s="9" t="str">
        <f>_xll.SNL.Clients.Office.Excel.Functions.SPG(FK354, "SP_COUNTRY_NAME")</f>
        <v>#INVALID COMPANY ID</v>
      </c>
      <c r="FS354" s="9" t="str">
        <f>_xll.SNL.Clients.Office.Excel.Functions.SPG(FP354, "SP_COUNTRY_NAME")</f>
        <v>#INVALID COMPANY ID</v>
      </c>
      <c r="FX354" s="9" t="str">
        <f>_xll.SNL.Clients.Office.Excel.Functions.SPG(FU354, "SP_COUNTRY_NAME")</f>
        <v>#INVALID COMPANY ID</v>
      </c>
      <c r="FY354" t="s">
        <v>1500</v>
      </c>
      <c r="FZ354">
        <v>4388826</v>
      </c>
      <c r="GA354" t="s">
        <v>346</v>
      </c>
      <c r="GB354" s="11">
        <v>0</v>
      </c>
      <c r="GC354" s="9" t="str">
        <f>_xll.SNL.Clients.Office.Excel.Functions.SPG(FZ354, "SP_COUNTRY_NAME")</f>
        <v>USA</v>
      </c>
      <c r="GH354" s="9" t="str">
        <f>_xll.SNL.Clients.Office.Excel.Functions.SPG(GE354, "SP_COUNTRY_NAME")</f>
        <v>#INVALID COMPANY ID</v>
      </c>
      <c r="GM354" s="9" t="str">
        <f>_xll.SNL.Clients.Office.Excel.Functions.SPG(GJ354, "SP_COUNTRY_NAME")</f>
        <v>#INVALID COMPANY ID</v>
      </c>
      <c r="GR354" s="9" t="str">
        <f>_xll.SNL.Clients.Office.Excel.Functions.SPG(GO354, "SP_COUNTRY_NAME")</f>
        <v>#INVALID COMPANY ID</v>
      </c>
      <c r="GW354" s="9" t="str">
        <f>_xll.SNL.Clients.Office.Excel.Functions.SPG(GT354, "SP_COUNTRY_NAME")</f>
        <v>#INVALID COMPANY ID</v>
      </c>
      <c r="GX354" t="s">
        <v>1792</v>
      </c>
      <c r="GY354">
        <v>4134940</v>
      </c>
      <c r="GZ354" t="s">
        <v>346</v>
      </c>
      <c r="HA354" s="11">
        <v>0</v>
      </c>
      <c r="HB354" s="9" t="str">
        <f>_xll.SNL.Clients.Office.Excel.Functions.SPG(GY354, "SP_COUNTRY_NAME")</f>
        <v>USA</v>
      </c>
      <c r="HG354" s="9" t="str">
        <f>_xll.SNL.Clients.Office.Excel.Functions.SPG(HD354, "SP_COUNTRY_NAME")</f>
        <v>#INVALID COMPANY ID</v>
      </c>
    </row>
    <row r="355" spans="5:215" x14ac:dyDescent="0.35">
      <c r="E355" s="9" t="str">
        <f>_xll.SNL.Clients.Office.Excel.Functions.SPG(B355, "SP_COUNTRY_NAME")</f>
        <v>#INVALID COMPANY ID</v>
      </c>
      <c r="J355" s="9" t="str">
        <f>_xll.SNL.Clients.Office.Excel.Functions.SPG(G355, "SP_COUNTRY_NAME")</f>
        <v>#INVALID COMPANY ID</v>
      </c>
      <c r="O355" s="9" t="str">
        <f>_xll.SNL.Clients.Office.Excel.Functions.SPG(L355, "SP_COUNTRY_NAME")</f>
        <v>#INVALID COMPANY ID</v>
      </c>
      <c r="T355" s="9" t="str">
        <f>_xll.SNL.Clients.Office.Excel.Functions.SPG(Q355, "SP_COUNTRY_NAME")</f>
        <v>#INVALID COMPANY ID</v>
      </c>
      <c r="U355" t="s">
        <v>897</v>
      </c>
      <c r="V355">
        <v>19438254</v>
      </c>
      <c r="W355" t="s">
        <v>346</v>
      </c>
      <c r="X355" s="11">
        <v>0</v>
      </c>
      <c r="Y355" s="9" t="str">
        <f>_xll.SNL.Clients.Office.Excel.Functions.SPG(V355, "SP_COUNTRY_NAME")</f>
        <v>China</v>
      </c>
      <c r="AD355" s="9" t="str">
        <f>_xll.SNL.Clients.Office.Excel.Functions.SPG(AA355, "SP_COUNTRY_NAME")</f>
        <v>#INVALID COMPANY ID</v>
      </c>
      <c r="AI355" s="9" t="str">
        <f>_xll.SNL.Clients.Office.Excel.Functions.SPG(AF355, "SP_COUNTRY_NAME")</f>
        <v>#INVALID COMPANY ID</v>
      </c>
      <c r="AN355" s="9" t="str">
        <f>_xll.SNL.Clients.Office.Excel.Functions.SPG(AK355, "SP_COUNTRY_NAME")</f>
        <v>#INVALID COMPANY ID</v>
      </c>
      <c r="AS355" s="9" t="str">
        <f>_xll.SNL.Clients.Office.Excel.Functions.SPG(AP355, "SP_COUNTRY_NAME")</f>
        <v>#INVALID COMPANY ID</v>
      </c>
      <c r="AX355" s="9" t="str">
        <f>_xll.SNL.Clients.Office.Excel.Functions.SPG(AU355, "SP_COUNTRY_NAME")</f>
        <v>#INVALID COMPANY ID</v>
      </c>
      <c r="BC355" s="9" t="str">
        <f>_xll.SNL.Clients.Office.Excel.Functions.SPG(AZ355, "SP_COUNTRY_NAME")</f>
        <v>#INVALID COMPANY ID</v>
      </c>
      <c r="BD355" t="s">
        <v>1501</v>
      </c>
      <c r="BE355">
        <v>19104894</v>
      </c>
      <c r="BF355" t="s">
        <v>276</v>
      </c>
      <c r="BG355" s="11">
        <v>0</v>
      </c>
      <c r="BH355" s="9" t="str">
        <f>_xll.SNL.Clients.Office.Excel.Functions.SPG(BE355, "SP_COUNTRY_NAME")</f>
        <v>South Africa</v>
      </c>
      <c r="BM355" s="9" t="str">
        <f>_xll.SNL.Clients.Office.Excel.Functions.SPG(BJ355, "SP_COUNTRY_NAME")</f>
        <v>#INVALID COMPANY ID</v>
      </c>
      <c r="BR355" s="9" t="str">
        <f>_xll.SNL.Clients.Office.Excel.Functions.SPG(BO355, "SP_COUNTRY_NAME")</f>
        <v>#INVALID COMPANY ID</v>
      </c>
      <c r="BS355" t="s">
        <v>1035</v>
      </c>
      <c r="BT355">
        <v>4015717</v>
      </c>
      <c r="BU355" t="s">
        <v>346</v>
      </c>
      <c r="BV355" s="11">
        <v>0</v>
      </c>
      <c r="BW355" s="9" t="str">
        <f>_xll.SNL.Clients.Office.Excel.Functions.SPG(BT355, "SP_COUNTRY_NAME")</f>
        <v>United Kingdom</v>
      </c>
      <c r="BX355" t="s">
        <v>897</v>
      </c>
      <c r="BY355">
        <v>19438254</v>
      </c>
      <c r="BZ355" t="s">
        <v>346</v>
      </c>
      <c r="CA355" s="11">
        <v>0</v>
      </c>
      <c r="CB355" s="9" t="str">
        <f>_xll.SNL.Clients.Office.Excel.Functions.SPG(BY355, "SP_COUNTRY_NAME")</f>
        <v>China</v>
      </c>
      <c r="CC355" t="s">
        <v>998</v>
      </c>
      <c r="CD355">
        <v>5753419</v>
      </c>
      <c r="CE355" t="s">
        <v>346</v>
      </c>
      <c r="CF355" s="11">
        <v>0</v>
      </c>
      <c r="CG355" s="9" t="str">
        <f>_xll.SNL.Clients.Office.Excel.Functions.SPG(CD355, "SP_COUNTRY_NAME")</f>
        <v>Switzerland</v>
      </c>
      <c r="CL355" s="9" t="str">
        <f>_xll.SNL.Clients.Office.Excel.Functions.SPG(CI355, "SP_COUNTRY_NAME")</f>
        <v>#INVALID COMPANY ID</v>
      </c>
      <c r="CM355" t="s">
        <v>1861</v>
      </c>
      <c r="CN355">
        <v>4026892</v>
      </c>
      <c r="CO355" t="s">
        <v>346</v>
      </c>
      <c r="CP355" s="11">
        <v>0</v>
      </c>
      <c r="CQ355" s="9" t="str">
        <f>_xll.SNL.Clients.Office.Excel.Functions.SPG(CN355, "SP_COUNTRY_NAME")</f>
        <v>USA</v>
      </c>
      <c r="CV355" s="9" t="str">
        <f>_xll.SNL.Clients.Office.Excel.Functions.SPG(CS355, "SP_COUNTRY_NAME")</f>
        <v>#INVALID COMPANY ID</v>
      </c>
      <c r="DA355" s="9" t="str">
        <f>_xll.SNL.Clients.Office.Excel.Functions.SPG(CX355, "SP_COUNTRY_NAME")</f>
        <v>#INVALID COMPANY ID</v>
      </c>
      <c r="DB355" t="s">
        <v>1501</v>
      </c>
      <c r="DC355">
        <v>19104894</v>
      </c>
      <c r="DD355" t="s">
        <v>276</v>
      </c>
      <c r="DE355" s="11">
        <v>0</v>
      </c>
      <c r="DF355" s="9" t="str">
        <f>_xll.SNL.Clients.Office.Excel.Functions.SPG(DC355, "SP_COUNTRY_NAME")</f>
        <v>South Africa</v>
      </c>
      <c r="DK355" s="9" t="str">
        <f>_xll.SNL.Clients.Office.Excel.Functions.SPG(DH355, "SP_COUNTRY_NAME")</f>
        <v>#INVALID COMPANY ID</v>
      </c>
      <c r="DL355" t="s">
        <v>1501</v>
      </c>
      <c r="DM355">
        <v>19104894</v>
      </c>
      <c r="DN355" t="s">
        <v>276</v>
      </c>
      <c r="DO355" s="11">
        <v>0</v>
      </c>
      <c r="DP355" s="9" t="str">
        <f>_xll.SNL.Clients.Office.Excel.Functions.SPG(DM355, "SP_COUNTRY_NAME")</f>
        <v>South Africa</v>
      </c>
      <c r="DU355" s="9" t="str">
        <f>_xll.SNL.Clients.Office.Excel.Functions.SPG(DR355, "SP_COUNTRY_NAME")</f>
        <v>#INVALID COMPANY ID</v>
      </c>
      <c r="DZ355" s="9" t="str">
        <f>_xll.SNL.Clients.Office.Excel.Functions.SPG(DW355, "SP_COUNTRY_NAME")</f>
        <v>#INVALID COMPANY ID</v>
      </c>
      <c r="EA355" t="s">
        <v>998</v>
      </c>
      <c r="EB355">
        <v>5753419</v>
      </c>
      <c r="EC355" t="s">
        <v>346</v>
      </c>
      <c r="ED355" s="11">
        <v>0</v>
      </c>
      <c r="EE355" s="9" t="str">
        <f>_xll.SNL.Clients.Office.Excel.Functions.SPG(EB355, "SP_COUNTRY_NAME")</f>
        <v>Switzerland</v>
      </c>
      <c r="EF355" t="s">
        <v>1501</v>
      </c>
      <c r="EG355">
        <v>19104894</v>
      </c>
      <c r="EH355" t="s">
        <v>276</v>
      </c>
      <c r="EI355" s="11">
        <v>0</v>
      </c>
      <c r="EJ355" s="9" t="str">
        <f>_xll.SNL.Clients.Office.Excel.Functions.SPG(EG355, "SP_COUNTRY_NAME")</f>
        <v>South Africa</v>
      </c>
      <c r="EO355" s="9" t="str">
        <f>_xll.SNL.Clients.Office.Excel.Functions.SPG(EL355, "SP_COUNTRY_NAME")</f>
        <v>#INVALID COMPANY ID</v>
      </c>
      <c r="ET355" s="9" t="str">
        <f>_xll.SNL.Clients.Office.Excel.Functions.SPG(EQ355, "SP_COUNTRY_NAME")</f>
        <v>#INVALID COMPANY ID</v>
      </c>
      <c r="EY355" s="9" t="str">
        <f>_xll.SNL.Clients.Office.Excel.Functions.SPG(EV355, "SP_COUNTRY_NAME")</f>
        <v>#INVALID COMPANY ID</v>
      </c>
      <c r="FD355" s="9" t="str">
        <f>_xll.SNL.Clients.Office.Excel.Functions.SPG(FA355, "SP_COUNTRY_NAME")</f>
        <v>#INVALID COMPANY ID</v>
      </c>
      <c r="FI355" s="9" t="str">
        <f>_xll.SNL.Clients.Office.Excel.Functions.SPG(FF355, "SP_COUNTRY_NAME")</f>
        <v>#INVALID COMPANY ID</v>
      </c>
      <c r="FN355" s="9" t="str">
        <f>_xll.SNL.Clients.Office.Excel.Functions.SPG(FK355, "SP_COUNTRY_NAME")</f>
        <v>#INVALID COMPANY ID</v>
      </c>
      <c r="FS355" s="9" t="str">
        <f>_xll.SNL.Clients.Office.Excel.Functions.SPG(FP355, "SP_COUNTRY_NAME")</f>
        <v>#INVALID COMPANY ID</v>
      </c>
      <c r="FX355" s="9" t="str">
        <f>_xll.SNL.Clients.Office.Excel.Functions.SPG(FU355, "SP_COUNTRY_NAME")</f>
        <v>#INVALID COMPANY ID</v>
      </c>
      <c r="FY355" t="s">
        <v>1501</v>
      </c>
      <c r="FZ355">
        <v>19104894</v>
      </c>
      <c r="GA355" t="s">
        <v>276</v>
      </c>
      <c r="GB355" s="11">
        <v>0</v>
      </c>
      <c r="GC355" s="9" t="str">
        <f>_xll.SNL.Clients.Office.Excel.Functions.SPG(FZ355, "SP_COUNTRY_NAME")</f>
        <v>South Africa</v>
      </c>
      <c r="GH355" s="9" t="str">
        <f>_xll.SNL.Clients.Office.Excel.Functions.SPG(GE355, "SP_COUNTRY_NAME")</f>
        <v>#INVALID COMPANY ID</v>
      </c>
      <c r="GM355" s="9" t="str">
        <f>_xll.SNL.Clients.Office.Excel.Functions.SPG(GJ355, "SP_COUNTRY_NAME")</f>
        <v>#INVALID COMPANY ID</v>
      </c>
      <c r="GR355" s="9" t="str">
        <f>_xll.SNL.Clients.Office.Excel.Functions.SPG(GO355, "SP_COUNTRY_NAME")</f>
        <v>#INVALID COMPANY ID</v>
      </c>
      <c r="GW355" s="9" t="str">
        <f>_xll.SNL.Clients.Office.Excel.Functions.SPG(GT355, "SP_COUNTRY_NAME")</f>
        <v>#INVALID COMPANY ID</v>
      </c>
      <c r="GX355" t="s">
        <v>998</v>
      </c>
      <c r="GY355">
        <v>5753419</v>
      </c>
      <c r="GZ355" t="s">
        <v>346</v>
      </c>
      <c r="HA355" s="11">
        <v>0</v>
      </c>
      <c r="HB355" s="9" t="str">
        <f>_xll.SNL.Clients.Office.Excel.Functions.SPG(GY355, "SP_COUNTRY_NAME")</f>
        <v>Switzerland</v>
      </c>
      <c r="HG355" s="9" t="str">
        <f>_xll.SNL.Clients.Office.Excel.Functions.SPG(HD355, "SP_COUNTRY_NAME")</f>
        <v>#INVALID COMPANY ID</v>
      </c>
    </row>
    <row r="356" spans="5:215" x14ac:dyDescent="0.35">
      <c r="E356" s="9" t="str">
        <f>_xll.SNL.Clients.Office.Excel.Functions.SPG(B356, "SP_COUNTRY_NAME")</f>
        <v>#INVALID COMPANY ID</v>
      </c>
      <c r="J356" s="9" t="str">
        <f>_xll.SNL.Clients.Office.Excel.Functions.SPG(G356, "SP_COUNTRY_NAME")</f>
        <v>#INVALID COMPANY ID</v>
      </c>
      <c r="O356" s="9" t="str">
        <f>_xll.SNL.Clients.Office.Excel.Functions.SPG(L356, "SP_COUNTRY_NAME")</f>
        <v>#INVALID COMPANY ID</v>
      </c>
      <c r="T356" s="9" t="str">
        <f>_xll.SNL.Clients.Office.Excel.Functions.SPG(Q356, "SP_COUNTRY_NAME")</f>
        <v>#INVALID COMPANY ID</v>
      </c>
      <c r="U356" t="s">
        <v>898</v>
      </c>
      <c r="V356">
        <v>106229912</v>
      </c>
      <c r="W356" t="s">
        <v>346</v>
      </c>
      <c r="X356" s="11">
        <v>0</v>
      </c>
      <c r="Y356" s="9" t="str">
        <f>_xll.SNL.Clients.Office.Excel.Functions.SPG(V356, "SP_COUNTRY_NAME")</f>
        <v>China</v>
      </c>
      <c r="AD356" s="9" t="str">
        <f>_xll.SNL.Clients.Office.Excel.Functions.SPG(AA356, "SP_COUNTRY_NAME")</f>
        <v>#INVALID COMPANY ID</v>
      </c>
      <c r="AI356" s="9" t="str">
        <f>_xll.SNL.Clients.Office.Excel.Functions.SPG(AF356, "SP_COUNTRY_NAME")</f>
        <v>#INVALID COMPANY ID</v>
      </c>
      <c r="AN356" s="9" t="str">
        <f>_xll.SNL.Clients.Office.Excel.Functions.SPG(AK356, "SP_COUNTRY_NAME")</f>
        <v>#INVALID COMPANY ID</v>
      </c>
      <c r="AS356" s="9" t="str">
        <f>_xll.SNL.Clients.Office.Excel.Functions.SPG(AP356, "SP_COUNTRY_NAME")</f>
        <v>#INVALID COMPANY ID</v>
      </c>
      <c r="AX356" s="9" t="str">
        <f>_xll.SNL.Clients.Office.Excel.Functions.SPG(AU356, "SP_COUNTRY_NAME")</f>
        <v>#INVALID COMPANY ID</v>
      </c>
      <c r="BC356" s="9" t="str">
        <f>_xll.SNL.Clients.Office.Excel.Functions.SPG(AZ356, "SP_COUNTRY_NAME")</f>
        <v>#INVALID COMPANY ID</v>
      </c>
      <c r="BD356" t="s">
        <v>1502</v>
      </c>
      <c r="BE356">
        <v>5878397</v>
      </c>
      <c r="BF356" t="s">
        <v>346</v>
      </c>
      <c r="BG356" s="11">
        <v>0</v>
      </c>
      <c r="BH356" s="9" t="str">
        <f>_xll.SNL.Clients.Office.Excel.Functions.SPG(BE356, "SP_COUNTRY_NAME")</f>
        <v>Luxembourg</v>
      </c>
      <c r="BM356" s="9" t="str">
        <f>_xll.SNL.Clients.Office.Excel.Functions.SPG(BJ356, "SP_COUNTRY_NAME")</f>
        <v>#INVALID COMPANY ID</v>
      </c>
      <c r="BR356" s="9" t="str">
        <f>_xll.SNL.Clients.Office.Excel.Functions.SPG(BO356, "SP_COUNTRY_NAME")</f>
        <v>#INVALID COMPANY ID</v>
      </c>
      <c r="BS356" t="s">
        <v>1036</v>
      </c>
      <c r="BT356">
        <v>5864674</v>
      </c>
      <c r="BU356" t="s">
        <v>346</v>
      </c>
      <c r="BV356" s="11">
        <v>0</v>
      </c>
      <c r="BW356" s="9" t="str">
        <f>_xll.SNL.Clients.Office.Excel.Functions.SPG(BT356, "SP_COUNTRY_NAME")</f>
        <v>Sweden</v>
      </c>
      <c r="BX356" t="s">
        <v>898</v>
      </c>
      <c r="BY356">
        <v>106229912</v>
      </c>
      <c r="BZ356" t="s">
        <v>346</v>
      </c>
      <c r="CA356" s="11">
        <v>0</v>
      </c>
      <c r="CB356" s="9" t="str">
        <f>_xll.SNL.Clients.Office.Excel.Functions.SPG(BY356, "SP_COUNTRY_NAME")</f>
        <v>China</v>
      </c>
      <c r="CC356" t="s">
        <v>519</v>
      </c>
      <c r="CD356">
        <v>109968</v>
      </c>
      <c r="CE356" t="s">
        <v>346</v>
      </c>
      <c r="CF356" s="11">
        <v>0</v>
      </c>
      <c r="CG356" s="9" t="str">
        <f>_xll.SNL.Clients.Office.Excel.Functions.SPG(CD356, "SP_COUNTRY_NAME")</f>
        <v>USA</v>
      </c>
      <c r="CL356" s="9" t="str">
        <f>_xll.SNL.Clients.Office.Excel.Functions.SPG(CI356, "SP_COUNTRY_NAME")</f>
        <v>#INVALID COMPANY ID</v>
      </c>
      <c r="CM356" t="s">
        <v>453</v>
      </c>
      <c r="CN356">
        <v>4318598</v>
      </c>
      <c r="CO356" t="s">
        <v>346</v>
      </c>
      <c r="CP356" s="11">
        <v>0</v>
      </c>
      <c r="CQ356" s="9" t="str">
        <f>_xll.SNL.Clients.Office.Excel.Functions.SPG(CN356, "SP_COUNTRY_NAME")</f>
        <v>USA</v>
      </c>
      <c r="CV356" s="9" t="str">
        <f>_xll.SNL.Clients.Office.Excel.Functions.SPG(CS356, "SP_COUNTRY_NAME")</f>
        <v>#INVALID COMPANY ID</v>
      </c>
      <c r="DA356" s="9" t="str">
        <f>_xll.SNL.Clients.Office.Excel.Functions.SPG(CX356, "SP_COUNTRY_NAME")</f>
        <v>#INVALID COMPANY ID</v>
      </c>
      <c r="DB356" t="s">
        <v>1502</v>
      </c>
      <c r="DC356">
        <v>5878397</v>
      </c>
      <c r="DD356" t="s">
        <v>346</v>
      </c>
      <c r="DE356" s="11">
        <v>0</v>
      </c>
      <c r="DF356" s="9" t="str">
        <f>_xll.SNL.Clients.Office.Excel.Functions.SPG(DC356, "SP_COUNTRY_NAME")</f>
        <v>Luxembourg</v>
      </c>
      <c r="DK356" s="9" t="str">
        <f>_xll.SNL.Clients.Office.Excel.Functions.SPG(DH356, "SP_COUNTRY_NAME")</f>
        <v>#INVALID COMPANY ID</v>
      </c>
      <c r="DL356" t="s">
        <v>1502</v>
      </c>
      <c r="DM356">
        <v>5878397</v>
      </c>
      <c r="DN356" t="s">
        <v>346</v>
      </c>
      <c r="DO356" s="11">
        <v>0</v>
      </c>
      <c r="DP356" s="9" t="str">
        <f>_xll.SNL.Clients.Office.Excel.Functions.SPG(DM356, "SP_COUNTRY_NAME")</f>
        <v>Luxembourg</v>
      </c>
      <c r="DU356" s="9" t="str">
        <f>_xll.SNL.Clients.Office.Excel.Functions.SPG(DR356, "SP_COUNTRY_NAME")</f>
        <v>#INVALID COMPANY ID</v>
      </c>
      <c r="DZ356" s="9" t="str">
        <f>_xll.SNL.Clients.Office.Excel.Functions.SPG(DW356, "SP_COUNTRY_NAME")</f>
        <v>#INVALID COMPANY ID</v>
      </c>
      <c r="EA356" t="s">
        <v>519</v>
      </c>
      <c r="EB356">
        <v>109968</v>
      </c>
      <c r="EC356" t="s">
        <v>346</v>
      </c>
      <c r="ED356" s="11">
        <v>0</v>
      </c>
      <c r="EE356" s="9" t="str">
        <f>_xll.SNL.Clients.Office.Excel.Functions.SPG(EB356, "SP_COUNTRY_NAME")</f>
        <v>USA</v>
      </c>
      <c r="EF356" t="s">
        <v>1502</v>
      </c>
      <c r="EG356">
        <v>5878397</v>
      </c>
      <c r="EH356" t="s">
        <v>346</v>
      </c>
      <c r="EI356" s="11">
        <v>0</v>
      </c>
      <c r="EJ356" s="9" t="str">
        <f>_xll.SNL.Clients.Office.Excel.Functions.SPG(EG356, "SP_COUNTRY_NAME")</f>
        <v>Luxembourg</v>
      </c>
      <c r="EO356" s="9" t="str">
        <f>_xll.SNL.Clients.Office.Excel.Functions.SPG(EL356, "SP_COUNTRY_NAME")</f>
        <v>#INVALID COMPANY ID</v>
      </c>
      <c r="ET356" s="9" t="str">
        <f>_xll.SNL.Clients.Office.Excel.Functions.SPG(EQ356, "SP_COUNTRY_NAME")</f>
        <v>#INVALID COMPANY ID</v>
      </c>
      <c r="EY356" s="9" t="str">
        <f>_xll.SNL.Clients.Office.Excel.Functions.SPG(EV356, "SP_COUNTRY_NAME")</f>
        <v>#INVALID COMPANY ID</v>
      </c>
      <c r="FD356" s="9" t="str">
        <f>_xll.SNL.Clients.Office.Excel.Functions.SPG(FA356, "SP_COUNTRY_NAME")</f>
        <v>#INVALID COMPANY ID</v>
      </c>
      <c r="FI356" s="9" t="str">
        <f>_xll.SNL.Clients.Office.Excel.Functions.SPG(FF356, "SP_COUNTRY_NAME")</f>
        <v>#INVALID COMPANY ID</v>
      </c>
      <c r="FN356" s="9" t="str">
        <f>_xll.SNL.Clients.Office.Excel.Functions.SPG(FK356, "SP_COUNTRY_NAME")</f>
        <v>#INVALID COMPANY ID</v>
      </c>
      <c r="FS356" s="9" t="str">
        <f>_xll.SNL.Clients.Office.Excel.Functions.SPG(FP356, "SP_COUNTRY_NAME")</f>
        <v>#INVALID COMPANY ID</v>
      </c>
      <c r="FX356" s="9" t="str">
        <f>_xll.SNL.Clients.Office.Excel.Functions.SPG(FU356, "SP_COUNTRY_NAME")</f>
        <v>#INVALID COMPANY ID</v>
      </c>
      <c r="FY356" t="s">
        <v>1502</v>
      </c>
      <c r="FZ356">
        <v>5878397</v>
      </c>
      <c r="GA356" t="s">
        <v>346</v>
      </c>
      <c r="GB356" s="11">
        <v>0</v>
      </c>
      <c r="GC356" s="9" t="str">
        <f>_xll.SNL.Clients.Office.Excel.Functions.SPG(FZ356, "SP_COUNTRY_NAME")</f>
        <v>Luxembourg</v>
      </c>
      <c r="GH356" s="9" t="str">
        <f>_xll.SNL.Clients.Office.Excel.Functions.SPG(GE356, "SP_COUNTRY_NAME")</f>
        <v>#INVALID COMPANY ID</v>
      </c>
      <c r="GM356" s="9" t="str">
        <f>_xll.SNL.Clients.Office.Excel.Functions.SPG(GJ356, "SP_COUNTRY_NAME")</f>
        <v>#INVALID COMPANY ID</v>
      </c>
      <c r="GR356" s="9" t="str">
        <f>_xll.SNL.Clients.Office.Excel.Functions.SPG(GO356, "SP_COUNTRY_NAME")</f>
        <v>#INVALID COMPANY ID</v>
      </c>
      <c r="GW356" s="9" t="str">
        <f>_xll.SNL.Clients.Office.Excel.Functions.SPG(GT356, "SP_COUNTRY_NAME")</f>
        <v>#INVALID COMPANY ID</v>
      </c>
      <c r="GX356" t="s">
        <v>519</v>
      </c>
      <c r="GY356">
        <v>109968</v>
      </c>
      <c r="GZ356" t="s">
        <v>346</v>
      </c>
      <c r="HA356" s="11">
        <v>0</v>
      </c>
      <c r="HB356" s="9" t="str">
        <f>_xll.SNL.Clients.Office.Excel.Functions.SPG(GY356, "SP_COUNTRY_NAME")</f>
        <v>USA</v>
      </c>
      <c r="HG356" s="9" t="str">
        <f>_xll.SNL.Clients.Office.Excel.Functions.SPG(HD356, "SP_COUNTRY_NAME")</f>
        <v>#INVALID COMPANY ID</v>
      </c>
    </row>
    <row r="357" spans="5:215" x14ac:dyDescent="0.35">
      <c r="E357" s="9" t="str">
        <f>_xll.SNL.Clients.Office.Excel.Functions.SPG(B357, "SP_COUNTRY_NAME")</f>
        <v>#INVALID COMPANY ID</v>
      </c>
      <c r="J357" s="9" t="str">
        <f>_xll.SNL.Clients.Office.Excel.Functions.SPG(G357, "SP_COUNTRY_NAME")</f>
        <v>#INVALID COMPANY ID</v>
      </c>
      <c r="O357" s="9" t="str">
        <f>_xll.SNL.Clients.Office.Excel.Functions.SPG(L357, "SP_COUNTRY_NAME")</f>
        <v>#INVALID COMPANY ID</v>
      </c>
      <c r="T357" s="9" t="str">
        <f>_xll.SNL.Clients.Office.Excel.Functions.SPG(Q357, "SP_COUNTRY_NAME")</f>
        <v>#INVALID COMPANY ID</v>
      </c>
      <c r="U357" t="s">
        <v>899</v>
      </c>
      <c r="V357">
        <v>4543599</v>
      </c>
      <c r="W357" t="s">
        <v>346</v>
      </c>
      <c r="X357" s="11">
        <v>0</v>
      </c>
      <c r="Y357" s="9" t="str">
        <f>_xll.SNL.Clients.Office.Excel.Functions.SPG(V357, "SP_COUNTRY_NAME")</f>
        <v>Hong Kong</v>
      </c>
      <c r="AD357" s="9" t="str">
        <f>_xll.SNL.Clients.Office.Excel.Functions.SPG(AA357, "SP_COUNTRY_NAME")</f>
        <v>#INVALID COMPANY ID</v>
      </c>
      <c r="AI357" s="9" t="str">
        <f>_xll.SNL.Clients.Office.Excel.Functions.SPG(AF357, "SP_COUNTRY_NAME")</f>
        <v>#INVALID COMPANY ID</v>
      </c>
      <c r="AN357" s="9" t="str">
        <f>_xll.SNL.Clients.Office.Excel.Functions.SPG(AK357, "SP_COUNTRY_NAME")</f>
        <v>#INVALID COMPANY ID</v>
      </c>
      <c r="AS357" s="9" t="str">
        <f>_xll.SNL.Clients.Office.Excel.Functions.SPG(AP357, "SP_COUNTRY_NAME")</f>
        <v>#INVALID COMPANY ID</v>
      </c>
      <c r="AX357" s="9" t="str">
        <f>_xll.SNL.Clients.Office.Excel.Functions.SPG(AU357, "SP_COUNTRY_NAME")</f>
        <v>#INVALID COMPANY ID</v>
      </c>
      <c r="BC357" s="9" t="str">
        <f>_xll.SNL.Clients.Office.Excel.Functions.SPG(AZ357, "SP_COUNTRY_NAME")</f>
        <v>#INVALID COMPANY ID</v>
      </c>
      <c r="BD357" t="s">
        <v>471</v>
      </c>
      <c r="BE357">
        <v>4102247</v>
      </c>
      <c r="BF357" t="s">
        <v>346</v>
      </c>
      <c r="BG357" s="11">
        <v>0</v>
      </c>
      <c r="BH357" s="9" t="str">
        <f>_xll.SNL.Clients.Office.Excel.Functions.SPG(BE357, "SP_COUNTRY_NAME")</f>
        <v>USA</v>
      </c>
      <c r="BM357" s="9" t="str">
        <f>_xll.SNL.Clients.Office.Excel.Functions.SPG(BJ357, "SP_COUNTRY_NAME")</f>
        <v>#INVALID COMPANY ID</v>
      </c>
      <c r="BR357" s="9" t="str">
        <f>_xll.SNL.Clients.Office.Excel.Functions.SPG(BO357, "SP_COUNTRY_NAME")</f>
        <v>#INVALID COMPANY ID</v>
      </c>
      <c r="BS357" t="s">
        <v>826</v>
      </c>
      <c r="BT357">
        <v>7789048</v>
      </c>
      <c r="BU357" t="s">
        <v>346</v>
      </c>
      <c r="BV357" s="11">
        <v>0</v>
      </c>
      <c r="BW357" s="9" t="str">
        <f>_xll.SNL.Clients.Office.Excel.Functions.SPG(BT357, "SP_COUNTRY_NAME")</f>
        <v>China</v>
      </c>
      <c r="BX357" t="s">
        <v>899</v>
      </c>
      <c r="BY357">
        <v>4543599</v>
      </c>
      <c r="BZ357" t="s">
        <v>346</v>
      </c>
      <c r="CA357" s="11">
        <v>0</v>
      </c>
      <c r="CB357" s="9" t="str">
        <f>_xll.SNL.Clients.Office.Excel.Functions.SPG(BY357, "SP_COUNTRY_NAME")</f>
        <v>Hong Kong</v>
      </c>
      <c r="CC357" t="s">
        <v>1793</v>
      </c>
      <c r="CD357">
        <v>4773635</v>
      </c>
      <c r="CE357" t="s">
        <v>346</v>
      </c>
      <c r="CF357" s="11">
        <v>0</v>
      </c>
      <c r="CG357" s="9" t="str">
        <f>_xll.SNL.Clients.Office.Excel.Functions.SPG(CD357, "SP_COUNTRY_NAME")</f>
        <v>Switzerland</v>
      </c>
      <c r="CL357" s="9" t="str">
        <f>_xll.SNL.Clients.Office.Excel.Functions.SPG(CI357, "SP_COUNTRY_NAME")</f>
        <v>#INVALID COMPANY ID</v>
      </c>
      <c r="CM357" t="s">
        <v>439</v>
      </c>
      <c r="CN357">
        <v>4757367</v>
      </c>
      <c r="CO357" t="s">
        <v>363</v>
      </c>
      <c r="CP357" s="11">
        <v>0</v>
      </c>
      <c r="CQ357" s="9" t="str">
        <f>_xll.SNL.Clients.Office.Excel.Functions.SPG(CN357, "SP_COUNTRY_NAME")</f>
        <v>Australia</v>
      </c>
      <c r="CV357" s="9" t="str">
        <f>_xll.SNL.Clients.Office.Excel.Functions.SPG(CS357, "SP_COUNTRY_NAME")</f>
        <v>#INVALID COMPANY ID</v>
      </c>
      <c r="DA357" s="9" t="str">
        <f>_xll.SNL.Clients.Office.Excel.Functions.SPG(CX357, "SP_COUNTRY_NAME")</f>
        <v>#INVALID COMPANY ID</v>
      </c>
      <c r="DB357" t="s">
        <v>471</v>
      </c>
      <c r="DC357">
        <v>4102247</v>
      </c>
      <c r="DD357" t="s">
        <v>346</v>
      </c>
      <c r="DE357" s="11">
        <v>0</v>
      </c>
      <c r="DF357" s="9" t="str">
        <f>_xll.SNL.Clients.Office.Excel.Functions.SPG(DC357, "SP_COUNTRY_NAME")</f>
        <v>USA</v>
      </c>
      <c r="DK357" s="9" t="str">
        <f>_xll.SNL.Clients.Office.Excel.Functions.SPG(DH357, "SP_COUNTRY_NAME")</f>
        <v>#INVALID COMPANY ID</v>
      </c>
      <c r="DL357" t="s">
        <v>471</v>
      </c>
      <c r="DM357">
        <v>4102247</v>
      </c>
      <c r="DN357" t="s">
        <v>346</v>
      </c>
      <c r="DO357" s="11">
        <v>0</v>
      </c>
      <c r="DP357" s="9" t="str">
        <f>_xll.SNL.Clients.Office.Excel.Functions.SPG(DM357, "SP_COUNTRY_NAME")</f>
        <v>USA</v>
      </c>
      <c r="DU357" s="9" t="str">
        <f>_xll.SNL.Clients.Office.Excel.Functions.SPG(DR357, "SP_COUNTRY_NAME")</f>
        <v>#INVALID COMPANY ID</v>
      </c>
      <c r="DZ357" s="9" t="str">
        <f>_xll.SNL.Clients.Office.Excel.Functions.SPG(DW357, "SP_COUNTRY_NAME")</f>
        <v>#INVALID COMPANY ID</v>
      </c>
      <c r="EA357" t="s">
        <v>1793</v>
      </c>
      <c r="EB357">
        <v>4773635</v>
      </c>
      <c r="EC357" t="s">
        <v>346</v>
      </c>
      <c r="ED357" s="11">
        <v>0</v>
      </c>
      <c r="EE357" s="9" t="str">
        <f>_xll.SNL.Clients.Office.Excel.Functions.SPG(EB357, "SP_COUNTRY_NAME")</f>
        <v>Switzerland</v>
      </c>
      <c r="EF357" t="s">
        <v>471</v>
      </c>
      <c r="EG357">
        <v>4102247</v>
      </c>
      <c r="EH357" t="s">
        <v>346</v>
      </c>
      <c r="EI357" s="11">
        <v>0</v>
      </c>
      <c r="EJ357" s="9" t="str">
        <f>_xll.SNL.Clients.Office.Excel.Functions.SPG(EG357, "SP_COUNTRY_NAME")</f>
        <v>USA</v>
      </c>
      <c r="EO357" s="9" t="str">
        <f>_xll.SNL.Clients.Office.Excel.Functions.SPG(EL357, "SP_COUNTRY_NAME")</f>
        <v>#INVALID COMPANY ID</v>
      </c>
      <c r="ET357" s="9" t="str">
        <f>_xll.SNL.Clients.Office.Excel.Functions.SPG(EQ357, "SP_COUNTRY_NAME")</f>
        <v>#INVALID COMPANY ID</v>
      </c>
      <c r="EY357" s="9" t="str">
        <f>_xll.SNL.Clients.Office.Excel.Functions.SPG(EV357, "SP_COUNTRY_NAME")</f>
        <v>#INVALID COMPANY ID</v>
      </c>
      <c r="FD357" s="9" t="str">
        <f>_xll.SNL.Clients.Office.Excel.Functions.SPG(FA357, "SP_COUNTRY_NAME")</f>
        <v>#INVALID COMPANY ID</v>
      </c>
      <c r="FI357" s="9" t="str">
        <f>_xll.SNL.Clients.Office.Excel.Functions.SPG(FF357, "SP_COUNTRY_NAME")</f>
        <v>#INVALID COMPANY ID</v>
      </c>
      <c r="FN357" s="9" t="str">
        <f>_xll.SNL.Clients.Office.Excel.Functions.SPG(FK357, "SP_COUNTRY_NAME")</f>
        <v>#INVALID COMPANY ID</v>
      </c>
      <c r="FS357" s="9" t="str">
        <f>_xll.SNL.Clients.Office.Excel.Functions.SPG(FP357, "SP_COUNTRY_NAME")</f>
        <v>#INVALID COMPANY ID</v>
      </c>
      <c r="FX357" s="9" t="str">
        <f>_xll.SNL.Clients.Office.Excel.Functions.SPG(FU357, "SP_COUNTRY_NAME")</f>
        <v>#INVALID COMPANY ID</v>
      </c>
      <c r="FY357" t="s">
        <v>471</v>
      </c>
      <c r="FZ357">
        <v>4102247</v>
      </c>
      <c r="GA357" t="s">
        <v>346</v>
      </c>
      <c r="GB357" s="11">
        <v>0</v>
      </c>
      <c r="GC357" s="9" t="str">
        <f>_xll.SNL.Clients.Office.Excel.Functions.SPG(FZ357, "SP_COUNTRY_NAME")</f>
        <v>USA</v>
      </c>
      <c r="GH357" s="9" t="str">
        <f>_xll.SNL.Clients.Office.Excel.Functions.SPG(GE357, "SP_COUNTRY_NAME")</f>
        <v>#INVALID COMPANY ID</v>
      </c>
      <c r="GM357" s="9" t="str">
        <f>_xll.SNL.Clients.Office.Excel.Functions.SPG(GJ357, "SP_COUNTRY_NAME")</f>
        <v>#INVALID COMPANY ID</v>
      </c>
      <c r="GR357" s="9" t="str">
        <f>_xll.SNL.Clients.Office.Excel.Functions.SPG(GO357, "SP_COUNTRY_NAME")</f>
        <v>#INVALID COMPANY ID</v>
      </c>
      <c r="GW357" s="9" t="str">
        <f>_xll.SNL.Clients.Office.Excel.Functions.SPG(GT357, "SP_COUNTRY_NAME")</f>
        <v>#INVALID COMPANY ID</v>
      </c>
      <c r="GX357" t="s">
        <v>1793</v>
      </c>
      <c r="GY357">
        <v>4773635</v>
      </c>
      <c r="GZ357" t="s">
        <v>346</v>
      </c>
      <c r="HA357" s="11">
        <v>0</v>
      </c>
      <c r="HB357" s="9" t="str">
        <f>_xll.SNL.Clients.Office.Excel.Functions.SPG(GY357, "SP_COUNTRY_NAME")</f>
        <v>Switzerland</v>
      </c>
      <c r="HG357" s="9" t="str">
        <f>_xll.SNL.Clients.Office.Excel.Functions.SPG(HD357, "SP_COUNTRY_NAME")</f>
        <v>#INVALID COMPANY ID</v>
      </c>
    </row>
    <row r="358" spans="5:215" x14ac:dyDescent="0.35">
      <c r="E358" s="9" t="str">
        <f>_xll.SNL.Clients.Office.Excel.Functions.SPG(B358, "SP_COUNTRY_NAME")</f>
        <v>#INVALID COMPANY ID</v>
      </c>
      <c r="J358" s="9" t="str">
        <f>_xll.SNL.Clients.Office.Excel.Functions.SPG(G358, "SP_COUNTRY_NAME")</f>
        <v>#INVALID COMPANY ID</v>
      </c>
      <c r="O358" s="9" t="str">
        <f>_xll.SNL.Clients.Office.Excel.Functions.SPG(L358, "SP_COUNTRY_NAME")</f>
        <v>#INVALID COMPANY ID</v>
      </c>
      <c r="T358" s="9" t="str">
        <f>_xll.SNL.Clients.Office.Excel.Functions.SPG(Q358, "SP_COUNTRY_NAME")</f>
        <v>#INVALID COMPANY ID</v>
      </c>
      <c r="U358" t="s">
        <v>900</v>
      </c>
      <c r="V358">
        <v>4264756</v>
      </c>
      <c r="W358" t="s">
        <v>346</v>
      </c>
      <c r="X358" s="11">
        <v>0</v>
      </c>
      <c r="Y358" s="9" t="str">
        <f>_xll.SNL.Clients.Office.Excel.Functions.SPG(V358, "SP_COUNTRY_NAME")</f>
        <v>South Africa</v>
      </c>
      <c r="AD358" s="9" t="str">
        <f>_xll.SNL.Clients.Office.Excel.Functions.SPG(AA358, "SP_COUNTRY_NAME")</f>
        <v>#INVALID COMPANY ID</v>
      </c>
      <c r="AI358" s="9" t="str">
        <f>_xll.SNL.Clients.Office.Excel.Functions.SPG(AF358, "SP_COUNTRY_NAME")</f>
        <v>#INVALID COMPANY ID</v>
      </c>
      <c r="AN358" s="9" t="str">
        <f>_xll.SNL.Clients.Office.Excel.Functions.SPG(AK358, "SP_COUNTRY_NAME")</f>
        <v>#INVALID COMPANY ID</v>
      </c>
      <c r="AS358" s="9" t="str">
        <f>_xll.SNL.Clients.Office.Excel.Functions.SPG(AP358, "SP_COUNTRY_NAME")</f>
        <v>#INVALID COMPANY ID</v>
      </c>
      <c r="AX358" s="9" t="str">
        <f>_xll.SNL.Clients.Office.Excel.Functions.SPG(AU358, "SP_COUNTRY_NAME")</f>
        <v>#INVALID COMPANY ID</v>
      </c>
      <c r="BC358" s="9" t="str">
        <f>_xll.SNL.Clients.Office.Excel.Functions.SPG(AZ358, "SP_COUNTRY_NAME")</f>
        <v>#INVALID COMPANY ID</v>
      </c>
      <c r="BD358" t="s">
        <v>1070</v>
      </c>
      <c r="BE358">
        <v>4119544</v>
      </c>
      <c r="BF358" t="s">
        <v>364</v>
      </c>
      <c r="BG358" s="11">
        <v>0</v>
      </c>
      <c r="BH358" s="9" t="str">
        <f>_xll.SNL.Clients.Office.Excel.Functions.SPG(BE358, "SP_COUNTRY_NAME")</f>
        <v>USA</v>
      </c>
      <c r="BM358" s="9" t="str">
        <f>_xll.SNL.Clients.Office.Excel.Functions.SPG(BJ358, "SP_COUNTRY_NAME")</f>
        <v>#INVALID COMPANY ID</v>
      </c>
      <c r="BR358" s="9" t="str">
        <f>_xll.SNL.Clients.Office.Excel.Functions.SPG(BO358, "SP_COUNTRY_NAME")</f>
        <v>#INVALID COMPANY ID</v>
      </c>
      <c r="BS358" t="s">
        <v>1037</v>
      </c>
      <c r="BT358">
        <v>5762004</v>
      </c>
      <c r="BU358" t="s">
        <v>346</v>
      </c>
      <c r="BV358" s="11">
        <v>0</v>
      </c>
      <c r="BW358" s="9" t="str">
        <f>_xll.SNL.Clients.Office.Excel.Functions.SPG(BT358, "SP_COUNTRY_NAME")</f>
        <v>Switzerland</v>
      </c>
      <c r="BX358" t="s">
        <v>900</v>
      </c>
      <c r="BY358">
        <v>4264756</v>
      </c>
      <c r="BZ358" t="s">
        <v>346</v>
      </c>
      <c r="CA358" s="11">
        <v>0</v>
      </c>
      <c r="CB358" s="9" t="str">
        <f>_xll.SNL.Clients.Office.Excel.Functions.SPG(BY358, "SP_COUNTRY_NAME")</f>
        <v>South Africa</v>
      </c>
      <c r="CC358" t="s">
        <v>1794</v>
      </c>
      <c r="CD358">
        <v>101377641</v>
      </c>
      <c r="CE358" t="s">
        <v>346</v>
      </c>
      <c r="CF358" s="11">
        <v>0</v>
      </c>
      <c r="CG358" s="9" t="str">
        <f>_xll.SNL.Clients.Office.Excel.Functions.SPG(CD358, "SP_COUNTRY_NAME")</f>
        <v>USA</v>
      </c>
      <c r="CL358" s="9" t="str">
        <f>_xll.SNL.Clients.Office.Excel.Functions.SPG(CI358, "SP_COUNTRY_NAME")</f>
        <v>#INVALID COMPANY ID</v>
      </c>
      <c r="CM358" t="s">
        <v>2052</v>
      </c>
      <c r="CN358">
        <v>117743850</v>
      </c>
      <c r="CO358" t="s">
        <v>346</v>
      </c>
      <c r="CP358" s="11">
        <v>0</v>
      </c>
      <c r="CQ358" s="9" t="str">
        <f>_xll.SNL.Clients.Office.Excel.Functions.SPG(CN358, "SP_COUNTRY_NAME")</f>
        <v>USA</v>
      </c>
      <c r="CV358" s="9" t="str">
        <f>_xll.SNL.Clients.Office.Excel.Functions.SPG(CS358, "SP_COUNTRY_NAME")</f>
        <v>#INVALID COMPANY ID</v>
      </c>
      <c r="DA358" s="9" t="str">
        <f>_xll.SNL.Clients.Office.Excel.Functions.SPG(CX358, "SP_COUNTRY_NAME")</f>
        <v>#INVALID COMPANY ID</v>
      </c>
      <c r="DB358" t="s">
        <v>1070</v>
      </c>
      <c r="DC358">
        <v>4119544</v>
      </c>
      <c r="DD358" t="s">
        <v>364</v>
      </c>
      <c r="DE358" s="11">
        <v>0</v>
      </c>
      <c r="DF358" s="9" t="str">
        <f>_xll.SNL.Clients.Office.Excel.Functions.SPG(DC358, "SP_COUNTRY_NAME")</f>
        <v>USA</v>
      </c>
      <c r="DK358" s="9" t="str">
        <f>_xll.SNL.Clients.Office.Excel.Functions.SPG(DH358, "SP_COUNTRY_NAME")</f>
        <v>#INVALID COMPANY ID</v>
      </c>
      <c r="DL358" t="s">
        <v>1070</v>
      </c>
      <c r="DM358">
        <v>4119544</v>
      </c>
      <c r="DN358" t="s">
        <v>364</v>
      </c>
      <c r="DO358" s="11">
        <v>0</v>
      </c>
      <c r="DP358" s="9" t="str">
        <f>_xll.SNL.Clients.Office.Excel.Functions.SPG(DM358, "SP_COUNTRY_NAME")</f>
        <v>USA</v>
      </c>
      <c r="DU358" s="9" t="str">
        <f>_xll.SNL.Clients.Office.Excel.Functions.SPG(DR358, "SP_COUNTRY_NAME")</f>
        <v>#INVALID COMPANY ID</v>
      </c>
      <c r="DZ358" s="9" t="str">
        <f>_xll.SNL.Clients.Office.Excel.Functions.SPG(DW358, "SP_COUNTRY_NAME")</f>
        <v>#INVALID COMPANY ID</v>
      </c>
      <c r="EA358" t="s">
        <v>1794</v>
      </c>
      <c r="EB358">
        <v>101377641</v>
      </c>
      <c r="EC358" t="s">
        <v>346</v>
      </c>
      <c r="ED358" s="11">
        <v>0</v>
      </c>
      <c r="EE358" s="9" t="str">
        <f>_xll.SNL.Clients.Office.Excel.Functions.SPG(EB358, "SP_COUNTRY_NAME")</f>
        <v>USA</v>
      </c>
      <c r="EF358" t="s">
        <v>1070</v>
      </c>
      <c r="EG358">
        <v>4119544</v>
      </c>
      <c r="EH358" t="s">
        <v>364</v>
      </c>
      <c r="EI358" s="11">
        <v>0</v>
      </c>
      <c r="EJ358" s="9" t="str">
        <f>_xll.SNL.Clients.Office.Excel.Functions.SPG(EG358, "SP_COUNTRY_NAME")</f>
        <v>USA</v>
      </c>
      <c r="EO358" s="9" t="str">
        <f>_xll.SNL.Clients.Office.Excel.Functions.SPG(EL358, "SP_COUNTRY_NAME")</f>
        <v>#INVALID COMPANY ID</v>
      </c>
      <c r="ET358" s="9" t="str">
        <f>_xll.SNL.Clients.Office.Excel.Functions.SPG(EQ358, "SP_COUNTRY_NAME")</f>
        <v>#INVALID COMPANY ID</v>
      </c>
      <c r="EY358" s="9" t="str">
        <f>_xll.SNL.Clients.Office.Excel.Functions.SPG(EV358, "SP_COUNTRY_NAME")</f>
        <v>#INVALID COMPANY ID</v>
      </c>
      <c r="FD358" s="9" t="str">
        <f>_xll.SNL.Clients.Office.Excel.Functions.SPG(FA358, "SP_COUNTRY_NAME")</f>
        <v>#INVALID COMPANY ID</v>
      </c>
      <c r="FI358" s="9" t="str">
        <f>_xll.SNL.Clients.Office.Excel.Functions.SPG(FF358, "SP_COUNTRY_NAME")</f>
        <v>#INVALID COMPANY ID</v>
      </c>
      <c r="FN358" s="9" t="str">
        <f>_xll.SNL.Clients.Office.Excel.Functions.SPG(FK358, "SP_COUNTRY_NAME")</f>
        <v>#INVALID COMPANY ID</v>
      </c>
      <c r="FS358" s="9" t="str">
        <f>_xll.SNL.Clients.Office.Excel.Functions.SPG(FP358, "SP_COUNTRY_NAME")</f>
        <v>#INVALID COMPANY ID</v>
      </c>
      <c r="FX358" s="9" t="str">
        <f>_xll.SNL.Clients.Office.Excel.Functions.SPG(FU358, "SP_COUNTRY_NAME")</f>
        <v>#INVALID COMPANY ID</v>
      </c>
      <c r="FY358" t="s">
        <v>1070</v>
      </c>
      <c r="FZ358">
        <v>4119544</v>
      </c>
      <c r="GA358" t="s">
        <v>364</v>
      </c>
      <c r="GB358" s="11">
        <v>0</v>
      </c>
      <c r="GC358" s="9" t="str">
        <f>_xll.SNL.Clients.Office.Excel.Functions.SPG(FZ358, "SP_COUNTRY_NAME")</f>
        <v>USA</v>
      </c>
      <c r="GH358" s="9" t="str">
        <f>_xll.SNL.Clients.Office.Excel.Functions.SPG(GE358, "SP_COUNTRY_NAME")</f>
        <v>#INVALID COMPANY ID</v>
      </c>
      <c r="GM358" s="9" t="str">
        <f>_xll.SNL.Clients.Office.Excel.Functions.SPG(GJ358, "SP_COUNTRY_NAME")</f>
        <v>#INVALID COMPANY ID</v>
      </c>
      <c r="GR358" s="9" t="str">
        <f>_xll.SNL.Clients.Office.Excel.Functions.SPG(GO358, "SP_COUNTRY_NAME")</f>
        <v>#INVALID COMPANY ID</v>
      </c>
      <c r="GW358" s="9" t="str">
        <f>_xll.SNL.Clients.Office.Excel.Functions.SPG(GT358, "SP_COUNTRY_NAME")</f>
        <v>#INVALID COMPANY ID</v>
      </c>
      <c r="GX358" t="s">
        <v>1794</v>
      </c>
      <c r="GY358">
        <v>101377641</v>
      </c>
      <c r="GZ358" t="s">
        <v>346</v>
      </c>
      <c r="HA358" s="11">
        <v>0</v>
      </c>
      <c r="HB358" s="9" t="str">
        <f>_xll.SNL.Clients.Office.Excel.Functions.SPG(GY358, "SP_COUNTRY_NAME")</f>
        <v>USA</v>
      </c>
      <c r="HG358" s="9" t="str">
        <f>_xll.SNL.Clients.Office.Excel.Functions.SPG(HD358, "SP_COUNTRY_NAME")</f>
        <v>#INVALID COMPANY ID</v>
      </c>
    </row>
    <row r="359" spans="5:215" x14ac:dyDescent="0.35">
      <c r="E359" s="9" t="str">
        <f>_xll.SNL.Clients.Office.Excel.Functions.SPG(B359, "SP_COUNTRY_NAME")</f>
        <v>#INVALID COMPANY ID</v>
      </c>
      <c r="J359" s="9" t="str">
        <f>_xll.SNL.Clients.Office.Excel.Functions.SPG(G359, "SP_COUNTRY_NAME")</f>
        <v>#INVALID COMPANY ID</v>
      </c>
      <c r="O359" s="9" t="str">
        <f>_xll.SNL.Clients.Office.Excel.Functions.SPG(L359, "SP_COUNTRY_NAME")</f>
        <v>#INVALID COMPANY ID</v>
      </c>
      <c r="T359" s="9" t="str">
        <f>_xll.SNL.Clients.Office.Excel.Functions.SPG(Q359, "SP_COUNTRY_NAME")</f>
        <v>#INVALID COMPANY ID</v>
      </c>
      <c r="U359" t="s">
        <v>901</v>
      </c>
      <c r="V359">
        <v>27729917</v>
      </c>
      <c r="W359" t="s">
        <v>346</v>
      </c>
      <c r="X359" s="11">
        <v>0</v>
      </c>
      <c r="Y359" s="9" t="str">
        <f>_xll.SNL.Clients.Office.Excel.Functions.SPG(V359, "SP_COUNTRY_NAME")</f>
        <v>South Africa</v>
      </c>
      <c r="AD359" s="9" t="str">
        <f>_xll.SNL.Clients.Office.Excel.Functions.SPG(AA359, "SP_COUNTRY_NAME")</f>
        <v>#INVALID COMPANY ID</v>
      </c>
      <c r="AI359" s="9" t="str">
        <f>_xll.SNL.Clients.Office.Excel.Functions.SPG(AF359, "SP_COUNTRY_NAME")</f>
        <v>#INVALID COMPANY ID</v>
      </c>
      <c r="AN359" s="9" t="str">
        <f>_xll.SNL.Clients.Office.Excel.Functions.SPG(AK359, "SP_COUNTRY_NAME")</f>
        <v>#INVALID COMPANY ID</v>
      </c>
      <c r="AS359" s="9" t="str">
        <f>_xll.SNL.Clients.Office.Excel.Functions.SPG(AP359, "SP_COUNTRY_NAME")</f>
        <v>#INVALID COMPANY ID</v>
      </c>
      <c r="AX359" s="9" t="str">
        <f>_xll.SNL.Clients.Office.Excel.Functions.SPG(AU359, "SP_COUNTRY_NAME")</f>
        <v>#INVALID COMPANY ID</v>
      </c>
      <c r="BC359" s="9" t="str">
        <f>_xll.SNL.Clients.Office.Excel.Functions.SPG(AZ359, "SP_COUNTRY_NAME")</f>
        <v>#INVALID COMPANY ID</v>
      </c>
      <c r="BD359" t="s">
        <v>573</v>
      </c>
      <c r="BE359">
        <v>5809681</v>
      </c>
      <c r="BF359" t="s">
        <v>346</v>
      </c>
      <c r="BG359" s="11">
        <v>0</v>
      </c>
      <c r="BH359" s="9" t="str">
        <f>_xll.SNL.Clients.Office.Excel.Functions.SPG(BE359, "SP_COUNTRY_NAME")</f>
        <v>Spain</v>
      </c>
      <c r="BM359" s="9" t="str">
        <f>_xll.SNL.Clients.Office.Excel.Functions.SPG(BJ359, "SP_COUNTRY_NAME")</f>
        <v>#INVALID COMPANY ID</v>
      </c>
      <c r="BR359" s="9" t="str">
        <f>_xll.SNL.Clients.Office.Excel.Functions.SPG(BO359, "SP_COUNTRY_NAME")</f>
        <v>#INVALID COMPANY ID</v>
      </c>
      <c r="BS359" t="s">
        <v>1038</v>
      </c>
      <c r="BT359">
        <v>4137587</v>
      </c>
      <c r="BU359" t="s">
        <v>346</v>
      </c>
      <c r="BV359" s="11">
        <v>0</v>
      </c>
      <c r="BW359" s="9" t="str">
        <f>_xll.SNL.Clients.Office.Excel.Functions.SPG(BT359, "SP_COUNTRY_NAME")</f>
        <v>Denmark</v>
      </c>
      <c r="BX359" t="s">
        <v>901</v>
      </c>
      <c r="BY359">
        <v>27729917</v>
      </c>
      <c r="BZ359" t="s">
        <v>346</v>
      </c>
      <c r="CA359" s="11">
        <v>0</v>
      </c>
      <c r="CB359" s="9" t="str">
        <f>_xll.SNL.Clients.Office.Excel.Functions.SPG(BY359, "SP_COUNTRY_NAME")</f>
        <v>South Africa</v>
      </c>
      <c r="CC359" t="s">
        <v>498</v>
      </c>
      <c r="CD359">
        <v>4187546</v>
      </c>
      <c r="CE359" t="s">
        <v>346</v>
      </c>
      <c r="CF359" s="11">
        <v>0</v>
      </c>
      <c r="CG359" s="9" t="str">
        <f>_xll.SNL.Clients.Office.Excel.Functions.SPG(CD359, "SP_COUNTRY_NAME")</f>
        <v>USA</v>
      </c>
      <c r="CL359" s="9" t="str">
        <f>_xll.SNL.Clients.Office.Excel.Functions.SPG(CI359, "SP_COUNTRY_NAME")</f>
        <v>#INVALID COMPANY ID</v>
      </c>
      <c r="CM359" t="s">
        <v>2053</v>
      </c>
      <c r="CN359">
        <v>4119637</v>
      </c>
      <c r="CO359" t="s">
        <v>346</v>
      </c>
      <c r="CP359" s="11">
        <v>0</v>
      </c>
      <c r="CQ359" s="9" t="str">
        <f>_xll.SNL.Clients.Office.Excel.Functions.SPG(CN359, "SP_COUNTRY_NAME")</f>
        <v>USA</v>
      </c>
      <c r="CV359" s="9" t="str">
        <f>_xll.SNL.Clients.Office.Excel.Functions.SPG(CS359, "SP_COUNTRY_NAME")</f>
        <v>#INVALID COMPANY ID</v>
      </c>
      <c r="DA359" s="9" t="str">
        <f>_xll.SNL.Clients.Office.Excel.Functions.SPG(CX359, "SP_COUNTRY_NAME")</f>
        <v>#INVALID COMPANY ID</v>
      </c>
      <c r="DB359" t="s">
        <v>573</v>
      </c>
      <c r="DC359">
        <v>5809681</v>
      </c>
      <c r="DD359" t="s">
        <v>346</v>
      </c>
      <c r="DE359" s="11">
        <v>0</v>
      </c>
      <c r="DF359" s="9" t="str">
        <f>_xll.SNL.Clients.Office.Excel.Functions.SPG(DC359, "SP_COUNTRY_NAME")</f>
        <v>Spain</v>
      </c>
      <c r="DK359" s="9" t="str">
        <f>_xll.SNL.Clients.Office.Excel.Functions.SPG(DH359, "SP_COUNTRY_NAME")</f>
        <v>#INVALID COMPANY ID</v>
      </c>
      <c r="DL359" t="s">
        <v>573</v>
      </c>
      <c r="DM359">
        <v>5809681</v>
      </c>
      <c r="DN359" t="s">
        <v>346</v>
      </c>
      <c r="DO359" s="11">
        <v>0</v>
      </c>
      <c r="DP359" s="9" t="str">
        <f>_xll.SNL.Clients.Office.Excel.Functions.SPG(DM359, "SP_COUNTRY_NAME")</f>
        <v>Spain</v>
      </c>
      <c r="DU359" s="9" t="str">
        <f>_xll.SNL.Clients.Office.Excel.Functions.SPG(DR359, "SP_COUNTRY_NAME")</f>
        <v>#INVALID COMPANY ID</v>
      </c>
      <c r="DZ359" s="9" t="str">
        <f>_xll.SNL.Clients.Office.Excel.Functions.SPG(DW359, "SP_COUNTRY_NAME")</f>
        <v>#INVALID COMPANY ID</v>
      </c>
      <c r="EA359" t="s">
        <v>498</v>
      </c>
      <c r="EB359">
        <v>4187546</v>
      </c>
      <c r="EC359" t="s">
        <v>346</v>
      </c>
      <c r="ED359" s="11">
        <v>0</v>
      </c>
      <c r="EE359" s="9" t="str">
        <f>_xll.SNL.Clients.Office.Excel.Functions.SPG(EB359, "SP_COUNTRY_NAME")</f>
        <v>USA</v>
      </c>
      <c r="EF359" t="s">
        <v>573</v>
      </c>
      <c r="EG359">
        <v>5809681</v>
      </c>
      <c r="EH359" t="s">
        <v>346</v>
      </c>
      <c r="EI359" s="11">
        <v>0</v>
      </c>
      <c r="EJ359" s="9" t="str">
        <f>_xll.SNL.Clients.Office.Excel.Functions.SPG(EG359, "SP_COUNTRY_NAME")</f>
        <v>Spain</v>
      </c>
      <c r="EO359" s="9" t="str">
        <f>_xll.SNL.Clients.Office.Excel.Functions.SPG(EL359, "SP_COUNTRY_NAME")</f>
        <v>#INVALID COMPANY ID</v>
      </c>
      <c r="ET359" s="9" t="str">
        <f>_xll.SNL.Clients.Office.Excel.Functions.SPG(EQ359, "SP_COUNTRY_NAME")</f>
        <v>#INVALID COMPANY ID</v>
      </c>
      <c r="EY359" s="9" t="str">
        <f>_xll.SNL.Clients.Office.Excel.Functions.SPG(EV359, "SP_COUNTRY_NAME")</f>
        <v>#INVALID COMPANY ID</v>
      </c>
      <c r="FD359" s="9" t="str">
        <f>_xll.SNL.Clients.Office.Excel.Functions.SPG(FA359, "SP_COUNTRY_NAME")</f>
        <v>#INVALID COMPANY ID</v>
      </c>
      <c r="FI359" s="9" t="str">
        <f>_xll.SNL.Clients.Office.Excel.Functions.SPG(FF359, "SP_COUNTRY_NAME")</f>
        <v>#INVALID COMPANY ID</v>
      </c>
      <c r="FN359" s="9" t="str">
        <f>_xll.SNL.Clients.Office.Excel.Functions.SPG(FK359, "SP_COUNTRY_NAME")</f>
        <v>#INVALID COMPANY ID</v>
      </c>
      <c r="FS359" s="9" t="str">
        <f>_xll.SNL.Clients.Office.Excel.Functions.SPG(FP359, "SP_COUNTRY_NAME")</f>
        <v>#INVALID COMPANY ID</v>
      </c>
      <c r="FX359" s="9" t="str">
        <f>_xll.SNL.Clients.Office.Excel.Functions.SPG(FU359, "SP_COUNTRY_NAME")</f>
        <v>#INVALID COMPANY ID</v>
      </c>
      <c r="FY359" t="s">
        <v>573</v>
      </c>
      <c r="FZ359">
        <v>5809681</v>
      </c>
      <c r="GA359" t="s">
        <v>346</v>
      </c>
      <c r="GB359" s="11">
        <v>0</v>
      </c>
      <c r="GC359" s="9" t="str">
        <f>_xll.SNL.Clients.Office.Excel.Functions.SPG(FZ359, "SP_COUNTRY_NAME")</f>
        <v>Spain</v>
      </c>
      <c r="GH359" s="9" t="str">
        <f>_xll.SNL.Clients.Office.Excel.Functions.SPG(GE359, "SP_COUNTRY_NAME")</f>
        <v>#INVALID COMPANY ID</v>
      </c>
      <c r="GM359" s="9" t="str">
        <f>_xll.SNL.Clients.Office.Excel.Functions.SPG(GJ359, "SP_COUNTRY_NAME")</f>
        <v>#INVALID COMPANY ID</v>
      </c>
      <c r="GR359" s="9" t="str">
        <f>_xll.SNL.Clients.Office.Excel.Functions.SPG(GO359, "SP_COUNTRY_NAME")</f>
        <v>#INVALID COMPANY ID</v>
      </c>
      <c r="GW359" s="9" t="str">
        <f>_xll.SNL.Clients.Office.Excel.Functions.SPG(GT359, "SP_COUNTRY_NAME")</f>
        <v>#INVALID COMPANY ID</v>
      </c>
      <c r="GX359" t="s">
        <v>498</v>
      </c>
      <c r="GY359">
        <v>4187546</v>
      </c>
      <c r="GZ359" t="s">
        <v>346</v>
      </c>
      <c r="HA359" s="11">
        <v>0</v>
      </c>
      <c r="HB359" s="9" t="str">
        <f>_xll.SNL.Clients.Office.Excel.Functions.SPG(GY359, "SP_COUNTRY_NAME")</f>
        <v>USA</v>
      </c>
      <c r="HG359" s="9" t="str">
        <f>_xll.SNL.Clients.Office.Excel.Functions.SPG(HD359, "SP_COUNTRY_NAME")</f>
        <v>#INVALID COMPANY ID</v>
      </c>
    </row>
    <row r="360" spans="5:215" x14ac:dyDescent="0.35">
      <c r="E360" s="9" t="str">
        <f>_xll.SNL.Clients.Office.Excel.Functions.SPG(B360, "SP_COUNTRY_NAME")</f>
        <v>#INVALID COMPANY ID</v>
      </c>
      <c r="J360" s="9" t="str">
        <f>_xll.SNL.Clients.Office.Excel.Functions.SPG(G360, "SP_COUNTRY_NAME")</f>
        <v>#INVALID COMPANY ID</v>
      </c>
      <c r="O360" s="9" t="str">
        <f>_xll.SNL.Clients.Office.Excel.Functions.SPG(L360, "SP_COUNTRY_NAME")</f>
        <v>#INVALID COMPANY ID</v>
      </c>
      <c r="T360" s="9" t="str">
        <f>_xll.SNL.Clients.Office.Excel.Functions.SPG(Q360, "SP_COUNTRY_NAME")</f>
        <v>#INVALID COMPANY ID</v>
      </c>
      <c r="U360" t="s">
        <v>902</v>
      </c>
      <c r="V360">
        <v>120128743</v>
      </c>
      <c r="W360" t="s">
        <v>346</v>
      </c>
      <c r="X360" s="11">
        <v>0</v>
      </c>
      <c r="Y360" s="9" t="str">
        <f>_xll.SNL.Clients.Office.Excel.Functions.SPG(V360, "SP_COUNTRY_NAME")</f>
        <v>USA</v>
      </c>
      <c r="AD360" s="9" t="str">
        <f>_xll.SNL.Clients.Office.Excel.Functions.SPG(AA360, "SP_COUNTRY_NAME")</f>
        <v>#INVALID COMPANY ID</v>
      </c>
      <c r="AI360" s="9" t="str">
        <f>_xll.SNL.Clients.Office.Excel.Functions.SPG(AF360, "SP_COUNTRY_NAME")</f>
        <v>#INVALID COMPANY ID</v>
      </c>
      <c r="AN360" s="9" t="str">
        <f>_xll.SNL.Clients.Office.Excel.Functions.SPG(AK360, "SP_COUNTRY_NAME")</f>
        <v>#INVALID COMPANY ID</v>
      </c>
      <c r="AS360" s="9" t="str">
        <f>_xll.SNL.Clients.Office.Excel.Functions.SPG(AP360, "SP_COUNTRY_NAME")</f>
        <v>#INVALID COMPANY ID</v>
      </c>
      <c r="AX360" s="9" t="str">
        <f>_xll.SNL.Clients.Office.Excel.Functions.SPG(AU360, "SP_COUNTRY_NAME")</f>
        <v>#INVALID COMPANY ID</v>
      </c>
      <c r="BC360" s="9" t="str">
        <f>_xll.SNL.Clients.Office.Excel.Functions.SPG(AZ360, "SP_COUNTRY_NAME")</f>
        <v>#INVALID COMPANY ID</v>
      </c>
      <c r="BD360" t="s">
        <v>1122</v>
      </c>
      <c r="BE360">
        <v>111354</v>
      </c>
      <c r="BF360" t="s">
        <v>346</v>
      </c>
      <c r="BG360" s="11">
        <v>0</v>
      </c>
      <c r="BH360" s="9" t="str">
        <f>_xll.SNL.Clients.Office.Excel.Functions.SPG(BE360, "SP_COUNTRY_NAME")</f>
        <v>USA</v>
      </c>
      <c r="BM360" s="9" t="str">
        <f>_xll.SNL.Clients.Office.Excel.Functions.SPG(BJ360, "SP_COUNTRY_NAME")</f>
        <v>#INVALID COMPANY ID</v>
      </c>
      <c r="BR360" s="9" t="str">
        <f>_xll.SNL.Clients.Office.Excel.Functions.SPG(BO360, "SP_COUNTRY_NAME")</f>
        <v>#INVALID COMPANY ID</v>
      </c>
      <c r="BS360" t="s">
        <v>1039</v>
      </c>
      <c r="BT360">
        <v>5816585</v>
      </c>
      <c r="BU360" t="s">
        <v>346</v>
      </c>
      <c r="BV360" s="11">
        <v>0</v>
      </c>
      <c r="BW360" s="9" t="str">
        <f>_xll.SNL.Clients.Office.Excel.Functions.SPG(BT360, "SP_COUNTRY_NAME")</f>
        <v>Luxembourg</v>
      </c>
      <c r="BX360" t="s">
        <v>902</v>
      </c>
      <c r="BY360">
        <v>120128743</v>
      </c>
      <c r="BZ360" t="s">
        <v>346</v>
      </c>
      <c r="CA360" s="11">
        <v>0</v>
      </c>
      <c r="CB360" s="9" t="str">
        <f>_xll.SNL.Clients.Office.Excel.Functions.SPG(BY360, "SP_COUNTRY_NAME")</f>
        <v>USA</v>
      </c>
      <c r="CC360" t="s">
        <v>1795</v>
      </c>
      <c r="CD360">
        <v>4291471</v>
      </c>
      <c r="CE360" t="s">
        <v>346</v>
      </c>
      <c r="CF360" s="11">
        <v>0</v>
      </c>
      <c r="CG360" s="9" t="str">
        <f>_xll.SNL.Clients.Office.Excel.Functions.SPG(CD360, "SP_COUNTRY_NAME")</f>
        <v>Brazil</v>
      </c>
      <c r="CL360" s="9" t="str">
        <f>_xll.SNL.Clients.Office.Excel.Functions.SPG(CI360, "SP_COUNTRY_NAME")</f>
        <v>#INVALID COMPANY ID</v>
      </c>
      <c r="CM360" t="s">
        <v>2054</v>
      </c>
      <c r="CN360">
        <v>15092839</v>
      </c>
      <c r="CO360" t="s">
        <v>276</v>
      </c>
      <c r="CP360" s="11">
        <v>0</v>
      </c>
      <c r="CQ360" s="9" t="str">
        <f>_xll.SNL.Clients.Office.Excel.Functions.SPG(CN360, "SP_COUNTRY_NAME")</f>
        <v>USA</v>
      </c>
      <c r="CV360" s="9" t="str">
        <f>_xll.SNL.Clients.Office.Excel.Functions.SPG(CS360, "SP_COUNTRY_NAME")</f>
        <v>#INVALID COMPANY ID</v>
      </c>
      <c r="DA360" s="9" t="str">
        <f>_xll.SNL.Clients.Office.Excel.Functions.SPG(CX360, "SP_COUNTRY_NAME")</f>
        <v>#INVALID COMPANY ID</v>
      </c>
      <c r="DB360" t="s">
        <v>1122</v>
      </c>
      <c r="DC360">
        <v>111354</v>
      </c>
      <c r="DD360" t="s">
        <v>346</v>
      </c>
      <c r="DE360" s="11">
        <v>0</v>
      </c>
      <c r="DF360" s="9" t="str">
        <f>_xll.SNL.Clients.Office.Excel.Functions.SPG(DC360, "SP_COUNTRY_NAME")</f>
        <v>USA</v>
      </c>
      <c r="DK360" s="9" t="str">
        <f>_xll.SNL.Clients.Office.Excel.Functions.SPG(DH360, "SP_COUNTRY_NAME")</f>
        <v>#INVALID COMPANY ID</v>
      </c>
      <c r="DL360" t="s">
        <v>1122</v>
      </c>
      <c r="DM360">
        <v>111354</v>
      </c>
      <c r="DN360" t="s">
        <v>346</v>
      </c>
      <c r="DO360" s="11">
        <v>0</v>
      </c>
      <c r="DP360" s="9" t="str">
        <f>_xll.SNL.Clients.Office.Excel.Functions.SPG(DM360, "SP_COUNTRY_NAME")</f>
        <v>USA</v>
      </c>
      <c r="DU360" s="9" t="str">
        <f>_xll.SNL.Clients.Office.Excel.Functions.SPG(DR360, "SP_COUNTRY_NAME")</f>
        <v>#INVALID COMPANY ID</v>
      </c>
      <c r="DZ360" s="9" t="str">
        <f>_xll.SNL.Clients.Office.Excel.Functions.SPG(DW360, "SP_COUNTRY_NAME")</f>
        <v>#INVALID COMPANY ID</v>
      </c>
      <c r="EA360" t="s">
        <v>1795</v>
      </c>
      <c r="EB360">
        <v>4291471</v>
      </c>
      <c r="EC360" t="s">
        <v>346</v>
      </c>
      <c r="ED360" s="11">
        <v>0</v>
      </c>
      <c r="EE360" s="9" t="str">
        <f>_xll.SNL.Clients.Office.Excel.Functions.SPG(EB360, "SP_COUNTRY_NAME")</f>
        <v>Brazil</v>
      </c>
      <c r="EF360" t="s">
        <v>1122</v>
      </c>
      <c r="EG360">
        <v>111354</v>
      </c>
      <c r="EH360" t="s">
        <v>346</v>
      </c>
      <c r="EI360" s="11">
        <v>0</v>
      </c>
      <c r="EJ360" s="9" t="str">
        <f>_xll.SNL.Clients.Office.Excel.Functions.SPG(EG360, "SP_COUNTRY_NAME")</f>
        <v>USA</v>
      </c>
      <c r="EO360" s="9" t="str">
        <f>_xll.SNL.Clients.Office.Excel.Functions.SPG(EL360, "SP_COUNTRY_NAME")</f>
        <v>#INVALID COMPANY ID</v>
      </c>
      <c r="ET360" s="9" t="str">
        <f>_xll.SNL.Clients.Office.Excel.Functions.SPG(EQ360, "SP_COUNTRY_NAME")</f>
        <v>#INVALID COMPANY ID</v>
      </c>
      <c r="EY360" s="9" t="str">
        <f>_xll.SNL.Clients.Office.Excel.Functions.SPG(EV360, "SP_COUNTRY_NAME")</f>
        <v>#INVALID COMPANY ID</v>
      </c>
      <c r="FD360" s="9" t="str">
        <f>_xll.SNL.Clients.Office.Excel.Functions.SPG(FA360, "SP_COUNTRY_NAME")</f>
        <v>#INVALID COMPANY ID</v>
      </c>
      <c r="FI360" s="9" t="str">
        <f>_xll.SNL.Clients.Office.Excel.Functions.SPG(FF360, "SP_COUNTRY_NAME")</f>
        <v>#INVALID COMPANY ID</v>
      </c>
      <c r="FN360" s="9" t="str">
        <f>_xll.SNL.Clients.Office.Excel.Functions.SPG(FK360, "SP_COUNTRY_NAME")</f>
        <v>#INVALID COMPANY ID</v>
      </c>
      <c r="FS360" s="9" t="str">
        <f>_xll.SNL.Clients.Office.Excel.Functions.SPG(FP360, "SP_COUNTRY_NAME")</f>
        <v>#INVALID COMPANY ID</v>
      </c>
      <c r="FX360" s="9" t="str">
        <f>_xll.SNL.Clients.Office.Excel.Functions.SPG(FU360, "SP_COUNTRY_NAME")</f>
        <v>#INVALID COMPANY ID</v>
      </c>
      <c r="FY360" t="s">
        <v>1122</v>
      </c>
      <c r="FZ360">
        <v>111354</v>
      </c>
      <c r="GA360" t="s">
        <v>346</v>
      </c>
      <c r="GB360" s="11">
        <v>0</v>
      </c>
      <c r="GC360" s="9" t="str">
        <f>_xll.SNL.Clients.Office.Excel.Functions.SPG(FZ360, "SP_COUNTRY_NAME")</f>
        <v>USA</v>
      </c>
      <c r="GH360" s="9" t="str">
        <f>_xll.SNL.Clients.Office.Excel.Functions.SPG(GE360, "SP_COUNTRY_NAME")</f>
        <v>#INVALID COMPANY ID</v>
      </c>
      <c r="GM360" s="9" t="str">
        <f>_xll.SNL.Clients.Office.Excel.Functions.SPG(GJ360, "SP_COUNTRY_NAME")</f>
        <v>#INVALID COMPANY ID</v>
      </c>
      <c r="GR360" s="9" t="str">
        <f>_xll.SNL.Clients.Office.Excel.Functions.SPG(GO360, "SP_COUNTRY_NAME")</f>
        <v>#INVALID COMPANY ID</v>
      </c>
      <c r="GW360" s="9" t="str">
        <f>_xll.SNL.Clients.Office.Excel.Functions.SPG(GT360, "SP_COUNTRY_NAME")</f>
        <v>#INVALID COMPANY ID</v>
      </c>
      <c r="GX360" t="s">
        <v>1795</v>
      </c>
      <c r="GY360">
        <v>4291471</v>
      </c>
      <c r="GZ360" t="s">
        <v>346</v>
      </c>
      <c r="HA360" s="11">
        <v>0</v>
      </c>
      <c r="HB360" s="9" t="str">
        <f>_xll.SNL.Clients.Office.Excel.Functions.SPG(GY360, "SP_COUNTRY_NAME")</f>
        <v>Brazil</v>
      </c>
      <c r="HG360" s="9" t="str">
        <f>_xll.SNL.Clients.Office.Excel.Functions.SPG(HD360, "SP_COUNTRY_NAME")</f>
        <v>#INVALID COMPANY ID</v>
      </c>
    </row>
    <row r="361" spans="5:215" x14ac:dyDescent="0.35">
      <c r="E361" s="9" t="str">
        <f>_xll.SNL.Clients.Office.Excel.Functions.SPG(B361, "SP_COUNTRY_NAME")</f>
        <v>#INVALID COMPANY ID</v>
      </c>
      <c r="J361" s="9" t="str">
        <f>_xll.SNL.Clients.Office.Excel.Functions.SPG(G361, "SP_COUNTRY_NAME")</f>
        <v>#INVALID COMPANY ID</v>
      </c>
      <c r="O361" s="9" t="str">
        <f>_xll.SNL.Clients.Office.Excel.Functions.SPG(L361, "SP_COUNTRY_NAME")</f>
        <v>#INVALID COMPANY ID</v>
      </c>
      <c r="T361" s="9" t="str">
        <f>_xll.SNL.Clients.Office.Excel.Functions.SPG(Q361, "SP_COUNTRY_NAME")</f>
        <v>#INVALID COMPANY ID</v>
      </c>
      <c r="U361" t="s">
        <v>903</v>
      </c>
      <c r="V361">
        <v>19241294</v>
      </c>
      <c r="W361" t="s">
        <v>346</v>
      </c>
      <c r="X361" s="11">
        <v>0</v>
      </c>
      <c r="Y361" s="9" t="str">
        <f>_xll.SNL.Clients.Office.Excel.Functions.SPG(V361, "SP_COUNTRY_NAME")</f>
        <v>#INVALID COMPANY ID</v>
      </c>
      <c r="AD361" s="9" t="str">
        <f>_xll.SNL.Clients.Office.Excel.Functions.SPG(AA361, "SP_COUNTRY_NAME")</f>
        <v>#INVALID COMPANY ID</v>
      </c>
      <c r="AI361" s="9" t="str">
        <f>_xll.SNL.Clients.Office.Excel.Functions.SPG(AF361, "SP_COUNTRY_NAME")</f>
        <v>#INVALID COMPANY ID</v>
      </c>
      <c r="AN361" s="9" t="str">
        <f>_xll.SNL.Clients.Office.Excel.Functions.SPG(AK361, "SP_COUNTRY_NAME")</f>
        <v>#INVALID COMPANY ID</v>
      </c>
      <c r="AS361" s="9" t="str">
        <f>_xll.SNL.Clients.Office.Excel.Functions.SPG(AP361, "SP_COUNTRY_NAME")</f>
        <v>#INVALID COMPANY ID</v>
      </c>
      <c r="AX361" s="9" t="str">
        <f>_xll.SNL.Clients.Office.Excel.Functions.SPG(AU361, "SP_COUNTRY_NAME")</f>
        <v>#INVALID COMPANY ID</v>
      </c>
      <c r="BC361" s="9" t="str">
        <f>_xll.SNL.Clients.Office.Excel.Functions.SPG(AZ361, "SP_COUNTRY_NAME")</f>
        <v>#INVALID COMPANY ID</v>
      </c>
      <c r="BD361" t="s">
        <v>626</v>
      </c>
      <c r="BE361">
        <v>4035337</v>
      </c>
      <c r="BF361" t="s">
        <v>346</v>
      </c>
      <c r="BG361" s="11">
        <v>0</v>
      </c>
      <c r="BH361" s="9" t="str">
        <f>_xll.SNL.Clients.Office.Excel.Functions.SPG(BE361, "SP_COUNTRY_NAME")</f>
        <v>USA</v>
      </c>
      <c r="BM361" s="9" t="str">
        <f>_xll.SNL.Clients.Office.Excel.Functions.SPG(BJ361, "SP_COUNTRY_NAME")</f>
        <v>#INVALID COMPANY ID</v>
      </c>
      <c r="BR361" s="9" t="str">
        <f>_xll.SNL.Clients.Office.Excel.Functions.SPG(BO361, "SP_COUNTRY_NAME")</f>
        <v>#INVALID COMPANY ID</v>
      </c>
      <c r="BS361" t="s">
        <v>1040</v>
      </c>
      <c r="BT361">
        <v>4232927</v>
      </c>
      <c r="BU361" t="s">
        <v>346</v>
      </c>
      <c r="BV361" s="11">
        <v>0</v>
      </c>
      <c r="BW361" s="9" t="str">
        <f>_xll.SNL.Clients.Office.Excel.Functions.SPG(BT361, "SP_COUNTRY_NAME")</f>
        <v>Luxembourg</v>
      </c>
      <c r="BX361" t="s">
        <v>903</v>
      </c>
      <c r="BY361">
        <v>19241294</v>
      </c>
      <c r="BZ361" t="s">
        <v>346</v>
      </c>
      <c r="CA361" s="11">
        <v>0</v>
      </c>
      <c r="CB361" s="9" t="str">
        <f>_xll.SNL.Clients.Office.Excel.Functions.SPG(BY361, "SP_COUNTRY_NAME")</f>
        <v>#INVALID COMPANY ID</v>
      </c>
      <c r="CC361" t="s">
        <v>522</v>
      </c>
      <c r="CD361">
        <v>4118373</v>
      </c>
      <c r="CE361" t="s">
        <v>346</v>
      </c>
      <c r="CF361" s="11">
        <v>0</v>
      </c>
      <c r="CG361" s="9" t="str">
        <f>_xll.SNL.Clients.Office.Excel.Functions.SPG(CD361, "SP_COUNTRY_NAME")</f>
        <v>USA</v>
      </c>
      <c r="CL361" s="9" t="str">
        <f>_xll.SNL.Clients.Office.Excel.Functions.SPG(CI361, "SP_COUNTRY_NAME")</f>
        <v>#INVALID COMPANY ID</v>
      </c>
      <c r="CM361" t="s">
        <v>2055</v>
      </c>
      <c r="CN361">
        <v>4283515</v>
      </c>
      <c r="CO361" t="s">
        <v>346</v>
      </c>
      <c r="CP361" s="11">
        <v>0</v>
      </c>
      <c r="CQ361" s="9" t="str">
        <f>_xll.SNL.Clients.Office.Excel.Functions.SPG(CN361, "SP_COUNTRY_NAME")</f>
        <v>USA</v>
      </c>
      <c r="CV361" s="9" t="str">
        <f>_xll.SNL.Clients.Office.Excel.Functions.SPG(CS361, "SP_COUNTRY_NAME")</f>
        <v>#INVALID COMPANY ID</v>
      </c>
      <c r="DA361" s="9" t="str">
        <f>_xll.SNL.Clients.Office.Excel.Functions.SPG(CX361, "SP_COUNTRY_NAME")</f>
        <v>#INVALID COMPANY ID</v>
      </c>
      <c r="DB361" t="s">
        <v>626</v>
      </c>
      <c r="DC361">
        <v>4035337</v>
      </c>
      <c r="DD361" t="s">
        <v>346</v>
      </c>
      <c r="DE361" s="11">
        <v>0</v>
      </c>
      <c r="DF361" s="9" t="str">
        <f>_xll.SNL.Clients.Office.Excel.Functions.SPG(DC361, "SP_COUNTRY_NAME")</f>
        <v>USA</v>
      </c>
      <c r="DK361" s="9" t="str">
        <f>_xll.SNL.Clients.Office.Excel.Functions.SPG(DH361, "SP_COUNTRY_NAME")</f>
        <v>#INVALID COMPANY ID</v>
      </c>
      <c r="DL361" t="s">
        <v>626</v>
      </c>
      <c r="DM361">
        <v>4035337</v>
      </c>
      <c r="DN361" t="s">
        <v>346</v>
      </c>
      <c r="DO361" s="11">
        <v>0</v>
      </c>
      <c r="DP361" s="9" t="str">
        <f>_xll.SNL.Clients.Office.Excel.Functions.SPG(DM361, "SP_COUNTRY_NAME")</f>
        <v>USA</v>
      </c>
      <c r="DU361" s="9" t="str">
        <f>_xll.SNL.Clients.Office.Excel.Functions.SPG(DR361, "SP_COUNTRY_NAME")</f>
        <v>#INVALID COMPANY ID</v>
      </c>
      <c r="DZ361" s="9" t="str">
        <f>_xll.SNL.Clients.Office.Excel.Functions.SPG(DW361, "SP_COUNTRY_NAME")</f>
        <v>#INVALID COMPANY ID</v>
      </c>
      <c r="EA361" t="s">
        <v>522</v>
      </c>
      <c r="EB361">
        <v>4118373</v>
      </c>
      <c r="EC361" t="s">
        <v>346</v>
      </c>
      <c r="ED361" s="11">
        <v>0</v>
      </c>
      <c r="EE361" s="9" t="str">
        <f>_xll.SNL.Clients.Office.Excel.Functions.SPG(EB361, "SP_COUNTRY_NAME")</f>
        <v>USA</v>
      </c>
      <c r="EF361" t="s">
        <v>626</v>
      </c>
      <c r="EG361">
        <v>4035337</v>
      </c>
      <c r="EH361" t="s">
        <v>346</v>
      </c>
      <c r="EI361" s="11">
        <v>0</v>
      </c>
      <c r="EJ361" s="9" t="str">
        <f>_xll.SNL.Clients.Office.Excel.Functions.SPG(EG361, "SP_COUNTRY_NAME")</f>
        <v>USA</v>
      </c>
      <c r="EO361" s="9" t="str">
        <f>_xll.SNL.Clients.Office.Excel.Functions.SPG(EL361, "SP_COUNTRY_NAME")</f>
        <v>#INVALID COMPANY ID</v>
      </c>
      <c r="ET361" s="9" t="str">
        <f>_xll.SNL.Clients.Office.Excel.Functions.SPG(EQ361, "SP_COUNTRY_NAME")</f>
        <v>#INVALID COMPANY ID</v>
      </c>
      <c r="EY361" s="9" t="str">
        <f>_xll.SNL.Clients.Office.Excel.Functions.SPG(EV361, "SP_COUNTRY_NAME")</f>
        <v>#INVALID COMPANY ID</v>
      </c>
      <c r="FD361" s="9" t="str">
        <f>_xll.SNL.Clients.Office.Excel.Functions.SPG(FA361, "SP_COUNTRY_NAME")</f>
        <v>#INVALID COMPANY ID</v>
      </c>
      <c r="FI361" s="9" t="str">
        <f>_xll.SNL.Clients.Office.Excel.Functions.SPG(FF361, "SP_COUNTRY_NAME")</f>
        <v>#INVALID COMPANY ID</v>
      </c>
      <c r="FN361" s="9" t="str">
        <f>_xll.SNL.Clients.Office.Excel.Functions.SPG(FK361, "SP_COUNTRY_NAME")</f>
        <v>#INVALID COMPANY ID</v>
      </c>
      <c r="FS361" s="9" t="str">
        <f>_xll.SNL.Clients.Office.Excel.Functions.SPG(FP361, "SP_COUNTRY_NAME")</f>
        <v>#INVALID COMPANY ID</v>
      </c>
      <c r="FX361" s="9" t="str">
        <f>_xll.SNL.Clients.Office.Excel.Functions.SPG(FU361, "SP_COUNTRY_NAME")</f>
        <v>#INVALID COMPANY ID</v>
      </c>
      <c r="FY361" t="s">
        <v>626</v>
      </c>
      <c r="FZ361">
        <v>4035337</v>
      </c>
      <c r="GA361" t="s">
        <v>346</v>
      </c>
      <c r="GB361" s="11">
        <v>0</v>
      </c>
      <c r="GC361" s="9" t="str">
        <f>_xll.SNL.Clients.Office.Excel.Functions.SPG(FZ361, "SP_COUNTRY_NAME")</f>
        <v>USA</v>
      </c>
      <c r="GH361" s="9" t="str">
        <f>_xll.SNL.Clients.Office.Excel.Functions.SPG(GE361, "SP_COUNTRY_NAME")</f>
        <v>#INVALID COMPANY ID</v>
      </c>
      <c r="GM361" s="9" t="str">
        <f>_xll.SNL.Clients.Office.Excel.Functions.SPG(GJ361, "SP_COUNTRY_NAME")</f>
        <v>#INVALID COMPANY ID</v>
      </c>
      <c r="GR361" s="9" t="str">
        <f>_xll.SNL.Clients.Office.Excel.Functions.SPG(GO361, "SP_COUNTRY_NAME")</f>
        <v>#INVALID COMPANY ID</v>
      </c>
      <c r="GW361" s="9" t="str">
        <f>_xll.SNL.Clients.Office.Excel.Functions.SPG(GT361, "SP_COUNTRY_NAME")</f>
        <v>#INVALID COMPANY ID</v>
      </c>
      <c r="GX361" t="s">
        <v>522</v>
      </c>
      <c r="GY361">
        <v>4118373</v>
      </c>
      <c r="GZ361" t="s">
        <v>346</v>
      </c>
      <c r="HA361" s="11">
        <v>0</v>
      </c>
      <c r="HB361" s="9" t="str">
        <f>_xll.SNL.Clients.Office.Excel.Functions.SPG(GY361, "SP_COUNTRY_NAME")</f>
        <v>USA</v>
      </c>
      <c r="HG361" s="9" t="str">
        <f>_xll.SNL.Clients.Office.Excel.Functions.SPG(HD361, "SP_COUNTRY_NAME")</f>
        <v>#INVALID COMPANY ID</v>
      </c>
    </row>
    <row r="362" spans="5:215" x14ac:dyDescent="0.35">
      <c r="E362" s="9" t="str">
        <f>_xll.SNL.Clients.Office.Excel.Functions.SPG(B362, "SP_COUNTRY_NAME")</f>
        <v>#INVALID COMPANY ID</v>
      </c>
      <c r="J362" s="9" t="str">
        <f>_xll.SNL.Clients.Office.Excel.Functions.SPG(G362, "SP_COUNTRY_NAME")</f>
        <v>#INVALID COMPANY ID</v>
      </c>
      <c r="O362" s="9" t="str">
        <f>_xll.SNL.Clients.Office.Excel.Functions.SPG(L362, "SP_COUNTRY_NAME")</f>
        <v>#INVALID COMPANY ID</v>
      </c>
      <c r="T362" s="9" t="str">
        <f>_xll.SNL.Clients.Office.Excel.Functions.SPG(Q362, "SP_COUNTRY_NAME")</f>
        <v>#INVALID COMPANY ID</v>
      </c>
      <c r="U362" t="s">
        <v>904</v>
      </c>
      <c r="V362">
        <v>4377113</v>
      </c>
      <c r="W362" t="s">
        <v>346</v>
      </c>
      <c r="X362" s="11">
        <v>0</v>
      </c>
      <c r="Y362" s="9" t="str">
        <f>_xll.SNL.Clients.Office.Excel.Functions.SPG(V362, "SP_COUNTRY_NAME")</f>
        <v>USA</v>
      </c>
      <c r="AD362" s="9" t="str">
        <f>_xll.SNL.Clients.Office.Excel.Functions.SPG(AA362, "SP_COUNTRY_NAME")</f>
        <v>#INVALID COMPANY ID</v>
      </c>
      <c r="AI362" s="9" t="str">
        <f>_xll.SNL.Clients.Office.Excel.Functions.SPG(AF362, "SP_COUNTRY_NAME")</f>
        <v>#INVALID COMPANY ID</v>
      </c>
      <c r="AN362" s="9" t="str">
        <f>_xll.SNL.Clients.Office.Excel.Functions.SPG(AK362, "SP_COUNTRY_NAME")</f>
        <v>#INVALID COMPANY ID</v>
      </c>
      <c r="AS362" s="9" t="str">
        <f>_xll.SNL.Clients.Office.Excel.Functions.SPG(AP362, "SP_COUNTRY_NAME")</f>
        <v>#INVALID COMPANY ID</v>
      </c>
      <c r="AX362" s="9" t="str">
        <f>_xll.SNL.Clients.Office.Excel.Functions.SPG(AU362, "SP_COUNTRY_NAME")</f>
        <v>#INVALID COMPANY ID</v>
      </c>
      <c r="BC362" s="9" t="str">
        <f>_xll.SNL.Clients.Office.Excel.Functions.SPG(AZ362, "SP_COUNTRY_NAME")</f>
        <v>#INVALID COMPANY ID</v>
      </c>
      <c r="BD362" t="s">
        <v>1503</v>
      </c>
      <c r="BE362">
        <v>4213204</v>
      </c>
      <c r="BF362" t="s">
        <v>346</v>
      </c>
      <c r="BG362" s="11">
        <v>0</v>
      </c>
      <c r="BH362" s="9" t="str">
        <f>_xll.SNL.Clients.Office.Excel.Functions.SPG(BE362, "SP_COUNTRY_NAME")</f>
        <v>Poland</v>
      </c>
      <c r="BM362" s="9" t="str">
        <f>_xll.SNL.Clients.Office.Excel.Functions.SPG(BJ362, "SP_COUNTRY_NAME")</f>
        <v>#INVALID COMPANY ID</v>
      </c>
      <c r="BR362" s="9" t="str">
        <f>_xll.SNL.Clients.Office.Excel.Functions.SPG(BO362, "SP_COUNTRY_NAME")</f>
        <v>#INVALID COMPANY ID</v>
      </c>
      <c r="BS362" t="s">
        <v>807</v>
      </c>
      <c r="BT362">
        <v>4553770</v>
      </c>
      <c r="BU362" t="s">
        <v>346</v>
      </c>
      <c r="BV362" s="11">
        <v>0</v>
      </c>
      <c r="BW362" s="9" t="str">
        <f>_xll.SNL.Clients.Office.Excel.Functions.SPG(BT362, "SP_COUNTRY_NAME")</f>
        <v>China</v>
      </c>
      <c r="BX362" t="s">
        <v>904</v>
      </c>
      <c r="BY362">
        <v>4377113</v>
      </c>
      <c r="BZ362" t="s">
        <v>346</v>
      </c>
      <c r="CA362" s="11">
        <v>0</v>
      </c>
      <c r="CB362" s="9" t="str">
        <f>_xll.SNL.Clients.Office.Excel.Functions.SPG(BY362, "SP_COUNTRY_NAME")</f>
        <v>USA</v>
      </c>
      <c r="CC362" t="s">
        <v>999</v>
      </c>
      <c r="CD362">
        <v>4031268</v>
      </c>
      <c r="CE362" t="s">
        <v>346</v>
      </c>
      <c r="CF362" s="11">
        <v>0</v>
      </c>
      <c r="CG362" s="9" t="str">
        <f>_xll.SNL.Clients.Office.Excel.Functions.SPG(CD362, "SP_COUNTRY_NAME")</f>
        <v>USA</v>
      </c>
      <c r="CL362" s="9" t="str">
        <f>_xll.SNL.Clients.Office.Excel.Functions.SPG(CI362, "SP_COUNTRY_NAME")</f>
        <v>#INVALID COMPANY ID</v>
      </c>
      <c r="CM362" t="s">
        <v>2056</v>
      </c>
      <c r="CN362">
        <v>4255901</v>
      </c>
      <c r="CO362" t="s">
        <v>346</v>
      </c>
      <c r="CP362" s="11">
        <v>0</v>
      </c>
      <c r="CQ362" s="9" t="str">
        <f>_xll.SNL.Clients.Office.Excel.Functions.SPG(CN362, "SP_COUNTRY_NAME")</f>
        <v>USA</v>
      </c>
      <c r="CV362" s="9" t="str">
        <f>_xll.SNL.Clients.Office.Excel.Functions.SPG(CS362, "SP_COUNTRY_NAME")</f>
        <v>#INVALID COMPANY ID</v>
      </c>
      <c r="DA362" s="9" t="str">
        <f>_xll.SNL.Clients.Office.Excel.Functions.SPG(CX362, "SP_COUNTRY_NAME")</f>
        <v>#INVALID COMPANY ID</v>
      </c>
      <c r="DB362" t="s">
        <v>1503</v>
      </c>
      <c r="DC362">
        <v>4213204</v>
      </c>
      <c r="DD362" t="s">
        <v>346</v>
      </c>
      <c r="DE362" s="11">
        <v>0</v>
      </c>
      <c r="DF362" s="9" t="str">
        <f>_xll.SNL.Clients.Office.Excel.Functions.SPG(DC362, "SP_COUNTRY_NAME")</f>
        <v>Poland</v>
      </c>
      <c r="DK362" s="9" t="str">
        <f>_xll.SNL.Clients.Office.Excel.Functions.SPG(DH362, "SP_COUNTRY_NAME")</f>
        <v>#INVALID COMPANY ID</v>
      </c>
      <c r="DL362" t="s">
        <v>1503</v>
      </c>
      <c r="DM362">
        <v>4213204</v>
      </c>
      <c r="DN362" t="s">
        <v>346</v>
      </c>
      <c r="DO362" s="11">
        <v>0</v>
      </c>
      <c r="DP362" s="9" t="str">
        <f>_xll.SNL.Clients.Office.Excel.Functions.SPG(DM362, "SP_COUNTRY_NAME")</f>
        <v>Poland</v>
      </c>
      <c r="DU362" s="9" t="str">
        <f>_xll.SNL.Clients.Office.Excel.Functions.SPG(DR362, "SP_COUNTRY_NAME")</f>
        <v>#INVALID COMPANY ID</v>
      </c>
      <c r="DZ362" s="9" t="str">
        <f>_xll.SNL.Clients.Office.Excel.Functions.SPG(DW362, "SP_COUNTRY_NAME")</f>
        <v>#INVALID COMPANY ID</v>
      </c>
      <c r="EA362" t="s">
        <v>999</v>
      </c>
      <c r="EB362">
        <v>4031268</v>
      </c>
      <c r="EC362" t="s">
        <v>346</v>
      </c>
      <c r="ED362" s="11">
        <v>0</v>
      </c>
      <c r="EE362" s="9" t="str">
        <f>_xll.SNL.Clients.Office.Excel.Functions.SPG(EB362, "SP_COUNTRY_NAME")</f>
        <v>USA</v>
      </c>
      <c r="EF362" t="s">
        <v>1503</v>
      </c>
      <c r="EG362">
        <v>4213204</v>
      </c>
      <c r="EH362" t="s">
        <v>346</v>
      </c>
      <c r="EI362" s="11">
        <v>0</v>
      </c>
      <c r="EJ362" s="9" t="str">
        <f>_xll.SNL.Clients.Office.Excel.Functions.SPG(EG362, "SP_COUNTRY_NAME")</f>
        <v>Poland</v>
      </c>
      <c r="EO362" s="9" t="str">
        <f>_xll.SNL.Clients.Office.Excel.Functions.SPG(EL362, "SP_COUNTRY_NAME")</f>
        <v>#INVALID COMPANY ID</v>
      </c>
      <c r="ET362" s="9" t="str">
        <f>_xll.SNL.Clients.Office.Excel.Functions.SPG(EQ362, "SP_COUNTRY_NAME")</f>
        <v>#INVALID COMPANY ID</v>
      </c>
      <c r="EY362" s="9" t="str">
        <f>_xll.SNL.Clients.Office.Excel.Functions.SPG(EV362, "SP_COUNTRY_NAME")</f>
        <v>#INVALID COMPANY ID</v>
      </c>
      <c r="FD362" s="9" t="str">
        <f>_xll.SNL.Clients.Office.Excel.Functions.SPG(FA362, "SP_COUNTRY_NAME")</f>
        <v>#INVALID COMPANY ID</v>
      </c>
      <c r="FI362" s="9" t="str">
        <f>_xll.SNL.Clients.Office.Excel.Functions.SPG(FF362, "SP_COUNTRY_NAME")</f>
        <v>#INVALID COMPANY ID</v>
      </c>
      <c r="FN362" s="9" t="str">
        <f>_xll.SNL.Clients.Office.Excel.Functions.SPG(FK362, "SP_COUNTRY_NAME")</f>
        <v>#INVALID COMPANY ID</v>
      </c>
      <c r="FS362" s="9" t="str">
        <f>_xll.SNL.Clients.Office.Excel.Functions.SPG(FP362, "SP_COUNTRY_NAME")</f>
        <v>#INVALID COMPANY ID</v>
      </c>
      <c r="FX362" s="9" t="str">
        <f>_xll.SNL.Clients.Office.Excel.Functions.SPG(FU362, "SP_COUNTRY_NAME")</f>
        <v>#INVALID COMPANY ID</v>
      </c>
      <c r="FY362" t="s">
        <v>1503</v>
      </c>
      <c r="FZ362">
        <v>4213204</v>
      </c>
      <c r="GA362" t="s">
        <v>346</v>
      </c>
      <c r="GB362" s="11">
        <v>0</v>
      </c>
      <c r="GC362" s="9" t="str">
        <f>_xll.SNL.Clients.Office.Excel.Functions.SPG(FZ362, "SP_COUNTRY_NAME")</f>
        <v>Poland</v>
      </c>
      <c r="GH362" s="9" t="str">
        <f>_xll.SNL.Clients.Office.Excel.Functions.SPG(GE362, "SP_COUNTRY_NAME")</f>
        <v>#INVALID COMPANY ID</v>
      </c>
      <c r="GM362" s="9" t="str">
        <f>_xll.SNL.Clients.Office.Excel.Functions.SPG(GJ362, "SP_COUNTRY_NAME")</f>
        <v>#INVALID COMPANY ID</v>
      </c>
      <c r="GR362" s="9" t="str">
        <f>_xll.SNL.Clients.Office.Excel.Functions.SPG(GO362, "SP_COUNTRY_NAME")</f>
        <v>#INVALID COMPANY ID</v>
      </c>
      <c r="GW362" s="9" t="str">
        <f>_xll.SNL.Clients.Office.Excel.Functions.SPG(GT362, "SP_COUNTRY_NAME")</f>
        <v>#INVALID COMPANY ID</v>
      </c>
      <c r="GX362" t="s">
        <v>999</v>
      </c>
      <c r="GY362">
        <v>4031268</v>
      </c>
      <c r="GZ362" t="s">
        <v>346</v>
      </c>
      <c r="HA362" s="11">
        <v>0</v>
      </c>
      <c r="HB362" s="9" t="str">
        <f>_xll.SNL.Clients.Office.Excel.Functions.SPG(GY362, "SP_COUNTRY_NAME")</f>
        <v>USA</v>
      </c>
      <c r="HG362" s="9" t="str">
        <f>_xll.SNL.Clients.Office.Excel.Functions.SPG(HD362, "SP_COUNTRY_NAME")</f>
        <v>#INVALID COMPANY ID</v>
      </c>
    </row>
    <row r="363" spans="5:215" x14ac:dyDescent="0.35">
      <c r="E363" s="9" t="str">
        <f>_xll.SNL.Clients.Office.Excel.Functions.SPG(B363, "SP_COUNTRY_NAME")</f>
        <v>#INVALID COMPANY ID</v>
      </c>
      <c r="J363" s="9" t="str">
        <f>_xll.SNL.Clients.Office.Excel.Functions.SPG(G363, "SP_COUNTRY_NAME")</f>
        <v>#INVALID COMPANY ID</v>
      </c>
      <c r="O363" s="9" t="str">
        <f>_xll.SNL.Clients.Office.Excel.Functions.SPG(L363, "SP_COUNTRY_NAME")</f>
        <v>#INVALID COMPANY ID</v>
      </c>
      <c r="T363" s="9" t="str">
        <f>_xll.SNL.Clients.Office.Excel.Functions.SPG(Q363, "SP_COUNTRY_NAME")</f>
        <v>#INVALID COMPANY ID</v>
      </c>
      <c r="U363" t="s">
        <v>652</v>
      </c>
      <c r="V363">
        <v>4134208</v>
      </c>
      <c r="W363" t="s">
        <v>346</v>
      </c>
      <c r="X363" s="11">
        <v>0</v>
      </c>
      <c r="Y363" s="9" t="str">
        <f>_xll.SNL.Clients.Office.Excel.Functions.SPG(V363, "SP_COUNTRY_NAME")</f>
        <v>USA</v>
      </c>
      <c r="AD363" s="9" t="str">
        <f>_xll.SNL.Clients.Office.Excel.Functions.SPG(AA363, "SP_COUNTRY_NAME")</f>
        <v>#INVALID COMPANY ID</v>
      </c>
      <c r="AI363" s="9" t="str">
        <f>_xll.SNL.Clients.Office.Excel.Functions.SPG(AF363, "SP_COUNTRY_NAME")</f>
        <v>#INVALID COMPANY ID</v>
      </c>
      <c r="AN363" s="9" t="str">
        <f>_xll.SNL.Clients.Office.Excel.Functions.SPG(AK363, "SP_COUNTRY_NAME")</f>
        <v>#INVALID COMPANY ID</v>
      </c>
      <c r="AS363" s="9" t="str">
        <f>_xll.SNL.Clients.Office.Excel.Functions.SPG(AP363, "SP_COUNTRY_NAME")</f>
        <v>#INVALID COMPANY ID</v>
      </c>
      <c r="AX363" s="9" t="str">
        <f>_xll.SNL.Clients.Office.Excel.Functions.SPG(AU363, "SP_COUNTRY_NAME")</f>
        <v>#INVALID COMPANY ID</v>
      </c>
      <c r="BC363" s="9" t="str">
        <f>_xll.SNL.Clients.Office.Excel.Functions.SPG(AZ363, "SP_COUNTRY_NAME")</f>
        <v>#INVALID COMPANY ID</v>
      </c>
      <c r="BD363" t="s">
        <v>1504</v>
      </c>
      <c r="BE363">
        <v>4237293</v>
      </c>
      <c r="BF363" t="s">
        <v>346</v>
      </c>
      <c r="BG363" s="11">
        <v>0</v>
      </c>
      <c r="BH363" s="9" t="str">
        <f>_xll.SNL.Clients.Office.Excel.Functions.SPG(BE363, "SP_COUNTRY_NAME")</f>
        <v>South Africa</v>
      </c>
      <c r="BM363" s="9" t="str">
        <f>_xll.SNL.Clients.Office.Excel.Functions.SPG(BJ363, "SP_COUNTRY_NAME")</f>
        <v>#INVALID COMPANY ID</v>
      </c>
      <c r="BR363" s="9" t="str">
        <f>_xll.SNL.Clients.Office.Excel.Functions.SPG(BO363, "SP_COUNTRY_NAME")</f>
        <v>#INVALID COMPANY ID</v>
      </c>
      <c r="BS363" t="s">
        <v>1041</v>
      </c>
      <c r="BT363">
        <v>4886130</v>
      </c>
      <c r="BU363" t="s">
        <v>346</v>
      </c>
      <c r="BV363" s="11">
        <v>0</v>
      </c>
      <c r="BW363" s="9" t="str">
        <f>_xll.SNL.Clients.Office.Excel.Functions.SPG(BT363, "SP_COUNTRY_NAME")</f>
        <v>Hong Kong</v>
      </c>
      <c r="BX363" t="s">
        <v>652</v>
      </c>
      <c r="BY363">
        <v>4134208</v>
      </c>
      <c r="BZ363" t="s">
        <v>346</v>
      </c>
      <c r="CA363" s="11">
        <v>0</v>
      </c>
      <c r="CB363" s="9" t="str">
        <f>_xll.SNL.Clients.Office.Excel.Functions.SPG(BY363, "SP_COUNTRY_NAME")</f>
        <v>USA</v>
      </c>
      <c r="CC363" t="s">
        <v>1796</v>
      </c>
      <c r="CD363">
        <v>4271661</v>
      </c>
      <c r="CE363" t="s">
        <v>346</v>
      </c>
      <c r="CF363" s="11">
        <v>0</v>
      </c>
      <c r="CG363" s="9" t="str">
        <f>_xll.SNL.Clients.Office.Excel.Functions.SPG(CD363, "SP_COUNTRY_NAME")</f>
        <v>Canada</v>
      </c>
      <c r="CL363" s="9" t="str">
        <f>_xll.SNL.Clients.Office.Excel.Functions.SPG(CI363, "SP_COUNTRY_NAME")</f>
        <v>#INVALID COMPANY ID</v>
      </c>
      <c r="CM363" t="s">
        <v>860</v>
      </c>
      <c r="CN363">
        <v>110879</v>
      </c>
      <c r="CO363" t="s">
        <v>346</v>
      </c>
      <c r="CP363" s="11">
        <v>0</v>
      </c>
      <c r="CQ363" s="9" t="str">
        <f>_xll.SNL.Clients.Office.Excel.Functions.SPG(CN363, "SP_COUNTRY_NAME")</f>
        <v>USA</v>
      </c>
      <c r="CV363" s="9" t="str">
        <f>_xll.SNL.Clients.Office.Excel.Functions.SPG(CS363, "SP_COUNTRY_NAME")</f>
        <v>#INVALID COMPANY ID</v>
      </c>
      <c r="DA363" s="9" t="str">
        <f>_xll.SNL.Clients.Office.Excel.Functions.SPG(CX363, "SP_COUNTRY_NAME")</f>
        <v>#INVALID COMPANY ID</v>
      </c>
      <c r="DB363" t="s">
        <v>1504</v>
      </c>
      <c r="DC363">
        <v>4237293</v>
      </c>
      <c r="DD363" t="s">
        <v>346</v>
      </c>
      <c r="DE363" s="11">
        <v>0</v>
      </c>
      <c r="DF363" s="9" t="str">
        <f>_xll.SNL.Clients.Office.Excel.Functions.SPG(DC363, "SP_COUNTRY_NAME")</f>
        <v>South Africa</v>
      </c>
      <c r="DK363" s="9" t="str">
        <f>_xll.SNL.Clients.Office.Excel.Functions.SPG(DH363, "SP_COUNTRY_NAME")</f>
        <v>#INVALID COMPANY ID</v>
      </c>
      <c r="DL363" t="s">
        <v>1504</v>
      </c>
      <c r="DM363">
        <v>4237293</v>
      </c>
      <c r="DN363" t="s">
        <v>346</v>
      </c>
      <c r="DO363" s="11">
        <v>0</v>
      </c>
      <c r="DP363" s="9" t="str">
        <f>_xll.SNL.Clients.Office.Excel.Functions.SPG(DM363, "SP_COUNTRY_NAME")</f>
        <v>South Africa</v>
      </c>
      <c r="DU363" s="9" t="str">
        <f>_xll.SNL.Clients.Office.Excel.Functions.SPG(DR363, "SP_COUNTRY_NAME")</f>
        <v>#INVALID COMPANY ID</v>
      </c>
      <c r="DZ363" s="9" t="str">
        <f>_xll.SNL.Clients.Office.Excel.Functions.SPG(DW363, "SP_COUNTRY_NAME")</f>
        <v>#INVALID COMPANY ID</v>
      </c>
      <c r="EA363" t="s">
        <v>1796</v>
      </c>
      <c r="EB363">
        <v>4271661</v>
      </c>
      <c r="EC363" t="s">
        <v>346</v>
      </c>
      <c r="ED363" s="11">
        <v>0</v>
      </c>
      <c r="EE363" s="9" t="str">
        <f>_xll.SNL.Clients.Office.Excel.Functions.SPG(EB363, "SP_COUNTRY_NAME")</f>
        <v>Canada</v>
      </c>
      <c r="EF363" t="s">
        <v>1504</v>
      </c>
      <c r="EG363">
        <v>4237293</v>
      </c>
      <c r="EH363" t="s">
        <v>346</v>
      </c>
      <c r="EI363" s="11">
        <v>0</v>
      </c>
      <c r="EJ363" s="9" t="str">
        <f>_xll.SNL.Clients.Office.Excel.Functions.SPG(EG363, "SP_COUNTRY_NAME")</f>
        <v>South Africa</v>
      </c>
      <c r="EO363" s="9" t="str">
        <f>_xll.SNL.Clients.Office.Excel.Functions.SPG(EL363, "SP_COUNTRY_NAME")</f>
        <v>#INVALID COMPANY ID</v>
      </c>
      <c r="ET363" s="9" t="str">
        <f>_xll.SNL.Clients.Office.Excel.Functions.SPG(EQ363, "SP_COUNTRY_NAME")</f>
        <v>#INVALID COMPANY ID</v>
      </c>
      <c r="EY363" s="9" t="str">
        <f>_xll.SNL.Clients.Office.Excel.Functions.SPG(EV363, "SP_COUNTRY_NAME")</f>
        <v>#INVALID COMPANY ID</v>
      </c>
      <c r="FD363" s="9" t="str">
        <f>_xll.SNL.Clients.Office.Excel.Functions.SPG(FA363, "SP_COUNTRY_NAME")</f>
        <v>#INVALID COMPANY ID</v>
      </c>
      <c r="FI363" s="9" t="str">
        <f>_xll.SNL.Clients.Office.Excel.Functions.SPG(FF363, "SP_COUNTRY_NAME")</f>
        <v>#INVALID COMPANY ID</v>
      </c>
      <c r="FN363" s="9" t="str">
        <f>_xll.SNL.Clients.Office.Excel.Functions.SPG(FK363, "SP_COUNTRY_NAME")</f>
        <v>#INVALID COMPANY ID</v>
      </c>
      <c r="FS363" s="9" t="str">
        <f>_xll.SNL.Clients.Office.Excel.Functions.SPG(FP363, "SP_COUNTRY_NAME")</f>
        <v>#INVALID COMPANY ID</v>
      </c>
      <c r="FX363" s="9" t="str">
        <f>_xll.SNL.Clients.Office.Excel.Functions.SPG(FU363, "SP_COUNTRY_NAME")</f>
        <v>#INVALID COMPANY ID</v>
      </c>
      <c r="FY363" t="s">
        <v>1504</v>
      </c>
      <c r="FZ363">
        <v>4237293</v>
      </c>
      <c r="GA363" t="s">
        <v>346</v>
      </c>
      <c r="GB363" s="11">
        <v>0</v>
      </c>
      <c r="GC363" s="9" t="str">
        <f>_xll.SNL.Clients.Office.Excel.Functions.SPG(FZ363, "SP_COUNTRY_NAME")</f>
        <v>South Africa</v>
      </c>
      <c r="GH363" s="9" t="str">
        <f>_xll.SNL.Clients.Office.Excel.Functions.SPG(GE363, "SP_COUNTRY_NAME")</f>
        <v>#INVALID COMPANY ID</v>
      </c>
      <c r="GM363" s="9" t="str">
        <f>_xll.SNL.Clients.Office.Excel.Functions.SPG(GJ363, "SP_COUNTRY_NAME")</f>
        <v>#INVALID COMPANY ID</v>
      </c>
      <c r="GR363" s="9" t="str">
        <f>_xll.SNL.Clients.Office.Excel.Functions.SPG(GO363, "SP_COUNTRY_NAME")</f>
        <v>#INVALID COMPANY ID</v>
      </c>
      <c r="GW363" s="9" t="str">
        <f>_xll.SNL.Clients.Office.Excel.Functions.SPG(GT363, "SP_COUNTRY_NAME")</f>
        <v>#INVALID COMPANY ID</v>
      </c>
      <c r="GX363" t="s">
        <v>1796</v>
      </c>
      <c r="GY363">
        <v>4271661</v>
      </c>
      <c r="GZ363" t="s">
        <v>346</v>
      </c>
      <c r="HA363" s="11">
        <v>0</v>
      </c>
      <c r="HB363" s="9" t="str">
        <f>_xll.SNL.Clients.Office.Excel.Functions.SPG(GY363, "SP_COUNTRY_NAME")</f>
        <v>Canada</v>
      </c>
      <c r="HG363" s="9" t="str">
        <f>_xll.SNL.Clients.Office.Excel.Functions.SPG(HD363, "SP_COUNTRY_NAME")</f>
        <v>#INVALID COMPANY ID</v>
      </c>
    </row>
    <row r="364" spans="5:215" x14ac:dyDescent="0.35">
      <c r="E364" s="9" t="str">
        <f>_xll.SNL.Clients.Office.Excel.Functions.SPG(B364, "SP_COUNTRY_NAME")</f>
        <v>#INVALID COMPANY ID</v>
      </c>
      <c r="J364" s="9" t="str">
        <f>_xll.SNL.Clients.Office.Excel.Functions.SPG(G364, "SP_COUNTRY_NAME")</f>
        <v>#INVALID COMPANY ID</v>
      </c>
      <c r="O364" s="9" t="str">
        <f>_xll.SNL.Clients.Office.Excel.Functions.SPG(L364, "SP_COUNTRY_NAME")</f>
        <v>#INVALID COMPANY ID</v>
      </c>
      <c r="T364" s="9" t="str">
        <f>_xll.SNL.Clients.Office.Excel.Functions.SPG(Q364, "SP_COUNTRY_NAME")</f>
        <v>#INVALID COMPANY ID</v>
      </c>
      <c r="U364" t="s">
        <v>531</v>
      </c>
      <c r="V364">
        <v>4072215</v>
      </c>
      <c r="W364" t="s">
        <v>346</v>
      </c>
      <c r="X364" s="11">
        <v>0</v>
      </c>
      <c r="Y364" s="9" t="str">
        <f>_xll.SNL.Clients.Office.Excel.Functions.SPG(V364, "SP_COUNTRY_NAME")</f>
        <v>USA</v>
      </c>
      <c r="AD364" s="9" t="str">
        <f>_xll.SNL.Clients.Office.Excel.Functions.SPG(AA364, "SP_COUNTRY_NAME")</f>
        <v>#INVALID COMPANY ID</v>
      </c>
      <c r="AI364" s="9" t="str">
        <f>_xll.SNL.Clients.Office.Excel.Functions.SPG(AF364, "SP_COUNTRY_NAME")</f>
        <v>#INVALID COMPANY ID</v>
      </c>
      <c r="AN364" s="9" t="str">
        <f>_xll.SNL.Clients.Office.Excel.Functions.SPG(AK364, "SP_COUNTRY_NAME")</f>
        <v>#INVALID COMPANY ID</v>
      </c>
      <c r="AS364" s="9" t="str">
        <f>_xll.SNL.Clients.Office.Excel.Functions.SPG(AP364, "SP_COUNTRY_NAME")</f>
        <v>#INVALID COMPANY ID</v>
      </c>
      <c r="AX364" s="9" t="str">
        <f>_xll.SNL.Clients.Office.Excel.Functions.SPG(AU364, "SP_COUNTRY_NAME")</f>
        <v>#INVALID COMPANY ID</v>
      </c>
      <c r="BC364" s="9" t="str">
        <f>_xll.SNL.Clients.Office.Excel.Functions.SPG(AZ364, "SP_COUNTRY_NAME")</f>
        <v>#INVALID COMPANY ID</v>
      </c>
      <c r="BD364" t="s">
        <v>1505</v>
      </c>
      <c r="BE364">
        <v>4417280</v>
      </c>
      <c r="BF364" t="s">
        <v>346</v>
      </c>
      <c r="BG364" s="11">
        <v>0</v>
      </c>
      <c r="BH364" s="9" t="str">
        <f>_xll.SNL.Clients.Office.Excel.Functions.SPG(BE364, "SP_COUNTRY_NAME")</f>
        <v>Spain</v>
      </c>
      <c r="BM364" s="9" t="str">
        <f>_xll.SNL.Clients.Office.Excel.Functions.SPG(BJ364, "SP_COUNTRY_NAME")</f>
        <v>#INVALID COMPANY ID</v>
      </c>
      <c r="BR364" s="9" t="str">
        <f>_xll.SNL.Clients.Office.Excel.Functions.SPG(BO364, "SP_COUNTRY_NAME")</f>
        <v>#INVALID COMPANY ID</v>
      </c>
      <c r="BS364" t="s">
        <v>557</v>
      </c>
      <c r="BT364">
        <v>20326442</v>
      </c>
      <c r="BU364" t="s">
        <v>346</v>
      </c>
      <c r="BV364" s="11">
        <v>0</v>
      </c>
      <c r="BW364" s="9" t="str">
        <f>_xll.SNL.Clients.Office.Excel.Functions.SPG(BT364, "SP_COUNTRY_NAME")</f>
        <v>#INVALID COMPANY ID</v>
      </c>
      <c r="BX364" t="s">
        <v>531</v>
      </c>
      <c r="BY364">
        <v>4072215</v>
      </c>
      <c r="BZ364" t="s">
        <v>346</v>
      </c>
      <c r="CA364" s="11">
        <v>0</v>
      </c>
      <c r="CB364" s="9" t="str">
        <f>_xll.SNL.Clients.Office.Excel.Functions.SPG(BY364, "SP_COUNTRY_NAME")</f>
        <v>USA</v>
      </c>
      <c r="CC364" t="s">
        <v>1797</v>
      </c>
      <c r="CD364">
        <v>4116602</v>
      </c>
      <c r="CE364" t="s">
        <v>346</v>
      </c>
      <c r="CF364" s="11">
        <v>0</v>
      </c>
      <c r="CG364" s="9" t="str">
        <f>_xll.SNL.Clients.Office.Excel.Functions.SPG(CD364, "SP_COUNTRY_NAME")</f>
        <v>USA</v>
      </c>
      <c r="CL364" s="9" t="str">
        <f>_xll.SNL.Clients.Office.Excel.Functions.SPG(CI364, "SP_COUNTRY_NAME")</f>
        <v>#INVALID COMPANY ID</v>
      </c>
      <c r="CM364" t="s">
        <v>481</v>
      </c>
      <c r="CN364">
        <v>4376121</v>
      </c>
      <c r="CO364" t="s">
        <v>346</v>
      </c>
      <c r="CP364" s="11">
        <v>0</v>
      </c>
      <c r="CQ364" s="9" t="str">
        <f>_xll.SNL.Clients.Office.Excel.Functions.SPG(CN364, "SP_COUNTRY_NAME")</f>
        <v>United Kingdom</v>
      </c>
      <c r="CV364" s="9" t="str">
        <f>_xll.SNL.Clients.Office.Excel.Functions.SPG(CS364, "SP_COUNTRY_NAME")</f>
        <v>#INVALID COMPANY ID</v>
      </c>
      <c r="DA364" s="9" t="str">
        <f>_xll.SNL.Clients.Office.Excel.Functions.SPG(CX364, "SP_COUNTRY_NAME")</f>
        <v>#INVALID COMPANY ID</v>
      </c>
      <c r="DB364" t="s">
        <v>1505</v>
      </c>
      <c r="DC364">
        <v>4417280</v>
      </c>
      <c r="DD364" t="s">
        <v>346</v>
      </c>
      <c r="DE364" s="11">
        <v>0</v>
      </c>
      <c r="DF364" s="9" t="str">
        <f>_xll.SNL.Clients.Office.Excel.Functions.SPG(DC364, "SP_COUNTRY_NAME")</f>
        <v>Spain</v>
      </c>
      <c r="DK364" s="9" t="str">
        <f>_xll.SNL.Clients.Office.Excel.Functions.SPG(DH364, "SP_COUNTRY_NAME")</f>
        <v>#INVALID COMPANY ID</v>
      </c>
      <c r="DL364" t="s">
        <v>1505</v>
      </c>
      <c r="DM364">
        <v>4417280</v>
      </c>
      <c r="DN364" t="s">
        <v>346</v>
      </c>
      <c r="DO364" s="11">
        <v>0</v>
      </c>
      <c r="DP364" s="9" t="str">
        <f>_xll.SNL.Clients.Office.Excel.Functions.SPG(DM364, "SP_COUNTRY_NAME")</f>
        <v>Spain</v>
      </c>
      <c r="DU364" s="9" t="str">
        <f>_xll.SNL.Clients.Office.Excel.Functions.SPG(DR364, "SP_COUNTRY_NAME")</f>
        <v>#INVALID COMPANY ID</v>
      </c>
      <c r="DZ364" s="9" t="str">
        <f>_xll.SNL.Clients.Office.Excel.Functions.SPG(DW364, "SP_COUNTRY_NAME")</f>
        <v>#INVALID COMPANY ID</v>
      </c>
      <c r="EA364" t="s">
        <v>1797</v>
      </c>
      <c r="EB364">
        <v>4116602</v>
      </c>
      <c r="EC364" t="s">
        <v>346</v>
      </c>
      <c r="ED364" s="11">
        <v>0</v>
      </c>
      <c r="EE364" s="9" t="str">
        <f>_xll.SNL.Clients.Office.Excel.Functions.SPG(EB364, "SP_COUNTRY_NAME")</f>
        <v>USA</v>
      </c>
      <c r="EF364" t="s">
        <v>1505</v>
      </c>
      <c r="EG364">
        <v>4417280</v>
      </c>
      <c r="EH364" t="s">
        <v>346</v>
      </c>
      <c r="EI364" s="11">
        <v>0</v>
      </c>
      <c r="EJ364" s="9" t="str">
        <f>_xll.SNL.Clients.Office.Excel.Functions.SPG(EG364, "SP_COUNTRY_NAME")</f>
        <v>Spain</v>
      </c>
      <c r="EO364" s="9" t="str">
        <f>_xll.SNL.Clients.Office.Excel.Functions.SPG(EL364, "SP_COUNTRY_NAME")</f>
        <v>#INVALID COMPANY ID</v>
      </c>
      <c r="ET364" s="9" t="str">
        <f>_xll.SNL.Clients.Office.Excel.Functions.SPG(EQ364, "SP_COUNTRY_NAME")</f>
        <v>#INVALID COMPANY ID</v>
      </c>
      <c r="EY364" s="9" t="str">
        <f>_xll.SNL.Clients.Office.Excel.Functions.SPG(EV364, "SP_COUNTRY_NAME")</f>
        <v>#INVALID COMPANY ID</v>
      </c>
      <c r="FD364" s="9" t="str">
        <f>_xll.SNL.Clients.Office.Excel.Functions.SPG(FA364, "SP_COUNTRY_NAME")</f>
        <v>#INVALID COMPANY ID</v>
      </c>
      <c r="FI364" s="9" t="str">
        <f>_xll.SNL.Clients.Office.Excel.Functions.SPG(FF364, "SP_COUNTRY_NAME")</f>
        <v>#INVALID COMPANY ID</v>
      </c>
      <c r="FN364" s="9" t="str">
        <f>_xll.SNL.Clients.Office.Excel.Functions.SPG(FK364, "SP_COUNTRY_NAME")</f>
        <v>#INVALID COMPANY ID</v>
      </c>
      <c r="FS364" s="9" t="str">
        <f>_xll.SNL.Clients.Office.Excel.Functions.SPG(FP364, "SP_COUNTRY_NAME")</f>
        <v>#INVALID COMPANY ID</v>
      </c>
      <c r="FX364" s="9" t="str">
        <f>_xll.SNL.Clients.Office.Excel.Functions.SPG(FU364, "SP_COUNTRY_NAME")</f>
        <v>#INVALID COMPANY ID</v>
      </c>
      <c r="FY364" t="s">
        <v>1505</v>
      </c>
      <c r="FZ364">
        <v>4417280</v>
      </c>
      <c r="GA364" t="s">
        <v>346</v>
      </c>
      <c r="GB364" s="11">
        <v>0</v>
      </c>
      <c r="GC364" s="9" t="str">
        <f>_xll.SNL.Clients.Office.Excel.Functions.SPG(FZ364, "SP_COUNTRY_NAME")</f>
        <v>Spain</v>
      </c>
      <c r="GH364" s="9" t="str">
        <f>_xll.SNL.Clients.Office.Excel.Functions.SPG(GE364, "SP_COUNTRY_NAME")</f>
        <v>#INVALID COMPANY ID</v>
      </c>
      <c r="GM364" s="9" t="str">
        <f>_xll.SNL.Clients.Office.Excel.Functions.SPG(GJ364, "SP_COUNTRY_NAME")</f>
        <v>#INVALID COMPANY ID</v>
      </c>
      <c r="GR364" s="9" t="str">
        <f>_xll.SNL.Clients.Office.Excel.Functions.SPG(GO364, "SP_COUNTRY_NAME")</f>
        <v>#INVALID COMPANY ID</v>
      </c>
      <c r="GW364" s="9" t="str">
        <f>_xll.SNL.Clients.Office.Excel.Functions.SPG(GT364, "SP_COUNTRY_NAME")</f>
        <v>#INVALID COMPANY ID</v>
      </c>
      <c r="GX364" t="s">
        <v>1797</v>
      </c>
      <c r="GY364">
        <v>4116602</v>
      </c>
      <c r="GZ364" t="s">
        <v>346</v>
      </c>
      <c r="HA364" s="11">
        <v>0</v>
      </c>
      <c r="HB364" s="9" t="str">
        <f>_xll.SNL.Clients.Office.Excel.Functions.SPG(GY364, "SP_COUNTRY_NAME")</f>
        <v>USA</v>
      </c>
      <c r="HG364" s="9" t="str">
        <f>_xll.SNL.Clients.Office.Excel.Functions.SPG(HD364, "SP_COUNTRY_NAME")</f>
        <v>#INVALID COMPANY ID</v>
      </c>
    </row>
    <row r="365" spans="5:215" x14ac:dyDescent="0.35">
      <c r="E365" s="9" t="str">
        <f>_xll.SNL.Clients.Office.Excel.Functions.SPG(B365, "SP_COUNTRY_NAME")</f>
        <v>#INVALID COMPANY ID</v>
      </c>
      <c r="J365" s="9" t="str">
        <f>_xll.SNL.Clients.Office.Excel.Functions.SPG(G365, "SP_COUNTRY_NAME")</f>
        <v>#INVALID COMPANY ID</v>
      </c>
      <c r="O365" s="9" t="str">
        <f>_xll.SNL.Clients.Office.Excel.Functions.SPG(L365, "SP_COUNTRY_NAME")</f>
        <v>#INVALID COMPANY ID</v>
      </c>
      <c r="T365" s="9" t="str">
        <f>_xll.SNL.Clients.Office.Excel.Functions.SPG(Q365, "SP_COUNTRY_NAME")</f>
        <v>#INVALID COMPANY ID</v>
      </c>
      <c r="U365" t="s">
        <v>905</v>
      </c>
      <c r="V365">
        <v>4048818</v>
      </c>
      <c r="W365" t="s">
        <v>346</v>
      </c>
      <c r="X365" s="11">
        <v>0</v>
      </c>
      <c r="Y365" s="9" t="str">
        <f>_xll.SNL.Clients.Office.Excel.Functions.SPG(V365, "SP_COUNTRY_NAME")</f>
        <v>USA</v>
      </c>
      <c r="AD365" s="9" t="str">
        <f>_xll.SNL.Clients.Office.Excel.Functions.SPG(AA365, "SP_COUNTRY_NAME")</f>
        <v>#INVALID COMPANY ID</v>
      </c>
      <c r="AI365" s="9" t="str">
        <f>_xll.SNL.Clients.Office.Excel.Functions.SPG(AF365, "SP_COUNTRY_NAME")</f>
        <v>#INVALID COMPANY ID</v>
      </c>
      <c r="AN365" s="9" t="str">
        <f>_xll.SNL.Clients.Office.Excel.Functions.SPG(AK365, "SP_COUNTRY_NAME")</f>
        <v>#INVALID COMPANY ID</v>
      </c>
      <c r="AS365" s="9" t="str">
        <f>_xll.SNL.Clients.Office.Excel.Functions.SPG(AP365, "SP_COUNTRY_NAME")</f>
        <v>#INVALID COMPANY ID</v>
      </c>
      <c r="AX365" s="9" t="str">
        <f>_xll.SNL.Clients.Office.Excel.Functions.SPG(AU365, "SP_COUNTRY_NAME")</f>
        <v>#INVALID COMPANY ID</v>
      </c>
      <c r="BC365" s="9" t="str">
        <f>_xll.SNL.Clients.Office.Excel.Functions.SPG(AZ365, "SP_COUNTRY_NAME")</f>
        <v>#INVALID COMPANY ID</v>
      </c>
      <c r="BD365" t="s">
        <v>1506</v>
      </c>
      <c r="BE365">
        <v>5864340</v>
      </c>
      <c r="BF365" t="s">
        <v>346</v>
      </c>
      <c r="BG365" s="11">
        <v>0</v>
      </c>
      <c r="BH365" s="9" t="str">
        <f>_xll.SNL.Clients.Office.Excel.Functions.SPG(BE365, "SP_COUNTRY_NAME")</f>
        <v>Sudan</v>
      </c>
      <c r="BM365" s="9" t="str">
        <f>_xll.SNL.Clients.Office.Excel.Functions.SPG(BJ365, "SP_COUNTRY_NAME")</f>
        <v>#INVALID COMPANY ID</v>
      </c>
      <c r="BR365" s="9" t="str">
        <f>_xll.SNL.Clients.Office.Excel.Functions.SPG(BO365, "SP_COUNTRY_NAME")</f>
        <v>#INVALID COMPANY ID</v>
      </c>
      <c r="BS365" t="s">
        <v>1042</v>
      </c>
      <c r="BT365">
        <v>6594844</v>
      </c>
      <c r="BU365" t="s">
        <v>346</v>
      </c>
      <c r="BV365" s="11">
        <v>0</v>
      </c>
      <c r="BW365" s="9" t="str">
        <f>_xll.SNL.Clients.Office.Excel.Functions.SPG(BT365, "SP_COUNTRY_NAME")</f>
        <v>Singapore</v>
      </c>
      <c r="BX365" t="s">
        <v>905</v>
      </c>
      <c r="BY365">
        <v>4048818</v>
      </c>
      <c r="BZ365" t="s">
        <v>346</v>
      </c>
      <c r="CA365" s="11">
        <v>0</v>
      </c>
      <c r="CB365" s="9" t="str">
        <f>_xll.SNL.Clients.Office.Excel.Functions.SPG(BY365, "SP_COUNTRY_NAME")</f>
        <v>USA</v>
      </c>
      <c r="CC365" t="s">
        <v>1798</v>
      </c>
      <c r="CD365">
        <v>110256</v>
      </c>
      <c r="CE365" t="s">
        <v>346</v>
      </c>
      <c r="CF365" s="11">
        <v>0</v>
      </c>
      <c r="CG365" s="9" t="str">
        <f>_xll.SNL.Clients.Office.Excel.Functions.SPG(CD365, "SP_COUNTRY_NAME")</f>
        <v>USA</v>
      </c>
      <c r="CL365" s="9" t="str">
        <f>_xll.SNL.Clients.Office.Excel.Functions.SPG(CI365, "SP_COUNTRY_NAME")</f>
        <v>#INVALID COMPANY ID</v>
      </c>
      <c r="CM365" t="s">
        <v>1908</v>
      </c>
      <c r="CN365">
        <v>4255907</v>
      </c>
      <c r="CO365" t="s">
        <v>346</v>
      </c>
      <c r="CP365" s="11">
        <v>0</v>
      </c>
      <c r="CQ365" s="9" t="str">
        <f>_xll.SNL.Clients.Office.Excel.Functions.SPG(CN365, "SP_COUNTRY_NAME")</f>
        <v>USA</v>
      </c>
      <c r="CV365" s="9" t="str">
        <f>_xll.SNL.Clients.Office.Excel.Functions.SPG(CS365, "SP_COUNTRY_NAME")</f>
        <v>#INVALID COMPANY ID</v>
      </c>
      <c r="DA365" s="9" t="str">
        <f>_xll.SNL.Clients.Office.Excel.Functions.SPG(CX365, "SP_COUNTRY_NAME")</f>
        <v>#INVALID COMPANY ID</v>
      </c>
      <c r="DB365" t="s">
        <v>1506</v>
      </c>
      <c r="DC365">
        <v>5864340</v>
      </c>
      <c r="DD365" t="s">
        <v>346</v>
      </c>
      <c r="DE365" s="11">
        <v>0</v>
      </c>
      <c r="DF365" s="9" t="str">
        <f>_xll.SNL.Clients.Office.Excel.Functions.SPG(DC365, "SP_COUNTRY_NAME")</f>
        <v>Sudan</v>
      </c>
      <c r="DK365" s="9" t="str">
        <f>_xll.SNL.Clients.Office.Excel.Functions.SPG(DH365, "SP_COUNTRY_NAME")</f>
        <v>#INVALID COMPANY ID</v>
      </c>
      <c r="DL365" t="s">
        <v>1506</v>
      </c>
      <c r="DM365">
        <v>5864340</v>
      </c>
      <c r="DN365" t="s">
        <v>346</v>
      </c>
      <c r="DO365" s="11">
        <v>0</v>
      </c>
      <c r="DP365" s="9" t="str">
        <f>_xll.SNL.Clients.Office.Excel.Functions.SPG(DM365, "SP_COUNTRY_NAME")</f>
        <v>Sudan</v>
      </c>
      <c r="DU365" s="9" t="str">
        <f>_xll.SNL.Clients.Office.Excel.Functions.SPG(DR365, "SP_COUNTRY_NAME")</f>
        <v>#INVALID COMPANY ID</v>
      </c>
      <c r="DZ365" s="9" t="str">
        <f>_xll.SNL.Clients.Office.Excel.Functions.SPG(DW365, "SP_COUNTRY_NAME")</f>
        <v>#INVALID COMPANY ID</v>
      </c>
      <c r="EA365" t="s">
        <v>1798</v>
      </c>
      <c r="EB365">
        <v>110256</v>
      </c>
      <c r="EC365" t="s">
        <v>346</v>
      </c>
      <c r="ED365" s="11">
        <v>0</v>
      </c>
      <c r="EE365" s="9" t="str">
        <f>_xll.SNL.Clients.Office.Excel.Functions.SPG(EB365, "SP_COUNTRY_NAME")</f>
        <v>USA</v>
      </c>
      <c r="EF365" t="s">
        <v>1506</v>
      </c>
      <c r="EG365">
        <v>5864340</v>
      </c>
      <c r="EH365" t="s">
        <v>346</v>
      </c>
      <c r="EI365" s="11">
        <v>0</v>
      </c>
      <c r="EJ365" s="9" t="str">
        <f>_xll.SNL.Clients.Office.Excel.Functions.SPG(EG365, "SP_COUNTRY_NAME")</f>
        <v>Sudan</v>
      </c>
      <c r="EO365" s="9" t="str">
        <f>_xll.SNL.Clients.Office.Excel.Functions.SPG(EL365, "SP_COUNTRY_NAME")</f>
        <v>#INVALID COMPANY ID</v>
      </c>
      <c r="ET365" s="9" t="str">
        <f>_xll.SNL.Clients.Office.Excel.Functions.SPG(EQ365, "SP_COUNTRY_NAME")</f>
        <v>#INVALID COMPANY ID</v>
      </c>
      <c r="EY365" s="9" t="str">
        <f>_xll.SNL.Clients.Office.Excel.Functions.SPG(EV365, "SP_COUNTRY_NAME")</f>
        <v>#INVALID COMPANY ID</v>
      </c>
      <c r="FD365" s="9" t="str">
        <f>_xll.SNL.Clients.Office.Excel.Functions.SPG(FA365, "SP_COUNTRY_NAME")</f>
        <v>#INVALID COMPANY ID</v>
      </c>
      <c r="FI365" s="9" t="str">
        <f>_xll.SNL.Clients.Office.Excel.Functions.SPG(FF365, "SP_COUNTRY_NAME")</f>
        <v>#INVALID COMPANY ID</v>
      </c>
      <c r="FN365" s="9" t="str">
        <f>_xll.SNL.Clients.Office.Excel.Functions.SPG(FK365, "SP_COUNTRY_NAME")</f>
        <v>#INVALID COMPANY ID</v>
      </c>
      <c r="FS365" s="9" t="str">
        <f>_xll.SNL.Clients.Office.Excel.Functions.SPG(FP365, "SP_COUNTRY_NAME")</f>
        <v>#INVALID COMPANY ID</v>
      </c>
      <c r="FX365" s="9" t="str">
        <f>_xll.SNL.Clients.Office.Excel.Functions.SPG(FU365, "SP_COUNTRY_NAME")</f>
        <v>#INVALID COMPANY ID</v>
      </c>
      <c r="FY365" t="s">
        <v>1506</v>
      </c>
      <c r="FZ365">
        <v>5864340</v>
      </c>
      <c r="GA365" t="s">
        <v>346</v>
      </c>
      <c r="GB365" s="11">
        <v>0</v>
      </c>
      <c r="GC365" s="9" t="str">
        <f>_xll.SNL.Clients.Office.Excel.Functions.SPG(FZ365, "SP_COUNTRY_NAME")</f>
        <v>Sudan</v>
      </c>
      <c r="GH365" s="9" t="str">
        <f>_xll.SNL.Clients.Office.Excel.Functions.SPG(GE365, "SP_COUNTRY_NAME")</f>
        <v>#INVALID COMPANY ID</v>
      </c>
      <c r="GM365" s="9" t="str">
        <f>_xll.SNL.Clients.Office.Excel.Functions.SPG(GJ365, "SP_COUNTRY_NAME")</f>
        <v>#INVALID COMPANY ID</v>
      </c>
      <c r="GR365" s="9" t="str">
        <f>_xll.SNL.Clients.Office.Excel.Functions.SPG(GO365, "SP_COUNTRY_NAME")</f>
        <v>#INVALID COMPANY ID</v>
      </c>
      <c r="GW365" s="9" t="str">
        <f>_xll.SNL.Clients.Office.Excel.Functions.SPG(GT365, "SP_COUNTRY_NAME")</f>
        <v>#INVALID COMPANY ID</v>
      </c>
      <c r="GX365" t="s">
        <v>1798</v>
      </c>
      <c r="GY365">
        <v>110256</v>
      </c>
      <c r="GZ365" t="s">
        <v>346</v>
      </c>
      <c r="HA365" s="11">
        <v>0</v>
      </c>
      <c r="HB365" s="9" t="str">
        <f>_xll.SNL.Clients.Office.Excel.Functions.SPG(GY365, "SP_COUNTRY_NAME")</f>
        <v>USA</v>
      </c>
      <c r="HG365" s="9" t="str">
        <f>_xll.SNL.Clients.Office.Excel.Functions.SPG(HD365, "SP_COUNTRY_NAME")</f>
        <v>#INVALID COMPANY ID</v>
      </c>
    </row>
    <row r="366" spans="5:215" x14ac:dyDescent="0.35">
      <c r="E366" s="9" t="str">
        <f>_xll.SNL.Clients.Office.Excel.Functions.SPG(B366, "SP_COUNTRY_NAME")</f>
        <v>#INVALID COMPANY ID</v>
      </c>
      <c r="J366" s="9" t="str">
        <f>_xll.SNL.Clients.Office.Excel.Functions.SPG(G366, "SP_COUNTRY_NAME")</f>
        <v>#INVALID COMPANY ID</v>
      </c>
      <c r="O366" s="9" t="str">
        <f>_xll.SNL.Clients.Office.Excel.Functions.SPG(L366, "SP_COUNTRY_NAME")</f>
        <v>#INVALID COMPANY ID</v>
      </c>
      <c r="T366" s="9" t="str">
        <f>_xll.SNL.Clients.Office.Excel.Functions.SPG(Q366, "SP_COUNTRY_NAME")</f>
        <v>#INVALID COMPANY ID</v>
      </c>
      <c r="U366" t="s">
        <v>413</v>
      </c>
      <c r="V366">
        <v>4114882</v>
      </c>
      <c r="W366" t="s">
        <v>346</v>
      </c>
      <c r="X366" s="11">
        <v>0</v>
      </c>
      <c r="Y366" s="9" t="str">
        <f>_xll.SNL.Clients.Office.Excel.Functions.SPG(V366, "SP_COUNTRY_NAME")</f>
        <v>Canada</v>
      </c>
      <c r="AD366" s="9" t="str">
        <f>_xll.SNL.Clients.Office.Excel.Functions.SPG(AA366, "SP_COUNTRY_NAME")</f>
        <v>#INVALID COMPANY ID</v>
      </c>
      <c r="AI366" s="9" t="str">
        <f>_xll.SNL.Clients.Office.Excel.Functions.SPG(AF366, "SP_COUNTRY_NAME")</f>
        <v>#INVALID COMPANY ID</v>
      </c>
      <c r="AN366" s="9" t="str">
        <f>_xll.SNL.Clients.Office.Excel.Functions.SPG(AK366, "SP_COUNTRY_NAME")</f>
        <v>#INVALID COMPANY ID</v>
      </c>
      <c r="AS366" s="9" t="str">
        <f>_xll.SNL.Clients.Office.Excel.Functions.SPG(AP366, "SP_COUNTRY_NAME")</f>
        <v>#INVALID COMPANY ID</v>
      </c>
      <c r="AX366" s="9" t="str">
        <f>_xll.SNL.Clients.Office.Excel.Functions.SPG(AU366, "SP_COUNTRY_NAME")</f>
        <v>#INVALID COMPANY ID</v>
      </c>
      <c r="BC366" s="9" t="str">
        <f>_xll.SNL.Clients.Office.Excel.Functions.SPG(AZ366, "SP_COUNTRY_NAME")</f>
        <v>#INVALID COMPANY ID</v>
      </c>
      <c r="BD366" t="s">
        <v>1335</v>
      </c>
      <c r="BE366">
        <v>10308257</v>
      </c>
      <c r="BF366" t="s">
        <v>364</v>
      </c>
      <c r="BG366" s="11">
        <v>0</v>
      </c>
      <c r="BH366" s="9" t="str">
        <f>_xll.SNL.Clients.Office.Excel.Functions.SPG(BE366, "SP_COUNTRY_NAME")</f>
        <v>South Africa</v>
      </c>
      <c r="BM366" s="9" t="str">
        <f>_xll.SNL.Clients.Office.Excel.Functions.SPG(BJ366, "SP_COUNTRY_NAME")</f>
        <v>#INVALID COMPANY ID</v>
      </c>
      <c r="BR366" s="9" t="str">
        <f>_xll.SNL.Clients.Office.Excel.Functions.SPG(BO366, "SP_COUNTRY_NAME")</f>
        <v>#INVALID COMPANY ID</v>
      </c>
      <c r="BS366" t="s">
        <v>749</v>
      </c>
      <c r="BT366">
        <v>109913</v>
      </c>
      <c r="BU366" t="s">
        <v>346</v>
      </c>
      <c r="BV366" s="11">
        <v>0</v>
      </c>
      <c r="BW366" s="9" t="str">
        <f>_xll.SNL.Clients.Office.Excel.Functions.SPG(BT366, "SP_COUNTRY_NAME")</f>
        <v>USA</v>
      </c>
      <c r="BX366" t="s">
        <v>413</v>
      </c>
      <c r="BY366">
        <v>4114882</v>
      </c>
      <c r="BZ366" t="s">
        <v>346</v>
      </c>
      <c r="CA366" s="11">
        <v>0</v>
      </c>
      <c r="CB366" s="9" t="str">
        <f>_xll.SNL.Clients.Office.Excel.Functions.SPG(BY366, "SP_COUNTRY_NAME")</f>
        <v>Canada</v>
      </c>
      <c r="CC366" t="s">
        <v>1799</v>
      </c>
      <c r="CD366">
        <v>4291336</v>
      </c>
      <c r="CE366" t="s">
        <v>364</v>
      </c>
      <c r="CF366" s="11">
        <v>0</v>
      </c>
      <c r="CG366" s="9" t="str">
        <f>_xll.SNL.Clients.Office.Excel.Functions.SPG(CD366, "SP_COUNTRY_NAME")</f>
        <v>Brazil</v>
      </c>
      <c r="CL366" s="9" t="str">
        <f>_xll.SNL.Clients.Office.Excel.Functions.SPG(CI366, "SP_COUNTRY_NAME")</f>
        <v>#INVALID COMPANY ID</v>
      </c>
      <c r="CM366" t="s">
        <v>1864</v>
      </c>
      <c r="CN366">
        <v>15092837</v>
      </c>
      <c r="CO366" t="s">
        <v>346</v>
      </c>
      <c r="CP366" s="11">
        <v>0</v>
      </c>
      <c r="CQ366" s="9" t="str">
        <f>_xll.SNL.Clients.Office.Excel.Functions.SPG(CN366, "SP_COUNTRY_NAME")</f>
        <v>USA</v>
      </c>
      <c r="CV366" s="9" t="str">
        <f>_xll.SNL.Clients.Office.Excel.Functions.SPG(CS366, "SP_COUNTRY_NAME")</f>
        <v>#INVALID COMPANY ID</v>
      </c>
      <c r="DA366" s="9" t="str">
        <f>_xll.SNL.Clients.Office.Excel.Functions.SPG(CX366, "SP_COUNTRY_NAME")</f>
        <v>#INVALID COMPANY ID</v>
      </c>
      <c r="DB366" t="s">
        <v>1335</v>
      </c>
      <c r="DC366">
        <v>10308257</v>
      </c>
      <c r="DD366" t="s">
        <v>364</v>
      </c>
      <c r="DE366" s="11">
        <v>0</v>
      </c>
      <c r="DF366" s="9" t="str">
        <f>_xll.SNL.Clients.Office.Excel.Functions.SPG(DC366, "SP_COUNTRY_NAME")</f>
        <v>South Africa</v>
      </c>
      <c r="DK366" s="9" t="str">
        <f>_xll.SNL.Clients.Office.Excel.Functions.SPG(DH366, "SP_COUNTRY_NAME")</f>
        <v>#INVALID COMPANY ID</v>
      </c>
      <c r="DL366" t="s">
        <v>1335</v>
      </c>
      <c r="DM366">
        <v>10308257</v>
      </c>
      <c r="DN366" t="s">
        <v>364</v>
      </c>
      <c r="DO366" s="11">
        <v>0</v>
      </c>
      <c r="DP366" s="9" t="str">
        <f>_xll.SNL.Clients.Office.Excel.Functions.SPG(DM366, "SP_COUNTRY_NAME")</f>
        <v>South Africa</v>
      </c>
      <c r="DU366" s="9" t="str">
        <f>_xll.SNL.Clients.Office.Excel.Functions.SPG(DR366, "SP_COUNTRY_NAME")</f>
        <v>#INVALID COMPANY ID</v>
      </c>
      <c r="DZ366" s="9" t="str">
        <f>_xll.SNL.Clients.Office.Excel.Functions.SPG(DW366, "SP_COUNTRY_NAME")</f>
        <v>#INVALID COMPANY ID</v>
      </c>
      <c r="EA366" t="s">
        <v>1799</v>
      </c>
      <c r="EB366">
        <v>4291336</v>
      </c>
      <c r="EC366" t="s">
        <v>364</v>
      </c>
      <c r="ED366" s="11">
        <v>0</v>
      </c>
      <c r="EE366" s="9" t="str">
        <f>_xll.SNL.Clients.Office.Excel.Functions.SPG(EB366, "SP_COUNTRY_NAME")</f>
        <v>Brazil</v>
      </c>
      <c r="EF366" t="s">
        <v>1335</v>
      </c>
      <c r="EG366">
        <v>10308257</v>
      </c>
      <c r="EH366" t="s">
        <v>364</v>
      </c>
      <c r="EI366" s="11">
        <v>0</v>
      </c>
      <c r="EJ366" s="9" t="str">
        <f>_xll.SNL.Clients.Office.Excel.Functions.SPG(EG366, "SP_COUNTRY_NAME")</f>
        <v>South Africa</v>
      </c>
      <c r="EO366" s="9" t="str">
        <f>_xll.SNL.Clients.Office.Excel.Functions.SPG(EL366, "SP_COUNTRY_NAME")</f>
        <v>#INVALID COMPANY ID</v>
      </c>
      <c r="ET366" s="9" t="str">
        <f>_xll.SNL.Clients.Office.Excel.Functions.SPG(EQ366, "SP_COUNTRY_NAME")</f>
        <v>#INVALID COMPANY ID</v>
      </c>
      <c r="EY366" s="9" t="str">
        <f>_xll.SNL.Clients.Office.Excel.Functions.SPG(EV366, "SP_COUNTRY_NAME")</f>
        <v>#INVALID COMPANY ID</v>
      </c>
      <c r="FD366" s="9" t="str">
        <f>_xll.SNL.Clients.Office.Excel.Functions.SPG(FA366, "SP_COUNTRY_NAME")</f>
        <v>#INVALID COMPANY ID</v>
      </c>
      <c r="FI366" s="9" t="str">
        <f>_xll.SNL.Clients.Office.Excel.Functions.SPG(FF366, "SP_COUNTRY_NAME")</f>
        <v>#INVALID COMPANY ID</v>
      </c>
      <c r="FN366" s="9" t="str">
        <f>_xll.SNL.Clients.Office.Excel.Functions.SPG(FK366, "SP_COUNTRY_NAME")</f>
        <v>#INVALID COMPANY ID</v>
      </c>
      <c r="FS366" s="9" t="str">
        <f>_xll.SNL.Clients.Office.Excel.Functions.SPG(FP366, "SP_COUNTRY_NAME")</f>
        <v>#INVALID COMPANY ID</v>
      </c>
      <c r="FX366" s="9" t="str">
        <f>_xll.SNL.Clients.Office.Excel.Functions.SPG(FU366, "SP_COUNTRY_NAME")</f>
        <v>#INVALID COMPANY ID</v>
      </c>
      <c r="FY366" t="s">
        <v>1335</v>
      </c>
      <c r="FZ366">
        <v>10308257</v>
      </c>
      <c r="GA366" t="s">
        <v>364</v>
      </c>
      <c r="GB366" s="11">
        <v>0</v>
      </c>
      <c r="GC366" s="9" t="str">
        <f>_xll.SNL.Clients.Office.Excel.Functions.SPG(FZ366, "SP_COUNTRY_NAME")</f>
        <v>South Africa</v>
      </c>
      <c r="GH366" s="9" t="str">
        <f>_xll.SNL.Clients.Office.Excel.Functions.SPG(GE366, "SP_COUNTRY_NAME")</f>
        <v>#INVALID COMPANY ID</v>
      </c>
      <c r="GM366" s="9" t="str">
        <f>_xll.SNL.Clients.Office.Excel.Functions.SPG(GJ366, "SP_COUNTRY_NAME")</f>
        <v>#INVALID COMPANY ID</v>
      </c>
      <c r="GR366" s="9" t="str">
        <f>_xll.SNL.Clients.Office.Excel.Functions.SPG(GO366, "SP_COUNTRY_NAME")</f>
        <v>#INVALID COMPANY ID</v>
      </c>
      <c r="GW366" s="9" t="str">
        <f>_xll.SNL.Clients.Office.Excel.Functions.SPG(GT366, "SP_COUNTRY_NAME")</f>
        <v>#INVALID COMPANY ID</v>
      </c>
      <c r="GX366" t="s">
        <v>1799</v>
      </c>
      <c r="GY366">
        <v>4291336</v>
      </c>
      <c r="GZ366" t="s">
        <v>364</v>
      </c>
      <c r="HA366" s="11">
        <v>0</v>
      </c>
      <c r="HB366" s="9" t="str">
        <f>_xll.SNL.Clients.Office.Excel.Functions.SPG(GY366, "SP_COUNTRY_NAME")</f>
        <v>Brazil</v>
      </c>
      <c r="HG366" s="9" t="str">
        <f>_xll.SNL.Clients.Office.Excel.Functions.SPG(HD366, "SP_COUNTRY_NAME")</f>
        <v>#INVALID COMPANY ID</v>
      </c>
    </row>
    <row r="367" spans="5:215" x14ac:dyDescent="0.35">
      <c r="E367" s="9" t="str">
        <f>_xll.SNL.Clients.Office.Excel.Functions.SPG(B367, "SP_COUNTRY_NAME")</f>
        <v>#INVALID COMPANY ID</v>
      </c>
      <c r="J367" s="9" t="str">
        <f>_xll.SNL.Clients.Office.Excel.Functions.SPG(G367, "SP_COUNTRY_NAME")</f>
        <v>#INVALID COMPANY ID</v>
      </c>
      <c r="O367" s="9" t="str">
        <f>_xll.SNL.Clients.Office.Excel.Functions.SPG(L367, "SP_COUNTRY_NAME")</f>
        <v>#INVALID COMPANY ID</v>
      </c>
      <c r="T367" s="9" t="str">
        <f>_xll.SNL.Clients.Office.Excel.Functions.SPG(Q367, "SP_COUNTRY_NAME")</f>
        <v>#INVALID COMPANY ID</v>
      </c>
      <c r="U367" t="s">
        <v>628</v>
      </c>
      <c r="V367">
        <v>4289501</v>
      </c>
      <c r="W367" t="s">
        <v>346</v>
      </c>
      <c r="X367" s="11">
        <v>0</v>
      </c>
      <c r="Y367" s="9" t="str">
        <f>_xll.SNL.Clients.Office.Excel.Functions.SPG(V367, "SP_COUNTRY_NAME")</f>
        <v>United Kingdom</v>
      </c>
      <c r="AD367" s="9" t="str">
        <f>_xll.SNL.Clients.Office.Excel.Functions.SPG(AA367, "SP_COUNTRY_NAME")</f>
        <v>#INVALID COMPANY ID</v>
      </c>
      <c r="AI367" s="9" t="str">
        <f>_xll.SNL.Clients.Office.Excel.Functions.SPG(AF367, "SP_COUNTRY_NAME")</f>
        <v>#INVALID COMPANY ID</v>
      </c>
      <c r="AN367" s="9" t="str">
        <f>_xll.SNL.Clients.Office.Excel.Functions.SPG(AK367, "SP_COUNTRY_NAME")</f>
        <v>#INVALID COMPANY ID</v>
      </c>
      <c r="AS367" s="9" t="str">
        <f>_xll.SNL.Clients.Office.Excel.Functions.SPG(AP367, "SP_COUNTRY_NAME")</f>
        <v>#INVALID COMPANY ID</v>
      </c>
      <c r="AX367" s="9" t="str">
        <f>_xll.SNL.Clients.Office.Excel.Functions.SPG(AU367, "SP_COUNTRY_NAME")</f>
        <v>#INVALID COMPANY ID</v>
      </c>
      <c r="BC367" s="9" t="str">
        <f>_xll.SNL.Clients.Office.Excel.Functions.SPG(AZ367, "SP_COUNTRY_NAME")</f>
        <v>#INVALID COMPANY ID</v>
      </c>
      <c r="BD367" t="s">
        <v>1507</v>
      </c>
      <c r="BE367">
        <v>4138242</v>
      </c>
      <c r="BF367" t="s">
        <v>346</v>
      </c>
      <c r="BG367" s="11">
        <v>0</v>
      </c>
      <c r="BH367" s="9" t="str">
        <f>_xll.SNL.Clients.Office.Excel.Functions.SPG(BE367, "SP_COUNTRY_NAME")</f>
        <v>Spain</v>
      </c>
      <c r="BM367" s="9" t="str">
        <f>_xll.SNL.Clients.Office.Excel.Functions.SPG(BJ367, "SP_COUNTRY_NAME")</f>
        <v>#INVALID COMPANY ID</v>
      </c>
      <c r="BR367" s="9" t="str">
        <f>_xll.SNL.Clients.Office.Excel.Functions.SPG(BO367, "SP_COUNTRY_NAME")</f>
        <v>#INVALID COMPANY ID</v>
      </c>
      <c r="BS367" t="s">
        <v>764</v>
      </c>
      <c r="BT367">
        <v>5879252</v>
      </c>
      <c r="BU367" t="s">
        <v>346</v>
      </c>
      <c r="BV367" s="11">
        <v>0</v>
      </c>
      <c r="BW367" s="9" t="str">
        <f>_xll.SNL.Clients.Office.Excel.Functions.SPG(BT367, "SP_COUNTRY_NAME")</f>
        <v>China</v>
      </c>
      <c r="BX367" t="s">
        <v>628</v>
      </c>
      <c r="BY367">
        <v>4289501</v>
      </c>
      <c r="BZ367" t="s">
        <v>346</v>
      </c>
      <c r="CA367" s="11">
        <v>0</v>
      </c>
      <c r="CB367" s="9" t="str">
        <f>_xll.SNL.Clients.Office.Excel.Functions.SPG(BY367, "SP_COUNTRY_NAME")</f>
        <v>United Kingdom</v>
      </c>
      <c r="CC367" t="s">
        <v>1800</v>
      </c>
      <c r="CD367">
        <v>4244873</v>
      </c>
      <c r="CE367" t="s">
        <v>346</v>
      </c>
      <c r="CF367" s="11">
        <v>0</v>
      </c>
      <c r="CG367" s="9" t="str">
        <f>_xll.SNL.Clients.Office.Excel.Functions.SPG(CD367, "SP_COUNTRY_NAME")</f>
        <v>Brazil</v>
      </c>
      <c r="CL367" s="9" t="str">
        <f>_xll.SNL.Clients.Office.Excel.Functions.SPG(CI367, "SP_COUNTRY_NAME")</f>
        <v>#INVALID COMPANY ID</v>
      </c>
      <c r="CM367" t="s">
        <v>1854</v>
      </c>
      <c r="CN367">
        <v>4117722</v>
      </c>
      <c r="CO367" t="s">
        <v>346</v>
      </c>
      <c r="CP367" s="11">
        <v>0</v>
      </c>
      <c r="CQ367" s="9" t="str">
        <f>_xll.SNL.Clients.Office.Excel.Functions.SPG(CN367, "SP_COUNTRY_NAME")</f>
        <v>USA</v>
      </c>
      <c r="CV367" s="9" t="str">
        <f>_xll.SNL.Clients.Office.Excel.Functions.SPG(CS367, "SP_COUNTRY_NAME")</f>
        <v>#INVALID COMPANY ID</v>
      </c>
      <c r="DA367" s="9" t="str">
        <f>_xll.SNL.Clients.Office.Excel.Functions.SPG(CX367, "SP_COUNTRY_NAME")</f>
        <v>#INVALID COMPANY ID</v>
      </c>
      <c r="DB367" t="s">
        <v>1507</v>
      </c>
      <c r="DC367">
        <v>4138242</v>
      </c>
      <c r="DD367" t="s">
        <v>346</v>
      </c>
      <c r="DE367" s="11">
        <v>0</v>
      </c>
      <c r="DF367" s="9" t="str">
        <f>_xll.SNL.Clients.Office.Excel.Functions.SPG(DC367, "SP_COUNTRY_NAME")</f>
        <v>Spain</v>
      </c>
      <c r="DK367" s="9" t="str">
        <f>_xll.SNL.Clients.Office.Excel.Functions.SPG(DH367, "SP_COUNTRY_NAME")</f>
        <v>#INVALID COMPANY ID</v>
      </c>
      <c r="DL367" t="s">
        <v>1507</v>
      </c>
      <c r="DM367">
        <v>4138242</v>
      </c>
      <c r="DN367" t="s">
        <v>346</v>
      </c>
      <c r="DO367" s="11">
        <v>0</v>
      </c>
      <c r="DP367" s="9" t="str">
        <f>_xll.SNL.Clients.Office.Excel.Functions.SPG(DM367, "SP_COUNTRY_NAME")</f>
        <v>Spain</v>
      </c>
      <c r="DU367" s="9" t="str">
        <f>_xll.SNL.Clients.Office.Excel.Functions.SPG(DR367, "SP_COUNTRY_NAME")</f>
        <v>#INVALID COMPANY ID</v>
      </c>
      <c r="DZ367" s="9" t="str">
        <f>_xll.SNL.Clients.Office.Excel.Functions.SPG(DW367, "SP_COUNTRY_NAME")</f>
        <v>#INVALID COMPANY ID</v>
      </c>
      <c r="EA367" t="s">
        <v>1800</v>
      </c>
      <c r="EB367">
        <v>4244873</v>
      </c>
      <c r="EC367" t="s">
        <v>346</v>
      </c>
      <c r="ED367" s="11">
        <v>0</v>
      </c>
      <c r="EE367" s="9" t="str">
        <f>_xll.SNL.Clients.Office.Excel.Functions.SPG(EB367, "SP_COUNTRY_NAME")</f>
        <v>Brazil</v>
      </c>
      <c r="EF367" t="s">
        <v>1507</v>
      </c>
      <c r="EG367">
        <v>4138242</v>
      </c>
      <c r="EH367" t="s">
        <v>346</v>
      </c>
      <c r="EI367" s="11">
        <v>0</v>
      </c>
      <c r="EJ367" s="9" t="str">
        <f>_xll.SNL.Clients.Office.Excel.Functions.SPG(EG367, "SP_COUNTRY_NAME")</f>
        <v>Spain</v>
      </c>
      <c r="EO367" s="9" t="str">
        <f>_xll.SNL.Clients.Office.Excel.Functions.SPG(EL367, "SP_COUNTRY_NAME")</f>
        <v>#INVALID COMPANY ID</v>
      </c>
      <c r="ET367" s="9" t="str">
        <f>_xll.SNL.Clients.Office.Excel.Functions.SPG(EQ367, "SP_COUNTRY_NAME")</f>
        <v>#INVALID COMPANY ID</v>
      </c>
      <c r="EY367" s="9" t="str">
        <f>_xll.SNL.Clients.Office.Excel.Functions.SPG(EV367, "SP_COUNTRY_NAME")</f>
        <v>#INVALID COMPANY ID</v>
      </c>
      <c r="FD367" s="9" t="str">
        <f>_xll.SNL.Clients.Office.Excel.Functions.SPG(FA367, "SP_COUNTRY_NAME")</f>
        <v>#INVALID COMPANY ID</v>
      </c>
      <c r="FI367" s="9" t="str">
        <f>_xll.SNL.Clients.Office.Excel.Functions.SPG(FF367, "SP_COUNTRY_NAME")</f>
        <v>#INVALID COMPANY ID</v>
      </c>
      <c r="FN367" s="9" t="str">
        <f>_xll.SNL.Clients.Office.Excel.Functions.SPG(FK367, "SP_COUNTRY_NAME")</f>
        <v>#INVALID COMPANY ID</v>
      </c>
      <c r="FS367" s="9" t="str">
        <f>_xll.SNL.Clients.Office.Excel.Functions.SPG(FP367, "SP_COUNTRY_NAME")</f>
        <v>#INVALID COMPANY ID</v>
      </c>
      <c r="FX367" s="9" t="str">
        <f>_xll.SNL.Clients.Office.Excel.Functions.SPG(FU367, "SP_COUNTRY_NAME")</f>
        <v>#INVALID COMPANY ID</v>
      </c>
      <c r="FY367" t="s">
        <v>1507</v>
      </c>
      <c r="FZ367">
        <v>4138242</v>
      </c>
      <c r="GA367" t="s">
        <v>346</v>
      </c>
      <c r="GB367" s="11">
        <v>0</v>
      </c>
      <c r="GC367" s="9" t="str">
        <f>_xll.SNL.Clients.Office.Excel.Functions.SPG(FZ367, "SP_COUNTRY_NAME")</f>
        <v>Spain</v>
      </c>
      <c r="GH367" s="9" t="str">
        <f>_xll.SNL.Clients.Office.Excel.Functions.SPG(GE367, "SP_COUNTRY_NAME")</f>
        <v>#INVALID COMPANY ID</v>
      </c>
      <c r="GM367" s="9" t="str">
        <f>_xll.SNL.Clients.Office.Excel.Functions.SPG(GJ367, "SP_COUNTRY_NAME")</f>
        <v>#INVALID COMPANY ID</v>
      </c>
      <c r="GR367" s="9" t="str">
        <f>_xll.SNL.Clients.Office.Excel.Functions.SPG(GO367, "SP_COUNTRY_NAME")</f>
        <v>#INVALID COMPANY ID</v>
      </c>
      <c r="GW367" s="9" t="str">
        <f>_xll.SNL.Clients.Office.Excel.Functions.SPG(GT367, "SP_COUNTRY_NAME")</f>
        <v>#INVALID COMPANY ID</v>
      </c>
      <c r="GX367" t="s">
        <v>1800</v>
      </c>
      <c r="GY367">
        <v>4244873</v>
      </c>
      <c r="GZ367" t="s">
        <v>346</v>
      </c>
      <c r="HA367" s="11">
        <v>0</v>
      </c>
      <c r="HB367" s="9" t="str">
        <f>_xll.SNL.Clients.Office.Excel.Functions.SPG(GY367, "SP_COUNTRY_NAME")</f>
        <v>Brazil</v>
      </c>
      <c r="HG367" s="9" t="str">
        <f>_xll.SNL.Clients.Office.Excel.Functions.SPG(HD367, "SP_COUNTRY_NAME")</f>
        <v>#INVALID COMPANY ID</v>
      </c>
    </row>
    <row r="368" spans="5:215" x14ac:dyDescent="0.35">
      <c r="E368" s="9" t="str">
        <f>_xll.SNL.Clients.Office.Excel.Functions.SPG(B368, "SP_COUNTRY_NAME")</f>
        <v>#INVALID COMPANY ID</v>
      </c>
      <c r="J368" s="9" t="str">
        <f>_xll.SNL.Clients.Office.Excel.Functions.SPG(G368, "SP_COUNTRY_NAME")</f>
        <v>#INVALID COMPANY ID</v>
      </c>
      <c r="O368" s="9" t="str">
        <f>_xll.SNL.Clients.Office.Excel.Functions.SPG(L368, "SP_COUNTRY_NAME")</f>
        <v>#INVALID COMPANY ID</v>
      </c>
      <c r="T368" s="9" t="str">
        <f>_xll.SNL.Clients.Office.Excel.Functions.SPG(Q368, "SP_COUNTRY_NAME")</f>
        <v>#INVALID COMPANY ID</v>
      </c>
      <c r="U368" t="s">
        <v>906</v>
      </c>
      <c r="V368">
        <v>5880770</v>
      </c>
      <c r="W368" t="s">
        <v>346</v>
      </c>
      <c r="X368" s="11">
        <v>0</v>
      </c>
      <c r="Y368" s="9" t="str">
        <f>_xll.SNL.Clients.Office.Excel.Functions.SPG(V368, "SP_COUNTRY_NAME")</f>
        <v>China</v>
      </c>
      <c r="AD368" s="9" t="str">
        <f>_xll.SNL.Clients.Office.Excel.Functions.SPG(AA368, "SP_COUNTRY_NAME")</f>
        <v>#INVALID COMPANY ID</v>
      </c>
      <c r="AI368" s="9" t="str">
        <f>_xll.SNL.Clients.Office.Excel.Functions.SPG(AF368, "SP_COUNTRY_NAME")</f>
        <v>#INVALID COMPANY ID</v>
      </c>
      <c r="AN368" s="9" t="str">
        <f>_xll.SNL.Clients.Office.Excel.Functions.SPG(AK368, "SP_COUNTRY_NAME")</f>
        <v>#INVALID COMPANY ID</v>
      </c>
      <c r="AS368" s="9" t="str">
        <f>_xll.SNL.Clients.Office.Excel.Functions.SPG(AP368, "SP_COUNTRY_NAME")</f>
        <v>#INVALID COMPANY ID</v>
      </c>
      <c r="AX368" s="9" t="str">
        <f>_xll.SNL.Clients.Office.Excel.Functions.SPG(AU368, "SP_COUNTRY_NAME")</f>
        <v>#INVALID COMPANY ID</v>
      </c>
      <c r="BC368" s="9" t="str">
        <f>_xll.SNL.Clients.Office.Excel.Functions.SPG(AZ368, "SP_COUNTRY_NAME")</f>
        <v>#INVALID COMPANY ID</v>
      </c>
      <c r="BD368" t="s">
        <v>1291</v>
      </c>
      <c r="BE368">
        <v>5868733</v>
      </c>
      <c r="BF368" t="s">
        <v>346</v>
      </c>
      <c r="BG368" s="11">
        <v>0</v>
      </c>
      <c r="BH368" s="9" t="str">
        <f>_xll.SNL.Clients.Office.Excel.Functions.SPG(BE368, "SP_COUNTRY_NAME")</f>
        <v>South Africa</v>
      </c>
      <c r="BM368" s="9" t="str">
        <f>_xll.SNL.Clients.Office.Excel.Functions.SPG(BJ368, "SP_COUNTRY_NAME")</f>
        <v>#INVALID COMPANY ID</v>
      </c>
      <c r="BR368" s="9" t="str">
        <f>_xll.SNL.Clients.Office.Excel.Functions.SPG(BO368, "SP_COUNTRY_NAME")</f>
        <v>#INVALID COMPANY ID</v>
      </c>
      <c r="BS368" t="s">
        <v>1043</v>
      </c>
      <c r="BT368">
        <v>4975448</v>
      </c>
      <c r="BU368" t="s">
        <v>364</v>
      </c>
      <c r="BV368" s="11">
        <v>0</v>
      </c>
      <c r="BW368" s="9" t="str">
        <f>_xll.SNL.Clients.Office.Excel.Functions.SPG(BT368, "SP_COUNTRY_NAME")</f>
        <v>Hong Kong</v>
      </c>
      <c r="BX368" t="s">
        <v>906</v>
      </c>
      <c r="BY368">
        <v>5880770</v>
      </c>
      <c r="BZ368" t="s">
        <v>346</v>
      </c>
      <c r="CA368" s="11">
        <v>0</v>
      </c>
      <c r="CB368" s="9" t="str">
        <f>_xll.SNL.Clients.Office.Excel.Functions.SPG(BY368, "SP_COUNTRY_NAME")</f>
        <v>China</v>
      </c>
      <c r="CC368" t="s">
        <v>1801</v>
      </c>
      <c r="CD368">
        <v>4376761</v>
      </c>
      <c r="CE368" t="s">
        <v>366</v>
      </c>
      <c r="CF368" s="11">
        <v>0</v>
      </c>
      <c r="CG368" s="9" t="str">
        <f>_xll.SNL.Clients.Office.Excel.Functions.SPG(CD368, "SP_COUNTRY_NAME")</f>
        <v>USA</v>
      </c>
      <c r="CL368" s="9" t="str">
        <f>_xll.SNL.Clients.Office.Excel.Functions.SPG(CI368, "SP_COUNTRY_NAME")</f>
        <v>#INVALID COMPANY ID</v>
      </c>
      <c r="CM368" t="s">
        <v>2057</v>
      </c>
      <c r="CN368">
        <v>4117370</v>
      </c>
      <c r="CO368" t="s">
        <v>346</v>
      </c>
      <c r="CP368" s="11">
        <v>0</v>
      </c>
      <c r="CQ368" s="9" t="str">
        <f>_xll.SNL.Clients.Office.Excel.Functions.SPG(CN368, "SP_COUNTRY_NAME")</f>
        <v>USA</v>
      </c>
      <c r="CV368" s="9" t="str">
        <f>_xll.SNL.Clients.Office.Excel.Functions.SPG(CS368, "SP_COUNTRY_NAME")</f>
        <v>#INVALID COMPANY ID</v>
      </c>
      <c r="DA368" s="9" t="str">
        <f>_xll.SNL.Clients.Office.Excel.Functions.SPG(CX368, "SP_COUNTRY_NAME")</f>
        <v>#INVALID COMPANY ID</v>
      </c>
      <c r="DB368" t="s">
        <v>1291</v>
      </c>
      <c r="DC368">
        <v>5868733</v>
      </c>
      <c r="DD368" t="s">
        <v>346</v>
      </c>
      <c r="DE368" s="11">
        <v>0</v>
      </c>
      <c r="DF368" s="9" t="str">
        <f>_xll.SNL.Clients.Office.Excel.Functions.SPG(DC368, "SP_COUNTRY_NAME")</f>
        <v>South Africa</v>
      </c>
      <c r="DK368" s="9" t="str">
        <f>_xll.SNL.Clients.Office.Excel.Functions.SPG(DH368, "SP_COUNTRY_NAME")</f>
        <v>#INVALID COMPANY ID</v>
      </c>
      <c r="DL368" t="s">
        <v>1291</v>
      </c>
      <c r="DM368">
        <v>5868733</v>
      </c>
      <c r="DN368" t="s">
        <v>346</v>
      </c>
      <c r="DO368" s="11">
        <v>0</v>
      </c>
      <c r="DP368" s="9" t="str">
        <f>_xll.SNL.Clients.Office.Excel.Functions.SPG(DM368, "SP_COUNTRY_NAME")</f>
        <v>South Africa</v>
      </c>
      <c r="DU368" s="9" t="str">
        <f>_xll.SNL.Clients.Office.Excel.Functions.SPG(DR368, "SP_COUNTRY_NAME")</f>
        <v>#INVALID COMPANY ID</v>
      </c>
      <c r="DZ368" s="9" t="str">
        <f>_xll.SNL.Clients.Office.Excel.Functions.SPG(DW368, "SP_COUNTRY_NAME")</f>
        <v>#INVALID COMPANY ID</v>
      </c>
      <c r="EA368" t="s">
        <v>1801</v>
      </c>
      <c r="EB368">
        <v>4376761</v>
      </c>
      <c r="EC368" t="s">
        <v>366</v>
      </c>
      <c r="ED368" s="11">
        <v>0</v>
      </c>
      <c r="EE368" s="9" t="str">
        <f>_xll.SNL.Clients.Office.Excel.Functions.SPG(EB368, "SP_COUNTRY_NAME")</f>
        <v>USA</v>
      </c>
      <c r="EF368" t="s">
        <v>1291</v>
      </c>
      <c r="EG368">
        <v>5868733</v>
      </c>
      <c r="EH368" t="s">
        <v>346</v>
      </c>
      <c r="EI368" s="11">
        <v>0</v>
      </c>
      <c r="EJ368" s="9" t="str">
        <f>_xll.SNL.Clients.Office.Excel.Functions.SPG(EG368, "SP_COUNTRY_NAME")</f>
        <v>South Africa</v>
      </c>
      <c r="EO368" s="9" t="str">
        <f>_xll.SNL.Clients.Office.Excel.Functions.SPG(EL368, "SP_COUNTRY_NAME")</f>
        <v>#INVALID COMPANY ID</v>
      </c>
      <c r="ET368" s="9" t="str">
        <f>_xll.SNL.Clients.Office.Excel.Functions.SPG(EQ368, "SP_COUNTRY_NAME")</f>
        <v>#INVALID COMPANY ID</v>
      </c>
      <c r="EY368" s="9" t="str">
        <f>_xll.SNL.Clients.Office.Excel.Functions.SPG(EV368, "SP_COUNTRY_NAME")</f>
        <v>#INVALID COMPANY ID</v>
      </c>
      <c r="FD368" s="9" t="str">
        <f>_xll.SNL.Clients.Office.Excel.Functions.SPG(FA368, "SP_COUNTRY_NAME")</f>
        <v>#INVALID COMPANY ID</v>
      </c>
      <c r="FI368" s="9" t="str">
        <f>_xll.SNL.Clients.Office.Excel.Functions.SPG(FF368, "SP_COUNTRY_NAME")</f>
        <v>#INVALID COMPANY ID</v>
      </c>
      <c r="FN368" s="9" t="str">
        <f>_xll.SNL.Clients.Office.Excel.Functions.SPG(FK368, "SP_COUNTRY_NAME")</f>
        <v>#INVALID COMPANY ID</v>
      </c>
      <c r="FS368" s="9" t="str">
        <f>_xll.SNL.Clients.Office.Excel.Functions.SPG(FP368, "SP_COUNTRY_NAME")</f>
        <v>#INVALID COMPANY ID</v>
      </c>
      <c r="FX368" s="9" t="str">
        <f>_xll.SNL.Clients.Office.Excel.Functions.SPG(FU368, "SP_COUNTRY_NAME")</f>
        <v>#INVALID COMPANY ID</v>
      </c>
      <c r="FY368" t="s">
        <v>1291</v>
      </c>
      <c r="FZ368">
        <v>5868733</v>
      </c>
      <c r="GA368" t="s">
        <v>346</v>
      </c>
      <c r="GB368" s="11">
        <v>0</v>
      </c>
      <c r="GC368" s="9" t="str">
        <f>_xll.SNL.Clients.Office.Excel.Functions.SPG(FZ368, "SP_COUNTRY_NAME")</f>
        <v>South Africa</v>
      </c>
      <c r="GH368" s="9" t="str">
        <f>_xll.SNL.Clients.Office.Excel.Functions.SPG(GE368, "SP_COUNTRY_NAME")</f>
        <v>#INVALID COMPANY ID</v>
      </c>
      <c r="GM368" s="9" t="str">
        <f>_xll.SNL.Clients.Office.Excel.Functions.SPG(GJ368, "SP_COUNTRY_NAME")</f>
        <v>#INVALID COMPANY ID</v>
      </c>
      <c r="GR368" s="9" t="str">
        <f>_xll.SNL.Clients.Office.Excel.Functions.SPG(GO368, "SP_COUNTRY_NAME")</f>
        <v>#INVALID COMPANY ID</v>
      </c>
      <c r="GW368" s="9" t="str">
        <f>_xll.SNL.Clients.Office.Excel.Functions.SPG(GT368, "SP_COUNTRY_NAME")</f>
        <v>#INVALID COMPANY ID</v>
      </c>
      <c r="GX368" t="s">
        <v>1801</v>
      </c>
      <c r="GY368">
        <v>4376761</v>
      </c>
      <c r="GZ368" t="s">
        <v>366</v>
      </c>
      <c r="HA368" s="11">
        <v>0</v>
      </c>
      <c r="HB368" s="9" t="str">
        <f>_xll.SNL.Clients.Office.Excel.Functions.SPG(GY368, "SP_COUNTRY_NAME")</f>
        <v>USA</v>
      </c>
      <c r="HG368" s="9" t="str">
        <f>_xll.SNL.Clients.Office.Excel.Functions.SPG(HD368, "SP_COUNTRY_NAME")</f>
        <v>#INVALID COMPANY ID</v>
      </c>
    </row>
    <row r="369" spans="5:215" x14ac:dyDescent="0.35">
      <c r="E369" s="9" t="str">
        <f>_xll.SNL.Clients.Office.Excel.Functions.SPG(B369, "SP_COUNTRY_NAME")</f>
        <v>#INVALID COMPANY ID</v>
      </c>
      <c r="J369" s="9" t="str">
        <f>_xll.SNL.Clients.Office.Excel.Functions.SPG(G369, "SP_COUNTRY_NAME")</f>
        <v>#INVALID COMPANY ID</v>
      </c>
      <c r="O369" s="9" t="str">
        <f>_xll.SNL.Clients.Office.Excel.Functions.SPG(L369, "SP_COUNTRY_NAME")</f>
        <v>#INVALID COMPANY ID</v>
      </c>
      <c r="T369" s="9" t="str">
        <f>_xll.SNL.Clients.Office.Excel.Functions.SPG(Q369, "SP_COUNTRY_NAME")</f>
        <v>#INVALID COMPANY ID</v>
      </c>
      <c r="U369" t="s">
        <v>395</v>
      </c>
      <c r="V369">
        <v>4153606</v>
      </c>
      <c r="W369" t="s">
        <v>346</v>
      </c>
      <c r="X369" s="11">
        <v>0</v>
      </c>
      <c r="Y369" s="9" t="str">
        <f>_xll.SNL.Clients.Office.Excel.Functions.SPG(V369, "SP_COUNTRY_NAME")</f>
        <v>USA</v>
      </c>
      <c r="AD369" s="9" t="str">
        <f>_xll.SNL.Clients.Office.Excel.Functions.SPG(AA369, "SP_COUNTRY_NAME")</f>
        <v>#INVALID COMPANY ID</v>
      </c>
      <c r="AI369" s="9" t="str">
        <f>_xll.SNL.Clients.Office.Excel.Functions.SPG(AF369, "SP_COUNTRY_NAME")</f>
        <v>#INVALID COMPANY ID</v>
      </c>
      <c r="AN369" s="9" t="str">
        <f>_xll.SNL.Clients.Office.Excel.Functions.SPG(AK369, "SP_COUNTRY_NAME")</f>
        <v>#INVALID COMPANY ID</v>
      </c>
      <c r="AS369" s="9" t="str">
        <f>_xll.SNL.Clients.Office.Excel.Functions.SPG(AP369, "SP_COUNTRY_NAME")</f>
        <v>#INVALID COMPANY ID</v>
      </c>
      <c r="AX369" s="9" t="str">
        <f>_xll.SNL.Clients.Office.Excel.Functions.SPG(AU369, "SP_COUNTRY_NAME")</f>
        <v>#INVALID COMPANY ID</v>
      </c>
      <c r="BC369" s="9" t="str">
        <f>_xll.SNL.Clients.Office.Excel.Functions.SPG(AZ369, "SP_COUNTRY_NAME")</f>
        <v>#INVALID COMPANY ID</v>
      </c>
      <c r="BD369" t="s">
        <v>1298</v>
      </c>
      <c r="BE369">
        <v>112262714</v>
      </c>
      <c r="BF369" t="s">
        <v>346</v>
      </c>
      <c r="BG369" s="11">
        <v>0</v>
      </c>
      <c r="BH369" s="9" t="str">
        <f>_xll.SNL.Clients.Office.Excel.Functions.SPG(BE369, "SP_COUNTRY_NAME")</f>
        <v>#INVALID COMPANY ID</v>
      </c>
      <c r="BM369" s="9" t="str">
        <f>_xll.SNL.Clients.Office.Excel.Functions.SPG(BJ369, "SP_COUNTRY_NAME")</f>
        <v>#INVALID COMPANY ID</v>
      </c>
      <c r="BR369" s="9" t="str">
        <f>_xll.SNL.Clients.Office.Excel.Functions.SPG(BO369, "SP_COUNTRY_NAME")</f>
        <v>#INVALID COMPANY ID</v>
      </c>
      <c r="BS369" t="s">
        <v>1044</v>
      </c>
      <c r="BT369">
        <v>4553851</v>
      </c>
      <c r="BU369" t="s">
        <v>346</v>
      </c>
      <c r="BV369" s="11">
        <v>0</v>
      </c>
      <c r="BW369" s="9" t="str">
        <f>_xll.SNL.Clients.Office.Excel.Functions.SPG(BT369, "SP_COUNTRY_NAME")</f>
        <v>Switzerland</v>
      </c>
      <c r="BX369" t="s">
        <v>395</v>
      </c>
      <c r="BY369">
        <v>4153606</v>
      </c>
      <c r="BZ369" t="s">
        <v>346</v>
      </c>
      <c r="CA369" s="11">
        <v>0</v>
      </c>
      <c r="CB369" s="9" t="str">
        <f>_xll.SNL.Clients.Office.Excel.Functions.SPG(BY369, "SP_COUNTRY_NAME")</f>
        <v>USA</v>
      </c>
      <c r="CC369" t="s">
        <v>1802</v>
      </c>
      <c r="CD369">
        <v>4669030</v>
      </c>
      <c r="CE369" t="s">
        <v>346</v>
      </c>
      <c r="CF369" s="11">
        <v>0</v>
      </c>
      <c r="CG369" s="9" t="str">
        <f>_xll.SNL.Clients.Office.Excel.Functions.SPG(CD369, "SP_COUNTRY_NAME")</f>
        <v>USA</v>
      </c>
      <c r="CL369" s="9" t="str">
        <f>_xll.SNL.Clients.Office.Excel.Functions.SPG(CI369, "SP_COUNTRY_NAME")</f>
        <v>#INVALID COMPANY ID</v>
      </c>
      <c r="CM369" t="s">
        <v>2058</v>
      </c>
      <c r="CN369">
        <v>109413</v>
      </c>
      <c r="CO369" t="s">
        <v>346</v>
      </c>
      <c r="CP369" s="11">
        <v>0</v>
      </c>
      <c r="CQ369" s="9" t="str">
        <f>_xll.SNL.Clients.Office.Excel.Functions.SPG(CN369, "SP_COUNTRY_NAME")</f>
        <v>USA</v>
      </c>
      <c r="CV369" s="9" t="str">
        <f>_xll.SNL.Clients.Office.Excel.Functions.SPG(CS369, "SP_COUNTRY_NAME")</f>
        <v>#INVALID COMPANY ID</v>
      </c>
      <c r="DA369" s="9" t="str">
        <f>_xll.SNL.Clients.Office.Excel.Functions.SPG(CX369, "SP_COUNTRY_NAME")</f>
        <v>#INVALID COMPANY ID</v>
      </c>
      <c r="DB369" t="s">
        <v>1298</v>
      </c>
      <c r="DC369">
        <v>112262714</v>
      </c>
      <c r="DD369" t="s">
        <v>346</v>
      </c>
      <c r="DE369" s="11">
        <v>0</v>
      </c>
      <c r="DF369" s="9" t="str">
        <f>_xll.SNL.Clients.Office.Excel.Functions.SPG(DC369, "SP_COUNTRY_NAME")</f>
        <v>#INVALID COMPANY ID</v>
      </c>
      <c r="DK369" s="9" t="str">
        <f>_xll.SNL.Clients.Office.Excel.Functions.SPG(DH369, "SP_COUNTRY_NAME")</f>
        <v>#INVALID COMPANY ID</v>
      </c>
      <c r="DL369" t="s">
        <v>1298</v>
      </c>
      <c r="DM369">
        <v>112262714</v>
      </c>
      <c r="DN369" t="s">
        <v>346</v>
      </c>
      <c r="DO369" s="11">
        <v>0</v>
      </c>
      <c r="DP369" s="9" t="str">
        <f>_xll.SNL.Clients.Office.Excel.Functions.SPG(DM369, "SP_COUNTRY_NAME")</f>
        <v>#INVALID COMPANY ID</v>
      </c>
      <c r="DU369" s="9" t="str">
        <f>_xll.SNL.Clients.Office.Excel.Functions.SPG(DR369, "SP_COUNTRY_NAME")</f>
        <v>#INVALID COMPANY ID</v>
      </c>
      <c r="DZ369" s="9" t="str">
        <f>_xll.SNL.Clients.Office.Excel.Functions.SPG(DW369, "SP_COUNTRY_NAME")</f>
        <v>#INVALID COMPANY ID</v>
      </c>
      <c r="EA369" t="s">
        <v>1802</v>
      </c>
      <c r="EB369">
        <v>4669030</v>
      </c>
      <c r="EC369" t="s">
        <v>346</v>
      </c>
      <c r="ED369" s="11">
        <v>0</v>
      </c>
      <c r="EE369" s="9" t="str">
        <f>_xll.SNL.Clients.Office.Excel.Functions.SPG(EB369, "SP_COUNTRY_NAME")</f>
        <v>USA</v>
      </c>
      <c r="EF369" t="s">
        <v>1298</v>
      </c>
      <c r="EG369">
        <v>112262714</v>
      </c>
      <c r="EH369" t="s">
        <v>346</v>
      </c>
      <c r="EI369" s="11">
        <v>0</v>
      </c>
      <c r="EJ369" s="9" t="str">
        <f>_xll.SNL.Clients.Office.Excel.Functions.SPG(EG369, "SP_COUNTRY_NAME")</f>
        <v>#INVALID COMPANY ID</v>
      </c>
      <c r="EO369" s="9" t="str">
        <f>_xll.SNL.Clients.Office.Excel.Functions.SPG(EL369, "SP_COUNTRY_NAME")</f>
        <v>#INVALID COMPANY ID</v>
      </c>
      <c r="ET369" s="9" t="str">
        <f>_xll.SNL.Clients.Office.Excel.Functions.SPG(EQ369, "SP_COUNTRY_NAME")</f>
        <v>#INVALID COMPANY ID</v>
      </c>
      <c r="EY369" s="9" t="str">
        <f>_xll.SNL.Clients.Office.Excel.Functions.SPG(EV369, "SP_COUNTRY_NAME")</f>
        <v>#INVALID COMPANY ID</v>
      </c>
      <c r="FD369" s="9" t="str">
        <f>_xll.SNL.Clients.Office.Excel.Functions.SPG(FA369, "SP_COUNTRY_NAME")</f>
        <v>#INVALID COMPANY ID</v>
      </c>
      <c r="FI369" s="9" t="str">
        <f>_xll.SNL.Clients.Office.Excel.Functions.SPG(FF369, "SP_COUNTRY_NAME")</f>
        <v>#INVALID COMPANY ID</v>
      </c>
      <c r="FN369" s="9" t="str">
        <f>_xll.SNL.Clients.Office.Excel.Functions.SPG(FK369, "SP_COUNTRY_NAME")</f>
        <v>#INVALID COMPANY ID</v>
      </c>
      <c r="FS369" s="9" t="str">
        <f>_xll.SNL.Clients.Office.Excel.Functions.SPG(FP369, "SP_COUNTRY_NAME")</f>
        <v>#INVALID COMPANY ID</v>
      </c>
      <c r="FX369" s="9" t="str">
        <f>_xll.SNL.Clients.Office.Excel.Functions.SPG(FU369, "SP_COUNTRY_NAME")</f>
        <v>#INVALID COMPANY ID</v>
      </c>
      <c r="FY369" t="s">
        <v>1298</v>
      </c>
      <c r="FZ369">
        <v>112262714</v>
      </c>
      <c r="GA369" t="s">
        <v>346</v>
      </c>
      <c r="GB369" s="11">
        <v>0</v>
      </c>
      <c r="GC369" s="9" t="str">
        <f>_xll.SNL.Clients.Office.Excel.Functions.SPG(FZ369, "SP_COUNTRY_NAME")</f>
        <v>#INVALID COMPANY ID</v>
      </c>
      <c r="GH369" s="9" t="str">
        <f>_xll.SNL.Clients.Office.Excel.Functions.SPG(GE369, "SP_COUNTRY_NAME")</f>
        <v>#INVALID COMPANY ID</v>
      </c>
      <c r="GM369" s="9" t="str">
        <f>_xll.SNL.Clients.Office.Excel.Functions.SPG(GJ369, "SP_COUNTRY_NAME")</f>
        <v>#INVALID COMPANY ID</v>
      </c>
      <c r="GR369" s="9" t="str">
        <f>_xll.SNL.Clients.Office.Excel.Functions.SPG(GO369, "SP_COUNTRY_NAME")</f>
        <v>#INVALID COMPANY ID</v>
      </c>
      <c r="GW369" s="9" t="str">
        <f>_xll.SNL.Clients.Office.Excel.Functions.SPG(GT369, "SP_COUNTRY_NAME")</f>
        <v>#INVALID COMPANY ID</v>
      </c>
      <c r="GX369" t="s">
        <v>1802</v>
      </c>
      <c r="GY369">
        <v>4669030</v>
      </c>
      <c r="GZ369" t="s">
        <v>346</v>
      </c>
      <c r="HA369" s="11">
        <v>0</v>
      </c>
      <c r="HB369" s="9" t="str">
        <f>_xll.SNL.Clients.Office.Excel.Functions.SPG(GY369, "SP_COUNTRY_NAME")</f>
        <v>USA</v>
      </c>
      <c r="HG369" s="9" t="str">
        <f>_xll.SNL.Clients.Office.Excel.Functions.SPG(HD369, "SP_COUNTRY_NAME")</f>
        <v>#INVALID COMPANY ID</v>
      </c>
    </row>
    <row r="370" spans="5:215" x14ac:dyDescent="0.35">
      <c r="E370" s="9" t="str">
        <f>_xll.SNL.Clients.Office.Excel.Functions.SPG(B370, "SP_COUNTRY_NAME")</f>
        <v>#INVALID COMPANY ID</v>
      </c>
      <c r="J370" s="9" t="str">
        <f>_xll.SNL.Clients.Office.Excel.Functions.SPG(G370, "SP_COUNTRY_NAME")</f>
        <v>#INVALID COMPANY ID</v>
      </c>
      <c r="O370" s="9" t="str">
        <f>_xll.SNL.Clients.Office.Excel.Functions.SPG(L370, "SP_COUNTRY_NAME")</f>
        <v>#INVALID COMPANY ID</v>
      </c>
      <c r="T370" s="9" t="str">
        <f>_xll.SNL.Clients.Office.Excel.Functions.SPG(Q370, "SP_COUNTRY_NAME")</f>
        <v>#INVALID COMPANY ID</v>
      </c>
      <c r="U370" t="s">
        <v>577</v>
      </c>
      <c r="V370">
        <v>4026915</v>
      </c>
      <c r="W370" t="s">
        <v>346</v>
      </c>
      <c r="X370" s="11">
        <v>0</v>
      </c>
      <c r="Y370" s="9" t="str">
        <f>_xll.SNL.Clients.Office.Excel.Functions.SPG(V370, "SP_COUNTRY_NAME")</f>
        <v>USA</v>
      </c>
      <c r="AD370" s="9" t="str">
        <f>_xll.SNL.Clients.Office.Excel.Functions.SPG(AA370, "SP_COUNTRY_NAME")</f>
        <v>#INVALID COMPANY ID</v>
      </c>
      <c r="AI370" s="9" t="str">
        <f>_xll.SNL.Clients.Office.Excel.Functions.SPG(AF370, "SP_COUNTRY_NAME")</f>
        <v>#INVALID COMPANY ID</v>
      </c>
      <c r="AN370" s="9" t="str">
        <f>_xll.SNL.Clients.Office.Excel.Functions.SPG(AK370, "SP_COUNTRY_NAME")</f>
        <v>#INVALID COMPANY ID</v>
      </c>
      <c r="AS370" s="9" t="str">
        <f>_xll.SNL.Clients.Office.Excel.Functions.SPG(AP370, "SP_COUNTRY_NAME")</f>
        <v>#INVALID COMPANY ID</v>
      </c>
      <c r="AX370" s="9" t="str">
        <f>_xll.SNL.Clients.Office.Excel.Functions.SPG(AU370, "SP_COUNTRY_NAME")</f>
        <v>#INVALID COMPANY ID</v>
      </c>
      <c r="BC370" s="9" t="str">
        <f>_xll.SNL.Clients.Office.Excel.Functions.SPG(AZ370, "SP_COUNTRY_NAME")</f>
        <v>#INVALID COMPANY ID</v>
      </c>
      <c r="BD370" t="s">
        <v>523</v>
      </c>
      <c r="BE370">
        <v>7060057</v>
      </c>
      <c r="BF370" t="s">
        <v>346</v>
      </c>
      <c r="BG370" s="11">
        <v>0</v>
      </c>
      <c r="BH370" s="9" t="str">
        <f>_xll.SNL.Clients.Office.Excel.Functions.SPG(BE370, "SP_COUNTRY_NAME")</f>
        <v>Switzerland</v>
      </c>
      <c r="BM370" s="9" t="str">
        <f>_xll.SNL.Clients.Office.Excel.Functions.SPG(BJ370, "SP_COUNTRY_NAME")</f>
        <v>#INVALID COMPANY ID</v>
      </c>
      <c r="BR370" s="9" t="str">
        <f>_xll.SNL.Clients.Office.Excel.Functions.SPG(BO370, "SP_COUNTRY_NAME")</f>
        <v>#INVALID COMPANY ID</v>
      </c>
      <c r="BS370" t="s">
        <v>408</v>
      </c>
      <c r="BT370">
        <v>4138917</v>
      </c>
      <c r="BU370" t="s">
        <v>346</v>
      </c>
      <c r="BV370" s="11">
        <v>0</v>
      </c>
      <c r="BW370" s="9" t="str">
        <f>_xll.SNL.Clients.Office.Excel.Functions.SPG(BT370, "SP_COUNTRY_NAME")</f>
        <v>Australia</v>
      </c>
      <c r="BX370" t="s">
        <v>577</v>
      </c>
      <c r="BY370">
        <v>4026915</v>
      </c>
      <c r="BZ370" t="s">
        <v>346</v>
      </c>
      <c r="CA370" s="11">
        <v>0</v>
      </c>
      <c r="CB370" s="9" t="str">
        <f>_xll.SNL.Clients.Office.Excel.Functions.SPG(BY370, "SP_COUNTRY_NAME")</f>
        <v>USA</v>
      </c>
      <c r="CC370" t="s">
        <v>589</v>
      </c>
      <c r="CD370">
        <v>4140617</v>
      </c>
      <c r="CE370" t="s">
        <v>346</v>
      </c>
      <c r="CF370" s="11">
        <v>0</v>
      </c>
      <c r="CG370" s="9" t="str">
        <f>_xll.SNL.Clients.Office.Excel.Functions.SPG(CD370, "SP_COUNTRY_NAME")</f>
        <v>Switzerland</v>
      </c>
      <c r="CL370" s="9" t="str">
        <f>_xll.SNL.Clients.Office.Excel.Functions.SPG(CI370, "SP_COUNTRY_NAME")</f>
        <v>#INVALID COMPANY ID</v>
      </c>
      <c r="CM370" t="s">
        <v>2059</v>
      </c>
      <c r="CN370">
        <v>19315994</v>
      </c>
      <c r="CO370" t="s">
        <v>346</v>
      </c>
      <c r="CP370" s="11">
        <v>0</v>
      </c>
      <c r="CQ370" s="9" t="str">
        <f>_xll.SNL.Clients.Office.Excel.Functions.SPG(CN370, "SP_COUNTRY_NAME")</f>
        <v>USA</v>
      </c>
      <c r="CV370" s="9" t="str">
        <f>_xll.SNL.Clients.Office.Excel.Functions.SPG(CS370, "SP_COUNTRY_NAME")</f>
        <v>#INVALID COMPANY ID</v>
      </c>
      <c r="DA370" s="9" t="str">
        <f>_xll.SNL.Clients.Office.Excel.Functions.SPG(CX370, "SP_COUNTRY_NAME")</f>
        <v>#INVALID COMPANY ID</v>
      </c>
      <c r="DB370" t="s">
        <v>523</v>
      </c>
      <c r="DC370">
        <v>7060057</v>
      </c>
      <c r="DD370" t="s">
        <v>346</v>
      </c>
      <c r="DE370" s="11">
        <v>0</v>
      </c>
      <c r="DF370" s="9" t="str">
        <f>_xll.SNL.Clients.Office.Excel.Functions.SPG(DC370, "SP_COUNTRY_NAME")</f>
        <v>Switzerland</v>
      </c>
      <c r="DK370" s="9" t="str">
        <f>_xll.SNL.Clients.Office.Excel.Functions.SPG(DH370, "SP_COUNTRY_NAME")</f>
        <v>#INVALID COMPANY ID</v>
      </c>
      <c r="DL370" t="s">
        <v>523</v>
      </c>
      <c r="DM370">
        <v>7060057</v>
      </c>
      <c r="DN370" t="s">
        <v>346</v>
      </c>
      <c r="DO370" s="11">
        <v>0</v>
      </c>
      <c r="DP370" s="9" t="str">
        <f>_xll.SNL.Clients.Office.Excel.Functions.SPG(DM370, "SP_COUNTRY_NAME")</f>
        <v>Switzerland</v>
      </c>
      <c r="DU370" s="9" t="str">
        <f>_xll.SNL.Clients.Office.Excel.Functions.SPG(DR370, "SP_COUNTRY_NAME")</f>
        <v>#INVALID COMPANY ID</v>
      </c>
      <c r="DZ370" s="9" t="str">
        <f>_xll.SNL.Clients.Office.Excel.Functions.SPG(DW370, "SP_COUNTRY_NAME")</f>
        <v>#INVALID COMPANY ID</v>
      </c>
      <c r="EA370" t="s">
        <v>589</v>
      </c>
      <c r="EB370">
        <v>4140617</v>
      </c>
      <c r="EC370" t="s">
        <v>346</v>
      </c>
      <c r="ED370" s="11">
        <v>0</v>
      </c>
      <c r="EE370" s="9" t="str">
        <f>_xll.SNL.Clients.Office.Excel.Functions.SPG(EB370, "SP_COUNTRY_NAME")</f>
        <v>Switzerland</v>
      </c>
      <c r="EF370" t="s">
        <v>523</v>
      </c>
      <c r="EG370">
        <v>7060057</v>
      </c>
      <c r="EH370" t="s">
        <v>346</v>
      </c>
      <c r="EI370" s="11">
        <v>0</v>
      </c>
      <c r="EJ370" s="9" t="str">
        <f>_xll.SNL.Clients.Office.Excel.Functions.SPG(EG370, "SP_COUNTRY_NAME")</f>
        <v>Switzerland</v>
      </c>
      <c r="EO370" s="9" t="str">
        <f>_xll.SNL.Clients.Office.Excel.Functions.SPG(EL370, "SP_COUNTRY_NAME")</f>
        <v>#INVALID COMPANY ID</v>
      </c>
      <c r="ET370" s="9" t="str">
        <f>_xll.SNL.Clients.Office.Excel.Functions.SPG(EQ370, "SP_COUNTRY_NAME")</f>
        <v>#INVALID COMPANY ID</v>
      </c>
      <c r="EY370" s="9" t="str">
        <f>_xll.SNL.Clients.Office.Excel.Functions.SPG(EV370, "SP_COUNTRY_NAME")</f>
        <v>#INVALID COMPANY ID</v>
      </c>
      <c r="FD370" s="9" t="str">
        <f>_xll.SNL.Clients.Office.Excel.Functions.SPG(FA370, "SP_COUNTRY_NAME")</f>
        <v>#INVALID COMPANY ID</v>
      </c>
      <c r="FI370" s="9" t="str">
        <f>_xll.SNL.Clients.Office.Excel.Functions.SPG(FF370, "SP_COUNTRY_NAME")</f>
        <v>#INVALID COMPANY ID</v>
      </c>
      <c r="FN370" s="9" t="str">
        <f>_xll.SNL.Clients.Office.Excel.Functions.SPG(FK370, "SP_COUNTRY_NAME")</f>
        <v>#INVALID COMPANY ID</v>
      </c>
      <c r="FS370" s="9" t="str">
        <f>_xll.SNL.Clients.Office.Excel.Functions.SPG(FP370, "SP_COUNTRY_NAME")</f>
        <v>#INVALID COMPANY ID</v>
      </c>
      <c r="FX370" s="9" t="str">
        <f>_xll.SNL.Clients.Office.Excel.Functions.SPG(FU370, "SP_COUNTRY_NAME")</f>
        <v>#INVALID COMPANY ID</v>
      </c>
      <c r="FY370" t="s">
        <v>523</v>
      </c>
      <c r="FZ370">
        <v>7060057</v>
      </c>
      <c r="GA370" t="s">
        <v>346</v>
      </c>
      <c r="GB370" s="11">
        <v>0</v>
      </c>
      <c r="GC370" s="9" t="str">
        <f>_xll.SNL.Clients.Office.Excel.Functions.SPG(FZ370, "SP_COUNTRY_NAME")</f>
        <v>Switzerland</v>
      </c>
      <c r="GH370" s="9" t="str">
        <f>_xll.SNL.Clients.Office.Excel.Functions.SPG(GE370, "SP_COUNTRY_NAME")</f>
        <v>#INVALID COMPANY ID</v>
      </c>
      <c r="GM370" s="9" t="str">
        <f>_xll.SNL.Clients.Office.Excel.Functions.SPG(GJ370, "SP_COUNTRY_NAME")</f>
        <v>#INVALID COMPANY ID</v>
      </c>
      <c r="GR370" s="9" t="str">
        <f>_xll.SNL.Clients.Office.Excel.Functions.SPG(GO370, "SP_COUNTRY_NAME")</f>
        <v>#INVALID COMPANY ID</v>
      </c>
      <c r="GW370" s="9" t="str">
        <f>_xll.SNL.Clients.Office.Excel.Functions.SPG(GT370, "SP_COUNTRY_NAME")</f>
        <v>#INVALID COMPANY ID</v>
      </c>
      <c r="GX370" t="s">
        <v>589</v>
      </c>
      <c r="GY370">
        <v>4140617</v>
      </c>
      <c r="GZ370" t="s">
        <v>346</v>
      </c>
      <c r="HA370" s="11">
        <v>0</v>
      </c>
      <c r="HB370" s="9" t="str">
        <f>_xll.SNL.Clients.Office.Excel.Functions.SPG(GY370, "SP_COUNTRY_NAME")</f>
        <v>Switzerland</v>
      </c>
      <c r="HG370" s="9" t="str">
        <f>_xll.SNL.Clients.Office.Excel.Functions.SPG(HD370, "SP_COUNTRY_NAME")</f>
        <v>#INVALID COMPANY ID</v>
      </c>
    </row>
    <row r="371" spans="5:215" x14ac:dyDescent="0.35">
      <c r="E371" s="9" t="str">
        <f>_xll.SNL.Clients.Office.Excel.Functions.SPG(B371, "SP_COUNTRY_NAME")</f>
        <v>#INVALID COMPANY ID</v>
      </c>
      <c r="J371" s="9" t="str">
        <f>_xll.SNL.Clients.Office.Excel.Functions.SPG(G371, "SP_COUNTRY_NAME")</f>
        <v>#INVALID COMPANY ID</v>
      </c>
      <c r="O371" s="9" t="str">
        <f>_xll.SNL.Clients.Office.Excel.Functions.SPG(L371, "SP_COUNTRY_NAME")</f>
        <v>#INVALID COMPANY ID</v>
      </c>
      <c r="T371" s="9" t="str">
        <f>_xll.SNL.Clients.Office.Excel.Functions.SPG(Q371, "SP_COUNTRY_NAME")</f>
        <v>#INVALID COMPANY ID</v>
      </c>
      <c r="U371" t="s">
        <v>907</v>
      </c>
      <c r="V371">
        <v>109931</v>
      </c>
      <c r="W371" t="s">
        <v>346</v>
      </c>
      <c r="X371" s="11">
        <v>0</v>
      </c>
      <c r="Y371" s="9" t="str">
        <f>_xll.SNL.Clients.Office.Excel.Functions.SPG(V371, "SP_COUNTRY_NAME")</f>
        <v>USA</v>
      </c>
      <c r="AD371" s="9" t="str">
        <f>_xll.SNL.Clients.Office.Excel.Functions.SPG(AA371, "SP_COUNTRY_NAME")</f>
        <v>#INVALID COMPANY ID</v>
      </c>
      <c r="AI371" s="9" t="str">
        <f>_xll.SNL.Clients.Office.Excel.Functions.SPG(AF371, "SP_COUNTRY_NAME")</f>
        <v>#INVALID COMPANY ID</v>
      </c>
      <c r="AN371" s="9" t="str">
        <f>_xll.SNL.Clients.Office.Excel.Functions.SPG(AK371, "SP_COUNTRY_NAME")</f>
        <v>#INVALID COMPANY ID</v>
      </c>
      <c r="AS371" s="9" t="str">
        <f>_xll.SNL.Clients.Office.Excel.Functions.SPG(AP371, "SP_COUNTRY_NAME")</f>
        <v>#INVALID COMPANY ID</v>
      </c>
      <c r="AX371" s="9" t="str">
        <f>_xll.SNL.Clients.Office.Excel.Functions.SPG(AU371, "SP_COUNTRY_NAME")</f>
        <v>#INVALID COMPANY ID</v>
      </c>
      <c r="BC371" s="9" t="str">
        <f>_xll.SNL.Clients.Office.Excel.Functions.SPG(AZ371, "SP_COUNTRY_NAME")</f>
        <v>#INVALID COMPANY ID</v>
      </c>
      <c r="BD371" t="s">
        <v>1508</v>
      </c>
      <c r="BE371">
        <v>4139118</v>
      </c>
      <c r="BF371" t="s">
        <v>346</v>
      </c>
      <c r="BG371" s="11">
        <v>0</v>
      </c>
      <c r="BH371" s="9" t="str">
        <f>_xll.SNL.Clients.Office.Excel.Functions.SPG(BE371, "SP_COUNTRY_NAME")</f>
        <v>Spain</v>
      </c>
      <c r="BM371" s="9" t="str">
        <f>_xll.SNL.Clients.Office.Excel.Functions.SPG(BJ371, "SP_COUNTRY_NAME")</f>
        <v>#INVALID COMPANY ID</v>
      </c>
      <c r="BR371" s="9" t="str">
        <f>_xll.SNL.Clients.Office.Excel.Functions.SPG(BO371, "SP_COUNTRY_NAME")</f>
        <v>#INVALID COMPANY ID</v>
      </c>
      <c r="BS371" t="s">
        <v>577</v>
      </c>
      <c r="BT371">
        <v>4026915</v>
      </c>
      <c r="BU371" t="s">
        <v>346</v>
      </c>
      <c r="BV371" s="11">
        <v>0</v>
      </c>
      <c r="BW371" s="9" t="str">
        <f>_xll.SNL.Clients.Office.Excel.Functions.SPG(BT371, "SP_COUNTRY_NAME")</f>
        <v>USA</v>
      </c>
      <c r="BX371" t="s">
        <v>907</v>
      </c>
      <c r="BY371">
        <v>109931</v>
      </c>
      <c r="BZ371" t="s">
        <v>346</v>
      </c>
      <c r="CA371" s="11">
        <v>0</v>
      </c>
      <c r="CB371" s="9" t="str">
        <f>_xll.SNL.Clients.Office.Excel.Functions.SPG(BY371, "SP_COUNTRY_NAME")</f>
        <v>USA</v>
      </c>
      <c r="CC371" t="s">
        <v>1803</v>
      </c>
      <c r="CD371">
        <v>4663442</v>
      </c>
      <c r="CE371" t="s">
        <v>364</v>
      </c>
      <c r="CF371" s="11">
        <v>0</v>
      </c>
      <c r="CG371" s="9" t="str">
        <f>_xll.SNL.Clients.Office.Excel.Functions.SPG(CD371, "SP_COUNTRY_NAME")</f>
        <v>USA</v>
      </c>
      <c r="CL371" s="9" t="str">
        <f>_xll.SNL.Clients.Office.Excel.Functions.SPG(CI371, "SP_COUNTRY_NAME")</f>
        <v>#INVALID COMPANY ID</v>
      </c>
      <c r="CM371" t="s">
        <v>1356</v>
      </c>
      <c r="CN371">
        <v>5830723</v>
      </c>
      <c r="CO371" t="s">
        <v>346</v>
      </c>
      <c r="CP371" s="11">
        <v>0</v>
      </c>
      <c r="CQ371" s="9" t="str">
        <f>_xll.SNL.Clients.Office.Excel.Functions.SPG(CN371, "SP_COUNTRY_NAME")</f>
        <v>South Africa</v>
      </c>
      <c r="CV371" s="9" t="str">
        <f>_xll.SNL.Clients.Office.Excel.Functions.SPG(CS371, "SP_COUNTRY_NAME")</f>
        <v>#INVALID COMPANY ID</v>
      </c>
      <c r="DA371" s="9" t="str">
        <f>_xll.SNL.Clients.Office.Excel.Functions.SPG(CX371, "SP_COUNTRY_NAME")</f>
        <v>#INVALID COMPANY ID</v>
      </c>
      <c r="DB371" t="s">
        <v>1508</v>
      </c>
      <c r="DC371">
        <v>4139118</v>
      </c>
      <c r="DD371" t="s">
        <v>346</v>
      </c>
      <c r="DE371" s="11">
        <v>0</v>
      </c>
      <c r="DF371" s="9" t="str">
        <f>_xll.SNL.Clients.Office.Excel.Functions.SPG(DC371, "SP_COUNTRY_NAME")</f>
        <v>Spain</v>
      </c>
      <c r="DK371" s="9" t="str">
        <f>_xll.SNL.Clients.Office.Excel.Functions.SPG(DH371, "SP_COUNTRY_NAME")</f>
        <v>#INVALID COMPANY ID</v>
      </c>
      <c r="DL371" t="s">
        <v>1508</v>
      </c>
      <c r="DM371">
        <v>4139118</v>
      </c>
      <c r="DN371" t="s">
        <v>346</v>
      </c>
      <c r="DO371" s="11">
        <v>0</v>
      </c>
      <c r="DP371" s="9" t="str">
        <f>_xll.SNL.Clients.Office.Excel.Functions.SPG(DM371, "SP_COUNTRY_NAME")</f>
        <v>Spain</v>
      </c>
      <c r="DU371" s="9" t="str">
        <f>_xll.SNL.Clients.Office.Excel.Functions.SPG(DR371, "SP_COUNTRY_NAME")</f>
        <v>#INVALID COMPANY ID</v>
      </c>
      <c r="DZ371" s="9" t="str">
        <f>_xll.SNL.Clients.Office.Excel.Functions.SPG(DW371, "SP_COUNTRY_NAME")</f>
        <v>#INVALID COMPANY ID</v>
      </c>
      <c r="EA371" t="s">
        <v>1803</v>
      </c>
      <c r="EB371">
        <v>4663442</v>
      </c>
      <c r="EC371" t="s">
        <v>364</v>
      </c>
      <c r="ED371" s="11">
        <v>0</v>
      </c>
      <c r="EE371" s="9" t="str">
        <f>_xll.SNL.Clients.Office.Excel.Functions.SPG(EB371, "SP_COUNTRY_NAME")</f>
        <v>USA</v>
      </c>
      <c r="EF371" t="s">
        <v>1508</v>
      </c>
      <c r="EG371">
        <v>4139118</v>
      </c>
      <c r="EH371" t="s">
        <v>346</v>
      </c>
      <c r="EI371" s="11">
        <v>0</v>
      </c>
      <c r="EJ371" s="9" t="str">
        <f>_xll.SNL.Clients.Office.Excel.Functions.SPG(EG371, "SP_COUNTRY_NAME")</f>
        <v>Spain</v>
      </c>
      <c r="EO371" s="9" t="str">
        <f>_xll.SNL.Clients.Office.Excel.Functions.SPG(EL371, "SP_COUNTRY_NAME")</f>
        <v>#INVALID COMPANY ID</v>
      </c>
      <c r="ET371" s="9" t="str">
        <f>_xll.SNL.Clients.Office.Excel.Functions.SPG(EQ371, "SP_COUNTRY_NAME")</f>
        <v>#INVALID COMPANY ID</v>
      </c>
      <c r="EY371" s="9" t="str">
        <f>_xll.SNL.Clients.Office.Excel.Functions.SPG(EV371, "SP_COUNTRY_NAME")</f>
        <v>#INVALID COMPANY ID</v>
      </c>
      <c r="FD371" s="9" t="str">
        <f>_xll.SNL.Clients.Office.Excel.Functions.SPG(FA371, "SP_COUNTRY_NAME")</f>
        <v>#INVALID COMPANY ID</v>
      </c>
      <c r="FI371" s="9" t="str">
        <f>_xll.SNL.Clients.Office.Excel.Functions.SPG(FF371, "SP_COUNTRY_NAME")</f>
        <v>#INVALID COMPANY ID</v>
      </c>
      <c r="FN371" s="9" t="str">
        <f>_xll.SNL.Clients.Office.Excel.Functions.SPG(FK371, "SP_COUNTRY_NAME")</f>
        <v>#INVALID COMPANY ID</v>
      </c>
      <c r="FS371" s="9" t="str">
        <f>_xll.SNL.Clients.Office.Excel.Functions.SPG(FP371, "SP_COUNTRY_NAME")</f>
        <v>#INVALID COMPANY ID</v>
      </c>
      <c r="FX371" s="9" t="str">
        <f>_xll.SNL.Clients.Office.Excel.Functions.SPG(FU371, "SP_COUNTRY_NAME")</f>
        <v>#INVALID COMPANY ID</v>
      </c>
      <c r="FY371" t="s">
        <v>1508</v>
      </c>
      <c r="FZ371">
        <v>4139118</v>
      </c>
      <c r="GA371" t="s">
        <v>346</v>
      </c>
      <c r="GB371" s="11">
        <v>0</v>
      </c>
      <c r="GC371" s="9" t="str">
        <f>_xll.SNL.Clients.Office.Excel.Functions.SPG(FZ371, "SP_COUNTRY_NAME")</f>
        <v>Spain</v>
      </c>
      <c r="GH371" s="9" t="str">
        <f>_xll.SNL.Clients.Office.Excel.Functions.SPG(GE371, "SP_COUNTRY_NAME")</f>
        <v>#INVALID COMPANY ID</v>
      </c>
      <c r="GM371" s="9" t="str">
        <f>_xll.SNL.Clients.Office.Excel.Functions.SPG(GJ371, "SP_COUNTRY_NAME")</f>
        <v>#INVALID COMPANY ID</v>
      </c>
      <c r="GR371" s="9" t="str">
        <f>_xll.SNL.Clients.Office.Excel.Functions.SPG(GO371, "SP_COUNTRY_NAME")</f>
        <v>#INVALID COMPANY ID</v>
      </c>
      <c r="GW371" s="9" t="str">
        <f>_xll.SNL.Clients.Office.Excel.Functions.SPG(GT371, "SP_COUNTRY_NAME")</f>
        <v>#INVALID COMPANY ID</v>
      </c>
      <c r="GX371" t="s">
        <v>1803</v>
      </c>
      <c r="GY371">
        <v>4663442</v>
      </c>
      <c r="GZ371" t="s">
        <v>364</v>
      </c>
      <c r="HA371" s="11">
        <v>0</v>
      </c>
      <c r="HB371" s="9" t="str">
        <f>_xll.SNL.Clients.Office.Excel.Functions.SPG(GY371, "SP_COUNTRY_NAME")</f>
        <v>USA</v>
      </c>
      <c r="HG371" s="9" t="str">
        <f>_xll.SNL.Clients.Office.Excel.Functions.SPG(HD371, "SP_COUNTRY_NAME")</f>
        <v>#INVALID COMPANY ID</v>
      </c>
    </row>
    <row r="372" spans="5:215" x14ac:dyDescent="0.35">
      <c r="E372" s="9" t="str">
        <f>_xll.SNL.Clients.Office.Excel.Functions.SPG(B372, "SP_COUNTRY_NAME")</f>
        <v>#INVALID COMPANY ID</v>
      </c>
      <c r="J372" s="9" t="str">
        <f>_xll.SNL.Clients.Office.Excel.Functions.SPG(G372, "SP_COUNTRY_NAME")</f>
        <v>#INVALID COMPANY ID</v>
      </c>
      <c r="O372" s="9" t="str">
        <f>_xll.SNL.Clients.Office.Excel.Functions.SPG(L372, "SP_COUNTRY_NAME")</f>
        <v>#INVALID COMPANY ID</v>
      </c>
      <c r="T372" s="9" t="str">
        <f>_xll.SNL.Clients.Office.Excel.Functions.SPG(Q372, "SP_COUNTRY_NAME")</f>
        <v>#INVALID COMPANY ID</v>
      </c>
      <c r="U372" t="s">
        <v>908</v>
      </c>
      <c r="V372">
        <v>4138232</v>
      </c>
      <c r="W372" t="s">
        <v>366</v>
      </c>
      <c r="X372" s="11">
        <v>0</v>
      </c>
      <c r="Y372" s="9" t="str">
        <f>_xll.SNL.Clients.Office.Excel.Functions.SPG(V372, "SP_COUNTRY_NAME")</f>
        <v>China</v>
      </c>
      <c r="AD372" s="9" t="str">
        <f>_xll.SNL.Clients.Office.Excel.Functions.SPG(AA372, "SP_COUNTRY_NAME")</f>
        <v>#INVALID COMPANY ID</v>
      </c>
      <c r="AI372" s="9" t="str">
        <f>_xll.SNL.Clients.Office.Excel.Functions.SPG(AF372, "SP_COUNTRY_NAME")</f>
        <v>#INVALID COMPANY ID</v>
      </c>
      <c r="AN372" s="9" t="str">
        <f>_xll.SNL.Clients.Office.Excel.Functions.SPG(AK372, "SP_COUNTRY_NAME")</f>
        <v>#INVALID COMPANY ID</v>
      </c>
      <c r="AS372" s="9" t="str">
        <f>_xll.SNL.Clients.Office.Excel.Functions.SPG(AP372, "SP_COUNTRY_NAME")</f>
        <v>#INVALID COMPANY ID</v>
      </c>
      <c r="AX372" s="9" t="str">
        <f>_xll.SNL.Clients.Office.Excel.Functions.SPG(AU372, "SP_COUNTRY_NAME")</f>
        <v>#INVALID COMPANY ID</v>
      </c>
      <c r="BC372" s="9" t="str">
        <f>_xll.SNL.Clients.Office.Excel.Functions.SPG(AZ372, "SP_COUNTRY_NAME")</f>
        <v>#INVALID COMPANY ID</v>
      </c>
      <c r="BD372" t="s">
        <v>1083</v>
      </c>
      <c r="BE372">
        <v>6723524</v>
      </c>
      <c r="BF372" t="s">
        <v>346</v>
      </c>
      <c r="BG372" s="11">
        <v>0</v>
      </c>
      <c r="BH372" s="9" t="str">
        <f>_xll.SNL.Clients.Office.Excel.Functions.SPG(BE372, "SP_COUNTRY_NAME")</f>
        <v>Switzerland</v>
      </c>
      <c r="BM372" s="9" t="str">
        <f>_xll.SNL.Clients.Office.Excel.Functions.SPG(BJ372, "SP_COUNTRY_NAME")</f>
        <v>#INVALID COMPANY ID</v>
      </c>
      <c r="BR372" s="9" t="str">
        <f>_xll.SNL.Clients.Office.Excel.Functions.SPG(BO372, "SP_COUNTRY_NAME")</f>
        <v>#INVALID COMPANY ID</v>
      </c>
      <c r="BS372" t="s">
        <v>790</v>
      </c>
      <c r="BT372">
        <v>5883003</v>
      </c>
      <c r="BU372" t="s">
        <v>346</v>
      </c>
      <c r="BV372" s="11">
        <v>0</v>
      </c>
      <c r="BW372" s="9" t="str">
        <f>_xll.SNL.Clients.Office.Excel.Functions.SPG(BT372, "SP_COUNTRY_NAME")</f>
        <v>China</v>
      </c>
      <c r="BX372" t="s">
        <v>908</v>
      </c>
      <c r="BY372">
        <v>4138232</v>
      </c>
      <c r="BZ372" t="s">
        <v>366</v>
      </c>
      <c r="CA372" s="11">
        <v>0</v>
      </c>
      <c r="CB372" s="9" t="str">
        <f>_xll.SNL.Clients.Office.Excel.Functions.SPG(BY372, "SP_COUNTRY_NAME")</f>
        <v>China</v>
      </c>
      <c r="CC372" t="s">
        <v>1804</v>
      </c>
      <c r="CD372">
        <v>5764337</v>
      </c>
      <c r="CE372" t="s">
        <v>364</v>
      </c>
      <c r="CF372" s="11">
        <v>0</v>
      </c>
      <c r="CG372" s="9" t="str">
        <f>_xll.SNL.Clients.Office.Excel.Functions.SPG(CD372, "SP_COUNTRY_NAME")</f>
        <v>Israel</v>
      </c>
      <c r="CL372" s="9" t="str">
        <f>_xll.SNL.Clients.Office.Excel.Functions.SPG(CI372, "SP_COUNTRY_NAME")</f>
        <v>#INVALID COMPANY ID</v>
      </c>
      <c r="CM372" t="s">
        <v>2060</v>
      </c>
      <c r="CN372">
        <v>7974210</v>
      </c>
      <c r="CO372" t="s">
        <v>276</v>
      </c>
      <c r="CP372" s="11">
        <v>0</v>
      </c>
      <c r="CQ372" s="9" t="str">
        <f>_xll.SNL.Clients.Office.Excel.Functions.SPG(CN372, "SP_COUNTRY_NAME")</f>
        <v>USA</v>
      </c>
      <c r="CV372" s="9" t="str">
        <f>_xll.SNL.Clients.Office.Excel.Functions.SPG(CS372, "SP_COUNTRY_NAME")</f>
        <v>#INVALID COMPANY ID</v>
      </c>
      <c r="DA372" s="9" t="str">
        <f>_xll.SNL.Clients.Office.Excel.Functions.SPG(CX372, "SP_COUNTRY_NAME")</f>
        <v>#INVALID COMPANY ID</v>
      </c>
      <c r="DB372" t="s">
        <v>1083</v>
      </c>
      <c r="DC372">
        <v>6723524</v>
      </c>
      <c r="DD372" t="s">
        <v>346</v>
      </c>
      <c r="DE372" s="11">
        <v>0</v>
      </c>
      <c r="DF372" s="9" t="str">
        <f>_xll.SNL.Clients.Office.Excel.Functions.SPG(DC372, "SP_COUNTRY_NAME")</f>
        <v>Switzerland</v>
      </c>
      <c r="DK372" s="9" t="str">
        <f>_xll.SNL.Clients.Office.Excel.Functions.SPG(DH372, "SP_COUNTRY_NAME")</f>
        <v>#INVALID COMPANY ID</v>
      </c>
      <c r="DL372" t="s">
        <v>1083</v>
      </c>
      <c r="DM372">
        <v>6723524</v>
      </c>
      <c r="DN372" t="s">
        <v>346</v>
      </c>
      <c r="DO372" s="11">
        <v>0</v>
      </c>
      <c r="DP372" s="9" t="str">
        <f>_xll.SNL.Clients.Office.Excel.Functions.SPG(DM372, "SP_COUNTRY_NAME")</f>
        <v>Switzerland</v>
      </c>
      <c r="DU372" s="9" t="str">
        <f>_xll.SNL.Clients.Office.Excel.Functions.SPG(DR372, "SP_COUNTRY_NAME")</f>
        <v>#INVALID COMPANY ID</v>
      </c>
      <c r="DZ372" s="9" t="str">
        <f>_xll.SNL.Clients.Office.Excel.Functions.SPG(DW372, "SP_COUNTRY_NAME")</f>
        <v>#INVALID COMPANY ID</v>
      </c>
      <c r="EA372" t="s">
        <v>1804</v>
      </c>
      <c r="EB372">
        <v>5764337</v>
      </c>
      <c r="EC372" t="s">
        <v>364</v>
      </c>
      <c r="ED372" s="11">
        <v>0</v>
      </c>
      <c r="EE372" s="9" t="str">
        <f>_xll.SNL.Clients.Office.Excel.Functions.SPG(EB372, "SP_COUNTRY_NAME")</f>
        <v>Israel</v>
      </c>
      <c r="EF372" t="s">
        <v>1083</v>
      </c>
      <c r="EG372">
        <v>6723524</v>
      </c>
      <c r="EH372" t="s">
        <v>346</v>
      </c>
      <c r="EI372" s="11">
        <v>0</v>
      </c>
      <c r="EJ372" s="9" t="str">
        <f>_xll.SNL.Clients.Office.Excel.Functions.SPG(EG372, "SP_COUNTRY_NAME")</f>
        <v>Switzerland</v>
      </c>
      <c r="EO372" s="9" t="str">
        <f>_xll.SNL.Clients.Office.Excel.Functions.SPG(EL372, "SP_COUNTRY_NAME")</f>
        <v>#INVALID COMPANY ID</v>
      </c>
      <c r="ET372" s="9" t="str">
        <f>_xll.SNL.Clients.Office.Excel.Functions.SPG(EQ372, "SP_COUNTRY_NAME")</f>
        <v>#INVALID COMPANY ID</v>
      </c>
      <c r="EY372" s="9" t="str">
        <f>_xll.SNL.Clients.Office.Excel.Functions.SPG(EV372, "SP_COUNTRY_NAME")</f>
        <v>#INVALID COMPANY ID</v>
      </c>
      <c r="FD372" s="9" t="str">
        <f>_xll.SNL.Clients.Office.Excel.Functions.SPG(FA372, "SP_COUNTRY_NAME")</f>
        <v>#INVALID COMPANY ID</v>
      </c>
      <c r="FI372" s="9" t="str">
        <f>_xll.SNL.Clients.Office.Excel.Functions.SPG(FF372, "SP_COUNTRY_NAME")</f>
        <v>#INVALID COMPANY ID</v>
      </c>
      <c r="FN372" s="9" t="str">
        <f>_xll.SNL.Clients.Office.Excel.Functions.SPG(FK372, "SP_COUNTRY_NAME")</f>
        <v>#INVALID COMPANY ID</v>
      </c>
      <c r="FS372" s="9" t="str">
        <f>_xll.SNL.Clients.Office.Excel.Functions.SPG(FP372, "SP_COUNTRY_NAME")</f>
        <v>#INVALID COMPANY ID</v>
      </c>
      <c r="FX372" s="9" t="str">
        <f>_xll.SNL.Clients.Office.Excel.Functions.SPG(FU372, "SP_COUNTRY_NAME")</f>
        <v>#INVALID COMPANY ID</v>
      </c>
      <c r="FY372" t="s">
        <v>1083</v>
      </c>
      <c r="FZ372">
        <v>6723524</v>
      </c>
      <c r="GA372" t="s">
        <v>346</v>
      </c>
      <c r="GB372" s="11">
        <v>0</v>
      </c>
      <c r="GC372" s="9" t="str">
        <f>_xll.SNL.Clients.Office.Excel.Functions.SPG(FZ372, "SP_COUNTRY_NAME")</f>
        <v>Switzerland</v>
      </c>
      <c r="GH372" s="9" t="str">
        <f>_xll.SNL.Clients.Office.Excel.Functions.SPG(GE372, "SP_COUNTRY_NAME")</f>
        <v>#INVALID COMPANY ID</v>
      </c>
      <c r="GM372" s="9" t="str">
        <f>_xll.SNL.Clients.Office.Excel.Functions.SPG(GJ372, "SP_COUNTRY_NAME")</f>
        <v>#INVALID COMPANY ID</v>
      </c>
      <c r="GR372" s="9" t="str">
        <f>_xll.SNL.Clients.Office.Excel.Functions.SPG(GO372, "SP_COUNTRY_NAME")</f>
        <v>#INVALID COMPANY ID</v>
      </c>
      <c r="GW372" s="9" t="str">
        <f>_xll.SNL.Clients.Office.Excel.Functions.SPG(GT372, "SP_COUNTRY_NAME")</f>
        <v>#INVALID COMPANY ID</v>
      </c>
      <c r="GX372" t="s">
        <v>1804</v>
      </c>
      <c r="GY372">
        <v>5764337</v>
      </c>
      <c r="GZ372" t="s">
        <v>364</v>
      </c>
      <c r="HA372" s="11">
        <v>0</v>
      </c>
      <c r="HB372" s="9" t="str">
        <f>_xll.SNL.Clients.Office.Excel.Functions.SPG(GY372, "SP_COUNTRY_NAME")</f>
        <v>Israel</v>
      </c>
      <c r="HG372" s="9" t="str">
        <f>_xll.SNL.Clients.Office.Excel.Functions.SPG(HD372, "SP_COUNTRY_NAME")</f>
        <v>#INVALID COMPANY ID</v>
      </c>
    </row>
    <row r="373" spans="5:215" x14ac:dyDescent="0.35">
      <c r="E373" s="9" t="str">
        <f>_xll.SNL.Clients.Office.Excel.Functions.SPG(B373, "SP_COUNTRY_NAME")</f>
        <v>#INVALID COMPANY ID</v>
      </c>
      <c r="J373" s="9" t="str">
        <f>_xll.SNL.Clients.Office.Excel.Functions.SPG(G373, "SP_COUNTRY_NAME")</f>
        <v>#INVALID COMPANY ID</v>
      </c>
      <c r="O373" s="9" t="str">
        <f>_xll.SNL.Clients.Office.Excel.Functions.SPG(L373, "SP_COUNTRY_NAME")</f>
        <v>#INVALID COMPANY ID</v>
      </c>
      <c r="T373" s="9" t="str">
        <f>_xll.SNL.Clients.Office.Excel.Functions.SPG(Q373, "SP_COUNTRY_NAME")</f>
        <v>#INVALID COMPANY ID</v>
      </c>
      <c r="U373" t="s">
        <v>909</v>
      </c>
      <c r="V373">
        <v>11220187</v>
      </c>
      <c r="W373" t="s">
        <v>346</v>
      </c>
      <c r="X373" s="11">
        <v>0</v>
      </c>
      <c r="Y373" s="9" t="str">
        <f>_xll.SNL.Clients.Office.Excel.Functions.SPG(V373, "SP_COUNTRY_NAME")</f>
        <v>China</v>
      </c>
      <c r="AD373" s="9" t="str">
        <f>_xll.SNL.Clients.Office.Excel.Functions.SPG(AA373, "SP_COUNTRY_NAME")</f>
        <v>#INVALID COMPANY ID</v>
      </c>
      <c r="AI373" s="9" t="str">
        <f>_xll.SNL.Clients.Office.Excel.Functions.SPG(AF373, "SP_COUNTRY_NAME")</f>
        <v>#INVALID COMPANY ID</v>
      </c>
      <c r="AN373" s="9" t="str">
        <f>_xll.SNL.Clients.Office.Excel.Functions.SPG(AK373, "SP_COUNTRY_NAME")</f>
        <v>#INVALID COMPANY ID</v>
      </c>
      <c r="AS373" s="9" t="str">
        <f>_xll.SNL.Clients.Office.Excel.Functions.SPG(AP373, "SP_COUNTRY_NAME")</f>
        <v>#INVALID COMPANY ID</v>
      </c>
      <c r="AX373" s="9" t="str">
        <f>_xll.SNL.Clients.Office.Excel.Functions.SPG(AU373, "SP_COUNTRY_NAME")</f>
        <v>#INVALID COMPANY ID</v>
      </c>
      <c r="BC373" s="9" t="str">
        <f>_xll.SNL.Clients.Office.Excel.Functions.SPG(AZ373, "SP_COUNTRY_NAME")</f>
        <v>#INVALID COMPANY ID</v>
      </c>
      <c r="BD373" t="s">
        <v>1299</v>
      </c>
      <c r="BE373">
        <v>4277357</v>
      </c>
      <c r="BF373" t="s">
        <v>346</v>
      </c>
      <c r="BG373" s="11">
        <v>0</v>
      </c>
      <c r="BH373" s="9" t="str">
        <f>_xll.SNL.Clients.Office.Excel.Functions.SPG(BE373, "SP_COUNTRY_NAME")</f>
        <v>South Africa</v>
      </c>
      <c r="BM373" s="9" t="str">
        <f>_xll.SNL.Clients.Office.Excel.Functions.SPG(BJ373, "SP_COUNTRY_NAME")</f>
        <v>#INVALID COMPANY ID</v>
      </c>
      <c r="BR373" s="9" t="str">
        <f>_xll.SNL.Clients.Office.Excel.Functions.SPG(BO373, "SP_COUNTRY_NAME")</f>
        <v>#INVALID COMPANY ID</v>
      </c>
      <c r="BS373" t="s">
        <v>623</v>
      </c>
      <c r="BT373">
        <v>4138267</v>
      </c>
      <c r="BU373" t="s">
        <v>346</v>
      </c>
      <c r="BV373" s="11">
        <v>0</v>
      </c>
      <c r="BW373" s="9" t="str">
        <f>_xll.SNL.Clients.Office.Excel.Functions.SPG(BT373, "SP_COUNTRY_NAME")</f>
        <v>Switzerland</v>
      </c>
      <c r="BX373" t="s">
        <v>909</v>
      </c>
      <c r="BY373">
        <v>11220187</v>
      </c>
      <c r="BZ373" t="s">
        <v>346</v>
      </c>
      <c r="CA373" s="11">
        <v>0</v>
      </c>
      <c r="CB373" s="9" t="str">
        <f>_xll.SNL.Clients.Office.Excel.Functions.SPG(BY373, "SP_COUNTRY_NAME")</f>
        <v>China</v>
      </c>
      <c r="CC373" t="s">
        <v>1805</v>
      </c>
      <c r="CD373">
        <v>100521</v>
      </c>
      <c r="CE373" t="s">
        <v>346</v>
      </c>
      <c r="CF373" s="11">
        <v>0</v>
      </c>
      <c r="CG373" s="9" t="str">
        <f>_xll.SNL.Clients.Office.Excel.Functions.SPG(CD373, "SP_COUNTRY_NAME")</f>
        <v>Canada</v>
      </c>
      <c r="CL373" s="9" t="str">
        <f>_xll.SNL.Clients.Office.Excel.Functions.SPG(CI373, "SP_COUNTRY_NAME")</f>
        <v>#INVALID COMPANY ID</v>
      </c>
      <c r="CM373" t="s">
        <v>2061</v>
      </c>
      <c r="CN373">
        <v>106240952</v>
      </c>
      <c r="CO373" t="s">
        <v>276</v>
      </c>
      <c r="CP373" s="11">
        <v>0</v>
      </c>
      <c r="CQ373" s="9" t="str">
        <f>_xll.SNL.Clients.Office.Excel.Functions.SPG(CN373, "SP_COUNTRY_NAME")</f>
        <v>USA</v>
      </c>
      <c r="CV373" s="9" t="str">
        <f>_xll.SNL.Clients.Office.Excel.Functions.SPG(CS373, "SP_COUNTRY_NAME")</f>
        <v>#INVALID COMPANY ID</v>
      </c>
      <c r="DA373" s="9" t="str">
        <f>_xll.SNL.Clients.Office.Excel.Functions.SPG(CX373, "SP_COUNTRY_NAME")</f>
        <v>#INVALID COMPANY ID</v>
      </c>
      <c r="DB373" t="s">
        <v>1299</v>
      </c>
      <c r="DC373">
        <v>4277357</v>
      </c>
      <c r="DD373" t="s">
        <v>346</v>
      </c>
      <c r="DE373" s="11">
        <v>0</v>
      </c>
      <c r="DF373" s="9" t="str">
        <f>_xll.SNL.Clients.Office.Excel.Functions.SPG(DC373, "SP_COUNTRY_NAME")</f>
        <v>South Africa</v>
      </c>
      <c r="DK373" s="9" t="str">
        <f>_xll.SNL.Clients.Office.Excel.Functions.SPG(DH373, "SP_COUNTRY_NAME")</f>
        <v>#INVALID COMPANY ID</v>
      </c>
      <c r="DL373" t="s">
        <v>1299</v>
      </c>
      <c r="DM373">
        <v>4277357</v>
      </c>
      <c r="DN373" t="s">
        <v>346</v>
      </c>
      <c r="DO373" s="11">
        <v>0</v>
      </c>
      <c r="DP373" s="9" t="str">
        <f>_xll.SNL.Clients.Office.Excel.Functions.SPG(DM373, "SP_COUNTRY_NAME")</f>
        <v>South Africa</v>
      </c>
      <c r="DU373" s="9" t="str">
        <f>_xll.SNL.Clients.Office.Excel.Functions.SPG(DR373, "SP_COUNTRY_NAME")</f>
        <v>#INVALID COMPANY ID</v>
      </c>
      <c r="DZ373" s="9" t="str">
        <f>_xll.SNL.Clients.Office.Excel.Functions.SPG(DW373, "SP_COUNTRY_NAME")</f>
        <v>#INVALID COMPANY ID</v>
      </c>
      <c r="EA373" t="s">
        <v>1805</v>
      </c>
      <c r="EB373">
        <v>100521</v>
      </c>
      <c r="EC373" t="s">
        <v>346</v>
      </c>
      <c r="ED373" s="11">
        <v>0</v>
      </c>
      <c r="EE373" s="9" t="str">
        <f>_xll.SNL.Clients.Office.Excel.Functions.SPG(EB373, "SP_COUNTRY_NAME")</f>
        <v>Canada</v>
      </c>
      <c r="EF373" t="s">
        <v>1299</v>
      </c>
      <c r="EG373">
        <v>4277357</v>
      </c>
      <c r="EH373" t="s">
        <v>346</v>
      </c>
      <c r="EI373" s="11">
        <v>0</v>
      </c>
      <c r="EJ373" s="9" t="str">
        <f>_xll.SNL.Clients.Office.Excel.Functions.SPG(EG373, "SP_COUNTRY_NAME")</f>
        <v>South Africa</v>
      </c>
      <c r="EO373" s="9" t="str">
        <f>_xll.SNL.Clients.Office.Excel.Functions.SPG(EL373, "SP_COUNTRY_NAME")</f>
        <v>#INVALID COMPANY ID</v>
      </c>
      <c r="ET373" s="9" t="str">
        <f>_xll.SNL.Clients.Office.Excel.Functions.SPG(EQ373, "SP_COUNTRY_NAME")</f>
        <v>#INVALID COMPANY ID</v>
      </c>
      <c r="EY373" s="9" t="str">
        <f>_xll.SNL.Clients.Office.Excel.Functions.SPG(EV373, "SP_COUNTRY_NAME")</f>
        <v>#INVALID COMPANY ID</v>
      </c>
      <c r="FD373" s="9" t="str">
        <f>_xll.SNL.Clients.Office.Excel.Functions.SPG(FA373, "SP_COUNTRY_NAME")</f>
        <v>#INVALID COMPANY ID</v>
      </c>
      <c r="FI373" s="9" t="str">
        <f>_xll.SNL.Clients.Office.Excel.Functions.SPG(FF373, "SP_COUNTRY_NAME")</f>
        <v>#INVALID COMPANY ID</v>
      </c>
      <c r="FN373" s="9" t="str">
        <f>_xll.SNL.Clients.Office.Excel.Functions.SPG(FK373, "SP_COUNTRY_NAME")</f>
        <v>#INVALID COMPANY ID</v>
      </c>
      <c r="FS373" s="9" t="str">
        <f>_xll.SNL.Clients.Office.Excel.Functions.SPG(FP373, "SP_COUNTRY_NAME")</f>
        <v>#INVALID COMPANY ID</v>
      </c>
      <c r="FX373" s="9" t="str">
        <f>_xll.SNL.Clients.Office.Excel.Functions.SPG(FU373, "SP_COUNTRY_NAME")</f>
        <v>#INVALID COMPANY ID</v>
      </c>
      <c r="FY373" t="s">
        <v>1299</v>
      </c>
      <c r="FZ373">
        <v>4277357</v>
      </c>
      <c r="GA373" t="s">
        <v>346</v>
      </c>
      <c r="GB373" s="11">
        <v>0</v>
      </c>
      <c r="GC373" s="9" t="str">
        <f>_xll.SNL.Clients.Office.Excel.Functions.SPG(FZ373, "SP_COUNTRY_NAME")</f>
        <v>South Africa</v>
      </c>
      <c r="GH373" s="9" t="str">
        <f>_xll.SNL.Clients.Office.Excel.Functions.SPG(GE373, "SP_COUNTRY_NAME")</f>
        <v>#INVALID COMPANY ID</v>
      </c>
      <c r="GM373" s="9" t="str">
        <f>_xll.SNL.Clients.Office.Excel.Functions.SPG(GJ373, "SP_COUNTRY_NAME")</f>
        <v>#INVALID COMPANY ID</v>
      </c>
      <c r="GR373" s="9" t="str">
        <f>_xll.SNL.Clients.Office.Excel.Functions.SPG(GO373, "SP_COUNTRY_NAME")</f>
        <v>#INVALID COMPANY ID</v>
      </c>
      <c r="GW373" s="9" t="str">
        <f>_xll.SNL.Clients.Office.Excel.Functions.SPG(GT373, "SP_COUNTRY_NAME")</f>
        <v>#INVALID COMPANY ID</v>
      </c>
      <c r="GX373" t="s">
        <v>1805</v>
      </c>
      <c r="GY373">
        <v>100521</v>
      </c>
      <c r="GZ373" t="s">
        <v>346</v>
      </c>
      <c r="HA373" s="11">
        <v>0</v>
      </c>
      <c r="HB373" s="9" t="str">
        <f>_xll.SNL.Clients.Office.Excel.Functions.SPG(GY373, "SP_COUNTRY_NAME")</f>
        <v>Canada</v>
      </c>
      <c r="HG373" s="9" t="str">
        <f>_xll.SNL.Clients.Office.Excel.Functions.SPG(HD373, "SP_COUNTRY_NAME")</f>
        <v>#INVALID COMPANY ID</v>
      </c>
    </row>
    <row r="374" spans="5:215" x14ac:dyDescent="0.35">
      <c r="E374" s="9" t="str">
        <f>_xll.SNL.Clients.Office.Excel.Functions.SPG(B374, "SP_COUNTRY_NAME")</f>
        <v>#INVALID COMPANY ID</v>
      </c>
      <c r="J374" s="9" t="str">
        <f>_xll.SNL.Clients.Office.Excel.Functions.SPG(G374, "SP_COUNTRY_NAME")</f>
        <v>#INVALID COMPANY ID</v>
      </c>
      <c r="O374" s="9" t="str">
        <f>_xll.SNL.Clients.Office.Excel.Functions.SPG(L374, "SP_COUNTRY_NAME")</f>
        <v>#INVALID COMPANY ID</v>
      </c>
      <c r="T374" s="9" t="str">
        <f>_xll.SNL.Clients.Office.Excel.Functions.SPG(Q374, "SP_COUNTRY_NAME")</f>
        <v>#INVALID COMPANY ID</v>
      </c>
      <c r="U374" t="s">
        <v>910</v>
      </c>
      <c r="V374">
        <v>4419277</v>
      </c>
      <c r="W374" t="s">
        <v>300</v>
      </c>
      <c r="X374" s="11">
        <v>0</v>
      </c>
      <c r="Y374" s="9" t="str">
        <f>_xll.SNL.Clients.Office.Excel.Functions.SPG(V374, "SP_COUNTRY_NAME")</f>
        <v>USA</v>
      </c>
      <c r="AD374" s="9" t="str">
        <f>_xll.SNL.Clients.Office.Excel.Functions.SPG(AA374, "SP_COUNTRY_NAME")</f>
        <v>#INVALID COMPANY ID</v>
      </c>
      <c r="AI374" s="9" t="str">
        <f>_xll.SNL.Clients.Office.Excel.Functions.SPG(AF374, "SP_COUNTRY_NAME")</f>
        <v>#INVALID COMPANY ID</v>
      </c>
      <c r="AN374" s="9" t="str">
        <f>_xll.SNL.Clients.Office.Excel.Functions.SPG(AK374, "SP_COUNTRY_NAME")</f>
        <v>#INVALID COMPANY ID</v>
      </c>
      <c r="AS374" s="9" t="str">
        <f>_xll.SNL.Clients.Office.Excel.Functions.SPG(AP374, "SP_COUNTRY_NAME")</f>
        <v>#INVALID COMPANY ID</v>
      </c>
      <c r="AX374" s="9" t="str">
        <f>_xll.SNL.Clients.Office.Excel.Functions.SPG(AU374, "SP_COUNTRY_NAME")</f>
        <v>#INVALID COMPANY ID</v>
      </c>
      <c r="BC374" s="9" t="str">
        <f>_xll.SNL.Clients.Office.Excel.Functions.SPG(AZ374, "SP_COUNTRY_NAME")</f>
        <v>#INVALID COMPANY ID</v>
      </c>
      <c r="BD374" t="s">
        <v>485</v>
      </c>
      <c r="BE374">
        <v>5652844</v>
      </c>
      <c r="BF374" t="s">
        <v>346</v>
      </c>
      <c r="BG374" s="11">
        <v>0</v>
      </c>
      <c r="BH374" s="9" t="str">
        <f>_xll.SNL.Clients.Office.Excel.Functions.SPG(BE374, "SP_COUNTRY_NAME")</f>
        <v>Japan</v>
      </c>
      <c r="BM374" s="9" t="str">
        <f>_xll.SNL.Clients.Office.Excel.Functions.SPG(BJ374, "SP_COUNTRY_NAME")</f>
        <v>#INVALID COMPANY ID</v>
      </c>
      <c r="BR374" s="9" t="str">
        <f>_xll.SNL.Clients.Office.Excel.Functions.SPG(BO374, "SP_COUNTRY_NAME")</f>
        <v>#INVALID COMPANY ID</v>
      </c>
      <c r="BS374" t="s">
        <v>828</v>
      </c>
      <c r="BT374">
        <v>4311273</v>
      </c>
      <c r="BU374" t="s">
        <v>346</v>
      </c>
      <c r="BV374" s="11">
        <v>0</v>
      </c>
      <c r="BW374" s="9" t="str">
        <f>_xll.SNL.Clients.Office.Excel.Functions.SPG(BT374, "SP_COUNTRY_NAME")</f>
        <v>Hong Kong</v>
      </c>
      <c r="BX374" t="s">
        <v>910</v>
      </c>
      <c r="BY374">
        <v>4419277</v>
      </c>
      <c r="BZ374" t="s">
        <v>300</v>
      </c>
      <c r="CA374" s="11">
        <v>0</v>
      </c>
      <c r="CB374" s="9" t="str">
        <f>_xll.SNL.Clients.Office.Excel.Functions.SPG(BY374, "SP_COUNTRY_NAME")</f>
        <v>USA</v>
      </c>
      <c r="CC374" t="s">
        <v>1806</v>
      </c>
      <c r="CD374">
        <v>19932756</v>
      </c>
      <c r="CE374" t="s">
        <v>346</v>
      </c>
      <c r="CF374" s="11">
        <v>0</v>
      </c>
      <c r="CG374" s="9" t="str">
        <f>_xll.SNL.Clients.Office.Excel.Functions.SPG(CD374, "SP_COUNTRY_NAME")</f>
        <v>USA</v>
      </c>
      <c r="CL374" s="9" t="str">
        <f>_xll.SNL.Clients.Office.Excel.Functions.SPG(CI374, "SP_COUNTRY_NAME")</f>
        <v>#INVALID COMPANY ID</v>
      </c>
      <c r="CM374" t="s">
        <v>1818</v>
      </c>
      <c r="CN374">
        <v>111511</v>
      </c>
      <c r="CO374" t="s">
        <v>346</v>
      </c>
      <c r="CP374" s="11">
        <v>0</v>
      </c>
      <c r="CQ374" s="9" t="str">
        <f>_xll.SNL.Clients.Office.Excel.Functions.SPG(CN374, "SP_COUNTRY_NAME")</f>
        <v>USA</v>
      </c>
      <c r="CV374" s="9" t="str">
        <f>_xll.SNL.Clients.Office.Excel.Functions.SPG(CS374, "SP_COUNTRY_NAME")</f>
        <v>#INVALID COMPANY ID</v>
      </c>
      <c r="DA374" s="9" t="str">
        <f>_xll.SNL.Clients.Office.Excel.Functions.SPG(CX374, "SP_COUNTRY_NAME")</f>
        <v>#INVALID COMPANY ID</v>
      </c>
      <c r="DB374" t="s">
        <v>485</v>
      </c>
      <c r="DC374">
        <v>5652844</v>
      </c>
      <c r="DD374" t="s">
        <v>346</v>
      </c>
      <c r="DE374" s="11">
        <v>0</v>
      </c>
      <c r="DF374" s="9" t="str">
        <f>_xll.SNL.Clients.Office.Excel.Functions.SPG(DC374, "SP_COUNTRY_NAME")</f>
        <v>Japan</v>
      </c>
      <c r="DK374" s="9" t="str">
        <f>_xll.SNL.Clients.Office.Excel.Functions.SPG(DH374, "SP_COUNTRY_NAME")</f>
        <v>#INVALID COMPANY ID</v>
      </c>
      <c r="DL374" t="s">
        <v>485</v>
      </c>
      <c r="DM374">
        <v>5652844</v>
      </c>
      <c r="DN374" t="s">
        <v>346</v>
      </c>
      <c r="DO374" s="11">
        <v>0</v>
      </c>
      <c r="DP374" s="9" t="str">
        <f>_xll.SNL.Clients.Office.Excel.Functions.SPG(DM374, "SP_COUNTRY_NAME")</f>
        <v>Japan</v>
      </c>
      <c r="DU374" s="9" t="str">
        <f>_xll.SNL.Clients.Office.Excel.Functions.SPG(DR374, "SP_COUNTRY_NAME")</f>
        <v>#INVALID COMPANY ID</v>
      </c>
      <c r="DZ374" s="9" t="str">
        <f>_xll.SNL.Clients.Office.Excel.Functions.SPG(DW374, "SP_COUNTRY_NAME")</f>
        <v>#INVALID COMPANY ID</v>
      </c>
      <c r="EA374" t="s">
        <v>1806</v>
      </c>
      <c r="EB374">
        <v>19932756</v>
      </c>
      <c r="EC374" t="s">
        <v>346</v>
      </c>
      <c r="ED374" s="11">
        <v>0</v>
      </c>
      <c r="EE374" s="9" t="str">
        <f>_xll.SNL.Clients.Office.Excel.Functions.SPG(EB374, "SP_COUNTRY_NAME")</f>
        <v>USA</v>
      </c>
      <c r="EF374" t="s">
        <v>485</v>
      </c>
      <c r="EG374">
        <v>5652844</v>
      </c>
      <c r="EH374" t="s">
        <v>346</v>
      </c>
      <c r="EI374" s="11">
        <v>0</v>
      </c>
      <c r="EJ374" s="9" t="str">
        <f>_xll.SNL.Clients.Office.Excel.Functions.SPG(EG374, "SP_COUNTRY_NAME")</f>
        <v>Japan</v>
      </c>
      <c r="EO374" s="9" t="str">
        <f>_xll.SNL.Clients.Office.Excel.Functions.SPG(EL374, "SP_COUNTRY_NAME")</f>
        <v>#INVALID COMPANY ID</v>
      </c>
      <c r="ET374" s="9" t="str">
        <f>_xll.SNL.Clients.Office.Excel.Functions.SPG(EQ374, "SP_COUNTRY_NAME")</f>
        <v>#INVALID COMPANY ID</v>
      </c>
      <c r="EY374" s="9" t="str">
        <f>_xll.SNL.Clients.Office.Excel.Functions.SPG(EV374, "SP_COUNTRY_NAME")</f>
        <v>#INVALID COMPANY ID</v>
      </c>
      <c r="FD374" s="9" t="str">
        <f>_xll.SNL.Clients.Office.Excel.Functions.SPG(FA374, "SP_COUNTRY_NAME")</f>
        <v>#INVALID COMPANY ID</v>
      </c>
      <c r="FI374" s="9" t="str">
        <f>_xll.SNL.Clients.Office.Excel.Functions.SPG(FF374, "SP_COUNTRY_NAME")</f>
        <v>#INVALID COMPANY ID</v>
      </c>
      <c r="FN374" s="9" t="str">
        <f>_xll.SNL.Clients.Office.Excel.Functions.SPG(FK374, "SP_COUNTRY_NAME")</f>
        <v>#INVALID COMPANY ID</v>
      </c>
      <c r="FS374" s="9" t="str">
        <f>_xll.SNL.Clients.Office.Excel.Functions.SPG(FP374, "SP_COUNTRY_NAME")</f>
        <v>#INVALID COMPANY ID</v>
      </c>
      <c r="FX374" s="9" t="str">
        <f>_xll.SNL.Clients.Office.Excel.Functions.SPG(FU374, "SP_COUNTRY_NAME")</f>
        <v>#INVALID COMPANY ID</v>
      </c>
      <c r="FY374" t="s">
        <v>485</v>
      </c>
      <c r="FZ374">
        <v>5652844</v>
      </c>
      <c r="GA374" t="s">
        <v>346</v>
      </c>
      <c r="GB374" s="11">
        <v>0</v>
      </c>
      <c r="GC374" s="9" t="str">
        <f>_xll.SNL.Clients.Office.Excel.Functions.SPG(FZ374, "SP_COUNTRY_NAME")</f>
        <v>Japan</v>
      </c>
      <c r="GH374" s="9" t="str">
        <f>_xll.SNL.Clients.Office.Excel.Functions.SPG(GE374, "SP_COUNTRY_NAME")</f>
        <v>#INVALID COMPANY ID</v>
      </c>
      <c r="GM374" s="9" t="str">
        <f>_xll.SNL.Clients.Office.Excel.Functions.SPG(GJ374, "SP_COUNTRY_NAME")</f>
        <v>#INVALID COMPANY ID</v>
      </c>
      <c r="GR374" s="9" t="str">
        <f>_xll.SNL.Clients.Office.Excel.Functions.SPG(GO374, "SP_COUNTRY_NAME")</f>
        <v>#INVALID COMPANY ID</v>
      </c>
      <c r="GW374" s="9" t="str">
        <f>_xll.SNL.Clients.Office.Excel.Functions.SPG(GT374, "SP_COUNTRY_NAME")</f>
        <v>#INVALID COMPANY ID</v>
      </c>
      <c r="GX374" t="s">
        <v>1806</v>
      </c>
      <c r="GY374">
        <v>19932756</v>
      </c>
      <c r="GZ374" t="s">
        <v>346</v>
      </c>
      <c r="HA374" s="11">
        <v>0</v>
      </c>
      <c r="HB374" s="9" t="str">
        <f>_xll.SNL.Clients.Office.Excel.Functions.SPG(GY374, "SP_COUNTRY_NAME")</f>
        <v>USA</v>
      </c>
      <c r="HG374" s="9" t="str">
        <f>_xll.SNL.Clients.Office.Excel.Functions.SPG(HD374, "SP_COUNTRY_NAME")</f>
        <v>#INVALID COMPANY ID</v>
      </c>
    </row>
    <row r="375" spans="5:215" x14ac:dyDescent="0.35">
      <c r="E375" s="9" t="str">
        <f>_xll.SNL.Clients.Office.Excel.Functions.SPG(B375, "SP_COUNTRY_NAME")</f>
        <v>#INVALID COMPANY ID</v>
      </c>
      <c r="J375" s="9" t="str">
        <f>_xll.SNL.Clients.Office.Excel.Functions.SPG(G375, "SP_COUNTRY_NAME")</f>
        <v>#INVALID COMPANY ID</v>
      </c>
      <c r="O375" s="9" t="str">
        <f>_xll.SNL.Clients.Office.Excel.Functions.SPG(L375, "SP_COUNTRY_NAME")</f>
        <v>#INVALID COMPANY ID</v>
      </c>
      <c r="T375" s="9" t="str">
        <f>_xll.SNL.Clients.Office.Excel.Functions.SPG(Q375, "SP_COUNTRY_NAME")</f>
        <v>#INVALID COMPANY ID</v>
      </c>
      <c r="U375" t="s">
        <v>588</v>
      </c>
      <c r="V375">
        <v>111537</v>
      </c>
      <c r="W375" t="s">
        <v>346</v>
      </c>
      <c r="X375" s="11">
        <v>0</v>
      </c>
      <c r="Y375" s="9" t="str">
        <f>_xll.SNL.Clients.Office.Excel.Functions.SPG(V375, "SP_COUNTRY_NAME")</f>
        <v>USA</v>
      </c>
      <c r="AD375" s="9" t="str">
        <f>_xll.SNL.Clients.Office.Excel.Functions.SPG(AA375, "SP_COUNTRY_NAME")</f>
        <v>#INVALID COMPANY ID</v>
      </c>
      <c r="AI375" s="9" t="str">
        <f>_xll.SNL.Clients.Office.Excel.Functions.SPG(AF375, "SP_COUNTRY_NAME")</f>
        <v>#INVALID COMPANY ID</v>
      </c>
      <c r="AN375" s="9" t="str">
        <f>_xll.SNL.Clients.Office.Excel.Functions.SPG(AK375, "SP_COUNTRY_NAME")</f>
        <v>#INVALID COMPANY ID</v>
      </c>
      <c r="AS375" s="9" t="str">
        <f>_xll.SNL.Clients.Office.Excel.Functions.SPG(AP375, "SP_COUNTRY_NAME")</f>
        <v>#INVALID COMPANY ID</v>
      </c>
      <c r="AX375" s="9" t="str">
        <f>_xll.SNL.Clients.Office.Excel.Functions.SPG(AU375, "SP_COUNTRY_NAME")</f>
        <v>#INVALID COMPANY ID</v>
      </c>
      <c r="BC375" s="9" t="str">
        <f>_xll.SNL.Clients.Office.Excel.Functions.SPG(AZ375, "SP_COUNTRY_NAME")</f>
        <v>#INVALID COMPANY ID</v>
      </c>
      <c r="BD375" t="s">
        <v>816</v>
      </c>
      <c r="BE375">
        <v>4187337</v>
      </c>
      <c r="BF375" t="s">
        <v>364</v>
      </c>
      <c r="BG375" s="11">
        <v>0</v>
      </c>
      <c r="BH375" s="9" t="str">
        <f>_xll.SNL.Clients.Office.Excel.Functions.SPG(BE375, "SP_COUNTRY_NAME")</f>
        <v>Spain</v>
      </c>
      <c r="BM375" s="9" t="str">
        <f>_xll.SNL.Clients.Office.Excel.Functions.SPG(BJ375, "SP_COUNTRY_NAME")</f>
        <v>#INVALID COMPANY ID</v>
      </c>
      <c r="BR375" s="9" t="str">
        <f>_xll.SNL.Clients.Office.Excel.Functions.SPG(BO375, "SP_COUNTRY_NAME")</f>
        <v>#INVALID COMPANY ID</v>
      </c>
      <c r="BS375" t="s">
        <v>1045</v>
      </c>
      <c r="BT375">
        <v>5776820</v>
      </c>
      <c r="BU375" t="s">
        <v>346</v>
      </c>
      <c r="BV375" s="11">
        <v>0</v>
      </c>
      <c r="BW375" s="9" t="str">
        <f>_xll.SNL.Clients.Office.Excel.Functions.SPG(BT375, "SP_COUNTRY_NAME")</f>
        <v>Denmark</v>
      </c>
      <c r="BX375" t="s">
        <v>588</v>
      </c>
      <c r="BY375">
        <v>111537</v>
      </c>
      <c r="BZ375" t="s">
        <v>346</v>
      </c>
      <c r="CA375" s="11">
        <v>0</v>
      </c>
      <c r="CB375" s="9" t="str">
        <f>_xll.SNL.Clients.Office.Excel.Functions.SPG(BY375, "SP_COUNTRY_NAME")</f>
        <v>USA</v>
      </c>
      <c r="CC375" t="s">
        <v>1807</v>
      </c>
      <c r="CD375">
        <v>23890076</v>
      </c>
      <c r="CE375" t="s">
        <v>346</v>
      </c>
      <c r="CF375" s="11">
        <v>0</v>
      </c>
      <c r="CG375" s="9" t="str">
        <f>_xll.SNL.Clients.Office.Excel.Functions.SPG(CD375, "SP_COUNTRY_NAME")</f>
        <v>USA</v>
      </c>
      <c r="CL375" s="9" t="str">
        <f>_xll.SNL.Clients.Office.Excel.Functions.SPG(CI375, "SP_COUNTRY_NAME")</f>
        <v>#INVALID COMPANY ID</v>
      </c>
      <c r="CM375" t="s">
        <v>2062</v>
      </c>
      <c r="CN375">
        <v>132467595</v>
      </c>
      <c r="CO375" t="s">
        <v>346</v>
      </c>
      <c r="CP375" s="11">
        <v>0</v>
      </c>
      <c r="CQ375" s="9" t="str">
        <f>_xll.SNL.Clients.Office.Excel.Functions.SPG(CN375, "SP_COUNTRY_NAME")</f>
        <v>Hong Kong</v>
      </c>
      <c r="CV375" s="9" t="str">
        <f>_xll.SNL.Clients.Office.Excel.Functions.SPG(CS375, "SP_COUNTRY_NAME")</f>
        <v>#INVALID COMPANY ID</v>
      </c>
      <c r="DA375" s="9" t="str">
        <f>_xll.SNL.Clients.Office.Excel.Functions.SPG(CX375, "SP_COUNTRY_NAME")</f>
        <v>#INVALID COMPANY ID</v>
      </c>
      <c r="DB375" t="s">
        <v>816</v>
      </c>
      <c r="DC375">
        <v>4187337</v>
      </c>
      <c r="DD375" t="s">
        <v>364</v>
      </c>
      <c r="DE375" s="11">
        <v>0</v>
      </c>
      <c r="DF375" s="9" t="str">
        <f>_xll.SNL.Clients.Office.Excel.Functions.SPG(DC375, "SP_COUNTRY_NAME")</f>
        <v>Spain</v>
      </c>
      <c r="DK375" s="9" t="str">
        <f>_xll.SNL.Clients.Office.Excel.Functions.SPG(DH375, "SP_COUNTRY_NAME")</f>
        <v>#INVALID COMPANY ID</v>
      </c>
      <c r="DL375" t="s">
        <v>816</v>
      </c>
      <c r="DM375">
        <v>4187337</v>
      </c>
      <c r="DN375" t="s">
        <v>364</v>
      </c>
      <c r="DO375" s="11">
        <v>0</v>
      </c>
      <c r="DP375" s="9" t="str">
        <f>_xll.SNL.Clients.Office.Excel.Functions.SPG(DM375, "SP_COUNTRY_NAME")</f>
        <v>Spain</v>
      </c>
      <c r="DU375" s="9" t="str">
        <f>_xll.SNL.Clients.Office.Excel.Functions.SPG(DR375, "SP_COUNTRY_NAME")</f>
        <v>#INVALID COMPANY ID</v>
      </c>
      <c r="DZ375" s="9" t="str">
        <f>_xll.SNL.Clients.Office.Excel.Functions.SPG(DW375, "SP_COUNTRY_NAME")</f>
        <v>#INVALID COMPANY ID</v>
      </c>
      <c r="EA375" t="s">
        <v>1807</v>
      </c>
      <c r="EB375">
        <v>23890076</v>
      </c>
      <c r="EC375" t="s">
        <v>346</v>
      </c>
      <c r="ED375" s="11">
        <v>0</v>
      </c>
      <c r="EE375" s="9" t="str">
        <f>_xll.SNL.Clients.Office.Excel.Functions.SPG(EB375, "SP_COUNTRY_NAME")</f>
        <v>USA</v>
      </c>
      <c r="EF375" t="s">
        <v>816</v>
      </c>
      <c r="EG375">
        <v>4187337</v>
      </c>
      <c r="EH375" t="s">
        <v>364</v>
      </c>
      <c r="EI375" s="11">
        <v>0</v>
      </c>
      <c r="EJ375" s="9" t="str">
        <f>_xll.SNL.Clients.Office.Excel.Functions.SPG(EG375, "SP_COUNTRY_NAME")</f>
        <v>Spain</v>
      </c>
      <c r="EO375" s="9" t="str">
        <f>_xll.SNL.Clients.Office.Excel.Functions.SPG(EL375, "SP_COUNTRY_NAME")</f>
        <v>#INVALID COMPANY ID</v>
      </c>
      <c r="ET375" s="9" t="str">
        <f>_xll.SNL.Clients.Office.Excel.Functions.SPG(EQ375, "SP_COUNTRY_NAME")</f>
        <v>#INVALID COMPANY ID</v>
      </c>
      <c r="EY375" s="9" t="str">
        <f>_xll.SNL.Clients.Office.Excel.Functions.SPG(EV375, "SP_COUNTRY_NAME")</f>
        <v>#INVALID COMPANY ID</v>
      </c>
      <c r="FD375" s="9" t="str">
        <f>_xll.SNL.Clients.Office.Excel.Functions.SPG(FA375, "SP_COUNTRY_NAME")</f>
        <v>#INVALID COMPANY ID</v>
      </c>
      <c r="FI375" s="9" t="str">
        <f>_xll.SNL.Clients.Office.Excel.Functions.SPG(FF375, "SP_COUNTRY_NAME")</f>
        <v>#INVALID COMPANY ID</v>
      </c>
      <c r="FN375" s="9" t="str">
        <f>_xll.SNL.Clients.Office.Excel.Functions.SPG(FK375, "SP_COUNTRY_NAME")</f>
        <v>#INVALID COMPANY ID</v>
      </c>
      <c r="FS375" s="9" t="str">
        <f>_xll.SNL.Clients.Office.Excel.Functions.SPG(FP375, "SP_COUNTRY_NAME")</f>
        <v>#INVALID COMPANY ID</v>
      </c>
      <c r="FX375" s="9" t="str">
        <f>_xll.SNL.Clients.Office.Excel.Functions.SPG(FU375, "SP_COUNTRY_NAME")</f>
        <v>#INVALID COMPANY ID</v>
      </c>
      <c r="FY375" t="s">
        <v>816</v>
      </c>
      <c r="FZ375">
        <v>4187337</v>
      </c>
      <c r="GA375" t="s">
        <v>364</v>
      </c>
      <c r="GB375" s="11">
        <v>0</v>
      </c>
      <c r="GC375" s="9" t="str">
        <f>_xll.SNL.Clients.Office.Excel.Functions.SPG(FZ375, "SP_COUNTRY_NAME")</f>
        <v>Spain</v>
      </c>
      <c r="GH375" s="9" t="str">
        <f>_xll.SNL.Clients.Office.Excel.Functions.SPG(GE375, "SP_COUNTRY_NAME")</f>
        <v>#INVALID COMPANY ID</v>
      </c>
      <c r="GM375" s="9" t="str">
        <f>_xll.SNL.Clients.Office.Excel.Functions.SPG(GJ375, "SP_COUNTRY_NAME")</f>
        <v>#INVALID COMPANY ID</v>
      </c>
      <c r="GR375" s="9" t="str">
        <f>_xll.SNL.Clients.Office.Excel.Functions.SPG(GO375, "SP_COUNTRY_NAME")</f>
        <v>#INVALID COMPANY ID</v>
      </c>
      <c r="GW375" s="9" t="str">
        <f>_xll.SNL.Clients.Office.Excel.Functions.SPG(GT375, "SP_COUNTRY_NAME")</f>
        <v>#INVALID COMPANY ID</v>
      </c>
      <c r="GX375" t="s">
        <v>1807</v>
      </c>
      <c r="GY375">
        <v>23890076</v>
      </c>
      <c r="GZ375" t="s">
        <v>346</v>
      </c>
      <c r="HA375" s="11">
        <v>0</v>
      </c>
      <c r="HB375" s="9" t="str">
        <f>_xll.SNL.Clients.Office.Excel.Functions.SPG(GY375, "SP_COUNTRY_NAME")</f>
        <v>USA</v>
      </c>
      <c r="HG375" s="9" t="str">
        <f>_xll.SNL.Clients.Office.Excel.Functions.SPG(HD375, "SP_COUNTRY_NAME")</f>
        <v>#INVALID COMPANY ID</v>
      </c>
    </row>
    <row r="376" spans="5:215" x14ac:dyDescent="0.35">
      <c r="E376" s="9" t="str">
        <f>_xll.SNL.Clients.Office.Excel.Functions.SPG(B376, "SP_COUNTRY_NAME")</f>
        <v>#INVALID COMPANY ID</v>
      </c>
      <c r="J376" s="9" t="str">
        <f>_xll.SNL.Clients.Office.Excel.Functions.SPG(G376, "SP_COUNTRY_NAME")</f>
        <v>#INVALID COMPANY ID</v>
      </c>
      <c r="O376" s="9" t="str">
        <f>_xll.SNL.Clients.Office.Excel.Functions.SPG(L376, "SP_COUNTRY_NAME")</f>
        <v>#INVALID COMPANY ID</v>
      </c>
      <c r="T376" s="9" t="str">
        <f>_xll.SNL.Clients.Office.Excel.Functions.SPG(Q376, "SP_COUNTRY_NAME")</f>
        <v>#INVALID COMPANY ID</v>
      </c>
      <c r="U376" t="s">
        <v>606</v>
      </c>
      <c r="V376">
        <v>10346719</v>
      </c>
      <c r="W376" t="s">
        <v>346</v>
      </c>
      <c r="X376" s="11">
        <v>0</v>
      </c>
      <c r="Y376" s="9" t="str">
        <f>_xll.SNL.Clients.Office.Excel.Functions.SPG(V376, "SP_COUNTRY_NAME")</f>
        <v>United Kingdom</v>
      </c>
      <c r="AD376" s="9" t="str">
        <f>_xll.SNL.Clients.Office.Excel.Functions.SPG(AA376, "SP_COUNTRY_NAME")</f>
        <v>#INVALID COMPANY ID</v>
      </c>
      <c r="AI376" s="9" t="str">
        <f>_xll.SNL.Clients.Office.Excel.Functions.SPG(AF376, "SP_COUNTRY_NAME")</f>
        <v>#INVALID COMPANY ID</v>
      </c>
      <c r="AN376" s="9" t="str">
        <f>_xll.SNL.Clients.Office.Excel.Functions.SPG(AK376, "SP_COUNTRY_NAME")</f>
        <v>#INVALID COMPANY ID</v>
      </c>
      <c r="AS376" s="9" t="str">
        <f>_xll.SNL.Clients.Office.Excel.Functions.SPG(AP376, "SP_COUNTRY_NAME")</f>
        <v>#INVALID COMPANY ID</v>
      </c>
      <c r="AX376" s="9" t="str">
        <f>_xll.SNL.Clients.Office.Excel.Functions.SPG(AU376, "SP_COUNTRY_NAME")</f>
        <v>#INVALID COMPANY ID</v>
      </c>
      <c r="BC376" s="9" t="str">
        <f>_xll.SNL.Clients.Office.Excel.Functions.SPG(AZ376, "SP_COUNTRY_NAME")</f>
        <v>#INVALID COMPANY ID</v>
      </c>
      <c r="BD376" t="s">
        <v>1509</v>
      </c>
      <c r="BE376">
        <v>5816434</v>
      </c>
      <c r="BF376" t="s">
        <v>346</v>
      </c>
      <c r="BG376" s="11">
        <v>0</v>
      </c>
      <c r="BH376" s="9" t="str">
        <f>_xll.SNL.Clients.Office.Excel.Functions.SPG(BE376, "SP_COUNTRY_NAME")</f>
        <v>Israel</v>
      </c>
      <c r="BM376" s="9" t="str">
        <f>_xll.SNL.Clients.Office.Excel.Functions.SPG(BJ376, "SP_COUNTRY_NAME")</f>
        <v>#INVALID COMPANY ID</v>
      </c>
      <c r="BR376" s="9" t="str">
        <f>_xll.SNL.Clients.Office.Excel.Functions.SPG(BO376, "SP_COUNTRY_NAME")</f>
        <v>#INVALID COMPANY ID</v>
      </c>
      <c r="BS376" t="s">
        <v>846</v>
      </c>
      <c r="BT376">
        <v>5855481</v>
      </c>
      <c r="BU376" t="s">
        <v>346</v>
      </c>
      <c r="BV376" s="11">
        <v>0</v>
      </c>
      <c r="BW376" s="9" t="str">
        <f>_xll.SNL.Clients.Office.Excel.Functions.SPG(BT376, "SP_COUNTRY_NAME")</f>
        <v>China</v>
      </c>
      <c r="BX376" t="s">
        <v>606</v>
      </c>
      <c r="BY376">
        <v>10346719</v>
      </c>
      <c r="BZ376" t="s">
        <v>346</v>
      </c>
      <c r="CA376" s="11">
        <v>0</v>
      </c>
      <c r="CB376" s="9" t="str">
        <f>_xll.SNL.Clients.Office.Excel.Functions.SPG(BY376, "SP_COUNTRY_NAME")</f>
        <v>United Kingdom</v>
      </c>
      <c r="CC376" t="s">
        <v>1808</v>
      </c>
      <c r="CD376">
        <v>28702408</v>
      </c>
      <c r="CE376" t="s">
        <v>346</v>
      </c>
      <c r="CF376" s="11">
        <v>0</v>
      </c>
      <c r="CG376" s="9" t="str">
        <f>_xll.SNL.Clients.Office.Excel.Functions.SPG(CD376, "SP_COUNTRY_NAME")</f>
        <v>Brazil</v>
      </c>
      <c r="CL376" s="9" t="str">
        <f>_xll.SNL.Clients.Office.Excel.Functions.SPG(CI376, "SP_COUNTRY_NAME")</f>
        <v>#INVALID COMPANY ID</v>
      </c>
      <c r="CM376" t="s">
        <v>1313</v>
      </c>
      <c r="CN376">
        <v>5777655</v>
      </c>
      <c r="CO376" t="s">
        <v>346</v>
      </c>
      <c r="CP376" s="11">
        <v>0</v>
      </c>
      <c r="CQ376" s="9" t="str">
        <f>_xll.SNL.Clients.Office.Excel.Functions.SPG(CN376, "SP_COUNTRY_NAME")</f>
        <v>South Africa</v>
      </c>
      <c r="CV376" s="9" t="str">
        <f>_xll.SNL.Clients.Office.Excel.Functions.SPG(CS376, "SP_COUNTRY_NAME")</f>
        <v>#INVALID COMPANY ID</v>
      </c>
      <c r="DA376" s="9" t="str">
        <f>_xll.SNL.Clients.Office.Excel.Functions.SPG(CX376, "SP_COUNTRY_NAME")</f>
        <v>#INVALID COMPANY ID</v>
      </c>
      <c r="DB376" t="s">
        <v>1509</v>
      </c>
      <c r="DC376">
        <v>5816434</v>
      </c>
      <c r="DD376" t="s">
        <v>346</v>
      </c>
      <c r="DE376" s="11">
        <v>0</v>
      </c>
      <c r="DF376" s="9" t="str">
        <f>_xll.SNL.Clients.Office.Excel.Functions.SPG(DC376, "SP_COUNTRY_NAME")</f>
        <v>Israel</v>
      </c>
      <c r="DK376" s="9" t="str">
        <f>_xll.SNL.Clients.Office.Excel.Functions.SPG(DH376, "SP_COUNTRY_NAME")</f>
        <v>#INVALID COMPANY ID</v>
      </c>
      <c r="DL376" t="s">
        <v>1509</v>
      </c>
      <c r="DM376">
        <v>5816434</v>
      </c>
      <c r="DN376" t="s">
        <v>346</v>
      </c>
      <c r="DO376" s="11">
        <v>0</v>
      </c>
      <c r="DP376" s="9" t="str">
        <f>_xll.SNL.Clients.Office.Excel.Functions.SPG(DM376, "SP_COUNTRY_NAME")</f>
        <v>Israel</v>
      </c>
      <c r="DU376" s="9" t="str">
        <f>_xll.SNL.Clients.Office.Excel.Functions.SPG(DR376, "SP_COUNTRY_NAME")</f>
        <v>#INVALID COMPANY ID</v>
      </c>
      <c r="DZ376" s="9" t="str">
        <f>_xll.SNL.Clients.Office.Excel.Functions.SPG(DW376, "SP_COUNTRY_NAME")</f>
        <v>#INVALID COMPANY ID</v>
      </c>
      <c r="EA376" t="s">
        <v>1808</v>
      </c>
      <c r="EB376">
        <v>28702408</v>
      </c>
      <c r="EC376" t="s">
        <v>346</v>
      </c>
      <c r="ED376" s="11">
        <v>0</v>
      </c>
      <c r="EE376" s="9" t="str">
        <f>_xll.SNL.Clients.Office.Excel.Functions.SPG(EB376, "SP_COUNTRY_NAME")</f>
        <v>Brazil</v>
      </c>
      <c r="EF376" t="s">
        <v>1509</v>
      </c>
      <c r="EG376">
        <v>5816434</v>
      </c>
      <c r="EH376" t="s">
        <v>346</v>
      </c>
      <c r="EI376" s="11">
        <v>0</v>
      </c>
      <c r="EJ376" s="9" t="str">
        <f>_xll.SNL.Clients.Office.Excel.Functions.SPG(EG376, "SP_COUNTRY_NAME")</f>
        <v>Israel</v>
      </c>
      <c r="EO376" s="9" t="str">
        <f>_xll.SNL.Clients.Office.Excel.Functions.SPG(EL376, "SP_COUNTRY_NAME")</f>
        <v>#INVALID COMPANY ID</v>
      </c>
      <c r="ET376" s="9" t="str">
        <f>_xll.SNL.Clients.Office.Excel.Functions.SPG(EQ376, "SP_COUNTRY_NAME")</f>
        <v>#INVALID COMPANY ID</v>
      </c>
      <c r="EY376" s="9" t="str">
        <f>_xll.SNL.Clients.Office.Excel.Functions.SPG(EV376, "SP_COUNTRY_NAME")</f>
        <v>#INVALID COMPANY ID</v>
      </c>
      <c r="FD376" s="9" t="str">
        <f>_xll.SNL.Clients.Office.Excel.Functions.SPG(FA376, "SP_COUNTRY_NAME")</f>
        <v>#INVALID COMPANY ID</v>
      </c>
      <c r="FI376" s="9" t="str">
        <f>_xll.SNL.Clients.Office.Excel.Functions.SPG(FF376, "SP_COUNTRY_NAME")</f>
        <v>#INVALID COMPANY ID</v>
      </c>
      <c r="FN376" s="9" t="str">
        <f>_xll.SNL.Clients.Office.Excel.Functions.SPG(FK376, "SP_COUNTRY_NAME")</f>
        <v>#INVALID COMPANY ID</v>
      </c>
      <c r="FS376" s="9" t="str">
        <f>_xll.SNL.Clients.Office.Excel.Functions.SPG(FP376, "SP_COUNTRY_NAME")</f>
        <v>#INVALID COMPANY ID</v>
      </c>
      <c r="FX376" s="9" t="str">
        <f>_xll.SNL.Clients.Office.Excel.Functions.SPG(FU376, "SP_COUNTRY_NAME")</f>
        <v>#INVALID COMPANY ID</v>
      </c>
      <c r="FY376" t="s">
        <v>1509</v>
      </c>
      <c r="FZ376">
        <v>5816434</v>
      </c>
      <c r="GA376" t="s">
        <v>346</v>
      </c>
      <c r="GB376" s="11">
        <v>0</v>
      </c>
      <c r="GC376" s="9" t="str">
        <f>_xll.SNL.Clients.Office.Excel.Functions.SPG(FZ376, "SP_COUNTRY_NAME")</f>
        <v>Israel</v>
      </c>
      <c r="GH376" s="9" t="str">
        <f>_xll.SNL.Clients.Office.Excel.Functions.SPG(GE376, "SP_COUNTRY_NAME")</f>
        <v>#INVALID COMPANY ID</v>
      </c>
      <c r="GM376" s="9" t="str">
        <f>_xll.SNL.Clients.Office.Excel.Functions.SPG(GJ376, "SP_COUNTRY_NAME")</f>
        <v>#INVALID COMPANY ID</v>
      </c>
      <c r="GR376" s="9" t="str">
        <f>_xll.SNL.Clients.Office.Excel.Functions.SPG(GO376, "SP_COUNTRY_NAME")</f>
        <v>#INVALID COMPANY ID</v>
      </c>
      <c r="GW376" s="9" t="str">
        <f>_xll.SNL.Clients.Office.Excel.Functions.SPG(GT376, "SP_COUNTRY_NAME")</f>
        <v>#INVALID COMPANY ID</v>
      </c>
      <c r="GX376" t="s">
        <v>1808</v>
      </c>
      <c r="GY376">
        <v>28702408</v>
      </c>
      <c r="GZ376" t="s">
        <v>346</v>
      </c>
      <c r="HA376" s="11">
        <v>0</v>
      </c>
      <c r="HB376" s="9" t="str">
        <f>_xll.SNL.Clients.Office.Excel.Functions.SPG(GY376, "SP_COUNTRY_NAME")</f>
        <v>Brazil</v>
      </c>
      <c r="HG376" s="9" t="str">
        <f>_xll.SNL.Clients.Office.Excel.Functions.SPG(HD376, "SP_COUNTRY_NAME")</f>
        <v>#INVALID COMPANY ID</v>
      </c>
    </row>
    <row r="377" spans="5:215" x14ac:dyDescent="0.35">
      <c r="E377" s="9" t="str">
        <f>_xll.SNL.Clients.Office.Excel.Functions.SPG(B377, "SP_COUNTRY_NAME")</f>
        <v>#INVALID COMPANY ID</v>
      </c>
      <c r="J377" s="9" t="str">
        <f>_xll.SNL.Clients.Office.Excel.Functions.SPG(G377, "SP_COUNTRY_NAME")</f>
        <v>#INVALID COMPANY ID</v>
      </c>
      <c r="O377" s="9" t="str">
        <f>_xll.SNL.Clients.Office.Excel.Functions.SPG(L377, "SP_COUNTRY_NAME")</f>
        <v>#INVALID COMPANY ID</v>
      </c>
      <c r="T377" s="9" t="str">
        <f>_xll.SNL.Clients.Office.Excel.Functions.SPG(Q377, "SP_COUNTRY_NAME")</f>
        <v>#INVALID COMPANY ID</v>
      </c>
      <c r="U377" t="s">
        <v>911</v>
      </c>
      <c r="V377">
        <v>109399086</v>
      </c>
      <c r="W377" t="s">
        <v>346</v>
      </c>
      <c r="X377" s="11">
        <v>0</v>
      </c>
      <c r="Y377" s="9" t="str">
        <f>_xll.SNL.Clients.Office.Excel.Functions.SPG(V377, "SP_COUNTRY_NAME")</f>
        <v>China</v>
      </c>
      <c r="AD377" s="9" t="str">
        <f>_xll.SNL.Clients.Office.Excel.Functions.SPG(AA377, "SP_COUNTRY_NAME")</f>
        <v>#INVALID COMPANY ID</v>
      </c>
      <c r="AI377" s="9" t="str">
        <f>_xll.SNL.Clients.Office.Excel.Functions.SPG(AF377, "SP_COUNTRY_NAME")</f>
        <v>#INVALID COMPANY ID</v>
      </c>
      <c r="AN377" s="9" t="str">
        <f>_xll.SNL.Clients.Office.Excel.Functions.SPG(AK377, "SP_COUNTRY_NAME")</f>
        <v>#INVALID COMPANY ID</v>
      </c>
      <c r="AS377" s="9" t="str">
        <f>_xll.SNL.Clients.Office.Excel.Functions.SPG(AP377, "SP_COUNTRY_NAME")</f>
        <v>#INVALID COMPANY ID</v>
      </c>
      <c r="AX377" s="9" t="str">
        <f>_xll.SNL.Clients.Office.Excel.Functions.SPG(AU377, "SP_COUNTRY_NAME")</f>
        <v>#INVALID COMPANY ID</v>
      </c>
      <c r="BC377" s="9" t="str">
        <f>_xll.SNL.Clients.Office.Excel.Functions.SPG(AZ377, "SP_COUNTRY_NAME")</f>
        <v>#INVALID COMPANY ID</v>
      </c>
      <c r="BD377" t="s">
        <v>1510</v>
      </c>
      <c r="BE377" t="s">
        <v>300</v>
      </c>
      <c r="BF377" t="s">
        <v>361</v>
      </c>
      <c r="BG377" s="11">
        <v>0</v>
      </c>
      <c r="BH377" s="9" t="str">
        <f>_xll.SNL.Clients.Office.Excel.Functions.SPG(BE377, "SP_COUNTRY_NAME")</f>
        <v>China</v>
      </c>
      <c r="BM377" s="9" t="str">
        <f>_xll.SNL.Clients.Office.Excel.Functions.SPG(BJ377, "SP_COUNTRY_NAME")</f>
        <v>#INVALID COMPANY ID</v>
      </c>
      <c r="BR377" s="9" t="str">
        <f>_xll.SNL.Clients.Office.Excel.Functions.SPG(BO377, "SP_COUNTRY_NAME")</f>
        <v>#INVALID COMPANY ID</v>
      </c>
      <c r="BS377" t="s">
        <v>1046</v>
      </c>
      <c r="BT377">
        <v>4165697</v>
      </c>
      <c r="BU377" t="s">
        <v>346</v>
      </c>
      <c r="BV377" s="11">
        <v>0</v>
      </c>
      <c r="BW377" s="9" t="str">
        <f>_xll.SNL.Clients.Office.Excel.Functions.SPG(BT377, "SP_COUNTRY_NAME")</f>
        <v>France</v>
      </c>
      <c r="BX377" t="s">
        <v>911</v>
      </c>
      <c r="BY377">
        <v>109399086</v>
      </c>
      <c r="BZ377" t="s">
        <v>346</v>
      </c>
      <c r="CA377" s="11">
        <v>0</v>
      </c>
      <c r="CB377" s="9" t="str">
        <f>_xll.SNL.Clients.Office.Excel.Functions.SPG(BY377, "SP_COUNTRY_NAME")</f>
        <v>China</v>
      </c>
      <c r="CC377" t="s">
        <v>1809</v>
      </c>
      <c r="CD377">
        <v>12764260</v>
      </c>
      <c r="CE377" t="s">
        <v>346</v>
      </c>
      <c r="CF377" s="11">
        <v>0</v>
      </c>
      <c r="CG377" s="9" t="str">
        <f>_xll.SNL.Clients.Office.Excel.Functions.SPG(CD377, "SP_COUNTRY_NAME")</f>
        <v>USA</v>
      </c>
      <c r="CL377" s="9" t="str">
        <f>_xll.SNL.Clients.Office.Excel.Functions.SPG(CI377, "SP_COUNTRY_NAME")</f>
        <v>#INVALID COMPANY ID</v>
      </c>
      <c r="CM377" t="s">
        <v>2063</v>
      </c>
      <c r="CN377">
        <v>4118161</v>
      </c>
      <c r="CO377" t="s">
        <v>346</v>
      </c>
      <c r="CP377" s="11">
        <v>0</v>
      </c>
      <c r="CQ377" s="9" t="str">
        <f>_xll.SNL.Clients.Office.Excel.Functions.SPG(CN377, "SP_COUNTRY_NAME")</f>
        <v>USA</v>
      </c>
      <c r="CV377" s="9" t="str">
        <f>_xll.SNL.Clients.Office.Excel.Functions.SPG(CS377, "SP_COUNTRY_NAME")</f>
        <v>#INVALID COMPANY ID</v>
      </c>
      <c r="DA377" s="9" t="str">
        <f>_xll.SNL.Clients.Office.Excel.Functions.SPG(CX377, "SP_COUNTRY_NAME")</f>
        <v>#INVALID COMPANY ID</v>
      </c>
      <c r="DB377" t="s">
        <v>1510</v>
      </c>
      <c r="DC377" t="s">
        <v>300</v>
      </c>
      <c r="DD377" t="s">
        <v>361</v>
      </c>
      <c r="DE377" s="11">
        <v>0</v>
      </c>
      <c r="DF377" s="9" t="str">
        <f>_xll.SNL.Clients.Office.Excel.Functions.SPG(DC377, "SP_COUNTRY_NAME")</f>
        <v>China</v>
      </c>
      <c r="DK377" s="9" t="str">
        <f>_xll.SNL.Clients.Office.Excel.Functions.SPG(DH377, "SP_COUNTRY_NAME")</f>
        <v>#INVALID COMPANY ID</v>
      </c>
      <c r="DL377" t="s">
        <v>1510</v>
      </c>
      <c r="DM377" t="s">
        <v>300</v>
      </c>
      <c r="DN377" t="s">
        <v>361</v>
      </c>
      <c r="DO377" s="11">
        <v>0</v>
      </c>
      <c r="DP377" s="9" t="str">
        <f>_xll.SNL.Clients.Office.Excel.Functions.SPG(DM377, "SP_COUNTRY_NAME")</f>
        <v>China</v>
      </c>
      <c r="DU377" s="9" t="str">
        <f>_xll.SNL.Clients.Office.Excel.Functions.SPG(DR377, "SP_COUNTRY_NAME")</f>
        <v>#INVALID COMPANY ID</v>
      </c>
      <c r="DZ377" s="9" t="str">
        <f>_xll.SNL.Clients.Office.Excel.Functions.SPG(DW377, "SP_COUNTRY_NAME")</f>
        <v>#INVALID COMPANY ID</v>
      </c>
      <c r="EA377" t="s">
        <v>1809</v>
      </c>
      <c r="EB377">
        <v>12764260</v>
      </c>
      <c r="EC377" t="s">
        <v>346</v>
      </c>
      <c r="ED377" s="11">
        <v>0</v>
      </c>
      <c r="EE377" s="9" t="str">
        <f>_xll.SNL.Clients.Office.Excel.Functions.SPG(EB377, "SP_COUNTRY_NAME")</f>
        <v>USA</v>
      </c>
      <c r="EF377" t="s">
        <v>1510</v>
      </c>
      <c r="EG377" t="s">
        <v>300</v>
      </c>
      <c r="EH377" t="s">
        <v>361</v>
      </c>
      <c r="EI377" s="11">
        <v>0</v>
      </c>
      <c r="EJ377" s="9" t="str">
        <f>_xll.SNL.Clients.Office.Excel.Functions.SPG(EG377, "SP_COUNTRY_NAME")</f>
        <v>China</v>
      </c>
      <c r="EO377" s="9" t="str">
        <f>_xll.SNL.Clients.Office.Excel.Functions.SPG(EL377, "SP_COUNTRY_NAME")</f>
        <v>#INVALID COMPANY ID</v>
      </c>
      <c r="ET377" s="9" t="str">
        <f>_xll.SNL.Clients.Office.Excel.Functions.SPG(EQ377, "SP_COUNTRY_NAME")</f>
        <v>#INVALID COMPANY ID</v>
      </c>
      <c r="EY377" s="9" t="str">
        <f>_xll.SNL.Clients.Office.Excel.Functions.SPG(EV377, "SP_COUNTRY_NAME")</f>
        <v>#INVALID COMPANY ID</v>
      </c>
      <c r="FD377" s="9" t="str">
        <f>_xll.SNL.Clients.Office.Excel.Functions.SPG(FA377, "SP_COUNTRY_NAME")</f>
        <v>#INVALID COMPANY ID</v>
      </c>
      <c r="FI377" s="9" t="str">
        <f>_xll.SNL.Clients.Office.Excel.Functions.SPG(FF377, "SP_COUNTRY_NAME")</f>
        <v>#INVALID COMPANY ID</v>
      </c>
      <c r="FN377" s="9" t="str">
        <f>_xll.SNL.Clients.Office.Excel.Functions.SPG(FK377, "SP_COUNTRY_NAME")</f>
        <v>#INVALID COMPANY ID</v>
      </c>
      <c r="FS377" s="9" t="str">
        <f>_xll.SNL.Clients.Office.Excel.Functions.SPG(FP377, "SP_COUNTRY_NAME")</f>
        <v>#INVALID COMPANY ID</v>
      </c>
      <c r="FX377" s="9" t="str">
        <f>_xll.SNL.Clients.Office.Excel.Functions.SPG(FU377, "SP_COUNTRY_NAME")</f>
        <v>#INVALID COMPANY ID</v>
      </c>
      <c r="FY377" t="s">
        <v>1510</v>
      </c>
      <c r="FZ377" t="s">
        <v>300</v>
      </c>
      <c r="GA377" t="s">
        <v>361</v>
      </c>
      <c r="GB377" s="11">
        <v>0</v>
      </c>
      <c r="GC377" s="9" t="str">
        <f>_xll.SNL.Clients.Office.Excel.Functions.SPG(FZ377, "SP_COUNTRY_NAME")</f>
        <v>China</v>
      </c>
      <c r="GH377" s="9" t="str">
        <f>_xll.SNL.Clients.Office.Excel.Functions.SPG(GE377, "SP_COUNTRY_NAME")</f>
        <v>#INVALID COMPANY ID</v>
      </c>
      <c r="GM377" s="9" t="str">
        <f>_xll.SNL.Clients.Office.Excel.Functions.SPG(GJ377, "SP_COUNTRY_NAME")</f>
        <v>#INVALID COMPANY ID</v>
      </c>
      <c r="GR377" s="9" t="str">
        <f>_xll.SNL.Clients.Office.Excel.Functions.SPG(GO377, "SP_COUNTRY_NAME")</f>
        <v>#INVALID COMPANY ID</v>
      </c>
      <c r="GW377" s="9" t="str">
        <f>_xll.SNL.Clients.Office.Excel.Functions.SPG(GT377, "SP_COUNTRY_NAME")</f>
        <v>#INVALID COMPANY ID</v>
      </c>
      <c r="GX377" t="s">
        <v>1809</v>
      </c>
      <c r="GY377">
        <v>12764260</v>
      </c>
      <c r="GZ377" t="s">
        <v>346</v>
      </c>
      <c r="HA377" s="11">
        <v>0</v>
      </c>
      <c r="HB377" s="9" t="str">
        <f>_xll.SNL.Clients.Office.Excel.Functions.SPG(GY377, "SP_COUNTRY_NAME")</f>
        <v>USA</v>
      </c>
      <c r="HG377" s="9" t="str">
        <f>_xll.SNL.Clients.Office.Excel.Functions.SPG(HD377, "SP_COUNTRY_NAME")</f>
        <v>#INVALID COMPANY ID</v>
      </c>
    </row>
    <row r="378" spans="5:215" x14ac:dyDescent="0.35">
      <c r="E378" s="9" t="str">
        <f>_xll.SNL.Clients.Office.Excel.Functions.SPG(B378, "SP_COUNTRY_NAME")</f>
        <v>#INVALID COMPANY ID</v>
      </c>
      <c r="J378" s="9" t="str">
        <f>_xll.SNL.Clients.Office.Excel.Functions.SPG(G378, "SP_COUNTRY_NAME")</f>
        <v>#INVALID COMPANY ID</v>
      </c>
      <c r="O378" s="9" t="str">
        <f>_xll.SNL.Clients.Office.Excel.Functions.SPG(L378, "SP_COUNTRY_NAME")</f>
        <v>#INVALID COMPANY ID</v>
      </c>
      <c r="T378" s="9" t="str">
        <f>_xll.SNL.Clients.Office.Excel.Functions.SPG(Q378, "SP_COUNTRY_NAME")</f>
        <v>#INVALID COMPANY ID</v>
      </c>
      <c r="U378" t="s">
        <v>912</v>
      </c>
      <c r="V378">
        <v>4937020</v>
      </c>
      <c r="W378" t="s">
        <v>346</v>
      </c>
      <c r="X378" s="11">
        <v>0</v>
      </c>
      <c r="Y378" s="9" t="str">
        <f>_xll.SNL.Clients.Office.Excel.Functions.SPG(V378, "SP_COUNTRY_NAME")</f>
        <v>China</v>
      </c>
      <c r="AD378" s="9" t="str">
        <f>_xll.SNL.Clients.Office.Excel.Functions.SPG(AA378, "SP_COUNTRY_NAME")</f>
        <v>#INVALID COMPANY ID</v>
      </c>
      <c r="AI378" s="9" t="str">
        <f>_xll.SNL.Clients.Office.Excel.Functions.SPG(AF378, "SP_COUNTRY_NAME")</f>
        <v>#INVALID COMPANY ID</v>
      </c>
      <c r="AN378" s="9" t="str">
        <f>_xll.SNL.Clients.Office.Excel.Functions.SPG(AK378, "SP_COUNTRY_NAME")</f>
        <v>#INVALID COMPANY ID</v>
      </c>
      <c r="AS378" s="9" t="str">
        <f>_xll.SNL.Clients.Office.Excel.Functions.SPG(AP378, "SP_COUNTRY_NAME")</f>
        <v>#INVALID COMPANY ID</v>
      </c>
      <c r="AX378" s="9" t="str">
        <f>_xll.SNL.Clients.Office.Excel.Functions.SPG(AU378, "SP_COUNTRY_NAME")</f>
        <v>#INVALID COMPANY ID</v>
      </c>
      <c r="BC378" s="9" t="str">
        <f>_xll.SNL.Clients.Office.Excel.Functions.SPG(AZ378, "SP_COUNTRY_NAME")</f>
        <v>#INVALID COMPANY ID</v>
      </c>
      <c r="BD378" t="s">
        <v>529</v>
      </c>
      <c r="BE378">
        <v>110570</v>
      </c>
      <c r="BF378" t="s">
        <v>346</v>
      </c>
      <c r="BG378" s="11">
        <v>0</v>
      </c>
      <c r="BH378" s="9" t="str">
        <f>_xll.SNL.Clients.Office.Excel.Functions.SPG(BE378, "SP_COUNTRY_NAME")</f>
        <v>USA</v>
      </c>
      <c r="BM378" s="9" t="str">
        <f>_xll.SNL.Clients.Office.Excel.Functions.SPG(BJ378, "SP_COUNTRY_NAME")</f>
        <v>#INVALID COMPANY ID</v>
      </c>
      <c r="BR378" s="9" t="str">
        <f>_xll.SNL.Clients.Office.Excel.Functions.SPG(BO378, "SP_COUNTRY_NAME")</f>
        <v>#INVALID COMPANY ID</v>
      </c>
      <c r="BS378" t="s">
        <v>688</v>
      </c>
      <c r="BT378">
        <v>14821347</v>
      </c>
      <c r="BU378" t="s">
        <v>346</v>
      </c>
      <c r="BV378" s="11">
        <v>0</v>
      </c>
      <c r="BW378" s="9" t="str">
        <f>_xll.SNL.Clients.Office.Excel.Functions.SPG(BT378, "SP_COUNTRY_NAME")</f>
        <v>Singapore</v>
      </c>
      <c r="BX378" t="s">
        <v>912</v>
      </c>
      <c r="BY378">
        <v>4937020</v>
      </c>
      <c r="BZ378" t="s">
        <v>346</v>
      </c>
      <c r="CA378" s="11">
        <v>0</v>
      </c>
      <c r="CB378" s="9" t="str">
        <f>_xll.SNL.Clients.Office.Excel.Functions.SPG(BY378, "SP_COUNTRY_NAME")</f>
        <v>China</v>
      </c>
      <c r="CC378" t="s">
        <v>1810</v>
      </c>
      <c r="CD378">
        <v>28791761</v>
      </c>
      <c r="CE378" t="s">
        <v>364</v>
      </c>
      <c r="CF378" s="11">
        <v>0</v>
      </c>
      <c r="CG378" s="9" t="str">
        <f>_xll.SNL.Clients.Office.Excel.Functions.SPG(CD378, "SP_COUNTRY_NAME")</f>
        <v>Singapore</v>
      </c>
      <c r="CL378" s="9" t="str">
        <f>_xll.SNL.Clients.Office.Excel.Functions.SPG(CI378, "SP_COUNTRY_NAME")</f>
        <v>#INVALID COMPANY ID</v>
      </c>
      <c r="CM378" t="s">
        <v>618</v>
      </c>
      <c r="CN378">
        <v>100406</v>
      </c>
      <c r="CO378" t="s">
        <v>366</v>
      </c>
      <c r="CP378" s="11">
        <v>0</v>
      </c>
      <c r="CQ378" s="9" t="str">
        <f>_xll.SNL.Clients.Office.Excel.Functions.SPG(CN378, "SP_COUNTRY_NAME")</f>
        <v>USA</v>
      </c>
      <c r="CV378" s="9" t="str">
        <f>_xll.SNL.Clients.Office.Excel.Functions.SPG(CS378, "SP_COUNTRY_NAME")</f>
        <v>#INVALID COMPANY ID</v>
      </c>
      <c r="DA378" s="9" t="str">
        <f>_xll.SNL.Clients.Office.Excel.Functions.SPG(CX378, "SP_COUNTRY_NAME")</f>
        <v>#INVALID COMPANY ID</v>
      </c>
      <c r="DB378" t="s">
        <v>529</v>
      </c>
      <c r="DC378">
        <v>110570</v>
      </c>
      <c r="DD378" t="s">
        <v>346</v>
      </c>
      <c r="DE378" s="11">
        <v>0</v>
      </c>
      <c r="DF378" s="9" t="str">
        <f>_xll.SNL.Clients.Office.Excel.Functions.SPG(DC378, "SP_COUNTRY_NAME")</f>
        <v>USA</v>
      </c>
      <c r="DK378" s="9" t="str">
        <f>_xll.SNL.Clients.Office.Excel.Functions.SPG(DH378, "SP_COUNTRY_NAME")</f>
        <v>#INVALID COMPANY ID</v>
      </c>
      <c r="DL378" t="s">
        <v>529</v>
      </c>
      <c r="DM378">
        <v>110570</v>
      </c>
      <c r="DN378" t="s">
        <v>346</v>
      </c>
      <c r="DO378" s="11">
        <v>0</v>
      </c>
      <c r="DP378" s="9" t="str">
        <f>_xll.SNL.Clients.Office.Excel.Functions.SPG(DM378, "SP_COUNTRY_NAME")</f>
        <v>USA</v>
      </c>
      <c r="DU378" s="9" t="str">
        <f>_xll.SNL.Clients.Office.Excel.Functions.SPG(DR378, "SP_COUNTRY_NAME")</f>
        <v>#INVALID COMPANY ID</v>
      </c>
      <c r="DZ378" s="9" t="str">
        <f>_xll.SNL.Clients.Office.Excel.Functions.SPG(DW378, "SP_COUNTRY_NAME")</f>
        <v>#INVALID COMPANY ID</v>
      </c>
      <c r="EA378" t="s">
        <v>1810</v>
      </c>
      <c r="EB378">
        <v>28791761</v>
      </c>
      <c r="EC378" t="s">
        <v>364</v>
      </c>
      <c r="ED378" s="11">
        <v>0</v>
      </c>
      <c r="EE378" s="9" t="str">
        <f>_xll.SNL.Clients.Office.Excel.Functions.SPG(EB378, "SP_COUNTRY_NAME")</f>
        <v>Singapore</v>
      </c>
      <c r="EF378" t="s">
        <v>529</v>
      </c>
      <c r="EG378">
        <v>110570</v>
      </c>
      <c r="EH378" t="s">
        <v>346</v>
      </c>
      <c r="EI378" s="11">
        <v>0</v>
      </c>
      <c r="EJ378" s="9" t="str">
        <f>_xll.SNL.Clients.Office.Excel.Functions.SPG(EG378, "SP_COUNTRY_NAME")</f>
        <v>USA</v>
      </c>
      <c r="EO378" s="9" t="str">
        <f>_xll.SNL.Clients.Office.Excel.Functions.SPG(EL378, "SP_COUNTRY_NAME")</f>
        <v>#INVALID COMPANY ID</v>
      </c>
      <c r="ET378" s="9" t="str">
        <f>_xll.SNL.Clients.Office.Excel.Functions.SPG(EQ378, "SP_COUNTRY_NAME")</f>
        <v>#INVALID COMPANY ID</v>
      </c>
      <c r="EY378" s="9" t="str">
        <f>_xll.SNL.Clients.Office.Excel.Functions.SPG(EV378, "SP_COUNTRY_NAME")</f>
        <v>#INVALID COMPANY ID</v>
      </c>
      <c r="FD378" s="9" t="str">
        <f>_xll.SNL.Clients.Office.Excel.Functions.SPG(FA378, "SP_COUNTRY_NAME")</f>
        <v>#INVALID COMPANY ID</v>
      </c>
      <c r="FI378" s="9" t="str">
        <f>_xll.SNL.Clients.Office.Excel.Functions.SPG(FF378, "SP_COUNTRY_NAME")</f>
        <v>#INVALID COMPANY ID</v>
      </c>
      <c r="FN378" s="9" t="str">
        <f>_xll.SNL.Clients.Office.Excel.Functions.SPG(FK378, "SP_COUNTRY_NAME")</f>
        <v>#INVALID COMPANY ID</v>
      </c>
      <c r="FS378" s="9" t="str">
        <f>_xll.SNL.Clients.Office.Excel.Functions.SPG(FP378, "SP_COUNTRY_NAME")</f>
        <v>#INVALID COMPANY ID</v>
      </c>
      <c r="FX378" s="9" t="str">
        <f>_xll.SNL.Clients.Office.Excel.Functions.SPG(FU378, "SP_COUNTRY_NAME")</f>
        <v>#INVALID COMPANY ID</v>
      </c>
      <c r="FY378" t="s">
        <v>529</v>
      </c>
      <c r="FZ378">
        <v>110570</v>
      </c>
      <c r="GA378" t="s">
        <v>346</v>
      </c>
      <c r="GB378" s="11">
        <v>0</v>
      </c>
      <c r="GC378" s="9" t="str">
        <f>_xll.SNL.Clients.Office.Excel.Functions.SPG(FZ378, "SP_COUNTRY_NAME")</f>
        <v>USA</v>
      </c>
      <c r="GH378" s="9" t="str">
        <f>_xll.SNL.Clients.Office.Excel.Functions.SPG(GE378, "SP_COUNTRY_NAME")</f>
        <v>#INVALID COMPANY ID</v>
      </c>
      <c r="GM378" s="9" t="str">
        <f>_xll.SNL.Clients.Office.Excel.Functions.SPG(GJ378, "SP_COUNTRY_NAME")</f>
        <v>#INVALID COMPANY ID</v>
      </c>
      <c r="GR378" s="9" t="str">
        <f>_xll.SNL.Clients.Office.Excel.Functions.SPG(GO378, "SP_COUNTRY_NAME")</f>
        <v>#INVALID COMPANY ID</v>
      </c>
      <c r="GW378" s="9" t="str">
        <f>_xll.SNL.Clients.Office.Excel.Functions.SPG(GT378, "SP_COUNTRY_NAME")</f>
        <v>#INVALID COMPANY ID</v>
      </c>
      <c r="GX378" t="s">
        <v>1810</v>
      </c>
      <c r="GY378">
        <v>28791761</v>
      </c>
      <c r="GZ378" t="s">
        <v>364</v>
      </c>
      <c r="HA378" s="11">
        <v>0</v>
      </c>
      <c r="HB378" s="9" t="str">
        <f>_xll.SNL.Clients.Office.Excel.Functions.SPG(GY378, "SP_COUNTRY_NAME")</f>
        <v>Singapore</v>
      </c>
      <c r="HG378" s="9" t="str">
        <f>_xll.SNL.Clients.Office.Excel.Functions.SPG(HD378, "SP_COUNTRY_NAME")</f>
        <v>#INVALID COMPANY ID</v>
      </c>
    </row>
    <row r="379" spans="5:215" x14ac:dyDescent="0.35">
      <c r="E379" s="9" t="str">
        <f>_xll.SNL.Clients.Office.Excel.Functions.SPG(B379, "SP_COUNTRY_NAME")</f>
        <v>#INVALID COMPANY ID</v>
      </c>
      <c r="J379" s="9" t="str">
        <f>_xll.SNL.Clients.Office.Excel.Functions.SPG(G379, "SP_COUNTRY_NAME")</f>
        <v>#INVALID COMPANY ID</v>
      </c>
      <c r="O379" s="9" t="str">
        <f>_xll.SNL.Clients.Office.Excel.Functions.SPG(L379, "SP_COUNTRY_NAME")</f>
        <v>#INVALID COMPANY ID</v>
      </c>
      <c r="T379" s="9" t="str">
        <f>_xll.SNL.Clients.Office.Excel.Functions.SPG(Q379, "SP_COUNTRY_NAME")</f>
        <v>#INVALID COMPANY ID</v>
      </c>
      <c r="U379" t="s">
        <v>913</v>
      </c>
      <c r="V379">
        <v>26632854</v>
      </c>
      <c r="W379" t="s">
        <v>346</v>
      </c>
      <c r="X379" s="11">
        <v>0</v>
      </c>
      <c r="Y379" s="9" t="str">
        <f>_xll.SNL.Clients.Office.Excel.Functions.SPG(V379, "SP_COUNTRY_NAME")</f>
        <v>USA</v>
      </c>
      <c r="AD379" s="9" t="str">
        <f>_xll.SNL.Clients.Office.Excel.Functions.SPG(AA379, "SP_COUNTRY_NAME")</f>
        <v>#INVALID COMPANY ID</v>
      </c>
      <c r="AI379" s="9" t="str">
        <f>_xll.SNL.Clients.Office.Excel.Functions.SPG(AF379, "SP_COUNTRY_NAME")</f>
        <v>#INVALID COMPANY ID</v>
      </c>
      <c r="AN379" s="9" t="str">
        <f>_xll.SNL.Clients.Office.Excel.Functions.SPG(AK379, "SP_COUNTRY_NAME")</f>
        <v>#INVALID COMPANY ID</v>
      </c>
      <c r="AS379" s="9" t="str">
        <f>_xll.SNL.Clients.Office.Excel.Functions.SPG(AP379, "SP_COUNTRY_NAME")</f>
        <v>#INVALID COMPANY ID</v>
      </c>
      <c r="AX379" s="9" t="str">
        <f>_xll.SNL.Clients.Office.Excel.Functions.SPG(AU379, "SP_COUNTRY_NAME")</f>
        <v>#INVALID COMPANY ID</v>
      </c>
      <c r="BC379" s="9" t="str">
        <f>_xll.SNL.Clients.Office.Excel.Functions.SPG(AZ379, "SP_COUNTRY_NAME")</f>
        <v>#INVALID COMPANY ID</v>
      </c>
      <c r="BD379" t="s">
        <v>589</v>
      </c>
      <c r="BE379">
        <v>4140617</v>
      </c>
      <c r="BF379" t="s">
        <v>346</v>
      </c>
      <c r="BG379" s="11">
        <v>0</v>
      </c>
      <c r="BH379" s="9" t="str">
        <f>_xll.SNL.Clients.Office.Excel.Functions.SPG(BE379, "SP_COUNTRY_NAME")</f>
        <v>Switzerland</v>
      </c>
      <c r="BM379" s="9" t="str">
        <f>_xll.SNL.Clients.Office.Excel.Functions.SPG(BJ379, "SP_COUNTRY_NAME")</f>
        <v>#INVALID COMPANY ID</v>
      </c>
      <c r="BR379" s="9" t="str">
        <f>_xll.SNL.Clients.Office.Excel.Functions.SPG(BO379, "SP_COUNTRY_NAME")</f>
        <v>#INVALID COMPANY ID</v>
      </c>
      <c r="BS379" t="s">
        <v>1047</v>
      </c>
      <c r="BT379" t="s">
        <v>300</v>
      </c>
      <c r="BU379" t="s">
        <v>361</v>
      </c>
      <c r="BV379" s="11">
        <v>0</v>
      </c>
      <c r="BW379" s="9" t="str">
        <f>_xll.SNL.Clients.Office.Excel.Functions.SPG(BT379, "SP_COUNTRY_NAME")</f>
        <v>China</v>
      </c>
      <c r="BX379" t="s">
        <v>913</v>
      </c>
      <c r="BY379">
        <v>26632854</v>
      </c>
      <c r="BZ379" t="s">
        <v>346</v>
      </c>
      <c r="CA379" s="11">
        <v>0</v>
      </c>
      <c r="CB379" s="9" t="str">
        <f>_xll.SNL.Clients.Office.Excel.Functions.SPG(BY379, "SP_COUNTRY_NAME")</f>
        <v>USA</v>
      </c>
      <c r="CC379" t="s">
        <v>1811</v>
      </c>
      <c r="CD379">
        <v>8473138</v>
      </c>
      <c r="CE379" t="s">
        <v>346</v>
      </c>
      <c r="CF379" s="11">
        <v>0</v>
      </c>
      <c r="CG379" s="9" t="str">
        <f>_xll.SNL.Clients.Office.Excel.Functions.SPG(CD379, "SP_COUNTRY_NAME")</f>
        <v>Brazil</v>
      </c>
      <c r="CL379" s="9" t="str">
        <f>_xll.SNL.Clients.Office.Excel.Functions.SPG(CI379, "SP_COUNTRY_NAME")</f>
        <v>#INVALID COMPANY ID</v>
      </c>
      <c r="CM379" t="s">
        <v>1899</v>
      </c>
      <c r="CN379">
        <v>19067849</v>
      </c>
      <c r="CO379" t="s">
        <v>276</v>
      </c>
      <c r="CP379" s="11">
        <v>0</v>
      </c>
      <c r="CQ379" s="9" t="str">
        <f>_xll.SNL.Clients.Office.Excel.Functions.SPG(CN379, "SP_COUNTRY_NAME")</f>
        <v>USA</v>
      </c>
      <c r="CV379" s="9" t="str">
        <f>_xll.SNL.Clients.Office.Excel.Functions.SPG(CS379, "SP_COUNTRY_NAME")</f>
        <v>#INVALID COMPANY ID</v>
      </c>
      <c r="DA379" s="9" t="str">
        <f>_xll.SNL.Clients.Office.Excel.Functions.SPG(CX379, "SP_COUNTRY_NAME")</f>
        <v>#INVALID COMPANY ID</v>
      </c>
      <c r="DB379" t="s">
        <v>589</v>
      </c>
      <c r="DC379">
        <v>4140617</v>
      </c>
      <c r="DD379" t="s">
        <v>346</v>
      </c>
      <c r="DE379" s="11">
        <v>0</v>
      </c>
      <c r="DF379" s="9" t="str">
        <f>_xll.SNL.Clients.Office.Excel.Functions.SPG(DC379, "SP_COUNTRY_NAME")</f>
        <v>Switzerland</v>
      </c>
      <c r="DK379" s="9" t="str">
        <f>_xll.SNL.Clients.Office.Excel.Functions.SPG(DH379, "SP_COUNTRY_NAME")</f>
        <v>#INVALID COMPANY ID</v>
      </c>
      <c r="DL379" t="s">
        <v>589</v>
      </c>
      <c r="DM379">
        <v>4140617</v>
      </c>
      <c r="DN379" t="s">
        <v>346</v>
      </c>
      <c r="DO379" s="11">
        <v>0</v>
      </c>
      <c r="DP379" s="9" t="str">
        <f>_xll.SNL.Clients.Office.Excel.Functions.SPG(DM379, "SP_COUNTRY_NAME")</f>
        <v>Switzerland</v>
      </c>
      <c r="DU379" s="9" t="str">
        <f>_xll.SNL.Clients.Office.Excel.Functions.SPG(DR379, "SP_COUNTRY_NAME")</f>
        <v>#INVALID COMPANY ID</v>
      </c>
      <c r="DZ379" s="9" t="str">
        <f>_xll.SNL.Clients.Office.Excel.Functions.SPG(DW379, "SP_COUNTRY_NAME")</f>
        <v>#INVALID COMPANY ID</v>
      </c>
      <c r="EA379" t="s">
        <v>1811</v>
      </c>
      <c r="EB379">
        <v>8473138</v>
      </c>
      <c r="EC379" t="s">
        <v>346</v>
      </c>
      <c r="ED379" s="11">
        <v>0</v>
      </c>
      <c r="EE379" s="9" t="str">
        <f>_xll.SNL.Clients.Office.Excel.Functions.SPG(EB379, "SP_COUNTRY_NAME")</f>
        <v>Brazil</v>
      </c>
      <c r="EF379" t="s">
        <v>589</v>
      </c>
      <c r="EG379">
        <v>4140617</v>
      </c>
      <c r="EH379" t="s">
        <v>346</v>
      </c>
      <c r="EI379" s="11">
        <v>0</v>
      </c>
      <c r="EJ379" s="9" t="str">
        <f>_xll.SNL.Clients.Office.Excel.Functions.SPG(EG379, "SP_COUNTRY_NAME")</f>
        <v>Switzerland</v>
      </c>
      <c r="EO379" s="9" t="str">
        <f>_xll.SNL.Clients.Office.Excel.Functions.SPG(EL379, "SP_COUNTRY_NAME")</f>
        <v>#INVALID COMPANY ID</v>
      </c>
      <c r="ET379" s="9" t="str">
        <f>_xll.SNL.Clients.Office.Excel.Functions.SPG(EQ379, "SP_COUNTRY_NAME")</f>
        <v>#INVALID COMPANY ID</v>
      </c>
      <c r="EY379" s="9" t="str">
        <f>_xll.SNL.Clients.Office.Excel.Functions.SPG(EV379, "SP_COUNTRY_NAME")</f>
        <v>#INVALID COMPANY ID</v>
      </c>
      <c r="FD379" s="9" t="str">
        <f>_xll.SNL.Clients.Office.Excel.Functions.SPG(FA379, "SP_COUNTRY_NAME")</f>
        <v>#INVALID COMPANY ID</v>
      </c>
      <c r="FI379" s="9" t="str">
        <f>_xll.SNL.Clients.Office.Excel.Functions.SPG(FF379, "SP_COUNTRY_NAME")</f>
        <v>#INVALID COMPANY ID</v>
      </c>
      <c r="FN379" s="9" t="str">
        <f>_xll.SNL.Clients.Office.Excel.Functions.SPG(FK379, "SP_COUNTRY_NAME")</f>
        <v>#INVALID COMPANY ID</v>
      </c>
      <c r="FS379" s="9" t="str">
        <f>_xll.SNL.Clients.Office.Excel.Functions.SPG(FP379, "SP_COUNTRY_NAME")</f>
        <v>#INVALID COMPANY ID</v>
      </c>
      <c r="FX379" s="9" t="str">
        <f>_xll.SNL.Clients.Office.Excel.Functions.SPG(FU379, "SP_COUNTRY_NAME")</f>
        <v>#INVALID COMPANY ID</v>
      </c>
      <c r="FY379" t="s">
        <v>589</v>
      </c>
      <c r="FZ379">
        <v>4140617</v>
      </c>
      <c r="GA379" t="s">
        <v>346</v>
      </c>
      <c r="GB379" s="11">
        <v>0</v>
      </c>
      <c r="GC379" s="9" t="str">
        <f>_xll.SNL.Clients.Office.Excel.Functions.SPG(FZ379, "SP_COUNTRY_NAME")</f>
        <v>Switzerland</v>
      </c>
      <c r="GH379" s="9" t="str">
        <f>_xll.SNL.Clients.Office.Excel.Functions.SPG(GE379, "SP_COUNTRY_NAME")</f>
        <v>#INVALID COMPANY ID</v>
      </c>
      <c r="GM379" s="9" t="str">
        <f>_xll.SNL.Clients.Office.Excel.Functions.SPG(GJ379, "SP_COUNTRY_NAME")</f>
        <v>#INVALID COMPANY ID</v>
      </c>
      <c r="GR379" s="9" t="str">
        <f>_xll.SNL.Clients.Office.Excel.Functions.SPG(GO379, "SP_COUNTRY_NAME")</f>
        <v>#INVALID COMPANY ID</v>
      </c>
      <c r="GW379" s="9" t="str">
        <f>_xll.SNL.Clients.Office.Excel.Functions.SPG(GT379, "SP_COUNTRY_NAME")</f>
        <v>#INVALID COMPANY ID</v>
      </c>
      <c r="GX379" t="s">
        <v>1811</v>
      </c>
      <c r="GY379">
        <v>8473138</v>
      </c>
      <c r="GZ379" t="s">
        <v>346</v>
      </c>
      <c r="HA379" s="11">
        <v>0</v>
      </c>
      <c r="HB379" s="9" t="str">
        <f>_xll.SNL.Clients.Office.Excel.Functions.SPG(GY379, "SP_COUNTRY_NAME")</f>
        <v>Brazil</v>
      </c>
      <c r="HG379" s="9" t="str">
        <f>_xll.SNL.Clients.Office.Excel.Functions.SPG(HD379, "SP_COUNTRY_NAME")</f>
        <v>#INVALID COMPANY ID</v>
      </c>
    </row>
    <row r="380" spans="5:215" x14ac:dyDescent="0.35">
      <c r="E380" s="9" t="str">
        <f>_xll.SNL.Clients.Office.Excel.Functions.SPG(B380, "SP_COUNTRY_NAME")</f>
        <v>#INVALID COMPANY ID</v>
      </c>
      <c r="J380" s="9" t="str">
        <f>_xll.SNL.Clients.Office.Excel.Functions.SPG(G380, "SP_COUNTRY_NAME")</f>
        <v>#INVALID COMPANY ID</v>
      </c>
      <c r="O380" s="9" t="str">
        <f>_xll.SNL.Clients.Office.Excel.Functions.SPG(L380, "SP_COUNTRY_NAME")</f>
        <v>#INVALID COMPANY ID</v>
      </c>
      <c r="T380" s="9" t="str">
        <f>_xll.SNL.Clients.Office.Excel.Functions.SPG(Q380, "SP_COUNTRY_NAME")</f>
        <v>#INVALID COMPANY ID</v>
      </c>
      <c r="U380" t="s">
        <v>914</v>
      </c>
      <c r="V380">
        <v>4772536</v>
      </c>
      <c r="W380" t="s">
        <v>346</v>
      </c>
      <c r="X380" s="11">
        <v>0</v>
      </c>
      <c r="Y380" s="9" t="str">
        <f>_xll.SNL.Clients.Office.Excel.Functions.SPG(V380, "SP_COUNTRY_NAME")</f>
        <v>China</v>
      </c>
      <c r="AD380" s="9" t="str">
        <f>_xll.SNL.Clients.Office.Excel.Functions.SPG(AA380, "SP_COUNTRY_NAME")</f>
        <v>#INVALID COMPANY ID</v>
      </c>
      <c r="AI380" s="9" t="str">
        <f>_xll.SNL.Clients.Office.Excel.Functions.SPG(AF380, "SP_COUNTRY_NAME")</f>
        <v>#INVALID COMPANY ID</v>
      </c>
      <c r="AN380" s="9" t="str">
        <f>_xll.SNL.Clients.Office.Excel.Functions.SPG(AK380, "SP_COUNTRY_NAME")</f>
        <v>#INVALID COMPANY ID</v>
      </c>
      <c r="AS380" s="9" t="str">
        <f>_xll.SNL.Clients.Office.Excel.Functions.SPG(AP380, "SP_COUNTRY_NAME")</f>
        <v>#INVALID COMPANY ID</v>
      </c>
      <c r="AX380" s="9" t="str">
        <f>_xll.SNL.Clients.Office.Excel.Functions.SPG(AU380, "SP_COUNTRY_NAME")</f>
        <v>#INVALID COMPANY ID</v>
      </c>
      <c r="BC380" s="9" t="str">
        <f>_xll.SNL.Clients.Office.Excel.Functions.SPG(AZ380, "SP_COUNTRY_NAME")</f>
        <v>#INVALID COMPANY ID</v>
      </c>
      <c r="BD380" t="s">
        <v>1217</v>
      </c>
      <c r="BE380">
        <v>7800204</v>
      </c>
      <c r="BF380" t="s">
        <v>364</v>
      </c>
      <c r="BG380" s="11">
        <v>0</v>
      </c>
      <c r="BH380" s="9" t="str">
        <f>_xll.SNL.Clients.Office.Excel.Functions.SPG(BE380, "SP_COUNTRY_NAME")</f>
        <v>South Africa</v>
      </c>
      <c r="BM380" s="9" t="str">
        <f>_xll.SNL.Clients.Office.Excel.Functions.SPG(BJ380, "SP_COUNTRY_NAME")</f>
        <v>#INVALID COMPANY ID</v>
      </c>
      <c r="BR380" s="9" t="str">
        <f>_xll.SNL.Clients.Office.Excel.Functions.SPG(BO380, "SP_COUNTRY_NAME")</f>
        <v>#INVALID COMPANY ID</v>
      </c>
      <c r="BS380" t="s">
        <v>675</v>
      </c>
      <c r="BT380">
        <v>4548312</v>
      </c>
      <c r="BU380" t="s">
        <v>346</v>
      </c>
      <c r="BV380" s="11">
        <v>0</v>
      </c>
      <c r="BW380" s="9" t="str">
        <f>_xll.SNL.Clients.Office.Excel.Functions.SPG(BT380, "SP_COUNTRY_NAME")</f>
        <v>China</v>
      </c>
      <c r="BX380" t="s">
        <v>914</v>
      </c>
      <c r="BY380">
        <v>4772536</v>
      </c>
      <c r="BZ380" t="s">
        <v>346</v>
      </c>
      <c r="CA380" s="11">
        <v>0</v>
      </c>
      <c r="CB380" s="9" t="str">
        <f>_xll.SNL.Clients.Office.Excel.Functions.SPG(BY380, "SP_COUNTRY_NAME")</f>
        <v>China</v>
      </c>
      <c r="CC380" t="s">
        <v>1812</v>
      </c>
      <c r="CD380" t="s">
        <v>300</v>
      </c>
      <c r="CE380" t="s">
        <v>361</v>
      </c>
      <c r="CF380" s="11">
        <v>0</v>
      </c>
      <c r="CG380" s="9" t="str">
        <f>_xll.SNL.Clients.Office.Excel.Functions.SPG(CD380, "SP_COUNTRY_NAME")</f>
        <v>China</v>
      </c>
      <c r="CL380" s="9" t="str">
        <f>_xll.SNL.Clients.Office.Excel.Functions.SPG(CI380, "SP_COUNTRY_NAME")</f>
        <v>#INVALID COMPANY ID</v>
      </c>
      <c r="CM380" t="s">
        <v>2064</v>
      </c>
      <c r="CN380">
        <v>109853274</v>
      </c>
      <c r="CO380" t="s">
        <v>346</v>
      </c>
      <c r="CP380" s="11">
        <v>0</v>
      </c>
      <c r="CQ380" s="9" t="str">
        <f>_xll.SNL.Clients.Office.Excel.Functions.SPG(CN380, "SP_COUNTRY_NAME")</f>
        <v>USA</v>
      </c>
      <c r="CV380" s="9" t="str">
        <f>_xll.SNL.Clients.Office.Excel.Functions.SPG(CS380, "SP_COUNTRY_NAME")</f>
        <v>#INVALID COMPANY ID</v>
      </c>
      <c r="DA380" s="9" t="str">
        <f>_xll.SNL.Clients.Office.Excel.Functions.SPG(CX380, "SP_COUNTRY_NAME")</f>
        <v>#INVALID COMPANY ID</v>
      </c>
      <c r="DB380" t="s">
        <v>1217</v>
      </c>
      <c r="DC380">
        <v>7800204</v>
      </c>
      <c r="DD380" t="s">
        <v>364</v>
      </c>
      <c r="DE380" s="11">
        <v>0</v>
      </c>
      <c r="DF380" s="9" t="str">
        <f>_xll.SNL.Clients.Office.Excel.Functions.SPG(DC380, "SP_COUNTRY_NAME")</f>
        <v>South Africa</v>
      </c>
      <c r="DK380" s="9" t="str">
        <f>_xll.SNL.Clients.Office.Excel.Functions.SPG(DH380, "SP_COUNTRY_NAME")</f>
        <v>#INVALID COMPANY ID</v>
      </c>
      <c r="DL380" t="s">
        <v>1217</v>
      </c>
      <c r="DM380">
        <v>7800204</v>
      </c>
      <c r="DN380" t="s">
        <v>364</v>
      </c>
      <c r="DO380" s="11">
        <v>0</v>
      </c>
      <c r="DP380" s="9" t="str">
        <f>_xll.SNL.Clients.Office.Excel.Functions.SPG(DM380, "SP_COUNTRY_NAME")</f>
        <v>South Africa</v>
      </c>
      <c r="DU380" s="9" t="str">
        <f>_xll.SNL.Clients.Office.Excel.Functions.SPG(DR380, "SP_COUNTRY_NAME")</f>
        <v>#INVALID COMPANY ID</v>
      </c>
      <c r="DZ380" s="9" t="str">
        <f>_xll.SNL.Clients.Office.Excel.Functions.SPG(DW380, "SP_COUNTRY_NAME")</f>
        <v>#INVALID COMPANY ID</v>
      </c>
      <c r="EA380" t="s">
        <v>1812</v>
      </c>
      <c r="EB380" t="s">
        <v>300</v>
      </c>
      <c r="EC380" t="s">
        <v>361</v>
      </c>
      <c r="ED380" s="11">
        <v>0</v>
      </c>
      <c r="EE380" s="9" t="str">
        <f>_xll.SNL.Clients.Office.Excel.Functions.SPG(EB380, "SP_COUNTRY_NAME")</f>
        <v>China</v>
      </c>
      <c r="EF380" t="s">
        <v>1217</v>
      </c>
      <c r="EG380">
        <v>7800204</v>
      </c>
      <c r="EH380" t="s">
        <v>364</v>
      </c>
      <c r="EI380" s="11">
        <v>0</v>
      </c>
      <c r="EJ380" s="9" t="str">
        <f>_xll.SNL.Clients.Office.Excel.Functions.SPG(EG380, "SP_COUNTRY_NAME")</f>
        <v>South Africa</v>
      </c>
      <c r="EO380" s="9" t="str">
        <f>_xll.SNL.Clients.Office.Excel.Functions.SPG(EL380, "SP_COUNTRY_NAME")</f>
        <v>#INVALID COMPANY ID</v>
      </c>
      <c r="ET380" s="9" t="str">
        <f>_xll.SNL.Clients.Office.Excel.Functions.SPG(EQ380, "SP_COUNTRY_NAME")</f>
        <v>#INVALID COMPANY ID</v>
      </c>
      <c r="EY380" s="9" t="str">
        <f>_xll.SNL.Clients.Office.Excel.Functions.SPG(EV380, "SP_COUNTRY_NAME")</f>
        <v>#INVALID COMPANY ID</v>
      </c>
      <c r="FD380" s="9" t="str">
        <f>_xll.SNL.Clients.Office.Excel.Functions.SPG(FA380, "SP_COUNTRY_NAME")</f>
        <v>#INVALID COMPANY ID</v>
      </c>
      <c r="FI380" s="9" t="str">
        <f>_xll.SNL.Clients.Office.Excel.Functions.SPG(FF380, "SP_COUNTRY_NAME")</f>
        <v>#INVALID COMPANY ID</v>
      </c>
      <c r="FN380" s="9" t="str">
        <f>_xll.SNL.Clients.Office.Excel.Functions.SPG(FK380, "SP_COUNTRY_NAME")</f>
        <v>#INVALID COMPANY ID</v>
      </c>
      <c r="FS380" s="9" t="str">
        <f>_xll.SNL.Clients.Office.Excel.Functions.SPG(FP380, "SP_COUNTRY_NAME")</f>
        <v>#INVALID COMPANY ID</v>
      </c>
      <c r="FX380" s="9" t="str">
        <f>_xll.SNL.Clients.Office.Excel.Functions.SPG(FU380, "SP_COUNTRY_NAME")</f>
        <v>#INVALID COMPANY ID</v>
      </c>
      <c r="FY380" t="s">
        <v>1217</v>
      </c>
      <c r="FZ380">
        <v>7800204</v>
      </c>
      <c r="GA380" t="s">
        <v>364</v>
      </c>
      <c r="GB380" s="11">
        <v>0</v>
      </c>
      <c r="GC380" s="9" t="str">
        <f>_xll.SNL.Clients.Office.Excel.Functions.SPG(FZ380, "SP_COUNTRY_NAME")</f>
        <v>South Africa</v>
      </c>
      <c r="GH380" s="9" t="str">
        <f>_xll.SNL.Clients.Office.Excel.Functions.SPG(GE380, "SP_COUNTRY_NAME")</f>
        <v>#INVALID COMPANY ID</v>
      </c>
      <c r="GM380" s="9" t="str">
        <f>_xll.SNL.Clients.Office.Excel.Functions.SPG(GJ380, "SP_COUNTRY_NAME")</f>
        <v>#INVALID COMPANY ID</v>
      </c>
      <c r="GR380" s="9" t="str">
        <f>_xll.SNL.Clients.Office.Excel.Functions.SPG(GO380, "SP_COUNTRY_NAME")</f>
        <v>#INVALID COMPANY ID</v>
      </c>
      <c r="GW380" s="9" t="str">
        <f>_xll.SNL.Clients.Office.Excel.Functions.SPG(GT380, "SP_COUNTRY_NAME")</f>
        <v>#INVALID COMPANY ID</v>
      </c>
      <c r="GX380" t="s">
        <v>1812</v>
      </c>
      <c r="GY380" t="s">
        <v>300</v>
      </c>
      <c r="GZ380" t="s">
        <v>361</v>
      </c>
      <c r="HA380" s="11">
        <v>0</v>
      </c>
      <c r="HB380" s="9" t="str">
        <f>_xll.SNL.Clients.Office.Excel.Functions.SPG(GY380, "SP_COUNTRY_NAME")</f>
        <v>China</v>
      </c>
      <c r="HG380" s="9" t="str">
        <f>_xll.SNL.Clients.Office.Excel.Functions.SPG(HD380, "SP_COUNTRY_NAME")</f>
        <v>#INVALID COMPANY ID</v>
      </c>
    </row>
    <row r="381" spans="5:215" x14ac:dyDescent="0.35">
      <c r="E381" s="9" t="str">
        <f>_xll.SNL.Clients.Office.Excel.Functions.SPG(B381, "SP_COUNTRY_NAME")</f>
        <v>#INVALID COMPANY ID</v>
      </c>
      <c r="J381" s="9" t="str">
        <f>_xll.SNL.Clients.Office.Excel.Functions.SPG(G381, "SP_COUNTRY_NAME")</f>
        <v>#INVALID COMPANY ID</v>
      </c>
      <c r="O381" s="9" t="str">
        <f>_xll.SNL.Clients.Office.Excel.Functions.SPG(L381, "SP_COUNTRY_NAME")</f>
        <v>#INVALID COMPANY ID</v>
      </c>
      <c r="T381" s="9" t="str">
        <f>_xll.SNL.Clients.Office.Excel.Functions.SPG(Q381, "SP_COUNTRY_NAME")</f>
        <v>#INVALID COMPANY ID</v>
      </c>
      <c r="U381" t="s">
        <v>599</v>
      </c>
      <c r="V381">
        <v>19350037</v>
      </c>
      <c r="W381" t="s">
        <v>346</v>
      </c>
      <c r="X381" s="11">
        <v>0</v>
      </c>
      <c r="Y381" s="9" t="str">
        <f>_xll.SNL.Clients.Office.Excel.Functions.SPG(V381, "SP_COUNTRY_NAME")</f>
        <v>United Kingdom</v>
      </c>
      <c r="AD381" s="9" t="str">
        <f>_xll.SNL.Clients.Office.Excel.Functions.SPG(AA381, "SP_COUNTRY_NAME")</f>
        <v>#INVALID COMPANY ID</v>
      </c>
      <c r="AI381" s="9" t="str">
        <f>_xll.SNL.Clients.Office.Excel.Functions.SPG(AF381, "SP_COUNTRY_NAME")</f>
        <v>#INVALID COMPANY ID</v>
      </c>
      <c r="AN381" s="9" t="str">
        <f>_xll.SNL.Clients.Office.Excel.Functions.SPG(AK381, "SP_COUNTRY_NAME")</f>
        <v>#INVALID COMPANY ID</v>
      </c>
      <c r="AS381" s="9" t="str">
        <f>_xll.SNL.Clients.Office.Excel.Functions.SPG(AP381, "SP_COUNTRY_NAME")</f>
        <v>#INVALID COMPANY ID</v>
      </c>
      <c r="AX381" s="9" t="str">
        <f>_xll.SNL.Clients.Office.Excel.Functions.SPG(AU381, "SP_COUNTRY_NAME")</f>
        <v>#INVALID COMPANY ID</v>
      </c>
      <c r="BC381" s="9" t="str">
        <f>_xll.SNL.Clients.Office.Excel.Functions.SPG(AZ381, "SP_COUNTRY_NAME")</f>
        <v>#INVALID COMPANY ID</v>
      </c>
      <c r="BD381" t="s">
        <v>1511</v>
      </c>
      <c r="BE381">
        <v>4209916</v>
      </c>
      <c r="BF381" t="s">
        <v>346</v>
      </c>
      <c r="BG381" s="11">
        <v>0</v>
      </c>
      <c r="BH381" s="9" t="str">
        <f>_xll.SNL.Clients.Office.Excel.Functions.SPG(BE381, "SP_COUNTRY_NAME")</f>
        <v>Germany</v>
      </c>
      <c r="BM381" s="9" t="str">
        <f>_xll.SNL.Clients.Office.Excel.Functions.SPG(BJ381, "SP_COUNTRY_NAME")</f>
        <v>#INVALID COMPANY ID</v>
      </c>
      <c r="BR381" s="9" t="str">
        <f>_xll.SNL.Clients.Office.Excel.Functions.SPG(BO381, "SP_COUNTRY_NAME")</f>
        <v>#INVALID COMPANY ID</v>
      </c>
      <c r="BS381" t="s">
        <v>796</v>
      </c>
      <c r="BT381">
        <v>19312355</v>
      </c>
      <c r="BU381" t="s">
        <v>346</v>
      </c>
      <c r="BV381" s="11">
        <v>0</v>
      </c>
      <c r="BW381" s="9" t="str">
        <f>_xll.SNL.Clients.Office.Excel.Functions.SPG(BT381, "SP_COUNTRY_NAME")</f>
        <v>China</v>
      </c>
      <c r="BX381" t="s">
        <v>599</v>
      </c>
      <c r="BY381">
        <v>19350037</v>
      </c>
      <c r="BZ381" t="s">
        <v>346</v>
      </c>
      <c r="CA381" s="11">
        <v>0</v>
      </c>
      <c r="CB381" s="9" t="str">
        <f>_xll.SNL.Clients.Office.Excel.Functions.SPG(BY381, "SP_COUNTRY_NAME")</f>
        <v>United Kingdom</v>
      </c>
      <c r="CC381" t="s">
        <v>1813</v>
      </c>
      <c r="CD381">
        <v>5799985</v>
      </c>
      <c r="CE381" t="s">
        <v>346</v>
      </c>
      <c r="CF381" s="11">
        <v>0</v>
      </c>
      <c r="CG381" s="9" t="str">
        <f>_xll.SNL.Clients.Office.Excel.Functions.SPG(CD381, "SP_COUNTRY_NAME")</f>
        <v>India</v>
      </c>
      <c r="CL381" s="9" t="str">
        <f>_xll.SNL.Clients.Office.Excel.Functions.SPG(CI381, "SP_COUNTRY_NAME")</f>
        <v>#INVALID COMPANY ID</v>
      </c>
      <c r="CM381" t="s">
        <v>2065</v>
      </c>
      <c r="CN381">
        <v>101542827</v>
      </c>
      <c r="CO381" t="s">
        <v>346</v>
      </c>
      <c r="CP381" s="11">
        <v>0</v>
      </c>
      <c r="CQ381" s="9" t="str">
        <f>_xll.SNL.Clients.Office.Excel.Functions.SPG(CN381, "SP_COUNTRY_NAME")</f>
        <v>USA</v>
      </c>
      <c r="CV381" s="9" t="str">
        <f>_xll.SNL.Clients.Office.Excel.Functions.SPG(CS381, "SP_COUNTRY_NAME")</f>
        <v>#INVALID COMPANY ID</v>
      </c>
      <c r="DA381" s="9" t="str">
        <f>_xll.SNL.Clients.Office.Excel.Functions.SPG(CX381, "SP_COUNTRY_NAME")</f>
        <v>#INVALID COMPANY ID</v>
      </c>
      <c r="DB381" t="s">
        <v>1511</v>
      </c>
      <c r="DC381">
        <v>4209916</v>
      </c>
      <c r="DD381" t="s">
        <v>346</v>
      </c>
      <c r="DE381" s="11">
        <v>0</v>
      </c>
      <c r="DF381" s="9" t="str">
        <f>_xll.SNL.Clients.Office.Excel.Functions.SPG(DC381, "SP_COUNTRY_NAME")</f>
        <v>Germany</v>
      </c>
      <c r="DK381" s="9" t="str">
        <f>_xll.SNL.Clients.Office.Excel.Functions.SPG(DH381, "SP_COUNTRY_NAME")</f>
        <v>#INVALID COMPANY ID</v>
      </c>
      <c r="DL381" t="s">
        <v>1511</v>
      </c>
      <c r="DM381">
        <v>4209916</v>
      </c>
      <c r="DN381" t="s">
        <v>346</v>
      </c>
      <c r="DO381" s="11">
        <v>0</v>
      </c>
      <c r="DP381" s="9" t="str">
        <f>_xll.SNL.Clients.Office.Excel.Functions.SPG(DM381, "SP_COUNTRY_NAME")</f>
        <v>Germany</v>
      </c>
      <c r="DU381" s="9" t="str">
        <f>_xll.SNL.Clients.Office.Excel.Functions.SPG(DR381, "SP_COUNTRY_NAME")</f>
        <v>#INVALID COMPANY ID</v>
      </c>
      <c r="DZ381" s="9" t="str">
        <f>_xll.SNL.Clients.Office.Excel.Functions.SPG(DW381, "SP_COUNTRY_NAME")</f>
        <v>#INVALID COMPANY ID</v>
      </c>
      <c r="EA381" t="s">
        <v>1813</v>
      </c>
      <c r="EB381">
        <v>5799985</v>
      </c>
      <c r="EC381" t="s">
        <v>346</v>
      </c>
      <c r="ED381" s="11">
        <v>0</v>
      </c>
      <c r="EE381" s="9" t="str">
        <f>_xll.SNL.Clients.Office.Excel.Functions.SPG(EB381, "SP_COUNTRY_NAME")</f>
        <v>India</v>
      </c>
      <c r="EF381" t="s">
        <v>1511</v>
      </c>
      <c r="EG381">
        <v>4209916</v>
      </c>
      <c r="EH381" t="s">
        <v>346</v>
      </c>
      <c r="EI381" s="11">
        <v>0</v>
      </c>
      <c r="EJ381" s="9" t="str">
        <f>_xll.SNL.Clients.Office.Excel.Functions.SPG(EG381, "SP_COUNTRY_NAME")</f>
        <v>Germany</v>
      </c>
      <c r="EO381" s="9" t="str">
        <f>_xll.SNL.Clients.Office.Excel.Functions.SPG(EL381, "SP_COUNTRY_NAME")</f>
        <v>#INVALID COMPANY ID</v>
      </c>
      <c r="ET381" s="9" t="str">
        <f>_xll.SNL.Clients.Office.Excel.Functions.SPG(EQ381, "SP_COUNTRY_NAME")</f>
        <v>#INVALID COMPANY ID</v>
      </c>
      <c r="EY381" s="9" t="str">
        <f>_xll.SNL.Clients.Office.Excel.Functions.SPG(EV381, "SP_COUNTRY_NAME")</f>
        <v>#INVALID COMPANY ID</v>
      </c>
      <c r="FD381" s="9" t="str">
        <f>_xll.SNL.Clients.Office.Excel.Functions.SPG(FA381, "SP_COUNTRY_NAME")</f>
        <v>#INVALID COMPANY ID</v>
      </c>
      <c r="FI381" s="9" t="str">
        <f>_xll.SNL.Clients.Office.Excel.Functions.SPG(FF381, "SP_COUNTRY_NAME")</f>
        <v>#INVALID COMPANY ID</v>
      </c>
      <c r="FN381" s="9" t="str">
        <f>_xll.SNL.Clients.Office.Excel.Functions.SPG(FK381, "SP_COUNTRY_NAME")</f>
        <v>#INVALID COMPANY ID</v>
      </c>
      <c r="FS381" s="9" t="str">
        <f>_xll.SNL.Clients.Office.Excel.Functions.SPG(FP381, "SP_COUNTRY_NAME")</f>
        <v>#INVALID COMPANY ID</v>
      </c>
      <c r="FX381" s="9" t="str">
        <f>_xll.SNL.Clients.Office.Excel.Functions.SPG(FU381, "SP_COUNTRY_NAME")</f>
        <v>#INVALID COMPANY ID</v>
      </c>
      <c r="FY381" t="s">
        <v>1511</v>
      </c>
      <c r="FZ381">
        <v>4209916</v>
      </c>
      <c r="GA381" t="s">
        <v>346</v>
      </c>
      <c r="GB381" s="11">
        <v>0</v>
      </c>
      <c r="GC381" s="9" t="str">
        <f>_xll.SNL.Clients.Office.Excel.Functions.SPG(FZ381, "SP_COUNTRY_NAME")</f>
        <v>Germany</v>
      </c>
      <c r="GH381" s="9" t="str">
        <f>_xll.SNL.Clients.Office.Excel.Functions.SPG(GE381, "SP_COUNTRY_NAME")</f>
        <v>#INVALID COMPANY ID</v>
      </c>
      <c r="GM381" s="9" t="str">
        <f>_xll.SNL.Clients.Office.Excel.Functions.SPG(GJ381, "SP_COUNTRY_NAME")</f>
        <v>#INVALID COMPANY ID</v>
      </c>
      <c r="GR381" s="9" t="str">
        <f>_xll.SNL.Clients.Office.Excel.Functions.SPG(GO381, "SP_COUNTRY_NAME")</f>
        <v>#INVALID COMPANY ID</v>
      </c>
      <c r="GW381" s="9" t="str">
        <f>_xll.SNL.Clients.Office.Excel.Functions.SPG(GT381, "SP_COUNTRY_NAME")</f>
        <v>#INVALID COMPANY ID</v>
      </c>
      <c r="GX381" t="s">
        <v>1813</v>
      </c>
      <c r="GY381">
        <v>5799985</v>
      </c>
      <c r="GZ381" t="s">
        <v>346</v>
      </c>
      <c r="HA381" s="11">
        <v>0</v>
      </c>
      <c r="HB381" s="9" t="str">
        <f>_xll.SNL.Clients.Office.Excel.Functions.SPG(GY381, "SP_COUNTRY_NAME")</f>
        <v>India</v>
      </c>
      <c r="HG381" s="9" t="str">
        <f>_xll.SNL.Clients.Office.Excel.Functions.SPG(HD381, "SP_COUNTRY_NAME")</f>
        <v>#INVALID COMPANY ID</v>
      </c>
    </row>
    <row r="382" spans="5:215" x14ac:dyDescent="0.35">
      <c r="E382" s="9" t="str">
        <f>_xll.SNL.Clients.Office.Excel.Functions.SPG(B382, "SP_COUNTRY_NAME")</f>
        <v>#INVALID COMPANY ID</v>
      </c>
      <c r="J382" s="9" t="str">
        <f>_xll.SNL.Clients.Office.Excel.Functions.SPG(G382, "SP_COUNTRY_NAME")</f>
        <v>#INVALID COMPANY ID</v>
      </c>
      <c r="O382" s="9" t="str">
        <f>_xll.SNL.Clients.Office.Excel.Functions.SPG(L382, "SP_COUNTRY_NAME")</f>
        <v>#INVALID COMPANY ID</v>
      </c>
      <c r="T382" s="9" t="str">
        <f>_xll.SNL.Clients.Office.Excel.Functions.SPG(Q382, "SP_COUNTRY_NAME")</f>
        <v>#INVALID COMPANY ID</v>
      </c>
      <c r="U382" t="s">
        <v>915</v>
      </c>
      <c r="V382">
        <v>4824802</v>
      </c>
      <c r="W382" t="s">
        <v>346</v>
      </c>
      <c r="X382" s="11">
        <v>0</v>
      </c>
      <c r="Y382" s="9" t="str">
        <f>_xll.SNL.Clients.Office.Excel.Functions.SPG(V382, "SP_COUNTRY_NAME")</f>
        <v>China</v>
      </c>
      <c r="AD382" s="9" t="str">
        <f>_xll.SNL.Clients.Office.Excel.Functions.SPG(AA382, "SP_COUNTRY_NAME")</f>
        <v>#INVALID COMPANY ID</v>
      </c>
      <c r="AI382" s="9" t="str">
        <f>_xll.SNL.Clients.Office.Excel.Functions.SPG(AF382, "SP_COUNTRY_NAME")</f>
        <v>#INVALID COMPANY ID</v>
      </c>
      <c r="AN382" s="9" t="str">
        <f>_xll.SNL.Clients.Office.Excel.Functions.SPG(AK382, "SP_COUNTRY_NAME")</f>
        <v>#INVALID COMPANY ID</v>
      </c>
      <c r="AS382" s="9" t="str">
        <f>_xll.SNL.Clients.Office.Excel.Functions.SPG(AP382, "SP_COUNTRY_NAME")</f>
        <v>#INVALID COMPANY ID</v>
      </c>
      <c r="AX382" s="9" t="str">
        <f>_xll.SNL.Clients.Office.Excel.Functions.SPG(AU382, "SP_COUNTRY_NAME")</f>
        <v>#INVALID COMPANY ID</v>
      </c>
      <c r="BC382" s="9" t="str">
        <f>_xll.SNL.Clients.Office.Excel.Functions.SPG(AZ382, "SP_COUNTRY_NAME")</f>
        <v>#INVALID COMPANY ID</v>
      </c>
      <c r="BD382" t="s">
        <v>1365</v>
      </c>
      <c r="BE382">
        <v>4581414</v>
      </c>
      <c r="BF382" t="s">
        <v>346</v>
      </c>
      <c r="BG382" s="11">
        <v>0</v>
      </c>
      <c r="BH382" s="9" t="str">
        <f>_xll.SNL.Clients.Office.Excel.Functions.SPG(BE382, "SP_COUNTRY_NAME")</f>
        <v>South Africa</v>
      </c>
      <c r="BM382" s="9" t="str">
        <f>_xll.SNL.Clients.Office.Excel.Functions.SPG(BJ382, "SP_COUNTRY_NAME")</f>
        <v>#INVALID COMPANY ID</v>
      </c>
      <c r="BR382" s="9" t="str">
        <f>_xll.SNL.Clients.Office.Excel.Functions.SPG(BO382, "SP_COUNTRY_NAME")</f>
        <v>#INVALID COMPANY ID</v>
      </c>
      <c r="BS382" t="s">
        <v>1048</v>
      </c>
      <c r="BT382" t="s">
        <v>300</v>
      </c>
      <c r="BU382" t="s">
        <v>361</v>
      </c>
      <c r="BV382" s="11">
        <v>0</v>
      </c>
      <c r="BW382" s="9" t="str">
        <f>_xll.SNL.Clients.Office.Excel.Functions.SPG(BT382, "SP_COUNTRY_NAME")</f>
        <v>China</v>
      </c>
      <c r="BX382" t="s">
        <v>915</v>
      </c>
      <c r="BY382">
        <v>4824802</v>
      </c>
      <c r="BZ382" t="s">
        <v>346</v>
      </c>
      <c r="CA382" s="11">
        <v>0</v>
      </c>
      <c r="CB382" s="9" t="str">
        <f>_xll.SNL.Clients.Office.Excel.Functions.SPG(BY382, "SP_COUNTRY_NAME")</f>
        <v>China</v>
      </c>
      <c r="CC382" t="s">
        <v>533</v>
      </c>
      <c r="CD382">
        <v>4377155</v>
      </c>
      <c r="CE382" t="s">
        <v>346</v>
      </c>
      <c r="CF382" s="11">
        <v>0</v>
      </c>
      <c r="CG382" s="9" t="str">
        <f>_xll.SNL.Clients.Office.Excel.Functions.SPG(CD382, "SP_COUNTRY_NAME")</f>
        <v>Belgium</v>
      </c>
      <c r="CL382" s="9" t="str">
        <f>_xll.SNL.Clients.Office.Excel.Functions.SPG(CI382, "SP_COUNTRY_NAME")</f>
        <v>#INVALID COMPANY ID</v>
      </c>
      <c r="CM382" t="s">
        <v>2066</v>
      </c>
      <c r="CN382">
        <v>4116056</v>
      </c>
      <c r="CO382" t="s">
        <v>346</v>
      </c>
      <c r="CP382" s="11">
        <v>0</v>
      </c>
      <c r="CQ382" s="9" t="str">
        <f>_xll.SNL.Clients.Office.Excel.Functions.SPG(CN382, "SP_COUNTRY_NAME")</f>
        <v>USA</v>
      </c>
      <c r="CV382" s="9" t="str">
        <f>_xll.SNL.Clients.Office.Excel.Functions.SPG(CS382, "SP_COUNTRY_NAME")</f>
        <v>#INVALID COMPANY ID</v>
      </c>
      <c r="DA382" s="9" t="str">
        <f>_xll.SNL.Clients.Office.Excel.Functions.SPG(CX382, "SP_COUNTRY_NAME")</f>
        <v>#INVALID COMPANY ID</v>
      </c>
      <c r="DB382" t="s">
        <v>1365</v>
      </c>
      <c r="DC382">
        <v>4581414</v>
      </c>
      <c r="DD382" t="s">
        <v>346</v>
      </c>
      <c r="DE382" s="11">
        <v>0</v>
      </c>
      <c r="DF382" s="9" t="str">
        <f>_xll.SNL.Clients.Office.Excel.Functions.SPG(DC382, "SP_COUNTRY_NAME")</f>
        <v>South Africa</v>
      </c>
      <c r="DK382" s="9" t="str">
        <f>_xll.SNL.Clients.Office.Excel.Functions.SPG(DH382, "SP_COUNTRY_NAME")</f>
        <v>#INVALID COMPANY ID</v>
      </c>
      <c r="DL382" t="s">
        <v>1365</v>
      </c>
      <c r="DM382">
        <v>4581414</v>
      </c>
      <c r="DN382" t="s">
        <v>346</v>
      </c>
      <c r="DO382" s="11">
        <v>0</v>
      </c>
      <c r="DP382" s="9" t="str">
        <f>_xll.SNL.Clients.Office.Excel.Functions.SPG(DM382, "SP_COUNTRY_NAME")</f>
        <v>South Africa</v>
      </c>
      <c r="DU382" s="9" t="str">
        <f>_xll.SNL.Clients.Office.Excel.Functions.SPG(DR382, "SP_COUNTRY_NAME")</f>
        <v>#INVALID COMPANY ID</v>
      </c>
      <c r="DZ382" s="9" t="str">
        <f>_xll.SNL.Clients.Office.Excel.Functions.SPG(DW382, "SP_COUNTRY_NAME")</f>
        <v>#INVALID COMPANY ID</v>
      </c>
      <c r="EA382" t="s">
        <v>533</v>
      </c>
      <c r="EB382">
        <v>4377155</v>
      </c>
      <c r="EC382" t="s">
        <v>346</v>
      </c>
      <c r="ED382" s="11">
        <v>0</v>
      </c>
      <c r="EE382" s="9" t="str">
        <f>_xll.SNL.Clients.Office.Excel.Functions.SPG(EB382, "SP_COUNTRY_NAME")</f>
        <v>Belgium</v>
      </c>
      <c r="EF382" t="s">
        <v>1365</v>
      </c>
      <c r="EG382">
        <v>4581414</v>
      </c>
      <c r="EH382" t="s">
        <v>346</v>
      </c>
      <c r="EI382" s="11">
        <v>0</v>
      </c>
      <c r="EJ382" s="9" t="str">
        <f>_xll.SNL.Clients.Office.Excel.Functions.SPG(EG382, "SP_COUNTRY_NAME")</f>
        <v>South Africa</v>
      </c>
      <c r="EO382" s="9" t="str">
        <f>_xll.SNL.Clients.Office.Excel.Functions.SPG(EL382, "SP_COUNTRY_NAME")</f>
        <v>#INVALID COMPANY ID</v>
      </c>
      <c r="ET382" s="9" t="str">
        <f>_xll.SNL.Clients.Office.Excel.Functions.SPG(EQ382, "SP_COUNTRY_NAME")</f>
        <v>#INVALID COMPANY ID</v>
      </c>
      <c r="EY382" s="9" t="str">
        <f>_xll.SNL.Clients.Office.Excel.Functions.SPG(EV382, "SP_COUNTRY_NAME")</f>
        <v>#INVALID COMPANY ID</v>
      </c>
      <c r="FD382" s="9" t="str">
        <f>_xll.SNL.Clients.Office.Excel.Functions.SPG(FA382, "SP_COUNTRY_NAME")</f>
        <v>#INVALID COMPANY ID</v>
      </c>
      <c r="FI382" s="9" t="str">
        <f>_xll.SNL.Clients.Office.Excel.Functions.SPG(FF382, "SP_COUNTRY_NAME")</f>
        <v>#INVALID COMPANY ID</v>
      </c>
      <c r="FN382" s="9" t="str">
        <f>_xll.SNL.Clients.Office.Excel.Functions.SPG(FK382, "SP_COUNTRY_NAME")</f>
        <v>#INVALID COMPANY ID</v>
      </c>
      <c r="FS382" s="9" t="str">
        <f>_xll.SNL.Clients.Office.Excel.Functions.SPG(FP382, "SP_COUNTRY_NAME")</f>
        <v>#INVALID COMPANY ID</v>
      </c>
      <c r="FX382" s="9" t="str">
        <f>_xll.SNL.Clients.Office.Excel.Functions.SPG(FU382, "SP_COUNTRY_NAME")</f>
        <v>#INVALID COMPANY ID</v>
      </c>
      <c r="FY382" t="s">
        <v>1365</v>
      </c>
      <c r="FZ382">
        <v>4581414</v>
      </c>
      <c r="GA382" t="s">
        <v>346</v>
      </c>
      <c r="GB382" s="11">
        <v>0</v>
      </c>
      <c r="GC382" s="9" t="str">
        <f>_xll.SNL.Clients.Office.Excel.Functions.SPG(FZ382, "SP_COUNTRY_NAME")</f>
        <v>South Africa</v>
      </c>
      <c r="GH382" s="9" t="str">
        <f>_xll.SNL.Clients.Office.Excel.Functions.SPG(GE382, "SP_COUNTRY_NAME")</f>
        <v>#INVALID COMPANY ID</v>
      </c>
      <c r="GM382" s="9" t="str">
        <f>_xll.SNL.Clients.Office.Excel.Functions.SPG(GJ382, "SP_COUNTRY_NAME")</f>
        <v>#INVALID COMPANY ID</v>
      </c>
      <c r="GR382" s="9" t="str">
        <f>_xll.SNL.Clients.Office.Excel.Functions.SPG(GO382, "SP_COUNTRY_NAME")</f>
        <v>#INVALID COMPANY ID</v>
      </c>
      <c r="GW382" s="9" t="str">
        <f>_xll.SNL.Clients.Office.Excel.Functions.SPG(GT382, "SP_COUNTRY_NAME")</f>
        <v>#INVALID COMPANY ID</v>
      </c>
      <c r="GX382" t="s">
        <v>533</v>
      </c>
      <c r="GY382">
        <v>4377155</v>
      </c>
      <c r="GZ382" t="s">
        <v>346</v>
      </c>
      <c r="HA382" s="11">
        <v>0</v>
      </c>
      <c r="HB382" s="9" t="str">
        <f>_xll.SNL.Clients.Office.Excel.Functions.SPG(GY382, "SP_COUNTRY_NAME")</f>
        <v>Belgium</v>
      </c>
      <c r="HG382" s="9" t="str">
        <f>_xll.SNL.Clients.Office.Excel.Functions.SPG(HD382, "SP_COUNTRY_NAME")</f>
        <v>#INVALID COMPANY ID</v>
      </c>
    </row>
    <row r="383" spans="5:215" x14ac:dyDescent="0.35">
      <c r="E383" s="9" t="str">
        <f>_xll.SNL.Clients.Office.Excel.Functions.SPG(B383, "SP_COUNTRY_NAME")</f>
        <v>#INVALID COMPANY ID</v>
      </c>
      <c r="J383" s="9" t="str">
        <f>_xll.SNL.Clients.Office.Excel.Functions.SPG(G383, "SP_COUNTRY_NAME")</f>
        <v>#INVALID COMPANY ID</v>
      </c>
      <c r="O383" s="9" t="str">
        <f>_xll.SNL.Clients.Office.Excel.Functions.SPG(L383, "SP_COUNTRY_NAME")</f>
        <v>#INVALID COMPANY ID</v>
      </c>
      <c r="T383" s="9" t="str">
        <f>_xll.SNL.Clients.Office.Excel.Functions.SPG(Q383, "SP_COUNTRY_NAME")</f>
        <v>#INVALID COMPANY ID</v>
      </c>
      <c r="U383" t="s">
        <v>916</v>
      </c>
      <c r="V383">
        <v>15102304</v>
      </c>
      <c r="W383" t="s">
        <v>346</v>
      </c>
      <c r="X383" s="11">
        <v>0</v>
      </c>
      <c r="Y383" s="9" t="str">
        <f>_xll.SNL.Clients.Office.Excel.Functions.SPG(V383, "SP_COUNTRY_NAME")</f>
        <v>China</v>
      </c>
      <c r="AD383" s="9" t="str">
        <f>_xll.SNL.Clients.Office.Excel.Functions.SPG(AA383, "SP_COUNTRY_NAME")</f>
        <v>#INVALID COMPANY ID</v>
      </c>
      <c r="AI383" s="9" t="str">
        <f>_xll.SNL.Clients.Office.Excel.Functions.SPG(AF383, "SP_COUNTRY_NAME")</f>
        <v>#INVALID COMPANY ID</v>
      </c>
      <c r="AN383" s="9" t="str">
        <f>_xll.SNL.Clients.Office.Excel.Functions.SPG(AK383, "SP_COUNTRY_NAME")</f>
        <v>#INVALID COMPANY ID</v>
      </c>
      <c r="AS383" s="9" t="str">
        <f>_xll.SNL.Clients.Office.Excel.Functions.SPG(AP383, "SP_COUNTRY_NAME")</f>
        <v>#INVALID COMPANY ID</v>
      </c>
      <c r="AX383" s="9" t="str">
        <f>_xll.SNL.Clients.Office.Excel.Functions.SPG(AU383, "SP_COUNTRY_NAME")</f>
        <v>#INVALID COMPANY ID</v>
      </c>
      <c r="BC383" s="9" t="str">
        <f>_xll.SNL.Clients.Office.Excel.Functions.SPG(AZ383, "SP_COUNTRY_NAME")</f>
        <v>#INVALID COMPANY ID</v>
      </c>
      <c r="BD383" t="s">
        <v>1285</v>
      </c>
      <c r="BE383">
        <v>14171602</v>
      </c>
      <c r="BF383" t="s">
        <v>346</v>
      </c>
      <c r="BG383" s="11">
        <v>0</v>
      </c>
      <c r="BH383" s="9" t="str">
        <f>_xll.SNL.Clients.Office.Excel.Functions.SPG(BE383, "SP_COUNTRY_NAME")</f>
        <v>South Africa</v>
      </c>
      <c r="BM383" s="9" t="str">
        <f>_xll.SNL.Clients.Office.Excel.Functions.SPG(BJ383, "SP_COUNTRY_NAME")</f>
        <v>#INVALID COMPANY ID</v>
      </c>
      <c r="BR383" s="9" t="str">
        <f>_xll.SNL.Clients.Office.Excel.Functions.SPG(BO383, "SP_COUNTRY_NAME")</f>
        <v>#INVALID COMPANY ID</v>
      </c>
      <c r="BS383" t="s">
        <v>457</v>
      </c>
      <c r="BT383">
        <v>110399</v>
      </c>
      <c r="BU383" t="s">
        <v>346</v>
      </c>
      <c r="BV383" s="11">
        <v>0</v>
      </c>
      <c r="BW383" s="9" t="str">
        <f>_xll.SNL.Clients.Office.Excel.Functions.SPG(BT383, "SP_COUNTRY_NAME")</f>
        <v>USA</v>
      </c>
      <c r="BX383" t="s">
        <v>916</v>
      </c>
      <c r="BY383">
        <v>15102304</v>
      </c>
      <c r="BZ383" t="s">
        <v>346</v>
      </c>
      <c r="CA383" s="11">
        <v>0</v>
      </c>
      <c r="CB383" s="9" t="str">
        <f>_xll.SNL.Clients.Office.Excel.Functions.SPG(BY383, "SP_COUNTRY_NAME")</f>
        <v>China</v>
      </c>
      <c r="CC383" t="s">
        <v>1814</v>
      </c>
      <c r="CD383">
        <v>4283269</v>
      </c>
      <c r="CE383" t="s">
        <v>346</v>
      </c>
      <c r="CF383" s="11">
        <v>0</v>
      </c>
      <c r="CG383" s="9" t="str">
        <f>_xll.SNL.Clients.Office.Excel.Functions.SPG(CD383, "SP_COUNTRY_NAME")</f>
        <v>Chile</v>
      </c>
      <c r="CL383" s="9" t="str">
        <f>_xll.SNL.Clients.Office.Excel.Functions.SPG(CI383, "SP_COUNTRY_NAME")</f>
        <v>#INVALID COMPANY ID</v>
      </c>
      <c r="CM383" t="s">
        <v>1245</v>
      </c>
      <c r="CN383">
        <v>6729481</v>
      </c>
      <c r="CO383" t="s">
        <v>346</v>
      </c>
      <c r="CP383" s="11">
        <v>0</v>
      </c>
      <c r="CQ383" s="9" t="str">
        <f>_xll.SNL.Clients.Office.Excel.Functions.SPG(CN383, "SP_COUNTRY_NAME")</f>
        <v>Germany</v>
      </c>
      <c r="CV383" s="9" t="str">
        <f>_xll.SNL.Clients.Office.Excel.Functions.SPG(CS383, "SP_COUNTRY_NAME")</f>
        <v>#INVALID COMPANY ID</v>
      </c>
      <c r="DA383" s="9" t="str">
        <f>_xll.SNL.Clients.Office.Excel.Functions.SPG(CX383, "SP_COUNTRY_NAME")</f>
        <v>#INVALID COMPANY ID</v>
      </c>
      <c r="DB383" t="s">
        <v>1285</v>
      </c>
      <c r="DC383">
        <v>14171602</v>
      </c>
      <c r="DD383" t="s">
        <v>346</v>
      </c>
      <c r="DE383" s="11">
        <v>0</v>
      </c>
      <c r="DF383" s="9" t="str">
        <f>_xll.SNL.Clients.Office.Excel.Functions.SPG(DC383, "SP_COUNTRY_NAME")</f>
        <v>South Africa</v>
      </c>
      <c r="DK383" s="9" t="str">
        <f>_xll.SNL.Clients.Office.Excel.Functions.SPG(DH383, "SP_COUNTRY_NAME")</f>
        <v>#INVALID COMPANY ID</v>
      </c>
      <c r="DL383" t="s">
        <v>1285</v>
      </c>
      <c r="DM383">
        <v>14171602</v>
      </c>
      <c r="DN383" t="s">
        <v>346</v>
      </c>
      <c r="DO383" s="11">
        <v>0</v>
      </c>
      <c r="DP383" s="9" t="str">
        <f>_xll.SNL.Clients.Office.Excel.Functions.SPG(DM383, "SP_COUNTRY_NAME")</f>
        <v>South Africa</v>
      </c>
      <c r="DU383" s="9" t="str">
        <f>_xll.SNL.Clients.Office.Excel.Functions.SPG(DR383, "SP_COUNTRY_NAME")</f>
        <v>#INVALID COMPANY ID</v>
      </c>
      <c r="DZ383" s="9" t="str">
        <f>_xll.SNL.Clients.Office.Excel.Functions.SPG(DW383, "SP_COUNTRY_NAME")</f>
        <v>#INVALID COMPANY ID</v>
      </c>
      <c r="EA383" t="s">
        <v>1814</v>
      </c>
      <c r="EB383">
        <v>4283269</v>
      </c>
      <c r="EC383" t="s">
        <v>346</v>
      </c>
      <c r="ED383" s="11">
        <v>0</v>
      </c>
      <c r="EE383" s="9" t="str">
        <f>_xll.SNL.Clients.Office.Excel.Functions.SPG(EB383, "SP_COUNTRY_NAME")</f>
        <v>Chile</v>
      </c>
      <c r="EF383" t="s">
        <v>1285</v>
      </c>
      <c r="EG383">
        <v>14171602</v>
      </c>
      <c r="EH383" t="s">
        <v>346</v>
      </c>
      <c r="EI383" s="11">
        <v>0</v>
      </c>
      <c r="EJ383" s="9" t="str">
        <f>_xll.SNL.Clients.Office.Excel.Functions.SPG(EG383, "SP_COUNTRY_NAME")</f>
        <v>South Africa</v>
      </c>
      <c r="EO383" s="9" t="str">
        <f>_xll.SNL.Clients.Office.Excel.Functions.SPG(EL383, "SP_COUNTRY_NAME")</f>
        <v>#INVALID COMPANY ID</v>
      </c>
      <c r="ET383" s="9" t="str">
        <f>_xll.SNL.Clients.Office.Excel.Functions.SPG(EQ383, "SP_COUNTRY_NAME")</f>
        <v>#INVALID COMPANY ID</v>
      </c>
      <c r="EY383" s="9" t="str">
        <f>_xll.SNL.Clients.Office.Excel.Functions.SPG(EV383, "SP_COUNTRY_NAME")</f>
        <v>#INVALID COMPANY ID</v>
      </c>
      <c r="FD383" s="9" t="str">
        <f>_xll.SNL.Clients.Office.Excel.Functions.SPG(FA383, "SP_COUNTRY_NAME")</f>
        <v>#INVALID COMPANY ID</v>
      </c>
      <c r="FI383" s="9" t="str">
        <f>_xll.SNL.Clients.Office.Excel.Functions.SPG(FF383, "SP_COUNTRY_NAME")</f>
        <v>#INVALID COMPANY ID</v>
      </c>
      <c r="FN383" s="9" t="str">
        <f>_xll.SNL.Clients.Office.Excel.Functions.SPG(FK383, "SP_COUNTRY_NAME")</f>
        <v>#INVALID COMPANY ID</v>
      </c>
      <c r="FS383" s="9" t="str">
        <f>_xll.SNL.Clients.Office.Excel.Functions.SPG(FP383, "SP_COUNTRY_NAME")</f>
        <v>#INVALID COMPANY ID</v>
      </c>
      <c r="FX383" s="9" t="str">
        <f>_xll.SNL.Clients.Office.Excel.Functions.SPG(FU383, "SP_COUNTRY_NAME")</f>
        <v>#INVALID COMPANY ID</v>
      </c>
      <c r="FY383" t="s">
        <v>1285</v>
      </c>
      <c r="FZ383">
        <v>14171602</v>
      </c>
      <c r="GA383" t="s">
        <v>346</v>
      </c>
      <c r="GB383" s="11">
        <v>0</v>
      </c>
      <c r="GC383" s="9" t="str">
        <f>_xll.SNL.Clients.Office.Excel.Functions.SPG(FZ383, "SP_COUNTRY_NAME")</f>
        <v>South Africa</v>
      </c>
      <c r="GH383" s="9" t="str">
        <f>_xll.SNL.Clients.Office.Excel.Functions.SPG(GE383, "SP_COUNTRY_NAME")</f>
        <v>#INVALID COMPANY ID</v>
      </c>
      <c r="GM383" s="9" t="str">
        <f>_xll.SNL.Clients.Office.Excel.Functions.SPG(GJ383, "SP_COUNTRY_NAME")</f>
        <v>#INVALID COMPANY ID</v>
      </c>
      <c r="GR383" s="9" t="str">
        <f>_xll.SNL.Clients.Office.Excel.Functions.SPG(GO383, "SP_COUNTRY_NAME")</f>
        <v>#INVALID COMPANY ID</v>
      </c>
      <c r="GW383" s="9" t="str">
        <f>_xll.SNL.Clients.Office.Excel.Functions.SPG(GT383, "SP_COUNTRY_NAME")</f>
        <v>#INVALID COMPANY ID</v>
      </c>
      <c r="GX383" t="s">
        <v>1814</v>
      </c>
      <c r="GY383">
        <v>4283269</v>
      </c>
      <c r="GZ383" t="s">
        <v>346</v>
      </c>
      <c r="HA383" s="11">
        <v>0</v>
      </c>
      <c r="HB383" s="9" t="str">
        <f>_xll.SNL.Clients.Office.Excel.Functions.SPG(GY383, "SP_COUNTRY_NAME")</f>
        <v>Chile</v>
      </c>
      <c r="HG383" s="9" t="str">
        <f>_xll.SNL.Clients.Office.Excel.Functions.SPG(HD383, "SP_COUNTRY_NAME")</f>
        <v>#INVALID COMPANY ID</v>
      </c>
    </row>
    <row r="384" spans="5:215" x14ac:dyDescent="0.35">
      <c r="E384" s="9" t="str">
        <f>_xll.SNL.Clients.Office.Excel.Functions.SPG(B384, "SP_COUNTRY_NAME")</f>
        <v>#INVALID COMPANY ID</v>
      </c>
      <c r="J384" s="9" t="str">
        <f>_xll.SNL.Clients.Office.Excel.Functions.SPG(G384, "SP_COUNTRY_NAME")</f>
        <v>#INVALID COMPANY ID</v>
      </c>
      <c r="O384" s="9" t="str">
        <f>_xll.SNL.Clients.Office.Excel.Functions.SPG(L384, "SP_COUNTRY_NAME")</f>
        <v>#INVALID COMPANY ID</v>
      </c>
      <c r="T384" s="9" t="str">
        <f>_xll.SNL.Clients.Office.Excel.Functions.SPG(Q384, "SP_COUNTRY_NAME")</f>
        <v>#INVALID COMPANY ID</v>
      </c>
      <c r="U384" t="s">
        <v>519</v>
      </c>
      <c r="V384">
        <v>109968</v>
      </c>
      <c r="W384" t="s">
        <v>346</v>
      </c>
      <c r="X384" s="11">
        <v>0</v>
      </c>
      <c r="Y384" s="9" t="str">
        <f>_xll.SNL.Clients.Office.Excel.Functions.SPG(V384, "SP_COUNTRY_NAME")</f>
        <v>USA</v>
      </c>
      <c r="AD384" s="9" t="str">
        <f>_xll.SNL.Clients.Office.Excel.Functions.SPG(AA384, "SP_COUNTRY_NAME")</f>
        <v>#INVALID COMPANY ID</v>
      </c>
      <c r="AI384" s="9" t="str">
        <f>_xll.SNL.Clients.Office.Excel.Functions.SPG(AF384, "SP_COUNTRY_NAME")</f>
        <v>#INVALID COMPANY ID</v>
      </c>
      <c r="AN384" s="9" t="str">
        <f>_xll.SNL.Clients.Office.Excel.Functions.SPG(AK384, "SP_COUNTRY_NAME")</f>
        <v>#INVALID COMPANY ID</v>
      </c>
      <c r="AS384" s="9" t="str">
        <f>_xll.SNL.Clients.Office.Excel.Functions.SPG(AP384, "SP_COUNTRY_NAME")</f>
        <v>#INVALID COMPANY ID</v>
      </c>
      <c r="AX384" s="9" t="str">
        <f>_xll.SNL.Clients.Office.Excel.Functions.SPG(AU384, "SP_COUNTRY_NAME")</f>
        <v>#INVALID COMPANY ID</v>
      </c>
      <c r="BC384" s="9" t="str">
        <f>_xll.SNL.Clients.Office.Excel.Functions.SPG(AZ384, "SP_COUNTRY_NAME")</f>
        <v>#INVALID COMPANY ID</v>
      </c>
      <c r="BD384" t="s">
        <v>1512</v>
      </c>
      <c r="BE384">
        <v>4139008</v>
      </c>
      <c r="BF384" t="s">
        <v>346</v>
      </c>
      <c r="BG384" s="11">
        <v>0</v>
      </c>
      <c r="BH384" s="9" t="str">
        <f>_xll.SNL.Clients.Office.Excel.Functions.SPG(BE384, "SP_COUNTRY_NAME")</f>
        <v>Spain</v>
      </c>
      <c r="BM384" s="9" t="str">
        <f>_xll.SNL.Clients.Office.Excel.Functions.SPG(BJ384, "SP_COUNTRY_NAME")</f>
        <v>#INVALID COMPANY ID</v>
      </c>
      <c r="BR384" s="9" t="str">
        <f>_xll.SNL.Clients.Office.Excel.Functions.SPG(BO384, "SP_COUNTRY_NAME")</f>
        <v>#INVALID COMPANY ID</v>
      </c>
      <c r="BS384" t="s">
        <v>1049</v>
      </c>
      <c r="BT384">
        <v>5767537</v>
      </c>
      <c r="BU384" t="s">
        <v>365</v>
      </c>
      <c r="BV384" s="11">
        <v>0</v>
      </c>
      <c r="BW384" s="9" t="str">
        <f>_xll.SNL.Clients.Office.Excel.Functions.SPG(BT384, "SP_COUNTRY_NAME")</f>
        <v>Switzerland</v>
      </c>
      <c r="BX384" t="s">
        <v>519</v>
      </c>
      <c r="BY384">
        <v>109968</v>
      </c>
      <c r="BZ384" t="s">
        <v>346</v>
      </c>
      <c r="CA384" s="11">
        <v>0</v>
      </c>
      <c r="CB384" s="9" t="str">
        <f>_xll.SNL.Clients.Office.Excel.Functions.SPG(BY384, "SP_COUNTRY_NAME")</f>
        <v>USA</v>
      </c>
      <c r="CC384" t="s">
        <v>1815</v>
      </c>
      <c r="CD384">
        <v>29441964</v>
      </c>
      <c r="CE384" t="s">
        <v>346</v>
      </c>
      <c r="CF384" s="11">
        <v>0</v>
      </c>
      <c r="CG384" s="9" t="str">
        <f>_xll.SNL.Clients.Office.Excel.Functions.SPG(CD384, "SP_COUNTRY_NAME")</f>
        <v>Brazil</v>
      </c>
      <c r="CL384" s="9" t="str">
        <f>_xll.SNL.Clients.Office.Excel.Functions.SPG(CI384, "SP_COUNTRY_NAME")</f>
        <v>#INVALID COMPANY ID</v>
      </c>
      <c r="CM384" t="s">
        <v>1353</v>
      </c>
      <c r="CN384">
        <v>5867014</v>
      </c>
      <c r="CO384" t="s">
        <v>364</v>
      </c>
      <c r="CP384" s="11">
        <v>0</v>
      </c>
      <c r="CQ384" s="9" t="str">
        <f>_xll.SNL.Clients.Office.Excel.Functions.SPG(CN384, "SP_COUNTRY_NAME")</f>
        <v>South Africa</v>
      </c>
      <c r="CV384" s="9" t="str">
        <f>_xll.SNL.Clients.Office.Excel.Functions.SPG(CS384, "SP_COUNTRY_NAME")</f>
        <v>#INVALID COMPANY ID</v>
      </c>
      <c r="DA384" s="9" t="str">
        <f>_xll.SNL.Clients.Office.Excel.Functions.SPG(CX384, "SP_COUNTRY_NAME")</f>
        <v>#INVALID COMPANY ID</v>
      </c>
      <c r="DB384" t="s">
        <v>1512</v>
      </c>
      <c r="DC384">
        <v>4139008</v>
      </c>
      <c r="DD384" t="s">
        <v>346</v>
      </c>
      <c r="DE384" s="11">
        <v>0</v>
      </c>
      <c r="DF384" s="9" t="str">
        <f>_xll.SNL.Clients.Office.Excel.Functions.SPG(DC384, "SP_COUNTRY_NAME")</f>
        <v>Spain</v>
      </c>
      <c r="DK384" s="9" t="str">
        <f>_xll.SNL.Clients.Office.Excel.Functions.SPG(DH384, "SP_COUNTRY_NAME")</f>
        <v>#INVALID COMPANY ID</v>
      </c>
      <c r="DL384" t="s">
        <v>1512</v>
      </c>
      <c r="DM384">
        <v>4139008</v>
      </c>
      <c r="DN384" t="s">
        <v>346</v>
      </c>
      <c r="DO384" s="11">
        <v>0</v>
      </c>
      <c r="DP384" s="9" t="str">
        <f>_xll.SNL.Clients.Office.Excel.Functions.SPG(DM384, "SP_COUNTRY_NAME")</f>
        <v>Spain</v>
      </c>
      <c r="DU384" s="9" t="str">
        <f>_xll.SNL.Clients.Office.Excel.Functions.SPG(DR384, "SP_COUNTRY_NAME")</f>
        <v>#INVALID COMPANY ID</v>
      </c>
      <c r="DZ384" s="9" t="str">
        <f>_xll.SNL.Clients.Office.Excel.Functions.SPG(DW384, "SP_COUNTRY_NAME")</f>
        <v>#INVALID COMPANY ID</v>
      </c>
      <c r="EA384" t="s">
        <v>1815</v>
      </c>
      <c r="EB384">
        <v>29441964</v>
      </c>
      <c r="EC384" t="s">
        <v>346</v>
      </c>
      <c r="ED384" s="11">
        <v>0</v>
      </c>
      <c r="EE384" s="9" t="str">
        <f>_xll.SNL.Clients.Office.Excel.Functions.SPG(EB384, "SP_COUNTRY_NAME")</f>
        <v>Brazil</v>
      </c>
      <c r="EF384" t="s">
        <v>1512</v>
      </c>
      <c r="EG384">
        <v>4139008</v>
      </c>
      <c r="EH384" t="s">
        <v>346</v>
      </c>
      <c r="EI384" s="11">
        <v>0</v>
      </c>
      <c r="EJ384" s="9" t="str">
        <f>_xll.SNL.Clients.Office.Excel.Functions.SPG(EG384, "SP_COUNTRY_NAME")</f>
        <v>Spain</v>
      </c>
      <c r="EO384" s="9" t="str">
        <f>_xll.SNL.Clients.Office.Excel.Functions.SPG(EL384, "SP_COUNTRY_NAME")</f>
        <v>#INVALID COMPANY ID</v>
      </c>
      <c r="ET384" s="9" t="str">
        <f>_xll.SNL.Clients.Office.Excel.Functions.SPG(EQ384, "SP_COUNTRY_NAME")</f>
        <v>#INVALID COMPANY ID</v>
      </c>
      <c r="EY384" s="9" t="str">
        <f>_xll.SNL.Clients.Office.Excel.Functions.SPG(EV384, "SP_COUNTRY_NAME")</f>
        <v>#INVALID COMPANY ID</v>
      </c>
      <c r="FD384" s="9" t="str">
        <f>_xll.SNL.Clients.Office.Excel.Functions.SPG(FA384, "SP_COUNTRY_NAME")</f>
        <v>#INVALID COMPANY ID</v>
      </c>
      <c r="FI384" s="9" t="str">
        <f>_xll.SNL.Clients.Office.Excel.Functions.SPG(FF384, "SP_COUNTRY_NAME")</f>
        <v>#INVALID COMPANY ID</v>
      </c>
      <c r="FN384" s="9" t="str">
        <f>_xll.SNL.Clients.Office.Excel.Functions.SPG(FK384, "SP_COUNTRY_NAME")</f>
        <v>#INVALID COMPANY ID</v>
      </c>
      <c r="FS384" s="9" t="str">
        <f>_xll.SNL.Clients.Office.Excel.Functions.SPG(FP384, "SP_COUNTRY_NAME")</f>
        <v>#INVALID COMPANY ID</v>
      </c>
      <c r="FX384" s="9" t="str">
        <f>_xll.SNL.Clients.Office.Excel.Functions.SPG(FU384, "SP_COUNTRY_NAME")</f>
        <v>#INVALID COMPANY ID</v>
      </c>
      <c r="FY384" t="s">
        <v>1512</v>
      </c>
      <c r="FZ384">
        <v>4139008</v>
      </c>
      <c r="GA384" t="s">
        <v>346</v>
      </c>
      <c r="GB384" s="11">
        <v>0</v>
      </c>
      <c r="GC384" s="9" t="str">
        <f>_xll.SNL.Clients.Office.Excel.Functions.SPG(FZ384, "SP_COUNTRY_NAME")</f>
        <v>Spain</v>
      </c>
      <c r="GH384" s="9" t="str">
        <f>_xll.SNL.Clients.Office.Excel.Functions.SPG(GE384, "SP_COUNTRY_NAME")</f>
        <v>#INVALID COMPANY ID</v>
      </c>
      <c r="GM384" s="9" t="str">
        <f>_xll.SNL.Clients.Office.Excel.Functions.SPG(GJ384, "SP_COUNTRY_NAME")</f>
        <v>#INVALID COMPANY ID</v>
      </c>
      <c r="GR384" s="9" t="str">
        <f>_xll.SNL.Clients.Office.Excel.Functions.SPG(GO384, "SP_COUNTRY_NAME")</f>
        <v>#INVALID COMPANY ID</v>
      </c>
      <c r="GW384" s="9" t="str">
        <f>_xll.SNL.Clients.Office.Excel.Functions.SPG(GT384, "SP_COUNTRY_NAME")</f>
        <v>#INVALID COMPANY ID</v>
      </c>
      <c r="GX384" t="s">
        <v>1815</v>
      </c>
      <c r="GY384">
        <v>29441964</v>
      </c>
      <c r="GZ384" t="s">
        <v>346</v>
      </c>
      <c r="HA384" s="11">
        <v>0</v>
      </c>
      <c r="HB384" s="9" t="str">
        <f>_xll.SNL.Clients.Office.Excel.Functions.SPG(GY384, "SP_COUNTRY_NAME")</f>
        <v>Brazil</v>
      </c>
      <c r="HG384" s="9" t="str">
        <f>_xll.SNL.Clients.Office.Excel.Functions.SPG(HD384, "SP_COUNTRY_NAME")</f>
        <v>#INVALID COMPANY ID</v>
      </c>
    </row>
    <row r="385" spans="5:215" x14ac:dyDescent="0.35">
      <c r="E385" s="9" t="str">
        <f>_xll.SNL.Clients.Office.Excel.Functions.SPG(B385, "SP_COUNTRY_NAME")</f>
        <v>#INVALID COMPANY ID</v>
      </c>
      <c r="J385" s="9" t="str">
        <f>_xll.SNL.Clients.Office.Excel.Functions.SPG(G385, "SP_COUNTRY_NAME")</f>
        <v>#INVALID COMPANY ID</v>
      </c>
      <c r="O385" s="9" t="str">
        <f>_xll.SNL.Clients.Office.Excel.Functions.SPG(L385, "SP_COUNTRY_NAME")</f>
        <v>#INVALID COMPANY ID</v>
      </c>
      <c r="T385" s="9" t="str">
        <f>_xll.SNL.Clients.Office.Excel.Functions.SPG(Q385, "SP_COUNTRY_NAME")</f>
        <v>#INVALID COMPANY ID</v>
      </c>
      <c r="U385" t="s">
        <v>917</v>
      </c>
      <c r="V385">
        <v>4319350</v>
      </c>
      <c r="W385" t="s">
        <v>346</v>
      </c>
      <c r="X385" s="11">
        <v>0</v>
      </c>
      <c r="Y385" s="9" t="str">
        <f>_xll.SNL.Clients.Office.Excel.Functions.SPG(V385, "SP_COUNTRY_NAME")</f>
        <v>China</v>
      </c>
      <c r="AD385" s="9" t="str">
        <f>_xll.SNL.Clients.Office.Excel.Functions.SPG(AA385, "SP_COUNTRY_NAME")</f>
        <v>#INVALID COMPANY ID</v>
      </c>
      <c r="AI385" s="9" t="str">
        <f>_xll.SNL.Clients.Office.Excel.Functions.SPG(AF385, "SP_COUNTRY_NAME")</f>
        <v>#INVALID COMPANY ID</v>
      </c>
      <c r="AN385" s="9" t="str">
        <f>_xll.SNL.Clients.Office.Excel.Functions.SPG(AK385, "SP_COUNTRY_NAME")</f>
        <v>#INVALID COMPANY ID</v>
      </c>
      <c r="AS385" s="9" t="str">
        <f>_xll.SNL.Clients.Office.Excel.Functions.SPG(AP385, "SP_COUNTRY_NAME")</f>
        <v>#INVALID COMPANY ID</v>
      </c>
      <c r="AX385" s="9" t="str">
        <f>_xll.SNL.Clients.Office.Excel.Functions.SPG(AU385, "SP_COUNTRY_NAME")</f>
        <v>#INVALID COMPANY ID</v>
      </c>
      <c r="BC385" s="9" t="str">
        <f>_xll.SNL.Clients.Office.Excel.Functions.SPG(AZ385, "SP_COUNTRY_NAME")</f>
        <v>#INVALID COMPANY ID</v>
      </c>
      <c r="BD385" t="s">
        <v>1513</v>
      </c>
      <c r="BE385">
        <v>5848043</v>
      </c>
      <c r="BF385" t="s">
        <v>346</v>
      </c>
      <c r="BG385" s="11">
        <v>0</v>
      </c>
      <c r="BH385" s="9" t="str">
        <f>_xll.SNL.Clients.Office.Excel.Functions.SPG(BE385, "SP_COUNTRY_NAME")</f>
        <v>Switzerland</v>
      </c>
      <c r="BM385" s="9" t="str">
        <f>_xll.SNL.Clients.Office.Excel.Functions.SPG(BJ385, "SP_COUNTRY_NAME")</f>
        <v>#INVALID COMPANY ID</v>
      </c>
      <c r="BR385" s="9" t="str">
        <f>_xll.SNL.Clients.Office.Excel.Functions.SPG(BO385, "SP_COUNTRY_NAME")</f>
        <v>#INVALID COMPANY ID</v>
      </c>
      <c r="BS385" t="s">
        <v>1050</v>
      </c>
      <c r="BT385">
        <v>5802440</v>
      </c>
      <c r="BU385" t="s">
        <v>346</v>
      </c>
      <c r="BV385" s="11">
        <v>0</v>
      </c>
      <c r="BW385" s="9" t="str">
        <f>_xll.SNL.Clients.Office.Excel.Functions.SPG(BT385, "SP_COUNTRY_NAME")</f>
        <v>Switzerland</v>
      </c>
      <c r="BX385" t="s">
        <v>917</v>
      </c>
      <c r="BY385">
        <v>4319350</v>
      </c>
      <c r="BZ385" t="s">
        <v>346</v>
      </c>
      <c r="CA385" s="11">
        <v>0</v>
      </c>
      <c r="CB385" s="9" t="str">
        <f>_xll.SNL.Clients.Office.Excel.Functions.SPG(BY385, "SP_COUNTRY_NAME")</f>
        <v>China</v>
      </c>
      <c r="CC385" t="s">
        <v>833</v>
      </c>
      <c r="CD385">
        <v>110527</v>
      </c>
      <c r="CE385" t="s">
        <v>346</v>
      </c>
      <c r="CF385" s="11">
        <v>0</v>
      </c>
      <c r="CG385" s="9" t="str">
        <f>_xll.SNL.Clients.Office.Excel.Functions.SPG(CD385, "SP_COUNTRY_NAME")</f>
        <v>USA</v>
      </c>
      <c r="CL385" s="9" t="str">
        <f>_xll.SNL.Clients.Office.Excel.Functions.SPG(CI385, "SP_COUNTRY_NAME")</f>
        <v>#INVALID COMPANY ID</v>
      </c>
      <c r="CM385" t="s">
        <v>575</v>
      </c>
      <c r="CN385">
        <v>4575993</v>
      </c>
      <c r="CO385" t="s">
        <v>346</v>
      </c>
      <c r="CP385" s="11">
        <v>0</v>
      </c>
      <c r="CQ385" s="9" t="str">
        <f>_xll.SNL.Clients.Office.Excel.Functions.SPG(CN385, "SP_COUNTRY_NAME")</f>
        <v>Canada</v>
      </c>
      <c r="CV385" s="9" t="str">
        <f>_xll.SNL.Clients.Office.Excel.Functions.SPG(CS385, "SP_COUNTRY_NAME")</f>
        <v>#INVALID COMPANY ID</v>
      </c>
      <c r="DA385" s="9" t="str">
        <f>_xll.SNL.Clients.Office.Excel.Functions.SPG(CX385, "SP_COUNTRY_NAME")</f>
        <v>#INVALID COMPANY ID</v>
      </c>
      <c r="DB385" t="s">
        <v>1513</v>
      </c>
      <c r="DC385">
        <v>5848043</v>
      </c>
      <c r="DD385" t="s">
        <v>346</v>
      </c>
      <c r="DE385" s="11">
        <v>0</v>
      </c>
      <c r="DF385" s="9" t="str">
        <f>_xll.SNL.Clients.Office.Excel.Functions.SPG(DC385, "SP_COUNTRY_NAME")</f>
        <v>Switzerland</v>
      </c>
      <c r="DK385" s="9" t="str">
        <f>_xll.SNL.Clients.Office.Excel.Functions.SPG(DH385, "SP_COUNTRY_NAME")</f>
        <v>#INVALID COMPANY ID</v>
      </c>
      <c r="DL385" t="s">
        <v>1513</v>
      </c>
      <c r="DM385">
        <v>5848043</v>
      </c>
      <c r="DN385" t="s">
        <v>346</v>
      </c>
      <c r="DO385" s="11">
        <v>0</v>
      </c>
      <c r="DP385" s="9" t="str">
        <f>_xll.SNL.Clients.Office.Excel.Functions.SPG(DM385, "SP_COUNTRY_NAME")</f>
        <v>Switzerland</v>
      </c>
      <c r="DU385" s="9" t="str">
        <f>_xll.SNL.Clients.Office.Excel.Functions.SPG(DR385, "SP_COUNTRY_NAME")</f>
        <v>#INVALID COMPANY ID</v>
      </c>
      <c r="DZ385" s="9" t="str">
        <f>_xll.SNL.Clients.Office.Excel.Functions.SPG(DW385, "SP_COUNTRY_NAME")</f>
        <v>#INVALID COMPANY ID</v>
      </c>
      <c r="EA385" t="s">
        <v>833</v>
      </c>
      <c r="EB385">
        <v>110527</v>
      </c>
      <c r="EC385" t="s">
        <v>346</v>
      </c>
      <c r="ED385" s="11">
        <v>0</v>
      </c>
      <c r="EE385" s="9" t="str">
        <f>_xll.SNL.Clients.Office.Excel.Functions.SPG(EB385, "SP_COUNTRY_NAME")</f>
        <v>USA</v>
      </c>
      <c r="EF385" t="s">
        <v>1513</v>
      </c>
      <c r="EG385">
        <v>5848043</v>
      </c>
      <c r="EH385" t="s">
        <v>346</v>
      </c>
      <c r="EI385" s="11">
        <v>0</v>
      </c>
      <c r="EJ385" s="9" t="str">
        <f>_xll.SNL.Clients.Office.Excel.Functions.SPG(EG385, "SP_COUNTRY_NAME")</f>
        <v>Switzerland</v>
      </c>
      <c r="EO385" s="9" t="str">
        <f>_xll.SNL.Clients.Office.Excel.Functions.SPG(EL385, "SP_COUNTRY_NAME")</f>
        <v>#INVALID COMPANY ID</v>
      </c>
      <c r="ET385" s="9" t="str">
        <f>_xll.SNL.Clients.Office.Excel.Functions.SPG(EQ385, "SP_COUNTRY_NAME")</f>
        <v>#INVALID COMPANY ID</v>
      </c>
      <c r="EY385" s="9" t="str">
        <f>_xll.SNL.Clients.Office.Excel.Functions.SPG(EV385, "SP_COUNTRY_NAME")</f>
        <v>#INVALID COMPANY ID</v>
      </c>
      <c r="FD385" s="9" t="str">
        <f>_xll.SNL.Clients.Office.Excel.Functions.SPG(FA385, "SP_COUNTRY_NAME")</f>
        <v>#INVALID COMPANY ID</v>
      </c>
      <c r="FI385" s="9" t="str">
        <f>_xll.SNL.Clients.Office.Excel.Functions.SPG(FF385, "SP_COUNTRY_NAME")</f>
        <v>#INVALID COMPANY ID</v>
      </c>
      <c r="FN385" s="9" t="str">
        <f>_xll.SNL.Clients.Office.Excel.Functions.SPG(FK385, "SP_COUNTRY_NAME")</f>
        <v>#INVALID COMPANY ID</v>
      </c>
      <c r="FS385" s="9" t="str">
        <f>_xll.SNL.Clients.Office.Excel.Functions.SPG(FP385, "SP_COUNTRY_NAME")</f>
        <v>#INVALID COMPANY ID</v>
      </c>
      <c r="FX385" s="9" t="str">
        <f>_xll.SNL.Clients.Office.Excel.Functions.SPG(FU385, "SP_COUNTRY_NAME")</f>
        <v>#INVALID COMPANY ID</v>
      </c>
      <c r="FY385" t="s">
        <v>1513</v>
      </c>
      <c r="FZ385">
        <v>5848043</v>
      </c>
      <c r="GA385" t="s">
        <v>346</v>
      </c>
      <c r="GB385" s="11">
        <v>0</v>
      </c>
      <c r="GC385" s="9" t="str">
        <f>_xll.SNL.Clients.Office.Excel.Functions.SPG(FZ385, "SP_COUNTRY_NAME")</f>
        <v>Switzerland</v>
      </c>
      <c r="GH385" s="9" t="str">
        <f>_xll.SNL.Clients.Office.Excel.Functions.SPG(GE385, "SP_COUNTRY_NAME")</f>
        <v>#INVALID COMPANY ID</v>
      </c>
      <c r="GM385" s="9" t="str">
        <f>_xll.SNL.Clients.Office.Excel.Functions.SPG(GJ385, "SP_COUNTRY_NAME")</f>
        <v>#INVALID COMPANY ID</v>
      </c>
      <c r="GR385" s="9" t="str">
        <f>_xll.SNL.Clients.Office.Excel.Functions.SPG(GO385, "SP_COUNTRY_NAME")</f>
        <v>#INVALID COMPANY ID</v>
      </c>
      <c r="GW385" s="9" t="str">
        <f>_xll.SNL.Clients.Office.Excel.Functions.SPG(GT385, "SP_COUNTRY_NAME")</f>
        <v>#INVALID COMPANY ID</v>
      </c>
      <c r="GX385" t="s">
        <v>833</v>
      </c>
      <c r="GY385">
        <v>110527</v>
      </c>
      <c r="GZ385" t="s">
        <v>346</v>
      </c>
      <c r="HA385" s="11">
        <v>0</v>
      </c>
      <c r="HB385" s="9" t="str">
        <f>_xll.SNL.Clients.Office.Excel.Functions.SPG(GY385, "SP_COUNTRY_NAME")</f>
        <v>USA</v>
      </c>
      <c r="HG385" s="9" t="str">
        <f>_xll.SNL.Clients.Office.Excel.Functions.SPG(HD385, "SP_COUNTRY_NAME")</f>
        <v>#INVALID COMPANY ID</v>
      </c>
    </row>
    <row r="386" spans="5:215" x14ac:dyDescent="0.35">
      <c r="E386" s="9" t="str">
        <f>_xll.SNL.Clients.Office.Excel.Functions.SPG(B386, "SP_COUNTRY_NAME")</f>
        <v>#INVALID COMPANY ID</v>
      </c>
      <c r="J386" s="9" t="str">
        <f>_xll.SNL.Clients.Office.Excel.Functions.SPG(G386, "SP_COUNTRY_NAME")</f>
        <v>#INVALID COMPANY ID</v>
      </c>
      <c r="O386" s="9" t="str">
        <f>_xll.SNL.Clients.Office.Excel.Functions.SPG(L386, "SP_COUNTRY_NAME")</f>
        <v>#INVALID COMPANY ID</v>
      </c>
      <c r="T386" s="9" t="str">
        <f>_xll.SNL.Clients.Office.Excel.Functions.SPG(Q386, "SP_COUNTRY_NAME")</f>
        <v>#INVALID COMPANY ID</v>
      </c>
      <c r="U386" t="s">
        <v>564</v>
      </c>
      <c r="V386">
        <v>4137693</v>
      </c>
      <c r="W386" t="s">
        <v>346</v>
      </c>
      <c r="X386" s="11">
        <v>0</v>
      </c>
      <c r="Y386" s="9" t="str">
        <f>_xll.SNL.Clients.Office.Excel.Functions.SPG(V386, "SP_COUNTRY_NAME")</f>
        <v>Italy</v>
      </c>
      <c r="AD386" s="9" t="str">
        <f>_xll.SNL.Clients.Office.Excel.Functions.SPG(AA386, "SP_COUNTRY_NAME")</f>
        <v>#INVALID COMPANY ID</v>
      </c>
      <c r="AI386" s="9" t="str">
        <f>_xll.SNL.Clients.Office.Excel.Functions.SPG(AF386, "SP_COUNTRY_NAME")</f>
        <v>#INVALID COMPANY ID</v>
      </c>
      <c r="AN386" s="9" t="str">
        <f>_xll.SNL.Clients.Office.Excel.Functions.SPG(AK386, "SP_COUNTRY_NAME")</f>
        <v>#INVALID COMPANY ID</v>
      </c>
      <c r="AS386" s="9" t="str">
        <f>_xll.SNL.Clients.Office.Excel.Functions.SPG(AP386, "SP_COUNTRY_NAME")</f>
        <v>#INVALID COMPANY ID</v>
      </c>
      <c r="AX386" s="9" t="str">
        <f>_xll.SNL.Clients.Office.Excel.Functions.SPG(AU386, "SP_COUNTRY_NAME")</f>
        <v>#INVALID COMPANY ID</v>
      </c>
      <c r="BC386" s="9" t="str">
        <f>_xll.SNL.Clients.Office.Excel.Functions.SPG(AZ386, "SP_COUNTRY_NAME")</f>
        <v>#INVALID COMPANY ID</v>
      </c>
      <c r="BD386" t="s">
        <v>1514</v>
      </c>
      <c r="BE386">
        <v>19502411</v>
      </c>
      <c r="BF386" t="s">
        <v>346</v>
      </c>
      <c r="BG386" s="11">
        <v>0</v>
      </c>
      <c r="BH386" s="9" t="str">
        <f>_xll.SNL.Clients.Office.Excel.Functions.SPG(BE386, "SP_COUNTRY_NAME")</f>
        <v>South Africa</v>
      </c>
      <c r="BM386" s="9" t="str">
        <f>_xll.SNL.Clients.Office.Excel.Functions.SPG(BJ386, "SP_COUNTRY_NAME")</f>
        <v>#INVALID COMPANY ID</v>
      </c>
      <c r="BR386" s="9" t="str">
        <f>_xll.SNL.Clients.Office.Excel.Functions.SPG(BO386, "SP_COUNTRY_NAME")</f>
        <v>#INVALID COMPANY ID</v>
      </c>
      <c r="BS386" t="s">
        <v>870</v>
      </c>
      <c r="BT386">
        <v>8364410</v>
      </c>
      <c r="BU386" t="s">
        <v>346</v>
      </c>
      <c r="BV386" s="11">
        <v>0</v>
      </c>
      <c r="BW386" s="9" t="str">
        <f>_xll.SNL.Clients.Office.Excel.Functions.SPG(BT386, "SP_COUNTRY_NAME")</f>
        <v>China</v>
      </c>
      <c r="BX386" t="s">
        <v>564</v>
      </c>
      <c r="BY386">
        <v>4137693</v>
      </c>
      <c r="BZ386" t="s">
        <v>346</v>
      </c>
      <c r="CA386" s="11">
        <v>0</v>
      </c>
      <c r="CB386" s="9" t="str">
        <f>_xll.SNL.Clients.Office.Excel.Functions.SPG(BY386, "SP_COUNTRY_NAME")</f>
        <v>Italy</v>
      </c>
      <c r="CC386" t="s">
        <v>1816</v>
      </c>
      <c r="CD386">
        <v>6902537</v>
      </c>
      <c r="CE386" t="s">
        <v>364</v>
      </c>
      <c r="CF386" s="11">
        <v>0</v>
      </c>
      <c r="CG386" s="9" t="str">
        <f>_xll.SNL.Clients.Office.Excel.Functions.SPG(CD386, "SP_COUNTRY_NAME")</f>
        <v>USA</v>
      </c>
      <c r="CL386" s="9" t="str">
        <f>_xll.SNL.Clients.Office.Excel.Functions.SPG(CI386, "SP_COUNTRY_NAME")</f>
        <v>#INVALID COMPANY ID</v>
      </c>
      <c r="CM386" t="s">
        <v>599</v>
      </c>
      <c r="CN386">
        <v>19350037</v>
      </c>
      <c r="CO386" t="s">
        <v>346</v>
      </c>
      <c r="CP386" s="11">
        <v>0</v>
      </c>
      <c r="CQ386" s="9" t="str">
        <f>_xll.SNL.Clients.Office.Excel.Functions.SPG(CN386, "SP_COUNTRY_NAME")</f>
        <v>United Kingdom</v>
      </c>
      <c r="CV386" s="9" t="str">
        <f>_xll.SNL.Clients.Office.Excel.Functions.SPG(CS386, "SP_COUNTRY_NAME")</f>
        <v>#INVALID COMPANY ID</v>
      </c>
      <c r="DA386" s="9" t="str">
        <f>_xll.SNL.Clients.Office.Excel.Functions.SPG(CX386, "SP_COUNTRY_NAME")</f>
        <v>#INVALID COMPANY ID</v>
      </c>
      <c r="DB386" t="s">
        <v>1514</v>
      </c>
      <c r="DC386">
        <v>19502411</v>
      </c>
      <c r="DD386" t="s">
        <v>346</v>
      </c>
      <c r="DE386" s="11">
        <v>0</v>
      </c>
      <c r="DF386" s="9" t="str">
        <f>_xll.SNL.Clients.Office.Excel.Functions.SPG(DC386, "SP_COUNTRY_NAME")</f>
        <v>South Africa</v>
      </c>
      <c r="DK386" s="9" t="str">
        <f>_xll.SNL.Clients.Office.Excel.Functions.SPG(DH386, "SP_COUNTRY_NAME")</f>
        <v>#INVALID COMPANY ID</v>
      </c>
      <c r="DL386" t="s">
        <v>1514</v>
      </c>
      <c r="DM386">
        <v>19502411</v>
      </c>
      <c r="DN386" t="s">
        <v>346</v>
      </c>
      <c r="DO386" s="11">
        <v>0</v>
      </c>
      <c r="DP386" s="9" t="str">
        <f>_xll.SNL.Clients.Office.Excel.Functions.SPG(DM386, "SP_COUNTRY_NAME")</f>
        <v>South Africa</v>
      </c>
      <c r="DU386" s="9" t="str">
        <f>_xll.SNL.Clients.Office.Excel.Functions.SPG(DR386, "SP_COUNTRY_NAME")</f>
        <v>#INVALID COMPANY ID</v>
      </c>
      <c r="DZ386" s="9" t="str">
        <f>_xll.SNL.Clients.Office.Excel.Functions.SPG(DW386, "SP_COUNTRY_NAME")</f>
        <v>#INVALID COMPANY ID</v>
      </c>
      <c r="EA386" t="s">
        <v>1816</v>
      </c>
      <c r="EB386">
        <v>6902537</v>
      </c>
      <c r="EC386" t="s">
        <v>364</v>
      </c>
      <c r="ED386" s="11">
        <v>0</v>
      </c>
      <c r="EE386" s="9" t="str">
        <f>_xll.SNL.Clients.Office.Excel.Functions.SPG(EB386, "SP_COUNTRY_NAME")</f>
        <v>USA</v>
      </c>
      <c r="EF386" t="s">
        <v>1514</v>
      </c>
      <c r="EG386">
        <v>19502411</v>
      </c>
      <c r="EH386" t="s">
        <v>346</v>
      </c>
      <c r="EI386" s="11">
        <v>0</v>
      </c>
      <c r="EJ386" s="9" t="str">
        <f>_xll.SNL.Clients.Office.Excel.Functions.SPG(EG386, "SP_COUNTRY_NAME")</f>
        <v>South Africa</v>
      </c>
      <c r="EO386" s="9" t="str">
        <f>_xll.SNL.Clients.Office.Excel.Functions.SPG(EL386, "SP_COUNTRY_NAME")</f>
        <v>#INVALID COMPANY ID</v>
      </c>
      <c r="ET386" s="9" t="str">
        <f>_xll.SNL.Clients.Office.Excel.Functions.SPG(EQ386, "SP_COUNTRY_NAME")</f>
        <v>#INVALID COMPANY ID</v>
      </c>
      <c r="EY386" s="9" t="str">
        <f>_xll.SNL.Clients.Office.Excel.Functions.SPG(EV386, "SP_COUNTRY_NAME")</f>
        <v>#INVALID COMPANY ID</v>
      </c>
      <c r="FD386" s="9" t="str">
        <f>_xll.SNL.Clients.Office.Excel.Functions.SPG(FA386, "SP_COUNTRY_NAME")</f>
        <v>#INVALID COMPANY ID</v>
      </c>
      <c r="FI386" s="9" t="str">
        <f>_xll.SNL.Clients.Office.Excel.Functions.SPG(FF386, "SP_COUNTRY_NAME")</f>
        <v>#INVALID COMPANY ID</v>
      </c>
      <c r="FN386" s="9" t="str">
        <f>_xll.SNL.Clients.Office.Excel.Functions.SPG(FK386, "SP_COUNTRY_NAME")</f>
        <v>#INVALID COMPANY ID</v>
      </c>
      <c r="FS386" s="9" t="str">
        <f>_xll.SNL.Clients.Office.Excel.Functions.SPG(FP386, "SP_COUNTRY_NAME")</f>
        <v>#INVALID COMPANY ID</v>
      </c>
      <c r="FX386" s="9" t="str">
        <f>_xll.SNL.Clients.Office.Excel.Functions.SPG(FU386, "SP_COUNTRY_NAME")</f>
        <v>#INVALID COMPANY ID</v>
      </c>
      <c r="FY386" t="s">
        <v>1514</v>
      </c>
      <c r="FZ386">
        <v>19502411</v>
      </c>
      <c r="GA386" t="s">
        <v>346</v>
      </c>
      <c r="GB386" s="11">
        <v>0</v>
      </c>
      <c r="GC386" s="9" t="str">
        <f>_xll.SNL.Clients.Office.Excel.Functions.SPG(FZ386, "SP_COUNTRY_NAME")</f>
        <v>South Africa</v>
      </c>
      <c r="GH386" s="9" t="str">
        <f>_xll.SNL.Clients.Office.Excel.Functions.SPG(GE386, "SP_COUNTRY_NAME")</f>
        <v>#INVALID COMPANY ID</v>
      </c>
      <c r="GM386" s="9" t="str">
        <f>_xll.SNL.Clients.Office.Excel.Functions.SPG(GJ386, "SP_COUNTRY_NAME")</f>
        <v>#INVALID COMPANY ID</v>
      </c>
      <c r="GR386" s="9" t="str">
        <f>_xll.SNL.Clients.Office.Excel.Functions.SPG(GO386, "SP_COUNTRY_NAME")</f>
        <v>#INVALID COMPANY ID</v>
      </c>
      <c r="GW386" s="9" t="str">
        <f>_xll.SNL.Clients.Office.Excel.Functions.SPG(GT386, "SP_COUNTRY_NAME")</f>
        <v>#INVALID COMPANY ID</v>
      </c>
      <c r="GX386" t="s">
        <v>1816</v>
      </c>
      <c r="GY386">
        <v>6902537</v>
      </c>
      <c r="GZ386" t="s">
        <v>364</v>
      </c>
      <c r="HA386" s="11">
        <v>0</v>
      </c>
      <c r="HB386" s="9" t="str">
        <f>_xll.SNL.Clients.Office.Excel.Functions.SPG(GY386, "SP_COUNTRY_NAME")</f>
        <v>USA</v>
      </c>
      <c r="HG386" s="9" t="str">
        <f>_xll.SNL.Clients.Office.Excel.Functions.SPG(HD386, "SP_COUNTRY_NAME")</f>
        <v>#INVALID COMPANY ID</v>
      </c>
    </row>
    <row r="387" spans="5:215" x14ac:dyDescent="0.35">
      <c r="E387" s="9" t="str">
        <f>_xll.SNL.Clients.Office.Excel.Functions.SPG(B387, "SP_COUNTRY_NAME")</f>
        <v>#INVALID COMPANY ID</v>
      </c>
      <c r="J387" s="9" t="str">
        <f>_xll.SNL.Clients.Office.Excel.Functions.SPG(G387, "SP_COUNTRY_NAME")</f>
        <v>#INVALID COMPANY ID</v>
      </c>
      <c r="O387" s="9" t="str">
        <f>_xll.SNL.Clients.Office.Excel.Functions.SPG(L387, "SP_COUNTRY_NAME")</f>
        <v>#INVALID COMPANY ID</v>
      </c>
      <c r="T387" s="9" t="str">
        <f>_xll.SNL.Clients.Office.Excel.Functions.SPG(Q387, "SP_COUNTRY_NAME")</f>
        <v>#INVALID COMPANY ID</v>
      </c>
      <c r="U387" t="s">
        <v>918</v>
      </c>
      <c r="V387">
        <v>4860042</v>
      </c>
      <c r="W387" t="s">
        <v>346</v>
      </c>
      <c r="X387" s="11">
        <v>0</v>
      </c>
      <c r="Y387" s="9" t="str">
        <f>_xll.SNL.Clients.Office.Excel.Functions.SPG(V387, "SP_COUNTRY_NAME")</f>
        <v>China</v>
      </c>
      <c r="AD387" s="9" t="str">
        <f>_xll.SNL.Clients.Office.Excel.Functions.SPG(AA387, "SP_COUNTRY_NAME")</f>
        <v>#INVALID COMPANY ID</v>
      </c>
      <c r="AI387" s="9" t="str">
        <f>_xll.SNL.Clients.Office.Excel.Functions.SPG(AF387, "SP_COUNTRY_NAME")</f>
        <v>#INVALID COMPANY ID</v>
      </c>
      <c r="AN387" s="9" t="str">
        <f>_xll.SNL.Clients.Office.Excel.Functions.SPG(AK387, "SP_COUNTRY_NAME")</f>
        <v>#INVALID COMPANY ID</v>
      </c>
      <c r="AS387" s="9" t="str">
        <f>_xll.SNL.Clients.Office.Excel.Functions.SPG(AP387, "SP_COUNTRY_NAME")</f>
        <v>#INVALID COMPANY ID</v>
      </c>
      <c r="AX387" s="9" t="str">
        <f>_xll.SNL.Clients.Office.Excel.Functions.SPG(AU387, "SP_COUNTRY_NAME")</f>
        <v>#INVALID COMPANY ID</v>
      </c>
      <c r="BC387" s="9" t="str">
        <f>_xll.SNL.Clients.Office.Excel.Functions.SPG(AZ387, "SP_COUNTRY_NAME")</f>
        <v>#INVALID COMPANY ID</v>
      </c>
      <c r="BD387" t="s">
        <v>1327</v>
      </c>
      <c r="BE387">
        <v>19814121</v>
      </c>
      <c r="BF387" t="s">
        <v>346</v>
      </c>
      <c r="BG387" s="11">
        <v>0</v>
      </c>
      <c r="BH387" s="9" t="str">
        <f>_xll.SNL.Clients.Office.Excel.Functions.SPG(BE387, "SP_COUNTRY_NAME")</f>
        <v>South Africa</v>
      </c>
      <c r="BM387" s="9" t="str">
        <f>_xll.SNL.Clients.Office.Excel.Functions.SPG(BJ387, "SP_COUNTRY_NAME")</f>
        <v>#INVALID COMPANY ID</v>
      </c>
      <c r="BR387" s="9" t="str">
        <f>_xll.SNL.Clients.Office.Excel.Functions.SPG(BO387, "SP_COUNTRY_NAME")</f>
        <v>#INVALID COMPANY ID</v>
      </c>
      <c r="BS387" t="s">
        <v>863</v>
      </c>
      <c r="BT387">
        <v>4190455</v>
      </c>
      <c r="BU387" t="s">
        <v>346</v>
      </c>
      <c r="BV387" s="11">
        <v>0</v>
      </c>
      <c r="BW387" s="9" t="str">
        <f>_xll.SNL.Clients.Office.Excel.Functions.SPG(BT387, "SP_COUNTRY_NAME")</f>
        <v>Malaysia</v>
      </c>
      <c r="BX387" t="s">
        <v>918</v>
      </c>
      <c r="BY387">
        <v>4860042</v>
      </c>
      <c r="BZ387" t="s">
        <v>346</v>
      </c>
      <c r="CA387" s="11">
        <v>0</v>
      </c>
      <c r="CB387" s="9" t="str">
        <f>_xll.SNL.Clients.Office.Excel.Functions.SPG(BY387, "SP_COUNTRY_NAME")</f>
        <v>China</v>
      </c>
      <c r="CC387" t="s">
        <v>532</v>
      </c>
      <c r="CD387">
        <v>4225018</v>
      </c>
      <c r="CE387" t="s">
        <v>346</v>
      </c>
      <c r="CF387" s="11">
        <v>0</v>
      </c>
      <c r="CG387" s="9" t="str">
        <f>_xll.SNL.Clients.Office.Excel.Functions.SPG(CD387, "SP_COUNTRY_NAME")</f>
        <v>Taiwan</v>
      </c>
      <c r="CL387" s="9" t="str">
        <f>_xll.SNL.Clients.Office.Excel.Functions.SPG(CI387, "SP_COUNTRY_NAME")</f>
        <v>#INVALID COMPANY ID</v>
      </c>
      <c r="CM387" t="s">
        <v>2067</v>
      </c>
      <c r="CN387">
        <v>27638536</v>
      </c>
      <c r="CO387" t="s">
        <v>346</v>
      </c>
      <c r="CP387" s="11">
        <v>0</v>
      </c>
      <c r="CQ387" s="9" t="str">
        <f>_xll.SNL.Clients.Office.Excel.Functions.SPG(CN387, "SP_COUNTRY_NAME")</f>
        <v>South Africa</v>
      </c>
      <c r="CV387" s="9" t="str">
        <f>_xll.SNL.Clients.Office.Excel.Functions.SPG(CS387, "SP_COUNTRY_NAME")</f>
        <v>#INVALID COMPANY ID</v>
      </c>
      <c r="DA387" s="9" t="str">
        <f>_xll.SNL.Clients.Office.Excel.Functions.SPG(CX387, "SP_COUNTRY_NAME")</f>
        <v>#INVALID COMPANY ID</v>
      </c>
      <c r="DB387" t="s">
        <v>1327</v>
      </c>
      <c r="DC387">
        <v>19814121</v>
      </c>
      <c r="DD387" t="s">
        <v>346</v>
      </c>
      <c r="DE387" s="11">
        <v>0</v>
      </c>
      <c r="DF387" s="9" t="str">
        <f>_xll.SNL.Clients.Office.Excel.Functions.SPG(DC387, "SP_COUNTRY_NAME")</f>
        <v>South Africa</v>
      </c>
      <c r="DK387" s="9" t="str">
        <f>_xll.SNL.Clients.Office.Excel.Functions.SPG(DH387, "SP_COUNTRY_NAME")</f>
        <v>#INVALID COMPANY ID</v>
      </c>
      <c r="DL387" t="s">
        <v>1327</v>
      </c>
      <c r="DM387">
        <v>19814121</v>
      </c>
      <c r="DN387" t="s">
        <v>346</v>
      </c>
      <c r="DO387" s="11">
        <v>0</v>
      </c>
      <c r="DP387" s="9" t="str">
        <f>_xll.SNL.Clients.Office.Excel.Functions.SPG(DM387, "SP_COUNTRY_NAME")</f>
        <v>South Africa</v>
      </c>
      <c r="DU387" s="9" t="str">
        <f>_xll.SNL.Clients.Office.Excel.Functions.SPG(DR387, "SP_COUNTRY_NAME")</f>
        <v>#INVALID COMPANY ID</v>
      </c>
      <c r="DZ387" s="9" t="str">
        <f>_xll.SNL.Clients.Office.Excel.Functions.SPG(DW387, "SP_COUNTRY_NAME")</f>
        <v>#INVALID COMPANY ID</v>
      </c>
      <c r="EA387" t="s">
        <v>532</v>
      </c>
      <c r="EB387">
        <v>4225018</v>
      </c>
      <c r="EC387" t="s">
        <v>346</v>
      </c>
      <c r="ED387" s="11">
        <v>0</v>
      </c>
      <c r="EE387" s="9" t="str">
        <f>_xll.SNL.Clients.Office.Excel.Functions.SPG(EB387, "SP_COUNTRY_NAME")</f>
        <v>Taiwan</v>
      </c>
      <c r="EF387" t="s">
        <v>1327</v>
      </c>
      <c r="EG387">
        <v>19814121</v>
      </c>
      <c r="EH387" t="s">
        <v>346</v>
      </c>
      <c r="EI387" s="11">
        <v>0</v>
      </c>
      <c r="EJ387" s="9" t="str">
        <f>_xll.SNL.Clients.Office.Excel.Functions.SPG(EG387, "SP_COUNTRY_NAME")</f>
        <v>South Africa</v>
      </c>
      <c r="EO387" s="9" t="str">
        <f>_xll.SNL.Clients.Office.Excel.Functions.SPG(EL387, "SP_COUNTRY_NAME")</f>
        <v>#INVALID COMPANY ID</v>
      </c>
      <c r="ET387" s="9" t="str">
        <f>_xll.SNL.Clients.Office.Excel.Functions.SPG(EQ387, "SP_COUNTRY_NAME")</f>
        <v>#INVALID COMPANY ID</v>
      </c>
      <c r="EY387" s="9" t="str">
        <f>_xll.SNL.Clients.Office.Excel.Functions.SPG(EV387, "SP_COUNTRY_NAME")</f>
        <v>#INVALID COMPANY ID</v>
      </c>
      <c r="FD387" s="9" t="str">
        <f>_xll.SNL.Clients.Office.Excel.Functions.SPG(FA387, "SP_COUNTRY_NAME")</f>
        <v>#INVALID COMPANY ID</v>
      </c>
      <c r="FI387" s="9" t="str">
        <f>_xll.SNL.Clients.Office.Excel.Functions.SPG(FF387, "SP_COUNTRY_NAME")</f>
        <v>#INVALID COMPANY ID</v>
      </c>
      <c r="FN387" s="9" t="str">
        <f>_xll.SNL.Clients.Office.Excel.Functions.SPG(FK387, "SP_COUNTRY_NAME")</f>
        <v>#INVALID COMPANY ID</v>
      </c>
      <c r="FS387" s="9" t="str">
        <f>_xll.SNL.Clients.Office.Excel.Functions.SPG(FP387, "SP_COUNTRY_NAME")</f>
        <v>#INVALID COMPANY ID</v>
      </c>
      <c r="FX387" s="9" t="str">
        <f>_xll.SNL.Clients.Office.Excel.Functions.SPG(FU387, "SP_COUNTRY_NAME")</f>
        <v>#INVALID COMPANY ID</v>
      </c>
      <c r="FY387" t="s">
        <v>1327</v>
      </c>
      <c r="FZ387">
        <v>19814121</v>
      </c>
      <c r="GA387" t="s">
        <v>346</v>
      </c>
      <c r="GB387" s="11">
        <v>0</v>
      </c>
      <c r="GC387" s="9" t="str">
        <f>_xll.SNL.Clients.Office.Excel.Functions.SPG(FZ387, "SP_COUNTRY_NAME")</f>
        <v>South Africa</v>
      </c>
      <c r="GH387" s="9" t="str">
        <f>_xll.SNL.Clients.Office.Excel.Functions.SPG(GE387, "SP_COUNTRY_NAME")</f>
        <v>#INVALID COMPANY ID</v>
      </c>
      <c r="GM387" s="9" t="str">
        <f>_xll.SNL.Clients.Office.Excel.Functions.SPG(GJ387, "SP_COUNTRY_NAME")</f>
        <v>#INVALID COMPANY ID</v>
      </c>
      <c r="GR387" s="9" t="str">
        <f>_xll.SNL.Clients.Office.Excel.Functions.SPG(GO387, "SP_COUNTRY_NAME")</f>
        <v>#INVALID COMPANY ID</v>
      </c>
      <c r="GW387" s="9" t="str">
        <f>_xll.SNL.Clients.Office.Excel.Functions.SPG(GT387, "SP_COUNTRY_NAME")</f>
        <v>#INVALID COMPANY ID</v>
      </c>
      <c r="GX387" t="s">
        <v>532</v>
      </c>
      <c r="GY387">
        <v>4225018</v>
      </c>
      <c r="GZ387" t="s">
        <v>346</v>
      </c>
      <c r="HA387" s="11">
        <v>0</v>
      </c>
      <c r="HB387" s="9" t="str">
        <f>_xll.SNL.Clients.Office.Excel.Functions.SPG(GY387, "SP_COUNTRY_NAME")</f>
        <v>Taiwan</v>
      </c>
      <c r="HG387" s="9" t="str">
        <f>_xll.SNL.Clients.Office.Excel.Functions.SPG(HD387, "SP_COUNTRY_NAME")</f>
        <v>#INVALID COMPANY ID</v>
      </c>
    </row>
    <row r="388" spans="5:215" x14ac:dyDescent="0.35">
      <c r="E388" s="9" t="str">
        <f>_xll.SNL.Clients.Office.Excel.Functions.SPG(B388, "SP_COUNTRY_NAME")</f>
        <v>#INVALID COMPANY ID</v>
      </c>
      <c r="J388" s="9" t="str">
        <f>_xll.SNL.Clients.Office.Excel.Functions.SPG(G388, "SP_COUNTRY_NAME")</f>
        <v>#INVALID COMPANY ID</v>
      </c>
      <c r="O388" s="9" t="str">
        <f>_xll.SNL.Clients.Office.Excel.Functions.SPG(L388, "SP_COUNTRY_NAME")</f>
        <v>#INVALID COMPANY ID</v>
      </c>
      <c r="T388" s="9" t="str">
        <f>_xll.SNL.Clients.Office.Excel.Functions.SPG(Q388, "SP_COUNTRY_NAME")</f>
        <v>#INVALID COMPANY ID</v>
      </c>
      <c r="U388" t="s">
        <v>919</v>
      </c>
      <c r="V388">
        <v>28469313</v>
      </c>
      <c r="W388" t="s">
        <v>346</v>
      </c>
      <c r="X388" s="11">
        <v>0</v>
      </c>
      <c r="Y388" s="9" t="str">
        <f>_xll.SNL.Clients.Office.Excel.Functions.SPG(V388, "SP_COUNTRY_NAME")</f>
        <v>China</v>
      </c>
      <c r="AD388" s="9" t="str">
        <f>_xll.SNL.Clients.Office.Excel.Functions.SPG(AA388, "SP_COUNTRY_NAME")</f>
        <v>#INVALID COMPANY ID</v>
      </c>
      <c r="AI388" s="9" t="str">
        <f>_xll.SNL.Clients.Office.Excel.Functions.SPG(AF388, "SP_COUNTRY_NAME")</f>
        <v>#INVALID COMPANY ID</v>
      </c>
      <c r="AN388" s="9" t="str">
        <f>_xll.SNL.Clients.Office.Excel.Functions.SPG(AK388, "SP_COUNTRY_NAME")</f>
        <v>#INVALID COMPANY ID</v>
      </c>
      <c r="AS388" s="9" t="str">
        <f>_xll.SNL.Clients.Office.Excel.Functions.SPG(AP388, "SP_COUNTRY_NAME")</f>
        <v>#INVALID COMPANY ID</v>
      </c>
      <c r="AX388" s="9" t="str">
        <f>_xll.SNL.Clients.Office.Excel.Functions.SPG(AU388, "SP_COUNTRY_NAME")</f>
        <v>#INVALID COMPANY ID</v>
      </c>
      <c r="BC388" s="9" t="str">
        <f>_xll.SNL.Clients.Office.Excel.Functions.SPG(AZ388, "SP_COUNTRY_NAME")</f>
        <v>#INVALID COMPANY ID</v>
      </c>
      <c r="BD388" t="s">
        <v>390</v>
      </c>
      <c r="BE388">
        <v>4135241</v>
      </c>
      <c r="BF388" t="s">
        <v>346</v>
      </c>
      <c r="BG388" s="11">
        <v>0</v>
      </c>
      <c r="BH388" s="9" t="str">
        <f>_xll.SNL.Clients.Office.Excel.Functions.SPG(BE388, "SP_COUNTRY_NAME")</f>
        <v>Australia</v>
      </c>
      <c r="BM388" s="9" t="str">
        <f>_xll.SNL.Clients.Office.Excel.Functions.SPG(BJ388, "SP_COUNTRY_NAME")</f>
        <v>#INVALID COMPANY ID</v>
      </c>
      <c r="BR388" s="9" t="str">
        <f>_xll.SNL.Clients.Office.Excel.Functions.SPG(BO388, "SP_COUNTRY_NAME")</f>
        <v>#INVALID COMPANY ID</v>
      </c>
      <c r="BS388" t="s">
        <v>1051</v>
      </c>
      <c r="BT388">
        <v>4140184</v>
      </c>
      <c r="BU388" t="s">
        <v>346</v>
      </c>
      <c r="BV388" s="11">
        <v>0</v>
      </c>
      <c r="BW388" s="9" t="str">
        <f>_xll.SNL.Clients.Office.Excel.Functions.SPG(BT388, "SP_COUNTRY_NAME")</f>
        <v>Germany</v>
      </c>
      <c r="BX388" t="s">
        <v>919</v>
      </c>
      <c r="BY388">
        <v>28469313</v>
      </c>
      <c r="BZ388" t="s">
        <v>346</v>
      </c>
      <c r="CA388" s="11">
        <v>0</v>
      </c>
      <c r="CB388" s="9" t="str">
        <f>_xll.SNL.Clients.Office.Excel.Functions.SPG(BY388, "SP_COUNTRY_NAME")</f>
        <v>China</v>
      </c>
      <c r="CC388" t="s">
        <v>576</v>
      </c>
      <c r="CD388">
        <v>4672091</v>
      </c>
      <c r="CE388" t="s">
        <v>300</v>
      </c>
      <c r="CF388" s="11">
        <v>0</v>
      </c>
      <c r="CG388" s="9" t="str">
        <f>_xll.SNL.Clients.Office.Excel.Functions.SPG(CD388, "SP_COUNTRY_NAME")</f>
        <v>South Africa</v>
      </c>
      <c r="CL388" s="9" t="str">
        <f>_xll.SNL.Clients.Office.Excel.Functions.SPG(CI388, "SP_COUNTRY_NAME")</f>
        <v>#INVALID COMPANY ID</v>
      </c>
      <c r="CM388" t="s">
        <v>600</v>
      </c>
      <c r="CN388">
        <v>4145203</v>
      </c>
      <c r="CO388" t="s">
        <v>346</v>
      </c>
      <c r="CP388" s="11">
        <v>0</v>
      </c>
      <c r="CQ388" s="9" t="str">
        <f>_xll.SNL.Clients.Office.Excel.Functions.SPG(CN388, "SP_COUNTRY_NAME")</f>
        <v>USA</v>
      </c>
      <c r="CV388" s="9" t="str">
        <f>_xll.SNL.Clients.Office.Excel.Functions.SPG(CS388, "SP_COUNTRY_NAME")</f>
        <v>#INVALID COMPANY ID</v>
      </c>
      <c r="DA388" s="9" t="str">
        <f>_xll.SNL.Clients.Office.Excel.Functions.SPG(CX388, "SP_COUNTRY_NAME")</f>
        <v>#INVALID COMPANY ID</v>
      </c>
      <c r="DB388" t="s">
        <v>390</v>
      </c>
      <c r="DC388">
        <v>4135241</v>
      </c>
      <c r="DD388" t="s">
        <v>346</v>
      </c>
      <c r="DE388" s="11">
        <v>0</v>
      </c>
      <c r="DF388" s="9" t="str">
        <f>_xll.SNL.Clients.Office.Excel.Functions.SPG(DC388, "SP_COUNTRY_NAME")</f>
        <v>Australia</v>
      </c>
      <c r="DK388" s="9" t="str">
        <f>_xll.SNL.Clients.Office.Excel.Functions.SPG(DH388, "SP_COUNTRY_NAME")</f>
        <v>#INVALID COMPANY ID</v>
      </c>
      <c r="DL388" t="s">
        <v>390</v>
      </c>
      <c r="DM388">
        <v>4135241</v>
      </c>
      <c r="DN388" t="s">
        <v>346</v>
      </c>
      <c r="DO388" s="11">
        <v>0</v>
      </c>
      <c r="DP388" s="9" t="str">
        <f>_xll.SNL.Clients.Office.Excel.Functions.SPG(DM388, "SP_COUNTRY_NAME")</f>
        <v>Australia</v>
      </c>
      <c r="DU388" s="9" t="str">
        <f>_xll.SNL.Clients.Office.Excel.Functions.SPG(DR388, "SP_COUNTRY_NAME")</f>
        <v>#INVALID COMPANY ID</v>
      </c>
      <c r="DZ388" s="9" t="str">
        <f>_xll.SNL.Clients.Office.Excel.Functions.SPG(DW388, "SP_COUNTRY_NAME")</f>
        <v>#INVALID COMPANY ID</v>
      </c>
      <c r="EA388" t="s">
        <v>576</v>
      </c>
      <c r="EB388">
        <v>4672091</v>
      </c>
      <c r="EC388" t="s">
        <v>300</v>
      </c>
      <c r="ED388" s="11">
        <v>0</v>
      </c>
      <c r="EE388" s="9" t="str">
        <f>_xll.SNL.Clients.Office.Excel.Functions.SPG(EB388, "SP_COUNTRY_NAME")</f>
        <v>South Africa</v>
      </c>
      <c r="EF388" t="s">
        <v>390</v>
      </c>
      <c r="EG388">
        <v>4135241</v>
      </c>
      <c r="EH388" t="s">
        <v>346</v>
      </c>
      <c r="EI388" s="11">
        <v>0</v>
      </c>
      <c r="EJ388" s="9" t="str">
        <f>_xll.SNL.Clients.Office.Excel.Functions.SPG(EG388, "SP_COUNTRY_NAME")</f>
        <v>Australia</v>
      </c>
      <c r="EO388" s="9" t="str">
        <f>_xll.SNL.Clients.Office.Excel.Functions.SPG(EL388, "SP_COUNTRY_NAME")</f>
        <v>#INVALID COMPANY ID</v>
      </c>
      <c r="ET388" s="9" t="str">
        <f>_xll.SNL.Clients.Office.Excel.Functions.SPG(EQ388, "SP_COUNTRY_NAME")</f>
        <v>#INVALID COMPANY ID</v>
      </c>
      <c r="EY388" s="9" t="str">
        <f>_xll.SNL.Clients.Office.Excel.Functions.SPG(EV388, "SP_COUNTRY_NAME")</f>
        <v>#INVALID COMPANY ID</v>
      </c>
      <c r="FD388" s="9" t="str">
        <f>_xll.SNL.Clients.Office.Excel.Functions.SPG(FA388, "SP_COUNTRY_NAME")</f>
        <v>#INVALID COMPANY ID</v>
      </c>
      <c r="FI388" s="9" t="str">
        <f>_xll.SNL.Clients.Office.Excel.Functions.SPG(FF388, "SP_COUNTRY_NAME")</f>
        <v>#INVALID COMPANY ID</v>
      </c>
      <c r="FN388" s="9" t="str">
        <f>_xll.SNL.Clients.Office.Excel.Functions.SPG(FK388, "SP_COUNTRY_NAME")</f>
        <v>#INVALID COMPANY ID</v>
      </c>
      <c r="FS388" s="9" t="str">
        <f>_xll.SNL.Clients.Office.Excel.Functions.SPG(FP388, "SP_COUNTRY_NAME")</f>
        <v>#INVALID COMPANY ID</v>
      </c>
      <c r="FX388" s="9" t="str">
        <f>_xll.SNL.Clients.Office.Excel.Functions.SPG(FU388, "SP_COUNTRY_NAME")</f>
        <v>#INVALID COMPANY ID</v>
      </c>
      <c r="FY388" t="s">
        <v>390</v>
      </c>
      <c r="FZ388">
        <v>4135241</v>
      </c>
      <c r="GA388" t="s">
        <v>346</v>
      </c>
      <c r="GB388" s="11">
        <v>0</v>
      </c>
      <c r="GC388" s="9" t="str">
        <f>_xll.SNL.Clients.Office.Excel.Functions.SPG(FZ388, "SP_COUNTRY_NAME")</f>
        <v>Australia</v>
      </c>
      <c r="GH388" s="9" t="str">
        <f>_xll.SNL.Clients.Office.Excel.Functions.SPG(GE388, "SP_COUNTRY_NAME")</f>
        <v>#INVALID COMPANY ID</v>
      </c>
      <c r="GM388" s="9" t="str">
        <f>_xll.SNL.Clients.Office.Excel.Functions.SPG(GJ388, "SP_COUNTRY_NAME")</f>
        <v>#INVALID COMPANY ID</v>
      </c>
      <c r="GR388" s="9" t="str">
        <f>_xll.SNL.Clients.Office.Excel.Functions.SPG(GO388, "SP_COUNTRY_NAME")</f>
        <v>#INVALID COMPANY ID</v>
      </c>
      <c r="GW388" s="9" t="str">
        <f>_xll.SNL.Clients.Office.Excel.Functions.SPG(GT388, "SP_COUNTRY_NAME")</f>
        <v>#INVALID COMPANY ID</v>
      </c>
      <c r="GX388" t="s">
        <v>576</v>
      </c>
      <c r="GY388">
        <v>4672091</v>
      </c>
      <c r="GZ388" t="s">
        <v>300</v>
      </c>
      <c r="HA388" s="11">
        <v>0</v>
      </c>
      <c r="HB388" s="9" t="str">
        <f>_xll.SNL.Clients.Office.Excel.Functions.SPG(GY388, "SP_COUNTRY_NAME")</f>
        <v>South Africa</v>
      </c>
      <c r="HG388" s="9" t="str">
        <f>_xll.SNL.Clients.Office.Excel.Functions.SPG(HD388, "SP_COUNTRY_NAME")</f>
        <v>#INVALID COMPANY ID</v>
      </c>
    </row>
    <row r="389" spans="5:215" x14ac:dyDescent="0.35">
      <c r="E389" s="9" t="str">
        <f>_xll.SNL.Clients.Office.Excel.Functions.SPG(B389, "SP_COUNTRY_NAME")</f>
        <v>#INVALID COMPANY ID</v>
      </c>
      <c r="J389" s="9" t="str">
        <f>_xll.SNL.Clients.Office.Excel.Functions.SPG(G389, "SP_COUNTRY_NAME")</f>
        <v>#INVALID COMPANY ID</v>
      </c>
      <c r="O389" s="9" t="str">
        <f>_xll.SNL.Clients.Office.Excel.Functions.SPG(L389, "SP_COUNTRY_NAME")</f>
        <v>#INVALID COMPANY ID</v>
      </c>
      <c r="T389" s="9" t="str">
        <f>_xll.SNL.Clients.Office.Excel.Functions.SPG(Q389, "SP_COUNTRY_NAME")</f>
        <v>#INVALID COMPANY ID</v>
      </c>
      <c r="U389" t="s">
        <v>920</v>
      </c>
      <c r="V389">
        <v>4270311</v>
      </c>
      <c r="W389" t="s">
        <v>346</v>
      </c>
      <c r="X389" s="11">
        <v>0</v>
      </c>
      <c r="Y389" s="9" t="str">
        <f>_xll.SNL.Clients.Office.Excel.Functions.SPG(V389, "SP_COUNTRY_NAME")</f>
        <v>Hong Kong</v>
      </c>
      <c r="AD389" s="9" t="str">
        <f>_xll.SNL.Clients.Office.Excel.Functions.SPG(AA389, "SP_COUNTRY_NAME")</f>
        <v>#INVALID COMPANY ID</v>
      </c>
      <c r="AI389" s="9" t="str">
        <f>_xll.SNL.Clients.Office.Excel.Functions.SPG(AF389, "SP_COUNTRY_NAME")</f>
        <v>#INVALID COMPANY ID</v>
      </c>
      <c r="AN389" s="9" t="str">
        <f>_xll.SNL.Clients.Office.Excel.Functions.SPG(AK389, "SP_COUNTRY_NAME")</f>
        <v>#INVALID COMPANY ID</v>
      </c>
      <c r="AS389" s="9" t="str">
        <f>_xll.SNL.Clients.Office.Excel.Functions.SPG(AP389, "SP_COUNTRY_NAME")</f>
        <v>#INVALID COMPANY ID</v>
      </c>
      <c r="AX389" s="9" t="str">
        <f>_xll.SNL.Clients.Office.Excel.Functions.SPG(AU389, "SP_COUNTRY_NAME")</f>
        <v>#INVALID COMPANY ID</v>
      </c>
      <c r="BC389" s="9" t="str">
        <f>_xll.SNL.Clients.Office.Excel.Functions.SPG(AZ389, "SP_COUNTRY_NAME")</f>
        <v>#INVALID COMPANY ID</v>
      </c>
      <c r="BD389" t="s">
        <v>1515</v>
      </c>
      <c r="BE389">
        <v>10795646</v>
      </c>
      <c r="BF389" t="s">
        <v>346</v>
      </c>
      <c r="BG389" s="11">
        <v>0</v>
      </c>
      <c r="BH389" s="9" t="str">
        <f>_xll.SNL.Clients.Office.Excel.Functions.SPG(BE389, "SP_COUNTRY_NAME")</f>
        <v>South Africa</v>
      </c>
      <c r="BM389" s="9" t="str">
        <f>_xll.SNL.Clients.Office.Excel.Functions.SPG(BJ389, "SP_COUNTRY_NAME")</f>
        <v>#INVALID COMPANY ID</v>
      </c>
      <c r="BR389" s="9" t="str">
        <f>_xll.SNL.Clients.Office.Excel.Functions.SPG(BO389, "SP_COUNTRY_NAME")</f>
        <v>#INVALID COMPANY ID</v>
      </c>
      <c r="BS389" t="s">
        <v>1052</v>
      </c>
      <c r="BT389">
        <v>9313998</v>
      </c>
      <c r="BU389" t="s">
        <v>346</v>
      </c>
      <c r="BV389" s="11">
        <v>0</v>
      </c>
      <c r="BW389" s="9" t="str">
        <f>_xll.SNL.Clients.Office.Excel.Functions.SPG(BT389, "SP_COUNTRY_NAME")</f>
        <v>Switzerland</v>
      </c>
      <c r="BX389" t="s">
        <v>920</v>
      </c>
      <c r="BY389">
        <v>4270311</v>
      </c>
      <c r="BZ389" t="s">
        <v>346</v>
      </c>
      <c r="CA389" s="11">
        <v>0</v>
      </c>
      <c r="CB389" s="9" t="str">
        <f>_xll.SNL.Clients.Office.Excel.Functions.SPG(BY389, "SP_COUNTRY_NAME")</f>
        <v>Hong Kong</v>
      </c>
      <c r="CC389" t="s">
        <v>1817</v>
      </c>
      <c r="CD389">
        <v>9499792</v>
      </c>
      <c r="CE389" t="s">
        <v>346</v>
      </c>
      <c r="CF389" s="11">
        <v>0</v>
      </c>
      <c r="CG389" s="9" t="str">
        <f>_xll.SNL.Clients.Office.Excel.Functions.SPG(CD389, "SP_COUNTRY_NAME")</f>
        <v>Brazil</v>
      </c>
      <c r="CL389" s="9" t="str">
        <f>_xll.SNL.Clients.Office.Excel.Functions.SPG(CI389, "SP_COUNTRY_NAME")</f>
        <v>#INVALID COMPANY ID</v>
      </c>
      <c r="CM389" t="s">
        <v>1362</v>
      </c>
      <c r="CN389">
        <v>5879182</v>
      </c>
      <c r="CO389" t="s">
        <v>346</v>
      </c>
      <c r="CP389" s="11">
        <v>0</v>
      </c>
      <c r="CQ389" s="9" t="str">
        <f>_xll.SNL.Clients.Office.Excel.Functions.SPG(CN389, "SP_COUNTRY_NAME")</f>
        <v>South Africa</v>
      </c>
      <c r="CV389" s="9" t="str">
        <f>_xll.SNL.Clients.Office.Excel.Functions.SPG(CS389, "SP_COUNTRY_NAME")</f>
        <v>#INVALID COMPANY ID</v>
      </c>
      <c r="DA389" s="9" t="str">
        <f>_xll.SNL.Clients.Office.Excel.Functions.SPG(CX389, "SP_COUNTRY_NAME")</f>
        <v>#INVALID COMPANY ID</v>
      </c>
      <c r="DB389" t="s">
        <v>1515</v>
      </c>
      <c r="DC389">
        <v>10795646</v>
      </c>
      <c r="DD389" t="s">
        <v>346</v>
      </c>
      <c r="DE389" s="11">
        <v>0</v>
      </c>
      <c r="DF389" s="9" t="str">
        <f>_xll.SNL.Clients.Office.Excel.Functions.SPG(DC389, "SP_COUNTRY_NAME")</f>
        <v>South Africa</v>
      </c>
      <c r="DK389" s="9" t="str">
        <f>_xll.SNL.Clients.Office.Excel.Functions.SPG(DH389, "SP_COUNTRY_NAME")</f>
        <v>#INVALID COMPANY ID</v>
      </c>
      <c r="DL389" t="s">
        <v>1515</v>
      </c>
      <c r="DM389">
        <v>10795646</v>
      </c>
      <c r="DN389" t="s">
        <v>346</v>
      </c>
      <c r="DO389" s="11">
        <v>0</v>
      </c>
      <c r="DP389" s="9" t="str">
        <f>_xll.SNL.Clients.Office.Excel.Functions.SPG(DM389, "SP_COUNTRY_NAME")</f>
        <v>South Africa</v>
      </c>
      <c r="DU389" s="9" t="str">
        <f>_xll.SNL.Clients.Office.Excel.Functions.SPG(DR389, "SP_COUNTRY_NAME")</f>
        <v>#INVALID COMPANY ID</v>
      </c>
      <c r="DZ389" s="9" t="str">
        <f>_xll.SNL.Clients.Office.Excel.Functions.SPG(DW389, "SP_COUNTRY_NAME")</f>
        <v>#INVALID COMPANY ID</v>
      </c>
      <c r="EA389" t="s">
        <v>1817</v>
      </c>
      <c r="EB389">
        <v>9499792</v>
      </c>
      <c r="EC389" t="s">
        <v>346</v>
      </c>
      <c r="ED389" s="11">
        <v>0</v>
      </c>
      <c r="EE389" s="9" t="str">
        <f>_xll.SNL.Clients.Office.Excel.Functions.SPG(EB389, "SP_COUNTRY_NAME")</f>
        <v>Brazil</v>
      </c>
      <c r="EF389" t="s">
        <v>1515</v>
      </c>
      <c r="EG389">
        <v>10795646</v>
      </c>
      <c r="EH389" t="s">
        <v>346</v>
      </c>
      <c r="EI389" s="11">
        <v>0</v>
      </c>
      <c r="EJ389" s="9" t="str">
        <f>_xll.SNL.Clients.Office.Excel.Functions.SPG(EG389, "SP_COUNTRY_NAME")</f>
        <v>South Africa</v>
      </c>
      <c r="EO389" s="9" t="str">
        <f>_xll.SNL.Clients.Office.Excel.Functions.SPG(EL389, "SP_COUNTRY_NAME")</f>
        <v>#INVALID COMPANY ID</v>
      </c>
      <c r="ET389" s="9" t="str">
        <f>_xll.SNL.Clients.Office.Excel.Functions.SPG(EQ389, "SP_COUNTRY_NAME")</f>
        <v>#INVALID COMPANY ID</v>
      </c>
      <c r="EY389" s="9" t="str">
        <f>_xll.SNL.Clients.Office.Excel.Functions.SPG(EV389, "SP_COUNTRY_NAME")</f>
        <v>#INVALID COMPANY ID</v>
      </c>
      <c r="FD389" s="9" t="str">
        <f>_xll.SNL.Clients.Office.Excel.Functions.SPG(FA389, "SP_COUNTRY_NAME")</f>
        <v>#INVALID COMPANY ID</v>
      </c>
      <c r="FI389" s="9" t="str">
        <f>_xll.SNL.Clients.Office.Excel.Functions.SPG(FF389, "SP_COUNTRY_NAME")</f>
        <v>#INVALID COMPANY ID</v>
      </c>
      <c r="FN389" s="9" t="str">
        <f>_xll.SNL.Clients.Office.Excel.Functions.SPG(FK389, "SP_COUNTRY_NAME")</f>
        <v>#INVALID COMPANY ID</v>
      </c>
      <c r="FS389" s="9" t="str">
        <f>_xll.SNL.Clients.Office.Excel.Functions.SPG(FP389, "SP_COUNTRY_NAME")</f>
        <v>#INVALID COMPANY ID</v>
      </c>
      <c r="FX389" s="9" t="str">
        <f>_xll.SNL.Clients.Office.Excel.Functions.SPG(FU389, "SP_COUNTRY_NAME")</f>
        <v>#INVALID COMPANY ID</v>
      </c>
      <c r="FY389" t="s">
        <v>1515</v>
      </c>
      <c r="FZ389">
        <v>10795646</v>
      </c>
      <c r="GA389" t="s">
        <v>346</v>
      </c>
      <c r="GB389" s="11">
        <v>0</v>
      </c>
      <c r="GC389" s="9" t="str">
        <f>_xll.SNL.Clients.Office.Excel.Functions.SPG(FZ389, "SP_COUNTRY_NAME")</f>
        <v>South Africa</v>
      </c>
      <c r="GH389" s="9" t="str">
        <f>_xll.SNL.Clients.Office.Excel.Functions.SPG(GE389, "SP_COUNTRY_NAME")</f>
        <v>#INVALID COMPANY ID</v>
      </c>
      <c r="GM389" s="9" t="str">
        <f>_xll.SNL.Clients.Office.Excel.Functions.SPG(GJ389, "SP_COUNTRY_NAME")</f>
        <v>#INVALID COMPANY ID</v>
      </c>
      <c r="GR389" s="9" t="str">
        <f>_xll.SNL.Clients.Office.Excel.Functions.SPG(GO389, "SP_COUNTRY_NAME")</f>
        <v>#INVALID COMPANY ID</v>
      </c>
      <c r="GW389" s="9" t="str">
        <f>_xll.SNL.Clients.Office.Excel.Functions.SPG(GT389, "SP_COUNTRY_NAME")</f>
        <v>#INVALID COMPANY ID</v>
      </c>
      <c r="GX389" t="s">
        <v>1817</v>
      </c>
      <c r="GY389">
        <v>9499792</v>
      </c>
      <c r="GZ389" t="s">
        <v>346</v>
      </c>
      <c r="HA389" s="11">
        <v>0</v>
      </c>
      <c r="HB389" s="9" t="str">
        <f>_xll.SNL.Clients.Office.Excel.Functions.SPG(GY389, "SP_COUNTRY_NAME")</f>
        <v>Brazil</v>
      </c>
      <c r="HG389" s="9" t="str">
        <f>_xll.SNL.Clients.Office.Excel.Functions.SPG(HD389, "SP_COUNTRY_NAME")</f>
        <v>#INVALID COMPANY ID</v>
      </c>
    </row>
    <row r="390" spans="5:215" x14ac:dyDescent="0.35">
      <c r="E390" s="9" t="str">
        <f>_xll.SNL.Clients.Office.Excel.Functions.SPG(B390, "SP_COUNTRY_NAME")</f>
        <v>#INVALID COMPANY ID</v>
      </c>
      <c r="J390" s="9" t="str">
        <f>_xll.SNL.Clients.Office.Excel.Functions.SPG(G390, "SP_COUNTRY_NAME")</f>
        <v>#INVALID COMPANY ID</v>
      </c>
      <c r="O390" s="9" t="str">
        <f>_xll.SNL.Clients.Office.Excel.Functions.SPG(L390, "SP_COUNTRY_NAME")</f>
        <v>#INVALID COMPANY ID</v>
      </c>
      <c r="T390" s="9" t="str">
        <f>_xll.SNL.Clients.Office.Excel.Functions.SPG(Q390, "SP_COUNTRY_NAME")</f>
        <v>#INVALID COMPANY ID</v>
      </c>
      <c r="U390" t="s">
        <v>921</v>
      </c>
      <c r="V390">
        <v>5853282</v>
      </c>
      <c r="W390" t="s">
        <v>346</v>
      </c>
      <c r="X390" s="11">
        <v>0</v>
      </c>
      <c r="Y390" s="9" t="str">
        <f>_xll.SNL.Clients.Office.Excel.Functions.SPG(V390, "SP_COUNTRY_NAME")</f>
        <v>China</v>
      </c>
      <c r="AD390" s="9" t="str">
        <f>_xll.SNL.Clients.Office.Excel.Functions.SPG(AA390, "SP_COUNTRY_NAME")</f>
        <v>#INVALID COMPANY ID</v>
      </c>
      <c r="AI390" s="9" t="str">
        <f>_xll.SNL.Clients.Office.Excel.Functions.SPG(AF390, "SP_COUNTRY_NAME")</f>
        <v>#INVALID COMPANY ID</v>
      </c>
      <c r="AN390" s="9" t="str">
        <f>_xll.SNL.Clients.Office.Excel.Functions.SPG(AK390, "SP_COUNTRY_NAME")</f>
        <v>#INVALID COMPANY ID</v>
      </c>
      <c r="AS390" s="9" t="str">
        <f>_xll.SNL.Clients.Office.Excel.Functions.SPG(AP390, "SP_COUNTRY_NAME")</f>
        <v>#INVALID COMPANY ID</v>
      </c>
      <c r="AX390" s="9" t="str">
        <f>_xll.SNL.Clients.Office.Excel.Functions.SPG(AU390, "SP_COUNTRY_NAME")</f>
        <v>#INVALID COMPANY ID</v>
      </c>
      <c r="BC390" s="9" t="str">
        <f>_xll.SNL.Clients.Office.Excel.Functions.SPG(AZ390, "SP_COUNTRY_NAME")</f>
        <v>#INVALID COMPANY ID</v>
      </c>
      <c r="BD390" t="s">
        <v>1516</v>
      </c>
      <c r="BE390">
        <v>7059944</v>
      </c>
      <c r="BF390" t="s">
        <v>346</v>
      </c>
      <c r="BG390" s="11">
        <v>0</v>
      </c>
      <c r="BH390" s="9" t="str">
        <f>_xll.SNL.Clients.Office.Excel.Functions.SPG(BE390, "SP_COUNTRY_NAME")</f>
        <v>South Africa</v>
      </c>
      <c r="BM390" s="9" t="str">
        <f>_xll.SNL.Clients.Office.Excel.Functions.SPG(BJ390, "SP_COUNTRY_NAME")</f>
        <v>#INVALID COMPANY ID</v>
      </c>
      <c r="BR390" s="9" t="str">
        <f>_xll.SNL.Clients.Office.Excel.Functions.SPG(BO390, "SP_COUNTRY_NAME")</f>
        <v>#INVALID COMPANY ID</v>
      </c>
      <c r="BS390" t="s">
        <v>866</v>
      </c>
      <c r="BT390">
        <v>5829542</v>
      </c>
      <c r="BU390" t="s">
        <v>346</v>
      </c>
      <c r="BV390" s="11">
        <v>0</v>
      </c>
      <c r="BW390" s="9" t="str">
        <f>_xll.SNL.Clients.Office.Excel.Functions.SPG(BT390, "SP_COUNTRY_NAME")</f>
        <v>China</v>
      </c>
      <c r="BX390" t="s">
        <v>921</v>
      </c>
      <c r="BY390">
        <v>5853282</v>
      </c>
      <c r="BZ390" t="s">
        <v>346</v>
      </c>
      <c r="CA390" s="11">
        <v>0</v>
      </c>
      <c r="CB390" s="9" t="str">
        <f>_xll.SNL.Clients.Office.Excel.Functions.SPG(BY390, "SP_COUNTRY_NAME")</f>
        <v>China</v>
      </c>
      <c r="CC390" t="s">
        <v>1818</v>
      </c>
      <c r="CD390">
        <v>111511</v>
      </c>
      <c r="CE390" t="s">
        <v>346</v>
      </c>
      <c r="CF390" s="11">
        <v>0</v>
      </c>
      <c r="CG390" s="9" t="str">
        <f>_xll.SNL.Clients.Office.Excel.Functions.SPG(CD390, "SP_COUNTRY_NAME")</f>
        <v>USA</v>
      </c>
      <c r="CL390" s="9" t="str">
        <f>_xll.SNL.Clients.Office.Excel.Functions.SPG(CI390, "SP_COUNTRY_NAME")</f>
        <v>#INVALID COMPANY ID</v>
      </c>
      <c r="CM390" t="s">
        <v>2068</v>
      </c>
      <c r="CN390" t="s">
        <v>300</v>
      </c>
      <c r="CO390" t="s">
        <v>361</v>
      </c>
      <c r="CP390" s="11">
        <v>0</v>
      </c>
      <c r="CQ390" s="9" t="str">
        <f>_xll.SNL.Clients.Office.Excel.Functions.SPG(CN390, "SP_COUNTRY_NAME")</f>
        <v>China</v>
      </c>
      <c r="CV390" s="9" t="str">
        <f>_xll.SNL.Clients.Office.Excel.Functions.SPG(CS390, "SP_COUNTRY_NAME")</f>
        <v>#INVALID COMPANY ID</v>
      </c>
      <c r="DA390" s="9" t="str">
        <f>_xll.SNL.Clients.Office.Excel.Functions.SPG(CX390, "SP_COUNTRY_NAME")</f>
        <v>#INVALID COMPANY ID</v>
      </c>
      <c r="DB390" t="s">
        <v>1516</v>
      </c>
      <c r="DC390">
        <v>7059944</v>
      </c>
      <c r="DD390" t="s">
        <v>346</v>
      </c>
      <c r="DE390" s="11">
        <v>0</v>
      </c>
      <c r="DF390" s="9" t="str">
        <f>_xll.SNL.Clients.Office.Excel.Functions.SPG(DC390, "SP_COUNTRY_NAME")</f>
        <v>South Africa</v>
      </c>
      <c r="DK390" s="9" t="str">
        <f>_xll.SNL.Clients.Office.Excel.Functions.SPG(DH390, "SP_COUNTRY_NAME")</f>
        <v>#INVALID COMPANY ID</v>
      </c>
      <c r="DL390" t="s">
        <v>1516</v>
      </c>
      <c r="DM390">
        <v>7059944</v>
      </c>
      <c r="DN390" t="s">
        <v>346</v>
      </c>
      <c r="DO390" s="11">
        <v>0</v>
      </c>
      <c r="DP390" s="9" t="str">
        <f>_xll.SNL.Clients.Office.Excel.Functions.SPG(DM390, "SP_COUNTRY_NAME")</f>
        <v>South Africa</v>
      </c>
      <c r="DU390" s="9" t="str">
        <f>_xll.SNL.Clients.Office.Excel.Functions.SPG(DR390, "SP_COUNTRY_NAME")</f>
        <v>#INVALID COMPANY ID</v>
      </c>
      <c r="DZ390" s="9" t="str">
        <f>_xll.SNL.Clients.Office.Excel.Functions.SPG(DW390, "SP_COUNTRY_NAME")</f>
        <v>#INVALID COMPANY ID</v>
      </c>
      <c r="EA390" t="s">
        <v>1818</v>
      </c>
      <c r="EB390">
        <v>111511</v>
      </c>
      <c r="EC390" t="s">
        <v>346</v>
      </c>
      <c r="ED390" s="11">
        <v>0</v>
      </c>
      <c r="EE390" s="9" t="str">
        <f>_xll.SNL.Clients.Office.Excel.Functions.SPG(EB390, "SP_COUNTRY_NAME")</f>
        <v>USA</v>
      </c>
      <c r="EF390" t="s">
        <v>1516</v>
      </c>
      <c r="EG390">
        <v>7059944</v>
      </c>
      <c r="EH390" t="s">
        <v>346</v>
      </c>
      <c r="EI390" s="11">
        <v>0</v>
      </c>
      <c r="EJ390" s="9" t="str">
        <f>_xll.SNL.Clients.Office.Excel.Functions.SPG(EG390, "SP_COUNTRY_NAME")</f>
        <v>South Africa</v>
      </c>
      <c r="EO390" s="9" t="str">
        <f>_xll.SNL.Clients.Office.Excel.Functions.SPG(EL390, "SP_COUNTRY_NAME")</f>
        <v>#INVALID COMPANY ID</v>
      </c>
      <c r="ET390" s="9" t="str">
        <f>_xll.SNL.Clients.Office.Excel.Functions.SPG(EQ390, "SP_COUNTRY_NAME")</f>
        <v>#INVALID COMPANY ID</v>
      </c>
      <c r="EY390" s="9" t="str">
        <f>_xll.SNL.Clients.Office.Excel.Functions.SPG(EV390, "SP_COUNTRY_NAME")</f>
        <v>#INVALID COMPANY ID</v>
      </c>
      <c r="FD390" s="9" t="str">
        <f>_xll.SNL.Clients.Office.Excel.Functions.SPG(FA390, "SP_COUNTRY_NAME")</f>
        <v>#INVALID COMPANY ID</v>
      </c>
      <c r="FI390" s="9" t="str">
        <f>_xll.SNL.Clients.Office.Excel.Functions.SPG(FF390, "SP_COUNTRY_NAME")</f>
        <v>#INVALID COMPANY ID</v>
      </c>
      <c r="FN390" s="9" t="str">
        <f>_xll.SNL.Clients.Office.Excel.Functions.SPG(FK390, "SP_COUNTRY_NAME")</f>
        <v>#INVALID COMPANY ID</v>
      </c>
      <c r="FS390" s="9" t="str">
        <f>_xll.SNL.Clients.Office.Excel.Functions.SPG(FP390, "SP_COUNTRY_NAME")</f>
        <v>#INVALID COMPANY ID</v>
      </c>
      <c r="FX390" s="9" t="str">
        <f>_xll.SNL.Clients.Office.Excel.Functions.SPG(FU390, "SP_COUNTRY_NAME")</f>
        <v>#INVALID COMPANY ID</v>
      </c>
      <c r="FY390" t="s">
        <v>1516</v>
      </c>
      <c r="FZ390">
        <v>7059944</v>
      </c>
      <c r="GA390" t="s">
        <v>346</v>
      </c>
      <c r="GB390" s="11">
        <v>0</v>
      </c>
      <c r="GC390" s="9" t="str">
        <f>_xll.SNL.Clients.Office.Excel.Functions.SPG(FZ390, "SP_COUNTRY_NAME")</f>
        <v>South Africa</v>
      </c>
      <c r="GH390" s="9" t="str">
        <f>_xll.SNL.Clients.Office.Excel.Functions.SPG(GE390, "SP_COUNTRY_NAME")</f>
        <v>#INVALID COMPANY ID</v>
      </c>
      <c r="GM390" s="9" t="str">
        <f>_xll.SNL.Clients.Office.Excel.Functions.SPG(GJ390, "SP_COUNTRY_NAME")</f>
        <v>#INVALID COMPANY ID</v>
      </c>
      <c r="GR390" s="9" t="str">
        <f>_xll.SNL.Clients.Office.Excel.Functions.SPG(GO390, "SP_COUNTRY_NAME")</f>
        <v>#INVALID COMPANY ID</v>
      </c>
      <c r="GW390" s="9" t="str">
        <f>_xll.SNL.Clients.Office.Excel.Functions.SPG(GT390, "SP_COUNTRY_NAME")</f>
        <v>#INVALID COMPANY ID</v>
      </c>
      <c r="GX390" t="s">
        <v>1818</v>
      </c>
      <c r="GY390">
        <v>111511</v>
      </c>
      <c r="GZ390" t="s">
        <v>346</v>
      </c>
      <c r="HA390" s="11">
        <v>0</v>
      </c>
      <c r="HB390" s="9" t="str">
        <f>_xll.SNL.Clients.Office.Excel.Functions.SPG(GY390, "SP_COUNTRY_NAME")</f>
        <v>USA</v>
      </c>
      <c r="HG390" s="9" t="str">
        <f>_xll.SNL.Clients.Office.Excel.Functions.SPG(HD390, "SP_COUNTRY_NAME")</f>
        <v>#INVALID COMPANY ID</v>
      </c>
    </row>
    <row r="391" spans="5:215" x14ac:dyDescent="0.35">
      <c r="E391" s="9" t="str">
        <f>_xll.SNL.Clients.Office.Excel.Functions.SPG(B391, "SP_COUNTRY_NAME")</f>
        <v>#INVALID COMPANY ID</v>
      </c>
      <c r="J391" s="9" t="str">
        <f>_xll.SNL.Clients.Office.Excel.Functions.SPG(G391, "SP_COUNTRY_NAME")</f>
        <v>#INVALID COMPANY ID</v>
      </c>
      <c r="O391" s="9" t="str">
        <f>_xll.SNL.Clients.Office.Excel.Functions.SPG(L391, "SP_COUNTRY_NAME")</f>
        <v>#INVALID COMPANY ID</v>
      </c>
      <c r="T391" s="9" t="str">
        <f>_xll.SNL.Clients.Office.Excel.Functions.SPG(Q391, "SP_COUNTRY_NAME")</f>
        <v>#INVALID COMPANY ID</v>
      </c>
      <c r="U391" t="s">
        <v>922</v>
      </c>
      <c r="V391">
        <v>25461354</v>
      </c>
      <c r="W391" t="s">
        <v>346</v>
      </c>
      <c r="X391" s="11">
        <v>0</v>
      </c>
      <c r="Y391" s="9" t="str">
        <f>_xll.SNL.Clients.Office.Excel.Functions.SPG(V391, "SP_COUNTRY_NAME")</f>
        <v>Spain</v>
      </c>
      <c r="AD391" s="9" t="str">
        <f>_xll.SNL.Clients.Office.Excel.Functions.SPG(AA391, "SP_COUNTRY_NAME")</f>
        <v>#INVALID COMPANY ID</v>
      </c>
      <c r="AI391" s="9" t="str">
        <f>_xll.SNL.Clients.Office.Excel.Functions.SPG(AF391, "SP_COUNTRY_NAME")</f>
        <v>#INVALID COMPANY ID</v>
      </c>
      <c r="AN391" s="9" t="str">
        <f>_xll.SNL.Clients.Office.Excel.Functions.SPG(AK391, "SP_COUNTRY_NAME")</f>
        <v>#INVALID COMPANY ID</v>
      </c>
      <c r="AS391" s="9" t="str">
        <f>_xll.SNL.Clients.Office.Excel.Functions.SPG(AP391, "SP_COUNTRY_NAME")</f>
        <v>#INVALID COMPANY ID</v>
      </c>
      <c r="AX391" s="9" t="str">
        <f>_xll.SNL.Clients.Office.Excel.Functions.SPG(AU391, "SP_COUNTRY_NAME")</f>
        <v>#INVALID COMPANY ID</v>
      </c>
      <c r="BC391" s="9" t="str">
        <f>_xll.SNL.Clients.Office.Excel.Functions.SPG(AZ391, "SP_COUNTRY_NAME")</f>
        <v>#INVALID COMPANY ID</v>
      </c>
      <c r="BD391" t="s">
        <v>1517</v>
      </c>
      <c r="BE391" t="s">
        <v>300</v>
      </c>
      <c r="BF391" t="s">
        <v>361</v>
      </c>
      <c r="BG391" s="11">
        <v>0</v>
      </c>
      <c r="BH391" s="9" t="str">
        <f>_xll.SNL.Clients.Office.Excel.Functions.SPG(BE391, "SP_COUNTRY_NAME")</f>
        <v>China</v>
      </c>
      <c r="BM391" s="9" t="str">
        <f>_xll.SNL.Clients.Office.Excel.Functions.SPG(BJ391, "SP_COUNTRY_NAME")</f>
        <v>#INVALID COMPANY ID</v>
      </c>
      <c r="BR391" s="9" t="str">
        <f>_xll.SNL.Clients.Office.Excel.Functions.SPG(BO391, "SP_COUNTRY_NAME")</f>
        <v>#INVALID COMPANY ID</v>
      </c>
      <c r="BS391" t="s">
        <v>1053</v>
      </c>
      <c r="BT391">
        <v>4783459</v>
      </c>
      <c r="BU391" t="s">
        <v>346</v>
      </c>
      <c r="BV391" s="11">
        <v>0</v>
      </c>
      <c r="BW391" s="9" t="str">
        <f>_xll.SNL.Clients.Office.Excel.Functions.SPG(BT391, "SP_COUNTRY_NAME")</f>
        <v>France</v>
      </c>
      <c r="BX391" t="s">
        <v>922</v>
      </c>
      <c r="BY391">
        <v>25461354</v>
      </c>
      <c r="BZ391" t="s">
        <v>346</v>
      </c>
      <c r="CA391" s="11">
        <v>0</v>
      </c>
      <c r="CB391" s="9" t="str">
        <f>_xll.SNL.Clients.Office.Excel.Functions.SPG(BY391, "SP_COUNTRY_NAME")</f>
        <v>Spain</v>
      </c>
      <c r="CC391" t="s">
        <v>1819</v>
      </c>
      <c r="CD391">
        <v>19088276</v>
      </c>
      <c r="CE391" t="s">
        <v>364</v>
      </c>
      <c r="CF391" s="11">
        <v>0</v>
      </c>
      <c r="CG391" s="9" t="str">
        <f>_xll.SNL.Clients.Office.Excel.Functions.SPG(CD391, "SP_COUNTRY_NAME")</f>
        <v>Brazil</v>
      </c>
      <c r="CL391" s="9" t="str">
        <f>_xll.SNL.Clients.Office.Excel.Functions.SPG(CI391, "SP_COUNTRY_NAME")</f>
        <v>#INVALID COMPANY ID</v>
      </c>
      <c r="CM391" t="s">
        <v>1372</v>
      </c>
      <c r="CN391">
        <v>5869594</v>
      </c>
      <c r="CO391" t="s">
        <v>346</v>
      </c>
      <c r="CP391" s="11">
        <v>0</v>
      </c>
      <c r="CQ391" s="9" t="str">
        <f>_xll.SNL.Clients.Office.Excel.Functions.SPG(CN391, "SP_COUNTRY_NAME")</f>
        <v>South Africa</v>
      </c>
      <c r="CV391" s="9" t="str">
        <f>_xll.SNL.Clients.Office.Excel.Functions.SPG(CS391, "SP_COUNTRY_NAME")</f>
        <v>#INVALID COMPANY ID</v>
      </c>
      <c r="DA391" s="9" t="str">
        <f>_xll.SNL.Clients.Office.Excel.Functions.SPG(CX391, "SP_COUNTRY_NAME")</f>
        <v>#INVALID COMPANY ID</v>
      </c>
      <c r="DB391" t="s">
        <v>1517</v>
      </c>
      <c r="DC391" t="s">
        <v>300</v>
      </c>
      <c r="DD391" t="s">
        <v>361</v>
      </c>
      <c r="DE391" s="11">
        <v>0</v>
      </c>
      <c r="DF391" s="9" t="str">
        <f>_xll.SNL.Clients.Office.Excel.Functions.SPG(DC391, "SP_COUNTRY_NAME")</f>
        <v>China</v>
      </c>
      <c r="DK391" s="9" t="str">
        <f>_xll.SNL.Clients.Office.Excel.Functions.SPG(DH391, "SP_COUNTRY_NAME")</f>
        <v>#INVALID COMPANY ID</v>
      </c>
      <c r="DL391" t="s">
        <v>1517</v>
      </c>
      <c r="DM391" t="s">
        <v>300</v>
      </c>
      <c r="DN391" t="s">
        <v>361</v>
      </c>
      <c r="DO391" s="11">
        <v>0</v>
      </c>
      <c r="DP391" s="9" t="str">
        <f>_xll.SNL.Clients.Office.Excel.Functions.SPG(DM391, "SP_COUNTRY_NAME")</f>
        <v>China</v>
      </c>
      <c r="DU391" s="9" t="str">
        <f>_xll.SNL.Clients.Office.Excel.Functions.SPG(DR391, "SP_COUNTRY_NAME")</f>
        <v>#INVALID COMPANY ID</v>
      </c>
      <c r="DZ391" s="9" t="str">
        <f>_xll.SNL.Clients.Office.Excel.Functions.SPG(DW391, "SP_COUNTRY_NAME")</f>
        <v>#INVALID COMPANY ID</v>
      </c>
      <c r="EA391" t="s">
        <v>1819</v>
      </c>
      <c r="EB391">
        <v>19088276</v>
      </c>
      <c r="EC391" t="s">
        <v>364</v>
      </c>
      <c r="ED391" s="11">
        <v>0</v>
      </c>
      <c r="EE391" s="9" t="str">
        <f>_xll.SNL.Clients.Office.Excel.Functions.SPG(EB391, "SP_COUNTRY_NAME")</f>
        <v>Brazil</v>
      </c>
      <c r="EF391" t="s">
        <v>1517</v>
      </c>
      <c r="EG391" t="s">
        <v>300</v>
      </c>
      <c r="EH391" t="s">
        <v>361</v>
      </c>
      <c r="EI391" s="11">
        <v>0</v>
      </c>
      <c r="EJ391" s="9" t="str">
        <f>_xll.SNL.Clients.Office.Excel.Functions.SPG(EG391, "SP_COUNTRY_NAME")</f>
        <v>China</v>
      </c>
      <c r="EO391" s="9" t="str">
        <f>_xll.SNL.Clients.Office.Excel.Functions.SPG(EL391, "SP_COUNTRY_NAME")</f>
        <v>#INVALID COMPANY ID</v>
      </c>
      <c r="ET391" s="9" t="str">
        <f>_xll.SNL.Clients.Office.Excel.Functions.SPG(EQ391, "SP_COUNTRY_NAME")</f>
        <v>#INVALID COMPANY ID</v>
      </c>
      <c r="EY391" s="9" t="str">
        <f>_xll.SNL.Clients.Office.Excel.Functions.SPG(EV391, "SP_COUNTRY_NAME")</f>
        <v>#INVALID COMPANY ID</v>
      </c>
      <c r="FD391" s="9" t="str">
        <f>_xll.SNL.Clients.Office.Excel.Functions.SPG(FA391, "SP_COUNTRY_NAME")</f>
        <v>#INVALID COMPANY ID</v>
      </c>
      <c r="FI391" s="9" t="str">
        <f>_xll.SNL.Clients.Office.Excel.Functions.SPG(FF391, "SP_COUNTRY_NAME")</f>
        <v>#INVALID COMPANY ID</v>
      </c>
      <c r="FN391" s="9" t="str">
        <f>_xll.SNL.Clients.Office.Excel.Functions.SPG(FK391, "SP_COUNTRY_NAME")</f>
        <v>#INVALID COMPANY ID</v>
      </c>
      <c r="FS391" s="9" t="str">
        <f>_xll.SNL.Clients.Office.Excel.Functions.SPG(FP391, "SP_COUNTRY_NAME")</f>
        <v>#INVALID COMPANY ID</v>
      </c>
      <c r="FX391" s="9" t="str">
        <f>_xll.SNL.Clients.Office.Excel.Functions.SPG(FU391, "SP_COUNTRY_NAME")</f>
        <v>#INVALID COMPANY ID</v>
      </c>
      <c r="FY391" t="s">
        <v>1517</v>
      </c>
      <c r="FZ391" t="s">
        <v>300</v>
      </c>
      <c r="GA391" t="s">
        <v>361</v>
      </c>
      <c r="GB391" s="11">
        <v>0</v>
      </c>
      <c r="GC391" s="9" t="str">
        <f>_xll.SNL.Clients.Office.Excel.Functions.SPG(FZ391, "SP_COUNTRY_NAME")</f>
        <v>China</v>
      </c>
      <c r="GH391" s="9" t="str">
        <f>_xll.SNL.Clients.Office.Excel.Functions.SPG(GE391, "SP_COUNTRY_NAME")</f>
        <v>#INVALID COMPANY ID</v>
      </c>
      <c r="GM391" s="9" t="str">
        <f>_xll.SNL.Clients.Office.Excel.Functions.SPG(GJ391, "SP_COUNTRY_NAME")</f>
        <v>#INVALID COMPANY ID</v>
      </c>
      <c r="GR391" s="9" t="str">
        <f>_xll.SNL.Clients.Office.Excel.Functions.SPG(GO391, "SP_COUNTRY_NAME")</f>
        <v>#INVALID COMPANY ID</v>
      </c>
      <c r="GW391" s="9" t="str">
        <f>_xll.SNL.Clients.Office.Excel.Functions.SPG(GT391, "SP_COUNTRY_NAME")</f>
        <v>#INVALID COMPANY ID</v>
      </c>
      <c r="GX391" t="s">
        <v>1819</v>
      </c>
      <c r="GY391">
        <v>19088276</v>
      </c>
      <c r="GZ391" t="s">
        <v>364</v>
      </c>
      <c r="HA391" s="11">
        <v>0</v>
      </c>
      <c r="HB391" s="9" t="str">
        <f>_xll.SNL.Clients.Office.Excel.Functions.SPG(GY391, "SP_COUNTRY_NAME")</f>
        <v>Brazil</v>
      </c>
      <c r="HG391" s="9" t="str">
        <f>_xll.SNL.Clients.Office.Excel.Functions.SPG(HD391, "SP_COUNTRY_NAME")</f>
        <v>#INVALID COMPANY ID</v>
      </c>
    </row>
    <row r="392" spans="5:215" x14ac:dyDescent="0.35">
      <c r="E392" s="9" t="str">
        <f>_xll.SNL.Clients.Office.Excel.Functions.SPG(B392, "SP_COUNTRY_NAME")</f>
        <v>#INVALID COMPANY ID</v>
      </c>
      <c r="J392" s="9" t="str">
        <f>_xll.SNL.Clients.Office.Excel.Functions.SPG(G392, "SP_COUNTRY_NAME")</f>
        <v>#INVALID COMPANY ID</v>
      </c>
      <c r="O392" s="9" t="str">
        <f>_xll.SNL.Clients.Office.Excel.Functions.SPG(L392, "SP_COUNTRY_NAME")</f>
        <v>#INVALID COMPANY ID</v>
      </c>
      <c r="T392" s="9" t="str">
        <f>_xll.SNL.Clients.Office.Excel.Functions.SPG(Q392, "SP_COUNTRY_NAME")</f>
        <v>#INVALID COMPANY ID</v>
      </c>
      <c r="U392" t="s">
        <v>923</v>
      </c>
      <c r="V392">
        <v>4119489</v>
      </c>
      <c r="W392" t="s">
        <v>346</v>
      </c>
      <c r="X392" s="11">
        <v>0</v>
      </c>
      <c r="Y392" s="9" t="str">
        <f>_xll.SNL.Clients.Office.Excel.Functions.SPG(V392, "SP_COUNTRY_NAME")</f>
        <v>USA</v>
      </c>
      <c r="AD392" s="9" t="str">
        <f>_xll.SNL.Clients.Office.Excel.Functions.SPG(AA392, "SP_COUNTRY_NAME")</f>
        <v>#INVALID COMPANY ID</v>
      </c>
      <c r="AI392" s="9" t="str">
        <f>_xll.SNL.Clients.Office.Excel.Functions.SPG(AF392, "SP_COUNTRY_NAME")</f>
        <v>#INVALID COMPANY ID</v>
      </c>
      <c r="AN392" s="9" t="str">
        <f>_xll.SNL.Clients.Office.Excel.Functions.SPG(AK392, "SP_COUNTRY_NAME")</f>
        <v>#INVALID COMPANY ID</v>
      </c>
      <c r="AS392" s="9" t="str">
        <f>_xll.SNL.Clients.Office.Excel.Functions.SPG(AP392, "SP_COUNTRY_NAME")</f>
        <v>#INVALID COMPANY ID</v>
      </c>
      <c r="AX392" s="9" t="str">
        <f>_xll.SNL.Clients.Office.Excel.Functions.SPG(AU392, "SP_COUNTRY_NAME")</f>
        <v>#INVALID COMPANY ID</v>
      </c>
      <c r="BC392" s="9" t="str">
        <f>_xll.SNL.Clients.Office.Excel.Functions.SPG(AZ392, "SP_COUNTRY_NAME")</f>
        <v>#INVALID COMPANY ID</v>
      </c>
      <c r="BD392" t="s">
        <v>574</v>
      </c>
      <c r="BE392">
        <v>4049157</v>
      </c>
      <c r="BF392" t="s">
        <v>346</v>
      </c>
      <c r="BG392" s="11">
        <v>0</v>
      </c>
      <c r="BH392" s="9" t="str">
        <f>_xll.SNL.Clients.Office.Excel.Functions.SPG(BE392, "SP_COUNTRY_NAME")</f>
        <v>USA</v>
      </c>
      <c r="BM392" s="9" t="str">
        <f>_xll.SNL.Clients.Office.Excel.Functions.SPG(BJ392, "SP_COUNTRY_NAME")</f>
        <v>#INVALID COMPANY ID</v>
      </c>
      <c r="BR392" s="9" t="str">
        <f>_xll.SNL.Clients.Office.Excel.Functions.SPG(BO392, "SP_COUNTRY_NAME")</f>
        <v>#INVALID COMPANY ID</v>
      </c>
      <c r="BS392" t="s">
        <v>480</v>
      </c>
      <c r="BT392">
        <v>4119651</v>
      </c>
      <c r="BU392" t="s">
        <v>346</v>
      </c>
      <c r="BV392" s="11">
        <v>0</v>
      </c>
      <c r="BW392" s="9" t="str">
        <f>_xll.SNL.Clients.Office.Excel.Functions.SPG(BT392, "SP_COUNTRY_NAME")</f>
        <v>USA</v>
      </c>
      <c r="BX392" t="s">
        <v>923</v>
      </c>
      <c r="BY392">
        <v>4119489</v>
      </c>
      <c r="BZ392" t="s">
        <v>346</v>
      </c>
      <c r="CA392" s="11">
        <v>0</v>
      </c>
      <c r="CB392" s="9" t="str">
        <f>_xll.SNL.Clients.Office.Excel.Functions.SPG(BY392, "SP_COUNTRY_NAME")</f>
        <v>USA</v>
      </c>
      <c r="CC392" t="s">
        <v>1820</v>
      </c>
      <c r="CD392">
        <v>4230918</v>
      </c>
      <c r="CE392" t="s">
        <v>346</v>
      </c>
      <c r="CF392" s="11">
        <v>0</v>
      </c>
      <c r="CG392" s="9" t="str">
        <f>_xll.SNL.Clients.Office.Excel.Functions.SPG(CD392, "SP_COUNTRY_NAME")</f>
        <v>USA</v>
      </c>
      <c r="CL392" s="9" t="str">
        <f>_xll.SNL.Clients.Office.Excel.Functions.SPG(CI392, "SP_COUNTRY_NAME")</f>
        <v>#INVALID COMPANY ID</v>
      </c>
      <c r="CM392" t="s">
        <v>1307</v>
      </c>
      <c r="CN392">
        <v>5852488</v>
      </c>
      <c r="CO392" t="s">
        <v>346</v>
      </c>
      <c r="CP392" s="11">
        <v>0</v>
      </c>
      <c r="CQ392" s="9" t="str">
        <f>_xll.SNL.Clients.Office.Excel.Functions.SPG(CN392, "SP_COUNTRY_NAME")</f>
        <v>South Africa</v>
      </c>
      <c r="CV392" s="9" t="str">
        <f>_xll.SNL.Clients.Office.Excel.Functions.SPG(CS392, "SP_COUNTRY_NAME")</f>
        <v>#INVALID COMPANY ID</v>
      </c>
      <c r="DA392" s="9" t="str">
        <f>_xll.SNL.Clients.Office.Excel.Functions.SPG(CX392, "SP_COUNTRY_NAME")</f>
        <v>#INVALID COMPANY ID</v>
      </c>
      <c r="DB392" t="s">
        <v>574</v>
      </c>
      <c r="DC392">
        <v>4049157</v>
      </c>
      <c r="DD392" t="s">
        <v>346</v>
      </c>
      <c r="DE392" s="11">
        <v>0</v>
      </c>
      <c r="DF392" s="9" t="str">
        <f>_xll.SNL.Clients.Office.Excel.Functions.SPG(DC392, "SP_COUNTRY_NAME")</f>
        <v>USA</v>
      </c>
      <c r="DK392" s="9" t="str">
        <f>_xll.SNL.Clients.Office.Excel.Functions.SPG(DH392, "SP_COUNTRY_NAME")</f>
        <v>#INVALID COMPANY ID</v>
      </c>
      <c r="DL392" t="s">
        <v>574</v>
      </c>
      <c r="DM392">
        <v>4049157</v>
      </c>
      <c r="DN392" t="s">
        <v>346</v>
      </c>
      <c r="DO392" s="11">
        <v>0</v>
      </c>
      <c r="DP392" s="9" t="str">
        <f>_xll.SNL.Clients.Office.Excel.Functions.SPG(DM392, "SP_COUNTRY_NAME")</f>
        <v>USA</v>
      </c>
      <c r="DU392" s="9" t="str">
        <f>_xll.SNL.Clients.Office.Excel.Functions.SPG(DR392, "SP_COUNTRY_NAME")</f>
        <v>#INVALID COMPANY ID</v>
      </c>
      <c r="DZ392" s="9" t="str">
        <f>_xll.SNL.Clients.Office.Excel.Functions.SPG(DW392, "SP_COUNTRY_NAME")</f>
        <v>#INVALID COMPANY ID</v>
      </c>
      <c r="EA392" t="s">
        <v>1820</v>
      </c>
      <c r="EB392">
        <v>4230918</v>
      </c>
      <c r="EC392" t="s">
        <v>346</v>
      </c>
      <c r="ED392" s="11">
        <v>0</v>
      </c>
      <c r="EE392" s="9" t="str">
        <f>_xll.SNL.Clients.Office.Excel.Functions.SPG(EB392, "SP_COUNTRY_NAME")</f>
        <v>USA</v>
      </c>
      <c r="EF392" t="s">
        <v>574</v>
      </c>
      <c r="EG392">
        <v>4049157</v>
      </c>
      <c r="EH392" t="s">
        <v>346</v>
      </c>
      <c r="EI392" s="11">
        <v>0</v>
      </c>
      <c r="EJ392" s="9" t="str">
        <f>_xll.SNL.Clients.Office.Excel.Functions.SPG(EG392, "SP_COUNTRY_NAME")</f>
        <v>USA</v>
      </c>
      <c r="EO392" s="9" t="str">
        <f>_xll.SNL.Clients.Office.Excel.Functions.SPG(EL392, "SP_COUNTRY_NAME")</f>
        <v>#INVALID COMPANY ID</v>
      </c>
      <c r="ET392" s="9" t="str">
        <f>_xll.SNL.Clients.Office.Excel.Functions.SPG(EQ392, "SP_COUNTRY_NAME")</f>
        <v>#INVALID COMPANY ID</v>
      </c>
      <c r="EY392" s="9" t="str">
        <f>_xll.SNL.Clients.Office.Excel.Functions.SPG(EV392, "SP_COUNTRY_NAME")</f>
        <v>#INVALID COMPANY ID</v>
      </c>
      <c r="FD392" s="9" t="str">
        <f>_xll.SNL.Clients.Office.Excel.Functions.SPG(FA392, "SP_COUNTRY_NAME")</f>
        <v>#INVALID COMPANY ID</v>
      </c>
      <c r="FI392" s="9" t="str">
        <f>_xll.SNL.Clients.Office.Excel.Functions.SPG(FF392, "SP_COUNTRY_NAME")</f>
        <v>#INVALID COMPANY ID</v>
      </c>
      <c r="FN392" s="9" t="str">
        <f>_xll.SNL.Clients.Office.Excel.Functions.SPG(FK392, "SP_COUNTRY_NAME")</f>
        <v>#INVALID COMPANY ID</v>
      </c>
      <c r="FS392" s="9" t="str">
        <f>_xll.SNL.Clients.Office.Excel.Functions.SPG(FP392, "SP_COUNTRY_NAME")</f>
        <v>#INVALID COMPANY ID</v>
      </c>
      <c r="FX392" s="9" t="str">
        <f>_xll.SNL.Clients.Office.Excel.Functions.SPG(FU392, "SP_COUNTRY_NAME")</f>
        <v>#INVALID COMPANY ID</v>
      </c>
      <c r="FY392" t="s">
        <v>574</v>
      </c>
      <c r="FZ392">
        <v>4049157</v>
      </c>
      <c r="GA392" t="s">
        <v>346</v>
      </c>
      <c r="GB392" s="11">
        <v>0</v>
      </c>
      <c r="GC392" s="9" t="str">
        <f>_xll.SNL.Clients.Office.Excel.Functions.SPG(FZ392, "SP_COUNTRY_NAME")</f>
        <v>USA</v>
      </c>
      <c r="GH392" s="9" t="str">
        <f>_xll.SNL.Clients.Office.Excel.Functions.SPG(GE392, "SP_COUNTRY_NAME")</f>
        <v>#INVALID COMPANY ID</v>
      </c>
      <c r="GM392" s="9" t="str">
        <f>_xll.SNL.Clients.Office.Excel.Functions.SPG(GJ392, "SP_COUNTRY_NAME")</f>
        <v>#INVALID COMPANY ID</v>
      </c>
      <c r="GR392" s="9" t="str">
        <f>_xll.SNL.Clients.Office.Excel.Functions.SPG(GO392, "SP_COUNTRY_NAME")</f>
        <v>#INVALID COMPANY ID</v>
      </c>
      <c r="GW392" s="9" t="str">
        <f>_xll.SNL.Clients.Office.Excel.Functions.SPG(GT392, "SP_COUNTRY_NAME")</f>
        <v>#INVALID COMPANY ID</v>
      </c>
      <c r="GX392" t="s">
        <v>1820</v>
      </c>
      <c r="GY392">
        <v>4230918</v>
      </c>
      <c r="GZ392" t="s">
        <v>346</v>
      </c>
      <c r="HA392" s="11">
        <v>0</v>
      </c>
      <c r="HB392" s="9" t="str">
        <f>_xll.SNL.Clients.Office.Excel.Functions.SPG(GY392, "SP_COUNTRY_NAME")</f>
        <v>USA</v>
      </c>
      <c r="HG392" s="9" t="str">
        <f>_xll.SNL.Clients.Office.Excel.Functions.SPG(HD392, "SP_COUNTRY_NAME")</f>
        <v>#INVALID COMPANY ID</v>
      </c>
    </row>
    <row r="393" spans="5:215" x14ac:dyDescent="0.35">
      <c r="E393" s="9" t="str">
        <f>_xll.SNL.Clients.Office.Excel.Functions.SPG(B393, "SP_COUNTRY_NAME")</f>
        <v>#INVALID COMPANY ID</v>
      </c>
      <c r="J393" s="9" t="str">
        <f>_xll.SNL.Clients.Office.Excel.Functions.SPG(G393, "SP_COUNTRY_NAME")</f>
        <v>#INVALID COMPANY ID</v>
      </c>
      <c r="O393" s="9" t="str">
        <f>_xll.SNL.Clients.Office.Excel.Functions.SPG(L393, "SP_COUNTRY_NAME")</f>
        <v>#INVALID COMPANY ID</v>
      </c>
      <c r="T393" s="9" t="str">
        <f>_xll.SNL.Clients.Office.Excel.Functions.SPG(Q393, "SP_COUNTRY_NAME")</f>
        <v>#INVALID COMPANY ID</v>
      </c>
      <c r="U393" t="s">
        <v>618</v>
      </c>
      <c r="V393">
        <v>100406</v>
      </c>
      <c r="W393" t="s">
        <v>366</v>
      </c>
      <c r="X393" s="11">
        <v>0</v>
      </c>
      <c r="Y393" s="9" t="str">
        <f>_xll.SNL.Clients.Office.Excel.Functions.SPG(V393, "SP_COUNTRY_NAME")</f>
        <v>USA</v>
      </c>
      <c r="AD393" s="9" t="str">
        <f>_xll.SNL.Clients.Office.Excel.Functions.SPG(AA393, "SP_COUNTRY_NAME")</f>
        <v>#INVALID COMPANY ID</v>
      </c>
      <c r="AI393" s="9" t="str">
        <f>_xll.SNL.Clients.Office.Excel.Functions.SPG(AF393, "SP_COUNTRY_NAME")</f>
        <v>#INVALID COMPANY ID</v>
      </c>
      <c r="AN393" s="9" t="str">
        <f>_xll.SNL.Clients.Office.Excel.Functions.SPG(AK393, "SP_COUNTRY_NAME")</f>
        <v>#INVALID COMPANY ID</v>
      </c>
      <c r="AS393" s="9" t="str">
        <f>_xll.SNL.Clients.Office.Excel.Functions.SPG(AP393, "SP_COUNTRY_NAME")</f>
        <v>#INVALID COMPANY ID</v>
      </c>
      <c r="AX393" s="9" t="str">
        <f>_xll.SNL.Clients.Office.Excel.Functions.SPG(AU393, "SP_COUNTRY_NAME")</f>
        <v>#INVALID COMPANY ID</v>
      </c>
      <c r="BC393" s="9" t="str">
        <f>_xll.SNL.Clients.Office.Excel.Functions.SPG(AZ393, "SP_COUNTRY_NAME")</f>
        <v>#INVALID COMPANY ID</v>
      </c>
      <c r="BD393" t="s">
        <v>1518</v>
      </c>
      <c r="BE393">
        <v>114833789</v>
      </c>
      <c r="BF393" t="s">
        <v>346</v>
      </c>
      <c r="BG393" s="11">
        <v>0</v>
      </c>
      <c r="BH393" s="9" t="str">
        <f>_xll.SNL.Clients.Office.Excel.Functions.SPG(BE393, "SP_COUNTRY_NAME")</f>
        <v>Germany</v>
      </c>
      <c r="BM393" s="9" t="str">
        <f>_xll.SNL.Clients.Office.Excel.Functions.SPG(BJ393, "SP_COUNTRY_NAME")</f>
        <v>#INVALID COMPANY ID</v>
      </c>
      <c r="BR393" s="9" t="str">
        <f>_xll.SNL.Clients.Office.Excel.Functions.SPG(BO393, "SP_COUNTRY_NAME")</f>
        <v>#INVALID COMPANY ID</v>
      </c>
      <c r="BS393" t="s">
        <v>471</v>
      </c>
      <c r="BT393">
        <v>4102247</v>
      </c>
      <c r="BU393" t="s">
        <v>346</v>
      </c>
      <c r="BV393" s="11">
        <v>0</v>
      </c>
      <c r="BW393" s="9" t="str">
        <f>_xll.SNL.Clients.Office.Excel.Functions.SPG(BT393, "SP_COUNTRY_NAME")</f>
        <v>USA</v>
      </c>
      <c r="BX393" t="s">
        <v>618</v>
      </c>
      <c r="BY393">
        <v>100406</v>
      </c>
      <c r="BZ393" t="s">
        <v>366</v>
      </c>
      <c r="CA393" s="11">
        <v>0</v>
      </c>
      <c r="CB393" s="9" t="str">
        <f>_xll.SNL.Clients.Office.Excel.Functions.SPG(BY393, "SP_COUNTRY_NAME")</f>
        <v>USA</v>
      </c>
      <c r="CC393" t="s">
        <v>1150</v>
      </c>
      <c r="CD393">
        <v>4235429</v>
      </c>
      <c r="CE393" t="s">
        <v>346</v>
      </c>
      <c r="CF393" s="11">
        <v>0</v>
      </c>
      <c r="CG393" s="9" t="str">
        <f>_xll.SNL.Clients.Office.Excel.Functions.SPG(CD393, "SP_COUNTRY_NAME")</f>
        <v>Canada</v>
      </c>
      <c r="CL393" s="9" t="str">
        <f>_xll.SNL.Clients.Office.Excel.Functions.SPG(CI393, "SP_COUNTRY_NAME")</f>
        <v>#INVALID COMPANY ID</v>
      </c>
      <c r="CM393" t="s">
        <v>2069</v>
      </c>
      <c r="CN393">
        <v>108506278</v>
      </c>
      <c r="CO393" t="s">
        <v>346</v>
      </c>
      <c r="CP393" s="11">
        <v>0</v>
      </c>
      <c r="CQ393" s="9" t="str">
        <f>_xll.SNL.Clients.Office.Excel.Functions.SPG(CN393, "SP_COUNTRY_NAME")</f>
        <v>South Africa</v>
      </c>
      <c r="CV393" s="9" t="str">
        <f>_xll.SNL.Clients.Office.Excel.Functions.SPG(CS393, "SP_COUNTRY_NAME")</f>
        <v>#INVALID COMPANY ID</v>
      </c>
      <c r="DA393" s="9" t="str">
        <f>_xll.SNL.Clients.Office.Excel.Functions.SPG(CX393, "SP_COUNTRY_NAME")</f>
        <v>#INVALID COMPANY ID</v>
      </c>
      <c r="DB393" t="s">
        <v>1518</v>
      </c>
      <c r="DC393">
        <v>114833789</v>
      </c>
      <c r="DD393" t="s">
        <v>346</v>
      </c>
      <c r="DE393" s="11">
        <v>0</v>
      </c>
      <c r="DF393" s="9" t="str">
        <f>_xll.SNL.Clients.Office.Excel.Functions.SPG(DC393, "SP_COUNTRY_NAME")</f>
        <v>Germany</v>
      </c>
      <c r="DK393" s="9" t="str">
        <f>_xll.SNL.Clients.Office.Excel.Functions.SPG(DH393, "SP_COUNTRY_NAME")</f>
        <v>#INVALID COMPANY ID</v>
      </c>
      <c r="DL393" t="s">
        <v>1518</v>
      </c>
      <c r="DM393">
        <v>114833789</v>
      </c>
      <c r="DN393" t="s">
        <v>346</v>
      </c>
      <c r="DO393" s="11">
        <v>0</v>
      </c>
      <c r="DP393" s="9" t="str">
        <f>_xll.SNL.Clients.Office.Excel.Functions.SPG(DM393, "SP_COUNTRY_NAME")</f>
        <v>Germany</v>
      </c>
      <c r="DU393" s="9" t="str">
        <f>_xll.SNL.Clients.Office.Excel.Functions.SPG(DR393, "SP_COUNTRY_NAME")</f>
        <v>#INVALID COMPANY ID</v>
      </c>
      <c r="DZ393" s="9" t="str">
        <f>_xll.SNL.Clients.Office.Excel.Functions.SPG(DW393, "SP_COUNTRY_NAME")</f>
        <v>#INVALID COMPANY ID</v>
      </c>
      <c r="EA393" t="s">
        <v>1150</v>
      </c>
      <c r="EB393">
        <v>4235429</v>
      </c>
      <c r="EC393" t="s">
        <v>346</v>
      </c>
      <c r="ED393" s="11">
        <v>0</v>
      </c>
      <c r="EE393" s="9" t="str">
        <f>_xll.SNL.Clients.Office.Excel.Functions.SPG(EB393, "SP_COUNTRY_NAME")</f>
        <v>Canada</v>
      </c>
      <c r="EF393" t="s">
        <v>1518</v>
      </c>
      <c r="EG393">
        <v>114833789</v>
      </c>
      <c r="EH393" t="s">
        <v>346</v>
      </c>
      <c r="EI393" s="11">
        <v>0</v>
      </c>
      <c r="EJ393" s="9" t="str">
        <f>_xll.SNL.Clients.Office.Excel.Functions.SPG(EG393, "SP_COUNTRY_NAME")</f>
        <v>Germany</v>
      </c>
      <c r="EO393" s="9" t="str">
        <f>_xll.SNL.Clients.Office.Excel.Functions.SPG(EL393, "SP_COUNTRY_NAME")</f>
        <v>#INVALID COMPANY ID</v>
      </c>
      <c r="ET393" s="9" t="str">
        <f>_xll.SNL.Clients.Office.Excel.Functions.SPG(EQ393, "SP_COUNTRY_NAME")</f>
        <v>#INVALID COMPANY ID</v>
      </c>
      <c r="EY393" s="9" t="str">
        <f>_xll.SNL.Clients.Office.Excel.Functions.SPG(EV393, "SP_COUNTRY_NAME")</f>
        <v>#INVALID COMPANY ID</v>
      </c>
      <c r="FD393" s="9" t="str">
        <f>_xll.SNL.Clients.Office.Excel.Functions.SPG(FA393, "SP_COUNTRY_NAME")</f>
        <v>#INVALID COMPANY ID</v>
      </c>
      <c r="FI393" s="9" t="str">
        <f>_xll.SNL.Clients.Office.Excel.Functions.SPG(FF393, "SP_COUNTRY_NAME")</f>
        <v>#INVALID COMPANY ID</v>
      </c>
      <c r="FN393" s="9" t="str">
        <f>_xll.SNL.Clients.Office.Excel.Functions.SPG(FK393, "SP_COUNTRY_NAME")</f>
        <v>#INVALID COMPANY ID</v>
      </c>
      <c r="FS393" s="9" t="str">
        <f>_xll.SNL.Clients.Office.Excel.Functions.SPG(FP393, "SP_COUNTRY_NAME")</f>
        <v>#INVALID COMPANY ID</v>
      </c>
      <c r="FX393" s="9" t="str">
        <f>_xll.SNL.Clients.Office.Excel.Functions.SPG(FU393, "SP_COUNTRY_NAME")</f>
        <v>#INVALID COMPANY ID</v>
      </c>
      <c r="FY393" t="s">
        <v>1518</v>
      </c>
      <c r="FZ393">
        <v>114833789</v>
      </c>
      <c r="GA393" t="s">
        <v>346</v>
      </c>
      <c r="GB393" s="11">
        <v>0</v>
      </c>
      <c r="GC393" s="9" t="str">
        <f>_xll.SNL.Clients.Office.Excel.Functions.SPG(FZ393, "SP_COUNTRY_NAME")</f>
        <v>Germany</v>
      </c>
      <c r="GH393" s="9" t="str">
        <f>_xll.SNL.Clients.Office.Excel.Functions.SPG(GE393, "SP_COUNTRY_NAME")</f>
        <v>#INVALID COMPANY ID</v>
      </c>
      <c r="GM393" s="9" t="str">
        <f>_xll.SNL.Clients.Office.Excel.Functions.SPG(GJ393, "SP_COUNTRY_NAME")</f>
        <v>#INVALID COMPANY ID</v>
      </c>
      <c r="GR393" s="9" t="str">
        <f>_xll.SNL.Clients.Office.Excel.Functions.SPG(GO393, "SP_COUNTRY_NAME")</f>
        <v>#INVALID COMPANY ID</v>
      </c>
      <c r="GW393" s="9" t="str">
        <f>_xll.SNL.Clients.Office.Excel.Functions.SPG(GT393, "SP_COUNTRY_NAME")</f>
        <v>#INVALID COMPANY ID</v>
      </c>
      <c r="GX393" t="s">
        <v>1150</v>
      </c>
      <c r="GY393">
        <v>4235429</v>
      </c>
      <c r="GZ393" t="s">
        <v>346</v>
      </c>
      <c r="HA393" s="11">
        <v>0</v>
      </c>
      <c r="HB393" s="9" t="str">
        <f>_xll.SNL.Clients.Office.Excel.Functions.SPG(GY393, "SP_COUNTRY_NAME")</f>
        <v>Canada</v>
      </c>
      <c r="HG393" s="9" t="str">
        <f>_xll.SNL.Clients.Office.Excel.Functions.SPG(HD393, "SP_COUNTRY_NAME")</f>
        <v>#INVALID COMPANY ID</v>
      </c>
    </row>
    <row r="394" spans="5:215" x14ac:dyDescent="0.35">
      <c r="E394" s="9" t="str">
        <f>_xll.SNL.Clients.Office.Excel.Functions.SPG(B394, "SP_COUNTRY_NAME")</f>
        <v>#INVALID COMPANY ID</v>
      </c>
      <c r="J394" s="9" t="str">
        <f>_xll.SNL.Clients.Office.Excel.Functions.SPG(G394, "SP_COUNTRY_NAME")</f>
        <v>#INVALID COMPANY ID</v>
      </c>
      <c r="O394" s="9" t="str">
        <f>_xll.SNL.Clients.Office.Excel.Functions.SPG(L394, "SP_COUNTRY_NAME")</f>
        <v>#INVALID COMPANY ID</v>
      </c>
      <c r="T394" s="9" t="str">
        <f>_xll.SNL.Clients.Office.Excel.Functions.SPG(Q394, "SP_COUNTRY_NAME")</f>
        <v>#INVALID COMPANY ID</v>
      </c>
      <c r="U394" t="s">
        <v>615</v>
      </c>
      <c r="V394">
        <v>109947</v>
      </c>
      <c r="W394" t="s">
        <v>346</v>
      </c>
      <c r="X394" s="11">
        <v>0</v>
      </c>
      <c r="Y394" s="9" t="str">
        <f>_xll.SNL.Clients.Office.Excel.Functions.SPG(V394, "SP_COUNTRY_NAME")</f>
        <v>USA</v>
      </c>
      <c r="AD394" s="9" t="str">
        <f>_xll.SNL.Clients.Office.Excel.Functions.SPG(AA394, "SP_COUNTRY_NAME")</f>
        <v>#INVALID COMPANY ID</v>
      </c>
      <c r="AI394" s="9" t="str">
        <f>_xll.SNL.Clients.Office.Excel.Functions.SPG(AF394, "SP_COUNTRY_NAME")</f>
        <v>#INVALID COMPANY ID</v>
      </c>
      <c r="AN394" s="9" t="str">
        <f>_xll.SNL.Clients.Office.Excel.Functions.SPG(AK394, "SP_COUNTRY_NAME")</f>
        <v>#INVALID COMPANY ID</v>
      </c>
      <c r="AS394" s="9" t="str">
        <f>_xll.SNL.Clients.Office.Excel.Functions.SPG(AP394, "SP_COUNTRY_NAME")</f>
        <v>#INVALID COMPANY ID</v>
      </c>
      <c r="AX394" s="9" t="str">
        <f>_xll.SNL.Clients.Office.Excel.Functions.SPG(AU394, "SP_COUNTRY_NAME")</f>
        <v>#INVALID COMPANY ID</v>
      </c>
      <c r="BC394" s="9" t="str">
        <f>_xll.SNL.Clients.Office.Excel.Functions.SPG(AZ394, "SP_COUNTRY_NAME")</f>
        <v>#INVALID COMPANY ID</v>
      </c>
      <c r="BD394" t="s">
        <v>1311</v>
      </c>
      <c r="BE394">
        <v>5866214</v>
      </c>
      <c r="BF394" t="s">
        <v>346</v>
      </c>
      <c r="BG394" s="11">
        <v>0</v>
      </c>
      <c r="BH394" s="9" t="str">
        <f>_xll.SNL.Clients.Office.Excel.Functions.SPG(BE394, "SP_COUNTRY_NAME")</f>
        <v>South Africa</v>
      </c>
      <c r="BM394" s="9" t="str">
        <f>_xll.SNL.Clients.Office.Excel.Functions.SPG(BJ394, "SP_COUNTRY_NAME")</f>
        <v>#INVALID COMPANY ID</v>
      </c>
      <c r="BR394" s="9" t="str">
        <f>_xll.SNL.Clients.Office.Excel.Functions.SPG(BO394, "SP_COUNTRY_NAME")</f>
        <v>#INVALID COMPANY ID</v>
      </c>
      <c r="BS394" t="s">
        <v>839</v>
      </c>
      <c r="BT394">
        <v>5759900</v>
      </c>
      <c r="BU394" t="s">
        <v>346</v>
      </c>
      <c r="BV394" s="11">
        <v>0</v>
      </c>
      <c r="BW394" s="9" t="str">
        <f>_xll.SNL.Clients.Office.Excel.Functions.SPG(BT394, "SP_COUNTRY_NAME")</f>
        <v>United Kingdom</v>
      </c>
      <c r="BX394" t="s">
        <v>615</v>
      </c>
      <c r="BY394">
        <v>109947</v>
      </c>
      <c r="BZ394" t="s">
        <v>346</v>
      </c>
      <c r="CA394" s="11">
        <v>0</v>
      </c>
      <c r="CB394" s="9" t="str">
        <f>_xll.SNL.Clients.Office.Excel.Functions.SPG(BY394, "SP_COUNTRY_NAME")</f>
        <v>USA</v>
      </c>
      <c r="CC394" t="s">
        <v>1002</v>
      </c>
      <c r="CD394">
        <v>110470</v>
      </c>
      <c r="CE394" t="s">
        <v>346</v>
      </c>
      <c r="CF394" s="11">
        <v>0</v>
      </c>
      <c r="CG394" s="9" t="str">
        <f>_xll.SNL.Clients.Office.Excel.Functions.SPG(CD394, "SP_COUNTRY_NAME")</f>
        <v>USA</v>
      </c>
      <c r="CL394" s="9" t="str">
        <f>_xll.SNL.Clients.Office.Excel.Functions.SPG(CI394, "SP_COUNTRY_NAME")</f>
        <v>#INVALID COMPANY ID</v>
      </c>
      <c r="CM394" t="s">
        <v>526</v>
      </c>
      <c r="CN394">
        <v>4248288</v>
      </c>
      <c r="CO394" t="s">
        <v>346</v>
      </c>
      <c r="CP394" s="11">
        <v>0</v>
      </c>
      <c r="CQ394" s="9" t="str">
        <f>_xll.SNL.Clients.Office.Excel.Functions.SPG(CN394, "SP_COUNTRY_NAME")</f>
        <v>Canada</v>
      </c>
      <c r="CV394" s="9" t="str">
        <f>_xll.SNL.Clients.Office.Excel.Functions.SPG(CS394, "SP_COUNTRY_NAME")</f>
        <v>#INVALID COMPANY ID</v>
      </c>
      <c r="DA394" s="9" t="str">
        <f>_xll.SNL.Clients.Office.Excel.Functions.SPG(CX394, "SP_COUNTRY_NAME")</f>
        <v>#INVALID COMPANY ID</v>
      </c>
      <c r="DB394" t="s">
        <v>1311</v>
      </c>
      <c r="DC394">
        <v>5866214</v>
      </c>
      <c r="DD394" t="s">
        <v>346</v>
      </c>
      <c r="DE394" s="11">
        <v>0</v>
      </c>
      <c r="DF394" s="9" t="str">
        <f>_xll.SNL.Clients.Office.Excel.Functions.SPG(DC394, "SP_COUNTRY_NAME")</f>
        <v>South Africa</v>
      </c>
      <c r="DK394" s="9" t="str">
        <f>_xll.SNL.Clients.Office.Excel.Functions.SPG(DH394, "SP_COUNTRY_NAME")</f>
        <v>#INVALID COMPANY ID</v>
      </c>
      <c r="DL394" t="s">
        <v>1311</v>
      </c>
      <c r="DM394">
        <v>5866214</v>
      </c>
      <c r="DN394" t="s">
        <v>346</v>
      </c>
      <c r="DO394" s="11">
        <v>0</v>
      </c>
      <c r="DP394" s="9" t="str">
        <f>_xll.SNL.Clients.Office.Excel.Functions.SPG(DM394, "SP_COUNTRY_NAME")</f>
        <v>South Africa</v>
      </c>
      <c r="DU394" s="9" t="str">
        <f>_xll.SNL.Clients.Office.Excel.Functions.SPG(DR394, "SP_COUNTRY_NAME")</f>
        <v>#INVALID COMPANY ID</v>
      </c>
      <c r="DZ394" s="9" t="str">
        <f>_xll.SNL.Clients.Office.Excel.Functions.SPG(DW394, "SP_COUNTRY_NAME")</f>
        <v>#INVALID COMPANY ID</v>
      </c>
      <c r="EA394" t="s">
        <v>1002</v>
      </c>
      <c r="EB394">
        <v>110470</v>
      </c>
      <c r="EC394" t="s">
        <v>346</v>
      </c>
      <c r="ED394" s="11">
        <v>0</v>
      </c>
      <c r="EE394" s="9" t="str">
        <f>_xll.SNL.Clients.Office.Excel.Functions.SPG(EB394, "SP_COUNTRY_NAME")</f>
        <v>USA</v>
      </c>
      <c r="EF394" t="s">
        <v>1311</v>
      </c>
      <c r="EG394">
        <v>5866214</v>
      </c>
      <c r="EH394" t="s">
        <v>346</v>
      </c>
      <c r="EI394" s="11">
        <v>0</v>
      </c>
      <c r="EJ394" s="9" t="str">
        <f>_xll.SNL.Clients.Office.Excel.Functions.SPG(EG394, "SP_COUNTRY_NAME")</f>
        <v>South Africa</v>
      </c>
      <c r="EO394" s="9" t="str">
        <f>_xll.SNL.Clients.Office.Excel.Functions.SPG(EL394, "SP_COUNTRY_NAME")</f>
        <v>#INVALID COMPANY ID</v>
      </c>
      <c r="ET394" s="9" t="str">
        <f>_xll.SNL.Clients.Office.Excel.Functions.SPG(EQ394, "SP_COUNTRY_NAME")</f>
        <v>#INVALID COMPANY ID</v>
      </c>
      <c r="EY394" s="9" t="str">
        <f>_xll.SNL.Clients.Office.Excel.Functions.SPG(EV394, "SP_COUNTRY_NAME")</f>
        <v>#INVALID COMPANY ID</v>
      </c>
      <c r="FD394" s="9" t="str">
        <f>_xll.SNL.Clients.Office.Excel.Functions.SPG(FA394, "SP_COUNTRY_NAME")</f>
        <v>#INVALID COMPANY ID</v>
      </c>
      <c r="FI394" s="9" t="str">
        <f>_xll.SNL.Clients.Office.Excel.Functions.SPG(FF394, "SP_COUNTRY_NAME")</f>
        <v>#INVALID COMPANY ID</v>
      </c>
      <c r="FN394" s="9" t="str">
        <f>_xll.SNL.Clients.Office.Excel.Functions.SPG(FK394, "SP_COUNTRY_NAME")</f>
        <v>#INVALID COMPANY ID</v>
      </c>
      <c r="FS394" s="9" t="str">
        <f>_xll.SNL.Clients.Office.Excel.Functions.SPG(FP394, "SP_COUNTRY_NAME")</f>
        <v>#INVALID COMPANY ID</v>
      </c>
      <c r="FX394" s="9" t="str">
        <f>_xll.SNL.Clients.Office.Excel.Functions.SPG(FU394, "SP_COUNTRY_NAME")</f>
        <v>#INVALID COMPANY ID</v>
      </c>
      <c r="FY394" t="s">
        <v>1311</v>
      </c>
      <c r="FZ394">
        <v>5866214</v>
      </c>
      <c r="GA394" t="s">
        <v>346</v>
      </c>
      <c r="GB394" s="11">
        <v>0</v>
      </c>
      <c r="GC394" s="9" t="str">
        <f>_xll.SNL.Clients.Office.Excel.Functions.SPG(FZ394, "SP_COUNTRY_NAME")</f>
        <v>South Africa</v>
      </c>
      <c r="GH394" s="9" t="str">
        <f>_xll.SNL.Clients.Office.Excel.Functions.SPG(GE394, "SP_COUNTRY_NAME")</f>
        <v>#INVALID COMPANY ID</v>
      </c>
      <c r="GM394" s="9" t="str">
        <f>_xll.SNL.Clients.Office.Excel.Functions.SPG(GJ394, "SP_COUNTRY_NAME")</f>
        <v>#INVALID COMPANY ID</v>
      </c>
      <c r="GR394" s="9" t="str">
        <f>_xll.SNL.Clients.Office.Excel.Functions.SPG(GO394, "SP_COUNTRY_NAME")</f>
        <v>#INVALID COMPANY ID</v>
      </c>
      <c r="GW394" s="9" t="str">
        <f>_xll.SNL.Clients.Office.Excel.Functions.SPG(GT394, "SP_COUNTRY_NAME")</f>
        <v>#INVALID COMPANY ID</v>
      </c>
      <c r="GX394" t="s">
        <v>1002</v>
      </c>
      <c r="GY394">
        <v>110470</v>
      </c>
      <c r="GZ394" t="s">
        <v>346</v>
      </c>
      <c r="HA394" s="11">
        <v>0</v>
      </c>
      <c r="HB394" s="9" t="str">
        <f>_xll.SNL.Clients.Office.Excel.Functions.SPG(GY394, "SP_COUNTRY_NAME")</f>
        <v>USA</v>
      </c>
      <c r="HG394" s="9" t="str">
        <f>_xll.SNL.Clients.Office.Excel.Functions.SPG(HD394, "SP_COUNTRY_NAME")</f>
        <v>#INVALID COMPANY ID</v>
      </c>
    </row>
    <row r="395" spans="5:215" x14ac:dyDescent="0.35">
      <c r="E395" s="9" t="str">
        <f>_xll.SNL.Clients.Office.Excel.Functions.SPG(B395, "SP_COUNTRY_NAME")</f>
        <v>#INVALID COMPANY ID</v>
      </c>
      <c r="J395" s="9" t="str">
        <f>_xll.SNL.Clients.Office.Excel.Functions.SPG(G395, "SP_COUNTRY_NAME")</f>
        <v>#INVALID COMPANY ID</v>
      </c>
      <c r="O395" s="9" t="str">
        <f>_xll.SNL.Clients.Office.Excel.Functions.SPG(L395, "SP_COUNTRY_NAME")</f>
        <v>#INVALID COMPANY ID</v>
      </c>
      <c r="T395" s="9" t="str">
        <f>_xll.SNL.Clients.Office.Excel.Functions.SPG(Q395, "SP_COUNTRY_NAME")</f>
        <v>#INVALID COMPANY ID</v>
      </c>
      <c r="U395" t="s">
        <v>924</v>
      </c>
      <c r="V395">
        <v>4138115</v>
      </c>
      <c r="W395" t="s">
        <v>346</v>
      </c>
      <c r="X395" s="11">
        <v>0</v>
      </c>
      <c r="Y395" s="9" t="str">
        <f>_xll.SNL.Clients.Office.Excel.Functions.SPG(V395, "SP_COUNTRY_NAME")</f>
        <v>Malaysia</v>
      </c>
      <c r="AD395" s="9" t="str">
        <f>_xll.SNL.Clients.Office.Excel.Functions.SPG(AA395, "SP_COUNTRY_NAME")</f>
        <v>#INVALID COMPANY ID</v>
      </c>
      <c r="AI395" s="9" t="str">
        <f>_xll.SNL.Clients.Office.Excel.Functions.SPG(AF395, "SP_COUNTRY_NAME")</f>
        <v>#INVALID COMPANY ID</v>
      </c>
      <c r="AN395" s="9" t="str">
        <f>_xll.SNL.Clients.Office.Excel.Functions.SPG(AK395, "SP_COUNTRY_NAME")</f>
        <v>#INVALID COMPANY ID</v>
      </c>
      <c r="AS395" s="9" t="str">
        <f>_xll.SNL.Clients.Office.Excel.Functions.SPG(AP395, "SP_COUNTRY_NAME")</f>
        <v>#INVALID COMPANY ID</v>
      </c>
      <c r="AX395" s="9" t="str">
        <f>_xll.SNL.Clients.Office.Excel.Functions.SPG(AU395, "SP_COUNTRY_NAME")</f>
        <v>#INVALID COMPANY ID</v>
      </c>
      <c r="BC395" s="9" t="str">
        <f>_xll.SNL.Clients.Office.Excel.Functions.SPG(AZ395, "SP_COUNTRY_NAME")</f>
        <v>#INVALID COMPANY ID</v>
      </c>
      <c r="BD395" t="s">
        <v>1304</v>
      </c>
      <c r="BE395">
        <v>7490911</v>
      </c>
      <c r="BF395" t="s">
        <v>346</v>
      </c>
      <c r="BG395" s="11">
        <v>0</v>
      </c>
      <c r="BH395" s="9" t="str">
        <f>_xll.SNL.Clients.Office.Excel.Functions.SPG(BE395, "SP_COUNTRY_NAME")</f>
        <v>South Africa</v>
      </c>
      <c r="BM395" s="9" t="str">
        <f>_xll.SNL.Clients.Office.Excel.Functions.SPG(BJ395, "SP_COUNTRY_NAME")</f>
        <v>#INVALID COMPANY ID</v>
      </c>
      <c r="BR395" s="9" t="str">
        <f>_xll.SNL.Clients.Office.Excel.Functions.SPG(BO395, "SP_COUNTRY_NAME")</f>
        <v>#INVALID COMPANY ID</v>
      </c>
      <c r="BS395" t="s">
        <v>1054</v>
      </c>
      <c r="BT395">
        <v>4187046</v>
      </c>
      <c r="BU395" t="s">
        <v>346</v>
      </c>
      <c r="BV395" s="11">
        <v>0</v>
      </c>
      <c r="BW395" s="9" t="str">
        <f>_xll.SNL.Clients.Office.Excel.Functions.SPG(BT395, "SP_COUNTRY_NAME")</f>
        <v>USA</v>
      </c>
      <c r="BX395" t="s">
        <v>924</v>
      </c>
      <c r="BY395">
        <v>4138115</v>
      </c>
      <c r="BZ395" t="s">
        <v>346</v>
      </c>
      <c r="CA395" s="11">
        <v>0</v>
      </c>
      <c r="CB395" s="9" t="str">
        <f>_xll.SNL.Clients.Office.Excel.Functions.SPG(BY395, "SP_COUNTRY_NAME")</f>
        <v>Malaysia</v>
      </c>
      <c r="CC395" t="s">
        <v>1821</v>
      </c>
      <c r="CD395">
        <v>9313235</v>
      </c>
      <c r="CE395" t="s">
        <v>346</v>
      </c>
      <c r="CF395" s="11">
        <v>0</v>
      </c>
      <c r="CG395" s="9" t="str">
        <f>_xll.SNL.Clients.Office.Excel.Functions.SPG(CD395, "SP_COUNTRY_NAME")</f>
        <v>USA</v>
      </c>
      <c r="CL395" s="9" t="str">
        <f>_xll.SNL.Clients.Office.Excel.Functions.SPG(CI395, "SP_COUNTRY_NAME")</f>
        <v>#INVALID COMPANY ID</v>
      </c>
      <c r="CM395" t="s">
        <v>1460</v>
      </c>
      <c r="CN395">
        <v>4073155</v>
      </c>
      <c r="CO395" t="s">
        <v>346</v>
      </c>
      <c r="CP395" s="11">
        <v>0</v>
      </c>
      <c r="CQ395" s="9" t="str">
        <f>_xll.SNL.Clients.Office.Excel.Functions.SPG(CN395, "SP_COUNTRY_NAME")</f>
        <v>USA</v>
      </c>
      <c r="CV395" s="9" t="str">
        <f>_xll.SNL.Clients.Office.Excel.Functions.SPG(CS395, "SP_COUNTRY_NAME")</f>
        <v>#INVALID COMPANY ID</v>
      </c>
      <c r="DA395" s="9" t="str">
        <f>_xll.SNL.Clients.Office.Excel.Functions.SPG(CX395, "SP_COUNTRY_NAME")</f>
        <v>#INVALID COMPANY ID</v>
      </c>
      <c r="DB395" t="s">
        <v>1304</v>
      </c>
      <c r="DC395">
        <v>7490911</v>
      </c>
      <c r="DD395" t="s">
        <v>346</v>
      </c>
      <c r="DE395" s="11">
        <v>0</v>
      </c>
      <c r="DF395" s="9" t="str">
        <f>_xll.SNL.Clients.Office.Excel.Functions.SPG(DC395, "SP_COUNTRY_NAME")</f>
        <v>South Africa</v>
      </c>
      <c r="DK395" s="9" t="str">
        <f>_xll.SNL.Clients.Office.Excel.Functions.SPG(DH395, "SP_COUNTRY_NAME")</f>
        <v>#INVALID COMPANY ID</v>
      </c>
      <c r="DL395" t="s">
        <v>1304</v>
      </c>
      <c r="DM395">
        <v>7490911</v>
      </c>
      <c r="DN395" t="s">
        <v>346</v>
      </c>
      <c r="DO395" s="11">
        <v>0</v>
      </c>
      <c r="DP395" s="9" t="str">
        <f>_xll.SNL.Clients.Office.Excel.Functions.SPG(DM395, "SP_COUNTRY_NAME")</f>
        <v>South Africa</v>
      </c>
      <c r="DU395" s="9" t="str">
        <f>_xll.SNL.Clients.Office.Excel.Functions.SPG(DR395, "SP_COUNTRY_NAME")</f>
        <v>#INVALID COMPANY ID</v>
      </c>
      <c r="DZ395" s="9" t="str">
        <f>_xll.SNL.Clients.Office.Excel.Functions.SPG(DW395, "SP_COUNTRY_NAME")</f>
        <v>#INVALID COMPANY ID</v>
      </c>
      <c r="EA395" t="s">
        <v>1821</v>
      </c>
      <c r="EB395">
        <v>9313235</v>
      </c>
      <c r="EC395" t="s">
        <v>346</v>
      </c>
      <c r="ED395" s="11">
        <v>0</v>
      </c>
      <c r="EE395" s="9" t="str">
        <f>_xll.SNL.Clients.Office.Excel.Functions.SPG(EB395, "SP_COUNTRY_NAME")</f>
        <v>USA</v>
      </c>
      <c r="EF395" t="s">
        <v>1304</v>
      </c>
      <c r="EG395">
        <v>7490911</v>
      </c>
      <c r="EH395" t="s">
        <v>346</v>
      </c>
      <c r="EI395" s="11">
        <v>0</v>
      </c>
      <c r="EJ395" s="9" t="str">
        <f>_xll.SNL.Clients.Office.Excel.Functions.SPG(EG395, "SP_COUNTRY_NAME")</f>
        <v>South Africa</v>
      </c>
      <c r="EO395" s="9" t="str">
        <f>_xll.SNL.Clients.Office.Excel.Functions.SPG(EL395, "SP_COUNTRY_NAME")</f>
        <v>#INVALID COMPANY ID</v>
      </c>
      <c r="ET395" s="9" t="str">
        <f>_xll.SNL.Clients.Office.Excel.Functions.SPG(EQ395, "SP_COUNTRY_NAME")</f>
        <v>#INVALID COMPANY ID</v>
      </c>
      <c r="EY395" s="9" t="str">
        <f>_xll.SNL.Clients.Office.Excel.Functions.SPG(EV395, "SP_COUNTRY_NAME")</f>
        <v>#INVALID COMPANY ID</v>
      </c>
      <c r="FD395" s="9" t="str">
        <f>_xll.SNL.Clients.Office.Excel.Functions.SPG(FA395, "SP_COUNTRY_NAME")</f>
        <v>#INVALID COMPANY ID</v>
      </c>
      <c r="FI395" s="9" t="str">
        <f>_xll.SNL.Clients.Office.Excel.Functions.SPG(FF395, "SP_COUNTRY_NAME")</f>
        <v>#INVALID COMPANY ID</v>
      </c>
      <c r="FN395" s="9" t="str">
        <f>_xll.SNL.Clients.Office.Excel.Functions.SPG(FK395, "SP_COUNTRY_NAME")</f>
        <v>#INVALID COMPANY ID</v>
      </c>
      <c r="FS395" s="9" t="str">
        <f>_xll.SNL.Clients.Office.Excel.Functions.SPG(FP395, "SP_COUNTRY_NAME")</f>
        <v>#INVALID COMPANY ID</v>
      </c>
      <c r="FX395" s="9" t="str">
        <f>_xll.SNL.Clients.Office.Excel.Functions.SPG(FU395, "SP_COUNTRY_NAME")</f>
        <v>#INVALID COMPANY ID</v>
      </c>
      <c r="FY395" t="s">
        <v>1304</v>
      </c>
      <c r="FZ395">
        <v>7490911</v>
      </c>
      <c r="GA395" t="s">
        <v>346</v>
      </c>
      <c r="GB395" s="11">
        <v>0</v>
      </c>
      <c r="GC395" s="9" t="str">
        <f>_xll.SNL.Clients.Office.Excel.Functions.SPG(FZ395, "SP_COUNTRY_NAME")</f>
        <v>South Africa</v>
      </c>
      <c r="GH395" s="9" t="str">
        <f>_xll.SNL.Clients.Office.Excel.Functions.SPG(GE395, "SP_COUNTRY_NAME")</f>
        <v>#INVALID COMPANY ID</v>
      </c>
      <c r="GM395" s="9" t="str">
        <f>_xll.SNL.Clients.Office.Excel.Functions.SPG(GJ395, "SP_COUNTRY_NAME")</f>
        <v>#INVALID COMPANY ID</v>
      </c>
      <c r="GR395" s="9" t="str">
        <f>_xll.SNL.Clients.Office.Excel.Functions.SPG(GO395, "SP_COUNTRY_NAME")</f>
        <v>#INVALID COMPANY ID</v>
      </c>
      <c r="GW395" s="9" t="str">
        <f>_xll.SNL.Clients.Office.Excel.Functions.SPG(GT395, "SP_COUNTRY_NAME")</f>
        <v>#INVALID COMPANY ID</v>
      </c>
      <c r="GX395" t="s">
        <v>1821</v>
      </c>
      <c r="GY395">
        <v>9313235</v>
      </c>
      <c r="GZ395" t="s">
        <v>346</v>
      </c>
      <c r="HA395" s="11">
        <v>0</v>
      </c>
      <c r="HB395" s="9" t="str">
        <f>_xll.SNL.Clients.Office.Excel.Functions.SPG(GY395, "SP_COUNTRY_NAME")</f>
        <v>USA</v>
      </c>
      <c r="HG395" s="9" t="str">
        <f>_xll.SNL.Clients.Office.Excel.Functions.SPG(HD395, "SP_COUNTRY_NAME")</f>
        <v>#INVALID COMPANY ID</v>
      </c>
    </row>
    <row r="396" spans="5:215" x14ac:dyDescent="0.35">
      <c r="E396" s="9" t="str">
        <f>_xll.SNL.Clients.Office.Excel.Functions.SPG(B396, "SP_COUNTRY_NAME")</f>
        <v>#INVALID COMPANY ID</v>
      </c>
      <c r="J396" s="9" t="str">
        <f>_xll.SNL.Clients.Office.Excel.Functions.SPG(G396, "SP_COUNTRY_NAME")</f>
        <v>#INVALID COMPANY ID</v>
      </c>
      <c r="O396" s="9" t="str">
        <f>_xll.SNL.Clients.Office.Excel.Functions.SPG(L396, "SP_COUNTRY_NAME")</f>
        <v>#INVALID COMPANY ID</v>
      </c>
      <c r="T396" s="9" t="str">
        <f>_xll.SNL.Clients.Office.Excel.Functions.SPG(Q396, "SP_COUNTRY_NAME")</f>
        <v>#INVALID COMPANY ID</v>
      </c>
      <c r="U396" t="s">
        <v>925</v>
      </c>
      <c r="V396">
        <v>4055966</v>
      </c>
      <c r="W396" t="s">
        <v>346</v>
      </c>
      <c r="X396" s="11">
        <v>0</v>
      </c>
      <c r="Y396" s="9" t="str">
        <f>_xll.SNL.Clients.Office.Excel.Functions.SPG(V396, "SP_COUNTRY_NAME")</f>
        <v>USA</v>
      </c>
      <c r="AD396" s="9" t="str">
        <f>_xll.SNL.Clients.Office.Excel.Functions.SPG(AA396, "SP_COUNTRY_NAME")</f>
        <v>#INVALID COMPANY ID</v>
      </c>
      <c r="AI396" s="9" t="str">
        <f>_xll.SNL.Clients.Office.Excel.Functions.SPG(AF396, "SP_COUNTRY_NAME")</f>
        <v>#INVALID COMPANY ID</v>
      </c>
      <c r="AN396" s="9" t="str">
        <f>_xll.SNL.Clients.Office.Excel.Functions.SPG(AK396, "SP_COUNTRY_NAME")</f>
        <v>#INVALID COMPANY ID</v>
      </c>
      <c r="AS396" s="9" t="str">
        <f>_xll.SNL.Clients.Office.Excel.Functions.SPG(AP396, "SP_COUNTRY_NAME")</f>
        <v>#INVALID COMPANY ID</v>
      </c>
      <c r="AX396" s="9" t="str">
        <f>_xll.SNL.Clients.Office.Excel.Functions.SPG(AU396, "SP_COUNTRY_NAME")</f>
        <v>#INVALID COMPANY ID</v>
      </c>
      <c r="BC396" s="9" t="str">
        <f>_xll.SNL.Clients.Office.Excel.Functions.SPG(AZ396, "SP_COUNTRY_NAME")</f>
        <v>#INVALID COMPANY ID</v>
      </c>
      <c r="BD396" t="s">
        <v>763</v>
      </c>
      <c r="BE396">
        <v>110153</v>
      </c>
      <c r="BF396" t="s">
        <v>364</v>
      </c>
      <c r="BG396" s="11">
        <v>0</v>
      </c>
      <c r="BH396" s="9" t="str">
        <f>_xll.SNL.Clients.Office.Excel.Functions.SPG(BE396, "SP_COUNTRY_NAME")</f>
        <v>USA</v>
      </c>
      <c r="BM396" s="9" t="str">
        <f>_xll.SNL.Clients.Office.Excel.Functions.SPG(BJ396, "SP_COUNTRY_NAME")</f>
        <v>#INVALID COMPANY ID</v>
      </c>
      <c r="BR396" s="9" t="str">
        <f>_xll.SNL.Clients.Office.Excel.Functions.SPG(BO396, "SP_COUNTRY_NAME")</f>
        <v>#INVALID COMPANY ID</v>
      </c>
      <c r="BS396" t="s">
        <v>1055</v>
      </c>
      <c r="BT396">
        <v>4288812</v>
      </c>
      <c r="BU396" t="s">
        <v>346</v>
      </c>
      <c r="BV396" s="11">
        <v>0</v>
      </c>
      <c r="BW396" s="9" t="str">
        <f>_xll.SNL.Clients.Office.Excel.Functions.SPG(BT396, "SP_COUNTRY_NAME")</f>
        <v>Switzerland</v>
      </c>
      <c r="BX396" t="s">
        <v>925</v>
      </c>
      <c r="BY396">
        <v>4055966</v>
      </c>
      <c r="BZ396" t="s">
        <v>346</v>
      </c>
      <c r="CA396" s="11">
        <v>0</v>
      </c>
      <c r="CB396" s="9" t="str">
        <f>_xll.SNL.Clients.Office.Excel.Functions.SPG(BY396, "SP_COUNTRY_NAME")</f>
        <v>USA</v>
      </c>
      <c r="CC396" t="s">
        <v>1822</v>
      </c>
      <c r="CD396">
        <v>4045705</v>
      </c>
      <c r="CE396" t="s">
        <v>366</v>
      </c>
      <c r="CF396" s="11">
        <v>0</v>
      </c>
      <c r="CG396" s="9" t="str">
        <f>_xll.SNL.Clients.Office.Excel.Functions.SPG(CD396, "SP_COUNTRY_NAME")</f>
        <v>USA</v>
      </c>
      <c r="CL396" s="9" t="str">
        <f>_xll.SNL.Clients.Office.Excel.Functions.SPG(CI396, "SP_COUNTRY_NAME")</f>
        <v>#INVALID COMPANY ID</v>
      </c>
      <c r="CM396" t="s">
        <v>621</v>
      </c>
      <c r="CN396">
        <v>4110324</v>
      </c>
      <c r="CO396" t="s">
        <v>346</v>
      </c>
      <c r="CP396" s="11">
        <v>0</v>
      </c>
      <c r="CQ396" s="9" t="str">
        <f>_xll.SNL.Clients.Office.Excel.Functions.SPG(CN396, "SP_COUNTRY_NAME")</f>
        <v>USA</v>
      </c>
      <c r="CV396" s="9" t="str">
        <f>_xll.SNL.Clients.Office.Excel.Functions.SPG(CS396, "SP_COUNTRY_NAME")</f>
        <v>#INVALID COMPANY ID</v>
      </c>
      <c r="DA396" s="9" t="str">
        <f>_xll.SNL.Clients.Office.Excel.Functions.SPG(CX396, "SP_COUNTRY_NAME")</f>
        <v>#INVALID COMPANY ID</v>
      </c>
      <c r="DB396" t="s">
        <v>763</v>
      </c>
      <c r="DC396">
        <v>110153</v>
      </c>
      <c r="DD396" t="s">
        <v>364</v>
      </c>
      <c r="DE396" s="11">
        <v>0</v>
      </c>
      <c r="DF396" s="9" t="str">
        <f>_xll.SNL.Clients.Office.Excel.Functions.SPG(DC396, "SP_COUNTRY_NAME")</f>
        <v>USA</v>
      </c>
      <c r="DK396" s="9" t="str">
        <f>_xll.SNL.Clients.Office.Excel.Functions.SPG(DH396, "SP_COUNTRY_NAME")</f>
        <v>#INVALID COMPANY ID</v>
      </c>
      <c r="DL396" t="s">
        <v>763</v>
      </c>
      <c r="DM396">
        <v>110153</v>
      </c>
      <c r="DN396" t="s">
        <v>364</v>
      </c>
      <c r="DO396" s="11">
        <v>0</v>
      </c>
      <c r="DP396" s="9" t="str">
        <f>_xll.SNL.Clients.Office.Excel.Functions.SPG(DM396, "SP_COUNTRY_NAME")</f>
        <v>USA</v>
      </c>
      <c r="DU396" s="9" t="str">
        <f>_xll.SNL.Clients.Office.Excel.Functions.SPG(DR396, "SP_COUNTRY_NAME")</f>
        <v>#INVALID COMPANY ID</v>
      </c>
      <c r="DZ396" s="9" t="str">
        <f>_xll.SNL.Clients.Office.Excel.Functions.SPG(DW396, "SP_COUNTRY_NAME")</f>
        <v>#INVALID COMPANY ID</v>
      </c>
      <c r="EA396" t="s">
        <v>1822</v>
      </c>
      <c r="EB396">
        <v>4045705</v>
      </c>
      <c r="EC396" t="s">
        <v>366</v>
      </c>
      <c r="ED396" s="11">
        <v>0</v>
      </c>
      <c r="EE396" s="9" t="str">
        <f>_xll.SNL.Clients.Office.Excel.Functions.SPG(EB396, "SP_COUNTRY_NAME")</f>
        <v>USA</v>
      </c>
      <c r="EF396" t="s">
        <v>763</v>
      </c>
      <c r="EG396">
        <v>110153</v>
      </c>
      <c r="EH396" t="s">
        <v>364</v>
      </c>
      <c r="EI396" s="11">
        <v>0</v>
      </c>
      <c r="EJ396" s="9" t="str">
        <f>_xll.SNL.Clients.Office.Excel.Functions.SPG(EG396, "SP_COUNTRY_NAME")</f>
        <v>USA</v>
      </c>
      <c r="EO396" s="9" t="str">
        <f>_xll.SNL.Clients.Office.Excel.Functions.SPG(EL396, "SP_COUNTRY_NAME")</f>
        <v>#INVALID COMPANY ID</v>
      </c>
      <c r="ET396" s="9" t="str">
        <f>_xll.SNL.Clients.Office.Excel.Functions.SPG(EQ396, "SP_COUNTRY_NAME")</f>
        <v>#INVALID COMPANY ID</v>
      </c>
      <c r="EY396" s="9" t="str">
        <f>_xll.SNL.Clients.Office.Excel.Functions.SPG(EV396, "SP_COUNTRY_NAME")</f>
        <v>#INVALID COMPANY ID</v>
      </c>
      <c r="FD396" s="9" t="str">
        <f>_xll.SNL.Clients.Office.Excel.Functions.SPG(FA396, "SP_COUNTRY_NAME")</f>
        <v>#INVALID COMPANY ID</v>
      </c>
      <c r="FI396" s="9" t="str">
        <f>_xll.SNL.Clients.Office.Excel.Functions.SPG(FF396, "SP_COUNTRY_NAME")</f>
        <v>#INVALID COMPANY ID</v>
      </c>
      <c r="FN396" s="9" t="str">
        <f>_xll.SNL.Clients.Office.Excel.Functions.SPG(FK396, "SP_COUNTRY_NAME")</f>
        <v>#INVALID COMPANY ID</v>
      </c>
      <c r="FS396" s="9" t="str">
        <f>_xll.SNL.Clients.Office.Excel.Functions.SPG(FP396, "SP_COUNTRY_NAME")</f>
        <v>#INVALID COMPANY ID</v>
      </c>
      <c r="FX396" s="9" t="str">
        <f>_xll.SNL.Clients.Office.Excel.Functions.SPG(FU396, "SP_COUNTRY_NAME")</f>
        <v>#INVALID COMPANY ID</v>
      </c>
      <c r="FY396" t="s">
        <v>763</v>
      </c>
      <c r="FZ396">
        <v>110153</v>
      </c>
      <c r="GA396" t="s">
        <v>364</v>
      </c>
      <c r="GB396" s="11">
        <v>0</v>
      </c>
      <c r="GC396" s="9" t="str">
        <f>_xll.SNL.Clients.Office.Excel.Functions.SPG(FZ396, "SP_COUNTRY_NAME")</f>
        <v>USA</v>
      </c>
      <c r="GH396" s="9" t="str">
        <f>_xll.SNL.Clients.Office.Excel.Functions.SPG(GE396, "SP_COUNTRY_NAME")</f>
        <v>#INVALID COMPANY ID</v>
      </c>
      <c r="GM396" s="9" t="str">
        <f>_xll.SNL.Clients.Office.Excel.Functions.SPG(GJ396, "SP_COUNTRY_NAME")</f>
        <v>#INVALID COMPANY ID</v>
      </c>
      <c r="GR396" s="9" t="str">
        <f>_xll.SNL.Clients.Office.Excel.Functions.SPG(GO396, "SP_COUNTRY_NAME")</f>
        <v>#INVALID COMPANY ID</v>
      </c>
      <c r="GW396" s="9" t="str">
        <f>_xll.SNL.Clients.Office.Excel.Functions.SPG(GT396, "SP_COUNTRY_NAME")</f>
        <v>#INVALID COMPANY ID</v>
      </c>
      <c r="GX396" t="s">
        <v>1822</v>
      </c>
      <c r="GY396">
        <v>4045705</v>
      </c>
      <c r="GZ396" t="s">
        <v>366</v>
      </c>
      <c r="HA396" s="11">
        <v>0</v>
      </c>
      <c r="HB396" s="9" t="str">
        <f>_xll.SNL.Clients.Office.Excel.Functions.SPG(GY396, "SP_COUNTRY_NAME")</f>
        <v>USA</v>
      </c>
      <c r="HG396" s="9" t="str">
        <f>_xll.SNL.Clients.Office.Excel.Functions.SPG(HD396, "SP_COUNTRY_NAME")</f>
        <v>#INVALID COMPANY ID</v>
      </c>
    </row>
    <row r="397" spans="5:215" x14ac:dyDescent="0.35">
      <c r="E397" s="9" t="str">
        <f>_xll.SNL.Clients.Office.Excel.Functions.SPG(B397, "SP_COUNTRY_NAME")</f>
        <v>#INVALID COMPANY ID</v>
      </c>
      <c r="J397" s="9" t="str">
        <f>_xll.SNL.Clients.Office.Excel.Functions.SPG(G397, "SP_COUNTRY_NAME")</f>
        <v>#INVALID COMPANY ID</v>
      </c>
      <c r="O397" s="9" t="str">
        <f>_xll.SNL.Clients.Office.Excel.Functions.SPG(L397, "SP_COUNTRY_NAME")</f>
        <v>#INVALID COMPANY ID</v>
      </c>
      <c r="T397" s="9" t="str">
        <f>_xll.SNL.Clients.Office.Excel.Functions.SPG(Q397, "SP_COUNTRY_NAME")</f>
        <v>#INVALID COMPANY ID</v>
      </c>
      <c r="U397" t="s">
        <v>926</v>
      </c>
      <c r="V397">
        <v>4140566</v>
      </c>
      <c r="W397" t="s">
        <v>346</v>
      </c>
      <c r="X397" s="11">
        <v>0</v>
      </c>
      <c r="Y397" s="9" t="str">
        <f>_xll.SNL.Clients.Office.Excel.Functions.SPG(V397, "SP_COUNTRY_NAME")</f>
        <v>South Africa</v>
      </c>
      <c r="AD397" s="9" t="str">
        <f>_xll.SNL.Clients.Office.Excel.Functions.SPG(AA397, "SP_COUNTRY_NAME")</f>
        <v>#INVALID COMPANY ID</v>
      </c>
      <c r="AI397" s="9" t="str">
        <f>_xll.SNL.Clients.Office.Excel.Functions.SPG(AF397, "SP_COUNTRY_NAME")</f>
        <v>#INVALID COMPANY ID</v>
      </c>
      <c r="AN397" s="9" t="str">
        <f>_xll.SNL.Clients.Office.Excel.Functions.SPG(AK397, "SP_COUNTRY_NAME")</f>
        <v>#INVALID COMPANY ID</v>
      </c>
      <c r="AS397" s="9" t="str">
        <f>_xll.SNL.Clients.Office.Excel.Functions.SPG(AP397, "SP_COUNTRY_NAME")</f>
        <v>#INVALID COMPANY ID</v>
      </c>
      <c r="AX397" s="9" t="str">
        <f>_xll.SNL.Clients.Office.Excel.Functions.SPG(AU397, "SP_COUNTRY_NAME")</f>
        <v>#INVALID COMPANY ID</v>
      </c>
      <c r="BC397" s="9" t="str">
        <f>_xll.SNL.Clients.Office.Excel.Functions.SPG(AZ397, "SP_COUNTRY_NAME")</f>
        <v>#INVALID COMPANY ID</v>
      </c>
      <c r="BD397" t="s">
        <v>591</v>
      </c>
      <c r="BE397">
        <v>109721</v>
      </c>
      <c r="BF397" t="s">
        <v>346</v>
      </c>
      <c r="BG397" s="11">
        <v>0</v>
      </c>
      <c r="BH397" s="9" t="str">
        <f>_xll.SNL.Clients.Office.Excel.Functions.SPG(BE397, "SP_COUNTRY_NAME")</f>
        <v>USA</v>
      </c>
      <c r="BM397" s="9" t="str">
        <f>_xll.SNL.Clients.Office.Excel.Functions.SPG(BJ397, "SP_COUNTRY_NAME")</f>
        <v>#INVALID COMPANY ID</v>
      </c>
      <c r="BR397" s="9" t="str">
        <f>_xll.SNL.Clients.Office.Excel.Functions.SPG(BO397, "SP_COUNTRY_NAME")</f>
        <v>#INVALID COMPANY ID</v>
      </c>
      <c r="BS397" t="s">
        <v>809</v>
      </c>
      <c r="BT397">
        <v>8682054</v>
      </c>
      <c r="BU397" t="s">
        <v>346</v>
      </c>
      <c r="BV397" s="11">
        <v>0</v>
      </c>
      <c r="BW397" s="9" t="str">
        <f>_xll.SNL.Clients.Office.Excel.Functions.SPG(BT397, "SP_COUNTRY_NAME")</f>
        <v>Hong Kong</v>
      </c>
      <c r="BX397" t="s">
        <v>926</v>
      </c>
      <c r="BY397">
        <v>4140566</v>
      </c>
      <c r="BZ397" t="s">
        <v>346</v>
      </c>
      <c r="CA397" s="11">
        <v>0</v>
      </c>
      <c r="CB397" s="9" t="str">
        <f>_xll.SNL.Clients.Office.Excel.Functions.SPG(BY397, "SP_COUNTRY_NAME")</f>
        <v>South Africa</v>
      </c>
      <c r="CC397" t="s">
        <v>1823</v>
      </c>
      <c r="CD397">
        <v>4119107</v>
      </c>
      <c r="CE397" t="s">
        <v>346</v>
      </c>
      <c r="CF397" s="11">
        <v>0</v>
      </c>
      <c r="CG397" s="9" t="str">
        <f>_xll.SNL.Clients.Office.Excel.Functions.SPG(CD397, "SP_COUNTRY_NAME")</f>
        <v>USA</v>
      </c>
      <c r="CL397" s="9" t="str">
        <f>_xll.SNL.Clients.Office.Excel.Functions.SPG(CI397, "SP_COUNTRY_NAME")</f>
        <v>#INVALID COMPANY ID</v>
      </c>
      <c r="CM397" t="s">
        <v>517</v>
      </c>
      <c r="CN397">
        <v>111097</v>
      </c>
      <c r="CO397" t="s">
        <v>346</v>
      </c>
      <c r="CP397" s="11">
        <v>0</v>
      </c>
      <c r="CQ397" s="9" t="str">
        <f>_xll.SNL.Clients.Office.Excel.Functions.SPG(CN397, "SP_COUNTRY_NAME")</f>
        <v>USA</v>
      </c>
      <c r="CV397" s="9" t="str">
        <f>_xll.SNL.Clients.Office.Excel.Functions.SPG(CS397, "SP_COUNTRY_NAME")</f>
        <v>#INVALID COMPANY ID</v>
      </c>
      <c r="DA397" s="9" t="str">
        <f>_xll.SNL.Clients.Office.Excel.Functions.SPG(CX397, "SP_COUNTRY_NAME")</f>
        <v>#INVALID COMPANY ID</v>
      </c>
      <c r="DB397" t="s">
        <v>591</v>
      </c>
      <c r="DC397">
        <v>109721</v>
      </c>
      <c r="DD397" t="s">
        <v>346</v>
      </c>
      <c r="DE397" s="11">
        <v>0</v>
      </c>
      <c r="DF397" s="9" t="str">
        <f>_xll.SNL.Clients.Office.Excel.Functions.SPG(DC397, "SP_COUNTRY_NAME")</f>
        <v>USA</v>
      </c>
      <c r="DK397" s="9" t="str">
        <f>_xll.SNL.Clients.Office.Excel.Functions.SPG(DH397, "SP_COUNTRY_NAME")</f>
        <v>#INVALID COMPANY ID</v>
      </c>
      <c r="DL397" t="s">
        <v>591</v>
      </c>
      <c r="DM397">
        <v>109721</v>
      </c>
      <c r="DN397" t="s">
        <v>346</v>
      </c>
      <c r="DO397" s="11">
        <v>0</v>
      </c>
      <c r="DP397" s="9" t="str">
        <f>_xll.SNL.Clients.Office.Excel.Functions.SPG(DM397, "SP_COUNTRY_NAME")</f>
        <v>USA</v>
      </c>
      <c r="DU397" s="9" t="str">
        <f>_xll.SNL.Clients.Office.Excel.Functions.SPG(DR397, "SP_COUNTRY_NAME")</f>
        <v>#INVALID COMPANY ID</v>
      </c>
      <c r="DZ397" s="9" t="str">
        <f>_xll.SNL.Clients.Office.Excel.Functions.SPG(DW397, "SP_COUNTRY_NAME")</f>
        <v>#INVALID COMPANY ID</v>
      </c>
      <c r="EA397" t="s">
        <v>1823</v>
      </c>
      <c r="EB397">
        <v>4119107</v>
      </c>
      <c r="EC397" t="s">
        <v>346</v>
      </c>
      <c r="ED397" s="11">
        <v>0</v>
      </c>
      <c r="EE397" s="9" t="str">
        <f>_xll.SNL.Clients.Office.Excel.Functions.SPG(EB397, "SP_COUNTRY_NAME")</f>
        <v>USA</v>
      </c>
      <c r="EF397" t="s">
        <v>591</v>
      </c>
      <c r="EG397">
        <v>109721</v>
      </c>
      <c r="EH397" t="s">
        <v>346</v>
      </c>
      <c r="EI397" s="11">
        <v>0</v>
      </c>
      <c r="EJ397" s="9" t="str">
        <f>_xll.SNL.Clients.Office.Excel.Functions.SPG(EG397, "SP_COUNTRY_NAME")</f>
        <v>USA</v>
      </c>
      <c r="EO397" s="9" t="str">
        <f>_xll.SNL.Clients.Office.Excel.Functions.SPG(EL397, "SP_COUNTRY_NAME")</f>
        <v>#INVALID COMPANY ID</v>
      </c>
      <c r="ET397" s="9" t="str">
        <f>_xll.SNL.Clients.Office.Excel.Functions.SPG(EQ397, "SP_COUNTRY_NAME")</f>
        <v>#INVALID COMPANY ID</v>
      </c>
      <c r="EY397" s="9" t="str">
        <f>_xll.SNL.Clients.Office.Excel.Functions.SPG(EV397, "SP_COUNTRY_NAME")</f>
        <v>#INVALID COMPANY ID</v>
      </c>
      <c r="FD397" s="9" t="str">
        <f>_xll.SNL.Clients.Office.Excel.Functions.SPG(FA397, "SP_COUNTRY_NAME")</f>
        <v>#INVALID COMPANY ID</v>
      </c>
      <c r="FI397" s="9" t="str">
        <f>_xll.SNL.Clients.Office.Excel.Functions.SPG(FF397, "SP_COUNTRY_NAME")</f>
        <v>#INVALID COMPANY ID</v>
      </c>
      <c r="FN397" s="9" t="str">
        <f>_xll.SNL.Clients.Office.Excel.Functions.SPG(FK397, "SP_COUNTRY_NAME")</f>
        <v>#INVALID COMPANY ID</v>
      </c>
      <c r="FS397" s="9" t="str">
        <f>_xll.SNL.Clients.Office.Excel.Functions.SPG(FP397, "SP_COUNTRY_NAME")</f>
        <v>#INVALID COMPANY ID</v>
      </c>
      <c r="FX397" s="9" t="str">
        <f>_xll.SNL.Clients.Office.Excel.Functions.SPG(FU397, "SP_COUNTRY_NAME")</f>
        <v>#INVALID COMPANY ID</v>
      </c>
      <c r="FY397" t="s">
        <v>591</v>
      </c>
      <c r="FZ397">
        <v>109721</v>
      </c>
      <c r="GA397" t="s">
        <v>346</v>
      </c>
      <c r="GB397" s="11">
        <v>0</v>
      </c>
      <c r="GC397" s="9" t="str">
        <f>_xll.SNL.Clients.Office.Excel.Functions.SPG(FZ397, "SP_COUNTRY_NAME")</f>
        <v>USA</v>
      </c>
      <c r="GH397" s="9" t="str">
        <f>_xll.SNL.Clients.Office.Excel.Functions.SPG(GE397, "SP_COUNTRY_NAME")</f>
        <v>#INVALID COMPANY ID</v>
      </c>
      <c r="GM397" s="9" t="str">
        <f>_xll.SNL.Clients.Office.Excel.Functions.SPG(GJ397, "SP_COUNTRY_NAME")</f>
        <v>#INVALID COMPANY ID</v>
      </c>
      <c r="GR397" s="9" t="str">
        <f>_xll.SNL.Clients.Office.Excel.Functions.SPG(GO397, "SP_COUNTRY_NAME")</f>
        <v>#INVALID COMPANY ID</v>
      </c>
      <c r="GW397" s="9" t="str">
        <f>_xll.SNL.Clients.Office.Excel.Functions.SPG(GT397, "SP_COUNTRY_NAME")</f>
        <v>#INVALID COMPANY ID</v>
      </c>
      <c r="GX397" t="s">
        <v>1823</v>
      </c>
      <c r="GY397">
        <v>4119107</v>
      </c>
      <c r="GZ397" t="s">
        <v>346</v>
      </c>
      <c r="HA397" s="11">
        <v>0</v>
      </c>
      <c r="HB397" s="9" t="str">
        <f>_xll.SNL.Clients.Office.Excel.Functions.SPG(GY397, "SP_COUNTRY_NAME")</f>
        <v>USA</v>
      </c>
      <c r="HG397" s="9" t="str">
        <f>_xll.SNL.Clients.Office.Excel.Functions.SPG(HD397, "SP_COUNTRY_NAME")</f>
        <v>#INVALID COMPANY ID</v>
      </c>
    </row>
    <row r="398" spans="5:215" x14ac:dyDescent="0.35">
      <c r="E398" s="9" t="str">
        <f>_xll.SNL.Clients.Office.Excel.Functions.SPG(B398, "SP_COUNTRY_NAME")</f>
        <v>#INVALID COMPANY ID</v>
      </c>
      <c r="J398" s="9" t="str">
        <f>_xll.SNL.Clients.Office.Excel.Functions.SPG(G398, "SP_COUNTRY_NAME")</f>
        <v>#INVALID COMPANY ID</v>
      </c>
      <c r="O398" s="9" t="str">
        <f>_xll.SNL.Clients.Office.Excel.Functions.SPG(L398, "SP_COUNTRY_NAME")</f>
        <v>#INVALID COMPANY ID</v>
      </c>
      <c r="T398" s="9" t="str">
        <f>_xll.SNL.Clients.Office.Excel.Functions.SPG(Q398, "SP_COUNTRY_NAME")</f>
        <v>#INVALID COMPANY ID</v>
      </c>
      <c r="U398" t="s">
        <v>548</v>
      </c>
      <c r="V398">
        <v>26480935</v>
      </c>
      <c r="W398" t="s">
        <v>346</v>
      </c>
      <c r="X398" s="11">
        <v>0</v>
      </c>
      <c r="Y398" s="9" t="str">
        <f>_xll.SNL.Clients.Office.Excel.Functions.SPG(V398, "SP_COUNTRY_NAME")</f>
        <v>USA</v>
      </c>
      <c r="AD398" s="9" t="str">
        <f>_xll.SNL.Clients.Office.Excel.Functions.SPG(AA398, "SP_COUNTRY_NAME")</f>
        <v>#INVALID COMPANY ID</v>
      </c>
      <c r="AI398" s="9" t="str">
        <f>_xll.SNL.Clients.Office.Excel.Functions.SPG(AF398, "SP_COUNTRY_NAME")</f>
        <v>#INVALID COMPANY ID</v>
      </c>
      <c r="AN398" s="9" t="str">
        <f>_xll.SNL.Clients.Office.Excel.Functions.SPG(AK398, "SP_COUNTRY_NAME")</f>
        <v>#INVALID COMPANY ID</v>
      </c>
      <c r="AS398" s="9" t="str">
        <f>_xll.SNL.Clients.Office.Excel.Functions.SPG(AP398, "SP_COUNTRY_NAME")</f>
        <v>#INVALID COMPANY ID</v>
      </c>
      <c r="AX398" s="9" t="str">
        <f>_xll.SNL.Clients.Office.Excel.Functions.SPG(AU398, "SP_COUNTRY_NAME")</f>
        <v>#INVALID COMPANY ID</v>
      </c>
      <c r="BC398" s="9" t="str">
        <f>_xll.SNL.Clients.Office.Excel.Functions.SPG(AZ398, "SP_COUNTRY_NAME")</f>
        <v>#INVALID COMPANY ID</v>
      </c>
      <c r="BD398" t="s">
        <v>1098</v>
      </c>
      <c r="BE398">
        <v>4119219</v>
      </c>
      <c r="BF398" t="s">
        <v>346</v>
      </c>
      <c r="BG398" s="11">
        <v>0</v>
      </c>
      <c r="BH398" s="9" t="str">
        <f>_xll.SNL.Clients.Office.Excel.Functions.SPG(BE398, "SP_COUNTRY_NAME")</f>
        <v>USA</v>
      </c>
      <c r="BM398" s="9" t="str">
        <f>_xll.SNL.Clients.Office.Excel.Functions.SPG(BJ398, "SP_COUNTRY_NAME")</f>
        <v>#INVALID COMPANY ID</v>
      </c>
      <c r="BR398" s="9" t="str">
        <f>_xll.SNL.Clients.Office.Excel.Functions.SPG(BO398, "SP_COUNTRY_NAME")</f>
        <v>#INVALID COMPANY ID</v>
      </c>
      <c r="BS398" t="s">
        <v>1056</v>
      </c>
      <c r="BT398">
        <v>4137828</v>
      </c>
      <c r="BU398" t="s">
        <v>346</v>
      </c>
      <c r="BV398" s="11">
        <v>0</v>
      </c>
      <c r="BW398" s="9" t="str">
        <f>_xll.SNL.Clients.Office.Excel.Functions.SPG(BT398, "SP_COUNTRY_NAME")</f>
        <v>Italy</v>
      </c>
      <c r="BX398" t="s">
        <v>548</v>
      </c>
      <c r="BY398">
        <v>26480935</v>
      </c>
      <c r="BZ398" t="s">
        <v>346</v>
      </c>
      <c r="CA398" s="11">
        <v>0</v>
      </c>
      <c r="CB398" s="9" t="str">
        <f>_xll.SNL.Clients.Office.Excel.Functions.SPG(BY398, "SP_COUNTRY_NAME")</f>
        <v>USA</v>
      </c>
      <c r="CC398" t="s">
        <v>1824</v>
      </c>
      <c r="CD398">
        <v>4054540</v>
      </c>
      <c r="CE398" t="s">
        <v>346</v>
      </c>
      <c r="CF398" s="11">
        <v>0</v>
      </c>
      <c r="CG398" s="9" t="str">
        <f>_xll.SNL.Clients.Office.Excel.Functions.SPG(CD398, "SP_COUNTRY_NAME")</f>
        <v>USA</v>
      </c>
      <c r="CL398" s="9" t="str">
        <f>_xll.SNL.Clients.Office.Excel.Functions.SPG(CI398, "SP_COUNTRY_NAME")</f>
        <v>#INVALID COMPANY ID</v>
      </c>
      <c r="CM398" t="s">
        <v>2070</v>
      </c>
      <c r="CN398">
        <v>4116022</v>
      </c>
      <c r="CO398" t="s">
        <v>346</v>
      </c>
      <c r="CP398" s="11">
        <v>0</v>
      </c>
      <c r="CQ398" s="9" t="str">
        <f>_xll.SNL.Clients.Office.Excel.Functions.SPG(CN398, "SP_COUNTRY_NAME")</f>
        <v>USA</v>
      </c>
      <c r="CV398" s="9" t="str">
        <f>_xll.SNL.Clients.Office.Excel.Functions.SPG(CS398, "SP_COUNTRY_NAME")</f>
        <v>#INVALID COMPANY ID</v>
      </c>
      <c r="DA398" s="9" t="str">
        <f>_xll.SNL.Clients.Office.Excel.Functions.SPG(CX398, "SP_COUNTRY_NAME")</f>
        <v>#INVALID COMPANY ID</v>
      </c>
      <c r="DB398" t="s">
        <v>1098</v>
      </c>
      <c r="DC398">
        <v>4119219</v>
      </c>
      <c r="DD398" t="s">
        <v>346</v>
      </c>
      <c r="DE398" s="11">
        <v>0</v>
      </c>
      <c r="DF398" s="9" t="str">
        <f>_xll.SNL.Clients.Office.Excel.Functions.SPG(DC398, "SP_COUNTRY_NAME")</f>
        <v>USA</v>
      </c>
      <c r="DK398" s="9" t="str">
        <f>_xll.SNL.Clients.Office.Excel.Functions.SPG(DH398, "SP_COUNTRY_NAME")</f>
        <v>#INVALID COMPANY ID</v>
      </c>
      <c r="DL398" t="s">
        <v>1098</v>
      </c>
      <c r="DM398">
        <v>4119219</v>
      </c>
      <c r="DN398" t="s">
        <v>346</v>
      </c>
      <c r="DO398" s="11">
        <v>0</v>
      </c>
      <c r="DP398" s="9" t="str">
        <f>_xll.SNL.Clients.Office.Excel.Functions.SPG(DM398, "SP_COUNTRY_NAME")</f>
        <v>USA</v>
      </c>
      <c r="DU398" s="9" t="str">
        <f>_xll.SNL.Clients.Office.Excel.Functions.SPG(DR398, "SP_COUNTRY_NAME")</f>
        <v>#INVALID COMPANY ID</v>
      </c>
      <c r="DZ398" s="9" t="str">
        <f>_xll.SNL.Clients.Office.Excel.Functions.SPG(DW398, "SP_COUNTRY_NAME")</f>
        <v>#INVALID COMPANY ID</v>
      </c>
      <c r="EA398" t="s">
        <v>1824</v>
      </c>
      <c r="EB398">
        <v>4054540</v>
      </c>
      <c r="EC398" t="s">
        <v>346</v>
      </c>
      <c r="ED398" s="11">
        <v>0</v>
      </c>
      <c r="EE398" s="9" t="str">
        <f>_xll.SNL.Clients.Office.Excel.Functions.SPG(EB398, "SP_COUNTRY_NAME")</f>
        <v>USA</v>
      </c>
      <c r="EF398" t="s">
        <v>1098</v>
      </c>
      <c r="EG398">
        <v>4119219</v>
      </c>
      <c r="EH398" t="s">
        <v>346</v>
      </c>
      <c r="EI398" s="11">
        <v>0</v>
      </c>
      <c r="EJ398" s="9" t="str">
        <f>_xll.SNL.Clients.Office.Excel.Functions.SPG(EG398, "SP_COUNTRY_NAME")</f>
        <v>USA</v>
      </c>
      <c r="EO398" s="9" t="str">
        <f>_xll.SNL.Clients.Office.Excel.Functions.SPG(EL398, "SP_COUNTRY_NAME")</f>
        <v>#INVALID COMPANY ID</v>
      </c>
      <c r="ET398" s="9" t="str">
        <f>_xll.SNL.Clients.Office.Excel.Functions.SPG(EQ398, "SP_COUNTRY_NAME")</f>
        <v>#INVALID COMPANY ID</v>
      </c>
      <c r="EY398" s="9" t="str">
        <f>_xll.SNL.Clients.Office.Excel.Functions.SPG(EV398, "SP_COUNTRY_NAME")</f>
        <v>#INVALID COMPANY ID</v>
      </c>
      <c r="FD398" s="9" t="str">
        <f>_xll.SNL.Clients.Office.Excel.Functions.SPG(FA398, "SP_COUNTRY_NAME")</f>
        <v>#INVALID COMPANY ID</v>
      </c>
      <c r="FI398" s="9" t="str">
        <f>_xll.SNL.Clients.Office.Excel.Functions.SPG(FF398, "SP_COUNTRY_NAME")</f>
        <v>#INVALID COMPANY ID</v>
      </c>
      <c r="FN398" s="9" t="str">
        <f>_xll.SNL.Clients.Office.Excel.Functions.SPG(FK398, "SP_COUNTRY_NAME")</f>
        <v>#INVALID COMPANY ID</v>
      </c>
      <c r="FS398" s="9" t="str">
        <f>_xll.SNL.Clients.Office.Excel.Functions.SPG(FP398, "SP_COUNTRY_NAME")</f>
        <v>#INVALID COMPANY ID</v>
      </c>
      <c r="FX398" s="9" t="str">
        <f>_xll.SNL.Clients.Office.Excel.Functions.SPG(FU398, "SP_COUNTRY_NAME")</f>
        <v>#INVALID COMPANY ID</v>
      </c>
      <c r="FY398" t="s">
        <v>1098</v>
      </c>
      <c r="FZ398">
        <v>4119219</v>
      </c>
      <c r="GA398" t="s">
        <v>346</v>
      </c>
      <c r="GB398" s="11">
        <v>0</v>
      </c>
      <c r="GC398" s="9" t="str">
        <f>_xll.SNL.Clients.Office.Excel.Functions.SPG(FZ398, "SP_COUNTRY_NAME")</f>
        <v>USA</v>
      </c>
      <c r="GH398" s="9" t="str">
        <f>_xll.SNL.Clients.Office.Excel.Functions.SPG(GE398, "SP_COUNTRY_NAME")</f>
        <v>#INVALID COMPANY ID</v>
      </c>
      <c r="GM398" s="9" t="str">
        <f>_xll.SNL.Clients.Office.Excel.Functions.SPG(GJ398, "SP_COUNTRY_NAME")</f>
        <v>#INVALID COMPANY ID</v>
      </c>
      <c r="GR398" s="9" t="str">
        <f>_xll.SNL.Clients.Office.Excel.Functions.SPG(GO398, "SP_COUNTRY_NAME")</f>
        <v>#INVALID COMPANY ID</v>
      </c>
      <c r="GW398" s="9" t="str">
        <f>_xll.SNL.Clients.Office.Excel.Functions.SPG(GT398, "SP_COUNTRY_NAME")</f>
        <v>#INVALID COMPANY ID</v>
      </c>
      <c r="GX398" t="s">
        <v>1824</v>
      </c>
      <c r="GY398">
        <v>4054540</v>
      </c>
      <c r="GZ398" t="s">
        <v>346</v>
      </c>
      <c r="HA398" s="11">
        <v>0</v>
      </c>
      <c r="HB398" s="9" t="str">
        <f>_xll.SNL.Clients.Office.Excel.Functions.SPG(GY398, "SP_COUNTRY_NAME")</f>
        <v>USA</v>
      </c>
      <c r="HG398" s="9" t="str">
        <f>_xll.SNL.Clients.Office.Excel.Functions.SPG(HD398, "SP_COUNTRY_NAME")</f>
        <v>#INVALID COMPANY ID</v>
      </c>
    </row>
    <row r="399" spans="5:215" x14ac:dyDescent="0.35">
      <c r="E399" s="9" t="str">
        <f>_xll.SNL.Clients.Office.Excel.Functions.SPG(B399, "SP_COUNTRY_NAME")</f>
        <v>#INVALID COMPANY ID</v>
      </c>
      <c r="J399" s="9" t="str">
        <f>_xll.SNL.Clients.Office.Excel.Functions.SPG(G399, "SP_COUNTRY_NAME")</f>
        <v>#INVALID COMPANY ID</v>
      </c>
      <c r="O399" s="9" t="str">
        <f>_xll.SNL.Clients.Office.Excel.Functions.SPG(L399, "SP_COUNTRY_NAME")</f>
        <v>#INVALID COMPANY ID</v>
      </c>
      <c r="T399" s="9" t="str">
        <f>_xll.SNL.Clients.Office.Excel.Functions.SPG(Q399, "SP_COUNTRY_NAME")</f>
        <v>#INVALID COMPANY ID</v>
      </c>
      <c r="U399" t="s">
        <v>927</v>
      </c>
      <c r="V399">
        <v>110719123</v>
      </c>
      <c r="W399" t="s">
        <v>346</v>
      </c>
      <c r="X399" s="11">
        <v>0</v>
      </c>
      <c r="Y399" s="9" t="str">
        <f>_xll.SNL.Clients.Office.Excel.Functions.SPG(V399, "SP_COUNTRY_NAME")</f>
        <v>#INVALID COMPANY ID</v>
      </c>
      <c r="AD399" s="9" t="str">
        <f>_xll.SNL.Clients.Office.Excel.Functions.SPG(AA399, "SP_COUNTRY_NAME")</f>
        <v>#INVALID COMPANY ID</v>
      </c>
      <c r="AI399" s="9" t="str">
        <f>_xll.SNL.Clients.Office.Excel.Functions.SPG(AF399, "SP_COUNTRY_NAME")</f>
        <v>#INVALID COMPANY ID</v>
      </c>
      <c r="AN399" s="9" t="str">
        <f>_xll.SNL.Clients.Office.Excel.Functions.SPG(AK399, "SP_COUNTRY_NAME")</f>
        <v>#INVALID COMPANY ID</v>
      </c>
      <c r="AS399" s="9" t="str">
        <f>_xll.SNL.Clients.Office.Excel.Functions.SPG(AP399, "SP_COUNTRY_NAME")</f>
        <v>#INVALID COMPANY ID</v>
      </c>
      <c r="AX399" s="9" t="str">
        <f>_xll.SNL.Clients.Office.Excel.Functions.SPG(AU399, "SP_COUNTRY_NAME")</f>
        <v>#INVALID COMPANY ID</v>
      </c>
      <c r="BC399" s="9" t="str">
        <f>_xll.SNL.Clients.Office.Excel.Functions.SPG(AZ399, "SP_COUNTRY_NAME")</f>
        <v>#INVALID COMPANY ID</v>
      </c>
      <c r="BD399" t="s">
        <v>1323</v>
      </c>
      <c r="BE399">
        <v>5854916</v>
      </c>
      <c r="BF399" t="s">
        <v>346</v>
      </c>
      <c r="BG399" s="11">
        <v>0</v>
      </c>
      <c r="BH399" s="9" t="str">
        <f>_xll.SNL.Clients.Office.Excel.Functions.SPG(BE399, "SP_COUNTRY_NAME")</f>
        <v>South Africa</v>
      </c>
      <c r="BM399" s="9" t="str">
        <f>_xll.SNL.Clients.Office.Excel.Functions.SPG(BJ399, "SP_COUNTRY_NAME")</f>
        <v>#INVALID COMPANY ID</v>
      </c>
      <c r="BR399" s="9" t="str">
        <f>_xll.SNL.Clients.Office.Excel.Functions.SPG(BO399, "SP_COUNTRY_NAME")</f>
        <v>#INVALID COMPANY ID</v>
      </c>
      <c r="BS399" t="s">
        <v>494</v>
      </c>
      <c r="BT399">
        <v>4583596</v>
      </c>
      <c r="BU399" t="s">
        <v>346</v>
      </c>
      <c r="BV399" s="11">
        <v>0</v>
      </c>
      <c r="BW399" s="9" t="str">
        <f>_xll.SNL.Clients.Office.Excel.Functions.SPG(BT399, "SP_COUNTRY_NAME")</f>
        <v>USA</v>
      </c>
      <c r="BX399" t="s">
        <v>927</v>
      </c>
      <c r="BY399">
        <v>110719123</v>
      </c>
      <c r="BZ399" t="s">
        <v>346</v>
      </c>
      <c r="CA399" s="11">
        <v>0</v>
      </c>
      <c r="CB399" s="9" t="str">
        <f>_xll.SNL.Clients.Office.Excel.Functions.SPG(BY399, "SP_COUNTRY_NAME")</f>
        <v>#INVALID COMPANY ID</v>
      </c>
      <c r="CC399" t="s">
        <v>1825</v>
      </c>
      <c r="CD399">
        <v>4585324</v>
      </c>
      <c r="CE399" t="s">
        <v>346</v>
      </c>
      <c r="CF399" s="11">
        <v>0</v>
      </c>
      <c r="CG399" s="9" t="str">
        <f>_xll.SNL.Clients.Office.Excel.Functions.SPG(CD399, "SP_COUNTRY_NAME")</f>
        <v>USA</v>
      </c>
      <c r="CL399" s="9" t="str">
        <f>_xll.SNL.Clients.Office.Excel.Functions.SPG(CI399, "SP_COUNTRY_NAME")</f>
        <v>#INVALID COMPANY ID</v>
      </c>
      <c r="CM399" t="s">
        <v>548</v>
      </c>
      <c r="CN399">
        <v>26480935</v>
      </c>
      <c r="CO399" t="s">
        <v>346</v>
      </c>
      <c r="CP399" s="11">
        <v>0</v>
      </c>
      <c r="CQ399" s="9" t="str">
        <f>_xll.SNL.Clients.Office.Excel.Functions.SPG(CN399, "SP_COUNTRY_NAME")</f>
        <v>USA</v>
      </c>
      <c r="CV399" s="9" t="str">
        <f>_xll.SNL.Clients.Office.Excel.Functions.SPG(CS399, "SP_COUNTRY_NAME")</f>
        <v>#INVALID COMPANY ID</v>
      </c>
      <c r="DA399" s="9" t="str">
        <f>_xll.SNL.Clients.Office.Excel.Functions.SPG(CX399, "SP_COUNTRY_NAME")</f>
        <v>#INVALID COMPANY ID</v>
      </c>
      <c r="DB399" t="s">
        <v>1323</v>
      </c>
      <c r="DC399">
        <v>5854916</v>
      </c>
      <c r="DD399" t="s">
        <v>346</v>
      </c>
      <c r="DE399" s="11">
        <v>0</v>
      </c>
      <c r="DF399" s="9" t="str">
        <f>_xll.SNL.Clients.Office.Excel.Functions.SPG(DC399, "SP_COUNTRY_NAME")</f>
        <v>South Africa</v>
      </c>
      <c r="DK399" s="9" t="str">
        <f>_xll.SNL.Clients.Office.Excel.Functions.SPG(DH399, "SP_COUNTRY_NAME")</f>
        <v>#INVALID COMPANY ID</v>
      </c>
      <c r="DL399" t="s">
        <v>1323</v>
      </c>
      <c r="DM399">
        <v>5854916</v>
      </c>
      <c r="DN399" t="s">
        <v>346</v>
      </c>
      <c r="DO399" s="11">
        <v>0</v>
      </c>
      <c r="DP399" s="9" t="str">
        <f>_xll.SNL.Clients.Office.Excel.Functions.SPG(DM399, "SP_COUNTRY_NAME")</f>
        <v>South Africa</v>
      </c>
      <c r="DU399" s="9" t="str">
        <f>_xll.SNL.Clients.Office.Excel.Functions.SPG(DR399, "SP_COUNTRY_NAME")</f>
        <v>#INVALID COMPANY ID</v>
      </c>
      <c r="DZ399" s="9" t="str">
        <f>_xll.SNL.Clients.Office.Excel.Functions.SPG(DW399, "SP_COUNTRY_NAME")</f>
        <v>#INVALID COMPANY ID</v>
      </c>
      <c r="EA399" t="s">
        <v>1825</v>
      </c>
      <c r="EB399">
        <v>4585324</v>
      </c>
      <c r="EC399" t="s">
        <v>346</v>
      </c>
      <c r="ED399" s="11">
        <v>0</v>
      </c>
      <c r="EE399" s="9" t="str">
        <f>_xll.SNL.Clients.Office.Excel.Functions.SPG(EB399, "SP_COUNTRY_NAME")</f>
        <v>USA</v>
      </c>
      <c r="EF399" t="s">
        <v>1323</v>
      </c>
      <c r="EG399">
        <v>5854916</v>
      </c>
      <c r="EH399" t="s">
        <v>346</v>
      </c>
      <c r="EI399" s="11">
        <v>0</v>
      </c>
      <c r="EJ399" s="9" t="str">
        <f>_xll.SNL.Clients.Office.Excel.Functions.SPG(EG399, "SP_COUNTRY_NAME")</f>
        <v>South Africa</v>
      </c>
      <c r="EO399" s="9" t="str">
        <f>_xll.SNL.Clients.Office.Excel.Functions.SPG(EL399, "SP_COUNTRY_NAME")</f>
        <v>#INVALID COMPANY ID</v>
      </c>
      <c r="ET399" s="9" t="str">
        <f>_xll.SNL.Clients.Office.Excel.Functions.SPG(EQ399, "SP_COUNTRY_NAME")</f>
        <v>#INVALID COMPANY ID</v>
      </c>
      <c r="EY399" s="9" t="str">
        <f>_xll.SNL.Clients.Office.Excel.Functions.SPG(EV399, "SP_COUNTRY_NAME")</f>
        <v>#INVALID COMPANY ID</v>
      </c>
      <c r="FD399" s="9" t="str">
        <f>_xll.SNL.Clients.Office.Excel.Functions.SPG(FA399, "SP_COUNTRY_NAME")</f>
        <v>#INVALID COMPANY ID</v>
      </c>
      <c r="FI399" s="9" t="str">
        <f>_xll.SNL.Clients.Office.Excel.Functions.SPG(FF399, "SP_COUNTRY_NAME")</f>
        <v>#INVALID COMPANY ID</v>
      </c>
      <c r="FN399" s="9" t="str">
        <f>_xll.SNL.Clients.Office.Excel.Functions.SPG(FK399, "SP_COUNTRY_NAME")</f>
        <v>#INVALID COMPANY ID</v>
      </c>
      <c r="FS399" s="9" t="str">
        <f>_xll.SNL.Clients.Office.Excel.Functions.SPG(FP399, "SP_COUNTRY_NAME")</f>
        <v>#INVALID COMPANY ID</v>
      </c>
      <c r="FX399" s="9" t="str">
        <f>_xll.SNL.Clients.Office.Excel.Functions.SPG(FU399, "SP_COUNTRY_NAME")</f>
        <v>#INVALID COMPANY ID</v>
      </c>
      <c r="FY399" t="s">
        <v>1323</v>
      </c>
      <c r="FZ399">
        <v>5854916</v>
      </c>
      <c r="GA399" t="s">
        <v>346</v>
      </c>
      <c r="GB399" s="11">
        <v>0</v>
      </c>
      <c r="GC399" s="9" t="str">
        <f>_xll.SNL.Clients.Office.Excel.Functions.SPG(FZ399, "SP_COUNTRY_NAME")</f>
        <v>South Africa</v>
      </c>
      <c r="GH399" s="9" t="str">
        <f>_xll.SNL.Clients.Office.Excel.Functions.SPG(GE399, "SP_COUNTRY_NAME")</f>
        <v>#INVALID COMPANY ID</v>
      </c>
      <c r="GM399" s="9" t="str">
        <f>_xll.SNL.Clients.Office.Excel.Functions.SPG(GJ399, "SP_COUNTRY_NAME")</f>
        <v>#INVALID COMPANY ID</v>
      </c>
      <c r="GR399" s="9" t="str">
        <f>_xll.SNL.Clients.Office.Excel.Functions.SPG(GO399, "SP_COUNTRY_NAME")</f>
        <v>#INVALID COMPANY ID</v>
      </c>
      <c r="GW399" s="9" t="str">
        <f>_xll.SNL.Clients.Office.Excel.Functions.SPG(GT399, "SP_COUNTRY_NAME")</f>
        <v>#INVALID COMPANY ID</v>
      </c>
      <c r="GX399" t="s">
        <v>1825</v>
      </c>
      <c r="GY399">
        <v>4585324</v>
      </c>
      <c r="GZ399" t="s">
        <v>346</v>
      </c>
      <c r="HA399" s="11">
        <v>0</v>
      </c>
      <c r="HB399" s="9" t="str">
        <f>_xll.SNL.Clients.Office.Excel.Functions.SPG(GY399, "SP_COUNTRY_NAME")</f>
        <v>USA</v>
      </c>
      <c r="HG399" s="9" t="str">
        <f>_xll.SNL.Clients.Office.Excel.Functions.SPG(HD399, "SP_COUNTRY_NAME")</f>
        <v>#INVALID COMPANY ID</v>
      </c>
    </row>
    <row r="400" spans="5:215" x14ac:dyDescent="0.35">
      <c r="E400" s="9" t="str">
        <f>_xll.SNL.Clients.Office.Excel.Functions.SPG(B400, "SP_COUNTRY_NAME")</f>
        <v>#INVALID COMPANY ID</v>
      </c>
      <c r="J400" s="9" t="str">
        <f>_xll.SNL.Clients.Office.Excel.Functions.SPG(G400, "SP_COUNTRY_NAME")</f>
        <v>#INVALID COMPANY ID</v>
      </c>
      <c r="O400" s="9" t="str">
        <f>_xll.SNL.Clients.Office.Excel.Functions.SPG(L400, "SP_COUNTRY_NAME")</f>
        <v>#INVALID COMPANY ID</v>
      </c>
      <c r="T400" s="9" t="str">
        <f>_xll.SNL.Clients.Office.Excel.Functions.SPG(Q400, "SP_COUNTRY_NAME")</f>
        <v>#INVALID COMPANY ID</v>
      </c>
      <c r="U400" t="s">
        <v>549</v>
      </c>
      <c r="V400">
        <v>4556203</v>
      </c>
      <c r="W400" t="s">
        <v>346</v>
      </c>
      <c r="X400" s="11">
        <v>0</v>
      </c>
      <c r="Y400" s="9" t="str">
        <f>_xll.SNL.Clients.Office.Excel.Functions.SPG(V400, "SP_COUNTRY_NAME")</f>
        <v>USA</v>
      </c>
      <c r="AD400" s="9" t="str">
        <f>_xll.SNL.Clients.Office.Excel.Functions.SPG(AA400, "SP_COUNTRY_NAME")</f>
        <v>#INVALID COMPANY ID</v>
      </c>
      <c r="AI400" s="9" t="str">
        <f>_xll.SNL.Clients.Office.Excel.Functions.SPG(AF400, "SP_COUNTRY_NAME")</f>
        <v>#INVALID COMPANY ID</v>
      </c>
      <c r="AN400" s="9" t="str">
        <f>_xll.SNL.Clients.Office.Excel.Functions.SPG(AK400, "SP_COUNTRY_NAME")</f>
        <v>#INVALID COMPANY ID</v>
      </c>
      <c r="AS400" s="9" t="str">
        <f>_xll.SNL.Clients.Office.Excel.Functions.SPG(AP400, "SP_COUNTRY_NAME")</f>
        <v>#INVALID COMPANY ID</v>
      </c>
      <c r="AX400" s="9" t="str">
        <f>_xll.SNL.Clients.Office.Excel.Functions.SPG(AU400, "SP_COUNTRY_NAME")</f>
        <v>#INVALID COMPANY ID</v>
      </c>
      <c r="BC400" s="9" t="str">
        <f>_xll.SNL.Clients.Office.Excel.Functions.SPG(AZ400, "SP_COUNTRY_NAME")</f>
        <v>#INVALID COMPANY ID</v>
      </c>
      <c r="BD400" t="s">
        <v>1519</v>
      </c>
      <c r="BE400">
        <v>5867090</v>
      </c>
      <c r="BF400" t="s">
        <v>346</v>
      </c>
      <c r="BG400" s="11">
        <v>0</v>
      </c>
      <c r="BH400" s="9" t="str">
        <f>_xll.SNL.Clients.Office.Excel.Functions.SPG(BE400, "SP_COUNTRY_NAME")</f>
        <v>South Africa</v>
      </c>
      <c r="BM400" s="9" t="str">
        <f>_xll.SNL.Clients.Office.Excel.Functions.SPG(BJ400, "SP_COUNTRY_NAME")</f>
        <v>#INVALID COMPANY ID</v>
      </c>
      <c r="BR400" s="9" t="str">
        <f>_xll.SNL.Clients.Office.Excel.Functions.SPG(BO400, "SP_COUNTRY_NAME")</f>
        <v>#INVALID COMPANY ID</v>
      </c>
      <c r="BS400" t="s">
        <v>1057</v>
      </c>
      <c r="BT400">
        <v>4138977</v>
      </c>
      <c r="BU400" t="s">
        <v>346</v>
      </c>
      <c r="BV400" s="11">
        <v>0</v>
      </c>
      <c r="BW400" s="9" t="str">
        <f>_xll.SNL.Clients.Office.Excel.Functions.SPG(BT400, "SP_COUNTRY_NAME")</f>
        <v>Austria</v>
      </c>
      <c r="BX400" t="s">
        <v>549</v>
      </c>
      <c r="BY400">
        <v>4556203</v>
      </c>
      <c r="BZ400" t="s">
        <v>346</v>
      </c>
      <c r="CA400" s="11">
        <v>0</v>
      </c>
      <c r="CB400" s="9" t="str">
        <f>_xll.SNL.Clients.Office.Excel.Functions.SPG(BY400, "SP_COUNTRY_NAME")</f>
        <v>USA</v>
      </c>
      <c r="CC400" t="s">
        <v>781</v>
      </c>
      <c r="CD400">
        <v>7794310</v>
      </c>
      <c r="CE400" t="s">
        <v>346</v>
      </c>
      <c r="CF400" s="11">
        <v>0</v>
      </c>
      <c r="CG400" s="9" t="str">
        <f>_xll.SNL.Clients.Office.Excel.Functions.SPG(CD400, "SP_COUNTRY_NAME")</f>
        <v>United Kingdom</v>
      </c>
      <c r="CL400" s="9" t="str">
        <f>_xll.SNL.Clients.Office.Excel.Functions.SPG(CI400, "SP_COUNTRY_NAME")</f>
        <v>#INVALID COMPANY ID</v>
      </c>
      <c r="CM400" t="s">
        <v>1358</v>
      </c>
      <c r="CN400">
        <v>8264448</v>
      </c>
      <c r="CO400" t="s">
        <v>346</v>
      </c>
      <c r="CP400" s="11">
        <v>0</v>
      </c>
      <c r="CQ400" s="9" t="str">
        <f>_xll.SNL.Clients.Office.Excel.Functions.SPG(CN400, "SP_COUNTRY_NAME")</f>
        <v>South Africa</v>
      </c>
      <c r="CV400" s="9" t="str">
        <f>_xll.SNL.Clients.Office.Excel.Functions.SPG(CS400, "SP_COUNTRY_NAME")</f>
        <v>#INVALID COMPANY ID</v>
      </c>
      <c r="DA400" s="9" t="str">
        <f>_xll.SNL.Clients.Office.Excel.Functions.SPG(CX400, "SP_COUNTRY_NAME")</f>
        <v>#INVALID COMPANY ID</v>
      </c>
      <c r="DB400" t="s">
        <v>1519</v>
      </c>
      <c r="DC400">
        <v>5867090</v>
      </c>
      <c r="DD400" t="s">
        <v>346</v>
      </c>
      <c r="DE400" s="11">
        <v>0</v>
      </c>
      <c r="DF400" s="9" t="str">
        <f>_xll.SNL.Clients.Office.Excel.Functions.SPG(DC400, "SP_COUNTRY_NAME")</f>
        <v>South Africa</v>
      </c>
      <c r="DK400" s="9" t="str">
        <f>_xll.SNL.Clients.Office.Excel.Functions.SPG(DH400, "SP_COUNTRY_NAME")</f>
        <v>#INVALID COMPANY ID</v>
      </c>
      <c r="DL400" t="s">
        <v>1519</v>
      </c>
      <c r="DM400">
        <v>5867090</v>
      </c>
      <c r="DN400" t="s">
        <v>346</v>
      </c>
      <c r="DO400" s="11">
        <v>0</v>
      </c>
      <c r="DP400" s="9" t="str">
        <f>_xll.SNL.Clients.Office.Excel.Functions.SPG(DM400, "SP_COUNTRY_NAME")</f>
        <v>South Africa</v>
      </c>
      <c r="DU400" s="9" t="str">
        <f>_xll.SNL.Clients.Office.Excel.Functions.SPG(DR400, "SP_COUNTRY_NAME")</f>
        <v>#INVALID COMPANY ID</v>
      </c>
      <c r="DZ400" s="9" t="str">
        <f>_xll.SNL.Clients.Office.Excel.Functions.SPG(DW400, "SP_COUNTRY_NAME")</f>
        <v>#INVALID COMPANY ID</v>
      </c>
      <c r="EA400" t="s">
        <v>781</v>
      </c>
      <c r="EB400">
        <v>7794310</v>
      </c>
      <c r="EC400" t="s">
        <v>346</v>
      </c>
      <c r="ED400" s="11">
        <v>0</v>
      </c>
      <c r="EE400" s="9" t="str">
        <f>_xll.SNL.Clients.Office.Excel.Functions.SPG(EB400, "SP_COUNTRY_NAME")</f>
        <v>United Kingdom</v>
      </c>
      <c r="EF400" t="s">
        <v>1519</v>
      </c>
      <c r="EG400">
        <v>5867090</v>
      </c>
      <c r="EH400" t="s">
        <v>346</v>
      </c>
      <c r="EI400" s="11">
        <v>0</v>
      </c>
      <c r="EJ400" s="9" t="str">
        <f>_xll.SNL.Clients.Office.Excel.Functions.SPG(EG400, "SP_COUNTRY_NAME")</f>
        <v>South Africa</v>
      </c>
      <c r="EO400" s="9" t="str">
        <f>_xll.SNL.Clients.Office.Excel.Functions.SPG(EL400, "SP_COUNTRY_NAME")</f>
        <v>#INVALID COMPANY ID</v>
      </c>
      <c r="ET400" s="9" t="str">
        <f>_xll.SNL.Clients.Office.Excel.Functions.SPG(EQ400, "SP_COUNTRY_NAME")</f>
        <v>#INVALID COMPANY ID</v>
      </c>
      <c r="EY400" s="9" t="str">
        <f>_xll.SNL.Clients.Office.Excel.Functions.SPG(EV400, "SP_COUNTRY_NAME")</f>
        <v>#INVALID COMPANY ID</v>
      </c>
      <c r="FD400" s="9" t="str">
        <f>_xll.SNL.Clients.Office.Excel.Functions.SPG(FA400, "SP_COUNTRY_NAME")</f>
        <v>#INVALID COMPANY ID</v>
      </c>
      <c r="FI400" s="9" t="str">
        <f>_xll.SNL.Clients.Office.Excel.Functions.SPG(FF400, "SP_COUNTRY_NAME")</f>
        <v>#INVALID COMPANY ID</v>
      </c>
      <c r="FN400" s="9" t="str">
        <f>_xll.SNL.Clients.Office.Excel.Functions.SPG(FK400, "SP_COUNTRY_NAME")</f>
        <v>#INVALID COMPANY ID</v>
      </c>
      <c r="FS400" s="9" t="str">
        <f>_xll.SNL.Clients.Office.Excel.Functions.SPG(FP400, "SP_COUNTRY_NAME")</f>
        <v>#INVALID COMPANY ID</v>
      </c>
      <c r="FX400" s="9" t="str">
        <f>_xll.SNL.Clients.Office.Excel.Functions.SPG(FU400, "SP_COUNTRY_NAME")</f>
        <v>#INVALID COMPANY ID</v>
      </c>
      <c r="FY400" t="s">
        <v>1519</v>
      </c>
      <c r="FZ400">
        <v>5867090</v>
      </c>
      <c r="GA400" t="s">
        <v>346</v>
      </c>
      <c r="GB400" s="11">
        <v>0</v>
      </c>
      <c r="GC400" s="9" t="str">
        <f>_xll.SNL.Clients.Office.Excel.Functions.SPG(FZ400, "SP_COUNTRY_NAME")</f>
        <v>South Africa</v>
      </c>
      <c r="GH400" s="9" t="str">
        <f>_xll.SNL.Clients.Office.Excel.Functions.SPG(GE400, "SP_COUNTRY_NAME")</f>
        <v>#INVALID COMPANY ID</v>
      </c>
      <c r="GM400" s="9" t="str">
        <f>_xll.SNL.Clients.Office.Excel.Functions.SPG(GJ400, "SP_COUNTRY_NAME")</f>
        <v>#INVALID COMPANY ID</v>
      </c>
      <c r="GR400" s="9" t="str">
        <f>_xll.SNL.Clients.Office.Excel.Functions.SPG(GO400, "SP_COUNTRY_NAME")</f>
        <v>#INVALID COMPANY ID</v>
      </c>
      <c r="GW400" s="9" t="str">
        <f>_xll.SNL.Clients.Office.Excel.Functions.SPG(GT400, "SP_COUNTRY_NAME")</f>
        <v>#INVALID COMPANY ID</v>
      </c>
      <c r="GX400" t="s">
        <v>781</v>
      </c>
      <c r="GY400">
        <v>7794310</v>
      </c>
      <c r="GZ400" t="s">
        <v>346</v>
      </c>
      <c r="HA400" s="11">
        <v>0</v>
      </c>
      <c r="HB400" s="9" t="str">
        <f>_xll.SNL.Clients.Office.Excel.Functions.SPG(GY400, "SP_COUNTRY_NAME")</f>
        <v>United Kingdom</v>
      </c>
      <c r="HG400" s="9" t="str">
        <f>_xll.SNL.Clients.Office.Excel.Functions.SPG(HD400, "SP_COUNTRY_NAME")</f>
        <v>#INVALID COMPANY ID</v>
      </c>
    </row>
    <row r="401" spans="5:215" x14ac:dyDescent="0.35">
      <c r="E401" s="9" t="str">
        <f>_xll.SNL.Clients.Office.Excel.Functions.SPG(B401, "SP_COUNTRY_NAME")</f>
        <v>#INVALID COMPANY ID</v>
      </c>
      <c r="J401" s="9" t="str">
        <f>_xll.SNL.Clients.Office.Excel.Functions.SPG(G401, "SP_COUNTRY_NAME")</f>
        <v>#INVALID COMPANY ID</v>
      </c>
      <c r="O401" s="9" t="str">
        <f>_xll.SNL.Clients.Office.Excel.Functions.SPG(L401, "SP_COUNTRY_NAME")</f>
        <v>#INVALID COMPANY ID</v>
      </c>
      <c r="T401" s="9" t="str">
        <f>_xll.SNL.Clients.Office.Excel.Functions.SPG(Q401, "SP_COUNTRY_NAME")</f>
        <v>#INVALID COMPANY ID</v>
      </c>
      <c r="U401" t="s">
        <v>928</v>
      </c>
      <c r="V401">
        <v>4587777</v>
      </c>
      <c r="W401" t="s">
        <v>346</v>
      </c>
      <c r="X401" s="11">
        <v>0</v>
      </c>
      <c r="Y401" s="9" t="str">
        <f>_xll.SNL.Clients.Office.Excel.Functions.SPG(V401, "SP_COUNTRY_NAME")</f>
        <v>China</v>
      </c>
      <c r="AD401" s="9" t="str">
        <f>_xll.SNL.Clients.Office.Excel.Functions.SPG(AA401, "SP_COUNTRY_NAME")</f>
        <v>#INVALID COMPANY ID</v>
      </c>
      <c r="AI401" s="9" t="str">
        <f>_xll.SNL.Clients.Office.Excel.Functions.SPG(AF401, "SP_COUNTRY_NAME")</f>
        <v>#INVALID COMPANY ID</v>
      </c>
      <c r="AN401" s="9" t="str">
        <f>_xll.SNL.Clients.Office.Excel.Functions.SPG(AK401, "SP_COUNTRY_NAME")</f>
        <v>#INVALID COMPANY ID</v>
      </c>
      <c r="AS401" s="9" t="str">
        <f>_xll.SNL.Clients.Office.Excel.Functions.SPG(AP401, "SP_COUNTRY_NAME")</f>
        <v>#INVALID COMPANY ID</v>
      </c>
      <c r="AX401" s="9" t="str">
        <f>_xll.SNL.Clients.Office.Excel.Functions.SPG(AU401, "SP_COUNTRY_NAME")</f>
        <v>#INVALID COMPANY ID</v>
      </c>
      <c r="BC401" s="9" t="str">
        <f>_xll.SNL.Clients.Office.Excel.Functions.SPG(AZ401, "SP_COUNTRY_NAME")</f>
        <v>#INVALID COMPANY ID</v>
      </c>
      <c r="BD401" t="s">
        <v>1349</v>
      </c>
      <c r="BE401">
        <v>4428399</v>
      </c>
      <c r="BF401" t="s">
        <v>346</v>
      </c>
      <c r="BG401" s="11">
        <v>0</v>
      </c>
      <c r="BH401" s="9" t="str">
        <f>_xll.SNL.Clients.Office.Excel.Functions.SPG(BE401, "SP_COUNTRY_NAME")</f>
        <v>South Africa</v>
      </c>
      <c r="BM401" s="9" t="str">
        <f>_xll.SNL.Clients.Office.Excel.Functions.SPG(BJ401, "SP_COUNTRY_NAME")</f>
        <v>#INVALID COMPANY ID</v>
      </c>
      <c r="BR401" s="9" t="str">
        <f>_xll.SNL.Clients.Office.Excel.Functions.SPG(BO401, "SP_COUNTRY_NAME")</f>
        <v>#INVALID COMPANY ID</v>
      </c>
      <c r="BS401" t="s">
        <v>1058</v>
      </c>
      <c r="BT401">
        <v>19942920</v>
      </c>
      <c r="BU401" t="s">
        <v>364</v>
      </c>
      <c r="BV401" s="11">
        <v>0</v>
      </c>
      <c r="BW401" s="9" t="str">
        <f>_xll.SNL.Clients.Office.Excel.Functions.SPG(BT401, "SP_COUNTRY_NAME")</f>
        <v>Hong Kong</v>
      </c>
      <c r="BX401" t="s">
        <v>928</v>
      </c>
      <c r="BY401">
        <v>4587777</v>
      </c>
      <c r="BZ401" t="s">
        <v>346</v>
      </c>
      <c r="CA401" s="11">
        <v>0</v>
      </c>
      <c r="CB401" s="9" t="str">
        <f>_xll.SNL.Clients.Office.Excel.Functions.SPG(BY401, "SP_COUNTRY_NAME")</f>
        <v>China</v>
      </c>
      <c r="CC401" t="s">
        <v>1826</v>
      </c>
      <c r="CD401">
        <v>4608100</v>
      </c>
      <c r="CE401" t="s">
        <v>369</v>
      </c>
      <c r="CF401" s="11">
        <v>0</v>
      </c>
      <c r="CG401" s="9" t="str">
        <f>_xll.SNL.Clients.Office.Excel.Functions.SPG(CD401, "SP_COUNTRY_NAME")</f>
        <v>Brazil</v>
      </c>
      <c r="CL401" s="9" t="str">
        <f>_xll.SNL.Clients.Office.Excel.Functions.SPG(CI401, "SP_COUNTRY_NAME")</f>
        <v>#INVALID COMPANY ID</v>
      </c>
      <c r="CM401" t="s">
        <v>1704</v>
      </c>
      <c r="CN401">
        <v>1000525</v>
      </c>
      <c r="CO401" t="s">
        <v>346</v>
      </c>
      <c r="CP401" s="11">
        <v>0</v>
      </c>
      <c r="CQ401" s="9" t="str">
        <f>_xll.SNL.Clients.Office.Excel.Functions.SPG(CN401, "SP_COUNTRY_NAME")</f>
        <v>USA</v>
      </c>
      <c r="CV401" s="9" t="str">
        <f>_xll.SNL.Clients.Office.Excel.Functions.SPG(CS401, "SP_COUNTRY_NAME")</f>
        <v>#INVALID COMPANY ID</v>
      </c>
      <c r="DA401" s="9" t="str">
        <f>_xll.SNL.Clients.Office.Excel.Functions.SPG(CX401, "SP_COUNTRY_NAME")</f>
        <v>#INVALID COMPANY ID</v>
      </c>
      <c r="DB401" t="s">
        <v>1349</v>
      </c>
      <c r="DC401">
        <v>4428399</v>
      </c>
      <c r="DD401" t="s">
        <v>346</v>
      </c>
      <c r="DE401" s="11">
        <v>0</v>
      </c>
      <c r="DF401" s="9" t="str">
        <f>_xll.SNL.Clients.Office.Excel.Functions.SPG(DC401, "SP_COUNTRY_NAME")</f>
        <v>South Africa</v>
      </c>
      <c r="DK401" s="9" t="str">
        <f>_xll.SNL.Clients.Office.Excel.Functions.SPG(DH401, "SP_COUNTRY_NAME")</f>
        <v>#INVALID COMPANY ID</v>
      </c>
      <c r="DL401" t="s">
        <v>1349</v>
      </c>
      <c r="DM401">
        <v>4428399</v>
      </c>
      <c r="DN401" t="s">
        <v>346</v>
      </c>
      <c r="DO401" s="11">
        <v>0</v>
      </c>
      <c r="DP401" s="9" t="str">
        <f>_xll.SNL.Clients.Office.Excel.Functions.SPG(DM401, "SP_COUNTRY_NAME")</f>
        <v>South Africa</v>
      </c>
      <c r="DU401" s="9" t="str">
        <f>_xll.SNL.Clients.Office.Excel.Functions.SPG(DR401, "SP_COUNTRY_NAME")</f>
        <v>#INVALID COMPANY ID</v>
      </c>
      <c r="DZ401" s="9" t="str">
        <f>_xll.SNL.Clients.Office.Excel.Functions.SPG(DW401, "SP_COUNTRY_NAME")</f>
        <v>#INVALID COMPANY ID</v>
      </c>
      <c r="EA401" t="s">
        <v>1826</v>
      </c>
      <c r="EB401">
        <v>4608100</v>
      </c>
      <c r="EC401" t="s">
        <v>369</v>
      </c>
      <c r="ED401" s="11">
        <v>0</v>
      </c>
      <c r="EE401" s="9" t="str">
        <f>_xll.SNL.Clients.Office.Excel.Functions.SPG(EB401, "SP_COUNTRY_NAME")</f>
        <v>Brazil</v>
      </c>
      <c r="EF401" t="s">
        <v>1349</v>
      </c>
      <c r="EG401">
        <v>4428399</v>
      </c>
      <c r="EH401" t="s">
        <v>346</v>
      </c>
      <c r="EI401" s="11">
        <v>0</v>
      </c>
      <c r="EJ401" s="9" t="str">
        <f>_xll.SNL.Clients.Office.Excel.Functions.SPG(EG401, "SP_COUNTRY_NAME")</f>
        <v>South Africa</v>
      </c>
      <c r="EO401" s="9" t="str">
        <f>_xll.SNL.Clients.Office.Excel.Functions.SPG(EL401, "SP_COUNTRY_NAME")</f>
        <v>#INVALID COMPANY ID</v>
      </c>
      <c r="ET401" s="9" t="str">
        <f>_xll.SNL.Clients.Office.Excel.Functions.SPG(EQ401, "SP_COUNTRY_NAME")</f>
        <v>#INVALID COMPANY ID</v>
      </c>
      <c r="EY401" s="9" t="str">
        <f>_xll.SNL.Clients.Office.Excel.Functions.SPG(EV401, "SP_COUNTRY_NAME")</f>
        <v>#INVALID COMPANY ID</v>
      </c>
      <c r="FD401" s="9" t="str">
        <f>_xll.SNL.Clients.Office.Excel.Functions.SPG(FA401, "SP_COUNTRY_NAME")</f>
        <v>#INVALID COMPANY ID</v>
      </c>
      <c r="FI401" s="9" t="str">
        <f>_xll.SNL.Clients.Office.Excel.Functions.SPG(FF401, "SP_COUNTRY_NAME")</f>
        <v>#INVALID COMPANY ID</v>
      </c>
      <c r="FN401" s="9" t="str">
        <f>_xll.SNL.Clients.Office.Excel.Functions.SPG(FK401, "SP_COUNTRY_NAME")</f>
        <v>#INVALID COMPANY ID</v>
      </c>
      <c r="FS401" s="9" t="str">
        <f>_xll.SNL.Clients.Office.Excel.Functions.SPG(FP401, "SP_COUNTRY_NAME")</f>
        <v>#INVALID COMPANY ID</v>
      </c>
      <c r="FX401" s="9" t="str">
        <f>_xll.SNL.Clients.Office.Excel.Functions.SPG(FU401, "SP_COUNTRY_NAME")</f>
        <v>#INVALID COMPANY ID</v>
      </c>
      <c r="FY401" t="s">
        <v>1349</v>
      </c>
      <c r="FZ401">
        <v>4428399</v>
      </c>
      <c r="GA401" t="s">
        <v>346</v>
      </c>
      <c r="GB401" s="11">
        <v>0</v>
      </c>
      <c r="GC401" s="9" t="str">
        <f>_xll.SNL.Clients.Office.Excel.Functions.SPG(FZ401, "SP_COUNTRY_NAME")</f>
        <v>South Africa</v>
      </c>
      <c r="GH401" s="9" t="str">
        <f>_xll.SNL.Clients.Office.Excel.Functions.SPG(GE401, "SP_COUNTRY_NAME")</f>
        <v>#INVALID COMPANY ID</v>
      </c>
      <c r="GM401" s="9" t="str">
        <f>_xll.SNL.Clients.Office.Excel.Functions.SPG(GJ401, "SP_COUNTRY_NAME")</f>
        <v>#INVALID COMPANY ID</v>
      </c>
      <c r="GR401" s="9" t="str">
        <f>_xll.SNL.Clients.Office.Excel.Functions.SPG(GO401, "SP_COUNTRY_NAME")</f>
        <v>#INVALID COMPANY ID</v>
      </c>
      <c r="GW401" s="9" t="str">
        <f>_xll.SNL.Clients.Office.Excel.Functions.SPG(GT401, "SP_COUNTRY_NAME")</f>
        <v>#INVALID COMPANY ID</v>
      </c>
      <c r="GX401" t="s">
        <v>1826</v>
      </c>
      <c r="GY401">
        <v>4608100</v>
      </c>
      <c r="GZ401" t="s">
        <v>369</v>
      </c>
      <c r="HA401" s="11">
        <v>0</v>
      </c>
      <c r="HB401" s="9" t="str">
        <f>_xll.SNL.Clients.Office.Excel.Functions.SPG(GY401, "SP_COUNTRY_NAME")</f>
        <v>Brazil</v>
      </c>
      <c r="HG401" s="9" t="str">
        <f>_xll.SNL.Clients.Office.Excel.Functions.SPG(HD401, "SP_COUNTRY_NAME")</f>
        <v>#INVALID COMPANY ID</v>
      </c>
    </row>
    <row r="402" spans="5:215" x14ac:dyDescent="0.35">
      <c r="E402" s="9" t="str">
        <f>_xll.SNL.Clients.Office.Excel.Functions.SPG(B402, "SP_COUNTRY_NAME")</f>
        <v>#INVALID COMPANY ID</v>
      </c>
      <c r="J402" s="9" t="str">
        <f>_xll.SNL.Clients.Office.Excel.Functions.SPG(G402, "SP_COUNTRY_NAME")</f>
        <v>#INVALID COMPANY ID</v>
      </c>
      <c r="O402" s="9" t="str">
        <f>_xll.SNL.Clients.Office.Excel.Functions.SPG(L402, "SP_COUNTRY_NAME")</f>
        <v>#INVALID COMPANY ID</v>
      </c>
      <c r="T402" s="9" t="str">
        <f>_xll.SNL.Clients.Office.Excel.Functions.SPG(Q402, "SP_COUNTRY_NAME")</f>
        <v>#INVALID COMPANY ID</v>
      </c>
      <c r="U402" t="s">
        <v>617</v>
      </c>
      <c r="V402">
        <v>4117990</v>
      </c>
      <c r="W402" t="s">
        <v>346</v>
      </c>
      <c r="X402" s="11">
        <v>0</v>
      </c>
      <c r="Y402" s="9" t="str">
        <f>_xll.SNL.Clients.Office.Excel.Functions.SPG(V402, "SP_COUNTRY_NAME")</f>
        <v>USA</v>
      </c>
      <c r="AD402" s="9" t="str">
        <f>_xll.SNL.Clients.Office.Excel.Functions.SPG(AA402, "SP_COUNTRY_NAME")</f>
        <v>#INVALID COMPANY ID</v>
      </c>
      <c r="AI402" s="9" t="str">
        <f>_xll.SNL.Clients.Office.Excel.Functions.SPG(AF402, "SP_COUNTRY_NAME")</f>
        <v>#INVALID COMPANY ID</v>
      </c>
      <c r="AN402" s="9" t="str">
        <f>_xll.SNL.Clients.Office.Excel.Functions.SPG(AK402, "SP_COUNTRY_NAME")</f>
        <v>#INVALID COMPANY ID</v>
      </c>
      <c r="AS402" s="9" t="str">
        <f>_xll.SNL.Clients.Office.Excel.Functions.SPG(AP402, "SP_COUNTRY_NAME")</f>
        <v>#INVALID COMPANY ID</v>
      </c>
      <c r="AX402" s="9" t="str">
        <f>_xll.SNL.Clients.Office.Excel.Functions.SPG(AU402, "SP_COUNTRY_NAME")</f>
        <v>#INVALID COMPANY ID</v>
      </c>
      <c r="BC402" s="9" t="str">
        <f>_xll.SNL.Clients.Office.Excel.Functions.SPG(AZ402, "SP_COUNTRY_NAME")</f>
        <v>#INVALID COMPANY ID</v>
      </c>
      <c r="BD402" t="s">
        <v>1318</v>
      </c>
      <c r="BE402">
        <v>4234965</v>
      </c>
      <c r="BF402" t="s">
        <v>346</v>
      </c>
      <c r="BG402" s="11">
        <v>0</v>
      </c>
      <c r="BH402" s="9" t="str">
        <f>_xll.SNL.Clients.Office.Excel.Functions.SPG(BE402, "SP_COUNTRY_NAME")</f>
        <v>Namibia</v>
      </c>
      <c r="BM402" s="9" t="str">
        <f>_xll.SNL.Clients.Office.Excel.Functions.SPG(BJ402, "SP_COUNTRY_NAME")</f>
        <v>#INVALID COMPANY ID</v>
      </c>
      <c r="BR402" s="9" t="str">
        <f>_xll.SNL.Clients.Office.Excel.Functions.SPG(BO402, "SP_COUNTRY_NAME")</f>
        <v>#INVALID COMPANY ID</v>
      </c>
      <c r="BS402" t="s">
        <v>763</v>
      </c>
      <c r="BT402">
        <v>110153</v>
      </c>
      <c r="BU402" t="s">
        <v>364</v>
      </c>
      <c r="BV402" s="11">
        <v>0</v>
      </c>
      <c r="BW402" s="9" t="str">
        <f>_xll.SNL.Clients.Office.Excel.Functions.SPG(BT402, "SP_COUNTRY_NAME")</f>
        <v>USA</v>
      </c>
      <c r="BX402" t="s">
        <v>617</v>
      </c>
      <c r="BY402">
        <v>4117990</v>
      </c>
      <c r="BZ402" t="s">
        <v>346</v>
      </c>
      <c r="CA402" s="11">
        <v>0</v>
      </c>
      <c r="CB402" s="9" t="str">
        <f>_xll.SNL.Clients.Office.Excel.Functions.SPG(BY402, "SP_COUNTRY_NAME")</f>
        <v>USA</v>
      </c>
      <c r="CC402" t="s">
        <v>1827</v>
      </c>
      <c r="CD402">
        <v>4116182</v>
      </c>
      <c r="CE402" t="s">
        <v>346</v>
      </c>
      <c r="CF402" s="11">
        <v>0</v>
      </c>
      <c r="CG402" s="9" t="str">
        <f>_xll.SNL.Clients.Office.Excel.Functions.SPG(CD402, "SP_COUNTRY_NAME")</f>
        <v>USA</v>
      </c>
      <c r="CL402" s="9" t="str">
        <f>_xll.SNL.Clients.Office.Excel.Functions.SPG(CI402, "SP_COUNTRY_NAME")</f>
        <v>#INVALID COMPANY ID</v>
      </c>
      <c r="CM402" t="s">
        <v>1363</v>
      </c>
      <c r="CN402">
        <v>13069459</v>
      </c>
      <c r="CO402" t="s">
        <v>346</v>
      </c>
      <c r="CP402" s="11">
        <v>0</v>
      </c>
      <c r="CQ402" s="9" t="str">
        <f>_xll.SNL.Clients.Office.Excel.Functions.SPG(CN402, "SP_COUNTRY_NAME")</f>
        <v>South Africa</v>
      </c>
      <c r="CV402" s="9" t="str">
        <f>_xll.SNL.Clients.Office.Excel.Functions.SPG(CS402, "SP_COUNTRY_NAME")</f>
        <v>#INVALID COMPANY ID</v>
      </c>
      <c r="DA402" s="9" t="str">
        <f>_xll.SNL.Clients.Office.Excel.Functions.SPG(CX402, "SP_COUNTRY_NAME")</f>
        <v>#INVALID COMPANY ID</v>
      </c>
      <c r="DB402" t="s">
        <v>1318</v>
      </c>
      <c r="DC402">
        <v>4234965</v>
      </c>
      <c r="DD402" t="s">
        <v>346</v>
      </c>
      <c r="DE402" s="11">
        <v>0</v>
      </c>
      <c r="DF402" s="9" t="str">
        <f>_xll.SNL.Clients.Office.Excel.Functions.SPG(DC402, "SP_COUNTRY_NAME")</f>
        <v>Namibia</v>
      </c>
      <c r="DK402" s="9" t="str">
        <f>_xll.SNL.Clients.Office.Excel.Functions.SPG(DH402, "SP_COUNTRY_NAME")</f>
        <v>#INVALID COMPANY ID</v>
      </c>
      <c r="DL402" t="s">
        <v>1318</v>
      </c>
      <c r="DM402">
        <v>4234965</v>
      </c>
      <c r="DN402" t="s">
        <v>346</v>
      </c>
      <c r="DO402" s="11">
        <v>0</v>
      </c>
      <c r="DP402" s="9" t="str">
        <f>_xll.SNL.Clients.Office.Excel.Functions.SPG(DM402, "SP_COUNTRY_NAME")</f>
        <v>Namibia</v>
      </c>
      <c r="DU402" s="9" t="str">
        <f>_xll.SNL.Clients.Office.Excel.Functions.SPG(DR402, "SP_COUNTRY_NAME")</f>
        <v>#INVALID COMPANY ID</v>
      </c>
      <c r="DZ402" s="9" t="str">
        <f>_xll.SNL.Clients.Office.Excel.Functions.SPG(DW402, "SP_COUNTRY_NAME")</f>
        <v>#INVALID COMPANY ID</v>
      </c>
      <c r="EA402" t="s">
        <v>1827</v>
      </c>
      <c r="EB402">
        <v>4116182</v>
      </c>
      <c r="EC402" t="s">
        <v>346</v>
      </c>
      <c r="ED402" s="11">
        <v>0</v>
      </c>
      <c r="EE402" s="9" t="str">
        <f>_xll.SNL.Clients.Office.Excel.Functions.SPG(EB402, "SP_COUNTRY_NAME")</f>
        <v>USA</v>
      </c>
      <c r="EF402" t="s">
        <v>1318</v>
      </c>
      <c r="EG402">
        <v>4234965</v>
      </c>
      <c r="EH402" t="s">
        <v>346</v>
      </c>
      <c r="EI402" s="11">
        <v>0</v>
      </c>
      <c r="EJ402" s="9" t="str">
        <f>_xll.SNL.Clients.Office.Excel.Functions.SPG(EG402, "SP_COUNTRY_NAME")</f>
        <v>Namibia</v>
      </c>
      <c r="EO402" s="9" t="str">
        <f>_xll.SNL.Clients.Office.Excel.Functions.SPG(EL402, "SP_COUNTRY_NAME")</f>
        <v>#INVALID COMPANY ID</v>
      </c>
      <c r="ET402" s="9" t="str">
        <f>_xll.SNL.Clients.Office.Excel.Functions.SPG(EQ402, "SP_COUNTRY_NAME")</f>
        <v>#INVALID COMPANY ID</v>
      </c>
      <c r="EY402" s="9" t="str">
        <f>_xll.SNL.Clients.Office.Excel.Functions.SPG(EV402, "SP_COUNTRY_NAME")</f>
        <v>#INVALID COMPANY ID</v>
      </c>
      <c r="FD402" s="9" t="str">
        <f>_xll.SNL.Clients.Office.Excel.Functions.SPG(FA402, "SP_COUNTRY_NAME")</f>
        <v>#INVALID COMPANY ID</v>
      </c>
      <c r="FI402" s="9" t="str">
        <f>_xll.SNL.Clients.Office.Excel.Functions.SPG(FF402, "SP_COUNTRY_NAME")</f>
        <v>#INVALID COMPANY ID</v>
      </c>
      <c r="FN402" s="9" t="str">
        <f>_xll.SNL.Clients.Office.Excel.Functions.SPG(FK402, "SP_COUNTRY_NAME")</f>
        <v>#INVALID COMPANY ID</v>
      </c>
      <c r="FS402" s="9" t="str">
        <f>_xll.SNL.Clients.Office.Excel.Functions.SPG(FP402, "SP_COUNTRY_NAME")</f>
        <v>#INVALID COMPANY ID</v>
      </c>
      <c r="FX402" s="9" t="str">
        <f>_xll.SNL.Clients.Office.Excel.Functions.SPG(FU402, "SP_COUNTRY_NAME")</f>
        <v>#INVALID COMPANY ID</v>
      </c>
      <c r="FY402" t="s">
        <v>1318</v>
      </c>
      <c r="FZ402">
        <v>4234965</v>
      </c>
      <c r="GA402" t="s">
        <v>346</v>
      </c>
      <c r="GB402" s="11">
        <v>0</v>
      </c>
      <c r="GC402" s="9" t="str">
        <f>_xll.SNL.Clients.Office.Excel.Functions.SPG(FZ402, "SP_COUNTRY_NAME")</f>
        <v>Namibia</v>
      </c>
      <c r="GH402" s="9" t="str">
        <f>_xll.SNL.Clients.Office.Excel.Functions.SPG(GE402, "SP_COUNTRY_NAME")</f>
        <v>#INVALID COMPANY ID</v>
      </c>
      <c r="GM402" s="9" t="str">
        <f>_xll.SNL.Clients.Office.Excel.Functions.SPG(GJ402, "SP_COUNTRY_NAME")</f>
        <v>#INVALID COMPANY ID</v>
      </c>
      <c r="GR402" s="9" t="str">
        <f>_xll.SNL.Clients.Office.Excel.Functions.SPG(GO402, "SP_COUNTRY_NAME")</f>
        <v>#INVALID COMPANY ID</v>
      </c>
      <c r="GW402" s="9" t="str">
        <f>_xll.SNL.Clients.Office.Excel.Functions.SPG(GT402, "SP_COUNTRY_NAME")</f>
        <v>#INVALID COMPANY ID</v>
      </c>
      <c r="GX402" t="s">
        <v>1827</v>
      </c>
      <c r="GY402">
        <v>4116182</v>
      </c>
      <c r="GZ402" t="s">
        <v>346</v>
      </c>
      <c r="HA402" s="11">
        <v>0</v>
      </c>
      <c r="HB402" s="9" t="str">
        <f>_xll.SNL.Clients.Office.Excel.Functions.SPG(GY402, "SP_COUNTRY_NAME")</f>
        <v>USA</v>
      </c>
      <c r="HG402" s="9" t="str">
        <f>_xll.SNL.Clients.Office.Excel.Functions.SPG(HD402, "SP_COUNTRY_NAME")</f>
        <v>#INVALID COMPANY ID</v>
      </c>
    </row>
    <row r="403" spans="5:215" x14ac:dyDescent="0.35">
      <c r="E403" s="9" t="str">
        <f>_xll.SNL.Clients.Office.Excel.Functions.SPG(B403, "SP_COUNTRY_NAME")</f>
        <v>#INVALID COMPANY ID</v>
      </c>
      <c r="J403" s="9" t="str">
        <f>_xll.SNL.Clients.Office.Excel.Functions.SPG(G403, "SP_COUNTRY_NAME")</f>
        <v>#INVALID COMPANY ID</v>
      </c>
      <c r="O403" s="9" t="str">
        <f>_xll.SNL.Clients.Office.Excel.Functions.SPG(L403, "SP_COUNTRY_NAME")</f>
        <v>#INVALID COMPANY ID</v>
      </c>
      <c r="T403" s="9" t="str">
        <f>_xll.SNL.Clients.Office.Excel.Functions.SPG(Q403, "SP_COUNTRY_NAME")</f>
        <v>#INVALID COMPANY ID</v>
      </c>
      <c r="U403" t="s">
        <v>929</v>
      </c>
      <c r="V403">
        <v>5879050</v>
      </c>
      <c r="W403" t="s">
        <v>346</v>
      </c>
      <c r="X403" s="11">
        <v>0</v>
      </c>
      <c r="Y403" s="9" t="str">
        <f>_xll.SNL.Clients.Office.Excel.Functions.SPG(V403, "SP_COUNTRY_NAME")</f>
        <v>China</v>
      </c>
      <c r="AD403" s="9" t="str">
        <f>_xll.SNL.Clients.Office.Excel.Functions.SPG(AA403, "SP_COUNTRY_NAME")</f>
        <v>#INVALID COMPANY ID</v>
      </c>
      <c r="AI403" s="9" t="str">
        <f>_xll.SNL.Clients.Office.Excel.Functions.SPG(AF403, "SP_COUNTRY_NAME")</f>
        <v>#INVALID COMPANY ID</v>
      </c>
      <c r="AN403" s="9" t="str">
        <f>_xll.SNL.Clients.Office.Excel.Functions.SPG(AK403, "SP_COUNTRY_NAME")</f>
        <v>#INVALID COMPANY ID</v>
      </c>
      <c r="AS403" s="9" t="str">
        <f>_xll.SNL.Clients.Office.Excel.Functions.SPG(AP403, "SP_COUNTRY_NAME")</f>
        <v>#INVALID COMPANY ID</v>
      </c>
      <c r="AX403" s="9" t="str">
        <f>_xll.SNL.Clients.Office.Excel.Functions.SPG(AU403, "SP_COUNTRY_NAME")</f>
        <v>#INVALID COMPANY ID</v>
      </c>
      <c r="BC403" s="9" t="str">
        <f>_xll.SNL.Clients.Office.Excel.Functions.SPG(AZ403, "SP_COUNTRY_NAME")</f>
        <v>#INVALID COMPANY ID</v>
      </c>
      <c r="BD403" t="s">
        <v>1341</v>
      </c>
      <c r="BE403">
        <v>14965291</v>
      </c>
      <c r="BF403" t="s">
        <v>346</v>
      </c>
      <c r="BG403" s="11">
        <v>0</v>
      </c>
      <c r="BH403" s="9" t="str">
        <f>_xll.SNL.Clients.Office.Excel.Functions.SPG(BE403, "SP_COUNTRY_NAME")</f>
        <v>South Africa</v>
      </c>
      <c r="BM403" s="9" t="str">
        <f>_xll.SNL.Clients.Office.Excel.Functions.SPG(BJ403, "SP_COUNTRY_NAME")</f>
        <v>#INVALID COMPANY ID</v>
      </c>
      <c r="BR403" s="9" t="str">
        <f>_xll.SNL.Clients.Office.Excel.Functions.SPG(BO403, "SP_COUNTRY_NAME")</f>
        <v>#INVALID COMPANY ID</v>
      </c>
      <c r="BS403" t="s">
        <v>834</v>
      </c>
      <c r="BT403">
        <v>4097957</v>
      </c>
      <c r="BU403" t="s">
        <v>346</v>
      </c>
      <c r="BV403" s="11">
        <v>0</v>
      </c>
      <c r="BW403" s="9" t="str">
        <f>_xll.SNL.Clients.Office.Excel.Functions.SPG(BT403, "SP_COUNTRY_NAME")</f>
        <v>USA</v>
      </c>
      <c r="BX403" t="s">
        <v>929</v>
      </c>
      <c r="BY403">
        <v>5879050</v>
      </c>
      <c r="BZ403" t="s">
        <v>346</v>
      </c>
      <c r="CA403" s="11">
        <v>0</v>
      </c>
      <c r="CB403" s="9" t="str">
        <f>_xll.SNL.Clients.Office.Excel.Functions.SPG(BY403, "SP_COUNTRY_NAME")</f>
        <v>China</v>
      </c>
      <c r="CC403" t="s">
        <v>1828</v>
      </c>
      <c r="CD403">
        <v>5857235</v>
      </c>
      <c r="CE403" t="s">
        <v>364</v>
      </c>
      <c r="CF403" s="11">
        <v>0</v>
      </c>
      <c r="CG403" s="9" t="str">
        <f>_xll.SNL.Clients.Office.Excel.Functions.SPG(CD403, "SP_COUNTRY_NAME")</f>
        <v>Brazil</v>
      </c>
      <c r="CL403" s="9" t="str">
        <f>_xll.SNL.Clients.Office.Excel.Functions.SPG(CI403, "SP_COUNTRY_NAME")</f>
        <v>#INVALID COMPANY ID</v>
      </c>
      <c r="CM403" t="s">
        <v>1364</v>
      </c>
      <c r="CN403">
        <v>10890287</v>
      </c>
      <c r="CO403" t="s">
        <v>346</v>
      </c>
      <c r="CP403" s="11">
        <v>0</v>
      </c>
      <c r="CQ403" s="9" t="str">
        <f>_xll.SNL.Clients.Office.Excel.Functions.SPG(CN403, "SP_COUNTRY_NAME")</f>
        <v>South Africa</v>
      </c>
      <c r="CV403" s="9" t="str">
        <f>_xll.SNL.Clients.Office.Excel.Functions.SPG(CS403, "SP_COUNTRY_NAME")</f>
        <v>#INVALID COMPANY ID</v>
      </c>
      <c r="DA403" s="9" t="str">
        <f>_xll.SNL.Clients.Office.Excel.Functions.SPG(CX403, "SP_COUNTRY_NAME")</f>
        <v>#INVALID COMPANY ID</v>
      </c>
      <c r="DB403" t="s">
        <v>1341</v>
      </c>
      <c r="DC403">
        <v>14965291</v>
      </c>
      <c r="DD403" t="s">
        <v>346</v>
      </c>
      <c r="DE403" s="11">
        <v>0</v>
      </c>
      <c r="DF403" s="9" t="str">
        <f>_xll.SNL.Clients.Office.Excel.Functions.SPG(DC403, "SP_COUNTRY_NAME")</f>
        <v>South Africa</v>
      </c>
      <c r="DK403" s="9" t="str">
        <f>_xll.SNL.Clients.Office.Excel.Functions.SPG(DH403, "SP_COUNTRY_NAME")</f>
        <v>#INVALID COMPANY ID</v>
      </c>
      <c r="DL403" t="s">
        <v>1341</v>
      </c>
      <c r="DM403">
        <v>14965291</v>
      </c>
      <c r="DN403" t="s">
        <v>346</v>
      </c>
      <c r="DO403" s="11">
        <v>0</v>
      </c>
      <c r="DP403" s="9" t="str">
        <f>_xll.SNL.Clients.Office.Excel.Functions.SPG(DM403, "SP_COUNTRY_NAME")</f>
        <v>South Africa</v>
      </c>
      <c r="DU403" s="9" t="str">
        <f>_xll.SNL.Clients.Office.Excel.Functions.SPG(DR403, "SP_COUNTRY_NAME")</f>
        <v>#INVALID COMPANY ID</v>
      </c>
      <c r="DZ403" s="9" t="str">
        <f>_xll.SNL.Clients.Office.Excel.Functions.SPG(DW403, "SP_COUNTRY_NAME")</f>
        <v>#INVALID COMPANY ID</v>
      </c>
      <c r="EA403" t="s">
        <v>1828</v>
      </c>
      <c r="EB403">
        <v>5857235</v>
      </c>
      <c r="EC403" t="s">
        <v>364</v>
      </c>
      <c r="ED403" s="11">
        <v>0</v>
      </c>
      <c r="EE403" s="9" t="str">
        <f>_xll.SNL.Clients.Office.Excel.Functions.SPG(EB403, "SP_COUNTRY_NAME")</f>
        <v>Brazil</v>
      </c>
      <c r="EF403" t="s">
        <v>1341</v>
      </c>
      <c r="EG403">
        <v>14965291</v>
      </c>
      <c r="EH403" t="s">
        <v>346</v>
      </c>
      <c r="EI403" s="11">
        <v>0</v>
      </c>
      <c r="EJ403" s="9" t="str">
        <f>_xll.SNL.Clients.Office.Excel.Functions.SPG(EG403, "SP_COUNTRY_NAME")</f>
        <v>South Africa</v>
      </c>
      <c r="EO403" s="9" t="str">
        <f>_xll.SNL.Clients.Office.Excel.Functions.SPG(EL403, "SP_COUNTRY_NAME")</f>
        <v>#INVALID COMPANY ID</v>
      </c>
      <c r="ET403" s="9" t="str">
        <f>_xll.SNL.Clients.Office.Excel.Functions.SPG(EQ403, "SP_COUNTRY_NAME")</f>
        <v>#INVALID COMPANY ID</v>
      </c>
      <c r="EY403" s="9" t="str">
        <f>_xll.SNL.Clients.Office.Excel.Functions.SPG(EV403, "SP_COUNTRY_NAME")</f>
        <v>#INVALID COMPANY ID</v>
      </c>
      <c r="FD403" s="9" t="str">
        <f>_xll.SNL.Clients.Office.Excel.Functions.SPG(FA403, "SP_COUNTRY_NAME")</f>
        <v>#INVALID COMPANY ID</v>
      </c>
      <c r="FI403" s="9" t="str">
        <f>_xll.SNL.Clients.Office.Excel.Functions.SPG(FF403, "SP_COUNTRY_NAME")</f>
        <v>#INVALID COMPANY ID</v>
      </c>
      <c r="FN403" s="9" t="str">
        <f>_xll.SNL.Clients.Office.Excel.Functions.SPG(FK403, "SP_COUNTRY_NAME")</f>
        <v>#INVALID COMPANY ID</v>
      </c>
      <c r="FS403" s="9" t="str">
        <f>_xll.SNL.Clients.Office.Excel.Functions.SPG(FP403, "SP_COUNTRY_NAME")</f>
        <v>#INVALID COMPANY ID</v>
      </c>
      <c r="FX403" s="9" t="str">
        <f>_xll.SNL.Clients.Office.Excel.Functions.SPG(FU403, "SP_COUNTRY_NAME")</f>
        <v>#INVALID COMPANY ID</v>
      </c>
      <c r="FY403" t="s">
        <v>1341</v>
      </c>
      <c r="FZ403">
        <v>14965291</v>
      </c>
      <c r="GA403" t="s">
        <v>346</v>
      </c>
      <c r="GB403" s="11">
        <v>0</v>
      </c>
      <c r="GC403" s="9" t="str">
        <f>_xll.SNL.Clients.Office.Excel.Functions.SPG(FZ403, "SP_COUNTRY_NAME")</f>
        <v>South Africa</v>
      </c>
      <c r="GH403" s="9" t="str">
        <f>_xll.SNL.Clients.Office.Excel.Functions.SPG(GE403, "SP_COUNTRY_NAME")</f>
        <v>#INVALID COMPANY ID</v>
      </c>
      <c r="GM403" s="9" t="str">
        <f>_xll.SNL.Clients.Office.Excel.Functions.SPG(GJ403, "SP_COUNTRY_NAME")</f>
        <v>#INVALID COMPANY ID</v>
      </c>
      <c r="GR403" s="9" t="str">
        <f>_xll.SNL.Clients.Office.Excel.Functions.SPG(GO403, "SP_COUNTRY_NAME")</f>
        <v>#INVALID COMPANY ID</v>
      </c>
      <c r="GW403" s="9" t="str">
        <f>_xll.SNL.Clients.Office.Excel.Functions.SPG(GT403, "SP_COUNTRY_NAME")</f>
        <v>#INVALID COMPANY ID</v>
      </c>
      <c r="GX403" t="s">
        <v>1828</v>
      </c>
      <c r="GY403">
        <v>5857235</v>
      </c>
      <c r="GZ403" t="s">
        <v>364</v>
      </c>
      <c r="HA403" s="11">
        <v>0</v>
      </c>
      <c r="HB403" s="9" t="str">
        <f>_xll.SNL.Clients.Office.Excel.Functions.SPG(GY403, "SP_COUNTRY_NAME")</f>
        <v>Brazil</v>
      </c>
      <c r="HG403" s="9" t="str">
        <f>_xll.SNL.Clients.Office.Excel.Functions.SPG(HD403, "SP_COUNTRY_NAME")</f>
        <v>#INVALID COMPANY ID</v>
      </c>
    </row>
    <row r="404" spans="5:215" x14ac:dyDescent="0.35">
      <c r="E404" s="9" t="str">
        <f>_xll.SNL.Clients.Office.Excel.Functions.SPG(B404, "SP_COUNTRY_NAME")</f>
        <v>#INVALID COMPANY ID</v>
      </c>
      <c r="J404" s="9" t="str">
        <f>_xll.SNL.Clients.Office.Excel.Functions.SPG(G404, "SP_COUNTRY_NAME")</f>
        <v>#INVALID COMPANY ID</v>
      </c>
      <c r="O404" s="9" t="str">
        <f>_xll.SNL.Clients.Office.Excel.Functions.SPG(L404, "SP_COUNTRY_NAME")</f>
        <v>#INVALID COMPANY ID</v>
      </c>
      <c r="T404" s="9" t="str">
        <f>_xll.SNL.Clients.Office.Excel.Functions.SPG(Q404, "SP_COUNTRY_NAME")</f>
        <v>#INVALID COMPANY ID</v>
      </c>
      <c r="U404" t="s">
        <v>930</v>
      </c>
      <c r="V404">
        <v>6892772</v>
      </c>
      <c r="W404" t="s">
        <v>346</v>
      </c>
      <c r="X404" s="11">
        <v>0</v>
      </c>
      <c r="Y404" s="9" t="str">
        <f>_xll.SNL.Clients.Office.Excel.Functions.SPG(V404, "SP_COUNTRY_NAME")</f>
        <v>China</v>
      </c>
      <c r="AD404" s="9" t="str">
        <f>_xll.SNL.Clients.Office.Excel.Functions.SPG(AA404, "SP_COUNTRY_NAME")</f>
        <v>#INVALID COMPANY ID</v>
      </c>
      <c r="AI404" s="9" t="str">
        <f>_xll.SNL.Clients.Office.Excel.Functions.SPG(AF404, "SP_COUNTRY_NAME")</f>
        <v>#INVALID COMPANY ID</v>
      </c>
      <c r="AN404" s="9" t="str">
        <f>_xll.SNL.Clients.Office.Excel.Functions.SPG(AK404, "SP_COUNTRY_NAME")</f>
        <v>#INVALID COMPANY ID</v>
      </c>
      <c r="AS404" s="9" t="str">
        <f>_xll.SNL.Clients.Office.Excel.Functions.SPG(AP404, "SP_COUNTRY_NAME")</f>
        <v>#INVALID COMPANY ID</v>
      </c>
      <c r="AX404" s="9" t="str">
        <f>_xll.SNL.Clients.Office.Excel.Functions.SPG(AU404, "SP_COUNTRY_NAME")</f>
        <v>#INVALID COMPANY ID</v>
      </c>
      <c r="BC404" s="9" t="str">
        <f>_xll.SNL.Clients.Office.Excel.Functions.SPG(AZ404, "SP_COUNTRY_NAME")</f>
        <v>#INVALID COMPANY ID</v>
      </c>
      <c r="BD404" t="s">
        <v>1520</v>
      </c>
      <c r="BE404">
        <v>4036943</v>
      </c>
      <c r="BF404" t="s">
        <v>346</v>
      </c>
      <c r="BG404" s="11">
        <v>0</v>
      </c>
      <c r="BH404" s="9" t="str">
        <f>_xll.SNL.Clients.Office.Excel.Functions.SPG(BE404, "SP_COUNTRY_NAME")</f>
        <v>USA</v>
      </c>
      <c r="BM404" s="9" t="str">
        <f>_xll.SNL.Clients.Office.Excel.Functions.SPG(BJ404, "SP_COUNTRY_NAME")</f>
        <v>#INVALID COMPANY ID</v>
      </c>
      <c r="BR404" s="9" t="str">
        <f>_xll.SNL.Clients.Office.Excel.Functions.SPG(BO404, "SP_COUNTRY_NAME")</f>
        <v>#INVALID COMPANY ID</v>
      </c>
      <c r="BS404" t="s">
        <v>628</v>
      </c>
      <c r="BT404">
        <v>4289501</v>
      </c>
      <c r="BU404" t="s">
        <v>346</v>
      </c>
      <c r="BV404" s="11">
        <v>0</v>
      </c>
      <c r="BW404" s="9" t="str">
        <f>_xll.SNL.Clients.Office.Excel.Functions.SPG(BT404, "SP_COUNTRY_NAME")</f>
        <v>United Kingdom</v>
      </c>
      <c r="BX404" t="s">
        <v>930</v>
      </c>
      <c r="BY404">
        <v>6892772</v>
      </c>
      <c r="BZ404" t="s">
        <v>346</v>
      </c>
      <c r="CA404" s="11">
        <v>0</v>
      </c>
      <c r="CB404" s="9" t="str">
        <f>_xll.SNL.Clients.Office.Excel.Functions.SPG(BY404, "SP_COUNTRY_NAME")</f>
        <v>China</v>
      </c>
      <c r="CC404" t="s">
        <v>1829</v>
      </c>
      <c r="CD404" t="s">
        <v>300</v>
      </c>
      <c r="CE404" t="s">
        <v>361</v>
      </c>
      <c r="CF404" s="11">
        <v>0</v>
      </c>
      <c r="CG404" s="9" t="str">
        <f>_xll.SNL.Clients.Office.Excel.Functions.SPG(CD404, "SP_COUNTRY_NAME")</f>
        <v>China</v>
      </c>
      <c r="CL404" s="9" t="str">
        <f>_xll.SNL.Clients.Office.Excel.Functions.SPG(CI404, "SP_COUNTRY_NAME")</f>
        <v>#INVALID COMPANY ID</v>
      </c>
      <c r="CM404" t="s">
        <v>2071</v>
      </c>
      <c r="CN404">
        <v>4273050</v>
      </c>
      <c r="CO404" t="s">
        <v>346</v>
      </c>
      <c r="CP404" s="11">
        <v>0</v>
      </c>
      <c r="CQ404" s="9" t="str">
        <f>_xll.SNL.Clients.Office.Excel.Functions.SPG(CN404, "SP_COUNTRY_NAME")</f>
        <v>USA</v>
      </c>
      <c r="CV404" s="9" t="str">
        <f>_xll.SNL.Clients.Office.Excel.Functions.SPG(CS404, "SP_COUNTRY_NAME")</f>
        <v>#INVALID COMPANY ID</v>
      </c>
      <c r="DA404" s="9" t="str">
        <f>_xll.SNL.Clients.Office.Excel.Functions.SPG(CX404, "SP_COUNTRY_NAME")</f>
        <v>#INVALID COMPANY ID</v>
      </c>
      <c r="DB404" t="s">
        <v>1520</v>
      </c>
      <c r="DC404">
        <v>4036943</v>
      </c>
      <c r="DD404" t="s">
        <v>346</v>
      </c>
      <c r="DE404" s="11">
        <v>0</v>
      </c>
      <c r="DF404" s="9" t="str">
        <f>_xll.SNL.Clients.Office.Excel.Functions.SPG(DC404, "SP_COUNTRY_NAME")</f>
        <v>USA</v>
      </c>
      <c r="DK404" s="9" t="str">
        <f>_xll.SNL.Clients.Office.Excel.Functions.SPG(DH404, "SP_COUNTRY_NAME")</f>
        <v>#INVALID COMPANY ID</v>
      </c>
      <c r="DL404" t="s">
        <v>1520</v>
      </c>
      <c r="DM404">
        <v>4036943</v>
      </c>
      <c r="DN404" t="s">
        <v>346</v>
      </c>
      <c r="DO404" s="11">
        <v>0</v>
      </c>
      <c r="DP404" s="9" t="str">
        <f>_xll.SNL.Clients.Office.Excel.Functions.SPG(DM404, "SP_COUNTRY_NAME")</f>
        <v>USA</v>
      </c>
      <c r="DU404" s="9" t="str">
        <f>_xll.SNL.Clients.Office.Excel.Functions.SPG(DR404, "SP_COUNTRY_NAME")</f>
        <v>#INVALID COMPANY ID</v>
      </c>
      <c r="DZ404" s="9" t="str">
        <f>_xll.SNL.Clients.Office.Excel.Functions.SPG(DW404, "SP_COUNTRY_NAME")</f>
        <v>#INVALID COMPANY ID</v>
      </c>
      <c r="EA404" t="s">
        <v>1829</v>
      </c>
      <c r="EB404" t="s">
        <v>300</v>
      </c>
      <c r="EC404" t="s">
        <v>361</v>
      </c>
      <c r="ED404" s="11">
        <v>0</v>
      </c>
      <c r="EE404" s="9" t="str">
        <f>_xll.SNL.Clients.Office.Excel.Functions.SPG(EB404, "SP_COUNTRY_NAME")</f>
        <v>China</v>
      </c>
      <c r="EF404" t="s">
        <v>1520</v>
      </c>
      <c r="EG404">
        <v>4036943</v>
      </c>
      <c r="EH404" t="s">
        <v>346</v>
      </c>
      <c r="EI404" s="11">
        <v>0</v>
      </c>
      <c r="EJ404" s="9" t="str">
        <f>_xll.SNL.Clients.Office.Excel.Functions.SPG(EG404, "SP_COUNTRY_NAME")</f>
        <v>USA</v>
      </c>
      <c r="EO404" s="9" t="str">
        <f>_xll.SNL.Clients.Office.Excel.Functions.SPG(EL404, "SP_COUNTRY_NAME")</f>
        <v>#INVALID COMPANY ID</v>
      </c>
      <c r="ET404" s="9" t="str">
        <f>_xll.SNL.Clients.Office.Excel.Functions.SPG(EQ404, "SP_COUNTRY_NAME")</f>
        <v>#INVALID COMPANY ID</v>
      </c>
      <c r="EY404" s="9" t="str">
        <f>_xll.SNL.Clients.Office.Excel.Functions.SPG(EV404, "SP_COUNTRY_NAME")</f>
        <v>#INVALID COMPANY ID</v>
      </c>
      <c r="FD404" s="9" t="str">
        <f>_xll.SNL.Clients.Office.Excel.Functions.SPG(FA404, "SP_COUNTRY_NAME")</f>
        <v>#INVALID COMPANY ID</v>
      </c>
      <c r="FI404" s="9" t="str">
        <f>_xll.SNL.Clients.Office.Excel.Functions.SPG(FF404, "SP_COUNTRY_NAME")</f>
        <v>#INVALID COMPANY ID</v>
      </c>
      <c r="FN404" s="9" t="str">
        <f>_xll.SNL.Clients.Office.Excel.Functions.SPG(FK404, "SP_COUNTRY_NAME")</f>
        <v>#INVALID COMPANY ID</v>
      </c>
      <c r="FS404" s="9" t="str">
        <f>_xll.SNL.Clients.Office.Excel.Functions.SPG(FP404, "SP_COUNTRY_NAME")</f>
        <v>#INVALID COMPANY ID</v>
      </c>
      <c r="FX404" s="9" t="str">
        <f>_xll.SNL.Clients.Office.Excel.Functions.SPG(FU404, "SP_COUNTRY_NAME")</f>
        <v>#INVALID COMPANY ID</v>
      </c>
      <c r="FY404" t="s">
        <v>1520</v>
      </c>
      <c r="FZ404">
        <v>4036943</v>
      </c>
      <c r="GA404" t="s">
        <v>346</v>
      </c>
      <c r="GB404" s="11">
        <v>0</v>
      </c>
      <c r="GC404" s="9" t="str">
        <f>_xll.SNL.Clients.Office.Excel.Functions.SPG(FZ404, "SP_COUNTRY_NAME")</f>
        <v>USA</v>
      </c>
      <c r="GH404" s="9" t="str">
        <f>_xll.SNL.Clients.Office.Excel.Functions.SPG(GE404, "SP_COUNTRY_NAME")</f>
        <v>#INVALID COMPANY ID</v>
      </c>
      <c r="GM404" s="9" t="str">
        <f>_xll.SNL.Clients.Office.Excel.Functions.SPG(GJ404, "SP_COUNTRY_NAME")</f>
        <v>#INVALID COMPANY ID</v>
      </c>
      <c r="GR404" s="9" t="str">
        <f>_xll.SNL.Clients.Office.Excel.Functions.SPG(GO404, "SP_COUNTRY_NAME")</f>
        <v>#INVALID COMPANY ID</v>
      </c>
      <c r="GW404" s="9" t="str">
        <f>_xll.SNL.Clients.Office.Excel.Functions.SPG(GT404, "SP_COUNTRY_NAME")</f>
        <v>#INVALID COMPANY ID</v>
      </c>
      <c r="GX404" t="s">
        <v>1829</v>
      </c>
      <c r="GY404" t="s">
        <v>300</v>
      </c>
      <c r="GZ404" t="s">
        <v>361</v>
      </c>
      <c r="HA404" s="11">
        <v>0</v>
      </c>
      <c r="HB404" s="9" t="str">
        <f>_xll.SNL.Clients.Office.Excel.Functions.SPG(GY404, "SP_COUNTRY_NAME")</f>
        <v>China</v>
      </c>
      <c r="HG404" s="9" t="str">
        <f>_xll.SNL.Clients.Office.Excel.Functions.SPG(HD404, "SP_COUNTRY_NAME")</f>
        <v>#INVALID COMPANY ID</v>
      </c>
    </row>
    <row r="405" spans="5:215" x14ac:dyDescent="0.35">
      <c r="E405" s="9" t="str">
        <f>_xll.SNL.Clients.Office.Excel.Functions.SPG(B405, "SP_COUNTRY_NAME")</f>
        <v>#INVALID COMPANY ID</v>
      </c>
      <c r="J405" s="9" t="str">
        <f>_xll.SNL.Clients.Office.Excel.Functions.SPG(G405, "SP_COUNTRY_NAME")</f>
        <v>#INVALID COMPANY ID</v>
      </c>
      <c r="O405" s="9" t="str">
        <f>_xll.SNL.Clients.Office.Excel.Functions.SPG(L405, "SP_COUNTRY_NAME")</f>
        <v>#INVALID COMPANY ID</v>
      </c>
      <c r="T405" s="9" t="str">
        <f>_xll.SNL.Clients.Office.Excel.Functions.SPG(Q405, "SP_COUNTRY_NAME")</f>
        <v>#INVALID COMPANY ID</v>
      </c>
      <c r="U405" t="s">
        <v>620</v>
      </c>
      <c r="V405">
        <v>4093059</v>
      </c>
      <c r="W405" t="s">
        <v>346</v>
      </c>
      <c r="X405" s="11">
        <v>0</v>
      </c>
      <c r="Y405" s="9" t="str">
        <f>_xll.SNL.Clients.Office.Excel.Functions.SPG(V405, "SP_COUNTRY_NAME")</f>
        <v>USA</v>
      </c>
      <c r="AD405" s="9" t="str">
        <f>_xll.SNL.Clients.Office.Excel.Functions.SPG(AA405, "SP_COUNTRY_NAME")</f>
        <v>#INVALID COMPANY ID</v>
      </c>
      <c r="AI405" s="9" t="str">
        <f>_xll.SNL.Clients.Office.Excel.Functions.SPG(AF405, "SP_COUNTRY_NAME")</f>
        <v>#INVALID COMPANY ID</v>
      </c>
      <c r="AN405" s="9" t="str">
        <f>_xll.SNL.Clients.Office.Excel.Functions.SPG(AK405, "SP_COUNTRY_NAME")</f>
        <v>#INVALID COMPANY ID</v>
      </c>
      <c r="AS405" s="9" t="str">
        <f>_xll.SNL.Clients.Office.Excel.Functions.SPG(AP405, "SP_COUNTRY_NAME")</f>
        <v>#INVALID COMPANY ID</v>
      </c>
      <c r="AX405" s="9" t="str">
        <f>_xll.SNL.Clients.Office.Excel.Functions.SPG(AU405, "SP_COUNTRY_NAME")</f>
        <v>#INVALID COMPANY ID</v>
      </c>
      <c r="BC405" s="9" t="str">
        <f>_xll.SNL.Clients.Office.Excel.Functions.SPG(AZ405, "SP_COUNTRY_NAME")</f>
        <v>#INVALID COMPANY ID</v>
      </c>
      <c r="BD405" t="s">
        <v>1003</v>
      </c>
      <c r="BE405">
        <v>4077794</v>
      </c>
      <c r="BF405" t="s">
        <v>346</v>
      </c>
      <c r="BG405" s="11">
        <v>0</v>
      </c>
      <c r="BH405" s="9" t="str">
        <f>_xll.SNL.Clients.Office.Excel.Functions.SPG(BE405, "SP_COUNTRY_NAME")</f>
        <v>USA</v>
      </c>
      <c r="BM405" s="9" t="str">
        <f>_xll.SNL.Clients.Office.Excel.Functions.SPG(BJ405, "SP_COUNTRY_NAME")</f>
        <v>#INVALID COMPANY ID</v>
      </c>
      <c r="BR405" s="9" t="str">
        <f>_xll.SNL.Clients.Office.Excel.Functions.SPG(BO405, "SP_COUNTRY_NAME")</f>
        <v>#INVALID COMPANY ID</v>
      </c>
      <c r="BS405" t="s">
        <v>1059</v>
      </c>
      <c r="BT405">
        <v>4343939</v>
      </c>
      <c r="BU405" t="s">
        <v>300</v>
      </c>
      <c r="BV405" s="11">
        <v>0</v>
      </c>
      <c r="BW405" s="9" t="str">
        <f>_xll.SNL.Clients.Office.Excel.Functions.SPG(BT405, "SP_COUNTRY_NAME")</f>
        <v>USA</v>
      </c>
      <c r="BX405" t="s">
        <v>620</v>
      </c>
      <c r="BY405">
        <v>4093059</v>
      </c>
      <c r="BZ405" t="s">
        <v>346</v>
      </c>
      <c r="CA405" s="11">
        <v>0</v>
      </c>
      <c r="CB405" s="9" t="str">
        <f>_xll.SNL.Clients.Office.Excel.Functions.SPG(BY405, "SP_COUNTRY_NAME")</f>
        <v>USA</v>
      </c>
      <c r="CC405" t="s">
        <v>1830</v>
      </c>
      <c r="CD405">
        <v>4117835</v>
      </c>
      <c r="CE405" t="s">
        <v>346</v>
      </c>
      <c r="CF405" s="11">
        <v>0</v>
      </c>
      <c r="CG405" s="9" t="str">
        <f>_xll.SNL.Clients.Office.Excel.Functions.SPG(CD405, "SP_COUNTRY_NAME")</f>
        <v>USA</v>
      </c>
      <c r="CL405" s="9" t="str">
        <f>_xll.SNL.Clients.Office.Excel.Functions.SPG(CI405, "SP_COUNTRY_NAME")</f>
        <v>#INVALID COMPANY ID</v>
      </c>
      <c r="CM405" t="s">
        <v>1365</v>
      </c>
      <c r="CN405">
        <v>4581414</v>
      </c>
      <c r="CO405" t="s">
        <v>346</v>
      </c>
      <c r="CP405" s="11">
        <v>0</v>
      </c>
      <c r="CQ405" s="9" t="str">
        <f>_xll.SNL.Clients.Office.Excel.Functions.SPG(CN405, "SP_COUNTRY_NAME")</f>
        <v>South Africa</v>
      </c>
      <c r="CV405" s="9" t="str">
        <f>_xll.SNL.Clients.Office.Excel.Functions.SPG(CS405, "SP_COUNTRY_NAME")</f>
        <v>#INVALID COMPANY ID</v>
      </c>
      <c r="DA405" s="9" t="str">
        <f>_xll.SNL.Clients.Office.Excel.Functions.SPG(CX405, "SP_COUNTRY_NAME")</f>
        <v>#INVALID COMPANY ID</v>
      </c>
      <c r="DB405" t="s">
        <v>1003</v>
      </c>
      <c r="DC405">
        <v>4077794</v>
      </c>
      <c r="DD405" t="s">
        <v>346</v>
      </c>
      <c r="DE405" s="11">
        <v>0</v>
      </c>
      <c r="DF405" s="9" t="str">
        <f>_xll.SNL.Clients.Office.Excel.Functions.SPG(DC405, "SP_COUNTRY_NAME")</f>
        <v>USA</v>
      </c>
      <c r="DK405" s="9" t="str">
        <f>_xll.SNL.Clients.Office.Excel.Functions.SPG(DH405, "SP_COUNTRY_NAME")</f>
        <v>#INVALID COMPANY ID</v>
      </c>
      <c r="DL405" t="s">
        <v>1003</v>
      </c>
      <c r="DM405">
        <v>4077794</v>
      </c>
      <c r="DN405" t="s">
        <v>346</v>
      </c>
      <c r="DO405" s="11">
        <v>0</v>
      </c>
      <c r="DP405" s="9" t="str">
        <f>_xll.SNL.Clients.Office.Excel.Functions.SPG(DM405, "SP_COUNTRY_NAME")</f>
        <v>USA</v>
      </c>
      <c r="DU405" s="9" t="str">
        <f>_xll.SNL.Clients.Office.Excel.Functions.SPG(DR405, "SP_COUNTRY_NAME")</f>
        <v>#INVALID COMPANY ID</v>
      </c>
      <c r="DZ405" s="9" t="str">
        <f>_xll.SNL.Clients.Office.Excel.Functions.SPG(DW405, "SP_COUNTRY_NAME")</f>
        <v>#INVALID COMPANY ID</v>
      </c>
      <c r="EA405" t="s">
        <v>1830</v>
      </c>
      <c r="EB405">
        <v>4117835</v>
      </c>
      <c r="EC405" t="s">
        <v>346</v>
      </c>
      <c r="ED405" s="11">
        <v>0</v>
      </c>
      <c r="EE405" s="9" t="str">
        <f>_xll.SNL.Clients.Office.Excel.Functions.SPG(EB405, "SP_COUNTRY_NAME")</f>
        <v>USA</v>
      </c>
      <c r="EF405" t="s">
        <v>1003</v>
      </c>
      <c r="EG405">
        <v>4077794</v>
      </c>
      <c r="EH405" t="s">
        <v>346</v>
      </c>
      <c r="EI405" s="11">
        <v>0</v>
      </c>
      <c r="EJ405" s="9" t="str">
        <f>_xll.SNL.Clients.Office.Excel.Functions.SPG(EG405, "SP_COUNTRY_NAME")</f>
        <v>USA</v>
      </c>
      <c r="EO405" s="9" t="str">
        <f>_xll.SNL.Clients.Office.Excel.Functions.SPG(EL405, "SP_COUNTRY_NAME")</f>
        <v>#INVALID COMPANY ID</v>
      </c>
      <c r="ET405" s="9" t="str">
        <f>_xll.SNL.Clients.Office.Excel.Functions.SPG(EQ405, "SP_COUNTRY_NAME")</f>
        <v>#INVALID COMPANY ID</v>
      </c>
      <c r="EY405" s="9" t="str">
        <f>_xll.SNL.Clients.Office.Excel.Functions.SPG(EV405, "SP_COUNTRY_NAME")</f>
        <v>#INVALID COMPANY ID</v>
      </c>
      <c r="FD405" s="9" t="str">
        <f>_xll.SNL.Clients.Office.Excel.Functions.SPG(FA405, "SP_COUNTRY_NAME")</f>
        <v>#INVALID COMPANY ID</v>
      </c>
      <c r="FI405" s="9" t="str">
        <f>_xll.SNL.Clients.Office.Excel.Functions.SPG(FF405, "SP_COUNTRY_NAME")</f>
        <v>#INVALID COMPANY ID</v>
      </c>
      <c r="FN405" s="9" t="str">
        <f>_xll.SNL.Clients.Office.Excel.Functions.SPG(FK405, "SP_COUNTRY_NAME")</f>
        <v>#INVALID COMPANY ID</v>
      </c>
      <c r="FS405" s="9" t="str">
        <f>_xll.SNL.Clients.Office.Excel.Functions.SPG(FP405, "SP_COUNTRY_NAME")</f>
        <v>#INVALID COMPANY ID</v>
      </c>
      <c r="FX405" s="9" t="str">
        <f>_xll.SNL.Clients.Office.Excel.Functions.SPG(FU405, "SP_COUNTRY_NAME")</f>
        <v>#INVALID COMPANY ID</v>
      </c>
      <c r="FY405" t="s">
        <v>1003</v>
      </c>
      <c r="FZ405">
        <v>4077794</v>
      </c>
      <c r="GA405" t="s">
        <v>346</v>
      </c>
      <c r="GB405" s="11">
        <v>0</v>
      </c>
      <c r="GC405" s="9" t="str">
        <f>_xll.SNL.Clients.Office.Excel.Functions.SPG(FZ405, "SP_COUNTRY_NAME")</f>
        <v>USA</v>
      </c>
      <c r="GH405" s="9" t="str">
        <f>_xll.SNL.Clients.Office.Excel.Functions.SPG(GE405, "SP_COUNTRY_NAME")</f>
        <v>#INVALID COMPANY ID</v>
      </c>
      <c r="GM405" s="9" t="str">
        <f>_xll.SNL.Clients.Office.Excel.Functions.SPG(GJ405, "SP_COUNTRY_NAME")</f>
        <v>#INVALID COMPANY ID</v>
      </c>
      <c r="GR405" s="9" t="str">
        <f>_xll.SNL.Clients.Office.Excel.Functions.SPG(GO405, "SP_COUNTRY_NAME")</f>
        <v>#INVALID COMPANY ID</v>
      </c>
      <c r="GW405" s="9" t="str">
        <f>_xll.SNL.Clients.Office.Excel.Functions.SPG(GT405, "SP_COUNTRY_NAME")</f>
        <v>#INVALID COMPANY ID</v>
      </c>
      <c r="GX405" t="s">
        <v>1830</v>
      </c>
      <c r="GY405">
        <v>4117835</v>
      </c>
      <c r="GZ405" t="s">
        <v>346</v>
      </c>
      <c r="HA405" s="11">
        <v>0</v>
      </c>
      <c r="HB405" s="9" t="str">
        <f>_xll.SNL.Clients.Office.Excel.Functions.SPG(GY405, "SP_COUNTRY_NAME")</f>
        <v>USA</v>
      </c>
      <c r="HG405" s="9" t="str">
        <f>_xll.SNL.Clients.Office.Excel.Functions.SPG(HD405, "SP_COUNTRY_NAME")</f>
        <v>#INVALID COMPANY ID</v>
      </c>
    </row>
    <row r="406" spans="5:215" x14ac:dyDescent="0.35">
      <c r="E406" s="9" t="str">
        <f>_xll.SNL.Clients.Office.Excel.Functions.SPG(B406, "SP_COUNTRY_NAME")</f>
        <v>#INVALID COMPANY ID</v>
      </c>
      <c r="J406" s="9" t="str">
        <f>_xll.SNL.Clients.Office.Excel.Functions.SPG(G406, "SP_COUNTRY_NAME")</f>
        <v>#INVALID COMPANY ID</v>
      </c>
      <c r="O406" s="9" t="str">
        <f>_xll.SNL.Clients.Office.Excel.Functions.SPG(L406, "SP_COUNTRY_NAME")</f>
        <v>#INVALID COMPANY ID</v>
      </c>
      <c r="T406" s="9" t="str">
        <f>_xll.SNL.Clients.Office.Excel.Functions.SPG(Q406, "SP_COUNTRY_NAME")</f>
        <v>#INVALID COMPANY ID</v>
      </c>
      <c r="U406" t="s">
        <v>931</v>
      </c>
      <c r="V406">
        <v>109247</v>
      </c>
      <c r="W406" t="s">
        <v>366</v>
      </c>
      <c r="X406" s="11">
        <v>0</v>
      </c>
      <c r="Y406" s="9" t="str">
        <f>_xll.SNL.Clients.Office.Excel.Functions.SPG(V406, "SP_COUNTRY_NAME")</f>
        <v>USA</v>
      </c>
      <c r="AD406" s="9" t="str">
        <f>_xll.SNL.Clients.Office.Excel.Functions.SPG(AA406, "SP_COUNTRY_NAME")</f>
        <v>#INVALID COMPANY ID</v>
      </c>
      <c r="AI406" s="9" t="str">
        <f>_xll.SNL.Clients.Office.Excel.Functions.SPG(AF406, "SP_COUNTRY_NAME")</f>
        <v>#INVALID COMPANY ID</v>
      </c>
      <c r="AN406" s="9" t="str">
        <f>_xll.SNL.Clients.Office.Excel.Functions.SPG(AK406, "SP_COUNTRY_NAME")</f>
        <v>#INVALID COMPANY ID</v>
      </c>
      <c r="AS406" s="9" t="str">
        <f>_xll.SNL.Clients.Office.Excel.Functions.SPG(AP406, "SP_COUNTRY_NAME")</f>
        <v>#INVALID COMPANY ID</v>
      </c>
      <c r="AX406" s="9" t="str">
        <f>_xll.SNL.Clients.Office.Excel.Functions.SPG(AU406, "SP_COUNTRY_NAME")</f>
        <v>#INVALID COMPANY ID</v>
      </c>
      <c r="BC406" s="9" t="str">
        <f>_xll.SNL.Clients.Office.Excel.Functions.SPG(AZ406, "SP_COUNTRY_NAME")</f>
        <v>#INVALID COMPANY ID</v>
      </c>
      <c r="BD406" t="s">
        <v>782</v>
      </c>
      <c r="BE406">
        <v>4138745</v>
      </c>
      <c r="BF406" t="s">
        <v>346</v>
      </c>
      <c r="BG406" s="11">
        <v>0</v>
      </c>
      <c r="BH406" s="9" t="str">
        <f>_xll.SNL.Clients.Office.Excel.Functions.SPG(BE406, "SP_COUNTRY_NAME")</f>
        <v>Singapore</v>
      </c>
      <c r="BM406" s="9" t="str">
        <f>_xll.SNL.Clients.Office.Excel.Functions.SPG(BJ406, "SP_COUNTRY_NAME")</f>
        <v>#INVALID COMPANY ID</v>
      </c>
      <c r="BR406" s="9" t="str">
        <f>_xll.SNL.Clients.Office.Excel.Functions.SPG(BO406, "SP_COUNTRY_NAME")</f>
        <v>#INVALID COMPANY ID</v>
      </c>
      <c r="BS406" t="s">
        <v>825</v>
      </c>
      <c r="BT406">
        <v>5868824</v>
      </c>
      <c r="BU406" t="s">
        <v>346</v>
      </c>
      <c r="BV406" s="11">
        <v>0</v>
      </c>
      <c r="BW406" s="9" t="str">
        <f>_xll.SNL.Clients.Office.Excel.Functions.SPG(BT406, "SP_COUNTRY_NAME")</f>
        <v>China</v>
      </c>
      <c r="BX406" t="s">
        <v>931</v>
      </c>
      <c r="BY406">
        <v>109247</v>
      </c>
      <c r="BZ406" t="s">
        <v>366</v>
      </c>
      <c r="CA406" s="11">
        <v>0</v>
      </c>
      <c r="CB406" s="9" t="str">
        <f>_xll.SNL.Clients.Office.Excel.Functions.SPG(BY406, "SP_COUNTRY_NAME")</f>
        <v>USA</v>
      </c>
      <c r="CC406" t="s">
        <v>1831</v>
      </c>
      <c r="CD406">
        <v>4169610</v>
      </c>
      <c r="CE406" t="s">
        <v>346</v>
      </c>
      <c r="CF406" s="11">
        <v>0</v>
      </c>
      <c r="CG406" s="9" t="str">
        <f>_xll.SNL.Clients.Office.Excel.Functions.SPG(CD406, "SP_COUNTRY_NAME")</f>
        <v>Canada</v>
      </c>
      <c r="CL406" s="9" t="str">
        <f>_xll.SNL.Clients.Office.Excel.Functions.SPG(CI406, "SP_COUNTRY_NAME")</f>
        <v>#INVALID COMPANY ID</v>
      </c>
      <c r="CM406" t="s">
        <v>409</v>
      </c>
      <c r="CN406">
        <v>102719</v>
      </c>
      <c r="CO406" t="s">
        <v>346</v>
      </c>
      <c r="CP406" s="11">
        <v>0</v>
      </c>
      <c r="CQ406" s="9" t="str">
        <f>_xll.SNL.Clients.Office.Excel.Functions.SPG(CN406, "SP_COUNTRY_NAME")</f>
        <v>USA</v>
      </c>
      <c r="CV406" s="9" t="str">
        <f>_xll.SNL.Clients.Office.Excel.Functions.SPG(CS406, "SP_COUNTRY_NAME")</f>
        <v>#INVALID COMPANY ID</v>
      </c>
      <c r="DA406" s="9" t="str">
        <f>_xll.SNL.Clients.Office.Excel.Functions.SPG(CX406, "SP_COUNTRY_NAME")</f>
        <v>#INVALID COMPANY ID</v>
      </c>
      <c r="DB406" t="s">
        <v>782</v>
      </c>
      <c r="DC406">
        <v>4138745</v>
      </c>
      <c r="DD406" t="s">
        <v>346</v>
      </c>
      <c r="DE406" s="11">
        <v>0</v>
      </c>
      <c r="DF406" s="9" t="str">
        <f>_xll.SNL.Clients.Office.Excel.Functions.SPG(DC406, "SP_COUNTRY_NAME")</f>
        <v>Singapore</v>
      </c>
      <c r="DK406" s="9" t="str">
        <f>_xll.SNL.Clients.Office.Excel.Functions.SPG(DH406, "SP_COUNTRY_NAME")</f>
        <v>#INVALID COMPANY ID</v>
      </c>
      <c r="DL406" t="s">
        <v>782</v>
      </c>
      <c r="DM406">
        <v>4138745</v>
      </c>
      <c r="DN406" t="s">
        <v>346</v>
      </c>
      <c r="DO406" s="11">
        <v>0</v>
      </c>
      <c r="DP406" s="9" t="str">
        <f>_xll.SNL.Clients.Office.Excel.Functions.SPG(DM406, "SP_COUNTRY_NAME")</f>
        <v>Singapore</v>
      </c>
      <c r="DU406" s="9" t="str">
        <f>_xll.SNL.Clients.Office.Excel.Functions.SPG(DR406, "SP_COUNTRY_NAME")</f>
        <v>#INVALID COMPANY ID</v>
      </c>
      <c r="DZ406" s="9" t="str">
        <f>_xll.SNL.Clients.Office.Excel.Functions.SPG(DW406, "SP_COUNTRY_NAME")</f>
        <v>#INVALID COMPANY ID</v>
      </c>
      <c r="EA406" t="s">
        <v>1831</v>
      </c>
      <c r="EB406">
        <v>4169610</v>
      </c>
      <c r="EC406" t="s">
        <v>346</v>
      </c>
      <c r="ED406" s="11">
        <v>0</v>
      </c>
      <c r="EE406" s="9" t="str">
        <f>_xll.SNL.Clients.Office.Excel.Functions.SPG(EB406, "SP_COUNTRY_NAME")</f>
        <v>Canada</v>
      </c>
      <c r="EF406" t="s">
        <v>782</v>
      </c>
      <c r="EG406">
        <v>4138745</v>
      </c>
      <c r="EH406" t="s">
        <v>346</v>
      </c>
      <c r="EI406" s="11">
        <v>0</v>
      </c>
      <c r="EJ406" s="9" t="str">
        <f>_xll.SNL.Clients.Office.Excel.Functions.SPG(EG406, "SP_COUNTRY_NAME")</f>
        <v>Singapore</v>
      </c>
      <c r="EO406" s="9" t="str">
        <f>_xll.SNL.Clients.Office.Excel.Functions.SPG(EL406, "SP_COUNTRY_NAME")</f>
        <v>#INVALID COMPANY ID</v>
      </c>
      <c r="ET406" s="9" t="str">
        <f>_xll.SNL.Clients.Office.Excel.Functions.SPG(EQ406, "SP_COUNTRY_NAME")</f>
        <v>#INVALID COMPANY ID</v>
      </c>
      <c r="EY406" s="9" t="str">
        <f>_xll.SNL.Clients.Office.Excel.Functions.SPG(EV406, "SP_COUNTRY_NAME")</f>
        <v>#INVALID COMPANY ID</v>
      </c>
      <c r="FD406" s="9" t="str">
        <f>_xll.SNL.Clients.Office.Excel.Functions.SPG(FA406, "SP_COUNTRY_NAME")</f>
        <v>#INVALID COMPANY ID</v>
      </c>
      <c r="FI406" s="9" t="str">
        <f>_xll.SNL.Clients.Office.Excel.Functions.SPG(FF406, "SP_COUNTRY_NAME")</f>
        <v>#INVALID COMPANY ID</v>
      </c>
      <c r="FN406" s="9" t="str">
        <f>_xll.SNL.Clients.Office.Excel.Functions.SPG(FK406, "SP_COUNTRY_NAME")</f>
        <v>#INVALID COMPANY ID</v>
      </c>
      <c r="FS406" s="9" t="str">
        <f>_xll.SNL.Clients.Office.Excel.Functions.SPG(FP406, "SP_COUNTRY_NAME")</f>
        <v>#INVALID COMPANY ID</v>
      </c>
      <c r="FX406" s="9" t="str">
        <f>_xll.SNL.Clients.Office.Excel.Functions.SPG(FU406, "SP_COUNTRY_NAME")</f>
        <v>#INVALID COMPANY ID</v>
      </c>
      <c r="FY406" t="s">
        <v>782</v>
      </c>
      <c r="FZ406">
        <v>4138745</v>
      </c>
      <c r="GA406" t="s">
        <v>346</v>
      </c>
      <c r="GB406" s="11">
        <v>0</v>
      </c>
      <c r="GC406" s="9" t="str">
        <f>_xll.SNL.Clients.Office.Excel.Functions.SPG(FZ406, "SP_COUNTRY_NAME")</f>
        <v>Singapore</v>
      </c>
      <c r="GH406" s="9" t="str">
        <f>_xll.SNL.Clients.Office.Excel.Functions.SPG(GE406, "SP_COUNTRY_NAME")</f>
        <v>#INVALID COMPANY ID</v>
      </c>
      <c r="GM406" s="9" t="str">
        <f>_xll.SNL.Clients.Office.Excel.Functions.SPG(GJ406, "SP_COUNTRY_NAME")</f>
        <v>#INVALID COMPANY ID</v>
      </c>
      <c r="GR406" s="9" t="str">
        <f>_xll.SNL.Clients.Office.Excel.Functions.SPG(GO406, "SP_COUNTRY_NAME")</f>
        <v>#INVALID COMPANY ID</v>
      </c>
      <c r="GW406" s="9" t="str">
        <f>_xll.SNL.Clients.Office.Excel.Functions.SPG(GT406, "SP_COUNTRY_NAME")</f>
        <v>#INVALID COMPANY ID</v>
      </c>
      <c r="GX406" t="s">
        <v>1831</v>
      </c>
      <c r="GY406">
        <v>4169610</v>
      </c>
      <c r="GZ406" t="s">
        <v>346</v>
      </c>
      <c r="HA406" s="11">
        <v>0</v>
      </c>
      <c r="HB406" s="9" t="str">
        <f>_xll.SNL.Clients.Office.Excel.Functions.SPG(GY406, "SP_COUNTRY_NAME")</f>
        <v>Canada</v>
      </c>
      <c r="HG406" s="9" t="str">
        <f>_xll.SNL.Clients.Office.Excel.Functions.SPG(HD406, "SP_COUNTRY_NAME")</f>
        <v>#INVALID COMPANY ID</v>
      </c>
    </row>
    <row r="407" spans="5:215" x14ac:dyDescent="0.35">
      <c r="E407" s="9" t="str">
        <f>_xll.SNL.Clients.Office.Excel.Functions.SPG(B407, "SP_COUNTRY_NAME")</f>
        <v>#INVALID COMPANY ID</v>
      </c>
      <c r="J407" s="9" t="str">
        <f>_xll.SNL.Clients.Office.Excel.Functions.SPG(G407, "SP_COUNTRY_NAME")</f>
        <v>#INVALID COMPANY ID</v>
      </c>
      <c r="O407" s="9" t="str">
        <f>_xll.SNL.Clients.Office.Excel.Functions.SPG(L407, "SP_COUNTRY_NAME")</f>
        <v>#INVALID COMPANY ID</v>
      </c>
      <c r="T407" s="9" t="str">
        <f>_xll.SNL.Clients.Office.Excel.Functions.SPG(Q407, "SP_COUNTRY_NAME")</f>
        <v>#INVALID COMPANY ID</v>
      </c>
      <c r="U407" t="s">
        <v>418</v>
      </c>
      <c r="V407">
        <v>109776</v>
      </c>
      <c r="W407" t="s">
        <v>346</v>
      </c>
      <c r="X407" s="11">
        <v>0</v>
      </c>
      <c r="Y407" s="9" t="str">
        <f>_xll.SNL.Clients.Office.Excel.Functions.SPG(V407, "SP_COUNTRY_NAME")</f>
        <v>USA</v>
      </c>
      <c r="AD407" s="9" t="str">
        <f>_xll.SNL.Clients.Office.Excel.Functions.SPG(AA407, "SP_COUNTRY_NAME")</f>
        <v>#INVALID COMPANY ID</v>
      </c>
      <c r="AI407" s="9" t="str">
        <f>_xll.SNL.Clients.Office.Excel.Functions.SPG(AF407, "SP_COUNTRY_NAME")</f>
        <v>#INVALID COMPANY ID</v>
      </c>
      <c r="AN407" s="9" t="str">
        <f>_xll.SNL.Clients.Office.Excel.Functions.SPG(AK407, "SP_COUNTRY_NAME")</f>
        <v>#INVALID COMPANY ID</v>
      </c>
      <c r="AS407" s="9" t="str">
        <f>_xll.SNL.Clients.Office.Excel.Functions.SPG(AP407, "SP_COUNTRY_NAME")</f>
        <v>#INVALID COMPANY ID</v>
      </c>
      <c r="AX407" s="9" t="str">
        <f>_xll.SNL.Clients.Office.Excel.Functions.SPG(AU407, "SP_COUNTRY_NAME")</f>
        <v>#INVALID COMPANY ID</v>
      </c>
      <c r="BC407" s="9" t="str">
        <f>_xll.SNL.Clients.Office.Excel.Functions.SPG(AZ407, "SP_COUNTRY_NAME")</f>
        <v>#INVALID COMPANY ID</v>
      </c>
      <c r="BD407" t="s">
        <v>1319</v>
      </c>
      <c r="BE407">
        <v>19910977</v>
      </c>
      <c r="BF407" t="s">
        <v>346</v>
      </c>
      <c r="BG407" s="11">
        <v>0</v>
      </c>
      <c r="BH407" s="9" t="str">
        <f>_xll.SNL.Clients.Office.Excel.Functions.SPG(BE407, "SP_COUNTRY_NAME")</f>
        <v>South Africa</v>
      </c>
      <c r="BM407" s="9" t="str">
        <f>_xll.SNL.Clients.Office.Excel.Functions.SPG(BJ407, "SP_COUNTRY_NAME")</f>
        <v>#INVALID COMPANY ID</v>
      </c>
      <c r="BR407" s="9" t="str">
        <f>_xll.SNL.Clients.Office.Excel.Functions.SPG(BO407, "SP_COUNTRY_NAME")</f>
        <v>#INVALID COMPANY ID</v>
      </c>
      <c r="BS407" t="s">
        <v>823</v>
      </c>
      <c r="BT407">
        <v>4212913</v>
      </c>
      <c r="BU407" t="s">
        <v>346</v>
      </c>
      <c r="BV407" s="11">
        <v>0</v>
      </c>
      <c r="BW407" s="9" t="str">
        <f>_xll.SNL.Clients.Office.Excel.Functions.SPG(BT407, "SP_COUNTRY_NAME")</f>
        <v>Taiwan</v>
      </c>
      <c r="BX407" t="s">
        <v>418</v>
      </c>
      <c r="BY407">
        <v>109776</v>
      </c>
      <c r="BZ407" t="s">
        <v>346</v>
      </c>
      <c r="CA407" s="11">
        <v>0</v>
      </c>
      <c r="CB407" s="9" t="str">
        <f>_xll.SNL.Clients.Office.Excel.Functions.SPG(BY407, "SP_COUNTRY_NAME")</f>
        <v>USA</v>
      </c>
      <c r="CC407" t="s">
        <v>1832</v>
      </c>
      <c r="CD407">
        <v>4937556</v>
      </c>
      <c r="CE407" t="s">
        <v>364</v>
      </c>
      <c r="CF407" s="11">
        <v>0</v>
      </c>
      <c r="CG407" s="9" t="str">
        <f>_xll.SNL.Clients.Office.Excel.Functions.SPG(CD407, "SP_COUNTRY_NAME")</f>
        <v>USA</v>
      </c>
      <c r="CL407" s="9" t="str">
        <f>_xll.SNL.Clients.Office.Excel.Functions.SPG(CI407, "SP_COUNTRY_NAME")</f>
        <v>#INVALID COMPANY ID</v>
      </c>
      <c r="CM407" t="s">
        <v>2072</v>
      </c>
      <c r="CN407">
        <v>4186766</v>
      </c>
      <c r="CO407" t="s">
        <v>346</v>
      </c>
      <c r="CP407" s="11">
        <v>0</v>
      </c>
      <c r="CQ407" s="9" t="str">
        <f>_xll.SNL.Clients.Office.Excel.Functions.SPG(CN407, "SP_COUNTRY_NAME")</f>
        <v>USA</v>
      </c>
      <c r="CV407" s="9" t="str">
        <f>_xll.SNL.Clients.Office.Excel.Functions.SPG(CS407, "SP_COUNTRY_NAME")</f>
        <v>#INVALID COMPANY ID</v>
      </c>
      <c r="DA407" s="9" t="str">
        <f>_xll.SNL.Clients.Office.Excel.Functions.SPG(CX407, "SP_COUNTRY_NAME")</f>
        <v>#INVALID COMPANY ID</v>
      </c>
      <c r="DB407" t="s">
        <v>1319</v>
      </c>
      <c r="DC407">
        <v>19910977</v>
      </c>
      <c r="DD407" t="s">
        <v>346</v>
      </c>
      <c r="DE407" s="11">
        <v>0</v>
      </c>
      <c r="DF407" s="9" t="str">
        <f>_xll.SNL.Clients.Office.Excel.Functions.SPG(DC407, "SP_COUNTRY_NAME")</f>
        <v>South Africa</v>
      </c>
      <c r="DK407" s="9" t="str">
        <f>_xll.SNL.Clients.Office.Excel.Functions.SPG(DH407, "SP_COUNTRY_NAME")</f>
        <v>#INVALID COMPANY ID</v>
      </c>
      <c r="DL407" t="s">
        <v>1319</v>
      </c>
      <c r="DM407">
        <v>19910977</v>
      </c>
      <c r="DN407" t="s">
        <v>346</v>
      </c>
      <c r="DO407" s="11">
        <v>0</v>
      </c>
      <c r="DP407" s="9" t="str">
        <f>_xll.SNL.Clients.Office.Excel.Functions.SPG(DM407, "SP_COUNTRY_NAME")</f>
        <v>South Africa</v>
      </c>
      <c r="DU407" s="9" t="str">
        <f>_xll.SNL.Clients.Office.Excel.Functions.SPG(DR407, "SP_COUNTRY_NAME")</f>
        <v>#INVALID COMPANY ID</v>
      </c>
      <c r="DZ407" s="9" t="str">
        <f>_xll.SNL.Clients.Office.Excel.Functions.SPG(DW407, "SP_COUNTRY_NAME")</f>
        <v>#INVALID COMPANY ID</v>
      </c>
      <c r="EA407" t="s">
        <v>1832</v>
      </c>
      <c r="EB407">
        <v>4937556</v>
      </c>
      <c r="EC407" t="s">
        <v>364</v>
      </c>
      <c r="ED407" s="11">
        <v>0</v>
      </c>
      <c r="EE407" s="9" t="str">
        <f>_xll.SNL.Clients.Office.Excel.Functions.SPG(EB407, "SP_COUNTRY_NAME")</f>
        <v>USA</v>
      </c>
      <c r="EF407" t="s">
        <v>1319</v>
      </c>
      <c r="EG407">
        <v>19910977</v>
      </c>
      <c r="EH407" t="s">
        <v>346</v>
      </c>
      <c r="EI407" s="11">
        <v>0</v>
      </c>
      <c r="EJ407" s="9" t="str">
        <f>_xll.SNL.Clients.Office.Excel.Functions.SPG(EG407, "SP_COUNTRY_NAME")</f>
        <v>South Africa</v>
      </c>
      <c r="EO407" s="9" t="str">
        <f>_xll.SNL.Clients.Office.Excel.Functions.SPG(EL407, "SP_COUNTRY_NAME")</f>
        <v>#INVALID COMPANY ID</v>
      </c>
      <c r="ET407" s="9" t="str">
        <f>_xll.SNL.Clients.Office.Excel.Functions.SPG(EQ407, "SP_COUNTRY_NAME")</f>
        <v>#INVALID COMPANY ID</v>
      </c>
      <c r="EY407" s="9" t="str">
        <f>_xll.SNL.Clients.Office.Excel.Functions.SPG(EV407, "SP_COUNTRY_NAME")</f>
        <v>#INVALID COMPANY ID</v>
      </c>
      <c r="FD407" s="9" t="str">
        <f>_xll.SNL.Clients.Office.Excel.Functions.SPG(FA407, "SP_COUNTRY_NAME")</f>
        <v>#INVALID COMPANY ID</v>
      </c>
      <c r="FI407" s="9" t="str">
        <f>_xll.SNL.Clients.Office.Excel.Functions.SPG(FF407, "SP_COUNTRY_NAME")</f>
        <v>#INVALID COMPANY ID</v>
      </c>
      <c r="FN407" s="9" t="str">
        <f>_xll.SNL.Clients.Office.Excel.Functions.SPG(FK407, "SP_COUNTRY_NAME")</f>
        <v>#INVALID COMPANY ID</v>
      </c>
      <c r="FS407" s="9" t="str">
        <f>_xll.SNL.Clients.Office.Excel.Functions.SPG(FP407, "SP_COUNTRY_NAME")</f>
        <v>#INVALID COMPANY ID</v>
      </c>
      <c r="FX407" s="9" t="str">
        <f>_xll.SNL.Clients.Office.Excel.Functions.SPG(FU407, "SP_COUNTRY_NAME")</f>
        <v>#INVALID COMPANY ID</v>
      </c>
      <c r="FY407" t="s">
        <v>1319</v>
      </c>
      <c r="FZ407">
        <v>19910977</v>
      </c>
      <c r="GA407" t="s">
        <v>346</v>
      </c>
      <c r="GB407" s="11">
        <v>0</v>
      </c>
      <c r="GC407" s="9" t="str">
        <f>_xll.SNL.Clients.Office.Excel.Functions.SPG(FZ407, "SP_COUNTRY_NAME")</f>
        <v>South Africa</v>
      </c>
      <c r="GH407" s="9" t="str">
        <f>_xll.SNL.Clients.Office.Excel.Functions.SPG(GE407, "SP_COUNTRY_NAME")</f>
        <v>#INVALID COMPANY ID</v>
      </c>
      <c r="GM407" s="9" t="str">
        <f>_xll.SNL.Clients.Office.Excel.Functions.SPG(GJ407, "SP_COUNTRY_NAME")</f>
        <v>#INVALID COMPANY ID</v>
      </c>
      <c r="GR407" s="9" t="str">
        <f>_xll.SNL.Clients.Office.Excel.Functions.SPG(GO407, "SP_COUNTRY_NAME")</f>
        <v>#INVALID COMPANY ID</v>
      </c>
      <c r="GW407" s="9" t="str">
        <f>_xll.SNL.Clients.Office.Excel.Functions.SPG(GT407, "SP_COUNTRY_NAME")</f>
        <v>#INVALID COMPANY ID</v>
      </c>
      <c r="GX407" t="s">
        <v>1832</v>
      </c>
      <c r="GY407">
        <v>4937556</v>
      </c>
      <c r="GZ407" t="s">
        <v>364</v>
      </c>
      <c r="HA407" s="11">
        <v>0</v>
      </c>
      <c r="HB407" s="9" t="str">
        <f>_xll.SNL.Clients.Office.Excel.Functions.SPG(GY407, "SP_COUNTRY_NAME")</f>
        <v>USA</v>
      </c>
      <c r="HG407" s="9" t="str">
        <f>_xll.SNL.Clients.Office.Excel.Functions.SPG(HD407, "SP_COUNTRY_NAME")</f>
        <v>#INVALID COMPANY ID</v>
      </c>
    </row>
    <row r="408" spans="5:215" x14ac:dyDescent="0.35">
      <c r="E408" s="9" t="str">
        <f>_xll.SNL.Clients.Office.Excel.Functions.SPG(B408, "SP_COUNTRY_NAME")</f>
        <v>#INVALID COMPANY ID</v>
      </c>
      <c r="J408" s="9" t="str">
        <f>_xll.SNL.Clients.Office.Excel.Functions.SPG(G408, "SP_COUNTRY_NAME")</f>
        <v>#INVALID COMPANY ID</v>
      </c>
      <c r="O408" s="9" t="str">
        <f>_xll.SNL.Clients.Office.Excel.Functions.SPG(L408, "SP_COUNTRY_NAME")</f>
        <v>#INVALID COMPANY ID</v>
      </c>
      <c r="T408" s="9" t="str">
        <f>_xll.SNL.Clients.Office.Excel.Functions.SPG(Q408, "SP_COUNTRY_NAME")</f>
        <v>#INVALID COMPANY ID</v>
      </c>
      <c r="U408" t="s">
        <v>932</v>
      </c>
      <c r="V408">
        <v>4139728</v>
      </c>
      <c r="W408" t="s">
        <v>346</v>
      </c>
      <c r="X408" s="11">
        <v>0</v>
      </c>
      <c r="Y408" s="9" t="str">
        <f>_xll.SNL.Clients.Office.Excel.Functions.SPG(V408, "SP_COUNTRY_NAME")</f>
        <v>Hong Kong</v>
      </c>
      <c r="AD408" s="9" t="str">
        <f>_xll.SNL.Clients.Office.Excel.Functions.SPG(AA408, "SP_COUNTRY_NAME")</f>
        <v>#INVALID COMPANY ID</v>
      </c>
      <c r="AI408" s="9" t="str">
        <f>_xll.SNL.Clients.Office.Excel.Functions.SPG(AF408, "SP_COUNTRY_NAME")</f>
        <v>#INVALID COMPANY ID</v>
      </c>
      <c r="AN408" s="9" t="str">
        <f>_xll.SNL.Clients.Office.Excel.Functions.SPG(AK408, "SP_COUNTRY_NAME")</f>
        <v>#INVALID COMPANY ID</v>
      </c>
      <c r="AS408" s="9" t="str">
        <f>_xll.SNL.Clients.Office.Excel.Functions.SPG(AP408, "SP_COUNTRY_NAME")</f>
        <v>#INVALID COMPANY ID</v>
      </c>
      <c r="AX408" s="9" t="str">
        <f>_xll.SNL.Clients.Office.Excel.Functions.SPG(AU408, "SP_COUNTRY_NAME")</f>
        <v>#INVALID COMPANY ID</v>
      </c>
      <c r="BC408" s="9" t="str">
        <f>_xll.SNL.Clients.Office.Excel.Functions.SPG(AZ408, "SP_COUNTRY_NAME")</f>
        <v>#INVALID COMPANY ID</v>
      </c>
      <c r="BD408" t="s">
        <v>1307</v>
      </c>
      <c r="BE408">
        <v>5852488</v>
      </c>
      <c r="BF408" t="s">
        <v>346</v>
      </c>
      <c r="BG408" s="11">
        <v>0</v>
      </c>
      <c r="BH408" s="9" t="str">
        <f>_xll.SNL.Clients.Office.Excel.Functions.SPG(BE408, "SP_COUNTRY_NAME")</f>
        <v>South Africa</v>
      </c>
      <c r="BM408" s="9" t="str">
        <f>_xll.SNL.Clients.Office.Excel.Functions.SPG(BJ408, "SP_COUNTRY_NAME")</f>
        <v>#INVALID COMPANY ID</v>
      </c>
      <c r="BR408" s="9" t="str">
        <f>_xll.SNL.Clients.Office.Excel.Functions.SPG(BO408, "SP_COUNTRY_NAME")</f>
        <v>#INVALID COMPANY ID</v>
      </c>
      <c r="BS408" t="s">
        <v>425</v>
      </c>
      <c r="BT408">
        <v>4137704</v>
      </c>
      <c r="BU408" t="s">
        <v>346</v>
      </c>
      <c r="BV408" s="11">
        <v>0</v>
      </c>
      <c r="BW408" s="9" t="str">
        <f>_xll.SNL.Clients.Office.Excel.Functions.SPG(BT408, "SP_COUNTRY_NAME")</f>
        <v>Japan</v>
      </c>
      <c r="BX408" t="s">
        <v>932</v>
      </c>
      <c r="BY408">
        <v>4139728</v>
      </c>
      <c r="BZ408" t="s">
        <v>346</v>
      </c>
      <c r="CA408" s="11">
        <v>0</v>
      </c>
      <c r="CB408" s="9" t="str">
        <f>_xll.SNL.Clients.Office.Excel.Functions.SPG(BY408, "SP_COUNTRY_NAME")</f>
        <v>Hong Kong</v>
      </c>
      <c r="CC408" t="s">
        <v>1833</v>
      </c>
      <c r="CD408">
        <v>4027022</v>
      </c>
      <c r="CE408" t="s">
        <v>346</v>
      </c>
      <c r="CF408" s="11">
        <v>0</v>
      </c>
      <c r="CG408" s="9" t="str">
        <f>_xll.SNL.Clients.Office.Excel.Functions.SPG(CD408, "SP_COUNTRY_NAME")</f>
        <v>USA</v>
      </c>
      <c r="CL408" s="9" t="str">
        <f>_xll.SNL.Clients.Office.Excel.Functions.SPG(CI408, "SP_COUNTRY_NAME")</f>
        <v>#INVALID COMPANY ID</v>
      </c>
      <c r="CM408" t="s">
        <v>1404</v>
      </c>
      <c r="CN408">
        <v>4056595</v>
      </c>
      <c r="CO408" t="s">
        <v>346</v>
      </c>
      <c r="CP408" s="11">
        <v>0</v>
      </c>
      <c r="CQ408" s="9" t="str">
        <f>_xll.SNL.Clients.Office.Excel.Functions.SPG(CN408, "SP_COUNTRY_NAME")</f>
        <v>United Kingdom</v>
      </c>
      <c r="CV408" s="9" t="str">
        <f>_xll.SNL.Clients.Office.Excel.Functions.SPG(CS408, "SP_COUNTRY_NAME")</f>
        <v>#INVALID COMPANY ID</v>
      </c>
      <c r="DA408" s="9" t="str">
        <f>_xll.SNL.Clients.Office.Excel.Functions.SPG(CX408, "SP_COUNTRY_NAME")</f>
        <v>#INVALID COMPANY ID</v>
      </c>
      <c r="DB408" t="s">
        <v>1307</v>
      </c>
      <c r="DC408">
        <v>5852488</v>
      </c>
      <c r="DD408" t="s">
        <v>346</v>
      </c>
      <c r="DE408" s="11">
        <v>0</v>
      </c>
      <c r="DF408" s="9" t="str">
        <f>_xll.SNL.Clients.Office.Excel.Functions.SPG(DC408, "SP_COUNTRY_NAME")</f>
        <v>South Africa</v>
      </c>
      <c r="DK408" s="9" t="str">
        <f>_xll.SNL.Clients.Office.Excel.Functions.SPG(DH408, "SP_COUNTRY_NAME")</f>
        <v>#INVALID COMPANY ID</v>
      </c>
      <c r="DL408" t="s">
        <v>1307</v>
      </c>
      <c r="DM408">
        <v>5852488</v>
      </c>
      <c r="DN408" t="s">
        <v>346</v>
      </c>
      <c r="DO408" s="11">
        <v>0</v>
      </c>
      <c r="DP408" s="9" t="str">
        <f>_xll.SNL.Clients.Office.Excel.Functions.SPG(DM408, "SP_COUNTRY_NAME")</f>
        <v>South Africa</v>
      </c>
      <c r="DU408" s="9" t="str">
        <f>_xll.SNL.Clients.Office.Excel.Functions.SPG(DR408, "SP_COUNTRY_NAME")</f>
        <v>#INVALID COMPANY ID</v>
      </c>
      <c r="DZ408" s="9" t="str">
        <f>_xll.SNL.Clients.Office.Excel.Functions.SPG(DW408, "SP_COUNTRY_NAME")</f>
        <v>#INVALID COMPANY ID</v>
      </c>
      <c r="EA408" t="s">
        <v>1833</v>
      </c>
      <c r="EB408">
        <v>4027022</v>
      </c>
      <c r="EC408" t="s">
        <v>346</v>
      </c>
      <c r="ED408" s="11">
        <v>0</v>
      </c>
      <c r="EE408" s="9" t="str">
        <f>_xll.SNL.Clients.Office.Excel.Functions.SPG(EB408, "SP_COUNTRY_NAME")</f>
        <v>USA</v>
      </c>
      <c r="EF408" t="s">
        <v>1307</v>
      </c>
      <c r="EG408">
        <v>5852488</v>
      </c>
      <c r="EH408" t="s">
        <v>346</v>
      </c>
      <c r="EI408" s="11">
        <v>0</v>
      </c>
      <c r="EJ408" s="9" t="str">
        <f>_xll.SNL.Clients.Office.Excel.Functions.SPG(EG408, "SP_COUNTRY_NAME")</f>
        <v>South Africa</v>
      </c>
      <c r="EO408" s="9" t="str">
        <f>_xll.SNL.Clients.Office.Excel.Functions.SPG(EL408, "SP_COUNTRY_NAME")</f>
        <v>#INVALID COMPANY ID</v>
      </c>
      <c r="ET408" s="9" t="str">
        <f>_xll.SNL.Clients.Office.Excel.Functions.SPG(EQ408, "SP_COUNTRY_NAME")</f>
        <v>#INVALID COMPANY ID</v>
      </c>
      <c r="EY408" s="9" t="str">
        <f>_xll.SNL.Clients.Office.Excel.Functions.SPG(EV408, "SP_COUNTRY_NAME")</f>
        <v>#INVALID COMPANY ID</v>
      </c>
      <c r="FD408" s="9" t="str">
        <f>_xll.SNL.Clients.Office.Excel.Functions.SPG(FA408, "SP_COUNTRY_NAME")</f>
        <v>#INVALID COMPANY ID</v>
      </c>
      <c r="FI408" s="9" t="str">
        <f>_xll.SNL.Clients.Office.Excel.Functions.SPG(FF408, "SP_COUNTRY_NAME")</f>
        <v>#INVALID COMPANY ID</v>
      </c>
      <c r="FN408" s="9" t="str">
        <f>_xll.SNL.Clients.Office.Excel.Functions.SPG(FK408, "SP_COUNTRY_NAME")</f>
        <v>#INVALID COMPANY ID</v>
      </c>
      <c r="FS408" s="9" t="str">
        <f>_xll.SNL.Clients.Office.Excel.Functions.SPG(FP408, "SP_COUNTRY_NAME")</f>
        <v>#INVALID COMPANY ID</v>
      </c>
      <c r="FX408" s="9" t="str">
        <f>_xll.SNL.Clients.Office.Excel.Functions.SPG(FU408, "SP_COUNTRY_NAME")</f>
        <v>#INVALID COMPANY ID</v>
      </c>
      <c r="FY408" t="s">
        <v>1307</v>
      </c>
      <c r="FZ408">
        <v>5852488</v>
      </c>
      <c r="GA408" t="s">
        <v>346</v>
      </c>
      <c r="GB408" s="11">
        <v>0</v>
      </c>
      <c r="GC408" s="9" t="str">
        <f>_xll.SNL.Clients.Office.Excel.Functions.SPG(FZ408, "SP_COUNTRY_NAME")</f>
        <v>South Africa</v>
      </c>
      <c r="GH408" s="9" t="str">
        <f>_xll.SNL.Clients.Office.Excel.Functions.SPG(GE408, "SP_COUNTRY_NAME")</f>
        <v>#INVALID COMPANY ID</v>
      </c>
      <c r="GM408" s="9" t="str">
        <f>_xll.SNL.Clients.Office.Excel.Functions.SPG(GJ408, "SP_COUNTRY_NAME")</f>
        <v>#INVALID COMPANY ID</v>
      </c>
      <c r="GR408" s="9" t="str">
        <f>_xll.SNL.Clients.Office.Excel.Functions.SPG(GO408, "SP_COUNTRY_NAME")</f>
        <v>#INVALID COMPANY ID</v>
      </c>
      <c r="GW408" s="9" t="str">
        <f>_xll.SNL.Clients.Office.Excel.Functions.SPG(GT408, "SP_COUNTRY_NAME")</f>
        <v>#INVALID COMPANY ID</v>
      </c>
      <c r="GX408" t="s">
        <v>1833</v>
      </c>
      <c r="GY408">
        <v>4027022</v>
      </c>
      <c r="GZ408" t="s">
        <v>346</v>
      </c>
      <c r="HA408" s="11">
        <v>0</v>
      </c>
      <c r="HB408" s="9" t="str">
        <f>_xll.SNL.Clients.Office.Excel.Functions.SPG(GY408, "SP_COUNTRY_NAME")</f>
        <v>USA</v>
      </c>
      <c r="HG408" s="9" t="str">
        <f>_xll.SNL.Clients.Office.Excel.Functions.SPG(HD408, "SP_COUNTRY_NAME")</f>
        <v>#INVALID COMPANY ID</v>
      </c>
    </row>
    <row r="409" spans="5:215" x14ac:dyDescent="0.35">
      <c r="E409" s="9" t="str">
        <f>_xll.SNL.Clients.Office.Excel.Functions.SPG(B409, "SP_COUNTRY_NAME")</f>
        <v>#INVALID COMPANY ID</v>
      </c>
      <c r="J409" s="9" t="str">
        <f>_xll.SNL.Clients.Office.Excel.Functions.SPG(G409, "SP_COUNTRY_NAME")</f>
        <v>#INVALID COMPANY ID</v>
      </c>
      <c r="O409" s="9" t="str">
        <f>_xll.SNL.Clients.Office.Excel.Functions.SPG(L409, "SP_COUNTRY_NAME")</f>
        <v>#INVALID COMPANY ID</v>
      </c>
      <c r="T409" s="9" t="str">
        <f>_xll.SNL.Clients.Office.Excel.Functions.SPG(Q409, "SP_COUNTRY_NAME")</f>
        <v>#INVALID COMPANY ID</v>
      </c>
      <c r="U409" t="s">
        <v>359</v>
      </c>
      <c r="V409">
        <v>4144380</v>
      </c>
      <c r="W409" t="s">
        <v>346</v>
      </c>
      <c r="X409" s="11">
        <v>0</v>
      </c>
      <c r="Y409" s="9" t="str">
        <f>_xll.SNL.Clients.Office.Excel.Functions.SPG(V409, "SP_COUNTRY_NAME")</f>
        <v>France</v>
      </c>
      <c r="AD409" s="9" t="str">
        <f>_xll.SNL.Clients.Office.Excel.Functions.SPG(AA409, "SP_COUNTRY_NAME")</f>
        <v>#INVALID COMPANY ID</v>
      </c>
      <c r="AI409" s="9" t="str">
        <f>_xll.SNL.Clients.Office.Excel.Functions.SPG(AF409, "SP_COUNTRY_NAME")</f>
        <v>#INVALID COMPANY ID</v>
      </c>
      <c r="AN409" s="9" t="str">
        <f>_xll.SNL.Clients.Office.Excel.Functions.SPG(AK409, "SP_COUNTRY_NAME")</f>
        <v>#INVALID COMPANY ID</v>
      </c>
      <c r="AS409" s="9" t="str">
        <f>_xll.SNL.Clients.Office.Excel.Functions.SPG(AP409, "SP_COUNTRY_NAME")</f>
        <v>#INVALID COMPANY ID</v>
      </c>
      <c r="AX409" s="9" t="str">
        <f>_xll.SNL.Clients.Office.Excel.Functions.SPG(AU409, "SP_COUNTRY_NAME")</f>
        <v>#INVALID COMPANY ID</v>
      </c>
      <c r="BC409" s="9" t="str">
        <f>_xll.SNL.Clients.Office.Excel.Functions.SPG(AZ409, "SP_COUNTRY_NAME")</f>
        <v>#INVALID COMPANY ID</v>
      </c>
      <c r="BD409" t="s">
        <v>1521</v>
      </c>
      <c r="BE409" t="s">
        <v>300</v>
      </c>
      <c r="BF409" t="s">
        <v>361</v>
      </c>
      <c r="BG409" s="11">
        <v>0</v>
      </c>
      <c r="BH409" s="9" t="str">
        <f>_xll.SNL.Clients.Office.Excel.Functions.SPG(BE409, "SP_COUNTRY_NAME")</f>
        <v>China</v>
      </c>
      <c r="BM409" s="9" t="str">
        <f>_xll.SNL.Clients.Office.Excel.Functions.SPG(BJ409, "SP_COUNTRY_NAME")</f>
        <v>#INVALID COMPANY ID</v>
      </c>
      <c r="BR409" s="9" t="str">
        <f>_xll.SNL.Clients.Office.Excel.Functions.SPG(BO409, "SP_COUNTRY_NAME")</f>
        <v>#INVALID COMPANY ID</v>
      </c>
      <c r="BS409" t="s">
        <v>851</v>
      </c>
      <c r="BT409">
        <v>4405395</v>
      </c>
      <c r="BU409" t="s">
        <v>346</v>
      </c>
      <c r="BV409" s="11">
        <v>0</v>
      </c>
      <c r="BW409" s="9" t="str">
        <f>_xll.SNL.Clients.Office.Excel.Functions.SPG(BT409, "SP_COUNTRY_NAME")</f>
        <v>United Kingdom</v>
      </c>
      <c r="BX409" t="s">
        <v>359</v>
      </c>
      <c r="BY409">
        <v>4144380</v>
      </c>
      <c r="BZ409" t="s">
        <v>346</v>
      </c>
      <c r="CA409" s="11">
        <v>0</v>
      </c>
      <c r="CB409" s="9" t="str">
        <f>_xll.SNL.Clients.Office.Excel.Functions.SPG(BY409, "SP_COUNTRY_NAME")</f>
        <v>France</v>
      </c>
      <c r="CC409" t="s">
        <v>603</v>
      </c>
      <c r="CD409">
        <v>110641</v>
      </c>
      <c r="CE409" t="s">
        <v>346</v>
      </c>
      <c r="CF409" s="11">
        <v>0</v>
      </c>
      <c r="CG409" s="9" t="str">
        <f>_xll.SNL.Clients.Office.Excel.Functions.SPG(CD409, "SP_COUNTRY_NAME")</f>
        <v>USA</v>
      </c>
      <c r="CL409" s="9" t="str">
        <f>_xll.SNL.Clients.Office.Excel.Functions.SPG(CI409, "SP_COUNTRY_NAME")</f>
        <v>#INVALID COMPANY ID</v>
      </c>
      <c r="CM409" t="s">
        <v>1355</v>
      </c>
      <c r="CN409">
        <v>4027327</v>
      </c>
      <c r="CO409" t="s">
        <v>346</v>
      </c>
      <c r="CP409" s="11">
        <v>0</v>
      </c>
      <c r="CQ409" s="9" t="str">
        <f>_xll.SNL.Clients.Office.Excel.Functions.SPG(CN409, "SP_COUNTRY_NAME")</f>
        <v>USA</v>
      </c>
      <c r="CV409" s="9" t="str">
        <f>_xll.SNL.Clients.Office.Excel.Functions.SPG(CS409, "SP_COUNTRY_NAME")</f>
        <v>#INVALID COMPANY ID</v>
      </c>
      <c r="DA409" s="9" t="str">
        <f>_xll.SNL.Clients.Office.Excel.Functions.SPG(CX409, "SP_COUNTRY_NAME")</f>
        <v>#INVALID COMPANY ID</v>
      </c>
      <c r="DB409" t="s">
        <v>1521</v>
      </c>
      <c r="DC409" t="s">
        <v>300</v>
      </c>
      <c r="DD409" t="s">
        <v>361</v>
      </c>
      <c r="DE409" s="11">
        <v>0</v>
      </c>
      <c r="DF409" s="9" t="str">
        <f>_xll.SNL.Clients.Office.Excel.Functions.SPG(DC409, "SP_COUNTRY_NAME")</f>
        <v>China</v>
      </c>
      <c r="DK409" s="9" t="str">
        <f>_xll.SNL.Clients.Office.Excel.Functions.SPG(DH409, "SP_COUNTRY_NAME")</f>
        <v>#INVALID COMPANY ID</v>
      </c>
      <c r="DL409" t="s">
        <v>1521</v>
      </c>
      <c r="DM409" t="s">
        <v>300</v>
      </c>
      <c r="DN409" t="s">
        <v>361</v>
      </c>
      <c r="DO409" s="11">
        <v>0</v>
      </c>
      <c r="DP409" s="9" t="str">
        <f>_xll.SNL.Clients.Office.Excel.Functions.SPG(DM409, "SP_COUNTRY_NAME")</f>
        <v>China</v>
      </c>
      <c r="DU409" s="9" t="str">
        <f>_xll.SNL.Clients.Office.Excel.Functions.SPG(DR409, "SP_COUNTRY_NAME")</f>
        <v>#INVALID COMPANY ID</v>
      </c>
      <c r="DZ409" s="9" t="str">
        <f>_xll.SNL.Clients.Office.Excel.Functions.SPG(DW409, "SP_COUNTRY_NAME")</f>
        <v>#INVALID COMPANY ID</v>
      </c>
      <c r="EA409" t="s">
        <v>603</v>
      </c>
      <c r="EB409">
        <v>110641</v>
      </c>
      <c r="EC409" t="s">
        <v>346</v>
      </c>
      <c r="ED409" s="11">
        <v>0</v>
      </c>
      <c r="EE409" s="9" t="str">
        <f>_xll.SNL.Clients.Office.Excel.Functions.SPG(EB409, "SP_COUNTRY_NAME")</f>
        <v>USA</v>
      </c>
      <c r="EF409" t="s">
        <v>1521</v>
      </c>
      <c r="EG409" t="s">
        <v>300</v>
      </c>
      <c r="EH409" t="s">
        <v>361</v>
      </c>
      <c r="EI409" s="11">
        <v>0</v>
      </c>
      <c r="EJ409" s="9" t="str">
        <f>_xll.SNL.Clients.Office.Excel.Functions.SPG(EG409, "SP_COUNTRY_NAME")</f>
        <v>China</v>
      </c>
      <c r="EO409" s="9" t="str">
        <f>_xll.SNL.Clients.Office.Excel.Functions.SPG(EL409, "SP_COUNTRY_NAME")</f>
        <v>#INVALID COMPANY ID</v>
      </c>
      <c r="ET409" s="9" t="str">
        <f>_xll.SNL.Clients.Office.Excel.Functions.SPG(EQ409, "SP_COUNTRY_NAME")</f>
        <v>#INVALID COMPANY ID</v>
      </c>
      <c r="EY409" s="9" t="str">
        <f>_xll.SNL.Clients.Office.Excel.Functions.SPG(EV409, "SP_COUNTRY_NAME")</f>
        <v>#INVALID COMPANY ID</v>
      </c>
      <c r="FD409" s="9" t="str">
        <f>_xll.SNL.Clients.Office.Excel.Functions.SPG(FA409, "SP_COUNTRY_NAME")</f>
        <v>#INVALID COMPANY ID</v>
      </c>
      <c r="FI409" s="9" t="str">
        <f>_xll.SNL.Clients.Office.Excel.Functions.SPG(FF409, "SP_COUNTRY_NAME")</f>
        <v>#INVALID COMPANY ID</v>
      </c>
      <c r="FN409" s="9" t="str">
        <f>_xll.SNL.Clients.Office.Excel.Functions.SPG(FK409, "SP_COUNTRY_NAME")</f>
        <v>#INVALID COMPANY ID</v>
      </c>
      <c r="FS409" s="9" t="str">
        <f>_xll.SNL.Clients.Office.Excel.Functions.SPG(FP409, "SP_COUNTRY_NAME")</f>
        <v>#INVALID COMPANY ID</v>
      </c>
      <c r="FX409" s="9" t="str">
        <f>_xll.SNL.Clients.Office.Excel.Functions.SPG(FU409, "SP_COUNTRY_NAME")</f>
        <v>#INVALID COMPANY ID</v>
      </c>
      <c r="FY409" t="s">
        <v>1521</v>
      </c>
      <c r="FZ409" t="s">
        <v>300</v>
      </c>
      <c r="GA409" t="s">
        <v>361</v>
      </c>
      <c r="GB409" s="11">
        <v>0</v>
      </c>
      <c r="GC409" s="9" t="str">
        <f>_xll.SNL.Clients.Office.Excel.Functions.SPG(FZ409, "SP_COUNTRY_NAME")</f>
        <v>China</v>
      </c>
      <c r="GH409" s="9" t="str">
        <f>_xll.SNL.Clients.Office.Excel.Functions.SPG(GE409, "SP_COUNTRY_NAME")</f>
        <v>#INVALID COMPANY ID</v>
      </c>
      <c r="GM409" s="9" t="str">
        <f>_xll.SNL.Clients.Office.Excel.Functions.SPG(GJ409, "SP_COUNTRY_NAME")</f>
        <v>#INVALID COMPANY ID</v>
      </c>
      <c r="GR409" s="9" t="str">
        <f>_xll.SNL.Clients.Office.Excel.Functions.SPG(GO409, "SP_COUNTRY_NAME")</f>
        <v>#INVALID COMPANY ID</v>
      </c>
      <c r="GW409" s="9" t="str">
        <f>_xll.SNL.Clients.Office.Excel.Functions.SPG(GT409, "SP_COUNTRY_NAME")</f>
        <v>#INVALID COMPANY ID</v>
      </c>
      <c r="GX409" t="s">
        <v>603</v>
      </c>
      <c r="GY409">
        <v>110641</v>
      </c>
      <c r="GZ409" t="s">
        <v>346</v>
      </c>
      <c r="HA409" s="11">
        <v>0</v>
      </c>
      <c r="HB409" s="9" t="str">
        <f>_xll.SNL.Clients.Office.Excel.Functions.SPG(GY409, "SP_COUNTRY_NAME")</f>
        <v>USA</v>
      </c>
      <c r="HG409" s="9" t="str">
        <f>_xll.SNL.Clients.Office.Excel.Functions.SPG(HD409, "SP_COUNTRY_NAME")</f>
        <v>#INVALID COMPANY ID</v>
      </c>
    </row>
    <row r="410" spans="5:215" x14ac:dyDescent="0.35">
      <c r="E410" s="9" t="str">
        <f>_xll.SNL.Clients.Office.Excel.Functions.SPG(B410, "SP_COUNTRY_NAME")</f>
        <v>#INVALID COMPANY ID</v>
      </c>
      <c r="J410" s="9" t="str">
        <f>_xll.SNL.Clients.Office.Excel.Functions.SPG(G410, "SP_COUNTRY_NAME")</f>
        <v>#INVALID COMPANY ID</v>
      </c>
      <c r="O410" s="9" t="str">
        <f>_xll.SNL.Clients.Office.Excel.Functions.SPG(L410, "SP_COUNTRY_NAME")</f>
        <v>#INVALID COMPANY ID</v>
      </c>
      <c r="T410" s="9" t="str">
        <f>_xll.SNL.Clients.Office.Excel.Functions.SPG(Q410, "SP_COUNTRY_NAME")</f>
        <v>#INVALID COMPANY ID</v>
      </c>
      <c r="U410" t="s">
        <v>933</v>
      </c>
      <c r="V410">
        <v>4239293</v>
      </c>
      <c r="W410" t="s">
        <v>346</v>
      </c>
      <c r="X410" s="11">
        <v>0</v>
      </c>
      <c r="Y410" s="9" t="str">
        <f>_xll.SNL.Clients.Office.Excel.Functions.SPG(V410, "SP_COUNTRY_NAME")</f>
        <v>Taiwan</v>
      </c>
      <c r="AD410" s="9" t="str">
        <f>_xll.SNL.Clients.Office.Excel.Functions.SPG(AA410, "SP_COUNTRY_NAME")</f>
        <v>#INVALID COMPANY ID</v>
      </c>
      <c r="AI410" s="9" t="str">
        <f>_xll.SNL.Clients.Office.Excel.Functions.SPG(AF410, "SP_COUNTRY_NAME")</f>
        <v>#INVALID COMPANY ID</v>
      </c>
      <c r="AN410" s="9" t="str">
        <f>_xll.SNL.Clients.Office.Excel.Functions.SPG(AK410, "SP_COUNTRY_NAME")</f>
        <v>#INVALID COMPANY ID</v>
      </c>
      <c r="AS410" s="9" t="str">
        <f>_xll.SNL.Clients.Office.Excel.Functions.SPG(AP410, "SP_COUNTRY_NAME")</f>
        <v>#INVALID COMPANY ID</v>
      </c>
      <c r="AX410" s="9" t="str">
        <f>_xll.SNL.Clients.Office.Excel.Functions.SPG(AU410, "SP_COUNTRY_NAME")</f>
        <v>#INVALID COMPANY ID</v>
      </c>
      <c r="BC410" s="9" t="str">
        <f>_xll.SNL.Clients.Office.Excel.Functions.SPG(AZ410, "SP_COUNTRY_NAME")</f>
        <v>#INVALID COMPANY ID</v>
      </c>
      <c r="BD410" t="s">
        <v>543</v>
      </c>
      <c r="BE410">
        <v>4138118</v>
      </c>
      <c r="BF410" t="s">
        <v>346</v>
      </c>
      <c r="BG410" s="11">
        <v>0</v>
      </c>
      <c r="BH410" s="9" t="str">
        <f>_xll.SNL.Clients.Office.Excel.Functions.SPG(BE410, "SP_COUNTRY_NAME")</f>
        <v>Hong Kong</v>
      </c>
      <c r="BM410" s="9" t="str">
        <f>_xll.SNL.Clients.Office.Excel.Functions.SPG(BJ410, "SP_COUNTRY_NAME")</f>
        <v>#INVALID COMPANY ID</v>
      </c>
      <c r="BR410" s="9" t="str">
        <f>_xll.SNL.Clients.Office.Excel.Functions.SPG(BO410, "SP_COUNTRY_NAME")</f>
        <v>#INVALID COMPANY ID</v>
      </c>
      <c r="BS410" t="s">
        <v>830</v>
      </c>
      <c r="BT410">
        <v>4621446</v>
      </c>
      <c r="BU410" t="s">
        <v>346</v>
      </c>
      <c r="BV410" s="11">
        <v>0</v>
      </c>
      <c r="BW410" s="9" t="str">
        <f>_xll.SNL.Clients.Office.Excel.Functions.SPG(BT410, "SP_COUNTRY_NAME")</f>
        <v>China</v>
      </c>
      <c r="BX410" t="s">
        <v>933</v>
      </c>
      <c r="BY410">
        <v>4239293</v>
      </c>
      <c r="BZ410" t="s">
        <v>346</v>
      </c>
      <c r="CA410" s="11">
        <v>0</v>
      </c>
      <c r="CB410" s="9" t="str">
        <f>_xll.SNL.Clients.Office.Excel.Functions.SPG(BY410, "SP_COUNTRY_NAME")</f>
        <v>Taiwan</v>
      </c>
      <c r="CC410" t="s">
        <v>1834</v>
      </c>
      <c r="CD410">
        <v>7357690</v>
      </c>
      <c r="CE410" t="s">
        <v>346</v>
      </c>
      <c r="CF410" s="11">
        <v>0</v>
      </c>
      <c r="CG410" s="9" t="str">
        <f>_xll.SNL.Clients.Office.Excel.Functions.SPG(CD410, "SP_COUNTRY_NAME")</f>
        <v>USA</v>
      </c>
      <c r="CL410" s="9" t="str">
        <f>_xll.SNL.Clients.Office.Excel.Functions.SPG(CI410, "SP_COUNTRY_NAME")</f>
        <v>#INVALID COMPANY ID</v>
      </c>
      <c r="CM410" t="s">
        <v>913</v>
      </c>
      <c r="CN410">
        <v>26632854</v>
      </c>
      <c r="CO410" t="s">
        <v>346</v>
      </c>
      <c r="CP410" s="11">
        <v>0</v>
      </c>
      <c r="CQ410" s="9" t="str">
        <f>_xll.SNL.Clients.Office.Excel.Functions.SPG(CN410, "SP_COUNTRY_NAME")</f>
        <v>USA</v>
      </c>
      <c r="CV410" s="9" t="str">
        <f>_xll.SNL.Clients.Office.Excel.Functions.SPG(CS410, "SP_COUNTRY_NAME")</f>
        <v>#INVALID COMPANY ID</v>
      </c>
      <c r="DA410" s="9" t="str">
        <f>_xll.SNL.Clients.Office.Excel.Functions.SPG(CX410, "SP_COUNTRY_NAME")</f>
        <v>#INVALID COMPANY ID</v>
      </c>
      <c r="DB410" t="s">
        <v>543</v>
      </c>
      <c r="DC410">
        <v>4138118</v>
      </c>
      <c r="DD410" t="s">
        <v>346</v>
      </c>
      <c r="DE410" s="11">
        <v>0</v>
      </c>
      <c r="DF410" s="9" t="str">
        <f>_xll.SNL.Clients.Office.Excel.Functions.SPG(DC410, "SP_COUNTRY_NAME")</f>
        <v>Hong Kong</v>
      </c>
      <c r="DK410" s="9" t="str">
        <f>_xll.SNL.Clients.Office.Excel.Functions.SPG(DH410, "SP_COUNTRY_NAME")</f>
        <v>#INVALID COMPANY ID</v>
      </c>
      <c r="DL410" t="s">
        <v>543</v>
      </c>
      <c r="DM410">
        <v>4138118</v>
      </c>
      <c r="DN410" t="s">
        <v>346</v>
      </c>
      <c r="DO410" s="11">
        <v>0</v>
      </c>
      <c r="DP410" s="9" t="str">
        <f>_xll.SNL.Clients.Office.Excel.Functions.SPG(DM410, "SP_COUNTRY_NAME")</f>
        <v>Hong Kong</v>
      </c>
      <c r="DU410" s="9" t="str">
        <f>_xll.SNL.Clients.Office.Excel.Functions.SPG(DR410, "SP_COUNTRY_NAME")</f>
        <v>#INVALID COMPANY ID</v>
      </c>
      <c r="DZ410" s="9" t="str">
        <f>_xll.SNL.Clients.Office.Excel.Functions.SPG(DW410, "SP_COUNTRY_NAME")</f>
        <v>#INVALID COMPANY ID</v>
      </c>
      <c r="EA410" t="s">
        <v>1834</v>
      </c>
      <c r="EB410">
        <v>7357690</v>
      </c>
      <c r="EC410" t="s">
        <v>346</v>
      </c>
      <c r="ED410" s="11">
        <v>0</v>
      </c>
      <c r="EE410" s="9" t="str">
        <f>_xll.SNL.Clients.Office.Excel.Functions.SPG(EB410, "SP_COUNTRY_NAME")</f>
        <v>USA</v>
      </c>
      <c r="EF410" t="s">
        <v>543</v>
      </c>
      <c r="EG410">
        <v>4138118</v>
      </c>
      <c r="EH410" t="s">
        <v>346</v>
      </c>
      <c r="EI410" s="11">
        <v>0</v>
      </c>
      <c r="EJ410" s="9" t="str">
        <f>_xll.SNL.Clients.Office.Excel.Functions.SPG(EG410, "SP_COUNTRY_NAME")</f>
        <v>Hong Kong</v>
      </c>
      <c r="EO410" s="9" t="str">
        <f>_xll.SNL.Clients.Office.Excel.Functions.SPG(EL410, "SP_COUNTRY_NAME")</f>
        <v>#INVALID COMPANY ID</v>
      </c>
      <c r="ET410" s="9" t="str">
        <f>_xll.SNL.Clients.Office.Excel.Functions.SPG(EQ410, "SP_COUNTRY_NAME")</f>
        <v>#INVALID COMPANY ID</v>
      </c>
      <c r="EY410" s="9" t="str">
        <f>_xll.SNL.Clients.Office.Excel.Functions.SPG(EV410, "SP_COUNTRY_NAME")</f>
        <v>#INVALID COMPANY ID</v>
      </c>
      <c r="FD410" s="9" t="str">
        <f>_xll.SNL.Clients.Office.Excel.Functions.SPG(FA410, "SP_COUNTRY_NAME")</f>
        <v>#INVALID COMPANY ID</v>
      </c>
      <c r="FI410" s="9" t="str">
        <f>_xll.SNL.Clients.Office.Excel.Functions.SPG(FF410, "SP_COUNTRY_NAME")</f>
        <v>#INVALID COMPANY ID</v>
      </c>
      <c r="FN410" s="9" t="str">
        <f>_xll.SNL.Clients.Office.Excel.Functions.SPG(FK410, "SP_COUNTRY_NAME")</f>
        <v>#INVALID COMPANY ID</v>
      </c>
      <c r="FS410" s="9" t="str">
        <f>_xll.SNL.Clients.Office.Excel.Functions.SPG(FP410, "SP_COUNTRY_NAME")</f>
        <v>#INVALID COMPANY ID</v>
      </c>
      <c r="FX410" s="9" t="str">
        <f>_xll.SNL.Clients.Office.Excel.Functions.SPG(FU410, "SP_COUNTRY_NAME")</f>
        <v>#INVALID COMPANY ID</v>
      </c>
      <c r="FY410" t="s">
        <v>543</v>
      </c>
      <c r="FZ410">
        <v>4138118</v>
      </c>
      <c r="GA410" t="s">
        <v>346</v>
      </c>
      <c r="GB410" s="11">
        <v>0</v>
      </c>
      <c r="GC410" s="9" t="str">
        <f>_xll.SNL.Clients.Office.Excel.Functions.SPG(FZ410, "SP_COUNTRY_NAME")</f>
        <v>Hong Kong</v>
      </c>
      <c r="GH410" s="9" t="str">
        <f>_xll.SNL.Clients.Office.Excel.Functions.SPG(GE410, "SP_COUNTRY_NAME")</f>
        <v>#INVALID COMPANY ID</v>
      </c>
      <c r="GM410" s="9" t="str">
        <f>_xll.SNL.Clients.Office.Excel.Functions.SPG(GJ410, "SP_COUNTRY_NAME")</f>
        <v>#INVALID COMPANY ID</v>
      </c>
      <c r="GR410" s="9" t="str">
        <f>_xll.SNL.Clients.Office.Excel.Functions.SPG(GO410, "SP_COUNTRY_NAME")</f>
        <v>#INVALID COMPANY ID</v>
      </c>
      <c r="GW410" s="9" t="str">
        <f>_xll.SNL.Clients.Office.Excel.Functions.SPG(GT410, "SP_COUNTRY_NAME")</f>
        <v>#INVALID COMPANY ID</v>
      </c>
      <c r="GX410" t="s">
        <v>1834</v>
      </c>
      <c r="GY410">
        <v>7357690</v>
      </c>
      <c r="GZ410" t="s">
        <v>346</v>
      </c>
      <c r="HA410" s="11">
        <v>0</v>
      </c>
      <c r="HB410" s="9" t="str">
        <f>_xll.SNL.Clients.Office.Excel.Functions.SPG(GY410, "SP_COUNTRY_NAME")</f>
        <v>USA</v>
      </c>
      <c r="HG410" s="9" t="str">
        <f>_xll.SNL.Clients.Office.Excel.Functions.SPG(HD410, "SP_COUNTRY_NAME")</f>
        <v>#INVALID COMPANY ID</v>
      </c>
    </row>
    <row r="411" spans="5:215" x14ac:dyDescent="0.35">
      <c r="E411" s="9" t="str">
        <f>_xll.SNL.Clients.Office.Excel.Functions.SPG(B411, "SP_COUNTRY_NAME")</f>
        <v>#INVALID COMPANY ID</v>
      </c>
      <c r="J411" s="9" t="str">
        <f>_xll.SNL.Clients.Office.Excel.Functions.SPG(G411, "SP_COUNTRY_NAME")</f>
        <v>#INVALID COMPANY ID</v>
      </c>
      <c r="O411" s="9" t="str">
        <f>_xll.SNL.Clients.Office.Excel.Functions.SPG(L411, "SP_COUNTRY_NAME")</f>
        <v>#INVALID COMPANY ID</v>
      </c>
      <c r="T411" s="9" t="str">
        <f>_xll.SNL.Clients.Office.Excel.Functions.SPG(Q411, "SP_COUNTRY_NAME")</f>
        <v>#INVALID COMPANY ID</v>
      </c>
      <c r="U411" t="s">
        <v>934</v>
      </c>
      <c r="V411">
        <v>10533696</v>
      </c>
      <c r="W411" t="s">
        <v>346</v>
      </c>
      <c r="X411" s="11">
        <v>0</v>
      </c>
      <c r="Y411" s="9" t="str">
        <f>_xll.SNL.Clients.Office.Excel.Functions.SPG(V411, "SP_COUNTRY_NAME")</f>
        <v>Hong Kong</v>
      </c>
      <c r="AD411" s="9" t="str">
        <f>_xll.SNL.Clients.Office.Excel.Functions.SPG(AA411, "SP_COUNTRY_NAME")</f>
        <v>#INVALID COMPANY ID</v>
      </c>
      <c r="AI411" s="9" t="str">
        <f>_xll.SNL.Clients.Office.Excel.Functions.SPG(AF411, "SP_COUNTRY_NAME")</f>
        <v>#INVALID COMPANY ID</v>
      </c>
      <c r="AN411" s="9" t="str">
        <f>_xll.SNL.Clients.Office.Excel.Functions.SPG(AK411, "SP_COUNTRY_NAME")</f>
        <v>#INVALID COMPANY ID</v>
      </c>
      <c r="AS411" s="9" t="str">
        <f>_xll.SNL.Clients.Office.Excel.Functions.SPG(AP411, "SP_COUNTRY_NAME")</f>
        <v>#INVALID COMPANY ID</v>
      </c>
      <c r="AX411" s="9" t="str">
        <f>_xll.SNL.Clients.Office.Excel.Functions.SPG(AU411, "SP_COUNTRY_NAME")</f>
        <v>#INVALID COMPANY ID</v>
      </c>
      <c r="BC411" s="9" t="str">
        <f>_xll.SNL.Clients.Office.Excel.Functions.SPG(AZ411, "SP_COUNTRY_NAME")</f>
        <v>#INVALID COMPANY ID</v>
      </c>
      <c r="BD411" t="s">
        <v>1324</v>
      </c>
      <c r="BE411">
        <v>4234580</v>
      </c>
      <c r="BF411" t="s">
        <v>364</v>
      </c>
      <c r="BG411" s="11">
        <v>0</v>
      </c>
      <c r="BH411" s="9" t="str">
        <f>_xll.SNL.Clients.Office.Excel.Functions.SPG(BE411, "SP_COUNTRY_NAME")</f>
        <v>South Africa</v>
      </c>
      <c r="BM411" s="9" t="str">
        <f>_xll.SNL.Clients.Office.Excel.Functions.SPG(BJ411, "SP_COUNTRY_NAME")</f>
        <v>#INVALID COMPANY ID</v>
      </c>
      <c r="BR411" s="9" t="str">
        <f>_xll.SNL.Clients.Office.Excel.Functions.SPG(BO411, "SP_COUNTRY_NAME")</f>
        <v>#INVALID COMPANY ID</v>
      </c>
      <c r="BS411" t="s">
        <v>502</v>
      </c>
      <c r="BT411">
        <v>4225041</v>
      </c>
      <c r="BU411" t="s">
        <v>346</v>
      </c>
      <c r="BV411" s="11">
        <v>0</v>
      </c>
      <c r="BW411" s="9" t="str">
        <f>_xll.SNL.Clients.Office.Excel.Functions.SPG(BT411, "SP_COUNTRY_NAME")</f>
        <v>Ireland</v>
      </c>
      <c r="BX411" t="s">
        <v>934</v>
      </c>
      <c r="BY411">
        <v>10533696</v>
      </c>
      <c r="BZ411" t="s">
        <v>346</v>
      </c>
      <c r="CA411" s="11">
        <v>0</v>
      </c>
      <c r="CB411" s="9" t="str">
        <f>_xll.SNL.Clients.Office.Excel.Functions.SPG(BY411, "SP_COUNTRY_NAME")</f>
        <v>Hong Kong</v>
      </c>
      <c r="CC411" t="s">
        <v>1835</v>
      </c>
      <c r="CD411">
        <v>110426</v>
      </c>
      <c r="CE411" t="s">
        <v>346</v>
      </c>
      <c r="CF411" s="11">
        <v>0</v>
      </c>
      <c r="CG411" s="9" t="str">
        <f>_xll.SNL.Clients.Office.Excel.Functions.SPG(CD411, "SP_COUNTRY_NAME")</f>
        <v>USA</v>
      </c>
      <c r="CL411" s="9" t="str">
        <f>_xll.SNL.Clients.Office.Excel.Functions.SPG(CI411, "SP_COUNTRY_NAME")</f>
        <v>#INVALID COMPANY ID</v>
      </c>
      <c r="CM411" t="s">
        <v>1850</v>
      </c>
      <c r="CN411">
        <v>4218639</v>
      </c>
      <c r="CO411" t="s">
        <v>346</v>
      </c>
      <c r="CP411" s="11">
        <v>0</v>
      </c>
      <c r="CQ411" s="9" t="str">
        <f>_xll.SNL.Clients.Office.Excel.Functions.SPG(CN411, "SP_COUNTRY_NAME")</f>
        <v>USA</v>
      </c>
      <c r="CV411" s="9" t="str">
        <f>_xll.SNL.Clients.Office.Excel.Functions.SPG(CS411, "SP_COUNTRY_NAME")</f>
        <v>#INVALID COMPANY ID</v>
      </c>
      <c r="DA411" s="9" t="str">
        <f>_xll.SNL.Clients.Office.Excel.Functions.SPG(CX411, "SP_COUNTRY_NAME")</f>
        <v>#INVALID COMPANY ID</v>
      </c>
      <c r="DB411" t="s">
        <v>1324</v>
      </c>
      <c r="DC411">
        <v>4234580</v>
      </c>
      <c r="DD411" t="s">
        <v>364</v>
      </c>
      <c r="DE411" s="11">
        <v>0</v>
      </c>
      <c r="DF411" s="9" t="str">
        <f>_xll.SNL.Clients.Office.Excel.Functions.SPG(DC411, "SP_COUNTRY_NAME")</f>
        <v>South Africa</v>
      </c>
      <c r="DK411" s="9" t="str">
        <f>_xll.SNL.Clients.Office.Excel.Functions.SPG(DH411, "SP_COUNTRY_NAME")</f>
        <v>#INVALID COMPANY ID</v>
      </c>
      <c r="DL411" t="s">
        <v>1324</v>
      </c>
      <c r="DM411">
        <v>4234580</v>
      </c>
      <c r="DN411" t="s">
        <v>364</v>
      </c>
      <c r="DO411" s="11">
        <v>0</v>
      </c>
      <c r="DP411" s="9" t="str">
        <f>_xll.SNL.Clients.Office.Excel.Functions.SPG(DM411, "SP_COUNTRY_NAME")</f>
        <v>South Africa</v>
      </c>
      <c r="DU411" s="9" t="str">
        <f>_xll.SNL.Clients.Office.Excel.Functions.SPG(DR411, "SP_COUNTRY_NAME")</f>
        <v>#INVALID COMPANY ID</v>
      </c>
      <c r="DZ411" s="9" t="str">
        <f>_xll.SNL.Clients.Office.Excel.Functions.SPG(DW411, "SP_COUNTRY_NAME")</f>
        <v>#INVALID COMPANY ID</v>
      </c>
      <c r="EA411" t="s">
        <v>1835</v>
      </c>
      <c r="EB411">
        <v>110426</v>
      </c>
      <c r="EC411" t="s">
        <v>346</v>
      </c>
      <c r="ED411" s="11">
        <v>0</v>
      </c>
      <c r="EE411" s="9" t="str">
        <f>_xll.SNL.Clients.Office.Excel.Functions.SPG(EB411, "SP_COUNTRY_NAME")</f>
        <v>USA</v>
      </c>
      <c r="EF411" t="s">
        <v>1324</v>
      </c>
      <c r="EG411">
        <v>4234580</v>
      </c>
      <c r="EH411" t="s">
        <v>364</v>
      </c>
      <c r="EI411" s="11">
        <v>0</v>
      </c>
      <c r="EJ411" s="9" t="str">
        <f>_xll.SNL.Clients.Office.Excel.Functions.SPG(EG411, "SP_COUNTRY_NAME")</f>
        <v>South Africa</v>
      </c>
      <c r="EO411" s="9" t="str">
        <f>_xll.SNL.Clients.Office.Excel.Functions.SPG(EL411, "SP_COUNTRY_NAME")</f>
        <v>#INVALID COMPANY ID</v>
      </c>
      <c r="ET411" s="9" t="str">
        <f>_xll.SNL.Clients.Office.Excel.Functions.SPG(EQ411, "SP_COUNTRY_NAME")</f>
        <v>#INVALID COMPANY ID</v>
      </c>
      <c r="EY411" s="9" t="str">
        <f>_xll.SNL.Clients.Office.Excel.Functions.SPG(EV411, "SP_COUNTRY_NAME")</f>
        <v>#INVALID COMPANY ID</v>
      </c>
      <c r="FD411" s="9" t="str">
        <f>_xll.SNL.Clients.Office.Excel.Functions.SPG(FA411, "SP_COUNTRY_NAME")</f>
        <v>#INVALID COMPANY ID</v>
      </c>
      <c r="FI411" s="9" t="str">
        <f>_xll.SNL.Clients.Office.Excel.Functions.SPG(FF411, "SP_COUNTRY_NAME")</f>
        <v>#INVALID COMPANY ID</v>
      </c>
      <c r="FN411" s="9" t="str">
        <f>_xll.SNL.Clients.Office.Excel.Functions.SPG(FK411, "SP_COUNTRY_NAME")</f>
        <v>#INVALID COMPANY ID</v>
      </c>
      <c r="FS411" s="9" t="str">
        <f>_xll.SNL.Clients.Office.Excel.Functions.SPG(FP411, "SP_COUNTRY_NAME")</f>
        <v>#INVALID COMPANY ID</v>
      </c>
      <c r="FX411" s="9" t="str">
        <f>_xll.SNL.Clients.Office.Excel.Functions.SPG(FU411, "SP_COUNTRY_NAME")</f>
        <v>#INVALID COMPANY ID</v>
      </c>
      <c r="FY411" t="s">
        <v>1324</v>
      </c>
      <c r="FZ411">
        <v>4234580</v>
      </c>
      <c r="GA411" t="s">
        <v>364</v>
      </c>
      <c r="GB411" s="11">
        <v>0</v>
      </c>
      <c r="GC411" s="9" t="str">
        <f>_xll.SNL.Clients.Office.Excel.Functions.SPG(FZ411, "SP_COUNTRY_NAME")</f>
        <v>South Africa</v>
      </c>
      <c r="GH411" s="9" t="str">
        <f>_xll.SNL.Clients.Office.Excel.Functions.SPG(GE411, "SP_COUNTRY_NAME")</f>
        <v>#INVALID COMPANY ID</v>
      </c>
      <c r="GM411" s="9" t="str">
        <f>_xll.SNL.Clients.Office.Excel.Functions.SPG(GJ411, "SP_COUNTRY_NAME")</f>
        <v>#INVALID COMPANY ID</v>
      </c>
      <c r="GR411" s="9" t="str">
        <f>_xll.SNL.Clients.Office.Excel.Functions.SPG(GO411, "SP_COUNTRY_NAME")</f>
        <v>#INVALID COMPANY ID</v>
      </c>
      <c r="GW411" s="9" t="str">
        <f>_xll.SNL.Clients.Office.Excel.Functions.SPG(GT411, "SP_COUNTRY_NAME")</f>
        <v>#INVALID COMPANY ID</v>
      </c>
      <c r="GX411" t="s">
        <v>1835</v>
      </c>
      <c r="GY411">
        <v>110426</v>
      </c>
      <c r="GZ411" t="s">
        <v>346</v>
      </c>
      <c r="HA411" s="11">
        <v>0</v>
      </c>
      <c r="HB411" s="9" t="str">
        <f>_xll.SNL.Clients.Office.Excel.Functions.SPG(GY411, "SP_COUNTRY_NAME")</f>
        <v>USA</v>
      </c>
      <c r="HG411" s="9" t="str">
        <f>_xll.SNL.Clients.Office.Excel.Functions.SPG(HD411, "SP_COUNTRY_NAME")</f>
        <v>#INVALID COMPANY ID</v>
      </c>
    </row>
    <row r="412" spans="5:215" x14ac:dyDescent="0.35">
      <c r="E412" s="9" t="str">
        <f>_xll.SNL.Clients.Office.Excel.Functions.SPG(B412, "SP_COUNTRY_NAME")</f>
        <v>#INVALID COMPANY ID</v>
      </c>
      <c r="J412" s="9" t="str">
        <f>_xll.SNL.Clients.Office.Excel.Functions.SPG(G412, "SP_COUNTRY_NAME")</f>
        <v>#INVALID COMPANY ID</v>
      </c>
      <c r="O412" s="9" t="str">
        <f>_xll.SNL.Clients.Office.Excel.Functions.SPG(L412, "SP_COUNTRY_NAME")</f>
        <v>#INVALID COMPANY ID</v>
      </c>
      <c r="T412" s="9" t="str">
        <f>_xll.SNL.Clients.Office.Excel.Functions.SPG(Q412, "SP_COUNTRY_NAME")</f>
        <v>#INVALID COMPANY ID</v>
      </c>
      <c r="U412" t="s">
        <v>420</v>
      </c>
      <c r="V412">
        <v>19342220</v>
      </c>
      <c r="W412" t="s">
        <v>346</v>
      </c>
      <c r="X412" s="11">
        <v>0</v>
      </c>
      <c r="Y412" s="9" t="str">
        <f>_xll.SNL.Clients.Office.Excel.Functions.SPG(V412, "SP_COUNTRY_NAME")</f>
        <v>USA</v>
      </c>
      <c r="AD412" s="9" t="str">
        <f>_xll.SNL.Clients.Office.Excel.Functions.SPG(AA412, "SP_COUNTRY_NAME")</f>
        <v>#INVALID COMPANY ID</v>
      </c>
      <c r="AI412" s="9" t="str">
        <f>_xll.SNL.Clients.Office.Excel.Functions.SPG(AF412, "SP_COUNTRY_NAME")</f>
        <v>#INVALID COMPANY ID</v>
      </c>
      <c r="AN412" s="9" t="str">
        <f>_xll.SNL.Clients.Office.Excel.Functions.SPG(AK412, "SP_COUNTRY_NAME")</f>
        <v>#INVALID COMPANY ID</v>
      </c>
      <c r="AS412" s="9" t="str">
        <f>_xll.SNL.Clients.Office.Excel.Functions.SPG(AP412, "SP_COUNTRY_NAME")</f>
        <v>#INVALID COMPANY ID</v>
      </c>
      <c r="AX412" s="9" t="str">
        <f>_xll.SNL.Clients.Office.Excel.Functions.SPG(AU412, "SP_COUNTRY_NAME")</f>
        <v>#INVALID COMPANY ID</v>
      </c>
      <c r="BC412" s="9" t="str">
        <f>_xll.SNL.Clients.Office.Excel.Functions.SPG(AZ412, "SP_COUNTRY_NAME")</f>
        <v>#INVALID COMPANY ID</v>
      </c>
      <c r="BD412" t="s">
        <v>631</v>
      </c>
      <c r="BE412">
        <v>112247511</v>
      </c>
      <c r="BF412" t="s">
        <v>346</v>
      </c>
      <c r="BG412" s="11">
        <v>0</v>
      </c>
      <c r="BH412" s="9" t="str">
        <f>_xll.SNL.Clients.Office.Excel.Functions.SPG(BE412, "SP_COUNTRY_NAME")</f>
        <v>USA</v>
      </c>
      <c r="BM412" s="9" t="str">
        <f>_xll.SNL.Clients.Office.Excel.Functions.SPG(BJ412, "SP_COUNTRY_NAME")</f>
        <v>#INVALID COMPANY ID</v>
      </c>
      <c r="BR412" s="9" t="str">
        <f>_xll.SNL.Clients.Office.Excel.Functions.SPG(BO412, "SP_COUNTRY_NAME")</f>
        <v>#INVALID COMPANY ID</v>
      </c>
      <c r="BS412" t="s">
        <v>498</v>
      </c>
      <c r="BT412">
        <v>4187546</v>
      </c>
      <c r="BU412" t="s">
        <v>346</v>
      </c>
      <c r="BV412" s="11">
        <v>0</v>
      </c>
      <c r="BW412" s="9" t="str">
        <f>_xll.SNL.Clients.Office.Excel.Functions.SPG(BT412, "SP_COUNTRY_NAME")</f>
        <v>USA</v>
      </c>
      <c r="BX412" t="s">
        <v>420</v>
      </c>
      <c r="BY412">
        <v>19342220</v>
      </c>
      <c r="BZ412" t="s">
        <v>346</v>
      </c>
      <c r="CA412" s="11">
        <v>0</v>
      </c>
      <c r="CB412" s="9" t="str">
        <f>_xll.SNL.Clients.Office.Excel.Functions.SPG(BY412, "SP_COUNTRY_NAME")</f>
        <v>USA</v>
      </c>
      <c r="CC412" t="s">
        <v>1836</v>
      </c>
      <c r="CD412">
        <v>4111513</v>
      </c>
      <c r="CE412" t="s">
        <v>346</v>
      </c>
      <c r="CF412" s="11">
        <v>0</v>
      </c>
      <c r="CG412" s="9" t="str">
        <f>_xll.SNL.Clients.Office.Excel.Functions.SPG(CD412, "SP_COUNTRY_NAME")</f>
        <v>USA</v>
      </c>
      <c r="CL412" s="9" t="str">
        <f>_xll.SNL.Clients.Office.Excel.Functions.SPG(CI412, "SP_COUNTRY_NAME")</f>
        <v>#INVALID COMPANY ID</v>
      </c>
      <c r="CM412" t="s">
        <v>1366</v>
      </c>
      <c r="CN412">
        <v>115685602</v>
      </c>
      <c r="CO412" t="s">
        <v>364</v>
      </c>
      <c r="CP412" s="11">
        <v>0</v>
      </c>
      <c r="CQ412" s="9" t="str">
        <f>_xll.SNL.Clients.Office.Excel.Functions.SPG(CN412, "SP_COUNTRY_NAME")</f>
        <v>South Africa</v>
      </c>
      <c r="CV412" s="9" t="str">
        <f>_xll.SNL.Clients.Office.Excel.Functions.SPG(CS412, "SP_COUNTRY_NAME")</f>
        <v>#INVALID COMPANY ID</v>
      </c>
      <c r="DA412" s="9" t="str">
        <f>_xll.SNL.Clients.Office.Excel.Functions.SPG(CX412, "SP_COUNTRY_NAME")</f>
        <v>#INVALID COMPANY ID</v>
      </c>
      <c r="DB412" t="s">
        <v>631</v>
      </c>
      <c r="DC412">
        <v>112247511</v>
      </c>
      <c r="DD412" t="s">
        <v>346</v>
      </c>
      <c r="DE412" s="11">
        <v>0</v>
      </c>
      <c r="DF412" s="9" t="str">
        <f>_xll.SNL.Clients.Office.Excel.Functions.SPG(DC412, "SP_COUNTRY_NAME")</f>
        <v>USA</v>
      </c>
      <c r="DK412" s="9" t="str">
        <f>_xll.SNL.Clients.Office.Excel.Functions.SPG(DH412, "SP_COUNTRY_NAME")</f>
        <v>#INVALID COMPANY ID</v>
      </c>
      <c r="DL412" t="s">
        <v>631</v>
      </c>
      <c r="DM412">
        <v>112247511</v>
      </c>
      <c r="DN412" t="s">
        <v>346</v>
      </c>
      <c r="DO412" s="11">
        <v>0</v>
      </c>
      <c r="DP412" s="9" t="str">
        <f>_xll.SNL.Clients.Office.Excel.Functions.SPG(DM412, "SP_COUNTRY_NAME")</f>
        <v>USA</v>
      </c>
      <c r="DU412" s="9" t="str">
        <f>_xll.SNL.Clients.Office.Excel.Functions.SPG(DR412, "SP_COUNTRY_NAME")</f>
        <v>#INVALID COMPANY ID</v>
      </c>
      <c r="DZ412" s="9" t="str">
        <f>_xll.SNL.Clients.Office.Excel.Functions.SPG(DW412, "SP_COUNTRY_NAME")</f>
        <v>#INVALID COMPANY ID</v>
      </c>
      <c r="EA412" t="s">
        <v>1836</v>
      </c>
      <c r="EB412">
        <v>4111513</v>
      </c>
      <c r="EC412" t="s">
        <v>346</v>
      </c>
      <c r="ED412" s="11">
        <v>0</v>
      </c>
      <c r="EE412" s="9" t="str">
        <f>_xll.SNL.Clients.Office.Excel.Functions.SPG(EB412, "SP_COUNTRY_NAME")</f>
        <v>USA</v>
      </c>
      <c r="EF412" t="s">
        <v>631</v>
      </c>
      <c r="EG412">
        <v>112247511</v>
      </c>
      <c r="EH412" t="s">
        <v>346</v>
      </c>
      <c r="EI412" s="11">
        <v>0</v>
      </c>
      <c r="EJ412" s="9" t="str">
        <f>_xll.SNL.Clients.Office.Excel.Functions.SPG(EG412, "SP_COUNTRY_NAME")</f>
        <v>USA</v>
      </c>
      <c r="EO412" s="9" t="str">
        <f>_xll.SNL.Clients.Office.Excel.Functions.SPG(EL412, "SP_COUNTRY_NAME")</f>
        <v>#INVALID COMPANY ID</v>
      </c>
      <c r="ET412" s="9" t="str">
        <f>_xll.SNL.Clients.Office.Excel.Functions.SPG(EQ412, "SP_COUNTRY_NAME")</f>
        <v>#INVALID COMPANY ID</v>
      </c>
      <c r="EY412" s="9" t="str">
        <f>_xll.SNL.Clients.Office.Excel.Functions.SPG(EV412, "SP_COUNTRY_NAME")</f>
        <v>#INVALID COMPANY ID</v>
      </c>
      <c r="FD412" s="9" t="str">
        <f>_xll.SNL.Clients.Office.Excel.Functions.SPG(FA412, "SP_COUNTRY_NAME")</f>
        <v>#INVALID COMPANY ID</v>
      </c>
      <c r="FI412" s="9" t="str">
        <f>_xll.SNL.Clients.Office.Excel.Functions.SPG(FF412, "SP_COUNTRY_NAME")</f>
        <v>#INVALID COMPANY ID</v>
      </c>
      <c r="FN412" s="9" t="str">
        <f>_xll.SNL.Clients.Office.Excel.Functions.SPG(FK412, "SP_COUNTRY_NAME")</f>
        <v>#INVALID COMPANY ID</v>
      </c>
      <c r="FS412" s="9" t="str">
        <f>_xll.SNL.Clients.Office.Excel.Functions.SPG(FP412, "SP_COUNTRY_NAME")</f>
        <v>#INVALID COMPANY ID</v>
      </c>
      <c r="FX412" s="9" t="str">
        <f>_xll.SNL.Clients.Office.Excel.Functions.SPG(FU412, "SP_COUNTRY_NAME")</f>
        <v>#INVALID COMPANY ID</v>
      </c>
      <c r="FY412" t="s">
        <v>631</v>
      </c>
      <c r="FZ412">
        <v>112247511</v>
      </c>
      <c r="GA412" t="s">
        <v>346</v>
      </c>
      <c r="GB412" s="11">
        <v>0</v>
      </c>
      <c r="GC412" s="9" t="str">
        <f>_xll.SNL.Clients.Office.Excel.Functions.SPG(FZ412, "SP_COUNTRY_NAME")</f>
        <v>USA</v>
      </c>
      <c r="GH412" s="9" t="str">
        <f>_xll.SNL.Clients.Office.Excel.Functions.SPG(GE412, "SP_COUNTRY_NAME")</f>
        <v>#INVALID COMPANY ID</v>
      </c>
      <c r="GM412" s="9" t="str">
        <f>_xll.SNL.Clients.Office.Excel.Functions.SPG(GJ412, "SP_COUNTRY_NAME")</f>
        <v>#INVALID COMPANY ID</v>
      </c>
      <c r="GR412" s="9" t="str">
        <f>_xll.SNL.Clients.Office.Excel.Functions.SPG(GO412, "SP_COUNTRY_NAME")</f>
        <v>#INVALID COMPANY ID</v>
      </c>
      <c r="GW412" s="9" t="str">
        <f>_xll.SNL.Clients.Office.Excel.Functions.SPG(GT412, "SP_COUNTRY_NAME")</f>
        <v>#INVALID COMPANY ID</v>
      </c>
      <c r="GX412" t="s">
        <v>1836</v>
      </c>
      <c r="GY412">
        <v>4111513</v>
      </c>
      <c r="GZ412" t="s">
        <v>346</v>
      </c>
      <c r="HA412" s="11">
        <v>0</v>
      </c>
      <c r="HB412" s="9" t="str">
        <f>_xll.SNL.Clients.Office.Excel.Functions.SPG(GY412, "SP_COUNTRY_NAME")</f>
        <v>USA</v>
      </c>
      <c r="HG412" s="9" t="str">
        <f>_xll.SNL.Clients.Office.Excel.Functions.SPG(HD412, "SP_COUNTRY_NAME")</f>
        <v>#INVALID COMPANY ID</v>
      </c>
    </row>
    <row r="413" spans="5:215" x14ac:dyDescent="0.35">
      <c r="E413" s="9" t="str">
        <f>_xll.SNL.Clients.Office.Excel.Functions.SPG(B413, "SP_COUNTRY_NAME")</f>
        <v>#INVALID COMPANY ID</v>
      </c>
      <c r="J413" s="9" t="str">
        <f>_xll.SNL.Clients.Office.Excel.Functions.SPG(G413, "SP_COUNTRY_NAME")</f>
        <v>#INVALID COMPANY ID</v>
      </c>
      <c r="O413" s="9" t="str">
        <f>_xll.SNL.Clients.Office.Excel.Functions.SPG(L413, "SP_COUNTRY_NAME")</f>
        <v>#INVALID COMPANY ID</v>
      </c>
      <c r="T413" s="9" t="str">
        <f>_xll.SNL.Clients.Office.Excel.Functions.SPG(Q413, "SP_COUNTRY_NAME")</f>
        <v>#INVALID COMPANY ID</v>
      </c>
      <c r="U413" t="s">
        <v>632</v>
      </c>
      <c r="V413">
        <v>112689727</v>
      </c>
      <c r="W413" t="s">
        <v>346</v>
      </c>
      <c r="X413" s="11">
        <v>0</v>
      </c>
      <c r="Y413" s="9" t="str">
        <f>_xll.SNL.Clients.Office.Excel.Functions.SPG(V413, "SP_COUNTRY_NAME")</f>
        <v>USA</v>
      </c>
      <c r="AD413" s="9" t="str">
        <f>_xll.SNL.Clients.Office.Excel.Functions.SPG(AA413, "SP_COUNTRY_NAME")</f>
        <v>#INVALID COMPANY ID</v>
      </c>
      <c r="AI413" s="9" t="str">
        <f>_xll.SNL.Clients.Office.Excel.Functions.SPG(AF413, "SP_COUNTRY_NAME")</f>
        <v>#INVALID COMPANY ID</v>
      </c>
      <c r="AN413" s="9" t="str">
        <f>_xll.SNL.Clients.Office.Excel.Functions.SPG(AK413, "SP_COUNTRY_NAME")</f>
        <v>#INVALID COMPANY ID</v>
      </c>
      <c r="AS413" s="9" t="str">
        <f>_xll.SNL.Clients.Office.Excel.Functions.SPG(AP413, "SP_COUNTRY_NAME")</f>
        <v>#INVALID COMPANY ID</v>
      </c>
      <c r="AX413" s="9" t="str">
        <f>_xll.SNL.Clients.Office.Excel.Functions.SPG(AU413, "SP_COUNTRY_NAME")</f>
        <v>#INVALID COMPANY ID</v>
      </c>
      <c r="BC413" s="9" t="str">
        <f>_xll.SNL.Clients.Office.Excel.Functions.SPG(AZ413, "SP_COUNTRY_NAME")</f>
        <v>#INVALID COMPANY ID</v>
      </c>
      <c r="BD413" t="s">
        <v>1305</v>
      </c>
      <c r="BE413">
        <v>5866366</v>
      </c>
      <c r="BF413" t="s">
        <v>346</v>
      </c>
      <c r="BG413" s="11">
        <v>0</v>
      </c>
      <c r="BH413" s="9" t="str">
        <f>_xll.SNL.Clients.Office.Excel.Functions.SPG(BE413, "SP_COUNTRY_NAME")</f>
        <v>South Africa</v>
      </c>
      <c r="BM413" s="9" t="str">
        <f>_xll.SNL.Clients.Office.Excel.Functions.SPG(BJ413, "SP_COUNTRY_NAME")</f>
        <v>#INVALID COMPANY ID</v>
      </c>
      <c r="BR413" s="9" t="str">
        <f>_xll.SNL.Clients.Office.Excel.Functions.SPG(BO413, "SP_COUNTRY_NAME")</f>
        <v>#INVALID COMPANY ID</v>
      </c>
      <c r="BS413" t="s">
        <v>848</v>
      </c>
      <c r="BT413">
        <v>4117833</v>
      </c>
      <c r="BU413" t="s">
        <v>346</v>
      </c>
      <c r="BV413" s="11">
        <v>0</v>
      </c>
      <c r="BW413" s="9" t="str">
        <f>_xll.SNL.Clients.Office.Excel.Functions.SPG(BT413, "SP_COUNTRY_NAME")</f>
        <v>Singapore</v>
      </c>
      <c r="BX413" t="s">
        <v>632</v>
      </c>
      <c r="BY413">
        <v>112689727</v>
      </c>
      <c r="BZ413" t="s">
        <v>346</v>
      </c>
      <c r="CA413" s="11">
        <v>0</v>
      </c>
      <c r="CB413" s="9" t="str">
        <f>_xll.SNL.Clients.Office.Excel.Functions.SPG(BY413, "SP_COUNTRY_NAME")</f>
        <v>USA</v>
      </c>
      <c r="CC413" t="s">
        <v>1837</v>
      </c>
      <c r="CD413">
        <v>5615632</v>
      </c>
      <c r="CE413" t="s">
        <v>276</v>
      </c>
      <c r="CF413" s="11">
        <v>0</v>
      </c>
      <c r="CG413" s="9" t="str">
        <f>_xll.SNL.Clients.Office.Excel.Functions.SPG(CD413, "SP_COUNTRY_NAME")</f>
        <v>USA</v>
      </c>
      <c r="CL413" s="9" t="str">
        <f>_xll.SNL.Clients.Office.Excel.Functions.SPG(CI413, "SP_COUNTRY_NAME")</f>
        <v>#INVALID COMPANY ID</v>
      </c>
      <c r="CM413" t="s">
        <v>1368</v>
      </c>
      <c r="CN413">
        <v>11023422</v>
      </c>
      <c r="CO413" t="s">
        <v>346</v>
      </c>
      <c r="CP413" s="11">
        <v>0</v>
      </c>
      <c r="CQ413" s="9" t="str">
        <f>_xll.SNL.Clients.Office.Excel.Functions.SPG(CN413, "SP_COUNTRY_NAME")</f>
        <v>South Africa</v>
      </c>
      <c r="CV413" s="9" t="str">
        <f>_xll.SNL.Clients.Office.Excel.Functions.SPG(CS413, "SP_COUNTRY_NAME")</f>
        <v>#INVALID COMPANY ID</v>
      </c>
      <c r="DA413" s="9" t="str">
        <f>_xll.SNL.Clients.Office.Excel.Functions.SPG(CX413, "SP_COUNTRY_NAME")</f>
        <v>#INVALID COMPANY ID</v>
      </c>
      <c r="DB413" t="s">
        <v>1305</v>
      </c>
      <c r="DC413">
        <v>5866366</v>
      </c>
      <c r="DD413" t="s">
        <v>346</v>
      </c>
      <c r="DE413" s="11">
        <v>0</v>
      </c>
      <c r="DF413" s="9" t="str">
        <f>_xll.SNL.Clients.Office.Excel.Functions.SPG(DC413, "SP_COUNTRY_NAME")</f>
        <v>South Africa</v>
      </c>
      <c r="DK413" s="9" t="str">
        <f>_xll.SNL.Clients.Office.Excel.Functions.SPG(DH413, "SP_COUNTRY_NAME")</f>
        <v>#INVALID COMPANY ID</v>
      </c>
      <c r="DL413" t="s">
        <v>1305</v>
      </c>
      <c r="DM413">
        <v>5866366</v>
      </c>
      <c r="DN413" t="s">
        <v>346</v>
      </c>
      <c r="DO413" s="11">
        <v>0</v>
      </c>
      <c r="DP413" s="9" t="str">
        <f>_xll.SNL.Clients.Office.Excel.Functions.SPG(DM413, "SP_COUNTRY_NAME")</f>
        <v>South Africa</v>
      </c>
      <c r="DU413" s="9" t="str">
        <f>_xll.SNL.Clients.Office.Excel.Functions.SPG(DR413, "SP_COUNTRY_NAME")</f>
        <v>#INVALID COMPANY ID</v>
      </c>
      <c r="DZ413" s="9" t="str">
        <f>_xll.SNL.Clients.Office.Excel.Functions.SPG(DW413, "SP_COUNTRY_NAME")</f>
        <v>#INVALID COMPANY ID</v>
      </c>
      <c r="EA413" t="s">
        <v>1837</v>
      </c>
      <c r="EB413">
        <v>5615632</v>
      </c>
      <c r="EC413" t="s">
        <v>276</v>
      </c>
      <c r="ED413" s="11">
        <v>0</v>
      </c>
      <c r="EE413" s="9" t="str">
        <f>_xll.SNL.Clients.Office.Excel.Functions.SPG(EB413, "SP_COUNTRY_NAME")</f>
        <v>USA</v>
      </c>
      <c r="EF413" t="s">
        <v>1305</v>
      </c>
      <c r="EG413">
        <v>5866366</v>
      </c>
      <c r="EH413" t="s">
        <v>346</v>
      </c>
      <c r="EI413" s="11">
        <v>0</v>
      </c>
      <c r="EJ413" s="9" t="str">
        <f>_xll.SNL.Clients.Office.Excel.Functions.SPG(EG413, "SP_COUNTRY_NAME")</f>
        <v>South Africa</v>
      </c>
      <c r="EO413" s="9" t="str">
        <f>_xll.SNL.Clients.Office.Excel.Functions.SPG(EL413, "SP_COUNTRY_NAME")</f>
        <v>#INVALID COMPANY ID</v>
      </c>
      <c r="ET413" s="9" t="str">
        <f>_xll.SNL.Clients.Office.Excel.Functions.SPG(EQ413, "SP_COUNTRY_NAME")</f>
        <v>#INVALID COMPANY ID</v>
      </c>
      <c r="EY413" s="9" t="str">
        <f>_xll.SNL.Clients.Office.Excel.Functions.SPG(EV413, "SP_COUNTRY_NAME")</f>
        <v>#INVALID COMPANY ID</v>
      </c>
      <c r="FD413" s="9" t="str">
        <f>_xll.SNL.Clients.Office.Excel.Functions.SPG(FA413, "SP_COUNTRY_NAME")</f>
        <v>#INVALID COMPANY ID</v>
      </c>
      <c r="FI413" s="9" t="str">
        <f>_xll.SNL.Clients.Office.Excel.Functions.SPG(FF413, "SP_COUNTRY_NAME")</f>
        <v>#INVALID COMPANY ID</v>
      </c>
      <c r="FN413" s="9" t="str">
        <f>_xll.SNL.Clients.Office.Excel.Functions.SPG(FK413, "SP_COUNTRY_NAME")</f>
        <v>#INVALID COMPANY ID</v>
      </c>
      <c r="FS413" s="9" t="str">
        <f>_xll.SNL.Clients.Office.Excel.Functions.SPG(FP413, "SP_COUNTRY_NAME")</f>
        <v>#INVALID COMPANY ID</v>
      </c>
      <c r="FX413" s="9" t="str">
        <f>_xll.SNL.Clients.Office.Excel.Functions.SPG(FU413, "SP_COUNTRY_NAME")</f>
        <v>#INVALID COMPANY ID</v>
      </c>
      <c r="FY413" t="s">
        <v>1305</v>
      </c>
      <c r="FZ413">
        <v>5866366</v>
      </c>
      <c r="GA413" t="s">
        <v>346</v>
      </c>
      <c r="GB413" s="11">
        <v>0</v>
      </c>
      <c r="GC413" s="9" t="str">
        <f>_xll.SNL.Clients.Office.Excel.Functions.SPG(FZ413, "SP_COUNTRY_NAME")</f>
        <v>South Africa</v>
      </c>
      <c r="GH413" s="9" t="str">
        <f>_xll.SNL.Clients.Office.Excel.Functions.SPG(GE413, "SP_COUNTRY_NAME")</f>
        <v>#INVALID COMPANY ID</v>
      </c>
      <c r="GM413" s="9" t="str">
        <f>_xll.SNL.Clients.Office.Excel.Functions.SPG(GJ413, "SP_COUNTRY_NAME")</f>
        <v>#INVALID COMPANY ID</v>
      </c>
      <c r="GR413" s="9" t="str">
        <f>_xll.SNL.Clients.Office.Excel.Functions.SPG(GO413, "SP_COUNTRY_NAME")</f>
        <v>#INVALID COMPANY ID</v>
      </c>
      <c r="GW413" s="9" t="str">
        <f>_xll.SNL.Clients.Office.Excel.Functions.SPG(GT413, "SP_COUNTRY_NAME")</f>
        <v>#INVALID COMPANY ID</v>
      </c>
      <c r="GX413" t="s">
        <v>1837</v>
      </c>
      <c r="GY413">
        <v>5615632</v>
      </c>
      <c r="GZ413" t="s">
        <v>276</v>
      </c>
      <c r="HA413" s="11">
        <v>0</v>
      </c>
      <c r="HB413" s="9" t="str">
        <f>_xll.SNL.Clients.Office.Excel.Functions.SPG(GY413, "SP_COUNTRY_NAME")</f>
        <v>USA</v>
      </c>
      <c r="HG413" s="9" t="str">
        <f>_xll.SNL.Clients.Office.Excel.Functions.SPG(HD413, "SP_COUNTRY_NAME")</f>
        <v>#INVALID COMPANY ID</v>
      </c>
    </row>
    <row r="414" spans="5:215" x14ac:dyDescent="0.35">
      <c r="E414" s="9" t="str">
        <f>_xll.SNL.Clients.Office.Excel.Functions.SPG(B414, "SP_COUNTRY_NAME")</f>
        <v>#INVALID COMPANY ID</v>
      </c>
      <c r="J414" s="9" t="str">
        <f>_xll.SNL.Clients.Office.Excel.Functions.SPG(G414, "SP_COUNTRY_NAME")</f>
        <v>#INVALID COMPANY ID</v>
      </c>
      <c r="O414" s="9" t="str">
        <f>_xll.SNL.Clients.Office.Excel.Functions.SPG(L414, "SP_COUNTRY_NAME")</f>
        <v>#INVALID COMPANY ID</v>
      </c>
      <c r="T414" s="9" t="str">
        <f>_xll.SNL.Clients.Office.Excel.Functions.SPG(Q414, "SP_COUNTRY_NAME")</f>
        <v>#INVALID COMPANY ID</v>
      </c>
      <c r="U414" t="s">
        <v>935</v>
      </c>
      <c r="V414">
        <v>109295</v>
      </c>
      <c r="W414" t="s">
        <v>366</v>
      </c>
      <c r="X414" s="11">
        <v>0</v>
      </c>
      <c r="Y414" s="9" t="str">
        <f>_xll.SNL.Clients.Office.Excel.Functions.SPG(V414, "SP_COUNTRY_NAME")</f>
        <v>USA</v>
      </c>
      <c r="AD414" s="9" t="str">
        <f>_xll.SNL.Clients.Office.Excel.Functions.SPG(AA414, "SP_COUNTRY_NAME")</f>
        <v>#INVALID COMPANY ID</v>
      </c>
      <c r="AI414" s="9" t="str">
        <f>_xll.SNL.Clients.Office.Excel.Functions.SPG(AF414, "SP_COUNTRY_NAME")</f>
        <v>#INVALID COMPANY ID</v>
      </c>
      <c r="AN414" s="9" t="str">
        <f>_xll.SNL.Clients.Office.Excel.Functions.SPG(AK414, "SP_COUNTRY_NAME")</f>
        <v>#INVALID COMPANY ID</v>
      </c>
      <c r="AS414" s="9" t="str">
        <f>_xll.SNL.Clients.Office.Excel.Functions.SPG(AP414, "SP_COUNTRY_NAME")</f>
        <v>#INVALID COMPANY ID</v>
      </c>
      <c r="AX414" s="9" t="str">
        <f>_xll.SNL.Clients.Office.Excel.Functions.SPG(AU414, "SP_COUNTRY_NAME")</f>
        <v>#INVALID COMPANY ID</v>
      </c>
      <c r="BC414" s="9" t="str">
        <f>_xll.SNL.Clients.Office.Excel.Functions.SPG(AZ414, "SP_COUNTRY_NAME")</f>
        <v>#INVALID COMPANY ID</v>
      </c>
      <c r="BD414" t="s">
        <v>1522</v>
      </c>
      <c r="BE414">
        <v>5807183</v>
      </c>
      <c r="BF414" t="s">
        <v>346</v>
      </c>
      <c r="BG414" s="11">
        <v>0</v>
      </c>
      <c r="BH414" s="9" t="str">
        <f>_xll.SNL.Clients.Office.Excel.Functions.SPG(BE414, "SP_COUNTRY_NAME")</f>
        <v>Germany</v>
      </c>
      <c r="BM414" s="9" t="str">
        <f>_xll.SNL.Clients.Office.Excel.Functions.SPG(BJ414, "SP_COUNTRY_NAME")</f>
        <v>#INVALID COMPANY ID</v>
      </c>
      <c r="BR414" s="9" t="str">
        <f>_xll.SNL.Clients.Office.Excel.Functions.SPG(BO414, "SP_COUNTRY_NAME")</f>
        <v>#INVALID COMPANY ID</v>
      </c>
      <c r="BS414" t="s">
        <v>880</v>
      </c>
      <c r="BT414">
        <v>4139864</v>
      </c>
      <c r="BU414" t="s">
        <v>346</v>
      </c>
      <c r="BV414" s="11">
        <v>0</v>
      </c>
      <c r="BW414" s="9" t="str">
        <f>_xll.SNL.Clients.Office.Excel.Functions.SPG(BT414, "SP_COUNTRY_NAME")</f>
        <v>United Kingdom</v>
      </c>
      <c r="BX414" t="s">
        <v>935</v>
      </c>
      <c r="BY414">
        <v>109295</v>
      </c>
      <c r="BZ414" t="s">
        <v>366</v>
      </c>
      <c r="CA414" s="11">
        <v>0</v>
      </c>
      <c r="CB414" s="9" t="str">
        <f>_xll.SNL.Clients.Office.Excel.Functions.SPG(BY414, "SP_COUNTRY_NAME")</f>
        <v>USA</v>
      </c>
      <c r="CC414" t="s">
        <v>1838</v>
      </c>
      <c r="CD414">
        <v>4219077</v>
      </c>
      <c r="CE414" t="s">
        <v>346</v>
      </c>
      <c r="CF414" s="11">
        <v>0</v>
      </c>
      <c r="CG414" s="9" t="str">
        <f>_xll.SNL.Clients.Office.Excel.Functions.SPG(CD414, "SP_COUNTRY_NAME")</f>
        <v>USA</v>
      </c>
      <c r="CL414" s="9" t="str">
        <f>_xll.SNL.Clients.Office.Excel.Functions.SPG(CI414, "SP_COUNTRY_NAME")</f>
        <v>#INVALID COMPANY ID</v>
      </c>
      <c r="CM414" t="s">
        <v>458</v>
      </c>
      <c r="CN414">
        <v>109806</v>
      </c>
      <c r="CO414" t="s">
        <v>346</v>
      </c>
      <c r="CP414" s="11">
        <v>0</v>
      </c>
      <c r="CQ414" s="9" t="str">
        <f>_xll.SNL.Clients.Office.Excel.Functions.SPG(CN414, "SP_COUNTRY_NAME")</f>
        <v>USA</v>
      </c>
      <c r="CV414" s="9" t="str">
        <f>_xll.SNL.Clients.Office.Excel.Functions.SPG(CS414, "SP_COUNTRY_NAME")</f>
        <v>#INVALID COMPANY ID</v>
      </c>
      <c r="DA414" s="9" t="str">
        <f>_xll.SNL.Clients.Office.Excel.Functions.SPG(CX414, "SP_COUNTRY_NAME")</f>
        <v>#INVALID COMPANY ID</v>
      </c>
      <c r="DB414" t="s">
        <v>1522</v>
      </c>
      <c r="DC414">
        <v>5807183</v>
      </c>
      <c r="DD414" t="s">
        <v>346</v>
      </c>
      <c r="DE414" s="11">
        <v>0</v>
      </c>
      <c r="DF414" s="9" t="str">
        <f>_xll.SNL.Clients.Office.Excel.Functions.SPG(DC414, "SP_COUNTRY_NAME")</f>
        <v>Germany</v>
      </c>
      <c r="DK414" s="9" t="str">
        <f>_xll.SNL.Clients.Office.Excel.Functions.SPG(DH414, "SP_COUNTRY_NAME")</f>
        <v>#INVALID COMPANY ID</v>
      </c>
      <c r="DL414" t="s">
        <v>1522</v>
      </c>
      <c r="DM414">
        <v>5807183</v>
      </c>
      <c r="DN414" t="s">
        <v>346</v>
      </c>
      <c r="DO414" s="11">
        <v>0</v>
      </c>
      <c r="DP414" s="9" t="str">
        <f>_xll.SNL.Clients.Office.Excel.Functions.SPG(DM414, "SP_COUNTRY_NAME")</f>
        <v>Germany</v>
      </c>
      <c r="DU414" s="9" t="str">
        <f>_xll.SNL.Clients.Office.Excel.Functions.SPG(DR414, "SP_COUNTRY_NAME")</f>
        <v>#INVALID COMPANY ID</v>
      </c>
      <c r="DZ414" s="9" t="str">
        <f>_xll.SNL.Clients.Office.Excel.Functions.SPG(DW414, "SP_COUNTRY_NAME")</f>
        <v>#INVALID COMPANY ID</v>
      </c>
      <c r="EA414" t="s">
        <v>1838</v>
      </c>
      <c r="EB414">
        <v>4219077</v>
      </c>
      <c r="EC414" t="s">
        <v>346</v>
      </c>
      <c r="ED414" s="11">
        <v>0</v>
      </c>
      <c r="EE414" s="9" t="str">
        <f>_xll.SNL.Clients.Office.Excel.Functions.SPG(EB414, "SP_COUNTRY_NAME")</f>
        <v>USA</v>
      </c>
      <c r="EF414" t="s">
        <v>1522</v>
      </c>
      <c r="EG414">
        <v>5807183</v>
      </c>
      <c r="EH414" t="s">
        <v>346</v>
      </c>
      <c r="EI414" s="11">
        <v>0</v>
      </c>
      <c r="EJ414" s="9" t="str">
        <f>_xll.SNL.Clients.Office.Excel.Functions.SPG(EG414, "SP_COUNTRY_NAME")</f>
        <v>Germany</v>
      </c>
      <c r="EO414" s="9" t="str">
        <f>_xll.SNL.Clients.Office.Excel.Functions.SPG(EL414, "SP_COUNTRY_NAME")</f>
        <v>#INVALID COMPANY ID</v>
      </c>
      <c r="ET414" s="9" t="str">
        <f>_xll.SNL.Clients.Office.Excel.Functions.SPG(EQ414, "SP_COUNTRY_NAME")</f>
        <v>#INVALID COMPANY ID</v>
      </c>
      <c r="EY414" s="9" t="str">
        <f>_xll.SNL.Clients.Office.Excel.Functions.SPG(EV414, "SP_COUNTRY_NAME")</f>
        <v>#INVALID COMPANY ID</v>
      </c>
      <c r="FD414" s="9" t="str">
        <f>_xll.SNL.Clients.Office.Excel.Functions.SPG(FA414, "SP_COUNTRY_NAME")</f>
        <v>#INVALID COMPANY ID</v>
      </c>
      <c r="FI414" s="9" t="str">
        <f>_xll.SNL.Clients.Office.Excel.Functions.SPG(FF414, "SP_COUNTRY_NAME")</f>
        <v>#INVALID COMPANY ID</v>
      </c>
      <c r="FN414" s="9" t="str">
        <f>_xll.SNL.Clients.Office.Excel.Functions.SPG(FK414, "SP_COUNTRY_NAME")</f>
        <v>#INVALID COMPANY ID</v>
      </c>
      <c r="FS414" s="9" t="str">
        <f>_xll.SNL.Clients.Office.Excel.Functions.SPG(FP414, "SP_COUNTRY_NAME")</f>
        <v>#INVALID COMPANY ID</v>
      </c>
      <c r="FX414" s="9" t="str">
        <f>_xll.SNL.Clients.Office.Excel.Functions.SPG(FU414, "SP_COUNTRY_NAME")</f>
        <v>#INVALID COMPANY ID</v>
      </c>
      <c r="FY414" t="s">
        <v>1522</v>
      </c>
      <c r="FZ414">
        <v>5807183</v>
      </c>
      <c r="GA414" t="s">
        <v>346</v>
      </c>
      <c r="GB414" s="11">
        <v>0</v>
      </c>
      <c r="GC414" s="9" t="str">
        <f>_xll.SNL.Clients.Office.Excel.Functions.SPG(FZ414, "SP_COUNTRY_NAME")</f>
        <v>Germany</v>
      </c>
      <c r="GH414" s="9" t="str">
        <f>_xll.SNL.Clients.Office.Excel.Functions.SPG(GE414, "SP_COUNTRY_NAME")</f>
        <v>#INVALID COMPANY ID</v>
      </c>
      <c r="GM414" s="9" t="str">
        <f>_xll.SNL.Clients.Office.Excel.Functions.SPG(GJ414, "SP_COUNTRY_NAME")</f>
        <v>#INVALID COMPANY ID</v>
      </c>
      <c r="GR414" s="9" t="str">
        <f>_xll.SNL.Clients.Office.Excel.Functions.SPG(GO414, "SP_COUNTRY_NAME")</f>
        <v>#INVALID COMPANY ID</v>
      </c>
      <c r="GW414" s="9" t="str">
        <f>_xll.SNL.Clients.Office.Excel.Functions.SPG(GT414, "SP_COUNTRY_NAME")</f>
        <v>#INVALID COMPANY ID</v>
      </c>
      <c r="GX414" t="s">
        <v>1838</v>
      </c>
      <c r="GY414">
        <v>4219077</v>
      </c>
      <c r="GZ414" t="s">
        <v>346</v>
      </c>
      <c r="HA414" s="11">
        <v>0</v>
      </c>
      <c r="HB414" s="9" t="str">
        <f>_xll.SNL.Clients.Office.Excel.Functions.SPG(GY414, "SP_COUNTRY_NAME")</f>
        <v>USA</v>
      </c>
      <c r="HG414" s="9" t="str">
        <f>_xll.SNL.Clients.Office.Excel.Functions.SPG(HD414, "SP_COUNTRY_NAME")</f>
        <v>#INVALID COMPANY ID</v>
      </c>
    </row>
    <row r="415" spans="5:215" x14ac:dyDescent="0.35">
      <c r="E415" s="9" t="str">
        <f>_xll.SNL.Clients.Office.Excel.Functions.SPG(B415, "SP_COUNTRY_NAME")</f>
        <v>#INVALID COMPANY ID</v>
      </c>
      <c r="J415" s="9" t="str">
        <f>_xll.SNL.Clients.Office.Excel.Functions.SPG(G415, "SP_COUNTRY_NAME")</f>
        <v>#INVALID COMPANY ID</v>
      </c>
      <c r="O415" s="9" t="str">
        <f>_xll.SNL.Clients.Office.Excel.Functions.SPG(L415, "SP_COUNTRY_NAME")</f>
        <v>#INVALID COMPANY ID</v>
      </c>
      <c r="T415" s="9" t="str">
        <f>_xll.SNL.Clients.Office.Excel.Functions.SPG(Q415, "SP_COUNTRY_NAME")</f>
        <v>#INVALID COMPANY ID</v>
      </c>
      <c r="U415" t="s">
        <v>936</v>
      </c>
      <c r="V415">
        <v>100369</v>
      </c>
      <c r="W415" t="s">
        <v>366</v>
      </c>
      <c r="X415" s="11">
        <v>-0.01</v>
      </c>
      <c r="Y415" s="9" t="str">
        <f>_xll.SNL.Clients.Office.Excel.Functions.SPG(V415, "SP_COUNTRY_NAME")</f>
        <v>USA</v>
      </c>
      <c r="AD415" s="9" t="str">
        <f>_xll.SNL.Clients.Office.Excel.Functions.SPG(AA415, "SP_COUNTRY_NAME")</f>
        <v>#INVALID COMPANY ID</v>
      </c>
      <c r="AI415" s="9" t="str">
        <f>_xll.SNL.Clients.Office.Excel.Functions.SPG(AF415, "SP_COUNTRY_NAME")</f>
        <v>#INVALID COMPANY ID</v>
      </c>
      <c r="AN415" s="9" t="str">
        <f>_xll.SNL.Clients.Office.Excel.Functions.SPG(AK415, "SP_COUNTRY_NAME")</f>
        <v>#INVALID COMPANY ID</v>
      </c>
      <c r="AS415" s="9" t="str">
        <f>_xll.SNL.Clients.Office.Excel.Functions.SPG(AP415, "SP_COUNTRY_NAME")</f>
        <v>#INVALID COMPANY ID</v>
      </c>
      <c r="AX415" s="9" t="str">
        <f>_xll.SNL.Clients.Office.Excel.Functions.SPG(AU415, "SP_COUNTRY_NAME")</f>
        <v>#INVALID COMPANY ID</v>
      </c>
      <c r="BC415" s="9" t="str">
        <f>_xll.SNL.Clients.Office.Excel.Functions.SPG(AZ415, "SP_COUNTRY_NAME")</f>
        <v>#INVALID COMPANY ID</v>
      </c>
      <c r="BD415" t="s">
        <v>1090</v>
      </c>
      <c r="BE415">
        <v>4547746</v>
      </c>
      <c r="BF415" t="s">
        <v>346</v>
      </c>
      <c r="BG415" s="11">
        <v>0</v>
      </c>
      <c r="BH415" s="9" t="str">
        <f>_xll.SNL.Clients.Office.Excel.Functions.SPG(BE415, "SP_COUNTRY_NAME")</f>
        <v>Germany</v>
      </c>
      <c r="BM415" s="9" t="str">
        <f>_xll.SNL.Clients.Office.Excel.Functions.SPG(BJ415, "SP_COUNTRY_NAME")</f>
        <v>#INVALID COMPANY ID</v>
      </c>
      <c r="BR415" s="9" t="str">
        <f>_xll.SNL.Clients.Office.Excel.Functions.SPG(BO415, "SP_COUNTRY_NAME")</f>
        <v>#INVALID COMPANY ID</v>
      </c>
      <c r="BS415" t="s">
        <v>1060</v>
      </c>
      <c r="BT415">
        <v>4298386</v>
      </c>
      <c r="BU415" t="s">
        <v>346</v>
      </c>
      <c r="BV415" s="11">
        <v>0</v>
      </c>
      <c r="BW415" s="9" t="str">
        <f>_xll.SNL.Clients.Office.Excel.Functions.SPG(BT415, "SP_COUNTRY_NAME")</f>
        <v>United Kingdom</v>
      </c>
      <c r="BX415" t="s">
        <v>936</v>
      </c>
      <c r="BY415">
        <v>100369</v>
      </c>
      <c r="BZ415" t="s">
        <v>366</v>
      </c>
      <c r="CA415" s="11">
        <v>-0.01</v>
      </c>
      <c r="CB415" s="9" t="str">
        <f>_xll.SNL.Clients.Office.Excel.Functions.SPG(BY415, "SP_COUNTRY_NAME")</f>
        <v>USA</v>
      </c>
      <c r="CC415" t="s">
        <v>1839</v>
      </c>
      <c r="CD415">
        <v>10737882</v>
      </c>
      <c r="CE415" t="s">
        <v>276</v>
      </c>
      <c r="CF415" s="11">
        <v>0</v>
      </c>
      <c r="CG415" s="9" t="str">
        <f>_xll.SNL.Clients.Office.Excel.Functions.SPG(CD415, "SP_COUNTRY_NAME")</f>
        <v>USA</v>
      </c>
      <c r="CL415" s="9" t="str">
        <f>_xll.SNL.Clients.Office.Excel.Functions.SPG(CI415, "SP_COUNTRY_NAME")</f>
        <v>#INVALID COMPANY ID</v>
      </c>
      <c r="CM415" t="s">
        <v>1354</v>
      </c>
      <c r="CN415">
        <v>4305801</v>
      </c>
      <c r="CO415" t="s">
        <v>346</v>
      </c>
      <c r="CP415" s="11">
        <v>0</v>
      </c>
      <c r="CQ415" s="9" t="str">
        <f>_xll.SNL.Clients.Office.Excel.Functions.SPG(CN415, "SP_COUNTRY_NAME")</f>
        <v>South Africa</v>
      </c>
      <c r="CV415" s="9" t="str">
        <f>_xll.SNL.Clients.Office.Excel.Functions.SPG(CS415, "SP_COUNTRY_NAME")</f>
        <v>#INVALID COMPANY ID</v>
      </c>
      <c r="DA415" s="9" t="str">
        <f>_xll.SNL.Clients.Office.Excel.Functions.SPG(CX415, "SP_COUNTRY_NAME")</f>
        <v>#INVALID COMPANY ID</v>
      </c>
      <c r="DB415" t="s">
        <v>1090</v>
      </c>
      <c r="DC415">
        <v>4547746</v>
      </c>
      <c r="DD415" t="s">
        <v>346</v>
      </c>
      <c r="DE415" s="11">
        <v>0</v>
      </c>
      <c r="DF415" s="9" t="str">
        <f>_xll.SNL.Clients.Office.Excel.Functions.SPG(DC415, "SP_COUNTRY_NAME")</f>
        <v>Germany</v>
      </c>
      <c r="DK415" s="9" t="str">
        <f>_xll.SNL.Clients.Office.Excel.Functions.SPG(DH415, "SP_COUNTRY_NAME")</f>
        <v>#INVALID COMPANY ID</v>
      </c>
      <c r="DL415" t="s">
        <v>1090</v>
      </c>
      <c r="DM415">
        <v>4547746</v>
      </c>
      <c r="DN415" t="s">
        <v>346</v>
      </c>
      <c r="DO415" s="11">
        <v>0</v>
      </c>
      <c r="DP415" s="9" t="str">
        <f>_xll.SNL.Clients.Office.Excel.Functions.SPG(DM415, "SP_COUNTRY_NAME")</f>
        <v>Germany</v>
      </c>
      <c r="DU415" s="9" t="str">
        <f>_xll.SNL.Clients.Office.Excel.Functions.SPG(DR415, "SP_COUNTRY_NAME")</f>
        <v>#INVALID COMPANY ID</v>
      </c>
      <c r="DZ415" s="9" t="str">
        <f>_xll.SNL.Clients.Office.Excel.Functions.SPG(DW415, "SP_COUNTRY_NAME")</f>
        <v>#INVALID COMPANY ID</v>
      </c>
      <c r="EA415" t="s">
        <v>1839</v>
      </c>
      <c r="EB415">
        <v>10737882</v>
      </c>
      <c r="EC415" t="s">
        <v>276</v>
      </c>
      <c r="ED415" s="11">
        <v>0</v>
      </c>
      <c r="EE415" s="9" t="str">
        <f>_xll.SNL.Clients.Office.Excel.Functions.SPG(EB415, "SP_COUNTRY_NAME")</f>
        <v>USA</v>
      </c>
      <c r="EF415" t="s">
        <v>1090</v>
      </c>
      <c r="EG415">
        <v>4547746</v>
      </c>
      <c r="EH415" t="s">
        <v>346</v>
      </c>
      <c r="EI415" s="11">
        <v>0</v>
      </c>
      <c r="EJ415" s="9" t="str">
        <f>_xll.SNL.Clients.Office.Excel.Functions.SPG(EG415, "SP_COUNTRY_NAME")</f>
        <v>Germany</v>
      </c>
      <c r="EO415" s="9" t="str">
        <f>_xll.SNL.Clients.Office.Excel.Functions.SPG(EL415, "SP_COUNTRY_NAME")</f>
        <v>#INVALID COMPANY ID</v>
      </c>
      <c r="ET415" s="9" t="str">
        <f>_xll.SNL.Clients.Office.Excel.Functions.SPG(EQ415, "SP_COUNTRY_NAME")</f>
        <v>#INVALID COMPANY ID</v>
      </c>
      <c r="EY415" s="9" t="str">
        <f>_xll.SNL.Clients.Office.Excel.Functions.SPG(EV415, "SP_COUNTRY_NAME")</f>
        <v>#INVALID COMPANY ID</v>
      </c>
      <c r="FD415" s="9" t="str">
        <f>_xll.SNL.Clients.Office.Excel.Functions.SPG(FA415, "SP_COUNTRY_NAME")</f>
        <v>#INVALID COMPANY ID</v>
      </c>
      <c r="FI415" s="9" t="str">
        <f>_xll.SNL.Clients.Office.Excel.Functions.SPG(FF415, "SP_COUNTRY_NAME")</f>
        <v>#INVALID COMPANY ID</v>
      </c>
      <c r="FN415" s="9" t="str">
        <f>_xll.SNL.Clients.Office.Excel.Functions.SPG(FK415, "SP_COUNTRY_NAME")</f>
        <v>#INVALID COMPANY ID</v>
      </c>
      <c r="FS415" s="9" t="str">
        <f>_xll.SNL.Clients.Office.Excel.Functions.SPG(FP415, "SP_COUNTRY_NAME")</f>
        <v>#INVALID COMPANY ID</v>
      </c>
      <c r="FX415" s="9" t="str">
        <f>_xll.SNL.Clients.Office.Excel.Functions.SPG(FU415, "SP_COUNTRY_NAME")</f>
        <v>#INVALID COMPANY ID</v>
      </c>
      <c r="FY415" t="s">
        <v>1090</v>
      </c>
      <c r="FZ415">
        <v>4547746</v>
      </c>
      <c r="GA415" t="s">
        <v>346</v>
      </c>
      <c r="GB415" s="11">
        <v>0</v>
      </c>
      <c r="GC415" s="9" t="str">
        <f>_xll.SNL.Clients.Office.Excel.Functions.SPG(FZ415, "SP_COUNTRY_NAME")</f>
        <v>Germany</v>
      </c>
      <c r="GH415" s="9" t="str">
        <f>_xll.SNL.Clients.Office.Excel.Functions.SPG(GE415, "SP_COUNTRY_NAME")</f>
        <v>#INVALID COMPANY ID</v>
      </c>
      <c r="GM415" s="9" t="str">
        <f>_xll.SNL.Clients.Office.Excel.Functions.SPG(GJ415, "SP_COUNTRY_NAME")</f>
        <v>#INVALID COMPANY ID</v>
      </c>
      <c r="GR415" s="9" t="str">
        <f>_xll.SNL.Clients.Office.Excel.Functions.SPG(GO415, "SP_COUNTRY_NAME")</f>
        <v>#INVALID COMPANY ID</v>
      </c>
      <c r="GW415" s="9" t="str">
        <f>_xll.SNL.Clients.Office.Excel.Functions.SPG(GT415, "SP_COUNTRY_NAME")</f>
        <v>#INVALID COMPANY ID</v>
      </c>
      <c r="GX415" t="s">
        <v>1839</v>
      </c>
      <c r="GY415">
        <v>10737882</v>
      </c>
      <c r="GZ415" t="s">
        <v>276</v>
      </c>
      <c r="HA415" s="11">
        <v>0</v>
      </c>
      <c r="HB415" s="9" t="str">
        <f>_xll.SNL.Clients.Office.Excel.Functions.SPG(GY415, "SP_COUNTRY_NAME")</f>
        <v>USA</v>
      </c>
      <c r="HG415" s="9" t="str">
        <f>_xll.SNL.Clients.Office.Excel.Functions.SPG(HD415, "SP_COUNTRY_NAME")</f>
        <v>#INVALID COMPANY ID</v>
      </c>
    </row>
    <row r="416" spans="5:215" x14ac:dyDescent="0.35">
      <c r="E416" s="9" t="str">
        <f>_xll.SNL.Clients.Office.Excel.Functions.SPG(B416, "SP_COUNTRY_NAME")</f>
        <v>#INVALID COMPANY ID</v>
      </c>
      <c r="J416" s="9" t="str">
        <f>_xll.SNL.Clients.Office.Excel.Functions.SPG(G416, "SP_COUNTRY_NAME")</f>
        <v>#INVALID COMPANY ID</v>
      </c>
      <c r="O416" s="9" t="str">
        <f>_xll.SNL.Clients.Office.Excel.Functions.SPG(L416, "SP_COUNTRY_NAME")</f>
        <v>#INVALID COMPANY ID</v>
      </c>
      <c r="T416" s="9" t="str">
        <f>_xll.SNL.Clients.Office.Excel.Functions.SPG(Q416, "SP_COUNTRY_NAME")</f>
        <v>#INVALID COMPANY ID</v>
      </c>
      <c r="U416" t="s">
        <v>937</v>
      </c>
      <c r="V416">
        <v>4041896</v>
      </c>
      <c r="W416" t="s">
        <v>366</v>
      </c>
      <c r="X416" s="11">
        <v>-0.05</v>
      </c>
      <c r="Y416" s="9" t="str">
        <f>_xll.SNL.Clients.Office.Excel.Functions.SPG(V416, "SP_COUNTRY_NAME")</f>
        <v>USA</v>
      </c>
      <c r="AD416" s="9" t="str">
        <f>_xll.SNL.Clients.Office.Excel.Functions.SPG(AA416, "SP_COUNTRY_NAME")</f>
        <v>#INVALID COMPANY ID</v>
      </c>
      <c r="AI416" s="9" t="str">
        <f>_xll.SNL.Clients.Office.Excel.Functions.SPG(AF416, "SP_COUNTRY_NAME")</f>
        <v>#INVALID COMPANY ID</v>
      </c>
      <c r="AN416" s="9" t="str">
        <f>_xll.SNL.Clients.Office.Excel.Functions.SPG(AK416, "SP_COUNTRY_NAME")</f>
        <v>#INVALID COMPANY ID</v>
      </c>
      <c r="AS416" s="9" t="str">
        <f>_xll.SNL.Clients.Office.Excel.Functions.SPG(AP416, "SP_COUNTRY_NAME")</f>
        <v>#INVALID COMPANY ID</v>
      </c>
      <c r="AX416" s="9" t="str">
        <f>_xll.SNL.Clients.Office.Excel.Functions.SPG(AU416, "SP_COUNTRY_NAME")</f>
        <v>#INVALID COMPANY ID</v>
      </c>
      <c r="BC416" s="9" t="str">
        <f>_xll.SNL.Clients.Office.Excel.Functions.SPG(AZ416, "SP_COUNTRY_NAME")</f>
        <v>#INVALID COMPANY ID</v>
      </c>
      <c r="BD416" t="s">
        <v>566</v>
      </c>
      <c r="BE416">
        <v>5842545</v>
      </c>
      <c r="BF416" t="s">
        <v>346</v>
      </c>
      <c r="BG416" s="11">
        <v>0</v>
      </c>
      <c r="BH416" s="9" t="str">
        <f>_xll.SNL.Clients.Office.Excel.Functions.SPG(BE416, "SP_COUNTRY_NAME")</f>
        <v>USA</v>
      </c>
      <c r="BM416" s="9" t="str">
        <f>_xll.SNL.Clients.Office.Excel.Functions.SPG(BJ416, "SP_COUNTRY_NAME")</f>
        <v>#INVALID COMPANY ID</v>
      </c>
      <c r="BR416" s="9" t="str">
        <f>_xll.SNL.Clients.Office.Excel.Functions.SPG(BO416, "SP_COUNTRY_NAME")</f>
        <v>#INVALID COMPANY ID</v>
      </c>
      <c r="BS416" t="s">
        <v>1061</v>
      </c>
      <c r="BT416">
        <v>4422379</v>
      </c>
      <c r="BU416" t="s">
        <v>346</v>
      </c>
      <c r="BV416" s="11">
        <v>0</v>
      </c>
      <c r="BW416" s="9" t="str">
        <f>_xll.SNL.Clients.Office.Excel.Functions.SPG(BT416, "SP_COUNTRY_NAME")</f>
        <v>Germany</v>
      </c>
      <c r="BX416" t="s">
        <v>937</v>
      </c>
      <c r="BY416">
        <v>4041896</v>
      </c>
      <c r="BZ416" t="s">
        <v>366</v>
      </c>
      <c r="CA416" s="11">
        <v>-0.05</v>
      </c>
      <c r="CB416" s="9" t="str">
        <f>_xll.SNL.Clients.Office.Excel.Functions.SPG(BY416, "SP_COUNTRY_NAME")</f>
        <v>USA</v>
      </c>
      <c r="CC416" t="s">
        <v>823</v>
      </c>
      <c r="CD416">
        <v>4212913</v>
      </c>
      <c r="CE416" t="s">
        <v>346</v>
      </c>
      <c r="CF416" s="11">
        <v>0</v>
      </c>
      <c r="CG416" s="9" t="str">
        <f>_xll.SNL.Clients.Office.Excel.Functions.SPG(CD416, "SP_COUNTRY_NAME")</f>
        <v>Taiwan</v>
      </c>
      <c r="CL416" s="9" t="str">
        <f>_xll.SNL.Clients.Office.Excel.Functions.SPG(CI416, "SP_COUNTRY_NAME")</f>
        <v>#INVALID COMPANY ID</v>
      </c>
      <c r="CM416" t="s">
        <v>1384</v>
      </c>
      <c r="CN416">
        <v>28669074</v>
      </c>
      <c r="CO416" t="s">
        <v>346</v>
      </c>
      <c r="CP416" s="11">
        <v>0</v>
      </c>
      <c r="CQ416" s="9" t="str">
        <f>_xll.SNL.Clients.Office.Excel.Functions.SPG(CN416, "SP_COUNTRY_NAME")</f>
        <v>USA</v>
      </c>
      <c r="CV416" s="9" t="str">
        <f>_xll.SNL.Clients.Office.Excel.Functions.SPG(CS416, "SP_COUNTRY_NAME")</f>
        <v>#INVALID COMPANY ID</v>
      </c>
      <c r="DA416" s="9" t="str">
        <f>_xll.SNL.Clients.Office.Excel.Functions.SPG(CX416, "SP_COUNTRY_NAME")</f>
        <v>#INVALID COMPANY ID</v>
      </c>
      <c r="DB416" t="s">
        <v>566</v>
      </c>
      <c r="DC416">
        <v>5842545</v>
      </c>
      <c r="DD416" t="s">
        <v>346</v>
      </c>
      <c r="DE416" s="11">
        <v>0</v>
      </c>
      <c r="DF416" s="9" t="str">
        <f>_xll.SNL.Clients.Office.Excel.Functions.SPG(DC416, "SP_COUNTRY_NAME")</f>
        <v>USA</v>
      </c>
      <c r="DK416" s="9" t="str">
        <f>_xll.SNL.Clients.Office.Excel.Functions.SPG(DH416, "SP_COUNTRY_NAME")</f>
        <v>#INVALID COMPANY ID</v>
      </c>
      <c r="DL416" t="s">
        <v>566</v>
      </c>
      <c r="DM416">
        <v>5842545</v>
      </c>
      <c r="DN416" t="s">
        <v>346</v>
      </c>
      <c r="DO416" s="11">
        <v>0</v>
      </c>
      <c r="DP416" s="9" t="str">
        <f>_xll.SNL.Clients.Office.Excel.Functions.SPG(DM416, "SP_COUNTRY_NAME")</f>
        <v>USA</v>
      </c>
      <c r="DU416" s="9" t="str">
        <f>_xll.SNL.Clients.Office.Excel.Functions.SPG(DR416, "SP_COUNTRY_NAME")</f>
        <v>#INVALID COMPANY ID</v>
      </c>
      <c r="DZ416" s="9" t="str">
        <f>_xll.SNL.Clients.Office.Excel.Functions.SPG(DW416, "SP_COUNTRY_NAME")</f>
        <v>#INVALID COMPANY ID</v>
      </c>
      <c r="EA416" t="s">
        <v>823</v>
      </c>
      <c r="EB416">
        <v>4212913</v>
      </c>
      <c r="EC416" t="s">
        <v>346</v>
      </c>
      <c r="ED416" s="11">
        <v>0</v>
      </c>
      <c r="EE416" s="9" t="str">
        <f>_xll.SNL.Clients.Office.Excel.Functions.SPG(EB416, "SP_COUNTRY_NAME")</f>
        <v>Taiwan</v>
      </c>
      <c r="EF416" t="s">
        <v>566</v>
      </c>
      <c r="EG416">
        <v>5842545</v>
      </c>
      <c r="EH416" t="s">
        <v>346</v>
      </c>
      <c r="EI416" s="11">
        <v>0</v>
      </c>
      <c r="EJ416" s="9" t="str">
        <f>_xll.SNL.Clients.Office.Excel.Functions.SPG(EG416, "SP_COUNTRY_NAME")</f>
        <v>USA</v>
      </c>
      <c r="EO416" s="9" t="str">
        <f>_xll.SNL.Clients.Office.Excel.Functions.SPG(EL416, "SP_COUNTRY_NAME")</f>
        <v>#INVALID COMPANY ID</v>
      </c>
      <c r="ET416" s="9" t="str">
        <f>_xll.SNL.Clients.Office.Excel.Functions.SPG(EQ416, "SP_COUNTRY_NAME")</f>
        <v>#INVALID COMPANY ID</v>
      </c>
      <c r="EY416" s="9" t="str">
        <f>_xll.SNL.Clients.Office.Excel.Functions.SPG(EV416, "SP_COUNTRY_NAME")</f>
        <v>#INVALID COMPANY ID</v>
      </c>
      <c r="FD416" s="9" t="str">
        <f>_xll.SNL.Clients.Office.Excel.Functions.SPG(FA416, "SP_COUNTRY_NAME")</f>
        <v>#INVALID COMPANY ID</v>
      </c>
      <c r="FI416" s="9" t="str">
        <f>_xll.SNL.Clients.Office.Excel.Functions.SPG(FF416, "SP_COUNTRY_NAME")</f>
        <v>#INVALID COMPANY ID</v>
      </c>
      <c r="FN416" s="9" t="str">
        <f>_xll.SNL.Clients.Office.Excel.Functions.SPG(FK416, "SP_COUNTRY_NAME")</f>
        <v>#INVALID COMPANY ID</v>
      </c>
      <c r="FS416" s="9" t="str">
        <f>_xll.SNL.Clients.Office.Excel.Functions.SPG(FP416, "SP_COUNTRY_NAME")</f>
        <v>#INVALID COMPANY ID</v>
      </c>
      <c r="FX416" s="9" t="str">
        <f>_xll.SNL.Clients.Office.Excel.Functions.SPG(FU416, "SP_COUNTRY_NAME")</f>
        <v>#INVALID COMPANY ID</v>
      </c>
      <c r="FY416" t="s">
        <v>566</v>
      </c>
      <c r="FZ416">
        <v>5842545</v>
      </c>
      <c r="GA416" t="s">
        <v>346</v>
      </c>
      <c r="GB416" s="11">
        <v>0</v>
      </c>
      <c r="GC416" s="9" t="str">
        <f>_xll.SNL.Clients.Office.Excel.Functions.SPG(FZ416, "SP_COUNTRY_NAME")</f>
        <v>USA</v>
      </c>
      <c r="GH416" s="9" t="str">
        <f>_xll.SNL.Clients.Office.Excel.Functions.SPG(GE416, "SP_COUNTRY_NAME")</f>
        <v>#INVALID COMPANY ID</v>
      </c>
      <c r="GM416" s="9" t="str">
        <f>_xll.SNL.Clients.Office.Excel.Functions.SPG(GJ416, "SP_COUNTRY_NAME")</f>
        <v>#INVALID COMPANY ID</v>
      </c>
      <c r="GR416" s="9" t="str">
        <f>_xll.SNL.Clients.Office.Excel.Functions.SPG(GO416, "SP_COUNTRY_NAME")</f>
        <v>#INVALID COMPANY ID</v>
      </c>
      <c r="GW416" s="9" t="str">
        <f>_xll.SNL.Clients.Office.Excel.Functions.SPG(GT416, "SP_COUNTRY_NAME")</f>
        <v>#INVALID COMPANY ID</v>
      </c>
      <c r="GX416" t="s">
        <v>823</v>
      </c>
      <c r="GY416">
        <v>4212913</v>
      </c>
      <c r="GZ416" t="s">
        <v>346</v>
      </c>
      <c r="HA416" s="11">
        <v>0</v>
      </c>
      <c r="HB416" s="9" t="str">
        <f>_xll.SNL.Clients.Office.Excel.Functions.SPG(GY416, "SP_COUNTRY_NAME")</f>
        <v>Taiwan</v>
      </c>
      <c r="HG416" s="9" t="str">
        <f>_xll.SNL.Clients.Office.Excel.Functions.SPG(HD416, "SP_COUNTRY_NAME")</f>
        <v>#INVALID COMPANY ID</v>
      </c>
    </row>
    <row r="417" spans="5:215" x14ac:dyDescent="0.35">
      <c r="E417" s="9" t="str">
        <f>_xll.SNL.Clients.Office.Excel.Functions.SPG(B417, "SP_COUNTRY_NAME")</f>
        <v>#INVALID COMPANY ID</v>
      </c>
      <c r="J417" s="9" t="str">
        <f>_xll.SNL.Clients.Office.Excel.Functions.SPG(G417, "SP_COUNTRY_NAME")</f>
        <v>#INVALID COMPANY ID</v>
      </c>
      <c r="O417" s="9" t="str">
        <f>_xll.SNL.Clients.Office.Excel.Functions.SPG(L417, "SP_COUNTRY_NAME")</f>
        <v>#INVALID COMPANY ID</v>
      </c>
      <c r="T417" s="9" t="str">
        <f>_xll.SNL.Clients.Office.Excel.Functions.SPG(Q417, "SP_COUNTRY_NAME")</f>
        <v>#INVALID COMPANY ID</v>
      </c>
      <c r="Y417" s="9" t="str">
        <f>_xll.SNL.Clients.Office.Excel.Functions.SPG(V417, "SP_COUNTRY_NAME")</f>
        <v>#INVALID COMPANY ID</v>
      </c>
      <c r="AD417" s="9" t="str">
        <f>_xll.SNL.Clients.Office.Excel.Functions.SPG(AA417, "SP_COUNTRY_NAME")</f>
        <v>#INVALID COMPANY ID</v>
      </c>
      <c r="AI417" s="9" t="str">
        <f>_xll.SNL.Clients.Office.Excel.Functions.SPG(AF417, "SP_COUNTRY_NAME")</f>
        <v>#INVALID COMPANY ID</v>
      </c>
      <c r="AN417" s="9" t="str">
        <f>_xll.SNL.Clients.Office.Excel.Functions.SPG(AK417, "SP_COUNTRY_NAME")</f>
        <v>#INVALID COMPANY ID</v>
      </c>
      <c r="AS417" s="9" t="str">
        <f>_xll.SNL.Clients.Office.Excel.Functions.SPG(AP417, "SP_COUNTRY_NAME")</f>
        <v>#INVALID COMPANY ID</v>
      </c>
      <c r="AX417" s="9" t="str">
        <f>_xll.SNL.Clients.Office.Excel.Functions.SPG(AU417, "SP_COUNTRY_NAME")</f>
        <v>#INVALID COMPANY ID</v>
      </c>
      <c r="BC417" s="9" t="str">
        <f>_xll.SNL.Clients.Office.Excel.Functions.SPG(AZ417, "SP_COUNTRY_NAME")</f>
        <v>#INVALID COMPANY ID</v>
      </c>
      <c r="BD417" t="s">
        <v>1523</v>
      </c>
      <c r="BE417">
        <v>5852466</v>
      </c>
      <c r="BF417" t="s">
        <v>346</v>
      </c>
      <c r="BG417" s="11">
        <v>0</v>
      </c>
      <c r="BH417" s="9" t="str">
        <f>_xll.SNL.Clients.Office.Excel.Functions.SPG(BE417, "SP_COUNTRY_NAME")</f>
        <v>South Africa</v>
      </c>
      <c r="BM417" s="9" t="str">
        <f>_xll.SNL.Clients.Office.Excel.Functions.SPG(BJ417, "SP_COUNTRY_NAME")</f>
        <v>#INVALID COMPANY ID</v>
      </c>
      <c r="BR417" s="9" t="str">
        <f>_xll.SNL.Clients.Office.Excel.Functions.SPG(BO417, "SP_COUNTRY_NAME")</f>
        <v>#INVALID COMPANY ID</v>
      </c>
      <c r="BS417" t="s">
        <v>1062</v>
      </c>
      <c r="BT417">
        <v>6727278</v>
      </c>
      <c r="BU417" t="s">
        <v>346</v>
      </c>
      <c r="BV417" s="11">
        <v>0</v>
      </c>
      <c r="BW417" s="9" t="str">
        <f>_xll.SNL.Clients.Office.Excel.Functions.SPG(BT417, "SP_COUNTRY_NAME")</f>
        <v>Luxembourg</v>
      </c>
      <c r="CB417" s="9" t="str">
        <f>_xll.SNL.Clients.Office.Excel.Functions.SPG(BY417, "SP_COUNTRY_NAME")</f>
        <v>#INVALID COMPANY ID</v>
      </c>
      <c r="CC417" t="s">
        <v>1840</v>
      </c>
      <c r="CD417">
        <v>4115974</v>
      </c>
      <c r="CE417" t="s">
        <v>346</v>
      </c>
      <c r="CF417" s="11">
        <v>0</v>
      </c>
      <c r="CG417" s="9" t="str">
        <f>_xll.SNL.Clients.Office.Excel.Functions.SPG(CD417, "SP_COUNTRY_NAME")</f>
        <v>USA</v>
      </c>
      <c r="CL417" s="9" t="str">
        <f>_xll.SNL.Clients.Office.Excel.Functions.SPG(CI417, "SP_COUNTRY_NAME")</f>
        <v>#INVALID COMPANY ID</v>
      </c>
      <c r="CM417" t="s">
        <v>1329</v>
      </c>
      <c r="CN417">
        <v>5804886</v>
      </c>
      <c r="CO417" t="s">
        <v>346</v>
      </c>
      <c r="CP417" s="11">
        <v>0</v>
      </c>
      <c r="CQ417" s="9" t="str">
        <f>_xll.SNL.Clients.Office.Excel.Functions.SPG(CN417, "SP_COUNTRY_NAME")</f>
        <v>South Africa</v>
      </c>
      <c r="CV417" s="9" t="str">
        <f>_xll.SNL.Clients.Office.Excel.Functions.SPG(CS417, "SP_COUNTRY_NAME")</f>
        <v>#INVALID COMPANY ID</v>
      </c>
      <c r="DA417" s="9" t="str">
        <f>_xll.SNL.Clients.Office.Excel.Functions.SPG(CX417, "SP_COUNTRY_NAME")</f>
        <v>#INVALID COMPANY ID</v>
      </c>
      <c r="DB417" t="s">
        <v>1523</v>
      </c>
      <c r="DC417">
        <v>5852466</v>
      </c>
      <c r="DD417" t="s">
        <v>346</v>
      </c>
      <c r="DE417" s="11">
        <v>0</v>
      </c>
      <c r="DF417" s="9" t="str">
        <f>_xll.SNL.Clients.Office.Excel.Functions.SPG(DC417, "SP_COUNTRY_NAME")</f>
        <v>South Africa</v>
      </c>
      <c r="DK417" s="9" t="str">
        <f>_xll.SNL.Clients.Office.Excel.Functions.SPG(DH417, "SP_COUNTRY_NAME")</f>
        <v>#INVALID COMPANY ID</v>
      </c>
      <c r="DL417" t="s">
        <v>1523</v>
      </c>
      <c r="DM417">
        <v>5852466</v>
      </c>
      <c r="DN417" t="s">
        <v>346</v>
      </c>
      <c r="DO417" s="11">
        <v>0</v>
      </c>
      <c r="DP417" s="9" t="str">
        <f>_xll.SNL.Clients.Office.Excel.Functions.SPG(DM417, "SP_COUNTRY_NAME")</f>
        <v>South Africa</v>
      </c>
      <c r="DU417" s="9" t="str">
        <f>_xll.SNL.Clients.Office.Excel.Functions.SPG(DR417, "SP_COUNTRY_NAME")</f>
        <v>#INVALID COMPANY ID</v>
      </c>
      <c r="DZ417" s="9" t="str">
        <f>_xll.SNL.Clients.Office.Excel.Functions.SPG(DW417, "SP_COUNTRY_NAME")</f>
        <v>#INVALID COMPANY ID</v>
      </c>
      <c r="EA417" t="s">
        <v>1840</v>
      </c>
      <c r="EB417">
        <v>4115974</v>
      </c>
      <c r="EC417" t="s">
        <v>346</v>
      </c>
      <c r="ED417" s="11">
        <v>0</v>
      </c>
      <c r="EE417" s="9" t="str">
        <f>_xll.SNL.Clients.Office.Excel.Functions.SPG(EB417, "SP_COUNTRY_NAME")</f>
        <v>USA</v>
      </c>
      <c r="EF417" t="s">
        <v>1523</v>
      </c>
      <c r="EG417">
        <v>5852466</v>
      </c>
      <c r="EH417" t="s">
        <v>346</v>
      </c>
      <c r="EI417" s="11">
        <v>0</v>
      </c>
      <c r="EJ417" s="9" t="str">
        <f>_xll.SNL.Clients.Office.Excel.Functions.SPG(EG417, "SP_COUNTRY_NAME")</f>
        <v>South Africa</v>
      </c>
      <c r="EO417" s="9" t="str">
        <f>_xll.SNL.Clients.Office.Excel.Functions.SPG(EL417, "SP_COUNTRY_NAME")</f>
        <v>#INVALID COMPANY ID</v>
      </c>
      <c r="ET417" s="9" t="str">
        <f>_xll.SNL.Clients.Office.Excel.Functions.SPG(EQ417, "SP_COUNTRY_NAME")</f>
        <v>#INVALID COMPANY ID</v>
      </c>
      <c r="EY417" s="9" t="str">
        <f>_xll.SNL.Clients.Office.Excel.Functions.SPG(EV417, "SP_COUNTRY_NAME")</f>
        <v>#INVALID COMPANY ID</v>
      </c>
      <c r="FD417" s="9" t="str">
        <f>_xll.SNL.Clients.Office.Excel.Functions.SPG(FA417, "SP_COUNTRY_NAME")</f>
        <v>#INVALID COMPANY ID</v>
      </c>
      <c r="FI417" s="9" t="str">
        <f>_xll.SNL.Clients.Office.Excel.Functions.SPG(FF417, "SP_COUNTRY_NAME")</f>
        <v>#INVALID COMPANY ID</v>
      </c>
      <c r="FN417" s="9" t="str">
        <f>_xll.SNL.Clients.Office.Excel.Functions.SPG(FK417, "SP_COUNTRY_NAME")</f>
        <v>#INVALID COMPANY ID</v>
      </c>
      <c r="FS417" s="9" t="str">
        <f>_xll.SNL.Clients.Office.Excel.Functions.SPG(FP417, "SP_COUNTRY_NAME")</f>
        <v>#INVALID COMPANY ID</v>
      </c>
      <c r="FX417" s="9" t="str">
        <f>_xll.SNL.Clients.Office.Excel.Functions.SPG(FU417, "SP_COUNTRY_NAME")</f>
        <v>#INVALID COMPANY ID</v>
      </c>
      <c r="FY417" t="s">
        <v>1523</v>
      </c>
      <c r="FZ417">
        <v>5852466</v>
      </c>
      <c r="GA417" t="s">
        <v>346</v>
      </c>
      <c r="GB417" s="11">
        <v>0</v>
      </c>
      <c r="GC417" s="9" t="str">
        <f>_xll.SNL.Clients.Office.Excel.Functions.SPG(FZ417, "SP_COUNTRY_NAME")</f>
        <v>South Africa</v>
      </c>
      <c r="GH417" s="9" t="str">
        <f>_xll.SNL.Clients.Office.Excel.Functions.SPG(GE417, "SP_COUNTRY_NAME")</f>
        <v>#INVALID COMPANY ID</v>
      </c>
      <c r="GM417" s="9" t="str">
        <f>_xll.SNL.Clients.Office.Excel.Functions.SPG(GJ417, "SP_COUNTRY_NAME")</f>
        <v>#INVALID COMPANY ID</v>
      </c>
      <c r="GR417" s="9" t="str">
        <f>_xll.SNL.Clients.Office.Excel.Functions.SPG(GO417, "SP_COUNTRY_NAME")</f>
        <v>#INVALID COMPANY ID</v>
      </c>
      <c r="GW417" s="9" t="str">
        <f>_xll.SNL.Clients.Office.Excel.Functions.SPG(GT417, "SP_COUNTRY_NAME")</f>
        <v>#INVALID COMPANY ID</v>
      </c>
      <c r="GX417" t="s">
        <v>1840</v>
      </c>
      <c r="GY417">
        <v>4115974</v>
      </c>
      <c r="GZ417" t="s">
        <v>346</v>
      </c>
      <c r="HA417" s="11">
        <v>0</v>
      </c>
      <c r="HB417" s="9" t="str">
        <f>_xll.SNL.Clients.Office.Excel.Functions.SPG(GY417, "SP_COUNTRY_NAME")</f>
        <v>USA</v>
      </c>
      <c r="HG417" s="9" t="str">
        <f>_xll.SNL.Clients.Office.Excel.Functions.SPG(HD417, "SP_COUNTRY_NAME")</f>
        <v>#INVALID COMPANY ID</v>
      </c>
    </row>
    <row r="418" spans="5:215" x14ac:dyDescent="0.35">
      <c r="E418" s="9" t="str">
        <f>_xll.SNL.Clients.Office.Excel.Functions.SPG(B418, "SP_COUNTRY_NAME")</f>
        <v>#INVALID COMPANY ID</v>
      </c>
      <c r="J418" s="9" t="str">
        <f>_xll.SNL.Clients.Office.Excel.Functions.SPG(G418, "SP_COUNTRY_NAME")</f>
        <v>#INVALID COMPANY ID</v>
      </c>
      <c r="O418" s="9" t="str">
        <f>_xll.SNL.Clients.Office.Excel.Functions.SPG(L418, "SP_COUNTRY_NAME")</f>
        <v>#INVALID COMPANY ID</v>
      </c>
      <c r="T418" s="9" t="str">
        <f>_xll.SNL.Clients.Office.Excel.Functions.SPG(Q418, "SP_COUNTRY_NAME")</f>
        <v>#INVALID COMPANY ID</v>
      </c>
      <c r="Y418" s="9" t="str">
        <f>_xll.SNL.Clients.Office.Excel.Functions.SPG(V418, "SP_COUNTRY_NAME")</f>
        <v>#INVALID COMPANY ID</v>
      </c>
      <c r="AD418" s="9" t="str">
        <f>_xll.SNL.Clients.Office.Excel.Functions.SPG(AA418, "SP_COUNTRY_NAME")</f>
        <v>#INVALID COMPANY ID</v>
      </c>
      <c r="AI418" s="9" t="str">
        <f>_xll.SNL.Clients.Office.Excel.Functions.SPG(AF418, "SP_COUNTRY_NAME")</f>
        <v>#INVALID COMPANY ID</v>
      </c>
      <c r="AN418" s="9" t="str">
        <f>_xll.SNL.Clients.Office.Excel.Functions.SPG(AK418, "SP_COUNTRY_NAME")</f>
        <v>#INVALID COMPANY ID</v>
      </c>
      <c r="AS418" s="9" t="str">
        <f>_xll.SNL.Clients.Office.Excel.Functions.SPG(AP418, "SP_COUNTRY_NAME")</f>
        <v>#INVALID COMPANY ID</v>
      </c>
      <c r="AX418" s="9" t="str">
        <f>_xll.SNL.Clients.Office.Excel.Functions.SPG(AU418, "SP_COUNTRY_NAME")</f>
        <v>#INVALID COMPANY ID</v>
      </c>
      <c r="BC418" s="9" t="str">
        <f>_xll.SNL.Clients.Office.Excel.Functions.SPG(AZ418, "SP_COUNTRY_NAME")</f>
        <v>#INVALID COMPANY ID</v>
      </c>
      <c r="BD418" t="s">
        <v>872</v>
      </c>
      <c r="BE418">
        <v>4025426</v>
      </c>
      <c r="BF418" t="s">
        <v>300</v>
      </c>
      <c r="BG418" s="11">
        <v>0</v>
      </c>
      <c r="BH418" s="9" t="str">
        <f>_xll.SNL.Clients.Office.Excel.Functions.SPG(BE418, "SP_COUNTRY_NAME")</f>
        <v>USA</v>
      </c>
      <c r="BM418" s="9" t="str">
        <f>_xll.SNL.Clients.Office.Excel.Functions.SPG(BJ418, "SP_COUNTRY_NAME")</f>
        <v>#INVALID COMPANY ID</v>
      </c>
      <c r="BR418" s="9" t="str">
        <f>_xll.SNL.Clients.Office.Excel.Functions.SPG(BO418, "SP_COUNTRY_NAME")</f>
        <v>#INVALID COMPANY ID</v>
      </c>
      <c r="BS418" t="s">
        <v>1063</v>
      </c>
      <c r="BT418">
        <v>6249990</v>
      </c>
      <c r="BU418" t="s">
        <v>346</v>
      </c>
      <c r="BV418" s="11">
        <v>0</v>
      </c>
      <c r="BW418" s="9" t="str">
        <f>_xll.SNL.Clients.Office.Excel.Functions.SPG(BT418, "SP_COUNTRY_NAME")</f>
        <v>Switzerland</v>
      </c>
      <c r="CB418" s="9" t="str">
        <f>_xll.SNL.Clients.Office.Excel.Functions.SPG(BY418, "SP_COUNTRY_NAME")</f>
        <v>#INVALID COMPANY ID</v>
      </c>
      <c r="CC418" t="s">
        <v>422</v>
      </c>
      <c r="CD418">
        <v>4048507</v>
      </c>
      <c r="CE418" t="s">
        <v>346</v>
      </c>
      <c r="CF418" s="11">
        <v>0</v>
      </c>
      <c r="CG418" s="9" t="str">
        <f>_xll.SNL.Clients.Office.Excel.Functions.SPG(CD418, "SP_COUNTRY_NAME")</f>
        <v>Japan</v>
      </c>
      <c r="CL418" s="9" t="str">
        <f>_xll.SNL.Clients.Office.Excel.Functions.SPG(CI418, "SP_COUNTRY_NAME")</f>
        <v>#INVALID COMPANY ID</v>
      </c>
      <c r="CM418" t="s">
        <v>1550</v>
      </c>
      <c r="CN418">
        <v>6442762</v>
      </c>
      <c r="CO418" t="s">
        <v>346</v>
      </c>
      <c r="CP418" s="11">
        <v>0</v>
      </c>
      <c r="CQ418" s="9" t="str">
        <f>_xll.SNL.Clients.Office.Excel.Functions.SPG(CN418, "SP_COUNTRY_NAME")</f>
        <v>South Africa</v>
      </c>
      <c r="CV418" s="9" t="str">
        <f>_xll.SNL.Clients.Office.Excel.Functions.SPG(CS418, "SP_COUNTRY_NAME")</f>
        <v>#INVALID COMPANY ID</v>
      </c>
      <c r="DA418" s="9" t="str">
        <f>_xll.SNL.Clients.Office.Excel.Functions.SPG(CX418, "SP_COUNTRY_NAME")</f>
        <v>#INVALID COMPANY ID</v>
      </c>
      <c r="DB418" t="s">
        <v>872</v>
      </c>
      <c r="DC418">
        <v>4025426</v>
      </c>
      <c r="DD418" t="s">
        <v>300</v>
      </c>
      <c r="DE418" s="11">
        <v>0</v>
      </c>
      <c r="DF418" s="9" t="str">
        <f>_xll.SNL.Clients.Office.Excel.Functions.SPG(DC418, "SP_COUNTRY_NAME")</f>
        <v>USA</v>
      </c>
      <c r="DK418" s="9" t="str">
        <f>_xll.SNL.Clients.Office.Excel.Functions.SPG(DH418, "SP_COUNTRY_NAME")</f>
        <v>#INVALID COMPANY ID</v>
      </c>
      <c r="DL418" t="s">
        <v>872</v>
      </c>
      <c r="DM418">
        <v>4025426</v>
      </c>
      <c r="DN418" t="s">
        <v>300</v>
      </c>
      <c r="DO418" s="11">
        <v>0</v>
      </c>
      <c r="DP418" s="9" t="str">
        <f>_xll.SNL.Clients.Office.Excel.Functions.SPG(DM418, "SP_COUNTRY_NAME")</f>
        <v>USA</v>
      </c>
      <c r="DU418" s="9" t="str">
        <f>_xll.SNL.Clients.Office.Excel.Functions.SPG(DR418, "SP_COUNTRY_NAME")</f>
        <v>#INVALID COMPANY ID</v>
      </c>
      <c r="DZ418" s="9" t="str">
        <f>_xll.SNL.Clients.Office.Excel.Functions.SPG(DW418, "SP_COUNTRY_NAME")</f>
        <v>#INVALID COMPANY ID</v>
      </c>
      <c r="EA418" t="s">
        <v>422</v>
      </c>
      <c r="EB418">
        <v>4048507</v>
      </c>
      <c r="EC418" t="s">
        <v>346</v>
      </c>
      <c r="ED418" s="11">
        <v>0</v>
      </c>
      <c r="EE418" s="9" t="str">
        <f>_xll.SNL.Clients.Office.Excel.Functions.SPG(EB418, "SP_COUNTRY_NAME")</f>
        <v>Japan</v>
      </c>
      <c r="EF418" t="s">
        <v>872</v>
      </c>
      <c r="EG418">
        <v>4025426</v>
      </c>
      <c r="EH418" t="s">
        <v>300</v>
      </c>
      <c r="EI418" s="11">
        <v>0</v>
      </c>
      <c r="EJ418" s="9" t="str">
        <f>_xll.SNL.Clients.Office.Excel.Functions.SPG(EG418, "SP_COUNTRY_NAME")</f>
        <v>USA</v>
      </c>
      <c r="EO418" s="9" t="str">
        <f>_xll.SNL.Clients.Office.Excel.Functions.SPG(EL418, "SP_COUNTRY_NAME")</f>
        <v>#INVALID COMPANY ID</v>
      </c>
      <c r="ET418" s="9" t="str">
        <f>_xll.SNL.Clients.Office.Excel.Functions.SPG(EQ418, "SP_COUNTRY_NAME")</f>
        <v>#INVALID COMPANY ID</v>
      </c>
      <c r="EY418" s="9" t="str">
        <f>_xll.SNL.Clients.Office.Excel.Functions.SPG(EV418, "SP_COUNTRY_NAME")</f>
        <v>#INVALID COMPANY ID</v>
      </c>
      <c r="FD418" s="9" t="str">
        <f>_xll.SNL.Clients.Office.Excel.Functions.SPG(FA418, "SP_COUNTRY_NAME")</f>
        <v>#INVALID COMPANY ID</v>
      </c>
      <c r="FI418" s="9" t="str">
        <f>_xll.SNL.Clients.Office.Excel.Functions.SPG(FF418, "SP_COUNTRY_NAME")</f>
        <v>#INVALID COMPANY ID</v>
      </c>
      <c r="FN418" s="9" t="str">
        <f>_xll.SNL.Clients.Office.Excel.Functions.SPG(FK418, "SP_COUNTRY_NAME")</f>
        <v>#INVALID COMPANY ID</v>
      </c>
      <c r="FS418" s="9" t="str">
        <f>_xll.SNL.Clients.Office.Excel.Functions.SPG(FP418, "SP_COUNTRY_NAME")</f>
        <v>#INVALID COMPANY ID</v>
      </c>
      <c r="FX418" s="9" t="str">
        <f>_xll.SNL.Clients.Office.Excel.Functions.SPG(FU418, "SP_COUNTRY_NAME")</f>
        <v>#INVALID COMPANY ID</v>
      </c>
      <c r="FY418" t="s">
        <v>872</v>
      </c>
      <c r="FZ418">
        <v>4025426</v>
      </c>
      <c r="GA418" t="s">
        <v>300</v>
      </c>
      <c r="GB418" s="11">
        <v>0</v>
      </c>
      <c r="GC418" s="9" t="str">
        <f>_xll.SNL.Clients.Office.Excel.Functions.SPG(FZ418, "SP_COUNTRY_NAME")</f>
        <v>USA</v>
      </c>
      <c r="GH418" s="9" t="str">
        <f>_xll.SNL.Clients.Office.Excel.Functions.SPG(GE418, "SP_COUNTRY_NAME")</f>
        <v>#INVALID COMPANY ID</v>
      </c>
      <c r="GM418" s="9" t="str">
        <f>_xll.SNL.Clients.Office.Excel.Functions.SPG(GJ418, "SP_COUNTRY_NAME")</f>
        <v>#INVALID COMPANY ID</v>
      </c>
      <c r="GR418" s="9" t="str">
        <f>_xll.SNL.Clients.Office.Excel.Functions.SPG(GO418, "SP_COUNTRY_NAME")</f>
        <v>#INVALID COMPANY ID</v>
      </c>
      <c r="GW418" s="9" t="str">
        <f>_xll.SNL.Clients.Office.Excel.Functions.SPG(GT418, "SP_COUNTRY_NAME")</f>
        <v>#INVALID COMPANY ID</v>
      </c>
      <c r="GX418" t="s">
        <v>422</v>
      </c>
      <c r="GY418">
        <v>4048507</v>
      </c>
      <c r="GZ418" t="s">
        <v>346</v>
      </c>
      <c r="HA418" s="11">
        <v>0</v>
      </c>
      <c r="HB418" s="9" t="str">
        <f>_xll.SNL.Clients.Office.Excel.Functions.SPG(GY418, "SP_COUNTRY_NAME")</f>
        <v>Japan</v>
      </c>
      <c r="HG418" s="9" t="str">
        <f>_xll.SNL.Clients.Office.Excel.Functions.SPG(HD418, "SP_COUNTRY_NAME")</f>
        <v>#INVALID COMPANY ID</v>
      </c>
    </row>
    <row r="419" spans="5:215" x14ac:dyDescent="0.35">
      <c r="E419" s="9" t="str">
        <f>_xll.SNL.Clients.Office.Excel.Functions.SPG(B419, "SP_COUNTRY_NAME")</f>
        <v>#INVALID COMPANY ID</v>
      </c>
      <c r="J419" s="9" t="str">
        <f>_xll.SNL.Clients.Office.Excel.Functions.SPG(G419, "SP_COUNTRY_NAME")</f>
        <v>#INVALID COMPANY ID</v>
      </c>
      <c r="O419" s="9" t="str">
        <f>_xll.SNL.Clients.Office.Excel.Functions.SPG(L419, "SP_COUNTRY_NAME")</f>
        <v>#INVALID COMPANY ID</v>
      </c>
      <c r="T419" s="9" t="str">
        <f>_xll.SNL.Clients.Office.Excel.Functions.SPG(Q419, "SP_COUNTRY_NAME")</f>
        <v>#INVALID COMPANY ID</v>
      </c>
      <c r="Y419" s="9" t="str">
        <f>_xll.SNL.Clients.Office.Excel.Functions.SPG(V419, "SP_COUNTRY_NAME")</f>
        <v>#INVALID COMPANY ID</v>
      </c>
      <c r="AD419" s="9" t="str">
        <f>_xll.SNL.Clients.Office.Excel.Functions.SPG(AA419, "SP_COUNTRY_NAME")</f>
        <v>#INVALID COMPANY ID</v>
      </c>
      <c r="AI419" s="9" t="str">
        <f>_xll.SNL.Clients.Office.Excel.Functions.SPG(AF419, "SP_COUNTRY_NAME")</f>
        <v>#INVALID COMPANY ID</v>
      </c>
      <c r="AN419" s="9" t="str">
        <f>_xll.SNL.Clients.Office.Excel.Functions.SPG(AK419, "SP_COUNTRY_NAME")</f>
        <v>#INVALID COMPANY ID</v>
      </c>
      <c r="AS419" s="9" t="str">
        <f>_xll.SNL.Clients.Office.Excel.Functions.SPG(AP419, "SP_COUNTRY_NAME")</f>
        <v>#INVALID COMPANY ID</v>
      </c>
      <c r="AX419" s="9" t="str">
        <f>_xll.SNL.Clients.Office.Excel.Functions.SPG(AU419, "SP_COUNTRY_NAME")</f>
        <v>#INVALID COMPANY ID</v>
      </c>
      <c r="BC419" s="9" t="str">
        <f>_xll.SNL.Clients.Office.Excel.Functions.SPG(AZ419, "SP_COUNTRY_NAME")</f>
        <v>#INVALID COMPANY ID</v>
      </c>
      <c r="BD419" t="s">
        <v>530</v>
      </c>
      <c r="BE419">
        <v>102729</v>
      </c>
      <c r="BF419" t="s">
        <v>346</v>
      </c>
      <c r="BG419" s="11">
        <v>0</v>
      </c>
      <c r="BH419" s="9" t="str">
        <f>_xll.SNL.Clients.Office.Excel.Functions.SPG(BE419, "SP_COUNTRY_NAME")</f>
        <v>USA</v>
      </c>
      <c r="BM419" s="9" t="str">
        <f>_xll.SNL.Clients.Office.Excel.Functions.SPG(BJ419, "SP_COUNTRY_NAME")</f>
        <v>#INVALID COMPANY ID</v>
      </c>
      <c r="BR419" s="9" t="str">
        <f>_xll.SNL.Clients.Office.Excel.Functions.SPG(BO419, "SP_COUNTRY_NAME")</f>
        <v>#INVALID COMPANY ID</v>
      </c>
      <c r="BS419" t="s">
        <v>603</v>
      </c>
      <c r="BT419">
        <v>110641</v>
      </c>
      <c r="BU419" t="s">
        <v>346</v>
      </c>
      <c r="BV419" s="11">
        <v>0</v>
      </c>
      <c r="BW419" s="9" t="str">
        <f>_xll.SNL.Clients.Office.Excel.Functions.SPG(BT419, "SP_COUNTRY_NAME")</f>
        <v>USA</v>
      </c>
      <c r="CB419" s="9" t="str">
        <f>_xll.SNL.Clients.Office.Excel.Functions.SPG(BY419, "SP_COUNTRY_NAME")</f>
        <v>#INVALID COMPANY ID</v>
      </c>
      <c r="CC419" t="s">
        <v>1145</v>
      </c>
      <c r="CD419">
        <v>4663465</v>
      </c>
      <c r="CE419" t="s">
        <v>364</v>
      </c>
      <c r="CF419" s="11">
        <v>0</v>
      </c>
      <c r="CG419" s="9" t="str">
        <f>_xll.SNL.Clients.Office.Excel.Functions.SPG(CD419, "SP_COUNTRY_NAME")</f>
        <v>USA</v>
      </c>
      <c r="CL419" s="9" t="str">
        <f>_xll.SNL.Clients.Office.Excel.Functions.SPG(CI419, "SP_COUNTRY_NAME")</f>
        <v>#INVALID COMPANY ID</v>
      </c>
      <c r="CM419" t="s">
        <v>2073</v>
      </c>
      <c r="CN419" t="s">
        <v>300</v>
      </c>
      <c r="CO419" t="s">
        <v>361</v>
      </c>
      <c r="CP419" s="11">
        <v>0</v>
      </c>
      <c r="CQ419" s="9" t="str">
        <f>_xll.SNL.Clients.Office.Excel.Functions.SPG(CN419, "SP_COUNTRY_NAME")</f>
        <v>China</v>
      </c>
      <c r="CV419" s="9" t="str">
        <f>_xll.SNL.Clients.Office.Excel.Functions.SPG(CS419, "SP_COUNTRY_NAME")</f>
        <v>#INVALID COMPANY ID</v>
      </c>
      <c r="DA419" s="9" t="str">
        <f>_xll.SNL.Clients.Office.Excel.Functions.SPG(CX419, "SP_COUNTRY_NAME")</f>
        <v>#INVALID COMPANY ID</v>
      </c>
      <c r="DB419" t="s">
        <v>530</v>
      </c>
      <c r="DC419">
        <v>102729</v>
      </c>
      <c r="DD419" t="s">
        <v>346</v>
      </c>
      <c r="DE419" s="11">
        <v>0</v>
      </c>
      <c r="DF419" s="9" t="str">
        <f>_xll.SNL.Clients.Office.Excel.Functions.SPG(DC419, "SP_COUNTRY_NAME")</f>
        <v>USA</v>
      </c>
      <c r="DK419" s="9" t="str">
        <f>_xll.SNL.Clients.Office.Excel.Functions.SPG(DH419, "SP_COUNTRY_NAME")</f>
        <v>#INVALID COMPANY ID</v>
      </c>
      <c r="DL419" t="s">
        <v>530</v>
      </c>
      <c r="DM419">
        <v>102729</v>
      </c>
      <c r="DN419" t="s">
        <v>346</v>
      </c>
      <c r="DO419" s="11">
        <v>0</v>
      </c>
      <c r="DP419" s="9" t="str">
        <f>_xll.SNL.Clients.Office.Excel.Functions.SPG(DM419, "SP_COUNTRY_NAME")</f>
        <v>USA</v>
      </c>
      <c r="DU419" s="9" t="str">
        <f>_xll.SNL.Clients.Office.Excel.Functions.SPG(DR419, "SP_COUNTRY_NAME")</f>
        <v>#INVALID COMPANY ID</v>
      </c>
      <c r="DZ419" s="9" t="str">
        <f>_xll.SNL.Clients.Office.Excel.Functions.SPG(DW419, "SP_COUNTRY_NAME")</f>
        <v>#INVALID COMPANY ID</v>
      </c>
      <c r="EA419" t="s">
        <v>1145</v>
      </c>
      <c r="EB419">
        <v>4663465</v>
      </c>
      <c r="EC419" t="s">
        <v>364</v>
      </c>
      <c r="ED419" s="11">
        <v>0</v>
      </c>
      <c r="EE419" s="9" t="str">
        <f>_xll.SNL.Clients.Office.Excel.Functions.SPG(EB419, "SP_COUNTRY_NAME")</f>
        <v>USA</v>
      </c>
      <c r="EF419" t="s">
        <v>530</v>
      </c>
      <c r="EG419">
        <v>102729</v>
      </c>
      <c r="EH419" t="s">
        <v>346</v>
      </c>
      <c r="EI419" s="11">
        <v>0</v>
      </c>
      <c r="EJ419" s="9" t="str">
        <f>_xll.SNL.Clients.Office.Excel.Functions.SPG(EG419, "SP_COUNTRY_NAME")</f>
        <v>USA</v>
      </c>
      <c r="EO419" s="9" t="str">
        <f>_xll.SNL.Clients.Office.Excel.Functions.SPG(EL419, "SP_COUNTRY_NAME")</f>
        <v>#INVALID COMPANY ID</v>
      </c>
      <c r="ET419" s="9" t="str">
        <f>_xll.SNL.Clients.Office.Excel.Functions.SPG(EQ419, "SP_COUNTRY_NAME")</f>
        <v>#INVALID COMPANY ID</v>
      </c>
      <c r="EY419" s="9" t="str">
        <f>_xll.SNL.Clients.Office.Excel.Functions.SPG(EV419, "SP_COUNTRY_NAME")</f>
        <v>#INVALID COMPANY ID</v>
      </c>
      <c r="FD419" s="9" t="str">
        <f>_xll.SNL.Clients.Office.Excel.Functions.SPG(FA419, "SP_COUNTRY_NAME")</f>
        <v>#INVALID COMPANY ID</v>
      </c>
      <c r="FI419" s="9" t="str">
        <f>_xll.SNL.Clients.Office.Excel.Functions.SPG(FF419, "SP_COUNTRY_NAME")</f>
        <v>#INVALID COMPANY ID</v>
      </c>
      <c r="FN419" s="9" t="str">
        <f>_xll.SNL.Clients.Office.Excel.Functions.SPG(FK419, "SP_COUNTRY_NAME")</f>
        <v>#INVALID COMPANY ID</v>
      </c>
      <c r="FS419" s="9" t="str">
        <f>_xll.SNL.Clients.Office.Excel.Functions.SPG(FP419, "SP_COUNTRY_NAME")</f>
        <v>#INVALID COMPANY ID</v>
      </c>
      <c r="FX419" s="9" t="str">
        <f>_xll.SNL.Clients.Office.Excel.Functions.SPG(FU419, "SP_COUNTRY_NAME")</f>
        <v>#INVALID COMPANY ID</v>
      </c>
      <c r="FY419" t="s">
        <v>530</v>
      </c>
      <c r="FZ419">
        <v>102729</v>
      </c>
      <c r="GA419" t="s">
        <v>346</v>
      </c>
      <c r="GB419" s="11">
        <v>0</v>
      </c>
      <c r="GC419" s="9" t="str">
        <f>_xll.SNL.Clients.Office.Excel.Functions.SPG(FZ419, "SP_COUNTRY_NAME")</f>
        <v>USA</v>
      </c>
      <c r="GH419" s="9" t="str">
        <f>_xll.SNL.Clients.Office.Excel.Functions.SPG(GE419, "SP_COUNTRY_NAME")</f>
        <v>#INVALID COMPANY ID</v>
      </c>
      <c r="GM419" s="9" t="str">
        <f>_xll.SNL.Clients.Office.Excel.Functions.SPG(GJ419, "SP_COUNTRY_NAME")</f>
        <v>#INVALID COMPANY ID</v>
      </c>
      <c r="GR419" s="9" t="str">
        <f>_xll.SNL.Clients.Office.Excel.Functions.SPG(GO419, "SP_COUNTRY_NAME")</f>
        <v>#INVALID COMPANY ID</v>
      </c>
      <c r="GW419" s="9" t="str">
        <f>_xll.SNL.Clients.Office.Excel.Functions.SPG(GT419, "SP_COUNTRY_NAME")</f>
        <v>#INVALID COMPANY ID</v>
      </c>
      <c r="GX419" t="s">
        <v>1145</v>
      </c>
      <c r="GY419">
        <v>4663465</v>
      </c>
      <c r="GZ419" t="s">
        <v>364</v>
      </c>
      <c r="HA419" s="11">
        <v>0</v>
      </c>
      <c r="HB419" s="9" t="str">
        <f>_xll.SNL.Clients.Office.Excel.Functions.SPG(GY419, "SP_COUNTRY_NAME")</f>
        <v>USA</v>
      </c>
      <c r="HG419" s="9" t="str">
        <f>_xll.SNL.Clients.Office.Excel.Functions.SPG(HD419, "SP_COUNTRY_NAME")</f>
        <v>#INVALID COMPANY ID</v>
      </c>
    </row>
    <row r="420" spans="5:215" x14ac:dyDescent="0.35">
      <c r="E420" s="9" t="str">
        <f>_xll.SNL.Clients.Office.Excel.Functions.SPG(B420, "SP_COUNTRY_NAME")</f>
        <v>#INVALID COMPANY ID</v>
      </c>
      <c r="J420" s="9" t="str">
        <f>_xll.SNL.Clients.Office.Excel.Functions.SPG(G420, "SP_COUNTRY_NAME")</f>
        <v>#INVALID COMPANY ID</v>
      </c>
      <c r="O420" s="9" t="str">
        <f>_xll.SNL.Clients.Office.Excel.Functions.SPG(L420, "SP_COUNTRY_NAME")</f>
        <v>#INVALID COMPANY ID</v>
      </c>
      <c r="T420" s="9" t="str">
        <f>_xll.SNL.Clients.Office.Excel.Functions.SPG(Q420, "SP_COUNTRY_NAME")</f>
        <v>#INVALID COMPANY ID</v>
      </c>
      <c r="Y420" s="9" t="str">
        <f>_xll.SNL.Clients.Office.Excel.Functions.SPG(V420, "SP_COUNTRY_NAME")</f>
        <v>#INVALID COMPANY ID</v>
      </c>
      <c r="AD420" s="9" t="str">
        <f>_xll.SNL.Clients.Office.Excel.Functions.SPG(AA420, "SP_COUNTRY_NAME")</f>
        <v>#INVALID COMPANY ID</v>
      </c>
      <c r="AI420" s="9" t="str">
        <f>_xll.SNL.Clients.Office.Excel.Functions.SPG(AF420, "SP_COUNTRY_NAME")</f>
        <v>#INVALID COMPANY ID</v>
      </c>
      <c r="AN420" s="9" t="str">
        <f>_xll.SNL.Clients.Office.Excel.Functions.SPG(AK420, "SP_COUNTRY_NAME")</f>
        <v>#INVALID COMPANY ID</v>
      </c>
      <c r="AS420" s="9" t="str">
        <f>_xll.SNL.Clients.Office.Excel.Functions.SPG(AP420, "SP_COUNTRY_NAME")</f>
        <v>#INVALID COMPANY ID</v>
      </c>
      <c r="AX420" s="9" t="str">
        <f>_xll.SNL.Clients.Office.Excel.Functions.SPG(AU420, "SP_COUNTRY_NAME")</f>
        <v>#INVALID COMPANY ID</v>
      </c>
      <c r="BC420" s="9" t="str">
        <f>_xll.SNL.Clients.Office.Excel.Functions.SPG(AZ420, "SP_COUNTRY_NAME")</f>
        <v>#INVALID COMPANY ID</v>
      </c>
      <c r="BD420" t="s">
        <v>1331</v>
      </c>
      <c r="BE420">
        <v>5788099</v>
      </c>
      <c r="BF420" t="s">
        <v>346</v>
      </c>
      <c r="BG420" s="11">
        <v>0</v>
      </c>
      <c r="BH420" s="9" t="str">
        <f>_xll.SNL.Clients.Office.Excel.Functions.SPG(BE420, "SP_COUNTRY_NAME")</f>
        <v>South Africa</v>
      </c>
      <c r="BM420" s="9" t="str">
        <f>_xll.SNL.Clients.Office.Excel.Functions.SPG(BJ420, "SP_COUNTRY_NAME")</f>
        <v>#INVALID COMPANY ID</v>
      </c>
      <c r="BR420" s="9" t="str">
        <f>_xll.SNL.Clients.Office.Excel.Functions.SPG(BO420, "SP_COUNTRY_NAME")</f>
        <v>#INVALID COMPANY ID</v>
      </c>
      <c r="BS420" t="s">
        <v>1064</v>
      </c>
      <c r="BT420">
        <v>4227776</v>
      </c>
      <c r="BU420" t="s">
        <v>346</v>
      </c>
      <c r="BV420" s="11">
        <v>0</v>
      </c>
      <c r="BW420" s="9" t="str">
        <f>_xll.SNL.Clients.Office.Excel.Functions.SPG(BT420, "SP_COUNTRY_NAME")</f>
        <v>United Kingdom</v>
      </c>
      <c r="CB420" s="9" t="str">
        <f>_xll.SNL.Clients.Office.Excel.Functions.SPG(BY420, "SP_COUNTRY_NAME")</f>
        <v>#INVALID COMPANY ID</v>
      </c>
      <c r="CC420" t="s">
        <v>1841</v>
      </c>
      <c r="CD420">
        <v>10277117</v>
      </c>
      <c r="CE420" t="s">
        <v>346</v>
      </c>
      <c r="CF420" s="11">
        <v>0</v>
      </c>
      <c r="CG420" s="9" t="str">
        <f>_xll.SNL.Clients.Office.Excel.Functions.SPG(CD420, "SP_COUNTRY_NAME")</f>
        <v>Brazil</v>
      </c>
      <c r="CL420" s="9" t="str">
        <f>_xll.SNL.Clients.Office.Excel.Functions.SPG(CI420, "SP_COUNTRY_NAME")</f>
        <v>#INVALID COMPANY ID</v>
      </c>
      <c r="CM420" t="s">
        <v>2074</v>
      </c>
      <c r="CN420">
        <v>111281</v>
      </c>
      <c r="CO420" t="s">
        <v>346</v>
      </c>
      <c r="CP420" s="11">
        <v>0</v>
      </c>
      <c r="CQ420" s="9" t="str">
        <f>_xll.SNL.Clients.Office.Excel.Functions.SPG(CN420, "SP_COUNTRY_NAME")</f>
        <v>USA</v>
      </c>
      <c r="CV420" s="9" t="str">
        <f>_xll.SNL.Clients.Office.Excel.Functions.SPG(CS420, "SP_COUNTRY_NAME")</f>
        <v>#INVALID COMPANY ID</v>
      </c>
      <c r="DA420" s="9" t="str">
        <f>_xll.SNL.Clients.Office.Excel.Functions.SPG(CX420, "SP_COUNTRY_NAME")</f>
        <v>#INVALID COMPANY ID</v>
      </c>
      <c r="DB420" t="s">
        <v>1331</v>
      </c>
      <c r="DC420">
        <v>5788099</v>
      </c>
      <c r="DD420" t="s">
        <v>346</v>
      </c>
      <c r="DE420" s="11">
        <v>0</v>
      </c>
      <c r="DF420" s="9" t="str">
        <f>_xll.SNL.Clients.Office.Excel.Functions.SPG(DC420, "SP_COUNTRY_NAME")</f>
        <v>South Africa</v>
      </c>
      <c r="DK420" s="9" t="str">
        <f>_xll.SNL.Clients.Office.Excel.Functions.SPG(DH420, "SP_COUNTRY_NAME")</f>
        <v>#INVALID COMPANY ID</v>
      </c>
      <c r="DL420" t="s">
        <v>1331</v>
      </c>
      <c r="DM420">
        <v>5788099</v>
      </c>
      <c r="DN420" t="s">
        <v>346</v>
      </c>
      <c r="DO420" s="11">
        <v>0</v>
      </c>
      <c r="DP420" s="9" t="str">
        <f>_xll.SNL.Clients.Office.Excel.Functions.SPG(DM420, "SP_COUNTRY_NAME")</f>
        <v>South Africa</v>
      </c>
      <c r="DU420" s="9" t="str">
        <f>_xll.SNL.Clients.Office.Excel.Functions.SPG(DR420, "SP_COUNTRY_NAME")</f>
        <v>#INVALID COMPANY ID</v>
      </c>
      <c r="DZ420" s="9" t="str">
        <f>_xll.SNL.Clients.Office.Excel.Functions.SPG(DW420, "SP_COUNTRY_NAME")</f>
        <v>#INVALID COMPANY ID</v>
      </c>
      <c r="EA420" t="s">
        <v>1841</v>
      </c>
      <c r="EB420">
        <v>10277117</v>
      </c>
      <c r="EC420" t="s">
        <v>346</v>
      </c>
      <c r="ED420" s="11">
        <v>0</v>
      </c>
      <c r="EE420" s="9" t="str">
        <f>_xll.SNL.Clients.Office.Excel.Functions.SPG(EB420, "SP_COUNTRY_NAME")</f>
        <v>Brazil</v>
      </c>
      <c r="EF420" t="s">
        <v>1331</v>
      </c>
      <c r="EG420">
        <v>5788099</v>
      </c>
      <c r="EH420" t="s">
        <v>346</v>
      </c>
      <c r="EI420" s="11">
        <v>0</v>
      </c>
      <c r="EJ420" s="9" t="str">
        <f>_xll.SNL.Clients.Office.Excel.Functions.SPG(EG420, "SP_COUNTRY_NAME")</f>
        <v>South Africa</v>
      </c>
      <c r="EO420" s="9" t="str">
        <f>_xll.SNL.Clients.Office.Excel.Functions.SPG(EL420, "SP_COUNTRY_NAME")</f>
        <v>#INVALID COMPANY ID</v>
      </c>
      <c r="ET420" s="9" t="str">
        <f>_xll.SNL.Clients.Office.Excel.Functions.SPG(EQ420, "SP_COUNTRY_NAME")</f>
        <v>#INVALID COMPANY ID</v>
      </c>
      <c r="EY420" s="9" t="str">
        <f>_xll.SNL.Clients.Office.Excel.Functions.SPG(EV420, "SP_COUNTRY_NAME")</f>
        <v>#INVALID COMPANY ID</v>
      </c>
      <c r="FD420" s="9" t="str">
        <f>_xll.SNL.Clients.Office.Excel.Functions.SPG(FA420, "SP_COUNTRY_NAME")</f>
        <v>#INVALID COMPANY ID</v>
      </c>
      <c r="FI420" s="9" t="str">
        <f>_xll.SNL.Clients.Office.Excel.Functions.SPG(FF420, "SP_COUNTRY_NAME")</f>
        <v>#INVALID COMPANY ID</v>
      </c>
      <c r="FN420" s="9" t="str">
        <f>_xll.SNL.Clients.Office.Excel.Functions.SPG(FK420, "SP_COUNTRY_NAME")</f>
        <v>#INVALID COMPANY ID</v>
      </c>
      <c r="FS420" s="9" t="str">
        <f>_xll.SNL.Clients.Office.Excel.Functions.SPG(FP420, "SP_COUNTRY_NAME")</f>
        <v>#INVALID COMPANY ID</v>
      </c>
      <c r="FX420" s="9" t="str">
        <f>_xll.SNL.Clients.Office.Excel.Functions.SPG(FU420, "SP_COUNTRY_NAME")</f>
        <v>#INVALID COMPANY ID</v>
      </c>
      <c r="FY420" t="s">
        <v>1331</v>
      </c>
      <c r="FZ420">
        <v>5788099</v>
      </c>
      <c r="GA420" t="s">
        <v>346</v>
      </c>
      <c r="GB420" s="11">
        <v>0</v>
      </c>
      <c r="GC420" s="9" t="str">
        <f>_xll.SNL.Clients.Office.Excel.Functions.SPG(FZ420, "SP_COUNTRY_NAME")</f>
        <v>South Africa</v>
      </c>
      <c r="GH420" s="9" t="str">
        <f>_xll.SNL.Clients.Office.Excel.Functions.SPG(GE420, "SP_COUNTRY_NAME")</f>
        <v>#INVALID COMPANY ID</v>
      </c>
      <c r="GM420" s="9" t="str">
        <f>_xll.SNL.Clients.Office.Excel.Functions.SPG(GJ420, "SP_COUNTRY_NAME")</f>
        <v>#INVALID COMPANY ID</v>
      </c>
      <c r="GR420" s="9" t="str">
        <f>_xll.SNL.Clients.Office.Excel.Functions.SPG(GO420, "SP_COUNTRY_NAME")</f>
        <v>#INVALID COMPANY ID</v>
      </c>
      <c r="GW420" s="9" t="str">
        <f>_xll.SNL.Clients.Office.Excel.Functions.SPG(GT420, "SP_COUNTRY_NAME")</f>
        <v>#INVALID COMPANY ID</v>
      </c>
      <c r="GX420" t="s">
        <v>1841</v>
      </c>
      <c r="GY420">
        <v>10277117</v>
      </c>
      <c r="GZ420" t="s">
        <v>346</v>
      </c>
      <c r="HA420" s="11">
        <v>0</v>
      </c>
      <c r="HB420" s="9" t="str">
        <f>_xll.SNL.Clients.Office.Excel.Functions.SPG(GY420, "SP_COUNTRY_NAME")</f>
        <v>Brazil</v>
      </c>
      <c r="HG420" s="9" t="str">
        <f>_xll.SNL.Clients.Office.Excel.Functions.SPG(HD420, "SP_COUNTRY_NAME")</f>
        <v>#INVALID COMPANY ID</v>
      </c>
    </row>
    <row r="421" spans="5:215" x14ac:dyDescent="0.35">
      <c r="E421" s="9" t="str">
        <f>_xll.SNL.Clients.Office.Excel.Functions.SPG(B421, "SP_COUNTRY_NAME")</f>
        <v>#INVALID COMPANY ID</v>
      </c>
      <c r="J421" s="9" t="str">
        <f>_xll.SNL.Clients.Office.Excel.Functions.SPG(G421, "SP_COUNTRY_NAME")</f>
        <v>#INVALID COMPANY ID</v>
      </c>
      <c r="O421" s="9" t="str">
        <f>_xll.SNL.Clients.Office.Excel.Functions.SPG(L421, "SP_COUNTRY_NAME")</f>
        <v>#INVALID COMPANY ID</v>
      </c>
      <c r="T421" s="9" t="str">
        <f>_xll.SNL.Clients.Office.Excel.Functions.SPG(Q421, "SP_COUNTRY_NAME")</f>
        <v>#INVALID COMPANY ID</v>
      </c>
      <c r="Y421" s="9" t="str">
        <f>_xll.SNL.Clients.Office.Excel.Functions.SPG(V421, "SP_COUNTRY_NAME")</f>
        <v>#INVALID COMPANY ID</v>
      </c>
      <c r="AD421" s="9" t="str">
        <f>_xll.SNL.Clients.Office.Excel.Functions.SPG(AA421, "SP_COUNTRY_NAME")</f>
        <v>#INVALID COMPANY ID</v>
      </c>
      <c r="AI421" s="9" t="str">
        <f>_xll.SNL.Clients.Office.Excel.Functions.SPG(AF421, "SP_COUNTRY_NAME")</f>
        <v>#INVALID COMPANY ID</v>
      </c>
      <c r="AN421" s="9" t="str">
        <f>_xll.SNL.Clients.Office.Excel.Functions.SPG(AK421, "SP_COUNTRY_NAME")</f>
        <v>#INVALID COMPANY ID</v>
      </c>
      <c r="AS421" s="9" t="str">
        <f>_xll.SNL.Clients.Office.Excel.Functions.SPG(AP421, "SP_COUNTRY_NAME")</f>
        <v>#INVALID COMPANY ID</v>
      </c>
      <c r="AX421" s="9" t="str">
        <f>_xll.SNL.Clients.Office.Excel.Functions.SPG(AU421, "SP_COUNTRY_NAME")</f>
        <v>#INVALID COMPANY ID</v>
      </c>
      <c r="BC421" s="9" t="str">
        <f>_xll.SNL.Clients.Office.Excel.Functions.SPG(AZ421, "SP_COUNTRY_NAME")</f>
        <v>#INVALID COMPANY ID</v>
      </c>
      <c r="BD421" t="s">
        <v>1292</v>
      </c>
      <c r="BE421">
        <v>5884486</v>
      </c>
      <c r="BF421" t="s">
        <v>346</v>
      </c>
      <c r="BG421" s="11">
        <v>0</v>
      </c>
      <c r="BH421" s="9" t="str">
        <f>_xll.SNL.Clients.Office.Excel.Functions.SPG(BE421, "SP_COUNTRY_NAME")</f>
        <v>South Africa</v>
      </c>
      <c r="BM421" s="9" t="str">
        <f>_xll.SNL.Clients.Office.Excel.Functions.SPG(BJ421, "SP_COUNTRY_NAME")</f>
        <v>#INVALID COMPANY ID</v>
      </c>
      <c r="BR421" s="9" t="str">
        <f>_xll.SNL.Clients.Office.Excel.Functions.SPG(BO421, "SP_COUNTRY_NAME")</f>
        <v>#INVALID COMPANY ID</v>
      </c>
      <c r="BS421" t="s">
        <v>1065</v>
      </c>
      <c r="BT421">
        <v>4240703</v>
      </c>
      <c r="BU421" t="s">
        <v>346</v>
      </c>
      <c r="BV421" s="11">
        <v>0</v>
      </c>
      <c r="BW421" s="9" t="str">
        <f>_xll.SNL.Clients.Office.Excel.Functions.SPG(BT421, "SP_COUNTRY_NAME")</f>
        <v>Taiwan</v>
      </c>
      <c r="CB421" s="9" t="str">
        <f>_xll.SNL.Clients.Office.Excel.Functions.SPG(BY421, "SP_COUNTRY_NAME")</f>
        <v>#INVALID COMPANY ID</v>
      </c>
      <c r="CC421" t="s">
        <v>1842</v>
      </c>
      <c r="CD421">
        <v>4785392</v>
      </c>
      <c r="CE421" t="s">
        <v>346</v>
      </c>
      <c r="CF421" s="11">
        <v>0</v>
      </c>
      <c r="CG421" s="9" t="str">
        <f>_xll.SNL.Clients.Office.Excel.Functions.SPG(CD421, "SP_COUNTRY_NAME")</f>
        <v>USA</v>
      </c>
      <c r="CL421" s="9" t="str">
        <f>_xll.SNL.Clients.Office.Excel.Functions.SPG(CI421, "SP_COUNTRY_NAME")</f>
        <v>#INVALID COMPANY ID</v>
      </c>
      <c r="CM421" t="s">
        <v>1077</v>
      </c>
      <c r="CN421">
        <v>5804824</v>
      </c>
      <c r="CO421" t="s">
        <v>346</v>
      </c>
      <c r="CP421" s="11">
        <v>0</v>
      </c>
      <c r="CQ421" s="9" t="str">
        <f>_xll.SNL.Clients.Office.Excel.Functions.SPG(CN421, "SP_COUNTRY_NAME")</f>
        <v>Luxembourg</v>
      </c>
      <c r="CV421" s="9" t="str">
        <f>_xll.SNL.Clients.Office.Excel.Functions.SPG(CS421, "SP_COUNTRY_NAME")</f>
        <v>#INVALID COMPANY ID</v>
      </c>
      <c r="DA421" s="9" t="str">
        <f>_xll.SNL.Clients.Office.Excel.Functions.SPG(CX421, "SP_COUNTRY_NAME")</f>
        <v>#INVALID COMPANY ID</v>
      </c>
      <c r="DB421" t="s">
        <v>1292</v>
      </c>
      <c r="DC421">
        <v>5884486</v>
      </c>
      <c r="DD421" t="s">
        <v>346</v>
      </c>
      <c r="DE421" s="11">
        <v>0</v>
      </c>
      <c r="DF421" s="9" t="str">
        <f>_xll.SNL.Clients.Office.Excel.Functions.SPG(DC421, "SP_COUNTRY_NAME")</f>
        <v>South Africa</v>
      </c>
      <c r="DK421" s="9" t="str">
        <f>_xll.SNL.Clients.Office.Excel.Functions.SPG(DH421, "SP_COUNTRY_NAME")</f>
        <v>#INVALID COMPANY ID</v>
      </c>
      <c r="DL421" t="s">
        <v>1292</v>
      </c>
      <c r="DM421">
        <v>5884486</v>
      </c>
      <c r="DN421" t="s">
        <v>346</v>
      </c>
      <c r="DO421" s="11">
        <v>0</v>
      </c>
      <c r="DP421" s="9" t="str">
        <f>_xll.SNL.Clients.Office.Excel.Functions.SPG(DM421, "SP_COUNTRY_NAME")</f>
        <v>South Africa</v>
      </c>
      <c r="DU421" s="9" t="str">
        <f>_xll.SNL.Clients.Office.Excel.Functions.SPG(DR421, "SP_COUNTRY_NAME")</f>
        <v>#INVALID COMPANY ID</v>
      </c>
      <c r="DZ421" s="9" t="str">
        <f>_xll.SNL.Clients.Office.Excel.Functions.SPG(DW421, "SP_COUNTRY_NAME")</f>
        <v>#INVALID COMPANY ID</v>
      </c>
      <c r="EA421" t="s">
        <v>1842</v>
      </c>
      <c r="EB421">
        <v>4785392</v>
      </c>
      <c r="EC421" t="s">
        <v>346</v>
      </c>
      <c r="ED421" s="11">
        <v>0</v>
      </c>
      <c r="EE421" s="9" t="str">
        <f>_xll.SNL.Clients.Office.Excel.Functions.SPG(EB421, "SP_COUNTRY_NAME")</f>
        <v>USA</v>
      </c>
      <c r="EF421" t="s">
        <v>1292</v>
      </c>
      <c r="EG421">
        <v>5884486</v>
      </c>
      <c r="EH421" t="s">
        <v>346</v>
      </c>
      <c r="EI421" s="11">
        <v>0</v>
      </c>
      <c r="EJ421" s="9" t="str">
        <f>_xll.SNL.Clients.Office.Excel.Functions.SPG(EG421, "SP_COUNTRY_NAME")</f>
        <v>South Africa</v>
      </c>
      <c r="EO421" s="9" t="str">
        <f>_xll.SNL.Clients.Office.Excel.Functions.SPG(EL421, "SP_COUNTRY_NAME")</f>
        <v>#INVALID COMPANY ID</v>
      </c>
      <c r="ET421" s="9" t="str">
        <f>_xll.SNL.Clients.Office.Excel.Functions.SPG(EQ421, "SP_COUNTRY_NAME")</f>
        <v>#INVALID COMPANY ID</v>
      </c>
      <c r="EY421" s="9" t="str">
        <f>_xll.SNL.Clients.Office.Excel.Functions.SPG(EV421, "SP_COUNTRY_NAME")</f>
        <v>#INVALID COMPANY ID</v>
      </c>
      <c r="FD421" s="9" t="str">
        <f>_xll.SNL.Clients.Office.Excel.Functions.SPG(FA421, "SP_COUNTRY_NAME")</f>
        <v>#INVALID COMPANY ID</v>
      </c>
      <c r="FI421" s="9" t="str">
        <f>_xll.SNL.Clients.Office.Excel.Functions.SPG(FF421, "SP_COUNTRY_NAME")</f>
        <v>#INVALID COMPANY ID</v>
      </c>
      <c r="FN421" s="9" t="str">
        <f>_xll.SNL.Clients.Office.Excel.Functions.SPG(FK421, "SP_COUNTRY_NAME")</f>
        <v>#INVALID COMPANY ID</v>
      </c>
      <c r="FS421" s="9" t="str">
        <f>_xll.SNL.Clients.Office.Excel.Functions.SPG(FP421, "SP_COUNTRY_NAME")</f>
        <v>#INVALID COMPANY ID</v>
      </c>
      <c r="FX421" s="9" t="str">
        <f>_xll.SNL.Clients.Office.Excel.Functions.SPG(FU421, "SP_COUNTRY_NAME")</f>
        <v>#INVALID COMPANY ID</v>
      </c>
      <c r="FY421" t="s">
        <v>1292</v>
      </c>
      <c r="FZ421">
        <v>5884486</v>
      </c>
      <c r="GA421" t="s">
        <v>346</v>
      </c>
      <c r="GB421" s="11">
        <v>0</v>
      </c>
      <c r="GC421" s="9" t="str">
        <f>_xll.SNL.Clients.Office.Excel.Functions.SPG(FZ421, "SP_COUNTRY_NAME")</f>
        <v>South Africa</v>
      </c>
      <c r="GH421" s="9" t="str">
        <f>_xll.SNL.Clients.Office.Excel.Functions.SPG(GE421, "SP_COUNTRY_NAME")</f>
        <v>#INVALID COMPANY ID</v>
      </c>
      <c r="GM421" s="9" t="str">
        <f>_xll.SNL.Clients.Office.Excel.Functions.SPG(GJ421, "SP_COUNTRY_NAME")</f>
        <v>#INVALID COMPANY ID</v>
      </c>
      <c r="GR421" s="9" t="str">
        <f>_xll.SNL.Clients.Office.Excel.Functions.SPG(GO421, "SP_COUNTRY_NAME")</f>
        <v>#INVALID COMPANY ID</v>
      </c>
      <c r="GW421" s="9" t="str">
        <f>_xll.SNL.Clients.Office.Excel.Functions.SPG(GT421, "SP_COUNTRY_NAME")</f>
        <v>#INVALID COMPANY ID</v>
      </c>
      <c r="GX421" t="s">
        <v>1842</v>
      </c>
      <c r="GY421">
        <v>4785392</v>
      </c>
      <c r="GZ421" t="s">
        <v>346</v>
      </c>
      <c r="HA421" s="11">
        <v>0</v>
      </c>
      <c r="HB421" s="9" t="str">
        <f>_xll.SNL.Clients.Office.Excel.Functions.SPG(GY421, "SP_COUNTRY_NAME")</f>
        <v>USA</v>
      </c>
      <c r="HG421" s="9" t="str">
        <f>_xll.SNL.Clients.Office.Excel.Functions.SPG(HD421, "SP_COUNTRY_NAME")</f>
        <v>#INVALID COMPANY ID</v>
      </c>
    </row>
    <row r="422" spans="5:215" x14ac:dyDescent="0.35">
      <c r="E422" s="9" t="str">
        <f>_xll.SNL.Clients.Office.Excel.Functions.SPG(B422, "SP_COUNTRY_NAME")</f>
        <v>#INVALID COMPANY ID</v>
      </c>
      <c r="J422" s="9" t="str">
        <f>_xll.SNL.Clients.Office.Excel.Functions.SPG(G422, "SP_COUNTRY_NAME")</f>
        <v>#INVALID COMPANY ID</v>
      </c>
      <c r="O422" s="9" t="str">
        <f>_xll.SNL.Clients.Office.Excel.Functions.SPG(L422, "SP_COUNTRY_NAME")</f>
        <v>#INVALID COMPANY ID</v>
      </c>
      <c r="T422" s="9" t="str">
        <f>_xll.SNL.Clients.Office.Excel.Functions.SPG(Q422, "SP_COUNTRY_NAME")</f>
        <v>#INVALID COMPANY ID</v>
      </c>
      <c r="Y422" s="9" t="str">
        <f>_xll.SNL.Clients.Office.Excel.Functions.SPG(V422, "SP_COUNTRY_NAME")</f>
        <v>#INVALID COMPANY ID</v>
      </c>
      <c r="AD422" s="9" t="str">
        <f>_xll.SNL.Clients.Office.Excel.Functions.SPG(AA422, "SP_COUNTRY_NAME")</f>
        <v>#INVALID COMPANY ID</v>
      </c>
      <c r="AI422" s="9" t="str">
        <f>_xll.SNL.Clients.Office.Excel.Functions.SPG(AF422, "SP_COUNTRY_NAME")</f>
        <v>#INVALID COMPANY ID</v>
      </c>
      <c r="AN422" s="9" t="str">
        <f>_xll.SNL.Clients.Office.Excel.Functions.SPG(AK422, "SP_COUNTRY_NAME")</f>
        <v>#INVALID COMPANY ID</v>
      </c>
      <c r="AS422" s="9" t="str">
        <f>_xll.SNL.Clients.Office.Excel.Functions.SPG(AP422, "SP_COUNTRY_NAME")</f>
        <v>#INVALID COMPANY ID</v>
      </c>
      <c r="AX422" s="9" t="str">
        <f>_xll.SNL.Clients.Office.Excel.Functions.SPG(AU422, "SP_COUNTRY_NAME")</f>
        <v>#INVALID COMPANY ID</v>
      </c>
      <c r="BC422" s="9" t="str">
        <f>_xll.SNL.Clients.Office.Excel.Functions.SPG(AZ422, "SP_COUNTRY_NAME")</f>
        <v>#INVALID COMPANY ID</v>
      </c>
      <c r="BD422" t="s">
        <v>1524</v>
      </c>
      <c r="BE422">
        <v>7794598</v>
      </c>
      <c r="BF422" t="s">
        <v>346</v>
      </c>
      <c r="BG422" s="11">
        <v>0</v>
      </c>
      <c r="BH422" s="9" t="str">
        <f>_xll.SNL.Clients.Office.Excel.Functions.SPG(BE422, "SP_COUNTRY_NAME")</f>
        <v>Luxembourg</v>
      </c>
      <c r="BM422" s="9" t="str">
        <f>_xll.SNL.Clients.Office.Excel.Functions.SPG(BJ422, "SP_COUNTRY_NAME")</f>
        <v>#INVALID COMPANY ID</v>
      </c>
      <c r="BR422" s="9" t="str">
        <f>_xll.SNL.Clients.Office.Excel.Functions.SPG(BO422, "SP_COUNTRY_NAME")</f>
        <v>#INVALID COMPANY ID</v>
      </c>
      <c r="BS422" t="s">
        <v>803</v>
      </c>
      <c r="BT422">
        <v>5877802</v>
      </c>
      <c r="BU422" t="s">
        <v>346</v>
      </c>
      <c r="BV422" s="11">
        <v>0</v>
      </c>
      <c r="BW422" s="9" t="str">
        <f>_xll.SNL.Clients.Office.Excel.Functions.SPG(BT422, "SP_COUNTRY_NAME")</f>
        <v>China</v>
      </c>
      <c r="CB422" s="9" t="str">
        <f>_xll.SNL.Clients.Office.Excel.Functions.SPG(BY422, "SP_COUNTRY_NAME")</f>
        <v>#INVALID COMPANY ID</v>
      </c>
      <c r="CC422" t="s">
        <v>1843</v>
      </c>
      <c r="CD422">
        <v>114228265</v>
      </c>
      <c r="CE422" t="s">
        <v>364</v>
      </c>
      <c r="CF422" s="11">
        <v>0</v>
      </c>
      <c r="CG422" s="9" t="str">
        <f>_xll.SNL.Clients.Office.Excel.Functions.SPG(CD422, "SP_COUNTRY_NAME")</f>
        <v>USA</v>
      </c>
      <c r="CL422" s="9" t="str">
        <f>_xll.SNL.Clients.Office.Excel.Functions.SPG(CI422, "SP_COUNTRY_NAME")</f>
        <v>#INVALID COMPANY ID</v>
      </c>
      <c r="CM422" t="s">
        <v>1371</v>
      </c>
      <c r="CN422">
        <v>7789175</v>
      </c>
      <c r="CO422" t="s">
        <v>346</v>
      </c>
      <c r="CP422" s="11">
        <v>0</v>
      </c>
      <c r="CQ422" s="9" t="str">
        <f>_xll.SNL.Clients.Office.Excel.Functions.SPG(CN422, "SP_COUNTRY_NAME")</f>
        <v>South Africa</v>
      </c>
      <c r="CV422" s="9" t="str">
        <f>_xll.SNL.Clients.Office.Excel.Functions.SPG(CS422, "SP_COUNTRY_NAME")</f>
        <v>#INVALID COMPANY ID</v>
      </c>
      <c r="DA422" s="9" t="str">
        <f>_xll.SNL.Clients.Office.Excel.Functions.SPG(CX422, "SP_COUNTRY_NAME")</f>
        <v>#INVALID COMPANY ID</v>
      </c>
      <c r="DB422" t="s">
        <v>1524</v>
      </c>
      <c r="DC422">
        <v>7794598</v>
      </c>
      <c r="DD422" t="s">
        <v>346</v>
      </c>
      <c r="DE422" s="11">
        <v>0</v>
      </c>
      <c r="DF422" s="9" t="str">
        <f>_xll.SNL.Clients.Office.Excel.Functions.SPG(DC422, "SP_COUNTRY_NAME")</f>
        <v>Luxembourg</v>
      </c>
      <c r="DK422" s="9" t="str">
        <f>_xll.SNL.Clients.Office.Excel.Functions.SPG(DH422, "SP_COUNTRY_NAME")</f>
        <v>#INVALID COMPANY ID</v>
      </c>
      <c r="DL422" t="s">
        <v>1524</v>
      </c>
      <c r="DM422">
        <v>7794598</v>
      </c>
      <c r="DN422" t="s">
        <v>346</v>
      </c>
      <c r="DO422" s="11">
        <v>0</v>
      </c>
      <c r="DP422" s="9" t="str">
        <f>_xll.SNL.Clients.Office.Excel.Functions.SPG(DM422, "SP_COUNTRY_NAME")</f>
        <v>Luxembourg</v>
      </c>
      <c r="DU422" s="9" t="str">
        <f>_xll.SNL.Clients.Office.Excel.Functions.SPG(DR422, "SP_COUNTRY_NAME")</f>
        <v>#INVALID COMPANY ID</v>
      </c>
      <c r="DZ422" s="9" t="str">
        <f>_xll.SNL.Clients.Office.Excel.Functions.SPG(DW422, "SP_COUNTRY_NAME")</f>
        <v>#INVALID COMPANY ID</v>
      </c>
      <c r="EA422" t="s">
        <v>1843</v>
      </c>
      <c r="EB422">
        <v>114228265</v>
      </c>
      <c r="EC422" t="s">
        <v>364</v>
      </c>
      <c r="ED422" s="11">
        <v>0</v>
      </c>
      <c r="EE422" s="9" t="str">
        <f>_xll.SNL.Clients.Office.Excel.Functions.SPG(EB422, "SP_COUNTRY_NAME")</f>
        <v>USA</v>
      </c>
      <c r="EF422" t="s">
        <v>1524</v>
      </c>
      <c r="EG422">
        <v>7794598</v>
      </c>
      <c r="EH422" t="s">
        <v>346</v>
      </c>
      <c r="EI422" s="11">
        <v>0</v>
      </c>
      <c r="EJ422" s="9" t="str">
        <f>_xll.SNL.Clients.Office.Excel.Functions.SPG(EG422, "SP_COUNTRY_NAME")</f>
        <v>Luxembourg</v>
      </c>
      <c r="EO422" s="9" t="str">
        <f>_xll.SNL.Clients.Office.Excel.Functions.SPG(EL422, "SP_COUNTRY_NAME")</f>
        <v>#INVALID COMPANY ID</v>
      </c>
      <c r="ET422" s="9" t="str">
        <f>_xll.SNL.Clients.Office.Excel.Functions.SPG(EQ422, "SP_COUNTRY_NAME")</f>
        <v>#INVALID COMPANY ID</v>
      </c>
      <c r="EY422" s="9" t="str">
        <f>_xll.SNL.Clients.Office.Excel.Functions.SPG(EV422, "SP_COUNTRY_NAME")</f>
        <v>#INVALID COMPANY ID</v>
      </c>
      <c r="FD422" s="9" t="str">
        <f>_xll.SNL.Clients.Office.Excel.Functions.SPG(FA422, "SP_COUNTRY_NAME")</f>
        <v>#INVALID COMPANY ID</v>
      </c>
      <c r="FI422" s="9" t="str">
        <f>_xll.SNL.Clients.Office.Excel.Functions.SPG(FF422, "SP_COUNTRY_NAME")</f>
        <v>#INVALID COMPANY ID</v>
      </c>
      <c r="FN422" s="9" t="str">
        <f>_xll.SNL.Clients.Office.Excel.Functions.SPG(FK422, "SP_COUNTRY_NAME")</f>
        <v>#INVALID COMPANY ID</v>
      </c>
      <c r="FS422" s="9" t="str">
        <f>_xll.SNL.Clients.Office.Excel.Functions.SPG(FP422, "SP_COUNTRY_NAME")</f>
        <v>#INVALID COMPANY ID</v>
      </c>
      <c r="FX422" s="9" t="str">
        <f>_xll.SNL.Clients.Office.Excel.Functions.SPG(FU422, "SP_COUNTRY_NAME")</f>
        <v>#INVALID COMPANY ID</v>
      </c>
      <c r="FY422" t="s">
        <v>1524</v>
      </c>
      <c r="FZ422">
        <v>7794598</v>
      </c>
      <c r="GA422" t="s">
        <v>346</v>
      </c>
      <c r="GB422" s="11">
        <v>0</v>
      </c>
      <c r="GC422" s="9" t="str">
        <f>_xll.SNL.Clients.Office.Excel.Functions.SPG(FZ422, "SP_COUNTRY_NAME")</f>
        <v>Luxembourg</v>
      </c>
      <c r="GH422" s="9" t="str">
        <f>_xll.SNL.Clients.Office.Excel.Functions.SPG(GE422, "SP_COUNTRY_NAME")</f>
        <v>#INVALID COMPANY ID</v>
      </c>
      <c r="GM422" s="9" t="str">
        <f>_xll.SNL.Clients.Office.Excel.Functions.SPG(GJ422, "SP_COUNTRY_NAME")</f>
        <v>#INVALID COMPANY ID</v>
      </c>
      <c r="GR422" s="9" t="str">
        <f>_xll.SNL.Clients.Office.Excel.Functions.SPG(GO422, "SP_COUNTRY_NAME")</f>
        <v>#INVALID COMPANY ID</v>
      </c>
      <c r="GW422" s="9" t="str">
        <f>_xll.SNL.Clients.Office.Excel.Functions.SPG(GT422, "SP_COUNTRY_NAME")</f>
        <v>#INVALID COMPANY ID</v>
      </c>
      <c r="GX422" t="s">
        <v>1843</v>
      </c>
      <c r="GY422">
        <v>114228265</v>
      </c>
      <c r="GZ422" t="s">
        <v>364</v>
      </c>
      <c r="HA422" s="11">
        <v>0</v>
      </c>
      <c r="HB422" s="9" t="str">
        <f>_xll.SNL.Clients.Office.Excel.Functions.SPG(GY422, "SP_COUNTRY_NAME")</f>
        <v>USA</v>
      </c>
      <c r="HG422" s="9" t="str">
        <f>_xll.SNL.Clients.Office.Excel.Functions.SPG(HD422, "SP_COUNTRY_NAME")</f>
        <v>#INVALID COMPANY ID</v>
      </c>
    </row>
    <row r="423" spans="5:215" x14ac:dyDescent="0.35">
      <c r="E423" s="9" t="str">
        <f>_xll.SNL.Clients.Office.Excel.Functions.SPG(B423, "SP_COUNTRY_NAME")</f>
        <v>#INVALID COMPANY ID</v>
      </c>
      <c r="J423" s="9" t="str">
        <f>_xll.SNL.Clients.Office.Excel.Functions.SPG(G423, "SP_COUNTRY_NAME")</f>
        <v>#INVALID COMPANY ID</v>
      </c>
      <c r="O423" s="9" t="str">
        <f>_xll.SNL.Clients.Office.Excel.Functions.SPG(L423, "SP_COUNTRY_NAME")</f>
        <v>#INVALID COMPANY ID</v>
      </c>
      <c r="T423" s="9" t="str">
        <f>_xll.SNL.Clients.Office.Excel.Functions.SPG(Q423, "SP_COUNTRY_NAME")</f>
        <v>#INVALID COMPANY ID</v>
      </c>
      <c r="Y423" s="9" t="str">
        <f>_xll.SNL.Clients.Office.Excel.Functions.SPG(V423, "SP_COUNTRY_NAME")</f>
        <v>#INVALID COMPANY ID</v>
      </c>
      <c r="AD423" s="9" t="str">
        <f>_xll.SNL.Clients.Office.Excel.Functions.SPG(AA423, "SP_COUNTRY_NAME")</f>
        <v>#INVALID COMPANY ID</v>
      </c>
      <c r="AI423" s="9" t="str">
        <f>_xll.SNL.Clients.Office.Excel.Functions.SPG(AF423, "SP_COUNTRY_NAME")</f>
        <v>#INVALID COMPANY ID</v>
      </c>
      <c r="AN423" s="9" t="str">
        <f>_xll.SNL.Clients.Office.Excel.Functions.SPG(AK423, "SP_COUNTRY_NAME")</f>
        <v>#INVALID COMPANY ID</v>
      </c>
      <c r="AS423" s="9" t="str">
        <f>_xll.SNL.Clients.Office.Excel.Functions.SPG(AP423, "SP_COUNTRY_NAME")</f>
        <v>#INVALID COMPANY ID</v>
      </c>
      <c r="AX423" s="9" t="str">
        <f>_xll.SNL.Clients.Office.Excel.Functions.SPG(AU423, "SP_COUNTRY_NAME")</f>
        <v>#INVALID COMPANY ID</v>
      </c>
      <c r="BC423" s="9" t="str">
        <f>_xll.SNL.Clients.Office.Excel.Functions.SPG(AZ423, "SP_COUNTRY_NAME")</f>
        <v>#INVALID COMPANY ID</v>
      </c>
      <c r="BD423" t="s">
        <v>896</v>
      </c>
      <c r="BE423">
        <v>4272541</v>
      </c>
      <c r="BF423" t="s">
        <v>346</v>
      </c>
      <c r="BG423" s="11">
        <v>0</v>
      </c>
      <c r="BH423" s="9" t="str">
        <f>_xll.SNL.Clients.Office.Excel.Functions.SPG(BE423, "SP_COUNTRY_NAME")</f>
        <v>USA</v>
      </c>
      <c r="BM423" s="9" t="str">
        <f>_xll.SNL.Clients.Office.Excel.Functions.SPG(BJ423, "SP_COUNTRY_NAME")</f>
        <v>#INVALID COMPANY ID</v>
      </c>
      <c r="BR423" s="9" t="str">
        <f>_xll.SNL.Clients.Office.Excel.Functions.SPG(BO423, "SP_COUNTRY_NAME")</f>
        <v>#INVALID COMPANY ID</v>
      </c>
      <c r="BS423" t="s">
        <v>604</v>
      </c>
      <c r="BT423">
        <v>4216438</v>
      </c>
      <c r="BU423" t="s">
        <v>346</v>
      </c>
      <c r="BV423" s="11">
        <v>0</v>
      </c>
      <c r="BW423" s="9" t="str">
        <f>_xll.SNL.Clients.Office.Excel.Functions.SPG(BT423, "SP_COUNTRY_NAME")</f>
        <v>Taiwan</v>
      </c>
      <c r="CB423" s="9" t="str">
        <f>_xll.SNL.Clients.Office.Excel.Functions.SPG(BY423, "SP_COUNTRY_NAME")</f>
        <v>#INVALID COMPANY ID</v>
      </c>
      <c r="CC423" t="s">
        <v>1844</v>
      </c>
      <c r="CD423" t="s">
        <v>300</v>
      </c>
      <c r="CE423" t="s">
        <v>361</v>
      </c>
      <c r="CF423" s="11">
        <v>0</v>
      </c>
      <c r="CG423" s="9" t="str">
        <f>_xll.SNL.Clients.Office.Excel.Functions.SPG(CD423, "SP_COUNTRY_NAME")</f>
        <v>China</v>
      </c>
      <c r="CL423" s="9" t="str">
        <f>_xll.SNL.Clients.Office.Excel.Functions.SPG(CI423, "SP_COUNTRY_NAME")</f>
        <v>#INVALID COMPANY ID</v>
      </c>
      <c r="CM423" t="s">
        <v>628</v>
      </c>
      <c r="CN423">
        <v>4289501</v>
      </c>
      <c r="CO423" t="s">
        <v>346</v>
      </c>
      <c r="CP423" s="11">
        <v>0</v>
      </c>
      <c r="CQ423" s="9" t="str">
        <f>_xll.SNL.Clients.Office.Excel.Functions.SPG(CN423, "SP_COUNTRY_NAME")</f>
        <v>United Kingdom</v>
      </c>
      <c r="CV423" s="9" t="str">
        <f>_xll.SNL.Clients.Office.Excel.Functions.SPG(CS423, "SP_COUNTRY_NAME")</f>
        <v>#INVALID COMPANY ID</v>
      </c>
      <c r="DA423" s="9" t="str">
        <f>_xll.SNL.Clients.Office.Excel.Functions.SPG(CX423, "SP_COUNTRY_NAME")</f>
        <v>#INVALID COMPANY ID</v>
      </c>
      <c r="DB423" t="s">
        <v>896</v>
      </c>
      <c r="DC423">
        <v>4272541</v>
      </c>
      <c r="DD423" t="s">
        <v>346</v>
      </c>
      <c r="DE423" s="11">
        <v>0</v>
      </c>
      <c r="DF423" s="9" t="str">
        <f>_xll.SNL.Clients.Office.Excel.Functions.SPG(DC423, "SP_COUNTRY_NAME")</f>
        <v>USA</v>
      </c>
      <c r="DK423" s="9" t="str">
        <f>_xll.SNL.Clients.Office.Excel.Functions.SPG(DH423, "SP_COUNTRY_NAME")</f>
        <v>#INVALID COMPANY ID</v>
      </c>
      <c r="DL423" t="s">
        <v>896</v>
      </c>
      <c r="DM423">
        <v>4272541</v>
      </c>
      <c r="DN423" t="s">
        <v>346</v>
      </c>
      <c r="DO423" s="11">
        <v>0</v>
      </c>
      <c r="DP423" s="9" t="str">
        <f>_xll.SNL.Clients.Office.Excel.Functions.SPG(DM423, "SP_COUNTRY_NAME")</f>
        <v>USA</v>
      </c>
      <c r="DU423" s="9" t="str">
        <f>_xll.SNL.Clients.Office.Excel.Functions.SPG(DR423, "SP_COUNTRY_NAME")</f>
        <v>#INVALID COMPANY ID</v>
      </c>
      <c r="DZ423" s="9" t="str">
        <f>_xll.SNL.Clients.Office.Excel.Functions.SPG(DW423, "SP_COUNTRY_NAME")</f>
        <v>#INVALID COMPANY ID</v>
      </c>
      <c r="EA423" t="s">
        <v>1844</v>
      </c>
      <c r="EB423" t="s">
        <v>300</v>
      </c>
      <c r="EC423" t="s">
        <v>361</v>
      </c>
      <c r="ED423" s="11">
        <v>0</v>
      </c>
      <c r="EE423" s="9" t="str">
        <f>_xll.SNL.Clients.Office.Excel.Functions.SPG(EB423, "SP_COUNTRY_NAME")</f>
        <v>China</v>
      </c>
      <c r="EF423" t="s">
        <v>896</v>
      </c>
      <c r="EG423">
        <v>4272541</v>
      </c>
      <c r="EH423" t="s">
        <v>346</v>
      </c>
      <c r="EI423" s="11">
        <v>0</v>
      </c>
      <c r="EJ423" s="9" t="str">
        <f>_xll.SNL.Clients.Office.Excel.Functions.SPG(EG423, "SP_COUNTRY_NAME")</f>
        <v>USA</v>
      </c>
      <c r="EO423" s="9" t="str">
        <f>_xll.SNL.Clients.Office.Excel.Functions.SPG(EL423, "SP_COUNTRY_NAME")</f>
        <v>#INVALID COMPANY ID</v>
      </c>
      <c r="ET423" s="9" t="str">
        <f>_xll.SNL.Clients.Office.Excel.Functions.SPG(EQ423, "SP_COUNTRY_NAME")</f>
        <v>#INVALID COMPANY ID</v>
      </c>
      <c r="EY423" s="9" t="str">
        <f>_xll.SNL.Clients.Office.Excel.Functions.SPG(EV423, "SP_COUNTRY_NAME")</f>
        <v>#INVALID COMPANY ID</v>
      </c>
      <c r="FD423" s="9" t="str">
        <f>_xll.SNL.Clients.Office.Excel.Functions.SPG(FA423, "SP_COUNTRY_NAME")</f>
        <v>#INVALID COMPANY ID</v>
      </c>
      <c r="FI423" s="9" t="str">
        <f>_xll.SNL.Clients.Office.Excel.Functions.SPG(FF423, "SP_COUNTRY_NAME")</f>
        <v>#INVALID COMPANY ID</v>
      </c>
      <c r="FN423" s="9" t="str">
        <f>_xll.SNL.Clients.Office.Excel.Functions.SPG(FK423, "SP_COUNTRY_NAME")</f>
        <v>#INVALID COMPANY ID</v>
      </c>
      <c r="FS423" s="9" t="str">
        <f>_xll.SNL.Clients.Office.Excel.Functions.SPG(FP423, "SP_COUNTRY_NAME")</f>
        <v>#INVALID COMPANY ID</v>
      </c>
      <c r="FX423" s="9" t="str">
        <f>_xll.SNL.Clients.Office.Excel.Functions.SPG(FU423, "SP_COUNTRY_NAME")</f>
        <v>#INVALID COMPANY ID</v>
      </c>
      <c r="FY423" t="s">
        <v>896</v>
      </c>
      <c r="FZ423">
        <v>4272541</v>
      </c>
      <c r="GA423" t="s">
        <v>346</v>
      </c>
      <c r="GB423" s="11">
        <v>0</v>
      </c>
      <c r="GC423" s="9" t="str">
        <f>_xll.SNL.Clients.Office.Excel.Functions.SPG(FZ423, "SP_COUNTRY_NAME")</f>
        <v>USA</v>
      </c>
      <c r="GH423" s="9" t="str">
        <f>_xll.SNL.Clients.Office.Excel.Functions.SPG(GE423, "SP_COUNTRY_NAME")</f>
        <v>#INVALID COMPANY ID</v>
      </c>
      <c r="GM423" s="9" t="str">
        <f>_xll.SNL.Clients.Office.Excel.Functions.SPG(GJ423, "SP_COUNTRY_NAME")</f>
        <v>#INVALID COMPANY ID</v>
      </c>
      <c r="GR423" s="9" t="str">
        <f>_xll.SNL.Clients.Office.Excel.Functions.SPG(GO423, "SP_COUNTRY_NAME")</f>
        <v>#INVALID COMPANY ID</v>
      </c>
      <c r="GW423" s="9" t="str">
        <f>_xll.SNL.Clients.Office.Excel.Functions.SPG(GT423, "SP_COUNTRY_NAME")</f>
        <v>#INVALID COMPANY ID</v>
      </c>
      <c r="GX423" t="s">
        <v>1844</v>
      </c>
      <c r="GY423" t="s">
        <v>300</v>
      </c>
      <c r="GZ423" t="s">
        <v>361</v>
      </c>
      <c r="HA423" s="11">
        <v>0</v>
      </c>
      <c r="HB423" s="9" t="str">
        <f>_xll.SNL.Clients.Office.Excel.Functions.SPG(GY423, "SP_COUNTRY_NAME")</f>
        <v>China</v>
      </c>
      <c r="HG423" s="9" t="str">
        <f>_xll.SNL.Clients.Office.Excel.Functions.SPG(HD423, "SP_COUNTRY_NAME")</f>
        <v>#INVALID COMPANY ID</v>
      </c>
    </row>
    <row r="424" spans="5:215" x14ac:dyDescent="0.35">
      <c r="E424" s="9" t="str">
        <f>_xll.SNL.Clients.Office.Excel.Functions.SPG(B424, "SP_COUNTRY_NAME")</f>
        <v>#INVALID COMPANY ID</v>
      </c>
      <c r="J424" s="9" t="str">
        <f>_xll.SNL.Clients.Office.Excel.Functions.SPG(G424, "SP_COUNTRY_NAME")</f>
        <v>#INVALID COMPANY ID</v>
      </c>
      <c r="O424" s="9" t="str">
        <f>_xll.SNL.Clients.Office.Excel.Functions.SPG(L424, "SP_COUNTRY_NAME")</f>
        <v>#INVALID COMPANY ID</v>
      </c>
      <c r="T424" s="9" t="str">
        <f>_xll.SNL.Clients.Office.Excel.Functions.SPG(Q424, "SP_COUNTRY_NAME")</f>
        <v>#INVALID COMPANY ID</v>
      </c>
      <c r="Y424" s="9" t="str">
        <f>_xll.SNL.Clients.Office.Excel.Functions.SPG(V424, "SP_COUNTRY_NAME")</f>
        <v>#INVALID COMPANY ID</v>
      </c>
      <c r="AD424" s="9" t="str">
        <f>_xll.SNL.Clients.Office.Excel.Functions.SPG(AA424, "SP_COUNTRY_NAME")</f>
        <v>#INVALID COMPANY ID</v>
      </c>
      <c r="AI424" s="9" t="str">
        <f>_xll.SNL.Clients.Office.Excel.Functions.SPG(AF424, "SP_COUNTRY_NAME")</f>
        <v>#INVALID COMPANY ID</v>
      </c>
      <c r="AN424" s="9" t="str">
        <f>_xll.SNL.Clients.Office.Excel.Functions.SPG(AK424, "SP_COUNTRY_NAME")</f>
        <v>#INVALID COMPANY ID</v>
      </c>
      <c r="AS424" s="9" t="str">
        <f>_xll.SNL.Clients.Office.Excel.Functions.SPG(AP424, "SP_COUNTRY_NAME")</f>
        <v>#INVALID COMPANY ID</v>
      </c>
      <c r="AX424" s="9" t="str">
        <f>_xll.SNL.Clients.Office.Excel.Functions.SPG(AU424, "SP_COUNTRY_NAME")</f>
        <v>#INVALID COMPANY ID</v>
      </c>
      <c r="BC424" s="9" t="str">
        <f>_xll.SNL.Clients.Office.Excel.Functions.SPG(AZ424, "SP_COUNTRY_NAME")</f>
        <v>#INVALID COMPANY ID</v>
      </c>
      <c r="BD424" t="s">
        <v>1314</v>
      </c>
      <c r="BE424">
        <v>105607411</v>
      </c>
      <c r="BF424" t="s">
        <v>346</v>
      </c>
      <c r="BG424" s="11">
        <v>0</v>
      </c>
      <c r="BH424" s="9" t="str">
        <f>_xll.SNL.Clients.Office.Excel.Functions.SPG(BE424, "SP_COUNTRY_NAME")</f>
        <v>South Africa</v>
      </c>
      <c r="BM424" s="9" t="str">
        <f>_xll.SNL.Clients.Office.Excel.Functions.SPG(BJ424, "SP_COUNTRY_NAME")</f>
        <v>#INVALID COMPANY ID</v>
      </c>
      <c r="BR424" s="9" t="str">
        <f>_xll.SNL.Clients.Office.Excel.Functions.SPG(BO424, "SP_COUNTRY_NAME")</f>
        <v>#INVALID COMPANY ID</v>
      </c>
      <c r="BS424" t="s">
        <v>927</v>
      </c>
      <c r="BT424">
        <v>110719123</v>
      </c>
      <c r="BU424" t="s">
        <v>346</v>
      </c>
      <c r="BV424" s="11">
        <v>0</v>
      </c>
      <c r="BW424" s="9" t="str">
        <f>_xll.SNL.Clients.Office.Excel.Functions.SPG(BT424, "SP_COUNTRY_NAME")</f>
        <v>#INVALID COMPANY ID</v>
      </c>
      <c r="CB424" s="9" t="str">
        <f>_xll.SNL.Clients.Office.Excel.Functions.SPG(BY424, "SP_COUNTRY_NAME")</f>
        <v>#INVALID COMPANY ID</v>
      </c>
      <c r="CC424" t="s">
        <v>1845</v>
      </c>
      <c r="CD424">
        <v>101548481</v>
      </c>
      <c r="CE424" t="s">
        <v>276</v>
      </c>
      <c r="CF424" s="11">
        <v>0</v>
      </c>
      <c r="CG424" s="9" t="str">
        <f>_xll.SNL.Clients.Office.Excel.Functions.SPG(CD424, "SP_COUNTRY_NAME")</f>
        <v>USA</v>
      </c>
      <c r="CL424" s="9" t="str">
        <f>_xll.SNL.Clients.Office.Excel.Functions.SPG(CI424, "SP_COUNTRY_NAME")</f>
        <v>#INVALID COMPANY ID</v>
      </c>
      <c r="CM424" t="s">
        <v>2075</v>
      </c>
      <c r="CN424">
        <v>5787808</v>
      </c>
      <c r="CO424" t="s">
        <v>346</v>
      </c>
      <c r="CP424" s="11">
        <v>0</v>
      </c>
      <c r="CQ424" s="9" t="str">
        <f>_xll.SNL.Clients.Office.Excel.Functions.SPG(CN424, "SP_COUNTRY_NAME")</f>
        <v>Japan</v>
      </c>
      <c r="CV424" s="9" t="str">
        <f>_xll.SNL.Clients.Office.Excel.Functions.SPG(CS424, "SP_COUNTRY_NAME")</f>
        <v>#INVALID COMPANY ID</v>
      </c>
      <c r="DA424" s="9" t="str">
        <f>_xll.SNL.Clients.Office.Excel.Functions.SPG(CX424, "SP_COUNTRY_NAME")</f>
        <v>#INVALID COMPANY ID</v>
      </c>
      <c r="DB424" t="s">
        <v>1314</v>
      </c>
      <c r="DC424">
        <v>105607411</v>
      </c>
      <c r="DD424" t="s">
        <v>346</v>
      </c>
      <c r="DE424" s="11">
        <v>0</v>
      </c>
      <c r="DF424" s="9" t="str">
        <f>_xll.SNL.Clients.Office.Excel.Functions.SPG(DC424, "SP_COUNTRY_NAME")</f>
        <v>South Africa</v>
      </c>
      <c r="DK424" s="9" t="str">
        <f>_xll.SNL.Clients.Office.Excel.Functions.SPG(DH424, "SP_COUNTRY_NAME")</f>
        <v>#INVALID COMPANY ID</v>
      </c>
      <c r="DL424" t="s">
        <v>1314</v>
      </c>
      <c r="DM424">
        <v>105607411</v>
      </c>
      <c r="DN424" t="s">
        <v>346</v>
      </c>
      <c r="DO424" s="11">
        <v>0</v>
      </c>
      <c r="DP424" s="9" t="str">
        <f>_xll.SNL.Clients.Office.Excel.Functions.SPG(DM424, "SP_COUNTRY_NAME")</f>
        <v>South Africa</v>
      </c>
      <c r="DU424" s="9" t="str">
        <f>_xll.SNL.Clients.Office.Excel.Functions.SPG(DR424, "SP_COUNTRY_NAME")</f>
        <v>#INVALID COMPANY ID</v>
      </c>
      <c r="DZ424" s="9" t="str">
        <f>_xll.SNL.Clients.Office.Excel.Functions.SPG(DW424, "SP_COUNTRY_NAME")</f>
        <v>#INVALID COMPANY ID</v>
      </c>
      <c r="EA424" t="s">
        <v>1845</v>
      </c>
      <c r="EB424">
        <v>101548481</v>
      </c>
      <c r="EC424" t="s">
        <v>276</v>
      </c>
      <c r="ED424" s="11">
        <v>0</v>
      </c>
      <c r="EE424" s="9" t="str">
        <f>_xll.SNL.Clients.Office.Excel.Functions.SPG(EB424, "SP_COUNTRY_NAME")</f>
        <v>USA</v>
      </c>
      <c r="EF424" t="s">
        <v>1314</v>
      </c>
      <c r="EG424">
        <v>105607411</v>
      </c>
      <c r="EH424" t="s">
        <v>346</v>
      </c>
      <c r="EI424" s="11">
        <v>0</v>
      </c>
      <c r="EJ424" s="9" t="str">
        <f>_xll.SNL.Clients.Office.Excel.Functions.SPG(EG424, "SP_COUNTRY_NAME")</f>
        <v>South Africa</v>
      </c>
      <c r="EO424" s="9" t="str">
        <f>_xll.SNL.Clients.Office.Excel.Functions.SPG(EL424, "SP_COUNTRY_NAME")</f>
        <v>#INVALID COMPANY ID</v>
      </c>
      <c r="ET424" s="9" t="str">
        <f>_xll.SNL.Clients.Office.Excel.Functions.SPG(EQ424, "SP_COUNTRY_NAME")</f>
        <v>#INVALID COMPANY ID</v>
      </c>
      <c r="EY424" s="9" t="str">
        <f>_xll.SNL.Clients.Office.Excel.Functions.SPG(EV424, "SP_COUNTRY_NAME")</f>
        <v>#INVALID COMPANY ID</v>
      </c>
      <c r="FD424" s="9" t="str">
        <f>_xll.SNL.Clients.Office.Excel.Functions.SPG(FA424, "SP_COUNTRY_NAME")</f>
        <v>#INVALID COMPANY ID</v>
      </c>
      <c r="FI424" s="9" t="str">
        <f>_xll.SNL.Clients.Office.Excel.Functions.SPG(FF424, "SP_COUNTRY_NAME")</f>
        <v>#INVALID COMPANY ID</v>
      </c>
      <c r="FN424" s="9" t="str">
        <f>_xll.SNL.Clients.Office.Excel.Functions.SPG(FK424, "SP_COUNTRY_NAME")</f>
        <v>#INVALID COMPANY ID</v>
      </c>
      <c r="FS424" s="9" t="str">
        <f>_xll.SNL.Clients.Office.Excel.Functions.SPG(FP424, "SP_COUNTRY_NAME")</f>
        <v>#INVALID COMPANY ID</v>
      </c>
      <c r="FX424" s="9" t="str">
        <f>_xll.SNL.Clients.Office.Excel.Functions.SPG(FU424, "SP_COUNTRY_NAME")</f>
        <v>#INVALID COMPANY ID</v>
      </c>
      <c r="FY424" t="s">
        <v>1314</v>
      </c>
      <c r="FZ424">
        <v>105607411</v>
      </c>
      <c r="GA424" t="s">
        <v>346</v>
      </c>
      <c r="GB424" s="11">
        <v>0</v>
      </c>
      <c r="GC424" s="9" t="str">
        <f>_xll.SNL.Clients.Office.Excel.Functions.SPG(FZ424, "SP_COUNTRY_NAME")</f>
        <v>South Africa</v>
      </c>
      <c r="GH424" s="9" t="str">
        <f>_xll.SNL.Clients.Office.Excel.Functions.SPG(GE424, "SP_COUNTRY_NAME")</f>
        <v>#INVALID COMPANY ID</v>
      </c>
      <c r="GM424" s="9" t="str">
        <f>_xll.SNL.Clients.Office.Excel.Functions.SPG(GJ424, "SP_COUNTRY_NAME")</f>
        <v>#INVALID COMPANY ID</v>
      </c>
      <c r="GR424" s="9" t="str">
        <f>_xll.SNL.Clients.Office.Excel.Functions.SPG(GO424, "SP_COUNTRY_NAME")</f>
        <v>#INVALID COMPANY ID</v>
      </c>
      <c r="GW424" s="9" t="str">
        <f>_xll.SNL.Clients.Office.Excel.Functions.SPG(GT424, "SP_COUNTRY_NAME")</f>
        <v>#INVALID COMPANY ID</v>
      </c>
      <c r="GX424" t="s">
        <v>1845</v>
      </c>
      <c r="GY424">
        <v>101548481</v>
      </c>
      <c r="GZ424" t="s">
        <v>276</v>
      </c>
      <c r="HA424" s="11">
        <v>0</v>
      </c>
      <c r="HB424" s="9" t="str">
        <f>_xll.SNL.Clients.Office.Excel.Functions.SPG(GY424, "SP_COUNTRY_NAME")</f>
        <v>USA</v>
      </c>
      <c r="HG424" s="9" t="str">
        <f>_xll.SNL.Clients.Office.Excel.Functions.SPG(HD424, "SP_COUNTRY_NAME")</f>
        <v>#INVALID COMPANY ID</v>
      </c>
    </row>
    <row r="425" spans="5:215" x14ac:dyDescent="0.35">
      <c r="E425" s="9" t="str">
        <f>_xll.SNL.Clients.Office.Excel.Functions.SPG(B425, "SP_COUNTRY_NAME")</f>
        <v>#INVALID COMPANY ID</v>
      </c>
      <c r="J425" s="9" t="str">
        <f>_xll.SNL.Clients.Office.Excel.Functions.SPG(G425, "SP_COUNTRY_NAME")</f>
        <v>#INVALID COMPANY ID</v>
      </c>
      <c r="O425" s="9" t="str">
        <f>_xll.SNL.Clients.Office.Excel.Functions.SPG(L425, "SP_COUNTRY_NAME")</f>
        <v>#INVALID COMPANY ID</v>
      </c>
      <c r="T425" s="9" t="str">
        <f>_xll.SNL.Clients.Office.Excel.Functions.SPG(Q425, "SP_COUNTRY_NAME")</f>
        <v>#INVALID COMPANY ID</v>
      </c>
      <c r="Y425" s="9" t="str">
        <f>_xll.SNL.Clients.Office.Excel.Functions.SPG(V425, "SP_COUNTRY_NAME")</f>
        <v>#INVALID COMPANY ID</v>
      </c>
      <c r="AD425" s="9" t="str">
        <f>_xll.SNL.Clients.Office.Excel.Functions.SPG(AA425, "SP_COUNTRY_NAME")</f>
        <v>#INVALID COMPANY ID</v>
      </c>
      <c r="AI425" s="9" t="str">
        <f>_xll.SNL.Clients.Office.Excel.Functions.SPG(AF425, "SP_COUNTRY_NAME")</f>
        <v>#INVALID COMPANY ID</v>
      </c>
      <c r="AN425" s="9" t="str">
        <f>_xll.SNL.Clients.Office.Excel.Functions.SPG(AK425, "SP_COUNTRY_NAME")</f>
        <v>#INVALID COMPANY ID</v>
      </c>
      <c r="AS425" s="9" t="str">
        <f>_xll.SNL.Clients.Office.Excel.Functions.SPG(AP425, "SP_COUNTRY_NAME")</f>
        <v>#INVALID COMPANY ID</v>
      </c>
      <c r="AX425" s="9" t="str">
        <f>_xll.SNL.Clients.Office.Excel.Functions.SPG(AU425, "SP_COUNTRY_NAME")</f>
        <v>#INVALID COMPANY ID</v>
      </c>
      <c r="BC425" s="9" t="str">
        <f>_xll.SNL.Clients.Office.Excel.Functions.SPG(AZ425, "SP_COUNTRY_NAME")</f>
        <v>#INVALID COMPANY ID</v>
      </c>
      <c r="BD425" t="s">
        <v>821</v>
      </c>
      <c r="BE425">
        <v>4240614</v>
      </c>
      <c r="BF425" t="s">
        <v>346</v>
      </c>
      <c r="BG425" s="11">
        <v>0</v>
      </c>
      <c r="BH425" s="9" t="str">
        <f>_xll.SNL.Clients.Office.Excel.Functions.SPG(BE425, "SP_COUNTRY_NAME")</f>
        <v>Taiwan</v>
      </c>
      <c r="BM425" s="9" t="str">
        <f>_xll.SNL.Clients.Office.Excel.Functions.SPG(BJ425, "SP_COUNTRY_NAME")</f>
        <v>#INVALID COMPANY ID</v>
      </c>
      <c r="BR425" s="9" t="str">
        <f>_xll.SNL.Clients.Office.Excel.Functions.SPG(BO425, "SP_COUNTRY_NAME")</f>
        <v>#INVALID COMPANY ID</v>
      </c>
      <c r="BS425" t="s">
        <v>1066</v>
      </c>
      <c r="BT425">
        <v>4304962</v>
      </c>
      <c r="BU425" t="s">
        <v>346</v>
      </c>
      <c r="BV425" s="11">
        <v>0</v>
      </c>
      <c r="BW425" s="9" t="str">
        <f>_xll.SNL.Clients.Office.Excel.Functions.SPG(BT425, "SP_COUNTRY_NAME")</f>
        <v>France</v>
      </c>
      <c r="CB425" s="9" t="str">
        <f>_xll.SNL.Clients.Office.Excel.Functions.SPG(BY425, "SP_COUNTRY_NAME")</f>
        <v>#INVALID COMPANY ID</v>
      </c>
      <c r="CC425" t="s">
        <v>626</v>
      </c>
      <c r="CD425">
        <v>4035337</v>
      </c>
      <c r="CE425" t="s">
        <v>346</v>
      </c>
      <c r="CF425" s="11">
        <v>0</v>
      </c>
      <c r="CG425" s="9" t="str">
        <f>_xll.SNL.Clients.Office.Excel.Functions.SPG(CD425, "SP_COUNTRY_NAME")</f>
        <v>USA</v>
      </c>
      <c r="CL425" s="9" t="str">
        <f>_xll.SNL.Clients.Office.Excel.Functions.SPG(CI425, "SP_COUNTRY_NAME")</f>
        <v>#INVALID COMPANY ID</v>
      </c>
      <c r="CM425" t="s">
        <v>1360</v>
      </c>
      <c r="CN425">
        <v>4337895</v>
      </c>
      <c r="CO425" t="s">
        <v>364</v>
      </c>
      <c r="CP425" s="11">
        <v>0</v>
      </c>
      <c r="CQ425" s="9" t="str">
        <f>_xll.SNL.Clients.Office.Excel.Functions.SPG(CN425, "SP_COUNTRY_NAME")</f>
        <v>USA</v>
      </c>
      <c r="CV425" s="9" t="str">
        <f>_xll.SNL.Clients.Office.Excel.Functions.SPG(CS425, "SP_COUNTRY_NAME")</f>
        <v>#INVALID COMPANY ID</v>
      </c>
      <c r="DA425" s="9" t="str">
        <f>_xll.SNL.Clients.Office.Excel.Functions.SPG(CX425, "SP_COUNTRY_NAME")</f>
        <v>#INVALID COMPANY ID</v>
      </c>
      <c r="DB425" t="s">
        <v>821</v>
      </c>
      <c r="DC425">
        <v>4240614</v>
      </c>
      <c r="DD425" t="s">
        <v>346</v>
      </c>
      <c r="DE425" s="11">
        <v>0</v>
      </c>
      <c r="DF425" s="9" t="str">
        <f>_xll.SNL.Clients.Office.Excel.Functions.SPG(DC425, "SP_COUNTRY_NAME")</f>
        <v>Taiwan</v>
      </c>
      <c r="DK425" s="9" t="str">
        <f>_xll.SNL.Clients.Office.Excel.Functions.SPG(DH425, "SP_COUNTRY_NAME")</f>
        <v>#INVALID COMPANY ID</v>
      </c>
      <c r="DL425" t="s">
        <v>821</v>
      </c>
      <c r="DM425">
        <v>4240614</v>
      </c>
      <c r="DN425" t="s">
        <v>346</v>
      </c>
      <c r="DO425" s="11">
        <v>0</v>
      </c>
      <c r="DP425" s="9" t="str">
        <f>_xll.SNL.Clients.Office.Excel.Functions.SPG(DM425, "SP_COUNTRY_NAME")</f>
        <v>Taiwan</v>
      </c>
      <c r="DU425" s="9" t="str">
        <f>_xll.SNL.Clients.Office.Excel.Functions.SPG(DR425, "SP_COUNTRY_NAME")</f>
        <v>#INVALID COMPANY ID</v>
      </c>
      <c r="DZ425" s="9" t="str">
        <f>_xll.SNL.Clients.Office.Excel.Functions.SPG(DW425, "SP_COUNTRY_NAME")</f>
        <v>#INVALID COMPANY ID</v>
      </c>
      <c r="EA425" t="s">
        <v>626</v>
      </c>
      <c r="EB425">
        <v>4035337</v>
      </c>
      <c r="EC425" t="s">
        <v>346</v>
      </c>
      <c r="ED425" s="11">
        <v>0</v>
      </c>
      <c r="EE425" s="9" t="str">
        <f>_xll.SNL.Clients.Office.Excel.Functions.SPG(EB425, "SP_COUNTRY_NAME")</f>
        <v>USA</v>
      </c>
      <c r="EF425" t="s">
        <v>821</v>
      </c>
      <c r="EG425">
        <v>4240614</v>
      </c>
      <c r="EH425" t="s">
        <v>346</v>
      </c>
      <c r="EI425" s="11">
        <v>0</v>
      </c>
      <c r="EJ425" s="9" t="str">
        <f>_xll.SNL.Clients.Office.Excel.Functions.SPG(EG425, "SP_COUNTRY_NAME")</f>
        <v>Taiwan</v>
      </c>
      <c r="EO425" s="9" t="str">
        <f>_xll.SNL.Clients.Office.Excel.Functions.SPG(EL425, "SP_COUNTRY_NAME")</f>
        <v>#INVALID COMPANY ID</v>
      </c>
      <c r="ET425" s="9" t="str">
        <f>_xll.SNL.Clients.Office.Excel.Functions.SPG(EQ425, "SP_COUNTRY_NAME")</f>
        <v>#INVALID COMPANY ID</v>
      </c>
      <c r="EY425" s="9" t="str">
        <f>_xll.SNL.Clients.Office.Excel.Functions.SPG(EV425, "SP_COUNTRY_NAME")</f>
        <v>#INVALID COMPANY ID</v>
      </c>
      <c r="FD425" s="9" t="str">
        <f>_xll.SNL.Clients.Office.Excel.Functions.SPG(FA425, "SP_COUNTRY_NAME")</f>
        <v>#INVALID COMPANY ID</v>
      </c>
      <c r="FI425" s="9" t="str">
        <f>_xll.SNL.Clients.Office.Excel.Functions.SPG(FF425, "SP_COUNTRY_NAME")</f>
        <v>#INVALID COMPANY ID</v>
      </c>
      <c r="FN425" s="9" t="str">
        <f>_xll.SNL.Clients.Office.Excel.Functions.SPG(FK425, "SP_COUNTRY_NAME")</f>
        <v>#INVALID COMPANY ID</v>
      </c>
      <c r="FS425" s="9" t="str">
        <f>_xll.SNL.Clients.Office.Excel.Functions.SPG(FP425, "SP_COUNTRY_NAME")</f>
        <v>#INVALID COMPANY ID</v>
      </c>
      <c r="FX425" s="9" t="str">
        <f>_xll.SNL.Clients.Office.Excel.Functions.SPG(FU425, "SP_COUNTRY_NAME")</f>
        <v>#INVALID COMPANY ID</v>
      </c>
      <c r="FY425" t="s">
        <v>821</v>
      </c>
      <c r="FZ425">
        <v>4240614</v>
      </c>
      <c r="GA425" t="s">
        <v>346</v>
      </c>
      <c r="GB425" s="11">
        <v>0</v>
      </c>
      <c r="GC425" s="9" t="str">
        <f>_xll.SNL.Clients.Office.Excel.Functions.SPG(FZ425, "SP_COUNTRY_NAME")</f>
        <v>Taiwan</v>
      </c>
      <c r="GH425" s="9" t="str">
        <f>_xll.SNL.Clients.Office.Excel.Functions.SPG(GE425, "SP_COUNTRY_NAME")</f>
        <v>#INVALID COMPANY ID</v>
      </c>
      <c r="GM425" s="9" t="str">
        <f>_xll.SNL.Clients.Office.Excel.Functions.SPG(GJ425, "SP_COUNTRY_NAME")</f>
        <v>#INVALID COMPANY ID</v>
      </c>
      <c r="GR425" s="9" t="str">
        <f>_xll.SNL.Clients.Office.Excel.Functions.SPG(GO425, "SP_COUNTRY_NAME")</f>
        <v>#INVALID COMPANY ID</v>
      </c>
      <c r="GW425" s="9" t="str">
        <f>_xll.SNL.Clients.Office.Excel.Functions.SPG(GT425, "SP_COUNTRY_NAME")</f>
        <v>#INVALID COMPANY ID</v>
      </c>
      <c r="GX425" t="s">
        <v>626</v>
      </c>
      <c r="GY425">
        <v>4035337</v>
      </c>
      <c r="GZ425" t="s">
        <v>346</v>
      </c>
      <c r="HA425" s="11">
        <v>0</v>
      </c>
      <c r="HB425" s="9" t="str">
        <f>_xll.SNL.Clients.Office.Excel.Functions.SPG(GY425, "SP_COUNTRY_NAME")</f>
        <v>USA</v>
      </c>
      <c r="HG425" s="9" t="str">
        <f>_xll.SNL.Clients.Office.Excel.Functions.SPG(HD425, "SP_COUNTRY_NAME")</f>
        <v>#INVALID COMPANY ID</v>
      </c>
    </row>
    <row r="426" spans="5:215" x14ac:dyDescent="0.35">
      <c r="E426" s="9" t="str">
        <f>_xll.SNL.Clients.Office.Excel.Functions.SPG(B426, "SP_COUNTRY_NAME")</f>
        <v>#INVALID COMPANY ID</v>
      </c>
      <c r="J426" s="9" t="str">
        <f>_xll.SNL.Clients.Office.Excel.Functions.SPG(G426, "SP_COUNTRY_NAME")</f>
        <v>#INVALID COMPANY ID</v>
      </c>
      <c r="O426" s="9" t="str">
        <f>_xll.SNL.Clients.Office.Excel.Functions.SPG(L426, "SP_COUNTRY_NAME")</f>
        <v>#INVALID COMPANY ID</v>
      </c>
      <c r="T426" s="9" t="str">
        <f>_xll.SNL.Clients.Office.Excel.Functions.SPG(Q426, "SP_COUNTRY_NAME")</f>
        <v>#INVALID COMPANY ID</v>
      </c>
      <c r="Y426" s="9" t="str">
        <f>_xll.SNL.Clients.Office.Excel.Functions.SPG(V426, "SP_COUNTRY_NAME")</f>
        <v>#INVALID COMPANY ID</v>
      </c>
      <c r="AD426" s="9" t="str">
        <f>_xll.SNL.Clients.Office.Excel.Functions.SPG(AA426, "SP_COUNTRY_NAME")</f>
        <v>#INVALID COMPANY ID</v>
      </c>
      <c r="AI426" s="9" t="str">
        <f>_xll.SNL.Clients.Office.Excel.Functions.SPG(AF426, "SP_COUNTRY_NAME")</f>
        <v>#INVALID COMPANY ID</v>
      </c>
      <c r="AN426" s="9" t="str">
        <f>_xll.SNL.Clients.Office.Excel.Functions.SPG(AK426, "SP_COUNTRY_NAME")</f>
        <v>#INVALID COMPANY ID</v>
      </c>
      <c r="AS426" s="9" t="str">
        <f>_xll.SNL.Clients.Office.Excel.Functions.SPG(AP426, "SP_COUNTRY_NAME")</f>
        <v>#INVALID COMPANY ID</v>
      </c>
      <c r="AX426" s="9" t="str">
        <f>_xll.SNL.Clients.Office.Excel.Functions.SPG(AU426, "SP_COUNTRY_NAME")</f>
        <v>#INVALID COMPANY ID</v>
      </c>
      <c r="BC426" s="9" t="str">
        <f>_xll.SNL.Clients.Office.Excel.Functions.SPG(AZ426, "SP_COUNTRY_NAME")</f>
        <v>#INVALID COMPANY ID</v>
      </c>
      <c r="BD426" t="s">
        <v>1328</v>
      </c>
      <c r="BE426">
        <v>5807523</v>
      </c>
      <c r="BF426" t="s">
        <v>346</v>
      </c>
      <c r="BG426" s="11">
        <v>0</v>
      </c>
      <c r="BH426" s="9" t="str">
        <f>_xll.SNL.Clients.Office.Excel.Functions.SPG(BE426, "SP_COUNTRY_NAME")</f>
        <v>South Africa</v>
      </c>
      <c r="BM426" s="9" t="str">
        <f>_xll.SNL.Clients.Office.Excel.Functions.SPG(BJ426, "SP_COUNTRY_NAME")</f>
        <v>#INVALID COMPANY ID</v>
      </c>
      <c r="BR426" s="9" t="str">
        <f>_xll.SNL.Clients.Office.Excel.Functions.SPG(BO426, "SP_COUNTRY_NAME")</f>
        <v>#INVALID COMPANY ID</v>
      </c>
      <c r="BS426" t="s">
        <v>1067</v>
      </c>
      <c r="BT426">
        <v>4336776</v>
      </c>
      <c r="BU426" t="s">
        <v>346</v>
      </c>
      <c r="BV426" s="11">
        <v>0</v>
      </c>
      <c r="BW426" s="9" t="str">
        <f>_xll.SNL.Clients.Office.Excel.Functions.SPG(BT426, "SP_COUNTRY_NAME")</f>
        <v>Norway</v>
      </c>
      <c r="CB426" s="9" t="str">
        <f>_xll.SNL.Clients.Office.Excel.Functions.SPG(BY426, "SP_COUNTRY_NAME")</f>
        <v>#INVALID COMPANY ID</v>
      </c>
      <c r="CC426" t="s">
        <v>1846</v>
      </c>
      <c r="CD426">
        <v>4275835</v>
      </c>
      <c r="CE426" t="s">
        <v>346</v>
      </c>
      <c r="CF426" s="11">
        <v>0</v>
      </c>
      <c r="CG426" s="9" t="str">
        <f>_xll.SNL.Clients.Office.Excel.Functions.SPG(CD426, "SP_COUNTRY_NAME")</f>
        <v>Brazil</v>
      </c>
      <c r="CL426" s="9" t="str">
        <f>_xll.SNL.Clients.Office.Excel.Functions.SPG(CI426, "SP_COUNTRY_NAME")</f>
        <v>#INVALID COMPANY ID</v>
      </c>
      <c r="CM426" t="s">
        <v>2076</v>
      </c>
      <c r="CN426" t="s">
        <v>300</v>
      </c>
      <c r="CO426" t="s">
        <v>361</v>
      </c>
      <c r="CP426" s="11">
        <v>0</v>
      </c>
      <c r="CQ426" s="9" t="str">
        <f>_xll.SNL.Clients.Office.Excel.Functions.SPG(CN426, "SP_COUNTRY_NAME")</f>
        <v>China</v>
      </c>
      <c r="CV426" s="9" t="str">
        <f>_xll.SNL.Clients.Office.Excel.Functions.SPG(CS426, "SP_COUNTRY_NAME")</f>
        <v>#INVALID COMPANY ID</v>
      </c>
      <c r="DA426" s="9" t="str">
        <f>_xll.SNL.Clients.Office.Excel.Functions.SPG(CX426, "SP_COUNTRY_NAME")</f>
        <v>#INVALID COMPANY ID</v>
      </c>
      <c r="DB426" t="s">
        <v>1328</v>
      </c>
      <c r="DC426">
        <v>5807523</v>
      </c>
      <c r="DD426" t="s">
        <v>346</v>
      </c>
      <c r="DE426" s="11">
        <v>0</v>
      </c>
      <c r="DF426" s="9" t="str">
        <f>_xll.SNL.Clients.Office.Excel.Functions.SPG(DC426, "SP_COUNTRY_NAME")</f>
        <v>South Africa</v>
      </c>
      <c r="DK426" s="9" t="str">
        <f>_xll.SNL.Clients.Office.Excel.Functions.SPG(DH426, "SP_COUNTRY_NAME")</f>
        <v>#INVALID COMPANY ID</v>
      </c>
      <c r="DL426" t="s">
        <v>1328</v>
      </c>
      <c r="DM426">
        <v>5807523</v>
      </c>
      <c r="DN426" t="s">
        <v>346</v>
      </c>
      <c r="DO426" s="11">
        <v>0</v>
      </c>
      <c r="DP426" s="9" t="str">
        <f>_xll.SNL.Clients.Office.Excel.Functions.SPG(DM426, "SP_COUNTRY_NAME")</f>
        <v>South Africa</v>
      </c>
      <c r="DU426" s="9" t="str">
        <f>_xll.SNL.Clients.Office.Excel.Functions.SPG(DR426, "SP_COUNTRY_NAME")</f>
        <v>#INVALID COMPANY ID</v>
      </c>
      <c r="DZ426" s="9" t="str">
        <f>_xll.SNL.Clients.Office.Excel.Functions.SPG(DW426, "SP_COUNTRY_NAME")</f>
        <v>#INVALID COMPANY ID</v>
      </c>
      <c r="EA426" t="s">
        <v>1846</v>
      </c>
      <c r="EB426">
        <v>4275835</v>
      </c>
      <c r="EC426" t="s">
        <v>346</v>
      </c>
      <c r="ED426" s="11">
        <v>0</v>
      </c>
      <c r="EE426" s="9" t="str">
        <f>_xll.SNL.Clients.Office.Excel.Functions.SPG(EB426, "SP_COUNTRY_NAME")</f>
        <v>Brazil</v>
      </c>
      <c r="EF426" t="s">
        <v>1328</v>
      </c>
      <c r="EG426">
        <v>5807523</v>
      </c>
      <c r="EH426" t="s">
        <v>346</v>
      </c>
      <c r="EI426" s="11">
        <v>0</v>
      </c>
      <c r="EJ426" s="9" t="str">
        <f>_xll.SNL.Clients.Office.Excel.Functions.SPG(EG426, "SP_COUNTRY_NAME")</f>
        <v>South Africa</v>
      </c>
      <c r="EO426" s="9" t="str">
        <f>_xll.SNL.Clients.Office.Excel.Functions.SPG(EL426, "SP_COUNTRY_NAME")</f>
        <v>#INVALID COMPANY ID</v>
      </c>
      <c r="ET426" s="9" t="str">
        <f>_xll.SNL.Clients.Office.Excel.Functions.SPG(EQ426, "SP_COUNTRY_NAME")</f>
        <v>#INVALID COMPANY ID</v>
      </c>
      <c r="EY426" s="9" t="str">
        <f>_xll.SNL.Clients.Office.Excel.Functions.SPG(EV426, "SP_COUNTRY_NAME")</f>
        <v>#INVALID COMPANY ID</v>
      </c>
      <c r="FD426" s="9" t="str">
        <f>_xll.SNL.Clients.Office.Excel.Functions.SPG(FA426, "SP_COUNTRY_NAME")</f>
        <v>#INVALID COMPANY ID</v>
      </c>
      <c r="FI426" s="9" t="str">
        <f>_xll.SNL.Clients.Office.Excel.Functions.SPG(FF426, "SP_COUNTRY_NAME")</f>
        <v>#INVALID COMPANY ID</v>
      </c>
      <c r="FN426" s="9" t="str">
        <f>_xll.SNL.Clients.Office.Excel.Functions.SPG(FK426, "SP_COUNTRY_NAME")</f>
        <v>#INVALID COMPANY ID</v>
      </c>
      <c r="FS426" s="9" t="str">
        <f>_xll.SNL.Clients.Office.Excel.Functions.SPG(FP426, "SP_COUNTRY_NAME")</f>
        <v>#INVALID COMPANY ID</v>
      </c>
      <c r="FX426" s="9" t="str">
        <f>_xll.SNL.Clients.Office.Excel.Functions.SPG(FU426, "SP_COUNTRY_NAME")</f>
        <v>#INVALID COMPANY ID</v>
      </c>
      <c r="FY426" t="s">
        <v>1328</v>
      </c>
      <c r="FZ426">
        <v>5807523</v>
      </c>
      <c r="GA426" t="s">
        <v>346</v>
      </c>
      <c r="GB426" s="11">
        <v>0</v>
      </c>
      <c r="GC426" s="9" t="str">
        <f>_xll.SNL.Clients.Office.Excel.Functions.SPG(FZ426, "SP_COUNTRY_NAME")</f>
        <v>South Africa</v>
      </c>
      <c r="GH426" s="9" t="str">
        <f>_xll.SNL.Clients.Office.Excel.Functions.SPG(GE426, "SP_COUNTRY_NAME")</f>
        <v>#INVALID COMPANY ID</v>
      </c>
      <c r="GM426" s="9" t="str">
        <f>_xll.SNL.Clients.Office.Excel.Functions.SPG(GJ426, "SP_COUNTRY_NAME")</f>
        <v>#INVALID COMPANY ID</v>
      </c>
      <c r="GR426" s="9" t="str">
        <f>_xll.SNL.Clients.Office.Excel.Functions.SPG(GO426, "SP_COUNTRY_NAME")</f>
        <v>#INVALID COMPANY ID</v>
      </c>
      <c r="GW426" s="9" t="str">
        <f>_xll.SNL.Clients.Office.Excel.Functions.SPG(GT426, "SP_COUNTRY_NAME")</f>
        <v>#INVALID COMPANY ID</v>
      </c>
      <c r="GX426" t="s">
        <v>1846</v>
      </c>
      <c r="GY426">
        <v>4275835</v>
      </c>
      <c r="GZ426" t="s">
        <v>346</v>
      </c>
      <c r="HA426" s="11">
        <v>0</v>
      </c>
      <c r="HB426" s="9" t="str">
        <f>_xll.SNL.Clients.Office.Excel.Functions.SPG(GY426, "SP_COUNTRY_NAME")</f>
        <v>Brazil</v>
      </c>
      <c r="HG426" s="9" t="str">
        <f>_xll.SNL.Clients.Office.Excel.Functions.SPG(HD426, "SP_COUNTRY_NAME")</f>
        <v>#INVALID COMPANY ID</v>
      </c>
    </row>
    <row r="427" spans="5:215" x14ac:dyDescent="0.35">
      <c r="E427" s="9" t="str">
        <f>_xll.SNL.Clients.Office.Excel.Functions.SPG(B427, "SP_COUNTRY_NAME")</f>
        <v>#INVALID COMPANY ID</v>
      </c>
      <c r="J427" s="9" t="str">
        <f>_xll.SNL.Clients.Office.Excel.Functions.SPG(G427, "SP_COUNTRY_NAME")</f>
        <v>#INVALID COMPANY ID</v>
      </c>
      <c r="O427" s="9" t="str">
        <f>_xll.SNL.Clients.Office.Excel.Functions.SPG(L427, "SP_COUNTRY_NAME")</f>
        <v>#INVALID COMPANY ID</v>
      </c>
      <c r="T427" s="9" t="str">
        <f>_xll.SNL.Clients.Office.Excel.Functions.SPG(Q427, "SP_COUNTRY_NAME")</f>
        <v>#INVALID COMPANY ID</v>
      </c>
      <c r="Y427" s="9" t="str">
        <f>_xll.SNL.Clients.Office.Excel.Functions.SPG(V427, "SP_COUNTRY_NAME")</f>
        <v>#INVALID COMPANY ID</v>
      </c>
      <c r="AD427" s="9" t="str">
        <f>_xll.SNL.Clients.Office.Excel.Functions.SPG(AA427, "SP_COUNTRY_NAME")</f>
        <v>#INVALID COMPANY ID</v>
      </c>
      <c r="AI427" s="9" t="str">
        <f>_xll.SNL.Clients.Office.Excel.Functions.SPG(AF427, "SP_COUNTRY_NAME")</f>
        <v>#INVALID COMPANY ID</v>
      </c>
      <c r="AN427" s="9" t="str">
        <f>_xll.SNL.Clients.Office.Excel.Functions.SPG(AK427, "SP_COUNTRY_NAME")</f>
        <v>#INVALID COMPANY ID</v>
      </c>
      <c r="AS427" s="9" t="str">
        <f>_xll.SNL.Clients.Office.Excel.Functions.SPG(AP427, "SP_COUNTRY_NAME")</f>
        <v>#INVALID COMPANY ID</v>
      </c>
      <c r="AX427" s="9" t="str">
        <f>_xll.SNL.Clients.Office.Excel.Functions.SPG(AU427, "SP_COUNTRY_NAME")</f>
        <v>#INVALID COMPANY ID</v>
      </c>
      <c r="BC427" s="9" t="str">
        <f>_xll.SNL.Clients.Office.Excel.Functions.SPG(AZ427, "SP_COUNTRY_NAME")</f>
        <v>#INVALID COMPANY ID</v>
      </c>
      <c r="BD427" t="s">
        <v>859</v>
      </c>
      <c r="BE427">
        <v>4049161</v>
      </c>
      <c r="BF427" t="s">
        <v>346</v>
      </c>
      <c r="BG427" s="11">
        <v>0</v>
      </c>
      <c r="BH427" s="9" t="str">
        <f>_xll.SNL.Clients.Office.Excel.Functions.SPG(BE427, "SP_COUNTRY_NAME")</f>
        <v>USA</v>
      </c>
      <c r="BM427" s="9" t="str">
        <f>_xll.SNL.Clients.Office.Excel.Functions.SPG(BJ427, "SP_COUNTRY_NAME")</f>
        <v>#INVALID COMPANY ID</v>
      </c>
      <c r="BR427" s="9" t="str">
        <f>_xll.SNL.Clients.Office.Excel.Functions.SPG(BO427, "SP_COUNTRY_NAME")</f>
        <v>#INVALID COMPANY ID</v>
      </c>
      <c r="BS427" t="s">
        <v>869</v>
      </c>
      <c r="BT427">
        <v>4560837</v>
      </c>
      <c r="BU427" t="s">
        <v>346</v>
      </c>
      <c r="BV427" s="11">
        <v>0</v>
      </c>
      <c r="BW427" s="9" t="str">
        <f>_xll.SNL.Clients.Office.Excel.Functions.SPG(BT427, "SP_COUNTRY_NAME")</f>
        <v>Hong Kong</v>
      </c>
      <c r="CB427" s="9" t="str">
        <f>_xll.SNL.Clients.Office.Excel.Functions.SPG(BY427, "SP_COUNTRY_NAME")</f>
        <v>#INVALID COMPANY ID</v>
      </c>
      <c r="CC427" t="s">
        <v>1847</v>
      </c>
      <c r="CD427">
        <v>111122</v>
      </c>
      <c r="CE427" t="s">
        <v>346</v>
      </c>
      <c r="CF427" s="11">
        <v>0</v>
      </c>
      <c r="CG427" s="9" t="str">
        <f>_xll.SNL.Clients.Office.Excel.Functions.SPG(CD427, "SP_COUNTRY_NAME")</f>
        <v>USA</v>
      </c>
      <c r="CL427" s="9" t="str">
        <f>_xll.SNL.Clients.Office.Excel.Functions.SPG(CI427, "SP_COUNTRY_NAME")</f>
        <v>#INVALID COMPANY ID</v>
      </c>
      <c r="CM427" t="s">
        <v>2077</v>
      </c>
      <c r="CN427">
        <v>1984064</v>
      </c>
      <c r="CO427" t="s">
        <v>366</v>
      </c>
      <c r="CP427" s="11">
        <v>0</v>
      </c>
      <c r="CQ427" s="9" t="str">
        <f>_xll.SNL.Clients.Office.Excel.Functions.SPG(CN427, "SP_COUNTRY_NAME")</f>
        <v>USA</v>
      </c>
      <c r="CV427" s="9" t="str">
        <f>_xll.SNL.Clients.Office.Excel.Functions.SPG(CS427, "SP_COUNTRY_NAME")</f>
        <v>#INVALID COMPANY ID</v>
      </c>
      <c r="DA427" s="9" t="str">
        <f>_xll.SNL.Clients.Office.Excel.Functions.SPG(CX427, "SP_COUNTRY_NAME")</f>
        <v>#INVALID COMPANY ID</v>
      </c>
      <c r="DB427" t="s">
        <v>859</v>
      </c>
      <c r="DC427">
        <v>4049161</v>
      </c>
      <c r="DD427" t="s">
        <v>346</v>
      </c>
      <c r="DE427" s="11">
        <v>0</v>
      </c>
      <c r="DF427" s="9" t="str">
        <f>_xll.SNL.Clients.Office.Excel.Functions.SPG(DC427, "SP_COUNTRY_NAME")</f>
        <v>USA</v>
      </c>
      <c r="DK427" s="9" t="str">
        <f>_xll.SNL.Clients.Office.Excel.Functions.SPG(DH427, "SP_COUNTRY_NAME")</f>
        <v>#INVALID COMPANY ID</v>
      </c>
      <c r="DL427" t="s">
        <v>859</v>
      </c>
      <c r="DM427">
        <v>4049161</v>
      </c>
      <c r="DN427" t="s">
        <v>346</v>
      </c>
      <c r="DO427" s="11">
        <v>0</v>
      </c>
      <c r="DP427" s="9" t="str">
        <f>_xll.SNL.Clients.Office.Excel.Functions.SPG(DM427, "SP_COUNTRY_NAME")</f>
        <v>USA</v>
      </c>
      <c r="DU427" s="9" t="str">
        <f>_xll.SNL.Clients.Office.Excel.Functions.SPG(DR427, "SP_COUNTRY_NAME")</f>
        <v>#INVALID COMPANY ID</v>
      </c>
      <c r="DZ427" s="9" t="str">
        <f>_xll.SNL.Clients.Office.Excel.Functions.SPG(DW427, "SP_COUNTRY_NAME")</f>
        <v>#INVALID COMPANY ID</v>
      </c>
      <c r="EA427" t="s">
        <v>1847</v>
      </c>
      <c r="EB427">
        <v>111122</v>
      </c>
      <c r="EC427" t="s">
        <v>346</v>
      </c>
      <c r="ED427" s="11">
        <v>0</v>
      </c>
      <c r="EE427" s="9" t="str">
        <f>_xll.SNL.Clients.Office.Excel.Functions.SPG(EB427, "SP_COUNTRY_NAME")</f>
        <v>USA</v>
      </c>
      <c r="EF427" t="s">
        <v>859</v>
      </c>
      <c r="EG427">
        <v>4049161</v>
      </c>
      <c r="EH427" t="s">
        <v>346</v>
      </c>
      <c r="EI427" s="11">
        <v>0</v>
      </c>
      <c r="EJ427" s="9" t="str">
        <f>_xll.SNL.Clients.Office.Excel.Functions.SPG(EG427, "SP_COUNTRY_NAME")</f>
        <v>USA</v>
      </c>
      <c r="EO427" s="9" t="str">
        <f>_xll.SNL.Clients.Office.Excel.Functions.SPG(EL427, "SP_COUNTRY_NAME")</f>
        <v>#INVALID COMPANY ID</v>
      </c>
      <c r="ET427" s="9" t="str">
        <f>_xll.SNL.Clients.Office.Excel.Functions.SPG(EQ427, "SP_COUNTRY_NAME")</f>
        <v>#INVALID COMPANY ID</v>
      </c>
      <c r="EY427" s="9" t="str">
        <f>_xll.SNL.Clients.Office.Excel.Functions.SPG(EV427, "SP_COUNTRY_NAME")</f>
        <v>#INVALID COMPANY ID</v>
      </c>
      <c r="FD427" s="9" t="str">
        <f>_xll.SNL.Clients.Office.Excel.Functions.SPG(FA427, "SP_COUNTRY_NAME")</f>
        <v>#INVALID COMPANY ID</v>
      </c>
      <c r="FI427" s="9" t="str">
        <f>_xll.SNL.Clients.Office.Excel.Functions.SPG(FF427, "SP_COUNTRY_NAME")</f>
        <v>#INVALID COMPANY ID</v>
      </c>
      <c r="FN427" s="9" t="str">
        <f>_xll.SNL.Clients.Office.Excel.Functions.SPG(FK427, "SP_COUNTRY_NAME")</f>
        <v>#INVALID COMPANY ID</v>
      </c>
      <c r="FS427" s="9" t="str">
        <f>_xll.SNL.Clients.Office.Excel.Functions.SPG(FP427, "SP_COUNTRY_NAME")</f>
        <v>#INVALID COMPANY ID</v>
      </c>
      <c r="FX427" s="9" t="str">
        <f>_xll.SNL.Clients.Office.Excel.Functions.SPG(FU427, "SP_COUNTRY_NAME")</f>
        <v>#INVALID COMPANY ID</v>
      </c>
      <c r="FY427" t="s">
        <v>859</v>
      </c>
      <c r="FZ427">
        <v>4049161</v>
      </c>
      <c r="GA427" t="s">
        <v>346</v>
      </c>
      <c r="GB427" s="11">
        <v>0</v>
      </c>
      <c r="GC427" s="9" t="str">
        <f>_xll.SNL.Clients.Office.Excel.Functions.SPG(FZ427, "SP_COUNTRY_NAME")</f>
        <v>USA</v>
      </c>
      <c r="GH427" s="9" t="str">
        <f>_xll.SNL.Clients.Office.Excel.Functions.SPG(GE427, "SP_COUNTRY_NAME")</f>
        <v>#INVALID COMPANY ID</v>
      </c>
      <c r="GM427" s="9" t="str">
        <f>_xll.SNL.Clients.Office.Excel.Functions.SPG(GJ427, "SP_COUNTRY_NAME")</f>
        <v>#INVALID COMPANY ID</v>
      </c>
      <c r="GR427" s="9" t="str">
        <f>_xll.SNL.Clients.Office.Excel.Functions.SPG(GO427, "SP_COUNTRY_NAME")</f>
        <v>#INVALID COMPANY ID</v>
      </c>
      <c r="GW427" s="9" t="str">
        <f>_xll.SNL.Clients.Office.Excel.Functions.SPG(GT427, "SP_COUNTRY_NAME")</f>
        <v>#INVALID COMPANY ID</v>
      </c>
      <c r="GX427" t="s">
        <v>1847</v>
      </c>
      <c r="GY427">
        <v>111122</v>
      </c>
      <c r="GZ427" t="s">
        <v>346</v>
      </c>
      <c r="HA427" s="11">
        <v>0</v>
      </c>
      <c r="HB427" s="9" t="str">
        <f>_xll.SNL.Clients.Office.Excel.Functions.SPG(GY427, "SP_COUNTRY_NAME")</f>
        <v>USA</v>
      </c>
      <c r="HG427" s="9" t="str">
        <f>_xll.SNL.Clients.Office.Excel.Functions.SPG(HD427, "SP_COUNTRY_NAME")</f>
        <v>#INVALID COMPANY ID</v>
      </c>
    </row>
    <row r="428" spans="5:215" x14ac:dyDescent="0.35">
      <c r="E428" s="9" t="str">
        <f>_xll.SNL.Clients.Office.Excel.Functions.SPG(B428, "SP_COUNTRY_NAME")</f>
        <v>#INVALID COMPANY ID</v>
      </c>
      <c r="J428" s="9" t="str">
        <f>_xll.SNL.Clients.Office.Excel.Functions.SPG(G428, "SP_COUNTRY_NAME")</f>
        <v>#INVALID COMPANY ID</v>
      </c>
      <c r="O428" s="9" t="str">
        <f>_xll.SNL.Clients.Office.Excel.Functions.SPG(L428, "SP_COUNTRY_NAME")</f>
        <v>#INVALID COMPANY ID</v>
      </c>
      <c r="T428" s="9" t="str">
        <f>_xll.SNL.Clients.Office.Excel.Functions.SPG(Q428, "SP_COUNTRY_NAME")</f>
        <v>#INVALID COMPANY ID</v>
      </c>
      <c r="Y428" s="9" t="str">
        <f>_xll.SNL.Clients.Office.Excel.Functions.SPG(V428, "SP_COUNTRY_NAME")</f>
        <v>#INVALID COMPANY ID</v>
      </c>
      <c r="AD428" s="9" t="str">
        <f>_xll.SNL.Clients.Office.Excel.Functions.SPG(AA428, "SP_COUNTRY_NAME")</f>
        <v>#INVALID COMPANY ID</v>
      </c>
      <c r="AI428" s="9" t="str">
        <f>_xll.SNL.Clients.Office.Excel.Functions.SPG(AF428, "SP_COUNTRY_NAME")</f>
        <v>#INVALID COMPANY ID</v>
      </c>
      <c r="AN428" s="9" t="str">
        <f>_xll.SNL.Clients.Office.Excel.Functions.SPG(AK428, "SP_COUNTRY_NAME")</f>
        <v>#INVALID COMPANY ID</v>
      </c>
      <c r="AS428" s="9" t="str">
        <f>_xll.SNL.Clients.Office.Excel.Functions.SPG(AP428, "SP_COUNTRY_NAME")</f>
        <v>#INVALID COMPANY ID</v>
      </c>
      <c r="AX428" s="9" t="str">
        <f>_xll.SNL.Clients.Office.Excel.Functions.SPG(AU428, "SP_COUNTRY_NAME")</f>
        <v>#INVALID COMPANY ID</v>
      </c>
      <c r="BC428" s="9" t="str">
        <f>_xll.SNL.Clients.Office.Excel.Functions.SPG(AZ428, "SP_COUNTRY_NAME")</f>
        <v>#INVALID COMPANY ID</v>
      </c>
      <c r="BD428" t="s">
        <v>1329</v>
      </c>
      <c r="BE428">
        <v>5804886</v>
      </c>
      <c r="BF428" t="s">
        <v>346</v>
      </c>
      <c r="BG428" s="11">
        <v>0</v>
      </c>
      <c r="BH428" s="9" t="str">
        <f>_xll.SNL.Clients.Office.Excel.Functions.SPG(BE428, "SP_COUNTRY_NAME")</f>
        <v>South Africa</v>
      </c>
      <c r="BM428" s="9" t="str">
        <f>_xll.SNL.Clients.Office.Excel.Functions.SPG(BJ428, "SP_COUNTRY_NAME")</f>
        <v>#INVALID COMPANY ID</v>
      </c>
      <c r="BR428" s="9" t="str">
        <f>_xll.SNL.Clients.Office.Excel.Functions.SPG(BO428, "SP_COUNTRY_NAME")</f>
        <v>#INVALID COMPANY ID</v>
      </c>
      <c r="BS428" t="s">
        <v>1068</v>
      </c>
      <c r="BT428">
        <v>110142</v>
      </c>
      <c r="BU428" t="s">
        <v>346</v>
      </c>
      <c r="BV428" s="11">
        <v>0</v>
      </c>
      <c r="BW428" s="9" t="str">
        <f>_xll.SNL.Clients.Office.Excel.Functions.SPG(BT428, "SP_COUNTRY_NAME")</f>
        <v>USA</v>
      </c>
      <c r="CB428" s="9" t="str">
        <f>_xll.SNL.Clients.Office.Excel.Functions.SPG(BY428, "SP_COUNTRY_NAME")</f>
        <v>#INVALID COMPANY ID</v>
      </c>
      <c r="CC428" t="s">
        <v>1848</v>
      </c>
      <c r="CD428">
        <v>4139244</v>
      </c>
      <c r="CE428" t="s">
        <v>346</v>
      </c>
      <c r="CF428" s="11">
        <v>0</v>
      </c>
      <c r="CG428" s="9" t="str">
        <f>_xll.SNL.Clients.Office.Excel.Functions.SPG(CD428, "SP_COUNTRY_NAME")</f>
        <v>Slovenia</v>
      </c>
      <c r="CL428" s="9" t="str">
        <f>_xll.SNL.Clients.Office.Excel.Functions.SPG(CI428, "SP_COUNTRY_NAME")</f>
        <v>#INVALID COMPANY ID</v>
      </c>
      <c r="CM428" t="s">
        <v>1614</v>
      </c>
      <c r="CN428">
        <v>4407080</v>
      </c>
      <c r="CO428" t="s">
        <v>346</v>
      </c>
      <c r="CP428" s="11">
        <v>0</v>
      </c>
      <c r="CQ428" s="9" t="str">
        <f>_xll.SNL.Clients.Office.Excel.Functions.SPG(CN428, "SP_COUNTRY_NAME")</f>
        <v>Brazil</v>
      </c>
      <c r="CV428" s="9" t="str">
        <f>_xll.SNL.Clients.Office.Excel.Functions.SPG(CS428, "SP_COUNTRY_NAME")</f>
        <v>#INVALID COMPANY ID</v>
      </c>
      <c r="DA428" s="9" t="str">
        <f>_xll.SNL.Clients.Office.Excel.Functions.SPG(CX428, "SP_COUNTRY_NAME")</f>
        <v>#INVALID COMPANY ID</v>
      </c>
      <c r="DB428" t="s">
        <v>1329</v>
      </c>
      <c r="DC428">
        <v>5804886</v>
      </c>
      <c r="DD428" t="s">
        <v>346</v>
      </c>
      <c r="DE428" s="11">
        <v>0</v>
      </c>
      <c r="DF428" s="9" t="str">
        <f>_xll.SNL.Clients.Office.Excel.Functions.SPG(DC428, "SP_COUNTRY_NAME")</f>
        <v>South Africa</v>
      </c>
      <c r="DK428" s="9" t="str">
        <f>_xll.SNL.Clients.Office.Excel.Functions.SPG(DH428, "SP_COUNTRY_NAME")</f>
        <v>#INVALID COMPANY ID</v>
      </c>
      <c r="DL428" t="s">
        <v>1329</v>
      </c>
      <c r="DM428">
        <v>5804886</v>
      </c>
      <c r="DN428" t="s">
        <v>346</v>
      </c>
      <c r="DO428" s="11">
        <v>0</v>
      </c>
      <c r="DP428" s="9" t="str">
        <f>_xll.SNL.Clients.Office.Excel.Functions.SPG(DM428, "SP_COUNTRY_NAME")</f>
        <v>South Africa</v>
      </c>
      <c r="DU428" s="9" t="str">
        <f>_xll.SNL.Clients.Office.Excel.Functions.SPG(DR428, "SP_COUNTRY_NAME")</f>
        <v>#INVALID COMPANY ID</v>
      </c>
      <c r="DZ428" s="9" t="str">
        <f>_xll.SNL.Clients.Office.Excel.Functions.SPG(DW428, "SP_COUNTRY_NAME")</f>
        <v>#INVALID COMPANY ID</v>
      </c>
      <c r="EA428" t="s">
        <v>1848</v>
      </c>
      <c r="EB428">
        <v>4139244</v>
      </c>
      <c r="EC428" t="s">
        <v>346</v>
      </c>
      <c r="ED428" s="11">
        <v>0</v>
      </c>
      <c r="EE428" s="9" t="str">
        <f>_xll.SNL.Clients.Office.Excel.Functions.SPG(EB428, "SP_COUNTRY_NAME")</f>
        <v>Slovenia</v>
      </c>
      <c r="EF428" t="s">
        <v>1329</v>
      </c>
      <c r="EG428">
        <v>5804886</v>
      </c>
      <c r="EH428" t="s">
        <v>346</v>
      </c>
      <c r="EI428" s="11">
        <v>0</v>
      </c>
      <c r="EJ428" s="9" t="str">
        <f>_xll.SNL.Clients.Office.Excel.Functions.SPG(EG428, "SP_COUNTRY_NAME")</f>
        <v>South Africa</v>
      </c>
      <c r="EO428" s="9" t="str">
        <f>_xll.SNL.Clients.Office.Excel.Functions.SPG(EL428, "SP_COUNTRY_NAME")</f>
        <v>#INVALID COMPANY ID</v>
      </c>
      <c r="ET428" s="9" t="str">
        <f>_xll.SNL.Clients.Office.Excel.Functions.SPG(EQ428, "SP_COUNTRY_NAME")</f>
        <v>#INVALID COMPANY ID</v>
      </c>
      <c r="EY428" s="9" t="str">
        <f>_xll.SNL.Clients.Office.Excel.Functions.SPG(EV428, "SP_COUNTRY_NAME")</f>
        <v>#INVALID COMPANY ID</v>
      </c>
      <c r="FD428" s="9" t="str">
        <f>_xll.SNL.Clients.Office.Excel.Functions.SPG(FA428, "SP_COUNTRY_NAME")</f>
        <v>#INVALID COMPANY ID</v>
      </c>
      <c r="FI428" s="9" t="str">
        <f>_xll.SNL.Clients.Office.Excel.Functions.SPG(FF428, "SP_COUNTRY_NAME")</f>
        <v>#INVALID COMPANY ID</v>
      </c>
      <c r="FN428" s="9" t="str">
        <f>_xll.SNL.Clients.Office.Excel.Functions.SPG(FK428, "SP_COUNTRY_NAME")</f>
        <v>#INVALID COMPANY ID</v>
      </c>
      <c r="FS428" s="9" t="str">
        <f>_xll.SNL.Clients.Office.Excel.Functions.SPG(FP428, "SP_COUNTRY_NAME")</f>
        <v>#INVALID COMPANY ID</v>
      </c>
      <c r="FX428" s="9" t="str">
        <f>_xll.SNL.Clients.Office.Excel.Functions.SPG(FU428, "SP_COUNTRY_NAME")</f>
        <v>#INVALID COMPANY ID</v>
      </c>
      <c r="FY428" t="s">
        <v>1329</v>
      </c>
      <c r="FZ428">
        <v>5804886</v>
      </c>
      <c r="GA428" t="s">
        <v>346</v>
      </c>
      <c r="GB428" s="11">
        <v>0</v>
      </c>
      <c r="GC428" s="9" t="str">
        <f>_xll.SNL.Clients.Office.Excel.Functions.SPG(FZ428, "SP_COUNTRY_NAME")</f>
        <v>South Africa</v>
      </c>
      <c r="GH428" s="9" t="str">
        <f>_xll.SNL.Clients.Office.Excel.Functions.SPG(GE428, "SP_COUNTRY_NAME")</f>
        <v>#INVALID COMPANY ID</v>
      </c>
      <c r="GM428" s="9" t="str">
        <f>_xll.SNL.Clients.Office.Excel.Functions.SPG(GJ428, "SP_COUNTRY_NAME")</f>
        <v>#INVALID COMPANY ID</v>
      </c>
      <c r="GR428" s="9" t="str">
        <f>_xll.SNL.Clients.Office.Excel.Functions.SPG(GO428, "SP_COUNTRY_NAME")</f>
        <v>#INVALID COMPANY ID</v>
      </c>
      <c r="GW428" s="9" t="str">
        <f>_xll.SNL.Clients.Office.Excel.Functions.SPG(GT428, "SP_COUNTRY_NAME")</f>
        <v>#INVALID COMPANY ID</v>
      </c>
      <c r="GX428" t="s">
        <v>1848</v>
      </c>
      <c r="GY428">
        <v>4139244</v>
      </c>
      <c r="GZ428" t="s">
        <v>346</v>
      </c>
      <c r="HA428" s="11">
        <v>0</v>
      </c>
      <c r="HB428" s="9" t="str">
        <f>_xll.SNL.Clients.Office.Excel.Functions.SPG(GY428, "SP_COUNTRY_NAME")</f>
        <v>Slovenia</v>
      </c>
      <c r="HG428" s="9" t="str">
        <f>_xll.SNL.Clients.Office.Excel.Functions.SPG(HD428, "SP_COUNTRY_NAME")</f>
        <v>#INVALID COMPANY ID</v>
      </c>
    </row>
    <row r="429" spans="5:215" x14ac:dyDescent="0.35">
      <c r="E429" s="9" t="str">
        <f>_xll.SNL.Clients.Office.Excel.Functions.SPG(B429, "SP_COUNTRY_NAME")</f>
        <v>#INVALID COMPANY ID</v>
      </c>
      <c r="J429" s="9" t="str">
        <f>_xll.SNL.Clients.Office.Excel.Functions.SPG(G429, "SP_COUNTRY_NAME")</f>
        <v>#INVALID COMPANY ID</v>
      </c>
      <c r="O429" s="9" t="str">
        <f>_xll.SNL.Clients.Office.Excel.Functions.SPG(L429, "SP_COUNTRY_NAME")</f>
        <v>#INVALID COMPANY ID</v>
      </c>
      <c r="T429" s="9" t="str">
        <f>_xll.SNL.Clients.Office.Excel.Functions.SPG(Q429, "SP_COUNTRY_NAME")</f>
        <v>#INVALID COMPANY ID</v>
      </c>
      <c r="Y429" s="9" t="str">
        <f>_xll.SNL.Clients.Office.Excel.Functions.SPG(V429, "SP_COUNTRY_NAME")</f>
        <v>#INVALID COMPANY ID</v>
      </c>
      <c r="AD429" s="9" t="str">
        <f>_xll.SNL.Clients.Office.Excel.Functions.SPG(AA429, "SP_COUNTRY_NAME")</f>
        <v>#INVALID COMPANY ID</v>
      </c>
      <c r="AI429" s="9" t="str">
        <f>_xll.SNL.Clients.Office.Excel.Functions.SPG(AF429, "SP_COUNTRY_NAME")</f>
        <v>#INVALID COMPANY ID</v>
      </c>
      <c r="AN429" s="9" t="str">
        <f>_xll.SNL.Clients.Office.Excel.Functions.SPG(AK429, "SP_COUNTRY_NAME")</f>
        <v>#INVALID COMPANY ID</v>
      </c>
      <c r="AS429" s="9" t="str">
        <f>_xll.SNL.Clients.Office.Excel.Functions.SPG(AP429, "SP_COUNTRY_NAME")</f>
        <v>#INVALID COMPANY ID</v>
      </c>
      <c r="AX429" s="9" t="str">
        <f>_xll.SNL.Clients.Office.Excel.Functions.SPG(AU429, "SP_COUNTRY_NAME")</f>
        <v>#INVALID COMPANY ID</v>
      </c>
      <c r="BC429" s="9" t="str">
        <f>_xll.SNL.Clients.Office.Excel.Functions.SPG(AZ429, "SP_COUNTRY_NAME")</f>
        <v>#INVALID COMPANY ID</v>
      </c>
      <c r="BD429" t="s">
        <v>1344</v>
      </c>
      <c r="BE429">
        <v>124019115</v>
      </c>
      <c r="BF429" t="s">
        <v>346</v>
      </c>
      <c r="BG429" s="11">
        <v>0</v>
      </c>
      <c r="BH429" s="9" t="str">
        <f>_xll.SNL.Clients.Office.Excel.Functions.SPG(BE429, "SP_COUNTRY_NAME")</f>
        <v>South Africa</v>
      </c>
      <c r="BM429" s="9" t="str">
        <f>_xll.SNL.Clients.Office.Excel.Functions.SPG(BJ429, "SP_COUNTRY_NAME")</f>
        <v>#INVALID COMPANY ID</v>
      </c>
      <c r="BR429" s="9" t="str">
        <f>_xll.SNL.Clients.Office.Excel.Functions.SPG(BO429, "SP_COUNTRY_NAME")</f>
        <v>#INVALID COMPANY ID</v>
      </c>
      <c r="BS429" t="s">
        <v>879</v>
      </c>
      <c r="BT429">
        <v>5841553</v>
      </c>
      <c r="BU429" t="s">
        <v>346</v>
      </c>
      <c r="BV429" s="11">
        <v>0</v>
      </c>
      <c r="BW429" s="9" t="str">
        <f>_xll.SNL.Clients.Office.Excel.Functions.SPG(BT429, "SP_COUNTRY_NAME")</f>
        <v>China</v>
      </c>
      <c r="CB429" s="9" t="str">
        <f>_xll.SNL.Clients.Office.Excel.Functions.SPG(BY429, "SP_COUNTRY_NAME")</f>
        <v>#INVALID COMPANY ID</v>
      </c>
      <c r="CC429" t="s">
        <v>1849</v>
      </c>
      <c r="CD429">
        <v>5858996</v>
      </c>
      <c r="CE429" t="s">
        <v>634</v>
      </c>
      <c r="CF429" s="11">
        <v>0</v>
      </c>
      <c r="CG429" s="9" t="str">
        <f>_xll.SNL.Clients.Office.Excel.Functions.SPG(CD429, "SP_COUNTRY_NAME")</f>
        <v>USA</v>
      </c>
      <c r="CL429" s="9" t="str">
        <f>_xll.SNL.Clients.Office.Excel.Functions.SPG(CI429, "SP_COUNTRY_NAME")</f>
        <v>#INVALID COMPANY ID</v>
      </c>
      <c r="CM429" t="s">
        <v>1375</v>
      </c>
      <c r="CN429">
        <v>6696616</v>
      </c>
      <c r="CO429" t="s">
        <v>364</v>
      </c>
      <c r="CP429" s="11">
        <v>0</v>
      </c>
      <c r="CQ429" s="9" t="str">
        <f>_xll.SNL.Clients.Office.Excel.Functions.SPG(CN429, "SP_COUNTRY_NAME")</f>
        <v>South Africa</v>
      </c>
      <c r="CV429" s="9" t="str">
        <f>_xll.SNL.Clients.Office.Excel.Functions.SPG(CS429, "SP_COUNTRY_NAME")</f>
        <v>#INVALID COMPANY ID</v>
      </c>
      <c r="DA429" s="9" t="str">
        <f>_xll.SNL.Clients.Office.Excel.Functions.SPG(CX429, "SP_COUNTRY_NAME")</f>
        <v>#INVALID COMPANY ID</v>
      </c>
      <c r="DB429" t="s">
        <v>1344</v>
      </c>
      <c r="DC429">
        <v>124019115</v>
      </c>
      <c r="DD429" t="s">
        <v>346</v>
      </c>
      <c r="DE429" s="11">
        <v>0</v>
      </c>
      <c r="DF429" s="9" t="str">
        <f>_xll.SNL.Clients.Office.Excel.Functions.SPG(DC429, "SP_COUNTRY_NAME")</f>
        <v>South Africa</v>
      </c>
      <c r="DK429" s="9" t="str">
        <f>_xll.SNL.Clients.Office.Excel.Functions.SPG(DH429, "SP_COUNTRY_NAME")</f>
        <v>#INVALID COMPANY ID</v>
      </c>
      <c r="DL429" t="s">
        <v>1344</v>
      </c>
      <c r="DM429">
        <v>124019115</v>
      </c>
      <c r="DN429" t="s">
        <v>346</v>
      </c>
      <c r="DO429" s="11">
        <v>0</v>
      </c>
      <c r="DP429" s="9" t="str">
        <f>_xll.SNL.Clients.Office.Excel.Functions.SPG(DM429, "SP_COUNTRY_NAME")</f>
        <v>South Africa</v>
      </c>
      <c r="DU429" s="9" t="str">
        <f>_xll.SNL.Clients.Office.Excel.Functions.SPG(DR429, "SP_COUNTRY_NAME")</f>
        <v>#INVALID COMPANY ID</v>
      </c>
      <c r="DZ429" s="9" t="str">
        <f>_xll.SNL.Clients.Office.Excel.Functions.SPG(DW429, "SP_COUNTRY_NAME")</f>
        <v>#INVALID COMPANY ID</v>
      </c>
      <c r="EA429" t="s">
        <v>1849</v>
      </c>
      <c r="EB429">
        <v>5858996</v>
      </c>
      <c r="EC429" t="s">
        <v>634</v>
      </c>
      <c r="ED429" s="11">
        <v>0</v>
      </c>
      <c r="EE429" s="9" t="str">
        <f>_xll.SNL.Clients.Office.Excel.Functions.SPG(EB429, "SP_COUNTRY_NAME")</f>
        <v>USA</v>
      </c>
      <c r="EF429" t="s">
        <v>1344</v>
      </c>
      <c r="EG429">
        <v>124019115</v>
      </c>
      <c r="EH429" t="s">
        <v>346</v>
      </c>
      <c r="EI429" s="11">
        <v>0</v>
      </c>
      <c r="EJ429" s="9" t="str">
        <f>_xll.SNL.Clients.Office.Excel.Functions.SPG(EG429, "SP_COUNTRY_NAME")</f>
        <v>South Africa</v>
      </c>
      <c r="EO429" s="9" t="str">
        <f>_xll.SNL.Clients.Office.Excel.Functions.SPG(EL429, "SP_COUNTRY_NAME")</f>
        <v>#INVALID COMPANY ID</v>
      </c>
      <c r="ET429" s="9" t="str">
        <f>_xll.SNL.Clients.Office.Excel.Functions.SPG(EQ429, "SP_COUNTRY_NAME")</f>
        <v>#INVALID COMPANY ID</v>
      </c>
      <c r="EY429" s="9" t="str">
        <f>_xll.SNL.Clients.Office.Excel.Functions.SPG(EV429, "SP_COUNTRY_NAME")</f>
        <v>#INVALID COMPANY ID</v>
      </c>
      <c r="FD429" s="9" t="str">
        <f>_xll.SNL.Clients.Office.Excel.Functions.SPG(FA429, "SP_COUNTRY_NAME")</f>
        <v>#INVALID COMPANY ID</v>
      </c>
      <c r="FI429" s="9" t="str">
        <f>_xll.SNL.Clients.Office.Excel.Functions.SPG(FF429, "SP_COUNTRY_NAME")</f>
        <v>#INVALID COMPANY ID</v>
      </c>
      <c r="FN429" s="9" t="str">
        <f>_xll.SNL.Clients.Office.Excel.Functions.SPG(FK429, "SP_COUNTRY_NAME")</f>
        <v>#INVALID COMPANY ID</v>
      </c>
      <c r="FS429" s="9" t="str">
        <f>_xll.SNL.Clients.Office.Excel.Functions.SPG(FP429, "SP_COUNTRY_NAME")</f>
        <v>#INVALID COMPANY ID</v>
      </c>
      <c r="FX429" s="9" t="str">
        <f>_xll.SNL.Clients.Office.Excel.Functions.SPG(FU429, "SP_COUNTRY_NAME")</f>
        <v>#INVALID COMPANY ID</v>
      </c>
      <c r="FY429" t="s">
        <v>1344</v>
      </c>
      <c r="FZ429">
        <v>124019115</v>
      </c>
      <c r="GA429" t="s">
        <v>346</v>
      </c>
      <c r="GB429" s="11">
        <v>0</v>
      </c>
      <c r="GC429" s="9" t="str">
        <f>_xll.SNL.Clients.Office.Excel.Functions.SPG(FZ429, "SP_COUNTRY_NAME")</f>
        <v>South Africa</v>
      </c>
      <c r="GH429" s="9" t="str">
        <f>_xll.SNL.Clients.Office.Excel.Functions.SPG(GE429, "SP_COUNTRY_NAME")</f>
        <v>#INVALID COMPANY ID</v>
      </c>
      <c r="GM429" s="9" t="str">
        <f>_xll.SNL.Clients.Office.Excel.Functions.SPG(GJ429, "SP_COUNTRY_NAME")</f>
        <v>#INVALID COMPANY ID</v>
      </c>
      <c r="GR429" s="9" t="str">
        <f>_xll.SNL.Clients.Office.Excel.Functions.SPG(GO429, "SP_COUNTRY_NAME")</f>
        <v>#INVALID COMPANY ID</v>
      </c>
      <c r="GW429" s="9" t="str">
        <f>_xll.SNL.Clients.Office.Excel.Functions.SPG(GT429, "SP_COUNTRY_NAME")</f>
        <v>#INVALID COMPANY ID</v>
      </c>
      <c r="GX429" t="s">
        <v>1849</v>
      </c>
      <c r="GY429">
        <v>5858996</v>
      </c>
      <c r="GZ429" t="s">
        <v>634</v>
      </c>
      <c r="HA429" s="11">
        <v>0</v>
      </c>
      <c r="HB429" s="9" t="str">
        <f>_xll.SNL.Clients.Office.Excel.Functions.SPG(GY429, "SP_COUNTRY_NAME")</f>
        <v>USA</v>
      </c>
      <c r="HG429" s="9" t="str">
        <f>_xll.SNL.Clients.Office.Excel.Functions.SPG(HD429, "SP_COUNTRY_NAME")</f>
        <v>#INVALID COMPANY ID</v>
      </c>
    </row>
    <row r="430" spans="5:215" x14ac:dyDescent="0.35">
      <c r="E430" s="9" t="str">
        <f>_xll.SNL.Clients.Office.Excel.Functions.SPG(B430, "SP_COUNTRY_NAME")</f>
        <v>#INVALID COMPANY ID</v>
      </c>
      <c r="J430" s="9" t="str">
        <f>_xll.SNL.Clients.Office.Excel.Functions.SPG(G430, "SP_COUNTRY_NAME")</f>
        <v>#INVALID COMPANY ID</v>
      </c>
      <c r="O430" s="9" t="str">
        <f>_xll.SNL.Clients.Office.Excel.Functions.SPG(L430, "SP_COUNTRY_NAME")</f>
        <v>#INVALID COMPANY ID</v>
      </c>
      <c r="T430" s="9" t="str">
        <f>_xll.SNL.Clients.Office.Excel.Functions.SPG(Q430, "SP_COUNTRY_NAME")</f>
        <v>#INVALID COMPANY ID</v>
      </c>
      <c r="Y430" s="9" t="str">
        <f>_xll.SNL.Clients.Office.Excel.Functions.SPG(V430, "SP_COUNTRY_NAME")</f>
        <v>#INVALID COMPANY ID</v>
      </c>
      <c r="AD430" s="9" t="str">
        <f>_xll.SNL.Clients.Office.Excel.Functions.SPG(AA430, "SP_COUNTRY_NAME")</f>
        <v>#INVALID COMPANY ID</v>
      </c>
      <c r="AI430" s="9" t="str">
        <f>_xll.SNL.Clients.Office.Excel.Functions.SPG(AF430, "SP_COUNTRY_NAME")</f>
        <v>#INVALID COMPANY ID</v>
      </c>
      <c r="AN430" s="9" t="str">
        <f>_xll.SNL.Clients.Office.Excel.Functions.SPG(AK430, "SP_COUNTRY_NAME")</f>
        <v>#INVALID COMPANY ID</v>
      </c>
      <c r="AS430" s="9" t="str">
        <f>_xll.SNL.Clients.Office.Excel.Functions.SPG(AP430, "SP_COUNTRY_NAME")</f>
        <v>#INVALID COMPANY ID</v>
      </c>
      <c r="AX430" s="9" t="str">
        <f>_xll.SNL.Clients.Office.Excel.Functions.SPG(AU430, "SP_COUNTRY_NAME")</f>
        <v>#INVALID COMPANY ID</v>
      </c>
      <c r="BC430" s="9" t="str">
        <f>_xll.SNL.Clients.Office.Excel.Functions.SPG(AZ430, "SP_COUNTRY_NAME")</f>
        <v>#INVALID COMPANY ID</v>
      </c>
      <c r="BD430" t="s">
        <v>1525</v>
      </c>
      <c r="BE430">
        <v>28061038</v>
      </c>
      <c r="BF430" t="s">
        <v>276</v>
      </c>
      <c r="BG430" s="11">
        <v>0</v>
      </c>
      <c r="BH430" s="9" t="str">
        <f>_xll.SNL.Clients.Office.Excel.Functions.SPG(BE430, "SP_COUNTRY_NAME")</f>
        <v>Germany</v>
      </c>
      <c r="BM430" s="9" t="str">
        <f>_xll.SNL.Clients.Office.Excel.Functions.SPG(BJ430, "SP_COUNTRY_NAME")</f>
        <v>#INVALID COMPANY ID</v>
      </c>
      <c r="BR430" s="9" t="str">
        <f>_xll.SNL.Clients.Office.Excel.Functions.SPG(BO430, "SP_COUNTRY_NAME")</f>
        <v>#INVALID COMPANY ID</v>
      </c>
      <c r="BS430" t="s">
        <v>1069</v>
      </c>
      <c r="BT430">
        <v>4158857</v>
      </c>
      <c r="BU430" t="s">
        <v>346</v>
      </c>
      <c r="BV430" s="11">
        <v>0</v>
      </c>
      <c r="BW430" s="9" t="str">
        <f>_xll.SNL.Clients.Office.Excel.Functions.SPG(BT430, "SP_COUNTRY_NAME")</f>
        <v>Singapore</v>
      </c>
      <c r="CB430" s="9" t="str">
        <f>_xll.SNL.Clients.Office.Excel.Functions.SPG(BY430, "SP_COUNTRY_NAME")</f>
        <v>#INVALID COMPANY ID</v>
      </c>
      <c r="CC430" t="s">
        <v>1850</v>
      </c>
      <c r="CD430">
        <v>4218639</v>
      </c>
      <c r="CE430" t="s">
        <v>346</v>
      </c>
      <c r="CF430" s="11">
        <v>0</v>
      </c>
      <c r="CG430" s="9" t="str">
        <f>_xll.SNL.Clients.Office.Excel.Functions.SPG(CD430, "SP_COUNTRY_NAME")</f>
        <v>USA</v>
      </c>
      <c r="CL430" s="9" t="str">
        <f>_xll.SNL.Clients.Office.Excel.Functions.SPG(CI430, "SP_COUNTRY_NAME")</f>
        <v>#INVALID COMPANY ID</v>
      </c>
      <c r="CM430" t="s">
        <v>2078</v>
      </c>
      <c r="CN430">
        <v>4035419</v>
      </c>
      <c r="CO430" t="s">
        <v>346</v>
      </c>
      <c r="CP430" s="11">
        <v>0</v>
      </c>
      <c r="CQ430" s="9" t="str">
        <f>_xll.SNL.Clients.Office.Excel.Functions.SPG(CN430, "SP_COUNTRY_NAME")</f>
        <v>USA</v>
      </c>
      <c r="CV430" s="9" t="str">
        <f>_xll.SNL.Clients.Office.Excel.Functions.SPG(CS430, "SP_COUNTRY_NAME")</f>
        <v>#INVALID COMPANY ID</v>
      </c>
      <c r="DA430" s="9" t="str">
        <f>_xll.SNL.Clients.Office.Excel.Functions.SPG(CX430, "SP_COUNTRY_NAME")</f>
        <v>#INVALID COMPANY ID</v>
      </c>
      <c r="DB430" t="s">
        <v>1525</v>
      </c>
      <c r="DC430">
        <v>28061038</v>
      </c>
      <c r="DD430" t="s">
        <v>276</v>
      </c>
      <c r="DE430" s="11">
        <v>0</v>
      </c>
      <c r="DF430" s="9" t="str">
        <f>_xll.SNL.Clients.Office.Excel.Functions.SPG(DC430, "SP_COUNTRY_NAME")</f>
        <v>Germany</v>
      </c>
      <c r="DK430" s="9" t="str">
        <f>_xll.SNL.Clients.Office.Excel.Functions.SPG(DH430, "SP_COUNTRY_NAME")</f>
        <v>#INVALID COMPANY ID</v>
      </c>
      <c r="DL430" t="s">
        <v>1525</v>
      </c>
      <c r="DM430">
        <v>28061038</v>
      </c>
      <c r="DN430" t="s">
        <v>276</v>
      </c>
      <c r="DO430" s="11">
        <v>0</v>
      </c>
      <c r="DP430" s="9" t="str">
        <f>_xll.SNL.Clients.Office.Excel.Functions.SPG(DM430, "SP_COUNTRY_NAME")</f>
        <v>Germany</v>
      </c>
      <c r="DU430" s="9" t="str">
        <f>_xll.SNL.Clients.Office.Excel.Functions.SPG(DR430, "SP_COUNTRY_NAME")</f>
        <v>#INVALID COMPANY ID</v>
      </c>
      <c r="DZ430" s="9" t="str">
        <f>_xll.SNL.Clients.Office.Excel.Functions.SPG(DW430, "SP_COUNTRY_NAME")</f>
        <v>#INVALID COMPANY ID</v>
      </c>
      <c r="EA430" t="s">
        <v>1850</v>
      </c>
      <c r="EB430">
        <v>4218639</v>
      </c>
      <c r="EC430" t="s">
        <v>346</v>
      </c>
      <c r="ED430" s="11">
        <v>0</v>
      </c>
      <c r="EE430" s="9" t="str">
        <f>_xll.SNL.Clients.Office.Excel.Functions.SPG(EB430, "SP_COUNTRY_NAME")</f>
        <v>USA</v>
      </c>
      <c r="EF430" t="s">
        <v>1525</v>
      </c>
      <c r="EG430">
        <v>28061038</v>
      </c>
      <c r="EH430" t="s">
        <v>276</v>
      </c>
      <c r="EI430" s="11">
        <v>0</v>
      </c>
      <c r="EJ430" s="9" t="str">
        <f>_xll.SNL.Clients.Office.Excel.Functions.SPG(EG430, "SP_COUNTRY_NAME")</f>
        <v>Germany</v>
      </c>
      <c r="EO430" s="9" t="str">
        <f>_xll.SNL.Clients.Office.Excel.Functions.SPG(EL430, "SP_COUNTRY_NAME")</f>
        <v>#INVALID COMPANY ID</v>
      </c>
      <c r="ET430" s="9" t="str">
        <f>_xll.SNL.Clients.Office.Excel.Functions.SPG(EQ430, "SP_COUNTRY_NAME")</f>
        <v>#INVALID COMPANY ID</v>
      </c>
      <c r="EY430" s="9" t="str">
        <f>_xll.SNL.Clients.Office.Excel.Functions.SPG(EV430, "SP_COUNTRY_NAME")</f>
        <v>#INVALID COMPANY ID</v>
      </c>
      <c r="FD430" s="9" t="str">
        <f>_xll.SNL.Clients.Office.Excel.Functions.SPG(FA430, "SP_COUNTRY_NAME")</f>
        <v>#INVALID COMPANY ID</v>
      </c>
      <c r="FI430" s="9" t="str">
        <f>_xll.SNL.Clients.Office.Excel.Functions.SPG(FF430, "SP_COUNTRY_NAME")</f>
        <v>#INVALID COMPANY ID</v>
      </c>
      <c r="FN430" s="9" t="str">
        <f>_xll.SNL.Clients.Office.Excel.Functions.SPG(FK430, "SP_COUNTRY_NAME")</f>
        <v>#INVALID COMPANY ID</v>
      </c>
      <c r="FS430" s="9" t="str">
        <f>_xll.SNL.Clients.Office.Excel.Functions.SPG(FP430, "SP_COUNTRY_NAME")</f>
        <v>#INVALID COMPANY ID</v>
      </c>
      <c r="FX430" s="9" t="str">
        <f>_xll.SNL.Clients.Office.Excel.Functions.SPG(FU430, "SP_COUNTRY_NAME")</f>
        <v>#INVALID COMPANY ID</v>
      </c>
      <c r="FY430" t="s">
        <v>1525</v>
      </c>
      <c r="FZ430">
        <v>28061038</v>
      </c>
      <c r="GA430" t="s">
        <v>276</v>
      </c>
      <c r="GB430" s="11">
        <v>0</v>
      </c>
      <c r="GC430" s="9" t="str">
        <f>_xll.SNL.Clients.Office.Excel.Functions.SPG(FZ430, "SP_COUNTRY_NAME")</f>
        <v>Germany</v>
      </c>
      <c r="GH430" s="9" t="str">
        <f>_xll.SNL.Clients.Office.Excel.Functions.SPG(GE430, "SP_COUNTRY_NAME")</f>
        <v>#INVALID COMPANY ID</v>
      </c>
      <c r="GM430" s="9" t="str">
        <f>_xll.SNL.Clients.Office.Excel.Functions.SPG(GJ430, "SP_COUNTRY_NAME")</f>
        <v>#INVALID COMPANY ID</v>
      </c>
      <c r="GR430" s="9" t="str">
        <f>_xll.SNL.Clients.Office.Excel.Functions.SPG(GO430, "SP_COUNTRY_NAME")</f>
        <v>#INVALID COMPANY ID</v>
      </c>
      <c r="GW430" s="9" t="str">
        <f>_xll.SNL.Clients.Office.Excel.Functions.SPG(GT430, "SP_COUNTRY_NAME")</f>
        <v>#INVALID COMPANY ID</v>
      </c>
      <c r="GX430" t="s">
        <v>1850</v>
      </c>
      <c r="GY430">
        <v>4218639</v>
      </c>
      <c r="GZ430" t="s">
        <v>346</v>
      </c>
      <c r="HA430" s="11">
        <v>0</v>
      </c>
      <c r="HB430" s="9" t="str">
        <f>_xll.SNL.Clients.Office.Excel.Functions.SPG(GY430, "SP_COUNTRY_NAME")</f>
        <v>USA</v>
      </c>
      <c r="HG430" s="9" t="str">
        <f>_xll.SNL.Clients.Office.Excel.Functions.SPG(HD430, "SP_COUNTRY_NAME")</f>
        <v>#INVALID COMPANY ID</v>
      </c>
    </row>
    <row r="431" spans="5:215" x14ac:dyDescent="0.35">
      <c r="E431" s="9" t="str">
        <f>_xll.SNL.Clients.Office.Excel.Functions.SPG(B431, "SP_COUNTRY_NAME")</f>
        <v>#INVALID COMPANY ID</v>
      </c>
      <c r="J431" s="9" t="str">
        <f>_xll.SNL.Clients.Office.Excel.Functions.SPG(G431, "SP_COUNTRY_NAME")</f>
        <v>#INVALID COMPANY ID</v>
      </c>
      <c r="O431" s="9" t="str">
        <f>_xll.SNL.Clients.Office.Excel.Functions.SPG(L431, "SP_COUNTRY_NAME")</f>
        <v>#INVALID COMPANY ID</v>
      </c>
      <c r="T431" s="9" t="str">
        <f>_xll.SNL.Clients.Office.Excel.Functions.SPG(Q431, "SP_COUNTRY_NAME")</f>
        <v>#INVALID COMPANY ID</v>
      </c>
      <c r="Y431" s="9" t="str">
        <f>_xll.SNL.Clients.Office.Excel.Functions.SPG(V431, "SP_COUNTRY_NAME")</f>
        <v>#INVALID COMPANY ID</v>
      </c>
      <c r="AD431" s="9" t="str">
        <f>_xll.SNL.Clients.Office.Excel.Functions.SPG(AA431, "SP_COUNTRY_NAME")</f>
        <v>#INVALID COMPANY ID</v>
      </c>
      <c r="AI431" s="9" t="str">
        <f>_xll.SNL.Clients.Office.Excel.Functions.SPG(AF431, "SP_COUNTRY_NAME")</f>
        <v>#INVALID COMPANY ID</v>
      </c>
      <c r="AN431" s="9" t="str">
        <f>_xll.SNL.Clients.Office.Excel.Functions.SPG(AK431, "SP_COUNTRY_NAME")</f>
        <v>#INVALID COMPANY ID</v>
      </c>
      <c r="AS431" s="9" t="str">
        <f>_xll.SNL.Clients.Office.Excel.Functions.SPG(AP431, "SP_COUNTRY_NAME")</f>
        <v>#INVALID COMPANY ID</v>
      </c>
      <c r="AX431" s="9" t="str">
        <f>_xll.SNL.Clients.Office.Excel.Functions.SPG(AU431, "SP_COUNTRY_NAME")</f>
        <v>#INVALID COMPANY ID</v>
      </c>
      <c r="BC431" s="9" t="str">
        <f>_xll.SNL.Clients.Office.Excel.Functions.SPG(AZ431, "SP_COUNTRY_NAME")</f>
        <v>#INVALID COMPANY ID</v>
      </c>
      <c r="BD431" t="s">
        <v>1301</v>
      </c>
      <c r="BE431">
        <v>4326066</v>
      </c>
      <c r="BF431" t="s">
        <v>346</v>
      </c>
      <c r="BG431" s="11">
        <v>0</v>
      </c>
      <c r="BH431" s="9" t="str">
        <f>_xll.SNL.Clients.Office.Excel.Functions.SPG(BE431, "SP_COUNTRY_NAME")</f>
        <v>South Africa</v>
      </c>
      <c r="BM431" s="9" t="str">
        <f>_xll.SNL.Clients.Office.Excel.Functions.SPG(BJ431, "SP_COUNTRY_NAME")</f>
        <v>#INVALID COMPANY ID</v>
      </c>
      <c r="BR431" s="9" t="str">
        <f>_xll.SNL.Clients.Office.Excel.Functions.SPG(BO431, "SP_COUNTRY_NAME")</f>
        <v>#INVALID COMPANY ID</v>
      </c>
      <c r="BS431" t="s">
        <v>1070</v>
      </c>
      <c r="BT431">
        <v>4119544</v>
      </c>
      <c r="BU431" t="s">
        <v>364</v>
      </c>
      <c r="BV431" s="11">
        <v>0</v>
      </c>
      <c r="BW431" s="9" t="str">
        <f>_xll.SNL.Clients.Office.Excel.Functions.SPG(BT431, "SP_COUNTRY_NAME")</f>
        <v>USA</v>
      </c>
      <c r="CB431" s="9" t="str">
        <f>_xll.SNL.Clients.Office.Excel.Functions.SPG(BY431, "SP_COUNTRY_NAME")</f>
        <v>#INVALID COMPANY ID</v>
      </c>
      <c r="CC431" t="s">
        <v>1851</v>
      </c>
      <c r="CD431">
        <v>4115833</v>
      </c>
      <c r="CE431" t="s">
        <v>346</v>
      </c>
      <c r="CF431" s="11">
        <v>0</v>
      </c>
      <c r="CG431" s="9" t="str">
        <f>_xll.SNL.Clients.Office.Excel.Functions.SPG(CD431, "SP_COUNTRY_NAME")</f>
        <v>USA</v>
      </c>
      <c r="CL431" s="9" t="str">
        <f>_xll.SNL.Clients.Office.Excel.Functions.SPG(CI431, "SP_COUNTRY_NAME")</f>
        <v>#INVALID COMPANY ID</v>
      </c>
      <c r="CM431" t="s">
        <v>2079</v>
      </c>
      <c r="CN431">
        <v>4186450</v>
      </c>
      <c r="CO431" t="s">
        <v>346</v>
      </c>
      <c r="CP431" s="11">
        <v>0</v>
      </c>
      <c r="CQ431" s="9" t="str">
        <f>_xll.SNL.Clients.Office.Excel.Functions.SPG(CN431, "SP_COUNTRY_NAME")</f>
        <v>USA</v>
      </c>
      <c r="CV431" s="9" t="str">
        <f>_xll.SNL.Clients.Office.Excel.Functions.SPG(CS431, "SP_COUNTRY_NAME")</f>
        <v>#INVALID COMPANY ID</v>
      </c>
      <c r="DA431" s="9" t="str">
        <f>_xll.SNL.Clients.Office.Excel.Functions.SPG(CX431, "SP_COUNTRY_NAME")</f>
        <v>#INVALID COMPANY ID</v>
      </c>
      <c r="DB431" t="s">
        <v>1301</v>
      </c>
      <c r="DC431">
        <v>4326066</v>
      </c>
      <c r="DD431" t="s">
        <v>346</v>
      </c>
      <c r="DE431" s="11">
        <v>0</v>
      </c>
      <c r="DF431" s="9" t="str">
        <f>_xll.SNL.Clients.Office.Excel.Functions.SPG(DC431, "SP_COUNTRY_NAME")</f>
        <v>South Africa</v>
      </c>
      <c r="DK431" s="9" t="str">
        <f>_xll.SNL.Clients.Office.Excel.Functions.SPG(DH431, "SP_COUNTRY_NAME")</f>
        <v>#INVALID COMPANY ID</v>
      </c>
      <c r="DL431" t="s">
        <v>1301</v>
      </c>
      <c r="DM431">
        <v>4326066</v>
      </c>
      <c r="DN431" t="s">
        <v>346</v>
      </c>
      <c r="DO431" s="11">
        <v>0</v>
      </c>
      <c r="DP431" s="9" t="str">
        <f>_xll.SNL.Clients.Office.Excel.Functions.SPG(DM431, "SP_COUNTRY_NAME")</f>
        <v>South Africa</v>
      </c>
      <c r="DU431" s="9" t="str">
        <f>_xll.SNL.Clients.Office.Excel.Functions.SPG(DR431, "SP_COUNTRY_NAME")</f>
        <v>#INVALID COMPANY ID</v>
      </c>
      <c r="DZ431" s="9" t="str">
        <f>_xll.SNL.Clients.Office.Excel.Functions.SPG(DW431, "SP_COUNTRY_NAME")</f>
        <v>#INVALID COMPANY ID</v>
      </c>
      <c r="EA431" t="s">
        <v>1851</v>
      </c>
      <c r="EB431">
        <v>4115833</v>
      </c>
      <c r="EC431" t="s">
        <v>346</v>
      </c>
      <c r="ED431" s="11">
        <v>0</v>
      </c>
      <c r="EE431" s="9" t="str">
        <f>_xll.SNL.Clients.Office.Excel.Functions.SPG(EB431, "SP_COUNTRY_NAME")</f>
        <v>USA</v>
      </c>
      <c r="EF431" t="s">
        <v>1301</v>
      </c>
      <c r="EG431">
        <v>4326066</v>
      </c>
      <c r="EH431" t="s">
        <v>346</v>
      </c>
      <c r="EI431" s="11">
        <v>0</v>
      </c>
      <c r="EJ431" s="9" t="str">
        <f>_xll.SNL.Clients.Office.Excel.Functions.SPG(EG431, "SP_COUNTRY_NAME")</f>
        <v>South Africa</v>
      </c>
      <c r="EO431" s="9" t="str">
        <f>_xll.SNL.Clients.Office.Excel.Functions.SPG(EL431, "SP_COUNTRY_NAME")</f>
        <v>#INVALID COMPANY ID</v>
      </c>
      <c r="ET431" s="9" t="str">
        <f>_xll.SNL.Clients.Office.Excel.Functions.SPG(EQ431, "SP_COUNTRY_NAME")</f>
        <v>#INVALID COMPANY ID</v>
      </c>
      <c r="EY431" s="9" t="str">
        <f>_xll.SNL.Clients.Office.Excel.Functions.SPG(EV431, "SP_COUNTRY_NAME")</f>
        <v>#INVALID COMPANY ID</v>
      </c>
      <c r="FD431" s="9" t="str">
        <f>_xll.SNL.Clients.Office.Excel.Functions.SPG(FA431, "SP_COUNTRY_NAME")</f>
        <v>#INVALID COMPANY ID</v>
      </c>
      <c r="FI431" s="9" t="str">
        <f>_xll.SNL.Clients.Office.Excel.Functions.SPG(FF431, "SP_COUNTRY_NAME")</f>
        <v>#INVALID COMPANY ID</v>
      </c>
      <c r="FN431" s="9" t="str">
        <f>_xll.SNL.Clients.Office.Excel.Functions.SPG(FK431, "SP_COUNTRY_NAME")</f>
        <v>#INVALID COMPANY ID</v>
      </c>
      <c r="FS431" s="9" t="str">
        <f>_xll.SNL.Clients.Office.Excel.Functions.SPG(FP431, "SP_COUNTRY_NAME")</f>
        <v>#INVALID COMPANY ID</v>
      </c>
      <c r="FX431" s="9" t="str">
        <f>_xll.SNL.Clients.Office.Excel.Functions.SPG(FU431, "SP_COUNTRY_NAME")</f>
        <v>#INVALID COMPANY ID</v>
      </c>
      <c r="FY431" t="s">
        <v>1301</v>
      </c>
      <c r="FZ431">
        <v>4326066</v>
      </c>
      <c r="GA431" t="s">
        <v>346</v>
      </c>
      <c r="GB431" s="11">
        <v>0</v>
      </c>
      <c r="GC431" s="9" t="str">
        <f>_xll.SNL.Clients.Office.Excel.Functions.SPG(FZ431, "SP_COUNTRY_NAME")</f>
        <v>South Africa</v>
      </c>
      <c r="GH431" s="9" t="str">
        <f>_xll.SNL.Clients.Office.Excel.Functions.SPG(GE431, "SP_COUNTRY_NAME")</f>
        <v>#INVALID COMPANY ID</v>
      </c>
      <c r="GM431" s="9" t="str">
        <f>_xll.SNL.Clients.Office.Excel.Functions.SPG(GJ431, "SP_COUNTRY_NAME")</f>
        <v>#INVALID COMPANY ID</v>
      </c>
      <c r="GR431" s="9" t="str">
        <f>_xll.SNL.Clients.Office.Excel.Functions.SPG(GO431, "SP_COUNTRY_NAME")</f>
        <v>#INVALID COMPANY ID</v>
      </c>
      <c r="GW431" s="9" t="str">
        <f>_xll.SNL.Clients.Office.Excel.Functions.SPG(GT431, "SP_COUNTRY_NAME")</f>
        <v>#INVALID COMPANY ID</v>
      </c>
      <c r="GX431" t="s">
        <v>1851</v>
      </c>
      <c r="GY431">
        <v>4115833</v>
      </c>
      <c r="GZ431" t="s">
        <v>346</v>
      </c>
      <c r="HA431" s="11">
        <v>0</v>
      </c>
      <c r="HB431" s="9" t="str">
        <f>_xll.SNL.Clients.Office.Excel.Functions.SPG(GY431, "SP_COUNTRY_NAME")</f>
        <v>USA</v>
      </c>
      <c r="HG431" s="9" t="str">
        <f>_xll.SNL.Clients.Office.Excel.Functions.SPG(HD431, "SP_COUNTRY_NAME")</f>
        <v>#INVALID COMPANY ID</v>
      </c>
    </row>
    <row r="432" spans="5:215" x14ac:dyDescent="0.35">
      <c r="E432" s="9" t="str">
        <f>_xll.SNL.Clients.Office.Excel.Functions.SPG(B432, "SP_COUNTRY_NAME")</f>
        <v>#INVALID COMPANY ID</v>
      </c>
      <c r="J432" s="9" t="str">
        <f>_xll.SNL.Clients.Office.Excel.Functions.SPG(G432, "SP_COUNTRY_NAME")</f>
        <v>#INVALID COMPANY ID</v>
      </c>
      <c r="O432" s="9" t="str">
        <f>_xll.SNL.Clients.Office.Excel.Functions.SPG(L432, "SP_COUNTRY_NAME")</f>
        <v>#INVALID COMPANY ID</v>
      </c>
      <c r="T432" s="9" t="str">
        <f>_xll.SNL.Clients.Office.Excel.Functions.SPG(Q432, "SP_COUNTRY_NAME")</f>
        <v>#INVALID COMPANY ID</v>
      </c>
      <c r="Y432" s="9" t="str">
        <f>_xll.SNL.Clients.Office.Excel.Functions.SPG(V432, "SP_COUNTRY_NAME")</f>
        <v>#INVALID COMPANY ID</v>
      </c>
      <c r="AD432" s="9" t="str">
        <f>_xll.SNL.Clients.Office.Excel.Functions.SPG(AA432, "SP_COUNTRY_NAME")</f>
        <v>#INVALID COMPANY ID</v>
      </c>
      <c r="AI432" s="9" t="str">
        <f>_xll.SNL.Clients.Office.Excel.Functions.SPG(AF432, "SP_COUNTRY_NAME")</f>
        <v>#INVALID COMPANY ID</v>
      </c>
      <c r="AN432" s="9" t="str">
        <f>_xll.SNL.Clients.Office.Excel.Functions.SPG(AK432, "SP_COUNTRY_NAME")</f>
        <v>#INVALID COMPANY ID</v>
      </c>
      <c r="AS432" s="9" t="str">
        <f>_xll.SNL.Clients.Office.Excel.Functions.SPG(AP432, "SP_COUNTRY_NAME")</f>
        <v>#INVALID COMPANY ID</v>
      </c>
      <c r="AX432" s="9" t="str">
        <f>_xll.SNL.Clients.Office.Excel.Functions.SPG(AU432, "SP_COUNTRY_NAME")</f>
        <v>#INVALID COMPANY ID</v>
      </c>
      <c r="BC432" s="9" t="str">
        <f>_xll.SNL.Clients.Office.Excel.Functions.SPG(AZ432, "SP_COUNTRY_NAME")</f>
        <v>#INVALID COMPANY ID</v>
      </c>
      <c r="BD432" t="s">
        <v>1526</v>
      </c>
      <c r="BE432">
        <v>26415326</v>
      </c>
      <c r="BF432" t="s">
        <v>364</v>
      </c>
      <c r="BG432" s="11">
        <v>0</v>
      </c>
      <c r="BH432" s="9" t="str">
        <f>_xll.SNL.Clients.Office.Excel.Functions.SPG(BE432, "SP_COUNTRY_NAME")</f>
        <v>USA</v>
      </c>
      <c r="BM432" s="9" t="str">
        <f>_xll.SNL.Clients.Office.Excel.Functions.SPG(BJ432, "SP_COUNTRY_NAME")</f>
        <v>#INVALID COMPANY ID</v>
      </c>
      <c r="BR432" s="9" t="str">
        <f>_xll.SNL.Clients.Office.Excel.Functions.SPG(BO432, "SP_COUNTRY_NAME")</f>
        <v>#INVALID COMPANY ID</v>
      </c>
      <c r="BS432" t="s">
        <v>1071</v>
      </c>
      <c r="BT432">
        <v>4118668</v>
      </c>
      <c r="BU432" t="s">
        <v>346</v>
      </c>
      <c r="BV432" s="11">
        <v>0</v>
      </c>
      <c r="BW432" s="9" t="str">
        <f>_xll.SNL.Clients.Office.Excel.Functions.SPG(BT432, "SP_COUNTRY_NAME")</f>
        <v>USA</v>
      </c>
      <c r="CB432" s="9" t="str">
        <f>_xll.SNL.Clients.Office.Excel.Functions.SPG(BY432, "SP_COUNTRY_NAME")</f>
        <v>#INVALID COMPANY ID</v>
      </c>
      <c r="CC432" t="s">
        <v>811</v>
      </c>
      <c r="CD432">
        <v>4240414</v>
      </c>
      <c r="CE432" t="s">
        <v>346</v>
      </c>
      <c r="CF432" s="11">
        <v>0</v>
      </c>
      <c r="CG432" s="9" t="str">
        <f>_xll.SNL.Clients.Office.Excel.Functions.SPG(CD432, "SP_COUNTRY_NAME")</f>
        <v>Taiwan</v>
      </c>
      <c r="CL432" s="9" t="str">
        <f>_xll.SNL.Clients.Office.Excel.Functions.SPG(CI432, "SP_COUNTRY_NAME")</f>
        <v>#INVALID COMPANY ID</v>
      </c>
      <c r="CM432" t="s">
        <v>1740</v>
      </c>
      <c r="CN432">
        <v>4056453</v>
      </c>
      <c r="CO432" t="s">
        <v>366</v>
      </c>
      <c r="CP432" s="11">
        <v>0</v>
      </c>
      <c r="CQ432" s="9" t="str">
        <f>_xll.SNL.Clients.Office.Excel.Functions.SPG(CN432, "SP_COUNTRY_NAME")</f>
        <v>Canada</v>
      </c>
      <c r="CV432" s="9" t="str">
        <f>_xll.SNL.Clients.Office.Excel.Functions.SPG(CS432, "SP_COUNTRY_NAME")</f>
        <v>#INVALID COMPANY ID</v>
      </c>
      <c r="DA432" s="9" t="str">
        <f>_xll.SNL.Clients.Office.Excel.Functions.SPG(CX432, "SP_COUNTRY_NAME")</f>
        <v>#INVALID COMPANY ID</v>
      </c>
      <c r="DB432" t="s">
        <v>1526</v>
      </c>
      <c r="DC432">
        <v>26415326</v>
      </c>
      <c r="DD432" t="s">
        <v>364</v>
      </c>
      <c r="DE432" s="11">
        <v>0</v>
      </c>
      <c r="DF432" s="9" t="str">
        <f>_xll.SNL.Clients.Office.Excel.Functions.SPG(DC432, "SP_COUNTRY_NAME")</f>
        <v>USA</v>
      </c>
      <c r="DK432" s="9" t="str">
        <f>_xll.SNL.Clients.Office.Excel.Functions.SPG(DH432, "SP_COUNTRY_NAME")</f>
        <v>#INVALID COMPANY ID</v>
      </c>
      <c r="DL432" t="s">
        <v>1526</v>
      </c>
      <c r="DM432">
        <v>26415326</v>
      </c>
      <c r="DN432" t="s">
        <v>364</v>
      </c>
      <c r="DO432" s="11">
        <v>0</v>
      </c>
      <c r="DP432" s="9" t="str">
        <f>_xll.SNL.Clients.Office.Excel.Functions.SPG(DM432, "SP_COUNTRY_NAME")</f>
        <v>USA</v>
      </c>
      <c r="DU432" s="9" t="str">
        <f>_xll.SNL.Clients.Office.Excel.Functions.SPG(DR432, "SP_COUNTRY_NAME")</f>
        <v>#INVALID COMPANY ID</v>
      </c>
      <c r="DZ432" s="9" t="str">
        <f>_xll.SNL.Clients.Office.Excel.Functions.SPG(DW432, "SP_COUNTRY_NAME")</f>
        <v>#INVALID COMPANY ID</v>
      </c>
      <c r="EA432" t="s">
        <v>811</v>
      </c>
      <c r="EB432">
        <v>4240414</v>
      </c>
      <c r="EC432" t="s">
        <v>346</v>
      </c>
      <c r="ED432" s="11">
        <v>0</v>
      </c>
      <c r="EE432" s="9" t="str">
        <f>_xll.SNL.Clients.Office.Excel.Functions.SPG(EB432, "SP_COUNTRY_NAME")</f>
        <v>Taiwan</v>
      </c>
      <c r="EF432" t="s">
        <v>1526</v>
      </c>
      <c r="EG432">
        <v>26415326</v>
      </c>
      <c r="EH432" t="s">
        <v>364</v>
      </c>
      <c r="EI432" s="11">
        <v>0</v>
      </c>
      <c r="EJ432" s="9" t="str">
        <f>_xll.SNL.Clients.Office.Excel.Functions.SPG(EG432, "SP_COUNTRY_NAME")</f>
        <v>USA</v>
      </c>
      <c r="EO432" s="9" t="str">
        <f>_xll.SNL.Clients.Office.Excel.Functions.SPG(EL432, "SP_COUNTRY_NAME")</f>
        <v>#INVALID COMPANY ID</v>
      </c>
      <c r="ET432" s="9" t="str">
        <f>_xll.SNL.Clients.Office.Excel.Functions.SPG(EQ432, "SP_COUNTRY_NAME")</f>
        <v>#INVALID COMPANY ID</v>
      </c>
      <c r="EY432" s="9" t="str">
        <f>_xll.SNL.Clients.Office.Excel.Functions.SPG(EV432, "SP_COUNTRY_NAME")</f>
        <v>#INVALID COMPANY ID</v>
      </c>
      <c r="FD432" s="9" t="str">
        <f>_xll.SNL.Clients.Office.Excel.Functions.SPG(FA432, "SP_COUNTRY_NAME")</f>
        <v>#INVALID COMPANY ID</v>
      </c>
      <c r="FI432" s="9" t="str">
        <f>_xll.SNL.Clients.Office.Excel.Functions.SPG(FF432, "SP_COUNTRY_NAME")</f>
        <v>#INVALID COMPANY ID</v>
      </c>
      <c r="FN432" s="9" t="str">
        <f>_xll.SNL.Clients.Office.Excel.Functions.SPG(FK432, "SP_COUNTRY_NAME")</f>
        <v>#INVALID COMPANY ID</v>
      </c>
      <c r="FS432" s="9" t="str">
        <f>_xll.SNL.Clients.Office.Excel.Functions.SPG(FP432, "SP_COUNTRY_NAME")</f>
        <v>#INVALID COMPANY ID</v>
      </c>
      <c r="FX432" s="9" t="str">
        <f>_xll.SNL.Clients.Office.Excel.Functions.SPG(FU432, "SP_COUNTRY_NAME")</f>
        <v>#INVALID COMPANY ID</v>
      </c>
      <c r="FY432" t="s">
        <v>1526</v>
      </c>
      <c r="FZ432">
        <v>26415326</v>
      </c>
      <c r="GA432" t="s">
        <v>364</v>
      </c>
      <c r="GB432" s="11">
        <v>0</v>
      </c>
      <c r="GC432" s="9" t="str">
        <f>_xll.SNL.Clients.Office.Excel.Functions.SPG(FZ432, "SP_COUNTRY_NAME")</f>
        <v>USA</v>
      </c>
      <c r="GH432" s="9" t="str">
        <f>_xll.SNL.Clients.Office.Excel.Functions.SPG(GE432, "SP_COUNTRY_NAME")</f>
        <v>#INVALID COMPANY ID</v>
      </c>
      <c r="GM432" s="9" t="str">
        <f>_xll.SNL.Clients.Office.Excel.Functions.SPG(GJ432, "SP_COUNTRY_NAME")</f>
        <v>#INVALID COMPANY ID</v>
      </c>
      <c r="GR432" s="9" t="str">
        <f>_xll.SNL.Clients.Office.Excel.Functions.SPG(GO432, "SP_COUNTRY_NAME")</f>
        <v>#INVALID COMPANY ID</v>
      </c>
      <c r="GW432" s="9" t="str">
        <f>_xll.SNL.Clients.Office.Excel.Functions.SPG(GT432, "SP_COUNTRY_NAME")</f>
        <v>#INVALID COMPANY ID</v>
      </c>
      <c r="GX432" t="s">
        <v>811</v>
      </c>
      <c r="GY432">
        <v>4240414</v>
      </c>
      <c r="GZ432" t="s">
        <v>346</v>
      </c>
      <c r="HA432" s="11">
        <v>0</v>
      </c>
      <c r="HB432" s="9" t="str">
        <f>_xll.SNL.Clients.Office.Excel.Functions.SPG(GY432, "SP_COUNTRY_NAME")</f>
        <v>Taiwan</v>
      </c>
      <c r="HG432" s="9" t="str">
        <f>_xll.SNL.Clients.Office.Excel.Functions.SPG(HD432, "SP_COUNTRY_NAME")</f>
        <v>#INVALID COMPANY ID</v>
      </c>
    </row>
    <row r="433" spans="5:215" x14ac:dyDescent="0.35">
      <c r="E433" s="9" t="str">
        <f>_xll.SNL.Clients.Office.Excel.Functions.SPG(B433, "SP_COUNTRY_NAME")</f>
        <v>#INVALID COMPANY ID</v>
      </c>
      <c r="J433" s="9" t="str">
        <f>_xll.SNL.Clients.Office.Excel.Functions.SPG(G433, "SP_COUNTRY_NAME")</f>
        <v>#INVALID COMPANY ID</v>
      </c>
      <c r="O433" s="9" t="str">
        <f>_xll.SNL.Clients.Office.Excel.Functions.SPG(L433, "SP_COUNTRY_NAME")</f>
        <v>#INVALID COMPANY ID</v>
      </c>
      <c r="T433" s="9" t="str">
        <f>_xll.SNL.Clients.Office.Excel.Functions.SPG(Q433, "SP_COUNTRY_NAME")</f>
        <v>#INVALID COMPANY ID</v>
      </c>
      <c r="Y433" s="9" t="str">
        <f>_xll.SNL.Clients.Office.Excel.Functions.SPG(V433, "SP_COUNTRY_NAME")</f>
        <v>#INVALID COMPANY ID</v>
      </c>
      <c r="AD433" s="9" t="str">
        <f>_xll.SNL.Clients.Office.Excel.Functions.SPG(AA433, "SP_COUNTRY_NAME")</f>
        <v>#INVALID COMPANY ID</v>
      </c>
      <c r="AI433" s="9" t="str">
        <f>_xll.SNL.Clients.Office.Excel.Functions.SPG(AF433, "SP_COUNTRY_NAME")</f>
        <v>#INVALID COMPANY ID</v>
      </c>
      <c r="AN433" s="9" t="str">
        <f>_xll.SNL.Clients.Office.Excel.Functions.SPG(AK433, "SP_COUNTRY_NAME")</f>
        <v>#INVALID COMPANY ID</v>
      </c>
      <c r="AS433" s="9" t="str">
        <f>_xll.SNL.Clients.Office.Excel.Functions.SPG(AP433, "SP_COUNTRY_NAME")</f>
        <v>#INVALID COMPANY ID</v>
      </c>
      <c r="AX433" s="9" t="str">
        <f>_xll.SNL.Clients.Office.Excel.Functions.SPG(AU433, "SP_COUNTRY_NAME")</f>
        <v>#INVALID COMPANY ID</v>
      </c>
      <c r="BC433" s="9" t="str">
        <f>_xll.SNL.Clients.Office.Excel.Functions.SPG(AZ433, "SP_COUNTRY_NAME")</f>
        <v>#INVALID COMPANY ID</v>
      </c>
      <c r="BD433" t="s">
        <v>1527</v>
      </c>
      <c r="BE433">
        <v>4140026</v>
      </c>
      <c r="BF433" t="s">
        <v>346</v>
      </c>
      <c r="BG433" s="11">
        <v>0</v>
      </c>
      <c r="BH433" s="9" t="str">
        <f>_xll.SNL.Clients.Office.Excel.Functions.SPG(BE433, "SP_COUNTRY_NAME")</f>
        <v>Germany</v>
      </c>
      <c r="BM433" s="9" t="str">
        <f>_xll.SNL.Clients.Office.Excel.Functions.SPG(BJ433, "SP_COUNTRY_NAME")</f>
        <v>#INVALID COMPANY ID</v>
      </c>
      <c r="BR433" s="9" t="str">
        <f>_xll.SNL.Clients.Office.Excel.Functions.SPG(BO433, "SP_COUNTRY_NAME")</f>
        <v>#INVALID COMPANY ID</v>
      </c>
      <c r="BS433" t="s">
        <v>858</v>
      </c>
      <c r="BT433">
        <v>123879915</v>
      </c>
      <c r="BU433" t="s">
        <v>346</v>
      </c>
      <c r="BV433" s="11">
        <v>0</v>
      </c>
      <c r="BW433" s="9" t="str">
        <f>_xll.SNL.Clients.Office.Excel.Functions.SPG(BT433, "SP_COUNTRY_NAME")</f>
        <v>#INVALID COMPANY ID</v>
      </c>
      <c r="CB433" s="9" t="str">
        <f>_xll.SNL.Clients.Office.Excel.Functions.SPG(BY433, "SP_COUNTRY_NAME")</f>
        <v>#INVALID COMPANY ID</v>
      </c>
      <c r="CC433" t="s">
        <v>1852</v>
      </c>
      <c r="CD433" t="s">
        <v>300</v>
      </c>
      <c r="CE433" t="s">
        <v>361</v>
      </c>
      <c r="CF433" s="11">
        <v>0</v>
      </c>
      <c r="CG433" s="9" t="str">
        <f>_xll.SNL.Clients.Office.Excel.Functions.SPG(CD433, "SP_COUNTRY_NAME")</f>
        <v>China</v>
      </c>
      <c r="CL433" s="9" t="str">
        <f>_xll.SNL.Clients.Office.Excel.Functions.SPG(CI433, "SP_COUNTRY_NAME")</f>
        <v>#INVALID COMPANY ID</v>
      </c>
      <c r="CM433" t="s">
        <v>1824</v>
      </c>
      <c r="CN433">
        <v>4054540</v>
      </c>
      <c r="CO433" t="s">
        <v>346</v>
      </c>
      <c r="CP433" s="11">
        <v>0</v>
      </c>
      <c r="CQ433" s="9" t="str">
        <f>_xll.SNL.Clients.Office.Excel.Functions.SPG(CN433, "SP_COUNTRY_NAME")</f>
        <v>USA</v>
      </c>
      <c r="CV433" s="9" t="str">
        <f>_xll.SNL.Clients.Office.Excel.Functions.SPG(CS433, "SP_COUNTRY_NAME")</f>
        <v>#INVALID COMPANY ID</v>
      </c>
      <c r="DA433" s="9" t="str">
        <f>_xll.SNL.Clients.Office.Excel.Functions.SPG(CX433, "SP_COUNTRY_NAME")</f>
        <v>#INVALID COMPANY ID</v>
      </c>
      <c r="DB433" t="s">
        <v>1527</v>
      </c>
      <c r="DC433">
        <v>4140026</v>
      </c>
      <c r="DD433" t="s">
        <v>346</v>
      </c>
      <c r="DE433" s="11">
        <v>0</v>
      </c>
      <c r="DF433" s="9" t="str">
        <f>_xll.SNL.Clients.Office.Excel.Functions.SPG(DC433, "SP_COUNTRY_NAME")</f>
        <v>Germany</v>
      </c>
      <c r="DK433" s="9" t="str">
        <f>_xll.SNL.Clients.Office.Excel.Functions.SPG(DH433, "SP_COUNTRY_NAME")</f>
        <v>#INVALID COMPANY ID</v>
      </c>
      <c r="DL433" t="s">
        <v>1527</v>
      </c>
      <c r="DM433">
        <v>4140026</v>
      </c>
      <c r="DN433" t="s">
        <v>346</v>
      </c>
      <c r="DO433" s="11">
        <v>0</v>
      </c>
      <c r="DP433" s="9" t="str">
        <f>_xll.SNL.Clients.Office.Excel.Functions.SPG(DM433, "SP_COUNTRY_NAME")</f>
        <v>Germany</v>
      </c>
      <c r="DU433" s="9" t="str">
        <f>_xll.SNL.Clients.Office.Excel.Functions.SPG(DR433, "SP_COUNTRY_NAME")</f>
        <v>#INVALID COMPANY ID</v>
      </c>
      <c r="DZ433" s="9" t="str">
        <f>_xll.SNL.Clients.Office.Excel.Functions.SPG(DW433, "SP_COUNTRY_NAME")</f>
        <v>#INVALID COMPANY ID</v>
      </c>
      <c r="EA433" t="s">
        <v>1852</v>
      </c>
      <c r="EB433" t="s">
        <v>300</v>
      </c>
      <c r="EC433" t="s">
        <v>361</v>
      </c>
      <c r="ED433" s="11">
        <v>0</v>
      </c>
      <c r="EE433" s="9" t="str">
        <f>_xll.SNL.Clients.Office.Excel.Functions.SPG(EB433, "SP_COUNTRY_NAME")</f>
        <v>China</v>
      </c>
      <c r="EF433" t="s">
        <v>1527</v>
      </c>
      <c r="EG433">
        <v>4140026</v>
      </c>
      <c r="EH433" t="s">
        <v>346</v>
      </c>
      <c r="EI433" s="11">
        <v>0</v>
      </c>
      <c r="EJ433" s="9" t="str">
        <f>_xll.SNL.Clients.Office.Excel.Functions.SPG(EG433, "SP_COUNTRY_NAME")</f>
        <v>Germany</v>
      </c>
      <c r="EO433" s="9" t="str">
        <f>_xll.SNL.Clients.Office.Excel.Functions.SPG(EL433, "SP_COUNTRY_NAME")</f>
        <v>#INVALID COMPANY ID</v>
      </c>
      <c r="ET433" s="9" t="str">
        <f>_xll.SNL.Clients.Office.Excel.Functions.SPG(EQ433, "SP_COUNTRY_NAME")</f>
        <v>#INVALID COMPANY ID</v>
      </c>
      <c r="EY433" s="9" t="str">
        <f>_xll.SNL.Clients.Office.Excel.Functions.SPG(EV433, "SP_COUNTRY_NAME")</f>
        <v>#INVALID COMPANY ID</v>
      </c>
      <c r="FD433" s="9" t="str">
        <f>_xll.SNL.Clients.Office.Excel.Functions.SPG(FA433, "SP_COUNTRY_NAME")</f>
        <v>#INVALID COMPANY ID</v>
      </c>
      <c r="FI433" s="9" t="str">
        <f>_xll.SNL.Clients.Office.Excel.Functions.SPG(FF433, "SP_COUNTRY_NAME")</f>
        <v>#INVALID COMPANY ID</v>
      </c>
      <c r="FN433" s="9" t="str">
        <f>_xll.SNL.Clients.Office.Excel.Functions.SPG(FK433, "SP_COUNTRY_NAME")</f>
        <v>#INVALID COMPANY ID</v>
      </c>
      <c r="FS433" s="9" t="str">
        <f>_xll.SNL.Clients.Office.Excel.Functions.SPG(FP433, "SP_COUNTRY_NAME")</f>
        <v>#INVALID COMPANY ID</v>
      </c>
      <c r="FX433" s="9" t="str">
        <f>_xll.SNL.Clients.Office.Excel.Functions.SPG(FU433, "SP_COUNTRY_NAME")</f>
        <v>#INVALID COMPANY ID</v>
      </c>
      <c r="FY433" t="s">
        <v>1527</v>
      </c>
      <c r="FZ433">
        <v>4140026</v>
      </c>
      <c r="GA433" t="s">
        <v>346</v>
      </c>
      <c r="GB433" s="11">
        <v>0</v>
      </c>
      <c r="GC433" s="9" t="str">
        <f>_xll.SNL.Clients.Office.Excel.Functions.SPG(FZ433, "SP_COUNTRY_NAME")</f>
        <v>Germany</v>
      </c>
      <c r="GH433" s="9" t="str">
        <f>_xll.SNL.Clients.Office.Excel.Functions.SPG(GE433, "SP_COUNTRY_NAME")</f>
        <v>#INVALID COMPANY ID</v>
      </c>
      <c r="GM433" s="9" t="str">
        <f>_xll.SNL.Clients.Office.Excel.Functions.SPG(GJ433, "SP_COUNTRY_NAME")</f>
        <v>#INVALID COMPANY ID</v>
      </c>
      <c r="GR433" s="9" t="str">
        <f>_xll.SNL.Clients.Office.Excel.Functions.SPG(GO433, "SP_COUNTRY_NAME")</f>
        <v>#INVALID COMPANY ID</v>
      </c>
      <c r="GW433" s="9" t="str">
        <f>_xll.SNL.Clients.Office.Excel.Functions.SPG(GT433, "SP_COUNTRY_NAME")</f>
        <v>#INVALID COMPANY ID</v>
      </c>
      <c r="GX433" t="s">
        <v>1852</v>
      </c>
      <c r="GY433" t="s">
        <v>300</v>
      </c>
      <c r="GZ433" t="s">
        <v>361</v>
      </c>
      <c r="HA433" s="11">
        <v>0</v>
      </c>
      <c r="HB433" s="9" t="str">
        <f>_xll.SNL.Clients.Office.Excel.Functions.SPG(GY433, "SP_COUNTRY_NAME")</f>
        <v>China</v>
      </c>
      <c r="HG433" s="9" t="str">
        <f>_xll.SNL.Clients.Office.Excel.Functions.SPG(HD433, "SP_COUNTRY_NAME")</f>
        <v>#INVALID COMPANY ID</v>
      </c>
    </row>
    <row r="434" spans="5:215" x14ac:dyDescent="0.35">
      <c r="E434" s="9" t="str">
        <f>_xll.SNL.Clients.Office.Excel.Functions.SPG(B434, "SP_COUNTRY_NAME")</f>
        <v>#INVALID COMPANY ID</v>
      </c>
      <c r="J434" s="9" t="str">
        <f>_xll.SNL.Clients.Office.Excel.Functions.SPG(G434, "SP_COUNTRY_NAME")</f>
        <v>#INVALID COMPANY ID</v>
      </c>
      <c r="O434" s="9" t="str">
        <f>_xll.SNL.Clients.Office.Excel.Functions.SPG(L434, "SP_COUNTRY_NAME")</f>
        <v>#INVALID COMPANY ID</v>
      </c>
      <c r="T434" s="9" t="str">
        <f>_xll.SNL.Clients.Office.Excel.Functions.SPG(Q434, "SP_COUNTRY_NAME")</f>
        <v>#INVALID COMPANY ID</v>
      </c>
      <c r="Y434" s="9" t="str">
        <f>_xll.SNL.Clients.Office.Excel.Functions.SPG(V434, "SP_COUNTRY_NAME")</f>
        <v>#INVALID COMPANY ID</v>
      </c>
      <c r="AD434" s="9" t="str">
        <f>_xll.SNL.Clients.Office.Excel.Functions.SPG(AA434, "SP_COUNTRY_NAME")</f>
        <v>#INVALID COMPANY ID</v>
      </c>
      <c r="AI434" s="9" t="str">
        <f>_xll.SNL.Clients.Office.Excel.Functions.SPG(AF434, "SP_COUNTRY_NAME")</f>
        <v>#INVALID COMPANY ID</v>
      </c>
      <c r="AN434" s="9" t="str">
        <f>_xll.SNL.Clients.Office.Excel.Functions.SPG(AK434, "SP_COUNTRY_NAME")</f>
        <v>#INVALID COMPANY ID</v>
      </c>
      <c r="AS434" s="9" t="str">
        <f>_xll.SNL.Clients.Office.Excel.Functions.SPG(AP434, "SP_COUNTRY_NAME")</f>
        <v>#INVALID COMPANY ID</v>
      </c>
      <c r="AX434" s="9" t="str">
        <f>_xll.SNL.Clients.Office.Excel.Functions.SPG(AU434, "SP_COUNTRY_NAME")</f>
        <v>#INVALID COMPANY ID</v>
      </c>
      <c r="BC434" s="9" t="str">
        <f>_xll.SNL.Clients.Office.Excel.Functions.SPG(AZ434, "SP_COUNTRY_NAME")</f>
        <v>#INVALID COMPANY ID</v>
      </c>
      <c r="BD434" t="s">
        <v>579</v>
      </c>
      <c r="BE434">
        <v>5842097</v>
      </c>
      <c r="BF434" t="s">
        <v>346</v>
      </c>
      <c r="BG434" s="11">
        <v>0</v>
      </c>
      <c r="BH434" s="9" t="str">
        <f>_xll.SNL.Clients.Office.Excel.Functions.SPG(BE434, "SP_COUNTRY_NAME")</f>
        <v>Italy</v>
      </c>
      <c r="BM434" s="9" t="str">
        <f>_xll.SNL.Clients.Office.Excel.Functions.SPG(BJ434, "SP_COUNTRY_NAME")</f>
        <v>#INVALID COMPANY ID</v>
      </c>
      <c r="BR434" s="9" t="str">
        <f>_xll.SNL.Clients.Office.Excel.Functions.SPG(BO434, "SP_COUNTRY_NAME")</f>
        <v>#INVALID COMPANY ID</v>
      </c>
      <c r="BS434" t="s">
        <v>1072</v>
      </c>
      <c r="BT434">
        <v>5760994</v>
      </c>
      <c r="BU434" t="s">
        <v>346</v>
      </c>
      <c r="BV434" s="11">
        <v>0</v>
      </c>
      <c r="BW434" s="9" t="str">
        <f>_xll.SNL.Clients.Office.Excel.Functions.SPG(BT434, "SP_COUNTRY_NAME")</f>
        <v>Luxembourg</v>
      </c>
      <c r="CB434" s="9" t="str">
        <f>_xll.SNL.Clients.Office.Excel.Functions.SPG(BY434, "SP_COUNTRY_NAME")</f>
        <v>#INVALID COMPANY ID</v>
      </c>
      <c r="CC434" t="s">
        <v>1853</v>
      </c>
      <c r="CD434">
        <v>5750463</v>
      </c>
      <c r="CE434" t="s">
        <v>364</v>
      </c>
      <c r="CF434" s="11">
        <v>0</v>
      </c>
      <c r="CG434" s="9" t="str">
        <f>_xll.SNL.Clients.Office.Excel.Functions.SPG(CD434, "SP_COUNTRY_NAME")</f>
        <v>Brazil</v>
      </c>
      <c r="CL434" s="9" t="str">
        <f>_xll.SNL.Clients.Office.Excel.Functions.SPG(CI434, "SP_COUNTRY_NAME")</f>
        <v>#INVALID COMPANY ID</v>
      </c>
      <c r="CM434" t="s">
        <v>872</v>
      </c>
      <c r="CN434">
        <v>4025426</v>
      </c>
      <c r="CO434" t="s">
        <v>300</v>
      </c>
      <c r="CP434" s="11">
        <v>0</v>
      </c>
      <c r="CQ434" s="9" t="str">
        <f>_xll.SNL.Clients.Office.Excel.Functions.SPG(CN434, "SP_COUNTRY_NAME")</f>
        <v>USA</v>
      </c>
      <c r="CV434" s="9" t="str">
        <f>_xll.SNL.Clients.Office.Excel.Functions.SPG(CS434, "SP_COUNTRY_NAME")</f>
        <v>#INVALID COMPANY ID</v>
      </c>
      <c r="DA434" s="9" t="str">
        <f>_xll.SNL.Clients.Office.Excel.Functions.SPG(CX434, "SP_COUNTRY_NAME")</f>
        <v>#INVALID COMPANY ID</v>
      </c>
      <c r="DB434" t="s">
        <v>579</v>
      </c>
      <c r="DC434">
        <v>5842097</v>
      </c>
      <c r="DD434" t="s">
        <v>346</v>
      </c>
      <c r="DE434" s="11">
        <v>0</v>
      </c>
      <c r="DF434" s="9" t="str">
        <f>_xll.SNL.Clients.Office.Excel.Functions.SPG(DC434, "SP_COUNTRY_NAME")</f>
        <v>Italy</v>
      </c>
      <c r="DK434" s="9" t="str">
        <f>_xll.SNL.Clients.Office.Excel.Functions.SPG(DH434, "SP_COUNTRY_NAME")</f>
        <v>#INVALID COMPANY ID</v>
      </c>
      <c r="DL434" t="s">
        <v>579</v>
      </c>
      <c r="DM434">
        <v>5842097</v>
      </c>
      <c r="DN434" t="s">
        <v>346</v>
      </c>
      <c r="DO434" s="11">
        <v>0</v>
      </c>
      <c r="DP434" s="9" t="str">
        <f>_xll.SNL.Clients.Office.Excel.Functions.SPG(DM434, "SP_COUNTRY_NAME")</f>
        <v>Italy</v>
      </c>
      <c r="DU434" s="9" t="str">
        <f>_xll.SNL.Clients.Office.Excel.Functions.SPG(DR434, "SP_COUNTRY_NAME")</f>
        <v>#INVALID COMPANY ID</v>
      </c>
      <c r="DZ434" s="9" t="str">
        <f>_xll.SNL.Clients.Office.Excel.Functions.SPG(DW434, "SP_COUNTRY_NAME")</f>
        <v>#INVALID COMPANY ID</v>
      </c>
      <c r="EA434" t="s">
        <v>1853</v>
      </c>
      <c r="EB434">
        <v>5750463</v>
      </c>
      <c r="EC434" t="s">
        <v>364</v>
      </c>
      <c r="ED434" s="11">
        <v>0</v>
      </c>
      <c r="EE434" s="9" t="str">
        <f>_xll.SNL.Clients.Office.Excel.Functions.SPG(EB434, "SP_COUNTRY_NAME")</f>
        <v>Brazil</v>
      </c>
      <c r="EF434" t="s">
        <v>579</v>
      </c>
      <c r="EG434">
        <v>5842097</v>
      </c>
      <c r="EH434" t="s">
        <v>346</v>
      </c>
      <c r="EI434" s="11">
        <v>0</v>
      </c>
      <c r="EJ434" s="9" t="str">
        <f>_xll.SNL.Clients.Office.Excel.Functions.SPG(EG434, "SP_COUNTRY_NAME")</f>
        <v>Italy</v>
      </c>
      <c r="EO434" s="9" t="str">
        <f>_xll.SNL.Clients.Office.Excel.Functions.SPG(EL434, "SP_COUNTRY_NAME")</f>
        <v>#INVALID COMPANY ID</v>
      </c>
      <c r="ET434" s="9" t="str">
        <f>_xll.SNL.Clients.Office.Excel.Functions.SPG(EQ434, "SP_COUNTRY_NAME")</f>
        <v>#INVALID COMPANY ID</v>
      </c>
      <c r="EY434" s="9" t="str">
        <f>_xll.SNL.Clients.Office.Excel.Functions.SPG(EV434, "SP_COUNTRY_NAME")</f>
        <v>#INVALID COMPANY ID</v>
      </c>
      <c r="FD434" s="9" t="str">
        <f>_xll.SNL.Clients.Office.Excel.Functions.SPG(FA434, "SP_COUNTRY_NAME")</f>
        <v>#INVALID COMPANY ID</v>
      </c>
      <c r="FI434" s="9" t="str">
        <f>_xll.SNL.Clients.Office.Excel.Functions.SPG(FF434, "SP_COUNTRY_NAME")</f>
        <v>#INVALID COMPANY ID</v>
      </c>
      <c r="FN434" s="9" t="str">
        <f>_xll.SNL.Clients.Office.Excel.Functions.SPG(FK434, "SP_COUNTRY_NAME")</f>
        <v>#INVALID COMPANY ID</v>
      </c>
      <c r="FS434" s="9" t="str">
        <f>_xll.SNL.Clients.Office.Excel.Functions.SPG(FP434, "SP_COUNTRY_NAME")</f>
        <v>#INVALID COMPANY ID</v>
      </c>
      <c r="FX434" s="9" t="str">
        <f>_xll.SNL.Clients.Office.Excel.Functions.SPG(FU434, "SP_COUNTRY_NAME")</f>
        <v>#INVALID COMPANY ID</v>
      </c>
      <c r="FY434" t="s">
        <v>579</v>
      </c>
      <c r="FZ434">
        <v>5842097</v>
      </c>
      <c r="GA434" t="s">
        <v>346</v>
      </c>
      <c r="GB434" s="11">
        <v>0</v>
      </c>
      <c r="GC434" s="9" t="str">
        <f>_xll.SNL.Clients.Office.Excel.Functions.SPG(FZ434, "SP_COUNTRY_NAME")</f>
        <v>Italy</v>
      </c>
      <c r="GH434" s="9" t="str">
        <f>_xll.SNL.Clients.Office.Excel.Functions.SPG(GE434, "SP_COUNTRY_NAME")</f>
        <v>#INVALID COMPANY ID</v>
      </c>
      <c r="GM434" s="9" t="str">
        <f>_xll.SNL.Clients.Office.Excel.Functions.SPG(GJ434, "SP_COUNTRY_NAME")</f>
        <v>#INVALID COMPANY ID</v>
      </c>
      <c r="GR434" s="9" t="str">
        <f>_xll.SNL.Clients.Office.Excel.Functions.SPG(GO434, "SP_COUNTRY_NAME")</f>
        <v>#INVALID COMPANY ID</v>
      </c>
      <c r="GW434" s="9" t="str">
        <f>_xll.SNL.Clients.Office.Excel.Functions.SPG(GT434, "SP_COUNTRY_NAME")</f>
        <v>#INVALID COMPANY ID</v>
      </c>
      <c r="GX434" t="s">
        <v>1853</v>
      </c>
      <c r="GY434">
        <v>5750463</v>
      </c>
      <c r="GZ434" t="s">
        <v>364</v>
      </c>
      <c r="HA434" s="11">
        <v>0</v>
      </c>
      <c r="HB434" s="9" t="str">
        <f>_xll.SNL.Clients.Office.Excel.Functions.SPG(GY434, "SP_COUNTRY_NAME")</f>
        <v>Brazil</v>
      </c>
      <c r="HG434" s="9" t="str">
        <f>_xll.SNL.Clients.Office.Excel.Functions.SPG(HD434, "SP_COUNTRY_NAME")</f>
        <v>#INVALID COMPANY ID</v>
      </c>
    </row>
    <row r="435" spans="5:215" x14ac:dyDescent="0.35">
      <c r="E435" s="9" t="str">
        <f>_xll.SNL.Clients.Office.Excel.Functions.SPG(B435, "SP_COUNTRY_NAME")</f>
        <v>#INVALID COMPANY ID</v>
      </c>
      <c r="J435" s="9" t="str">
        <f>_xll.SNL.Clients.Office.Excel.Functions.SPG(G435, "SP_COUNTRY_NAME")</f>
        <v>#INVALID COMPANY ID</v>
      </c>
      <c r="O435" s="9" t="str">
        <f>_xll.SNL.Clients.Office.Excel.Functions.SPG(L435, "SP_COUNTRY_NAME")</f>
        <v>#INVALID COMPANY ID</v>
      </c>
      <c r="T435" s="9" t="str">
        <f>_xll.SNL.Clients.Office.Excel.Functions.SPG(Q435, "SP_COUNTRY_NAME")</f>
        <v>#INVALID COMPANY ID</v>
      </c>
      <c r="Y435" s="9" t="str">
        <f>_xll.SNL.Clients.Office.Excel.Functions.SPG(V435, "SP_COUNTRY_NAME")</f>
        <v>#INVALID COMPANY ID</v>
      </c>
      <c r="AD435" s="9" t="str">
        <f>_xll.SNL.Clients.Office.Excel.Functions.SPG(AA435, "SP_COUNTRY_NAME")</f>
        <v>#INVALID COMPANY ID</v>
      </c>
      <c r="AI435" s="9" t="str">
        <f>_xll.SNL.Clients.Office.Excel.Functions.SPG(AF435, "SP_COUNTRY_NAME")</f>
        <v>#INVALID COMPANY ID</v>
      </c>
      <c r="AN435" s="9" t="str">
        <f>_xll.SNL.Clients.Office.Excel.Functions.SPG(AK435, "SP_COUNTRY_NAME")</f>
        <v>#INVALID COMPANY ID</v>
      </c>
      <c r="AS435" s="9" t="str">
        <f>_xll.SNL.Clients.Office.Excel.Functions.SPG(AP435, "SP_COUNTRY_NAME")</f>
        <v>#INVALID COMPANY ID</v>
      </c>
      <c r="AX435" s="9" t="str">
        <f>_xll.SNL.Clients.Office.Excel.Functions.SPG(AU435, "SP_COUNTRY_NAME")</f>
        <v>#INVALID COMPANY ID</v>
      </c>
      <c r="BC435" s="9" t="str">
        <f>_xll.SNL.Clients.Office.Excel.Functions.SPG(AZ435, "SP_COUNTRY_NAME")</f>
        <v>#INVALID COMPANY ID</v>
      </c>
      <c r="BD435" t="s">
        <v>1271</v>
      </c>
      <c r="BE435">
        <v>4930964</v>
      </c>
      <c r="BF435" t="s">
        <v>346</v>
      </c>
      <c r="BG435" s="11">
        <v>0</v>
      </c>
      <c r="BH435" s="9" t="str">
        <f>_xll.SNL.Clients.Office.Excel.Functions.SPG(BE435, "SP_COUNTRY_NAME")</f>
        <v>South Africa</v>
      </c>
      <c r="BM435" s="9" t="str">
        <f>_xll.SNL.Clients.Office.Excel.Functions.SPG(BJ435, "SP_COUNTRY_NAME")</f>
        <v>#INVALID COMPANY ID</v>
      </c>
      <c r="BR435" s="9" t="str">
        <f>_xll.SNL.Clients.Office.Excel.Functions.SPG(BO435, "SP_COUNTRY_NAME")</f>
        <v>#INVALID COMPANY ID</v>
      </c>
      <c r="BS435" t="s">
        <v>465</v>
      </c>
      <c r="BT435">
        <v>4119440</v>
      </c>
      <c r="BU435" t="s">
        <v>346</v>
      </c>
      <c r="BV435" s="11">
        <v>0</v>
      </c>
      <c r="BW435" s="9" t="str">
        <f>_xll.SNL.Clients.Office.Excel.Functions.SPG(BT435, "SP_COUNTRY_NAME")</f>
        <v>USA</v>
      </c>
      <c r="CB435" s="9" t="str">
        <f>_xll.SNL.Clients.Office.Excel.Functions.SPG(BY435, "SP_COUNTRY_NAME")</f>
        <v>#INVALID COMPANY ID</v>
      </c>
      <c r="CC435" t="s">
        <v>1854</v>
      </c>
      <c r="CD435">
        <v>4117722</v>
      </c>
      <c r="CE435" t="s">
        <v>346</v>
      </c>
      <c r="CF435" s="11">
        <v>0</v>
      </c>
      <c r="CG435" s="9" t="str">
        <f>_xll.SNL.Clients.Office.Excel.Functions.SPG(CD435, "SP_COUNTRY_NAME")</f>
        <v>USA</v>
      </c>
      <c r="CL435" s="9" t="str">
        <f>_xll.SNL.Clients.Office.Excel.Functions.SPG(CI435, "SP_COUNTRY_NAME")</f>
        <v>#INVALID COMPANY ID</v>
      </c>
      <c r="CM435" t="s">
        <v>2080</v>
      </c>
      <c r="CN435">
        <v>137748619</v>
      </c>
      <c r="CO435" t="s">
        <v>276</v>
      </c>
      <c r="CP435" s="11">
        <v>0</v>
      </c>
      <c r="CQ435" s="9" t="str">
        <f>_xll.SNL.Clients.Office.Excel.Functions.SPG(CN435, "SP_COUNTRY_NAME")</f>
        <v>USA</v>
      </c>
      <c r="CV435" s="9" t="str">
        <f>_xll.SNL.Clients.Office.Excel.Functions.SPG(CS435, "SP_COUNTRY_NAME")</f>
        <v>#INVALID COMPANY ID</v>
      </c>
      <c r="DA435" s="9" t="str">
        <f>_xll.SNL.Clients.Office.Excel.Functions.SPG(CX435, "SP_COUNTRY_NAME")</f>
        <v>#INVALID COMPANY ID</v>
      </c>
      <c r="DB435" t="s">
        <v>1271</v>
      </c>
      <c r="DC435">
        <v>4930964</v>
      </c>
      <c r="DD435" t="s">
        <v>346</v>
      </c>
      <c r="DE435" s="11">
        <v>0</v>
      </c>
      <c r="DF435" s="9" t="str">
        <f>_xll.SNL.Clients.Office.Excel.Functions.SPG(DC435, "SP_COUNTRY_NAME")</f>
        <v>South Africa</v>
      </c>
      <c r="DK435" s="9" t="str">
        <f>_xll.SNL.Clients.Office.Excel.Functions.SPG(DH435, "SP_COUNTRY_NAME")</f>
        <v>#INVALID COMPANY ID</v>
      </c>
      <c r="DL435" t="s">
        <v>1271</v>
      </c>
      <c r="DM435">
        <v>4930964</v>
      </c>
      <c r="DN435" t="s">
        <v>346</v>
      </c>
      <c r="DO435" s="11">
        <v>0</v>
      </c>
      <c r="DP435" s="9" t="str">
        <f>_xll.SNL.Clients.Office.Excel.Functions.SPG(DM435, "SP_COUNTRY_NAME")</f>
        <v>South Africa</v>
      </c>
      <c r="DU435" s="9" t="str">
        <f>_xll.SNL.Clients.Office.Excel.Functions.SPG(DR435, "SP_COUNTRY_NAME")</f>
        <v>#INVALID COMPANY ID</v>
      </c>
      <c r="DZ435" s="9" t="str">
        <f>_xll.SNL.Clients.Office.Excel.Functions.SPG(DW435, "SP_COUNTRY_NAME")</f>
        <v>#INVALID COMPANY ID</v>
      </c>
      <c r="EA435" t="s">
        <v>1854</v>
      </c>
      <c r="EB435">
        <v>4117722</v>
      </c>
      <c r="EC435" t="s">
        <v>346</v>
      </c>
      <c r="ED435" s="11">
        <v>0</v>
      </c>
      <c r="EE435" s="9" t="str">
        <f>_xll.SNL.Clients.Office.Excel.Functions.SPG(EB435, "SP_COUNTRY_NAME")</f>
        <v>USA</v>
      </c>
      <c r="EF435" t="s">
        <v>1271</v>
      </c>
      <c r="EG435">
        <v>4930964</v>
      </c>
      <c r="EH435" t="s">
        <v>346</v>
      </c>
      <c r="EI435" s="11">
        <v>0</v>
      </c>
      <c r="EJ435" s="9" t="str">
        <f>_xll.SNL.Clients.Office.Excel.Functions.SPG(EG435, "SP_COUNTRY_NAME")</f>
        <v>South Africa</v>
      </c>
      <c r="EO435" s="9" t="str">
        <f>_xll.SNL.Clients.Office.Excel.Functions.SPG(EL435, "SP_COUNTRY_NAME")</f>
        <v>#INVALID COMPANY ID</v>
      </c>
      <c r="ET435" s="9" t="str">
        <f>_xll.SNL.Clients.Office.Excel.Functions.SPG(EQ435, "SP_COUNTRY_NAME")</f>
        <v>#INVALID COMPANY ID</v>
      </c>
      <c r="EY435" s="9" t="str">
        <f>_xll.SNL.Clients.Office.Excel.Functions.SPG(EV435, "SP_COUNTRY_NAME")</f>
        <v>#INVALID COMPANY ID</v>
      </c>
      <c r="FD435" s="9" t="str">
        <f>_xll.SNL.Clients.Office.Excel.Functions.SPG(FA435, "SP_COUNTRY_NAME")</f>
        <v>#INVALID COMPANY ID</v>
      </c>
      <c r="FI435" s="9" t="str">
        <f>_xll.SNL.Clients.Office.Excel.Functions.SPG(FF435, "SP_COUNTRY_NAME")</f>
        <v>#INVALID COMPANY ID</v>
      </c>
      <c r="FN435" s="9" t="str">
        <f>_xll.SNL.Clients.Office.Excel.Functions.SPG(FK435, "SP_COUNTRY_NAME")</f>
        <v>#INVALID COMPANY ID</v>
      </c>
      <c r="FS435" s="9" t="str">
        <f>_xll.SNL.Clients.Office.Excel.Functions.SPG(FP435, "SP_COUNTRY_NAME")</f>
        <v>#INVALID COMPANY ID</v>
      </c>
      <c r="FX435" s="9" t="str">
        <f>_xll.SNL.Clients.Office.Excel.Functions.SPG(FU435, "SP_COUNTRY_NAME")</f>
        <v>#INVALID COMPANY ID</v>
      </c>
      <c r="FY435" t="s">
        <v>1271</v>
      </c>
      <c r="FZ435">
        <v>4930964</v>
      </c>
      <c r="GA435" t="s">
        <v>346</v>
      </c>
      <c r="GB435" s="11">
        <v>0</v>
      </c>
      <c r="GC435" s="9" t="str">
        <f>_xll.SNL.Clients.Office.Excel.Functions.SPG(FZ435, "SP_COUNTRY_NAME")</f>
        <v>South Africa</v>
      </c>
      <c r="GH435" s="9" t="str">
        <f>_xll.SNL.Clients.Office.Excel.Functions.SPG(GE435, "SP_COUNTRY_NAME")</f>
        <v>#INVALID COMPANY ID</v>
      </c>
      <c r="GM435" s="9" t="str">
        <f>_xll.SNL.Clients.Office.Excel.Functions.SPG(GJ435, "SP_COUNTRY_NAME")</f>
        <v>#INVALID COMPANY ID</v>
      </c>
      <c r="GR435" s="9" t="str">
        <f>_xll.SNL.Clients.Office.Excel.Functions.SPG(GO435, "SP_COUNTRY_NAME")</f>
        <v>#INVALID COMPANY ID</v>
      </c>
      <c r="GW435" s="9" t="str">
        <f>_xll.SNL.Clients.Office.Excel.Functions.SPG(GT435, "SP_COUNTRY_NAME")</f>
        <v>#INVALID COMPANY ID</v>
      </c>
      <c r="GX435" t="s">
        <v>1854</v>
      </c>
      <c r="GY435">
        <v>4117722</v>
      </c>
      <c r="GZ435" t="s">
        <v>346</v>
      </c>
      <c r="HA435" s="11">
        <v>0</v>
      </c>
      <c r="HB435" s="9" t="str">
        <f>_xll.SNL.Clients.Office.Excel.Functions.SPG(GY435, "SP_COUNTRY_NAME")</f>
        <v>USA</v>
      </c>
      <c r="HG435" s="9" t="str">
        <f>_xll.SNL.Clients.Office.Excel.Functions.SPG(HD435, "SP_COUNTRY_NAME")</f>
        <v>#INVALID COMPANY ID</v>
      </c>
    </row>
    <row r="436" spans="5:215" x14ac:dyDescent="0.35">
      <c r="E436" s="9" t="str">
        <f>_xll.SNL.Clients.Office.Excel.Functions.SPG(B436, "SP_COUNTRY_NAME")</f>
        <v>#INVALID COMPANY ID</v>
      </c>
      <c r="J436" s="9" t="str">
        <f>_xll.SNL.Clients.Office.Excel.Functions.SPG(G436, "SP_COUNTRY_NAME")</f>
        <v>#INVALID COMPANY ID</v>
      </c>
      <c r="O436" s="9" t="str">
        <f>_xll.SNL.Clients.Office.Excel.Functions.SPG(L436, "SP_COUNTRY_NAME")</f>
        <v>#INVALID COMPANY ID</v>
      </c>
      <c r="T436" s="9" t="str">
        <f>_xll.SNL.Clients.Office.Excel.Functions.SPG(Q436, "SP_COUNTRY_NAME")</f>
        <v>#INVALID COMPANY ID</v>
      </c>
      <c r="Y436" s="9" t="str">
        <f>_xll.SNL.Clients.Office.Excel.Functions.SPG(V436, "SP_COUNTRY_NAME")</f>
        <v>#INVALID COMPANY ID</v>
      </c>
      <c r="AD436" s="9" t="str">
        <f>_xll.SNL.Clients.Office.Excel.Functions.SPG(AA436, "SP_COUNTRY_NAME")</f>
        <v>#INVALID COMPANY ID</v>
      </c>
      <c r="AI436" s="9" t="str">
        <f>_xll.SNL.Clients.Office.Excel.Functions.SPG(AF436, "SP_COUNTRY_NAME")</f>
        <v>#INVALID COMPANY ID</v>
      </c>
      <c r="AN436" s="9" t="str">
        <f>_xll.SNL.Clients.Office.Excel.Functions.SPG(AK436, "SP_COUNTRY_NAME")</f>
        <v>#INVALID COMPANY ID</v>
      </c>
      <c r="AS436" s="9" t="str">
        <f>_xll.SNL.Clients.Office.Excel.Functions.SPG(AP436, "SP_COUNTRY_NAME")</f>
        <v>#INVALID COMPANY ID</v>
      </c>
      <c r="AX436" s="9" t="str">
        <f>_xll.SNL.Clients.Office.Excel.Functions.SPG(AU436, "SP_COUNTRY_NAME")</f>
        <v>#INVALID COMPANY ID</v>
      </c>
      <c r="BC436" s="9" t="str">
        <f>_xll.SNL.Clients.Office.Excel.Functions.SPG(AZ436, "SP_COUNTRY_NAME")</f>
        <v>#INVALID COMPANY ID</v>
      </c>
      <c r="BD436" t="s">
        <v>609</v>
      </c>
      <c r="BE436">
        <v>4975908</v>
      </c>
      <c r="BF436" t="s">
        <v>346</v>
      </c>
      <c r="BG436" s="11">
        <v>0</v>
      </c>
      <c r="BH436" s="9" t="str">
        <f>_xll.SNL.Clients.Office.Excel.Functions.SPG(BE436, "SP_COUNTRY_NAME")</f>
        <v>USA</v>
      </c>
      <c r="BM436" s="9" t="str">
        <f>_xll.SNL.Clients.Office.Excel.Functions.SPG(BJ436, "SP_COUNTRY_NAME")</f>
        <v>#INVALID COMPANY ID</v>
      </c>
      <c r="BR436" s="9" t="str">
        <f>_xll.SNL.Clients.Office.Excel.Functions.SPG(BO436, "SP_COUNTRY_NAME")</f>
        <v>#INVALID COMPANY ID</v>
      </c>
      <c r="BS436" t="s">
        <v>397</v>
      </c>
      <c r="BT436">
        <v>4139795</v>
      </c>
      <c r="BU436" t="s">
        <v>346</v>
      </c>
      <c r="BV436" s="11">
        <v>0</v>
      </c>
      <c r="BW436" s="9" t="str">
        <f>_xll.SNL.Clients.Office.Excel.Functions.SPG(BT436, "SP_COUNTRY_NAME")</f>
        <v>Germany</v>
      </c>
      <c r="CB436" s="9" t="str">
        <f>_xll.SNL.Clients.Office.Excel.Functions.SPG(BY436, "SP_COUNTRY_NAME")</f>
        <v>#INVALID COMPANY ID</v>
      </c>
      <c r="CC436" t="s">
        <v>445</v>
      </c>
      <c r="CD436">
        <v>4241120</v>
      </c>
      <c r="CE436" t="s">
        <v>346</v>
      </c>
      <c r="CF436" s="11">
        <v>0</v>
      </c>
      <c r="CG436" s="9" t="str">
        <f>_xll.SNL.Clients.Office.Excel.Functions.SPG(CD436, "SP_COUNTRY_NAME")</f>
        <v>Taiwan</v>
      </c>
      <c r="CL436" s="9" t="str">
        <f>_xll.SNL.Clients.Office.Excel.Functions.SPG(CI436, "SP_COUNTRY_NAME")</f>
        <v>#INVALID COMPANY ID</v>
      </c>
      <c r="CM436" t="s">
        <v>2081</v>
      </c>
      <c r="CN436">
        <v>1000511</v>
      </c>
      <c r="CO436" t="s">
        <v>346</v>
      </c>
      <c r="CP436" s="11">
        <v>0</v>
      </c>
      <c r="CQ436" s="9" t="str">
        <f>_xll.SNL.Clients.Office.Excel.Functions.SPG(CN436, "SP_COUNTRY_NAME")</f>
        <v>USA</v>
      </c>
      <c r="CV436" s="9" t="str">
        <f>_xll.SNL.Clients.Office.Excel.Functions.SPG(CS436, "SP_COUNTRY_NAME")</f>
        <v>#INVALID COMPANY ID</v>
      </c>
      <c r="DA436" s="9" t="str">
        <f>_xll.SNL.Clients.Office.Excel.Functions.SPG(CX436, "SP_COUNTRY_NAME")</f>
        <v>#INVALID COMPANY ID</v>
      </c>
      <c r="DB436" t="s">
        <v>609</v>
      </c>
      <c r="DC436">
        <v>4975908</v>
      </c>
      <c r="DD436" t="s">
        <v>346</v>
      </c>
      <c r="DE436" s="11">
        <v>0</v>
      </c>
      <c r="DF436" s="9" t="str">
        <f>_xll.SNL.Clients.Office.Excel.Functions.SPG(DC436, "SP_COUNTRY_NAME")</f>
        <v>USA</v>
      </c>
      <c r="DK436" s="9" t="str">
        <f>_xll.SNL.Clients.Office.Excel.Functions.SPG(DH436, "SP_COUNTRY_NAME")</f>
        <v>#INVALID COMPANY ID</v>
      </c>
      <c r="DL436" t="s">
        <v>609</v>
      </c>
      <c r="DM436">
        <v>4975908</v>
      </c>
      <c r="DN436" t="s">
        <v>346</v>
      </c>
      <c r="DO436" s="11">
        <v>0</v>
      </c>
      <c r="DP436" s="9" t="str">
        <f>_xll.SNL.Clients.Office.Excel.Functions.SPG(DM436, "SP_COUNTRY_NAME")</f>
        <v>USA</v>
      </c>
      <c r="DU436" s="9" t="str">
        <f>_xll.SNL.Clients.Office.Excel.Functions.SPG(DR436, "SP_COUNTRY_NAME")</f>
        <v>#INVALID COMPANY ID</v>
      </c>
      <c r="DZ436" s="9" t="str">
        <f>_xll.SNL.Clients.Office.Excel.Functions.SPG(DW436, "SP_COUNTRY_NAME")</f>
        <v>#INVALID COMPANY ID</v>
      </c>
      <c r="EA436" t="s">
        <v>445</v>
      </c>
      <c r="EB436">
        <v>4241120</v>
      </c>
      <c r="EC436" t="s">
        <v>346</v>
      </c>
      <c r="ED436" s="11">
        <v>0</v>
      </c>
      <c r="EE436" s="9" t="str">
        <f>_xll.SNL.Clients.Office.Excel.Functions.SPG(EB436, "SP_COUNTRY_NAME")</f>
        <v>Taiwan</v>
      </c>
      <c r="EF436" t="s">
        <v>609</v>
      </c>
      <c r="EG436">
        <v>4975908</v>
      </c>
      <c r="EH436" t="s">
        <v>346</v>
      </c>
      <c r="EI436" s="11">
        <v>0</v>
      </c>
      <c r="EJ436" s="9" t="str">
        <f>_xll.SNL.Clients.Office.Excel.Functions.SPG(EG436, "SP_COUNTRY_NAME")</f>
        <v>USA</v>
      </c>
      <c r="EO436" s="9" t="str">
        <f>_xll.SNL.Clients.Office.Excel.Functions.SPG(EL436, "SP_COUNTRY_NAME")</f>
        <v>#INVALID COMPANY ID</v>
      </c>
      <c r="ET436" s="9" t="str">
        <f>_xll.SNL.Clients.Office.Excel.Functions.SPG(EQ436, "SP_COUNTRY_NAME")</f>
        <v>#INVALID COMPANY ID</v>
      </c>
      <c r="EY436" s="9" t="str">
        <f>_xll.SNL.Clients.Office.Excel.Functions.SPG(EV436, "SP_COUNTRY_NAME")</f>
        <v>#INVALID COMPANY ID</v>
      </c>
      <c r="FD436" s="9" t="str">
        <f>_xll.SNL.Clients.Office.Excel.Functions.SPG(FA436, "SP_COUNTRY_NAME")</f>
        <v>#INVALID COMPANY ID</v>
      </c>
      <c r="FI436" s="9" t="str">
        <f>_xll.SNL.Clients.Office.Excel.Functions.SPG(FF436, "SP_COUNTRY_NAME")</f>
        <v>#INVALID COMPANY ID</v>
      </c>
      <c r="FN436" s="9" t="str">
        <f>_xll.SNL.Clients.Office.Excel.Functions.SPG(FK436, "SP_COUNTRY_NAME")</f>
        <v>#INVALID COMPANY ID</v>
      </c>
      <c r="FS436" s="9" t="str">
        <f>_xll.SNL.Clients.Office.Excel.Functions.SPG(FP436, "SP_COUNTRY_NAME")</f>
        <v>#INVALID COMPANY ID</v>
      </c>
      <c r="FX436" s="9" t="str">
        <f>_xll.SNL.Clients.Office.Excel.Functions.SPG(FU436, "SP_COUNTRY_NAME")</f>
        <v>#INVALID COMPANY ID</v>
      </c>
      <c r="FY436" t="s">
        <v>609</v>
      </c>
      <c r="FZ436">
        <v>4975908</v>
      </c>
      <c r="GA436" t="s">
        <v>346</v>
      </c>
      <c r="GB436" s="11">
        <v>0</v>
      </c>
      <c r="GC436" s="9" t="str">
        <f>_xll.SNL.Clients.Office.Excel.Functions.SPG(FZ436, "SP_COUNTRY_NAME")</f>
        <v>USA</v>
      </c>
      <c r="GH436" s="9" t="str">
        <f>_xll.SNL.Clients.Office.Excel.Functions.SPG(GE436, "SP_COUNTRY_NAME")</f>
        <v>#INVALID COMPANY ID</v>
      </c>
      <c r="GM436" s="9" t="str">
        <f>_xll.SNL.Clients.Office.Excel.Functions.SPG(GJ436, "SP_COUNTRY_NAME")</f>
        <v>#INVALID COMPANY ID</v>
      </c>
      <c r="GR436" s="9" t="str">
        <f>_xll.SNL.Clients.Office.Excel.Functions.SPG(GO436, "SP_COUNTRY_NAME")</f>
        <v>#INVALID COMPANY ID</v>
      </c>
      <c r="GW436" s="9" t="str">
        <f>_xll.SNL.Clients.Office.Excel.Functions.SPG(GT436, "SP_COUNTRY_NAME")</f>
        <v>#INVALID COMPANY ID</v>
      </c>
      <c r="GX436" t="s">
        <v>445</v>
      </c>
      <c r="GY436">
        <v>4241120</v>
      </c>
      <c r="GZ436" t="s">
        <v>346</v>
      </c>
      <c r="HA436" s="11">
        <v>0</v>
      </c>
      <c r="HB436" s="9" t="str">
        <f>_xll.SNL.Clients.Office.Excel.Functions.SPG(GY436, "SP_COUNTRY_NAME")</f>
        <v>Taiwan</v>
      </c>
      <c r="HG436" s="9" t="str">
        <f>_xll.SNL.Clients.Office.Excel.Functions.SPG(HD436, "SP_COUNTRY_NAME")</f>
        <v>#INVALID COMPANY ID</v>
      </c>
    </row>
    <row r="437" spans="5:215" x14ac:dyDescent="0.35">
      <c r="E437" s="9" t="str">
        <f>_xll.SNL.Clients.Office.Excel.Functions.SPG(B437, "SP_COUNTRY_NAME")</f>
        <v>#INVALID COMPANY ID</v>
      </c>
      <c r="J437" s="9" t="str">
        <f>_xll.SNL.Clients.Office.Excel.Functions.SPG(G437, "SP_COUNTRY_NAME")</f>
        <v>#INVALID COMPANY ID</v>
      </c>
      <c r="O437" s="9" t="str">
        <f>_xll.SNL.Clients.Office.Excel.Functions.SPG(L437, "SP_COUNTRY_NAME")</f>
        <v>#INVALID COMPANY ID</v>
      </c>
      <c r="T437" s="9" t="str">
        <f>_xll.SNL.Clients.Office.Excel.Functions.SPG(Q437, "SP_COUNTRY_NAME")</f>
        <v>#INVALID COMPANY ID</v>
      </c>
      <c r="Y437" s="9" t="str">
        <f>_xll.SNL.Clients.Office.Excel.Functions.SPG(V437, "SP_COUNTRY_NAME")</f>
        <v>#INVALID COMPANY ID</v>
      </c>
      <c r="AD437" s="9" t="str">
        <f>_xll.SNL.Clients.Office.Excel.Functions.SPG(AA437, "SP_COUNTRY_NAME")</f>
        <v>#INVALID COMPANY ID</v>
      </c>
      <c r="AI437" s="9" t="str">
        <f>_xll.SNL.Clients.Office.Excel.Functions.SPG(AF437, "SP_COUNTRY_NAME")</f>
        <v>#INVALID COMPANY ID</v>
      </c>
      <c r="AN437" s="9" t="str">
        <f>_xll.SNL.Clients.Office.Excel.Functions.SPG(AK437, "SP_COUNTRY_NAME")</f>
        <v>#INVALID COMPANY ID</v>
      </c>
      <c r="AS437" s="9" t="str">
        <f>_xll.SNL.Clients.Office.Excel.Functions.SPG(AP437, "SP_COUNTRY_NAME")</f>
        <v>#INVALID COMPANY ID</v>
      </c>
      <c r="AX437" s="9" t="str">
        <f>_xll.SNL.Clients.Office.Excel.Functions.SPG(AU437, "SP_COUNTRY_NAME")</f>
        <v>#INVALID COMPANY ID</v>
      </c>
      <c r="BC437" s="9" t="str">
        <f>_xll.SNL.Clients.Office.Excel.Functions.SPG(AZ437, "SP_COUNTRY_NAME")</f>
        <v>#INVALID COMPANY ID</v>
      </c>
      <c r="BD437" t="s">
        <v>580</v>
      </c>
      <c r="BE437">
        <v>4037402</v>
      </c>
      <c r="BF437" t="s">
        <v>346</v>
      </c>
      <c r="BG437" s="11">
        <v>0</v>
      </c>
      <c r="BH437" s="9" t="str">
        <f>_xll.SNL.Clients.Office.Excel.Functions.SPG(BE437, "SP_COUNTRY_NAME")</f>
        <v>USA</v>
      </c>
      <c r="BM437" s="9" t="str">
        <f>_xll.SNL.Clients.Office.Excel.Functions.SPG(BJ437, "SP_COUNTRY_NAME")</f>
        <v>#INVALID COMPANY ID</v>
      </c>
      <c r="BR437" s="9" t="str">
        <f>_xll.SNL.Clients.Office.Excel.Functions.SPG(BO437, "SP_COUNTRY_NAME")</f>
        <v>#INVALID COMPANY ID</v>
      </c>
      <c r="BS437" t="s">
        <v>868</v>
      </c>
      <c r="BT437">
        <v>4138374</v>
      </c>
      <c r="BU437" t="s">
        <v>346</v>
      </c>
      <c r="BV437" s="11">
        <v>0</v>
      </c>
      <c r="BW437" s="9" t="str">
        <f>_xll.SNL.Clients.Office.Excel.Functions.SPG(BT437, "SP_COUNTRY_NAME")</f>
        <v>Japan</v>
      </c>
      <c r="CB437" s="9" t="str">
        <f>_xll.SNL.Clients.Office.Excel.Functions.SPG(BY437, "SP_COUNTRY_NAME")</f>
        <v>#INVALID COMPANY ID</v>
      </c>
      <c r="CC437" t="s">
        <v>1855</v>
      </c>
      <c r="CD437">
        <v>4027675</v>
      </c>
      <c r="CE437" t="s">
        <v>346</v>
      </c>
      <c r="CF437" s="11">
        <v>0</v>
      </c>
      <c r="CG437" s="9" t="str">
        <f>_xll.SNL.Clients.Office.Excel.Functions.SPG(CD437, "SP_COUNTRY_NAME")</f>
        <v>USA</v>
      </c>
      <c r="CL437" s="9" t="str">
        <f>_xll.SNL.Clients.Office.Excel.Functions.SPG(CI437, "SP_COUNTRY_NAME")</f>
        <v>#INVALID COMPANY ID</v>
      </c>
      <c r="CM437" t="s">
        <v>1599</v>
      </c>
      <c r="CN437">
        <v>4283802</v>
      </c>
      <c r="CO437" t="s">
        <v>346</v>
      </c>
      <c r="CP437" s="11">
        <v>0</v>
      </c>
      <c r="CQ437" s="9" t="str">
        <f>_xll.SNL.Clients.Office.Excel.Functions.SPG(CN437, "SP_COUNTRY_NAME")</f>
        <v>USA</v>
      </c>
      <c r="CV437" s="9" t="str">
        <f>_xll.SNL.Clients.Office.Excel.Functions.SPG(CS437, "SP_COUNTRY_NAME")</f>
        <v>#INVALID COMPANY ID</v>
      </c>
      <c r="DA437" s="9" t="str">
        <f>_xll.SNL.Clients.Office.Excel.Functions.SPG(CX437, "SP_COUNTRY_NAME")</f>
        <v>#INVALID COMPANY ID</v>
      </c>
      <c r="DB437" t="s">
        <v>580</v>
      </c>
      <c r="DC437">
        <v>4037402</v>
      </c>
      <c r="DD437" t="s">
        <v>346</v>
      </c>
      <c r="DE437" s="11">
        <v>0</v>
      </c>
      <c r="DF437" s="9" t="str">
        <f>_xll.SNL.Clients.Office.Excel.Functions.SPG(DC437, "SP_COUNTRY_NAME")</f>
        <v>USA</v>
      </c>
      <c r="DK437" s="9" t="str">
        <f>_xll.SNL.Clients.Office.Excel.Functions.SPG(DH437, "SP_COUNTRY_NAME")</f>
        <v>#INVALID COMPANY ID</v>
      </c>
      <c r="DL437" t="s">
        <v>580</v>
      </c>
      <c r="DM437">
        <v>4037402</v>
      </c>
      <c r="DN437" t="s">
        <v>346</v>
      </c>
      <c r="DO437" s="11">
        <v>0</v>
      </c>
      <c r="DP437" s="9" t="str">
        <f>_xll.SNL.Clients.Office.Excel.Functions.SPG(DM437, "SP_COUNTRY_NAME")</f>
        <v>USA</v>
      </c>
      <c r="DU437" s="9" t="str">
        <f>_xll.SNL.Clients.Office.Excel.Functions.SPG(DR437, "SP_COUNTRY_NAME")</f>
        <v>#INVALID COMPANY ID</v>
      </c>
      <c r="DZ437" s="9" t="str">
        <f>_xll.SNL.Clients.Office.Excel.Functions.SPG(DW437, "SP_COUNTRY_NAME")</f>
        <v>#INVALID COMPANY ID</v>
      </c>
      <c r="EA437" t="s">
        <v>1855</v>
      </c>
      <c r="EB437">
        <v>4027675</v>
      </c>
      <c r="EC437" t="s">
        <v>346</v>
      </c>
      <c r="ED437" s="11">
        <v>0</v>
      </c>
      <c r="EE437" s="9" t="str">
        <f>_xll.SNL.Clients.Office.Excel.Functions.SPG(EB437, "SP_COUNTRY_NAME")</f>
        <v>USA</v>
      </c>
      <c r="EF437" t="s">
        <v>580</v>
      </c>
      <c r="EG437">
        <v>4037402</v>
      </c>
      <c r="EH437" t="s">
        <v>346</v>
      </c>
      <c r="EI437" s="11">
        <v>0</v>
      </c>
      <c r="EJ437" s="9" t="str">
        <f>_xll.SNL.Clients.Office.Excel.Functions.SPG(EG437, "SP_COUNTRY_NAME")</f>
        <v>USA</v>
      </c>
      <c r="EO437" s="9" t="str">
        <f>_xll.SNL.Clients.Office.Excel.Functions.SPG(EL437, "SP_COUNTRY_NAME")</f>
        <v>#INVALID COMPANY ID</v>
      </c>
      <c r="ET437" s="9" t="str">
        <f>_xll.SNL.Clients.Office.Excel.Functions.SPG(EQ437, "SP_COUNTRY_NAME")</f>
        <v>#INVALID COMPANY ID</v>
      </c>
      <c r="EY437" s="9" t="str">
        <f>_xll.SNL.Clients.Office.Excel.Functions.SPG(EV437, "SP_COUNTRY_NAME")</f>
        <v>#INVALID COMPANY ID</v>
      </c>
      <c r="FD437" s="9" t="str">
        <f>_xll.SNL.Clients.Office.Excel.Functions.SPG(FA437, "SP_COUNTRY_NAME")</f>
        <v>#INVALID COMPANY ID</v>
      </c>
      <c r="FI437" s="9" t="str">
        <f>_xll.SNL.Clients.Office.Excel.Functions.SPG(FF437, "SP_COUNTRY_NAME")</f>
        <v>#INVALID COMPANY ID</v>
      </c>
      <c r="FN437" s="9" t="str">
        <f>_xll.SNL.Clients.Office.Excel.Functions.SPG(FK437, "SP_COUNTRY_NAME")</f>
        <v>#INVALID COMPANY ID</v>
      </c>
      <c r="FS437" s="9" t="str">
        <f>_xll.SNL.Clients.Office.Excel.Functions.SPG(FP437, "SP_COUNTRY_NAME")</f>
        <v>#INVALID COMPANY ID</v>
      </c>
      <c r="FX437" s="9" t="str">
        <f>_xll.SNL.Clients.Office.Excel.Functions.SPG(FU437, "SP_COUNTRY_NAME")</f>
        <v>#INVALID COMPANY ID</v>
      </c>
      <c r="FY437" t="s">
        <v>580</v>
      </c>
      <c r="FZ437">
        <v>4037402</v>
      </c>
      <c r="GA437" t="s">
        <v>346</v>
      </c>
      <c r="GB437" s="11">
        <v>0</v>
      </c>
      <c r="GC437" s="9" t="str">
        <f>_xll.SNL.Clients.Office.Excel.Functions.SPG(FZ437, "SP_COUNTRY_NAME")</f>
        <v>USA</v>
      </c>
      <c r="GH437" s="9" t="str">
        <f>_xll.SNL.Clients.Office.Excel.Functions.SPG(GE437, "SP_COUNTRY_NAME")</f>
        <v>#INVALID COMPANY ID</v>
      </c>
      <c r="GM437" s="9" t="str">
        <f>_xll.SNL.Clients.Office.Excel.Functions.SPG(GJ437, "SP_COUNTRY_NAME")</f>
        <v>#INVALID COMPANY ID</v>
      </c>
      <c r="GR437" s="9" t="str">
        <f>_xll.SNL.Clients.Office.Excel.Functions.SPG(GO437, "SP_COUNTRY_NAME")</f>
        <v>#INVALID COMPANY ID</v>
      </c>
      <c r="GW437" s="9" t="str">
        <f>_xll.SNL.Clients.Office.Excel.Functions.SPG(GT437, "SP_COUNTRY_NAME")</f>
        <v>#INVALID COMPANY ID</v>
      </c>
      <c r="GX437" t="s">
        <v>1855</v>
      </c>
      <c r="GY437">
        <v>4027675</v>
      </c>
      <c r="GZ437" t="s">
        <v>346</v>
      </c>
      <c r="HA437" s="11">
        <v>0</v>
      </c>
      <c r="HB437" s="9" t="str">
        <f>_xll.SNL.Clients.Office.Excel.Functions.SPG(GY437, "SP_COUNTRY_NAME")</f>
        <v>USA</v>
      </c>
      <c r="HG437" s="9" t="str">
        <f>_xll.SNL.Clients.Office.Excel.Functions.SPG(HD437, "SP_COUNTRY_NAME")</f>
        <v>#INVALID COMPANY ID</v>
      </c>
    </row>
    <row r="438" spans="5:215" x14ac:dyDescent="0.35">
      <c r="E438" s="9" t="str">
        <f>_xll.SNL.Clients.Office.Excel.Functions.SPG(B438, "SP_COUNTRY_NAME")</f>
        <v>#INVALID COMPANY ID</v>
      </c>
      <c r="J438" s="9" t="str">
        <f>_xll.SNL.Clients.Office.Excel.Functions.SPG(G438, "SP_COUNTRY_NAME")</f>
        <v>#INVALID COMPANY ID</v>
      </c>
      <c r="O438" s="9" t="str">
        <f>_xll.SNL.Clients.Office.Excel.Functions.SPG(L438, "SP_COUNTRY_NAME")</f>
        <v>#INVALID COMPANY ID</v>
      </c>
      <c r="T438" s="9" t="str">
        <f>_xll.SNL.Clients.Office.Excel.Functions.SPG(Q438, "SP_COUNTRY_NAME")</f>
        <v>#INVALID COMPANY ID</v>
      </c>
      <c r="Y438" s="9" t="str">
        <f>_xll.SNL.Clients.Office.Excel.Functions.SPG(V438, "SP_COUNTRY_NAME")</f>
        <v>#INVALID COMPANY ID</v>
      </c>
      <c r="AD438" s="9" t="str">
        <f>_xll.SNL.Clients.Office.Excel.Functions.SPG(AA438, "SP_COUNTRY_NAME")</f>
        <v>#INVALID COMPANY ID</v>
      </c>
      <c r="AI438" s="9" t="str">
        <f>_xll.SNL.Clients.Office.Excel.Functions.SPG(AF438, "SP_COUNTRY_NAME")</f>
        <v>#INVALID COMPANY ID</v>
      </c>
      <c r="AN438" s="9" t="str">
        <f>_xll.SNL.Clients.Office.Excel.Functions.SPG(AK438, "SP_COUNTRY_NAME")</f>
        <v>#INVALID COMPANY ID</v>
      </c>
      <c r="AS438" s="9" t="str">
        <f>_xll.SNL.Clients.Office.Excel.Functions.SPG(AP438, "SP_COUNTRY_NAME")</f>
        <v>#INVALID COMPANY ID</v>
      </c>
      <c r="AX438" s="9" t="str">
        <f>_xll.SNL.Clients.Office.Excel.Functions.SPG(AU438, "SP_COUNTRY_NAME")</f>
        <v>#INVALID COMPANY ID</v>
      </c>
      <c r="BC438" s="9" t="str">
        <f>_xll.SNL.Clients.Office.Excel.Functions.SPG(AZ438, "SP_COUNTRY_NAME")</f>
        <v>#INVALID COMPANY ID</v>
      </c>
      <c r="BD438" t="s">
        <v>1528</v>
      </c>
      <c r="BE438">
        <v>4221491</v>
      </c>
      <c r="BF438" t="s">
        <v>364</v>
      </c>
      <c r="BG438" s="11">
        <v>0</v>
      </c>
      <c r="BH438" s="9" t="str">
        <f>_xll.SNL.Clients.Office.Excel.Functions.SPG(BE438, "SP_COUNTRY_NAME")</f>
        <v>United Kingdom</v>
      </c>
      <c r="BM438" s="9" t="str">
        <f>_xll.SNL.Clients.Office.Excel.Functions.SPG(BJ438, "SP_COUNTRY_NAME")</f>
        <v>#INVALID COMPANY ID</v>
      </c>
      <c r="BR438" s="9" t="str">
        <f>_xll.SNL.Clients.Office.Excel.Functions.SPG(BO438, "SP_COUNTRY_NAME")</f>
        <v>#INVALID COMPANY ID</v>
      </c>
      <c r="BS438" t="s">
        <v>440</v>
      </c>
      <c r="BT438">
        <v>4140078</v>
      </c>
      <c r="BU438" t="s">
        <v>346</v>
      </c>
      <c r="BV438" s="11">
        <v>0</v>
      </c>
      <c r="BW438" s="9" t="str">
        <f>_xll.SNL.Clients.Office.Excel.Functions.SPG(BT438, "SP_COUNTRY_NAME")</f>
        <v>Japan</v>
      </c>
      <c r="CB438" s="9" t="str">
        <f>_xll.SNL.Clients.Office.Excel.Functions.SPG(BY438, "SP_COUNTRY_NAME")</f>
        <v>#INVALID COMPANY ID</v>
      </c>
      <c r="CC438" t="s">
        <v>1856</v>
      </c>
      <c r="CD438">
        <v>15038624</v>
      </c>
      <c r="CE438" t="s">
        <v>366</v>
      </c>
      <c r="CF438" s="11">
        <v>0</v>
      </c>
      <c r="CG438" s="9" t="str">
        <f>_xll.SNL.Clients.Office.Excel.Functions.SPG(CD438, "SP_COUNTRY_NAME")</f>
        <v>USA</v>
      </c>
      <c r="CL438" s="9" t="str">
        <f>_xll.SNL.Clients.Office.Excel.Functions.SPG(CI438, "SP_COUNTRY_NAME")</f>
        <v>#INVALID COMPANY ID</v>
      </c>
      <c r="CM438" t="s">
        <v>1378</v>
      </c>
      <c r="CN438">
        <v>5763686</v>
      </c>
      <c r="CO438" t="s">
        <v>346</v>
      </c>
      <c r="CP438" s="11">
        <v>0</v>
      </c>
      <c r="CQ438" s="9" t="str">
        <f>_xll.SNL.Clients.Office.Excel.Functions.SPG(CN438, "SP_COUNTRY_NAME")</f>
        <v>Australia</v>
      </c>
      <c r="CV438" s="9" t="str">
        <f>_xll.SNL.Clients.Office.Excel.Functions.SPG(CS438, "SP_COUNTRY_NAME")</f>
        <v>#INVALID COMPANY ID</v>
      </c>
      <c r="DA438" s="9" t="str">
        <f>_xll.SNL.Clients.Office.Excel.Functions.SPG(CX438, "SP_COUNTRY_NAME")</f>
        <v>#INVALID COMPANY ID</v>
      </c>
      <c r="DB438" t="s">
        <v>1528</v>
      </c>
      <c r="DC438">
        <v>4221491</v>
      </c>
      <c r="DD438" t="s">
        <v>364</v>
      </c>
      <c r="DE438" s="11">
        <v>0</v>
      </c>
      <c r="DF438" s="9" t="str">
        <f>_xll.SNL.Clients.Office.Excel.Functions.SPG(DC438, "SP_COUNTRY_NAME")</f>
        <v>United Kingdom</v>
      </c>
      <c r="DK438" s="9" t="str">
        <f>_xll.SNL.Clients.Office.Excel.Functions.SPG(DH438, "SP_COUNTRY_NAME")</f>
        <v>#INVALID COMPANY ID</v>
      </c>
      <c r="DL438" t="s">
        <v>1528</v>
      </c>
      <c r="DM438">
        <v>4221491</v>
      </c>
      <c r="DN438" t="s">
        <v>364</v>
      </c>
      <c r="DO438" s="11">
        <v>0</v>
      </c>
      <c r="DP438" s="9" t="str">
        <f>_xll.SNL.Clients.Office.Excel.Functions.SPG(DM438, "SP_COUNTRY_NAME")</f>
        <v>United Kingdom</v>
      </c>
      <c r="DU438" s="9" t="str">
        <f>_xll.SNL.Clients.Office.Excel.Functions.SPG(DR438, "SP_COUNTRY_NAME")</f>
        <v>#INVALID COMPANY ID</v>
      </c>
      <c r="DZ438" s="9" t="str">
        <f>_xll.SNL.Clients.Office.Excel.Functions.SPG(DW438, "SP_COUNTRY_NAME")</f>
        <v>#INVALID COMPANY ID</v>
      </c>
      <c r="EA438" t="s">
        <v>1856</v>
      </c>
      <c r="EB438">
        <v>15038624</v>
      </c>
      <c r="EC438" t="s">
        <v>366</v>
      </c>
      <c r="ED438" s="11">
        <v>0</v>
      </c>
      <c r="EE438" s="9" t="str">
        <f>_xll.SNL.Clients.Office.Excel.Functions.SPG(EB438, "SP_COUNTRY_NAME")</f>
        <v>USA</v>
      </c>
      <c r="EF438" t="s">
        <v>1528</v>
      </c>
      <c r="EG438">
        <v>4221491</v>
      </c>
      <c r="EH438" t="s">
        <v>364</v>
      </c>
      <c r="EI438" s="11">
        <v>0</v>
      </c>
      <c r="EJ438" s="9" t="str">
        <f>_xll.SNL.Clients.Office.Excel.Functions.SPG(EG438, "SP_COUNTRY_NAME")</f>
        <v>United Kingdom</v>
      </c>
      <c r="EO438" s="9" t="str">
        <f>_xll.SNL.Clients.Office.Excel.Functions.SPG(EL438, "SP_COUNTRY_NAME")</f>
        <v>#INVALID COMPANY ID</v>
      </c>
      <c r="ET438" s="9" t="str">
        <f>_xll.SNL.Clients.Office.Excel.Functions.SPG(EQ438, "SP_COUNTRY_NAME")</f>
        <v>#INVALID COMPANY ID</v>
      </c>
      <c r="EY438" s="9" t="str">
        <f>_xll.SNL.Clients.Office.Excel.Functions.SPG(EV438, "SP_COUNTRY_NAME")</f>
        <v>#INVALID COMPANY ID</v>
      </c>
      <c r="FD438" s="9" t="str">
        <f>_xll.SNL.Clients.Office.Excel.Functions.SPG(FA438, "SP_COUNTRY_NAME")</f>
        <v>#INVALID COMPANY ID</v>
      </c>
      <c r="FI438" s="9" t="str">
        <f>_xll.SNL.Clients.Office.Excel.Functions.SPG(FF438, "SP_COUNTRY_NAME")</f>
        <v>#INVALID COMPANY ID</v>
      </c>
      <c r="FN438" s="9" t="str">
        <f>_xll.SNL.Clients.Office.Excel.Functions.SPG(FK438, "SP_COUNTRY_NAME")</f>
        <v>#INVALID COMPANY ID</v>
      </c>
      <c r="FS438" s="9" t="str">
        <f>_xll.SNL.Clients.Office.Excel.Functions.SPG(FP438, "SP_COUNTRY_NAME")</f>
        <v>#INVALID COMPANY ID</v>
      </c>
      <c r="FX438" s="9" t="str">
        <f>_xll.SNL.Clients.Office.Excel.Functions.SPG(FU438, "SP_COUNTRY_NAME")</f>
        <v>#INVALID COMPANY ID</v>
      </c>
      <c r="FY438" t="s">
        <v>1528</v>
      </c>
      <c r="FZ438">
        <v>4221491</v>
      </c>
      <c r="GA438" t="s">
        <v>364</v>
      </c>
      <c r="GB438" s="11">
        <v>0</v>
      </c>
      <c r="GC438" s="9" t="str">
        <f>_xll.SNL.Clients.Office.Excel.Functions.SPG(FZ438, "SP_COUNTRY_NAME")</f>
        <v>United Kingdom</v>
      </c>
      <c r="GH438" s="9" t="str">
        <f>_xll.SNL.Clients.Office.Excel.Functions.SPG(GE438, "SP_COUNTRY_NAME")</f>
        <v>#INVALID COMPANY ID</v>
      </c>
      <c r="GM438" s="9" t="str">
        <f>_xll.SNL.Clients.Office.Excel.Functions.SPG(GJ438, "SP_COUNTRY_NAME")</f>
        <v>#INVALID COMPANY ID</v>
      </c>
      <c r="GR438" s="9" t="str">
        <f>_xll.SNL.Clients.Office.Excel.Functions.SPG(GO438, "SP_COUNTRY_NAME")</f>
        <v>#INVALID COMPANY ID</v>
      </c>
      <c r="GW438" s="9" t="str">
        <f>_xll.SNL.Clients.Office.Excel.Functions.SPG(GT438, "SP_COUNTRY_NAME")</f>
        <v>#INVALID COMPANY ID</v>
      </c>
      <c r="GX438" t="s">
        <v>1856</v>
      </c>
      <c r="GY438">
        <v>15038624</v>
      </c>
      <c r="GZ438" t="s">
        <v>366</v>
      </c>
      <c r="HA438" s="11">
        <v>0</v>
      </c>
      <c r="HB438" s="9" t="str">
        <f>_xll.SNL.Clients.Office.Excel.Functions.SPG(GY438, "SP_COUNTRY_NAME")</f>
        <v>USA</v>
      </c>
      <c r="HG438" s="9" t="str">
        <f>_xll.SNL.Clients.Office.Excel.Functions.SPG(HD438, "SP_COUNTRY_NAME")</f>
        <v>#INVALID COMPANY ID</v>
      </c>
    </row>
    <row r="439" spans="5:215" x14ac:dyDescent="0.35">
      <c r="E439" s="9" t="str">
        <f>_xll.SNL.Clients.Office.Excel.Functions.SPG(B439, "SP_COUNTRY_NAME")</f>
        <v>#INVALID COMPANY ID</v>
      </c>
      <c r="J439" s="9" t="str">
        <f>_xll.SNL.Clients.Office.Excel.Functions.SPG(G439, "SP_COUNTRY_NAME")</f>
        <v>#INVALID COMPANY ID</v>
      </c>
      <c r="O439" s="9" t="str">
        <f>_xll.SNL.Clients.Office.Excel.Functions.SPG(L439, "SP_COUNTRY_NAME")</f>
        <v>#INVALID COMPANY ID</v>
      </c>
      <c r="T439" s="9" t="str">
        <f>_xll.SNL.Clients.Office.Excel.Functions.SPG(Q439, "SP_COUNTRY_NAME")</f>
        <v>#INVALID COMPANY ID</v>
      </c>
      <c r="Y439" s="9" t="str">
        <f>_xll.SNL.Clients.Office.Excel.Functions.SPG(V439, "SP_COUNTRY_NAME")</f>
        <v>#INVALID COMPANY ID</v>
      </c>
      <c r="AD439" s="9" t="str">
        <f>_xll.SNL.Clients.Office.Excel.Functions.SPG(AA439, "SP_COUNTRY_NAME")</f>
        <v>#INVALID COMPANY ID</v>
      </c>
      <c r="AI439" s="9" t="str">
        <f>_xll.SNL.Clients.Office.Excel.Functions.SPG(AF439, "SP_COUNTRY_NAME")</f>
        <v>#INVALID COMPANY ID</v>
      </c>
      <c r="AN439" s="9" t="str">
        <f>_xll.SNL.Clients.Office.Excel.Functions.SPG(AK439, "SP_COUNTRY_NAME")</f>
        <v>#INVALID COMPANY ID</v>
      </c>
      <c r="AS439" s="9" t="str">
        <f>_xll.SNL.Clients.Office.Excel.Functions.SPG(AP439, "SP_COUNTRY_NAME")</f>
        <v>#INVALID COMPANY ID</v>
      </c>
      <c r="AX439" s="9" t="str">
        <f>_xll.SNL.Clients.Office.Excel.Functions.SPG(AU439, "SP_COUNTRY_NAME")</f>
        <v>#INVALID COMPANY ID</v>
      </c>
      <c r="BC439" s="9" t="str">
        <f>_xll.SNL.Clients.Office.Excel.Functions.SPG(AZ439, "SP_COUNTRY_NAME")</f>
        <v>#INVALID COMPANY ID</v>
      </c>
      <c r="BD439" t="s">
        <v>1529</v>
      </c>
      <c r="BE439">
        <v>11055038</v>
      </c>
      <c r="BF439" t="s">
        <v>346</v>
      </c>
      <c r="BG439" s="11">
        <v>0</v>
      </c>
      <c r="BH439" s="9" t="str">
        <f>_xll.SNL.Clients.Office.Excel.Functions.SPG(BE439, "SP_COUNTRY_NAME")</f>
        <v>South Africa</v>
      </c>
      <c r="BM439" s="9" t="str">
        <f>_xll.SNL.Clients.Office.Excel.Functions.SPG(BJ439, "SP_COUNTRY_NAME")</f>
        <v>#INVALID COMPANY ID</v>
      </c>
      <c r="BR439" s="9" t="str">
        <f>_xll.SNL.Clients.Office.Excel.Functions.SPG(BO439, "SP_COUNTRY_NAME")</f>
        <v>#INVALID COMPANY ID</v>
      </c>
      <c r="BS439" t="s">
        <v>1073</v>
      </c>
      <c r="BT439">
        <v>4610683</v>
      </c>
      <c r="BU439" t="s">
        <v>346</v>
      </c>
      <c r="BV439" s="11">
        <v>0</v>
      </c>
      <c r="BW439" s="9" t="str">
        <f>_xll.SNL.Clients.Office.Excel.Functions.SPG(BT439, "SP_COUNTRY_NAME")</f>
        <v>Switzerland</v>
      </c>
      <c r="CB439" s="9" t="str">
        <f>_xll.SNL.Clients.Office.Excel.Functions.SPG(BY439, "SP_COUNTRY_NAME")</f>
        <v>#INVALID COMPANY ID</v>
      </c>
      <c r="CC439" t="s">
        <v>1857</v>
      </c>
      <c r="CD439">
        <v>19863545</v>
      </c>
      <c r="CE439" t="s">
        <v>346</v>
      </c>
      <c r="CF439" s="11">
        <v>0</v>
      </c>
      <c r="CG439" s="9" t="str">
        <f>_xll.SNL.Clients.Office.Excel.Functions.SPG(CD439, "SP_COUNTRY_NAME")</f>
        <v>USA</v>
      </c>
      <c r="CL439" s="9" t="str">
        <f>_xll.SNL.Clients.Office.Excel.Functions.SPG(CI439, "SP_COUNTRY_NAME")</f>
        <v>#INVALID COMPANY ID</v>
      </c>
      <c r="CM439" t="s">
        <v>1377</v>
      </c>
      <c r="CN439">
        <v>5830610</v>
      </c>
      <c r="CO439" t="s">
        <v>346</v>
      </c>
      <c r="CP439" s="11">
        <v>0</v>
      </c>
      <c r="CQ439" s="9" t="str">
        <f>_xll.SNL.Clients.Office.Excel.Functions.SPG(CN439, "SP_COUNTRY_NAME")</f>
        <v>South Africa</v>
      </c>
      <c r="CV439" s="9" t="str">
        <f>_xll.SNL.Clients.Office.Excel.Functions.SPG(CS439, "SP_COUNTRY_NAME")</f>
        <v>#INVALID COMPANY ID</v>
      </c>
      <c r="DA439" s="9" t="str">
        <f>_xll.SNL.Clients.Office.Excel.Functions.SPG(CX439, "SP_COUNTRY_NAME")</f>
        <v>#INVALID COMPANY ID</v>
      </c>
      <c r="DB439" t="s">
        <v>1529</v>
      </c>
      <c r="DC439">
        <v>11055038</v>
      </c>
      <c r="DD439" t="s">
        <v>346</v>
      </c>
      <c r="DE439" s="11">
        <v>0</v>
      </c>
      <c r="DF439" s="9" t="str">
        <f>_xll.SNL.Clients.Office.Excel.Functions.SPG(DC439, "SP_COUNTRY_NAME")</f>
        <v>South Africa</v>
      </c>
      <c r="DK439" s="9" t="str">
        <f>_xll.SNL.Clients.Office.Excel.Functions.SPG(DH439, "SP_COUNTRY_NAME")</f>
        <v>#INVALID COMPANY ID</v>
      </c>
      <c r="DL439" t="s">
        <v>1529</v>
      </c>
      <c r="DM439">
        <v>11055038</v>
      </c>
      <c r="DN439" t="s">
        <v>346</v>
      </c>
      <c r="DO439" s="11">
        <v>0</v>
      </c>
      <c r="DP439" s="9" t="str">
        <f>_xll.SNL.Clients.Office.Excel.Functions.SPG(DM439, "SP_COUNTRY_NAME")</f>
        <v>South Africa</v>
      </c>
      <c r="DU439" s="9" t="str">
        <f>_xll.SNL.Clients.Office.Excel.Functions.SPG(DR439, "SP_COUNTRY_NAME")</f>
        <v>#INVALID COMPANY ID</v>
      </c>
      <c r="DZ439" s="9" t="str">
        <f>_xll.SNL.Clients.Office.Excel.Functions.SPG(DW439, "SP_COUNTRY_NAME")</f>
        <v>#INVALID COMPANY ID</v>
      </c>
      <c r="EA439" t="s">
        <v>1857</v>
      </c>
      <c r="EB439">
        <v>19863545</v>
      </c>
      <c r="EC439" t="s">
        <v>346</v>
      </c>
      <c r="ED439" s="11">
        <v>0</v>
      </c>
      <c r="EE439" s="9" t="str">
        <f>_xll.SNL.Clients.Office.Excel.Functions.SPG(EB439, "SP_COUNTRY_NAME")</f>
        <v>USA</v>
      </c>
      <c r="EF439" t="s">
        <v>1529</v>
      </c>
      <c r="EG439">
        <v>11055038</v>
      </c>
      <c r="EH439" t="s">
        <v>346</v>
      </c>
      <c r="EI439" s="11">
        <v>0</v>
      </c>
      <c r="EJ439" s="9" t="str">
        <f>_xll.SNL.Clients.Office.Excel.Functions.SPG(EG439, "SP_COUNTRY_NAME")</f>
        <v>South Africa</v>
      </c>
      <c r="EO439" s="9" t="str">
        <f>_xll.SNL.Clients.Office.Excel.Functions.SPG(EL439, "SP_COUNTRY_NAME")</f>
        <v>#INVALID COMPANY ID</v>
      </c>
      <c r="ET439" s="9" t="str">
        <f>_xll.SNL.Clients.Office.Excel.Functions.SPG(EQ439, "SP_COUNTRY_NAME")</f>
        <v>#INVALID COMPANY ID</v>
      </c>
      <c r="EY439" s="9" t="str">
        <f>_xll.SNL.Clients.Office.Excel.Functions.SPG(EV439, "SP_COUNTRY_NAME")</f>
        <v>#INVALID COMPANY ID</v>
      </c>
      <c r="FD439" s="9" t="str">
        <f>_xll.SNL.Clients.Office.Excel.Functions.SPG(FA439, "SP_COUNTRY_NAME")</f>
        <v>#INVALID COMPANY ID</v>
      </c>
      <c r="FI439" s="9" t="str">
        <f>_xll.SNL.Clients.Office.Excel.Functions.SPG(FF439, "SP_COUNTRY_NAME")</f>
        <v>#INVALID COMPANY ID</v>
      </c>
      <c r="FN439" s="9" t="str">
        <f>_xll.SNL.Clients.Office.Excel.Functions.SPG(FK439, "SP_COUNTRY_NAME")</f>
        <v>#INVALID COMPANY ID</v>
      </c>
      <c r="FS439" s="9" t="str">
        <f>_xll.SNL.Clients.Office.Excel.Functions.SPG(FP439, "SP_COUNTRY_NAME")</f>
        <v>#INVALID COMPANY ID</v>
      </c>
      <c r="FX439" s="9" t="str">
        <f>_xll.SNL.Clients.Office.Excel.Functions.SPG(FU439, "SP_COUNTRY_NAME")</f>
        <v>#INVALID COMPANY ID</v>
      </c>
      <c r="FY439" t="s">
        <v>1529</v>
      </c>
      <c r="FZ439">
        <v>11055038</v>
      </c>
      <c r="GA439" t="s">
        <v>346</v>
      </c>
      <c r="GB439" s="11">
        <v>0</v>
      </c>
      <c r="GC439" s="9" t="str">
        <f>_xll.SNL.Clients.Office.Excel.Functions.SPG(FZ439, "SP_COUNTRY_NAME")</f>
        <v>South Africa</v>
      </c>
      <c r="GH439" s="9" t="str">
        <f>_xll.SNL.Clients.Office.Excel.Functions.SPG(GE439, "SP_COUNTRY_NAME")</f>
        <v>#INVALID COMPANY ID</v>
      </c>
      <c r="GM439" s="9" t="str">
        <f>_xll.SNL.Clients.Office.Excel.Functions.SPG(GJ439, "SP_COUNTRY_NAME")</f>
        <v>#INVALID COMPANY ID</v>
      </c>
      <c r="GR439" s="9" t="str">
        <f>_xll.SNL.Clients.Office.Excel.Functions.SPG(GO439, "SP_COUNTRY_NAME")</f>
        <v>#INVALID COMPANY ID</v>
      </c>
      <c r="GW439" s="9" t="str">
        <f>_xll.SNL.Clients.Office.Excel.Functions.SPG(GT439, "SP_COUNTRY_NAME")</f>
        <v>#INVALID COMPANY ID</v>
      </c>
      <c r="GX439" t="s">
        <v>1857</v>
      </c>
      <c r="GY439">
        <v>19863545</v>
      </c>
      <c r="GZ439" t="s">
        <v>346</v>
      </c>
      <c r="HA439" s="11">
        <v>0</v>
      </c>
      <c r="HB439" s="9" t="str">
        <f>_xll.SNL.Clients.Office.Excel.Functions.SPG(GY439, "SP_COUNTRY_NAME")</f>
        <v>USA</v>
      </c>
      <c r="HG439" s="9" t="str">
        <f>_xll.SNL.Clients.Office.Excel.Functions.SPG(HD439, "SP_COUNTRY_NAME")</f>
        <v>#INVALID COMPANY ID</v>
      </c>
    </row>
    <row r="440" spans="5:215" x14ac:dyDescent="0.35">
      <c r="E440" s="9" t="str">
        <f>_xll.SNL.Clients.Office.Excel.Functions.SPG(B440, "SP_COUNTRY_NAME")</f>
        <v>#INVALID COMPANY ID</v>
      </c>
      <c r="J440" s="9" t="str">
        <f>_xll.SNL.Clients.Office.Excel.Functions.SPG(G440, "SP_COUNTRY_NAME")</f>
        <v>#INVALID COMPANY ID</v>
      </c>
      <c r="O440" s="9" t="str">
        <f>_xll.SNL.Clients.Office.Excel.Functions.SPG(L440, "SP_COUNTRY_NAME")</f>
        <v>#INVALID COMPANY ID</v>
      </c>
      <c r="T440" s="9" t="str">
        <f>_xll.SNL.Clients.Office.Excel.Functions.SPG(Q440, "SP_COUNTRY_NAME")</f>
        <v>#INVALID COMPANY ID</v>
      </c>
      <c r="Y440" s="9" t="str">
        <f>_xll.SNL.Clients.Office.Excel.Functions.SPG(V440, "SP_COUNTRY_NAME")</f>
        <v>#INVALID COMPANY ID</v>
      </c>
      <c r="AD440" s="9" t="str">
        <f>_xll.SNL.Clients.Office.Excel.Functions.SPG(AA440, "SP_COUNTRY_NAME")</f>
        <v>#INVALID COMPANY ID</v>
      </c>
      <c r="AI440" s="9" t="str">
        <f>_xll.SNL.Clients.Office.Excel.Functions.SPG(AF440, "SP_COUNTRY_NAME")</f>
        <v>#INVALID COMPANY ID</v>
      </c>
      <c r="AN440" s="9" t="str">
        <f>_xll.SNL.Clients.Office.Excel.Functions.SPG(AK440, "SP_COUNTRY_NAME")</f>
        <v>#INVALID COMPANY ID</v>
      </c>
      <c r="AS440" s="9" t="str">
        <f>_xll.SNL.Clients.Office.Excel.Functions.SPG(AP440, "SP_COUNTRY_NAME")</f>
        <v>#INVALID COMPANY ID</v>
      </c>
      <c r="AX440" s="9" t="str">
        <f>_xll.SNL.Clients.Office.Excel.Functions.SPG(AU440, "SP_COUNTRY_NAME")</f>
        <v>#INVALID COMPANY ID</v>
      </c>
      <c r="BC440" s="9" t="str">
        <f>_xll.SNL.Clients.Office.Excel.Functions.SPG(AZ440, "SP_COUNTRY_NAME")</f>
        <v>#INVALID COMPANY ID</v>
      </c>
      <c r="BD440" t="s">
        <v>1530</v>
      </c>
      <c r="BE440">
        <v>5755714</v>
      </c>
      <c r="BF440" t="s">
        <v>346</v>
      </c>
      <c r="BG440" s="11">
        <v>0</v>
      </c>
      <c r="BH440" s="9" t="str">
        <f>_xll.SNL.Clients.Office.Excel.Functions.SPG(BE440, "SP_COUNTRY_NAME")</f>
        <v>Israel</v>
      </c>
      <c r="BM440" s="9" t="str">
        <f>_xll.SNL.Clients.Office.Excel.Functions.SPG(BJ440, "SP_COUNTRY_NAME")</f>
        <v>#INVALID COMPANY ID</v>
      </c>
      <c r="BR440" s="9" t="str">
        <f>_xll.SNL.Clients.Office.Excel.Functions.SPG(BO440, "SP_COUNTRY_NAME")</f>
        <v>#INVALID COMPANY ID</v>
      </c>
      <c r="BS440" t="s">
        <v>434</v>
      </c>
      <c r="BT440">
        <v>4120033</v>
      </c>
      <c r="BU440" t="s">
        <v>346</v>
      </c>
      <c r="BV440" s="11">
        <v>0</v>
      </c>
      <c r="BW440" s="9" t="str">
        <f>_xll.SNL.Clients.Office.Excel.Functions.SPG(BT440, "SP_COUNTRY_NAME")</f>
        <v>Japan</v>
      </c>
      <c r="CB440" s="9" t="str">
        <f>_xll.SNL.Clients.Office.Excel.Functions.SPG(BY440, "SP_COUNTRY_NAME")</f>
        <v>#INVALID COMPANY ID</v>
      </c>
      <c r="CC440" t="s">
        <v>1858</v>
      </c>
      <c r="CD440">
        <v>105924436</v>
      </c>
      <c r="CE440" t="s">
        <v>364</v>
      </c>
      <c r="CF440" s="11">
        <v>0</v>
      </c>
      <c r="CG440" s="9" t="str">
        <f>_xll.SNL.Clients.Office.Excel.Functions.SPG(CD440, "SP_COUNTRY_NAME")</f>
        <v>USA</v>
      </c>
      <c r="CL440" s="9" t="str">
        <f>_xll.SNL.Clients.Office.Excel.Functions.SPG(CI440, "SP_COUNTRY_NAME")</f>
        <v>#INVALID COMPANY ID</v>
      </c>
      <c r="CM440" t="s">
        <v>2082</v>
      </c>
      <c r="CN440">
        <v>5859195</v>
      </c>
      <c r="CO440" t="s">
        <v>346</v>
      </c>
      <c r="CP440" s="11">
        <v>0</v>
      </c>
      <c r="CQ440" s="9" t="str">
        <f>_xll.SNL.Clients.Office.Excel.Functions.SPG(CN440, "SP_COUNTRY_NAME")</f>
        <v>USA</v>
      </c>
      <c r="CV440" s="9" t="str">
        <f>_xll.SNL.Clients.Office.Excel.Functions.SPG(CS440, "SP_COUNTRY_NAME")</f>
        <v>#INVALID COMPANY ID</v>
      </c>
      <c r="DA440" s="9" t="str">
        <f>_xll.SNL.Clients.Office.Excel.Functions.SPG(CX440, "SP_COUNTRY_NAME")</f>
        <v>#INVALID COMPANY ID</v>
      </c>
      <c r="DB440" t="s">
        <v>1530</v>
      </c>
      <c r="DC440">
        <v>5755714</v>
      </c>
      <c r="DD440" t="s">
        <v>346</v>
      </c>
      <c r="DE440" s="11">
        <v>0</v>
      </c>
      <c r="DF440" s="9" t="str">
        <f>_xll.SNL.Clients.Office.Excel.Functions.SPG(DC440, "SP_COUNTRY_NAME")</f>
        <v>Israel</v>
      </c>
      <c r="DK440" s="9" t="str">
        <f>_xll.SNL.Clients.Office.Excel.Functions.SPG(DH440, "SP_COUNTRY_NAME")</f>
        <v>#INVALID COMPANY ID</v>
      </c>
      <c r="DL440" t="s">
        <v>1530</v>
      </c>
      <c r="DM440">
        <v>5755714</v>
      </c>
      <c r="DN440" t="s">
        <v>346</v>
      </c>
      <c r="DO440" s="11">
        <v>0</v>
      </c>
      <c r="DP440" s="9" t="str">
        <f>_xll.SNL.Clients.Office.Excel.Functions.SPG(DM440, "SP_COUNTRY_NAME")</f>
        <v>Israel</v>
      </c>
      <c r="DU440" s="9" t="str">
        <f>_xll.SNL.Clients.Office.Excel.Functions.SPG(DR440, "SP_COUNTRY_NAME")</f>
        <v>#INVALID COMPANY ID</v>
      </c>
      <c r="DZ440" s="9" t="str">
        <f>_xll.SNL.Clients.Office.Excel.Functions.SPG(DW440, "SP_COUNTRY_NAME")</f>
        <v>#INVALID COMPANY ID</v>
      </c>
      <c r="EA440" t="s">
        <v>1858</v>
      </c>
      <c r="EB440">
        <v>105924436</v>
      </c>
      <c r="EC440" t="s">
        <v>364</v>
      </c>
      <c r="ED440" s="11">
        <v>0</v>
      </c>
      <c r="EE440" s="9" t="str">
        <f>_xll.SNL.Clients.Office.Excel.Functions.SPG(EB440, "SP_COUNTRY_NAME")</f>
        <v>USA</v>
      </c>
      <c r="EF440" t="s">
        <v>1530</v>
      </c>
      <c r="EG440">
        <v>5755714</v>
      </c>
      <c r="EH440" t="s">
        <v>346</v>
      </c>
      <c r="EI440" s="11">
        <v>0</v>
      </c>
      <c r="EJ440" s="9" t="str">
        <f>_xll.SNL.Clients.Office.Excel.Functions.SPG(EG440, "SP_COUNTRY_NAME")</f>
        <v>Israel</v>
      </c>
      <c r="EO440" s="9" t="str">
        <f>_xll.SNL.Clients.Office.Excel.Functions.SPG(EL440, "SP_COUNTRY_NAME")</f>
        <v>#INVALID COMPANY ID</v>
      </c>
      <c r="ET440" s="9" t="str">
        <f>_xll.SNL.Clients.Office.Excel.Functions.SPG(EQ440, "SP_COUNTRY_NAME")</f>
        <v>#INVALID COMPANY ID</v>
      </c>
      <c r="EY440" s="9" t="str">
        <f>_xll.SNL.Clients.Office.Excel.Functions.SPG(EV440, "SP_COUNTRY_NAME")</f>
        <v>#INVALID COMPANY ID</v>
      </c>
      <c r="FD440" s="9" t="str">
        <f>_xll.SNL.Clients.Office.Excel.Functions.SPG(FA440, "SP_COUNTRY_NAME")</f>
        <v>#INVALID COMPANY ID</v>
      </c>
      <c r="FI440" s="9" t="str">
        <f>_xll.SNL.Clients.Office.Excel.Functions.SPG(FF440, "SP_COUNTRY_NAME")</f>
        <v>#INVALID COMPANY ID</v>
      </c>
      <c r="FN440" s="9" t="str">
        <f>_xll.SNL.Clients.Office.Excel.Functions.SPG(FK440, "SP_COUNTRY_NAME")</f>
        <v>#INVALID COMPANY ID</v>
      </c>
      <c r="FS440" s="9" t="str">
        <f>_xll.SNL.Clients.Office.Excel.Functions.SPG(FP440, "SP_COUNTRY_NAME")</f>
        <v>#INVALID COMPANY ID</v>
      </c>
      <c r="FX440" s="9" t="str">
        <f>_xll.SNL.Clients.Office.Excel.Functions.SPG(FU440, "SP_COUNTRY_NAME")</f>
        <v>#INVALID COMPANY ID</v>
      </c>
      <c r="FY440" t="s">
        <v>1530</v>
      </c>
      <c r="FZ440">
        <v>5755714</v>
      </c>
      <c r="GA440" t="s">
        <v>346</v>
      </c>
      <c r="GB440" s="11">
        <v>0</v>
      </c>
      <c r="GC440" s="9" t="str">
        <f>_xll.SNL.Clients.Office.Excel.Functions.SPG(FZ440, "SP_COUNTRY_NAME")</f>
        <v>Israel</v>
      </c>
      <c r="GH440" s="9" t="str">
        <f>_xll.SNL.Clients.Office.Excel.Functions.SPG(GE440, "SP_COUNTRY_NAME")</f>
        <v>#INVALID COMPANY ID</v>
      </c>
      <c r="GM440" s="9" t="str">
        <f>_xll.SNL.Clients.Office.Excel.Functions.SPG(GJ440, "SP_COUNTRY_NAME")</f>
        <v>#INVALID COMPANY ID</v>
      </c>
      <c r="GR440" s="9" t="str">
        <f>_xll.SNL.Clients.Office.Excel.Functions.SPG(GO440, "SP_COUNTRY_NAME")</f>
        <v>#INVALID COMPANY ID</v>
      </c>
      <c r="GW440" s="9" t="str">
        <f>_xll.SNL.Clients.Office.Excel.Functions.SPG(GT440, "SP_COUNTRY_NAME")</f>
        <v>#INVALID COMPANY ID</v>
      </c>
      <c r="GX440" t="s">
        <v>1858</v>
      </c>
      <c r="GY440">
        <v>105924436</v>
      </c>
      <c r="GZ440" t="s">
        <v>364</v>
      </c>
      <c r="HA440" s="11">
        <v>0</v>
      </c>
      <c r="HB440" s="9" t="str">
        <f>_xll.SNL.Clients.Office.Excel.Functions.SPG(GY440, "SP_COUNTRY_NAME")</f>
        <v>USA</v>
      </c>
      <c r="HG440" s="9" t="str">
        <f>_xll.SNL.Clients.Office.Excel.Functions.SPG(HD440, "SP_COUNTRY_NAME")</f>
        <v>#INVALID COMPANY ID</v>
      </c>
    </row>
    <row r="441" spans="5:215" x14ac:dyDescent="0.35">
      <c r="E441" s="9" t="str">
        <f>_xll.SNL.Clients.Office.Excel.Functions.SPG(B441, "SP_COUNTRY_NAME")</f>
        <v>#INVALID COMPANY ID</v>
      </c>
      <c r="J441" s="9" t="str">
        <f>_xll.SNL.Clients.Office.Excel.Functions.SPG(G441, "SP_COUNTRY_NAME")</f>
        <v>#INVALID COMPANY ID</v>
      </c>
      <c r="O441" s="9" t="str">
        <f>_xll.SNL.Clients.Office.Excel.Functions.SPG(L441, "SP_COUNTRY_NAME")</f>
        <v>#INVALID COMPANY ID</v>
      </c>
      <c r="T441" s="9" t="str">
        <f>_xll.SNL.Clients.Office.Excel.Functions.SPG(Q441, "SP_COUNTRY_NAME")</f>
        <v>#INVALID COMPANY ID</v>
      </c>
      <c r="Y441" s="9" t="str">
        <f>_xll.SNL.Clients.Office.Excel.Functions.SPG(V441, "SP_COUNTRY_NAME")</f>
        <v>#INVALID COMPANY ID</v>
      </c>
      <c r="AD441" s="9" t="str">
        <f>_xll.SNL.Clients.Office.Excel.Functions.SPG(AA441, "SP_COUNTRY_NAME")</f>
        <v>#INVALID COMPANY ID</v>
      </c>
      <c r="AI441" s="9" t="str">
        <f>_xll.SNL.Clients.Office.Excel.Functions.SPG(AF441, "SP_COUNTRY_NAME")</f>
        <v>#INVALID COMPANY ID</v>
      </c>
      <c r="AN441" s="9" t="str">
        <f>_xll.SNL.Clients.Office.Excel.Functions.SPG(AK441, "SP_COUNTRY_NAME")</f>
        <v>#INVALID COMPANY ID</v>
      </c>
      <c r="AS441" s="9" t="str">
        <f>_xll.SNL.Clients.Office.Excel.Functions.SPG(AP441, "SP_COUNTRY_NAME")</f>
        <v>#INVALID COMPANY ID</v>
      </c>
      <c r="AX441" s="9" t="str">
        <f>_xll.SNL.Clients.Office.Excel.Functions.SPG(AU441, "SP_COUNTRY_NAME")</f>
        <v>#INVALID COMPANY ID</v>
      </c>
      <c r="BC441" s="9" t="str">
        <f>_xll.SNL.Clients.Office.Excel.Functions.SPG(AZ441, "SP_COUNTRY_NAME")</f>
        <v>#INVALID COMPANY ID</v>
      </c>
      <c r="BD441" t="s">
        <v>525</v>
      </c>
      <c r="BE441">
        <v>4227087</v>
      </c>
      <c r="BF441" t="s">
        <v>346</v>
      </c>
      <c r="BG441" s="11">
        <v>0</v>
      </c>
      <c r="BH441" s="9" t="str">
        <f>_xll.SNL.Clients.Office.Excel.Functions.SPG(BE441, "SP_COUNTRY_NAME")</f>
        <v>Germany</v>
      </c>
      <c r="BM441" s="9" t="str">
        <f>_xll.SNL.Clients.Office.Excel.Functions.SPG(BJ441, "SP_COUNTRY_NAME")</f>
        <v>#INVALID COMPANY ID</v>
      </c>
      <c r="BR441" s="9" t="str">
        <f>_xll.SNL.Clients.Office.Excel.Functions.SPG(BO441, "SP_COUNTRY_NAME")</f>
        <v>#INVALID COMPANY ID</v>
      </c>
      <c r="BS441" t="s">
        <v>682</v>
      </c>
      <c r="BT441">
        <v>13690315</v>
      </c>
      <c r="BU441" t="s">
        <v>346</v>
      </c>
      <c r="BV441" s="11">
        <v>0</v>
      </c>
      <c r="BW441" s="9" t="str">
        <f>_xll.SNL.Clients.Office.Excel.Functions.SPG(BT441, "SP_COUNTRY_NAME")</f>
        <v>USA</v>
      </c>
      <c r="CB441" s="9" t="str">
        <f>_xll.SNL.Clients.Office.Excel.Functions.SPG(BY441, "SP_COUNTRY_NAME")</f>
        <v>#INVALID COMPANY ID</v>
      </c>
      <c r="CC441" t="s">
        <v>404</v>
      </c>
      <c r="CD441">
        <v>4383779</v>
      </c>
      <c r="CE441" t="s">
        <v>346</v>
      </c>
      <c r="CF441" s="11">
        <v>0</v>
      </c>
      <c r="CG441" s="9" t="str">
        <f>_xll.SNL.Clients.Office.Excel.Functions.SPG(CD441, "SP_COUNTRY_NAME")</f>
        <v>USA</v>
      </c>
      <c r="CL441" s="9" t="str">
        <f>_xll.SNL.Clients.Office.Excel.Functions.SPG(CI441, "SP_COUNTRY_NAME")</f>
        <v>#INVALID COMPANY ID</v>
      </c>
      <c r="CM441" t="s">
        <v>2083</v>
      </c>
      <c r="CN441">
        <v>110752</v>
      </c>
      <c r="CO441" t="s">
        <v>346</v>
      </c>
      <c r="CP441" s="11">
        <v>0</v>
      </c>
      <c r="CQ441" s="9" t="str">
        <f>_xll.SNL.Clients.Office.Excel.Functions.SPG(CN441, "SP_COUNTRY_NAME")</f>
        <v>USA</v>
      </c>
      <c r="CV441" s="9" t="str">
        <f>_xll.SNL.Clients.Office.Excel.Functions.SPG(CS441, "SP_COUNTRY_NAME")</f>
        <v>#INVALID COMPANY ID</v>
      </c>
      <c r="DA441" s="9" t="str">
        <f>_xll.SNL.Clients.Office.Excel.Functions.SPG(CX441, "SP_COUNTRY_NAME")</f>
        <v>#INVALID COMPANY ID</v>
      </c>
      <c r="DB441" t="s">
        <v>525</v>
      </c>
      <c r="DC441">
        <v>4227087</v>
      </c>
      <c r="DD441" t="s">
        <v>346</v>
      </c>
      <c r="DE441" s="11">
        <v>0</v>
      </c>
      <c r="DF441" s="9" t="str">
        <f>_xll.SNL.Clients.Office.Excel.Functions.SPG(DC441, "SP_COUNTRY_NAME")</f>
        <v>Germany</v>
      </c>
      <c r="DK441" s="9" t="str">
        <f>_xll.SNL.Clients.Office.Excel.Functions.SPG(DH441, "SP_COUNTRY_NAME")</f>
        <v>#INVALID COMPANY ID</v>
      </c>
      <c r="DL441" t="s">
        <v>525</v>
      </c>
      <c r="DM441">
        <v>4227087</v>
      </c>
      <c r="DN441" t="s">
        <v>346</v>
      </c>
      <c r="DO441" s="11">
        <v>0</v>
      </c>
      <c r="DP441" s="9" t="str">
        <f>_xll.SNL.Clients.Office.Excel.Functions.SPG(DM441, "SP_COUNTRY_NAME")</f>
        <v>Germany</v>
      </c>
      <c r="DU441" s="9" t="str">
        <f>_xll.SNL.Clients.Office.Excel.Functions.SPG(DR441, "SP_COUNTRY_NAME")</f>
        <v>#INVALID COMPANY ID</v>
      </c>
      <c r="DZ441" s="9" t="str">
        <f>_xll.SNL.Clients.Office.Excel.Functions.SPG(DW441, "SP_COUNTRY_NAME")</f>
        <v>#INVALID COMPANY ID</v>
      </c>
      <c r="EA441" t="s">
        <v>404</v>
      </c>
      <c r="EB441">
        <v>4383779</v>
      </c>
      <c r="EC441" t="s">
        <v>346</v>
      </c>
      <c r="ED441" s="11">
        <v>0</v>
      </c>
      <c r="EE441" s="9" t="str">
        <f>_xll.SNL.Clients.Office.Excel.Functions.SPG(EB441, "SP_COUNTRY_NAME")</f>
        <v>USA</v>
      </c>
      <c r="EF441" t="s">
        <v>525</v>
      </c>
      <c r="EG441">
        <v>4227087</v>
      </c>
      <c r="EH441" t="s">
        <v>346</v>
      </c>
      <c r="EI441" s="11">
        <v>0</v>
      </c>
      <c r="EJ441" s="9" t="str">
        <f>_xll.SNL.Clients.Office.Excel.Functions.SPG(EG441, "SP_COUNTRY_NAME")</f>
        <v>Germany</v>
      </c>
      <c r="EO441" s="9" t="str">
        <f>_xll.SNL.Clients.Office.Excel.Functions.SPG(EL441, "SP_COUNTRY_NAME")</f>
        <v>#INVALID COMPANY ID</v>
      </c>
      <c r="ET441" s="9" t="str">
        <f>_xll.SNL.Clients.Office.Excel.Functions.SPG(EQ441, "SP_COUNTRY_NAME")</f>
        <v>#INVALID COMPANY ID</v>
      </c>
      <c r="EY441" s="9" t="str">
        <f>_xll.SNL.Clients.Office.Excel.Functions.SPG(EV441, "SP_COUNTRY_NAME")</f>
        <v>#INVALID COMPANY ID</v>
      </c>
      <c r="FD441" s="9" t="str">
        <f>_xll.SNL.Clients.Office.Excel.Functions.SPG(FA441, "SP_COUNTRY_NAME")</f>
        <v>#INVALID COMPANY ID</v>
      </c>
      <c r="FI441" s="9" t="str">
        <f>_xll.SNL.Clients.Office.Excel.Functions.SPG(FF441, "SP_COUNTRY_NAME")</f>
        <v>#INVALID COMPANY ID</v>
      </c>
      <c r="FN441" s="9" t="str">
        <f>_xll.SNL.Clients.Office.Excel.Functions.SPG(FK441, "SP_COUNTRY_NAME")</f>
        <v>#INVALID COMPANY ID</v>
      </c>
      <c r="FS441" s="9" t="str">
        <f>_xll.SNL.Clients.Office.Excel.Functions.SPG(FP441, "SP_COUNTRY_NAME")</f>
        <v>#INVALID COMPANY ID</v>
      </c>
      <c r="FX441" s="9" t="str">
        <f>_xll.SNL.Clients.Office.Excel.Functions.SPG(FU441, "SP_COUNTRY_NAME")</f>
        <v>#INVALID COMPANY ID</v>
      </c>
      <c r="FY441" t="s">
        <v>525</v>
      </c>
      <c r="FZ441">
        <v>4227087</v>
      </c>
      <c r="GA441" t="s">
        <v>346</v>
      </c>
      <c r="GB441" s="11">
        <v>0</v>
      </c>
      <c r="GC441" s="9" t="str">
        <f>_xll.SNL.Clients.Office.Excel.Functions.SPG(FZ441, "SP_COUNTRY_NAME")</f>
        <v>Germany</v>
      </c>
      <c r="GH441" s="9" t="str">
        <f>_xll.SNL.Clients.Office.Excel.Functions.SPG(GE441, "SP_COUNTRY_NAME")</f>
        <v>#INVALID COMPANY ID</v>
      </c>
      <c r="GM441" s="9" t="str">
        <f>_xll.SNL.Clients.Office.Excel.Functions.SPG(GJ441, "SP_COUNTRY_NAME")</f>
        <v>#INVALID COMPANY ID</v>
      </c>
      <c r="GR441" s="9" t="str">
        <f>_xll.SNL.Clients.Office.Excel.Functions.SPG(GO441, "SP_COUNTRY_NAME")</f>
        <v>#INVALID COMPANY ID</v>
      </c>
      <c r="GW441" s="9" t="str">
        <f>_xll.SNL.Clients.Office.Excel.Functions.SPG(GT441, "SP_COUNTRY_NAME")</f>
        <v>#INVALID COMPANY ID</v>
      </c>
      <c r="GX441" t="s">
        <v>404</v>
      </c>
      <c r="GY441">
        <v>4383779</v>
      </c>
      <c r="GZ441" t="s">
        <v>346</v>
      </c>
      <c r="HA441" s="11">
        <v>0</v>
      </c>
      <c r="HB441" s="9" t="str">
        <f>_xll.SNL.Clients.Office.Excel.Functions.SPG(GY441, "SP_COUNTRY_NAME")</f>
        <v>USA</v>
      </c>
      <c r="HG441" s="9" t="str">
        <f>_xll.SNL.Clients.Office.Excel.Functions.SPG(HD441, "SP_COUNTRY_NAME")</f>
        <v>#INVALID COMPANY ID</v>
      </c>
    </row>
    <row r="442" spans="5:215" x14ac:dyDescent="0.35">
      <c r="E442" s="9" t="str">
        <f>_xll.SNL.Clients.Office.Excel.Functions.SPG(B442, "SP_COUNTRY_NAME")</f>
        <v>#INVALID COMPANY ID</v>
      </c>
      <c r="J442" s="9" t="str">
        <f>_xll.SNL.Clients.Office.Excel.Functions.SPG(G442, "SP_COUNTRY_NAME")</f>
        <v>#INVALID COMPANY ID</v>
      </c>
      <c r="O442" s="9" t="str">
        <f>_xll.SNL.Clients.Office.Excel.Functions.SPG(L442, "SP_COUNTRY_NAME")</f>
        <v>#INVALID COMPANY ID</v>
      </c>
      <c r="T442" s="9" t="str">
        <f>_xll.SNL.Clients.Office.Excel.Functions.SPG(Q442, "SP_COUNTRY_NAME")</f>
        <v>#INVALID COMPANY ID</v>
      </c>
      <c r="Y442" s="9" t="str">
        <f>_xll.SNL.Clients.Office.Excel.Functions.SPG(V442, "SP_COUNTRY_NAME")</f>
        <v>#INVALID COMPANY ID</v>
      </c>
      <c r="AD442" s="9" t="str">
        <f>_xll.SNL.Clients.Office.Excel.Functions.SPG(AA442, "SP_COUNTRY_NAME")</f>
        <v>#INVALID COMPANY ID</v>
      </c>
      <c r="AI442" s="9" t="str">
        <f>_xll.SNL.Clients.Office.Excel.Functions.SPG(AF442, "SP_COUNTRY_NAME")</f>
        <v>#INVALID COMPANY ID</v>
      </c>
      <c r="AN442" s="9" t="str">
        <f>_xll.SNL.Clients.Office.Excel.Functions.SPG(AK442, "SP_COUNTRY_NAME")</f>
        <v>#INVALID COMPANY ID</v>
      </c>
      <c r="AS442" s="9" t="str">
        <f>_xll.SNL.Clients.Office.Excel.Functions.SPG(AP442, "SP_COUNTRY_NAME")</f>
        <v>#INVALID COMPANY ID</v>
      </c>
      <c r="AX442" s="9" t="str">
        <f>_xll.SNL.Clients.Office.Excel.Functions.SPG(AU442, "SP_COUNTRY_NAME")</f>
        <v>#INVALID COMPANY ID</v>
      </c>
      <c r="BC442" s="9" t="str">
        <f>_xll.SNL.Clients.Office.Excel.Functions.SPG(AZ442, "SP_COUNTRY_NAME")</f>
        <v>#INVALID COMPANY ID</v>
      </c>
      <c r="BD442" t="s">
        <v>1142</v>
      </c>
      <c r="BE442">
        <v>4585233</v>
      </c>
      <c r="BF442" t="s">
        <v>346</v>
      </c>
      <c r="BG442" s="11">
        <v>0</v>
      </c>
      <c r="BH442" s="9" t="str">
        <f>_xll.SNL.Clients.Office.Excel.Functions.SPG(BE442, "SP_COUNTRY_NAME")</f>
        <v>USA</v>
      </c>
      <c r="BM442" s="9" t="str">
        <f>_xll.SNL.Clients.Office.Excel.Functions.SPG(BJ442, "SP_COUNTRY_NAME")</f>
        <v>#INVALID COMPANY ID</v>
      </c>
      <c r="BR442" s="9" t="str">
        <f>_xll.SNL.Clients.Office.Excel.Functions.SPG(BO442, "SP_COUNTRY_NAME")</f>
        <v>#INVALID COMPANY ID</v>
      </c>
      <c r="BS442" t="s">
        <v>853</v>
      </c>
      <c r="BT442">
        <v>4259935</v>
      </c>
      <c r="BU442" t="s">
        <v>346</v>
      </c>
      <c r="BV442" s="11">
        <v>0</v>
      </c>
      <c r="BW442" s="9" t="str">
        <f>_xll.SNL.Clients.Office.Excel.Functions.SPG(BT442, "SP_COUNTRY_NAME")</f>
        <v>Hong Kong</v>
      </c>
      <c r="CB442" s="9" t="str">
        <f>_xll.SNL.Clients.Office.Excel.Functions.SPG(BY442, "SP_COUNTRY_NAME")</f>
        <v>#INVALID COMPANY ID</v>
      </c>
      <c r="CC442" t="s">
        <v>1859</v>
      </c>
      <c r="CD442">
        <v>4255911</v>
      </c>
      <c r="CE442" t="s">
        <v>346</v>
      </c>
      <c r="CF442" s="11">
        <v>0</v>
      </c>
      <c r="CG442" s="9" t="str">
        <f>_xll.SNL.Clients.Office.Excel.Functions.SPG(CD442, "SP_COUNTRY_NAME")</f>
        <v>USA</v>
      </c>
      <c r="CL442" s="9" t="str">
        <f>_xll.SNL.Clients.Office.Excel.Functions.SPG(CI442, "SP_COUNTRY_NAME")</f>
        <v>#INVALID COMPANY ID</v>
      </c>
      <c r="CM442" t="s">
        <v>2084</v>
      </c>
      <c r="CN442">
        <v>4029450</v>
      </c>
      <c r="CO442" t="s">
        <v>346</v>
      </c>
      <c r="CP442" s="11">
        <v>0</v>
      </c>
      <c r="CQ442" s="9" t="str">
        <f>_xll.SNL.Clients.Office.Excel.Functions.SPG(CN442, "SP_COUNTRY_NAME")</f>
        <v>USA</v>
      </c>
      <c r="CV442" s="9" t="str">
        <f>_xll.SNL.Clients.Office.Excel.Functions.SPG(CS442, "SP_COUNTRY_NAME")</f>
        <v>#INVALID COMPANY ID</v>
      </c>
      <c r="DA442" s="9" t="str">
        <f>_xll.SNL.Clients.Office.Excel.Functions.SPG(CX442, "SP_COUNTRY_NAME")</f>
        <v>#INVALID COMPANY ID</v>
      </c>
      <c r="DB442" t="s">
        <v>1142</v>
      </c>
      <c r="DC442">
        <v>4585233</v>
      </c>
      <c r="DD442" t="s">
        <v>346</v>
      </c>
      <c r="DE442" s="11">
        <v>0</v>
      </c>
      <c r="DF442" s="9" t="str">
        <f>_xll.SNL.Clients.Office.Excel.Functions.SPG(DC442, "SP_COUNTRY_NAME")</f>
        <v>USA</v>
      </c>
      <c r="DK442" s="9" t="str">
        <f>_xll.SNL.Clients.Office.Excel.Functions.SPG(DH442, "SP_COUNTRY_NAME")</f>
        <v>#INVALID COMPANY ID</v>
      </c>
      <c r="DL442" t="s">
        <v>1142</v>
      </c>
      <c r="DM442">
        <v>4585233</v>
      </c>
      <c r="DN442" t="s">
        <v>346</v>
      </c>
      <c r="DO442" s="11">
        <v>0</v>
      </c>
      <c r="DP442" s="9" t="str">
        <f>_xll.SNL.Clients.Office.Excel.Functions.SPG(DM442, "SP_COUNTRY_NAME")</f>
        <v>USA</v>
      </c>
      <c r="DU442" s="9" t="str">
        <f>_xll.SNL.Clients.Office.Excel.Functions.SPG(DR442, "SP_COUNTRY_NAME")</f>
        <v>#INVALID COMPANY ID</v>
      </c>
      <c r="DZ442" s="9" t="str">
        <f>_xll.SNL.Clients.Office.Excel.Functions.SPG(DW442, "SP_COUNTRY_NAME")</f>
        <v>#INVALID COMPANY ID</v>
      </c>
      <c r="EA442" t="s">
        <v>1859</v>
      </c>
      <c r="EB442">
        <v>4255911</v>
      </c>
      <c r="EC442" t="s">
        <v>346</v>
      </c>
      <c r="ED442" s="11">
        <v>0</v>
      </c>
      <c r="EE442" s="9" t="str">
        <f>_xll.SNL.Clients.Office.Excel.Functions.SPG(EB442, "SP_COUNTRY_NAME")</f>
        <v>USA</v>
      </c>
      <c r="EF442" t="s">
        <v>1142</v>
      </c>
      <c r="EG442">
        <v>4585233</v>
      </c>
      <c r="EH442" t="s">
        <v>346</v>
      </c>
      <c r="EI442" s="11">
        <v>0</v>
      </c>
      <c r="EJ442" s="9" t="str">
        <f>_xll.SNL.Clients.Office.Excel.Functions.SPG(EG442, "SP_COUNTRY_NAME")</f>
        <v>USA</v>
      </c>
      <c r="EO442" s="9" t="str">
        <f>_xll.SNL.Clients.Office.Excel.Functions.SPG(EL442, "SP_COUNTRY_NAME")</f>
        <v>#INVALID COMPANY ID</v>
      </c>
      <c r="ET442" s="9" t="str">
        <f>_xll.SNL.Clients.Office.Excel.Functions.SPG(EQ442, "SP_COUNTRY_NAME")</f>
        <v>#INVALID COMPANY ID</v>
      </c>
      <c r="EY442" s="9" t="str">
        <f>_xll.SNL.Clients.Office.Excel.Functions.SPG(EV442, "SP_COUNTRY_NAME")</f>
        <v>#INVALID COMPANY ID</v>
      </c>
      <c r="FD442" s="9" t="str">
        <f>_xll.SNL.Clients.Office.Excel.Functions.SPG(FA442, "SP_COUNTRY_NAME")</f>
        <v>#INVALID COMPANY ID</v>
      </c>
      <c r="FI442" s="9" t="str">
        <f>_xll.SNL.Clients.Office.Excel.Functions.SPG(FF442, "SP_COUNTRY_NAME")</f>
        <v>#INVALID COMPANY ID</v>
      </c>
      <c r="FN442" s="9" t="str">
        <f>_xll.SNL.Clients.Office.Excel.Functions.SPG(FK442, "SP_COUNTRY_NAME")</f>
        <v>#INVALID COMPANY ID</v>
      </c>
      <c r="FS442" s="9" t="str">
        <f>_xll.SNL.Clients.Office.Excel.Functions.SPG(FP442, "SP_COUNTRY_NAME")</f>
        <v>#INVALID COMPANY ID</v>
      </c>
      <c r="FX442" s="9" t="str">
        <f>_xll.SNL.Clients.Office.Excel.Functions.SPG(FU442, "SP_COUNTRY_NAME")</f>
        <v>#INVALID COMPANY ID</v>
      </c>
      <c r="FY442" t="s">
        <v>1142</v>
      </c>
      <c r="FZ442">
        <v>4585233</v>
      </c>
      <c r="GA442" t="s">
        <v>346</v>
      </c>
      <c r="GB442" s="11">
        <v>0</v>
      </c>
      <c r="GC442" s="9" t="str">
        <f>_xll.SNL.Clients.Office.Excel.Functions.SPG(FZ442, "SP_COUNTRY_NAME")</f>
        <v>USA</v>
      </c>
      <c r="GH442" s="9" t="str">
        <f>_xll.SNL.Clients.Office.Excel.Functions.SPG(GE442, "SP_COUNTRY_NAME")</f>
        <v>#INVALID COMPANY ID</v>
      </c>
      <c r="GM442" s="9" t="str">
        <f>_xll.SNL.Clients.Office.Excel.Functions.SPG(GJ442, "SP_COUNTRY_NAME")</f>
        <v>#INVALID COMPANY ID</v>
      </c>
      <c r="GR442" s="9" t="str">
        <f>_xll.SNL.Clients.Office.Excel.Functions.SPG(GO442, "SP_COUNTRY_NAME")</f>
        <v>#INVALID COMPANY ID</v>
      </c>
      <c r="GW442" s="9" t="str">
        <f>_xll.SNL.Clients.Office.Excel.Functions.SPG(GT442, "SP_COUNTRY_NAME")</f>
        <v>#INVALID COMPANY ID</v>
      </c>
      <c r="GX442" t="s">
        <v>1859</v>
      </c>
      <c r="GY442">
        <v>4255911</v>
      </c>
      <c r="GZ442" t="s">
        <v>346</v>
      </c>
      <c r="HA442" s="11">
        <v>0</v>
      </c>
      <c r="HB442" s="9" t="str">
        <f>_xll.SNL.Clients.Office.Excel.Functions.SPG(GY442, "SP_COUNTRY_NAME")</f>
        <v>USA</v>
      </c>
      <c r="HG442" s="9" t="str">
        <f>_xll.SNL.Clients.Office.Excel.Functions.SPG(HD442, "SP_COUNTRY_NAME")</f>
        <v>#INVALID COMPANY ID</v>
      </c>
    </row>
    <row r="443" spans="5:215" x14ac:dyDescent="0.35">
      <c r="E443" s="9" t="str">
        <f>_xll.SNL.Clients.Office.Excel.Functions.SPG(B443, "SP_COUNTRY_NAME")</f>
        <v>#INVALID COMPANY ID</v>
      </c>
      <c r="J443" s="9" t="str">
        <f>_xll.SNL.Clients.Office.Excel.Functions.SPG(G443, "SP_COUNTRY_NAME")</f>
        <v>#INVALID COMPANY ID</v>
      </c>
      <c r="O443" s="9" t="str">
        <f>_xll.SNL.Clients.Office.Excel.Functions.SPG(L443, "SP_COUNTRY_NAME")</f>
        <v>#INVALID COMPANY ID</v>
      </c>
      <c r="T443" s="9" t="str">
        <f>_xll.SNL.Clients.Office.Excel.Functions.SPG(Q443, "SP_COUNTRY_NAME")</f>
        <v>#INVALID COMPANY ID</v>
      </c>
      <c r="Y443" s="9" t="str">
        <f>_xll.SNL.Clients.Office.Excel.Functions.SPG(V443, "SP_COUNTRY_NAME")</f>
        <v>#INVALID COMPANY ID</v>
      </c>
      <c r="AD443" s="9" t="str">
        <f>_xll.SNL.Clients.Office.Excel.Functions.SPG(AA443, "SP_COUNTRY_NAME")</f>
        <v>#INVALID COMPANY ID</v>
      </c>
      <c r="AI443" s="9" t="str">
        <f>_xll.SNL.Clients.Office.Excel.Functions.SPG(AF443, "SP_COUNTRY_NAME")</f>
        <v>#INVALID COMPANY ID</v>
      </c>
      <c r="AN443" s="9" t="str">
        <f>_xll.SNL.Clients.Office.Excel.Functions.SPG(AK443, "SP_COUNTRY_NAME")</f>
        <v>#INVALID COMPANY ID</v>
      </c>
      <c r="AS443" s="9" t="str">
        <f>_xll.SNL.Clients.Office.Excel.Functions.SPG(AP443, "SP_COUNTRY_NAME")</f>
        <v>#INVALID COMPANY ID</v>
      </c>
      <c r="AX443" s="9" t="str">
        <f>_xll.SNL.Clients.Office.Excel.Functions.SPG(AU443, "SP_COUNTRY_NAME")</f>
        <v>#INVALID COMPANY ID</v>
      </c>
      <c r="BC443" s="9" t="str">
        <f>_xll.SNL.Clients.Office.Excel.Functions.SPG(AZ443, "SP_COUNTRY_NAME")</f>
        <v>#INVALID COMPANY ID</v>
      </c>
      <c r="BD443" t="s">
        <v>1531</v>
      </c>
      <c r="BE443">
        <v>4308277</v>
      </c>
      <c r="BF443" t="s">
        <v>346</v>
      </c>
      <c r="BG443" s="11">
        <v>0</v>
      </c>
      <c r="BH443" s="9" t="str">
        <f>_xll.SNL.Clients.Office.Excel.Functions.SPG(BE443, "SP_COUNTRY_NAME")</f>
        <v>USA</v>
      </c>
      <c r="BM443" s="9" t="str">
        <f>_xll.SNL.Clients.Office.Excel.Functions.SPG(BJ443, "SP_COUNTRY_NAME")</f>
        <v>#INVALID COMPANY ID</v>
      </c>
      <c r="BR443" s="9" t="str">
        <f>_xll.SNL.Clients.Office.Excel.Functions.SPG(BO443, "SP_COUNTRY_NAME")</f>
        <v>#INVALID COMPANY ID</v>
      </c>
      <c r="BS443" t="s">
        <v>1074</v>
      </c>
      <c r="BT443">
        <v>4254092</v>
      </c>
      <c r="BU443" t="s">
        <v>346</v>
      </c>
      <c r="BV443" s="11">
        <v>0</v>
      </c>
      <c r="BW443" s="9" t="str">
        <f>_xll.SNL.Clients.Office.Excel.Functions.SPG(BT443, "SP_COUNTRY_NAME")</f>
        <v>Finland</v>
      </c>
      <c r="CB443" s="9" t="str">
        <f>_xll.SNL.Clients.Office.Excel.Functions.SPG(BY443, "SP_COUNTRY_NAME")</f>
        <v>#INVALID COMPANY ID</v>
      </c>
      <c r="CC443" t="s">
        <v>1860</v>
      </c>
      <c r="CD443">
        <v>4118477</v>
      </c>
      <c r="CE443" t="s">
        <v>346</v>
      </c>
      <c r="CF443" s="11">
        <v>0</v>
      </c>
      <c r="CG443" s="9" t="str">
        <f>_xll.SNL.Clients.Office.Excel.Functions.SPG(CD443, "SP_COUNTRY_NAME")</f>
        <v>USA</v>
      </c>
      <c r="CL443" s="9" t="str">
        <f>_xll.SNL.Clients.Office.Excel.Functions.SPG(CI443, "SP_COUNTRY_NAME")</f>
        <v>#INVALID COMPANY ID</v>
      </c>
      <c r="CM443" t="s">
        <v>1539</v>
      </c>
      <c r="CN443">
        <v>117631848</v>
      </c>
      <c r="CO443" t="s">
        <v>346</v>
      </c>
      <c r="CP443" s="11">
        <v>0</v>
      </c>
      <c r="CQ443" s="9" t="str">
        <f>_xll.SNL.Clients.Office.Excel.Functions.SPG(CN443, "SP_COUNTRY_NAME")</f>
        <v>South Africa</v>
      </c>
      <c r="CV443" s="9" t="str">
        <f>_xll.SNL.Clients.Office.Excel.Functions.SPG(CS443, "SP_COUNTRY_NAME")</f>
        <v>#INVALID COMPANY ID</v>
      </c>
      <c r="DA443" s="9" t="str">
        <f>_xll.SNL.Clients.Office.Excel.Functions.SPG(CX443, "SP_COUNTRY_NAME")</f>
        <v>#INVALID COMPANY ID</v>
      </c>
      <c r="DB443" t="s">
        <v>1531</v>
      </c>
      <c r="DC443">
        <v>4308277</v>
      </c>
      <c r="DD443" t="s">
        <v>346</v>
      </c>
      <c r="DE443" s="11">
        <v>0</v>
      </c>
      <c r="DF443" s="9" t="str">
        <f>_xll.SNL.Clients.Office.Excel.Functions.SPG(DC443, "SP_COUNTRY_NAME")</f>
        <v>USA</v>
      </c>
      <c r="DK443" s="9" t="str">
        <f>_xll.SNL.Clients.Office.Excel.Functions.SPG(DH443, "SP_COUNTRY_NAME")</f>
        <v>#INVALID COMPANY ID</v>
      </c>
      <c r="DL443" t="s">
        <v>1531</v>
      </c>
      <c r="DM443">
        <v>4308277</v>
      </c>
      <c r="DN443" t="s">
        <v>346</v>
      </c>
      <c r="DO443" s="11">
        <v>0</v>
      </c>
      <c r="DP443" s="9" t="str">
        <f>_xll.SNL.Clients.Office.Excel.Functions.SPG(DM443, "SP_COUNTRY_NAME")</f>
        <v>USA</v>
      </c>
      <c r="DU443" s="9" t="str">
        <f>_xll.SNL.Clients.Office.Excel.Functions.SPG(DR443, "SP_COUNTRY_NAME")</f>
        <v>#INVALID COMPANY ID</v>
      </c>
      <c r="DZ443" s="9" t="str">
        <f>_xll.SNL.Clients.Office.Excel.Functions.SPG(DW443, "SP_COUNTRY_NAME")</f>
        <v>#INVALID COMPANY ID</v>
      </c>
      <c r="EA443" t="s">
        <v>1860</v>
      </c>
      <c r="EB443">
        <v>4118477</v>
      </c>
      <c r="EC443" t="s">
        <v>346</v>
      </c>
      <c r="ED443" s="11">
        <v>0</v>
      </c>
      <c r="EE443" s="9" t="str">
        <f>_xll.SNL.Clients.Office.Excel.Functions.SPG(EB443, "SP_COUNTRY_NAME")</f>
        <v>USA</v>
      </c>
      <c r="EF443" t="s">
        <v>1531</v>
      </c>
      <c r="EG443">
        <v>4308277</v>
      </c>
      <c r="EH443" t="s">
        <v>346</v>
      </c>
      <c r="EI443" s="11">
        <v>0</v>
      </c>
      <c r="EJ443" s="9" t="str">
        <f>_xll.SNL.Clients.Office.Excel.Functions.SPG(EG443, "SP_COUNTRY_NAME")</f>
        <v>USA</v>
      </c>
      <c r="EO443" s="9" t="str">
        <f>_xll.SNL.Clients.Office.Excel.Functions.SPG(EL443, "SP_COUNTRY_NAME")</f>
        <v>#INVALID COMPANY ID</v>
      </c>
      <c r="ET443" s="9" t="str">
        <f>_xll.SNL.Clients.Office.Excel.Functions.SPG(EQ443, "SP_COUNTRY_NAME")</f>
        <v>#INVALID COMPANY ID</v>
      </c>
      <c r="EY443" s="9" t="str">
        <f>_xll.SNL.Clients.Office.Excel.Functions.SPG(EV443, "SP_COUNTRY_NAME")</f>
        <v>#INVALID COMPANY ID</v>
      </c>
      <c r="FD443" s="9" t="str">
        <f>_xll.SNL.Clients.Office.Excel.Functions.SPG(FA443, "SP_COUNTRY_NAME")</f>
        <v>#INVALID COMPANY ID</v>
      </c>
      <c r="FI443" s="9" t="str">
        <f>_xll.SNL.Clients.Office.Excel.Functions.SPG(FF443, "SP_COUNTRY_NAME")</f>
        <v>#INVALID COMPANY ID</v>
      </c>
      <c r="FN443" s="9" t="str">
        <f>_xll.SNL.Clients.Office.Excel.Functions.SPG(FK443, "SP_COUNTRY_NAME")</f>
        <v>#INVALID COMPANY ID</v>
      </c>
      <c r="FS443" s="9" t="str">
        <f>_xll.SNL.Clients.Office.Excel.Functions.SPG(FP443, "SP_COUNTRY_NAME")</f>
        <v>#INVALID COMPANY ID</v>
      </c>
      <c r="FX443" s="9" t="str">
        <f>_xll.SNL.Clients.Office.Excel.Functions.SPG(FU443, "SP_COUNTRY_NAME")</f>
        <v>#INVALID COMPANY ID</v>
      </c>
      <c r="FY443" t="s">
        <v>1531</v>
      </c>
      <c r="FZ443">
        <v>4308277</v>
      </c>
      <c r="GA443" t="s">
        <v>346</v>
      </c>
      <c r="GB443" s="11">
        <v>0</v>
      </c>
      <c r="GC443" s="9" t="str">
        <f>_xll.SNL.Clients.Office.Excel.Functions.SPG(FZ443, "SP_COUNTRY_NAME")</f>
        <v>USA</v>
      </c>
      <c r="GH443" s="9" t="str">
        <f>_xll.SNL.Clients.Office.Excel.Functions.SPG(GE443, "SP_COUNTRY_NAME")</f>
        <v>#INVALID COMPANY ID</v>
      </c>
      <c r="GM443" s="9" t="str">
        <f>_xll.SNL.Clients.Office.Excel.Functions.SPG(GJ443, "SP_COUNTRY_NAME")</f>
        <v>#INVALID COMPANY ID</v>
      </c>
      <c r="GR443" s="9" t="str">
        <f>_xll.SNL.Clients.Office.Excel.Functions.SPG(GO443, "SP_COUNTRY_NAME")</f>
        <v>#INVALID COMPANY ID</v>
      </c>
      <c r="GW443" s="9" t="str">
        <f>_xll.SNL.Clients.Office.Excel.Functions.SPG(GT443, "SP_COUNTRY_NAME")</f>
        <v>#INVALID COMPANY ID</v>
      </c>
      <c r="GX443" t="s">
        <v>1860</v>
      </c>
      <c r="GY443">
        <v>4118477</v>
      </c>
      <c r="GZ443" t="s">
        <v>346</v>
      </c>
      <c r="HA443" s="11">
        <v>0</v>
      </c>
      <c r="HB443" s="9" t="str">
        <f>_xll.SNL.Clients.Office.Excel.Functions.SPG(GY443, "SP_COUNTRY_NAME")</f>
        <v>USA</v>
      </c>
      <c r="HG443" s="9" t="str">
        <f>_xll.SNL.Clients.Office.Excel.Functions.SPG(HD443, "SP_COUNTRY_NAME")</f>
        <v>#INVALID COMPANY ID</v>
      </c>
    </row>
    <row r="444" spans="5:215" x14ac:dyDescent="0.35">
      <c r="E444" s="9" t="str">
        <f>_xll.SNL.Clients.Office.Excel.Functions.SPG(B444, "SP_COUNTRY_NAME")</f>
        <v>#INVALID COMPANY ID</v>
      </c>
      <c r="J444" s="9" t="str">
        <f>_xll.SNL.Clients.Office.Excel.Functions.SPG(G444, "SP_COUNTRY_NAME")</f>
        <v>#INVALID COMPANY ID</v>
      </c>
      <c r="O444" s="9" t="str">
        <f>_xll.SNL.Clients.Office.Excel.Functions.SPG(L444, "SP_COUNTRY_NAME")</f>
        <v>#INVALID COMPANY ID</v>
      </c>
      <c r="T444" s="9" t="str">
        <f>_xll.SNL.Clients.Office.Excel.Functions.SPG(Q444, "SP_COUNTRY_NAME")</f>
        <v>#INVALID COMPANY ID</v>
      </c>
      <c r="Y444" s="9" t="str">
        <f>_xll.SNL.Clients.Office.Excel.Functions.SPG(V444, "SP_COUNTRY_NAME")</f>
        <v>#INVALID COMPANY ID</v>
      </c>
      <c r="AD444" s="9" t="str">
        <f>_xll.SNL.Clients.Office.Excel.Functions.SPG(AA444, "SP_COUNTRY_NAME")</f>
        <v>#INVALID COMPANY ID</v>
      </c>
      <c r="AI444" s="9" t="str">
        <f>_xll.SNL.Clients.Office.Excel.Functions.SPG(AF444, "SP_COUNTRY_NAME")</f>
        <v>#INVALID COMPANY ID</v>
      </c>
      <c r="AN444" s="9" t="str">
        <f>_xll.SNL.Clients.Office.Excel.Functions.SPG(AK444, "SP_COUNTRY_NAME")</f>
        <v>#INVALID COMPANY ID</v>
      </c>
      <c r="AS444" s="9" t="str">
        <f>_xll.SNL.Clients.Office.Excel.Functions.SPG(AP444, "SP_COUNTRY_NAME")</f>
        <v>#INVALID COMPANY ID</v>
      </c>
      <c r="AX444" s="9" t="str">
        <f>_xll.SNL.Clients.Office.Excel.Functions.SPG(AU444, "SP_COUNTRY_NAME")</f>
        <v>#INVALID COMPANY ID</v>
      </c>
      <c r="BC444" s="9" t="str">
        <f>_xll.SNL.Clients.Office.Excel.Functions.SPG(AZ444, "SP_COUNTRY_NAME")</f>
        <v>#INVALID COMPANY ID</v>
      </c>
      <c r="BD444" t="s">
        <v>1312</v>
      </c>
      <c r="BE444">
        <v>7944855</v>
      </c>
      <c r="BF444" t="s">
        <v>346</v>
      </c>
      <c r="BG444" s="11">
        <v>0</v>
      </c>
      <c r="BH444" s="9" t="str">
        <f>_xll.SNL.Clients.Office.Excel.Functions.SPG(BE444, "SP_COUNTRY_NAME")</f>
        <v>South Africa</v>
      </c>
      <c r="BM444" s="9" t="str">
        <f>_xll.SNL.Clients.Office.Excel.Functions.SPG(BJ444, "SP_COUNTRY_NAME")</f>
        <v>#INVALID COMPANY ID</v>
      </c>
      <c r="BR444" s="9" t="str">
        <f>_xll.SNL.Clients.Office.Excel.Functions.SPG(BO444, "SP_COUNTRY_NAME")</f>
        <v>#INVALID COMPANY ID</v>
      </c>
      <c r="BS444" t="s">
        <v>1075</v>
      </c>
      <c r="BT444">
        <v>4559077</v>
      </c>
      <c r="BU444" t="s">
        <v>346</v>
      </c>
      <c r="BV444" s="11">
        <v>0</v>
      </c>
      <c r="BW444" s="9" t="str">
        <f>_xll.SNL.Clients.Office.Excel.Functions.SPG(BT444, "SP_COUNTRY_NAME")</f>
        <v>Malaysia</v>
      </c>
      <c r="CB444" s="9" t="str">
        <f>_xll.SNL.Clients.Office.Excel.Functions.SPG(BY444, "SP_COUNTRY_NAME")</f>
        <v>#INVALID COMPANY ID</v>
      </c>
      <c r="CC444" t="s">
        <v>1861</v>
      </c>
      <c r="CD444">
        <v>4026892</v>
      </c>
      <c r="CE444" t="s">
        <v>346</v>
      </c>
      <c r="CF444" s="11">
        <v>0</v>
      </c>
      <c r="CG444" s="9" t="str">
        <f>_xll.SNL.Clients.Office.Excel.Functions.SPG(CD444, "SP_COUNTRY_NAME")</f>
        <v>USA</v>
      </c>
      <c r="CL444" s="9" t="str">
        <f>_xll.SNL.Clients.Office.Excel.Functions.SPG(CI444, "SP_COUNTRY_NAME")</f>
        <v>#INVALID COMPANY ID</v>
      </c>
      <c r="CM444" t="s">
        <v>1301</v>
      </c>
      <c r="CN444">
        <v>4326066</v>
      </c>
      <c r="CO444" t="s">
        <v>346</v>
      </c>
      <c r="CP444" s="11">
        <v>0</v>
      </c>
      <c r="CQ444" s="9" t="str">
        <f>_xll.SNL.Clients.Office.Excel.Functions.SPG(CN444, "SP_COUNTRY_NAME")</f>
        <v>South Africa</v>
      </c>
      <c r="CV444" s="9" t="str">
        <f>_xll.SNL.Clients.Office.Excel.Functions.SPG(CS444, "SP_COUNTRY_NAME")</f>
        <v>#INVALID COMPANY ID</v>
      </c>
      <c r="DA444" s="9" t="str">
        <f>_xll.SNL.Clients.Office.Excel.Functions.SPG(CX444, "SP_COUNTRY_NAME")</f>
        <v>#INVALID COMPANY ID</v>
      </c>
      <c r="DB444" t="s">
        <v>1312</v>
      </c>
      <c r="DC444">
        <v>7944855</v>
      </c>
      <c r="DD444" t="s">
        <v>346</v>
      </c>
      <c r="DE444" s="11">
        <v>0</v>
      </c>
      <c r="DF444" s="9" t="str">
        <f>_xll.SNL.Clients.Office.Excel.Functions.SPG(DC444, "SP_COUNTRY_NAME")</f>
        <v>South Africa</v>
      </c>
      <c r="DK444" s="9" t="str">
        <f>_xll.SNL.Clients.Office.Excel.Functions.SPG(DH444, "SP_COUNTRY_NAME")</f>
        <v>#INVALID COMPANY ID</v>
      </c>
      <c r="DL444" t="s">
        <v>1312</v>
      </c>
      <c r="DM444">
        <v>7944855</v>
      </c>
      <c r="DN444" t="s">
        <v>346</v>
      </c>
      <c r="DO444" s="11">
        <v>0</v>
      </c>
      <c r="DP444" s="9" t="str">
        <f>_xll.SNL.Clients.Office.Excel.Functions.SPG(DM444, "SP_COUNTRY_NAME")</f>
        <v>South Africa</v>
      </c>
      <c r="DU444" s="9" t="str">
        <f>_xll.SNL.Clients.Office.Excel.Functions.SPG(DR444, "SP_COUNTRY_NAME")</f>
        <v>#INVALID COMPANY ID</v>
      </c>
      <c r="DZ444" s="9" t="str">
        <f>_xll.SNL.Clients.Office.Excel.Functions.SPG(DW444, "SP_COUNTRY_NAME")</f>
        <v>#INVALID COMPANY ID</v>
      </c>
      <c r="EA444" t="s">
        <v>1861</v>
      </c>
      <c r="EB444">
        <v>4026892</v>
      </c>
      <c r="EC444" t="s">
        <v>346</v>
      </c>
      <c r="ED444" s="11">
        <v>0</v>
      </c>
      <c r="EE444" s="9" t="str">
        <f>_xll.SNL.Clients.Office.Excel.Functions.SPG(EB444, "SP_COUNTRY_NAME")</f>
        <v>USA</v>
      </c>
      <c r="EF444" t="s">
        <v>1312</v>
      </c>
      <c r="EG444">
        <v>7944855</v>
      </c>
      <c r="EH444" t="s">
        <v>346</v>
      </c>
      <c r="EI444" s="11">
        <v>0</v>
      </c>
      <c r="EJ444" s="9" t="str">
        <f>_xll.SNL.Clients.Office.Excel.Functions.SPG(EG444, "SP_COUNTRY_NAME")</f>
        <v>South Africa</v>
      </c>
      <c r="EO444" s="9" t="str">
        <f>_xll.SNL.Clients.Office.Excel.Functions.SPG(EL444, "SP_COUNTRY_NAME")</f>
        <v>#INVALID COMPANY ID</v>
      </c>
      <c r="ET444" s="9" t="str">
        <f>_xll.SNL.Clients.Office.Excel.Functions.SPG(EQ444, "SP_COUNTRY_NAME")</f>
        <v>#INVALID COMPANY ID</v>
      </c>
      <c r="EY444" s="9" t="str">
        <f>_xll.SNL.Clients.Office.Excel.Functions.SPG(EV444, "SP_COUNTRY_NAME")</f>
        <v>#INVALID COMPANY ID</v>
      </c>
      <c r="FD444" s="9" t="str">
        <f>_xll.SNL.Clients.Office.Excel.Functions.SPG(FA444, "SP_COUNTRY_NAME")</f>
        <v>#INVALID COMPANY ID</v>
      </c>
      <c r="FI444" s="9" t="str">
        <f>_xll.SNL.Clients.Office.Excel.Functions.SPG(FF444, "SP_COUNTRY_NAME")</f>
        <v>#INVALID COMPANY ID</v>
      </c>
      <c r="FN444" s="9" t="str">
        <f>_xll.SNL.Clients.Office.Excel.Functions.SPG(FK444, "SP_COUNTRY_NAME")</f>
        <v>#INVALID COMPANY ID</v>
      </c>
      <c r="FS444" s="9" t="str">
        <f>_xll.SNL.Clients.Office.Excel.Functions.SPG(FP444, "SP_COUNTRY_NAME")</f>
        <v>#INVALID COMPANY ID</v>
      </c>
      <c r="FX444" s="9" t="str">
        <f>_xll.SNL.Clients.Office.Excel.Functions.SPG(FU444, "SP_COUNTRY_NAME")</f>
        <v>#INVALID COMPANY ID</v>
      </c>
      <c r="FY444" t="s">
        <v>1312</v>
      </c>
      <c r="FZ444">
        <v>7944855</v>
      </c>
      <c r="GA444" t="s">
        <v>346</v>
      </c>
      <c r="GB444" s="11">
        <v>0</v>
      </c>
      <c r="GC444" s="9" t="str">
        <f>_xll.SNL.Clients.Office.Excel.Functions.SPG(FZ444, "SP_COUNTRY_NAME")</f>
        <v>South Africa</v>
      </c>
      <c r="GH444" s="9" t="str">
        <f>_xll.SNL.Clients.Office.Excel.Functions.SPG(GE444, "SP_COUNTRY_NAME")</f>
        <v>#INVALID COMPANY ID</v>
      </c>
      <c r="GM444" s="9" t="str">
        <f>_xll.SNL.Clients.Office.Excel.Functions.SPG(GJ444, "SP_COUNTRY_NAME")</f>
        <v>#INVALID COMPANY ID</v>
      </c>
      <c r="GR444" s="9" t="str">
        <f>_xll.SNL.Clients.Office.Excel.Functions.SPG(GO444, "SP_COUNTRY_NAME")</f>
        <v>#INVALID COMPANY ID</v>
      </c>
      <c r="GW444" s="9" t="str">
        <f>_xll.SNL.Clients.Office.Excel.Functions.SPG(GT444, "SP_COUNTRY_NAME")</f>
        <v>#INVALID COMPANY ID</v>
      </c>
      <c r="GX444" t="s">
        <v>1861</v>
      </c>
      <c r="GY444">
        <v>4026892</v>
      </c>
      <c r="GZ444" t="s">
        <v>346</v>
      </c>
      <c r="HA444" s="11">
        <v>0</v>
      </c>
      <c r="HB444" s="9" t="str">
        <f>_xll.SNL.Clients.Office.Excel.Functions.SPG(GY444, "SP_COUNTRY_NAME")</f>
        <v>USA</v>
      </c>
      <c r="HG444" s="9" t="str">
        <f>_xll.SNL.Clients.Office.Excel.Functions.SPG(HD444, "SP_COUNTRY_NAME")</f>
        <v>#INVALID COMPANY ID</v>
      </c>
    </row>
    <row r="445" spans="5:215" x14ac:dyDescent="0.35">
      <c r="E445" s="9" t="str">
        <f>_xll.SNL.Clients.Office.Excel.Functions.SPG(B445, "SP_COUNTRY_NAME")</f>
        <v>#INVALID COMPANY ID</v>
      </c>
      <c r="J445" s="9" t="str">
        <f>_xll.SNL.Clients.Office.Excel.Functions.SPG(G445, "SP_COUNTRY_NAME")</f>
        <v>#INVALID COMPANY ID</v>
      </c>
      <c r="O445" s="9" t="str">
        <f>_xll.SNL.Clients.Office.Excel.Functions.SPG(L445, "SP_COUNTRY_NAME")</f>
        <v>#INVALID COMPANY ID</v>
      </c>
      <c r="T445" s="9" t="str">
        <f>_xll.SNL.Clients.Office.Excel.Functions.SPG(Q445, "SP_COUNTRY_NAME")</f>
        <v>#INVALID COMPANY ID</v>
      </c>
      <c r="Y445" s="9" t="str">
        <f>_xll.SNL.Clients.Office.Excel.Functions.SPG(V445, "SP_COUNTRY_NAME")</f>
        <v>#INVALID COMPANY ID</v>
      </c>
      <c r="AD445" s="9" t="str">
        <f>_xll.SNL.Clients.Office.Excel.Functions.SPG(AA445, "SP_COUNTRY_NAME")</f>
        <v>#INVALID COMPANY ID</v>
      </c>
      <c r="AI445" s="9" t="str">
        <f>_xll.SNL.Clients.Office.Excel.Functions.SPG(AF445, "SP_COUNTRY_NAME")</f>
        <v>#INVALID COMPANY ID</v>
      </c>
      <c r="AN445" s="9" t="str">
        <f>_xll.SNL.Clients.Office.Excel.Functions.SPG(AK445, "SP_COUNTRY_NAME")</f>
        <v>#INVALID COMPANY ID</v>
      </c>
      <c r="AS445" s="9" t="str">
        <f>_xll.SNL.Clients.Office.Excel.Functions.SPG(AP445, "SP_COUNTRY_NAME")</f>
        <v>#INVALID COMPANY ID</v>
      </c>
      <c r="AX445" s="9" t="str">
        <f>_xll.SNL.Clients.Office.Excel.Functions.SPG(AU445, "SP_COUNTRY_NAME")</f>
        <v>#INVALID COMPANY ID</v>
      </c>
      <c r="BC445" s="9" t="str">
        <f>_xll.SNL.Clients.Office.Excel.Functions.SPG(AZ445, "SP_COUNTRY_NAME")</f>
        <v>#INVALID COMPANY ID</v>
      </c>
      <c r="BD445" t="s">
        <v>1326</v>
      </c>
      <c r="BE445">
        <v>4230198</v>
      </c>
      <c r="BF445" t="s">
        <v>346</v>
      </c>
      <c r="BG445" s="11">
        <v>0</v>
      </c>
      <c r="BH445" s="9" t="str">
        <f>_xll.SNL.Clients.Office.Excel.Functions.SPG(BE445, "SP_COUNTRY_NAME")</f>
        <v>South Africa</v>
      </c>
      <c r="BM445" s="9" t="str">
        <f>_xll.SNL.Clients.Office.Excel.Functions.SPG(BJ445, "SP_COUNTRY_NAME")</f>
        <v>#INVALID COMPANY ID</v>
      </c>
      <c r="BR445" s="9" t="str">
        <f>_xll.SNL.Clients.Office.Excel.Functions.SPG(BO445, "SP_COUNTRY_NAME")</f>
        <v>#INVALID COMPANY ID</v>
      </c>
      <c r="BS445" t="s">
        <v>1076</v>
      </c>
      <c r="BT445">
        <v>5877271</v>
      </c>
      <c r="BU445" t="s">
        <v>346</v>
      </c>
      <c r="BV445" s="11">
        <v>0</v>
      </c>
      <c r="BW445" s="9" t="str">
        <f>_xll.SNL.Clients.Office.Excel.Functions.SPG(BT445, "SP_COUNTRY_NAME")</f>
        <v>South Africa</v>
      </c>
      <c r="CB445" s="9" t="str">
        <f>_xll.SNL.Clients.Office.Excel.Functions.SPG(BY445, "SP_COUNTRY_NAME")</f>
        <v>#INVALID COMPANY ID</v>
      </c>
      <c r="CC445" t="s">
        <v>1862</v>
      </c>
      <c r="CD445">
        <v>4118513</v>
      </c>
      <c r="CE445" t="s">
        <v>346</v>
      </c>
      <c r="CF445" s="11">
        <v>0</v>
      </c>
      <c r="CG445" s="9" t="str">
        <f>_xll.SNL.Clients.Office.Excel.Functions.SPG(CD445, "SP_COUNTRY_NAME")</f>
        <v>USA</v>
      </c>
      <c r="CL445" s="9" t="str">
        <f>_xll.SNL.Clients.Office.Excel.Functions.SPG(CI445, "SP_COUNTRY_NAME")</f>
        <v>#INVALID COMPANY ID</v>
      </c>
      <c r="CM445" t="s">
        <v>2085</v>
      </c>
      <c r="CN445">
        <v>16880954</v>
      </c>
      <c r="CO445" t="s">
        <v>346</v>
      </c>
      <c r="CP445" s="11">
        <v>0</v>
      </c>
      <c r="CQ445" s="9" t="str">
        <f>_xll.SNL.Clients.Office.Excel.Functions.SPG(CN445, "SP_COUNTRY_NAME")</f>
        <v>USA</v>
      </c>
      <c r="CV445" s="9" t="str">
        <f>_xll.SNL.Clients.Office.Excel.Functions.SPG(CS445, "SP_COUNTRY_NAME")</f>
        <v>#INVALID COMPANY ID</v>
      </c>
      <c r="DA445" s="9" t="str">
        <f>_xll.SNL.Clients.Office.Excel.Functions.SPG(CX445, "SP_COUNTRY_NAME")</f>
        <v>#INVALID COMPANY ID</v>
      </c>
      <c r="DB445" t="s">
        <v>1326</v>
      </c>
      <c r="DC445">
        <v>4230198</v>
      </c>
      <c r="DD445" t="s">
        <v>346</v>
      </c>
      <c r="DE445" s="11">
        <v>0</v>
      </c>
      <c r="DF445" s="9" t="str">
        <f>_xll.SNL.Clients.Office.Excel.Functions.SPG(DC445, "SP_COUNTRY_NAME")</f>
        <v>South Africa</v>
      </c>
      <c r="DK445" s="9" t="str">
        <f>_xll.SNL.Clients.Office.Excel.Functions.SPG(DH445, "SP_COUNTRY_NAME")</f>
        <v>#INVALID COMPANY ID</v>
      </c>
      <c r="DL445" t="s">
        <v>1326</v>
      </c>
      <c r="DM445">
        <v>4230198</v>
      </c>
      <c r="DN445" t="s">
        <v>346</v>
      </c>
      <c r="DO445" s="11">
        <v>0</v>
      </c>
      <c r="DP445" s="9" t="str">
        <f>_xll.SNL.Clients.Office.Excel.Functions.SPG(DM445, "SP_COUNTRY_NAME")</f>
        <v>South Africa</v>
      </c>
      <c r="DU445" s="9" t="str">
        <f>_xll.SNL.Clients.Office.Excel.Functions.SPG(DR445, "SP_COUNTRY_NAME")</f>
        <v>#INVALID COMPANY ID</v>
      </c>
      <c r="DZ445" s="9" t="str">
        <f>_xll.SNL.Clients.Office.Excel.Functions.SPG(DW445, "SP_COUNTRY_NAME")</f>
        <v>#INVALID COMPANY ID</v>
      </c>
      <c r="EA445" t="s">
        <v>1862</v>
      </c>
      <c r="EB445">
        <v>4118513</v>
      </c>
      <c r="EC445" t="s">
        <v>346</v>
      </c>
      <c r="ED445" s="11">
        <v>0</v>
      </c>
      <c r="EE445" s="9" t="str">
        <f>_xll.SNL.Clients.Office.Excel.Functions.SPG(EB445, "SP_COUNTRY_NAME")</f>
        <v>USA</v>
      </c>
      <c r="EF445" t="s">
        <v>1326</v>
      </c>
      <c r="EG445">
        <v>4230198</v>
      </c>
      <c r="EH445" t="s">
        <v>346</v>
      </c>
      <c r="EI445" s="11">
        <v>0</v>
      </c>
      <c r="EJ445" s="9" t="str">
        <f>_xll.SNL.Clients.Office.Excel.Functions.SPG(EG445, "SP_COUNTRY_NAME")</f>
        <v>South Africa</v>
      </c>
      <c r="EO445" s="9" t="str">
        <f>_xll.SNL.Clients.Office.Excel.Functions.SPG(EL445, "SP_COUNTRY_NAME")</f>
        <v>#INVALID COMPANY ID</v>
      </c>
      <c r="ET445" s="9" t="str">
        <f>_xll.SNL.Clients.Office.Excel.Functions.SPG(EQ445, "SP_COUNTRY_NAME")</f>
        <v>#INVALID COMPANY ID</v>
      </c>
      <c r="EY445" s="9" t="str">
        <f>_xll.SNL.Clients.Office.Excel.Functions.SPG(EV445, "SP_COUNTRY_NAME")</f>
        <v>#INVALID COMPANY ID</v>
      </c>
      <c r="FD445" s="9" t="str">
        <f>_xll.SNL.Clients.Office.Excel.Functions.SPG(FA445, "SP_COUNTRY_NAME")</f>
        <v>#INVALID COMPANY ID</v>
      </c>
      <c r="FI445" s="9" t="str">
        <f>_xll.SNL.Clients.Office.Excel.Functions.SPG(FF445, "SP_COUNTRY_NAME")</f>
        <v>#INVALID COMPANY ID</v>
      </c>
      <c r="FN445" s="9" t="str">
        <f>_xll.SNL.Clients.Office.Excel.Functions.SPG(FK445, "SP_COUNTRY_NAME")</f>
        <v>#INVALID COMPANY ID</v>
      </c>
      <c r="FS445" s="9" t="str">
        <f>_xll.SNL.Clients.Office.Excel.Functions.SPG(FP445, "SP_COUNTRY_NAME")</f>
        <v>#INVALID COMPANY ID</v>
      </c>
      <c r="FX445" s="9" t="str">
        <f>_xll.SNL.Clients.Office.Excel.Functions.SPG(FU445, "SP_COUNTRY_NAME")</f>
        <v>#INVALID COMPANY ID</v>
      </c>
      <c r="FY445" t="s">
        <v>1326</v>
      </c>
      <c r="FZ445">
        <v>4230198</v>
      </c>
      <c r="GA445" t="s">
        <v>346</v>
      </c>
      <c r="GB445" s="11">
        <v>0</v>
      </c>
      <c r="GC445" s="9" t="str">
        <f>_xll.SNL.Clients.Office.Excel.Functions.SPG(FZ445, "SP_COUNTRY_NAME")</f>
        <v>South Africa</v>
      </c>
      <c r="GH445" s="9" t="str">
        <f>_xll.SNL.Clients.Office.Excel.Functions.SPG(GE445, "SP_COUNTRY_NAME")</f>
        <v>#INVALID COMPANY ID</v>
      </c>
      <c r="GM445" s="9" t="str">
        <f>_xll.SNL.Clients.Office.Excel.Functions.SPG(GJ445, "SP_COUNTRY_NAME")</f>
        <v>#INVALID COMPANY ID</v>
      </c>
      <c r="GR445" s="9" t="str">
        <f>_xll.SNL.Clients.Office.Excel.Functions.SPG(GO445, "SP_COUNTRY_NAME")</f>
        <v>#INVALID COMPANY ID</v>
      </c>
      <c r="GW445" s="9" t="str">
        <f>_xll.SNL.Clients.Office.Excel.Functions.SPG(GT445, "SP_COUNTRY_NAME")</f>
        <v>#INVALID COMPANY ID</v>
      </c>
      <c r="GX445" t="s">
        <v>1862</v>
      </c>
      <c r="GY445">
        <v>4118513</v>
      </c>
      <c r="GZ445" t="s">
        <v>346</v>
      </c>
      <c r="HA445" s="11">
        <v>0</v>
      </c>
      <c r="HB445" s="9" t="str">
        <f>_xll.SNL.Clients.Office.Excel.Functions.SPG(GY445, "SP_COUNTRY_NAME")</f>
        <v>USA</v>
      </c>
      <c r="HG445" s="9" t="str">
        <f>_xll.SNL.Clients.Office.Excel.Functions.SPG(HD445, "SP_COUNTRY_NAME")</f>
        <v>#INVALID COMPANY ID</v>
      </c>
    </row>
    <row r="446" spans="5:215" x14ac:dyDescent="0.35">
      <c r="E446" s="9" t="str">
        <f>_xll.SNL.Clients.Office.Excel.Functions.SPG(B446, "SP_COUNTRY_NAME")</f>
        <v>#INVALID COMPANY ID</v>
      </c>
      <c r="J446" s="9" t="str">
        <f>_xll.SNL.Clients.Office.Excel.Functions.SPG(G446, "SP_COUNTRY_NAME")</f>
        <v>#INVALID COMPANY ID</v>
      </c>
      <c r="O446" s="9" t="str">
        <f>_xll.SNL.Clients.Office.Excel.Functions.SPG(L446, "SP_COUNTRY_NAME")</f>
        <v>#INVALID COMPANY ID</v>
      </c>
      <c r="T446" s="9" t="str">
        <f>_xll.SNL.Clients.Office.Excel.Functions.SPG(Q446, "SP_COUNTRY_NAME")</f>
        <v>#INVALID COMPANY ID</v>
      </c>
      <c r="Y446" s="9" t="str">
        <f>_xll.SNL.Clients.Office.Excel.Functions.SPG(V446, "SP_COUNTRY_NAME")</f>
        <v>#INVALID COMPANY ID</v>
      </c>
      <c r="AD446" s="9" t="str">
        <f>_xll.SNL.Clients.Office.Excel.Functions.SPG(AA446, "SP_COUNTRY_NAME")</f>
        <v>#INVALID COMPANY ID</v>
      </c>
      <c r="AI446" s="9" t="str">
        <f>_xll.SNL.Clients.Office.Excel.Functions.SPG(AF446, "SP_COUNTRY_NAME")</f>
        <v>#INVALID COMPANY ID</v>
      </c>
      <c r="AN446" s="9" t="str">
        <f>_xll.SNL.Clients.Office.Excel.Functions.SPG(AK446, "SP_COUNTRY_NAME")</f>
        <v>#INVALID COMPANY ID</v>
      </c>
      <c r="AS446" s="9" t="str">
        <f>_xll.SNL.Clients.Office.Excel.Functions.SPG(AP446, "SP_COUNTRY_NAME")</f>
        <v>#INVALID COMPANY ID</v>
      </c>
      <c r="AX446" s="9" t="str">
        <f>_xll.SNL.Clients.Office.Excel.Functions.SPG(AU446, "SP_COUNTRY_NAME")</f>
        <v>#INVALID COMPANY ID</v>
      </c>
      <c r="BC446" s="9" t="str">
        <f>_xll.SNL.Clients.Office.Excel.Functions.SPG(AZ446, "SP_COUNTRY_NAME")</f>
        <v>#INVALID COMPANY ID</v>
      </c>
      <c r="BD446" t="s">
        <v>602</v>
      </c>
      <c r="BE446">
        <v>4378744</v>
      </c>
      <c r="BF446" t="s">
        <v>346</v>
      </c>
      <c r="BG446" s="11">
        <v>0</v>
      </c>
      <c r="BH446" s="9" t="str">
        <f>_xll.SNL.Clients.Office.Excel.Functions.SPG(BE446, "SP_COUNTRY_NAME")</f>
        <v>Poland</v>
      </c>
      <c r="BM446" s="9" t="str">
        <f>_xll.SNL.Clients.Office.Excel.Functions.SPG(BJ446, "SP_COUNTRY_NAME")</f>
        <v>#INVALID COMPANY ID</v>
      </c>
      <c r="BR446" s="9" t="str">
        <f>_xll.SNL.Clients.Office.Excel.Functions.SPG(BO446, "SP_COUNTRY_NAME")</f>
        <v>#INVALID COMPANY ID</v>
      </c>
      <c r="BS446" t="s">
        <v>1077</v>
      </c>
      <c r="BT446">
        <v>5804824</v>
      </c>
      <c r="BU446" t="s">
        <v>346</v>
      </c>
      <c r="BV446" s="11">
        <v>0</v>
      </c>
      <c r="BW446" s="9" t="str">
        <f>_xll.SNL.Clients.Office.Excel.Functions.SPG(BT446, "SP_COUNTRY_NAME")</f>
        <v>Luxembourg</v>
      </c>
      <c r="CB446" s="9" t="str">
        <f>_xll.SNL.Clients.Office.Excel.Functions.SPG(BY446, "SP_COUNTRY_NAME")</f>
        <v>#INVALID COMPANY ID</v>
      </c>
      <c r="CC446" t="s">
        <v>1863</v>
      </c>
      <c r="CD446">
        <v>6486334</v>
      </c>
      <c r="CE446" t="s">
        <v>346</v>
      </c>
      <c r="CF446" s="11">
        <v>0</v>
      </c>
      <c r="CG446" s="9" t="str">
        <f>_xll.SNL.Clients.Office.Excel.Functions.SPG(CD446, "SP_COUNTRY_NAME")</f>
        <v>Brazil</v>
      </c>
      <c r="CL446" s="9" t="str">
        <f>_xll.SNL.Clients.Office.Excel.Functions.SPG(CI446, "SP_COUNTRY_NAME")</f>
        <v>#INVALID COMPANY ID</v>
      </c>
      <c r="CM446" t="s">
        <v>2086</v>
      </c>
      <c r="CN446">
        <v>4115708</v>
      </c>
      <c r="CO446" t="s">
        <v>346</v>
      </c>
      <c r="CP446" s="11">
        <v>0</v>
      </c>
      <c r="CQ446" s="9" t="str">
        <f>_xll.SNL.Clients.Office.Excel.Functions.SPG(CN446, "SP_COUNTRY_NAME")</f>
        <v>Canada</v>
      </c>
      <c r="CV446" s="9" t="str">
        <f>_xll.SNL.Clients.Office.Excel.Functions.SPG(CS446, "SP_COUNTRY_NAME")</f>
        <v>#INVALID COMPANY ID</v>
      </c>
      <c r="DA446" s="9" t="str">
        <f>_xll.SNL.Clients.Office.Excel.Functions.SPG(CX446, "SP_COUNTRY_NAME")</f>
        <v>#INVALID COMPANY ID</v>
      </c>
      <c r="DB446" t="s">
        <v>602</v>
      </c>
      <c r="DC446">
        <v>4378744</v>
      </c>
      <c r="DD446" t="s">
        <v>346</v>
      </c>
      <c r="DE446" s="11">
        <v>0</v>
      </c>
      <c r="DF446" s="9" t="str">
        <f>_xll.SNL.Clients.Office.Excel.Functions.SPG(DC446, "SP_COUNTRY_NAME")</f>
        <v>Poland</v>
      </c>
      <c r="DK446" s="9" t="str">
        <f>_xll.SNL.Clients.Office.Excel.Functions.SPG(DH446, "SP_COUNTRY_NAME")</f>
        <v>#INVALID COMPANY ID</v>
      </c>
      <c r="DL446" t="s">
        <v>602</v>
      </c>
      <c r="DM446">
        <v>4378744</v>
      </c>
      <c r="DN446" t="s">
        <v>346</v>
      </c>
      <c r="DO446" s="11">
        <v>0</v>
      </c>
      <c r="DP446" s="9" t="str">
        <f>_xll.SNL.Clients.Office.Excel.Functions.SPG(DM446, "SP_COUNTRY_NAME")</f>
        <v>Poland</v>
      </c>
      <c r="DU446" s="9" t="str">
        <f>_xll.SNL.Clients.Office.Excel.Functions.SPG(DR446, "SP_COUNTRY_NAME")</f>
        <v>#INVALID COMPANY ID</v>
      </c>
      <c r="DZ446" s="9" t="str">
        <f>_xll.SNL.Clients.Office.Excel.Functions.SPG(DW446, "SP_COUNTRY_NAME")</f>
        <v>#INVALID COMPANY ID</v>
      </c>
      <c r="EA446" t="s">
        <v>1863</v>
      </c>
      <c r="EB446">
        <v>6486334</v>
      </c>
      <c r="EC446" t="s">
        <v>346</v>
      </c>
      <c r="ED446" s="11">
        <v>0</v>
      </c>
      <c r="EE446" s="9" t="str">
        <f>_xll.SNL.Clients.Office.Excel.Functions.SPG(EB446, "SP_COUNTRY_NAME")</f>
        <v>Brazil</v>
      </c>
      <c r="EF446" t="s">
        <v>602</v>
      </c>
      <c r="EG446">
        <v>4378744</v>
      </c>
      <c r="EH446" t="s">
        <v>346</v>
      </c>
      <c r="EI446" s="11">
        <v>0</v>
      </c>
      <c r="EJ446" s="9" t="str">
        <f>_xll.SNL.Clients.Office.Excel.Functions.SPG(EG446, "SP_COUNTRY_NAME")</f>
        <v>Poland</v>
      </c>
      <c r="EO446" s="9" t="str">
        <f>_xll.SNL.Clients.Office.Excel.Functions.SPG(EL446, "SP_COUNTRY_NAME")</f>
        <v>#INVALID COMPANY ID</v>
      </c>
      <c r="ET446" s="9" t="str">
        <f>_xll.SNL.Clients.Office.Excel.Functions.SPG(EQ446, "SP_COUNTRY_NAME")</f>
        <v>#INVALID COMPANY ID</v>
      </c>
      <c r="EY446" s="9" t="str">
        <f>_xll.SNL.Clients.Office.Excel.Functions.SPG(EV446, "SP_COUNTRY_NAME")</f>
        <v>#INVALID COMPANY ID</v>
      </c>
      <c r="FD446" s="9" t="str">
        <f>_xll.SNL.Clients.Office.Excel.Functions.SPG(FA446, "SP_COUNTRY_NAME")</f>
        <v>#INVALID COMPANY ID</v>
      </c>
      <c r="FI446" s="9" t="str">
        <f>_xll.SNL.Clients.Office.Excel.Functions.SPG(FF446, "SP_COUNTRY_NAME")</f>
        <v>#INVALID COMPANY ID</v>
      </c>
      <c r="FN446" s="9" t="str">
        <f>_xll.SNL.Clients.Office.Excel.Functions.SPG(FK446, "SP_COUNTRY_NAME")</f>
        <v>#INVALID COMPANY ID</v>
      </c>
      <c r="FS446" s="9" t="str">
        <f>_xll.SNL.Clients.Office.Excel.Functions.SPG(FP446, "SP_COUNTRY_NAME")</f>
        <v>#INVALID COMPANY ID</v>
      </c>
      <c r="FX446" s="9" t="str">
        <f>_xll.SNL.Clients.Office.Excel.Functions.SPG(FU446, "SP_COUNTRY_NAME")</f>
        <v>#INVALID COMPANY ID</v>
      </c>
      <c r="FY446" t="s">
        <v>602</v>
      </c>
      <c r="FZ446">
        <v>4378744</v>
      </c>
      <c r="GA446" t="s">
        <v>346</v>
      </c>
      <c r="GB446" s="11">
        <v>0</v>
      </c>
      <c r="GC446" s="9" t="str">
        <f>_xll.SNL.Clients.Office.Excel.Functions.SPG(FZ446, "SP_COUNTRY_NAME")</f>
        <v>Poland</v>
      </c>
      <c r="GH446" s="9" t="str">
        <f>_xll.SNL.Clients.Office.Excel.Functions.SPG(GE446, "SP_COUNTRY_NAME")</f>
        <v>#INVALID COMPANY ID</v>
      </c>
      <c r="GM446" s="9" t="str">
        <f>_xll.SNL.Clients.Office.Excel.Functions.SPG(GJ446, "SP_COUNTRY_NAME")</f>
        <v>#INVALID COMPANY ID</v>
      </c>
      <c r="GR446" s="9" t="str">
        <f>_xll.SNL.Clients.Office.Excel.Functions.SPG(GO446, "SP_COUNTRY_NAME")</f>
        <v>#INVALID COMPANY ID</v>
      </c>
      <c r="GW446" s="9" t="str">
        <f>_xll.SNL.Clients.Office.Excel.Functions.SPG(GT446, "SP_COUNTRY_NAME")</f>
        <v>#INVALID COMPANY ID</v>
      </c>
      <c r="GX446" t="s">
        <v>1863</v>
      </c>
      <c r="GY446">
        <v>6486334</v>
      </c>
      <c r="GZ446" t="s">
        <v>346</v>
      </c>
      <c r="HA446" s="11">
        <v>0</v>
      </c>
      <c r="HB446" s="9" t="str">
        <f>_xll.SNL.Clients.Office.Excel.Functions.SPG(GY446, "SP_COUNTRY_NAME")</f>
        <v>Brazil</v>
      </c>
      <c r="HG446" s="9" t="str">
        <f>_xll.SNL.Clients.Office.Excel.Functions.SPG(HD446, "SP_COUNTRY_NAME")</f>
        <v>#INVALID COMPANY ID</v>
      </c>
    </row>
    <row r="447" spans="5:215" x14ac:dyDescent="0.35">
      <c r="E447" s="9" t="str">
        <f>_xll.SNL.Clients.Office.Excel.Functions.SPG(B447, "SP_COUNTRY_NAME")</f>
        <v>#INVALID COMPANY ID</v>
      </c>
      <c r="J447" s="9" t="str">
        <f>_xll.SNL.Clients.Office.Excel.Functions.SPG(G447, "SP_COUNTRY_NAME")</f>
        <v>#INVALID COMPANY ID</v>
      </c>
      <c r="O447" s="9" t="str">
        <f>_xll.SNL.Clients.Office.Excel.Functions.SPG(L447, "SP_COUNTRY_NAME")</f>
        <v>#INVALID COMPANY ID</v>
      </c>
      <c r="T447" s="9" t="str">
        <f>_xll.SNL.Clients.Office.Excel.Functions.SPG(Q447, "SP_COUNTRY_NAME")</f>
        <v>#INVALID COMPANY ID</v>
      </c>
      <c r="Y447" s="9" t="str">
        <f>_xll.SNL.Clients.Office.Excel.Functions.SPG(V447, "SP_COUNTRY_NAME")</f>
        <v>#INVALID COMPANY ID</v>
      </c>
      <c r="AD447" s="9" t="str">
        <f>_xll.SNL.Clients.Office.Excel.Functions.SPG(AA447, "SP_COUNTRY_NAME")</f>
        <v>#INVALID COMPANY ID</v>
      </c>
      <c r="AI447" s="9" t="str">
        <f>_xll.SNL.Clients.Office.Excel.Functions.SPG(AF447, "SP_COUNTRY_NAME")</f>
        <v>#INVALID COMPANY ID</v>
      </c>
      <c r="AN447" s="9" t="str">
        <f>_xll.SNL.Clients.Office.Excel.Functions.SPG(AK447, "SP_COUNTRY_NAME")</f>
        <v>#INVALID COMPANY ID</v>
      </c>
      <c r="AS447" s="9" t="str">
        <f>_xll.SNL.Clients.Office.Excel.Functions.SPG(AP447, "SP_COUNTRY_NAME")</f>
        <v>#INVALID COMPANY ID</v>
      </c>
      <c r="AX447" s="9" t="str">
        <f>_xll.SNL.Clients.Office.Excel.Functions.SPG(AU447, "SP_COUNTRY_NAME")</f>
        <v>#INVALID COMPANY ID</v>
      </c>
      <c r="BC447" s="9" t="str">
        <f>_xll.SNL.Clients.Office.Excel.Functions.SPG(AZ447, "SP_COUNTRY_NAME")</f>
        <v>#INVALID COMPANY ID</v>
      </c>
      <c r="BD447" t="s">
        <v>1202</v>
      </c>
      <c r="BE447">
        <v>5850609</v>
      </c>
      <c r="BF447" t="s">
        <v>346</v>
      </c>
      <c r="BG447" s="11">
        <v>0</v>
      </c>
      <c r="BH447" s="9" t="str">
        <f>_xll.SNL.Clients.Office.Excel.Functions.SPG(BE447, "SP_COUNTRY_NAME")</f>
        <v>Germany</v>
      </c>
      <c r="BM447" s="9" t="str">
        <f>_xll.SNL.Clients.Office.Excel.Functions.SPG(BJ447, "SP_COUNTRY_NAME")</f>
        <v>#INVALID COMPANY ID</v>
      </c>
      <c r="BR447" s="9" t="str">
        <f>_xll.SNL.Clients.Office.Excel.Functions.SPG(BO447, "SP_COUNTRY_NAME")</f>
        <v>#INVALID COMPANY ID</v>
      </c>
      <c r="BS447" t="s">
        <v>1078</v>
      </c>
      <c r="BT447">
        <v>9868264</v>
      </c>
      <c r="BU447" t="s">
        <v>346</v>
      </c>
      <c r="BV447" s="11">
        <v>0</v>
      </c>
      <c r="BW447" s="9" t="str">
        <f>_xll.SNL.Clients.Office.Excel.Functions.SPG(BT447, "SP_COUNTRY_NAME")</f>
        <v>Germany</v>
      </c>
      <c r="CB447" s="9" t="str">
        <f>_xll.SNL.Clients.Office.Excel.Functions.SPG(BY447, "SP_COUNTRY_NAME")</f>
        <v>#INVALID COMPANY ID</v>
      </c>
      <c r="CC447" t="s">
        <v>1864</v>
      </c>
      <c r="CD447">
        <v>15092837</v>
      </c>
      <c r="CE447" t="s">
        <v>346</v>
      </c>
      <c r="CF447" s="11">
        <v>0</v>
      </c>
      <c r="CG447" s="9" t="str">
        <f>_xll.SNL.Clients.Office.Excel.Functions.SPG(CD447, "SP_COUNTRY_NAME")</f>
        <v>USA</v>
      </c>
      <c r="CL447" s="9" t="str">
        <f>_xll.SNL.Clients.Office.Excel.Functions.SPG(CI447, "SP_COUNTRY_NAME")</f>
        <v>#INVALID COMPANY ID</v>
      </c>
      <c r="CM447" t="s">
        <v>2087</v>
      </c>
      <c r="CN447">
        <v>4028556</v>
      </c>
      <c r="CO447" t="s">
        <v>346</v>
      </c>
      <c r="CP447" s="11">
        <v>0</v>
      </c>
      <c r="CQ447" s="9" t="str">
        <f>_xll.SNL.Clients.Office.Excel.Functions.SPG(CN447, "SP_COUNTRY_NAME")</f>
        <v>USA</v>
      </c>
      <c r="CV447" s="9" t="str">
        <f>_xll.SNL.Clients.Office.Excel.Functions.SPG(CS447, "SP_COUNTRY_NAME")</f>
        <v>#INVALID COMPANY ID</v>
      </c>
      <c r="DA447" s="9" t="str">
        <f>_xll.SNL.Clients.Office.Excel.Functions.SPG(CX447, "SP_COUNTRY_NAME")</f>
        <v>#INVALID COMPANY ID</v>
      </c>
      <c r="DB447" t="s">
        <v>1202</v>
      </c>
      <c r="DC447">
        <v>5850609</v>
      </c>
      <c r="DD447" t="s">
        <v>346</v>
      </c>
      <c r="DE447" s="11">
        <v>0</v>
      </c>
      <c r="DF447" s="9" t="str">
        <f>_xll.SNL.Clients.Office.Excel.Functions.SPG(DC447, "SP_COUNTRY_NAME")</f>
        <v>Germany</v>
      </c>
      <c r="DK447" s="9" t="str">
        <f>_xll.SNL.Clients.Office.Excel.Functions.SPG(DH447, "SP_COUNTRY_NAME")</f>
        <v>#INVALID COMPANY ID</v>
      </c>
      <c r="DL447" t="s">
        <v>1202</v>
      </c>
      <c r="DM447">
        <v>5850609</v>
      </c>
      <c r="DN447" t="s">
        <v>346</v>
      </c>
      <c r="DO447" s="11">
        <v>0</v>
      </c>
      <c r="DP447" s="9" t="str">
        <f>_xll.SNL.Clients.Office.Excel.Functions.SPG(DM447, "SP_COUNTRY_NAME")</f>
        <v>Germany</v>
      </c>
      <c r="DU447" s="9" t="str">
        <f>_xll.SNL.Clients.Office.Excel.Functions.SPG(DR447, "SP_COUNTRY_NAME")</f>
        <v>#INVALID COMPANY ID</v>
      </c>
      <c r="DZ447" s="9" t="str">
        <f>_xll.SNL.Clients.Office.Excel.Functions.SPG(DW447, "SP_COUNTRY_NAME")</f>
        <v>#INVALID COMPANY ID</v>
      </c>
      <c r="EA447" t="s">
        <v>1864</v>
      </c>
      <c r="EB447">
        <v>15092837</v>
      </c>
      <c r="EC447" t="s">
        <v>346</v>
      </c>
      <c r="ED447" s="11">
        <v>0</v>
      </c>
      <c r="EE447" s="9" t="str">
        <f>_xll.SNL.Clients.Office.Excel.Functions.SPG(EB447, "SP_COUNTRY_NAME")</f>
        <v>USA</v>
      </c>
      <c r="EF447" t="s">
        <v>1202</v>
      </c>
      <c r="EG447">
        <v>5850609</v>
      </c>
      <c r="EH447" t="s">
        <v>346</v>
      </c>
      <c r="EI447" s="11">
        <v>0</v>
      </c>
      <c r="EJ447" s="9" t="str">
        <f>_xll.SNL.Clients.Office.Excel.Functions.SPG(EG447, "SP_COUNTRY_NAME")</f>
        <v>Germany</v>
      </c>
      <c r="EO447" s="9" t="str">
        <f>_xll.SNL.Clients.Office.Excel.Functions.SPG(EL447, "SP_COUNTRY_NAME")</f>
        <v>#INVALID COMPANY ID</v>
      </c>
      <c r="ET447" s="9" t="str">
        <f>_xll.SNL.Clients.Office.Excel.Functions.SPG(EQ447, "SP_COUNTRY_NAME")</f>
        <v>#INVALID COMPANY ID</v>
      </c>
      <c r="EY447" s="9" t="str">
        <f>_xll.SNL.Clients.Office.Excel.Functions.SPG(EV447, "SP_COUNTRY_NAME")</f>
        <v>#INVALID COMPANY ID</v>
      </c>
      <c r="FD447" s="9" t="str">
        <f>_xll.SNL.Clients.Office.Excel.Functions.SPG(FA447, "SP_COUNTRY_NAME")</f>
        <v>#INVALID COMPANY ID</v>
      </c>
      <c r="FI447" s="9" t="str">
        <f>_xll.SNL.Clients.Office.Excel.Functions.SPG(FF447, "SP_COUNTRY_NAME")</f>
        <v>#INVALID COMPANY ID</v>
      </c>
      <c r="FN447" s="9" t="str">
        <f>_xll.SNL.Clients.Office.Excel.Functions.SPG(FK447, "SP_COUNTRY_NAME")</f>
        <v>#INVALID COMPANY ID</v>
      </c>
      <c r="FS447" s="9" t="str">
        <f>_xll.SNL.Clients.Office.Excel.Functions.SPG(FP447, "SP_COUNTRY_NAME")</f>
        <v>#INVALID COMPANY ID</v>
      </c>
      <c r="FX447" s="9" t="str">
        <f>_xll.SNL.Clients.Office.Excel.Functions.SPG(FU447, "SP_COUNTRY_NAME")</f>
        <v>#INVALID COMPANY ID</v>
      </c>
      <c r="FY447" t="s">
        <v>1202</v>
      </c>
      <c r="FZ447">
        <v>5850609</v>
      </c>
      <c r="GA447" t="s">
        <v>346</v>
      </c>
      <c r="GB447" s="11">
        <v>0</v>
      </c>
      <c r="GC447" s="9" t="str">
        <f>_xll.SNL.Clients.Office.Excel.Functions.SPG(FZ447, "SP_COUNTRY_NAME")</f>
        <v>Germany</v>
      </c>
      <c r="GH447" s="9" t="str">
        <f>_xll.SNL.Clients.Office.Excel.Functions.SPG(GE447, "SP_COUNTRY_NAME")</f>
        <v>#INVALID COMPANY ID</v>
      </c>
      <c r="GM447" s="9" t="str">
        <f>_xll.SNL.Clients.Office.Excel.Functions.SPG(GJ447, "SP_COUNTRY_NAME")</f>
        <v>#INVALID COMPANY ID</v>
      </c>
      <c r="GR447" s="9" t="str">
        <f>_xll.SNL.Clients.Office.Excel.Functions.SPG(GO447, "SP_COUNTRY_NAME")</f>
        <v>#INVALID COMPANY ID</v>
      </c>
      <c r="GW447" s="9" t="str">
        <f>_xll.SNL.Clients.Office.Excel.Functions.SPG(GT447, "SP_COUNTRY_NAME")</f>
        <v>#INVALID COMPANY ID</v>
      </c>
      <c r="GX447" t="s">
        <v>1864</v>
      </c>
      <c r="GY447">
        <v>15092837</v>
      </c>
      <c r="GZ447" t="s">
        <v>346</v>
      </c>
      <c r="HA447" s="11">
        <v>0</v>
      </c>
      <c r="HB447" s="9" t="str">
        <f>_xll.SNL.Clients.Office.Excel.Functions.SPG(GY447, "SP_COUNTRY_NAME")</f>
        <v>USA</v>
      </c>
      <c r="HG447" s="9" t="str">
        <f>_xll.SNL.Clients.Office.Excel.Functions.SPG(HD447, "SP_COUNTRY_NAME")</f>
        <v>#INVALID COMPANY ID</v>
      </c>
    </row>
    <row r="448" spans="5:215" x14ac:dyDescent="0.35">
      <c r="E448" s="9" t="str">
        <f>_xll.SNL.Clients.Office.Excel.Functions.SPG(B448, "SP_COUNTRY_NAME")</f>
        <v>#INVALID COMPANY ID</v>
      </c>
      <c r="J448" s="9" t="str">
        <f>_xll.SNL.Clients.Office.Excel.Functions.SPG(G448, "SP_COUNTRY_NAME")</f>
        <v>#INVALID COMPANY ID</v>
      </c>
      <c r="O448" s="9" t="str">
        <f>_xll.SNL.Clients.Office.Excel.Functions.SPG(L448, "SP_COUNTRY_NAME")</f>
        <v>#INVALID COMPANY ID</v>
      </c>
      <c r="T448" s="9" t="str">
        <f>_xll.SNL.Clients.Office.Excel.Functions.SPG(Q448, "SP_COUNTRY_NAME")</f>
        <v>#INVALID COMPANY ID</v>
      </c>
      <c r="Y448" s="9" t="str">
        <f>_xll.SNL.Clients.Office.Excel.Functions.SPG(V448, "SP_COUNTRY_NAME")</f>
        <v>#INVALID COMPANY ID</v>
      </c>
      <c r="AD448" s="9" t="str">
        <f>_xll.SNL.Clients.Office.Excel.Functions.SPG(AA448, "SP_COUNTRY_NAME")</f>
        <v>#INVALID COMPANY ID</v>
      </c>
      <c r="AI448" s="9" t="str">
        <f>_xll.SNL.Clients.Office.Excel.Functions.SPG(AF448, "SP_COUNTRY_NAME")</f>
        <v>#INVALID COMPANY ID</v>
      </c>
      <c r="AN448" s="9" t="str">
        <f>_xll.SNL.Clients.Office.Excel.Functions.SPG(AK448, "SP_COUNTRY_NAME")</f>
        <v>#INVALID COMPANY ID</v>
      </c>
      <c r="AS448" s="9" t="str">
        <f>_xll.SNL.Clients.Office.Excel.Functions.SPG(AP448, "SP_COUNTRY_NAME")</f>
        <v>#INVALID COMPANY ID</v>
      </c>
      <c r="AX448" s="9" t="str">
        <f>_xll.SNL.Clients.Office.Excel.Functions.SPG(AU448, "SP_COUNTRY_NAME")</f>
        <v>#INVALID COMPANY ID</v>
      </c>
      <c r="BC448" s="9" t="str">
        <f>_xll.SNL.Clients.Office.Excel.Functions.SPG(AZ448, "SP_COUNTRY_NAME")</f>
        <v>#INVALID COMPANY ID</v>
      </c>
      <c r="BD448" t="s">
        <v>1532</v>
      </c>
      <c r="BE448">
        <v>4145301</v>
      </c>
      <c r="BF448" t="s">
        <v>346</v>
      </c>
      <c r="BG448" s="11">
        <v>0</v>
      </c>
      <c r="BH448" s="9" t="str">
        <f>_xll.SNL.Clients.Office.Excel.Functions.SPG(BE448, "SP_COUNTRY_NAME")</f>
        <v>Italy</v>
      </c>
      <c r="BM448" s="9" t="str">
        <f>_xll.SNL.Clients.Office.Excel.Functions.SPG(BJ448, "SP_COUNTRY_NAME")</f>
        <v>#INVALID COMPANY ID</v>
      </c>
      <c r="BR448" s="9" t="str">
        <f>_xll.SNL.Clients.Office.Excel.Functions.SPG(BO448, "SP_COUNTRY_NAME")</f>
        <v>#INVALID COMPANY ID</v>
      </c>
      <c r="BS448" t="s">
        <v>542</v>
      </c>
      <c r="BT448">
        <v>4001519</v>
      </c>
      <c r="BU448" t="s">
        <v>346</v>
      </c>
      <c r="BV448" s="11">
        <v>0</v>
      </c>
      <c r="BW448" s="9" t="str">
        <f>_xll.SNL.Clients.Office.Excel.Functions.SPG(BT448, "SP_COUNTRY_NAME")</f>
        <v>USA</v>
      </c>
      <c r="CB448" s="9" t="str">
        <f>_xll.SNL.Clients.Office.Excel.Functions.SPG(BY448, "SP_COUNTRY_NAME")</f>
        <v>#INVALID COMPANY ID</v>
      </c>
      <c r="CC448" t="s">
        <v>1865</v>
      </c>
      <c r="CD448">
        <v>4291343</v>
      </c>
      <c r="CE448" t="s">
        <v>346</v>
      </c>
      <c r="CF448" s="11">
        <v>0</v>
      </c>
      <c r="CG448" s="9" t="str">
        <f>_xll.SNL.Clients.Office.Excel.Functions.SPG(CD448, "SP_COUNTRY_NAME")</f>
        <v>Brazil</v>
      </c>
      <c r="CL448" s="9" t="str">
        <f>_xll.SNL.Clients.Office.Excel.Functions.SPG(CI448, "SP_COUNTRY_NAME")</f>
        <v>#INVALID COMPANY ID</v>
      </c>
      <c r="CM448" t="s">
        <v>1379</v>
      </c>
      <c r="CN448">
        <v>20326977</v>
      </c>
      <c r="CO448" t="s">
        <v>346</v>
      </c>
      <c r="CP448" s="11">
        <v>0</v>
      </c>
      <c r="CQ448" s="9" t="str">
        <f>_xll.SNL.Clients.Office.Excel.Functions.SPG(CN448, "SP_COUNTRY_NAME")</f>
        <v>South Africa</v>
      </c>
      <c r="CV448" s="9" t="str">
        <f>_xll.SNL.Clients.Office.Excel.Functions.SPG(CS448, "SP_COUNTRY_NAME")</f>
        <v>#INVALID COMPANY ID</v>
      </c>
      <c r="DA448" s="9" t="str">
        <f>_xll.SNL.Clients.Office.Excel.Functions.SPG(CX448, "SP_COUNTRY_NAME")</f>
        <v>#INVALID COMPANY ID</v>
      </c>
      <c r="DB448" t="s">
        <v>1532</v>
      </c>
      <c r="DC448">
        <v>4145301</v>
      </c>
      <c r="DD448" t="s">
        <v>346</v>
      </c>
      <c r="DE448" s="11">
        <v>0</v>
      </c>
      <c r="DF448" s="9" t="str">
        <f>_xll.SNL.Clients.Office.Excel.Functions.SPG(DC448, "SP_COUNTRY_NAME")</f>
        <v>Italy</v>
      </c>
      <c r="DK448" s="9" t="str">
        <f>_xll.SNL.Clients.Office.Excel.Functions.SPG(DH448, "SP_COUNTRY_NAME")</f>
        <v>#INVALID COMPANY ID</v>
      </c>
      <c r="DL448" t="s">
        <v>1532</v>
      </c>
      <c r="DM448">
        <v>4145301</v>
      </c>
      <c r="DN448" t="s">
        <v>346</v>
      </c>
      <c r="DO448" s="11">
        <v>0</v>
      </c>
      <c r="DP448" s="9" t="str">
        <f>_xll.SNL.Clients.Office.Excel.Functions.SPG(DM448, "SP_COUNTRY_NAME")</f>
        <v>Italy</v>
      </c>
      <c r="DU448" s="9" t="str">
        <f>_xll.SNL.Clients.Office.Excel.Functions.SPG(DR448, "SP_COUNTRY_NAME")</f>
        <v>#INVALID COMPANY ID</v>
      </c>
      <c r="DZ448" s="9" t="str">
        <f>_xll.SNL.Clients.Office.Excel.Functions.SPG(DW448, "SP_COUNTRY_NAME")</f>
        <v>#INVALID COMPANY ID</v>
      </c>
      <c r="EA448" t="s">
        <v>1865</v>
      </c>
      <c r="EB448">
        <v>4291343</v>
      </c>
      <c r="EC448" t="s">
        <v>346</v>
      </c>
      <c r="ED448" s="11">
        <v>0</v>
      </c>
      <c r="EE448" s="9" t="str">
        <f>_xll.SNL.Clients.Office.Excel.Functions.SPG(EB448, "SP_COUNTRY_NAME")</f>
        <v>Brazil</v>
      </c>
      <c r="EF448" t="s">
        <v>1532</v>
      </c>
      <c r="EG448">
        <v>4145301</v>
      </c>
      <c r="EH448" t="s">
        <v>346</v>
      </c>
      <c r="EI448" s="11">
        <v>0</v>
      </c>
      <c r="EJ448" s="9" t="str">
        <f>_xll.SNL.Clients.Office.Excel.Functions.SPG(EG448, "SP_COUNTRY_NAME")</f>
        <v>Italy</v>
      </c>
      <c r="EO448" s="9" t="str">
        <f>_xll.SNL.Clients.Office.Excel.Functions.SPG(EL448, "SP_COUNTRY_NAME")</f>
        <v>#INVALID COMPANY ID</v>
      </c>
      <c r="ET448" s="9" t="str">
        <f>_xll.SNL.Clients.Office.Excel.Functions.SPG(EQ448, "SP_COUNTRY_NAME")</f>
        <v>#INVALID COMPANY ID</v>
      </c>
      <c r="EY448" s="9" t="str">
        <f>_xll.SNL.Clients.Office.Excel.Functions.SPG(EV448, "SP_COUNTRY_NAME")</f>
        <v>#INVALID COMPANY ID</v>
      </c>
      <c r="FD448" s="9" t="str">
        <f>_xll.SNL.Clients.Office.Excel.Functions.SPG(FA448, "SP_COUNTRY_NAME")</f>
        <v>#INVALID COMPANY ID</v>
      </c>
      <c r="FI448" s="9" t="str">
        <f>_xll.SNL.Clients.Office.Excel.Functions.SPG(FF448, "SP_COUNTRY_NAME")</f>
        <v>#INVALID COMPANY ID</v>
      </c>
      <c r="FN448" s="9" t="str">
        <f>_xll.SNL.Clients.Office.Excel.Functions.SPG(FK448, "SP_COUNTRY_NAME")</f>
        <v>#INVALID COMPANY ID</v>
      </c>
      <c r="FS448" s="9" t="str">
        <f>_xll.SNL.Clients.Office.Excel.Functions.SPG(FP448, "SP_COUNTRY_NAME")</f>
        <v>#INVALID COMPANY ID</v>
      </c>
      <c r="FX448" s="9" t="str">
        <f>_xll.SNL.Clients.Office.Excel.Functions.SPG(FU448, "SP_COUNTRY_NAME")</f>
        <v>#INVALID COMPANY ID</v>
      </c>
      <c r="FY448" t="s">
        <v>1532</v>
      </c>
      <c r="FZ448">
        <v>4145301</v>
      </c>
      <c r="GA448" t="s">
        <v>346</v>
      </c>
      <c r="GB448" s="11">
        <v>0</v>
      </c>
      <c r="GC448" s="9" t="str">
        <f>_xll.SNL.Clients.Office.Excel.Functions.SPG(FZ448, "SP_COUNTRY_NAME")</f>
        <v>Italy</v>
      </c>
      <c r="GH448" s="9" t="str">
        <f>_xll.SNL.Clients.Office.Excel.Functions.SPG(GE448, "SP_COUNTRY_NAME")</f>
        <v>#INVALID COMPANY ID</v>
      </c>
      <c r="GM448" s="9" t="str">
        <f>_xll.SNL.Clients.Office.Excel.Functions.SPG(GJ448, "SP_COUNTRY_NAME")</f>
        <v>#INVALID COMPANY ID</v>
      </c>
      <c r="GR448" s="9" t="str">
        <f>_xll.SNL.Clients.Office.Excel.Functions.SPG(GO448, "SP_COUNTRY_NAME")</f>
        <v>#INVALID COMPANY ID</v>
      </c>
      <c r="GW448" s="9" t="str">
        <f>_xll.SNL.Clients.Office.Excel.Functions.SPG(GT448, "SP_COUNTRY_NAME")</f>
        <v>#INVALID COMPANY ID</v>
      </c>
      <c r="GX448" t="s">
        <v>1865</v>
      </c>
      <c r="GY448">
        <v>4291343</v>
      </c>
      <c r="GZ448" t="s">
        <v>346</v>
      </c>
      <c r="HA448" s="11">
        <v>0</v>
      </c>
      <c r="HB448" s="9" t="str">
        <f>_xll.SNL.Clients.Office.Excel.Functions.SPG(GY448, "SP_COUNTRY_NAME")</f>
        <v>Brazil</v>
      </c>
      <c r="HG448" s="9" t="str">
        <f>_xll.SNL.Clients.Office.Excel.Functions.SPG(HD448, "SP_COUNTRY_NAME")</f>
        <v>#INVALID COMPANY ID</v>
      </c>
    </row>
    <row r="449" spans="5:215" x14ac:dyDescent="0.35">
      <c r="E449" s="9" t="str">
        <f>_xll.SNL.Clients.Office.Excel.Functions.SPG(B449, "SP_COUNTRY_NAME")</f>
        <v>#INVALID COMPANY ID</v>
      </c>
      <c r="J449" s="9" t="str">
        <f>_xll.SNL.Clients.Office.Excel.Functions.SPG(G449, "SP_COUNTRY_NAME")</f>
        <v>#INVALID COMPANY ID</v>
      </c>
      <c r="O449" s="9" t="str">
        <f>_xll.SNL.Clients.Office.Excel.Functions.SPG(L449, "SP_COUNTRY_NAME")</f>
        <v>#INVALID COMPANY ID</v>
      </c>
      <c r="T449" s="9" t="str">
        <f>_xll.SNL.Clients.Office.Excel.Functions.SPG(Q449, "SP_COUNTRY_NAME")</f>
        <v>#INVALID COMPANY ID</v>
      </c>
      <c r="Y449" s="9" t="str">
        <f>_xll.SNL.Clients.Office.Excel.Functions.SPG(V449, "SP_COUNTRY_NAME")</f>
        <v>#INVALID COMPANY ID</v>
      </c>
      <c r="AD449" s="9" t="str">
        <f>_xll.SNL.Clients.Office.Excel.Functions.SPG(AA449, "SP_COUNTRY_NAME")</f>
        <v>#INVALID COMPANY ID</v>
      </c>
      <c r="AI449" s="9" t="str">
        <f>_xll.SNL.Clients.Office.Excel.Functions.SPG(AF449, "SP_COUNTRY_NAME")</f>
        <v>#INVALID COMPANY ID</v>
      </c>
      <c r="AN449" s="9" t="str">
        <f>_xll.SNL.Clients.Office.Excel.Functions.SPG(AK449, "SP_COUNTRY_NAME")</f>
        <v>#INVALID COMPANY ID</v>
      </c>
      <c r="AS449" s="9" t="str">
        <f>_xll.SNL.Clients.Office.Excel.Functions.SPG(AP449, "SP_COUNTRY_NAME")</f>
        <v>#INVALID COMPANY ID</v>
      </c>
      <c r="AX449" s="9" t="str">
        <f>_xll.SNL.Clients.Office.Excel.Functions.SPG(AU449, "SP_COUNTRY_NAME")</f>
        <v>#INVALID COMPANY ID</v>
      </c>
      <c r="BC449" s="9" t="str">
        <f>_xll.SNL.Clients.Office.Excel.Functions.SPG(AZ449, "SP_COUNTRY_NAME")</f>
        <v>#INVALID COMPANY ID</v>
      </c>
      <c r="BD449" t="s">
        <v>862</v>
      </c>
      <c r="BE449">
        <v>4278931</v>
      </c>
      <c r="BF449" t="s">
        <v>346</v>
      </c>
      <c r="BG449" s="11">
        <v>0</v>
      </c>
      <c r="BH449" s="9" t="str">
        <f>_xll.SNL.Clients.Office.Excel.Functions.SPG(BE449, "SP_COUNTRY_NAME")</f>
        <v>Taiwan</v>
      </c>
      <c r="BM449" s="9" t="str">
        <f>_xll.SNL.Clients.Office.Excel.Functions.SPG(BJ449, "SP_COUNTRY_NAME")</f>
        <v>#INVALID COMPANY ID</v>
      </c>
      <c r="BR449" s="9" t="str">
        <f>_xll.SNL.Clients.Office.Excel.Functions.SPG(BO449, "SP_COUNTRY_NAME")</f>
        <v>#INVALID COMPANY ID</v>
      </c>
      <c r="BS449" t="s">
        <v>1079</v>
      </c>
      <c r="BT449">
        <v>100435035</v>
      </c>
      <c r="BU449" t="s">
        <v>346</v>
      </c>
      <c r="BV449" s="11">
        <v>0</v>
      </c>
      <c r="BW449" s="9" t="str">
        <f>_xll.SNL.Clients.Office.Excel.Functions.SPG(BT449, "SP_COUNTRY_NAME")</f>
        <v>Switzerland</v>
      </c>
      <c r="CB449" s="9" t="str">
        <f>_xll.SNL.Clients.Office.Excel.Functions.SPG(BY449, "SP_COUNTRY_NAME")</f>
        <v>#INVALID COMPANY ID</v>
      </c>
      <c r="CC449" t="s">
        <v>1866</v>
      </c>
      <c r="CD449">
        <v>29317231</v>
      </c>
      <c r="CE449" t="s">
        <v>346</v>
      </c>
      <c r="CF449" s="11">
        <v>0</v>
      </c>
      <c r="CG449" s="9" t="str">
        <f>_xll.SNL.Clients.Office.Excel.Functions.SPG(CD449, "SP_COUNTRY_NAME")</f>
        <v>Brazil</v>
      </c>
      <c r="CL449" s="9" t="str">
        <f>_xll.SNL.Clients.Office.Excel.Functions.SPG(CI449, "SP_COUNTRY_NAME")</f>
        <v>#INVALID COMPANY ID</v>
      </c>
      <c r="CM449" t="s">
        <v>1380</v>
      </c>
      <c r="CN449">
        <v>20326927</v>
      </c>
      <c r="CO449" t="s">
        <v>346</v>
      </c>
      <c r="CP449" s="11">
        <v>0</v>
      </c>
      <c r="CQ449" s="9" t="str">
        <f>_xll.SNL.Clients.Office.Excel.Functions.SPG(CN449, "SP_COUNTRY_NAME")</f>
        <v>South Africa</v>
      </c>
      <c r="CV449" s="9" t="str">
        <f>_xll.SNL.Clients.Office.Excel.Functions.SPG(CS449, "SP_COUNTRY_NAME")</f>
        <v>#INVALID COMPANY ID</v>
      </c>
      <c r="DA449" s="9" t="str">
        <f>_xll.SNL.Clients.Office.Excel.Functions.SPG(CX449, "SP_COUNTRY_NAME")</f>
        <v>#INVALID COMPANY ID</v>
      </c>
      <c r="DB449" t="s">
        <v>862</v>
      </c>
      <c r="DC449">
        <v>4278931</v>
      </c>
      <c r="DD449" t="s">
        <v>346</v>
      </c>
      <c r="DE449" s="11">
        <v>0</v>
      </c>
      <c r="DF449" s="9" t="str">
        <f>_xll.SNL.Clients.Office.Excel.Functions.SPG(DC449, "SP_COUNTRY_NAME")</f>
        <v>Taiwan</v>
      </c>
      <c r="DK449" s="9" t="str">
        <f>_xll.SNL.Clients.Office.Excel.Functions.SPG(DH449, "SP_COUNTRY_NAME")</f>
        <v>#INVALID COMPANY ID</v>
      </c>
      <c r="DL449" t="s">
        <v>862</v>
      </c>
      <c r="DM449">
        <v>4278931</v>
      </c>
      <c r="DN449" t="s">
        <v>346</v>
      </c>
      <c r="DO449" s="11">
        <v>0</v>
      </c>
      <c r="DP449" s="9" t="str">
        <f>_xll.SNL.Clients.Office.Excel.Functions.SPG(DM449, "SP_COUNTRY_NAME")</f>
        <v>Taiwan</v>
      </c>
      <c r="DU449" s="9" t="str">
        <f>_xll.SNL.Clients.Office.Excel.Functions.SPG(DR449, "SP_COUNTRY_NAME")</f>
        <v>#INVALID COMPANY ID</v>
      </c>
      <c r="DZ449" s="9" t="str">
        <f>_xll.SNL.Clients.Office.Excel.Functions.SPG(DW449, "SP_COUNTRY_NAME")</f>
        <v>#INVALID COMPANY ID</v>
      </c>
      <c r="EA449" t="s">
        <v>1866</v>
      </c>
      <c r="EB449">
        <v>29317231</v>
      </c>
      <c r="EC449" t="s">
        <v>346</v>
      </c>
      <c r="ED449" s="11">
        <v>0</v>
      </c>
      <c r="EE449" s="9" t="str">
        <f>_xll.SNL.Clients.Office.Excel.Functions.SPG(EB449, "SP_COUNTRY_NAME")</f>
        <v>Brazil</v>
      </c>
      <c r="EF449" t="s">
        <v>862</v>
      </c>
      <c r="EG449">
        <v>4278931</v>
      </c>
      <c r="EH449" t="s">
        <v>346</v>
      </c>
      <c r="EI449" s="11">
        <v>0</v>
      </c>
      <c r="EJ449" s="9" t="str">
        <f>_xll.SNL.Clients.Office.Excel.Functions.SPG(EG449, "SP_COUNTRY_NAME")</f>
        <v>Taiwan</v>
      </c>
      <c r="EO449" s="9" t="str">
        <f>_xll.SNL.Clients.Office.Excel.Functions.SPG(EL449, "SP_COUNTRY_NAME")</f>
        <v>#INVALID COMPANY ID</v>
      </c>
      <c r="ET449" s="9" t="str">
        <f>_xll.SNL.Clients.Office.Excel.Functions.SPG(EQ449, "SP_COUNTRY_NAME")</f>
        <v>#INVALID COMPANY ID</v>
      </c>
      <c r="EY449" s="9" t="str">
        <f>_xll.SNL.Clients.Office.Excel.Functions.SPG(EV449, "SP_COUNTRY_NAME")</f>
        <v>#INVALID COMPANY ID</v>
      </c>
      <c r="FD449" s="9" t="str">
        <f>_xll.SNL.Clients.Office.Excel.Functions.SPG(FA449, "SP_COUNTRY_NAME")</f>
        <v>#INVALID COMPANY ID</v>
      </c>
      <c r="FI449" s="9" t="str">
        <f>_xll.SNL.Clients.Office.Excel.Functions.SPG(FF449, "SP_COUNTRY_NAME")</f>
        <v>#INVALID COMPANY ID</v>
      </c>
      <c r="FN449" s="9" t="str">
        <f>_xll.SNL.Clients.Office.Excel.Functions.SPG(FK449, "SP_COUNTRY_NAME")</f>
        <v>#INVALID COMPANY ID</v>
      </c>
      <c r="FS449" s="9" t="str">
        <f>_xll.SNL.Clients.Office.Excel.Functions.SPG(FP449, "SP_COUNTRY_NAME")</f>
        <v>#INVALID COMPANY ID</v>
      </c>
      <c r="FX449" s="9" t="str">
        <f>_xll.SNL.Clients.Office.Excel.Functions.SPG(FU449, "SP_COUNTRY_NAME")</f>
        <v>#INVALID COMPANY ID</v>
      </c>
      <c r="FY449" t="s">
        <v>862</v>
      </c>
      <c r="FZ449">
        <v>4278931</v>
      </c>
      <c r="GA449" t="s">
        <v>346</v>
      </c>
      <c r="GB449" s="11">
        <v>0</v>
      </c>
      <c r="GC449" s="9" t="str">
        <f>_xll.SNL.Clients.Office.Excel.Functions.SPG(FZ449, "SP_COUNTRY_NAME")</f>
        <v>Taiwan</v>
      </c>
      <c r="GH449" s="9" t="str">
        <f>_xll.SNL.Clients.Office.Excel.Functions.SPG(GE449, "SP_COUNTRY_NAME")</f>
        <v>#INVALID COMPANY ID</v>
      </c>
      <c r="GM449" s="9" t="str">
        <f>_xll.SNL.Clients.Office.Excel.Functions.SPG(GJ449, "SP_COUNTRY_NAME")</f>
        <v>#INVALID COMPANY ID</v>
      </c>
      <c r="GR449" s="9" t="str">
        <f>_xll.SNL.Clients.Office.Excel.Functions.SPG(GO449, "SP_COUNTRY_NAME")</f>
        <v>#INVALID COMPANY ID</v>
      </c>
      <c r="GW449" s="9" t="str">
        <f>_xll.SNL.Clients.Office.Excel.Functions.SPG(GT449, "SP_COUNTRY_NAME")</f>
        <v>#INVALID COMPANY ID</v>
      </c>
      <c r="GX449" t="s">
        <v>1866</v>
      </c>
      <c r="GY449">
        <v>29317231</v>
      </c>
      <c r="GZ449" t="s">
        <v>346</v>
      </c>
      <c r="HA449" s="11">
        <v>0</v>
      </c>
      <c r="HB449" s="9" t="str">
        <f>_xll.SNL.Clients.Office.Excel.Functions.SPG(GY449, "SP_COUNTRY_NAME")</f>
        <v>Brazil</v>
      </c>
      <c r="HG449" s="9" t="str">
        <f>_xll.SNL.Clients.Office.Excel.Functions.SPG(HD449, "SP_COUNTRY_NAME")</f>
        <v>#INVALID COMPANY ID</v>
      </c>
    </row>
    <row r="450" spans="5:215" x14ac:dyDescent="0.35">
      <c r="E450" s="9" t="str">
        <f>_xll.SNL.Clients.Office.Excel.Functions.SPG(B450, "SP_COUNTRY_NAME")</f>
        <v>#INVALID COMPANY ID</v>
      </c>
      <c r="J450" s="9" t="str">
        <f>_xll.SNL.Clients.Office.Excel.Functions.SPG(G450, "SP_COUNTRY_NAME")</f>
        <v>#INVALID COMPANY ID</v>
      </c>
      <c r="O450" s="9" t="str">
        <f>_xll.SNL.Clients.Office.Excel.Functions.SPG(L450, "SP_COUNTRY_NAME")</f>
        <v>#INVALID COMPANY ID</v>
      </c>
      <c r="T450" s="9" t="str">
        <f>_xll.SNL.Clients.Office.Excel.Functions.SPG(Q450, "SP_COUNTRY_NAME")</f>
        <v>#INVALID COMPANY ID</v>
      </c>
      <c r="Y450" s="9" t="str">
        <f>_xll.SNL.Clients.Office.Excel.Functions.SPG(V450, "SP_COUNTRY_NAME")</f>
        <v>#INVALID COMPANY ID</v>
      </c>
      <c r="AD450" s="9" t="str">
        <f>_xll.SNL.Clients.Office.Excel.Functions.SPG(AA450, "SP_COUNTRY_NAME")</f>
        <v>#INVALID COMPANY ID</v>
      </c>
      <c r="AI450" s="9" t="str">
        <f>_xll.SNL.Clients.Office.Excel.Functions.SPG(AF450, "SP_COUNTRY_NAME")</f>
        <v>#INVALID COMPANY ID</v>
      </c>
      <c r="AN450" s="9" t="str">
        <f>_xll.SNL.Clients.Office.Excel.Functions.SPG(AK450, "SP_COUNTRY_NAME")</f>
        <v>#INVALID COMPANY ID</v>
      </c>
      <c r="AS450" s="9" t="str">
        <f>_xll.SNL.Clients.Office.Excel.Functions.SPG(AP450, "SP_COUNTRY_NAME")</f>
        <v>#INVALID COMPANY ID</v>
      </c>
      <c r="AX450" s="9" t="str">
        <f>_xll.SNL.Clients.Office.Excel.Functions.SPG(AU450, "SP_COUNTRY_NAME")</f>
        <v>#INVALID COMPANY ID</v>
      </c>
      <c r="BC450" s="9" t="str">
        <f>_xll.SNL.Clients.Office.Excel.Functions.SPG(AZ450, "SP_COUNTRY_NAME")</f>
        <v>#INVALID COMPANY ID</v>
      </c>
      <c r="BD450" t="s">
        <v>548</v>
      </c>
      <c r="BE450">
        <v>26480935</v>
      </c>
      <c r="BF450" t="s">
        <v>346</v>
      </c>
      <c r="BG450" s="11">
        <v>0</v>
      </c>
      <c r="BH450" s="9" t="str">
        <f>_xll.SNL.Clients.Office.Excel.Functions.SPG(BE450, "SP_COUNTRY_NAME")</f>
        <v>USA</v>
      </c>
      <c r="BM450" s="9" t="str">
        <f>_xll.SNL.Clients.Office.Excel.Functions.SPG(BJ450, "SP_COUNTRY_NAME")</f>
        <v>#INVALID COMPANY ID</v>
      </c>
      <c r="BR450" s="9" t="str">
        <f>_xll.SNL.Clients.Office.Excel.Functions.SPG(BO450, "SP_COUNTRY_NAME")</f>
        <v>#INVALID COMPANY ID</v>
      </c>
      <c r="BS450" t="s">
        <v>1080</v>
      </c>
      <c r="BT450">
        <v>4644090</v>
      </c>
      <c r="BU450" t="s">
        <v>346</v>
      </c>
      <c r="BV450" s="11">
        <v>0</v>
      </c>
      <c r="BW450" s="9" t="str">
        <f>_xll.SNL.Clients.Office.Excel.Functions.SPG(BT450, "SP_COUNTRY_NAME")</f>
        <v>Hong Kong</v>
      </c>
      <c r="CB450" s="9" t="str">
        <f>_xll.SNL.Clients.Office.Excel.Functions.SPG(BY450, "SP_COUNTRY_NAME")</f>
        <v>#INVALID COMPANY ID</v>
      </c>
      <c r="CC450" t="s">
        <v>1867</v>
      </c>
      <c r="CD450">
        <v>4419274</v>
      </c>
      <c r="CE450" t="s">
        <v>346</v>
      </c>
      <c r="CF450" s="11">
        <v>0</v>
      </c>
      <c r="CG450" s="9" t="str">
        <f>_xll.SNL.Clients.Office.Excel.Functions.SPG(CD450, "SP_COUNTRY_NAME")</f>
        <v>United Kingdom</v>
      </c>
      <c r="CL450" s="9" t="str">
        <f>_xll.SNL.Clients.Office.Excel.Functions.SPG(CI450, "SP_COUNTRY_NAME")</f>
        <v>#INVALID COMPANY ID</v>
      </c>
      <c r="CM450" t="s">
        <v>2088</v>
      </c>
      <c r="CN450">
        <v>4585350</v>
      </c>
      <c r="CO450" t="s">
        <v>346</v>
      </c>
      <c r="CP450" s="11">
        <v>0</v>
      </c>
      <c r="CQ450" s="9" t="str">
        <f>_xll.SNL.Clients.Office.Excel.Functions.SPG(CN450, "SP_COUNTRY_NAME")</f>
        <v>USA</v>
      </c>
      <c r="CV450" s="9" t="str">
        <f>_xll.SNL.Clients.Office.Excel.Functions.SPG(CS450, "SP_COUNTRY_NAME")</f>
        <v>#INVALID COMPANY ID</v>
      </c>
      <c r="DA450" s="9" t="str">
        <f>_xll.SNL.Clients.Office.Excel.Functions.SPG(CX450, "SP_COUNTRY_NAME")</f>
        <v>#INVALID COMPANY ID</v>
      </c>
      <c r="DB450" t="s">
        <v>548</v>
      </c>
      <c r="DC450">
        <v>26480935</v>
      </c>
      <c r="DD450" t="s">
        <v>346</v>
      </c>
      <c r="DE450" s="11">
        <v>0</v>
      </c>
      <c r="DF450" s="9" t="str">
        <f>_xll.SNL.Clients.Office.Excel.Functions.SPG(DC450, "SP_COUNTRY_NAME")</f>
        <v>USA</v>
      </c>
      <c r="DK450" s="9" t="str">
        <f>_xll.SNL.Clients.Office.Excel.Functions.SPG(DH450, "SP_COUNTRY_NAME")</f>
        <v>#INVALID COMPANY ID</v>
      </c>
      <c r="DL450" t="s">
        <v>548</v>
      </c>
      <c r="DM450">
        <v>26480935</v>
      </c>
      <c r="DN450" t="s">
        <v>346</v>
      </c>
      <c r="DO450" s="11">
        <v>0</v>
      </c>
      <c r="DP450" s="9" t="str">
        <f>_xll.SNL.Clients.Office.Excel.Functions.SPG(DM450, "SP_COUNTRY_NAME")</f>
        <v>USA</v>
      </c>
      <c r="DU450" s="9" t="str">
        <f>_xll.SNL.Clients.Office.Excel.Functions.SPG(DR450, "SP_COUNTRY_NAME")</f>
        <v>#INVALID COMPANY ID</v>
      </c>
      <c r="DZ450" s="9" t="str">
        <f>_xll.SNL.Clients.Office.Excel.Functions.SPG(DW450, "SP_COUNTRY_NAME")</f>
        <v>#INVALID COMPANY ID</v>
      </c>
      <c r="EA450" t="s">
        <v>1867</v>
      </c>
      <c r="EB450">
        <v>4419274</v>
      </c>
      <c r="EC450" t="s">
        <v>346</v>
      </c>
      <c r="ED450" s="11">
        <v>0</v>
      </c>
      <c r="EE450" s="9" t="str">
        <f>_xll.SNL.Clients.Office.Excel.Functions.SPG(EB450, "SP_COUNTRY_NAME")</f>
        <v>United Kingdom</v>
      </c>
      <c r="EF450" t="s">
        <v>548</v>
      </c>
      <c r="EG450">
        <v>26480935</v>
      </c>
      <c r="EH450" t="s">
        <v>346</v>
      </c>
      <c r="EI450" s="11">
        <v>0</v>
      </c>
      <c r="EJ450" s="9" t="str">
        <f>_xll.SNL.Clients.Office.Excel.Functions.SPG(EG450, "SP_COUNTRY_NAME")</f>
        <v>USA</v>
      </c>
      <c r="EO450" s="9" t="str">
        <f>_xll.SNL.Clients.Office.Excel.Functions.SPG(EL450, "SP_COUNTRY_NAME")</f>
        <v>#INVALID COMPANY ID</v>
      </c>
      <c r="ET450" s="9" t="str">
        <f>_xll.SNL.Clients.Office.Excel.Functions.SPG(EQ450, "SP_COUNTRY_NAME")</f>
        <v>#INVALID COMPANY ID</v>
      </c>
      <c r="EY450" s="9" t="str">
        <f>_xll.SNL.Clients.Office.Excel.Functions.SPG(EV450, "SP_COUNTRY_NAME")</f>
        <v>#INVALID COMPANY ID</v>
      </c>
      <c r="FD450" s="9" t="str">
        <f>_xll.SNL.Clients.Office.Excel.Functions.SPG(FA450, "SP_COUNTRY_NAME")</f>
        <v>#INVALID COMPANY ID</v>
      </c>
      <c r="FI450" s="9" t="str">
        <f>_xll.SNL.Clients.Office.Excel.Functions.SPG(FF450, "SP_COUNTRY_NAME")</f>
        <v>#INVALID COMPANY ID</v>
      </c>
      <c r="FN450" s="9" t="str">
        <f>_xll.SNL.Clients.Office.Excel.Functions.SPG(FK450, "SP_COUNTRY_NAME")</f>
        <v>#INVALID COMPANY ID</v>
      </c>
      <c r="FS450" s="9" t="str">
        <f>_xll.SNL.Clients.Office.Excel.Functions.SPG(FP450, "SP_COUNTRY_NAME")</f>
        <v>#INVALID COMPANY ID</v>
      </c>
      <c r="FX450" s="9" t="str">
        <f>_xll.SNL.Clients.Office.Excel.Functions.SPG(FU450, "SP_COUNTRY_NAME")</f>
        <v>#INVALID COMPANY ID</v>
      </c>
      <c r="FY450" t="s">
        <v>548</v>
      </c>
      <c r="FZ450">
        <v>26480935</v>
      </c>
      <c r="GA450" t="s">
        <v>346</v>
      </c>
      <c r="GB450" s="11">
        <v>0</v>
      </c>
      <c r="GC450" s="9" t="str">
        <f>_xll.SNL.Clients.Office.Excel.Functions.SPG(FZ450, "SP_COUNTRY_NAME")</f>
        <v>USA</v>
      </c>
      <c r="GH450" s="9" t="str">
        <f>_xll.SNL.Clients.Office.Excel.Functions.SPG(GE450, "SP_COUNTRY_NAME")</f>
        <v>#INVALID COMPANY ID</v>
      </c>
      <c r="GM450" s="9" t="str">
        <f>_xll.SNL.Clients.Office.Excel.Functions.SPG(GJ450, "SP_COUNTRY_NAME")</f>
        <v>#INVALID COMPANY ID</v>
      </c>
      <c r="GR450" s="9" t="str">
        <f>_xll.SNL.Clients.Office.Excel.Functions.SPG(GO450, "SP_COUNTRY_NAME")</f>
        <v>#INVALID COMPANY ID</v>
      </c>
      <c r="GW450" s="9" t="str">
        <f>_xll.SNL.Clients.Office.Excel.Functions.SPG(GT450, "SP_COUNTRY_NAME")</f>
        <v>#INVALID COMPANY ID</v>
      </c>
      <c r="GX450" t="s">
        <v>1867</v>
      </c>
      <c r="GY450">
        <v>4419274</v>
      </c>
      <c r="GZ450" t="s">
        <v>346</v>
      </c>
      <c r="HA450" s="11">
        <v>0</v>
      </c>
      <c r="HB450" s="9" t="str">
        <f>_xll.SNL.Clients.Office.Excel.Functions.SPG(GY450, "SP_COUNTRY_NAME")</f>
        <v>United Kingdom</v>
      </c>
      <c r="HG450" s="9" t="str">
        <f>_xll.SNL.Clients.Office.Excel.Functions.SPG(HD450, "SP_COUNTRY_NAME")</f>
        <v>#INVALID COMPANY ID</v>
      </c>
    </row>
    <row r="451" spans="5:215" x14ac:dyDescent="0.35">
      <c r="E451" s="9" t="str">
        <f>_xll.SNL.Clients.Office.Excel.Functions.SPG(B451, "SP_COUNTRY_NAME")</f>
        <v>#INVALID COMPANY ID</v>
      </c>
      <c r="J451" s="9" t="str">
        <f>_xll.SNL.Clients.Office.Excel.Functions.SPG(G451, "SP_COUNTRY_NAME")</f>
        <v>#INVALID COMPANY ID</v>
      </c>
      <c r="O451" s="9" t="str">
        <f>_xll.SNL.Clients.Office.Excel.Functions.SPG(L451, "SP_COUNTRY_NAME")</f>
        <v>#INVALID COMPANY ID</v>
      </c>
      <c r="T451" s="9" t="str">
        <f>_xll.SNL.Clients.Office.Excel.Functions.SPG(Q451, "SP_COUNTRY_NAME")</f>
        <v>#INVALID COMPANY ID</v>
      </c>
      <c r="Y451" s="9" t="str">
        <f>_xll.SNL.Clients.Office.Excel.Functions.SPG(V451, "SP_COUNTRY_NAME")</f>
        <v>#INVALID COMPANY ID</v>
      </c>
      <c r="AD451" s="9" t="str">
        <f>_xll.SNL.Clients.Office.Excel.Functions.SPG(AA451, "SP_COUNTRY_NAME")</f>
        <v>#INVALID COMPANY ID</v>
      </c>
      <c r="AI451" s="9" t="str">
        <f>_xll.SNL.Clients.Office.Excel.Functions.SPG(AF451, "SP_COUNTRY_NAME")</f>
        <v>#INVALID COMPANY ID</v>
      </c>
      <c r="AN451" s="9" t="str">
        <f>_xll.SNL.Clients.Office.Excel.Functions.SPG(AK451, "SP_COUNTRY_NAME")</f>
        <v>#INVALID COMPANY ID</v>
      </c>
      <c r="AS451" s="9" t="str">
        <f>_xll.SNL.Clients.Office.Excel.Functions.SPG(AP451, "SP_COUNTRY_NAME")</f>
        <v>#INVALID COMPANY ID</v>
      </c>
      <c r="AX451" s="9" t="str">
        <f>_xll.SNL.Clients.Office.Excel.Functions.SPG(AU451, "SP_COUNTRY_NAME")</f>
        <v>#INVALID COMPANY ID</v>
      </c>
      <c r="BC451" s="9" t="str">
        <f>_xll.SNL.Clients.Office.Excel.Functions.SPG(AZ451, "SP_COUNTRY_NAME")</f>
        <v>#INVALID COMPANY ID</v>
      </c>
      <c r="BD451" t="s">
        <v>1533</v>
      </c>
      <c r="BE451">
        <v>7944341</v>
      </c>
      <c r="BF451" t="s">
        <v>346</v>
      </c>
      <c r="BG451" s="11">
        <v>0</v>
      </c>
      <c r="BH451" s="9" t="str">
        <f>_xll.SNL.Clients.Office.Excel.Functions.SPG(BE451, "SP_COUNTRY_NAME")</f>
        <v>South Africa</v>
      </c>
      <c r="BM451" s="9" t="str">
        <f>_xll.SNL.Clients.Office.Excel.Functions.SPG(BJ451, "SP_COUNTRY_NAME")</f>
        <v>#INVALID COMPANY ID</v>
      </c>
      <c r="BR451" s="9" t="str">
        <f>_xll.SNL.Clients.Office.Excel.Functions.SPG(BO451, "SP_COUNTRY_NAME")</f>
        <v>#INVALID COMPANY ID</v>
      </c>
      <c r="BS451" t="s">
        <v>883</v>
      </c>
      <c r="BT451">
        <v>4288829</v>
      </c>
      <c r="BU451" t="s">
        <v>364</v>
      </c>
      <c r="BV451" s="11">
        <v>0</v>
      </c>
      <c r="BW451" s="9" t="str">
        <f>_xll.SNL.Clients.Office.Excel.Functions.SPG(BT451, "SP_COUNTRY_NAME")</f>
        <v>Hong Kong</v>
      </c>
      <c r="CB451" s="9" t="str">
        <f>_xll.SNL.Clients.Office.Excel.Functions.SPG(BY451, "SP_COUNTRY_NAME")</f>
        <v>#INVALID COMPANY ID</v>
      </c>
      <c r="CC451" t="s">
        <v>1868</v>
      </c>
      <c r="CD451">
        <v>26550182</v>
      </c>
      <c r="CE451" t="s">
        <v>346</v>
      </c>
      <c r="CF451" s="11">
        <v>0</v>
      </c>
      <c r="CG451" s="9" t="str">
        <f>_xll.SNL.Clients.Office.Excel.Functions.SPG(CD451, "SP_COUNTRY_NAME")</f>
        <v>Brazil</v>
      </c>
      <c r="CL451" s="9" t="str">
        <f>_xll.SNL.Clients.Office.Excel.Functions.SPG(CI451, "SP_COUNTRY_NAME")</f>
        <v>#INVALID COMPANY ID</v>
      </c>
      <c r="CM451" t="s">
        <v>2089</v>
      </c>
      <c r="CN451">
        <v>117627498</v>
      </c>
      <c r="CO451" t="s">
        <v>276</v>
      </c>
      <c r="CP451" s="11">
        <v>0</v>
      </c>
      <c r="CQ451" s="9" t="str">
        <f>_xll.SNL.Clients.Office.Excel.Functions.SPG(CN451, "SP_COUNTRY_NAME")</f>
        <v>USA</v>
      </c>
      <c r="CV451" s="9" t="str">
        <f>_xll.SNL.Clients.Office.Excel.Functions.SPG(CS451, "SP_COUNTRY_NAME")</f>
        <v>#INVALID COMPANY ID</v>
      </c>
      <c r="DA451" s="9" t="str">
        <f>_xll.SNL.Clients.Office.Excel.Functions.SPG(CX451, "SP_COUNTRY_NAME")</f>
        <v>#INVALID COMPANY ID</v>
      </c>
      <c r="DB451" t="s">
        <v>1533</v>
      </c>
      <c r="DC451">
        <v>7944341</v>
      </c>
      <c r="DD451" t="s">
        <v>346</v>
      </c>
      <c r="DE451" s="11">
        <v>0</v>
      </c>
      <c r="DF451" s="9" t="str">
        <f>_xll.SNL.Clients.Office.Excel.Functions.SPG(DC451, "SP_COUNTRY_NAME")</f>
        <v>South Africa</v>
      </c>
      <c r="DK451" s="9" t="str">
        <f>_xll.SNL.Clients.Office.Excel.Functions.SPG(DH451, "SP_COUNTRY_NAME")</f>
        <v>#INVALID COMPANY ID</v>
      </c>
      <c r="DL451" t="s">
        <v>1533</v>
      </c>
      <c r="DM451">
        <v>7944341</v>
      </c>
      <c r="DN451" t="s">
        <v>346</v>
      </c>
      <c r="DO451" s="11">
        <v>0</v>
      </c>
      <c r="DP451" s="9" t="str">
        <f>_xll.SNL.Clients.Office.Excel.Functions.SPG(DM451, "SP_COUNTRY_NAME")</f>
        <v>South Africa</v>
      </c>
      <c r="DU451" s="9" t="str">
        <f>_xll.SNL.Clients.Office.Excel.Functions.SPG(DR451, "SP_COUNTRY_NAME")</f>
        <v>#INVALID COMPANY ID</v>
      </c>
      <c r="DZ451" s="9" t="str">
        <f>_xll.SNL.Clients.Office.Excel.Functions.SPG(DW451, "SP_COUNTRY_NAME")</f>
        <v>#INVALID COMPANY ID</v>
      </c>
      <c r="EA451" t="s">
        <v>1868</v>
      </c>
      <c r="EB451">
        <v>26550182</v>
      </c>
      <c r="EC451" t="s">
        <v>346</v>
      </c>
      <c r="ED451" s="11">
        <v>0</v>
      </c>
      <c r="EE451" s="9" t="str">
        <f>_xll.SNL.Clients.Office.Excel.Functions.SPG(EB451, "SP_COUNTRY_NAME")</f>
        <v>Brazil</v>
      </c>
      <c r="EF451" t="s">
        <v>1533</v>
      </c>
      <c r="EG451">
        <v>7944341</v>
      </c>
      <c r="EH451" t="s">
        <v>346</v>
      </c>
      <c r="EI451" s="11">
        <v>0</v>
      </c>
      <c r="EJ451" s="9" t="str">
        <f>_xll.SNL.Clients.Office.Excel.Functions.SPG(EG451, "SP_COUNTRY_NAME")</f>
        <v>South Africa</v>
      </c>
      <c r="EO451" s="9" t="str">
        <f>_xll.SNL.Clients.Office.Excel.Functions.SPG(EL451, "SP_COUNTRY_NAME")</f>
        <v>#INVALID COMPANY ID</v>
      </c>
      <c r="ET451" s="9" t="str">
        <f>_xll.SNL.Clients.Office.Excel.Functions.SPG(EQ451, "SP_COUNTRY_NAME")</f>
        <v>#INVALID COMPANY ID</v>
      </c>
      <c r="EY451" s="9" t="str">
        <f>_xll.SNL.Clients.Office.Excel.Functions.SPG(EV451, "SP_COUNTRY_NAME")</f>
        <v>#INVALID COMPANY ID</v>
      </c>
      <c r="FD451" s="9" t="str">
        <f>_xll.SNL.Clients.Office.Excel.Functions.SPG(FA451, "SP_COUNTRY_NAME")</f>
        <v>#INVALID COMPANY ID</v>
      </c>
      <c r="FI451" s="9" t="str">
        <f>_xll.SNL.Clients.Office.Excel.Functions.SPG(FF451, "SP_COUNTRY_NAME")</f>
        <v>#INVALID COMPANY ID</v>
      </c>
      <c r="FN451" s="9" t="str">
        <f>_xll.SNL.Clients.Office.Excel.Functions.SPG(FK451, "SP_COUNTRY_NAME")</f>
        <v>#INVALID COMPANY ID</v>
      </c>
      <c r="FS451" s="9" t="str">
        <f>_xll.SNL.Clients.Office.Excel.Functions.SPG(FP451, "SP_COUNTRY_NAME")</f>
        <v>#INVALID COMPANY ID</v>
      </c>
      <c r="FX451" s="9" t="str">
        <f>_xll.SNL.Clients.Office.Excel.Functions.SPG(FU451, "SP_COUNTRY_NAME")</f>
        <v>#INVALID COMPANY ID</v>
      </c>
      <c r="FY451" t="s">
        <v>1533</v>
      </c>
      <c r="FZ451">
        <v>7944341</v>
      </c>
      <c r="GA451" t="s">
        <v>346</v>
      </c>
      <c r="GB451" s="11">
        <v>0</v>
      </c>
      <c r="GC451" s="9" t="str">
        <f>_xll.SNL.Clients.Office.Excel.Functions.SPG(FZ451, "SP_COUNTRY_NAME")</f>
        <v>South Africa</v>
      </c>
      <c r="GH451" s="9" t="str">
        <f>_xll.SNL.Clients.Office.Excel.Functions.SPG(GE451, "SP_COUNTRY_NAME")</f>
        <v>#INVALID COMPANY ID</v>
      </c>
      <c r="GM451" s="9" t="str">
        <f>_xll.SNL.Clients.Office.Excel.Functions.SPG(GJ451, "SP_COUNTRY_NAME")</f>
        <v>#INVALID COMPANY ID</v>
      </c>
      <c r="GR451" s="9" t="str">
        <f>_xll.SNL.Clients.Office.Excel.Functions.SPG(GO451, "SP_COUNTRY_NAME")</f>
        <v>#INVALID COMPANY ID</v>
      </c>
      <c r="GW451" s="9" t="str">
        <f>_xll.SNL.Clients.Office.Excel.Functions.SPG(GT451, "SP_COUNTRY_NAME")</f>
        <v>#INVALID COMPANY ID</v>
      </c>
      <c r="GX451" t="s">
        <v>1868</v>
      </c>
      <c r="GY451">
        <v>26550182</v>
      </c>
      <c r="GZ451" t="s">
        <v>346</v>
      </c>
      <c r="HA451" s="11">
        <v>0</v>
      </c>
      <c r="HB451" s="9" t="str">
        <f>_xll.SNL.Clients.Office.Excel.Functions.SPG(GY451, "SP_COUNTRY_NAME")</f>
        <v>Brazil</v>
      </c>
      <c r="HG451" s="9" t="str">
        <f>_xll.SNL.Clients.Office.Excel.Functions.SPG(HD451, "SP_COUNTRY_NAME")</f>
        <v>#INVALID COMPANY ID</v>
      </c>
    </row>
    <row r="452" spans="5:215" x14ac:dyDescent="0.35">
      <c r="E452" s="9" t="str">
        <f>_xll.SNL.Clients.Office.Excel.Functions.SPG(B452, "SP_COUNTRY_NAME")</f>
        <v>#INVALID COMPANY ID</v>
      </c>
      <c r="J452" s="9" t="str">
        <f>_xll.SNL.Clients.Office.Excel.Functions.SPG(G452, "SP_COUNTRY_NAME")</f>
        <v>#INVALID COMPANY ID</v>
      </c>
      <c r="O452" s="9" t="str">
        <f>_xll.SNL.Clients.Office.Excel.Functions.SPG(L452, "SP_COUNTRY_NAME")</f>
        <v>#INVALID COMPANY ID</v>
      </c>
      <c r="T452" s="9" t="str">
        <f>_xll.SNL.Clients.Office.Excel.Functions.SPG(Q452, "SP_COUNTRY_NAME")</f>
        <v>#INVALID COMPANY ID</v>
      </c>
      <c r="Y452" s="9" t="str">
        <f>_xll.SNL.Clients.Office.Excel.Functions.SPG(V452, "SP_COUNTRY_NAME")</f>
        <v>#INVALID COMPANY ID</v>
      </c>
      <c r="AD452" s="9" t="str">
        <f>_xll.SNL.Clients.Office.Excel.Functions.SPG(AA452, "SP_COUNTRY_NAME")</f>
        <v>#INVALID COMPANY ID</v>
      </c>
      <c r="AI452" s="9" t="str">
        <f>_xll.SNL.Clients.Office.Excel.Functions.SPG(AF452, "SP_COUNTRY_NAME")</f>
        <v>#INVALID COMPANY ID</v>
      </c>
      <c r="AN452" s="9" t="str">
        <f>_xll.SNL.Clients.Office.Excel.Functions.SPG(AK452, "SP_COUNTRY_NAME")</f>
        <v>#INVALID COMPANY ID</v>
      </c>
      <c r="AS452" s="9" t="str">
        <f>_xll.SNL.Clients.Office.Excel.Functions.SPG(AP452, "SP_COUNTRY_NAME")</f>
        <v>#INVALID COMPANY ID</v>
      </c>
      <c r="AX452" s="9" t="str">
        <f>_xll.SNL.Clients.Office.Excel.Functions.SPG(AU452, "SP_COUNTRY_NAME")</f>
        <v>#INVALID COMPANY ID</v>
      </c>
      <c r="BC452" s="9" t="str">
        <f>_xll.SNL.Clients.Office.Excel.Functions.SPG(AZ452, "SP_COUNTRY_NAME")</f>
        <v>#INVALID COMPANY ID</v>
      </c>
      <c r="BD452" t="s">
        <v>1342</v>
      </c>
      <c r="BE452">
        <v>4277356</v>
      </c>
      <c r="BF452" t="s">
        <v>346</v>
      </c>
      <c r="BG452" s="11">
        <v>0</v>
      </c>
      <c r="BH452" s="9" t="str">
        <f>_xll.SNL.Clients.Office.Excel.Functions.SPG(BE452, "SP_COUNTRY_NAME")</f>
        <v>South Africa</v>
      </c>
      <c r="BM452" s="9" t="str">
        <f>_xll.SNL.Clients.Office.Excel.Functions.SPG(BJ452, "SP_COUNTRY_NAME")</f>
        <v>#INVALID COMPANY ID</v>
      </c>
      <c r="BR452" s="9" t="str">
        <f>_xll.SNL.Clients.Office.Excel.Functions.SPG(BO452, "SP_COUNTRY_NAME")</f>
        <v>#INVALID COMPANY ID</v>
      </c>
      <c r="BS452" t="s">
        <v>1081</v>
      </c>
      <c r="BT452">
        <v>13728752</v>
      </c>
      <c r="BU452" t="s">
        <v>346</v>
      </c>
      <c r="BV452" s="11">
        <v>0</v>
      </c>
      <c r="BW452" s="9" t="str">
        <f>_xll.SNL.Clients.Office.Excel.Functions.SPG(BT452, "SP_COUNTRY_NAME")</f>
        <v>United Kingdom</v>
      </c>
      <c r="CB452" s="9" t="str">
        <f>_xll.SNL.Clients.Office.Excel.Functions.SPG(BY452, "SP_COUNTRY_NAME")</f>
        <v>#INVALID COMPANY ID</v>
      </c>
      <c r="CC452" t="s">
        <v>1869</v>
      </c>
      <c r="CD452">
        <v>4286138</v>
      </c>
      <c r="CE452" t="s">
        <v>346</v>
      </c>
      <c r="CF452" s="11">
        <v>0</v>
      </c>
      <c r="CG452" s="9" t="str">
        <f>_xll.SNL.Clients.Office.Excel.Functions.SPG(CD452, "SP_COUNTRY_NAME")</f>
        <v>Chile</v>
      </c>
      <c r="CL452" s="9" t="str">
        <f>_xll.SNL.Clients.Office.Excel.Functions.SPG(CI452, "SP_COUNTRY_NAME")</f>
        <v>#INVALID COMPANY ID</v>
      </c>
      <c r="CM452" t="s">
        <v>2090</v>
      </c>
      <c r="CN452">
        <v>4556217</v>
      </c>
      <c r="CO452" t="s">
        <v>346</v>
      </c>
      <c r="CP452" s="11">
        <v>0</v>
      </c>
      <c r="CQ452" s="9" t="str">
        <f>_xll.SNL.Clients.Office.Excel.Functions.SPG(CN452, "SP_COUNTRY_NAME")</f>
        <v>USA</v>
      </c>
      <c r="CV452" s="9" t="str">
        <f>_xll.SNL.Clients.Office.Excel.Functions.SPG(CS452, "SP_COUNTRY_NAME")</f>
        <v>#INVALID COMPANY ID</v>
      </c>
      <c r="DA452" s="9" t="str">
        <f>_xll.SNL.Clients.Office.Excel.Functions.SPG(CX452, "SP_COUNTRY_NAME")</f>
        <v>#INVALID COMPANY ID</v>
      </c>
      <c r="DB452" t="s">
        <v>1342</v>
      </c>
      <c r="DC452">
        <v>4277356</v>
      </c>
      <c r="DD452" t="s">
        <v>346</v>
      </c>
      <c r="DE452" s="11">
        <v>0</v>
      </c>
      <c r="DF452" s="9" t="str">
        <f>_xll.SNL.Clients.Office.Excel.Functions.SPG(DC452, "SP_COUNTRY_NAME")</f>
        <v>South Africa</v>
      </c>
      <c r="DK452" s="9" t="str">
        <f>_xll.SNL.Clients.Office.Excel.Functions.SPG(DH452, "SP_COUNTRY_NAME")</f>
        <v>#INVALID COMPANY ID</v>
      </c>
      <c r="DL452" t="s">
        <v>1342</v>
      </c>
      <c r="DM452">
        <v>4277356</v>
      </c>
      <c r="DN452" t="s">
        <v>346</v>
      </c>
      <c r="DO452" s="11">
        <v>0</v>
      </c>
      <c r="DP452" s="9" t="str">
        <f>_xll.SNL.Clients.Office.Excel.Functions.SPG(DM452, "SP_COUNTRY_NAME")</f>
        <v>South Africa</v>
      </c>
      <c r="DU452" s="9" t="str">
        <f>_xll.SNL.Clients.Office.Excel.Functions.SPG(DR452, "SP_COUNTRY_NAME")</f>
        <v>#INVALID COMPANY ID</v>
      </c>
      <c r="DZ452" s="9" t="str">
        <f>_xll.SNL.Clients.Office.Excel.Functions.SPG(DW452, "SP_COUNTRY_NAME")</f>
        <v>#INVALID COMPANY ID</v>
      </c>
      <c r="EA452" t="s">
        <v>1869</v>
      </c>
      <c r="EB452">
        <v>4286138</v>
      </c>
      <c r="EC452" t="s">
        <v>346</v>
      </c>
      <c r="ED452" s="11">
        <v>0</v>
      </c>
      <c r="EE452" s="9" t="str">
        <f>_xll.SNL.Clients.Office.Excel.Functions.SPG(EB452, "SP_COUNTRY_NAME")</f>
        <v>Chile</v>
      </c>
      <c r="EF452" t="s">
        <v>1342</v>
      </c>
      <c r="EG452">
        <v>4277356</v>
      </c>
      <c r="EH452" t="s">
        <v>346</v>
      </c>
      <c r="EI452" s="11">
        <v>0</v>
      </c>
      <c r="EJ452" s="9" t="str">
        <f>_xll.SNL.Clients.Office.Excel.Functions.SPG(EG452, "SP_COUNTRY_NAME")</f>
        <v>South Africa</v>
      </c>
      <c r="EO452" s="9" t="str">
        <f>_xll.SNL.Clients.Office.Excel.Functions.SPG(EL452, "SP_COUNTRY_NAME")</f>
        <v>#INVALID COMPANY ID</v>
      </c>
      <c r="ET452" s="9" t="str">
        <f>_xll.SNL.Clients.Office.Excel.Functions.SPG(EQ452, "SP_COUNTRY_NAME")</f>
        <v>#INVALID COMPANY ID</v>
      </c>
      <c r="EY452" s="9" t="str">
        <f>_xll.SNL.Clients.Office.Excel.Functions.SPG(EV452, "SP_COUNTRY_NAME")</f>
        <v>#INVALID COMPANY ID</v>
      </c>
      <c r="FD452" s="9" t="str">
        <f>_xll.SNL.Clients.Office.Excel.Functions.SPG(FA452, "SP_COUNTRY_NAME")</f>
        <v>#INVALID COMPANY ID</v>
      </c>
      <c r="FI452" s="9" t="str">
        <f>_xll.SNL.Clients.Office.Excel.Functions.SPG(FF452, "SP_COUNTRY_NAME")</f>
        <v>#INVALID COMPANY ID</v>
      </c>
      <c r="FN452" s="9" t="str">
        <f>_xll.SNL.Clients.Office.Excel.Functions.SPG(FK452, "SP_COUNTRY_NAME")</f>
        <v>#INVALID COMPANY ID</v>
      </c>
      <c r="FS452" s="9" t="str">
        <f>_xll.SNL.Clients.Office.Excel.Functions.SPG(FP452, "SP_COUNTRY_NAME")</f>
        <v>#INVALID COMPANY ID</v>
      </c>
      <c r="FX452" s="9" t="str">
        <f>_xll.SNL.Clients.Office.Excel.Functions.SPG(FU452, "SP_COUNTRY_NAME")</f>
        <v>#INVALID COMPANY ID</v>
      </c>
      <c r="FY452" t="s">
        <v>1342</v>
      </c>
      <c r="FZ452">
        <v>4277356</v>
      </c>
      <c r="GA452" t="s">
        <v>346</v>
      </c>
      <c r="GB452" s="11">
        <v>0</v>
      </c>
      <c r="GC452" s="9" t="str">
        <f>_xll.SNL.Clients.Office.Excel.Functions.SPG(FZ452, "SP_COUNTRY_NAME")</f>
        <v>South Africa</v>
      </c>
      <c r="GH452" s="9" t="str">
        <f>_xll.SNL.Clients.Office.Excel.Functions.SPG(GE452, "SP_COUNTRY_NAME")</f>
        <v>#INVALID COMPANY ID</v>
      </c>
      <c r="GM452" s="9" t="str">
        <f>_xll.SNL.Clients.Office.Excel.Functions.SPG(GJ452, "SP_COUNTRY_NAME")</f>
        <v>#INVALID COMPANY ID</v>
      </c>
      <c r="GR452" s="9" t="str">
        <f>_xll.SNL.Clients.Office.Excel.Functions.SPG(GO452, "SP_COUNTRY_NAME")</f>
        <v>#INVALID COMPANY ID</v>
      </c>
      <c r="GW452" s="9" t="str">
        <f>_xll.SNL.Clients.Office.Excel.Functions.SPG(GT452, "SP_COUNTRY_NAME")</f>
        <v>#INVALID COMPANY ID</v>
      </c>
      <c r="GX452" t="s">
        <v>1869</v>
      </c>
      <c r="GY452">
        <v>4286138</v>
      </c>
      <c r="GZ452" t="s">
        <v>346</v>
      </c>
      <c r="HA452" s="11">
        <v>0</v>
      </c>
      <c r="HB452" s="9" t="str">
        <f>_xll.SNL.Clients.Office.Excel.Functions.SPG(GY452, "SP_COUNTRY_NAME")</f>
        <v>Chile</v>
      </c>
      <c r="HG452" s="9" t="str">
        <f>_xll.SNL.Clients.Office.Excel.Functions.SPG(HD452, "SP_COUNTRY_NAME")</f>
        <v>#INVALID COMPANY ID</v>
      </c>
    </row>
    <row r="453" spans="5:215" x14ac:dyDescent="0.35">
      <c r="E453" s="9" t="str">
        <f>_xll.SNL.Clients.Office.Excel.Functions.SPG(B453, "SP_COUNTRY_NAME")</f>
        <v>#INVALID COMPANY ID</v>
      </c>
      <c r="J453" s="9" t="str">
        <f>_xll.SNL.Clients.Office.Excel.Functions.SPG(G453, "SP_COUNTRY_NAME")</f>
        <v>#INVALID COMPANY ID</v>
      </c>
      <c r="O453" s="9" t="str">
        <f>_xll.SNL.Clients.Office.Excel.Functions.SPG(L453, "SP_COUNTRY_NAME")</f>
        <v>#INVALID COMPANY ID</v>
      </c>
      <c r="T453" s="9" t="str">
        <f>_xll.SNL.Clients.Office.Excel.Functions.SPG(Q453, "SP_COUNTRY_NAME")</f>
        <v>#INVALID COMPANY ID</v>
      </c>
      <c r="Y453" s="9" t="str">
        <f>_xll.SNL.Clients.Office.Excel.Functions.SPG(V453, "SP_COUNTRY_NAME")</f>
        <v>#INVALID COMPANY ID</v>
      </c>
      <c r="AD453" s="9" t="str">
        <f>_xll.SNL.Clients.Office.Excel.Functions.SPG(AA453, "SP_COUNTRY_NAME")</f>
        <v>#INVALID COMPANY ID</v>
      </c>
      <c r="AI453" s="9" t="str">
        <f>_xll.SNL.Clients.Office.Excel.Functions.SPG(AF453, "SP_COUNTRY_NAME")</f>
        <v>#INVALID COMPANY ID</v>
      </c>
      <c r="AN453" s="9" t="str">
        <f>_xll.SNL.Clients.Office.Excel.Functions.SPG(AK453, "SP_COUNTRY_NAME")</f>
        <v>#INVALID COMPANY ID</v>
      </c>
      <c r="AS453" s="9" t="str">
        <f>_xll.SNL.Clients.Office.Excel.Functions.SPG(AP453, "SP_COUNTRY_NAME")</f>
        <v>#INVALID COMPANY ID</v>
      </c>
      <c r="AX453" s="9" t="str">
        <f>_xll.SNL.Clients.Office.Excel.Functions.SPG(AU453, "SP_COUNTRY_NAME")</f>
        <v>#INVALID COMPANY ID</v>
      </c>
      <c r="BC453" s="9" t="str">
        <f>_xll.SNL.Clients.Office.Excel.Functions.SPG(AZ453, "SP_COUNTRY_NAME")</f>
        <v>#INVALID COMPANY ID</v>
      </c>
      <c r="BD453" t="s">
        <v>1354</v>
      </c>
      <c r="BE453">
        <v>4305801</v>
      </c>
      <c r="BF453" t="s">
        <v>346</v>
      </c>
      <c r="BG453" s="11">
        <v>0</v>
      </c>
      <c r="BH453" s="9" t="str">
        <f>_xll.SNL.Clients.Office.Excel.Functions.SPG(BE453, "SP_COUNTRY_NAME")</f>
        <v>South Africa</v>
      </c>
      <c r="BM453" s="9" t="str">
        <f>_xll.SNL.Clients.Office.Excel.Functions.SPG(BJ453, "SP_COUNTRY_NAME")</f>
        <v>#INVALID COMPANY ID</v>
      </c>
      <c r="BR453" s="9" t="str">
        <f>_xll.SNL.Clients.Office.Excel.Functions.SPG(BO453, "SP_COUNTRY_NAME")</f>
        <v>#INVALID COMPANY ID</v>
      </c>
      <c r="BS453" t="s">
        <v>1082</v>
      </c>
      <c r="BT453">
        <v>4425813</v>
      </c>
      <c r="BU453" t="s">
        <v>346</v>
      </c>
      <c r="BV453" s="11">
        <v>0</v>
      </c>
      <c r="BW453" s="9" t="str">
        <f>_xll.SNL.Clients.Office.Excel.Functions.SPG(BT453, "SP_COUNTRY_NAME")</f>
        <v>Germany</v>
      </c>
      <c r="CB453" s="9" t="str">
        <f>_xll.SNL.Clients.Office.Excel.Functions.SPG(BY453, "SP_COUNTRY_NAME")</f>
        <v>#INVALID COMPANY ID</v>
      </c>
      <c r="CC453" t="s">
        <v>1870</v>
      </c>
      <c r="CD453">
        <v>117672515</v>
      </c>
      <c r="CE453" t="s">
        <v>346</v>
      </c>
      <c r="CF453" s="11">
        <v>0</v>
      </c>
      <c r="CG453" s="9" t="str">
        <f>_xll.SNL.Clients.Office.Excel.Functions.SPG(CD453, "SP_COUNTRY_NAME")</f>
        <v>#INVALID COMPANY ID</v>
      </c>
      <c r="CL453" s="9" t="str">
        <f>_xll.SNL.Clients.Office.Excel.Functions.SPG(CI453, "SP_COUNTRY_NAME")</f>
        <v>#INVALID COMPANY ID</v>
      </c>
      <c r="CM453" t="s">
        <v>2091</v>
      </c>
      <c r="CN453">
        <v>4273070</v>
      </c>
      <c r="CO453" t="s">
        <v>346</v>
      </c>
      <c r="CP453" s="11">
        <v>0</v>
      </c>
      <c r="CQ453" s="9" t="str">
        <f>_xll.SNL.Clients.Office.Excel.Functions.SPG(CN453, "SP_COUNTRY_NAME")</f>
        <v>USA</v>
      </c>
      <c r="CV453" s="9" t="str">
        <f>_xll.SNL.Clients.Office.Excel.Functions.SPG(CS453, "SP_COUNTRY_NAME")</f>
        <v>#INVALID COMPANY ID</v>
      </c>
      <c r="DA453" s="9" t="str">
        <f>_xll.SNL.Clients.Office.Excel.Functions.SPG(CX453, "SP_COUNTRY_NAME")</f>
        <v>#INVALID COMPANY ID</v>
      </c>
      <c r="DB453" t="s">
        <v>1354</v>
      </c>
      <c r="DC453">
        <v>4305801</v>
      </c>
      <c r="DD453" t="s">
        <v>346</v>
      </c>
      <c r="DE453" s="11">
        <v>0</v>
      </c>
      <c r="DF453" s="9" t="str">
        <f>_xll.SNL.Clients.Office.Excel.Functions.SPG(DC453, "SP_COUNTRY_NAME")</f>
        <v>South Africa</v>
      </c>
      <c r="DK453" s="9" t="str">
        <f>_xll.SNL.Clients.Office.Excel.Functions.SPG(DH453, "SP_COUNTRY_NAME")</f>
        <v>#INVALID COMPANY ID</v>
      </c>
      <c r="DL453" t="s">
        <v>1354</v>
      </c>
      <c r="DM453">
        <v>4305801</v>
      </c>
      <c r="DN453" t="s">
        <v>346</v>
      </c>
      <c r="DO453" s="11">
        <v>0</v>
      </c>
      <c r="DP453" s="9" t="str">
        <f>_xll.SNL.Clients.Office.Excel.Functions.SPG(DM453, "SP_COUNTRY_NAME")</f>
        <v>South Africa</v>
      </c>
      <c r="DU453" s="9" t="str">
        <f>_xll.SNL.Clients.Office.Excel.Functions.SPG(DR453, "SP_COUNTRY_NAME")</f>
        <v>#INVALID COMPANY ID</v>
      </c>
      <c r="DZ453" s="9" t="str">
        <f>_xll.SNL.Clients.Office.Excel.Functions.SPG(DW453, "SP_COUNTRY_NAME")</f>
        <v>#INVALID COMPANY ID</v>
      </c>
      <c r="EA453" t="s">
        <v>1870</v>
      </c>
      <c r="EB453">
        <v>117672515</v>
      </c>
      <c r="EC453" t="s">
        <v>346</v>
      </c>
      <c r="ED453" s="11">
        <v>0</v>
      </c>
      <c r="EE453" s="9" t="str">
        <f>_xll.SNL.Clients.Office.Excel.Functions.SPG(EB453, "SP_COUNTRY_NAME")</f>
        <v>#INVALID COMPANY ID</v>
      </c>
      <c r="EF453" t="s">
        <v>1354</v>
      </c>
      <c r="EG453">
        <v>4305801</v>
      </c>
      <c r="EH453" t="s">
        <v>346</v>
      </c>
      <c r="EI453" s="11">
        <v>0</v>
      </c>
      <c r="EJ453" s="9" t="str">
        <f>_xll.SNL.Clients.Office.Excel.Functions.SPG(EG453, "SP_COUNTRY_NAME")</f>
        <v>South Africa</v>
      </c>
      <c r="EO453" s="9" t="str">
        <f>_xll.SNL.Clients.Office.Excel.Functions.SPG(EL453, "SP_COUNTRY_NAME")</f>
        <v>#INVALID COMPANY ID</v>
      </c>
      <c r="ET453" s="9" t="str">
        <f>_xll.SNL.Clients.Office.Excel.Functions.SPG(EQ453, "SP_COUNTRY_NAME")</f>
        <v>#INVALID COMPANY ID</v>
      </c>
      <c r="EY453" s="9" t="str">
        <f>_xll.SNL.Clients.Office.Excel.Functions.SPG(EV453, "SP_COUNTRY_NAME")</f>
        <v>#INVALID COMPANY ID</v>
      </c>
      <c r="FD453" s="9" t="str">
        <f>_xll.SNL.Clients.Office.Excel.Functions.SPG(FA453, "SP_COUNTRY_NAME")</f>
        <v>#INVALID COMPANY ID</v>
      </c>
      <c r="FI453" s="9" t="str">
        <f>_xll.SNL.Clients.Office.Excel.Functions.SPG(FF453, "SP_COUNTRY_NAME")</f>
        <v>#INVALID COMPANY ID</v>
      </c>
      <c r="FN453" s="9" t="str">
        <f>_xll.SNL.Clients.Office.Excel.Functions.SPG(FK453, "SP_COUNTRY_NAME")</f>
        <v>#INVALID COMPANY ID</v>
      </c>
      <c r="FS453" s="9" t="str">
        <f>_xll.SNL.Clients.Office.Excel.Functions.SPG(FP453, "SP_COUNTRY_NAME")</f>
        <v>#INVALID COMPANY ID</v>
      </c>
      <c r="FX453" s="9" t="str">
        <f>_xll.SNL.Clients.Office.Excel.Functions.SPG(FU453, "SP_COUNTRY_NAME")</f>
        <v>#INVALID COMPANY ID</v>
      </c>
      <c r="FY453" t="s">
        <v>1354</v>
      </c>
      <c r="FZ453">
        <v>4305801</v>
      </c>
      <c r="GA453" t="s">
        <v>346</v>
      </c>
      <c r="GB453" s="11">
        <v>0</v>
      </c>
      <c r="GC453" s="9" t="str">
        <f>_xll.SNL.Clients.Office.Excel.Functions.SPG(FZ453, "SP_COUNTRY_NAME")</f>
        <v>South Africa</v>
      </c>
      <c r="GH453" s="9" t="str">
        <f>_xll.SNL.Clients.Office.Excel.Functions.SPG(GE453, "SP_COUNTRY_NAME")</f>
        <v>#INVALID COMPANY ID</v>
      </c>
      <c r="GM453" s="9" t="str">
        <f>_xll.SNL.Clients.Office.Excel.Functions.SPG(GJ453, "SP_COUNTRY_NAME")</f>
        <v>#INVALID COMPANY ID</v>
      </c>
      <c r="GR453" s="9" t="str">
        <f>_xll.SNL.Clients.Office.Excel.Functions.SPG(GO453, "SP_COUNTRY_NAME")</f>
        <v>#INVALID COMPANY ID</v>
      </c>
      <c r="GW453" s="9" t="str">
        <f>_xll.SNL.Clients.Office.Excel.Functions.SPG(GT453, "SP_COUNTRY_NAME")</f>
        <v>#INVALID COMPANY ID</v>
      </c>
      <c r="GX453" t="s">
        <v>1870</v>
      </c>
      <c r="GY453">
        <v>117672515</v>
      </c>
      <c r="GZ453" t="s">
        <v>346</v>
      </c>
      <c r="HA453" s="11">
        <v>0</v>
      </c>
      <c r="HB453" s="9" t="str">
        <f>_xll.SNL.Clients.Office.Excel.Functions.SPG(GY453, "SP_COUNTRY_NAME")</f>
        <v>#INVALID COMPANY ID</v>
      </c>
      <c r="HG453" s="9" t="str">
        <f>_xll.SNL.Clients.Office.Excel.Functions.SPG(HD453, "SP_COUNTRY_NAME")</f>
        <v>#INVALID COMPANY ID</v>
      </c>
    </row>
    <row r="454" spans="5:215" x14ac:dyDescent="0.35">
      <c r="E454" s="9" t="str">
        <f>_xll.SNL.Clients.Office.Excel.Functions.SPG(B454, "SP_COUNTRY_NAME")</f>
        <v>#INVALID COMPANY ID</v>
      </c>
      <c r="J454" s="9" t="str">
        <f>_xll.SNL.Clients.Office.Excel.Functions.SPG(G454, "SP_COUNTRY_NAME")</f>
        <v>#INVALID COMPANY ID</v>
      </c>
      <c r="O454" s="9" t="str">
        <f>_xll.SNL.Clients.Office.Excel.Functions.SPG(L454, "SP_COUNTRY_NAME")</f>
        <v>#INVALID COMPANY ID</v>
      </c>
      <c r="T454" s="9" t="str">
        <f>_xll.SNL.Clients.Office.Excel.Functions.SPG(Q454, "SP_COUNTRY_NAME")</f>
        <v>#INVALID COMPANY ID</v>
      </c>
      <c r="Y454" s="9" t="str">
        <f>_xll.SNL.Clients.Office.Excel.Functions.SPG(V454, "SP_COUNTRY_NAME")</f>
        <v>#INVALID COMPANY ID</v>
      </c>
      <c r="AD454" s="9" t="str">
        <f>_xll.SNL.Clients.Office.Excel.Functions.SPG(AA454, "SP_COUNTRY_NAME")</f>
        <v>#INVALID COMPANY ID</v>
      </c>
      <c r="AI454" s="9" t="str">
        <f>_xll.SNL.Clients.Office.Excel.Functions.SPG(AF454, "SP_COUNTRY_NAME")</f>
        <v>#INVALID COMPANY ID</v>
      </c>
      <c r="AN454" s="9" t="str">
        <f>_xll.SNL.Clients.Office.Excel.Functions.SPG(AK454, "SP_COUNTRY_NAME")</f>
        <v>#INVALID COMPANY ID</v>
      </c>
      <c r="AS454" s="9" t="str">
        <f>_xll.SNL.Clients.Office.Excel.Functions.SPG(AP454, "SP_COUNTRY_NAME")</f>
        <v>#INVALID COMPANY ID</v>
      </c>
      <c r="AX454" s="9" t="str">
        <f>_xll.SNL.Clients.Office.Excel.Functions.SPG(AU454, "SP_COUNTRY_NAME")</f>
        <v>#INVALID COMPANY ID</v>
      </c>
      <c r="BC454" s="9" t="str">
        <f>_xll.SNL.Clients.Office.Excel.Functions.SPG(AZ454, "SP_COUNTRY_NAME")</f>
        <v>#INVALID COMPANY ID</v>
      </c>
      <c r="BD454" t="s">
        <v>1336</v>
      </c>
      <c r="BE454">
        <v>118749616</v>
      </c>
      <c r="BF454" t="s">
        <v>346</v>
      </c>
      <c r="BG454" s="11">
        <v>0</v>
      </c>
      <c r="BH454" s="9" t="str">
        <f>_xll.SNL.Clients.Office.Excel.Functions.SPG(BE454, "SP_COUNTRY_NAME")</f>
        <v>#INVALID COMPANY ID</v>
      </c>
      <c r="BM454" s="9" t="str">
        <f>_xll.SNL.Clients.Office.Excel.Functions.SPG(BJ454, "SP_COUNTRY_NAME")</f>
        <v>#INVALID COMPANY ID</v>
      </c>
      <c r="BR454" s="9" t="str">
        <f>_xll.SNL.Clients.Office.Excel.Functions.SPG(BO454, "SP_COUNTRY_NAME")</f>
        <v>#INVALID COMPANY ID</v>
      </c>
      <c r="BS454" t="s">
        <v>586</v>
      </c>
      <c r="BT454">
        <v>4251516</v>
      </c>
      <c r="BU454" t="s">
        <v>346</v>
      </c>
      <c r="BV454" s="11">
        <v>0</v>
      </c>
      <c r="BW454" s="9" t="str">
        <f>_xll.SNL.Clients.Office.Excel.Functions.SPG(BT454, "SP_COUNTRY_NAME")</f>
        <v>Switzerland</v>
      </c>
      <c r="CB454" s="9" t="str">
        <f>_xll.SNL.Clients.Office.Excel.Functions.SPG(BY454, "SP_COUNTRY_NAME")</f>
        <v>#INVALID COMPANY ID</v>
      </c>
      <c r="CC454" t="s">
        <v>1871</v>
      </c>
      <c r="CD454">
        <v>4048290</v>
      </c>
      <c r="CE454" t="s">
        <v>276</v>
      </c>
      <c r="CF454" s="11">
        <v>0</v>
      </c>
      <c r="CG454" s="9" t="str">
        <f>_xll.SNL.Clients.Office.Excel.Functions.SPG(CD454, "SP_COUNTRY_NAME")</f>
        <v>USA</v>
      </c>
      <c r="CL454" s="9" t="str">
        <f>_xll.SNL.Clients.Office.Excel.Functions.SPG(CI454, "SP_COUNTRY_NAME")</f>
        <v>#INVALID COMPANY ID</v>
      </c>
      <c r="CM454" t="s">
        <v>1381</v>
      </c>
      <c r="CN454">
        <v>9321263</v>
      </c>
      <c r="CO454" t="s">
        <v>346</v>
      </c>
      <c r="CP454" s="11">
        <v>0</v>
      </c>
      <c r="CQ454" s="9" t="str">
        <f>_xll.SNL.Clients.Office.Excel.Functions.SPG(CN454, "SP_COUNTRY_NAME")</f>
        <v>USA</v>
      </c>
      <c r="CV454" s="9" t="str">
        <f>_xll.SNL.Clients.Office.Excel.Functions.SPG(CS454, "SP_COUNTRY_NAME")</f>
        <v>#INVALID COMPANY ID</v>
      </c>
      <c r="DA454" s="9" t="str">
        <f>_xll.SNL.Clients.Office.Excel.Functions.SPG(CX454, "SP_COUNTRY_NAME")</f>
        <v>#INVALID COMPANY ID</v>
      </c>
      <c r="DB454" t="s">
        <v>1336</v>
      </c>
      <c r="DC454">
        <v>118749616</v>
      </c>
      <c r="DD454" t="s">
        <v>346</v>
      </c>
      <c r="DE454" s="11">
        <v>0</v>
      </c>
      <c r="DF454" s="9" t="str">
        <f>_xll.SNL.Clients.Office.Excel.Functions.SPG(DC454, "SP_COUNTRY_NAME")</f>
        <v>#INVALID COMPANY ID</v>
      </c>
      <c r="DK454" s="9" t="str">
        <f>_xll.SNL.Clients.Office.Excel.Functions.SPG(DH454, "SP_COUNTRY_NAME")</f>
        <v>#INVALID COMPANY ID</v>
      </c>
      <c r="DL454" t="s">
        <v>1336</v>
      </c>
      <c r="DM454">
        <v>118749616</v>
      </c>
      <c r="DN454" t="s">
        <v>346</v>
      </c>
      <c r="DO454" s="11">
        <v>0</v>
      </c>
      <c r="DP454" s="9" t="str">
        <f>_xll.SNL.Clients.Office.Excel.Functions.SPG(DM454, "SP_COUNTRY_NAME")</f>
        <v>#INVALID COMPANY ID</v>
      </c>
      <c r="DU454" s="9" t="str">
        <f>_xll.SNL.Clients.Office.Excel.Functions.SPG(DR454, "SP_COUNTRY_NAME")</f>
        <v>#INVALID COMPANY ID</v>
      </c>
      <c r="DZ454" s="9" t="str">
        <f>_xll.SNL.Clients.Office.Excel.Functions.SPG(DW454, "SP_COUNTRY_NAME")</f>
        <v>#INVALID COMPANY ID</v>
      </c>
      <c r="EA454" t="s">
        <v>1871</v>
      </c>
      <c r="EB454">
        <v>4048290</v>
      </c>
      <c r="EC454" t="s">
        <v>276</v>
      </c>
      <c r="ED454" s="11">
        <v>0</v>
      </c>
      <c r="EE454" s="9" t="str">
        <f>_xll.SNL.Clients.Office.Excel.Functions.SPG(EB454, "SP_COUNTRY_NAME")</f>
        <v>USA</v>
      </c>
      <c r="EF454" t="s">
        <v>1336</v>
      </c>
      <c r="EG454">
        <v>118749616</v>
      </c>
      <c r="EH454" t="s">
        <v>346</v>
      </c>
      <c r="EI454" s="11">
        <v>0</v>
      </c>
      <c r="EJ454" s="9" t="str">
        <f>_xll.SNL.Clients.Office.Excel.Functions.SPG(EG454, "SP_COUNTRY_NAME")</f>
        <v>#INVALID COMPANY ID</v>
      </c>
      <c r="EO454" s="9" t="str">
        <f>_xll.SNL.Clients.Office.Excel.Functions.SPG(EL454, "SP_COUNTRY_NAME")</f>
        <v>#INVALID COMPANY ID</v>
      </c>
      <c r="ET454" s="9" t="str">
        <f>_xll.SNL.Clients.Office.Excel.Functions.SPG(EQ454, "SP_COUNTRY_NAME")</f>
        <v>#INVALID COMPANY ID</v>
      </c>
      <c r="EY454" s="9" t="str">
        <f>_xll.SNL.Clients.Office.Excel.Functions.SPG(EV454, "SP_COUNTRY_NAME")</f>
        <v>#INVALID COMPANY ID</v>
      </c>
      <c r="FD454" s="9" t="str">
        <f>_xll.SNL.Clients.Office.Excel.Functions.SPG(FA454, "SP_COUNTRY_NAME")</f>
        <v>#INVALID COMPANY ID</v>
      </c>
      <c r="FI454" s="9" t="str">
        <f>_xll.SNL.Clients.Office.Excel.Functions.SPG(FF454, "SP_COUNTRY_NAME")</f>
        <v>#INVALID COMPANY ID</v>
      </c>
      <c r="FN454" s="9" t="str">
        <f>_xll.SNL.Clients.Office.Excel.Functions.SPG(FK454, "SP_COUNTRY_NAME")</f>
        <v>#INVALID COMPANY ID</v>
      </c>
      <c r="FS454" s="9" t="str">
        <f>_xll.SNL.Clients.Office.Excel.Functions.SPG(FP454, "SP_COUNTRY_NAME")</f>
        <v>#INVALID COMPANY ID</v>
      </c>
      <c r="FX454" s="9" t="str">
        <f>_xll.SNL.Clients.Office.Excel.Functions.SPG(FU454, "SP_COUNTRY_NAME")</f>
        <v>#INVALID COMPANY ID</v>
      </c>
      <c r="FY454" t="s">
        <v>1336</v>
      </c>
      <c r="FZ454">
        <v>118749616</v>
      </c>
      <c r="GA454" t="s">
        <v>346</v>
      </c>
      <c r="GB454" s="11">
        <v>0</v>
      </c>
      <c r="GC454" s="9" t="str">
        <f>_xll.SNL.Clients.Office.Excel.Functions.SPG(FZ454, "SP_COUNTRY_NAME")</f>
        <v>#INVALID COMPANY ID</v>
      </c>
      <c r="GH454" s="9" t="str">
        <f>_xll.SNL.Clients.Office.Excel.Functions.SPG(GE454, "SP_COUNTRY_NAME")</f>
        <v>#INVALID COMPANY ID</v>
      </c>
      <c r="GM454" s="9" t="str">
        <f>_xll.SNL.Clients.Office.Excel.Functions.SPG(GJ454, "SP_COUNTRY_NAME")</f>
        <v>#INVALID COMPANY ID</v>
      </c>
      <c r="GR454" s="9" t="str">
        <f>_xll.SNL.Clients.Office.Excel.Functions.SPG(GO454, "SP_COUNTRY_NAME")</f>
        <v>#INVALID COMPANY ID</v>
      </c>
      <c r="GW454" s="9" t="str">
        <f>_xll.SNL.Clients.Office.Excel.Functions.SPG(GT454, "SP_COUNTRY_NAME")</f>
        <v>#INVALID COMPANY ID</v>
      </c>
      <c r="GX454" t="s">
        <v>1871</v>
      </c>
      <c r="GY454">
        <v>4048290</v>
      </c>
      <c r="GZ454" t="s">
        <v>276</v>
      </c>
      <c r="HA454" s="11">
        <v>0</v>
      </c>
      <c r="HB454" s="9" t="str">
        <f>_xll.SNL.Clients.Office.Excel.Functions.SPG(GY454, "SP_COUNTRY_NAME")</f>
        <v>USA</v>
      </c>
      <c r="HG454" s="9" t="str">
        <f>_xll.SNL.Clients.Office.Excel.Functions.SPG(HD454, "SP_COUNTRY_NAME")</f>
        <v>#INVALID COMPANY ID</v>
      </c>
    </row>
    <row r="455" spans="5:215" x14ac:dyDescent="0.35">
      <c r="E455" s="9" t="str">
        <f>_xll.SNL.Clients.Office.Excel.Functions.SPG(B455, "SP_COUNTRY_NAME")</f>
        <v>#INVALID COMPANY ID</v>
      </c>
      <c r="J455" s="9" t="str">
        <f>_xll.SNL.Clients.Office.Excel.Functions.SPG(G455, "SP_COUNTRY_NAME")</f>
        <v>#INVALID COMPANY ID</v>
      </c>
      <c r="O455" s="9" t="str">
        <f>_xll.SNL.Clients.Office.Excel.Functions.SPG(L455, "SP_COUNTRY_NAME")</f>
        <v>#INVALID COMPANY ID</v>
      </c>
      <c r="T455" s="9" t="str">
        <f>_xll.SNL.Clients.Office.Excel.Functions.SPG(Q455, "SP_COUNTRY_NAME")</f>
        <v>#INVALID COMPANY ID</v>
      </c>
      <c r="Y455" s="9" t="str">
        <f>_xll.SNL.Clients.Office.Excel.Functions.SPG(V455, "SP_COUNTRY_NAME")</f>
        <v>#INVALID COMPANY ID</v>
      </c>
      <c r="AD455" s="9" t="str">
        <f>_xll.SNL.Clients.Office.Excel.Functions.SPG(AA455, "SP_COUNTRY_NAME")</f>
        <v>#INVALID COMPANY ID</v>
      </c>
      <c r="AI455" s="9" t="str">
        <f>_xll.SNL.Clients.Office.Excel.Functions.SPG(AF455, "SP_COUNTRY_NAME")</f>
        <v>#INVALID COMPANY ID</v>
      </c>
      <c r="AN455" s="9" t="str">
        <f>_xll.SNL.Clients.Office.Excel.Functions.SPG(AK455, "SP_COUNTRY_NAME")</f>
        <v>#INVALID COMPANY ID</v>
      </c>
      <c r="AS455" s="9" t="str">
        <f>_xll.SNL.Clients.Office.Excel.Functions.SPG(AP455, "SP_COUNTRY_NAME")</f>
        <v>#INVALID COMPANY ID</v>
      </c>
      <c r="AX455" s="9" t="str">
        <f>_xll.SNL.Clients.Office.Excel.Functions.SPG(AU455, "SP_COUNTRY_NAME")</f>
        <v>#INVALID COMPANY ID</v>
      </c>
      <c r="BC455" s="9" t="str">
        <f>_xll.SNL.Clients.Office.Excel.Functions.SPG(AZ455, "SP_COUNTRY_NAME")</f>
        <v>#INVALID COMPANY ID</v>
      </c>
      <c r="BD455" t="s">
        <v>1337</v>
      </c>
      <c r="BE455">
        <v>133963845</v>
      </c>
      <c r="BF455" t="s">
        <v>346</v>
      </c>
      <c r="BG455" s="11">
        <v>0</v>
      </c>
      <c r="BH455" s="9" t="str">
        <f>_xll.SNL.Clients.Office.Excel.Functions.SPG(BE455, "SP_COUNTRY_NAME")</f>
        <v>#INVALID COMPANY ID</v>
      </c>
      <c r="BM455" s="9" t="str">
        <f>_xll.SNL.Clients.Office.Excel.Functions.SPG(BJ455, "SP_COUNTRY_NAME")</f>
        <v>#INVALID COMPANY ID</v>
      </c>
      <c r="BR455" s="9" t="str">
        <f>_xll.SNL.Clients.Office.Excel.Functions.SPG(BO455, "SP_COUNTRY_NAME")</f>
        <v>#INVALID COMPANY ID</v>
      </c>
      <c r="BS455" t="s">
        <v>838</v>
      </c>
      <c r="BT455">
        <v>4315032</v>
      </c>
      <c r="BU455" t="s">
        <v>346</v>
      </c>
      <c r="BV455" s="11">
        <v>0</v>
      </c>
      <c r="BW455" s="9" t="str">
        <f>_xll.SNL.Clients.Office.Excel.Functions.SPG(BT455, "SP_COUNTRY_NAME")</f>
        <v>China</v>
      </c>
      <c r="CB455" s="9" t="str">
        <f>_xll.SNL.Clients.Office.Excel.Functions.SPG(BY455, "SP_COUNTRY_NAME")</f>
        <v>#INVALID COMPANY ID</v>
      </c>
      <c r="CC455" t="s">
        <v>1872</v>
      </c>
      <c r="CD455">
        <v>4116053</v>
      </c>
      <c r="CE455" t="s">
        <v>346</v>
      </c>
      <c r="CF455" s="11">
        <v>0</v>
      </c>
      <c r="CG455" s="9" t="str">
        <f>_xll.SNL.Clients.Office.Excel.Functions.SPG(CD455, "SP_COUNTRY_NAME")</f>
        <v>USA</v>
      </c>
      <c r="CL455" s="9" t="str">
        <f>_xll.SNL.Clients.Office.Excel.Functions.SPG(CI455, "SP_COUNTRY_NAME")</f>
        <v>#INVALID COMPANY ID</v>
      </c>
      <c r="CM455" t="s">
        <v>1299</v>
      </c>
      <c r="CN455">
        <v>4277357</v>
      </c>
      <c r="CO455" t="s">
        <v>346</v>
      </c>
      <c r="CP455" s="11">
        <v>0</v>
      </c>
      <c r="CQ455" s="9" t="str">
        <f>_xll.SNL.Clients.Office.Excel.Functions.SPG(CN455, "SP_COUNTRY_NAME")</f>
        <v>South Africa</v>
      </c>
      <c r="CV455" s="9" t="str">
        <f>_xll.SNL.Clients.Office.Excel.Functions.SPG(CS455, "SP_COUNTRY_NAME")</f>
        <v>#INVALID COMPANY ID</v>
      </c>
      <c r="DA455" s="9" t="str">
        <f>_xll.SNL.Clients.Office.Excel.Functions.SPG(CX455, "SP_COUNTRY_NAME")</f>
        <v>#INVALID COMPANY ID</v>
      </c>
      <c r="DB455" t="s">
        <v>1337</v>
      </c>
      <c r="DC455">
        <v>133963845</v>
      </c>
      <c r="DD455" t="s">
        <v>346</v>
      </c>
      <c r="DE455" s="11">
        <v>0</v>
      </c>
      <c r="DF455" s="9" t="str">
        <f>_xll.SNL.Clients.Office.Excel.Functions.SPG(DC455, "SP_COUNTRY_NAME")</f>
        <v>#INVALID COMPANY ID</v>
      </c>
      <c r="DK455" s="9" t="str">
        <f>_xll.SNL.Clients.Office.Excel.Functions.SPG(DH455, "SP_COUNTRY_NAME")</f>
        <v>#INVALID COMPANY ID</v>
      </c>
      <c r="DL455" t="s">
        <v>1337</v>
      </c>
      <c r="DM455">
        <v>133963845</v>
      </c>
      <c r="DN455" t="s">
        <v>346</v>
      </c>
      <c r="DO455" s="11">
        <v>0</v>
      </c>
      <c r="DP455" s="9" t="str">
        <f>_xll.SNL.Clients.Office.Excel.Functions.SPG(DM455, "SP_COUNTRY_NAME")</f>
        <v>#INVALID COMPANY ID</v>
      </c>
      <c r="DU455" s="9" t="str">
        <f>_xll.SNL.Clients.Office.Excel.Functions.SPG(DR455, "SP_COUNTRY_NAME")</f>
        <v>#INVALID COMPANY ID</v>
      </c>
      <c r="DZ455" s="9" t="str">
        <f>_xll.SNL.Clients.Office.Excel.Functions.SPG(DW455, "SP_COUNTRY_NAME")</f>
        <v>#INVALID COMPANY ID</v>
      </c>
      <c r="EA455" t="s">
        <v>1872</v>
      </c>
      <c r="EB455">
        <v>4116053</v>
      </c>
      <c r="EC455" t="s">
        <v>346</v>
      </c>
      <c r="ED455" s="11">
        <v>0</v>
      </c>
      <c r="EE455" s="9" t="str">
        <f>_xll.SNL.Clients.Office.Excel.Functions.SPG(EB455, "SP_COUNTRY_NAME")</f>
        <v>USA</v>
      </c>
      <c r="EF455" t="s">
        <v>1337</v>
      </c>
      <c r="EG455">
        <v>133963845</v>
      </c>
      <c r="EH455" t="s">
        <v>346</v>
      </c>
      <c r="EI455" s="11">
        <v>0</v>
      </c>
      <c r="EJ455" s="9" t="str">
        <f>_xll.SNL.Clients.Office.Excel.Functions.SPG(EG455, "SP_COUNTRY_NAME")</f>
        <v>#INVALID COMPANY ID</v>
      </c>
      <c r="EO455" s="9" t="str">
        <f>_xll.SNL.Clients.Office.Excel.Functions.SPG(EL455, "SP_COUNTRY_NAME")</f>
        <v>#INVALID COMPANY ID</v>
      </c>
      <c r="ET455" s="9" t="str">
        <f>_xll.SNL.Clients.Office.Excel.Functions.SPG(EQ455, "SP_COUNTRY_NAME")</f>
        <v>#INVALID COMPANY ID</v>
      </c>
      <c r="EY455" s="9" t="str">
        <f>_xll.SNL.Clients.Office.Excel.Functions.SPG(EV455, "SP_COUNTRY_NAME")</f>
        <v>#INVALID COMPANY ID</v>
      </c>
      <c r="FD455" s="9" t="str">
        <f>_xll.SNL.Clients.Office.Excel.Functions.SPG(FA455, "SP_COUNTRY_NAME")</f>
        <v>#INVALID COMPANY ID</v>
      </c>
      <c r="FI455" s="9" t="str">
        <f>_xll.SNL.Clients.Office.Excel.Functions.SPG(FF455, "SP_COUNTRY_NAME")</f>
        <v>#INVALID COMPANY ID</v>
      </c>
      <c r="FN455" s="9" t="str">
        <f>_xll.SNL.Clients.Office.Excel.Functions.SPG(FK455, "SP_COUNTRY_NAME")</f>
        <v>#INVALID COMPANY ID</v>
      </c>
      <c r="FS455" s="9" t="str">
        <f>_xll.SNL.Clients.Office.Excel.Functions.SPG(FP455, "SP_COUNTRY_NAME")</f>
        <v>#INVALID COMPANY ID</v>
      </c>
      <c r="FX455" s="9" t="str">
        <f>_xll.SNL.Clients.Office.Excel.Functions.SPG(FU455, "SP_COUNTRY_NAME")</f>
        <v>#INVALID COMPANY ID</v>
      </c>
      <c r="FY455" t="s">
        <v>1337</v>
      </c>
      <c r="FZ455">
        <v>133963845</v>
      </c>
      <c r="GA455" t="s">
        <v>346</v>
      </c>
      <c r="GB455" s="11">
        <v>0</v>
      </c>
      <c r="GC455" s="9" t="str">
        <f>_xll.SNL.Clients.Office.Excel.Functions.SPG(FZ455, "SP_COUNTRY_NAME")</f>
        <v>#INVALID COMPANY ID</v>
      </c>
      <c r="GH455" s="9" t="str">
        <f>_xll.SNL.Clients.Office.Excel.Functions.SPG(GE455, "SP_COUNTRY_NAME")</f>
        <v>#INVALID COMPANY ID</v>
      </c>
      <c r="GM455" s="9" t="str">
        <f>_xll.SNL.Clients.Office.Excel.Functions.SPG(GJ455, "SP_COUNTRY_NAME")</f>
        <v>#INVALID COMPANY ID</v>
      </c>
      <c r="GR455" s="9" t="str">
        <f>_xll.SNL.Clients.Office.Excel.Functions.SPG(GO455, "SP_COUNTRY_NAME")</f>
        <v>#INVALID COMPANY ID</v>
      </c>
      <c r="GW455" s="9" t="str">
        <f>_xll.SNL.Clients.Office.Excel.Functions.SPG(GT455, "SP_COUNTRY_NAME")</f>
        <v>#INVALID COMPANY ID</v>
      </c>
      <c r="GX455" t="s">
        <v>1872</v>
      </c>
      <c r="GY455">
        <v>4116053</v>
      </c>
      <c r="GZ455" t="s">
        <v>346</v>
      </c>
      <c r="HA455" s="11">
        <v>0</v>
      </c>
      <c r="HB455" s="9" t="str">
        <f>_xll.SNL.Clients.Office.Excel.Functions.SPG(GY455, "SP_COUNTRY_NAME")</f>
        <v>USA</v>
      </c>
      <c r="HG455" s="9" t="str">
        <f>_xll.SNL.Clients.Office.Excel.Functions.SPG(HD455, "SP_COUNTRY_NAME")</f>
        <v>#INVALID COMPANY ID</v>
      </c>
    </row>
    <row r="456" spans="5:215" x14ac:dyDescent="0.35">
      <c r="E456" s="9" t="str">
        <f>_xll.SNL.Clients.Office.Excel.Functions.SPG(B456, "SP_COUNTRY_NAME")</f>
        <v>#INVALID COMPANY ID</v>
      </c>
      <c r="J456" s="9" t="str">
        <f>_xll.SNL.Clients.Office.Excel.Functions.SPG(G456, "SP_COUNTRY_NAME")</f>
        <v>#INVALID COMPANY ID</v>
      </c>
      <c r="O456" s="9" t="str">
        <f>_xll.SNL.Clients.Office.Excel.Functions.SPG(L456, "SP_COUNTRY_NAME")</f>
        <v>#INVALID COMPANY ID</v>
      </c>
      <c r="T456" s="9" t="str">
        <f>_xll.SNL.Clients.Office.Excel.Functions.SPG(Q456, "SP_COUNTRY_NAME")</f>
        <v>#INVALID COMPANY ID</v>
      </c>
      <c r="Y456" s="9" t="str">
        <f>_xll.SNL.Clients.Office.Excel.Functions.SPG(V456, "SP_COUNTRY_NAME")</f>
        <v>#INVALID COMPANY ID</v>
      </c>
      <c r="AD456" s="9" t="str">
        <f>_xll.SNL.Clients.Office.Excel.Functions.SPG(AA456, "SP_COUNTRY_NAME")</f>
        <v>#INVALID COMPANY ID</v>
      </c>
      <c r="AI456" s="9" t="str">
        <f>_xll.SNL.Clients.Office.Excel.Functions.SPG(AF456, "SP_COUNTRY_NAME")</f>
        <v>#INVALID COMPANY ID</v>
      </c>
      <c r="AN456" s="9" t="str">
        <f>_xll.SNL.Clients.Office.Excel.Functions.SPG(AK456, "SP_COUNTRY_NAME")</f>
        <v>#INVALID COMPANY ID</v>
      </c>
      <c r="AS456" s="9" t="str">
        <f>_xll.SNL.Clients.Office.Excel.Functions.SPG(AP456, "SP_COUNTRY_NAME")</f>
        <v>#INVALID COMPANY ID</v>
      </c>
      <c r="AX456" s="9" t="str">
        <f>_xll.SNL.Clients.Office.Excel.Functions.SPG(AU456, "SP_COUNTRY_NAME")</f>
        <v>#INVALID COMPANY ID</v>
      </c>
      <c r="BC456" s="9" t="str">
        <f>_xll.SNL.Clients.Office.Excel.Functions.SPG(AZ456, "SP_COUNTRY_NAME")</f>
        <v>#INVALID COMPANY ID</v>
      </c>
      <c r="BD456" t="s">
        <v>1340</v>
      </c>
      <c r="BE456">
        <v>5829348</v>
      </c>
      <c r="BF456" t="s">
        <v>346</v>
      </c>
      <c r="BG456" s="11">
        <v>0</v>
      </c>
      <c r="BH456" s="9" t="str">
        <f>_xll.SNL.Clients.Office.Excel.Functions.SPG(BE456, "SP_COUNTRY_NAME")</f>
        <v>South Africa</v>
      </c>
      <c r="BM456" s="9" t="str">
        <f>_xll.SNL.Clients.Office.Excel.Functions.SPG(BJ456, "SP_COUNTRY_NAME")</f>
        <v>#INVALID COMPANY ID</v>
      </c>
      <c r="BR456" s="9" t="str">
        <f>_xll.SNL.Clients.Office.Excel.Functions.SPG(BO456, "SP_COUNTRY_NAME")</f>
        <v>#INVALID COMPANY ID</v>
      </c>
      <c r="BS456" t="s">
        <v>862</v>
      </c>
      <c r="BT456">
        <v>4278931</v>
      </c>
      <c r="BU456" t="s">
        <v>346</v>
      </c>
      <c r="BV456" s="11">
        <v>0</v>
      </c>
      <c r="BW456" s="9" t="str">
        <f>_xll.SNL.Clients.Office.Excel.Functions.SPG(BT456, "SP_COUNTRY_NAME")</f>
        <v>Taiwan</v>
      </c>
      <c r="CB456" s="9" t="str">
        <f>_xll.SNL.Clients.Office.Excel.Functions.SPG(BY456, "SP_COUNTRY_NAME")</f>
        <v>#INVALID COMPANY ID</v>
      </c>
      <c r="CC456" t="s">
        <v>1873</v>
      </c>
      <c r="CD456">
        <v>9170810</v>
      </c>
      <c r="CE456" t="s">
        <v>346</v>
      </c>
      <c r="CF456" s="11">
        <v>0</v>
      </c>
      <c r="CG456" s="9" t="str">
        <f>_xll.SNL.Clients.Office.Excel.Functions.SPG(CD456, "SP_COUNTRY_NAME")</f>
        <v>USA</v>
      </c>
      <c r="CL456" s="9" t="str">
        <f>_xll.SNL.Clients.Office.Excel.Functions.SPG(CI456, "SP_COUNTRY_NAME")</f>
        <v>#INVALID COMPANY ID</v>
      </c>
      <c r="CM456" t="s">
        <v>2092</v>
      </c>
      <c r="CN456">
        <v>13042408</v>
      </c>
      <c r="CO456" t="s">
        <v>364</v>
      </c>
      <c r="CP456" s="11">
        <v>0</v>
      </c>
      <c r="CQ456" s="9" t="str">
        <f>_xll.SNL.Clients.Office.Excel.Functions.SPG(CN456, "SP_COUNTRY_NAME")</f>
        <v>United Kingdom</v>
      </c>
      <c r="CV456" s="9" t="str">
        <f>_xll.SNL.Clients.Office.Excel.Functions.SPG(CS456, "SP_COUNTRY_NAME")</f>
        <v>#INVALID COMPANY ID</v>
      </c>
      <c r="DA456" s="9" t="str">
        <f>_xll.SNL.Clients.Office.Excel.Functions.SPG(CX456, "SP_COUNTRY_NAME")</f>
        <v>#INVALID COMPANY ID</v>
      </c>
      <c r="DB456" t="s">
        <v>1340</v>
      </c>
      <c r="DC456">
        <v>5829348</v>
      </c>
      <c r="DD456" t="s">
        <v>346</v>
      </c>
      <c r="DE456" s="11">
        <v>0</v>
      </c>
      <c r="DF456" s="9" t="str">
        <f>_xll.SNL.Clients.Office.Excel.Functions.SPG(DC456, "SP_COUNTRY_NAME")</f>
        <v>South Africa</v>
      </c>
      <c r="DK456" s="9" t="str">
        <f>_xll.SNL.Clients.Office.Excel.Functions.SPG(DH456, "SP_COUNTRY_NAME")</f>
        <v>#INVALID COMPANY ID</v>
      </c>
      <c r="DL456" t="s">
        <v>1340</v>
      </c>
      <c r="DM456">
        <v>5829348</v>
      </c>
      <c r="DN456" t="s">
        <v>346</v>
      </c>
      <c r="DO456" s="11">
        <v>0</v>
      </c>
      <c r="DP456" s="9" t="str">
        <f>_xll.SNL.Clients.Office.Excel.Functions.SPG(DM456, "SP_COUNTRY_NAME")</f>
        <v>South Africa</v>
      </c>
      <c r="DU456" s="9" t="str">
        <f>_xll.SNL.Clients.Office.Excel.Functions.SPG(DR456, "SP_COUNTRY_NAME")</f>
        <v>#INVALID COMPANY ID</v>
      </c>
      <c r="DZ456" s="9" t="str">
        <f>_xll.SNL.Clients.Office.Excel.Functions.SPG(DW456, "SP_COUNTRY_NAME")</f>
        <v>#INVALID COMPANY ID</v>
      </c>
      <c r="EA456" t="s">
        <v>1873</v>
      </c>
      <c r="EB456">
        <v>9170810</v>
      </c>
      <c r="EC456" t="s">
        <v>346</v>
      </c>
      <c r="ED456" s="11">
        <v>0</v>
      </c>
      <c r="EE456" s="9" t="str">
        <f>_xll.SNL.Clients.Office.Excel.Functions.SPG(EB456, "SP_COUNTRY_NAME")</f>
        <v>USA</v>
      </c>
      <c r="EF456" t="s">
        <v>1340</v>
      </c>
      <c r="EG456">
        <v>5829348</v>
      </c>
      <c r="EH456" t="s">
        <v>346</v>
      </c>
      <c r="EI456" s="11">
        <v>0</v>
      </c>
      <c r="EJ456" s="9" t="str">
        <f>_xll.SNL.Clients.Office.Excel.Functions.SPG(EG456, "SP_COUNTRY_NAME")</f>
        <v>South Africa</v>
      </c>
      <c r="EO456" s="9" t="str">
        <f>_xll.SNL.Clients.Office.Excel.Functions.SPG(EL456, "SP_COUNTRY_NAME")</f>
        <v>#INVALID COMPANY ID</v>
      </c>
      <c r="ET456" s="9" t="str">
        <f>_xll.SNL.Clients.Office.Excel.Functions.SPG(EQ456, "SP_COUNTRY_NAME")</f>
        <v>#INVALID COMPANY ID</v>
      </c>
      <c r="EY456" s="9" t="str">
        <f>_xll.SNL.Clients.Office.Excel.Functions.SPG(EV456, "SP_COUNTRY_NAME")</f>
        <v>#INVALID COMPANY ID</v>
      </c>
      <c r="FD456" s="9" t="str">
        <f>_xll.SNL.Clients.Office.Excel.Functions.SPG(FA456, "SP_COUNTRY_NAME")</f>
        <v>#INVALID COMPANY ID</v>
      </c>
      <c r="FI456" s="9" t="str">
        <f>_xll.SNL.Clients.Office.Excel.Functions.SPG(FF456, "SP_COUNTRY_NAME")</f>
        <v>#INVALID COMPANY ID</v>
      </c>
      <c r="FN456" s="9" t="str">
        <f>_xll.SNL.Clients.Office.Excel.Functions.SPG(FK456, "SP_COUNTRY_NAME")</f>
        <v>#INVALID COMPANY ID</v>
      </c>
      <c r="FS456" s="9" t="str">
        <f>_xll.SNL.Clients.Office.Excel.Functions.SPG(FP456, "SP_COUNTRY_NAME")</f>
        <v>#INVALID COMPANY ID</v>
      </c>
      <c r="FX456" s="9" t="str">
        <f>_xll.SNL.Clients.Office.Excel.Functions.SPG(FU456, "SP_COUNTRY_NAME")</f>
        <v>#INVALID COMPANY ID</v>
      </c>
      <c r="FY456" t="s">
        <v>1340</v>
      </c>
      <c r="FZ456">
        <v>5829348</v>
      </c>
      <c r="GA456" t="s">
        <v>346</v>
      </c>
      <c r="GB456" s="11">
        <v>0</v>
      </c>
      <c r="GC456" s="9" t="str">
        <f>_xll.SNL.Clients.Office.Excel.Functions.SPG(FZ456, "SP_COUNTRY_NAME")</f>
        <v>South Africa</v>
      </c>
      <c r="GH456" s="9" t="str">
        <f>_xll.SNL.Clients.Office.Excel.Functions.SPG(GE456, "SP_COUNTRY_NAME")</f>
        <v>#INVALID COMPANY ID</v>
      </c>
      <c r="GM456" s="9" t="str">
        <f>_xll.SNL.Clients.Office.Excel.Functions.SPG(GJ456, "SP_COUNTRY_NAME")</f>
        <v>#INVALID COMPANY ID</v>
      </c>
      <c r="GR456" s="9" t="str">
        <f>_xll.SNL.Clients.Office.Excel.Functions.SPG(GO456, "SP_COUNTRY_NAME")</f>
        <v>#INVALID COMPANY ID</v>
      </c>
      <c r="GW456" s="9" t="str">
        <f>_xll.SNL.Clients.Office.Excel.Functions.SPG(GT456, "SP_COUNTRY_NAME")</f>
        <v>#INVALID COMPANY ID</v>
      </c>
      <c r="GX456" t="s">
        <v>1873</v>
      </c>
      <c r="GY456">
        <v>9170810</v>
      </c>
      <c r="GZ456" t="s">
        <v>346</v>
      </c>
      <c r="HA456" s="11">
        <v>0</v>
      </c>
      <c r="HB456" s="9" t="str">
        <f>_xll.SNL.Clients.Office.Excel.Functions.SPG(GY456, "SP_COUNTRY_NAME")</f>
        <v>USA</v>
      </c>
      <c r="HG456" s="9" t="str">
        <f>_xll.SNL.Clients.Office.Excel.Functions.SPG(HD456, "SP_COUNTRY_NAME")</f>
        <v>#INVALID COMPANY ID</v>
      </c>
    </row>
    <row r="457" spans="5:215" x14ac:dyDescent="0.35">
      <c r="E457" s="9" t="str">
        <f>_xll.SNL.Clients.Office.Excel.Functions.SPG(B457, "SP_COUNTRY_NAME")</f>
        <v>#INVALID COMPANY ID</v>
      </c>
      <c r="J457" s="9" t="str">
        <f>_xll.SNL.Clients.Office.Excel.Functions.SPG(G457, "SP_COUNTRY_NAME")</f>
        <v>#INVALID COMPANY ID</v>
      </c>
      <c r="O457" s="9" t="str">
        <f>_xll.SNL.Clients.Office.Excel.Functions.SPG(L457, "SP_COUNTRY_NAME")</f>
        <v>#INVALID COMPANY ID</v>
      </c>
      <c r="T457" s="9" t="str">
        <f>_xll.SNL.Clients.Office.Excel.Functions.SPG(Q457, "SP_COUNTRY_NAME")</f>
        <v>#INVALID COMPANY ID</v>
      </c>
      <c r="Y457" s="9" t="str">
        <f>_xll.SNL.Clients.Office.Excel.Functions.SPG(V457, "SP_COUNTRY_NAME")</f>
        <v>#INVALID COMPANY ID</v>
      </c>
      <c r="AD457" s="9" t="str">
        <f>_xll.SNL.Clients.Office.Excel.Functions.SPG(AA457, "SP_COUNTRY_NAME")</f>
        <v>#INVALID COMPANY ID</v>
      </c>
      <c r="AI457" s="9" t="str">
        <f>_xll.SNL.Clients.Office.Excel.Functions.SPG(AF457, "SP_COUNTRY_NAME")</f>
        <v>#INVALID COMPANY ID</v>
      </c>
      <c r="AN457" s="9" t="str">
        <f>_xll.SNL.Clients.Office.Excel.Functions.SPG(AK457, "SP_COUNTRY_NAME")</f>
        <v>#INVALID COMPANY ID</v>
      </c>
      <c r="AS457" s="9" t="str">
        <f>_xll.SNL.Clients.Office.Excel.Functions.SPG(AP457, "SP_COUNTRY_NAME")</f>
        <v>#INVALID COMPANY ID</v>
      </c>
      <c r="AX457" s="9" t="str">
        <f>_xll.SNL.Clients.Office.Excel.Functions.SPG(AU457, "SP_COUNTRY_NAME")</f>
        <v>#INVALID COMPANY ID</v>
      </c>
      <c r="BC457" s="9" t="str">
        <f>_xll.SNL.Clients.Office.Excel.Functions.SPG(AZ457, "SP_COUNTRY_NAME")</f>
        <v>#INVALID COMPANY ID</v>
      </c>
      <c r="BD457" t="s">
        <v>1534</v>
      </c>
      <c r="BE457">
        <v>5758555</v>
      </c>
      <c r="BF457" t="s">
        <v>346</v>
      </c>
      <c r="BG457" s="11">
        <v>0</v>
      </c>
      <c r="BH457" s="9" t="str">
        <f>_xll.SNL.Clients.Office.Excel.Functions.SPG(BE457, "SP_COUNTRY_NAME")</f>
        <v>Spain</v>
      </c>
      <c r="BM457" s="9" t="str">
        <f>_xll.SNL.Clients.Office.Excel.Functions.SPG(BJ457, "SP_COUNTRY_NAME")</f>
        <v>#INVALID COMPANY ID</v>
      </c>
      <c r="BR457" s="9" t="str">
        <f>_xll.SNL.Clients.Office.Excel.Functions.SPG(BO457, "SP_COUNTRY_NAME")</f>
        <v>#INVALID COMPANY ID</v>
      </c>
      <c r="BS457" t="s">
        <v>1083</v>
      </c>
      <c r="BT457">
        <v>6723524</v>
      </c>
      <c r="BU457" t="s">
        <v>346</v>
      </c>
      <c r="BV457" s="11">
        <v>0</v>
      </c>
      <c r="BW457" s="9" t="str">
        <f>_xll.SNL.Clients.Office.Excel.Functions.SPG(BT457, "SP_COUNTRY_NAME")</f>
        <v>Switzerland</v>
      </c>
      <c r="CB457" s="9" t="str">
        <f>_xll.SNL.Clients.Office.Excel.Functions.SPG(BY457, "SP_COUNTRY_NAME")</f>
        <v>#INVALID COMPANY ID</v>
      </c>
      <c r="CC457" t="s">
        <v>1874</v>
      </c>
      <c r="CD457">
        <v>4097967</v>
      </c>
      <c r="CE457" t="s">
        <v>346</v>
      </c>
      <c r="CF457" s="11">
        <v>0</v>
      </c>
      <c r="CG457" s="9" t="str">
        <f>_xll.SNL.Clients.Office.Excel.Functions.SPG(CD457, "SP_COUNTRY_NAME")</f>
        <v>Canada</v>
      </c>
      <c r="CL457" s="9" t="str">
        <f>_xll.SNL.Clients.Office.Excel.Functions.SPG(CI457, "SP_COUNTRY_NAME")</f>
        <v>#INVALID COMPANY ID</v>
      </c>
      <c r="CM457" t="s">
        <v>2093</v>
      </c>
      <c r="CN457">
        <v>113575156</v>
      </c>
      <c r="CO457" t="s">
        <v>346</v>
      </c>
      <c r="CP457" s="11">
        <v>0</v>
      </c>
      <c r="CQ457" s="9" t="str">
        <f>_xll.SNL.Clients.Office.Excel.Functions.SPG(CN457, "SP_COUNTRY_NAME")</f>
        <v>USA</v>
      </c>
      <c r="CV457" s="9" t="str">
        <f>_xll.SNL.Clients.Office.Excel.Functions.SPG(CS457, "SP_COUNTRY_NAME")</f>
        <v>#INVALID COMPANY ID</v>
      </c>
      <c r="DA457" s="9" t="str">
        <f>_xll.SNL.Clients.Office.Excel.Functions.SPG(CX457, "SP_COUNTRY_NAME")</f>
        <v>#INVALID COMPANY ID</v>
      </c>
      <c r="DB457" t="s">
        <v>1534</v>
      </c>
      <c r="DC457">
        <v>5758555</v>
      </c>
      <c r="DD457" t="s">
        <v>346</v>
      </c>
      <c r="DE457" s="11">
        <v>0</v>
      </c>
      <c r="DF457" s="9" t="str">
        <f>_xll.SNL.Clients.Office.Excel.Functions.SPG(DC457, "SP_COUNTRY_NAME")</f>
        <v>Spain</v>
      </c>
      <c r="DK457" s="9" t="str">
        <f>_xll.SNL.Clients.Office.Excel.Functions.SPG(DH457, "SP_COUNTRY_NAME")</f>
        <v>#INVALID COMPANY ID</v>
      </c>
      <c r="DL457" t="s">
        <v>1534</v>
      </c>
      <c r="DM457">
        <v>5758555</v>
      </c>
      <c r="DN457" t="s">
        <v>346</v>
      </c>
      <c r="DO457" s="11">
        <v>0</v>
      </c>
      <c r="DP457" s="9" t="str">
        <f>_xll.SNL.Clients.Office.Excel.Functions.SPG(DM457, "SP_COUNTRY_NAME")</f>
        <v>Spain</v>
      </c>
      <c r="DU457" s="9" t="str">
        <f>_xll.SNL.Clients.Office.Excel.Functions.SPG(DR457, "SP_COUNTRY_NAME")</f>
        <v>#INVALID COMPANY ID</v>
      </c>
      <c r="DZ457" s="9" t="str">
        <f>_xll.SNL.Clients.Office.Excel.Functions.SPG(DW457, "SP_COUNTRY_NAME")</f>
        <v>#INVALID COMPANY ID</v>
      </c>
      <c r="EA457" t="s">
        <v>1874</v>
      </c>
      <c r="EB457">
        <v>4097967</v>
      </c>
      <c r="EC457" t="s">
        <v>346</v>
      </c>
      <c r="ED457" s="11">
        <v>0</v>
      </c>
      <c r="EE457" s="9" t="str">
        <f>_xll.SNL.Clients.Office.Excel.Functions.SPG(EB457, "SP_COUNTRY_NAME")</f>
        <v>Canada</v>
      </c>
      <c r="EF457" t="s">
        <v>1534</v>
      </c>
      <c r="EG457">
        <v>5758555</v>
      </c>
      <c r="EH457" t="s">
        <v>346</v>
      </c>
      <c r="EI457" s="11">
        <v>0</v>
      </c>
      <c r="EJ457" s="9" t="str">
        <f>_xll.SNL.Clients.Office.Excel.Functions.SPG(EG457, "SP_COUNTRY_NAME")</f>
        <v>Spain</v>
      </c>
      <c r="EO457" s="9" t="str">
        <f>_xll.SNL.Clients.Office.Excel.Functions.SPG(EL457, "SP_COUNTRY_NAME")</f>
        <v>#INVALID COMPANY ID</v>
      </c>
      <c r="ET457" s="9" t="str">
        <f>_xll.SNL.Clients.Office.Excel.Functions.SPG(EQ457, "SP_COUNTRY_NAME")</f>
        <v>#INVALID COMPANY ID</v>
      </c>
      <c r="EY457" s="9" t="str">
        <f>_xll.SNL.Clients.Office.Excel.Functions.SPG(EV457, "SP_COUNTRY_NAME")</f>
        <v>#INVALID COMPANY ID</v>
      </c>
      <c r="FD457" s="9" t="str">
        <f>_xll.SNL.Clients.Office.Excel.Functions.SPG(FA457, "SP_COUNTRY_NAME")</f>
        <v>#INVALID COMPANY ID</v>
      </c>
      <c r="FI457" s="9" t="str">
        <f>_xll.SNL.Clients.Office.Excel.Functions.SPG(FF457, "SP_COUNTRY_NAME")</f>
        <v>#INVALID COMPANY ID</v>
      </c>
      <c r="FN457" s="9" t="str">
        <f>_xll.SNL.Clients.Office.Excel.Functions.SPG(FK457, "SP_COUNTRY_NAME")</f>
        <v>#INVALID COMPANY ID</v>
      </c>
      <c r="FS457" s="9" t="str">
        <f>_xll.SNL.Clients.Office.Excel.Functions.SPG(FP457, "SP_COUNTRY_NAME")</f>
        <v>#INVALID COMPANY ID</v>
      </c>
      <c r="FX457" s="9" t="str">
        <f>_xll.SNL.Clients.Office.Excel.Functions.SPG(FU457, "SP_COUNTRY_NAME")</f>
        <v>#INVALID COMPANY ID</v>
      </c>
      <c r="FY457" t="s">
        <v>1534</v>
      </c>
      <c r="FZ457">
        <v>5758555</v>
      </c>
      <c r="GA457" t="s">
        <v>346</v>
      </c>
      <c r="GB457" s="11">
        <v>0</v>
      </c>
      <c r="GC457" s="9" t="str">
        <f>_xll.SNL.Clients.Office.Excel.Functions.SPG(FZ457, "SP_COUNTRY_NAME")</f>
        <v>Spain</v>
      </c>
      <c r="GH457" s="9" t="str">
        <f>_xll.SNL.Clients.Office.Excel.Functions.SPG(GE457, "SP_COUNTRY_NAME")</f>
        <v>#INVALID COMPANY ID</v>
      </c>
      <c r="GM457" s="9" t="str">
        <f>_xll.SNL.Clients.Office.Excel.Functions.SPG(GJ457, "SP_COUNTRY_NAME")</f>
        <v>#INVALID COMPANY ID</v>
      </c>
      <c r="GR457" s="9" t="str">
        <f>_xll.SNL.Clients.Office.Excel.Functions.SPG(GO457, "SP_COUNTRY_NAME")</f>
        <v>#INVALID COMPANY ID</v>
      </c>
      <c r="GW457" s="9" t="str">
        <f>_xll.SNL.Clients.Office.Excel.Functions.SPG(GT457, "SP_COUNTRY_NAME")</f>
        <v>#INVALID COMPANY ID</v>
      </c>
      <c r="GX457" t="s">
        <v>1874</v>
      </c>
      <c r="GY457">
        <v>4097967</v>
      </c>
      <c r="GZ457" t="s">
        <v>346</v>
      </c>
      <c r="HA457" s="11">
        <v>0</v>
      </c>
      <c r="HB457" s="9" t="str">
        <f>_xll.SNL.Clients.Office.Excel.Functions.SPG(GY457, "SP_COUNTRY_NAME")</f>
        <v>Canada</v>
      </c>
      <c r="HG457" s="9" t="str">
        <f>_xll.SNL.Clients.Office.Excel.Functions.SPG(HD457, "SP_COUNTRY_NAME")</f>
        <v>#INVALID COMPANY ID</v>
      </c>
    </row>
    <row r="458" spans="5:215" x14ac:dyDescent="0.35">
      <c r="E458" s="9" t="str">
        <f>_xll.SNL.Clients.Office.Excel.Functions.SPG(B458, "SP_COUNTRY_NAME")</f>
        <v>#INVALID COMPANY ID</v>
      </c>
      <c r="J458" s="9" t="str">
        <f>_xll.SNL.Clients.Office.Excel.Functions.SPG(G458, "SP_COUNTRY_NAME")</f>
        <v>#INVALID COMPANY ID</v>
      </c>
      <c r="O458" s="9" t="str">
        <f>_xll.SNL.Clients.Office.Excel.Functions.SPG(L458, "SP_COUNTRY_NAME")</f>
        <v>#INVALID COMPANY ID</v>
      </c>
      <c r="T458" s="9" t="str">
        <f>_xll.SNL.Clients.Office.Excel.Functions.SPG(Q458, "SP_COUNTRY_NAME")</f>
        <v>#INVALID COMPANY ID</v>
      </c>
      <c r="Y458" s="9" t="str">
        <f>_xll.SNL.Clients.Office.Excel.Functions.SPG(V458, "SP_COUNTRY_NAME")</f>
        <v>#INVALID COMPANY ID</v>
      </c>
      <c r="AD458" s="9" t="str">
        <f>_xll.SNL.Clients.Office.Excel.Functions.SPG(AA458, "SP_COUNTRY_NAME")</f>
        <v>#INVALID COMPANY ID</v>
      </c>
      <c r="AI458" s="9" t="str">
        <f>_xll.SNL.Clients.Office.Excel.Functions.SPG(AF458, "SP_COUNTRY_NAME")</f>
        <v>#INVALID COMPANY ID</v>
      </c>
      <c r="AN458" s="9" t="str">
        <f>_xll.SNL.Clients.Office.Excel.Functions.SPG(AK458, "SP_COUNTRY_NAME")</f>
        <v>#INVALID COMPANY ID</v>
      </c>
      <c r="AS458" s="9" t="str">
        <f>_xll.SNL.Clients.Office.Excel.Functions.SPG(AP458, "SP_COUNTRY_NAME")</f>
        <v>#INVALID COMPANY ID</v>
      </c>
      <c r="AX458" s="9" t="str">
        <f>_xll.SNL.Clients.Office.Excel.Functions.SPG(AU458, "SP_COUNTRY_NAME")</f>
        <v>#INVALID COMPANY ID</v>
      </c>
      <c r="BC458" s="9" t="str">
        <f>_xll.SNL.Clients.Office.Excel.Functions.SPG(AZ458, "SP_COUNTRY_NAME")</f>
        <v>#INVALID COMPANY ID</v>
      </c>
      <c r="BD458" t="s">
        <v>454</v>
      </c>
      <c r="BE458">
        <v>4145691</v>
      </c>
      <c r="BF458" t="s">
        <v>346</v>
      </c>
      <c r="BG458" s="11">
        <v>0</v>
      </c>
      <c r="BH458" s="9" t="str">
        <f>_xll.SNL.Clients.Office.Excel.Functions.SPG(BE458, "SP_COUNTRY_NAME")</f>
        <v>USA</v>
      </c>
      <c r="BM458" s="9" t="str">
        <f>_xll.SNL.Clients.Office.Excel.Functions.SPG(BJ458, "SP_COUNTRY_NAME")</f>
        <v>#INVALID COMPANY ID</v>
      </c>
      <c r="BR458" s="9" t="str">
        <f>_xll.SNL.Clients.Office.Excel.Functions.SPG(BO458, "SP_COUNTRY_NAME")</f>
        <v>#INVALID COMPANY ID</v>
      </c>
      <c r="BS458" t="s">
        <v>1084</v>
      </c>
      <c r="BT458">
        <v>6731032</v>
      </c>
      <c r="BU458" t="s">
        <v>346</v>
      </c>
      <c r="BV458" s="11">
        <v>0</v>
      </c>
      <c r="BW458" s="9" t="str">
        <f>_xll.SNL.Clients.Office.Excel.Functions.SPG(BT458, "SP_COUNTRY_NAME")</f>
        <v>Switzerland</v>
      </c>
      <c r="CB458" s="9" t="str">
        <f>_xll.SNL.Clients.Office.Excel.Functions.SPG(BY458, "SP_COUNTRY_NAME")</f>
        <v>#INVALID COMPANY ID</v>
      </c>
      <c r="CC458" t="s">
        <v>1162</v>
      </c>
      <c r="CD458">
        <v>4139861</v>
      </c>
      <c r="CE458" t="s">
        <v>346</v>
      </c>
      <c r="CF458" s="11">
        <v>0</v>
      </c>
      <c r="CG458" s="9" t="str">
        <f>_xll.SNL.Clients.Office.Excel.Functions.SPG(CD458, "SP_COUNTRY_NAME")</f>
        <v>Spain</v>
      </c>
      <c r="CL458" s="9" t="str">
        <f>_xll.SNL.Clients.Office.Excel.Functions.SPG(CI458, "SP_COUNTRY_NAME")</f>
        <v>#INVALID COMPANY ID</v>
      </c>
      <c r="CM458" t="s">
        <v>2094</v>
      </c>
      <c r="CN458">
        <v>4187172</v>
      </c>
      <c r="CO458" t="s">
        <v>346</v>
      </c>
      <c r="CP458" s="11">
        <v>0</v>
      </c>
      <c r="CQ458" s="9" t="str">
        <f>_xll.SNL.Clients.Office.Excel.Functions.SPG(CN458, "SP_COUNTRY_NAME")</f>
        <v>USA</v>
      </c>
      <c r="CV458" s="9" t="str">
        <f>_xll.SNL.Clients.Office.Excel.Functions.SPG(CS458, "SP_COUNTRY_NAME")</f>
        <v>#INVALID COMPANY ID</v>
      </c>
      <c r="DA458" s="9" t="str">
        <f>_xll.SNL.Clients.Office.Excel.Functions.SPG(CX458, "SP_COUNTRY_NAME")</f>
        <v>#INVALID COMPANY ID</v>
      </c>
      <c r="DB458" t="s">
        <v>454</v>
      </c>
      <c r="DC458">
        <v>4145691</v>
      </c>
      <c r="DD458" t="s">
        <v>346</v>
      </c>
      <c r="DE458" s="11">
        <v>0</v>
      </c>
      <c r="DF458" s="9" t="str">
        <f>_xll.SNL.Clients.Office.Excel.Functions.SPG(DC458, "SP_COUNTRY_NAME")</f>
        <v>USA</v>
      </c>
      <c r="DK458" s="9" t="str">
        <f>_xll.SNL.Clients.Office.Excel.Functions.SPG(DH458, "SP_COUNTRY_NAME")</f>
        <v>#INVALID COMPANY ID</v>
      </c>
      <c r="DL458" t="s">
        <v>454</v>
      </c>
      <c r="DM458">
        <v>4145691</v>
      </c>
      <c r="DN458" t="s">
        <v>346</v>
      </c>
      <c r="DO458" s="11">
        <v>0</v>
      </c>
      <c r="DP458" s="9" t="str">
        <f>_xll.SNL.Clients.Office.Excel.Functions.SPG(DM458, "SP_COUNTRY_NAME")</f>
        <v>USA</v>
      </c>
      <c r="DU458" s="9" t="str">
        <f>_xll.SNL.Clients.Office.Excel.Functions.SPG(DR458, "SP_COUNTRY_NAME")</f>
        <v>#INVALID COMPANY ID</v>
      </c>
      <c r="DZ458" s="9" t="str">
        <f>_xll.SNL.Clients.Office.Excel.Functions.SPG(DW458, "SP_COUNTRY_NAME")</f>
        <v>#INVALID COMPANY ID</v>
      </c>
      <c r="EA458" t="s">
        <v>1162</v>
      </c>
      <c r="EB458">
        <v>4139861</v>
      </c>
      <c r="EC458" t="s">
        <v>346</v>
      </c>
      <c r="ED458" s="11">
        <v>0</v>
      </c>
      <c r="EE458" s="9" t="str">
        <f>_xll.SNL.Clients.Office.Excel.Functions.SPG(EB458, "SP_COUNTRY_NAME")</f>
        <v>Spain</v>
      </c>
      <c r="EF458" t="s">
        <v>454</v>
      </c>
      <c r="EG458">
        <v>4145691</v>
      </c>
      <c r="EH458" t="s">
        <v>346</v>
      </c>
      <c r="EI458" s="11">
        <v>0</v>
      </c>
      <c r="EJ458" s="9" t="str">
        <f>_xll.SNL.Clients.Office.Excel.Functions.SPG(EG458, "SP_COUNTRY_NAME")</f>
        <v>USA</v>
      </c>
      <c r="EO458" s="9" t="str">
        <f>_xll.SNL.Clients.Office.Excel.Functions.SPG(EL458, "SP_COUNTRY_NAME")</f>
        <v>#INVALID COMPANY ID</v>
      </c>
      <c r="ET458" s="9" t="str">
        <f>_xll.SNL.Clients.Office.Excel.Functions.SPG(EQ458, "SP_COUNTRY_NAME")</f>
        <v>#INVALID COMPANY ID</v>
      </c>
      <c r="EY458" s="9" t="str">
        <f>_xll.SNL.Clients.Office.Excel.Functions.SPG(EV458, "SP_COUNTRY_NAME")</f>
        <v>#INVALID COMPANY ID</v>
      </c>
      <c r="FD458" s="9" t="str">
        <f>_xll.SNL.Clients.Office.Excel.Functions.SPG(FA458, "SP_COUNTRY_NAME")</f>
        <v>#INVALID COMPANY ID</v>
      </c>
      <c r="FI458" s="9" t="str">
        <f>_xll.SNL.Clients.Office.Excel.Functions.SPG(FF458, "SP_COUNTRY_NAME")</f>
        <v>#INVALID COMPANY ID</v>
      </c>
      <c r="FN458" s="9" t="str">
        <f>_xll.SNL.Clients.Office.Excel.Functions.SPG(FK458, "SP_COUNTRY_NAME")</f>
        <v>#INVALID COMPANY ID</v>
      </c>
      <c r="FS458" s="9" t="str">
        <f>_xll.SNL.Clients.Office.Excel.Functions.SPG(FP458, "SP_COUNTRY_NAME")</f>
        <v>#INVALID COMPANY ID</v>
      </c>
      <c r="FX458" s="9" t="str">
        <f>_xll.SNL.Clients.Office.Excel.Functions.SPG(FU458, "SP_COUNTRY_NAME")</f>
        <v>#INVALID COMPANY ID</v>
      </c>
      <c r="FY458" t="s">
        <v>454</v>
      </c>
      <c r="FZ458">
        <v>4145691</v>
      </c>
      <c r="GA458" t="s">
        <v>346</v>
      </c>
      <c r="GB458" s="11">
        <v>0</v>
      </c>
      <c r="GC458" s="9" t="str">
        <f>_xll.SNL.Clients.Office.Excel.Functions.SPG(FZ458, "SP_COUNTRY_NAME")</f>
        <v>USA</v>
      </c>
      <c r="GH458" s="9" t="str">
        <f>_xll.SNL.Clients.Office.Excel.Functions.SPG(GE458, "SP_COUNTRY_NAME")</f>
        <v>#INVALID COMPANY ID</v>
      </c>
      <c r="GM458" s="9" t="str">
        <f>_xll.SNL.Clients.Office.Excel.Functions.SPG(GJ458, "SP_COUNTRY_NAME")</f>
        <v>#INVALID COMPANY ID</v>
      </c>
      <c r="GR458" s="9" t="str">
        <f>_xll.SNL.Clients.Office.Excel.Functions.SPG(GO458, "SP_COUNTRY_NAME")</f>
        <v>#INVALID COMPANY ID</v>
      </c>
      <c r="GW458" s="9" t="str">
        <f>_xll.SNL.Clients.Office.Excel.Functions.SPG(GT458, "SP_COUNTRY_NAME")</f>
        <v>#INVALID COMPANY ID</v>
      </c>
      <c r="GX458" t="s">
        <v>1162</v>
      </c>
      <c r="GY458">
        <v>4139861</v>
      </c>
      <c r="GZ458" t="s">
        <v>346</v>
      </c>
      <c r="HA458" s="11">
        <v>0</v>
      </c>
      <c r="HB458" s="9" t="str">
        <f>_xll.SNL.Clients.Office.Excel.Functions.SPG(GY458, "SP_COUNTRY_NAME")</f>
        <v>Spain</v>
      </c>
      <c r="HG458" s="9" t="str">
        <f>_xll.SNL.Clients.Office.Excel.Functions.SPG(HD458, "SP_COUNTRY_NAME")</f>
        <v>#INVALID COMPANY ID</v>
      </c>
    </row>
    <row r="459" spans="5:215" x14ac:dyDescent="0.35">
      <c r="E459" s="9" t="str">
        <f>_xll.SNL.Clients.Office.Excel.Functions.SPG(B459, "SP_COUNTRY_NAME")</f>
        <v>#INVALID COMPANY ID</v>
      </c>
      <c r="J459" s="9" t="str">
        <f>_xll.SNL.Clients.Office.Excel.Functions.SPG(G459, "SP_COUNTRY_NAME")</f>
        <v>#INVALID COMPANY ID</v>
      </c>
      <c r="O459" s="9" t="str">
        <f>_xll.SNL.Clients.Office.Excel.Functions.SPG(L459, "SP_COUNTRY_NAME")</f>
        <v>#INVALID COMPANY ID</v>
      </c>
      <c r="T459" s="9" t="str">
        <f>_xll.SNL.Clients.Office.Excel.Functions.SPG(Q459, "SP_COUNTRY_NAME")</f>
        <v>#INVALID COMPANY ID</v>
      </c>
      <c r="Y459" s="9" t="str">
        <f>_xll.SNL.Clients.Office.Excel.Functions.SPG(V459, "SP_COUNTRY_NAME")</f>
        <v>#INVALID COMPANY ID</v>
      </c>
      <c r="AD459" s="9" t="str">
        <f>_xll.SNL.Clients.Office.Excel.Functions.SPG(AA459, "SP_COUNTRY_NAME")</f>
        <v>#INVALID COMPANY ID</v>
      </c>
      <c r="AI459" s="9" t="str">
        <f>_xll.SNL.Clients.Office.Excel.Functions.SPG(AF459, "SP_COUNTRY_NAME")</f>
        <v>#INVALID COMPANY ID</v>
      </c>
      <c r="AN459" s="9" t="str">
        <f>_xll.SNL.Clients.Office.Excel.Functions.SPG(AK459, "SP_COUNTRY_NAME")</f>
        <v>#INVALID COMPANY ID</v>
      </c>
      <c r="AS459" s="9" t="str">
        <f>_xll.SNL.Clients.Office.Excel.Functions.SPG(AP459, "SP_COUNTRY_NAME")</f>
        <v>#INVALID COMPANY ID</v>
      </c>
      <c r="AX459" s="9" t="str">
        <f>_xll.SNL.Clients.Office.Excel.Functions.SPG(AU459, "SP_COUNTRY_NAME")</f>
        <v>#INVALID COMPANY ID</v>
      </c>
      <c r="BC459" s="9" t="str">
        <f>_xll.SNL.Clients.Office.Excel.Functions.SPG(AZ459, "SP_COUNTRY_NAME")</f>
        <v>#INVALID COMPANY ID</v>
      </c>
      <c r="BD459" t="s">
        <v>1346</v>
      </c>
      <c r="BE459">
        <v>29317018</v>
      </c>
      <c r="BF459" t="s">
        <v>346</v>
      </c>
      <c r="BG459" s="11">
        <v>0</v>
      </c>
      <c r="BH459" s="9" t="str">
        <f>_xll.SNL.Clients.Office.Excel.Functions.SPG(BE459, "SP_COUNTRY_NAME")</f>
        <v>South Africa</v>
      </c>
      <c r="BM459" s="9" t="str">
        <f>_xll.SNL.Clients.Office.Excel.Functions.SPG(BJ459, "SP_COUNTRY_NAME")</f>
        <v>#INVALID COMPANY ID</v>
      </c>
      <c r="BR459" s="9" t="str">
        <f>_xll.SNL.Clients.Office.Excel.Functions.SPG(BO459, "SP_COUNTRY_NAME")</f>
        <v>#INVALID COMPANY ID</v>
      </c>
      <c r="BS459" t="s">
        <v>1085</v>
      </c>
      <c r="BT459">
        <v>105984690</v>
      </c>
      <c r="BU459" t="s">
        <v>346</v>
      </c>
      <c r="BV459" s="11">
        <v>0</v>
      </c>
      <c r="BW459" s="9" t="str">
        <f>_xll.SNL.Clients.Office.Excel.Functions.SPG(BT459, "SP_COUNTRY_NAME")</f>
        <v>China</v>
      </c>
      <c r="CB459" s="9" t="str">
        <f>_xll.SNL.Clients.Office.Excel.Functions.SPG(BY459, "SP_COUNTRY_NAME")</f>
        <v>#INVALID COMPANY ID</v>
      </c>
      <c r="CC459" t="s">
        <v>1875</v>
      </c>
      <c r="CD459">
        <v>4244975</v>
      </c>
      <c r="CE459" t="s">
        <v>346</v>
      </c>
      <c r="CF459" s="11">
        <v>0</v>
      </c>
      <c r="CG459" s="9" t="str">
        <f>_xll.SNL.Clients.Office.Excel.Functions.SPG(CD459, "SP_COUNTRY_NAME")</f>
        <v>Brazil</v>
      </c>
      <c r="CL459" s="9" t="str">
        <f>_xll.SNL.Clients.Office.Excel.Functions.SPG(CI459, "SP_COUNTRY_NAME")</f>
        <v>#INVALID COMPANY ID</v>
      </c>
      <c r="CM459" t="s">
        <v>2095</v>
      </c>
      <c r="CN459">
        <v>1013419</v>
      </c>
      <c r="CO459" t="s">
        <v>366</v>
      </c>
      <c r="CP459" s="11">
        <v>0</v>
      </c>
      <c r="CQ459" s="9" t="str">
        <f>_xll.SNL.Clients.Office.Excel.Functions.SPG(CN459, "SP_COUNTRY_NAME")</f>
        <v>USA</v>
      </c>
      <c r="CV459" s="9" t="str">
        <f>_xll.SNL.Clients.Office.Excel.Functions.SPG(CS459, "SP_COUNTRY_NAME")</f>
        <v>#INVALID COMPANY ID</v>
      </c>
      <c r="DA459" s="9" t="str">
        <f>_xll.SNL.Clients.Office.Excel.Functions.SPG(CX459, "SP_COUNTRY_NAME")</f>
        <v>#INVALID COMPANY ID</v>
      </c>
      <c r="DB459" t="s">
        <v>1346</v>
      </c>
      <c r="DC459">
        <v>29317018</v>
      </c>
      <c r="DD459" t="s">
        <v>346</v>
      </c>
      <c r="DE459" s="11">
        <v>0</v>
      </c>
      <c r="DF459" s="9" t="str">
        <f>_xll.SNL.Clients.Office.Excel.Functions.SPG(DC459, "SP_COUNTRY_NAME")</f>
        <v>South Africa</v>
      </c>
      <c r="DK459" s="9" t="str">
        <f>_xll.SNL.Clients.Office.Excel.Functions.SPG(DH459, "SP_COUNTRY_NAME")</f>
        <v>#INVALID COMPANY ID</v>
      </c>
      <c r="DL459" t="s">
        <v>1346</v>
      </c>
      <c r="DM459">
        <v>29317018</v>
      </c>
      <c r="DN459" t="s">
        <v>346</v>
      </c>
      <c r="DO459" s="11">
        <v>0</v>
      </c>
      <c r="DP459" s="9" t="str">
        <f>_xll.SNL.Clients.Office.Excel.Functions.SPG(DM459, "SP_COUNTRY_NAME")</f>
        <v>South Africa</v>
      </c>
      <c r="DU459" s="9" t="str">
        <f>_xll.SNL.Clients.Office.Excel.Functions.SPG(DR459, "SP_COUNTRY_NAME")</f>
        <v>#INVALID COMPANY ID</v>
      </c>
      <c r="DZ459" s="9" t="str">
        <f>_xll.SNL.Clients.Office.Excel.Functions.SPG(DW459, "SP_COUNTRY_NAME")</f>
        <v>#INVALID COMPANY ID</v>
      </c>
      <c r="EA459" t="s">
        <v>1875</v>
      </c>
      <c r="EB459">
        <v>4244975</v>
      </c>
      <c r="EC459" t="s">
        <v>346</v>
      </c>
      <c r="ED459" s="11">
        <v>0</v>
      </c>
      <c r="EE459" s="9" t="str">
        <f>_xll.SNL.Clients.Office.Excel.Functions.SPG(EB459, "SP_COUNTRY_NAME")</f>
        <v>Brazil</v>
      </c>
      <c r="EF459" t="s">
        <v>1346</v>
      </c>
      <c r="EG459">
        <v>29317018</v>
      </c>
      <c r="EH459" t="s">
        <v>346</v>
      </c>
      <c r="EI459" s="11">
        <v>0</v>
      </c>
      <c r="EJ459" s="9" t="str">
        <f>_xll.SNL.Clients.Office.Excel.Functions.SPG(EG459, "SP_COUNTRY_NAME")</f>
        <v>South Africa</v>
      </c>
      <c r="EO459" s="9" t="str">
        <f>_xll.SNL.Clients.Office.Excel.Functions.SPG(EL459, "SP_COUNTRY_NAME")</f>
        <v>#INVALID COMPANY ID</v>
      </c>
      <c r="ET459" s="9" t="str">
        <f>_xll.SNL.Clients.Office.Excel.Functions.SPG(EQ459, "SP_COUNTRY_NAME")</f>
        <v>#INVALID COMPANY ID</v>
      </c>
      <c r="EY459" s="9" t="str">
        <f>_xll.SNL.Clients.Office.Excel.Functions.SPG(EV459, "SP_COUNTRY_NAME")</f>
        <v>#INVALID COMPANY ID</v>
      </c>
      <c r="FD459" s="9" t="str">
        <f>_xll.SNL.Clients.Office.Excel.Functions.SPG(FA459, "SP_COUNTRY_NAME")</f>
        <v>#INVALID COMPANY ID</v>
      </c>
      <c r="FI459" s="9" t="str">
        <f>_xll.SNL.Clients.Office.Excel.Functions.SPG(FF459, "SP_COUNTRY_NAME")</f>
        <v>#INVALID COMPANY ID</v>
      </c>
      <c r="FN459" s="9" t="str">
        <f>_xll.SNL.Clients.Office.Excel.Functions.SPG(FK459, "SP_COUNTRY_NAME")</f>
        <v>#INVALID COMPANY ID</v>
      </c>
      <c r="FS459" s="9" t="str">
        <f>_xll.SNL.Clients.Office.Excel.Functions.SPG(FP459, "SP_COUNTRY_NAME")</f>
        <v>#INVALID COMPANY ID</v>
      </c>
      <c r="FX459" s="9" t="str">
        <f>_xll.SNL.Clients.Office.Excel.Functions.SPG(FU459, "SP_COUNTRY_NAME")</f>
        <v>#INVALID COMPANY ID</v>
      </c>
      <c r="FY459" t="s">
        <v>1346</v>
      </c>
      <c r="FZ459">
        <v>29317018</v>
      </c>
      <c r="GA459" t="s">
        <v>346</v>
      </c>
      <c r="GB459" s="11">
        <v>0</v>
      </c>
      <c r="GC459" s="9" t="str">
        <f>_xll.SNL.Clients.Office.Excel.Functions.SPG(FZ459, "SP_COUNTRY_NAME")</f>
        <v>South Africa</v>
      </c>
      <c r="GH459" s="9" t="str">
        <f>_xll.SNL.Clients.Office.Excel.Functions.SPG(GE459, "SP_COUNTRY_NAME")</f>
        <v>#INVALID COMPANY ID</v>
      </c>
      <c r="GM459" s="9" t="str">
        <f>_xll.SNL.Clients.Office.Excel.Functions.SPG(GJ459, "SP_COUNTRY_NAME")</f>
        <v>#INVALID COMPANY ID</v>
      </c>
      <c r="GR459" s="9" t="str">
        <f>_xll.SNL.Clients.Office.Excel.Functions.SPG(GO459, "SP_COUNTRY_NAME")</f>
        <v>#INVALID COMPANY ID</v>
      </c>
      <c r="GW459" s="9" t="str">
        <f>_xll.SNL.Clients.Office.Excel.Functions.SPG(GT459, "SP_COUNTRY_NAME")</f>
        <v>#INVALID COMPANY ID</v>
      </c>
      <c r="GX459" t="s">
        <v>1875</v>
      </c>
      <c r="GY459">
        <v>4244975</v>
      </c>
      <c r="GZ459" t="s">
        <v>346</v>
      </c>
      <c r="HA459" s="11">
        <v>0</v>
      </c>
      <c r="HB459" s="9" t="str">
        <f>_xll.SNL.Clients.Office.Excel.Functions.SPG(GY459, "SP_COUNTRY_NAME")</f>
        <v>Brazil</v>
      </c>
      <c r="HG459" s="9" t="str">
        <f>_xll.SNL.Clients.Office.Excel.Functions.SPG(HD459, "SP_COUNTRY_NAME")</f>
        <v>#INVALID COMPANY ID</v>
      </c>
    </row>
    <row r="460" spans="5:215" x14ac:dyDescent="0.35">
      <c r="E460" s="9" t="str">
        <f>_xll.SNL.Clients.Office.Excel.Functions.SPG(B460, "SP_COUNTRY_NAME")</f>
        <v>#INVALID COMPANY ID</v>
      </c>
      <c r="J460" s="9" t="str">
        <f>_xll.SNL.Clients.Office.Excel.Functions.SPG(G460, "SP_COUNTRY_NAME")</f>
        <v>#INVALID COMPANY ID</v>
      </c>
      <c r="O460" s="9" t="str">
        <f>_xll.SNL.Clients.Office.Excel.Functions.SPG(L460, "SP_COUNTRY_NAME")</f>
        <v>#INVALID COMPANY ID</v>
      </c>
      <c r="T460" s="9" t="str">
        <f>_xll.SNL.Clients.Office.Excel.Functions.SPG(Q460, "SP_COUNTRY_NAME")</f>
        <v>#INVALID COMPANY ID</v>
      </c>
      <c r="Y460" s="9" t="str">
        <f>_xll.SNL.Clients.Office.Excel.Functions.SPG(V460, "SP_COUNTRY_NAME")</f>
        <v>#INVALID COMPANY ID</v>
      </c>
      <c r="AD460" s="9" t="str">
        <f>_xll.SNL.Clients.Office.Excel.Functions.SPG(AA460, "SP_COUNTRY_NAME")</f>
        <v>#INVALID COMPANY ID</v>
      </c>
      <c r="AI460" s="9" t="str">
        <f>_xll.SNL.Clients.Office.Excel.Functions.SPG(AF460, "SP_COUNTRY_NAME")</f>
        <v>#INVALID COMPANY ID</v>
      </c>
      <c r="AN460" s="9" t="str">
        <f>_xll.SNL.Clients.Office.Excel.Functions.SPG(AK460, "SP_COUNTRY_NAME")</f>
        <v>#INVALID COMPANY ID</v>
      </c>
      <c r="AS460" s="9" t="str">
        <f>_xll.SNL.Clients.Office.Excel.Functions.SPG(AP460, "SP_COUNTRY_NAME")</f>
        <v>#INVALID COMPANY ID</v>
      </c>
      <c r="AX460" s="9" t="str">
        <f>_xll.SNL.Clients.Office.Excel.Functions.SPG(AU460, "SP_COUNTRY_NAME")</f>
        <v>#INVALID COMPANY ID</v>
      </c>
      <c r="BC460" s="9" t="str">
        <f>_xll.SNL.Clients.Office.Excel.Functions.SPG(AZ460, "SP_COUNTRY_NAME")</f>
        <v>#INVALID COMPANY ID</v>
      </c>
      <c r="BD460" t="s">
        <v>1535</v>
      </c>
      <c r="BE460">
        <v>19911309</v>
      </c>
      <c r="BF460" t="s">
        <v>346</v>
      </c>
      <c r="BG460" s="11">
        <v>0</v>
      </c>
      <c r="BH460" s="9" t="str">
        <f>_xll.SNL.Clients.Office.Excel.Functions.SPG(BE460, "SP_COUNTRY_NAME")</f>
        <v>South Africa</v>
      </c>
      <c r="BM460" s="9" t="str">
        <f>_xll.SNL.Clients.Office.Excel.Functions.SPG(BJ460, "SP_COUNTRY_NAME")</f>
        <v>#INVALID COMPANY ID</v>
      </c>
      <c r="BR460" s="9" t="str">
        <f>_xll.SNL.Clients.Office.Excel.Functions.SPG(BO460, "SP_COUNTRY_NAME")</f>
        <v>#INVALID COMPANY ID</v>
      </c>
      <c r="BS460" t="s">
        <v>906</v>
      </c>
      <c r="BT460">
        <v>5880770</v>
      </c>
      <c r="BU460" t="s">
        <v>346</v>
      </c>
      <c r="BV460" s="11">
        <v>0</v>
      </c>
      <c r="BW460" s="9" t="str">
        <f>_xll.SNL.Clients.Office.Excel.Functions.SPG(BT460, "SP_COUNTRY_NAME")</f>
        <v>China</v>
      </c>
      <c r="CB460" s="9" t="str">
        <f>_xll.SNL.Clients.Office.Excel.Functions.SPG(BY460, "SP_COUNTRY_NAME")</f>
        <v>#INVALID COMPANY ID</v>
      </c>
      <c r="CC460" t="s">
        <v>1876</v>
      </c>
      <c r="CD460">
        <v>10361723</v>
      </c>
      <c r="CE460" t="s">
        <v>346</v>
      </c>
      <c r="CF460" s="11">
        <v>0</v>
      </c>
      <c r="CG460" s="9" t="str">
        <f>_xll.SNL.Clients.Office.Excel.Functions.SPG(CD460, "SP_COUNTRY_NAME")</f>
        <v>Brazil</v>
      </c>
      <c r="CL460" s="9" t="str">
        <f>_xll.SNL.Clients.Office.Excel.Functions.SPG(CI460, "SP_COUNTRY_NAME")</f>
        <v>#INVALID COMPANY ID</v>
      </c>
      <c r="CM460" t="s">
        <v>2096</v>
      </c>
      <c r="CN460" t="s">
        <v>300</v>
      </c>
      <c r="CO460" t="s">
        <v>361</v>
      </c>
      <c r="CP460" s="11">
        <v>0</v>
      </c>
      <c r="CQ460" s="9" t="str">
        <f>_xll.SNL.Clients.Office.Excel.Functions.SPG(CN460, "SP_COUNTRY_NAME")</f>
        <v>China</v>
      </c>
      <c r="CV460" s="9" t="str">
        <f>_xll.SNL.Clients.Office.Excel.Functions.SPG(CS460, "SP_COUNTRY_NAME")</f>
        <v>#INVALID COMPANY ID</v>
      </c>
      <c r="DA460" s="9" t="str">
        <f>_xll.SNL.Clients.Office.Excel.Functions.SPG(CX460, "SP_COUNTRY_NAME")</f>
        <v>#INVALID COMPANY ID</v>
      </c>
      <c r="DB460" t="s">
        <v>1535</v>
      </c>
      <c r="DC460">
        <v>19911309</v>
      </c>
      <c r="DD460" t="s">
        <v>346</v>
      </c>
      <c r="DE460" s="11">
        <v>0</v>
      </c>
      <c r="DF460" s="9" t="str">
        <f>_xll.SNL.Clients.Office.Excel.Functions.SPG(DC460, "SP_COUNTRY_NAME")</f>
        <v>South Africa</v>
      </c>
      <c r="DK460" s="9" t="str">
        <f>_xll.SNL.Clients.Office.Excel.Functions.SPG(DH460, "SP_COUNTRY_NAME")</f>
        <v>#INVALID COMPANY ID</v>
      </c>
      <c r="DL460" t="s">
        <v>1535</v>
      </c>
      <c r="DM460">
        <v>19911309</v>
      </c>
      <c r="DN460" t="s">
        <v>346</v>
      </c>
      <c r="DO460" s="11">
        <v>0</v>
      </c>
      <c r="DP460" s="9" t="str">
        <f>_xll.SNL.Clients.Office.Excel.Functions.SPG(DM460, "SP_COUNTRY_NAME")</f>
        <v>South Africa</v>
      </c>
      <c r="DU460" s="9" t="str">
        <f>_xll.SNL.Clients.Office.Excel.Functions.SPG(DR460, "SP_COUNTRY_NAME")</f>
        <v>#INVALID COMPANY ID</v>
      </c>
      <c r="DZ460" s="9" t="str">
        <f>_xll.SNL.Clients.Office.Excel.Functions.SPG(DW460, "SP_COUNTRY_NAME")</f>
        <v>#INVALID COMPANY ID</v>
      </c>
      <c r="EA460" t="s">
        <v>1876</v>
      </c>
      <c r="EB460">
        <v>10361723</v>
      </c>
      <c r="EC460" t="s">
        <v>346</v>
      </c>
      <c r="ED460" s="11">
        <v>0</v>
      </c>
      <c r="EE460" s="9" t="str">
        <f>_xll.SNL.Clients.Office.Excel.Functions.SPG(EB460, "SP_COUNTRY_NAME")</f>
        <v>Brazil</v>
      </c>
      <c r="EF460" t="s">
        <v>1535</v>
      </c>
      <c r="EG460">
        <v>19911309</v>
      </c>
      <c r="EH460" t="s">
        <v>346</v>
      </c>
      <c r="EI460" s="11">
        <v>0</v>
      </c>
      <c r="EJ460" s="9" t="str">
        <f>_xll.SNL.Clients.Office.Excel.Functions.SPG(EG460, "SP_COUNTRY_NAME")</f>
        <v>South Africa</v>
      </c>
      <c r="EO460" s="9" t="str">
        <f>_xll.SNL.Clients.Office.Excel.Functions.SPG(EL460, "SP_COUNTRY_NAME")</f>
        <v>#INVALID COMPANY ID</v>
      </c>
      <c r="ET460" s="9" t="str">
        <f>_xll.SNL.Clients.Office.Excel.Functions.SPG(EQ460, "SP_COUNTRY_NAME")</f>
        <v>#INVALID COMPANY ID</v>
      </c>
      <c r="EY460" s="9" t="str">
        <f>_xll.SNL.Clients.Office.Excel.Functions.SPG(EV460, "SP_COUNTRY_NAME")</f>
        <v>#INVALID COMPANY ID</v>
      </c>
      <c r="FD460" s="9" t="str">
        <f>_xll.SNL.Clients.Office.Excel.Functions.SPG(FA460, "SP_COUNTRY_NAME")</f>
        <v>#INVALID COMPANY ID</v>
      </c>
      <c r="FI460" s="9" t="str">
        <f>_xll.SNL.Clients.Office.Excel.Functions.SPG(FF460, "SP_COUNTRY_NAME")</f>
        <v>#INVALID COMPANY ID</v>
      </c>
      <c r="FN460" s="9" t="str">
        <f>_xll.SNL.Clients.Office.Excel.Functions.SPG(FK460, "SP_COUNTRY_NAME")</f>
        <v>#INVALID COMPANY ID</v>
      </c>
      <c r="FS460" s="9" t="str">
        <f>_xll.SNL.Clients.Office.Excel.Functions.SPG(FP460, "SP_COUNTRY_NAME")</f>
        <v>#INVALID COMPANY ID</v>
      </c>
      <c r="FX460" s="9" t="str">
        <f>_xll.SNL.Clients.Office.Excel.Functions.SPG(FU460, "SP_COUNTRY_NAME")</f>
        <v>#INVALID COMPANY ID</v>
      </c>
      <c r="FY460" t="s">
        <v>1535</v>
      </c>
      <c r="FZ460">
        <v>19911309</v>
      </c>
      <c r="GA460" t="s">
        <v>346</v>
      </c>
      <c r="GB460" s="11">
        <v>0</v>
      </c>
      <c r="GC460" s="9" t="str">
        <f>_xll.SNL.Clients.Office.Excel.Functions.SPG(FZ460, "SP_COUNTRY_NAME")</f>
        <v>South Africa</v>
      </c>
      <c r="GH460" s="9" t="str">
        <f>_xll.SNL.Clients.Office.Excel.Functions.SPG(GE460, "SP_COUNTRY_NAME")</f>
        <v>#INVALID COMPANY ID</v>
      </c>
      <c r="GM460" s="9" t="str">
        <f>_xll.SNL.Clients.Office.Excel.Functions.SPG(GJ460, "SP_COUNTRY_NAME")</f>
        <v>#INVALID COMPANY ID</v>
      </c>
      <c r="GR460" s="9" t="str">
        <f>_xll.SNL.Clients.Office.Excel.Functions.SPG(GO460, "SP_COUNTRY_NAME")</f>
        <v>#INVALID COMPANY ID</v>
      </c>
      <c r="GW460" s="9" t="str">
        <f>_xll.SNL.Clients.Office.Excel.Functions.SPG(GT460, "SP_COUNTRY_NAME")</f>
        <v>#INVALID COMPANY ID</v>
      </c>
      <c r="GX460" t="s">
        <v>1876</v>
      </c>
      <c r="GY460">
        <v>10361723</v>
      </c>
      <c r="GZ460" t="s">
        <v>346</v>
      </c>
      <c r="HA460" s="11">
        <v>0</v>
      </c>
      <c r="HB460" s="9" t="str">
        <f>_xll.SNL.Clients.Office.Excel.Functions.SPG(GY460, "SP_COUNTRY_NAME")</f>
        <v>Brazil</v>
      </c>
      <c r="HG460" s="9" t="str">
        <f>_xll.SNL.Clients.Office.Excel.Functions.SPG(HD460, "SP_COUNTRY_NAME")</f>
        <v>#INVALID COMPANY ID</v>
      </c>
    </row>
    <row r="461" spans="5:215" x14ac:dyDescent="0.35">
      <c r="E461" s="9" t="str">
        <f>_xll.SNL.Clients.Office.Excel.Functions.SPG(B461, "SP_COUNTRY_NAME")</f>
        <v>#INVALID COMPANY ID</v>
      </c>
      <c r="J461" s="9" t="str">
        <f>_xll.SNL.Clients.Office.Excel.Functions.SPG(G461, "SP_COUNTRY_NAME")</f>
        <v>#INVALID COMPANY ID</v>
      </c>
      <c r="O461" s="9" t="str">
        <f>_xll.SNL.Clients.Office.Excel.Functions.SPG(L461, "SP_COUNTRY_NAME")</f>
        <v>#INVALID COMPANY ID</v>
      </c>
      <c r="T461" s="9" t="str">
        <f>_xll.SNL.Clients.Office.Excel.Functions.SPG(Q461, "SP_COUNTRY_NAME")</f>
        <v>#INVALID COMPANY ID</v>
      </c>
      <c r="Y461" s="9" t="str">
        <f>_xll.SNL.Clients.Office.Excel.Functions.SPG(V461, "SP_COUNTRY_NAME")</f>
        <v>#INVALID COMPANY ID</v>
      </c>
      <c r="AD461" s="9" t="str">
        <f>_xll.SNL.Clients.Office.Excel.Functions.SPG(AA461, "SP_COUNTRY_NAME")</f>
        <v>#INVALID COMPANY ID</v>
      </c>
      <c r="AI461" s="9" t="str">
        <f>_xll.SNL.Clients.Office.Excel.Functions.SPG(AF461, "SP_COUNTRY_NAME")</f>
        <v>#INVALID COMPANY ID</v>
      </c>
      <c r="AN461" s="9" t="str">
        <f>_xll.SNL.Clients.Office.Excel.Functions.SPG(AK461, "SP_COUNTRY_NAME")</f>
        <v>#INVALID COMPANY ID</v>
      </c>
      <c r="AS461" s="9" t="str">
        <f>_xll.SNL.Clients.Office.Excel.Functions.SPG(AP461, "SP_COUNTRY_NAME")</f>
        <v>#INVALID COMPANY ID</v>
      </c>
      <c r="AX461" s="9" t="str">
        <f>_xll.SNL.Clients.Office.Excel.Functions.SPG(AU461, "SP_COUNTRY_NAME")</f>
        <v>#INVALID COMPANY ID</v>
      </c>
      <c r="BC461" s="9" t="str">
        <f>_xll.SNL.Clients.Office.Excel.Functions.SPG(AZ461, "SP_COUNTRY_NAME")</f>
        <v>#INVALID COMPANY ID</v>
      </c>
      <c r="BD461" t="s">
        <v>1536</v>
      </c>
      <c r="BE461">
        <v>111820246</v>
      </c>
      <c r="BF461" t="s">
        <v>346</v>
      </c>
      <c r="BG461" s="11">
        <v>0</v>
      </c>
      <c r="BH461" s="9" t="str">
        <f>_xll.SNL.Clients.Office.Excel.Functions.SPG(BE461, "SP_COUNTRY_NAME")</f>
        <v>Germany</v>
      </c>
      <c r="BM461" s="9" t="str">
        <f>_xll.SNL.Clients.Office.Excel.Functions.SPG(BJ461, "SP_COUNTRY_NAME")</f>
        <v>#INVALID COMPANY ID</v>
      </c>
      <c r="BR461" s="9" t="str">
        <f>_xll.SNL.Clients.Office.Excel.Functions.SPG(BO461, "SP_COUNTRY_NAME")</f>
        <v>#INVALID COMPANY ID</v>
      </c>
      <c r="BS461" t="s">
        <v>1086</v>
      </c>
      <c r="BT461">
        <v>4140526</v>
      </c>
      <c r="BU461" t="s">
        <v>346</v>
      </c>
      <c r="BV461" s="11">
        <v>0</v>
      </c>
      <c r="BW461" s="9" t="str">
        <f>_xll.SNL.Clients.Office.Excel.Functions.SPG(BT461, "SP_COUNTRY_NAME")</f>
        <v>United Kingdom</v>
      </c>
      <c r="CB461" s="9" t="str">
        <f>_xll.SNL.Clients.Office.Excel.Functions.SPG(BY461, "SP_COUNTRY_NAME")</f>
        <v>#INVALID COMPANY ID</v>
      </c>
      <c r="CC461" t="s">
        <v>1877</v>
      </c>
      <c r="CD461">
        <v>20875359</v>
      </c>
      <c r="CE461" t="s">
        <v>346</v>
      </c>
      <c r="CF461" s="11">
        <v>0</v>
      </c>
      <c r="CG461" s="9" t="str">
        <f>_xll.SNL.Clients.Office.Excel.Functions.SPG(CD461, "SP_COUNTRY_NAME")</f>
        <v>USA</v>
      </c>
      <c r="CL461" s="9" t="str">
        <f>_xll.SNL.Clients.Office.Excel.Functions.SPG(CI461, "SP_COUNTRY_NAME")</f>
        <v>#INVALID COMPANY ID</v>
      </c>
      <c r="CM461" t="s">
        <v>2097</v>
      </c>
      <c r="CN461">
        <v>4272741</v>
      </c>
      <c r="CO461" t="s">
        <v>346</v>
      </c>
      <c r="CP461" s="11">
        <v>0</v>
      </c>
      <c r="CQ461" s="9" t="str">
        <f>_xll.SNL.Clients.Office.Excel.Functions.SPG(CN461, "SP_COUNTRY_NAME")</f>
        <v>USA</v>
      </c>
      <c r="CV461" s="9" t="str">
        <f>_xll.SNL.Clients.Office.Excel.Functions.SPG(CS461, "SP_COUNTRY_NAME")</f>
        <v>#INVALID COMPANY ID</v>
      </c>
      <c r="DA461" s="9" t="str">
        <f>_xll.SNL.Clients.Office.Excel.Functions.SPG(CX461, "SP_COUNTRY_NAME")</f>
        <v>#INVALID COMPANY ID</v>
      </c>
      <c r="DB461" t="s">
        <v>1536</v>
      </c>
      <c r="DC461">
        <v>111820246</v>
      </c>
      <c r="DD461" t="s">
        <v>346</v>
      </c>
      <c r="DE461" s="11">
        <v>0</v>
      </c>
      <c r="DF461" s="9" t="str">
        <f>_xll.SNL.Clients.Office.Excel.Functions.SPG(DC461, "SP_COUNTRY_NAME")</f>
        <v>Germany</v>
      </c>
      <c r="DK461" s="9" t="str">
        <f>_xll.SNL.Clients.Office.Excel.Functions.SPG(DH461, "SP_COUNTRY_NAME")</f>
        <v>#INVALID COMPANY ID</v>
      </c>
      <c r="DL461" t="s">
        <v>1536</v>
      </c>
      <c r="DM461">
        <v>111820246</v>
      </c>
      <c r="DN461" t="s">
        <v>346</v>
      </c>
      <c r="DO461" s="11">
        <v>0</v>
      </c>
      <c r="DP461" s="9" t="str">
        <f>_xll.SNL.Clients.Office.Excel.Functions.SPG(DM461, "SP_COUNTRY_NAME")</f>
        <v>Germany</v>
      </c>
      <c r="DU461" s="9" t="str">
        <f>_xll.SNL.Clients.Office.Excel.Functions.SPG(DR461, "SP_COUNTRY_NAME")</f>
        <v>#INVALID COMPANY ID</v>
      </c>
      <c r="DZ461" s="9" t="str">
        <f>_xll.SNL.Clients.Office.Excel.Functions.SPG(DW461, "SP_COUNTRY_NAME")</f>
        <v>#INVALID COMPANY ID</v>
      </c>
      <c r="EA461" t="s">
        <v>1877</v>
      </c>
      <c r="EB461">
        <v>20875359</v>
      </c>
      <c r="EC461" t="s">
        <v>346</v>
      </c>
      <c r="ED461" s="11">
        <v>0</v>
      </c>
      <c r="EE461" s="9" t="str">
        <f>_xll.SNL.Clients.Office.Excel.Functions.SPG(EB461, "SP_COUNTRY_NAME")</f>
        <v>USA</v>
      </c>
      <c r="EF461" t="s">
        <v>1536</v>
      </c>
      <c r="EG461">
        <v>111820246</v>
      </c>
      <c r="EH461" t="s">
        <v>346</v>
      </c>
      <c r="EI461" s="11">
        <v>0</v>
      </c>
      <c r="EJ461" s="9" t="str">
        <f>_xll.SNL.Clients.Office.Excel.Functions.SPG(EG461, "SP_COUNTRY_NAME")</f>
        <v>Germany</v>
      </c>
      <c r="EO461" s="9" t="str">
        <f>_xll.SNL.Clients.Office.Excel.Functions.SPG(EL461, "SP_COUNTRY_NAME")</f>
        <v>#INVALID COMPANY ID</v>
      </c>
      <c r="ET461" s="9" t="str">
        <f>_xll.SNL.Clients.Office.Excel.Functions.SPG(EQ461, "SP_COUNTRY_NAME")</f>
        <v>#INVALID COMPANY ID</v>
      </c>
      <c r="EY461" s="9" t="str">
        <f>_xll.SNL.Clients.Office.Excel.Functions.SPG(EV461, "SP_COUNTRY_NAME")</f>
        <v>#INVALID COMPANY ID</v>
      </c>
      <c r="FD461" s="9" t="str">
        <f>_xll.SNL.Clients.Office.Excel.Functions.SPG(FA461, "SP_COUNTRY_NAME")</f>
        <v>#INVALID COMPANY ID</v>
      </c>
      <c r="FI461" s="9" t="str">
        <f>_xll.SNL.Clients.Office.Excel.Functions.SPG(FF461, "SP_COUNTRY_NAME")</f>
        <v>#INVALID COMPANY ID</v>
      </c>
      <c r="FN461" s="9" t="str">
        <f>_xll.SNL.Clients.Office.Excel.Functions.SPG(FK461, "SP_COUNTRY_NAME")</f>
        <v>#INVALID COMPANY ID</v>
      </c>
      <c r="FS461" s="9" t="str">
        <f>_xll.SNL.Clients.Office.Excel.Functions.SPG(FP461, "SP_COUNTRY_NAME")</f>
        <v>#INVALID COMPANY ID</v>
      </c>
      <c r="FX461" s="9" t="str">
        <f>_xll.SNL.Clients.Office.Excel.Functions.SPG(FU461, "SP_COUNTRY_NAME")</f>
        <v>#INVALID COMPANY ID</v>
      </c>
      <c r="FY461" t="s">
        <v>1536</v>
      </c>
      <c r="FZ461">
        <v>111820246</v>
      </c>
      <c r="GA461" t="s">
        <v>346</v>
      </c>
      <c r="GB461" s="11">
        <v>0</v>
      </c>
      <c r="GC461" s="9" t="str">
        <f>_xll.SNL.Clients.Office.Excel.Functions.SPG(FZ461, "SP_COUNTRY_NAME")</f>
        <v>Germany</v>
      </c>
      <c r="GH461" s="9" t="str">
        <f>_xll.SNL.Clients.Office.Excel.Functions.SPG(GE461, "SP_COUNTRY_NAME")</f>
        <v>#INVALID COMPANY ID</v>
      </c>
      <c r="GM461" s="9" t="str">
        <f>_xll.SNL.Clients.Office.Excel.Functions.SPG(GJ461, "SP_COUNTRY_NAME")</f>
        <v>#INVALID COMPANY ID</v>
      </c>
      <c r="GR461" s="9" t="str">
        <f>_xll.SNL.Clients.Office.Excel.Functions.SPG(GO461, "SP_COUNTRY_NAME")</f>
        <v>#INVALID COMPANY ID</v>
      </c>
      <c r="GW461" s="9" t="str">
        <f>_xll.SNL.Clients.Office.Excel.Functions.SPG(GT461, "SP_COUNTRY_NAME")</f>
        <v>#INVALID COMPANY ID</v>
      </c>
      <c r="GX461" t="s">
        <v>1877</v>
      </c>
      <c r="GY461">
        <v>20875359</v>
      </c>
      <c r="GZ461" t="s">
        <v>346</v>
      </c>
      <c r="HA461" s="11">
        <v>0</v>
      </c>
      <c r="HB461" s="9" t="str">
        <f>_xll.SNL.Clients.Office.Excel.Functions.SPG(GY461, "SP_COUNTRY_NAME")</f>
        <v>USA</v>
      </c>
      <c r="HG461" s="9" t="str">
        <f>_xll.SNL.Clients.Office.Excel.Functions.SPG(HD461, "SP_COUNTRY_NAME")</f>
        <v>#INVALID COMPANY ID</v>
      </c>
    </row>
    <row r="462" spans="5:215" x14ac:dyDescent="0.35">
      <c r="E462" s="9" t="str">
        <f>_xll.SNL.Clients.Office.Excel.Functions.SPG(B462, "SP_COUNTRY_NAME")</f>
        <v>#INVALID COMPANY ID</v>
      </c>
      <c r="J462" s="9" t="str">
        <f>_xll.SNL.Clients.Office.Excel.Functions.SPG(G462, "SP_COUNTRY_NAME")</f>
        <v>#INVALID COMPANY ID</v>
      </c>
      <c r="O462" s="9" t="str">
        <f>_xll.SNL.Clients.Office.Excel.Functions.SPG(L462, "SP_COUNTRY_NAME")</f>
        <v>#INVALID COMPANY ID</v>
      </c>
      <c r="T462" s="9" t="str">
        <f>_xll.SNL.Clients.Office.Excel.Functions.SPG(Q462, "SP_COUNTRY_NAME")</f>
        <v>#INVALID COMPANY ID</v>
      </c>
      <c r="Y462" s="9" t="str">
        <f>_xll.SNL.Clients.Office.Excel.Functions.SPG(V462, "SP_COUNTRY_NAME")</f>
        <v>#INVALID COMPANY ID</v>
      </c>
      <c r="AD462" s="9" t="str">
        <f>_xll.SNL.Clients.Office.Excel.Functions.SPG(AA462, "SP_COUNTRY_NAME")</f>
        <v>#INVALID COMPANY ID</v>
      </c>
      <c r="AI462" s="9" t="str">
        <f>_xll.SNL.Clients.Office.Excel.Functions.SPG(AF462, "SP_COUNTRY_NAME")</f>
        <v>#INVALID COMPANY ID</v>
      </c>
      <c r="AN462" s="9" t="str">
        <f>_xll.SNL.Clients.Office.Excel.Functions.SPG(AK462, "SP_COUNTRY_NAME")</f>
        <v>#INVALID COMPANY ID</v>
      </c>
      <c r="AS462" s="9" t="str">
        <f>_xll.SNL.Clients.Office.Excel.Functions.SPG(AP462, "SP_COUNTRY_NAME")</f>
        <v>#INVALID COMPANY ID</v>
      </c>
      <c r="AX462" s="9" t="str">
        <f>_xll.SNL.Clients.Office.Excel.Functions.SPG(AU462, "SP_COUNTRY_NAME")</f>
        <v>#INVALID COMPANY ID</v>
      </c>
      <c r="BC462" s="9" t="str">
        <f>_xll.SNL.Clients.Office.Excel.Functions.SPG(AZ462, "SP_COUNTRY_NAME")</f>
        <v>#INVALID COMPANY ID</v>
      </c>
      <c r="BD462" t="s">
        <v>1537</v>
      </c>
      <c r="BE462">
        <v>4261553</v>
      </c>
      <c r="BF462" t="s">
        <v>346</v>
      </c>
      <c r="BG462" s="11">
        <v>0</v>
      </c>
      <c r="BH462" s="9" t="str">
        <f>_xll.SNL.Clients.Office.Excel.Functions.SPG(BE462, "SP_COUNTRY_NAME")</f>
        <v>Türkiye</v>
      </c>
      <c r="BM462" s="9" t="str">
        <f>_xll.SNL.Clients.Office.Excel.Functions.SPG(BJ462, "SP_COUNTRY_NAME")</f>
        <v>#INVALID COMPANY ID</v>
      </c>
      <c r="BR462" s="9" t="str">
        <f>_xll.SNL.Clients.Office.Excel.Functions.SPG(BO462, "SP_COUNTRY_NAME")</f>
        <v>#INVALID COMPANY ID</v>
      </c>
      <c r="BS462" t="s">
        <v>1087</v>
      </c>
      <c r="BT462">
        <v>5762368</v>
      </c>
      <c r="BU462" t="s">
        <v>346</v>
      </c>
      <c r="BV462" s="11">
        <v>0</v>
      </c>
      <c r="BW462" s="9" t="str">
        <f>_xll.SNL.Clients.Office.Excel.Functions.SPG(BT462, "SP_COUNTRY_NAME")</f>
        <v>Taiwan</v>
      </c>
      <c r="CB462" s="9" t="str">
        <f>_xll.SNL.Clients.Office.Excel.Functions.SPG(BY462, "SP_COUNTRY_NAME")</f>
        <v>#INVALID COMPANY ID</v>
      </c>
      <c r="CC462" t="s">
        <v>1878</v>
      </c>
      <c r="CD462">
        <v>4632532</v>
      </c>
      <c r="CE462" t="s">
        <v>346</v>
      </c>
      <c r="CF462" s="11">
        <v>0</v>
      </c>
      <c r="CG462" s="9" t="str">
        <f>_xll.SNL.Clients.Office.Excel.Functions.SPG(CD462, "SP_COUNTRY_NAME")</f>
        <v>Brazil</v>
      </c>
      <c r="CL462" s="9" t="str">
        <f>_xll.SNL.Clients.Office.Excel.Functions.SPG(CI462, "SP_COUNTRY_NAME")</f>
        <v>#INVALID COMPANY ID</v>
      </c>
      <c r="CM462" t="s">
        <v>1801</v>
      </c>
      <c r="CN462">
        <v>4376761</v>
      </c>
      <c r="CO462" t="s">
        <v>366</v>
      </c>
      <c r="CP462" s="11">
        <v>0</v>
      </c>
      <c r="CQ462" s="9" t="str">
        <f>_xll.SNL.Clients.Office.Excel.Functions.SPG(CN462, "SP_COUNTRY_NAME")</f>
        <v>USA</v>
      </c>
      <c r="CV462" s="9" t="str">
        <f>_xll.SNL.Clients.Office.Excel.Functions.SPG(CS462, "SP_COUNTRY_NAME")</f>
        <v>#INVALID COMPANY ID</v>
      </c>
      <c r="DA462" s="9" t="str">
        <f>_xll.SNL.Clients.Office.Excel.Functions.SPG(CX462, "SP_COUNTRY_NAME")</f>
        <v>#INVALID COMPANY ID</v>
      </c>
      <c r="DB462" t="s">
        <v>1537</v>
      </c>
      <c r="DC462">
        <v>4261553</v>
      </c>
      <c r="DD462" t="s">
        <v>346</v>
      </c>
      <c r="DE462" s="11">
        <v>0</v>
      </c>
      <c r="DF462" s="9" t="str">
        <f>_xll.SNL.Clients.Office.Excel.Functions.SPG(DC462, "SP_COUNTRY_NAME")</f>
        <v>Türkiye</v>
      </c>
      <c r="DK462" s="9" t="str">
        <f>_xll.SNL.Clients.Office.Excel.Functions.SPG(DH462, "SP_COUNTRY_NAME")</f>
        <v>#INVALID COMPANY ID</v>
      </c>
      <c r="DL462" t="s">
        <v>1537</v>
      </c>
      <c r="DM462">
        <v>4261553</v>
      </c>
      <c r="DN462" t="s">
        <v>346</v>
      </c>
      <c r="DO462" s="11">
        <v>0</v>
      </c>
      <c r="DP462" s="9" t="str">
        <f>_xll.SNL.Clients.Office.Excel.Functions.SPG(DM462, "SP_COUNTRY_NAME")</f>
        <v>Türkiye</v>
      </c>
      <c r="DU462" s="9" t="str">
        <f>_xll.SNL.Clients.Office.Excel.Functions.SPG(DR462, "SP_COUNTRY_NAME")</f>
        <v>#INVALID COMPANY ID</v>
      </c>
      <c r="DZ462" s="9" t="str">
        <f>_xll.SNL.Clients.Office.Excel.Functions.SPG(DW462, "SP_COUNTRY_NAME")</f>
        <v>#INVALID COMPANY ID</v>
      </c>
      <c r="EA462" t="s">
        <v>1878</v>
      </c>
      <c r="EB462">
        <v>4632532</v>
      </c>
      <c r="EC462" t="s">
        <v>346</v>
      </c>
      <c r="ED462" s="11">
        <v>0</v>
      </c>
      <c r="EE462" s="9" t="str">
        <f>_xll.SNL.Clients.Office.Excel.Functions.SPG(EB462, "SP_COUNTRY_NAME")</f>
        <v>Brazil</v>
      </c>
      <c r="EF462" t="s">
        <v>1537</v>
      </c>
      <c r="EG462">
        <v>4261553</v>
      </c>
      <c r="EH462" t="s">
        <v>346</v>
      </c>
      <c r="EI462" s="11">
        <v>0</v>
      </c>
      <c r="EJ462" s="9" t="str">
        <f>_xll.SNL.Clients.Office.Excel.Functions.SPG(EG462, "SP_COUNTRY_NAME")</f>
        <v>Türkiye</v>
      </c>
      <c r="EO462" s="9" t="str">
        <f>_xll.SNL.Clients.Office.Excel.Functions.SPG(EL462, "SP_COUNTRY_NAME")</f>
        <v>#INVALID COMPANY ID</v>
      </c>
      <c r="ET462" s="9" t="str">
        <f>_xll.SNL.Clients.Office.Excel.Functions.SPG(EQ462, "SP_COUNTRY_NAME")</f>
        <v>#INVALID COMPANY ID</v>
      </c>
      <c r="EY462" s="9" t="str">
        <f>_xll.SNL.Clients.Office.Excel.Functions.SPG(EV462, "SP_COUNTRY_NAME")</f>
        <v>#INVALID COMPANY ID</v>
      </c>
      <c r="FD462" s="9" t="str">
        <f>_xll.SNL.Clients.Office.Excel.Functions.SPG(FA462, "SP_COUNTRY_NAME")</f>
        <v>#INVALID COMPANY ID</v>
      </c>
      <c r="FI462" s="9" t="str">
        <f>_xll.SNL.Clients.Office.Excel.Functions.SPG(FF462, "SP_COUNTRY_NAME")</f>
        <v>#INVALID COMPANY ID</v>
      </c>
      <c r="FN462" s="9" t="str">
        <f>_xll.SNL.Clients.Office.Excel.Functions.SPG(FK462, "SP_COUNTRY_NAME")</f>
        <v>#INVALID COMPANY ID</v>
      </c>
      <c r="FS462" s="9" t="str">
        <f>_xll.SNL.Clients.Office.Excel.Functions.SPG(FP462, "SP_COUNTRY_NAME")</f>
        <v>#INVALID COMPANY ID</v>
      </c>
      <c r="FX462" s="9" t="str">
        <f>_xll.SNL.Clients.Office.Excel.Functions.SPG(FU462, "SP_COUNTRY_NAME")</f>
        <v>#INVALID COMPANY ID</v>
      </c>
      <c r="FY462" t="s">
        <v>1537</v>
      </c>
      <c r="FZ462">
        <v>4261553</v>
      </c>
      <c r="GA462" t="s">
        <v>346</v>
      </c>
      <c r="GB462" s="11">
        <v>0</v>
      </c>
      <c r="GC462" s="9" t="str">
        <f>_xll.SNL.Clients.Office.Excel.Functions.SPG(FZ462, "SP_COUNTRY_NAME")</f>
        <v>Türkiye</v>
      </c>
      <c r="GH462" s="9" t="str">
        <f>_xll.SNL.Clients.Office.Excel.Functions.SPG(GE462, "SP_COUNTRY_NAME")</f>
        <v>#INVALID COMPANY ID</v>
      </c>
      <c r="GM462" s="9" t="str">
        <f>_xll.SNL.Clients.Office.Excel.Functions.SPG(GJ462, "SP_COUNTRY_NAME")</f>
        <v>#INVALID COMPANY ID</v>
      </c>
      <c r="GR462" s="9" t="str">
        <f>_xll.SNL.Clients.Office.Excel.Functions.SPG(GO462, "SP_COUNTRY_NAME")</f>
        <v>#INVALID COMPANY ID</v>
      </c>
      <c r="GW462" s="9" t="str">
        <f>_xll.SNL.Clients.Office.Excel.Functions.SPG(GT462, "SP_COUNTRY_NAME")</f>
        <v>#INVALID COMPANY ID</v>
      </c>
      <c r="GX462" t="s">
        <v>1878</v>
      </c>
      <c r="GY462">
        <v>4632532</v>
      </c>
      <c r="GZ462" t="s">
        <v>346</v>
      </c>
      <c r="HA462" s="11">
        <v>0</v>
      </c>
      <c r="HB462" s="9" t="str">
        <f>_xll.SNL.Clients.Office.Excel.Functions.SPG(GY462, "SP_COUNTRY_NAME")</f>
        <v>Brazil</v>
      </c>
      <c r="HG462" s="9" t="str">
        <f>_xll.SNL.Clients.Office.Excel.Functions.SPG(HD462, "SP_COUNTRY_NAME")</f>
        <v>#INVALID COMPANY ID</v>
      </c>
    </row>
    <row r="463" spans="5:215" x14ac:dyDescent="0.35">
      <c r="E463" s="9" t="str">
        <f>_xll.SNL.Clients.Office.Excel.Functions.SPG(B463, "SP_COUNTRY_NAME")</f>
        <v>#INVALID COMPANY ID</v>
      </c>
      <c r="J463" s="9" t="str">
        <f>_xll.SNL.Clients.Office.Excel.Functions.SPG(G463, "SP_COUNTRY_NAME")</f>
        <v>#INVALID COMPANY ID</v>
      </c>
      <c r="O463" s="9" t="str">
        <f>_xll.SNL.Clients.Office.Excel.Functions.SPG(L463, "SP_COUNTRY_NAME")</f>
        <v>#INVALID COMPANY ID</v>
      </c>
      <c r="T463" s="9" t="str">
        <f>_xll.SNL.Clients.Office.Excel.Functions.SPG(Q463, "SP_COUNTRY_NAME")</f>
        <v>#INVALID COMPANY ID</v>
      </c>
      <c r="Y463" s="9" t="str">
        <f>_xll.SNL.Clients.Office.Excel.Functions.SPG(V463, "SP_COUNTRY_NAME")</f>
        <v>#INVALID COMPANY ID</v>
      </c>
      <c r="AD463" s="9" t="str">
        <f>_xll.SNL.Clients.Office.Excel.Functions.SPG(AA463, "SP_COUNTRY_NAME")</f>
        <v>#INVALID COMPANY ID</v>
      </c>
      <c r="AI463" s="9" t="str">
        <f>_xll.SNL.Clients.Office.Excel.Functions.SPG(AF463, "SP_COUNTRY_NAME")</f>
        <v>#INVALID COMPANY ID</v>
      </c>
      <c r="AN463" s="9" t="str">
        <f>_xll.SNL.Clients.Office.Excel.Functions.SPG(AK463, "SP_COUNTRY_NAME")</f>
        <v>#INVALID COMPANY ID</v>
      </c>
      <c r="AS463" s="9" t="str">
        <f>_xll.SNL.Clients.Office.Excel.Functions.SPG(AP463, "SP_COUNTRY_NAME")</f>
        <v>#INVALID COMPANY ID</v>
      </c>
      <c r="AX463" s="9" t="str">
        <f>_xll.SNL.Clients.Office.Excel.Functions.SPG(AU463, "SP_COUNTRY_NAME")</f>
        <v>#INVALID COMPANY ID</v>
      </c>
      <c r="BC463" s="9" t="str">
        <f>_xll.SNL.Clients.Office.Excel.Functions.SPG(AZ463, "SP_COUNTRY_NAME")</f>
        <v>#INVALID COMPANY ID</v>
      </c>
      <c r="BD463" t="s">
        <v>1353</v>
      </c>
      <c r="BE463">
        <v>5867014</v>
      </c>
      <c r="BF463" t="s">
        <v>364</v>
      </c>
      <c r="BG463" s="11">
        <v>0</v>
      </c>
      <c r="BH463" s="9" t="str">
        <f>_xll.SNL.Clients.Office.Excel.Functions.SPG(BE463, "SP_COUNTRY_NAME")</f>
        <v>South Africa</v>
      </c>
      <c r="BM463" s="9" t="str">
        <f>_xll.SNL.Clients.Office.Excel.Functions.SPG(BJ463, "SP_COUNTRY_NAME")</f>
        <v>#INVALID COMPANY ID</v>
      </c>
      <c r="BR463" s="9" t="str">
        <f>_xll.SNL.Clients.Office.Excel.Functions.SPG(BO463, "SP_COUNTRY_NAME")</f>
        <v>#INVALID COMPANY ID</v>
      </c>
      <c r="BS463" t="s">
        <v>589</v>
      </c>
      <c r="BT463">
        <v>4140617</v>
      </c>
      <c r="BU463" t="s">
        <v>346</v>
      </c>
      <c r="BV463" s="11">
        <v>0</v>
      </c>
      <c r="BW463" s="9" t="str">
        <f>_xll.SNL.Clients.Office.Excel.Functions.SPG(BT463, "SP_COUNTRY_NAME")</f>
        <v>Switzerland</v>
      </c>
      <c r="CB463" s="9" t="str">
        <f>_xll.SNL.Clients.Office.Excel.Functions.SPG(BY463, "SP_COUNTRY_NAME")</f>
        <v>#INVALID COMPANY ID</v>
      </c>
      <c r="CC463" t="s">
        <v>882</v>
      </c>
      <c r="CD463">
        <v>110793</v>
      </c>
      <c r="CE463" t="s">
        <v>346</v>
      </c>
      <c r="CF463" s="11">
        <v>0</v>
      </c>
      <c r="CG463" s="9" t="str">
        <f>_xll.SNL.Clients.Office.Excel.Functions.SPG(CD463, "SP_COUNTRY_NAME")</f>
        <v>USA</v>
      </c>
      <c r="CL463" s="9" t="str">
        <f>_xll.SNL.Clients.Office.Excel.Functions.SPG(CI463, "SP_COUNTRY_NAME")</f>
        <v>#INVALID COMPANY ID</v>
      </c>
      <c r="CM463" t="s">
        <v>1530</v>
      </c>
      <c r="CN463">
        <v>5755714</v>
      </c>
      <c r="CO463" t="s">
        <v>346</v>
      </c>
      <c r="CP463" s="11">
        <v>0</v>
      </c>
      <c r="CQ463" s="9" t="str">
        <f>_xll.SNL.Clients.Office.Excel.Functions.SPG(CN463, "SP_COUNTRY_NAME")</f>
        <v>Israel</v>
      </c>
      <c r="CV463" s="9" t="str">
        <f>_xll.SNL.Clients.Office.Excel.Functions.SPG(CS463, "SP_COUNTRY_NAME")</f>
        <v>#INVALID COMPANY ID</v>
      </c>
      <c r="DA463" s="9" t="str">
        <f>_xll.SNL.Clients.Office.Excel.Functions.SPG(CX463, "SP_COUNTRY_NAME")</f>
        <v>#INVALID COMPANY ID</v>
      </c>
      <c r="DB463" t="s">
        <v>1353</v>
      </c>
      <c r="DC463">
        <v>5867014</v>
      </c>
      <c r="DD463" t="s">
        <v>364</v>
      </c>
      <c r="DE463" s="11">
        <v>0</v>
      </c>
      <c r="DF463" s="9" t="str">
        <f>_xll.SNL.Clients.Office.Excel.Functions.SPG(DC463, "SP_COUNTRY_NAME")</f>
        <v>South Africa</v>
      </c>
      <c r="DK463" s="9" t="str">
        <f>_xll.SNL.Clients.Office.Excel.Functions.SPG(DH463, "SP_COUNTRY_NAME")</f>
        <v>#INVALID COMPANY ID</v>
      </c>
      <c r="DL463" t="s">
        <v>1353</v>
      </c>
      <c r="DM463">
        <v>5867014</v>
      </c>
      <c r="DN463" t="s">
        <v>364</v>
      </c>
      <c r="DO463" s="11">
        <v>0</v>
      </c>
      <c r="DP463" s="9" t="str">
        <f>_xll.SNL.Clients.Office.Excel.Functions.SPG(DM463, "SP_COUNTRY_NAME")</f>
        <v>South Africa</v>
      </c>
      <c r="DU463" s="9" t="str">
        <f>_xll.SNL.Clients.Office.Excel.Functions.SPG(DR463, "SP_COUNTRY_NAME")</f>
        <v>#INVALID COMPANY ID</v>
      </c>
      <c r="DZ463" s="9" t="str">
        <f>_xll.SNL.Clients.Office.Excel.Functions.SPG(DW463, "SP_COUNTRY_NAME")</f>
        <v>#INVALID COMPANY ID</v>
      </c>
      <c r="EA463" t="s">
        <v>882</v>
      </c>
      <c r="EB463">
        <v>110793</v>
      </c>
      <c r="EC463" t="s">
        <v>346</v>
      </c>
      <c r="ED463" s="11">
        <v>0</v>
      </c>
      <c r="EE463" s="9" t="str">
        <f>_xll.SNL.Clients.Office.Excel.Functions.SPG(EB463, "SP_COUNTRY_NAME")</f>
        <v>USA</v>
      </c>
      <c r="EF463" t="s">
        <v>1353</v>
      </c>
      <c r="EG463">
        <v>5867014</v>
      </c>
      <c r="EH463" t="s">
        <v>364</v>
      </c>
      <c r="EI463" s="11">
        <v>0</v>
      </c>
      <c r="EJ463" s="9" t="str">
        <f>_xll.SNL.Clients.Office.Excel.Functions.SPG(EG463, "SP_COUNTRY_NAME")</f>
        <v>South Africa</v>
      </c>
      <c r="EO463" s="9" t="str">
        <f>_xll.SNL.Clients.Office.Excel.Functions.SPG(EL463, "SP_COUNTRY_NAME")</f>
        <v>#INVALID COMPANY ID</v>
      </c>
      <c r="ET463" s="9" t="str">
        <f>_xll.SNL.Clients.Office.Excel.Functions.SPG(EQ463, "SP_COUNTRY_NAME")</f>
        <v>#INVALID COMPANY ID</v>
      </c>
      <c r="EY463" s="9" t="str">
        <f>_xll.SNL.Clients.Office.Excel.Functions.SPG(EV463, "SP_COUNTRY_NAME")</f>
        <v>#INVALID COMPANY ID</v>
      </c>
      <c r="FD463" s="9" t="str">
        <f>_xll.SNL.Clients.Office.Excel.Functions.SPG(FA463, "SP_COUNTRY_NAME")</f>
        <v>#INVALID COMPANY ID</v>
      </c>
      <c r="FI463" s="9" t="str">
        <f>_xll.SNL.Clients.Office.Excel.Functions.SPG(FF463, "SP_COUNTRY_NAME")</f>
        <v>#INVALID COMPANY ID</v>
      </c>
      <c r="FN463" s="9" t="str">
        <f>_xll.SNL.Clients.Office.Excel.Functions.SPG(FK463, "SP_COUNTRY_NAME")</f>
        <v>#INVALID COMPANY ID</v>
      </c>
      <c r="FS463" s="9" t="str">
        <f>_xll.SNL.Clients.Office.Excel.Functions.SPG(FP463, "SP_COUNTRY_NAME")</f>
        <v>#INVALID COMPANY ID</v>
      </c>
      <c r="FX463" s="9" t="str">
        <f>_xll.SNL.Clients.Office.Excel.Functions.SPG(FU463, "SP_COUNTRY_NAME")</f>
        <v>#INVALID COMPANY ID</v>
      </c>
      <c r="FY463" t="s">
        <v>1353</v>
      </c>
      <c r="FZ463">
        <v>5867014</v>
      </c>
      <c r="GA463" t="s">
        <v>364</v>
      </c>
      <c r="GB463" s="11">
        <v>0</v>
      </c>
      <c r="GC463" s="9" t="str">
        <f>_xll.SNL.Clients.Office.Excel.Functions.SPG(FZ463, "SP_COUNTRY_NAME")</f>
        <v>South Africa</v>
      </c>
      <c r="GH463" s="9" t="str">
        <f>_xll.SNL.Clients.Office.Excel.Functions.SPG(GE463, "SP_COUNTRY_NAME")</f>
        <v>#INVALID COMPANY ID</v>
      </c>
      <c r="GM463" s="9" t="str">
        <f>_xll.SNL.Clients.Office.Excel.Functions.SPG(GJ463, "SP_COUNTRY_NAME")</f>
        <v>#INVALID COMPANY ID</v>
      </c>
      <c r="GR463" s="9" t="str">
        <f>_xll.SNL.Clients.Office.Excel.Functions.SPG(GO463, "SP_COUNTRY_NAME")</f>
        <v>#INVALID COMPANY ID</v>
      </c>
      <c r="GW463" s="9" t="str">
        <f>_xll.SNL.Clients.Office.Excel.Functions.SPG(GT463, "SP_COUNTRY_NAME")</f>
        <v>#INVALID COMPANY ID</v>
      </c>
      <c r="GX463" t="s">
        <v>882</v>
      </c>
      <c r="GY463">
        <v>110793</v>
      </c>
      <c r="GZ463" t="s">
        <v>346</v>
      </c>
      <c r="HA463" s="11">
        <v>0</v>
      </c>
      <c r="HB463" s="9" t="str">
        <f>_xll.SNL.Clients.Office.Excel.Functions.SPG(GY463, "SP_COUNTRY_NAME")</f>
        <v>USA</v>
      </c>
      <c r="HG463" s="9" t="str">
        <f>_xll.SNL.Clients.Office.Excel.Functions.SPG(HD463, "SP_COUNTRY_NAME")</f>
        <v>#INVALID COMPANY ID</v>
      </c>
    </row>
    <row r="464" spans="5:215" x14ac:dyDescent="0.35">
      <c r="E464" s="9" t="str">
        <f>_xll.SNL.Clients.Office.Excel.Functions.SPG(B464, "SP_COUNTRY_NAME")</f>
        <v>#INVALID COMPANY ID</v>
      </c>
      <c r="J464" s="9" t="str">
        <f>_xll.SNL.Clients.Office.Excel.Functions.SPG(G464, "SP_COUNTRY_NAME")</f>
        <v>#INVALID COMPANY ID</v>
      </c>
      <c r="O464" s="9" t="str">
        <f>_xll.SNL.Clients.Office.Excel.Functions.SPG(L464, "SP_COUNTRY_NAME")</f>
        <v>#INVALID COMPANY ID</v>
      </c>
      <c r="T464" s="9" t="str">
        <f>_xll.SNL.Clients.Office.Excel.Functions.SPG(Q464, "SP_COUNTRY_NAME")</f>
        <v>#INVALID COMPANY ID</v>
      </c>
      <c r="Y464" s="9" t="str">
        <f>_xll.SNL.Clients.Office.Excel.Functions.SPG(V464, "SP_COUNTRY_NAME")</f>
        <v>#INVALID COMPANY ID</v>
      </c>
      <c r="AD464" s="9" t="str">
        <f>_xll.SNL.Clients.Office.Excel.Functions.SPG(AA464, "SP_COUNTRY_NAME")</f>
        <v>#INVALID COMPANY ID</v>
      </c>
      <c r="AI464" s="9" t="str">
        <f>_xll.SNL.Clients.Office.Excel.Functions.SPG(AF464, "SP_COUNTRY_NAME")</f>
        <v>#INVALID COMPANY ID</v>
      </c>
      <c r="AN464" s="9" t="str">
        <f>_xll.SNL.Clients.Office.Excel.Functions.SPG(AK464, "SP_COUNTRY_NAME")</f>
        <v>#INVALID COMPANY ID</v>
      </c>
      <c r="AS464" s="9" t="str">
        <f>_xll.SNL.Clients.Office.Excel.Functions.SPG(AP464, "SP_COUNTRY_NAME")</f>
        <v>#INVALID COMPANY ID</v>
      </c>
      <c r="AX464" s="9" t="str">
        <f>_xll.SNL.Clients.Office.Excel.Functions.SPG(AU464, "SP_COUNTRY_NAME")</f>
        <v>#INVALID COMPANY ID</v>
      </c>
      <c r="BC464" s="9" t="str">
        <f>_xll.SNL.Clients.Office.Excel.Functions.SPG(AZ464, "SP_COUNTRY_NAME")</f>
        <v>#INVALID COMPANY ID</v>
      </c>
      <c r="BD464" t="s">
        <v>597</v>
      </c>
      <c r="BE464">
        <v>4654230</v>
      </c>
      <c r="BF464" t="s">
        <v>346</v>
      </c>
      <c r="BG464" s="11">
        <v>0</v>
      </c>
      <c r="BH464" s="9" t="str">
        <f>_xll.SNL.Clients.Office.Excel.Functions.SPG(BE464, "SP_COUNTRY_NAME")</f>
        <v>Australia</v>
      </c>
      <c r="BM464" s="9" t="str">
        <f>_xll.SNL.Clients.Office.Excel.Functions.SPG(BJ464, "SP_COUNTRY_NAME")</f>
        <v>#INVALID COMPANY ID</v>
      </c>
      <c r="BR464" s="9" t="str">
        <f>_xll.SNL.Clients.Office.Excel.Functions.SPG(BO464, "SP_COUNTRY_NAME")</f>
        <v>#INVALID COMPANY ID</v>
      </c>
      <c r="BS464" t="s">
        <v>793</v>
      </c>
      <c r="BT464">
        <v>7798890</v>
      </c>
      <c r="BU464" t="s">
        <v>346</v>
      </c>
      <c r="BV464" s="11">
        <v>0</v>
      </c>
      <c r="BW464" s="9" t="str">
        <f>_xll.SNL.Clients.Office.Excel.Functions.SPG(BT464, "SP_COUNTRY_NAME")</f>
        <v>China</v>
      </c>
      <c r="CB464" s="9" t="str">
        <f>_xll.SNL.Clients.Office.Excel.Functions.SPG(BY464, "SP_COUNTRY_NAME")</f>
        <v>#INVALID COMPANY ID</v>
      </c>
      <c r="CC464" t="s">
        <v>1879</v>
      </c>
      <c r="CD464">
        <v>29491243</v>
      </c>
      <c r="CE464" t="s">
        <v>346</v>
      </c>
      <c r="CF464" s="11">
        <v>0</v>
      </c>
      <c r="CG464" s="9" t="str">
        <f>_xll.SNL.Clients.Office.Excel.Functions.SPG(CD464, "SP_COUNTRY_NAME")</f>
        <v>Brazil</v>
      </c>
      <c r="CL464" s="9" t="str">
        <f>_xll.SNL.Clients.Office.Excel.Functions.SPG(CI464, "SP_COUNTRY_NAME")</f>
        <v>#INVALID COMPANY ID</v>
      </c>
      <c r="CM464" t="s">
        <v>1721</v>
      </c>
      <c r="CN464">
        <v>4560824</v>
      </c>
      <c r="CO464" t="s">
        <v>346</v>
      </c>
      <c r="CP464" s="11">
        <v>0</v>
      </c>
      <c r="CQ464" s="9" t="str">
        <f>_xll.SNL.Clients.Office.Excel.Functions.SPG(CN464, "SP_COUNTRY_NAME")</f>
        <v>USA</v>
      </c>
      <c r="CV464" s="9" t="str">
        <f>_xll.SNL.Clients.Office.Excel.Functions.SPG(CS464, "SP_COUNTRY_NAME")</f>
        <v>#INVALID COMPANY ID</v>
      </c>
      <c r="DA464" s="9" t="str">
        <f>_xll.SNL.Clients.Office.Excel.Functions.SPG(CX464, "SP_COUNTRY_NAME")</f>
        <v>#INVALID COMPANY ID</v>
      </c>
      <c r="DB464" t="s">
        <v>597</v>
      </c>
      <c r="DC464">
        <v>4654230</v>
      </c>
      <c r="DD464" t="s">
        <v>346</v>
      </c>
      <c r="DE464" s="11">
        <v>0</v>
      </c>
      <c r="DF464" s="9" t="str">
        <f>_xll.SNL.Clients.Office.Excel.Functions.SPG(DC464, "SP_COUNTRY_NAME")</f>
        <v>Australia</v>
      </c>
      <c r="DK464" s="9" t="str">
        <f>_xll.SNL.Clients.Office.Excel.Functions.SPG(DH464, "SP_COUNTRY_NAME")</f>
        <v>#INVALID COMPANY ID</v>
      </c>
      <c r="DL464" t="s">
        <v>597</v>
      </c>
      <c r="DM464">
        <v>4654230</v>
      </c>
      <c r="DN464" t="s">
        <v>346</v>
      </c>
      <c r="DO464" s="11">
        <v>0</v>
      </c>
      <c r="DP464" s="9" t="str">
        <f>_xll.SNL.Clients.Office.Excel.Functions.SPG(DM464, "SP_COUNTRY_NAME")</f>
        <v>Australia</v>
      </c>
      <c r="DU464" s="9" t="str">
        <f>_xll.SNL.Clients.Office.Excel.Functions.SPG(DR464, "SP_COUNTRY_NAME")</f>
        <v>#INVALID COMPANY ID</v>
      </c>
      <c r="DZ464" s="9" t="str">
        <f>_xll.SNL.Clients.Office.Excel.Functions.SPG(DW464, "SP_COUNTRY_NAME")</f>
        <v>#INVALID COMPANY ID</v>
      </c>
      <c r="EA464" t="s">
        <v>1879</v>
      </c>
      <c r="EB464">
        <v>29491243</v>
      </c>
      <c r="EC464" t="s">
        <v>346</v>
      </c>
      <c r="ED464" s="11">
        <v>0</v>
      </c>
      <c r="EE464" s="9" t="str">
        <f>_xll.SNL.Clients.Office.Excel.Functions.SPG(EB464, "SP_COUNTRY_NAME")</f>
        <v>Brazil</v>
      </c>
      <c r="EF464" t="s">
        <v>597</v>
      </c>
      <c r="EG464">
        <v>4654230</v>
      </c>
      <c r="EH464" t="s">
        <v>346</v>
      </c>
      <c r="EI464" s="11">
        <v>0</v>
      </c>
      <c r="EJ464" s="9" t="str">
        <f>_xll.SNL.Clients.Office.Excel.Functions.SPG(EG464, "SP_COUNTRY_NAME")</f>
        <v>Australia</v>
      </c>
      <c r="EO464" s="9" t="str">
        <f>_xll.SNL.Clients.Office.Excel.Functions.SPG(EL464, "SP_COUNTRY_NAME")</f>
        <v>#INVALID COMPANY ID</v>
      </c>
      <c r="ET464" s="9" t="str">
        <f>_xll.SNL.Clients.Office.Excel.Functions.SPG(EQ464, "SP_COUNTRY_NAME")</f>
        <v>#INVALID COMPANY ID</v>
      </c>
      <c r="EY464" s="9" t="str">
        <f>_xll.SNL.Clients.Office.Excel.Functions.SPG(EV464, "SP_COUNTRY_NAME")</f>
        <v>#INVALID COMPANY ID</v>
      </c>
      <c r="FD464" s="9" t="str">
        <f>_xll.SNL.Clients.Office.Excel.Functions.SPG(FA464, "SP_COUNTRY_NAME")</f>
        <v>#INVALID COMPANY ID</v>
      </c>
      <c r="FI464" s="9" t="str">
        <f>_xll.SNL.Clients.Office.Excel.Functions.SPG(FF464, "SP_COUNTRY_NAME")</f>
        <v>#INVALID COMPANY ID</v>
      </c>
      <c r="FN464" s="9" t="str">
        <f>_xll.SNL.Clients.Office.Excel.Functions.SPG(FK464, "SP_COUNTRY_NAME")</f>
        <v>#INVALID COMPANY ID</v>
      </c>
      <c r="FS464" s="9" t="str">
        <f>_xll.SNL.Clients.Office.Excel.Functions.SPG(FP464, "SP_COUNTRY_NAME")</f>
        <v>#INVALID COMPANY ID</v>
      </c>
      <c r="FX464" s="9" t="str">
        <f>_xll.SNL.Clients.Office.Excel.Functions.SPG(FU464, "SP_COUNTRY_NAME")</f>
        <v>#INVALID COMPANY ID</v>
      </c>
      <c r="FY464" t="s">
        <v>597</v>
      </c>
      <c r="FZ464">
        <v>4654230</v>
      </c>
      <c r="GA464" t="s">
        <v>346</v>
      </c>
      <c r="GB464" s="11">
        <v>0</v>
      </c>
      <c r="GC464" s="9" t="str">
        <f>_xll.SNL.Clients.Office.Excel.Functions.SPG(FZ464, "SP_COUNTRY_NAME")</f>
        <v>Australia</v>
      </c>
      <c r="GH464" s="9" t="str">
        <f>_xll.SNL.Clients.Office.Excel.Functions.SPG(GE464, "SP_COUNTRY_NAME")</f>
        <v>#INVALID COMPANY ID</v>
      </c>
      <c r="GM464" s="9" t="str">
        <f>_xll.SNL.Clients.Office.Excel.Functions.SPG(GJ464, "SP_COUNTRY_NAME")</f>
        <v>#INVALID COMPANY ID</v>
      </c>
      <c r="GR464" s="9" t="str">
        <f>_xll.SNL.Clients.Office.Excel.Functions.SPG(GO464, "SP_COUNTRY_NAME")</f>
        <v>#INVALID COMPANY ID</v>
      </c>
      <c r="GW464" s="9" t="str">
        <f>_xll.SNL.Clients.Office.Excel.Functions.SPG(GT464, "SP_COUNTRY_NAME")</f>
        <v>#INVALID COMPANY ID</v>
      </c>
      <c r="GX464" t="s">
        <v>1879</v>
      </c>
      <c r="GY464">
        <v>29491243</v>
      </c>
      <c r="GZ464" t="s">
        <v>346</v>
      </c>
      <c r="HA464" s="11">
        <v>0</v>
      </c>
      <c r="HB464" s="9" t="str">
        <f>_xll.SNL.Clients.Office.Excel.Functions.SPG(GY464, "SP_COUNTRY_NAME")</f>
        <v>Brazil</v>
      </c>
      <c r="HG464" s="9" t="str">
        <f>_xll.SNL.Clients.Office.Excel.Functions.SPG(HD464, "SP_COUNTRY_NAME")</f>
        <v>#INVALID COMPANY ID</v>
      </c>
    </row>
    <row r="465" spans="5:215" x14ac:dyDescent="0.35">
      <c r="E465" s="9" t="str">
        <f>_xll.SNL.Clients.Office.Excel.Functions.SPG(B465, "SP_COUNTRY_NAME")</f>
        <v>#INVALID COMPANY ID</v>
      </c>
      <c r="J465" s="9" t="str">
        <f>_xll.SNL.Clients.Office.Excel.Functions.SPG(G465, "SP_COUNTRY_NAME")</f>
        <v>#INVALID COMPANY ID</v>
      </c>
      <c r="O465" s="9" t="str">
        <f>_xll.SNL.Clients.Office.Excel.Functions.SPG(L465, "SP_COUNTRY_NAME")</f>
        <v>#INVALID COMPANY ID</v>
      </c>
      <c r="T465" s="9" t="str">
        <f>_xll.SNL.Clients.Office.Excel.Functions.SPG(Q465, "SP_COUNTRY_NAME")</f>
        <v>#INVALID COMPANY ID</v>
      </c>
      <c r="Y465" s="9" t="str">
        <f>_xll.SNL.Clients.Office.Excel.Functions.SPG(V465, "SP_COUNTRY_NAME")</f>
        <v>#INVALID COMPANY ID</v>
      </c>
      <c r="AD465" s="9" t="str">
        <f>_xll.SNL.Clients.Office.Excel.Functions.SPG(AA465, "SP_COUNTRY_NAME")</f>
        <v>#INVALID COMPANY ID</v>
      </c>
      <c r="AI465" s="9" t="str">
        <f>_xll.SNL.Clients.Office.Excel.Functions.SPG(AF465, "SP_COUNTRY_NAME")</f>
        <v>#INVALID COMPANY ID</v>
      </c>
      <c r="AN465" s="9" t="str">
        <f>_xll.SNL.Clients.Office.Excel.Functions.SPG(AK465, "SP_COUNTRY_NAME")</f>
        <v>#INVALID COMPANY ID</v>
      </c>
      <c r="AS465" s="9" t="str">
        <f>_xll.SNL.Clients.Office.Excel.Functions.SPG(AP465, "SP_COUNTRY_NAME")</f>
        <v>#INVALID COMPANY ID</v>
      </c>
      <c r="AX465" s="9" t="str">
        <f>_xll.SNL.Clients.Office.Excel.Functions.SPG(AU465, "SP_COUNTRY_NAME")</f>
        <v>#INVALID COMPANY ID</v>
      </c>
      <c r="BC465" s="9" t="str">
        <f>_xll.SNL.Clients.Office.Excel.Functions.SPG(AZ465, "SP_COUNTRY_NAME")</f>
        <v>#INVALID COMPANY ID</v>
      </c>
      <c r="BD465" t="s">
        <v>1538</v>
      </c>
      <c r="BE465">
        <v>4416983</v>
      </c>
      <c r="BF465" t="s">
        <v>366</v>
      </c>
      <c r="BG465" s="11">
        <v>0</v>
      </c>
      <c r="BH465" s="9" t="str">
        <f>_xll.SNL.Clients.Office.Excel.Functions.SPG(BE465, "SP_COUNTRY_NAME")</f>
        <v>Spain</v>
      </c>
      <c r="BM465" s="9" t="str">
        <f>_xll.SNL.Clients.Office.Excel.Functions.SPG(BJ465, "SP_COUNTRY_NAME")</f>
        <v>#INVALID COMPANY ID</v>
      </c>
      <c r="BR465" s="9" t="str">
        <f>_xll.SNL.Clients.Office.Excel.Functions.SPG(BO465, "SP_COUNTRY_NAME")</f>
        <v>#INVALID COMPANY ID</v>
      </c>
      <c r="BS465" t="s">
        <v>1088</v>
      </c>
      <c r="BT465" t="s">
        <v>300</v>
      </c>
      <c r="BU465" t="s">
        <v>361</v>
      </c>
      <c r="BV465" s="11">
        <v>0</v>
      </c>
      <c r="BW465" s="9" t="str">
        <f>_xll.SNL.Clients.Office.Excel.Functions.SPG(BT465, "SP_COUNTRY_NAME")</f>
        <v>China</v>
      </c>
      <c r="CB465" s="9" t="str">
        <f>_xll.SNL.Clients.Office.Excel.Functions.SPG(BY465, "SP_COUNTRY_NAME")</f>
        <v>#INVALID COMPANY ID</v>
      </c>
      <c r="CC465" t="s">
        <v>1880</v>
      </c>
      <c r="CD465">
        <v>4679925</v>
      </c>
      <c r="CE465" t="s">
        <v>346</v>
      </c>
      <c r="CF465" s="11">
        <v>0</v>
      </c>
      <c r="CG465" s="9" t="str">
        <f>_xll.SNL.Clients.Office.Excel.Functions.SPG(CD465, "SP_COUNTRY_NAME")</f>
        <v>USA</v>
      </c>
      <c r="CL465" s="9" t="str">
        <f>_xll.SNL.Clients.Office.Excel.Functions.SPG(CI465, "SP_COUNTRY_NAME")</f>
        <v>#INVALID COMPANY ID</v>
      </c>
      <c r="CM465" t="s">
        <v>2098</v>
      </c>
      <c r="CN465">
        <v>10855004</v>
      </c>
      <c r="CO465" t="s">
        <v>346</v>
      </c>
      <c r="CP465" s="11">
        <v>0</v>
      </c>
      <c r="CQ465" s="9" t="str">
        <f>_xll.SNL.Clients.Office.Excel.Functions.SPG(CN465, "SP_COUNTRY_NAME")</f>
        <v>USA</v>
      </c>
      <c r="CV465" s="9" t="str">
        <f>_xll.SNL.Clients.Office.Excel.Functions.SPG(CS465, "SP_COUNTRY_NAME")</f>
        <v>#INVALID COMPANY ID</v>
      </c>
      <c r="DA465" s="9" t="str">
        <f>_xll.SNL.Clients.Office.Excel.Functions.SPG(CX465, "SP_COUNTRY_NAME")</f>
        <v>#INVALID COMPANY ID</v>
      </c>
      <c r="DB465" t="s">
        <v>1538</v>
      </c>
      <c r="DC465">
        <v>4416983</v>
      </c>
      <c r="DD465" t="s">
        <v>366</v>
      </c>
      <c r="DE465" s="11">
        <v>0</v>
      </c>
      <c r="DF465" s="9" t="str">
        <f>_xll.SNL.Clients.Office.Excel.Functions.SPG(DC465, "SP_COUNTRY_NAME")</f>
        <v>Spain</v>
      </c>
      <c r="DK465" s="9" t="str">
        <f>_xll.SNL.Clients.Office.Excel.Functions.SPG(DH465, "SP_COUNTRY_NAME")</f>
        <v>#INVALID COMPANY ID</v>
      </c>
      <c r="DL465" t="s">
        <v>1538</v>
      </c>
      <c r="DM465">
        <v>4416983</v>
      </c>
      <c r="DN465" t="s">
        <v>366</v>
      </c>
      <c r="DO465" s="11">
        <v>0</v>
      </c>
      <c r="DP465" s="9" t="str">
        <f>_xll.SNL.Clients.Office.Excel.Functions.SPG(DM465, "SP_COUNTRY_NAME")</f>
        <v>Spain</v>
      </c>
      <c r="DU465" s="9" t="str">
        <f>_xll.SNL.Clients.Office.Excel.Functions.SPG(DR465, "SP_COUNTRY_NAME")</f>
        <v>#INVALID COMPANY ID</v>
      </c>
      <c r="DZ465" s="9" t="str">
        <f>_xll.SNL.Clients.Office.Excel.Functions.SPG(DW465, "SP_COUNTRY_NAME")</f>
        <v>#INVALID COMPANY ID</v>
      </c>
      <c r="EA465" t="s">
        <v>1880</v>
      </c>
      <c r="EB465">
        <v>4679925</v>
      </c>
      <c r="EC465" t="s">
        <v>346</v>
      </c>
      <c r="ED465" s="11">
        <v>0</v>
      </c>
      <c r="EE465" s="9" t="str">
        <f>_xll.SNL.Clients.Office.Excel.Functions.SPG(EB465, "SP_COUNTRY_NAME")</f>
        <v>USA</v>
      </c>
      <c r="EF465" t="s">
        <v>1538</v>
      </c>
      <c r="EG465">
        <v>4416983</v>
      </c>
      <c r="EH465" t="s">
        <v>366</v>
      </c>
      <c r="EI465" s="11">
        <v>0</v>
      </c>
      <c r="EJ465" s="9" t="str">
        <f>_xll.SNL.Clients.Office.Excel.Functions.SPG(EG465, "SP_COUNTRY_NAME")</f>
        <v>Spain</v>
      </c>
      <c r="EO465" s="9" t="str">
        <f>_xll.SNL.Clients.Office.Excel.Functions.SPG(EL465, "SP_COUNTRY_NAME")</f>
        <v>#INVALID COMPANY ID</v>
      </c>
      <c r="ET465" s="9" t="str">
        <f>_xll.SNL.Clients.Office.Excel.Functions.SPG(EQ465, "SP_COUNTRY_NAME")</f>
        <v>#INVALID COMPANY ID</v>
      </c>
      <c r="EY465" s="9" t="str">
        <f>_xll.SNL.Clients.Office.Excel.Functions.SPG(EV465, "SP_COUNTRY_NAME")</f>
        <v>#INVALID COMPANY ID</v>
      </c>
      <c r="FD465" s="9" t="str">
        <f>_xll.SNL.Clients.Office.Excel.Functions.SPG(FA465, "SP_COUNTRY_NAME")</f>
        <v>#INVALID COMPANY ID</v>
      </c>
      <c r="FI465" s="9" t="str">
        <f>_xll.SNL.Clients.Office.Excel.Functions.SPG(FF465, "SP_COUNTRY_NAME")</f>
        <v>#INVALID COMPANY ID</v>
      </c>
      <c r="FN465" s="9" t="str">
        <f>_xll.SNL.Clients.Office.Excel.Functions.SPG(FK465, "SP_COUNTRY_NAME")</f>
        <v>#INVALID COMPANY ID</v>
      </c>
      <c r="FS465" s="9" t="str">
        <f>_xll.SNL.Clients.Office.Excel.Functions.SPG(FP465, "SP_COUNTRY_NAME")</f>
        <v>#INVALID COMPANY ID</v>
      </c>
      <c r="FX465" s="9" t="str">
        <f>_xll.SNL.Clients.Office.Excel.Functions.SPG(FU465, "SP_COUNTRY_NAME")</f>
        <v>#INVALID COMPANY ID</v>
      </c>
      <c r="FY465" t="s">
        <v>1538</v>
      </c>
      <c r="FZ465">
        <v>4416983</v>
      </c>
      <c r="GA465" t="s">
        <v>366</v>
      </c>
      <c r="GB465" s="11">
        <v>0</v>
      </c>
      <c r="GC465" s="9" t="str">
        <f>_xll.SNL.Clients.Office.Excel.Functions.SPG(FZ465, "SP_COUNTRY_NAME")</f>
        <v>Spain</v>
      </c>
      <c r="GH465" s="9" t="str">
        <f>_xll.SNL.Clients.Office.Excel.Functions.SPG(GE465, "SP_COUNTRY_NAME")</f>
        <v>#INVALID COMPANY ID</v>
      </c>
      <c r="GM465" s="9" t="str">
        <f>_xll.SNL.Clients.Office.Excel.Functions.SPG(GJ465, "SP_COUNTRY_NAME")</f>
        <v>#INVALID COMPANY ID</v>
      </c>
      <c r="GR465" s="9" t="str">
        <f>_xll.SNL.Clients.Office.Excel.Functions.SPG(GO465, "SP_COUNTRY_NAME")</f>
        <v>#INVALID COMPANY ID</v>
      </c>
      <c r="GW465" s="9" t="str">
        <f>_xll.SNL.Clients.Office.Excel.Functions.SPG(GT465, "SP_COUNTRY_NAME")</f>
        <v>#INVALID COMPANY ID</v>
      </c>
      <c r="GX465" t="s">
        <v>1880</v>
      </c>
      <c r="GY465">
        <v>4679925</v>
      </c>
      <c r="GZ465" t="s">
        <v>346</v>
      </c>
      <c r="HA465" s="11">
        <v>0</v>
      </c>
      <c r="HB465" s="9" t="str">
        <f>_xll.SNL.Clients.Office.Excel.Functions.SPG(GY465, "SP_COUNTRY_NAME")</f>
        <v>USA</v>
      </c>
      <c r="HG465" s="9" t="str">
        <f>_xll.SNL.Clients.Office.Excel.Functions.SPG(HD465, "SP_COUNTRY_NAME")</f>
        <v>#INVALID COMPANY ID</v>
      </c>
    </row>
    <row r="466" spans="5:215" x14ac:dyDescent="0.35">
      <c r="E466" s="9" t="str">
        <f>_xll.SNL.Clients.Office.Excel.Functions.SPG(B466, "SP_COUNTRY_NAME")</f>
        <v>#INVALID COMPANY ID</v>
      </c>
      <c r="J466" s="9" t="str">
        <f>_xll.SNL.Clients.Office.Excel.Functions.SPG(G466, "SP_COUNTRY_NAME")</f>
        <v>#INVALID COMPANY ID</v>
      </c>
      <c r="O466" s="9" t="str">
        <f>_xll.SNL.Clients.Office.Excel.Functions.SPG(L466, "SP_COUNTRY_NAME")</f>
        <v>#INVALID COMPANY ID</v>
      </c>
      <c r="T466" s="9" t="str">
        <f>_xll.SNL.Clients.Office.Excel.Functions.SPG(Q466, "SP_COUNTRY_NAME")</f>
        <v>#INVALID COMPANY ID</v>
      </c>
      <c r="Y466" s="9" t="str">
        <f>_xll.SNL.Clients.Office.Excel.Functions.SPG(V466, "SP_COUNTRY_NAME")</f>
        <v>#INVALID COMPANY ID</v>
      </c>
      <c r="AD466" s="9" t="str">
        <f>_xll.SNL.Clients.Office.Excel.Functions.SPG(AA466, "SP_COUNTRY_NAME")</f>
        <v>#INVALID COMPANY ID</v>
      </c>
      <c r="AI466" s="9" t="str">
        <f>_xll.SNL.Clients.Office.Excel.Functions.SPG(AF466, "SP_COUNTRY_NAME")</f>
        <v>#INVALID COMPANY ID</v>
      </c>
      <c r="AN466" s="9" t="str">
        <f>_xll.SNL.Clients.Office.Excel.Functions.SPG(AK466, "SP_COUNTRY_NAME")</f>
        <v>#INVALID COMPANY ID</v>
      </c>
      <c r="AS466" s="9" t="str">
        <f>_xll.SNL.Clients.Office.Excel.Functions.SPG(AP466, "SP_COUNTRY_NAME")</f>
        <v>#INVALID COMPANY ID</v>
      </c>
      <c r="AX466" s="9" t="str">
        <f>_xll.SNL.Clients.Office.Excel.Functions.SPG(AU466, "SP_COUNTRY_NAME")</f>
        <v>#INVALID COMPANY ID</v>
      </c>
      <c r="BC466" s="9" t="str">
        <f>_xll.SNL.Clients.Office.Excel.Functions.SPG(AZ466, "SP_COUNTRY_NAME")</f>
        <v>#INVALID COMPANY ID</v>
      </c>
      <c r="BD466" t="s">
        <v>1539</v>
      </c>
      <c r="BE466">
        <v>117631848</v>
      </c>
      <c r="BF466" t="s">
        <v>346</v>
      </c>
      <c r="BG466" s="11">
        <v>0</v>
      </c>
      <c r="BH466" s="9" t="str">
        <f>_xll.SNL.Clients.Office.Excel.Functions.SPG(BE466, "SP_COUNTRY_NAME")</f>
        <v>South Africa</v>
      </c>
      <c r="BM466" s="9" t="str">
        <f>_xll.SNL.Clients.Office.Excel.Functions.SPG(BJ466, "SP_COUNTRY_NAME")</f>
        <v>#INVALID COMPANY ID</v>
      </c>
      <c r="BR466" s="9" t="str">
        <f>_xll.SNL.Clients.Office.Excel.Functions.SPG(BO466, "SP_COUNTRY_NAME")</f>
        <v>#INVALID COMPANY ID</v>
      </c>
      <c r="BS466" t="s">
        <v>1089</v>
      </c>
      <c r="BT466">
        <v>4552264</v>
      </c>
      <c r="BU466" t="s">
        <v>346</v>
      </c>
      <c r="BV466" s="11">
        <v>0</v>
      </c>
      <c r="BW466" s="9" t="str">
        <f>_xll.SNL.Clients.Office.Excel.Functions.SPG(BT466, "SP_COUNTRY_NAME")</f>
        <v>Malaysia</v>
      </c>
      <c r="CB466" s="9" t="str">
        <f>_xll.SNL.Clients.Office.Excel.Functions.SPG(BY466, "SP_COUNTRY_NAME")</f>
        <v>#INVALID COMPANY ID</v>
      </c>
      <c r="CC466" t="s">
        <v>1086</v>
      </c>
      <c r="CD466">
        <v>4140526</v>
      </c>
      <c r="CE466" t="s">
        <v>346</v>
      </c>
      <c r="CF466" s="11">
        <v>0</v>
      </c>
      <c r="CG466" s="9" t="str">
        <f>_xll.SNL.Clients.Office.Excel.Functions.SPG(CD466, "SP_COUNTRY_NAME")</f>
        <v>United Kingdom</v>
      </c>
      <c r="CL466" s="9" t="str">
        <f>_xll.SNL.Clients.Office.Excel.Functions.SPG(CI466, "SP_COUNTRY_NAME")</f>
        <v>#INVALID COMPANY ID</v>
      </c>
      <c r="CM466" t="s">
        <v>2099</v>
      </c>
      <c r="CN466">
        <v>4218717</v>
      </c>
      <c r="CO466" t="s">
        <v>346</v>
      </c>
      <c r="CP466" s="11">
        <v>0</v>
      </c>
      <c r="CQ466" s="9" t="str">
        <f>_xll.SNL.Clients.Office.Excel.Functions.SPG(CN466, "SP_COUNTRY_NAME")</f>
        <v>USA</v>
      </c>
      <c r="CV466" s="9" t="str">
        <f>_xll.SNL.Clients.Office.Excel.Functions.SPG(CS466, "SP_COUNTRY_NAME")</f>
        <v>#INVALID COMPANY ID</v>
      </c>
      <c r="DA466" s="9" t="str">
        <f>_xll.SNL.Clients.Office.Excel.Functions.SPG(CX466, "SP_COUNTRY_NAME")</f>
        <v>#INVALID COMPANY ID</v>
      </c>
      <c r="DB466" t="s">
        <v>1539</v>
      </c>
      <c r="DC466">
        <v>117631848</v>
      </c>
      <c r="DD466" t="s">
        <v>346</v>
      </c>
      <c r="DE466" s="11">
        <v>0</v>
      </c>
      <c r="DF466" s="9" t="str">
        <f>_xll.SNL.Clients.Office.Excel.Functions.SPG(DC466, "SP_COUNTRY_NAME")</f>
        <v>South Africa</v>
      </c>
      <c r="DK466" s="9" t="str">
        <f>_xll.SNL.Clients.Office.Excel.Functions.SPG(DH466, "SP_COUNTRY_NAME")</f>
        <v>#INVALID COMPANY ID</v>
      </c>
      <c r="DL466" t="s">
        <v>1539</v>
      </c>
      <c r="DM466">
        <v>117631848</v>
      </c>
      <c r="DN466" t="s">
        <v>346</v>
      </c>
      <c r="DO466" s="11">
        <v>0</v>
      </c>
      <c r="DP466" s="9" t="str">
        <f>_xll.SNL.Clients.Office.Excel.Functions.SPG(DM466, "SP_COUNTRY_NAME")</f>
        <v>South Africa</v>
      </c>
      <c r="DU466" s="9" t="str">
        <f>_xll.SNL.Clients.Office.Excel.Functions.SPG(DR466, "SP_COUNTRY_NAME")</f>
        <v>#INVALID COMPANY ID</v>
      </c>
      <c r="DZ466" s="9" t="str">
        <f>_xll.SNL.Clients.Office.Excel.Functions.SPG(DW466, "SP_COUNTRY_NAME")</f>
        <v>#INVALID COMPANY ID</v>
      </c>
      <c r="EA466" t="s">
        <v>1086</v>
      </c>
      <c r="EB466">
        <v>4140526</v>
      </c>
      <c r="EC466" t="s">
        <v>346</v>
      </c>
      <c r="ED466" s="11">
        <v>0</v>
      </c>
      <c r="EE466" s="9" t="str">
        <f>_xll.SNL.Clients.Office.Excel.Functions.SPG(EB466, "SP_COUNTRY_NAME")</f>
        <v>United Kingdom</v>
      </c>
      <c r="EF466" t="s">
        <v>1539</v>
      </c>
      <c r="EG466">
        <v>117631848</v>
      </c>
      <c r="EH466" t="s">
        <v>346</v>
      </c>
      <c r="EI466" s="11">
        <v>0</v>
      </c>
      <c r="EJ466" s="9" t="str">
        <f>_xll.SNL.Clients.Office.Excel.Functions.SPG(EG466, "SP_COUNTRY_NAME")</f>
        <v>South Africa</v>
      </c>
      <c r="EO466" s="9" t="str">
        <f>_xll.SNL.Clients.Office.Excel.Functions.SPG(EL466, "SP_COUNTRY_NAME")</f>
        <v>#INVALID COMPANY ID</v>
      </c>
      <c r="ET466" s="9" t="str">
        <f>_xll.SNL.Clients.Office.Excel.Functions.SPG(EQ466, "SP_COUNTRY_NAME")</f>
        <v>#INVALID COMPANY ID</v>
      </c>
      <c r="EY466" s="9" t="str">
        <f>_xll.SNL.Clients.Office.Excel.Functions.SPG(EV466, "SP_COUNTRY_NAME")</f>
        <v>#INVALID COMPANY ID</v>
      </c>
      <c r="FD466" s="9" t="str">
        <f>_xll.SNL.Clients.Office.Excel.Functions.SPG(FA466, "SP_COUNTRY_NAME")</f>
        <v>#INVALID COMPANY ID</v>
      </c>
      <c r="FI466" s="9" t="str">
        <f>_xll.SNL.Clients.Office.Excel.Functions.SPG(FF466, "SP_COUNTRY_NAME")</f>
        <v>#INVALID COMPANY ID</v>
      </c>
      <c r="FN466" s="9" t="str">
        <f>_xll.SNL.Clients.Office.Excel.Functions.SPG(FK466, "SP_COUNTRY_NAME")</f>
        <v>#INVALID COMPANY ID</v>
      </c>
      <c r="FS466" s="9" t="str">
        <f>_xll.SNL.Clients.Office.Excel.Functions.SPG(FP466, "SP_COUNTRY_NAME")</f>
        <v>#INVALID COMPANY ID</v>
      </c>
      <c r="FX466" s="9" t="str">
        <f>_xll.SNL.Clients.Office.Excel.Functions.SPG(FU466, "SP_COUNTRY_NAME")</f>
        <v>#INVALID COMPANY ID</v>
      </c>
      <c r="FY466" t="s">
        <v>1539</v>
      </c>
      <c r="FZ466">
        <v>117631848</v>
      </c>
      <c r="GA466" t="s">
        <v>346</v>
      </c>
      <c r="GB466" s="11">
        <v>0</v>
      </c>
      <c r="GC466" s="9" t="str">
        <f>_xll.SNL.Clients.Office.Excel.Functions.SPG(FZ466, "SP_COUNTRY_NAME")</f>
        <v>South Africa</v>
      </c>
      <c r="GH466" s="9" t="str">
        <f>_xll.SNL.Clients.Office.Excel.Functions.SPG(GE466, "SP_COUNTRY_NAME")</f>
        <v>#INVALID COMPANY ID</v>
      </c>
      <c r="GM466" s="9" t="str">
        <f>_xll.SNL.Clients.Office.Excel.Functions.SPG(GJ466, "SP_COUNTRY_NAME")</f>
        <v>#INVALID COMPANY ID</v>
      </c>
      <c r="GR466" s="9" t="str">
        <f>_xll.SNL.Clients.Office.Excel.Functions.SPG(GO466, "SP_COUNTRY_NAME")</f>
        <v>#INVALID COMPANY ID</v>
      </c>
      <c r="GW466" s="9" t="str">
        <f>_xll.SNL.Clients.Office.Excel.Functions.SPG(GT466, "SP_COUNTRY_NAME")</f>
        <v>#INVALID COMPANY ID</v>
      </c>
      <c r="GX466" t="s">
        <v>1086</v>
      </c>
      <c r="GY466">
        <v>4140526</v>
      </c>
      <c r="GZ466" t="s">
        <v>346</v>
      </c>
      <c r="HA466" s="11">
        <v>0</v>
      </c>
      <c r="HB466" s="9" t="str">
        <f>_xll.SNL.Clients.Office.Excel.Functions.SPG(GY466, "SP_COUNTRY_NAME")</f>
        <v>United Kingdom</v>
      </c>
      <c r="HG466" s="9" t="str">
        <f>_xll.SNL.Clients.Office.Excel.Functions.SPG(HD466, "SP_COUNTRY_NAME")</f>
        <v>#INVALID COMPANY ID</v>
      </c>
    </row>
    <row r="467" spans="5:215" x14ac:dyDescent="0.35">
      <c r="E467" s="9" t="str">
        <f>_xll.SNL.Clients.Office.Excel.Functions.SPG(B467, "SP_COUNTRY_NAME")</f>
        <v>#INVALID COMPANY ID</v>
      </c>
      <c r="J467" s="9" t="str">
        <f>_xll.SNL.Clients.Office.Excel.Functions.SPG(G467, "SP_COUNTRY_NAME")</f>
        <v>#INVALID COMPANY ID</v>
      </c>
      <c r="O467" s="9" t="str">
        <f>_xll.SNL.Clients.Office.Excel.Functions.SPG(L467, "SP_COUNTRY_NAME")</f>
        <v>#INVALID COMPANY ID</v>
      </c>
      <c r="T467" s="9" t="str">
        <f>_xll.SNL.Clients.Office.Excel.Functions.SPG(Q467, "SP_COUNTRY_NAME")</f>
        <v>#INVALID COMPANY ID</v>
      </c>
      <c r="Y467" s="9" t="str">
        <f>_xll.SNL.Clients.Office.Excel.Functions.SPG(V467, "SP_COUNTRY_NAME")</f>
        <v>#INVALID COMPANY ID</v>
      </c>
      <c r="AD467" s="9" t="str">
        <f>_xll.SNL.Clients.Office.Excel.Functions.SPG(AA467, "SP_COUNTRY_NAME")</f>
        <v>#INVALID COMPANY ID</v>
      </c>
      <c r="AI467" s="9" t="str">
        <f>_xll.SNL.Clients.Office.Excel.Functions.SPG(AF467, "SP_COUNTRY_NAME")</f>
        <v>#INVALID COMPANY ID</v>
      </c>
      <c r="AN467" s="9" t="str">
        <f>_xll.SNL.Clients.Office.Excel.Functions.SPG(AK467, "SP_COUNTRY_NAME")</f>
        <v>#INVALID COMPANY ID</v>
      </c>
      <c r="AS467" s="9" t="str">
        <f>_xll.SNL.Clients.Office.Excel.Functions.SPG(AP467, "SP_COUNTRY_NAME")</f>
        <v>#INVALID COMPANY ID</v>
      </c>
      <c r="AX467" s="9" t="str">
        <f>_xll.SNL.Clients.Office.Excel.Functions.SPG(AU467, "SP_COUNTRY_NAME")</f>
        <v>#INVALID COMPANY ID</v>
      </c>
      <c r="BC467" s="9" t="str">
        <f>_xll.SNL.Clients.Office.Excel.Functions.SPG(AZ467, "SP_COUNTRY_NAME")</f>
        <v>#INVALID COMPANY ID</v>
      </c>
      <c r="BD467" t="s">
        <v>1245</v>
      </c>
      <c r="BE467">
        <v>6729481</v>
      </c>
      <c r="BF467" t="s">
        <v>346</v>
      </c>
      <c r="BG467" s="11">
        <v>0</v>
      </c>
      <c r="BH467" s="9" t="str">
        <f>_xll.SNL.Clients.Office.Excel.Functions.SPG(BE467, "SP_COUNTRY_NAME")</f>
        <v>Germany</v>
      </c>
      <c r="BM467" s="9" t="str">
        <f>_xll.SNL.Clients.Office.Excel.Functions.SPG(BJ467, "SP_COUNTRY_NAME")</f>
        <v>#INVALID COMPANY ID</v>
      </c>
      <c r="BR467" s="9" t="str">
        <f>_xll.SNL.Clients.Office.Excel.Functions.SPG(BO467, "SP_COUNTRY_NAME")</f>
        <v>#INVALID COMPANY ID</v>
      </c>
      <c r="BS467" t="s">
        <v>1090</v>
      </c>
      <c r="BT467">
        <v>4547746</v>
      </c>
      <c r="BU467" t="s">
        <v>346</v>
      </c>
      <c r="BV467" s="11">
        <v>0</v>
      </c>
      <c r="BW467" s="9" t="str">
        <f>_xll.SNL.Clients.Office.Excel.Functions.SPG(BT467, "SP_COUNTRY_NAME")</f>
        <v>Germany</v>
      </c>
      <c r="CB467" s="9" t="str">
        <f>_xll.SNL.Clients.Office.Excel.Functions.SPG(BY467, "SP_COUNTRY_NAME")</f>
        <v>#INVALID COMPANY ID</v>
      </c>
      <c r="CC467" t="s">
        <v>1881</v>
      </c>
      <c r="CD467">
        <v>4093415</v>
      </c>
      <c r="CE467" t="s">
        <v>346</v>
      </c>
      <c r="CF467" s="11">
        <v>0</v>
      </c>
      <c r="CG467" s="9" t="str">
        <f>_xll.SNL.Clients.Office.Excel.Functions.SPG(CD467, "SP_COUNTRY_NAME")</f>
        <v>USA</v>
      </c>
      <c r="CL467" s="9" t="str">
        <f>_xll.SNL.Clients.Office.Excel.Functions.SPG(CI467, "SP_COUNTRY_NAME")</f>
        <v>#INVALID COMPANY ID</v>
      </c>
      <c r="CM467" t="s">
        <v>2100</v>
      </c>
      <c r="CN467">
        <v>4243939</v>
      </c>
      <c r="CO467" t="s">
        <v>346</v>
      </c>
      <c r="CP467" s="11">
        <v>0</v>
      </c>
      <c r="CQ467" s="9" t="str">
        <f>_xll.SNL.Clients.Office.Excel.Functions.SPG(CN467, "SP_COUNTRY_NAME")</f>
        <v>USA</v>
      </c>
      <c r="CV467" s="9" t="str">
        <f>_xll.SNL.Clients.Office.Excel.Functions.SPG(CS467, "SP_COUNTRY_NAME")</f>
        <v>#INVALID COMPANY ID</v>
      </c>
      <c r="DA467" s="9" t="str">
        <f>_xll.SNL.Clients.Office.Excel.Functions.SPG(CX467, "SP_COUNTRY_NAME")</f>
        <v>#INVALID COMPANY ID</v>
      </c>
      <c r="DB467" t="s">
        <v>1245</v>
      </c>
      <c r="DC467">
        <v>6729481</v>
      </c>
      <c r="DD467" t="s">
        <v>346</v>
      </c>
      <c r="DE467" s="11">
        <v>0</v>
      </c>
      <c r="DF467" s="9" t="str">
        <f>_xll.SNL.Clients.Office.Excel.Functions.SPG(DC467, "SP_COUNTRY_NAME")</f>
        <v>Germany</v>
      </c>
      <c r="DK467" s="9" t="str">
        <f>_xll.SNL.Clients.Office.Excel.Functions.SPG(DH467, "SP_COUNTRY_NAME")</f>
        <v>#INVALID COMPANY ID</v>
      </c>
      <c r="DL467" t="s">
        <v>1245</v>
      </c>
      <c r="DM467">
        <v>6729481</v>
      </c>
      <c r="DN467" t="s">
        <v>346</v>
      </c>
      <c r="DO467" s="11">
        <v>0</v>
      </c>
      <c r="DP467" s="9" t="str">
        <f>_xll.SNL.Clients.Office.Excel.Functions.SPG(DM467, "SP_COUNTRY_NAME")</f>
        <v>Germany</v>
      </c>
      <c r="DU467" s="9" t="str">
        <f>_xll.SNL.Clients.Office.Excel.Functions.SPG(DR467, "SP_COUNTRY_NAME")</f>
        <v>#INVALID COMPANY ID</v>
      </c>
      <c r="DZ467" s="9" t="str">
        <f>_xll.SNL.Clients.Office.Excel.Functions.SPG(DW467, "SP_COUNTRY_NAME")</f>
        <v>#INVALID COMPANY ID</v>
      </c>
      <c r="EA467" t="s">
        <v>1881</v>
      </c>
      <c r="EB467">
        <v>4093415</v>
      </c>
      <c r="EC467" t="s">
        <v>346</v>
      </c>
      <c r="ED467" s="11">
        <v>0</v>
      </c>
      <c r="EE467" s="9" t="str">
        <f>_xll.SNL.Clients.Office.Excel.Functions.SPG(EB467, "SP_COUNTRY_NAME")</f>
        <v>USA</v>
      </c>
      <c r="EF467" t="s">
        <v>1245</v>
      </c>
      <c r="EG467">
        <v>6729481</v>
      </c>
      <c r="EH467" t="s">
        <v>346</v>
      </c>
      <c r="EI467" s="11">
        <v>0</v>
      </c>
      <c r="EJ467" s="9" t="str">
        <f>_xll.SNL.Clients.Office.Excel.Functions.SPG(EG467, "SP_COUNTRY_NAME")</f>
        <v>Germany</v>
      </c>
      <c r="EO467" s="9" t="str">
        <f>_xll.SNL.Clients.Office.Excel.Functions.SPG(EL467, "SP_COUNTRY_NAME")</f>
        <v>#INVALID COMPANY ID</v>
      </c>
      <c r="ET467" s="9" t="str">
        <f>_xll.SNL.Clients.Office.Excel.Functions.SPG(EQ467, "SP_COUNTRY_NAME")</f>
        <v>#INVALID COMPANY ID</v>
      </c>
      <c r="EY467" s="9" t="str">
        <f>_xll.SNL.Clients.Office.Excel.Functions.SPG(EV467, "SP_COUNTRY_NAME")</f>
        <v>#INVALID COMPANY ID</v>
      </c>
      <c r="FD467" s="9" t="str">
        <f>_xll.SNL.Clients.Office.Excel.Functions.SPG(FA467, "SP_COUNTRY_NAME")</f>
        <v>#INVALID COMPANY ID</v>
      </c>
      <c r="FI467" s="9" t="str">
        <f>_xll.SNL.Clients.Office.Excel.Functions.SPG(FF467, "SP_COUNTRY_NAME")</f>
        <v>#INVALID COMPANY ID</v>
      </c>
      <c r="FN467" s="9" t="str">
        <f>_xll.SNL.Clients.Office.Excel.Functions.SPG(FK467, "SP_COUNTRY_NAME")</f>
        <v>#INVALID COMPANY ID</v>
      </c>
      <c r="FS467" s="9" t="str">
        <f>_xll.SNL.Clients.Office.Excel.Functions.SPG(FP467, "SP_COUNTRY_NAME")</f>
        <v>#INVALID COMPANY ID</v>
      </c>
      <c r="FX467" s="9" t="str">
        <f>_xll.SNL.Clients.Office.Excel.Functions.SPG(FU467, "SP_COUNTRY_NAME")</f>
        <v>#INVALID COMPANY ID</v>
      </c>
      <c r="FY467" t="s">
        <v>1245</v>
      </c>
      <c r="FZ467">
        <v>6729481</v>
      </c>
      <c r="GA467" t="s">
        <v>346</v>
      </c>
      <c r="GB467" s="11">
        <v>0</v>
      </c>
      <c r="GC467" s="9" t="str">
        <f>_xll.SNL.Clients.Office.Excel.Functions.SPG(FZ467, "SP_COUNTRY_NAME")</f>
        <v>Germany</v>
      </c>
      <c r="GH467" s="9" t="str">
        <f>_xll.SNL.Clients.Office.Excel.Functions.SPG(GE467, "SP_COUNTRY_NAME")</f>
        <v>#INVALID COMPANY ID</v>
      </c>
      <c r="GM467" s="9" t="str">
        <f>_xll.SNL.Clients.Office.Excel.Functions.SPG(GJ467, "SP_COUNTRY_NAME")</f>
        <v>#INVALID COMPANY ID</v>
      </c>
      <c r="GR467" s="9" t="str">
        <f>_xll.SNL.Clients.Office.Excel.Functions.SPG(GO467, "SP_COUNTRY_NAME")</f>
        <v>#INVALID COMPANY ID</v>
      </c>
      <c r="GW467" s="9" t="str">
        <f>_xll.SNL.Clients.Office.Excel.Functions.SPG(GT467, "SP_COUNTRY_NAME")</f>
        <v>#INVALID COMPANY ID</v>
      </c>
      <c r="GX467" t="s">
        <v>1881</v>
      </c>
      <c r="GY467">
        <v>4093415</v>
      </c>
      <c r="GZ467" t="s">
        <v>346</v>
      </c>
      <c r="HA467" s="11">
        <v>0</v>
      </c>
      <c r="HB467" s="9" t="str">
        <f>_xll.SNL.Clients.Office.Excel.Functions.SPG(GY467, "SP_COUNTRY_NAME")</f>
        <v>USA</v>
      </c>
      <c r="HG467" s="9" t="str">
        <f>_xll.SNL.Clients.Office.Excel.Functions.SPG(HD467, "SP_COUNTRY_NAME")</f>
        <v>#INVALID COMPANY ID</v>
      </c>
    </row>
    <row r="468" spans="5:215" x14ac:dyDescent="0.35">
      <c r="E468" s="9" t="str">
        <f>_xll.SNL.Clients.Office.Excel.Functions.SPG(B468, "SP_COUNTRY_NAME")</f>
        <v>#INVALID COMPANY ID</v>
      </c>
      <c r="J468" s="9" t="str">
        <f>_xll.SNL.Clients.Office.Excel.Functions.SPG(G468, "SP_COUNTRY_NAME")</f>
        <v>#INVALID COMPANY ID</v>
      </c>
      <c r="O468" s="9" t="str">
        <f>_xll.SNL.Clients.Office.Excel.Functions.SPG(L468, "SP_COUNTRY_NAME")</f>
        <v>#INVALID COMPANY ID</v>
      </c>
      <c r="T468" s="9" t="str">
        <f>_xll.SNL.Clients.Office.Excel.Functions.SPG(Q468, "SP_COUNTRY_NAME")</f>
        <v>#INVALID COMPANY ID</v>
      </c>
      <c r="Y468" s="9" t="str">
        <f>_xll.SNL.Clients.Office.Excel.Functions.SPG(V468, "SP_COUNTRY_NAME")</f>
        <v>#INVALID COMPANY ID</v>
      </c>
      <c r="AD468" s="9" t="str">
        <f>_xll.SNL.Clients.Office.Excel.Functions.SPG(AA468, "SP_COUNTRY_NAME")</f>
        <v>#INVALID COMPANY ID</v>
      </c>
      <c r="AI468" s="9" t="str">
        <f>_xll.SNL.Clients.Office.Excel.Functions.SPG(AF468, "SP_COUNTRY_NAME")</f>
        <v>#INVALID COMPANY ID</v>
      </c>
      <c r="AN468" s="9" t="str">
        <f>_xll.SNL.Clients.Office.Excel.Functions.SPG(AK468, "SP_COUNTRY_NAME")</f>
        <v>#INVALID COMPANY ID</v>
      </c>
      <c r="AS468" s="9" t="str">
        <f>_xll.SNL.Clients.Office.Excel.Functions.SPG(AP468, "SP_COUNTRY_NAME")</f>
        <v>#INVALID COMPANY ID</v>
      </c>
      <c r="AX468" s="9" t="str">
        <f>_xll.SNL.Clients.Office.Excel.Functions.SPG(AU468, "SP_COUNTRY_NAME")</f>
        <v>#INVALID COMPANY ID</v>
      </c>
      <c r="BC468" s="9" t="str">
        <f>_xll.SNL.Clients.Office.Excel.Functions.SPG(AZ468, "SP_COUNTRY_NAME")</f>
        <v>#INVALID COMPANY ID</v>
      </c>
      <c r="BD468" t="s">
        <v>1540</v>
      </c>
      <c r="BE468">
        <v>10555876</v>
      </c>
      <c r="BF468" t="s">
        <v>346</v>
      </c>
      <c r="BG468" s="11">
        <v>0</v>
      </c>
      <c r="BH468" s="9" t="str">
        <f>_xll.SNL.Clients.Office.Excel.Functions.SPG(BE468, "SP_COUNTRY_NAME")</f>
        <v>Spain</v>
      </c>
      <c r="BM468" s="9" t="str">
        <f>_xll.SNL.Clients.Office.Excel.Functions.SPG(BJ468, "SP_COUNTRY_NAME")</f>
        <v>#INVALID COMPANY ID</v>
      </c>
      <c r="BR468" s="9" t="str">
        <f>_xll.SNL.Clients.Office.Excel.Functions.SPG(BO468, "SP_COUNTRY_NAME")</f>
        <v>#INVALID COMPANY ID</v>
      </c>
      <c r="BS468" t="s">
        <v>448</v>
      </c>
      <c r="BT468">
        <v>4586390</v>
      </c>
      <c r="BU468" t="s">
        <v>346</v>
      </c>
      <c r="BV468" s="11">
        <v>0</v>
      </c>
      <c r="BW468" s="9" t="str">
        <f>_xll.SNL.Clients.Office.Excel.Functions.SPG(BT468, "SP_COUNTRY_NAME")</f>
        <v>Japan</v>
      </c>
      <c r="CB468" s="9" t="str">
        <f>_xll.SNL.Clients.Office.Excel.Functions.SPG(BY468, "SP_COUNTRY_NAME")</f>
        <v>#INVALID COMPANY ID</v>
      </c>
      <c r="CC468" t="s">
        <v>1882</v>
      </c>
      <c r="CD468">
        <v>29154437</v>
      </c>
      <c r="CE468" t="s">
        <v>346</v>
      </c>
      <c r="CF468" s="11">
        <v>0</v>
      </c>
      <c r="CG468" s="9" t="str">
        <f>_xll.SNL.Clients.Office.Excel.Functions.SPG(CD468, "SP_COUNTRY_NAME")</f>
        <v>USA</v>
      </c>
      <c r="CL468" s="9" t="str">
        <f>_xll.SNL.Clients.Office.Excel.Functions.SPG(CI468, "SP_COUNTRY_NAME")</f>
        <v>#INVALID COMPANY ID</v>
      </c>
      <c r="CM468" t="s">
        <v>1851</v>
      </c>
      <c r="CN468">
        <v>4115833</v>
      </c>
      <c r="CO468" t="s">
        <v>346</v>
      </c>
      <c r="CP468" s="11">
        <v>0</v>
      </c>
      <c r="CQ468" s="9" t="str">
        <f>_xll.SNL.Clients.Office.Excel.Functions.SPG(CN468, "SP_COUNTRY_NAME")</f>
        <v>USA</v>
      </c>
      <c r="CV468" s="9" t="str">
        <f>_xll.SNL.Clients.Office.Excel.Functions.SPG(CS468, "SP_COUNTRY_NAME")</f>
        <v>#INVALID COMPANY ID</v>
      </c>
      <c r="DA468" s="9" t="str">
        <f>_xll.SNL.Clients.Office.Excel.Functions.SPG(CX468, "SP_COUNTRY_NAME")</f>
        <v>#INVALID COMPANY ID</v>
      </c>
      <c r="DB468" t="s">
        <v>1540</v>
      </c>
      <c r="DC468">
        <v>10555876</v>
      </c>
      <c r="DD468" t="s">
        <v>346</v>
      </c>
      <c r="DE468" s="11">
        <v>0</v>
      </c>
      <c r="DF468" s="9" t="str">
        <f>_xll.SNL.Clients.Office.Excel.Functions.SPG(DC468, "SP_COUNTRY_NAME")</f>
        <v>Spain</v>
      </c>
      <c r="DK468" s="9" t="str">
        <f>_xll.SNL.Clients.Office.Excel.Functions.SPG(DH468, "SP_COUNTRY_NAME")</f>
        <v>#INVALID COMPANY ID</v>
      </c>
      <c r="DL468" t="s">
        <v>1540</v>
      </c>
      <c r="DM468">
        <v>10555876</v>
      </c>
      <c r="DN468" t="s">
        <v>346</v>
      </c>
      <c r="DO468" s="11">
        <v>0</v>
      </c>
      <c r="DP468" s="9" t="str">
        <f>_xll.SNL.Clients.Office.Excel.Functions.SPG(DM468, "SP_COUNTRY_NAME")</f>
        <v>Spain</v>
      </c>
      <c r="DU468" s="9" t="str">
        <f>_xll.SNL.Clients.Office.Excel.Functions.SPG(DR468, "SP_COUNTRY_NAME")</f>
        <v>#INVALID COMPANY ID</v>
      </c>
      <c r="DZ468" s="9" t="str">
        <f>_xll.SNL.Clients.Office.Excel.Functions.SPG(DW468, "SP_COUNTRY_NAME")</f>
        <v>#INVALID COMPANY ID</v>
      </c>
      <c r="EA468" t="s">
        <v>1882</v>
      </c>
      <c r="EB468">
        <v>29154437</v>
      </c>
      <c r="EC468" t="s">
        <v>346</v>
      </c>
      <c r="ED468" s="11">
        <v>0</v>
      </c>
      <c r="EE468" s="9" t="str">
        <f>_xll.SNL.Clients.Office.Excel.Functions.SPG(EB468, "SP_COUNTRY_NAME")</f>
        <v>USA</v>
      </c>
      <c r="EF468" t="s">
        <v>1540</v>
      </c>
      <c r="EG468">
        <v>10555876</v>
      </c>
      <c r="EH468" t="s">
        <v>346</v>
      </c>
      <c r="EI468" s="11">
        <v>0</v>
      </c>
      <c r="EJ468" s="9" t="str">
        <f>_xll.SNL.Clients.Office.Excel.Functions.SPG(EG468, "SP_COUNTRY_NAME")</f>
        <v>Spain</v>
      </c>
      <c r="EO468" s="9" t="str">
        <f>_xll.SNL.Clients.Office.Excel.Functions.SPG(EL468, "SP_COUNTRY_NAME")</f>
        <v>#INVALID COMPANY ID</v>
      </c>
      <c r="ET468" s="9" t="str">
        <f>_xll.SNL.Clients.Office.Excel.Functions.SPG(EQ468, "SP_COUNTRY_NAME")</f>
        <v>#INVALID COMPANY ID</v>
      </c>
      <c r="EY468" s="9" t="str">
        <f>_xll.SNL.Clients.Office.Excel.Functions.SPG(EV468, "SP_COUNTRY_NAME")</f>
        <v>#INVALID COMPANY ID</v>
      </c>
      <c r="FD468" s="9" t="str">
        <f>_xll.SNL.Clients.Office.Excel.Functions.SPG(FA468, "SP_COUNTRY_NAME")</f>
        <v>#INVALID COMPANY ID</v>
      </c>
      <c r="FI468" s="9" t="str">
        <f>_xll.SNL.Clients.Office.Excel.Functions.SPG(FF468, "SP_COUNTRY_NAME")</f>
        <v>#INVALID COMPANY ID</v>
      </c>
      <c r="FN468" s="9" t="str">
        <f>_xll.SNL.Clients.Office.Excel.Functions.SPG(FK468, "SP_COUNTRY_NAME")</f>
        <v>#INVALID COMPANY ID</v>
      </c>
      <c r="FS468" s="9" t="str">
        <f>_xll.SNL.Clients.Office.Excel.Functions.SPG(FP468, "SP_COUNTRY_NAME")</f>
        <v>#INVALID COMPANY ID</v>
      </c>
      <c r="FX468" s="9" t="str">
        <f>_xll.SNL.Clients.Office.Excel.Functions.SPG(FU468, "SP_COUNTRY_NAME")</f>
        <v>#INVALID COMPANY ID</v>
      </c>
      <c r="FY468" t="s">
        <v>1540</v>
      </c>
      <c r="FZ468">
        <v>10555876</v>
      </c>
      <c r="GA468" t="s">
        <v>346</v>
      </c>
      <c r="GB468" s="11">
        <v>0</v>
      </c>
      <c r="GC468" s="9" t="str">
        <f>_xll.SNL.Clients.Office.Excel.Functions.SPG(FZ468, "SP_COUNTRY_NAME")</f>
        <v>Spain</v>
      </c>
      <c r="GH468" s="9" t="str">
        <f>_xll.SNL.Clients.Office.Excel.Functions.SPG(GE468, "SP_COUNTRY_NAME")</f>
        <v>#INVALID COMPANY ID</v>
      </c>
      <c r="GM468" s="9" t="str">
        <f>_xll.SNL.Clients.Office.Excel.Functions.SPG(GJ468, "SP_COUNTRY_NAME")</f>
        <v>#INVALID COMPANY ID</v>
      </c>
      <c r="GR468" s="9" t="str">
        <f>_xll.SNL.Clients.Office.Excel.Functions.SPG(GO468, "SP_COUNTRY_NAME")</f>
        <v>#INVALID COMPANY ID</v>
      </c>
      <c r="GW468" s="9" t="str">
        <f>_xll.SNL.Clients.Office.Excel.Functions.SPG(GT468, "SP_COUNTRY_NAME")</f>
        <v>#INVALID COMPANY ID</v>
      </c>
      <c r="GX468" t="s">
        <v>1882</v>
      </c>
      <c r="GY468">
        <v>29154437</v>
      </c>
      <c r="GZ468" t="s">
        <v>346</v>
      </c>
      <c r="HA468" s="11">
        <v>0</v>
      </c>
      <c r="HB468" s="9" t="str">
        <f>_xll.SNL.Clients.Office.Excel.Functions.SPG(GY468, "SP_COUNTRY_NAME")</f>
        <v>USA</v>
      </c>
      <c r="HG468" s="9" t="str">
        <f>_xll.SNL.Clients.Office.Excel.Functions.SPG(HD468, "SP_COUNTRY_NAME")</f>
        <v>#INVALID COMPANY ID</v>
      </c>
    </row>
    <row r="469" spans="5:215" x14ac:dyDescent="0.35">
      <c r="E469" s="9" t="str">
        <f>_xll.SNL.Clients.Office.Excel.Functions.SPG(B469, "SP_COUNTRY_NAME")</f>
        <v>#INVALID COMPANY ID</v>
      </c>
      <c r="J469" s="9" t="str">
        <f>_xll.SNL.Clients.Office.Excel.Functions.SPG(G469, "SP_COUNTRY_NAME")</f>
        <v>#INVALID COMPANY ID</v>
      </c>
      <c r="O469" s="9" t="str">
        <f>_xll.SNL.Clients.Office.Excel.Functions.SPG(L469, "SP_COUNTRY_NAME")</f>
        <v>#INVALID COMPANY ID</v>
      </c>
      <c r="T469" s="9" t="str">
        <f>_xll.SNL.Clients.Office.Excel.Functions.SPG(Q469, "SP_COUNTRY_NAME")</f>
        <v>#INVALID COMPANY ID</v>
      </c>
      <c r="Y469" s="9" t="str">
        <f>_xll.SNL.Clients.Office.Excel.Functions.SPG(V469, "SP_COUNTRY_NAME")</f>
        <v>#INVALID COMPANY ID</v>
      </c>
      <c r="AD469" s="9" t="str">
        <f>_xll.SNL.Clients.Office.Excel.Functions.SPG(AA469, "SP_COUNTRY_NAME")</f>
        <v>#INVALID COMPANY ID</v>
      </c>
      <c r="AI469" s="9" t="str">
        <f>_xll.SNL.Clients.Office.Excel.Functions.SPG(AF469, "SP_COUNTRY_NAME")</f>
        <v>#INVALID COMPANY ID</v>
      </c>
      <c r="AN469" s="9" t="str">
        <f>_xll.SNL.Clients.Office.Excel.Functions.SPG(AK469, "SP_COUNTRY_NAME")</f>
        <v>#INVALID COMPANY ID</v>
      </c>
      <c r="AS469" s="9" t="str">
        <f>_xll.SNL.Clients.Office.Excel.Functions.SPG(AP469, "SP_COUNTRY_NAME")</f>
        <v>#INVALID COMPANY ID</v>
      </c>
      <c r="AX469" s="9" t="str">
        <f>_xll.SNL.Clients.Office.Excel.Functions.SPG(AU469, "SP_COUNTRY_NAME")</f>
        <v>#INVALID COMPANY ID</v>
      </c>
      <c r="BC469" s="9" t="str">
        <f>_xll.SNL.Clients.Office.Excel.Functions.SPG(AZ469, "SP_COUNTRY_NAME")</f>
        <v>#INVALID COMPANY ID</v>
      </c>
      <c r="BD469" t="s">
        <v>925</v>
      </c>
      <c r="BE469">
        <v>4055966</v>
      </c>
      <c r="BF469" t="s">
        <v>346</v>
      </c>
      <c r="BG469" s="11">
        <v>0</v>
      </c>
      <c r="BH469" s="9" t="str">
        <f>_xll.SNL.Clients.Office.Excel.Functions.SPG(BE469, "SP_COUNTRY_NAME")</f>
        <v>USA</v>
      </c>
      <c r="BM469" s="9" t="str">
        <f>_xll.SNL.Clients.Office.Excel.Functions.SPG(BJ469, "SP_COUNTRY_NAME")</f>
        <v>#INVALID COMPANY ID</v>
      </c>
      <c r="BR469" s="9" t="str">
        <f>_xll.SNL.Clients.Office.Excel.Functions.SPG(BO469, "SP_COUNTRY_NAME")</f>
        <v>#INVALID COMPANY ID</v>
      </c>
      <c r="BS469" t="s">
        <v>1091</v>
      </c>
      <c r="BT469">
        <v>9761756</v>
      </c>
      <c r="BU469" t="s">
        <v>346</v>
      </c>
      <c r="BV469" s="11">
        <v>0</v>
      </c>
      <c r="BW469" s="9" t="str">
        <f>_xll.SNL.Clients.Office.Excel.Functions.SPG(BT469, "SP_COUNTRY_NAME")</f>
        <v>Switzerland</v>
      </c>
      <c r="CB469" s="9" t="str">
        <f>_xll.SNL.Clients.Office.Excel.Functions.SPG(BY469, "SP_COUNTRY_NAME")</f>
        <v>#INVALID COMPANY ID</v>
      </c>
      <c r="CC469" t="s">
        <v>1883</v>
      </c>
      <c r="CD469">
        <v>27723127</v>
      </c>
      <c r="CE469" t="s">
        <v>364</v>
      </c>
      <c r="CF469" s="11">
        <v>0</v>
      </c>
      <c r="CG469" s="9" t="str">
        <f>_xll.SNL.Clients.Office.Excel.Functions.SPG(CD469, "SP_COUNTRY_NAME")</f>
        <v>USA</v>
      </c>
      <c r="CL469" s="9" t="str">
        <f>_xll.SNL.Clients.Office.Excel.Functions.SPG(CI469, "SP_COUNTRY_NAME")</f>
        <v>#INVALID COMPANY ID</v>
      </c>
      <c r="CM469" t="s">
        <v>2101</v>
      </c>
      <c r="CN469">
        <v>5615686</v>
      </c>
      <c r="CO469" t="s">
        <v>346</v>
      </c>
      <c r="CP469" s="11">
        <v>0</v>
      </c>
      <c r="CQ469" s="9" t="str">
        <f>_xll.SNL.Clients.Office.Excel.Functions.SPG(CN469, "SP_COUNTRY_NAME")</f>
        <v>USA</v>
      </c>
      <c r="CV469" s="9" t="str">
        <f>_xll.SNL.Clients.Office.Excel.Functions.SPG(CS469, "SP_COUNTRY_NAME")</f>
        <v>#INVALID COMPANY ID</v>
      </c>
      <c r="DA469" s="9" t="str">
        <f>_xll.SNL.Clients.Office.Excel.Functions.SPG(CX469, "SP_COUNTRY_NAME")</f>
        <v>#INVALID COMPANY ID</v>
      </c>
      <c r="DB469" t="s">
        <v>925</v>
      </c>
      <c r="DC469">
        <v>4055966</v>
      </c>
      <c r="DD469" t="s">
        <v>346</v>
      </c>
      <c r="DE469" s="11">
        <v>0</v>
      </c>
      <c r="DF469" s="9" t="str">
        <f>_xll.SNL.Clients.Office.Excel.Functions.SPG(DC469, "SP_COUNTRY_NAME")</f>
        <v>USA</v>
      </c>
      <c r="DK469" s="9" t="str">
        <f>_xll.SNL.Clients.Office.Excel.Functions.SPG(DH469, "SP_COUNTRY_NAME")</f>
        <v>#INVALID COMPANY ID</v>
      </c>
      <c r="DL469" t="s">
        <v>925</v>
      </c>
      <c r="DM469">
        <v>4055966</v>
      </c>
      <c r="DN469" t="s">
        <v>346</v>
      </c>
      <c r="DO469" s="11">
        <v>0</v>
      </c>
      <c r="DP469" s="9" t="str">
        <f>_xll.SNL.Clients.Office.Excel.Functions.SPG(DM469, "SP_COUNTRY_NAME")</f>
        <v>USA</v>
      </c>
      <c r="DU469" s="9" t="str">
        <f>_xll.SNL.Clients.Office.Excel.Functions.SPG(DR469, "SP_COUNTRY_NAME")</f>
        <v>#INVALID COMPANY ID</v>
      </c>
      <c r="DZ469" s="9" t="str">
        <f>_xll.SNL.Clients.Office.Excel.Functions.SPG(DW469, "SP_COUNTRY_NAME")</f>
        <v>#INVALID COMPANY ID</v>
      </c>
      <c r="EA469" t="s">
        <v>1883</v>
      </c>
      <c r="EB469">
        <v>27723127</v>
      </c>
      <c r="EC469" t="s">
        <v>364</v>
      </c>
      <c r="ED469" s="11">
        <v>0</v>
      </c>
      <c r="EE469" s="9" t="str">
        <f>_xll.SNL.Clients.Office.Excel.Functions.SPG(EB469, "SP_COUNTRY_NAME")</f>
        <v>USA</v>
      </c>
      <c r="EF469" t="s">
        <v>925</v>
      </c>
      <c r="EG469">
        <v>4055966</v>
      </c>
      <c r="EH469" t="s">
        <v>346</v>
      </c>
      <c r="EI469" s="11">
        <v>0</v>
      </c>
      <c r="EJ469" s="9" t="str">
        <f>_xll.SNL.Clients.Office.Excel.Functions.SPG(EG469, "SP_COUNTRY_NAME")</f>
        <v>USA</v>
      </c>
      <c r="EO469" s="9" t="str">
        <f>_xll.SNL.Clients.Office.Excel.Functions.SPG(EL469, "SP_COUNTRY_NAME")</f>
        <v>#INVALID COMPANY ID</v>
      </c>
      <c r="ET469" s="9" t="str">
        <f>_xll.SNL.Clients.Office.Excel.Functions.SPG(EQ469, "SP_COUNTRY_NAME")</f>
        <v>#INVALID COMPANY ID</v>
      </c>
      <c r="EY469" s="9" t="str">
        <f>_xll.SNL.Clients.Office.Excel.Functions.SPG(EV469, "SP_COUNTRY_NAME")</f>
        <v>#INVALID COMPANY ID</v>
      </c>
      <c r="FD469" s="9" t="str">
        <f>_xll.SNL.Clients.Office.Excel.Functions.SPG(FA469, "SP_COUNTRY_NAME")</f>
        <v>#INVALID COMPANY ID</v>
      </c>
      <c r="FI469" s="9" t="str">
        <f>_xll.SNL.Clients.Office.Excel.Functions.SPG(FF469, "SP_COUNTRY_NAME")</f>
        <v>#INVALID COMPANY ID</v>
      </c>
      <c r="FN469" s="9" t="str">
        <f>_xll.SNL.Clients.Office.Excel.Functions.SPG(FK469, "SP_COUNTRY_NAME")</f>
        <v>#INVALID COMPANY ID</v>
      </c>
      <c r="FS469" s="9" t="str">
        <f>_xll.SNL.Clients.Office.Excel.Functions.SPG(FP469, "SP_COUNTRY_NAME")</f>
        <v>#INVALID COMPANY ID</v>
      </c>
      <c r="FX469" s="9" t="str">
        <f>_xll.SNL.Clients.Office.Excel.Functions.SPG(FU469, "SP_COUNTRY_NAME")</f>
        <v>#INVALID COMPANY ID</v>
      </c>
      <c r="FY469" t="s">
        <v>925</v>
      </c>
      <c r="FZ469">
        <v>4055966</v>
      </c>
      <c r="GA469" t="s">
        <v>346</v>
      </c>
      <c r="GB469" s="11">
        <v>0</v>
      </c>
      <c r="GC469" s="9" t="str">
        <f>_xll.SNL.Clients.Office.Excel.Functions.SPG(FZ469, "SP_COUNTRY_NAME")</f>
        <v>USA</v>
      </c>
      <c r="GH469" s="9" t="str">
        <f>_xll.SNL.Clients.Office.Excel.Functions.SPG(GE469, "SP_COUNTRY_NAME")</f>
        <v>#INVALID COMPANY ID</v>
      </c>
      <c r="GM469" s="9" t="str">
        <f>_xll.SNL.Clients.Office.Excel.Functions.SPG(GJ469, "SP_COUNTRY_NAME")</f>
        <v>#INVALID COMPANY ID</v>
      </c>
      <c r="GR469" s="9" t="str">
        <f>_xll.SNL.Clients.Office.Excel.Functions.SPG(GO469, "SP_COUNTRY_NAME")</f>
        <v>#INVALID COMPANY ID</v>
      </c>
      <c r="GW469" s="9" t="str">
        <f>_xll.SNL.Clients.Office.Excel.Functions.SPG(GT469, "SP_COUNTRY_NAME")</f>
        <v>#INVALID COMPANY ID</v>
      </c>
      <c r="GX469" t="s">
        <v>1883</v>
      </c>
      <c r="GY469">
        <v>27723127</v>
      </c>
      <c r="GZ469" t="s">
        <v>364</v>
      </c>
      <c r="HA469" s="11">
        <v>0</v>
      </c>
      <c r="HB469" s="9" t="str">
        <f>_xll.SNL.Clients.Office.Excel.Functions.SPG(GY469, "SP_COUNTRY_NAME")</f>
        <v>USA</v>
      </c>
      <c r="HG469" s="9" t="str">
        <f>_xll.SNL.Clients.Office.Excel.Functions.SPG(HD469, "SP_COUNTRY_NAME")</f>
        <v>#INVALID COMPANY ID</v>
      </c>
    </row>
    <row r="470" spans="5:215" x14ac:dyDescent="0.35">
      <c r="E470" s="9" t="str">
        <f>_xll.SNL.Clients.Office.Excel.Functions.SPG(B470, "SP_COUNTRY_NAME")</f>
        <v>#INVALID COMPANY ID</v>
      </c>
      <c r="J470" s="9" t="str">
        <f>_xll.SNL.Clients.Office.Excel.Functions.SPG(G470, "SP_COUNTRY_NAME")</f>
        <v>#INVALID COMPANY ID</v>
      </c>
      <c r="O470" s="9" t="str">
        <f>_xll.SNL.Clients.Office.Excel.Functions.SPG(L470, "SP_COUNTRY_NAME")</f>
        <v>#INVALID COMPANY ID</v>
      </c>
      <c r="T470" s="9" t="str">
        <f>_xll.SNL.Clients.Office.Excel.Functions.SPG(Q470, "SP_COUNTRY_NAME")</f>
        <v>#INVALID COMPANY ID</v>
      </c>
      <c r="Y470" s="9" t="str">
        <f>_xll.SNL.Clients.Office.Excel.Functions.SPG(V470, "SP_COUNTRY_NAME")</f>
        <v>#INVALID COMPANY ID</v>
      </c>
      <c r="AD470" s="9" t="str">
        <f>_xll.SNL.Clients.Office.Excel.Functions.SPG(AA470, "SP_COUNTRY_NAME")</f>
        <v>#INVALID COMPANY ID</v>
      </c>
      <c r="AI470" s="9" t="str">
        <f>_xll.SNL.Clients.Office.Excel.Functions.SPG(AF470, "SP_COUNTRY_NAME")</f>
        <v>#INVALID COMPANY ID</v>
      </c>
      <c r="AN470" s="9" t="str">
        <f>_xll.SNL.Clients.Office.Excel.Functions.SPG(AK470, "SP_COUNTRY_NAME")</f>
        <v>#INVALID COMPANY ID</v>
      </c>
      <c r="AS470" s="9" t="str">
        <f>_xll.SNL.Clients.Office.Excel.Functions.SPG(AP470, "SP_COUNTRY_NAME")</f>
        <v>#INVALID COMPANY ID</v>
      </c>
      <c r="AX470" s="9" t="str">
        <f>_xll.SNL.Clients.Office.Excel.Functions.SPG(AU470, "SP_COUNTRY_NAME")</f>
        <v>#INVALID COMPANY ID</v>
      </c>
      <c r="BC470" s="9" t="str">
        <f>_xll.SNL.Clients.Office.Excel.Functions.SPG(AZ470, "SP_COUNTRY_NAME")</f>
        <v>#INVALID COMPANY ID</v>
      </c>
      <c r="BD470" t="s">
        <v>395</v>
      </c>
      <c r="BE470">
        <v>4153606</v>
      </c>
      <c r="BF470" t="s">
        <v>346</v>
      </c>
      <c r="BG470" s="11">
        <v>0</v>
      </c>
      <c r="BH470" s="9" t="str">
        <f>_xll.SNL.Clients.Office.Excel.Functions.SPG(BE470, "SP_COUNTRY_NAME")</f>
        <v>USA</v>
      </c>
      <c r="BM470" s="9" t="str">
        <f>_xll.SNL.Clients.Office.Excel.Functions.SPG(BJ470, "SP_COUNTRY_NAME")</f>
        <v>#INVALID COMPANY ID</v>
      </c>
      <c r="BR470" s="9" t="str">
        <f>_xll.SNL.Clients.Office.Excel.Functions.SPG(BO470, "SP_COUNTRY_NAME")</f>
        <v>#INVALID COMPANY ID</v>
      </c>
      <c r="BS470" t="s">
        <v>842</v>
      </c>
      <c r="BT470">
        <v>19437756</v>
      </c>
      <c r="BU470" t="s">
        <v>346</v>
      </c>
      <c r="BV470" s="11">
        <v>0</v>
      </c>
      <c r="BW470" s="9" t="str">
        <f>_xll.SNL.Clients.Office.Excel.Functions.SPG(BT470, "SP_COUNTRY_NAME")</f>
        <v>China</v>
      </c>
      <c r="CB470" s="9" t="str">
        <f>_xll.SNL.Clients.Office.Excel.Functions.SPG(BY470, "SP_COUNTRY_NAME")</f>
        <v>#INVALID COMPANY ID</v>
      </c>
      <c r="CC470" t="s">
        <v>453</v>
      </c>
      <c r="CD470">
        <v>4318598</v>
      </c>
      <c r="CE470" t="s">
        <v>346</v>
      </c>
      <c r="CF470" s="11">
        <v>0</v>
      </c>
      <c r="CG470" s="9" t="str">
        <f>_xll.SNL.Clients.Office.Excel.Functions.SPG(CD470, "SP_COUNTRY_NAME")</f>
        <v>USA</v>
      </c>
      <c r="CL470" s="9" t="str">
        <f>_xll.SNL.Clients.Office.Excel.Functions.SPG(CI470, "SP_COUNTRY_NAME")</f>
        <v>#INVALID COMPANY ID</v>
      </c>
      <c r="CM470" t="s">
        <v>2102</v>
      </c>
      <c r="CN470">
        <v>28890730</v>
      </c>
      <c r="CO470" t="s">
        <v>346</v>
      </c>
      <c r="CP470" s="11">
        <v>0</v>
      </c>
      <c r="CQ470" s="9" t="str">
        <f>_xll.SNL.Clients.Office.Excel.Functions.SPG(CN470, "SP_COUNTRY_NAME")</f>
        <v>USA</v>
      </c>
      <c r="CV470" s="9" t="str">
        <f>_xll.SNL.Clients.Office.Excel.Functions.SPG(CS470, "SP_COUNTRY_NAME")</f>
        <v>#INVALID COMPANY ID</v>
      </c>
      <c r="DA470" s="9" t="str">
        <f>_xll.SNL.Clients.Office.Excel.Functions.SPG(CX470, "SP_COUNTRY_NAME")</f>
        <v>#INVALID COMPANY ID</v>
      </c>
      <c r="DB470" t="s">
        <v>395</v>
      </c>
      <c r="DC470">
        <v>4153606</v>
      </c>
      <c r="DD470" t="s">
        <v>346</v>
      </c>
      <c r="DE470" s="11">
        <v>0</v>
      </c>
      <c r="DF470" s="9" t="str">
        <f>_xll.SNL.Clients.Office.Excel.Functions.SPG(DC470, "SP_COUNTRY_NAME")</f>
        <v>USA</v>
      </c>
      <c r="DK470" s="9" t="str">
        <f>_xll.SNL.Clients.Office.Excel.Functions.SPG(DH470, "SP_COUNTRY_NAME")</f>
        <v>#INVALID COMPANY ID</v>
      </c>
      <c r="DL470" t="s">
        <v>395</v>
      </c>
      <c r="DM470">
        <v>4153606</v>
      </c>
      <c r="DN470" t="s">
        <v>346</v>
      </c>
      <c r="DO470" s="11">
        <v>0</v>
      </c>
      <c r="DP470" s="9" t="str">
        <f>_xll.SNL.Clients.Office.Excel.Functions.SPG(DM470, "SP_COUNTRY_NAME")</f>
        <v>USA</v>
      </c>
      <c r="DU470" s="9" t="str">
        <f>_xll.SNL.Clients.Office.Excel.Functions.SPG(DR470, "SP_COUNTRY_NAME")</f>
        <v>#INVALID COMPANY ID</v>
      </c>
      <c r="DZ470" s="9" t="str">
        <f>_xll.SNL.Clients.Office.Excel.Functions.SPG(DW470, "SP_COUNTRY_NAME")</f>
        <v>#INVALID COMPANY ID</v>
      </c>
      <c r="EA470" t="s">
        <v>453</v>
      </c>
      <c r="EB470">
        <v>4318598</v>
      </c>
      <c r="EC470" t="s">
        <v>346</v>
      </c>
      <c r="ED470" s="11">
        <v>0</v>
      </c>
      <c r="EE470" s="9" t="str">
        <f>_xll.SNL.Clients.Office.Excel.Functions.SPG(EB470, "SP_COUNTRY_NAME")</f>
        <v>USA</v>
      </c>
      <c r="EF470" t="s">
        <v>395</v>
      </c>
      <c r="EG470">
        <v>4153606</v>
      </c>
      <c r="EH470" t="s">
        <v>346</v>
      </c>
      <c r="EI470" s="11">
        <v>0</v>
      </c>
      <c r="EJ470" s="9" t="str">
        <f>_xll.SNL.Clients.Office.Excel.Functions.SPG(EG470, "SP_COUNTRY_NAME")</f>
        <v>USA</v>
      </c>
      <c r="EO470" s="9" t="str">
        <f>_xll.SNL.Clients.Office.Excel.Functions.SPG(EL470, "SP_COUNTRY_NAME")</f>
        <v>#INVALID COMPANY ID</v>
      </c>
      <c r="ET470" s="9" t="str">
        <f>_xll.SNL.Clients.Office.Excel.Functions.SPG(EQ470, "SP_COUNTRY_NAME")</f>
        <v>#INVALID COMPANY ID</v>
      </c>
      <c r="EY470" s="9" t="str">
        <f>_xll.SNL.Clients.Office.Excel.Functions.SPG(EV470, "SP_COUNTRY_NAME")</f>
        <v>#INVALID COMPANY ID</v>
      </c>
      <c r="FD470" s="9" t="str">
        <f>_xll.SNL.Clients.Office.Excel.Functions.SPG(FA470, "SP_COUNTRY_NAME")</f>
        <v>#INVALID COMPANY ID</v>
      </c>
      <c r="FI470" s="9" t="str">
        <f>_xll.SNL.Clients.Office.Excel.Functions.SPG(FF470, "SP_COUNTRY_NAME")</f>
        <v>#INVALID COMPANY ID</v>
      </c>
      <c r="FN470" s="9" t="str">
        <f>_xll.SNL.Clients.Office.Excel.Functions.SPG(FK470, "SP_COUNTRY_NAME")</f>
        <v>#INVALID COMPANY ID</v>
      </c>
      <c r="FS470" s="9" t="str">
        <f>_xll.SNL.Clients.Office.Excel.Functions.SPG(FP470, "SP_COUNTRY_NAME")</f>
        <v>#INVALID COMPANY ID</v>
      </c>
      <c r="FX470" s="9" t="str">
        <f>_xll.SNL.Clients.Office.Excel.Functions.SPG(FU470, "SP_COUNTRY_NAME")</f>
        <v>#INVALID COMPANY ID</v>
      </c>
      <c r="FY470" t="s">
        <v>395</v>
      </c>
      <c r="FZ470">
        <v>4153606</v>
      </c>
      <c r="GA470" t="s">
        <v>346</v>
      </c>
      <c r="GB470" s="11">
        <v>0</v>
      </c>
      <c r="GC470" s="9" t="str">
        <f>_xll.SNL.Clients.Office.Excel.Functions.SPG(FZ470, "SP_COUNTRY_NAME")</f>
        <v>USA</v>
      </c>
      <c r="GH470" s="9" t="str">
        <f>_xll.SNL.Clients.Office.Excel.Functions.SPG(GE470, "SP_COUNTRY_NAME")</f>
        <v>#INVALID COMPANY ID</v>
      </c>
      <c r="GM470" s="9" t="str">
        <f>_xll.SNL.Clients.Office.Excel.Functions.SPG(GJ470, "SP_COUNTRY_NAME")</f>
        <v>#INVALID COMPANY ID</v>
      </c>
      <c r="GR470" s="9" t="str">
        <f>_xll.SNL.Clients.Office.Excel.Functions.SPG(GO470, "SP_COUNTRY_NAME")</f>
        <v>#INVALID COMPANY ID</v>
      </c>
      <c r="GW470" s="9" t="str">
        <f>_xll.SNL.Clients.Office.Excel.Functions.SPG(GT470, "SP_COUNTRY_NAME")</f>
        <v>#INVALID COMPANY ID</v>
      </c>
      <c r="GX470" t="s">
        <v>453</v>
      </c>
      <c r="GY470">
        <v>4318598</v>
      </c>
      <c r="GZ470" t="s">
        <v>346</v>
      </c>
      <c r="HA470" s="11">
        <v>0</v>
      </c>
      <c r="HB470" s="9" t="str">
        <f>_xll.SNL.Clients.Office.Excel.Functions.SPG(GY470, "SP_COUNTRY_NAME")</f>
        <v>USA</v>
      </c>
      <c r="HG470" s="9" t="str">
        <f>_xll.SNL.Clients.Office.Excel.Functions.SPG(HD470, "SP_COUNTRY_NAME")</f>
        <v>#INVALID COMPANY ID</v>
      </c>
    </row>
    <row r="471" spans="5:215" x14ac:dyDescent="0.35">
      <c r="E471" s="9" t="str">
        <f>_xll.SNL.Clients.Office.Excel.Functions.SPG(B471, "SP_COUNTRY_NAME")</f>
        <v>#INVALID COMPANY ID</v>
      </c>
      <c r="J471" s="9" t="str">
        <f>_xll.SNL.Clients.Office.Excel.Functions.SPG(G471, "SP_COUNTRY_NAME")</f>
        <v>#INVALID COMPANY ID</v>
      </c>
      <c r="O471" s="9" t="str">
        <f>_xll.SNL.Clients.Office.Excel.Functions.SPG(L471, "SP_COUNTRY_NAME")</f>
        <v>#INVALID COMPANY ID</v>
      </c>
      <c r="T471" s="9" t="str">
        <f>_xll.SNL.Clients.Office.Excel.Functions.SPG(Q471, "SP_COUNTRY_NAME")</f>
        <v>#INVALID COMPANY ID</v>
      </c>
      <c r="Y471" s="9" t="str">
        <f>_xll.SNL.Clients.Office.Excel.Functions.SPG(V471, "SP_COUNTRY_NAME")</f>
        <v>#INVALID COMPANY ID</v>
      </c>
      <c r="AD471" s="9" t="str">
        <f>_xll.SNL.Clients.Office.Excel.Functions.SPG(AA471, "SP_COUNTRY_NAME")</f>
        <v>#INVALID COMPANY ID</v>
      </c>
      <c r="AI471" s="9" t="str">
        <f>_xll.SNL.Clients.Office.Excel.Functions.SPG(AF471, "SP_COUNTRY_NAME")</f>
        <v>#INVALID COMPANY ID</v>
      </c>
      <c r="AN471" s="9" t="str">
        <f>_xll.SNL.Clients.Office.Excel.Functions.SPG(AK471, "SP_COUNTRY_NAME")</f>
        <v>#INVALID COMPANY ID</v>
      </c>
      <c r="AS471" s="9" t="str">
        <f>_xll.SNL.Clients.Office.Excel.Functions.SPG(AP471, "SP_COUNTRY_NAME")</f>
        <v>#INVALID COMPANY ID</v>
      </c>
      <c r="AX471" s="9" t="str">
        <f>_xll.SNL.Clients.Office.Excel.Functions.SPG(AU471, "SP_COUNTRY_NAME")</f>
        <v>#INVALID COMPANY ID</v>
      </c>
      <c r="BC471" s="9" t="str">
        <f>_xll.SNL.Clients.Office.Excel.Functions.SPG(AZ471, "SP_COUNTRY_NAME")</f>
        <v>#INVALID COMPANY ID</v>
      </c>
      <c r="BD471" t="s">
        <v>1541</v>
      </c>
      <c r="BE471">
        <v>133709120</v>
      </c>
      <c r="BF471" t="s">
        <v>346</v>
      </c>
      <c r="BG471" s="11">
        <v>0</v>
      </c>
      <c r="BH471" s="9" t="str">
        <f>_xll.SNL.Clients.Office.Excel.Functions.SPG(BE471, "SP_COUNTRY_NAME")</f>
        <v>#INVALID COMPANY ID</v>
      </c>
      <c r="BM471" s="9" t="str">
        <f>_xll.SNL.Clients.Office.Excel.Functions.SPG(BJ471, "SP_COUNTRY_NAME")</f>
        <v>#INVALID COMPANY ID</v>
      </c>
      <c r="BR471" s="9" t="str">
        <f>_xll.SNL.Clients.Office.Excel.Functions.SPG(BO471, "SP_COUNTRY_NAME")</f>
        <v>#INVALID COMPANY ID</v>
      </c>
      <c r="BS471" t="s">
        <v>1092</v>
      </c>
      <c r="BT471">
        <v>27584974</v>
      </c>
      <c r="BU471" t="s">
        <v>346</v>
      </c>
      <c r="BV471" s="11">
        <v>0</v>
      </c>
      <c r="BW471" s="9" t="str">
        <f>_xll.SNL.Clients.Office.Excel.Functions.SPG(BT471, "SP_COUNTRY_NAME")</f>
        <v>Canada</v>
      </c>
      <c r="CB471" s="9" t="str">
        <f>_xll.SNL.Clients.Office.Excel.Functions.SPG(BY471, "SP_COUNTRY_NAME")</f>
        <v>#INVALID COMPANY ID</v>
      </c>
      <c r="CC471" t="s">
        <v>428</v>
      </c>
      <c r="CD471">
        <v>4116134</v>
      </c>
      <c r="CE471" t="s">
        <v>346</v>
      </c>
      <c r="CF471" s="11">
        <v>0</v>
      </c>
      <c r="CG471" s="9" t="str">
        <f>_xll.SNL.Clients.Office.Excel.Functions.SPG(CD471, "SP_COUNTRY_NAME")</f>
        <v>Japan</v>
      </c>
      <c r="CL471" s="9" t="str">
        <f>_xll.SNL.Clients.Office.Excel.Functions.SPG(CI471, "SP_COUNTRY_NAME")</f>
        <v>#INVALID COMPANY ID</v>
      </c>
      <c r="CM471" t="s">
        <v>2103</v>
      </c>
      <c r="CN471">
        <v>4560551</v>
      </c>
      <c r="CO471" t="s">
        <v>346</v>
      </c>
      <c r="CP471" s="11">
        <v>0</v>
      </c>
      <c r="CQ471" s="9" t="str">
        <f>_xll.SNL.Clients.Office.Excel.Functions.SPG(CN471, "SP_COUNTRY_NAME")</f>
        <v>USA</v>
      </c>
      <c r="CV471" s="9" t="str">
        <f>_xll.SNL.Clients.Office.Excel.Functions.SPG(CS471, "SP_COUNTRY_NAME")</f>
        <v>#INVALID COMPANY ID</v>
      </c>
      <c r="DA471" s="9" t="str">
        <f>_xll.SNL.Clients.Office.Excel.Functions.SPG(CX471, "SP_COUNTRY_NAME")</f>
        <v>#INVALID COMPANY ID</v>
      </c>
      <c r="DB471" t="s">
        <v>1541</v>
      </c>
      <c r="DC471">
        <v>133709120</v>
      </c>
      <c r="DD471" t="s">
        <v>346</v>
      </c>
      <c r="DE471" s="11">
        <v>0</v>
      </c>
      <c r="DF471" s="9" t="str">
        <f>_xll.SNL.Clients.Office.Excel.Functions.SPG(DC471, "SP_COUNTRY_NAME")</f>
        <v>#INVALID COMPANY ID</v>
      </c>
      <c r="DK471" s="9" t="str">
        <f>_xll.SNL.Clients.Office.Excel.Functions.SPG(DH471, "SP_COUNTRY_NAME")</f>
        <v>#INVALID COMPANY ID</v>
      </c>
      <c r="DL471" t="s">
        <v>1541</v>
      </c>
      <c r="DM471">
        <v>133709120</v>
      </c>
      <c r="DN471" t="s">
        <v>346</v>
      </c>
      <c r="DO471" s="11">
        <v>0</v>
      </c>
      <c r="DP471" s="9" t="str">
        <f>_xll.SNL.Clients.Office.Excel.Functions.SPG(DM471, "SP_COUNTRY_NAME")</f>
        <v>#INVALID COMPANY ID</v>
      </c>
      <c r="DU471" s="9" t="str">
        <f>_xll.SNL.Clients.Office.Excel.Functions.SPG(DR471, "SP_COUNTRY_NAME")</f>
        <v>#INVALID COMPANY ID</v>
      </c>
      <c r="DZ471" s="9" t="str">
        <f>_xll.SNL.Clients.Office.Excel.Functions.SPG(DW471, "SP_COUNTRY_NAME")</f>
        <v>#INVALID COMPANY ID</v>
      </c>
      <c r="EA471" t="s">
        <v>428</v>
      </c>
      <c r="EB471">
        <v>4116134</v>
      </c>
      <c r="EC471" t="s">
        <v>346</v>
      </c>
      <c r="ED471" s="11">
        <v>0</v>
      </c>
      <c r="EE471" s="9" t="str">
        <f>_xll.SNL.Clients.Office.Excel.Functions.SPG(EB471, "SP_COUNTRY_NAME")</f>
        <v>Japan</v>
      </c>
      <c r="EF471" t="s">
        <v>1541</v>
      </c>
      <c r="EG471">
        <v>133709120</v>
      </c>
      <c r="EH471" t="s">
        <v>346</v>
      </c>
      <c r="EI471" s="11">
        <v>0</v>
      </c>
      <c r="EJ471" s="9" t="str">
        <f>_xll.SNL.Clients.Office.Excel.Functions.SPG(EG471, "SP_COUNTRY_NAME")</f>
        <v>#INVALID COMPANY ID</v>
      </c>
      <c r="EO471" s="9" t="str">
        <f>_xll.SNL.Clients.Office.Excel.Functions.SPG(EL471, "SP_COUNTRY_NAME")</f>
        <v>#INVALID COMPANY ID</v>
      </c>
      <c r="ET471" s="9" t="str">
        <f>_xll.SNL.Clients.Office.Excel.Functions.SPG(EQ471, "SP_COUNTRY_NAME")</f>
        <v>#INVALID COMPANY ID</v>
      </c>
      <c r="EY471" s="9" t="str">
        <f>_xll.SNL.Clients.Office.Excel.Functions.SPG(EV471, "SP_COUNTRY_NAME")</f>
        <v>#INVALID COMPANY ID</v>
      </c>
      <c r="FD471" s="9" t="str">
        <f>_xll.SNL.Clients.Office.Excel.Functions.SPG(FA471, "SP_COUNTRY_NAME")</f>
        <v>#INVALID COMPANY ID</v>
      </c>
      <c r="FI471" s="9" t="str">
        <f>_xll.SNL.Clients.Office.Excel.Functions.SPG(FF471, "SP_COUNTRY_NAME")</f>
        <v>#INVALID COMPANY ID</v>
      </c>
      <c r="FN471" s="9" t="str">
        <f>_xll.SNL.Clients.Office.Excel.Functions.SPG(FK471, "SP_COUNTRY_NAME")</f>
        <v>#INVALID COMPANY ID</v>
      </c>
      <c r="FS471" s="9" t="str">
        <f>_xll.SNL.Clients.Office.Excel.Functions.SPG(FP471, "SP_COUNTRY_NAME")</f>
        <v>#INVALID COMPANY ID</v>
      </c>
      <c r="FX471" s="9" t="str">
        <f>_xll.SNL.Clients.Office.Excel.Functions.SPG(FU471, "SP_COUNTRY_NAME")</f>
        <v>#INVALID COMPANY ID</v>
      </c>
      <c r="FY471" t="s">
        <v>1541</v>
      </c>
      <c r="FZ471">
        <v>133709120</v>
      </c>
      <c r="GA471" t="s">
        <v>346</v>
      </c>
      <c r="GB471" s="11">
        <v>0</v>
      </c>
      <c r="GC471" s="9" t="str">
        <f>_xll.SNL.Clients.Office.Excel.Functions.SPG(FZ471, "SP_COUNTRY_NAME")</f>
        <v>#INVALID COMPANY ID</v>
      </c>
      <c r="GH471" s="9" t="str">
        <f>_xll.SNL.Clients.Office.Excel.Functions.SPG(GE471, "SP_COUNTRY_NAME")</f>
        <v>#INVALID COMPANY ID</v>
      </c>
      <c r="GM471" s="9" t="str">
        <f>_xll.SNL.Clients.Office.Excel.Functions.SPG(GJ471, "SP_COUNTRY_NAME")</f>
        <v>#INVALID COMPANY ID</v>
      </c>
      <c r="GR471" s="9" t="str">
        <f>_xll.SNL.Clients.Office.Excel.Functions.SPG(GO471, "SP_COUNTRY_NAME")</f>
        <v>#INVALID COMPANY ID</v>
      </c>
      <c r="GW471" s="9" t="str">
        <f>_xll.SNL.Clients.Office.Excel.Functions.SPG(GT471, "SP_COUNTRY_NAME")</f>
        <v>#INVALID COMPANY ID</v>
      </c>
      <c r="GX471" t="s">
        <v>428</v>
      </c>
      <c r="GY471">
        <v>4116134</v>
      </c>
      <c r="GZ471" t="s">
        <v>346</v>
      </c>
      <c r="HA471" s="11">
        <v>0</v>
      </c>
      <c r="HB471" s="9" t="str">
        <f>_xll.SNL.Clients.Office.Excel.Functions.SPG(GY471, "SP_COUNTRY_NAME")</f>
        <v>Japan</v>
      </c>
      <c r="HG471" s="9" t="str">
        <f>_xll.SNL.Clients.Office.Excel.Functions.SPG(HD471, "SP_COUNTRY_NAME")</f>
        <v>#INVALID COMPANY ID</v>
      </c>
    </row>
    <row r="472" spans="5:215" x14ac:dyDescent="0.35">
      <c r="E472" s="9" t="str">
        <f>_xll.SNL.Clients.Office.Excel.Functions.SPG(B472, "SP_COUNTRY_NAME")</f>
        <v>#INVALID COMPANY ID</v>
      </c>
      <c r="J472" s="9" t="str">
        <f>_xll.SNL.Clients.Office.Excel.Functions.SPG(G472, "SP_COUNTRY_NAME")</f>
        <v>#INVALID COMPANY ID</v>
      </c>
      <c r="O472" s="9" t="str">
        <f>_xll.SNL.Clients.Office.Excel.Functions.SPG(L472, "SP_COUNTRY_NAME")</f>
        <v>#INVALID COMPANY ID</v>
      </c>
      <c r="T472" s="9" t="str">
        <f>_xll.SNL.Clients.Office.Excel.Functions.SPG(Q472, "SP_COUNTRY_NAME")</f>
        <v>#INVALID COMPANY ID</v>
      </c>
      <c r="Y472" s="9" t="str">
        <f>_xll.SNL.Clients.Office.Excel.Functions.SPG(V472, "SP_COUNTRY_NAME")</f>
        <v>#INVALID COMPANY ID</v>
      </c>
      <c r="AD472" s="9" t="str">
        <f>_xll.SNL.Clients.Office.Excel.Functions.SPG(AA472, "SP_COUNTRY_NAME")</f>
        <v>#INVALID COMPANY ID</v>
      </c>
      <c r="AI472" s="9" t="str">
        <f>_xll.SNL.Clients.Office.Excel.Functions.SPG(AF472, "SP_COUNTRY_NAME")</f>
        <v>#INVALID COMPANY ID</v>
      </c>
      <c r="AN472" s="9" t="str">
        <f>_xll.SNL.Clients.Office.Excel.Functions.SPG(AK472, "SP_COUNTRY_NAME")</f>
        <v>#INVALID COMPANY ID</v>
      </c>
      <c r="AS472" s="9" t="str">
        <f>_xll.SNL.Clients.Office.Excel.Functions.SPG(AP472, "SP_COUNTRY_NAME")</f>
        <v>#INVALID COMPANY ID</v>
      </c>
      <c r="AX472" s="9" t="str">
        <f>_xll.SNL.Clients.Office.Excel.Functions.SPG(AU472, "SP_COUNTRY_NAME")</f>
        <v>#INVALID COMPANY ID</v>
      </c>
      <c r="BC472" s="9" t="str">
        <f>_xll.SNL.Clients.Office.Excel.Functions.SPG(AZ472, "SP_COUNTRY_NAME")</f>
        <v>#INVALID COMPANY ID</v>
      </c>
      <c r="BD472" t="s">
        <v>1339</v>
      </c>
      <c r="BE472">
        <v>29536489</v>
      </c>
      <c r="BF472" t="s">
        <v>346</v>
      </c>
      <c r="BG472" s="11">
        <v>0</v>
      </c>
      <c r="BH472" s="9" t="str">
        <f>_xll.SNL.Clients.Office.Excel.Functions.SPG(BE472, "SP_COUNTRY_NAME")</f>
        <v>#INVALID COMPANY ID</v>
      </c>
      <c r="BM472" s="9" t="str">
        <f>_xll.SNL.Clients.Office.Excel.Functions.SPG(BJ472, "SP_COUNTRY_NAME")</f>
        <v>#INVALID COMPANY ID</v>
      </c>
      <c r="BR472" s="9" t="str">
        <f>_xll.SNL.Clients.Office.Excel.Functions.SPG(BO472, "SP_COUNTRY_NAME")</f>
        <v>#INVALID COMPANY ID</v>
      </c>
      <c r="BS472" t="s">
        <v>1093</v>
      </c>
      <c r="BT472">
        <v>4048731</v>
      </c>
      <c r="BU472" t="s">
        <v>346</v>
      </c>
      <c r="BV472" s="11">
        <v>0</v>
      </c>
      <c r="BW472" s="9" t="str">
        <f>_xll.SNL.Clients.Office.Excel.Functions.SPG(BT472, "SP_COUNTRY_NAME")</f>
        <v>United Kingdom</v>
      </c>
      <c r="CB472" s="9" t="str">
        <f>_xll.SNL.Clients.Office.Excel.Functions.SPG(BY472, "SP_COUNTRY_NAME")</f>
        <v>#INVALID COMPANY ID</v>
      </c>
      <c r="CC472" t="s">
        <v>1884</v>
      </c>
      <c r="CD472">
        <v>4204108</v>
      </c>
      <c r="CE472" t="s">
        <v>346</v>
      </c>
      <c r="CF472" s="11">
        <v>0</v>
      </c>
      <c r="CG472" s="9" t="str">
        <f>_xll.SNL.Clients.Office.Excel.Functions.SPG(CD472, "SP_COUNTRY_NAME")</f>
        <v>USA</v>
      </c>
      <c r="CL472" s="9" t="str">
        <f>_xll.SNL.Clients.Office.Excel.Functions.SPG(CI472, "SP_COUNTRY_NAME")</f>
        <v>#INVALID COMPANY ID</v>
      </c>
      <c r="CM472" t="s">
        <v>2104</v>
      </c>
      <c r="CN472">
        <v>4115828</v>
      </c>
      <c r="CO472" t="s">
        <v>346</v>
      </c>
      <c r="CP472" s="11">
        <v>0</v>
      </c>
      <c r="CQ472" s="9" t="str">
        <f>_xll.SNL.Clients.Office.Excel.Functions.SPG(CN472, "SP_COUNTRY_NAME")</f>
        <v>USA</v>
      </c>
      <c r="CV472" s="9" t="str">
        <f>_xll.SNL.Clients.Office.Excel.Functions.SPG(CS472, "SP_COUNTRY_NAME")</f>
        <v>#INVALID COMPANY ID</v>
      </c>
      <c r="DA472" s="9" t="str">
        <f>_xll.SNL.Clients.Office.Excel.Functions.SPG(CX472, "SP_COUNTRY_NAME")</f>
        <v>#INVALID COMPANY ID</v>
      </c>
      <c r="DB472" t="s">
        <v>1339</v>
      </c>
      <c r="DC472">
        <v>29536489</v>
      </c>
      <c r="DD472" t="s">
        <v>346</v>
      </c>
      <c r="DE472" s="11">
        <v>0</v>
      </c>
      <c r="DF472" s="9" t="str">
        <f>_xll.SNL.Clients.Office.Excel.Functions.SPG(DC472, "SP_COUNTRY_NAME")</f>
        <v>#INVALID COMPANY ID</v>
      </c>
      <c r="DK472" s="9" t="str">
        <f>_xll.SNL.Clients.Office.Excel.Functions.SPG(DH472, "SP_COUNTRY_NAME")</f>
        <v>#INVALID COMPANY ID</v>
      </c>
      <c r="DL472" t="s">
        <v>1339</v>
      </c>
      <c r="DM472">
        <v>29536489</v>
      </c>
      <c r="DN472" t="s">
        <v>346</v>
      </c>
      <c r="DO472" s="11">
        <v>0</v>
      </c>
      <c r="DP472" s="9" t="str">
        <f>_xll.SNL.Clients.Office.Excel.Functions.SPG(DM472, "SP_COUNTRY_NAME")</f>
        <v>#INVALID COMPANY ID</v>
      </c>
      <c r="DU472" s="9" t="str">
        <f>_xll.SNL.Clients.Office.Excel.Functions.SPG(DR472, "SP_COUNTRY_NAME")</f>
        <v>#INVALID COMPANY ID</v>
      </c>
      <c r="DZ472" s="9" t="str">
        <f>_xll.SNL.Clients.Office.Excel.Functions.SPG(DW472, "SP_COUNTRY_NAME")</f>
        <v>#INVALID COMPANY ID</v>
      </c>
      <c r="EA472" t="s">
        <v>1884</v>
      </c>
      <c r="EB472">
        <v>4204108</v>
      </c>
      <c r="EC472" t="s">
        <v>346</v>
      </c>
      <c r="ED472" s="11">
        <v>0</v>
      </c>
      <c r="EE472" s="9" t="str">
        <f>_xll.SNL.Clients.Office.Excel.Functions.SPG(EB472, "SP_COUNTRY_NAME")</f>
        <v>USA</v>
      </c>
      <c r="EF472" t="s">
        <v>1339</v>
      </c>
      <c r="EG472">
        <v>29536489</v>
      </c>
      <c r="EH472" t="s">
        <v>346</v>
      </c>
      <c r="EI472" s="11">
        <v>0</v>
      </c>
      <c r="EJ472" s="9" t="str">
        <f>_xll.SNL.Clients.Office.Excel.Functions.SPG(EG472, "SP_COUNTRY_NAME")</f>
        <v>#INVALID COMPANY ID</v>
      </c>
      <c r="EO472" s="9" t="str">
        <f>_xll.SNL.Clients.Office.Excel.Functions.SPG(EL472, "SP_COUNTRY_NAME")</f>
        <v>#INVALID COMPANY ID</v>
      </c>
      <c r="ET472" s="9" t="str">
        <f>_xll.SNL.Clients.Office.Excel.Functions.SPG(EQ472, "SP_COUNTRY_NAME")</f>
        <v>#INVALID COMPANY ID</v>
      </c>
      <c r="EY472" s="9" t="str">
        <f>_xll.SNL.Clients.Office.Excel.Functions.SPG(EV472, "SP_COUNTRY_NAME")</f>
        <v>#INVALID COMPANY ID</v>
      </c>
      <c r="FD472" s="9" t="str">
        <f>_xll.SNL.Clients.Office.Excel.Functions.SPG(FA472, "SP_COUNTRY_NAME")</f>
        <v>#INVALID COMPANY ID</v>
      </c>
      <c r="FI472" s="9" t="str">
        <f>_xll.SNL.Clients.Office.Excel.Functions.SPG(FF472, "SP_COUNTRY_NAME")</f>
        <v>#INVALID COMPANY ID</v>
      </c>
      <c r="FN472" s="9" t="str">
        <f>_xll.SNL.Clients.Office.Excel.Functions.SPG(FK472, "SP_COUNTRY_NAME")</f>
        <v>#INVALID COMPANY ID</v>
      </c>
      <c r="FS472" s="9" t="str">
        <f>_xll.SNL.Clients.Office.Excel.Functions.SPG(FP472, "SP_COUNTRY_NAME")</f>
        <v>#INVALID COMPANY ID</v>
      </c>
      <c r="FX472" s="9" t="str">
        <f>_xll.SNL.Clients.Office.Excel.Functions.SPG(FU472, "SP_COUNTRY_NAME")</f>
        <v>#INVALID COMPANY ID</v>
      </c>
      <c r="FY472" t="s">
        <v>1339</v>
      </c>
      <c r="FZ472">
        <v>29536489</v>
      </c>
      <c r="GA472" t="s">
        <v>346</v>
      </c>
      <c r="GB472" s="11">
        <v>0</v>
      </c>
      <c r="GC472" s="9" t="str">
        <f>_xll.SNL.Clients.Office.Excel.Functions.SPG(FZ472, "SP_COUNTRY_NAME")</f>
        <v>#INVALID COMPANY ID</v>
      </c>
      <c r="GH472" s="9" t="str">
        <f>_xll.SNL.Clients.Office.Excel.Functions.SPG(GE472, "SP_COUNTRY_NAME")</f>
        <v>#INVALID COMPANY ID</v>
      </c>
      <c r="GM472" s="9" t="str">
        <f>_xll.SNL.Clients.Office.Excel.Functions.SPG(GJ472, "SP_COUNTRY_NAME")</f>
        <v>#INVALID COMPANY ID</v>
      </c>
      <c r="GR472" s="9" t="str">
        <f>_xll.SNL.Clients.Office.Excel.Functions.SPG(GO472, "SP_COUNTRY_NAME")</f>
        <v>#INVALID COMPANY ID</v>
      </c>
      <c r="GW472" s="9" t="str">
        <f>_xll.SNL.Clients.Office.Excel.Functions.SPG(GT472, "SP_COUNTRY_NAME")</f>
        <v>#INVALID COMPANY ID</v>
      </c>
      <c r="GX472" t="s">
        <v>1884</v>
      </c>
      <c r="GY472">
        <v>4204108</v>
      </c>
      <c r="GZ472" t="s">
        <v>346</v>
      </c>
      <c r="HA472" s="11">
        <v>0</v>
      </c>
      <c r="HB472" s="9" t="str">
        <f>_xll.SNL.Clients.Office.Excel.Functions.SPG(GY472, "SP_COUNTRY_NAME")</f>
        <v>USA</v>
      </c>
      <c r="HG472" s="9" t="str">
        <f>_xll.SNL.Clients.Office.Excel.Functions.SPG(HD472, "SP_COUNTRY_NAME")</f>
        <v>#INVALID COMPANY ID</v>
      </c>
    </row>
    <row r="473" spans="5:215" x14ac:dyDescent="0.35">
      <c r="E473" s="9" t="str">
        <f>_xll.SNL.Clients.Office.Excel.Functions.SPG(B473, "SP_COUNTRY_NAME")</f>
        <v>#INVALID COMPANY ID</v>
      </c>
      <c r="J473" s="9" t="str">
        <f>_xll.SNL.Clients.Office.Excel.Functions.SPG(G473, "SP_COUNTRY_NAME")</f>
        <v>#INVALID COMPANY ID</v>
      </c>
      <c r="O473" s="9" t="str">
        <f>_xll.SNL.Clients.Office.Excel.Functions.SPG(L473, "SP_COUNTRY_NAME")</f>
        <v>#INVALID COMPANY ID</v>
      </c>
      <c r="T473" s="9" t="str">
        <f>_xll.SNL.Clients.Office.Excel.Functions.SPG(Q473, "SP_COUNTRY_NAME")</f>
        <v>#INVALID COMPANY ID</v>
      </c>
      <c r="Y473" s="9" t="str">
        <f>_xll.SNL.Clients.Office.Excel.Functions.SPG(V473, "SP_COUNTRY_NAME")</f>
        <v>#INVALID COMPANY ID</v>
      </c>
      <c r="AD473" s="9" t="str">
        <f>_xll.SNL.Clients.Office.Excel.Functions.SPG(AA473, "SP_COUNTRY_NAME")</f>
        <v>#INVALID COMPANY ID</v>
      </c>
      <c r="AI473" s="9" t="str">
        <f>_xll.SNL.Clients.Office.Excel.Functions.SPG(AF473, "SP_COUNTRY_NAME")</f>
        <v>#INVALID COMPANY ID</v>
      </c>
      <c r="AN473" s="9" t="str">
        <f>_xll.SNL.Clients.Office.Excel.Functions.SPG(AK473, "SP_COUNTRY_NAME")</f>
        <v>#INVALID COMPANY ID</v>
      </c>
      <c r="AS473" s="9" t="str">
        <f>_xll.SNL.Clients.Office.Excel.Functions.SPG(AP473, "SP_COUNTRY_NAME")</f>
        <v>#INVALID COMPANY ID</v>
      </c>
      <c r="AX473" s="9" t="str">
        <f>_xll.SNL.Clients.Office.Excel.Functions.SPG(AU473, "SP_COUNTRY_NAME")</f>
        <v>#INVALID COMPANY ID</v>
      </c>
      <c r="BC473" s="9" t="str">
        <f>_xll.SNL.Clients.Office.Excel.Functions.SPG(AZ473, "SP_COUNTRY_NAME")</f>
        <v>#INVALID COMPANY ID</v>
      </c>
      <c r="BD473" t="s">
        <v>1542</v>
      </c>
      <c r="BE473">
        <v>14976855</v>
      </c>
      <c r="BF473" t="s">
        <v>346</v>
      </c>
      <c r="BG473" s="11">
        <v>0</v>
      </c>
      <c r="BH473" s="9" t="str">
        <f>_xll.SNL.Clients.Office.Excel.Functions.SPG(BE473, "SP_COUNTRY_NAME")</f>
        <v>Switzerland</v>
      </c>
      <c r="BM473" s="9" t="str">
        <f>_xll.SNL.Clients.Office.Excel.Functions.SPG(BJ473, "SP_COUNTRY_NAME")</f>
        <v>#INVALID COMPANY ID</v>
      </c>
      <c r="BR473" s="9" t="str">
        <f>_xll.SNL.Clients.Office.Excel.Functions.SPG(BO473, "SP_COUNTRY_NAME")</f>
        <v>#INVALID COMPANY ID</v>
      </c>
      <c r="BS473" t="s">
        <v>872</v>
      </c>
      <c r="BT473">
        <v>4025426</v>
      </c>
      <c r="BU473" t="s">
        <v>300</v>
      </c>
      <c r="BV473" s="11">
        <v>0</v>
      </c>
      <c r="BW473" s="9" t="str">
        <f>_xll.SNL.Clients.Office.Excel.Functions.SPG(BT473, "SP_COUNTRY_NAME")</f>
        <v>USA</v>
      </c>
      <c r="CB473" s="9" t="str">
        <f>_xll.SNL.Clients.Office.Excel.Functions.SPG(BY473, "SP_COUNTRY_NAME")</f>
        <v>#INVALID COMPANY ID</v>
      </c>
      <c r="CC473" t="s">
        <v>1885</v>
      </c>
      <c r="CD473">
        <v>15149159</v>
      </c>
      <c r="CE473" t="s">
        <v>346</v>
      </c>
      <c r="CF473" s="11">
        <v>0</v>
      </c>
      <c r="CG473" s="9" t="str">
        <f>_xll.SNL.Clients.Office.Excel.Functions.SPG(CD473, "SP_COUNTRY_NAME")</f>
        <v>Brazil</v>
      </c>
      <c r="CL473" s="9" t="str">
        <f>_xll.SNL.Clients.Office.Excel.Functions.SPG(CI473, "SP_COUNTRY_NAME")</f>
        <v>#INVALID COMPANY ID</v>
      </c>
      <c r="CM473" t="s">
        <v>2105</v>
      </c>
      <c r="CN473">
        <v>4027193</v>
      </c>
      <c r="CO473" t="s">
        <v>276</v>
      </c>
      <c r="CP473" s="11">
        <v>0</v>
      </c>
      <c r="CQ473" s="9" t="str">
        <f>_xll.SNL.Clients.Office.Excel.Functions.SPG(CN473, "SP_COUNTRY_NAME")</f>
        <v>USA</v>
      </c>
      <c r="CV473" s="9" t="str">
        <f>_xll.SNL.Clients.Office.Excel.Functions.SPG(CS473, "SP_COUNTRY_NAME")</f>
        <v>#INVALID COMPANY ID</v>
      </c>
      <c r="DA473" s="9" t="str">
        <f>_xll.SNL.Clients.Office.Excel.Functions.SPG(CX473, "SP_COUNTRY_NAME")</f>
        <v>#INVALID COMPANY ID</v>
      </c>
      <c r="DB473" t="s">
        <v>1542</v>
      </c>
      <c r="DC473">
        <v>14976855</v>
      </c>
      <c r="DD473" t="s">
        <v>346</v>
      </c>
      <c r="DE473" s="11">
        <v>0</v>
      </c>
      <c r="DF473" s="9" t="str">
        <f>_xll.SNL.Clients.Office.Excel.Functions.SPG(DC473, "SP_COUNTRY_NAME")</f>
        <v>Switzerland</v>
      </c>
      <c r="DK473" s="9" t="str">
        <f>_xll.SNL.Clients.Office.Excel.Functions.SPG(DH473, "SP_COUNTRY_NAME")</f>
        <v>#INVALID COMPANY ID</v>
      </c>
      <c r="DL473" t="s">
        <v>1542</v>
      </c>
      <c r="DM473">
        <v>14976855</v>
      </c>
      <c r="DN473" t="s">
        <v>346</v>
      </c>
      <c r="DO473" s="11">
        <v>0</v>
      </c>
      <c r="DP473" s="9" t="str">
        <f>_xll.SNL.Clients.Office.Excel.Functions.SPG(DM473, "SP_COUNTRY_NAME")</f>
        <v>Switzerland</v>
      </c>
      <c r="DU473" s="9" t="str">
        <f>_xll.SNL.Clients.Office.Excel.Functions.SPG(DR473, "SP_COUNTRY_NAME")</f>
        <v>#INVALID COMPANY ID</v>
      </c>
      <c r="DZ473" s="9" t="str">
        <f>_xll.SNL.Clients.Office.Excel.Functions.SPG(DW473, "SP_COUNTRY_NAME")</f>
        <v>#INVALID COMPANY ID</v>
      </c>
      <c r="EA473" t="s">
        <v>1885</v>
      </c>
      <c r="EB473">
        <v>15149159</v>
      </c>
      <c r="EC473" t="s">
        <v>346</v>
      </c>
      <c r="ED473" s="11">
        <v>0</v>
      </c>
      <c r="EE473" s="9" t="str">
        <f>_xll.SNL.Clients.Office.Excel.Functions.SPG(EB473, "SP_COUNTRY_NAME")</f>
        <v>Brazil</v>
      </c>
      <c r="EF473" t="s">
        <v>1542</v>
      </c>
      <c r="EG473">
        <v>14976855</v>
      </c>
      <c r="EH473" t="s">
        <v>346</v>
      </c>
      <c r="EI473" s="11">
        <v>0</v>
      </c>
      <c r="EJ473" s="9" t="str">
        <f>_xll.SNL.Clients.Office.Excel.Functions.SPG(EG473, "SP_COUNTRY_NAME")</f>
        <v>Switzerland</v>
      </c>
      <c r="EO473" s="9" t="str">
        <f>_xll.SNL.Clients.Office.Excel.Functions.SPG(EL473, "SP_COUNTRY_NAME")</f>
        <v>#INVALID COMPANY ID</v>
      </c>
      <c r="ET473" s="9" t="str">
        <f>_xll.SNL.Clients.Office.Excel.Functions.SPG(EQ473, "SP_COUNTRY_NAME")</f>
        <v>#INVALID COMPANY ID</v>
      </c>
      <c r="EY473" s="9" t="str">
        <f>_xll.SNL.Clients.Office.Excel.Functions.SPG(EV473, "SP_COUNTRY_NAME")</f>
        <v>#INVALID COMPANY ID</v>
      </c>
      <c r="FD473" s="9" t="str">
        <f>_xll.SNL.Clients.Office.Excel.Functions.SPG(FA473, "SP_COUNTRY_NAME")</f>
        <v>#INVALID COMPANY ID</v>
      </c>
      <c r="FI473" s="9" t="str">
        <f>_xll.SNL.Clients.Office.Excel.Functions.SPG(FF473, "SP_COUNTRY_NAME")</f>
        <v>#INVALID COMPANY ID</v>
      </c>
      <c r="FN473" s="9" t="str">
        <f>_xll.SNL.Clients.Office.Excel.Functions.SPG(FK473, "SP_COUNTRY_NAME")</f>
        <v>#INVALID COMPANY ID</v>
      </c>
      <c r="FS473" s="9" t="str">
        <f>_xll.SNL.Clients.Office.Excel.Functions.SPG(FP473, "SP_COUNTRY_NAME")</f>
        <v>#INVALID COMPANY ID</v>
      </c>
      <c r="FX473" s="9" t="str">
        <f>_xll.SNL.Clients.Office.Excel.Functions.SPG(FU473, "SP_COUNTRY_NAME")</f>
        <v>#INVALID COMPANY ID</v>
      </c>
      <c r="FY473" t="s">
        <v>1542</v>
      </c>
      <c r="FZ473">
        <v>14976855</v>
      </c>
      <c r="GA473" t="s">
        <v>346</v>
      </c>
      <c r="GB473" s="11">
        <v>0</v>
      </c>
      <c r="GC473" s="9" t="str">
        <f>_xll.SNL.Clients.Office.Excel.Functions.SPG(FZ473, "SP_COUNTRY_NAME")</f>
        <v>Switzerland</v>
      </c>
      <c r="GH473" s="9" t="str">
        <f>_xll.SNL.Clients.Office.Excel.Functions.SPG(GE473, "SP_COUNTRY_NAME")</f>
        <v>#INVALID COMPANY ID</v>
      </c>
      <c r="GM473" s="9" t="str">
        <f>_xll.SNL.Clients.Office.Excel.Functions.SPG(GJ473, "SP_COUNTRY_NAME")</f>
        <v>#INVALID COMPANY ID</v>
      </c>
      <c r="GR473" s="9" t="str">
        <f>_xll.SNL.Clients.Office.Excel.Functions.SPG(GO473, "SP_COUNTRY_NAME")</f>
        <v>#INVALID COMPANY ID</v>
      </c>
      <c r="GW473" s="9" t="str">
        <f>_xll.SNL.Clients.Office.Excel.Functions.SPG(GT473, "SP_COUNTRY_NAME")</f>
        <v>#INVALID COMPANY ID</v>
      </c>
      <c r="GX473" t="s">
        <v>1885</v>
      </c>
      <c r="GY473">
        <v>15149159</v>
      </c>
      <c r="GZ473" t="s">
        <v>346</v>
      </c>
      <c r="HA473" s="11">
        <v>0</v>
      </c>
      <c r="HB473" s="9" t="str">
        <f>_xll.SNL.Clients.Office.Excel.Functions.SPG(GY473, "SP_COUNTRY_NAME")</f>
        <v>Brazil</v>
      </c>
      <c r="HG473" s="9" t="str">
        <f>_xll.SNL.Clients.Office.Excel.Functions.SPG(HD473, "SP_COUNTRY_NAME")</f>
        <v>#INVALID COMPANY ID</v>
      </c>
    </row>
    <row r="474" spans="5:215" x14ac:dyDescent="0.35">
      <c r="E474" s="9" t="str">
        <f>_xll.SNL.Clients.Office.Excel.Functions.SPG(B474, "SP_COUNTRY_NAME")</f>
        <v>#INVALID COMPANY ID</v>
      </c>
      <c r="J474" s="9" t="str">
        <f>_xll.SNL.Clients.Office.Excel.Functions.SPG(G474, "SP_COUNTRY_NAME")</f>
        <v>#INVALID COMPANY ID</v>
      </c>
      <c r="O474" s="9" t="str">
        <f>_xll.SNL.Clients.Office.Excel.Functions.SPG(L474, "SP_COUNTRY_NAME")</f>
        <v>#INVALID COMPANY ID</v>
      </c>
      <c r="T474" s="9" t="str">
        <f>_xll.SNL.Clients.Office.Excel.Functions.SPG(Q474, "SP_COUNTRY_NAME")</f>
        <v>#INVALID COMPANY ID</v>
      </c>
      <c r="Y474" s="9" t="str">
        <f>_xll.SNL.Clients.Office.Excel.Functions.SPG(V474, "SP_COUNTRY_NAME")</f>
        <v>#INVALID COMPANY ID</v>
      </c>
      <c r="AD474" s="9" t="str">
        <f>_xll.SNL.Clients.Office.Excel.Functions.SPG(AA474, "SP_COUNTRY_NAME")</f>
        <v>#INVALID COMPANY ID</v>
      </c>
      <c r="AI474" s="9" t="str">
        <f>_xll.SNL.Clients.Office.Excel.Functions.SPG(AF474, "SP_COUNTRY_NAME")</f>
        <v>#INVALID COMPANY ID</v>
      </c>
      <c r="AN474" s="9" t="str">
        <f>_xll.SNL.Clients.Office.Excel.Functions.SPG(AK474, "SP_COUNTRY_NAME")</f>
        <v>#INVALID COMPANY ID</v>
      </c>
      <c r="AS474" s="9" t="str">
        <f>_xll.SNL.Clients.Office.Excel.Functions.SPG(AP474, "SP_COUNTRY_NAME")</f>
        <v>#INVALID COMPANY ID</v>
      </c>
      <c r="AX474" s="9" t="str">
        <f>_xll.SNL.Clients.Office.Excel.Functions.SPG(AU474, "SP_COUNTRY_NAME")</f>
        <v>#INVALID COMPANY ID</v>
      </c>
      <c r="BC474" s="9" t="str">
        <f>_xll.SNL.Clients.Office.Excel.Functions.SPG(AZ474, "SP_COUNTRY_NAME")</f>
        <v>#INVALID COMPANY ID</v>
      </c>
      <c r="BD474" t="s">
        <v>1358</v>
      </c>
      <c r="BE474">
        <v>8264448</v>
      </c>
      <c r="BF474" t="s">
        <v>346</v>
      </c>
      <c r="BG474" s="11">
        <v>0</v>
      </c>
      <c r="BH474" s="9" t="str">
        <f>_xll.SNL.Clients.Office.Excel.Functions.SPG(BE474, "SP_COUNTRY_NAME")</f>
        <v>South Africa</v>
      </c>
      <c r="BM474" s="9" t="str">
        <f>_xll.SNL.Clients.Office.Excel.Functions.SPG(BJ474, "SP_COUNTRY_NAME")</f>
        <v>#INVALID COMPANY ID</v>
      </c>
      <c r="BR474" s="9" t="str">
        <f>_xll.SNL.Clients.Office.Excel.Functions.SPG(BO474, "SP_COUNTRY_NAME")</f>
        <v>#INVALID COMPANY ID</v>
      </c>
      <c r="BS474" t="s">
        <v>877</v>
      </c>
      <c r="BT474">
        <v>4167462</v>
      </c>
      <c r="BU474" t="s">
        <v>366</v>
      </c>
      <c r="BV474" s="11">
        <v>0</v>
      </c>
      <c r="BW474" s="9" t="str">
        <f>_xll.SNL.Clients.Office.Excel.Functions.SPG(BT474, "SP_COUNTRY_NAME")</f>
        <v>USA</v>
      </c>
      <c r="CB474" s="9" t="str">
        <f>_xll.SNL.Clients.Office.Excel.Functions.SPG(BY474, "SP_COUNTRY_NAME")</f>
        <v>#INVALID COMPANY ID</v>
      </c>
      <c r="CC474" t="s">
        <v>1886</v>
      </c>
      <c r="CD474">
        <v>109739</v>
      </c>
      <c r="CE474" t="s">
        <v>346</v>
      </c>
      <c r="CF474" s="11">
        <v>0</v>
      </c>
      <c r="CG474" s="9" t="str">
        <f>_xll.SNL.Clients.Office.Excel.Functions.SPG(CD474, "SP_COUNTRY_NAME")</f>
        <v>USA</v>
      </c>
      <c r="CL474" s="9" t="str">
        <f>_xll.SNL.Clients.Office.Excel.Functions.SPG(CI474, "SP_COUNTRY_NAME")</f>
        <v>#INVALID COMPANY ID</v>
      </c>
      <c r="CM474" t="s">
        <v>2106</v>
      </c>
      <c r="CN474">
        <v>4283691</v>
      </c>
      <c r="CO474" t="s">
        <v>346</v>
      </c>
      <c r="CP474" s="11">
        <v>0</v>
      </c>
      <c r="CQ474" s="9" t="str">
        <f>_xll.SNL.Clients.Office.Excel.Functions.SPG(CN474, "SP_COUNTRY_NAME")</f>
        <v>USA</v>
      </c>
      <c r="CV474" s="9" t="str">
        <f>_xll.SNL.Clients.Office.Excel.Functions.SPG(CS474, "SP_COUNTRY_NAME")</f>
        <v>#INVALID COMPANY ID</v>
      </c>
      <c r="DA474" s="9" t="str">
        <f>_xll.SNL.Clients.Office.Excel.Functions.SPG(CX474, "SP_COUNTRY_NAME")</f>
        <v>#INVALID COMPANY ID</v>
      </c>
      <c r="DB474" t="s">
        <v>1358</v>
      </c>
      <c r="DC474">
        <v>8264448</v>
      </c>
      <c r="DD474" t="s">
        <v>346</v>
      </c>
      <c r="DE474" s="11">
        <v>0</v>
      </c>
      <c r="DF474" s="9" t="str">
        <f>_xll.SNL.Clients.Office.Excel.Functions.SPG(DC474, "SP_COUNTRY_NAME")</f>
        <v>South Africa</v>
      </c>
      <c r="DK474" s="9" t="str">
        <f>_xll.SNL.Clients.Office.Excel.Functions.SPG(DH474, "SP_COUNTRY_NAME")</f>
        <v>#INVALID COMPANY ID</v>
      </c>
      <c r="DL474" t="s">
        <v>1358</v>
      </c>
      <c r="DM474">
        <v>8264448</v>
      </c>
      <c r="DN474" t="s">
        <v>346</v>
      </c>
      <c r="DO474" s="11">
        <v>0</v>
      </c>
      <c r="DP474" s="9" t="str">
        <f>_xll.SNL.Clients.Office.Excel.Functions.SPG(DM474, "SP_COUNTRY_NAME")</f>
        <v>South Africa</v>
      </c>
      <c r="DU474" s="9" t="str">
        <f>_xll.SNL.Clients.Office.Excel.Functions.SPG(DR474, "SP_COUNTRY_NAME")</f>
        <v>#INVALID COMPANY ID</v>
      </c>
      <c r="DZ474" s="9" t="str">
        <f>_xll.SNL.Clients.Office.Excel.Functions.SPG(DW474, "SP_COUNTRY_NAME")</f>
        <v>#INVALID COMPANY ID</v>
      </c>
      <c r="EA474" t="s">
        <v>1886</v>
      </c>
      <c r="EB474">
        <v>109739</v>
      </c>
      <c r="EC474" t="s">
        <v>346</v>
      </c>
      <c r="ED474" s="11">
        <v>0</v>
      </c>
      <c r="EE474" s="9" t="str">
        <f>_xll.SNL.Clients.Office.Excel.Functions.SPG(EB474, "SP_COUNTRY_NAME")</f>
        <v>USA</v>
      </c>
      <c r="EF474" t="s">
        <v>1358</v>
      </c>
      <c r="EG474">
        <v>8264448</v>
      </c>
      <c r="EH474" t="s">
        <v>346</v>
      </c>
      <c r="EI474" s="11">
        <v>0</v>
      </c>
      <c r="EJ474" s="9" t="str">
        <f>_xll.SNL.Clients.Office.Excel.Functions.SPG(EG474, "SP_COUNTRY_NAME")</f>
        <v>South Africa</v>
      </c>
      <c r="EO474" s="9" t="str">
        <f>_xll.SNL.Clients.Office.Excel.Functions.SPG(EL474, "SP_COUNTRY_NAME")</f>
        <v>#INVALID COMPANY ID</v>
      </c>
      <c r="ET474" s="9" t="str">
        <f>_xll.SNL.Clients.Office.Excel.Functions.SPG(EQ474, "SP_COUNTRY_NAME")</f>
        <v>#INVALID COMPANY ID</v>
      </c>
      <c r="EY474" s="9" t="str">
        <f>_xll.SNL.Clients.Office.Excel.Functions.SPG(EV474, "SP_COUNTRY_NAME")</f>
        <v>#INVALID COMPANY ID</v>
      </c>
      <c r="FD474" s="9" t="str">
        <f>_xll.SNL.Clients.Office.Excel.Functions.SPG(FA474, "SP_COUNTRY_NAME")</f>
        <v>#INVALID COMPANY ID</v>
      </c>
      <c r="FI474" s="9" t="str">
        <f>_xll.SNL.Clients.Office.Excel.Functions.SPG(FF474, "SP_COUNTRY_NAME")</f>
        <v>#INVALID COMPANY ID</v>
      </c>
      <c r="FN474" s="9" t="str">
        <f>_xll.SNL.Clients.Office.Excel.Functions.SPG(FK474, "SP_COUNTRY_NAME")</f>
        <v>#INVALID COMPANY ID</v>
      </c>
      <c r="FS474" s="9" t="str">
        <f>_xll.SNL.Clients.Office.Excel.Functions.SPG(FP474, "SP_COUNTRY_NAME")</f>
        <v>#INVALID COMPANY ID</v>
      </c>
      <c r="FX474" s="9" t="str">
        <f>_xll.SNL.Clients.Office.Excel.Functions.SPG(FU474, "SP_COUNTRY_NAME")</f>
        <v>#INVALID COMPANY ID</v>
      </c>
      <c r="FY474" t="s">
        <v>1358</v>
      </c>
      <c r="FZ474">
        <v>8264448</v>
      </c>
      <c r="GA474" t="s">
        <v>346</v>
      </c>
      <c r="GB474" s="11">
        <v>0</v>
      </c>
      <c r="GC474" s="9" t="str">
        <f>_xll.SNL.Clients.Office.Excel.Functions.SPG(FZ474, "SP_COUNTRY_NAME")</f>
        <v>South Africa</v>
      </c>
      <c r="GH474" s="9" t="str">
        <f>_xll.SNL.Clients.Office.Excel.Functions.SPG(GE474, "SP_COUNTRY_NAME")</f>
        <v>#INVALID COMPANY ID</v>
      </c>
      <c r="GM474" s="9" t="str">
        <f>_xll.SNL.Clients.Office.Excel.Functions.SPG(GJ474, "SP_COUNTRY_NAME")</f>
        <v>#INVALID COMPANY ID</v>
      </c>
      <c r="GR474" s="9" t="str">
        <f>_xll.SNL.Clients.Office.Excel.Functions.SPG(GO474, "SP_COUNTRY_NAME")</f>
        <v>#INVALID COMPANY ID</v>
      </c>
      <c r="GW474" s="9" t="str">
        <f>_xll.SNL.Clients.Office.Excel.Functions.SPG(GT474, "SP_COUNTRY_NAME")</f>
        <v>#INVALID COMPANY ID</v>
      </c>
      <c r="GX474" t="s">
        <v>1886</v>
      </c>
      <c r="GY474">
        <v>109739</v>
      </c>
      <c r="GZ474" t="s">
        <v>346</v>
      </c>
      <c r="HA474" s="11">
        <v>0</v>
      </c>
      <c r="HB474" s="9" t="str">
        <f>_xll.SNL.Clients.Office.Excel.Functions.SPG(GY474, "SP_COUNTRY_NAME")</f>
        <v>USA</v>
      </c>
      <c r="HG474" s="9" t="str">
        <f>_xll.SNL.Clients.Office.Excel.Functions.SPG(HD474, "SP_COUNTRY_NAME")</f>
        <v>#INVALID COMPANY ID</v>
      </c>
    </row>
    <row r="475" spans="5:215" x14ac:dyDescent="0.35">
      <c r="E475" s="9" t="str">
        <f>_xll.SNL.Clients.Office.Excel.Functions.SPG(B475, "SP_COUNTRY_NAME")</f>
        <v>#INVALID COMPANY ID</v>
      </c>
      <c r="J475" s="9" t="str">
        <f>_xll.SNL.Clients.Office.Excel.Functions.SPG(G475, "SP_COUNTRY_NAME")</f>
        <v>#INVALID COMPANY ID</v>
      </c>
      <c r="O475" s="9" t="str">
        <f>_xll.SNL.Clients.Office.Excel.Functions.SPG(L475, "SP_COUNTRY_NAME")</f>
        <v>#INVALID COMPANY ID</v>
      </c>
      <c r="T475" s="9" t="str">
        <f>_xll.SNL.Clients.Office.Excel.Functions.SPG(Q475, "SP_COUNTRY_NAME")</f>
        <v>#INVALID COMPANY ID</v>
      </c>
      <c r="Y475" s="9" t="str">
        <f>_xll.SNL.Clients.Office.Excel.Functions.SPG(V475, "SP_COUNTRY_NAME")</f>
        <v>#INVALID COMPANY ID</v>
      </c>
      <c r="AD475" s="9" t="str">
        <f>_xll.SNL.Clients.Office.Excel.Functions.SPG(AA475, "SP_COUNTRY_NAME")</f>
        <v>#INVALID COMPANY ID</v>
      </c>
      <c r="AI475" s="9" t="str">
        <f>_xll.SNL.Clients.Office.Excel.Functions.SPG(AF475, "SP_COUNTRY_NAME")</f>
        <v>#INVALID COMPANY ID</v>
      </c>
      <c r="AN475" s="9" t="str">
        <f>_xll.SNL.Clients.Office.Excel.Functions.SPG(AK475, "SP_COUNTRY_NAME")</f>
        <v>#INVALID COMPANY ID</v>
      </c>
      <c r="AS475" s="9" t="str">
        <f>_xll.SNL.Clients.Office.Excel.Functions.SPG(AP475, "SP_COUNTRY_NAME")</f>
        <v>#INVALID COMPANY ID</v>
      </c>
      <c r="AX475" s="9" t="str">
        <f>_xll.SNL.Clients.Office.Excel.Functions.SPG(AU475, "SP_COUNTRY_NAME")</f>
        <v>#INVALID COMPANY ID</v>
      </c>
      <c r="BC475" s="9" t="str">
        <f>_xll.SNL.Clients.Office.Excel.Functions.SPG(AZ475, "SP_COUNTRY_NAME")</f>
        <v>#INVALID COMPANY ID</v>
      </c>
      <c r="BD475" t="s">
        <v>1543</v>
      </c>
      <c r="BE475">
        <v>5763215</v>
      </c>
      <c r="BF475" t="s">
        <v>346</v>
      </c>
      <c r="BG475" s="11">
        <v>0</v>
      </c>
      <c r="BH475" s="9" t="str">
        <f>_xll.SNL.Clients.Office.Excel.Functions.SPG(BE475, "SP_COUNTRY_NAME")</f>
        <v>Switzerland</v>
      </c>
      <c r="BM475" s="9" t="str">
        <f>_xll.SNL.Clients.Office.Excel.Functions.SPG(BJ475, "SP_COUNTRY_NAME")</f>
        <v>#INVALID COMPANY ID</v>
      </c>
      <c r="BR475" s="9" t="str">
        <f>_xll.SNL.Clients.Office.Excel.Functions.SPG(BO475, "SP_COUNTRY_NAME")</f>
        <v>#INVALID COMPANY ID</v>
      </c>
      <c r="BS475" t="s">
        <v>881</v>
      </c>
      <c r="BT475">
        <v>4608579</v>
      </c>
      <c r="BU475" t="s">
        <v>346</v>
      </c>
      <c r="BV475" s="11">
        <v>0</v>
      </c>
      <c r="BW475" s="9" t="str">
        <f>_xll.SNL.Clients.Office.Excel.Functions.SPG(BT475, "SP_COUNTRY_NAME")</f>
        <v>China</v>
      </c>
      <c r="CB475" s="9" t="str">
        <f>_xll.SNL.Clients.Office.Excel.Functions.SPG(BY475, "SP_COUNTRY_NAME")</f>
        <v>#INVALID COMPANY ID</v>
      </c>
      <c r="CC475" t="s">
        <v>1887</v>
      </c>
      <c r="CD475">
        <v>27501108</v>
      </c>
      <c r="CE475" t="s">
        <v>346</v>
      </c>
      <c r="CF475" s="11">
        <v>0</v>
      </c>
      <c r="CG475" s="9" t="str">
        <f>_xll.SNL.Clients.Office.Excel.Functions.SPG(CD475, "SP_COUNTRY_NAME")</f>
        <v>USA</v>
      </c>
      <c r="CL475" s="9" t="str">
        <f>_xll.SNL.Clients.Office.Excel.Functions.SPG(CI475, "SP_COUNTRY_NAME")</f>
        <v>#INVALID COMPANY ID</v>
      </c>
      <c r="CM475" t="s">
        <v>2107</v>
      </c>
      <c r="CN475">
        <v>27858219</v>
      </c>
      <c r="CO475" t="s">
        <v>346</v>
      </c>
      <c r="CP475" s="11">
        <v>0</v>
      </c>
      <c r="CQ475" s="9" t="str">
        <f>_xll.SNL.Clients.Office.Excel.Functions.SPG(CN475, "SP_COUNTRY_NAME")</f>
        <v>USA</v>
      </c>
      <c r="CV475" s="9" t="str">
        <f>_xll.SNL.Clients.Office.Excel.Functions.SPG(CS475, "SP_COUNTRY_NAME")</f>
        <v>#INVALID COMPANY ID</v>
      </c>
      <c r="DA475" s="9" t="str">
        <f>_xll.SNL.Clients.Office.Excel.Functions.SPG(CX475, "SP_COUNTRY_NAME")</f>
        <v>#INVALID COMPANY ID</v>
      </c>
      <c r="DB475" t="s">
        <v>1543</v>
      </c>
      <c r="DC475">
        <v>5763215</v>
      </c>
      <c r="DD475" t="s">
        <v>346</v>
      </c>
      <c r="DE475" s="11">
        <v>0</v>
      </c>
      <c r="DF475" s="9" t="str">
        <f>_xll.SNL.Clients.Office.Excel.Functions.SPG(DC475, "SP_COUNTRY_NAME")</f>
        <v>Switzerland</v>
      </c>
      <c r="DK475" s="9" t="str">
        <f>_xll.SNL.Clients.Office.Excel.Functions.SPG(DH475, "SP_COUNTRY_NAME")</f>
        <v>#INVALID COMPANY ID</v>
      </c>
      <c r="DL475" t="s">
        <v>1543</v>
      </c>
      <c r="DM475">
        <v>5763215</v>
      </c>
      <c r="DN475" t="s">
        <v>346</v>
      </c>
      <c r="DO475" s="11">
        <v>0</v>
      </c>
      <c r="DP475" s="9" t="str">
        <f>_xll.SNL.Clients.Office.Excel.Functions.SPG(DM475, "SP_COUNTRY_NAME")</f>
        <v>Switzerland</v>
      </c>
      <c r="DU475" s="9" t="str">
        <f>_xll.SNL.Clients.Office.Excel.Functions.SPG(DR475, "SP_COUNTRY_NAME")</f>
        <v>#INVALID COMPANY ID</v>
      </c>
      <c r="DZ475" s="9" t="str">
        <f>_xll.SNL.Clients.Office.Excel.Functions.SPG(DW475, "SP_COUNTRY_NAME")</f>
        <v>#INVALID COMPANY ID</v>
      </c>
      <c r="EA475" t="s">
        <v>1887</v>
      </c>
      <c r="EB475">
        <v>27501108</v>
      </c>
      <c r="EC475" t="s">
        <v>346</v>
      </c>
      <c r="ED475" s="11">
        <v>0</v>
      </c>
      <c r="EE475" s="9" t="str">
        <f>_xll.SNL.Clients.Office.Excel.Functions.SPG(EB475, "SP_COUNTRY_NAME")</f>
        <v>USA</v>
      </c>
      <c r="EF475" t="s">
        <v>1543</v>
      </c>
      <c r="EG475">
        <v>5763215</v>
      </c>
      <c r="EH475" t="s">
        <v>346</v>
      </c>
      <c r="EI475" s="11">
        <v>0</v>
      </c>
      <c r="EJ475" s="9" t="str">
        <f>_xll.SNL.Clients.Office.Excel.Functions.SPG(EG475, "SP_COUNTRY_NAME")</f>
        <v>Switzerland</v>
      </c>
      <c r="EO475" s="9" t="str">
        <f>_xll.SNL.Clients.Office.Excel.Functions.SPG(EL475, "SP_COUNTRY_NAME")</f>
        <v>#INVALID COMPANY ID</v>
      </c>
      <c r="ET475" s="9" t="str">
        <f>_xll.SNL.Clients.Office.Excel.Functions.SPG(EQ475, "SP_COUNTRY_NAME")</f>
        <v>#INVALID COMPANY ID</v>
      </c>
      <c r="EY475" s="9" t="str">
        <f>_xll.SNL.Clients.Office.Excel.Functions.SPG(EV475, "SP_COUNTRY_NAME")</f>
        <v>#INVALID COMPANY ID</v>
      </c>
      <c r="FD475" s="9" t="str">
        <f>_xll.SNL.Clients.Office.Excel.Functions.SPG(FA475, "SP_COUNTRY_NAME")</f>
        <v>#INVALID COMPANY ID</v>
      </c>
      <c r="FI475" s="9" t="str">
        <f>_xll.SNL.Clients.Office.Excel.Functions.SPG(FF475, "SP_COUNTRY_NAME")</f>
        <v>#INVALID COMPANY ID</v>
      </c>
      <c r="FN475" s="9" t="str">
        <f>_xll.SNL.Clients.Office.Excel.Functions.SPG(FK475, "SP_COUNTRY_NAME")</f>
        <v>#INVALID COMPANY ID</v>
      </c>
      <c r="FS475" s="9" t="str">
        <f>_xll.SNL.Clients.Office.Excel.Functions.SPG(FP475, "SP_COUNTRY_NAME")</f>
        <v>#INVALID COMPANY ID</v>
      </c>
      <c r="FX475" s="9" t="str">
        <f>_xll.SNL.Clients.Office.Excel.Functions.SPG(FU475, "SP_COUNTRY_NAME")</f>
        <v>#INVALID COMPANY ID</v>
      </c>
      <c r="FY475" t="s">
        <v>1543</v>
      </c>
      <c r="FZ475">
        <v>5763215</v>
      </c>
      <c r="GA475" t="s">
        <v>346</v>
      </c>
      <c r="GB475" s="11">
        <v>0</v>
      </c>
      <c r="GC475" s="9" t="str">
        <f>_xll.SNL.Clients.Office.Excel.Functions.SPG(FZ475, "SP_COUNTRY_NAME")</f>
        <v>Switzerland</v>
      </c>
      <c r="GH475" s="9" t="str">
        <f>_xll.SNL.Clients.Office.Excel.Functions.SPG(GE475, "SP_COUNTRY_NAME")</f>
        <v>#INVALID COMPANY ID</v>
      </c>
      <c r="GM475" s="9" t="str">
        <f>_xll.SNL.Clients.Office.Excel.Functions.SPG(GJ475, "SP_COUNTRY_NAME")</f>
        <v>#INVALID COMPANY ID</v>
      </c>
      <c r="GR475" s="9" t="str">
        <f>_xll.SNL.Clients.Office.Excel.Functions.SPG(GO475, "SP_COUNTRY_NAME")</f>
        <v>#INVALID COMPANY ID</v>
      </c>
      <c r="GW475" s="9" t="str">
        <f>_xll.SNL.Clients.Office.Excel.Functions.SPG(GT475, "SP_COUNTRY_NAME")</f>
        <v>#INVALID COMPANY ID</v>
      </c>
      <c r="GX475" t="s">
        <v>1887</v>
      </c>
      <c r="GY475">
        <v>27501108</v>
      </c>
      <c r="GZ475" t="s">
        <v>346</v>
      </c>
      <c r="HA475" s="11">
        <v>0</v>
      </c>
      <c r="HB475" s="9" t="str">
        <f>_xll.SNL.Clients.Office.Excel.Functions.SPG(GY475, "SP_COUNTRY_NAME")</f>
        <v>USA</v>
      </c>
      <c r="HG475" s="9" t="str">
        <f>_xll.SNL.Clients.Office.Excel.Functions.SPG(HD475, "SP_COUNTRY_NAME")</f>
        <v>#INVALID COMPANY ID</v>
      </c>
    </row>
    <row r="476" spans="5:215" x14ac:dyDescent="0.35">
      <c r="E476" s="9" t="str">
        <f>_xll.SNL.Clients.Office.Excel.Functions.SPG(B476, "SP_COUNTRY_NAME")</f>
        <v>#INVALID COMPANY ID</v>
      </c>
      <c r="J476" s="9" t="str">
        <f>_xll.SNL.Clients.Office.Excel.Functions.SPG(G476, "SP_COUNTRY_NAME")</f>
        <v>#INVALID COMPANY ID</v>
      </c>
      <c r="O476" s="9" t="str">
        <f>_xll.SNL.Clients.Office.Excel.Functions.SPG(L476, "SP_COUNTRY_NAME")</f>
        <v>#INVALID COMPANY ID</v>
      </c>
      <c r="T476" s="9" t="str">
        <f>_xll.SNL.Clients.Office.Excel.Functions.SPG(Q476, "SP_COUNTRY_NAME")</f>
        <v>#INVALID COMPANY ID</v>
      </c>
      <c r="Y476" s="9" t="str">
        <f>_xll.SNL.Clients.Office.Excel.Functions.SPG(V476, "SP_COUNTRY_NAME")</f>
        <v>#INVALID COMPANY ID</v>
      </c>
      <c r="AD476" s="9" t="str">
        <f>_xll.SNL.Clients.Office.Excel.Functions.SPG(AA476, "SP_COUNTRY_NAME")</f>
        <v>#INVALID COMPANY ID</v>
      </c>
      <c r="AI476" s="9" t="str">
        <f>_xll.SNL.Clients.Office.Excel.Functions.SPG(AF476, "SP_COUNTRY_NAME")</f>
        <v>#INVALID COMPANY ID</v>
      </c>
      <c r="AN476" s="9" t="str">
        <f>_xll.SNL.Clients.Office.Excel.Functions.SPG(AK476, "SP_COUNTRY_NAME")</f>
        <v>#INVALID COMPANY ID</v>
      </c>
      <c r="AS476" s="9" t="str">
        <f>_xll.SNL.Clients.Office.Excel.Functions.SPG(AP476, "SP_COUNTRY_NAME")</f>
        <v>#INVALID COMPANY ID</v>
      </c>
      <c r="AX476" s="9" t="str">
        <f>_xll.SNL.Clients.Office.Excel.Functions.SPG(AU476, "SP_COUNTRY_NAME")</f>
        <v>#INVALID COMPANY ID</v>
      </c>
      <c r="BC476" s="9" t="str">
        <f>_xll.SNL.Clients.Office.Excel.Functions.SPG(AZ476, "SP_COUNTRY_NAME")</f>
        <v>#INVALID COMPANY ID</v>
      </c>
      <c r="BD476" t="s">
        <v>1544</v>
      </c>
      <c r="BE476">
        <v>4211943</v>
      </c>
      <c r="BF476" t="s">
        <v>346</v>
      </c>
      <c r="BG476" s="11">
        <v>0</v>
      </c>
      <c r="BH476" s="9" t="str">
        <f>_xll.SNL.Clients.Office.Excel.Functions.SPG(BE476, "SP_COUNTRY_NAME")</f>
        <v>United Kingdom</v>
      </c>
      <c r="BM476" s="9" t="str">
        <f>_xll.SNL.Clients.Office.Excel.Functions.SPG(BJ476, "SP_COUNTRY_NAME")</f>
        <v>#INVALID COMPANY ID</v>
      </c>
      <c r="BR476" s="9" t="str">
        <f>_xll.SNL.Clients.Office.Excel.Functions.SPG(BO476, "SP_COUNTRY_NAME")</f>
        <v>#INVALID COMPANY ID</v>
      </c>
      <c r="BS476" t="s">
        <v>1094</v>
      </c>
      <c r="BT476">
        <v>5758410</v>
      </c>
      <c r="BU476" t="s">
        <v>346</v>
      </c>
      <c r="BV476" s="11">
        <v>0</v>
      </c>
      <c r="BW476" s="9" t="str">
        <f>_xll.SNL.Clients.Office.Excel.Functions.SPG(BT476, "SP_COUNTRY_NAME")</f>
        <v>Spain</v>
      </c>
      <c r="CB476" s="9" t="str">
        <f>_xll.SNL.Clients.Office.Excel.Functions.SPG(BY476, "SP_COUNTRY_NAME")</f>
        <v>#INVALID COMPANY ID</v>
      </c>
      <c r="CC476" t="s">
        <v>1888</v>
      </c>
      <c r="CD476">
        <v>6573093</v>
      </c>
      <c r="CE476" t="s">
        <v>300</v>
      </c>
      <c r="CF476" s="11">
        <v>0</v>
      </c>
      <c r="CG476" s="9" t="str">
        <f>_xll.SNL.Clients.Office.Excel.Functions.SPG(CD476, "SP_COUNTRY_NAME")</f>
        <v>Brazil</v>
      </c>
      <c r="CL476" s="9" t="str">
        <f>_xll.SNL.Clients.Office.Excel.Functions.SPG(CI476, "SP_COUNTRY_NAME")</f>
        <v>#INVALID COMPANY ID</v>
      </c>
      <c r="CM476" t="s">
        <v>1383</v>
      </c>
      <c r="CN476">
        <v>9146959</v>
      </c>
      <c r="CO476" t="s">
        <v>346</v>
      </c>
      <c r="CP476" s="11">
        <v>0</v>
      </c>
      <c r="CQ476" s="9" t="str">
        <f>_xll.SNL.Clients.Office.Excel.Functions.SPG(CN476, "SP_COUNTRY_NAME")</f>
        <v>South Africa</v>
      </c>
      <c r="CV476" s="9" t="str">
        <f>_xll.SNL.Clients.Office.Excel.Functions.SPG(CS476, "SP_COUNTRY_NAME")</f>
        <v>#INVALID COMPANY ID</v>
      </c>
      <c r="DA476" s="9" t="str">
        <f>_xll.SNL.Clients.Office.Excel.Functions.SPG(CX476, "SP_COUNTRY_NAME")</f>
        <v>#INVALID COMPANY ID</v>
      </c>
      <c r="DB476" t="s">
        <v>1544</v>
      </c>
      <c r="DC476">
        <v>4211943</v>
      </c>
      <c r="DD476" t="s">
        <v>346</v>
      </c>
      <c r="DE476" s="11">
        <v>0</v>
      </c>
      <c r="DF476" s="9" t="str">
        <f>_xll.SNL.Clients.Office.Excel.Functions.SPG(DC476, "SP_COUNTRY_NAME")</f>
        <v>United Kingdom</v>
      </c>
      <c r="DK476" s="9" t="str">
        <f>_xll.SNL.Clients.Office.Excel.Functions.SPG(DH476, "SP_COUNTRY_NAME")</f>
        <v>#INVALID COMPANY ID</v>
      </c>
      <c r="DL476" t="s">
        <v>1544</v>
      </c>
      <c r="DM476">
        <v>4211943</v>
      </c>
      <c r="DN476" t="s">
        <v>346</v>
      </c>
      <c r="DO476" s="11">
        <v>0</v>
      </c>
      <c r="DP476" s="9" t="str">
        <f>_xll.SNL.Clients.Office.Excel.Functions.SPG(DM476, "SP_COUNTRY_NAME")</f>
        <v>United Kingdom</v>
      </c>
      <c r="DU476" s="9" t="str">
        <f>_xll.SNL.Clients.Office.Excel.Functions.SPG(DR476, "SP_COUNTRY_NAME")</f>
        <v>#INVALID COMPANY ID</v>
      </c>
      <c r="DZ476" s="9" t="str">
        <f>_xll.SNL.Clients.Office.Excel.Functions.SPG(DW476, "SP_COUNTRY_NAME")</f>
        <v>#INVALID COMPANY ID</v>
      </c>
      <c r="EA476" t="s">
        <v>1888</v>
      </c>
      <c r="EB476">
        <v>6573093</v>
      </c>
      <c r="EC476" t="s">
        <v>300</v>
      </c>
      <c r="ED476" s="11">
        <v>0</v>
      </c>
      <c r="EE476" s="9" t="str">
        <f>_xll.SNL.Clients.Office.Excel.Functions.SPG(EB476, "SP_COUNTRY_NAME")</f>
        <v>Brazil</v>
      </c>
      <c r="EF476" t="s">
        <v>1544</v>
      </c>
      <c r="EG476">
        <v>4211943</v>
      </c>
      <c r="EH476" t="s">
        <v>346</v>
      </c>
      <c r="EI476" s="11">
        <v>0</v>
      </c>
      <c r="EJ476" s="9" t="str">
        <f>_xll.SNL.Clients.Office.Excel.Functions.SPG(EG476, "SP_COUNTRY_NAME")</f>
        <v>United Kingdom</v>
      </c>
      <c r="EO476" s="9" t="str">
        <f>_xll.SNL.Clients.Office.Excel.Functions.SPG(EL476, "SP_COUNTRY_NAME")</f>
        <v>#INVALID COMPANY ID</v>
      </c>
      <c r="ET476" s="9" t="str">
        <f>_xll.SNL.Clients.Office.Excel.Functions.SPG(EQ476, "SP_COUNTRY_NAME")</f>
        <v>#INVALID COMPANY ID</v>
      </c>
      <c r="EY476" s="9" t="str">
        <f>_xll.SNL.Clients.Office.Excel.Functions.SPG(EV476, "SP_COUNTRY_NAME")</f>
        <v>#INVALID COMPANY ID</v>
      </c>
      <c r="FD476" s="9" t="str">
        <f>_xll.SNL.Clients.Office.Excel.Functions.SPG(FA476, "SP_COUNTRY_NAME")</f>
        <v>#INVALID COMPANY ID</v>
      </c>
      <c r="FI476" s="9" t="str">
        <f>_xll.SNL.Clients.Office.Excel.Functions.SPG(FF476, "SP_COUNTRY_NAME")</f>
        <v>#INVALID COMPANY ID</v>
      </c>
      <c r="FN476" s="9" t="str">
        <f>_xll.SNL.Clients.Office.Excel.Functions.SPG(FK476, "SP_COUNTRY_NAME")</f>
        <v>#INVALID COMPANY ID</v>
      </c>
      <c r="FS476" s="9" t="str">
        <f>_xll.SNL.Clients.Office.Excel.Functions.SPG(FP476, "SP_COUNTRY_NAME")</f>
        <v>#INVALID COMPANY ID</v>
      </c>
      <c r="FX476" s="9" t="str">
        <f>_xll.SNL.Clients.Office.Excel.Functions.SPG(FU476, "SP_COUNTRY_NAME")</f>
        <v>#INVALID COMPANY ID</v>
      </c>
      <c r="FY476" t="s">
        <v>1544</v>
      </c>
      <c r="FZ476">
        <v>4211943</v>
      </c>
      <c r="GA476" t="s">
        <v>346</v>
      </c>
      <c r="GB476" s="11">
        <v>0</v>
      </c>
      <c r="GC476" s="9" t="str">
        <f>_xll.SNL.Clients.Office.Excel.Functions.SPG(FZ476, "SP_COUNTRY_NAME")</f>
        <v>United Kingdom</v>
      </c>
      <c r="GH476" s="9" t="str">
        <f>_xll.SNL.Clients.Office.Excel.Functions.SPG(GE476, "SP_COUNTRY_NAME")</f>
        <v>#INVALID COMPANY ID</v>
      </c>
      <c r="GM476" s="9" t="str">
        <f>_xll.SNL.Clients.Office.Excel.Functions.SPG(GJ476, "SP_COUNTRY_NAME")</f>
        <v>#INVALID COMPANY ID</v>
      </c>
      <c r="GR476" s="9" t="str">
        <f>_xll.SNL.Clients.Office.Excel.Functions.SPG(GO476, "SP_COUNTRY_NAME")</f>
        <v>#INVALID COMPANY ID</v>
      </c>
      <c r="GW476" s="9" t="str">
        <f>_xll.SNL.Clients.Office.Excel.Functions.SPG(GT476, "SP_COUNTRY_NAME")</f>
        <v>#INVALID COMPANY ID</v>
      </c>
      <c r="GX476" t="s">
        <v>1888</v>
      </c>
      <c r="GY476">
        <v>6573093</v>
      </c>
      <c r="GZ476" t="s">
        <v>300</v>
      </c>
      <c r="HA476" s="11">
        <v>0</v>
      </c>
      <c r="HB476" s="9" t="str">
        <f>_xll.SNL.Clients.Office.Excel.Functions.SPG(GY476, "SP_COUNTRY_NAME")</f>
        <v>Brazil</v>
      </c>
      <c r="HG476" s="9" t="str">
        <f>_xll.SNL.Clients.Office.Excel.Functions.SPG(HD476, "SP_COUNTRY_NAME")</f>
        <v>#INVALID COMPANY ID</v>
      </c>
    </row>
    <row r="477" spans="5:215" x14ac:dyDescent="0.35">
      <c r="E477" s="9" t="str">
        <f>_xll.SNL.Clients.Office.Excel.Functions.SPG(B477, "SP_COUNTRY_NAME")</f>
        <v>#INVALID COMPANY ID</v>
      </c>
      <c r="J477" s="9" t="str">
        <f>_xll.SNL.Clients.Office.Excel.Functions.SPG(G477, "SP_COUNTRY_NAME")</f>
        <v>#INVALID COMPANY ID</v>
      </c>
      <c r="O477" s="9" t="str">
        <f>_xll.SNL.Clients.Office.Excel.Functions.SPG(L477, "SP_COUNTRY_NAME")</f>
        <v>#INVALID COMPANY ID</v>
      </c>
      <c r="T477" s="9" t="str">
        <f>_xll.SNL.Clients.Office.Excel.Functions.SPG(Q477, "SP_COUNTRY_NAME")</f>
        <v>#INVALID COMPANY ID</v>
      </c>
      <c r="Y477" s="9" t="str">
        <f>_xll.SNL.Clients.Office.Excel.Functions.SPG(V477, "SP_COUNTRY_NAME")</f>
        <v>#INVALID COMPANY ID</v>
      </c>
      <c r="AD477" s="9" t="str">
        <f>_xll.SNL.Clients.Office.Excel.Functions.SPG(AA477, "SP_COUNTRY_NAME")</f>
        <v>#INVALID COMPANY ID</v>
      </c>
      <c r="AI477" s="9" t="str">
        <f>_xll.SNL.Clients.Office.Excel.Functions.SPG(AF477, "SP_COUNTRY_NAME")</f>
        <v>#INVALID COMPANY ID</v>
      </c>
      <c r="AN477" s="9" t="str">
        <f>_xll.SNL.Clients.Office.Excel.Functions.SPG(AK477, "SP_COUNTRY_NAME")</f>
        <v>#INVALID COMPANY ID</v>
      </c>
      <c r="AS477" s="9" t="str">
        <f>_xll.SNL.Clients.Office.Excel.Functions.SPG(AP477, "SP_COUNTRY_NAME")</f>
        <v>#INVALID COMPANY ID</v>
      </c>
      <c r="AX477" s="9" t="str">
        <f>_xll.SNL.Clients.Office.Excel.Functions.SPG(AU477, "SP_COUNTRY_NAME")</f>
        <v>#INVALID COMPANY ID</v>
      </c>
      <c r="BC477" s="9" t="str">
        <f>_xll.SNL.Clients.Office.Excel.Functions.SPG(AZ477, "SP_COUNTRY_NAME")</f>
        <v>#INVALID COMPANY ID</v>
      </c>
      <c r="BD477" t="s">
        <v>1545</v>
      </c>
      <c r="BE477">
        <v>4189276</v>
      </c>
      <c r="BF477" t="s">
        <v>364</v>
      </c>
      <c r="BG477" s="11">
        <v>0</v>
      </c>
      <c r="BH477" s="9" t="str">
        <f>_xll.SNL.Clients.Office.Excel.Functions.SPG(BE477, "SP_COUNTRY_NAME")</f>
        <v>USA</v>
      </c>
      <c r="BM477" s="9" t="str">
        <f>_xll.SNL.Clients.Office.Excel.Functions.SPG(BJ477, "SP_COUNTRY_NAME")</f>
        <v>#INVALID COMPANY ID</v>
      </c>
      <c r="BR477" s="9" t="str">
        <f>_xll.SNL.Clients.Office.Excel.Functions.SPG(BO477, "SP_COUNTRY_NAME")</f>
        <v>#INVALID COMPANY ID</v>
      </c>
      <c r="BS477" t="s">
        <v>1095</v>
      </c>
      <c r="BT477">
        <v>4674757</v>
      </c>
      <c r="BU477" t="s">
        <v>346</v>
      </c>
      <c r="BV477" s="11">
        <v>0</v>
      </c>
      <c r="BW477" s="9" t="str">
        <f>_xll.SNL.Clients.Office.Excel.Functions.SPG(BT477, "SP_COUNTRY_NAME")</f>
        <v>Spain</v>
      </c>
      <c r="CB477" s="9" t="str">
        <f>_xll.SNL.Clients.Office.Excel.Functions.SPG(BY477, "SP_COUNTRY_NAME")</f>
        <v>#INVALID COMPANY ID</v>
      </c>
      <c r="CC477" t="s">
        <v>1889</v>
      </c>
      <c r="CD477">
        <v>5818434</v>
      </c>
      <c r="CE477" t="s">
        <v>366</v>
      </c>
      <c r="CF477" s="11">
        <v>0</v>
      </c>
      <c r="CG477" s="9" t="str">
        <f>_xll.SNL.Clients.Office.Excel.Functions.SPG(CD477, "SP_COUNTRY_NAME")</f>
        <v>United Kingdom</v>
      </c>
      <c r="CL477" s="9" t="str">
        <f>_xll.SNL.Clients.Office.Excel.Functions.SPG(CI477, "SP_COUNTRY_NAME")</f>
        <v>#INVALID COMPANY ID</v>
      </c>
      <c r="CM477" t="s">
        <v>2108</v>
      </c>
      <c r="CN477">
        <v>4034293</v>
      </c>
      <c r="CO477" t="s">
        <v>346</v>
      </c>
      <c r="CP477" s="11">
        <v>0</v>
      </c>
      <c r="CQ477" s="9" t="str">
        <f>_xll.SNL.Clients.Office.Excel.Functions.SPG(CN477, "SP_COUNTRY_NAME")</f>
        <v>USA</v>
      </c>
      <c r="CV477" s="9" t="str">
        <f>_xll.SNL.Clients.Office.Excel.Functions.SPG(CS477, "SP_COUNTRY_NAME")</f>
        <v>#INVALID COMPANY ID</v>
      </c>
      <c r="DA477" s="9" t="str">
        <f>_xll.SNL.Clients.Office.Excel.Functions.SPG(CX477, "SP_COUNTRY_NAME")</f>
        <v>#INVALID COMPANY ID</v>
      </c>
      <c r="DB477" t="s">
        <v>1545</v>
      </c>
      <c r="DC477">
        <v>4189276</v>
      </c>
      <c r="DD477" t="s">
        <v>364</v>
      </c>
      <c r="DE477" s="11">
        <v>0</v>
      </c>
      <c r="DF477" s="9" t="str">
        <f>_xll.SNL.Clients.Office.Excel.Functions.SPG(DC477, "SP_COUNTRY_NAME")</f>
        <v>USA</v>
      </c>
      <c r="DK477" s="9" t="str">
        <f>_xll.SNL.Clients.Office.Excel.Functions.SPG(DH477, "SP_COUNTRY_NAME")</f>
        <v>#INVALID COMPANY ID</v>
      </c>
      <c r="DL477" t="s">
        <v>1545</v>
      </c>
      <c r="DM477">
        <v>4189276</v>
      </c>
      <c r="DN477" t="s">
        <v>364</v>
      </c>
      <c r="DO477" s="11">
        <v>0</v>
      </c>
      <c r="DP477" s="9" t="str">
        <f>_xll.SNL.Clients.Office.Excel.Functions.SPG(DM477, "SP_COUNTRY_NAME")</f>
        <v>USA</v>
      </c>
      <c r="DU477" s="9" t="str">
        <f>_xll.SNL.Clients.Office.Excel.Functions.SPG(DR477, "SP_COUNTRY_NAME")</f>
        <v>#INVALID COMPANY ID</v>
      </c>
      <c r="DZ477" s="9" t="str">
        <f>_xll.SNL.Clients.Office.Excel.Functions.SPG(DW477, "SP_COUNTRY_NAME")</f>
        <v>#INVALID COMPANY ID</v>
      </c>
      <c r="EA477" t="s">
        <v>1889</v>
      </c>
      <c r="EB477">
        <v>5818434</v>
      </c>
      <c r="EC477" t="s">
        <v>366</v>
      </c>
      <c r="ED477" s="11">
        <v>0</v>
      </c>
      <c r="EE477" s="9" t="str">
        <f>_xll.SNL.Clients.Office.Excel.Functions.SPG(EB477, "SP_COUNTRY_NAME")</f>
        <v>United Kingdom</v>
      </c>
      <c r="EF477" t="s">
        <v>1545</v>
      </c>
      <c r="EG477">
        <v>4189276</v>
      </c>
      <c r="EH477" t="s">
        <v>364</v>
      </c>
      <c r="EI477" s="11">
        <v>0</v>
      </c>
      <c r="EJ477" s="9" t="str">
        <f>_xll.SNL.Clients.Office.Excel.Functions.SPG(EG477, "SP_COUNTRY_NAME")</f>
        <v>USA</v>
      </c>
      <c r="EO477" s="9" t="str">
        <f>_xll.SNL.Clients.Office.Excel.Functions.SPG(EL477, "SP_COUNTRY_NAME")</f>
        <v>#INVALID COMPANY ID</v>
      </c>
      <c r="ET477" s="9" t="str">
        <f>_xll.SNL.Clients.Office.Excel.Functions.SPG(EQ477, "SP_COUNTRY_NAME")</f>
        <v>#INVALID COMPANY ID</v>
      </c>
      <c r="EY477" s="9" t="str">
        <f>_xll.SNL.Clients.Office.Excel.Functions.SPG(EV477, "SP_COUNTRY_NAME")</f>
        <v>#INVALID COMPANY ID</v>
      </c>
      <c r="FD477" s="9" t="str">
        <f>_xll.SNL.Clients.Office.Excel.Functions.SPG(FA477, "SP_COUNTRY_NAME")</f>
        <v>#INVALID COMPANY ID</v>
      </c>
      <c r="FI477" s="9" t="str">
        <f>_xll.SNL.Clients.Office.Excel.Functions.SPG(FF477, "SP_COUNTRY_NAME")</f>
        <v>#INVALID COMPANY ID</v>
      </c>
      <c r="FN477" s="9" t="str">
        <f>_xll.SNL.Clients.Office.Excel.Functions.SPG(FK477, "SP_COUNTRY_NAME")</f>
        <v>#INVALID COMPANY ID</v>
      </c>
      <c r="FS477" s="9" t="str">
        <f>_xll.SNL.Clients.Office.Excel.Functions.SPG(FP477, "SP_COUNTRY_NAME")</f>
        <v>#INVALID COMPANY ID</v>
      </c>
      <c r="FX477" s="9" t="str">
        <f>_xll.SNL.Clients.Office.Excel.Functions.SPG(FU477, "SP_COUNTRY_NAME")</f>
        <v>#INVALID COMPANY ID</v>
      </c>
      <c r="FY477" t="s">
        <v>1545</v>
      </c>
      <c r="FZ477">
        <v>4189276</v>
      </c>
      <c r="GA477" t="s">
        <v>364</v>
      </c>
      <c r="GB477" s="11">
        <v>0</v>
      </c>
      <c r="GC477" s="9" t="str">
        <f>_xll.SNL.Clients.Office.Excel.Functions.SPG(FZ477, "SP_COUNTRY_NAME")</f>
        <v>USA</v>
      </c>
      <c r="GH477" s="9" t="str">
        <f>_xll.SNL.Clients.Office.Excel.Functions.SPG(GE477, "SP_COUNTRY_NAME")</f>
        <v>#INVALID COMPANY ID</v>
      </c>
      <c r="GM477" s="9" t="str">
        <f>_xll.SNL.Clients.Office.Excel.Functions.SPG(GJ477, "SP_COUNTRY_NAME")</f>
        <v>#INVALID COMPANY ID</v>
      </c>
      <c r="GR477" s="9" t="str">
        <f>_xll.SNL.Clients.Office.Excel.Functions.SPG(GO477, "SP_COUNTRY_NAME")</f>
        <v>#INVALID COMPANY ID</v>
      </c>
      <c r="GW477" s="9" t="str">
        <f>_xll.SNL.Clients.Office.Excel.Functions.SPG(GT477, "SP_COUNTRY_NAME")</f>
        <v>#INVALID COMPANY ID</v>
      </c>
      <c r="GX477" t="s">
        <v>1889</v>
      </c>
      <c r="GY477">
        <v>5818434</v>
      </c>
      <c r="GZ477" t="s">
        <v>366</v>
      </c>
      <c r="HA477" s="11">
        <v>0</v>
      </c>
      <c r="HB477" s="9" t="str">
        <f>_xll.SNL.Clients.Office.Excel.Functions.SPG(GY477, "SP_COUNTRY_NAME")</f>
        <v>United Kingdom</v>
      </c>
      <c r="HG477" s="9" t="str">
        <f>_xll.SNL.Clients.Office.Excel.Functions.SPG(HD477, "SP_COUNTRY_NAME")</f>
        <v>#INVALID COMPANY ID</v>
      </c>
    </row>
    <row r="478" spans="5:215" x14ac:dyDescent="0.35">
      <c r="E478" s="9" t="str">
        <f>_xll.SNL.Clients.Office.Excel.Functions.SPG(B478, "SP_COUNTRY_NAME")</f>
        <v>#INVALID COMPANY ID</v>
      </c>
      <c r="J478" s="9" t="str">
        <f>_xll.SNL.Clients.Office.Excel.Functions.SPG(G478, "SP_COUNTRY_NAME")</f>
        <v>#INVALID COMPANY ID</v>
      </c>
      <c r="O478" s="9" t="str">
        <f>_xll.SNL.Clients.Office.Excel.Functions.SPG(L478, "SP_COUNTRY_NAME")</f>
        <v>#INVALID COMPANY ID</v>
      </c>
      <c r="T478" s="9" t="str">
        <f>_xll.SNL.Clients.Office.Excel.Functions.SPG(Q478, "SP_COUNTRY_NAME")</f>
        <v>#INVALID COMPANY ID</v>
      </c>
      <c r="Y478" s="9" t="str">
        <f>_xll.SNL.Clients.Office.Excel.Functions.SPG(V478, "SP_COUNTRY_NAME")</f>
        <v>#INVALID COMPANY ID</v>
      </c>
      <c r="AD478" s="9" t="str">
        <f>_xll.SNL.Clients.Office.Excel.Functions.SPG(AA478, "SP_COUNTRY_NAME")</f>
        <v>#INVALID COMPANY ID</v>
      </c>
      <c r="AI478" s="9" t="str">
        <f>_xll.SNL.Clients.Office.Excel.Functions.SPG(AF478, "SP_COUNTRY_NAME")</f>
        <v>#INVALID COMPANY ID</v>
      </c>
      <c r="AN478" s="9" t="str">
        <f>_xll.SNL.Clients.Office.Excel.Functions.SPG(AK478, "SP_COUNTRY_NAME")</f>
        <v>#INVALID COMPANY ID</v>
      </c>
      <c r="AS478" s="9" t="str">
        <f>_xll.SNL.Clients.Office.Excel.Functions.SPG(AP478, "SP_COUNTRY_NAME")</f>
        <v>#INVALID COMPANY ID</v>
      </c>
      <c r="AX478" s="9" t="str">
        <f>_xll.SNL.Clients.Office.Excel.Functions.SPG(AU478, "SP_COUNTRY_NAME")</f>
        <v>#INVALID COMPANY ID</v>
      </c>
      <c r="BC478" s="9" t="str">
        <f>_xll.SNL.Clients.Office.Excel.Functions.SPG(AZ478, "SP_COUNTRY_NAME")</f>
        <v>#INVALID COMPANY ID</v>
      </c>
      <c r="BD478" t="s">
        <v>1282</v>
      </c>
      <c r="BE478">
        <v>102734</v>
      </c>
      <c r="BF478" t="s">
        <v>346</v>
      </c>
      <c r="BG478" s="11">
        <v>0</v>
      </c>
      <c r="BH478" s="9" t="str">
        <f>_xll.SNL.Clients.Office.Excel.Functions.SPG(BE478, "SP_COUNTRY_NAME")</f>
        <v>USA</v>
      </c>
      <c r="BM478" s="9" t="str">
        <f>_xll.SNL.Clients.Office.Excel.Functions.SPG(BJ478, "SP_COUNTRY_NAME")</f>
        <v>#INVALID COMPANY ID</v>
      </c>
      <c r="BR478" s="9" t="str">
        <f>_xll.SNL.Clients.Office.Excel.Functions.SPG(BO478, "SP_COUNTRY_NAME")</f>
        <v>#INVALID COMPANY ID</v>
      </c>
      <c r="BS478" t="s">
        <v>765</v>
      </c>
      <c r="BT478">
        <v>10181318</v>
      </c>
      <c r="BU478" t="s">
        <v>346</v>
      </c>
      <c r="BV478" s="11">
        <v>0</v>
      </c>
      <c r="BW478" s="9" t="str">
        <f>_xll.SNL.Clients.Office.Excel.Functions.SPG(BT478, "SP_COUNTRY_NAME")</f>
        <v>China</v>
      </c>
      <c r="CB478" s="9" t="str">
        <f>_xll.SNL.Clients.Office.Excel.Functions.SPG(BY478, "SP_COUNTRY_NAME")</f>
        <v>#INVALID COMPANY ID</v>
      </c>
      <c r="CC478" t="s">
        <v>1890</v>
      </c>
      <c r="CD478">
        <v>109269</v>
      </c>
      <c r="CE478" t="s">
        <v>346</v>
      </c>
      <c r="CF478" s="11">
        <v>0</v>
      </c>
      <c r="CG478" s="9" t="str">
        <f>_xll.SNL.Clients.Office.Excel.Functions.SPG(CD478, "SP_COUNTRY_NAME")</f>
        <v>USA</v>
      </c>
      <c r="CL478" s="9" t="str">
        <f>_xll.SNL.Clients.Office.Excel.Functions.SPG(CI478, "SP_COUNTRY_NAME")</f>
        <v>#INVALID COMPANY ID</v>
      </c>
      <c r="CM478" t="s">
        <v>2109</v>
      </c>
      <c r="CN478">
        <v>4086018</v>
      </c>
      <c r="CO478" t="s">
        <v>346</v>
      </c>
      <c r="CP478" s="11">
        <v>0</v>
      </c>
      <c r="CQ478" s="9" t="str">
        <f>_xll.SNL.Clients.Office.Excel.Functions.SPG(CN478, "SP_COUNTRY_NAME")</f>
        <v>USA</v>
      </c>
      <c r="CV478" s="9" t="str">
        <f>_xll.SNL.Clients.Office.Excel.Functions.SPG(CS478, "SP_COUNTRY_NAME")</f>
        <v>#INVALID COMPANY ID</v>
      </c>
      <c r="DA478" s="9" t="str">
        <f>_xll.SNL.Clients.Office.Excel.Functions.SPG(CX478, "SP_COUNTRY_NAME")</f>
        <v>#INVALID COMPANY ID</v>
      </c>
      <c r="DB478" t="s">
        <v>1282</v>
      </c>
      <c r="DC478">
        <v>102734</v>
      </c>
      <c r="DD478" t="s">
        <v>346</v>
      </c>
      <c r="DE478" s="11">
        <v>0</v>
      </c>
      <c r="DF478" s="9" t="str">
        <f>_xll.SNL.Clients.Office.Excel.Functions.SPG(DC478, "SP_COUNTRY_NAME")</f>
        <v>USA</v>
      </c>
      <c r="DK478" s="9" t="str">
        <f>_xll.SNL.Clients.Office.Excel.Functions.SPG(DH478, "SP_COUNTRY_NAME")</f>
        <v>#INVALID COMPANY ID</v>
      </c>
      <c r="DL478" t="s">
        <v>1282</v>
      </c>
      <c r="DM478">
        <v>102734</v>
      </c>
      <c r="DN478" t="s">
        <v>346</v>
      </c>
      <c r="DO478" s="11">
        <v>0</v>
      </c>
      <c r="DP478" s="9" t="str">
        <f>_xll.SNL.Clients.Office.Excel.Functions.SPG(DM478, "SP_COUNTRY_NAME")</f>
        <v>USA</v>
      </c>
      <c r="DU478" s="9" t="str">
        <f>_xll.SNL.Clients.Office.Excel.Functions.SPG(DR478, "SP_COUNTRY_NAME")</f>
        <v>#INVALID COMPANY ID</v>
      </c>
      <c r="DZ478" s="9" t="str">
        <f>_xll.SNL.Clients.Office.Excel.Functions.SPG(DW478, "SP_COUNTRY_NAME")</f>
        <v>#INVALID COMPANY ID</v>
      </c>
      <c r="EA478" t="s">
        <v>1890</v>
      </c>
      <c r="EB478">
        <v>109269</v>
      </c>
      <c r="EC478" t="s">
        <v>346</v>
      </c>
      <c r="ED478" s="11">
        <v>0</v>
      </c>
      <c r="EE478" s="9" t="str">
        <f>_xll.SNL.Clients.Office.Excel.Functions.SPG(EB478, "SP_COUNTRY_NAME")</f>
        <v>USA</v>
      </c>
      <c r="EF478" t="s">
        <v>1282</v>
      </c>
      <c r="EG478">
        <v>102734</v>
      </c>
      <c r="EH478" t="s">
        <v>346</v>
      </c>
      <c r="EI478" s="11">
        <v>0</v>
      </c>
      <c r="EJ478" s="9" t="str">
        <f>_xll.SNL.Clients.Office.Excel.Functions.SPG(EG478, "SP_COUNTRY_NAME")</f>
        <v>USA</v>
      </c>
      <c r="EO478" s="9" t="str">
        <f>_xll.SNL.Clients.Office.Excel.Functions.SPG(EL478, "SP_COUNTRY_NAME")</f>
        <v>#INVALID COMPANY ID</v>
      </c>
      <c r="ET478" s="9" t="str">
        <f>_xll.SNL.Clients.Office.Excel.Functions.SPG(EQ478, "SP_COUNTRY_NAME")</f>
        <v>#INVALID COMPANY ID</v>
      </c>
      <c r="EY478" s="9" t="str">
        <f>_xll.SNL.Clients.Office.Excel.Functions.SPG(EV478, "SP_COUNTRY_NAME")</f>
        <v>#INVALID COMPANY ID</v>
      </c>
      <c r="FD478" s="9" t="str">
        <f>_xll.SNL.Clients.Office.Excel.Functions.SPG(FA478, "SP_COUNTRY_NAME")</f>
        <v>#INVALID COMPANY ID</v>
      </c>
      <c r="FI478" s="9" t="str">
        <f>_xll.SNL.Clients.Office.Excel.Functions.SPG(FF478, "SP_COUNTRY_NAME")</f>
        <v>#INVALID COMPANY ID</v>
      </c>
      <c r="FN478" s="9" t="str">
        <f>_xll.SNL.Clients.Office.Excel.Functions.SPG(FK478, "SP_COUNTRY_NAME")</f>
        <v>#INVALID COMPANY ID</v>
      </c>
      <c r="FS478" s="9" t="str">
        <f>_xll.SNL.Clients.Office.Excel.Functions.SPG(FP478, "SP_COUNTRY_NAME")</f>
        <v>#INVALID COMPANY ID</v>
      </c>
      <c r="FX478" s="9" t="str">
        <f>_xll.SNL.Clients.Office.Excel.Functions.SPG(FU478, "SP_COUNTRY_NAME")</f>
        <v>#INVALID COMPANY ID</v>
      </c>
      <c r="FY478" t="s">
        <v>1282</v>
      </c>
      <c r="FZ478">
        <v>102734</v>
      </c>
      <c r="GA478" t="s">
        <v>346</v>
      </c>
      <c r="GB478" s="11">
        <v>0</v>
      </c>
      <c r="GC478" s="9" t="str">
        <f>_xll.SNL.Clients.Office.Excel.Functions.SPG(FZ478, "SP_COUNTRY_NAME")</f>
        <v>USA</v>
      </c>
      <c r="GH478" s="9" t="str">
        <f>_xll.SNL.Clients.Office.Excel.Functions.SPG(GE478, "SP_COUNTRY_NAME")</f>
        <v>#INVALID COMPANY ID</v>
      </c>
      <c r="GM478" s="9" t="str">
        <f>_xll.SNL.Clients.Office.Excel.Functions.SPG(GJ478, "SP_COUNTRY_NAME")</f>
        <v>#INVALID COMPANY ID</v>
      </c>
      <c r="GR478" s="9" t="str">
        <f>_xll.SNL.Clients.Office.Excel.Functions.SPG(GO478, "SP_COUNTRY_NAME")</f>
        <v>#INVALID COMPANY ID</v>
      </c>
      <c r="GW478" s="9" t="str">
        <f>_xll.SNL.Clients.Office.Excel.Functions.SPG(GT478, "SP_COUNTRY_NAME")</f>
        <v>#INVALID COMPANY ID</v>
      </c>
      <c r="GX478" t="s">
        <v>1890</v>
      </c>
      <c r="GY478">
        <v>109269</v>
      </c>
      <c r="GZ478" t="s">
        <v>346</v>
      </c>
      <c r="HA478" s="11">
        <v>0</v>
      </c>
      <c r="HB478" s="9" t="str">
        <f>_xll.SNL.Clients.Office.Excel.Functions.SPG(GY478, "SP_COUNTRY_NAME")</f>
        <v>USA</v>
      </c>
      <c r="HG478" s="9" t="str">
        <f>_xll.SNL.Clients.Office.Excel.Functions.SPG(HD478, "SP_COUNTRY_NAME")</f>
        <v>#INVALID COMPANY ID</v>
      </c>
    </row>
    <row r="479" spans="5:215" x14ac:dyDescent="0.35">
      <c r="E479" s="9" t="str">
        <f>_xll.SNL.Clients.Office.Excel.Functions.SPG(B479, "SP_COUNTRY_NAME")</f>
        <v>#INVALID COMPANY ID</v>
      </c>
      <c r="J479" s="9" t="str">
        <f>_xll.SNL.Clients.Office.Excel.Functions.SPG(G479, "SP_COUNTRY_NAME")</f>
        <v>#INVALID COMPANY ID</v>
      </c>
      <c r="O479" s="9" t="str">
        <f>_xll.SNL.Clients.Office.Excel.Functions.SPG(L479, "SP_COUNTRY_NAME")</f>
        <v>#INVALID COMPANY ID</v>
      </c>
      <c r="T479" s="9" t="str">
        <f>_xll.SNL.Clients.Office.Excel.Functions.SPG(Q479, "SP_COUNTRY_NAME")</f>
        <v>#INVALID COMPANY ID</v>
      </c>
      <c r="Y479" s="9" t="str">
        <f>_xll.SNL.Clients.Office.Excel.Functions.SPG(V479, "SP_COUNTRY_NAME")</f>
        <v>#INVALID COMPANY ID</v>
      </c>
      <c r="AD479" s="9" t="str">
        <f>_xll.SNL.Clients.Office.Excel.Functions.SPG(AA479, "SP_COUNTRY_NAME")</f>
        <v>#INVALID COMPANY ID</v>
      </c>
      <c r="AI479" s="9" t="str">
        <f>_xll.SNL.Clients.Office.Excel.Functions.SPG(AF479, "SP_COUNTRY_NAME")</f>
        <v>#INVALID COMPANY ID</v>
      </c>
      <c r="AN479" s="9" t="str">
        <f>_xll.SNL.Clients.Office.Excel.Functions.SPG(AK479, "SP_COUNTRY_NAME")</f>
        <v>#INVALID COMPANY ID</v>
      </c>
      <c r="AS479" s="9" t="str">
        <f>_xll.SNL.Clients.Office.Excel.Functions.SPG(AP479, "SP_COUNTRY_NAME")</f>
        <v>#INVALID COMPANY ID</v>
      </c>
      <c r="AX479" s="9" t="str">
        <f>_xll.SNL.Clients.Office.Excel.Functions.SPG(AU479, "SP_COUNTRY_NAME")</f>
        <v>#INVALID COMPANY ID</v>
      </c>
      <c r="BC479" s="9" t="str">
        <f>_xll.SNL.Clients.Office.Excel.Functions.SPG(AZ479, "SP_COUNTRY_NAME")</f>
        <v>#INVALID COMPANY ID</v>
      </c>
      <c r="BD479" t="s">
        <v>1546</v>
      </c>
      <c r="BE479" t="s">
        <v>300</v>
      </c>
      <c r="BF479" t="s">
        <v>361</v>
      </c>
      <c r="BG479" s="11">
        <v>0</v>
      </c>
      <c r="BH479" s="9" t="str">
        <f>_xll.SNL.Clients.Office.Excel.Functions.SPG(BE479, "SP_COUNTRY_NAME")</f>
        <v>China</v>
      </c>
      <c r="BM479" s="9" t="str">
        <f>_xll.SNL.Clients.Office.Excel.Functions.SPG(BJ479, "SP_COUNTRY_NAME")</f>
        <v>#INVALID COMPANY ID</v>
      </c>
      <c r="BR479" s="9" t="str">
        <f>_xll.SNL.Clients.Office.Excel.Functions.SPG(BO479, "SP_COUNTRY_NAME")</f>
        <v>#INVALID COMPANY ID</v>
      </c>
      <c r="BS479" t="s">
        <v>464</v>
      </c>
      <c r="BT479">
        <v>4629378</v>
      </c>
      <c r="BU479" t="s">
        <v>346</v>
      </c>
      <c r="BV479" s="11">
        <v>0</v>
      </c>
      <c r="BW479" s="9" t="str">
        <f>_xll.SNL.Clients.Office.Excel.Functions.SPG(BT479, "SP_COUNTRY_NAME")</f>
        <v>Japan</v>
      </c>
      <c r="CB479" s="9" t="str">
        <f>_xll.SNL.Clients.Office.Excel.Functions.SPG(BY479, "SP_COUNTRY_NAME")</f>
        <v>#INVALID COMPANY ID</v>
      </c>
      <c r="CC479" t="s">
        <v>1891</v>
      </c>
      <c r="CD479">
        <v>20093207</v>
      </c>
      <c r="CE479" t="s">
        <v>346</v>
      </c>
      <c r="CF479" s="11">
        <v>0</v>
      </c>
      <c r="CG479" s="9" t="str">
        <f>_xll.SNL.Clients.Office.Excel.Functions.SPG(CD479, "SP_COUNTRY_NAME")</f>
        <v>USA</v>
      </c>
      <c r="CL479" s="9" t="str">
        <f>_xll.SNL.Clients.Office.Excel.Functions.SPG(CI479, "SP_COUNTRY_NAME")</f>
        <v>#INVALID COMPANY ID</v>
      </c>
      <c r="CM479" t="s">
        <v>2110</v>
      </c>
      <c r="CN479">
        <v>4072532</v>
      </c>
      <c r="CO479" t="s">
        <v>346</v>
      </c>
      <c r="CP479" s="11">
        <v>0</v>
      </c>
      <c r="CQ479" s="9" t="str">
        <f>_xll.SNL.Clients.Office.Excel.Functions.SPG(CN479, "SP_COUNTRY_NAME")</f>
        <v>USA</v>
      </c>
      <c r="CV479" s="9" t="str">
        <f>_xll.SNL.Clients.Office.Excel.Functions.SPG(CS479, "SP_COUNTRY_NAME")</f>
        <v>#INVALID COMPANY ID</v>
      </c>
      <c r="DA479" s="9" t="str">
        <f>_xll.SNL.Clients.Office.Excel.Functions.SPG(CX479, "SP_COUNTRY_NAME")</f>
        <v>#INVALID COMPANY ID</v>
      </c>
      <c r="DB479" t="s">
        <v>1546</v>
      </c>
      <c r="DC479" t="s">
        <v>300</v>
      </c>
      <c r="DD479" t="s">
        <v>361</v>
      </c>
      <c r="DE479" s="11">
        <v>0</v>
      </c>
      <c r="DF479" s="9" t="str">
        <f>_xll.SNL.Clients.Office.Excel.Functions.SPG(DC479, "SP_COUNTRY_NAME")</f>
        <v>China</v>
      </c>
      <c r="DK479" s="9" t="str">
        <f>_xll.SNL.Clients.Office.Excel.Functions.SPG(DH479, "SP_COUNTRY_NAME")</f>
        <v>#INVALID COMPANY ID</v>
      </c>
      <c r="DL479" t="s">
        <v>1546</v>
      </c>
      <c r="DM479" t="s">
        <v>300</v>
      </c>
      <c r="DN479" t="s">
        <v>361</v>
      </c>
      <c r="DO479" s="11">
        <v>0</v>
      </c>
      <c r="DP479" s="9" t="str">
        <f>_xll.SNL.Clients.Office.Excel.Functions.SPG(DM479, "SP_COUNTRY_NAME")</f>
        <v>China</v>
      </c>
      <c r="DU479" s="9" t="str">
        <f>_xll.SNL.Clients.Office.Excel.Functions.SPG(DR479, "SP_COUNTRY_NAME")</f>
        <v>#INVALID COMPANY ID</v>
      </c>
      <c r="DZ479" s="9" t="str">
        <f>_xll.SNL.Clients.Office.Excel.Functions.SPG(DW479, "SP_COUNTRY_NAME")</f>
        <v>#INVALID COMPANY ID</v>
      </c>
      <c r="EA479" t="s">
        <v>1891</v>
      </c>
      <c r="EB479">
        <v>20093207</v>
      </c>
      <c r="EC479" t="s">
        <v>346</v>
      </c>
      <c r="ED479" s="11">
        <v>0</v>
      </c>
      <c r="EE479" s="9" t="str">
        <f>_xll.SNL.Clients.Office.Excel.Functions.SPG(EB479, "SP_COUNTRY_NAME")</f>
        <v>USA</v>
      </c>
      <c r="EF479" t="s">
        <v>1546</v>
      </c>
      <c r="EG479" t="s">
        <v>300</v>
      </c>
      <c r="EH479" t="s">
        <v>361</v>
      </c>
      <c r="EI479" s="11">
        <v>0</v>
      </c>
      <c r="EJ479" s="9" t="str">
        <f>_xll.SNL.Clients.Office.Excel.Functions.SPG(EG479, "SP_COUNTRY_NAME")</f>
        <v>China</v>
      </c>
      <c r="EO479" s="9" t="str">
        <f>_xll.SNL.Clients.Office.Excel.Functions.SPG(EL479, "SP_COUNTRY_NAME")</f>
        <v>#INVALID COMPANY ID</v>
      </c>
      <c r="ET479" s="9" t="str">
        <f>_xll.SNL.Clients.Office.Excel.Functions.SPG(EQ479, "SP_COUNTRY_NAME")</f>
        <v>#INVALID COMPANY ID</v>
      </c>
      <c r="EY479" s="9" t="str">
        <f>_xll.SNL.Clients.Office.Excel.Functions.SPG(EV479, "SP_COUNTRY_NAME")</f>
        <v>#INVALID COMPANY ID</v>
      </c>
      <c r="FD479" s="9" t="str">
        <f>_xll.SNL.Clients.Office.Excel.Functions.SPG(FA479, "SP_COUNTRY_NAME")</f>
        <v>#INVALID COMPANY ID</v>
      </c>
      <c r="FI479" s="9" t="str">
        <f>_xll.SNL.Clients.Office.Excel.Functions.SPG(FF479, "SP_COUNTRY_NAME")</f>
        <v>#INVALID COMPANY ID</v>
      </c>
      <c r="FN479" s="9" t="str">
        <f>_xll.SNL.Clients.Office.Excel.Functions.SPG(FK479, "SP_COUNTRY_NAME")</f>
        <v>#INVALID COMPANY ID</v>
      </c>
      <c r="FS479" s="9" t="str">
        <f>_xll.SNL.Clients.Office.Excel.Functions.SPG(FP479, "SP_COUNTRY_NAME")</f>
        <v>#INVALID COMPANY ID</v>
      </c>
      <c r="FX479" s="9" t="str">
        <f>_xll.SNL.Clients.Office.Excel.Functions.SPG(FU479, "SP_COUNTRY_NAME")</f>
        <v>#INVALID COMPANY ID</v>
      </c>
      <c r="FY479" t="s">
        <v>1546</v>
      </c>
      <c r="FZ479" t="s">
        <v>300</v>
      </c>
      <c r="GA479" t="s">
        <v>361</v>
      </c>
      <c r="GB479" s="11">
        <v>0</v>
      </c>
      <c r="GC479" s="9" t="str">
        <f>_xll.SNL.Clients.Office.Excel.Functions.SPG(FZ479, "SP_COUNTRY_NAME")</f>
        <v>China</v>
      </c>
      <c r="GH479" s="9" t="str">
        <f>_xll.SNL.Clients.Office.Excel.Functions.SPG(GE479, "SP_COUNTRY_NAME")</f>
        <v>#INVALID COMPANY ID</v>
      </c>
      <c r="GM479" s="9" t="str">
        <f>_xll.SNL.Clients.Office.Excel.Functions.SPG(GJ479, "SP_COUNTRY_NAME")</f>
        <v>#INVALID COMPANY ID</v>
      </c>
      <c r="GR479" s="9" t="str">
        <f>_xll.SNL.Clients.Office.Excel.Functions.SPG(GO479, "SP_COUNTRY_NAME")</f>
        <v>#INVALID COMPANY ID</v>
      </c>
      <c r="GW479" s="9" t="str">
        <f>_xll.SNL.Clients.Office.Excel.Functions.SPG(GT479, "SP_COUNTRY_NAME")</f>
        <v>#INVALID COMPANY ID</v>
      </c>
      <c r="GX479" t="s">
        <v>1891</v>
      </c>
      <c r="GY479">
        <v>20093207</v>
      </c>
      <c r="GZ479" t="s">
        <v>346</v>
      </c>
      <c r="HA479" s="11">
        <v>0</v>
      </c>
      <c r="HB479" s="9" t="str">
        <f>_xll.SNL.Clients.Office.Excel.Functions.SPG(GY479, "SP_COUNTRY_NAME")</f>
        <v>USA</v>
      </c>
      <c r="HG479" s="9" t="str">
        <f>_xll.SNL.Clients.Office.Excel.Functions.SPG(HD479, "SP_COUNTRY_NAME")</f>
        <v>#INVALID COMPANY ID</v>
      </c>
    </row>
    <row r="480" spans="5:215" x14ac:dyDescent="0.35">
      <c r="E480" s="9" t="str">
        <f>_xll.SNL.Clients.Office.Excel.Functions.SPG(B480, "SP_COUNTRY_NAME")</f>
        <v>#INVALID COMPANY ID</v>
      </c>
      <c r="J480" s="9" t="str">
        <f>_xll.SNL.Clients.Office.Excel.Functions.SPG(G480, "SP_COUNTRY_NAME")</f>
        <v>#INVALID COMPANY ID</v>
      </c>
      <c r="O480" s="9" t="str">
        <f>_xll.SNL.Clients.Office.Excel.Functions.SPG(L480, "SP_COUNTRY_NAME")</f>
        <v>#INVALID COMPANY ID</v>
      </c>
      <c r="T480" s="9" t="str">
        <f>_xll.SNL.Clients.Office.Excel.Functions.SPG(Q480, "SP_COUNTRY_NAME")</f>
        <v>#INVALID COMPANY ID</v>
      </c>
      <c r="Y480" s="9" t="str">
        <f>_xll.SNL.Clients.Office.Excel.Functions.SPG(V480, "SP_COUNTRY_NAME")</f>
        <v>#INVALID COMPANY ID</v>
      </c>
      <c r="AD480" s="9" t="str">
        <f>_xll.SNL.Clients.Office.Excel.Functions.SPG(AA480, "SP_COUNTRY_NAME")</f>
        <v>#INVALID COMPANY ID</v>
      </c>
      <c r="AI480" s="9" t="str">
        <f>_xll.SNL.Clients.Office.Excel.Functions.SPG(AF480, "SP_COUNTRY_NAME")</f>
        <v>#INVALID COMPANY ID</v>
      </c>
      <c r="AN480" s="9" t="str">
        <f>_xll.SNL.Clients.Office.Excel.Functions.SPG(AK480, "SP_COUNTRY_NAME")</f>
        <v>#INVALID COMPANY ID</v>
      </c>
      <c r="AS480" s="9" t="str">
        <f>_xll.SNL.Clients.Office.Excel.Functions.SPG(AP480, "SP_COUNTRY_NAME")</f>
        <v>#INVALID COMPANY ID</v>
      </c>
      <c r="AX480" s="9" t="str">
        <f>_xll.SNL.Clients.Office.Excel.Functions.SPG(AU480, "SP_COUNTRY_NAME")</f>
        <v>#INVALID COMPANY ID</v>
      </c>
      <c r="BC480" s="9" t="str">
        <f>_xll.SNL.Clients.Office.Excel.Functions.SPG(AZ480, "SP_COUNTRY_NAME")</f>
        <v>#INVALID COMPANY ID</v>
      </c>
      <c r="BD480" t="s">
        <v>572</v>
      </c>
      <c r="BE480">
        <v>4294917</v>
      </c>
      <c r="BF480" t="s">
        <v>346</v>
      </c>
      <c r="BG480" s="11">
        <v>0</v>
      </c>
      <c r="BH480" s="9" t="str">
        <f>_xll.SNL.Clients.Office.Excel.Functions.SPG(BE480, "SP_COUNTRY_NAME")</f>
        <v>Switzerland</v>
      </c>
      <c r="BM480" s="9" t="str">
        <f>_xll.SNL.Clients.Office.Excel.Functions.SPG(BJ480, "SP_COUNTRY_NAME")</f>
        <v>#INVALID COMPANY ID</v>
      </c>
      <c r="BR480" s="9" t="str">
        <f>_xll.SNL.Clients.Office.Excel.Functions.SPG(BO480, "SP_COUNTRY_NAME")</f>
        <v>#INVALID COMPANY ID</v>
      </c>
      <c r="BS480" t="s">
        <v>833</v>
      </c>
      <c r="BT480">
        <v>110527</v>
      </c>
      <c r="BU480" t="s">
        <v>346</v>
      </c>
      <c r="BV480" s="11">
        <v>0</v>
      </c>
      <c r="BW480" s="9" t="str">
        <f>_xll.SNL.Clients.Office.Excel.Functions.SPG(BT480, "SP_COUNTRY_NAME")</f>
        <v>USA</v>
      </c>
      <c r="CB480" s="9" t="str">
        <f>_xll.SNL.Clients.Office.Excel.Functions.SPG(BY480, "SP_COUNTRY_NAME")</f>
        <v>#INVALID COMPANY ID</v>
      </c>
      <c r="CC480" t="s">
        <v>623</v>
      </c>
      <c r="CD480">
        <v>4138267</v>
      </c>
      <c r="CE480" t="s">
        <v>346</v>
      </c>
      <c r="CF480" s="11">
        <v>0</v>
      </c>
      <c r="CG480" s="9" t="str">
        <f>_xll.SNL.Clients.Office.Excel.Functions.SPG(CD480, "SP_COUNTRY_NAME")</f>
        <v>Switzerland</v>
      </c>
      <c r="CL480" s="9" t="str">
        <f>_xll.SNL.Clients.Office.Excel.Functions.SPG(CI480, "SP_COUNTRY_NAME")</f>
        <v>#INVALID COMPANY ID</v>
      </c>
      <c r="CM480" t="s">
        <v>2111</v>
      </c>
      <c r="CN480">
        <v>20315004</v>
      </c>
      <c r="CO480" t="s">
        <v>346</v>
      </c>
      <c r="CP480" s="11">
        <v>0</v>
      </c>
      <c r="CQ480" s="9" t="str">
        <f>_xll.SNL.Clients.Office.Excel.Functions.SPG(CN480, "SP_COUNTRY_NAME")</f>
        <v>USA</v>
      </c>
      <c r="CV480" s="9" t="str">
        <f>_xll.SNL.Clients.Office.Excel.Functions.SPG(CS480, "SP_COUNTRY_NAME")</f>
        <v>#INVALID COMPANY ID</v>
      </c>
      <c r="DA480" s="9" t="str">
        <f>_xll.SNL.Clients.Office.Excel.Functions.SPG(CX480, "SP_COUNTRY_NAME")</f>
        <v>#INVALID COMPANY ID</v>
      </c>
      <c r="DB480" t="s">
        <v>572</v>
      </c>
      <c r="DC480">
        <v>4294917</v>
      </c>
      <c r="DD480" t="s">
        <v>346</v>
      </c>
      <c r="DE480" s="11">
        <v>0</v>
      </c>
      <c r="DF480" s="9" t="str">
        <f>_xll.SNL.Clients.Office.Excel.Functions.SPG(DC480, "SP_COUNTRY_NAME")</f>
        <v>Switzerland</v>
      </c>
      <c r="DK480" s="9" t="str">
        <f>_xll.SNL.Clients.Office.Excel.Functions.SPG(DH480, "SP_COUNTRY_NAME")</f>
        <v>#INVALID COMPANY ID</v>
      </c>
      <c r="DL480" t="s">
        <v>572</v>
      </c>
      <c r="DM480">
        <v>4294917</v>
      </c>
      <c r="DN480" t="s">
        <v>346</v>
      </c>
      <c r="DO480" s="11">
        <v>0</v>
      </c>
      <c r="DP480" s="9" t="str">
        <f>_xll.SNL.Clients.Office.Excel.Functions.SPG(DM480, "SP_COUNTRY_NAME")</f>
        <v>Switzerland</v>
      </c>
      <c r="DU480" s="9" t="str">
        <f>_xll.SNL.Clients.Office.Excel.Functions.SPG(DR480, "SP_COUNTRY_NAME")</f>
        <v>#INVALID COMPANY ID</v>
      </c>
      <c r="DZ480" s="9" t="str">
        <f>_xll.SNL.Clients.Office.Excel.Functions.SPG(DW480, "SP_COUNTRY_NAME")</f>
        <v>#INVALID COMPANY ID</v>
      </c>
      <c r="EA480" t="s">
        <v>623</v>
      </c>
      <c r="EB480">
        <v>4138267</v>
      </c>
      <c r="EC480" t="s">
        <v>346</v>
      </c>
      <c r="ED480" s="11">
        <v>0</v>
      </c>
      <c r="EE480" s="9" t="str">
        <f>_xll.SNL.Clients.Office.Excel.Functions.SPG(EB480, "SP_COUNTRY_NAME")</f>
        <v>Switzerland</v>
      </c>
      <c r="EF480" t="s">
        <v>572</v>
      </c>
      <c r="EG480">
        <v>4294917</v>
      </c>
      <c r="EH480" t="s">
        <v>346</v>
      </c>
      <c r="EI480" s="11">
        <v>0</v>
      </c>
      <c r="EJ480" s="9" t="str">
        <f>_xll.SNL.Clients.Office.Excel.Functions.SPG(EG480, "SP_COUNTRY_NAME")</f>
        <v>Switzerland</v>
      </c>
      <c r="EO480" s="9" t="str">
        <f>_xll.SNL.Clients.Office.Excel.Functions.SPG(EL480, "SP_COUNTRY_NAME")</f>
        <v>#INVALID COMPANY ID</v>
      </c>
      <c r="ET480" s="9" t="str">
        <f>_xll.SNL.Clients.Office.Excel.Functions.SPG(EQ480, "SP_COUNTRY_NAME")</f>
        <v>#INVALID COMPANY ID</v>
      </c>
      <c r="EY480" s="9" t="str">
        <f>_xll.SNL.Clients.Office.Excel.Functions.SPG(EV480, "SP_COUNTRY_NAME")</f>
        <v>#INVALID COMPANY ID</v>
      </c>
      <c r="FD480" s="9" t="str">
        <f>_xll.SNL.Clients.Office.Excel.Functions.SPG(FA480, "SP_COUNTRY_NAME")</f>
        <v>#INVALID COMPANY ID</v>
      </c>
      <c r="FI480" s="9" t="str">
        <f>_xll.SNL.Clients.Office.Excel.Functions.SPG(FF480, "SP_COUNTRY_NAME")</f>
        <v>#INVALID COMPANY ID</v>
      </c>
      <c r="FN480" s="9" t="str">
        <f>_xll.SNL.Clients.Office.Excel.Functions.SPG(FK480, "SP_COUNTRY_NAME")</f>
        <v>#INVALID COMPANY ID</v>
      </c>
      <c r="FS480" s="9" t="str">
        <f>_xll.SNL.Clients.Office.Excel.Functions.SPG(FP480, "SP_COUNTRY_NAME")</f>
        <v>#INVALID COMPANY ID</v>
      </c>
      <c r="FX480" s="9" t="str">
        <f>_xll.SNL.Clients.Office.Excel.Functions.SPG(FU480, "SP_COUNTRY_NAME")</f>
        <v>#INVALID COMPANY ID</v>
      </c>
      <c r="FY480" t="s">
        <v>572</v>
      </c>
      <c r="FZ480">
        <v>4294917</v>
      </c>
      <c r="GA480" t="s">
        <v>346</v>
      </c>
      <c r="GB480" s="11">
        <v>0</v>
      </c>
      <c r="GC480" s="9" t="str">
        <f>_xll.SNL.Clients.Office.Excel.Functions.SPG(FZ480, "SP_COUNTRY_NAME")</f>
        <v>Switzerland</v>
      </c>
      <c r="GH480" s="9" t="str">
        <f>_xll.SNL.Clients.Office.Excel.Functions.SPG(GE480, "SP_COUNTRY_NAME")</f>
        <v>#INVALID COMPANY ID</v>
      </c>
      <c r="GM480" s="9" t="str">
        <f>_xll.SNL.Clients.Office.Excel.Functions.SPG(GJ480, "SP_COUNTRY_NAME")</f>
        <v>#INVALID COMPANY ID</v>
      </c>
      <c r="GR480" s="9" t="str">
        <f>_xll.SNL.Clients.Office.Excel.Functions.SPG(GO480, "SP_COUNTRY_NAME")</f>
        <v>#INVALID COMPANY ID</v>
      </c>
      <c r="GW480" s="9" t="str">
        <f>_xll.SNL.Clients.Office.Excel.Functions.SPG(GT480, "SP_COUNTRY_NAME")</f>
        <v>#INVALID COMPANY ID</v>
      </c>
      <c r="GX480" t="s">
        <v>623</v>
      </c>
      <c r="GY480">
        <v>4138267</v>
      </c>
      <c r="GZ480" t="s">
        <v>346</v>
      </c>
      <c r="HA480" s="11">
        <v>0</v>
      </c>
      <c r="HB480" s="9" t="str">
        <f>_xll.SNL.Clients.Office.Excel.Functions.SPG(GY480, "SP_COUNTRY_NAME")</f>
        <v>Switzerland</v>
      </c>
      <c r="HG480" s="9" t="str">
        <f>_xll.SNL.Clients.Office.Excel.Functions.SPG(HD480, "SP_COUNTRY_NAME")</f>
        <v>#INVALID COMPANY ID</v>
      </c>
    </row>
    <row r="481" spans="5:215" x14ac:dyDescent="0.35">
      <c r="E481" s="9" t="str">
        <f>_xll.SNL.Clients.Office.Excel.Functions.SPG(B481, "SP_COUNTRY_NAME")</f>
        <v>#INVALID COMPANY ID</v>
      </c>
      <c r="J481" s="9" t="str">
        <f>_xll.SNL.Clients.Office.Excel.Functions.SPG(G481, "SP_COUNTRY_NAME")</f>
        <v>#INVALID COMPANY ID</v>
      </c>
      <c r="O481" s="9" t="str">
        <f>_xll.SNL.Clients.Office.Excel.Functions.SPG(L481, "SP_COUNTRY_NAME")</f>
        <v>#INVALID COMPANY ID</v>
      </c>
      <c r="T481" s="9" t="str">
        <f>_xll.SNL.Clients.Office.Excel.Functions.SPG(Q481, "SP_COUNTRY_NAME")</f>
        <v>#INVALID COMPANY ID</v>
      </c>
      <c r="Y481" s="9" t="str">
        <f>_xll.SNL.Clients.Office.Excel.Functions.SPG(V481, "SP_COUNTRY_NAME")</f>
        <v>#INVALID COMPANY ID</v>
      </c>
      <c r="AD481" s="9" t="str">
        <f>_xll.SNL.Clients.Office.Excel.Functions.SPG(AA481, "SP_COUNTRY_NAME")</f>
        <v>#INVALID COMPANY ID</v>
      </c>
      <c r="AI481" s="9" t="str">
        <f>_xll.SNL.Clients.Office.Excel.Functions.SPG(AF481, "SP_COUNTRY_NAME")</f>
        <v>#INVALID COMPANY ID</v>
      </c>
      <c r="AN481" s="9" t="str">
        <f>_xll.SNL.Clients.Office.Excel.Functions.SPG(AK481, "SP_COUNTRY_NAME")</f>
        <v>#INVALID COMPANY ID</v>
      </c>
      <c r="AS481" s="9" t="str">
        <f>_xll.SNL.Clients.Office.Excel.Functions.SPG(AP481, "SP_COUNTRY_NAME")</f>
        <v>#INVALID COMPANY ID</v>
      </c>
      <c r="AX481" s="9" t="str">
        <f>_xll.SNL.Clients.Office.Excel.Functions.SPG(AU481, "SP_COUNTRY_NAME")</f>
        <v>#INVALID COMPANY ID</v>
      </c>
      <c r="BC481" s="9" t="str">
        <f>_xll.SNL.Clients.Office.Excel.Functions.SPG(AZ481, "SP_COUNTRY_NAME")</f>
        <v>#INVALID COMPANY ID</v>
      </c>
      <c r="BD481" t="s">
        <v>1547</v>
      </c>
      <c r="BE481">
        <v>5844120</v>
      </c>
      <c r="BF481" t="s">
        <v>346</v>
      </c>
      <c r="BG481" s="11">
        <v>0</v>
      </c>
      <c r="BH481" s="9" t="str">
        <f>_xll.SNL.Clients.Office.Excel.Functions.SPG(BE481, "SP_COUNTRY_NAME")</f>
        <v>South Africa</v>
      </c>
      <c r="BM481" s="9" t="str">
        <f>_xll.SNL.Clients.Office.Excel.Functions.SPG(BJ481, "SP_COUNTRY_NAME")</f>
        <v>#INVALID COMPANY ID</v>
      </c>
      <c r="BR481" s="9" t="str">
        <f>_xll.SNL.Clients.Office.Excel.Functions.SPG(BO481, "SP_COUNTRY_NAME")</f>
        <v>#INVALID COMPANY ID</v>
      </c>
      <c r="BS481" t="s">
        <v>1096</v>
      </c>
      <c r="BT481">
        <v>4239453</v>
      </c>
      <c r="BU481" t="s">
        <v>346</v>
      </c>
      <c r="BV481" s="11">
        <v>0</v>
      </c>
      <c r="BW481" s="9" t="str">
        <f>_xll.SNL.Clients.Office.Excel.Functions.SPG(BT481, "SP_COUNTRY_NAME")</f>
        <v>Taiwan</v>
      </c>
      <c r="CB481" s="9" t="str">
        <f>_xll.SNL.Clients.Office.Excel.Functions.SPG(BY481, "SP_COUNTRY_NAME")</f>
        <v>#INVALID COMPANY ID</v>
      </c>
      <c r="CC481" t="s">
        <v>1892</v>
      </c>
      <c r="CD481">
        <v>6282572</v>
      </c>
      <c r="CE481" t="s">
        <v>346</v>
      </c>
      <c r="CF481" s="11">
        <v>0</v>
      </c>
      <c r="CG481" s="9" t="str">
        <f>_xll.SNL.Clients.Office.Excel.Functions.SPG(CD481, "SP_COUNTRY_NAME")</f>
        <v>Brazil</v>
      </c>
      <c r="CL481" s="9" t="str">
        <f>_xll.SNL.Clients.Office.Excel.Functions.SPG(CI481, "SP_COUNTRY_NAME")</f>
        <v>#INVALID COMPANY ID</v>
      </c>
      <c r="CM481" t="s">
        <v>2112</v>
      </c>
      <c r="CN481">
        <v>4387988</v>
      </c>
      <c r="CO481" t="s">
        <v>366</v>
      </c>
      <c r="CP481" s="11">
        <v>0</v>
      </c>
      <c r="CQ481" s="9" t="str">
        <f>_xll.SNL.Clients.Office.Excel.Functions.SPG(CN481, "SP_COUNTRY_NAME")</f>
        <v>USA</v>
      </c>
      <c r="CV481" s="9" t="str">
        <f>_xll.SNL.Clients.Office.Excel.Functions.SPG(CS481, "SP_COUNTRY_NAME")</f>
        <v>#INVALID COMPANY ID</v>
      </c>
      <c r="DA481" s="9" t="str">
        <f>_xll.SNL.Clients.Office.Excel.Functions.SPG(CX481, "SP_COUNTRY_NAME")</f>
        <v>#INVALID COMPANY ID</v>
      </c>
      <c r="DB481" t="s">
        <v>1547</v>
      </c>
      <c r="DC481">
        <v>5844120</v>
      </c>
      <c r="DD481" t="s">
        <v>346</v>
      </c>
      <c r="DE481" s="11">
        <v>0</v>
      </c>
      <c r="DF481" s="9" t="str">
        <f>_xll.SNL.Clients.Office.Excel.Functions.SPG(DC481, "SP_COUNTRY_NAME")</f>
        <v>South Africa</v>
      </c>
      <c r="DK481" s="9" t="str">
        <f>_xll.SNL.Clients.Office.Excel.Functions.SPG(DH481, "SP_COUNTRY_NAME")</f>
        <v>#INVALID COMPANY ID</v>
      </c>
      <c r="DL481" t="s">
        <v>1547</v>
      </c>
      <c r="DM481">
        <v>5844120</v>
      </c>
      <c r="DN481" t="s">
        <v>346</v>
      </c>
      <c r="DO481" s="11">
        <v>0</v>
      </c>
      <c r="DP481" s="9" t="str">
        <f>_xll.SNL.Clients.Office.Excel.Functions.SPG(DM481, "SP_COUNTRY_NAME")</f>
        <v>South Africa</v>
      </c>
      <c r="DU481" s="9" t="str">
        <f>_xll.SNL.Clients.Office.Excel.Functions.SPG(DR481, "SP_COUNTRY_NAME")</f>
        <v>#INVALID COMPANY ID</v>
      </c>
      <c r="DZ481" s="9" t="str">
        <f>_xll.SNL.Clients.Office.Excel.Functions.SPG(DW481, "SP_COUNTRY_NAME")</f>
        <v>#INVALID COMPANY ID</v>
      </c>
      <c r="EA481" t="s">
        <v>1892</v>
      </c>
      <c r="EB481">
        <v>6282572</v>
      </c>
      <c r="EC481" t="s">
        <v>346</v>
      </c>
      <c r="ED481" s="11">
        <v>0</v>
      </c>
      <c r="EE481" s="9" t="str">
        <f>_xll.SNL.Clients.Office.Excel.Functions.SPG(EB481, "SP_COUNTRY_NAME")</f>
        <v>Brazil</v>
      </c>
      <c r="EF481" t="s">
        <v>1547</v>
      </c>
      <c r="EG481">
        <v>5844120</v>
      </c>
      <c r="EH481" t="s">
        <v>346</v>
      </c>
      <c r="EI481" s="11">
        <v>0</v>
      </c>
      <c r="EJ481" s="9" t="str">
        <f>_xll.SNL.Clients.Office.Excel.Functions.SPG(EG481, "SP_COUNTRY_NAME")</f>
        <v>South Africa</v>
      </c>
      <c r="EO481" s="9" t="str">
        <f>_xll.SNL.Clients.Office.Excel.Functions.SPG(EL481, "SP_COUNTRY_NAME")</f>
        <v>#INVALID COMPANY ID</v>
      </c>
      <c r="ET481" s="9" t="str">
        <f>_xll.SNL.Clients.Office.Excel.Functions.SPG(EQ481, "SP_COUNTRY_NAME")</f>
        <v>#INVALID COMPANY ID</v>
      </c>
      <c r="EY481" s="9" t="str">
        <f>_xll.SNL.Clients.Office.Excel.Functions.SPG(EV481, "SP_COUNTRY_NAME")</f>
        <v>#INVALID COMPANY ID</v>
      </c>
      <c r="FD481" s="9" t="str">
        <f>_xll.SNL.Clients.Office.Excel.Functions.SPG(FA481, "SP_COUNTRY_NAME")</f>
        <v>#INVALID COMPANY ID</v>
      </c>
      <c r="FI481" s="9" t="str">
        <f>_xll.SNL.Clients.Office.Excel.Functions.SPG(FF481, "SP_COUNTRY_NAME")</f>
        <v>#INVALID COMPANY ID</v>
      </c>
      <c r="FN481" s="9" t="str">
        <f>_xll.SNL.Clients.Office.Excel.Functions.SPG(FK481, "SP_COUNTRY_NAME")</f>
        <v>#INVALID COMPANY ID</v>
      </c>
      <c r="FS481" s="9" t="str">
        <f>_xll.SNL.Clients.Office.Excel.Functions.SPG(FP481, "SP_COUNTRY_NAME")</f>
        <v>#INVALID COMPANY ID</v>
      </c>
      <c r="FX481" s="9" t="str">
        <f>_xll.SNL.Clients.Office.Excel.Functions.SPG(FU481, "SP_COUNTRY_NAME")</f>
        <v>#INVALID COMPANY ID</v>
      </c>
      <c r="FY481" t="s">
        <v>1547</v>
      </c>
      <c r="FZ481">
        <v>5844120</v>
      </c>
      <c r="GA481" t="s">
        <v>346</v>
      </c>
      <c r="GB481" s="11">
        <v>0</v>
      </c>
      <c r="GC481" s="9" t="str">
        <f>_xll.SNL.Clients.Office.Excel.Functions.SPG(FZ481, "SP_COUNTRY_NAME")</f>
        <v>South Africa</v>
      </c>
      <c r="GH481" s="9" t="str">
        <f>_xll.SNL.Clients.Office.Excel.Functions.SPG(GE481, "SP_COUNTRY_NAME")</f>
        <v>#INVALID COMPANY ID</v>
      </c>
      <c r="GM481" s="9" t="str">
        <f>_xll.SNL.Clients.Office.Excel.Functions.SPG(GJ481, "SP_COUNTRY_NAME")</f>
        <v>#INVALID COMPANY ID</v>
      </c>
      <c r="GR481" s="9" t="str">
        <f>_xll.SNL.Clients.Office.Excel.Functions.SPG(GO481, "SP_COUNTRY_NAME")</f>
        <v>#INVALID COMPANY ID</v>
      </c>
      <c r="GW481" s="9" t="str">
        <f>_xll.SNL.Clients.Office.Excel.Functions.SPG(GT481, "SP_COUNTRY_NAME")</f>
        <v>#INVALID COMPANY ID</v>
      </c>
      <c r="GX481" t="s">
        <v>1892</v>
      </c>
      <c r="GY481">
        <v>6282572</v>
      </c>
      <c r="GZ481" t="s">
        <v>346</v>
      </c>
      <c r="HA481" s="11">
        <v>0</v>
      </c>
      <c r="HB481" s="9" t="str">
        <f>_xll.SNL.Clients.Office.Excel.Functions.SPG(GY481, "SP_COUNTRY_NAME")</f>
        <v>Brazil</v>
      </c>
      <c r="HG481" s="9" t="str">
        <f>_xll.SNL.Clients.Office.Excel.Functions.SPG(HD481, "SP_COUNTRY_NAME")</f>
        <v>#INVALID COMPANY ID</v>
      </c>
    </row>
    <row r="482" spans="5:215" x14ac:dyDescent="0.35">
      <c r="E482" s="9" t="str">
        <f>_xll.SNL.Clients.Office.Excel.Functions.SPG(B482, "SP_COUNTRY_NAME")</f>
        <v>#INVALID COMPANY ID</v>
      </c>
      <c r="J482" s="9" t="str">
        <f>_xll.SNL.Clients.Office.Excel.Functions.SPG(G482, "SP_COUNTRY_NAME")</f>
        <v>#INVALID COMPANY ID</v>
      </c>
      <c r="O482" s="9" t="str">
        <f>_xll.SNL.Clients.Office.Excel.Functions.SPG(L482, "SP_COUNTRY_NAME")</f>
        <v>#INVALID COMPANY ID</v>
      </c>
      <c r="T482" s="9" t="str">
        <f>_xll.SNL.Clients.Office.Excel.Functions.SPG(Q482, "SP_COUNTRY_NAME")</f>
        <v>#INVALID COMPANY ID</v>
      </c>
      <c r="Y482" s="9" t="str">
        <f>_xll.SNL.Clients.Office.Excel.Functions.SPG(V482, "SP_COUNTRY_NAME")</f>
        <v>#INVALID COMPANY ID</v>
      </c>
      <c r="AD482" s="9" t="str">
        <f>_xll.SNL.Clients.Office.Excel.Functions.SPG(AA482, "SP_COUNTRY_NAME")</f>
        <v>#INVALID COMPANY ID</v>
      </c>
      <c r="AI482" s="9" t="str">
        <f>_xll.SNL.Clients.Office.Excel.Functions.SPG(AF482, "SP_COUNTRY_NAME")</f>
        <v>#INVALID COMPANY ID</v>
      </c>
      <c r="AN482" s="9" t="str">
        <f>_xll.SNL.Clients.Office.Excel.Functions.SPG(AK482, "SP_COUNTRY_NAME")</f>
        <v>#INVALID COMPANY ID</v>
      </c>
      <c r="AS482" s="9" t="str">
        <f>_xll.SNL.Clients.Office.Excel.Functions.SPG(AP482, "SP_COUNTRY_NAME")</f>
        <v>#INVALID COMPANY ID</v>
      </c>
      <c r="AX482" s="9" t="str">
        <f>_xll.SNL.Clients.Office.Excel.Functions.SPG(AU482, "SP_COUNTRY_NAME")</f>
        <v>#INVALID COMPANY ID</v>
      </c>
      <c r="BC482" s="9" t="str">
        <f>_xll.SNL.Clients.Office.Excel.Functions.SPG(AZ482, "SP_COUNTRY_NAME")</f>
        <v>#INVALID COMPANY ID</v>
      </c>
      <c r="BD482" t="s">
        <v>1548</v>
      </c>
      <c r="BE482">
        <v>4138538</v>
      </c>
      <c r="BF482" t="s">
        <v>346</v>
      </c>
      <c r="BG482" s="11">
        <v>0</v>
      </c>
      <c r="BH482" s="9" t="str">
        <f>_xll.SNL.Clients.Office.Excel.Functions.SPG(BE482, "SP_COUNTRY_NAME")</f>
        <v>Germany</v>
      </c>
      <c r="BM482" s="9" t="str">
        <f>_xll.SNL.Clients.Office.Excel.Functions.SPG(BJ482, "SP_COUNTRY_NAME")</f>
        <v>#INVALID COMPANY ID</v>
      </c>
      <c r="BR482" s="9" t="str">
        <f>_xll.SNL.Clients.Office.Excel.Functions.SPG(BO482, "SP_COUNTRY_NAME")</f>
        <v>#INVALID COMPANY ID</v>
      </c>
      <c r="BS482" t="s">
        <v>517</v>
      </c>
      <c r="BT482">
        <v>111097</v>
      </c>
      <c r="BU482" t="s">
        <v>346</v>
      </c>
      <c r="BV482" s="11">
        <v>0</v>
      </c>
      <c r="BW482" s="9" t="str">
        <f>_xll.SNL.Clients.Office.Excel.Functions.SPG(BT482, "SP_COUNTRY_NAME")</f>
        <v>USA</v>
      </c>
      <c r="CB482" s="9" t="str">
        <f>_xll.SNL.Clients.Office.Excel.Functions.SPG(BY482, "SP_COUNTRY_NAME")</f>
        <v>#INVALID COMPANY ID</v>
      </c>
      <c r="CC482" t="s">
        <v>1893</v>
      </c>
      <c r="CD482">
        <v>6321592</v>
      </c>
      <c r="CE482" t="s">
        <v>369</v>
      </c>
      <c r="CF482" s="11">
        <v>0</v>
      </c>
      <c r="CG482" s="9" t="str">
        <f>_xll.SNL.Clients.Office.Excel.Functions.SPG(CD482, "SP_COUNTRY_NAME")</f>
        <v>USA</v>
      </c>
      <c r="CL482" s="9" t="str">
        <f>_xll.SNL.Clients.Office.Excel.Functions.SPG(CI482, "SP_COUNTRY_NAME")</f>
        <v>#INVALID COMPANY ID</v>
      </c>
      <c r="CM482" t="s">
        <v>2113</v>
      </c>
      <c r="CN482">
        <v>4115897</v>
      </c>
      <c r="CO482" t="s">
        <v>346</v>
      </c>
      <c r="CP482" s="11">
        <v>0</v>
      </c>
      <c r="CQ482" s="9" t="str">
        <f>_xll.SNL.Clients.Office.Excel.Functions.SPG(CN482, "SP_COUNTRY_NAME")</f>
        <v>USA</v>
      </c>
      <c r="CV482" s="9" t="str">
        <f>_xll.SNL.Clients.Office.Excel.Functions.SPG(CS482, "SP_COUNTRY_NAME")</f>
        <v>#INVALID COMPANY ID</v>
      </c>
      <c r="DA482" s="9" t="str">
        <f>_xll.SNL.Clients.Office.Excel.Functions.SPG(CX482, "SP_COUNTRY_NAME")</f>
        <v>#INVALID COMPANY ID</v>
      </c>
      <c r="DB482" t="s">
        <v>1548</v>
      </c>
      <c r="DC482">
        <v>4138538</v>
      </c>
      <c r="DD482" t="s">
        <v>346</v>
      </c>
      <c r="DE482" s="11">
        <v>0</v>
      </c>
      <c r="DF482" s="9" t="str">
        <f>_xll.SNL.Clients.Office.Excel.Functions.SPG(DC482, "SP_COUNTRY_NAME")</f>
        <v>Germany</v>
      </c>
      <c r="DK482" s="9" t="str">
        <f>_xll.SNL.Clients.Office.Excel.Functions.SPG(DH482, "SP_COUNTRY_NAME")</f>
        <v>#INVALID COMPANY ID</v>
      </c>
      <c r="DL482" t="s">
        <v>1548</v>
      </c>
      <c r="DM482">
        <v>4138538</v>
      </c>
      <c r="DN482" t="s">
        <v>346</v>
      </c>
      <c r="DO482" s="11">
        <v>0</v>
      </c>
      <c r="DP482" s="9" t="str">
        <f>_xll.SNL.Clients.Office.Excel.Functions.SPG(DM482, "SP_COUNTRY_NAME")</f>
        <v>Germany</v>
      </c>
      <c r="DU482" s="9" t="str">
        <f>_xll.SNL.Clients.Office.Excel.Functions.SPG(DR482, "SP_COUNTRY_NAME")</f>
        <v>#INVALID COMPANY ID</v>
      </c>
      <c r="DZ482" s="9" t="str">
        <f>_xll.SNL.Clients.Office.Excel.Functions.SPG(DW482, "SP_COUNTRY_NAME")</f>
        <v>#INVALID COMPANY ID</v>
      </c>
      <c r="EA482" t="s">
        <v>1893</v>
      </c>
      <c r="EB482">
        <v>6321592</v>
      </c>
      <c r="EC482" t="s">
        <v>369</v>
      </c>
      <c r="ED482" s="11">
        <v>0</v>
      </c>
      <c r="EE482" s="9" t="str">
        <f>_xll.SNL.Clients.Office.Excel.Functions.SPG(EB482, "SP_COUNTRY_NAME")</f>
        <v>USA</v>
      </c>
      <c r="EF482" t="s">
        <v>1548</v>
      </c>
      <c r="EG482">
        <v>4138538</v>
      </c>
      <c r="EH482" t="s">
        <v>346</v>
      </c>
      <c r="EI482" s="11">
        <v>0</v>
      </c>
      <c r="EJ482" s="9" t="str">
        <f>_xll.SNL.Clients.Office.Excel.Functions.SPG(EG482, "SP_COUNTRY_NAME")</f>
        <v>Germany</v>
      </c>
      <c r="EO482" s="9" t="str">
        <f>_xll.SNL.Clients.Office.Excel.Functions.SPG(EL482, "SP_COUNTRY_NAME")</f>
        <v>#INVALID COMPANY ID</v>
      </c>
      <c r="ET482" s="9" t="str">
        <f>_xll.SNL.Clients.Office.Excel.Functions.SPG(EQ482, "SP_COUNTRY_NAME")</f>
        <v>#INVALID COMPANY ID</v>
      </c>
      <c r="EY482" s="9" t="str">
        <f>_xll.SNL.Clients.Office.Excel.Functions.SPG(EV482, "SP_COUNTRY_NAME")</f>
        <v>#INVALID COMPANY ID</v>
      </c>
      <c r="FD482" s="9" t="str">
        <f>_xll.SNL.Clients.Office.Excel.Functions.SPG(FA482, "SP_COUNTRY_NAME")</f>
        <v>#INVALID COMPANY ID</v>
      </c>
      <c r="FI482" s="9" t="str">
        <f>_xll.SNL.Clients.Office.Excel.Functions.SPG(FF482, "SP_COUNTRY_NAME")</f>
        <v>#INVALID COMPANY ID</v>
      </c>
      <c r="FN482" s="9" t="str">
        <f>_xll.SNL.Clients.Office.Excel.Functions.SPG(FK482, "SP_COUNTRY_NAME")</f>
        <v>#INVALID COMPANY ID</v>
      </c>
      <c r="FS482" s="9" t="str">
        <f>_xll.SNL.Clients.Office.Excel.Functions.SPG(FP482, "SP_COUNTRY_NAME")</f>
        <v>#INVALID COMPANY ID</v>
      </c>
      <c r="FX482" s="9" t="str">
        <f>_xll.SNL.Clients.Office.Excel.Functions.SPG(FU482, "SP_COUNTRY_NAME")</f>
        <v>#INVALID COMPANY ID</v>
      </c>
      <c r="FY482" t="s">
        <v>1548</v>
      </c>
      <c r="FZ482">
        <v>4138538</v>
      </c>
      <c r="GA482" t="s">
        <v>346</v>
      </c>
      <c r="GB482" s="11">
        <v>0</v>
      </c>
      <c r="GC482" s="9" t="str">
        <f>_xll.SNL.Clients.Office.Excel.Functions.SPG(FZ482, "SP_COUNTRY_NAME")</f>
        <v>Germany</v>
      </c>
      <c r="GH482" s="9" t="str">
        <f>_xll.SNL.Clients.Office.Excel.Functions.SPG(GE482, "SP_COUNTRY_NAME")</f>
        <v>#INVALID COMPANY ID</v>
      </c>
      <c r="GM482" s="9" t="str">
        <f>_xll.SNL.Clients.Office.Excel.Functions.SPG(GJ482, "SP_COUNTRY_NAME")</f>
        <v>#INVALID COMPANY ID</v>
      </c>
      <c r="GR482" s="9" t="str">
        <f>_xll.SNL.Clients.Office.Excel.Functions.SPG(GO482, "SP_COUNTRY_NAME")</f>
        <v>#INVALID COMPANY ID</v>
      </c>
      <c r="GW482" s="9" t="str">
        <f>_xll.SNL.Clients.Office.Excel.Functions.SPG(GT482, "SP_COUNTRY_NAME")</f>
        <v>#INVALID COMPANY ID</v>
      </c>
      <c r="GX482" t="s">
        <v>1893</v>
      </c>
      <c r="GY482">
        <v>6321592</v>
      </c>
      <c r="GZ482" t="s">
        <v>369</v>
      </c>
      <c r="HA482" s="11">
        <v>0</v>
      </c>
      <c r="HB482" s="9" t="str">
        <f>_xll.SNL.Clients.Office.Excel.Functions.SPG(GY482, "SP_COUNTRY_NAME")</f>
        <v>USA</v>
      </c>
      <c r="HG482" s="9" t="str">
        <f>_xll.SNL.Clients.Office.Excel.Functions.SPG(HD482, "SP_COUNTRY_NAME")</f>
        <v>#INVALID COMPANY ID</v>
      </c>
    </row>
    <row r="483" spans="5:215" x14ac:dyDescent="0.35">
      <c r="E483" s="9" t="str">
        <f>_xll.SNL.Clients.Office.Excel.Functions.SPG(B483, "SP_COUNTRY_NAME")</f>
        <v>#INVALID COMPANY ID</v>
      </c>
      <c r="J483" s="9" t="str">
        <f>_xll.SNL.Clients.Office.Excel.Functions.SPG(G483, "SP_COUNTRY_NAME")</f>
        <v>#INVALID COMPANY ID</v>
      </c>
      <c r="O483" s="9" t="str">
        <f>_xll.SNL.Clients.Office.Excel.Functions.SPG(L483, "SP_COUNTRY_NAME")</f>
        <v>#INVALID COMPANY ID</v>
      </c>
      <c r="T483" s="9" t="str">
        <f>_xll.SNL.Clients.Office.Excel.Functions.SPG(Q483, "SP_COUNTRY_NAME")</f>
        <v>#INVALID COMPANY ID</v>
      </c>
      <c r="Y483" s="9" t="str">
        <f>_xll.SNL.Clients.Office.Excel.Functions.SPG(V483, "SP_COUNTRY_NAME")</f>
        <v>#INVALID COMPANY ID</v>
      </c>
      <c r="AD483" s="9" t="str">
        <f>_xll.SNL.Clients.Office.Excel.Functions.SPG(AA483, "SP_COUNTRY_NAME")</f>
        <v>#INVALID COMPANY ID</v>
      </c>
      <c r="AI483" s="9" t="str">
        <f>_xll.SNL.Clients.Office.Excel.Functions.SPG(AF483, "SP_COUNTRY_NAME")</f>
        <v>#INVALID COMPANY ID</v>
      </c>
      <c r="AN483" s="9" t="str">
        <f>_xll.SNL.Clients.Office.Excel.Functions.SPG(AK483, "SP_COUNTRY_NAME")</f>
        <v>#INVALID COMPANY ID</v>
      </c>
      <c r="AS483" s="9" t="str">
        <f>_xll.SNL.Clients.Office.Excel.Functions.SPG(AP483, "SP_COUNTRY_NAME")</f>
        <v>#INVALID COMPANY ID</v>
      </c>
      <c r="AX483" s="9" t="str">
        <f>_xll.SNL.Clients.Office.Excel.Functions.SPG(AU483, "SP_COUNTRY_NAME")</f>
        <v>#INVALID COMPANY ID</v>
      </c>
      <c r="BC483" s="9" t="str">
        <f>_xll.SNL.Clients.Office.Excel.Functions.SPG(AZ483, "SP_COUNTRY_NAME")</f>
        <v>#INVALID COMPANY ID</v>
      </c>
      <c r="BD483" t="s">
        <v>1345</v>
      </c>
      <c r="BE483">
        <v>10761756</v>
      </c>
      <c r="BF483" t="s">
        <v>346</v>
      </c>
      <c r="BG483" s="11">
        <v>0</v>
      </c>
      <c r="BH483" s="9" t="str">
        <f>_xll.SNL.Clients.Office.Excel.Functions.SPG(BE483, "SP_COUNTRY_NAME")</f>
        <v>South Africa</v>
      </c>
      <c r="BM483" s="9" t="str">
        <f>_xll.SNL.Clients.Office.Excel.Functions.SPG(BJ483, "SP_COUNTRY_NAME")</f>
        <v>#INVALID COMPANY ID</v>
      </c>
      <c r="BR483" s="9" t="str">
        <f>_xll.SNL.Clients.Office.Excel.Functions.SPG(BO483, "SP_COUNTRY_NAME")</f>
        <v>#INVALID COMPANY ID</v>
      </c>
      <c r="BS483" t="s">
        <v>1097</v>
      </c>
      <c r="BT483">
        <v>4137579</v>
      </c>
      <c r="BU483" t="s">
        <v>346</v>
      </c>
      <c r="BV483" s="11">
        <v>0</v>
      </c>
      <c r="BW483" s="9" t="str">
        <f>_xll.SNL.Clients.Office.Excel.Functions.SPG(BT483, "SP_COUNTRY_NAME")</f>
        <v>France</v>
      </c>
      <c r="CB483" s="9" t="str">
        <f>_xll.SNL.Clients.Office.Excel.Functions.SPG(BY483, "SP_COUNTRY_NAME")</f>
        <v>#INVALID COMPANY ID</v>
      </c>
      <c r="CC483" t="s">
        <v>1894</v>
      </c>
      <c r="CD483">
        <v>5753526</v>
      </c>
      <c r="CE483" t="s">
        <v>346</v>
      </c>
      <c r="CF483" s="11">
        <v>0</v>
      </c>
      <c r="CG483" s="9" t="str">
        <f>_xll.SNL.Clients.Office.Excel.Functions.SPG(CD483, "SP_COUNTRY_NAME")</f>
        <v>Germany</v>
      </c>
      <c r="CL483" s="9" t="str">
        <f>_xll.SNL.Clients.Office.Excel.Functions.SPG(CI483, "SP_COUNTRY_NAME")</f>
        <v>#INVALID COMPANY ID</v>
      </c>
      <c r="CM483" t="s">
        <v>2114</v>
      </c>
      <c r="CN483">
        <v>10573962</v>
      </c>
      <c r="CO483" t="s">
        <v>346</v>
      </c>
      <c r="CP483" s="11">
        <v>0</v>
      </c>
      <c r="CQ483" s="9" t="str">
        <f>_xll.SNL.Clients.Office.Excel.Functions.SPG(CN483, "SP_COUNTRY_NAME")</f>
        <v>USA</v>
      </c>
      <c r="CV483" s="9" t="str">
        <f>_xll.SNL.Clients.Office.Excel.Functions.SPG(CS483, "SP_COUNTRY_NAME")</f>
        <v>#INVALID COMPANY ID</v>
      </c>
      <c r="DA483" s="9" t="str">
        <f>_xll.SNL.Clients.Office.Excel.Functions.SPG(CX483, "SP_COUNTRY_NAME")</f>
        <v>#INVALID COMPANY ID</v>
      </c>
      <c r="DB483" t="s">
        <v>1345</v>
      </c>
      <c r="DC483">
        <v>10761756</v>
      </c>
      <c r="DD483" t="s">
        <v>346</v>
      </c>
      <c r="DE483" s="11">
        <v>0</v>
      </c>
      <c r="DF483" s="9" t="str">
        <f>_xll.SNL.Clients.Office.Excel.Functions.SPG(DC483, "SP_COUNTRY_NAME")</f>
        <v>South Africa</v>
      </c>
      <c r="DK483" s="9" t="str">
        <f>_xll.SNL.Clients.Office.Excel.Functions.SPG(DH483, "SP_COUNTRY_NAME")</f>
        <v>#INVALID COMPANY ID</v>
      </c>
      <c r="DL483" t="s">
        <v>1345</v>
      </c>
      <c r="DM483">
        <v>10761756</v>
      </c>
      <c r="DN483" t="s">
        <v>346</v>
      </c>
      <c r="DO483" s="11">
        <v>0</v>
      </c>
      <c r="DP483" s="9" t="str">
        <f>_xll.SNL.Clients.Office.Excel.Functions.SPG(DM483, "SP_COUNTRY_NAME")</f>
        <v>South Africa</v>
      </c>
      <c r="DU483" s="9" t="str">
        <f>_xll.SNL.Clients.Office.Excel.Functions.SPG(DR483, "SP_COUNTRY_NAME")</f>
        <v>#INVALID COMPANY ID</v>
      </c>
      <c r="DZ483" s="9" t="str">
        <f>_xll.SNL.Clients.Office.Excel.Functions.SPG(DW483, "SP_COUNTRY_NAME")</f>
        <v>#INVALID COMPANY ID</v>
      </c>
      <c r="EA483" t="s">
        <v>1894</v>
      </c>
      <c r="EB483">
        <v>5753526</v>
      </c>
      <c r="EC483" t="s">
        <v>346</v>
      </c>
      <c r="ED483" s="11">
        <v>0</v>
      </c>
      <c r="EE483" s="9" t="str">
        <f>_xll.SNL.Clients.Office.Excel.Functions.SPG(EB483, "SP_COUNTRY_NAME")</f>
        <v>Germany</v>
      </c>
      <c r="EF483" t="s">
        <v>1345</v>
      </c>
      <c r="EG483">
        <v>10761756</v>
      </c>
      <c r="EH483" t="s">
        <v>346</v>
      </c>
      <c r="EI483" s="11">
        <v>0</v>
      </c>
      <c r="EJ483" s="9" t="str">
        <f>_xll.SNL.Clients.Office.Excel.Functions.SPG(EG483, "SP_COUNTRY_NAME")</f>
        <v>South Africa</v>
      </c>
      <c r="EO483" s="9" t="str">
        <f>_xll.SNL.Clients.Office.Excel.Functions.SPG(EL483, "SP_COUNTRY_NAME")</f>
        <v>#INVALID COMPANY ID</v>
      </c>
      <c r="ET483" s="9" t="str">
        <f>_xll.SNL.Clients.Office.Excel.Functions.SPG(EQ483, "SP_COUNTRY_NAME")</f>
        <v>#INVALID COMPANY ID</v>
      </c>
      <c r="EY483" s="9" t="str">
        <f>_xll.SNL.Clients.Office.Excel.Functions.SPG(EV483, "SP_COUNTRY_NAME")</f>
        <v>#INVALID COMPANY ID</v>
      </c>
      <c r="FD483" s="9" t="str">
        <f>_xll.SNL.Clients.Office.Excel.Functions.SPG(FA483, "SP_COUNTRY_NAME")</f>
        <v>#INVALID COMPANY ID</v>
      </c>
      <c r="FI483" s="9" t="str">
        <f>_xll.SNL.Clients.Office.Excel.Functions.SPG(FF483, "SP_COUNTRY_NAME")</f>
        <v>#INVALID COMPANY ID</v>
      </c>
      <c r="FN483" s="9" t="str">
        <f>_xll.SNL.Clients.Office.Excel.Functions.SPG(FK483, "SP_COUNTRY_NAME")</f>
        <v>#INVALID COMPANY ID</v>
      </c>
      <c r="FS483" s="9" t="str">
        <f>_xll.SNL.Clients.Office.Excel.Functions.SPG(FP483, "SP_COUNTRY_NAME")</f>
        <v>#INVALID COMPANY ID</v>
      </c>
      <c r="FX483" s="9" t="str">
        <f>_xll.SNL.Clients.Office.Excel.Functions.SPG(FU483, "SP_COUNTRY_NAME")</f>
        <v>#INVALID COMPANY ID</v>
      </c>
      <c r="FY483" t="s">
        <v>1345</v>
      </c>
      <c r="FZ483">
        <v>10761756</v>
      </c>
      <c r="GA483" t="s">
        <v>346</v>
      </c>
      <c r="GB483" s="11">
        <v>0</v>
      </c>
      <c r="GC483" s="9" t="str">
        <f>_xll.SNL.Clients.Office.Excel.Functions.SPG(FZ483, "SP_COUNTRY_NAME")</f>
        <v>South Africa</v>
      </c>
      <c r="GH483" s="9" t="str">
        <f>_xll.SNL.Clients.Office.Excel.Functions.SPG(GE483, "SP_COUNTRY_NAME")</f>
        <v>#INVALID COMPANY ID</v>
      </c>
      <c r="GM483" s="9" t="str">
        <f>_xll.SNL.Clients.Office.Excel.Functions.SPG(GJ483, "SP_COUNTRY_NAME")</f>
        <v>#INVALID COMPANY ID</v>
      </c>
      <c r="GR483" s="9" t="str">
        <f>_xll.SNL.Clients.Office.Excel.Functions.SPG(GO483, "SP_COUNTRY_NAME")</f>
        <v>#INVALID COMPANY ID</v>
      </c>
      <c r="GW483" s="9" t="str">
        <f>_xll.SNL.Clients.Office.Excel.Functions.SPG(GT483, "SP_COUNTRY_NAME")</f>
        <v>#INVALID COMPANY ID</v>
      </c>
      <c r="GX483" t="s">
        <v>1894</v>
      </c>
      <c r="GY483">
        <v>5753526</v>
      </c>
      <c r="GZ483" t="s">
        <v>346</v>
      </c>
      <c r="HA483" s="11">
        <v>0</v>
      </c>
      <c r="HB483" s="9" t="str">
        <f>_xll.SNL.Clients.Office.Excel.Functions.SPG(GY483, "SP_COUNTRY_NAME")</f>
        <v>Germany</v>
      </c>
      <c r="HG483" s="9" t="str">
        <f>_xll.SNL.Clients.Office.Excel.Functions.SPG(HD483, "SP_COUNTRY_NAME")</f>
        <v>#INVALID COMPANY ID</v>
      </c>
    </row>
    <row r="484" spans="5:215" x14ac:dyDescent="0.35">
      <c r="E484" s="9" t="str">
        <f>_xll.SNL.Clients.Office.Excel.Functions.SPG(B484, "SP_COUNTRY_NAME")</f>
        <v>#INVALID COMPANY ID</v>
      </c>
      <c r="J484" s="9" t="str">
        <f>_xll.SNL.Clients.Office.Excel.Functions.SPG(G484, "SP_COUNTRY_NAME")</f>
        <v>#INVALID COMPANY ID</v>
      </c>
      <c r="O484" s="9" t="str">
        <f>_xll.SNL.Clients.Office.Excel.Functions.SPG(L484, "SP_COUNTRY_NAME")</f>
        <v>#INVALID COMPANY ID</v>
      </c>
      <c r="T484" s="9" t="str">
        <f>_xll.SNL.Clients.Office.Excel.Functions.SPG(Q484, "SP_COUNTRY_NAME")</f>
        <v>#INVALID COMPANY ID</v>
      </c>
      <c r="Y484" s="9" t="str">
        <f>_xll.SNL.Clients.Office.Excel.Functions.SPG(V484, "SP_COUNTRY_NAME")</f>
        <v>#INVALID COMPANY ID</v>
      </c>
      <c r="AD484" s="9" t="str">
        <f>_xll.SNL.Clients.Office.Excel.Functions.SPG(AA484, "SP_COUNTRY_NAME")</f>
        <v>#INVALID COMPANY ID</v>
      </c>
      <c r="AI484" s="9" t="str">
        <f>_xll.SNL.Clients.Office.Excel.Functions.SPG(AF484, "SP_COUNTRY_NAME")</f>
        <v>#INVALID COMPANY ID</v>
      </c>
      <c r="AN484" s="9" t="str">
        <f>_xll.SNL.Clients.Office.Excel.Functions.SPG(AK484, "SP_COUNTRY_NAME")</f>
        <v>#INVALID COMPANY ID</v>
      </c>
      <c r="AS484" s="9" t="str">
        <f>_xll.SNL.Clients.Office.Excel.Functions.SPG(AP484, "SP_COUNTRY_NAME")</f>
        <v>#INVALID COMPANY ID</v>
      </c>
      <c r="AX484" s="9" t="str">
        <f>_xll.SNL.Clients.Office.Excel.Functions.SPG(AU484, "SP_COUNTRY_NAME")</f>
        <v>#INVALID COMPANY ID</v>
      </c>
      <c r="BC484" s="9" t="str">
        <f>_xll.SNL.Clients.Office.Excel.Functions.SPG(AZ484, "SP_COUNTRY_NAME")</f>
        <v>#INVALID COMPANY ID</v>
      </c>
      <c r="BD484" t="s">
        <v>1009</v>
      </c>
      <c r="BE484">
        <v>4056821</v>
      </c>
      <c r="BF484" t="s">
        <v>346</v>
      </c>
      <c r="BG484" s="11">
        <v>0</v>
      </c>
      <c r="BH484" s="9" t="str">
        <f>_xll.SNL.Clients.Office.Excel.Functions.SPG(BE484, "SP_COUNTRY_NAME")</f>
        <v>Switzerland</v>
      </c>
      <c r="BM484" s="9" t="str">
        <f>_xll.SNL.Clients.Office.Excel.Functions.SPG(BJ484, "SP_COUNTRY_NAME")</f>
        <v>#INVALID COMPANY ID</v>
      </c>
      <c r="BR484" s="9" t="str">
        <f>_xll.SNL.Clients.Office.Excel.Functions.SPG(BO484, "SP_COUNTRY_NAME")</f>
        <v>#INVALID COMPANY ID</v>
      </c>
      <c r="BS484" t="s">
        <v>911</v>
      </c>
      <c r="BT484">
        <v>109399086</v>
      </c>
      <c r="BU484" t="s">
        <v>346</v>
      </c>
      <c r="BV484" s="11">
        <v>0</v>
      </c>
      <c r="BW484" s="9" t="str">
        <f>_xll.SNL.Clients.Office.Excel.Functions.SPG(BT484, "SP_COUNTRY_NAME")</f>
        <v>China</v>
      </c>
      <c r="CB484" s="9" t="str">
        <f>_xll.SNL.Clients.Office.Excel.Functions.SPG(BY484, "SP_COUNTRY_NAME")</f>
        <v>#INVALID COMPANY ID</v>
      </c>
      <c r="CC484" t="s">
        <v>1895</v>
      </c>
      <c r="CD484">
        <v>4134197</v>
      </c>
      <c r="CE484" t="s">
        <v>364</v>
      </c>
      <c r="CF484" s="11">
        <v>0</v>
      </c>
      <c r="CG484" s="9" t="str">
        <f>_xll.SNL.Clients.Office.Excel.Functions.SPG(CD484, "SP_COUNTRY_NAME")</f>
        <v>USA</v>
      </c>
      <c r="CL484" s="9" t="str">
        <f>_xll.SNL.Clients.Office.Excel.Functions.SPG(CI484, "SP_COUNTRY_NAME")</f>
        <v>#INVALID COMPANY ID</v>
      </c>
      <c r="CM484" t="s">
        <v>1781</v>
      </c>
      <c r="CN484">
        <v>4420079</v>
      </c>
      <c r="CO484" t="s">
        <v>364</v>
      </c>
      <c r="CP484" s="11">
        <v>0</v>
      </c>
      <c r="CQ484" s="9" t="str">
        <f>_xll.SNL.Clients.Office.Excel.Functions.SPG(CN484, "SP_COUNTRY_NAME")</f>
        <v>Brazil</v>
      </c>
      <c r="CV484" s="9" t="str">
        <f>_xll.SNL.Clients.Office.Excel.Functions.SPG(CS484, "SP_COUNTRY_NAME")</f>
        <v>#INVALID COMPANY ID</v>
      </c>
      <c r="DA484" s="9" t="str">
        <f>_xll.SNL.Clients.Office.Excel.Functions.SPG(CX484, "SP_COUNTRY_NAME")</f>
        <v>#INVALID COMPANY ID</v>
      </c>
      <c r="DB484" t="s">
        <v>1009</v>
      </c>
      <c r="DC484">
        <v>4056821</v>
      </c>
      <c r="DD484" t="s">
        <v>346</v>
      </c>
      <c r="DE484" s="11">
        <v>0</v>
      </c>
      <c r="DF484" s="9" t="str">
        <f>_xll.SNL.Clients.Office.Excel.Functions.SPG(DC484, "SP_COUNTRY_NAME")</f>
        <v>Switzerland</v>
      </c>
      <c r="DK484" s="9" t="str">
        <f>_xll.SNL.Clients.Office.Excel.Functions.SPG(DH484, "SP_COUNTRY_NAME")</f>
        <v>#INVALID COMPANY ID</v>
      </c>
      <c r="DL484" t="s">
        <v>1009</v>
      </c>
      <c r="DM484">
        <v>4056821</v>
      </c>
      <c r="DN484" t="s">
        <v>346</v>
      </c>
      <c r="DO484" s="11">
        <v>0</v>
      </c>
      <c r="DP484" s="9" t="str">
        <f>_xll.SNL.Clients.Office.Excel.Functions.SPG(DM484, "SP_COUNTRY_NAME")</f>
        <v>Switzerland</v>
      </c>
      <c r="DU484" s="9" t="str">
        <f>_xll.SNL.Clients.Office.Excel.Functions.SPG(DR484, "SP_COUNTRY_NAME")</f>
        <v>#INVALID COMPANY ID</v>
      </c>
      <c r="DZ484" s="9" t="str">
        <f>_xll.SNL.Clients.Office.Excel.Functions.SPG(DW484, "SP_COUNTRY_NAME")</f>
        <v>#INVALID COMPANY ID</v>
      </c>
      <c r="EA484" t="s">
        <v>1895</v>
      </c>
      <c r="EB484">
        <v>4134197</v>
      </c>
      <c r="EC484" t="s">
        <v>364</v>
      </c>
      <c r="ED484" s="11">
        <v>0</v>
      </c>
      <c r="EE484" s="9" t="str">
        <f>_xll.SNL.Clients.Office.Excel.Functions.SPG(EB484, "SP_COUNTRY_NAME")</f>
        <v>USA</v>
      </c>
      <c r="EF484" t="s">
        <v>1009</v>
      </c>
      <c r="EG484">
        <v>4056821</v>
      </c>
      <c r="EH484" t="s">
        <v>346</v>
      </c>
      <c r="EI484" s="11">
        <v>0</v>
      </c>
      <c r="EJ484" s="9" t="str">
        <f>_xll.SNL.Clients.Office.Excel.Functions.SPG(EG484, "SP_COUNTRY_NAME")</f>
        <v>Switzerland</v>
      </c>
      <c r="EO484" s="9" t="str">
        <f>_xll.SNL.Clients.Office.Excel.Functions.SPG(EL484, "SP_COUNTRY_NAME")</f>
        <v>#INVALID COMPANY ID</v>
      </c>
      <c r="ET484" s="9" t="str">
        <f>_xll.SNL.Clients.Office.Excel.Functions.SPG(EQ484, "SP_COUNTRY_NAME")</f>
        <v>#INVALID COMPANY ID</v>
      </c>
      <c r="EY484" s="9" t="str">
        <f>_xll.SNL.Clients.Office.Excel.Functions.SPG(EV484, "SP_COUNTRY_NAME")</f>
        <v>#INVALID COMPANY ID</v>
      </c>
      <c r="FD484" s="9" t="str">
        <f>_xll.SNL.Clients.Office.Excel.Functions.SPG(FA484, "SP_COUNTRY_NAME")</f>
        <v>#INVALID COMPANY ID</v>
      </c>
      <c r="FI484" s="9" t="str">
        <f>_xll.SNL.Clients.Office.Excel.Functions.SPG(FF484, "SP_COUNTRY_NAME")</f>
        <v>#INVALID COMPANY ID</v>
      </c>
      <c r="FN484" s="9" t="str">
        <f>_xll.SNL.Clients.Office.Excel.Functions.SPG(FK484, "SP_COUNTRY_NAME")</f>
        <v>#INVALID COMPANY ID</v>
      </c>
      <c r="FS484" s="9" t="str">
        <f>_xll.SNL.Clients.Office.Excel.Functions.SPG(FP484, "SP_COUNTRY_NAME")</f>
        <v>#INVALID COMPANY ID</v>
      </c>
      <c r="FX484" s="9" t="str">
        <f>_xll.SNL.Clients.Office.Excel.Functions.SPG(FU484, "SP_COUNTRY_NAME")</f>
        <v>#INVALID COMPANY ID</v>
      </c>
      <c r="FY484" t="s">
        <v>1009</v>
      </c>
      <c r="FZ484">
        <v>4056821</v>
      </c>
      <c r="GA484" t="s">
        <v>346</v>
      </c>
      <c r="GB484" s="11">
        <v>0</v>
      </c>
      <c r="GC484" s="9" t="str">
        <f>_xll.SNL.Clients.Office.Excel.Functions.SPG(FZ484, "SP_COUNTRY_NAME")</f>
        <v>Switzerland</v>
      </c>
      <c r="GH484" s="9" t="str">
        <f>_xll.SNL.Clients.Office.Excel.Functions.SPG(GE484, "SP_COUNTRY_NAME")</f>
        <v>#INVALID COMPANY ID</v>
      </c>
      <c r="GM484" s="9" t="str">
        <f>_xll.SNL.Clients.Office.Excel.Functions.SPG(GJ484, "SP_COUNTRY_NAME")</f>
        <v>#INVALID COMPANY ID</v>
      </c>
      <c r="GR484" s="9" t="str">
        <f>_xll.SNL.Clients.Office.Excel.Functions.SPG(GO484, "SP_COUNTRY_NAME")</f>
        <v>#INVALID COMPANY ID</v>
      </c>
      <c r="GW484" s="9" t="str">
        <f>_xll.SNL.Clients.Office.Excel.Functions.SPG(GT484, "SP_COUNTRY_NAME")</f>
        <v>#INVALID COMPANY ID</v>
      </c>
      <c r="GX484" t="s">
        <v>1895</v>
      </c>
      <c r="GY484">
        <v>4134197</v>
      </c>
      <c r="GZ484" t="s">
        <v>364</v>
      </c>
      <c r="HA484" s="11">
        <v>0</v>
      </c>
      <c r="HB484" s="9" t="str">
        <f>_xll.SNL.Clients.Office.Excel.Functions.SPG(GY484, "SP_COUNTRY_NAME")</f>
        <v>USA</v>
      </c>
      <c r="HG484" s="9" t="str">
        <f>_xll.SNL.Clients.Office.Excel.Functions.SPG(HD484, "SP_COUNTRY_NAME")</f>
        <v>#INVALID COMPANY ID</v>
      </c>
    </row>
    <row r="485" spans="5:215" x14ac:dyDescent="0.35">
      <c r="E485" s="9" t="str">
        <f>_xll.SNL.Clients.Office.Excel.Functions.SPG(B485, "SP_COUNTRY_NAME")</f>
        <v>#INVALID COMPANY ID</v>
      </c>
      <c r="J485" s="9" t="str">
        <f>_xll.SNL.Clients.Office.Excel.Functions.SPG(G485, "SP_COUNTRY_NAME")</f>
        <v>#INVALID COMPANY ID</v>
      </c>
      <c r="O485" s="9" t="str">
        <f>_xll.SNL.Clients.Office.Excel.Functions.SPG(L485, "SP_COUNTRY_NAME")</f>
        <v>#INVALID COMPANY ID</v>
      </c>
      <c r="T485" s="9" t="str">
        <f>_xll.SNL.Clients.Office.Excel.Functions.SPG(Q485, "SP_COUNTRY_NAME")</f>
        <v>#INVALID COMPANY ID</v>
      </c>
      <c r="Y485" s="9" t="str">
        <f>_xll.SNL.Clients.Office.Excel.Functions.SPG(V485, "SP_COUNTRY_NAME")</f>
        <v>#INVALID COMPANY ID</v>
      </c>
      <c r="AD485" s="9" t="str">
        <f>_xll.SNL.Clients.Office.Excel.Functions.SPG(AA485, "SP_COUNTRY_NAME")</f>
        <v>#INVALID COMPANY ID</v>
      </c>
      <c r="AI485" s="9" t="str">
        <f>_xll.SNL.Clients.Office.Excel.Functions.SPG(AF485, "SP_COUNTRY_NAME")</f>
        <v>#INVALID COMPANY ID</v>
      </c>
      <c r="AN485" s="9" t="str">
        <f>_xll.SNL.Clients.Office.Excel.Functions.SPG(AK485, "SP_COUNTRY_NAME")</f>
        <v>#INVALID COMPANY ID</v>
      </c>
      <c r="AS485" s="9" t="str">
        <f>_xll.SNL.Clients.Office.Excel.Functions.SPG(AP485, "SP_COUNTRY_NAME")</f>
        <v>#INVALID COMPANY ID</v>
      </c>
      <c r="AX485" s="9" t="str">
        <f>_xll.SNL.Clients.Office.Excel.Functions.SPG(AU485, "SP_COUNTRY_NAME")</f>
        <v>#INVALID COMPANY ID</v>
      </c>
      <c r="BC485" s="9" t="str">
        <f>_xll.SNL.Clients.Office.Excel.Functions.SPG(AZ485, "SP_COUNTRY_NAME")</f>
        <v>#INVALID COMPANY ID</v>
      </c>
      <c r="BD485" t="s">
        <v>549</v>
      </c>
      <c r="BE485">
        <v>4556203</v>
      </c>
      <c r="BF485" t="s">
        <v>346</v>
      </c>
      <c r="BG485" s="11">
        <v>0</v>
      </c>
      <c r="BH485" s="9" t="str">
        <f>_xll.SNL.Clients.Office.Excel.Functions.SPG(BE485, "SP_COUNTRY_NAME")</f>
        <v>USA</v>
      </c>
      <c r="BM485" s="9" t="str">
        <f>_xll.SNL.Clients.Office.Excel.Functions.SPG(BJ485, "SP_COUNTRY_NAME")</f>
        <v>#INVALID COMPANY ID</v>
      </c>
      <c r="BR485" s="9" t="str">
        <f>_xll.SNL.Clients.Office.Excel.Functions.SPG(BO485, "SP_COUNTRY_NAME")</f>
        <v>#INVALID COMPANY ID</v>
      </c>
      <c r="BS485" t="s">
        <v>854</v>
      </c>
      <c r="BT485">
        <v>5777425</v>
      </c>
      <c r="BU485" t="s">
        <v>346</v>
      </c>
      <c r="BV485" s="11">
        <v>0</v>
      </c>
      <c r="BW485" s="9" t="str">
        <f>_xll.SNL.Clients.Office.Excel.Functions.SPG(BT485, "SP_COUNTRY_NAME")</f>
        <v>China</v>
      </c>
      <c r="CB485" s="9" t="str">
        <f>_xll.SNL.Clients.Office.Excel.Functions.SPG(BY485, "SP_COUNTRY_NAME")</f>
        <v>#INVALID COMPANY ID</v>
      </c>
      <c r="CC485" t="s">
        <v>1896</v>
      </c>
      <c r="CD485">
        <v>13980941</v>
      </c>
      <c r="CE485" t="s">
        <v>346</v>
      </c>
      <c r="CF485" s="11">
        <v>0</v>
      </c>
      <c r="CG485" s="9" t="str">
        <f>_xll.SNL.Clients.Office.Excel.Functions.SPG(CD485, "SP_COUNTRY_NAME")</f>
        <v>USA</v>
      </c>
      <c r="CL485" s="9" t="str">
        <f>_xll.SNL.Clients.Office.Excel.Functions.SPG(CI485, "SP_COUNTRY_NAME")</f>
        <v>#INVALID COMPANY ID</v>
      </c>
      <c r="CM485" t="s">
        <v>2115</v>
      </c>
      <c r="CN485">
        <v>4272795</v>
      </c>
      <c r="CO485" t="s">
        <v>346</v>
      </c>
      <c r="CP485" s="11">
        <v>0</v>
      </c>
      <c r="CQ485" s="9" t="str">
        <f>_xll.SNL.Clients.Office.Excel.Functions.SPG(CN485, "SP_COUNTRY_NAME")</f>
        <v>USA</v>
      </c>
      <c r="CV485" s="9" t="str">
        <f>_xll.SNL.Clients.Office.Excel.Functions.SPG(CS485, "SP_COUNTRY_NAME")</f>
        <v>#INVALID COMPANY ID</v>
      </c>
      <c r="DA485" s="9" t="str">
        <f>_xll.SNL.Clients.Office.Excel.Functions.SPG(CX485, "SP_COUNTRY_NAME")</f>
        <v>#INVALID COMPANY ID</v>
      </c>
      <c r="DB485" t="s">
        <v>549</v>
      </c>
      <c r="DC485">
        <v>4556203</v>
      </c>
      <c r="DD485" t="s">
        <v>346</v>
      </c>
      <c r="DE485" s="11">
        <v>0</v>
      </c>
      <c r="DF485" s="9" t="str">
        <f>_xll.SNL.Clients.Office.Excel.Functions.SPG(DC485, "SP_COUNTRY_NAME")</f>
        <v>USA</v>
      </c>
      <c r="DK485" s="9" t="str">
        <f>_xll.SNL.Clients.Office.Excel.Functions.SPG(DH485, "SP_COUNTRY_NAME")</f>
        <v>#INVALID COMPANY ID</v>
      </c>
      <c r="DL485" t="s">
        <v>549</v>
      </c>
      <c r="DM485">
        <v>4556203</v>
      </c>
      <c r="DN485" t="s">
        <v>346</v>
      </c>
      <c r="DO485" s="11">
        <v>0</v>
      </c>
      <c r="DP485" s="9" t="str">
        <f>_xll.SNL.Clients.Office.Excel.Functions.SPG(DM485, "SP_COUNTRY_NAME")</f>
        <v>USA</v>
      </c>
      <c r="DU485" s="9" t="str">
        <f>_xll.SNL.Clients.Office.Excel.Functions.SPG(DR485, "SP_COUNTRY_NAME")</f>
        <v>#INVALID COMPANY ID</v>
      </c>
      <c r="DZ485" s="9" t="str">
        <f>_xll.SNL.Clients.Office.Excel.Functions.SPG(DW485, "SP_COUNTRY_NAME")</f>
        <v>#INVALID COMPANY ID</v>
      </c>
      <c r="EA485" t="s">
        <v>1896</v>
      </c>
      <c r="EB485">
        <v>13980941</v>
      </c>
      <c r="EC485" t="s">
        <v>346</v>
      </c>
      <c r="ED485" s="11">
        <v>0</v>
      </c>
      <c r="EE485" s="9" t="str">
        <f>_xll.SNL.Clients.Office.Excel.Functions.SPG(EB485, "SP_COUNTRY_NAME")</f>
        <v>USA</v>
      </c>
      <c r="EF485" t="s">
        <v>549</v>
      </c>
      <c r="EG485">
        <v>4556203</v>
      </c>
      <c r="EH485" t="s">
        <v>346</v>
      </c>
      <c r="EI485" s="11">
        <v>0</v>
      </c>
      <c r="EJ485" s="9" t="str">
        <f>_xll.SNL.Clients.Office.Excel.Functions.SPG(EG485, "SP_COUNTRY_NAME")</f>
        <v>USA</v>
      </c>
      <c r="EO485" s="9" t="str">
        <f>_xll.SNL.Clients.Office.Excel.Functions.SPG(EL485, "SP_COUNTRY_NAME")</f>
        <v>#INVALID COMPANY ID</v>
      </c>
      <c r="ET485" s="9" t="str">
        <f>_xll.SNL.Clients.Office.Excel.Functions.SPG(EQ485, "SP_COUNTRY_NAME")</f>
        <v>#INVALID COMPANY ID</v>
      </c>
      <c r="EY485" s="9" t="str">
        <f>_xll.SNL.Clients.Office.Excel.Functions.SPG(EV485, "SP_COUNTRY_NAME")</f>
        <v>#INVALID COMPANY ID</v>
      </c>
      <c r="FD485" s="9" t="str">
        <f>_xll.SNL.Clients.Office.Excel.Functions.SPG(FA485, "SP_COUNTRY_NAME")</f>
        <v>#INVALID COMPANY ID</v>
      </c>
      <c r="FI485" s="9" t="str">
        <f>_xll.SNL.Clients.Office.Excel.Functions.SPG(FF485, "SP_COUNTRY_NAME")</f>
        <v>#INVALID COMPANY ID</v>
      </c>
      <c r="FN485" s="9" t="str">
        <f>_xll.SNL.Clients.Office.Excel.Functions.SPG(FK485, "SP_COUNTRY_NAME")</f>
        <v>#INVALID COMPANY ID</v>
      </c>
      <c r="FS485" s="9" t="str">
        <f>_xll.SNL.Clients.Office.Excel.Functions.SPG(FP485, "SP_COUNTRY_NAME")</f>
        <v>#INVALID COMPANY ID</v>
      </c>
      <c r="FX485" s="9" t="str">
        <f>_xll.SNL.Clients.Office.Excel.Functions.SPG(FU485, "SP_COUNTRY_NAME")</f>
        <v>#INVALID COMPANY ID</v>
      </c>
      <c r="FY485" t="s">
        <v>549</v>
      </c>
      <c r="FZ485">
        <v>4556203</v>
      </c>
      <c r="GA485" t="s">
        <v>346</v>
      </c>
      <c r="GB485" s="11">
        <v>0</v>
      </c>
      <c r="GC485" s="9" t="str">
        <f>_xll.SNL.Clients.Office.Excel.Functions.SPG(FZ485, "SP_COUNTRY_NAME")</f>
        <v>USA</v>
      </c>
      <c r="GH485" s="9" t="str">
        <f>_xll.SNL.Clients.Office.Excel.Functions.SPG(GE485, "SP_COUNTRY_NAME")</f>
        <v>#INVALID COMPANY ID</v>
      </c>
      <c r="GM485" s="9" t="str">
        <f>_xll.SNL.Clients.Office.Excel.Functions.SPG(GJ485, "SP_COUNTRY_NAME")</f>
        <v>#INVALID COMPANY ID</v>
      </c>
      <c r="GR485" s="9" t="str">
        <f>_xll.SNL.Clients.Office.Excel.Functions.SPG(GO485, "SP_COUNTRY_NAME")</f>
        <v>#INVALID COMPANY ID</v>
      </c>
      <c r="GW485" s="9" t="str">
        <f>_xll.SNL.Clients.Office.Excel.Functions.SPG(GT485, "SP_COUNTRY_NAME")</f>
        <v>#INVALID COMPANY ID</v>
      </c>
      <c r="GX485" t="s">
        <v>1896</v>
      </c>
      <c r="GY485">
        <v>13980941</v>
      </c>
      <c r="GZ485" t="s">
        <v>346</v>
      </c>
      <c r="HA485" s="11">
        <v>0</v>
      </c>
      <c r="HB485" s="9" t="str">
        <f>_xll.SNL.Clients.Office.Excel.Functions.SPG(GY485, "SP_COUNTRY_NAME")</f>
        <v>USA</v>
      </c>
      <c r="HG485" s="9" t="str">
        <f>_xll.SNL.Clients.Office.Excel.Functions.SPG(HD485, "SP_COUNTRY_NAME")</f>
        <v>#INVALID COMPANY ID</v>
      </c>
    </row>
    <row r="486" spans="5:215" x14ac:dyDescent="0.35">
      <c r="E486" s="9" t="str">
        <f>_xll.SNL.Clients.Office.Excel.Functions.SPG(B486, "SP_COUNTRY_NAME")</f>
        <v>#INVALID COMPANY ID</v>
      </c>
      <c r="J486" s="9" t="str">
        <f>_xll.SNL.Clients.Office.Excel.Functions.SPG(G486, "SP_COUNTRY_NAME")</f>
        <v>#INVALID COMPANY ID</v>
      </c>
      <c r="O486" s="9" t="str">
        <f>_xll.SNL.Clients.Office.Excel.Functions.SPG(L486, "SP_COUNTRY_NAME")</f>
        <v>#INVALID COMPANY ID</v>
      </c>
      <c r="T486" s="9" t="str">
        <f>_xll.SNL.Clients.Office.Excel.Functions.SPG(Q486, "SP_COUNTRY_NAME")</f>
        <v>#INVALID COMPANY ID</v>
      </c>
      <c r="Y486" s="9" t="str">
        <f>_xll.SNL.Clients.Office.Excel.Functions.SPG(V486, "SP_COUNTRY_NAME")</f>
        <v>#INVALID COMPANY ID</v>
      </c>
      <c r="AD486" s="9" t="str">
        <f>_xll.SNL.Clients.Office.Excel.Functions.SPG(AA486, "SP_COUNTRY_NAME")</f>
        <v>#INVALID COMPANY ID</v>
      </c>
      <c r="AI486" s="9" t="str">
        <f>_xll.SNL.Clients.Office.Excel.Functions.SPG(AF486, "SP_COUNTRY_NAME")</f>
        <v>#INVALID COMPANY ID</v>
      </c>
      <c r="AN486" s="9" t="str">
        <f>_xll.SNL.Clients.Office.Excel.Functions.SPG(AK486, "SP_COUNTRY_NAME")</f>
        <v>#INVALID COMPANY ID</v>
      </c>
      <c r="AS486" s="9" t="str">
        <f>_xll.SNL.Clients.Office.Excel.Functions.SPG(AP486, "SP_COUNTRY_NAME")</f>
        <v>#INVALID COMPANY ID</v>
      </c>
      <c r="AX486" s="9" t="str">
        <f>_xll.SNL.Clients.Office.Excel.Functions.SPG(AU486, "SP_COUNTRY_NAME")</f>
        <v>#INVALID COMPANY ID</v>
      </c>
      <c r="BC486" s="9" t="str">
        <f>_xll.SNL.Clients.Office.Excel.Functions.SPG(AZ486, "SP_COUNTRY_NAME")</f>
        <v>#INVALID COMPANY ID</v>
      </c>
      <c r="BD486" t="s">
        <v>1356</v>
      </c>
      <c r="BE486">
        <v>5830723</v>
      </c>
      <c r="BF486" t="s">
        <v>346</v>
      </c>
      <c r="BG486" s="11">
        <v>0</v>
      </c>
      <c r="BH486" s="9" t="str">
        <f>_xll.SNL.Clients.Office.Excel.Functions.SPG(BE486, "SP_COUNTRY_NAME")</f>
        <v>South Africa</v>
      </c>
      <c r="BM486" s="9" t="str">
        <f>_xll.SNL.Clients.Office.Excel.Functions.SPG(BJ486, "SP_COUNTRY_NAME")</f>
        <v>#INVALID COMPANY ID</v>
      </c>
      <c r="BR486" s="9" t="str">
        <f>_xll.SNL.Clients.Office.Excel.Functions.SPG(BO486, "SP_COUNTRY_NAME")</f>
        <v>#INVALID COMPANY ID</v>
      </c>
      <c r="BS486" t="s">
        <v>492</v>
      </c>
      <c r="BT486">
        <v>110674</v>
      </c>
      <c r="BU486" t="s">
        <v>346</v>
      </c>
      <c r="BV486" s="11">
        <v>0</v>
      </c>
      <c r="BW486" s="9" t="str">
        <f>_xll.SNL.Clients.Office.Excel.Functions.SPG(BT486, "SP_COUNTRY_NAME")</f>
        <v>USA</v>
      </c>
      <c r="CB486" s="9" t="str">
        <f>_xll.SNL.Clients.Office.Excel.Functions.SPG(BY486, "SP_COUNTRY_NAME")</f>
        <v>#INVALID COMPANY ID</v>
      </c>
      <c r="CC486" t="s">
        <v>1897</v>
      </c>
      <c r="CD486">
        <v>11226628</v>
      </c>
      <c r="CE486" t="s">
        <v>346</v>
      </c>
      <c r="CF486" s="11">
        <v>0</v>
      </c>
      <c r="CG486" s="9" t="str">
        <f>_xll.SNL.Clients.Office.Excel.Functions.SPG(CD486, "SP_COUNTRY_NAME")</f>
        <v>USA</v>
      </c>
      <c r="CL486" s="9" t="str">
        <f>_xll.SNL.Clients.Office.Excel.Functions.SPG(CI486, "SP_COUNTRY_NAME")</f>
        <v>#INVALID COMPANY ID</v>
      </c>
      <c r="CM486" t="s">
        <v>2116</v>
      </c>
      <c r="CN486">
        <v>4145387</v>
      </c>
      <c r="CO486" t="s">
        <v>346</v>
      </c>
      <c r="CP486" s="11">
        <v>0</v>
      </c>
      <c r="CQ486" s="9" t="str">
        <f>_xll.SNL.Clients.Office.Excel.Functions.SPG(CN486, "SP_COUNTRY_NAME")</f>
        <v>USA</v>
      </c>
      <c r="CV486" s="9" t="str">
        <f>_xll.SNL.Clients.Office.Excel.Functions.SPG(CS486, "SP_COUNTRY_NAME")</f>
        <v>#INVALID COMPANY ID</v>
      </c>
      <c r="DA486" s="9" t="str">
        <f>_xll.SNL.Clients.Office.Excel.Functions.SPG(CX486, "SP_COUNTRY_NAME")</f>
        <v>#INVALID COMPANY ID</v>
      </c>
      <c r="DB486" t="s">
        <v>1356</v>
      </c>
      <c r="DC486">
        <v>5830723</v>
      </c>
      <c r="DD486" t="s">
        <v>346</v>
      </c>
      <c r="DE486" s="11">
        <v>0</v>
      </c>
      <c r="DF486" s="9" t="str">
        <f>_xll.SNL.Clients.Office.Excel.Functions.SPG(DC486, "SP_COUNTRY_NAME")</f>
        <v>South Africa</v>
      </c>
      <c r="DK486" s="9" t="str">
        <f>_xll.SNL.Clients.Office.Excel.Functions.SPG(DH486, "SP_COUNTRY_NAME")</f>
        <v>#INVALID COMPANY ID</v>
      </c>
      <c r="DL486" t="s">
        <v>1356</v>
      </c>
      <c r="DM486">
        <v>5830723</v>
      </c>
      <c r="DN486" t="s">
        <v>346</v>
      </c>
      <c r="DO486" s="11">
        <v>0</v>
      </c>
      <c r="DP486" s="9" t="str">
        <f>_xll.SNL.Clients.Office.Excel.Functions.SPG(DM486, "SP_COUNTRY_NAME")</f>
        <v>South Africa</v>
      </c>
      <c r="DU486" s="9" t="str">
        <f>_xll.SNL.Clients.Office.Excel.Functions.SPG(DR486, "SP_COUNTRY_NAME")</f>
        <v>#INVALID COMPANY ID</v>
      </c>
      <c r="DZ486" s="9" t="str">
        <f>_xll.SNL.Clients.Office.Excel.Functions.SPG(DW486, "SP_COUNTRY_NAME")</f>
        <v>#INVALID COMPANY ID</v>
      </c>
      <c r="EA486" t="s">
        <v>1897</v>
      </c>
      <c r="EB486">
        <v>11226628</v>
      </c>
      <c r="EC486" t="s">
        <v>346</v>
      </c>
      <c r="ED486" s="11">
        <v>0</v>
      </c>
      <c r="EE486" s="9" t="str">
        <f>_xll.SNL.Clients.Office.Excel.Functions.SPG(EB486, "SP_COUNTRY_NAME")</f>
        <v>USA</v>
      </c>
      <c r="EF486" t="s">
        <v>1356</v>
      </c>
      <c r="EG486">
        <v>5830723</v>
      </c>
      <c r="EH486" t="s">
        <v>346</v>
      </c>
      <c r="EI486" s="11">
        <v>0</v>
      </c>
      <c r="EJ486" s="9" t="str">
        <f>_xll.SNL.Clients.Office.Excel.Functions.SPG(EG486, "SP_COUNTRY_NAME")</f>
        <v>South Africa</v>
      </c>
      <c r="EO486" s="9" t="str">
        <f>_xll.SNL.Clients.Office.Excel.Functions.SPG(EL486, "SP_COUNTRY_NAME")</f>
        <v>#INVALID COMPANY ID</v>
      </c>
      <c r="ET486" s="9" t="str">
        <f>_xll.SNL.Clients.Office.Excel.Functions.SPG(EQ486, "SP_COUNTRY_NAME")</f>
        <v>#INVALID COMPANY ID</v>
      </c>
      <c r="EY486" s="9" t="str">
        <f>_xll.SNL.Clients.Office.Excel.Functions.SPG(EV486, "SP_COUNTRY_NAME")</f>
        <v>#INVALID COMPANY ID</v>
      </c>
      <c r="FD486" s="9" t="str">
        <f>_xll.SNL.Clients.Office.Excel.Functions.SPG(FA486, "SP_COUNTRY_NAME")</f>
        <v>#INVALID COMPANY ID</v>
      </c>
      <c r="FI486" s="9" t="str">
        <f>_xll.SNL.Clients.Office.Excel.Functions.SPG(FF486, "SP_COUNTRY_NAME")</f>
        <v>#INVALID COMPANY ID</v>
      </c>
      <c r="FN486" s="9" t="str">
        <f>_xll.SNL.Clients.Office.Excel.Functions.SPG(FK486, "SP_COUNTRY_NAME")</f>
        <v>#INVALID COMPANY ID</v>
      </c>
      <c r="FS486" s="9" t="str">
        <f>_xll.SNL.Clients.Office.Excel.Functions.SPG(FP486, "SP_COUNTRY_NAME")</f>
        <v>#INVALID COMPANY ID</v>
      </c>
      <c r="FX486" s="9" t="str">
        <f>_xll.SNL.Clients.Office.Excel.Functions.SPG(FU486, "SP_COUNTRY_NAME")</f>
        <v>#INVALID COMPANY ID</v>
      </c>
      <c r="FY486" t="s">
        <v>1356</v>
      </c>
      <c r="FZ486">
        <v>5830723</v>
      </c>
      <c r="GA486" t="s">
        <v>346</v>
      </c>
      <c r="GB486" s="11">
        <v>0</v>
      </c>
      <c r="GC486" s="9" t="str">
        <f>_xll.SNL.Clients.Office.Excel.Functions.SPG(FZ486, "SP_COUNTRY_NAME")</f>
        <v>South Africa</v>
      </c>
      <c r="GH486" s="9" t="str">
        <f>_xll.SNL.Clients.Office.Excel.Functions.SPG(GE486, "SP_COUNTRY_NAME")</f>
        <v>#INVALID COMPANY ID</v>
      </c>
      <c r="GM486" s="9" t="str">
        <f>_xll.SNL.Clients.Office.Excel.Functions.SPG(GJ486, "SP_COUNTRY_NAME")</f>
        <v>#INVALID COMPANY ID</v>
      </c>
      <c r="GR486" s="9" t="str">
        <f>_xll.SNL.Clients.Office.Excel.Functions.SPG(GO486, "SP_COUNTRY_NAME")</f>
        <v>#INVALID COMPANY ID</v>
      </c>
      <c r="GW486" s="9" t="str">
        <f>_xll.SNL.Clients.Office.Excel.Functions.SPG(GT486, "SP_COUNTRY_NAME")</f>
        <v>#INVALID COMPANY ID</v>
      </c>
      <c r="GX486" t="s">
        <v>1897</v>
      </c>
      <c r="GY486">
        <v>11226628</v>
      </c>
      <c r="GZ486" t="s">
        <v>346</v>
      </c>
      <c r="HA486" s="11">
        <v>0</v>
      </c>
      <c r="HB486" s="9" t="str">
        <f>_xll.SNL.Clients.Office.Excel.Functions.SPG(GY486, "SP_COUNTRY_NAME")</f>
        <v>USA</v>
      </c>
      <c r="HG486" s="9" t="str">
        <f>_xll.SNL.Clients.Office.Excel.Functions.SPG(HD486, "SP_COUNTRY_NAME")</f>
        <v>#INVALID COMPANY ID</v>
      </c>
    </row>
    <row r="487" spans="5:215" x14ac:dyDescent="0.35">
      <c r="E487" s="9" t="str">
        <f>_xll.SNL.Clients.Office.Excel.Functions.SPG(B487, "SP_COUNTRY_NAME")</f>
        <v>#INVALID COMPANY ID</v>
      </c>
      <c r="J487" s="9" t="str">
        <f>_xll.SNL.Clients.Office.Excel.Functions.SPG(G487, "SP_COUNTRY_NAME")</f>
        <v>#INVALID COMPANY ID</v>
      </c>
      <c r="O487" s="9" t="str">
        <f>_xll.SNL.Clients.Office.Excel.Functions.SPG(L487, "SP_COUNTRY_NAME")</f>
        <v>#INVALID COMPANY ID</v>
      </c>
      <c r="T487" s="9" t="str">
        <f>_xll.SNL.Clients.Office.Excel.Functions.SPG(Q487, "SP_COUNTRY_NAME")</f>
        <v>#INVALID COMPANY ID</v>
      </c>
      <c r="Y487" s="9" t="str">
        <f>_xll.SNL.Clients.Office.Excel.Functions.SPG(V487, "SP_COUNTRY_NAME")</f>
        <v>#INVALID COMPANY ID</v>
      </c>
      <c r="AD487" s="9" t="str">
        <f>_xll.SNL.Clients.Office.Excel.Functions.SPG(AA487, "SP_COUNTRY_NAME")</f>
        <v>#INVALID COMPANY ID</v>
      </c>
      <c r="AI487" s="9" t="str">
        <f>_xll.SNL.Clients.Office.Excel.Functions.SPG(AF487, "SP_COUNTRY_NAME")</f>
        <v>#INVALID COMPANY ID</v>
      </c>
      <c r="AN487" s="9" t="str">
        <f>_xll.SNL.Clients.Office.Excel.Functions.SPG(AK487, "SP_COUNTRY_NAME")</f>
        <v>#INVALID COMPANY ID</v>
      </c>
      <c r="AS487" s="9" t="str">
        <f>_xll.SNL.Clients.Office.Excel.Functions.SPG(AP487, "SP_COUNTRY_NAME")</f>
        <v>#INVALID COMPANY ID</v>
      </c>
      <c r="AX487" s="9" t="str">
        <f>_xll.SNL.Clients.Office.Excel.Functions.SPG(AU487, "SP_COUNTRY_NAME")</f>
        <v>#INVALID COMPANY ID</v>
      </c>
      <c r="BC487" s="9" t="str">
        <f>_xll.SNL.Clients.Office.Excel.Functions.SPG(AZ487, "SP_COUNTRY_NAME")</f>
        <v>#INVALID COMPANY ID</v>
      </c>
      <c r="BD487" t="s">
        <v>1371</v>
      </c>
      <c r="BE487">
        <v>7789175</v>
      </c>
      <c r="BF487" t="s">
        <v>346</v>
      </c>
      <c r="BG487" s="11">
        <v>0</v>
      </c>
      <c r="BH487" s="9" t="str">
        <f>_xll.SNL.Clients.Office.Excel.Functions.SPG(BE487, "SP_COUNTRY_NAME")</f>
        <v>South Africa</v>
      </c>
      <c r="BM487" s="9" t="str">
        <f>_xll.SNL.Clients.Office.Excel.Functions.SPG(BJ487, "SP_COUNTRY_NAME")</f>
        <v>#INVALID COMPANY ID</v>
      </c>
      <c r="BR487" s="9" t="str">
        <f>_xll.SNL.Clients.Office.Excel.Functions.SPG(BO487, "SP_COUNTRY_NAME")</f>
        <v>#INVALID COMPANY ID</v>
      </c>
      <c r="BS487" t="s">
        <v>864</v>
      </c>
      <c r="BT487">
        <v>4345969</v>
      </c>
      <c r="BU487" t="s">
        <v>346</v>
      </c>
      <c r="BV487" s="11">
        <v>0</v>
      </c>
      <c r="BW487" s="9" t="str">
        <f>_xll.SNL.Clients.Office.Excel.Functions.SPG(BT487, "SP_COUNTRY_NAME")</f>
        <v>China</v>
      </c>
      <c r="CB487" s="9" t="str">
        <f>_xll.SNL.Clients.Office.Excel.Functions.SPG(BY487, "SP_COUNTRY_NAME")</f>
        <v>#INVALID COMPANY ID</v>
      </c>
      <c r="CC487" t="s">
        <v>1898</v>
      </c>
      <c r="CD487">
        <v>11023324</v>
      </c>
      <c r="CE487" t="s">
        <v>276</v>
      </c>
      <c r="CF487" s="11">
        <v>0</v>
      </c>
      <c r="CG487" s="9" t="str">
        <f>_xll.SNL.Clients.Office.Excel.Functions.SPG(CD487, "SP_COUNTRY_NAME")</f>
        <v>United Kingdom</v>
      </c>
      <c r="CL487" s="9" t="str">
        <f>_xll.SNL.Clients.Office.Excel.Functions.SPG(CI487, "SP_COUNTRY_NAME")</f>
        <v>#INVALID COMPANY ID</v>
      </c>
      <c r="CM487" t="s">
        <v>2117</v>
      </c>
      <c r="CN487">
        <v>4055176</v>
      </c>
      <c r="CO487" t="s">
        <v>346</v>
      </c>
      <c r="CP487" s="11">
        <v>0</v>
      </c>
      <c r="CQ487" s="9" t="str">
        <f>_xll.SNL.Clients.Office.Excel.Functions.SPG(CN487, "SP_COUNTRY_NAME")</f>
        <v>USA</v>
      </c>
      <c r="CV487" s="9" t="str">
        <f>_xll.SNL.Clients.Office.Excel.Functions.SPG(CS487, "SP_COUNTRY_NAME")</f>
        <v>#INVALID COMPANY ID</v>
      </c>
      <c r="DA487" s="9" t="str">
        <f>_xll.SNL.Clients.Office.Excel.Functions.SPG(CX487, "SP_COUNTRY_NAME")</f>
        <v>#INVALID COMPANY ID</v>
      </c>
      <c r="DB487" t="s">
        <v>1371</v>
      </c>
      <c r="DC487">
        <v>7789175</v>
      </c>
      <c r="DD487" t="s">
        <v>346</v>
      </c>
      <c r="DE487" s="11">
        <v>0</v>
      </c>
      <c r="DF487" s="9" t="str">
        <f>_xll.SNL.Clients.Office.Excel.Functions.SPG(DC487, "SP_COUNTRY_NAME")</f>
        <v>South Africa</v>
      </c>
      <c r="DK487" s="9" t="str">
        <f>_xll.SNL.Clients.Office.Excel.Functions.SPG(DH487, "SP_COUNTRY_NAME")</f>
        <v>#INVALID COMPANY ID</v>
      </c>
      <c r="DL487" t="s">
        <v>1371</v>
      </c>
      <c r="DM487">
        <v>7789175</v>
      </c>
      <c r="DN487" t="s">
        <v>346</v>
      </c>
      <c r="DO487" s="11">
        <v>0</v>
      </c>
      <c r="DP487" s="9" t="str">
        <f>_xll.SNL.Clients.Office.Excel.Functions.SPG(DM487, "SP_COUNTRY_NAME")</f>
        <v>South Africa</v>
      </c>
      <c r="DU487" s="9" t="str">
        <f>_xll.SNL.Clients.Office.Excel.Functions.SPG(DR487, "SP_COUNTRY_NAME")</f>
        <v>#INVALID COMPANY ID</v>
      </c>
      <c r="DZ487" s="9" t="str">
        <f>_xll.SNL.Clients.Office.Excel.Functions.SPG(DW487, "SP_COUNTRY_NAME")</f>
        <v>#INVALID COMPANY ID</v>
      </c>
      <c r="EA487" t="s">
        <v>1898</v>
      </c>
      <c r="EB487">
        <v>11023324</v>
      </c>
      <c r="EC487" t="s">
        <v>276</v>
      </c>
      <c r="ED487" s="11">
        <v>0</v>
      </c>
      <c r="EE487" s="9" t="str">
        <f>_xll.SNL.Clients.Office.Excel.Functions.SPG(EB487, "SP_COUNTRY_NAME")</f>
        <v>United Kingdom</v>
      </c>
      <c r="EF487" t="s">
        <v>1371</v>
      </c>
      <c r="EG487">
        <v>7789175</v>
      </c>
      <c r="EH487" t="s">
        <v>346</v>
      </c>
      <c r="EI487" s="11">
        <v>0</v>
      </c>
      <c r="EJ487" s="9" t="str">
        <f>_xll.SNL.Clients.Office.Excel.Functions.SPG(EG487, "SP_COUNTRY_NAME")</f>
        <v>South Africa</v>
      </c>
      <c r="EO487" s="9" t="str">
        <f>_xll.SNL.Clients.Office.Excel.Functions.SPG(EL487, "SP_COUNTRY_NAME")</f>
        <v>#INVALID COMPANY ID</v>
      </c>
      <c r="ET487" s="9" t="str">
        <f>_xll.SNL.Clients.Office.Excel.Functions.SPG(EQ487, "SP_COUNTRY_NAME")</f>
        <v>#INVALID COMPANY ID</v>
      </c>
      <c r="EY487" s="9" t="str">
        <f>_xll.SNL.Clients.Office.Excel.Functions.SPG(EV487, "SP_COUNTRY_NAME")</f>
        <v>#INVALID COMPANY ID</v>
      </c>
      <c r="FD487" s="9" t="str">
        <f>_xll.SNL.Clients.Office.Excel.Functions.SPG(FA487, "SP_COUNTRY_NAME")</f>
        <v>#INVALID COMPANY ID</v>
      </c>
      <c r="FI487" s="9" t="str">
        <f>_xll.SNL.Clients.Office.Excel.Functions.SPG(FF487, "SP_COUNTRY_NAME")</f>
        <v>#INVALID COMPANY ID</v>
      </c>
      <c r="FN487" s="9" t="str">
        <f>_xll.SNL.Clients.Office.Excel.Functions.SPG(FK487, "SP_COUNTRY_NAME")</f>
        <v>#INVALID COMPANY ID</v>
      </c>
      <c r="FS487" s="9" t="str">
        <f>_xll.SNL.Clients.Office.Excel.Functions.SPG(FP487, "SP_COUNTRY_NAME")</f>
        <v>#INVALID COMPANY ID</v>
      </c>
      <c r="FX487" s="9" t="str">
        <f>_xll.SNL.Clients.Office.Excel.Functions.SPG(FU487, "SP_COUNTRY_NAME")</f>
        <v>#INVALID COMPANY ID</v>
      </c>
      <c r="FY487" t="s">
        <v>1371</v>
      </c>
      <c r="FZ487">
        <v>7789175</v>
      </c>
      <c r="GA487" t="s">
        <v>346</v>
      </c>
      <c r="GB487" s="11">
        <v>0</v>
      </c>
      <c r="GC487" s="9" t="str">
        <f>_xll.SNL.Clients.Office.Excel.Functions.SPG(FZ487, "SP_COUNTRY_NAME")</f>
        <v>South Africa</v>
      </c>
      <c r="GH487" s="9" t="str">
        <f>_xll.SNL.Clients.Office.Excel.Functions.SPG(GE487, "SP_COUNTRY_NAME")</f>
        <v>#INVALID COMPANY ID</v>
      </c>
      <c r="GM487" s="9" t="str">
        <f>_xll.SNL.Clients.Office.Excel.Functions.SPG(GJ487, "SP_COUNTRY_NAME")</f>
        <v>#INVALID COMPANY ID</v>
      </c>
      <c r="GR487" s="9" t="str">
        <f>_xll.SNL.Clients.Office.Excel.Functions.SPG(GO487, "SP_COUNTRY_NAME")</f>
        <v>#INVALID COMPANY ID</v>
      </c>
      <c r="GW487" s="9" t="str">
        <f>_xll.SNL.Clients.Office.Excel.Functions.SPG(GT487, "SP_COUNTRY_NAME")</f>
        <v>#INVALID COMPANY ID</v>
      </c>
      <c r="GX487" t="s">
        <v>1898</v>
      </c>
      <c r="GY487">
        <v>11023324</v>
      </c>
      <c r="GZ487" t="s">
        <v>276</v>
      </c>
      <c r="HA487" s="11">
        <v>0</v>
      </c>
      <c r="HB487" s="9" t="str">
        <f>_xll.SNL.Clients.Office.Excel.Functions.SPG(GY487, "SP_COUNTRY_NAME")</f>
        <v>United Kingdom</v>
      </c>
      <c r="HG487" s="9" t="str">
        <f>_xll.SNL.Clients.Office.Excel.Functions.SPG(HD487, "SP_COUNTRY_NAME")</f>
        <v>#INVALID COMPANY ID</v>
      </c>
    </row>
    <row r="488" spans="5:215" x14ac:dyDescent="0.35">
      <c r="E488" s="9" t="str">
        <f>_xll.SNL.Clients.Office.Excel.Functions.SPG(B488, "SP_COUNTRY_NAME")</f>
        <v>#INVALID COMPANY ID</v>
      </c>
      <c r="J488" s="9" t="str">
        <f>_xll.SNL.Clients.Office.Excel.Functions.SPG(G488, "SP_COUNTRY_NAME")</f>
        <v>#INVALID COMPANY ID</v>
      </c>
      <c r="O488" s="9" t="str">
        <f>_xll.SNL.Clients.Office.Excel.Functions.SPG(L488, "SP_COUNTRY_NAME")</f>
        <v>#INVALID COMPANY ID</v>
      </c>
      <c r="T488" s="9" t="str">
        <f>_xll.SNL.Clients.Office.Excel.Functions.SPG(Q488, "SP_COUNTRY_NAME")</f>
        <v>#INVALID COMPANY ID</v>
      </c>
      <c r="Y488" s="9" t="str">
        <f>_xll.SNL.Clients.Office.Excel.Functions.SPG(V488, "SP_COUNTRY_NAME")</f>
        <v>#INVALID COMPANY ID</v>
      </c>
      <c r="AD488" s="9" t="str">
        <f>_xll.SNL.Clients.Office.Excel.Functions.SPG(AA488, "SP_COUNTRY_NAME")</f>
        <v>#INVALID COMPANY ID</v>
      </c>
      <c r="AI488" s="9" t="str">
        <f>_xll.SNL.Clients.Office.Excel.Functions.SPG(AF488, "SP_COUNTRY_NAME")</f>
        <v>#INVALID COMPANY ID</v>
      </c>
      <c r="AN488" s="9" t="str">
        <f>_xll.SNL.Clients.Office.Excel.Functions.SPG(AK488, "SP_COUNTRY_NAME")</f>
        <v>#INVALID COMPANY ID</v>
      </c>
      <c r="AS488" s="9" t="str">
        <f>_xll.SNL.Clients.Office.Excel.Functions.SPG(AP488, "SP_COUNTRY_NAME")</f>
        <v>#INVALID COMPANY ID</v>
      </c>
      <c r="AX488" s="9" t="str">
        <f>_xll.SNL.Clients.Office.Excel.Functions.SPG(AU488, "SP_COUNTRY_NAME")</f>
        <v>#INVALID COMPANY ID</v>
      </c>
      <c r="BC488" s="9" t="str">
        <f>_xll.SNL.Clients.Office.Excel.Functions.SPG(AZ488, "SP_COUNTRY_NAME")</f>
        <v>#INVALID COMPANY ID</v>
      </c>
      <c r="BD488" t="s">
        <v>601</v>
      </c>
      <c r="BE488">
        <v>5816131</v>
      </c>
      <c r="BF488" t="s">
        <v>346</v>
      </c>
      <c r="BG488" s="11">
        <v>0</v>
      </c>
      <c r="BH488" s="9" t="str">
        <f>_xll.SNL.Clients.Office.Excel.Functions.SPG(BE488, "SP_COUNTRY_NAME")</f>
        <v>USA</v>
      </c>
      <c r="BM488" s="9" t="str">
        <f>_xll.SNL.Clients.Office.Excel.Functions.SPG(BJ488, "SP_COUNTRY_NAME")</f>
        <v>#INVALID COMPANY ID</v>
      </c>
      <c r="BR488" s="9" t="str">
        <f>_xll.SNL.Clients.Office.Excel.Functions.SPG(BO488, "SP_COUNTRY_NAME")</f>
        <v>#INVALID COMPANY ID</v>
      </c>
      <c r="BS488" t="s">
        <v>671</v>
      </c>
      <c r="BT488">
        <v>5862433</v>
      </c>
      <c r="BU488" t="s">
        <v>346</v>
      </c>
      <c r="BV488" s="11">
        <v>0</v>
      </c>
      <c r="BW488" s="9" t="str">
        <f>_xll.SNL.Clients.Office.Excel.Functions.SPG(BT488, "SP_COUNTRY_NAME")</f>
        <v>Hong Kong</v>
      </c>
      <c r="CB488" s="9" t="str">
        <f>_xll.SNL.Clients.Office.Excel.Functions.SPG(BY488, "SP_COUNTRY_NAME")</f>
        <v>#INVALID COMPANY ID</v>
      </c>
      <c r="CC488" t="s">
        <v>1899</v>
      </c>
      <c r="CD488">
        <v>19067849</v>
      </c>
      <c r="CE488" t="s">
        <v>276</v>
      </c>
      <c r="CF488" s="11">
        <v>0</v>
      </c>
      <c r="CG488" s="9" t="str">
        <f>_xll.SNL.Clients.Office.Excel.Functions.SPG(CD488, "SP_COUNTRY_NAME")</f>
        <v>USA</v>
      </c>
      <c r="CL488" s="9" t="str">
        <f>_xll.SNL.Clients.Office.Excel.Functions.SPG(CI488, "SP_COUNTRY_NAME")</f>
        <v>#INVALID COMPANY ID</v>
      </c>
      <c r="CM488" t="s">
        <v>2118</v>
      </c>
      <c r="CN488">
        <v>4185730</v>
      </c>
      <c r="CO488" t="s">
        <v>346</v>
      </c>
      <c r="CP488" s="11">
        <v>0</v>
      </c>
      <c r="CQ488" s="9" t="str">
        <f>_xll.SNL.Clients.Office.Excel.Functions.SPG(CN488, "SP_COUNTRY_NAME")</f>
        <v>USA</v>
      </c>
      <c r="CV488" s="9" t="str">
        <f>_xll.SNL.Clients.Office.Excel.Functions.SPG(CS488, "SP_COUNTRY_NAME")</f>
        <v>#INVALID COMPANY ID</v>
      </c>
      <c r="DA488" s="9" t="str">
        <f>_xll.SNL.Clients.Office.Excel.Functions.SPG(CX488, "SP_COUNTRY_NAME")</f>
        <v>#INVALID COMPANY ID</v>
      </c>
      <c r="DB488" t="s">
        <v>601</v>
      </c>
      <c r="DC488">
        <v>5816131</v>
      </c>
      <c r="DD488" t="s">
        <v>346</v>
      </c>
      <c r="DE488" s="11">
        <v>0</v>
      </c>
      <c r="DF488" s="9" t="str">
        <f>_xll.SNL.Clients.Office.Excel.Functions.SPG(DC488, "SP_COUNTRY_NAME")</f>
        <v>USA</v>
      </c>
      <c r="DK488" s="9" t="str">
        <f>_xll.SNL.Clients.Office.Excel.Functions.SPG(DH488, "SP_COUNTRY_NAME")</f>
        <v>#INVALID COMPANY ID</v>
      </c>
      <c r="DL488" t="s">
        <v>601</v>
      </c>
      <c r="DM488">
        <v>5816131</v>
      </c>
      <c r="DN488" t="s">
        <v>346</v>
      </c>
      <c r="DO488" s="11">
        <v>0</v>
      </c>
      <c r="DP488" s="9" t="str">
        <f>_xll.SNL.Clients.Office.Excel.Functions.SPG(DM488, "SP_COUNTRY_NAME")</f>
        <v>USA</v>
      </c>
      <c r="DU488" s="9" t="str">
        <f>_xll.SNL.Clients.Office.Excel.Functions.SPG(DR488, "SP_COUNTRY_NAME")</f>
        <v>#INVALID COMPANY ID</v>
      </c>
      <c r="DZ488" s="9" t="str">
        <f>_xll.SNL.Clients.Office.Excel.Functions.SPG(DW488, "SP_COUNTRY_NAME")</f>
        <v>#INVALID COMPANY ID</v>
      </c>
      <c r="EA488" t="s">
        <v>1899</v>
      </c>
      <c r="EB488">
        <v>19067849</v>
      </c>
      <c r="EC488" t="s">
        <v>276</v>
      </c>
      <c r="ED488" s="11">
        <v>0</v>
      </c>
      <c r="EE488" s="9" t="str">
        <f>_xll.SNL.Clients.Office.Excel.Functions.SPG(EB488, "SP_COUNTRY_NAME")</f>
        <v>USA</v>
      </c>
      <c r="EF488" t="s">
        <v>601</v>
      </c>
      <c r="EG488">
        <v>5816131</v>
      </c>
      <c r="EH488" t="s">
        <v>346</v>
      </c>
      <c r="EI488" s="11">
        <v>0</v>
      </c>
      <c r="EJ488" s="9" t="str">
        <f>_xll.SNL.Clients.Office.Excel.Functions.SPG(EG488, "SP_COUNTRY_NAME")</f>
        <v>USA</v>
      </c>
      <c r="EO488" s="9" t="str">
        <f>_xll.SNL.Clients.Office.Excel.Functions.SPG(EL488, "SP_COUNTRY_NAME")</f>
        <v>#INVALID COMPANY ID</v>
      </c>
      <c r="ET488" s="9" t="str">
        <f>_xll.SNL.Clients.Office.Excel.Functions.SPG(EQ488, "SP_COUNTRY_NAME")</f>
        <v>#INVALID COMPANY ID</v>
      </c>
      <c r="EY488" s="9" t="str">
        <f>_xll.SNL.Clients.Office.Excel.Functions.SPG(EV488, "SP_COUNTRY_NAME")</f>
        <v>#INVALID COMPANY ID</v>
      </c>
      <c r="FD488" s="9" t="str">
        <f>_xll.SNL.Clients.Office.Excel.Functions.SPG(FA488, "SP_COUNTRY_NAME")</f>
        <v>#INVALID COMPANY ID</v>
      </c>
      <c r="FI488" s="9" t="str">
        <f>_xll.SNL.Clients.Office.Excel.Functions.SPG(FF488, "SP_COUNTRY_NAME")</f>
        <v>#INVALID COMPANY ID</v>
      </c>
      <c r="FN488" s="9" t="str">
        <f>_xll.SNL.Clients.Office.Excel.Functions.SPG(FK488, "SP_COUNTRY_NAME")</f>
        <v>#INVALID COMPANY ID</v>
      </c>
      <c r="FS488" s="9" t="str">
        <f>_xll.SNL.Clients.Office.Excel.Functions.SPG(FP488, "SP_COUNTRY_NAME")</f>
        <v>#INVALID COMPANY ID</v>
      </c>
      <c r="FX488" s="9" t="str">
        <f>_xll.SNL.Clients.Office.Excel.Functions.SPG(FU488, "SP_COUNTRY_NAME")</f>
        <v>#INVALID COMPANY ID</v>
      </c>
      <c r="FY488" t="s">
        <v>601</v>
      </c>
      <c r="FZ488">
        <v>5816131</v>
      </c>
      <c r="GA488" t="s">
        <v>346</v>
      </c>
      <c r="GB488" s="11">
        <v>0</v>
      </c>
      <c r="GC488" s="9" t="str">
        <f>_xll.SNL.Clients.Office.Excel.Functions.SPG(FZ488, "SP_COUNTRY_NAME")</f>
        <v>USA</v>
      </c>
      <c r="GH488" s="9" t="str">
        <f>_xll.SNL.Clients.Office.Excel.Functions.SPG(GE488, "SP_COUNTRY_NAME")</f>
        <v>#INVALID COMPANY ID</v>
      </c>
      <c r="GM488" s="9" t="str">
        <f>_xll.SNL.Clients.Office.Excel.Functions.SPG(GJ488, "SP_COUNTRY_NAME")</f>
        <v>#INVALID COMPANY ID</v>
      </c>
      <c r="GR488" s="9" t="str">
        <f>_xll.SNL.Clients.Office.Excel.Functions.SPG(GO488, "SP_COUNTRY_NAME")</f>
        <v>#INVALID COMPANY ID</v>
      </c>
      <c r="GW488" s="9" t="str">
        <f>_xll.SNL.Clients.Office.Excel.Functions.SPG(GT488, "SP_COUNTRY_NAME")</f>
        <v>#INVALID COMPANY ID</v>
      </c>
      <c r="GX488" t="s">
        <v>1899</v>
      </c>
      <c r="GY488">
        <v>19067849</v>
      </c>
      <c r="GZ488" t="s">
        <v>276</v>
      </c>
      <c r="HA488" s="11">
        <v>0</v>
      </c>
      <c r="HB488" s="9" t="str">
        <f>_xll.SNL.Clients.Office.Excel.Functions.SPG(GY488, "SP_COUNTRY_NAME")</f>
        <v>USA</v>
      </c>
      <c r="HG488" s="9" t="str">
        <f>_xll.SNL.Clients.Office.Excel.Functions.SPG(HD488, "SP_COUNTRY_NAME")</f>
        <v>#INVALID COMPANY ID</v>
      </c>
    </row>
    <row r="489" spans="5:215" x14ac:dyDescent="0.35">
      <c r="E489" s="9" t="str">
        <f>_xll.SNL.Clients.Office.Excel.Functions.SPG(B489, "SP_COUNTRY_NAME")</f>
        <v>#INVALID COMPANY ID</v>
      </c>
      <c r="J489" s="9" t="str">
        <f>_xll.SNL.Clients.Office.Excel.Functions.SPG(G489, "SP_COUNTRY_NAME")</f>
        <v>#INVALID COMPANY ID</v>
      </c>
      <c r="O489" s="9" t="str">
        <f>_xll.SNL.Clients.Office.Excel.Functions.SPG(L489, "SP_COUNTRY_NAME")</f>
        <v>#INVALID COMPANY ID</v>
      </c>
      <c r="T489" s="9" t="str">
        <f>_xll.SNL.Clients.Office.Excel.Functions.SPG(Q489, "SP_COUNTRY_NAME")</f>
        <v>#INVALID COMPANY ID</v>
      </c>
      <c r="Y489" s="9" t="str">
        <f>_xll.SNL.Clients.Office.Excel.Functions.SPG(V489, "SP_COUNTRY_NAME")</f>
        <v>#INVALID COMPANY ID</v>
      </c>
      <c r="AD489" s="9" t="str">
        <f>_xll.SNL.Clients.Office.Excel.Functions.SPG(AA489, "SP_COUNTRY_NAME")</f>
        <v>#INVALID COMPANY ID</v>
      </c>
      <c r="AI489" s="9" t="str">
        <f>_xll.SNL.Clients.Office.Excel.Functions.SPG(AF489, "SP_COUNTRY_NAME")</f>
        <v>#INVALID COMPANY ID</v>
      </c>
      <c r="AN489" s="9" t="str">
        <f>_xll.SNL.Clients.Office.Excel.Functions.SPG(AK489, "SP_COUNTRY_NAME")</f>
        <v>#INVALID COMPANY ID</v>
      </c>
      <c r="AS489" s="9" t="str">
        <f>_xll.SNL.Clients.Office.Excel.Functions.SPG(AP489, "SP_COUNTRY_NAME")</f>
        <v>#INVALID COMPANY ID</v>
      </c>
      <c r="AX489" s="9" t="str">
        <f>_xll.SNL.Clients.Office.Excel.Functions.SPG(AU489, "SP_COUNTRY_NAME")</f>
        <v>#INVALID COMPANY ID</v>
      </c>
      <c r="BC489" s="9" t="str">
        <f>_xll.SNL.Clients.Office.Excel.Functions.SPG(AZ489, "SP_COUNTRY_NAME")</f>
        <v>#INVALID COMPANY ID</v>
      </c>
      <c r="BD489" t="s">
        <v>1372</v>
      </c>
      <c r="BE489">
        <v>5869594</v>
      </c>
      <c r="BF489" t="s">
        <v>346</v>
      </c>
      <c r="BG489" s="11">
        <v>0</v>
      </c>
      <c r="BH489" s="9" t="str">
        <f>_xll.SNL.Clients.Office.Excel.Functions.SPG(BE489, "SP_COUNTRY_NAME")</f>
        <v>South Africa</v>
      </c>
      <c r="BM489" s="9" t="str">
        <f>_xll.SNL.Clients.Office.Excel.Functions.SPG(BJ489, "SP_COUNTRY_NAME")</f>
        <v>#INVALID COMPANY ID</v>
      </c>
      <c r="BR489" s="9" t="str">
        <f>_xll.SNL.Clients.Office.Excel.Functions.SPG(BO489, "SP_COUNTRY_NAME")</f>
        <v>#INVALID COMPANY ID</v>
      </c>
      <c r="BS489" t="s">
        <v>438</v>
      </c>
      <c r="BT489">
        <v>4040817</v>
      </c>
      <c r="BU489" t="s">
        <v>364</v>
      </c>
      <c r="BV489" s="11">
        <v>0</v>
      </c>
      <c r="BW489" s="9" t="str">
        <f>_xll.SNL.Clients.Office.Excel.Functions.SPG(BT489, "SP_COUNTRY_NAME")</f>
        <v>United Kingdom</v>
      </c>
      <c r="CB489" s="9" t="str">
        <f>_xll.SNL.Clients.Office.Excel.Functions.SPG(BY489, "SP_COUNTRY_NAME")</f>
        <v>#INVALID COMPANY ID</v>
      </c>
      <c r="CC489" t="s">
        <v>1900</v>
      </c>
      <c r="CD489">
        <v>6723443</v>
      </c>
      <c r="CE489" t="s">
        <v>346</v>
      </c>
      <c r="CF489" s="11">
        <v>0</v>
      </c>
      <c r="CG489" s="9" t="str">
        <f>_xll.SNL.Clients.Office.Excel.Functions.SPG(CD489, "SP_COUNTRY_NAME")</f>
        <v>Canada</v>
      </c>
      <c r="CL489" s="9" t="str">
        <f>_xll.SNL.Clients.Office.Excel.Functions.SPG(CI489, "SP_COUNTRY_NAME")</f>
        <v>#INVALID COMPANY ID</v>
      </c>
      <c r="CM489" t="s">
        <v>2119</v>
      </c>
      <c r="CN489">
        <v>116253511</v>
      </c>
      <c r="CO489" t="s">
        <v>346</v>
      </c>
      <c r="CP489" s="11">
        <v>0</v>
      </c>
      <c r="CQ489" s="9" t="str">
        <f>_xll.SNL.Clients.Office.Excel.Functions.SPG(CN489, "SP_COUNTRY_NAME")</f>
        <v>USA</v>
      </c>
      <c r="CV489" s="9" t="str">
        <f>_xll.SNL.Clients.Office.Excel.Functions.SPG(CS489, "SP_COUNTRY_NAME")</f>
        <v>#INVALID COMPANY ID</v>
      </c>
      <c r="DA489" s="9" t="str">
        <f>_xll.SNL.Clients.Office.Excel.Functions.SPG(CX489, "SP_COUNTRY_NAME")</f>
        <v>#INVALID COMPANY ID</v>
      </c>
      <c r="DB489" t="s">
        <v>1372</v>
      </c>
      <c r="DC489">
        <v>5869594</v>
      </c>
      <c r="DD489" t="s">
        <v>346</v>
      </c>
      <c r="DE489" s="11">
        <v>0</v>
      </c>
      <c r="DF489" s="9" t="str">
        <f>_xll.SNL.Clients.Office.Excel.Functions.SPG(DC489, "SP_COUNTRY_NAME")</f>
        <v>South Africa</v>
      </c>
      <c r="DK489" s="9" t="str">
        <f>_xll.SNL.Clients.Office.Excel.Functions.SPG(DH489, "SP_COUNTRY_NAME")</f>
        <v>#INVALID COMPANY ID</v>
      </c>
      <c r="DL489" t="s">
        <v>1372</v>
      </c>
      <c r="DM489">
        <v>5869594</v>
      </c>
      <c r="DN489" t="s">
        <v>346</v>
      </c>
      <c r="DO489" s="11">
        <v>0</v>
      </c>
      <c r="DP489" s="9" t="str">
        <f>_xll.SNL.Clients.Office.Excel.Functions.SPG(DM489, "SP_COUNTRY_NAME")</f>
        <v>South Africa</v>
      </c>
      <c r="DU489" s="9" t="str">
        <f>_xll.SNL.Clients.Office.Excel.Functions.SPG(DR489, "SP_COUNTRY_NAME")</f>
        <v>#INVALID COMPANY ID</v>
      </c>
      <c r="DZ489" s="9" t="str">
        <f>_xll.SNL.Clients.Office.Excel.Functions.SPG(DW489, "SP_COUNTRY_NAME")</f>
        <v>#INVALID COMPANY ID</v>
      </c>
      <c r="EA489" t="s">
        <v>1900</v>
      </c>
      <c r="EB489">
        <v>6723443</v>
      </c>
      <c r="EC489" t="s">
        <v>346</v>
      </c>
      <c r="ED489" s="11">
        <v>0</v>
      </c>
      <c r="EE489" s="9" t="str">
        <f>_xll.SNL.Clients.Office.Excel.Functions.SPG(EB489, "SP_COUNTRY_NAME")</f>
        <v>Canada</v>
      </c>
      <c r="EF489" t="s">
        <v>1372</v>
      </c>
      <c r="EG489">
        <v>5869594</v>
      </c>
      <c r="EH489" t="s">
        <v>346</v>
      </c>
      <c r="EI489" s="11">
        <v>0</v>
      </c>
      <c r="EJ489" s="9" t="str">
        <f>_xll.SNL.Clients.Office.Excel.Functions.SPG(EG489, "SP_COUNTRY_NAME")</f>
        <v>South Africa</v>
      </c>
      <c r="EO489" s="9" t="str">
        <f>_xll.SNL.Clients.Office.Excel.Functions.SPG(EL489, "SP_COUNTRY_NAME")</f>
        <v>#INVALID COMPANY ID</v>
      </c>
      <c r="ET489" s="9" t="str">
        <f>_xll.SNL.Clients.Office.Excel.Functions.SPG(EQ489, "SP_COUNTRY_NAME")</f>
        <v>#INVALID COMPANY ID</v>
      </c>
      <c r="EY489" s="9" t="str">
        <f>_xll.SNL.Clients.Office.Excel.Functions.SPG(EV489, "SP_COUNTRY_NAME")</f>
        <v>#INVALID COMPANY ID</v>
      </c>
      <c r="FD489" s="9" t="str">
        <f>_xll.SNL.Clients.Office.Excel.Functions.SPG(FA489, "SP_COUNTRY_NAME")</f>
        <v>#INVALID COMPANY ID</v>
      </c>
      <c r="FI489" s="9" t="str">
        <f>_xll.SNL.Clients.Office.Excel.Functions.SPG(FF489, "SP_COUNTRY_NAME")</f>
        <v>#INVALID COMPANY ID</v>
      </c>
      <c r="FN489" s="9" t="str">
        <f>_xll.SNL.Clients.Office.Excel.Functions.SPG(FK489, "SP_COUNTRY_NAME")</f>
        <v>#INVALID COMPANY ID</v>
      </c>
      <c r="FS489" s="9" t="str">
        <f>_xll.SNL.Clients.Office.Excel.Functions.SPG(FP489, "SP_COUNTRY_NAME")</f>
        <v>#INVALID COMPANY ID</v>
      </c>
      <c r="FX489" s="9" t="str">
        <f>_xll.SNL.Clients.Office.Excel.Functions.SPG(FU489, "SP_COUNTRY_NAME")</f>
        <v>#INVALID COMPANY ID</v>
      </c>
      <c r="FY489" t="s">
        <v>1372</v>
      </c>
      <c r="FZ489">
        <v>5869594</v>
      </c>
      <c r="GA489" t="s">
        <v>346</v>
      </c>
      <c r="GB489" s="11">
        <v>0</v>
      </c>
      <c r="GC489" s="9" t="str">
        <f>_xll.SNL.Clients.Office.Excel.Functions.SPG(FZ489, "SP_COUNTRY_NAME")</f>
        <v>South Africa</v>
      </c>
      <c r="GH489" s="9" t="str">
        <f>_xll.SNL.Clients.Office.Excel.Functions.SPG(GE489, "SP_COUNTRY_NAME")</f>
        <v>#INVALID COMPANY ID</v>
      </c>
      <c r="GM489" s="9" t="str">
        <f>_xll.SNL.Clients.Office.Excel.Functions.SPG(GJ489, "SP_COUNTRY_NAME")</f>
        <v>#INVALID COMPANY ID</v>
      </c>
      <c r="GR489" s="9" t="str">
        <f>_xll.SNL.Clients.Office.Excel.Functions.SPG(GO489, "SP_COUNTRY_NAME")</f>
        <v>#INVALID COMPANY ID</v>
      </c>
      <c r="GW489" s="9" t="str">
        <f>_xll.SNL.Clients.Office.Excel.Functions.SPG(GT489, "SP_COUNTRY_NAME")</f>
        <v>#INVALID COMPANY ID</v>
      </c>
      <c r="GX489" t="s">
        <v>1900</v>
      </c>
      <c r="GY489">
        <v>6723443</v>
      </c>
      <c r="GZ489" t="s">
        <v>346</v>
      </c>
      <c r="HA489" s="11">
        <v>0</v>
      </c>
      <c r="HB489" s="9" t="str">
        <f>_xll.SNL.Clients.Office.Excel.Functions.SPG(GY489, "SP_COUNTRY_NAME")</f>
        <v>Canada</v>
      </c>
      <c r="HG489" s="9" t="str">
        <f>_xll.SNL.Clients.Office.Excel.Functions.SPG(HD489, "SP_COUNTRY_NAME")</f>
        <v>#INVALID COMPANY ID</v>
      </c>
    </row>
    <row r="490" spans="5:215" x14ac:dyDescent="0.35">
      <c r="E490" s="9" t="str">
        <f>_xll.SNL.Clients.Office.Excel.Functions.SPG(B490, "SP_COUNTRY_NAME")</f>
        <v>#INVALID COMPANY ID</v>
      </c>
      <c r="J490" s="9" t="str">
        <f>_xll.SNL.Clients.Office.Excel.Functions.SPG(G490, "SP_COUNTRY_NAME")</f>
        <v>#INVALID COMPANY ID</v>
      </c>
      <c r="O490" s="9" t="str">
        <f>_xll.SNL.Clients.Office.Excel.Functions.SPG(L490, "SP_COUNTRY_NAME")</f>
        <v>#INVALID COMPANY ID</v>
      </c>
      <c r="T490" s="9" t="str">
        <f>_xll.SNL.Clients.Office.Excel.Functions.SPG(Q490, "SP_COUNTRY_NAME")</f>
        <v>#INVALID COMPANY ID</v>
      </c>
      <c r="Y490" s="9" t="str">
        <f>_xll.SNL.Clients.Office.Excel.Functions.SPG(V490, "SP_COUNTRY_NAME")</f>
        <v>#INVALID COMPANY ID</v>
      </c>
      <c r="AD490" s="9" t="str">
        <f>_xll.SNL.Clients.Office.Excel.Functions.SPG(AA490, "SP_COUNTRY_NAME")</f>
        <v>#INVALID COMPANY ID</v>
      </c>
      <c r="AI490" s="9" t="str">
        <f>_xll.SNL.Clients.Office.Excel.Functions.SPG(AF490, "SP_COUNTRY_NAME")</f>
        <v>#INVALID COMPANY ID</v>
      </c>
      <c r="AN490" s="9" t="str">
        <f>_xll.SNL.Clients.Office.Excel.Functions.SPG(AK490, "SP_COUNTRY_NAME")</f>
        <v>#INVALID COMPANY ID</v>
      </c>
      <c r="AS490" s="9" t="str">
        <f>_xll.SNL.Clients.Office.Excel.Functions.SPG(AP490, "SP_COUNTRY_NAME")</f>
        <v>#INVALID COMPANY ID</v>
      </c>
      <c r="AX490" s="9" t="str">
        <f>_xll.SNL.Clients.Office.Excel.Functions.SPG(AU490, "SP_COUNTRY_NAME")</f>
        <v>#INVALID COMPANY ID</v>
      </c>
      <c r="BC490" s="9" t="str">
        <f>_xll.SNL.Clients.Office.Excel.Functions.SPG(AZ490, "SP_COUNTRY_NAME")</f>
        <v>#INVALID COMPANY ID</v>
      </c>
      <c r="BD490" t="s">
        <v>606</v>
      </c>
      <c r="BE490">
        <v>10346719</v>
      </c>
      <c r="BF490" t="s">
        <v>346</v>
      </c>
      <c r="BG490" s="11">
        <v>0</v>
      </c>
      <c r="BH490" s="9" t="str">
        <f>_xll.SNL.Clients.Office.Excel.Functions.SPG(BE490, "SP_COUNTRY_NAME")</f>
        <v>United Kingdom</v>
      </c>
      <c r="BM490" s="9" t="str">
        <f>_xll.SNL.Clients.Office.Excel.Functions.SPG(BJ490, "SP_COUNTRY_NAME")</f>
        <v>#INVALID COMPANY ID</v>
      </c>
      <c r="BR490" s="9" t="str">
        <f>_xll.SNL.Clients.Office.Excel.Functions.SPG(BO490, "SP_COUNTRY_NAME")</f>
        <v>#INVALID COMPANY ID</v>
      </c>
      <c r="BS490" t="s">
        <v>1098</v>
      </c>
      <c r="BT490">
        <v>4119219</v>
      </c>
      <c r="BU490" t="s">
        <v>346</v>
      </c>
      <c r="BV490" s="11">
        <v>0</v>
      </c>
      <c r="BW490" s="9" t="str">
        <f>_xll.SNL.Clients.Office.Excel.Functions.SPG(BT490, "SP_COUNTRY_NAME")</f>
        <v>USA</v>
      </c>
      <c r="CB490" s="9" t="str">
        <f>_xll.SNL.Clients.Office.Excel.Functions.SPG(BY490, "SP_COUNTRY_NAME")</f>
        <v>#INVALID COMPANY ID</v>
      </c>
      <c r="CC490" t="s">
        <v>1901</v>
      </c>
      <c r="CD490">
        <v>4283610</v>
      </c>
      <c r="CE490" t="s">
        <v>346</v>
      </c>
      <c r="CF490" s="11">
        <v>0</v>
      </c>
      <c r="CG490" s="9" t="str">
        <f>_xll.SNL.Clients.Office.Excel.Functions.SPG(CD490, "SP_COUNTRY_NAME")</f>
        <v>USA</v>
      </c>
      <c r="CL490" s="9" t="str">
        <f>_xll.SNL.Clients.Office.Excel.Functions.SPG(CI490, "SP_COUNTRY_NAME")</f>
        <v>#INVALID COMPANY ID</v>
      </c>
      <c r="CM490" t="s">
        <v>2120</v>
      </c>
      <c r="CN490">
        <v>4118027</v>
      </c>
      <c r="CO490" t="s">
        <v>346</v>
      </c>
      <c r="CP490" s="11">
        <v>0</v>
      </c>
      <c r="CQ490" s="9" t="str">
        <f>_xll.SNL.Clients.Office.Excel.Functions.SPG(CN490, "SP_COUNTRY_NAME")</f>
        <v>USA</v>
      </c>
      <c r="CV490" s="9" t="str">
        <f>_xll.SNL.Clients.Office.Excel.Functions.SPG(CS490, "SP_COUNTRY_NAME")</f>
        <v>#INVALID COMPANY ID</v>
      </c>
      <c r="DA490" s="9" t="str">
        <f>_xll.SNL.Clients.Office.Excel.Functions.SPG(CX490, "SP_COUNTRY_NAME")</f>
        <v>#INVALID COMPANY ID</v>
      </c>
      <c r="DB490" t="s">
        <v>606</v>
      </c>
      <c r="DC490">
        <v>10346719</v>
      </c>
      <c r="DD490" t="s">
        <v>346</v>
      </c>
      <c r="DE490" s="11">
        <v>0</v>
      </c>
      <c r="DF490" s="9" t="str">
        <f>_xll.SNL.Clients.Office.Excel.Functions.SPG(DC490, "SP_COUNTRY_NAME")</f>
        <v>United Kingdom</v>
      </c>
      <c r="DK490" s="9" t="str">
        <f>_xll.SNL.Clients.Office.Excel.Functions.SPG(DH490, "SP_COUNTRY_NAME")</f>
        <v>#INVALID COMPANY ID</v>
      </c>
      <c r="DL490" t="s">
        <v>606</v>
      </c>
      <c r="DM490">
        <v>10346719</v>
      </c>
      <c r="DN490" t="s">
        <v>346</v>
      </c>
      <c r="DO490" s="11">
        <v>0</v>
      </c>
      <c r="DP490" s="9" t="str">
        <f>_xll.SNL.Clients.Office.Excel.Functions.SPG(DM490, "SP_COUNTRY_NAME")</f>
        <v>United Kingdom</v>
      </c>
      <c r="DU490" s="9" t="str">
        <f>_xll.SNL.Clients.Office.Excel.Functions.SPG(DR490, "SP_COUNTRY_NAME")</f>
        <v>#INVALID COMPANY ID</v>
      </c>
      <c r="DZ490" s="9" t="str">
        <f>_xll.SNL.Clients.Office.Excel.Functions.SPG(DW490, "SP_COUNTRY_NAME")</f>
        <v>#INVALID COMPANY ID</v>
      </c>
      <c r="EA490" t="s">
        <v>1901</v>
      </c>
      <c r="EB490">
        <v>4283610</v>
      </c>
      <c r="EC490" t="s">
        <v>346</v>
      </c>
      <c r="ED490" s="11">
        <v>0</v>
      </c>
      <c r="EE490" s="9" t="str">
        <f>_xll.SNL.Clients.Office.Excel.Functions.SPG(EB490, "SP_COUNTRY_NAME")</f>
        <v>USA</v>
      </c>
      <c r="EF490" t="s">
        <v>606</v>
      </c>
      <c r="EG490">
        <v>10346719</v>
      </c>
      <c r="EH490" t="s">
        <v>346</v>
      </c>
      <c r="EI490" s="11">
        <v>0</v>
      </c>
      <c r="EJ490" s="9" t="str">
        <f>_xll.SNL.Clients.Office.Excel.Functions.SPG(EG490, "SP_COUNTRY_NAME")</f>
        <v>United Kingdom</v>
      </c>
      <c r="EO490" s="9" t="str">
        <f>_xll.SNL.Clients.Office.Excel.Functions.SPG(EL490, "SP_COUNTRY_NAME")</f>
        <v>#INVALID COMPANY ID</v>
      </c>
      <c r="ET490" s="9" t="str">
        <f>_xll.SNL.Clients.Office.Excel.Functions.SPG(EQ490, "SP_COUNTRY_NAME")</f>
        <v>#INVALID COMPANY ID</v>
      </c>
      <c r="EY490" s="9" t="str">
        <f>_xll.SNL.Clients.Office.Excel.Functions.SPG(EV490, "SP_COUNTRY_NAME")</f>
        <v>#INVALID COMPANY ID</v>
      </c>
      <c r="FD490" s="9" t="str">
        <f>_xll.SNL.Clients.Office.Excel.Functions.SPG(FA490, "SP_COUNTRY_NAME")</f>
        <v>#INVALID COMPANY ID</v>
      </c>
      <c r="FI490" s="9" t="str">
        <f>_xll.SNL.Clients.Office.Excel.Functions.SPG(FF490, "SP_COUNTRY_NAME")</f>
        <v>#INVALID COMPANY ID</v>
      </c>
      <c r="FN490" s="9" t="str">
        <f>_xll.SNL.Clients.Office.Excel.Functions.SPG(FK490, "SP_COUNTRY_NAME")</f>
        <v>#INVALID COMPANY ID</v>
      </c>
      <c r="FS490" s="9" t="str">
        <f>_xll.SNL.Clients.Office.Excel.Functions.SPG(FP490, "SP_COUNTRY_NAME")</f>
        <v>#INVALID COMPANY ID</v>
      </c>
      <c r="FX490" s="9" t="str">
        <f>_xll.SNL.Clients.Office.Excel.Functions.SPG(FU490, "SP_COUNTRY_NAME")</f>
        <v>#INVALID COMPANY ID</v>
      </c>
      <c r="FY490" t="s">
        <v>606</v>
      </c>
      <c r="FZ490">
        <v>10346719</v>
      </c>
      <c r="GA490" t="s">
        <v>346</v>
      </c>
      <c r="GB490" s="11">
        <v>0</v>
      </c>
      <c r="GC490" s="9" t="str">
        <f>_xll.SNL.Clients.Office.Excel.Functions.SPG(FZ490, "SP_COUNTRY_NAME")</f>
        <v>United Kingdom</v>
      </c>
      <c r="GH490" s="9" t="str">
        <f>_xll.SNL.Clients.Office.Excel.Functions.SPG(GE490, "SP_COUNTRY_NAME")</f>
        <v>#INVALID COMPANY ID</v>
      </c>
      <c r="GM490" s="9" t="str">
        <f>_xll.SNL.Clients.Office.Excel.Functions.SPG(GJ490, "SP_COUNTRY_NAME")</f>
        <v>#INVALID COMPANY ID</v>
      </c>
      <c r="GR490" s="9" t="str">
        <f>_xll.SNL.Clients.Office.Excel.Functions.SPG(GO490, "SP_COUNTRY_NAME")</f>
        <v>#INVALID COMPANY ID</v>
      </c>
      <c r="GW490" s="9" t="str">
        <f>_xll.SNL.Clients.Office.Excel.Functions.SPG(GT490, "SP_COUNTRY_NAME")</f>
        <v>#INVALID COMPANY ID</v>
      </c>
      <c r="GX490" t="s">
        <v>1901</v>
      </c>
      <c r="GY490">
        <v>4283610</v>
      </c>
      <c r="GZ490" t="s">
        <v>346</v>
      </c>
      <c r="HA490" s="11">
        <v>0</v>
      </c>
      <c r="HB490" s="9" t="str">
        <f>_xll.SNL.Clients.Office.Excel.Functions.SPG(GY490, "SP_COUNTRY_NAME")</f>
        <v>USA</v>
      </c>
      <c r="HG490" s="9" t="str">
        <f>_xll.SNL.Clients.Office.Excel.Functions.SPG(HD490, "SP_COUNTRY_NAME")</f>
        <v>#INVALID COMPANY ID</v>
      </c>
    </row>
    <row r="491" spans="5:215" x14ac:dyDescent="0.35">
      <c r="E491" s="9" t="str">
        <f>_xll.SNL.Clients.Office.Excel.Functions.SPG(B491, "SP_COUNTRY_NAME")</f>
        <v>#INVALID COMPANY ID</v>
      </c>
      <c r="J491" s="9" t="str">
        <f>_xll.SNL.Clients.Office.Excel.Functions.SPG(G491, "SP_COUNTRY_NAME")</f>
        <v>#INVALID COMPANY ID</v>
      </c>
      <c r="O491" s="9" t="str">
        <f>_xll.SNL.Clients.Office.Excel.Functions.SPG(L491, "SP_COUNTRY_NAME")</f>
        <v>#INVALID COMPANY ID</v>
      </c>
      <c r="T491" s="9" t="str">
        <f>_xll.SNL.Clients.Office.Excel.Functions.SPG(Q491, "SP_COUNTRY_NAME")</f>
        <v>#INVALID COMPANY ID</v>
      </c>
      <c r="Y491" s="9" t="str">
        <f>_xll.SNL.Clients.Office.Excel.Functions.SPG(V491, "SP_COUNTRY_NAME")</f>
        <v>#INVALID COMPANY ID</v>
      </c>
      <c r="AD491" s="9" t="str">
        <f>_xll.SNL.Clients.Office.Excel.Functions.SPG(AA491, "SP_COUNTRY_NAME")</f>
        <v>#INVALID COMPANY ID</v>
      </c>
      <c r="AI491" s="9" t="str">
        <f>_xll.SNL.Clients.Office.Excel.Functions.SPG(AF491, "SP_COUNTRY_NAME")</f>
        <v>#INVALID COMPANY ID</v>
      </c>
      <c r="AN491" s="9" t="str">
        <f>_xll.SNL.Clients.Office.Excel.Functions.SPG(AK491, "SP_COUNTRY_NAME")</f>
        <v>#INVALID COMPANY ID</v>
      </c>
      <c r="AS491" s="9" t="str">
        <f>_xll.SNL.Clients.Office.Excel.Functions.SPG(AP491, "SP_COUNTRY_NAME")</f>
        <v>#INVALID COMPANY ID</v>
      </c>
      <c r="AX491" s="9" t="str">
        <f>_xll.SNL.Clients.Office.Excel.Functions.SPG(AU491, "SP_COUNTRY_NAME")</f>
        <v>#INVALID COMPANY ID</v>
      </c>
      <c r="BC491" s="9" t="str">
        <f>_xll.SNL.Clients.Office.Excel.Functions.SPG(AZ491, "SP_COUNTRY_NAME")</f>
        <v>#INVALID COMPANY ID</v>
      </c>
      <c r="BD491" t="s">
        <v>581</v>
      </c>
      <c r="BE491">
        <v>115732953</v>
      </c>
      <c r="BF491" t="s">
        <v>346</v>
      </c>
      <c r="BG491" s="11">
        <v>0</v>
      </c>
      <c r="BH491" s="9" t="str">
        <f>_xll.SNL.Clients.Office.Excel.Functions.SPG(BE491, "SP_COUNTRY_NAME")</f>
        <v>Germany</v>
      </c>
      <c r="BM491" s="9" t="str">
        <f>_xll.SNL.Clients.Office.Excel.Functions.SPG(BJ491, "SP_COUNTRY_NAME")</f>
        <v>#INVALID COMPANY ID</v>
      </c>
      <c r="BR491" s="9" t="str">
        <f>_xll.SNL.Clients.Office.Excel.Functions.SPG(BO491, "SP_COUNTRY_NAME")</f>
        <v>#INVALID COMPANY ID</v>
      </c>
      <c r="BS491" t="s">
        <v>1099</v>
      </c>
      <c r="BT491">
        <v>14467004</v>
      </c>
      <c r="BU491" t="s">
        <v>346</v>
      </c>
      <c r="BV491" s="11">
        <v>0</v>
      </c>
      <c r="BW491" s="9" t="str">
        <f>_xll.SNL.Clients.Office.Excel.Functions.SPG(BT491, "SP_COUNTRY_NAME")</f>
        <v>Hong Kong</v>
      </c>
      <c r="CB491" s="9" t="str">
        <f>_xll.SNL.Clients.Office.Excel.Functions.SPG(BY491, "SP_COUNTRY_NAME")</f>
        <v>#INVALID COMPANY ID</v>
      </c>
      <c r="CC491" t="s">
        <v>860</v>
      </c>
      <c r="CD491">
        <v>110879</v>
      </c>
      <c r="CE491" t="s">
        <v>346</v>
      </c>
      <c r="CF491" s="11">
        <v>0</v>
      </c>
      <c r="CG491" s="9" t="str">
        <f>_xll.SNL.Clients.Office.Excel.Functions.SPG(CD491, "SP_COUNTRY_NAME")</f>
        <v>USA</v>
      </c>
      <c r="CL491" s="9" t="str">
        <f>_xll.SNL.Clients.Office.Excel.Functions.SPG(CI491, "SP_COUNTRY_NAME")</f>
        <v>#INVALID COMPANY ID</v>
      </c>
      <c r="CM491" t="s">
        <v>2121</v>
      </c>
      <c r="CN491">
        <v>106567132</v>
      </c>
      <c r="CO491" t="s">
        <v>346</v>
      </c>
      <c r="CP491" s="11">
        <v>0</v>
      </c>
      <c r="CQ491" s="9" t="str">
        <f>_xll.SNL.Clients.Office.Excel.Functions.SPG(CN491, "SP_COUNTRY_NAME")</f>
        <v>USA</v>
      </c>
      <c r="CV491" s="9" t="str">
        <f>_xll.SNL.Clients.Office.Excel.Functions.SPG(CS491, "SP_COUNTRY_NAME")</f>
        <v>#INVALID COMPANY ID</v>
      </c>
      <c r="DA491" s="9" t="str">
        <f>_xll.SNL.Clients.Office.Excel.Functions.SPG(CX491, "SP_COUNTRY_NAME")</f>
        <v>#INVALID COMPANY ID</v>
      </c>
      <c r="DB491" t="s">
        <v>581</v>
      </c>
      <c r="DC491">
        <v>115732953</v>
      </c>
      <c r="DD491" t="s">
        <v>346</v>
      </c>
      <c r="DE491" s="11">
        <v>0</v>
      </c>
      <c r="DF491" s="9" t="str">
        <f>_xll.SNL.Clients.Office.Excel.Functions.SPG(DC491, "SP_COUNTRY_NAME")</f>
        <v>Germany</v>
      </c>
      <c r="DK491" s="9" t="str">
        <f>_xll.SNL.Clients.Office.Excel.Functions.SPG(DH491, "SP_COUNTRY_NAME")</f>
        <v>#INVALID COMPANY ID</v>
      </c>
      <c r="DL491" t="s">
        <v>581</v>
      </c>
      <c r="DM491">
        <v>115732953</v>
      </c>
      <c r="DN491" t="s">
        <v>346</v>
      </c>
      <c r="DO491" s="11">
        <v>0</v>
      </c>
      <c r="DP491" s="9" t="str">
        <f>_xll.SNL.Clients.Office.Excel.Functions.SPG(DM491, "SP_COUNTRY_NAME")</f>
        <v>Germany</v>
      </c>
      <c r="DU491" s="9" t="str">
        <f>_xll.SNL.Clients.Office.Excel.Functions.SPG(DR491, "SP_COUNTRY_NAME")</f>
        <v>#INVALID COMPANY ID</v>
      </c>
      <c r="DZ491" s="9" t="str">
        <f>_xll.SNL.Clients.Office.Excel.Functions.SPG(DW491, "SP_COUNTRY_NAME")</f>
        <v>#INVALID COMPANY ID</v>
      </c>
      <c r="EA491" t="s">
        <v>860</v>
      </c>
      <c r="EB491">
        <v>110879</v>
      </c>
      <c r="EC491" t="s">
        <v>346</v>
      </c>
      <c r="ED491" s="11">
        <v>0</v>
      </c>
      <c r="EE491" s="9" t="str">
        <f>_xll.SNL.Clients.Office.Excel.Functions.SPG(EB491, "SP_COUNTRY_NAME")</f>
        <v>USA</v>
      </c>
      <c r="EF491" t="s">
        <v>581</v>
      </c>
      <c r="EG491">
        <v>115732953</v>
      </c>
      <c r="EH491" t="s">
        <v>346</v>
      </c>
      <c r="EI491" s="11">
        <v>0</v>
      </c>
      <c r="EJ491" s="9" t="str">
        <f>_xll.SNL.Clients.Office.Excel.Functions.SPG(EG491, "SP_COUNTRY_NAME")</f>
        <v>Germany</v>
      </c>
      <c r="EO491" s="9" t="str">
        <f>_xll.SNL.Clients.Office.Excel.Functions.SPG(EL491, "SP_COUNTRY_NAME")</f>
        <v>#INVALID COMPANY ID</v>
      </c>
      <c r="ET491" s="9" t="str">
        <f>_xll.SNL.Clients.Office.Excel.Functions.SPG(EQ491, "SP_COUNTRY_NAME")</f>
        <v>#INVALID COMPANY ID</v>
      </c>
      <c r="EY491" s="9" t="str">
        <f>_xll.SNL.Clients.Office.Excel.Functions.SPG(EV491, "SP_COUNTRY_NAME")</f>
        <v>#INVALID COMPANY ID</v>
      </c>
      <c r="FD491" s="9" t="str">
        <f>_xll.SNL.Clients.Office.Excel.Functions.SPG(FA491, "SP_COUNTRY_NAME")</f>
        <v>#INVALID COMPANY ID</v>
      </c>
      <c r="FI491" s="9" t="str">
        <f>_xll.SNL.Clients.Office.Excel.Functions.SPG(FF491, "SP_COUNTRY_NAME")</f>
        <v>#INVALID COMPANY ID</v>
      </c>
      <c r="FN491" s="9" t="str">
        <f>_xll.SNL.Clients.Office.Excel.Functions.SPG(FK491, "SP_COUNTRY_NAME")</f>
        <v>#INVALID COMPANY ID</v>
      </c>
      <c r="FS491" s="9" t="str">
        <f>_xll.SNL.Clients.Office.Excel.Functions.SPG(FP491, "SP_COUNTRY_NAME")</f>
        <v>#INVALID COMPANY ID</v>
      </c>
      <c r="FX491" s="9" t="str">
        <f>_xll.SNL.Clients.Office.Excel.Functions.SPG(FU491, "SP_COUNTRY_NAME")</f>
        <v>#INVALID COMPANY ID</v>
      </c>
      <c r="FY491" t="s">
        <v>581</v>
      </c>
      <c r="FZ491">
        <v>115732953</v>
      </c>
      <c r="GA491" t="s">
        <v>346</v>
      </c>
      <c r="GB491" s="11">
        <v>0</v>
      </c>
      <c r="GC491" s="9" t="str">
        <f>_xll.SNL.Clients.Office.Excel.Functions.SPG(FZ491, "SP_COUNTRY_NAME")</f>
        <v>Germany</v>
      </c>
      <c r="GH491" s="9" t="str">
        <f>_xll.SNL.Clients.Office.Excel.Functions.SPG(GE491, "SP_COUNTRY_NAME")</f>
        <v>#INVALID COMPANY ID</v>
      </c>
      <c r="GM491" s="9" t="str">
        <f>_xll.SNL.Clients.Office.Excel.Functions.SPG(GJ491, "SP_COUNTRY_NAME")</f>
        <v>#INVALID COMPANY ID</v>
      </c>
      <c r="GR491" s="9" t="str">
        <f>_xll.SNL.Clients.Office.Excel.Functions.SPG(GO491, "SP_COUNTRY_NAME")</f>
        <v>#INVALID COMPANY ID</v>
      </c>
      <c r="GW491" s="9" t="str">
        <f>_xll.SNL.Clients.Office.Excel.Functions.SPG(GT491, "SP_COUNTRY_NAME")</f>
        <v>#INVALID COMPANY ID</v>
      </c>
      <c r="GX491" t="s">
        <v>860</v>
      </c>
      <c r="GY491">
        <v>110879</v>
      </c>
      <c r="GZ491" t="s">
        <v>346</v>
      </c>
      <c r="HA491" s="11">
        <v>0</v>
      </c>
      <c r="HB491" s="9" t="str">
        <f>_xll.SNL.Clients.Office.Excel.Functions.SPG(GY491, "SP_COUNTRY_NAME")</f>
        <v>USA</v>
      </c>
      <c r="HG491" s="9" t="str">
        <f>_xll.SNL.Clients.Office.Excel.Functions.SPG(HD491, "SP_COUNTRY_NAME")</f>
        <v>#INVALID COMPANY ID</v>
      </c>
    </row>
    <row r="492" spans="5:215" x14ac:dyDescent="0.35">
      <c r="E492" s="9" t="str">
        <f>_xll.SNL.Clients.Office.Excel.Functions.SPG(B492, "SP_COUNTRY_NAME")</f>
        <v>#INVALID COMPANY ID</v>
      </c>
      <c r="J492" s="9" t="str">
        <f>_xll.SNL.Clients.Office.Excel.Functions.SPG(G492, "SP_COUNTRY_NAME")</f>
        <v>#INVALID COMPANY ID</v>
      </c>
      <c r="O492" s="9" t="str">
        <f>_xll.SNL.Clients.Office.Excel.Functions.SPG(L492, "SP_COUNTRY_NAME")</f>
        <v>#INVALID COMPANY ID</v>
      </c>
      <c r="T492" s="9" t="str">
        <f>_xll.SNL.Clients.Office.Excel.Functions.SPG(Q492, "SP_COUNTRY_NAME")</f>
        <v>#INVALID COMPANY ID</v>
      </c>
      <c r="Y492" s="9" t="str">
        <f>_xll.SNL.Clients.Office.Excel.Functions.SPG(V492, "SP_COUNTRY_NAME")</f>
        <v>#INVALID COMPANY ID</v>
      </c>
      <c r="AD492" s="9" t="str">
        <f>_xll.SNL.Clients.Office.Excel.Functions.SPG(AA492, "SP_COUNTRY_NAME")</f>
        <v>#INVALID COMPANY ID</v>
      </c>
      <c r="AI492" s="9" t="str">
        <f>_xll.SNL.Clients.Office.Excel.Functions.SPG(AF492, "SP_COUNTRY_NAME")</f>
        <v>#INVALID COMPANY ID</v>
      </c>
      <c r="AN492" s="9" t="str">
        <f>_xll.SNL.Clients.Office.Excel.Functions.SPG(AK492, "SP_COUNTRY_NAME")</f>
        <v>#INVALID COMPANY ID</v>
      </c>
      <c r="AS492" s="9" t="str">
        <f>_xll.SNL.Clients.Office.Excel.Functions.SPG(AP492, "SP_COUNTRY_NAME")</f>
        <v>#INVALID COMPANY ID</v>
      </c>
      <c r="AX492" s="9" t="str">
        <f>_xll.SNL.Clients.Office.Excel.Functions.SPG(AU492, "SP_COUNTRY_NAME")</f>
        <v>#INVALID COMPANY ID</v>
      </c>
      <c r="BC492" s="9" t="str">
        <f>_xll.SNL.Clients.Office.Excel.Functions.SPG(AZ492, "SP_COUNTRY_NAME")</f>
        <v>#INVALID COMPANY ID</v>
      </c>
      <c r="BD492" t="s">
        <v>1362</v>
      </c>
      <c r="BE492">
        <v>5879182</v>
      </c>
      <c r="BF492" t="s">
        <v>346</v>
      </c>
      <c r="BG492" s="11">
        <v>0</v>
      </c>
      <c r="BH492" s="9" t="str">
        <f>_xll.SNL.Clients.Office.Excel.Functions.SPG(BE492, "SP_COUNTRY_NAME")</f>
        <v>South Africa</v>
      </c>
      <c r="BM492" s="9" t="str">
        <f>_xll.SNL.Clients.Office.Excel.Functions.SPG(BJ492, "SP_COUNTRY_NAME")</f>
        <v>#INVALID COMPANY ID</v>
      </c>
      <c r="BR492" s="9" t="str">
        <f>_xll.SNL.Clients.Office.Excel.Functions.SPG(BO492, "SP_COUNTRY_NAME")</f>
        <v>#INVALID COMPANY ID</v>
      </c>
      <c r="BS492" t="s">
        <v>1100</v>
      </c>
      <c r="BT492">
        <v>4139199</v>
      </c>
      <c r="BU492" t="s">
        <v>346</v>
      </c>
      <c r="BV492" s="11">
        <v>0</v>
      </c>
      <c r="BW492" s="9" t="str">
        <f>_xll.SNL.Clients.Office.Excel.Functions.SPG(BT492, "SP_COUNTRY_NAME")</f>
        <v>Türkiye</v>
      </c>
      <c r="CB492" s="9" t="str">
        <f>_xll.SNL.Clients.Office.Excel.Functions.SPG(BY492, "SP_COUNTRY_NAME")</f>
        <v>#INVALID COMPANY ID</v>
      </c>
      <c r="CC492" t="s">
        <v>910</v>
      </c>
      <c r="CD492">
        <v>4419277</v>
      </c>
      <c r="CE492" t="s">
        <v>300</v>
      </c>
      <c r="CF492" s="11">
        <v>0</v>
      </c>
      <c r="CG492" s="9" t="str">
        <f>_xll.SNL.Clients.Office.Excel.Functions.SPG(CD492, "SP_COUNTRY_NAME")</f>
        <v>USA</v>
      </c>
      <c r="CL492" s="9" t="str">
        <f>_xll.SNL.Clients.Office.Excel.Functions.SPG(CI492, "SP_COUNTRY_NAME")</f>
        <v>#INVALID COMPANY ID</v>
      </c>
      <c r="CM492" t="s">
        <v>2122</v>
      </c>
      <c r="CN492">
        <v>4057385</v>
      </c>
      <c r="CO492" t="s">
        <v>346</v>
      </c>
      <c r="CP492" s="11">
        <v>0</v>
      </c>
      <c r="CQ492" s="9" t="str">
        <f>_xll.SNL.Clients.Office.Excel.Functions.SPG(CN492, "SP_COUNTRY_NAME")</f>
        <v>USA</v>
      </c>
      <c r="CV492" s="9" t="str">
        <f>_xll.SNL.Clients.Office.Excel.Functions.SPG(CS492, "SP_COUNTRY_NAME")</f>
        <v>#INVALID COMPANY ID</v>
      </c>
      <c r="DA492" s="9" t="str">
        <f>_xll.SNL.Clients.Office.Excel.Functions.SPG(CX492, "SP_COUNTRY_NAME")</f>
        <v>#INVALID COMPANY ID</v>
      </c>
      <c r="DB492" t="s">
        <v>1362</v>
      </c>
      <c r="DC492">
        <v>5879182</v>
      </c>
      <c r="DD492" t="s">
        <v>346</v>
      </c>
      <c r="DE492" s="11">
        <v>0</v>
      </c>
      <c r="DF492" s="9" t="str">
        <f>_xll.SNL.Clients.Office.Excel.Functions.SPG(DC492, "SP_COUNTRY_NAME")</f>
        <v>South Africa</v>
      </c>
      <c r="DK492" s="9" t="str">
        <f>_xll.SNL.Clients.Office.Excel.Functions.SPG(DH492, "SP_COUNTRY_NAME")</f>
        <v>#INVALID COMPANY ID</v>
      </c>
      <c r="DL492" t="s">
        <v>1362</v>
      </c>
      <c r="DM492">
        <v>5879182</v>
      </c>
      <c r="DN492" t="s">
        <v>346</v>
      </c>
      <c r="DO492" s="11">
        <v>0</v>
      </c>
      <c r="DP492" s="9" t="str">
        <f>_xll.SNL.Clients.Office.Excel.Functions.SPG(DM492, "SP_COUNTRY_NAME")</f>
        <v>South Africa</v>
      </c>
      <c r="DU492" s="9" t="str">
        <f>_xll.SNL.Clients.Office.Excel.Functions.SPG(DR492, "SP_COUNTRY_NAME")</f>
        <v>#INVALID COMPANY ID</v>
      </c>
      <c r="DZ492" s="9" t="str">
        <f>_xll.SNL.Clients.Office.Excel.Functions.SPG(DW492, "SP_COUNTRY_NAME")</f>
        <v>#INVALID COMPANY ID</v>
      </c>
      <c r="EA492" t="s">
        <v>910</v>
      </c>
      <c r="EB492">
        <v>4419277</v>
      </c>
      <c r="EC492" t="s">
        <v>300</v>
      </c>
      <c r="ED492" s="11">
        <v>0</v>
      </c>
      <c r="EE492" s="9" t="str">
        <f>_xll.SNL.Clients.Office.Excel.Functions.SPG(EB492, "SP_COUNTRY_NAME")</f>
        <v>USA</v>
      </c>
      <c r="EF492" t="s">
        <v>1362</v>
      </c>
      <c r="EG492">
        <v>5879182</v>
      </c>
      <c r="EH492" t="s">
        <v>346</v>
      </c>
      <c r="EI492" s="11">
        <v>0</v>
      </c>
      <c r="EJ492" s="9" t="str">
        <f>_xll.SNL.Clients.Office.Excel.Functions.SPG(EG492, "SP_COUNTRY_NAME")</f>
        <v>South Africa</v>
      </c>
      <c r="EO492" s="9" t="str">
        <f>_xll.SNL.Clients.Office.Excel.Functions.SPG(EL492, "SP_COUNTRY_NAME")</f>
        <v>#INVALID COMPANY ID</v>
      </c>
      <c r="ET492" s="9" t="str">
        <f>_xll.SNL.Clients.Office.Excel.Functions.SPG(EQ492, "SP_COUNTRY_NAME")</f>
        <v>#INVALID COMPANY ID</v>
      </c>
      <c r="EY492" s="9" t="str">
        <f>_xll.SNL.Clients.Office.Excel.Functions.SPG(EV492, "SP_COUNTRY_NAME")</f>
        <v>#INVALID COMPANY ID</v>
      </c>
      <c r="FD492" s="9" t="str">
        <f>_xll.SNL.Clients.Office.Excel.Functions.SPG(FA492, "SP_COUNTRY_NAME")</f>
        <v>#INVALID COMPANY ID</v>
      </c>
      <c r="FI492" s="9" t="str">
        <f>_xll.SNL.Clients.Office.Excel.Functions.SPG(FF492, "SP_COUNTRY_NAME")</f>
        <v>#INVALID COMPANY ID</v>
      </c>
      <c r="FN492" s="9" t="str">
        <f>_xll.SNL.Clients.Office.Excel.Functions.SPG(FK492, "SP_COUNTRY_NAME")</f>
        <v>#INVALID COMPANY ID</v>
      </c>
      <c r="FS492" s="9" t="str">
        <f>_xll.SNL.Clients.Office.Excel.Functions.SPG(FP492, "SP_COUNTRY_NAME")</f>
        <v>#INVALID COMPANY ID</v>
      </c>
      <c r="FX492" s="9" t="str">
        <f>_xll.SNL.Clients.Office.Excel.Functions.SPG(FU492, "SP_COUNTRY_NAME")</f>
        <v>#INVALID COMPANY ID</v>
      </c>
      <c r="FY492" t="s">
        <v>1362</v>
      </c>
      <c r="FZ492">
        <v>5879182</v>
      </c>
      <c r="GA492" t="s">
        <v>346</v>
      </c>
      <c r="GB492" s="11">
        <v>0</v>
      </c>
      <c r="GC492" s="9" t="str">
        <f>_xll.SNL.Clients.Office.Excel.Functions.SPG(FZ492, "SP_COUNTRY_NAME")</f>
        <v>South Africa</v>
      </c>
      <c r="GH492" s="9" t="str">
        <f>_xll.SNL.Clients.Office.Excel.Functions.SPG(GE492, "SP_COUNTRY_NAME")</f>
        <v>#INVALID COMPANY ID</v>
      </c>
      <c r="GM492" s="9" t="str">
        <f>_xll.SNL.Clients.Office.Excel.Functions.SPG(GJ492, "SP_COUNTRY_NAME")</f>
        <v>#INVALID COMPANY ID</v>
      </c>
      <c r="GR492" s="9" t="str">
        <f>_xll.SNL.Clients.Office.Excel.Functions.SPG(GO492, "SP_COUNTRY_NAME")</f>
        <v>#INVALID COMPANY ID</v>
      </c>
      <c r="GW492" s="9" t="str">
        <f>_xll.SNL.Clients.Office.Excel.Functions.SPG(GT492, "SP_COUNTRY_NAME")</f>
        <v>#INVALID COMPANY ID</v>
      </c>
      <c r="GX492" t="s">
        <v>910</v>
      </c>
      <c r="GY492">
        <v>4419277</v>
      </c>
      <c r="GZ492" t="s">
        <v>300</v>
      </c>
      <c r="HA492" s="11">
        <v>0</v>
      </c>
      <c r="HB492" s="9" t="str">
        <f>_xll.SNL.Clients.Office.Excel.Functions.SPG(GY492, "SP_COUNTRY_NAME")</f>
        <v>USA</v>
      </c>
      <c r="HG492" s="9" t="str">
        <f>_xll.SNL.Clients.Office.Excel.Functions.SPG(HD492, "SP_COUNTRY_NAME")</f>
        <v>#INVALID COMPANY ID</v>
      </c>
    </row>
    <row r="493" spans="5:215" x14ac:dyDescent="0.35">
      <c r="E493" s="9" t="str">
        <f>_xll.SNL.Clients.Office.Excel.Functions.SPG(B493, "SP_COUNTRY_NAME")</f>
        <v>#INVALID COMPANY ID</v>
      </c>
      <c r="J493" s="9" t="str">
        <f>_xll.SNL.Clients.Office.Excel.Functions.SPG(G493, "SP_COUNTRY_NAME")</f>
        <v>#INVALID COMPANY ID</v>
      </c>
      <c r="O493" s="9" t="str">
        <f>_xll.SNL.Clients.Office.Excel.Functions.SPG(L493, "SP_COUNTRY_NAME")</f>
        <v>#INVALID COMPANY ID</v>
      </c>
      <c r="T493" s="9" t="str">
        <f>_xll.SNL.Clients.Office.Excel.Functions.SPG(Q493, "SP_COUNTRY_NAME")</f>
        <v>#INVALID COMPANY ID</v>
      </c>
      <c r="Y493" s="9" t="str">
        <f>_xll.SNL.Clients.Office.Excel.Functions.SPG(V493, "SP_COUNTRY_NAME")</f>
        <v>#INVALID COMPANY ID</v>
      </c>
      <c r="AD493" s="9" t="str">
        <f>_xll.SNL.Clients.Office.Excel.Functions.SPG(AA493, "SP_COUNTRY_NAME")</f>
        <v>#INVALID COMPANY ID</v>
      </c>
      <c r="AI493" s="9" t="str">
        <f>_xll.SNL.Clients.Office.Excel.Functions.SPG(AF493, "SP_COUNTRY_NAME")</f>
        <v>#INVALID COMPANY ID</v>
      </c>
      <c r="AN493" s="9" t="str">
        <f>_xll.SNL.Clients.Office.Excel.Functions.SPG(AK493, "SP_COUNTRY_NAME")</f>
        <v>#INVALID COMPANY ID</v>
      </c>
      <c r="AS493" s="9" t="str">
        <f>_xll.SNL.Clients.Office.Excel.Functions.SPG(AP493, "SP_COUNTRY_NAME")</f>
        <v>#INVALID COMPANY ID</v>
      </c>
      <c r="AX493" s="9" t="str">
        <f>_xll.SNL.Clients.Office.Excel.Functions.SPG(AU493, "SP_COUNTRY_NAME")</f>
        <v>#INVALID COMPANY ID</v>
      </c>
      <c r="BC493" s="9" t="str">
        <f>_xll.SNL.Clients.Office.Excel.Functions.SPG(AZ493, "SP_COUNTRY_NAME")</f>
        <v>#INVALID COMPANY ID</v>
      </c>
      <c r="BD493" t="s">
        <v>1366</v>
      </c>
      <c r="BE493">
        <v>115685602</v>
      </c>
      <c r="BF493" t="s">
        <v>364</v>
      </c>
      <c r="BG493" s="11">
        <v>0</v>
      </c>
      <c r="BH493" s="9" t="str">
        <f>_xll.SNL.Clients.Office.Excel.Functions.SPG(BE493, "SP_COUNTRY_NAME")</f>
        <v>South Africa</v>
      </c>
      <c r="BM493" s="9" t="str">
        <f>_xll.SNL.Clients.Office.Excel.Functions.SPG(BJ493, "SP_COUNTRY_NAME")</f>
        <v>#INVALID COMPANY ID</v>
      </c>
      <c r="BR493" s="9" t="str">
        <f>_xll.SNL.Clients.Office.Excel.Functions.SPG(BO493, "SP_COUNTRY_NAME")</f>
        <v>#INVALID COMPANY ID</v>
      </c>
      <c r="BS493" t="s">
        <v>576</v>
      </c>
      <c r="BT493">
        <v>4672091</v>
      </c>
      <c r="BU493" t="s">
        <v>300</v>
      </c>
      <c r="BV493" s="11">
        <v>0</v>
      </c>
      <c r="BW493" s="9" t="str">
        <f>_xll.SNL.Clients.Office.Excel.Functions.SPG(BT493, "SP_COUNTRY_NAME")</f>
        <v>South Africa</v>
      </c>
      <c r="CB493" s="9" t="str">
        <f>_xll.SNL.Clients.Office.Excel.Functions.SPG(BY493, "SP_COUNTRY_NAME")</f>
        <v>#INVALID COMPANY ID</v>
      </c>
      <c r="CC493" t="s">
        <v>1902</v>
      </c>
      <c r="CD493">
        <v>4546465</v>
      </c>
      <c r="CE493" t="s">
        <v>346</v>
      </c>
      <c r="CF493" s="11">
        <v>0</v>
      </c>
      <c r="CG493" s="9" t="str">
        <f>_xll.SNL.Clients.Office.Excel.Functions.SPG(CD493, "SP_COUNTRY_NAME")</f>
        <v>Germany</v>
      </c>
      <c r="CL493" s="9" t="str">
        <f>_xll.SNL.Clients.Office.Excel.Functions.SPG(CI493, "SP_COUNTRY_NAME")</f>
        <v>#INVALID COMPANY ID</v>
      </c>
      <c r="CM493" t="s">
        <v>2123</v>
      </c>
      <c r="CN493">
        <v>4205024</v>
      </c>
      <c r="CO493" t="s">
        <v>346</v>
      </c>
      <c r="CP493" s="11">
        <v>0</v>
      </c>
      <c r="CQ493" s="9" t="str">
        <f>_xll.SNL.Clients.Office.Excel.Functions.SPG(CN493, "SP_COUNTRY_NAME")</f>
        <v>USA</v>
      </c>
      <c r="CV493" s="9" t="str">
        <f>_xll.SNL.Clients.Office.Excel.Functions.SPG(CS493, "SP_COUNTRY_NAME")</f>
        <v>#INVALID COMPANY ID</v>
      </c>
      <c r="DA493" s="9" t="str">
        <f>_xll.SNL.Clients.Office.Excel.Functions.SPG(CX493, "SP_COUNTRY_NAME")</f>
        <v>#INVALID COMPANY ID</v>
      </c>
      <c r="DB493" t="s">
        <v>1366</v>
      </c>
      <c r="DC493">
        <v>115685602</v>
      </c>
      <c r="DD493" t="s">
        <v>364</v>
      </c>
      <c r="DE493" s="11">
        <v>0</v>
      </c>
      <c r="DF493" s="9" t="str">
        <f>_xll.SNL.Clients.Office.Excel.Functions.SPG(DC493, "SP_COUNTRY_NAME")</f>
        <v>South Africa</v>
      </c>
      <c r="DK493" s="9" t="str">
        <f>_xll.SNL.Clients.Office.Excel.Functions.SPG(DH493, "SP_COUNTRY_NAME")</f>
        <v>#INVALID COMPANY ID</v>
      </c>
      <c r="DL493" t="s">
        <v>1366</v>
      </c>
      <c r="DM493">
        <v>115685602</v>
      </c>
      <c r="DN493" t="s">
        <v>364</v>
      </c>
      <c r="DO493" s="11">
        <v>0</v>
      </c>
      <c r="DP493" s="9" t="str">
        <f>_xll.SNL.Clients.Office.Excel.Functions.SPG(DM493, "SP_COUNTRY_NAME")</f>
        <v>South Africa</v>
      </c>
      <c r="DU493" s="9" t="str">
        <f>_xll.SNL.Clients.Office.Excel.Functions.SPG(DR493, "SP_COUNTRY_NAME")</f>
        <v>#INVALID COMPANY ID</v>
      </c>
      <c r="DZ493" s="9" t="str">
        <f>_xll.SNL.Clients.Office.Excel.Functions.SPG(DW493, "SP_COUNTRY_NAME")</f>
        <v>#INVALID COMPANY ID</v>
      </c>
      <c r="EA493" t="s">
        <v>1902</v>
      </c>
      <c r="EB493">
        <v>4546465</v>
      </c>
      <c r="EC493" t="s">
        <v>346</v>
      </c>
      <c r="ED493" s="11">
        <v>0</v>
      </c>
      <c r="EE493" s="9" t="str">
        <f>_xll.SNL.Clients.Office.Excel.Functions.SPG(EB493, "SP_COUNTRY_NAME")</f>
        <v>Germany</v>
      </c>
      <c r="EF493" t="s">
        <v>1366</v>
      </c>
      <c r="EG493">
        <v>115685602</v>
      </c>
      <c r="EH493" t="s">
        <v>364</v>
      </c>
      <c r="EI493" s="11">
        <v>0</v>
      </c>
      <c r="EJ493" s="9" t="str">
        <f>_xll.SNL.Clients.Office.Excel.Functions.SPG(EG493, "SP_COUNTRY_NAME")</f>
        <v>South Africa</v>
      </c>
      <c r="EO493" s="9" t="str">
        <f>_xll.SNL.Clients.Office.Excel.Functions.SPG(EL493, "SP_COUNTRY_NAME")</f>
        <v>#INVALID COMPANY ID</v>
      </c>
      <c r="ET493" s="9" t="str">
        <f>_xll.SNL.Clients.Office.Excel.Functions.SPG(EQ493, "SP_COUNTRY_NAME")</f>
        <v>#INVALID COMPANY ID</v>
      </c>
      <c r="EY493" s="9" t="str">
        <f>_xll.SNL.Clients.Office.Excel.Functions.SPG(EV493, "SP_COUNTRY_NAME")</f>
        <v>#INVALID COMPANY ID</v>
      </c>
      <c r="FD493" s="9" t="str">
        <f>_xll.SNL.Clients.Office.Excel.Functions.SPG(FA493, "SP_COUNTRY_NAME")</f>
        <v>#INVALID COMPANY ID</v>
      </c>
      <c r="FI493" s="9" t="str">
        <f>_xll.SNL.Clients.Office.Excel.Functions.SPG(FF493, "SP_COUNTRY_NAME")</f>
        <v>#INVALID COMPANY ID</v>
      </c>
      <c r="FN493" s="9" t="str">
        <f>_xll.SNL.Clients.Office.Excel.Functions.SPG(FK493, "SP_COUNTRY_NAME")</f>
        <v>#INVALID COMPANY ID</v>
      </c>
      <c r="FS493" s="9" t="str">
        <f>_xll.SNL.Clients.Office.Excel.Functions.SPG(FP493, "SP_COUNTRY_NAME")</f>
        <v>#INVALID COMPANY ID</v>
      </c>
      <c r="FX493" s="9" t="str">
        <f>_xll.SNL.Clients.Office.Excel.Functions.SPG(FU493, "SP_COUNTRY_NAME")</f>
        <v>#INVALID COMPANY ID</v>
      </c>
      <c r="FY493" t="s">
        <v>1366</v>
      </c>
      <c r="FZ493">
        <v>115685602</v>
      </c>
      <c r="GA493" t="s">
        <v>364</v>
      </c>
      <c r="GB493" s="11">
        <v>0</v>
      </c>
      <c r="GC493" s="9" t="str">
        <f>_xll.SNL.Clients.Office.Excel.Functions.SPG(FZ493, "SP_COUNTRY_NAME")</f>
        <v>South Africa</v>
      </c>
      <c r="GH493" s="9" t="str">
        <f>_xll.SNL.Clients.Office.Excel.Functions.SPG(GE493, "SP_COUNTRY_NAME")</f>
        <v>#INVALID COMPANY ID</v>
      </c>
      <c r="GM493" s="9" t="str">
        <f>_xll.SNL.Clients.Office.Excel.Functions.SPG(GJ493, "SP_COUNTRY_NAME")</f>
        <v>#INVALID COMPANY ID</v>
      </c>
      <c r="GR493" s="9" t="str">
        <f>_xll.SNL.Clients.Office.Excel.Functions.SPG(GO493, "SP_COUNTRY_NAME")</f>
        <v>#INVALID COMPANY ID</v>
      </c>
      <c r="GW493" s="9" t="str">
        <f>_xll.SNL.Clients.Office.Excel.Functions.SPG(GT493, "SP_COUNTRY_NAME")</f>
        <v>#INVALID COMPANY ID</v>
      </c>
      <c r="GX493" t="s">
        <v>1902</v>
      </c>
      <c r="GY493">
        <v>4546465</v>
      </c>
      <c r="GZ493" t="s">
        <v>346</v>
      </c>
      <c r="HA493" s="11">
        <v>0</v>
      </c>
      <c r="HB493" s="9" t="str">
        <f>_xll.SNL.Clients.Office.Excel.Functions.SPG(GY493, "SP_COUNTRY_NAME")</f>
        <v>Germany</v>
      </c>
      <c r="HG493" s="9" t="str">
        <f>_xll.SNL.Clients.Office.Excel.Functions.SPG(HD493, "SP_COUNTRY_NAME")</f>
        <v>#INVALID COMPANY ID</v>
      </c>
    </row>
    <row r="494" spans="5:215" x14ac:dyDescent="0.35">
      <c r="E494" s="9" t="str">
        <f>_xll.SNL.Clients.Office.Excel.Functions.SPG(B494, "SP_COUNTRY_NAME")</f>
        <v>#INVALID COMPANY ID</v>
      </c>
      <c r="J494" s="9" t="str">
        <f>_xll.SNL.Clients.Office.Excel.Functions.SPG(G494, "SP_COUNTRY_NAME")</f>
        <v>#INVALID COMPANY ID</v>
      </c>
      <c r="O494" s="9" t="str">
        <f>_xll.SNL.Clients.Office.Excel.Functions.SPG(L494, "SP_COUNTRY_NAME")</f>
        <v>#INVALID COMPANY ID</v>
      </c>
      <c r="T494" s="9" t="str">
        <f>_xll.SNL.Clients.Office.Excel.Functions.SPG(Q494, "SP_COUNTRY_NAME")</f>
        <v>#INVALID COMPANY ID</v>
      </c>
      <c r="Y494" s="9" t="str">
        <f>_xll.SNL.Clients.Office.Excel.Functions.SPG(V494, "SP_COUNTRY_NAME")</f>
        <v>#INVALID COMPANY ID</v>
      </c>
      <c r="AD494" s="9" t="str">
        <f>_xll.SNL.Clients.Office.Excel.Functions.SPG(AA494, "SP_COUNTRY_NAME")</f>
        <v>#INVALID COMPANY ID</v>
      </c>
      <c r="AI494" s="9" t="str">
        <f>_xll.SNL.Clients.Office.Excel.Functions.SPG(AF494, "SP_COUNTRY_NAME")</f>
        <v>#INVALID COMPANY ID</v>
      </c>
      <c r="AN494" s="9" t="str">
        <f>_xll.SNL.Clients.Office.Excel.Functions.SPG(AK494, "SP_COUNTRY_NAME")</f>
        <v>#INVALID COMPANY ID</v>
      </c>
      <c r="AS494" s="9" t="str">
        <f>_xll.SNL.Clients.Office.Excel.Functions.SPG(AP494, "SP_COUNTRY_NAME")</f>
        <v>#INVALID COMPANY ID</v>
      </c>
      <c r="AX494" s="9" t="str">
        <f>_xll.SNL.Clients.Office.Excel.Functions.SPG(AU494, "SP_COUNTRY_NAME")</f>
        <v>#INVALID COMPANY ID</v>
      </c>
      <c r="BC494" s="9" t="str">
        <f>_xll.SNL.Clients.Office.Excel.Functions.SPG(AZ494, "SP_COUNTRY_NAME")</f>
        <v>#INVALID COMPANY ID</v>
      </c>
      <c r="BD494" t="s">
        <v>599</v>
      </c>
      <c r="BE494">
        <v>19350037</v>
      </c>
      <c r="BF494" t="s">
        <v>346</v>
      </c>
      <c r="BG494" s="11">
        <v>0</v>
      </c>
      <c r="BH494" s="9" t="str">
        <f>_xll.SNL.Clients.Office.Excel.Functions.SPG(BE494, "SP_COUNTRY_NAME")</f>
        <v>United Kingdom</v>
      </c>
      <c r="BM494" s="9" t="str">
        <f>_xll.SNL.Clients.Office.Excel.Functions.SPG(BJ494, "SP_COUNTRY_NAME")</f>
        <v>#INVALID COMPANY ID</v>
      </c>
      <c r="BR494" s="9" t="str">
        <f>_xll.SNL.Clients.Office.Excel.Functions.SPG(BO494, "SP_COUNTRY_NAME")</f>
        <v>#INVALID COMPANY ID</v>
      </c>
      <c r="BS494" t="s">
        <v>592</v>
      </c>
      <c r="BT494">
        <v>1015222</v>
      </c>
      <c r="BU494" t="s">
        <v>346</v>
      </c>
      <c r="BV494" s="11">
        <v>0</v>
      </c>
      <c r="BW494" s="9" t="str">
        <f>_xll.SNL.Clients.Office.Excel.Functions.SPG(BT494, "SP_COUNTRY_NAME")</f>
        <v>USA</v>
      </c>
      <c r="CB494" s="9" t="str">
        <f>_xll.SNL.Clients.Office.Excel.Functions.SPG(BY494, "SP_COUNTRY_NAME")</f>
        <v>#INVALID COMPANY ID</v>
      </c>
      <c r="CC494" t="s">
        <v>1460</v>
      </c>
      <c r="CD494">
        <v>4073155</v>
      </c>
      <c r="CE494" t="s">
        <v>346</v>
      </c>
      <c r="CF494" s="11">
        <v>0</v>
      </c>
      <c r="CG494" s="9" t="str">
        <f>_xll.SNL.Clients.Office.Excel.Functions.SPG(CD494, "SP_COUNTRY_NAME")</f>
        <v>USA</v>
      </c>
      <c r="CL494" s="9" t="str">
        <f>_xll.SNL.Clients.Office.Excel.Functions.SPG(CI494, "SP_COUNTRY_NAME")</f>
        <v>#INVALID COMPANY ID</v>
      </c>
      <c r="CM494" t="s">
        <v>522</v>
      </c>
      <c r="CN494">
        <v>4118373</v>
      </c>
      <c r="CO494" t="s">
        <v>346</v>
      </c>
      <c r="CP494" s="11">
        <v>0</v>
      </c>
      <c r="CQ494" s="9" t="str">
        <f>_xll.SNL.Clients.Office.Excel.Functions.SPG(CN494, "SP_COUNTRY_NAME")</f>
        <v>USA</v>
      </c>
      <c r="CV494" s="9" t="str">
        <f>_xll.SNL.Clients.Office.Excel.Functions.SPG(CS494, "SP_COUNTRY_NAME")</f>
        <v>#INVALID COMPANY ID</v>
      </c>
      <c r="DA494" s="9" t="str">
        <f>_xll.SNL.Clients.Office.Excel.Functions.SPG(CX494, "SP_COUNTRY_NAME")</f>
        <v>#INVALID COMPANY ID</v>
      </c>
      <c r="DB494" t="s">
        <v>599</v>
      </c>
      <c r="DC494">
        <v>19350037</v>
      </c>
      <c r="DD494" t="s">
        <v>346</v>
      </c>
      <c r="DE494" s="11">
        <v>0</v>
      </c>
      <c r="DF494" s="9" t="str">
        <f>_xll.SNL.Clients.Office.Excel.Functions.SPG(DC494, "SP_COUNTRY_NAME")</f>
        <v>United Kingdom</v>
      </c>
      <c r="DK494" s="9" t="str">
        <f>_xll.SNL.Clients.Office.Excel.Functions.SPG(DH494, "SP_COUNTRY_NAME")</f>
        <v>#INVALID COMPANY ID</v>
      </c>
      <c r="DL494" t="s">
        <v>599</v>
      </c>
      <c r="DM494">
        <v>19350037</v>
      </c>
      <c r="DN494" t="s">
        <v>346</v>
      </c>
      <c r="DO494" s="11">
        <v>0</v>
      </c>
      <c r="DP494" s="9" t="str">
        <f>_xll.SNL.Clients.Office.Excel.Functions.SPG(DM494, "SP_COUNTRY_NAME")</f>
        <v>United Kingdom</v>
      </c>
      <c r="DU494" s="9" t="str">
        <f>_xll.SNL.Clients.Office.Excel.Functions.SPG(DR494, "SP_COUNTRY_NAME")</f>
        <v>#INVALID COMPANY ID</v>
      </c>
      <c r="DZ494" s="9" t="str">
        <f>_xll.SNL.Clients.Office.Excel.Functions.SPG(DW494, "SP_COUNTRY_NAME")</f>
        <v>#INVALID COMPANY ID</v>
      </c>
      <c r="EA494" t="s">
        <v>1460</v>
      </c>
      <c r="EB494">
        <v>4073155</v>
      </c>
      <c r="EC494" t="s">
        <v>346</v>
      </c>
      <c r="ED494" s="11">
        <v>0</v>
      </c>
      <c r="EE494" s="9" t="str">
        <f>_xll.SNL.Clients.Office.Excel.Functions.SPG(EB494, "SP_COUNTRY_NAME")</f>
        <v>USA</v>
      </c>
      <c r="EF494" t="s">
        <v>599</v>
      </c>
      <c r="EG494">
        <v>19350037</v>
      </c>
      <c r="EH494" t="s">
        <v>346</v>
      </c>
      <c r="EI494" s="11">
        <v>0</v>
      </c>
      <c r="EJ494" s="9" t="str">
        <f>_xll.SNL.Clients.Office.Excel.Functions.SPG(EG494, "SP_COUNTRY_NAME")</f>
        <v>United Kingdom</v>
      </c>
      <c r="EO494" s="9" t="str">
        <f>_xll.SNL.Clients.Office.Excel.Functions.SPG(EL494, "SP_COUNTRY_NAME")</f>
        <v>#INVALID COMPANY ID</v>
      </c>
      <c r="ET494" s="9" t="str">
        <f>_xll.SNL.Clients.Office.Excel.Functions.SPG(EQ494, "SP_COUNTRY_NAME")</f>
        <v>#INVALID COMPANY ID</v>
      </c>
      <c r="EY494" s="9" t="str">
        <f>_xll.SNL.Clients.Office.Excel.Functions.SPG(EV494, "SP_COUNTRY_NAME")</f>
        <v>#INVALID COMPANY ID</v>
      </c>
      <c r="FD494" s="9" t="str">
        <f>_xll.SNL.Clients.Office.Excel.Functions.SPG(FA494, "SP_COUNTRY_NAME")</f>
        <v>#INVALID COMPANY ID</v>
      </c>
      <c r="FI494" s="9" t="str">
        <f>_xll.SNL.Clients.Office.Excel.Functions.SPG(FF494, "SP_COUNTRY_NAME")</f>
        <v>#INVALID COMPANY ID</v>
      </c>
      <c r="FN494" s="9" t="str">
        <f>_xll.SNL.Clients.Office.Excel.Functions.SPG(FK494, "SP_COUNTRY_NAME")</f>
        <v>#INVALID COMPANY ID</v>
      </c>
      <c r="FS494" s="9" t="str">
        <f>_xll.SNL.Clients.Office.Excel.Functions.SPG(FP494, "SP_COUNTRY_NAME")</f>
        <v>#INVALID COMPANY ID</v>
      </c>
      <c r="FX494" s="9" t="str">
        <f>_xll.SNL.Clients.Office.Excel.Functions.SPG(FU494, "SP_COUNTRY_NAME")</f>
        <v>#INVALID COMPANY ID</v>
      </c>
      <c r="FY494" t="s">
        <v>599</v>
      </c>
      <c r="FZ494">
        <v>19350037</v>
      </c>
      <c r="GA494" t="s">
        <v>346</v>
      </c>
      <c r="GB494" s="11">
        <v>0</v>
      </c>
      <c r="GC494" s="9" t="str">
        <f>_xll.SNL.Clients.Office.Excel.Functions.SPG(FZ494, "SP_COUNTRY_NAME")</f>
        <v>United Kingdom</v>
      </c>
      <c r="GH494" s="9" t="str">
        <f>_xll.SNL.Clients.Office.Excel.Functions.SPG(GE494, "SP_COUNTRY_NAME")</f>
        <v>#INVALID COMPANY ID</v>
      </c>
      <c r="GM494" s="9" t="str">
        <f>_xll.SNL.Clients.Office.Excel.Functions.SPG(GJ494, "SP_COUNTRY_NAME")</f>
        <v>#INVALID COMPANY ID</v>
      </c>
      <c r="GR494" s="9" t="str">
        <f>_xll.SNL.Clients.Office.Excel.Functions.SPG(GO494, "SP_COUNTRY_NAME")</f>
        <v>#INVALID COMPANY ID</v>
      </c>
      <c r="GW494" s="9" t="str">
        <f>_xll.SNL.Clients.Office.Excel.Functions.SPG(GT494, "SP_COUNTRY_NAME")</f>
        <v>#INVALID COMPANY ID</v>
      </c>
      <c r="GX494" t="s">
        <v>1460</v>
      </c>
      <c r="GY494">
        <v>4073155</v>
      </c>
      <c r="GZ494" t="s">
        <v>346</v>
      </c>
      <c r="HA494" s="11">
        <v>0</v>
      </c>
      <c r="HB494" s="9" t="str">
        <f>_xll.SNL.Clients.Office.Excel.Functions.SPG(GY494, "SP_COUNTRY_NAME")</f>
        <v>USA</v>
      </c>
      <c r="HG494" s="9" t="str">
        <f>_xll.SNL.Clients.Office.Excel.Functions.SPG(HD494, "SP_COUNTRY_NAME")</f>
        <v>#INVALID COMPANY ID</v>
      </c>
    </row>
    <row r="495" spans="5:215" x14ac:dyDescent="0.35">
      <c r="E495" s="9" t="str">
        <f>_xll.SNL.Clients.Office.Excel.Functions.SPG(B495, "SP_COUNTRY_NAME")</f>
        <v>#INVALID COMPANY ID</v>
      </c>
      <c r="J495" s="9" t="str">
        <f>_xll.SNL.Clients.Office.Excel.Functions.SPG(G495, "SP_COUNTRY_NAME")</f>
        <v>#INVALID COMPANY ID</v>
      </c>
      <c r="O495" s="9" t="str">
        <f>_xll.SNL.Clients.Office.Excel.Functions.SPG(L495, "SP_COUNTRY_NAME")</f>
        <v>#INVALID COMPANY ID</v>
      </c>
      <c r="T495" s="9" t="str">
        <f>_xll.SNL.Clients.Office.Excel.Functions.SPG(Q495, "SP_COUNTRY_NAME")</f>
        <v>#INVALID COMPANY ID</v>
      </c>
      <c r="Y495" s="9" t="str">
        <f>_xll.SNL.Clients.Office.Excel.Functions.SPG(V495, "SP_COUNTRY_NAME")</f>
        <v>#INVALID COMPANY ID</v>
      </c>
      <c r="AD495" s="9" t="str">
        <f>_xll.SNL.Clients.Office.Excel.Functions.SPG(AA495, "SP_COUNTRY_NAME")</f>
        <v>#INVALID COMPANY ID</v>
      </c>
      <c r="AI495" s="9" t="str">
        <f>_xll.SNL.Clients.Office.Excel.Functions.SPG(AF495, "SP_COUNTRY_NAME")</f>
        <v>#INVALID COMPANY ID</v>
      </c>
      <c r="AN495" s="9" t="str">
        <f>_xll.SNL.Clients.Office.Excel.Functions.SPG(AK495, "SP_COUNTRY_NAME")</f>
        <v>#INVALID COMPANY ID</v>
      </c>
      <c r="AS495" s="9" t="str">
        <f>_xll.SNL.Clients.Office.Excel.Functions.SPG(AP495, "SP_COUNTRY_NAME")</f>
        <v>#INVALID COMPANY ID</v>
      </c>
      <c r="AX495" s="9" t="str">
        <f>_xll.SNL.Clients.Office.Excel.Functions.SPG(AU495, "SP_COUNTRY_NAME")</f>
        <v>#INVALID COMPANY ID</v>
      </c>
      <c r="BC495" s="9" t="str">
        <f>_xll.SNL.Clients.Office.Excel.Functions.SPG(AZ495, "SP_COUNTRY_NAME")</f>
        <v>#INVALID COMPANY ID</v>
      </c>
      <c r="BD495" t="s">
        <v>1549</v>
      </c>
      <c r="BE495">
        <v>4332725</v>
      </c>
      <c r="BF495" t="s">
        <v>346</v>
      </c>
      <c r="BG495" s="11">
        <v>0</v>
      </c>
      <c r="BH495" s="9" t="str">
        <f>_xll.SNL.Clients.Office.Excel.Functions.SPG(BE495, "SP_COUNTRY_NAME")</f>
        <v>Canada</v>
      </c>
      <c r="BM495" s="9" t="str">
        <f>_xll.SNL.Clients.Office.Excel.Functions.SPG(BJ495, "SP_COUNTRY_NAME")</f>
        <v>#INVALID COMPANY ID</v>
      </c>
      <c r="BR495" s="9" t="str">
        <f>_xll.SNL.Clients.Office.Excel.Functions.SPG(BO495, "SP_COUNTRY_NAME")</f>
        <v>#INVALID COMPANY ID</v>
      </c>
      <c r="BS495" t="s">
        <v>874</v>
      </c>
      <c r="BT495">
        <v>4111802</v>
      </c>
      <c r="BU495" t="s">
        <v>346</v>
      </c>
      <c r="BV495" s="11">
        <v>0</v>
      </c>
      <c r="BW495" s="9" t="str">
        <f>_xll.SNL.Clients.Office.Excel.Functions.SPG(BT495, "SP_COUNTRY_NAME")</f>
        <v>Japan</v>
      </c>
      <c r="CB495" s="9" t="str">
        <f>_xll.SNL.Clients.Office.Excel.Functions.SPG(BY495, "SP_COUNTRY_NAME")</f>
        <v>#INVALID COMPANY ID</v>
      </c>
      <c r="CC495" t="s">
        <v>1903</v>
      </c>
      <c r="CD495">
        <v>29210376</v>
      </c>
      <c r="CE495" t="s">
        <v>346</v>
      </c>
      <c r="CF495" s="11">
        <v>0</v>
      </c>
      <c r="CG495" s="9" t="str">
        <f>_xll.SNL.Clients.Office.Excel.Functions.SPG(CD495, "SP_COUNTRY_NAME")</f>
        <v>Brazil</v>
      </c>
      <c r="CL495" s="9" t="str">
        <f>_xll.SNL.Clients.Office.Excel.Functions.SPG(CI495, "SP_COUNTRY_NAME")</f>
        <v>#INVALID COMPANY ID</v>
      </c>
      <c r="CM495" t="s">
        <v>1881</v>
      </c>
      <c r="CN495">
        <v>4093415</v>
      </c>
      <c r="CO495" t="s">
        <v>346</v>
      </c>
      <c r="CP495" s="11">
        <v>0</v>
      </c>
      <c r="CQ495" s="9" t="str">
        <f>_xll.SNL.Clients.Office.Excel.Functions.SPG(CN495, "SP_COUNTRY_NAME")</f>
        <v>USA</v>
      </c>
      <c r="CV495" s="9" t="str">
        <f>_xll.SNL.Clients.Office.Excel.Functions.SPG(CS495, "SP_COUNTRY_NAME")</f>
        <v>#INVALID COMPANY ID</v>
      </c>
      <c r="DA495" s="9" t="str">
        <f>_xll.SNL.Clients.Office.Excel.Functions.SPG(CX495, "SP_COUNTRY_NAME")</f>
        <v>#INVALID COMPANY ID</v>
      </c>
      <c r="DB495" t="s">
        <v>1549</v>
      </c>
      <c r="DC495">
        <v>4332725</v>
      </c>
      <c r="DD495" t="s">
        <v>346</v>
      </c>
      <c r="DE495" s="11">
        <v>0</v>
      </c>
      <c r="DF495" s="9" t="str">
        <f>_xll.SNL.Clients.Office.Excel.Functions.SPG(DC495, "SP_COUNTRY_NAME")</f>
        <v>Canada</v>
      </c>
      <c r="DK495" s="9" t="str">
        <f>_xll.SNL.Clients.Office.Excel.Functions.SPG(DH495, "SP_COUNTRY_NAME")</f>
        <v>#INVALID COMPANY ID</v>
      </c>
      <c r="DL495" t="s">
        <v>1549</v>
      </c>
      <c r="DM495">
        <v>4332725</v>
      </c>
      <c r="DN495" t="s">
        <v>346</v>
      </c>
      <c r="DO495" s="11">
        <v>0</v>
      </c>
      <c r="DP495" s="9" t="str">
        <f>_xll.SNL.Clients.Office.Excel.Functions.SPG(DM495, "SP_COUNTRY_NAME")</f>
        <v>Canada</v>
      </c>
      <c r="DU495" s="9" t="str">
        <f>_xll.SNL.Clients.Office.Excel.Functions.SPG(DR495, "SP_COUNTRY_NAME")</f>
        <v>#INVALID COMPANY ID</v>
      </c>
      <c r="DZ495" s="9" t="str">
        <f>_xll.SNL.Clients.Office.Excel.Functions.SPG(DW495, "SP_COUNTRY_NAME")</f>
        <v>#INVALID COMPANY ID</v>
      </c>
      <c r="EA495" t="s">
        <v>1903</v>
      </c>
      <c r="EB495">
        <v>29210376</v>
      </c>
      <c r="EC495" t="s">
        <v>346</v>
      </c>
      <c r="ED495" s="11">
        <v>0</v>
      </c>
      <c r="EE495" s="9" t="str">
        <f>_xll.SNL.Clients.Office.Excel.Functions.SPG(EB495, "SP_COUNTRY_NAME")</f>
        <v>Brazil</v>
      </c>
      <c r="EF495" t="s">
        <v>1549</v>
      </c>
      <c r="EG495">
        <v>4332725</v>
      </c>
      <c r="EH495" t="s">
        <v>346</v>
      </c>
      <c r="EI495" s="11">
        <v>0</v>
      </c>
      <c r="EJ495" s="9" t="str">
        <f>_xll.SNL.Clients.Office.Excel.Functions.SPG(EG495, "SP_COUNTRY_NAME")</f>
        <v>Canada</v>
      </c>
      <c r="EO495" s="9" t="str">
        <f>_xll.SNL.Clients.Office.Excel.Functions.SPG(EL495, "SP_COUNTRY_NAME")</f>
        <v>#INVALID COMPANY ID</v>
      </c>
      <c r="ET495" s="9" t="str">
        <f>_xll.SNL.Clients.Office.Excel.Functions.SPG(EQ495, "SP_COUNTRY_NAME")</f>
        <v>#INVALID COMPANY ID</v>
      </c>
      <c r="EY495" s="9" t="str">
        <f>_xll.SNL.Clients.Office.Excel.Functions.SPG(EV495, "SP_COUNTRY_NAME")</f>
        <v>#INVALID COMPANY ID</v>
      </c>
      <c r="FD495" s="9" t="str">
        <f>_xll.SNL.Clients.Office.Excel.Functions.SPG(FA495, "SP_COUNTRY_NAME")</f>
        <v>#INVALID COMPANY ID</v>
      </c>
      <c r="FI495" s="9" t="str">
        <f>_xll.SNL.Clients.Office.Excel.Functions.SPG(FF495, "SP_COUNTRY_NAME")</f>
        <v>#INVALID COMPANY ID</v>
      </c>
      <c r="FN495" s="9" t="str">
        <f>_xll.SNL.Clients.Office.Excel.Functions.SPG(FK495, "SP_COUNTRY_NAME")</f>
        <v>#INVALID COMPANY ID</v>
      </c>
      <c r="FS495" s="9" t="str">
        <f>_xll.SNL.Clients.Office.Excel.Functions.SPG(FP495, "SP_COUNTRY_NAME")</f>
        <v>#INVALID COMPANY ID</v>
      </c>
      <c r="FX495" s="9" t="str">
        <f>_xll.SNL.Clients.Office.Excel.Functions.SPG(FU495, "SP_COUNTRY_NAME")</f>
        <v>#INVALID COMPANY ID</v>
      </c>
      <c r="FY495" t="s">
        <v>1549</v>
      </c>
      <c r="FZ495">
        <v>4332725</v>
      </c>
      <c r="GA495" t="s">
        <v>346</v>
      </c>
      <c r="GB495" s="11">
        <v>0</v>
      </c>
      <c r="GC495" s="9" t="str">
        <f>_xll.SNL.Clients.Office.Excel.Functions.SPG(FZ495, "SP_COUNTRY_NAME")</f>
        <v>Canada</v>
      </c>
      <c r="GH495" s="9" t="str">
        <f>_xll.SNL.Clients.Office.Excel.Functions.SPG(GE495, "SP_COUNTRY_NAME")</f>
        <v>#INVALID COMPANY ID</v>
      </c>
      <c r="GM495" s="9" t="str">
        <f>_xll.SNL.Clients.Office.Excel.Functions.SPG(GJ495, "SP_COUNTRY_NAME")</f>
        <v>#INVALID COMPANY ID</v>
      </c>
      <c r="GR495" s="9" t="str">
        <f>_xll.SNL.Clients.Office.Excel.Functions.SPG(GO495, "SP_COUNTRY_NAME")</f>
        <v>#INVALID COMPANY ID</v>
      </c>
      <c r="GW495" s="9" t="str">
        <f>_xll.SNL.Clients.Office.Excel.Functions.SPG(GT495, "SP_COUNTRY_NAME")</f>
        <v>#INVALID COMPANY ID</v>
      </c>
      <c r="GX495" t="s">
        <v>1903</v>
      </c>
      <c r="GY495">
        <v>29210376</v>
      </c>
      <c r="GZ495" t="s">
        <v>346</v>
      </c>
      <c r="HA495" s="11">
        <v>0</v>
      </c>
      <c r="HB495" s="9" t="str">
        <f>_xll.SNL.Clients.Office.Excel.Functions.SPG(GY495, "SP_COUNTRY_NAME")</f>
        <v>Brazil</v>
      </c>
      <c r="HG495" s="9" t="str">
        <f>_xll.SNL.Clients.Office.Excel.Functions.SPG(HD495, "SP_COUNTRY_NAME")</f>
        <v>#INVALID COMPANY ID</v>
      </c>
    </row>
    <row r="496" spans="5:215" x14ac:dyDescent="0.35">
      <c r="E496" s="9" t="str">
        <f>_xll.SNL.Clients.Office.Excel.Functions.SPG(B496, "SP_COUNTRY_NAME")</f>
        <v>#INVALID COMPANY ID</v>
      </c>
      <c r="J496" s="9" t="str">
        <f>_xll.SNL.Clients.Office.Excel.Functions.SPG(G496, "SP_COUNTRY_NAME")</f>
        <v>#INVALID COMPANY ID</v>
      </c>
      <c r="O496" s="9" t="str">
        <f>_xll.SNL.Clients.Office.Excel.Functions.SPG(L496, "SP_COUNTRY_NAME")</f>
        <v>#INVALID COMPANY ID</v>
      </c>
      <c r="T496" s="9" t="str">
        <f>_xll.SNL.Clients.Office.Excel.Functions.SPG(Q496, "SP_COUNTRY_NAME")</f>
        <v>#INVALID COMPANY ID</v>
      </c>
      <c r="Y496" s="9" t="str">
        <f>_xll.SNL.Clients.Office.Excel.Functions.SPG(V496, "SP_COUNTRY_NAME")</f>
        <v>#INVALID COMPANY ID</v>
      </c>
      <c r="AD496" s="9" t="str">
        <f>_xll.SNL.Clients.Office.Excel.Functions.SPG(AA496, "SP_COUNTRY_NAME")</f>
        <v>#INVALID COMPANY ID</v>
      </c>
      <c r="AI496" s="9" t="str">
        <f>_xll.SNL.Clients.Office.Excel.Functions.SPG(AF496, "SP_COUNTRY_NAME")</f>
        <v>#INVALID COMPANY ID</v>
      </c>
      <c r="AN496" s="9" t="str">
        <f>_xll.SNL.Clients.Office.Excel.Functions.SPG(AK496, "SP_COUNTRY_NAME")</f>
        <v>#INVALID COMPANY ID</v>
      </c>
      <c r="AS496" s="9" t="str">
        <f>_xll.SNL.Clients.Office.Excel.Functions.SPG(AP496, "SP_COUNTRY_NAME")</f>
        <v>#INVALID COMPANY ID</v>
      </c>
      <c r="AX496" s="9" t="str">
        <f>_xll.SNL.Clients.Office.Excel.Functions.SPG(AU496, "SP_COUNTRY_NAME")</f>
        <v>#INVALID COMPANY ID</v>
      </c>
      <c r="BC496" s="9" t="str">
        <f>_xll.SNL.Clients.Office.Excel.Functions.SPG(AZ496, "SP_COUNTRY_NAME")</f>
        <v>#INVALID COMPANY ID</v>
      </c>
      <c r="BD496" t="s">
        <v>1363</v>
      </c>
      <c r="BE496">
        <v>13069459</v>
      </c>
      <c r="BF496" t="s">
        <v>346</v>
      </c>
      <c r="BG496" s="11">
        <v>0</v>
      </c>
      <c r="BH496" s="9" t="str">
        <f>_xll.SNL.Clients.Office.Excel.Functions.SPG(BE496, "SP_COUNTRY_NAME")</f>
        <v>South Africa</v>
      </c>
      <c r="BM496" s="9" t="str">
        <f>_xll.SNL.Clients.Office.Excel.Functions.SPG(BJ496, "SP_COUNTRY_NAME")</f>
        <v>#INVALID COMPANY ID</v>
      </c>
      <c r="BR496" s="9" t="str">
        <f>_xll.SNL.Clients.Office.Excel.Functions.SPG(BO496, "SP_COUNTRY_NAME")</f>
        <v>#INVALID COMPANY ID</v>
      </c>
      <c r="BS496" t="s">
        <v>1101</v>
      </c>
      <c r="BT496">
        <v>109805</v>
      </c>
      <c r="BU496" t="s">
        <v>346</v>
      </c>
      <c r="BV496" s="11">
        <v>0</v>
      </c>
      <c r="BW496" s="9" t="str">
        <f>_xll.SNL.Clients.Office.Excel.Functions.SPG(BT496, "SP_COUNTRY_NAME")</f>
        <v>USA</v>
      </c>
      <c r="CB496" s="9" t="str">
        <f>_xll.SNL.Clients.Office.Excel.Functions.SPG(BY496, "SP_COUNTRY_NAME")</f>
        <v>#INVALID COMPANY ID</v>
      </c>
      <c r="CC496" t="s">
        <v>1904</v>
      </c>
      <c r="CD496">
        <v>4283291</v>
      </c>
      <c r="CE496" t="s">
        <v>276</v>
      </c>
      <c r="CF496" s="11">
        <v>0</v>
      </c>
      <c r="CG496" s="9" t="str">
        <f>_xll.SNL.Clients.Office.Excel.Functions.SPG(CD496, "SP_COUNTRY_NAME")</f>
        <v>USA</v>
      </c>
      <c r="CL496" s="9" t="str">
        <f>_xll.SNL.Clients.Office.Excel.Functions.SPG(CI496, "SP_COUNTRY_NAME")</f>
        <v>#INVALID COMPANY ID</v>
      </c>
      <c r="CM496" t="s">
        <v>2124</v>
      </c>
      <c r="CN496">
        <v>4117553</v>
      </c>
      <c r="CO496" t="s">
        <v>346</v>
      </c>
      <c r="CP496" s="11">
        <v>0</v>
      </c>
      <c r="CQ496" s="9" t="str">
        <f>_xll.SNL.Clients.Office.Excel.Functions.SPG(CN496, "SP_COUNTRY_NAME")</f>
        <v>USA</v>
      </c>
      <c r="CV496" s="9" t="str">
        <f>_xll.SNL.Clients.Office.Excel.Functions.SPG(CS496, "SP_COUNTRY_NAME")</f>
        <v>#INVALID COMPANY ID</v>
      </c>
      <c r="DA496" s="9" t="str">
        <f>_xll.SNL.Clients.Office.Excel.Functions.SPG(CX496, "SP_COUNTRY_NAME")</f>
        <v>#INVALID COMPANY ID</v>
      </c>
      <c r="DB496" t="s">
        <v>1363</v>
      </c>
      <c r="DC496">
        <v>13069459</v>
      </c>
      <c r="DD496" t="s">
        <v>346</v>
      </c>
      <c r="DE496" s="11">
        <v>0</v>
      </c>
      <c r="DF496" s="9" t="str">
        <f>_xll.SNL.Clients.Office.Excel.Functions.SPG(DC496, "SP_COUNTRY_NAME")</f>
        <v>South Africa</v>
      </c>
      <c r="DK496" s="9" t="str">
        <f>_xll.SNL.Clients.Office.Excel.Functions.SPG(DH496, "SP_COUNTRY_NAME")</f>
        <v>#INVALID COMPANY ID</v>
      </c>
      <c r="DL496" t="s">
        <v>1363</v>
      </c>
      <c r="DM496">
        <v>13069459</v>
      </c>
      <c r="DN496" t="s">
        <v>346</v>
      </c>
      <c r="DO496" s="11">
        <v>0</v>
      </c>
      <c r="DP496" s="9" t="str">
        <f>_xll.SNL.Clients.Office.Excel.Functions.SPG(DM496, "SP_COUNTRY_NAME")</f>
        <v>South Africa</v>
      </c>
      <c r="DU496" s="9" t="str">
        <f>_xll.SNL.Clients.Office.Excel.Functions.SPG(DR496, "SP_COUNTRY_NAME")</f>
        <v>#INVALID COMPANY ID</v>
      </c>
      <c r="DZ496" s="9" t="str">
        <f>_xll.SNL.Clients.Office.Excel.Functions.SPG(DW496, "SP_COUNTRY_NAME")</f>
        <v>#INVALID COMPANY ID</v>
      </c>
      <c r="EA496" t="s">
        <v>1904</v>
      </c>
      <c r="EB496">
        <v>4283291</v>
      </c>
      <c r="EC496" t="s">
        <v>276</v>
      </c>
      <c r="ED496" s="11">
        <v>0</v>
      </c>
      <c r="EE496" s="9" t="str">
        <f>_xll.SNL.Clients.Office.Excel.Functions.SPG(EB496, "SP_COUNTRY_NAME")</f>
        <v>USA</v>
      </c>
      <c r="EF496" t="s">
        <v>1363</v>
      </c>
      <c r="EG496">
        <v>13069459</v>
      </c>
      <c r="EH496" t="s">
        <v>346</v>
      </c>
      <c r="EI496" s="11">
        <v>0</v>
      </c>
      <c r="EJ496" s="9" t="str">
        <f>_xll.SNL.Clients.Office.Excel.Functions.SPG(EG496, "SP_COUNTRY_NAME")</f>
        <v>South Africa</v>
      </c>
      <c r="EO496" s="9" t="str">
        <f>_xll.SNL.Clients.Office.Excel.Functions.SPG(EL496, "SP_COUNTRY_NAME")</f>
        <v>#INVALID COMPANY ID</v>
      </c>
      <c r="ET496" s="9" t="str">
        <f>_xll.SNL.Clients.Office.Excel.Functions.SPG(EQ496, "SP_COUNTRY_NAME")</f>
        <v>#INVALID COMPANY ID</v>
      </c>
      <c r="EY496" s="9" t="str">
        <f>_xll.SNL.Clients.Office.Excel.Functions.SPG(EV496, "SP_COUNTRY_NAME")</f>
        <v>#INVALID COMPANY ID</v>
      </c>
      <c r="FD496" s="9" t="str">
        <f>_xll.SNL.Clients.Office.Excel.Functions.SPG(FA496, "SP_COUNTRY_NAME")</f>
        <v>#INVALID COMPANY ID</v>
      </c>
      <c r="FI496" s="9" t="str">
        <f>_xll.SNL.Clients.Office.Excel.Functions.SPG(FF496, "SP_COUNTRY_NAME")</f>
        <v>#INVALID COMPANY ID</v>
      </c>
      <c r="FN496" s="9" t="str">
        <f>_xll.SNL.Clients.Office.Excel.Functions.SPG(FK496, "SP_COUNTRY_NAME")</f>
        <v>#INVALID COMPANY ID</v>
      </c>
      <c r="FS496" s="9" t="str">
        <f>_xll.SNL.Clients.Office.Excel.Functions.SPG(FP496, "SP_COUNTRY_NAME")</f>
        <v>#INVALID COMPANY ID</v>
      </c>
      <c r="FX496" s="9" t="str">
        <f>_xll.SNL.Clients.Office.Excel.Functions.SPG(FU496, "SP_COUNTRY_NAME")</f>
        <v>#INVALID COMPANY ID</v>
      </c>
      <c r="FY496" t="s">
        <v>1363</v>
      </c>
      <c r="FZ496">
        <v>13069459</v>
      </c>
      <c r="GA496" t="s">
        <v>346</v>
      </c>
      <c r="GB496" s="11">
        <v>0</v>
      </c>
      <c r="GC496" s="9" t="str">
        <f>_xll.SNL.Clients.Office.Excel.Functions.SPG(FZ496, "SP_COUNTRY_NAME")</f>
        <v>South Africa</v>
      </c>
      <c r="GH496" s="9" t="str">
        <f>_xll.SNL.Clients.Office.Excel.Functions.SPG(GE496, "SP_COUNTRY_NAME")</f>
        <v>#INVALID COMPANY ID</v>
      </c>
      <c r="GM496" s="9" t="str">
        <f>_xll.SNL.Clients.Office.Excel.Functions.SPG(GJ496, "SP_COUNTRY_NAME")</f>
        <v>#INVALID COMPANY ID</v>
      </c>
      <c r="GR496" s="9" t="str">
        <f>_xll.SNL.Clients.Office.Excel.Functions.SPG(GO496, "SP_COUNTRY_NAME")</f>
        <v>#INVALID COMPANY ID</v>
      </c>
      <c r="GW496" s="9" t="str">
        <f>_xll.SNL.Clients.Office.Excel.Functions.SPG(GT496, "SP_COUNTRY_NAME")</f>
        <v>#INVALID COMPANY ID</v>
      </c>
      <c r="GX496" t="s">
        <v>1904</v>
      </c>
      <c r="GY496">
        <v>4283291</v>
      </c>
      <c r="GZ496" t="s">
        <v>276</v>
      </c>
      <c r="HA496" s="11">
        <v>0</v>
      </c>
      <c r="HB496" s="9" t="str">
        <f>_xll.SNL.Clients.Office.Excel.Functions.SPG(GY496, "SP_COUNTRY_NAME")</f>
        <v>USA</v>
      </c>
      <c r="HG496" s="9" t="str">
        <f>_xll.SNL.Clients.Office.Excel.Functions.SPG(HD496, "SP_COUNTRY_NAME")</f>
        <v>#INVALID COMPANY ID</v>
      </c>
    </row>
    <row r="497" spans="5:215" x14ac:dyDescent="0.35">
      <c r="E497" s="9" t="str">
        <f>_xll.SNL.Clients.Office.Excel.Functions.SPG(B497, "SP_COUNTRY_NAME")</f>
        <v>#INVALID COMPANY ID</v>
      </c>
      <c r="J497" s="9" t="str">
        <f>_xll.SNL.Clients.Office.Excel.Functions.SPG(G497, "SP_COUNTRY_NAME")</f>
        <v>#INVALID COMPANY ID</v>
      </c>
      <c r="O497" s="9" t="str">
        <f>_xll.SNL.Clients.Office.Excel.Functions.SPG(L497, "SP_COUNTRY_NAME")</f>
        <v>#INVALID COMPANY ID</v>
      </c>
      <c r="T497" s="9" t="str">
        <f>_xll.SNL.Clients.Office.Excel.Functions.SPG(Q497, "SP_COUNTRY_NAME")</f>
        <v>#INVALID COMPANY ID</v>
      </c>
      <c r="Y497" s="9" t="str">
        <f>_xll.SNL.Clients.Office.Excel.Functions.SPG(V497, "SP_COUNTRY_NAME")</f>
        <v>#INVALID COMPANY ID</v>
      </c>
      <c r="AD497" s="9" t="str">
        <f>_xll.SNL.Clients.Office.Excel.Functions.SPG(AA497, "SP_COUNTRY_NAME")</f>
        <v>#INVALID COMPANY ID</v>
      </c>
      <c r="AI497" s="9" t="str">
        <f>_xll.SNL.Clients.Office.Excel.Functions.SPG(AF497, "SP_COUNTRY_NAME")</f>
        <v>#INVALID COMPANY ID</v>
      </c>
      <c r="AN497" s="9" t="str">
        <f>_xll.SNL.Clients.Office.Excel.Functions.SPG(AK497, "SP_COUNTRY_NAME")</f>
        <v>#INVALID COMPANY ID</v>
      </c>
      <c r="AS497" s="9" t="str">
        <f>_xll.SNL.Clients.Office.Excel.Functions.SPG(AP497, "SP_COUNTRY_NAME")</f>
        <v>#INVALID COMPANY ID</v>
      </c>
      <c r="AX497" s="9" t="str">
        <f>_xll.SNL.Clients.Office.Excel.Functions.SPG(AU497, "SP_COUNTRY_NAME")</f>
        <v>#INVALID COMPANY ID</v>
      </c>
      <c r="BC497" s="9" t="str">
        <f>_xll.SNL.Clients.Office.Excel.Functions.SPG(AZ497, "SP_COUNTRY_NAME")</f>
        <v>#INVALID COMPANY ID</v>
      </c>
      <c r="BD497" t="s">
        <v>1550</v>
      </c>
      <c r="BE497">
        <v>6442762</v>
      </c>
      <c r="BF497" t="s">
        <v>346</v>
      </c>
      <c r="BG497" s="11">
        <v>0</v>
      </c>
      <c r="BH497" s="9" t="str">
        <f>_xll.SNL.Clients.Office.Excel.Functions.SPG(BE497, "SP_COUNTRY_NAME")</f>
        <v>South Africa</v>
      </c>
      <c r="BM497" s="9" t="str">
        <f>_xll.SNL.Clients.Office.Excel.Functions.SPG(BJ497, "SP_COUNTRY_NAME")</f>
        <v>#INVALID COMPANY ID</v>
      </c>
      <c r="BR497" s="9" t="str">
        <f>_xll.SNL.Clients.Office.Excel.Functions.SPG(BO497, "SP_COUNTRY_NAME")</f>
        <v>#INVALID COMPANY ID</v>
      </c>
      <c r="BS497" t="s">
        <v>1102</v>
      </c>
      <c r="BT497">
        <v>6399878</v>
      </c>
      <c r="BU497" t="s">
        <v>346</v>
      </c>
      <c r="BV497" s="11">
        <v>0</v>
      </c>
      <c r="BW497" s="9" t="str">
        <f>_xll.SNL.Clients.Office.Excel.Functions.SPG(BT497, "SP_COUNTRY_NAME")</f>
        <v>Luxembourg</v>
      </c>
      <c r="CB497" s="9" t="str">
        <f>_xll.SNL.Clients.Office.Excel.Functions.SPG(BY497, "SP_COUNTRY_NAME")</f>
        <v>#INVALID COMPANY ID</v>
      </c>
      <c r="CC497" t="s">
        <v>1905</v>
      </c>
      <c r="CD497">
        <v>4338506</v>
      </c>
      <c r="CE497" t="s">
        <v>346</v>
      </c>
      <c r="CF497" s="11">
        <v>0</v>
      </c>
      <c r="CG497" s="9" t="str">
        <f>_xll.SNL.Clients.Office.Excel.Functions.SPG(CD497, "SP_COUNTRY_NAME")</f>
        <v>USA</v>
      </c>
      <c r="CL497" s="9" t="str">
        <f>_xll.SNL.Clients.Office.Excel.Functions.SPG(CI497, "SP_COUNTRY_NAME")</f>
        <v>#INVALID COMPANY ID</v>
      </c>
      <c r="CM497" t="s">
        <v>2125</v>
      </c>
      <c r="CN497">
        <v>109983282</v>
      </c>
      <c r="CO497" t="s">
        <v>346</v>
      </c>
      <c r="CP497" s="11">
        <v>0</v>
      </c>
      <c r="CQ497" s="9" t="str">
        <f>_xll.SNL.Clients.Office.Excel.Functions.SPG(CN497, "SP_COUNTRY_NAME")</f>
        <v>USA</v>
      </c>
      <c r="CV497" s="9" t="str">
        <f>_xll.SNL.Clients.Office.Excel.Functions.SPG(CS497, "SP_COUNTRY_NAME")</f>
        <v>#INVALID COMPANY ID</v>
      </c>
      <c r="DA497" s="9" t="str">
        <f>_xll.SNL.Clients.Office.Excel.Functions.SPG(CX497, "SP_COUNTRY_NAME")</f>
        <v>#INVALID COMPANY ID</v>
      </c>
      <c r="DB497" t="s">
        <v>1550</v>
      </c>
      <c r="DC497">
        <v>6442762</v>
      </c>
      <c r="DD497" t="s">
        <v>346</v>
      </c>
      <c r="DE497" s="11">
        <v>0</v>
      </c>
      <c r="DF497" s="9" t="str">
        <f>_xll.SNL.Clients.Office.Excel.Functions.SPG(DC497, "SP_COUNTRY_NAME")</f>
        <v>South Africa</v>
      </c>
      <c r="DK497" s="9" t="str">
        <f>_xll.SNL.Clients.Office.Excel.Functions.SPG(DH497, "SP_COUNTRY_NAME")</f>
        <v>#INVALID COMPANY ID</v>
      </c>
      <c r="DL497" t="s">
        <v>1550</v>
      </c>
      <c r="DM497">
        <v>6442762</v>
      </c>
      <c r="DN497" t="s">
        <v>346</v>
      </c>
      <c r="DO497" s="11">
        <v>0</v>
      </c>
      <c r="DP497" s="9" t="str">
        <f>_xll.SNL.Clients.Office.Excel.Functions.SPG(DM497, "SP_COUNTRY_NAME")</f>
        <v>South Africa</v>
      </c>
      <c r="DU497" s="9" t="str">
        <f>_xll.SNL.Clients.Office.Excel.Functions.SPG(DR497, "SP_COUNTRY_NAME")</f>
        <v>#INVALID COMPANY ID</v>
      </c>
      <c r="DZ497" s="9" t="str">
        <f>_xll.SNL.Clients.Office.Excel.Functions.SPG(DW497, "SP_COUNTRY_NAME")</f>
        <v>#INVALID COMPANY ID</v>
      </c>
      <c r="EA497" t="s">
        <v>1905</v>
      </c>
      <c r="EB497">
        <v>4338506</v>
      </c>
      <c r="EC497" t="s">
        <v>346</v>
      </c>
      <c r="ED497" s="11">
        <v>0</v>
      </c>
      <c r="EE497" s="9" t="str">
        <f>_xll.SNL.Clients.Office.Excel.Functions.SPG(EB497, "SP_COUNTRY_NAME")</f>
        <v>USA</v>
      </c>
      <c r="EF497" t="s">
        <v>1550</v>
      </c>
      <c r="EG497">
        <v>6442762</v>
      </c>
      <c r="EH497" t="s">
        <v>346</v>
      </c>
      <c r="EI497" s="11">
        <v>0</v>
      </c>
      <c r="EJ497" s="9" t="str">
        <f>_xll.SNL.Clients.Office.Excel.Functions.SPG(EG497, "SP_COUNTRY_NAME")</f>
        <v>South Africa</v>
      </c>
      <c r="EO497" s="9" t="str">
        <f>_xll.SNL.Clients.Office.Excel.Functions.SPG(EL497, "SP_COUNTRY_NAME")</f>
        <v>#INVALID COMPANY ID</v>
      </c>
      <c r="ET497" s="9" t="str">
        <f>_xll.SNL.Clients.Office.Excel.Functions.SPG(EQ497, "SP_COUNTRY_NAME")</f>
        <v>#INVALID COMPANY ID</v>
      </c>
      <c r="EY497" s="9" t="str">
        <f>_xll.SNL.Clients.Office.Excel.Functions.SPG(EV497, "SP_COUNTRY_NAME")</f>
        <v>#INVALID COMPANY ID</v>
      </c>
      <c r="FD497" s="9" t="str">
        <f>_xll.SNL.Clients.Office.Excel.Functions.SPG(FA497, "SP_COUNTRY_NAME")</f>
        <v>#INVALID COMPANY ID</v>
      </c>
      <c r="FI497" s="9" t="str">
        <f>_xll.SNL.Clients.Office.Excel.Functions.SPG(FF497, "SP_COUNTRY_NAME")</f>
        <v>#INVALID COMPANY ID</v>
      </c>
      <c r="FN497" s="9" t="str">
        <f>_xll.SNL.Clients.Office.Excel.Functions.SPG(FK497, "SP_COUNTRY_NAME")</f>
        <v>#INVALID COMPANY ID</v>
      </c>
      <c r="FS497" s="9" t="str">
        <f>_xll.SNL.Clients.Office.Excel.Functions.SPG(FP497, "SP_COUNTRY_NAME")</f>
        <v>#INVALID COMPANY ID</v>
      </c>
      <c r="FX497" s="9" t="str">
        <f>_xll.SNL.Clients.Office.Excel.Functions.SPG(FU497, "SP_COUNTRY_NAME")</f>
        <v>#INVALID COMPANY ID</v>
      </c>
      <c r="FY497" t="s">
        <v>1550</v>
      </c>
      <c r="FZ497">
        <v>6442762</v>
      </c>
      <c r="GA497" t="s">
        <v>346</v>
      </c>
      <c r="GB497" s="11">
        <v>0</v>
      </c>
      <c r="GC497" s="9" t="str">
        <f>_xll.SNL.Clients.Office.Excel.Functions.SPG(FZ497, "SP_COUNTRY_NAME")</f>
        <v>South Africa</v>
      </c>
      <c r="GH497" s="9" t="str">
        <f>_xll.SNL.Clients.Office.Excel.Functions.SPG(GE497, "SP_COUNTRY_NAME")</f>
        <v>#INVALID COMPANY ID</v>
      </c>
      <c r="GM497" s="9" t="str">
        <f>_xll.SNL.Clients.Office.Excel.Functions.SPG(GJ497, "SP_COUNTRY_NAME")</f>
        <v>#INVALID COMPANY ID</v>
      </c>
      <c r="GR497" s="9" t="str">
        <f>_xll.SNL.Clients.Office.Excel.Functions.SPG(GO497, "SP_COUNTRY_NAME")</f>
        <v>#INVALID COMPANY ID</v>
      </c>
      <c r="GW497" s="9" t="str">
        <f>_xll.SNL.Clients.Office.Excel.Functions.SPG(GT497, "SP_COUNTRY_NAME")</f>
        <v>#INVALID COMPANY ID</v>
      </c>
      <c r="GX497" t="s">
        <v>1905</v>
      </c>
      <c r="GY497">
        <v>4338506</v>
      </c>
      <c r="GZ497" t="s">
        <v>346</v>
      </c>
      <c r="HA497" s="11">
        <v>0</v>
      </c>
      <c r="HB497" s="9" t="str">
        <f>_xll.SNL.Clients.Office.Excel.Functions.SPG(GY497, "SP_COUNTRY_NAME")</f>
        <v>USA</v>
      </c>
      <c r="HG497" s="9" t="str">
        <f>_xll.SNL.Clients.Office.Excel.Functions.SPG(HD497, "SP_COUNTRY_NAME")</f>
        <v>#INVALID COMPANY ID</v>
      </c>
    </row>
    <row r="498" spans="5:215" x14ac:dyDescent="0.35">
      <c r="E498" s="9" t="str">
        <f>_xll.SNL.Clients.Office.Excel.Functions.SPG(B498, "SP_COUNTRY_NAME")</f>
        <v>#INVALID COMPANY ID</v>
      </c>
      <c r="J498" s="9" t="str">
        <f>_xll.SNL.Clients.Office.Excel.Functions.SPG(G498, "SP_COUNTRY_NAME")</f>
        <v>#INVALID COMPANY ID</v>
      </c>
      <c r="O498" s="9" t="str">
        <f>_xll.SNL.Clients.Office.Excel.Functions.SPG(L498, "SP_COUNTRY_NAME")</f>
        <v>#INVALID COMPANY ID</v>
      </c>
      <c r="T498" s="9" t="str">
        <f>_xll.SNL.Clients.Office.Excel.Functions.SPG(Q498, "SP_COUNTRY_NAME")</f>
        <v>#INVALID COMPANY ID</v>
      </c>
      <c r="Y498" s="9" t="str">
        <f>_xll.SNL.Clients.Office.Excel.Functions.SPG(V498, "SP_COUNTRY_NAME")</f>
        <v>#INVALID COMPANY ID</v>
      </c>
      <c r="AD498" s="9" t="str">
        <f>_xll.SNL.Clients.Office.Excel.Functions.SPG(AA498, "SP_COUNTRY_NAME")</f>
        <v>#INVALID COMPANY ID</v>
      </c>
      <c r="AI498" s="9" t="str">
        <f>_xll.SNL.Clients.Office.Excel.Functions.SPG(AF498, "SP_COUNTRY_NAME")</f>
        <v>#INVALID COMPANY ID</v>
      </c>
      <c r="AN498" s="9" t="str">
        <f>_xll.SNL.Clients.Office.Excel.Functions.SPG(AK498, "SP_COUNTRY_NAME")</f>
        <v>#INVALID COMPANY ID</v>
      </c>
      <c r="AS498" s="9" t="str">
        <f>_xll.SNL.Clients.Office.Excel.Functions.SPG(AP498, "SP_COUNTRY_NAME")</f>
        <v>#INVALID COMPANY ID</v>
      </c>
      <c r="AX498" s="9" t="str">
        <f>_xll.SNL.Clients.Office.Excel.Functions.SPG(AU498, "SP_COUNTRY_NAME")</f>
        <v>#INVALID COMPANY ID</v>
      </c>
      <c r="BC498" s="9" t="str">
        <f>_xll.SNL.Clients.Office.Excel.Functions.SPG(AZ498, "SP_COUNTRY_NAME")</f>
        <v>#INVALID COMPANY ID</v>
      </c>
      <c r="BD498" t="s">
        <v>1551</v>
      </c>
      <c r="BE498">
        <v>111254</v>
      </c>
      <c r="BF498" t="s">
        <v>346</v>
      </c>
      <c r="BG498" s="11">
        <v>0</v>
      </c>
      <c r="BH498" s="9" t="str">
        <f>_xll.SNL.Clients.Office.Excel.Functions.SPG(BE498, "SP_COUNTRY_NAME")</f>
        <v>USA</v>
      </c>
      <c r="BM498" s="9" t="str">
        <f>_xll.SNL.Clients.Office.Excel.Functions.SPG(BJ498, "SP_COUNTRY_NAME")</f>
        <v>#INVALID COMPANY ID</v>
      </c>
      <c r="BR498" s="9" t="str">
        <f>_xll.SNL.Clients.Office.Excel.Functions.SPG(BO498, "SP_COUNTRY_NAME")</f>
        <v>#INVALID COMPANY ID</v>
      </c>
      <c r="BS498" t="s">
        <v>1103</v>
      </c>
      <c r="BT498">
        <v>4082660</v>
      </c>
      <c r="BU498" t="s">
        <v>346</v>
      </c>
      <c r="BV498" s="11">
        <v>0</v>
      </c>
      <c r="BW498" s="9" t="str">
        <f>_xll.SNL.Clients.Office.Excel.Functions.SPG(BT498, "SP_COUNTRY_NAME")</f>
        <v>USA</v>
      </c>
      <c r="CB498" s="9" t="str">
        <f>_xll.SNL.Clients.Office.Excel.Functions.SPG(BY498, "SP_COUNTRY_NAME")</f>
        <v>#INVALID COMPANY ID</v>
      </c>
      <c r="CC498" t="s">
        <v>1906</v>
      </c>
      <c r="CD498">
        <v>125096045</v>
      </c>
      <c r="CE498" t="s">
        <v>346</v>
      </c>
      <c r="CF498" s="11">
        <v>0</v>
      </c>
      <c r="CG498" s="9" t="str">
        <f>_xll.SNL.Clients.Office.Excel.Functions.SPG(CD498, "SP_COUNTRY_NAME")</f>
        <v>USA</v>
      </c>
      <c r="CL498" s="9" t="str">
        <f>_xll.SNL.Clients.Office.Excel.Functions.SPG(CI498, "SP_COUNTRY_NAME")</f>
        <v>#INVALID COMPANY ID</v>
      </c>
      <c r="CM498" t="s">
        <v>2126</v>
      </c>
      <c r="CN498">
        <v>20023863</v>
      </c>
      <c r="CO498" t="s">
        <v>346</v>
      </c>
      <c r="CP498" s="11">
        <v>0</v>
      </c>
      <c r="CQ498" s="9" t="str">
        <f>_xll.SNL.Clients.Office.Excel.Functions.SPG(CN498, "SP_COUNTRY_NAME")</f>
        <v>USA</v>
      </c>
      <c r="CV498" s="9" t="str">
        <f>_xll.SNL.Clients.Office.Excel.Functions.SPG(CS498, "SP_COUNTRY_NAME")</f>
        <v>#INVALID COMPANY ID</v>
      </c>
      <c r="DA498" s="9" t="str">
        <f>_xll.SNL.Clients.Office.Excel.Functions.SPG(CX498, "SP_COUNTRY_NAME")</f>
        <v>#INVALID COMPANY ID</v>
      </c>
      <c r="DB498" t="s">
        <v>1551</v>
      </c>
      <c r="DC498">
        <v>111254</v>
      </c>
      <c r="DD498" t="s">
        <v>346</v>
      </c>
      <c r="DE498" s="11">
        <v>0</v>
      </c>
      <c r="DF498" s="9" t="str">
        <f>_xll.SNL.Clients.Office.Excel.Functions.SPG(DC498, "SP_COUNTRY_NAME")</f>
        <v>USA</v>
      </c>
      <c r="DK498" s="9" t="str">
        <f>_xll.SNL.Clients.Office.Excel.Functions.SPG(DH498, "SP_COUNTRY_NAME")</f>
        <v>#INVALID COMPANY ID</v>
      </c>
      <c r="DL498" t="s">
        <v>1551</v>
      </c>
      <c r="DM498">
        <v>111254</v>
      </c>
      <c r="DN498" t="s">
        <v>346</v>
      </c>
      <c r="DO498" s="11">
        <v>0</v>
      </c>
      <c r="DP498" s="9" t="str">
        <f>_xll.SNL.Clients.Office.Excel.Functions.SPG(DM498, "SP_COUNTRY_NAME")</f>
        <v>USA</v>
      </c>
      <c r="DU498" s="9" t="str">
        <f>_xll.SNL.Clients.Office.Excel.Functions.SPG(DR498, "SP_COUNTRY_NAME")</f>
        <v>#INVALID COMPANY ID</v>
      </c>
      <c r="DZ498" s="9" t="str">
        <f>_xll.SNL.Clients.Office.Excel.Functions.SPG(DW498, "SP_COUNTRY_NAME")</f>
        <v>#INVALID COMPANY ID</v>
      </c>
      <c r="EA498" t="s">
        <v>1906</v>
      </c>
      <c r="EB498">
        <v>125096045</v>
      </c>
      <c r="EC498" t="s">
        <v>346</v>
      </c>
      <c r="ED498" s="11">
        <v>0</v>
      </c>
      <c r="EE498" s="9" t="str">
        <f>_xll.SNL.Clients.Office.Excel.Functions.SPG(EB498, "SP_COUNTRY_NAME")</f>
        <v>USA</v>
      </c>
      <c r="EF498" t="s">
        <v>1551</v>
      </c>
      <c r="EG498">
        <v>111254</v>
      </c>
      <c r="EH498" t="s">
        <v>346</v>
      </c>
      <c r="EI498" s="11">
        <v>0</v>
      </c>
      <c r="EJ498" s="9" t="str">
        <f>_xll.SNL.Clients.Office.Excel.Functions.SPG(EG498, "SP_COUNTRY_NAME")</f>
        <v>USA</v>
      </c>
      <c r="EO498" s="9" t="str">
        <f>_xll.SNL.Clients.Office.Excel.Functions.SPG(EL498, "SP_COUNTRY_NAME")</f>
        <v>#INVALID COMPANY ID</v>
      </c>
      <c r="ET498" s="9" t="str">
        <f>_xll.SNL.Clients.Office.Excel.Functions.SPG(EQ498, "SP_COUNTRY_NAME")</f>
        <v>#INVALID COMPANY ID</v>
      </c>
      <c r="EY498" s="9" t="str">
        <f>_xll.SNL.Clients.Office.Excel.Functions.SPG(EV498, "SP_COUNTRY_NAME")</f>
        <v>#INVALID COMPANY ID</v>
      </c>
      <c r="FD498" s="9" t="str">
        <f>_xll.SNL.Clients.Office.Excel.Functions.SPG(FA498, "SP_COUNTRY_NAME")</f>
        <v>#INVALID COMPANY ID</v>
      </c>
      <c r="FI498" s="9" t="str">
        <f>_xll.SNL.Clients.Office.Excel.Functions.SPG(FF498, "SP_COUNTRY_NAME")</f>
        <v>#INVALID COMPANY ID</v>
      </c>
      <c r="FN498" s="9" t="str">
        <f>_xll.SNL.Clients.Office.Excel.Functions.SPG(FK498, "SP_COUNTRY_NAME")</f>
        <v>#INVALID COMPANY ID</v>
      </c>
      <c r="FS498" s="9" t="str">
        <f>_xll.SNL.Clients.Office.Excel.Functions.SPG(FP498, "SP_COUNTRY_NAME")</f>
        <v>#INVALID COMPANY ID</v>
      </c>
      <c r="FX498" s="9" t="str">
        <f>_xll.SNL.Clients.Office.Excel.Functions.SPG(FU498, "SP_COUNTRY_NAME")</f>
        <v>#INVALID COMPANY ID</v>
      </c>
      <c r="FY498" t="s">
        <v>1551</v>
      </c>
      <c r="FZ498">
        <v>111254</v>
      </c>
      <c r="GA498" t="s">
        <v>346</v>
      </c>
      <c r="GB498" s="11">
        <v>0</v>
      </c>
      <c r="GC498" s="9" t="str">
        <f>_xll.SNL.Clients.Office.Excel.Functions.SPG(FZ498, "SP_COUNTRY_NAME")</f>
        <v>USA</v>
      </c>
      <c r="GH498" s="9" t="str">
        <f>_xll.SNL.Clients.Office.Excel.Functions.SPG(GE498, "SP_COUNTRY_NAME")</f>
        <v>#INVALID COMPANY ID</v>
      </c>
      <c r="GM498" s="9" t="str">
        <f>_xll.SNL.Clients.Office.Excel.Functions.SPG(GJ498, "SP_COUNTRY_NAME")</f>
        <v>#INVALID COMPANY ID</v>
      </c>
      <c r="GR498" s="9" t="str">
        <f>_xll.SNL.Clients.Office.Excel.Functions.SPG(GO498, "SP_COUNTRY_NAME")</f>
        <v>#INVALID COMPANY ID</v>
      </c>
      <c r="GW498" s="9" t="str">
        <f>_xll.SNL.Clients.Office.Excel.Functions.SPG(GT498, "SP_COUNTRY_NAME")</f>
        <v>#INVALID COMPANY ID</v>
      </c>
      <c r="GX498" t="s">
        <v>1906</v>
      </c>
      <c r="GY498">
        <v>125096045</v>
      </c>
      <c r="GZ498" t="s">
        <v>346</v>
      </c>
      <c r="HA498" s="11">
        <v>0</v>
      </c>
      <c r="HB498" s="9" t="str">
        <f>_xll.SNL.Clients.Office.Excel.Functions.SPG(GY498, "SP_COUNTRY_NAME")</f>
        <v>USA</v>
      </c>
      <c r="HG498" s="9" t="str">
        <f>_xll.SNL.Clients.Office.Excel.Functions.SPG(HD498, "SP_COUNTRY_NAME")</f>
        <v>#INVALID COMPANY ID</v>
      </c>
    </row>
    <row r="499" spans="5:215" x14ac:dyDescent="0.35">
      <c r="E499" s="9" t="str">
        <f>_xll.SNL.Clients.Office.Excel.Functions.SPG(B499, "SP_COUNTRY_NAME")</f>
        <v>#INVALID COMPANY ID</v>
      </c>
      <c r="J499" s="9" t="str">
        <f>_xll.SNL.Clients.Office.Excel.Functions.SPG(G499, "SP_COUNTRY_NAME")</f>
        <v>#INVALID COMPANY ID</v>
      </c>
      <c r="O499" s="9" t="str">
        <f>_xll.SNL.Clients.Office.Excel.Functions.SPG(L499, "SP_COUNTRY_NAME")</f>
        <v>#INVALID COMPANY ID</v>
      </c>
      <c r="T499" s="9" t="str">
        <f>_xll.SNL.Clients.Office.Excel.Functions.SPG(Q499, "SP_COUNTRY_NAME")</f>
        <v>#INVALID COMPANY ID</v>
      </c>
      <c r="Y499" s="9" t="str">
        <f>_xll.SNL.Clients.Office.Excel.Functions.SPG(V499, "SP_COUNTRY_NAME")</f>
        <v>#INVALID COMPANY ID</v>
      </c>
      <c r="AD499" s="9" t="str">
        <f>_xll.SNL.Clients.Office.Excel.Functions.SPG(AA499, "SP_COUNTRY_NAME")</f>
        <v>#INVALID COMPANY ID</v>
      </c>
      <c r="AI499" s="9" t="str">
        <f>_xll.SNL.Clients.Office.Excel.Functions.SPG(AF499, "SP_COUNTRY_NAME")</f>
        <v>#INVALID COMPANY ID</v>
      </c>
      <c r="AN499" s="9" t="str">
        <f>_xll.SNL.Clients.Office.Excel.Functions.SPG(AK499, "SP_COUNTRY_NAME")</f>
        <v>#INVALID COMPANY ID</v>
      </c>
      <c r="AS499" s="9" t="str">
        <f>_xll.SNL.Clients.Office.Excel.Functions.SPG(AP499, "SP_COUNTRY_NAME")</f>
        <v>#INVALID COMPANY ID</v>
      </c>
      <c r="AX499" s="9" t="str">
        <f>_xll.SNL.Clients.Office.Excel.Functions.SPG(AU499, "SP_COUNTRY_NAME")</f>
        <v>#INVALID COMPANY ID</v>
      </c>
      <c r="BC499" s="9" t="str">
        <f>_xll.SNL.Clients.Office.Excel.Functions.SPG(AZ499, "SP_COUNTRY_NAME")</f>
        <v>#INVALID COMPANY ID</v>
      </c>
      <c r="BD499" t="s">
        <v>1368</v>
      </c>
      <c r="BE499">
        <v>11023422</v>
      </c>
      <c r="BF499" t="s">
        <v>346</v>
      </c>
      <c r="BG499" s="11">
        <v>0</v>
      </c>
      <c r="BH499" s="9" t="str">
        <f>_xll.SNL.Clients.Office.Excel.Functions.SPG(BE499, "SP_COUNTRY_NAME")</f>
        <v>South Africa</v>
      </c>
      <c r="BM499" s="9" t="str">
        <f>_xll.SNL.Clients.Office.Excel.Functions.SPG(BJ499, "SP_COUNTRY_NAME")</f>
        <v>#INVALID COMPANY ID</v>
      </c>
      <c r="BR499" s="9" t="str">
        <f>_xll.SNL.Clients.Office.Excel.Functions.SPG(BO499, "SP_COUNTRY_NAME")</f>
        <v>#INVALID COMPANY ID</v>
      </c>
      <c r="BS499" t="s">
        <v>888</v>
      </c>
      <c r="BT499">
        <v>4248806</v>
      </c>
      <c r="BU499" t="s">
        <v>346</v>
      </c>
      <c r="BV499" s="11">
        <v>0</v>
      </c>
      <c r="BW499" s="9" t="str">
        <f>_xll.SNL.Clients.Office.Excel.Functions.SPG(BT499, "SP_COUNTRY_NAME")</f>
        <v>Taiwan</v>
      </c>
      <c r="CB499" s="9" t="str">
        <f>_xll.SNL.Clients.Office.Excel.Functions.SPG(BY499, "SP_COUNTRY_NAME")</f>
        <v>#INVALID COMPANY ID</v>
      </c>
      <c r="CC499" t="s">
        <v>1322</v>
      </c>
      <c r="CD499">
        <v>4147585</v>
      </c>
      <c r="CE499" t="s">
        <v>346</v>
      </c>
      <c r="CF499" s="11">
        <v>0</v>
      </c>
      <c r="CG499" s="9" t="str">
        <f>_xll.SNL.Clients.Office.Excel.Functions.SPG(CD499, "SP_COUNTRY_NAME")</f>
        <v>Germany</v>
      </c>
      <c r="CL499" s="9" t="str">
        <f>_xll.SNL.Clients.Office.Excel.Functions.SPG(CI499, "SP_COUNTRY_NAME")</f>
        <v>#INVALID COMPANY ID</v>
      </c>
      <c r="CM499" t="s">
        <v>2127</v>
      </c>
      <c r="CN499">
        <v>4867928</v>
      </c>
      <c r="CO499" t="s">
        <v>346</v>
      </c>
      <c r="CP499" s="11">
        <v>0</v>
      </c>
      <c r="CQ499" s="9" t="str">
        <f>_xll.SNL.Clients.Office.Excel.Functions.SPG(CN499, "SP_COUNTRY_NAME")</f>
        <v>USA</v>
      </c>
      <c r="CV499" s="9" t="str">
        <f>_xll.SNL.Clients.Office.Excel.Functions.SPG(CS499, "SP_COUNTRY_NAME")</f>
        <v>#INVALID COMPANY ID</v>
      </c>
      <c r="DA499" s="9" t="str">
        <f>_xll.SNL.Clients.Office.Excel.Functions.SPG(CX499, "SP_COUNTRY_NAME")</f>
        <v>#INVALID COMPANY ID</v>
      </c>
      <c r="DB499" t="s">
        <v>1368</v>
      </c>
      <c r="DC499">
        <v>11023422</v>
      </c>
      <c r="DD499" t="s">
        <v>346</v>
      </c>
      <c r="DE499" s="11">
        <v>0</v>
      </c>
      <c r="DF499" s="9" t="str">
        <f>_xll.SNL.Clients.Office.Excel.Functions.SPG(DC499, "SP_COUNTRY_NAME")</f>
        <v>South Africa</v>
      </c>
      <c r="DK499" s="9" t="str">
        <f>_xll.SNL.Clients.Office.Excel.Functions.SPG(DH499, "SP_COUNTRY_NAME")</f>
        <v>#INVALID COMPANY ID</v>
      </c>
      <c r="DL499" t="s">
        <v>1368</v>
      </c>
      <c r="DM499">
        <v>11023422</v>
      </c>
      <c r="DN499" t="s">
        <v>346</v>
      </c>
      <c r="DO499" s="11">
        <v>0</v>
      </c>
      <c r="DP499" s="9" t="str">
        <f>_xll.SNL.Clients.Office.Excel.Functions.SPG(DM499, "SP_COUNTRY_NAME")</f>
        <v>South Africa</v>
      </c>
      <c r="DU499" s="9" t="str">
        <f>_xll.SNL.Clients.Office.Excel.Functions.SPG(DR499, "SP_COUNTRY_NAME")</f>
        <v>#INVALID COMPANY ID</v>
      </c>
      <c r="DZ499" s="9" t="str">
        <f>_xll.SNL.Clients.Office.Excel.Functions.SPG(DW499, "SP_COUNTRY_NAME")</f>
        <v>#INVALID COMPANY ID</v>
      </c>
      <c r="EA499" t="s">
        <v>1322</v>
      </c>
      <c r="EB499">
        <v>4147585</v>
      </c>
      <c r="EC499" t="s">
        <v>346</v>
      </c>
      <c r="ED499" s="11">
        <v>0</v>
      </c>
      <c r="EE499" s="9" t="str">
        <f>_xll.SNL.Clients.Office.Excel.Functions.SPG(EB499, "SP_COUNTRY_NAME")</f>
        <v>Germany</v>
      </c>
      <c r="EF499" t="s">
        <v>1368</v>
      </c>
      <c r="EG499">
        <v>11023422</v>
      </c>
      <c r="EH499" t="s">
        <v>346</v>
      </c>
      <c r="EI499" s="11">
        <v>0</v>
      </c>
      <c r="EJ499" s="9" t="str">
        <f>_xll.SNL.Clients.Office.Excel.Functions.SPG(EG499, "SP_COUNTRY_NAME")</f>
        <v>South Africa</v>
      </c>
      <c r="EO499" s="9" t="str">
        <f>_xll.SNL.Clients.Office.Excel.Functions.SPG(EL499, "SP_COUNTRY_NAME")</f>
        <v>#INVALID COMPANY ID</v>
      </c>
      <c r="ET499" s="9" t="str">
        <f>_xll.SNL.Clients.Office.Excel.Functions.SPG(EQ499, "SP_COUNTRY_NAME")</f>
        <v>#INVALID COMPANY ID</v>
      </c>
      <c r="EY499" s="9" t="str">
        <f>_xll.SNL.Clients.Office.Excel.Functions.SPG(EV499, "SP_COUNTRY_NAME")</f>
        <v>#INVALID COMPANY ID</v>
      </c>
      <c r="FD499" s="9" t="str">
        <f>_xll.SNL.Clients.Office.Excel.Functions.SPG(FA499, "SP_COUNTRY_NAME")</f>
        <v>#INVALID COMPANY ID</v>
      </c>
      <c r="FI499" s="9" t="str">
        <f>_xll.SNL.Clients.Office.Excel.Functions.SPG(FF499, "SP_COUNTRY_NAME")</f>
        <v>#INVALID COMPANY ID</v>
      </c>
      <c r="FN499" s="9" t="str">
        <f>_xll.SNL.Clients.Office.Excel.Functions.SPG(FK499, "SP_COUNTRY_NAME")</f>
        <v>#INVALID COMPANY ID</v>
      </c>
      <c r="FS499" s="9" t="str">
        <f>_xll.SNL.Clients.Office.Excel.Functions.SPG(FP499, "SP_COUNTRY_NAME")</f>
        <v>#INVALID COMPANY ID</v>
      </c>
      <c r="FX499" s="9" t="str">
        <f>_xll.SNL.Clients.Office.Excel.Functions.SPG(FU499, "SP_COUNTRY_NAME")</f>
        <v>#INVALID COMPANY ID</v>
      </c>
      <c r="FY499" t="s">
        <v>1368</v>
      </c>
      <c r="FZ499">
        <v>11023422</v>
      </c>
      <c r="GA499" t="s">
        <v>346</v>
      </c>
      <c r="GB499" s="11">
        <v>0</v>
      </c>
      <c r="GC499" s="9" t="str">
        <f>_xll.SNL.Clients.Office.Excel.Functions.SPG(FZ499, "SP_COUNTRY_NAME")</f>
        <v>South Africa</v>
      </c>
      <c r="GH499" s="9" t="str">
        <f>_xll.SNL.Clients.Office.Excel.Functions.SPG(GE499, "SP_COUNTRY_NAME")</f>
        <v>#INVALID COMPANY ID</v>
      </c>
      <c r="GM499" s="9" t="str">
        <f>_xll.SNL.Clients.Office.Excel.Functions.SPG(GJ499, "SP_COUNTRY_NAME")</f>
        <v>#INVALID COMPANY ID</v>
      </c>
      <c r="GR499" s="9" t="str">
        <f>_xll.SNL.Clients.Office.Excel.Functions.SPG(GO499, "SP_COUNTRY_NAME")</f>
        <v>#INVALID COMPANY ID</v>
      </c>
      <c r="GW499" s="9" t="str">
        <f>_xll.SNL.Clients.Office.Excel.Functions.SPG(GT499, "SP_COUNTRY_NAME")</f>
        <v>#INVALID COMPANY ID</v>
      </c>
      <c r="GX499" t="s">
        <v>1322</v>
      </c>
      <c r="GY499">
        <v>4147585</v>
      </c>
      <c r="GZ499" t="s">
        <v>346</v>
      </c>
      <c r="HA499" s="11">
        <v>0</v>
      </c>
      <c r="HB499" s="9" t="str">
        <f>_xll.SNL.Clients.Office.Excel.Functions.SPG(GY499, "SP_COUNTRY_NAME")</f>
        <v>Germany</v>
      </c>
      <c r="HG499" s="9" t="str">
        <f>_xll.SNL.Clients.Office.Excel.Functions.SPG(HD499, "SP_COUNTRY_NAME")</f>
        <v>#INVALID COMPANY ID</v>
      </c>
    </row>
    <row r="500" spans="5:215" x14ac:dyDescent="0.35">
      <c r="E500" s="9" t="str">
        <f>_xll.SNL.Clients.Office.Excel.Functions.SPG(B500, "SP_COUNTRY_NAME")</f>
        <v>#INVALID COMPANY ID</v>
      </c>
      <c r="J500" s="9" t="str">
        <f>_xll.SNL.Clients.Office.Excel.Functions.SPG(G500, "SP_COUNTRY_NAME")</f>
        <v>#INVALID COMPANY ID</v>
      </c>
      <c r="O500" s="9" t="str">
        <f>_xll.SNL.Clients.Office.Excel.Functions.SPG(L500, "SP_COUNTRY_NAME")</f>
        <v>#INVALID COMPANY ID</v>
      </c>
      <c r="T500" s="9" t="str">
        <f>_xll.SNL.Clients.Office.Excel.Functions.SPG(Q500, "SP_COUNTRY_NAME")</f>
        <v>#INVALID COMPANY ID</v>
      </c>
      <c r="Y500" s="9" t="str">
        <f>_xll.SNL.Clients.Office.Excel.Functions.SPG(V500, "SP_COUNTRY_NAME")</f>
        <v>#INVALID COMPANY ID</v>
      </c>
      <c r="AD500" s="9" t="str">
        <f>_xll.SNL.Clients.Office.Excel.Functions.SPG(AA500, "SP_COUNTRY_NAME")</f>
        <v>#INVALID COMPANY ID</v>
      </c>
      <c r="AI500" s="9" t="str">
        <f>_xll.SNL.Clients.Office.Excel.Functions.SPG(AF500, "SP_COUNTRY_NAME")</f>
        <v>#INVALID COMPANY ID</v>
      </c>
      <c r="AN500" s="9" t="str">
        <f>_xll.SNL.Clients.Office.Excel.Functions.SPG(AK500, "SP_COUNTRY_NAME")</f>
        <v>#INVALID COMPANY ID</v>
      </c>
      <c r="AS500" s="9" t="str">
        <f>_xll.SNL.Clients.Office.Excel.Functions.SPG(AP500, "SP_COUNTRY_NAME")</f>
        <v>#INVALID COMPANY ID</v>
      </c>
      <c r="AX500" s="9" t="str">
        <f>_xll.SNL.Clients.Office.Excel.Functions.SPG(AU500, "SP_COUNTRY_NAME")</f>
        <v>#INVALID COMPANY ID</v>
      </c>
      <c r="BC500" s="9" t="str">
        <f>_xll.SNL.Clients.Office.Excel.Functions.SPG(AZ500, "SP_COUNTRY_NAME")</f>
        <v>#INVALID COMPANY ID</v>
      </c>
      <c r="BD500" t="s">
        <v>1357</v>
      </c>
      <c r="BE500">
        <v>26357812</v>
      </c>
      <c r="BF500" t="s">
        <v>366</v>
      </c>
      <c r="BG500" s="11">
        <v>0</v>
      </c>
      <c r="BH500" s="9" t="str">
        <f>_xll.SNL.Clients.Office.Excel.Functions.SPG(BE500, "SP_COUNTRY_NAME")</f>
        <v>South Africa</v>
      </c>
      <c r="BM500" s="9" t="str">
        <f>_xll.SNL.Clients.Office.Excel.Functions.SPG(BJ500, "SP_COUNTRY_NAME")</f>
        <v>#INVALID COMPANY ID</v>
      </c>
      <c r="BR500" s="9" t="str">
        <f>_xll.SNL.Clients.Office.Excel.Functions.SPG(BO500, "SP_COUNTRY_NAME")</f>
        <v>#INVALID COMPANY ID</v>
      </c>
      <c r="BS500" t="s">
        <v>1104</v>
      </c>
      <c r="BT500">
        <v>4145324</v>
      </c>
      <c r="BU500" t="s">
        <v>346</v>
      </c>
      <c r="BV500" s="11">
        <v>0</v>
      </c>
      <c r="BW500" s="9" t="str">
        <f>_xll.SNL.Clients.Office.Excel.Functions.SPG(BT500, "SP_COUNTRY_NAME")</f>
        <v>Germany</v>
      </c>
      <c r="CB500" s="9" t="str">
        <f>_xll.SNL.Clients.Office.Excel.Functions.SPG(BY500, "SP_COUNTRY_NAME")</f>
        <v>#INVALID COMPANY ID</v>
      </c>
      <c r="CC500" t="s">
        <v>1907</v>
      </c>
      <c r="CD500">
        <v>4641725</v>
      </c>
      <c r="CE500" t="s">
        <v>364</v>
      </c>
      <c r="CF500" s="11">
        <v>0</v>
      </c>
      <c r="CG500" s="9" t="str">
        <f>_xll.SNL.Clients.Office.Excel.Functions.SPG(CD500, "SP_COUNTRY_NAME")</f>
        <v>USA</v>
      </c>
      <c r="CL500" s="9" t="str">
        <f>_xll.SNL.Clients.Office.Excel.Functions.SPG(CI500, "SP_COUNTRY_NAME")</f>
        <v>#INVALID COMPANY ID</v>
      </c>
      <c r="CM500" t="s">
        <v>1621</v>
      </c>
      <c r="CN500">
        <v>5743773</v>
      </c>
      <c r="CO500" t="s">
        <v>346</v>
      </c>
      <c r="CP500" s="11">
        <v>0</v>
      </c>
      <c r="CQ500" s="9" t="str">
        <f>_xll.SNL.Clients.Office.Excel.Functions.SPG(CN500, "SP_COUNTRY_NAME")</f>
        <v>USA</v>
      </c>
      <c r="CV500" s="9" t="str">
        <f>_xll.SNL.Clients.Office.Excel.Functions.SPG(CS500, "SP_COUNTRY_NAME")</f>
        <v>#INVALID COMPANY ID</v>
      </c>
      <c r="DA500" s="9" t="str">
        <f>_xll.SNL.Clients.Office.Excel.Functions.SPG(CX500, "SP_COUNTRY_NAME")</f>
        <v>#INVALID COMPANY ID</v>
      </c>
      <c r="DB500" t="s">
        <v>1357</v>
      </c>
      <c r="DC500">
        <v>26357812</v>
      </c>
      <c r="DD500" t="s">
        <v>366</v>
      </c>
      <c r="DE500" s="11">
        <v>0</v>
      </c>
      <c r="DF500" s="9" t="str">
        <f>_xll.SNL.Clients.Office.Excel.Functions.SPG(DC500, "SP_COUNTRY_NAME")</f>
        <v>South Africa</v>
      </c>
      <c r="DK500" s="9" t="str">
        <f>_xll.SNL.Clients.Office.Excel.Functions.SPG(DH500, "SP_COUNTRY_NAME")</f>
        <v>#INVALID COMPANY ID</v>
      </c>
      <c r="DL500" t="s">
        <v>1357</v>
      </c>
      <c r="DM500">
        <v>26357812</v>
      </c>
      <c r="DN500" t="s">
        <v>366</v>
      </c>
      <c r="DO500" s="11">
        <v>0</v>
      </c>
      <c r="DP500" s="9" t="str">
        <f>_xll.SNL.Clients.Office.Excel.Functions.SPG(DM500, "SP_COUNTRY_NAME")</f>
        <v>South Africa</v>
      </c>
      <c r="DU500" s="9" t="str">
        <f>_xll.SNL.Clients.Office.Excel.Functions.SPG(DR500, "SP_COUNTRY_NAME")</f>
        <v>#INVALID COMPANY ID</v>
      </c>
      <c r="DZ500" s="9" t="str">
        <f>_xll.SNL.Clients.Office.Excel.Functions.SPG(DW500, "SP_COUNTRY_NAME")</f>
        <v>#INVALID COMPANY ID</v>
      </c>
      <c r="EA500" t="s">
        <v>1907</v>
      </c>
      <c r="EB500">
        <v>4641725</v>
      </c>
      <c r="EC500" t="s">
        <v>364</v>
      </c>
      <c r="ED500" s="11">
        <v>0</v>
      </c>
      <c r="EE500" s="9" t="str">
        <f>_xll.SNL.Clients.Office.Excel.Functions.SPG(EB500, "SP_COUNTRY_NAME")</f>
        <v>USA</v>
      </c>
      <c r="EF500" t="s">
        <v>1357</v>
      </c>
      <c r="EG500">
        <v>26357812</v>
      </c>
      <c r="EH500" t="s">
        <v>366</v>
      </c>
      <c r="EI500" s="11">
        <v>0</v>
      </c>
      <c r="EJ500" s="9" t="str">
        <f>_xll.SNL.Clients.Office.Excel.Functions.SPG(EG500, "SP_COUNTRY_NAME")</f>
        <v>South Africa</v>
      </c>
      <c r="EO500" s="9" t="str">
        <f>_xll.SNL.Clients.Office.Excel.Functions.SPG(EL500, "SP_COUNTRY_NAME")</f>
        <v>#INVALID COMPANY ID</v>
      </c>
      <c r="ET500" s="9" t="str">
        <f>_xll.SNL.Clients.Office.Excel.Functions.SPG(EQ500, "SP_COUNTRY_NAME")</f>
        <v>#INVALID COMPANY ID</v>
      </c>
      <c r="EY500" s="9" t="str">
        <f>_xll.SNL.Clients.Office.Excel.Functions.SPG(EV500, "SP_COUNTRY_NAME")</f>
        <v>#INVALID COMPANY ID</v>
      </c>
      <c r="FD500" s="9" t="str">
        <f>_xll.SNL.Clients.Office.Excel.Functions.SPG(FA500, "SP_COUNTRY_NAME")</f>
        <v>#INVALID COMPANY ID</v>
      </c>
      <c r="FI500" s="9" t="str">
        <f>_xll.SNL.Clients.Office.Excel.Functions.SPG(FF500, "SP_COUNTRY_NAME")</f>
        <v>#INVALID COMPANY ID</v>
      </c>
      <c r="FN500" s="9" t="str">
        <f>_xll.SNL.Clients.Office.Excel.Functions.SPG(FK500, "SP_COUNTRY_NAME")</f>
        <v>#INVALID COMPANY ID</v>
      </c>
      <c r="FS500" s="9" t="str">
        <f>_xll.SNL.Clients.Office.Excel.Functions.SPG(FP500, "SP_COUNTRY_NAME")</f>
        <v>#INVALID COMPANY ID</v>
      </c>
      <c r="FX500" s="9" t="str">
        <f>_xll.SNL.Clients.Office.Excel.Functions.SPG(FU500, "SP_COUNTRY_NAME")</f>
        <v>#INVALID COMPANY ID</v>
      </c>
      <c r="FY500" t="s">
        <v>1357</v>
      </c>
      <c r="FZ500">
        <v>26357812</v>
      </c>
      <c r="GA500" t="s">
        <v>366</v>
      </c>
      <c r="GB500" s="11">
        <v>0</v>
      </c>
      <c r="GC500" s="9" t="str">
        <f>_xll.SNL.Clients.Office.Excel.Functions.SPG(FZ500, "SP_COUNTRY_NAME")</f>
        <v>South Africa</v>
      </c>
      <c r="GH500" s="9" t="str">
        <f>_xll.SNL.Clients.Office.Excel.Functions.SPG(GE500, "SP_COUNTRY_NAME")</f>
        <v>#INVALID COMPANY ID</v>
      </c>
      <c r="GM500" s="9" t="str">
        <f>_xll.SNL.Clients.Office.Excel.Functions.SPG(GJ500, "SP_COUNTRY_NAME")</f>
        <v>#INVALID COMPANY ID</v>
      </c>
      <c r="GR500" s="9" t="str">
        <f>_xll.SNL.Clients.Office.Excel.Functions.SPG(GO500, "SP_COUNTRY_NAME")</f>
        <v>#INVALID COMPANY ID</v>
      </c>
      <c r="GW500" s="9" t="str">
        <f>_xll.SNL.Clients.Office.Excel.Functions.SPG(GT500, "SP_COUNTRY_NAME")</f>
        <v>#INVALID COMPANY ID</v>
      </c>
      <c r="GX500" t="s">
        <v>1907</v>
      </c>
      <c r="GY500">
        <v>4641725</v>
      </c>
      <c r="GZ500" t="s">
        <v>364</v>
      </c>
      <c r="HA500" s="11">
        <v>0</v>
      </c>
      <c r="HB500" s="9" t="str">
        <f>_xll.SNL.Clients.Office.Excel.Functions.SPG(GY500, "SP_COUNTRY_NAME")</f>
        <v>USA</v>
      </c>
      <c r="HG500" s="9" t="str">
        <f>_xll.SNL.Clients.Office.Excel.Functions.SPG(HD500, "SP_COUNTRY_NAME")</f>
        <v>#INVALID COMPANY ID</v>
      </c>
    </row>
    <row r="501" spans="5:215" x14ac:dyDescent="0.35">
      <c r="E501" s="9" t="str">
        <f>_xll.SNL.Clients.Office.Excel.Functions.SPG(B501, "SP_COUNTRY_NAME")</f>
        <v>#INVALID COMPANY ID</v>
      </c>
      <c r="J501" s="9" t="str">
        <f>_xll.SNL.Clients.Office.Excel.Functions.SPG(G501, "SP_COUNTRY_NAME")</f>
        <v>#INVALID COMPANY ID</v>
      </c>
      <c r="O501" s="9" t="str">
        <f>_xll.SNL.Clients.Office.Excel.Functions.SPG(L501, "SP_COUNTRY_NAME")</f>
        <v>#INVALID COMPANY ID</v>
      </c>
      <c r="T501" s="9" t="str">
        <f>_xll.SNL.Clients.Office.Excel.Functions.SPG(Q501, "SP_COUNTRY_NAME")</f>
        <v>#INVALID COMPANY ID</v>
      </c>
      <c r="Y501" s="9" t="str">
        <f>_xll.SNL.Clients.Office.Excel.Functions.SPG(V501, "SP_COUNTRY_NAME")</f>
        <v>#INVALID COMPANY ID</v>
      </c>
      <c r="AD501" s="9" t="str">
        <f>_xll.SNL.Clients.Office.Excel.Functions.SPG(AA501, "SP_COUNTRY_NAME")</f>
        <v>#INVALID COMPANY ID</v>
      </c>
      <c r="AI501" s="9" t="str">
        <f>_xll.SNL.Clients.Office.Excel.Functions.SPG(AF501, "SP_COUNTRY_NAME")</f>
        <v>#INVALID COMPANY ID</v>
      </c>
      <c r="AN501" s="9" t="str">
        <f>_xll.SNL.Clients.Office.Excel.Functions.SPG(AK501, "SP_COUNTRY_NAME")</f>
        <v>#INVALID COMPANY ID</v>
      </c>
      <c r="AS501" s="9" t="str">
        <f>_xll.SNL.Clients.Office.Excel.Functions.SPG(AP501, "SP_COUNTRY_NAME")</f>
        <v>#INVALID COMPANY ID</v>
      </c>
      <c r="AX501" s="9" t="str">
        <f>_xll.SNL.Clients.Office.Excel.Functions.SPG(AU501, "SP_COUNTRY_NAME")</f>
        <v>#INVALID COMPANY ID</v>
      </c>
      <c r="BC501" s="9" t="str">
        <f>_xll.SNL.Clients.Office.Excel.Functions.SPG(AZ501, "SP_COUNTRY_NAME")</f>
        <v>#INVALID COMPANY ID</v>
      </c>
      <c r="BD501" t="s">
        <v>1552</v>
      </c>
      <c r="BE501">
        <v>8247050</v>
      </c>
      <c r="BF501" t="s">
        <v>346</v>
      </c>
      <c r="BG501" s="11">
        <v>0</v>
      </c>
      <c r="BH501" s="9" t="str">
        <f>_xll.SNL.Clients.Office.Excel.Functions.SPG(BE501, "SP_COUNTRY_NAME")</f>
        <v>South Africa</v>
      </c>
      <c r="BM501" s="9" t="str">
        <f>_xll.SNL.Clients.Office.Excel.Functions.SPG(BJ501, "SP_COUNTRY_NAME")</f>
        <v>#INVALID COMPANY ID</v>
      </c>
      <c r="BR501" s="9" t="str">
        <f>_xll.SNL.Clients.Office.Excel.Functions.SPG(BO501, "SP_COUNTRY_NAME")</f>
        <v>#INVALID COMPANY ID</v>
      </c>
      <c r="BS501" t="s">
        <v>1105</v>
      </c>
      <c r="BT501">
        <v>4217566</v>
      </c>
      <c r="BU501" t="s">
        <v>346</v>
      </c>
      <c r="BV501" s="11">
        <v>0</v>
      </c>
      <c r="BW501" s="9" t="str">
        <f>_xll.SNL.Clients.Office.Excel.Functions.SPG(BT501, "SP_COUNTRY_NAME")</f>
        <v>United Kingdom</v>
      </c>
      <c r="CB501" s="9" t="str">
        <f>_xll.SNL.Clients.Office.Excel.Functions.SPG(BY501, "SP_COUNTRY_NAME")</f>
        <v>#INVALID COMPANY ID</v>
      </c>
      <c r="CC501" t="s">
        <v>1908</v>
      </c>
      <c r="CD501">
        <v>4255907</v>
      </c>
      <c r="CE501" t="s">
        <v>346</v>
      </c>
      <c r="CF501" s="11">
        <v>0</v>
      </c>
      <c r="CG501" s="9" t="str">
        <f>_xll.SNL.Clients.Office.Excel.Functions.SPG(CD501, "SP_COUNTRY_NAME")</f>
        <v>USA</v>
      </c>
      <c r="CL501" s="9" t="str">
        <f>_xll.SNL.Clients.Office.Excel.Functions.SPG(CI501, "SP_COUNTRY_NAME")</f>
        <v>#INVALID COMPANY ID</v>
      </c>
      <c r="CM501" t="s">
        <v>1832</v>
      </c>
      <c r="CN501">
        <v>4937556</v>
      </c>
      <c r="CO501" t="s">
        <v>364</v>
      </c>
      <c r="CP501" s="11">
        <v>0</v>
      </c>
      <c r="CQ501" s="9" t="str">
        <f>_xll.SNL.Clients.Office.Excel.Functions.SPG(CN501, "SP_COUNTRY_NAME")</f>
        <v>USA</v>
      </c>
      <c r="CV501" s="9" t="str">
        <f>_xll.SNL.Clients.Office.Excel.Functions.SPG(CS501, "SP_COUNTRY_NAME")</f>
        <v>#INVALID COMPANY ID</v>
      </c>
      <c r="DA501" s="9" t="str">
        <f>_xll.SNL.Clients.Office.Excel.Functions.SPG(CX501, "SP_COUNTRY_NAME")</f>
        <v>#INVALID COMPANY ID</v>
      </c>
      <c r="DB501" t="s">
        <v>1552</v>
      </c>
      <c r="DC501">
        <v>8247050</v>
      </c>
      <c r="DD501" t="s">
        <v>346</v>
      </c>
      <c r="DE501" s="11">
        <v>0</v>
      </c>
      <c r="DF501" s="9" t="str">
        <f>_xll.SNL.Clients.Office.Excel.Functions.SPG(DC501, "SP_COUNTRY_NAME")</f>
        <v>South Africa</v>
      </c>
      <c r="DK501" s="9" t="str">
        <f>_xll.SNL.Clients.Office.Excel.Functions.SPG(DH501, "SP_COUNTRY_NAME")</f>
        <v>#INVALID COMPANY ID</v>
      </c>
      <c r="DL501" t="s">
        <v>1552</v>
      </c>
      <c r="DM501">
        <v>8247050</v>
      </c>
      <c r="DN501" t="s">
        <v>346</v>
      </c>
      <c r="DO501" s="11">
        <v>0</v>
      </c>
      <c r="DP501" s="9" t="str">
        <f>_xll.SNL.Clients.Office.Excel.Functions.SPG(DM501, "SP_COUNTRY_NAME")</f>
        <v>South Africa</v>
      </c>
      <c r="DU501" s="9" t="str">
        <f>_xll.SNL.Clients.Office.Excel.Functions.SPG(DR501, "SP_COUNTRY_NAME")</f>
        <v>#INVALID COMPANY ID</v>
      </c>
      <c r="DZ501" s="9" t="str">
        <f>_xll.SNL.Clients.Office.Excel.Functions.SPG(DW501, "SP_COUNTRY_NAME")</f>
        <v>#INVALID COMPANY ID</v>
      </c>
      <c r="EA501" t="s">
        <v>1908</v>
      </c>
      <c r="EB501">
        <v>4255907</v>
      </c>
      <c r="EC501" t="s">
        <v>346</v>
      </c>
      <c r="ED501" s="11">
        <v>0</v>
      </c>
      <c r="EE501" s="9" t="str">
        <f>_xll.SNL.Clients.Office.Excel.Functions.SPG(EB501, "SP_COUNTRY_NAME")</f>
        <v>USA</v>
      </c>
      <c r="EF501" t="s">
        <v>1552</v>
      </c>
      <c r="EG501">
        <v>8247050</v>
      </c>
      <c r="EH501" t="s">
        <v>346</v>
      </c>
      <c r="EI501" s="11">
        <v>0</v>
      </c>
      <c r="EJ501" s="9" t="str">
        <f>_xll.SNL.Clients.Office.Excel.Functions.SPG(EG501, "SP_COUNTRY_NAME")</f>
        <v>South Africa</v>
      </c>
      <c r="EO501" s="9" t="str">
        <f>_xll.SNL.Clients.Office.Excel.Functions.SPG(EL501, "SP_COUNTRY_NAME")</f>
        <v>#INVALID COMPANY ID</v>
      </c>
      <c r="ET501" s="9" t="str">
        <f>_xll.SNL.Clients.Office.Excel.Functions.SPG(EQ501, "SP_COUNTRY_NAME")</f>
        <v>#INVALID COMPANY ID</v>
      </c>
      <c r="EY501" s="9" t="str">
        <f>_xll.SNL.Clients.Office.Excel.Functions.SPG(EV501, "SP_COUNTRY_NAME")</f>
        <v>#INVALID COMPANY ID</v>
      </c>
      <c r="FD501" s="9" t="str">
        <f>_xll.SNL.Clients.Office.Excel.Functions.SPG(FA501, "SP_COUNTRY_NAME")</f>
        <v>#INVALID COMPANY ID</v>
      </c>
      <c r="FI501" s="9" t="str">
        <f>_xll.SNL.Clients.Office.Excel.Functions.SPG(FF501, "SP_COUNTRY_NAME")</f>
        <v>#INVALID COMPANY ID</v>
      </c>
      <c r="FN501" s="9" t="str">
        <f>_xll.SNL.Clients.Office.Excel.Functions.SPG(FK501, "SP_COUNTRY_NAME")</f>
        <v>#INVALID COMPANY ID</v>
      </c>
      <c r="FS501" s="9" t="str">
        <f>_xll.SNL.Clients.Office.Excel.Functions.SPG(FP501, "SP_COUNTRY_NAME")</f>
        <v>#INVALID COMPANY ID</v>
      </c>
      <c r="FX501" s="9" t="str">
        <f>_xll.SNL.Clients.Office.Excel.Functions.SPG(FU501, "SP_COUNTRY_NAME")</f>
        <v>#INVALID COMPANY ID</v>
      </c>
      <c r="FY501" t="s">
        <v>1552</v>
      </c>
      <c r="FZ501">
        <v>8247050</v>
      </c>
      <c r="GA501" t="s">
        <v>346</v>
      </c>
      <c r="GB501" s="11">
        <v>0</v>
      </c>
      <c r="GC501" s="9" t="str">
        <f>_xll.SNL.Clients.Office.Excel.Functions.SPG(FZ501, "SP_COUNTRY_NAME")</f>
        <v>South Africa</v>
      </c>
      <c r="GH501" s="9" t="str">
        <f>_xll.SNL.Clients.Office.Excel.Functions.SPG(GE501, "SP_COUNTRY_NAME")</f>
        <v>#INVALID COMPANY ID</v>
      </c>
      <c r="GM501" s="9" t="str">
        <f>_xll.SNL.Clients.Office.Excel.Functions.SPG(GJ501, "SP_COUNTRY_NAME")</f>
        <v>#INVALID COMPANY ID</v>
      </c>
      <c r="GR501" s="9" t="str">
        <f>_xll.SNL.Clients.Office.Excel.Functions.SPG(GO501, "SP_COUNTRY_NAME")</f>
        <v>#INVALID COMPANY ID</v>
      </c>
      <c r="GW501" s="9" t="str">
        <f>_xll.SNL.Clients.Office.Excel.Functions.SPG(GT501, "SP_COUNTRY_NAME")</f>
        <v>#INVALID COMPANY ID</v>
      </c>
      <c r="GX501" t="s">
        <v>1908</v>
      </c>
      <c r="GY501">
        <v>4255907</v>
      </c>
      <c r="GZ501" t="s">
        <v>346</v>
      </c>
      <c r="HA501" s="11">
        <v>0</v>
      </c>
      <c r="HB501" s="9" t="str">
        <f>_xll.SNL.Clients.Office.Excel.Functions.SPG(GY501, "SP_COUNTRY_NAME")</f>
        <v>USA</v>
      </c>
      <c r="HG501" s="9" t="str">
        <f>_xll.SNL.Clients.Office.Excel.Functions.SPG(HD501, "SP_COUNTRY_NAME")</f>
        <v>#INVALID COMPANY ID</v>
      </c>
    </row>
    <row r="502" spans="5:215" x14ac:dyDescent="0.35">
      <c r="E502" s="9" t="str">
        <f>_xll.SNL.Clients.Office.Excel.Functions.SPG(B502, "SP_COUNTRY_NAME")</f>
        <v>#INVALID COMPANY ID</v>
      </c>
      <c r="J502" s="9" t="str">
        <f>_xll.SNL.Clients.Office.Excel.Functions.SPG(G502, "SP_COUNTRY_NAME")</f>
        <v>#INVALID COMPANY ID</v>
      </c>
      <c r="O502" s="9" t="str">
        <f>_xll.SNL.Clients.Office.Excel.Functions.SPG(L502, "SP_COUNTRY_NAME")</f>
        <v>#INVALID COMPANY ID</v>
      </c>
      <c r="T502" s="9" t="str">
        <f>_xll.SNL.Clients.Office.Excel.Functions.SPG(Q502, "SP_COUNTRY_NAME")</f>
        <v>#INVALID COMPANY ID</v>
      </c>
      <c r="Y502" s="9" t="str">
        <f>_xll.SNL.Clients.Office.Excel.Functions.SPG(V502, "SP_COUNTRY_NAME")</f>
        <v>#INVALID COMPANY ID</v>
      </c>
      <c r="AD502" s="9" t="str">
        <f>_xll.SNL.Clients.Office.Excel.Functions.SPG(AA502, "SP_COUNTRY_NAME")</f>
        <v>#INVALID COMPANY ID</v>
      </c>
      <c r="AI502" s="9" t="str">
        <f>_xll.SNL.Clients.Office.Excel.Functions.SPG(AF502, "SP_COUNTRY_NAME")</f>
        <v>#INVALID COMPANY ID</v>
      </c>
      <c r="AN502" s="9" t="str">
        <f>_xll.SNL.Clients.Office.Excel.Functions.SPG(AK502, "SP_COUNTRY_NAME")</f>
        <v>#INVALID COMPANY ID</v>
      </c>
      <c r="AS502" s="9" t="str">
        <f>_xll.SNL.Clients.Office.Excel.Functions.SPG(AP502, "SP_COUNTRY_NAME")</f>
        <v>#INVALID COMPANY ID</v>
      </c>
      <c r="AX502" s="9" t="str">
        <f>_xll.SNL.Clients.Office.Excel.Functions.SPG(AU502, "SP_COUNTRY_NAME")</f>
        <v>#INVALID COMPANY ID</v>
      </c>
      <c r="BC502" s="9" t="str">
        <f>_xll.SNL.Clients.Office.Excel.Functions.SPG(AZ502, "SP_COUNTRY_NAME")</f>
        <v>#INVALID COMPANY ID</v>
      </c>
      <c r="BD502" t="s">
        <v>1364</v>
      </c>
      <c r="BE502">
        <v>10890287</v>
      </c>
      <c r="BF502" t="s">
        <v>346</v>
      </c>
      <c r="BG502" s="11">
        <v>0</v>
      </c>
      <c r="BH502" s="9" t="str">
        <f>_xll.SNL.Clients.Office.Excel.Functions.SPG(BE502, "SP_COUNTRY_NAME")</f>
        <v>South Africa</v>
      </c>
      <c r="BM502" s="9" t="str">
        <f>_xll.SNL.Clients.Office.Excel.Functions.SPG(BJ502, "SP_COUNTRY_NAME")</f>
        <v>#INVALID COMPANY ID</v>
      </c>
      <c r="BR502" s="9" t="str">
        <f>_xll.SNL.Clients.Office.Excel.Functions.SPG(BO502, "SP_COUNTRY_NAME")</f>
        <v>#INVALID COMPANY ID</v>
      </c>
      <c r="BS502" t="s">
        <v>1106</v>
      </c>
      <c r="BT502">
        <v>4026922</v>
      </c>
      <c r="BU502" t="s">
        <v>346</v>
      </c>
      <c r="BV502" s="11">
        <v>0</v>
      </c>
      <c r="BW502" s="9" t="str">
        <f>_xll.SNL.Clients.Office.Excel.Functions.SPG(BT502, "SP_COUNTRY_NAME")</f>
        <v>USA</v>
      </c>
      <c r="CB502" s="9" t="str">
        <f>_xll.SNL.Clients.Office.Excel.Functions.SPG(BY502, "SP_COUNTRY_NAME")</f>
        <v>#INVALID COMPANY ID</v>
      </c>
      <c r="CC502" t="s">
        <v>1909</v>
      </c>
      <c r="CD502">
        <v>5851790</v>
      </c>
      <c r="CE502" t="s">
        <v>346</v>
      </c>
      <c r="CF502" s="11">
        <v>0</v>
      </c>
      <c r="CG502" s="9" t="str">
        <f>_xll.SNL.Clients.Office.Excel.Functions.SPG(CD502, "SP_COUNTRY_NAME")</f>
        <v>Brazil</v>
      </c>
      <c r="CL502" s="9" t="str">
        <f>_xll.SNL.Clients.Office.Excel.Functions.SPG(CI502, "SP_COUNTRY_NAME")</f>
        <v>#INVALID COMPANY ID</v>
      </c>
      <c r="CM502" t="s">
        <v>1803</v>
      </c>
      <c r="CN502">
        <v>4663442</v>
      </c>
      <c r="CO502" t="s">
        <v>364</v>
      </c>
      <c r="CP502" s="11">
        <v>0</v>
      </c>
      <c r="CQ502" s="9" t="str">
        <f>_xll.SNL.Clients.Office.Excel.Functions.SPG(CN502, "SP_COUNTRY_NAME")</f>
        <v>USA</v>
      </c>
      <c r="CV502" s="9" t="str">
        <f>_xll.SNL.Clients.Office.Excel.Functions.SPG(CS502, "SP_COUNTRY_NAME")</f>
        <v>#INVALID COMPANY ID</v>
      </c>
      <c r="DA502" s="9" t="str">
        <f>_xll.SNL.Clients.Office.Excel.Functions.SPG(CX502, "SP_COUNTRY_NAME")</f>
        <v>#INVALID COMPANY ID</v>
      </c>
      <c r="DB502" t="s">
        <v>1364</v>
      </c>
      <c r="DC502">
        <v>10890287</v>
      </c>
      <c r="DD502" t="s">
        <v>346</v>
      </c>
      <c r="DE502" s="11">
        <v>0</v>
      </c>
      <c r="DF502" s="9" t="str">
        <f>_xll.SNL.Clients.Office.Excel.Functions.SPG(DC502, "SP_COUNTRY_NAME")</f>
        <v>South Africa</v>
      </c>
      <c r="DK502" s="9" t="str">
        <f>_xll.SNL.Clients.Office.Excel.Functions.SPG(DH502, "SP_COUNTRY_NAME")</f>
        <v>#INVALID COMPANY ID</v>
      </c>
      <c r="DL502" t="s">
        <v>1364</v>
      </c>
      <c r="DM502">
        <v>10890287</v>
      </c>
      <c r="DN502" t="s">
        <v>346</v>
      </c>
      <c r="DO502" s="11">
        <v>0</v>
      </c>
      <c r="DP502" s="9" t="str">
        <f>_xll.SNL.Clients.Office.Excel.Functions.SPG(DM502, "SP_COUNTRY_NAME")</f>
        <v>South Africa</v>
      </c>
      <c r="DU502" s="9" t="str">
        <f>_xll.SNL.Clients.Office.Excel.Functions.SPG(DR502, "SP_COUNTRY_NAME")</f>
        <v>#INVALID COMPANY ID</v>
      </c>
      <c r="DZ502" s="9" t="str">
        <f>_xll.SNL.Clients.Office.Excel.Functions.SPG(DW502, "SP_COUNTRY_NAME")</f>
        <v>#INVALID COMPANY ID</v>
      </c>
      <c r="EA502" t="s">
        <v>1909</v>
      </c>
      <c r="EB502">
        <v>5851790</v>
      </c>
      <c r="EC502" t="s">
        <v>346</v>
      </c>
      <c r="ED502" s="11">
        <v>0</v>
      </c>
      <c r="EE502" s="9" t="str">
        <f>_xll.SNL.Clients.Office.Excel.Functions.SPG(EB502, "SP_COUNTRY_NAME")</f>
        <v>Brazil</v>
      </c>
      <c r="EF502" t="s">
        <v>1364</v>
      </c>
      <c r="EG502">
        <v>10890287</v>
      </c>
      <c r="EH502" t="s">
        <v>346</v>
      </c>
      <c r="EI502" s="11">
        <v>0</v>
      </c>
      <c r="EJ502" s="9" t="str">
        <f>_xll.SNL.Clients.Office.Excel.Functions.SPG(EG502, "SP_COUNTRY_NAME")</f>
        <v>South Africa</v>
      </c>
      <c r="EO502" s="9" t="str">
        <f>_xll.SNL.Clients.Office.Excel.Functions.SPG(EL502, "SP_COUNTRY_NAME")</f>
        <v>#INVALID COMPANY ID</v>
      </c>
      <c r="ET502" s="9" t="str">
        <f>_xll.SNL.Clients.Office.Excel.Functions.SPG(EQ502, "SP_COUNTRY_NAME")</f>
        <v>#INVALID COMPANY ID</v>
      </c>
      <c r="EY502" s="9" t="str">
        <f>_xll.SNL.Clients.Office.Excel.Functions.SPG(EV502, "SP_COUNTRY_NAME")</f>
        <v>#INVALID COMPANY ID</v>
      </c>
      <c r="FD502" s="9" t="str">
        <f>_xll.SNL.Clients.Office.Excel.Functions.SPG(FA502, "SP_COUNTRY_NAME")</f>
        <v>#INVALID COMPANY ID</v>
      </c>
      <c r="FI502" s="9" t="str">
        <f>_xll.SNL.Clients.Office.Excel.Functions.SPG(FF502, "SP_COUNTRY_NAME")</f>
        <v>#INVALID COMPANY ID</v>
      </c>
      <c r="FN502" s="9" t="str">
        <f>_xll.SNL.Clients.Office.Excel.Functions.SPG(FK502, "SP_COUNTRY_NAME")</f>
        <v>#INVALID COMPANY ID</v>
      </c>
      <c r="FS502" s="9" t="str">
        <f>_xll.SNL.Clients.Office.Excel.Functions.SPG(FP502, "SP_COUNTRY_NAME")</f>
        <v>#INVALID COMPANY ID</v>
      </c>
      <c r="FX502" s="9" t="str">
        <f>_xll.SNL.Clients.Office.Excel.Functions.SPG(FU502, "SP_COUNTRY_NAME")</f>
        <v>#INVALID COMPANY ID</v>
      </c>
      <c r="FY502" t="s">
        <v>1364</v>
      </c>
      <c r="FZ502">
        <v>10890287</v>
      </c>
      <c r="GA502" t="s">
        <v>346</v>
      </c>
      <c r="GB502" s="11">
        <v>0</v>
      </c>
      <c r="GC502" s="9" t="str">
        <f>_xll.SNL.Clients.Office.Excel.Functions.SPG(FZ502, "SP_COUNTRY_NAME")</f>
        <v>South Africa</v>
      </c>
      <c r="GH502" s="9" t="str">
        <f>_xll.SNL.Clients.Office.Excel.Functions.SPG(GE502, "SP_COUNTRY_NAME")</f>
        <v>#INVALID COMPANY ID</v>
      </c>
      <c r="GM502" s="9" t="str">
        <f>_xll.SNL.Clients.Office.Excel.Functions.SPG(GJ502, "SP_COUNTRY_NAME")</f>
        <v>#INVALID COMPANY ID</v>
      </c>
      <c r="GR502" s="9" t="str">
        <f>_xll.SNL.Clients.Office.Excel.Functions.SPG(GO502, "SP_COUNTRY_NAME")</f>
        <v>#INVALID COMPANY ID</v>
      </c>
      <c r="GW502" s="9" t="str">
        <f>_xll.SNL.Clients.Office.Excel.Functions.SPG(GT502, "SP_COUNTRY_NAME")</f>
        <v>#INVALID COMPANY ID</v>
      </c>
      <c r="GX502" t="s">
        <v>1909</v>
      </c>
      <c r="GY502">
        <v>5851790</v>
      </c>
      <c r="GZ502" t="s">
        <v>346</v>
      </c>
      <c r="HA502" s="11">
        <v>0</v>
      </c>
      <c r="HB502" s="9" t="str">
        <f>_xll.SNL.Clients.Office.Excel.Functions.SPG(GY502, "SP_COUNTRY_NAME")</f>
        <v>Brazil</v>
      </c>
      <c r="HG502" s="9" t="str">
        <f>_xll.SNL.Clients.Office.Excel.Functions.SPG(HD502, "SP_COUNTRY_NAME")</f>
        <v>#INVALID COMPANY ID</v>
      </c>
    </row>
    <row r="503" spans="5:215" x14ac:dyDescent="0.35">
      <c r="E503" s="9" t="str">
        <f>_xll.SNL.Clients.Office.Excel.Functions.SPG(B503, "SP_COUNTRY_NAME")</f>
        <v>#INVALID COMPANY ID</v>
      </c>
      <c r="J503" s="9" t="str">
        <f>_xll.SNL.Clients.Office.Excel.Functions.SPG(G503, "SP_COUNTRY_NAME")</f>
        <v>#INVALID COMPANY ID</v>
      </c>
      <c r="O503" s="9" t="str">
        <f>_xll.SNL.Clients.Office.Excel.Functions.SPG(L503, "SP_COUNTRY_NAME")</f>
        <v>#INVALID COMPANY ID</v>
      </c>
      <c r="T503" s="9" t="str">
        <f>_xll.SNL.Clients.Office.Excel.Functions.SPG(Q503, "SP_COUNTRY_NAME")</f>
        <v>#INVALID COMPANY ID</v>
      </c>
      <c r="Y503" s="9" t="str">
        <f>_xll.SNL.Clients.Office.Excel.Functions.SPG(V503, "SP_COUNTRY_NAME")</f>
        <v>#INVALID COMPANY ID</v>
      </c>
      <c r="AD503" s="9" t="str">
        <f>_xll.SNL.Clients.Office.Excel.Functions.SPG(AA503, "SP_COUNTRY_NAME")</f>
        <v>#INVALID COMPANY ID</v>
      </c>
      <c r="AI503" s="9" t="str">
        <f>_xll.SNL.Clients.Office.Excel.Functions.SPG(AF503, "SP_COUNTRY_NAME")</f>
        <v>#INVALID COMPANY ID</v>
      </c>
      <c r="AN503" s="9" t="str">
        <f>_xll.SNL.Clients.Office.Excel.Functions.SPG(AK503, "SP_COUNTRY_NAME")</f>
        <v>#INVALID COMPANY ID</v>
      </c>
      <c r="AS503" s="9" t="str">
        <f>_xll.SNL.Clients.Office.Excel.Functions.SPG(AP503, "SP_COUNTRY_NAME")</f>
        <v>#INVALID COMPANY ID</v>
      </c>
      <c r="AX503" s="9" t="str">
        <f>_xll.SNL.Clients.Office.Excel.Functions.SPG(AU503, "SP_COUNTRY_NAME")</f>
        <v>#INVALID COMPANY ID</v>
      </c>
      <c r="BC503" s="9" t="str">
        <f>_xll.SNL.Clients.Office.Excel.Functions.SPG(AZ503, "SP_COUNTRY_NAME")</f>
        <v>#INVALID COMPANY ID</v>
      </c>
      <c r="BD503" t="s">
        <v>1553</v>
      </c>
      <c r="BE503">
        <v>10552313</v>
      </c>
      <c r="BF503" t="s">
        <v>346</v>
      </c>
      <c r="BG503" s="11">
        <v>0</v>
      </c>
      <c r="BH503" s="9" t="str">
        <f>_xll.SNL.Clients.Office.Excel.Functions.SPG(BE503, "SP_COUNTRY_NAME")</f>
        <v>Spain</v>
      </c>
      <c r="BM503" s="9" t="str">
        <f>_xll.SNL.Clients.Office.Excel.Functions.SPG(BJ503, "SP_COUNTRY_NAME")</f>
        <v>#INVALID COMPANY ID</v>
      </c>
      <c r="BR503" s="9" t="str">
        <f>_xll.SNL.Clients.Office.Excel.Functions.SPG(BO503, "SP_COUNTRY_NAME")</f>
        <v>#INVALID COMPANY ID</v>
      </c>
      <c r="BS503" t="s">
        <v>376</v>
      </c>
      <c r="BT503">
        <v>4030986</v>
      </c>
      <c r="BU503" t="s">
        <v>346</v>
      </c>
      <c r="BV503" s="11">
        <v>0</v>
      </c>
      <c r="BW503" s="9" t="str">
        <f>_xll.SNL.Clients.Office.Excel.Functions.SPG(BT503, "SP_COUNTRY_NAME")</f>
        <v>USA</v>
      </c>
      <c r="CB503" s="9" t="str">
        <f>_xll.SNL.Clients.Office.Excel.Functions.SPG(BY503, "SP_COUNTRY_NAME")</f>
        <v>#INVALID COMPANY ID</v>
      </c>
      <c r="CC503" t="s">
        <v>1910</v>
      </c>
      <c r="CD503">
        <v>109772064</v>
      </c>
      <c r="CE503" t="s">
        <v>346</v>
      </c>
      <c r="CF503" s="11">
        <v>0</v>
      </c>
      <c r="CG503" s="9" t="str">
        <f>_xll.SNL.Clients.Office.Excel.Functions.SPG(CD503, "SP_COUNTRY_NAME")</f>
        <v>USA</v>
      </c>
      <c r="CL503" s="9" t="str">
        <f>_xll.SNL.Clients.Office.Excel.Functions.SPG(CI503, "SP_COUNTRY_NAME")</f>
        <v>#INVALID COMPANY ID</v>
      </c>
      <c r="CM503" t="s">
        <v>2128</v>
      </c>
      <c r="CN503">
        <v>4669066</v>
      </c>
      <c r="CO503" t="s">
        <v>346</v>
      </c>
      <c r="CP503" s="11">
        <v>0</v>
      </c>
      <c r="CQ503" s="9" t="str">
        <f>_xll.SNL.Clients.Office.Excel.Functions.SPG(CN503, "SP_COUNTRY_NAME")</f>
        <v>USA</v>
      </c>
      <c r="CV503" s="9" t="str">
        <f>_xll.SNL.Clients.Office.Excel.Functions.SPG(CS503, "SP_COUNTRY_NAME")</f>
        <v>#INVALID COMPANY ID</v>
      </c>
      <c r="DA503" s="9" t="str">
        <f>_xll.SNL.Clients.Office.Excel.Functions.SPG(CX503, "SP_COUNTRY_NAME")</f>
        <v>#INVALID COMPANY ID</v>
      </c>
      <c r="DB503" t="s">
        <v>1553</v>
      </c>
      <c r="DC503">
        <v>10552313</v>
      </c>
      <c r="DD503" t="s">
        <v>346</v>
      </c>
      <c r="DE503" s="11">
        <v>0</v>
      </c>
      <c r="DF503" s="9" t="str">
        <f>_xll.SNL.Clients.Office.Excel.Functions.SPG(DC503, "SP_COUNTRY_NAME")</f>
        <v>Spain</v>
      </c>
      <c r="DK503" s="9" t="str">
        <f>_xll.SNL.Clients.Office.Excel.Functions.SPG(DH503, "SP_COUNTRY_NAME")</f>
        <v>#INVALID COMPANY ID</v>
      </c>
      <c r="DL503" t="s">
        <v>1553</v>
      </c>
      <c r="DM503">
        <v>10552313</v>
      </c>
      <c r="DN503" t="s">
        <v>346</v>
      </c>
      <c r="DO503" s="11">
        <v>0</v>
      </c>
      <c r="DP503" s="9" t="str">
        <f>_xll.SNL.Clients.Office.Excel.Functions.SPG(DM503, "SP_COUNTRY_NAME")</f>
        <v>Spain</v>
      </c>
      <c r="DU503" s="9" t="str">
        <f>_xll.SNL.Clients.Office.Excel.Functions.SPG(DR503, "SP_COUNTRY_NAME")</f>
        <v>#INVALID COMPANY ID</v>
      </c>
      <c r="DZ503" s="9" t="str">
        <f>_xll.SNL.Clients.Office.Excel.Functions.SPG(DW503, "SP_COUNTRY_NAME")</f>
        <v>#INVALID COMPANY ID</v>
      </c>
      <c r="EA503" t="s">
        <v>1910</v>
      </c>
      <c r="EB503">
        <v>109772064</v>
      </c>
      <c r="EC503" t="s">
        <v>346</v>
      </c>
      <c r="ED503" s="11">
        <v>0</v>
      </c>
      <c r="EE503" s="9" t="str">
        <f>_xll.SNL.Clients.Office.Excel.Functions.SPG(EB503, "SP_COUNTRY_NAME")</f>
        <v>USA</v>
      </c>
      <c r="EF503" t="s">
        <v>1553</v>
      </c>
      <c r="EG503">
        <v>10552313</v>
      </c>
      <c r="EH503" t="s">
        <v>346</v>
      </c>
      <c r="EI503" s="11">
        <v>0</v>
      </c>
      <c r="EJ503" s="9" t="str">
        <f>_xll.SNL.Clients.Office.Excel.Functions.SPG(EG503, "SP_COUNTRY_NAME")</f>
        <v>Spain</v>
      </c>
      <c r="EO503" s="9" t="str">
        <f>_xll.SNL.Clients.Office.Excel.Functions.SPG(EL503, "SP_COUNTRY_NAME")</f>
        <v>#INVALID COMPANY ID</v>
      </c>
      <c r="ET503" s="9" t="str">
        <f>_xll.SNL.Clients.Office.Excel.Functions.SPG(EQ503, "SP_COUNTRY_NAME")</f>
        <v>#INVALID COMPANY ID</v>
      </c>
      <c r="EY503" s="9" t="str">
        <f>_xll.SNL.Clients.Office.Excel.Functions.SPG(EV503, "SP_COUNTRY_NAME")</f>
        <v>#INVALID COMPANY ID</v>
      </c>
      <c r="FD503" s="9" t="str">
        <f>_xll.SNL.Clients.Office.Excel.Functions.SPG(FA503, "SP_COUNTRY_NAME")</f>
        <v>#INVALID COMPANY ID</v>
      </c>
      <c r="FI503" s="9" t="str">
        <f>_xll.SNL.Clients.Office.Excel.Functions.SPG(FF503, "SP_COUNTRY_NAME")</f>
        <v>#INVALID COMPANY ID</v>
      </c>
      <c r="FN503" s="9" t="str">
        <f>_xll.SNL.Clients.Office.Excel.Functions.SPG(FK503, "SP_COUNTRY_NAME")</f>
        <v>#INVALID COMPANY ID</v>
      </c>
      <c r="FS503" s="9" t="str">
        <f>_xll.SNL.Clients.Office.Excel.Functions.SPG(FP503, "SP_COUNTRY_NAME")</f>
        <v>#INVALID COMPANY ID</v>
      </c>
      <c r="FX503" s="9" t="str">
        <f>_xll.SNL.Clients.Office.Excel.Functions.SPG(FU503, "SP_COUNTRY_NAME")</f>
        <v>#INVALID COMPANY ID</v>
      </c>
      <c r="FY503" t="s">
        <v>1553</v>
      </c>
      <c r="FZ503">
        <v>10552313</v>
      </c>
      <c r="GA503" t="s">
        <v>346</v>
      </c>
      <c r="GB503" s="11">
        <v>0</v>
      </c>
      <c r="GC503" s="9" t="str">
        <f>_xll.SNL.Clients.Office.Excel.Functions.SPG(FZ503, "SP_COUNTRY_NAME")</f>
        <v>Spain</v>
      </c>
      <c r="GH503" s="9" t="str">
        <f>_xll.SNL.Clients.Office.Excel.Functions.SPG(GE503, "SP_COUNTRY_NAME")</f>
        <v>#INVALID COMPANY ID</v>
      </c>
      <c r="GM503" s="9" t="str">
        <f>_xll.SNL.Clients.Office.Excel.Functions.SPG(GJ503, "SP_COUNTRY_NAME")</f>
        <v>#INVALID COMPANY ID</v>
      </c>
      <c r="GR503" s="9" t="str">
        <f>_xll.SNL.Clients.Office.Excel.Functions.SPG(GO503, "SP_COUNTRY_NAME")</f>
        <v>#INVALID COMPANY ID</v>
      </c>
      <c r="GW503" s="9" t="str">
        <f>_xll.SNL.Clients.Office.Excel.Functions.SPG(GT503, "SP_COUNTRY_NAME")</f>
        <v>#INVALID COMPANY ID</v>
      </c>
      <c r="GX503" t="s">
        <v>1910</v>
      </c>
      <c r="GY503">
        <v>109772064</v>
      </c>
      <c r="GZ503" t="s">
        <v>346</v>
      </c>
      <c r="HA503" s="11">
        <v>0</v>
      </c>
      <c r="HB503" s="9" t="str">
        <f>_xll.SNL.Clients.Office.Excel.Functions.SPG(GY503, "SP_COUNTRY_NAME")</f>
        <v>USA</v>
      </c>
      <c r="HG503" s="9" t="str">
        <f>_xll.SNL.Clients.Office.Excel.Functions.SPG(HD503, "SP_COUNTRY_NAME")</f>
        <v>#INVALID COMPANY ID</v>
      </c>
    </row>
  </sheetData>
  <pageMargins left="0.7" right="0.7" top="0.75" bottom="0.75" header="0.3" footer="0.3"/>
  <headerFooter>
    <oddFooter>&amp;C_x000D_&amp;1#&amp;"Aptos"&amp;10&amp;K0000FF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6A69-2949-4E94-8811-A7159D51BFA4}">
  <dimension ref="A1:HG503"/>
  <sheetViews>
    <sheetView topLeftCell="BJ1" workbookViewId="0">
      <selection activeCell="CA44" sqref="CA44"/>
    </sheetView>
  </sheetViews>
  <sheetFormatPr defaultRowHeight="14.5" x14ac:dyDescent="0.35"/>
  <sheetData>
    <row r="1" spans="1:215" x14ac:dyDescent="0.35">
      <c r="A1">
        <v>4355482</v>
      </c>
      <c r="B1">
        <v>4047416</v>
      </c>
      <c r="C1">
        <v>4349160</v>
      </c>
      <c r="D1">
        <v>4355602</v>
      </c>
      <c r="E1">
        <v>4355642</v>
      </c>
      <c r="F1">
        <v>4349160</v>
      </c>
      <c r="G1">
        <v>4351931</v>
      </c>
      <c r="H1">
        <v>4355482</v>
      </c>
      <c r="I1">
        <v>4351190</v>
      </c>
      <c r="J1">
        <v>4355482</v>
      </c>
      <c r="K1">
        <v>4649760</v>
      </c>
      <c r="L1">
        <v>4113732</v>
      </c>
      <c r="M1">
        <v>4348654</v>
      </c>
      <c r="N1">
        <v>4349148</v>
      </c>
      <c r="O1">
        <v>6582136</v>
      </c>
      <c r="P1">
        <v>4355642</v>
      </c>
      <c r="Q1">
        <v>4223919</v>
      </c>
      <c r="R1">
        <v>4351190</v>
      </c>
      <c r="S1">
        <v>4379789</v>
      </c>
      <c r="T1">
        <v>4102700</v>
      </c>
      <c r="U1">
        <v>4361447</v>
      </c>
      <c r="V1">
        <v>4113732</v>
      </c>
      <c r="W1">
        <v>4361447</v>
      </c>
      <c r="X1">
        <v>4113732</v>
      </c>
      <c r="Y1">
        <v>4355602</v>
      </c>
      <c r="Z1">
        <v>4352853</v>
      </c>
      <c r="AA1">
        <v>4223919</v>
      </c>
      <c r="AB1">
        <v>4113732</v>
      </c>
      <c r="AC1">
        <v>4361447</v>
      </c>
      <c r="AD1">
        <v>4352229</v>
      </c>
      <c r="AE1">
        <v>19394423</v>
      </c>
      <c r="AF1">
        <v>4352804</v>
      </c>
      <c r="AG1">
        <v>4557435</v>
      </c>
      <c r="AH1">
        <v>4096231</v>
      </c>
      <c r="AI1">
        <v>4361447</v>
      </c>
      <c r="AJ1">
        <v>4353521</v>
      </c>
      <c r="AK1">
        <v>4113732</v>
      </c>
      <c r="AL1">
        <v>4352804</v>
      </c>
      <c r="AM1">
        <v>4557435</v>
      </c>
      <c r="AN1">
        <v>4096231</v>
      </c>
      <c r="AO1">
        <v>4349148</v>
      </c>
      <c r="AP1">
        <v>4223919</v>
      </c>
      <c r="AQ1">
        <v>4355649</v>
      </c>
    </row>
    <row r="2" spans="1:215" s="12" customFormat="1" x14ac:dyDescent="0.35">
      <c r="A2" s="12">
        <v>4355482</v>
      </c>
      <c r="B2" s="12">
        <v>4355482</v>
      </c>
      <c r="C2" s="12">
        <v>4355482</v>
      </c>
      <c r="D2" s="12">
        <v>4355482</v>
      </c>
      <c r="E2" s="12">
        <v>4355482</v>
      </c>
      <c r="F2" s="12">
        <v>4047416</v>
      </c>
      <c r="G2" s="12">
        <v>4047416</v>
      </c>
      <c r="H2" s="12">
        <v>4047416</v>
      </c>
      <c r="I2" s="12">
        <v>4047416</v>
      </c>
      <c r="J2" s="12">
        <v>4047416</v>
      </c>
      <c r="K2" s="12">
        <v>4349160</v>
      </c>
      <c r="L2" s="12">
        <v>4349160</v>
      </c>
      <c r="M2" s="12">
        <v>4349160</v>
      </c>
      <c r="N2" s="12">
        <v>4349160</v>
      </c>
      <c r="O2" s="12">
        <v>4349160</v>
      </c>
      <c r="P2" s="12">
        <v>4355602</v>
      </c>
      <c r="Q2" s="12">
        <v>4355602</v>
      </c>
      <c r="R2" s="12">
        <v>4355602</v>
      </c>
      <c r="S2" s="12">
        <v>4355602</v>
      </c>
      <c r="T2" s="12">
        <v>4355602</v>
      </c>
      <c r="U2" s="12">
        <v>4355642</v>
      </c>
      <c r="V2" s="12">
        <v>4355642</v>
      </c>
      <c r="W2" s="12">
        <v>4355642</v>
      </c>
      <c r="X2" s="12">
        <v>4355642</v>
      </c>
      <c r="Y2" s="12">
        <v>4355642</v>
      </c>
      <c r="Z2" s="12">
        <v>4349160</v>
      </c>
      <c r="AA2" s="12">
        <v>4349160</v>
      </c>
      <c r="AB2" s="12">
        <v>4349160</v>
      </c>
      <c r="AC2" s="12">
        <v>4349160</v>
      </c>
      <c r="AD2" s="12">
        <v>4349160</v>
      </c>
      <c r="AE2" s="12">
        <v>4351931</v>
      </c>
      <c r="AF2" s="12">
        <v>4351931</v>
      </c>
      <c r="AG2" s="12">
        <v>4351931</v>
      </c>
      <c r="AH2" s="12">
        <v>4351931</v>
      </c>
      <c r="AI2" s="12">
        <v>4351931</v>
      </c>
      <c r="AJ2" s="12">
        <v>4355482</v>
      </c>
      <c r="AK2" s="12">
        <v>4355482</v>
      </c>
      <c r="AL2" s="12">
        <v>4355482</v>
      </c>
      <c r="AM2" s="12">
        <v>4355482</v>
      </c>
      <c r="AN2" s="12">
        <v>4355482</v>
      </c>
      <c r="AO2" s="12">
        <v>4351190</v>
      </c>
      <c r="AP2" s="12">
        <v>4351190</v>
      </c>
      <c r="AQ2" s="12">
        <v>4351190</v>
      </c>
      <c r="AR2" s="12">
        <v>4351190</v>
      </c>
      <c r="AS2" s="12">
        <v>4351190</v>
      </c>
      <c r="AT2" s="12">
        <v>4355482</v>
      </c>
      <c r="AU2" s="12">
        <v>4355482</v>
      </c>
      <c r="AV2" s="12">
        <v>4355482</v>
      </c>
      <c r="AW2" s="12">
        <v>4355482</v>
      </c>
      <c r="AX2" s="12">
        <v>4355482</v>
      </c>
      <c r="AY2" s="12">
        <v>4649760</v>
      </c>
      <c r="AZ2" s="12">
        <v>4649760</v>
      </c>
      <c r="BA2" s="12">
        <v>4649760</v>
      </c>
      <c r="BB2" s="12">
        <v>4649760</v>
      </c>
      <c r="BC2" s="12">
        <v>4649760</v>
      </c>
      <c r="BD2" s="12">
        <v>4113732</v>
      </c>
      <c r="BE2" s="12">
        <v>4113732</v>
      </c>
      <c r="BF2" s="12">
        <v>4113732</v>
      </c>
      <c r="BG2" s="12">
        <v>4113732</v>
      </c>
      <c r="BH2" s="12">
        <v>4113732</v>
      </c>
      <c r="BI2" s="12">
        <v>4348654</v>
      </c>
      <c r="BJ2" s="12">
        <v>4348654</v>
      </c>
      <c r="BK2" s="12">
        <v>4348654</v>
      </c>
      <c r="BL2" s="12">
        <v>4348654</v>
      </c>
      <c r="BM2" s="12">
        <v>4348654</v>
      </c>
      <c r="BN2" s="12">
        <v>4349148</v>
      </c>
      <c r="BO2" s="12">
        <v>4349148</v>
      </c>
      <c r="BP2" s="12">
        <v>4349148</v>
      </c>
      <c r="BQ2" s="12">
        <v>4349148</v>
      </c>
      <c r="BR2" s="12">
        <v>4349148</v>
      </c>
      <c r="BS2" s="12">
        <v>6582136</v>
      </c>
      <c r="BT2" s="12">
        <v>6582136</v>
      </c>
      <c r="BU2" s="12">
        <v>6582136</v>
      </c>
      <c r="BV2" s="12">
        <v>6582136</v>
      </c>
      <c r="BW2" s="12">
        <v>6582136</v>
      </c>
      <c r="BX2" s="12">
        <v>4355642</v>
      </c>
      <c r="BY2" s="12">
        <v>4355642</v>
      </c>
      <c r="BZ2" s="12">
        <v>4355642</v>
      </c>
      <c r="CA2" s="12">
        <v>4355642</v>
      </c>
      <c r="CB2" s="12">
        <v>4355642</v>
      </c>
      <c r="CC2" s="12">
        <v>4223919</v>
      </c>
      <c r="CD2" s="12">
        <v>4223919</v>
      </c>
      <c r="CE2" s="12">
        <v>4223919</v>
      </c>
      <c r="CF2" s="12">
        <v>4223919</v>
      </c>
      <c r="CG2" s="12">
        <v>4223919</v>
      </c>
      <c r="CH2" s="12">
        <v>4351190</v>
      </c>
      <c r="CI2" s="12">
        <v>4351190</v>
      </c>
      <c r="CJ2" s="12">
        <v>4351190</v>
      </c>
      <c r="CK2" s="12">
        <v>4351190</v>
      </c>
      <c r="CL2" s="12">
        <v>4351190</v>
      </c>
      <c r="CM2" s="12">
        <v>4379789</v>
      </c>
      <c r="CN2" s="12">
        <v>4379789</v>
      </c>
      <c r="CO2" s="12">
        <v>4379789</v>
      </c>
      <c r="CP2" s="12">
        <v>4379789</v>
      </c>
      <c r="CQ2" s="12">
        <v>4379789</v>
      </c>
      <c r="CR2" s="12">
        <v>4102700</v>
      </c>
      <c r="CS2" s="12">
        <v>4102700</v>
      </c>
      <c r="CT2" s="12">
        <v>4102700</v>
      </c>
      <c r="CU2" s="12">
        <v>4102700</v>
      </c>
      <c r="CV2" s="12">
        <v>4102700</v>
      </c>
      <c r="CW2" s="12">
        <v>4361447</v>
      </c>
      <c r="CX2" s="12">
        <v>4361447</v>
      </c>
      <c r="CY2" s="12">
        <v>4361447</v>
      </c>
      <c r="CZ2" s="12">
        <v>4361447</v>
      </c>
      <c r="DA2" s="12">
        <v>4361447</v>
      </c>
      <c r="DB2" s="12">
        <v>4113732</v>
      </c>
      <c r="DC2" s="12">
        <v>4113732</v>
      </c>
      <c r="DD2" s="12">
        <v>4113732</v>
      </c>
      <c r="DE2" s="12">
        <v>4113732</v>
      </c>
      <c r="DF2" s="12">
        <v>4113732</v>
      </c>
      <c r="DG2" s="12">
        <v>4361447</v>
      </c>
      <c r="DH2" s="12">
        <v>4361447</v>
      </c>
      <c r="DI2" s="12">
        <v>4361447</v>
      </c>
      <c r="DJ2" s="12">
        <v>4361447</v>
      </c>
      <c r="DK2" s="12">
        <v>4361447</v>
      </c>
      <c r="DL2" s="12">
        <v>4113732</v>
      </c>
      <c r="DM2" s="12">
        <v>4113732</v>
      </c>
      <c r="DN2" s="12">
        <v>4113732</v>
      </c>
      <c r="DO2" s="12">
        <v>4113732</v>
      </c>
      <c r="DP2" s="12">
        <v>4113732</v>
      </c>
      <c r="DQ2" s="12">
        <v>4355602</v>
      </c>
      <c r="DR2" s="12">
        <v>4355602</v>
      </c>
      <c r="DS2" s="12">
        <v>4355602</v>
      </c>
      <c r="DT2" s="12">
        <v>4355602</v>
      </c>
      <c r="DU2" s="12">
        <v>4355602</v>
      </c>
      <c r="DV2" s="12">
        <v>4352853</v>
      </c>
      <c r="DW2" s="12">
        <v>4352853</v>
      </c>
      <c r="DX2" s="12">
        <v>4352853</v>
      </c>
      <c r="DY2" s="12">
        <v>4352853</v>
      </c>
      <c r="DZ2" s="12">
        <v>4352853</v>
      </c>
      <c r="EA2" s="12">
        <v>4223919</v>
      </c>
      <c r="EB2" s="12">
        <v>4223919</v>
      </c>
      <c r="EC2" s="12">
        <v>4223919</v>
      </c>
      <c r="ED2" s="12">
        <v>4223919</v>
      </c>
      <c r="EE2" s="12">
        <v>4223919</v>
      </c>
      <c r="EF2" s="12">
        <v>4113732</v>
      </c>
      <c r="EG2" s="12">
        <v>4113732</v>
      </c>
      <c r="EH2" s="12">
        <v>4113732</v>
      </c>
      <c r="EI2" s="12">
        <v>4113732</v>
      </c>
      <c r="EJ2" s="12">
        <v>4113732</v>
      </c>
      <c r="EK2" s="12">
        <v>4361447</v>
      </c>
      <c r="EL2" s="12">
        <v>4361447</v>
      </c>
      <c r="EM2" s="12">
        <v>4361447</v>
      </c>
      <c r="EN2" s="12">
        <v>4361447</v>
      </c>
      <c r="EO2" s="12">
        <v>4361447</v>
      </c>
      <c r="EP2" s="12">
        <v>4352229</v>
      </c>
      <c r="EQ2" s="12">
        <v>4352229</v>
      </c>
      <c r="ER2" s="12">
        <v>4352229</v>
      </c>
      <c r="ES2" s="12">
        <v>4352229</v>
      </c>
      <c r="ET2" s="12">
        <v>4352229</v>
      </c>
      <c r="EU2" s="12">
        <v>19394423</v>
      </c>
      <c r="EV2" s="12">
        <v>19394423</v>
      </c>
      <c r="EW2" s="12">
        <v>19394423</v>
      </c>
      <c r="EX2" s="12">
        <v>19394423</v>
      </c>
      <c r="EY2" s="12">
        <v>19394423</v>
      </c>
      <c r="EZ2" s="12">
        <v>4352804</v>
      </c>
      <c r="FA2" s="12">
        <v>4352804</v>
      </c>
      <c r="FB2" s="12">
        <v>4352804</v>
      </c>
      <c r="FC2" s="12">
        <v>4352804</v>
      </c>
      <c r="FD2" s="12">
        <v>4352804</v>
      </c>
      <c r="FE2" s="12">
        <v>4557435</v>
      </c>
      <c r="FF2" s="12">
        <v>4557435</v>
      </c>
      <c r="FG2" s="12">
        <v>4557435</v>
      </c>
      <c r="FH2" s="12">
        <v>4557435</v>
      </c>
      <c r="FI2" s="12">
        <v>4557435</v>
      </c>
      <c r="FJ2" s="12">
        <v>4096231</v>
      </c>
      <c r="FK2" s="12">
        <v>4096231</v>
      </c>
      <c r="FL2" s="12">
        <v>4096231</v>
      </c>
      <c r="FM2" s="12">
        <v>4096231</v>
      </c>
      <c r="FN2" s="12">
        <v>4096231</v>
      </c>
      <c r="FO2" s="12">
        <v>4361447</v>
      </c>
      <c r="FP2" s="12">
        <v>4361447</v>
      </c>
      <c r="FQ2" s="12">
        <v>4361447</v>
      </c>
      <c r="FR2" s="12">
        <v>4361447</v>
      </c>
      <c r="FS2" s="12">
        <v>4361447</v>
      </c>
      <c r="FT2" s="12">
        <v>4353521</v>
      </c>
      <c r="FU2" s="12">
        <v>4353521</v>
      </c>
      <c r="FV2" s="12">
        <v>4353521</v>
      </c>
      <c r="FW2" s="12">
        <v>4353521</v>
      </c>
      <c r="FX2" s="12">
        <v>4353521</v>
      </c>
      <c r="FY2" s="12">
        <v>4113732</v>
      </c>
      <c r="FZ2" s="12">
        <v>4113732</v>
      </c>
      <c r="GA2" s="12">
        <v>4113732</v>
      </c>
      <c r="GB2" s="12">
        <v>4113732</v>
      </c>
      <c r="GC2" s="12">
        <v>4113732</v>
      </c>
      <c r="GD2" s="12">
        <v>4352804</v>
      </c>
      <c r="GE2" s="12">
        <v>4352804</v>
      </c>
      <c r="GF2" s="12">
        <v>4352804</v>
      </c>
      <c r="GG2" s="12">
        <v>4352804</v>
      </c>
      <c r="GH2" s="12">
        <v>4352804</v>
      </c>
      <c r="GI2" s="12">
        <v>4557435</v>
      </c>
      <c r="GJ2" s="12">
        <v>4557435</v>
      </c>
      <c r="GK2" s="12">
        <v>4557435</v>
      </c>
      <c r="GL2" s="12">
        <v>4557435</v>
      </c>
      <c r="GM2" s="12">
        <v>4557435</v>
      </c>
      <c r="GN2" s="12">
        <v>4096231</v>
      </c>
      <c r="GO2" s="12">
        <v>4096231</v>
      </c>
      <c r="GP2" s="12">
        <v>4096231</v>
      </c>
      <c r="GQ2" s="12">
        <v>4096231</v>
      </c>
      <c r="GR2" s="12">
        <v>4096231</v>
      </c>
      <c r="GS2" s="12">
        <v>4349148</v>
      </c>
      <c r="GT2" s="12">
        <v>4349148</v>
      </c>
      <c r="GU2" s="12">
        <v>4349148</v>
      </c>
      <c r="GV2" s="12">
        <v>4349148</v>
      </c>
      <c r="GW2" s="12">
        <v>4349148</v>
      </c>
      <c r="GX2" s="12">
        <v>4223919</v>
      </c>
      <c r="GY2" s="12">
        <v>4223919</v>
      </c>
      <c r="GZ2" s="12">
        <v>4223919</v>
      </c>
      <c r="HA2" s="12">
        <v>4223919</v>
      </c>
      <c r="HB2" s="12">
        <v>4223919</v>
      </c>
      <c r="HC2" s="12">
        <v>4355649</v>
      </c>
      <c r="HD2" s="12">
        <v>4355649</v>
      </c>
      <c r="HE2" s="12">
        <v>4355649</v>
      </c>
      <c r="HF2" s="12">
        <v>4355649</v>
      </c>
      <c r="HG2" s="12">
        <v>4355649</v>
      </c>
    </row>
    <row r="3" spans="1:215" s="12" customFormat="1" ht="43.5" x14ac:dyDescent="0.35">
      <c r="A3" s="12" t="s">
        <v>340</v>
      </c>
      <c r="B3" s="12" t="s">
        <v>341</v>
      </c>
      <c r="C3" s="12" t="s">
        <v>342</v>
      </c>
      <c r="D3" s="12" t="s">
        <v>343</v>
      </c>
      <c r="E3" s="12" t="s">
        <v>344</v>
      </c>
      <c r="F3" s="12" t="s">
        <v>340</v>
      </c>
      <c r="G3" s="12" t="s">
        <v>341</v>
      </c>
      <c r="H3" s="12" t="s">
        <v>342</v>
      </c>
      <c r="I3" s="12" t="s">
        <v>343</v>
      </c>
      <c r="J3" s="12" t="s">
        <v>344</v>
      </c>
      <c r="K3" s="12" t="s">
        <v>340</v>
      </c>
      <c r="L3" s="12" t="s">
        <v>341</v>
      </c>
      <c r="M3" s="12" t="s">
        <v>342</v>
      </c>
      <c r="N3" s="12" t="s">
        <v>343</v>
      </c>
      <c r="O3" s="12" t="s">
        <v>344</v>
      </c>
      <c r="P3" s="12" t="s">
        <v>340</v>
      </c>
      <c r="Q3" s="12" t="s">
        <v>341</v>
      </c>
      <c r="R3" s="12" t="s">
        <v>342</v>
      </c>
      <c r="S3" s="12" t="s">
        <v>343</v>
      </c>
      <c r="T3" s="12" t="s">
        <v>344</v>
      </c>
      <c r="U3" s="12" t="s">
        <v>340</v>
      </c>
      <c r="V3" s="12" t="s">
        <v>341</v>
      </c>
      <c r="W3" s="12" t="s">
        <v>342</v>
      </c>
      <c r="X3" s="12" t="s">
        <v>343</v>
      </c>
      <c r="Y3" s="12" t="s">
        <v>344</v>
      </c>
      <c r="Z3" s="12" t="s">
        <v>340</v>
      </c>
      <c r="AA3" s="12" t="s">
        <v>341</v>
      </c>
      <c r="AB3" s="12" t="s">
        <v>342</v>
      </c>
      <c r="AC3" s="12" t="s">
        <v>343</v>
      </c>
      <c r="AD3" s="12" t="s">
        <v>344</v>
      </c>
      <c r="AE3" s="12" t="s">
        <v>340</v>
      </c>
      <c r="AF3" s="12" t="s">
        <v>341</v>
      </c>
      <c r="AG3" s="12" t="s">
        <v>342</v>
      </c>
      <c r="AH3" s="12" t="s">
        <v>343</v>
      </c>
      <c r="AI3" s="12" t="s">
        <v>344</v>
      </c>
      <c r="AJ3" s="12" t="s">
        <v>340</v>
      </c>
      <c r="AK3" s="12" t="s">
        <v>341</v>
      </c>
      <c r="AL3" s="12" t="s">
        <v>342</v>
      </c>
      <c r="AM3" s="12" t="s">
        <v>343</v>
      </c>
      <c r="AN3" s="12" t="s">
        <v>344</v>
      </c>
      <c r="AO3" s="12" t="s">
        <v>340</v>
      </c>
      <c r="AP3" s="12" t="s">
        <v>341</v>
      </c>
      <c r="AQ3" s="12" t="s">
        <v>342</v>
      </c>
      <c r="AR3" s="12" t="s">
        <v>343</v>
      </c>
      <c r="AS3" s="12" t="s">
        <v>344</v>
      </c>
      <c r="AT3" s="12" t="s">
        <v>340</v>
      </c>
      <c r="AU3" s="12" t="s">
        <v>341</v>
      </c>
      <c r="AV3" s="12" t="s">
        <v>342</v>
      </c>
      <c r="AW3" s="12" t="s">
        <v>343</v>
      </c>
      <c r="AX3" s="12" t="s">
        <v>344</v>
      </c>
      <c r="AY3" s="12" t="s">
        <v>340</v>
      </c>
      <c r="AZ3" s="12" t="s">
        <v>341</v>
      </c>
      <c r="BA3" s="12" t="s">
        <v>342</v>
      </c>
      <c r="BB3" s="12" t="s">
        <v>343</v>
      </c>
      <c r="BC3" s="12" t="s">
        <v>344</v>
      </c>
      <c r="BD3" s="12" t="s">
        <v>340</v>
      </c>
      <c r="BE3" s="12" t="s">
        <v>341</v>
      </c>
      <c r="BF3" s="12" t="s">
        <v>342</v>
      </c>
      <c r="BG3" s="12" t="s">
        <v>343</v>
      </c>
      <c r="BH3" s="12" t="s">
        <v>344</v>
      </c>
      <c r="BI3" s="12" t="s">
        <v>340</v>
      </c>
      <c r="BJ3" s="12" t="s">
        <v>341</v>
      </c>
      <c r="BK3" s="12" t="s">
        <v>342</v>
      </c>
      <c r="BL3" s="12" t="s">
        <v>343</v>
      </c>
      <c r="BM3" s="12" t="s">
        <v>344</v>
      </c>
      <c r="BN3" s="12" t="s">
        <v>340</v>
      </c>
      <c r="BO3" s="12" t="s">
        <v>341</v>
      </c>
      <c r="BP3" s="12" t="s">
        <v>342</v>
      </c>
      <c r="BQ3" s="12" t="s">
        <v>343</v>
      </c>
      <c r="BR3" s="12" t="s">
        <v>344</v>
      </c>
      <c r="BS3" s="12" t="s">
        <v>340</v>
      </c>
      <c r="BT3" s="12" t="s">
        <v>341</v>
      </c>
      <c r="BU3" s="12" t="s">
        <v>342</v>
      </c>
      <c r="BV3" s="12" t="s">
        <v>343</v>
      </c>
      <c r="BW3" s="12" t="s">
        <v>344</v>
      </c>
      <c r="BX3" s="12" t="s">
        <v>340</v>
      </c>
      <c r="BY3" s="12" t="s">
        <v>341</v>
      </c>
      <c r="BZ3" s="12" t="s">
        <v>342</v>
      </c>
      <c r="CA3" s="12" t="s">
        <v>343</v>
      </c>
      <c r="CB3" s="12" t="s">
        <v>344</v>
      </c>
      <c r="CC3" s="12" t="s">
        <v>340</v>
      </c>
      <c r="CD3" s="12" t="s">
        <v>341</v>
      </c>
      <c r="CE3" s="12" t="s">
        <v>342</v>
      </c>
      <c r="CF3" s="12" t="s">
        <v>343</v>
      </c>
      <c r="CG3" s="12" t="s">
        <v>344</v>
      </c>
      <c r="CH3" s="12" t="s">
        <v>340</v>
      </c>
      <c r="CI3" s="12" t="s">
        <v>341</v>
      </c>
      <c r="CJ3" s="12" t="s">
        <v>342</v>
      </c>
      <c r="CK3" s="12" t="s">
        <v>343</v>
      </c>
      <c r="CL3" s="12" t="s">
        <v>344</v>
      </c>
      <c r="CM3" s="12" t="s">
        <v>340</v>
      </c>
      <c r="CN3" s="12" t="s">
        <v>341</v>
      </c>
      <c r="CO3" s="12" t="s">
        <v>342</v>
      </c>
      <c r="CP3" s="12" t="s">
        <v>343</v>
      </c>
      <c r="CQ3" s="12" t="s">
        <v>344</v>
      </c>
      <c r="CR3" s="12" t="s">
        <v>340</v>
      </c>
      <c r="CS3" s="12" t="s">
        <v>341</v>
      </c>
      <c r="CT3" s="12" t="s">
        <v>342</v>
      </c>
      <c r="CU3" s="12" t="s">
        <v>343</v>
      </c>
      <c r="CV3" s="12" t="s">
        <v>344</v>
      </c>
      <c r="CW3" s="12" t="s">
        <v>340</v>
      </c>
      <c r="CX3" s="12" t="s">
        <v>341</v>
      </c>
      <c r="CY3" s="12" t="s">
        <v>342</v>
      </c>
      <c r="CZ3" s="12" t="s">
        <v>343</v>
      </c>
      <c r="DA3" s="12" t="s">
        <v>344</v>
      </c>
      <c r="DB3" s="12" t="s">
        <v>340</v>
      </c>
      <c r="DC3" s="12" t="s">
        <v>341</v>
      </c>
      <c r="DD3" s="12" t="s">
        <v>342</v>
      </c>
      <c r="DE3" s="12" t="s">
        <v>343</v>
      </c>
      <c r="DF3" s="12" t="s">
        <v>344</v>
      </c>
      <c r="DG3" s="12" t="s">
        <v>340</v>
      </c>
      <c r="DH3" s="12" t="s">
        <v>341</v>
      </c>
      <c r="DI3" s="12" t="s">
        <v>342</v>
      </c>
      <c r="DJ3" s="12" t="s">
        <v>343</v>
      </c>
      <c r="DK3" s="12" t="s">
        <v>344</v>
      </c>
      <c r="DL3" s="12" t="s">
        <v>340</v>
      </c>
      <c r="DM3" s="12" t="s">
        <v>341</v>
      </c>
      <c r="DN3" s="12" t="s">
        <v>342</v>
      </c>
      <c r="DO3" s="12" t="s">
        <v>343</v>
      </c>
      <c r="DP3" s="12" t="s">
        <v>344</v>
      </c>
      <c r="DQ3" s="12" t="s">
        <v>340</v>
      </c>
      <c r="DR3" s="12" t="s">
        <v>341</v>
      </c>
      <c r="DS3" s="12" t="s">
        <v>342</v>
      </c>
      <c r="DT3" s="12" t="s">
        <v>343</v>
      </c>
      <c r="DU3" s="12" t="s">
        <v>344</v>
      </c>
      <c r="DV3" s="12" t="s">
        <v>340</v>
      </c>
      <c r="DW3" s="12" t="s">
        <v>341</v>
      </c>
      <c r="DX3" s="12" t="s">
        <v>342</v>
      </c>
      <c r="DY3" s="12" t="s">
        <v>343</v>
      </c>
      <c r="DZ3" s="12" t="s">
        <v>344</v>
      </c>
      <c r="EA3" s="12" t="s">
        <v>340</v>
      </c>
      <c r="EB3" s="12" t="s">
        <v>341</v>
      </c>
      <c r="EC3" s="12" t="s">
        <v>342</v>
      </c>
      <c r="ED3" s="12" t="s">
        <v>343</v>
      </c>
      <c r="EE3" s="12" t="s">
        <v>344</v>
      </c>
      <c r="EF3" s="12" t="s">
        <v>340</v>
      </c>
      <c r="EG3" s="12" t="s">
        <v>341</v>
      </c>
      <c r="EH3" s="12" t="s">
        <v>342</v>
      </c>
      <c r="EI3" s="12" t="s">
        <v>343</v>
      </c>
      <c r="EJ3" s="12" t="s">
        <v>344</v>
      </c>
      <c r="EK3" s="12" t="s">
        <v>340</v>
      </c>
      <c r="EL3" s="12" t="s">
        <v>341</v>
      </c>
      <c r="EM3" s="12" t="s">
        <v>342</v>
      </c>
      <c r="EN3" s="12" t="s">
        <v>343</v>
      </c>
      <c r="EO3" s="12" t="s">
        <v>344</v>
      </c>
      <c r="EP3" s="12" t="s">
        <v>340</v>
      </c>
      <c r="EQ3" s="12" t="s">
        <v>341</v>
      </c>
      <c r="ER3" s="12" t="s">
        <v>342</v>
      </c>
      <c r="ES3" s="12" t="s">
        <v>343</v>
      </c>
      <c r="ET3" s="12" t="s">
        <v>344</v>
      </c>
      <c r="EU3" s="12" t="s">
        <v>340</v>
      </c>
      <c r="EV3" s="12" t="s">
        <v>341</v>
      </c>
      <c r="EW3" s="12" t="s">
        <v>342</v>
      </c>
      <c r="EX3" s="12" t="s">
        <v>343</v>
      </c>
      <c r="EY3" s="12" t="s">
        <v>344</v>
      </c>
      <c r="EZ3" s="12" t="s">
        <v>340</v>
      </c>
      <c r="FA3" s="12" t="s">
        <v>341</v>
      </c>
      <c r="FB3" s="12" t="s">
        <v>342</v>
      </c>
      <c r="FC3" s="12" t="s">
        <v>343</v>
      </c>
      <c r="FD3" s="12" t="s">
        <v>344</v>
      </c>
      <c r="FE3" s="12" t="s">
        <v>340</v>
      </c>
      <c r="FF3" s="12" t="s">
        <v>341</v>
      </c>
      <c r="FG3" s="12" t="s">
        <v>342</v>
      </c>
      <c r="FH3" s="12" t="s">
        <v>343</v>
      </c>
      <c r="FI3" s="12" t="s">
        <v>344</v>
      </c>
      <c r="FJ3" s="12" t="s">
        <v>340</v>
      </c>
      <c r="FK3" s="12" t="s">
        <v>341</v>
      </c>
      <c r="FL3" s="12" t="s">
        <v>342</v>
      </c>
      <c r="FM3" s="12" t="s">
        <v>343</v>
      </c>
      <c r="FN3" s="12" t="s">
        <v>344</v>
      </c>
      <c r="FO3" s="12" t="s">
        <v>340</v>
      </c>
      <c r="FP3" s="12" t="s">
        <v>341</v>
      </c>
      <c r="FQ3" s="12" t="s">
        <v>342</v>
      </c>
      <c r="FR3" s="12" t="s">
        <v>343</v>
      </c>
      <c r="FS3" s="12" t="s">
        <v>344</v>
      </c>
      <c r="FT3" s="12" t="s">
        <v>340</v>
      </c>
      <c r="FU3" s="12" t="s">
        <v>341</v>
      </c>
      <c r="FV3" s="12" t="s">
        <v>342</v>
      </c>
      <c r="FW3" s="12" t="s">
        <v>343</v>
      </c>
      <c r="FX3" s="12" t="s">
        <v>344</v>
      </c>
      <c r="FY3" s="12" t="s">
        <v>340</v>
      </c>
      <c r="FZ3" s="12" t="s">
        <v>341</v>
      </c>
      <c r="GA3" s="12" t="s">
        <v>342</v>
      </c>
      <c r="GB3" s="12" t="s">
        <v>343</v>
      </c>
      <c r="GC3" s="12" t="s">
        <v>344</v>
      </c>
      <c r="GD3" s="12" t="s">
        <v>340</v>
      </c>
      <c r="GE3" s="12" t="s">
        <v>341</v>
      </c>
      <c r="GF3" s="12" t="s">
        <v>342</v>
      </c>
      <c r="GG3" s="12" t="s">
        <v>343</v>
      </c>
      <c r="GH3" s="12" t="s">
        <v>344</v>
      </c>
      <c r="GI3" s="12" t="s">
        <v>340</v>
      </c>
      <c r="GJ3" s="12" t="s">
        <v>341</v>
      </c>
      <c r="GK3" s="12" t="s">
        <v>342</v>
      </c>
      <c r="GL3" s="12" t="s">
        <v>343</v>
      </c>
      <c r="GM3" s="12" t="s">
        <v>344</v>
      </c>
      <c r="GN3" s="12" t="s">
        <v>340</v>
      </c>
      <c r="GO3" s="12" t="s">
        <v>341</v>
      </c>
      <c r="GP3" s="12" t="s">
        <v>342</v>
      </c>
      <c r="GQ3" s="12" t="s">
        <v>343</v>
      </c>
      <c r="GR3" s="12" t="s">
        <v>344</v>
      </c>
      <c r="GS3" s="12" t="s">
        <v>340</v>
      </c>
      <c r="GT3" s="12" t="s">
        <v>341</v>
      </c>
      <c r="GU3" s="12" t="s">
        <v>342</v>
      </c>
      <c r="GV3" s="12" t="s">
        <v>343</v>
      </c>
      <c r="GW3" s="12" t="s">
        <v>344</v>
      </c>
      <c r="GX3" s="12" t="s">
        <v>340</v>
      </c>
      <c r="GY3" s="12" t="s">
        <v>341</v>
      </c>
      <c r="GZ3" s="12" t="s">
        <v>342</v>
      </c>
      <c r="HA3" s="12" t="s">
        <v>343</v>
      </c>
      <c r="HB3" s="12" t="s">
        <v>344</v>
      </c>
      <c r="HC3" s="12" t="s">
        <v>340</v>
      </c>
      <c r="HD3" s="12" t="s">
        <v>341</v>
      </c>
      <c r="HE3" s="12" t="s">
        <v>342</v>
      </c>
      <c r="HF3" s="12" t="s">
        <v>343</v>
      </c>
      <c r="HG3" s="12" t="s">
        <v>344</v>
      </c>
    </row>
    <row r="4" spans="1:215" x14ac:dyDescent="0.35">
      <c r="A4" t="s">
        <v>347</v>
      </c>
      <c r="B4">
        <v>4415549</v>
      </c>
      <c r="C4" t="s">
        <v>370</v>
      </c>
      <c r="D4">
        <v>40.049999999999997</v>
      </c>
      <c r="E4" t="s">
        <v>50</v>
      </c>
      <c r="F4" t="s">
        <v>421</v>
      </c>
      <c r="G4">
        <v>4025439</v>
      </c>
      <c r="H4" t="s">
        <v>634</v>
      </c>
      <c r="I4">
        <v>10.36</v>
      </c>
      <c r="J4" t="s">
        <v>53</v>
      </c>
      <c r="K4" t="s">
        <v>635</v>
      </c>
      <c r="L4">
        <v>4349159</v>
      </c>
      <c r="M4" t="s">
        <v>370</v>
      </c>
      <c r="N4">
        <v>66.63</v>
      </c>
      <c r="O4" t="s">
        <v>50</v>
      </c>
      <c r="P4" t="s">
        <v>691</v>
      </c>
      <c r="Q4">
        <v>6623706</v>
      </c>
      <c r="R4" t="s">
        <v>705</v>
      </c>
      <c r="S4">
        <v>23.95</v>
      </c>
      <c r="T4" t="s">
        <v>2179</v>
      </c>
      <c r="U4" t="s">
        <v>706</v>
      </c>
      <c r="V4">
        <v>4403255</v>
      </c>
      <c r="W4" t="s">
        <v>370</v>
      </c>
      <c r="X4">
        <v>23.04</v>
      </c>
      <c r="Y4" t="s">
        <v>50</v>
      </c>
      <c r="Z4" t="s">
        <v>635</v>
      </c>
      <c r="AA4">
        <v>4349159</v>
      </c>
      <c r="AB4" t="s">
        <v>370</v>
      </c>
      <c r="AC4">
        <v>66.63</v>
      </c>
      <c r="AD4" t="s">
        <v>50</v>
      </c>
      <c r="AE4" t="s">
        <v>1107</v>
      </c>
      <c r="AF4">
        <v>8381667</v>
      </c>
      <c r="AG4" t="s">
        <v>370</v>
      </c>
      <c r="AH4">
        <v>20.18</v>
      </c>
      <c r="AI4" t="s">
        <v>323</v>
      </c>
      <c r="AJ4" t="s">
        <v>347</v>
      </c>
      <c r="AK4">
        <v>4415549</v>
      </c>
      <c r="AL4" t="s">
        <v>370</v>
      </c>
      <c r="AM4">
        <v>40.049999999999997</v>
      </c>
      <c r="AN4" t="s">
        <v>50</v>
      </c>
      <c r="AO4" t="s">
        <v>1255</v>
      </c>
      <c r="AP4">
        <v>4840598</v>
      </c>
      <c r="AQ4" t="s">
        <v>346</v>
      </c>
      <c r="AR4">
        <v>17.149999999999999</v>
      </c>
      <c r="AS4" t="s">
        <v>62</v>
      </c>
      <c r="AT4" t="s">
        <v>347</v>
      </c>
      <c r="AU4">
        <v>4415549</v>
      </c>
      <c r="AV4" t="s">
        <v>370</v>
      </c>
      <c r="AW4">
        <v>40.049999999999997</v>
      </c>
      <c r="AX4" t="s">
        <v>50</v>
      </c>
      <c r="AY4" t="s">
        <v>1223</v>
      </c>
      <c r="AZ4">
        <v>7755796</v>
      </c>
      <c r="BA4" t="s">
        <v>370</v>
      </c>
      <c r="BB4">
        <v>16.97</v>
      </c>
      <c r="BC4" t="s">
        <v>50</v>
      </c>
      <c r="BD4" t="s">
        <v>1387</v>
      </c>
      <c r="BE4" t="s">
        <v>300</v>
      </c>
      <c r="BF4" t="s">
        <v>361</v>
      </c>
      <c r="BG4">
        <v>10.41</v>
      </c>
      <c r="BH4" t="s">
        <v>50</v>
      </c>
      <c r="BI4" t="s">
        <v>345</v>
      </c>
      <c r="BJ4">
        <v>4139866</v>
      </c>
      <c r="BK4" t="s">
        <v>346</v>
      </c>
      <c r="BL4">
        <v>6.61</v>
      </c>
      <c r="BM4" t="s">
        <v>321</v>
      </c>
      <c r="BN4" t="s">
        <v>236</v>
      </c>
      <c r="BO4">
        <v>6582136</v>
      </c>
      <c r="BP4" t="s">
        <v>367</v>
      </c>
      <c r="BQ4">
        <v>24.91</v>
      </c>
      <c r="BR4" t="s">
        <v>50</v>
      </c>
      <c r="BS4" t="s">
        <v>938</v>
      </c>
      <c r="BT4" t="s">
        <v>300</v>
      </c>
      <c r="BU4" t="s">
        <v>361</v>
      </c>
      <c r="BV4">
        <v>22.18</v>
      </c>
      <c r="BW4" t="s">
        <v>50</v>
      </c>
      <c r="BX4" t="s">
        <v>706</v>
      </c>
      <c r="BY4">
        <v>4403255</v>
      </c>
      <c r="BZ4" t="s">
        <v>370</v>
      </c>
      <c r="CA4">
        <v>23.04</v>
      </c>
      <c r="CB4" t="s">
        <v>50</v>
      </c>
      <c r="CC4" t="s">
        <v>725</v>
      </c>
      <c r="CD4">
        <v>111195</v>
      </c>
      <c r="CE4" t="s">
        <v>346</v>
      </c>
      <c r="CF4">
        <v>8.1</v>
      </c>
      <c r="CG4" t="s">
        <v>53</v>
      </c>
      <c r="CH4" t="s">
        <v>1255</v>
      </c>
      <c r="CI4">
        <v>4840598</v>
      </c>
      <c r="CJ4" t="s">
        <v>346</v>
      </c>
      <c r="CK4">
        <v>17.149999999999999</v>
      </c>
      <c r="CL4" t="s">
        <v>62</v>
      </c>
      <c r="CM4" t="s">
        <v>354</v>
      </c>
      <c r="CN4">
        <v>110652</v>
      </c>
      <c r="CO4" t="s">
        <v>346</v>
      </c>
      <c r="CP4">
        <v>27.62</v>
      </c>
      <c r="CQ4" t="s">
        <v>53</v>
      </c>
      <c r="CR4" t="s">
        <v>693</v>
      </c>
      <c r="CS4">
        <v>10742703</v>
      </c>
      <c r="CT4" t="s">
        <v>360</v>
      </c>
      <c r="CU4">
        <v>13.43</v>
      </c>
      <c r="CV4" t="s">
        <v>313</v>
      </c>
      <c r="CW4" t="s">
        <v>230</v>
      </c>
      <c r="CX4">
        <v>4351437</v>
      </c>
      <c r="CY4" t="s">
        <v>370</v>
      </c>
      <c r="CZ4">
        <v>57.82</v>
      </c>
      <c r="DA4" t="s">
        <v>50</v>
      </c>
      <c r="DB4" t="s">
        <v>1387</v>
      </c>
      <c r="DC4" t="s">
        <v>300</v>
      </c>
      <c r="DD4" t="s">
        <v>361</v>
      </c>
      <c r="DE4">
        <v>10.41</v>
      </c>
      <c r="DF4" t="s">
        <v>50</v>
      </c>
      <c r="DG4" t="s">
        <v>230</v>
      </c>
      <c r="DH4">
        <v>4351437</v>
      </c>
      <c r="DI4" t="s">
        <v>370</v>
      </c>
      <c r="DJ4">
        <v>57.82</v>
      </c>
      <c r="DK4" t="s">
        <v>50</v>
      </c>
      <c r="DL4" t="s">
        <v>1387</v>
      </c>
      <c r="DM4" t="s">
        <v>300</v>
      </c>
      <c r="DN4" t="s">
        <v>361</v>
      </c>
      <c r="DO4">
        <v>10.41</v>
      </c>
      <c r="DP4" t="s">
        <v>50</v>
      </c>
      <c r="DQ4" t="s">
        <v>691</v>
      </c>
      <c r="DR4">
        <v>6623706</v>
      </c>
      <c r="DS4" t="s">
        <v>705</v>
      </c>
      <c r="DT4">
        <v>23.95</v>
      </c>
      <c r="DU4" t="s">
        <v>2179</v>
      </c>
      <c r="DV4" t="s">
        <v>552</v>
      </c>
      <c r="DW4">
        <v>4026973</v>
      </c>
      <c r="DX4" t="s">
        <v>346</v>
      </c>
      <c r="DY4">
        <v>0.78</v>
      </c>
      <c r="DZ4" t="s">
        <v>313</v>
      </c>
      <c r="EA4" t="s">
        <v>725</v>
      </c>
      <c r="EB4">
        <v>111195</v>
      </c>
      <c r="EC4" t="s">
        <v>346</v>
      </c>
      <c r="ED4">
        <v>8.1</v>
      </c>
      <c r="EE4" t="s">
        <v>53</v>
      </c>
      <c r="EF4" t="s">
        <v>1387</v>
      </c>
      <c r="EG4" t="s">
        <v>300</v>
      </c>
      <c r="EH4" t="s">
        <v>361</v>
      </c>
      <c r="EI4">
        <v>10.41</v>
      </c>
      <c r="EJ4" t="s">
        <v>50</v>
      </c>
      <c r="EK4" t="s">
        <v>230</v>
      </c>
      <c r="EL4">
        <v>4351437</v>
      </c>
      <c r="EM4" t="s">
        <v>370</v>
      </c>
      <c r="EN4">
        <v>57.82</v>
      </c>
      <c r="EO4" t="s">
        <v>50</v>
      </c>
      <c r="EP4" t="s">
        <v>2129</v>
      </c>
      <c r="EQ4">
        <v>4331450</v>
      </c>
      <c r="ER4" t="s">
        <v>370</v>
      </c>
      <c r="ES4">
        <v>49.25</v>
      </c>
      <c r="ET4" t="s">
        <v>50</v>
      </c>
      <c r="EU4" t="s">
        <v>2138</v>
      </c>
      <c r="EV4">
        <v>29446137</v>
      </c>
      <c r="EW4" t="s">
        <v>360</v>
      </c>
      <c r="EX4">
        <v>17.39</v>
      </c>
      <c r="EY4" t="s">
        <v>53</v>
      </c>
      <c r="EZ4" t="s">
        <v>372</v>
      </c>
      <c r="FA4">
        <v>4354638</v>
      </c>
      <c r="FB4" t="s">
        <v>367</v>
      </c>
      <c r="FC4">
        <v>25.94</v>
      </c>
      <c r="FD4" t="s">
        <v>304</v>
      </c>
      <c r="FE4" t="s">
        <v>440</v>
      </c>
      <c r="FF4">
        <v>4140078</v>
      </c>
      <c r="FG4" t="s">
        <v>346</v>
      </c>
      <c r="FH4">
        <v>6.88</v>
      </c>
      <c r="FI4" t="s">
        <v>304</v>
      </c>
      <c r="FJ4" t="s">
        <v>422</v>
      </c>
      <c r="FK4">
        <v>4048507</v>
      </c>
      <c r="FL4" t="s">
        <v>346</v>
      </c>
      <c r="FM4">
        <v>5.88</v>
      </c>
      <c r="FN4" t="s">
        <v>304</v>
      </c>
      <c r="FO4" t="s">
        <v>230</v>
      </c>
      <c r="FP4">
        <v>4351437</v>
      </c>
      <c r="FQ4" t="s">
        <v>370</v>
      </c>
      <c r="FR4">
        <v>57.82</v>
      </c>
      <c r="FS4" t="s">
        <v>50</v>
      </c>
      <c r="FT4" t="s">
        <v>371</v>
      </c>
      <c r="FU4">
        <v>4557433</v>
      </c>
      <c r="FV4" t="s">
        <v>370</v>
      </c>
      <c r="FW4">
        <v>34</v>
      </c>
      <c r="FX4" t="s">
        <v>332</v>
      </c>
      <c r="FY4" t="s">
        <v>1387</v>
      </c>
      <c r="FZ4" t="s">
        <v>300</v>
      </c>
      <c r="GA4" t="s">
        <v>361</v>
      </c>
      <c r="GB4">
        <v>10.41</v>
      </c>
      <c r="GC4" t="s">
        <v>50</v>
      </c>
      <c r="GD4" t="s">
        <v>372</v>
      </c>
      <c r="GE4">
        <v>4354638</v>
      </c>
      <c r="GF4" t="s">
        <v>367</v>
      </c>
      <c r="GG4">
        <v>25.94</v>
      </c>
      <c r="GH4" t="s">
        <v>304</v>
      </c>
      <c r="GI4" t="s">
        <v>440</v>
      </c>
      <c r="GJ4">
        <v>4140078</v>
      </c>
      <c r="GK4" t="s">
        <v>346</v>
      </c>
      <c r="GL4">
        <v>6.88</v>
      </c>
      <c r="GM4" t="s">
        <v>304</v>
      </c>
      <c r="GN4" t="s">
        <v>422</v>
      </c>
      <c r="GO4">
        <v>4048507</v>
      </c>
      <c r="GP4" t="s">
        <v>346</v>
      </c>
      <c r="GQ4">
        <v>5.88</v>
      </c>
      <c r="GR4" t="s">
        <v>304</v>
      </c>
      <c r="GS4" t="s">
        <v>236</v>
      </c>
      <c r="GT4">
        <v>6582136</v>
      </c>
      <c r="GU4" t="s">
        <v>367</v>
      </c>
      <c r="GV4">
        <v>24.91</v>
      </c>
      <c r="GW4" t="s">
        <v>50</v>
      </c>
      <c r="GX4" t="s">
        <v>725</v>
      </c>
      <c r="GY4">
        <v>111195</v>
      </c>
      <c r="GZ4" t="s">
        <v>346</v>
      </c>
      <c r="HA4">
        <v>8.1</v>
      </c>
      <c r="HB4" t="s">
        <v>53</v>
      </c>
      <c r="HC4" t="s">
        <v>228</v>
      </c>
      <c r="HD4">
        <v>4351190</v>
      </c>
      <c r="HE4" t="s">
        <v>367</v>
      </c>
      <c r="HF4">
        <v>87</v>
      </c>
      <c r="HG4" t="s">
        <v>62</v>
      </c>
    </row>
    <row r="5" spans="1:215" x14ac:dyDescent="0.35">
      <c r="A5" t="s">
        <v>348</v>
      </c>
      <c r="B5" t="s">
        <v>300</v>
      </c>
      <c r="C5" t="s">
        <v>361</v>
      </c>
      <c r="D5">
        <v>12.8</v>
      </c>
      <c r="E5" t="s">
        <v>50</v>
      </c>
      <c r="F5" t="s">
        <v>353</v>
      </c>
      <c r="G5">
        <v>4048287</v>
      </c>
      <c r="H5" t="s">
        <v>346</v>
      </c>
      <c r="I5">
        <v>6.76</v>
      </c>
      <c r="J5" t="s">
        <v>53</v>
      </c>
      <c r="K5" t="s">
        <v>562</v>
      </c>
      <c r="L5">
        <v>4256114</v>
      </c>
      <c r="M5" t="s">
        <v>346</v>
      </c>
      <c r="N5">
        <v>1.62</v>
      </c>
      <c r="O5" t="s">
        <v>301</v>
      </c>
      <c r="P5" t="s">
        <v>70</v>
      </c>
      <c r="Q5">
        <v>4350752</v>
      </c>
      <c r="R5" t="s">
        <v>705</v>
      </c>
      <c r="S5">
        <v>6.87</v>
      </c>
      <c r="T5" t="s">
        <v>70</v>
      </c>
      <c r="U5" t="s">
        <v>353</v>
      </c>
      <c r="V5">
        <v>4048287</v>
      </c>
      <c r="W5" t="s">
        <v>346</v>
      </c>
      <c r="X5">
        <v>2.15</v>
      </c>
      <c r="Y5" t="s">
        <v>53</v>
      </c>
      <c r="Z5" t="s">
        <v>562</v>
      </c>
      <c r="AA5">
        <v>4256114</v>
      </c>
      <c r="AB5" t="s">
        <v>346</v>
      </c>
      <c r="AC5">
        <v>1.62</v>
      </c>
      <c r="AD5" t="s">
        <v>301</v>
      </c>
      <c r="AE5" t="s">
        <v>725</v>
      </c>
      <c r="AF5">
        <v>111195</v>
      </c>
      <c r="AG5" t="s">
        <v>346</v>
      </c>
      <c r="AH5">
        <v>20.04</v>
      </c>
      <c r="AI5" t="s">
        <v>53</v>
      </c>
      <c r="AJ5" t="s">
        <v>348</v>
      </c>
      <c r="AK5" t="s">
        <v>300</v>
      </c>
      <c r="AL5" t="s">
        <v>361</v>
      </c>
      <c r="AM5">
        <v>12.8</v>
      </c>
      <c r="AN5" t="s">
        <v>50</v>
      </c>
      <c r="AO5" t="s">
        <v>433</v>
      </c>
      <c r="AP5">
        <v>3000896</v>
      </c>
      <c r="AQ5" t="s">
        <v>346</v>
      </c>
      <c r="AR5">
        <v>8.58</v>
      </c>
      <c r="AS5" t="s">
        <v>53</v>
      </c>
      <c r="AT5" t="s">
        <v>348</v>
      </c>
      <c r="AU5" t="s">
        <v>300</v>
      </c>
      <c r="AV5" t="s">
        <v>361</v>
      </c>
      <c r="AW5">
        <v>12.8</v>
      </c>
      <c r="AX5" t="s">
        <v>50</v>
      </c>
      <c r="AY5" t="s">
        <v>939</v>
      </c>
      <c r="AZ5">
        <v>4322619</v>
      </c>
      <c r="BA5" t="s">
        <v>366</v>
      </c>
      <c r="BB5">
        <v>3.18</v>
      </c>
      <c r="BC5" t="s">
        <v>326</v>
      </c>
      <c r="BD5" t="s">
        <v>1388</v>
      </c>
      <c r="BE5">
        <v>4247111</v>
      </c>
      <c r="BF5" t="s">
        <v>368</v>
      </c>
      <c r="BG5">
        <v>8.93</v>
      </c>
      <c r="BH5" t="s">
        <v>2180</v>
      </c>
      <c r="BI5" t="s">
        <v>353</v>
      </c>
      <c r="BJ5">
        <v>4048287</v>
      </c>
      <c r="BK5" t="s">
        <v>346</v>
      </c>
      <c r="BL5">
        <v>5.61</v>
      </c>
      <c r="BM5" t="s">
        <v>53</v>
      </c>
      <c r="BN5" t="s">
        <v>1233</v>
      </c>
      <c r="BO5">
        <v>4357660</v>
      </c>
      <c r="BP5" t="s">
        <v>368</v>
      </c>
      <c r="BQ5">
        <v>23.54</v>
      </c>
      <c r="BR5" t="s">
        <v>50</v>
      </c>
      <c r="BS5" t="s">
        <v>939</v>
      </c>
      <c r="BT5">
        <v>4322619</v>
      </c>
      <c r="BU5" t="s">
        <v>366</v>
      </c>
      <c r="BV5">
        <v>12</v>
      </c>
      <c r="BW5" t="s">
        <v>326</v>
      </c>
      <c r="BX5" t="s">
        <v>353</v>
      </c>
      <c r="BY5">
        <v>4048287</v>
      </c>
      <c r="BZ5" t="s">
        <v>346</v>
      </c>
      <c r="CA5">
        <v>2.15</v>
      </c>
      <c r="CB5" t="s">
        <v>53</v>
      </c>
      <c r="CC5" t="s">
        <v>1610</v>
      </c>
      <c r="CD5">
        <v>4227268</v>
      </c>
      <c r="CE5" t="s">
        <v>365</v>
      </c>
      <c r="CF5">
        <v>7.32</v>
      </c>
      <c r="CG5" t="s">
        <v>114</v>
      </c>
      <c r="CH5" t="s">
        <v>433</v>
      </c>
      <c r="CI5">
        <v>3000896</v>
      </c>
      <c r="CJ5" t="s">
        <v>346</v>
      </c>
      <c r="CK5">
        <v>8.58</v>
      </c>
      <c r="CL5" t="s">
        <v>53</v>
      </c>
      <c r="CM5" t="s">
        <v>1255</v>
      </c>
      <c r="CN5">
        <v>4840598</v>
      </c>
      <c r="CO5" t="s">
        <v>346</v>
      </c>
      <c r="CP5">
        <v>17.03</v>
      </c>
      <c r="CQ5" t="s">
        <v>62</v>
      </c>
      <c r="CR5" t="s">
        <v>694</v>
      </c>
      <c r="CS5">
        <v>117216412</v>
      </c>
      <c r="CT5" t="s">
        <v>370</v>
      </c>
      <c r="CU5">
        <v>5.71</v>
      </c>
      <c r="CV5" t="s">
        <v>80</v>
      </c>
      <c r="CW5" t="s">
        <v>2136</v>
      </c>
      <c r="CX5">
        <v>5884546</v>
      </c>
      <c r="CY5" t="s">
        <v>346</v>
      </c>
      <c r="CZ5">
        <v>8.4499999999999993</v>
      </c>
      <c r="DA5" t="s">
        <v>50</v>
      </c>
      <c r="DB5" t="s">
        <v>1388</v>
      </c>
      <c r="DC5">
        <v>4247111</v>
      </c>
      <c r="DD5" t="s">
        <v>368</v>
      </c>
      <c r="DE5">
        <v>8.93</v>
      </c>
      <c r="DF5" t="s">
        <v>2180</v>
      </c>
      <c r="DG5" t="s">
        <v>2136</v>
      </c>
      <c r="DH5">
        <v>5884546</v>
      </c>
      <c r="DI5" t="s">
        <v>346</v>
      </c>
      <c r="DJ5">
        <v>8.4499999999999993</v>
      </c>
      <c r="DK5" t="s">
        <v>50</v>
      </c>
      <c r="DL5" t="s">
        <v>1388</v>
      </c>
      <c r="DM5">
        <v>4247111</v>
      </c>
      <c r="DN5" t="s">
        <v>368</v>
      </c>
      <c r="DO5">
        <v>8.93</v>
      </c>
      <c r="DP5" t="s">
        <v>2180</v>
      </c>
      <c r="DQ5" t="s">
        <v>70</v>
      </c>
      <c r="DR5">
        <v>4350752</v>
      </c>
      <c r="DS5" t="s">
        <v>705</v>
      </c>
      <c r="DT5">
        <v>6.87</v>
      </c>
      <c r="DU5" t="s">
        <v>70</v>
      </c>
      <c r="DV5" t="s">
        <v>457</v>
      </c>
      <c r="DW5">
        <v>110399</v>
      </c>
      <c r="DX5" t="s">
        <v>346</v>
      </c>
      <c r="DY5">
        <v>0.3</v>
      </c>
      <c r="DZ5" t="s">
        <v>53</v>
      </c>
      <c r="EA5" t="s">
        <v>1610</v>
      </c>
      <c r="EB5">
        <v>4227268</v>
      </c>
      <c r="EC5" t="s">
        <v>365</v>
      </c>
      <c r="ED5">
        <v>7.32</v>
      </c>
      <c r="EE5" t="s">
        <v>114</v>
      </c>
      <c r="EF5" t="s">
        <v>1388</v>
      </c>
      <c r="EG5">
        <v>4247111</v>
      </c>
      <c r="EH5" t="s">
        <v>368</v>
      </c>
      <c r="EI5">
        <v>8.93</v>
      </c>
      <c r="EJ5" t="s">
        <v>2180</v>
      </c>
      <c r="EK5" t="s">
        <v>2136</v>
      </c>
      <c r="EL5">
        <v>5884546</v>
      </c>
      <c r="EM5" t="s">
        <v>346</v>
      </c>
      <c r="EN5">
        <v>8.4499999999999993</v>
      </c>
      <c r="EO5" t="s">
        <v>50</v>
      </c>
      <c r="EP5" t="s">
        <v>2130</v>
      </c>
      <c r="EQ5">
        <v>4157452</v>
      </c>
      <c r="ER5" t="s">
        <v>370</v>
      </c>
      <c r="ES5">
        <v>5.93</v>
      </c>
      <c r="ET5" t="s">
        <v>50</v>
      </c>
      <c r="EU5" t="s">
        <v>2139</v>
      </c>
      <c r="EV5" t="s">
        <v>300</v>
      </c>
      <c r="EW5" t="s">
        <v>361</v>
      </c>
      <c r="EX5">
        <v>1.7</v>
      </c>
      <c r="EY5" t="s">
        <v>50</v>
      </c>
      <c r="EZ5" t="s">
        <v>1911</v>
      </c>
      <c r="FA5">
        <v>112235007</v>
      </c>
      <c r="FB5" t="s">
        <v>370</v>
      </c>
      <c r="FC5">
        <v>25.52</v>
      </c>
      <c r="FD5" t="s">
        <v>128</v>
      </c>
      <c r="FE5" t="s">
        <v>2145</v>
      </c>
      <c r="FF5">
        <v>4815526</v>
      </c>
      <c r="FG5" t="s">
        <v>346</v>
      </c>
      <c r="FH5">
        <v>6.71</v>
      </c>
      <c r="FI5" t="s">
        <v>304</v>
      </c>
      <c r="FJ5" t="s">
        <v>353</v>
      </c>
      <c r="FK5">
        <v>4048287</v>
      </c>
      <c r="FL5" t="s">
        <v>346</v>
      </c>
      <c r="FM5">
        <v>5.64</v>
      </c>
      <c r="FN5" t="s">
        <v>53</v>
      </c>
      <c r="FO5" t="s">
        <v>2136</v>
      </c>
      <c r="FP5">
        <v>5884546</v>
      </c>
      <c r="FQ5" t="s">
        <v>346</v>
      </c>
      <c r="FR5">
        <v>8.4499999999999993</v>
      </c>
      <c r="FS5" t="s">
        <v>50</v>
      </c>
      <c r="FT5" t="s">
        <v>237</v>
      </c>
      <c r="FU5">
        <v>4223919</v>
      </c>
      <c r="FV5" t="s">
        <v>367</v>
      </c>
      <c r="FW5">
        <v>33.880000000000003</v>
      </c>
      <c r="FX5" t="s">
        <v>114</v>
      </c>
      <c r="FY5" t="s">
        <v>1388</v>
      </c>
      <c r="FZ5">
        <v>4247111</v>
      </c>
      <c r="GA5" t="s">
        <v>368</v>
      </c>
      <c r="GB5">
        <v>8.93</v>
      </c>
      <c r="GC5" t="s">
        <v>2180</v>
      </c>
      <c r="GD5" t="s">
        <v>1911</v>
      </c>
      <c r="GE5">
        <v>112235007</v>
      </c>
      <c r="GF5" t="s">
        <v>370</v>
      </c>
      <c r="GG5">
        <v>25.52</v>
      </c>
      <c r="GH5" t="s">
        <v>128</v>
      </c>
      <c r="GI5" t="s">
        <v>2145</v>
      </c>
      <c r="GJ5">
        <v>4815526</v>
      </c>
      <c r="GK5" t="s">
        <v>346</v>
      </c>
      <c r="GL5">
        <v>6.71</v>
      </c>
      <c r="GM5" t="s">
        <v>304</v>
      </c>
      <c r="GN5" t="s">
        <v>353</v>
      </c>
      <c r="GO5">
        <v>4048287</v>
      </c>
      <c r="GP5" t="s">
        <v>346</v>
      </c>
      <c r="GQ5">
        <v>5.64</v>
      </c>
      <c r="GR5" t="s">
        <v>53</v>
      </c>
      <c r="GS5" t="s">
        <v>1233</v>
      </c>
      <c r="GT5">
        <v>4357660</v>
      </c>
      <c r="GU5" t="s">
        <v>368</v>
      </c>
      <c r="GV5">
        <v>23.54</v>
      </c>
      <c r="GW5" t="s">
        <v>50</v>
      </c>
      <c r="GX5" t="s">
        <v>1610</v>
      </c>
      <c r="GY5">
        <v>4227268</v>
      </c>
      <c r="GZ5" t="s">
        <v>365</v>
      </c>
      <c r="HA5">
        <v>7.32</v>
      </c>
      <c r="HB5" t="s">
        <v>114</v>
      </c>
      <c r="HC5" t="s">
        <v>1292</v>
      </c>
      <c r="HD5">
        <v>5884486</v>
      </c>
      <c r="HE5" t="s">
        <v>346</v>
      </c>
      <c r="HF5">
        <v>0.42</v>
      </c>
      <c r="HG5" t="s">
        <v>62</v>
      </c>
    </row>
    <row r="6" spans="1:215" x14ac:dyDescent="0.35">
      <c r="A6" t="s">
        <v>349</v>
      </c>
      <c r="B6">
        <v>4415563</v>
      </c>
      <c r="C6" t="s">
        <v>370</v>
      </c>
      <c r="D6">
        <v>6.55</v>
      </c>
      <c r="E6" t="s">
        <v>50</v>
      </c>
      <c r="F6" t="s">
        <v>422</v>
      </c>
      <c r="G6">
        <v>4048507</v>
      </c>
      <c r="H6" t="s">
        <v>346</v>
      </c>
      <c r="I6">
        <v>4.87</v>
      </c>
      <c r="J6" t="s">
        <v>304</v>
      </c>
      <c r="K6" t="s">
        <v>353</v>
      </c>
      <c r="L6">
        <v>4048287</v>
      </c>
      <c r="M6" t="s">
        <v>346</v>
      </c>
      <c r="N6">
        <v>1.21</v>
      </c>
      <c r="O6" t="s">
        <v>53</v>
      </c>
      <c r="P6" t="s">
        <v>692</v>
      </c>
      <c r="Q6">
        <v>4538493</v>
      </c>
      <c r="R6" t="s">
        <v>363</v>
      </c>
      <c r="S6">
        <v>5.96</v>
      </c>
      <c r="T6" t="s">
        <v>70</v>
      </c>
      <c r="U6" t="s">
        <v>707</v>
      </c>
      <c r="V6">
        <v>4416934</v>
      </c>
      <c r="W6" t="s">
        <v>366</v>
      </c>
      <c r="X6">
        <v>1.66</v>
      </c>
      <c r="Y6" t="s">
        <v>50</v>
      </c>
      <c r="Z6" t="s">
        <v>353</v>
      </c>
      <c r="AA6">
        <v>4048287</v>
      </c>
      <c r="AB6" t="s">
        <v>346</v>
      </c>
      <c r="AC6">
        <v>1.21</v>
      </c>
      <c r="AD6" t="s">
        <v>53</v>
      </c>
      <c r="AE6" t="s">
        <v>953</v>
      </c>
      <c r="AF6">
        <v>4039450</v>
      </c>
      <c r="AG6" t="s">
        <v>346</v>
      </c>
      <c r="AH6">
        <v>5.0999999999999996</v>
      </c>
      <c r="AI6" t="s">
        <v>53</v>
      </c>
      <c r="AJ6" t="s">
        <v>349</v>
      </c>
      <c r="AK6">
        <v>4415563</v>
      </c>
      <c r="AL6" t="s">
        <v>370</v>
      </c>
      <c r="AM6">
        <v>6.55</v>
      </c>
      <c r="AN6" t="s">
        <v>50</v>
      </c>
      <c r="AO6" t="s">
        <v>1256</v>
      </c>
      <c r="AP6">
        <v>10350671</v>
      </c>
      <c r="AQ6" t="s">
        <v>276</v>
      </c>
      <c r="AR6">
        <v>6.56</v>
      </c>
      <c r="AS6" t="s">
        <v>313</v>
      </c>
      <c r="AT6" t="s">
        <v>349</v>
      </c>
      <c r="AU6">
        <v>4415563</v>
      </c>
      <c r="AV6" t="s">
        <v>370</v>
      </c>
      <c r="AW6">
        <v>6.55</v>
      </c>
      <c r="AX6" t="s">
        <v>50</v>
      </c>
      <c r="AY6" t="s">
        <v>380</v>
      </c>
      <c r="AZ6">
        <v>4674815</v>
      </c>
      <c r="BA6" t="s">
        <v>346</v>
      </c>
      <c r="BB6">
        <v>1.42</v>
      </c>
      <c r="BC6" t="s">
        <v>320</v>
      </c>
      <c r="BD6" t="s">
        <v>353</v>
      </c>
      <c r="BE6">
        <v>4048287</v>
      </c>
      <c r="BF6" t="s">
        <v>346</v>
      </c>
      <c r="BG6">
        <v>7.3</v>
      </c>
      <c r="BH6" t="s">
        <v>53</v>
      </c>
      <c r="BI6" t="s">
        <v>1555</v>
      </c>
      <c r="BJ6">
        <v>4413030</v>
      </c>
      <c r="BK6" t="s">
        <v>1386</v>
      </c>
      <c r="BL6">
        <v>3</v>
      </c>
      <c r="BM6" t="s">
        <v>53</v>
      </c>
      <c r="BN6" t="s">
        <v>353</v>
      </c>
      <c r="BO6">
        <v>4048287</v>
      </c>
      <c r="BP6" t="s">
        <v>346</v>
      </c>
      <c r="BQ6">
        <v>1.76</v>
      </c>
      <c r="BR6" t="s">
        <v>53</v>
      </c>
      <c r="BS6" t="s">
        <v>940</v>
      </c>
      <c r="BT6" t="s">
        <v>300</v>
      </c>
      <c r="BU6" t="s">
        <v>361</v>
      </c>
      <c r="BV6">
        <v>9.2200000000000006</v>
      </c>
      <c r="BW6" t="s">
        <v>50</v>
      </c>
      <c r="BX6" t="s">
        <v>707</v>
      </c>
      <c r="BY6">
        <v>4416934</v>
      </c>
      <c r="BZ6" t="s">
        <v>366</v>
      </c>
      <c r="CA6">
        <v>1.66</v>
      </c>
      <c r="CB6" t="s">
        <v>50</v>
      </c>
      <c r="CC6" t="s">
        <v>353</v>
      </c>
      <c r="CD6">
        <v>4048287</v>
      </c>
      <c r="CE6" t="s">
        <v>346</v>
      </c>
      <c r="CF6">
        <v>7</v>
      </c>
      <c r="CG6" t="s">
        <v>53</v>
      </c>
      <c r="CH6" t="s">
        <v>1256</v>
      </c>
      <c r="CI6">
        <v>10350671</v>
      </c>
      <c r="CJ6" t="s">
        <v>276</v>
      </c>
      <c r="CK6">
        <v>6.56</v>
      </c>
      <c r="CL6" t="s">
        <v>313</v>
      </c>
      <c r="CM6" t="s">
        <v>426</v>
      </c>
      <c r="CN6">
        <v>100201</v>
      </c>
      <c r="CO6" t="s">
        <v>366</v>
      </c>
      <c r="CP6">
        <v>6.37</v>
      </c>
      <c r="CQ6" t="s">
        <v>53</v>
      </c>
      <c r="CR6" t="s">
        <v>352</v>
      </c>
      <c r="CS6">
        <v>4143440</v>
      </c>
      <c r="CT6" t="s">
        <v>346</v>
      </c>
      <c r="CU6">
        <v>0.6</v>
      </c>
      <c r="CV6" t="s">
        <v>53</v>
      </c>
      <c r="CW6" t="s">
        <v>2137</v>
      </c>
      <c r="CX6">
        <v>8733743</v>
      </c>
      <c r="CY6" t="s">
        <v>370</v>
      </c>
      <c r="CZ6">
        <v>8.3000000000000007</v>
      </c>
      <c r="DA6" t="s">
        <v>50</v>
      </c>
      <c r="DB6" t="s">
        <v>353</v>
      </c>
      <c r="DC6">
        <v>4048287</v>
      </c>
      <c r="DD6" t="s">
        <v>346</v>
      </c>
      <c r="DE6">
        <v>7.3</v>
      </c>
      <c r="DF6" t="s">
        <v>53</v>
      </c>
      <c r="DG6" t="s">
        <v>2137</v>
      </c>
      <c r="DH6">
        <v>8733743</v>
      </c>
      <c r="DI6" t="s">
        <v>370</v>
      </c>
      <c r="DJ6">
        <v>8.3000000000000007</v>
      </c>
      <c r="DK6" t="s">
        <v>50</v>
      </c>
      <c r="DL6" t="s">
        <v>353</v>
      </c>
      <c r="DM6">
        <v>4048287</v>
      </c>
      <c r="DN6" t="s">
        <v>346</v>
      </c>
      <c r="DO6">
        <v>7.3</v>
      </c>
      <c r="DP6" t="s">
        <v>53</v>
      </c>
      <c r="DQ6" t="s">
        <v>692</v>
      </c>
      <c r="DR6">
        <v>4538493</v>
      </c>
      <c r="DS6" t="s">
        <v>363</v>
      </c>
      <c r="DT6">
        <v>5.96</v>
      </c>
      <c r="DU6" t="s">
        <v>70</v>
      </c>
      <c r="DV6" t="s">
        <v>964</v>
      </c>
      <c r="DW6">
        <v>110829</v>
      </c>
      <c r="DX6" t="s">
        <v>346</v>
      </c>
      <c r="DY6">
        <v>0.25</v>
      </c>
      <c r="DZ6" t="s">
        <v>53</v>
      </c>
      <c r="EA6" t="s">
        <v>353</v>
      </c>
      <c r="EB6">
        <v>4048287</v>
      </c>
      <c r="EC6" t="s">
        <v>346</v>
      </c>
      <c r="ED6">
        <v>7</v>
      </c>
      <c r="EE6" t="s">
        <v>53</v>
      </c>
      <c r="EF6" t="s">
        <v>353</v>
      </c>
      <c r="EG6">
        <v>4048287</v>
      </c>
      <c r="EH6" t="s">
        <v>346</v>
      </c>
      <c r="EI6">
        <v>7.3</v>
      </c>
      <c r="EJ6" t="s">
        <v>53</v>
      </c>
      <c r="EK6" t="s">
        <v>2137</v>
      </c>
      <c r="EL6">
        <v>8733743</v>
      </c>
      <c r="EM6" t="s">
        <v>370</v>
      </c>
      <c r="EN6">
        <v>8.3000000000000007</v>
      </c>
      <c r="EO6" t="s">
        <v>50</v>
      </c>
      <c r="EP6" t="s">
        <v>707</v>
      </c>
      <c r="EQ6">
        <v>4416934</v>
      </c>
      <c r="ER6" t="s">
        <v>366</v>
      </c>
      <c r="ES6">
        <v>2.85</v>
      </c>
      <c r="ET6" t="s">
        <v>50</v>
      </c>
      <c r="EU6" t="s">
        <v>451</v>
      </c>
      <c r="EV6">
        <v>5747632</v>
      </c>
      <c r="EW6" t="s">
        <v>346</v>
      </c>
      <c r="EX6">
        <v>0.39</v>
      </c>
      <c r="EY6" t="s">
        <v>80</v>
      </c>
      <c r="EZ6" t="s">
        <v>1912</v>
      </c>
      <c r="FA6">
        <v>4313157</v>
      </c>
      <c r="FB6" t="s">
        <v>366</v>
      </c>
      <c r="FC6">
        <v>13.14</v>
      </c>
      <c r="FD6" t="s">
        <v>128</v>
      </c>
      <c r="FE6" t="s">
        <v>2146</v>
      </c>
      <c r="FF6">
        <v>12696370</v>
      </c>
      <c r="FG6" t="s">
        <v>370</v>
      </c>
      <c r="FH6">
        <v>5.42</v>
      </c>
      <c r="FI6" t="s">
        <v>304</v>
      </c>
      <c r="FJ6" t="s">
        <v>423</v>
      </c>
      <c r="FK6">
        <v>4318240</v>
      </c>
      <c r="FL6" t="s">
        <v>346</v>
      </c>
      <c r="FM6">
        <v>3.17</v>
      </c>
      <c r="FN6" t="s">
        <v>304</v>
      </c>
      <c r="FO6" t="s">
        <v>2137</v>
      </c>
      <c r="FP6">
        <v>8733743</v>
      </c>
      <c r="FQ6" t="s">
        <v>370</v>
      </c>
      <c r="FR6">
        <v>8.3000000000000007</v>
      </c>
      <c r="FS6" t="s">
        <v>50</v>
      </c>
      <c r="FT6" t="s">
        <v>372</v>
      </c>
      <c r="FU6">
        <v>4354638</v>
      </c>
      <c r="FV6" t="s">
        <v>367</v>
      </c>
      <c r="FW6">
        <v>11.48</v>
      </c>
      <c r="FX6" t="s">
        <v>304</v>
      </c>
      <c r="FY6" t="s">
        <v>353</v>
      </c>
      <c r="FZ6">
        <v>4048287</v>
      </c>
      <c r="GA6" t="s">
        <v>346</v>
      </c>
      <c r="GB6">
        <v>7.3</v>
      </c>
      <c r="GC6" t="s">
        <v>53</v>
      </c>
      <c r="GD6" t="s">
        <v>1912</v>
      </c>
      <c r="GE6">
        <v>4313157</v>
      </c>
      <c r="GF6" t="s">
        <v>366</v>
      </c>
      <c r="GG6">
        <v>13.14</v>
      </c>
      <c r="GH6" t="s">
        <v>128</v>
      </c>
      <c r="GI6" t="s">
        <v>2146</v>
      </c>
      <c r="GJ6">
        <v>12696370</v>
      </c>
      <c r="GK6" t="s">
        <v>370</v>
      </c>
      <c r="GL6">
        <v>5.42</v>
      </c>
      <c r="GM6" t="s">
        <v>304</v>
      </c>
      <c r="GN6" t="s">
        <v>423</v>
      </c>
      <c r="GO6">
        <v>4318240</v>
      </c>
      <c r="GP6" t="s">
        <v>346</v>
      </c>
      <c r="GQ6">
        <v>3.17</v>
      </c>
      <c r="GR6" t="s">
        <v>304</v>
      </c>
      <c r="GS6" t="s">
        <v>353</v>
      </c>
      <c r="GT6">
        <v>4048287</v>
      </c>
      <c r="GU6" t="s">
        <v>346</v>
      </c>
      <c r="GV6">
        <v>1.76</v>
      </c>
      <c r="GW6" t="s">
        <v>53</v>
      </c>
      <c r="GX6" t="s">
        <v>353</v>
      </c>
      <c r="GY6">
        <v>4048287</v>
      </c>
      <c r="GZ6" t="s">
        <v>346</v>
      </c>
      <c r="HA6">
        <v>7</v>
      </c>
      <c r="HB6" t="s">
        <v>53</v>
      </c>
      <c r="HC6" t="s">
        <v>2170</v>
      </c>
      <c r="HD6" t="s">
        <v>300</v>
      </c>
      <c r="HE6" t="s">
        <v>361</v>
      </c>
      <c r="HF6">
        <v>0.15</v>
      </c>
      <c r="HG6" t="s">
        <v>50</v>
      </c>
    </row>
    <row r="7" spans="1:215" x14ac:dyDescent="0.35">
      <c r="A7" t="s">
        <v>350</v>
      </c>
      <c r="B7">
        <v>5772399</v>
      </c>
      <c r="C7" t="s">
        <v>346</v>
      </c>
      <c r="D7">
        <v>4.24</v>
      </c>
      <c r="E7" t="s">
        <v>50</v>
      </c>
      <c r="F7" t="s">
        <v>423</v>
      </c>
      <c r="G7">
        <v>4318240</v>
      </c>
      <c r="H7" t="s">
        <v>346</v>
      </c>
      <c r="I7">
        <v>3.16</v>
      </c>
      <c r="J7" t="s">
        <v>304</v>
      </c>
      <c r="K7" t="s">
        <v>379</v>
      </c>
      <c r="L7">
        <v>137764443</v>
      </c>
      <c r="M7" t="s">
        <v>346</v>
      </c>
      <c r="N7">
        <v>1.1200000000000001</v>
      </c>
      <c r="O7" t="s">
        <v>53</v>
      </c>
      <c r="T7" t="s">
        <v>306</v>
      </c>
      <c r="U7" t="s">
        <v>380</v>
      </c>
      <c r="V7">
        <v>4674815</v>
      </c>
      <c r="W7" t="s">
        <v>346</v>
      </c>
      <c r="X7">
        <v>1.34</v>
      </c>
      <c r="Y7" t="s">
        <v>320</v>
      </c>
      <c r="Z7" t="s">
        <v>379</v>
      </c>
      <c r="AA7">
        <v>137764443</v>
      </c>
      <c r="AB7" t="s">
        <v>346</v>
      </c>
      <c r="AC7">
        <v>1.1200000000000001</v>
      </c>
      <c r="AD7" t="s">
        <v>53</v>
      </c>
      <c r="AE7" t="s">
        <v>353</v>
      </c>
      <c r="AF7">
        <v>4048287</v>
      </c>
      <c r="AG7" t="s">
        <v>346</v>
      </c>
      <c r="AH7">
        <v>5.01</v>
      </c>
      <c r="AI7" t="s">
        <v>53</v>
      </c>
      <c r="AJ7" t="s">
        <v>350</v>
      </c>
      <c r="AK7">
        <v>5772399</v>
      </c>
      <c r="AL7" t="s">
        <v>346</v>
      </c>
      <c r="AM7">
        <v>4.24</v>
      </c>
      <c r="AN7" t="s">
        <v>50</v>
      </c>
      <c r="AO7" t="s">
        <v>955</v>
      </c>
      <c r="AP7">
        <v>4138889</v>
      </c>
      <c r="AQ7" t="s">
        <v>346</v>
      </c>
      <c r="AR7">
        <v>3.54</v>
      </c>
      <c r="AS7" t="s">
        <v>313</v>
      </c>
      <c r="AT7" t="s">
        <v>350</v>
      </c>
      <c r="AU7">
        <v>5772399</v>
      </c>
      <c r="AV7" t="s">
        <v>346</v>
      </c>
      <c r="AW7">
        <v>4.24</v>
      </c>
      <c r="AX7" t="s">
        <v>50</v>
      </c>
      <c r="AY7" t="s">
        <v>1224</v>
      </c>
      <c r="AZ7" t="s">
        <v>300</v>
      </c>
      <c r="BA7" t="s">
        <v>361</v>
      </c>
      <c r="BB7">
        <v>1.33</v>
      </c>
      <c r="BC7" t="s">
        <v>50</v>
      </c>
      <c r="BD7" t="s">
        <v>380</v>
      </c>
      <c r="BE7">
        <v>4674815</v>
      </c>
      <c r="BF7" t="s">
        <v>346</v>
      </c>
      <c r="BG7">
        <v>6.92</v>
      </c>
      <c r="BH7" t="s">
        <v>320</v>
      </c>
      <c r="BI7" t="s">
        <v>379</v>
      </c>
      <c r="BJ7">
        <v>137764443</v>
      </c>
      <c r="BK7" t="s">
        <v>346</v>
      </c>
      <c r="BL7">
        <v>2.98</v>
      </c>
      <c r="BM7" t="s">
        <v>53</v>
      </c>
      <c r="BN7" t="s">
        <v>379</v>
      </c>
      <c r="BO7">
        <v>137764443</v>
      </c>
      <c r="BP7" t="s">
        <v>346</v>
      </c>
      <c r="BQ7">
        <v>0.77</v>
      </c>
      <c r="BR7" t="s">
        <v>53</v>
      </c>
      <c r="BS7" t="s">
        <v>941</v>
      </c>
      <c r="BT7" t="s">
        <v>300</v>
      </c>
      <c r="BU7" t="s">
        <v>361</v>
      </c>
      <c r="BV7">
        <v>4.92</v>
      </c>
      <c r="BW7" t="s">
        <v>50</v>
      </c>
      <c r="BX7" t="s">
        <v>380</v>
      </c>
      <c r="BY7">
        <v>4674815</v>
      </c>
      <c r="BZ7" t="s">
        <v>346</v>
      </c>
      <c r="CA7">
        <v>1.34</v>
      </c>
      <c r="CB7" t="s">
        <v>320</v>
      </c>
      <c r="CC7" t="s">
        <v>1611</v>
      </c>
      <c r="CD7">
        <v>4086798</v>
      </c>
      <c r="CE7" t="s">
        <v>367</v>
      </c>
      <c r="CF7">
        <v>6.73</v>
      </c>
      <c r="CG7" t="s">
        <v>304</v>
      </c>
      <c r="CH7" t="s">
        <v>955</v>
      </c>
      <c r="CI7">
        <v>4138889</v>
      </c>
      <c r="CJ7" t="s">
        <v>346</v>
      </c>
      <c r="CK7">
        <v>3.54</v>
      </c>
      <c r="CL7" t="s">
        <v>313</v>
      </c>
      <c r="CM7" t="s">
        <v>1256</v>
      </c>
      <c r="CN7">
        <v>10350671</v>
      </c>
      <c r="CO7" t="s">
        <v>276</v>
      </c>
      <c r="CP7">
        <v>5.32</v>
      </c>
      <c r="CQ7" t="s">
        <v>313</v>
      </c>
      <c r="CR7" t="s">
        <v>695</v>
      </c>
      <c r="CS7" t="s">
        <v>300</v>
      </c>
      <c r="CT7" t="s">
        <v>361</v>
      </c>
      <c r="CU7">
        <v>0.12</v>
      </c>
      <c r="CV7" t="s">
        <v>50</v>
      </c>
      <c r="CW7" t="s">
        <v>379</v>
      </c>
      <c r="CX7">
        <v>137764443</v>
      </c>
      <c r="CY7" t="s">
        <v>346</v>
      </c>
      <c r="CZ7">
        <v>1.1000000000000001</v>
      </c>
      <c r="DA7" t="s">
        <v>53</v>
      </c>
      <c r="DB7" t="s">
        <v>380</v>
      </c>
      <c r="DC7">
        <v>4674815</v>
      </c>
      <c r="DD7" t="s">
        <v>346</v>
      </c>
      <c r="DE7">
        <v>6.92</v>
      </c>
      <c r="DF7" t="s">
        <v>320</v>
      </c>
      <c r="DG7" t="s">
        <v>379</v>
      </c>
      <c r="DH7">
        <v>137764443</v>
      </c>
      <c r="DI7" t="s">
        <v>346</v>
      </c>
      <c r="DJ7">
        <v>1.1000000000000001</v>
      </c>
      <c r="DK7" t="s">
        <v>53</v>
      </c>
      <c r="DL7" t="s">
        <v>380</v>
      </c>
      <c r="DM7">
        <v>4674815</v>
      </c>
      <c r="DN7" t="s">
        <v>346</v>
      </c>
      <c r="DO7">
        <v>6.92</v>
      </c>
      <c r="DP7" t="s">
        <v>320</v>
      </c>
      <c r="DU7" t="s">
        <v>306</v>
      </c>
      <c r="DV7" t="s">
        <v>353</v>
      </c>
      <c r="DW7">
        <v>4048287</v>
      </c>
      <c r="DX7" t="s">
        <v>346</v>
      </c>
      <c r="DY7">
        <v>0.23</v>
      </c>
      <c r="DZ7" t="s">
        <v>53</v>
      </c>
      <c r="EA7" t="s">
        <v>1611</v>
      </c>
      <c r="EB7">
        <v>4086798</v>
      </c>
      <c r="EC7" t="s">
        <v>367</v>
      </c>
      <c r="ED7">
        <v>6.73</v>
      </c>
      <c r="EE7" t="s">
        <v>304</v>
      </c>
      <c r="EF7" t="s">
        <v>380</v>
      </c>
      <c r="EG7">
        <v>4674815</v>
      </c>
      <c r="EH7" t="s">
        <v>346</v>
      </c>
      <c r="EI7">
        <v>6.92</v>
      </c>
      <c r="EJ7" t="s">
        <v>320</v>
      </c>
      <c r="EK7" t="s">
        <v>379</v>
      </c>
      <c r="EL7">
        <v>137764443</v>
      </c>
      <c r="EM7" t="s">
        <v>346</v>
      </c>
      <c r="EN7">
        <v>1.1000000000000001</v>
      </c>
      <c r="EO7" t="s">
        <v>53</v>
      </c>
      <c r="EP7" t="s">
        <v>939</v>
      </c>
      <c r="EQ7">
        <v>4322619</v>
      </c>
      <c r="ER7" t="s">
        <v>366</v>
      </c>
      <c r="ES7">
        <v>1.1100000000000001</v>
      </c>
      <c r="ET7" t="s">
        <v>326</v>
      </c>
      <c r="EU7" t="s">
        <v>2140</v>
      </c>
      <c r="EV7">
        <v>13969643</v>
      </c>
      <c r="EW7" t="s">
        <v>346</v>
      </c>
      <c r="EX7">
        <v>0.04</v>
      </c>
      <c r="EY7" t="s">
        <v>313</v>
      </c>
      <c r="EZ7" t="s">
        <v>1913</v>
      </c>
      <c r="FA7" t="s">
        <v>300</v>
      </c>
      <c r="FB7" t="s">
        <v>361</v>
      </c>
      <c r="FC7">
        <v>8.43</v>
      </c>
      <c r="FD7" t="s">
        <v>50</v>
      </c>
      <c r="FE7" t="s">
        <v>422</v>
      </c>
      <c r="FF7">
        <v>4048507</v>
      </c>
      <c r="FG7" t="s">
        <v>346</v>
      </c>
      <c r="FH7">
        <v>3.15</v>
      </c>
      <c r="FI7" t="s">
        <v>304</v>
      </c>
      <c r="FJ7" t="s">
        <v>379</v>
      </c>
      <c r="FK7">
        <v>137764443</v>
      </c>
      <c r="FL7" t="s">
        <v>346</v>
      </c>
      <c r="FM7">
        <v>2.9</v>
      </c>
      <c r="FN7" t="s">
        <v>53</v>
      </c>
      <c r="FO7" t="s">
        <v>379</v>
      </c>
      <c r="FP7">
        <v>137764443</v>
      </c>
      <c r="FQ7" t="s">
        <v>346</v>
      </c>
      <c r="FR7">
        <v>1.1000000000000001</v>
      </c>
      <c r="FS7" t="s">
        <v>53</v>
      </c>
      <c r="FT7" t="s">
        <v>373</v>
      </c>
      <c r="FU7">
        <v>10364576</v>
      </c>
      <c r="FV7" t="s">
        <v>370</v>
      </c>
      <c r="FW7">
        <v>2.85</v>
      </c>
      <c r="FX7" t="s">
        <v>332</v>
      </c>
      <c r="FY7" t="s">
        <v>380</v>
      </c>
      <c r="FZ7">
        <v>4674815</v>
      </c>
      <c r="GA7" t="s">
        <v>346</v>
      </c>
      <c r="GB7">
        <v>6.92</v>
      </c>
      <c r="GC7" t="s">
        <v>320</v>
      </c>
      <c r="GD7" t="s">
        <v>1913</v>
      </c>
      <c r="GE7" t="s">
        <v>300</v>
      </c>
      <c r="GF7" t="s">
        <v>361</v>
      </c>
      <c r="GG7">
        <v>8.43</v>
      </c>
      <c r="GH7" t="s">
        <v>50</v>
      </c>
      <c r="GI7" t="s">
        <v>422</v>
      </c>
      <c r="GJ7">
        <v>4048507</v>
      </c>
      <c r="GK7" t="s">
        <v>346</v>
      </c>
      <c r="GL7">
        <v>3.15</v>
      </c>
      <c r="GM7" t="s">
        <v>304</v>
      </c>
      <c r="GN7" t="s">
        <v>379</v>
      </c>
      <c r="GO7">
        <v>137764443</v>
      </c>
      <c r="GP7" t="s">
        <v>346</v>
      </c>
      <c r="GQ7">
        <v>2.9</v>
      </c>
      <c r="GR7" t="s">
        <v>53</v>
      </c>
      <c r="GS7" t="s">
        <v>379</v>
      </c>
      <c r="GT7">
        <v>137764443</v>
      </c>
      <c r="GU7" t="s">
        <v>346</v>
      </c>
      <c r="GV7">
        <v>0.77</v>
      </c>
      <c r="GW7" t="s">
        <v>53</v>
      </c>
      <c r="GX7" t="s">
        <v>1611</v>
      </c>
      <c r="GY7">
        <v>4086798</v>
      </c>
      <c r="GZ7" t="s">
        <v>367</v>
      </c>
      <c r="HA7">
        <v>6.73</v>
      </c>
      <c r="HB7" t="s">
        <v>304</v>
      </c>
      <c r="HC7" t="s">
        <v>2171</v>
      </c>
      <c r="HD7" t="s">
        <v>300</v>
      </c>
      <c r="HE7" t="s">
        <v>361</v>
      </c>
      <c r="HF7">
        <v>0.15</v>
      </c>
      <c r="HG7" t="s">
        <v>50</v>
      </c>
    </row>
    <row r="8" spans="1:215" x14ac:dyDescent="0.35">
      <c r="A8" t="s">
        <v>220</v>
      </c>
      <c r="B8">
        <v>4355642</v>
      </c>
      <c r="C8" t="s">
        <v>367</v>
      </c>
      <c r="D8">
        <v>2.69</v>
      </c>
      <c r="E8" t="s">
        <v>50</v>
      </c>
      <c r="F8" t="s">
        <v>424</v>
      </c>
      <c r="G8">
        <v>4048741</v>
      </c>
      <c r="H8" t="s">
        <v>634</v>
      </c>
      <c r="I8">
        <v>2.6</v>
      </c>
      <c r="J8" t="s">
        <v>304</v>
      </c>
      <c r="K8" t="s">
        <v>351</v>
      </c>
      <c r="L8">
        <v>111289</v>
      </c>
      <c r="M8" t="s">
        <v>346</v>
      </c>
      <c r="N8">
        <v>0.72</v>
      </c>
      <c r="O8" t="s">
        <v>53</v>
      </c>
      <c r="T8" t="s">
        <v>306</v>
      </c>
      <c r="U8" t="s">
        <v>708</v>
      </c>
      <c r="V8">
        <v>4005446</v>
      </c>
      <c r="W8" t="s">
        <v>362</v>
      </c>
      <c r="X8">
        <v>1.1100000000000001</v>
      </c>
      <c r="Y8" t="s">
        <v>2181</v>
      </c>
      <c r="Z8" t="s">
        <v>351</v>
      </c>
      <c r="AA8">
        <v>111289</v>
      </c>
      <c r="AB8" t="s">
        <v>346</v>
      </c>
      <c r="AC8">
        <v>0.72</v>
      </c>
      <c r="AD8" t="s">
        <v>53</v>
      </c>
      <c r="AE8" t="s">
        <v>379</v>
      </c>
      <c r="AF8">
        <v>137764443</v>
      </c>
      <c r="AG8" t="s">
        <v>346</v>
      </c>
      <c r="AH8">
        <v>2.21</v>
      </c>
      <c r="AI8" t="s">
        <v>53</v>
      </c>
      <c r="AJ8" t="s">
        <v>220</v>
      </c>
      <c r="AK8">
        <v>4355642</v>
      </c>
      <c r="AL8" t="s">
        <v>367</v>
      </c>
      <c r="AM8">
        <v>2.69</v>
      </c>
      <c r="AN8" t="s">
        <v>50</v>
      </c>
      <c r="AO8" t="s">
        <v>379</v>
      </c>
      <c r="AP8">
        <v>137764443</v>
      </c>
      <c r="AQ8" t="s">
        <v>346</v>
      </c>
      <c r="AR8">
        <v>3.39</v>
      </c>
      <c r="AS8" t="s">
        <v>53</v>
      </c>
      <c r="AT8" t="s">
        <v>220</v>
      </c>
      <c r="AU8">
        <v>4355642</v>
      </c>
      <c r="AV8" t="s">
        <v>367</v>
      </c>
      <c r="AW8">
        <v>2.69</v>
      </c>
      <c r="AX8" t="s">
        <v>50</v>
      </c>
      <c r="AY8" t="s">
        <v>642</v>
      </c>
      <c r="AZ8">
        <v>5762318</v>
      </c>
      <c r="BA8" t="s">
        <v>346</v>
      </c>
      <c r="BB8">
        <v>1.1499999999999999</v>
      </c>
      <c r="BC8" t="s">
        <v>50</v>
      </c>
      <c r="BD8" t="s">
        <v>725</v>
      </c>
      <c r="BE8">
        <v>111195</v>
      </c>
      <c r="BF8" t="s">
        <v>346</v>
      </c>
      <c r="BG8">
        <v>5.94</v>
      </c>
      <c r="BH8" t="s">
        <v>53</v>
      </c>
      <c r="BI8" t="s">
        <v>1556</v>
      </c>
      <c r="BJ8">
        <v>5849775</v>
      </c>
      <c r="BK8" t="s">
        <v>346</v>
      </c>
      <c r="BL8">
        <v>2.6</v>
      </c>
      <c r="BM8" t="s">
        <v>323</v>
      </c>
      <c r="BN8" t="s">
        <v>1234</v>
      </c>
      <c r="BO8">
        <v>5880458</v>
      </c>
      <c r="BP8" t="s">
        <v>369</v>
      </c>
      <c r="BQ8">
        <v>0.55000000000000004</v>
      </c>
      <c r="BR8" t="s">
        <v>50</v>
      </c>
      <c r="BS8" t="s">
        <v>942</v>
      </c>
      <c r="BT8">
        <v>5879236</v>
      </c>
      <c r="BU8" t="s">
        <v>369</v>
      </c>
      <c r="BV8">
        <v>4.92</v>
      </c>
      <c r="BW8" t="s">
        <v>50</v>
      </c>
      <c r="BX8" t="s">
        <v>708</v>
      </c>
      <c r="BY8">
        <v>4005446</v>
      </c>
      <c r="BZ8" t="s">
        <v>362</v>
      </c>
      <c r="CA8">
        <v>1.1100000000000001</v>
      </c>
      <c r="CB8" t="s">
        <v>2181</v>
      </c>
      <c r="CC8" t="s">
        <v>379</v>
      </c>
      <c r="CD8">
        <v>137764443</v>
      </c>
      <c r="CE8" t="s">
        <v>346</v>
      </c>
      <c r="CF8">
        <v>2.86</v>
      </c>
      <c r="CG8" t="s">
        <v>53</v>
      </c>
      <c r="CH8" t="s">
        <v>379</v>
      </c>
      <c r="CI8">
        <v>137764443</v>
      </c>
      <c r="CJ8" t="s">
        <v>346</v>
      </c>
      <c r="CK8">
        <v>3.39</v>
      </c>
      <c r="CL8" t="s">
        <v>53</v>
      </c>
      <c r="CM8" t="s">
        <v>353</v>
      </c>
      <c r="CN8">
        <v>4048287</v>
      </c>
      <c r="CO8" t="s">
        <v>346</v>
      </c>
      <c r="CP8">
        <v>5.26</v>
      </c>
      <c r="CQ8" t="s">
        <v>53</v>
      </c>
      <c r="CR8" t="s">
        <v>696</v>
      </c>
      <c r="CS8">
        <v>4313797</v>
      </c>
      <c r="CT8" t="s">
        <v>346</v>
      </c>
      <c r="CU8">
        <v>0.12</v>
      </c>
      <c r="CV8" t="s">
        <v>80</v>
      </c>
      <c r="CW8" t="s">
        <v>683</v>
      </c>
      <c r="CX8">
        <v>4137754</v>
      </c>
      <c r="CY8" t="s">
        <v>346</v>
      </c>
      <c r="CZ8">
        <v>0.43</v>
      </c>
      <c r="DA8" t="s">
        <v>50</v>
      </c>
      <c r="DB8" t="s">
        <v>725</v>
      </c>
      <c r="DC8">
        <v>111195</v>
      </c>
      <c r="DD8" t="s">
        <v>346</v>
      </c>
      <c r="DE8">
        <v>5.94</v>
      </c>
      <c r="DF8" t="s">
        <v>53</v>
      </c>
      <c r="DG8" t="s">
        <v>683</v>
      </c>
      <c r="DH8">
        <v>4137754</v>
      </c>
      <c r="DI8" t="s">
        <v>346</v>
      </c>
      <c r="DJ8">
        <v>0.43</v>
      </c>
      <c r="DK8" t="s">
        <v>50</v>
      </c>
      <c r="DL8" t="s">
        <v>725</v>
      </c>
      <c r="DM8">
        <v>111195</v>
      </c>
      <c r="DN8" t="s">
        <v>346</v>
      </c>
      <c r="DO8">
        <v>5.94</v>
      </c>
      <c r="DP8" t="s">
        <v>53</v>
      </c>
      <c r="DU8" t="s">
        <v>306</v>
      </c>
      <c r="DV8" t="s">
        <v>432</v>
      </c>
      <c r="DW8">
        <v>110092</v>
      </c>
      <c r="DX8" t="s">
        <v>346</v>
      </c>
      <c r="DY8">
        <v>0.15</v>
      </c>
      <c r="DZ8" t="s">
        <v>53</v>
      </c>
      <c r="EA8" t="s">
        <v>379</v>
      </c>
      <c r="EB8">
        <v>137764443</v>
      </c>
      <c r="EC8" t="s">
        <v>346</v>
      </c>
      <c r="ED8">
        <v>2.86</v>
      </c>
      <c r="EE8" t="s">
        <v>53</v>
      </c>
      <c r="EF8" t="s">
        <v>725</v>
      </c>
      <c r="EG8">
        <v>111195</v>
      </c>
      <c r="EH8" t="s">
        <v>346</v>
      </c>
      <c r="EI8">
        <v>5.94</v>
      </c>
      <c r="EJ8" t="s">
        <v>53</v>
      </c>
      <c r="EK8" t="s">
        <v>683</v>
      </c>
      <c r="EL8">
        <v>4137754</v>
      </c>
      <c r="EM8" t="s">
        <v>346</v>
      </c>
      <c r="EN8">
        <v>0.43</v>
      </c>
      <c r="EO8" t="s">
        <v>50</v>
      </c>
      <c r="EP8" t="s">
        <v>379</v>
      </c>
      <c r="EQ8">
        <v>137764443</v>
      </c>
      <c r="ER8" t="s">
        <v>346</v>
      </c>
      <c r="ES8">
        <v>0.66</v>
      </c>
      <c r="ET8" t="s">
        <v>53</v>
      </c>
      <c r="EU8" t="s">
        <v>2141</v>
      </c>
      <c r="EV8" t="s">
        <v>300</v>
      </c>
      <c r="EW8" t="s">
        <v>361</v>
      </c>
      <c r="EX8">
        <v>0.03</v>
      </c>
      <c r="EY8" t="s">
        <v>50</v>
      </c>
      <c r="EZ8" t="s">
        <v>374</v>
      </c>
      <c r="FA8">
        <v>4138467</v>
      </c>
      <c r="FB8" t="s">
        <v>362</v>
      </c>
      <c r="FC8">
        <v>3.06</v>
      </c>
      <c r="FD8" t="s">
        <v>375</v>
      </c>
      <c r="FE8" t="s">
        <v>379</v>
      </c>
      <c r="FF8">
        <v>137764443</v>
      </c>
      <c r="FG8" t="s">
        <v>346</v>
      </c>
      <c r="FH8">
        <v>2.8</v>
      </c>
      <c r="FI8" t="s">
        <v>53</v>
      </c>
      <c r="FJ8" t="s">
        <v>2154</v>
      </c>
      <c r="FK8">
        <v>4016429</v>
      </c>
      <c r="FL8" t="s">
        <v>366</v>
      </c>
      <c r="FM8">
        <v>2.15</v>
      </c>
      <c r="FN8" t="s">
        <v>304</v>
      </c>
      <c r="FO8" t="s">
        <v>683</v>
      </c>
      <c r="FP8">
        <v>4137754</v>
      </c>
      <c r="FQ8" t="s">
        <v>346</v>
      </c>
      <c r="FR8">
        <v>0.43</v>
      </c>
      <c r="FS8" t="s">
        <v>50</v>
      </c>
      <c r="FT8" t="s">
        <v>374</v>
      </c>
      <c r="FU8">
        <v>4138467</v>
      </c>
      <c r="FV8" t="s">
        <v>362</v>
      </c>
      <c r="FW8">
        <v>1.61</v>
      </c>
      <c r="FX8" t="s">
        <v>375</v>
      </c>
      <c r="FY8" t="s">
        <v>725</v>
      </c>
      <c r="FZ8">
        <v>111195</v>
      </c>
      <c r="GA8" t="s">
        <v>346</v>
      </c>
      <c r="GB8">
        <v>5.94</v>
      </c>
      <c r="GC8" t="s">
        <v>53</v>
      </c>
      <c r="GD8" t="s">
        <v>374</v>
      </c>
      <c r="GE8">
        <v>4138467</v>
      </c>
      <c r="GF8" t="s">
        <v>362</v>
      </c>
      <c r="GG8">
        <v>3.06</v>
      </c>
      <c r="GH8" t="s">
        <v>375</v>
      </c>
      <c r="GI8" t="s">
        <v>379</v>
      </c>
      <c r="GJ8">
        <v>137764443</v>
      </c>
      <c r="GK8" t="s">
        <v>346</v>
      </c>
      <c r="GL8">
        <v>2.8</v>
      </c>
      <c r="GM8" t="s">
        <v>53</v>
      </c>
      <c r="GN8" t="s">
        <v>2154</v>
      </c>
      <c r="GO8">
        <v>4016429</v>
      </c>
      <c r="GP8" t="s">
        <v>366</v>
      </c>
      <c r="GQ8">
        <v>2.15</v>
      </c>
      <c r="GR8" t="s">
        <v>304</v>
      </c>
      <c r="GS8" t="s">
        <v>1234</v>
      </c>
      <c r="GT8">
        <v>5880458</v>
      </c>
      <c r="GU8" t="s">
        <v>369</v>
      </c>
      <c r="GV8">
        <v>0.55000000000000004</v>
      </c>
      <c r="GW8" t="s">
        <v>50</v>
      </c>
      <c r="GX8" t="s">
        <v>379</v>
      </c>
      <c r="GY8">
        <v>137764443</v>
      </c>
      <c r="GZ8" t="s">
        <v>346</v>
      </c>
      <c r="HA8">
        <v>2.86</v>
      </c>
      <c r="HB8" t="s">
        <v>53</v>
      </c>
      <c r="HC8" t="s">
        <v>2172</v>
      </c>
      <c r="HD8">
        <v>4397834</v>
      </c>
      <c r="HE8" t="s">
        <v>370</v>
      </c>
      <c r="HF8">
        <v>0.14000000000000001</v>
      </c>
      <c r="HG8" t="s">
        <v>2182</v>
      </c>
    </row>
    <row r="9" spans="1:215" x14ac:dyDescent="0.35">
      <c r="A9" t="s">
        <v>351</v>
      </c>
      <c r="B9">
        <v>111289</v>
      </c>
      <c r="C9" t="s">
        <v>346</v>
      </c>
      <c r="D9">
        <v>0.65</v>
      </c>
      <c r="E9" t="s">
        <v>53</v>
      </c>
      <c r="F9" t="s">
        <v>379</v>
      </c>
      <c r="G9">
        <v>137764443</v>
      </c>
      <c r="H9" t="s">
        <v>346</v>
      </c>
      <c r="I9">
        <v>2.56</v>
      </c>
      <c r="J9" t="s">
        <v>53</v>
      </c>
      <c r="K9" t="s">
        <v>636</v>
      </c>
      <c r="L9">
        <v>4139271</v>
      </c>
      <c r="M9" t="s">
        <v>346</v>
      </c>
      <c r="N9">
        <v>0.55000000000000004</v>
      </c>
      <c r="O9" t="s">
        <v>50</v>
      </c>
      <c r="T9" t="s">
        <v>306</v>
      </c>
      <c r="U9" t="s">
        <v>389</v>
      </c>
      <c r="V9">
        <v>109888</v>
      </c>
      <c r="W9" t="s">
        <v>346</v>
      </c>
      <c r="X9">
        <v>1.1000000000000001</v>
      </c>
      <c r="Y9" t="s">
        <v>53</v>
      </c>
      <c r="Z9" t="s">
        <v>636</v>
      </c>
      <c r="AA9">
        <v>4139271</v>
      </c>
      <c r="AB9" t="s">
        <v>346</v>
      </c>
      <c r="AC9">
        <v>0.55000000000000004</v>
      </c>
      <c r="AD9" t="s">
        <v>50</v>
      </c>
      <c r="AE9" t="s">
        <v>562</v>
      </c>
      <c r="AF9">
        <v>4256114</v>
      </c>
      <c r="AG9" t="s">
        <v>346</v>
      </c>
      <c r="AH9">
        <v>1.75</v>
      </c>
      <c r="AI9" t="s">
        <v>301</v>
      </c>
      <c r="AJ9" t="s">
        <v>351</v>
      </c>
      <c r="AK9">
        <v>111289</v>
      </c>
      <c r="AL9" t="s">
        <v>346</v>
      </c>
      <c r="AM9">
        <v>0.65</v>
      </c>
      <c r="AN9" t="s">
        <v>53</v>
      </c>
      <c r="AO9" t="s">
        <v>1188</v>
      </c>
      <c r="AP9">
        <v>4413788</v>
      </c>
      <c r="AQ9" t="s">
        <v>346</v>
      </c>
      <c r="AR9">
        <v>3.3</v>
      </c>
      <c r="AS9" t="s">
        <v>53</v>
      </c>
      <c r="AT9" t="s">
        <v>351</v>
      </c>
      <c r="AU9">
        <v>111289</v>
      </c>
      <c r="AV9" t="s">
        <v>346</v>
      </c>
      <c r="AW9">
        <v>0.65</v>
      </c>
      <c r="AX9" t="s">
        <v>53</v>
      </c>
      <c r="AY9" t="s">
        <v>636</v>
      </c>
      <c r="AZ9">
        <v>4139271</v>
      </c>
      <c r="BA9" t="s">
        <v>346</v>
      </c>
      <c r="BB9">
        <v>1.1200000000000001</v>
      </c>
      <c r="BC9" t="s">
        <v>50</v>
      </c>
      <c r="BD9" t="s">
        <v>379</v>
      </c>
      <c r="BE9">
        <v>137764443</v>
      </c>
      <c r="BF9" t="s">
        <v>346</v>
      </c>
      <c r="BG9">
        <v>2.77</v>
      </c>
      <c r="BH9" t="s">
        <v>53</v>
      </c>
      <c r="BI9" t="s">
        <v>954</v>
      </c>
      <c r="BJ9">
        <v>4026994</v>
      </c>
      <c r="BK9" t="s">
        <v>346</v>
      </c>
      <c r="BL9">
        <v>2.41</v>
      </c>
      <c r="BM9" t="s">
        <v>321</v>
      </c>
      <c r="BN9" t="s">
        <v>596</v>
      </c>
      <c r="BO9">
        <v>4140486</v>
      </c>
      <c r="BP9" t="s">
        <v>346</v>
      </c>
      <c r="BQ9">
        <v>0.53</v>
      </c>
      <c r="BR9" t="s">
        <v>50</v>
      </c>
      <c r="BS9" t="s">
        <v>943</v>
      </c>
      <c r="BT9" t="s">
        <v>300</v>
      </c>
      <c r="BU9" t="s">
        <v>361</v>
      </c>
      <c r="BV9">
        <v>4.29</v>
      </c>
      <c r="BW9" t="s">
        <v>50</v>
      </c>
      <c r="BX9" t="s">
        <v>389</v>
      </c>
      <c r="BY9">
        <v>109888</v>
      </c>
      <c r="BZ9" t="s">
        <v>346</v>
      </c>
      <c r="CA9">
        <v>1.1000000000000001</v>
      </c>
      <c r="CB9" t="s">
        <v>53</v>
      </c>
      <c r="CC9" t="s">
        <v>433</v>
      </c>
      <c r="CD9">
        <v>3000896</v>
      </c>
      <c r="CE9" t="s">
        <v>346</v>
      </c>
      <c r="CF9">
        <v>1.38</v>
      </c>
      <c r="CG9" t="s">
        <v>53</v>
      </c>
      <c r="CH9" t="s">
        <v>1188</v>
      </c>
      <c r="CI9">
        <v>4413788</v>
      </c>
      <c r="CJ9" t="s">
        <v>346</v>
      </c>
      <c r="CK9">
        <v>3.3</v>
      </c>
      <c r="CL9" t="s">
        <v>53</v>
      </c>
      <c r="CM9" t="s">
        <v>379</v>
      </c>
      <c r="CN9">
        <v>137764443</v>
      </c>
      <c r="CO9" t="s">
        <v>346</v>
      </c>
      <c r="CP9">
        <v>3.35</v>
      </c>
      <c r="CQ9" t="s">
        <v>53</v>
      </c>
      <c r="CR9" t="s">
        <v>697</v>
      </c>
      <c r="CS9">
        <v>4159211</v>
      </c>
      <c r="CT9" t="s">
        <v>346</v>
      </c>
      <c r="CU9">
        <v>0.12</v>
      </c>
      <c r="CV9" t="s">
        <v>80</v>
      </c>
      <c r="CW9" t="s">
        <v>353</v>
      </c>
      <c r="CX9">
        <v>4048287</v>
      </c>
      <c r="CY9" t="s">
        <v>346</v>
      </c>
      <c r="CZ9">
        <v>0.42</v>
      </c>
      <c r="DA9" t="s">
        <v>53</v>
      </c>
      <c r="DB9" t="s">
        <v>379</v>
      </c>
      <c r="DC9">
        <v>137764443</v>
      </c>
      <c r="DD9" t="s">
        <v>346</v>
      </c>
      <c r="DE9">
        <v>2.77</v>
      </c>
      <c r="DF9" t="s">
        <v>53</v>
      </c>
      <c r="DG9" t="s">
        <v>353</v>
      </c>
      <c r="DH9">
        <v>4048287</v>
      </c>
      <c r="DI9" t="s">
        <v>346</v>
      </c>
      <c r="DJ9">
        <v>0.42</v>
      </c>
      <c r="DK9" t="s">
        <v>53</v>
      </c>
      <c r="DL9" t="s">
        <v>379</v>
      </c>
      <c r="DM9">
        <v>137764443</v>
      </c>
      <c r="DN9" t="s">
        <v>346</v>
      </c>
      <c r="DO9">
        <v>2.77</v>
      </c>
      <c r="DP9" t="s">
        <v>53</v>
      </c>
      <c r="DU9" t="s">
        <v>306</v>
      </c>
      <c r="DV9" t="s">
        <v>388</v>
      </c>
      <c r="DW9">
        <v>4057506</v>
      </c>
      <c r="DX9" t="s">
        <v>346</v>
      </c>
      <c r="DY9">
        <v>0.11</v>
      </c>
      <c r="DZ9" t="s">
        <v>53</v>
      </c>
      <c r="EA9" t="s">
        <v>433</v>
      </c>
      <c r="EB9">
        <v>3000896</v>
      </c>
      <c r="EC9" t="s">
        <v>346</v>
      </c>
      <c r="ED9">
        <v>1.38</v>
      </c>
      <c r="EE9" t="s">
        <v>53</v>
      </c>
      <c r="EF9" t="s">
        <v>379</v>
      </c>
      <c r="EG9">
        <v>137764443</v>
      </c>
      <c r="EH9" t="s">
        <v>346</v>
      </c>
      <c r="EI9">
        <v>2.77</v>
      </c>
      <c r="EJ9" t="s">
        <v>53</v>
      </c>
      <c r="EK9" t="s">
        <v>353</v>
      </c>
      <c r="EL9">
        <v>4048287</v>
      </c>
      <c r="EM9" t="s">
        <v>346</v>
      </c>
      <c r="EN9">
        <v>0.42</v>
      </c>
      <c r="EO9" t="s">
        <v>53</v>
      </c>
      <c r="EP9" t="s">
        <v>639</v>
      </c>
      <c r="EQ9">
        <v>4139311</v>
      </c>
      <c r="ER9" t="s">
        <v>346</v>
      </c>
      <c r="ES9">
        <v>0.65</v>
      </c>
      <c r="ET9" t="s">
        <v>50</v>
      </c>
      <c r="EU9" t="s">
        <v>2142</v>
      </c>
      <c r="EV9" t="s">
        <v>300</v>
      </c>
      <c r="EW9" t="s">
        <v>361</v>
      </c>
      <c r="EX9">
        <v>0.02</v>
      </c>
      <c r="EY9" t="s">
        <v>50</v>
      </c>
      <c r="EZ9" t="s">
        <v>351</v>
      </c>
      <c r="FA9">
        <v>111289</v>
      </c>
      <c r="FB9" t="s">
        <v>346</v>
      </c>
      <c r="FC9">
        <v>0.36</v>
      </c>
      <c r="FD9" t="s">
        <v>53</v>
      </c>
      <c r="FE9" t="s">
        <v>2147</v>
      </c>
      <c r="FF9">
        <v>4221897</v>
      </c>
      <c r="FG9" t="s">
        <v>364</v>
      </c>
      <c r="FH9">
        <v>2.39</v>
      </c>
      <c r="FI9" t="s">
        <v>2181</v>
      </c>
      <c r="FJ9" t="s">
        <v>425</v>
      </c>
      <c r="FK9">
        <v>4137704</v>
      </c>
      <c r="FL9" t="s">
        <v>346</v>
      </c>
      <c r="FM9">
        <v>1.92</v>
      </c>
      <c r="FN9" t="s">
        <v>304</v>
      </c>
      <c r="FO9" t="s">
        <v>353</v>
      </c>
      <c r="FP9">
        <v>4048287</v>
      </c>
      <c r="FQ9" t="s">
        <v>346</v>
      </c>
      <c r="FR9">
        <v>0.42</v>
      </c>
      <c r="FS9" t="s">
        <v>53</v>
      </c>
      <c r="FT9" t="s">
        <v>375</v>
      </c>
      <c r="FU9">
        <v>4263612</v>
      </c>
      <c r="FV9" t="s">
        <v>705</v>
      </c>
      <c r="FW9">
        <v>1.6</v>
      </c>
      <c r="FX9" t="s">
        <v>375</v>
      </c>
      <c r="FY9" t="s">
        <v>379</v>
      </c>
      <c r="FZ9">
        <v>137764443</v>
      </c>
      <c r="GA9" t="s">
        <v>346</v>
      </c>
      <c r="GB9">
        <v>2.77</v>
      </c>
      <c r="GC9" t="s">
        <v>53</v>
      </c>
      <c r="GD9" t="s">
        <v>351</v>
      </c>
      <c r="GE9">
        <v>111289</v>
      </c>
      <c r="GF9" t="s">
        <v>346</v>
      </c>
      <c r="GG9">
        <v>0.36</v>
      </c>
      <c r="GH9" t="s">
        <v>53</v>
      </c>
      <c r="GI9" t="s">
        <v>2147</v>
      </c>
      <c r="GJ9">
        <v>4221897</v>
      </c>
      <c r="GK9" t="s">
        <v>364</v>
      </c>
      <c r="GL9">
        <v>2.39</v>
      </c>
      <c r="GM9" t="s">
        <v>2181</v>
      </c>
      <c r="GN9" t="s">
        <v>425</v>
      </c>
      <c r="GO9">
        <v>4137704</v>
      </c>
      <c r="GP9" t="s">
        <v>346</v>
      </c>
      <c r="GQ9">
        <v>1.92</v>
      </c>
      <c r="GR9" t="s">
        <v>304</v>
      </c>
      <c r="GS9" t="s">
        <v>596</v>
      </c>
      <c r="GT9">
        <v>4140486</v>
      </c>
      <c r="GU9" t="s">
        <v>346</v>
      </c>
      <c r="GV9">
        <v>0.53</v>
      </c>
      <c r="GW9" t="s">
        <v>50</v>
      </c>
      <c r="GX9" t="s">
        <v>433</v>
      </c>
      <c r="GY9">
        <v>3000896</v>
      </c>
      <c r="GZ9" t="s">
        <v>346</v>
      </c>
      <c r="HA9">
        <v>1.38</v>
      </c>
      <c r="HB9" t="s">
        <v>53</v>
      </c>
      <c r="HC9" t="s">
        <v>2173</v>
      </c>
      <c r="HD9">
        <v>4414363</v>
      </c>
      <c r="HE9" t="s">
        <v>370</v>
      </c>
      <c r="HF9">
        <v>0.11</v>
      </c>
      <c r="HG9" t="s">
        <v>125</v>
      </c>
    </row>
    <row r="10" spans="1:215" x14ac:dyDescent="0.35">
      <c r="A10" t="s">
        <v>352</v>
      </c>
      <c r="B10">
        <v>4143440</v>
      </c>
      <c r="C10" t="s">
        <v>346</v>
      </c>
      <c r="D10">
        <v>0.4</v>
      </c>
      <c r="E10" t="s">
        <v>53</v>
      </c>
      <c r="F10" t="s">
        <v>398</v>
      </c>
      <c r="G10">
        <v>4107954</v>
      </c>
      <c r="H10" t="s">
        <v>300</v>
      </c>
      <c r="I10">
        <v>2.15</v>
      </c>
      <c r="J10" t="s">
        <v>304</v>
      </c>
      <c r="K10" t="s">
        <v>355</v>
      </c>
      <c r="L10">
        <v>111074</v>
      </c>
      <c r="M10" t="s">
        <v>346</v>
      </c>
      <c r="N10">
        <v>0.38</v>
      </c>
      <c r="O10" t="s">
        <v>53</v>
      </c>
      <c r="T10" t="s">
        <v>306</v>
      </c>
      <c r="U10" t="s">
        <v>432</v>
      </c>
      <c r="V10">
        <v>110092</v>
      </c>
      <c r="W10" t="s">
        <v>346</v>
      </c>
      <c r="X10">
        <v>1.03</v>
      </c>
      <c r="Y10" t="s">
        <v>53</v>
      </c>
      <c r="Z10" t="s">
        <v>355</v>
      </c>
      <c r="AA10">
        <v>111074</v>
      </c>
      <c r="AB10" t="s">
        <v>346</v>
      </c>
      <c r="AC10">
        <v>0.38</v>
      </c>
      <c r="AD10" t="s">
        <v>53</v>
      </c>
      <c r="AE10" t="s">
        <v>954</v>
      </c>
      <c r="AF10">
        <v>4026994</v>
      </c>
      <c r="AG10" t="s">
        <v>346</v>
      </c>
      <c r="AH10">
        <v>1.47</v>
      </c>
      <c r="AI10" t="s">
        <v>321</v>
      </c>
      <c r="AJ10" t="s">
        <v>352</v>
      </c>
      <c r="AK10">
        <v>4143440</v>
      </c>
      <c r="AL10" t="s">
        <v>346</v>
      </c>
      <c r="AM10">
        <v>0.4</v>
      </c>
      <c r="AN10" t="s">
        <v>53</v>
      </c>
      <c r="AO10" t="s">
        <v>353</v>
      </c>
      <c r="AP10">
        <v>4048287</v>
      </c>
      <c r="AQ10" t="s">
        <v>346</v>
      </c>
      <c r="AR10">
        <v>3.19</v>
      </c>
      <c r="AS10" t="s">
        <v>53</v>
      </c>
      <c r="AT10" t="s">
        <v>352</v>
      </c>
      <c r="AU10">
        <v>4143440</v>
      </c>
      <c r="AV10" t="s">
        <v>346</v>
      </c>
      <c r="AW10">
        <v>0.4</v>
      </c>
      <c r="AX10" t="s">
        <v>53</v>
      </c>
      <c r="AY10" t="s">
        <v>1225</v>
      </c>
      <c r="AZ10">
        <v>11974373</v>
      </c>
      <c r="BA10" t="s">
        <v>370</v>
      </c>
      <c r="BB10">
        <v>0.97</v>
      </c>
      <c r="BC10" t="s">
        <v>50</v>
      </c>
      <c r="BD10" t="s">
        <v>1389</v>
      </c>
      <c r="BE10" t="s">
        <v>300</v>
      </c>
      <c r="BF10" t="s">
        <v>361</v>
      </c>
      <c r="BG10">
        <v>2.4</v>
      </c>
      <c r="BH10" t="s">
        <v>50</v>
      </c>
      <c r="BI10" t="s">
        <v>1034</v>
      </c>
      <c r="BJ10">
        <v>4256960</v>
      </c>
      <c r="BK10" t="s">
        <v>346</v>
      </c>
      <c r="BL10">
        <v>1.9</v>
      </c>
      <c r="BM10" t="s">
        <v>2183</v>
      </c>
      <c r="BN10" t="s">
        <v>640</v>
      </c>
      <c r="BO10">
        <v>9020942</v>
      </c>
      <c r="BP10" t="s">
        <v>346</v>
      </c>
      <c r="BQ10">
        <v>0.46</v>
      </c>
      <c r="BR10" t="s">
        <v>50</v>
      </c>
      <c r="BS10" t="s">
        <v>551</v>
      </c>
      <c r="BT10">
        <v>4137681</v>
      </c>
      <c r="BU10" t="s">
        <v>346</v>
      </c>
      <c r="BV10">
        <v>1.74</v>
      </c>
      <c r="BW10" t="s">
        <v>50</v>
      </c>
      <c r="BX10" t="s">
        <v>432</v>
      </c>
      <c r="BY10">
        <v>110092</v>
      </c>
      <c r="BZ10" t="s">
        <v>346</v>
      </c>
      <c r="CA10">
        <v>1.03</v>
      </c>
      <c r="CB10" t="s">
        <v>53</v>
      </c>
      <c r="CC10" t="s">
        <v>859</v>
      </c>
      <c r="CD10">
        <v>4049161</v>
      </c>
      <c r="CE10" t="s">
        <v>346</v>
      </c>
      <c r="CF10">
        <v>1.1299999999999999</v>
      </c>
      <c r="CG10" t="s">
        <v>53</v>
      </c>
      <c r="CH10" t="s">
        <v>353</v>
      </c>
      <c r="CI10">
        <v>4048287</v>
      </c>
      <c r="CJ10" t="s">
        <v>346</v>
      </c>
      <c r="CK10">
        <v>3.19</v>
      </c>
      <c r="CL10" t="s">
        <v>53</v>
      </c>
      <c r="CM10" t="s">
        <v>351</v>
      </c>
      <c r="CN10">
        <v>111289</v>
      </c>
      <c r="CO10" t="s">
        <v>346</v>
      </c>
      <c r="CP10">
        <v>2.19</v>
      </c>
      <c r="CQ10" t="s">
        <v>53</v>
      </c>
      <c r="CR10" t="s">
        <v>405</v>
      </c>
      <c r="CS10">
        <v>4035990</v>
      </c>
      <c r="CT10" t="s">
        <v>346</v>
      </c>
      <c r="CU10">
        <v>7.0000000000000007E-2</v>
      </c>
      <c r="CV10" t="s">
        <v>80</v>
      </c>
      <c r="CW10" t="s">
        <v>351</v>
      </c>
      <c r="CX10">
        <v>111289</v>
      </c>
      <c r="CY10" t="s">
        <v>346</v>
      </c>
      <c r="CZ10">
        <v>0.32</v>
      </c>
      <c r="DA10" t="s">
        <v>53</v>
      </c>
      <c r="DB10" t="s">
        <v>1389</v>
      </c>
      <c r="DC10" t="s">
        <v>300</v>
      </c>
      <c r="DD10" t="s">
        <v>361</v>
      </c>
      <c r="DE10">
        <v>2.4</v>
      </c>
      <c r="DF10" t="s">
        <v>50</v>
      </c>
      <c r="DG10" t="s">
        <v>351</v>
      </c>
      <c r="DH10">
        <v>111289</v>
      </c>
      <c r="DI10" t="s">
        <v>346</v>
      </c>
      <c r="DJ10">
        <v>0.32</v>
      </c>
      <c r="DK10" t="s">
        <v>53</v>
      </c>
      <c r="DL10" t="s">
        <v>1389</v>
      </c>
      <c r="DM10" t="s">
        <v>300</v>
      </c>
      <c r="DN10" t="s">
        <v>361</v>
      </c>
      <c r="DO10">
        <v>2.4</v>
      </c>
      <c r="DP10" t="s">
        <v>50</v>
      </c>
      <c r="DU10" t="s">
        <v>306</v>
      </c>
      <c r="DV10" t="s">
        <v>1191</v>
      </c>
      <c r="DW10">
        <v>4581416</v>
      </c>
      <c r="DX10" t="s">
        <v>346</v>
      </c>
      <c r="DY10">
        <v>0.1</v>
      </c>
      <c r="DZ10" t="s">
        <v>77</v>
      </c>
      <c r="EA10" t="s">
        <v>859</v>
      </c>
      <c r="EB10">
        <v>4049161</v>
      </c>
      <c r="EC10" t="s">
        <v>346</v>
      </c>
      <c r="ED10">
        <v>1.1299999999999999</v>
      </c>
      <c r="EE10" t="s">
        <v>53</v>
      </c>
      <c r="EF10" t="s">
        <v>1389</v>
      </c>
      <c r="EG10" t="s">
        <v>300</v>
      </c>
      <c r="EH10" t="s">
        <v>361</v>
      </c>
      <c r="EI10">
        <v>2.4</v>
      </c>
      <c r="EJ10" t="s">
        <v>50</v>
      </c>
      <c r="EK10" t="s">
        <v>351</v>
      </c>
      <c r="EL10">
        <v>111289</v>
      </c>
      <c r="EM10" t="s">
        <v>346</v>
      </c>
      <c r="EN10">
        <v>0.32</v>
      </c>
      <c r="EO10" t="s">
        <v>53</v>
      </c>
      <c r="EP10" t="s">
        <v>646</v>
      </c>
      <c r="EQ10">
        <v>4435100</v>
      </c>
      <c r="ER10" t="s">
        <v>346</v>
      </c>
      <c r="ES10">
        <v>0.62</v>
      </c>
      <c r="ET10" t="s">
        <v>50</v>
      </c>
      <c r="EU10" t="s">
        <v>2143</v>
      </c>
      <c r="EV10" t="s">
        <v>300</v>
      </c>
      <c r="EW10" t="s">
        <v>361</v>
      </c>
      <c r="EX10">
        <v>0.02</v>
      </c>
      <c r="EY10" t="s">
        <v>50</v>
      </c>
      <c r="EZ10" t="s">
        <v>352</v>
      </c>
      <c r="FA10">
        <v>4143440</v>
      </c>
      <c r="FB10" t="s">
        <v>346</v>
      </c>
      <c r="FC10">
        <v>0.3</v>
      </c>
      <c r="FD10" t="s">
        <v>53</v>
      </c>
      <c r="FE10" t="s">
        <v>398</v>
      </c>
      <c r="FF10">
        <v>4107954</v>
      </c>
      <c r="FG10" t="s">
        <v>300</v>
      </c>
      <c r="FH10">
        <v>1.48</v>
      </c>
      <c r="FI10" t="s">
        <v>304</v>
      </c>
      <c r="FJ10" t="s">
        <v>398</v>
      </c>
      <c r="FK10">
        <v>4107954</v>
      </c>
      <c r="FL10" t="s">
        <v>300</v>
      </c>
      <c r="FM10">
        <v>1.91</v>
      </c>
      <c r="FN10" t="s">
        <v>304</v>
      </c>
      <c r="FO10" t="s">
        <v>351</v>
      </c>
      <c r="FP10">
        <v>111289</v>
      </c>
      <c r="FQ10" t="s">
        <v>346</v>
      </c>
      <c r="FR10">
        <v>0.32</v>
      </c>
      <c r="FS10" t="s">
        <v>53</v>
      </c>
      <c r="FT10" t="s">
        <v>376</v>
      </c>
      <c r="FU10">
        <v>4030986</v>
      </c>
      <c r="FV10" t="s">
        <v>346</v>
      </c>
      <c r="FW10">
        <v>1.19</v>
      </c>
      <c r="FX10" t="s">
        <v>53</v>
      </c>
      <c r="FY10" t="s">
        <v>1389</v>
      </c>
      <c r="FZ10" t="s">
        <v>300</v>
      </c>
      <c r="GA10" t="s">
        <v>361</v>
      </c>
      <c r="GB10">
        <v>2.4</v>
      </c>
      <c r="GC10" t="s">
        <v>50</v>
      </c>
      <c r="GD10" t="s">
        <v>352</v>
      </c>
      <c r="GE10">
        <v>4143440</v>
      </c>
      <c r="GF10" t="s">
        <v>346</v>
      </c>
      <c r="GG10">
        <v>0.3</v>
      </c>
      <c r="GH10" t="s">
        <v>53</v>
      </c>
      <c r="GI10" t="s">
        <v>398</v>
      </c>
      <c r="GJ10">
        <v>4107954</v>
      </c>
      <c r="GK10" t="s">
        <v>300</v>
      </c>
      <c r="GL10">
        <v>1.48</v>
      </c>
      <c r="GM10" t="s">
        <v>304</v>
      </c>
      <c r="GN10" t="s">
        <v>398</v>
      </c>
      <c r="GO10">
        <v>4107954</v>
      </c>
      <c r="GP10" t="s">
        <v>300</v>
      </c>
      <c r="GQ10">
        <v>1.91</v>
      </c>
      <c r="GR10" t="s">
        <v>304</v>
      </c>
      <c r="GS10" t="s">
        <v>640</v>
      </c>
      <c r="GT10">
        <v>9020942</v>
      </c>
      <c r="GU10" t="s">
        <v>346</v>
      </c>
      <c r="GV10">
        <v>0.46</v>
      </c>
      <c r="GW10" t="s">
        <v>50</v>
      </c>
      <c r="GX10" t="s">
        <v>859</v>
      </c>
      <c r="GY10">
        <v>4049161</v>
      </c>
      <c r="GZ10" t="s">
        <v>346</v>
      </c>
      <c r="HA10">
        <v>1.1299999999999999</v>
      </c>
      <c r="HB10" t="s">
        <v>53</v>
      </c>
      <c r="HC10" t="s">
        <v>2174</v>
      </c>
      <c r="HD10" t="s">
        <v>300</v>
      </c>
      <c r="HE10" t="s">
        <v>361</v>
      </c>
      <c r="HF10">
        <v>0.06</v>
      </c>
      <c r="HG10" t="s">
        <v>50</v>
      </c>
    </row>
    <row r="11" spans="1:215" x14ac:dyDescent="0.35">
      <c r="A11" t="s">
        <v>353</v>
      </c>
      <c r="B11">
        <v>4048287</v>
      </c>
      <c r="C11" t="s">
        <v>346</v>
      </c>
      <c r="D11">
        <v>0.13</v>
      </c>
      <c r="E11" t="s">
        <v>53</v>
      </c>
      <c r="F11" t="s">
        <v>425</v>
      </c>
      <c r="G11">
        <v>4137704</v>
      </c>
      <c r="H11" t="s">
        <v>346</v>
      </c>
      <c r="I11">
        <v>2.0099999999999998</v>
      </c>
      <c r="J11" t="s">
        <v>304</v>
      </c>
      <c r="K11" t="s">
        <v>637</v>
      </c>
      <c r="L11">
        <v>4138661</v>
      </c>
      <c r="M11" t="s">
        <v>346</v>
      </c>
      <c r="N11">
        <v>0.34</v>
      </c>
      <c r="O11" t="s">
        <v>50</v>
      </c>
      <c r="T11" t="s">
        <v>306</v>
      </c>
      <c r="U11" t="s">
        <v>709</v>
      </c>
      <c r="V11">
        <v>4843554</v>
      </c>
      <c r="W11" t="s">
        <v>370</v>
      </c>
      <c r="X11">
        <v>0.96</v>
      </c>
      <c r="Y11" t="s">
        <v>50</v>
      </c>
      <c r="Z11" t="s">
        <v>637</v>
      </c>
      <c r="AA11">
        <v>4138661</v>
      </c>
      <c r="AB11" t="s">
        <v>346</v>
      </c>
      <c r="AC11">
        <v>0.34</v>
      </c>
      <c r="AD11" t="s">
        <v>50</v>
      </c>
      <c r="AE11" t="s">
        <v>351</v>
      </c>
      <c r="AF11">
        <v>111289</v>
      </c>
      <c r="AG11" t="s">
        <v>346</v>
      </c>
      <c r="AH11">
        <v>1.24</v>
      </c>
      <c r="AI11" t="s">
        <v>53</v>
      </c>
      <c r="AJ11" t="s">
        <v>353</v>
      </c>
      <c r="AK11">
        <v>4048287</v>
      </c>
      <c r="AL11" t="s">
        <v>346</v>
      </c>
      <c r="AM11">
        <v>0.13</v>
      </c>
      <c r="AN11" t="s">
        <v>53</v>
      </c>
      <c r="AO11" t="s">
        <v>374</v>
      </c>
      <c r="AP11">
        <v>4138467</v>
      </c>
      <c r="AQ11" t="s">
        <v>362</v>
      </c>
      <c r="AR11">
        <v>2.76</v>
      </c>
      <c r="AS11" t="s">
        <v>375</v>
      </c>
      <c r="AT11" t="s">
        <v>353</v>
      </c>
      <c r="AU11">
        <v>4048287</v>
      </c>
      <c r="AV11" t="s">
        <v>346</v>
      </c>
      <c r="AW11">
        <v>0.13</v>
      </c>
      <c r="AX11" t="s">
        <v>53</v>
      </c>
      <c r="AY11" t="s">
        <v>1226</v>
      </c>
      <c r="AZ11">
        <v>4538015</v>
      </c>
      <c r="BA11" t="s">
        <v>346</v>
      </c>
      <c r="BB11">
        <v>0.82</v>
      </c>
      <c r="BC11" t="s">
        <v>50</v>
      </c>
      <c r="BD11" t="s">
        <v>483</v>
      </c>
      <c r="BE11">
        <v>109763</v>
      </c>
      <c r="BF11" t="s">
        <v>346</v>
      </c>
      <c r="BG11">
        <v>2.19</v>
      </c>
      <c r="BH11" t="s">
        <v>53</v>
      </c>
      <c r="BI11" t="s">
        <v>562</v>
      </c>
      <c r="BJ11">
        <v>4256114</v>
      </c>
      <c r="BK11" t="s">
        <v>346</v>
      </c>
      <c r="BL11">
        <v>1.8</v>
      </c>
      <c r="BM11" t="s">
        <v>301</v>
      </c>
      <c r="BN11" t="s">
        <v>649</v>
      </c>
      <c r="BO11">
        <v>4606392</v>
      </c>
      <c r="BP11" t="s">
        <v>346</v>
      </c>
      <c r="BQ11">
        <v>0.41</v>
      </c>
      <c r="BR11" t="s">
        <v>50</v>
      </c>
      <c r="BS11" t="s">
        <v>636</v>
      </c>
      <c r="BT11">
        <v>4139271</v>
      </c>
      <c r="BU11" t="s">
        <v>346</v>
      </c>
      <c r="BV11">
        <v>1.1599999999999999</v>
      </c>
      <c r="BW11" t="s">
        <v>50</v>
      </c>
      <c r="BX11" t="s">
        <v>709</v>
      </c>
      <c r="BY11">
        <v>4843554</v>
      </c>
      <c r="BZ11" t="s">
        <v>370</v>
      </c>
      <c r="CA11">
        <v>0.96</v>
      </c>
      <c r="CB11" t="s">
        <v>50</v>
      </c>
      <c r="CC11" t="s">
        <v>383</v>
      </c>
      <c r="CD11">
        <v>103042</v>
      </c>
      <c r="CE11" t="s">
        <v>366</v>
      </c>
      <c r="CF11">
        <v>0.99</v>
      </c>
      <c r="CG11" t="s">
        <v>53</v>
      </c>
      <c r="CH11" t="s">
        <v>374</v>
      </c>
      <c r="CI11">
        <v>4138467</v>
      </c>
      <c r="CJ11" t="s">
        <v>362</v>
      </c>
      <c r="CK11">
        <v>2.76</v>
      </c>
      <c r="CL11" t="s">
        <v>375</v>
      </c>
      <c r="CM11" t="s">
        <v>562</v>
      </c>
      <c r="CN11">
        <v>4256114</v>
      </c>
      <c r="CO11" t="s">
        <v>346</v>
      </c>
      <c r="CP11">
        <v>2.11</v>
      </c>
      <c r="CQ11" t="s">
        <v>301</v>
      </c>
      <c r="CR11" t="s">
        <v>698</v>
      </c>
      <c r="CS11" t="s">
        <v>300</v>
      </c>
      <c r="CT11" t="s">
        <v>361</v>
      </c>
      <c r="CU11">
        <v>0.05</v>
      </c>
      <c r="CV11" t="s">
        <v>50</v>
      </c>
      <c r="CW11" t="s">
        <v>385</v>
      </c>
      <c r="CX11">
        <v>5752504</v>
      </c>
      <c r="CY11" t="s">
        <v>346</v>
      </c>
      <c r="CZ11">
        <v>0.31</v>
      </c>
      <c r="DA11" t="s">
        <v>53</v>
      </c>
      <c r="DB11" t="s">
        <v>483</v>
      </c>
      <c r="DC11">
        <v>109763</v>
      </c>
      <c r="DD11" t="s">
        <v>346</v>
      </c>
      <c r="DE11">
        <v>2.19</v>
      </c>
      <c r="DF11" t="s">
        <v>53</v>
      </c>
      <c r="DG11" t="s">
        <v>385</v>
      </c>
      <c r="DH11">
        <v>5752504</v>
      </c>
      <c r="DI11" t="s">
        <v>346</v>
      </c>
      <c r="DJ11">
        <v>0.31</v>
      </c>
      <c r="DK11" t="s">
        <v>53</v>
      </c>
      <c r="DL11" t="s">
        <v>483</v>
      </c>
      <c r="DM11">
        <v>109763</v>
      </c>
      <c r="DN11" t="s">
        <v>346</v>
      </c>
      <c r="DO11">
        <v>2.19</v>
      </c>
      <c r="DP11" t="s">
        <v>53</v>
      </c>
      <c r="DU11" t="s">
        <v>306</v>
      </c>
      <c r="DV11" t="s">
        <v>752</v>
      </c>
      <c r="DW11">
        <v>111272</v>
      </c>
      <c r="DX11" t="s">
        <v>346</v>
      </c>
      <c r="DY11">
        <v>0.1</v>
      </c>
      <c r="DZ11" t="s">
        <v>313</v>
      </c>
      <c r="EA11" t="s">
        <v>383</v>
      </c>
      <c r="EB11">
        <v>103042</v>
      </c>
      <c r="EC11" t="s">
        <v>366</v>
      </c>
      <c r="ED11">
        <v>0.99</v>
      </c>
      <c r="EE11" t="s">
        <v>53</v>
      </c>
      <c r="EF11" t="s">
        <v>483</v>
      </c>
      <c r="EG11">
        <v>109763</v>
      </c>
      <c r="EH11" t="s">
        <v>346</v>
      </c>
      <c r="EI11">
        <v>2.19</v>
      </c>
      <c r="EJ11" t="s">
        <v>53</v>
      </c>
      <c r="EK11" t="s">
        <v>385</v>
      </c>
      <c r="EL11">
        <v>5752504</v>
      </c>
      <c r="EM11" t="s">
        <v>346</v>
      </c>
      <c r="EN11">
        <v>0.31</v>
      </c>
      <c r="EO11" t="s">
        <v>53</v>
      </c>
      <c r="EP11" t="s">
        <v>717</v>
      </c>
      <c r="EQ11">
        <v>4345275</v>
      </c>
      <c r="ER11" t="s">
        <v>346</v>
      </c>
      <c r="ES11">
        <v>0.56999999999999995</v>
      </c>
      <c r="ET11" t="s">
        <v>50</v>
      </c>
      <c r="EU11" t="s">
        <v>2144</v>
      </c>
      <c r="EV11" t="s">
        <v>300</v>
      </c>
      <c r="EW11" t="s">
        <v>361</v>
      </c>
      <c r="EX11">
        <v>0.02</v>
      </c>
      <c r="EY11" t="s">
        <v>50</v>
      </c>
      <c r="EZ11" t="s">
        <v>1914</v>
      </c>
      <c r="FA11" t="s">
        <v>300</v>
      </c>
      <c r="FB11" t="s">
        <v>361</v>
      </c>
      <c r="FC11">
        <v>0.12</v>
      </c>
      <c r="FD11" t="s">
        <v>50</v>
      </c>
      <c r="FE11" t="s">
        <v>351</v>
      </c>
      <c r="FF11">
        <v>111289</v>
      </c>
      <c r="FG11" t="s">
        <v>346</v>
      </c>
      <c r="FH11">
        <v>1.41</v>
      </c>
      <c r="FI11" t="s">
        <v>53</v>
      </c>
      <c r="FJ11" t="s">
        <v>374</v>
      </c>
      <c r="FK11">
        <v>4138467</v>
      </c>
      <c r="FL11" t="s">
        <v>362</v>
      </c>
      <c r="FM11">
        <v>1.72</v>
      </c>
      <c r="FN11" t="s">
        <v>375</v>
      </c>
      <c r="FO11" t="s">
        <v>385</v>
      </c>
      <c r="FP11">
        <v>5752504</v>
      </c>
      <c r="FQ11" t="s">
        <v>346</v>
      </c>
      <c r="FR11">
        <v>0.31</v>
      </c>
      <c r="FS11" t="s">
        <v>53</v>
      </c>
      <c r="FT11" t="s">
        <v>377</v>
      </c>
      <c r="FU11">
        <v>4252473</v>
      </c>
      <c r="FV11" t="s">
        <v>634</v>
      </c>
      <c r="FW11">
        <v>0.65</v>
      </c>
      <c r="FX11" t="s">
        <v>326</v>
      </c>
      <c r="FY11" t="s">
        <v>483</v>
      </c>
      <c r="FZ11">
        <v>109763</v>
      </c>
      <c r="GA11" t="s">
        <v>346</v>
      </c>
      <c r="GB11">
        <v>2.19</v>
      </c>
      <c r="GC11" t="s">
        <v>53</v>
      </c>
      <c r="GD11" t="s">
        <v>1914</v>
      </c>
      <c r="GE11" t="s">
        <v>300</v>
      </c>
      <c r="GF11" t="s">
        <v>361</v>
      </c>
      <c r="GG11">
        <v>0.12</v>
      </c>
      <c r="GH11" t="s">
        <v>50</v>
      </c>
      <c r="GI11" t="s">
        <v>351</v>
      </c>
      <c r="GJ11">
        <v>111289</v>
      </c>
      <c r="GK11" t="s">
        <v>346</v>
      </c>
      <c r="GL11">
        <v>1.41</v>
      </c>
      <c r="GM11" t="s">
        <v>53</v>
      </c>
      <c r="GN11" t="s">
        <v>374</v>
      </c>
      <c r="GO11">
        <v>4138467</v>
      </c>
      <c r="GP11" t="s">
        <v>362</v>
      </c>
      <c r="GQ11">
        <v>1.72</v>
      </c>
      <c r="GR11" t="s">
        <v>375</v>
      </c>
      <c r="GS11" t="s">
        <v>649</v>
      </c>
      <c r="GT11">
        <v>4606392</v>
      </c>
      <c r="GU11" t="s">
        <v>346</v>
      </c>
      <c r="GV11">
        <v>0.41</v>
      </c>
      <c r="GW11" t="s">
        <v>50</v>
      </c>
      <c r="GX11" t="s">
        <v>383</v>
      </c>
      <c r="GY11">
        <v>103042</v>
      </c>
      <c r="GZ11" t="s">
        <v>366</v>
      </c>
      <c r="HA11">
        <v>0.99</v>
      </c>
      <c r="HB11" t="s">
        <v>53</v>
      </c>
      <c r="HC11" t="s">
        <v>2175</v>
      </c>
      <c r="HD11">
        <v>131306008</v>
      </c>
      <c r="HE11" t="s">
        <v>370</v>
      </c>
      <c r="HF11">
        <v>0.04</v>
      </c>
      <c r="HG11" t="s">
        <v>125</v>
      </c>
    </row>
    <row r="12" spans="1:215" x14ac:dyDescent="0.35">
      <c r="A12" t="s">
        <v>354</v>
      </c>
      <c r="B12">
        <v>110652</v>
      </c>
      <c r="C12" t="s">
        <v>346</v>
      </c>
      <c r="D12">
        <v>0.05</v>
      </c>
      <c r="E12" t="s">
        <v>53</v>
      </c>
      <c r="F12" t="s">
        <v>426</v>
      </c>
      <c r="G12">
        <v>100201</v>
      </c>
      <c r="H12" t="s">
        <v>366</v>
      </c>
      <c r="I12">
        <v>1.47</v>
      </c>
      <c r="J12" t="s">
        <v>53</v>
      </c>
      <c r="K12" t="s">
        <v>415</v>
      </c>
      <c r="L12">
        <v>110587</v>
      </c>
      <c r="M12" t="s">
        <v>346</v>
      </c>
      <c r="N12">
        <v>0.3</v>
      </c>
      <c r="O12" t="s">
        <v>53</v>
      </c>
      <c r="T12" t="s">
        <v>306</v>
      </c>
      <c r="U12" t="s">
        <v>596</v>
      </c>
      <c r="V12">
        <v>4140486</v>
      </c>
      <c r="W12" t="s">
        <v>346</v>
      </c>
      <c r="X12">
        <v>0.94</v>
      </c>
      <c r="Y12" t="s">
        <v>50</v>
      </c>
      <c r="Z12" t="s">
        <v>415</v>
      </c>
      <c r="AA12">
        <v>110587</v>
      </c>
      <c r="AB12" t="s">
        <v>346</v>
      </c>
      <c r="AC12">
        <v>0.3</v>
      </c>
      <c r="AD12" t="s">
        <v>53</v>
      </c>
      <c r="AE12" t="s">
        <v>961</v>
      </c>
      <c r="AF12">
        <v>4048349</v>
      </c>
      <c r="AG12" t="s">
        <v>346</v>
      </c>
      <c r="AH12">
        <v>0.94</v>
      </c>
      <c r="AI12" t="s">
        <v>313</v>
      </c>
      <c r="AJ12" t="s">
        <v>354</v>
      </c>
      <c r="AK12">
        <v>110652</v>
      </c>
      <c r="AL12" t="s">
        <v>346</v>
      </c>
      <c r="AM12">
        <v>0.05</v>
      </c>
      <c r="AN12" t="s">
        <v>53</v>
      </c>
      <c r="AO12" t="s">
        <v>725</v>
      </c>
      <c r="AP12">
        <v>111195</v>
      </c>
      <c r="AQ12" t="s">
        <v>346</v>
      </c>
      <c r="AR12">
        <v>2.11</v>
      </c>
      <c r="AS12" t="s">
        <v>53</v>
      </c>
      <c r="AT12" t="s">
        <v>354</v>
      </c>
      <c r="AU12">
        <v>110652</v>
      </c>
      <c r="AV12" t="s">
        <v>346</v>
      </c>
      <c r="AW12">
        <v>0.05</v>
      </c>
      <c r="AX12" t="s">
        <v>53</v>
      </c>
      <c r="AY12" t="s">
        <v>426</v>
      </c>
      <c r="AZ12">
        <v>100201</v>
      </c>
      <c r="BA12" t="s">
        <v>366</v>
      </c>
      <c r="BB12">
        <v>0.78</v>
      </c>
      <c r="BC12" t="s">
        <v>53</v>
      </c>
      <c r="BD12" t="s">
        <v>1255</v>
      </c>
      <c r="BE12">
        <v>4840598</v>
      </c>
      <c r="BF12" t="s">
        <v>346</v>
      </c>
      <c r="BG12">
        <v>2.0099999999999998</v>
      </c>
      <c r="BH12" t="s">
        <v>62</v>
      </c>
      <c r="BI12" t="s">
        <v>1557</v>
      </c>
      <c r="BJ12" t="s">
        <v>300</v>
      </c>
      <c r="BK12" t="s">
        <v>361</v>
      </c>
      <c r="BL12">
        <v>1.8</v>
      </c>
      <c r="BM12" t="s">
        <v>50</v>
      </c>
      <c r="BN12" t="s">
        <v>638</v>
      </c>
      <c r="BO12">
        <v>4137668</v>
      </c>
      <c r="BP12" t="s">
        <v>346</v>
      </c>
      <c r="BQ12">
        <v>0.3</v>
      </c>
      <c r="BR12" t="s">
        <v>50</v>
      </c>
      <c r="BS12" t="s">
        <v>717</v>
      </c>
      <c r="BT12">
        <v>4345275</v>
      </c>
      <c r="BU12" t="s">
        <v>346</v>
      </c>
      <c r="BV12">
        <v>0.95</v>
      </c>
      <c r="BW12" t="s">
        <v>50</v>
      </c>
      <c r="BX12" t="s">
        <v>596</v>
      </c>
      <c r="BY12">
        <v>4140486</v>
      </c>
      <c r="BZ12" t="s">
        <v>346</v>
      </c>
      <c r="CA12">
        <v>0.94</v>
      </c>
      <c r="CB12" t="s">
        <v>50</v>
      </c>
      <c r="CC12" t="s">
        <v>441</v>
      </c>
      <c r="CD12">
        <v>4153483</v>
      </c>
      <c r="CE12" t="s">
        <v>363</v>
      </c>
      <c r="CF12">
        <v>0.77</v>
      </c>
      <c r="CG12" t="s">
        <v>80</v>
      </c>
      <c r="CH12" t="s">
        <v>725</v>
      </c>
      <c r="CI12">
        <v>111195</v>
      </c>
      <c r="CJ12" t="s">
        <v>346</v>
      </c>
      <c r="CK12">
        <v>2.11</v>
      </c>
      <c r="CL12" t="s">
        <v>53</v>
      </c>
      <c r="CM12" t="s">
        <v>576</v>
      </c>
      <c r="CN12">
        <v>4672091</v>
      </c>
      <c r="CO12" t="s">
        <v>300</v>
      </c>
      <c r="CP12">
        <v>1.4</v>
      </c>
      <c r="CQ12" t="s">
        <v>62</v>
      </c>
      <c r="CR12" t="s">
        <v>699</v>
      </c>
      <c r="CS12" t="s">
        <v>300</v>
      </c>
      <c r="CT12" t="s">
        <v>361</v>
      </c>
      <c r="CU12">
        <v>0.03</v>
      </c>
      <c r="CV12" t="s">
        <v>50</v>
      </c>
      <c r="CW12" t="s">
        <v>644</v>
      </c>
      <c r="CX12">
        <v>4138625</v>
      </c>
      <c r="CY12" t="s">
        <v>346</v>
      </c>
      <c r="CZ12">
        <v>0.25</v>
      </c>
      <c r="DA12" t="s">
        <v>50</v>
      </c>
      <c r="DB12" t="s">
        <v>1255</v>
      </c>
      <c r="DC12">
        <v>4840598</v>
      </c>
      <c r="DD12" t="s">
        <v>346</v>
      </c>
      <c r="DE12">
        <v>2.0099999999999998</v>
      </c>
      <c r="DF12" t="s">
        <v>62</v>
      </c>
      <c r="DG12" t="s">
        <v>644</v>
      </c>
      <c r="DH12">
        <v>4138625</v>
      </c>
      <c r="DI12" t="s">
        <v>346</v>
      </c>
      <c r="DJ12">
        <v>0.25</v>
      </c>
      <c r="DK12" t="s">
        <v>50</v>
      </c>
      <c r="DL12" t="s">
        <v>1255</v>
      </c>
      <c r="DM12">
        <v>4840598</v>
      </c>
      <c r="DN12" t="s">
        <v>346</v>
      </c>
      <c r="DO12">
        <v>2.0099999999999998</v>
      </c>
      <c r="DP12" t="s">
        <v>62</v>
      </c>
      <c r="DU12" t="s">
        <v>306</v>
      </c>
      <c r="DV12" t="s">
        <v>1115</v>
      </c>
      <c r="DW12">
        <v>4140101</v>
      </c>
      <c r="DX12" t="s">
        <v>363</v>
      </c>
      <c r="DY12">
        <v>0.08</v>
      </c>
      <c r="DZ12" t="s">
        <v>321</v>
      </c>
      <c r="EA12" t="s">
        <v>441</v>
      </c>
      <c r="EB12">
        <v>4153483</v>
      </c>
      <c r="EC12" t="s">
        <v>363</v>
      </c>
      <c r="ED12">
        <v>0.77</v>
      </c>
      <c r="EE12" t="s">
        <v>80</v>
      </c>
      <c r="EF12" t="s">
        <v>1255</v>
      </c>
      <c r="EG12">
        <v>4840598</v>
      </c>
      <c r="EH12" t="s">
        <v>346</v>
      </c>
      <c r="EI12">
        <v>2.0099999999999998</v>
      </c>
      <c r="EJ12" t="s">
        <v>62</v>
      </c>
      <c r="EK12" t="s">
        <v>644</v>
      </c>
      <c r="EL12">
        <v>4138625</v>
      </c>
      <c r="EM12" t="s">
        <v>346</v>
      </c>
      <c r="EN12">
        <v>0.25</v>
      </c>
      <c r="EO12" t="s">
        <v>50</v>
      </c>
      <c r="EP12" t="s">
        <v>2131</v>
      </c>
      <c r="EQ12">
        <v>4303210</v>
      </c>
      <c r="ER12" t="s">
        <v>362</v>
      </c>
      <c r="ES12">
        <v>0.49</v>
      </c>
      <c r="ET12" t="s">
        <v>50</v>
      </c>
      <c r="EY12" t="s">
        <v>306</v>
      </c>
      <c r="EZ12" t="s">
        <v>1915</v>
      </c>
      <c r="FA12">
        <v>4524653</v>
      </c>
      <c r="FB12" t="s">
        <v>370</v>
      </c>
      <c r="FC12">
        <v>0.08</v>
      </c>
      <c r="FD12" t="s">
        <v>128</v>
      </c>
      <c r="FE12" t="s">
        <v>2148</v>
      </c>
      <c r="FF12">
        <v>6546499</v>
      </c>
      <c r="FG12" t="s">
        <v>690</v>
      </c>
      <c r="FH12">
        <v>1.4</v>
      </c>
      <c r="FI12" t="s">
        <v>304</v>
      </c>
      <c r="FJ12" t="s">
        <v>429</v>
      </c>
      <c r="FK12">
        <v>4607441</v>
      </c>
      <c r="FL12" t="s">
        <v>346</v>
      </c>
      <c r="FM12">
        <v>1.69</v>
      </c>
      <c r="FN12" t="s">
        <v>304</v>
      </c>
      <c r="FO12" t="s">
        <v>644</v>
      </c>
      <c r="FP12">
        <v>4138625</v>
      </c>
      <c r="FQ12" t="s">
        <v>346</v>
      </c>
      <c r="FR12">
        <v>0.25</v>
      </c>
      <c r="FS12" t="s">
        <v>50</v>
      </c>
      <c r="FT12" t="s">
        <v>378</v>
      </c>
      <c r="FU12">
        <v>4048184</v>
      </c>
      <c r="FV12" t="s">
        <v>346</v>
      </c>
      <c r="FW12">
        <v>0.61</v>
      </c>
      <c r="FX12" t="s">
        <v>80</v>
      </c>
      <c r="FY12" t="s">
        <v>1255</v>
      </c>
      <c r="FZ12">
        <v>4840598</v>
      </c>
      <c r="GA12" t="s">
        <v>346</v>
      </c>
      <c r="GB12">
        <v>2.0099999999999998</v>
      </c>
      <c r="GC12" t="s">
        <v>62</v>
      </c>
      <c r="GD12" t="s">
        <v>1915</v>
      </c>
      <c r="GE12">
        <v>4524653</v>
      </c>
      <c r="GF12" t="s">
        <v>370</v>
      </c>
      <c r="GG12">
        <v>0.08</v>
      </c>
      <c r="GH12" t="s">
        <v>128</v>
      </c>
      <c r="GI12" t="s">
        <v>2148</v>
      </c>
      <c r="GJ12">
        <v>6546499</v>
      </c>
      <c r="GK12" t="s">
        <v>690</v>
      </c>
      <c r="GL12">
        <v>1.4</v>
      </c>
      <c r="GM12" t="s">
        <v>304</v>
      </c>
      <c r="GN12" t="s">
        <v>429</v>
      </c>
      <c r="GO12">
        <v>4607441</v>
      </c>
      <c r="GP12" t="s">
        <v>346</v>
      </c>
      <c r="GQ12">
        <v>1.69</v>
      </c>
      <c r="GR12" t="s">
        <v>304</v>
      </c>
      <c r="GS12" t="s">
        <v>638</v>
      </c>
      <c r="GT12">
        <v>4137668</v>
      </c>
      <c r="GU12" t="s">
        <v>346</v>
      </c>
      <c r="GV12">
        <v>0.3</v>
      </c>
      <c r="GW12" t="s">
        <v>50</v>
      </c>
      <c r="GX12" t="s">
        <v>441</v>
      </c>
      <c r="GY12">
        <v>4153483</v>
      </c>
      <c r="GZ12" t="s">
        <v>363</v>
      </c>
      <c r="HA12">
        <v>0.77</v>
      </c>
      <c r="HB12" t="s">
        <v>80</v>
      </c>
      <c r="HC12" t="s">
        <v>2176</v>
      </c>
      <c r="HD12">
        <v>4414357</v>
      </c>
      <c r="HE12" t="s">
        <v>370</v>
      </c>
      <c r="HF12">
        <v>0.03</v>
      </c>
      <c r="HG12" t="s">
        <v>125</v>
      </c>
    </row>
    <row r="13" spans="1:215" x14ac:dyDescent="0.35">
      <c r="A13" t="s">
        <v>355</v>
      </c>
      <c r="B13">
        <v>111074</v>
      </c>
      <c r="C13" t="s">
        <v>346</v>
      </c>
      <c r="D13">
        <v>0.03</v>
      </c>
      <c r="E13" t="s">
        <v>53</v>
      </c>
      <c r="F13" t="s">
        <v>374</v>
      </c>
      <c r="G13">
        <v>4138467</v>
      </c>
      <c r="H13" t="s">
        <v>362</v>
      </c>
      <c r="I13">
        <v>1.33</v>
      </c>
      <c r="J13" t="s">
        <v>375</v>
      </c>
      <c r="K13" t="s">
        <v>385</v>
      </c>
      <c r="L13">
        <v>5752504</v>
      </c>
      <c r="M13" t="s">
        <v>346</v>
      </c>
      <c r="N13">
        <v>0.28999999999999998</v>
      </c>
      <c r="O13" t="s">
        <v>53</v>
      </c>
      <c r="T13" t="s">
        <v>306</v>
      </c>
      <c r="U13" t="s">
        <v>433</v>
      </c>
      <c r="V13">
        <v>3000896</v>
      </c>
      <c r="W13" t="s">
        <v>346</v>
      </c>
      <c r="X13">
        <v>0.94</v>
      </c>
      <c r="Y13" t="s">
        <v>53</v>
      </c>
      <c r="Z13" t="s">
        <v>385</v>
      </c>
      <c r="AA13">
        <v>5752504</v>
      </c>
      <c r="AB13" t="s">
        <v>346</v>
      </c>
      <c r="AC13">
        <v>0.28999999999999998</v>
      </c>
      <c r="AD13" t="s">
        <v>53</v>
      </c>
      <c r="AE13" t="s">
        <v>1108</v>
      </c>
      <c r="AF13">
        <v>4139328</v>
      </c>
      <c r="AG13" t="s">
        <v>346</v>
      </c>
      <c r="AH13">
        <v>0.93</v>
      </c>
      <c r="AI13" t="s">
        <v>2184</v>
      </c>
      <c r="AJ13" t="s">
        <v>355</v>
      </c>
      <c r="AK13">
        <v>111074</v>
      </c>
      <c r="AL13" t="s">
        <v>346</v>
      </c>
      <c r="AM13">
        <v>0.03</v>
      </c>
      <c r="AN13" t="s">
        <v>53</v>
      </c>
      <c r="AO13" t="s">
        <v>351</v>
      </c>
      <c r="AP13">
        <v>111289</v>
      </c>
      <c r="AQ13" t="s">
        <v>346</v>
      </c>
      <c r="AR13">
        <v>1</v>
      </c>
      <c r="AS13" t="s">
        <v>53</v>
      </c>
      <c r="AT13" t="s">
        <v>355</v>
      </c>
      <c r="AU13">
        <v>111074</v>
      </c>
      <c r="AV13" t="s">
        <v>346</v>
      </c>
      <c r="AW13">
        <v>0.03</v>
      </c>
      <c r="AX13" t="s">
        <v>53</v>
      </c>
      <c r="AY13" t="s">
        <v>953</v>
      </c>
      <c r="AZ13">
        <v>4039450</v>
      </c>
      <c r="BA13" t="s">
        <v>346</v>
      </c>
      <c r="BB13">
        <v>0.7</v>
      </c>
      <c r="BC13" t="s">
        <v>53</v>
      </c>
      <c r="BD13" t="s">
        <v>1390</v>
      </c>
      <c r="BE13">
        <v>4658924</v>
      </c>
      <c r="BF13" t="s">
        <v>1554</v>
      </c>
      <c r="BG13">
        <v>1.77</v>
      </c>
      <c r="BH13" t="s">
        <v>62</v>
      </c>
      <c r="BI13" t="s">
        <v>399</v>
      </c>
      <c r="BJ13">
        <v>4026948</v>
      </c>
      <c r="BK13" t="s">
        <v>346</v>
      </c>
      <c r="BL13">
        <v>1.39</v>
      </c>
      <c r="BM13" t="s">
        <v>317</v>
      </c>
      <c r="BN13" t="s">
        <v>644</v>
      </c>
      <c r="BO13">
        <v>4138625</v>
      </c>
      <c r="BP13" t="s">
        <v>346</v>
      </c>
      <c r="BQ13">
        <v>0.28999999999999998</v>
      </c>
      <c r="BR13" t="s">
        <v>50</v>
      </c>
      <c r="BS13" t="s">
        <v>944</v>
      </c>
      <c r="BT13">
        <v>4045729</v>
      </c>
      <c r="BU13" t="s">
        <v>367</v>
      </c>
      <c r="BV13">
        <v>0.9</v>
      </c>
      <c r="BW13" t="s">
        <v>304</v>
      </c>
      <c r="BX13" t="s">
        <v>433</v>
      </c>
      <c r="BY13">
        <v>3000896</v>
      </c>
      <c r="BZ13" t="s">
        <v>346</v>
      </c>
      <c r="CA13">
        <v>0.94</v>
      </c>
      <c r="CB13" t="s">
        <v>53</v>
      </c>
      <c r="CC13" t="s">
        <v>546</v>
      </c>
      <c r="CD13">
        <v>4158830</v>
      </c>
      <c r="CE13" t="s">
        <v>346</v>
      </c>
      <c r="CF13">
        <v>0.71</v>
      </c>
      <c r="CG13" t="s">
        <v>53</v>
      </c>
      <c r="CH13" t="s">
        <v>351</v>
      </c>
      <c r="CI13">
        <v>111289</v>
      </c>
      <c r="CJ13" t="s">
        <v>346</v>
      </c>
      <c r="CK13">
        <v>1</v>
      </c>
      <c r="CL13" t="s">
        <v>53</v>
      </c>
      <c r="CM13" t="s">
        <v>496</v>
      </c>
      <c r="CN13">
        <v>110495</v>
      </c>
      <c r="CO13" t="s">
        <v>346</v>
      </c>
      <c r="CP13">
        <v>1.27</v>
      </c>
      <c r="CQ13" t="s">
        <v>53</v>
      </c>
      <c r="CR13" t="s">
        <v>700</v>
      </c>
      <c r="CS13" t="s">
        <v>300</v>
      </c>
      <c r="CT13" t="s">
        <v>361</v>
      </c>
      <c r="CU13">
        <v>0.02</v>
      </c>
      <c r="CV13" t="s">
        <v>50</v>
      </c>
      <c r="CW13" t="s">
        <v>642</v>
      </c>
      <c r="CX13">
        <v>5762318</v>
      </c>
      <c r="CY13" t="s">
        <v>346</v>
      </c>
      <c r="CZ13">
        <v>0.22</v>
      </c>
      <c r="DA13" t="s">
        <v>50</v>
      </c>
      <c r="DB13" t="s">
        <v>1390</v>
      </c>
      <c r="DC13">
        <v>4658924</v>
      </c>
      <c r="DD13" t="s">
        <v>1554</v>
      </c>
      <c r="DE13">
        <v>1.77</v>
      </c>
      <c r="DF13" t="s">
        <v>62</v>
      </c>
      <c r="DG13" t="s">
        <v>642</v>
      </c>
      <c r="DH13">
        <v>5762318</v>
      </c>
      <c r="DI13" t="s">
        <v>346</v>
      </c>
      <c r="DJ13">
        <v>0.22</v>
      </c>
      <c r="DK13" t="s">
        <v>50</v>
      </c>
      <c r="DL13" t="s">
        <v>1390</v>
      </c>
      <c r="DM13">
        <v>4658924</v>
      </c>
      <c r="DN13" t="s">
        <v>1554</v>
      </c>
      <c r="DO13">
        <v>1.77</v>
      </c>
      <c r="DP13" t="s">
        <v>62</v>
      </c>
      <c r="DU13" t="s">
        <v>306</v>
      </c>
      <c r="DV13" t="s">
        <v>466</v>
      </c>
      <c r="DW13">
        <v>111267</v>
      </c>
      <c r="DX13" t="s">
        <v>346</v>
      </c>
      <c r="DY13">
        <v>7.0000000000000007E-2</v>
      </c>
      <c r="DZ13" t="s">
        <v>313</v>
      </c>
      <c r="EA13" t="s">
        <v>546</v>
      </c>
      <c r="EB13">
        <v>4158830</v>
      </c>
      <c r="EC13" t="s">
        <v>346</v>
      </c>
      <c r="ED13">
        <v>0.71</v>
      </c>
      <c r="EE13" t="s">
        <v>53</v>
      </c>
      <c r="EF13" t="s">
        <v>1390</v>
      </c>
      <c r="EG13">
        <v>4658924</v>
      </c>
      <c r="EH13" t="s">
        <v>1554</v>
      </c>
      <c r="EI13">
        <v>1.77</v>
      </c>
      <c r="EJ13" t="s">
        <v>62</v>
      </c>
      <c r="EK13" t="s">
        <v>642</v>
      </c>
      <c r="EL13">
        <v>5762318</v>
      </c>
      <c r="EM13" t="s">
        <v>346</v>
      </c>
      <c r="EN13">
        <v>0.22</v>
      </c>
      <c r="EO13" t="s">
        <v>50</v>
      </c>
      <c r="EP13" t="s">
        <v>642</v>
      </c>
      <c r="EQ13">
        <v>5762318</v>
      </c>
      <c r="ER13" t="s">
        <v>346</v>
      </c>
      <c r="ES13">
        <v>0.43</v>
      </c>
      <c r="ET13" t="s">
        <v>50</v>
      </c>
      <c r="EY13" t="s">
        <v>306</v>
      </c>
      <c r="EZ13" t="s">
        <v>436</v>
      </c>
      <c r="FA13">
        <v>111219</v>
      </c>
      <c r="FB13" t="s">
        <v>346</v>
      </c>
      <c r="FC13">
        <v>0.05</v>
      </c>
      <c r="FD13" t="s">
        <v>53</v>
      </c>
      <c r="FE13" t="s">
        <v>385</v>
      </c>
      <c r="FF13">
        <v>5752504</v>
      </c>
      <c r="FG13" t="s">
        <v>346</v>
      </c>
      <c r="FH13">
        <v>0.82</v>
      </c>
      <c r="FI13" t="s">
        <v>53</v>
      </c>
      <c r="FJ13" t="s">
        <v>2155</v>
      </c>
      <c r="FK13">
        <v>4183854</v>
      </c>
      <c r="FL13" t="s">
        <v>366</v>
      </c>
      <c r="FM13">
        <v>1.53</v>
      </c>
      <c r="FN13" t="s">
        <v>304</v>
      </c>
      <c r="FO13" t="s">
        <v>642</v>
      </c>
      <c r="FP13">
        <v>5762318</v>
      </c>
      <c r="FQ13" t="s">
        <v>346</v>
      </c>
      <c r="FR13">
        <v>0.22</v>
      </c>
      <c r="FS13" t="s">
        <v>50</v>
      </c>
      <c r="FT13" t="s">
        <v>353</v>
      </c>
      <c r="FU13">
        <v>4048287</v>
      </c>
      <c r="FV13" t="s">
        <v>346</v>
      </c>
      <c r="FW13">
        <v>0.54</v>
      </c>
      <c r="FX13" t="s">
        <v>53</v>
      </c>
      <c r="FY13" t="s">
        <v>1390</v>
      </c>
      <c r="FZ13">
        <v>4658924</v>
      </c>
      <c r="GA13" t="s">
        <v>1554</v>
      </c>
      <c r="GB13">
        <v>1.77</v>
      </c>
      <c r="GC13" t="s">
        <v>62</v>
      </c>
      <c r="GD13" t="s">
        <v>436</v>
      </c>
      <c r="GE13">
        <v>111219</v>
      </c>
      <c r="GF13" t="s">
        <v>346</v>
      </c>
      <c r="GG13">
        <v>0.05</v>
      </c>
      <c r="GH13" t="s">
        <v>53</v>
      </c>
      <c r="GI13" t="s">
        <v>385</v>
      </c>
      <c r="GJ13">
        <v>5752504</v>
      </c>
      <c r="GK13" t="s">
        <v>346</v>
      </c>
      <c r="GL13">
        <v>0.82</v>
      </c>
      <c r="GM13" t="s">
        <v>53</v>
      </c>
      <c r="GN13" t="s">
        <v>2155</v>
      </c>
      <c r="GO13">
        <v>4183854</v>
      </c>
      <c r="GP13" t="s">
        <v>366</v>
      </c>
      <c r="GQ13">
        <v>1.53</v>
      </c>
      <c r="GR13" t="s">
        <v>304</v>
      </c>
      <c r="GS13" t="s">
        <v>644</v>
      </c>
      <c r="GT13">
        <v>4138625</v>
      </c>
      <c r="GU13" t="s">
        <v>346</v>
      </c>
      <c r="GV13">
        <v>0.28999999999999998</v>
      </c>
      <c r="GW13" t="s">
        <v>50</v>
      </c>
      <c r="GX13" t="s">
        <v>546</v>
      </c>
      <c r="GY13">
        <v>4158830</v>
      </c>
      <c r="GZ13" t="s">
        <v>346</v>
      </c>
      <c r="HA13">
        <v>0.71</v>
      </c>
      <c r="HB13" t="s">
        <v>53</v>
      </c>
      <c r="HC13" t="s">
        <v>2177</v>
      </c>
      <c r="HD13">
        <v>5710982</v>
      </c>
      <c r="HE13" t="s">
        <v>370</v>
      </c>
      <c r="HF13">
        <v>0.02</v>
      </c>
      <c r="HG13" t="s">
        <v>125</v>
      </c>
    </row>
    <row r="14" spans="1:215" x14ac:dyDescent="0.35">
      <c r="A14" t="s">
        <v>356</v>
      </c>
      <c r="B14">
        <v>4578944</v>
      </c>
      <c r="C14" t="s">
        <v>346</v>
      </c>
      <c r="D14">
        <v>0.03</v>
      </c>
      <c r="E14" t="s">
        <v>125</v>
      </c>
      <c r="F14" t="s">
        <v>427</v>
      </c>
      <c r="G14">
        <v>4211060</v>
      </c>
      <c r="H14" t="s">
        <v>634</v>
      </c>
      <c r="I14">
        <v>1.26</v>
      </c>
      <c r="J14" t="s">
        <v>304</v>
      </c>
      <c r="K14" t="s">
        <v>638</v>
      </c>
      <c r="L14">
        <v>4137668</v>
      </c>
      <c r="M14" t="s">
        <v>346</v>
      </c>
      <c r="N14">
        <v>0.28999999999999998</v>
      </c>
      <c r="O14" t="s">
        <v>50</v>
      </c>
      <c r="T14" t="s">
        <v>306</v>
      </c>
      <c r="U14" t="s">
        <v>379</v>
      </c>
      <c r="V14">
        <v>137764443</v>
      </c>
      <c r="W14" t="s">
        <v>346</v>
      </c>
      <c r="X14">
        <v>0.93</v>
      </c>
      <c r="Y14" t="s">
        <v>53</v>
      </c>
      <c r="Z14" t="s">
        <v>638</v>
      </c>
      <c r="AA14">
        <v>4137668</v>
      </c>
      <c r="AB14" t="s">
        <v>346</v>
      </c>
      <c r="AC14">
        <v>0.28999999999999998</v>
      </c>
      <c r="AD14" t="s">
        <v>50</v>
      </c>
      <c r="AE14" t="s">
        <v>385</v>
      </c>
      <c r="AF14">
        <v>5752504</v>
      </c>
      <c r="AG14" t="s">
        <v>346</v>
      </c>
      <c r="AH14">
        <v>0.7</v>
      </c>
      <c r="AI14" t="s">
        <v>53</v>
      </c>
      <c r="AJ14" t="s">
        <v>356</v>
      </c>
      <c r="AK14">
        <v>4578944</v>
      </c>
      <c r="AL14" t="s">
        <v>346</v>
      </c>
      <c r="AM14">
        <v>0.03</v>
      </c>
      <c r="AN14" t="s">
        <v>125</v>
      </c>
      <c r="AO14" t="s">
        <v>385</v>
      </c>
      <c r="AP14">
        <v>5752504</v>
      </c>
      <c r="AQ14" t="s">
        <v>346</v>
      </c>
      <c r="AR14">
        <v>0.86</v>
      </c>
      <c r="AS14" t="s">
        <v>53</v>
      </c>
      <c r="AT14" t="s">
        <v>356</v>
      </c>
      <c r="AU14">
        <v>4578944</v>
      </c>
      <c r="AV14" t="s">
        <v>346</v>
      </c>
      <c r="AW14">
        <v>0.03</v>
      </c>
      <c r="AX14" t="s">
        <v>125</v>
      </c>
      <c r="AY14" t="s">
        <v>788</v>
      </c>
      <c r="AZ14">
        <v>4592065</v>
      </c>
      <c r="BA14" t="s">
        <v>346</v>
      </c>
      <c r="BB14">
        <v>0.62</v>
      </c>
      <c r="BC14" t="s">
        <v>50</v>
      </c>
      <c r="BD14" t="s">
        <v>1001</v>
      </c>
      <c r="BE14">
        <v>109692</v>
      </c>
      <c r="BF14" t="s">
        <v>346</v>
      </c>
      <c r="BG14">
        <v>1.67</v>
      </c>
      <c r="BH14" t="s">
        <v>53</v>
      </c>
      <c r="BI14" t="s">
        <v>351</v>
      </c>
      <c r="BJ14">
        <v>111289</v>
      </c>
      <c r="BK14" t="s">
        <v>346</v>
      </c>
      <c r="BL14">
        <v>1.38</v>
      </c>
      <c r="BM14" t="s">
        <v>53</v>
      </c>
      <c r="BN14" t="s">
        <v>642</v>
      </c>
      <c r="BO14">
        <v>5762318</v>
      </c>
      <c r="BP14" t="s">
        <v>346</v>
      </c>
      <c r="BQ14">
        <v>0.26</v>
      </c>
      <c r="BR14" t="s">
        <v>50</v>
      </c>
      <c r="BS14" t="s">
        <v>353</v>
      </c>
      <c r="BT14">
        <v>4048287</v>
      </c>
      <c r="BU14" t="s">
        <v>346</v>
      </c>
      <c r="BV14">
        <v>0.83</v>
      </c>
      <c r="BW14" t="s">
        <v>53</v>
      </c>
      <c r="BX14" t="s">
        <v>379</v>
      </c>
      <c r="BY14">
        <v>137764443</v>
      </c>
      <c r="BZ14" t="s">
        <v>346</v>
      </c>
      <c r="CA14">
        <v>0.93</v>
      </c>
      <c r="CB14" t="s">
        <v>53</v>
      </c>
      <c r="CC14" t="s">
        <v>385</v>
      </c>
      <c r="CD14">
        <v>5752504</v>
      </c>
      <c r="CE14" t="s">
        <v>346</v>
      </c>
      <c r="CF14">
        <v>0.71</v>
      </c>
      <c r="CG14" t="s">
        <v>53</v>
      </c>
      <c r="CH14" t="s">
        <v>385</v>
      </c>
      <c r="CI14">
        <v>5752504</v>
      </c>
      <c r="CJ14" t="s">
        <v>346</v>
      </c>
      <c r="CK14">
        <v>0.86</v>
      </c>
      <c r="CL14" t="s">
        <v>53</v>
      </c>
      <c r="CM14" t="s">
        <v>859</v>
      </c>
      <c r="CN14">
        <v>4049161</v>
      </c>
      <c r="CO14" t="s">
        <v>346</v>
      </c>
      <c r="CP14">
        <v>1.26</v>
      </c>
      <c r="CQ14" t="s">
        <v>53</v>
      </c>
      <c r="CR14" t="s">
        <v>701</v>
      </c>
      <c r="CS14" t="s">
        <v>300</v>
      </c>
      <c r="CT14" t="s">
        <v>361</v>
      </c>
      <c r="CU14">
        <v>0.02</v>
      </c>
      <c r="CV14" t="s">
        <v>50</v>
      </c>
      <c r="CW14" t="s">
        <v>352</v>
      </c>
      <c r="CX14">
        <v>4143440</v>
      </c>
      <c r="CY14" t="s">
        <v>346</v>
      </c>
      <c r="CZ14">
        <v>0.06</v>
      </c>
      <c r="DA14" t="s">
        <v>53</v>
      </c>
      <c r="DB14" t="s">
        <v>1001</v>
      </c>
      <c r="DC14">
        <v>109692</v>
      </c>
      <c r="DD14" t="s">
        <v>346</v>
      </c>
      <c r="DE14">
        <v>1.67</v>
      </c>
      <c r="DF14" t="s">
        <v>53</v>
      </c>
      <c r="DG14" t="s">
        <v>352</v>
      </c>
      <c r="DH14">
        <v>4143440</v>
      </c>
      <c r="DI14" t="s">
        <v>346</v>
      </c>
      <c r="DJ14">
        <v>0.06</v>
      </c>
      <c r="DK14" t="s">
        <v>53</v>
      </c>
      <c r="DL14" t="s">
        <v>1001</v>
      </c>
      <c r="DM14">
        <v>109692</v>
      </c>
      <c r="DN14" t="s">
        <v>346</v>
      </c>
      <c r="DO14">
        <v>1.67</v>
      </c>
      <c r="DP14" t="s">
        <v>53</v>
      </c>
      <c r="DU14" t="s">
        <v>306</v>
      </c>
      <c r="DV14" t="s">
        <v>355</v>
      </c>
      <c r="DW14">
        <v>111074</v>
      </c>
      <c r="DX14" t="s">
        <v>346</v>
      </c>
      <c r="DY14">
        <v>0.06</v>
      </c>
      <c r="DZ14" t="s">
        <v>53</v>
      </c>
      <c r="EA14" t="s">
        <v>385</v>
      </c>
      <c r="EB14">
        <v>5752504</v>
      </c>
      <c r="EC14" t="s">
        <v>346</v>
      </c>
      <c r="ED14">
        <v>0.71</v>
      </c>
      <c r="EE14" t="s">
        <v>53</v>
      </c>
      <c r="EF14" t="s">
        <v>1001</v>
      </c>
      <c r="EG14">
        <v>109692</v>
      </c>
      <c r="EH14" t="s">
        <v>346</v>
      </c>
      <c r="EI14">
        <v>1.67</v>
      </c>
      <c r="EJ14" t="s">
        <v>53</v>
      </c>
      <c r="EK14" t="s">
        <v>352</v>
      </c>
      <c r="EL14">
        <v>4143440</v>
      </c>
      <c r="EM14" t="s">
        <v>346</v>
      </c>
      <c r="EN14">
        <v>0.06</v>
      </c>
      <c r="EO14" t="s">
        <v>53</v>
      </c>
      <c r="EP14" t="s">
        <v>551</v>
      </c>
      <c r="EQ14">
        <v>4137681</v>
      </c>
      <c r="ER14" t="s">
        <v>346</v>
      </c>
      <c r="ES14">
        <v>0.41</v>
      </c>
      <c r="ET14" t="s">
        <v>50</v>
      </c>
      <c r="EY14" t="s">
        <v>306</v>
      </c>
      <c r="EZ14" t="s">
        <v>1916</v>
      </c>
      <c r="FA14" t="s">
        <v>300</v>
      </c>
      <c r="FB14" t="s">
        <v>361</v>
      </c>
      <c r="FC14">
        <v>0.05</v>
      </c>
      <c r="FD14" t="s">
        <v>50</v>
      </c>
      <c r="FE14" t="s">
        <v>429</v>
      </c>
      <c r="FF14">
        <v>4607441</v>
      </c>
      <c r="FG14" t="s">
        <v>346</v>
      </c>
      <c r="FH14">
        <v>0.7</v>
      </c>
      <c r="FI14" t="s">
        <v>304</v>
      </c>
      <c r="FJ14" t="s">
        <v>351</v>
      </c>
      <c r="FK14">
        <v>111289</v>
      </c>
      <c r="FL14" t="s">
        <v>346</v>
      </c>
      <c r="FM14">
        <v>1.37</v>
      </c>
      <c r="FN14" t="s">
        <v>53</v>
      </c>
      <c r="FO14" t="s">
        <v>352</v>
      </c>
      <c r="FP14">
        <v>4143440</v>
      </c>
      <c r="FQ14" t="s">
        <v>346</v>
      </c>
      <c r="FR14">
        <v>0.06</v>
      </c>
      <c r="FS14" t="s">
        <v>53</v>
      </c>
      <c r="FT14" t="s">
        <v>379</v>
      </c>
      <c r="FU14">
        <v>137764443</v>
      </c>
      <c r="FV14" t="s">
        <v>346</v>
      </c>
      <c r="FW14">
        <v>0.53</v>
      </c>
      <c r="FX14" t="s">
        <v>53</v>
      </c>
      <c r="FY14" t="s">
        <v>1001</v>
      </c>
      <c r="FZ14">
        <v>109692</v>
      </c>
      <c r="GA14" t="s">
        <v>346</v>
      </c>
      <c r="GB14">
        <v>1.67</v>
      </c>
      <c r="GC14" t="s">
        <v>53</v>
      </c>
      <c r="GD14" t="s">
        <v>1916</v>
      </c>
      <c r="GE14" t="s">
        <v>300</v>
      </c>
      <c r="GF14" t="s">
        <v>361</v>
      </c>
      <c r="GG14">
        <v>0.05</v>
      </c>
      <c r="GH14" t="s">
        <v>50</v>
      </c>
      <c r="GI14" t="s">
        <v>429</v>
      </c>
      <c r="GJ14">
        <v>4607441</v>
      </c>
      <c r="GK14" t="s">
        <v>346</v>
      </c>
      <c r="GL14">
        <v>0.7</v>
      </c>
      <c r="GM14" t="s">
        <v>304</v>
      </c>
      <c r="GN14" t="s">
        <v>351</v>
      </c>
      <c r="GO14">
        <v>111289</v>
      </c>
      <c r="GP14" t="s">
        <v>346</v>
      </c>
      <c r="GQ14">
        <v>1.37</v>
      </c>
      <c r="GR14" t="s">
        <v>53</v>
      </c>
      <c r="GS14" t="s">
        <v>642</v>
      </c>
      <c r="GT14">
        <v>5762318</v>
      </c>
      <c r="GU14" t="s">
        <v>346</v>
      </c>
      <c r="GV14">
        <v>0.26</v>
      </c>
      <c r="GW14" t="s">
        <v>50</v>
      </c>
      <c r="GX14" t="s">
        <v>385</v>
      </c>
      <c r="GY14">
        <v>5752504</v>
      </c>
      <c r="GZ14" t="s">
        <v>346</v>
      </c>
      <c r="HA14">
        <v>0.71</v>
      </c>
      <c r="HB14" t="s">
        <v>53</v>
      </c>
      <c r="HC14" t="s">
        <v>2178</v>
      </c>
      <c r="HD14">
        <v>6840063</v>
      </c>
      <c r="HE14" t="s">
        <v>366</v>
      </c>
      <c r="HF14">
        <v>0.02</v>
      </c>
      <c r="HG14" t="s">
        <v>125</v>
      </c>
    </row>
    <row r="15" spans="1:215" x14ac:dyDescent="0.35">
      <c r="A15" t="s">
        <v>357</v>
      </c>
      <c r="B15">
        <v>4270330</v>
      </c>
      <c r="C15" t="s">
        <v>346</v>
      </c>
      <c r="D15">
        <v>0.02</v>
      </c>
      <c r="E15" t="s">
        <v>53</v>
      </c>
      <c r="F15" t="s">
        <v>428</v>
      </c>
      <c r="G15">
        <v>4116134</v>
      </c>
      <c r="H15" t="s">
        <v>346</v>
      </c>
      <c r="I15">
        <v>1.25</v>
      </c>
      <c r="J15" t="s">
        <v>304</v>
      </c>
      <c r="K15" t="s">
        <v>639</v>
      </c>
      <c r="L15">
        <v>4139311</v>
      </c>
      <c r="M15" t="s">
        <v>346</v>
      </c>
      <c r="N15">
        <v>0.23</v>
      </c>
      <c r="O15" t="s">
        <v>50</v>
      </c>
      <c r="T15" t="s">
        <v>306</v>
      </c>
      <c r="U15" t="s">
        <v>710</v>
      </c>
      <c r="V15">
        <v>4559567</v>
      </c>
      <c r="W15" t="s">
        <v>346</v>
      </c>
      <c r="X15">
        <v>0.76</v>
      </c>
      <c r="Y15" t="s">
        <v>50</v>
      </c>
      <c r="Z15" t="s">
        <v>639</v>
      </c>
      <c r="AA15">
        <v>4139311</v>
      </c>
      <c r="AB15" t="s">
        <v>346</v>
      </c>
      <c r="AC15">
        <v>0.23</v>
      </c>
      <c r="AD15" t="s">
        <v>50</v>
      </c>
      <c r="AE15" t="s">
        <v>552</v>
      </c>
      <c r="AF15">
        <v>4026973</v>
      </c>
      <c r="AG15" t="s">
        <v>346</v>
      </c>
      <c r="AH15">
        <v>0.69</v>
      </c>
      <c r="AI15" t="s">
        <v>313</v>
      </c>
      <c r="AJ15" t="s">
        <v>357</v>
      </c>
      <c r="AK15">
        <v>4270330</v>
      </c>
      <c r="AL15" t="s">
        <v>346</v>
      </c>
      <c r="AM15">
        <v>0.02</v>
      </c>
      <c r="AN15" t="s">
        <v>53</v>
      </c>
      <c r="AO15" t="s">
        <v>552</v>
      </c>
      <c r="AP15">
        <v>4026973</v>
      </c>
      <c r="AQ15" t="s">
        <v>346</v>
      </c>
      <c r="AR15">
        <v>0.83</v>
      </c>
      <c r="AS15" t="s">
        <v>313</v>
      </c>
      <c r="AT15" t="s">
        <v>357</v>
      </c>
      <c r="AU15">
        <v>4270330</v>
      </c>
      <c r="AV15" t="s">
        <v>346</v>
      </c>
      <c r="AW15">
        <v>0.02</v>
      </c>
      <c r="AX15" t="s">
        <v>53</v>
      </c>
      <c r="AY15" t="s">
        <v>723</v>
      </c>
      <c r="AZ15">
        <v>4536183</v>
      </c>
      <c r="BA15" t="s">
        <v>346</v>
      </c>
      <c r="BB15">
        <v>0.6</v>
      </c>
      <c r="BC15" t="s">
        <v>50</v>
      </c>
      <c r="BD15" t="s">
        <v>393</v>
      </c>
      <c r="BE15">
        <v>4723508</v>
      </c>
      <c r="BF15" t="s">
        <v>346</v>
      </c>
      <c r="BG15">
        <v>1.27</v>
      </c>
      <c r="BH15" t="s">
        <v>313</v>
      </c>
      <c r="BI15" t="s">
        <v>978</v>
      </c>
      <c r="BJ15">
        <v>4224292</v>
      </c>
      <c r="BK15" t="s">
        <v>346</v>
      </c>
      <c r="BL15">
        <v>1.23</v>
      </c>
      <c r="BM15" t="s">
        <v>2185</v>
      </c>
      <c r="BN15" t="s">
        <v>399</v>
      </c>
      <c r="BO15">
        <v>4026948</v>
      </c>
      <c r="BP15" t="s">
        <v>346</v>
      </c>
      <c r="BQ15">
        <v>0.25</v>
      </c>
      <c r="BR15" t="s">
        <v>317</v>
      </c>
      <c r="BS15" t="s">
        <v>552</v>
      </c>
      <c r="BT15">
        <v>4026973</v>
      </c>
      <c r="BU15" t="s">
        <v>346</v>
      </c>
      <c r="BV15">
        <v>0.77</v>
      </c>
      <c r="BW15" t="s">
        <v>313</v>
      </c>
      <c r="BX15" t="s">
        <v>710</v>
      </c>
      <c r="BY15">
        <v>4559567</v>
      </c>
      <c r="BZ15" t="s">
        <v>346</v>
      </c>
      <c r="CA15">
        <v>0.76</v>
      </c>
      <c r="CB15" t="s">
        <v>50</v>
      </c>
      <c r="CC15" t="s">
        <v>1612</v>
      </c>
      <c r="CD15">
        <v>4047336</v>
      </c>
      <c r="CE15" t="s">
        <v>346</v>
      </c>
      <c r="CF15">
        <v>0.7</v>
      </c>
      <c r="CG15" t="s">
        <v>114</v>
      </c>
      <c r="CH15" t="s">
        <v>552</v>
      </c>
      <c r="CI15">
        <v>4026973</v>
      </c>
      <c r="CJ15" t="s">
        <v>346</v>
      </c>
      <c r="CK15">
        <v>0.83</v>
      </c>
      <c r="CL15" t="s">
        <v>313</v>
      </c>
      <c r="CM15" t="s">
        <v>1620</v>
      </c>
      <c r="CN15">
        <v>4110297</v>
      </c>
      <c r="CO15" t="s">
        <v>364</v>
      </c>
      <c r="CP15">
        <v>0.89</v>
      </c>
      <c r="CQ15" t="s">
        <v>53</v>
      </c>
      <c r="CR15" t="s">
        <v>702</v>
      </c>
      <c r="CS15" t="s">
        <v>300</v>
      </c>
      <c r="CT15" t="s">
        <v>361</v>
      </c>
      <c r="CU15">
        <v>0</v>
      </c>
      <c r="CV15" t="s">
        <v>50</v>
      </c>
      <c r="CW15" t="s">
        <v>355</v>
      </c>
      <c r="CX15">
        <v>111074</v>
      </c>
      <c r="CY15" t="s">
        <v>346</v>
      </c>
      <c r="CZ15">
        <v>0.06</v>
      </c>
      <c r="DA15" t="s">
        <v>53</v>
      </c>
      <c r="DB15" t="s">
        <v>393</v>
      </c>
      <c r="DC15">
        <v>4723508</v>
      </c>
      <c r="DD15" t="s">
        <v>346</v>
      </c>
      <c r="DE15">
        <v>1.27</v>
      </c>
      <c r="DF15" t="s">
        <v>313</v>
      </c>
      <c r="DG15" t="s">
        <v>355</v>
      </c>
      <c r="DH15">
        <v>111074</v>
      </c>
      <c r="DI15" t="s">
        <v>346</v>
      </c>
      <c r="DJ15">
        <v>0.06</v>
      </c>
      <c r="DK15" t="s">
        <v>53</v>
      </c>
      <c r="DL15" t="s">
        <v>393</v>
      </c>
      <c r="DM15">
        <v>4723508</v>
      </c>
      <c r="DN15" t="s">
        <v>346</v>
      </c>
      <c r="DO15">
        <v>1.27</v>
      </c>
      <c r="DP15" t="s">
        <v>313</v>
      </c>
      <c r="DU15" t="s">
        <v>306</v>
      </c>
      <c r="DV15" t="s">
        <v>1192</v>
      </c>
      <c r="DW15">
        <v>4415847</v>
      </c>
      <c r="DX15" t="s">
        <v>346</v>
      </c>
      <c r="DY15">
        <v>0.05</v>
      </c>
      <c r="DZ15" t="s">
        <v>321</v>
      </c>
      <c r="EA15" t="s">
        <v>1612</v>
      </c>
      <c r="EB15">
        <v>4047336</v>
      </c>
      <c r="EC15" t="s">
        <v>346</v>
      </c>
      <c r="ED15">
        <v>0.7</v>
      </c>
      <c r="EE15" t="s">
        <v>114</v>
      </c>
      <c r="EF15" t="s">
        <v>393</v>
      </c>
      <c r="EG15">
        <v>4723508</v>
      </c>
      <c r="EH15" t="s">
        <v>346</v>
      </c>
      <c r="EI15">
        <v>1.27</v>
      </c>
      <c r="EJ15" t="s">
        <v>313</v>
      </c>
      <c r="EK15" t="s">
        <v>355</v>
      </c>
      <c r="EL15">
        <v>111074</v>
      </c>
      <c r="EM15" t="s">
        <v>346</v>
      </c>
      <c r="EN15">
        <v>0.06</v>
      </c>
      <c r="EO15" t="s">
        <v>53</v>
      </c>
      <c r="EP15" t="s">
        <v>636</v>
      </c>
      <c r="EQ15">
        <v>4139271</v>
      </c>
      <c r="ER15" t="s">
        <v>346</v>
      </c>
      <c r="ES15">
        <v>0.31</v>
      </c>
      <c r="ET15" t="s">
        <v>50</v>
      </c>
      <c r="EY15" t="s">
        <v>306</v>
      </c>
      <c r="EZ15" t="s">
        <v>496</v>
      </c>
      <c r="FA15">
        <v>110495</v>
      </c>
      <c r="FB15" t="s">
        <v>346</v>
      </c>
      <c r="FC15">
        <v>0.04</v>
      </c>
      <c r="FD15" t="s">
        <v>53</v>
      </c>
      <c r="FE15" t="s">
        <v>378</v>
      </c>
      <c r="FF15">
        <v>4048184</v>
      </c>
      <c r="FG15" t="s">
        <v>346</v>
      </c>
      <c r="FH15">
        <v>0.62</v>
      </c>
      <c r="FI15" t="s">
        <v>80</v>
      </c>
      <c r="FJ15" t="s">
        <v>440</v>
      </c>
      <c r="FK15">
        <v>4140078</v>
      </c>
      <c r="FL15" t="s">
        <v>346</v>
      </c>
      <c r="FM15">
        <v>1.28</v>
      </c>
      <c r="FN15" t="s">
        <v>304</v>
      </c>
      <c r="FO15" t="s">
        <v>355</v>
      </c>
      <c r="FP15">
        <v>111074</v>
      </c>
      <c r="FQ15" t="s">
        <v>346</v>
      </c>
      <c r="FR15">
        <v>0.06</v>
      </c>
      <c r="FS15" t="s">
        <v>53</v>
      </c>
      <c r="FT15" t="s">
        <v>351</v>
      </c>
      <c r="FU15">
        <v>111289</v>
      </c>
      <c r="FV15" t="s">
        <v>346</v>
      </c>
      <c r="FW15">
        <v>0.32</v>
      </c>
      <c r="FX15" t="s">
        <v>53</v>
      </c>
      <c r="FY15" t="s">
        <v>393</v>
      </c>
      <c r="FZ15">
        <v>4723508</v>
      </c>
      <c r="GA15" t="s">
        <v>346</v>
      </c>
      <c r="GB15">
        <v>1.27</v>
      </c>
      <c r="GC15" t="s">
        <v>313</v>
      </c>
      <c r="GD15" t="s">
        <v>496</v>
      </c>
      <c r="GE15">
        <v>110495</v>
      </c>
      <c r="GF15" t="s">
        <v>346</v>
      </c>
      <c r="GG15">
        <v>0.04</v>
      </c>
      <c r="GH15" t="s">
        <v>53</v>
      </c>
      <c r="GI15" t="s">
        <v>378</v>
      </c>
      <c r="GJ15">
        <v>4048184</v>
      </c>
      <c r="GK15" t="s">
        <v>346</v>
      </c>
      <c r="GL15">
        <v>0.62</v>
      </c>
      <c r="GM15" t="s">
        <v>80</v>
      </c>
      <c r="GN15" t="s">
        <v>440</v>
      </c>
      <c r="GO15">
        <v>4140078</v>
      </c>
      <c r="GP15" t="s">
        <v>346</v>
      </c>
      <c r="GQ15">
        <v>1.28</v>
      </c>
      <c r="GR15" t="s">
        <v>304</v>
      </c>
      <c r="GS15" t="s">
        <v>399</v>
      </c>
      <c r="GT15">
        <v>4026948</v>
      </c>
      <c r="GU15" t="s">
        <v>346</v>
      </c>
      <c r="GV15">
        <v>0.25</v>
      </c>
      <c r="GW15" t="s">
        <v>317</v>
      </c>
      <c r="GX15" t="s">
        <v>1612</v>
      </c>
      <c r="GY15">
        <v>4047336</v>
      </c>
      <c r="GZ15" t="s">
        <v>346</v>
      </c>
      <c r="HA15">
        <v>0.7</v>
      </c>
      <c r="HB15" t="s">
        <v>114</v>
      </c>
      <c r="HC15" t="s">
        <v>530</v>
      </c>
      <c r="HD15">
        <v>102729</v>
      </c>
      <c r="HE15" t="s">
        <v>346</v>
      </c>
      <c r="HF15">
        <v>0.01</v>
      </c>
      <c r="HG15" t="s">
        <v>53</v>
      </c>
    </row>
    <row r="16" spans="1:215" x14ac:dyDescent="0.35">
      <c r="A16" t="s">
        <v>358</v>
      </c>
      <c r="B16">
        <v>4137806</v>
      </c>
      <c r="C16" t="s">
        <v>346</v>
      </c>
      <c r="D16">
        <v>0.01</v>
      </c>
      <c r="E16" t="s">
        <v>2181</v>
      </c>
      <c r="F16" t="s">
        <v>429</v>
      </c>
      <c r="G16">
        <v>4607441</v>
      </c>
      <c r="H16" t="s">
        <v>346</v>
      </c>
      <c r="I16">
        <v>1.17</v>
      </c>
      <c r="J16" t="s">
        <v>304</v>
      </c>
      <c r="K16" t="s">
        <v>551</v>
      </c>
      <c r="L16">
        <v>4137681</v>
      </c>
      <c r="M16" t="s">
        <v>346</v>
      </c>
      <c r="N16">
        <v>0.21</v>
      </c>
      <c r="O16" t="s">
        <v>50</v>
      </c>
      <c r="T16" t="s">
        <v>306</v>
      </c>
      <c r="U16" t="s">
        <v>711</v>
      </c>
      <c r="V16">
        <v>4236979</v>
      </c>
      <c r="W16" t="s">
        <v>346</v>
      </c>
      <c r="X16">
        <v>0.76</v>
      </c>
      <c r="Y16" t="s">
        <v>50</v>
      </c>
      <c r="Z16" t="s">
        <v>551</v>
      </c>
      <c r="AA16">
        <v>4137681</v>
      </c>
      <c r="AB16" t="s">
        <v>346</v>
      </c>
      <c r="AC16">
        <v>0.21</v>
      </c>
      <c r="AD16" t="s">
        <v>50</v>
      </c>
      <c r="AE16" t="s">
        <v>583</v>
      </c>
      <c r="AF16">
        <v>4579014</v>
      </c>
      <c r="AG16" t="s">
        <v>346</v>
      </c>
      <c r="AH16">
        <v>0.67</v>
      </c>
      <c r="AI16" t="s">
        <v>53</v>
      </c>
      <c r="AJ16" t="s">
        <v>358</v>
      </c>
      <c r="AK16">
        <v>4137806</v>
      </c>
      <c r="AL16" t="s">
        <v>346</v>
      </c>
      <c r="AM16">
        <v>0.01</v>
      </c>
      <c r="AN16" t="s">
        <v>2181</v>
      </c>
      <c r="AO16" t="s">
        <v>576</v>
      </c>
      <c r="AP16">
        <v>4672091</v>
      </c>
      <c r="AQ16" t="s">
        <v>300</v>
      </c>
      <c r="AR16">
        <v>0.81</v>
      </c>
      <c r="AS16" t="s">
        <v>62</v>
      </c>
      <c r="AT16" t="s">
        <v>358</v>
      </c>
      <c r="AU16">
        <v>4137806</v>
      </c>
      <c r="AV16" t="s">
        <v>346</v>
      </c>
      <c r="AW16">
        <v>0.01</v>
      </c>
      <c r="AX16" t="s">
        <v>2181</v>
      </c>
      <c r="AY16" t="s">
        <v>865</v>
      </c>
      <c r="AZ16">
        <v>4669111</v>
      </c>
      <c r="BA16" t="s">
        <v>346</v>
      </c>
      <c r="BB16">
        <v>0.48</v>
      </c>
      <c r="BC16" t="s">
        <v>50</v>
      </c>
      <c r="BD16" t="s">
        <v>406</v>
      </c>
      <c r="BE16">
        <v>4115698</v>
      </c>
      <c r="BF16" t="s">
        <v>346</v>
      </c>
      <c r="BG16">
        <v>1.27</v>
      </c>
      <c r="BH16" t="s">
        <v>313</v>
      </c>
      <c r="BI16" t="s">
        <v>419</v>
      </c>
      <c r="BJ16">
        <v>4338202</v>
      </c>
      <c r="BK16" t="s">
        <v>346</v>
      </c>
      <c r="BL16">
        <v>1.17</v>
      </c>
      <c r="BM16" t="s">
        <v>53</v>
      </c>
      <c r="BN16" t="s">
        <v>670</v>
      </c>
      <c r="BO16">
        <v>4138799</v>
      </c>
      <c r="BP16" t="s">
        <v>346</v>
      </c>
      <c r="BQ16">
        <v>0.22</v>
      </c>
      <c r="BR16" t="s">
        <v>50</v>
      </c>
      <c r="BS16" t="s">
        <v>596</v>
      </c>
      <c r="BT16">
        <v>4140486</v>
      </c>
      <c r="BU16" t="s">
        <v>346</v>
      </c>
      <c r="BV16">
        <v>0.76</v>
      </c>
      <c r="BW16" t="s">
        <v>50</v>
      </c>
      <c r="BX16" t="s">
        <v>711</v>
      </c>
      <c r="BY16">
        <v>4236979</v>
      </c>
      <c r="BZ16" t="s">
        <v>346</v>
      </c>
      <c r="CA16">
        <v>0.76</v>
      </c>
      <c r="CB16" t="s">
        <v>50</v>
      </c>
      <c r="CC16" t="s">
        <v>1613</v>
      </c>
      <c r="CD16">
        <v>4234156</v>
      </c>
      <c r="CE16" t="s">
        <v>346</v>
      </c>
      <c r="CF16">
        <v>0.65</v>
      </c>
      <c r="CG16" t="s">
        <v>114</v>
      </c>
      <c r="CH16" t="s">
        <v>576</v>
      </c>
      <c r="CI16">
        <v>4672091</v>
      </c>
      <c r="CJ16" t="s">
        <v>300</v>
      </c>
      <c r="CK16">
        <v>0.81</v>
      </c>
      <c r="CL16" t="s">
        <v>62</v>
      </c>
      <c r="CM16" t="s">
        <v>1117</v>
      </c>
      <c r="CN16">
        <v>4138136</v>
      </c>
      <c r="CO16" t="s">
        <v>364</v>
      </c>
      <c r="CP16">
        <v>0.89</v>
      </c>
      <c r="CQ16" t="s">
        <v>313</v>
      </c>
      <c r="CR16" t="s">
        <v>703</v>
      </c>
      <c r="CS16" t="s">
        <v>300</v>
      </c>
      <c r="CT16" t="s">
        <v>361</v>
      </c>
      <c r="CU16">
        <v>0</v>
      </c>
      <c r="CV16" t="s">
        <v>50</v>
      </c>
      <c r="CW16" t="s">
        <v>419</v>
      </c>
      <c r="CX16">
        <v>4338202</v>
      </c>
      <c r="CY16" t="s">
        <v>346</v>
      </c>
      <c r="CZ16">
        <v>0.03</v>
      </c>
      <c r="DA16" t="s">
        <v>53</v>
      </c>
      <c r="DB16" t="s">
        <v>406</v>
      </c>
      <c r="DC16">
        <v>4115698</v>
      </c>
      <c r="DD16" t="s">
        <v>346</v>
      </c>
      <c r="DE16">
        <v>1.27</v>
      </c>
      <c r="DF16" t="s">
        <v>313</v>
      </c>
      <c r="DG16" t="s">
        <v>419</v>
      </c>
      <c r="DH16">
        <v>4338202</v>
      </c>
      <c r="DI16" t="s">
        <v>346</v>
      </c>
      <c r="DJ16">
        <v>0.03</v>
      </c>
      <c r="DK16" t="s">
        <v>53</v>
      </c>
      <c r="DL16" t="s">
        <v>406</v>
      </c>
      <c r="DM16">
        <v>4115698</v>
      </c>
      <c r="DN16" t="s">
        <v>346</v>
      </c>
      <c r="DO16">
        <v>1.27</v>
      </c>
      <c r="DP16" t="s">
        <v>313</v>
      </c>
      <c r="DU16" t="s">
        <v>306</v>
      </c>
      <c r="DV16" t="s">
        <v>1193</v>
      </c>
      <c r="DW16">
        <v>4304963</v>
      </c>
      <c r="DX16" t="s">
        <v>369</v>
      </c>
      <c r="DY16">
        <v>0.05</v>
      </c>
      <c r="DZ16" t="s">
        <v>77</v>
      </c>
      <c r="EA16" t="s">
        <v>1613</v>
      </c>
      <c r="EB16">
        <v>4234156</v>
      </c>
      <c r="EC16" t="s">
        <v>346</v>
      </c>
      <c r="ED16">
        <v>0.65</v>
      </c>
      <c r="EE16" t="s">
        <v>114</v>
      </c>
      <c r="EF16" t="s">
        <v>406</v>
      </c>
      <c r="EG16">
        <v>4115698</v>
      </c>
      <c r="EH16" t="s">
        <v>346</v>
      </c>
      <c r="EI16">
        <v>1.27</v>
      </c>
      <c r="EJ16" t="s">
        <v>313</v>
      </c>
      <c r="EK16" t="s">
        <v>419</v>
      </c>
      <c r="EL16">
        <v>4338202</v>
      </c>
      <c r="EM16" t="s">
        <v>346</v>
      </c>
      <c r="EN16">
        <v>0.03</v>
      </c>
      <c r="EO16" t="s">
        <v>53</v>
      </c>
      <c r="EP16" t="s">
        <v>721</v>
      </c>
      <c r="EQ16">
        <v>4329445</v>
      </c>
      <c r="ER16" t="s">
        <v>346</v>
      </c>
      <c r="ES16">
        <v>0.31</v>
      </c>
      <c r="ET16" t="s">
        <v>50</v>
      </c>
      <c r="EY16" t="s">
        <v>306</v>
      </c>
      <c r="EZ16" t="s">
        <v>1917</v>
      </c>
      <c r="FA16" t="s">
        <v>300</v>
      </c>
      <c r="FB16" t="s">
        <v>361</v>
      </c>
      <c r="FC16">
        <v>0.04</v>
      </c>
      <c r="FD16" t="s">
        <v>50</v>
      </c>
      <c r="FE16" t="s">
        <v>353</v>
      </c>
      <c r="FF16">
        <v>4048287</v>
      </c>
      <c r="FG16" t="s">
        <v>346</v>
      </c>
      <c r="FH16">
        <v>0.22</v>
      </c>
      <c r="FI16" t="s">
        <v>53</v>
      </c>
      <c r="FJ16" t="s">
        <v>385</v>
      </c>
      <c r="FK16">
        <v>5752504</v>
      </c>
      <c r="FL16" t="s">
        <v>346</v>
      </c>
      <c r="FM16">
        <v>0.86</v>
      </c>
      <c r="FN16" t="s">
        <v>53</v>
      </c>
      <c r="FO16" t="s">
        <v>419</v>
      </c>
      <c r="FP16">
        <v>4338202</v>
      </c>
      <c r="FQ16" t="s">
        <v>346</v>
      </c>
      <c r="FR16">
        <v>0.03</v>
      </c>
      <c r="FS16" t="s">
        <v>53</v>
      </c>
      <c r="FT16" t="s">
        <v>380</v>
      </c>
      <c r="FU16">
        <v>4674815</v>
      </c>
      <c r="FV16" t="s">
        <v>346</v>
      </c>
      <c r="FW16">
        <v>0.28999999999999998</v>
      </c>
      <c r="FX16" t="s">
        <v>320</v>
      </c>
      <c r="FY16" t="s">
        <v>406</v>
      </c>
      <c r="FZ16">
        <v>4115698</v>
      </c>
      <c r="GA16" t="s">
        <v>346</v>
      </c>
      <c r="GB16">
        <v>1.27</v>
      </c>
      <c r="GC16" t="s">
        <v>313</v>
      </c>
      <c r="GD16" t="s">
        <v>1917</v>
      </c>
      <c r="GE16" t="s">
        <v>300</v>
      </c>
      <c r="GF16" t="s">
        <v>361</v>
      </c>
      <c r="GG16">
        <v>0.04</v>
      </c>
      <c r="GH16" t="s">
        <v>50</v>
      </c>
      <c r="GI16" t="s">
        <v>353</v>
      </c>
      <c r="GJ16">
        <v>4048287</v>
      </c>
      <c r="GK16" t="s">
        <v>346</v>
      </c>
      <c r="GL16">
        <v>0.22</v>
      </c>
      <c r="GM16" t="s">
        <v>53</v>
      </c>
      <c r="GN16" t="s">
        <v>385</v>
      </c>
      <c r="GO16">
        <v>5752504</v>
      </c>
      <c r="GP16" t="s">
        <v>346</v>
      </c>
      <c r="GQ16">
        <v>0.86</v>
      </c>
      <c r="GR16" t="s">
        <v>53</v>
      </c>
      <c r="GS16" t="s">
        <v>670</v>
      </c>
      <c r="GT16">
        <v>4138799</v>
      </c>
      <c r="GU16" t="s">
        <v>346</v>
      </c>
      <c r="GV16">
        <v>0.22</v>
      </c>
      <c r="GW16" t="s">
        <v>50</v>
      </c>
      <c r="GX16" t="s">
        <v>1613</v>
      </c>
      <c r="GY16">
        <v>4234156</v>
      </c>
      <c r="GZ16" t="s">
        <v>346</v>
      </c>
      <c r="HA16">
        <v>0.65</v>
      </c>
      <c r="HB16" t="s">
        <v>114</v>
      </c>
      <c r="HC16" t="s">
        <v>1245</v>
      </c>
      <c r="HD16">
        <v>6729481</v>
      </c>
      <c r="HE16" t="s">
        <v>346</v>
      </c>
      <c r="HF16">
        <v>0.01</v>
      </c>
      <c r="HG16" t="s">
        <v>2185</v>
      </c>
    </row>
    <row r="17" spans="1:215" x14ac:dyDescent="0.35">
      <c r="A17" t="s">
        <v>359</v>
      </c>
      <c r="B17">
        <v>4144380</v>
      </c>
      <c r="C17" t="s">
        <v>346</v>
      </c>
      <c r="D17">
        <v>0</v>
      </c>
      <c r="E17" t="s">
        <v>317</v>
      </c>
      <c r="F17" t="s">
        <v>396</v>
      </c>
      <c r="G17">
        <v>4119759</v>
      </c>
      <c r="H17" t="s">
        <v>346</v>
      </c>
      <c r="I17">
        <v>1.1200000000000001</v>
      </c>
      <c r="J17" t="s">
        <v>53</v>
      </c>
      <c r="K17" t="s">
        <v>640</v>
      </c>
      <c r="L17">
        <v>9020942</v>
      </c>
      <c r="M17" t="s">
        <v>346</v>
      </c>
      <c r="N17">
        <v>0.21</v>
      </c>
      <c r="O17" t="s">
        <v>50</v>
      </c>
      <c r="T17" t="s">
        <v>306</v>
      </c>
      <c r="U17" t="s">
        <v>551</v>
      </c>
      <c r="V17">
        <v>4137681</v>
      </c>
      <c r="W17" t="s">
        <v>346</v>
      </c>
      <c r="X17">
        <v>0.74</v>
      </c>
      <c r="Y17" t="s">
        <v>50</v>
      </c>
      <c r="Z17" t="s">
        <v>640</v>
      </c>
      <c r="AA17">
        <v>9020942</v>
      </c>
      <c r="AB17" t="s">
        <v>346</v>
      </c>
      <c r="AC17">
        <v>0.21</v>
      </c>
      <c r="AD17" t="s">
        <v>50</v>
      </c>
      <c r="AE17" t="s">
        <v>460</v>
      </c>
      <c r="AF17">
        <v>4337989</v>
      </c>
      <c r="AG17" t="s">
        <v>346</v>
      </c>
      <c r="AH17">
        <v>0.53</v>
      </c>
      <c r="AI17" t="s">
        <v>53</v>
      </c>
      <c r="AJ17" t="s">
        <v>359</v>
      </c>
      <c r="AK17">
        <v>4144380</v>
      </c>
      <c r="AL17" t="s">
        <v>346</v>
      </c>
      <c r="AM17">
        <v>0</v>
      </c>
      <c r="AN17" t="s">
        <v>317</v>
      </c>
      <c r="AO17" t="s">
        <v>435</v>
      </c>
      <c r="AP17">
        <v>109789</v>
      </c>
      <c r="AQ17" t="s">
        <v>346</v>
      </c>
      <c r="AR17">
        <v>0.65</v>
      </c>
      <c r="AS17" t="s">
        <v>53</v>
      </c>
      <c r="AT17" t="s">
        <v>359</v>
      </c>
      <c r="AU17">
        <v>4144380</v>
      </c>
      <c r="AV17" t="s">
        <v>346</v>
      </c>
      <c r="AW17">
        <v>0</v>
      </c>
      <c r="AX17" t="s">
        <v>317</v>
      </c>
      <c r="AY17" t="s">
        <v>686</v>
      </c>
      <c r="AZ17">
        <v>4784142</v>
      </c>
      <c r="BA17" t="s">
        <v>346</v>
      </c>
      <c r="BB17">
        <v>0.38</v>
      </c>
      <c r="BC17" t="s">
        <v>50</v>
      </c>
      <c r="BD17" t="s">
        <v>433</v>
      </c>
      <c r="BE17">
        <v>3000896</v>
      </c>
      <c r="BF17" t="s">
        <v>346</v>
      </c>
      <c r="BG17">
        <v>1.27</v>
      </c>
      <c r="BH17" t="s">
        <v>53</v>
      </c>
      <c r="BI17" t="s">
        <v>483</v>
      </c>
      <c r="BJ17">
        <v>109763</v>
      </c>
      <c r="BK17" t="s">
        <v>346</v>
      </c>
      <c r="BL17">
        <v>0.98</v>
      </c>
      <c r="BM17" t="s">
        <v>53</v>
      </c>
      <c r="BN17" t="s">
        <v>351</v>
      </c>
      <c r="BO17">
        <v>111289</v>
      </c>
      <c r="BP17" t="s">
        <v>346</v>
      </c>
      <c r="BQ17">
        <v>0.2</v>
      </c>
      <c r="BR17" t="s">
        <v>53</v>
      </c>
      <c r="BS17" t="s">
        <v>945</v>
      </c>
      <c r="BT17">
        <v>19155021</v>
      </c>
      <c r="BU17" t="s">
        <v>370</v>
      </c>
      <c r="BV17">
        <v>0.75</v>
      </c>
      <c r="BW17" t="s">
        <v>50</v>
      </c>
      <c r="BX17" t="s">
        <v>551</v>
      </c>
      <c r="BY17">
        <v>4137681</v>
      </c>
      <c r="BZ17" t="s">
        <v>346</v>
      </c>
      <c r="CA17">
        <v>0.74</v>
      </c>
      <c r="CB17" t="s">
        <v>50</v>
      </c>
      <c r="CC17" t="s">
        <v>396</v>
      </c>
      <c r="CD17">
        <v>4119759</v>
      </c>
      <c r="CE17" t="s">
        <v>346</v>
      </c>
      <c r="CF17">
        <v>0.65</v>
      </c>
      <c r="CG17" t="s">
        <v>53</v>
      </c>
      <c r="CH17" t="s">
        <v>435</v>
      </c>
      <c r="CI17">
        <v>109789</v>
      </c>
      <c r="CJ17" t="s">
        <v>346</v>
      </c>
      <c r="CK17">
        <v>0.65</v>
      </c>
      <c r="CL17" t="s">
        <v>53</v>
      </c>
      <c r="CM17" t="s">
        <v>385</v>
      </c>
      <c r="CN17">
        <v>5752504</v>
      </c>
      <c r="CO17" t="s">
        <v>346</v>
      </c>
      <c r="CP17">
        <v>0.86</v>
      </c>
      <c r="CQ17" t="s">
        <v>53</v>
      </c>
      <c r="CR17" t="s">
        <v>704</v>
      </c>
      <c r="CS17">
        <v>4035777</v>
      </c>
      <c r="CT17" t="s">
        <v>346</v>
      </c>
      <c r="CU17">
        <v>0</v>
      </c>
      <c r="CV17" t="s">
        <v>53</v>
      </c>
      <c r="CW17" t="s">
        <v>442</v>
      </c>
      <c r="CX17">
        <v>4117611</v>
      </c>
      <c r="CY17" t="s">
        <v>346</v>
      </c>
      <c r="CZ17">
        <v>0.01</v>
      </c>
      <c r="DA17" t="s">
        <v>53</v>
      </c>
      <c r="DB17" t="s">
        <v>433</v>
      </c>
      <c r="DC17">
        <v>3000896</v>
      </c>
      <c r="DD17" t="s">
        <v>346</v>
      </c>
      <c r="DE17">
        <v>1.27</v>
      </c>
      <c r="DF17" t="s">
        <v>53</v>
      </c>
      <c r="DG17" t="s">
        <v>442</v>
      </c>
      <c r="DH17">
        <v>4117611</v>
      </c>
      <c r="DI17" t="s">
        <v>346</v>
      </c>
      <c r="DJ17">
        <v>0.01</v>
      </c>
      <c r="DK17" t="s">
        <v>53</v>
      </c>
      <c r="DL17" t="s">
        <v>433</v>
      </c>
      <c r="DM17">
        <v>3000896</v>
      </c>
      <c r="DN17" t="s">
        <v>346</v>
      </c>
      <c r="DO17">
        <v>1.27</v>
      </c>
      <c r="DP17" t="s">
        <v>53</v>
      </c>
      <c r="DU17" t="s">
        <v>306</v>
      </c>
      <c r="DV17" t="s">
        <v>411</v>
      </c>
      <c r="DW17">
        <v>4272373</v>
      </c>
      <c r="DX17" t="s">
        <v>346</v>
      </c>
      <c r="DY17">
        <v>0.04</v>
      </c>
      <c r="DZ17" t="s">
        <v>313</v>
      </c>
      <c r="EA17" t="s">
        <v>396</v>
      </c>
      <c r="EB17">
        <v>4119759</v>
      </c>
      <c r="EC17" t="s">
        <v>346</v>
      </c>
      <c r="ED17">
        <v>0.65</v>
      </c>
      <c r="EE17" t="s">
        <v>53</v>
      </c>
      <c r="EF17" t="s">
        <v>433</v>
      </c>
      <c r="EG17">
        <v>3000896</v>
      </c>
      <c r="EH17" t="s">
        <v>346</v>
      </c>
      <c r="EI17">
        <v>1.27</v>
      </c>
      <c r="EJ17" t="s">
        <v>53</v>
      </c>
      <c r="EK17" t="s">
        <v>442</v>
      </c>
      <c r="EL17">
        <v>4117611</v>
      </c>
      <c r="EM17" t="s">
        <v>346</v>
      </c>
      <c r="EN17">
        <v>0.01</v>
      </c>
      <c r="EO17" t="s">
        <v>53</v>
      </c>
      <c r="EP17" t="s">
        <v>728</v>
      </c>
      <c r="EQ17">
        <v>4316929</v>
      </c>
      <c r="ER17" t="s">
        <v>346</v>
      </c>
      <c r="ES17">
        <v>0.31</v>
      </c>
      <c r="ET17" t="s">
        <v>50</v>
      </c>
      <c r="EY17" t="s">
        <v>306</v>
      </c>
      <c r="EZ17" t="s">
        <v>1918</v>
      </c>
      <c r="FA17" t="s">
        <v>300</v>
      </c>
      <c r="FB17" t="s">
        <v>361</v>
      </c>
      <c r="FC17">
        <v>0.04</v>
      </c>
      <c r="FD17" t="s">
        <v>50</v>
      </c>
      <c r="FE17" t="s">
        <v>434</v>
      </c>
      <c r="FF17">
        <v>4120033</v>
      </c>
      <c r="FG17" t="s">
        <v>346</v>
      </c>
      <c r="FH17">
        <v>0.2</v>
      </c>
      <c r="FI17" t="s">
        <v>304</v>
      </c>
      <c r="FJ17" t="s">
        <v>433</v>
      </c>
      <c r="FK17">
        <v>3000896</v>
      </c>
      <c r="FL17" t="s">
        <v>346</v>
      </c>
      <c r="FM17">
        <v>0.56999999999999995</v>
      </c>
      <c r="FN17" t="s">
        <v>53</v>
      </c>
      <c r="FO17" t="s">
        <v>442</v>
      </c>
      <c r="FP17">
        <v>4117611</v>
      </c>
      <c r="FQ17" t="s">
        <v>346</v>
      </c>
      <c r="FR17">
        <v>0.01</v>
      </c>
      <c r="FS17" t="s">
        <v>53</v>
      </c>
      <c r="FT17" t="s">
        <v>381</v>
      </c>
      <c r="FU17">
        <v>4550060</v>
      </c>
      <c r="FV17" t="s">
        <v>346</v>
      </c>
      <c r="FW17">
        <v>0.28999999999999998</v>
      </c>
      <c r="FX17" t="s">
        <v>332</v>
      </c>
      <c r="FY17" t="s">
        <v>433</v>
      </c>
      <c r="FZ17">
        <v>3000896</v>
      </c>
      <c r="GA17" t="s">
        <v>346</v>
      </c>
      <c r="GB17">
        <v>1.27</v>
      </c>
      <c r="GC17" t="s">
        <v>53</v>
      </c>
      <c r="GD17" t="s">
        <v>1918</v>
      </c>
      <c r="GE17" t="s">
        <v>300</v>
      </c>
      <c r="GF17" t="s">
        <v>361</v>
      </c>
      <c r="GG17">
        <v>0.04</v>
      </c>
      <c r="GH17" t="s">
        <v>50</v>
      </c>
      <c r="GI17" t="s">
        <v>434</v>
      </c>
      <c r="GJ17">
        <v>4120033</v>
      </c>
      <c r="GK17" t="s">
        <v>346</v>
      </c>
      <c r="GL17">
        <v>0.2</v>
      </c>
      <c r="GM17" t="s">
        <v>304</v>
      </c>
      <c r="GN17" t="s">
        <v>433</v>
      </c>
      <c r="GO17">
        <v>3000896</v>
      </c>
      <c r="GP17" t="s">
        <v>346</v>
      </c>
      <c r="GQ17">
        <v>0.56999999999999995</v>
      </c>
      <c r="GR17" t="s">
        <v>53</v>
      </c>
      <c r="GS17" t="s">
        <v>351</v>
      </c>
      <c r="GT17">
        <v>111289</v>
      </c>
      <c r="GU17" t="s">
        <v>346</v>
      </c>
      <c r="GV17">
        <v>0.2</v>
      </c>
      <c r="GW17" t="s">
        <v>53</v>
      </c>
      <c r="GX17" t="s">
        <v>396</v>
      </c>
      <c r="GY17">
        <v>4119759</v>
      </c>
      <c r="GZ17" t="s">
        <v>346</v>
      </c>
      <c r="HA17">
        <v>0.65</v>
      </c>
      <c r="HB17" t="s">
        <v>53</v>
      </c>
      <c r="HC17" t="s">
        <v>496</v>
      </c>
      <c r="HD17">
        <v>110495</v>
      </c>
      <c r="HE17" t="s">
        <v>346</v>
      </c>
      <c r="HF17">
        <v>0</v>
      </c>
      <c r="HG17" t="s">
        <v>53</v>
      </c>
    </row>
    <row r="18" spans="1:215" x14ac:dyDescent="0.35">
      <c r="E18" t="s">
        <v>306</v>
      </c>
      <c r="F18" t="s">
        <v>430</v>
      </c>
      <c r="G18">
        <v>4055767</v>
      </c>
      <c r="H18" t="s">
        <v>346</v>
      </c>
      <c r="I18">
        <v>0.91</v>
      </c>
      <c r="J18" t="s">
        <v>53</v>
      </c>
      <c r="K18" t="s">
        <v>641</v>
      </c>
      <c r="L18">
        <v>4820048</v>
      </c>
      <c r="M18" t="s">
        <v>346</v>
      </c>
      <c r="N18">
        <v>0.2</v>
      </c>
      <c r="O18" t="s">
        <v>50</v>
      </c>
      <c r="T18" t="s">
        <v>306</v>
      </c>
      <c r="U18" t="s">
        <v>712</v>
      </c>
      <c r="V18">
        <v>5884796</v>
      </c>
      <c r="W18" t="s">
        <v>346</v>
      </c>
      <c r="X18">
        <v>0.68</v>
      </c>
      <c r="Y18" t="s">
        <v>50</v>
      </c>
      <c r="Z18" t="s">
        <v>641</v>
      </c>
      <c r="AA18">
        <v>4820048</v>
      </c>
      <c r="AB18" t="s">
        <v>346</v>
      </c>
      <c r="AC18">
        <v>0.2</v>
      </c>
      <c r="AD18" t="s">
        <v>50</v>
      </c>
      <c r="AE18" t="s">
        <v>540</v>
      </c>
      <c r="AF18">
        <v>4281265</v>
      </c>
      <c r="AG18" t="s">
        <v>346</v>
      </c>
      <c r="AH18">
        <v>0.52</v>
      </c>
      <c r="AI18" t="s">
        <v>80</v>
      </c>
      <c r="AN18" t="s">
        <v>306</v>
      </c>
      <c r="AO18" t="s">
        <v>1257</v>
      </c>
      <c r="AP18">
        <v>4213130</v>
      </c>
      <c r="AQ18" t="s">
        <v>346</v>
      </c>
      <c r="AR18">
        <v>0.64</v>
      </c>
      <c r="AS18" t="s">
        <v>62</v>
      </c>
      <c r="AX18" t="s">
        <v>306</v>
      </c>
      <c r="AY18" t="s">
        <v>670</v>
      </c>
      <c r="AZ18">
        <v>4138799</v>
      </c>
      <c r="BA18" t="s">
        <v>346</v>
      </c>
      <c r="BB18">
        <v>0.28999999999999998</v>
      </c>
      <c r="BC18" t="s">
        <v>50</v>
      </c>
      <c r="BD18" t="s">
        <v>394</v>
      </c>
      <c r="BE18">
        <v>4048695</v>
      </c>
      <c r="BF18" t="s">
        <v>346</v>
      </c>
      <c r="BG18">
        <v>1.05</v>
      </c>
      <c r="BH18" t="s">
        <v>53</v>
      </c>
      <c r="BI18" t="s">
        <v>385</v>
      </c>
      <c r="BJ18">
        <v>5752504</v>
      </c>
      <c r="BK18" t="s">
        <v>346</v>
      </c>
      <c r="BL18">
        <v>0.87</v>
      </c>
      <c r="BM18" t="s">
        <v>53</v>
      </c>
      <c r="BN18" t="s">
        <v>385</v>
      </c>
      <c r="BO18">
        <v>5752504</v>
      </c>
      <c r="BP18" t="s">
        <v>346</v>
      </c>
      <c r="BQ18">
        <v>0.2</v>
      </c>
      <c r="BR18" t="s">
        <v>53</v>
      </c>
      <c r="BS18" t="s">
        <v>433</v>
      </c>
      <c r="BT18">
        <v>3000896</v>
      </c>
      <c r="BU18" t="s">
        <v>346</v>
      </c>
      <c r="BV18">
        <v>0.71</v>
      </c>
      <c r="BW18" t="s">
        <v>53</v>
      </c>
      <c r="BX18" t="s">
        <v>712</v>
      </c>
      <c r="BY18">
        <v>5884796</v>
      </c>
      <c r="BZ18" t="s">
        <v>346</v>
      </c>
      <c r="CA18">
        <v>0.68</v>
      </c>
      <c r="CB18" t="s">
        <v>50</v>
      </c>
      <c r="CC18" t="s">
        <v>351</v>
      </c>
      <c r="CD18">
        <v>111289</v>
      </c>
      <c r="CE18" t="s">
        <v>346</v>
      </c>
      <c r="CF18">
        <v>0.59</v>
      </c>
      <c r="CG18" t="s">
        <v>53</v>
      </c>
      <c r="CH18" t="s">
        <v>1257</v>
      </c>
      <c r="CI18">
        <v>4213130</v>
      </c>
      <c r="CJ18" t="s">
        <v>346</v>
      </c>
      <c r="CK18">
        <v>0.64</v>
      </c>
      <c r="CL18" t="s">
        <v>62</v>
      </c>
      <c r="CM18" t="s">
        <v>383</v>
      </c>
      <c r="CN18">
        <v>103042</v>
      </c>
      <c r="CO18" t="s">
        <v>366</v>
      </c>
      <c r="CP18">
        <v>0.86</v>
      </c>
      <c r="CQ18" t="s">
        <v>53</v>
      </c>
      <c r="CR18" t="s">
        <v>553</v>
      </c>
      <c r="CS18">
        <v>4557089</v>
      </c>
      <c r="CT18" t="s">
        <v>346</v>
      </c>
      <c r="CU18">
        <v>0</v>
      </c>
      <c r="CV18" t="s">
        <v>80</v>
      </c>
      <c r="CW18" t="s">
        <v>395</v>
      </c>
      <c r="CX18">
        <v>4153606</v>
      </c>
      <c r="CY18" t="s">
        <v>346</v>
      </c>
      <c r="CZ18">
        <v>0.01</v>
      </c>
      <c r="DA18" t="s">
        <v>53</v>
      </c>
      <c r="DB18" t="s">
        <v>394</v>
      </c>
      <c r="DC18">
        <v>4048695</v>
      </c>
      <c r="DD18" t="s">
        <v>346</v>
      </c>
      <c r="DE18">
        <v>1.05</v>
      </c>
      <c r="DF18" t="s">
        <v>53</v>
      </c>
      <c r="DG18" t="s">
        <v>395</v>
      </c>
      <c r="DH18">
        <v>4153606</v>
      </c>
      <c r="DI18" t="s">
        <v>346</v>
      </c>
      <c r="DJ18">
        <v>0.01</v>
      </c>
      <c r="DK18" t="s">
        <v>53</v>
      </c>
      <c r="DL18" t="s">
        <v>394</v>
      </c>
      <c r="DM18">
        <v>4048695</v>
      </c>
      <c r="DN18" t="s">
        <v>346</v>
      </c>
      <c r="DO18">
        <v>1.05</v>
      </c>
      <c r="DP18" t="s">
        <v>53</v>
      </c>
      <c r="DU18" t="s">
        <v>306</v>
      </c>
      <c r="DV18" t="s">
        <v>410</v>
      </c>
      <c r="DW18">
        <v>5759394</v>
      </c>
      <c r="DX18" t="s">
        <v>346</v>
      </c>
      <c r="DY18">
        <v>0.04</v>
      </c>
      <c r="DZ18" t="s">
        <v>2186</v>
      </c>
      <c r="EA18" t="s">
        <v>351</v>
      </c>
      <c r="EB18">
        <v>111289</v>
      </c>
      <c r="EC18" t="s">
        <v>346</v>
      </c>
      <c r="ED18">
        <v>0.59</v>
      </c>
      <c r="EE18" t="s">
        <v>53</v>
      </c>
      <c r="EF18" t="s">
        <v>394</v>
      </c>
      <c r="EG18">
        <v>4048695</v>
      </c>
      <c r="EH18" t="s">
        <v>346</v>
      </c>
      <c r="EI18">
        <v>1.05</v>
      </c>
      <c r="EJ18" t="s">
        <v>53</v>
      </c>
      <c r="EK18" t="s">
        <v>395</v>
      </c>
      <c r="EL18">
        <v>4153606</v>
      </c>
      <c r="EM18" t="s">
        <v>346</v>
      </c>
      <c r="EN18">
        <v>0.01</v>
      </c>
      <c r="EO18" t="s">
        <v>53</v>
      </c>
      <c r="EP18" t="s">
        <v>669</v>
      </c>
      <c r="EQ18">
        <v>5860959</v>
      </c>
      <c r="ER18" t="s">
        <v>346</v>
      </c>
      <c r="ES18">
        <v>0.31</v>
      </c>
      <c r="ET18" t="s">
        <v>50</v>
      </c>
      <c r="EY18" t="s">
        <v>306</v>
      </c>
      <c r="EZ18" t="s">
        <v>1919</v>
      </c>
      <c r="FA18" t="s">
        <v>300</v>
      </c>
      <c r="FB18" t="s">
        <v>361</v>
      </c>
      <c r="FC18">
        <v>0.04</v>
      </c>
      <c r="FD18" t="s">
        <v>50</v>
      </c>
      <c r="FE18" t="s">
        <v>394</v>
      </c>
      <c r="FF18">
        <v>4048695</v>
      </c>
      <c r="FG18" t="s">
        <v>346</v>
      </c>
      <c r="FH18">
        <v>0.19</v>
      </c>
      <c r="FI18" t="s">
        <v>53</v>
      </c>
      <c r="FJ18" t="s">
        <v>394</v>
      </c>
      <c r="FK18">
        <v>4048695</v>
      </c>
      <c r="FL18" t="s">
        <v>346</v>
      </c>
      <c r="FM18">
        <v>0.5</v>
      </c>
      <c r="FN18" t="s">
        <v>53</v>
      </c>
      <c r="FO18" t="s">
        <v>395</v>
      </c>
      <c r="FP18">
        <v>4153606</v>
      </c>
      <c r="FQ18" t="s">
        <v>346</v>
      </c>
      <c r="FR18">
        <v>0.01</v>
      </c>
      <c r="FS18" t="s">
        <v>53</v>
      </c>
      <c r="FT18" t="s">
        <v>382</v>
      </c>
      <c r="FU18">
        <v>13054481</v>
      </c>
      <c r="FV18" t="s">
        <v>346</v>
      </c>
      <c r="FW18">
        <v>0.26</v>
      </c>
      <c r="FX18" t="s">
        <v>332</v>
      </c>
      <c r="FY18" t="s">
        <v>394</v>
      </c>
      <c r="FZ18">
        <v>4048695</v>
      </c>
      <c r="GA18" t="s">
        <v>346</v>
      </c>
      <c r="GB18">
        <v>1.05</v>
      </c>
      <c r="GC18" t="s">
        <v>53</v>
      </c>
      <c r="GD18" t="s">
        <v>1919</v>
      </c>
      <c r="GE18" t="s">
        <v>300</v>
      </c>
      <c r="GF18" t="s">
        <v>361</v>
      </c>
      <c r="GG18">
        <v>0.04</v>
      </c>
      <c r="GH18" t="s">
        <v>50</v>
      </c>
      <c r="GI18" t="s">
        <v>394</v>
      </c>
      <c r="GJ18">
        <v>4048695</v>
      </c>
      <c r="GK18" t="s">
        <v>346</v>
      </c>
      <c r="GL18">
        <v>0.19</v>
      </c>
      <c r="GM18" t="s">
        <v>53</v>
      </c>
      <c r="GN18" t="s">
        <v>394</v>
      </c>
      <c r="GO18">
        <v>4048695</v>
      </c>
      <c r="GP18" t="s">
        <v>346</v>
      </c>
      <c r="GQ18">
        <v>0.5</v>
      </c>
      <c r="GR18" t="s">
        <v>53</v>
      </c>
      <c r="GS18" t="s">
        <v>385</v>
      </c>
      <c r="GT18">
        <v>5752504</v>
      </c>
      <c r="GU18" t="s">
        <v>346</v>
      </c>
      <c r="GV18">
        <v>0.2</v>
      </c>
      <c r="GW18" t="s">
        <v>53</v>
      </c>
      <c r="GX18" t="s">
        <v>351</v>
      </c>
      <c r="GY18">
        <v>111289</v>
      </c>
      <c r="GZ18" t="s">
        <v>346</v>
      </c>
      <c r="HA18">
        <v>0.59</v>
      </c>
      <c r="HB18" t="s">
        <v>53</v>
      </c>
      <c r="HG18" t="s">
        <v>306</v>
      </c>
    </row>
    <row r="19" spans="1:215" x14ac:dyDescent="0.35">
      <c r="E19" t="s">
        <v>306</v>
      </c>
      <c r="F19" t="s">
        <v>385</v>
      </c>
      <c r="G19">
        <v>5752504</v>
      </c>
      <c r="H19" t="s">
        <v>346</v>
      </c>
      <c r="I19">
        <v>0.76</v>
      </c>
      <c r="J19" t="s">
        <v>53</v>
      </c>
      <c r="K19" t="s">
        <v>642</v>
      </c>
      <c r="L19">
        <v>5762318</v>
      </c>
      <c r="M19" t="s">
        <v>346</v>
      </c>
      <c r="N19">
        <v>0.18</v>
      </c>
      <c r="O19" t="s">
        <v>50</v>
      </c>
      <c r="T19" t="s">
        <v>306</v>
      </c>
      <c r="U19" t="s">
        <v>640</v>
      </c>
      <c r="V19">
        <v>9020942</v>
      </c>
      <c r="W19" t="s">
        <v>346</v>
      </c>
      <c r="X19">
        <v>0.67</v>
      </c>
      <c r="Y19" t="s">
        <v>50</v>
      </c>
      <c r="Z19" t="s">
        <v>642</v>
      </c>
      <c r="AA19">
        <v>5762318</v>
      </c>
      <c r="AB19" t="s">
        <v>346</v>
      </c>
      <c r="AC19">
        <v>0.18</v>
      </c>
      <c r="AD19" t="s">
        <v>50</v>
      </c>
      <c r="AE19" t="s">
        <v>1109</v>
      </c>
      <c r="AF19">
        <v>4393100</v>
      </c>
      <c r="AG19" t="s">
        <v>346</v>
      </c>
      <c r="AH19">
        <v>0.49</v>
      </c>
      <c r="AI19" t="s">
        <v>2187</v>
      </c>
      <c r="AN19" t="s">
        <v>306</v>
      </c>
      <c r="AO19" t="s">
        <v>437</v>
      </c>
      <c r="AP19">
        <v>4102073</v>
      </c>
      <c r="AQ19" t="s">
        <v>346</v>
      </c>
      <c r="AR19">
        <v>0.63</v>
      </c>
      <c r="AS19" t="s">
        <v>53</v>
      </c>
      <c r="AX19" t="s">
        <v>306</v>
      </c>
      <c r="AY19" t="s">
        <v>672</v>
      </c>
      <c r="AZ19">
        <v>4139739</v>
      </c>
      <c r="BA19" t="s">
        <v>346</v>
      </c>
      <c r="BB19">
        <v>0.27</v>
      </c>
      <c r="BC19" t="s">
        <v>50</v>
      </c>
      <c r="BD19" t="s">
        <v>633</v>
      </c>
      <c r="BE19">
        <v>114508</v>
      </c>
      <c r="BF19" t="s">
        <v>366</v>
      </c>
      <c r="BG19">
        <v>0.95</v>
      </c>
      <c r="BH19" t="s">
        <v>313</v>
      </c>
      <c r="BI19" t="s">
        <v>415</v>
      </c>
      <c r="BJ19">
        <v>110587</v>
      </c>
      <c r="BK19" t="s">
        <v>346</v>
      </c>
      <c r="BL19">
        <v>0.84</v>
      </c>
      <c r="BM19" t="s">
        <v>53</v>
      </c>
      <c r="BN19" t="s">
        <v>432</v>
      </c>
      <c r="BO19">
        <v>110092</v>
      </c>
      <c r="BP19" t="s">
        <v>346</v>
      </c>
      <c r="BQ19">
        <v>0.19</v>
      </c>
      <c r="BR19" t="s">
        <v>53</v>
      </c>
      <c r="BS19" t="s">
        <v>432</v>
      </c>
      <c r="BT19">
        <v>110092</v>
      </c>
      <c r="BU19" t="s">
        <v>346</v>
      </c>
      <c r="BV19">
        <v>0.71</v>
      </c>
      <c r="BW19" t="s">
        <v>53</v>
      </c>
      <c r="BX19" t="s">
        <v>640</v>
      </c>
      <c r="BY19">
        <v>9020942</v>
      </c>
      <c r="BZ19" t="s">
        <v>346</v>
      </c>
      <c r="CA19">
        <v>0.67</v>
      </c>
      <c r="CB19" t="s">
        <v>50</v>
      </c>
      <c r="CC19" t="s">
        <v>394</v>
      </c>
      <c r="CD19">
        <v>4048695</v>
      </c>
      <c r="CE19" t="s">
        <v>346</v>
      </c>
      <c r="CF19">
        <v>0.56999999999999995</v>
      </c>
      <c r="CG19" t="s">
        <v>53</v>
      </c>
      <c r="CH19" t="s">
        <v>437</v>
      </c>
      <c r="CI19">
        <v>4102073</v>
      </c>
      <c r="CJ19" t="s">
        <v>346</v>
      </c>
      <c r="CK19">
        <v>0.63</v>
      </c>
      <c r="CL19" t="s">
        <v>53</v>
      </c>
      <c r="CM19" t="s">
        <v>1959</v>
      </c>
      <c r="CN19">
        <v>4848040</v>
      </c>
      <c r="CO19" t="s">
        <v>364</v>
      </c>
      <c r="CP19">
        <v>0.74</v>
      </c>
      <c r="CQ19" t="s">
        <v>53</v>
      </c>
      <c r="CV19" t="s">
        <v>306</v>
      </c>
      <c r="CW19" t="s">
        <v>354</v>
      </c>
      <c r="CX19">
        <v>110652</v>
      </c>
      <c r="CY19" t="s">
        <v>346</v>
      </c>
      <c r="CZ19">
        <v>0.01</v>
      </c>
      <c r="DA19" t="s">
        <v>53</v>
      </c>
      <c r="DB19" t="s">
        <v>633</v>
      </c>
      <c r="DC19">
        <v>114508</v>
      </c>
      <c r="DD19" t="s">
        <v>366</v>
      </c>
      <c r="DE19">
        <v>0.95</v>
      </c>
      <c r="DF19" t="s">
        <v>313</v>
      </c>
      <c r="DG19" t="s">
        <v>354</v>
      </c>
      <c r="DH19">
        <v>110652</v>
      </c>
      <c r="DI19" t="s">
        <v>346</v>
      </c>
      <c r="DJ19">
        <v>0.01</v>
      </c>
      <c r="DK19" t="s">
        <v>53</v>
      </c>
      <c r="DL19" t="s">
        <v>633</v>
      </c>
      <c r="DM19">
        <v>114508</v>
      </c>
      <c r="DN19" t="s">
        <v>366</v>
      </c>
      <c r="DO19">
        <v>0.95</v>
      </c>
      <c r="DP19" t="s">
        <v>313</v>
      </c>
      <c r="DU19" t="s">
        <v>306</v>
      </c>
      <c r="DV19" t="s">
        <v>436</v>
      </c>
      <c r="DW19">
        <v>111219</v>
      </c>
      <c r="DX19" t="s">
        <v>346</v>
      </c>
      <c r="DY19">
        <v>0.04</v>
      </c>
      <c r="DZ19" t="s">
        <v>53</v>
      </c>
      <c r="EA19" t="s">
        <v>394</v>
      </c>
      <c r="EB19">
        <v>4048695</v>
      </c>
      <c r="EC19" t="s">
        <v>346</v>
      </c>
      <c r="ED19">
        <v>0.56999999999999995</v>
      </c>
      <c r="EE19" t="s">
        <v>53</v>
      </c>
      <c r="EF19" t="s">
        <v>633</v>
      </c>
      <c r="EG19">
        <v>114508</v>
      </c>
      <c r="EH19" t="s">
        <v>366</v>
      </c>
      <c r="EI19">
        <v>0.95</v>
      </c>
      <c r="EJ19" t="s">
        <v>313</v>
      </c>
      <c r="EK19" t="s">
        <v>354</v>
      </c>
      <c r="EL19">
        <v>110652</v>
      </c>
      <c r="EM19" t="s">
        <v>346</v>
      </c>
      <c r="EN19">
        <v>0.01</v>
      </c>
      <c r="EO19" t="s">
        <v>53</v>
      </c>
      <c r="EP19" t="s">
        <v>683</v>
      </c>
      <c r="EQ19">
        <v>4137754</v>
      </c>
      <c r="ER19" t="s">
        <v>346</v>
      </c>
      <c r="ES19">
        <v>0.31</v>
      </c>
      <c r="ET19" t="s">
        <v>50</v>
      </c>
      <c r="EY19" t="s">
        <v>306</v>
      </c>
      <c r="EZ19" t="s">
        <v>1920</v>
      </c>
      <c r="FA19">
        <v>4138950</v>
      </c>
      <c r="FB19" t="s">
        <v>346</v>
      </c>
      <c r="FC19">
        <v>0.03</v>
      </c>
      <c r="FD19" t="s">
        <v>2188</v>
      </c>
      <c r="FE19" t="s">
        <v>395</v>
      </c>
      <c r="FF19">
        <v>4153606</v>
      </c>
      <c r="FG19" t="s">
        <v>346</v>
      </c>
      <c r="FH19">
        <v>0.19</v>
      </c>
      <c r="FI19" t="s">
        <v>53</v>
      </c>
      <c r="FJ19" t="s">
        <v>355</v>
      </c>
      <c r="FK19">
        <v>111074</v>
      </c>
      <c r="FL19" t="s">
        <v>346</v>
      </c>
      <c r="FM19">
        <v>0.36</v>
      </c>
      <c r="FN19" t="s">
        <v>53</v>
      </c>
      <c r="FO19" t="s">
        <v>354</v>
      </c>
      <c r="FP19">
        <v>110652</v>
      </c>
      <c r="FQ19" t="s">
        <v>346</v>
      </c>
      <c r="FR19">
        <v>0.01</v>
      </c>
      <c r="FS19" t="s">
        <v>53</v>
      </c>
      <c r="FT19" t="s">
        <v>383</v>
      </c>
      <c r="FU19">
        <v>103042</v>
      </c>
      <c r="FV19" t="s">
        <v>366</v>
      </c>
      <c r="FW19">
        <v>0.19</v>
      </c>
      <c r="FX19" t="s">
        <v>53</v>
      </c>
      <c r="FY19" t="s">
        <v>633</v>
      </c>
      <c r="FZ19">
        <v>114508</v>
      </c>
      <c r="GA19" t="s">
        <v>366</v>
      </c>
      <c r="GB19">
        <v>0.95</v>
      </c>
      <c r="GC19" t="s">
        <v>313</v>
      </c>
      <c r="GD19" t="s">
        <v>1920</v>
      </c>
      <c r="GE19">
        <v>4138950</v>
      </c>
      <c r="GF19" t="s">
        <v>346</v>
      </c>
      <c r="GG19">
        <v>0.03</v>
      </c>
      <c r="GH19" t="s">
        <v>2188</v>
      </c>
      <c r="GI19" t="s">
        <v>395</v>
      </c>
      <c r="GJ19">
        <v>4153606</v>
      </c>
      <c r="GK19" t="s">
        <v>346</v>
      </c>
      <c r="GL19">
        <v>0.19</v>
      </c>
      <c r="GM19" t="s">
        <v>53</v>
      </c>
      <c r="GN19" t="s">
        <v>355</v>
      </c>
      <c r="GO19">
        <v>111074</v>
      </c>
      <c r="GP19" t="s">
        <v>346</v>
      </c>
      <c r="GQ19">
        <v>0.36</v>
      </c>
      <c r="GR19" t="s">
        <v>53</v>
      </c>
      <c r="GS19" t="s">
        <v>432</v>
      </c>
      <c r="GT19">
        <v>110092</v>
      </c>
      <c r="GU19" t="s">
        <v>346</v>
      </c>
      <c r="GV19">
        <v>0.19</v>
      </c>
      <c r="GW19" t="s">
        <v>53</v>
      </c>
      <c r="GX19" t="s">
        <v>394</v>
      </c>
      <c r="GY19">
        <v>4048695</v>
      </c>
      <c r="GZ19" t="s">
        <v>346</v>
      </c>
      <c r="HA19">
        <v>0.56999999999999995</v>
      </c>
      <c r="HB19" t="s">
        <v>53</v>
      </c>
      <c r="HG19" t="s">
        <v>306</v>
      </c>
    </row>
    <row r="20" spans="1:215" x14ac:dyDescent="0.35">
      <c r="E20" t="s">
        <v>306</v>
      </c>
      <c r="F20" t="s">
        <v>431</v>
      </c>
      <c r="G20">
        <v>4085931</v>
      </c>
      <c r="H20" t="s">
        <v>346</v>
      </c>
      <c r="I20">
        <v>0.6</v>
      </c>
      <c r="J20" t="s">
        <v>304</v>
      </c>
      <c r="K20" t="s">
        <v>396</v>
      </c>
      <c r="L20">
        <v>4119759</v>
      </c>
      <c r="M20" t="s">
        <v>346</v>
      </c>
      <c r="N20">
        <v>0.16</v>
      </c>
      <c r="O20" t="s">
        <v>53</v>
      </c>
      <c r="T20" t="s">
        <v>306</v>
      </c>
      <c r="U20" t="s">
        <v>642</v>
      </c>
      <c r="V20">
        <v>5762318</v>
      </c>
      <c r="W20" t="s">
        <v>346</v>
      </c>
      <c r="X20">
        <v>0.65</v>
      </c>
      <c r="Y20" t="s">
        <v>50</v>
      </c>
      <c r="Z20" t="s">
        <v>396</v>
      </c>
      <c r="AA20">
        <v>4119759</v>
      </c>
      <c r="AB20" t="s">
        <v>346</v>
      </c>
      <c r="AC20">
        <v>0.16</v>
      </c>
      <c r="AD20" t="s">
        <v>53</v>
      </c>
      <c r="AE20" t="s">
        <v>1110</v>
      </c>
      <c r="AF20" t="s">
        <v>300</v>
      </c>
      <c r="AG20" t="s">
        <v>361</v>
      </c>
      <c r="AH20">
        <v>0.35</v>
      </c>
      <c r="AI20" t="s">
        <v>50</v>
      </c>
      <c r="AN20" t="s">
        <v>306</v>
      </c>
      <c r="AO20" t="s">
        <v>1143</v>
      </c>
      <c r="AP20">
        <v>4138850</v>
      </c>
      <c r="AQ20" t="s">
        <v>346</v>
      </c>
      <c r="AR20">
        <v>0.62</v>
      </c>
      <c r="AS20" t="s">
        <v>62</v>
      </c>
      <c r="AX20" t="s">
        <v>306</v>
      </c>
      <c r="AY20" t="s">
        <v>734</v>
      </c>
      <c r="AZ20">
        <v>4322244</v>
      </c>
      <c r="BA20" t="s">
        <v>346</v>
      </c>
      <c r="BB20">
        <v>0.25</v>
      </c>
      <c r="BC20" t="s">
        <v>50</v>
      </c>
      <c r="BD20" t="s">
        <v>1391</v>
      </c>
      <c r="BE20">
        <v>4217352</v>
      </c>
      <c r="BF20" t="s">
        <v>346</v>
      </c>
      <c r="BG20">
        <v>0.8</v>
      </c>
      <c r="BH20" t="s">
        <v>62</v>
      </c>
      <c r="BI20" t="s">
        <v>396</v>
      </c>
      <c r="BJ20">
        <v>4119759</v>
      </c>
      <c r="BK20" t="s">
        <v>346</v>
      </c>
      <c r="BL20">
        <v>0.81</v>
      </c>
      <c r="BM20" t="s">
        <v>53</v>
      </c>
      <c r="BN20" t="s">
        <v>584</v>
      </c>
      <c r="BO20">
        <v>4138797</v>
      </c>
      <c r="BP20" t="s">
        <v>346</v>
      </c>
      <c r="BQ20">
        <v>0.15</v>
      </c>
      <c r="BR20" t="s">
        <v>326</v>
      </c>
      <c r="BS20" t="s">
        <v>946</v>
      </c>
      <c r="BT20">
        <v>5873967</v>
      </c>
      <c r="BU20" t="s">
        <v>369</v>
      </c>
      <c r="BV20">
        <v>0.7</v>
      </c>
      <c r="BW20" t="s">
        <v>50</v>
      </c>
      <c r="BX20" t="s">
        <v>642</v>
      </c>
      <c r="BY20">
        <v>5762318</v>
      </c>
      <c r="BZ20" t="s">
        <v>346</v>
      </c>
      <c r="CA20">
        <v>0.65</v>
      </c>
      <c r="CB20" t="s">
        <v>50</v>
      </c>
      <c r="CC20" t="s">
        <v>409</v>
      </c>
      <c r="CD20">
        <v>102719</v>
      </c>
      <c r="CE20" t="s">
        <v>346</v>
      </c>
      <c r="CF20">
        <v>0.56000000000000005</v>
      </c>
      <c r="CG20" t="s">
        <v>53</v>
      </c>
      <c r="CH20" t="s">
        <v>1143</v>
      </c>
      <c r="CI20">
        <v>4138850</v>
      </c>
      <c r="CJ20" t="s">
        <v>346</v>
      </c>
      <c r="CK20">
        <v>0.62</v>
      </c>
      <c r="CL20" t="s">
        <v>62</v>
      </c>
      <c r="CM20" t="s">
        <v>1635</v>
      </c>
      <c r="CN20">
        <v>109290</v>
      </c>
      <c r="CO20" t="s">
        <v>364</v>
      </c>
      <c r="CP20">
        <v>0.71</v>
      </c>
      <c r="CQ20" t="s">
        <v>53</v>
      </c>
      <c r="CV20" t="s">
        <v>306</v>
      </c>
      <c r="CW20" t="s">
        <v>460</v>
      </c>
      <c r="CX20">
        <v>4337989</v>
      </c>
      <c r="CY20" t="s">
        <v>346</v>
      </c>
      <c r="CZ20">
        <v>0.01</v>
      </c>
      <c r="DA20" t="s">
        <v>53</v>
      </c>
      <c r="DB20" t="s">
        <v>1391</v>
      </c>
      <c r="DC20">
        <v>4217352</v>
      </c>
      <c r="DD20" t="s">
        <v>346</v>
      </c>
      <c r="DE20">
        <v>0.8</v>
      </c>
      <c r="DF20" t="s">
        <v>62</v>
      </c>
      <c r="DG20" t="s">
        <v>460</v>
      </c>
      <c r="DH20">
        <v>4337989</v>
      </c>
      <c r="DI20" t="s">
        <v>346</v>
      </c>
      <c r="DJ20">
        <v>0.01</v>
      </c>
      <c r="DK20" t="s">
        <v>53</v>
      </c>
      <c r="DL20" t="s">
        <v>1391</v>
      </c>
      <c r="DM20">
        <v>4217352</v>
      </c>
      <c r="DN20" t="s">
        <v>346</v>
      </c>
      <c r="DO20">
        <v>0.8</v>
      </c>
      <c r="DP20" t="s">
        <v>62</v>
      </c>
      <c r="DU20" t="s">
        <v>306</v>
      </c>
      <c r="DV20" t="s">
        <v>399</v>
      </c>
      <c r="DW20">
        <v>4026948</v>
      </c>
      <c r="DX20" t="s">
        <v>346</v>
      </c>
      <c r="DY20">
        <v>0.04</v>
      </c>
      <c r="DZ20" t="s">
        <v>317</v>
      </c>
      <c r="EA20" t="s">
        <v>409</v>
      </c>
      <c r="EB20">
        <v>102719</v>
      </c>
      <c r="EC20" t="s">
        <v>346</v>
      </c>
      <c r="ED20">
        <v>0.56000000000000005</v>
      </c>
      <c r="EE20" t="s">
        <v>53</v>
      </c>
      <c r="EF20" t="s">
        <v>1391</v>
      </c>
      <c r="EG20">
        <v>4217352</v>
      </c>
      <c r="EH20" t="s">
        <v>346</v>
      </c>
      <c r="EI20">
        <v>0.8</v>
      </c>
      <c r="EJ20" t="s">
        <v>62</v>
      </c>
      <c r="EK20" t="s">
        <v>460</v>
      </c>
      <c r="EL20">
        <v>4337989</v>
      </c>
      <c r="EM20" t="s">
        <v>346</v>
      </c>
      <c r="EN20">
        <v>0.01</v>
      </c>
      <c r="EO20" t="s">
        <v>53</v>
      </c>
      <c r="EP20" t="s">
        <v>644</v>
      </c>
      <c r="EQ20">
        <v>4138625</v>
      </c>
      <c r="ER20" t="s">
        <v>346</v>
      </c>
      <c r="ES20">
        <v>0.31</v>
      </c>
      <c r="ET20" t="s">
        <v>50</v>
      </c>
      <c r="EY20" t="s">
        <v>306</v>
      </c>
      <c r="EZ20" t="s">
        <v>1921</v>
      </c>
      <c r="FA20" t="s">
        <v>300</v>
      </c>
      <c r="FB20" t="s">
        <v>361</v>
      </c>
      <c r="FC20">
        <v>0.02</v>
      </c>
      <c r="FD20" t="s">
        <v>50</v>
      </c>
      <c r="FE20" t="s">
        <v>423</v>
      </c>
      <c r="FF20">
        <v>4318240</v>
      </c>
      <c r="FG20" t="s">
        <v>346</v>
      </c>
      <c r="FH20">
        <v>0.15</v>
      </c>
      <c r="FI20" t="s">
        <v>304</v>
      </c>
      <c r="FJ20" t="s">
        <v>393</v>
      </c>
      <c r="FK20">
        <v>4723508</v>
      </c>
      <c r="FL20" t="s">
        <v>346</v>
      </c>
      <c r="FM20">
        <v>0.32</v>
      </c>
      <c r="FN20" t="s">
        <v>313</v>
      </c>
      <c r="FO20" t="s">
        <v>460</v>
      </c>
      <c r="FP20">
        <v>4337989</v>
      </c>
      <c r="FQ20" t="s">
        <v>346</v>
      </c>
      <c r="FR20">
        <v>0.01</v>
      </c>
      <c r="FS20" t="s">
        <v>53</v>
      </c>
      <c r="FT20" t="s">
        <v>384</v>
      </c>
      <c r="FU20">
        <v>27729798</v>
      </c>
      <c r="FV20" t="s">
        <v>365</v>
      </c>
      <c r="FW20">
        <v>0.17</v>
      </c>
      <c r="FX20" t="s">
        <v>332</v>
      </c>
      <c r="FY20" t="s">
        <v>1391</v>
      </c>
      <c r="FZ20">
        <v>4217352</v>
      </c>
      <c r="GA20" t="s">
        <v>346</v>
      </c>
      <c r="GB20">
        <v>0.8</v>
      </c>
      <c r="GC20" t="s">
        <v>62</v>
      </c>
      <c r="GD20" t="s">
        <v>1921</v>
      </c>
      <c r="GE20" t="s">
        <v>300</v>
      </c>
      <c r="GF20" t="s">
        <v>361</v>
      </c>
      <c r="GG20">
        <v>0.02</v>
      </c>
      <c r="GH20" t="s">
        <v>50</v>
      </c>
      <c r="GI20" t="s">
        <v>423</v>
      </c>
      <c r="GJ20">
        <v>4318240</v>
      </c>
      <c r="GK20" t="s">
        <v>346</v>
      </c>
      <c r="GL20">
        <v>0.15</v>
      </c>
      <c r="GM20" t="s">
        <v>304</v>
      </c>
      <c r="GN20" t="s">
        <v>393</v>
      </c>
      <c r="GO20">
        <v>4723508</v>
      </c>
      <c r="GP20" t="s">
        <v>346</v>
      </c>
      <c r="GQ20">
        <v>0.32</v>
      </c>
      <c r="GR20" t="s">
        <v>313</v>
      </c>
      <c r="GS20" t="s">
        <v>584</v>
      </c>
      <c r="GT20">
        <v>4138797</v>
      </c>
      <c r="GU20" t="s">
        <v>346</v>
      </c>
      <c r="GV20">
        <v>0.15</v>
      </c>
      <c r="GW20" t="s">
        <v>326</v>
      </c>
      <c r="GX20" t="s">
        <v>409</v>
      </c>
      <c r="GY20">
        <v>102719</v>
      </c>
      <c r="GZ20" t="s">
        <v>346</v>
      </c>
      <c r="HA20">
        <v>0.56000000000000005</v>
      </c>
      <c r="HB20" t="s">
        <v>53</v>
      </c>
      <c r="HG20" t="s">
        <v>306</v>
      </c>
    </row>
    <row r="21" spans="1:215" x14ac:dyDescent="0.35">
      <c r="E21" t="s">
        <v>306</v>
      </c>
      <c r="F21" t="s">
        <v>432</v>
      </c>
      <c r="G21">
        <v>110092</v>
      </c>
      <c r="H21" t="s">
        <v>346</v>
      </c>
      <c r="I21">
        <v>0.43</v>
      </c>
      <c r="J21" t="s">
        <v>53</v>
      </c>
      <c r="K21" t="s">
        <v>643</v>
      </c>
      <c r="L21">
        <v>8365031</v>
      </c>
      <c r="M21" t="s">
        <v>346</v>
      </c>
      <c r="N21">
        <v>0.11</v>
      </c>
      <c r="O21" t="s">
        <v>125</v>
      </c>
      <c r="T21" t="s">
        <v>306</v>
      </c>
      <c r="U21" t="s">
        <v>713</v>
      </c>
      <c r="V21">
        <v>3001689</v>
      </c>
      <c r="W21" t="s">
        <v>346</v>
      </c>
      <c r="X21">
        <v>0.63</v>
      </c>
      <c r="Y21" t="s">
        <v>317</v>
      </c>
      <c r="Z21" t="s">
        <v>643</v>
      </c>
      <c r="AA21">
        <v>8365031</v>
      </c>
      <c r="AB21" t="s">
        <v>346</v>
      </c>
      <c r="AC21">
        <v>0.11</v>
      </c>
      <c r="AD21" t="s">
        <v>125</v>
      </c>
      <c r="AE21" t="s">
        <v>449</v>
      </c>
      <c r="AF21">
        <v>4093616</v>
      </c>
      <c r="AG21" t="s">
        <v>346</v>
      </c>
      <c r="AH21">
        <v>0.25</v>
      </c>
      <c r="AI21" t="s">
        <v>80</v>
      </c>
      <c r="AN21" t="s">
        <v>306</v>
      </c>
      <c r="AO21" t="s">
        <v>396</v>
      </c>
      <c r="AP21">
        <v>4119759</v>
      </c>
      <c r="AQ21" t="s">
        <v>346</v>
      </c>
      <c r="AR21">
        <v>0.52</v>
      </c>
      <c r="AS21" t="s">
        <v>53</v>
      </c>
      <c r="AX21" t="s">
        <v>306</v>
      </c>
      <c r="AY21" t="s">
        <v>649</v>
      </c>
      <c r="AZ21">
        <v>4606392</v>
      </c>
      <c r="BA21" t="s">
        <v>346</v>
      </c>
      <c r="BB21">
        <v>0.24</v>
      </c>
      <c r="BC21" t="s">
        <v>50</v>
      </c>
      <c r="BD21" t="s">
        <v>385</v>
      </c>
      <c r="BE21">
        <v>5752504</v>
      </c>
      <c r="BF21" t="s">
        <v>346</v>
      </c>
      <c r="BG21">
        <v>0.77</v>
      </c>
      <c r="BH21" t="s">
        <v>53</v>
      </c>
      <c r="BI21" t="s">
        <v>432</v>
      </c>
      <c r="BJ21">
        <v>110092</v>
      </c>
      <c r="BK21" t="s">
        <v>346</v>
      </c>
      <c r="BL21">
        <v>0.53</v>
      </c>
      <c r="BM21" t="s">
        <v>53</v>
      </c>
      <c r="BN21" t="s">
        <v>669</v>
      </c>
      <c r="BO21">
        <v>5860959</v>
      </c>
      <c r="BP21" t="s">
        <v>346</v>
      </c>
      <c r="BQ21">
        <v>0.15</v>
      </c>
      <c r="BR21" t="s">
        <v>50</v>
      </c>
      <c r="BS21" t="s">
        <v>947</v>
      </c>
      <c r="BT21">
        <v>10741108</v>
      </c>
      <c r="BU21" t="s">
        <v>370</v>
      </c>
      <c r="BV21">
        <v>0.66</v>
      </c>
      <c r="BW21" t="s">
        <v>50</v>
      </c>
      <c r="BX21" t="s">
        <v>713</v>
      </c>
      <c r="BY21">
        <v>3001689</v>
      </c>
      <c r="BZ21" t="s">
        <v>346</v>
      </c>
      <c r="CA21">
        <v>0.63</v>
      </c>
      <c r="CB21" t="s">
        <v>317</v>
      </c>
      <c r="CC21" t="s">
        <v>484</v>
      </c>
      <c r="CD21">
        <v>110386</v>
      </c>
      <c r="CE21" t="s">
        <v>346</v>
      </c>
      <c r="CF21">
        <v>0.56000000000000005</v>
      </c>
      <c r="CG21" t="s">
        <v>53</v>
      </c>
      <c r="CH21" t="s">
        <v>396</v>
      </c>
      <c r="CI21">
        <v>4119759</v>
      </c>
      <c r="CJ21" t="s">
        <v>346</v>
      </c>
      <c r="CK21">
        <v>0.52</v>
      </c>
      <c r="CL21" t="s">
        <v>53</v>
      </c>
      <c r="CM21" t="s">
        <v>955</v>
      </c>
      <c r="CN21">
        <v>4138889</v>
      </c>
      <c r="CO21" t="s">
        <v>346</v>
      </c>
      <c r="CP21">
        <v>0.71</v>
      </c>
      <c r="CQ21" t="s">
        <v>313</v>
      </c>
      <c r="CV21" t="s">
        <v>306</v>
      </c>
      <c r="CW21" t="s">
        <v>411</v>
      </c>
      <c r="CX21">
        <v>4272373</v>
      </c>
      <c r="CY21" t="s">
        <v>346</v>
      </c>
      <c r="CZ21">
        <v>0</v>
      </c>
      <c r="DA21" t="s">
        <v>313</v>
      </c>
      <c r="DB21" t="s">
        <v>385</v>
      </c>
      <c r="DC21">
        <v>5752504</v>
      </c>
      <c r="DD21" t="s">
        <v>346</v>
      </c>
      <c r="DE21">
        <v>0.77</v>
      </c>
      <c r="DF21" t="s">
        <v>53</v>
      </c>
      <c r="DG21" t="s">
        <v>411</v>
      </c>
      <c r="DH21">
        <v>4272373</v>
      </c>
      <c r="DI21" t="s">
        <v>346</v>
      </c>
      <c r="DJ21">
        <v>0</v>
      </c>
      <c r="DK21" t="s">
        <v>313</v>
      </c>
      <c r="DL21" t="s">
        <v>385</v>
      </c>
      <c r="DM21">
        <v>5752504</v>
      </c>
      <c r="DN21" t="s">
        <v>346</v>
      </c>
      <c r="DO21">
        <v>0.77</v>
      </c>
      <c r="DP21" t="s">
        <v>53</v>
      </c>
      <c r="DU21" t="s">
        <v>306</v>
      </c>
      <c r="DV21" t="s">
        <v>1034</v>
      </c>
      <c r="DW21">
        <v>4256960</v>
      </c>
      <c r="DX21" t="s">
        <v>346</v>
      </c>
      <c r="DY21">
        <v>0.03</v>
      </c>
      <c r="DZ21" t="s">
        <v>2183</v>
      </c>
      <c r="EA21" t="s">
        <v>484</v>
      </c>
      <c r="EB21">
        <v>110386</v>
      </c>
      <c r="EC21" t="s">
        <v>346</v>
      </c>
      <c r="ED21">
        <v>0.56000000000000005</v>
      </c>
      <c r="EE21" t="s">
        <v>53</v>
      </c>
      <c r="EF21" t="s">
        <v>385</v>
      </c>
      <c r="EG21">
        <v>5752504</v>
      </c>
      <c r="EH21" t="s">
        <v>346</v>
      </c>
      <c r="EI21">
        <v>0.77</v>
      </c>
      <c r="EJ21" t="s">
        <v>53</v>
      </c>
      <c r="EK21" t="s">
        <v>411</v>
      </c>
      <c r="EL21">
        <v>4272373</v>
      </c>
      <c r="EM21" t="s">
        <v>346</v>
      </c>
      <c r="EN21">
        <v>0</v>
      </c>
      <c r="EO21" t="s">
        <v>313</v>
      </c>
      <c r="EP21" t="s">
        <v>684</v>
      </c>
      <c r="EQ21">
        <v>4139415</v>
      </c>
      <c r="ER21" t="s">
        <v>346</v>
      </c>
      <c r="ES21">
        <v>0.31</v>
      </c>
      <c r="ET21" t="s">
        <v>50</v>
      </c>
      <c r="EY21" t="s">
        <v>306</v>
      </c>
      <c r="EZ21" t="s">
        <v>1922</v>
      </c>
      <c r="FA21" t="s">
        <v>300</v>
      </c>
      <c r="FB21" t="s">
        <v>361</v>
      </c>
      <c r="FC21">
        <v>0.02</v>
      </c>
      <c r="FD21" t="s">
        <v>50</v>
      </c>
      <c r="FE21" t="s">
        <v>415</v>
      </c>
      <c r="FF21">
        <v>110587</v>
      </c>
      <c r="FG21" t="s">
        <v>346</v>
      </c>
      <c r="FH21">
        <v>0.13</v>
      </c>
      <c r="FI21" t="s">
        <v>53</v>
      </c>
      <c r="FJ21" t="s">
        <v>2156</v>
      </c>
      <c r="FK21">
        <v>4258452</v>
      </c>
      <c r="FL21" t="s">
        <v>346</v>
      </c>
      <c r="FM21">
        <v>0.31</v>
      </c>
      <c r="FN21" t="s">
        <v>304</v>
      </c>
      <c r="FO21" t="s">
        <v>411</v>
      </c>
      <c r="FP21">
        <v>4272373</v>
      </c>
      <c r="FQ21" t="s">
        <v>346</v>
      </c>
      <c r="FR21">
        <v>0</v>
      </c>
      <c r="FS21" t="s">
        <v>313</v>
      </c>
      <c r="FT21" t="s">
        <v>352</v>
      </c>
      <c r="FU21">
        <v>4143440</v>
      </c>
      <c r="FV21" t="s">
        <v>346</v>
      </c>
      <c r="FW21">
        <v>0.17</v>
      </c>
      <c r="FX21" t="s">
        <v>53</v>
      </c>
      <c r="FY21" t="s">
        <v>385</v>
      </c>
      <c r="FZ21">
        <v>5752504</v>
      </c>
      <c r="GA21" t="s">
        <v>346</v>
      </c>
      <c r="GB21">
        <v>0.77</v>
      </c>
      <c r="GC21" t="s">
        <v>53</v>
      </c>
      <c r="GD21" t="s">
        <v>1922</v>
      </c>
      <c r="GE21" t="s">
        <v>300</v>
      </c>
      <c r="GF21" t="s">
        <v>361</v>
      </c>
      <c r="GG21">
        <v>0.02</v>
      </c>
      <c r="GH21" t="s">
        <v>50</v>
      </c>
      <c r="GI21" t="s">
        <v>415</v>
      </c>
      <c r="GJ21">
        <v>110587</v>
      </c>
      <c r="GK21" t="s">
        <v>346</v>
      </c>
      <c r="GL21">
        <v>0.13</v>
      </c>
      <c r="GM21" t="s">
        <v>53</v>
      </c>
      <c r="GN21" t="s">
        <v>2156</v>
      </c>
      <c r="GO21">
        <v>4258452</v>
      </c>
      <c r="GP21" t="s">
        <v>346</v>
      </c>
      <c r="GQ21">
        <v>0.31</v>
      </c>
      <c r="GR21" t="s">
        <v>304</v>
      </c>
      <c r="GS21" t="s">
        <v>669</v>
      </c>
      <c r="GT21">
        <v>5860959</v>
      </c>
      <c r="GU21" t="s">
        <v>346</v>
      </c>
      <c r="GV21">
        <v>0.15</v>
      </c>
      <c r="GW21" t="s">
        <v>50</v>
      </c>
      <c r="GX21" t="s">
        <v>484</v>
      </c>
      <c r="GY21">
        <v>110386</v>
      </c>
      <c r="GZ21" t="s">
        <v>346</v>
      </c>
      <c r="HA21">
        <v>0.56000000000000005</v>
      </c>
      <c r="HB21" t="s">
        <v>53</v>
      </c>
      <c r="HG21" t="s">
        <v>306</v>
      </c>
    </row>
    <row r="22" spans="1:215" x14ac:dyDescent="0.35">
      <c r="E22" t="s">
        <v>306</v>
      </c>
      <c r="F22" t="s">
        <v>351</v>
      </c>
      <c r="G22">
        <v>111289</v>
      </c>
      <c r="H22" t="s">
        <v>346</v>
      </c>
      <c r="I22">
        <v>0.42</v>
      </c>
      <c r="J22" t="s">
        <v>53</v>
      </c>
      <c r="K22" t="s">
        <v>644</v>
      </c>
      <c r="L22">
        <v>4138625</v>
      </c>
      <c r="M22" t="s">
        <v>346</v>
      </c>
      <c r="N22">
        <v>0.1</v>
      </c>
      <c r="O22" t="s">
        <v>50</v>
      </c>
      <c r="T22" t="s">
        <v>306</v>
      </c>
      <c r="U22" t="s">
        <v>669</v>
      </c>
      <c r="V22">
        <v>5860959</v>
      </c>
      <c r="W22" t="s">
        <v>346</v>
      </c>
      <c r="X22">
        <v>0.6</v>
      </c>
      <c r="Y22" t="s">
        <v>50</v>
      </c>
      <c r="Z22" t="s">
        <v>644</v>
      </c>
      <c r="AA22">
        <v>4138625</v>
      </c>
      <c r="AB22" t="s">
        <v>346</v>
      </c>
      <c r="AC22">
        <v>0.1</v>
      </c>
      <c r="AD22" t="s">
        <v>50</v>
      </c>
      <c r="AE22" t="s">
        <v>451</v>
      </c>
      <c r="AF22">
        <v>5747632</v>
      </c>
      <c r="AG22" t="s">
        <v>346</v>
      </c>
      <c r="AH22">
        <v>0.24</v>
      </c>
      <c r="AI22" t="s">
        <v>80</v>
      </c>
      <c r="AN22" t="s">
        <v>306</v>
      </c>
      <c r="AO22" t="s">
        <v>1258</v>
      </c>
      <c r="AP22">
        <v>4418750</v>
      </c>
      <c r="AQ22" t="s">
        <v>346</v>
      </c>
      <c r="AR22">
        <v>0.48</v>
      </c>
      <c r="AS22" t="s">
        <v>62</v>
      </c>
      <c r="AX22" t="s">
        <v>306</v>
      </c>
      <c r="AY22" t="s">
        <v>379</v>
      </c>
      <c r="AZ22">
        <v>137764443</v>
      </c>
      <c r="BA22" t="s">
        <v>346</v>
      </c>
      <c r="BB22">
        <v>0.23</v>
      </c>
      <c r="BC22" t="s">
        <v>53</v>
      </c>
      <c r="BD22" t="s">
        <v>979</v>
      </c>
      <c r="BE22">
        <v>4041196</v>
      </c>
      <c r="BF22" t="s">
        <v>366</v>
      </c>
      <c r="BG22">
        <v>0.69</v>
      </c>
      <c r="BH22" t="s">
        <v>313</v>
      </c>
      <c r="BI22" t="s">
        <v>394</v>
      </c>
      <c r="BJ22">
        <v>4048695</v>
      </c>
      <c r="BK22" t="s">
        <v>346</v>
      </c>
      <c r="BL22">
        <v>0.45</v>
      </c>
      <c r="BM22" t="s">
        <v>53</v>
      </c>
      <c r="BN22" t="s">
        <v>954</v>
      </c>
      <c r="BO22">
        <v>4026994</v>
      </c>
      <c r="BP22" t="s">
        <v>346</v>
      </c>
      <c r="BQ22">
        <v>0.12</v>
      </c>
      <c r="BR22" t="s">
        <v>321</v>
      </c>
      <c r="BS22" t="s">
        <v>637</v>
      </c>
      <c r="BT22">
        <v>4138661</v>
      </c>
      <c r="BU22" t="s">
        <v>346</v>
      </c>
      <c r="BV22">
        <v>0.66</v>
      </c>
      <c r="BW22" t="s">
        <v>50</v>
      </c>
      <c r="BX22" t="s">
        <v>669</v>
      </c>
      <c r="BY22">
        <v>5860959</v>
      </c>
      <c r="BZ22" t="s">
        <v>346</v>
      </c>
      <c r="CA22">
        <v>0.6</v>
      </c>
      <c r="CB22" t="s">
        <v>50</v>
      </c>
      <c r="CC22" t="s">
        <v>1122</v>
      </c>
      <c r="CD22">
        <v>111354</v>
      </c>
      <c r="CE22" t="s">
        <v>346</v>
      </c>
      <c r="CF22">
        <v>0.53</v>
      </c>
      <c r="CG22" t="s">
        <v>53</v>
      </c>
      <c r="CH22" t="s">
        <v>1258</v>
      </c>
      <c r="CI22">
        <v>4418750</v>
      </c>
      <c r="CJ22" t="s">
        <v>346</v>
      </c>
      <c r="CK22">
        <v>0.48</v>
      </c>
      <c r="CL22" t="s">
        <v>62</v>
      </c>
      <c r="CM22" t="s">
        <v>357</v>
      </c>
      <c r="CN22">
        <v>4270330</v>
      </c>
      <c r="CO22" t="s">
        <v>346</v>
      </c>
      <c r="CP22">
        <v>0.65</v>
      </c>
      <c r="CQ22" t="s">
        <v>53</v>
      </c>
      <c r="CV22" t="s">
        <v>306</v>
      </c>
      <c r="CW22" t="s">
        <v>393</v>
      </c>
      <c r="CX22">
        <v>4723508</v>
      </c>
      <c r="CY22" t="s">
        <v>346</v>
      </c>
      <c r="CZ22">
        <v>0</v>
      </c>
      <c r="DA22" t="s">
        <v>313</v>
      </c>
      <c r="DB22" t="s">
        <v>979</v>
      </c>
      <c r="DC22">
        <v>4041196</v>
      </c>
      <c r="DD22" t="s">
        <v>366</v>
      </c>
      <c r="DE22">
        <v>0.69</v>
      </c>
      <c r="DF22" t="s">
        <v>313</v>
      </c>
      <c r="DG22" t="s">
        <v>393</v>
      </c>
      <c r="DH22">
        <v>4723508</v>
      </c>
      <c r="DI22" t="s">
        <v>346</v>
      </c>
      <c r="DJ22">
        <v>0</v>
      </c>
      <c r="DK22" t="s">
        <v>313</v>
      </c>
      <c r="DL22" t="s">
        <v>979</v>
      </c>
      <c r="DM22">
        <v>4041196</v>
      </c>
      <c r="DN22" t="s">
        <v>366</v>
      </c>
      <c r="DO22">
        <v>0.69</v>
      </c>
      <c r="DP22" t="s">
        <v>313</v>
      </c>
      <c r="DU22" t="s">
        <v>306</v>
      </c>
      <c r="DV22" t="s">
        <v>978</v>
      </c>
      <c r="DW22">
        <v>4224292</v>
      </c>
      <c r="DX22" t="s">
        <v>346</v>
      </c>
      <c r="DY22">
        <v>0.03</v>
      </c>
      <c r="DZ22" t="s">
        <v>2185</v>
      </c>
      <c r="EA22" t="s">
        <v>1122</v>
      </c>
      <c r="EB22">
        <v>111354</v>
      </c>
      <c r="EC22" t="s">
        <v>346</v>
      </c>
      <c r="ED22">
        <v>0.53</v>
      </c>
      <c r="EE22" t="s">
        <v>53</v>
      </c>
      <c r="EF22" t="s">
        <v>979</v>
      </c>
      <c r="EG22">
        <v>4041196</v>
      </c>
      <c r="EH22" t="s">
        <v>366</v>
      </c>
      <c r="EI22">
        <v>0.69</v>
      </c>
      <c r="EJ22" t="s">
        <v>313</v>
      </c>
      <c r="EK22" t="s">
        <v>393</v>
      </c>
      <c r="EL22">
        <v>4723508</v>
      </c>
      <c r="EM22" t="s">
        <v>346</v>
      </c>
      <c r="EN22">
        <v>0</v>
      </c>
      <c r="EO22" t="s">
        <v>313</v>
      </c>
      <c r="EP22" t="s">
        <v>596</v>
      </c>
      <c r="EQ22">
        <v>4140486</v>
      </c>
      <c r="ER22" t="s">
        <v>346</v>
      </c>
      <c r="ES22">
        <v>0.27</v>
      </c>
      <c r="ET22" t="s">
        <v>50</v>
      </c>
      <c r="EY22" t="s">
        <v>306</v>
      </c>
      <c r="EZ22" t="s">
        <v>1923</v>
      </c>
      <c r="FA22">
        <v>119936640</v>
      </c>
      <c r="FB22" t="s">
        <v>370</v>
      </c>
      <c r="FC22">
        <v>0.02</v>
      </c>
      <c r="FD22" t="s">
        <v>128</v>
      </c>
      <c r="FE22" t="s">
        <v>355</v>
      </c>
      <c r="FF22">
        <v>111074</v>
      </c>
      <c r="FG22" t="s">
        <v>346</v>
      </c>
      <c r="FH22">
        <v>0.09</v>
      </c>
      <c r="FI22" t="s">
        <v>53</v>
      </c>
      <c r="FJ22" t="s">
        <v>388</v>
      </c>
      <c r="FK22">
        <v>4057506</v>
      </c>
      <c r="FL22" t="s">
        <v>346</v>
      </c>
      <c r="FM22">
        <v>0.31</v>
      </c>
      <c r="FN22" t="s">
        <v>53</v>
      </c>
      <c r="FO22" t="s">
        <v>393</v>
      </c>
      <c r="FP22">
        <v>4723508</v>
      </c>
      <c r="FQ22" t="s">
        <v>346</v>
      </c>
      <c r="FR22">
        <v>0</v>
      </c>
      <c r="FS22" t="s">
        <v>313</v>
      </c>
      <c r="FT22" t="s">
        <v>385</v>
      </c>
      <c r="FU22">
        <v>5752504</v>
      </c>
      <c r="FV22" t="s">
        <v>346</v>
      </c>
      <c r="FW22">
        <v>0.14000000000000001</v>
      </c>
      <c r="FX22" t="s">
        <v>53</v>
      </c>
      <c r="FY22" t="s">
        <v>979</v>
      </c>
      <c r="FZ22">
        <v>4041196</v>
      </c>
      <c r="GA22" t="s">
        <v>366</v>
      </c>
      <c r="GB22">
        <v>0.69</v>
      </c>
      <c r="GC22" t="s">
        <v>313</v>
      </c>
      <c r="GD22" t="s">
        <v>1923</v>
      </c>
      <c r="GE22">
        <v>119936640</v>
      </c>
      <c r="GF22" t="s">
        <v>370</v>
      </c>
      <c r="GG22">
        <v>0.02</v>
      </c>
      <c r="GH22" t="s">
        <v>128</v>
      </c>
      <c r="GI22" t="s">
        <v>355</v>
      </c>
      <c r="GJ22">
        <v>111074</v>
      </c>
      <c r="GK22" t="s">
        <v>346</v>
      </c>
      <c r="GL22">
        <v>0.09</v>
      </c>
      <c r="GM22" t="s">
        <v>53</v>
      </c>
      <c r="GN22" t="s">
        <v>388</v>
      </c>
      <c r="GO22">
        <v>4057506</v>
      </c>
      <c r="GP22" t="s">
        <v>346</v>
      </c>
      <c r="GQ22">
        <v>0.31</v>
      </c>
      <c r="GR22" t="s">
        <v>53</v>
      </c>
      <c r="GS22" t="s">
        <v>954</v>
      </c>
      <c r="GT22">
        <v>4026994</v>
      </c>
      <c r="GU22" t="s">
        <v>346</v>
      </c>
      <c r="GV22">
        <v>0.12</v>
      </c>
      <c r="GW22" t="s">
        <v>321</v>
      </c>
      <c r="GX22" t="s">
        <v>1122</v>
      </c>
      <c r="GY22">
        <v>111354</v>
      </c>
      <c r="GZ22" t="s">
        <v>346</v>
      </c>
      <c r="HA22">
        <v>0.53</v>
      </c>
      <c r="HB22" t="s">
        <v>53</v>
      </c>
      <c r="HG22" t="s">
        <v>306</v>
      </c>
    </row>
    <row r="23" spans="1:215" x14ac:dyDescent="0.35">
      <c r="E23" t="s">
        <v>306</v>
      </c>
      <c r="F23" t="s">
        <v>394</v>
      </c>
      <c r="G23">
        <v>4048695</v>
      </c>
      <c r="H23" t="s">
        <v>346</v>
      </c>
      <c r="I23">
        <v>0.4</v>
      </c>
      <c r="J23" t="s">
        <v>53</v>
      </c>
      <c r="K23" t="s">
        <v>645</v>
      </c>
      <c r="L23">
        <v>4198648</v>
      </c>
      <c r="M23" t="s">
        <v>346</v>
      </c>
      <c r="N23">
        <v>0.09</v>
      </c>
      <c r="O23" t="s">
        <v>67</v>
      </c>
      <c r="T23" t="s">
        <v>306</v>
      </c>
      <c r="U23" t="s">
        <v>714</v>
      </c>
      <c r="V23">
        <v>4388745</v>
      </c>
      <c r="W23" t="s">
        <v>346</v>
      </c>
      <c r="X23">
        <v>0.59</v>
      </c>
      <c r="Y23" t="s">
        <v>326</v>
      </c>
      <c r="Z23" t="s">
        <v>645</v>
      </c>
      <c r="AA23">
        <v>4198648</v>
      </c>
      <c r="AB23" t="s">
        <v>346</v>
      </c>
      <c r="AC23">
        <v>0.09</v>
      </c>
      <c r="AD23" t="s">
        <v>67</v>
      </c>
      <c r="AE23" t="s">
        <v>394</v>
      </c>
      <c r="AF23">
        <v>4048695</v>
      </c>
      <c r="AG23" t="s">
        <v>346</v>
      </c>
      <c r="AH23">
        <v>0.23</v>
      </c>
      <c r="AI23" t="s">
        <v>53</v>
      </c>
      <c r="AN23" t="s">
        <v>306</v>
      </c>
      <c r="AO23" t="s">
        <v>394</v>
      </c>
      <c r="AP23">
        <v>4048695</v>
      </c>
      <c r="AQ23" t="s">
        <v>346</v>
      </c>
      <c r="AR23">
        <v>0.48</v>
      </c>
      <c r="AS23" t="s">
        <v>53</v>
      </c>
      <c r="AX23" t="s">
        <v>306</v>
      </c>
      <c r="AY23" t="s">
        <v>741</v>
      </c>
      <c r="AZ23">
        <v>4404664</v>
      </c>
      <c r="BA23" t="s">
        <v>346</v>
      </c>
      <c r="BB23">
        <v>0.23</v>
      </c>
      <c r="BC23" t="s">
        <v>50</v>
      </c>
      <c r="BD23" t="s">
        <v>386</v>
      </c>
      <c r="BE23">
        <v>4145085</v>
      </c>
      <c r="BF23" t="s">
        <v>346</v>
      </c>
      <c r="BG23">
        <v>0.63</v>
      </c>
      <c r="BH23" t="s">
        <v>313</v>
      </c>
      <c r="BI23" t="s">
        <v>393</v>
      </c>
      <c r="BJ23">
        <v>4723508</v>
      </c>
      <c r="BK23" t="s">
        <v>346</v>
      </c>
      <c r="BL23">
        <v>0.44</v>
      </c>
      <c r="BM23" t="s">
        <v>313</v>
      </c>
      <c r="BN23" t="s">
        <v>396</v>
      </c>
      <c r="BO23">
        <v>4119759</v>
      </c>
      <c r="BP23" t="s">
        <v>346</v>
      </c>
      <c r="BQ23">
        <v>0.12</v>
      </c>
      <c r="BR23" t="s">
        <v>53</v>
      </c>
      <c r="BS23" t="s">
        <v>725</v>
      </c>
      <c r="BT23">
        <v>111195</v>
      </c>
      <c r="BU23" t="s">
        <v>346</v>
      </c>
      <c r="BV23">
        <v>0.49</v>
      </c>
      <c r="BW23" t="s">
        <v>53</v>
      </c>
      <c r="BX23" t="s">
        <v>714</v>
      </c>
      <c r="BY23">
        <v>4388745</v>
      </c>
      <c r="BZ23" t="s">
        <v>346</v>
      </c>
      <c r="CA23">
        <v>0.59</v>
      </c>
      <c r="CB23" t="s">
        <v>326</v>
      </c>
      <c r="CC23" t="s">
        <v>1195</v>
      </c>
      <c r="CD23">
        <v>4702400</v>
      </c>
      <c r="CE23" t="s">
        <v>346</v>
      </c>
      <c r="CF23">
        <v>0.47</v>
      </c>
      <c r="CG23" t="s">
        <v>53</v>
      </c>
      <c r="CH23" t="s">
        <v>394</v>
      </c>
      <c r="CI23">
        <v>4048695</v>
      </c>
      <c r="CJ23" t="s">
        <v>346</v>
      </c>
      <c r="CK23">
        <v>0.48</v>
      </c>
      <c r="CL23" t="s">
        <v>53</v>
      </c>
      <c r="CM23" t="s">
        <v>380</v>
      </c>
      <c r="CN23">
        <v>4674815</v>
      </c>
      <c r="CO23" t="s">
        <v>346</v>
      </c>
      <c r="CP23">
        <v>0.63</v>
      </c>
      <c r="CQ23" t="s">
        <v>320</v>
      </c>
      <c r="CV23" t="s">
        <v>306</v>
      </c>
      <c r="CW23" t="s">
        <v>631</v>
      </c>
      <c r="CX23">
        <v>112247511</v>
      </c>
      <c r="CY23" t="s">
        <v>346</v>
      </c>
      <c r="CZ23">
        <v>0</v>
      </c>
      <c r="DA23" t="s">
        <v>53</v>
      </c>
      <c r="DB23" t="s">
        <v>386</v>
      </c>
      <c r="DC23">
        <v>4145085</v>
      </c>
      <c r="DD23" t="s">
        <v>346</v>
      </c>
      <c r="DE23">
        <v>0.63</v>
      </c>
      <c r="DF23" t="s">
        <v>313</v>
      </c>
      <c r="DG23" t="s">
        <v>631</v>
      </c>
      <c r="DH23">
        <v>112247511</v>
      </c>
      <c r="DI23" t="s">
        <v>346</v>
      </c>
      <c r="DJ23">
        <v>0</v>
      </c>
      <c r="DK23" t="s">
        <v>53</v>
      </c>
      <c r="DL23" t="s">
        <v>386</v>
      </c>
      <c r="DM23">
        <v>4145085</v>
      </c>
      <c r="DN23" t="s">
        <v>346</v>
      </c>
      <c r="DO23">
        <v>0.63</v>
      </c>
      <c r="DP23" t="s">
        <v>313</v>
      </c>
      <c r="DU23" t="s">
        <v>306</v>
      </c>
      <c r="DV23" t="s">
        <v>1194</v>
      </c>
      <c r="DW23">
        <v>5763671</v>
      </c>
      <c r="DX23" t="s">
        <v>346</v>
      </c>
      <c r="DY23">
        <v>0.03</v>
      </c>
      <c r="DZ23" t="s">
        <v>77</v>
      </c>
      <c r="EA23" t="s">
        <v>1195</v>
      </c>
      <c r="EB23">
        <v>4702400</v>
      </c>
      <c r="EC23" t="s">
        <v>346</v>
      </c>
      <c r="ED23">
        <v>0.47</v>
      </c>
      <c r="EE23" t="s">
        <v>53</v>
      </c>
      <c r="EF23" t="s">
        <v>386</v>
      </c>
      <c r="EG23">
        <v>4145085</v>
      </c>
      <c r="EH23" t="s">
        <v>346</v>
      </c>
      <c r="EI23">
        <v>0.63</v>
      </c>
      <c r="EJ23" t="s">
        <v>313</v>
      </c>
      <c r="EK23" t="s">
        <v>631</v>
      </c>
      <c r="EL23">
        <v>112247511</v>
      </c>
      <c r="EM23" t="s">
        <v>346</v>
      </c>
      <c r="EN23">
        <v>0</v>
      </c>
      <c r="EO23" t="s">
        <v>53</v>
      </c>
      <c r="EP23" t="s">
        <v>353</v>
      </c>
      <c r="EQ23">
        <v>4048287</v>
      </c>
      <c r="ER23" t="s">
        <v>346</v>
      </c>
      <c r="ES23">
        <v>0.22</v>
      </c>
      <c r="ET23" t="s">
        <v>53</v>
      </c>
      <c r="EY23" t="s">
        <v>306</v>
      </c>
      <c r="EZ23" t="s">
        <v>1924</v>
      </c>
      <c r="FA23" t="s">
        <v>300</v>
      </c>
      <c r="FB23" t="s">
        <v>361</v>
      </c>
      <c r="FC23">
        <v>0.02</v>
      </c>
      <c r="FD23" t="s">
        <v>50</v>
      </c>
      <c r="FE23" t="s">
        <v>2149</v>
      </c>
      <c r="FF23" t="s">
        <v>300</v>
      </c>
      <c r="FG23" t="s">
        <v>361</v>
      </c>
      <c r="FH23">
        <v>0.08</v>
      </c>
      <c r="FI23" t="s">
        <v>50</v>
      </c>
      <c r="FJ23" t="s">
        <v>409</v>
      </c>
      <c r="FK23">
        <v>102719</v>
      </c>
      <c r="FL23" t="s">
        <v>346</v>
      </c>
      <c r="FM23">
        <v>0.27</v>
      </c>
      <c r="FN23" t="s">
        <v>53</v>
      </c>
      <c r="FO23" t="s">
        <v>631</v>
      </c>
      <c r="FP23">
        <v>112247511</v>
      </c>
      <c r="FQ23" t="s">
        <v>346</v>
      </c>
      <c r="FR23">
        <v>0</v>
      </c>
      <c r="FS23" t="s">
        <v>53</v>
      </c>
      <c r="FT23" t="s">
        <v>357</v>
      </c>
      <c r="FU23">
        <v>4270330</v>
      </c>
      <c r="FV23" t="s">
        <v>346</v>
      </c>
      <c r="FW23">
        <v>0.1</v>
      </c>
      <c r="FX23" t="s">
        <v>53</v>
      </c>
      <c r="FY23" t="s">
        <v>386</v>
      </c>
      <c r="FZ23">
        <v>4145085</v>
      </c>
      <c r="GA23" t="s">
        <v>346</v>
      </c>
      <c r="GB23">
        <v>0.63</v>
      </c>
      <c r="GC23" t="s">
        <v>313</v>
      </c>
      <c r="GD23" t="s">
        <v>1924</v>
      </c>
      <c r="GE23" t="s">
        <v>300</v>
      </c>
      <c r="GF23" t="s">
        <v>361</v>
      </c>
      <c r="GG23">
        <v>0.02</v>
      </c>
      <c r="GH23" t="s">
        <v>50</v>
      </c>
      <c r="GI23" t="s">
        <v>2149</v>
      </c>
      <c r="GJ23" t="s">
        <v>300</v>
      </c>
      <c r="GK23" t="s">
        <v>361</v>
      </c>
      <c r="GL23">
        <v>0.08</v>
      </c>
      <c r="GM23" t="s">
        <v>50</v>
      </c>
      <c r="GN23" t="s">
        <v>409</v>
      </c>
      <c r="GO23">
        <v>102719</v>
      </c>
      <c r="GP23" t="s">
        <v>346</v>
      </c>
      <c r="GQ23">
        <v>0.27</v>
      </c>
      <c r="GR23" t="s">
        <v>53</v>
      </c>
      <c r="GS23" t="s">
        <v>396</v>
      </c>
      <c r="GT23">
        <v>4119759</v>
      </c>
      <c r="GU23" t="s">
        <v>346</v>
      </c>
      <c r="GV23">
        <v>0.12</v>
      </c>
      <c r="GW23" t="s">
        <v>53</v>
      </c>
      <c r="GX23" t="s">
        <v>1195</v>
      </c>
      <c r="GY23">
        <v>4702400</v>
      </c>
      <c r="GZ23" t="s">
        <v>346</v>
      </c>
      <c r="HA23">
        <v>0.47</v>
      </c>
      <c r="HB23" t="s">
        <v>53</v>
      </c>
      <c r="HG23" t="s">
        <v>306</v>
      </c>
    </row>
    <row r="24" spans="1:215" x14ac:dyDescent="0.35">
      <c r="E24" t="s">
        <v>306</v>
      </c>
      <c r="F24" t="s">
        <v>433</v>
      </c>
      <c r="G24">
        <v>3000896</v>
      </c>
      <c r="H24" t="s">
        <v>346</v>
      </c>
      <c r="I24">
        <v>0.35</v>
      </c>
      <c r="J24" t="s">
        <v>53</v>
      </c>
      <c r="K24" t="s">
        <v>354</v>
      </c>
      <c r="L24">
        <v>110652</v>
      </c>
      <c r="M24" t="s">
        <v>346</v>
      </c>
      <c r="N24">
        <v>0.08</v>
      </c>
      <c r="O24" t="s">
        <v>53</v>
      </c>
      <c r="T24" t="s">
        <v>306</v>
      </c>
      <c r="U24" t="s">
        <v>715</v>
      </c>
      <c r="V24">
        <v>4137795</v>
      </c>
      <c r="W24" t="s">
        <v>362</v>
      </c>
      <c r="X24">
        <v>0.52</v>
      </c>
      <c r="Y24" t="s">
        <v>314</v>
      </c>
      <c r="Z24" t="s">
        <v>354</v>
      </c>
      <c r="AA24">
        <v>110652</v>
      </c>
      <c r="AB24" t="s">
        <v>346</v>
      </c>
      <c r="AC24">
        <v>0.08</v>
      </c>
      <c r="AD24" t="s">
        <v>53</v>
      </c>
      <c r="AE24" t="s">
        <v>1111</v>
      </c>
      <c r="AF24">
        <v>4139331</v>
      </c>
      <c r="AG24" t="s">
        <v>346</v>
      </c>
      <c r="AH24">
        <v>0.22</v>
      </c>
      <c r="AI24" t="s">
        <v>320</v>
      </c>
      <c r="AN24" t="s">
        <v>306</v>
      </c>
      <c r="AO24" t="s">
        <v>926</v>
      </c>
      <c r="AP24">
        <v>4140566</v>
      </c>
      <c r="AQ24" t="s">
        <v>346</v>
      </c>
      <c r="AR24">
        <v>0.44</v>
      </c>
      <c r="AS24" t="s">
        <v>62</v>
      </c>
      <c r="AX24" t="s">
        <v>306</v>
      </c>
      <c r="AY24" t="s">
        <v>596</v>
      </c>
      <c r="AZ24">
        <v>4140486</v>
      </c>
      <c r="BA24" t="s">
        <v>346</v>
      </c>
      <c r="BB24">
        <v>0.22</v>
      </c>
      <c r="BC24" t="s">
        <v>50</v>
      </c>
      <c r="BD24" t="s">
        <v>396</v>
      </c>
      <c r="BE24">
        <v>4119759</v>
      </c>
      <c r="BF24" t="s">
        <v>346</v>
      </c>
      <c r="BG24">
        <v>0.62</v>
      </c>
      <c r="BH24" t="s">
        <v>53</v>
      </c>
      <c r="BI24" t="s">
        <v>612</v>
      </c>
      <c r="BJ24">
        <v>5805166</v>
      </c>
      <c r="BK24" t="s">
        <v>346</v>
      </c>
      <c r="BL24">
        <v>0.4</v>
      </c>
      <c r="BM24" t="s">
        <v>323</v>
      </c>
      <c r="BN24" t="s">
        <v>721</v>
      </c>
      <c r="BO24">
        <v>4329445</v>
      </c>
      <c r="BP24" t="s">
        <v>346</v>
      </c>
      <c r="BQ24">
        <v>0.12</v>
      </c>
      <c r="BR24" t="s">
        <v>50</v>
      </c>
      <c r="BS24" t="s">
        <v>646</v>
      </c>
      <c r="BT24">
        <v>4435100</v>
      </c>
      <c r="BU24" t="s">
        <v>346</v>
      </c>
      <c r="BV24">
        <v>0.48</v>
      </c>
      <c r="BW24" t="s">
        <v>50</v>
      </c>
      <c r="BX24" t="s">
        <v>715</v>
      </c>
      <c r="BY24">
        <v>4137795</v>
      </c>
      <c r="BZ24" t="s">
        <v>362</v>
      </c>
      <c r="CA24">
        <v>0.52</v>
      </c>
      <c r="CB24" t="s">
        <v>314</v>
      </c>
      <c r="CC24" t="s">
        <v>960</v>
      </c>
      <c r="CD24">
        <v>4053760</v>
      </c>
      <c r="CE24" t="s">
        <v>346</v>
      </c>
      <c r="CF24">
        <v>0.46</v>
      </c>
      <c r="CG24" t="s">
        <v>2189</v>
      </c>
      <c r="CH24" t="s">
        <v>926</v>
      </c>
      <c r="CI24">
        <v>4140566</v>
      </c>
      <c r="CJ24" t="s">
        <v>346</v>
      </c>
      <c r="CK24">
        <v>0.44</v>
      </c>
      <c r="CL24" t="s">
        <v>62</v>
      </c>
      <c r="CM24" t="s">
        <v>1632</v>
      </c>
      <c r="CN24">
        <v>111192</v>
      </c>
      <c r="CO24" t="s">
        <v>364</v>
      </c>
      <c r="CP24">
        <v>0.63</v>
      </c>
      <c r="CQ24" t="s">
        <v>53</v>
      </c>
      <c r="CV24" t="s">
        <v>306</v>
      </c>
      <c r="CW24" t="s">
        <v>403</v>
      </c>
      <c r="CX24">
        <v>4033550</v>
      </c>
      <c r="CY24" t="s">
        <v>346</v>
      </c>
      <c r="CZ24">
        <v>0</v>
      </c>
      <c r="DA24" t="s">
        <v>53</v>
      </c>
      <c r="DB24" t="s">
        <v>396</v>
      </c>
      <c r="DC24">
        <v>4119759</v>
      </c>
      <c r="DD24" t="s">
        <v>346</v>
      </c>
      <c r="DE24">
        <v>0.62</v>
      </c>
      <c r="DF24" t="s">
        <v>53</v>
      </c>
      <c r="DG24" t="s">
        <v>403</v>
      </c>
      <c r="DH24">
        <v>4033550</v>
      </c>
      <c r="DI24" t="s">
        <v>346</v>
      </c>
      <c r="DJ24">
        <v>0</v>
      </c>
      <c r="DK24" t="s">
        <v>53</v>
      </c>
      <c r="DL24" t="s">
        <v>396</v>
      </c>
      <c r="DM24">
        <v>4119759</v>
      </c>
      <c r="DN24" t="s">
        <v>346</v>
      </c>
      <c r="DO24">
        <v>0.62</v>
      </c>
      <c r="DP24" t="s">
        <v>53</v>
      </c>
      <c r="DU24" t="s">
        <v>306</v>
      </c>
      <c r="DV24" t="s">
        <v>380</v>
      </c>
      <c r="DW24">
        <v>4674815</v>
      </c>
      <c r="DX24" t="s">
        <v>346</v>
      </c>
      <c r="DY24">
        <v>0.02</v>
      </c>
      <c r="DZ24" t="s">
        <v>320</v>
      </c>
      <c r="EA24" t="s">
        <v>960</v>
      </c>
      <c r="EB24">
        <v>4053760</v>
      </c>
      <c r="EC24" t="s">
        <v>346</v>
      </c>
      <c r="ED24">
        <v>0.46</v>
      </c>
      <c r="EE24" t="s">
        <v>2189</v>
      </c>
      <c r="EF24" t="s">
        <v>396</v>
      </c>
      <c r="EG24">
        <v>4119759</v>
      </c>
      <c r="EH24" t="s">
        <v>346</v>
      </c>
      <c r="EI24">
        <v>0.62</v>
      </c>
      <c r="EJ24" t="s">
        <v>53</v>
      </c>
      <c r="EK24" t="s">
        <v>403</v>
      </c>
      <c r="EL24">
        <v>4033550</v>
      </c>
      <c r="EM24" t="s">
        <v>346</v>
      </c>
      <c r="EN24">
        <v>0</v>
      </c>
      <c r="EO24" t="s">
        <v>53</v>
      </c>
      <c r="EP24" t="s">
        <v>351</v>
      </c>
      <c r="EQ24">
        <v>111289</v>
      </c>
      <c r="ER24" t="s">
        <v>346</v>
      </c>
      <c r="ES24">
        <v>0.19</v>
      </c>
      <c r="ET24" t="s">
        <v>53</v>
      </c>
      <c r="EY24" t="s">
        <v>306</v>
      </c>
      <c r="EZ24" t="s">
        <v>1925</v>
      </c>
      <c r="FA24" t="s">
        <v>300</v>
      </c>
      <c r="FB24" t="s">
        <v>361</v>
      </c>
      <c r="FC24">
        <v>0.01</v>
      </c>
      <c r="FD24" t="s">
        <v>50</v>
      </c>
      <c r="FE24" t="s">
        <v>456</v>
      </c>
      <c r="FF24">
        <v>4249110</v>
      </c>
      <c r="FG24" t="s">
        <v>346</v>
      </c>
      <c r="FH24">
        <v>7.0000000000000007E-2</v>
      </c>
      <c r="FI24" t="s">
        <v>313</v>
      </c>
      <c r="FJ24" t="s">
        <v>472</v>
      </c>
      <c r="FK24">
        <v>4048215</v>
      </c>
      <c r="FL24" t="s">
        <v>346</v>
      </c>
      <c r="FM24">
        <v>0.24</v>
      </c>
      <c r="FN24" t="s">
        <v>53</v>
      </c>
      <c r="FO24" t="s">
        <v>403</v>
      </c>
      <c r="FP24">
        <v>4033550</v>
      </c>
      <c r="FQ24" t="s">
        <v>346</v>
      </c>
      <c r="FR24">
        <v>0</v>
      </c>
      <c r="FS24" t="s">
        <v>53</v>
      </c>
      <c r="FT24" t="s">
        <v>386</v>
      </c>
      <c r="FU24">
        <v>4145085</v>
      </c>
      <c r="FV24" t="s">
        <v>346</v>
      </c>
      <c r="FW24">
        <v>7.0000000000000007E-2</v>
      </c>
      <c r="FX24" t="s">
        <v>313</v>
      </c>
      <c r="FY24" t="s">
        <v>396</v>
      </c>
      <c r="FZ24">
        <v>4119759</v>
      </c>
      <c r="GA24" t="s">
        <v>346</v>
      </c>
      <c r="GB24">
        <v>0.62</v>
      </c>
      <c r="GC24" t="s">
        <v>53</v>
      </c>
      <c r="GD24" t="s">
        <v>1925</v>
      </c>
      <c r="GE24" t="s">
        <v>300</v>
      </c>
      <c r="GF24" t="s">
        <v>361</v>
      </c>
      <c r="GG24">
        <v>0.01</v>
      </c>
      <c r="GH24" t="s">
        <v>50</v>
      </c>
      <c r="GI24" t="s">
        <v>456</v>
      </c>
      <c r="GJ24">
        <v>4249110</v>
      </c>
      <c r="GK24" t="s">
        <v>346</v>
      </c>
      <c r="GL24">
        <v>7.0000000000000007E-2</v>
      </c>
      <c r="GM24" t="s">
        <v>313</v>
      </c>
      <c r="GN24" t="s">
        <v>472</v>
      </c>
      <c r="GO24">
        <v>4048215</v>
      </c>
      <c r="GP24" t="s">
        <v>346</v>
      </c>
      <c r="GQ24">
        <v>0.24</v>
      </c>
      <c r="GR24" t="s">
        <v>53</v>
      </c>
      <c r="GS24" t="s">
        <v>721</v>
      </c>
      <c r="GT24">
        <v>4329445</v>
      </c>
      <c r="GU24" t="s">
        <v>346</v>
      </c>
      <c r="GV24">
        <v>0.12</v>
      </c>
      <c r="GW24" t="s">
        <v>50</v>
      </c>
      <c r="GX24" t="s">
        <v>960</v>
      </c>
      <c r="GY24">
        <v>4053760</v>
      </c>
      <c r="GZ24" t="s">
        <v>346</v>
      </c>
      <c r="HA24">
        <v>0.46</v>
      </c>
      <c r="HB24" t="s">
        <v>2189</v>
      </c>
      <c r="HG24" t="s">
        <v>306</v>
      </c>
    </row>
    <row r="25" spans="1:215" x14ac:dyDescent="0.35">
      <c r="E25" t="s">
        <v>306</v>
      </c>
      <c r="F25" t="s">
        <v>393</v>
      </c>
      <c r="G25">
        <v>4723508</v>
      </c>
      <c r="H25" t="s">
        <v>346</v>
      </c>
      <c r="I25">
        <v>0.33</v>
      </c>
      <c r="J25" t="s">
        <v>313</v>
      </c>
      <c r="K25" t="s">
        <v>646</v>
      </c>
      <c r="L25">
        <v>4435100</v>
      </c>
      <c r="M25" t="s">
        <v>346</v>
      </c>
      <c r="N25">
        <v>7.0000000000000007E-2</v>
      </c>
      <c r="O25" t="s">
        <v>50</v>
      </c>
      <c r="T25" t="s">
        <v>306</v>
      </c>
      <c r="U25" t="s">
        <v>716</v>
      </c>
      <c r="V25">
        <v>4310789</v>
      </c>
      <c r="W25" t="s">
        <v>346</v>
      </c>
      <c r="X25">
        <v>0.51</v>
      </c>
      <c r="Y25" t="s">
        <v>317</v>
      </c>
      <c r="Z25" t="s">
        <v>646</v>
      </c>
      <c r="AA25">
        <v>4435100</v>
      </c>
      <c r="AB25" t="s">
        <v>346</v>
      </c>
      <c r="AC25">
        <v>7.0000000000000007E-2</v>
      </c>
      <c r="AD25" t="s">
        <v>50</v>
      </c>
      <c r="AE25" t="s">
        <v>1112</v>
      </c>
      <c r="AF25" t="s">
        <v>300</v>
      </c>
      <c r="AG25" t="s">
        <v>361</v>
      </c>
      <c r="AH25">
        <v>0.22</v>
      </c>
      <c r="AI25" t="s">
        <v>50</v>
      </c>
      <c r="AN25" t="s">
        <v>306</v>
      </c>
      <c r="AO25" t="s">
        <v>541</v>
      </c>
      <c r="AP25">
        <v>4135098</v>
      </c>
      <c r="AQ25" t="s">
        <v>346</v>
      </c>
      <c r="AR25">
        <v>0.43</v>
      </c>
      <c r="AS25" t="s">
        <v>313</v>
      </c>
      <c r="AX25" t="s">
        <v>306</v>
      </c>
      <c r="AY25" t="s">
        <v>679</v>
      </c>
      <c r="AZ25">
        <v>4138221</v>
      </c>
      <c r="BA25" t="s">
        <v>346</v>
      </c>
      <c r="BB25">
        <v>0.21</v>
      </c>
      <c r="BC25" t="s">
        <v>50</v>
      </c>
      <c r="BD25" t="s">
        <v>357</v>
      </c>
      <c r="BE25">
        <v>4270330</v>
      </c>
      <c r="BF25" t="s">
        <v>346</v>
      </c>
      <c r="BG25">
        <v>0.61</v>
      </c>
      <c r="BH25" t="s">
        <v>53</v>
      </c>
      <c r="BI25" t="s">
        <v>357</v>
      </c>
      <c r="BJ25">
        <v>4270330</v>
      </c>
      <c r="BK25" t="s">
        <v>346</v>
      </c>
      <c r="BL25">
        <v>0.37</v>
      </c>
      <c r="BM25" t="s">
        <v>53</v>
      </c>
      <c r="BN25" t="s">
        <v>684</v>
      </c>
      <c r="BO25">
        <v>4139415</v>
      </c>
      <c r="BP25" t="s">
        <v>346</v>
      </c>
      <c r="BQ25">
        <v>0.11</v>
      </c>
      <c r="BR25" t="s">
        <v>50</v>
      </c>
      <c r="BS25" t="s">
        <v>374</v>
      </c>
      <c r="BT25">
        <v>4138467</v>
      </c>
      <c r="BU25" t="s">
        <v>362</v>
      </c>
      <c r="BV25">
        <v>0.47</v>
      </c>
      <c r="BW25" t="s">
        <v>375</v>
      </c>
      <c r="BX25" t="s">
        <v>716</v>
      </c>
      <c r="BY25">
        <v>4310789</v>
      </c>
      <c r="BZ25" t="s">
        <v>346</v>
      </c>
      <c r="CA25">
        <v>0.51</v>
      </c>
      <c r="CB25" t="s">
        <v>317</v>
      </c>
      <c r="CC25" t="s">
        <v>510</v>
      </c>
      <c r="CD25">
        <v>4089114</v>
      </c>
      <c r="CE25" t="s">
        <v>346</v>
      </c>
      <c r="CF25">
        <v>0.45</v>
      </c>
      <c r="CG25" t="s">
        <v>53</v>
      </c>
      <c r="CH25" t="s">
        <v>541</v>
      </c>
      <c r="CI25">
        <v>4135098</v>
      </c>
      <c r="CJ25" t="s">
        <v>346</v>
      </c>
      <c r="CK25">
        <v>0.43</v>
      </c>
      <c r="CL25" t="s">
        <v>313</v>
      </c>
      <c r="CM25" t="s">
        <v>405</v>
      </c>
      <c r="CN25">
        <v>4035990</v>
      </c>
      <c r="CO25" t="s">
        <v>346</v>
      </c>
      <c r="CP25">
        <v>0.61</v>
      </c>
      <c r="CQ25" t="s">
        <v>80</v>
      </c>
      <c r="CV25" t="s">
        <v>306</v>
      </c>
      <c r="CW25" t="s">
        <v>418</v>
      </c>
      <c r="CX25">
        <v>109776</v>
      </c>
      <c r="CY25" t="s">
        <v>346</v>
      </c>
      <c r="CZ25">
        <v>0</v>
      </c>
      <c r="DA25" t="s">
        <v>53</v>
      </c>
      <c r="DB25" t="s">
        <v>357</v>
      </c>
      <c r="DC25">
        <v>4270330</v>
      </c>
      <c r="DD25" t="s">
        <v>346</v>
      </c>
      <c r="DE25">
        <v>0.61</v>
      </c>
      <c r="DF25" t="s">
        <v>53</v>
      </c>
      <c r="DG25" t="s">
        <v>418</v>
      </c>
      <c r="DH25">
        <v>109776</v>
      </c>
      <c r="DI25" t="s">
        <v>346</v>
      </c>
      <c r="DJ25">
        <v>0</v>
      </c>
      <c r="DK25" t="s">
        <v>53</v>
      </c>
      <c r="DL25" t="s">
        <v>357</v>
      </c>
      <c r="DM25">
        <v>4270330</v>
      </c>
      <c r="DN25" t="s">
        <v>346</v>
      </c>
      <c r="DO25">
        <v>0.61</v>
      </c>
      <c r="DP25" t="s">
        <v>53</v>
      </c>
      <c r="DU25" t="s">
        <v>306</v>
      </c>
      <c r="DV25" t="s">
        <v>409</v>
      </c>
      <c r="DW25">
        <v>102719</v>
      </c>
      <c r="DX25" t="s">
        <v>346</v>
      </c>
      <c r="DY25">
        <v>0.02</v>
      </c>
      <c r="DZ25" t="s">
        <v>53</v>
      </c>
      <c r="EA25" t="s">
        <v>510</v>
      </c>
      <c r="EB25">
        <v>4089114</v>
      </c>
      <c r="EC25" t="s">
        <v>346</v>
      </c>
      <c r="ED25">
        <v>0.45</v>
      </c>
      <c r="EE25" t="s">
        <v>53</v>
      </c>
      <c r="EF25" t="s">
        <v>357</v>
      </c>
      <c r="EG25">
        <v>4270330</v>
      </c>
      <c r="EH25" t="s">
        <v>346</v>
      </c>
      <c r="EI25">
        <v>0.61</v>
      </c>
      <c r="EJ25" t="s">
        <v>53</v>
      </c>
      <c r="EK25" t="s">
        <v>418</v>
      </c>
      <c r="EL25">
        <v>109776</v>
      </c>
      <c r="EM25" t="s">
        <v>346</v>
      </c>
      <c r="EN25">
        <v>0</v>
      </c>
      <c r="EO25" t="s">
        <v>53</v>
      </c>
      <c r="EP25" t="s">
        <v>385</v>
      </c>
      <c r="EQ25">
        <v>5752504</v>
      </c>
      <c r="ER25" t="s">
        <v>346</v>
      </c>
      <c r="ES25">
        <v>0.17</v>
      </c>
      <c r="ET25" t="s">
        <v>53</v>
      </c>
      <c r="EY25" t="s">
        <v>306</v>
      </c>
      <c r="EZ25" t="s">
        <v>355</v>
      </c>
      <c r="FA25">
        <v>111074</v>
      </c>
      <c r="FB25" t="s">
        <v>346</v>
      </c>
      <c r="FC25">
        <v>0.01</v>
      </c>
      <c r="FD25" t="s">
        <v>53</v>
      </c>
      <c r="FE25" t="s">
        <v>2150</v>
      </c>
      <c r="FF25" t="s">
        <v>300</v>
      </c>
      <c r="FG25" t="s">
        <v>361</v>
      </c>
      <c r="FH25">
        <v>0.06</v>
      </c>
      <c r="FI25" t="s">
        <v>50</v>
      </c>
      <c r="FJ25" t="s">
        <v>483</v>
      </c>
      <c r="FK25">
        <v>109763</v>
      </c>
      <c r="FL25" t="s">
        <v>346</v>
      </c>
      <c r="FM25">
        <v>0.2</v>
      </c>
      <c r="FN25" t="s">
        <v>53</v>
      </c>
      <c r="FO25" t="s">
        <v>418</v>
      </c>
      <c r="FP25">
        <v>109776</v>
      </c>
      <c r="FQ25" t="s">
        <v>346</v>
      </c>
      <c r="FR25">
        <v>0</v>
      </c>
      <c r="FS25" t="s">
        <v>53</v>
      </c>
      <c r="FT25" t="s">
        <v>387</v>
      </c>
      <c r="FU25">
        <v>4020980</v>
      </c>
      <c r="FV25" t="s">
        <v>346</v>
      </c>
      <c r="FW25">
        <v>0.06</v>
      </c>
      <c r="FX25" t="s">
        <v>2189</v>
      </c>
      <c r="FY25" t="s">
        <v>357</v>
      </c>
      <c r="FZ25">
        <v>4270330</v>
      </c>
      <c r="GA25" t="s">
        <v>346</v>
      </c>
      <c r="GB25">
        <v>0.61</v>
      </c>
      <c r="GC25" t="s">
        <v>53</v>
      </c>
      <c r="GD25" t="s">
        <v>355</v>
      </c>
      <c r="GE25">
        <v>111074</v>
      </c>
      <c r="GF25" t="s">
        <v>346</v>
      </c>
      <c r="GG25">
        <v>0.01</v>
      </c>
      <c r="GH25" t="s">
        <v>53</v>
      </c>
      <c r="GI25" t="s">
        <v>2150</v>
      </c>
      <c r="GJ25" t="s">
        <v>300</v>
      </c>
      <c r="GK25" t="s">
        <v>361</v>
      </c>
      <c r="GL25">
        <v>0.06</v>
      </c>
      <c r="GM25" t="s">
        <v>50</v>
      </c>
      <c r="GN25" t="s">
        <v>483</v>
      </c>
      <c r="GO25">
        <v>109763</v>
      </c>
      <c r="GP25" t="s">
        <v>346</v>
      </c>
      <c r="GQ25">
        <v>0.2</v>
      </c>
      <c r="GR25" t="s">
        <v>53</v>
      </c>
      <c r="GS25" t="s">
        <v>684</v>
      </c>
      <c r="GT25">
        <v>4139415</v>
      </c>
      <c r="GU25" t="s">
        <v>346</v>
      </c>
      <c r="GV25">
        <v>0.11</v>
      </c>
      <c r="GW25" t="s">
        <v>50</v>
      </c>
      <c r="GX25" t="s">
        <v>510</v>
      </c>
      <c r="GY25">
        <v>4089114</v>
      </c>
      <c r="GZ25" t="s">
        <v>346</v>
      </c>
      <c r="HA25">
        <v>0.45</v>
      </c>
      <c r="HB25" t="s">
        <v>53</v>
      </c>
      <c r="HG25" t="s">
        <v>306</v>
      </c>
    </row>
    <row r="26" spans="1:215" x14ac:dyDescent="0.35">
      <c r="E26" t="s">
        <v>306</v>
      </c>
      <c r="F26" t="s">
        <v>354</v>
      </c>
      <c r="G26">
        <v>110652</v>
      </c>
      <c r="H26" t="s">
        <v>346</v>
      </c>
      <c r="I26">
        <v>0.31</v>
      </c>
      <c r="J26" t="s">
        <v>53</v>
      </c>
      <c r="K26" t="s">
        <v>393</v>
      </c>
      <c r="L26">
        <v>4723508</v>
      </c>
      <c r="M26" t="s">
        <v>346</v>
      </c>
      <c r="N26">
        <v>7.0000000000000007E-2</v>
      </c>
      <c r="O26" t="s">
        <v>313</v>
      </c>
      <c r="T26" t="s">
        <v>306</v>
      </c>
      <c r="U26" t="s">
        <v>406</v>
      </c>
      <c r="V26">
        <v>4115698</v>
      </c>
      <c r="W26" t="s">
        <v>346</v>
      </c>
      <c r="X26">
        <v>0.51</v>
      </c>
      <c r="Y26" t="s">
        <v>313</v>
      </c>
      <c r="Z26" t="s">
        <v>393</v>
      </c>
      <c r="AA26">
        <v>4723508</v>
      </c>
      <c r="AB26" t="s">
        <v>346</v>
      </c>
      <c r="AC26">
        <v>7.0000000000000007E-2</v>
      </c>
      <c r="AD26" t="s">
        <v>313</v>
      </c>
      <c r="AE26" t="s">
        <v>482</v>
      </c>
      <c r="AF26">
        <v>4048742</v>
      </c>
      <c r="AG26" t="s">
        <v>346</v>
      </c>
      <c r="AH26">
        <v>0.22</v>
      </c>
      <c r="AI26" t="s">
        <v>80</v>
      </c>
      <c r="AN26" t="s">
        <v>306</v>
      </c>
      <c r="AO26" t="s">
        <v>409</v>
      </c>
      <c r="AP26">
        <v>102719</v>
      </c>
      <c r="AQ26" t="s">
        <v>346</v>
      </c>
      <c r="AR26">
        <v>0.34</v>
      </c>
      <c r="AS26" t="s">
        <v>53</v>
      </c>
      <c r="AX26" t="s">
        <v>306</v>
      </c>
      <c r="AY26" t="s">
        <v>638</v>
      </c>
      <c r="AZ26">
        <v>4137668</v>
      </c>
      <c r="BA26" t="s">
        <v>346</v>
      </c>
      <c r="BB26">
        <v>0.2</v>
      </c>
      <c r="BC26" t="s">
        <v>50</v>
      </c>
      <c r="BD26" t="s">
        <v>481</v>
      </c>
      <c r="BE26">
        <v>4376121</v>
      </c>
      <c r="BF26" t="s">
        <v>346</v>
      </c>
      <c r="BG26">
        <v>0.59</v>
      </c>
      <c r="BH26" t="s">
        <v>313</v>
      </c>
      <c r="BI26" t="s">
        <v>441</v>
      </c>
      <c r="BJ26">
        <v>4153483</v>
      </c>
      <c r="BK26" t="s">
        <v>363</v>
      </c>
      <c r="BL26">
        <v>0.37</v>
      </c>
      <c r="BM26" t="s">
        <v>80</v>
      </c>
      <c r="BN26" t="s">
        <v>426</v>
      </c>
      <c r="BO26">
        <v>100201</v>
      </c>
      <c r="BP26" t="s">
        <v>366</v>
      </c>
      <c r="BQ26">
        <v>0.11</v>
      </c>
      <c r="BR26" t="s">
        <v>53</v>
      </c>
      <c r="BS26" t="s">
        <v>640</v>
      </c>
      <c r="BT26">
        <v>9020942</v>
      </c>
      <c r="BU26" t="s">
        <v>346</v>
      </c>
      <c r="BV26">
        <v>0.45</v>
      </c>
      <c r="BW26" t="s">
        <v>50</v>
      </c>
      <c r="BX26" t="s">
        <v>406</v>
      </c>
      <c r="BY26">
        <v>4115698</v>
      </c>
      <c r="BZ26" t="s">
        <v>346</v>
      </c>
      <c r="CA26">
        <v>0.51</v>
      </c>
      <c r="CB26" t="s">
        <v>313</v>
      </c>
      <c r="CC26" t="s">
        <v>1614</v>
      </c>
      <c r="CD26">
        <v>4407080</v>
      </c>
      <c r="CE26" t="s">
        <v>346</v>
      </c>
      <c r="CF26">
        <v>0.44</v>
      </c>
      <c r="CG26" t="s">
        <v>114</v>
      </c>
      <c r="CH26" t="s">
        <v>409</v>
      </c>
      <c r="CI26">
        <v>102719</v>
      </c>
      <c r="CJ26" t="s">
        <v>346</v>
      </c>
      <c r="CK26">
        <v>0.34</v>
      </c>
      <c r="CL26" t="s">
        <v>53</v>
      </c>
      <c r="CM26" t="s">
        <v>1120</v>
      </c>
      <c r="CN26">
        <v>4724324</v>
      </c>
      <c r="CO26" t="s">
        <v>346</v>
      </c>
      <c r="CP26">
        <v>0.6</v>
      </c>
      <c r="CQ26" t="s">
        <v>53</v>
      </c>
      <c r="CV26" t="s">
        <v>306</v>
      </c>
      <c r="CW26" t="s">
        <v>406</v>
      </c>
      <c r="CX26">
        <v>4115698</v>
      </c>
      <c r="CY26" t="s">
        <v>346</v>
      </c>
      <c r="CZ26">
        <v>0</v>
      </c>
      <c r="DA26" t="s">
        <v>313</v>
      </c>
      <c r="DB26" t="s">
        <v>481</v>
      </c>
      <c r="DC26">
        <v>4376121</v>
      </c>
      <c r="DD26" t="s">
        <v>346</v>
      </c>
      <c r="DE26">
        <v>0.59</v>
      </c>
      <c r="DF26" t="s">
        <v>313</v>
      </c>
      <c r="DG26" t="s">
        <v>406</v>
      </c>
      <c r="DH26">
        <v>4115698</v>
      </c>
      <c r="DI26" t="s">
        <v>346</v>
      </c>
      <c r="DJ26">
        <v>0</v>
      </c>
      <c r="DK26" t="s">
        <v>313</v>
      </c>
      <c r="DL26" t="s">
        <v>481</v>
      </c>
      <c r="DM26">
        <v>4376121</v>
      </c>
      <c r="DN26" t="s">
        <v>346</v>
      </c>
      <c r="DO26">
        <v>0.59</v>
      </c>
      <c r="DP26" t="s">
        <v>313</v>
      </c>
      <c r="DU26" t="s">
        <v>306</v>
      </c>
      <c r="DV26" t="s">
        <v>354</v>
      </c>
      <c r="DW26">
        <v>110652</v>
      </c>
      <c r="DX26" t="s">
        <v>346</v>
      </c>
      <c r="DY26">
        <v>0.02</v>
      </c>
      <c r="DZ26" t="s">
        <v>53</v>
      </c>
      <c r="EA26" t="s">
        <v>1614</v>
      </c>
      <c r="EB26">
        <v>4407080</v>
      </c>
      <c r="EC26" t="s">
        <v>346</v>
      </c>
      <c r="ED26">
        <v>0.44</v>
      </c>
      <c r="EE26" t="s">
        <v>114</v>
      </c>
      <c r="EF26" t="s">
        <v>481</v>
      </c>
      <c r="EG26">
        <v>4376121</v>
      </c>
      <c r="EH26" t="s">
        <v>346</v>
      </c>
      <c r="EI26">
        <v>0.59</v>
      </c>
      <c r="EJ26" t="s">
        <v>313</v>
      </c>
      <c r="EK26" t="s">
        <v>406</v>
      </c>
      <c r="EL26">
        <v>4115698</v>
      </c>
      <c r="EM26" t="s">
        <v>346</v>
      </c>
      <c r="EN26">
        <v>0</v>
      </c>
      <c r="EO26" t="s">
        <v>313</v>
      </c>
      <c r="EP26" t="s">
        <v>664</v>
      </c>
      <c r="EQ26">
        <v>4138760</v>
      </c>
      <c r="ER26" t="s">
        <v>346</v>
      </c>
      <c r="ES26">
        <v>0.15</v>
      </c>
      <c r="ET26" t="s">
        <v>50</v>
      </c>
      <c r="EY26" t="s">
        <v>306</v>
      </c>
      <c r="EZ26" t="s">
        <v>1926</v>
      </c>
      <c r="FA26" t="s">
        <v>300</v>
      </c>
      <c r="FB26" t="s">
        <v>361</v>
      </c>
      <c r="FC26">
        <v>0.01</v>
      </c>
      <c r="FD26" t="s">
        <v>50</v>
      </c>
      <c r="FE26" t="s">
        <v>354</v>
      </c>
      <c r="FF26">
        <v>110652</v>
      </c>
      <c r="FG26" t="s">
        <v>346</v>
      </c>
      <c r="FH26">
        <v>0.05</v>
      </c>
      <c r="FI26" t="s">
        <v>53</v>
      </c>
      <c r="FJ26" t="s">
        <v>354</v>
      </c>
      <c r="FK26">
        <v>110652</v>
      </c>
      <c r="FL26" t="s">
        <v>346</v>
      </c>
      <c r="FM26">
        <v>0.2</v>
      </c>
      <c r="FN26" t="s">
        <v>53</v>
      </c>
      <c r="FO26" t="s">
        <v>406</v>
      </c>
      <c r="FP26">
        <v>4115698</v>
      </c>
      <c r="FQ26" t="s">
        <v>346</v>
      </c>
      <c r="FR26">
        <v>0</v>
      </c>
      <c r="FS26" t="s">
        <v>313</v>
      </c>
      <c r="FT26" t="s">
        <v>354</v>
      </c>
      <c r="FU26">
        <v>110652</v>
      </c>
      <c r="FV26" t="s">
        <v>346</v>
      </c>
      <c r="FW26">
        <v>0.04</v>
      </c>
      <c r="FX26" t="s">
        <v>53</v>
      </c>
      <c r="FY26" t="s">
        <v>481</v>
      </c>
      <c r="FZ26">
        <v>4376121</v>
      </c>
      <c r="GA26" t="s">
        <v>346</v>
      </c>
      <c r="GB26">
        <v>0.59</v>
      </c>
      <c r="GC26" t="s">
        <v>313</v>
      </c>
      <c r="GD26" t="s">
        <v>1926</v>
      </c>
      <c r="GE26" t="s">
        <v>300</v>
      </c>
      <c r="GF26" t="s">
        <v>361</v>
      </c>
      <c r="GG26">
        <v>0.01</v>
      </c>
      <c r="GH26" t="s">
        <v>50</v>
      </c>
      <c r="GI26" t="s">
        <v>354</v>
      </c>
      <c r="GJ26">
        <v>110652</v>
      </c>
      <c r="GK26" t="s">
        <v>346</v>
      </c>
      <c r="GL26">
        <v>0.05</v>
      </c>
      <c r="GM26" t="s">
        <v>53</v>
      </c>
      <c r="GN26" t="s">
        <v>354</v>
      </c>
      <c r="GO26">
        <v>110652</v>
      </c>
      <c r="GP26" t="s">
        <v>346</v>
      </c>
      <c r="GQ26">
        <v>0.2</v>
      </c>
      <c r="GR26" t="s">
        <v>53</v>
      </c>
      <c r="GS26" t="s">
        <v>426</v>
      </c>
      <c r="GT26">
        <v>100201</v>
      </c>
      <c r="GU26" t="s">
        <v>366</v>
      </c>
      <c r="GV26">
        <v>0.11</v>
      </c>
      <c r="GW26" t="s">
        <v>53</v>
      </c>
      <c r="GX26" t="s">
        <v>1614</v>
      </c>
      <c r="GY26">
        <v>4407080</v>
      </c>
      <c r="GZ26" t="s">
        <v>346</v>
      </c>
      <c r="HA26">
        <v>0.44</v>
      </c>
      <c r="HB26" t="s">
        <v>114</v>
      </c>
      <c r="HG26" t="s">
        <v>306</v>
      </c>
    </row>
    <row r="27" spans="1:215" x14ac:dyDescent="0.35">
      <c r="E27" t="s">
        <v>306</v>
      </c>
      <c r="F27" t="s">
        <v>434</v>
      </c>
      <c r="G27">
        <v>4120033</v>
      </c>
      <c r="H27" t="s">
        <v>346</v>
      </c>
      <c r="I27">
        <v>0.3</v>
      </c>
      <c r="J27" t="s">
        <v>304</v>
      </c>
      <c r="K27" t="s">
        <v>436</v>
      </c>
      <c r="L27">
        <v>111219</v>
      </c>
      <c r="M27" t="s">
        <v>346</v>
      </c>
      <c r="N27">
        <v>0.06</v>
      </c>
      <c r="O27" t="s">
        <v>53</v>
      </c>
      <c r="T27" t="s">
        <v>306</v>
      </c>
      <c r="U27" t="s">
        <v>636</v>
      </c>
      <c r="V27">
        <v>4139271</v>
      </c>
      <c r="W27" t="s">
        <v>346</v>
      </c>
      <c r="X27">
        <v>0.51</v>
      </c>
      <c r="Y27" t="s">
        <v>50</v>
      </c>
      <c r="Z27" t="s">
        <v>436</v>
      </c>
      <c r="AA27">
        <v>111219</v>
      </c>
      <c r="AB27" t="s">
        <v>346</v>
      </c>
      <c r="AC27">
        <v>0.06</v>
      </c>
      <c r="AD27" t="s">
        <v>53</v>
      </c>
      <c r="AE27" t="s">
        <v>1113</v>
      </c>
      <c r="AF27">
        <v>110293</v>
      </c>
      <c r="AG27" t="s">
        <v>346</v>
      </c>
      <c r="AH27">
        <v>0.19</v>
      </c>
      <c r="AI27" t="s">
        <v>80</v>
      </c>
      <c r="AN27" t="s">
        <v>306</v>
      </c>
      <c r="AO27" t="s">
        <v>399</v>
      </c>
      <c r="AP27">
        <v>4026948</v>
      </c>
      <c r="AQ27" t="s">
        <v>346</v>
      </c>
      <c r="AR27">
        <v>0.33</v>
      </c>
      <c r="AS27" t="s">
        <v>317</v>
      </c>
      <c r="AX27" t="s">
        <v>306</v>
      </c>
      <c r="AY27" t="s">
        <v>758</v>
      </c>
      <c r="AZ27">
        <v>4890277</v>
      </c>
      <c r="BA27" t="s">
        <v>346</v>
      </c>
      <c r="BB27">
        <v>0.19</v>
      </c>
      <c r="BC27" t="s">
        <v>50</v>
      </c>
      <c r="BD27" t="s">
        <v>497</v>
      </c>
      <c r="BE27">
        <v>4138770</v>
      </c>
      <c r="BF27" t="s">
        <v>346</v>
      </c>
      <c r="BG27">
        <v>0.56000000000000005</v>
      </c>
      <c r="BH27" t="s">
        <v>313</v>
      </c>
      <c r="BI27" t="s">
        <v>354</v>
      </c>
      <c r="BJ27">
        <v>110652</v>
      </c>
      <c r="BK27" t="s">
        <v>346</v>
      </c>
      <c r="BL27">
        <v>0.35</v>
      </c>
      <c r="BM27" t="s">
        <v>53</v>
      </c>
      <c r="BN27" t="s">
        <v>677</v>
      </c>
      <c r="BO27">
        <v>4345260</v>
      </c>
      <c r="BP27" t="s">
        <v>346</v>
      </c>
      <c r="BQ27">
        <v>0.1</v>
      </c>
      <c r="BR27" t="s">
        <v>50</v>
      </c>
      <c r="BS27" t="s">
        <v>644</v>
      </c>
      <c r="BT27">
        <v>4138625</v>
      </c>
      <c r="BU27" t="s">
        <v>346</v>
      </c>
      <c r="BV27">
        <v>0.43</v>
      </c>
      <c r="BW27" t="s">
        <v>50</v>
      </c>
      <c r="BX27" t="s">
        <v>636</v>
      </c>
      <c r="BY27">
        <v>4139271</v>
      </c>
      <c r="BZ27" t="s">
        <v>346</v>
      </c>
      <c r="CA27">
        <v>0.51</v>
      </c>
      <c r="CB27" t="s">
        <v>50</v>
      </c>
      <c r="CC27" t="s">
        <v>953</v>
      </c>
      <c r="CD27">
        <v>4039450</v>
      </c>
      <c r="CE27" t="s">
        <v>346</v>
      </c>
      <c r="CF27">
        <v>0.44</v>
      </c>
      <c r="CG27" t="s">
        <v>53</v>
      </c>
      <c r="CH27" t="s">
        <v>399</v>
      </c>
      <c r="CI27">
        <v>4026948</v>
      </c>
      <c r="CJ27" t="s">
        <v>346</v>
      </c>
      <c r="CK27">
        <v>0.33</v>
      </c>
      <c r="CL27" t="s">
        <v>317</v>
      </c>
      <c r="CM27" t="s">
        <v>1188</v>
      </c>
      <c r="CN27">
        <v>4413788</v>
      </c>
      <c r="CO27" t="s">
        <v>346</v>
      </c>
      <c r="CP27">
        <v>0.54</v>
      </c>
      <c r="CQ27" t="s">
        <v>53</v>
      </c>
      <c r="CV27" t="s">
        <v>306</v>
      </c>
      <c r="DA27" t="s">
        <v>306</v>
      </c>
      <c r="DB27" t="s">
        <v>497</v>
      </c>
      <c r="DC27">
        <v>4138770</v>
      </c>
      <c r="DD27" t="s">
        <v>346</v>
      </c>
      <c r="DE27">
        <v>0.56000000000000005</v>
      </c>
      <c r="DF27" t="s">
        <v>313</v>
      </c>
      <c r="DK27" t="s">
        <v>306</v>
      </c>
      <c r="DL27" t="s">
        <v>497</v>
      </c>
      <c r="DM27">
        <v>4138770</v>
      </c>
      <c r="DN27" t="s">
        <v>346</v>
      </c>
      <c r="DO27">
        <v>0.56000000000000005</v>
      </c>
      <c r="DP27" t="s">
        <v>313</v>
      </c>
      <c r="DU27" t="s">
        <v>306</v>
      </c>
      <c r="DV27" t="s">
        <v>477</v>
      </c>
      <c r="DW27">
        <v>4119790</v>
      </c>
      <c r="DX27" t="s">
        <v>346</v>
      </c>
      <c r="DY27">
        <v>0.02</v>
      </c>
      <c r="DZ27" t="s">
        <v>53</v>
      </c>
      <c r="EA27" t="s">
        <v>953</v>
      </c>
      <c r="EB27">
        <v>4039450</v>
      </c>
      <c r="EC27" t="s">
        <v>346</v>
      </c>
      <c r="ED27">
        <v>0.44</v>
      </c>
      <c r="EE27" t="s">
        <v>53</v>
      </c>
      <c r="EF27" t="s">
        <v>497</v>
      </c>
      <c r="EG27">
        <v>4138770</v>
      </c>
      <c r="EH27" t="s">
        <v>346</v>
      </c>
      <c r="EI27">
        <v>0.56000000000000005</v>
      </c>
      <c r="EJ27" t="s">
        <v>313</v>
      </c>
      <c r="EO27" t="s">
        <v>306</v>
      </c>
      <c r="EP27" t="s">
        <v>670</v>
      </c>
      <c r="EQ27">
        <v>4138799</v>
      </c>
      <c r="ER27" t="s">
        <v>346</v>
      </c>
      <c r="ES27">
        <v>0.09</v>
      </c>
      <c r="ET27" t="s">
        <v>50</v>
      </c>
      <c r="EY27" t="s">
        <v>306</v>
      </c>
      <c r="EZ27" t="s">
        <v>1927</v>
      </c>
      <c r="FA27" t="s">
        <v>300</v>
      </c>
      <c r="FB27" t="s">
        <v>361</v>
      </c>
      <c r="FC27">
        <v>0.01</v>
      </c>
      <c r="FD27" t="s">
        <v>50</v>
      </c>
      <c r="FE27" t="s">
        <v>2151</v>
      </c>
      <c r="FF27" t="s">
        <v>300</v>
      </c>
      <c r="FG27" t="s">
        <v>361</v>
      </c>
      <c r="FH27">
        <v>0.05</v>
      </c>
      <c r="FI27" t="s">
        <v>50</v>
      </c>
      <c r="FJ27" t="s">
        <v>455</v>
      </c>
      <c r="FK27">
        <v>4119538</v>
      </c>
      <c r="FL27" t="s">
        <v>364</v>
      </c>
      <c r="FM27">
        <v>0.17</v>
      </c>
      <c r="FN27" t="s">
        <v>53</v>
      </c>
      <c r="FS27" t="s">
        <v>306</v>
      </c>
      <c r="FT27" t="s">
        <v>388</v>
      </c>
      <c r="FU27">
        <v>4057506</v>
      </c>
      <c r="FV27" t="s">
        <v>346</v>
      </c>
      <c r="FW27">
        <v>0.03</v>
      </c>
      <c r="FX27" t="s">
        <v>53</v>
      </c>
      <c r="FY27" t="s">
        <v>497</v>
      </c>
      <c r="FZ27">
        <v>4138770</v>
      </c>
      <c r="GA27" t="s">
        <v>346</v>
      </c>
      <c r="GB27">
        <v>0.56000000000000005</v>
      </c>
      <c r="GC27" t="s">
        <v>313</v>
      </c>
      <c r="GD27" t="s">
        <v>1927</v>
      </c>
      <c r="GE27" t="s">
        <v>300</v>
      </c>
      <c r="GF27" t="s">
        <v>361</v>
      </c>
      <c r="GG27">
        <v>0.01</v>
      </c>
      <c r="GH27" t="s">
        <v>50</v>
      </c>
      <c r="GI27" t="s">
        <v>2151</v>
      </c>
      <c r="GJ27" t="s">
        <v>300</v>
      </c>
      <c r="GK27" t="s">
        <v>361</v>
      </c>
      <c r="GL27">
        <v>0.05</v>
      </c>
      <c r="GM27" t="s">
        <v>50</v>
      </c>
      <c r="GN27" t="s">
        <v>455</v>
      </c>
      <c r="GO27">
        <v>4119538</v>
      </c>
      <c r="GP27" t="s">
        <v>364</v>
      </c>
      <c r="GQ27">
        <v>0.17</v>
      </c>
      <c r="GR27" t="s">
        <v>53</v>
      </c>
      <c r="GS27" t="s">
        <v>677</v>
      </c>
      <c r="GT27">
        <v>4345260</v>
      </c>
      <c r="GU27" t="s">
        <v>346</v>
      </c>
      <c r="GV27">
        <v>0.1</v>
      </c>
      <c r="GW27" t="s">
        <v>50</v>
      </c>
      <c r="GX27" t="s">
        <v>953</v>
      </c>
      <c r="GY27">
        <v>4039450</v>
      </c>
      <c r="GZ27" t="s">
        <v>346</v>
      </c>
      <c r="HA27">
        <v>0.44</v>
      </c>
      <c r="HB27" t="s">
        <v>53</v>
      </c>
      <c r="HG27" t="s">
        <v>306</v>
      </c>
    </row>
    <row r="28" spans="1:215" x14ac:dyDescent="0.35">
      <c r="E28" t="s">
        <v>306</v>
      </c>
      <c r="F28" t="s">
        <v>435</v>
      </c>
      <c r="G28">
        <v>109789</v>
      </c>
      <c r="H28" t="s">
        <v>346</v>
      </c>
      <c r="I28">
        <v>0.28999999999999998</v>
      </c>
      <c r="J28" t="s">
        <v>53</v>
      </c>
      <c r="K28" t="s">
        <v>432</v>
      </c>
      <c r="L28">
        <v>110092</v>
      </c>
      <c r="M28" t="s">
        <v>346</v>
      </c>
      <c r="N28">
        <v>0.06</v>
      </c>
      <c r="O28" t="s">
        <v>53</v>
      </c>
      <c r="T28" t="s">
        <v>306</v>
      </c>
      <c r="U28" t="s">
        <v>717</v>
      </c>
      <c r="V28">
        <v>4345275</v>
      </c>
      <c r="W28" t="s">
        <v>346</v>
      </c>
      <c r="X28">
        <v>0.5</v>
      </c>
      <c r="Y28" t="s">
        <v>50</v>
      </c>
      <c r="Z28" t="s">
        <v>432</v>
      </c>
      <c r="AA28">
        <v>110092</v>
      </c>
      <c r="AB28" t="s">
        <v>346</v>
      </c>
      <c r="AC28">
        <v>0.06</v>
      </c>
      <c r="AD28" t="s">
        <v>53</v>
      </c>
      <c r="AE28" t="s">
        <v>1114</v>
      </c>
      <c r="AF28" t="s">
        <v>300</v>
      </c>
      <c r="AG28" t="s">
        <v>361</v>
      </c>
      <c r="AH28">
        <v>0.16</v>
      </c>
      <c r="AI28" t="s">
        <v>50</v>
      </c>
      <c r="AN28" t="s">
        <v>306</v>
      </c>
      <c r="AO28" t="s">
        <v>380</v>
      </c>
      <c r="AP28">
        <v>4674815</v>
      </c>
      <c r="AQ28" t="s">
        <v>346</v>
      </c>
      <c r="AR28">
        <v>0.32</v>
      </c>
      <c r="AS28" t="s">
        <v>320</v>
      </c>
      <c r="AX28" t="s">
        <v>306</v>
      </c>
      <c r="AY28" t="s">
        <v>353</v>
      </c>
      <c r="AZ28">
        <v>4048287</v>
      </c>
      <c r="BA28" t="s">
        <v>346</v>
      </c>
      <c r="BB28">
        <v>0.17</v>
      </c>
      <c r="BC28" t="s">
        <v>53</v>
      </c>
      <c r="BD28" t="s">
        <v>520</v>
      </c>
      <c r="BE28">
        <v>103661</v>
      </c>
      <c r="BF28" t="s">
        <v>346</v>
      </c>
      <c r="BG28">
        <v>0.54</v>
      </c>
      <c r="BH28" t="s">
        <v>53</v>
      </c>
      <c r="BI28" t="s">
        <v>436</v>
      </c>
      <c r="BJ28">
        <v>111219</v>
      </c>
      <c r="BK28" t="s">
        <v>346</v>
      </c>
      <c r="BL28">
        <v>0.34</v>
      </c>
      <c r="BM28" t="s">
        <v>53</v>
      </c>
      <c r="BN28" t="s">
        <v>740</v>
      </c>
      <c r="BO28">
        <v>4271664</v>
      </c>
      <c r="BP28" t="s">
        <v>346</v>
      </c>
      <c r="BQ28">
        <v>0.1</v>
      </c>
      <c r="BR28" t="s">
        <v>313</v>
      </c>
      <c r="BS28" t="s">
        <v>638</v>
      </c>
      <c r="BT28">
        <v>4137668</v>
      </c>
      <c r="BU28" t="s">
        <v>346</v>
      </c>
      <c r="BV28">
        <v>0.39</v>
      </c>
      <c r="BW28" t="s">
        <v>50</v>
      </c>
      <c r="BX28" t="s">
        <v>717</v>
      </c>
      <c r="BY28">
        <v>4345275</v>
      </c>
      <c r="BZ28" t="s">
        <v>346</v>
      </c>
      <c r="CA28">
        <v>0.5</v>
      </c>
      <c r="CB28" t="s">
        <v>50</v>
      </c>
      <c r="CC28" t="s">
        <v>520</v>
      </c>
      <c r="CD28">
        <v>103661</v>
      </c>
      <c r="CE28" t="s">
        <v>346</v>
      </c>
      <c r="CF28">
        <v>0.44</v>
      </c>
      <c r="CG28" t="s">
        <v>53</v>
      </c>
      <c r="CH28" t="s">
        <v>380</v>
      </c>
      <c r="CI28">
        <v>4674815</v>
      </c>
      <c r="CJ28" t="s">
        <v>346</v>
      </c>
      <c r="CK28">
        <v>0.32</v>
      </c>
      <c r="CL28" t="s">
        <v>320</v>
      </c>
      <c r="CM28" t="s">
        <v>430</v>
      </c>
      <c r="CN28">
        <v>4055767</v>
      </c>
      <c r="CO28" t="s">
        <v>346</v>
      </c>
      <c r="CP28">
        <v>0.54</v>
      </c>
      <c r="CQ28" t="s">
        <v>53</v>
      </c>
      <c r="CV28" t="s">
        <v>306</v>
      </c>
      <c r="DA28" t="s">
        <v>306</v>
      </c>
      <c r="DB28" t="s">
        <v>520</v>
      </c>
      <c r="DC28">
        <v>103661</v>
      </c>
      <c r="DD28" t="s">
        <v>346</v>
      </c>
      <c r="DE28">
        <v>0.54</v>
      </c>
      <c r="DF28" t="s">
        <v>53</v>
      </c>
      <c r="DK28" t="s">
        <v>306</v>
      </c>
      <c r="DL28" t="s">
        <v>520</v>
      </c>
      <c r="DM28">
        <v>103661</v>
      </c>
      <c r="DN28" t="s">
        <v>346</v>
      </c>
      <c r="DO28">
        <v>0.54</v>
      </c>
      <c r="DP28" t="s">
        <v>53</v>
      </c>
      <c r="DU28" t="s">
        <v>306</v>
      </c>
      <c r="DV28" t="s">
        <v>481</v>
      </c>
      <c r="DW28">
        <v>4376121</v>
      </c>
      <c r="DX28" t="s">
        <v>346</v>
      </c>
      <c r="DY28">
        <v>0.01</v>
      </c>
      <c r="DZ28" t="s">
        <v>313</v>
      </c>
      <c r="EA28" t="s">
        <v>520</v>
      </c>
      <c r="EB28">
        <v>103661</v>
      </c>
      <c r="EC28" t="s">
        <v>346</v>
      </c>
      <c r="ED28">
        <v>0.44</v>
      </c>
      <c r="EE28" t="s">
        <v>53</v>
      </c>
      <c r="EF28" t="s">
        <v>520</v>
      </c>
      <c r="EG28">
        <v>103661</v>
      </c>
      <c r="EH28" t="s">
        <v>346</v>
      </c>
      <c r="EI28">
        <v>0.54</v>
      </c>
      <c r="EJ28" t="s">
        <v>53</v>
      </c>
      <c r="EO28" t="s">
        <v>306</v>
      </c>
      <c r="EP28" t="s">
        <v>637</v>
      </c>
      <c r="EQ28">
        <v>4138661</v>
      </c>
      <c r="ER28" t="s">
        <v>346</v>
      </c>
      <c r="ES28">
        <v>0.08</v>
      </c>
      <c r="ET28" t="s">
        <v>50</v>
      </c>
      <c r="EY28" t="s">
        <v>306</v>
      </c>
      <c r="EZ28" t="s">
        <v>1928</v>
      </c>
      <c r="FA28" t="s">
        <v>300</v>
      </c>
      <c r="FB28" t="s">
        <v>361</v>
      </c>
      <c r="FC28">
        <v>0.01</v>
      </c>
      <c r="FD28" t="s">
        <v>50</v>
      </c>
      <c r="FE28" t="s">
        <v>428</v>
      </c>
      <c r="FF28">
        <v>4116134</v>
      </c>
      <c r="FG28" t="s">
        <v>346</v>
      </c>
      <c r="FH28">
        <v>0.03</v>
      </c>
      <c r="FI28" t="s">
        <v>304</v>
      </c>
      <c r="FJ28" t="s">
        <v>471</v>
      </c>
      <c r="FK28">
        <v>4102247</v>
      </c>
      <c r="FL28" t="s">
        <v>346</v>
      </c>
      <c r="FM28">
        <v>0.16</v>
      </c>
      <c r="FN28" t="s">
        <v>53</v>
      </c>
      <c r="FS28" t="s">
        <v>306</v>
      </c>
      <c r="FT28" t="s">
        <v>355</v>
      </c>
      <c r="FU28">
        <v>111074</v>
      </c>
      <c r="FV28" t="s">
        <v>346</v>
      </c>
      <c r="FW28">
        <v>0.03</v>
      </c>
      <c r="FX28" t="s">
        <v>53</v>
      </c>
      <c r="FY28" t="s">
        <v>520</v>
      </c>
      <c r="FZ28">
        <v>103661</v>
      </c>
      <c r="GA28" t="s">
        <v>346</v>
      </c>
      <c r="GB28">
        <v>0.54</v>
      </c>
      <c r="GC28" t="s">
        <v>53</v>
      </c>
      <c r="GD28" t="s">
        <v>1928</v>
      </c>
      <c r="GE28" t="s">
        <v>300</v>
      </c>
      <c r="GF28" t="s">
        <v>361</v>
      </c>
      <c r="GG28">
        <v>0.01</v>
      </c>
      <c r="GH28" t="s">
        <v>50</v>
      </c>
      <c r="GI28" t="s">
        <v>428</v>
      </c>
      <c r="GJ28">
        <v>4116134</v>
      </c>
      <c r="GK28" t="s">
        <v>346</v>
      </c>
      <c r="GL28">
        <v>0.03</v>
      </c>
      <c r="GM28" t="s">
        <v>304</v>
      </c>
      <c r="GN28" t="s">
        <v>471</v>
      </c>
      <c r="GO28">
        <v>4102247</v>
      </c>
      <c r="GP28" t="s">
        <v>346</v>
      </c>
      <c r="GQ28">
        <v>0.16</v>
      </c>
      <c r="GR28" t="s">
        <v>53</v>
      </c>
      <c r="GS28" t="s">
        <v>740</v>
      </c>
      <c r="GT28">
        <v>4271664</v>
      </c>
      <c r="GU28" t="s">
        <v>346</v>
      </c>
      <c r="GV28">
        <v>0.1</v>
      </c>
      <c r="GW28" t="s">
        <v>313</v>
      </c>
      <c r="GX28" t="s">
        <v>520</v>
      </c>
      <c r="GY28">
        <v>103661</v>
      </c>
      <c r="GZ28" t="s">
        <v>346</v>
      </c>
      <c r="HA28">
        <v>0.44</v>
      </c>
      <c r="HB28" t="s">
        <v>53</v>
      </c>
      <c r="HG28" t="s">
        <v>306</v>
      </c>
    </row>
    <row r="29" spans="1:215" x14ac:dyDescent="0.35">
      <c r="E29" t="s">
        <v>306</v>
      </c>
      <c r="F29" t="s">
        <v>388</v>
      </c>
      <c r="G29">
        <v>4057506</v>
      </c>
      <c r="H29" t="s">
        <v>346</v>
      </c>
      <c r="I29">
        <v>0.26</v>
      </c>
      <c r="J29" t="s">
        <v>53</v>
      </c>
      <c r="K29" t="s">
        <v>389</v>
      </c>
      <c r="L29">
        <v>109888</v>
      </c>
      <c r="M29" t="s">
        <v>346</v>
      </c>
      <c r="N29">
        <v>0.05</v>
      </c>
      <c r="O29" t="s">
        <v>53</v>
      </c>
      <c r="T29" t="s">
        <v>306</v>
      </c>
      <c r="U29" t="s">
        <v>718</v>
      </c>
      <c r="V29">
        <v>10875409</v>
      </c>
      <c r="W29" t="s">
        <v>346</v>
      </c>
      <c r="X29">
        <v>0.48</v>
      </c>
      <c r="Y29" t="s">
        <v>50</v>
      </c>
      <c r="Z29" t="s">
        <v>389</v>
      </c>
      <c r="AA29">
        <v>109888</v>
      </c>
      <c r="AB29" t="s">
        <v>346</v>
      </c>
      <c r="AC29">
        <v>0.05</v>
      </c>
      <c r="AD29" t="s">
        <v>53</v>
      </c>
      <c r="AE29" t="s">
        <v>547</v>
      </c>
      <c r="AF29">
        <v>4005523</v>
      </c>
      <c r="AG29" t="s">
        <v>346</v>
      </c>
      <c r="AH29">
        <v>0.16</v>
      </c>
      <c r="AI29" t="s">
        <v>80</v>
      </c>
      <c r="AN29" t="s">
        <v>306</v>
      </c>
      <c r="AO29" t="s">
        <v>411</v>
      </c>
      <c r="AP29">
        <v>4272373</v>
      </c>
      <c r="AQ29" t="s">
        <v>346</v>
      </c>
      <c r="AR29">
        <v>0.28999999999999998</v>
      </c>
      <c r="AS29" t="s">
        <v>313</v>
      </c>
      <c r="AX29" t="s">
        <v>306</v>
      </c>
      <c r="AY29" t="s">
        <v>677</v>
      </c>
      <c r="AZ29">
        <v>4345260</v>
      </c>
      <c r="BA29" t="s">
        <v>346</v>
      </c>
      <c r="BB29">
        <v>0.17</v>
      </c>
      <c r="BC29" t="s">
        <v>50</v>
      </c>
      <c r="BD29" t="s">
        <v>426</v>
      </c>
      <c r="BE29">
        <v>100201</v>
      </c>
      <c r="BF29" t="s">
        <v>366</v>
      </c>
      <c r="BG29">
        <v>0.51</v>
      </c>
      <c r="BH29" t="s">
        <v>53</v>
      </c>
      <c r="BI29" t="s">
        <v>374</v>
      </c>
      <c r="BJ29">
        <v>4138467</v>
      </c>
      <c r="BK29" t="s">
        <v>362</v>
      </c>
      <c r="BL29">
        <v>0.22</v>
      </c>
      <c r="BM29" t="s">
        <v>375</v>
      </c>
      <c r="BN29" t="s">
        <v>554</v>
      </c>
      <c r="BO29">
        <v>4408592</v>
      </c>
      <c r="BP29" t="s">
        <v>346</v>
      </c>
      <c r="BQ29">
        <v>0.09</v>
      </c>
      <c r="BR29" t="s">
        <v>326</v>
      </c>
      <c r="BS29" t="s">
        <v>948</v>
      </c>
      <c r="BT29" t="s">
        <v>300</v>
      </c>
      <c r="BU29" t="s">
        <v>361</v>
      </c>
      <c r="BV29">
        <v>0.39</v>
      </c>
      <c r="BW29" t="s">
        <v>50</v>
      </c>
      <c r="BX29" t="s">
        <v>718</v>
      </c>
      <c r="BY29">
        <v>10875409</v>
      </c>
      <c r="BZ29" t="s">
        <v>346</v>
      </c>
      <c r="CA29">
        <v>0.48</v>
      </c>
      <c r="CB29" t="s">
        <v>50</v>
      </c>
      <c r="CC29" t="s">
        <v>380</v>
      </c>
      <c r="CD29">
        <v>4674815</v>
      </c>
      <c r="CE29" t="s">
        <v>346</v>
      </c>
      <c r="CF29">
        <v>0.38</v>
      </c>
      <c r="CG29" t="s">
        <v>320</v>
      </c>
      <c r="CH29" t="s">
        <v>411</v>
      </c>
      <c r="CI29">
        <v>4272373</v>
      </c>
      <c r="CJ29" t="s">
        <v>346</v>
      </c>
      <c r="CK29">
        <v>0.28999999999999998</v>
      </c>
      <c r="CL29" t="s">
        <v>313</v>
      </c>
      <c r="CM29" t="s">
        <v>396</v>
      </c>
      <c r="CN29">
        <v>4119759</v>
      </c>
      <c r="CO29" t="s">
        <v>346</v>
      </c>
      <c r="CP29">
        <v>0.51</v>
      </c>
      <c r="CQ29" t="s">
        <v>53</v>
      </c>
      <c r="CV29" t="s">
        <v>306</v>
      </c>
      <c r="DA29" t="s">
        <v>306</v>
      </c>
      <c r="DB29" t="s">
        <v>426</v>
      </c>
      <c r="DC29">
        <v>100201</v>
      </c>
      <c r="DD29" t="s">
        <v>366</v>
      </c>
      <c r="DE29">
        <v>0.51</v>
      </c>
      <c r="DF29" t="s">
        <v>53</v>
      </c>
      <c r="DK29" t="s">
        <v>306</v>
      </c>
      <c r="DL29" t="s">
        <v>426</v>
      </c>
      <c r="DM29">
        <v>100201</v>
      </c>
      <c r="DN29" t="s">
        <v>366</v>
      </c>
      <c r="DO29">
        <v>0.51</v>
      </c>
      <c r="DP29" t="s">
        <v>53</v>
      </c>
      <c r="DU29" t="s">
        <v>306</v>
      </c>
      <c r="DV29" t="s">
        <v>430</v>
      </c>
      <c r="DW29">
        <v>4055767</v>
      </c>
      <c r="DX29" t="s">
        <v>346</v>
      </c>
      <c r="DY29">
        <v>0.01</v>
      </c>
      <c r="DZ29" t="s">
        <v>53</v>
      </c>
      <c r="EA29" t="s">
        <v>380</v>
      </c>
      <c r="EB29">
        <v>4674815</v>
      </c>
      <c r="EC29" t="s">
        <v>346</v>
      </c>
      <c r="ED29">
        <v>0.38</v>
      </c>
      <c r="EE29" t="s">
        <v>320</v>
      </c>
      <c r="EF29" t="s">
        <v>426</v>
      </c>
      <c r="EG29">
        <v>100201</v>
      </c>
      <c r="EH29" t="s">
        <v>366</v>
      </c>
      <c r="EI29">
        <v>0.51</v>
      </c>
      <c r="EJ29" t="s">
        <v>53</v>
      </c>
      <c r="EO29" t="s">
        <v>306</v>
      </c>
      <c r="EP29" t="s">
        <v>638</v>
      </c>
      <c r="EQ29">
        <v>4137668</v>
      </c>
      <c r="ER29" t="s">
        <v>346</v>
      </c>
      <c r="ES29">
        <v>0.05</v>
      </c>
      <c r="ET29" t="s">
        <v>50</v>
      </c>
      <c r="EY29" t="s">
        <v>306</v>
      </c>
      <c r="EZ29" t="s">
        <v>882</v>
      </c>
      <c r="FA29">
        <v>110793</v>
      </c>
      <c r="FB29" t="s">
        <v>346</v>
      </c>
      <c r="FC29">
        <v>0.01</v>
      </c>
      <c r="FD29" t="s">
        <v>53</v>
      </c>
      <c r="FE29" t="s">
        <v>447</v>
      </c>
      <c r="FF29">
        <v>4138513</v>
      </c>
      <c r="FG29" t="s">
        <v>346</v>
      </c>
      <c r="FH29">
        <v>0.03</v>
      </c>
      <c r="FI29" t="s">
        <v>304</v>
      </c>
      <c r="FJ29" t="s">
        <v>431</v>
      </c>
      <c r="FK29">
        <v>4085931</v>
      </c>
      <c r="FL29" t="s">
        <v>346</v>
      </c>
      <c r="FM29">
        <v>0.15</v>
      </c>
      <c r="FN29" t="s">
        <v>304</v>
      </c>
      <c r="FS29" t="s">
        <v>306</v>
      </c>
      <c r="FT29" t="s">
        <v>389</v>
      </c>
      <c r="FU29">
        <v>109888</v>
      </c>
      <c r="FV29" t="s">
        <v>346</v>
      </c>
      <c r="FW29">
        <v>0.02</v>
      </c>
      <c r="FX29" t="s">
        <v>53</v>
      </c>
      <c r="FY29" t="s">
        <v>426</v>
      </c>
      <c r="FZ29">
        <v>100201</v>
      </c>
      <c r="GA29" t="s">
        <v>366</v>
      </c>
      <c r="GB29">
        <v>0.51</v>
      </c>
      <c r="GC29" t="s">
        <v>53</v>
      </c>
      <c r="GD29" t="s">
        <v>882</v>
      </c>
      <c r="GE29">
        <v>110793</v>
      </c>
      <c r="GF29" t="s">
        <v>346</v>
      </c>
      <c r="GG29">
        <v>0.01</v>
      </c>
      <c r="GH29" t="s">
        <v>53</v>
      </c>
      <c r="GI29" t="s">
        <v>447</v>
      </c>
      <c r="GJ29">
        <v>4138513</v>
      </c>
      <c r="GK29" t="s">
        <v>346</v>
      </c>
      <c r="GL29">
        <v>0.03</v>
      </c>
      <c r="GM29" t="s">
        <v>304</v>
      </c>
      <c r="GN29" t="s">
        <v>431</v>
      </c>
      <c r="GO29">
        <v>4085931</v>
      </c>
      <c r="GP29" t="s">
        <v>346</v>
      </c>
      <c r="GQ29">
        <v>0.15</v>
      </c>
      <c r="GR29" t="s">
        <v>304</v>
      </c>
      <c r="GS29" t="s">
        <v>554</v>
      </c>
      <c r="GT29">
        <v>4408592</v>
      </c>
      <c r="GU29" t="s">
        <v>346</v>
      </c>
      <c r="GV29">
        <v>0.09</v>
      </c>
      <c r="GW29" t="s">
        <v>326</v>
      </c>
      <c r="GX29" t="s">
        <v>380</v>
      </c>
      <c r="GY29">
        <v>4674815</v>
      </c>
      <c r="GZ29" t="s">
        <v>346</v>
      </c>
      <c r="HA29">
        <v>0.38</v>
      </c>
      <c r="HB29" t="s">
        <v>320</v>
      </c>
      <c r="HG29" t="s">
        <v>306</v>
      </c>
    </row>
    <row r="30" spans="1:215" x14ac:dyDescent="0.35">
      <c r="E30" t="s">
        <v>306</v>
      </c>
      <c r="F30" t="s">
        <v>436</v>
      </c>
      <c r="G30">
        <v>111219</v>
      </c>
      <c r="H30" t="s">
        <v>346</v>
      </c>
      <c r="I30">
        <v>0.25</v>
      </c>
      <c r="J30" t="s">
        <v>53</v>
      </c>
      <c r="K30" t="s">
        <v>471</v>
      </c>
      <c r="L30">
        <v>4102247</v>
      </c>
      <c r="M30" t="s">
        <v>346</v>
      </c>
      <c r="N30">
        <v>0.05</v>
      </c>
      <c r="O30" t="s">
        <v>53</v>
      </c>
      <c r="T30" t="s">
        <v>306</v>
      </c>
      <c r="U30" t="s">
        <v>639</v>
      </c>
      <c r="V30">
        <v>4139311</v>
      </c>
      <c r="W30" t="s">
        <v>346</v>
      </c>
      <c r="X30">
        <v>0.48</v>
      </c>
      <c r="Y30" t="s">
        <v>50</v>
      </c>
      <c r="Z30" t="s">
        <v>471</v>
      </c>
      <c r="AA30">
        <v>4102247</v>
      </c>
      <c r="AB30" t="s">
        <v>346</v>
      </c>
      <c r="AC30">
        <v>0.05</v>
      </c>
      <c r="AD30" t="s">
        <v>53</v>
      </c>
      <c r="AE30" t="s">
        <v>393</v>
      </c>
      <c r="AF30">
        <v>4723508</v>
      </c>
      <c r="AG30" t="s">
        <v>346</v>
      </c>
      <c r="AH30">
        <v>0.15</v>
      </c>
      <c r="AI30" t="s">
        <v>313</v>
      </c>
      <c r="AN30" t="s">
        <v>306</v>
      </c>
      <c r="AO30" t="s">
        <v>355</v>
      </c>
      <c r="AP30">
        <v>111074</v>
      </c>
      <c r="AQ30" t="s">
        <v>346</v>
      </c>
      <c r="AR30">
        <v>0.28000000000000003</v>
      </c>
      <c r="AS30" t="s">
        <v>53</v>
      </c>
      <c r="AX30" t="s">
        <v>306</v>
      </c>
      <c r="AY30" t="s">
        <v>728</v>
      </c>
      <c r="AZ30">
        <v>4316929</v>
      </c>
      <c r="BA30" t="s">
        <v>346</v>
      </c>
      <c r="BB30">
        <v>0.17</v>
      </c>
      <c r="BC30" t="s">
        <v>50</v>
      </c>
      <c r="BD30" t="s">
        <v>562</v>
      </c>
      <c r="BE30">
        <v>4256114</v>
      </c>
      <c r="BF30" t="s">
        <v>346</v>
      </c>
      <c r="BG30">
        <v>0.51</v>
      </c>
      <c r="BH30" t="s">
        <v>301</v>
      </c>
      <c r="BI30" t="s">
        <v>955</v>
      </c>
      <c r="BJ30">
        <v>4138889</v>
      </c>
      <c r="BK30" t="s">
        <v>346</v>
      </c>
      <c r="BL30">
        <v>0.22</v>
      </c>
      <c r="BM30" t="s">
        <v>313</v>
      </c>
      <c r="BN30" t="s">
        <v>546</v>
      </c>
      <c r="BO30">
        <v>4158830</v>
      </c>
      <c r="BP30" t="s">
        <v>346</v>
      </c>
      <c r="BQ30">
        <v>0.09</v>
      </c>
      <c r="BR30" t="s">
        <v>53</v>
      </c>
      <c r="BS30" t="s">
        <v>379</v>
      </c>
      <c r="BT30">
        <v>137764443</v>
      </c>
      <c r="BU30" t="s">
        <v>346</v>
      </c>
      <c r="BV30">
        <v>0.37</v>
      </c>
      <c r="BW30" t="s">
        <v>53</v>
      </c>
      <c r="BX30" t="s">
        <v>639</v>
      </c>
      <c r="BY30">
        <v>4139311</v>
      </c>
      <c r="BZ30" t="s">
        <v>346</v>
      </c>
      <c r="CA30">
        <v>0.48</v>
      </c>
      <c r="CB30" t="s">
        <v>50</v>
      </c>
      <c r="CC30" t="s">
        <v>357</v>
      </c>
      <c r="CD30">
        <v>4270330</v>
      </c>
      <c r="CE30" t="s">
        <v>346</v>
      </c>
      <c r="CF30">
        <v>0.35</v>
      </c>
      <c r="CG30" t="s">
        <v>53</v>
      </c>
      <c r="CH30" t="s">
        <v>355</v>
      </c>
      <c r="CI30">
        <v>111074</v>
      </c>
      <c r="CJ30" t="s">
        <v>346</v>
      </c>
      <c r="CK30">
        <v>0.28000000000000003</v>
      </c>
      <c r="CL30" t="s">
        <v>53</v>
      </c>
      <c r="CM30" t="s">
        <v>355</v>
      </c>
      <c r="CN30">
        <v>111074</v>
      </c>
      <c r="CO30" t="s">
        <v>346</v>
      </c>
      <c r="CP30">
        <v>0.5</v>
      </c>
      <c r="CQ30" t="s">
        <v>53</v>
      </c>
      <c r="CV30" t="s">
        <v>306</v>
      </c>
      <c r="DA30" t="s">
        <v>306</v>
      </c>
      <c r="DB30" t="s">
        <v>562</v>
      </c>
      <c r="DC30">
        <v>4256114</v>
      </c>
      <c r="DD30" t="s">
        <v>346</v>
      </c>
      <c r="DE30">
        <v>0.51</v>
      </c>
      <c r="DF30" t="s">
        <v>301</v>
      </c>
      <c r="DK30" t="s">
        <v>306</v>
      </c>
      <c r="DL30" t="s">
        <v>562</v>
      </c>
      <c r="DM30">
        <v>4256114</v>
      </c>
      <c r="DN30" t="s">
        <v>346</v>
      </c>
      <c r="DO30">
        <v>0.51</v>
      </c>
      <c r="DP30" t="s">
        <v>301</v>
      </c>
      <c r="DU30" t="s">
        <v>306</v>
      </c>
      <c r="DV30" t="s">
        <v>389</v>
      </c>
      <c r="DW30">
        <v>109888</v>
      </c>
      <c r="DX30" t="s">
        <v>346</v>
      </c>
      <c r="DY30">
        <v>0.01</v>
      </c>
      <c r="DZ30" t="s">
        <v>53</v>
      </c>
      <c r="EA30" t="s">
        <v>357</v>
      </c>
      <c r="EB30">
        <v>4270330</v>
      </c>
      <c r="EC30" t="s">
        <v>346</v>
      </c>
      <c r="ED30">
        <v>0.35</v>
      </c>
      <c r="EE30" t="s">
        <v>53</v>
      </c>
      <c r="EF30" t="s">
        <v>562</v>
      </c>
      <c r="EG30">
        <v>4256114</v>
      </c>
      <c r="EH30" t="s">
        <v>346</v>
      </c>
      <c r="EI30">
        <v>0.51</v>
      </c>
      <c r="EJ30" t="s">
        <v>301</v>
      </c>
      <c r="EO30" t="s">
        <v>306</v>
      </c>
      <c r="EP30" t="s">
        <v>442</v>
      </c>
      <c r="EQ30">
        <v>4117611</v>
      </c>
      <c r="ER30" t="s">
        <v>346</v>
      </c>
      <c r="ES30">
        <v>0.04</v>
      </c>
      <c r="ET30" t="s">
        <v>53</v>
      </c>
      <c r="EY30" t="s">
        <v>306</v>
      </c>
      <c r="EZ30" t="s">
        <v>1929</v>
      </c>
      <c r="FA30" t="s">
        <v>300</v>
      </c>
      <c r="FB30" t="s">
        <v>361</v>
      </c>
      <c r="FC30">
        <v>0.01</v>
      </c>
      <c r="FD30" t="s">
        <v>50</v>
      </c>
      <c r="FE30" t="s">
        <v>2152</v>
      </c>
      <c r="FF30" t="s">
        <v>300</v>
      </c>
      <c r="FG30" t="s">
        <v>361</v>
      </c>
      <c r="FH30">
        <v>0.03</v>
      </c>
      <c r="FI30" t="s">
        <v>50</v>
      </c>
      <c r="FJ30" t="s">
        <v>857</v>
      </c>
      <c r="FK30">
        <v>4262519</v>
      </c>
      <c r="FL30" t="s">
        <v>346</v>
      </c>
      <c r="FM30">
        <v>0.14000000000000001</v>
      </c>
      <c r="FN30" t="s">
        <v>53</v>
      </c>
      <c r="FS30" t="s">
        <v>306</v>
      </c>
      <c r="FT30" t="s">
        <v>390</v>
      </c>
      <c r="FU30">
        <v>4135241</v>
      </c>
      <c r="FV30" t="s">
        <v>346</v>
      </c>
      <c r="FW30">
        <v>0.02</v>
      </c>
      <c r="FX30" t="s">
        <v>125</v>
      </c>
      <c r="FY30" t="s">
        <v>562</v>
      </c>
      <c r="FZ30">
        <v>4256114</v>
      </c>
      <c r="GA30" t="s">
        <v>346</v>
      </c>
      <c r="GB30">
        <v>0.51</v>
      </c>
      <c r="GC30" t="s">
        <v>301</v>
      </c>
      <c r="GD30" t="s">
        <v>1929</v>
      </c>
      <c r="GE30" t="s">
        <v>300</v>
      </c>
      <c r="GF30" t="s">
        <v>361</v>
      </c>
      <c r="GG30">
        <v>0.01</v>
      </c>
      <c r="GH30" t="s">
        <v>50</v>
      </c>
      <c r="GI30" t="s">
        <v>2152</v>
      </c>
      <c r="GJ30" t="s">
        <v>300</v>
      </c>
      <c r="GK30" t="s">
        <v>361</v>
      </c>
      <c r="GL30">
        <v>0.03</v>
      </c>
      <c r="GM30" t="s">
        <v>50</v>
      </c>
      <c r="GN30" t="s">
        <v>857</v>
      </c>
      <c r="GO30">
        <v>4262519</v>
      </c>
      <c r="GP30" t="s">
        <v>346</v>
      </c>
      <c r="GQ30">
        <v>0.14000000000000001</v>
      </c>
      <c r="GR30" t="s">
        <v>53</v>
      </c>
      <c r="GS30" t="s">
        <v>546</v>
      </c>
      <c r="GT30">
        <v>4158830</v>
      </c>
      <c r="GU30" t="s">
        <v>346</v>
      </c>
      <c r="GV30">
        <v>0.09</v>
      </c>
      <c r="GW30" t="s">
        <v>53</v>
      </c>
      <c r="GX30" t="s">
        <v>357</v>
      </c>
      <c r="GY30">
        <v>4270330</v>
      </c>
      <c r="GZ30" t="s">
        <v>346</v>
      </c>
      <c r="HA30">
        <v>0.35</v>
      </c>
      <c r="HB30" t="s">
        <v>53</v>
      </c>
      <c r="HG30" t="s">
        <v>306</v>
      </c>
    </row>
    <row r="31" spans="1:215" x14ac:dyDescent="0.35">
      <c r="E31" t="s">
        <v>306</v>
      </c>
      <c r="F31" t="s">
        <v>399</v>
      </c>
      <c r="G31">
        <v>4026948</v>
      </c>
      <c r="H31" t="s">
        <v>346</v>
      </c>
      <c r="I31">
        <v>0.24</v>
      </c>
      <c r="J31" t="s">
        <v>317</v>
      </c>
      <c r="K31" t="s">
        <v>457</v>
      </c>
      <c r="L31">
        <v>110399</v>
      </c>
      <c r="M31" t="s">
        <v>346</v>
      </c>
      <c r="N31">
        <v>0.04</v>
      </c>
      <c r="O31" t="s">
        <v>53</v>
      </c>
      <c r="T31" t="s">
        <v>306</v>
      </c>
      <c r="U31" t="s">
        <v>456</v>
      </c>
      <c r="V31">
        <v>4249110</v>
      </c>
      <c r="W31" t="s">
        <v>346</v>
      </c>
      <c r="X31">
        <v>0.44</v>
      </c>
      <c r="Y31" t="s">
        <v>313</v>
      </c>
      <c r="Z31" t="s">
        <v>457</v>
      </c>
      <c r="AA31">
        <v>110399</v>
      </c>
      <c r="AB31" t="s">
        <v>346</v>
      </c>
      <c r="AC31">
        <v>0.04</v>
      </c>
      <c r="AD31" t="s">
        <v>53</v>
      </c>
      <c r="AE31" t="s">
        <v>1059</v>
      </c>
      <c r="AF31">
        <v>4343939</v>
      </c>
      <c r="AG31" t="s">
        <v>300</v>
      </c>
      <c r="AH31">
        <v>0.15</v>
      </c>
      <c r="AI31" t="s">
        <v>53</v>
      </c>
      <c r="AN31" t="s">
        <v>306</v>
      </c>
      <c r="AO31" t="s">
        <v>378</v>
      </c>
      <c r="AP31">
        <v>4048184</v>
      </c>
      <c r="AQ31" t="s">
        <v>346</v>
      </c>
      <c r="AR31">
        <v>0.28000000000000003</v>
      </c>
      <c r="AS31" t="s">
        <v>80</v>
      </c>
      <c r="AX31" t="s">
        <v>306</v>
      </c>
      <c r="AY31" t="s">
        <v>735</v>
      </c>
      <c r="AZ31">
        <v>4345966</v>
      </c>
      <c r="BA31" t="s">
        <v>346</v>
      </c>
      <c r="BB31">
        <v>0.16</v>
      </c>
      <c r="BC31" t="s">
        <v>50</v>
      </c>
      <c r="BD31" t="s">
        <v>351</v>
      </c>
      <c r="BE31">
        <v>111289</v>
      </c>
      <c r="BF31" t="s">
        <v>346</v>
      </c>
      <c r="BG31">
        <v>0.5</v>
      </c>
      <c r="BH31" t="s">
        <v>53</v>
      </c>
      <c r="BI31" t="s">
        <v>1126</v>
      </c>
      <c r="BJ31">
        <v>4765178</v>
      </c>
      <c r="BK31" t="s">
        <v>346</v>
      </c>
      <c r="BL31">
        <v>0.21</v>
      </c>
      <c r="BM31" t="s">
        <v>323</v>
      </c>
      <c r="BN31" t="s">
        <v>354</v>
      </c>
      <c r="BO31">
        <v>110652</v>
      </c>
      <c r="BP31" t="s">
        <v>346</v>
      </c>
      <c r="BQ31">
        <v>0.09</v>
      </c>
      <c r="BR31" t="s">
        <v>53</v>
      </c>
      <c r="BS31" t="s">
        <v>669</v>
      </c>
      <c r="BT31">
        <v>5860959</v>
      </c>
      <c r="BU31" t="s">
        <v>346</v>
      </c>
      <c r="BV31">
        <v>0.36</v>
      </c>
      <c r="BW31" t="s">
        <v>50</v>
      </c>
      <c r="BX31" t="s">
        <v>456</v>
      </c>
      <c r="BY31">
        <v>4249110</v>
      </c>
      <c r="BZ31" t="s">
        <v>346</v>
      </c>
      <c r="CA31">
        <v>0.44</v>
      </c>
      <c r="CB31" t="s">
        <v>313</v>
      </c>
      <c r="CC31" t="s">
        <v>1413</v>
      </c>
      <c r="CD31">
        <v>3006816</v>
      </c>
      <c r="CE31" t="s">
        <v>366</v>
      </c>
      <c r="CF31">
        <v>0.34</v>
      </c>
      <c r="CG31" t="s">
        <v>53</v>
      </c>
      <c r="CH31" t="s">
        <v>378</v>
      </c>
      <c r="CI31">
        <v>4048184</v>
      </c>
      <c r="CJ31" t="s">
        <v>346</v>
      </c>
      <c r="CK31">
        <v>0.28000000000000003</v>
      </c>
      <c r="CL31" t="s">
        <v>80</v>
      </c>
      <c r="CM31" t="s">
        <v>1115</v>
      </c>
      <c r="CN31">
        <v>4140101</v>
      </c>
      <c r="CO31" t="s">
        <v>363</v>
      </c>
      <c r="CP31">
        <v>0.47</v>
      </c>
      <c r="CQ31" t="s">
        <v>321</v>
      </c>
      <c r="CV31" t="s">
        <v>306</v>
      </c>
      <c r="DA31" t="s">
        <v>306</v>
      </c>
      <c r="DB31" t="s">
        <v>351</v>
      </c>
      <c r="DC31">
        <v>111289</v>
      </c>
      <c r="DD31" t="s">
        <v>346</v>
      </c>
      <c r="DE31">
        <v>0.5</v>
      </c>
      <c r="DF31" t="s">
        <v>53</v>
      </c>
      <c r="DK31" t="s">
        <v>306</v>
      </c>
      <c r="DL31" t="s">
        <v>351</v>
      </c>
      <c r="DM31">
        <v>111289</v>
      </c>
      <c r="DN31" t="s">
        <v>346</v>
      </c>
      <c r="DO31">
        <v>0.5</v>
      </c>
      <c r="DP31" t="s">
        <v>53</v>
      </c>
      <c r="DU31" t="s">
        <v>306</v>
      </c>
      <c r="DV31" t="s">
        <v>442</v>
      </c>
      <c r="DW31">
        <v>4117611</v>
      </c>
      <c r="DX31" t="s">
        <v>346</v>
      </c>
      <c r="DY31">
        <v>0.01</v>
      </c>
      <c r="DZ31" t="s">
        <v>53</v>
      </c>
      <c r="EA31" t="s">
        <v>1413</v>
      </c>
      <c r="EB31">
        <v>3006816</v>
      </c>
      <c r="EC31" t="s">
        <v>366</v>
      </c>
      <c r="ED31">
        <v>0.34</v>
      </c>
      <c r="EE31" t="s">
        <v>53</v>
      </c>
      <c r="EF31" t="s">
        <v>351</v>
      </c>
      <c r="EG31">
        <v>111289</v>
      </c>
      <c r="EH31" t="s">
        <v>346</v>
      </c>
      <c r="EI31">
        <v>0.5</v>
      </c>
      <c r="EJ31" t="s">
        <v>53</v>
      </c>
      <c r="EO31" t="s">
        <v>306</v>
      </c>
      <c r="EP31" t="s">
        <v>354</v>
      </c>
      <c r="EQ31">
        <v>110652</v>
      </c>
      <c r="ER31" t="s">
        <v>346</v>
      </c>
      <c r="ES31">
        <v>0.04</v>
      </c>
      <c r="ET31" t="s">
        <v>53</v>
      </c>
      <c r="EY31" t="s">
        <v>306</v>
      </c>
      <c r="EZ31" t="s">
        <v>1930</v>
      </c>
      <c r="FA31" t="s">
        <v>300</v>
      </c>
      <c r="FB31" t="s">
        <v>361</v>
      </c>
      <c r="FC31">
        <v>0.01</v>
      </c>
      <c r="FD31" t="s">
        <v>50</v>
      </c>
      <c r="FE31" t="s">
        <v>476</v>
      </c>
      <c r="FF31">
        <v>4139886</v>
      </c>
      <c r="FG31" t="s">
        <v>346</v>
      </c>
      <c r="FH31">
        <v>0.03</v>
      </c>
      <c r="FI31" t="s">
        <v>304</v>
      </c>
      <c r="FJ31" t="s">
        <v>396</v>
      </c>
      <c r="FK31">
        <v>4119759</v>
      </c>
      <c r="FL31" t="s">
        <v>346</v>
      </c>
      <c r="FM31">
        <v>0.14000000000000001</v>
      </c>
      <c r="FN31" t="s">
        <v>53</v>
      </c>
      <c r="FS31" t="s">
        <v>306</v>
      </c>
      <c r="FT31" t="s">
        <v>391</v>
      </c>
      <c r="FU31">
        <v>13582910</v>
      </c>
      <c r="FV31" t="s">
        <v>346</v>
      </c>
      <c r="FW31">
        <v>0.02</v>
      </c>
      <c r="FX31" t="s">
        <v>317</v>
      </c>
      <c r="FY31" t="s">
        <v>351</v>
      </c>
      <c r="FZ31">
        <v>111289</v>
      </c>
      <c r="GA31" t="s">
        <v>346</v>
      </c>
      <c r="GB31">
        <v>0.5</v>
      </c>
      <c r="GC31" t="s">
        <v>53</v>
      </c>
      <c r="GD31" t="s">
        <v>1930</v>
      </c>
      <c r="GE31" t="s">
        <v>300</v>
      </c>
      <c r="GF31" t="s">
        <v>361</v>
      </c>
      <c r="GG31">
        <v>0.01</v>
      </c>
      <c r="GH31" t="s">
        <v>50</v>
      </c>
      <c r="GI31" t="s">
        <v>476</v>
      </c>
      <c r="GJ31">
        <v>4139886</v>
      </c>
      <c r="GK31" t="s">
        <v>346</v>
      </c>
      <c r="GL31">
        <v>0.03</v>
      </c>
      <c r="GM31" t="s">
        <v>304</v>
      </c>
      <c r="GN31" t="s">
        <v>396</v>
      </c>
      <c r="GO31">
        <v>4119759</v>
      </c>
      <c r="GP31" t="s">
        <v>346</v>
      </c>
      <c r="GQ31">
        <v>0.14000000000000001</v>
      </c>
      <c r="GR31" t="s">
        <v>53</v>
      </c>
      <c r="GS31" t="s">
        <v>354</v>
      </c>
      <c r="GT31">
        <v>110652</v>
      </c>
      <c r="GU31" t="s">
        <v>346</v>
      </c>
      <c r="GV31">
        <v>0.09</v>
      </c>
      <c r="GW31" t="s">
        <v>53</v>
      </c>
      <c r="GX31" t="s">
        <v>1413</v>
      </c>
      <c r="GY31">
        <v>3006816</v>
      </c>
      <c r="GZ31" t="s">
        <v>366</v>
      </c>
      <c r="HA31">
        <v>0.34</v>
      </c>
      <c r="HB31" t="s">
        <v>53</v>
      </c>
      <c r="HG31" t="s">
        <v>306</v>
      </c>
    </row>
    <row r="32" spans="1:215" x14ac:dyDescent="0.35">
      <c r="E32" t="s">
        <v>306</v>
      </c>
      <c r="F32" t="s">
        <v>437</v>
      </c>
      <c r="G32">
        <v>4102073</v>
      </c>
      <c r="H32" t="s">
        <v>346</v>
      </c>
      <c r="I32">
        <v>0.23</v>
      </c>
      <c r="J32" t="s">
        <v>53</v>
      </c>
      <c r="K32" t="s">
        <v>647</v>
      </c>
      <c r="L32">
        <v>4556995</v>
      </c>
      <c r="M32" t="s">
        <v>346</v>
      </c>
      <c r="N32">
        <v>0.04</v>
      </c>
      <c r="O32" t="s">
        <v>50</v>
      </c>
      <c r="T32" t="s">
        <v>306</v>
      </c>
      <c r="U32" t="s">
        <v>638</v>
      </c>
      <c r="V32">
        <v>4137668</v>
      </c>
      <c r="W32" t="s">
        <v>346</v>
      </c>
      <c r="X32">
        <v>0.4</v>
      </c>
      <c r="Y32" t="s">
        <v>50</v>
      </c>
      <c r="Z32" t="s">
        <v>647</v>
      </c>
      <c r="AA32">
        <v>4556995</v>
      </c>
      <c r="AB32" t="s">
        <v>346</v>
      </c>
      <c r="AC32">
        <v>0.04</v>
      </c>
      <c r="AD32" t="s">
        <v>50</v>
      </c>
      <c r="AE32" t="s">
        <v>491</v>
      </c>
      <c r="AF32">
        <v>106960</v>
      </c>
      <c r="AG32" t="s">
        <v>346</v>
      </c>
      <c r="AH32">
        <v>0.14000000000000001</v>
      </c>
      <c r="AI32" t="s">
        <v>80</v>
      </c>
      <c r="AN32" t="s">
        <v>306</v>
      </c>
      <c r="AO32" t="s">
        <v>1259</v>
      </c>
      <c r="AP32">
        <v>4213239</v>
      </c>
      <c r="AQ32" t="s">
        <v>346</v>
      </c>
      <c r="AR32">
        <v>0.28000000000000003</v>
      </c>
      <c r="AS32" t="s">
        <v>62</v>
      </c>
      <c r="AX32" t="s">
        <v>306</v>
      </c>
      <c r="AY32" t="s">
        <v>681</v>
      </c>
      <c r="AZ32">
        <v>5866754</v>
      </c>
      <c r="BA32" t="s">
        <v>346</v>
      </c>
      <c r="BB32">
        <v>0.16</v>
      </c>
      <c r="BC32" t="s">
        <v>50</v>
      </c>
      <c r="BD32" t="s">
        <v>1136</v>
      </c>
      <c r="BE32">
        <v>113818</v>
      </c>
      <c r="BF32" t="s">
        <v>366</v>
      </c>
      <c r="BG32">
        <v>0.5</v>
      </c>
      <c r="BH32" t="s">
        <v>317</v>
      </c>
      <c r="BI32" t="s">
        <v>406</v>
      </c>
      <c r="BJ32">
        <v>4115698</v>
      </c>
      <c r="BK32" t="s">
        <v>346</v>
      </c>
      <c r="BL32">
        <v>0.2</v>
      </c>
      <c r="BM32" t="s">
        <v>313</v>
      </c>
      <c r="BN32" t="s">
        <v>832</v>
      </c>
      <c r="BO32">
        <v>15135223</v>
      </c>
      <c r="BP32" t="s">
        <v>346</v>
      </c>
      <c r="BQ32">
        <v>0.08</v>
      </c>
      <c r="BR32" t="s">
        <v>50</v>
      </c>
      <c r="BS32" t="s">
        <v>388</v>
      </c>
      <c r="BT32">
        <v>4057506</v>
      </c>
      <c r="BU32" t="s">
        <v>346</v>
      </c>
      <c r="BV32">
        <v>0.33</v>
      </c>
      <c r="BW32" t="s">
        <v>53</v>
      </c>
      <c r="BX32" t="s">
        <v>638</v>
      </c>
      <c r="BY32">
        <v>4137668</v>
      </c>
      <c r="BZ32" t="s">
        <v>346</v>
      </c>
      <c r="CA32">
        <v>0.4</v>
      </c>
      <c r="CB32" t="s">
        <v>50</v>
      </c>
      <c r="CC32" t="s">
        <v>354</v>
      </c>
      <c r="CD32">
        <v>110652</v>
      </c>
      <c r="CE32" t="s">
        <v>346</v>
      </c>
      <c r="CF32">
        <v>0.34</v>
      </c>
      <c r="CG32" t="s">
        <v>53</v>
      </c>
      <c r="CH32" t="s">
        <v>1259</v>
      </c>
      <c r="CI32">
        <v>4213239</v>
      </c>
      <c r="CJ32" t="s">
        <v>346</v>
      </c>
      <c r="CK32">
        <v>0.28000000000000003</v>
      </c>
      <c r="CL32" t="s">
        <v>62</v>
      </c>
      <c r="CM32" t="s">
        <v>374</v>
      </c>
      <c r="CN32">
        <v>4138467</v>
      </c>
      <c r="CO32" t="s">
        <v>362</v>
      </c>
      <c r="CP32">
        <v>0.46</v>
      </c>
      <c r="CQ32" t="s">
        <v>375</v>
      </c>
      <c r="CV32" t="s">
        <v>306</v>
      </c>
      <c r="DA32" t="s">
        <v>306</v>
      </c>
      <c r="DB32" t="s">
        <v>1136</v>
      </c>
      <c r="DC32">
        <v>113818</v>
      </c>
      <c r="DD32" t="s">
        <v>366</v>
      </c>
      <c r="DE32">
        <v>0.5</v>
      </c>
      <c r="DF32" t="s">
        <v>317</v>
      </c>
      <c r="DK32" t="s">
        <v>306</v>
      </c>
      <c r="DL32" t="s">
        <v>1136</v>
      </c>
      <c r="DM32">
        <v>113818</v>
      </c>
      <c r="DN32" t="s">
        <v>366</v>
      </c>
      <c r="DO32">
        <v>0.5</v>
      </c>
      <c r="DP32" t="s">
        <v>317</v>
      </c>
      <c r="DU32" t="s">
        <v>306</v>
      </c>
      <c r="DV32" t="s">
        <v>492</v>
      </c>
      <c r="DW32">
        <v>110674</v>
      </c>
      <c r="DX32" t="s">
        <v>346</v>
      </c>
      <c r="DY32">
        <v>0.01</v>
      </c>
      <c r="DZ32" t="s">
        <v>53</v>
      </c>
      <c r="EA32" t="s">
        <v>354</v>
      </c>
      <c r="EB32">
        <v>110652</v>
      </c>
      <c r="EC32" t="s">
        <v>346</v>
      </c>
      <c r="ED32">
        <v>0.34</v>
      </c>
      <c r="EE32" t="s">
        <v>53</v>
      </c>
      <c r="EF32" t="s">
        <v>1136</v>
      </c>
      <c r="EG32">
        <v>113818</v>
      </c>
      <c r="EH32" t="s">
        <v>366</v>
      </c>
      <c r="EI32">
        <v>0.5</v>
      </c>
      <c r="EJ32" t="s">
        <v>317</v>
      </c>
      <c r="EO32" t="s">
        <v>306</v>
      </c>
      <c r="EP32" t="s">
        <v>393</v>
      </c>
      <c r="EQ32">
        <v>4723508</v>
      </c>
      <c r="ER32" t="s">
        <v>346</v>
      </c>
      <c r="ES32">
        <v>0.03</v>
      </c>
      <c r="ET32" t="s">
        <v>313</v>
      </c>
      <c r="EY32" t="s">
        <v>306</v>
      </c>
      <c r="EZ32" t="s">
        <v>1931</v>
      </c>
      <c r="FA32">
        <v>105931716</v>
      </c>
      <c r="FB32" t="s">
        <v>370</v>
      </c>
      <c r="FC32">
        <v>0.01</v>
      </c>
      <c r="FD32" t="s">
        <v>128</v>
      </c>
      <c r="FE32" t="s">
        <v>460</v>
      </c>
      <c r="FF32">
        <v>4337989</v>
      </c>
      <c r="FG32" t="s">
        <v>346</v>
      </c>
      <c r="FH32">
        <v>0.02</v>
      </c>
      <c r="FI32" t="s">
        <v>53</v>
      </c>
      <c r="FJ32" t="s">
        <v>2157</v>
      </c>
      <c r="FK32">
        <v>110360</v>
      </c>
      <c r="FL32" t="s">
        <v>346</v>
      </c>
      <c r="FM32">
        <v>0.13</v>
      </c>
      <c r="FN32" t="s">
        <v>53</v>
      </c>
      <c r="FS32" t="s">
        <v>306</v>
      </c>
      <c r="FT32" t="s">
        <v>392</v>
      </c>
      <c r="FU32">
        <v>4398826</v>
      </c>
      <c r="FV32" t="s">
        <v>346</v>
      </c>
      <c r="FW32">
        <v>0.02</v>
      </c>
      <c r="FX32" t="s">
        <v>53</v>
      </c>
      <c r="FY32" t="s">
        <v>1136</v>
      </c>
      <c r="FZ32">
        <v>113818</v>
      </c>
      <c r="GA32" t="s">
        <v>366</v>
      </c>
      <c r="GB32">
        <v>0.5</v>
      </c>
      <c r="GC32" t="s">
        <v>317</v>
      </c>
      <c r="GD32" t="s">
        <v>1931</v>
      </c>
      <c r="GE32">
        <v>105931716</v>
      </c>
      <c r="GF32" t="s">
        <v>370</v>
      </c>
      <c r="GG32">
        <v>0.01</v>
      </c>
      <c r="GH32" t="s">
        <v>128</v>
      </c>
      <c r="GI32" t="s">
        <v>460</v>
      </c>
      <c r="GJ32">
        <v>4337989</v>
      </c>
      <c r="GK32" t="s">
        <v>346</v>
      </c>
      <c r="GL32">
        <v>0.02</v>
      </c>
      <c r="GM32" t="s">
        <v>53</v>
      </c>
      <c r="GN32" t="s">
        <v>2157</v>
      </c>
      <c r="GO32">
        <v>110360</v>
      </c>
      <c r="GP32" t="s">
        <v>346</v>
      </c>
      <c r="GQ32">
        <v>0.13</v>
      </c>
      <c r="GR32" t="s">
        <v>53</v>
      </c>
      <c r="GS32" t="s">
        <v>832</v>
      </c>
      <c r="GT32">
        <v>15135223</v>
      </c>
      <c r="GU32" t="s">
        <v>346</v>
      </c>
      <c r="GV32">
        <v>0.08</v>
      </c>
      <c r="GW32" t="s">
        <v>50</v>
      </c>
      <c r="GX32" t="s">
        <v>354</v>
      </c>
      <c r="GY32">
        <v>110652</v>
      </c>
      <c r="GZ32" t="s">
        <v>346</v>
      </c>
      <c r="HA32">
        <v>0.34</v>
      </c>
      <c r="HB32" t="s">
        <v>53</v>
      </c>
      <c r="HG32" t="s">
        <v>306</v>
      </c>
    </row>
    <row r="33" spans="5:215" x14ac:dyDescent="0.35">
      <c r="E33" t="s">
        <v>306</v>
      </c>
      <c r="F33" t="s">
        <v>415</v>
      </c>
      <c r="G33">
        <v>110587</v>
      </c>
      <c r="H33" t="s">
        <v>346</v>
      </c>
      <c r="I33">
        <v>0.23</v>
      </c>
      <c r="J33" t="s">
        <v>53</v>
      </c>
      <c r="K33" t="s">
        <v>484</v>
      </c>
      <c r="L33">
        <v>110386</v>
      </c>
      <c r="M33" t="s">
        <v>346</v>
      </c>
      <c r="N33">
        <v>0.04</v>
      </c>
      <c r="O33" t="s">
        <v>53</v>
      </c>
      <c r="T33" t="s">
        <v>306</v>
      </c>
      <c r="U33" t="s">
        <v>562</v>
      </c>
      <c r="V33">
        <v>4256114</v>
      </c>
      <c r="W33" t="s">
        <v>346</v>
      </c>
      <c r="X33">
        <v>0.4</v>
      </c>
      <c r="Y33" t="s">
        <v>301</v>
      </c>
      <c r="Z33" t="s">
        <v>484</v>
      </c>
      <c r="AA33">
        <v>110386</v>
      </c>
      <c r="AB33" t="s">
        <v>346</v>
      </c>
      <c r="AC33">
        <v>0.04</v>
      </c>
      <c r="AD33" t="s">
        <v>53</v>
      </c>
      <c r="AE33" t="s">
        <v>352</v>
      </c>
      <c r="AF33">
        <v>4143440</v>
      </c>
      <c r="AG33" t="s">
        <v>346</v>
      </c>
      <c r="AH33">
        <v>0.13</v>
      </c>
      <c r="AI33" t="s">
        <v>53</v>
      </c>
      <c r="AN33" t="s">
        <v>306</v>
      </c>
      <c r="AO33" t="s">
        <v>354</v>
      </c>
      <c r="AP33">
        <v>110652</v>
      </c>
      <c r="AQ33" t="s">
        <v>346</v>
      </c>
      <c r="AR33">
        <v>0.26</v>
      </c>
      <c r="AS33" t="s">
        <v>53</v>
      </c>
      <c r="AX33" t="s">
        <v>306</v>
      </c>
      <c r="AY33" t="s">
        <v>673</v>
      </c>
      <c r="AZ33">
        <v>5837129</v>
      </c>
      <c r="BA33" t="s">
        <v>346</v>
      </c>
      <c r="BB33">
        <v>0.11</v>
      </c>
      <c r="BC33" t="s">
        <v>50</v>
      </c>
      <c r="BD33" t="s">
        <v>583</v>
      </c>
      <c r="BE33">
        <v>4579014</v>
      </c>
      <c r="BF33" t="s">
        <v>346</v>
      </c>
      <c r="BG33">
        <v>0.46</v>
      </c>
      <c r="BH33" t="s">
        <v>53</v>
      </c>
      <c r="BI33" t="s">
        <v>1480</v>
      </c>
      <c r="BJ33">
        <v>4339647</v>
      </c>
      <c r="BK33" t="s">
        <v>364</v>
      </c>
      <c r="BL33">
        <v>0.19</v>
      </c>
      <c r="BM33" t="s">
        <v>313</v>
      </c>
      <c r="BN33" t="s">
        <v>665</v>
      </c>
      <c r="BO33">
        <v>4137720</v>
      </c>
      <c r="BP33" t="s">
        <v>346</v>
      </c>
      <c r="BQ33">
        <v>0.08</v>
      </c>
      <c r="BR33" t="s">
        <v>50</v>
      </c>
      <c r="BS33" t="s">
        <v>949</v>
      </c>
      <c r="BT33">
        <v>4055370</v>
      </c>
      <c r="BU33" t="s">
        <v>362</v>
      </c>
      <c r="BV33">
        <v>0.32</v>
      </c>
      <c r="BW33" t="s">
        <v>2190</v>
      </c>
      <c r="BX33" t="s">
        <v>562</v>
      </c>
      <c r="BY33">
        <v>4256114</v>
      </c>
      <c r="BZ33" t="s">
        <v>346</v>
      </c>
      <c r="CA33">
        <v>0.4</v>
      </c>
      <c r="CB33" t="s">
        <v>301</v>
      </c>
      <c r="CC33" t="s">
        <v>1615</v>
      </c>
      <c r="CD33">
        <v>4048646</v>
      </c>
      <c r="CE33" t="s">
        <v>364</v>
      </c>
      <c r="CF33">
        <v>0.33</v>
      </c>
      <c r="CG33" t="s">
        <v>53</v>
      </c>
      <c r="CH33" t="s">
        <v>354</v>
      </c>
      <c r="CI33">
        <v>110652</v>
      </c>
      <c r="CJ33" t="s">
        <v>346</v>
      </c>
      <c r="CK33">
        <v>0.26</v>
      </c>
      <c r="CL33" t="s">
        <v>53</v>
      </c>
      <c r="CM33" t="s">
        <v>1654</v>
      </c>
      <c r="CN33">
        <v>4112715</v>
      </c>
      <c r="CO33" t="s">
        <v>346</v>
      </c>
      <c r="CP33">
        <v>0.43</v>
      </c>
      <c r="CQ33" t="s">
        <v>53</v>
      </c>
      <c r="CV33" t="s">
        <v>306</v>
      </c>
      <c r="DA33" t="s">
        <v>306</v>
      </c>
      <c r="DB33" t="s">
        <v>583</v>
      </c>
      <c r="DC33">
        <v>4579014</v>
      </c>
      <c r="DD33" t="s">
        <v>346</v>
      </c>
      <c r="DE33">
        <v>0.46</v>
      </c>
      <c r="DF33" t="s">
        <v>53</v>
      </c>
      <c r="DK33" t="s">
        <v>306</v>
      </c>
      <c r="DL33" t="s">
        <v>583</v>
      </c>
      <c r="DM33">
        <v>4579014</v>
      </c>
      <c r="DN33" t="s">
        <v>346</v>
      </c>
      <c r="DO33">
        <v>0.46</v>
      </c>
      <c r="DP33" t="s">
        <v>53</v>
      </c>
      <c r="DU33" t="s">
        <v>306</v>
      </c>
      <c r="DV33" t="s">
        <v>439</v>
      </c>
      <c r="DW33">
        <v>4757367</v>
      </c>
      <c r="DX33" t="s">
        <v>363</v>
      </c>
      <c r="DY33">
        <v>0.01</v>
      </c>
      <c r="DZ33" t="s">
        <v>125</v>
      </c>
      <c r="EA33" t="s">
        <v>1615</v>
      </c>
      <c r="EB33">
        <v>4048646</v>
      </c>
      <c r="EC33" t="s">
        <v>364</v>
      </c>
      <c r="ED33">
        <v>0.33</v>
      </c>
      <c r="EE33" t="s">
        <v>53</v>
      </c>
      <c r="EF33" t="s">
        <v>583</v>
      </c>
      <c r="EG33">
        <v>4579014</v>
      </c>
      <c r="EH33" t="s">
        <v>346</v>
      </c>
      <c r="EI33">
        <v>0.46</v>
      </c>
      <c r="EJ33" t="s">
        <v>53</v>
      </c>
      <c r="EO33" t="s">
        <v>306</v>
      </c>
      <c r="EP33" t="s">
        <v>396</v>
      </c>
      <c r="EQ33">
        <v>4119759</v>
      </c>
      <c r="ER33" t="s">
        <v>346</v>
      </c>
      <c r="ES33">
        <v>0.03</v>
      </c>
      <c r="ET33" t="s">
        <v>53</v>
      </c>
      <c r="EY33" t="s">
        <v>306</v>
      </c>
      <c r="EZ33" t="s">
        <v>1932</v>
      </c>
      <c r="FA33" t="s">
        <v>300</v>
      </c>
      <c r="FB33" t="s">
        <v>361</v>
      </c>
      <c r="FC33">
        <v>0.01</v>
      </c>
      <c r="FD33" t="s">
        <v>50</v>
      </c>
      <c r="FE33" t="s">
        <v>464</v>
      </c>
      <c r="FF33">
        <v>4629378</v>
      </c>
      <c r="FG33" t="s">
        <v>346</v>
      </c>
      <c r="FH33">
        <v>0.02</v>
      </c>
      <c r="FI33" t="s">
        <v>304</v>
      </c>
      <c r="FJ33" t="s">
        <v>403</v>
      </c>
      <c r="FK33">
        <v>4033550</v>
      </c>
      <c r="FL33" t="s">
        <v>346</v>
      </c>
      <c r="FM33">
        <v>0.13</v>
      </c>
      <c r="FN33" t="s">
        <v>53</v>
      </c>
      <c r="FS33" t="s">
        <v>306</v>
      </c>
      <c r="FT33" t="s">
        <v>393</v>
      </c>
      <c r="FU33">
        <v>4723508</v>
      </c>
      <c r="FV33" t="s">
        <v>346</v>
      </c>
      <c r="FW33">
        <v>0.02</v>
      </c>
      <c r="FX33" t="s">
        <v>313</v>
      </c>
      <c r="FY33" t="s">
        <v>583</v>
      </c>
      <c r="FZ33">
        <v>4579014</v>
      </c>
      <c r="GA33" t="s">
        <v>346</v>
      </c>
      <c r="GB33">
        <v>0.46</v>
      </c>
      <c r="GC33" t="s">
        <v>53</v>
      </c>
      <c r="GD33" t="s">
        <v>1932</v>
      </c>
      <c r="GE33" t="s">
        <v>300</v>
      </c>
      <c r="GF33" t="s">
        <v>361</v>
      </c>
      <c r="GG33">
        <v>0.01</v>
      </c>
      <c r="GH33" t="s">
        <v>50</v>
      </c>
      <c r="GI33" t="s">
        <v>464</v>
      </c>
      <c r="GJ33">
        <v>4629378</v>
      </c>
      <c r="GK33" t="s">
        <v>346</v>
      </c>
      <c r="GL33">
        <v>0.02</v>
      </c>
      <c r="GM33" t="s">
        <v>304</v>
      </c>
      <c r="GN33" t="s">
        <v>403</v>
      </c>
      <c r="GO33">
        <v>4033550</v>
      </c>
      <c r="GP33" t="s">
        <v>346</v>
      </c>
      <c r="GQ33">
        <v>0.13</v>
      </c>
      <c r="GR33" t="s">
        <v>53</v>
      </c>
      <c r="GS33" t="s">
        <v>665</v>
      </c>
      <c r="GT33">
        <v>4137720</v>
      </c>
      <c r="GU33" t="s">
        <v>346</v>
      </c>
      <c r="GV33">
        <v>0.08</v>
      </c>
      <c r="GW33" t="s">
        <v>50</v>
      </c>
      <c r="GX33" t="s">
        <v>1615</v>
      </c>
      <c r="GY33">
        <v>4048646</v>
      </c>
      <c r="GZ33" t="s">
        <v>364</v>
      </c>
      <c r="HA33">
        <v>0.33</v>
      </c>
      <c r="HB33" t="s">
        <v>53</v>
      </c>
      <c r="HG33" t="s">
        <v>306</v>
      </c>
    </row>
    <row r="34" spans="5:215" x14ac:dyDescent="0.35">
      <c r="E34" t="s">
        <v>306</v>
      </c>
      <c r="F34" t="s">
        <v>438</v>
      </c>
      <c r="G34">
        <v>4040817</v>
      </c>
      <c r="H34" t="s">
        <v>364</v>
      </c>
      <c r="I34">
        <v>0.22</v>
      </c>
      <c r="J34" t="s">
        <v>313</v>
      </c>
      <c r="K34" t="s">
        <v>497</v>
      </c>
      <c r="L34">
        <v>4138770</v>
      </c>
      <c r="M34" t="s">
        <v>346</v>
      </c>
      <c r="N34">
        <v>0.04</v>
      </c>
      <c r="O34" t="s">
        <v>313</v>
      </c>
      <c r="T34" t="s">
        <v>306</v>
      </c>
      <c r="U34" t="s">
        <v>719</v>
      </c>
      <c r="V34">
        <v>4139954</v>
      </c>
      <c r="W34" t="s">
        <v>346</v>
      </c>
      <c r="X34">
        <v>0.38</v>
      </c>
      <c r="Y34" t="s">
        <v>326</v>
      </c>
      <c r="Z34" t="s">
        <v>497</v>
      </c>
      <c r="AA34">
        <v>4138770</v>
      </c>
      <c r="AB34" t="s">
        <v>346</v>
      </c>
      <c r="AC34">
        <v>0.04</v>
      </c>
      <c r="AD34" t="s">
        <v>313</v>
      </c>
      <c r="AE34" t="s">
        <v>1115</v>
      </c>
      <c r="AF34">
        <v>4140101</v>
      </c>
      <c r="AG34" t="s">
        <v>363</v>
      </c>
      <c r="AH34">
        <v>0.13</v>
      </c>
      <c r="AI34" t="s">
        <v>321</v>
      </c>
      <c r="AN34" t="s">
        <v>306</v>
      </c>
      <c r="AO34" t="s">
        <v>1260</v>
      </c>
      <c r="AP34">
        <v>4139972</v>
      </c>
      <c r="AQ34" t="s">
        <v>346</v>
      </c>
      <c r="AR34">
        <v>0.26</v>
      </c>
      <c r="AS34" t="s">
        <v>62</v>
      </c>
      <c r="AX34" t="s">
        <v>306</v>
      </c>
      <c r="AY34" t="s">
        <v>647</v>
      </c>
      <c r="AZ34">
        <v>4556995</v>
      </c>
      <c r="BA34" t="s">
        <v>346</v>
      </c>
      <c r="BB34">
        <v>0.09</v>
      </c>
      <c r="BC34" t="s">
        <v>50</v>
      </c>
      <c r="BD34" t="s">
        <v>401</v>
      </c>
      <c r="BE34">
        <v>4139862</v>
      </c>
      <c r="BF34" t="s">
        <v>346</v>
      </c>
      <c r="BG34">
        <v>0.45</v>
      </c>
      <c r="BH34" t="s">
        <v>313</v>
      </c>
      <c r="BI34" t="s">
        <v>433</v>
      </c>
      <c r="BJ34">
        <v>3000896</v>
      </c>
      <c r="BK34" t="s">
        <v>346</v>
      </c>
      <c r="BL34">
        <v>0.19</v>
      </c>
      <c r="BM34" t="s">
        <v>53</v>
      </c>
      <c r="BN34" t="s">
        <v>415</v>
      </c>
      <c r="BO34">
        <v>110587</v>
      </c>
      <c r="BP34" t="s">
        <v>346</v>
      </c>
      <c r="BQ34">
        <v>0.08</v>
      </c>
      <c r="BR34" t="s">
        <v>53</v>
      </c>
      <c r="BS34" t="s">
        <v>720</v>
      </c>
      <c r="BT34">
        <v>4139225</v>
      </c>
      <c r="BU34" t="s">
        <v>346</v>
      </c>
      <c r="BV34">
        <v>0.31</v>
      </c>
      <c r="BW34" t="s">
        <v>50</v>
      </c>
      <c r="BX34" t="s">
        <v>719</v>
      </c>
      <c r="BY34">
        <v>4139954</v>
      </c>
      <c r="BZ34" t="s">
        <v>346</v>
      </c>
      <c r="CA34">
        <v>0.38</v>
      </c>
      <c r="CB34" t="s">
        <v>326</v>
      </c>
      <c r="CC34" t="s">
        <v>1616</v>
      </c>
      <c r="CD34">
        <v>4270420</v>
      </c>
      <c r="CE34" t="s">
        <v>300</v>
      </c>
      <c r="CF34">
        <v>0.3</v>
      </c>
      <c r="CG34" t="s">
        <v>114</v>
      </c>
      <c r="CH34" t="s">
        <v>1260</v>
      </c>
      <c r="CI34">
        <v>4139972</v>
      </c>
      <c r="CJ34" t="s">
        <v>346</v>
      </c>
      <c r="CK34">
        <v>0.26</v>
      </c>
      <c r="CL34" t="s">
        <v>62</v>
      </c>
      <c r="CM34" t="s">
        <v>394</v>
      </c>
      <c r="CN34">
        <v>4048695</v>
      </c>
      <c r="CO34" t="s">
        <v>346</v>
      </c>
      <c r="CP34">
        <v>0.42</v>
      </c>
      <c r="CQ34" t="s">
        <v>53</v>
      </c>
      <c r="CV34" t="s">
        <v>306</v>
      </c>
      <c r="DA34" t="s">
        <v>306</v>
      </c>
      <c r="DB34" t="s">
        <v>401</v>
      </c>
      <c r="DC34">
        <v>4139862</v>
      </c>
      <c r="DD34" t="s">
        <v>346</v>
      </c>
      <c r="DE34">
        <v>0.45</v>
      </c>
      <c r="DF34" t="s">
        <v>313</v>
      </c>
      <c r="DK34" t="s">
        <v>306</v>
      </c>
      <c r="DL34" t="s">
        <v>401</v>
      </c>
      <c r="DM34">
        <v>4139862</v>
      </c>
      <c r="DN34" t="s">
        <v>346</v>
      </c>
      <c r="DO34">
        <v>0.45</v>
      </c>
      <c r="DP34" t="s">
        <v>313</v>
      </c>
      <c r="DU34" t="s">
        <v>306</v>
      </c>
      <c r="DV34" t="s">
        <v>501</v>
      </c>
      <c r="DW34">
        <v>111359</v>
      </c>
      <c r="DX34" t="s">
        <v>346</v>
      </c>
      <c r="DY34">
        <v>0.01</v>
      </c>
      <c r="DZ34" t="s">
        <v>53</v>
      </c>
      <c r="EA34" t="s">
        <v>1616</v>
      </c>
      <c r="EB34">
        <v>4270420</v>
      </c>
      <c r="EC34" t="s">
        <v>300</v>
      </c>
      <c r="ED34">
        <v>0.3</v>
      </c>
      <c r="EE34" t="s">
        <v>114</v>
      </c>
      <c r="EF34" t="s">
        <v>401</v>
      </c>
      <c r="EG34">
        <v>4139862</v>
      </c>
      <c r="EH34" t="s">
        <v>346</v>
      </c>
      <c r="EI34">
        <v>0.45</v>
      </c>
      <c r="EJ34" t="s">
        <v>313</v>
      </c>
      <c r="EO34" t="s">
        <v>306</v>
      </c>
      <c r="EP34" t="s">
        <v>394</v>
      </c>
      <c r="EQ34">
        <v>4048695</v>
      </c>
      <c r="ER34" t="s">
        <v>346</v>
      </c>
      <c r="ES34">
        <v>0.02</v>
      </c>
      <c r="ET34" t="s">
        <v>53</v>
      </c>
      <c r="EY34" t="s">
        <v>306</v>
      </c>
      <c r="EZ34" t="s">
        <v>1933</v>
      </c>
      <c r="FA34" t="s">
        <v>300</v>
      </c>
      <c r="FB34" t="s">
        <v>361</v>
      </c>
      <c r="FC34">
        <v>0</v>
      </c>
      <c r="FD34" t="s">
        <v>50</v>
      </c>
      <c r="FE34" t="s">
        <v>393</v>
      </c>
      <c r="FF34">
        <v>4723508</v>
      </c>
      <c r="FG34" t="s">
        <v>346</v>
      </c>
      <c r="FH34">
        <v>0.01</v>
      </c>
      <c r="FI34" t="s">
        <v>313</v>
      </c>
      <c r="FJ34" t="s">
        <v>428</v>
      </c>
      <c r="FK34">
        <v>4116134</v>
      </c>
      <c r="FL34" t="s">
        <v>346</v>
      </c>
      <c r="FM34">
        <v>0.13</v>
      </c>
      <c r="FN34" t="s">
        <v>304</v>
      </c>
      <c r="FS34" t="s">
        <v>306</v>
      </c>
      <c r="FT34" t="s">
        <v>394</v>
      </c>
      <c r="FU34">
        <v>4048695</v>
      </c>
      <c r="FV34" t="s">
        <v>346</v>
      </c>
      <c r="FW34">
        <v>0.02</v>
      </c>
      <c r="FX34" t="s">
        <v>53</v>
      </c>
      <c r="FY34" t="s">
        <v>401</v>
      </c>
      <c r="FZ34">
        <v>4139862</v>
      </c>
      <c r="GA34" t="s">
        <v>346</v>
      </c>
      <c r="GB34">
        <v>0.45</v>
      </c>
      <c r="GC34" t="s">
        <v>313</v>
      </c>
      <c r="GD34" t="s">
        <v>1933</v>
      </c>
      <c r="GE34" t="s">
        <v>300</v>
      </c>
      <c r="GF34" t="s">
        <v>361</v>
      </c>
      <c r="GG34">
        <v>0</v>
      </c>
      <c r="GH34" t="s">
        <v>50</v>
      </c>
      <c r="GI34" t="s">
        <v>393</v>
      </c>
      <c r="GJ34">
        <v>4723508</v>
      </c>
      <c r="GK34" t="s">
        <v>346</v>
      </c>
      <c r="GL34">
        <v>0.01</v>
      </c>
      <c r="GM34" t="s">
        <v>313</v>
      </c>
      <c r="GN34" t="s">
        <v>428</v>
      </c>
      <c r="GO34">
        <v>4116134</v>
      </c>
      <c r="GP34" t="s">
        <v>346</v>
      </c>
      <c r="GQ34">
        <v>0.13</v>
      </c>
      <c r="GR34" t="s">
        <v>304</v>
      </c>
      <c r="GS34" t="s">
        <v>415</v>
      </c>
      <c r="GT34">
        <v>110587</v>
      </c>
      <c r="GU34" t="s">
        <v>346</v>
      </c>
      <c r="GV34">
        <v>0.08</v>
      </c>
      <c r="GW34" t="s">
        <v>53</v>
      </c>
      <c r="GX34" t="s">
        <v>1616</v>
      </c>
      <c r="GY34">
        <v>4270420</v>
      </c>
      <c r="GZ34" t="s">
        <v>300</v>
      </c>
      <c r="HA34">
        <v>0.3</v>
      </c>
      <c r="HB34" t="s">
        <v>114</v>
      </c>
      <c r="HG34" t="s">
        <v>306</v>
      </c>
    </row>
    <row r="35" spans="5:215" x14ac:dyDescent="0.35">
      <c r="E35" t="s">
        <v>306</v>
      </c>
      <c r="F35" t="s">
        <v>439</v>
      </c>
      <c r="G35">
        <v>4757367</v>
      </c>
      <c r="H35" t="s">
        <v>363</v>
      </c>
      <c r="I35">
        <v>0.2</v>
      </c>
      <c r="J35" t="s">
        <v>125</v>
      </c>
      <c r="K35" t="s">
        <v>648</v>
      </c>
      <c r="L35">
        <v>4147551</v>
      </c>
      <c r="M35" t="s">
        <v>366</v>
      </c>
      <c r="N35">
        <v>0.04</v>
      </c>
      <c r="O35" t="s">
        <v>50</v>
      </c>
      <c r="T35" t="s">
        <v>306</v>
      </c>
      <c r="U35" t="s">
        <v>383</v>
      </c>
      <c r="V35">
        <v>103042</v>
      </c>
      <c r="W35" t="s">
        <v>366</v>
      </c>
      <c r="X35">
        <v>0.36</v>
      </c>
      <c r="Y35" t="s">
        <v>53</v>
      </c>
      <c r="Z35" t="s">
        <v>648</v>
      </c>
      <c r="AA35">
        <v>4147551</v>
      </c>
      <c r="AB35" t="s">
        <v>366</v>
      </c>
      <c r="AC35">
        <v>0.04</v>
      </c>
      <c r="AD35" t="s">
        <v>50</v>
      </c>
      <c r="AE35" t="s">
        <v>1116</v>
      </c>
      <c r="AF35">
        <v>5767392</v>
      </c>
      <c r="AG35" t="s">
        <v>346</v>
      </c>
      <c r="AH35">
        <v>0.13</v>
      </c>
      <c r="AI35" t="s">
        <v>2186</v>
      </c>
      <c r="AN35" t="s">
        <v>306</v>
      </c>
      <c r="AO35" t="s">
        <v>432</v>
      </c>
      <c r="AP35">
        <v>110092</v>
      </c>
      <c r="AQ35" t="s">
        <v>346</v>
      </c>
      <c r="AR35">
        <v>0.25</v>
      </c>
      <c r="AS35" t="s">
        <v>53</v>
      </c>
      <c r="AX35" t="s">
        <v>306</v>
      </c>
      <c r="AY35" t="s">
        <v>772</v>
      </c>
      <c r="AZ35">
        <v>4137684</v>
      </c>
      <c r="BA35" t="s">
        <v>300</v>
      </c>
      <c r="BB35">
        <v>7.0000000000000007E-2</v>
      </c>
      <c r="BC35" t="s">
        <v>50</v>
      </c>
      <c r="BD35" t="s">
        <v>354</v>
      </c>
      <c r="BE35">
        <v>110652</v>
      </c>
      <c r="BF35" t="s">
        <v>346</v>
      </c>
      <c r="BG35">
        <v>0.44</v>
      </c>
      <c r="BH35" t="s">
        <v>53</v>
      </c>
      <c r="BI35" t="s">
        <v>643</v>
      </c>
      <c r="BJ35">
        <v>8365031</v>
      </c>
      <c r="BK35" t="s">
        <v>346</v>
      </c>
      <c r="BL35">
        <v>0.19</v>
      </c>
      <c r="BM35" t="s">
        <v>125</v>
      </c>
      <c r="BN35" t="s">
        <v>380</v>
      </c>
      <c r="BO35">
        <v>4674815</v>
      </c>
      <c r="BP35" t="s">
        <v>346</v>
      </c>
      <c r="BQ35">
        <v>0.08</v>
      </c>
      <c r="BR35" t="s">
        <v>320</v>
      </c>
      <c r="BS35" t="s">
        <v>727</v>
      </c>
      <c r="BT35">
        <v>15508432</v>
      </c>
      <c r="BU35" t="s">
        <v>346</v>
      </c>
      <c r="BV35">
        <v>0.27</v>
      </c>
      <c r="BW35" t="s">
        <v>50</v>
      </c>
      <c r="BX35" t="s">
        <v>383</v>
      </c>
      <c r="BY35">
        <v>103042</v>
      </c>
      <c r="BZ35" t="s">
        <v>366</v>
      </c>
      <c r="CA35">
        <v>0.36</v>
      </c>
      <c r="CB35" t="s">
        <v>53</v>
      </c>
      <c r="CC35" t="s">
        <v>1617</v>
      </c>
      <c r="CD35">
        <v>4304911</v>
      </c>
      <c r="CE35" t="s">
        <v>346</v>
      </c>
      <c r="CF35">
        <v>0.28999999999999998</v>
      </c>
      <c r="CG35" t="s">
        <v>53</v>
      </c>
      <c r="CH35" t="s">
        <v>432</v>
      </c>
      <c r="CI35">
        <v>110092</v>
      </c>
      <c r="CJ35" t="s">
        <v>346</v>
      </c>
      <c r="CK35">
        <v>0.25</v>
      </c>
      <c r="CL35" t="s">
        <v>53</v>
      </c>
      <c r="CM35" t="s">
        <v>740</v>
      </c>
      <c r="CN35">
        <v>4271664</v>
      </c>
      <c r="CO35" t="s">
        <v>346</v>
      </c>
      <c r="CP35">
        <v>0.39</v>
      </c>
      <c r="CQ35" t="s">
        <v>313</v>
      </c>
      <c r="CV35" t="s">
        <v>306</v>
      </c>
      <c r="DA35" t="s">
        <v>306</v>
      </c>
      <c r="DB35" t="s">
        <v>354</v>
      </c>
      <c r="DC35">
        <v>110652</v>
      </c>
      <c r="DD35" t="s">
        <v>346</v>
      </c>
      <c r="DE35">
        <v>0.44</v>
      </c>
      <c r="DF35" t="s">
        <v>53</v>
      </c>
      <c r="DK35" t="s">
        <v>306</v>
      </c>
      <c r="DL35" t="s">
        <v>354</v>
      </c>
      <c r="DM35">
        <v>110652</v>
      </c>
      <c r="DN35" t="s">
        <v>346</v>
      </c>
      <c r="DO35">
        <v>0.44</v>
      </c>
      <c r="DP35" t="s">
        <v>53</v>
      </c>
      <c r="DU35" t="s">
        <v>306</v>
      </c>
      <c r="DV35" t="s">
        <v>1195</v>
      </c>
      <c r="DW35">
        <v>4702400</v>
      </c>
      <c r="DX35" t="s">
        <v>346</v>
      </c>
      <c r="DY35">
        <v>0.01</v>
      </c>
      <c r="DZ35" t="s">
        <v>53</v>
      </c>
      <c r="EA35" t="s">
        <v>1617</v>
      </c>
      <c r="EB35">
        <v>4304911</v>
      </c>
      <c r="EC35" t="s">
        <v>346</v>
      </c>
      <c r="ED35">
        <v>0.28999999999999998</v>
      </c>
      <c r="EE35" t="s">
        <v>53</v>
      </c>
      <c r="EF35" t="s">
        <v>354</v>
      </c>
      <c r="EG35">
        <v>110652</v>
      </c>
      <c r="EH35" t="s">
        <v>346</v>
      </c>
      <c r="EI35">
        <v>0.44</v>
      </c>
      <c r="EJ35" t="s">
        <v>53</v>
      </c>
      <c r="EO35" t="s">
        <v>306</v>
      </c>
      <c r="EP35" t="s">
        <v>735</v>
      </c>
      <c r="EQ35">
        <v>4345966</v>
      </c>
      <c r="ER35" t="s">
        <v>346</v>
      </c>
      <c r="ES35">
        <v>0.02</v>
      </c>
      <c r="ET35" t="s">
        <v>50</v>
      </c>
      <c r="EY35" t="s">
        <v>306</v>
      </c>
      <c r="EZ35" t="s">
        <v>1934</v>
      </c>
      <c r="FA35" t="s">
        <v>300</v>
      </c>
      <c r="FB35" t="s">
        <v>361</v>
      </c>
      <c r="FC35">
        <v>0</v>
      </c>
      <c r="FD35" t="s">
        <v>50</v>
      </c>
      <c r="FE35" t="s">
        <v>2153</v>
      </c>
      <c r="FF35" t="s">
        <v>300</v>
      </c>
      <c r="FG35" t="s">
        <v>361</v>
      </c>
      <c r="FH35">
        <v>0.01</v>
      </c>
      <c r="FI35" t="s">
        <v>50</v>
      </c>
      <c r="FJ35" t="s">
        <v>399</v>
      </c>
      <c r="FK35">
        <v>4026948</v>
      </c>
      <c r="FL35" t="s">
        <v>346</v>
      </c>
      <c r="FM35">
        <v>0.12</v>
      </c>
      <c r="FN35" t="s">
        <v>317</v>
      </c>
      <c r="FS35" t="s">
        <v>306</v>
      </c>
      <c r="FT35" t="s">
        <v>395</v>
      </c>
      <c r="FU35">
        <v>4153606</v>
      </c>
      <c r="FV35" t="s">
        <v>346</v>
      </c>
      <c r="FW35">
        <v>0.01</v>
      </c>
      <c r="FX35" t="s">
        <v>53</v>
      </c>
      <c r="FY35" t="s">
        <v>354</v>
      </c>
      <c r="FZ35">
        <v>110652</v>
      </c>
      <c r="GA35" t="s">
        <v>346</v>
      </c>
      <c r="GB35">
        <v>0.44</v>
      </c>
      <c r="GC35" t="s">
        <v>53</v>
      </c>
      <c r="GD35" t="s">
        <v>1934</v>
      </c>
      <c r="GE35" t="s">
        <v>300</v>
      </c>
      <c r="GF35" t="s">
        <v>361</v>
      </c>
      <c r="GG35">
        <v>0</v>
      </c>
      <c r="GH35" t="s">
        <v>50</v>
      </c>
      <c r="GI35" t="s">
        <v>2153</v>
      </c>
      <c r="GJ35" t="s">
        <v>300</v>
      </c>
      <c r="GK35" t="s">
        <v>361</v>
      </c>
      <c r="GL35">
        <v>0.01</v>
      </c>
      <c r="GM35" t="s">
        <v>50</v>
      </c>
      <c r="GN35" t="s">
        <v>399</v>
      </c>
      <c r="GO35">
        <v>4026948</v>
      </c>
      <c r="GP35" t="s">
        <v>346</v>
      </c>
      <c r="GQ35">
        <v>0.12</v>
      </c>
      <c r="GR35" t="s">
        <v>317</v>
      </c>
      <c r="GS35" t="s">
        <v>380</v>
      </c>
      <c r="GT35">
        <v>4674815</v>
      </c>
      <c r="GU35" t="s">
        <v>346</v>
      </c>
      <c r="GV35">
        <v>0.08</v>
      </c>
      <c r="GW35" t="s">
        <v>320</v>
      </c>
      <c r="GX35" t="s">
        <v>1617</v>
      </c>
      <c r="GY35">
        <v>4304911</v>
      </c>
      <c r="GZ35" t="s">
        <v>346</v>
      </c>
      <c r="HA35">
        <v>0.28999999999999998</v>
      </c>
      <c r="HB35" t="s">
        <v>53</v>
      </c>
      <c r="HG35" t="s">
        <v>306</v>
      </c>
    </row>
    <row r="36" spans="5:215" x14ac:dyDescent="0.35">
      <c r="E36" t="s">
        <v>306</v>
      </c>
      <c r="F36" t="s">
        <v>440</v>
      </c>
      <c r="G36">
        <v>4140078</v>
      </c>
      <c r="H36" t="s">
        <v>346</v>
      </c>
      <c r="I36">
        <v>0.19</v>
      </c>
      <c r="J36" t="s">
        <v>304</v>
      </c>
      <c r="K36" t="s">
        <v>649</v>
      </c>
      <c r="L36">
        <v>4606392</v>
      </c>
      <c r="M36" t="s">
        <v>346</v>
      </c>
      <c r="N36">
        <v>0.04</v>
      </c>
      <c r="O36" t="s">
        <v>50</v>
      </c>
      <c r="T36" t="s">
        <v>306</v>
      </c>
      <c r="U36" t="s">
        <v>426</v>
      </c>
      <c r="V36">
        <v>100201</v>
      </c>
      <c r="W36" t="s">
        <v>366</v>
      </c>
      <c r="X36">
        <v>0.35</v>
      </c>
      <c r="Y36" t="s">
        <v>53</v>
      </c>
      <c r="Z36" t="s">
        <v>649</v>
      </c>
      <c r="AA36">
        <v>4606392</v>
      </c>
      <c r="AB36" t="s">
        <v>346</v>
      </c>
      <c r="AC36">
        <v>0.04</v>
      </c>
      <c r="AD36" t="s">
        <v>50</v>
      </c>
      <c r="AE36" t="s">
        <v>643</v>
      </c>
      <c r="AF36">
        <v>8365031</v>
      </c>
      <c r="AG36" t="s">
        <v>346</v>
      </c>
      <c r="AH36">
        <v>0.12</v>
      </c>
      <c r="AI36" t="s">
        <v>125</v>
      </c>
      <c r="AN36" t="s">
        <v>306</v>
      </c>
      <c r="AO36" t="s">
        <v>546</v>
      </c>
      <c r="AP36">
        <v>4158830</v>
      </c>
      <c r="AQ36" t="s">
        <v>346</v>
      </c>
      <c r="AR36">
        <v>0.25</v>
      </c>
      <c r="AS36" t="s">
        <v>53</v>
      </c>
      <c r="AX36" t="s">
        <v>306</v>
      </c>
      <c r="AY36" t="s">
        <v>748</v>
      </c>
      <c r="AZ36">
        <v>4138088</v>
      </c>
      <c r="BA36" t="s">
        <v>346</v>
      </c>
      <c r="BB36">
        <v>0.06</v>
      </c>
      <c r="BC36" t="s">
        <v>50</v>
      </c>
      <c r="BD36" t="s">
        <v>430</v>
      </c>
      <c r="BE36">
        <v>4055767</v>
      </c>
      <c r="BF36" t="s">
        <v>346</v>
      </c>
      <c r="BG36">
        <v>0.43</v>
      </c>
      <c r="BH36" t="s">
        <v>53</v>
      </c>
      <c r="BI36" t="s">
        <v>401</v>
      </c>
      <c r="BJ36">
        <v>4139862</v>
      </c>
      <c r="BK36" t="s">
        <v>346</v>
      </c>
      <c r="BL36">
        <v>0.19</v>
      </c>
      <c r="BM36" t="s">
        <v>313</v>
      </c>
      <c r="BN36" t="s">
        <v>651</v>
      </c>
      <c r="BO36">
        <v>7059915</v>
      </c>
      <c r="BP36" t="s">
        <v>346</v>
      </c>
      <c r="BQ36">
        <v>0.08</v>
      </c>
      <c r="BR36" t="s">
        <v>50</v>
      </c>
      <c r="BS36" t="s">
        <v>639</v>
      </c>
      <c r="BT36">
        <v>4139311</v>
      </c>
      <c r="BU36" t="s">
        <v>346</v>
      </c>
      <c r="BV36">
        <v>0.24</v>
      </c>
      <c r="BW36" t="s">
        <v>50</v>
      </c>
      <c r="BX36" t="s">
        <v>426</v>
      </c>
      <c r="BY36">
        <v>100201</v>
      </c>
      <c r="BZ36" t="s">
        <v>366</v>
      </c>
      <c r="CA36">
        <v>0.35</v>
      </c>
      <c r="CB36" t="s">
        <v>53</v>
      </c>
      <c r="CC36" t="s">
        <v>1618</v>
      </c>
      <c r="CD36">
        <v>4244976</v>
      </c>
      <c r="CE36" t="s">
        <v>346</v>
      </c>
      <c r="CF36">
        <v>0.28000000000000003</v>
      </c>
      <c r="CG36" t="s">
        <v>114</v>
      </c>
      <c r="CH36" t="s">
        <v>546</v>
      </c>
      <c r="CI36">
        <v>4158830</v>
      </c>
      <c r="CJ36" t="s">
        <v>346</v>
      </c>
      <c r="CK36">
        <v>0.25</v>
      </c>
      <c r="CL36" t="s">
        <v>53</v>
      </c>
      <c r="CM36" t="s">
        <v>716</v>
      </c>
      <c r="CN36">
        <v>4310789</v>
      </c>
      <c r="CO36" t="s">
        <v>346</v>
      </c>
      <c r="CP36">
        <v>0.36</v>
      </c>
      <c r="CQ36" t="s">
        <v>317</v>
      </c>
      <c r="CV36" t="s">
        <v>306</v>
      </c>
      <c r="DA36" t="s">
        <v>306</v>
      </c>
      <c r="DB36" t="s">
        <v>430</v>
      </c>
      <c r="DC36">
        <v>4055767</v>
      </c>
      <c r="DD36" t="s">
        <v>346</v>
      </c>
      <c r="DE36">
        <v>0.43</v>
      </c>
      <c r="DF36" t="s">
        <v>53</v>
      </c>
      <c r="DK36" t="s">
        <v>306</v>
      </c>
      <c r="DL36" t="s">
        <v>430</v>
      </c>
      <c r="DM36">
        <v>4055767</v>
      </c>
      <c r="DN36" t="s">
        <v>346</v>
      </c>
      <c r="DO36">
        <v>0.43</v>
      </c>
      <c r="DP36" t="s">
        <v>53</v>
      </c>
      <c r="DU36" t="s">
        <v>306</v>
      </c>
      <c r="DV36" t="s">
        <v>467</v>
      </c>
      <c r="DW36">
        <v>7108293</v>
      </c>
      <c r="DX36" t="s">
        <v>369</v>
      </c>
      <c r="DY36">
        <v>0.01</v>
      </c>
      <c r="DZ36" t="s">
        <v>313</v>
      </c>
      <c r="EA36" t="s">
        <v>1618</v>
      </c>
      <c r="EB36">
        <v>4244976</v>
      </c>
      <c r="EC36" t="s">
        <v>346</v>
      </c>
      <c r="ED36">
        <v>0.28000000000000003</v>
      </c>
      <c r="EE36" t="s">
        <v>114</v>
      </c>
      <c r="EF36" t="s">
        <v>430</v>
      </c>
      <c r="EG36">
        <v>4055767</v>
      </c>
      <c r="EH36" t="s">
        <v>346</v>
      </c>
      <c r="EI36">
        <v>0.43</v>
      </c>
      <c r="EJ36" t="s">
        <v>53</v>
      </c>
      <c r="EO36" t="s">
        <v>306</v>
      </c>
      <c r="EP36" t="s">
        <v>714</v>
      </c>
      <c r="EQ36">
        <v>4388745</v>
      </c>
      <c r="ER36" t="s">
        <v>346</v>
      </c>
      <c r="ES36">
        <v>0.02</v>
      </c>
      <c r="ET36" t="s">
        <v>326</v>
      </c>
      <c r="EY36" t="s">
        <v>306</v>
      </c>
      <c r="EZ36" t="s">
        <v>1935</v>
      </c>
      <c r="FA36" t="s">
        <v>300</v>
      </c>
      <c r="FB36" t="s">
        <v>361</v>
      </c>
      <c r="FC36">
        <v>0</v>
      </c>
      <c r="FD36" t="s">
        <v>50</v>
      </c>
      <c r="FE36" t="s">
        <v>399</v>
      </c>
      <c r="FF36">
        <v>4026948</v>
      </c>
      <c r="FG36" t="s">
        <v>346</v>
      </c>
      <c r="FH36">
        <v>0.01</v>
      </c>
      <c r="FI36" t="s">
        <v>317</v>
      </c>
      <c r="FJ36" t="s">
        <v>469</v>
      </c>
      <c r="FK36">
        <v>4026996</v>
      </c>
      <c r="FL36" t="s">
        <v>346</v>
      </c>
      <c r="FM36">
        <v>0.11</v>
      </c>
      <c r="FN36" t="s">
        <v>53</v>
      </c>
      <c r="FS36" t="s">
        <v>306</v>
      </c>
      <c r="FT36" t="s">
        <v>396</v>
      </c>
      <c r="FU36">
        <v>4119759</v>
      </c>
      <c r="FV36" t="s">
        <v>346</v>
      </c>
      <c r="FW36">
        <v>0.01</v>
      </c>
      <c r="FX36" t="s">
        <v>53</v>
      </c>
      <c r="FY36" t="s">
        <v>430</v>
      </c>
      <c r="FZ36">
        <v>4055767</v>
      </c>
      <c r="GA36" t="s">
        <v>346</v>
      </c>
      <c r="GB36">
        <v>0.43</v>
      </c>
      <c r="GC36" t="s">
        <v>53</v>
      </c>
      <c r="GD36" t="s">
        <v>1935</v>
      </c>
      <c r="GE36" t="s">
        <v>300</v>
      </c>
      <c r="GF36" t="s">
        <v>361</v>
      </c>
      <c r="GG36">
        <v>0</v>
      </c>
      <c r="GH36" t="s">
        <v>50</v>
      </c>
      <c r="GI36" t="s">
        <v>399</v>
      </c>
      <c r="GJ36">
        <v>4026948</v>
      </c>
      <c r="GK36" t="s">
        <v>346</v>
      </c>
      <c r="GL36">
        <v>0.01</v>
      </c>
      <c r="GM36" t="s">
        <v>317</v>
      </c>
      <c r="GN36" t="s">
        <v>469</v>
      </c>
      <c r="GO36">
        <v>4026996</v>
      </c>
      <c r="GP36" t="s">
        <v>346</v>
      </c>
      <c r="GQ36">
        <v>0.11</v>
      </c>
      <c r="GR36" t="s">
        <v>53</v>
      </c>
      <c r="GS36" t="s">
        <v>651</v>
      </c>
      <c r="GT36">
        <v>7059915</v>
      </c>
      <c r="GU36" t="s">
        <v>346</v>
      </c>
      <c r="GV36">
        <v>0.08</v>
      </c>
      <c r="GW36" t="s">
        <v>50</v>
      </c>
      <c r="GX36" t="s">
        <v>1618</v>
      </c>
      <c r="GY36">
        <v>4244976</v>
      </c>
      <c r="GZ36" t="s">
        <v>346</v>
      </c>
      <c r="HA36">
        <v>0.28000000000000003</v>
      </c>
      <c r="HB36" t="s">
        <v>114</v>
      </c>
      <c r="HG36" t="s">
        <v>306</v>
      </c>
    </row>
    <row r="37" spans="5:215" x14ac:dyDescent="0.35">
      <c r="E37" t="s">
        <v>306</v>
      </c>
      <c r="F37" t="s">
        <v>357</v>
      </c>
      <c r="G37">
        <v>4270330</v>
      </c>
      <c r="H37" t="s">
        <v>346</v>
      </c>
      <c r="I37">
        <v>0.17</v>
      </c>
      <c r="J37" t="s">
        <v>53</v>
      </c>
      <c r="K37" t="s">
        <v>394</v>
      </c>
      <c r="L37">
        <v>4048695</v>
      </c>
      <c r="M37" t="s">
        <v>346</v>
      </c>
      <c r="N37">
        <v>0.04</v>
      </c>
      <c r="O37" t="s">
        <v>53</v>
      </c>
      <c r="T37" t="s">
        <v>306</v>
      </c>
      <c r="U37" t="s">
        <v>644</v>
      </c>
      <c r="V37">
        <v>4138625</v>
      </c>
      <c r="W37" t="s">
        <v>346</v>
      </c>
      <c r="X37">
        <v>0.35</v>
      </c>
      <c r="Y37" t="s">
        <v>50</v>
      </c>
      <c r="Z37" t="s">
        <v>394</v>
      </c>
      <c r="AA37">
        <v>4048695</v>
      </c>
      <c r="AB37" t="s">
        <v>346</v>
      </c>
      <c r="AC37">
        <v>0.04</v>
      </c>
      <c r="AD37" t="s">
        <v>53</v>
      </c>
      <c r="AE37" t="s">
        <v>509</v>
      </c>
      <c r="AF37">
        <v>4226520</v>
      </c>
      <c r="AG37" t="s">
        <v>346</v>
      </c>
      <c r="AH37">
        <v>0.12</v>
      </c>
      <c r="AI37" t="s">
        <v>80</v>
      </c>
      <c r="AN37" t="s">
        <v>306</v>
      </c>
      <c r="AO37" t="s">
        <v>1115</v>
      </c>
      <c r="AP37">
        <v>4140101</v>
      </c>
      <c r="AQ37" t="s">
        <v>363</v>
      </c>
      <c r="AR37">
        <v>0.24</v>
      </c>
      <c r="AS37" t="s">
        <v>321</v>
      </c>
      <c r="AX37" t="s">
        <v>306</v>
      </c>
      <c r="AY37" t="s">
        <v>385</v>
      </c>
      <c r="AZ37">
        <v>5752504</v>
      </c>
      <c r="BA37" t="s">
        <v>346</v>
      </c>
      <c r="BB37">
        <v>0.06</v>
      </c>
      <c r="BC37" t="s">
        <v>53</v>
      </c>
      <c r="BD37" t="s">
        <v>1392</v>
      </c>
      <c r="BE37">
        <v>4155715</v>
      </c>
      <c r="BF37" t="s">
        <v>346</v>
      </c>
      <c r="BG37">
        <v>0.4</v>
      </c>
      <c r="BH37" t="s">
        <v>125</v>
      </c>
      <c r="BI37" t="s">
        <v>411</v>
      </c>
      <c r="BJ37">
        <v>4272373</v>
      </c>
      <c r="BK37" t="s">
        <v>346</v>
      </c>
      <c r="BL37">
        <v>0.18</v>
      </c>
      <c r="BM37" t="s">
        <v>313</v>
      </c>
      <c r="BN37" t="s">
        <v>974</v>
      </c>
      <c r="BO37">
        <v>5828077</v>
      </c>
      <c r="BP37" t="s">
        <v>346</v>
      </c>
      <c r="BQ37">
        <v>0.08</v>
      </c>
      <c r="BR37" t="s">
        <v>313</v>
      </c>
      <c r="BS37" t="s">
        <v>674</v>
      </c>
      <c r="BT37">
        <v>4345965</v>
      </c>
      <c r="BU37" t="s">
        <v>346</v>
      </c>
      <c r="BV37">
        <v>0.22</v>
      </c>
      <c r="BW37" t="s">
        <v>50</v>
      </c>
      <c r="BX37" t="s">
        <v>644</v>
      </c>
      <c r="BY37">
        <v>4138625</v>
      </c>
      <c r="BZ37" t="s">
        <v>346</v>
      </c>
      <c r="CA37">
        <v>0.35</v>
      </c>
      <c r="CB37" t="s">
        <v>50</v>
      </c>
      <c r="CC37" t="s">
        <v>1619</v>
      </c>
      <c r="CD37">
        <v>1014500</v>
      </c>
      <c r="CE37" t="s">
        <v>370</v>
      </c>
      <c r="CF37">
        <v>0.25</v>
      </c>
      <c r="CG37" t="s">
        <v>53</v>
      </c>
      <c r="CH37" t="s">
        <v>1115</v>
      </c>
      <c r="CI37">
        <v>4140101</v>
      </c>
      <c r="CJ37" t="s">
        <v>363</v>
      </c>
      <c r="CK37">
        <v>0.24</v>
      </c>
      <c r="CL37" t="s">
        <v>321</v>
      </c>
      <c r="CM37" t="s">
        <v>953</v>
      </c>
      <c r="CN37">
        <v>4039450</v>
      </c>
      <c r="CO37" t="s">
        <v>346</v>
      </c>
      <c r="CP37">
        <v>0.33</v>
      </c>
      <c r="CQ37" t="s">
        <v>53</v>
      </c>
      <c r="CV37" t="s">
        <v>306</v>
      </c>
      <c r="DA37" t="s">
        <v>306</v>
      </c>
      <c r="DB37" t="s">
        <v>1392</v>
      </c>
      <c r="DC37">
        <v>4155715</v>
      </c>
      <c r="DD37" t="s">
        <v>346</v>
      </c>
      <c r="DE37">
        <v>0.4</v>
      </c>
      <c r="DF37" t="s">
        <v>125</v>
      </c>
      <c r="DK37" t="s">
        <v>306</v>
      </c>
      <c r="DL37" t="s">
        <v>1392</v>
      </c>
      <c r="DM37">
        <v>4155715</v>
      </c>
      <c r="DN37" t="s">
        <v>346</v>
      </c>
      <c r="DO37">
        <v>0.4</v>
      </c>
      <c r="DP37" t="s">
        <v>125</v>
      </c>
      <c r="DU37" t="s">
        <v>306</v>
      </c>
      <c r="DV37" t="s">
        <v>1196</v>
      </c>
      <c r="DW37">
        <v>4139155</v>
      </c>
      <c r="DX37" t="s">
        <v>346</v>
      </c>
      <c r="DY37">
        <v>0.01</v>
      </c>
      <c r="DZ37" t="s">
        <v>321</v>
      </c>
      <c r="EA37" t="s">
        <v>1619</v>
      </c>
      <c r="EB37">
        <v>1014500</v>
      </c>
      <c r="EC37" t="s">
        <v>370</v>
      </c>
      <c r="ED37">
        <v>0.25</v>
      </c>
      <c r="EE37" t="s">
        <v>53</v>
      </c>
      <c r="EF37" t="s">
        <v>1392</v>
      </c>
      <c r="EG37">
        <v>4155715</v>
      </c>
      <c r="EH37" t="s">
        <v>346</v>
      </c>
      <c r="EI37">
        <v>0.4</v>
      </c>
      <c r="EJ37" t="s">
        <v>125</v>
      </c>
      <c r="EO37" t="s">
        <v>306</v>
      </c>
      <c r="EP37" t="s">
        <v>894</v>
      </c>
      <c r="EQ37">
        <v>4139629</v>
      </c>
      <c r="ER37" t="s">
        <v>346</v>
      </c>
      <c r="ES37">
        <v>0.02</v>
      </c>
      <c r="ET37" t="s">
        <v>2181</v>
      </c>
      <c r="EY37" t="s">
        <v>306</v>
      </c>
      <c r="EZ37" t="s">
        <v>1936</v>
      </c>
      <c r="FA37" t="s">
        <v>300</v>
      </c>
      <c r="FB37" t="s">
        <v>361</v>
      </c>
      <c r="FC37">
        <v>0</v>
      </c>
      <c r="FD37" t="s">
        <v>50</v>
      </c>
      <c r="FE37" t="s">
        <v>485</v>
      </c>
      <c r="FF37">
        <v>5652844</v>
      </c>
      <c r="FG37" t="s">
        <v>346</v>
      </c>
      <c r="FH37">
        <v>0.01</v>
      </c>
      <c r="FI37" t="s">
        <v>304</v>
      </c>
      <c r="FJ37" t="s">
        <v>445</v>
      </c>
      <c r="FK37">
        <v>4241120</v>
      </c>
      <c r="FL37" t="s">
        <v>346</v>
      </c>
      <c r="FM37">
        <v>0.1</v>
      </c>
      <c r="FN37" t="s">
        <v>2191</v>
      </c>
      <c r="FS37" t="s">
        <v>306</v>
      </c>
      <c r="FT37" t="s">
        <v>397</v>
      </c>
      <c r="FU37">
        <v>4139795</v>
      </c>
      <c r="FV37" t="s">
        <v>346</v>
      </c>
      <c r="FW37">
        <v>0.01</v>
      </c>
      <c r="FX37" t="s">
        <v>2185</v>
      </c>
      <c r="FY37" t="s">
        <v>1392</v>
      </c>
      <c r="FZ37">
        <v>4155715</v>
      </c>
      <c r="GA37" t="s">
        <v>346</v>
      </c>
      <c r="GB37">
        <v>0.4</v>
      </c>
      <c r="GC37" t="s">
        <v>125</v>
      </c>
      <c r="GD37" t="s">
        <v>1936</v>
      </c>
      <c r="GE37" t="s">
        <v>300</v>
      </c>
      <c r="GF37" t="s">
        <v>361</v>
      </c>
      <c r="GG37">
        <v>0</v>
      </c>
      <c r="GH37" t="s">
        <v>50</v>
      </c>
      <c r="GI37" t="s">
        <v>485</v>
      </c>
      <c r="GJ37">
        <v>5652844</v>
      </c>
      <c r="GK37" t="s">
        <v>346</v>
      </c>
      <c r="GL37">
        <v>0.01</v>
      </c>
      <c r="GM37" t="s">
        <v>304</v>
      </c>
      <c r="GN37" t="s">
        <v>445</v>
      </c>
      <c r="GO37">
        <v>4241120</v>
      </c>
      <c r="GP37" t="s">
        <v>346</v>
      </c>
      <c r="GQ37">
        <v>0.1</v>
      </c>
      <c r="GR37" t="s">
        <v>2191</v>
      </c>
      <c r="GS37" t="s">
        <v>974</v>
      </c>
      <c r="GT37">
        <v>5828077</v>
      </c>
      <c r="GU37" t="s">
        <v>346</v>
      </c>
      <c r="GV37">
        <v>0.08</v>
      </c>
      <c r="GW37" t="s">
        <v>313</v>
      </c>
      <c r="GX37" t="s">
        <v>1619</v>
      </c>
      <c r="GY37">
        <v>1014500</v>
      </c>
      <c r="GZ37" t="s">
        <v>370</v>
      </c>
      <c r="HA37">
        <v>0.25</v>
      </c>
      <c r="HB37" t="s">
        <v>53</v>
      </c>
      <c r="HG37" t="s">
        <v>306</v>
      </c>
    </row>
    <row r="38" spans="5:215" x14ac:dyDescent="0.35">
      <c r="E38" t="s">
        <v>306</v>
      </c>
      <c r="F38" t="s">
        <v>409</v>
      </c>
      <c r="G38">
        <v>102719</v>
      </c>
      <c r="H38" t="s">
        <v>346</v>
      </c>
      <c r="I38">
        <v>0.16</v>
      </c>
      <c r="J38" t="s">
        <v>53</v>
      </c>
      <c r="K38" t="s">
        <v>429</v>
      </c>
      <c r="L38">
        <v>4607441</v>
      </c>
      <c r="M38" t="s">
        <v>346</v>
      </c>
      <c r="N38">
        <v>0.04</v>
      </c>
      <c r="O38" t="s">
        <v>304</v>
      </c>
      <c r="T38" t="s">
        <v>306</v>
      </c>
      <c r="U38" t="s">
        <v>646</v>
      </c>
      <c r="V38">
        <v>4435100</v>
      </c>
      <c r="W38" t="s">
        <v>346</v>
      </c>
      <c r="X38">
        <v>0.31</v>
      </c>
      <c r="Y38" t="s">
        <v>50</v>
      </c>
      <c r="Z38" t="s">
        <v>429</v>
      </c>
      <c r="AA38">
        <v>4607441</v>
      </c>
      <c r="AB38" t="s">
        <v>346</v>
      </c>
      <c r="AC38">
        <v>0.04</v>
      </c>
      <c r="AD38" t="s">
        <v>304</v>
      </c>
      <c r="AE38" t="s">
        <v>439</v>
      </c>
      <c r="AF38">
        <v>4757367</v>
      </c>
      <c r="AG38" t="s">
        <v>363</v>
      </c>
      <c r="AH38">
        <v>0.12</v>
      </c>
      <c r="AI38" t="s">
        <v>125</v>
      </c>
      <c r="AN38" t="s">
        <v>306</v>
      </c>
      <c r="AO38" t="s">
        <v>456</v>
      </c>
      <c r="AP38">
        <v>4249110</v>
      </c>
      <c r="AQ38" t="s">
        <v>346</v>
      </c>
      <c r="AR38">
        <v>0.24</v>
      </c>
      <c r="AS38" t="s">
        <v>313</v>
      </c>
      <c r="AX38" t="s">
        <v>306</v>
      </c>
      <c r="AY38" t="s">
        <v>351</v>
      </c>
      <c r="AZ38">
        <v>111289</v>
      </c>
      <c r="BA38" t="s">
        <v>346</v>
      </c>
      <c r="BB38">
        <v>0.05</v>
      </c>
      <c r="BC38" t="s">
        <v>53</v>
      </c>
      <c r="BD38" t="s">
        <v>1393</v>
      </c>
      <c r="BE38">
        <v>4418711</v>
      </c>
      <c r="BF38" t="s">
        <v>362</v>
      </c>
      <c r="BG38">
        <v>0.4</v>
      </c>
      <c r="BH38" t="s">
        <v>326</v>
      </c>
      <c r="BI38" t="s">
        <v>968</v>
      </c>
      <c r="BJ38">
        <v>4115683</v>
      </c>
      <c r="BK38" t="s">
        <v>346</v>
      </c>
      <c r="BL38">
        <v>0.18</v>
      </c>
      <c r="BM38" t="s">
        <v>313</v>
      </c>
      <c r="BN38" t="s">
        <v>686</v>
      </c>
      <c r="BO38">
        <v>4784142</v>
      </c>
      <c r="BP38" t="s">
        <v>346</v>
      </c>
      <c r="BQ38">
        <v>0.08</v>
      </c>
      <c r="BR38" t="s">
        <v>50</v>
      </c>
      <c r="BS38" t="s">
        <v>437</v>
      </c>
      <c r="BT38">
        <v>4102073</v>
      </c>
      <c r="BU38" t="s">
        <v>346</v>
      </c>
      <c r="BV38">
        <v>0.22</v>
      </c>
      <c r="BW38" t="s">
        <v>53</v>
      </c>
      <c r="BX38" t="s">
        <v>646</v>
      </c>
      <c r="BY38">
        <v>4435100</v>
      </c>
      <c r="BZ38" t="s">
        <v>346</v>
      </c>
      <c r="CA38">
        <v>0.31</v>
      </c>
      <c r="CB38" t="s">
        <v>50</v>
      </c>
      <c r="CC38" t="s">
        <v>1620</v>
      </c>
      <c r="CD38">
        <v>4110297</v>
      </c>
      <c r="CE38" t="s">
        <v>364</v>
      </c>
      <c r="CF38">
        <v>0.25</v>
      </c>
      <c r="CG38" t="s">
        <v>53</v>
      </c>
      <c r="CH38" t="s">
        <v>456</v>
      </c>
      <c r="CI38">
        <v>4249110</v>
      </c>
      <c r="CJ38" t="s">
        <v>346</v>
      </c>
      <c r="CK38">
        <v>0.24</v>
      </c>
      <c r="CL38" t="s">
        <v>313</v>
      </c>
      <c r="CM38" t="s">
        <v>1257</v>
      </c>
      <c r="CN38">
        <v>4213130</v>
      </c>
      <c r="CO38" t="s">
        <v>346</v>
      </c>
      <c r="CP38">
        <v>0.32</v>
      </c>
      <c r="CQ38" t="s">
        <v>62</v>
      </c>
      <c r="CV38" t="s">
        <v>306</v>
      </c>
      <c r="DA38" t="s">
        <v>306</v>
      </c>
      <c r="DB38" t="s">
        <v>1393</v>
      </c>
      <c r="DC38">
        <v>4418711</v>
      </c>
      <c r="DD38" t="s">
        <v>362</v>
      </c>
      <c r="DE38">
        <v>0.4</v>
      </c>
      <c r="DF38" t="s">
        <v>326</v>
      </c>
      <c r="DK38" t="s">
        <v>306</v>
      </c>
      <c r="DL38" t="s">
        <v>1393</v>
      </c>
      <c r="DM38">
        <v>4418711</v>
      </c>
      <c r="DN38" t="s">
        <v>362</v>
      </c>
      <c r="DO38">
        <v>0.4</v>
      </c>
      <c r="DP38" t="s">
        <v>326</v>
      </c>
      <c r="DU38" t="s">
        <v>306</v>
      </c>
      <c r="DV38" t="s">
        <v>583</v>
      </c>
      <c r="DW38">
        <v>4579014</v>
      </c>
      <c r="DX38" t="s">
        <v>346</v>
      </c>
      <c r="DY38">
        <v>0.01</v>
      </c>
      <c r="DZ38" t="s">
        <v>53</v>
      </c>
      <c r="EA38" t="s">
        <v>1620</v>
      </c>
      <c r="EB38">
        <v>4110297</v>
      </c>
      <c r="EC38" t="s">
        <v>364</v>
      </c>
      <c r="ED38">
        <v>0.25</v>
      </c>
      <c r="EE38" t="s">
        <v>53</v>
      </c>
      <c r="EF38" t="s">
        <v>1393</v>
      </c>
      <c r="EG38">
        <v>4418711</v>
      </c>
      <c r="EH38" t="s">
        <v>362</v>
      </c>
      <c r="EI38">
        <v>0.4</v>
      </c>
      <c r="EJ38" t="s">
        <v>326</v>
      </c>
      <c r="EO38" t="s">
        <v>306</v>
      </c>
      <c r="EP38" t="s">
        <v>674</v>
      </c>
      <c r="EQ38">
        <v>4345965</v>
      </c>
      <c r="ER38" t="s">
        <v>346</v>
      </c>
      <c r="ES38">
        <v>0.02</v>
      </c>
      <c r="ET38" t="s">
        <v>50</v>
      </c>
      <c r="EY38" t="s">
        <v>306</v>
      </c>
      <c r="EZ38" t="s">
        <v>405</v>
      </c>
      <c r="FA38">
        <v>4035990</v>
      </c>
      <c r="FB38" t="s">
        <v>346</v>
      </c>
      <c r="FC38">
        <v>0</v>
      </c>
      <c r="FD38" t="s">
        <v>80</v>
      </c>
      <c r="FE38" t="s">
        <v>458</v>
      </c>
      <c r="FF38">
        <v>109806</v>
      </c>
      <c r="FG38" t="s">
        <v>346</v>
      </c>
      <c r="FH38">
        <v>0.01</v>
      </c>
      <c r="FI38" t="s">
        <v>53</v>
      </c>
      <c r="FJ38" t="s">
        <v>2158</v>
      </c>
      <c r="FK38" t="s">
        <v>300</v>
      </c>
      <c r="FL38" t="s">
        <v>361</v>
      </c>
      <c r="FM38">
        <v>0.09</v>
      </c>
      <c r="FN38" t="s">
        <v>50</v>
      </c>
      <c r="FS38" t="s">
        <v>306</v>
      </c>
      <c r="FT38" t="s">
        <v>398</v>
      </c>
      <c r="FU38">
        <v>4107954</v>
      </c>
      <c r="FV38" t="s">
        <v>300</v>
      </c>
      <c r="FW38">
        <v>0.01</v>
      </c>
      <c r="FX38" t="s">
        <v>304</v>
      </c>
      <c r="FY38" t="s">
        <v>1393</v>
      </c>
      <c r="FZ38">
        <v>4418711</v>
      </c>
      <c r="GA38" t="s">
        <v>362</v>
      </c>
      <c r="GB38">
        <v>0.4</v>
      </c>
      <c r="GC38" t="s">
        <v>326</v>
      </c>
      <c r="GD38" t="s">
        <v>405</v>
      </c>
      <c r="GE38">
        <v>4035990</v>
      </c>
      <c r="GF38" t="s">
        <v>346</v>
      </c>
      <c r="GG38">
        <v>0</v>
      </c>
      <c r="GH38" t="s">
        <v>80</v>
      </c>
      <c r="GI38" t="s">
        <v>458</v>
      </c>
      <c r="GJ38">
        <v>109806</v>
      </c>
      <c r="GK38" t="s">
        <v>346</v>
      </c>
      <c r="GL38">
        <v>0.01</v>
      </c>
      <c r="GM38" t="s">
        <v>53</v>
      </c>
      <c r="GN38" t="s">
        <v>2158</v>
      </c>
      <c r="GO38" t="s">
        <v>300</v>
      </c>
      <c r="GP38" t="s">
        <v>361</v>
      </c>
      <c r="GQ38">
        <v>0.09</v>
      </c>
      <c r="GR38" t="s">
        <v>50</v>
      </c>
      <c r="GS38" t="s">
        <v>686</v>
      </c>
      <c r="GT38">
        <v>4784142</v>
      </c>
      <c r="GU38" t="s">
        <v>346</v>
      </c>
      <c r="GV38">
        <v>0.08</v>
      </c>
      <c r="GW38" t="s">
        <v>50</v>
      </c>
      <c r="GX38" t="s">
        <v>1620</v>
      </c>
      <c r="GY38">
        <v>4110297</v>
      </c>
      <c r="GZ38" t="s">
        <v>364</v>
      </c>
      <c r="HA38">
        <v>0.25</v>
      </c>
      <c r="HB38" t="s">
        <v>53</v>
      </c>
      <c r="HG38" t="s">
        <v>306</v>
      </c>
    </row>
    <row r="39" spans="5:215" x14ac:dyDescent="0.35">
      <c r="E39" t="s">
        <v>306</v>
      </c>
      <c r="F39" t="s">
        <v>441</v>
      </c>
      <c r="G39">
        <v>4153483</v>
      </c>
      <c r="H39" t="s">
        <v>363</v>
      </c>
      <c r="I39">
        <v>0.15</v>
      </c>
      <c r="J39" t="s">
        <v>80</v>
      </c>
      <c r="K39" t="s">
        <v>492</v>
      </c>
      <c r="L39">
        <v>110674</v>
      </c>
      <c r="M39" t="s">
        <v>346</v>
      </c>
      <c r="N39">
        <v>0.04</v>
      </c>
      <c r="O39" t="s">
        <v>53</v>
      </c>
      <c r="T39" t="s">
        <v>306</v>
      </c>
      <c r="U39" t="s">
        <v>720</v>
      </c>
      <c r="V39">
        <v>4139225</v>
      </c>
      <c r="W39" t="s">
        <v>346</v>
      </c>
      <c r="X39">
        <v>0.3</v>
      </c>
      <c r="Y39" t="s">
        <v>50</v>
      </c>
      <c r="Z39" t="s">
        <v>492</v>
      </c>
      <c r="AA39">
        <v>110674</v>
      </c>
      <c r="AB39" t="s">
        <v>346</v>
      </c>
      <c r="AC39">
        <v>0.04</v>
      </c>
      <c r="AD39" t="s">
        <v>53</v>
      </c>
      <c r="AE39" t="s">
        <v>355</v>
      </c>
      <c r="AF39">
        <v>111074</v>
      </c>
      <c r="AG39" t="s">
        <v>346</v>
      </c>
      <c r="AH39">
        <v>0.11</v>
      </c>
      <c r="AI39" t="s">
        <v>53</v>
      </c>
      <c r="AN39" t="s">
        <v>306</v>
      </c>
      <c r="AO39" t="s">
        <v>1117</v>
      </c>
      <c r="AP39">
        <v>4138136</v>
      </c>
      <c r="AQ39" t="s">
        <v>364</v>
      </c>
      <c r="AR39">
        <v>0.22</v>
      </c>
      <c r="AS39" t="s">
        <v>313</v>
      </c>
      <c r="AX39" t="s">
        <v>306</v>
      </c>
      <c r="AY39" t="s">
        <v>684</v>
      </c>
      <c r="AZ39">
        <v>4139415</v>
      </c>
      <c r="BA39" t="s">
        <v>346</v>
      </c>
      <c r="BB39">
        <v>0.05</v>
      </c>
      <c r="BC39" t="s">
        <v>50</v>
      </c>
      <c r="BD39" t="s">
        <v>1394</v>
      </c>
      <c r="BE39">
        <v>110962</v>
      </c>
      <c r="BF39" t="s">
        <v>346</v>
      </c>
      <c r="BG39">
        <v>0.39</v>
      </c>
      <c r="BH39" t="s">
        <v>53</v>
      </c>
      <c r="BI39" t="s">
        <v>355</v>
      </c>
      <c r="BJ39">
        <v>111074</v>
      </c>
      <c r="BK39" t="s">
        <v>346</v>
      </c>
      <c r="BL39">
        <v>0.18</v>
      </c>
      <c r="BM39" t="s">
        <v>53</v>
      </c>
      <c r="BN39" t="s">
        <v>637</v>
      </c>
      <c r="BO39">
        <v>4138661</v>
      </c>
      <c r="BP39" t="s">
        <v>346</v>
      </c>
      <c r="BQ39">
        <v>0.08</v>
      </c>
      <c r="BR39" t="s">
        <v>50</v>
      </c>
      <c r="BS39" t="s">
        <v>721</v>
      </c>
      <c r="BT39">
        <v>4329445</v>
      </c>
      <c r="BU39" t="s">
        <v>346</v>
      </c>
      <c r="BV39">
        <v>0.21</v>
      </c>
      <c r="BW39" t="s">
        <v>50</v>
      </c>
      <c r="BX39" t="s">
        <v>720</v>
      </c>
      <c r="BY39">
        <v>4139225</v>
      </c>
      <c r="BZ39" t="s">
        <v>346</v>
      </c>
      <c r="CA39">
        <v>0.3</v>
      </c>
      <c r="CB39" t="s">
        <v>50</v>
      </c>
      <c r="CC39" t="s">
        <v>439</v>
      </c>
      <c r="CD39">
        <v>4757367</v>
      </c>
      <c r="CE39" t="s">
        <v>363</v>
      </c>
      <c r="CF39">
        <v>0.25</v>
      </c>
      <c r="CG39" t="s">
        <v>125</v>
      </c>
      <c r="CH39" t="s">
        <v>1117</v>
      </c>
      <c r="CI39">
        <v>4138136</v>
      </c>
      <c r="CJ39" t="s">
        <v>364</v>
      </c>
      <c r="CK39">
        <v>0.22</v>
      </c>
      <c r="CL39" t="s">
        <v>313</v>
      </c>
      <c r="CM39" t="s">
        <v>654</v>
      </c>
      <c r="CN39">
        <v>4208127</v>
      </c>
      <c r="CO39" t="s">
        <v>346</v>
      </c>
      <c r="CP39">
        <v>0.32</v>
      </c>
      <c r="CQ39" t="s">
        <v>2185</v>
      </c>
      <c r="CV39" t="s">
        <v>306</v>
      </c>
      <c r="DA39" t="s">
        <v>306</v>
      </c>
      <c r="DB39" t="s">
        <v>1394</v>
      </c>
      <c r="DC39">
        <v>110962</v>
      </c>
      <c r="DD39" t="s">
        <v>346</v>
      </c>
      <c r="DE39">
        <v>0.39</v>
      </c>
      <c r="DF39" t="s">
        <v>53</v>
      </c>
      <c r="DK39" t="s">
        <v>306</v>
      </c>
      <c r="DL39" t="s">
        <v>1394</v>
      </c>
      <c r="DM39">
        <v>110962</v>
      </c>
      <c r="DN39" t="s">
        <v>346</v>
      </c>
      <c r="DO39">
        <v>0.39</v>
      </c>
      <c r="DP39" t="s">
        <v>53</v>
      </c>
      <c r="DU39" t="s">
        <v>306</v>
      </c>
      <c r="DV39" t="s">
        <v>1197</v>
      </c>
      <c r="DW39">
        <v>5762243</v>
      </c>
      <c r="DX39" t="s">
        <v>346</v>
      </c>
      <c r="DY39">
        <v>0.01</v>
      </c>
      <c r="DZ39" t="s">
        <v>77</v>
      </c>
      <c r="EA39" t="s">
        <v>439</v>
      </c>
      <c r="EB39">
        <v>4757367</v>
      </c>
      <c r="EC39" t="s">
        <v>363</v>
      </c>
      <c r="ED39">
        <v>0.25</v>
      </c>
      <c r="EE39" t="s">
        <v>125</v>
      </c>
      <c r="EF39" t="s">
        <v>1394</v>
      </c>
      <c r="EG39">
        <v>110962</v>
      </c>
      <c r="EH39" t="s">
        <v>346</v>
      </c>
      <c r="EI39">
        <v>0.39</v>
      </c>
      <c r="EJ39" t="s">
        <v>53</v>
      </c>
      <c r="EO39" t="s">
        <v>306</v>
      </c>
      <c r="EP39" t="s">
        <v>436</v>
      </c>
      <c r="EQ39">
        <v>111219</v>
      </c>
      <c r="ER39" t="s">
        <v>346</v>
      </c>
      <c r="ES39">
        <v>0.02</v>
      </c>
      <c r="ET39" t="s">
        <v>53</v>
      </c>
      <c r="EY39" t="s">
        <v>306</v>
      </c>
      <c r="EZ39" t="s">
        <v>1937</v>
      </c>
      <c r="FA39" t="s">
        <v>300</v>
      </c>
      <c r="FB39" t="s">
        <v>361</v>
      </c>
      <c r="FC39">
        <v>0</v>
      </c>
      <c r="FD39" t="s">
        <v>50</v>
      </c>
      <c r="FE39" t="s">
        <v>473</v>
      </c>
      <c r="FF39">
        <v>4140062</v>
      </c>
      <c r="FG39" t="s">
        <v>346</v>
      </c>
      <c r="FH39">
        <v>0</v>
      </c>
      <c r="FI39" t="s">
        <v>304</v>
      </c>
      <c r="FJ39" t="s">
        <v>457</v>
      </c>
      <c r="FK39">
        <v>110399</v>
      </c>
      <c r="FL39" t="s">
        <v>346</v>
      </c>
      <c r="FM39">
        <v>0.09</v>
      </c>
      <c r="FN39" t="s">
        <v>53</v>
      </c>
      <c r="FS39" t="s">
        <v>306</v>
      </c>
      <c r="FT39" t="s">
        <v>399</v>
      </c>
      <c r="FU39">
        <v>4026948</v>
      </c>
      <c r="FV39" t="s">
        <v>346</v>
      </c>
      <c r="FW39">
        <v>0.01</v>
      </c>
      <c r="FX39" t="s">
        <v>317</v>
      </c>
      <c r="FY39" t="s">
        <v>1394</v>
      </c>
      <c r="FZ39">
        <v>110962</v>
      </c>
      <c r="GA39" t="s">
        <v>346</v>
      </c>
      <c r="GB39">
        <v>0.39</v>
      </c>
      <c r="GC39" t="s">
        <v>53</v>
      </c>
      <c r="GD39" t="s">
        <v>1937</v>
      </c>
      <c r="GE39" t="s">
        <v>300</v>
      </c>
      <c r="GF39" t="s">
        <v>361</v>
      </c>
      <c r="GG39">
        <v>0</v>
      </c>
      <c r="GH39" t="s">
        <v>50</v>
      </c>
      <c r="GI39" t="s">
        <v>473</v>
      </c>
      <c r="GJ39">
        <v>4140062</v>
      </c>
      <c r="GK39" t="s">
        <v>346</v>
      </c>
      <c r="GL39">
        <v>0</v>
      </c>
      <c r="GM39" t="s">
        <v>304</v>
      </c>
      <c r="GN39" t="s">
        <v>457</v>
      </c>
      <c r="GO39">
        <v>110399</v>
      </c>
      <c r="GP39" t="s">
        <v>346</v>
      </c>
      <c r="GQ39">
        <v>0.09</v>
      </c>
      <c r="GR39" t="s">
        <v>53</v>
      </c>
      <c r="GS39" t="s">
        <v>637</v>
      </c>
      <c r="GT39">
        <v>4138661</v>
      </c>
      <c r="GU39" t="s">
        <v>346</v>
      </c>
      <c r="GV39">
        <v>0.08</v>
      </c>
      <c r="GW39" t="s">
        <v>50</v>
      </c>
      <c r="GX39" t="s">
        <v>439</v>
      </c>
      <c r="GY39">
        <v>4757367</v>
      </c>
      <c r="GZ39" t="s">
        <v>363</v>
      </c>
      <c r="HA39">
        <v>0.25</v>
      </c>
      <c r="HB39" t="s">
        <v>125</v>
      </c>
      <c r="HG39" t="s">
        <v>306</v>
      </c>
    </row>
    <row r="40" spans="5:215" x14ac:dyDescent="0.35">
      <c r="E40" t="s">
        <v>306</v>
      </c>
      <c r="F40" t="s">
        <v>355</v>
      </c>
      <c r="G40">
        <v>111074</v>
      </c>
      <c r="H40" t="s">
        <v>346</v>
      </c>
      <c r="I40">
        <v>0.12</v>
      </c>
      <c r="J40" t="s">
        <v>53</v>
      </c>
      <c r="K40" t="s">
        <v>406</v>
      </c>
      <c r="L40">
        <v>4115698</v>
      </c>
      <c r="M40" t="s">
        <v>346</v>
      </c>
      <c r="N40">
        <v>0.03</v>
      </c>
      <c r="O40" t="s">
        <v>313</v>
      </c>
      <c r="T40" t="s">
        <v>306</v>
      </c>
      <c r="U40" t="s">
        <v>462</v>
      </c>
      <c r="V40">
        <v>109872</v>
      </c>
      <c r="W40" t="s">
        <v>346</v>
      </c>
      <c r="X40">
        <v>0.28999999999999998</v>
      </c>
      <c r="Y40" t="s">
        <v>53</v>
      </c>
      <c r="Z40" t="s">
        <v>406</v>
      </c>
      <c r="AA40">
        <v>4115698</v>
      </c>
      <c r="AB40" t="s">
        <v>346</v>
      </c>
      <c r="AC40">
        <v>0.03</v>
      </c>
      <c r="AD40" t="s">
        <v>313</v>
      </c>
      <c r="AE40" t="s">
        <v>654</v>
      </c>
      <c r="AF40">
        <v>4208127</v>
      </c>
      <c r="AG40" t="s">
        <v>346</v>
      </c>
      <c r="AH40">
        <v>0.1</v>
      </c>
      <c r="AI40" t="s">
        <v>2185</v>
      </c>
      <c r="AN40" t="s">
        <v>306</v>
      </c>
      <c r="AO40" t="s">
        <v>389</v>
      </c>
      <c r="AP40">
        <v>109888</v>
      </c>
      <c r="AQ40" t="s">
        <v>346</v>
      </c>
      <c r="AR40">
        <v>0.21</v>
      </c>
      <c r="AS40" t="s">
        <v>53</v>
      </c>
      <c r="AX40" t="s">
        <v>306</v>
      </c>
      <c r="AY40" t="s">
        <v>894</v>
      </c>
      <c r="AZ40">
        <v>4139629</v>
      </c>
      <c r="BA40" t="s">
        <v>346</v>
      </c>
      <c r="BB40">
        <v>0.05</v>
      </c>
      <c r="BC40" t="s">
        <v>2181</v>
      </c>
      <c r="BD40" t="s">
        <v>1395</v>
      </c>
      <c r="BE40">
        <v>109728</v>
      </c>
      <c r="BF40" t="s">
        <v>346</v>
      </c>
      <c r="BG40">
        <v>0.39</v>
      </c>
      <c r="BH40" t="s">
        <v>53</v>
      </c>
      <c r="BI40" t="s">
        <v>1115</v>
      </c>
      <c r="BJ40">
        <v>4140101</v>
      </c>
      <c r="BK40" t="s">
        <v>363</v>
      </c>
      <c r="BL40">
        <v>0.17</v>
      </c>
      <c r="BM40" t="s">
        <v>321</v>
      </c>
      <c r="BN40" t="s">
        <v>441</v>
      </c>
      <c r="BO40">
        <v>4153483</v>
      </c>
      <c r="BP40" t="s">
        <v>363</v>
      </c>
      <c r="BQ40">
        <v>7.0000000000000007E-2</v>
      </c>
      <c r="BR40" t="s">
        <v>80</v>
      </c>
      <c r="BS40" t="s">
        <v>670</v>
      </c>
      <c r="BT40">
        <v>4138799</v>
      </c>
      <c r="BU40" t="s">
        <v>346</v>
      </c>
      <c r="BV40">
        <v>0.21</v>
      </c>
      <c r="BW40" t="s">
        <v>50</v>
      </c>
      <c r="BX40" t="s">
        <v>462</v>
      </c>
      <c r="BY40">
        <v>109872</v>
      </c>
      <c r="BZ40" t="s">
        <v>346</v>
      </c>
      <c r="CA40">
        <v>0.28999999999999998</v>
      </c>
      <c r="CB40" t="s">
        <v>53</v>
      </c>
      <c r="CC40" t="s">
        <v>1434</v>
      </c>
      <c r="CD40">
        <v>4437851</v>
      </c>
      <c r="CE40" t="s">
        <v>346</v>
      </c>
      <c r="CF40">
        <v>0.24</v>
      </c>
      <c r="CG40" t="s">
        <v>53</v>
      </c>
      <c r="CH40" t="s">
        <v>389</v>
      </c>
      <c r="CI40">
        <v>109888</v>
      </c>
      <c r="CJ40" t="s">
        <v>346</v>
      </c>
      <c r="CK40">
        <v>0.21</v>
      </c>
      <c r="CL40" t="s">
        <v>53</v>
      </c>
      <c r="CM40" t="s">
        <v>455</v>
      </c>
      <c r="CN40">
        <v>4119538</v>
      </c>
      <c r="CO40" t="s">
        <v>364</v>
      </c>
      <c r="CP40">
        <v>0.31</v>
      </c>
      <c r="CQ40" t="s">
        <v>53</v>
      </c>
      <c r="CV40" t="s">
        <v>306</v>
      </c>
      <c r="DA40" t="s">
        <v>306</v>
      </c>
      <c r="DB40" t="s">
        <v>1395</v>
      </c>
      <c r="DC40">
        <v>109728</v>
      </c>
      <c r="DD40" t="s">
        <v>346</v>
      </c>
      <c r="DE40">
        <v>0.39</v>
      </c>
      <c r="DF40" t="s">
        <v>53</v>
      </c>
      <c r="DK40" t="s">
        <v>306</v>
      </c>
      <c r="DL40" t="s">
        <v>1395</v>
      </c>
      <c r="DM40">
        <v>109728</v>
      </c>
      <c r="DN40" t="s">
        <v>346</v>
      </c>
      <c r="DO40">
        <v>0.39</v>
      </c>
      <c r="DP40" t="s">
        <v>53</v>
      </c>
      <c r="DU40" t="s">
        <v>306</v>
      </c>
      <c r="DV40" t="s">
        <v>459</v>
      </c>
      <c r="DW40">
        <v>4140503</v>
      </c>
      <c r="DX40" t="s">
        <v>346</v>
      </c>
      <c r="DY40">
        <v>0.01</v>
      </c>
      <c r="DZ40" t="s">
        <v>2186</v>
      </c>
      <c r="EA40" t="s">
        <v>1434</v>
      </c>
      <c r="EB40">
        <v>4437851</v>
      </c>
      <c r="EC40" t="s">
        <v>346</v>
      </c>
      <c r="ED40">
        <v>0.24</v>
      </c>
      <c r="EE40" t="s">
        <v>53</v>
      </c>
      <c r="EF40" t="s">
        <v>1395</v>
      </c>
      <c r="EG40">
        <v>109728</v>
      </c>
      <c r="EH40" t="s">
        <v>346</v>
      </c>
      <c r="EI40">
        <v>0.39</v>
      </c>
      <c r="EJ40" t="s">
        <v>53</v>
      </c>
      <c r="EO40" t="s">
        <v>306</v>
      </c>
      <c r="EP40" t="s">
        <v>453</v>
      </c>
      <c r="EQ40">
        <v>4318598</v>
      </c>
      <c r="ER40" t="s">
        <v>346</v>
      </c>
      <c r="ES40">
        <v>0.02</v>
      </c>
      <c r="ET40" t="s">
        <v>53</v>
      </c>
      <c r="EY40" t="s">
        <v>306</v>
      </c>
      <c r="EZ40" t="s">
        <v>530</v>
      </c>
      <c r="FA40">
        <v>102729</v>
      </c>
      <c r="FB40" t="s">
        <v>346</v>
      </c>
      <c r="FC40">
        <v>0</v>
      </c>
      <c r="FD40" t="s">
        <v>53</v>
      </c>
      <c r="FE40" t="s">
        <v>562</v>
      </c>
      <c r="FF40">
        <v>4256114</v>
      </c>
      <c r="FG40" t="s">
        <v>346</v>
      </c>
      <c r="FH40">
        <v>0</v>
      </c>
      <c r="FI40" t="s">
        <v>301</v>
      </c>
      <c r="FJ40" t="s">
        <v>442</v>
      </c>
      <c r="FK40">
        <v>4117611</v>
      </c>
      <c r="FL40" t="s">
        <v>346</v>
      </c>
      <c r="FM40">
        <v>0.09</v>
      </c>
      <c r="FN40" t="s">
        <v>53</v>
      </c>
      <c r="FS40" t="s">
        <v>306</v>
      </c>
      <c r="FT40" t="s">
        <v>400</v>
      </c>
      <c r="FU40">
        <v>7834181</v>
      </c>
      <c r="FV40" t="s">
        <v>346</v>
      </c>
      <c r="FW40">
        <v>0.01</v>
      </c>
      <c r="FX40" t="s">
        <v>313</v>
      </c>
      <c r="FY40" t="s">
        <v>1395</v>
      </c>
      <c r="FZ40">
        <v>109728</v>
      </c>
      <c r="GA40" t="s">
        <v>346</v>
      </c>
      <c r="GB40">
        <v>0.39</v>
      </c>
      <c r="GC40" t="s">
        <v>53</v>
      </c>
      <c r="GD40" t="s">
        <v>530</v>
      </c>
      <c r="GE40">
        <v>102729</v>
      </c>
      <c r="GF40" t="s">
        <v>346</v>
      </c>
      <c r="GG40">
        <v>0</v>
      </c>
      <c r="GH40" t="s">
        <v>53</v>
      </c>
      <c r="GI40" t="s">
        <v>562</v>
      </c>
      <c r="GJ40">
        <v>4256114</v>
      </c>
      <c r="GK40" t="s">
        <v>346</v>
      </c>
      <c r="GL40">
        <v>0</v>
      </c>
      <c r="GM40" t="s">
        <v>301</v>
      </c>
      <c r="GN40" t="s">
        <v>442</v>
      </c>
      <c r="GO40">
        <v>4117611</v>
      </c>
      <c r="GP40" t="s">
        <v>346</v>
      </c>
      <c r="GQ40">
        <v>0.09</v>
      </c>
      <c r="GR40" t="s">
        <v>53</v>
      </c>
      <c r="GS40" t="s">
        <v>441</v>
      </c>
      <c r="GT40">
        <v>4153483</v>
      </c>
      <c r="GU40" t="s">
        <v>363</v>
      </c>
      <c r="GV40">
        <v>7.0000000000000007E-2</v>
      </c>
      <c r="GW40" t="s">
        <v>80</v>
      </c>
      <c r="GX40" t="s">
        <v>1434</v>
      </c>
      <c r="GY40">
        <v>4437851</v>
      </c>
      <c r="GZ40" t="s">
        <v>346</v>
      </c>
      <c r="HA40">
        <v>0.24</v>
      </c>
      <c r="HB40" t="s">
        <v>53</v>
      </c>
      <c r="HG40" t="s">
        <v>306</v>
      </c>
    </row>
    <row r="41" spans="5:215" x14ac:dyDescent="0.35">
      <c r="E41" t="s">
        <v>306</v>
      </c>
      <c r="F41" t="s">
        <v>406</v>
      </c>
      <c r="G41">
        <v>4115698</v>
      </c>
      <c r="H41" t="s">
        <v>346</v>
      </c>
      <c r="I41">
        <v>0.1</v>
      </c>
      <c r="J41" t="s">
        <v>313</v>
      </c>
      <c r="K41" t="s">
        <v>650</v>
      </c>
      <c r="L41">
        <v>4550448</v>
      </c>
      <c r="M41" t="s">
        <v>346</v>
      </c>
      <c r="N41">
        <v>0.03</v>
      </c>
      <c r="O41" t="s">
        <v>50</v>
      </c>
      <c r="T41" t="s">
        <v>306</v>
      </c>
      <c r="U41" t="s">
        <v>721</v>
      </c>
      <c r="V41">
        <v>4329445</v>
      </c>
      <c r="W41" t="s">
        <v>346</v>
      </c>
      <c r="X41">
        <v>0.27</v>
      </c>
      <c r="Y41" t="s">
        <v>50</v>
      </c>
      <c r="Z41" t="s">
        <v>650</v>
      </c>
      <c r="AA41">
        <v>4550448</v>
      </c>
      <c r="AB41" t="s">
        <v>346</v>
      </c>
      <c r="AC41">
        <v>0.03</v>
      </c>
      <c r="AD41" t="s">
        <v>50</v>
      </c>
      <c r="AE41" t="s">
        <v>389</v>
      </c>
      <c r="AF41">
        <v>109888</v>
      </c>
      <c r="AG41" t="s">
        <v>346</v>
      </c>
      <c r="AH41">
        <v>0.09</v>
      </c>
      <c r="AI41" t="s">
        <v>53</v>
      </c>
      <c r="AN41" t="s">
        <v>306</v>
      </c>
      <c r="AO41" t="s">
        <v>1261</v>
      </c>
      <c r="AP41">
        <v>4139896</v>
      </c>
      <c r="AQ41" t="s">
        <v>346</v>
      </c>
      <c r="AR41">
        <v>0.19</v>
      </c>
      <c r="AS41" t="s">
        <v>62</v>
      </c>
      <c r="AX41" t="s">
        <v>306</v>
      </c>
      <c r="AY41" t="s">
        <v>644</v>
      </c>
      <c r="AZ41">
        <v>4138625</v>
      </c>
      <c r="BA41" t="s">
        <v>346</v>
      </c>
      <c r="BB41">
        <v>0.05</v>
      </c>
      <c r="BC41" t="s">
        <v>50</v>
      </c>
      <c r="BD41" t="s">
        <v>387</v>
      </c>
      <c r="BE41">
        <v>4020980</v>
      </c>
      <c r="BF41" t="s">
        <v>346</v>
      </c>
      <c r="BG41">
        <v>0.38</v>
      </c>
      <c r="BH41" t="s">
        <v>2189</v>
      </c>
      <c r="BI41" t="s">
        <v>1558</v>
      </c>
      <c r="BJ41">
        <v>4304424</v>
      </c>
      <c r="BK41" t="s">
        <v>346</v>
      </c>
      <c r="BL41">
        <v>0.17</v>
      </c>
      <c r="BM41" t="s">
        <v>317</v>
      </c>
      <c r="BN41" t="s">
        <v>387</v>
      </c>
      <c r="BO41">
        <v>4020980</v>
      </c>
      <c r="BP41" t="s">
        <v>346</v>
      </c>
      <c r="BQ41">
        <v>7.0000000000000007E-2</v>
      </c>
      <c r="BR41" t="s">
        <v>2189</v>
      </c>
      <c r="BS41" t="s">
        <v>380</v>
      </c>
      <c r="BT41">
        <v>4674815</v>
      </c>
      <c r="BU41" t="s">
        <v>346</v>
      </c>
      <c r="BV41">
        <v>0.21</v>
      </c>
      <c r="BW41" t="s">
        <v>320</v>
      </c>
      <c r="BX41" t="s">
        <v>721</v>
      </c>
      <c r="BY41">
        <v>4329445</v>
      </c>
      <c r="BZ41" t="s">
        <v>346</v>
      </c>
      <c r="CA41">
        <v>0.27</v>
      </c>
      <c r="CB41" t="s">
        <v>50</v>
      </c>
      <c r="CC41" t="s">
        <v>608</v>
      </c>
      <c r="CD41">
        <v>110427</v>
      </c>
      <c r="CE41" t="s">
        <v>346</v>
      </c>
      <c r="CF41">
        <v>0.23</v>
      </c>
      <c r="CG41" t="s">
        <v>313</v>
      </c>
      <c r="CH41" t="s">
        <v>1261</v>
      </c>
      <c r="CI41">
        <v>4139896</v>
      </c>
      <c r="CJ41" t="s">
        <v>346</v>
      </c>
      <c r="CK41">
        <v>0.19</v>
      </c>
      <c r="CL41" t="s">
        <v>62</v>
      </c>
      <c r="CM41" t="s">
        <v>1259</v>
      </c>
      <c r="CN41">
        <v>4213239</v>
      </c>
      <c r="CO41" t="s">
        <v>346</v>
      </c>
      <c r="CP41">
        <v>0.28999999999999998</v>
      </c>
      <c r="CQ41" t="s">
        <v>62</v>
      </c>
      <c r="CV41" t="s">
        <v>306</v>
      </c>
      <c r="DA41" t="s">
        <v>306</v>
      </c>
      <c r="DB41" t="s">
        <v>387</v>
      </c>
      <c r="DC41">
        <v>4020980</v>
      </c>
      <c r="DD41" t="s">
        <v>346</v>
      </c>
      <c r="DE41">
        <v>0.38</v>
      </c>
      <c r="DF41" t="s">
        <v>2189</v>
      </c>
      <c r="DK41" t="s">
        <v>306</v>
      </c>
      <c r="DL41" t="s">
        <v>387</v>
      </c>
      <c r="DM41">
        <v>4020980</v>
      </c>
      <c r="DN41" t="s">
        <v>346</v>
      </c>
      <c r="DO41">
        <v>0.38</v>
      </c>
      <c r="DP41" t="s">
        <v>2189</v>
      </c>
      <c r="DU41" t="s">
        <v>306</v>
      </c>
      <c r="DV41" t="s">
        <v>657</v>
      </c>
      <c r="DW41">
        <v>5851513</v>
      </c>
      <c r="DX41" t="s">
        <v>346</v>
      </c>
      <c r="DY41">
        <v>0.01</v>
      </c>
      <c r="DZ41" t="s">
        <v>80</v>
      </c>
      <c r="EA41" t="s">
        <v>608</v>
      </c>
      <c r="EB41">
        <v>110427</v>
      </c>
      <c r="EC41" t="s">
        <v>346</v>
      </c>
      <c r="ED41">
        <v>0.23</v>
      </c>
      <c r="EE41" t="s">
        <v>313</v>
      </c>
      <c r="EF41" t="s">
        <v>387</v>
      </c>
      <c r="EG41">
        <v>4020980</v>
      </c>
      <c r="EH41" t="s">
        <v>346</v>
      </c>
      <c r="EI41">
        <v>0.38</v>
      </c>
      <c r="EJ41" t="s">
        <v>2189</v>
      </c>
      <c r="EO41" t="s">
        <v>306</v>
      </c>
      <c r="EP41" t="s">
        <v>409</v>
      </c>
      <c r="EQ41">
        <v>102719</v>
      </c>
      <c r="ER41" t="s">
        <v>346</v>
      </c>
      <c r="ES41">
        <v>0.01</v>
      </c>
      <c r="ET41" t="s">
        <v>53</v>
      </c>
      <c r="EY41" t="s">
        <v>306</v>
      </c>
      <c r="EZ41" t="s">
        <v>1938</v>
      </c>
      <c r="FA41" t="s">
        <v>300</v>
      </c>
      <c r="FB41" t="s">
        <v>361</v>
      </c>
      <c r="FC41">
        <v>0</v>
      </c>
      <c r="FD41" t="s">
        <v>50</v>
      </c>
      <c r="FE41" t="s">
        <v>431</v>
      </c>
      <c r="FF41">
        <v>4085931</v>
      </c>
      <c r="FG41" t="s">
        <v>346</v>
      </c>
      <c r="FH41">
        <v>0</v>
      </c>
      <c r="FI41" t="s">
        <v>304</v>
      </c>
      <c r="FJ41" t="s">
        <v>740</v>
      </c>
      <c r="FK41">
        <v>4271664</v>
      </c>
      <c r="FL41" t="s">
        <v>346</v>
      </c>
      <c r="FM41">
        <v>0.09</v>
      </c>
      <c r="FN41" t="s">
        <v>313</v>
      </c>
      <c r="FS41" t="s">
        <v>306</v>
      </c>
      <c r="FT41" t="s">
        <v>401</v>
      </c>
      <c r="FU41">
        <v>4139862</v>
      </c>
      <c r="FV41" t="s">
        <v>346</v>
      </c>
      <c r="FW41">
        <v>0.01</v>
      </c>
      <c r="FX41" t="s">
        <v>313</v>
      </c>
      <c r="FY41" t="s">
        <v>387</v>
      </c>
      <c r="FZ41">
        <v>4020980</v>
      </c>
      <c r="GA41" t="s">
        <v>346</v>
      </c>
      <c r="GB41">
        <v>0.38</v>
      </c>
      <c r="GC41" t="s">
        <v>2189</v>
      </c>
      <c r="GD41" t="s">
        <v>1938</v>
      </c>
      <c r="GE41" t="s">
        <v>300</v>
      </c>
      <c r="GF41" t="s">
        <v>361</v>
      </c>
      <c r="GG41">
        <v>0</v>
      </c>
      <c r="GH41" t="s">
        <v>50</v>
      </c>
      <c r="GI41" t="s">
        <v>431</v>
      </c>
      <c r="GJ41">
        <v>4085931</v>
      </c>
      <c r="GK41" t="s">
        <v>346</v>
      </c>
      <c r="GL41">
        <v>0</v>
      </c>
      <c r="GM41" t="s">
        <v>304</v>
      </c>
      <c r="GN41" t="s">
        <v>740</v>
      </c>
      <c r="GO41">
        <v>4271664</v>
      </c>
      <c r="GP41" t="s">
        <v>346</v>
      </c>
      <c r="GQ41">
        <v>0.09</v>
      </c>
      <c r="GR41" t="s">
        <v>313</v>
      </c>
      <c r="GS41" t="s">
        <v>387</v>
      </c>
      <c r="GT41">
        <v>4020980</v>
      </c>
      <c r="GU41" t="s">
        <v>346</v>
      </c>
      <c r="GV41">
        <v>7.0000000000000007E-2</v>
      </c>
      <c r="GW41" t="s">
        <v>2189</v>
      </c>
      <c r="GX41" t="s">
        <v>608</v>
      </c>
      <c r="GY41">
        <v>110427</v>
      </c>
      <c r="GZ41" t="s">
        <v>346</v>
      </c>
      <c r="HA41">
        <v>0.23</v>
      </c>
      <c r="HB41" t="s">
        <v>313</v>
      </c>
      <c r="HG41" t="s">
        <v>306</v>
      </c>
    </row>
    <row r="42" spans="5:215" x14ac:dyDescent="0.35">
      <c r="E42" t="s">
        <v>306</v>
      </c>
      <c r="F42" t="s">
        <v>442</v>
      </c>
      <c r="G42">
        <v>4117611</v>
      </c>
      <c r="H42" t="s">
        <v>346</v>
      </c>
      <c r="I42">
        <v>0.09</v>
      </c>
      <c r="J42" t="s">
        <v>53</v>
      </c>
      <c r="K42" t="s">
        <v>651</v>
      </c>
      <c r="L42">
        <v>7059915</v>
      </c>
      <c r="M42" t="s">
        <v>346</v>
      </c>
      <c r="N42">
        <v>0.03</v>
      </c>
      <c r="O42" t="s">
        <v>50</v>
      </c>
      <c r="T42" t="s">
        <v>306</v>
      </c>
      <c r="U42" t="s">
        <v>437</v>
      </c>
      <c r="V42">
        <v>4102073</v>
      </c>
      <c r="W42" t="s">
        <v>346</v>
      </c>
      <c r="X42">
        <v>0.26</v>
      </c>
      <c r="Y42" t="s">
        <v>53</v>
      </c>
      <c r="Z42" t="s">
        <v>651</v>
      </c>
      <c r="AA42">
        <v>7059915</v>
      </c>
      <c r="AB42" t="s">
        <v>346</v>
      </c>
      <c r="AC42">
        <v>0.03</v>
      </c>
      <c r="AD42" t="s">
        <v>50</v>
      </c>
      <c r="AE42" t="s">
        <v>1117</v>
      </c>
      <c r="AF42">
        <v>4138136</v>
      </c>
      <c r="AG42" t="s">
        <v>364</v>
      </c>
      <c r="AH42">
        <v>0.09</v>
      </c>
      <c r="AI42" t="s">
        <v>313</v>
      </c>
      <c r="AN42" t="s">
        <v>306</v>
      </c>
      <c r="AO42" t="s">
        <v>1262</v>
      </c>
      <c r="AP42">
        <v>4550016</v>
      </c>
      <c r="AQ42" t="s">
        <v>364</v>
      </c>
      <c r="AR42">
        <v>0.18</v>
      </c>
      <c r="AS42" t="s">
        <v>62</v>
      </c>
      <c r="AX42" t="s">
        <v>306</v>
      </c>
      <c r="AY42" t="s">
        <v>721</v>
      </c>
      <c r="AZ42">
        <v>4329445</v>
      </c>
      <c r="BA42" t="s">
        <v>346</v>
      </c>
      <c r="BB42">
        <v>0.04</v>
      </c>
      <c r="BC42" t="s">
        <v>50</v>
      </c>
      <c r="BD42" t="s">
        <v>708</v>
      </c>
      <c r="BE42">
        <v>4005446</v>
      </c>
      <c r="BF42" t="s">
        <v>362</v>
      </c>
      <c r="BG42">
        <v>0.37</v>
      </c>
      <c r="BH42" t="s">
        <v>2181</v>
      </c>
      <c r="BI42" t="s">
        <v>467</v>
      </c>
      <c r="BJ42">
        <v>7108293</v>
      </c>
      <c r="BK42" t="s">
        <v>369</v>
      </c>
      <c r="BL42">
        <v>0.17</v>
      </c>
      <c r="BM42" t="s">
        <v>313</v>
      </c>
      <c r="BN42" t="s">
        <v>386</v>
      </c>
      <c r="BO42">
        <v>4145085</v>
      </c>
      <c r="BP42" t="s">
        <v>346</v>
      </c>
      <c r="BQ42">
        <v>7.0000000000000007E-2</v>
      </c>
      <c r="BR42" t="s">
        <v>313</v>
      </c>
      <c r="BS42" t="s">
        <v>456</v>
      </c>
      <c r="BT42">
        <v>4249110</v>
      </c>
      <c r="BU42" t="s">
        <v>346</v>
      </c>
      <c r="BV42">
        <v>0.2</v>
      </c>
      <c r="BW42" t="s">
        <v>313</v>
      </c>
      <c r="BX42" t="s">
        <v>437</v>
      </c>
      <c r="BY42">
        <v>4102073</v>
      </c>
      <c r="BZ42" t="s">
        <v>346</v>
      </c>
      <c r="CA42">
        <v>0.26</v>
      </c>
      <c r="CB42" t="s">
        <v>53</v>
      </c>
      <c r="CC42" t="s">
        <v>483</v>
      </c>
      <c r="CD42">
        <v>109763</v>
      </c>
      <c r="CE42" t="s">
        <v>346</v>
      </c>
      <c r="CF42">
        <v>0.23</v>
      </c>
      <c r="CG42" t="s">
        <v>53</v>
      </c>
      <c r="CH42" t="s">
        <v>1262</v>
      </c>
      <c r="CI42">
        <v>4550016</v>
      </c>
      <c r="CJ42" t="s">
        <v>364</v>
      </c>
      <c r="CK42">
        <v>0.18</v>
      </c>
      <c r="CL42" t="s">
        <v>62</v>
      </c>
      <c r="CM42" t="s">
        <v>763</v>
      </c>
      <c r="CN42">
        <v>110153</v>
      </c>
      <c r="CO42" t="s">
        <v>364</v>
      </c>
      <c r="CP42">
        <v>0.28000000000000003</v>
      </c>
      <c r="CQ42" t="s">
        <v>53</v>
      </c>
      <c r="CV42" t="s">
        <v>306</v>
      </c>
      <c r="DA42" t="s">
        <v>306</v>
      </c>
      <c r="DB42" t="s">
        <v>708</v>
      </c>
      <c r="DC42">
        <v>4005446</v>
      </c>
      <c r="DD42" t="s">
        <v>362</v>
      </c>
      <c r="DE42">
        <v>0.37</v>
      </c>
      <c r="DF42" t="s">
        <v>2181</v>
      </c>
      <c r="DK42" t="s">
        <v>306</v>
      </c>
      <c r="DL42" t="s">
        <v>708</v>
      </c>
      <c r="DM42">
        <v>4005446</v>
      </c>
      <c r="DN42" t="s">
        <v>362</v>
      </c>
      <c r="DO42">
        <v>0.37</v>
      </c>
      <c r="DP42" t="s">
        <v>2181</v>
      </c>
      <c r="DU42" t="s">
        <v>306</v>
      </c>
      <c r="DV42" t="s">
        <v>859</v>
      </c>
      <c r="DW42">
        <v>4049161</v>
      </c>
      <c r="DX42" t="s">
        <v>346</v>
      </c>
      <c r="DY42">
        <v>0.01</v>
      </c>
      <c r="DZ42" t="s">
        <v>53</v>
      </c>
      <c r="EA42" t="s">
        <v>483</v>
      </c>
      <c r="EB42">
        <v>109763</v>
      </c>
      <c r="EC42" t="s">
        <v>346</v>
      </c>
      <c r="ED42">
        <v>0.23</v>
      </c>
      <c r="EE42" t="s">
        <v>53</v>
      </c>
      <c r="EF42" t="s">
        <v>708</v>
      </c>
      <c r="EG42">
        <v>4005446</v>
      </c>
      <c r="EH42" t="s">
        <v>362</v>
      </c>
      <c r="EI42">
        <v>0.37</v>
      </c>
      <c r="EJ42" t="s">
        <v>2181</v>
      </c>
      <c r="EO42" t="s">
        <v>306</v>
      </c>
      <c r="EP42" t="s">
        <v>648</v>
      </c>
      <c r="EQ42">
        <v>4147551</v>
      </c>
      <c r="ER42" t="s">
        <v>366</v>
      </c>
      <c r="ES42">
        <v>0.01</v>
      </c>
      <c r="ET42" t="s">
        <v>50</v>
      </c>
      <c r="EY42" t="s">
        <v>306</v>
      </c>
      <c r="EZ42" t="s">
        <v>1939</v>
      </c>
      <c r="FA42" t="s">
        <v>300</v>
      </c>
      <c r="FB42" t="s">
        <v>361</v>
      </c>
      <c r="FC42">
        <v>0</v>
      </c>
      <c r="FD42" t="s">
        <v>50</v>
      </c>
      <c r="FE42" t="s">
        <v>418</v>
      </c>
      <c r="FF42">
        <v>109776</v>
      </c>
      <c r="FG42" t="s">
        <v>346</v>
      </c>
      <c r="FH42">
        <v>0</v>
      </c>
      <c r="FI42" t="s">
        <v>53</v>
      </c>
      <c r="FJ42" t="s">
        <v>401</v>
      </c>
      <c r="FK42">
        <v>4139862</v>
      </c>
      <c r="FL42" t="s">
        <v>346</v>
      </c>
      <c r="FM42">
        <v>0.09</v>
      </c>
      <c r="FN42" t="s">
        <v>313</v>
      </c>
      <c r="FS42" t="s">
        <v>306</v>
      </c>
      <c r="FT42" t="s">
        <v>402</v>
      </c>
      <c r="FU42">
        <v>4065216</v>
      </c>
      <c r="FV42" t="s">
        <v>346</v>
      </c>
      <c r="FW42">
        <v>0.01</v>
      </c>
      <c r="FX42" t="s">
        <v>313</v>
      </c>
      <c r="FY42" t="s">
        <v>708</v>
      </c>
      <c r="FZ42">
        <v>4005446</v>
      </c>
      <c r="GA42" t="s">
        <v>362</v>
      </c>
      <c r="GB42">
        <v>0.37</v>
      </c>
      <c r="GC42" t="s">
        <v>2181</v>
      </c>
      <c r="GD42" t="s">
        <v>1939</v>
      </c>
      <c r="GE42" t="s">
        <v>300</v>
      </c>
      <c r="GF42" t="s">
        <v>361</v>
      </c>
      <c r="GG42">
        <v>0</v>
      </c>
      <c r="GH42" t="s">
        <v>50</v>
      </c>
      <c r="GI42" t="s">
        <v>418</v>
      </c>
      <c r="GJ42">
        <v>109776</v>
      </c>
      <c r="GK42" t="s">
        <v>346</v>
      </c>
      <c r="GL42">
        <v>0</v>
      </c>
      <c r="GM42" t="s">
        <v>53</v>
      </c>
      <c r="GN42" t="s">
        <v>401</v>
      </c>
      <c r="GO42">
        <v>4139862</v>
      </c>
      <c r="GP42" t="s">
        <v>346</v>
      </c>
      <c r="GQ42">
        <v>0.09</v>
      </c>
      <c r="GR42" t="s">
        <v>313</v>
      </c>
      <c r="GS42" t="s">
        <v>386</v>
      </c>
      <c r="GT42">
        <v>4145085</v>
      </c>
      <c r="GU42" t="s">
        <v>346</v>
      </c>
      <c r="GV42">
        <v>7.0000000000000007E-2</v>
      </c>
      <c r="GW42" t="s">
        <v>313</v>
      </c>
      <c r="GX42" t="s">
        <v>483</v>
      </c>
      <c r="GY42">
        <v>109763</v>
      </c>
      <c r="GZ42" t="s">
        <v>346</v>
      </c>
      <c r="HA42">
        <v>0.23</v>
      </c>
      <c r="HB42" t="s">
        <v>53</v>
      </c>
      <c r="HG42" t="s">
        <v>306</v>
      </c>
    </row>
    <row r="43" spans="5:215" x14ac:dyDescent="0.35">
      <c r="E43" t="s">
        <v>306</v>
      </c>
      <c r="F43" t="s">
        <v>401</v>
      </c>
      <c r="G43">
        <v>4139862</v>
      </c>
      <c r="H43" t="s">
        <v>346</v>
      </c>
      <c r="I43">
        <v>0.09</v>
      </c>
      <c r="J43" t="s">
        <v>313</v>
      </c>
      <c r="K43" t="s">
        <v>652</v>
      </c>
      <c r="L43">
        <v>4134208</v>
      </c>
      <c r="M43" t="s">
        <v>346</v>
      </c>
      <c r="N43">
        <v>0.03</v>
      </c>
      <c r="O43" t="s">
        <v>53</v>
      </c>
      <c r="T43" t="s">
        <v>306</v>
      </c>
      <c r="U43" t="s">
        <v>722</v>
      </c>
      <c r="V43">
        <v>5812793</v>
      </c>
      <c r="W43" t="s">
        <v>346</v>
      </c>
      <c r="X43">
        <v>0.25</v>
      </c>
      <c r="Y43" t="s">
        <v>50</v>
      </c>
      <c r="Z43" t="s">
        <v>652</v>
      </c>
      <c r="AA43">
        <v>4134208</v>
      </c>
      <c r="AB43" t="s">
        <v>346</v>
      </c>
      <c r="AC43">
        <v>0.03</v>
      </c>
      <c r="AD43" t="s">
        <v>53</v>
      </c>
      <c r="AE43" t="s">
        <v>357</v>
      </c>
      <c r="AF43">
        <v>4270330</v>
      </c>
      <c r="AG43" t="s">
        <v>346</v>
      </c>
      <c r="AH43">
        <v>0.09</v>
      </c>
      <c r="AI43" t="s">
        <v>53</v>
      </c>
      <c r="AN43" t="s">
        <v>306</v>
      </c>
      <c r="AO43" t="s">
        <v>393</v>
      </c>
      <c r="AP43">
        <v>4723508</v>
      </c>
      <c r="AQ43" t="s">
        <v>346</v>
      </c>
      <c r="AR43">
        <v>0.18</v>
      </c>
      <c r="AS43" t="s">
        <v>313</v>
      </c>
      <c r="AX43" t="s">
        <v>306</v>
      </c>
      <c r="AY43" t="s">
        <v>1227</v>
      </c>
      <c r="AZ43" t="s">
        <v>300</v>
      </c>
      <c r="BA43" t="s">
        <v>361</v>
      </c>
      <c r="BB43">
        <v>0.04</v>
      </c>
      <c r="BC43" t="s">
        <v>50</v>
      </c>
      <c r="BD43" t="s">
        <v>399</v>
      </c>
      <c r="BE43">
        <v>4026948</v>
      </c>
      <c r="BF43" t="s">
        <v>346</v>
      </c>
      <c r="BG43">
        <v>0.36</v>
      </c>
      <c r="BH43" t="s">
        <v>317</v>
      </c>
      <c r="BI43" t="s">
        <v>487</v>
      </c>
      <c r="BJ43">
        <v>4111901</v>
      </c>
      <c r="BK43" t="s">
        <v>346</v>
      </c>
      <c r="BL43">
        <v>0.15</v>
      </c>
      <c r="BM43" t="s">
        <v>2192</v>
      </c>
      <c r="BN43" t="s">
        <v>955</v>
      </c>
      <c r="BO43">
        <v>4138889</v>
      </c>
      <c r="BP43" t="s">
        <v>346</v>
      </c>
      <c r="BQ43">
        <v>7.0000000000000007E-2</v>
      </c>
      <c r="BR43" t="s">
        <v>313</v>
      </c>
      <c r="BS43" t="s">
        <v>719</v>
      </c>
      <c r="BT43">
        <v>4139954</v>
      </c>
      <c r="BU43" t="s">
        <v>346</v>
      </c>
      <c r="BV43">
        <v>0.19</v>
      </c>
      <c r="BW43" t="s">
        <v>326</v>
      </c>
      <c r="BX43" t="s">
        <v>722</v>
      </c>
      <c r="BY43">
        <v>5812793</v>
      </c>
      <c r="BZ43" t="s">
        <v>346</v>
      </c>
      <c r="CA43">
        <v>0.25</v>
      </c>
      <c r="CB43" t="s">
        <v>50</v>
      </c>
      <c r="CC43" t="s">
        <v>405</v>
      </c>
      <c r="CD43">
        <v>4035990</v>
      </c>
      <c r="CE43" t="s">
        <v>346</v>
      </c>
      <c r="CF43">
        <v>0.22</v>
      </c>
      <c r="CG43" t="s">
        <v>80</v>
      </c>
      <c r="CH43" t="s">
        <v>393</v>
      </c>
      <c r="CI43">
        <v>4723508</v>
      </c>
      <c r="CJ43" t="s">
        <v>346</v>
      </c>
      <c r="CK43">
        <v>0.18</v>
      </c>
      <c r="CL43" t="s">
        <v>313</v>
      </c>
      <c r="CM43" t="s">
        <v>1265</v>
      </c>
      <c r="CN43">
        <v>4118993</v>
      </c>
      <c r="CO43" t="s">
        <v>346</v>
      </c>
      <c r="CP43">
        <v>0.28000000000000003</v>
      </c>
      <c r="CQ43" t="s">
        <v>53</v>
      </c>
      <c r="CV43" t="s">
        <v>306</v>
      </c>
      <c r="DA43" t="s">
        <v>306</v>
      </c>
      <c r="DB43" t="s">
        <v>399</v>
      </c>
      <c r="DC43">
        <v>4026948</v>
      </c>
      <c r="DD43" t="s">
        <v>346</v>
      </c>
      <c r="DE43">
        <v>0.36</v>
      </c>
      <c r="DF43" t="s">
        <v>317</v>
      </c>
      <c r="DK43" t="s">
        <v>306</v>
      </c>
      <c r="DL43" t="s">
        <v>399</v>
      </c>
      <c r="DM43">
        <v>4026948</v>
      </c>
      <c r="DN43" t="s">
        <v>346</v>
      </c>
      <c r="DO43">
        <v>0.36</v>
      </c>
      <c r="DP43" t="s">
        <v>317</v>
      </c>
      <c r="DU43" t="s">
        <v>306</v>
      </c>
      <c r="DV43" t="s">
        <v>407</v>
      </c>
      <c r="DW43">
        <v>109754</v>
      </c>
      <c r="DX43" t="s">
        <v>346</v>
      </c>
      <c r="DY43">
        <v>0.01</v>
      </c>
      <c r="DZ43" t="s">
        <v>53</v>
      </c>
      <c r="EA43" t="s">
        <v>405</v>
      </c>
      <c r="EB43">
        <v>4035990</v>
      </c>
      <c r="EC43" t="s">
        <v>346</v>
      </c>
      <c r="ED43">
        <v>0.22</v>
      </c>
      <c r="EE43" t="s">
        <v>80</v>
      </c>
      <c r="EF43" t="s">
        <v>399</v>
      </c>
      <c r="EG43">
        <v>4026948</v>
      </c>
      <c r="EH43" t="s">
        <v>346</v>
      </c>
      <c r="EI43">
        <v>0.36</v>
      </c>
      <c r="EJ43" t="s">
        <v>317</v>
      </c>
      <c r="EO43" t="s">
        <v>306</v>
      </c>
      <c r="EP43" t="s">
        <v>432</v>
      </c>
      <c r="EQ43">
        <v>110092</v>
      </c>
      <c r="ER43" t="s">
        <v>346</v>
      </c>
      <c r="ES43">
        <v>0.01</v>
      </c>
      <c r="ET43" t="s">
        <v>53</v>
      </c>
      <c r="EY43" t="s">
        <v>306</v>
      </c>
      <c r="EZ43" t="s">
        <v>1940</v>
      </c>
      <c r="FA43" t="s">
        <v>300</v>
      </c>
      <c r="FB43" t="s">
        <v>361</v>
      </c>
      <c r="FC43">
        <v>0</v>
      </c>
      <c r="FD43" t="s">
        <v>50</v>
      </c>
      <c r="FE43" t="s">
        <v>1136</v>
      </c>
      <c r="FF43">
        <v>113818</v>
      </c>
      <c r="FG43" t="s">
        <v>366</v>
      </c>
      <c r="FH43">
        <v>0</v>
      </c>
      <c r="FI43" t="s">
        <v>317</v>
      </c>
      <c r="FJ43" t="s">
        <v>406</v>
      </c>
      <c r="FK43">
        <v>4115698</v>
      </c>
      <c r="FL43" t="s">
        <v>346</v>
      </c>
      <c r="FM43">
        <v>0.08</v>
      </c>
      <c r="FN43" t="s">
        <v>313</v>
      </c>
      <c r="FS43" t="s">
        <v>306</v>
      </c>
      <c r="FT43" t="s">
        <v>403</v>
      </c>
      <c r="FU43">
        <v>4033550</v>
      </c>
      <c r="FV43" t="s">
        <v>346</v>
      </c>
      <c r="FW43">
        <v>0.01</v>
      </c>
      <c r="FX43" t="s">
        <v>53</v>
      </c>
      <c r="FY43" t="s">
        <v>399</v>
      </c>
      <c r="FZ43">
        <v>4026948</v>
      </c>
      <c r="GA43" t="s">
        <v>346</v>
      </c>
      <c r="GB43">
        <v>0.36</v>
      </c>
      <c r="GC43" t="s">
        <v>317</v>
      </c>
      <c r="GD43" t="s">
        <v>1940</v>
      </c>
      <c r="GE43" t="s">
        <v>300</v>
      </c>
      <c r="GF43" t="s">
        <v>361</v>
      </c>
      <c r="GG43">
        <v>0</v>
      </c>
      <c r="GH43" t="s">
        <v>50</v>
      </c>
      <c r="GI43" t="s">
        <v>1136</v>
      </c>
      <c r="GJ43">
        <v>113818</v>
      </c>
      <c r="GK43" t="s">
        <v>366</v>
      </c>
      <c r="GL43">
        <v>0</v>
      </c>
      <c r="GM43" t="s">
        <v>317</v>
      </c>
      <c r="GN43" t="s">
        <v>406</v>
      </c>
      <c r="GO43">
        <v>4115698</v>
      </c>
      <c r="GP43" t="s">
        <v>346</v>
      </c>
      <c r="GQ43">
        <v>0.08</v>
      </c>
      <c r="GR43" t="s">
        <v>313</v>
      </c>
      <c r="GS43" t="s">
        <v>955</v>
      </c>
      <c r="GT43">
        <v>4138889</v>
      </c>
      <c r="GU43" t="s">
        <v>346</v>
      </c>
      <c r="GV43">
        <v>7.0000000000000007E-2</v>
      </c>
      <c r="GW43" t="s">
        <v>313</v>
      </c>
      <c r="GX43" t="s">
        <v>405</v>
      </c>
      <c r="GY43">
        <v>4035990</v>
      </c>
      <c r="GZ43" t="s">
        <v>346</v>
      </c>
      <c r="HA43">
        <v>0.22</v>
      </c>
      <c r="HB43" t="s">
        <v>80</v>
      </c>
      <c r="HG43" t="s">
        <v>306</v>
      </c>
    </row>
    <row r="44" spans="5:215" x14ac:dyDescent="0.35">
      <c r="E44" t="s">
        <v>306</v>
      </c>
      <c r="F44" t="s">
        <v>408</v>
      </c>
      <c r="G44">
        <v>4138917</v>
      </c>
      <c r="H44" t="s">
        <v>346</v>
      </c>
      <c r="I44">
        <v>0.08</v>
      </c>
      <c r="J44" t="s">
        <v>125</v>
      </c>
      <c r="K44" t="s">
        <v>399</v>
      </c>
      <c r="L44">
        <v>4026948</v>
      </c>
      <c r="M44" t="s">
        <v>346</v>
      </c>
      <c r="N44">
        <v>0.03</v>
      </c>
      <c r="O44" t="s">
        <v>317</v>
      </c>
      <c r="T44" t="s">
        <v>306</v>
      </c>
      <c r="U44" t="s">
        <v>385</v>
      </c>
      <c r="V44">
        <v>5752504</v>
      </c>
      <c r="W44" t="s">
        <v>346</v>
      </c>
      <c r="X44">
        <v>0.24</v>
      </c>
      <c r="Y44" t="s">
        <v>53</v>
      </c>
      <c r="Z44" t="s">
        <v>399</v>
      </c>
      <c r="AA44">
        <v>4026948</v>
      </c>
      <c r="AB44" t="s">
        <v>346</v>
      </c>
      <c r="AC44">
        <v>0.03</v>
      </c>
      <c r="AD44" t="s">
        <v>317</v>
      </c>
      <c r="AE44" t="s">
        <v>955</v>
      </c>
      <c r="AF44">
        <v>4138889</v>
      </c>
      <c r="AG44" t="s">
        <v>346</v>
      </c>
      <c r="AH44">
        <v>0.09</v>
      </c>
      <c r="AI44" t="s">
        <v>313</v>
      </c>
      <c r="AN44" t="s">
        <v>306</v>
      </c>
      <c r="AO44" t="s">
        <v>1120</v>
      </c>
      <c r="AP44">
        <v>4724324</v>
      </c>
      <c r="AQ44" t="s">
        <v>346</v>
      </c>
      <c r="AR44">
        <v>0.17</v>
      </c>
      <c r="AS44" t="s">
        <v>53</v>
      </c>
      <c r="AX44" t="s">
        <v>306</v>
      </c>
      <c r="AY44" t="s">
        <v>835</v>
      </c>
      <c r="AZ44">
        <v>4878959</v>
      </c>
      <c r="BA44" t="s">
        <v>346</v>
      </c>
      <c r="BB44">
        <v>0.03</v>
      </c>
      <c r="BC44" t="s">
        <v>50</v>
      </c>
      <c r="BD44" t="s">
        <v>964</v>
      </c>
      <c r="BE44">
        <v>110829</v>
      </c>
      <c r="BF44" t="s">
        <v>346</v>
      </c>
      <c r="BG44">
        <v>0.35</v>
      </c>
      <c r="BH44" t="s">
        <v>53</v>
      </c>
      <c r="BI44" t="s">
        <v>380</v>
      </c>
      <c r="BJ44">
        <v>4674815</v>
      </c>
      <c r="BK44" t="s">
        <v>346</v>
      </c>
      <c r="BL44">
        <v>0.15</v>
      </c>
      <c r="BM44" t="s">
        <v>320</v>
      </c>
      <c r="BN44" t="s">
        <v>673</v>
      </c>
      <c r="BO44">
        <v>5837129</v>
      </c>
      <c r="BP44" t="s">
        <v>346</v>
      </c>
      <c r="BQ44">
        <v>7.0000000000000007E-2</v>
      </c>
      <c r="BR44" t="s">
        <v>50</v>
      </c>
      <c r="BS44" t="s">
        <v>642</v>
      </c>
      <c r="BT44">
        <v>5762318</v>
      </c>
      <c r="BU44" t="s">
        <v>346</v>
      </c>
      <c r="BV44">
        <v>0.18</v>
      </c>
      <c r="BW44" t="s">
        <v>50</v>
      </c>
      <c r="BX44" t="s">
        <v>385</v>
      </c>
      <c r="BY44">
        <v>5752504</v>
      </c>
      <c r="BZ44" t="s">
        <v>346</v>
      </c>
      <c r="CA44">
        <v>0.24</v>
      </c>
      <c r="CB44" t="s">
        <v>53</v>
      </c>
      <c r="CC44" t="s">
        <v>355</v>
      </c>
      <c r="CD44">
        <v>111074</v>
      </c>
      <c r="CE44" t="s">
        <v>346</v>
      </c>
      <c r="CF44">
        <v>0.22</v>
      </c>
      <c r="CG44" t="s">
        <v>53</v>
      </c>
      <c r="CH44" t="s">
        <v>1120</v>
      </c>
      <c r="CI44">
        <v>4724324</v>
      </c>
      <c r="CJ44" t="s">
        <v>346</v>
      </c>
      <c r="CK44">
        <v>0.17</v>
      </c>
      <c r="CL44" t="s">
        <v>53</v>
      </c>
      <c r="CM44" t="s">
        <v>1615</v>
      </c>
      <c r="CN44">
        <v>4048646</v>
      </c>
      <c r="CO44" t="s">
        <v>364</v>
      </c>
      <c r="CP44">
        <v>0.26</v>
      </c>
      <c r="CQ44" t="s">
        <v>53</v>
      </c>
      <c r="CV44" t="s">
        <v>306</v>
      </c>
      <c r="DA44" t="s">
        <v>306</v>
      </c>
      <c r="DB44" t="s">
        <v>964</v>
      </c>
      <c r="DC44">
        <v>110829</v>
      </c>
      <c r="DD44" t="s">
        <v>346</v>
      </c>
      <c r="DE44">
        <v>0.35</v>
      </c>
      <c r="DF44" t="s">
        <v>53</v>
      </c>
      <c r="DK44" t="s">
        <v>306</v>
      </c>
      <c r="DL44" t="s">
        <v>964</v>
      </c>
      <c r="DM44">
        <v>110829</v>
      </c>
      <c r="DN44" t="s">
        <v>346</v>
      </c>
      <c r="DO44">
        <v>0.35</v>
      </c>
      <c r="DP44" t="s">
        <v>53</v>
      </c>
      <c r="DU44" t="s">
        <v>306</v>
      </c>
      <c r="DV44" t="s">
        <v>415</v>
      </c>
      <c r="DW44">
        <v>110587</v>
      </c>
      <c r="DX44" t="s">
        <v>346</v>
      </c>
      <c r="DY44">
        <v>0.01</v>
      </c>
      <c r="DZ44" t="s">
        <v>53</v>
      </c>
      <c r="EA44" t="s">
        <v>355</v>
      </c>
      <c r="EB44">
        <v>111074</v>
      </c>
      <c r="EC44" t="s">
        <v>346</v>
      </c>
      <c r="ED44">
        <v>0.22</v>
      </c>
      <c r="EE44" t="s">
        <v>53</v>
      </c>
      <c r="EF44" t="s">
        <v>964</v>
      </c>
      <c r="EG44">
        <v>110829</v>
      </c>
      <c r="EH44" t="s">
        <v>346</v>
      </c>
      <c r="EI44">
        <v>0.35</v>
      </c>
      <c r="EJ44" t="s">
        <v>53</v>
      </c>
      <c r="EO44" t="s">
        <v>306</v>
      </c>
      <c r="EP44" t="s">
        <v>399</v>
      </c>
      <c r="EQ44">
        <v>4026948</v>
      </c>
      <c r="ER44" t="s">
        <v>346</v>
      </c>
      <c r="ES44">
        <v>0.01</v>
      </c>
      <c r="ET44" t="s">
        <v>317</v>
      </c>
      <c r="EY44" t="s">
        <v>306</v>
      </c>
      <c r="EZ44" t="s">
        <v>1941</v>
      </c>
      <c r="FA44" t="s">
        <v>300</v>
      </c>
      <c r="FB44" t="s">
        <v>361</v>
      </c>
      <c r="FC44">
        <v>0</v>
      </c>
      <c r="FD44" t="s">
        <v>50</v>
      </c>
      <c r="FE44" t="s">
        <v>937</v>
      </c>
      <c r="FF44">
        <v>4041896</v>
      </c>
      <c r="FG44" t="s">
        <v>366</v>
      </c>
      <c r="FH44">
        <v>0</v>
      </c>
      <c r="FI44" t="s">
        <v>53</v>
      </c>
      <c r="FJ44" t="s">
        <v>357</v>
      </c>
      <c r="FK44">
        <v>4270330</v>
      </c>
      <c r="FL44" t="s">
        <v>346</v>
      </c>
      <c r="FM44">
        <v>7.0000000000000007E-2</v>
      </c>
      <c r="FN44" t="s">
        <v>53</v>
      </c>
      <c r="FS44" t="s">
        <v>306</v>
      </c>
      <c r="FT44" t="s">
        <v>404</v>
      </c>
      <c r="FU44">
        <v>4383779</v>
      </c>
      <c r="FV44" t="s">
        <v>346</v>
      </c>
      <c r="FW44">
        <v>0</v>
      </c>
      <c r="FX44" t="s">
        <v>53</v>
      </c>
      <c r="FY44" t="s">
        <v>964</v>
      </c>
      <c r="FZ44">
        <v>110829</v>
      </c>
      <c r="GA44" t="s">
        <v>346</v>
      </c>
      <c r="GB44">
        <v>0.35</v>
      </c>
      <c r="GC44" t="s">
        <v>53</v>
      </c>
      <c r="GD44" t="s">
        <v>1941</v>
      </c>
      <c r="GE44" t="s">
        <v>300</v>
      </c>
      <c r="GF44" t="s">
        <v>361</v>
      </c>
      <c r="GG44">
        <v>0</v>
      </c>
      <c r="GH44" t="s">
        <v>50</v>
      </c>
      <c r="GI44" t="s">
        <v>937</v>
      </c>
      <c r="GJ44">
        <v>4041896</v>
      </c>
      <c r="GK44" t="s">
        <v>366</v>
      </c>
      <c r="GL44">
        <v>0</v>
      </c>
      <c r="GM44" t="s">
        <v>53</v>
      </c>
      <c r="GN44" t="s">
        <v>357</v>
      </c>
      <c r="GO44">
        <v>4270330</v>
      </c>
      <c r="GP44" t="s">
        <v>346</v>
      </c>
      <c r="GQ44">
        <v>7.0000000000000007E-2</v>
      </c>
      <c r="GR44" t="s">
        <v>53</v>
      </c>
      <c r="GS44" t="s">
        <v>673</v>
      </c>
      <c r="GT44">
        <v>5837129</v>
      </c>
      <c r="GU44" t="s">
        <v>346</v>
      </c>
      <c r="GV44">
        <v>7.0000000000000007E-2</v>
      </c>
      <c r="GW44" t="s">
        <v>50</v>
      </c>
      <c r="GX44" t="s">
        <v>355</v>
      </c>
      <c r="GY44">
        <v>111074</v>
      </c>
      <c r="GZ44" t="s">
        <v>346</v>
      </c>
      <c r="HA44">
        <v>0.22</v>
      </c>
      <c r="HB44" t="s">
        <v>53</v>
      </c>
      <c r="HG44" t="s">
        <v>306</v>
      </c>
    </row>
    <row r="45" spans="5:215" x14ac:dyDescent="0.35">
      <c r="E45" t="s">
        <v>306</v>
      </c>
      <c r="F45" t="s">
        <v>411</v>
      </c>
      <c r="G45">
        <v>4272373</v>
      </c>
      <c r="H45" t="s">
        <v>346</v>
      </c>
      <c r="I45">
        <v>0.08</v>
      </c>
      <c r="J45" t="s">
        <v>313</v>
      </c>
      <c r="K45" t="s">
        <v>653</v>
      </c>
      <c r="L45">
        <v>4100281</v>
      </c>
      <c r="M45" t="s">
        <v>346</v>
      </c>
      <c r="N45">
        <v>0.03</v>
      </c>
      <c r="O45" t="s">
        <v>326</v>
      </c>
      <c r="T45" t="s">
        <v>306</v>
      </c>
      <c r="U45" t="s">
        <v>670</v>
      </c>
      <c r="V45">
        <v>4138799</v>
      </c>
      <c r="W45" t="s">
        <v>346</v>
      </c>
      <c r="X45">
        <v>0.23</v>
      </c>
      <c r="Y45" t="s">
        <v>50</v>
      </c>
      <c r="Z45" t="s">
        <v>653</v>
      </c>
      <c r="AA45">
        <v>4100281</v>
      </c>
      <c r="AB45" t="s">
        <v>346</v>
      </c>
      <c r="AC45">
        <v>0.03</v>
      </c>
      <c r="AD45" t="s">
        <v>326</v>
      </c>
      <c r="AE45" t="s">
        <v>1118</v>
      </c>
      <c r="AF45">
        <v>4026972</v>
      </c>
      <c r="AG45" t="s">
        <v>346</v>
      </c>
      <c r="AH45">
        <v>0.09</v>
      </c>
      <c r="AI45" t="s">
        <v>53</v>
      </c>
      <c r="AN45" t="s">
        <v>306</v>
      </c>
      <c r="AO45" t="s">
        <v>1263</v>
      </c>
      <c r="AP45">
        <v>5760616</v>
      </c>
      <c r="AQ45" t="s">
        <v>346</v>
      </c>
      <c r="AR45">
        <v>0.17</v>
      </c>
      <c r="AS45" t="s">
        <v>62</v>
      </c>
      <c r="AX45" t="s">
        <v>306</v>
      </c>
      <c r="AY45" t="s">
        <v>687</v>
      </c>
      <c r="AZ45">
        <v>4368709</v>
      </c>
      <c r="BA45" t="s">
        <v>346</v>
      </c>
      <c r="BB45">
        <v>0.03</v>
      </c>
      <c r="BC45" t="s">
        <v>50</v>
      </c>
      <c r="BD45" t="s">
        <v>432</v>
      </c>
      <c r="BE45">
        <v>110092</v>
      </c>
      <c r="BF45" t="s">
        <v>346</v>
      </c>
      <c r="BG45">
        <v>0.34</v>
      </c>
      <c r="BH45" t="s">
        <v>53</v>
      </c>
      <c r="BI45" t="s">
        <v>501</v>
      </c>
      <c r="BJ45">
        <v>111359</v>
      </c>
      <c r="BK45" t="s">
        <v>346</v>
      </c>
      <c r="BL45">
        <v>0.15</v>
      </c>
      <c r="BM45" t="s">
        <v>53</v>
      </c>
      <c r="BN45" t="s">
        <v>411</v>
      </c>
      <c r="BO45">
        <v>4272373</v>
      </c>
      <c r="BP45" t="s">
        <v>346</v>
      </c>
      <c r="BQ45">
        <v>7.0000000000000007E-2</v>
      </c>
      <c r="BR45" t="s">
        <v>313</v>
      </c>
      <c r="BS45" t="s">
        <v>387</v>
      </c>
      <c r="BT45">
        <v>4020980</v>
      </c>
      <c r="BU45" t="s">
        <v>346</v>
      </c>
      <c r="BV45">
        <v>0.17</v>
      </c>
      <c r="BW45" t="s">
        <v>2189</v>
      </c>
      <c r="BX45" t="s">
        <v>670</v>
      </c>
      <c r="BY45">
        <v>4138799</v>
      </c>
      <c r="BZ45" t="s">
        <v>346</v>
      </c>
      <c r="CA45">
        <v>0.23</v>
      </c>
      <c r="CB45" t="s">
        <v>50</v>
      </c>
      <c r="CC45" t="s">
        <v>1621</v>
      </c>
      <c r="CD45">
        <v>5743773</v>
      </c>
      <c r="CE45" t="s">
        <v>346</v>
      </c>
      <c r="CF45">
        <v>0.21</v>
      </c>
      <c r="CG45" t="s">
        <v>53</v>
      </c>
      <c r="CH45" t="s">
        <v>1263</v>
      </c>
      <c r="CI45">
        <v>5760616</v>
      </c>
      <c r="CJ45" t="s">
        <v>346</v>
      </c>
      <c r="CK45">
        <v>0.17</v>
      </c>
      <c r="CL45" t="s">
        <v>62</v>
      </c>
      <c r="CM45" t="s">
        <v>378</v>
      </c>
      <c r="CN45">
        <v>4048184</v>
      </c>
      <c r="CO45" t="s">
        <v>346</v>
      </c>
      <c r="CP45">
        <v>0.24</v>
      </c>
      <c r="CQ45" t="s">
        <v>80</v>
      </c>
      <c r="CV45" t="s">
        <v>306</v>
      </c>
      <c r="DA45" t="s">
        <v>306</v>
      </c>
      <c r="DB45" t="s">
        <v>432</v>
      </c>
      <c r="DC45">
        <v>110092</v>
      </c>
      <c r="DD45" t="s">
        <v>346</v>
      </c>
      <c r="DE45">
        <v>0.34</v>
      </c>
      <c r="DF45" t="s">
        <v>53</v>
      </c>
      <c r="DK45" t="s">
        <v>306</v>
      </c>
      <c r="DL45" t="s">
        <v>432</v>
      </c>
      <c r="DM45">
        <v>110092</v>
      </c>
      <c r="DN45" t="s">
        <v>346</v>
      </c>
      <c r="DO45">
        <v>0.34</v>
      </c>
      <c r="DP45" t="s">
        <v>53</v>
      </c>
      <c r="DU45" t="s">
        <v>306</v>
      </c>
      <c r="DV45" t="s">
        <v>406</v>
      </c>
      <c r="DW45">
        <v>4115698</v>
      </c>
      <c r="DX45" t="s">
        <v>346</v>
      </c>
      <c r="DY45">
        <v>0.01</v>
      </c>
      <c r="DZ45" t="s">
        <v>313</v>
      </c>
      <c r="EA45" t="s">
        <v>1621</v>
      </c>
      <c r="EB45">
        <v>5743773</v>
      </c>
      <c r="EC45" t="s">
        <v>346</v>
      </c>
      <c r="ED45">
        <v>0.21</v>
      </c>
      <c r="EE45" t="s">
        <v>53</v>
      </c>
      <c r="EF45" t="s">
        <v>432</v>
      </c>
      <c r="EG45">
        <v>110092</v>
      </c>
      <c r="EH45" t="s">
        <v>346</v>
      </c>
      <c r="EI45">
        <v>0.34</v>
      </c>
      <c r="EJ45" t="s">
        <v>53</v>
      </c>
      <c r="EO45" t="s">
        <v>306</v>
      </c>
      <c r="EP45" t="s">
        <v>496</v>
      </c>
      <c r="EQ45">
        <v>110495</v>
      </c>
      <c r="ER45" t="s">
        <v>346</v>
      </c>
      <c r="ES45">
        <v>0.01</v>
      </c>
      <c r="ET45" t="s">
        <v>53</v>
      </c>
      <c r="EY45" t="s">
        <v>306</v>
      </c>
      <c r="EZ45" t="s">
        <v>1942</v>
      </c>
      <c r="FA45" t="s">
        <v>300</v>
      </c>
      <c r="FB45" t="s">
        <v>361</v>
      </c>
      <c r="FC45">
        <v>0</v>
      </c>
      <c r="FD45" t="s">
        <v>50</v>
      </c>
      <c r="FE45" t="s">
        <v>426</v>
      </c>
      <c r="FF45">
        <v>100201</v>
      </c>
      <c r="FG45" t="s">
        <v>366</v>
      </c>
      <c r="FH45">
        <v>-0.62</v>
      </c>
      <c r="FI45" t="s">
        <v>53</v>
      </c>
      <c r="FJ45" t="s">
        <v>477</v>
      </c>
      <c r="FK45">
        <v>4119790</v>
      </c>
      <c r="FL45" t="s">
        <v>346</v>
      </c>
      <c r="FM45">
        <v>7.0000000000000007E-2</v>
      </c>
      <c r="FN45" t="s">
        <v>53</v>
      </c>
      <c r="FS45" t="s">
        <v>306</v>
      </c>
      <c r="FT45" t="s">
        <v>405</v>
      </c>
      <c r="FU45">
        <v>4035990</v>
      </c>
      <c r="FV45" t="s">
        <v>346</v>
      </c>
      <c r="FW45">
        <v>0</v>
      </c>
      <c r="FX45" t="s">
        <v>80</v>
      </c>
      <c r="FY45" t="s">
        <v>432</v>
      </c>
      <c r="FZ45">
        <v>110092</v>
      </c>
      <c r="GA45" t="s">
        <v>346</v>
      </c>
      <c r="GB45">
        <v>0.34</v>
      </c>
      <c r="GC45" t="s">
        <v>53</v>
      </c>
      <c r="GD45" t="s">
        <v>1942</v>
      </c>
      <c r="GE45" t="s">
        <v>300</v>
      </c>
      <c r="GF45" t="s">
        <v>361</v>
      </c>
      <c r="GG45">
        <v>0</v>
      </c>
      <c r="GH45" t="s">
        <v>50</v>
      </c>
      <c r="GI45" t="s">
        <v>426</v>
      </c>
      <c r="GJ45">
        <v>100201</v>
      </c>
      <c r="GK45" t="s">
        <v>366</v>
      </c>
      <c r="GL45">
        <v>-0.62</v>
      </c>
      <c r="GM45" t="s">
        <v>53</v>
      </c>
      <c r="GN45" t="s">
        <v>477</v>
      </c>
      <c r="GO45">
        <v>4119790</v>
      </c>
      <c r="GP45" t="s">
        <v>346</v>
      </c>
      <c r="GQ45">
        <v>7.0000000000000007E-2</v>
      </c>
      <c r="GR45" t="s">
        <v>53</v>
      </c>
      <c r="GS45" t="s">
        <v>411</v>
      </c>
      <c r="GT45">
        <v>4272373</v>
      </c>
      <c r="GU45" t="s">
        <v>346</v>
      </c>
      <c r="GV45">
        <v>7.0000000000000007E-2</v>
      </c>
      <c r="GW45" t="s">
        <v>313</v>
      </c>
      <c r="GX45" t="s">
        <v>1621</v>
      </c>
      <c r="GY45">
        <v>5743773</v>
      </c>
      <c r="GZ45" t="s">
        <v>346</v>
      </c>
      <c r="HA45">
        <v>0.21</v>
      </c>
      <c r="HB45" t="s">
        <v>53</v>
      </c>
      <c r="HG45" t="s">
        <v>306</v>
      </c>
    </row>
    <row r="46" spans="5:215" x14ac:dyDescent="0.35">
      <c r="E46" t="s">
        <v>306</v>
      </c>
      <c r="F46" t="s">
        <v>443</v>
      </c>
      <c r="G46">
        <v>110787</v>
      </c>
      <c r="H46" t="s">
        <v>346</v>
      </c>
      <c r="I46">
        <v>7.0000000000000007E-2</v>
      </c>
      <c r="J46" t="s">
        <v>53</v>
      </c>
      <c r="K46" t="s">
        <v>357</v>
      </c>
      <c r="L46">
        <v>4270330</v>
      </c>
      <c r="M46" t="s">
        <v>346</v>
      </c>
      <c r="N46">
        <v>0.03</v>
      </c>
      <c r="O46" t="s">
        <v>53</v>
      </c>
      <c r="T46" t="s">
        <v>306</v>
      </c>
      <c r="U46" t="s">
        <v>387</v>
      </c>
      <c r="V46">
        <v>4020980</v>
      </c>
      <c r="W46" t="s">
        <v>346</v>
      </c>
      <c r="X46">
        <v>0.22</v>
      </c>
      <c r="Y46" t="s">
        <v>2189</v>
      </c>
      <c r="Z46" t="s">
        <v>357</v>
      </c>
      <c r="AA46">
        <v>4270330</v>
      </c>
      <c r="AB46" t="s">
        <v>346</v>
      </c>
      <c r="AC46">
        <v>0.03</v>
      </c>
      <c r="AD46" t="s">
        <v>53</v>
      </c>
      <c r="AE46" t="s">
        <v>1092</v>
      </c>
      <c r="AF46">
        <v>27584974</v>
      </c>
      <c r="AG46" t="s">
        <v>346</v>
      </c>
      <c r="AH46">
        <v>0.08</v>
      </c>
      <c r="AI46" t="s">
        <v>80</v>
      </c>
      <c r="AN46" t="s">
        <v>306</v>
      </c>
      <c r="AO46" t="s">
        <v>1264</v>
      </c>
      <c r="AP46">
        <v>4137948</v>
      </c>
      <c r="AQ46" t="s">
        <v>346</v>
      </c>
      <c r="AR46">
        <v>0.17</v>
      </c>
      <c r="AS46" t="s">
        <v>62</v>
      </c>
      <c r="AX46" t="s">
        <v>306</v>
      </c>
      <c r="AY46" t="s">
        <v>396</v>
      </c>
      <c r="AZ46">
        <v>4119759</v>
      </c>
      <c r="BA46" t="s">
        <v>346</v>
      </c>
      <c r="BB46">
        <v>0.02</v>
      </c>
      <c r="BC46" t="s">
        <v>53</v>
      </c>
      <c r="BD46" t="s">
        <v>437</v>
      </c>
      <c r="BE46">
        <v>4102073</v>
      </c>
      <c r="BF46" t="s">
        <v>346</v>
      </c>
      <c r="BG46">
        <v>0.33</v>
      </c>
      <c r="BH46" t="s">
        <v>53</v>
      </c>
      <c r="BI46" t="s">
        <v>378</v>
      </c>
      <c r="BJ46">
        <v>4048184</v>
      </c>
      <c r="BK46" t="s">
        <v>346</v>
      </c>
      <c r="BL46">
        <v>0.15</v>
      </c>
      <c r="BM46" t="s">
        <v>80</v>
      </c>
      <c r="BN46" t="s">
        <v>641</v>
      </c>
      <c r="BO46">
        <v>4820048</v>
      </c>
      <c r="BP46" t="s">
        <v>346</v>
      </c>
      <c r="BQ46">
        <v>7.0000000000000007E-2</v>
      </c>
      <c r="BR46" t="s">
        <v>50</v>
      </c>
      <c r="BS46" t="s">
        <v>736</v>
      </c>
      <c r="BT46">
        <v>4139955</v>
      </c>
      <c r="BU46" t="s">
        <v>346</v>
      </c>
      <c r="BV46">
        <v>0.17</v>
      </c>
      <c r="BW46" t="s">
        <v>2181</v>
      </c>
      <c r="BX46" t="s">
        <v>387</v>
      </c>
      <c r="BY46">
        <v>4020980</v>
      </c>
      <c r="BZ46" t="s">
        <v>346</v>
      </c>
      <c r="CA46">
        <v>0.22</v>
      </c>
      <c r="CB46" t="s">
        <v>2189</v>
      </c>
      <c r="CC46" t="s">
        <v>1622</v>
      </c>
      <c r="CD46">
        <v>4975443</v>
      </c>
      <c r="CE46" t="s">
        <v>364</v>
      </c>
      <c r="CF46">
        <v>0.21</v>
      </c>
      <c r="CG46" t="s">
        <v>53</v>
      </c>
      <c r="CH46" t="s">
        <v>1264</v>
      </c>
      <c r="CI46">
        <v>4137948</v>
      </c>
      <c r="CJ46" t="s">
        <v>346</v>
      </c>
      <c r="CK46">
        <v>0.17</v>
      </c>
      <c r="CL46" t="s">
        <v>62</v>
      </c>
      <c r="CM46" t="s">
        <v>411</v>
      </c>
      <c r="CN46">
        <v>4272373</v>
      </c>
      <c r="CO46" t="s">
        <v>346</v>
      </c>
      <c r="CP46">
        <v>0.24</v>
      </c>
      <c r="CQ46" t="s">
        <v>313</v>
      </c>
      <c r="CV46" t="s">
        <v>306</v>
      </c>
      <c r="DA46" t="s">
        <v>306</v>
      </c>
      <c r="DB46" t="s">
        <v>437</v>
      </c>
      <c r="DC46">
        <v>4102073</v>
      </c>
      <c r="DD46" t="s">
        <v>346</v>
      </c>
      <c r="DE46">
        <v>0.33</v>
      </c>
      <c r="DF46" t="s">
        <v>53</v>
      </c>
      <c r="DK46" t="s">
        <v>306</v>
      </c>
      <c r="DL46" t="s">
        <v>437</v>
      </c>
      <c r="DM46">
        <v>4102073</v>
      </c>
      <c r="DN46" t="s">
        <v>346</v>
      </c>
      <c r="DO46">
        <v>0.33</v>
      </c>
      <c r="DP46" t="s">
        <v>53</v>
      </c>
      <c r="DU46" t="s">
        <v>306</v>
      </c>
      <c r="DV46" t="s">
        <v>461</v>
      </c>
      <c r="DW46">
        <v>4137912</v>
      </c>
      <c r="DX46" t="s">
        <v>346</v>
      </c>
      <c r="DY46">
        <v>0.01</v>
      </c>
      <c r="DZ46" t="s">
        <v>2185</v>
      </c>
      <c r="EA46" t="s">
        <v>1622</v>
      </c>
      <c r="EB46">
        <v>4975443</v>
      </c>
      <c r="EC46" t="s">
        <v>364</v>
      </c>
      <c r="ED46">
        <v>0.21</v>
      </c>
      <c r="EE46" t="s">
        <v>53</v>
      </c>
      <c r="EF46" t="s">
        <v>437</v>
      </c>
      <c r="EG46">
        <v>4102073</v>
      </c>
      <c r="EH46" t="s">
        <v>346</v>
      </c>
      <c r="EI46">
        <v>0.33</v>
      </c>
      <c r="EJ46" t="s">
        <v>53</v>
      </c>
      <c r="EO46" t="s">
        <v>306</v>
      </c>
      <c r="EP46" t="s">
        <v>668</v>
      </c>
      <c r="EQ46">
        <v>109523595</v>
      </c>
      <c r="ER46" t="s">
        <v>346</v>
      </c>
      <c r="ES46">
        <v>0.01</v>
      </c>
      <c r="ET46" t="s">
        <v>50</v>
      </c>
      <c r="EY46" t="s">
        <v>306</v>
      </c>
      <c r="EZ46" t="s">
        <v>1943</v>
      </c>
      <c r="FA46" t="s">
        <v>300</v>
      </c>
      <c r="FB46" t="s">
        <v>361</v>
      </c>
      <c r="FC46">
        <v>0</v>
      </c>
      <c r="FD46" t="s">
        <v>50</v>
      </c>
      <c r="FE46" t="s">
        <v>425</v>
      </c>
      <c r="FF46">
        <v>4137704</v>
      </c>
      <c r="FG46" t="s">
        <v>346</v>
      </c>
      <c r="FH46">
        <v>-0.79</v>
      </c>
      <c r="FI46" t="s">
        <v>304</v>
      </c>
      <c r="FJ46" t="s">
        <v>411</v>
      </c>
      <c r="FK46">
        <v>4272373</v>
      </c>
      <c r="FL46" t="s">
        <v>346</v>
      </c>
      <c r="FM46">
        <v>7.0000000000000007E-2</v>
      </c>
      <c r="FN46" t="s">
        <v>313</v>
      </c>
      <c r="FS46" t="s">
        <v>306</v>
      </c>
      <c r="FT46" t="s">
        <v>406</v>
      </c>
      <c r="FU46">
        <v>4115698</v>
      </c>
      <c r="FV46" t="s">
        <v>346</v>
      </c>
      <c r="FW46">
        <v>0</v>
      </c>
      <c r="FX46" t="s">
        <v>313</v>
      </c>
      <c r="FY46" t="s">
        <v>437</v>
      </c>
      <c r="FZ46">
        <v>4102073</v>
      </c>
      <c r="GA46" t="s">
        <v>346</v>
      </c>
      <c r="GB46">
        <v>0.33</v>
      </c>
      <c r="GC46" t="s">
        <v>53</v>
      </c>
      <c r="GD46" t="s">
        <v>1943</v>
      </c>
      <c r="GE46" t="s">
        <v>300</v>
      </c>
      <c r="GF46" t="s">
        <v>361</v>
      </c>
      <c r="GG46">
        <v>0</v>
      </c>
      <c r="GH46" t="s">
        <v>50</v>
      </c>
      <c r="GI46" t="s">
        <v>425</v>
      </c>
      <c r="GJ46">
        <v>4137704</v>
      </c>
      <c r="GK46" t="s">
        <v>346</v>
      </c>
      <c r="GL46">
        <v>-0.79</v>
      </c>
      <c r="GM46" t="s">
        <v>304</v>
      </c>
      <c r="GN46" t="s">
        <v>411</v>
      </c>
      <c r="GO46">
        <v>4272373</v>
      </c>
      <c r="GP46" t="s">
        <v>346</v>
      </c>
      <c r="GQ46">
        <v>7.0000000000000007E-2</v>
      </c>
      <c r="GR46" t="s">
        <v>313</v>
      </c>
      <c r="GS46" t="s">
        <v>641</v>
      </c>
      <c r="GT46">
        <v>4820048</v>
      </c>
      <c r="GU46" t="s">
        <v>346</v>
      </c>
      <c r="GV46">
        <v>7.0000000000000007E-2</v>
      </c>
      <c r="GW46" t="s">
        <v>50</v>
      </c>
      <c r="GX46" t="s">
        <v>1622</v>
      </c>
      <c r="GY46">
        <v>4975443</v>
      </c>
      <c r="GZ46" t="s">
        <v>364</v>
      </c>
      <c r="HA46">
        <v>0.21</v>
      </c>
      <c r="HB46" t="s">
        <v>53</v>
      </c>
      <c r="HG46" t="s">
        <v>306</v>
      </c>
    </row>
    <row r="47" spans="5:215" x14ac:dyDescent="0.35">
      <c r="E47" t="s">
        <v>306</v>
      </c>
      <c r="F47" t="s">
        <v>444</v>
      </c>
      <c r="G47">
        <v>109988</v>
      </c>
      <c r="H47" t="s">
        <v>346</v>
      </c>
      <c r="I47">
        <v>7.0000000000000007E-2</v>
      </c>
      <c r="J47" t="s">
        <v>53</v>
      </c>
      <c r="K47" t="s">
        <v>477</v>
      </c>
      <c r="L47">
        <v>4119790</v>
      </c>
      <c r="M47" t="s">
        <v>346</v>
      </c>
      <c r="N47">
        <v>0.02</v>
      </c>
      <c r="O47" t="s">
        <v>53</v>
      </c>
      <c r="T47" t="s">
        <v>306</v>
      </c>
      <c r="U47" t="s">
        <v>552</v>
      </c>
      <c r="V47">
        <v>4026973</v>
      </c>
      <c r="W47" t="s">
        <v>346</v>
      </c>
      <c r="X47">
        <v>0.22</v>
      </c>
      <c r="Y47" t="s">
        <v>313</v>
      </c>
      <c r="Z47" t="s">
        <v>477</v>
      </c>
      <c r="AA47">
        <v>4119790</v>
      </c>
      <c r="AB47" t="s">
        <v>346</v>
      </c>
      <c r="AC47">
        <v>0.02</v>
      </c>
      <c r="AD47" t="s">
        <v>53</v>
      </c>
      <c r="AE47" t="s">
        <v>429</v>
      </c>
      <c r="AF47">
        <v>4607441</v>
      </c>
      <c r="AG47" t="s">
        <v>346</v>
      </c>
      <c r="AH47">
        <v>0.08</v>
      </c>
      <c r="AI47" t="s">
        <v>304</v>
      </c>
      <c r="AN47" t="s">
        <v>306</v>
      </c>
      <c r="AO47" t="s">
        <v>357</v>
      </c>
      <c r="AP47">
        <v>4270330</v>
      </c>
      <c r="AQ47" t="s">
        <v>346</v>
      </c>
      <c r="AR47">
        <v>0.17</v>
      </c>
      <c r="AS47" t="s">
        <v>53</v>
      </c>
      <c r="AX47" t="s">
        <v>306</v>
      </c>
      <c r="AY47" t="s">
        <v>675</v>
      </c>
      <c r="AZ47">
        <v>4548312</v>
      </c>
      <c r="BA47" t="s">
        <v>346</v>
      </c>
      <c r="BB47">
        <v>0.02</v>
      </c>
      <c r="BC47" t="s">
        <v>50</v>
      </c>
      <c r="BD47" t="s">
        <v>524</v>
      </c>
      <c r="BE47">
        <v>4147331</v>
      </c>
      <c r="BF47" t="s">
        <v>346</v>
      </c>
      <c r="BG47">
        <v>0.33</v>
      </c>
      <c r="BH47" t="s">
        <v>313</v>
      </c>
      <c r="BI47" t="s">
        <v>1172</v>
      </c>
      <c r="BJ47">
        <v>4118152</v>
      </c>
      <c r="BK47" t="s">
        <v>346</v>
      </c>
      <c r="BL47">
        <v>0.13</v>
      </c>
      <c r="BM47" t="s">
        <v>53</v>
      </c>
      <c r="BN47" t="s">
        <v>639</v>
      </c>
      <c r="BO47">
        <v>4139311</v>
      </c>
      <c r="BP47" t="s">
        <v>346</v>
      </c>
      <c r="BQ47">
        <v>0.06</v>
      </c>
      <c r="BR47" t="s">
        <v>50</v>
      </c>
      <c r="BS47" t="s">
        <v>950</v>
      </c>
      <c r="BT47">
        <v>4306965</v>
      </c>
      <c r="BU47" t="s">
        <v>369</v>
      </c>
      <c r="BV47">
        <v>0.17</v>
      </c>
      <c r="BW47" t="s">
        <v>2181</v>
      </c>
      <c r="BX47" t="s">
        <v>552</v>
      </c>
      <c r="BY47">
        <v>4026973</v>
      </c>
      <c r="BZ47" t="s">
        <v>346</v>
      </c>
      <c r="CA47">
        <v>0.22</v>
      </c>
      <c r="CB47" t="s">
        <v>313</v>
      </c>
      <c r="CC47" t="s">
        <v>763</v>
      </c>
      <c r="CD47">
        <v>110153</v>
      </c>
      <c r="CE47" t="s">
        <v>364</v>
      </c>
      <c r="CF47">
        <v>0.2</v>
      </c>
      <c r="CG47" t="s">
        <v>53</v>
      </c>
      <c r="CH47" t="s">
        <v>357</v>
      </c>
      <c r="CI47">
        <v>4270330</v>
      </c>
      <c r="CJ47" t="s">
        <v>346</v>
      </c>
      <c r="CK47">
        <v>0.17</v>
      </c>
      <c r="CL47" t="s">
        <v>53</v>
      </c>
      <c r="CM47" t="s">
        <v>605</v>
      </c>
      <c r="CN47">
        <v>111489</v>
      </c>
      <c r="CO47" t="s">
        <v>346</v>
      </c>
      <c r="CP47">
        <v>0.24</v>
      </c>
      <c r="CQ47" t="s">
        <v>53</v>
      </c>
      <c r="CV47" t="s">
        <v>306</v>
      </c>
      <c r="DA47" t="s">
        <v>306</v>
      </c>
      <c r="DB47" t="s">
        <v>524</v>
      </c>
      <c r="DC47">
        <v>4147331</v>
      </c>
      <c r="DD47" t="s">
        <v>346</v>
      </c>
      <c r="DE47">
        <v>0.33</v>
      </c>
      <c r="DF47" t="s">
        <v>313</v>
      </c>
      <c r="DK47" t="s">
        <v>306</v>
      </c>
      <c r="DL47" t="s">
        <v>524</v>
      </c>
      <c r="DM47">
        <v>4147331</v>
      </c>
      <c r="DN47" t="s">
        <v>346</v>
      </c>
      <c r="DO47">
        <v>0.33</v>
      </c>
      <c r="DP47" t="s">
        <v>313</v>
      </c>
      <c r="DU47" t="s">
        <v>306</v>
      </c>
      <c r="DV47" t="s">
        <v>396</v>
      </c>
      <c r="DW47">
        <v>4119759</v>
      </c>
      <c r="DX47" t="s">
        <v>346</v>
      </c>
      <c r="DY47">
        <v>0.01</v>
      </c>
      <c r="DZ47" t="s">
        <v>53</v>
      </c>
      <c r="EA47" t="s">
        <v>763</v>
      </c>
      <c r="EB47">
        <v>110153</v>
      </c>
      <c r="EC47" t="s">
        <v>364</v>
      </c>
      <c r="ED47">
        <v>0.2</v>
      </c>
      <c r="EE47" t="s">
        <v>53</v>
      </c>
      <c r="EF47" t="s">
        <v>524</v>
      </c>
      <c r="EG47">
        <v>4147331</v>
      </c>
      <c r="EH47" t="s">
        <v>346</v>
      </c>
      <c r="EI47">
        <v>0.33</v>
      </c>
      <c r="EJ47" t="s">
        <v>313</v>
      </c>
      <c r="EO47" t="s">
        <v>306</v>
      </c>
      <c r="EP47" t="s">
        <v>415</v>
      </c>
      <c r="EQ47">
        <v>110587</v>
      </c>
      <c r="ER47" t="s">
        <v>346</v>
      </c>
      <c r="ES47">
        <v>0.01</v>
      </c>
      <c r="ET47" t="s">
        <v>53</v>
      </c>
      <c r="EY47" t="s">
        <v>306</v>
      </c>
      <c r="EZ47" t="s">
        <v>1944</v>
      </c>
      <c r="FA47" t="s">
        <v>300</v>
      </c>
      <c r="FB47" t="s">
        <v>361</v>
      </c>
      <c r="FC47">
        <v>0</v>
      </c>
      <c r="FD47" t="s">
        <v>50</v>
      </c>
      <c r="FE47" t="s">
        <v>1413</v>
      </c>
      <c r="FF47">
        <v>3006816</v>
      </c>
      <c r="FG47" t="s">
        <v>366</v>
      </c>
      <c r="FH47">
        <v>-0.97</v>
      </c>
      <c r="FI47" t="s">
        <v>53</v>
      </c>
      <c r="FJ47" t="s">
        <v>447</v>
      </c>
      <c r="FK47">
        <v>4138513</v>
      </c>
      <c r="FL47" t="s">
        <v>346</v>
      </c>
      <c r="FM47">
        <v>0.06</v>
      </c>
      <c r="FN47" t="s">
        <v>304</v>
      </c>
      <c r="FS47" t="s">
        <v>306</v>
      </c>
      <c r="FT47" t="s">
        <v>407</v>
      </c>
      <c r="FU47">
        <v>109754</v>
      </c>
      <c r="FV47" t="s">
        <v>346</v>
      </c>
      <c r="FW47">
        <v>0</v>
      </c>
      <c r="FX47" t="s">
        <v>53</v>
      </c>
      <c r="FY47" t="s">
        <v>524</v>
      </c>
      <c r="FZ47">
        <v>4147331</v>
      </c>
      <c r="GA47" t="s">
        <v>346</v>
      </c>
      <c r="GB47">
        <v>0.33</v>
      </c>
      <c r="GC47" t="s">
        <v>313</v>
      </c>
      <c r="GD47" t="s">
        <v>1944</v>
      </c>
      <c r="GE47" t="s">
        <v>300</v>
      </c>
      <c r="GF47" t="s">
        <v>361</v>
      </c>
      <c r="GG47">
        <v>0</v>
      </c>
      <c r="GH47" t="s">
        <v>50</v>
      </c>
      <c r="GI47" t="s">
        <v>1413</v>
      </c>
      <c r="GJ47">
        <v>3006816</v>
      </c>
      <c r="GK47" t="s">
        <v>366</v>
      </c>
      <c r="GL47">
        <v>-0.97</v>
      </c>
      <c r="GM47" t="s">
        <v>53</v>
      </c>
      <c r="GN47" t="s">
        <v>447</v>
      </c>
      <c r="GO47">
        <v>4138513</v>
      </c>
      <c r="GP47" t="s">
        <v>346</v>
      </c>
      <c r="GQ47">
        <v>0.06</v>
      </c>
      <c r="GR47" t="s">
        <v>304</v>
      </c>
      <c r="GS47" t="s">
        <v>639</v>
      </c>
      <c r="GT47">
        <v>4139311</v>
      </c>
      <c r="GU47" t="s">
        <v>346</v>
      </c>
      <c r="GV47">
        <v>0.06</v>
      </c>
      <c r="GW47" t="s">
        <v>50</v>
      </c>
      <c r="GX47" t="s">
        <v>763</v>
      </c>
      <c r="GY47">
        <v>110153</v>
      </c>
      <c r="GZ47" t="s">
        <v>364</v>
      </c>
      <c r="HA47">
        <v>0.2</v>
      </c>
      <c r="HB47" t="s">
        <v>53</v>
      </c>
      <c r="HG47" t="s">
        <v>306</v>
      </c>
    </row>
    <row r="48" spans="5:215" x14ac:dyDescent="0.35">
      <c r="E48" t="s">
        <v>306</v>
      </c>
      <c r="F48" t="s">
        <v>445</v>
      </c>
      <c r="G48">
        <v>4241120</v>
      </c>
      <c r="H48" t="s">
        <v>346</v>
      </c>
      <c r="I48">
        <v>7.0000000000000007E-2</v>
      </c>
      <c r="J48" t="s">
        <v>2191</v>
      </c>
      <c r="K48" t="s">
        <v>409</v>
      </c>
      <c r="L48">
        <v>102719</v>
      </c>
      <c r="M48" t="s">
        <v>346</v>
      </c>
      <c r="N48">
        <v>0.02</v>
      </c>
      <c r="O48" t="s">
        <v>53</v>
      </c>
      <c r="T48" t="s">
        <v>306</v>
      </c>
      <c r="U48" t="s">
        <v>651</v>
      </c>
      <c r="V48">
        <v>7059915</v>
      </c>
      <c r="W48" t="s">
        <v>346</v>
      </c>
      <c r="X48">
        <v>0.19</v>
      </c>
      <c r="Y48" t="s">
        <v>50</v>
      </c>
      <c r="Z48" t="s">
        <v>409</v>
      </c>
      <c r="AA48">
        <v>102719</v>
      </c>
      <c r="AB48" t="s">
        <v>346</v>
      </c>
      <c r="AC48">
        <v>0.02</v>
      </c>
      <c r="AD48" t="s">
        <v>53</v>
      </c>
      <c r="AE48" t="s">
        <v>442</v>
      </c>
      <c r="AF48">
        <v>4117611</v>
      </c>
      <c r="AG48" t="s">
        <v>346</v>
      </c>
      <c r="AH48">
        <v>0.08</v>
      </c>
      <c r="AI48" t="s">
        <v>53</v>
      </c>
      <c r="AN48" t="s">
        <v>306</v>
      </c>
      <c r="AO48" t="s">
        <v>1210</v>
      </c>
      <c r="AP48">
        <v>4304195</v>
      </c>
      <c r="AQ48" t="s">
        <v>346</v>
      </c>
      <c r="AR48">
        <v>0.14000000000000001</v>
      </c>
      <c r="AS48" t="s">
        <v>62</v>
      </c>
      <c r="AX48" t="s">
        <v>306</v>
      </c>
      <c r="AY48" t="s">
        <v>1228</v>
      </c>
      <c r="AZ48" t="s">
        <v>300</v>
      </c>
      <c r="BA48" t="s">
        <v>361</v>
      </c>
      <c r="BB48">
        <v>0.02</v>
      </c>
      <c r="BC48" t="s">
        <v>50</v>
      </c>
      <c r="BD48" t="s">
        <v>1396</v>
      </c>
      <c r="BE48">
        <v>4219776</v>
      </c>
      <c r="BF48" t="s">
        <v>346</v>
      </c>
      <c r="BG48">
        <v>0.28999999999999998</v>
      </c>
      <c r="BH48" t="s">
        <v>313</v>
      </c>
      <c r="BI48" t="s">
        <v>496</v>
      </c>
      <c r="BJ48">
        <v>110495</v>
      </c>
      <c r="BK48" t="s">
        <v>346</v>
      </c>
      <c r="BL48">
        <v>0.12</v>
      </c>
      <c r="BM48" t="s">
        <v>53</v>
      </c>
      <c r="BN48" t="s">
        <v>972</v>
      </c>
      <c r="BO48">
        <v>4578989</v>
      </c>
      <c r="BP48" t="s">
        <v>346</v>
      </c>
      <c r="BQ48">
        <v>0.06</v>
      </c>
      <c r="BR48" t="s">
        <v>323</v>
      </c>
      <c r="BS48" t="s">
        <v>386</v>
      </c>
      <c r="BT48">
        <v>4145085</v>
      </c>
      <c r="BU48" t="s">
        <v>346</v>
      </c>
      <c r="BV48">
        <v>0.16</v>
      </c>
      <c r="BW48" t="s">
        <v>313</v>
      </c>
      <c r="BX48" t="s">
        <v>651</v>
      </c>
      <c r="BY48">
        <v>7059915</v>
      </c>
      <c r="BZ48" t="s">
        <v>346</v>
      </c>
      <c r="CA48">
        <v>0.19</v>
      </c>
      <c r="CB48" t="s">
        <v>50</v>
      </c>
      <c r="CC48" t="s">
        <v>1623</v>
      </c>
      <c r="CD48">
        <v>4138392</v>
      </c>
      <c r="CE48" t="s">
        <v>363</v>
      </c>
      <c r="CF48">
        <v>0.19</v>
      </c>
      <c r="CG48" t="s">
        <v>80</v>
      </c>
      <c r="CH48" t="s">
        <v>1210</v>
      </c>
      <c r="CI48">
        <v>4304195</v>
      </c>
      <c r="CJ48" t="s">
        <v>346</v>
      </c>
      <c r="CK48">
        <v>0.14000000000000001</v>
      </c>
      <c r="CL48" t="s">
        <v>62</v>
      </c>
      <c r="CM48" t="s">
        <v>1067</v>
      </c>
      <c r="CN48">
        <v>4336776</v>
      </c>
      <c r="CO48" t="s">
        <v>346</v>
      </c>
      <c r="CP48">
        <v>0.24</v>
      </c>
      <c r="CQ48" t="s">
        <v>375</v>
      </c>
      <c r="CV48" t="s">
        <v>306</v>
      </c>
      <c r="DA48" t="s">
        <v>306</v>
      </c>
      <c r="DB48" t="s">
        <v>1396</v>
      </c>
      <c r="DC48">
        <v>4219776</v>
      </c>
      <c r="DD48" t="s">
        <v>346</v>
      </c>
      <c r="DE48">
        <v>0.28999999999999998</v>
      </c>
      <c r="DF48" t="s">
        <v>313</v>
      </c>
      <c r="DK48" t="s">
        <v>306</v>
      </c>
      <c r="DL48" t="s">
        <v>1396</v>
      </c>
      <c r="DM48">
        <v>4219776</v>
      </c>
      <c r="DN48" t="s">
        <v>346</v>
      </c>
      <c r="DO48">
        <v>0.28999999999999998</v>
      </c>
      <c r="DP48" t="s">
        <v>313</v>
      </c>
      <c r="DU48" t="s">
        <v>306</v>
      </c>
      <c r="DV48" t="s">
        <v>496</v>
      </c>
      <c r="DW48">
        <v>110495</v>
      </c>
      <c r="DX48" t="s">
        <v>346</v>
      </c>
      <c r="DY48">
        <v>0.01</v>
      </c>
      <c r="DZ48" t="s">
        <v>53</v>
      </c>
      <c r="EA48" t="s">
        <v>1623</v>
      </c>
      <c r="EB48">
        <v>4138392</v>
      </c>
      <c r="EC48" t="s">
        <v>363</v>
      </c>
      <c r="ED48">
        <v>0.19</v>
      </c>
      <c r="EE48" t="s">
        <v>80</v>
      </c>
      <c r="EF48" t="s">
        <v>1396</v>
      </c>
      <c r="EG48">
        <v>4219776</v>
      </c>
      <c r="EH48" t="s">
        <v>346</v>
      </c>
      <c r="EI48">
        <v>0.28999999999999998</v>
      </c>
      <c r="EJ48" t="s">
        <v>313</v>
      </c>
      <c r="EO48" t="s">
        <v>306</v>
      </c>
      <c r="EP48" t="s">
        <v>554</v>
      </c>
      <c r="EQ48">
        <v>4408592</v>
      </c>
      <c r="ER48" t="s">
        <v>346</v>
      </c>
      <c r="ES48">
        <v>0.01</v>
      </c>
      <c r="ET48" t="s">
        <v>326</v>
      </c>
      <c r="EY48" t="s">
        <v>306</v>
      </c>
      <c r="EZ48" t="s">
        <v>1945</v>
      </c>
      <c r="FA48" t="s">
        <v>300</v>
      </c>
      <c r="FB48" t="s">
        <v>361</v>
      </c>
      <c r="FC48">
        <v>0</v>
      </c>
      <c r="FD48" t="s">
        <v>50</v>
      </c>
      <c r="FE48" t="s">
        <v>380</v>
      </c>
      <c r="FF48">
        <v>4674815</v>
      </c>
      <c r="FG48" t="s">
        <v>346</v>
      </c>
      <c r="FH48">
        <v>-1.69</v>
      </c>
      <c r="FI48" t="s">
        <v>320</v>
      </c>
      <c r="FJ48" t="s">
        <v>510</v>
      </c>
      <c r="FK48">
        <v>4089114</v>
      </c>
      <c r="FL48" t="s">
        <v>346</v>
      </c>
      <c r="FM48">
        <v>0.06</v>
      </c>
      <c r="FN48" t="s">
        <v>53</v>
      </c>
      <c r="FS48" t="s">
        <v>306</v>
      </c>
      <c r="FT48" t="s">
        <v>408</v>
      </c>
      <c r="FU48">
        <v>4138917</v>
      </c>
      <c r="FV48" t="s">
        <v>346</v>
      </c>
      <c r="FW48">
        <v>0</v>
      </c>
      <c r="FX48" t="s">
        <v>125</v>
      </c>
      <c r="FY48" t="s">
        <v>1396</v>
      </c>
      <c r="FZ48">
        <v>4219776</v>
      </c>
      <c r="GA48" t="s">
        <v>346</v>
      </c>
      <c r="GB48">
        <v>0.28999999999999998</v>
      </c>
      <c r="GC48" t="s">
        <v>313</v>
      </c>
      <c r="GD48" t="s">
        <v>1945</v>
      </c>
      <c r="GE48" t="s">
        <v>300</v>
      </c>
      <c r="GF48" t="s">
        <v>361</v>
      </c>
      <c r="GG48">
        <v>0</v>
      </c>
      <c r="GH48" t="s">
        <v>50</v>
      </c>
      <c r="GI48" t="s">
        <v>380</v>
      </c>
      <c r="GJ48">
        <v>4674815</v>
      </c>
      <c r="GK48" t="s">
        <v>346</v>
      </c>
      <c r="GL48">
        <v>-1.69</v>
      </c>
      <c r="GM48" t="s">
        <v>320</v>
      </c>
      <c r="GN48" t="s">
        <v>510</v>
      </c>
      <c r="GO48">
        <v>4089114</v>
      </c>
      <c r="GP48" t="s">
        <v>346</v>
      </c>
      <c r="GQ48">
        <v>0.06</v>
      </c>
      <c r="GR48" t="s">
        <v>53</v>
      </c>
      <c r="GS48" t="s">
        <v>972</v>
      </c>
      <c r="GT48">
        <v>4578989</v>
      </c>
      <c r="GU48" t="s">
        <v>346</v>
      </c>
      <c r="GV48">
        <v>0.06</v>
      </c>
      <c r="GW48" t="s">
        <v>323</v>
      </c>
      <c r="GX48" t="s">
        <v>1623</v>
      </c>
      <c r="GY48">
        <v>4138392</v>
      </c>
      <c r="GZ48" t="s">
        <v>363</v>
      </c>
      <c r="HA48">
        <v>0.19</v>
      </c>
      <c r="HB48" t="s">
        <v>80</v>
      </c>
      <c r="HG48" t="s">
        <v>306</v>
      </c>
    </row>
    <row r="49" spans="5:215" x14ac:dyDescent="0.35">
      <c r="E49" t="s">
        <v>306</v>
      </c>
      <c r="F49" t="s">
        <v>446</v>
      </c>
      <c r="G49">
        <v>4539004</v>
      </c>
      <c r="H49" t="s">
        <v>346</v>
      </c>
      <c r="I49">
        <v>7.0000000000000007E-2</v>
      </c>
      <c r="J49" t="s">
        <v>53</v>
      </c>
      <c r="K49" t="s">
        <v>554</v>
      </c>
      <c r="L49">
        <v>4408592</v>
      </c>
      <c r="M49" t="s">
        <v>346</v>
      </c>
      <c r="N49">
        <v>0.02</v>
      </c>
      <c r="O49" t="s">
        <v>326</v>
      </c>
      <c r="T49" t="s">
        <v>306</v>
      </c>
      <c r="U49" t="s">
        <v>637</v>
      </c>
      <c r="V49">
        <v>4138661</v>
      </c>
      <c r="W49" t="s">
        <v>346</v>
      </c>
      <c r="X49">
        <v>0.19</v>
      </c>
      <c r="Y49" t="s">
        <v>50</v>
      </c>
      <c r="Z49" t="s">
        <v>554</v>
      </c>
      <c r="AA49">
        <v>4408592</v>
      </c>
      <c r="AB49" t="s">
        <v>346</v>
      </c>
      <c r="AC49">
        <v>0.02</v>
      </c>
      <c r="AD49" t="s">
        <v>326</v>
      </c>
      <c r="AE49" t="s">
        <v>408</v>
      </c>
      <c r="AF49">
        <v>4138917</v>
      </c>
      <c r="AG49" t="s">
        <v>346</v>
      </c>
      <c r="AH49">
        <v>7.0000000000000007E-2</v>
      </c>
      <c r="AI49" t="s">
        <v>125</v>
      </c>
      <c r="AN49" t="s">
        <v>306</v>
      </c>
      <c r="AO49" t="s">
        <v>1265</v>
      </c>
      <c r="AP49">
        <v>4118993</v>
      </c>
      <c r="AQ49" t="s">
        <v>346</v>
      </c>
      <c r="AR49">
        <v>0.14000000000000001</v>
      </c>
      <c r="AS49" t="s">
        <v>53</v>
      </c>
      <c r="AX49" t="s">
        <v>306</v>
      </c>
      <c r="AY49" t="s">
        <v>802</v>
      </c>
      <c r="AZ49">
        <v>4345262</v>
      </c>
      <c r="BA49" t="s">
        <v>346</v>
      </c>
      <c r="BB49">
        <v>0.02</v>
      </c>
      <c r="BC49" t="s">
        <v>50</v>
      </c>
      <c r="BD49" t="s">
        <v>482</v>
      </c>
      <c r="BE49">
        <v>4048742</v>
      </c>
      <c r="BF49" t="s">
        <v>346</v>
      </c>
      <c r="BG49">
        <v>0.27</v>
      </c>
      <c r="BH49" t="s">
        <v>80</v>
      </c>
      <c r="BI49" t="s">
        <v>389</v>
      </c>
      <c r="BJ49">
        <v>109888</v>
      </c>
      <c r="BK49" t="s">
        <v>346</v>
      </c>
      <c r="BL49">
        <v>0.12</v>
      </c>
      <c r="BM49" t="s">
        <v>53</v>
      </c>
      <c r="BN49" t="s">
        <v>409</v>
      </c>
      <c r="BO49">
        <v>102719</v>
      </c>
      <c r="BP49" t="s">
        <v>346</v>
      </c>
      <c r="BQ49">
        <v>0.06</v>
      </c>
      <c r="BR49" t="s">
        <v>53</v>
      </c>
      <c r="BS49" t="s">
        <v>524</v>
      </c>
      <c r="BT49">
        <v>4147331</v>
      </c>
      <c r="BU49" t="s">
        <v>346</v>
      </c>
      <c r="BV49">
        <v>0.16</v>
      </c>
      <c r="BW49" t="s">
        <v>313</v>
      </c>
      <c r="BX49" t="s">
        <v>637</v>
      </c>
      <c r="BY49">
        <v>4138661</v>
      </c>
      <c r="BZ49" t="s">
        <v>346</v>
      </c>
      <c r="CA49">
        <v>0.19</v>
      </c>
      <c r="CB49" t="s">
        <v>50</v>
      </c>
      <c r="CC49" t="s">
        <v>412</v>
      </c>
      <c r="CD49">
        <v>109687</v>
      </c>
      <c r="CE49" t="s">
        <v>346</v>
      </c>
      <c r="CF49">
        <v>0.19</v>
      </c>
      <c r="CG49" t="s">
        <v>53</v>
      </c>
      <c r="CH49" t="s">
        <v>1265</v>
      </c>
      <c r="CI49">
        <v>4118993</v>
      </c>
      <c r="CJ49" t="s">
        <v>346</v>
      </c>
      <c r="CK49">
        <v>0.14000000000000001</v>
      </c>
      <c r="CL49" t="s">
        <v>53</v>
      </c>
      <c r="CM49" t="s">
        <v>1260</v>
      </c>
      <c r="CN49">
        <v>4139972</v>
      </c>
      <c r="CO49" t="s">
        <v>346</v>
      </c>
      <c r="CP49">
        <v>0.22</v>
      </c>
      <c r="CQ49" t="s">
        <v>62</v>
      </c>
      <c r="CV49" t="s">
        <v>306</v>
      </c>
      <c r="DA49" t="s">
        <v>306</v>
      </c>
      <c r="DB49" t="s">
        <v>482</v>
      </c>
      <c r="DC49">
        <v>4048742</v>
      </c>
      <c r="DD49" t="s">
        <v>346</v>
      </c>
      <c r="DE49">
        <v>0.27</v>
      </c>
      <c r="DF49" t="s">
        <v>80</v>
      </c>
      <c r="DK49" t="s">
        <v>306</v>
      </c>
      <c r="DL49" t="s">
        <v>482</v>
      </c>
      <c r="DM49">
        <v>4048742</v>
      </c>
      <c r="DN49" t="s">
        <v>346</v>
      </c>
      <c r="DO49">
        <v>0.27</v>
      </c>
      <c r="DP49" t="s">
        <v>80</v>
      </c>
      <c r="DU49" t="s">
        <v>306</v>
      </c>
      <c r="DV49" t="s">
        <v>444</v>
      </c>
      <c r="DW49">
        <v>109988</v>
      </c>
      <c r="DX49" t="s">
        <v>346</v>
      </c>
      <c r="DY49">
        <v>0.01</v>
      </c>
      <c r="DZ49" t="s">
        <v>53</v>
      </c>
      <c r="EA49" t="s">
        <v>412</v>
      </c>
      <c r="EB49">
        <v>109687</v>
      </c>
      <c r="EC49" t="s">
        <v>346</v>
      </c>
      <c r="ED49">
        <v>0.19</v>
      </c>
      <c r="EE49" t="s">
        <v>53</v>
      </c>
      <c r="EF49" t="s">
        <v>482</v>
      </c>
      <c r="EG49">
        <v>4048742</v>
      </c>
      <c r="EH49" t="s">
        <v>346</v>
      </c>
      <c r="EI49">
        <v>0.27</v>
      </c>
      <c r="EJ49" t="s">
        <v>80</v>
      </c>
      <c r="EO49" t="s">
        <v>306</v>
      </c>
      <c r="EP49" t="s">
        <v>677</v>
      </c>
      <c r="EQ49">
        <v>4345260</v>
      </c>
      <c r="ER49" t="s">
        <v>346</v>
      </c>
      <c r="ES49">
        <v>0.01</v>
      </c>
      <c r="ET49" t="s">
        <v>50</v>
      </c>
      <c r="EY49" t="s">
        <v>306</v>
      </c>
      <c r="EZ49" t="s">
        <v>1946</v>
      </c>
      <c r="FA49" t="s">
        <v>300</v>
      </c>
      <c r="FB49" t="s">
        <v>361</v>
      </c>
      <c r="FC49">
        <v>0</v>
      </c>
      <c r="FD49" t="s">
        <v>50</v>
      </c>
      <c r="FE49" t="s">
        <v>953</v>
      </c>
      <c r="FF49">
        <v>4039450</v>
      </c>
      <c r="FG49" t="s">
        <v>346</v>
      </c>
      <c r="FH49">
        <v>-1.7</v>
      </c>
      <c r="FI49" t="s">
        <v>53</v>
      </c>
      <c r="FJ49" t="s">
        <v>467</v>
      </c>
      <c r="FK49">
        <v>7108293</v>
      </c>
      <c r="FL49" t="s">
        <v>369</v>
      </c>
      <c r="FM49">
        <v>0.06</v>
      </c>
      <c r="FN49" t="s">
        <v>313</v>
      </c>
      <c r="FS49" t="s">
        <v>306</v>
      </c>
      <c r="FT49" t="s">
        <v>409</v>
      </c>
      <c r="FU49">
        <v>102719</v>
      </c>
      <c r="FV49" t="s">
        <v>346</v>
      </c>
      <c r="FW49">
        <v>0</v>
      </c>
      <c r="FX49" t="s">
        <v>53</v>
      </c>
      <c r="FY49" t="s">
        <v>482</v>
      </c>
      <c r="FZ49">
        <v>4048742</v>
      </c>
      <c r="GA49" t="s">
        <v>346</v>
      </c>
      <c r="GB49">
        <v>0.27</v>
      </c>
      <c r="GC49" t="s">
        <v>80</v>
      </c>
      <c r="GD49" t="s">
        <v>1946</v>
      </c>
      <c r="GE49" t="s">
        <v>300</v>
      </c>
      <c r="GF49" t="s">
        <v>361</v>
      </c>
      <c r="GG49">
        <v>0</v>
      </c>
      <c r="GH49" t="s">
        <v>50</v>
      </c>
      <c r="GI49" t="s">
        <v>953</v>
      </c>
      <c r="GJ49">
        <v>4039450</v>
      </c>
      <c r="GK49" t="s">
        <v>346</v>
      </c>
      <c r="GL49">
        <v>-1.7</v>
      </c>
      <c r="GM49" t="s">
        <v>53</v>
      </c>
      <c r="GN49" t="s">
        <v>467</v>
      </c>
      <c r="GO49">
        <v>7108293</v>
      </c>
      <c r="GP49" t="s">
        <v>369</v>
      </c>
      <c r="GQ49">
        <v>0.06</v>
      </c>
      <c r="GR49" t="s">
        <v>313</v>
      </c>
      <c r="GS49" t="s">
        <v>409</v>
      </c>
      <c r="GT49">
        <v>102719</v>
      </c>
      <c r="GU49" t="s">
        <v>346</v>
      </c>
      <c r="GV49">
        <v>0.06</v>
      </c>
      <c r="GW49" t="s">
        <v>53</v>
      </c>
      <c r="GX49" t="s">
        <v>412</v>
      </c>
      <c r="GY49">
        <v>109687</v>
      </c>
      <c r="GZ49" t="s">
        <v>346</v>
      </c>
      <c r="HA49">
        <v>0.19</v>
      </c>
      <c r="HB49" t="s">
        <v>53</v>
      </c>
      <c r="HG49" t="s">
        <v>306</v>
      </c>
    </row>
    <row r="50" spans="5:215" x14ac:dyDescent="0.35">
      <c r="E50" t="s">
        <v>306</v>
      </c>
      <c r="F50" t="s">
        <v>447</v>
      </c>
      <c r="G50">
        <v>4138513</v>
      </c>
      <c r="H50" t="s">
        <v>346</v>
      </c>
      <c r="I50">
        <v>0.06</v>
      </c>
      <c r="J50" t="s">
        <v>304</v>
      </c>
      <c r="K50" t="s">
        <v>419</v>
      </c>
      <c r="L50">
        <v>4338202</v>
      </c>
      <c r="M50" t="s">
        <v>346</v>
      </c>
      <c r="N50">
        <v>0.02</v>
      </c>
      <c r="O50" t="s">
        <v>53</v>
      </c>
      <c r="T50" t="s">
        <v>306</v>
      </c>
      <c r="U50" t="s">
        <v>654</v>
      </c>
      <c r="V50">
        <v>4208127</v>
      </c>
      <c r="W50" t="s">
        <v>346</v>
      </c>
      <c r="X50">
        <v>0.19</v>
      </c>
      <c r="Y50" t="s">
        <v>2185</v>
      </c>
      <c r="Z50" t="s">
        <v>419</v>
      </c>
      <c r="AA50">
        <v>4338202</v>
      </c>
      <c r="AB50" t="s">
        <v>346</v>
      </c>
      <c r="AC50">
        <v>0.02</v>
      </c>
      <c r="AD50" t="s">
        <v>53</v>
      </c>
      <c r="AE50" t="s">
        <v>978</v>
      </c>
      <c r="AF50">
        <v>4224292</v>
      </c>
      <c r="AG50" t="s">
        <v>346</v>
      </c>
      <c r="AH50">
        <v>7.0000000000000007E-2</v>
      </c>
      <c r="AI50" t="s">
        <v>2185</v>
      </c>
      <c r="AN50" t="s">
        <v>306</v>
      </c>
      <c r="AO50" t="s">
        <v>1266</v>
      </c>
      <c r="AP50">
        <v>5842278</v>
      </c>
      <c r="AQ50" t="s">
        <v>346</v>
      </c>
      <c r="AR50">
        <v>0.14000000000000001</v>
      </c>
      <c r="AS50" t="s">
        <v>62</v>
      </c>
      <c r="AX50" t="s">
        <v>306</v>
      </c>
      <c r="AY50" t="s">
        <v>664</v>
      </c>
      <c r="AZ50">
        <v>4138760</v>
      </c>
      <c r="BA50" t="s">
        <v>346</v>
      </c>
      <c r="BB50">
        <v>0.02</v>
      </c>
      <c r="BC50" t="s">
        <v>50</v>
      </c>
      <c r="BD50" t="s">
        <v>560</v>
      </c>
      <c r="BE50">
        <v>4095848</v>
      </c>
      <c r="BF50" t="s">
        <v>346</v>
      </c>
      <c r="BG50">
        <v>0.27</v>
      </c>
      <c r="BH50" t="s">
        <v>53</v>
      </c>
      <c r="BI50" t="s">
        <v>442</v>
      </c>
      <c r="BJ50">
        <v>4117611</v>
      </c>
      <c r="BK50" t="s">
        <v>346</v>
      </c>
      <c r="BL50">
        <v>0.11</v>
      </c>
      <c r="BM50" t="s">
        <v>53</v>
      </c>
      <c r="BN50" t="s">
        <v>676</v>
      </c>
      <c r="BO50">
        <v>15012201</v>
      </c>
      <c r="BP50" t="s">
        <v>346</v>
      </c>
      <c r="BQ50">
        <v>0.06</v>
      </c>
      <c r="BR50" t="s">
        <v>50</v>
      </c>
      <c r="BS50" t="s">
        <v>462</v>
      </c>
      <c r="BT50">
        <v>109872</v>
      </c>
      <c r="BU50" t="s">
        <v>346</v>
      </c>
      <c r="BV50">
        <v>0.15</v>
      </c>
      <c r="BW50" t="s">
        <v>53</v>
      </c>
      <c r="BX50" t="s">
        <v>654</v>
      </c>
      <c r="BY50">
        <v>4208127</v>
      </c>
      <c r="BZ50" t="s">
        <v>346</v>
      </c>
      <c r="CA50">
        <v>0.19</v>
      </c>
      <c r="CB50" t="s">
        <v>2185</v>
      </c>
      <c r="CC50" t="s">
        <v>444</v>
      </c>
      <c r="CD50">
        <v>109988</v>
      </c>
      <c r="CE50" t="s">
        <v>346</v>
      </c>
      <c r="CF50">
        <v>0.18</v>
      </c>
      <c r="CG50" t="s">
        <v>53</v>
      </c>
      <c r="CH50" t="s">
        <v>1266</v>
      </c>
      <c r="CI50">
        <v>5842278</v>
      </c>
      <c r="CJ50" t="s">
        <v>346</v>
      </c>
      <c r="CK50">
        <v>0.14000000000000001</v>
      </c>
      <c r="CL50" t="s">
        <v>62</v>
      </c>
      <c r="CM50" t="s">
        <v>1261</v>
      </c>
      <c r="CN50">
        <v>4139896</v>
      </c>
      <c r="CO50" t="s">
        <v>346</v>
      </c>
      <c r="CP50">
        <v>0.22</v>
      </c>
      <c r="CQ50" t="s">
        <v>62</v>
      </c>
      <c r="CV50" t="s">
        <v>306</v>
      </c>
      <c r="DA50" t="s">
        <v>306</v>
      </c>
      <c r="DB50" t="s">
        <v>560</v>
      </c>
      <c r="DC50">
        <v>4095848</v>
      </c>
      <c r="DD50" t="s">
        <v>346</v>
      </c>
      <c r="DE50">
        <v>0.27</v>
      </c>
      <c r="DF50" t="s">
        <v>53</v>
      </c>
      <c r="DK50" t="s">
        <v>306</v>
      </c>
      <c r="DL50" t="s">
        <v>560</v>
      </c>
      <c r="DM50">
        <v>4095848</v>
      </c>
      <c r="DN50" t="s">
        <v>346</v>
      </c>
      <c r="DO50">
        <v>0.27</v>
      </c>
      <c r="DP50" t="s">
        <v>53</v>
      </c>
      <c r="DU50" t="s">
        <v>306</v>
      </c>
      <c r="DV50" t="s">
        <v>465</v>
      </c>
      <c r="DW50">
        <v>4119440</v>
      </c>
      <c r="DX50" t="s">
        <v>346</v>
      </c>
      <c r="DY50">
        <v>0.01</v>
      </c>
      <c r="DZ50" t="s">
        <v>53</v>
      </c>
      <c r="EA50" t="s">
        <v>444</v>
      </c>
      <c r="EB50">
        <v>109988</v>
      </c>
      <c r="EC50" t="s">
        <v>346</v>
      </c>
      <c r="ED50">
        <v>0.18</v>
      </c>
      <c r="EE50" t="s">
        <v>53</v>
      </c>
      <c r="EF50" t="s">
        <v>560</v>
      </c>
      <c r="EG50">
        <v>4095848</v>
      </c>
      <c r="EH50" t="s">
        <v>346</v>
      </c>
      <c r="EI50">
        <v>0.27</v>
      </c>
      <c r="EJ50" t="s">
        <v>53</v>
      </c>
      <c r="EO50" t="s">
        <v>306</v>
      </c>
      <c r="EP50" t="s">
        <v>380</v>
      </c>
      <c r="EQ50">
        <v>4674815</v>
      </c>
      <c r="ER50" t="s">
        <v>346</v>
      </c>
      <c r="ES50">
        <v>0.01</v>
      </c>
      <c r="ET50" t="s">
        <v>320</v>
      </c>
      <c r="EY50" t="s">
        <v>306</v>
      </c>
      <c r="EZ50" t="s">
        <v>1947</v>
      </c>
      <c r="FA50" t="s">
        <v>300</v>
      </c>
      <c r="FB50" t="s">
        <v>361</v>
      </c>
      <c r="FC50">
        <v>0</v>
      </c>
      <c r="FD50" t="s">
        <v>50</v>
      </c>
      <c r="FE50" t="s">
        <v>633</v>
      </c>
      <c r="FF50">
        <v>114508</v>
      </c>
      <c r="FG50" t="s">
        <v>366</v>
      </c>
      <c r="FH50">
        <v>-2.48</v>
      </c>
      <c r="FI50" t="s">
        <v>313</v>
      </c>
      <c r="FJ50" t="s">
        <v>1265</v>
      </c>
      <c r="FK50">
        <v>4118993</v>
      </c>
      <c r="FL50" t="s">
        <v>346</v>
      </c>
      <c r="FM50">
        <v>0.06</v>
      </c>
      <c r="FN50" t="s">
        <v>53</v>
      </c>
      <c r="FS50" t="s">
        <v>306</v>
      </c>
      <c r="FT50" t="s">
        <v>410</v>
      </c>
      <c r="FU50">
        <v>5759394</v>
      </c>
      <c r="FV50" t="s">
        <v>346</v>
      </c>
      <c r="FW50">
        <v>0</v>
      </c>
      <c r="FX50" t="s">
        <v>2186</v>
      </c>
      <c r="FY50" t="s">
        <v>560</v>
      </c>
      <c r="FZ50">
        <v>4095848</v>
      </c>
      <c r="GA50" t="s">
        <v>346</v>
      </c>
      <c r="GB50">
        <v>0.27</v>
      </c>
      <c r="GC50" t="s">
        <v>53</v>
      </c>
      <c r="GD50" t="s">
        <v>1947</v>
      </c>
      <c r="GE50" t="s">
        <v>300</v>
      </c>
      <c r="GF50" t="s">
        <v>361</v>
      </c>
      <c r="GG50">
        <v>0</v>
      </c>
      <c r="GH50" t="s">
        <v>50</v>
      </c>
      <c r="GI50" t="s">
        <v>633</v>
      </c>
      <c r="GJ50">
        <v>114508</v>
      </c>
      <c r="GK50" t="s">
        <v>366</v>
      </c>
      <c r="GL50">
        <v>-2.48</v>
      </c>
      <c r="GM50" t="s">
        <v>313</v>
      </c>
      <c r="GN50" t="s">
        <v>1265</v>
      </c>
      <c r="GO50">
        <v>4118993</v>
      </c>
      <c r="GP50" t="s">
        <v>346</v>
      </c>
      <c r="GQ50">
        <v>0.06</v>
      </c>
      <c r="GR50" t="s">
        <v>53</v>
      </c>
      <c r="GS50" t="s">
        <v>676</v>
      </c>
      <c r="GT50">
        <v>15012201</v>
      </c>
      <c r="GU50" t="s">
        <v>346</v>
      </c>
      <c r="GV50">
        <v>0.06</v>
      </c>
      <c r="GW50" t="s">
        <v>50</v>
      </c>
      <c r="GX50" t="s">
        <v>444</v>
      </c>
      <c r="GY50">
        <v>109988</v>
      </c>
      <c r="GZ50" t="s">
        <v>346</v>
      </c>
      <c r="HA50">
        <v>0.18</v>
      </c>
      <c r="HB50" t="s">
        <v>53</v>
      </c>
      <c r="HG50" t="s">
        <v>306</v>
      </c>
    </row>
    <row r="51" spans="5:215" x14ac:dyDescent="0.35">
      <c r="E51" t="s">
        <v>306</v>
      </c>
      <c r="F51" t="s">
        <v>448</v>
      </c>
      <c r="G51">
        <v>4586390</v>
      </c>
      <c r="H51" t="s">
        <v>346</v>
      </c>
      <c r="I51">
        <v>0.06</v>
      </c>
      <c r="J51" t="s">
        <v>304</v>
      </c>
      <c r="K51" t="s">
        <v>463</v>
      </c>
      <c r="L51">
        <v>4138888</v>
      </c>
      <c r="M51" t="s">
        <v>346</v>
      </c>
      <c r="N51">
        <v>0.02</v>
      </c>
      <c r="O51" t="s">
        <v>375</v>
      </c>
      <c r="T51" t="s">
        <v>306</v>
      </c>
      <c r="U51" t="s">
        <v>723</v>
      </c>
      <c r="V51">
        <v>4536183</v>
      </c>
      <c r="W51" t="s">
        <v>346</v>
      </c>
      <c r="X51">
        <v>0.18</v>
      </c>
      <c r="Y51" t="s">
        <v>50</v>
      </c>
      <c r="Z51" t="s">
        <v>463</v>
      </c>
      <c r="AA51">
        <v>4138888</v>
      </c>
      <c r="AB51" t="s">
        <v>346</v>
      </c>
      <c r="AC51">
        <v>0.02</v>
      </c>
      <c r="AD51" t="s">
        <v>375</v>
      </c>
      <c r="AE51" t="s">
        <v>663</v>
      </c>
      <c r="AF51">
        <v>4080954</v>
      </c>
      <c r="AG51" t="s">
        <v>346</v>
      </c>
      <c r="AH51">
        <v>0.04</v>
      </c>
      <c r="AI51" t="s">
        <v>2193</v>
      </c>
      <c r="AN51" t="s">
        <v>306</v>
      </c>
      <c r="AO51" t="s">
        <v>1267</v>
      </c>
      <c r="AP51">
        <v>4304196</v>
      </c>
      <c r="AQ51" t="s">
        <v>346</v>
      </c>
      <c r="AR51">
        <v>0.13</v>
      </c>
      <c r="AS51" t="s">
        <v>62</v>
      </c>
      <c r="AX51" t="s">
        <v>306</v>
      </c>
      <c r="AY51" t="s">
        <v>1229</v>
      </c>
      <c r="AZ51" t="s">
        <v>300</v>
      </c>
      <c r="BA51" t="s">
        <v>361</v>
      </c>
      <c r="BB51">
        <v>0.01</v>
      </c>
      <c r="BC51" t="s">
        <v>50</v>
      </c>
      <c r="BD51" t="s">
        <v>937</v>
      </c>
      <c r="BE51">
        <v>4041896</v>
      </c>
      <c r="BF51" t="s">
        <v>366</v>
      </c>
      <c r="BG51">
        <v>0.25</v>
      </c>
      <c r="BH51" t="s">
        <v>53</v>
      </c>
      <c r="BI51" t="s">
        <v>1559</v>
      </c>
      <c r="BJ51">
        <v>4106557</v>
      </c>
      <c r="BK51" t="s">
        <v>346</v>
      </c>
      <c r="BL51">
        <v>0.11</v>
      </c>
      <c r="BM51" t="s">
        <v>2194</v>
      </c>
      <c r="BN51" t="s">
        <v>436</v>
      </c>
      <c r="BO51">
        <v>111219</v>
      </c>
      <c r="BP51" t="s">
        <v>346</v>
      </c>
      <c r="BQ51">
        <v>0.06</v>
      </c>
      <c r="BR51" t="s">
        <v>53</v>
      </c>
      <c r="BS51" t="s">
        <v>540</v>
      </c>
      <c r="BT51">
        <v>4281265</v>
      </c>
      <c r="BU51" t="s">
        <v>346</v>
      </c>
      <c r="BV51">
        <v>0.14000000000000001</v>
      </c>
      <c r="BW51" t="s">
        <v>80</v>
      </c>
      <c r="BX51" t="s">
        <v>723</v>
      </c>
      <c r="BY51">
        <v>4536183</v>
      </c>
      <c r="BZ51" t="s">
        <v>346</v>
      </c>
      <c r="CA51">
        <v>0.18</v>
      </c>
      <c r="CB51" t="s">
        <v>50</v>
      </c>
      <c r="CC51" t="s">
        <v>873</v>
      </c>
      <c r="CD51">
        <v>4873872</v>
      </c>
      <c r="CE51" t="s">
        <v>346</v>
      </c>
      <c r="CF51">
        <v>0.18</v>
      </c>
      <c r="CG51" t="s">
        <v>2184</v>
      </c>
      <c r="CH51" t="s">
        <v>1267</v>
      </c>
      <c r="CI51">
        <v>4304196</v>
      </c>
      <c r="CJ51" t="s">
        <v>346</v>
      </c>
      <c r="CK51">
        <v>0.13</v>
      </c>
      <c r="CL51" t="s">
        <v>62</v>
      </c>
      <c r="CM51" t="s">
        <v>432</v>
      </c>
      <c r="CN51">
        <v>110092</v>
      </c>
      <c r="CO51" t="s">
        <v>346</v>
      </c>
      <c r="CP51">
        <v>0.22</v>
      </c>
      <c r="CQ51" t="s">
        <v>53</v>
      </c>
      <c r="CV51" t="s">
        <v>306</v>
      </c>
      <c r="DA51" t="s">
        <v>306</v>
      </c>
      <c r="DB51" t="s">
        <v>937</v>
      </c>
      <c r="DC51">
        <v>4041896</v>
      </c>
      <c r="DD51" t="s">
        <v>366</v>
      </c>
      <c r="DE51">
        <v>0.25</v>
      </c>
      <c r="DF51" t="s">
        <v>53</v>
      </c>
      <c r="DK51" t="s">
        <v>306</v>
      </c>
      <c r="DL51" t="s">
        <v>937</v>
      </c>
      <c r="DM51">
        <v>4041896</v>
      </c>
      <c r="DN51" t="s">
        <v>366</v>
      </c>
      <c r="DO51">
        <v>0.25</v>
      </c>
      <c r="DP51" t="s">
        <v>53</v>
      </c>
      <c r="DU51" t="s">
        <v>306</v>
      </c>
      <c r="DV51" t="s">
        <v>423</v>
      </c>
      <c r="DW51">
        <v>4318240</v>
      </c>
      <c r="DX51" t="s">
        <v>346</v>
      </c>
      <c r="DY51">
        <v>0</v>
      </c>
      <c r="DZ51" t="s">
        <v>304</v>
      </c>
      <c r="EA51" t="s">
        <v>873</v>
      </c>
      <c r="EB51">
        <v>4873872</v>
      </c>
      <c r="EC51" t="s">
        <v>346</v>
      </c>
      <c r="ED51">
        <v>0.18</v>
      </c>
      <c r="EE51" t="s">
        <v>2184</v>
      </c>
      <c r="EF51" t="s">
        <v>937</v>
      </c>
      <c r="EG51">
        <v>4041896</v>
      </c>
      <c r="EH51" t="s">
        <v>366</v>
      </c>
      <c r="EI51">
        <v>0.25</v>
      </c>
      <c r="EJ51" t="s">
        <v>53</v>
      </c>
      <c r="EO51" t="s">
        <v>306</v>
      </c>
      <c r="EP51" t="s">
        <v>918</v>
      </c>
      <c r="EQ51">
        <v>4860042</v>
      </c>
      <c r="ER51" t="s">
        <v>346</v>
      </c>
      <c r="ES51">
        <v>0.01</v>
      </c>
      <c r="ET51" t="s">
        <v>50</v>
      </c>
      <c r="EY51" t="s">
        <v>306</v>
      </c>
      <c r="EZ51" t="s">
        <v>1948</v>
      </c>
      <c r="FA51" t="s">
        <v>300</v>
      </c>
      <c r="FB51" t="s">
        <v>361</v>
      </c>
      <c r="FC51">
        <v>0</v>
      </c>
      <c r="FD51" t="s">
        <v>50</v>
      </c>
      <c r="FE51" t="s">
        <v>383</v>
      </c>
      <c r="FF51">
        <v>103042</v>
      </c>
      <c r="FG51" t="s">
        <v>366</v>
      </c>
      <c r="FH51">
        <v>-4.45</v>
      </c>
      <c r="FI51" t="s">
        <v>53</v>
      </c>
      <c r="FJ51" t="s">
        <v>468</v>
      </c>
      <c r="FK51">
        <v>4556191</v>
      </c>
      <c r="FL51" t="s">
        <v>346</v>
      </c>
      <c r="FM51">
        <v>0.05</v>
      </c>
      <c r="FN51" t="s">
        <v>53</v>
      </c>
      <c r="FS51" t="s">
        <v>306</v>
      </c>
      <c r="FT51" t="s">
        <v>411</v>
      </c>
      <c r="FU51">
        <v>4272373</v>
      </c>
      <c r="FV51" t="s">
        <v>346</v>
      </c>
      <c r="FW51">
        <v>0</v>
      </c>
      <c r="FX51" t="s">
        <v>313</v>
      </c>
      <c r="FY51" t="s">
        <v>937</v>
      </c>
      <c r="FZ51">
        <v>4041896</v>
      </c>
      <c r="GA51" t="s">
        <v>366</v>
      </c>
      <c r="GB51">
        <v>0.25</v>
      </c>
      <c r="GC51" t="s">
        <v>53</v>
      </c>
      <c r="GD51" t="s">
        <v>1948</v>
      </c>
      <c r="GE51" t="s">
        <v>300</v>
      </c>
      <c r="GF51" t="s">
        <v>361</v>
      </c>
      <c r="GG51">
        <v>0</v>
      </c>
      <c r="GH51" t="s">
        <v>50</v>
      </c>
      <c r="GI51" t="s">
        <v>383</v>
      </c>
      <c r="GJ51">
        <v>103042</v>
      </c>
      <c r="GK51" t="s">
        <v>366</v>
      </c>
      <c r="GL51">
        <v>-4.45</v>
      </c>
      <c r="GM51" t="s">
        <v>53</v>
      </c>
      <c r="GN51" t="s">
        <v>468</v>
      </c>
      <c r="GO51">
        <v>4556191</v>
      </c>
      <c r="GP51" t="s">
        <v>346</v>
      </c>
      <c r="GQ51">
        <v>0.05</v>
      </c>
      <c r="GR51" t="s">
        <v>53</v>
      </c>
      <c r="GS51" t="s">
        <v>436</v>
      </c>
      <c r="GT51">
        <v>111219</v>
      </c>
      <c r="GU51" t="s">
        <v>346</v>
      </c>
      <c r="GV51">
        <v>0.06</v>
      </c>
      <c r="GW51" t="s">
        <v>53</v>
      </c>
      <c r="GX51" t="s">
        <v>873</v>
      </c>
      <c r="GY51">
        <v>4873872</v>
      </c>
      <c r="GZ51" t="s">
        <v>346</v>
      </c>
      <c r="HA51">
        <v>0.18</v>
      </c>
      <c r="HB51" t="s">
        <v>2184</v>
      </c>
      <c r="HG51" t="s">
        <v>306</v>
      </c>
    </row>
    <row r="52" spans="5:215" x14ac:dyDescent="0.35">
      <c r="E52" t="s">
        <v>306</v>
      </c>
      <c r="F52" t="s">
        <v>449</v>
      </c>
      <c r="G52">
        <v>4093616</v>
      </c>
      <c r="H52" t="s">
        <v>346</v>
      </c>
      <c r="I52">
        <v>0.05</v>
      </c>
      <c r="J52" t="s">
        <v>80</v>
      </c>
      <c r="K52" t="s">
        <v>654</v>
      </c>
      <c r="L52">
        <v>4208127</v>
      </c>
      <c r="M52" t="s">
        <v>346</v>
      </c>
      <c r="N52">
        <v>0.02</v>
      </c>
      <c r="O52" t="s">
        <v>2185</v>
      </c>
      <c r="T52" t="s">
        <v>306</v>
      </c>
      <c r="U52" t="s">
        <v>724</v>
      </c>
      <c r="V52">
        <v>19309699</v>
      </c>
      <c r="W52" t="s">
        <v>690</v>
      </c>
      <c r="X52">
        <v>0.16</v>
      </c>
      <c r="Y52" t="s">
        <v>50</v>
      </c>
      <c r="Z52" t="s">
        <v>654</v>
      </c>
      <c r="AA52">
        <v>4208127</v>
      </c>
      <c r="AB52" t="s">
        <v>346</v>
      </c>
      <c r="AC52">
        <v>0.02</v>
      </c>
      <c r="AD52" t="s">
        <v>2185</v>
      </c>
      <c r="AE52" t="s">
        <v>415</v>
      </c>
      <c r="AF52">
        <v>110587</v>
      </c>
      <c r="AG52" t="s">
        <v>346</v>
      </c>
      <c r="AH52">
        <v>0.04</v>
      </c>
      <c r="AI52" t="s">
        <v>53</v>
      </c>
      <c r="AN52" t="s">
        <v>306</v>
      </c>
      <c r="AO52" t="s">
        <v>481</v>
      </c>
      <c r="AP52">
        <v>4376121</v>
      </c>
      <c r="AQ52" t="s">
        <v>346</v>
      </c>
      <c r="AR52">
        <v>0.13</v>
      </c>
      <c r="AS52" t="s">
        <v>313</v>
      </c>
      <c r="AX52" t="s">
        <v>306</v>
      </c>
      <c r="AY52" t="s">
        <v>1230</v>
      </c>
      <c r="AZ52" t="s">
        <v>300</v>
      </c>
      <c r="BA52" t="s">
        <v>361</v>
      </c>
      <c r="BB52">
        <v>0.01</v>
      </c>
      <c r="BC52" t="s">
        <v>50</v>
      </c>
      <c r="BD52" t="s">
        <v>1397</v>
      </c>
      <c r="BE52">
        <v>4153870</v>
      </c>
      <c r="BF52" t="s">
        <v>366</v>
      </c>
      <c r="BG52">
        <v>0.23</v>
      </c>
      <c r="BH52" t="s">
        <v>53</v>
      </c>
      <c r="BI52" t="s">
        <v>1265</v>
      </c>
      <c r="BJ52">
        <v>4118993</v>
      </c>
      <c r="BK52" t="s">
        <v>346</v>
      </c>
      <c r="BL52">
        <v>0.11</v>
      </c>
      <c r="BM52" t="s">
        <v>53</v>
      </c>
      <c r="BN52" t="s">
        <v>654</v>
      </c>
      <c r="BO52">
        <v>4208127</v>
      </c>
      <c r="BP52" t="s">
        <v>346</v>
      </c>
      <c r="BQ52">
        <v>0.05</v>
      </c>
      <c r="BR52" t="s">
        <v>2185</v>
      </c>
      <c r="BS52" t="s">
        <v>951</v>
      </c>
      <c r="BT52">
        <v>5449150</v>
      </c>
      <c r="BU52" t="s">
        <v>370</v>
      </c>
      <c r="BV52">
        <v>0.14000000000000001</v>
      </c>
      <c r="BW52" t="s">
        <v>50</v>
      </c>
      <c r="BX52" t="s">
        <v>724</v>
      </c>
      <c r="BY52">
        <v>19309699</v>
      </c>
      <c r="BZ52" t="s">
        <v>690</v>
      </c>
      <c r="CA52">
        <v>0.16</v>
      </c>
      <c r="CB52" t="s">
        <v>50</v>
      </c>
      <c r="CC52" t="s">
        <v>415</v>
      </c>
      <c r="CD52">
        <v>110587</v>
      </c>
      <c r="CE52" t="s">
        <v>346</v>
      </c>
      <c r="CF52">
        <v>0.17</v>
      </c>
      <c r="CG52" t="s">
        <v>53</v>
      </c>
      <c r="CH52" t="s">
        <v>481</v>
      </c>
      <c r="CI52">
        <v>4376121</v>
      </c>
      <c r="CJ52" t="s">
        <v>346</v>
      </c>
      <c r="CK52">
        <v>0.13</v>
      </c>
      <c r="CL52" t="s">
        <v>313</v>
      </c>
      <c r="CM52" t="s">
        <v>412</v>
      </c>
      <c r="CN52">
        <v>109687</v>
      </c>
      <c r="CO52" t="s">
        <v>346</v>
      </c>
      <c r="CP52">
        <v>0.22</v>
      </c>
      <c r="CQ52" t="s">
        <v>53</v>
      </c>
      <c r="CV52" t="s">
        <v>306</v>
      </c>
      <c r="DA52" t="s">
        <v>306</v>
      </c>
      <c r="DB52" t="s">
        <v>1397</v>
      </c>
      <c r="DC52">
        <v>4153870</v>
      </c>
      <c r="DD52" t="s">
        <v>366</v>
      </c>
      <c r="DE52">
        <v>0.23</v>
      </c>
      <c r="DF52" t="s">
        <v>53</v>
      </c>
      <c r="DK52" t="s">
        <v>306</v>
      </c>
      <c r="DL52" t="s">
        <v>1397</v>
      </c>
      <c r="DM52">
        <v>4153870</v>
      </c>
      <c r="DN52" t="s">
        <v>366</v>
      </c>
      <c r="DO52">
        <v>0.23</v>
      </c>
      <c r="DP52" t="s">
        <v>53</v>
      </c>
      <c r="DU52" t="s">
        <v>306</v>
      </c>
      <c r="DV52" t="s">
        <v>489</v>
      </c>
      <c r="DW52">
        <v>4324456</v>
      </c>
      <c r="DX52" t="s">
        <v>346</v>
      </c>
      <c r="DY52">
        <v>0</v>
      </c>
      <c r="DZ52" t="s">
        <v>2194</v>
      </c>
      <c r="EA52" t="s">
        <v>415</v>
      </c>
      <c r="EB52">
        <v>110587</v>
      </c>
      <c r="EC52" t="s">
        <v>346</v>
      </c>
      <c r="ED52">
        <v>0.17</v>
      </c>
      <c r="EE52" t="s">
        <v>53</v>
      </c>
      <c r="EF52" t="s">
        <v>1397</v>
      </c>
      <c r="EG52">
        <v>4153870</v>
      </c>
      <c r="EH52" t="s">
        <v>366</v>
      </c>
      <c r="EI52">
        <v>0.23</v>
      </c>
      <c r="EJ52" t="s">
        <v>53</v>
      </c>
      <c r="EO52" t="s">
        <v>306</v>
      </c>
      <c r="EP52" t="s">
        <v>640</v>
      </c>
      <c r="EQ52">
        <v>9020942</v>
      </c>
      <c r="ER52" t="s">
        <v>346</v>
      </c>
      <c r="ES52">
        <v>0.01</v>
      </c>
      <c r="ET52" t="s">
        <v>50</v>
      </c>
      <c r="EY52" t="s">
        <v>306</v>
      </c>
      <c r="EZ52" t="s">
        <v>1949</v>
      </c>
      <c r="FA52" t="s">
        <v>300</v>
      </c>
      <c r="FB52" t="s">
        <v>361</v>
      </c>
      <c r="FC52">
        <v>0</v>
      </c>
      <c r="FD52" t="s">
        <v>50</v>
      </c>
      <c r="FI52" t="s">
        <v>306</v>
      </c>
      <c r="FJ52" t="s">
        <v>1209</v>
      </c>
      <c r="FK52">
        <v>111168</v>
      </c>
      <c r="FL52" t="s">
        <v>634</v>
      </c>
      <c r="FM52">
        <v>0.05</v>
      </c>
      <c r="FN52" t="s">
        <v>53</v>
      </c>
      <c r="FS52" t="s">
        <v>306</v>
      </c>
      <c r="FT52" t="s">
        <v>412</v>
      </c>
      <c r="FU52">
        <v>109687</v>
      </c>
      <c r="FV52" t="s">
        <v>346</v>
      </c>
      <c r="FW52">
        <v>0</v>
      </c>
      <c r="FX52" t="s">
        <v>53</v>
      </c>
      <c r="FY52" t="s">
        <v>1397</v>
      </c>
      <c r="FZ52">
        <v>4153870</v>
      </c>
      <c r="GA52" t="s">
        <v>366</v>
      </c>
      <c r="GB52">
        <v>0.23</v>
      </c>
      <c r="GC52" t="s">
        <v>53</v>
      </c>
      <c r="GD52" t="s">
        <v>1949</v>
      </c>
      <c r="GE52" t="s">
        <v>300</v>
      </c>
      <c r="GF52" t="s">
        <v>361</v>
      </c>
      <c r="GG52">
        <v>0</v>
      </c>
      <c r="GH52" t="s">
        <v>50</v>
      </c>
      <c r="GM52" t="s">
        <v>306</v>
      </c>
      <c r="GN52" t="s">
        <v>1209</v>
      </c>
      <c r="GO52">
        <v>111168</v>
      </c>
      <c r="GP52" t="s">
        <v>634</v>
      </c>
      <c r="GQ52">
        <v>0.05</v>
      </c>
      <c r="GR52" t="s">
        <v>53</v>
      </c>
      <c r="GS52" t="s">
        <v>654</v>
      </c>
      <c r="GT52">
        <v>4208127</v>
      </c>
      <c r="GU52" t="s">
        <v>346</v>
      </c>
      <c r="GV52">
        <v>0.05</v>
      </c>
      <c r="GW52" t="s">
        <v>2185</v>
      </c>
      <c r="GX52" t="s">
        <v>415</v>
      </c>
      <c r="GY52">
        <v>110587</v>
      </c>
      <c r="GZ52" t="s">
        <v>346</v>
      </c>
      <c r="HA52">
        <v>0.17</v>
      </c>
      <c r="HB52" t="s">
        <v>53</v>
      </c>
      <c r="HG52" t="s">
        <v>306</v>
      </c>
    </row>
    <row r="53" spans="5:215" x14ac:dyDescent="0.35">
      <c r="E53" t="s">
        <v>306</v>
      </c>
      <c r="F53" t="s">
        <v>450</v>
      </c>
      <c r="G53">
        <v>4134083</v>
      </c>
      <c r="H53" t="s">
        <v>346</v>
      </c>
      <c r="I53">
        <v>0.05</v>
      </c>
      <c r="J53" t="s">
        <v>53</v>
      </c>
      <c r="K53" t="s">
        <v>380</v>
      </c>
      <c r="L53">
        <v>4674815</v>
      </c>
      <c r="M53" t="s">
        <v>346</v>
      </c>
      <c r="N53">
        <v>0.02</v>
      </c>
      <c r="O53" t="s">
        <v>320</v>
      </c>
      <c r="T53" t="s">
        <v>306</v>
      </c>
      <c r="U53" t="s">
        <v>725</v>
      </c>
      <c r="V53">
        <v>111195</v>
      </c>
      <c r="W53" t="s">
        <v>346</v>
      </c>
      <c r="X53">
        <v>0.16</v>
      </c>
      <c r="Y53" t="s">
        <v>53</v>
      </c>
      <c r="Z53" t="s">
        <v>380</v>
      </c>
      <c r="AA53">
        <v>4674815</v>
      </c>
      <c r="AB53" t="s">
        <v>346</v>
      </c>
      <c r="AC53">
        <v>0.02</v>
      </c>
      <c r="AD53" t="s">
        <v>320</v>
      </c>
      <c r="AE53" t="s">
        <v>487</v>
      </c>
      <c r="AF53">
        <v>4111901</v>
      </c>
      <c r="AG53" t="s">
        <v>346</v>
      </c>
      <c r="AH53">
        <v>0.04</v>
      </c>
      <c r="AI53" t="s">
        <v>2192</v>
      </c>
      <c r="AN53" t="s">
        <v>306</v>
      </c>
      <c r="AO53" t="s">
        <v>436</v>
      </c>
      <c r="AP53">
        <v>111219</v>
      </c>
      <c r="AQ53" t="s">
        <v>346</v>
      </c>
      <c r="AR53">
        <v>0.13</v>
      </c>
      <c r="AS53" t="s">
        <v>53</v>
      </c>
      <c r="AX53" t="s">
        <v>306</v>
      </c>
      <c r="AY53" t="s">
        <v>1231</v>
      </c>
      <c r="AZ53" t="s">
        <v>300</v>
      </c>
      <c r="BA53" t="s">
        <v>361</v>
      </c>
      <c r="BB53">
        <v>0.01</v>
      </c>
      <c r="BC53" t="s">
        <v>50</v>
      </c>
      <c r="BD53" t="s">
        <v>873</v>
      </c>
      <c r="BE53">
        <v>4873872</v>
      </c>
      <c r="BF53" t="s">
        <v>346</v>
      </c>
      <c r="BG53">
        <v>0.22</v>
      </c>
      <c r="BH53" t="s">
        <v>2184</v>
      </c>
      <c r="BI53" t="s">
        <v>429</v>
      </c>
      <c r="BJ53">
        <v>4607441</v>
      </c>
      <c r="BK53" t="s">
        <v>346</v>
      </c>
      <c r="BL53">
        <v>0.1</v>
      </c>
      <c r="BM53" t="s">
        <v>304</v>
      </c>
      <c r="BN53" t="s">
        <v>355</v>
      </c>
      <c r="BO53">
        <v>111074</v>
      </c>
      <c r="BP53" t="s">
        <v>346</v>
      </c>
      <c r="BQ53">
        <v>0.05</v>
      </c>
      <c r="BR53" t="s">
        <v>53</v>
      </c>
      <c r="BS53" t="s">
        <v>733</v>
      </c>
      <c r="BT53">
        <v>5851125</v>
      </c>
      <c r="BU53" t="s">
        <v>346</v>
      </c>
      <c r="BV53">
        <v>0.13</v>
      </c>
      <c r="BW53" t="s">
        <v>50</v>
      </c>
      <c r="BX53" t="s">
        <v>725</v>
      </c>
      <c r="BY53">
        <v>111195</v>
      </c>
      <c r="BZ53" t="s">
        <v>346</v>
      </c>
      <c r="CA53">
        <v>0.16</v>
      </c>
      <c r="CB53" t="s">
        <v>53</v>
      </c>
      <c r="CC53" t="s">
        <v>1624</v>
      </c>
      <c r="CD53">
        <v>101293757</v>
      </c>
      <c r="CE53" t="s">
        <v>300</v>
      </c>
      <c r="CF53">
        <v>0.17</v>
      </c>
      <c r="CG53" t="s">
        <v>114</v>
      </c>
      <c r="CH53" t="s">
        <v>436</v>
      </c>
      <c r="CI53">
        <v>111219</v>
      </c>
      <c r="CJ53" t="s">
        <v>346</v>
      </c>
      <c r="CK53">
        <v>0.13</v>
      </c>
      <c r="CL53" t="s">
        <v>53</v>
      </c>
      <c r="CM53" t="s">
        <v>725</v>
      </c>
      <c r="CN53">
        <v>111195</v>
      </c>
      <c r="CO53" t="s">
        <v>346</v>
      </c>
      <c r="CP53">
        <v>0.21</v>
      </c>
      <c r="CQ53" t="s">
        <v>53</v>
      </c>
      <c r="CV53" t="s">
        <v>306</v>
      </c>
      <c r="DA53" t="s">
        <v>306</v>
      </c>
      <c r="DB53" t="s">
        <v>873</v>
      </c>
      <c r="DC53">
        <v>4873872</v>
      </c>
      <c r="DD53" t="s">
        <v>346</v>
      </c>
      <c r="DE53">
        <v>0.22</v>
      </c>
      <c r="DF53" t="s">
        <v>2184</v>
      </c>
      <c r="DK53" t="s">
        <v>306</v>
      </c>
      <c r="DL53" t="s">
        <v>873</v>
      </c>
      <c r="DM53">
        <v>4873872</v>
      </c>
      <c r="DN53" t="s">
        <v>346</v>
      </c>
      <c r="DO53">
        <v>0.22</v>
      </c>
      <c r="DP53" t="s">
        <v>2184</v>
      </c>
      <c r="DU53" t="s">
        <v>306</v>
      </c>
      <c r="DV53" t="s">
        <v>453</v>
      </c>
      <c r="DW53">
        <v>4318598</v>
      </c>
      <c r="DX53" t="s">
        <v>346</v>
      </c>
      <c r="DY53">
        <v>0</v>
      </c>
      <c r="DZ53" t="s">
        <v>53</v>
      </c>
      <c r="EA53" t="s">
        <v>1624</v>
      </c>
      <c r="EB53">
        <v>101293757</v>
      </c>
      <c r="EC53" t="s">
        <v>300</v>
      </c>
      <c r="ED53">
        <v>0.17</v>
      </c>
      <c r="EE53" t="s">
        <v>114</v>
      </c>
      <c r="EF53" t="s">
        <v>873</v>
      </c>
      <c r="EG53">
        <v>4873872</v>
      </c>
      <c r="EH53" t="s">
        <v>346</v>
      </c>
      <c r="EI53">
        <v>0.22</v>
      </c>
      <c r="EJ53" t="s">
        <v>2184</v>
      </c>
      <c r="EO53" t="s">
        <v>306</v>
      </c>
      <c r="EP53" t="s">
        <v>797</v>
      </c>
      <c r="EQ53">
        <v>4138761</v>
      </c>
      <c r="ER53" t="s">
        <v>346</v>
      </c>
      <c r="ES53">
        <v>0.01</v>
      </c>
      <c r="ET53" t="s">
        <v>50</v>
      </c>
      <c r="EY53" t="s">
        <v>306</v>
      </c>
      <c r="EZ53" t="s">
        <v>1950</v>
      </c>
      <c r="FA53" t="s">
        <v>300</v>
      </c>
      <c r="FB53" t="s">
        <v>361</v>
      </c>
      <c r="FC53">
        <v>0</v>
      </c>
      <c r="FD53" t="s">
        <v>50</v>
      </c>
      <c r="FI53" t="s">
        <v>306</v>
      </c>
      <c r="FJ53" t="s">
        <v>413</v>
      </c>
      <c r="FK53">
        <v>4114882</v>
      </c>
      <c r="FL53" t="s">
        <v>346</v>
      </c>
      <c r="FM53">
        <v>0.05</v>
      </c>
      <c r="FN53" t="s">
        <v>80</v>
      </c>
      <c r="FS53" t="s">
        <v>306</v>
      </c>
      <c r="FT53" t="s">
        <v>413</v>
      </c>
      <c r="FU53">
        <v>4114882</v>
      </c>
      <c r="FV53" t="s">
        <v>346</v>
      </c>
      <c r="FW53">
        <v>0</v>
      </c>
      <c r="FX53" t="s">
        <v>80</v>
      </c>
      <c r="FY53" t="s">
        <v>873</v>
      </c>
      <c r="FZ53">
        <v>4873872</v>
      </c>
      <c r="GA53" t="s">
        <v>346</v>
      </c>
      <c r="GB53">
        <v>0.22</v>
      </c>
      <c r="GC53" t="s">
        <v>2184</v>
      </c>
      <c r="GD53" t="s">
        <v>1950</v>
      </c>
      <c r="GE53" t="s">
        <v>300</v>
      </c>
      <c r="GF53" t="s">
        <v>361</v>
      </c>
      <c r="GG53">
        <v>0</v>
      </c>
      <c r="GH53" t="s">
        <v>50</v>
      </c>
      <c r="GM53" t="s">
        <v>306</v>
      </c>
      <c r="GN53" t="s">
        <v>413</v>
      </c>
      <c r="GO53">
        <v>4114882</v>
      </c>
      <c r="GP53" t="s">
        <v>346</v>
      </c>
      <c r="GQ53">
        <v>0.05</v>
      </c>
      <c r="GR53" t="s">
        <v>80</v>
      </c>
      <c r="GS53" t="s">
        <v>355</v>
      </c>
      <c r="GT53">
        <v>111074</v>
      </c>
      <c r="GU53" t="s">
        <v>346</v>
      </c>
      <c r="GV53">
        <v>0.05</v>
      </c>
      <c r="GW53" t="s">
        <v>53</v>
      </c>
      <c r="GX53" t="s">
        <v>1624</v>
      </c>
      <c r="GY53">
        <v>101293757</v>
      </c>
      <c r="GZ53" t="s">
        <v>300</v>
      </c>
      <c r="HA53">
        <v>0.17</v>
      </c>
      <c r="HB53" t="s">
        <v>114</v>
      </c>
      <c r="HG53" t="s">
        <v>306</v>
      </c>
    </row>
    <row r="54" spans="5:215" x14ac:dyDescent="0.35">
      <c r="E54" t="s">
        <v>306</v>
      </c>
      <c r="F54" t="s">
        <v>451</v>
      </c>
      <c r="G54">
        <v>5747632</v>
      </c>
      <c r="H54" t="s">
        <v>346</v>
      </c>
      <c r="I54">
        <v>0.05</v>
      </c>
      <c r="J54" t="s">
        <v>80</v>
      </c>
      <c r="K54" t="s">
        <v>655</v>
      </c>
      <c r="L54">
        <v>4413828</v>
      </c>
      <c r="M54" t="s">
        <v>346</v>
      </c>
      <c r="N54">
        <v>0.02</v>
      </c>
      <c r="O54" t="s">
        <v>326</v>
      </c>
      <c r="T54" t="s">
        <v>306</v>
      </c>
      <c r="U54" t="s">
        <v>351</v>
      </c>
      <c r="V54">
        <v>111289</v>
      </c>
      <c r="W54" t="s">
        <v>346</v>
      </c>
      <c r="X54">
        <v>0.16</v>
      </c>
      <c r="Y54" t="s">
        <v>53</v>
      </c>
      <c r="Z54" t="s">
        <v>655</v>
      </c>
      <c r="AA54">
        <v>4413828</v>
      </c>
      <c r="AB54" t="s">
        <v>346</v>
      </c>
      <c r="AC54">
        <v>0.02</v>
      </c>
      <c r="AD54" t="s">
        <v>326</v>
      </c>
      <c r="AE54" t="s">
        <v>1119</v>
      </c>
      <c r="AF54">
        <v>4555673</v>
      </c>
      <c r="AG54" t="s">
        <v>364</v>
      </c>
      <c r="AH54">
        <v>0.04</v>
      </c>
      <c r="AI54" t="s">
        <v>80</v>
      </c>
      <c r="AN54" t="s">
        <v>306</v>
      </c>
      <c r="AO54" t="s">
        <v>510</v>
      </c>
      <c r="AP54">
        <v>4089114</v>
      </c>
      <c r="AQ54" t="s">
        <v>346</v>
      </c>
      <c r="AR54">
        <v>0.12</v>
      </c>
      <c r="AS54" t="s">
        <v>53</v>
      </c>
      <c r="AX54" t="s">
        <v>306</v>
      </c>
      <c r="AY54" t="s">
        <v>1232</v>
      </c>
      <c r="AZ54" t="s">
        <v>300</v>
      </c>
      <c r="BA54" t="s">
        <v>361</v>
      </c>
      <c r="BB54">
        <v>0.01</v>
      </c>
      <c r="BC54" t="s">
        <v>50</v>
      </c>
      <c r="BD54" t="s">
        <v>1398</v>
      </c>
      <c r="BE54">
        <v>5762162</v>
      </c>
      <c r="BF54" t="s">
        <v>346</v>
      </c>
      <c r="BG54">
        <v>0.22</v>
      </c>
      <c r="BH54" t="s">
        <v>62</v>
      </c>
      <c r="BI54" t="s">
        <v>530</v>
      </c>
      <c r="BJ54">
        <v>102729</v>
      </c>
      <c r="BK54" t="s">
        <v>346</v>
      </c>
      <c r="BL54">
        <v>0.1</v>
      </c>
      <c r="BM54" t="s">
        <v>53</v>
      </c>
      <c r="BN54" t="s">
        <v>726</v>
      </c>
      <c r="BO54">
        <v>4137941</v>
      </c>
      <c r="BP54" t="s">
        <v>346</v>
      </c>
      <c r="BQ54">
        <v>0.05</v>
      </c>
      <c r="BR54" t="s">
        <v>50</v>
      </c>
      <c r="BS54" t="s">
        <v>860</v>
      </c>
      <c r="BT54">
        <v>110879</v>
      </c>
      <c r="BU54" t="s">
        <v>346</v>
      </c>
      <c r="BV54">
        <v>0.13</v>
      </c>
      <c r="BW54" t="s">
        <v>53</v>
      </c>
      <c r="BX54" t="s">
        <v>351</v>
      </c>
      <c r="BY54">
        <v>111289</v>
      </c>
      <c r="BZ54" t="s">
        <v>346</v>
      </c>
      <c r="CA54">
        <v>0.16</v>
      </c>
      <c r="CB54" t="s">
        <v>53</v>
      </c>
      <c r="CC54" t="s">
        <v>936</v>
      </c>
      <c r="CD54">
        <v>100369</v>
      </c>
      <c r="CE54" t="s">
        <v>366</v>
      </c>
      <c r="CF54">
        <v>0.17</v>
      </c>
      <c r="CG54" t="s">
        <v>53</v>
      </c>
      <c r="CH54" t="s">
        <v>510</v>
      </c>
      <c r="CI54">
        <v>4089114</v>
      </c>
      <c r="CJ54" t="s">
        <v>346</v>
      </c>
      <c r="CK54">
        <v>0.12</v>
      </c>
      <c r="CL54" t="s">
        <v>53</v>
      </c>
      <c r="CM54" t="s">
        <v>1637</v>
      </c>
      <c r="CN54">
        <v>4252195</v>
      </c>
      <c r="CO54" t="s">
        <v>364</v>
      </c>
      <c r="CP54">
        <v>0.19</v>
      </c>
      <c r="CQ54" t="s">
        <v>53</v>
      </c>
      <c r="CV54" t="s">
        <v>306</v>
      </c>
      <c r="DA54" t="s">
        <v>306</v>
      </c>
      <c r="DB54" t="s">
        <v>1398</v>
      </c>
      <c r="DC54">
        <v>5762162</v>
      </c>
      <c r="DD54" t="s">
        <v>346</v>
      </c>
      <c r="DE54">
        <v>0.22</v>
      </c>
      <c r="DF54" t="s">
        <v>62</v>
      </c>
      <c r="DK54" t="s">
        <v>306</v>
      </c>
      <c r="DL54" t="s">
        <v>1398</v>
      </c>
      <c r="DM54">
        <v>5762162</v>
      </c>
      <c r="DN54" t="s">
        <v>346</v>
      </c>
      <c r="DO54">
        <v>0.22</v>
      </c>
      <c r="DP54" t="s">
        <v>62</v>
      </c>
      <c r="DU54" t="s">
        <v>306</v>
      </c>
      <c r="DV54" t="s">
        <v>455</v>
      </c>
      <c r="DW54">
        <v>4119538</v>
      </c>
      <c r="DX54" t="s">
        <v>364</v>
      </c>
      <c r="DY54">
        <v>0</v>
      </c>
      <c r="DZ54" t="s">
        <v>53</v>
      </c>
      <c r="EA54" t="s">
        <v>936</v>
      </c>
      <c r="EB54">
        <v>100369</v>
      </c>
      <c r="EC54" t="s">
        <v>366</v>
      </c>
      <c r="ED54">
        <v>0.17</v>
      </c>
      <c r="EE54" t="s">
        <v>53</v>
      </c>
      <c r="EF54" t="s">
        <v>1398</v>
      </c>
      <c r="EG54">
        <v>5762162</v>
      </c>
      <c r="EH54" t="s">
        <v>346</v>
      </c>
      <c r="EI54">
        <v>0.22</v>
      </c>
      <c r="EJ54" t="s">
        <v>62</v>
      </c>
      <c r="EO54" t="s">
        <v>306</v>
      </c>
      <c r="EP54" t="s">
        <v>687</v>
      </c>
      <c r="EQ54">
        <v>4368709</v>
      </c>
      <c r="ER54" t="s">
        <v>346</v>
      </c>
      <c r="ES54">
        <v>0.01</v>
      </c>
      <c r="ET54" t="s">
        <v>50</v>
      </c>
      <c r="EY54" t="s">
        <v>306</v>
      </c>
      <c r="EZ54" t="s">
        <v>1951</v>
      </c>
      <c r="FA54" t="s">
        <v>300</v>
      </c>
      <c r="FB54" t="s">
        <v>361</v>
      </c>
      <c r="FC54">
        <v>0</v>
      </c>
      <c r="FD54" t="s">
        <v>50</v>
      </c>
      <c r="FI54" t="s">
        <v>306</v>
      </c>
      <c r="FJ54" t="s">
        <v>380</v>
      </c>
      <c r="FK54">
        <v>4674815</v>
      </c>
      <c r="FL54" t="s">
        <v>346</v>
      </c>
      <c r="FM54">
        <v>0.05</v>
      </c>
      <c r="FN54" t="s">
        <v>320</v>
      </c>
      <c r="FS54" t="s">
        <v>306</v>
      </c>
      <c r="FT54" t="s">
        <v>414</v>
      </c>
      <c r="FU54" t="s">
        <v>300</v>
      </c>
      <c r="FV54" t="s">
        <v>361</v>
      </c>
      <c r="FW54">
        <v>0</v>
      </c>
      <c r="FX54" t="s">
        <v>50</v>
      </c>
      <c r="FY54" t="s">
        <v>1398</v>
      </c>
      <c r="FZ54">
        <v>5762162</v>
      </c>
      <c r="GA54" t="s">
        <v>346</v>
      </c>
      <c r="GB54">
        <v>0.22</v>
      </c>
      <c r="GC54" t="s">
        <v>62</v>
      </c>
      <c r="GD54" t="s">
        <v>1951</v>
      </c>
      <c r="GE54" t="s">
        <v>300</v>
      </c>
      <c r="GF54" t="s">
        <v>361</v>
      </c>
      <c r="GG54">
        <v>0</v>
      </c>
      <c r="GH54" t="s">
        <v>50</v>
      </c>
      <c r="GM54" t="s">
        <v>306</v>
      </c>
      <c r="GN54" t="s">
        <v>380</v>
      </c>
      <c r="GO54">
        <v>4674815</v>
      </c>
      <c r="GP54" t="s">
        <v>346</v>
      </c>
      <c r="GQ54">
        <v>0.05</v>
      </c>
      <c r="GR54" t="s">
        <v>320</v>
      </c>
      <c r="GS54" t="s">
        <v>726</v>
      </c>
      <c r="GT54">
        <v>4137941</v>
      </c>
      <c r="GU54" t="s">
        <v>346</v>
      </c>
      <c r="GV54">
        <v>0.05</v>
      </c>
      <c r="GW54" t="s">
        <v>50</v>
      </c>
      <c r="GX54" t="s">
        <v>936</v>
      </c>
      <c r="GY54">
        <v>100369</v>
      </c>
      <c r="GZ54" t="s">
        <v>366</v>
      </c>
      <c r="HA54">
        <v>0.17</v>
      </c>
      <c r="HB54" t="s">
        <v>53</v>
      </c>
      <c r="HG54" t="s">
        <v>306</v>
      </c>
    </row>
    <row r="55" spans="5:215" x14ac:dyDescent="0.35">
      <c r="E55" t="s">
        <v>306</v>
      </c>
      <c r="F55" t="s">
        <v>452</v>
      </c>
      <c r="G55">
        <v>4784107</v>
      </c>
      <c r="H55" t="s">
        <v>346</v>
      </c>
      <c r="I55">
        <v>0.05</v>
      </c>
      <c r="J55" t="s">
        <v>317</v>
      </c>
      <c r="K55" t="s">
        <v>411</v>
      </c>
      <c r="L55">
        <v>4272373</v>
      </c>
      <c r="M55" t="s">
        <v>346</v>
      </c>
      <c r="N55">
        <v>0.02</v>
      </c>
      <c r="O55" t="s">
        <v>313</v>
      </c>
      <c r="T55" t="s">
        <v>306</v>
      </c>
      <c r="U55" t="s">
        <v>396</v>
      </c>
      <c r="V55">
        <v>4119759</v>
      </c>
      <c r="W55" t="s">
        <v>346</v>
      </c>
      <c r="X55">
        <v>0.14000000000000001</v>
      </c>
      <c r="Y55" t="s">
        <v>53</v>
      </c>
      <c r="Z55" t="s">
        <v>411</v>
      </c>
      <c r="AA55">
        <v>4272373</v>
      </c>
      <c r="AB55" t="s">
        <v>346</v>
      </c>
      <c r="AC55">
        <v>0.02</v>
      </c>
      <c r="AD55" t="s">
        <v>313</v>
      </c>
      <c r="AE55" t="s">
        <v>1025</v>
      </c>
      <c r="AF55">
        <v>4137552</v>
      </c>
      <c r="AG55" t="s">
        <v>346</v>
      </c>
      <c r="AH55">
        <v>0.04</v>
      </c>
      <c r="AI55" t="s">
        <v>317</v>
      </c>
      <c r="AN55" t="s">
        <v>306</v>
      </c>
      <c r="AO55" t="s">
        <v>1268</v>
      </c>
      <c r="AP55">
        <v>4418744</v>
      </c>
      <c r="AQ55" t="s">
        <v>346</v>
      </c>
      <c r="AR55">
        <v>0.12</v>
      </c>
      <c r="AS55" t="s">
        <v>62</v>
      </c>
      <c r="AX55" t="s">
        <v>306</v>
      </c>
      <c r="AY55" t="s">
        <v>676</v>
      </c>
      <c r="AZ55">
        <v>15012201</v>
      </c>
      <c r="BA55" t="s">
        <v>346</v>
      </c>
      <c r="BB55">
        <v>0.01</v>
      </c>
      <c r="BC55" t="s">
        <v>50</v>
      </c>
      <c r="BD55" t="s">
        <v>949</v>
      </c>
      <c r="BE55">
        <v>4055370</v>
      </c>
      <c r="BF55" t="s">
        <v>362</v>
      </c>
      <c r="BG55">
        <v>0.2</v>
      </c>
      <c r="BH55" t="s">
        <v>2190</v>
      </c>
      <c r="BI55" t="s">
        <v>408</v>
      </c>
      <c r="BJ55">
        <v>4138917</v>
      </c>
      <c r="BK55" t="s">
        <v>346</v>
      </c>
      <c r="BL55">
        <v>0.1</v>
      </c>
      <c r="BM55" t="s">
        <v>125</v>
      </c>
      <c r="BN55" t="s">
        <v>681</v>
      </c>
      <c r="BO55">
        <v>5866754</v>
      </c>
      <c r="BP55" t="s">
        <v>346</v>
      </c>
      <c r="BQ55">
        <v>0.05</v>
      </c>
      <c r="BR55" t="s">
        <v>50</v>
      </c>
      <c r="BS55" t="s">
        <v>831</v>
      </c>
      <c r="BT55">
        <v>109508756</v>
      </c>
      <c r="BU55" t="s">
        <v>346</v>
      </c>
      <c r="BV55">
        <v>0.12</v>
      </c>
      <c r="BW55" t="s">
        <v>306</v>
      </c>
      <c r="BX55" t="s">
        <v>396</v>
      </c>
      <c r="BY55">
        <v>4119759</v>
      </c>
      <c r="BZ55" t="s">
        <v>346</v>
      </c>
      <c r="CA55">
        <v>0.14000000000000001</v>
      </c>
      <c r="CB55" t="s">
        <v>53</v>
      </c>
      <c r="CC55" t="s">
        <v>541</v>
      </c>
      <c r="CD55">
        <v>4135098</v>
      </c>
      <c r="CE55" t="s">
        <v>346</v>
      </c>
      <c r="CF55">
        <v>0.16</v>
      </c>
      <c r="CG55" t="s">
        <v>313</v>
      </c>
      <c r="CH55" t="s">
        <v>1268</v>
      </c>
      <c r="CI55">
        <v>4418744</v>
      </c>
      <c r="CJ55" t="s">
        <v>346</v>
      </c>
      <c r="CK55">
        <v>0.12</v>
      </c>
      <c r="CL55" t="s">
        <v>62</v>
      </c>
      <c r="CM55" t="s">
        <v>1701</v>
      </c>
      <c r="CN55">
        <v>19110619</v>
      </c>
      <c r="CO55" t="s">
        <v>346</v>
      </c>
      <c r="CP55">
        <v>0.19</v>
      </c>
      <c r="CQ55" t="s">
        <v>53</v>
      </c>
      <c r="CV55" t="s">
        <v>306</v>
      </c>
      <c r="DA55" t="s">
        <v>306</v>
      </c>
      <c r="DB55" t="s">
        <v>949</v>
      </c>
      <c r="DC55">
        <v>4055370</v>
      </c>
      <c r="DD55" t="s">
        <v>362</v>
      </c>
      <c r="DE55">
        <v>0.2</v>
      </c>
      <c r="DF55" t="s">
        <v>2190</v>
      </c>
      <c r="DK55" t="s">
        <v>306</v>
      </c>
      <c r="DL55" t="s">
        <v>949</v>
      </c>
      <c r="DM55">
        <v>4055370</v>
      </c>
      <c r="DN55" t="s">
        <v>362</v>
      </c>
      <c r="DO55">
        <v>0.2</v>
      </c>
      <c r="DP55" t="s">
        <v>2190</v>
      </c>
      <c r="DU55" t="s">
        <v>306</v>
      </c>
      <c r="DV55" t="s">
        <v>654</v>
      </c>
      <c r="DW55">
        <v>4208127</v>
      </c>
      <c r="DX55" t="s">
        <v>346</v>
      </c>
      <c r="DY55">
        <v>0</v>
      </c>
      <c r="DZ55" t="s">
        <v>2185</v>
      </c>
      <c r="EA55" t="s">
        <v>541</v>
      </c>
      <c r="EB55">
        <v>4135098</v>
      </c>
      <c r="EC55" t="s">
        <v>346</v>
      </c>
      <c r="ED55">
        <v>0.16</v>
      </c>
      <c r="EE55" t="s">
        <v>313</v>
      </c>
      <c r="EF55" t="s">
        <v>949</v>
      </c>
      <c r="EG55">
        <v>4055370</v>
      </c>
      <c r="EH55" t="s">
        <v>362</v>
      </c>
      <c r="EI55">
        <v>0.2</v>
      </c>
      <c r="EJ55" t="s">
        <v>2190</v>
      </c>
      <c r="EO55" t="s">
        <v>306</v>
      </c>
      <c r="EP55" t="s">
        <v>686</v>
      </c>
      <c r="EQ55">
        <v>4784142</v>
      </c>
      <c r="ER55" t="s">
        <v>346</v>
      </c>
      <c r="ES55">
        <v>0.01</v>
      </c>
      <c r="ET55" t="s">
        <v>50</v>
      </c>
      <c r="EY55" t="s">
        <v>306</v>
      </c>
      <c r="EZ55" t="s">
        <v>1952</v>
      </c>
      <c r="FA55" t="s">
        <v>300</v>
      </c>
      <c r="FB55" t="s">
        <v>361</v>
      </c>
      <c r="FC55">
        <v>0</v>
      </c>
      <c r="FD55" t="s">
        <v>50</v>
      </c>
      <c r="FI55" t="s">
        <v>306</v>
      </c>
      <c r="FJ55" t="s">
        <v>974</v>
      </c>
      <c r="FK55">
        <v>5828077</v>
      </c>
      <c r="FL55" t="s">
        <v>346</v>
      </c>
      <c r="FM55">
        <v>0.04</v>
      </c>
      <c r="FN55" t="s">
        <v>313</v>
      </c>
      <c r="FS55" t="s">
        <v>306</v>
      </c>
      <c r="FT55" t="s">
        <v>415</v>
      </c>
      <c r="FU55">
        <v>110587</v>
      </c>
      <c r="FV55" t="s">
        <v>346</v>
      </c>
      <c r="FW55">
        <v>0</v>
      </c>
      <c r="FX55" t="s">
        <v>53</v>
      </c>
      <c r="FY55" t="s">
        <v>949</v>
      </c>
      <c r="FZ55">
        <v>4055370</v>
      </c>
      <c r="GA55" t="s">
        <v>362</v>
      </c>
      <c r="GB55">
        <v>0.2</v>
      </c>
      <c r="GC55" t="s">
        <v>2190</v>
      </c>
      <c r="GD55" t="s">
        <v>1952</v>
      </c>
      <c r="GE55" t="s">
        <v>300</v>
      </c>
      <c r="GF55" t="s">
        <v>361</v>
      </c>
      <c r="GG55">
        <v>0</v>
      </c>
      <c r="GH55" t="s">
        <v>50</v>
      </c>
      <c r="GM55" t="s">
        <v>306</v>
      </c>
      <c r="GN55" t="s">
        <v>974</v>
      </c>
      <c r="GO55">
        <v>5828077</v>
      </c>
      <c r="GP55" t="s">
        <v>346</v>
      </c>
      <c r="GQ55">
        <v>0.04</v>
      </c>
      <c r="GR55" t="s">
        <v>313</v>
      </c>
      <c r="GS55" t="s">
        <v>681</v>
      </c>
      <c r="GT55">
        <v>5866754</v>
      </c>
      <c r="GU55" t="s">
        <v>346</v>
      </c>
      <c r="GV55">
        <v>0.05</v>
      </c>
      <c r="GW55" t="s">
        <v>50</v>
      </c>
      <c r="GX55" t="s">
        <v>541</v>
      </c>
      <c r="GY55">
        <v>4135098</v>
      </c>
      <c r="GZ55" t="s">
        <v>346</v>
      </c>
      <c r="HA55">
        <v>0.16</v>
      </c>
      <c r="HB55" t="s">
        <v>313</v>
      </c>
      <c r="HG55" t="s">
        <v>306</v>
      </c>
    </row>
    <row r="56" spans="5:215" x14ac:dyDescent="0.35">
      <c r="E56" t="s">
        <v>306</v>
      </c>
      <c r="F56" t="s">
        <v>453</v>
      </c>
      <c r="G56">
        <v>4318598</v>
      </c>
      <c r="H56" t="s">
        <v>346</v>
      </c>
      <c r="I56">
        <v>0.05</v>
      </c>
      <c r="J56" t="s">
        <v>53</v>
      </c>
      <c r="K56" t="s">
        <v>410</v>
      </c>
      <c r="L56">
        <v>5759394</v>
      </c>
      <c r="M56" t="s">
        <v>346</v>
      </c>
      <c r="N56">
        <v>0.02</v>
      </c>
      <c r="O56" t="s">
        <v>2186</v>
      </c>
      <c r="T56" t="s">
        <v>306</v>
      </c>
      <c r="U56" t="s">
        <v>684</v>
      </c>
      <c r="V56">
        <v>4139415</v>
      </c>
      <c r="W56" t="s">
        <v>346</v>
      </c>
      <c r="X56">
        <v>0.13</v>
      </c>
      <c r="Y56" t="s">
        <v>50</v>
      </c>
      <c r="Z56" t="s">
        <v>410</v>
      </c>
      <c r="AA56">
        <v>5759394</v>
      </c>
      <c r="AB56" t="s">
        <v>346</v>
      </c>
      <c r="AC56">
        <v>0.02</v>
      </c>
      <c r="AD56" t="s">
        <v>2186</v>
      </c>
      <c r="AE56" t="s">
        <v>752</v>
      </c>
      <c r="AF56">
        <v>111272</v>
      </c>
      <c r="AG56" t="s">
        <v>346</v>
      </c>
      <c r="AH56">
        <v>0.03</v>
      </c>
      <c r="AI56" t="s">
        <v>313</v>
      </c>
      <c r="AN56" t="s">
        <v>306</v>
      </c>
      <c r="AO56" t="s">
        <v>429</v>
      </c>
      <c r="AP56">
        <v>4607441</v>
      </c>
      <c r="AQ56" t="s">
        <v>346</v>
      </c>
      <c r="AR56">
        <v>0.12</v>
      </c>
      <c r="AS56" t="s">
        <v>304</v>
      </c>
      <c r="AX56" t="s">
        <v>306</v>
      </c>
      <c r="AY56" t="s">
        <v>766</v>
      </c>
      <c r="AZ56">
        <v>4138826</v>
      </c>
      <c r="BA56" t="s">
        <v>346</v>
      </c>
      <c r="BB56">
        <v>0.01</v>
      </c>
      <c r="BC56" t="s">
        <v>50</v>
      </c>
      <c r="BD56" t="s">
        <v>1399</v>
      </c>
      <c r="BE56">
        <v>109681</v>
      </c>
      <c r="BF56" t="s">
        <v>346</v>
      </c>
      <c r="BG56">
        <v>0.2</v>
      </c>
      <c r="BH56" t="s">
        <v>53</v>
      </c>
      <c r="BI56" t="s">
        <v>452</v>
      </c>
      <c r="BJ56">
        <v>4784107</v>
      </c>
      <c r="BK56" t="s">
        <v>346</v>
      </c>
      <c r="BL56">
        <v>0.1</v>
      </c>
      <c r="BM56" t="s">
        <v>317</v>
      </c>
      <c r="BN56" t="s">
        <v>378</v>
      </c>
      <c r="BO56">
        <v>4048184</v>
      </c>
      <c r="BP56" t="s">
        <v>346</v>
      </c>
      <c r="BQ56">
        <v>0.05</v>
      </c>
      <c r="BR56" t="s">
        <v>80</v>
      </c>
      <c r="BS56" t="s">
        <v>760</v>
      </c>
      <c r="BT56">
        <v>4677331</v>
      </c>
      <c r="BU56" t="s">
        <v>346</v>
      </c>
      <c r="BV56">
        <v>0.11</v>
      </c>
      <c r="BW56" t="s">
        <v>50</v>
      </c>
      <c r="BX56" t="s">
        <v>684</v>
      </c>
      <c r="BY56">
        <v>4139415</v>
      </c>
      <c r="BZ56" t="s">
        <v>346</v>
      </c>
      <c r="CA56">
        <v>0.13</v>
      </c>
      <c r="CB56" t="s">
        <v>50</v>
      </c>
      <c r="CC56" t="s">
        <v>436</v>
      </c>
      <c r="CD56">
        <v>111219</v>
      </c>
      <c r="CE56" t="s">
        <v>346</v>
      </c>
      <c r="CF56">
        <v>0.16</v>
      </c>
      <c r="CG56" t="s">
        <v>53</v>
      </c>
      <c r="CH56" t="s">
        <v>429</v>
      </c>
      <c r="CI56">
        <v>4607441</v>
      </c>
      <c r="CJ56" t="s">
        <v>346</v>
      </c>
      <c r="CK56">
        <v>0.12</v>
      </c>
      <c r="CL56" t="s">
        <v>304</v>
      </c>
      <c r="CM56" t="s">
        <v>1434</v>
      </c>
      <c r="CN56">
        <v>4437851</v>
      </c>
      <c r="CO56" t="s">
        <v>346</v>
      </c>
      <c r="CP56">
        <v>0.18</v>
      </c>
      <c r="CQ56" t="s">
        <v>53</v>
      </c>
      <c r="CV56" t="s">
        <v>306</v>
      </c>
      <c r="DA56" t="s">
        <v>306</v>
      </c>
      <c r="DB56" t="s">
        <v>1399</v>
      </c>
      <c r="DC56">
        <v>109681</v>
      </c>
      <c r="DD56" t="s">
        <v>346</v>
      </c>
      <c r="DE56">
        <v>0.2</v>
      </c>
      <c r="DF56" t="s">
        <v>53</v>
      </c>
      <c r="DK56" t="s">
        <v>306</v>
      </c>
      <c r="DL56" t="s">
        <v>1399</v>
      </c>
      <c r="DM56">
        <v>109681</v>
      </c>
      <c r="DN56" t="s">
        <v>346</v>
      </c>
      <c r="DO56">
        <v>0.2</v>
      </c>
      <c r="DP56" t="s">
        <v>53</v>
      </c>
      <c r="DU56" t="s">
        <v>306</v>
      </c>
      <c r="DV56" t="s">
        <v>1198</v>
      </c>
      <c r="DW56">
        <v>5752489</v>
      </c>
      <c r="DX56" t="s">
        <v>276</v>
      </c>
      <c r="DY56">
        <v>0</v>
      </c>
      <c r="DZ56" t="s">
        <v>77</v>
      </c>
      <c r="EA56" t="s">
        <v>436</v>
      </c>
      <c r="EB56">
        <v>111219</v>
      </c>
      <c r="EC56" t="s">
        <v>346</v>
      </c>
      <c r="ED56">
        <v>0.16</v>
      </c>
      <c r="EE56" t="s">
        <v>53</v>
      </c>
      <c r="EF56" t="s">
        <v>1399</v>
      </c>
      <c r="EG56">
        <v>109681</v>
      </c>
      <c r="EH56" t="s">
        <v>346</v>
      </c>
      <c r="EI56">
        <v>0.2</v>
      </c>
      <c r="EJ56" t="s">
        <v>53</v>
      </c>
      <c r="EO56" t="s">
        <v>306</v>
      </c>
      <c r="EP56" t="s">
        <v>785</v>
      </c>
      <c r="EQ56">
        <v>4139950</v>
      </c>
      <c r="ER56" t="s">
        <v>346</v>
      </c>
      <c r="ES56">
        <v>0.01</v>
      </c>
      <c r="ET56" t="s">
        <v>50</v>
      </c>
      <c r="EY56" t="s">
        <v>306</v>
      </c>
      <c r="EZ56" t="s">
        <v>1953</v>
      </c>
      <c r="FA56" t="s">
        <v>300</v>
      </c>
      <c r="FB56" t="s">
        <v>361</v>
      </c>
      <c r="FC56">
        <v>0</v>
      </c>
      <c r="FD56" t="s">
        <v>50</v>
      </c>
      <c r="FI56" t="s">
        <v>306</v>
      </c>
      <c r="FJ56" t="s">
        <v>400</v>
      </c>
      <c r="FK56">
        <v>7834181</v>
      </c>
      <c r="FL56" t="s">
        <v>346</v>
      </c>
      <c r="FM56">
        <v>0.04</v>
      </c>
      <c r="FN56" t="s">
        <v>313</v>
      </c>
      <c r="FS56" t="s">
        <v>306</v>
      </c>
      <c r="FT56" t="s">
        <v>416</v>
      </c>
      <c r="FU56" t="s">
        <v>300</v>
      </c>
      <c r="FV56" t="s">
        <v>361</v>
      </c>
      <c r="FW56">
        <v>0</v>
      </c>
      <c r="FX56" t="s">
        <v>50</v>
      </c>
      <c r="FY56" t="s">
        <v>1399</v>
      </c>
      <c r="FZ56">
        <v>109681</v>
      </c>
      <c r="GA56" t="s">
        <v>346</v>
      </c>
      <c r="GB56">
        <v>0.2</v>
      </c>
      <c r="GC56" t="s">
        <v>53</v>
      </c>
      <c r="GD56" t="s">
        <v>1953</v>
      </c>
      <c r="GE56" t="s">
        <v>300</v>
      </c>
      <c r="GF56" t="s">
        <v>361</v>
      </c>
      <c r="GG56">
        <v>0</v>
      </c>
      <c r="GH56" t="s">
        <v>50</v>
      </c>
      <c r="GM56" t="s">
        <v>306</v>
      </c>
      <c r="GN56" t="s">
        <v>400</v>
      </c>
      <c r="GO56">
        <v>7834181</v>
      </c>
      <c r="GP56" t="s">
        <v>346</v>
      </c>
      <c r="GQ56">
        <v>0.04</v>
      </c>
      <c r="GR56" t="s">
        <v>313</v>
      </c>
      <c r="GS56" t="s">
        <v>378</v>
      </c>
      <c r="GT56">
        <v>4048184</v>
      </c>
      <c r="GU56" t="s">
        <v>346</v>
      </c>
      <c r="GV56">
        <v>0.05</v>
      </c>
      <c r="GW56" t="s">
        <v>80</v>
      </c>
      <c r="GX56" t="s">
        <v>436</v>
      </c>
      <c r="GY56">
        <v>111219</v>
      </c>
      <c r="GZ56" t="s">
        <v>346</v>
      </c>
      <c r="HA56">
        <v>0.16</v>
      </c>
      <c r="HB56" t="s">
        <v>53</v>
      </c>
      <c r="HG56" t="s">
        <v>306</v>
      </c>
    </row>
    <row r="57" spans="5:215" x14ac:dyDescent="0.35">
      <c r="E57" t="s">
        <v>306</v>
      </c>
      <c r="F57" t="s">
        <v>378</v>
      </c>
      <c r="G57">
        <v>4048184</v>
      </c>
      <c r="H57" t="s">
        <v>346</v>
      </c>
      <c r="I57">
        <v>0.04</v>
      </c>
      <c r="J57" t="s">
        <v>80</v>
      </c>
      <c r="K57" t="s">
        <v>469</v>
      </c>
      <c r="L57">
        <v>4026996</v>
      </c>
      <c r="M57" t="s">
        <v>346</v>
      </c>
      <c r="N57">
        <v>0.01</v>
      </c>
      <c r="O57" t="s">
        <v>53</v>
      </c>
      <c r="T57" t="s">
        <v>306</v>
      </c>
      <c r="U57" t="s">
        <v>583</v>
      </c>
      <c r="V57">
        <v>4579014</v>
      </c>
      <c r="W57" t="s">
        <v>346</v>
      </c>
      <c r="X57">
        <v>0.12</v>
      </c>
      <c r="Y57" t="s">
        <v>53</v>
      </c>
      <c r="Z57" t="s">
        <v>469</v>
      </c>
      <c r="AA57">
        <v>4026996</v>
      </c>
      <c r="AB57" t="s">
        <v>346</v>
      </c>
      <c r="AC57">
        <v>0.01</v>
      </c>
      <c r="AD57" t="s">
        <v>53</v>
      </c>
      <c r="AE57" t="s">
        <v>410</v>
      </c>
      <c r="AF57">
        <v>5759394</v>
      </c>
      <c r="AG57" t="s">
        <v>346</v>
      </c>
      <c r="AH57">
        <v>0.03</v>
      </c>
      <c r="AI57" t="s">
        <v>2186</v>
      </c>
      <c r="AN57" t="s">
        <v>306</v>
      </c>
      <c r="AO57" t="s">
        <v>1269</v>
      </c>
      <c r="AP57">
        <v>4840599</v>
      </c>
      <c r="AQ57" t="s">
        <v>364</v>
      </c>
      <c r="AR57">
        <v>0.12</v>
      </c>
      <c r="AS57" t="s">
        <v>62</v>
      </c>
      <c r="AX57" t="s">
        <v>306</v>
      </c>
      <c r="AY57" t="s">
        <v>399</v>
      </c>
      <c r="AZ57">
        <v>4026948</v>
      </c>
      <c r="BA57" t="s">
        <v>346</v>
      </c>
      <c r="BB57">
        <v>0.01</v>
      </c>
      <c r="BC57" t="s">
        <v>317</v>
      </c>
      <c r="BD57" t="s">
        <v>1400</v>
      </c>
      <c r="BE57">
        <v>4200014</v>
      </c>
      <c r="BF57" t="s">
        <v>346</v>
      </c>
      <c r="BG57">
        <v>0.2</v>
      </c>
      <c r="BH57" t="s">
        <v>62</v>
      </c>
      <c r="BI57" t="s">
        <v>1478</v>
      </c>
      <c r="BJ57">
        <v>4339354</v>
      </c>
      <c r="BK57" t="s">
        <v>346</v>
      </c>
      <c r="BL57">
        <v>0.09</v>
      </c>
      <c r="BM57" t="s">
        <v>53</v>
      </c>
      <c r="BN57" t="s">
        <v>1235</v>
      </c>
      <c r="BO57" t="s">
        <v>300</v>
      </c>
      <c r="BP57" t="s">
        <v>361</v>
      </c>
      <c r="BQ57">
        <v>0.05</v>
      </c>
      <c r="BR57" t="s">
        <v>50</v>
      </c>
      <c r="BS57" t="s">
        <v>677</v>
      </c>
      <c r="BT57">
        <v>4345260</v>
      </c>
      <c r="BU57" t="s">
        <v>346</v>
      </c>
      <c r="BV57">
        <v>0.11</v>
      </c>
      <c r="BW57" t="s">
        <v>50</v>
      </c>
      <c r="BX57" t="s">
        <v>583</v>
      </c>
      <c r="BY57">
        <v>4579014</v>
      </c>
      <c r="BZ57" t="s">
        <v>346</v>
      </c>
      <c r="CA57">
        <v>0.12</v>
      </c>
      <c r="CB57" t="s">
        <v>53</v>
      </c>
      <c r="CC57" t="s">
        <v>612</v>
      </c>
      <c r="CD57">
        <v>5805166</v>
      </c>
      <c r="CE57" t="s">
        <v>346</v>
      </c>
      <c r="CF57">
        <v>0.16</v>
      </c>
      <c r="CG57" t="s">
        <v>323</v>
      </c>
      <c r="CH57" t="s">
        <v>1269</v>
      </c>
      <c r="CI57">
        <v>4840599</v>
      </c>
      <c r="CJ57" t="s">
        <v>364</v>
      </c>
      <c r="CK57">
        <v>0.12</v>
      </c>
      <c r="CL57" t="s">
        <v>62</v>
      </c>
      <c r="CM57" t="s">
        <v>1315</v>
      </c>
      <c r="CN57">
        <v>4139315</v>
      </c>
      <c r="CO57" t="s">
        <v>346</v>
      </c>
      <c r="CP57">
        <v>0.17</v>
      </c>
      <c r="CQ57" t="s">
        <v>2185</v>
      </c>
      <c r="CV57" t="s">
        <v>306</v>
      </c>
      <c r="DA57" t="s">
        <v>306</v>
      </c>
      <c r="DB57" t="s">
        <v>1400</v>
      </c>
      <c r="DC57">
        <v>4200014</v>
      </c>
      <c r="DD57" t="s">
        <v>346</v>
      </c>
      <c r="DE57">
        <v>0.2</v>
      </c>
      <c r="DF57" t="s">
        <v>62</v>
      </c>
      <c r="DK57" t="s">
        <v>306</v>
      </c>
      <c r="DL57" t="s">
        <v>1400</v>
      </c>
      <c r="DM57">
        <v>4200014</v>
      </c>
      <c r="DN57" t="s">
        <v>346</v>
      </c>
      <c r="DO57">
        <v>0.2</v>
      </c>
      <c r="DP57" t="s">
        <v>62</v>
      </c>
      <c r="DU57" t="s">
        <v>306</v>
      </c>
      <c r="DV57" t="s">
        <v>1199</v>
      </c>
      <c r="DW57">
        <v>4272199</v>
      </c>
      <c r="DX57" t="s">
        <v>346</v>
      </c>
      <c r="DY57">
        <v>0</v>
      </c>
      <c r="DZ57" t="s">
        <v>323</v>
      </c>
      <c r="EA57" t="s">
        <v>612</v>
      </c>
      <c r="EB57">
        <v>5805166</v>
      </c>
      <c r="EC57" t="s">
        <v>346</v>
      </c>
      <c r="ED57">
        <v>0.16</v>
      </c>
      <c r="EE57" t="s">
        <v>323</v>
      </c>
      <c r="EF57" t="s">
        <v>1400</v>
      </c>
      <c r="EG57">
        <v>4200014</v>
      </c>
      <c r="EH57" t="s">
        <v>346</v>
      </c>
      <c r="EI57">
        <v>0.2</v>
      </c>
      <c r="EJ57" t="s">
        <v>62</v>
      </c>
      <c r="EO57" t="s">
        <v>306</v>
      </c>
      <c r="EP57" t="s">
        <v>406</v>
      </c>
      <c r="EQ57">
        <v>4115698</v>
      </c>
      <c r="ER57" t="s">
        <v>346</v>
      </c>
      <c r="ES57">
        <v>0.01</v>
      </c>
      <c r="ET57" t="s">
        <v>313</v>
      </c>
      <c r="EY57" t="s">
        <v>306</v>
      </c>
      <c r="EZ57" t="s">
        <v>1954</v>
      </c>
      <c r="FA57" t="s">
        <v>300</v>
      </c>
      <c r="FB57" t="s">
        <v>361</v>
      </c>
      <c r="FC57">
        <v>0</v>
      </c>
      <c r="FD57" t="s">
        <v>50</v>
      </c>
      <c r="FI57" t="s">
        <v>306</v>
      </c>
      <c r="FJ57" t="s">
        <v>432</v>
      </c>
      <c r="FK57">
        <v>110092</v>
      </c>
      <c r="FL57" t="s">
        <v>346</v>
      </c>
      <c r="FM57">
        <v>0.04</v>
      </c>
      <c r="FN57" t="s">
        <v>53</v>
      </c>
      <c r="FS57" t="s">
        <v>306</v>
      </c>
      <c r="FT57" t="s">
        <v>417</v>
      </c>
      <c r="FU57" t="s">
        <v>300</v>
      </c>
      <c r="FV57" t="s">
        <v>361</v>
      </c>
      <c r="FW57">
        <v>0</v>
      </c>
      <c r="FX57" t="s">
        <v>50</v>
      </c>
      <c r="FY57" t="s">
        <v>1400</v>
      </c>
      <c r="FZ57">
        <v>4200014</v>
      </c>
      <c r="GA57" t="s">
        <v>346</v>
      </c>
      <c r="GB57">
        <v>0.2</v>
      </c>
      <c r="GC57" t="s">
        <v>62</v>
      </c>
      <c r="GD57" t="s">
        <v>1954</v>
      </c>
      <c r="GE57" t="s">
        <v>300</v>
      </c>
      <c r="GF57" t="s">
        <v>361</v>
      </c>
      <c r="GG57">
        <v>0</v>
      </c>
      <c r="GH57" t="s">
        <v>50</v>
      </c>
      <c r="GM57" t="s">
        <v>306</v>
      </c>
      <c r="GN57" t="s">
        <v>432</v>
      </c>
      <c r="GO57">
        <v>110092</v>
      </c>
      <c r="GP57" t="s">
        <v>346</v>
      </c>
      <c r="GQ57">
        <v>0.04</v>
      </c>
      <c r="GR57" t="s">
        <v>53</v>
      </c>
      <c r="GS57" t="s">
        <v>1235</v>
      </c>
      <c r="GT57" t="s">
        <v>300</v>
      </c>
      <c r="GU57" t="s">
        <v>361</v>
      </c>
      <c r="GV57">
        <v>0.05</v>
      </c>
      <c r="GW57" t="s">
        <v>50</v>
      </c>
      <c r="GX57" t="s">
        <v>612</v>
      </c>
      <c r="GY57">
        <v>5805166</v>
      </c>
      <c r="GZ57" t="s">
        <v>346</v>
      </c>
      <c r="HA57">
        <v>0.16</v>
      </c>
      <c r="HB57" t="s">
        <v>323</v>
      </c>
      <c r="HG57" t="s">
        <v>306</v>
      </c>
    </row>
    <row r="58" spans="5:215" x14ac:dyDescent="0.35">
      <c r="E58" t="s">
        <v>306</v>
      </c>
      <c r="F58" t="s">
        <v>454</v>
      </c>
      <c r="G58">
        <v>4145691</v>
      </c>
      <c r="H58" t="s">
        <v>346</v>
      </c>
      <c r="I58">
        <v>0.04</v>
      </c>
      <c r="J58" t="s">
        <v>53</v>
      </c>
      <c r="K58" t="s">
        <v>656</v>
      </c>
      <c r="L58">
        <v>5826475</v>
      </c>
      <c r="M58" t="s">
        <v>346</v>
      </c>
      <c r="N58">
        <v>0.01</v>
      </c>
      <c r="O58" t="s">
        <v>50</v>
      </c>
      <c r="T58" t="s">
        <v>306</v>
      </c>
      <c r="U58" t="s">
        <v>355</v>
      </c>
      <c r="V58">
        <v>111074</v>
      </c>
      <c r="W58" t="s">
        <v>346</v>
      </c>
      <c r="X58">
        <v>0.12</v>
      </c>
      <c r="Y58" t="s">
        <v>53</v>
      </c>
      <c r="Z58" t="s">
        <v>656</v>
      </c>
      <c r="AA58">
        <v>5826475</v>
      </c>
      <c r="AB58" t="s">
        <v>346</v>
      </c>
      <c r="AC58">
        <v>0.01</v>
      </c>
      <c r="AD58" t="s">
        <v>50</v>
      </c>
      <c r="AE58" t="s">
        <v>419</v>
      </c>
      <c r="AF58">
        <v>4338202</v>
      </c>
      <c r="AG58" t="s">
        <v>346</v>
      </c>
      <c r="AH58">
        <v>0.03</v>
      </c>
      <c r="AI58" t="s">
        <v>53</v>
      </c>
      <c r="AN58" t="s">
        <v>306</v>
      </c>
      <c r="AO58" t="s">
        <v>1218</v>
      </c>
      <c r="AP58">
        <v>4423321</v>
      </c>
      <c r="AQ58" t="s">
        <v>346</v>
      </c>
      <c r="AR58">
        <v>0.11</v>
      </c>
      <c r="AS58" t="s">
        <v>62</v>
      </c>
      <c r="AX58" t="s">
        <v>306</v>
      </c>
      <c r="AY58" t="s">
        <v>731</v>
      </c>
      <c r="AZ58">
        <v>4417406</v>
      </c>
      <c r="BA58" t="s">
        <v>346</v>
      </c>
      <c r="BB58">
        <v>0.01</v>
      </c>
      <c r="BC58" t="s">
        <v>50</v>
      </c>
      <c r="BD58" t="s">
        <v>489</v>
      </c>
      <c r="BE58">
        <v>4324456</v>
      </c>
      <c r="BF58" t="s">
        <v>346</v>
      </c>
      <c r="BG58">
        <v>0.2</v>
      </c>
      <c r="BH58" t="s">
        <v>2194</v>
      </c>
      <c r="BI58" t="s">
        <v>560</v>
      </c>
      <c r="BJ58">
        <v>4095848</v>
      </c>
      <c r="BK58" t="s">
        <v>346</v>
      </c>
      <c r="BL58">
        <v>0.09</v>
      </c>
      <c r="BM58" t="s">
        <v>53</v>
      </c>
      <c r="BN58" t="s">
        <v>731</v>
      </c>
      <c r="BO58">
        <v>4417406</v>
      </c>
      <c r="BP58" t="s">
        <v>346</v>
      </c>
      <c r="BQ58">
        <v>0.05</v>
      </c>
      <c r="BR58" t="s">
        <v>50</v>
      </c>
      <c r="BS58" t="s">
        <v>726</v>
      </c>
      <c r="BT58">
        <v>4137941</v>
      </c>
      <c r="BU58" t="s">
        <v>346</v>
      </c>
      <c r="BV58">
        <v>0.1</v>
      </c>
      <c r="BW58" t="s">
        <v>50</v>
      </c>
      <c r="BX58" t="s">
        <v>355</v>
      </c>
      <c r="BY58">
        <v>111074</v>
      </c>
      <c r="BZ58" t="s">
        <v>346</v>
      </c>
      <c r="CA58">
        <v>0.12</v>
      </c>
      <c r="CB58" t="s">
        <v>53</v>
      </c>
      <c r="CC58" t="s">
        <v>432</v>
      </c>
      <c r="CD58">
        <v>110092</v>
      </c>
      <c r="CE58" t="s">
        <v>346</v>
      </c>
      <c r="CF58">
        <v>0.16</v>
      </c>
      <c r="CG58" t="s">
        <v>53</v>
      </c>
      <c r="CH58" t="s">
        <v>1218</v>
      </c>
      <c r="CI58">
        <v>4423321</v>
      </c>
      <c r="CJ58" t="s">
        <v>346</v>
      </c>
      <c r="CK58">
        <v>0.11</v>
      </c>
      <c r="CL58" t="s">
        <v>62</v>
      </c>
      <c r="CM58" t="s">
        <v>1266</v>
      </c>
      <c r="CN58">
        <v>5842278</v>
      </c>
      <c r="CO58" t="s">
        <v>346</v>
      </c>
      <c r="CP58">
        <v>0.16</v>
      </c>
      <c r="CQ58" t="s">
        <v>62</v>
      </c>
      <c r="CV58" t="s">
        <v>306</v>
      </c>
      <c r="DA58" t="s">
        <v>306</v>
      </c>
      <c r="DB58" t="s">
        <v>489</v>
      </c>
      <c r="DC58">
        <v>4324456</v>
      </c>
      <c r="DD58" t="s">
        <v>346</v>
      </c>
      <c r="DE58">
        <v>0.2</v>
      </c>
      <c r="DF58" t="s">
        <v>2194</v>
      </c>
      <c r="DK58" t="s">
        <v>306</v>
      </c>
      <c r="DL58" t="s">
        <v>489</v>
      </c>
      <c r="DM58">
        <v>4324456</v>
      </c>
      <c r="DN58" t="s">
        <v>346</v>
      </c>
      <c r="DO58">
        <v>0.2</v>
      </c>
      <c r="DP58" t="s">
        <v>2194</v>
      </c>
      <c r="DU58" t="s">
        <v>306</v>
      </c>
      <c r="DV58" t="s">
        <v>480</v>
      </c>
      <c r="DW58">
        <v>4119651</v>
      </c>
      <c r="DX58" t="s">
        <v>346</v>
      </c>
      <c r="DY58">
        <v>0</v>
      </c>
      <c r="DZ58" t="s">
        <v>53</v>
      </c>
      <c r="EA58" t="s">
        <v>432</v>
      </c>
      <c r="EB58">
        <v>110092</v>
      </c>
      <c r="EC58" t="s">
        <v>346</v>
      </c>
      <c r="ED58">
        <v>0.16</v>
      </c>
      <c r="EE58" t="s">
        <v>53</v>
      </c>
      <c r="EF58" t="s">
        <v>489</v>
      </c>
      <c r="EG58">
        <v>4324456</v>
      </c>
      <c r="EH58" t="s">
        <v>346</v>
      </c>
      <c r="EI58">
        <v>0.2</v>
      </c>
      <c r="EJ58" t="s">
        <v>2194</v>
      </c>
      <c r="EO58" t="s">
        <v>306</v>
      </c>
      <c r="EP58" t="s">
        <v>647</v>
      </c>
      <c r="EQ58">
        <v>4556995</v>
      </c>
      <c r="ER58" t="s">
        <v>346</v>
      </c>
      <c r="ES58">
        <v>0.01</v>
      </c>
      <c r="ET58" t="s">
        <v>50</v>
      </c>
      <c r="EY58" t="s">
        <v>306</v>
      </c>
      <c r="EZ58" t="s">
        <v>1955</v>
      </c>
      <c r="FA58" t="s">
        <v>300</v>
      </c>
      <c r="FB58" t="s">
        <v>361</v>
      </c>
      <c r="FC58">
        <v>0</v>
      </c>
      <c r="FD58" t="s">
        <v>50</v>
      </c>
      <c r="FI58" t="s">
        <v>306</v>
      </c>
      <c r="FJ58" t="s">
        <v>378</v>
      </c>
      <c r="FK58">
        <v>4048184</v>
      </c>
      <c r="FL58" t="s">
        <v>346</v>
      </c>
      <c r="FM58">
        <v>0.04</v>
      </c>
      <c r="FN58" t="s">
        <v>80</v>
      </c>
      <c r="FS58" t="s">
        <v>306</v>
      </c>
      <c r="FT58" t="s">
        <v>418</v>
      </c>
      <c r="FU58">
        <v>109776</v>
      </c>
      <c r="FV58" t="s">
        <v>346</v>
      </c>
      <c r="FW58">
        <v>0</v>
      </c>
      <c r="FX58" t="s">
        <v>53</v>
      </c>
      <c r="FY58" t="s">
        <v>489</v>
      </c>
      <c r="FZ58">
        <v>4324456</v>
      </c>
      <c r="GA58" t="s">
        <v>346</v>
      </c>
      <c r="GB58">
        <v>0.2</v>
      </c>
      <c r="GC58" t="s">
        <v>2194</v>
      </c>
      <c r="GD58" t="s">
        <v>1955</v>
      </c>
      <c r="GE58" t="s">
        <v>300</v>
      </c>
      <c r="GF58" t="s">
        <v>361</v>
      </c>
      <c r="GG58">
        <v>0</v>
      </c>
      <c r="GH58" t="s">
        <v>50</v>
      </c>
      <c r="GM58" t="s">
        <v>306</v>
      </c>
      <c r="GN58" t="s">
        <v>378</v>
      </c>
      <c r="GO58">
        <v>4048184</v>
      </c>
      <c r="GP58" t="s">
        <v>346</v>
      </c>
      <c r="GQ58">
        <v>0.04</v>
      </c>
      <c r="GR58" t="s">
        <v>80</v>
      </c>
      <c r="GS58" t="s">
        <v>731</v>
      </c>
      <c r="GT58">
        <v>4417406</v>
      </c>
      <c r="GU58" t="s">
        <v>346</v>
      </c>
      <c r="GV58">
        <v>0.05</v>
      </c>
      <c r="GW58" t="s">
        <v>50</v>
      </c>
      <c r="GX58" t="s">
        <v>432</v>
      </c>
      <c r="GY58">
        <v>110092</v>
      </c>
      <c r="GZ58" t="s">
        <v>346</v>
      </c>
      <c r="HA58">
        <v>0.16</v>
      </c>
      <c r="HB58" t="s">
        <v>53</v>
      </c>
      <c r="HG58" t="s">
        <v>306</v>
      </c>
    </row>
    <row r="59" spans="5:215" x14ac:dyDescent="0.35">
      <c r="E59" t="s">
        <v>306</v>
      </c>
      <c r="F59" t="s">
        <v>455</v>
      </c>
      <c r="G59">
        <v>4119538</v>
      </c>
      <c r="H59" t="s">
        <v>364</v>
      </c>
      <c r="I59">
        <v>0.04</v>
      </c>
      <c r="J59" t="s">
        <v>53</v>
      </c>
      <c r="K59" t="s">
        <v>452</v>
      </c>
      <c r="L59">
        <v>4784107</v>
      </c>
      <c r="M59" t="s">
        <v>346</v>
      </c>
      <c r="N59">
        <v>0.01</v>
      </c>
      <c r="O59" t="s">
        <v>317</v>
      </c>
      <c r="T59" t="s">
        <v>306</v>
      </c>
      <c r="U59" t="s">
        <v>673</v>
      </c>
      <c r="V59">
        <v>5837129</v>
      </c>
      <c r="W59" t="s">
        <v>346</v>
      </c>
      <c r="X59">
        <v>0.12</v>
      </c>
      <c r="Y59" t="s">
        <v>50</v>
      </c>
      <c r="Z59" t="s">
        <v>452</v>
      </c>
      <c r="AA59">
        <v>4784107</v>
      </c>
      <c r="AB59" t="s">
        <v>346</v>
      </c>
      <c r="AC59">
        <v>0.01</v>
      </c>
      <c r="AD59" t="s">
        <v>317</v>
      </c>
      <c r="AE59" t="s">
        <v>1120</v>
      </c>
      <c r="AF59">
        <v>4724324</v>
      </c>
      <c r="AG59" t="s">
        <v>346</v>
      </c>
      <c r="AH59">
        <v>0.03</v>
      </c>
      <c r="AI59" t="s">
        <v>53</v>
      </c>
      <c r="AN59" t="s">
        <v>306</v>
      </c>
      <c r="AO59" t="s">
        <v>560</v>
      </c>
      <c r="AP59">
        <v>4095848</v>
      </c>
      <c r="AQ59" t="s">
        <v>346</v>
      </c>
      <c r="AR59">
        <v>0.1</v>
      </c>
      <c r="AS59" t="s">
        <v>53</v>
      </c>
      <c r="AX59" t="s">
        <v>306</v>
      </c>
      <c r="AY59" t="s">
        <v>394</v>
      </c>
      <c r="AZ59">
        <v>4048695</v>
      </c>
      <c r="BA59" t="s">
        <v>346</v>
      </c>
      <c r="BB59">
        <v>0.01</v>
      </c>
      <c r="BC59" t="s">
        <v>53</v>
      </c>
      <c r="BD59" t="s">
        <v>411</v>
      </c>
      <c r="BE59">
        <v>4272373</v>
      </c>
      <c r="BF59" t="s">
        <v>346</v>
      </c>
      <c r="BG59">
        <v>0.2</v>
      </c>
      <c r="BH59" t="s">
        <v>313</v>
      </c>
      <c r="BI59" t="s">
        <v>583</v>
      </c>
      <c r="BJ59">
        <v>4579014</v>
      </c>
      <c r="BK59" t="s">
        <v>346</v>
      </c>
      <c r="BL59">
        <v>0.08</v>
      </c>
      <c r="BM59" t="s">
        <v>53</v>
      </c>
      <c r="BN59" t="s">
        <v>679</v>
      </c>
      <c r="BO59">
        <v>4138221</v>
      </c>
      <c r="BP59" t="s">
        <v>346</v>
      </c>
      <c r="BQ59">
        <v>0.05</v>
      </c>
      <c r="BR59" t="s">
        <v>50</v>
      </c>
      <c r="BS59" t="s">
        <v>415</v>
      </c>
      <c r="BT59">
        <v>110587</v>
      </c>
      <c r="BU59" t="s">
        <v>346</v>
      </c>
      <c r="BV59">
        <v>0.1</v>
      </c>
      <c r="BW59" t="s">
        <v>53</v>
      </c>
      <c r="BX59" t="s">
        <v>673</v>
      </c>
      <c r="BY59">
        <v>5837129</v>
      </c>
      <c r="BZ59" t="s">
        <v>346</v>
      </c>
      <c r="CA59">
        <v>0.12</v>
      </c>
      <c r="CB59" t="s">
        <v>50</v>
      </c>
      <c r="CC59" t="s">
        <v>816</v>
      </c>
      <c r="CD59">
        <v>4187337</v>
      </c>
      <c r="CE59" t="s">
        <v>364</v>
      </c>
      <c r="CF59">
        <v>0.16</v>
      </c>
      <c r="CG59" t="s">
        <v>2184</v>
      </c>
      <c r="CH59" t="s">
        <v>560</v>
      </c>
      <c r="CI59">
        <v>4095848</v>
      </c>
      <c r="CJ59" t="s">
        <v>346</v>
      </c>
      <c r="CK59">
        <v>0.1</v>
      </c>
      <c r="CL59" t="s">
        <v>53</v>
      </c>
      <c r="CM59" t="s">
        <v>926</v>
      </c>
      <c r="CN59">
        <v>4140566</v>
      </c>
      <c r="CO59" t="s">
        <v>346</v>
      </c>
      <c r="CP59">
        <v>0.15</v>
      </c>
      <c r="CQ59" t="s">
        <v>62</v>
      </c>
      <c r="CV59" t="s">
        <v>306</v>
      </c>
      <c r="DA59" t="s">
        <v>306</v>
      </c>
      <c r="DB59" t="s">
        <v>411</v>
      </c>
      <c r="DC59">
        <v>4272373</v>
      </c>
      <c r="DD59" t="s">
        <v>346</v>
      </c>
      <c r="DE59">
        <v>0.2</v>
      </c>
      <c r="DF59" t="s">
        <v>313</v>
      </c>
      <c r="DK59" t="s">
        <v>306</v>
      </c>
      <c r="DL59" t="s">
        <v>411</v>
      </c>
      <c r="DM59">
        <v>4272373</v>
      </c>
      <c r="DN59" t="s">
        <v>346</v>
      </c>
      <c r="DO59">
        <v>0.2</v>
      </c>
      <c r="DP59" t="s">
        <v>313</v>
      </c>
      <c r="DU59" t="s">
        <v>306</v>
      </c>
      <c r="DV59" t="s">
        <v>1147</v>
      </c>
      <c r="DW59">
        <v>4187733</v>
      </c>
      <c r="DX59" t="s">
        <v>346</v>
      </c>
      <c r="DY59">
        <v>0</v>
      </c>
      <c r="DZ59" t="s">
        <v>320</v>
      </c>
      <c r="EA59" t="s">
        <v>816</v>
      </c>
      <c r="EB59">
        <v>4187337</v>
      </c>
      <c r="EC59" t="s">
        <v>364</v>
      </c>
      <c r="ED59">
        <v>0.16</v>
      </c>
      <c r="EE59" t="s">
        <v>2184</v>
      </c>
      <c r="EF59" t="s">
        <v>411</v>
      </c>
      <c r="EG59">
        <v>4272373</v>
      </c>
      <c r="EH59" t="s">
        <v>346</v>
      </c>
      <c r="EI59">
        <v>0.2</v>
      </c>
      <c r="EJ59" t="s">
        <v>313</v>
      </c>
      <c r="EO59" t="s">
        <v>306</v>
      </c>
      <c r="EP59" t="s">
        <v>425</v>
      </c>
      <c r="EQ59">
        <v>4137704</v>
      </c>
      <c r="ER59" t="s">
        <v>346</v>
      </c>
      <c r="ES59">
        <v>0.01</v>
      </c>
      <c r="ET59" t="s">
        <v>304</v>
      </c>
      <c r="EY59" t="s">
        <v>306</v>
      </c>
      <c r="EZ59" t="s">
        <v>1956</v>
      </c>
      <c r="FA59" t="s">
        <v>300</v>
      </c>
      <c r="FB59" t="s">
        <v>361</v>
      </c>
      <c r="FC59">
        <v>0</v>
      </c>
      <c r="FD59" t="s">
        <v>50</v>
      </c>
      <c r="FI59" t="s">
        <v>306</v>
      </c>
      <c r="FJ59" t="s">
        <v>1466</v>
      </c>
      <c r="FK59">
        <v>4139354</v>
      </c>
      <c r="FL59" t="s">
        <v>346</v>
      </c>
      <c r="FM59">
        <v>0.03</v>
      </c>
      <c r="FN59" t="s">
        <v>313</v>
      </c>
      <c r="FS59" t="s">
        <v>306</v>
      </c>
      <c r="FT59" t="s">
        <v>419</v>
      </c>
      <c r="FU59">
        <v>4338202</v>
      </c>
      <c r="FV59" t="s">
        <v>346</v>
      </c>
      <c r="FW59">
        <v>0</v>
      </c>
      <c r="FX59" t="s">
        <v>53</v>
      </c>
      <c r="FY59" t="s">
        <v>411</v>
      </c>
      <c r="FZ59">
        <v>4272373</v>
      </c>
      <c r="GA59" t="s">
        <v>346</v>
      </c>
      <c r="GB59">
        <v>0.2</v>
      </c>
      <c r="GC59" t="s">
        <v>313</v>
      </c>
      <c r="GD59" t="s">
        <v>1956</v>
      </c>
      <c r="GE59" t="s">
        <v>300</v>
      </c>
      <c r="GF59" t="s">
        <v>361</v>
      </c>
      <c r="GG59">
        <v>0</v>
      </c>
      <c r="GH59" t="s">
        <v>50</v>
      </c>
      <c r="GM59" t="s">
        <v>306</v>
      </c>
      <c r="GN59" t="s">
        <v>1466</v>
      </c>
      <c r="GO59">
        <v>4139354</v>
      </c>
      <c r="GP59" t="s">
        <v>346</v>
      </c>
      <c r="GQ59">
        <v>0.03</v>
      </c>
      <c r="GR59" t="s">
        <v>313</v>
      </c>
      <c r="GS59" t="s">
        <v>679</v>
      </c>
      <c r="GT59">
        <v>4138221</v>
      </c>
      <c r="GU59" t="s">
        <v>346</v>
      </c>
      <c r="GV59">
        <v>0.05</v>
      </c>
      <c r="GW59" t="s">
        <v>50</v>
      </c>
      <c r="GX59" t="s">
        <v>816</v>
      </c>
      <c r="GY59">
        <v>4187337</v>
      </c>
      <c r="GZ59" t="s">
        <v>364</v>
      </c>
      <c r="HA59">
        <v>0.16</v>
      </c>
      <c r="HB59" t="s">
        <v>2184</v>
      </c>
      <c r="HG59" t="s">
        <v>306</v>
      </c>
    </row>
    <row r="60" spans="5:215" x14ac:dyDescent="0.35">
      <c r="E60" t="s">
        <v>306</v>
      </c>
      <c r="F60" t="s">
        <v>400</v>
      </c>
      <c r="G60">
        <v>7834181</v>
      </c>
      <c r="H60" t="s">
        <v>346</v>
      </c>
      <c r="I60">
        <v>0.04</v>
      </c>
      <c r="J60" t="s">
        <v>313</v>
      </c>
      <c r="K60" t="s">
        <v>657</v>
      </c>
      <c r="L60">
        <v>5851513</v>
      </c>
      <c r="M60" t="s">
        <v>346</v>
      </c>
      <c r="N60">
        <v>0.01</v>
      </c>
      <c r="O60" t="s">
        <v>80</v>
      </c>
      <c r="T60" t="s">
        <v>306</v>
      </c>
      <c r="U60" t="s">
        <v>726</v>
      </c>
      <c r="V60">
        <v>4137941</v>
      </c>
      <c r="W60" t="s">
        <v>346</v>
      </c>
      <c r="X60">
        <v>0.12</v>
      </c>
      <c r="Y60" t="s">
        <v>50</v>
      </c>
      <c r="Z60" t="s">
        <v>657</v>
      </c>
      <c r="AA60">
        <v>5851513</v>
      </c>
      <c r="AB60" t="s">
        <v>346</v>
      </c>
      <c r="AC60">
        <v>0.01</v>
      </c>
      <c r="AD60" t="s">
        <v>80</v>
      </c>
      <c r="AE60" t="s">
        <v>971</v>
      </c>
      <c r="AF60">
        <v>4042808</v>
      </c>
      <c r="AG60" t="s">
        <v>346</v>
      </c>
      <c r="AH60">
        <v>0.03</v>
      </c>
      <c r="AI60" t="s">
        <v>53</v>
      </c>
      <c r="AN60" t="s">
        <v>306</v>
      </c>
      <c r="AO60" t="s">
        <v>412</v>
      </c>
      <c r="AP60">
        <v>109687</v>
      </c>
      <c r="AQ60" t="s">
        <v>346</v>
      </c>
      <c r="AR60">
        <v>0.1</v>
      </c>
      <c r="AS60" t="s">
        <v>53</v>
      </c>
      <c r="AX60" t="s">
        <v>306</v>
      </c>
      <c r="AY60" t="s">
        <v>415</v>
      </c>
      <c r="AZ60">
        <v>110587</v>
      </c>
      <c r="BA60" t="s">
        <v>346</v>
      </c>
      <c r="BB60">
        <v>0.01</v>
      </c>
      <c r="BC60" t="s">
        <v>53</v>
      </c>
      <c r="BD60" t="s">
        <v>1401</v>
      </c>
      <c r="BE60">
        <v>142997618</v>
      </c>
      <c r="BF60" t="s">
        <v>690</v>
      </c>
      <c r="BG60">
        <v>0.19</v>
      </c>
      <c r="BH60" t="s">
        <v>306</v>
      </c>
      <c r="BI60" t="s">
        <v>1560</v>
      </c>
      <c r="BJ60">
        <v>10351221</v>
      </c>
      <c r="BK60" t="s">
        <v>346</v>
      </c>
      <c r="BL60">
        <v>0.08</v>
      </c>
      <c r="BM60" t="s">
        <v>2185</v>
      </c>
      <c r="BN60" t="s">
        <v>650</v>
      </c>
      <c r="BO60">
        <v>4550448</v>
      </c>
      <c r="BP60" t="s">
        <v>346</v>
      </c>
      <c r="BQ60">
        <v>0.05</v>
      </c>
      <c r="BR60" t="s">
        <v>50</v>
      </c>
      <c r="BS60" t="s">
        <v>952</v>
      </c>
      <c r="BT60">
        <v>4244140</v>
      </c>
      <c r="BU60" t="s">
        <v>346</v>
      </c>
      <c r="BV60">
        <v>0.1</v>
      </c>
      <c r="BW60" t="s">
        <v>53</v>
      </c>
      <c r="BX60" t="s">
        <v>726</v>
      </c>
      <c r="BY60">
        <v>4137941</v>
      </c>
      <c r="BZ60" t="s">
        <v>346</v>
      </c>
      <c r="CA60">
        <v>0.12</v>
      </c>
      <c r="CB60" t="s">
        <v>50</v>
      </c>
      <c r="CC60" t="s">
        <v>468</v>
      </c>
      <c r="CD60">
        <v>4556191</v>
      </c>
      <c r="CE60" t="s">
        <v>346</v>
      </c>
      <c r="CF60">
        <v>0.15</v>
      </c>
      <c r="CG60" t="s">
        <v>53</v>
      </c>
      <c r="CH60" t="s">
        <v>412</v>
      </c>
      <c r="CI60">
        <v>109687</v>
      </c>
      <c r="CJ60" t="s">
        <v>346</v>
      </c>
      <c r="CK60">
        <v>0.1</v>
      </c>
      <c r="CL60" t="s">
        <v>53</v>
      </c>
      <c r="CM60" t="s">
        <v>612</v>
      </c>
      <c r="CN60">
        <v>5805166</v>
      </c>
      <c r="CO60" t="s">
        <v>346</v>
      </c>
      <c r="CP60">
        <v>0.15</v>
      </c>
      <c r="CQ60" t="s">
        <v>323</v>
      </c>
      <c r="CV60" t="s">
        <v>306</v>
      </c>
      <c r="DA60" t="s">
        <v>306</v>
      </c>
      <c r="DB60" t="s">
        <v>1401</v>
      </c>
      <c r="DC60">
        <v>142997618</v>
      </c>
      <c r="DD60" t="s">
        <v>690</v>
      </c>
      <c r="DE60">
        <v>0.19</v>
      </c>
      <c r="DF60" t="s">
        <v>306</v>
      </c>
      <c r="DK60" t="s">
        <v>306</v>
      </c>
      <c r="DL60" t="s">
        <v>1401</v>
      </c>
      <c r="DM60">
        <v>142997618</v>
      </c>
      <c r="DN60" t="s">
        <v>690</v>
      </c>
      <c r="DO60">
        <v>0.19</v>
      </c>
      <c r="DP60" t="s">
        <v>306</v>
      </c>
      <c r="DU60" t="s">
        <v>306</v>
      </c>
      <c r="DV60" t="s">
        <v>386</v>
      </c>
      <c r="DW60">
        <v>4145085</v>
      </c>
      <c r="DX60" t="s">
        <v>346</v>
      </c>
      <c r="DY60">
        <v>0</v>
      </c>
      <c r="DZ60" t="s">
        <v>313</v>
      </c>
      <c r="EA60" t="s">
        <v>468</v>
      </c>
      <c r="EB60">
        <v>4556191</v>
      </c>
      <c r="EC60" t="s">
        <v>346</v>
      </c>
      <c r="ED60">
        <v>0.15</v>
      </c>
      <c r="EE60" t="s">
        <v>53</v>
      </c>
      <c r="EF60" t="s">
        <v>1401</v>
      </c>
      <c r="EG60">
        <v>142997618</v>
      </c>
      <c r="EH60" t="s">
        <v>690</v>
      </c>
      <c r="EI60">
        <v>0.19</v>
      </c>
      <c r="EJ60" t="s">
        <v>306</v>
      </c>
      <c r="EO60" t="s">
        <v>306</v>
      </c>
      <c r="EP60" t="s">
        <v>401</v>
      </c>
      <c r="EQ60">
        <v>4139862</v>
      </c>
      <c r="ER60" t="s">
        <v>346</v>
      </c>
      <c r="ES60">
        <v>0.01</v>
      </c>
      <c r="ET60" t="s">
        <v>313</v>
      </c>
      <c r="EY60" t="s">
        <v>306</v>
      </c>
      <c r="EZ60" t="s">
        <v>1957</v>
      </c>
      <c r="FA60">
        <v>131012297</v>
      </c>
      <c r="FB60" t="s">
        <v>370</v>
      </c>
      <c r="FC60">
        <v>0</v>
      </c>
      <c r="FD60" t="s">
        <v>128</v>
      </c>
      <c r="FI60" t="s">
        <v>306</v>
      </c>
      <c r="FJ60" t="s">
        <v>530</v>
      </c>
      <c r="FK60">
        <v>102729</v>
      </c>
      <c r="FL60" t="s">
        <v>346</v>
      </c>
      <c r="FM60">
        <v>0.03</v>
      </c>
      <c r="FN60" t="s">
        <v>53</v>
      </c>
      <c r="FS60" t="s">
        <v>306</v>
      </c>
      <c r="FT60" t="s">
        <v>420</v>
      </c>
      <c r="FU60">
        <v>19342220</v>
      </c>
      <c r="FV60" t="s">
        <v>346</v>
      </c>
      <c r="FW60">
        <v>0</v>
      </c>
      <c r="FX60" t="s">
        <v>53</v>
      </c>
      <c r="FY60" t="s">
        <v>1401</v>
      </c>
      <c r="FZ60">
        <v>142997618</v>
      </c>
      <c r="GA60" t="s">
        <v>690</v>
      </c>
      <c r="GB60">
        <v>0.19</v>
      </c>
      <c r="GC60" t="s">
        <v>306</v>
      </c>
      <c r="GD60" t="s">
        <v>1957</v>
      </c>
      <c r="GE60">
        <v>131012297</v>
      </c>
      <c r="GF60" t="s">
        <v>370</v>
      </c>
      <c r="GG60">
        <v>0</v>
      </c>
      <c r="GH60" t="s">
        <v>128</v>
      </c>
      <c r="GM60" t="s">
        <v>306</v>
      </c>
      <c r="GN60" t="s">
        <v>530</v>
      </c>
      <c r="GO60">
        <v>102729</v>
      </c>
      <c r="GP60" t="s">
        <v>346</v>
      </c>
      <c r="GQ60">
        <v>0.03</v>
      </c>
      <c r="GR60" t="s">
        <v>53</v>
      </c>
      <c r="GS60" t="s">
        <v>650</v>
      </c>
      <c r="GT60">
        <v>4550448</v>
      </c>
      <c r="GU60" t="s">
        <v>346</v>
      </c>
      <c r="GV60">
        <v>0.05</v>
      </c>
      <c r="GW60" t="s">
        <v>50</v>
      </c>
      <c r="GX60" t="s">
        <v>468</v>
      </c>
      <c r="GY60">
        <v>4556191</v>
      </c>
      <c r="GZ60" t="s">
        <v>346</v>
      </c>
      <c r="HA60">
        <v>0.15</v>
      </c>
      <c r="HB60" t="s">
        <v>53</v>
      </c>
      <c r="HG60" t="s">
        <v>306</v>
      </c>
    </row>
    <row r="61" spans="5:215" x14ac:dyDescent="0.35">
      <c r="E61" t="s">
        <v>306</v>
      </c>
      <c r="F61" t="s">
        <v>456</v>
      </c>
      <c r="G61">
        <v>4249110</v>
      </c>
      <c r="H61" t="s">
        <v>346</v>
      </c>
      <c r="I61">
        <v>0.04</v>
      </c>
      <c r="J61" t="s">
        <v>313</v>
      </c>
      <c r="K61" t="s">
        <v>480</v>
      </c>
      <c r="L61">
        <v>4119651</v>
      </c>
      <c r="M61" t="s">
        <v>346</v>
      </c>
      <c r="N61">
        <v>0.01</v>
      </c>
      <c r="O61" t="s">
        <v>53</v>
      </c>
      <c r="T61" t="s">
        <v>306</v>
      </c>
      <c r="U61" t="s">
        <v>354</v>
      </c>
      <c r="V61">
        <v>110652</v>
      </c>
      <c r="W61" t="s">
        <v>346</v>
      </c>
      <c r="X61">
        <v>0.12</v>
      </c>
      <c r="Y61" t="s">
        <v>53</v>
      </c>
      <c r="Z61" t="s">
        <v>480</v>
      </c>
      <c r="AA61">
        <v>4119651</v>
      </c>
      <c r="AB61" t="s">
        <v>346</v>
      </c>
      <c r="AC61">
        <v>0.01</v>
      </c>
      <c r="AD61" t="s">
        <v>53</v>
      </c>
      <c r="AE61" t="s">
        <v>386</v>
      </c>
      <c r="AF61">
        <v>4145085</v>
      </c>
      <c r="AG61" t="s">
        <v>346</v>
      </c>
      <c r="AH61">
        <v>0.03</v>
      </c>
      <c r="AI61" t="s">
        <v>313</v>
      </c>
      <c r="AN61" t="s">
        <v>306</v>
      </c>
      <c r="AO61" t="s">
        <v>1270</v>
      </c>
      <c r="AP61">
        <v>5845361</v>
      </c>
      <c r="AQ61" t="s">
        <v>364</v>
      </c>
      <c r="AR61">
        <v>0.1</v>
      </c>
      <c r="AS61" t="s">
        <v>62</v>
      </c>
      <c r="AX61" t="s">
        <v>306</v>
      </c>
      <c r="AY61" t="s">
        <v>730</v>
      </c>
      <c r="AZ61">
        <v>4436408</v>
      </c>
      <c r="BA61" t="s">
        <v>346</v>
      </c>
      <c r="BB61">
        <v>0.01</v>
      </c>
      <c r="BC61" t="s">
        <v>50</v>
      </c>
      <c r="BD61" t="s">
        <v>1402</v>
      </c>
      <c r="BE61">
        <v>5749063</v>
      </c>
      <c r="BF61" t="s">
        <v>346</v>
      </c>
      <c r="BG61">
        <v>0.19</v>
      </c>
      <c r="BH61" t="s">
        <v>320</v>
      </c>
      <c r="BI61" t="s">
        <v>463</v>
      </c>
      <c r="BJ61">
        <v>4138888</v>
      </c>
      <c r="BK61" t="s">
        <v>346</v>
      </c>
      <c r="BL61">
        <v>7.0000000000000007E-2</v>
      </c>
      <c r="BM61" t="s">
        <v>375</v>
      </c>
      <c r="BN61" t="s">
        <v>734</v>
      </c>
      <c r="BO61">
        <v>4322244</v>
      </c>
      <c r="BP61" t="s">
        <v>346</v>
      </c>
      <c r="BQ61">
        <v>0.05</v>
      </c>
      <c r="BR61" t="s">
        <v>50</v>
      </c>
      <c r="BS61" t="s">
        <v>953</v>
      </c>
      <c r="BT61">
        <v>4039450</v>
      </c>
      <c r="BU61" t="s">
        <v>346</v>
      </c>
      <c r="BV61">
        <v>0.1</v>
      </c>
      <c r="BW61" t="s">
        <v>53</v>
      </c>
      <c r="BX61" t="s">
        <v>354</v>
      </c>
      <c r="BY61">
        <v>110652</v>
      </c>
      <c r="BZ61" t="s">
        <v>346</v>
      </c>
      <c r="CA61">
        <v>0.12</v>
      </c>
      <c r="CB61" t="s">
        <v>53</v>
      </c>
      <c r="CC61" t="s">
        <v>1625</v>
      </c>
      <c r="CD61">
        <v>4135294</v>
      </c>
      <c r="CE61" t="s">
        <v>346</v>
      </c>
      <c r="CF61">
        <v>0.14000000000000001</v>
      </c>
      <c r="CG61" t="s">
        <v>114</v>
      </c>
      <c r="CH61" t="s">
        <v>1270</v>
      </c>
      <c r="CI61">
        <v>5845361</v>
      </c>
      <c r="CJ61" t="s">
        <v>364</v>
      </c>
      <c r="CK61">
        <v>0.1</v>
      </c>
      <c r="CL61" t="s">
        <v>62</v>
      </c>
      <c r="CM61" t="s">
        <v>1263</v>
      </c>
      <c r="CN61">
        <v>5760616</v>
      </c>
      <c r="CO61" t="s">
        <v>346</v>
      </c>
      <c r="CP61">
        <v>0.15</v>
      </c>
      <c r="CQ61" t="s">
        <v>62</v>
      </c>
      <c r="CV61" t="s">
        <v>306</v>
      </c>
      <c r="DA61" t="s">
        <v>306</v>
      </c>
      <c r="DB61" t="s">
        <v>1402</v>
      </c>
      <c r="DC61">
        <v>5749063</v>
      </c>
      <c r="DD61" t="s">
        <v>346</v>
      </c>
      <c r="DE61">
        <v>0.19</v>
      </c>
      <c r="DF61" t="s">
        <v>320</v>
      </c>
      <c r="DK61" t="s">
        <v>306</v>
      </c>
      <c r="DL61" t="s">
        <v>1402</v>
      </c>
      <c r="DM61">
        <v>5749063</v>
      </c>
      <c r="DN61" t="s">
        <v>346</v>
      </c>
      <c r="DO61">
        <v>0.19</v>
      </c>
      <c r="DP61" t="s">
        <v>320</v>
      </c>
      <c r="DU61" t="s">
        <v>306</v>
      </c>
      <c r="DV61" t="s">
        <v>412</v>
      </c>
      <c r="DW61">
        <v>109687</v>
      </c>
      <c r="DX61" t="s">
        <v>346</v>
      </c>
      <c r="DY61">
        <v>0</v>
      </c>
      <c r="DZ61" t="s">
        <v>53</v>
      </c>
      <c r="EA61" t="s">
        <v>1625</v>
      </c>
      <c r="EB61">
        <v>4135294</v>
      </c>
      <c r="EC61" t="s">
        <v>346</v>
      </c>
      <c r="ED61">
        <v>0.14000000000000001</v>
      </c>
      <c r="EE61" t="s">
        <v>114</v>
      </c>
      <c r="EF61" t="s">
        <v>1402</v>
      </c>
      <c r="EG61">
        <v>5749063</v>
      </c>
      <c r="EH61" t="s">
        <v>346</v>
      </c>
      <c r="EI61">
        <v>0.19</v>
      </c>
      <c r="EJ61" t="s">
        <v>320</v>
      </c>
      <c r="EO61" t="s">
        <v>306</v>
      </c>
      <c r="EP61" t="s">
        <v>649</v>
      </c>
      <c r="EQ61">
        <v>4606392</v>
      </c>
      <c r="ER61" t="s">
        <v>346</v>
      </c>
      <c r="ES61">
        <v>0.01</v>
      </c>
      <c r="ET61" t="s">
        <v>50</v>
      </c>
      <c r="EY61" t="s">
        <v>306</v>
      </c>
      <c r="EZ61" t="s">
        <v>1958</v>
      </c>
      <c r="FA61" t="s">
        <v>300</v>
      </c>
      <c r="FB61" t="s">
        <v>361</v>
      </c>
      <c r="FC61">
        <v>0</v>
      </c>
      <c r="FD61" t="s">
        <v>50</v>
      </c>
      <c r="FI61" t="s">
        <v>306</v>
      </c>
      <c r="FJ61" t="s">
        <v>460</v>
      </c>
      <c r="FK61">
        <v>4337989</v>
      </c>
      <c r="FL61" t="s">
        <v>346</v>
      </c>
      <c r="FM61">
        <v>0.03</v>
      </c>
      <c r="FN61" t="s">
        <v>53</v>
      </c>
      <c r="FS61" t="s">
        <v>306</v>
      </c>
      <c r="FX61" t="s">
        <v>306</v>
      </c>
      <c r="FY61" t="s">
        <v>1402</v>
      </c>
      <c r="FZ61">
        <v>5749063</v>
      </c>
      <c r="GA61" t="s">
        <v>346</v>
      </c>
      <c r="GB61">
        <v>0.19</v>
      </c>
      <c r="GC61" t="s">
        <v>320</v>
      </c>
      <c r="GD61" t="s">
        <v>1958</v>
      </c>
      <c r="GE61" t="s">
        <v>300</v>
      </c>
      <c r="GF61" t="s">
        <v>361</v>
      </c>
      <c r="GG61">
        <v>0</v>
      </c>
      <c r="GH61" t="s">
        <v>50</v>
      </c>
      <c r="GM61" t="s">
        <v>306</v>
      </c>
      <c r="GN61" t="s">
        <v>460</v>
      </c>
      <c r="GO61">
        <v>4337989</v>
      </c>
      <c r="GP61" t="s">
        <v>346</v>
      </c>
      <c r="GQ61">
        <v>0.03</v>
      </c>
      <c r="GR61" t="s">
        <v>53</v>
      </c>
      <c r="GS61" t="s">
        <v>734</v>
      </c>
      <c r="GT61">
        <v>4322244</v>
      </c>
      <c r="GU61" t="s">
        <v>346</v>
      </c>
      <c r="GV61">
        <v>0.05</v>
      </c>
      <c r="GW61" t="s">
        <v>50</v>
      </c>
      <c r="GX61" t="s">
        <v>1625</v>
      </c>
      <c r="GY61">
        <v>4135294</v>
      </c>
      <c r="GZ61" t="s">
        <v>346</v>
      </c>
      <c r="HA61">
        <v>0.14000000000000001</v>
      </c>
      <c r="HB61" t="s">
        <v>114</v>
      </c>
      <c r="HG61" t="s">
        <v>306</v>
      </c>
    </row>
    <row r="62" spans="5:215" x14ac:dyDescent="0.35">
      <c r="E62" t="s">
        <v>306</v>
      </c>
      <c r="F62" t="s">
        <v>457</v>
      </c>
      <c r="G62">
        <v>110399</v>
      </c>
      <c r="H62" t="s">
        <v>346</v>
      </c>
      <c r="I62">
        <v>0.03</v>
      </c>
      <c r="J62" t="s">
        <v>53</v>
      </c>
      <c r="K62" t="s">
        <v>658</v>
      </c>
      <c r="L62">
        <v>4325258</v>
      </c>
      <c r="M62" t="s">
        <v>346</v>
      </c>
      <c r="N62">
        <v>0.01</v>
      </c>
      <c r="O62" t="s">
        <v>50</v>
      </c>
      <c r="T62" t="s">
        <v>306</v>
      </c>
      <c r="U62" t="s">
        <v>520</v>
      </c>
      <c r="V62">
        <v>103661</v>
      </c>
      <c r="W62" t="s">
        <v>346</v>
      </c>
      <c r="X62">
        <v>0.11</v>
      </c>
      <c r="Y62" t="s">
        <v>53</v>
      </c>
      <c r="Z62" t="s">
        <v>658</v>
      </c>
      <c r="AA62">
        <v>4325258</v>
      </c>
      <c r="AB62" t="s">
        <v>346</v>
      </c>
      <c r="AC62">
        <v>0.01</v>
      </c>
      <c r="AD62" t="s">
        <v>50</v>
      </c>
      <c r="AE62" t="s">
        <v>1121</v>
      </c>
      <c r="AF62" t="s">
        <v>300</v>
      </c>
      <c r="AG62" t="s">
        <v>361</v>
      </c>
      <c r="AH62">
        <v>0.03</v>
      </c>
      <c r="AI62" t="s">
        <v>50</v>
      </c>
      <c r="AN62" t="s">
        <v>306</v>
      </c>
      <c r="AO62" t="s">
        <v>497</v>
      </c>
      <c r="AP62">
        <v>4138770</v>
      </c>
      <c r="AQ62" t="s">
        <v>346</v>
      </c>
      <c r="AR62">
        <v>0.1</v>
      </c>
      <c r="AS62" t="s">
        <v>313</v>
      </c>
      <c r="AX62" t="s">
        <v>306</v>
      </c>
      <c r="AY62" t="s">
        <v>683</v>
      </c>
      <c r="AZ62">
        <v>4137754</v>
      </c>
      <c r="BA62" t="s">
        <v>346</v>
      </c>
      <c r="BB62">
        <v>0.01</v>
      </c>
      <c r="BC62" t="s">
        <v>50</v>
      </c>
      <c r="BD62" t="s">
        <v>740</v>
      </c>
      <c r="BE62">
        <v>4271664</v>
      </c>
      <c r="BF62" t="s">
        <v>346</v>
      </c>
      <c r="BG62">
        <v>0.18</v>
      </c>
      <c r="BH62" t="s">
        <v>313</v>
      </c>
      <c r="BI62" t="s">
        <v>1141</v>
      </c>
      <c r="BJ62">
        <v>5767199</v>
      </c>
      <c r="BK62" t="s">
        <v>346</v>
      </c>
      <c r="BL62">
        <v>7.0000000000000007E-2</v>
      </c>
      <c r="BM62" t="s">
        <v>67</v>
      </c>
      <c r="BN62" t="s">
        <v>653</v>
      </c>
      <c r="BO62">
        <v>4100281</v>
      </c>
      <c r="BP62" t="s">
        <v>346</v>
      </c>
      <c r="BQ62">
        <v>0.05</v>
      </c>
      <c r="BR62" t="s">
        <v>326</v>
      </c>
      <c r="BS62" t="s">
        <v>654</v>
      </c>
      <c r="BT62">
        <v>4208127</v>
      </c>
      <c r="BU62" t="s">
        <v>346</v>
      </c>
      <c r="BV62">
        <v>0.1</v>
      </c>
      <c r="BW62" t="s">
        <v>2185</v>
      </c>
      <c r="BX62" t="s">
        <v>520</v>
      </c>
      <c r="BY62">
        <v>103661</v>
      </c>
      <c r="BZ62" t="s">
        <v>346</v>
      </c>
      <c r="CA62">
        <v>0.11</v>
      </c>
      <c r="CB62" t="s">
        <v>53</v>
      </c>
      <c r="CC62" t="s">
        <v>654</v>
      </c>
      <c r="CD62">
        <v>4208127</v>
      </c>
      <c r="CE62" t="s">
        <v>346</v>
      </c>
      <c r="CF62">
        <v>0.14000000000000001</v>
      </c>
      <c r="CG62" t="s">
        <v>2185</v>
      </c>
      <c r="CH62" t="s">
        <v>497</v>
      </c>
      <c r="CI62">
        <v>4138770</v>
      </c>
      <c r="CJ62" t="s">
        <v>346</v>
      </c>
      <c r="CK62">
        <v>0.1</v>
      </c>
      <c r="CL62" t="s">
        <v>313</v>
      </c>
      <c r="CM62" t="s">
        <v>1960</v>
      </c>
      <c r="CN62">
        <v>9146348</v>
      </c>
      <c r="CO62" t="s">
        <v>346</v>
      </c>
      <c r="CP62">
        <v>0.14000000000000001</v>
      </c>
      <c r="CQ62" t="s">
        <v>313</v>
      </c>
      <c r="CV62" t="s">
        <v>306</v>
      </c>
      <c r="DA62" t="s">
        <v>306</v>
      </c>
      <c r="DB62" t="s">
        <v>740</v>
      </c>
      <c r="DC62">
        <v>4271664</v>
      </c>
      <c r="DD62" t="s">
        <v>346</v>
      </c>
      <c r="DE62">
        <v>0.18</v>
      </c>
      <c r="DF62" t="s">
        <v>313</v>
      </c>
      <c r="DK62" t="s">
        <v>306</v>
      </c>
      <c r="DL62" t="s">
        <v>740</v>
      </c>
      <c r="DM62">
        <v>4271664</v>
      </c>
      <c r="DN62" t="s">
        <v>346</v>
      </c>
      <c r="DO62">
        <v>0.18</v>
      </c>
      <c r="DP62" t="s">
        <v>313</v>
      </c>
      <c r="DU62" t="s">
        <v>306</v>
      </c>
      <c r="DV62" t="s">
        <v>1200</v>
      </c>
      <c r="DW62">
        <v>4140083</v>
      </c>
      <c r="DX62" t="s">
        <v>346</v>
      </c>
      <c r="DY62">
        <v>0</v>
      </c>
      <c r="DZ62" t="s">
        <v>2185</v>
      </c>
      <c r="EA62" t="s">
        <v>654</v>
      </c>
      <c r="EB62">
        <v>4208127</v>
      </c>
      <c r="EC62" t="s">
        <v>346</v>
      </c>
      <c r="ED62">
        <v>0.14000000000000001</v>
      </c>
      <c r="EE62" t="s">
        <v>2185</v>
      </c>
      <c r="EF62" t="s">
        <v>740</v>
      </c>
      <c r="EG62">
        <v>4271664</v>
      </c>
      <c r="EH62" t="s">
        <v>346</v>
      </c>
      <c r="EI62">
        <v>0.18</v>
      </c>
      <c r="EJ62" t="s">
        <v>313</v>
      </c>
      <c r="EO62" t="s">
        <v>306</v>
      </c>
      <c r="EP62" t="s">
        <v>655</v>
      </c>
      <c r="EQ62">
        <v>4413828</v>
      </c>
      <c r="ER62" t="s">
        <v>346</v>
      </c>
      <c r="ES62">
        <v>0</v>
      </c>
      <c r="ET62" t="s">
        <v>326</v>
      </c>
      <c r="EY62" t="s">
        <v>306</v>
      </c>
      <c r="FD62" t="s">
        <v>306</v>
      </c>
      <c r="FI62" t="s">
        <v>306</v>
      </c>
      <c r="FJ62" t="s">
        <v>495</v>
      </c>
      <c r="FK62">
        <v>4341817</v>
      </c>
      <c r="FL62" t="s">
        <v>346</v>
      </c>
      <c r="FM62">
        <v>0.03</v>
      </c>
      <c r="FN62" t="s">
        <v>304</v>
      </c>
      <c r="FS62" t="s">
        <v>306</v>
      </c>
      <c r="FX62" t="s">
        <v>306</v>
      </c>
      <c r="FY62" t="s">
        <v>740</v>
      </c>
      <c r="FZ62">
        <v>4271664</v>
      </c>
      <c r="GA62" t="s">
        <v>346</v>
      </c>
      <c r="GB62">
        <v>0.18</v>
      </c>
      <c r="GC62" t="s">
        <v>313</v>
      </c>
      <c r="GH62" t="s">
        <v>306</v>
      </c>
      <c r="GM62" t="s">
        <v>306</v>
      </c>
      <c r="GN62" t="s">
        <v>495</v>
      </c>
      <c r="GO62">
        <v>4341817</v>
      </c>
      <c r="GP62" t="s">
        <v>346</v>
      </c>
      <c r="GQ62">
        <v>0.03</v>
      </c>
      <c r="GR62" t="s">
        <v>304</v>
      </c>
      <c r="GS62" t="s">
        <v>653</v>
      </c>
      <c r="GT62">
        <v>4100281</v>
      </c>
      <c r="GU62" t="s">
        <v>346</v>
      </c>
      <c r="GV62">
        <v>0.05</v>
      </c>
      <c r="GW62" t="s">
        <v>326</v>
      </c>
      <c r="GX62" t="s">
        <v>654</v>
      </c>
      <c r="GY62">
        <v>4208127</v>
      </c>
      <c r="GZ62" t="s">
        <v>346</v>
      </c>
      <c r="HA62">
        <v>0.14000000000000001</v>
      </c>
      <c r="HB62" t="s">
        <v>2185</v>
      </c>
      <c r="HG62" t="s">
        <v>306</v>
      </c>
    </row>
    <row r="63" spans="5:215" x14ac:dyDescent="0.35">
      <c r="E63" t="s">
        <v>306</v>
      </c>
      <c r="F63" t="s">
        <v>458</v>
      </c>
      <c r="G63">
        <v>109806</v>
      </c>
      <c r="H63" t="s">
        <v>346</v>
      </c>
      <c r="I63">
        <v>0.03</v>
      </c>
      <c r="J63" t="s">
        <v>53</v>
      </c>
      <c r="K63" t="s">
        <v>596</v>
      </c>
      <c r="L63">
        <v>4140486</v>
      </c>
      <c r="M63" t="s">
        <v>346</v>
      </c>
      <c r="N63">
        <v>0.01</v>
      </c>
      <c r="O63" t="s">
        <v>50</v>
      </c>
      <c r="T63" t="s">
        <v>306</v>
      </c>
      <c r="U63" t="s">
        <v>649</v>
      </c>
      <c r="V63">
        <v>4606392</v>
      </c>
      <c r="W63" t="s">
        <v>346</v>
      </c>
      <c r="X63">
        <v>0.1</v>
      </c>
      <c r="Y63" t="s">
        <v>50</v>
      </c>
      <c r="Z63" t="s">
        <v>596</v>
      </c>
      <c r="AA63">
        <v>4140486</v>
      </c>
      <c r="AB63" t="s">
        <v>346</v>
      </c>
      <c r="AC63">
        <v>0.01</v>
      </c>
      <c r="AD63" t="s">
        <v>50</v>
      </c>
      <c r="AE63" t="s">
        <v>422</v>
      </c>
      <c r="AF63">
        <v>4048507</v>
      </c>
      <c r="AG63" t="s">
        <v>346</v>
      </c>
      <c r="AH63">
        <v>0.03</v>
      </c>
      <c r="AI63" t="s">
        <v>304</v>
      </c>
      <c r="AN63" t="s">
        <v>306</v>
      </c>
      <c r="AO63" t="s">
        <v>900</v>
      </c>
      <c r="AP63">
        <v>4264756</v>
      </c>
      <c r="AQ63" t="s">
        <v>346</v>
      </c>
      <c r="AR63">
        <v>0.09</v>
      </c>
      <c r="AS63" t="s">
        <v>62</v>
      </c>
      <c r="AX63" t="s">
        <v>306</v>
      </c>
      <c r="AY63" t="s">
        <v>406</v>
      </c>
      <c r="AZ63">
        <v>4115698</v>
      </c>
      <c r="BA63" t="s">
        <v>346</v>
      </c>
      <c r="BB63">
        <v>0.01</v>
      </c>
      <c r="BC63" t="s">
        <v>313</v>
      </c>
      <c r="BD63" t="s">
        <v>1008</v>
      </c>
      <c r="BE63">
        <v>4056822</v>
      </c>
      <c r="BF63" t="s">
        <v>346</v>
      </c>
      <c r="BG63">
        <v>0.18</v>
      </c>
      <c r="BH63" t="s">
        <v>320</v>
      </c>
      <c r="BI63" t="s">
        <v>1561</v>
      </c>
      <c r="BJ63">
        <v>4242091</v>
      </c>
      <c r="BK63" t="s">
        <v>346</v>
      </c>
      <c r="BL63">
        <v>7.0000000000000007E-2</v>
      </c>
      <c r="BM63" t="s">
        <v>2192</v>
      </c>
      <c r="BN63" t="s">
        <v>723</v>
      </c>
      <c r="BO63">
        <v>4536183</v>
      </c>
      <c r="BP63" t="s">
        <v>346</v>
      </c>
      <c r="BQ63">
        <v>0.05</v>
      </c>
      <c r="BR63" t="s">
        <v>50</v>
      </c>
      <c r="BS63" t="s">
        <v>385</v>
      </c>
      <c r="BT63">
        <v>5752504</v>
      </c>
      <c r="BU63" t="s">
        <v>346</v>
      </c>
      <c r="BV63">
        <v>0.1</v>
      </c>
      <c r="BW63" t="s">
        <v>53</v>
      </c>
      <c r="BX63" t="s">
        <v>649</v>
      </c>
      <c r="BY63">
        <v>4606392</v>
      </c>
      <c r="BZ63" t="s">
        <v>346</v>
      </c>
      <c r="CA63">
        <v>0.1</v>
      </c>
      <c r="CB63" t="s">
        <v>50</v>
      </c>
      <c r="CC63" t="s">
        <v>1188</v>
      </c>
      <c r="CD63">
        <v>4413788</v>
      </c>
      <c r="CE63" t="s">
        <v>346</v>
      </c>
      <c r="CF63">
        <v>0.14000000000000001</v>
      </c>
      <c r="CG63" t="s">
        <v>53</v>
      </c>
      <c r="CH63" t="s">
        <v>900</v>
      </c>
      <c r="CI63">
        <v>4264756</v>
      </c>
      <c r="CJ63" t="s">
        <v>346</v>
      </c>
      <c r="CK63">
        <v>0.09</v>
      </c>
      <c r="CL63" t="s">
        <v>62</v>
      </c>
      <c r="CM63" t="s">
        <v>1961</v>
      </c>
      <c r="CN63">
        <v>4119404</v>
      </c>
      <c r="CO63" t="s">
        <v>346</v>
      </c>
      <c r="CP63">
        <v>0.14000000000000001</v>
      </c>
      <c r="CQ63" t="s">
        <v>53</v>
      </c>
      <c r="CV63" t="s">
        <v>306</v>
      </c>
      <c r="DA63" t="s">
        <v>306</v>
      </c>
      <c r="DB63" t="s">
        <v>1008</v>
      </c>
      <c r="DC63">
        <v>4056822</v>
      </c>
      <c r="DD63" t="s">
        <v>346</v>
      </c>
      <c r="DE63">
        <v>0.18</v>
      </c>
      <c r="DF63" t="s">
        <v>320</v>
      </c>
      <c r="DK63" t="s">
        <v>306</v>
      </c>
      <c r="DL63" t="s">
        <v>1008</v>
      </c>
      <c r="DM63">
        <v>4056822</v>
      </c>
      <c r="DN63" t="s">
        <v>346</v>
      </c>
      <c r="DO63">
        <v>0.18</v>
      </c>
      <c r="DP63" t="s">
        <v>320</v>
      </c>
      <c r="DU63" t="s">
        <v>306</v>
      </c>
      <c r="DV63" t="s">
        <v>387</v>
      </c>
      <c r="DW63">
        <v>4020980</v>
      </c>
      <c r="DX63" t="s">
        <v>346</v>
      </c>
      <c r="DY63">
        <v>0</v>
      </c>
      <c r="DZ63" t="s">
        <v>2189</v>
      </c>
      <c r="EA63" t="s">
        <v>1188</v>
      </c>
      <c r="EB63">
        <v>4413788</v>
      </c>
      <c r="EC63" t="s">
        <v>346</v>
      </c>
      <c r="ED63">
        <v>0.14000000000000001</v>
      </c>
      <c r="EE63" t="s">
        <v>53</v>
      </c>
      <c r="EF63" t="s">
        <v>1008</v>
      </c>
      <c r="EG63">
        <v>4056822</v>
      </c>
      <c r="EH63" t="s">
        <v>346</v>
      </c>
      <c r="EI63">
        <v>0.18</v>
      </c>
      <c r="EJ63" t="s">
        <v>320</v>
      </c>
      <c r="EO63" t="s">
        <v>306</v>
      </c>
      <c r="EP63" t="s">
        <v>824</v>
      </c>
      <c r="EQ63">
        <v>4213196</v>
      </c>
      <c r="ER63" t="s">
        <v>346</v>
      </c>
      <c r="ES63">
        <v>0</v>
      </c>
      <c r="ET63" t="s">
        <v>304</v>
      </c>
      <c r="EY63" t="s">
        <v>306</v>
      </c>
      <c r="FD63" t="s">
        <v>306</v>
      </c>
      <c r="FI63" t="s">
        <v>306</v>
      </c>
      <c r="FJ63" t="s">
        <v>408</v>
      </c>
      <c r="FK63">
        <v>4138917</v>
      </c>
      <c r="FL63" t="s">
        <v>346</v>
      </c>
      <c r="FM63">
        <v>0.03</v>
      </c>
      <c r="FN63" t="s">
        <v>125</v>
      </c>
      <c r="FS63" t="s">
        <v>306</v>
      </c>
      <c r="FX63" t="s">
        <v>306</v>
      </c>
      <c r="FY63" t="s">
        <v>1008</v>
      </c>
      <c r="FZ63">
        <v>4056822</v>
      </c>
      <c r="GA63" t="s">
        <v>346</v>
      </c>
      <c r="GB63">
        <v>0.18</v>
      </c>
      <c r="GC63" t="s">
        <v>320</v>
      </c>
      <c r="GH63" t="s">
        <v>306</v>
      </c>
      <c r="GM63" t="s">
        <v>306</v>
      </c>
      <c r="GN63" t="s">
        <v>408</v>
      </c>
      <c r="GO63">
        <v>4138917</v>
      </c>
      <c r="GP63" t="s">
        <v>346</v>
      </c>
      <c r="GQ63">
        <v>0.03</v>
      </c>
      <c r="GR63" t="s">
        <v>125</v>
      </c>
      <c r="GS63" t="s">
        <v>723</v>
      </c>
      <c r="GT63">
        <v>4536183</v>
      </c>
      <c r="GU63" t="s">
        <v>346</v>
      </c>
      <c r="GV63">
        <v>0.05</v>
      </c>
      <c r="GW63" t="s">
        <v>50</v>
      </c>
      <c r="GX63" t="s">
        <v>1188</v>
      </c>
      <c r="GY63">
        <v>4413788</v>
      </c>
      <c r="GZ63" t="s">
        <v>346</v>
      </c>
      <c r="HA63">
        <v>0.14000000000000001</v>
      </c>
      <c r="HB63" t="s">
        <v>53</v>
      </c>
      <c r="HG63" t="s">
        <v>306</v>
      </c>
    </row>
    <row r="64" spans="5:215" x14ac:dyDescent="0.35">
      <c r="E64" t="s">
        <v>306</v>
      </c>
      <c r="F64" t="s">
        <v>459</v>
      </c>
      <c r="G64">
        <v>4140503</v>
      </c>
      <c r="H64" t="s">
        <v>346</v>
      </c>
      <c r="I64">
        <v>0.03</v>
      </c>
      <c r="J64" t="s">
        <v>2186</v>
      </c>
      <c r="K64" t="s">
        <v>659</v>
      </c>
      <c r="L64">
        <v>4139011</v>
      </c>
      <c r="M64" t="s">
        <v>346</v>
      </c>
      <c r="N64">
        <v>0.01</v>
      </c>
      <c r="O64" t="s">
        <v>2185</v>
      </c>
      <c r="T64" t="s">
        <v>306</v>
      </c>
      <c r="U64" t="s">
        <v>727</v>
      </c>
      <c r="V64">
        <v>15508432</v>
      </c>
      <c r="W64" t="s">
        <v>346</v>
      </c>
      <c r="X64">
        <v>0.09</v>
      </c>
      <c r="Y64" t="s">
        <v>50</v>
      </c>
      <c r="Z64" t="s">
        <v>659</v>
      </c>
      <c r="AA64">
        <v>4139011</v>
      </c>
      <c r="AB64" t="s">
        <v>346</v>
      </c>
      <c r="AC64">
        <v>0.01</v>
      </c>
      <c r="AD64" t="s">
        <v>2185</v>
      </c>
      <c r="AE64" t="s">
        <v>1122</v>
      </c>
      <c r="AF64">
        <v>111354</v>
      </c>
      <c r="AG64" t="s">
        <v>346</v>
      </c>
      <c r="AH64">
        <v>0.03</v>
      </c>
      <c r="AI64" t="s">
        <v>53</v>
      </c>
      <c r="AN64" t="s">
        <v>306</v>
      </c>
      <c r="AO64" t="s">
        <v>430</v>
      </c>
      <c r="AP64">
        <v>4055767</v>
      </c>
      <c r="AQ64" t="s">
        <v>346</v>
      </c>
      <c r="AR64">
        <v>0.09</v>
      </c>
      <c r="AS64" t="s">
        <v>53</v>
      </c>
      <c r="AX64" t="s">
        <v>306</v>
      </c>
      <c r="AY64" t="s">
        <v>797</v>
      </c>
      <c r="AZ64">
        <v>4138761</v>
      </c>
      <c r="BA64" t="s">
        <v>346</v>
      </c>
      <c r="BB64">
        <v>0.01</v>
      </c>
      <c r="BC64" t="s">
        <v>50</v>
      </c>
      <c r="BD64" t="s">
        <v>960</v>
      </c>
      <c r="BE64">
        <v>4053760</v>
      </c>
      <c r="BF64" t="s">
        <v>346</v>
      </c>
      <c r="BG64">
        <v>0.16</v>
      </c>
      <c r="BH64" t="s">
        <v>2189</v>
      </c>
      <c r="BI64" t="s">
        <v>1154</v>
      </c>
      <c r="BJ64">
        <v>4125909</v>
      </c>
      <c r="BK64" t="s">
        <v>346</v>
      </c>
      <c r="BL64">
        <v>7.0000000000000007E-2</v>
      </c>
      <c r="BM64" t="s">
        <v>321</v>
      </c>
      <c r="BN64" t="s">
        <v>658</v>
      </c>
      <c r="BO64">
        <v>4325258</v>
      </c>
      <c r="BP64" t="s">
        <v>346</v>
      </c>
      <c r="BQ64">
        <v>0.04</v>
      </c>
      <c r="BR64" t="s">
        <v>50</v>
      </c>
      <c r="BS64" t="s">
        <v>683</v>
      </c>
      <c r="BT64">
        <v>4137754</v>
      </c>
      <c r="BU64" t="s">
        <v>346</v>
      </c>
      <c r="BV64">
        <v>0.09</v>
      </c>
      <c r="BW64" t="s">
        <v>50</v>
      </c>
      <c r="BX64" t="s">
        <v>727</v>
      </c>
      <c r="BY64">
        <v>15508432</v>
      </c>
      <c r="BZ64" t="s">
        <v>346</v>
      </c>
      <c r="CA64">
        <v>0.09</v>
      </c>
      <c r="CB64" t="s">
        <v>50</v>
      </c>
      <c r="CC64" t="s">
        <v>1609</v>
      </c>
      <c r="CD64">
        <v>4135463</v>
      </c>
      <c r="CE64" t="s">
        <v>364</v>
      </c>
      <c r="CF64">
        <v>0.14000000000000001</v>
      </c>
      <c r="CG64" t="s">
        <v>53</v>
      </c>
      <c r="CH64" t="s">
        <v>430</v>
      </c>
      <c r="CI64">
        <v>4055767</v>
      </c>
      <c r="CJ64" t="s">
        <v>346</v>
      </c>
      <c r="CK64">
        <v>0.09</v>
      </c>
      <c r="CL64" t="s">
        <v>53</v>
      </c>
      <c r="CM64" t="s">
        <v>491</v>
      </c>
      <c r="CN64">
        <v>106960</v>
      </c>
      <c r="CO64" t="s">
        <v>346</v>
      </c>
      <c r="CP64">
        <v>0.14000000000000001</v>
      </c>
      <c r="CQ64" t="s">
        <v>80</v>
      </c>
      <c r="CV64" t="s">
        <v>306</v>
      </c>
      <c r="DA64" t="s">
        <v>306</v>
      </c>
      <c r="DB64" t="s">
        <v>960</v>
      </c>
      <c r="DC64">
        <v>4053760</v>
      </c>
      <c r="DD64" t="s">
        <v>346</v>
      </c>
      <c r="DE64">
        <v>0.16</v>
      </c>
      <c r="DF64" t="s">
        <v>2189</v>
      </c>
      <c r="DK64" t="s">
        <v>306</v>
      </c>
      <c r="DL64" t="s">
        <v>960</v>
      </c>
      <c r="DM64">
        <v>4053760</v>
      </c>
      <c r="DN64" t="s">
        <v>346</v>
      </c>
      <c r="DO64">
        <v>0.16</v>
      </c>
      <c r="DP64" t="s">
        <v>2189</v>
      </c>
      <c r="DU64" t="s">
        <v>306</v>
      </c>
      <c r="DV64" t="s">
        <v>1120</v>
      </c>
      <c r="DW64">
        <v>4724324</v>
      </c>
      <c r="DX64" t="s">
        <v>346</v>
      </c>
      <c r="DY64">
        <v>0</v>
      </c>
      <c r="DZ64" t="s">
        <v>53</v>
      </c>
      <c r="EA64" t="s">
        <v>1609</v>
      </c>
      <c r="EB64">
        <v>4135463</v>
      </c>
      <c r="EC64" t="s">
        <v>364</v>
      </c>
      <c r="ED64">
        <v>0.14000000000000001</v>
      </c>
      <c r="EE64" t="s">
        <v>53</v>
      </c>
      <c r="EF64" t="s">
        <v>960</v>
      </c>
      <c r="EG64">
        <v>4053760</v>
      </c>
      <c r="EH64" t="s">
        <v>346</v>
      </c>
      <c r="EI64">
        <v>0.16</v>
      </c>
      <c r="EJ64" t="s">
        <v>2189</v>
      </c>
      <c r="EO64" t="s">
        <v>306</v>
      </c>
      <c r="EP64" t="s">
        <v>730</v>
      </c>
      <c r="EQ64">
        <v>4436408</v>
      </c>
      <c r="ER64" t="s">
        <v>346</v>
      </c>
      <c r="ES64">
        <v>0</v>
      </c>
      <c r="ET64" t="s">
        <v>50</v>
      </c>
      <c r="EY64" t="s">
        <v>306</v>
      </c>
      <c r="FD64" t="s">
        <v>306</v>
      </c>
      <c r="FI64" t="s">
        <v>306</v>
      </c>
      <c r="FJ64" t="s">
        <v>439</v>
      </c>
      <c r="FK64">
        <v>4757367</v>
      </c>
      <c r="FL64" t="s">
        <v>363</v>
      </c>
      <c r="FM64">
        <v>0.03</v>
      </c>
      <c r="FN64" t="s">
        <v>125</v>
      </c>
      <c r="FS64" t="s">
        <v>306</v>
      </c>
      <c r="FX64" t="s">
        <v>306</v>
      </c>
      <c r="FY64" t="s">
        <v>960</v>
      </c>
      <c r="FZ64">
        <v>4053760</v>
      </c>
      <c r="GA64" t="s">
        <v>346</v>
      </c>
      <c r="GB64">
        <v>0.16</v>
      </c>
      <c r="GC64" t="s">
        <v>2189</v>
      </c>
      <c r="GH64" t="s">
        <v>306</v>
      </c>
      <c r="GM64" t="s">
        <v>306</v>
      </c>
      <c r="GN64" t="s">
        <v>439</v>
      </c>
      <c r="GO64">
        <v>4757367</v>
      </c>
      <c r="GP64" t="s">
        <v>363</v>
      </c>
      <c r="GQ64">
        <v>0.03</v>
      </c>
      <c r="GR64" t="s">
        <v>125</v>
      </c>
      <c r="GS64" t="s">
        <v>658</v>
      </c>
      <c r="GT64">
        <v>4325258</v>
      </c>
      <c r="GU64" t="s">
        <v>346</v>
      </c>
      <c r="GV64">
        <v>0.04</v>
      </c>
      <c r="GW64" t="s">
        <v>50</v>
      </c>
      <c r="GX64" t="s">
        <v>1609</v>
      </c>
      <c r="GY64">
        <v>4135463</v>
      </c>
      <c r="GZ64" t="s">
        <v>364</v>
      </c>
      <c r="HA64">
        <v>0.14000000000000001</v>
      </c>
      <c r="HB64" t="s">
        <v>53</v>
      </c>
      <c r="HG64" t="s">
        <v>306</v>
      </c>
    </row>
    <row r="65" spans="5:215" x14ac:dyDescent="0.35">
      <c r="E65" t="s">
        <v>306</v>
      </c>
      <c r="F65" t="s">
        <v>460</v>
      </c>
      <c r="G65">
        <v>4337989</v>
      </c>
      <c r="H65" t="s">
        <v>346</v>
      </c>
      <c r="I65">
        <v>0.03</v>
      </c>
      <c r="J65" t="s">
        <v>53</v>
      </c>
      <c r="K65" t="s">
        <v>660</v>
      </c>
      <c r="L65">
        <v>4099895</v>
      </c>
      <c r="M65" t="s">
        <v>366</v>
      </c>
      <c r="N65">
        <v>0.01</v>
      </c>
      <c r="O65" t="s">
        <v>80</v>
      </c>
      <c r="T65" t="s">
        <v>306</v>
      </c>
      <c r="U65" t="s">
        <v>647</v>
      </c>
      <c r="V65">
        <v>4556995</v>
      </c>
      <c r="W65" t="s">
        <v>346</v>
      </c>
      <c r="X65">
        <v>0.09</v>
      </c>
      <c r="Y65" t="s">
        <v>50</v>
      </c>
      <c r="Z65" t="s">
        <v>660</v>
      </c>
      <c r="AA65">
        <v>4099895</v>
      </c>
      <c r="AB65" t="s">
        <v>366</v>
      </c>
      <c r="AC65">
        <v>0.01</v>
      </c>
      <c r="AD65" t="s">
        <v>80</v>
      </c>
      <c r="AE65" t="s">
        <v>1123</v>
      </c>
      <c r="AF65">
        <v>4212876</v>
      </c>
      <c r="AG65" t="s">
        <v>346</v>
      </c>
      <c r="AH65">
        <v>0.03</v>
      </c>
      <c r="AI65" t="s">
        <v>323</v>
      </c>
      <c r="AN65" t="s">
        <v>306</v>
      </c>
      <c r="AO65" t="s">
        <v>855</v>
      </c>
      <c r="AP65">
        <v>8532130</v>
      </c>
      <c r="AQ65" t="s">
        <v>346</v>
      </c>
      <c r="AR65">
        <v>0.08</v>
      </c>
      <c r="AS65" t="s">
        <v>62</v>
      </c>
      <c r="AX65" t="s">
        <v>306</v>
      </c>
      <c r="AY65" t="s">
        <v>357</v>
      </c>
      <c r="AZ65">
        <v>4270330</v>
      </c>
      <c r="BA65" t="s">
        <v>346</v>
      </c>
      <c r="BB65">
        <v>0.01</v>
      </c>
      <c r="BC65" t="s">
        <v>53</v>
      </c>
      <c r="BD65" t="s">
        <v>926</v>
      </c>
      <c r="BE65">
        <v>4140566</v>
      </c>
      <c r="BF65" t="s">
        <v>346</v>
      </c>
      <c r="BG65">
        <v>0.16</v>
      </c>
      <c r="BH65" t="s">
        <v>62</v>
      </c>
      <c r="BI65" t="s">
        <v>410</v>
      </c>
      <c r="BJ65">
        <v>5759394</v>
      </c>
      <c r="BK65" t="s">
        <v>346</v>
      </c>
      <c r="BL65">
        <v>0.06</v>
      </c>
      <c r="BM65" t="s">
        <v>2186</v>
      </c>
      <c r="BN65" t="s">
        <v>393</v>
      </c>
      <c r="BO65">
        <v>4723508</v>
      </c>
      <c r="BP65" t="s">
        <v>346</v>
      </c>
      <c r="BQ65">
        <v>0.04</v>
      </c>
      <c r="BR65" t="s">
        <v>313</v>
      </c>
      <c r="BS65" t="s">
        <v>520</v>
      </c>
      <c r="BT65">
        <v>103661</v>
      </c>
      <c r="BU65" t="s">
        <v>346</v>
      </c>
      <c r="BV65">
        <v>0.09</v>
      </c>
      <c r="BW65" t="s">
        <v>53</v>
      </c>
      <c r="BX65" t="s">
        <v>647</v>
      </c>
      <c r="BY65">
        <v>4556995</v>
      </c>
      <c r="BZ65" t="s">
        <v>346</v>
      </c>
      <c r="CA65">
        <v>0.09</v>
      </c>
      <c r="CB65" t="s">
        <v>50</v>
      </c>
      <c r="CC65" t="s">
        <v>1265</v>
      </c>
      <c r="CD65">
        <v>4118993</v>
      </c>
      <c r="CE65" t="s">
        <v>346</v>
      </c>
      <c r="CF65">
        <v>0.14000000000000001</v>
      </c>
      <c r="CG65" t="s">
        <v>53</v>
      </c>
      <c r="CH65" t="s">
        <v>855</v>
      </c>
      <c r="CI65">
        <v>8532130</v>
      </c>
      <c r="CJ65" t="s">
        <v>346</v>
      </c>
      <c r="CK65">
        <v>0.08</v>
      </c>
      <c r="CL65" t="s">
        <v>62</v>
      </c>
      <c r="CM65" t="s">
        <v>437</v>
      </c>
      <c r="CN65">
        <v>4102073</v>
      </c>
      <c r="CO65" t="s">
        <v>346</v>
      </c>
      <c r="CP65">
        <v>0.13</v>
      </c>
      <c r="CQ65" t="s">
        <v>53</v>
      </c>
      <c r="CV65" t="s">
        <v>306</v>
      </c>
      <c r="DA65" t="s">
        <v>306</v>
      </c>
      <c r="DB65" t="s">
        <v>926</v>
      </c>
      <c r="DC65">
        <v>4140566</v>
      </c>
      <c r="DD65" t="s">
        <v>346</v>
      </c>
      <c r="DE65">
        <v>0.16</v>
      </c>
      <c r="DF65" t="s">
        <v>62</v>
      </c>
      <c r="DK65" t="s">
        <v>306</v>
      </c>
      <c r="DL65" t="s">
        <v>926</v>
      </c>
      <c r="DM65">
        <v>4140566</v>
      </c>
      <c r="DN65" t="s">
        <v>346</v>
      </c>
      <c r="DO65">
        <v>0.16</v>
      </c>
      <c r="DP65" t="s">
        <v>62</v>
      </c>
      <c r="DU65" t="s">
        <v>306</v>
      </c>
      <c r="DV65" t="s">
        <v>1201</v>
      </c>
      <c r="DW65">
        <v>7058629</v>
      </c>
      <c r="DX65" t="s">
        <v>300</v>
      </c>
      <c r="DY65">
        <v>0</v>
      </c>
      <c r="DZ65" t="s">
        <v>77</v>
      </c>
      <c r="EA65" t="s">
        <v>1265</v>
      </c>
      <c r="EB65">
        <v>4118993</v>
      </c>
      <c r="EC65" t="s">
        <v>346</v>
      </c>
      <c r="ED65">
        <v>0.14000000000000001</v>
      </c>
      <c r="EE65" t="s">
        <v>53</v>
      </c>
      <c r="EF65" t="s">
        <v>926</v>
      </c>
      <c r="EG65">
        <v>4140566</v>
      </c>
      <c r="EH65" t="s">
        <v>346</v>
      </c>
      <c r="EI65">
        <v>0.16</v>
      </c>
      <c r="EJ65" t="s">
        <v>62</v>
      </c>
      <c r="EO65" t="s">
        <v>306</v>
      </c>
      <c r="EP65" t="s">
        <v>760</v>
      </c>
      <c r="EQ65">
        <v>4677331</v>
      </c>
      <c r="ER65" t="s">
        <v>346</v>
      </c>
      <c r="ES65">
        <v>0</v>
      </c>
      <c r="ET65" t="s">
        <v>50</v>
      </c>
      <c r="EY65" t="s">
        <v>306</v>
      </c>
      <c r="FD65" t="s">
        <v>306</v>
      </c>
      <c r="FI65" t="s">
        <v>306</v>
      </c>
      <c r="FJ65" t="s">
        <v>2159</v>
      </c>
      <c r="FK65" t="s">
        <v>300</v>
      </c>
      <c r="FL65" t="s">
        <v>361</v>
      </c>
      <c r="FM65">
        <v>0.03</v>
      </c>
      <c r="FN65" t="s">
        <v>50</v>
      </c>
      <c r="FS65" t="s">
        <v>306</v>
      </c>
      <c r="FX65" t="s">
        <v>306</v>
      </c>
      <c r="FY65" t="s">
        <v>926</v>
      </c>
      <c r="FZ65">
        <v>4140566</v>
      </c>
      <c r="GA65" t="s">
        <v>346</v>
      </c>
      <c r="GB65">
        <v>0.16</v>
      </c>
      <c r="GC65" t="s">
        <v>62</v>
      </c>
      <c r="GH65" t="s">
        <v>306</v>
      </c>
      <c r="GM65" t="s">
        <v>306</v>
      </c>
      <c r="GN65" t="s">
        <v>2159</v>
      </c>
      <c r="GO65" t="s">
        <v>300</v>
      </c>
      <c r="GP65" t="s">
        <v>361</v>
      </c>
      <c r="GQ65">
        <v>0.03</v>
      </c>
      <c r="GR65" t="s">
        <v>50</v>
      </c>
      <c r="GS65" t="s">
        <v>393</v>
      </c>
      <c r="GT65">
        <v>4723508</v>
      </c>
      <c r="GU65" t="s">
        <v>346</v>
      </c>
      <c r="GV65">
        <v>0.04</v>
      </c>
      <c r="GW65" t="s">
        <v>313</v>
      </c>
      <c r="GX65" t="s">
        <v>1265</v>
      </c>
      <c r="GY65">
        <v>4118993</v>
      </c>
      <c r="GZ65" t="s">
        <v>346</v>
      </c>
      <c r="HA65">
        <v>0.14000000000000001</v>
      </c>
      <c r="HB65" t="s">
        <v>53</v>
      </c>
      <c r="HG65" t="s">
        <v>306</v>
      </c>
    </row>
    <row r="66" spans="5:215" x14ac:dyDescent="0.35">
      <c r="E66" t="s">
        <v>306</v>
      </c>
      <c r="F66" t="s">
        <v>461</v>
      </c>
      <c r="G66">
        <v>4137912</v>
      </c>
      <c r="H66" t="s">
        <v>346</v>
      </c>
      <c r="I66">
        <v>0.03</v>
      </c>
      <c r="J66" t="s">
        <v>2185</v>
      </c>
      <c r="K66" t="s">
        <v>397</v>
      </c>
      <c r="L66">
        <v>4139795</v>
      </c>
      <c r="M66" t="s">
        <v>346</v>
      </c>
      <c r="N66">
        <v>0.01</v>
      </c>
      <c r="O66" t="s">
        <v>2185</v>
      </c>
      <c r="T66" t="s">
        <v>306</v>
      </c>
      <c r="U66" t="s">
        <v>357</v>
      </c>
      <c r="V66">
        <v>4270330</v>
      </c>
      <c r="W66" t="s">
        <v>346</v>
      </c>
      <c r="X66">
        <v>0.08</v>
      </c>
      <c r="Y66" t="s">
        <v>53</v>
      </c>
      <c r="Z66" t="s">
        <v>397</v>
      </c>
      <c r="AA66">
        <v>4139795</v>
      </c>
      <c r="AB66" t="s">
        <v>346</v>
      </c>
      <c r="AC66">
        <v>0.01</v>
      </c>
      <c r="AD66" t="s">
        <v>2185</v>
      </c>
      <c r="AE66" t="s">
        <v>603</v>
      </c>
      <c r="AF66">
        <v>110641</v>
      </c>
      <c r="AG66" t="s">
        <v>346</v>
      </c>
      <c r="AH66">
        <v>0.03</v>
      </c>
      <c r="AI66" t="s">
        <v>53</v>
      </c>
      <c r="AN66" t="s">
        <v>306</v>
      </c>
      <c r="AO66" t="s">
        <v>406</v>
      </c>
      <c r="AP66">
        <v>4115698</v>
      </c>
      <c r="AQ66" t="s">
        <v>346</v>
      </c>
      <c r="AR66">
        <v>0.08</v>
      </c>
      <c r="AS66" t="s">
        <v>313</v>
      </c>
      <c r="AX66" t="s">
        <v>306</v>
      </c>
      <c r="AY66" t="s">
        <v>409</v>
      </c>
      <c r="AZ66">
        <v>102719</v>
      </c>
      <c r="BA66" t="s">
        <v>346</v>
      </c>
      <c r="BB66">
        <v>0</v>
      </c>
      <c r="BC66" t="s">
        <v>53</v>
      </c>
      <c r="BD66" t="s">
        <v>1185</v>
      </c>
      <c r="BE66">
        <v>110616</v>
      </c>
      <c r="BF66" t="s">
        <v>346</v>
      </c>
      <c r="BG66">
        <v>0.16</v>
      </c>
      <c r="BH66" t="s">
        <v>313</v>
      </c>
      <c r="BI66" t="s">
        <v>386</v>
      </c>
      <c r="BJ66">
        <v>4145085</v>
      </c>
      <c r="BK66" t="s">
        <v>346</v>
      </c>
      <c r="BL66">
        <v>0.06</v>
      </c>
      <c r="BM66" t="s">
        <v>313</v>
      </c>
      <c r="BN66" t="s">
        <v>662</v>
      </c>
      <c r="BO66">
        <v>4316799</v>
      </c>
      <c r="BP66" t="s">
        <v>346</v>
      </c>
      <c r="BQ66">
        <v>0.04</v>
      </c>
      <c r="BR66" t="s">
        <v>50</v>
      </c>
      <c r="BS66" t="s">
        <v>658</v>
      </c>
      <c r="BT66">
        <v>4325258</v>
      </c>
      <c r="BU66" t="s">
        <v>346</v>
      </c>
      <c r="BV66">
        <v>0.09</v>
      </c>
      <c r="BW66" t="s">
        <v>50</v>
      </c>
      <c r="BX66" t="s">
        <v>357</v>
      </c>
      <c r="BY66">
        <v>4270330</v>
      </c>
      <c r="BZ66" t="s">
        <v>346</v>
      </c>
      <c r="CA66">
        <v>0.08</v>
      </c>
      <c r="CB66" t="s">
        <v>53</v>
      </c>
      <c r="CC66" t="s">
        <v>399</v>
      </c>
      <c r="CD66">
        <v>4026948</v>
      </c>
      <c r="CE66" t="s">
        <v>346</v>
      </c>
      <c r="CF66">
        <v>0.14000000000000001</v>
      </c>
      <c r="CG66" t="s">
        <v>317</v>
      </c>
      <c r="CH66" t="s">
        <v>406</v>
      </c>
      <c r="CI66">
        <v>4115698</v>
      </c>
      <c r="CJ66" t="s">
        <v>346</v>
      </c>
      <c r="CK66">
        <v>0.08</v>
      </c>
      <c r="CL66" t="s">
        <v>313</v>
      </c>
      <c r="CM66" t="s">
        <v>399</v>
      </c>
      <c r="CN66">
        <v>4026948</v>
      </c>
      <c r="CO66" t="s">
        <v>346</v>
      </c>
      <c r="CP66">
        <v>0.13</v>
      </c>
      <c r="CQ66" t="s">
        <v>317</v>
      </c>
      <c r="CV66" t="s">
        <v>306</v>
      </c>
      <c r="DA66" t="s">
        <v>306</v>
      </c>
      <c r="DB66" t="s">
        <v>1185</v>
      </c>
      <c r="DC66">
        <v>110616</v>
      </c>
      <c r="DD66" t="s">
        <v>346</v>
      </c>
      <c r="DE66">
        <v>0.16</v>
      </c>
      <c r="DF66" t="s">
        <v>313</v>
      </c>
      <c r="DK66" t="s">
        <v>306</v>
      </c>
      <c r="DL66" t="s">
        <v>1185</v>
      </c>
      <c r="DM66">
        <v>110616</v>
      </c>
      <c r="DN66" t="s">
        <v>346</v>
      </c>
      <c r="DO66">
        <v>0.16</v>
      </c>
      <c r="DP66" t="s">
        <v>313</v>
      </c>
      <c r="DU66" t="s">
        <v>306</v>
      </c>
      <c r="DV66" t="s">
        <v>510</v>
      </c>
      <c r="DW66">
        <v>4089114</v>
      </c>
      <c r="DX66" t="s">
        <v>346</v>
      </c>
      <c r="DY66">
        <v>0</v>
      </c>
      <c r="DZ66" t="s">
        <v>53</v>
      </c>
      <c r="EA66" t="s">
        <v>399</v>
      </c>
      <c r="EB66">
        <v>4026948</v>
      </c>
      <c r="EC66" t="s">
        <v>346</v>
      </c>
      <c r="ED66">
        <v>0.14000000000000001</v>
      </c>
      <c r="EE66" t="s">
        <v>317</v>
      </c>
      <c r="EF66" t="s">
        <v>1185</v>
      </c>
      <c r="EG66">
        <v>110616</v>
      </c>
      <c r="EH66" t="s">
        <v>346</v>
      </c>
      <c r="EI66">
        <v>0.16</v>
      </c>
      <c r="EJ66" t="s">
        <v>313</v>
      </c>
      <c r="EO66" t="s">
        <v>306</v>
      </c>
      <c r="EP66" t="s">
        <v>666</v>
      </c>
      <c r="EQ66">
        <v>4379197</v>
      </c>
      <c r="ER66" t="s">
        <v>346</v>
      </c>
      <c r="ES66">
        <v>0</v>
      </c>
      <c r="ET66" t="s">
        <v>50</v>
      </c>
      <c r="EY66" t="s">
        <v>306</v>
      </c>
      <c r="FD66" t="s">
        <v>306</v>
      </c>
      <c r="FI66" t="s">
        <v>306</v>
      </c>
      <c r="FJ66" t="s">
        <v>654</v>
      </c>
      <c r="FK66">
        <v>4208127</v>
      </c>
      <c r="FL66" t="s">
        <v>346</v>
      </c>
      <c r="FM66">
        <v>0.02</v>
      </c>
      <c r="FN66" t="s">
        <v>2185</v>
      </c>
      <c r="FS66" t="s">
        <v>306</v>
      </c>
      <c r="FX66" t="s">
        <v>306</v>
      </c>
      <c r="FY66" t="s">
        <v>1185</v>
      </c>
      <c r="FZ66">
        <v>110616</v>
      </c>
      <c r="GA66" t="s">
        <v>346</v>
      </c>
      <c r="GB66">
        <v>0.16</v>
      </c>
      <c r="GC66" t="s">
        <v>313</v>
      </c>
      <c r="GH66" t="s">
        <v>306</v>
      </c>
      <c r="GM66" t="s">
        <v>306</v>
      </c>
      <c r="GN66" t="s">
        <v>654</v>
      </c>
      <c r="GO66">
        <v>4208127</v>
      </c>
      <c r="GP66" t="s">
        <v>346</v>
      </c>
      <c r="GQ66">
        <v>0.02</v>
      </c>
      <c r="GR66" t="s">
        <v>2185</v>
      </c>
      <c r="GS66" t="s">
        <v>662</v>
      </c>
      <c r="GT66">
        <v>4316799</v>
      </c>
      <c r="GU66" t="s">
        <v>346</v>
      </c>
      <c r="GV66">
        <v>0.04</v>
      </c>
      <c r="GW66" t="s">
        <v>50</v>
      </c>
      <c r="GX66" t="s">
        <v>399</v>
      </c>
      <c r="GY66">
        <v>4026948</v>
      </c>
      <c r="GZ66" t="s">
        <v>346</v>
      </c>
      <c r="HA66">
        <v>0.14000000000000001</v>
      </c>
      <c r="HB66" t="s">
        <v>317</v>
      </c>
      <c r="HG66" t="s">
        <v>306</v>
      </c>
    </row>
    <row r="67" spans="5:215" x14ac:dyDescent="0.35">
      <c r="E67" t="s">
        <v>306</v>
      </c>
      <c r="F67" t="s">
        <v>462</v>
      </c>
      <c r="G67">
        <v>109872</v>
      </c>
      <c r="H67" t="s">
        <v>346</v>
      </c>
      <c r="I67">
        <v>0.03</v>
      </c>
      <c r="J67" t="s">
        <v>53</v>
      </c>
      <c r="K67" t="s">
        <v>661</v>
      </c>
      <c r="L67">
        <v>5873663</v>
      </c>
      <c r="M67" t="s">
        <v>366</v>
      </c>
      <c r="N67">
        <v>0.01</v>
      </c>
      <c r="O67" t="s">
        <v>80</v>
      </c>
      <c r="T67" t="s">
        <v>306</v>
      </c>
      <c r="U67" t="s">
        <v>458</v>
      </c>
      <c r="V67">
        <v>109806</v>
      </c>
      <c r="W67" t="s">
        <v>346</v>
      </c>
      <c r="X67">
        <v>0.08</v>
      </c>
      <c r="Y67" t="s">
        <v>53</v>
      </c>
      <c r="Z67" t="s">
        <v>661</v>
      </c>
      <c r="AA67">
        <v>5873663</v>
      </c>
      <c r="AB67" t="s">
        <v>366</v>
      </c>
      <c r="AC67">
        <v>0.01</v>
      </c>
      <c r="AD67" t="s">
        <v>80</v>
      </c>
      <c r="AE67" t="s">
        <v>463</v>
      </c>
      <c r="AF67">
        <v>4138888</v>
      </c>
      <c r="AG67" t="s">
        <v>346</v>
      </c>
      <c r="AH67">
        <v>0.03</v>
      </c>
      <c r="AI67" t="s">
        <v>375</v>
      </c>
      <c r="AN67" t="s">
        <v>306</v>
      </c>
      <c r="AO67" t="s">
        <v>388</v>
      </c>
      <c r="AP67">
        <v>4057506</v>
      </c>
      <c r="AQ67" t="s">
        <v>346</v>
      </c>
      <c r="AR67">
        <v>7.0000000000000007E-2</v>
      </c>
      <c r="AS67" t="s">
        <v>53</v>
      </c>
      <c r="AX67" t="s">
        <v>306</v>
      </c>
      <c r="AY67" t="s">
        <v>393</v>
      </c>
      <c r="AZ67">
        <v>4723508</v>
      </c>
      <c r="BA67" t="s">
        <v>346</v>
      </c>
      <c r="BB67">
        <v>0</v>
      </c>
      <c r="BC67" t="s">
        <v>313</v>
      </c>
      <c r="BD67" t="s">
        <v>955</v>
      </c>
      <c r="BE67">
        <v>4138889</v>
      </c>
      <c r="BF67" t="s">
        <v>346</v>
      </c>
      <c r="BG67">
        <v>0.16</v>
      </c>
      <c r="BH67" t="s">
        <v>313</v>
      </c>
      <c r="BI67" t="s">
        <v>645</v>
      </c>
      <c r="BJ67">
        <v>4198648</v>
      </c>
      <c r="BK67" t="s">
        <v>346</v>
      </c>
      <c r="BL67">
        <v>0.06</v>
      </c>
      <c r="BM67" t="s">
        <v>67</v>
      </c>
      <c r="BN67" t="s">
        <v>394</v>
      </c>
      <c r="BO67">
        <v>4048695</v>
      </c>
      <c r="BP67" t="s">
        <v>346</v>
      </c>
      <c r="BQ67">
        <v>0.04</v>
      </c>
      <c r="BR67" t="s">
        <v>53</v>
      </c>
      <c r="BS67" t="s">
        <v>546</v>
      </c>
      <c r="BT67">
        <v>4158830</v>
      </c>
      <c r="BU67" t="s">
        <v>346</v>
      </c>
      <c r="BV67">
        <v>0.08</v>
      </c>
      <c r="BW67" t="s">
        <v>53</v>
      </c>
      <c r="BX67" t="s">
        <v>458</v>
      </c>
      <c r="BY67">
        <v>109806</v>
      </c>
      <c r="BZ67" t="s">
        <v>346</v>
      </c>
      <c r="CA67">
        <v>0.08</v>
      </c>
      <c r="CB67" t="s">
        <v>53</v>
      </c>
      <c r="CC67" t="s">
        <v>393</v>
      </c>
      <c r="CD67">
        <v>4723508</v>
      </c>
      <c r="CE67" t="s">
        <v>346</v>
      </c>
      <c r="CF67">
        <v>0.13</v>
      </c>
      <c r="CG67" t="s">
        <v>313</v>
      </c>
      <c r="CH67" t="s">
        <v>388</v>
      </c>
      <c r="CI67">
        <v>4057506</v>
      </c>
      <c r="CJ67" t="s">
        <v>346</v>
      </c>
      <c r="CK67">
        <v>7.0000000000000007E-2</v>
      </c>
      <c r="CL67" t="s">
        <v>53</v>
      </c>
      <c r="CM67" t="s">
        <v>1190</v>
      </c>
      <c r="CN67">
        <v>4135104</v>
      </c>
      <c r="CO67" t="s">
        <v>364</v>
      </c>
      <c r="CP67">
        <v>0.13</v>
      </c>
      <c r="CQ67" t="s">
        <v>313</v>
      </c>
      <c r="CV67" t="s">
        <v>306</v>
      </c>
      <c r="DA67" t="s">
        <v>306</v>
      </c>
      <c r="DB67" t="s">
        <v>955</v>
      </c>
      <c r="DC67">
        <v>4138889</v>
      </c>
      <c r="DD67" t="s">
        <v>346</v>
      </c>
      <c r="DE67">
        <v>0.16</v>
      </c>
      <c r="DF67" t="s">
        <v>313</v>
      </c>
      <c r="DK67" t="s">
        <v>306</v>
      </c>
      <c r="DL67" t="s">
        <v>955</v>
      </c>
      <c r="DM67">
        <v>4138889</v>
      </c>
      <c r="DN67" t="s">
        <v>346</v>
      </c>
      <c r="DO67">
        <v>0.16</v>
      </c>
      <c r="DP67" t="s">
        <v>313</v>
      </c>
      <c r="DU67" t="s">
        <v>306</v>
      </c>
      <c r="DV67" t="s">
        <v>999</v>
      </c>
      <c r="DW67">
        <v>4031268</v>
      </c>
      <c r="DX67" t="s">
        <v>346</v>
      </c>
      <c r="DY67">
        <v>0</v>
      </c>
      <c r="DZ67" t="s">
        <v>53</v>
      </c>
      <c r="EA67" t="s">
        <v>393</v>
      </c>
      <c r="EB67">
        <v>4723508</v>
      </c>
      <c r="EC67" t="s">
        <v>346</v>
      </c>
      <c r="ED67">
        <v>0.13</v>
      </c>
      <c r="EE67" t="s">
        <v>313</v>
      </c>
      <c r="EF67" t="s">
        <v>955</v>
      </c>
      <c r="EG67">
        <v>4138889</v>
      </c>
      <c r="EH67" t="s">
        <v>346</v>
      </c>
      <c r="EI67">
        <v>0.16</v>
      </c>
      <c r="EJ67" t="s">
        <v>313</v>
      </c>
      <c r="EO67" t="s">
        <v>306</v>
      </c>
      <c r="EP67" t="s">
        <v>675</v>
      </c>
      <c r="EQ67">
        <v>4548312</v>
      </c>
      <c r="ER67" t="s">
        <v>346</v>
      </c>
      <c r="ES67">
        <v>0</v>
      </c>
      <c r="ET67" t="s">
        <v>50</v>
      </c>
      <c r="EY67" t="s">
        <v>306</v>
      </c>
      <c r="FD67" t="s">
        <v>306</v>
      </c>
      <c r="FI67" t="s">
        <v>306</v>
      </c>
      <c r="FJ67" t="s">
        <v>2160</v>
      </c>
      <c r="FK67">
        <v>10533989</v>
      </c>
      <c r="FL67" t="s">
        <v>346</v>
      </c>
      <c r="FM67">
        <v>0.02</v>
      </c>
      <c r="FN67" t="s">
        <v>320</v>
      </c>
      <c r="FS67" t="s">
        <v>306</v>
      </c>
      <c r="FX67" t="s">
        <v>306</v>
      </c>
      <c r="FY67" t="s">
        <v>955</v>
      </c>
      <c r="FZ67">
        <v>4138889</v>
      </c>
      <c r="GA67" t="s">
        <v>346</v>
      </c>
      <c r="GB67">
        <v>0.16</v>
      </c>
      <c r="GC67" t="s">
        <v>313</v>
      </c>
      <c r="GH67" t="s">
        <v>306</v>
      </c>
      <c r="GM67" t="s">
        <v>306</v>
      </c>
      <c r="GN67" t="s">
        <v>2160</v>
      </c>
      <c r="GO67">
        <v>10533989</v>
      </c>
      <c r="GP67" t="s">
        <v>346</v>
      </c>
      <c r="GQ67">
        <v>0.02</v>
      </c>
      <c r="GR67" t="s">
        <v>320</v>
      </c>
      <c r="GS67" t="s">
        <v>394</v>
      </c>
      <c r="GT67">
        <v>4048695</v>
      </c>
      <c r="GU67" t="s">
        <v>346</v>
      </c>
      <c r="GV67">
        <v>0.04</v>
      </c>
      <c r="GW67" t="s">
        <v>53</v>
      </c>
      <c r="GX67" t="s">
        <v>393</v>
      </c>
      <c r="GY67">
        <v>4723508</v>
      </c>
      <c r="GZ67" t="s">
        <v>346</v>
      </c>
      <c r="HA67">
        <v>0.13</v>
      </c>
      <c r="HB67" t="s">
        <v>313</v>
      </c>
      <c r="HG67" t="s">
        <v>306</v>
      </c>
    </row>
    <row r="68" spans="5:215" x14ac:dyDescent="0.35">
      <c r="E68" t="s">
        <v>306</v>
      </c>
      <c r="F68" t="s">
        <v>386</v>
      </c>
      <c r="G68">
        <v>4145085</v>
      </c>
      <c r="H68" t="s">
        <v>346</v>
      </c>
      <c r="I68">
        <v>0.03</v>
      </c>
      <c r="J68" t="s">
        <v>313</v>
      </c>
      <c r="K68" t="s">
        <v>662</v>
      </c>
      <c r="L68">
        <v>4316799</v>
      </c>
      <c r="M68" t="s">
        <v>346</v>
      </c>
      <c r="N68">
        <v>0.01</v>
      </c>
      <c r="O68" t="s">
        <v>50</v>
      </c>
      <c r="T68" t="s">
        <v>306</v>
      </c>
      <c r="U68" t="s">
        <v>677</v>
      </c>
      <c r="V68">
        <v>4345260</v>
      </c>
      <c r="W68" t="s">
        <v>346</v>
      </c>
      <c r="X68">
        <v>7.0000000000000007E-2</v>
      </c>
      <c r="Y68" t="s">
        <v>50</v>
      </c>
      <c r="Z68" t="s">
        <v>662</v>
      </c>
      <c r="AA68">
        <v>4316799</v>
      </c>
      <c r="AB68" t="s">
        <v>346</v>
      </c>
      <c r="AC68">
        <v>0.01</v>
      </c>
      <c r="AD68" t="s">
        <v>50</v>
      </c>
      <c r="AE68" t="s">
        <v>1124</v>
      </c>
      <c r="AF68">
        <v>4138836</v>
      </c>
      <c r="AG68" t="s">
        <v>346</v>
      </c>
      <c r="AH68">
        <v>0.03</v>
      </c>
      <c r="AI68" t="s">
        <v>2187</v>
      </c>
      <c r="AN68" t="s">
        <v>306</v>
      </c>
      <c r="AO68" t="s">
        <v>468</v>
      </c>
      <c r="AP68">
        <v>4556191</v>
      </c>
      <c r="AQ68" t="s">
        <v>346</v>
      </c>
      <c r="AR68">
        <v>7.0000000000000007E-2</v>
      </c>
      <c r="AS68" t="s">
        <v>53</v>
      </c>
      <c r="AX68" t="s">
        <v>306</v>
      </c>
      <c r="AY68" t="s">
        <v>410</v>
      </c>
      <c r="AZ68">
        <v>5759394</v>
      </c>
      <c r="BA68" t="s">
        <v>346</v>
      </c>
      <c r="BB68">
        <v>0</v>
      </c>
      <c r="BC68" t="s">
        <v>2186</v>
      </c>
      <c r="BD68" t="s">
        <v>1403</v>
      </c>
      <c r="BE68">
        <v>4138769</v>
      </c>
      <c r="BF68" t="s">
        <v>369</v>
      </c>
      <c r="BG68">
        <v>0.16</v>
      </c>
      <c r="BH68" t="s">
        <v>2181</v>
      </c>
      <c r="BI68" t="s">
        <v>1562</v>
      </c>
      <c r="BJ68">
        <v>11963653</v>
      </c>
      <c r="BK68" t="s">
        <v>346</v>
      </c>
      <c r="BL68">
        <v>0.06</v>
      </c>
      <c r="BM68" t="s">
        <v>53</v>
      </c>
      <c r="BN68" t="s">
        <v>735</v>
      </c>
      <c r="BO68">
        <v>4345966</v>
      </c>
      <c r="BP68" t="s">
        <v>346</v>
      </c>
      <c r="BQ68">
        <v>0.04</v>
      </c>
      <c r="BR68" t="s">
        <v>50</v>
      </c>
      <c r="BS68" t="s">
        <v>399</v>
      </c>
      <c r="BT68">
        <v>4026948</v>
      </c>
      <c r="BU68" t="s">
        <v>346</v>
      </c>
      <c r="BV68">
        <v>0.08</v>
      </c>
      <c r="BW68" t="s">
        <v>317</v>
      </c>
      <c r="BX68" t="s">
        <v>677</v>
      </c>
      <c r="BY68">
        <v>4345260</v>
      </c>
      <c r="BZ68" t="s">
        <v>346</v>
      </c>
      <c r="CA68">
        <v>7.0000000000000007E-2</v>
      </c>
      <c r="CB68" t="s">
        <v>50</v>
      </c>
      <c r="CC68" t="s">
        <v>974</v>
      </c>
      <c r="CD68">
        <v>5828077</v>
      </c>
      <c r="CE68" t="s">
        <v>346</v>
      </c>
      <c r="CF68">
        <v>0.13</v>
      </c>
      <c r="CG68" t="s">
        <v>313</v>
      </c>
      <c r="CH68" t="s">
        <v>468</v>
      </c>
      <c r="CI68">
        <v>4556191</v>
      </c>
      <c r="CJ68" t="s">
        <v>346</v>
      </c>
      <c r="CK68">
        <v>7.0000000000000007E-2</v>
      </c>
      <c r="CL68" t="s">
        <v>53</v>
      </c>
      <c r="CM68" t="s">
        <v>393</v>
      </c>
      <c r="CN68">
        <v>4723508</v>
      </c>
      <c r="CO68" t="s">
        <v>346</v>
      </c>
      <c r="CP68">
        <v>0.13</v>
      </c>
      <c r="CQ68" t="s">
        <v>313</v>
      </c>
      <c r="CV68" t="s">
        <v>306</v>
      </c>
      <c r="DA68" t="s">
        <v>306</v>
      </c>
      <c r="DB68" t="s">
        <v>1403</v>
      </c>
      <c r="DC68">
        <v>4138769</v>
      </c>
      <c r="DD68" t="s">
        <v>369</v>
      </c>
      <c r="DE68">
        <v>0.16</v>
      </c>
      <c r="DF68" t="s">
        <v>2181</v>
      </c>
      <c r="DK68" t="s">
        <v>306</v>
      </c>
      <c r="DL68" t="s">
        <v>1403</v>
      </c>
      <c r="DM68">
        <v>4138769</v>
      </c>
      <c r="DN68" t="s">
        <v>369</v>
      </c>
      <c r="DO68">
        <v>0.16</v>
      </c>
      <c r="DP68" t="s">
        <v>2181</v>
      </c>
      <c r="DU68" t="s">
        <v>306</v>
      </c>
      <c r="DV68" t="s">
        <v>1202</v>
      </c>
      <c r="DW68">
        <v>5850609</v>
      </c>
      <c r="DX68" t="s">
        <v>346</v>
      </c>
      <c r="DY68">
        <v>0</v>
      </c>
      <c r="DZ68" t="s">
        <v>2185</v>
      </c>
      <c r="EA68" t="s">
        <v>974</v>
      </c>
      <c r="EB68">
        <v>5828077</v>
      </c>
      <c r="EC68" t="s">
        <v>346</v>
      </c>
      <c r="ED68">
        <v>0.13</v>
      </c>
      <c r="EE68" t="s">
        <v>313</v>
      </c>
      <c r="EF68" t="s">
        <v>1403</v>
      </c>
      <c r="EG68">
        <v>4138769</v>
      </c>
      <c r="EH68" t="s">
        <v>369</v>
      </c>
      <c r="EI68">
        <v>0.16</v>
      </c>
      <c r="EJ68" t="s">
        <v>2181</v>
      </c>
      <c r="EO68" t="s">
        <v>306</v>
      </c>
      <c r="EP68" t="s">
        <v>754</v>
      </c>
      <c r="EQ68">
        <v>11183019</v>
      </c>
      <c r="ER68" t="s">
        <v>346</v>
      </c>
      <c r="ES68">
        <v>0</v>
      </c>
      <c r="ET68" t="s">
        <v>50</v>
      </c>
      <c r="EY68" t="s">
        <v>306</v>
      </c>
      <c r="FD68" t="s">
        <v>306</v>
      </c>
      <c r="FI68" t="s">
        <v>306</v>
      </c>
      <c r="FJ68" t="s">
        <v>464</v>
      </c>
      <c r="FK68">
        <v>4629378</v>
      </c>
      <c r="FL68" t="s">
        <v>346</v>
      </c>
      <c r="FM68">
        <v>0.02</v>
      </c>
      <c r="FN68" t="s">
        <v>304</v>
      </c>
      <c r="FS68" t="s">
        <v>306</v>
      </c>
      <c r="FX68" t="s">
        <v>306</v>
      </c>
      <c r="FY68" t="s">
        <v>1403</v>
      </c>
      <c r="FZ68">
        <v>4138769</v>
      </c>
      <c r="GA68" t="s">
        <v>369</v>
      </c>
      <c r="GB68">
        <v>0.16</v>
      </c>
      <c r="GC68" t="s">
        <v>2181</v>
      </c>
      <c r="GH68" t="s">
        <v>306</v>
      </c>
      <c r="GM68" t="s">
        <v>306</v>
      </c>
      <c r="GN68" t="s">
        <v>464</v>
      </c>
      <c r="GO68">
        <v>4629378</v>
      </c>
      <c r="GP68" t="s">
        <v>346</v>
      </c>
      <c r="GQ68">
        <v>0.02</v>
      </c>
      <c r="GR68" t="s">
        <v>304</v>
      </c>
      <c r="GS68" t="s">
        <v>735</v>
      </c>
      <c r="GT68">
        <v>4345966</v>
      </c>
      <c r="GU68" t="s">
        <v>346</v>
      </c>
      <c r="GV68">
        <v>0.04</v>
      </c>
      <c r="GW68" t="s">
        <v>50</v>
      </c>
      <c r="GX68" t="s">
        <v>974</v>
      </c>
      <c r="GY68">
        <v>5828077</v>
      </c>
      <c r="GZ68" t="s">
        <v>346</v>
      </c>
      <c r="HA68">
        <v>0.13</v>
      </c>
      <c r="HB68" t="s">
        <v>313</v>
      </c>
      <c r="HG68" t="s">
        <v>306</v>
      </c>
    </row>
    <row r="69" spans="5:215" x14ac:dyDescent="0.35">
      <c r="E69" t="s">
        <v>306</v>
      </c>
      <c r="F69" t="s">
        <v>463</v>
      </c>
      <c r="G69">
        <v>4138888</v>
      </c>
      <c r="H69" t="s">
        <v>346</v>
      </c>
      <c r="I69">
        <v>0.03</v>
      </c>
      <c r="J69" t="s">
        <v>375</v>
      </c>
      <c r="K69" t="s">
        <v>663</v>
      </c>
      <c r="L69">
        <v>4080954</v>
      </c>
      <c r="M69" t="s">
        <v>346</v>
      </c>
      <c r="N69">
        <v>0.01</v>
      </c>
      <c r="O69" t="s">
        <v>2193</v>
      </c>
      <c r="T69" t="s">
        <v>306</v>
      </c>
      <c r="U69" t="s">
        <v>683</v>
      </c>
      <c r="V69">
        <v>4137754</v>
      </c>
      <c r="W69" t="s">
        <v>346</v>
      </c>
      <c r="X69">
        <v>7.0000000000000007E-2</v>
      </c>
      <c r="Y69" t="s">
        <v>50</v>
      </c>
      <c r="Z69" t="s">
        <v>663</v>
      </c>
      <c r="AA69">
        <v>4080954</v>
      </c>
      <c r="AB69" t="s">
        <v>346</v>
      </c>
      <c r="AC69">
        <v>0.01</v>
      </c>
      <c r="AD69" t="s">
        <v>2193</v>
      </c>
      <c r="AE69" t="s">
        <v>437</v>
      </c>
      <c r="AF69">
        <v>4102073</v>
      </c>
      <c r="AG69" t="s">
        <v>346</v>
      </c>
      <c r="AH69">
        <v>0.03</v>
      </c>
      <c r="AI69" t="s">
        <v>53</v>
      </c>
      <c r="AN69" t="s">
        <v>306</v>
      </c>
      <c r="AO69" t="s">
        <v>501</v>
      </c>
      <c r="AP69">
        <v>111359</v>
      </c>
      <c r="AQ69" t="s">
        <v>346</v>
      </c>
      <c r="AR69">
        <v>0.06</v>
      </c>
      <c r="AS69" t="s">
        <v>53</v>
      </c>
      <c r="AX69" t="s">
        <v>306</v>
      </c>
      <c r="AY69" t="s">
        <v>453</v>
      </c>
      <c r="AZ69">
        <v>4318598</v>
      </c>
      <c r="BA69" t="s">
        <v>346</v>
      </c>
      <c r="BB69">
        <v>0</v>
      </c>
      <c r="BC69" t="s">
        <v>53</v>
      </c>
      <c r="BD69" t="s">
        <v>565</v>
      </c>
      <c r="BE69">
        <v>26566323</v>
      </c>
      <c r="BF69" t="s">
        <v>346</v>
      </c>
      <c r="BG69">
        <v>0.15</v>
      </c>
      <c r="BH69" t="s">
        <v>53</v>
      </c>
      <c r="BI69" t="s">
        <v>502</v>
      </c>
      <c r="BJ69">
        <v>4225041</v>
      </c>
      <c r="BK69" t="s">
        <v>346</v>
      </c>
      <c r="BL69">
        <v>0.06</v>
      </c>
      <c r="BM69" t="s">
        <v>2186</v>
      </c>
      <c r="BN69" t="s">
        <v>496</v>
      </c>
      <c r="BO69">
        <v>110495</v>
      </c>
      <c r="BP69" t="s">
        <v>346</v>
      </c>
      <c r="BQ69">
        <v>0.04</v>
      </c>
      <c r="BR69" t="s">
        <v>53</v>
      </c>
      <c r="BS69" t="s">
        <v>673</v>
      </c>
      <c r="BT69">
        <v>5837129</v>
      </c>
      <c r="BU69" t="s">
        <v>346</v>
      </c>
      <c r="BV69">
        <v>0.08</v>
      </c>
      <c r="BW69" t="s">
        <v>50</v>
      </c>
      <c r="BX69" t="s">
        <v>683</v>
      </c>
      <c r="BY69">
        <v>4137754</v>
      </c>
      <c r="BZ69" t="s">
        <v>346</v>
      </c>
      <c r="CA69">
        <v>7.0000000000000007E-2</v>
      </c>
      <c r="CB69" t="s">
        <v>50</v>
      </c>
      <c r="CC69" t="s">
        <v>1626</v>
      </c>
      <c r="CD69">
        <v>5847756</v>
      </c>
      <c r="CE69" t="s">
        <v>364</v>
      </c>
      <c r="CF69">
        <v>0.13</v>
      </c>
      <c r="CG69" t="s">
        <v>114</v>
      </c>
      <c r="CH69" t="s">
        <v>501</v>
      </c>
      <c r="CI69">
        <v>111359</v>
      </c>
      <c r="CJ69" t="s">
        <v>346</v>
      </c>
      <c r="CK69">
        <v>0.06</v>
      </c>
      <c r="CL69" t="s">
        <v>53</v>
      </c>
      <c r="CM69" t="s">
        <v>407</v>
      </c>
      <c r="CN69">
        <v>109754</v>
      </c>
      <c r="CO69" t="s">
        <v>346</v>
      </c>
      <c r="CP69">
        <v>0.13</v>
      </c>
      <c r="CQ69" t="s">
        <v>53</v>
      </c>
      <c r="CV69" t="s">
        <v>306</v>
      </c>
      <c r="DA69" t="s">
        <v>306</v>
      </c>
      <c r="DB69" t="s">
        <v>565</v>
      </c>
      <c r="DC69">
        <v>26566323</v>
      </c>
      <c r="DD69" t="s">
        <v>346</v>
      </c>
      <c r="DE69">
        <v>0.15</v>
      </c>
      <c r="DF69" t="s">
        <v>53</v>
      </c>
      <c r="DK69" t="s">
        <v>306</v>
      </c>
      <c r="DL69" t="s">
        <v>565</v>
      </c>
      <c r="DM69">
        <v>26566323</v>
      </c>
      <c r="DN69" t="s">
        <v>346</v>
      </c>
      <c r="DO69">
        <v>0.15</v>
      </c>
      <c r="DP69" t="s">
        <v>53</v>
      </c>
      <c r="DU69" t="s">
        <v>306</v>
      </c>
      <c r="DV69" t="s">
        <v>404</v>
      </c>
      <c r="DW69">
        <v>4383779</v>
      </c>
      <c r="DX69" t="s">
        <v>346</v>
      </c>
      <c r="DY69">
        <v>0</v>
      </c>
      <c r="DZ69" t="s">
        <v>53</v>
      </c>
      <c r="EA69" t="s">
        <v>1626</v>
      </c>
      <c r="EB69">
        <v>5847756</v>
      </c>
      <c r="EC69" t="s">
        <v>364</v>
      </c>
      <c r="ED69">
        <v>0.13</v>
      </c>
      <c r="EE69" t="s">
        <v>114</v>
      </c>
      <c r="EF69" t="s">
        <v>565</v>
      </c>
      <c r="EG69">
        <v>26566323</v>
      </c>
      <c r="EH69" t="s">
        <v>346</v>
      </c>
      <c r="EI69">
        <v>0.15</v>
      </c>
      <c r="EJ69" t="s">
        <v>53</v>
      </c>
      <c r="EO69" t="s">
        <v>306</v>
      </c>
      <c r="EP69" t="s">
        <v>665</v>
      </c>
      <c r="EQ69">
        <v>4137720</v>
      </c>
      <c r="ER69" t="s">
        <v>346</v>
      </c>
      <c r="ES69">
        <v>0</v>
      </c>
      <c r="ET69" t="s">
        <v>50</v>
      </c>
      <c r="EY69" t="s">
        <v>306</v>
      </c>
      <c r="FD69" t="s">
        <v>306</v>
      </c>
      <c r="FI69" t="s">
        <v>306</v>
      </c>
      <c r="FJ69" t="s">
        <v>463</v>
      </c>
      <c r="FK69">
        <v>4138888</v>
      </c>
      <c r="FL69" t="s">
        <v>346</v>
      </c>
      <c r="FM69">
        <v>0.02</v>
      </c>
      <c r="FN69" t="s">
        <v>375</v>
      </c>
      <c r="FS69" t="s">
        <v>306</v>
      </c>
      <c r="FX69" t="s">
        <v>306</v>
      </c>
      <c r="FY69" t="s">
        <v>565</v>
      </c>
      <c r="FZ69">
        <v>26566323</v>
      </c>
      <c r="GA69" t="s">
        <v>346</v>
      </c>
      <c r="GB69">
        <v>0.15</v>
      </c>
      <c r="GC69" t="s">
        <v>53</v>
      </c>
      <c r="GH69" t="s">
        <v>306</v>
      </c>
      <c r="GM69" t="s">
        <v>306</v>
      </c>
      <c r="GN69" t="s">
        <v>463</v>
      </c>
      <c r="GO69">
        <v>4138888</v>
      </c>
      <c r="GP69" t="s">
        <v>346</v>
      </c>
      <c r="GQ69">
        <v>0.02</v>
      </c>
      <c r="GR69" t="s">
        <v>375</v>
      </c>
      <c r="GS69" t="s">
        <v>496</v>
      </c>
      <c r="GT69">
        <v>110495</v>
      </c>
      <c r="GU69" t="s">
        <v>346</v>
      </c>
      <c r="GV69">
        <v>0.04</v>
      </c>
      <c r="GW69" t="s">
        <v>53</v>
      </c>
      <c r="GX69" t="s">
        <v>1626</v>
      </c>
      <c r="GY69">
        <v>5847756</v>
      </c>
      <c r="GZ69" t="s">
        <v>364</v>
      </c>
      <c r="HA69">
        <v>0.13</v>
      </c>
      <c r="HB69" t="s">
        <v>114</v>
      </c>
      <c r="HG69" t="s">
        <v>306</v>
      </c>
    </row>
    <row r="70" spans="5:215" x14ac:dyDescent="0.35">
      <c r="E70" t="s">
        <v>306</v>
      </c>
      <c r="F70" t="s">
        <v>464</v>
      </c>
      <c r="G70">
        <v>4629378</v>
      </c>
      <c r="H70" t="s">
        <v>346</v>
      </c>
      <c r="I70">
        <v>0.02</v>
      </c>
      <c r="J70" t="s">
        <v>304</v>
      </c>
      <c r="K70" t="s">
        <v>496</v>
      </c>
      <c r="L70">
        <v>110495</v>
      </c>
      <c r="M70" t="s">
        <v>346</v>
      </c>
      <c r="N70">
        <v>0.01</v>
      </c>
      <c r="O70" t="s">
        <v>53</v>
      </c>
      <c r="T70" t="s">
        <v>306</v>
      </c>
      <c r="U70" t="s">
        <v>466</v>
      </c>
      <c r="V70">
        <v>111267</v>
      </c>
      <c r="W70" t="s">
        <v>346</v>
      </c>
      <c r="X70">
        <v>0.06</v>
      </c>
      <c r="Y70" t="s">
        <v>313</v>
      </c>
      <c r="Z70" t="s">
        <v>496</v>
      </c>
      <c r="AA70">
        <v>110495</v>
      </c>
      <c r="AB70" t="s">
        <v>346</v>
      </c>
      <c r="AC70">
        <v>0.01</v>
      </c>
      <c r="AD70" t="s">
        <v>53</v>
      </c>
      <c r="AE70" t="s">
        <v>1125</v>
      </c>
      <c r="AF70">
        <v>4168454</v>
      </c>
      <c r="AG70" t="s">
        <v>346</v>
      </c>
      <c r="AH70">
        <v>0.03</v>
      </c>
      <c r="AI70" t="s">
        <v>80</v>
      </c>
      <c r="AN70" t="s">
        <v>306</v>
      </c>
      <c r="AO70" t="s">
        <v>1271</v>
      </c>
      <c r="AP70">
        <v>4930964</v>
      </c>
      <c r="AQ70" t="s">
        <v>346</v>
      </c>
      <c r="AR70">
        <v>0.06</v>
      </c>
      <c r="AS70" t="s">
        <v>62</v>
      </c>
      <c r="AX70" t="s">
        <v>306</v>
      </c>
      <c r="AY70" t="s">
        <v>852</v>
      </c>
      <c r="AZ70">
        <v>5866758</v>
      </c>
      <c r="BA70" t="s">
        <v>346</v>
      </c>
      <c r="BB70">
        <v>0</v>
      </c>
      <c r="BC70" t="s">
        <v>50</v>
      </c>
      <c r="BD70" t="s">
        <v>1404</v>
      </c>
      <c r="BE70">
        <v>4056595</v>
      </c>
      <c r="BF70" t="s">
        <v>346</v>
      </c>
      <c r="BG70">
        <v>0.15</v>
      </c>
      <c r="BH70" t="s">
        <v>313</v>
      </c>
      <c r="BI70" t="s">
        <v>1116</v>
      </c>
      <c r="BJ70">
        <v>5767392</v>
      </c>
      <c r="BK70" t="s">
        <v>346</v>
      </c>
      <c r="BL70">
        <v>0.05</v>
      </c>
      <c r="BM70" t="s">
        <v>2186</v>
      </c>
      <c r="BN70" t="s">
        <v>487</v>
      </c>
      <c r="BO70">
        <v>4111901</v>
      </c>
      <c r="BP70" t="s">
        <v>346</v>
      </c>
      <c r="BQ70">
        <v>0.04</v>
      </c>
      <c r="BR70" t="s">
        <v>2192</v>
      </c>
      <c r="BS70" t="s">
        <v>954</v>
      </c>
      <c r="BT70">
        <v>4026994</v>
      </c>
      <c r="BU70" t="s">
        <v>346</v>
      </c>
      <c r="BV70">
        <v>7.0000000000000007E-2</v>
      </c>
      <c r="BW70" t="s">
        <v>321</v>
      </c>
      <c r="BX70" t="s">
        <v>466</v>
      </c>
      <c r="BY70">
        <v>111267</v>
      </c>
      <c r="BZ70" t="s">
        <v>346</v>
      </c>
      <c r="CA70">
        <v>0.06</v>
      </c>
      <c r="CB70" t="s">
        <v>313</v>
      </c>
      <c r="CC70" t="s">
        <v>406</v>
      </c>
      <c r="CD70">
        <v>4115698</v>
      </c>
      <c r="CE70" t="s">
        <v>346</v>
      </c>
      <c r="CF70">
        <v>0.13</v>
      </c>
      <c r="CG70" t="s">
        <v>313</v>
      </c>
      <c r="CH70" t="s">
        <v>1271</v>
      </c>
      <c r="CI70">
        <v>4930964</v>
      </c>
      <c r="CJ70" t="s">
        <v>346</v>
      </c>
      <c r="CK70">
        <v>0.06</v>
      </c>
      <c r="CL70" t="s">
        <v>62</v>
      </c>
      <c r="CM70" t="s">
        <v>1962</v>
      </c>
      <c r="CN70">
        <v>22104638</v>
      </c>
      <c r="CO70" t="s">
        <v>364</v>
      </c>
      <c r="CP70">
        <v>0.12</v>
      </c>
      <c r="CQ70" t="s">
        <v>53</v>
      </c>
      <c r="CV70" t="s">
        <v>306</v>
      </c>
      <c r="DA70" t="s">
        <v>306</v>
      </c>
      <c r="DB70" t="s">
        <v>1404</v>
      </c>
      <c r="DC70">
        <v>4056595</v>
      </c>
      <c r="DD70" t="s">
        <v>346</v>
      </c>
      <c r="DE70">
        <v>0.15</v>
      </c>
      <c r="DF70" t="s">
        <v>313</v>
      </c>
      <c r="DK70" t="s">
        <v>306</v>
      </c>
      <c r="DL70" t="s">
        <v>1404</v>
      </c>
      <c r="DM70">
        <v>4056595</v>
      </c>
      <c r="DN70" t="s">
        <v>346</v>
      </c>
      <c r="DO70">
        <v>0.15</v>
      </c>
      <c r="DP70" t="s">
        <v>313</v>
      </c>
      <c r="DU70" t="s">
        <v>306</v>
      </c>
      <c r="DV70" t="s">
        <v>422</v>
      </c>
      <c r="DW70">
        <v>4048507</v>
      </c>
      <c r="DX70" t="s">
        <v>346</v>
      </c>
      <c r="DY70">
        <v>0</v>
      </c>
      <c r="DZ70" t="s">
        <v>304</v>
      </c>
      <c r="EA70" t="s">
        <v>406</v>
      </c>
      <c r="EB70">
        <v>4115698</v>
      </c>
      <c r="EC70" t="s">
        <v>346</v>
      </c>
      <c r="ED70">
        <v>0.13</v>
      </c>
      <c r="EE70" t="s">
        <v>313</v>
      </c>
      <c r="EF70" t="s">
        <v>1404</v>
      </c>
      <c r="EG70">
        <v>4056595</v>
      </c>
      <c r="EH70" t="s">
        <v>346</v>
      </c>
      <c r="EI70">
        <v>0.15</v>
      </c>
      <c r="EJ70" t="s">
        <v>313</v>
      </c>
      <c r="EO70" t="s">
        <v>306</v>
      </c>
      <c r="EP70" t="s">
        <v>357</v>
      </c>
      <c r="EQ70">
        <v>4270330</v>
      </c>
      <c r="ER70" t="s">
        <v>346</v>
      </c>
      <c r="ES70">
        <v>0</v>
      </c>
      <c r="ET70" t="s">
        <v>53</v>
      </c>
      <c r="EY70" t="s">
        <v>306</v>
      </c>
      <c r="FD70" t="s">
        <v>306</v>
      </c>
      <c r="FI70" t="s">
        <v>306</v>
      </c>
      <c r="FJ70" t="s">
        <v>2161</v>
      </c>
      <c r="FK70">
        <v>4549008</v>
      </c>
      <c r="FL70" t="s">
        <v>346</v>
      </c>
      <c r="FM70">
        <v>0.02</v>
      </c>
      <c r="FN70" t="s">
        <v>304</v>
      </c>
      <c r="FS70" t="s">
        <v>306</v>
      </c>
      <c r="FX70" t="s">
        <v>306</v>
      </c>
      <c r="FY70" t="s">
        <v>1404</v>
      </c>
      <c r="FZ70">
        <v>4056595</v>
      </c>
      <c r="GA70" t="s">
        <v>346</v>
      </c>
      <c r="GB70">
        <v>0.15</v>
      </c>
      <c r="GC70" t="s">
        <v>313</v>
      </c>
      <c r="GH70" t="s">
        <v>306</v>
      </c>
      <c r="GM70" t="s">
        <v>306</v>
      </c>
      <c r="GN70" t="s">
        <v>2161</v>
      </c>
      <c r="GO70">
        <v>4549008</v>
      </c>
      <c r="GP70" t="s">
        <v>346</v>
      </c>
      <c r="GQ70">
        <v>0.02</v>
      </c>
      <c r="GR70" t="s">
        <v>304</v>
      </c>
      <c r="GS70" t="s">
        <v>487</v>
      </c>
      <c r="GT70">
        <v>4111901</v>
      </c>
      <c r="GU70" t="s">
        <v>346</v>
      </c>
      <c r="GV70">
        <v>0.04</v>
      </c>
      <c r="GW70" t="s">
        <v>2192</v>
      </c>
      <c r="GX70" t="s">
        <v>406</v>
      </c>
      <c r="GY70">
        <v>4115698</v>
      </c>
      <c r="GZ70" t="s">
        <v>346</v>
      </c>
      <c r="HA70">
        <v>0.13</v>
      </c>
      <c r="HB70" t="s">
        <v>313</v>
      </c>
      <c r="HG70" t="s">
        <v>306</v>
      </c>
    </row>
    <row r="71" spans="5:215" x14ac:dyDescent="0.35">
      <c r="E71" t="s">
        <v>306</v>
      </c>
      <c r="F71" t="s">
        <v>465</v>
      </c>
      <c r="G71">
        <v>4119440</v>
      </c>
      <c r="H71" t="s">
        <v>346</v>
      </c>
      <c r="I71">
        <v>0.02</v>
      </c>
      <c r="J71" t="s">
        <v>53</v>
      </c>
      <c r="K71" t="s">
        <v>664</v>
      </c>
      <c r="L71">
        <v>4138760</v>
      </c>
      <c r="M71" t="s">
        <v>346</v>
      </c>
      <c r="N71">
        <v>0.01</v>
      </c>
      <c r="O71" t="s">
        <v>50</v>
      </c>
      <c r="T71" t="s">
        <v>306</v>
      </c>
      <c r="U71" t="s">
        <v>430</v>
      </c>
      <c r="V71">
        <v>4055767</v>
      </c>
      <c r="W71" t="s">
        <v>346</v>
      </c>
      <c r="X71">
        <v>0.06</v>
      </c>
      <c r="Y71" t="s">
        <v>53</v>
      </c>
      <c r="Z71" t="s">
        <v>664</v>
      </c>
      <c r="AA71">
        <v>4138760</v>
      </c>
      <c r="AB71" t="s">
        <v>346</v>
      </c>
      <c r="AC71">
        <v>0.01</v>
      </c>
      <c r="AD71" t="s">
        <v>50</v>
      </c>
      <c r="AE71" t="s">
        <v>623</v>
      </c>
      <c r="AF71">
        <v>4138267</v>
      </c>
      <c r="AG71" t="s">
        <v>346</v>
      </c>
      <c r="AH71">
        <v>0.02</v>
      </c>
      <c r="AI71" t="s">
        <v>320</v>
      </c>
      <c r="AN71" t="s">
        <v>306</v>
      </c>
      <c r="AO71" t="s">
        <v>407</v>
      </c>
      <c r="AP71">
        <v>109754</v>
      </c>
      <c r="AQ71" t="s">
        <v>346</v>
      </c>
      <c r="AR71">
        <v>0.06</v>
      </c>
      <c r="AS71" t="s">
        <v>53</v>
      </c>
      <c r="AX71" t="s">
        <v>306</v>
      </c>
      <c r="AY71" t="s">
        <v>463</v>
      </c>
      <c r="AZ71">
        <v>4138888</v>
      </c>
      <c r="BA71" t="s">
        <v>346</v>
      </c>
      <c r="BB71">
        <v>0</v>
      </c>
      <c r="BC71" t="s">
        <v>375</v>
      </c>
      <c r="BD71" t="s">
        <v>1405</v>
      </c>
      <c r="BE71">
        <v>4492849</v>
      </c>
      <c r="BF71" t="s">
        <v>346</v>
      </c>
      <c r="BG71">
        <v>0.15</v>
      </c>
      <c r="BH71" t="s">
        <v>313</v>
      </c>
      <c r="BI71" t="s">
        <v>465</v>
      </c>
      <c r="BJ71">
        <v>4119440</v>
      </c>
      <c r="BK71" t="s">
        <v>346</v>
      </c>
      <c r="BL71">
        <v>0.05</v>
      </c>
      <c r="BM71" t="s">
        <v>53</v>
      </c>
      <c r="BN71" t="s">
        <v>406</v>
      </c>
      <c r="BO71">
        <v>4115698</v>
      </c>
      <c r="BP71" t="s">
        <v>346</v>
      </c>
      <c r="BQ71">
        <v>0.04</v>
      </c>
      <c r="BR71" t="s">
        <v>313</v>
      </c>
      <c r="BS71" t="s">
        <v>679</v>
      </c>
      <c r="BT71">
        <v>4138221</v>
      </c>
      <c r="BU71" t="s">
        <v>346</v>
      </c>
      <c r="BV71">
        <v>7.0000000000000007E-2</v>
      </c>
      <c r="BW71" t="s">
        <v>50</v>
      </c>
      <c r="BX71" t="s">
        <v>430</v>
      </c>
      <c r="BY71">
        <v>4055767</v>
      </c>
      <c r="BZ71" t="s">
        <v>346</v>
      </c>
      <c r="CA71">
        <v>0.06</v>
      </c>
      <c r="CB71" t="s">
        <v>53</v>
      </c>
      <c r="CC71" t="s">
        <v>1627</v>
      </c>
      <c r="CD71">
        <v>110634</v>
      </c>
      <c r="CE71" t="s">
        <v>346</v>
      </c>
      <c r="CF71">
        <v>0.13</v>
      </c>
      <c r="CG71" t="s">
        <v>53</v>
      </c>
      <c r="CH71" t="s">
        <v>407</v>
      </c>
      <c r="CI71">
        <v>109754</v>
      </c>
      <c r="CJ71" t="s">
        <v>346</v>
      </c>
      <c r="CK71">
        <v>0.06</v>
      </c>
      <c r="CL71" t="s">
        <v>53</v>
      </c>
      <c r="CM71" t="s">
        <v>530</v>
      </c>
      <c r="CN71">
        <v>102729</v>
      </c>
      <c r="CO71" t="s">
        <v>346</v>
      </c>
      <c r="CP71">
        <v>0.12</v>
      </c>
      <c r="CQ71" t="s">
        <v>53</v>
      </c>
      <c r="CV71" t="s">
        <v>306</v>
      </c>
      <c r="DA71" t="s">
        <v>306</v>
      </c>
      <c r="DB71" t="s">
        <v>1405</v>
      </c>
      <c r="DC71">
        <v>4492849</v>
      </c>
      <c r="DD71" t="s">
        <v>346</v>
      </c>
      <c r="DE71">
        <v>0.15</v>
      </c>
      <c r="DF71" t="s">
        <v>313</v>
      </c>
      <c r="DK71" t="s">
        <v>306</v>
      </c>
      <c r="DL71" t="s">
        <v>1405</v>
      </c>
      <c r="DM71">
        <v>4492849</v>
      </c>
      <c r="DN71" t="s">
        <v>346</v>
      </c>
      <c r="DO71">
        <v>0.15</v>
      </c>
      <c r="DP71" t="s">
        <v>313</v>
      </c>
      <c r="DU71" t="s">
        <v>306</v>
      </c>
      <c r="DV71" t="s">
        <v>546</v>
      </c>
      <c r="DW71">
        <v>4158830</v>
      </c>
      <c r="DX71" t="s">
        <v>346</v>
      </c>
      <c r="DY71">
        <v>0</v>
      </c>
      <c r="DZ71" t="s">
        <v>53</v>
      </c>
      <c r="EA71" t="s">
        <v>1627</v>
      </c>
      <c r="EB71">
        <v>110634</v>
      </c>
      <c r="EC71" t="s">
        <v>346</v>
      </c>
      <c r="ED71">
        <v>0.13</v>
      </c>
      <c r="EE71" t="s">
        <v>53</v>
      </c>
      <c r="EF71" t="s">
        <v>1405</v>
      </c>
      <c r="EG71">
        <v>4492849</v>
      </c>
      <c r="EH71" t="s">
        <v>346</v>
      </c>
      <c r="EI71">
        <v>0.15</v>
      </c>
      <c r="EJ71" t="s">
        <v>313</v>
      </c>
      <c r="EO71" t="s">
        <v>306</v>
      </c>
      <c r="EP71" t="s">
        <v>410</v>
      </c>
      <c r="EQ71">
        <v>5759394</v>
      </c>
      <c r="ER71" t="s">
        <v>346</v>
      </c>
      <c r="ES71">
        <v>0</v>
      </c>
      <c r="ET71" t="s">
        <v>2186</v>
      </c>
      <c r="EY71" t="s">
        <v>306</v>
      </c>
      <c r="FD71" t="s">
        <v>306</v>
      </c>
      <c r="FI71" t="s">
        <v>306</v>
      </c>
      <c r="FJ71" t="s">
        <v>2162</v>
      </c>
      <c r="FK71" t="s">
        <v>300</v>
      </c>
      <c r="FL71" t="s">
        <v>361</v>
      </c>
      <c r="FM71">
        <v>0.02</v>
      </c>
      <c r="FN71" t="s">
        <v>50</v>
      </c>
      <c r="FS71" t="s">
        <v>306</v>
      </c>
      <c r="FX71" t="s">
        <v>306</v>
      </c>
      <c r="FY71" t="s">
        <v>1405</v>
      </c>
      <c r="FZ71">
        <v>4492849</v>
      </c>
      <c r="GA71" t="s">
        <v>346</v>
      </c>
      <c r="GB71">
        <v>0.15</v>
      </c>
      <c r="GC71" t="s">
        <v>313</v>
      </c>
      <c r="GH71" t="s">
        <v>306</v>
      </c>
      <c r="GM71" t="s">
        <v>306</v>
      </c>
      <c r="GN71" t="s">
        <v>2162</v>
      </c>
      <c r="GO71" t="s">
        <v>300</v>
      </c>
      <c r="GP71" t="s">
        <v>361</v>
      </c>
      <c r="GQ71">
        <v>0.02</v>
      </c>
      <c r="GR71" t="s">
        <v>50</v>
      </c>
      <c r="GS71" t="s">
        <v>406</v>
      </c>
      <c r="GT71">
        <v>4115698</v>
      </c>
      <c r="GU71" t="s">
        <v>346</v>
      </c>
      <c r="GV71">
        <v>0.04</v>
      </c>
      <c r="GW71" t="s">
        <v>313</v>
      </c>
      <c r="GX71" t="s">
        <v>1627</v>
      </c>
      <c r="GY71">
        <v>110634</v>
      </c>
      <c r="GZ71" t="s">
        <v>346</v>
      </c>
      <c r="HA71">
        <v>0.13</v>
      </c>
      <c r="HB71" t="s">
        <v>53</v>
      </c>
      <c r="HG71" t="s">
        <v>306</v>
      </c>
    </row>
    <row r="72" spans="5:215" x14ac:dyDescent="0.35">
      <c r="E72" t="s">
        <v>306</v>
      </c>
      <c r="F72" t="s">
        <v>466</v>
      </c>
      <c r="G72">
        <v>111267</v>
      </c>
      <c r="H72" t="s">
        <v>346</v>
      </c>
      <c r="I72">
        <v>0.02</v>
      </c>
      <c r="J72" t="s">
        <v>313</v>
      </c>
      <c r="K72" t="s">
        <v>387</v>
      </c>
      <c r="L72">
        <v>4020980</v>
      </c>
      <c r="M72" t="s">
        <v>346</v>
      </c>
      <c r="N72">
        <v>0.01</v>
      </c>
      <c r="O72" t="s">
        <v>2189</v>
      </c>
      <c r="T72" t="s">
        <v>306</v>
      </c>
      <c r="U72" t="s">
        <v>728</v>
      </c>
      <c r="V72">
        <v>4316929</v>
      </c>
      <c r="W72" t="s">
        <v>346</v>
      </c>
      <c r="X72">
        <v>0.06</v>
      </c>
      <c r="Y72" t="s">
        <v>50</v>
      </c>
      <c r="Z72" t="s">
        <v>387</v>
      </c>
      <c r="AA72">
        <v>4020980</v>
      </c>
      <c r="AB72" t="s">
        <v>346</v>
      </c>
      <c r="AC72">
        <v>0.01</v>
      </c>
      <c r="AD72" t="s">
        <v>2189</v>
      </c>
      <c r="AE72" t="s">
        <v>1032</v>
      </c>
      <c r="AF72">
        <v>4343973</v>
      </c>
      <c r="AG72" t="s">
        <v>346</v>
      </c>
      <c r="AH72">
        <v>0.02</v>
      </c>
      <c r="AI72" t="s">
        <v>375</v>
      </c>
      <c r="AN72" t="s">
        <v>306</v>
      </c>
      <c r="AO72" t="s">
        <v>478</v>
      </c>
      <c r="AP72">
        <v>5852503</v>
      </c>
      <c r="AQ72" t="s">
        <v>346</v>
      </c>
      <c r="AR72">
        <v>0.06</v>
      </c>
      <c r="AS72" t="s">
        <v>62</v>
      </c>
      <c r="AX72" t="s">
        <v>306</v>
      </c>
      <c r="AY72" t="s">
        <v>411</v>
      </c>
      <c r="AZ72">
        <v>4272373</v>
      </c>
      <c r="BA72" t="s">
        <v>346</v>
      </c>
      <c r="BB72">
        <v>0</v>
      </c>
      <c r="BC72" t="s">
        <v>313</v>
      </c>
      <c r="BD72" t="s">
        <v>1406</v>
      </c>
      <c r="BE72">
        <v>5779773</v>
      </c>
      <c r="BF72" t="s">
        <v>346</v>
      </c>
      <c r="BG72">
        <v>0.15</v>
      </c>
      <c r="BH72" t="s">
        <v>62</v>
      </c>
      <c r="BI72" t="s">
        <v>489</v>
      </c>
      <c r="BJ72">
        <v>4324456</v>
      </c>
      <c r="BK72" t="s">
        <v>346</v>
      </c>
      <c r="BL72">
        <v>0.05</v>
      </c>
      <c r="BM72" t="s">
        <v>2194</v>
      </c>
      <c r="BN72" t="s">
        <v>748</v>
      </c>
      <c r="BO72">
        <v>4138088</v>
      </c>
      <c r="BP72" t="s">
        <v>346</v>
      </c>
      <c r="BQ72">
        <v>0.03</v>
      </c>
      <c r="BR72" t="s">
        <v>50</v>
      </c>
      <c r="BS72" t="s">
        <v>955</v>
      </c>
      <c r="BT72">
        <v>4138889</v>
      </c>
      <c r="BU72" t="s">
        <v>346</v>
      </c>
      <c r="BV72">
        <v>7.0000000000000007E-2</v>
      </c>
      <c r="BW72" t="s">
        <v>313</v>
      </c>
      <c r="BX72" t="s">
        <v>728</v>
      </c>
      <c r="BY72">
        <v>4316929</v>
      </c>
      <c r="BZ72" t="s">
        <v>346</v>
      </c>
      <c r="CA72">
        <v>0.06</v>
      </c>
      <c r="CB72" t="s">
        <v>50</v>
      </c>
      <c r="CC72" t="s">
        <v>461</v>
      </c>
      <c r="CD72">
        <v>4137912</v>
      </c>
      <c r="CE72" t="s">
        <v>346</v>
      </c>
      <c r="CF72">
        <v>0.12</v>
      </c>
      <c r="CG72" t="s">
        <v>2185</v>
      </c>
      <c r="CH72" t="s">
        <v>478</v>
      </c>
      <c r="CI72">
        <v>5852503</v>
      </c>
      <c r="CJ72" t="s">
        <v>346</v>
      </c>
      <c r="CK72">
        <v>0.06</v>
      </c>
      <c r="CL72" t="s">
        <v>62</v>
      </c>
      <c r="CM72" t="s">
        <v>501</v>
      </c>
      <c r="CN72">
        <v>111359</v>
      </c>
      <c r="CO72" t="s">
        <v>346</v>
      </c>
      <c r="CP72">
        <v>0.12</v>
      </c>
      <c r="CQ72" t="s">
        <v>53</v>
      </c>
      <c r="CV72" t="s">
        <v>306</v>
      </c>
      <c r="DA72" t="s">
        <v>306</v>
      </c>
      <c r="DB72" t="s">
        <v>1406</v>
      </c>
      <c r="DC72">
        <v>5779773</v>
      </c>
      <c r="DD72" t="s">
        <v>346</v>
      </c>
      <c r="DE72">
        <v>0.15</v>
      </c>
      <c r="DF72" t="s">
        <v>62</v>
      </c>
      <c r="DK72" t="s">
        <v>306</v>
      </c>
      <c r="DL72" t="s">
        <v>1406</v>
      </c>
      <c r="DM72">
        <v>5779773</v>
      </c>
      <c r="DN72" t="s">
        <v>346</v>
      </c>
      <c r="DO72">
        <v>0.15</v>
      </c>
      <c r="DP72" t="s">
        <v>62</v>
      </c>
      <c r="DU72" t="s">
        <v>306</v>
      </c>
      <c r="DV72" t="s">
        <v>425</v>
      </c>
      <c r="DW72">
        <v>4137704</v>
      </c>
      <c r="DX72" t="s">
        <v>346</v>
      </c>
      <c r="DY72">
        <v>0</v>
      </c>
      <c r="DZ72" t="s">
        <v>304</v>
      </c>
      <c r="EA72" t="s">
        <v>461</v>
      </c>
      <c r="EB72">
        <v>4137912</v>
      </c>
      <c r="EC72" t="s">
        <v>346</v>
      </c>
      <c r="ED72">
        <v>0.12</v>
      </c>
      <c r="EE72" t="s">
        <v>2185</v>
      </c>
      <c r="EF72" t="s">
        <v>1406</v>
      </c>
      <c r="EG72">
        <v>5779773</v>
      </c>
      <c r="EH72" t="s">
        <v>346</v>
      </c>
      <c r="EI72">
        <v>0.15</v>
      </c>
      <c r="EJ72" t="s">
        <v>62</v>
      </c>
      <c r="EO72" t="s">
        <v>306</v>
      </c>
      <c r="EP72" t="s">
        <v>678</v>
      </c>
      <c r="EQ72">
        <v>5877799</v>
      </c>
      <c r="ER72" t="s">
        <v>346</v>
      </c>
      <c r="ES72">
        <v>0</v>
      </c>
      <c r="ET72" t="s">
        <v>50</v>
      </c>
      <c r="EY72" t="s">
        <v>306</v>
      </c>
      <c r="FD72" t="s">
        <v>306</v>
      </c>
      <c r="FI72" t="s">
        <v>306</v>
      </c>
      <c r="FJ72" t="s">
        <v>2163</v>
      </c>
      <c r="FK72" t="s">
        <v>300</v>
      </c>
      <c r="FL72" t="s">
        <v>361</v>
      </c>
      <c r="FM72">
        <v>0.02</v>
      </c>
      <c r="FN72" t="s">
        <v>50</v>
      </c>
      <c r="FS72" t="s">
        <v>306</v>
      </c>
      <c r="FX72" t="s">
        <v>306</v>
      </c>
      <c r="FY72" t="s">
        <v>1406</v>
      </c>
      <c r="FZ72">
        <v>5779773</v>
      </c>
      <c r="GA72" t="s">
        <v>346</v>
      </c>
      <c r="GB72">
        <v>0.15</v>
      </c>
      <c r="GC72" t="s">
        <v>62</v>
      </c>
      <c r="GH72" t="s">
        <v>306</v>
      </c>
      <c r="GM72" t="s">
        <v>306</v>
      </c>
      <c r="GN72" t="s">
        <v>2163</v>
      </c>
      <c r="GO72" t="s">
        <v>300</v>
      </c>
      <c r="GP72" t="s">
        <v>361</v>
      </c>
      <c r="GQ72">
        <v>0.02</v>
      </c>
      <c r="GR72" t="s">
        <v>50</v>
      </c>
      <c r="GS72" t="s">
        <v>748</v>
      </c>
      <c r="GT72">
        <v>4138088</v>
      </c>
      <c r="GU72" t="s">
        <v>346</v>
      </c>
      <c r="GV72">
        <v>0.03</v>
      </c>
      <c r="GW72" t="s">
        <v>50</v>
      </c>
      <c r="GX72" t="s">
        <v>461</v>
      </c>
      <c r="GY72">
        <v>4137912</v>
      </c>
      <c r="GZ72" t="s">
        <v>346</v>
      </c>
      <c r="HA72">
        <v>0.12</v>
      </c>
      <c r="HB72" t="s">
        <v>2185</v>
      </c>
      <c r="HG72" t="s">
        <v>306</v>
      </c>
    </row>
    <row r="73" spans="5:215" x14ac:dyDescent="0.35">
      <c r="E73" t="s">
        <v>306</v>
      </c>
      <c r="F73" t="s">
        <v>413</v>
      </c>
      <c r="G73">
        <v>4114882</v>
      </c>
      <c r="H73" t="s">
        <v>346</v>
      </c>
      <c r="I73">
        <v>0.02</v>
      </c>
      <c r="J73" t="s">
        <v>80</v>
      </c>
      <c r="K73" t="s">
        <v>489</v>
      </c>
      <c r="L73">
        <v>4324456</v>
      </c>
      <c r="M73" t="s">
        <v>346</v>
      </c>
      <c r="N73">
        <v>0.01</v>
      </c>
      <c r="O73" t="s">
        <v>2194</v>
      </c>
      <c r="T73" t="s">
        <v>306</v>
      </c>
      <c r="U73" t="s">
        <v>674</v>
      </c>
      <c r="V73">
        <v>4345965</v>
      </c>
      <c r="W73" t="s">
        <v>346</v>
      </c>
      <c r="X73">
        <v>0.06</v>
      </c>
      <c r="Y73" t="s">
        <v>50</v>
      </c>
      <c r="Z73" t="s">
        <v>489</v>
      </c>
      <c r="AA73">
        <v>4324456</v>
      </c>
      <c r="AB73" t="s">
        <v>346</v>
      </c>
      <c r="AC73">
        <v>0.01</v>
      </c>
      <c r="AD73" t="s">
        <v>2194</v>
      </c>
      <c r="AE73" t="s">
        <v>401</v>
      </c>
      <c r="AF73">
        <v>4139862</v>
      </c>
      <c r="AG73" t="s">
        <v>346</v>
      </c>
      <c r="AH73">
        <v>0.02</v>
      </c>
      <c r="AI73" t="s">
        <v>313</v>
      </c>
      <c r="AN73" t="s">
        <v>306</v>
      </c>
      <c r="AO73" t="s">
        <v>1272</v>
      </c>
      <c r="AP73">
        <v>14833261</v>
      </c>
      <c r="AQ73" t="s">
        <v>346</v>
      </c>
      <c r="AR73">
        <v>0.06</v>
      </c>
      <c r="AS73" t="s">
        <v>2185</v>
      </c>
      <c r="AX73" t="s">
        <v>306</v>
      </c>
      <c r="AY73" t="s">
        <v>806</v>
      </c>
      <c r="AZ73">
        <v>4140536</v>
      </c>
      <c r="BA73" t="s">
        <v>346</v>
      </c>
      <c r="BB73">
        <v>0</v>
      </c>
      <c r="BC73" t="s">
        <v>50</v>
      </c>
      <c r="BD73" t="s">
        <v>1025</v>
      </c>
      <c r="BE73">
        <v>4137552</v>
      </c>
      <c r="BF73" t="s">
        <v>346</v>
      </c>
      <c r="BG73">
        <v>0.14000000000000001</v>
      </c>
      <c r="BH73" t="s">
        <v>317</v>
      </c>
      <c r="BI73" t="s">
        <v>453</v>
      </c>
      <c r="BJ73">
        <v>4318598</v>
      </c>
      <c r="BK73" t="s">
        <v>346</v>
      </c>
      <c r="BL73">
        <v>0.05</v>
      </c>
      <c r="BM73" t="s">
        <v>53</v>
      </c>
      <c r="BN73" t="s">
        <v>451</v>
      </c>
      <c r="BO73">
        <v>5747632</v>
      </c>
      <c r="BP73" t="s">
        <v>346</v>
      </c>
      <c r="BQ73">
        <v>0.03</v>
      </c>
      <c r="BR73" t="s">
        <v>80</v>
      </c>
      <c r="BS73" t="s">
        <v>728</v>
      </c>
      <c r="BT73">
        <v>4316929</v>
      </c>
      <c r="BU73" t="s">
        <v>346</v>
      </c>
      <c r="BV73">
        <v>7.0000000000000007E-2</v>
      </c>
      <c r="BW73" t="s">
        <v>50</v>
      </c>
      <c r="BX73" t="s">
        <v>674</v>
      </c>
      <c r="BY73">
        <v>4345965</v>
      </c>
      <c r="BZ73" t="s">
        <v>346</v>
      </c>
      <c r="CA73">
        <v>0.06</v>
      </c>
      <c r="CB73" t="s">
        <v>50</v>
      </c>
      <c r="CC73" t="s">
        <v>1478</v>
      </c>
      <c r="CD73">
        <v>4339354</v>
      </c>
      <c r="CE73" t="s">
        <v>346</v>
      </c>
      <c r="CF73">
        <v>0.12</v>
      </c>
      <c r="CG73" t="s">
        <v>53</v>
      </c>
      <c r="CH73" t="s">
        <v>1272</v>
      </c>
      <c r="CI73">
        <v>14833261</v>
      </c>
      <c r="CJ73" t="s">
        <v>346</v>
      </c>
      <c r="CK73">
        <v>0.06</v>
      </c>
      <c r="CL73" t="s">
        <v>2185</v>
      </c>
      <c r="CM73" t="s">
        <v>389</v>
      </c>
      <c r="CN73">
        <v>109888</v>
      </c>
      <c r="CO73" t="s">
        <v>346</v>
      </c>
      <c r="CP73">
        <v>0.12</v>
      </c>
      <c r="CQ73" t="s">
        <v>53</v>
      </c>
      <c r="CV73" t="s">
        <v>306</v>
      </c>
      <c r="DA73" t="s">
        <v>306</v>
      </c>
      <c r="DB73" t="s">
        <v>1025</v>
      </c>
      <c r="DC73">
        <v>4137552</v>
      </c>
      <c r="DD73" t="s">
        <v>346</v>
      </c>
      <c r="DE73">
        <v>0.14000000000000001</v>
      </c>
      <c r="DF73" t="s">
        <v>317</v>
      </c>
      <c r="DK73" t="s">
        <v>306</v>
      </c>
      <c r="DL73" t="s">
        <v>1025</v>
      </c>
      <c r="DM73">
        <v>4137552</v>
      </c>
      <c r="DN73" t="s">
        <v>346</v>
      </c>
      <c r="DO73">
        <v>0.14000000000000001</v>
      </c>
      <c r="DP73" t="s">
        <v>317</v>
      </c>
      <c r="DU73" t="s">
        <v>306</v>
      </c>
      <c r="DV73" t="s">
        <v>398</v>
      </c>
      <c r="DW73">
        <v>4107954</v>
      </c>
      <c r="DX73" t="s">
        <v>300</v>
      </c>
      <c r="DY73">
        <v>0</v>
      </c>
      <c r="DZ73" t="s">
        <v>304</v>
      </c>
      <c r="EA73" t="s">
        <v>1478</v>
      </c>
      <c r="EB73">
        <v>4339354</v>
      </c>
      <c r="EC73" t="s">
        <v>346</v>
      </c>
      <c r="ED73">
        <v>0.12</v>
      </c>
      <c r="EE73" t="s">
        <v>53</v>
      </c>
      <c r="EF73" t="s">
        <v>1025</v>
      </c>
      <c r="EG73">
        <v>4137552</v>
      </c>
      <c r="EH73" t="s">
        <v>346</v>
      </c>
      <c r="EI73">
        <v>0.14000000000000001</v>
      </c>
      <c r="EJ73" t="s">
        <v>317</v>
      </c>
      <c r="EO73" t="s">
        <v>306</v>
      </c>
      <c r="EP73" t="s">
        <v>481</v>
      </c>
      <c r="EQ73">
        <v>4376121</v>
      </c>
      <c r="ER73" t="s">
        <v>346</v>
      </c>
      <c r="ES73">
        <v>0</v>
      </c>
      <c r="ET73" t="s">
        <v>313</v>
      </c>
      <c r="EY73" t="s">
        <v>306</v>
      </c>
      <c r="FD73" t="s">
        <v>306</v>
      </c>
      <c r="FI73" t="s">
        <v>306</v>
      </c>
      <c r="FJ73" t="s">
        <v>456</v>
      </c>
      <c r="FK73">
        <v>4249110</v>
      </c>
      <c r="FL73" t="s">
        <v>346</v>
      </c>
      <c r="FM73">
        <v>0.02</v>
      </c>
      <c r="FN73" t="s">
        <v>313</v>
      </c>
      <c r="FS73" t="s">
        <v>306</v>
      </c>
      <c r="FX73" t="s">
        <v>306</v>
      </c>
      <c r="FY73" t="s">
        <v>1025</v>
      </c>
      <c r="FZ73">
        <v>4137552</v>
      </c>
      <c r="GA73" t="s">
        <v>346</v>
      </c>
      <c r="GB73">
        <v>0.14000000000000001</v>
      </c>
      <c r="GC73" t="s">
        <v>317</v>
      </c>
      <c r="GH73" t="s">
        <v>306</v>
      </c>
      <c r="GM73" t="s">
        <v>306</v>
      </c>
      <c r="GN73" t="s">
        <v>456</v>
      </c>
      <c r="GO73">
        <v>4249110</v>
      </c>
      <c r="GP73" t="s">
        <v>346</v>
      </c>
      <c r="GQ73">
        <v>0.02</v>
      </c>
      <c r="GR73" t="s">
        <v>313</v>
      </c>
      <c r="GS73" t="s">
        <v>451</v>
      </c>
      <c r="GT73">
        <v>5747632</v>
      </c>
      <c r="GU73" t="s">
        <v>346</v>
      </c>
      <c r="GV73">
        <v>0.03</v>
      </c>
      <c r="GW73" t="s">
        <v>80</v>
      </c>
      <c r="GX73" t="s">
        <v>1478</v>
      </c>
      <c r="GY73">
        <v>4339354</v>
      </c>
      <c r="GZ73" t="s">
        <v>346</v>
      </c>
      <c r="HA73">
        <v>0.12</v>
      </c>
      <c r="HB73" t="s">
        <v>53</v>
      </c>
      <c r="HG73" t="s">
        <v>306</v>
      </c>
    </row>
    <row r="74" spans="5:215" x14ac:dyDescent="0.35">
      <c r="E74" t="s">
        <v>306</v>
      </c>
      <c r="F74" t="s">
        <v>467</v>
      </c>
      <c r="G74">
        <v>7108293</v>
      </c>
      <c r="H74" t="s">
        <v>369</v>
      </c>
      <c r="I74">
        <v>0.02</v>
      </c>
      <c r="J74" t="s">
        <v>313</v>
      </c>
      <c r="K74" t="s">
        <v>631</v>
      </c>
      <c r="L74">
        <v>112247511</v>
      </c>
      <c r="M74" t="s">
        <v>346</v>
      </c>
      <c r="N74">
        <v>0.01</v>
      </c>
      <c r="O74" t="s">
        <v>53</v>
      </c>
      <c r="T74" t="s">
        <v>306</v>
      </c>
      <c r="U74" t="s">
        <v>394</v>
      </c>
      <c r="V74">
        <v>4048695</v>
      </c>
      <c r="W74" t="s">
        <v>346</v>
      </c>
      <c r="X74">
        <v>0.06</v>
      </c>
      <c r="Y74" t="s">
        <v>53</v>
      </c>
      <c r="Z74" t="s">
        <v>631</v>
      </c>
      <c r="AA74">
        <v>112247511</v>
      </c>
      <c r="AB74" t="s">
        <v>346</v>
      </c>
      <c r="AC74">
        <v>0.01</v>
      </c>
      <c r="AD74" t="s">
        <v>53</v>
      </c>
      <c r="AE74" t="s">
        <v>1126</v>
      </c>
      <c r="AF74">
        <v>4765178</v>
      </c>
      <c r="AG74" t="s">
        <v>346</v>
      </c>
      <c r="AH74">
        <v>0.02</v>
      </c>
      <c r="AI74" t="s">
        <v>323</v>
      </c>
      <c r="AN74" t="s">
        <v>306</v>
      </c>
      <c r="AO74" t="s">
        <v>401</v>
      </c>
      <c r="AP74">
        <v>4139862</v>
      </c>
      <c r="AQ74" t="s">
        <v>346</v>
      </c>
      <c r="AR74">
        <v>0.06</v>
      </c>
      <c r="AS74" t="s">
        <v>313</v>
      </c>
      <c r="AX74" t="s">
        <v>306</v>
      </c>
      <c r="AY74" t="s">
        <v>354</v>
      </c>
      <c r="AZ74">
        <v>110652</v>
      </c>
      <c r="BA74" t="s">
        <v>346</v>
      </c>
      <c r="BB74">
        <v>0</v>
      </c>
      <c r="BC74" t="s">
        <v>53</v>
      </c>
      <c r="BD74" t="s">
        <v>715</v>
      </c>
      <c r="BE74">
        <v>4137795</v>
      </c>
      <c r="BF74" t="s">
        <v>362</v>
      </c>
      <c r="BG74">
        <v>0.14000000000000001</v>
      </c>
      <c r="BH74" t="s">
        <v>314</v>
      </c>
      <c r="BI74" t="s">
        <v>407</v>
      </c>
      <c r="BJ74">
        <v>109754</v>
      </c>
      <c r="BK74" t="s">
        <v>346</v>
      </c>
      <c r="BL74">
        <v>0.05</v>
      </c>
      <c r="BM74" t="s">
        <v>53</v>
      </c>
      <c r="BN74" t="s">
        <v>558</v>
      </c>
      <c r="BO74">
        <v>109844</v>
      </c>
      <c r="BP74" t="s">
        <v>346</v>
      </c>
      <c r="BQ74">
        <v>0.03</v>
      </c>
      <c r="BR74" t="s">
        <v>53</v>
      </c>
      <c r="BS74" t="s">
        <v>647</v>
      </c>
      <c r="BT74">
        <v>4556995</v>
      </c>
      <c r="BU74" t="s">
        <v>346</v>
      </c>
      <c r="BV74">
        <v>7.0000000000000007E-2</v>
      </c>
      <c r="BW74" t="s">
        <v>50</v>
      </c>
      <c r="BX74" t="s">
        <v>394</v>
      </c>
      <c r="BY74">
        <v>4048695</v>
      </c>
      <c r="BZ74" t="s">
        <v>346</v>
      </c>
      <c r="CA74">
        <v>0.06</v>
      </c>
      <c r="CB74" t="s">
        <v>53</v>
      </c>
      <c r="CC74" t="s">
        <v>771</v>
      </c>
      <c r="CD74">
        <v>4162576</v>
      </c>
      <c r="CE74" t="s">
        <v>346</v>
      </c>
      <c r="CF74">
        <v>0.12</v>
      </c>
      <c r="CG74" t="s">
        <v>53</v>
      </c>
      <c r="CH74" t="s">
        <v>401</v>
      </c>
      <c r="CI74">
        <v>4139862</v>
      </c>
      <c r="CJ74" t="s">
        <v>346</v>
      </c>
      <c r="CK74">
        <v>0.06</v>
      </c>
      <c r="CL74" t="s">
        <v>313</v>
      </c>
      <c r="CM74" t="s">
        <v>436</v>
      </c>
      <c r="CN74">
        <v>111219</v>
      </c>
      <c r="CO74" t="s">
        <v>346</v>
      </c>
      <c r="CP74">
        <v>0.12</v>
      </c>
      <c r="CQ74" t="s">
        <v>53</v>
      </c>
      <c r="CV74" t="s">
        <v>306</v>
      </c>
      <c r="DA74" t="s">
        <v>306</v>
      </c>
      <c r="DB74" t="s">
        <v>715</v>
      </c>
      <c r="DC74">
        <v>4137795</v>
      </c>
      <c r="DD74" t="s">
        <v>362</v>
      </c>
      <c r="DE74">
        <v>0.14000000000000001</v>
      </c>
      <c r="DF74" t="s">
        <v>314</v>
      </c>
      <c r="DK74" t="s">
        <v>306</v>
      </c>
      <c r="DL74" t="s">
        <v>715</v>
      </c>
      <c r="DM74">
        <v>4137795</v>
      </c>
      <c r="DN74" t="s">
        <v>362</v>
      </c>
      <c r="DO74">
        <v>0.14000000000000001</v>
      </c>
      <c r="DP74" t="s">
        <v>314</v>
      </c>
      <c r="DU74" t="s">
        <v>306</v>
      </c>
      <c r="DV74" t="s">
        <v>856</v>
      </c>
      <c r="DW74">
        <v>4141040</v>
      </c>
      <c r="DX74" t="s">
        <v>346</v>
      </c>
      <c r="DY74">
        <v>0</v>
      </c>
      <c r="DZ74" t="s">
        <v>313</v>
      </c>
      <c r="EA74" t="s">
        <v>771</v>
      </c>
      <c r="EB74">
        <v>4162576</v>
      </c>
      <c r="EC74" t="s">
        <v>346</v>
      </c>
      <c r="ED74">
        <v>0.12</v>
      </c>
      <c r="EE74" t="s">
        <v>53</v>
      </c>
      <c r="EF74" t="s">
        <v>715</v>
      </c>
      <c r="EG74">
        <v>4137795</v>
      </c>
      <c r="EH74" t="s">
        <v>362</v>
      </c>
      <c r="EI74">
        <v>0.14000000000000001</v>
      </c>
      <c r="EJ74" t="s">
        <v>314</v>
      </c>
      <c r="EO74" t="s">
        <v>306</v>
      </c>
      <c r="EP74" t="s">
        <v>710</v>
      </c>
      <c r="EQ74">
        <v>4559567</v>
      </c>
      <c r="ER74" t="s">
        <v>346</v>
      </c>
      <c r="ES74">
        <v>0</v>
      </c>
      <c r="ET74" t="s">
        <v>50</v>
      </c>
      <c r="EY74" t="s">
        <v>306</v>
      </c>
      <c r="FD74" t="s">
        <v>306</v>
      </c>
      <c r="FI74" t="s">
        <v>306</v>
      </c>
      <c r="FJ74" t="s">
        <v>496</v>
      </c>
      <c r="FK74">
        <v>110495</v>
      </c>
      <c r="FL74" t="s">
        <v>346</v>
      </c>
      <c r="FM74">
        <v>0.02</v>
      </c>
      <c r="FN74" t="s">
        <v>53</v>
      </c>
      <c r="FS74" t="s">
        <v>306</v>
      </c>
      <c r="FX74" t="s">
        <v>306</v>
      </c>
      <c r="FY74" t="s">
        <v>715</v>
      </c>
      <c r="FZ74">
        <v>4137795</v>
      </c>
      <c r="GA74" t="s">
        <v>362</v>
      </c>
      <c r="GB74">
        <v>0.14000000000000001</v>
      </c>
      <c r="GC74" t="s">
        <v>314</v>
      </c>
      <c r="GH74" t="s">
        <v>306</v>
      </c>
      <c r="GM74" t="s">
        <v>306</v>
      </c>
      <c r="GN74" t="s">
        <v>496</v>
      </c>
      <c r="GO74">
        <v>110495</v>
      </c>
      <c r="GP74" t="s">
        <v>346</v>
      </c>
      <c r="GQ74">
        <v>0.02</v>
      </c>
      <c r="GR74" t="s">
        <v>53</v>
      </c>
      <c r="GS74" t="s">
        <v>558</v>
      </c>
      <c r="GT74">
        <v>109844</v>
      </c>
      <c r="GU74" t="s">
        <v>346</v>
      </c>
      <c r="GV74">
        <v>0.03</v>
      </c>
      <c r="GW74" t="s">
        <v>53</v>
      </c>
      <c r="GX74" t="s">
        <v>771</v>
      </c>
      <c r="GY74">
        <v>4162576</v>
      </c>
      <c r="GZ74" t="s">
        <v>346</v>
      </c>
      <c r="HA74">
        <v>0.12</v>
      </c>
      <c r="HB74" t="s">
        <v>53</v>
      </c>
      <c r="HG74" t="s">
        <v>306</v>
      </c>
    </row>
    <row r="75" spans="5:215" x14ac:dyDescent="0.35">
      <c r="E75" t="s">
        <v>306</v>
      </c>
      <c r="F75" t="s">
        <v>468</v>
      </c>
      <c r="G75">
        <v>4556191</v>
      </c>
      <c r="H75" t="s">
        <v>346</v>
      </c>
      <c r="I75">
        <v>0.02</v>
      </c>
      <c r="J75" t="s">
        <v>53</v>
      </c>
      <c r="K75" t="s">
        <v>388</v>
      </c>
      <c r="L75">
        <v>4057506</v>
      </c>
      <c r="M75" t="s">
        <v>346</v>
      </c>
      <c r="N75">
        <v>0</v>
      </c>
      <c r="O75" t="s">
        <v>53</v>
      </c>
      <c r="T75" t="s">
        <v>306</v>
      </c>
      <c r="U75" t="s">
        <v>676</v>
      </c>
      <c r="V75">
        <v>15012201</v>
      </c>
      <c r="W75" t="s">
        <v>346</v>
      </c>
      <c r="X75">
        <v>0.06</v>
      </c>
      <c r="Y75" t="s">
        <v>50</v>
      </c>
      <c r="Z75" t="s">
        <v>388</v>
      </c>
      <c r="AA75">
        <v>4057506</v>
      </c>
      <c r="AB75" t="s">
        <v>346</v>
      </c>
      <c r="AC75">
        <v>0</v>
      </c>
      <c r="AD75" t="s">
        <v>53</v>
      </c>
      <c r="AE75" t="s">
        <v>356</v>
      </c>
      <c r="AF75">
        <v>4578944</v>
      </c>
      <c r="AG75" t="s">
        <v>346</v>
      </c>
      <c r="AH75">
        <v>0.02</v>
      </c>
      <c r="AI75" t="s">
        <v>125</v>
      </c>
      <c r="AN75" t="s">
        <v>306</v>
      </c>
      <c r="AO75" t="s">
        <v>387</v>
      </c>
      <c r="AP75">
        <v>4020980</v>
      </c>
      <c r="AQ75" t="s">
        <v>346</v>
      </c>
      <c r="AR75">
        <v>0.05</v>
      </c>
      <c r="AS75" t="s">
        <v>2189</v>
      </c>
      <c r="AX75" t="s">
        <v>306</v>
      </c>
      <c r="AY75" t="s">
        <v>808</v>
      </c>
      <c r="AZ75">
        <v>4138631</v>
      </c>
      <c r="BA75" t="s">
        <v>346</v>
      </c>
      <c r="BB75">
        <v>0</v>
      </c>
      <c r="BC75" t="s">
        <v>50</v>
      </c>
      <c r="BD75" t="s">
        <v>456</v>
      </c>
      <c r="BE75">
        <v>4249110</v>
      </c>
      <c r="BF75" t="s">
        <v>346</v>
      </c>
      <c r="BG75">
        <v>0.14000000000000001</v>
      </c>
      <c r="BH75" t="s">
        <v>313</v>
      </c>
      <c r="BI75" t="s">
        <v>663</v>
      </c>
      <c r="BJ75">
        <v>4080954</v>
      </c>
      <c r="BK75" t="s">
        <v>346</v>
      </c>
      <c r="BL75">
        <v>0.04</v>
      </c>
      <c r="BM75" t="s">
        <v>2193</v>
      </c>
      <c r="BN75" t="s">
        <v>683</v>
      </c>
      <c r="BO75">
        <v>4137754</v>
      </c>
      <c r="BP75" t="s">
        <v>346</v>
      </c>
      <c r="BQ75">
        <v>0.03</v>
      </c>
      <c r="BR75" t="s">
        <v>50</v>
      </c>
      <c r="BS75" t="s">
        <v>684</v>
      </c>
      <c r="BT75">
        <v>4139415</v>
      </c>
      <c r="BU75" t="s">
        <v>346</v>
      </c>
      <c r="BV75">
        <v>7.0000000000000007E-2</v>
      </c>
      <c r="BW75" t="s">
        <v>50</v>
      </c>
      <c r="BX75" t="s">
        <v>676</v>
      </c>
      <c r="BY75">
        <v>15012201</v>
      </c>
      <c r="BZ75" t="s">
        <v>346</v>
      </c>
      <c r="CA75">
        <v>0.06</v>
      </c>
      <c r="CB75" t="s">
        <v>50</v>
      </c>
      <c r="CC75" t="s">
        <v>524</v>
      </c>
      <c r="CD75">
        <v>4147331</v>
      </c>
      <c r="CE75" t="s">
        <v>346</v>
      </c>
      <c r="CF75">
        <v>0.12</v>
      </c>
      <c r="CG75" t="s">
        <v>313</v>
      </c>
      <c r="CH75" t="s">
        <v>387</v>
      </c>
      <c r="CI75">
        <v>4020980</v>
      </c>
      <c r="CJ75" t="s">
        <v>346</v>
      </c>
      <c r="CK75">
        <v>0.05</v>
      </c>
      <c r="CL75" t="s">
        <v>2189</v>
      </c>
      <c r="CM75" t="s">
        <v>429</v>
      </c>
      <c r="CN75">
        <v>4607441</v>
      </c>
      <c r="CO75" t="s">
        <v>346</v>
      </c>
      <c r="CP75">
        <v>0.11</v>
      </c>
      <c r="CQ75" t="s">
        <v>304</v>
      </c>
      <c r="CV75" t="s">
        <v>306</v>
      </c>
      <c r="DA75" t="s">
        <v>306</v>
      </c>
      <c r="DB75" t="s">
        <v>456</v>
      </c>
      <c r="DC75">
        <v>4249110</v>
      </c>
      <c r="DD75" t="s">
        <v>346</v>
      </c>
      <c r="DE75">
        <v>0.14000000000000001</v>
      </c>
      <c r="DF75" t="s">
        <v>313</v>
      </c>
      <c r="DK75" t="s">
        <v>306</v>
      </c>
      <c r="DL75" t="s">
        <v>456</v>
      </c>
      <c r="DM75">
        <v>4249110</v>
      </c>
      <c r="DN75" t="s">
        <v>346</v>
      </c>
      <c r="DO75">
        <v>0.14000000000000001</v>
      </c>
      <c r="DP75" t="s">
        <v>313</v>
      </c>
      <c r="DU75" t="s">
        <v>306</v>
      </c>
      <c r="DV75" t="s">
        <v>1203</v>
      </c>
      <c r="DW75">
        <v>4297864</v>
      </c>
      <c r="DX75" t="s">
        <v>346</v>
      </c>
      <c r="DY75">
        <v>0</v>
      </c>
      <c r="DZ75" t="s">
        <v>77</v>
      </c>
      <c r="EA75" t="s">
        <v>524</v>
      </c>
      <c r="EB75">
        <v>4147331</v>
      </c>
      <c r="EC75" t="s">
        <v>346</v>
      </c>
      <c r="ED75">
        <v>0.12</v>
      </c>
      <c r="EE75" t="s">
        <v>313</v>
      </c>
      <c r="EF75" t="s">
        <v>456</v>
      </c>
      <c r="EG75">
        <v>4249110</v>
      </c>
      <c r="EH75" t="s">
        <v>346</v>
      </c>
      <c r="EI75">
        <v>0.14000000000000001</v>
      </c>
      <c r="EJ75" t="s">
        <v>313</v>
      </c>
      <c r="EO75" t="s">
        <v>306</v>
      </c>
      <c r="EP75" t="s">
        <v>732</v>
      </c>
      <c r="EQ75">
        <v>4139789</v>
      </c>
      <c r="ER75" t="s">
        <v>346</v>
      </c>
      <c r="ES75">
        <v>0</v>
      </c>
      <c r="ET75" t="s">
        <v>50</v>
      </c>
      <c r="EY75" t="s">
        <v>306</v>
      </c>
      <c r="FD75" t="s">
        <v>306</v>
      </c>
      <c r="FI75" t="s">
        <v>306</v>
      </c>
      <c r="FJ75" t="s">
        <v>415</v>
      </c>
      <c r="FK75">
        <v>110587</v>
      </c>
      <c r="FL75" t="s">
        <v>346</v>
      </c>
      <c r="FM75">
        <v>0.02</v>
      </c>
      <c r="FN75" t="s">
        <v>53</v>
      </c>
      <c r="FS75" t="s">
        <v>306</v>
      </c>
      <c r="FX75" t="s">
        <v>306</v>
      </c>
      <c r="FY75" t="s">
        <v>456</v>
      </c>
      <c r="FZ75">
        <v>4249110</v>
      </c>
      <c r="GA75" t="s">
        <v>346</v>
      </c>
      <c r="GB75">
        <v>0.14000000000000001</v>
      </c>
      <c r="GC75" t="s">
        <v>313</v>
      </c>
      <c r="GH75" t="s">
        <v>306</v>
      </c>
      <c r="GM75" t="s">
        <v>306</v>
      </c>
      <c r="GN75" t="s">
        <v>415</v>
      </c>
      <c r="GO75">
        <v>110587</v>
      </c>
      <c r="GP75" t="s">
        <v>346</v>
      </c>
      <c r="GQ75">
        <v>0.02</v>
      </c>
      <c r="GR75" t="s">
        <v>53</v>
      </c>
      <c r="GS75" t="s">
        <v>683</v>
      </c>
      <c r="GT75">
        <v>4137754</v>
      </c>
      <c r="GU75" t="s">
        <v>346</v>
      </c>
      <c r="GV75">
        <v>0.03</v>
      </c>
      <c r="GW75" t="s">
        <v>50</v>
      </c>
      <c r="GX75" t="s">
        <v>524</v>
      </c>
      <c r="GY75">
        <v>4147331</v>
      </c>
      <c r="GZ75" t="s">
        <v>346</v>
      </c>
      <c r="HA75">
        <v>0.12</v>
      </c>
      <c r="HB75" t="s">
        <v>313</v>
      </c>
      <c r="HG75" t="s">
        <v>306</v>
      </c>
    </row>
    <row r="76" spans="5:215" x14ac:dyDescent="0.35">
      <c r="E76" t="s">
        <v>306</v>
      </c>
      <c r="F76" t="s">
        <v>469</v>
      </c>
      <c r="G76">
        <v>4026996</v>
      </c>
      <c r="H76" t="s">
        <v>346</v>
      </c>
      <c r="I76">
        <v>0.02</v>
      </c>
      <c r="J76" t="s">
        <v>53</v>
      </c>
      <c r="K76" t="s">
        <v>451</v>
      </c>
      <c r="L76">
        <v>5747632</v>
      </c>
      <c r="M76" t="s">
        <v>346</v>
      </c>
      <c r="N76">
        <v>0</v>
      </c>
      <c r="O76" t="s">
        <v>80</v>
      </c>
      <c r="T76" t="s">
        <v>306</v>
      </c>
      <c r="U76" t="s">
        <v>729</v>
      </c>
      <c r="V76">
        <v>4304908</v>
      </c>
      <c r="W76" t="s">
        <v>346</v>
      </c>
      <c r="X76">
        <v>0.06</v>
      </c>
      <c r="Y76" t="s">
        <v>326</v>
      </c>
      <c r="Z76" t="s">
        <v>451</v>
      </c>
      <c r="AA76">
        <v>5747632</v>
      </c>
      <c r="AB76" t="s">
        <v>346</v>
      </c>
      <c r="AC76">
        <v>0</v>
      </c>
      <c r="AD76" t="s">
        <v>80</v>
      </c>
      <c r="AE76" t="s">
        <v>1127</v>
      </c>
      <c r="AF76">
        <v>4294574</v>
      </c>
      <c r="AG76" t="s">
        <v>346</v>
      </c>
      <c r="AH76">
        <v>0.02</v>
      </c>
      <c r="AI76" t="s">
        <v>80</v>
      </c>
      <c r="AN76" t="s">
        <v>306</v>
      </c>
      <c r="AO76" t="s">
        <v>442</v>
      </c>
      <c r="AP76">
        <v>4117611</v>
      </c>
      <c r="AQ76" t="s">
        <v>346</v>
      </c>
      <c r="AR76">
        <v>0.05</v>
      </c>
      <c r="AS76" t="s">
        <v>53</v>
      </c>
      <c r="AX76" t="s">
        <v>306</v>
      </c>
      <c r="AY76" t="s">
        <v>562</v>
      </c>
      <c r="AZ76">
        <v>4256114</v>
      </c>
      <c r="BA76" t="s">
        <v>346</v>
      </c>
      <c r="BB76">
        <v>0</v>
      </c>
      <c r="BC76" t="s">
        <v>301</v>
      </c>
      <c r="BD76" t="s">
        <v>1407</v>
      </c>
      <c r="BE76">
        <v>4118992</v>
      </c>
      <c r="BF76" t="s">
        <v>346</v>
      </c>
      <c r="BG76">
        <v>0.13</v>
      </c>
      <c r="BH76" t="s">
        <v>53</v>
      </c>
      <c r="BI76" t="s">
        <v>403</v>
      </c>
      <c r="BJ76">
        <v>4033550</v>
      </c>
      <c r="BK76" t="s">
        <v>346</v>
      </c>
      <c r="BL76">
        <v>0.04</v>
      </c>
      <c r="BM76" t="s">
        <v>53</v>
      </c>
      <c r="BN76" t="s">
        <v>443</v>
      </c>
      <c r="BO76">
        <v>110787</v>
      </c>
      <c r="BP76" t="s">
        <v>346</v>
      </c>
      <c r="BQ76">
        <v>0.03</v>
      </c>
      <c r="BR76" t="s">
        <v>53</v>
      </c>
      <c r="BS76" t="s">
        <v>722</v>
      </c>
      <c r="BT76">
        <v>5812793</v>
      </c>
      <c r="BU76" t="s">
        <v>346</v>
      </c>
      <c r="BV76">
        <v>7.0000000000000007E-2</v>
      </c>
      <c r="BW76" t="s">
        <v>50</v>
      </c>
      <c r="BX76" t="s">
        <v>729</v>
      </c>
      <c r="BY76">
        <v>4304908</v>
      </c>
      <c r="BZ76" t="s">
        <v>346</v>
      </c>
      <c r="CA76">
        <v>0.06</v>
      </c>
      <c r="CB76" t="s">
        <v>326</v>
      </c>
      <c r="CC76" t="s">
        <v>1447</v>
      </c>
      <c r="CD76">
        <v>4048674</v>
      </c>
      <c r="CE76" t="s">
        <v>346</v>
      </c>
      <c r="CF76">
        <v>0.11</v>
      </c>
      <c r="CG76" t="s">
        <v>53</v>
      </c>
      <c r="CH76" t="s">
        <v>442</v>
      </c>
      <c r="CI76">
        <v>4117611</v>
      </c>
      <c r="CJ76" t="s">
        <v>346</v>
      </c>
      <c r="CK76">
        <v>0.05</v>
      </c>
      <c r="CL76" t="s">
        <v>53</v>
      </c>
      <c r="CM76" t="s">
        <v>546</v>
      </c>
      <c r="CN76">
        <v>4158830</v>
      </c>
      <c r="CO76" t="s">
        <v>346</v>
      </c>
      <c r="CP76">
        <v>0.1</v>
      </c>
      <c r="CQ76" t="s">
        <v>53</v>
      </c>
      <c r="CV76" t="s">
        <v>306</v>
      </c>
      <c r="DA76" t="s">
        <v>306</v>
      </c>
      <c r="DB76" t="s">
        <v>1407</v>
      </c>
      <c r="DC76">
        <v>4118992</v>
      </c>
      <c r="DD76" t="s">
        <v>346</v>
      </c>
      <c r="DE76">
        <v>0.13</v>
      </c>
      <c r="DF76" t="s">
        <v>53</v>
      </c>
      <c r="DK76" t="s">
        <v>306</v>
      </c>
      <c r="DL76" t="s">
        <v>1407</v>
      </c>
      <c r="DM76">
        <v>4118992</v>
      </c>
      <c r="DN76" t="s">
        <v>346</v>
      </c>
      <c r="DO76">
        <v>0.13</v>
      </c>
      <c r="DP76" t="s">
        <v>53</v>
      </c>
      <c r="DU76" t="s">
        <v>306</v>
      </c>
      <c r="DV76" t="s">
        <v>1098</v>
      </c>
      <c r="DW76">
        <v>4119219</v>
      </c>
      <c r="DX76" t="s">
        <v>346</v>
      </c>
      <c r="DY76">
        <v>0</v>
      </c>
      <c r="DZ76" t="s">
        <v>53</v>
      </c>
      <c r="EA76" t="s">
        <v>1447</v>
      </c>
      <c r="EB76">
        <v>4048674</v>
      </c>
      <c r="EC76" t="s">
        <v>346</v>
      </c>
      <c r="ED76">
        <v>0.11</v>
      </c>
      <c r="EE76" t="s">
        <v>53</v>
      </c>
      <c r="EF76" t="s">
        <v>1407</v>
      </c>
      <c r="EG76">
        <v>4118992</v>
      </c>
      <c r="EH76" t="s">
        <v>346</v>
      </c>
      <c r="EI76">
        <v>0.13</v>
      </c>
      <c r="EJ76" t="s">
        <v>53</v>
      </c>
      <c r="EO76" t="s">
        <v>306</v>
      </c>
      <c r="EP76" t="s">
        <v>681</v>
      </c>
      <c r="EQ76">
        <v>5866754</v>
      </c>
      <c r="ER76" t="s">
        <v>346</v>
      </c>
      <c r="ES76">
        <v>0</v>
      </c>
      <c r="ET76" t="s">
        <v>50</v>
      </c>
      <c r="EY76" t="s">
        <v>306</v>
      </c>
      <c r="FD76" t="s">
        <v>306</v>
      </c>
      <c r="FI76" t="s">
        <v>306</v>
      </c>
      <c r="FJ76" t="s">
        <v>465</v>
      </c>
      <c r="FK76">
        <v>4119440</v>
      </c>
      <c r="FL76" t="s">
        <v>346</v>
      </c>
      <c r="FM76">
        <v>0.02</v>
      </c>
      <c r="FN76" t="s">
        <v>53</v>
      </c>
      <c r="FS76" t="s">
        <v>306</v>
      </c>
      <c r="FX76" t="s">
        <v>306</v>
      </c>
      <c r="FY76" t="s">
        <v>1407</v>
      </c>
      <c r="FZ76">
        <v>4118992</v>
      </c>
      <c r="GA76" t="s">
        <v>346</v>
      </c>
      <c r="GB76">
        <v>0.13</v>
      </c>
      <c r="GC76" t="s">
        <v>53</v>
      </c>
      <c r="GH76" t="s">
        <v>306</v>
      </c>
      <c r="GM76" t="s">
        <v>306</v>
      </c>
      <c r="GN76" t="s">
        <v>465</v>
      </c>
      <c r="GO76">
        <v>4119440</v>
      </c>
      <c r="GP76" t="s">
        <v>346</v>
      </c>
      <c r="GQ76">
        <v>0.02</v>
      </c>
      <c r="GR76" t="s">
        <v>53</v>
      </c>
      <c r="GS76" t="s">
        <v>443</v>
      </c>
      <c r="GT76">
        <v>110787</v>
      </c>
      <c r="GU76" t="s">
        <v>346</v>
      </c>
      <c r="GV76">
        <v>0.03</v>
      </c>
      <c r="GW76" t="s">
        <v>53</v>
      </c>
      <c r="GX76" t="s">
        <v>1447</v>
      </c>
      <c r="GY76">
        <v>4048674</v>
      </c>
      <c r="GZ76" t="s">
        <v>346</v>
      </c>
      <c r="HA76">
        <v>0.11</v>
      </c>
      <c r="HB76" t="s">
        <v>53</v>
      </c>
      <c r="HG76" t="s">
        <v>306</v>
      </c>
    </row>
    <row r="77" spans="5:215" x14ac:dyDescent="0.35">
      <c r="E77" t="s">
        <v>306</v>
      </c>
      <c r="F77" t="s">
        <v>470</v>
      </c>
      <c r="G77">
        <v>109849</v>
      </c>
      <c r="H77" t="s">
        <v>346</v>
      </c>
      <c r="I77">
        <v>0.02</v>
      </c>
      <c r="J77" t="s">
        <v>53</v>
      </c>
      <c r="K77" t="s">
        <v>395</v>
      </c>
      <c r="L77">
        <v>4153606</v>
      </c>
      <c r="M77" t="s">
        <v>346</v>
      </c>
      <c r="N77">
        <v>0</v>
      </c>
      <c r="O77" t="s">
        <v>53</v>
      </c>
      <c r="T77" t="s">
        <v>306</v>
      </c>
      <c r="U77" t="s">
        <v>662</v>
      </c>
      <c r="V77">
        <v>4316799</v>
      </c>
      <c r="W77" t="s">
        <v>346</v>
      </c>
      <c r="X77">
        <v>0.06</v>
      </c>
      <c r="Y77" t="s">
        <v>50</v>
      </c>
      <c r="Z77" t="s">
        <v>395</v>
      </c>
      <c r="AA77">
        <v>4153606</v>
      </c>
      <c r="AB77" t="s">
        <v>346</v>
      </c>
      <c r="AC77">
        <v>0</v>
      </c>
      <c r="AD77" t="s">
        <v>53</v>
      </c>
      <c r="AE77" t="s">
        <v>475</v>
      </c>
      <c r="AF77">
        <v>4115935</v>
      </c>
      <c r="AG77" t="s">
        <v>346</v>
      </c>
      <c r="AH77">
        <v>0.02</v>
      </c>
      <c r="AI77" t="s">
        <v>53</v>
      </c>
      <c r="AN77" t="s">
        <v>306</v>
      </c>
      <c r="AO77" t="s">
        <v>1273</v>
      </c>
      <c r="AP77">
        <v>4423324</v>
      </c>
      <c r="AQ77" t="s">
        <v>346</v>
      </c>
      <c r="AR77">
        <v>0.05</v>
      </c>
      <c r="AS77" t="s">
        <v>62</v>
      </c>
      <c r="AX77" t="s">
        <v>306</v>
      </c>
      <c r="AY77" t="s">
        <v>836</v>
      </c>
      <c r="AZ77">
        <v>4396635</v>
      </c>
      <c r="BA77" t="s">
        <v>346</v>
      </c>
      <c r="BB77">
        <v>0</v>
      </c>
      <c r="BC77" t="s">
        <v>50</v>
      </c>
      <c r="BD77" t="s">
        <v>1195</v>
      </c>
      <c r="BE77">
        <v>4702400</v>
      </c>
      <c r="BF77" t="s">
        <v>346</v>
      </c>
      <c r="BG77">
        <v>0.13</v>
      </c>
      <c r="BH77" t="s">
        <v>53</v>
      </c>
      <c r="BI77" t="s">
        <v>484</v>
      </c>
      <c r="BJ77">
        <v>110386</v>
      </c>
      <c r="BK77" t="s">
        <v>346</v>
      </c>
      <c r="BL77">
        <v>0.04</v>
      </c>
      <c r="BM77" t="s">
        <v>53</v>
      </c>
      <c r="BN77" t="s">
        <v>357</v>
      </c>
      <c r="BO77">
        <v>4270330</v>
      </c>
      <c r="BP77" t="s">
        <v>346</v>
      </c>
      <c r="BQ77">
        <v>0.03</v>
      </c>
      <c r="BR77" t="s">
        <v>53</v>
      </c>
      <c r="BS77" t="s">
        <v>409</v>
      </c>
      <c r="BT77">
        <v>102719</v>
      </c>
      <c r="BU77" t="s">
        <v>346</v>
      </c>
      <c r="BV77">
        <v>0.06</v>
      </c>
      <c r="BW77" t="s">
        <v>53</v>
      </c>
      <c r="BX77" t="s">
        <v>662</v>
      </c>
      <c r="BY77">
        <v>4316799</v>
      </c>
      <c r="BZ77" t="s">
        <v>346</v>
      </c>
      <c r="CA77">
        <v>0.06</v>
      </c>
      <c r="CB77" t="s">
        <v>50</v>
      </c>
      <c r="CC77" t="s">
        <v>1628</v>
      </c>
      <c r="CD77">
        <v>5762430</v>
      </c>
      <c r="CE77" t="s">
        <v>346</v>
      </c>
      <c r="CF77">
        <v>0.11</v>
      </c>
      <c r="CG77" t="s">
        <v>2195</v>
      </c>
      <c r="CH77" t="s">
        <v>1273</v>
      </c>
      <c r="CI77">
        <v>4423324</v>
      </c>
      <c r="CJ77" t="s">
        <v>346</v>
      </c>
      <c r="CK77">
        <v>0.05</v>
      </c>
      <c r="CL77" t="s">
        <v>62</v>
      </c>
      <c r="CM77" t="s">
        <v>900</v>
      </c>
      <c r="CN77">
        <v>4264756</v>
      </c>
      <c r="CO77" t="s">
        <v>346</v>
      </c>
      <c r="CP77">
        <v>0.1</v>
      </c>
      <c r="CQ77" t="s">
        <v>62</v>
      </c>
      <c r="CV77" t="s">
        <v>306</v>
      </c>
      <c r="DA77" t="s">
        <v>306</v>
      </c>
      <c r="DB77" t="s">
        <v>1195</v>
      </c>
      <c r="DC77">
        <v>4702400</v>
      </c>
      <c r="DD77" t="s">
        <v>346</v>
      </c>
      <c r="DE77">
        <v>0.13</v>
      </c>
      <c r="DF77" t="s">
        <v>53</v>
      </c>
      <c r="DK77" t="s">
        <v>306</v>
      </c>
      <c r="DL77" t="s">
        <v>1195</v>
      </c>
      <c r="DM77">
        <v>4702400</v>
      </c>
      <c r="DN77" t="s">
        <v>346</v>
      </c>
      <c r="DO77">
        <v>0.13</v>
      </c>
      <c r="DP77" t="s">
        <v>53</v>
      </c>
      <c r="DU77" t="s">
        <v>306</v>
      </c>
      <c r="DV77" t="s">
        <v>472</v>
      </c>
      <c r="DW77">
        <v>4048215</v>
      </c>
      <c r="DX77" t="s">
        <v>346</v>
      </c>
      <c r="DY77">
        <v>0</v>
      </c>
      <c r="DZ77" t="s">
        <v>53</v>
      </c>
      <c r="EA77" t="s">
        <v>1628</v>
      </c>
      <c r="EB77">
        <v>5762430</v>
      </c>
      <c r="EC77" t="s">
        <v>346</v>
      </c>
      <c r="ED77">
        <v>0.11</v>
      </c>
      <c r="EE77" t="s">
        <v>2195</v>
      </c>
      <c r="EF77" t="s">
        <v>1195</v>
      </c>
      <c r="EG77">
        <v>4702400</v>
      </c>
      <c r="EH77" t="s">
        <v>346</v>
      </c>
      <c r="EI77">
        <v>0.13</v>
      </c>
      <c r="EJ77" t="s">
        <v>53</v>
      </c>
      <c r="EO77" t="s">
        <v>306</v>
      </c>
      <c r="EP77" t="s">
        <v>825</v>
      </c>
      <c r="EQ77">
        <v>5868824</v>
      </c>
      <c r="ER77" t="s">
        <v>346</v>
      </c>
      <c r="ES77">
        <v>0</v>
      </c>
      <c r="ET77" t="s">
        <v>50</v>
      </c>
      <c r="EY77" t="s">
        <v>306</v>
      </c>
      <c r="FD77" t="s">
        <v>306</v>
      </c>
      <c r="FI77" t="s">
        <v>306</v>
      </c>
      <c r="FJ77" t="s">
        <v>557</v>
      </c>
      <c r="FK77">
        <v>20326442</v>
      </c>
      <c r="FL77" t="s">
        <v>346</v>
      </c>
      <c r="FM77">
        <v>0.02</v>
      </c>
      <c r="FN77" t="s">
        <v>306</v>
      </c>
      <c r="FS77" t="s">
        <v>306</v>
      </c>
      <c r="FX77" t="s">
        <v>306</v>
      </c>
      <c r="FY77" t="s">
        <v>1195</v>
      </c>
      <c r="FZ77">
        <v>4702400</v>
      </c>
      <c r="GA77" t="s">
        <v>346</v>
      </c>
      <c r="GB77">
        <v>0.13</v>
      </c>
      <c r="GC77" t="s">
        <v>53</v>
      </c>
      <c r="GH77" t="s">
        <v>306</v>
      </c>
      <c r="GM77" t="s">
        <v>306</v>
      </c>
      <c r="GN77" t="s">
        <v>557</v>
      </c>
      <c r="GO77">
        <v>20326442</v>
      </c>
      <c r="GP77" t="s">
        <v>346</v>
      </c>
      <c r="GQ77">
        <v>0.02</v>
      </c>
      <c r="GR77" t="s">
        <v>306</v>
      </c>
      <c r="GS77" t="s">
        <v>357</v>
      </c>
      <c r="GT77">
        <v>4270330</v>
      </c>
      <c r="GU77" t="s">
        <v>346</v>
      </c>
      <c r="GV77">
        <v>0.03</v>
      </c>
      <c r="GW77" t="s">
        <v>53</v>
      </c>
      <c r="GX77" t="s">
        <v>1628</v>
      </c>
      <c r="GY77">
        <v>5762430</v>
      </c>
      <c r="GZ77" t="s">
        <v>346</v>
      </c>
      <c r="HA77">
        <v>0.11</v>
      </c>
      <c r="HB77" t="s">
        <v>2195</v>
      </c>
      <c r="HG77" t="s">
        <v>306</v>
      </c>
    </row>
    <row r="78" spans="5:215" x14ac:dyDescent="0.35">
      <c r="E78" t="s">
        <v>306</v>
      </c>
      <c r="F78" t="s">
        <v>471</v>
      </c>
      <c r="G78">
        <v>4102247</v>
      </c>
      <c r="H78" t="s">
        <v>346</v>
      </c>
      <c r="I78">
        <v>0.02</v>
      </c>
      <c r="J78" t="s">
        <v>53</v>
      </c>
      <c r="K78" t="s">
        <v>665</v>
      </c>
      <c r="L78">
        <v>4137720</v>
      </c>
      <c r="M78" t="s">
        <v>346</v>
      </c>
      <c r="N78">
        <v>0</v>
      </c>
      <c r="O78" t="s">
        <v>50</v>
      </c>
      <c r="T78" t="s">
        <v>306</v>
      </c>
      <c r="U78" t="s">
        <v>672</v>
      </c>
      <c r="V78">
        <v>4139739</v>
      </c>
      <c r="W78" t="s">
        <v>346</v>
      </c>
      <c r="X78">
        <v>0.06</v>
      </c>
      <c r="Y78" t="s">
        <v>50</v>
      </c>
      <c r="Z78" t="s">
        <v>665</v>
      </c>
      <c r="AA78">
        <v>4137720</v>
      </c>
      <c r="AB78" t="s">
        <v>346</v>
      </c>
      <c r="AC78">
        <v>0</v>
      </c>
      <c r="AD78" t="s">
        <v>50</v>
      </c>
      <c r="AE78" t="s">
        <v>1128</v>
      </c>
      <c r="AF78">
        <v>7798761</v>
      </c>
      <c r="AG78" t="s">
        <v>346</v>
      </c>
      <c r="AH78">
        <v>0.02</v>
      </c>
      <c r="AI78" t="s">
        <v>80</v>
      </c>
      <c r="AN78" t="s">
        <v>306</v>
      </c>
      <c r="AO78" t="s">
        <v>1274</v>
      </c>
      <c r="AP78">
        <v>25022507</v>
      </c>
      <c r="AQ78" t="s">
        <v>346</v>
      </c>
      <c r="AR78">
        <v>0.05</v>
      </c>
      <c r="AS78" t="s">
        <v>62</v>
      </c>
      <c r="AX78" t="s">
        <v>306</v>
      </c>
      <c r="AY78" t="s">
        <v>678</v>
      </c>
      <c r="AZ78">
        <v>5877799</v>
      </c>
      <c r="BA78" t="s">
        <v>346</v>
      </c>
      <c r="BB78">
        <v>0</v>
      </c>
      <c r="BC78" t="s">
        <v>50</v>
      </c>
      <c r="BD78" t="s">
        <v>1188</v>
      </c>
      <c r="BE78">
        <v>4413788</v>
      </c>
      <c r="BF78" t="s">
        <v>346</v>
      </c>
      <c r="BG78">
        <v>0.12</v>
      </c>
      <c r="BH78" t="s">
        <v>53</v>
      </c>
      <c r="BI78" t="s">
        <v>444</v>
      </c>
      <c r="BJ78">
        <v>109988</v>
      </c>
      <c r="BK78" t="s">
        <v>346</v>
      </c>
      <c r="BL78">
        <v>0.04</v>
      </c>
      <c r="BM78" t="s">
        <v>53</v>
      </c>
      <c r="BN78" t="s">
        <v>991</v>
      </c>
      <c r="BO78">
        <v>4206857</v>
      </c>
      <c r="BP78" t="s">
        <v>346</v>
      </c>
      <c r="BQ78">
        <v>0.03</v>
      </c>
      <c r="BR78" t="s">
        <v>125</v>
      </c>
      <c r="BS78" t="s">
        <v>956</v>
      </c>
      <c r="BT78">
        <v>4233855</v>
      </c>
      <c r="BU78" t="s">
        <v>346</v>
      </c>
      <c r="BV78">
        <v>0.06</v>
      </c>
      <c r="BW78" t="s">
        <v>320</v>
      </c>
      <c r="BX78" t="s">
        <v>672</v>
      </c>
      <c r="BY78">
        <v>4139739</v>
      </c>
      <c r="BZ78" t="s">
        <v>346</v>
      </c>
      <c r="CA78">
        <v>0.06</v>
      </c>
      <c r="CB78" t="s">
        <v>50</v>
      </c>
      <c r="CC78" t="s">
        <v>531</v>
      </c>
      <c r="CD78">
        <v>4072215</v>
      </c>
      <c r="CE78" t="s">
        <v>346</v>
      </c>
      <c r="CF78">
        <v>0.11</v>
      </c>
      <c r="CG78" t="s">
        <v>53</v>
      </c>
      <c r="CH78" t="s">
        <v>1274</v>
      </c>
      <c r="CI78">
        <v>25022507</v>
      </c>
      <c r="CJ78" t="s">
        <v>346</v>
      </c>
      <c r="CK78">
        <v>0.05</v>
      </c>
      <c r="CL78" t="s">
        <v>62</v>
      </c>
      <c r="CM78" t="s">
        <v>497</v>
      </c>
      <c r="CN78">
        <v>4138770</v>
      </c>
      <c r="CO78" t="s">
        <v>346</v>
      </c>
      <c r="CP78">
        <v>0.1</v>
      </c>
      <c r="CQ78" t="s">
        <v>313</v>
      </c>
      <c r="CV78" t="s">
        <v>306</v>
      </c>
      <c r="DA78" t="s">
        <v>306</v>
      </c>
      <c r="DB78" t="s">
        <v>1188</v>
      </c>
      <c r="DC78">
        <v>4413788</v>
      </c>
      <c r="DD78" t="s">
        <v>346</v>
      </c>
      <c r="DE78">
        <v>0.12</v>
      </c>
      <c r="DF78" t="s">
        <v>53</v>
      </c>
      <c r="DK78" t="s">
        <v>306</v>
      </c>
      <c r="DL78" t="s">
        <v>1188</v>
      </c>
      <c r="DM78">
        <v>4413788</v>
      </c>
      <c r="DN78" t="s">
        <v>346</v>
      </c>
      <c r="DO78">
        <v>0.12</v>
      </c>
      <c r="DP78" t="s">
        <v>53</v>
      </c>
      <c r="DU78" t="s">
        <v>306</v>
      </c>
      <c r="DV78" t="s">
        <v>482</v>
      </c>
      <c r="DW78">
        <v>4048742</v>
      </c>
      <c r="DX78" t="s">
        <v>346</v>
      </c>
      <c r="DY78">
        <v>0</v>
      </c>
      <c r="DZ78" t="s">
        <v>80</v>
      </c>
      <c r="EA78" t="s">
        <v>531</v>
      </c>
      <c r="EB78">
        <v>4072215</v>
      </c>
      <c r="EC78" t="s">
        <v>346</v>
      </c>
      <c r="ED78">
        <v>0.11</v>
      </c>
      <c r="EE78" t="s">
        <v>53</v>
      </c>
      <c r="EF78" t="s">
        <v>1188</v>
      </c>
      <c r="EG78">
        <v>4413788</v>
      </c>
      <c r="EH78" t="s">
        <v>346</v>
      </c>
      <c r="EI78">
        <v>0.12</v>
      </c>
      <c r="EJ78" t="s">
        <v>53</v>
      </c>
      <c r="EO78" t="s">
        <v>306</v>
      </c>
      <c r="EP78" t="s">
        <v>429</v>
      </c>
      <c r="EQ78">
        <v>4607441</v>
      </c>
      <c r="ER78" t="s">
        <v>346</v>
      </c>
      <c r="ES78">
        <v>0</v>
      </c>
      <c r="ET78" t="s">
        <v>304</v>
      </c>
      <c r="EY78" t="s">
        <v>306</v>
      </c>
      <c r="FD78" t="s">
        <v>306</v>
      </c>
      <c r="FI78" t="s">
        <v>306</v>
      </c>
      <c r="FJ78" t="s">
        <v>436</v>
      </c>
      <c r="FK78">
        <v>111219</v>
      </c>
      <c r="FL78" t="s">
        <v>346</v>
      </c>
      <c r="FM78">
        <v>0.02</v>
      </c>
      <c r="FN78" t="s">
        <v>53</v>
      </c>
      <c r="FS78" t="s">
        <v>306</v>
      </c>
      <c r="FX78" t="s">
        <v>306</v>
      </c>
      <c r="FY78" t="s">
        <v>1188</v>
      </c>
      <c r="FZ78">
        <v>4413788</v>
      </c>
      <c r="GA78" t="s">
        <v>346</v>
      </c>
      <c r="GB78">
        <v>0.12</v>
      </c>
      <c r="GC78" t="s">
        <v>53</v>
      </c>
      <c r="GH78" t="s">
        <v>306</v>
      </c>
      <c r="GM78" t="s">
        <v>306</v>
      </c>
      <c r="GN78" t="s">
        <v>436</v>
      </c>
      <c r="GO78">
        <v>111219</v>
      </c>
      <c r="GP78" t="s">
        <v>346</v>
      </c>
      <c r="GQ78">
        <v>0.02</v>
      </c>
      <c r="GR78" t="s">
        <v>53</v>
      </c>
      <c r="GS78" t="s">
        <v>991</v>
      </c>
      <c r="GT78">
        <v>4206857</v>
      </c>
      <c r="GU78" t="s">
        <v>346</v>
      </c>
      <c r="GV78">
        <v>0.03</v>
      </c>
      <c r="GW78" t="s">
        <v>125</v>
      </c>
      <c r="GX78" t="s">
        <v>531</v>
      </c>
      <c r="GY78">
        <v>4072215</v>
      </c>
      <c r="GZ78" t="s">
        <v>346</v>
      </c>
      <c r="HA78">
        <v>0.11</v>
      </c>
      <c r="HB78" t="s">
        <v>53</v>
      </c>
      <c r="HG78" t="s">
        <v>306</v>
      </c>
    </row>
    <row r="79" spans="5:215" x14ac:dyDescent="0.35">
      <c r="E79" t="s">
        <v>306</v>
      </c>
      <c r="F79" t="s">
        <v>472</v>
      </c>
      <c r="G79">
        <v>4048215</v>
      </c>
      <c r="H79" t="s">
        <v>346</v>
      </c>
      <c r="I79">
        <v>0.02</v>
      </c>
      <c r="J79" t="s">
        <v>53</v>
      </c>
      <c r="K79" t="s">
        <v>666</v>
      </c>
      <c r="L79">
        <v>4379197</v>
      </c>
      <c r="M79" t="s">
        <v>346</v>
      </c>
      <c r="N79">
        <v>0</v>
      </c>
      <c r="O79" t="s">
        <v>50</v>
      </c>
      <c r="T79" t="s">
        <v>306</v>
      </c>
      <c r="U79" t="s">
        <v>686</v>
      </c>
      <c r="V79">
        <v>4784142</v>
      </c>
      <c r="W79" t="s">
        <v>346</v>
      </c>
      <c r="X79">
        <v>0.06</v>
      </c>
      <c r="Y79" t="s">
        <v>50</v>
      </c>
      <c r="Z79" t="s">
        <v>666</v>
      </c>
      <c r="AA79">
        <v>4379197</v>
      </c>
      <c r="AB79" t="s">
        <v>346</v>
      </c>
      <c r="AC79">
        <v>0</v>
      </c>
      <c r="AD79" t="s">
        <v>50</v>
      </c>
      <c r="AE79" t="s">
        <v>575</v>
      </c>
      <c r="AF79">
        <v>4575993</v>
      </c>
      <c r="AG79" t="s">
        <v>346</v>
      </c>
      <c r="AH79">
        <v>0.02</v>
      </c>
      <c r="AI79" t="s">
        <v>80</v>
      </c>
      <c r="AN79" t="s">
        <v>306</v>
      </c>
      <c r="AO79" t="s">
        <v>410</v>
      </c>
      <c r="AP79">
        <v>5759394</v>
      </c>
      <c r="AQ79" t="s">
        <v>346</v>
      </c>
      <c r="AR79">
        <v>0.05</v>
      </c>
      <c r="AS79" t="s">
        <v>2186</v>
      </c>
      <c r="AX79" t="s">
        <v>306</v>
      </c>
      <c r="BC79" t="s">
        <v>306</v>
      </c>
      <c r="BD79" t="s">
        <v>1143</v>
      </c>
      <c r="BE79">
        <v>4138850</v>
      </c>
      <c r="BF79" t="s">
        <v>346</v>
      </c>
      <c r="BG79">
        <v>0.12</v>
      </c>
      <c r="BH79" t="s">
        <v>62</v>
      </c>
      <c r="BI79" t="s">
        <v>400</v>
      </c>
      <c r="BJ79">
        <v>7834181</v>
      </c>
      <c r="BK79" t="s">
        <v>346</v>
      </c>
      <c r="BL79">
        <v>0.04</v>
      </c>
      <c r="BM79" t="s">
        <v>313</v>
      </c>
      <c r="BN79" t="s">
        <v>732</v>
      </c>
      <c r="BO79">
        <v>4139789</v>
      </c>
      <c r="BP79" t="s">
        <v>346</v>
      </c>
      <c r="BQ79">
        <v>0.03</v>
      </c>
      <c r="BR79" t="s">
        <v>50</v>
      </c>
      <c r="BS79" t="s">
        <v>957</v>
      </c>
      <c r="BT79">
        <v>4138727</v>
      </c>
      <c r="BU79" t="s">
        <v>346</v>
      </c>
      <c r="BV79">
        <v>0.06</v>
      </c>
      <c r="BW79" t="s">
        <v>320</v>
      </c>
      <c r="BX79" t="s">
        <v>686</v>
      </c>
      <c r="BY79">
        <v>4784142</v>
      </c>
      <c r="BZ79" t="s">
        <v>346</v>
      </c>
      <c r="CA79">
        <v>0.06</v>
      </c>
      <c r="CB79" t="s">
        <v>50</v>
      </c>
      <c r="CC79" t="s">
        <v>455</v>
      </c>
      <c r="CD79">
        <v>4119538</v>
      </c>
      <c r="CE79" t="s">
        <v>364</v>
      </c>
      <c r="CF79">
        <v>0.11</v>
      </c>
      <c r="CG79" t="s">
        <v>53</v>
      </c>
      <c r="CH79" t="s">
        <v>410</v>
      </c>
      <c r="CI79">
        <v>5759394</v>
      </c>
      <c r="CJ79" t="s">
        <v>346</v>
      </c>
      <c r="CK79">
        <v>0.05</v>
      </c>
      <c r="CL79" t="s">
        <v>2186</v>
      </c>
      <c r="CM79" t="s">
        <v>386</v>
      </c>
      <c r="CN79">
        <v>4145085</v>
      </c>
      <c r="CO79" t="s">
        <v>346</v>
      </c>
      <c r="CP79">
        <v>0.09</v>
      </c>
      <c r="CQ79" t="s">
        <v>313</v>
      </c>
      <c r="CV79" t="s">
        <v>306</v>
      </c>
      <c r="DA79" t="s">
        <v>306</v>
      </c>
      <c r="DB79" t="s">
        <v>1143</v>
      </c>
      <c r="DC79">
        <v>4138850</v>
      </c>
      <c r="DD79" t="s">
        <v>346</v>
      </c>
      <c r="DE79">
        <v>0.12</v>
      </c>
      <c r="DF79" t="s">
        <v>62</v>
      </c>
      <c r="DK79" t="s">
        <v>306</v>
      </c>
      <c r="DL79" t="s">
        <v>1143</v>
      </c>
      <c r="DM79">
        <v>4138850</v>
      </c>
      <c r="DN79" t="s">
        <v>346</v>
      </c>
      <c r="DO79">
        <v>0.12</v>
      </c>
      <c r="DP79" t="s">
        <v>62</v>
      </c>
      <c r="DU79" t="s">
        <v>306</v>
      </c>
      <c r="DV79" t="s">
        <v>1204</v>
      </c>
      <c r="DW79">
        <v>5756327</v>
      </c>
      <c r="DX79" t="s">
        <v>346</v>
      </c>
      <c r="DY79">
        <v>0</v>
      </c>
      <c r="DZ79" t="s">
        <v>77</v>
      </c>
      <c r="EA79" t="s">
        <v>455</v>
      </c>
      <c r="EB79">
        <v>4119538</v>
      </c>
      <c r="EC79" t="s">
        <v>364</v>
      </c>
      <c r="ED79">
        <v>0.11</v>
      </c>
      <c r="EE79" t="s">
        <v>53</v>
      </c>
      <c r="EF79" t="s">
        <v>1143</v>
      </c>
      <c r="EG79">
        <v>4138850</v>
      </c>
      <c r="EH79" t="s">
        <v>346</v>
      </c>
      <c r="EI79">
        <v>0.12</v>
      </c>
      <c r="EJ79" t="s">
        <v>62</v>
      </c>
      <c r="EO79" t="s">
        <v>306</v>
      </c>
      <c r="EP79" t="s">
        <v>412</v>
      </c>
      <c r="EQ79">
        <v>109687</v>
      </c>
      <c r="ER79" t="s">
        <v>346</v>
      </c>
      <c r="ES79">
        <v>0</v>
      </c>
      <c r="ET79" t="s">
        <v>53</v>
      </c>
      <c r="EY79" t="s">
        <v>306</v>
      </c>
      <c r="FD79" t="s">
        <v>306</v>
      </c>
      <c r="FI79" t="s">
        <v>306</v>
      </c>
      <c r="FJ79" t="s">
        <v>1060</v>
      </c>
      <c r="FK79">
        <v>4298386</v>
      </c>
      <c r="FL79" t="s">
        <v>346</v>
      </c>
      <c r="FM79">
        <v>0.01</v>
      </c>
      <c r="FN79" t="s">
        <v>313</v>
      </c>
      <c r="FS79" t="s">
        <v>306</v>
      </c>
      <c r="FX79" t="s">
        <v>306</v>
      </c>
      <c r="FY79" t="s">
        <v>1143</v>
      </c>
      <c r="FZ79">
        <v>4138850</v>
      </c>
      <c r="GA79" t="s">
        <v>346</v>
      </c>
      <c r="GB79">
        <v>0.12</v>
      </c>
      <c r="GC79" t="s">
        <v>62</v>
      </c>
      <c r="GH79" t="s">
        <v>306</v>
      </c>
      <c r="GM79" t="s">
        <v>306</v>
      </c>
      <c r="GN79" t="s">
        <v>1060</v>
      </c>
      <c r="GO79">
        <v>4298386</v>
      </c>
      <c r="GP79" t="s">
        <v>346</v>
      </c>
      <c r="GQ79">
        <v>0.01</v>
      </c>
      <c r="GR79" t="s">
        <v>313</v>
      </c>
      <c r="GS79" t="s">
        <v>732</v>
      </c>
      <c r="GT79">
        <v>4139789</v>
      </c>
      <c r="GU79" t="s">
        <v>346</v>
      </c>
      <c r="GV79">
        <v>0.03</v>
      </c>
      <c r="GW79" t="s">
        <v>50</v>
      </c>
      <c r="GX79" t="s">
        <v>455</v>
      </c>
      <c r="GY79">
        <v>4119538</v>
      </c>
      <c r="GZ79" t="s">
        <v>364</v>
      </c>
      <c r="HA79">
        <v>0.11</v>
      </c>
      <c r="HB79" t="s">
        <v>53</v>
      </c>
      <c r="HG79" t="s">
        <v>306</v>
      </c>
    </row>
    <row r="80" spans="5:215" x14ac:dyDescent="0.35">
      <c r="E80" t="s">
        <v>306</v>
      </c>
      <c r="F80" t="s">
        <v>473</v>
      </c>
      <c r="G80">
        <v>4140062</v>
      </c>
      <c r="H80" t="s">
        <v>346</v>
      </c>
      <c r="I80">
        <v>0.02</v>
      </c>
      <c r="J80" t="s">
        <v>304</v>
      </c>
      <c r="K80" t="s">
        <v>482</v>
      </c>
      <c r="L80">
        <v>4048742</v>
      </c>
      <c r="M80" t="s">
        <v>346</v>
      </c>
      <c r="N80">
        <v>0</v>
      </c>
      <c r="O80" t="s">
        <v>80</v>
      </c>
      <c r="T80" t="s">
        <v>306</v>
      </c>
      <c r="U80" t="s">
        <v>653</v>
      </c>
      <c r="V80">
        <v>4100281</v>
      </c>
      <c r="W80" t="s">
        <v>346</v>
      </c>
      <c r="X80">
        <v>0.05</v>
      </c>
      <c r="Y80" t="s">
        <v>326</v>
      </c>
      <c r="Z80" t="s">
        <v>482</v>
      </c>
      <c r="AA80">
        <v>4048742</v>
      </c>
      <c r="AB80" t="s">
        <v>346</v>
      </c>
      <c r="AC80">
        <v>0</v>
      </c>
      <c r="AD80" t="s">
        <v>80</v>
      </c>
      <c r="AE80" t="s">
        <v>434</v>
      </c>
      <c r="AF80">
        <v>4120033</v>
      </c>
      <c r="AG80" t="s">
        <v>346</v>
      </c>
      <c r="AH80">
        <v>0.02</v>
      </c>
      <c r="AI80" t="s">
        <v>304</v>
      </c>
      <c r="AN80" t="s">
        <v>306</v>
      </c>
      <c r="AO80" t="s">
        <v>1275</v>
      </c>
      <c r="AP80">
        <v>29629745</v>
      </c>
      <c r="AQ80" t="s">
        <v>346</v>
      </c>
      <c r="AR80">
        <v>0.05</v>
      </c>
      <c r="AS80" t="s">
        <v>62</v>
      </c>
      <c r="AX80" t="s">
        <v>306</v>
      </c>
      <c r="BC80" t="s">
        <v>306</v>
      </c>
      <c r="BD80" t="s">
        <v>429</v>
      </c>
      <c r="BE80">
        <v>4607441</v>
      </c>
      <c r="BF80" t="s">
        <v>346</v>
      </c>
      <c r="BG80">
        <v>0.12</v>
      </c>
      <c r="BH80" t="s">
        <v>304</v>
      </c>
      <c r="BI80" t="s">
        <v>461</v>
      </c>
      <c r="BJ80">
        <v>4137912</v>
      </c>
      <c r="BK80" t="s">
        <v>346</v>
      </c>
      <c r="BL80">
        <v>0.04</v>
      </c>
      <c r="BM80" t="s">
        <v>2185</v>
      </c>
      <c r="BN80" t="s">
        <v>647</v>
      </c>
      <c r="BO80">
        <v>4556995</v>
      </c>
      <c r="BP80" t="s">
        <v>346</v>
      </c>
      <c r="BQ80">
        <v>0.03</v>
      </c>
      <c r="BR80" t="s">
        <v>50</v>
      </c>
      <c r="BS80" t="s">
        <v>430</v>
      </c>
      <c r="BT80">
        <v>4055767</v>
      </c>
      <c r="BU80" t="s">
        <v>346</v>
      </c>
      <c r="BV80">
        <v>0.05</v>
      </c>
      <c r="BW80" t="s">
        <v>53</v>
      </c>
      <c r="BX80" t="s">
        <v>653</v>
      </c>
      <c r="BY80">
        <v>4100281</v>
      </c>
      <c r="BZ80" t="s">
        <v>346</v>
      </c>
      <c r="CA80">
        <v>0.05</v>
      </c>
      <c r="CB80" t="s">
        <v>326</v>
      </c>
      <c r="CC80" t="s">
        <v>411</v>
      </c>
      <c r="CD80">
        <v>4272373</v>
      </c>
      <c r="CE80" t="s">
        <v>346</v>
      </c>
      <c r="CF80">
        <v>0.11</v>
      </c>
      <c r="CG80" t="s">
        <v>313</v>
      </c>
      <c r="CH80" t="s">
        <v>1275</v>
      </c>
      <c r="CI80">
        <v>29629745</v>
      </c>
      <c r="CJ80" t="s">
        <v>346</v>
      </c>
      <c r="CK80">
        <v>0.05</v>
      </c>
      <c r="CL80" t="s">
        <v>62</v>
      </c>
      <c r="CM80" t="s">
        <v>855</v>
      </c>
      <c r="CN80">
        <v>8532130</v>
      </c>
      <c r="CO80" t="s">
        <v>346</v>
      </c>
      <c r="CP80">
        <v>0.08</v>
      </c>
      <c r="CQ80" t="s">
        <v>62</v>
      </c>
      <c r="CV80" t="s">
        <v>306</v>
      </c>
      <c r="DA80" t="s">
        <v>306</v>
      </c>
      <c r="DB80" t="s">
        <v>429</v>
      </c>
      <c r="DC80">
        <v>4607441</v>
      </c>
      <c r="DD80" t="s">
        <v>346</v>
      </c>
      <c r="DE80">
        <v>0.12</v>
      </c>
      <c r="DF80" t="s">
        <v>304</v>
      </c>
      <c r="DK80" t="s">
        <v>306</v>
      </c>
      <c r="DL80" t="s">
        <v>429</v>
      </c>
      <c r="DM80">
        <v>4607441</v>
      </c>
      <c r="DN80" t="s">
        <v>346</v>
      </c>
      <c r="DO80">
        <v>0.12</v>
      </c>
      <c r="DP80" t="s">
        <v>304</v>
      </c>
      <c r="DU80" t="s">
        <v>306</v>
      </c>
      <c r="DV80" t="s">
        <v>1205</v>
      </c>
      <c r="DW80">
        <v>4683737</v>
      </c>
      <c r="DX80" t="s">
        <v>346</v>
      </c>
      <c r="DY80">
        <v>0</v>
      </c>
      <c r="DZ80" t="s">
        <v>77</v>
      </c>
      <c r="EA80" t="s">
        <v>411</v>
      </c>
      <c r="EB80">
        <v>4272373</v>
      </c>
      <c r="EC80" t="s">
        <v>346</v>
      </c>
      <c r="ED80">
        <v>0.11</v>
      </c>
      <c r="EE80" t="s">
        <v>313</v>
      </c>
      <c r="EF80" t="s">
        <v>429</v>
      </c>
      <c r="EG80">
        <v>4607441</v>
      </c>
      <c r="EH80" t="s">
        <v>346</v>
      </c>
      <c r="EI80">
        <v>0.12</v>
      </c>
      <c r="EJ80" t="s">
        <v>304</v>
      </c>
      <c r="EO80" t="s">
        <v>306</v>
      </c>
      <c r="EP80" t="s">
        <v>774</v>
      </c>
      <c r="EQ80">
        <v>20057752</v>
      </c>
      <c r="ER80" t="s">
        <v>346</v>
      </c>
      <c r="ES80">
        <v>0</v>
      </c>
      <c r="ET80" t="s">
        <v>50</v>
      </c>
      <c r="EY80" t="s">
        <v>306</v>
      </c>
      <c r="FD80" t="s">
        <v>306</v>
      </c>
      <c r="FI80" t="s">
        <v>306</v>
      </c>
      <c r="FJ80" t="s">
        <v>476</v>
      </c>
      <c r="FK80">
        <v>4139886</v>
      </c>
      <c r="FL80" t="s">
        <v>346</v>
      </c>
      <c r="FM80">
        <v>0.01</v>
      </c>
      <c r="FN80" t="s">
        <v>304</v>
      </c>
      <c r="FS80" t="s">
        <v>306</v>
      </c>
      <c r="FX80" t="s">
        <v>306</v>
      </c>
      <c r="FY80" t="s">
        <v>429</v>
      </c>
      <c r="FZ80">
        <v>4607441</v>
      </c>
      <c r="GA80" t="s">
        <v>346</v>
      </c>
      <c r="GB80">
        <v>0.12</v>
      </c>
      <c r="GC80" t="s">
        <v>304</v>
      </c>
      <c r="GH80" t="s">
        <v>306</v>
      </c>
      <c r="GM80" t="s">
        <v>306</v>
      </c>
      <c r="GN80" t="s">
        <v>476</v>
      </c>
      <c r="GO80">
        <v>4139886</v>
      </c>
      <c r="GP80" t="s">
        <v>346</v>
      </c>
      <c r="GQ80">
        <v>0.01</v>
      </c>
      <c r="GR80" t="s">
        <v>304</v>
      </c>
      <c r="GS80" t="s">
        <v>647</v>
      </c>
      <c r="GT80">
        <v>4556995</v>
      </c>
      <c r="GU80" t="s">
        <v>346</v>
      </c>
      <c r="GV80">
        <v>0.03</v>
      </c>
      <c r="GW80" t="s">
        <v>50</v>
      </c>
      <c r="GX80" t="s">
        <v>411</v>
      </c>
      <c r="GY80">
        <v>4272373</v>
      </c>
      <c r="GZ80" t="s">
        <v>346</v>
      </c>
      <c r="HA80">
        <v>0.11</v>
      </c>
      <c r="HB80" t="s">
        <v>313</v>
      </c>
      <c r="HG80" t="s">
        <v>306</v>
      </c>
    </row>
    <row r="81" spans="5:215" x14ac:dyDescent="0.35">
      <c r="E81" t="s">
        <v>306</v>
      </c>
      <c r="F81" t="s">
        <v>474</v>
      </c>
      <c r="G81" t="s">
        <v>300</v>
      </c>
      <c r="H81" t="s">
        <v>361</v>
      </c>
      <c r="I81">
        <v>0.02</v>
      </c>
      <c r="J81" t="s">
        <v>50</v>
      </c>
      <c r="K81" t="s">
        <v>667</v>
      </c>
      <c r="L81">
        <v>4208762</v>
      </c>
      <c r="M81" t="s">
        <v>346</v>
      </c>
      <c r="N81">
        <v>0</v>
      </c>
      <c r="O81" t="s">
        <v>326</v>
      </c>
      <c r="T81" t="s">
        <v>306</v>
      </c>
      <c r="U81" t="s">
        <v>436</v>
      </c>
      <c r="V81">
        <v>111219</v>
      </c>
      <c r="W81" t="s">
        <v>346</v>
      </c>
      <c r="X81">
        <v>0.05</v>
      </c>
      <c r="Y81" t="s">
        <v>53</v>
      </c>
      <c r="Z81" t="s">
        <v>667</v>
      </c>
      <c r="AA81">
        <v>4208762</v>
      </c>
      <c r="AB81" t="s">
        <v>346</v>
      </c>
      <c r="AC81">
        <v>0</v>
      </c>
      <c r="AD81" t="s">
        <v>326</v>
      </c>
      <c r="AE81" t="s">
        <v>1129</v>
      </c>
      <c r="AF81">
        <v>5788094</v>
      </c>
      <c r="AG81" t="s">
        <v>346</v>
      </c>
      <c r="AH81">
        <v>0.02</v>
      </c>
      <c r="AI81" t="s">
        <v>317</v>
      </c>
      <c r="AN81" t="s">
        <v>306</v>
      </c>
      <c r="AO81" t="s">
        <v>1276</v>
      </c>
      <c r="AP81">
        <v>8358474</v>
      </c>
      <c r="AQ81" t="s">
        <v>346</v>
      </c>
      <c r="AR81">
        <v>0.05</v>
      </c>
      <c r="AS81" t="s">
        <v>62</v>
      </c>
      <c r="AX81" t="s">
        <v>306</v>
      </c>
      <c r="BC81" t="s">
        <v>306</v>
      </c>
      <c r="BD81" t="s">
        <v>546</v>
      </c>
      <c r="BE81">
        <v>4158830</v>
      </c>
      <c r="BF81" t="s">
        <v>346</v>
      </c>
      <c r="BG81">
        <v>0.11</v>
      </c>
      <c r="BH81" t="s">
        <v>53</v>
      </c>
      <c r="BI81" t="s">
        <v>491</v>
      </c>
      <c r="BJ81">
        <v>106960</v>
      </c>
      <c r="BK81" t="s">
        <v>346</v>
      </c>
      <c r="BL81">
        <v>0.04</v>
      </c>
      <c r="BM81" t="s">
        <v>80</v>
      </c>
      <c r="BN81" t="s">
        <v>813</v>
      </c>
      <c r="BO81">
        <v>5810740</v>
      </c>
      <c r="BP81" t="s">
        <v>346</v>
      </c>
      <c r="BQ81">
        <v>0.03</v>
      </c>
      <c r="BR81" t="s">
        <v>50</v>
      </c>
      <c r="BS81" t="s">
        <v>562</v>
      </c>
      <c r="BT81">
        <v>4256114</v>
      </c>
      <c r="BU81" t="s">
        <v>346</v>
      </c>
      <c r="BV81">
        <v>0.05</v>
      </c>
      <c r="BW81" t="s">
        <v>301</v>
      </c>
      <c r="BX81" t="s">
        <v>436</v>
      </c>
      <c r="BY81">
        <v>111219</v>
      </c>
      <c r="BZ81" t="s">
        <v>346</v>
      </c>
      <c r="CA81">
        <v>0.05</v>
      </c>
      <c r="CB81" t="s">
        <v>53</v>
      </c>
      <c r="CC81" t="s">
        <v>501</v>
      </c>
      <c r="CD81">
        <v>111359</v>
      </c>
      <c r="CE81" t="s">
        <v>346</v>
      </c>
      <c r="CF81">
        <v>0.1</v>
      </c>
      <c r="CG81" t="s">
        <v>53</v>
      </c>
      <c r="CH81" t="s">
        <v>1276</v>
      </c>
      <c r="CI81">
        <v>8358474</v>
      </c>
      <c r="CJ81" t="s">
        <v>346</v>
      </c>
      <c r="CK81">
        <v>0.05</v>
      </c>
      <c r="CL81" t="s">
        <v>62</v>
      </c>
      <c r="CM81" t="s">
        <v>1267</v>
      </c>
      <c r="CN81">
        <v>4304196</v>
      </c>
      <c r="CO81" t="s">
        <v>346</v>
      </c>
      <c r="CP81">
        <v>0.08</v>
      </c>
      <c r="CQ81" t="s">
        <v>62</v>
      </c>
      <c r="CV81" t="s">
        <v>306</v>
      </c>
      <c r="DA81" t="s">
        <v>306</v>
      </c>
      <c r="DB81" t="s">
        <v>546</v>
      </c>
      <c r="DC81">
        <v>4158830</v>
      </c>
      <c r="DD81" t="s">
        <v>346</v>
      </c>
      <c r="DE81">
        <v>0.11</v>
      </c>
      <c r="DF81" t="s">
        <v>53</v>
      </c>
      <c r="DK81" t="s">
        <v>306</v>
      </c>
      <c r="DL81" t="s">
        <v>546</v>
      </c>
      <c r="DM81">
        <v>4158830</v>
      </c>
      <c r="DN81" t="s">
        <v>346</v>
      </c>
      <c r="DO81">
        <v>0.11</v>
      </c>
      <c r="DP81" t="s">
        <v>53</v>
      </c>
      <c r="DU81" t="s">
        <v>306</v>
      </c>
      <c r="DV81" t="s">
        <v>454</v>
      </c>
      <c r="DW81">
        <v>4145691</v>
      </c>
      <c r="DX81" t="s">
        <v>346</v>
      </c>
      <c r="DY81">
        <v>0</v>
      </c>
      <c r="DZ81" t="s">
        <v>53</v>
      </c>
      <c r="EA81" t="s">
        <v>501</v>
      </c>
      <c r="EB81">
        <v>111359</v>
      </c>
      <c r="EC81" t="s">
        <v>346</v>
      </c>
      <c r="ED81">
        <v>0.1</v>
      </c>
      <c r="EE81" t="s">
        <v>53</v>
      </c>
      <c r="EF81" t="s">
        <v>546</v>
      </c>
      <c r="EG81">
        <v>4158830</v>
      </c>
      <c r="EH81" t="s">
        <v>346</v>
      </c>
      <c r="EI81">
        <v>0.11</v>
      </c>
      <c r="EJ81" t="s">
        <v>53</v>
      </c>
      <c r="EO81" t="s">
        <v>306</v>
      </c>
      <c r="EP81" t="s">
        <v>685</v>
      </c>
      <c r="EQ81">
        <v>4641730</v>
      </c>
      <c r="ER81" t="s">
        <v>346</v>
      </c>
      <c r="ES81">
        <v>0</v>
      </c>
      <c r="ET81" t="s">
        <v>326</v>
      </c>
      <c r="EY81" t="s">
        <v>306</v>
      </c>
      <c r="FD81" t="s">
        <v>306</v>
      </c>
      <c r="FI81" t="s">
        <v>306</v>
      </c>
      <c r="FJ81" t="s">
        <v>449</v>
      </c>
      <c r="FK81">
        <v>4093616</v>
      </c>
      <c r="FL81" t="s">
        <v>346</v>
      </c>
      <c r="FM81">
        <v>0.01</v>
      </c>
      <c r="FN81" t="s">
        <v>80</v>
      </c>
      <c r="FS81" t="s">
        <v>306</v>
      </c>
      <c r="FX81" t="s">
        <v>306</v>
      </c>
      <c r="FY81" t="s">
        <v>546</v>
      </c>
      <c r="FZ81">
        <v>4158830</v>
      </c>
      <c r="GA81" t="s">
        <v>346</v>
      </c>
      <c r="GB81">
        <v>0.11</v>
      </c>
      <c r="GC81" t="s">
        <v>53</v>
      </c>
      <c r="GH81" t="s">
        <v>306</v>
      </c>
      <c r="GM81" t="s">
        <v>306</v>
      </c>
      <c r="GN81" t="s">
        <v>449</v>
      </c>
      <c r="GO81">
        <v>4093616</v>
      </c>
      <c r="GP81" t="s">
        <v>346</v>
      </c>
      <c r="GQ81">
        <v>0.01</v>
      </c>
      <c r="GR81" t="s">
        <v>80</v>
      </c>
      <c r="GS81" t="s">
        <v>813</v>
      </c>
      <c r="GT81">
        <v>5810740</v>
      </c>
      <c r="GU81" t="s">
        <v>346</v>
      </c>
      <c r="GV81">
        <v>0.03</v>
      </c>
      <c r="GW81" t="s">
        <v>50</v>
      </c>
      <c r="GX81" t="s">
        <v>501</v>
      </c>
      <c r="GY81">
        <v>111359</v>
      </c>
      <c r="GZ81" t="s">
        <v>346</v>
      </c>
      <c r="HA81">
        <v>0.1</v>
      </c>
      <c r="HB81" t="s">
        <v>53</v>
      </c>
      <c r="HG81" t="s">
        <v>306</v>
      </c>
    </row>
    <row r="82" spans="5:215" x14ac:dyDescent="0.35">
      <c r="E82" t="s">
        <v>306</v>
      </c>
      <c r="F82" t="s">
        <v>387</v>
      </c>
      <c r="G82">
        <v>4020980</v>
      </c>
      <c r="H82" t="s">
        <v>346</v>
      </c>
      <c r="I82">
        <v>0.02</v>
      </c>
      <c r="J82" t="s">
        <v>2189</v>
      </c>
      <c r="K82" t="s">
        <v>408</v>
      </c>
      <c r="L82">
        <v>4138917</v>
      </c>
      <c r="M82" t="s">
        <v>346</v>
      </c>
      <c r="N82">
        <v>0</v>
      </c>
      <c r="O82" t="s">
        <v>125</v>
      </c>
      <c r="T82" t="s">
        <v>306</v>
      </c>
      <c r="U82" t="s">
        <v>540</v>
      </c>
      <c r="V82">
        <v>4281265</v>
      </c>
      <c r="W82" t="s">
        <v>346</v>
      </c>
      <c r="X82">
        <v>0.05</v>
      </c>
      <c r="Y82" t="s">
        <v>80</v>
      </c>
      <c r="Z82" t="s">
        <v>408</v>
      </c>
      <c r="AA82">
        <v>4138917</v>
      </c>
      <c r="AB82" t="s">
        <v>346</v>
      </c>
      <c r="AC82">
        <v>0</v>
      </c>
      <c r="AD82" t="s">
        <v>125</v>
      </c>
      <c r="AE82" t="s">
        <v>1130</v>
      </c>
      <c r="AF82" t="s">
        <v>300</v>
      </c>
      <c r="AG82" t="s">
        <v>361</v>
      </c>
      <c r="AH82">
        <v>0.02</v>
      </c>
      <c r="AI82" t="s">
        <v>50</v>
      </c>
      <c r="AN82" t="s">
        <v>306</v>
      </c>
      <c r="AO82" t="s">
        <v>459</v>
      </c>
      <c r="AP82">
        <v>4140503</v>
      </c>
      <c r="AQ82" t="s">
        <v>346</v>
      </c>
      <c r="AR82">
        <v>0.04</v>
      </c>
      <c r="AS82" t="s">
        <v>2186</v>
      </c>
      <c r="AX82" t="s">
        <v>306</v>
      </c>
      <c r="BC82" t="s">
        <v>306</v>
      </c>
      <c r="BD82" t="s">
        <v>1408</v>
      </c>
      <c r="BE82">
        <v>4139641</v>
      </c>
      <c r="BF82" t="s">
        <v>363</v>
      </c>
      <c r="BG82">
        <v>0.11</v>
      </c>
      <c r="BH82" t="s">
        <v>313</v>
      </c>
      <c r="BI82" t="s">
        <v>449</v>
      </c>
      <c r="BJ82">
        <v>4093616</v>
      </c>
      <c r="BK82" t="s">
        <v>346</v>
      </c>
      <c r="BL82">
        <v>0.03</v>
      </c>
      <c r="BM82" t="s">
        <v>80</v>
      </c>
      <c r="BN82" t="s">
        <v>720</v>
      </c>
      <c r="BO82">
        <v>4139225</v>
      </c>
      <c r="BP82" t="s">
        <v>346</v>
      </c>
      <c r="BQ82">
        <v>0.03</v>
      </c>
      <c r="BR82" t="s">
        <v>50</v>
      </c>
      <c r="BS82" t="s">
        <v>510</v>
      </c>
      <c r="BT82">
        <v>4089114</v>
      </c>
      <c r="BU82" t="s">
        <v>346</v>
      </c>
      <c r="BV82">
        <v>0.05</v>
      </c>
      <c r="BW82" t="s">
        <v>53</v>
      </c>
      <c r="BX82" t="s">
        <v>540</v>
      </c>
      <c r="BY82">
        <v>4281265</v>
      </c>
      <c r="BZ82" t="s">
        <v>346</v>
      </c>
      <c r="CA82">
        <v>0.05</v>
      </c>
      <c r="CB82" t="s">
        <v>80</v>
      </c>
      <c r="CC82" t="s">
        <v>1629</v>
      </c>
      <c r="CD82">
        <v>4291467</v>
      </c>
      <c r="CE82" t="s">
        <v>364</v>
      </c>
      <c r="CF82">
        <v>0.1</v>
      </c>
      <c r="CG82" t="s">
        <v>114</v>
      </c>
      <c r="CH82" t="s">
        <v>459</v>
      </c>
      <c r="CI82">
        <v>4140503</v>
      </c>
      <c r="CJ82" t="s">
        <v>346</v>
      </c>
      <c r="CK82">
        <v>0.04</v>
      </c>
      <c r="CL82" t="s">
        <v>2186</v>
      </c>
      <c r="CM82" t="s">
        <v>1963</v>
      </c>
      <c r="CN82" t="s">
        <v>300</v>
      </c>
      <c r="CO82" t="s">
        <v>361</v>
      </c>
      <c r="CP82">
        <v>0.08</v>
      </c>
      <c r="CQ82" t="s">
        <v>50</v>
      </c>
      <c r="CV82" t="s">
        <v>306</v>
      </c>
      <c r="DA82" t="s">
        <v>306</v>
      </c>
      <c r="DB82" t="s">
        <v>1408</v>
      </c>
      <c r="DC82">
        <v>4139641</v>
      </c>
      <c r="DD82" t="s">
        <v>363</v>
      </c>
      <c r="DE82">
        <v>0.11</v>
      </c>
      <c r="DF82" t="s">
        <v>313</v>
      </c>
      <c r="DK82" t="s">
        <v>306</v>
      </c>
      <c r="DL82" t="s">
        <v>1408</v>
      </c>
      <c r="DM82">
        <v>4139641</v>
      </c>
      <c r="DN82" t="s">
        <v>363</v>
      </c>
      <c r="DO82">
        <v>0.11</v>
      </c>
      <c r="DP82" t="s">
        <v>313</v>
      </c>
      <c r="DU82" t="s">
        <v>306</v>
      </c>
      <c r="DV82" t="s">
        <v>1206</v>
      </c>
      <c r="DW82">
        <v>5872909</v>
      </c>
      <c r="DX82" t="s">
        <v>346</v>
      </c>
      <c r="DY82">
        <v>0</v>
      </c>
      <c r="DZ82" t="s">
        <v>2196</v>
      </c>
      <c r="EA82" t="s">
        <v>1629</v>
      </c>
      <c r="EB82">
        <v>4291467</v>
      </c>
      <c r="EC82" t="s">
        <v>364</v>
      </c>
      <c r="ED82">
        <v>0.1</v>
      </c>
      <c r="EE82" t="s">
        <v>114</v>
      </c>
      <c r="EF82" t="s">
        <v>1408</v>
      </c>
      <c r="EG82">
        <v>4139641</v>
      </c>
      <c r="EH82" t="s">
        <v>363</v>
      </c>
      <c r="EI82">
        <v>0.11</v>
      </c>
      <c r="EJ82" t="s">
        <v>313</v>
      </c>
      <c r="EO82" t="s">
        <v>306</v>
      </c>
      <c r="EP82" t="s">
        <v>408</v>
      </c>
      <c r="EQ82">
        <v>4138917</v>
      </c>
      <c r="ER82" t="s">
        <v>346</v>
      </c>
      <c r="ES82">
        <v>0</v>
      </c>
      <c r="ET82" t="s">
        <v>125</v>
      </c>
      <c r="EY82" t="s">
        <v>306</v>
      </c>
      <c r="FD82" t="s">
        <v>306</v>
      </c>
      <c r="FI82" t="s">
        <v>306</v>
      </c>
      <c r="FJ82" t="s">
        <v>500</v>
      </c>
      <c r="FK82">
        <v>4048185</v>
      </c>
      <c r="FL82" t="s">
        <v>346</v>
      </c>
      <c r="FM82">
        <v>0.01</v>
      </c>
      <c r="FN82" t="s">
        <v>53</v>
      </c>
      <c r="FS82" t="s">
        <v>306</v>
      </c>
      <c r="FX82" t="s">
        <v>306</v>
      </c>
      <c r="FY82" t="s">
        <v>1408</v>
      </c>
      <c r="FZ82">
        <v>4139641</v>
      </c>
      <c r="GA82" t="s">
        <v>363</v>
      </c>
      <c r="GB82">
        <v>0.11</v>
      </c>
      <c r="GC82" t="s">
        <v>313</v>
      </c>
      <c r="GH82" t="s">
        <v>306</v>
      </c>
      <c r="GM82" t="s">
        <v>306</v>
      </c>
      <c r="GN82" t="s">
        <v>500</v>
      </c>
      <c r="GO82">
        <v>4048185</v>
      </c>
      <c r="GP82" t="s">
        <v>346</v>
      </c>
      <c r="GQ82">
        <v>0.01</v>
      </c>
      <c r="GR82" t="s">
        <v>53</v>
      </c>
      <c r="GS82" t="s">
        <v>720</v>
      </c>
      <c r="GT82">
        <v>4139225</v>
      </c>
      <c r="GU82" t="s">
        <v>346</v>
      </c>
      <c r="GV82">
        <v>0.03</v>
      </c>
      <c r="GW82" t="s">
        <v>50</v>
      </c>
      <c r="GX82" t="s">
        <v>1629</v>
      </c>
      <c r="GY82">
        <v>4291467</v>
      </c>
      <c r="GZ82" t="s">
        <v>364</v>
      </c>
      <c r="HA82">
        <v>0.1</v>
      </c>
      <c r="HB82" t="s">
        <v>114</v>
      </c>
      <c r="HG82" t="s">
        <v>306</v>
      </c>
    </row>
    <row r="83" spans="5:215" x14ac:dyDescent="0.35">
      <c r="E83" t="s">
        <v>306</v>
      </c>
      <c r="F83" t="s">
        <v>475</v>
      </c>
      <c r="G83">
        <v>4115935</v>
      </c>
      <c r="H83" t="s">
        <v>346</v>
      </c>
      <c r="I83">
        <v>0.01</v>
      </c>
      <c r="J83" t="s">
        <v>53</v>
      </c>
      <c r="K83" t="s">
        <v>668</v>
      </c>
      <c r="L83">
        <v>109523595</v>
      </c>
      <c r="M83" t="s">
        <v>346</v>
      </c>
      <c r="N83">
        <v>0</v>
      </c>
      <c r="O83" t="s">
        <v>50</v>
      </c>
      <c r="T83" t="s">
        <v>306</v>
      </c>
      <c r="U83" t="s">
        <v>730</v>
      </c>
      <c r="V83">
        <v>4436408</v>
      </c>
      <c r="W83" t="s">
        <v>346</v>
      </c>
      <c r="X83">
        <v>0.05</v>
      </c>
      <c r="Y83" t="s">
        <v>50</v>
      </c>
      <c r="Z83" t="s">
        <v>668</v>
      </c>
      <c r="AA83">
        <v>109523595</v>
      </c>
      <c r="AB83" t="s">
        <v>346</v>
      </c>
      <c r="AC83">
        <v>0</v>
      </c>
      <c r="AD83" t="s">
        <v>50</v>
      </c>
      <c r="AE83" t="s">
        <v>820</v>
      </c>
      <c r="AF83">
        <v>4240804</v>
      </c>
      <c r="AG83" t="s">
        <v>346</v>
      </c>
      <c r="AH83">
        <v>0.02</v>
      </c>
      <c r="AI83" t="s">
        <v>2191</v>
      </c>
      <c r="AN83" t="s">
        <v>306</v>
      </c>
      <c r="AO83" t="s">
        <v>487</v>
      </c>
      <c r="AP83">
        <v>4111901</v>
      </c>
      <c r="AQ83" t="s">
        <v>346</v>
      </c>
      <c r="AR83">
        <v>0.04</v>
      </c>
      <c r="AS83" t="s">
        <v>2192</v>
      </c>
      <c r="AX83" t="s">
        <v>306</v>
      </c>
      <c r="BC83" t="s">
        <v>306</v>
      </c>
      <c r="BD83" t="s">
        <v>1409</v>
      </c>
      <c r="BE83">
        <v>4219855</v>
      </c>
      <c r="BF83" t="s">
        <v>346</v>
      </c>
      <c r="BG83">
        <v>0.11</v>
      </c>
      <c r="BH83" t="s">
        <v>2194</v>
      </c>
      <c r="BI83" t="s">
        <v>388</v>
      </c>
      <c r="BJ83">
        <v>4057506</v>
      </c>
      <c r="BK83" t="s">
        <v>346</v>
      </c>
      <c r="BL83">
        <v>0.03</v>
      </c>
      <c r="BM83" t="s">
        <v>53</v>
      </c>
      <c r="BN83" t="s">
        <v>410</v>
      </c>
      <c r="BO83">
        <v>5759394</v>
      </c>
      <c r="BP83" t="s">
        <v>346</v>
      </c>
      <c r="BQ83">
        <v>0.03</v>
      </c>
      <c r="BR83" t="s">
        <v>2186</v>
      </c>
      <c r="BS83" t="s">
        <v>958</v>
      </c>
      <c r="BT83">
        <v>6551991</v>
      </c>
      <c r="BU83" t="s">
        <v>346</v>
      </c>
      <c r="BV83">
        <v>0.05</v>
      </c>
      <c r="BW83" t="s">
        <v>320</v>
      </c>
      <c r="BX83" t="s">
        <v>730</v>
      </c>
      <c r="BY83">
        <v>4436408</v>
      </c>
      <c r="BZ83" t="s">
        <v>346</v>
      </c>
      <c r="CA83">
        <v>0.05</v>
      </c>
      <c r="CB83" t="s">
        <v>50</v>
      </c>
      <c r="CC83" t="s">
        <v>457</v>
      </c>
      <c r="CD83">
        <v>110399</v>
      </c>
      <c r="CE83" t="s">
        <v>346</v>
      </c>
      <c r="CF83">
        <v>0.1</v>
      </c>
      <c r="CG83" t="s">
        <v>53</v>
      </c>
      <c r="CH83" t="s">
        <v>487</v>
      </c>
      <c r="CI83">
        <v>4111901</v>
      </c>
      <c r="CJ83" t="s">
        <v>346</v>
      </c>
      <c r="CK83">
        <v>0.04</v>
      </c>
      <c r="CL83" t="s">
        <v>2192</v>
      </c>
      <c r="CM83" t="s">
        <v>1689</v>
      </c>
      <c r="CN83">
        <v>4005755</v>
      </c>
      <c r="CO83" t="s">
        <v>363</v>
      </c>
      <c r="CP83">
        <v>0.08</v>
      </c>
      <c r="CQ83" t="s">
        <v>53</v>
      </c>
      <c r="CV83" t="s">
        <v>306</v>
      </c>
      <c r="DA83" t="s">
        <v>306</v>
      </c>
      <c r="DB83" t="s">
        <v>1409</v>
      </c>
      <c r="DC83">
        <v>4219855</v>
      </c>
      <c r="DD83" t="s">
        <v>346</v>
      </c>
      <c r="DE83">
        <v>0.11</v>
      </c>
      <c r="DF83" t="s">
        <v>2194</v>
      </c>
      <c r="DK83" t="s">
        <v>306</v>
      </c>
      <c r="DL83" t="s">
        <v>1409</v>
      </c>
      <c r="DM83">
        <v>4219855</v>
      </c>
      <c r="DN83" t="s">
        <v>346</v>
      </c>
      <c r="DO83">
        <v>0.11</v>
      </c>
      <c r="DP83" t="s">
        <v>2194</v>
      </c>
      <c r="DU83" t="s">
        <v>306</v>
      </c>
      <c r="DV83" t="s">
        <v>540</v>
      </c>
      <c r="DW83">
        <v>4281265</v>
      </c>
      <c r="DX83" t="s">
        <v>346</v>
      </c>
      <c r="DY83">
        <v>0</v>
      </c>
      <c r="DZ83" t="s">
        <v>80</v>
      </c>
      <c r="EA83" t="s">
        <v>457</v>
      </c>
      <c r="EB83">
        <v>110399</v>
      </c>
      <c r="EC83" t="s">
        <v>346</v>
      </c>
      <c r="ED83">
        <v>0.1</v>
      </c>
      <c r="EE83" t="s">
        <v>53</v>
      </c>
      <c r="EF83" t="s">
        <v>1409</v>
      </c>
      <c r="EG83">
        <v>4219855</v>
      </c>
      <c r="EH83" t="s">
        <v>346</v>
      </c>
      <c r="EI83">
        <v>0.11</v>
      </c>
      <c r="EJ83" t="s">
        <v>2194</v>
      </c>
      <c r="EO83" t="s">
        <v>306</v>
      </c>
      <c r="EP83" t="s">
        <v>466</v>
      </c>
      <c r="EQ83">
        <v>111267</v>
      </c>
      <c r="ER83" t="s">
        <v>346</v>
      </c>
      <c r="ES83">
        <v>0</v>
      </c>
      <c r="ET83" t="s">
        <v>313</v>
      </c>
      <c r="EY83" t="s">
        <v>306</v>
      </c>
      <c r="FD83" t="s">
        <v>306</v>
      </c>
      <c r="FI83" t="s">
        <v>306</v>
      </c>
      <c r="FJ83" t="s">
        <v>2164</v>
      </c>
      <c r="FK83" t="s">
        <v>300</v>
      </c>
      <c r="FL83" t="s">
        <v>361</v>
      </c>
      <c r="FM83">
        <v>0.01</v>
      </c>
      <c r="FN83" t="s">
        <v>50</v>
      </c>
      <c r="FS83" t="s">
        <v>306</v>
      </c>
      <c r="FX83" t="s">
        <v>306</v>
      </c>
      <c r="FY83" t="s">
        <v>1409</v>
      </c>
      <c r="FZ83">
        <v>4219855</v>
      </c>
      <c r="GA83" t="s">
        <v>346</v>
      </c>
      <c r="GB83">
        <v>0.11</v>
      </c>
      <c r="GC83" t="s">
        <v>2194</v>
      </c>
      <c r="GH83" t="s">
        <v>306</v>
      </c>
      <c r="GM83" t="s">
        <v>306</v>
      </c>
      <c r="GN83" t="s">
        <v>2164</v>
      </c>
      <c r="GO83" t="s">
        <v>300</v>
      </c>
      <c r="GP83" t="s">
        <v>361</v>
      </c>
      <c r="GQ83">
        <v>0.01</v>
      </c>
      <c r="GR83" t="s">
        <v>50</v>
      </c>
      <c r="GS83" t="s">
        <v>410</v>
      </c>
      <c r="GT83">
        <v>5759394</v>
      </c>
      <c r="GU83" t="s">
        <v>346</v>
      </c>
      <c r="GV83">
        <v>0.03</v>
      </c>
      <c r="GW83" t="s">
        <v>2186</v>
      </c>
      <c r="GX83" t="s">
        <v>457</v>
      </c>
      <c r="GY83">
        <v>110399</v>
      </c>
      <c r="GZ83" t="s">
        <v>346</v>
      </c>
      <c r="HA83">
        <v>0.1</v>
      </c>
      <c r="HB83" t="s">
        <v>53</v>
      </c>
      <c r="HG83" t="s">
        <v>306</v>
      </c>
    </row>
    <row r="84" spans="5:215" x14ac:dyDescent="0.35">
      <c r="E84" t="s">
        <v>306</v>
      </c>
      <c r="F84" t="s">
        <v>476</v>
      </c>
      <c r="G84">
        <v>4139886</v>
      </c>
      <c r="H84" t="s">
        <v>346</v>
      </c>
      <c r="I84">
        <v>0.01</v>
      </c>
      <c r="J84" t="s">
        <v>304</v>
      </c>
      <c r="K84" t="s">
        <v>407</v>
      </c>
      <c r="L84">
        <v>109754</v>
      </c>
      <c r="M84" t="s">
        <v>346</v>
      </c>
      <c r="N84">
        <v>0</v>
      </c>
      <c r="O84" t="s">
        <v>53</v>
      </c>
      <c r="T84" t="s">
        <v>306</v>
      </c>
      <c r="U84" t="s">
        <v>731</v>
      </c>
      <c r="V84">
        <v>4417406</v>
      </c>
      <c r="W84" t="s">
        <v>346</v>
      </c>
      <c r="X84">
        <v>0.05</v>
      </c>
      <c r="Y84" t="s">
        <v>50</v>
      </c>
      <c r="Z84" t="s">
        <v>407</v>
      </c>
      <c r="AA84">
        <v>109754</v>
      </c>
      <c r="AB84" t="s">
        <v>346</v>
      </c>
      <c r="AC84">
        <v>0</v>
      </c>
      <c r="AD84" t="s">
        <v>53</v>
      </c>
      <c r="AE84" t="s">
        <v>477</v>
      </c>
      <c r="AF84">
        <v>4119790</v>
      </c>
      <c r="AG84" t="s">
        <v>346</v>
      </c>
      <c r="AH84">
        <v>0.01</v>
      </c>
      <c r="AI84" t="s">
        <v>53</v>
      </c>
      <c r="AN84" t="s">
        <v>306</v>
      </c>
      <c r="AO84" t="s">
        <v>1277</v>
      </c>
      <c r="AP84" t="s">
        <v>300</v>
      </c>
      <c r="AQ84" t="s">
        <v>361</v>
      </c>
      <c r="AR84">
        <v>0.04</v>
      </c>
      <c r="AS84" t="s">
        <v>50</v>
      </c>
      <c r="AX84" t="s">
        <v>306</v>
      </c>
      <c r="BC84" t="s">
        <v>306</v>
      </c>
      <c r="BD84" t="s">
        <v>389</v>
      </c>
      <c r="BE84">
        <v>109888</v>
      </c>
      <c r="BF84" t="s">
        <v>346</v>
      </c>
      <c r="BG84">
        <v>0.1</v>
      </c>
      <c r="BH84" t="s">
        <v>53</v>
      </c>
      <c r="BI84" t="s">
        <v>457</v>
      </c>
      <c r="BJ84">
        <v>110399</v>
      </c>
      <c r="BK84" t="s">
        <v>346</v>
      </c>
      <c r="BL84">
        <v>0.03</v>
      </c>
      <c r="BM84" t="s">
        <v>53</v>
      </c>
      <c r="BN84" t="s">
        <v>1044</v>
      </c>
      <c r="BO84">
        <v>4553851</v>
      </c>
      <c r="BP84" t="s">
        <v>346</v>
      </c>
      <c r="BQ84">
        <v>0.03</v>
      </c>
      <c r="BR84" t="s">
        <v>320</v>
      </c>
      <c r="BS84" t="s">
        <v>396</v>
      </c>
      <c r="BT84">
        <v>4119759</v>
      </c>
      <c r="BU84" t="s">
        <v>346</v>
      </c>
      <c r="BV84">
        <v>0.05</v>
      </c>
      <c r="BW84" t="s">
        <v>53</v>
      </c>
      <c r="BX84" t="s">
        <v>731</v>
      </c>
      <c r="BY84">
        <v>4417406</v>
      </c>
      <c r="BZ84" t="s">
        <v>346</v>
      </c>
      <c r="CA84">
        <v>0.05</v>
      </c>
      <c r="CB84" t="s">
        <v>50</v>
      </c>
      <c r="CC84" t="s">
        <v>389</v>
      </c>
      <c r="CD84">
        <v>109888</v>
      </c>
      <c r="CE84" t="s">
        <v>346</v>
      </c>
      <c r="CF84">
        <v>0.1</v>
      </c>
      <c r="CG84" t="s">
        <v>53</v>
      </c>
      <c r="CH84" t="s">
        <v>1277</v>
      </c>
      <c r="CI84" t="s">
        <v>300</v>
      </c>
      <c r="CJ84" t="s">
        <v>361</v>
      </c>
      <c r="CK84">
        <v>0.04</v>
      </c>
      <c r="CL84" t="s">
        <v>50</v>
      </c>
      <c r="CM84" t="s">
        <v>1691</v>
      </c>
      <c r="CN84">
        <v>4115177</v>
      </c>
      <c r="CO84" t="s">
        <v>366</v>
      </c>
      <c r="CP84">
        <v>0.08</v>
      </c>
      <c r="CQ84" t="s">
        <v>53</v>
      </c>
      <c r="CV84" t="s">
        <v>306</v>
      </c>
      <c r="DA84" t="s">
        <v>306</v>
      </c>
      <c r="DB84" t="s">
        <v>389</v>
      </c>
      <c r="DC84">
        <v>109888</v>
      </c>
      <c r="DD84" t="s">
        <v>346</v>
      </c>
      <c r="DE84">
        <v>0.1</v>
      </c>
      <c r="DF84" t="s">
        <v>53</v>
      </c>
      <c r="DK84" t="s">
        <v>306</v>
      </c>
      <c r="DL84" t="s">
        <v>389</v>
      </c>
      <c r="DM84">
        <v>109888</v>
      </c>
      <c r="DN84" t="s">
        <v>346</v>
      </c>
      <c r="DO84">
        <v>0.1</v>
      </c>
      <c r="DP84" t="s">
        <v>53</v>
      </c>
      <c r="DU84" t="s">
        <v>306</v>
      </c>
      <c r="DV84" t="s">
        <v>1207</v>
      </c>
      <c r="DW84">
        <v>5855000</v>
      </c>
      <c r="DX84" t="s">
        <v>346</v>
      </c>
      <c r="DY84">
        <v>0</v>
      </c>
      <c r="DZ84" t="s">
        <v>2185</v>
      </c>
      <c r="EA84" t="s">
        <v>389</v>
      </c>
      <c r="EB84">
        <v>109888</v>
      </c>
      <c r="EC84" t="s">
        <v>346</v>
      </c>
      <c r="ED84">
        <v>0.1</v>
      </c>
      <c r="EE84" t="s">
        <v>53</v>
      </c>
      <c r="EF84" t="s">
        <v>389</v>
      </c>
      <c r="EG84">
        <v>109888</v>
      </c>
      <c r="EH84" t="s">
        <v>346</v>
      </c>
      <c r="EI84">
        <v>0.1</v>
      </c>
      <c r="EJ84" t="s">
        <v>53</v>
      </c>
      <c r="EO84" t="s">
        <v>306</v>
      </c>
      <c r="EP84" t="s">
        <v>395</v>
      </c>
      <c r="EQ84">
        <v>4153606</v>
      </c>
      <c r="ER84" t="s">
        <v>346</v>
      </c>
      <c r="ES84">
        <v>0</v>
      </c>
      <c r="ET84" t="s">
        <v>53</v>
      </c>
      <c r="EY84" t="s">
        <v>306</v>
      </c>
      <c r="FD84" t="s">
        <v>306</v>
      </c>
      <c r="FI84" t="s">
        <v>306</v>
      </c>
      <c r="FJ84" t="s">
        <v>458</v>
      </c>
      <c r="FK84">
        <v>109806</v>
      </c>
      <c r="FL84" t="s">
        <v>346</v>
      </c>
      <c r="FM84">
        <v>0.01</v>
      </c>
      <c r="FN84" t="s">
        <v>53</v>
      </c>
      <c r="FS84" t="s">
        <v>306</v>
      </c>
      <c r="FX84" t="s">
        <v>306</v>
      </c>
      <c r="FY84" t="s">
        <v>389</v>
      </c>
      <c r="FZ84">
        <v>109888</v>
      </c>
      <c r="GA84" t="s">
        <v>346</v>
      </c>
      <c r="GB84">
        <v>0.1</v>
      </c>
      <c r="GC84" t="s">
        <v>53</v>
      </c>
      <c r="GH84" t="s">
        <v>306</v>
      </c>
      <c r="GM84" t="s">
        <v>306</v>
      </c>
      <c r="GN84" t="s">
        <v>458</v>
      </c>
      <c r="GO84">
        <v>109806</v>
      </c>
      <c r="GP84" t="s">
        <v>346</v>
      </c>
      <c r="GQ84">
        <v>0.01</v>
      </c>
      <c r="GR84" t="s">
        <v>53</v>
      </c>
      <c r="GS84" t="s">
        <v>1044</v>
      </c>
      <c r="GT84">
        <v>4553851</v>
      </c>
      <c r="GU84" t="s">
        <v>346</v>
      </c>
      <c r="GV84">
        <v>0.03</v>
      </c>
      <c r="GW84" t="s">
        <v>320</v>
      </c>
      <c r="GX84" t="s">
        <v>389</v>
      </c>
      <c r="GY84">
        <v>109888</v>
      </c>
      <c r="GZ84" t="s">
        <v>346</v>
      </c>
      <c r="HA84">
        <v>0.1</v>
      </c>
      <c r="HB84" t="s">
        <v>53</v>
      </c>
      <c r="HG84" t="s">
        <v>306</v>
      </c>
    </row>
    <row r="85" spans="5:215" x14ac:dyDescent="0.35">
      <c r="E85" t="s">
        <v>306</v>
      </c>
      <c r="F85" t="s">
        <v>407</v>
      </c>
      <c r="G85">
        <v>109754</v>
      </c>
      <c r="H85" t="s">
        <v>346</v>
      </c>
      <c r="I85">
        <v>0.01</v>
      </c>
      <c r="J85" t="s">
        <v>53</v>
      </c>
      <c r="K85" t="s">
        <v>669</v>
      </c>
      <c r="L85">
        <v>5860959</v>
      </c>
      <c r="M85" t="s">
        <v>346</v>
      </c>
      <c r="N85">
        <v>0</v>
      </c>
      <c r="O85" t="s">
        <v>50</v>
      </c>
      <c r="T85" t="s">
        <v>306</v>
      </c>
      <c r="U85" t="s">
        <v>393</v>
      </c>
      <c r="V85">
        <v>4723508</v>
      </c>
      <c r="W85" t="s">
        <v>346</v>
      </c>
      <c r="X85">
        <v>0.05</v>
      </c>
      <c r="Y85" t="s">
        <v>313</v>
      </c>
      <c r="Z85" t="s">
        <v>669</v>
      </c>
      <c r="AA85">
        <v>5860959</v>
      </c>
      <c r="AB85" t="s">
        <v>346</v>
      </c>
      <c r="AC85">
        <v>0</v>
      </c>
      <c r="AD85" t="s">
        <v>50</v>
      </c>
      <c r="AE85" t="s">
        <v>492</v>
      </c>
      <c r="AF85">
        <v>110674</v>
      </c>
      <c r="AG85" t="s">
        <v>346</v>
      </c>
      <c r="AH85">
        <v>0.01</v>
      </c>
      <c r="AI85" t="s">
        <v>53</v>
      </c>
      <c r="AN85" t="s">
        <v>306</v>
      </c>
      <c r="AO85" t="s">
        <v>1278</v>
      </c>
      <c r="AP85">
        <v>7496233</v>
      </c>
      <c r="AQ85" t="s">
        <v>346</v>
      </c>
      <c r="AR85">
        <v>0.04</v>
      </c>
      <c r="AS85" t="s">
        <v>62</v>
      </c>
      <c r="AX85" t="s">
        <v>306</v>
      </c>
      <c r="BC85" t="s">
        <v>306</v>
      </c>
      <c r="BD85" t="s">
        <v>1257</v>
      </c>
      <c r="BE85">
        <v>4213130</v>
      </c>
      <c r="BF85" t="s">
        <v>346</v>
      </c>
      <c r="BG85">
        <v>0.1</v>
      </c>
      <c r="BH85" t="s">
        <v>62</v>
      </c>
      <c r="BI85" t="s">
        <v>460</v>
      </c>
      <c r="BJ85">
        <v>4337989</v>
      </c>
      <c r="BK85" t="s">
        <v>346</v>
      </c>
      <c r="BL85">
        <v>0.03</v>
      </c>
      <c r="BM85" t="s">
        <v>53</v>
      </c>
      <c r="BN85" t="s">
        <v>678</v>
      </c>
      <c r="BO85">
        <v>5877799</v>
      </c>
      <c r="BP85" t="s">
        <v>346</v>
      </c>
      <c r="BQ85">
        <v>0.03</v>
      </c>
      <c r="BR85" t="s">
        <v>50</v>
      </c>
      <c r="BS85" t="s">
        <v>959</v>
      </c>
      <c r="BT85">
        <v>4026923</v>
      </c>
      <c r="BU85" t="s">
        <v>346</v>
      </c>
      <c r="BV85">
        <v>0.05</v>
      </c>
      <c r="BW85" t="s">
        <v>53</v>
      </c>
      <c r="BX85" t="s">
        <v>393</v>
      </c>
      <c r="BY85">
        <v>4723508</v>
      </c>
      <c r="BZ85" t="s">
        <v>346</v>
      </c>
      <c r="CA85">
        <v>0.05</v>
      </c>
      <c r="CB85" t="s">
        <v>313</v>
      </c>
      <c r="CC85" t="s">
        <v>1630</v>
      </c>
      <c r="CD85">
        <v>4275067</v>
      </c>
      <c r="CE85" t="s">
        <v>346</v>
      </c>
      <c r="CF85">
        <v>0.1</v>
      </c>
      <c r="CG85" t="s">
        <v>114</v>
      </c>
      <c r="CH85" t="s">
        <v>1278</v>
      </c>
      <c r="CI85">
        <v>7496233</v>
      </c>
      <c r="CJ85" t="s">
        <v>346</v>
      </c>
      <c r="CK85">
        <v>0.04</v>
      </c>
      <c r="CL85" t="s">
        <v>62</v>
      </c>
      <c r="CM85" t="s">
        <v>391</v>
      </c>
      <c r="CN85">
        <v>13582910</v>
      </c>
      <c r="CO85" t="s">
        <v>346</v>
      </c>
      <c r="CP85">
        <v>0.08</v>
      </c>
      <c r="CQ85" t="s">
        <v>317</v>
      </c>
      <c r="CV85" t="s">
        <v>306</v>
      </c>
      <c r="DA85" t="s">
        <v>306</v>
      </c>
      <c r="DB85" t="s">
        <v>1257</v>
      </c>
      <c r="DC85">
        <v>4213130</v>
      </c>
      <c r="DD85" t="s">
        <v>346</v>
      </c>
      <c r="DE85">
        <v>0.1</v>
      </c>
      <c r="DF85" t="s">
        <v>62</v>
      </c>
      <c r="DK85" t="s">
        <v>306</v>
      </c>
      <c r="DL85" t="s">
        <v>1257</v>
      </c>
      <c r="DM85">
        <v>4213130</v>
      </c>
      <c r="DN85" t="s">
        <v>346</v>
      </c>
      <c r="DO85">
        <v>0.1</v>
      </c>
      <c r="DP85" t="s">
        <v>62</v>
      </c>
      <c r="DU85" t="s">
        <v>306</v>
      </c>
      <c r="DV85" t="s">
        <v>394</v>
      </c>
      <c r="DW85">
        <v>4048695</v>
      </c>
      <c r="DX85" t="s">
        <v>346</v>
      </c>
      <c r="DY85">
        <v>0</v>
      </c>
      <c r="DZ85" t="s">
        <v>53</v>
      </c>
      <c r="EA85" t="s">
        <v>1630</v>
      </c>
      <c r="EB85">
        <v>4275067</v>
      </c>
      <c r="EC85" t="s">
        <v>346</v>
      </c>
      <c r="ED85">
        <v>0.1</v>
      </c>
      <c r="EE85" t="s">
        <v>114</v>
      </c>
      <c r="EF85" t="s">
        <v>1257</v>
      </c>
      <c r="EG85">
        <v>4213130</v>
      </c>
      <c r="EH85" t="s">
        <v>346</v>
      </c>
      <c r="EI85">
        <v>0.1</v>
      </c>
      <c r="EJ85" t="s">
        <v>62</v>
      </c>
      <c r="EO85" t="s">
        <v>306</v>
      </c>
      <c r="EP85" t="s">
        <v>658</v>
      </c>
      <c r="EQ85">
        <v>4325258</v>
      </c>
      <c r="ER85" t="s">
        <v>346</v>
      </c>
      <c r="ES85">
        <v>0</v>
      </c>
      <c r="ET85" t="s">
        <v>50</v>
      </c>
      <c r="EY85" t="s">
        <v>306</v>
      </c>
      <c r="FD85" t="s">
        <v>306</v>
      </c>
      <c r="FI85" t="s">
        <v>306</v>
      </c>
      <c r="FJ85" t="s">
        <v>386</v>
      </c>
      <c r="FK85">
        <v>4145085</v>
      </c>
      <c r="FL85" t="s">
        <v>346</v>
      </c>
      <c r="FM85">
        <v>0.01</v>
      </c>
      <c r="FN85" t="s">
        <v>313</v>
      </c>
      <c r="FS85" t="s">
        <v>306</v>
      </c>
      <c r="FX85" t="s">
        <v>306</v>
      </c>
      <c r="FY85" t="s">
        <v>1257</v>
      </c>
      <c r="FZ85">
        <v>4213130</v>
      </c>
      <c r="GA85" t="s">
        <v>346</v>
      </c>
      <c r="GB85">
        <v>0.1</v>
      </c>
      <c r="GC85" t="s">
        <v>62</v>
      </c>
      <c r="GH85" t="s">
        <v>306</v>
      </c>
      <c r="GM85" t="s">
        <v>306</v>
      </c>
      <c r="GN85" t="s">
        <v>386</v>
      </c>
      <c r="GO85">
        <v>4145085</v>
      </c>
      <c r="GP85" t="s">
        <v>346</v>
      </c>
      <c r="GQ85">
        <v>0.01</v>
      </c>
      <c r="GR85" t="s">
        <v>313</v>
      </c>
      <c r="GS85" t="s">
        <v>678</v>
      </c>
      <c r="GT85">
        <v>5877799</v>
      </c>
      <c r="GU85" t="s">
        <v>346</v>
      </c>
      <c r="GV85">
        <v>0.03</v>
      </c>
      <c r="GW85" t="s">
        <v>50</v>
      </c>
      <c r="GX85" t="s">
        <v>1630</v>
      </c>
      <c r="GY85">
        <v>4275067</v>
      </c>
      <c r="GZ85" t="s">
        <v>346</v>
      </c>
      <c r="HA85">
        <v>0.1</v>
      </c>
      <c r="HB85" t="s">
        <v>114</v>
      </c>
      <c r="HG85" t="s">
        <v>306</v>
      </c>
    </row>
    <row r="86" spans="5:215" x14ac:dyDescent="0.35">
      <c r="E86" t="s">
        <v>306</v>
      </c>
      <c r="F86" t="s">
        <v>477</v>
      </c>
      <c r="G86">
        <v>4119790</v>
      </c>
      <c r="H86" t="s">
        <v>346</v>
      </c>
      <c r="I86">
        <v>0.01</v>
      </c>
      <c r="J86" t="s">
        <v>53</v>
      </c>
      <c r="K86" t="s">
        <v>405</v>
      </c>
      <c r="L86">
        <v>4035990</v>
      </c>
      <c r="M86" t="s">
        <v>346</v>
      </c>
      <c r="N86">
        <v>0</v>
      </c>
      <c r="O86" t="s">
        <v>80</v>
      </c>
      <c r="T86" t="s">
        <v>306</v>
      </c>
      <c r="U86" t="s">
        <v>732</v>
      </c>
      <c r="V86">
        <v>4139789</v>
      </c>
      <c r="W86" t="s">
        <v>346</v>
      </c>
      <c r="X86">
        <v>0.05</v>
      </c>
      <c r="Y86" t="s">
        <v>50</v>
      </c>
      <c r="Z86" t="s">
        <v>405</v>
      </c>
      <c r="AA86">
        <v>4035990</v>
      </c>
      <c r="AB86" t="s">
        <v>346</v>
      </c>
      <c r="AC86">
        <v>0</v>
      </c>
      <c r="AD86" t="s">
        <v>80</v>
      </c>
      <c r="AE86" t="s">
        <v>1131</v>
      </c>
      <c r="AF86">
        <v>4138997</v>
      </c>
      <c r="AG86" t="s">
        <v>346</v>
      </c>
      <c r="AH86">
        <v>0.01</v>
      </c>
      <c r="AI86" t="s">
        <v>2184</v>
      </c>
      <c r="AN86" t="s">
        <v>306</v>
      </c>
      <c r="AO86" t="s">
        <v>1279</v>
      </c>
      <c r="AP86">
        <v>4237662</v>
      </c>
      <c r="AQ86" t="s">
        <v>346</v>
      </c>
      <c r="AR86">
        <v>0.04</v>
      </c>
      <c r="AS86" t="s">
        <v>62</v>
      </c>
      <c r="AX86" t="s">
        <v>306</v>
      </c>
      <c r="BC86" t="s">
        <v>306</v>
      </c>
      <c r="BD86" t="s">
        <v>1410</v>
      </c>
      <c r="BE86">
        <v>4086518</v>
      </c>
      <c r="BF86" t="s">
        <v>366</v>
      </c>
      <c r="BG86">
        <v>0.1</v>
      </c>
      <c r="BH86" t="s">
        <v>304</v>
      </c>
      <c r="BI86" t="s">
        <v>652</v>
      </c>
      <c r="BJ86">
        <v>4134208</v>
      </c>
      <c r="BK86" t="s">
        <v>346</v>
      </c>
      <c r="BL86">
        <v>0.03</v>
      </c>
      <c r="BM86" t="s">
        <v>53</v>
      </c>
      <c r="BN86" t="s">
        <v>429</v>
      </c>
      <c r="BO86">
        <v>4607441</v>
      </c>
      <c r="BP86" t="s">
        <v>346</v>
      </c>
      <c r="BQ86">
        <v>0.03</v>
      </c>
      <c r="BR86" t="s">
        <v>304</v>
      </c>
      <c r="BS86" t="s">
        <v>351</v>
      </c>
      <c r="BT86">
        <v>111289</v>
      </c>
      <c r="BU86" t="s">
        <v>346</v>
      </c>
      <c r="BV86">
        <v>0.05</v>
      </c>
      <c r="BW86" t="s">
        <v>53</v>
      </c>
      <c r="BX86" t="s">
        <v>732</v>
      </c>
      <c r="BY86">
        <v>4139789</v>
      </c>
      <c r="BZ86" t="s">
        <v>346</v>
      </c>
      <c r="CA86">
        <v>0.05</v>
      </c>
      <c r="CB86" t="s">
        <v>50</v>
      </c>
      <c r="CC86" t="s">
        <v>1631</v>
      </c>
      <c r="CD86">
        <v>4256115</v>
      </c>
      <c r="CE86" t="s">
        <v>364</v>
      </c>
      <c r="CF86">
        <v>0.09</v>
      </c>
      <c r="CG86" t="s">
        <v>53</v>
      </c>
      <c r="CH86" t="s">
        <v>1279</v>
      </c>
      <c r="CI86">
        <v>4237662</v>
      </c>
      <c r="CJ86" t="s">
        <v>346</v>
      </c>
      <c r="CK86">
        <v>0.04</v>
      </c>
      <c r="CL86" t="s">
        <v>62</v>
      </c>
      <c r="CM86" t="s">
        <v>1636</v>
      </c>
      <c r="CN86">
        <v>4677902</v>
      </c>
      <c r="CO86" t="s">
        <v>364</v>
      </c>
      <c r="CP86">
        <v>7.0000000000000007E-2</v>
      </c>
      <c r="CQ86" t="s">
        <v>53</v>
      </c>
      <c r="CV86" t="s">
        <v>306</v>
      </c>
      <c r="DA86" t="s">
        <v>306</v>
      </c>
      <c r="DB86" t="s">
        <v>1410</v>
      </c>
      <c r="DC86">
        <v>4086518</v>
      </c>
      <c r="DD86" t="s">
        <v>366</v>
      </c>
      <c r="DE86">
        <v>0.1</v>
      </c>
      <c r="DF86" t="s">
        <v>304</v>
      </c>
      <c r="DK86" t="s">
        <v>306</v>
      </c>
      <c r="DL86" t="s">
        <v>1410</v>
      </c>
      <c r="DM86">
        <v>4086518</v>
      </c>
      <c r="DN86" t="s">
        <v>366</v>
      </c>
      <c r="DO86">
        <v>0.1</v>
      </c>
      <c r="DP86" t="s">
        <v>304</v>
      </c>
      <c r="DU86" t="s">
        <v>306</v>
      </c>
      <c r="DV86" t="s">
        <v>391</v>
      </c>
      <c r="DW86">
        <v>13582910</v>
      </c>
      <c r="DX86" t="s">
        <v>346</v>
      </c>
      <c r="DY86">
        <v>0</v>
      </c>
      <c r="DZ86" t="s">
        <v>317</v>
      </c>
      <c r="EA86" t="s">
        <v>1631</v>
      </c>
      <c r="EB86">
        <v>4256115</v>
      </c>
      <c r="EC86" t="s">
        <v>364</v>
      </c>
      <c r="ED86">
        <v>0.09</v>
      </c>
      <c r="EE86" t="s">
        <v>53</v>
      </c>
      <c r="EF86" t="s">
        <v>1410</v>
      </c>
      <c r="EG86">
        <v>4086518</v>
      </c>
      <c r="EH86" t="s">
        <v>366</v>
      </c>
      <c r="EI86">
        <v>0.1</v>
      </c>
      <c r="EJ86" t="s">
        <v>304</v>
      </c>
      <c r="EO86" t="s">
        <v>306</v>
      </c>
      <c r="EP86" t="s">
        <v>388</v>
      </c>
      <c r="EQ86">
        <v>4057506</v>
      </c>
      <c r="ER86" t="s">
        <v>346</v>
      </c>
      <c r="ES86">
        <v>0</v>
      </c>
      <c r="ET86" t="s">
        <v>53</v>
      </c>
      <c r="EY86" t="s">
        <v>306</v>
      </c>
      <c r="FD86" t="s">
        <v>306</v>
      </c>
      <c r="FI86" t="s">
        <v>306</v>
      </c>
      <c r="FJ86" t="s">
        <v>356</v>
      </c>
      <c r="FK86">
        <v>4578944</v>
      </c>
      <c r="FL86" t="s">
        <v>346</v>
      </c>
      <c r="FM86">
        <v>0.01</v>
      </c>
      <c r="FN86" t="s">
        <v>125</v>
      </c>
      <c r="FS86" t="s">
        <v>306</v>
      </c>
      <c r="FX86" t="s">
        <v>306</v>
      </c>
      <c r="FY86" t="s">
        <v>1410</v>
      </c>
      <c r="FZ86">
        <v>4086518</v>
      </c>
      <c r="GA86" t="s">
        <v>366</v>
      </c>
      <c r="GB86">
        <v>0.1</v>
      </c>
      <c r="GC86" t="s">
        <v>304</v>
      </c>
      <c r="GH86" t="s">
        <v>306</v>
      </c>
      <c r="GM86" t="s">
        <v>306</v>
      </c>
      <c r="GN86" t="s">
        <v>356</v>
      </c>
      <c r="GO86">
        <v>4578944</v>
      </c>
      <c r="GP86" t="s">
        <v>346</v>
      </c>
      <c r="GQ86">
        <v>0.01</v>
      </c>
      <c r="GR86" t="s">
        <v>125</v>
      </c>
      <c r="GS86" t="s">
        <v>429</v>
      </c>
      <c r="GT86">
        <v>4607441</v>
      </c>
      <c r="GU86" t="s">
        <v>346</v>
      </c>
      <c r="GV86">
        <v>0.03</v>
      </c>
      <c r="GW86" t="s">
        <v>304</v>
      </c>
      <c r="GX86" t="s">
        <v>1631</v>
      </c>
      <c r="GY86">
        <v>4256115</v>
      </c>
      <c r="GZ86" t="s">
        <v>364</v>
      </c>
      <c r="HA86">
        <v>0.09</v>
      </c>
      <c r="HB86" t="s">
        <v>53</v>
      </c>
      <c r="HG86" t="s">
        <v>306</v>
      </c>
    </row>
    <row r="87" spans="5:215" x14ac:dyDescent="0.35">
      <c r="E87" t="s">
        <v>306</v>
      </c>
      <c r="F87" t="s">
        <v>478</v>
      </c>
      <c r="G87">
        <v>5852503</v>
      </c>
      <c r="H87" t="s">
        <v>346</v>
      </c>
      <c r="I87">
        <v>0.01</v>
      </c>
      <c r="J87" t="s">
        <v>62</v>
      </c>
      <c r="K87" t="s">
        <v>670</v>
      </c>
      <c r="L87">
        <v>4138799</v>
      </c>
      <c r="M87" t="s">
        <v>346</v>
      </c>
      <c r="N87">
        <v>0</v>
      </c>
      <c r="O87" t="s">
        <v>50</v>
      </c>
      <c r="T87" t="s">
        <v>306</v>
      </c>
      <c r="U87" t="s">
        <v>733</v>
      </c>
      <c r="V87">
        <v>5851125</v>
      </c>
      <c r="W87" t="s">
        <v>346</v>
      </c>
      <c r="X87">
        <v>0.04</v>
      </c>
      <c r="Y87" t="s">
        <v>50</v>
      </c>
      <c r="Z87" t="s">
        <v>670</v>
      </c>
      <c r="AA87">
        <v>4138799</v>
      </c>
      <c r="AB87" t="s">
        <v>346</v>
      </c>
      <c r="AC87">
        <v>0</v>
      </c>
      <c r="AD87" t="s">
        <v>50</v>
      </c>
      <c r="AE87" t="s">
        <v>508</v>
      </c>
      <c r="AF87">
        <v>4399282</v>
      </c>
      <c r="AG87" t="s">
        <v>346</v>
      </c>
      <c r="AH87">
        <v>0.01</v>
      </c>
      <c r="AI87" t="s">
        <v>80</v>
      </c>
      <c r="AN87" t="s">
        <v>306</v>
      </c>
      <c r="AO87" t="s">
        <v>415</v>
      </c>
      <c r="AP87">
        <v>110587</v>
      </c>
      <c r="AQ87" t="s">
        <v>346</v>
      </c>
      <c r="AR87">
        <v>0.04</v>
      </c>
      <c r="AS87" t="s">
        <v>53</v>
      </c>
      <c r="AX87" t="s">
        <v>306</v>
      </c>
      <c r="BC87" t="s">
        <v>306</v>
      </c>
      <c r="BD87" t="s">
        <v>1411</v>
      </c>
      <c r="BE87">
        <v>100515</v>
      </c>
      <c r="BF87" t="s">
        <v>366</v>
      </c>
      <c r="BG87">
        <v>0.1</v>
      </c>
      <c r="BH87" t="s">
        <v>80</v>
      </c>
      <c r="BI87" t="s">
        <v>972</v>
      </c>
      <c r="BJ87">
        <v>4578989</v>
      </c>
      <c r="BK87" t="s">
        <v>346</v>
      </c>
      <c r="BL87">
        <v>0.03</v>
      </c>
      <c r="BM87" t="s">
        <v>323</v>
      </c>
      <c r="BN87" t="s">
        <v>435</v>
      </c>
      <c r="BO87">
        <v>109789</v>
      </c>
      <c r="BP87" t="s">
        <v>346</v>
      </c>
      <c r="BQ87">
        <v>0.03</v>
      </c>
      <c r="BR87" t="s">
        <v>53</v>
      </c>
      <c r="BS87" t="s">
        <v>672</v>
      </c>
      <c r="BT87">
        <v>4139739</v>
      </c>
      <c r="BU87" t="s">
        <v>346</v>
      </c>
      <c r="BV87">
        <v>0.05</v>
      </c>
      <c r="BW87" t="s">
        <v>50</v>
      </c>
      <c r="BX87" t="s">
        <v>733</v>
      </c>
      <c r="BY87">
        <v>5851125</v>
      </c>
      <c r="BZ87" t="s">
        <v>346</v>
      </c>
      <c r="CA87">
        <v>0.04</v>
      </c>
      <c r="CB87" t="s">
        <v>50</v>
      </c>
      <c r="CC87" t="s">
        <v>1632</v>
      </c>
      <c r="CD87">
        <v>111192</v>
      </c>
      <c r="CE87" t="s">
        <v>364</v>
      </c>
      <c r="CF87">
        <v>0.09</v>
      </c>
      <c r="CG87" t="s">
        <v>53</v>
      </c>
      <c r="CH87" t="s">
        <v>415</v>
      </c>
      <c r="CI87">
        <v>110587</v>
      </c>
      <c r="CJ87" t="s">
        <v>346</v>
      </c>
      <c r="CK87">
        <v>0.04</v>
      </c>
      <c r="CL87" t="s">
        <v>53</v>
      </c>
      <c r="CM87" t="s">
        <v>1652</v>
      </c>
      <c r="CN87">
        <v>4550887</v>
      </c>
      <c r="CO87" t="s">
        <v>364</v>
      </c>
      <c r="CP87">
        <v>7.0000000000000007E-2</v>
      </c>
      <c r="CQ87" t="s">
        <v>53</v>
      </c>
      <c r="CV87" t="s">
        <v>306</v>
      </c>
      <c r="DA87" t="s">
        <v>306</v>
      </c>
      <c r="DB87" t="s">
        <v>1411</v>
      </c>
      <c r="DC87">
        <v>100515</v>
      </c>
      <c r="DD87" t="s">
        <v>366</v>
      </c>
      <c r="DE87">
        <v>0.1</v>
      </c>
      <c r="DF87" t="s">
        <v>80</v>
      </c>
      <c r="DK87" t="s">
        <v>306</v>
      </c>
      <c r="DL87" t="s">
        <v>1411</v>
      </c>
      <c r="DM87">
        <v>100515</v>
      </c>
      <c r="DN87" t="s">
        <v>366</v>
      </c>
      <c r="DO87">
        <v>0.1</v>
      </c>
      <c r="DP87" t="s">
        <v>80</v>
      </c>
      <c r="DU87" t="s">
        <v>306</v>
      </c>
      <c r="DV87" t="s">
        <v>401</v>
      </c>
      <c r="DW87">
        <v>4139862</v>
      </c>
      <c r="DX87" t="s">
        <v>346</v>
      </c>
      <c r="DY87">
        <v>0</v>
      </c>
      <c r="DZ87" t="s">
        <v>313</v>
      </c>
      <c r="EA87" t="s">
        <v>1632</v>
      </c>
      <c r="EB87">
        <v>111192</v>
      </c>
      <c r="EC87" t="s">
        <v>364</v>
      </c>
      <c r="ED87">
        <v>0.09</v>
      </c>
      <c r="EE87" t="s">
        <v>53</v>
      </c>
      <c r="EF87" t="s">
        <v>1411</v>
      </c>
      <c r="EG87">
        <v>100515</v>
      </c>
      <c r="EH87" t="s">
        <v>366</v>
      </c>
      <c r="EI87">
        <v>0.1</v>
      </c>
      <c r="EJ87" t="s">
        <v>80</v>
      </c>
      <c r="EO87" t="s">
        <v>306</v>
      </c>
      <c r="EP87" t="s">
        <v>411</v>
      </c>
      <c r="EQ87">
        <v>4272373</v>
      </c>
      <c r="ER87" t="s">
        <v>346</v>
      </c>
      <c r="ES87">
        <v>0</v>
      </c>
      <c r="ET87" t="s">
        <v>313</v>
      </c>
      <c r="EY87" t="s">
        <v>306</v>
      </c>
      <c r="FD87" t="s">
        <v>306</v>
      </c>
      <c r="FI87" t="s">
        <v>306</v>
      </c>
      <c r="FJ87" t="s">
        <v>552</v>
      </c>
      <c r="FK87">
        <v>4026973</v>
      </c>
      <c r="FL87" t="s">
        <v>346</v>
      </c>
      <c r="FM87">
        <v>0.01</v>
      </c>
      <c r="FN87" t="s">
        <v>313</v>
      </c>
      <c r="FS87" t="s">
        <v>306</v>
      </c>
      <c r="FX87" t="s">
        <v>306</v>
      </c>
      <c r="FY87" t="s">
        <v>1411</v>
      </c>
      <c r="FZ87">
        <v>100515</v>
      </c>
      <c r="GA87" t="s">
        <v>366</v>
      </c>
      <c r="GB87">
        <v>0.1</v>
      </c>
      <c r="GC87" t="s">
        <v>80</v>
      </c>
      <c r="GH87" t="s">
        <v>306</v>
      </c>
      <c r="GM87" t="s">
        <v>306</v>
      </c>
      <c r="GN87" t="s">
        <v>552</v>
      </c>
      <c r="GO87">
        <v>4026973</v>
      </c>
      <c r="GP87" t="s">
        <v>346</v>
      </c>
      <c r="GQ87">
        <v>0.01</v>
      </c>
      <c r="GR87" t="s">
        <v>313</v>
      </c>
      <c r="GS87" t="s">
        <v>435</v>
      </c>
      <c r="GT87">
        <v>109789</v>
      </c>
      <c r="GU87" t="s">
        <v>346</v>
      </c>
      <c r="GV87">
        <v>0.03</v>
      </c>
      <c r="GW87" t="s">
        <v>53</v>
      </c>
      <c r="GX87" t="s">
        <v>1632</v>
      </c>
      <c r="GY87">
        <v>111192</v>
      </c>
      <c r="GZ87" t="s">
        <v>364</v>
      </c>
      <c r="HA87">
        <v>0.09</v>
      </c>
      <c r="HB87" t="s">
        <v>53</v>
      </c>
      <c r="HG87" t="s">
        <v>306</v>
      </c>
    </row>
    <row r="88" spans="5:215" x14ac:dyDescent="0.35">
      <c r="E88" t="s">
        <v>306</v>
      </c>
      <c r="F88" t="s">
        <v>479</v>
      </c>
      <c r="G88">
        <v>16073228</v>
      </c>
      <c r="H88" t="s">
        <v>346</v>
      </c>
      <c r="I88">
        <v>0.01</v>
      </c>
      <c r="J88" t="s">
        <v>2185</v>
      </c>
      <c r="K88" t="s">
        <v>401</v>
      </c>
      <c r="L88">
        <v>4139862</v>
      </c>
      <c r="M88" t="s">
        <v>346</v>
      </c>
      <c r="N88">
        <v>0</v>
      </c>
      <c r="O88" t="s">
        <v>313</v>
      </c>
      <c r="T88" t="s">
        <v>306</v>
      </c>
      <c r="U88" t="s">
        <v>411</v>
      </c>
      <c r="V88">
        <v>4272373</v>
      </c>
      <c r="W88" t="s">
        <v>346</v>
      </c>
      <c r="X88">
        <v>0.04</v>
      </c>
      <c r="Y88" t="s">
        <v>313</v>
      </c>
      <c r="Z88" t="s">
        <v>401</v>
      </c>
      <c r="AA88">
        <v>4139862</v>
      </c>
      <c r="AB88" t="s">
        <v>346</v>
      </c>
      <c r="AC88">
        <v>0</v>
      </c>
      <c r="AD88" t="s">
        <v>313</v>
      </c>
      <c r="AE88" t="s">
        <v>530</v>
      </c>
      <c r="AF88">
        <v>102729</v>
      </c>
      <c r="AG88" t="s">
        <v>346</v>
      </c>
      <c r="AH88">
        <v>0.01</v>
      </c>
      <c r="AI88" t="s">
        <v>53</v>
      </c>
      <c r="AN88" t="s">
        <v>306</v>
      </c>
      <c r="AO88" t="s">
        <v>1280</v>
      </c>
      <c r="AP88">
        <v>5818409</v>
      </c>
      <c r="AQ88" t="s">
        <v>364</v>
      </c>
      <c r="AR88">
        <v>0.04</v>
      </c>
      <c r="AS88" t="s">
        <v>62</v>
      </c>
      <c r="AX88" t="s">
        <v>306</v>
      </c>
      <c r="BC88" t="s">
        <v>306</v>
      </c>
      <c r="BD88" t="s">
        <v>461</v>
      </c>
      <c r="BE88">
        <v>4137912</v>
      </c>
      <c r="BF88" t="s">
        <v>346</v>
      </c>
      <c r="BG88">
        <v>0.1</v>
      </c>
      <c r="BH88" t="s">
        <v>2185</v>
      </c>
      <c r="BI88" t="s">
        <v>437</v>
      </c>
      <c r="BJ88">
        <v>4102073</v>
      </c>
      <c r="BK88" t="s">
        <v>346</v>
      </c>
      <c r="BL88">
        <v>0.03</v>
      </c>
      <c r="BM88" t="s">
        <v>53</v>
      </c>
      <c r="BN88" t="s">
        <v>674</v>
      </c>
      <c r="BO88">
        <v>4345965</v>
      </c>
      <c r="BP88" t="s">
        <v>346</v>
      </c>
      <c r="BQ88">
        <v>0.03</v>
      </c>
      <c r="BR88" t="s">
        <v>50</v>
      </c>
      <c r="BS88" t="s">
        <v>714</v>
      </c>
      <c r="BT88">
        <v>4388745</v>
      </c>
      <c r="BU88" t="s">
        <v>346</v>
      </c>
      <c r="BV88">
        <v>0.05</v>
      </c>
      <c r="BW88" t="s">
        <v>326</v>
      </c>
      <c r="BX88" t="s">
        <v>411</v>
      </c>
      <c r="BY88">
        <v>4272373</v>
      </c>
      <c r="BZ88" t="s">
        <v>346</v>
      </c>
      <c r="CA88">
        <v>0.04</v>
      </c>
      <c r="CB88" t="s">
        <v>313</v>
      </c>
      <c r="CC88" t="s">
        <v>429</v>
      </c>
      <c r="CD88">
        <v>4607441</v>
      </c>
      <c r="CE88" t="s">
        <v>346</v>
      </c>
      <c r="CF88">
        <v>0.09</v>
      </c>
      <c r="CG88" t="s">
        <v>304</v>
      </c>
      <c r="CH88" t="s">
        <v>1280</v>
      </c>
      <c r="CI88">
        <v>5818409</v>
      </c>
      <c r="CJ88" t="s">
        <v>364</v>
      </c>
      <c r="CK88">
        <v>0.04</v>
      </c>
      <c r="CL88" t="s">
        <v>62</v>
      </c>
      <c r="CM88" t="s">
        <v>406</v>
      </c>
      <c r="CN88">
        <v>4115698</v>
      </c>
      <c r="CO88" t="s">
        <v>346</v>
      </c>
      <c r="CP88">
        <v>7.0000000000000007E-2</v>
      </c>
      <c r="CQ88" t="s">
        <v>313</v>
      </c>
      <c r="CV88" t="s">
        <v>306</v>
      </c>
      <c r="DA88" t="s">
        <v>306</v>
      </c>
      <c r="DB88" t="s">
        <v>461</v>
      </c>
      <c r="DC88">
        <v>4137912</v>
      </c>
      <c r="DD88" t="s">
        <v>346</v>
      </c>
      <c r="DE88">
        <v>0.1</v>
      </c>
      <c r="DF88" t="s">
        <v>2185</v>
      </c>
      <c r="DK88" t="s">
        <v>306</v>
      </c>
      <c r="DL88" t="s">
        <v>461</v>
      </c>
      <c r="DM88">
        <v>4137912</v>
      </c>
      <c r="DN88" t="s">
        <v>346</v>
      </c>
      <c r="DO88">
        <v>0.1</v>
      </c>
      <c r="DP88" t="s">
        <v>2185</v>
      </c>
      <c r="DU88" t="s">
        <v>306</v>
      </c>
      <c r="DV88" t="s">
        <v>419</v>
      </c>
      <c r="DW88">
        <v>4338202</v>
      </c>
      <c r="DX88" t="s">
        <v>346</v>
      </c>
      <c r="DY88">
        <v>0</v>
      </c>
      <c r="DZ88" t="s">
        <v>53</v>
      </c>
      <c r="EA88" t="s">
        <v>429</v>
      </c>
      <c r="EB88">
        <v>4607441</v>
      </c>
      <c r="EC88" t="s">
        <v>346</v>
      </c>
      <c r="ED88">
        <v>0.09</v>
      </c>
      <c r="EE88" t="s">
        <v>304</v>
      </c>
      <c r="EF88" t="s">
        <v>461</v>
      </c>
      <c r="EG88">
        <v>4137912</v>
      </c>
      <c r="EH88" t="s">
        <v>346</v>
      </c>
      <c r="EI88">
        <v>0.1</v>
      </c>
      <c r="EJ88" t="s">
        <v>2185</v>
      </c>
      <c r="EO88" t="s">
        <v>306</v>
      </c>
      <c r="EP88" t="s">
        <v>423</v>
      </c>
      <c r="EQ88">
        <v>4318240</v>
      </c>
      <c r="ER88" t="s">
        <v>346</v>
      </c>
      <c r="ES88">
        <v>0</v>
      </c>
      <c r="ET88" t="s">
        <v>304</v>
      </c>
      <c r="EY88" t="s">
        <v>306</v>
      </c>
      <c r="FD88" t="s">
        <v>306</v>
      </c>
      <c r="FI88" t="s">
        <v>306</v>
      </c>
      <c r="FJ88" t="s">
        <v>444</v>
      </c>
      <c r="FK88">
        <v>109988</v>
      </c>
      <c r="FL88" t="s">
        <v>346</v>
      </c>
      <c r="FM88">
        <v>0.01</v>
      </c>
      <c r="FN88" t="s">
        <v>53</v>
      </c>
      <c r="FS88" t="s">
        <v>306</v>
      </c>
      <c r="FX88" t="s">
        <v>306</v>
      </c>
      <c r="FY88" t="s">
        <v>461</v>
      </c>
      <c r="FZ88">
        <v>4137912</v>
      </c>
      <c r="GA88" t="s">
        <v>346</v>
      </c>
      <c r="GB88">
        <v>0.1</v>
      </c>
      <c r="GC88" t="s">
        <v>2185</v>
      </c>
      <c r="GH88" t="s">
        <v>306</v>
      </c>
      <c r="GM88" t="s">
        <v>306</v>
      </c>
      <c r="GN88" t="s">
        <v>444</v>
      </c>
      <c r="GO88">
        <v>109988</v>
      </c>
      <c r="GP88" t="s">
        <v>346</v>
      </c>
      <c r="GQ88">
        <v>0.01</v>
      </c>
      <c r="GR88" t="s">
        <v>53</v>
      </c>
      <c r="GS88" t="s">
        <v>674</v>
      </c>
      <c r="GT88">
        <v>4345965</v>
      </c>
      <c r="GU88" t="s">
        <v>346</v>
      </c>
      <c r="GV88">
        <v>0.03</v>
      </c>
      <c r="GW88" t="s">
        <v>50</v>
      </c>
      <c r="GX88" t="s">
        <v>429</v>
      </c>
      <c r="GY88">
        <v>4607441</v>
      </c>
      <c r="GZ88" t="s">
        <v>346</v>
      </c>
      <c r="HA88">
        <v>0.09</v>
      </c>
      <c r="HB88" t="s">
        <v>304</v>
      </c>
      <c r="HG88" t="s">
        <v>306</v>
      </c>
    </row>
    <row r="89" spans="5:215" x14ac:dyDescent="0.35">
      <c r="E89" t="s">
        <v>306</v>
      </c>
      <c r="F89" t="s">
        <v>480</v>
      </c>
      <c r="G89">
        <v>4119651</v>
      </c>
      <c r="H89" t="s">
        <v>346</v>
      </c>
      <c r="I89">
        <v>0.01</v>
      </c>
      <c r="J89" t="s">
        <v>53</v>
      </c>
      <c r="K89" t="s">
        <v>509</v>
      </c>
      <c r="L89">
        <v>4226520</v>
      </c>
      <c r="M89" t="s">
        <v>346</v>
      </c>
      <c r="N89">
        <v>0</v>
      </c>
      <c r="O89" t="s">
        <v>80</v>
      </c>
      <c r="T89" t="s">
        <v>306</v>
      </c>
      <c r="U89" t="s">
        <v>415</v>
      </c>
      <c r="V89">
        <v>110587</v>
      </c>
      <c r="W89" t="s">
        <v>346</v>
      </c>
      <c r="X89">
        <v>0.04</v>
      </c>
      <c r="Y89" t="s">
        <v>53</v>
      </c>
      <c r="Z89" t="s">
        <v>509</v>
      </c>
      <c r="AA89">
        <v>4226520</v>
      </c>
      <c r="AB89" t="s">
        <v>346</v>
      </c>
      <c r="AC89">
        <v>0</v>
      </c>
      <c r="AD89" t="s">
        <v>80</v>
      </c>
      <c r="AE89" t="s">
        <v>443</v>
      </c>
      <c r="AF89">
        <v>110787</v>
      </c>
      <c r="AG89" t="s">
        <v>346</v>
      </c>
      <c r="AH89">
        <v>0.01</v>
      </c>
      <c r="AI89" t="s">
        <v>53</v>
      </c>
      <c r="AN89" t="s">
        <v>306</v>
      </c>
      <c r="AO89" t="s">
        <v>1111</v>
      </c>
      <c r="AP89">
        <v>4139331</v>
      </c>
      <c r="AQ89" t="s">
        <v>346</v>
      </c>
      <c r="AR89">
        <v>0.04</v>
      </c>
      <c r="AS89" t="s">
        <v>320</v>
      </c>
      <c r="AX89" t="s">
        <v>306</v>
      </c>
      <c r="BC89" t="s">
        <v>306</v>
      </c>
      <c r="BD89" t="s">
        <v>576</v>
      </c>
      <c r="BE89">
        <v>4672091</v>
      </c>
      <c r="BF89" t="s">
        <v>300</v>
      </c>
      <c r="BG89">
        <v>0.09</v>
      </c>
      <c r="BH89" t="s">
        <v>62</v>
      </c>
      <c r="BI89" t="s">
        <v>1563</v>
      </c>
      <c r="BJ89">
        <v>5779571</v>
      </c>
      <c r="BK89" t="s">
        <v>346</v>
      </c>
      <c r="BL89">
        <v>0.03</v>
      </c>
      <c r="BM89" t="s">
        <v>321</v>
      </c>
      <c r="BN89" t="s">
        <v>761</v>
      </c>
      <c r="BO89">
        <v>15102002</v>
      </c>
      <c r="BP89" t="s">
        <v>346</v>
      </c>
      <c r="BQ89">
        <v>0.02</v>
      </c>
      <c r="BR89" t="s">
        <v>50</v>
      </c>
      <c r="BS89" t="s">
        <v>808</v>
      </c>
      <c r="BT89">
        <v>4138631</v>
      </c>
      <c r="BU89" t="s">
        <v>346</v>
      </c>
      <c r="BV89">
        <v>0.04</v>
      </c>
      <c r="BW89" t="s">
        <v>50</v>
      </c>
      <c r="BX89" t="s">
        <v>415</v>
      </c>
      <c r="BY89">
        <v>110587</v>
      </c>
      <c r="BZ89" t="s">
        <v>346</v>
      </c>
      <c r="CA89">
        <v>0.04</v>
      </c>
      <c r="CB89" t="s">
        <v>53</v>
      </c>
      <c r="CC89" t="s">
        <v>386</v>
      </c>
      <c r="CD89">
        <v>4145085</v>
      </c>
      <c r="CE89" t="s">
        <v>346</v>
      </c>
      <c r="CF89">
        <v>0.09</v>
      </c>
      <c r="CG89" t="s">
        <v>313</v>
      </c>
      <c r="CH89" t="s">
        <v>1111</v>
      </c>
      <c r="CI89">
        <v>4139331</v>
      </c>
      <c r="CJ89" t="s">
        <v>346</v>
      </c>
      <c r="CK89">
        <v>0.04</v>
      </c>
      <c r="CL89" t="s">
        <v>320</v>
      </c>
      <c r="CM89" t="s">
        <v>1964</v>
      </c>
      <c r="CN89" t="s">
        <v>300</v>
      </c>
      <c r="CO89" t="s">
        <v>361</v>
      </c>
      <c r="CP89">
        <v>0.06</v>
      </c>
      <c r="CQ89" t="s">
        <v>50</v>
      </c>
      <c r="CV89" t="s">
        <v>306</v>
      </c>
      <c r="DA89" t="s">
        <v>306</v>
      </c>
      <c r="DB89" t="s">
        <v>576</v>
      </c>
      <c r="DC89">
        <v>4672091</v>
      </c>
      <c r="DD89" t="s">
        <v>300</v>
      </c>
      <c r="DE89">
        <v>0.09</v>
      </c>
      <c r="DF89" t="s">
        <v>62</v>
      </c>
      <c r="DK89" t="s">
        <v>306</v>
      </c>
      <c r="DL89" t="s">
        <v>576</v>
      </c>
      <c r="DM89">
        <v>4672091</v>
      </c>
      <c r="DN89" t="s">
        <v>300</v>
      </c>
      <c r="DO89">
        <v>0.09</v>
      </c>
      <c r="DP89" t="s">
        <v>62</v>
      </c>
      <c r="DU89" t="s">
        <v>306</v>
      </c>
      <c r="DV89" t="s">
        <v>603</v>
      </c>
      <c r="DW89">
        <v>110641</v>
      </c>
      <c r="DX89" t="s">
        <v>346</v>
      </c>
      <c r="DY89">
        <v>0</v>
      </c>
      <c r="DZ89" t="s">
        <v>53</v>
      </c>
      <c r="EA89" t="s">
        <v>386</v>
      </c>
      <c r="EB89">
        <v>4145085</v>
      </c>
      <c r="EC89" t="s">
        <v>346</v>
      </c>
      <c r="ED89">
        <v>0.09</v>
      </c>
      <c r="EE89" t="s">
        <v>313</v>
      </c>
      <c r="EF89" t="s">
        <v>576</v>
      </c>
      <c r="EG89">
        <v>4672091</v>
      </c>
      <c r="EH89" t="s">
        <v>300</v>
      </c>
      <c r="EI89">
        <v>0.09</v>
      </c>
      <c r="EJ89" t="s">
        <v>62</v>
      </c>
      <c r="EO89" t="s">
        <v>306</v>
      </c>
      <c r="EP89" t="s">
        <v>887</v>
      </c>
      <c r="EQ89">
        <v>5843533</v>
      </c>
      <c r="ER89" t="s">
        <v>346</v>
      </c>
      <c r="ES89">
        <v>0</v>
      </c>
      <c r="ET89" t="s">
        <v>50</v>
      </c>
      <c r="EY89" t="s">
        <v>306</v>
      </c>
      <c r="FD89" t="s">
        <v>306</v>
      </c>
      <c r="FI89" t="s">
        <v>306</v>
      </c>
      <c r="FJ89" t="s">
        <v>485</v>
      </c>
      <c r="FK89">
        <v>5652844</v>
      </c>
      <c r="FL89" t="s">
        <v>346</v>
      </c>
      <c r="FM89">
        <v>0.01</v>
      </c>
      <c r="FN89" t="s">
        <v>304</v>
      </c>
      <c r="FS89" t="s">
        <v>306</v>
      </c>
      <c r="FX89" t="s">
        <v>306</v>
      </c>
      <c r="FY89" t="s">
        <v>576</v>
      </c>
      <c r="FZ89">
        <v>4672091</v>
      </c>
      <c r="GA89" t="s">
        <v>300</v>
      </c>
      <c r="GB89">
        <v>0.09</v>
      </c>
      <c r="GC89" t="s">
        <v>62</v>
      </c>
      <c r="GH89" t="s">
        <v>306</v>
      </c>
      <c r="GM89" t="s">
        <v>306</v>
      </c>
      <c r="GN89" t="s">
        <v>485</v>
      </c>
      <c r="GO89">
        <v>5652844</v>
      </c>
      <c r="GP89" t="s">
        <v>346</v>
      </c>
      <c r="GQ89">
        <v>0.01</v>
      </c>
      <c r="GR89" t="s">
        <v>304</v>
      </c>
      <c r="GS89" t="s">
        <v>761</v>
      </c>
      <c r="GT89">
        <v>15102002</v>
      </c>
      <c r="GU89" t="s">
        <v>346</v>
      </c>
      <c r="GV89">
        <v>0.02</v>
      </c>
      <c r="GW89" t="s">
        <v>50</v>
      </c>
      <c r="GX89" t="s">
        <v>386</v>
      </c>
      <c r="GY89">
        <v>4145085</v>
      </c>
      <c r="GZ89" t="s">
        <v>346</v>
      </c>
      <c r="HA89">
        <v>0.09</v>
      </c>
      <c r="HB89" t="s">
        <v>313</v>
      </c>
      <c r="HG89" t="s">
        <v>306</v>
      </c>
    </row>
    <row r="90" spans="5:215" x14ac:dyDescent="0.35">
      <c r="E90" t="s">
        <v>306</v>
      </c>
      <c r="F90" t="s">
        <v>481</v>
      </c>
      <c r="G90">
        <v>4376121</v>
      </c>
      <c r="H90" t="s">
        <v>346</v>
      </c>
      <c r="I90">
        <v>0.01</v>
      </c>
      <c r="J90" t="s">
        <v>313</v>
      </c>
      <c r="K90" t="s">
        <v>472</v>
      </c>
      <c r="L90">
        <v>4048215</v>
      </c>
      <c r="M90" t="s">
        <v>346</v>
      </c>
      <c r="N90">
        <v>0</v>
      </c>
      <c r="O90" t="s">
        <v>53</v>
      </c>
      <c r="T90" t="s">
        <v>306</v>
      </c>
      <c r="U90" t="s">
        <v>734</v>
      </c>
      <c r="V90">
        <v>4322244</v>
      </c>
      <c r="W90" t="s">
        <v>346</v>
      </c>
      <c r="X90">
        <v>0.04</v>
      </c>
      <c r="Y90" t="s">
        <v>50</v>
      </c>
      <c r="Z90" t="s">
        <v>472</v>
      </c>
      <c r="AA90">
        <v>4048215</v>
      </c>
      <c r="AB90" t="s">
        <v>346</v>
      </c>
      <c r="AC90">
        <v>0</v>
      </c>
      <c r="AD90" t="s">
        <v>53</v>
      </c>
      <c r="AE90" t="s">
        <v>423</v>
      </c>
      <c r="AF90">
        <v>4318240</v>
      </c>
      <c r="AG90" t="s">
        <v>346</v>
      </c>
      <c r="AH90">
        <v>0.01</v>
      </c>
      <c r="AI90" t="s">
        <v>304</v>
      </c>
      <c r="AN90" t="s">
        <v>306</v>
      </c>
      <c r="AO90" t="s">
        <v>386</v>
      </c>
      <c r="AP90">
        <v>4145085</v>
      </c>
      <c r="AQ90" t="s">
        <v>346</v>
      </c>
      <c r="AR90">
        <v>0.04</v>
      </c>
      <c r="AS90" t="s">
        <v>313</v>
      </c>
      <c r="AX90" t="s">
        <v>306</v>
      </c>
      <c r="BC90" t="s">
        <v>306</v>
      </c>
      <c r="BD90" t="s">
        <v>654</v>
      </c>
      <c r="BE90">
        <v>4208127</v>
      </c>
      <c r="BF90" t="s">
        <v>346</v>
      </c>
      <c r="BG90">
        <v>0.09</v>
      </c>
      <c r="BH90" t="s">
        <v>2185</v>
      </c>
      <c r="BI90" t="s">
        <v>1046</v>
      </c>
      <c r="BJ90">
        <v>4165697</v>
      </c>
      <c r="BK90" t="s">
        <v>346</v>
      </c>
      <c r="BL90">
        <v>0.03</v>
      </c>
      <c r="BM90" t="s">
        <v>317</v>
      </c>
      <c r="BN90" t="s">
        <v>769</v>
      </c>
      <c r="BO90">
        <v>4332718</v>
      </c>
      <c r="BP90" t="s">
        <v>346</v>
      </c>
      <c r="BQ90">
        <v>0.02</v>
      </c>
      <c r="BR90" t="s">
        <v>313</v>
      </c>
      <c r="BS90" t="s">
        <v>817</v>
      </c>
      <c r="BT90">
        <v>4135100</v>
      </c>
      <c r="BU90" t="s">
        <v>346</v>
      </c>
      <c r="BV90">
        <v>0.04</v>
      </c>
      <c r="BW90" t="s">
        <v>313</v>
      </c>
      <c r="BX90" t="s">
        <v>734</v>
      </c>
      <c r="BY90">
        <v>4322244</v>
      </c>
      <c r="BZ90" t="s">
        <v>346</v>
      </c>
      <c r="CA90">
        <v>0.04</v>
      </c>
      <c r="CB90" t="s">
        <v>50</v>
      </c>
      <c r="CC90" t="s">
        <v>462</v>
      </c>
      <c r="CD90">
        <v>109872</v>
      </c>
      <c r="CE90" t="s">
        <v>346</v>
      </c>
      <c r="CF90">
        <v>0.09</v>
      </c>
      <c r="CG90" t="s">
        <v>53</v>
      </c>
      <c r="CH90" t="s">
        <v>386</v>
      </c>
      <c r="CI90">
        <v>4145085</v>
      </c>
      <c r="CJ90" t="s">
        <v>346</v>
      </c>
      <c r="CK90">
        <v>0.04</v>
      </c>
      <c r="CL90" t="s">
        <v>313</v>
      </c>
      <c r="CM90" t="s">
        <v>1210</v>
      </c>
      <c r="CN90">
        <v>4304195</v>
      </c>
      <c r="CO90" t="s">
        <v>346</v>
      </c>
      <c r="CP90">
        <v>0.06</v>
      </c>
      <c r="CQ90" t="s">
        <v>62</v>
      </c>
      <c r="CV90" t="s">
        <v>306</v>
      </c>
      <c r="DA90" t="s">
        <v>306</v>
      </c>
      <c r="DB90" t="s">
        <v>654</v>
      </c>
      <c r="DC90">
        <v>4208127</v>
      </c>
      <c r="DD90" t="s">
        <v>346</v>
      </c>
      <c r="DE90">
        <v>0.09</v>
      </c>
      <c r="DF90" t="s">
        <v>2185</v>
      </c>
      <c r="DK90" t="s">
        <v>306</v>
      </c>
      <c r="DL90" t="s">
        <v>654</v>
      </c>
      <c r="DM90">
        <v>4208127</v>
      </c>
      <c r="DN90" t="s">
        <v>346</v>
      </c>
      <c r="DO90">
        <v>0.09</v>
      </c>
      <c r="DP90" t="s">
        <v>2185</v>
      </c>
      <c r="DU90" t="s">
        <v>306</v>
      </c>
      <c r="DV90" t="s">
        <v>1208</v>
      </c>
      <c r="DW90">
        <v>5774683</v>
      </c>
      <c r="DX90" t="s">
        <v>346</v>
      </c>
      <c r="DY90">
        <v>0</v>
      </c>
      <c r="DZ90" t="s">
        <v>77</v>
      </c>
      <c r="EA90" t="s">
        <v>462</v>
      </c>
      <c r="EB90">
        <v>109872</v>
      </c>
      <c r="EC90" t="s">
        <v>346</v>
      </c>
      <c r="ED90">
        <v>0.09</v>
      </c>
      <c r="EE90" t="s">
        <v>53</v>
      </c>
      <c r="EF90" t="s">
        <v>654</v>
      </c>
      <c r="EG90">
        <v>4208127</v>
      </c>
      <c r="EH90" t="s">
        <v>346</v>
      </c>
      <c r="EI90">
        <v>0.09</v>
      </c>
      <c r="EJ90" t="s">
        <v>2185</v>
      </c>
      <c r="EO90" t="s">
        <v>306</v>
      </c>
      <c r="EP90" t="s">
        <v>387</v>
      </c>
      <c r="EQ90">
        <v>4020980</v>
      </c>
      <c r="ER90" t="s">
        <v>346</v>
      </c>
      <c r="ES90">
        <v>0</v>
      </c>
      <c r="ET90" t="s">
        <v>2189</v>
      </c>
      <c r="EY90" t="s">
        <v>306</v>
      </c>
      <c r="FD90" t="s">
        <v>306</v>
      </c>
      <c r="FI90" t="s">
        <v>306</v>
      </c>
      <c r="FJ90" t="s">
        <v>2165</v>
      </c>
      <c r="FK90">
        <v>4140042</v>
      </c>
      <c r="FL90" t="s">
        <v>346</v>
      </c>
      <c r="FM90">
        <v>0.01</v>
      </c>
      <c r="FN90" t="s">
        <v>67</v>
      </c>
      <c r="FS90" t="s">
        <v>306</v>
      </c>
      <c r="FX90" t="s">
        <v>306</v>
      </c>
      <c r="FY90" t="s">
        <v>654</v>
      </c>
      <c r="FZ90">
        <v>4208127</v>
      </c>
      <c r="GA90" t="s">
        <v>346</v>
      </c>
      <c r="GB90">
        <v>0.09</v>
      </c>
      <c r="GC90" t="s">
        <v>2185</v>
      </c>
      <c r="GH90" t="s">
        <v>306</v>
      </c>
      <c r="GM90" t="s">
        <v>306</v>
      </c>
      <c r="GN90" t="s">
        <v>2165</v>
      </c>
      <c r="GO90">
        <v>4140042</v>
      </c>
      <c r="GP90" t="s">
        <v>346</v>
      </c>
      <c r="GQ90">
        <v>0.01</v>
      </c>
      <c r="GR90" t="s">
        <v>67</v>
      </c>
      <c r="GS90" t="s">
        <v>769</v>
      </c>
      <c r="GT90">
        <v>4332718</v>
      </c>
      <c r="GU90" t="s">
        <v>346</v>
      </c>
      <c r="GV90">
        <v>0.02</v>
      </c>
      <c r="GW90" t="s">
        <v>313</v>
      </c>
      <c r="GX90" t="s">
        <v>462</v>
      </c>
      <c r="GY90">
        <v>109872</v>
      </c>
      <c r="GZ90" t="s">
        <v>346</v>
      </c>
      <c r="HA90">
        <v>0.09</v>
      </c>
      <c r="HB90" t="s">
        <v>53</v>
      </c>
      <c r="HG90" t="s">
        <v>306</v>
      </c>
    </row>
    <row r="91" spans="5:215" x14ac:dyDescent="0.35">
      <c r="E91" t="s">
        <v>306</v>
      </c>
      <c r="F91" t="s">
        <v>403</v>
      </c>
      <c r="G91">
        <v>4033550</v>
      </c>
      <c r="H91" t="s">
        <v>346</v>
      </c>
      <c r="I91">
        <v>0.01</v>
      </c>
      <c r="J91" t="s">
        <v>53</v>
      </c>
      <c r="K91" t="s">
        <v>671</v>
      </c>
      <c r="L91">
        <v>5862433</v>
      </c>
      <c r="M91" t="s">
        <v>346</v>
      </c>
      <c r="N91">
        <v>0</v>
      </c>
      <c r="O91" t="s">
        <v>326</v>
      </c>
      <c r="T91" t="s">
        <v>306</v>
      </c>
      <c r="U91" t="s">
        <v>668</v>
      </c>
      <c r="V91">
        <v>109523595</v>
      </c>
      <c r="W91" t="s">
        <v>346</v>
      </c>
      <c r="X91">
        <v>0.04</v>
      </c>
      <c r="Y91" t="s">
        <v>50</v>
      </c>
      <c r="Z91" t="s">
        <v>671</v>
      </c>
      <c r="AA91">
        <v>5862433</v>
      </c>
      <c r="AB91" t="s">
        <v>346</v>
      </c>
      <c r="AC91">
        <v>0</v>
      </c>
      <c r="AD91" t="s">
        <v>326</v>
      </c>
      <c r="AE91" t="s">
        <v>1132</v>
      </c>
      <c r="AF91">
        <v>4303227</v>
      </c>
      <c r="AG91" t="s">
        <v>346</v>
      </c>
      <c r="AH91">
        <v>0.01</v>
      </c>
      <c r="AI91" t="s">
        <v>2187</v>
      </c>
      <c r="AN91" t="s">
        <v>306</v>
      </c>
      <c r="AO91" t="s">
        <v>956</v>
      </c>
      <c r="AP91">
        <v>4233855</v>
      </c>
      <c r="AQ91" t="s">
        <v>346</v>
      </c>
      <c r="AR91">
        <v>0.04</v>
      </c>
      <c r="AS91" t="s">
        <v>320</v>
      </c>
      <c r="AX91" t="s">
        <v>306</v>
      </c>
      <c r="BC91" t="s">
        <v>306</v>
      </c>
      <c r="BD91" t="s">
        <v>1412</v>
      </c>
      <c r="BE91">
        <v>4142663</v>
      </c>
      <c r="BF91" t="s">
        <v>346</v>
      </c>
      <c r="BG91">
        <v>0.09</v>
      </c>
      <c r="BH91" t="s">
        <v>2185</v>
      </c>
      <c r="BI91" t="s">
        <v>422</v>
      </c>
      <c r="BJ91">
        <v>4048507</v>
      </c>
      <c r="BK91" t="s">
        <v>346</v>
      </c>
      <c r="BL91">
        <v>0.03</v>
      </c>
      <c r="BM91" t="s">
        <v>304</v>
      </c>
      <c r="BN91" t="s">
        <v>456</v>
      </c>
      <c r="BO91">
        <v>4249110</v>
      </c>
      <c r="BP91" t="s">
        <v>346</v>
      </c>
      <c r="BQ91">
        <v>0.02</v>
      </c>
      <c r="BR91" t="s">
        <v>313</v>
      </c>
      <c r="BS91" t="s">
        <v>391</v>
      </c>
      <c r="BT91">
        <v>13582910</v>
      </c>
      <c r="BU91" t="s">
        <v>346</v>
      </c>
      <c r="BV91">
        <v>0.04</v>
      </c>
      <c r="BW91" t="s">
        <v>317</v>
      </c>
      <c r="BX91" t="s">
        <v>668</v>
      </c>
      <c r="BY91">
        <v>109523595</v>
      </c>
      <c r="BZ91" t="s">
        <v>346</v>
      </c>
      <c r="CA91">
        <v>0.04</v>
      </c>
      <c r="CB91" t="s">
        <v>50</v>
      </c>
      <c r="CC91" t="s">
        <v>435</v>
      </c>
      <c r="CD91">
        <v>109789</v>
      </c>
      <c r="CE91" t="s">
        <v>346</v>
      </c>
      <c r="CF91">
        <v>0.09</v>
      </c>
      <c r="CG91" t="s">
        <v>53</v>
      </c>
      <c r="CH91" t="s">
        <v>956</v>
      </c>
      <c r="CI91">
        <v>4233855</v>
      </c>
      <c r="CJ91" t="s">
        <v>346</v>
      </c>
      <c r="CK91">
        <v>0.04</v>
      </c>
      <c r="CL91" t="s">
        <v>320</v>
      </c>
      <c r="CM91" t="s">
        <v>1278</v>
      </c>
      <c r="CN91">
        <v>7496233</v>
      </c>
      <c r="CO91" t="s">
        <v>346</v>
      </c>
      <c r="CP91">
        <v>0.06</v>
      </c>
      <c r="CQ91" t="s">
        <v>62</v>
      </c>
      <c r="CV91" t="s">
        <v>306</v>
      </c>
      <c r="DA91" t="s">
        <v>306</v>
      </c>
      <c r="DB91" t="s">
        <v>1412</v>
      </c>
      <c r="DC91">
        <v>4142663</v>
      </c>
      <c r="DD91" t="s">
        <v>346</v>
      </c>
      <c r="DE91">
        <v>0.09</v>
      </c>
      <c r="DF91" t="s">
        <v>2185</v>
      </c>
      <c r="DK91" t="s">
        <v>306</v>
      </c>
      <c r="DL91" t="s">
        <v>1412</v>
      </c>
      <c r="DM91">
        <v>4142663</v>
      </c>
      <c r="DN91" t="s">
        <v>346</v>
      </c>
      <c r="DO91">
        <v>0.09</v>
      </c>
      <c r="DP91" t="s">
        <v>2185</v>
      </c>
      <c r="DU91" t="s">
        <v>306</v>
      </c>
      <c r="DV91" t="s">
        <v>880</v>
      </c>
      <c r="DW91">
        <v>4139864</v>
      </c>
      <c r="DX91" t="s">
        <v>346</v>
      </c>
      <c r="DY91">
        <v>0</v>
      </c>
      <c r="DZ91" t="s">
        <v>313</v>
      </c>
      <c r="EA91" t="s">
        <v>435</v>
      </c>
      <c r="EB91">
        <v>109789</v>
      </c>
      <c r="EC91" t="s">
        <v>346</v>
      </c>
      <c r="ED91">
        <v>0.09</v>
      </c>
      <c r="EE91" t="s">
        <v>53</v>
      </c>
      <c r="EF91" t="s">
        <v>1412</v>
      </c>
      <c r="EG91">
        <v>4142663</v>
      </c>
      <c r="EH91" t="s">
        <v>346</v>
      </c>
      <c r="EI91">
        <v>0.09</v>
      </c>
      <c r="EJ91" t="s">
        <v>2185</v>
      </c>
      <c r="EO91" t="s">
        <v>306</v>
      </c>
      <c r="EP91" t="s">
        <v>463</v>
      </c>
      <c r="EQ91">
        <v>4138888</v>
      </c>
      <c r="ER91" t="s">
        <v>346</v>
      </c>
      <c r="ES91">
        <v>0</v>
      </c>
      <c r="ET91" t="s">
        <v>375</v>
      </c>
      <c r="EY91" t="s">
        <v>306</v>
      </c>
      <c r="FD91" t="s">
        <v>306</v>
      </c>
      <c r="FI91" t="s">
        <v>306</v>
      </c>
      <c r="FJ91" t="s">
        <v>491</v>
      </c>
      <c r="FK91">
        <v>106960</v>
      </c>
      <c r="FL91" t="s">
        <v>346</v>
      </c>
      <c r="FM91">
        <v>0.01</v>
      </c>
      <c r="FN91" t="s">
        <v>80</v>
      </c>
      <c r="FS91" t="s">
        <v>306</v>
      </c>
      <c r="FX91" t="s">
        <v>306</v>
      </c>
      <c r="FY91" t="s">
        <v>1412</v>
      </c>
      <c r="FZ91">
        <v>4142663</v>
      </c>
      <c r="GA91" t="s">
        <v>346</v>
      </c>
      <c r="GB91">
        <v>0.09</v>
      </c>
      <c r="GC91" t="s">
        <v>2185</v>
      </c>
      <c r="GH91" t="s">
        <v>306</v>
      </c>
      <c r="GM91" t="s">
        <v>306</v>
      </c>
      <c r="GN91" t="s">
        <v>491</v>
      </c>
      <c r="GO91">
        <v>106960</v>
      </c>
      <c r="GP91" t="s">
        <v>346</v>
      </c>
      <c r="GQ91">
        <v>0.01</v>
      </c>
      <c r="GR91" t="s">
        <v>80</v>
      </c>
      <c r="GS91" t="s">
        <v>456</v>
      </c>
      <c r="GT91">
        <v>4249110</v>
      </c>
      <c r="GU91" t="s">
        <v>346</v>
      </c>
      <c r="GV91">
        <v>0.02</v>
      </c>
      <c r="GW91" t="s">
        <v>313</v>
      </c>
      <c r="GX91" t="s">
        <v>435</v>
      </c>
      <c r="GY91">
        <v>109789</v>
      </c>
      <c r="GZ91" t="s">
        <v>346</v>
      </c>
      <c r="HA91">
        <v>0.09</v>
      </c>
      <c r="HB91" t="s">
        <v>53</v>
      </c>
      <c r="HG91" t="s">
        <v>306</v>
      </c>
    </row>
    <row r="92" spans="5:215" x14ac:dyDescent="0.35">
      <c r="E92" t="s">
        <v>306</v>
      </c>
      <c r="F92" t="s">
        <v>482</v>
      </c>
      <c r="G92">
        <v>4048742</v>
      </c>
      <c r="H92" t="s">
        <v>346</v>
      </c>
      <c r="I92">
        <v>0.01</v>
      </c>
      <c r="J92" t="s">
        <v>80</v>
      </c>
      <c r="K92" t="s">
        <v>440</v>
      </c>
      <c r="L92">
        <v>4140078</v>
      </c>
      <c r="M92" t="s">
        <v>346</v>
      </c>
      <c r="N92">
        <v>0</v>
      </c>
      <c r="O92" t="s">
        <v>304</v>
      </c>
      <c r="T92" t="s">
        <v>306</v>
      </c>
      <c r="U92" t="s">
        <v>665</v>
      </c>
      <c r="V92">
        <v>4137720</v>
      </c>
      <c r="W92" t="s">
        <v>346</v>
      </c>
      <c r="X92">
        <v>0.04</v>
      </c>
      <c r="Y92" t="s">
        <v>50</v>
      </c>
      <c r="Z92" t="s">
        <v>440</v>
      </c>
      <c r="AA92">
        <v>4140078</v>
      </c>
      <c r="AB92" t="s">
        <v>346</v>
      </c>
      <c r="AC92">
        <v>0</v>
      </c>
      <c r="AD92" t="s">
        <v>304</v>
      </c>
      <c r="AE92" t="s">
        <v>472</v>
      </c>
      <c r="AF92">
        <v>4048215</v>
      </c>
      <c r="AG92" t="s">
        <v>346</v>
      </c>
      <c r="AH92">
        <v>0.01</v>
      </c>
      <c r="AI92" t="s">
        <v>53</v>
      </c>
      <c r="AN92" t="s">
        <v>306</v>
      </c>
      <c r="AO92" t="s">
        <v>1281</v>
      </c>
      <c r="AP92">
        <v>4631098</v>
      </c>
      <c r="AQ92" t="s">
        <v>364</v>
      </c>
      <c r="AR92">
        <v>0.04</v>
      </c>
      <c r="AS92" t="s">
        <v>62</v>
      </c>
      <c r="AX92" t="s">
        <v>306</v>
      </c>
      <c r="BC92" t="s">
        <v>306</v>
      </c>
      <c r="BD92" t="s">
        <v>1413</v>
      </c>
      <c r="BE92">
        <v>3006816</v>
      </c>
      <c r="BF92" t="s">
        <v>366</v>
      </c>
      <c r="BG92">
        <v>0.08</v>
      </c>
      <c r="BH92" t="s">
        <v>53</v>
      </c>
      <c r="BI92" t="s">
        <v>435</v>
      </c>
      <c r="BJ92">
        <v>109789</v>
      </c>
      <c r="BK92" t="s">
        <v>346</v>
      </c>
      <c r="BL92">
        <v>0.03</v>
      </c>
      <c r="BM92" t="s">
        <v>53</v>
      </c>
      <c r="BN92" t="s">
        <v>722</v>
      </c>
      <c r="BO92">
        <v>5812793</v>
      </c>
      <c r="BP92" t="s">
        <v>346</v>
      </c>
      <c r="BQ92">
        <v>0.02</v>
      </c>
      <c r="BR92" t="s">
        <v>50</v>
      </c>
      <c r="BS92" t="s">
        <v>357</v>
      </c>
      <c r="BT92">
        <v>4270330</v>
      </c>
      <c r="BU92" t="s">
        <v>346</v>
      </c>
      <c r="BV92">
        <v>0.04</v>
      </c>
      <c r="BW92" t="s">
        <v>53</v>
      </c>
      <c r="BX92" t="s">
        <v>665</v>
      </c>
      <c r="BY92">
        <v>4137720</v>
      </c>
      <c r="BZ92" t="s">
        <v>346</v>
      </c>
      <c r="CA92">
        <v>0.04</v>
      </c>
      <c r="CB92" t="s">
        <v>50</v>
      </c>
      <c r="CC92" t="s">
        <v>588</v>
      </c>
      <c r="CD92">
        <v>111537</v>
      </c>
      <c r="CE92" t="s">
        <v>346</v>
      </c>
      <c r="CF92">
        <v>0.09</v>
      </c>
      <c r="CG92" t="s">
        <v>53</v>
      </c>
      <c r="CH92" t="s">
        <v>1281</v>
      </c>
      <c r="CI92">
        <v>4631098</v>
      </c>
      <c r="CJ92" t="s">
        <v>364</v>
      </c>
      <c r="CK92">
        <v>0.04</v>
      </c>
      <c r="CL92" t="s">
        <v>62</v>
      </c>
      <c r="CM92" t="s">
        <v>387</v>
      </c>
      <c r="CN92">
        <v>4020980</v>
      </c>
      <c r="CO92" t="s">
        <v>346</v>
      </c>
      <c r="CP92">
        <v>0.06</v>
      </c>
      <c r="CQ92" t="s">
        <v>2189</v>
      </c>
      <c r="CV92" t="s">
        <v>306</v>
      </c>
      <c r="DA92" t="s">
        <v>306</v>
      </c>
      <c r="DB92" t="s">
        <v>1413</v>
      </c>
      <c r="DC92">
        <v>3006816</v>
      </c>
      <c r="DD92" t="s">
        <v>366</v>
      </c>
      <c r="DE92">
        <v>0.08</v>
      </c>
      <c r="DF92" t="s">
        <v>53</v>
      </c>
      <c r="DK92" t="s">
        <v>306</v>
      </c>
      <c r="DL92" t="s">
        <v>1413</v>
      </c>
      <c r="DM92">
        <v>3006816</v>
      </c>
      <c r="DN92" t="s">
        <v>366</v>
      </c>
      <c r="DO92">
        <v>0.08</v>
      </c>
      <c r="DP92" t="s">
        <v>53</v>
      </c>
      <c r="DU92" t="s">
        <v>306</v>
      </c>
      <c r="DV92" t="s">
        <v>923</v>
      </c>
      <c r="DW92">
        <v>4119489</v>
      </c>
      <c r="DX92" t="s">
        <v>346</v>
      </c>
      <c r="DY92">
        <v>0</v>
      </c>
      <c r="DZ92" t="s">
        <v>53</v>
      </c>
      <c r="EA92" t="s">
        <v>588</v>
      </c>
      <c r="EB92">
        <v>111537</v>
      </c>
      <c r="EC92" t="s">
        <v>346</v>
      </c>
      <c r="ED92">
        <v>0.09</v>
      </c>
      <c r="EE92" t="s">
        <v>53</v>
      </c>
      <c r="EF92" t="s">
        <v>1413</v>
      </c>
      <c r="EG92">
        <v>3006816</v>
      </c>
      <c r="EH92" t="s">
        <v>366</v>
      </c>
      <c r="EI92">
        <v>0.08</v>
      </c>
      <c r="EJ92" t="s">
        <v>53</v>
      </c>
      <c r="EO92" t="s">
        <v>306</v>
      </c>
      <c r="EP92" t="s">
        <v>733</v>
      </c>
      <c r="EQ92">
        <v>5851125</v>
      </c>
      <c r="ER92" t="s">
        <v>346</v>
      </c>
      <c r="ES92">
        <v>0</v>
      </c>
      <c r="ET92" t="s">
        <v>50</v>
      </c>
      <c r="EY92" t="s">
        <v>306</v>
      </c>
      <c r="FD92" t="s">
        <v>306</v>
      </c>
      <c r="FI92" t="s">
        <v>306</v>
      </c>
      <c r="FJ92" t="s">
        <v>446</v>
      </c>
      <c r="FK92">
        <v>4539004</v>
      </c>
      <c r="FL92" t="s">
        <v>346</v>
      </c>
      <c r="FM92">
        <v>0.01</v>
      </c>
      <c r="FN92" t="s">
        <v>53</v>
      </c>
      <c r="FS92" t="s">
        <v>306</v>
      </c>
      <c r="FX92" t="s">
        <v>306</v>
      </c>
      <c r="FY92" t="s">
        <v>1413</v>
      </c>
      <c r="FZ92">
        <v>3006816</v>
      </c>
      <c r="GA92" t="s">
        <v>366</v>
      </c>
      <c r="GB92">
        <v>0.08</v>
      </c>
      <c r="GC92" t="s">
        <v>53</v>
      </c>
      <c r="GH92" t="s">
        <v>306</v>
      </c>
      <c r="GM92" t="s">
        <v>306</v>
      </c>
      <c r="GN92" t="s">
        <v>446</v>
      </c>
      <c r="GO92">
        <v>4539004</v>
      </c>
      <c r="GP92" t="s">
        <v>346</v>
      </c>
      <c r="GQ92">
        <v>0.01</v>
      </c>
      <c r="GR92" t="s">
        <v>53</v>
      </c>
      <c r="GS92" t="s">
        <v>722</v>
      </c>
      <c r="GT92">
        <v>5812793</v>
      </c>
      <c r="GU92" t="s">
        <v>346</v>
      </c>
      <c r="GV92">
        <v>0.02</v>
      </c>
      <c r="GW92" t="s">
        <v>50</v>
      </c>
      <c r="GX92" t="s">
        <v>588</v>
      </c>
      <c r="GY92">
        <v>111537</v>
      </c>
      <c r="GZ92" t="s">
        <v>346</v>
      </c>
      <c r="HA92">
        <v>0.09</v>
      </c>
      <c r="HB92" t="s">
        <v>53</v>
      </c>
      <c r="HG92" t="s">
        <v>306</v>
      </c>
    </row>
    <row r="93" spans="5:215" x14ac:dyDescent="0.35">
      <c r="E93" t="s">
        <v>306</v>
      </c>
      <c r="F93" t="s">
        <v>483</v>
      </c>
      <c r="G93">
        <v>109763</v>
      </c>
      <c r="H93" t="s">
        <v>346</v>
      </c>
      <c r="I93">
        <v>0.01</v>
      </c>
      <c r="J93" t="s">
        <v>53</v>
      </c>
      <c r="K93" t="s">
        <v>672</v>
      </c>
      <c r="L93">
        <v>4139739</v>
      </c>
      <c r="M93" t="s">
        <v>346</v>
      </c>
      <c r="N93">
        <v>0</v>
      </c>
      <c r="O93" t="s">
        <v>50</v>
      </c>
      <c r="T93" t="s">
        <v>306</v>
      </c>
      <c r="U93" t="s">
        <v>735</v>
      </c>
      <c r="V93">
        <v>4345966</v>
      </c>
      <c r="W93" t="s">
        <v>346</v>
      </c>
      <c r="X93">
        <v>0.04</v>
      </c>
      <c r="Y93" t="s">
        <v>50</v>
      </c>
      <c r="Z93" t="s">
        <v>672</v>
      </c>
      <c r="AA93">
        <v>4139739</v>
      </c>
      <c r="AB93" t="s">
        <v>346</v>
      </c>
      <c r="AC93">
        <v>0</v>
      </c>
      <c r="AD93" t="s">
        <v>50</v>
      </c>
      <c r="AE93" t="s">
        <v>1133</v>
      </c>
      <c r="AF93">
        <v>4138117</v>
      </c>
      <c r="AG93" t="s">
        <v>346</v>
      </c>
      <c r="AH93">
        <v>0.01</v>
      </c>
      <c r="AI93" t="s">
        <v>80</v>
      </c>
      <c r="AN93" t="s">
        <v>306</v>
      </c>
      <c r="AO93" t="s">
        <v>1282</v>
      </c>
      <c r="AP93">
        <v>102734</v>
      </c>
      <c r="AQ93" t="s">
        <v>346</v>
      </c>
      <c r="AR93">
        <v>0.03</v>
      </c>
      <c r="AS93" t="s">
        <v>53</v>
      </c>
      <c r="AX93" t="s">
        <v>306</v>
      </c>
      <c r="BC93" t="s">
        <v>306</v>
      </c>
      <c r="BD93" t="s">
        <v>1414</v>
      </c>
      <c r="BE93">
        <v>4278965</v>
      </c>
      <c r="BF93" t="s">
        <v>346</v>
      </c>
      <c r="BG93">
        <v>0.08</v>
      </c>
      <c r="BH93" t="s">
        <v>2192</v>
      </c>
      <c r="BI93" t="s">
        <v>667</v>
      </c>
      <c r="BJ93">
        <v>4208762</v>
      </c>
      <c r="BK93" t="s">
        <v>346</v>
      </c>
      <c r="BL93">
        <v>0.03</v>
      </c>
      <c r="BM93" t="s">
        <v>326</v>
      </c>
      <c r="BN93" t="s">
        <v>489</v>
      </c>
      <c r="BO93">
        <v>4324456</v>
      </c>
      <c r="BP93" t="s">
        <v>346</v>
      </c>
      <c r="BQ93">
        <v>0.02</v>
      </c>
      <c r="BR93" t="s">
        <v>2194</v>
      </c>
      <c r="BS93" t="s">
        <v>960</v>
      </c>
      <c r="BT93">
        <v>4053760</v>
      </c>
      <c r="BU93" t="s">
        <v>346</v>
      </c>
      <c r="BV93">
        <v>0.04</v>
      </c>
      <c r="BW93" t="s">
        <v>2189</v>
      </c>
      <c r="BX93" t="s">
        <v>735</v>
      </c>
      <c r="BY93">
        <v>4345966</v>
      </c>
      <c r="BZ93" t="s">
        <v>346</v>
      </c>
      <c r="CA93">
        <v>0.04</v>
      </c>
      <c r="CB93" t="s">
        <v>50</v>
      </c>
      <c r="CC93" t="s">
        <v>442</v>
      </c>
      <c r="CD93">
        <v>4117611</v>
      </c>
      <c r="CE93" t="s">
        <v>346</v>
      </c>
      <c r="CF93">
        <v>0.09</v>
      </c>
      <c r="CG93" t="s">
        <v>53</v>
      </c>
      <c r="CH93" t="s">
        <v>1282</v>
      </c>
      <c r="CI93">
        <v>102734</v>
      </c>
      <c r="CJ93" t="s">
        <v>346</v>
      </c>
      <c r="CK93">
        <v>0.03</v>
      </c>
      <c r="CL93" t="s">
        <v>53</v>
      </c>
      <c r="CM93" t="s">
        <v>390</v>
      </c>
      <c r="CN93">
        <v>4135241</v>
      </c>
      <c r="CO93" t="s">
        <v>346</v>
      </c>
      <c r="CP93">
        <v>0.06</v>
      </c>
      <c r="CQ93" t="s">
        <v>125</v>
      </c>
      <c r="CV93" t="s">
        <v>306</v>
      </c>
      <c r="DA93" t="s">
        <v>306</v>
      </c>
      <c r="DB93" t="s">
        <v>1414</v>
      </c>
      <c r="DC93">
        <v>4278965</v>
      </c>
      <c r="DD93" t="s">
        <v>346</v>
      </c>
      <c r="DE93">
        <v>0.08</v>
      </c>
      <c r="DF93" t="s">
        <v>2192</v>
      </c>
      <c r="DK93" t="s">
        <v>306</v>
      </c>
      <c r="DL93" t="s">
        <v>1414</v>
      </c>
      <c r="DM93">
        <v>4278965</v>
      </c>
      <c r="DN93" t="s">
        <v>346</v>
      </c>
      <c r="DO93">
        <v>0.08</v>
      </c>
      <c r="DP93" t="s">
        <v>2192</v>
      </c>
      <c r="DU93" t="s">
        <v>306</v>
      </c>
      <c r="DV93" t="s">
        <v>653</v>
      </c>
      <c r="DW93">
        <v>4100281</v>
      </c>
      <c r="DX93" t="s">
        <v>346</v>
      </c>
      <c r="DY93">
        <v>0</v>
      </c>
      <c r="DZ93" t="s">
        <v>326</v>
      </c>
      <c r="EA93" t="s">
        <v>442</v>
      </c>
      <c r="EB93">
        <v>4117611</v>
      </c>
      <c r="EC93" t="s">
        <v>346</v>
      </c>
      <c r="ED93">
        <v>0.09</v>
      </c>
      <c r="EE93" t="s">
        <v>53</v>
      </c>
      <c r="EF93" t="s">
        <v>1414</v>
      </c>
      <c r="EG93">
        <v>4278965</v>
      </c>
      <c r="EH93" t="s">
        <v>346</v>
      </c>
      <c r="EI93">
        <v>0.08</v>
      </c>
      <c r="EJ93" t="s">
        <v>2192</v>
      </c>
      <c r="EO93" t="s">
        <v>306</v>
      </c>
      <c r="EP93" t="s">
        <v>403</v>
      </c>
      <c r="EQ93">
        <v>4033550</v>
      </c>
      <c r="ER93" t="s">
        <v>346</v>
      </c>
      <c r="ES93">
        <v>0</v>
      </c>
      <c r="ET93" t="s">
        <v>53</v>
      </c>
      <c r="EY93" t="s">
        <v>306</v>
      </c>
      <c r="FD93" t="s">
        <v>306</v>
      </c>
      <c r="FI93" t="s">
        <v>306</v>
      </c>
      <c r="FJ93" t="s">
        <v>497</v>
      </c>
      <c r="FK93">
        <v>4138770</v>
      </c>
      <c r="FL93" t="s">
        <v>346</v>
      </c>
      <c r="FM93">
        <v>0.01</v>
      </c>
      <c r="FN93" t="s">
        <v>313</v>
      </c>
      <c r="FS93" t="s">
        <v>306</v>
      </c>
      <c r="FX93" t="s">
        <v>306</v>
      </c>
      <c r="FY93" t="s">
        <v>1414</v>
      </c>
      <c r="FZ93">
        <v>4278965</v>
      </c>
      <c r="GA93" t="s">
        <v>346</v>
      </c>
      <c r="GB93">
        <v>0.08</v>
      </c>
      <c r="GC93" t="s">
        <v>2192</v>
      </c>
      <c r="GH93" t="s">
        <v>306</v>
      </c>
      <c r="GM93" t="s">
        <v>306</v>
      </c>
      <c r="GN93" t="s">
        <v>497</v>
      </c>
      <c r="GO93">
        <v>4138770</v>
      </c>
      <c r="GP93" t="s">
        <v>346</v>
      </c>
      <c r="GQ93">
        <v>0.01</v>
      </c>
      <c r="GR93" t="s">
        <v>313</v>
      </c>
      <c r="GS93" t="s">
        <v>489</v>
      </c>
      <c r="GT93">
        <v>4324456</v>
      </c>
      <c r="GU93" t="s">
        <v>346</v>
      </c>
      <c r="GV93">
        <v>0.02</v>
      </c>
      <c r="GW93" t="s">
        <v>2194</v>
      </c>
      <c r="GX93" t="s">
        <v>442</v>
      </c>
      <c r="GY93">
        <v>4117611</v>
      </c>
      <c r="GZ93" t="s">
        <v>346</v>
      </c>
      <c r="HA93">
        <v>0.09</v>
      </c>
      <c r="HB93" t="s">
        <v>53</v>
      </c>
      <c r="HG93" t="s">
        <v>306</v>
      </c>
    </row>
    <row r="94" spans="5:215" x14ac:dyDescent="0.35">
      <c r="E94" t="s">
        <v>306</v>
      </c>
      <c r="F94" t="s">
        <v>484</v>
      </c>
      <c r="G94">
        <v>110386</v>
      </c>
      <c r="H94" t="s">
        <v>346</v>
      </c>
      <c r="I94">
        <v>0.01</v>
      </c>
      <c r="J94" t="s">
        <v>53</v>
      </c>
      <c r="K94" t="s">
        <v>673</v>
      </c>
      <c r="L94">
        <v>5837129</v>
      </c>
      <c r="M94" t="s">
        <v>346</v>
      </c>
      <c r="N94">
        <v>0</v>
      </c>
      <c r="O94" t="s">
        <v>50</v>
      </c>
      <c r="T94" t="s">
        <v>306</v>
      </c>
      <c r="U94" t="s">
        <v>736</v>
      </c>
      <c r="V94">
        <v>4139955</v>
      </c>
      <c r="W94" t="s">
        <v>346</v>
      </c>
      <c r="X94">
        <v>0.04</v>
      </c>
      <c r="Y94" t="s">
        <v>2181</v>
      </c>
      <c r="Z94" t="s">
        <v>673</v>
      </c>
      <c r="AA94">
        <v>5837129</v>
      </c>
      <c r="AB94" t="s">
        <v>346</v>
      </c>
      <c r="AC94">
        <v>0</v>
      </c>
      <c r="AD94" t="s">
        <v>50</v>
      </c>
      <c r="AE94" t="s">
        <v>894</v>
      </c>
      <c r="AF94">
        <v>4139629</v>
      </c>
      <c r="AG94" t="s">
        <v>346</v>
      </c>
      <c r="AH94">
        <v>0.01</v>
      </c>
      <c r="AI94" t="s">
        <v>2181</v>
      </c>
      <c r="AN94" t="s">
        <v>306</v>
      </c>
      <c r="AO94" t="s">
        <v>530</v>
      </c>
      <c r="AP94">
        <v>102729</v>
      </c>
      <c r="AQ94" t="s">
        <v>346</v>
      </c>
      <c r="AR94">
        <v>0.03</v>
      </c>
      <c r="AS94" t="s">
        <v>53</v>
      </c>
      <c r="AX94" t="s">
        <v>306</v>
      </c>
      <c r="BC94" t="s">
        <v>306</v>
      </c>
      <c r="BD94" t="s">
        <v>466</v>
      </c>
      <c r="BE94">
        <v>111267</v>
      </c>
      <c r="BF94" t="s">
        <v>346</v>
      </c>
      <c r="BG94">
        <v>0.08</v>
      </c>
      <c r="BH94" t="s">
        <v>313</v>
      </c>
      <c r="BI94" t="s">
        <v>468</v>
      </c>
      <c r="BJ94">
        <v>4556191</v>
      </c>
      <c r="BK94" t="s">
        <v>346</v>
      </c>
      <c r="BL94">
        <v>0.03</v>
      </c>
      <c r="BM94" t="s">
        <v>53</v>
      </c>
      <c r="BN94" t="s">
        <v>1236</v>
      </c>
      <c r="BO94" t="s">
        <v>300</v>
      </c>
      <c r="BP94" t="s">
        <v>361</v>
      </c>
      <c r="BQ94">
        <v>0.02</v>
      </c>
      <c r="BR94" t="s">
        <v>50</v>
      </c>
      <c r="BS94" t="s">
        <v>686</v>
      </c>
      <c r="BT94">
        <v>4784142</v>
      </c>
      <c r="BU94" t="s">
        <v>346</v>
      </c>
      <c r="BV94">
        <v>0.04</v>
      </c>
      <c r="BW94" t="s">
        <v>50</v>
      </c>
      <c r="BX94" t="s">
        <v>736</v>
      </c>
      <c r="BY94">
        <v>4139955</v>
      </c>
      <c r="BZ94" t="s">
        <v>346</v>
      </c>
      <c r="CA94">
        <v>0.04</v>
      </c>
      <c r="CB94" t="s">
        <v>2181</v>
      </c>
      <c r="CC94" t="s">
        <v>426</v>
      </c>
      <c r="CD94">
        <v>100201</v>
      </c>
      <c r="CE94" t="s">
        <v>366</v>
      </c>
      <c r="CF94">
        <v>0.08</v>
      </c>
      <c r="CG94" t="s">
        <v>53</v>
      </c>
      <c r="CH94" t="s">
        <v>530</v>
      </c>
      <c r="CI94">
        <v>102729</v>
      </c>
      <c r="CJ94" t="s">
        <v>346</v>
      </c>
      <c r="CK94">
        <v>0.03</v>
      </c>
      <c r="CL94" t="s">
        <v>53</v>
      </c>
      <c r="CM94" t="s">
        <v>1965</v>
      </c>
      <c r="CN94">
        <v>19859112</v>
      </c>
      <c r="CO94" t="s">
        <v>346</v>
      </c>
      <c r="CP94">
        <v>0.06</v>
      </c>
      <c r="CQ94" t="s">
        <v>53</v>
      </c>
      <c r="CV94" t="s">
        <v>306</v>
      </c>
      <c r="DA94" t="s">
        <v>306</v>
      </c>
      <c r="DB94" t="s">
        <v>466</v>
      </c>
      <c r="DC94">
        <v>111267</v>
      </c>
      <c r="DD94" t="s">
        <v>346</v>
      </c>
      <c r="DE94">
        <v>0.08</v>
      </c>
      <c r="DF94" t="s">
        <v>313</v>
      </c>
      <c r="DK94" t="s">
        <v>306</v>
      </c>
      <c r="DL94" t="s">
        <v>466</v>
      </c>
      <c r="DM94">
        <v>111267</v>
      </c>
      <c r="DN94" t="s">
        <v>346</v>
      </c>
      <c r="DO94">
        <v>0.08</v>
      </c>
      <c r="DP94" t="s">
        <v>313</v>
      </c>
      <c r="DU94" t="s">
        <v>306</v>
      </c>
      <c r="DV94" t="s">
        <v>403</v>
      </c>
      <c r="DW94">
        <v>4033550</v>
      </c>
      <c r="DX94" t="s">
        <v>346</v>
      </c>
      <c r="DY94">
        <v>0</v>
      </c>
      <c r="DZ94" t="s">
        <v>53</v>
      </c>
      <c r="EA94" t="s">
        <v>426</v>
      </c>
      <c r="EB94">
        <v>100201</v>
      </c>
      <c r="EC94" t="s">
        <v>366</v>
      </c>
      <c r="ED94">
        <v>0.08</v>
      </c>
      <c r="EE94" t="s">
        <v>53</v>
      </c>
      <c r="EF94" t="s">
        <v>466</v>
      </c>
      <c r="EG94">
        <v>111267</v>
      </c>
      <c r="EH94" t="s">
        <v>346</v>
      </c>
      <c r="EI94">
        <v>0.08</v>
      </c>
      <c r="EJ94" t="s">
        <v>313</v>
      </c>
      <c r="EO94" t="s">
        <v>306</v>
      </c>
      <c r="EP94" t="s">
        <v>543</v>
      </c>
      <c r="EQ94">
        <v>4138118</v>
      </c>
      <c r="ER94" t="s">
        <v>346</v>
      </c>
      <c r="ES94">
        <v>0</v>
      </c>
      <c r="ET94" t="s">
        <v>326</v>
      </c>
      <c r="EY94" t="s">
        <v>306</v>
      </c>
      <c r="FD94" t="s">
        <v>306</v>
      </c>
      <c r="FI94" t="s">
        <v>306</v>
      </c>
      <c r="FJ94" t="s">
        <v>448</v>
      </c>
      <c r="FK94">
        <v>4586390</v>
      </c>
      <c r="FL94" t="s">
        <v>346</v>
      </c>
      <c r="FM94">
        <v>0.01</v>
      </c>
      <c r="FN94" t="s">
        <v>304</v>
      </c>
      <c r="FS94" t="s">
        <v>306</v>
      </c>
      <c r="FX94" t="s">
        <v>306</v>
      </c>
      <c r="FY94" t="s">
        <v>466</v>
      </c>
      <c r="FZ94">
        <v>111267</v>
      </c>
      <c r="GA94" t="s">
        <v>346</v>
      </c>
      <c r="GB94">
        <v>0.08</v>
      </c>
      <c r="GC94" t="s">
        <v>313</v>
      </c>
      <c r="GH94" t="s">
        <v>306</v>
      </c>
      <c r="GM94" t="s">
        <v>306</v>
      </c>
      <c r="GN94" t="s">
        <v>448</v>
      </c>
      <c r="GO94">
        <v>4586390</v>
      </c>
      <c r="GP94" t="s">
        <v>346</v>
      </c>
      <c r="GQ94">
        <v>0.01</v>
      </c>
      <c r="GR94" t="s">
        <v>304</v>
      </c>
      <c r="GS94" t="s">
        <v>1236</v>
      </c>
      <c r="GT94" t="s">
        <v>300</v>
      </c>
      <c r="GU94" t="s">
        <v>361</v>
      </c>
      <c r="GV94">
        <v>0.02</v>
      </c>
      <c r="GW94" t="s">
        <v>50</v>
      </c>
      <c r="GX94" t="s">
        <v>426</v>
      </c>
      <c r="GY94">
        <v>100201</v>
      </c>
      <c r="GZ94" t="s">
        <v>366</v>
      </c>
      <c r="HA94">
        <v>0.08</v>
      </c>
      <c r="HB94" t="s">
        <v>53</v>
      </c>
      <c r="HG94" t="s">
        <v>306</v>
      </c>
    </row>
    <row r="95" spans="5:215" x14ac:dyDescent="0.35">
      <c r="E95" t="s">
        <v>306</v>
      </c>
      <c r="F95" t="s">
        <v>485</v>
      </c>
      <c r="G95">
        <v>5652844</v>
      </c>
      <c r="H95" t="s">
        <v>346</v>
      </c>
      <c r="I95">
        <v>0.01</v>
      </c>
      <c r="J95" t="s">
        <v>304</v>
      </c>
      <c r="K95" t="s">
        <v>442</v>
      </c>
      <c r="L95">
        <v>4117611</v>
      </c>
      <c r="M95" t="s">
        <v>346</v>
      </c>
      <c r="N95">
        <v>0</v>
      </c>
      <c r="O95" t="s">
        <v>53</v>
      </c>
      <c r="T95" t="s">
        <v>306</v>
      </c>
      <c r="U95" t="s">
        <v>591</v>
      </c>
      <c r="V95">
        <v>109721</v>
      </c>
      <c r="W95" t="s">
        <v>346</v>
      </c>
      <c r="X95">
        <v>0.04</v>
      </c>
      <c r="Y95" t="s">
        <v>53</v>
      </c>
      <c r="Z95" t="s">
        <v>442</v>
      </c>
      <c r="AA95">
        <v>4117611</v>
      </c>
      <c r="AB95" t="s">
        <v>346</v>
      </c>
      <c r="AC95">
        <v>0</v>
      </c>
      <c r="AD95" t="s">
        <v>53</v>
      </c>
      <c r="AE95" t="s">
        <v>1134</v>
      </c>
      <c r="AF95">
        <v>7059968</v>
      </c>
      <c r="AG95" t="s">
        <v>346</v>
      </c>
      <c r="AH95">
        <v>0.01</v>
      </c>
      <c r="AI95" t="s">
        <v>80</v>
      </c>
      <c r="AN95" t="s">
        <v>306</v>
      </c>
      <c r="AO95" t="s">
        <v>1283</v>
      </c>
      <c r="AP95">
        <v>19723341</v>
      </c>
      <c r="AQ95" t="s">
        <v>346</v>
      </c>
      <c r="AR95">
        <v>0.03</v>
      </c>
      <c r="AS95" t="s">
        <v>62</v>
      </c>
      <c r="AX95" t="s">
        <v>306</v>
      </c>
      <c r="BC95" t="s">
        <v>306</v>
      </c>
      <c r="BD95" t="s">
        <v>383</v>
      </c>
      <c r="BE95">
        <v>103042</v>
      </c>
      <c r="BF95" t="s">
        <v>366</v>
      </c>
      <c r="BG95">
        <v>0.08</v>
      </c>
      <c r="BH95" t="s">
        <v>53</v>
      </c>
      <c r="BI95" t="s">
        <v>439</v>
      </c>
      <c r="BJ95">
        <v>4757367</v>
      </c>
      <c r="BK95" t="s">
        <v>363</v>
      </c>
      <c r="BL95">
        <v>0.03</v>
      </c>
      <c r="BM95" t="s">
        <v>125</v>
      </c>
      <c r="BN95" t="s">
        <v>856</v>
      </c>
      <c r="BO95">
        <v>4141040</v>
      </c>
      <c r="BP95" t="s">
        <v>346</v>
      </c>
      <c r="BQ95">
        <v>0.02</v>
      </c>
      <c r="BR95" t="s">
        <v>313</v>
      </c>
      <c r="BS95" t="s">
        <v>584</v>
      </c>
      <c r="BT95">
        <v>4138797</v>
      </c>
      <c r="BU95" t="s">
        <v>346</v>
      </c>
      <c r="BV95">
        <v>0.04</v>
      </c>
      <c r="BW95" t="s">
        <v>326</v>
      </c>
      <c r="BX95" t="s">
        <v>591</v>
      </c>
      <c r="BY95">
        <v>109721</v>
      </c>
      <c r="BZ95" t="s">
        <v>346</v>
      </c>
      <c r="CA95">
        <v>0.04</v>
      </c>
      <c r="CB95" t="s">
        <v>53</v>
      </c>
      <c r="CC95" t="s">
        <v>1633</v>
      </c>
      <c r="CD95">
        <v>4324992</v>
      </c>
      <c r="CE95" t="s">
        <v>363</v>
      </c>
      <c r="CF95">
        <v>0.08</v>
      </c>
      <c r="CG95" t="s">
        <v>53</v>
      </c>
      <c r="CH95" t="s">
        <v>1283</v>
      </c>
      <c r="CI95">
        <v>19723341</v>
      </c>
      <c r="CJ95" t="s">
        <v>346</v>
      </c>
      <c r="CK95">
        <v>0.03</v>
      </c>
      <c r="CL95" t="s">
        <v>62</v>
      </c>
      <c r="CM95" t="s">
        <v>400</v>
      </c>
      <c r="CN95">
        <v>7834181</v>
      </c>
      <c r="CO95" t="s">
        <v>346</v>
      </c>
      <c r="CP95">
        <v>0.06</v>
      </c>
      <c r="CQ95" t="s">
        <v>313</v>
      </c>
      <c r="CV95" t="s">
        <v>306</v>
      </c>
      <c r="DA95" t="s">
        <v>306</v>
      </c>
      <c r="DB95" t="s">
        <v>383</v>
      </c>
      <c r="DC95">
        <v>103042</v>
      </c>
      <c r="DD95" t="s">
        <v>366</v>
      </c>
      <c r="DE95">
        <v>0.08</v>
      </c>
      <c r="DF95" t="s">
        <v>53</v>
      </c>
      <c r="DK95" t="s">
        <v>306</v>
      </c>
      <c r="DL95" t="s">
        <v>383</v>
      </c>
      <c r="DM95">
        <v>103042</v>
      </c>
      <c r="DN95" t="s">
        <v>366</v>
      </c>
      <c r="DO95">
        <v>0.08</v>
      </c>
      <c r="DP95" t="s">
        <v>53</v>
      </c>
      <c r="DU95" t="s">
        <v>306</v>
      </c>
      <c r="DV95" t="s">
        <v>351</v>
      </c>
      <c r="DW95">
        <v>111289</v>
      </c>
      <c r="DX95" t="s">
        <v>346</v>
      </c>
      <c r="DY95">
        <v>0</v>
      </c>
      <c r="DZ95" t="s">
        <v>53</v>
      </c>
      <c r="EA95" t="s">
        <v>1633</v>
      </c>
      <c r="EB95">
        <v>4324992</v>
      </c>
      <c r="EC95" t="s">
        <v>363</v>
      </c>
      <c r="ED95">
        <v>0.08</v>
      </c>
      <c r="EE95" t="s">
        <v>53</v>
      </c>
      <c r="EF95" t="s">
        <v>383</v>
      </c>
      <c r="EG95">
        <v>103042</v>
      </c>
      <c r="EH95" t="s">
        <v>366</v>
      </c>
      <c r="EI95">
        <v>0.08</v>
      </c>
      <c r="EJ95" t="s">
        <v>53</v>
      </c>
      <c r="EO95" t="s">
        <v>306</v>
      </c>
      <c r="EP95" t="s">
        <v>741</v>
      </c>
      <c r="EQ95">
        <v>4404664</v>
      </c>
      <c r="ER95" t="s">
        <v>346</v>
      </c>
      <c r="ES95">
        <v>0</v>
      </c>
      <c r="ET95" t="s">
        <v>50</v>
      </c>
      <c r="EY95" t="s">
        <v>306</v>
      </c>
      <c r="FD95" t="s">
        <v>306</v>
      </c>
      <c r="FI95" t="s">
        <v>306</v>
      </c>
      <c r="FJ95" t="s">
        <v>534</v>
      </c>
      <c r="FK95">
        <v>4139851</v>
      </c>
      <c r="FL95" t="s">
        <v>346</v>
      </c>
      <c r="FM95">
        <v>0.01</v>
      </c>
      <c r="FN95" t="s">
        <v>304</v>
      </c>
      <c r="FS95" t="s">
        <v>306</v>
      </c>
      <c r="FX95" t="s">
        <v>306</v>
      </c>
      <c r="FY95" t="s">
        <v>383</v>
      </c>
      <c r="FZ95">
        <v>103042</v>
      </c>
      <c r="GA95" t="s">
        <v>366</v>
      </c>
      <c r="GB95">
        <v>0.08</v>
      </c>
      <c r="GC95" t="s">
        <v>53</v>
      </c>
      <c r="GH95" t="s">
        <v>306</v>
      </c>
      <c r="GM95" t="s">
        <v>306</v>
      </c>
      <c r="GN95" t="s">
        <v>534</v>
      </c>
      <c r="GO95">
        <v>4139851</v>
      </c>
      <c r="GP95" t="s">
        <v>346</v>
      </c>
      <c r="GQ95">
        <v>0.01</v>
      </c>
      <c r="GR95" t="s">
        <v>304</v>
      </c>
      <c r="GS95" t="s">
        <v>856</v>
      </c>
      <c r="GT95">
        <v>4141040</v>
      </c>
      <c r="GU95" t="s">
        <v>346</v>
      </c>
      <c r="GV95">
        <v>0.02</v>
      </c>
      <c r="GW95" t="s">
        <v>313</v>
      </c>
      <c r="GX95" t="s">
        <v>1633</v>
      </c>
      <c r="GY95">
        <v>4324992</v>
      </c>
      <c r="GZ95" t="s">
        <v>363</v>
      </c>
      <c r="HA95">
        <v>0.08</v>
      </c>
      <c r="HB95" t="s">
        <v>53</v>
      </c>
      <c r="HG95" t="s">
        <v>306</v>
      </c>
    </row>
    <row r="96" spans="5:215" x14ac:dyDescent="0.35">
      <c r="E96" t="s">
        <v>306</v>
      </c>
      <c r="F96" t="s">
        <v>486</v>
      </c>
      <c r="G96">
        <v>4138307</v>
      </c>
      <c r="H96" t="s">
        <v>346</v>
      </c>
      <c r="I96">
        <v>0.01</v>
      </c>
      <c r="J96" t="s">
        <v>2184</v>
      </c>
      <c r="K96" t="s">
        <v>391</v>
      </c>
      <c r="L96">
        <v>13582910</v>
      </c>
      <c r="M96" t="s">
        <v>346</v>
      </c>
      <c r="N96">
        <v>0</v>
      </c>
      <c r="O96" t="s">
        <v>317</v>
      </c>
      <c r="T96" t="s">
        <v>306</v>
      </c>
      <c r="U96" t="s">
        <v>658</v>
      </c>
      <c r="V96">
        <v>4325258</v>
      </c>
      <c r="W96" t="s">
        <v>346</v>
      </c>
      <c r="X96">
        <v>0.04</v>
      </c>
      <c r="Y96" t="s">
        <v>50</v>
      </c>
      <c r="Z96" t="s">
        <v>391</v>
      </c>
      <c r="AA96">
        <v>13582910</v>
      </c>
      <c r="AB96" t="s">
        <v>346</v>
      </c>
      <c r="AC96">
        <v>0</v>
      </c>
      <c r="AD96" t="s">
        <v>317</v>
      </c>
      <c r="AE96" t="s">
        <v>1135</v>
      </c>
      <c r="AF96" t="s">
        <v>300</v>
      </c>
      <c r="AG96" t="s">
        <v>361</v>
      </c>
      <c r="AH96">
        <v>0.01</v>
      </c>
      <c r="AI96" t="s">
        <v>50</v>
      </c>
      <c r="AN96" t="s">
        <v>306</v>
      </c>
      <c r="AO96" t="s">
        <v>1284</v>
      </c>
      <c r="AP96">
        <v>4235022</v>
      </c>
      <c r="AQ96" t="s">
        <v>346</v>
      </c>
      <c r="AR96">
        <v>0.03</v>
      </c>
      <c r="AS96" t="s">
        <v>62</v>
      </c>
      <c r="AX96" t="s">
        <v>306</v>
      </c>
      <c r="BC96" t="s">
        <v>306</v>
      </c>
      <c r="BD96" t="s">
        <v>1415</v>
      </c>
      <c r="BE96">
        <v>4077805</v>
      </c>
      <c r="BF96" t="s">
        <v>366</v>
      </c>
      <c r="BG96">
        <v>0.08</v>
      </c>
      <c r="BH96" t="s">
        <v>317</v>
      </c>
      <c r="BI96" t="s">
        <v>451</v>
      </c>
      <c r="BJ96">
        <v>5747632</v>
      </c>
      <c r="BK96" t="s">
        <v>346</v>
      </c>
      <c r="BL96">
        <v>0.03</v>
      </c>
      <c r="BM96" t="s">
        <v>80</v>
      </c>
      <c r="BN96" t="s">
        <v>839</v>
      </c>
      <c r="BO96">
        <v>5759900</v>
      </c>
      <c r="BP96" t="s">
        <v>346</v>
      </c>
      <c r="BQ96">
        <v>0.02</v>
      </c>
      <c r="BR96" t="s">
        <v>313</v>
      </c>
      <c r="BS96" t="s">
        <v>961</v>
      </c>
      <c r="BT96">
        <v>4048349</v>
      </c>
      <c r="BU96" t="s">
        <v>346</v>
      </c>
      <c r="BV96">
        <v>0.04</v>
      </c>
      <c r="BW96" t="s">
        <v>313</v>
      </c>
      <c r="BX96" t="s">
        <v>658</v>
      </c>
      <c r="BY96">
        <v>4325258</v>
      </c>
      <c r="BZ96" t="s">
        <v>346</v>
      </c>
      <c r="CA96">
        <v>0.04</v>
      </c>
      <c r="CB96" t="s">
        <v>50</v>
      </c>
      <c r="CC96" t="s">
        <v>497</v>
      </c>
      <c r="CD96">
        <v>4138770</v>
      </c>
      <c r="CE96" t="s">
        <v>346</v>
      </c>
      <c r="CF96">
        <v>0.08</v>
      </c>
      <c r="CG96" t="s">
        <v>313</v>
      </c>
      <c r="CH96" t="s">
        <v>1284</v>
      </c>
      <c r="CI96">
        <v>4235022</v>
      </c>
      <c r="CJ96" t="s">
        <v>346</v>
      </c>
      <c r="CK96">
        <v>0.03</v>
      </c>
      <c r="CL96" t="s">
        <v>62</v>
      </c>
      <c r="CM96" t="s">
        <v>1273</v>
      </c>
      <c r="CN96">
        <v>4423324</v>
      </c>
      <c r="CO96" t="s">
        <v>346</v>
      </c>
      <c r="CP96">
        <v>0.06</v>
      </c>
      <c r="CQ96" t="s">
        <v>62</v>
      </c>
      <c r="CV96" t="s">
        <v>306</v>
      </c>
      <c r="DA96" t="s">
        <v>306</v>
      </c>
      <c r="DB96" t="s">
        <v>1415</v>
      </c>
      <c r="DC96">
        <v>4077805</v>
      </c>
      <c r="DD96" t="s">
        <v>366</v>
      </c>
      <c r="DE96">
        <v>0.08</v>
      </c>
      <c r="DF96" t="s">
        <v>317</v>
      </c>
      <c r="DK96" t="s">
        <v>306</v>
      </c>
      <c r="DL96" t="s">
        <v>1415</v>
      </c>
      <c r="DM96">
        <v>4077805</v>
      </c>
      <c r="DN96" t="s">
        <v>366</v>
      </c>
      <c r="DO96">
        <v>0.08</v>
      </c>
      <c r="DP96" t="s">
        <v>317</v>
      </c>
      <c r="DU96" t="s">
        <v>306</v>
      </c>
      <c r="DV96" t="s">
        <v>458</v>
      </c>
      <c r="DW96">
        <v>109806</v>
      </c>
      <c r="DX96" t="s">
        <v>346</v>
      </c>
      <c r="DY96">
        <v>0</v>
      </c>
      <c r="DZ96" t="s">
        <v>53</v>
      </c>
      <c r="EA96" t="s">
        <v>497</v>
      </c>
      <c r="EB96">
        <v>4138770</v>
      </c>
      <c r="EC96" t="s">
        <v>346</v>
      </c>
      <c r="ED96">
        <v>0.08</v>
      </c>
      <c r="EE96" t="s">
        <v>313</v>
      </c>
      <c r="EF96" t="s">
        <v>1415</v>
      </c>
      <c r="EG96">
        <v>4077805</v>
      </c>
      <c r="EH96" t="s">
        <v>366</v>
      </c>
      <c r="EI96">
        <v>0.08</v>
      </c>
      <c r="EJ96" t="s">
        <v>317</v>
      </c>
      <c r="EO96" t="s">
        <v>306</v>
      </c>
      <c r="EP96" t="s">
        <v>562</v>
      </c>
      <c r="EQ96">
        <v>4256114</v>
      </c>
      <c r="ER96" t="s">
        <v>346</v>
      </c>
      <c r="ES96">
        <v>0</v>
      </c>
      <c r="ET96" t="s">
        <v>301</v>
      </c>
      <c r="EY96" t="s">
        <v>306</v>
      </c>
      <c r="FD96" t="s">
        <v>306</v>
      </c>
      <c r="FI96" t="s">
        <v>306</v>
      </c>
      <c r="FJ96" t="s">
        <v>508</v>
      </c>
      <c r="FK96">
        <v>4399282</v>
      </c>
      <c r="FL96" t="s">
        <v>346</v>
      </c>
      <c r="FM96">
        <v>0.01</v>
      </c>
      <c r="FN96" t="s">
        <v>80</v>
      </c>
      <c r="FS96" t="s">
        <v>306</v>
      </c>
      <c r="FX96" t="s">
        <v>306</v>
      </c>
      <c r="FY96" t="s">
        <v>1415</v>
      </c>
      <c r="FZ96">
        <v>4077805</v>
      </c>
      <c r="GA96" t="s">
        <v>366</v>
      </c>
      <c r="GB96">
        <v>0.08</v>
      </c>
      <c r="GC96" t="s">
        <v>317</v>
      </c>
      <c r="GH96" t="s">
        <v>306</v>
      </c>
      <c r="GM96" t="s">
        <v>306</v>
      </c>
      <c r="GN96" t="s">
        <v>508</v>
      </c>
      <c r="GO96">
        <v>4399282</v>
      </c>
      <c r="GP96" t="s">
        <v>346</v>
      </c>
      <c r="GQ96">
        <v>0.01</v>
      </c>
      <c r="GR96" t="s">
        <v>80</v>
      </c>
      <c r="GS96" t="s">
        <v>839</v>
      </c>
      <c r="GT96">
        <v>5759900</v>
      </c>
      <c r="GU96" t="s">
        <v>346</v>
      </c>
      <c r="GV96">
        <v>0.02</v>
      </c>
      <c r="GW96" t="s">
        <v>313</v>
      </c>
      <c r="GX96" t="s">
        <v>497</v>
      </c>
      <c r="GY96">
        <v>4138770</v>
      </c>
      <c r="GZ96" t="s">
        <v>346</v>
      </c>
      <c r="HA96">
        <v>0.08</v>
      </c>
      <c r="HB96" t="s">
        <v>313</v>
      </c>
      <c r="HG96" t="s">
        <v>306</v>
      </c>
    </row>
    <row r="97" spans="5:215" x14ac:dyDescent="0.35">
      <c r="E97" t="s">
        <v>306</v>
      </c>
      <c r="F97" t="s">
        <v>356</v>
      </c>
      <c r="G97">
        <v>4578944</v>
      </c>
      <c r="H97" t="s">
        <v>346</v>
      </c>
      <c r="I97">
        <v>0.01</v>
      </c>
      <c r="J97" t="s">
        <v>125</v>
      </c>
      <c r="K97" t="s">
        <v>674</v>
      </c>
      <c r="L97">
        <v>4345965</v>
      </c>
      <c r="M97" t="s">
        <v>346</v>
      </c>
      <c r="N97">
        <v>0</v>
      </c>
      <c r="O97" t="s">
        <v>50</v>
      </c>
      <c r="T97" t="s">
        <v>306</v>
      </c>
      <c r="U97" t="s">
        <v>737</v>
      </c>
      <c r="V97">
        <v>4120029</v>
      </c>
      <c r="W97" t="s">
        <v>346</v>
      </c>
      <c r="X97">
        <v>0.04</v>
      </c>
      <c r="Y97" t="s">
        <v>326</v>
      </c>
      <c r="Z97" t="s">
        <v>674</v>
      </c>
      <c r="AA97">
        <v>4345965</v>
      </c>
      <c r="AB97" t="s">
        <v>346</v>
      </c>
      <c r="AC97">
        <v>0</v>
      </c>
      <c r="AD97" t="s">
        <v>50</v>
      </c>
      <c r="AE97" t="s">
        <v>428</v>
      </c>
      <c r="AF97">
        <v>4116134</v>
      </c>
      <c r="AG97" t="s">
        <v>346</v>
      </c>
      <c r="AH97">
        <v>0.01</v>
      </c>
      <c r="AI97" t="s">
        <v>304</v>
      </c>
      <c r="AN97" t="s">
        <v>306</v>
      </c>
      <c r="AO97" t="s">
        <v>839</v>
      </c>
      <c r="AP97">
        <v>5759900</v>
      </c>
      <c r="AQ97" t="s">
        <v>346</v>
      </c>
      <c r="AR97">
        <v>0.03</v>
      </c>
      <c r="AS97" t="s">
        <v>313</v>
      </c>
      <c r="AX97" t="s">
        <v>306</v>
      </c>
      <c r="BC97" t="s">
        <v>306</v>
      </c>
      <c r="BD97" t="s">
        <v>408</v>
      </c>
      <c r="BE97">
        <v>4138917</v>
      </c>
      <c r="BF97" t="s">
        <v>346</v>
      </c>
      <c r="BG97">
        <v>0.08</v>
      </c>
      <c r="BH97" t="s">
        <v>125</v>
      </c>
      <c r="BI97" t="s">
        <v>391</v>
      </c>
      <c r="BJ97">
        <v>13582910</v>
      </c>
      <c r="BK97" t="s">
        <v>346</v>
      </c>
      <c r="BL97">
        <v>0.02</v>
      </c>
      <c r="BM97" t="s">
        <v>317</v>
      </c>
      <c r="BN97" t="s">
        <v>1237</v>
      </c>
      <c r="BO97" t="s">
        <v>300</v>
      </c>
      <c r="BP97" t="s">
        <v>361</v>
      </c>
      <c r="BQ97">
        <v>0.02</v>
      </c>
      <c r="BR97" t="s">
        <v>50</v>
      </c>
      <c r="BS97" t="s">
        <v>665</v>
      </c>
      <c r="BT97">
        <v>4137720</v>
      </c>
      <c r="BU97" t="s">
        <v>346</v>
      </c>
      <c r="BV97">
        <v>0.04</v>
      </c>
      <c r="BW97" t="s">
        <v>50</v>
      </c>
      <c r="BX97" t="s">
        <v>737</v>
      </c>
      <c r="BY97">
        <v>4120029</v>
      </c>
      <c r="BZ97" t="s">
        <v>346</v>
      </c>
      <c r="CA97">
        <v>0.04</v>
      </c>
      <c r="CB97" t="s">
        <v>326</v>
      </c>
      <c r="CC97" t="s">
        <v>407</v>
      </c>
      <c r="CD97">
        <v>109754</v>
      </c>
      <c r="CE97" t="s">
        <v>346</v>
      </c>
      <c r="CF97">
        <v>0.08</v>
      </c>
      <c r="CG97" t="s">
        <v>53</v>
      </c>
      <c r="CH97" t="s">
        <v>839</v>
      </c>
      <c r="CI97">
        <v>5759900</v>
      </c>
      <c r="CJ97" t="s">
        <v>346</v>
      </c>
      <c r="CK97">
        <v>0.03</v>
      </c>
      <c r="CL97" t="s">
        <v>313</v>
      </c>
      <c r="CM97" t="s">
        <v>1966</v>
      </c>
      <c r="CN97">
        <v>14728212</v>
      </c>
      <c r="CO97" t="s">
        <v>346</v>
      </c>
      <c r="CP97">
        <v>0.06</v>
      </c>
      <c r="CQ97" t="s">
        <v>53</v>
      </c>
      <c r="CV97" t="s">
        <v>306</v>
      </c>
      <c r="DA97" t="s">
        <v>306</v>
      </c>
      <c r="DB97" t="s">
        <v>408</v>
      </c>
      <c r="DC97">
        <v>4138917</v>
      </c>
      <c r="DD97" t="s">
        <v>346</v>
      </c>
      <c r="DE97">
        <v>0.08</v>
      </c>
      <c r="DF97" t="s">
        <v>125</v>
      </c>
      <c r="DK97" t="s">
        <v>306</v>
      </c>
      <c r="DL97" t="s">
        <v>408</v>
      </c>
      <c r="DM97">
        <v>4138917</v>
      </c>
      <c r="DN97" t="s">
        <v>346</v>
      </c>
      <c r="DO97">
        <v>0.08</v>
      </c>
      <c r="DP97" t="s">
        <v>125</v>
      </c>
      <c r="DU97" t="s">
        <v>306</v>
      </c>
      <c r="DV97" t="s">
        <v>460</v>
      </c>
      <c r="DW97">
        <v>4337989</v>
      </c>
      <c r="DX97" t="s">
        <v>346</v>
      </c>
      <c r="DY97">
        <v>0</v>
      </c>
      <c r="DZ97" t="s">
        <v>53</v>
      </c>
      <c r="EA97" t="s">
        <v>407</v>
      </c>
      <c r="EB97">
        <v>109754</v>
      </c>
      <c r="EC97" t="s">
        <v>346</v>
      </c>
      <c r="ED97">
        <v>0.08</v>
      </c>
      <c r="EE97" t="s">
        <v>53</v>
      </c>
      <c r="EF97" t="s">
        <v>408</v>
      </c>
      <c r="EG97">
        <v>4138917</v>
      </c>
      <c r="EH97" t="s">
        <v>346</v>
      </c>
      <c r="EI97">
        <v>0.08</v>
      </c>
      <c r="EJ97" t="s">
        <v>125</v>
      </c>
      <c r="EO97" t="s">
        <v>306</v>
      </c>
      <c r="EP97" t="s">
        <v>679</v>
      </c>
      <c r="EQ97">
        <v>4138221</v>
      </c>
      <c r="ER97" t="s">
        <v>346</v>
      </c>
      <c r="ES97">
        <v>0</v>
      </c>
      <c r="ET97" t="s">
        <v>50</v>
      </c>
      <c r="EY97" t="s">
        <v>306</v>
      </c>
      <c r="FD97" t="s">
        <v>306</v>
      </c>
      <c r="FI97" t="s">
        <v>306</v>
      </c>
      <c r="FJ97" t="s">
        <v>473</v>
      </c>
      <c r="FK97">
        <v>4140062</v>
      </c>
      <c r="FL97" t="s">
        <v>346</v>
      </c>
      <c r="FM97">
        <v>0.01</v>
      </c>
      <c r="FN97" t="s">
        <v>304</v>
      </c>
      <c r="FS97" t="s">
        <v>306</v>
      </c>
      <c r="FX97" t="s">
        <v>306</v>
      </c>
      <c r="FY97" t="s">
        <v>408</v>
      </c>
      <c r="FZ97">
        <v>4138917</v>
      </c>
      <c r="GA97" t="s">
        <v>346</v>
      </c>
      <c r="GB97">
        <v>0.08</v>
      </c>
      <c r="GC97" t="s">
        <v>125</v>
      </c>
      <c r="GH97" t="s">
        <v>306</v>
      </c>
      <c r="GM97" t="s">
        <v>306</v>
      </c>
      <c r="GN97" t="s">
        <v>473</v>
      </c>
      <c r="GO97">
        <v>4140062</v>
      </c>
      <c r="GP97" t="s">
        <v>346</v>
      </c>
      <c r="GQ97">
        <v>0.01</v>
      </c>
      <c r="GR97" t="s">
        <v>304</v>
      </c>
      <c r="GS97" t="s">
        <v>1237</v>
      </c>
      <c r="GT97" t="s">
        <v>300</v>
      </c>
      <c r="GU97" t="s">
        <v>361</v>
      </c>
      <c r="GV97">
        <v>0.02</v>
      </c>
      <c r="GW97" t="s">
        <v>50</v>
      </c>
      <c r="GX97" t="s">
        <v>407</v>
      </c>
      <c r="GY97">
        <v>109754</v>
      </c>
      <c r="GZ97" t="s">
        <v>346</v>
      </c>
      <c r="HA97">
        <v>0.08</v>
      </c>
      <c r="HB97" t="s">
        <v>53</v>
      </c>
      <c r="HG97" t="s">
        <v>306</v>
      </c>
    </row>
    <row r="98" spans="5:215" x14ac:dyDescent="0.35">
      <c r="E98" t="s">
        <v>306</v>
      </c>
      <c r="F98" t="s">
        <v>487</v>
      </c>
      <c r="G98">
        <v>4111901</v>
      </c>
      <c r="H98" t="s">
        <v>346</v>
      </c>
      <c r="I98">
        <v>0.01</v>
      </c>
      <c r="J98" t="s">
        <v>2192</v>
      </c>
      <c r="K98" t="s">
        <v>675</v>
      </c>
      <c r="L98">
        <v>4548312</v>
      </c>
      <c r="M98" t="s">
        <v>346</v>
      </c>
      <c r="N98">
        <v>0</v>
      </c>
      <c r="O98" t="s">
        <v>50</v>
      </c>
      <c r="T98" t="s">
        <v>306</v>
      </c>
      <c r="U98" t="s">
        <v>738</v>
      </c>
      <c r="V98">
        <v>4138005</v>
      </c>
      <c r="W98" t="s">
        <v>369</v>
      </c>
      <c r="X98">
        <v>0.04</v>
      </c>
      <c r="Y98" t="s">
        <v>326</v>
      </c>
      <c r="Z98" t="s">
        <v>675</v>
      </c>
      <c r="AA98">
        <v>4548312</v>
      </c>
      <c r="AB98" t="s">
        <v>346</v>
      </c>
      <c r="AC98">
        <v>0</v>
      </c>
      <c r="AD98" t="s">
        <v>50</v>
      </c>
      <c r="AE98" t="s">
        <v>471</v>
      </c>
      <c r="AF98">
        <v>4102247</v>
      </c>
      <c r="AG98" t="s">
        <v>346</v>
      </c>
      <c r="AH98">
        <v>0.01</v>
      </c>
      <c r="AI98" t="s">
        <v>53</v>
      </c>
      <c r="AN98" t="s">
        <v>306</v>
      </c>
      <c r="AO98" t="s">
        <v>460</v>
      </c>
      <c r="AP98">
        <v>4337989</v>
      </c>
      <c r="AQ98" t="s">
        <v>346</v>
      </c>
      <c r="AR98">
        <v>0.03</v>
      </c>
      <c r="AS98" t="s">
        <v>53</v>
      </c>
      <c r="AX98" t="s">
        <v>306</v>
      </c>
      <c r="BC98" t="s">
        <v>306</v>
      </c>
      <c r="BD98" t="s">
        <v>1416</v>
      </c>
      <c r="BE98">
        <v>7058800</v>
      </c>
      <c r="BF98" t="s">
        <v>346</v>
      </c>
      <c r="BG98">
        <v>7.0000000000000007E-2</v>
      </c>
      <c r="BH98" t="s">
        <v>313</v>
      </c>
      <c r="BI98" t="s">
        <v>458</v>
      </c>
      <c r="BJ98">
        <v>109806</v>
      </c>
      <c r="BK98" t="s">
        <v>346</v>
      </c>
      <c r="BL98">
        <v>0.02</v>
      </c>
      <c r="BM98" t="s">
        <v>53</v>
      </c>
      <c r="BN98" t="s">
        <v>1238</v>
      </c>
      <c r="BO98" t="s">
        <v>300</v>
      </c>
      <c r="BP98" t="s">
        <v>361</v>
      </c>
      <c r="BQ98">
        <v>0.02</v>
      </c>
      <c r="BR98" t="s">
        <v>50</v>
      </c>
      <c r="BS98" t="s">
        <v>439</v>
      </c>
      <c r="BT98">
        <v>4757367</v>
      </c>
      <c r="BU98" t="s">
        <v>363</v>
      </c>
      <c r="BV98">
        <v>0.04</v>
      </c>
      <c r="BW98" t="s">
        <v>125</v>
      </c>
      <c r="BX98" t="s">
        <v>738</v>
      </c>
      <c r="BY98">
        <v>4138005</v>
      </c>
      <c r="BZ98" t="s">
        <v>369</v>
      </c>
      <c r="CA98">
        <v>0.04</v>
      </c>
      <c r="CB98" t="s">
        <v>326</v>
      </c>
      <c r="CC98" t="s">
        <v>1634</v>
      </c>
      <c r="CD98">
        <v>4028690</v>
      </c>
      <c r="CE98" t="s">
        <v>346</v>
      </c>
      <c r="CF98">
        <v>7.0000000000000007E-2</v>
      </c>
      <c r="CG98" t="s">
        <v>53</v>
      </c>
      <c r="CH98" t="s">
        <v>460</v>
      </c>
      <c r="CI98">
        <v>4337989</v>
      </c>
      <c r="CJ98" t="s">
        <v>346</v>
      </c>
      <c r="CK98">
        <v>0.03</v>
      </c>
      <c r="CL98" t="s">
        <v>53</v>
      </c>
      <c r="CM98" t="s">
        <v>1687</v>
      </c>
      <c r="CN98">
        <v>4138723</v>
      </c>
      <c r="CO98" t="s">
        <v>346</v>
      </c>
      <c r="CP98">
        <v>0.06</v>
      </c>
      <c r="CQ98" t="s">
        <v>313</v>
      </c>
      <c r="CV98" t="s">
        <v>306</v>
      </c>
      <c r="DA98" t="s">
        <v>306</v>
      </c>
      <c r="DB98" t="s">
        <v>1416</v>
      </c>
      <c r="DC98">
        <v>7058800</v>
      </c>
      <c r="DD98" t="s">
        <v>346</v>
      </c>
      <c r="DE98">
        <v>7.0000000000000007E-2</v>
      </c>
      <c r="DF98" t="s">
        <v>313</v>
      </c>
      <c r="DK98" t="s">
        <v>306</v>
      </c>
      <c r="DL98" t="s">
        <v>1416</v>
      </c>
      <c r="DM98">
        <v>7058800</v>
      </c>
      <c r="DN98" t="s">
        <v>346</v>
      </c>
      <c r="DO98">
        <v>7.0000000000000007E-2</v>
      </c>
      <c r="DP98" t="s">
        <v>313</v>
      </c>
      <c r="DU98" t="s">
        <v>306</v>
      </c>
      <c r="DV98" t="s">
        <v>1209</v>
      </c>
      <c r="DW98">
        <v>111168</v>
      </c>
      <c r="DX98" t="s">
        <v>634</v>
      </c>
      <c r="DY98">
        <v>0</v>
      </c>
      <c r="DZ98" t="s">
        <v>53</v>
      </c>
      <c r="EA98" t="s">
        <v>1634</v>
      </c>
      <c r="EB98">
        <v>4028690</v>
      </c>
      <c r="EC98" t="s">
        <v>346</v>
      </c>
      <c r="ED98">
        <v>7.0000000000000007E-2</v>
      </c>
      <c r="EE98" t="s">
        <v>53</v>
      </c>
      <c r="EF98" t="s">
        <v>1416</v>
      </c>
      <c r="EG98">
        <v>7058800</v>
      </c>
      <c r="EH98" t="s">
        <v>346</v>
      </c>
      <c r="EI98">
        <v>7.0000000000000007E-2</v>
      </c>
      <c r="EJ98" t="s">
        <v>313</v>
      </c>
      <c r="EO98" t="s">
        <v>306</v>
      </c>
      <c r="EP98" t="s">
        <v>451</v>
      </c>
      <c r="EQ98">
        <v>5747632</v>
      </c>
      <c r="ER98" t="s">
        <v>346</v>
      </c>
      <c r="ES98">
        <v>0</v>
      </c>
      <c r="ET98" t="s">
        <v>80</v>
      </c>
      <c r="EY98" t="s">
        <v>306</v>
      </c>
      <c r="FD98" t="s">
        <v>306</v>
      </c>
      <c r="FI98" t="s">
        <v>306</v>
      </c>
      <c r="FJ98" t="s">
        <v>412</v>
      </c>
      <c r="FK98">
        <v>109687</v>
      </c>
      <c r="FL98" t="s">
        <v>346</v>
      </c>
      <c r="FM98">
        <v>0</v>
      </c>
      <c r="FN98" t="s">
        <v>53</v>
      </c>
      <c r="FS98" t="s">
        <v>306</v>
      </c>
      <c r="FX98" t="s">
        <v>306</v>
      </c>
      <c r="FY98" t="s">
        <v>1416</v>
      </c>
      <c r="FZ98">
        <v>7058800</v>
      </c>
      <c r="GA98" t="s">
        <v>346</v>
      </c>
      <c r="GB98">
        <v>7.0000000000000007E-2</v>
      </c>
      <c r="GC98" t="s">
        <v>313</v>
      </c>
      <c r="GH98" t="s">
        <v>306</v>
      </c>
      <c r="GM98" t="s">
        <v>306</v>
      </c>
      <c r="GN98" t="s">
        <v>412</v>
      </c>
      <c r="GO98">
        <v>109687</v>
      </c>
      <c r="GP98" t="s">
        <v>346</v>
      </c>
      <c r="GQ98">
        <v>0</v>
      </c>
      <c r="GR98" t="s">
        <v>53</v>
      </c>
      <c r="GS98" t="s">
        <v>1238</v>
      </c>
      <c r="GT98" t="s">
        <v>300</v>
      </c>
      <c r="GU98" t="s">
        <v>361</v>
      </c>
      <c r="GV98">
        <v>0.02</v>
      </c>
      <c r="GW98" t="s">
        <v>50</v>
      </c>
      <c r="GX98" t="s">
        <v>1634</v>
      </c>
      <c r="GY98">
        <v>4028690</v>
      </c>
      <c r="GZ98" t="s">
        <v>346</v>
      </c>
      <c r="HA98">
        <v>7.0000000000000007E-2</v>
      </c>
      <c r="HB98" t="s">
        <v>53</v>
      </c>
      <c r="HG98" t="s">
        <v>306</v>
      </c>
    </row>
    <row r="99" spans="5:215" x14ac:dyDescent="0.35">
      <c r="E99" t="s">
        <v>306</v>
      </c>
      <c r="F99" t="s">
        <v>488</v>
      </c>
      <c r="G99">
        <v>4087052</v>
      </c>
      <c r="H99" t="s">
        <v>346</v>
      </c>
      <c r="I99">
        <v>0.01</v>
      </c>
      <c r="J99" t="s">
        <v>53</v>
      </c>
      <c r="K99" t="s">
        <v>464</v>
      </c>
      <c r="L99">
        <v>4629378</v>
      </c>
      <c r="M99" t="s">
        <v>346</v>
      </c>
      <c r="N99">
        <v>0</v>
      </c>
      <c r="O99" t="s">
        <v>304</v>
      </c>
      <c r="T99" t="s">
        <v>306</v>
      </c>
      <c r="U99" t="s">
        <v>510</v>
      </c>
      <c r="V99">
        <v>4089114</v>
      </c>
      <c r="W99" t="s">
        <v>346</v>
      </c>
      <c r="X99">
        <v>0.04</v>
      </c>
      <c r="Y99" t="s">
        <v>53</v>
      </c>
      <c r="Z99" t="s">
        <v>464</v>
      </c>
      <c r="AA99">
        <v>4629378</v>
      </c>
      <c r="AB99" t="s">
        <v>346</v>
      </c>
      <c r="AC99">
        <v>0</v>
      </c>
      <c r="AD99" t="s">
        <v>304</v>
      </c>
      <c r="AE99" t="s">
        <v>440</v>
      </c>
      <c r="AF99">
        <v>4140078</v>
      </c>
      <c r="AG99" t="s">
        <v>346</v>
      </c>
      <c r="AH99">
        <v>0.01</v>
      </c>
      <c r="AI99" t="s">
        <v>304</v>
      </c>
      <c r="AN99" t="s">
        <v>306</v>
      </c>
      <c r="AO99" t="s">
        <v>466</v>
      </c>
      <c r="AP99">
        <v>111267</v>
      </c>
      <c r="AQ99" t="s">
        <v>346</v>
      </c>
      <c r="AR99">
        <v>0.03</v>
      </c>
      <c r="AS99" t="s">
        <v>313</v>
      </c>
      <c r="AX99" t="s">
        <v>306</v>
      </c>
      <c r="BC99" t="s">
        <v>306</v>
      </c>
      <c r="BD99" t="s">
        <v>1417</v>
      </c>
      <c r="BE99">
        <v>4400207</v>
      </c>
      <c r="BF99" t="s">
        <v>634</v>
      </c>
      <c r="BG99">
        <v>7.0000000000000007E-2</v>
      </c>
      <c r="BH99" t="s">
        <v>313</v>
      </c>
      <c r="BI99" t="s">
        <v>504</v>
      </c>
      <c r="BJ99">
        <v>4630169</v>
      </c>
      <c r="BK99" t="s">
        <v>346</v>
      </c>
      <c r="BL99">
        <v>0.02</v>
      </c>
      <c r="BM99" t="s">
        <v>2185</v>
      </c>
      <c r="BN99" t="s">
        <v>497</v>
      </c>
      <c r="BO99">
        <v>4138770</v>
      </c>
      <c r="BP99" t="s">
        <v>346</v>
      </c>
      <c r="BQ99">
        <v>0.02</v>
      </c>
      <c r="BR99" t="s">
        <v>313</v>
      </c>
      <c r="BS99" t="s">
        <v>962</v>
      </c>
      <c r="BT99">
        <v>4144879</v>
      </c>
      <c r="BU99" t="s">
        <v>346</v>
      </c>
      <c r="BV99">
        <v>0.04</v>
      </c>
      <c r="BW99" t="s">
        <v>313</v>
      </c>
      <c r="BX99" t="s">
        <v>510</v>
      </c>
      <c r="BY99">
        <v>4089114</v>
      </c>
      <c r="BZ99" t="s">
        <v>346</v>
      </c>
      <c r="CA99">
        <v>0.04</v>
      </c>
      <c r="CB99" t="s">
        <v>53</v>
      </c>
      <c r="CC99" t="s">
        <v>1635</v>
      </c>
      <c r="CD99">
        <v>109290</v>
      </c>
      <c r="CE99" t="s">
        <v>364</v>
      </c>
      <c r="CF99">
        <v>7.0000000000000007E-2</v>
      </c>
      <c r="CG99" t="s">
        <v>53</v>
      </c>
      <c r="CH99" t="s">
        <v>466</v>
      </c>
      <c r="CI99">
        <v>111267</v>
      </c>
      <c r="CJ99" t="s">
        <v>346</v>
      </c>
      <c r="CK99">
        <v>0.03</v>
      </c>
      <c r="CL99" t="s">
        <v>313</v>
      </c>
      <c r="CM99" t="s">
        <v>1685</v>
      </c>
      <c r="CN99">
        <v>4383268</v>
      </c>
      <c r="CO99" t="s">
        <v>366</v>
      </c>
      <c r="CP99">
        <v>0.06</v>
      </c>
      <c r="CQ99" t="s">
        <v>53</v>
      </c>
      <c r="CV99" t="s">
        <v>306</v>
      </c>
      <c r="DA99" t="s">
        <v>306</v>
      </c>
      <c r="DB99" t="s">
        <v>1417</v>
      </c>
      <c r="DC99">
        <v>4400207</v>
      </c>
      <c r="DD99" t="s">
        <v>634</v>
      </c>
      <c r="DE99">
        <v>7.0000000000000007E-2</v>
      </c>
      <c r="DF99" t="s">
        <v>313</v>
      </c>
      <c r="DK99" t="s">
        <v>306</v>
      </c>
      <c r="DL99" t="s">
        <v>1417</v>
      </c>
      <c r="DM99">
        <v>4400207</v>
      </c>
      <c r="DN99" t="s">
        <v>634</v>
      </c>
      <c r="DO99">
        <v>7.0000000000000007E-2</v>
      </c>
      <c r="DP99" t="s">
        <v>313</v>
      </c>
      <c r="DU99" t="s">
        <v>306</v>
      </c>
      <c r="DV99" t="s">
        <v>517</v>
      </c>
      <c r="DW99">
        <v>111097</v>
      </c>
      <c r="DX99" t="s">
        <v>346</v>
      </c>
      <c r="DY99">
        <v>0</v>
      </c>
      <c r="DZ99" t="s">
        <v>53</v>
      </c>
      <c r="EA99" t="s">
        <v>1635</v>
      </c>
      <c r="EB99">
        <v>109290</v>
      </c>
      <c r="EC99" t="s">
        <v>364</v>
      </c>
      <c r="ED99">
        <v>7.0000000000000007E-2</v>
      </c>
      <c r="EE99" t="s">
        <v>53</v>
      </c>
      <c r="EF99" t="s">
        <v>1417</v>
      </c>
      <c r="EG99">
        <v>4400207</v>
      </c>
      <c r="EH99" t="s">
        <v>634</v>
      </c>
      <c r="EI99">
        <v>7.0000000000000007E-2</v>
      </c>
      <c r="EJ99" t="s">
        <v>313</v>
      </c>
      <c r="EO99" t="s">
        <v>306</v>
      </c>
      <c r="EP99" t="s">
        <v>386</v>
      </c>
      <c r="EQ99">
        <v>4145085</v>
      </c>
      <c r="ER99" t="s">
        <v>346</v>
      </c>
      <c r="ES99">
        <v>0</v>
      </c>
      <c r="ET99" t="s">
        <v>313</v>
      </c>
      <c r="EY99" t="s">
        <v>306</v>
      </c>
      <c r="FD99" t="s">
        <v>306</v>
      </c>
      <c r="FI99" t="s">
        <v>306</v>
      </c>
      <c r="FJ99" t="s">
        <v>509</v>
      </c>
      <c r="FK99">
        <v>4226520</v>
      </c>
      <c r="FL99" t="s">
        <v>346</v>
      </c>
      <c r="FM99">
        <v>0</v>
      </c>
      <c r="FN99" t="s">
        <v>80</v>
      </c>
      <c r="FS99" t="s">
        <v>306</v>
      </c>
      <c r="FX99" t="s">
        <v>306</v>
      </c>
      <c r="FY99" t="s">
        <v>1417</v>
      </c>
      <c r="FZ99">
        <v>4400207</v>
      </c>
      <c r="GA99" t="s">
        <v>634</v>
      </c>
      <c r="GB99">
        <v>7.0000000000000007E-2</v>
      </c>
      <c r="GC99" t="s">
        <v>313</v>
      </c>
      <c r="GH99" t="s">
        <v>306</v>
      </c>
      <c r="GM99" t="s">
        <v>306</v>
      </c>
      <c r="GN99" t="s">
        <v>509</v>
      </c>
      <c r="GO99">
        <v>4226520</v>
      </c>
      <c r="GP99" t="s">
        <v>346</v>
      </c>
      <c r="GQ99">
        <v>0</v>
      </c>
      <c r="GR99" t="s">
        <v>80</v>
      </c>
      <c r="GS99" t="s">
        <v>497</v>
      </c>
      <c r="GT99">
        <v>4138770</v>
      </c>
      <c r="GU99" t="s">
        <v>346</v>
      </c>
      <c r="GV99">
        <v>0.02</v>
      </c>
      <c r="GW99" t="s">
        <v>313</v>
      </c>
      <c r="GX99" t="s">
        <v>1635</v>
      </c>
      <c r="GY99">
        <v>109290</v>
      </c>
      <c r="GZ99" t="s">
        <v>364</v>
      </c>
      <c r="HA99">
        <v>7.0000000000000007E-2</v>
      </c>
      <c r="HB99" t="s">
        <v>53</v>
      </c>
      <c r="HG99" t="s">
        <v>306</v>
      </c>
    </row>
    <row r="100" spans="5:215" x14ac:dyDescent="0.35">
      <c r="E100" t="s">
        <v>306</v>
      </c>
      <c r="F100" t="s">
        <v>489</v>
      </c>
      <c r="G100">
        <v>4324456</v>
      </c>
      <c r="H100" t="s">
        <v>346</v>
      </c>
      <c r="I100">
        <v>0.01</v>
      </c>
      <c r="J100" t="s">
        <v>2194</v>
      </c>
      <c r="K100" t="s">
        <v>676</v>
      </c>
      <c r="L100">
        <v>15012201</v>
      </c>
      <c r="M100" t="s">
        <v>346</v>
      </c>
      <c r="N100">
        <v>0</v>
      </c>
      <c r="O100" t="s">
        <v>50</v>
      </c>
      <c r="T100" t="s">
        <v>306</v>
      </c>
      <c r="U100" t="s">
        <v>739</v>
      </c>
      <c r="V100">
        <v>4311270</v>
      </c>
      <c r="W100" t="s">
        <v>346</v>
      </c>
      <c r="X100">
        <v>0.04</v>
      </c>
      <c r="Y100" t="s">
        <v>50</v>
      </c>
      <c r="Z100" t="s">
        <v>676</v>
      </c>
      <c r="AA100">
        <v>15012201</v>
      </c>
      <c r="AB100" t="s">
        <v>346</v>
      </c>
      <c r="AC100">
        <v>0</v>
      </c>
      <c r="AD100" t="s">
        <v>50</v>
      </c>
      <c r="AE100" t="s">
        <v>466</v>
      </c>
      <c r="AF100">
        <v>111267</v>
      </c>
      <c r="AG100" t="s">
        <v>346</v>
      </c>
      <c r="AH100">
        <v>0.01</v>
      </c>
      <c r="AI100" t="s">
        <v>313</v>
      </c>
      <c r="AN100" t="s">
        <v>306</v>
      </c>
      <c r="AO100" t="s">
        <v>1285</v>
      </c>
      <c r="AP100">
        <v>14171602</v>
      </c>
      <c r="AQ100" t="s">
        <v>346</v>
      </c>
      <c r="AR100">
        <v>0.03</v>
      </c>
      <c r="AS100" t="s">
        <v>62</v>
      </c>
      <c r="AX100" t="s">
        <v>306</v>
      </c>
      <c r="BC100" t="s">
        <v>306</v>
      </c>
      <c r="BD100" t="s">
        <v>1321</v>
      </c>
      <c r="BE100">
        <v>4213183</v>
      </c>
      <c r="BF100" t="s">
        <v>346</v>
      </c>
      <c r="BG100">
        <v>7.0000000000000007E-2</v>
      </c>
      <c r="BH100" t="s">
        <v>62</v>
      </c>
      <c r="BI100" t="s">
        <v>1564</v>
      </c>
      <c r="BJ100">
        <v>4137739</v>
      </c>
      <c r="BK100" t="s">
        <v>346</v>
      </c>
      <c r="BL100">
        <v>0.02</v>
      </c>
      <c r="BM100" t="s">
        <v>321</v>
      </c>
      <c r="BN100" t="s">
        <v>437</v>
      </c>
      <c r="BO100">
        <v>4102073</v>
      </c>
      <c r="BP100" t="s">
        <v>346</v>
      </c>
      <c r="BQ100">
        <v>0.02</v>
      </c>
      <c r="BR100" t="s">
        <v>53</v>
      </c>
      <c r="BS100" t="s">
        <v>676</v>
      </c>
      <c r="BT100">
        <v>15012201</v>
      </c>
      <c r="BU100" t="s">
        <v>346</v>
      </c>
      <c r="BV100">
        <v>0.04</v>
      </c>
      <c r="BW100" t="s">
        <v>50</v>
      </c>
      <c r="BX100" t="s">
        <v>739</v>
      </c>
      <c r="BY100">
        <v>4311270</v>
      </c>
      <c r="BZ100" t="s">
        <v>346</v>
      </c>
      <c r="CA100">
        <v>0.04</v>
      </c>
      <c r="CB100" t="s">
        <v>50</v>
      </c>
      <c r="CC100" t="s">
        <v>1424</v>
      </c>
      <c r="CD100">
        <v>4089578</v>
      </c>
      <c r="CE100" t="s">
        <v>346</v>
      </c>
      <c r="CF100">
        <v>7.0000000000000007E-2</v>
      </c>
      <c r="CG100" t="s">
        <v>53</v>
      </c>
      <c r="CH100" t="s">
        <v>1285</v>
      </c>
      <c r="CI100">
        <v>14171602</v>
      </c>
      <c r="CJ100" t="s">
        <v>346</v>
      </c>
      <c r="CK100">
        <v>0.03</v>
      </c>
      <c r="CL100" t="s">
        <v>62</v>
      </c>
      <c r="CM100" t="s">
        <v>444</v>
      </c>
      <c r="CN100">
        <v>109988</v>
      </c>
      <c r="CO100" t="s">
        <v>346</v>
      </c>
      <c r="CP100">
        <v>0.06</v>
      </c>
      <c r="CQ100" t="s">
        <v>53</v>
      </c>
      <c r="CV100" t="s">
        <v>306</v>
      </c>
      <c r="DA100" t="s">
        <v>306</v>
      </c>
      <c r="DB100" t="s">
        <v>1321</v>
      </c>
      <c r="DC100">
        <v>4213183</v>
      </c>
      <c r="DD100" t="s">
        <v>346</v>
      </c>
      <c r="DE100">
        <v>7.0000000000000007E-2</v>
      </c>
      <c r="DF100" t="s">
        <v>62</v>
      </c>
      <c r="DK100" t="s">
        <v>306</v>
      </c>
      <c r="DL100" t="s">
        <v>1321</v>
      </c>
      <c r="DM100">
        <v>4213183</v>
      </c>
      <c r="DN100" t="s">
        <v>346</v>
      </c>
      <c r="DO100">
        <v>7.0000000000000007E-2</v>
      </c>
      <c r="DP100" t="s">
        <v>62</v>
      </c>
      <c r="DU100" t="s">
        <v>306</v>
      </c>
      <c r="DV100" t="s">
        <v>1210</v>
      </c>
      <c r="DW100">
        <v>4304195</v>
      </c>
      <c r="DX100" t="s">
        <v>346</v>
      </c>
      <c r="DY100">
        <v>0</v>
      </c>
      <c r="DZ100" t="s">
        <v>62</v>
      </c>
      <c r="EA100" t="s">
        <v>1424</v>
      </c>
      <c r="EB100">
        <v>4089578</v>
      </c>
      <c r="EC100" t="s">
        <v>346</v>
      </c>
      <c r="ED100">
        <v>7.0000000000000007E-2</v>
      </c>
      <c r="EE100" t="s">
        <v>53</v>
      </c>
      <c r="EF100" t="s">
        <v>1321</v>
      </c>
      <c r="EG100">
        <v>4213183</v>
      </c>
      <c r="EH100" t="s">
        <v>346</v>
      </c>
      <c r="EI100">
        <v>7.0000000000000007E-2</v>
      </c>
      <c r="EJ100" t="s">
        <v>62</v>
      </c>
      <c r="EO100" t="s">
        <v>306</v>
      </c>
      <c r="EP100" t="s">
        <v>355</v>
      </c>
      <c r="EQ100">
        <v>111074</v>
      </c>
      <c r="ER100" t="s">
        <v>346</v>
      </c>
      <c r="ES100">
        <v>0</v>
      </c>
      <c r="ET100" t="s">
        <v>53</v>
      </c>
      <c r="EY100" t="s">
        <v>306</v>
      </c>
      <c r="FD100" t="s">
        <v>306</v>
      </c>
      <c r="FI100" t="s">
        <v>306</v>
      </c>
      <c r="FJ100" t="s">
        <v>410</v>
      </c>
      <c r="FK100">
        <v>5759394</v>
      </c>
      <c r="FL100" t="s">
        <v>346</v>
      </c>
      <c r="FM100">
        <v>0</v>
      </c>
      <c r="FN100" t="s">
        <v>2186</v>
      </c>
      <c r="FS100" t="s">
        <v>306</v>
      </c>
      <c r="FX100" t="s">
        <v>306</v>
      </c>
      <c r="FY100" t="s">
        <v>1321</v>
      </c>
      <c r="FZ100">
        <v>4213183</v>
      </c>
      <c r="GA100" t="s">
        <v>346</v>
      </c>
      <c r="GB100">
        <v>7.0000000000000007E-2</v>
      </c>
      <c r="GC100" t="s">
        <v>62</v>
      </c>
      <c r="GH100" t="s">
        <v>306</v>
      </c>
      <c r="GM100" t="s">
        <v>306</v>
      </c>
      <c r="GN100" t="s">
        <v>410</v>
      </c>
      <c r="GO100">
        <v>5759394</v>
      </c>
      <c r="GP100" t="s">
        <v>346</v>
      </c>
      <c r="GQ100">
        <v>0</v>
      </c>
      <c r="GR100" t="s">
        <v>2186</v>
      </c>
      <c r="GS100" t="s">
        <v>437</v>
      </c>
      <c r="GT100">
        <v>4102073</v>
      </c>
      <c r="GU100" t="s">
        <v>346</v>
      </c>
      <c r="GV100">
        <v>0.02</v>
      </c>
      <c r="GW100" t="s">
        <v>53</v>
      </c>
      <c r="GX100" t="s">
        <v>1424</v>
      </c>
      <c r="GY100">
        <v>4089578</v>
      </c>
      <c r="GZ100" t="s">
        <v>346</v>
      </c>
      <c r="HA100">
        <v>7.0000000000000007E-2</v>
      </c>
      <c r="HB100" t="s">
        <v>53</v>
      </c>
      <c r="HG100" t="s">
        <v>306</v>
      </c>
    </row>
    <row r="101" spans="5:215" x14ac:dyDescent="0.35">
      <c r="E101" t="s">
        <v>306</v>
      </c>
      <c r="F101" t="s">
        <v>490</v>
      </c>
      <c r="G101" t="s">
        <v>300</v>
      </c>
      <c r="H101" t="s">
        <v>361</v>
      </c>
      <c r="I101">
        <v>0.01</v>
      </c>
      <c r="J101" t="s">
        <v>50</v>
      </c>
      <c r="K101" t="s">
        <v>677</v>
      </c>
      <c r="L101">
        <v>4345260</v>
      </c>
      <c r="M101" t="s">
        <v>346</v>
      </c>
      <c r="N101">
        <v>0</v>
      </c>
      <c r="O101" t="s">
        <v>50</v>
      </c>
      <c r="T101" t="s">
        <v>306</v>
      </c>
      <c r="U101" t="s">
        <v>679</v>
      </c>
      <c r="V101">
        <v>4138221</v>
      </c>
      <c r="W101" t="s">
        <v>346</v>
      </c>
      <c r="X101">
        <v>0.04</v>
      </c>
      <c r="Y101" t="s">
        <v>50</v>
      </c>
      <c r="Z101" t="s">
        <v>677</v>
      </c>
      <c r="AA101">
        <v>4345260</v>
      </c>
      <c r="AB101" t="s">
        <v>346</v>
      </c>
      <c r="AC101">
        <v>0</v>
      </c>
      <c r="AD101" t="s">
        <v>50</v>
      </c>
      <c r="AE101" t="s">
        <v>553</v>
      </c>
      <c r="AF101">
        <v>4557089</v>
      </c>
      <c r="AG101" t="s">
        <v>346</v>
      </c>
      <c r="AH101">
        <v>0.01</v>
      </c>
      <c r="AI101" t="s">
        <v>80</v>
      </c>
      <c r="AN101" t="s">
        <v>306</v>
      </c>
      <c r="AO101" t="s">
        <v>452</v>
      </c>
      <c r="AP101">
        <v>4784107</v>
      </c>
      <c r="AQ101" t="s">
        <v>346</v>
      </c>
      <c r="AR101">
        <v>0.03</v>
      </c>
      <c r="AS101" t="s">
        <v>317</v>
      </c>
      <c r="AX101" t="s">
        <v>306</v>
      </c>
      <c r="BC101" t="s">
        <v>306</v>
      </c>
      <c r="BD101" t="s">
        <v>457</v>
      </c>
      <c r="BE101">
        <v>110399</v>
      </c>
      <c r="BF101" t="s">
        <v>346</v>
      </c>
      <c r="BG101">
        <v>7.0000000000000007E-2</v>
      </c>
      <c r="BH101" t="s">
        <v>53</v>
      </c>
      <c r="BI101" t="s">
        <v>1565</v>
      </c>
      <c r="BJ101">
        <v>4397725</v>
      </c>
      <c r="BK101" t="s">
        <v>346</v>
      </c>
      <c r="BL101">
        <v>0.02</v>
      </c>
      <c r="BM101" t="s">
        <v>2185</v>
      </c>
      <c r="BN101" t="s">
        <v>736</v>
      </c>
      <c r="BO101">
        <v>4139955</v>
      </c>
      <c r="BP101" t="s">
        <v>346</v>
      </c>
      <c r="BQ101">
        <v>0.02</v>
      </c>
      <c r="BR101" t="s">
        <v>2181</v>
      </c>
      <c r="BS101" t="s">
        <v>491</v>
      </c>
      <c r="BT101">
        <v>106960</v>
      </c>
      <c r="BU101" t="s">
        <v>346</v>
      </c>
      <c r="BV101">
        <v>0.03</v>
      </c>
      <c r="BW101" t="s">
        <v>80</v>
      </c>
      <c r="BX101" t="s">
        <v>679</v>
      </c>
      <c r="BY101">
        <v>4138221</v>
      </c>
      <c r="BZ101" t="s">
        <v>346</v>
      </c>
      <c r="CA101">
        <v>0.04</v>
      </c>
      <c r="CB101" t="s">
        <v>50</v>
      </c>
      <c r="CC101" t="s">
        <v>1636</v>
      </c>
      <c r="CD101">
        <v>4677902</v>
      </c>
      <c r="CE101" t="s">
        <v>364</v>
      </c>
      <c r="CF101">
        <v>7.0000000000000007E-2</v>
      </c>
      <c r="CG101" t="s">
        <v>53</v>
      </c>
      <c r="CH101" t="s">
        <v>452</v>
      </c>
      <c r="CI101">
        <v>4784107</v>
      </c>
      <c r="CJ101" t="s">
        <v>346</v>
      </c>
      <c r="CK101">
        <v>0.03</v>
      </c>
      <c r="CL101" t="s">
        <v>317</v>
      </c>
      <c r="CM101" t="s">
        <v>1967</v>
      </c>
      <c r="CN101">
        <v>19549672</v>
      </c>
      <c r="CO101" t="s">
        <v>276</v>
      </c>
      <c r="CP101">
        <v>0.05</v>
      </c>
      <c r="CQ101" t="s">
        <v>125</v>
      </c>
      <c r="CV101" t="s">
        <v>306</v>
      </c>
      <c r="DA101" t="s">
        <v>306</v>
      </c>
      <c r="DB101" t="s">
        <v>457</v>
      </c>
      <c r="DC101">
        <v>110399</v>
      </c>
      <c r="DD101" t="s">
        <v>346</v>
      </c>
      <c r="DE101">
        <v>7.0000000000000007E-2</v>
      </c>
      <c r="DF101" t="s">
        <v>53</v>
      </c>
      <c r="DK101" t="s">
        <v>306</v>
      </c>
      <c r="DL101" t="s">
        <v>457</v>
      </c>
      <c r="DM101">
        <v>110399</v>
      </c>
      <c r="DN101" t="s">
        <v>346</v>
      </c>
      <c r="DO101">
        <v>7.0000000000000007E-2</v>
      </c>
      <c r="DP101" t="s">
        <v>53</v>
      </c>
      <c r="DU101" t="s">
        <v>306</v>
      </c>
      <c r="DV101" t="s">
        <v>469</v>
      </c>
      <c r="DW101">
        <v>4026996</v>
      </c>
      <c r="DX101" t="s">
        <v>346</v>
      </c>
      <c r="DY101">
        <v>0</v>
      </c>
      <c r="DZ101" t="s">
        <v>53</v>
      </c>
      <c r="EA101" t="s">
        <v>1636</v>
      </c>
      <c r="EB101">
        <v>4677902</v>
      </c>
      <c r="EC101" t="s">
        <v>364</v>
      </c>
      <c r="ED101">
        <v>7.0000000000000007E-2</v>
      </c>
      <c r="EE101" t="s">
        <v>53</v>
      </c>
      <c r="EF101" t="s">
        <v>457</v>
      </c>
      <c r="EG101">
        <v>110399</v>
      </c>
      <c r="EH101" t="s">
        <v>346</v>
      </c>
      <c r="EI101">
        <v>7.0000000000000007E-2</v>
      </c>
      <c r="EJ101" t="s">
        <v>53</v>
      </c>
      <c r="EO101" t="s">
        <v>306</v>
      </c>
      <c r="EP101" t="s">
        <v>673</v>
      </c>
      <c r="EQ101">
        <v>5837129</v>
      </c>
      <c r="ER101" t="s">
        <v>346</v>
      </c>
      <c r="ES101">
        <v>0</v>
      </c>
      <c r="ET101" t="s">
        <v>50</v>
      </c>
      <c r="EY101" t="s">
        <v>306</v>
      </c>
      <c r="FD101" t="s">
        <v>306</v>
      </c>
      <c r="FI101" t="s">
        <v>306</v>
      </c>
      <c r="FJ101" t="s">
        <v>2166</v>
      </c>
      <c r="FK101">
        <v>4139073</v>
      </c>
      <c r="FL101" t="s">
        <v>346</v>
      </c>
      <c r="FM101">
        <v>0</v>
      </c>
      <c r="FN101" t="s">
        <v>2197</v>
      </c>
      <c r="FS101" t="s">
        <v>306</v>
      </c>
      <c r="FX101" t="s">
        <v>306</v>
      </c>
      <c r="FY101" t="s">
        <v>457</v>
      </c>
      <c r="FZ101">
        <v>110399</v>
      </c>
      <c r="GA101" t="s">
        <v>346</v>
      </c>
      <c r="GB101">
        <v>7.0000000000000007E-2</v>
      </c>
      <c r="GC101" t="s">
        <v>53</v>
      </c>
      <c r="GH101" t="s">
        <v>306</v>
      </c>
      <c r="GM101" t="s">
        <v>306</v>
      </c>
      <c r="GN101" t="s">
        <v>2166</v>
      </c>
      <c r="GO101">
        <v>4139073</v>
      </c>
      <c r="GP101" t="s">
        <v>346</v>
      </c>
      <c r="GQ101">
        <v>0</v>
      </c>
      <c r="GR101" t="s">
        <v>2197</v>
      </c>
      <c r="GS101" t="s">
        <v>736</v>
      </c>
      <c r="GT101">
        <v>4139955</v>
      </c>
      <c r="GU101" t="s">
        <v>346</v>
      </c>
      <c r="GV101">
        <v>0.02</v>
      </c>
      <c r="GW101" t="s">
        <v>2181</v>
      </c>
      <c r="GX101" t="s">
        <v>1636</v>
      </c>
      <c r="GY101">
        <v>4677902</v>
      </c>
      <c r="GZ101" t="s">
        <v>364</v>
      </c>
      <c r="HA101">
        <v>7.0000000000000007E-2</v>
      </c>
      <c r="HB101" t="s">
        <v>53</v>
      </c>
      <c r="HG101" t="s">
        <v>306</v>
      </c>
    </row>
    <row r="102" spans="5:215" x14ac:dyDescent="0.35">
      <c r="E102" t="s">
        <v>306</v>
      </c>
      <c r="F102" t="s">
        <v>491</v>
      </c>
      <c r="G102">
        <v>106960</v>
      </c>
      <c r="H102" t="s">
        <v>346</v>
      </c>
      <c r="I102">
        <v>0.01</v>
      </c>
      <c r="J102" t="s">
        <v>80</v>
      </c>
      <c r="K102" t="s">
        <v>533</v>
      </c>
      <c r="L102">
        <v>4377155</v>
      </c>
      <c r="M102" t="s">
        <v>346</v>
      </c>
      <c r="N102">
        <v>0</v>
      </c>
      <c r="O102" t="s">
        <v>2192</v>
      </c>
      <c r="T102" t="s">
        <v>306</v>
      </c>
      <c r="U102" t="s">
        <v>740</v>
      </c>
      <c r="V102">
        <v>4271664</v>
      </c>
      <c r="W102" t="s">
        <v>346</v>
      </c>
      <c r="X102">
        <v>0.04</v>
      </c>
      <c r="Y102" t="s">
        <v>313</v>
      </c>
      <c r="Z102" t="s">
        <v>533</v>
      </c>
      <c r="AA102">
        <v>4377155</v>
      </c>
      <c r="AB102" t="s">
        <v>346</v>
      </c>
      <c r="AC102">
        <v>0</v>
      </c>
      <c r="AD102" t="s">
        <v>2192</v>
      </c>
      <c r="AE102" t="s">
        <v>501</v>
      </c>
      <c r="AF102">
        <v>111359</v>
      </c>
      <c r="AG102" t="s">
        <v>346</v>
      </c>
      <c r="AH102">
        <v>0.01</v>
      </c>
      <c r="AI102" t="s">
        <v>53</v>
      </c>
      <c r="AN102" t="s">
        <v>306</v>
      </c>
      <c r="AO102" t="s">
        <v>454</v>
      </c>
      <c r="AP102">
        <v>4145691</v>
      </c>
      <c r="AQ102" t="s">
        <v>346</v>
      </c>
      <c r="AR102">
        <v>0.03</v>
      </c>
      <c r="AS102" t="s">
        <v>53</v>
      </c>
      <c r="AX102" t="s">
        <v>306</v>
      </c>
      <c r="BC102" t="s">
        <v>306</v>
      </c>
      <c r="BD102" t="s">
        <v>1418</v>
      </c>
      <c r="BE102">
        <v>4115672</v>
      </c>
      <c r="BF102" t="s">
        <v>364</v>
      </c>
      <c r="BG102">
        <v>0.06</v>
      </c>
      <c r="BH102" t="s">
        <v>313</v>
      </c>
      <c r="BI102" t="s">
        <v>472</v>
      </c>
      <c r="BJ102">
        <v>4048215</v>
      </c>
      <c r="BK102" t="s">
        <v>346</v>
      </c>
      <c r="BL102">
        <v>0.02</v>
      </c>
      <c r="BM102" t="s">
        <v>53</v>
      </c>
      <c r="BN102" t="s">
        <v>530</v>
      </c>
      <c r="BO102">
        <v>102729</v>
      </c>
      <c r="BP102" t="s">
        <v>346</v>
      </c>
      <c r="BQ102">
        <v>0.02</v>
      </c>
      <c r="BR102" t="s">
        <v>53</v>
      </c>
      <c r="BS102" t="s">
        <v>354</v>
      </c>
      <c r="BT102">
        <v>110652</v>
      </c>
      <c r="BU102" t="s">
        <v>346</v>
      </c>
      <c r="BV102">
        <v>0.03</v>
      </c>
      <c r="BW102" t="s">
        <v>53</v>
      </c>
      <c r="BX102" t="s">
        <v>740</v>
      </c>
      <c r="BY102">
        <v>4271664</v>
      </c>
      <c r="BZ102" t="s">
        <v>346</v>
      </c>
      <c r="CA102">
        <v>0.04</v>
      </c>
      <c r="CB102" t="s">
        <v>313</v>
      </c>
      <c r="CC102" t="s">
        <v>1637</v>
      </c>
      <c r="CD102">
        <v>4252195</v>
      </c>
      <c r="CE102" t="s">
        <v>364</v>
      </c>
      <c r="CF102">
        <v>0.06</v>
      </c>
      <c r="CG102" t="s">
        <v>53</v>
      </c>
      <c r="CH102" t="s">
        <v>454</v>
      </c>
      <c r="CI102">
        <v>4145691</v>
      </c>
      <c r="CJ102" t="s">
        <v>346</v>
      </c>
      <c r="CK102">
        <v>0.03</v>
      </c>
      <c r="CL102" t="s">
        <v>53</v>
      </c>
      <c r="CM102" t="s">
        <v>1690</v>
      </c>
      <c r="CN102">
        <v>4117333</v>
      </c>
      <c r="CO102" t="s">
        <v>364</v>
      </c>
      <c r="CP102">
        <v>0.05</v>
      </c>
      <c r="CQ102" t="s">
        <v>317</v>
      </c>
      <c r="CV102" t="s">
        <v>306</v>
      </c>
      <c r="DA102" t="s">
        <v>306</v>
      </c>
      <c r="DB102" t="s">
        <v>1418</v>
      </c>
      <c r="DC102">
        <v>4115672</v>
      </c>
      <c r="DD102" t="s">
        <v>364</v>
      </c>
      <c r="DE102">
        <v>0.06</v>
      </c>
      <c r="DF102" t="s">
        <v>313</v>
      </c>
      <c r="DK102" t="s">
        <v>306</v>
      </c>
      <c r="DL102" t="s">
        <v>1418</v>
      </c>
      <c r="DM102">
        <v>4115672</v>
      </c>
      <c r="DN102" t="s">
        <v>364</v>
      </c>
      <c r="DO102">
        <v>0.06</v>
      </c>
      <c r="DP102" t="s">
        <v>313</v>
      </c>
      <c r="DU102" t="s">
        <v>306</v>
      </c>
      <c r="DV102" t="s">
        <v>378</v>
      </c>
      <c r="DW102">
        <v>4048184</v>
      </c>
      <c r="DX102" t="s">
        <v>346</v>
      </c>
      <c r="DY102">
        <v>0</v>
      </c>
      <c r="DZ102" t="s">
        <v>80</v>
      </c>
      <c r="EA102" t="s">
        <v>1637</v>
      </c>
      <c r="EB102">
        <v>4252195</v>
      </c>
      <c r="EC102" t="s">
        <v>364</v>
      </c>
      <c r="ED102">
        <v>0.06</v>
      </c>
      <c r="EE102" t="s">
        <v>53</v>
      </c>
      <c r="EF102" t="s">
        <v>1418</v>
      </c>
      <c r="EG102">
        <v>4115672</v>
      </c>
      <c r="EH102" t="s">
        <v>364</v>
      </c>
      <c r="EI102">
        <v>0.06</v>
      </c>
      <c r="EJ102" t="s">
        <v>313</v>
      </c>
      <c r="EO102" t="s">
        <v>306</v>
      </c>
      <c r="EP102" t="s">
        <v>398</v>
      </c>
      <c r="EQ102">
        <v>4107954</v>
      </c>
      <c r="ER102" t="s">
        <v>300</v>
      </c>
      <c r="ES102">
        <v>0</v>
      </c>
      <c r="ET102" t="s">
        <v>304</v>
      </c>
      <c r="EY102" t="s">
        <v>306</v>
      </c>
      <c r="FD102" t="s">
        <v>306</v>
      </c>
      <c r="FI102" t="s">
        <v>306</v>
      </c>
      <c r="FJ102" t="s">
        <v>512</v>
      </c>
      <c r="FK102">
        <v>6422826</v>
      </c>
      <c r="FL102" t="s">
        <v>346</v>
      </c>
      <c r="FM102">
        <v>0</v>
      </c>
      <c r="FN102" t="s">
        <v>304</v>
      </c>
      <c r="FS102" t="s">
        <v>306</v>
      </c>
      <c r="FX102" t="s">
        <v>306</v>
      </c>
      <c r="FY102" t="s">
        <v>1418</v>
      </c>
      <c r="FZ102">
        <v>4115672</v>
      </c>
      <c r="GA102" t="s">
        <v>364</v>
      </c>
      <c r="GB102">
        <v>0.06</v>
      </c>
      <c r="GC102" t="s">
        <v>313</v>
      </c>
      <c r="GH102" t="s">
        <v>306</v>
      </c>
      <c r="GM102" t="s">
        <v>306</v>
      </c>
      <c r="GN102" t="s">
        <v>512</v>
      </c>
      <c r="GO102">
        <v>6422826</v>
      </c>
      <c r="GP102" t="s">
        <v>346</v>
      </c>
      <c r="GQ102">
        <v>0</v>
      </c>
      <c r="GR102" t="s">
        <v>304</v>
      </c>
      <c r="GS102" t="s">
        <v>530</v>
      </c>
      <c r="GT102">
        <v>102729</v>
      </c>
      <c r="GU102" t="s">
        <v>346</v>
      </c>
      <c r="GV102">
        <v>0.02</v>
      </c>
      <c r="GW102" t="s">
        <v>53</v>
      </c>
      <c r="GX102" t="s">
        <v>1637</v>
      </c>
      <c r="GY102">
        <v>4252195</v>
      </c>
      <c r="GZ102" t="s">
        <v>364</v>
      </c>
      <c r="HA102">
        <v>0.06</v>
      </c>
      <c r="HB102" t="s">
        <v>53</v>
      </c>
      <c r="HG102" t="s">
        <v>306</v>
      </c>
    </row>
    <row r="103" spans="5:215" x14ac:dyDescent="0.35">
      <c r="E103" t="s">
        <v>306</v>
      </c>
      <c r="F103" t="s">
        <v>492</v>
      </c>
      <c r="G103">
        <v>110674</v>
      </c>
      <c r="H103" t="s">
        <v>346</v>
      </c>
      <c r="I103">
        <v>0.01</v>
      </c>
      <c r="J103" t="s">
        <v>53</v>
      </c>
      <c r="K103" t="s">
        <v>678</v>
      </c>
      <c r="L103">
        <v>5877799</v>
      </c>
      <c r="M103" t="s">
        <v>346</v>
      </c>
      <c r="N103">
        <v>0</v>
      </c>
      <c r="O103" t="s">
        <v>50</v>
      </c>
      <c r="T103" t="s">
        <v>306</v>
      </c>
      <c r="U103" t="s">
        <v>492</v>
      </c>
      <c r="V103">
        <v>110674</v>
      </c>
      <c r="W103" t="s">
        <v>346</v>
      </c>
      <c r="X103">
        <v>0.04</v>
      </c>
      <c r="Y103" t="s">
        <v>53</v>
      </c>
      <c r="Z103" t="s">
        <v>678</v>
      </c>
      <c r="AA103">
        <v>5877799</v>
      </c>
      <c r="AB103" t="s">
        <v>346</v>
      </c>
      <c r="AC103">
        <v>0</v>
      </c>
      <c r="AD103" t="s">
        <v>50</v>
      </c>
      <c r="AE103" t="s">
        <v>577</v>
      </c>
      <c r="AF103">
        <v>4026915</v>
      </c>
      <c r="AG103" t="s">
        <v>346</v>
      </c>
      <c r="AH103">
        <v>0.01</v>
      </c>
      <c r="AI103" t="s">
        <v>53</v>
      </c>
      <c r="AN103" t="s">
        <v>306</v>
      </c>
      <c r="AO103" t="s">
        <v>562</v>
      </c>
      <c r="AP103">
        <v>4256114</v>
      </c>
      <c r="AQ103" t="s">
        <v>346</v>
      </c>
      <c r="AR103">
        <v>0.03</v>
      </c>
      <c r="AS103" t="s">
        <v>301</v>
      </c>
      <c r="AX103" t="s">
        <v>306</v>
      </c>
      <c r="BC103" t="s">
        <v>306</v>
      </c>
      <c r="BD103" t="s">
        <v>753</v>
      </c>
      <c r="BE103">
        <v>10499632</v>
      </c>
      <c r="BF103" t="s">
        <v>363</v>
      </c>
      <c r="BG103">
        <v>0.06</v>
      </c>
      <c r="BH103" t="s">
        <v>313</v>
      </c>
      <c r="BI103" t="s">
        <v>974</v>
      </c>
      <c r="BJ103">
        <v>5828077</v>
      </c>
      <c r="BK103" t="s">
        <v>346</v>
      </c>
      <c r="BL103">
        <v>0.02</v>
      </c>
      <c r="BM103" t="s">
        <v>313</v>
      </c>
      <c r="BN103" t="s">
        <v>672</v>
      </c>
      <c r="BO103">
        <v>4139739</v>
      </c>
      <c r="BP103" t="s">
        <v>346</v>
      </c>
      <c r="BQ103">
        <v>0.02</v>
      </c>
      <c r="BR103" t="s">
        <v>50</v>
      </c>
      <c r="BS103" t="s">
        <v>744</v>
      </c>
      <c r="BT103">
        <v>4099072</v>
      </c>
      <c r="BU103" t="s">
        <v>346</v>
      </c>
      <c r="BV103">
        <v>0.03</v>
      </c>
      <c r="BW103" t="s">
        <v>53</v>
      </c>
      <c r="BX103" t="s">
        <v>492</v>
      </c>
      <c r="BY103">
        <v>110674</v>
      </c>
      <c r="BZ103" t="s">
        <v>346</v>
      </c>
      <c r="CA103">
        <v>0.04</v>
      </c>
      <c r="CB103" t="s">
        <v>53</v>
      </c>
      <c r="CC103" t="s">
        <v>456</v>
      </c>
      <c r="CD103">
        <v>4249110</v>
      </c>
      <c r="CE103" t="s">
        <v>346</v>
      </c>
      <c r="CF103">
        <v>0.06</v>
      </c>
      <c r="CG103" t="s">
        <v>313</v>
      </c>
      <c r="CH103" t="s">
        <v>562</v>
      </c>
      <c r="CI103">
        <v>4256114</v>
      </c>
      <c r="CJ103" t="s">
        <v>346</v>
      </c>
      <c r="CK103">
        <v>0.03</v>
      </c>
      <c r="CL103" t="s">
        <v>301</v>
      </c>
      <c r="CM103" t="s">
        <v>1280</v>
      </c>
      <c r="CN103">
        <v>5818409</v>
      </c>
      <c r="CO103" t="s">
        <v>364</v>
      </c>
      <c r="CP103">
        <v>0.05</v>
      </c>
      <c r="CQ103" t="s">
        <v>62</v>
      </c>
      <c r="CV103" t="s">
        <v>306</v>
      </c>
      <c r="DA103" t="s">
        <v>306</v>
      </c>
      <c r="DB103" t="s">
        <v>753</v>
      </c>
      <c r="DC103">
        <v>10499632</v>
      </c>
      <c r="DD103" t="s">
        <v>363</v>
      </c>
      <c r="DE103">
        <v>0.06</v>
      </c>
      <c r="DF103" t="s">
        <v>313</v>
      </c>
      <c r="DK103" t="s">
        <v>306</v>
      </c>
      <c r="DL103" t="s">
        <v>753</v>
      </c>
      <c r="DM103">
        <v>10499632</v>
      </c>
      <c r="DN103" t="s">
        <v>363</v>
      </c>
      <c r="DO103">
        <v>0.06</v>
      </c>
      <c r="DP103" t="s">
        <v>313</v>
      </c>
      <c r="DU103" t="s">
        <v>306</v>
      </c>
      <c r="DV103" t="s">
        <v>1187</v>
      </c>
      <c r="DW103">
        <v>4209260</v>
      </c>
      <c r="DX103" t="s">
        <v>346</v>
      </c>
      <c r="DY103">
        <v>0</v>
      </c>
      <c r="DZ103" t="s">
        <v>53</v>
      </c>
      <c r="EA103" t="s">
        <v>456</v>
      </c>
      <c r="EB103">
        <v>4249110</v>
      </c>
      <c r="EC103" t="s">
        <v>346</v>
      </c>
      <c r="ED103">
        <v>0.06</v>
      </c>
      <c r="EE103" t="s">
        <v>313</v>
      </c>
      <c r="EF103" t="s">
        <v>753</v>
      </c>
      <c r="EG103">
        <v>10499632</v>
      </c>
      <c r="EH103" t="s">
        <v>363</v>
      </c>
      <c r="EI103">
        <v>0.06</v>
      </c>
      <c r="EJ103" t="s">
        <v>313</v>
      </c>
      <c r="EO103" t="s">
        <v>306</v>
      </c>
      <c r="EP103" t="s">
        <v>788</v>
      </c>
      <c r="EQ103">
        <v>4592065</v>
      </c>
      <c r="ER103" t="s">
        <v>346</v>
      </c>
      <c r="ES103">
        <v>0</v>
      </c>
      <c r="ET103" t="s">
        <v>50</v>
      </c>
      <c r="EY103" t="s">
        <v>306</v>
      </c>
      <c r="FD103" t="s">
        <v>306</v>
      </c>
      <c r="FI103" t="s">
        <v>306</v>
      </c>
      <c r="FJ103" t="s">
        <v>466</v>
      </c>
      <c r="FK103">
        <v>111267</v>
      </c>
      <c r="FL103" t="s">
        <v>346</v>
      </c>
      <c r="FM103">
        <v>0</v>
      </c>
      <c r="FN103" t="s">
        <v>313</v>
      </c>
      <c r="FS103" t="s">
        <v>306</v>
      </c>
      <c r="FX103" t="s">
        <v>306</v>
      </c>
      <c r="FY103" t="s">
        <v>753</v>
      </c>
      <c r="FZ103">
        <v>10499632</v>
      </c>
      <c r="GA103" t="s">
        <v>363</v>
      </c>
      <c r="GB103">
        <v>0.06</v>
      </c>
      <c r="GC103" t="s">
        <v>313</v>
      </c>
      <c r="GH103" t="s">
        <v>306</v>
      </c>
      <c r="GM103" t="s">
        <v>306</v>
      </c>
      <c r="GN103" t="s">
        <v>466</v>
      </c>
      <c r="GO103">
        <v>111267</v>
      </c>
      <c r="GP103" t="s">
        <v>346</v>
      </c>
      <c r="GQ103">
        <v>0</v>
      </c>
      <c r="GR103" t="s">
        <v>313</v>
      </c>
      <c r="GS103" t="s">
        <v>672</v>
      </c>
      <c r="GT103">
        <v>4139739</v>
      </c>
      <c r="GU103" t="s">
        <v>346</v>
      </c>
      <c r="GV103">
        <v>0.02</v>
      </c>
      <c r="GW103" t="s">
        <v>50</v>
      </c>
      <c r="GX103" t="s">
        <v>456</v>
      </c>
      <c r="GY103">
        <v>4249110</v>
      </c>
      <c r="GZ103" t="s">
        <v>346</v>
      </c>
      <c r="HA103">
        <v>0.06</v>
      </c>
      <c r="HB103" t="s">
        <v>313</v>
      </c>
      <c r="HG103" t="s">
        <v>306</v>
      </c>
    </row>
    <row r="104" spans="5:215" x14ac:dyDescent="0.35">
      <c r="E104" t="s">
        <v>306</v>
      </c>
      <c r="F104" t="s">
        <v>493</v>
      </c>
      <c r="G104" t="s">
        <v>300</v>
      </c>
      <c r="H104" t="s">
        <v>361</v>
      </c>
      <c r="I104">
        <v>0.01</v>
      </c>
      <c r="J104" t="s">
        <v>50</v>
      </c>
      <c r="K104" t="s">
        <v>679</v>
      </c>
      <c r="L104">
        <v>4138221</v>
      </c>
      <c r="M104" t="s">
        <v>346</v>
      </c>
      <c r="N104">
        <v>0</v>
      </c>
      <c r="O104" t="s">
        <v>50</v>
      </c>
      <c r="T104" t="s">
        <v>306</v>
      </c>
      <c r="U104" t="s">
        <v>643</v>
      </c>
      <c r="V104">
        <v>8365031</v>
      </c>
      <c r="W104" t="s">
        <v>346</v>
      </c>
      <c r="X104">
        <v>0.04</v>
      </c>
      <c r="Y104" t="s">
        <v>125</v>
      </c>
      <c r="Z104" t="s">
        <v>679</v>
      </c>
      <c r="AA104">
        <v>4138221</v>
      </c>
      <c r="AB104" t="s">
        <v>346</v>
      </c>
      <c r="AC104">
        <v>0</v>
      </c>
      <c r="AD104" t="s">
        <v>50</v>
      </c>
      <c r="AE104" t="s">
        <v>1034</v>
      </c>
      <c r="AF104">
        <v>4256960</v>
      </c>
      <c r="AG104" t="s">
        <v>346</v>
      </c>
      <c r="AH104">
        <v>0.01</v>
      </c>
      <c r="AI104" t="s">
        <v>2183</v>
      </c>
      <c r="AN104" t="s">
        <v>306</v>
      </c>
      <c r="AO104" t="s">
        <v>1286</v>
      </c>
      <c r="AP104">
        <v>4388414</v>
      </c>
      <c r="AQ104" t="s">
        <v>346</v>
      </c>
      <c r="AR104">
        <v>0.03</v>
      </c>
      <c r="AS104" t="s">
        <v>62</v>
      </c>
      <c r="AX104" t="s">
        <v>306</v>
      </c>
      <c r="BC104" t="s">
        <v>306</v>
      </c>
      <c r="BD104" t="s">
        <v>907</v>
      </c>
      <c r="BE104">
        <v>109931</v>
      </c>
      <c r="BF104" t="s">
        <v>346</v>
      </c>
      <c r="BG104">
        <v>0.06</v>
      </c>
      <c r="BH104" t="s">
        <v>53</v>
      </c>
      <c r="BI104" t="s">
        <v>880</v>
      </c>
      <c r="BJ104">
        <v>4139864</v>
      </c>
      <c r="BK104" t="s">
        <v>346</v>
      </c>
      <c r="BL104">
        <v>0.02</v>
      </c>
      <c r="BM104" t="s">
        <v>313</v>
      </c>
      <c r="BN104" t="s">
        <v>764</v>
      </c>
      <c r="BO104">
        <v>5879252</v>
      </c>
      <c r="BP104" t="s">
        <v>346</v>
      </c>
      <c r="BQ104">
        <v>0.02</v>
      </c>
      <c r="BR104" t="s">
        <v>50</v>
      </c>
      <c r="BS104" t="s">
        <v>451</v>
      </c>
      <c r="BT104">
        <v>5747632</v>
      </c>
      <c r="BU104" t="s">
        <v>346</v>
      </c>
      <c r="BV104">
        <v>0.03</v>
      </c>
      <c r="BW104" t="s">
        <v>80</v>
      </c>
      <c r="BX104" t="s">
        <v>643</v>
      </c>
      <c r="BY104">
        <v>8365031</v>
      </c>
      <c r="BZ104" t="s">
        <v>346</v>
      </c>
      <c r="CA104">
        <v>0.04</v>
      </c>
      <c r="CB104" t="s">
        <v>125</v>
      </c>
      <c r="CC104" t="s">
        <v>1638</v>
      </c>
      <c r="CD104">
        <v>5810300</v>
      </c>
      <c r="CE104" t="s">
        <v>276</v>
      </c>
      <c r="CF104">
        <v>0.06</v>
      </c>
      <c r="CG104" t="s">
        <v>114</v>
      </c>
      <c r="CH104" t="s">
        <v>1286</v>
      </c>
      <c r="CI104">
        <v>4388414</v>
      </c>
      <c r="CJ104" t="s">
        <v>346</v>
      </c>
      <c r="CK104">
        <v>0.03</v>
      </c>
      <c r="CL104" t="s">
        <v>62</v>
      </c>
      <c r="CM104" t="s">
        <v>401</v>
      </c>
      <c r="CN104">
        <v>4139862</v>
      </c>
      <c r="CO104" t="s">
        <v>346</v>
      </c>
      <c r="CP104">
        <v>0.05</v>
      </c>
      <c r="CQ104" t="s">
        <v>313</v>
      </c>
      <c r="CV104" t="s">
        <v>306</v>
      </c>
      <c r="DA104" t="s">
        <v>306</v>
      </c>
      <c r="DB104" t="s">
        <v>907</v>
      </c>
      <c r="DC104">
        <v>109931</v>
      </c>
      <c r="DD104" t="s">
        <v>346</v>
      </c>
      <c r="DE104">
        <v>0.06</v>
      </c>
      <c r="DF104" t="s">
        <v>53</v>
      </c>
      <c r="DK104" t="s">
        <v>306</v>
      </c>
      <c r="DL104" t="s">
        <v>907</v>
      </c>
      <c r="DM104">
        <v>109931</v>
      </c>
      <c r="DN104" t="s">
        <v>346</v>
      </c>
      <c r="DO104">
        <v>0.06</v>
      </c>
      <c r="DP104" t="s">
        <v>53</v>
      </c>
      <c r="DU104" t="s">
        <v>306</v>
      </c>
      <c r="DV104" t="s">
        <v>385</v>
      </c>
      <c r="DW104">
        <v>5752504</v>
      </c>
      <c r="DX104" t="s">
        <v>346</v>
      </c>
      <c r="DY104">
        <v>0</v>
      </c>
      <c r="DZ104" t="s">
        <v>53</v>
      </c>
      <c r="EA104" t="s">
        <v>1638</v>
      </c>
      <c r="EB104">
        <v>5810300</v>
      </c>
      <c r="EC104" t="s">
        <v>276</v>
      </c>
      <c r="ED104">
        <v>0.06</v>
      </c>
      <c r="EE104" t="s">
        <v>114</v>
      </c>
      <c r="EF104" t="s">
        <v>907</v>
      </c>
      <c r="EG104">
        <v>109931</v>
      </c>
      <c r="EH104" t="s">
        <v>346</v>
      </c>
      <c r="EI104">
        <v>0.06</v>
      </c>
      <c r="EJ104" t="s">
        <v>53</v>
      </c>
      <c r="EO104" t="s">
        <v>306</v>
      </c>
      <c r="EP104" t="s">
        <v>800</v>
      </c>
      <c r="EQ104">
        <v>5883563</v>
      </c>
      <c r="ER104" t="s">
        <v>346</v>
      </c>
      <c r="ES104">
        <v>0</v>
      </c>
      <c r="ET104" t="s">
        <v>50</v>
      </c>
      <c r="EY104" t="s">
        <v>306</v>
      </c>
      <c r="FD104" t="s">
        <v>306</v>
      </c>
      <c r="FI104" t="s">
        <v>306</v>
      </c>
      <c r="FJ104" t="s">
        <v>482</v>
      </c>
      <c r="FK104">
        <v>4048742</v>
      </c>
      <c r="FL104" t="s">
        <v>346</v>
      </c>
      <c r="FM104">
        <v>0</v>
      </c>
      <c r="FN104" t="s">
        <v>80</v>
      </c>
      <c r="FS104" t="s">
        <v>306</v>
      </c>
      <c r="FX104" t="s">
        <v>306</v>
      </c>
      <c r="FY104" t="s">
        <v>907</v>
      </c>
      <c r="FZ104">
        <v>109931</v>
      </c>
      <c r="GA104" t="s">
        <v>346</v>
      </c>
      <c r="GB104">
        <v>0.06</v>
      </c>
      <c r="GC104" t="s">
        <v>53</v>
      </c>
      <c r="GH104" t="s">
        <v>306</v>
      </c>
      <c r="GM104" t="s">
        <v>306</v>
      </c>
      <c r="GN104" t="s">
        <v>482</v>
      </c>
      <c r="GO104">
        <v>4048742</v>
      </c>
      <c r="GP104" t="s">
        <v>346</v>
      </c>
      <c r="GQ104">
        <v>0</v>
      </c>
      <c r="GR104" t="s">
        <v>80</v>
      </c>
      <c r="GS104" t="s">
        <v>764</v>
      </c>
      <c r="GT104">
        <v>5879252</v>
      </c>
      <c r="GU104" t="s">
        <v>346</v>
      </c>
      <c r="GV104">
        <v>0.02</v>
      </c>
      <c r="GW104" t="s">
        <v>50</v>
      </c>
      <c r="GX104" t="s">
        <v>1638</v>
      </c>
      <c r="GY104">
        <v>5810300</v>
      </c>
      <c r="GZ104" t="s">
        <v>276</v>
      </c>
      <c r="HA104">
        <v>0.06</v>
      </c>
      <c r="HB104" t="s">
        <v>114</v>
      </c>
      <c r="HG104" t="s">
        <v>306</v>
      </c>
    </row>
    <row r="105" spans="5:215" x14ac:dyDescent="0.35">
      <c r="E105" t="s">
        <v>306</v>
      </c>
      <c r="F105" t="s">
        <v>494</v>
      </c>
      <c r="G105">
        <v>4583596</v>
      </c>
      <c r="H105" t="s">
        <v>346</v>
      </c>
      <c r="I105">
        <v>0.01</v>
      </c>
      <c r="J105" t="s">
        <v>53</v>
      </c>
      <c r="K105" t="s">
        <v>530</v>
      </c>
      <c r="L105">
        <v>102729</v>
      </c>
      <c r="M105" t="s">
        <v>346</v>
      </c>
      <c r="N105">
        <v>0</v>
      </c>
      <c r="O105" t="s">
        <v>53</v>
      </c>
      <c r="T105" t="s">
        <v>306</v>
      </c>
      <c r="U105" t="s">
        <v>741</v>
      </c>
      <c r="V105">
        <v>4404664</v>
      </c>
      <c r="W105" t="s">
        <v>346</v>
      </c>
      <c r="X105">
        <v>0.04</v>
      </c>
      <c r="Y105" t="s">
        <v>50</v>
      </c>
      <c r="Z105" t="s">
        <v>530</v>
      </c>
      <c r="AA105">
        <v>102729</v>
      </c>
      <c r="AB105" t="s">
        <v>346</v>
      </c>
      <c r="AC105">
        <v>0</v>
      </c>
      <c r="AD105" t="s">
        <v>53</v>
      </c>
      <c r="AE105" t="s">
        <v>1136</v>
      </c>
      <c r="AF105">
        <v>113818</v>
      </c>
      <c r="AG105" t="s">
        <v>366</v>
      </c>
      <c r="AH105">
        <v>0.01</v>
      </c>
      <c r="AI105" t="s">
        <v>317</v>
      </c>
      <c r="AN105" t="s">
        <v>306</v>
      </c>
      <c r="AO105" t="s">
        <v>645</v>
      </c>
      <c r="AP105">
        <v>4198648</v>
      </c>
      <c r="AQ105" t="s">
        <v>346</v>
      </c>
      <c r="AR105">
        <v>0.03</v>
      </c>
      <c r="AS105" t="s">
        <v>67</v>
      </c>
      <c r="AX105" t="s">
        <v>306</v>
      </c>
      <c r="BC105" t="s">
        <v>306</v>
      </c>
      <c r="BD105" t="s">
        <v>1419</v>
      </c>
      <c r="BE105">
        <v>4145124</v>
      </c>
      <c r="BF105" t="s">
        <v>346</v>
      </c>
      <c r="BG105">
        <v>0.06</v>
      </c>
      <c r="BH105" t="s">
        <v>336</v>
      </c>
      <c r="BI105" t="s">
        <v>434</v>
      </c>
      <c r="BJ105">
        <v>4120033</v>
      </c>
      <c r="BK105" t="s">
        <v>346</v>
      </c>
      <c r="BL105">
        <v>0.02</v>
      </c>
      <c r="BM105" t="s">
        <v>304</v>
      </c>
      <c r="BN105" t="s">
        <v>389</v>
      </c>
      <c r="BO105">
        <v>109888</v>
      </c>
      <c r="BP105" t="s">
        <v>346</v>
      </c>
      <c r="BQ105">
        <v>0.02</v>
      </c>
      <c r="BR105" t="s">
        <v>53</v>
      </c>
      <c r="BS105" t="s">
        <v>963</v>
      </c>
      <c r="BT105">
        <v>4156964</v>
      </c>
      <c r="BU105" t="s">
        <v>346</v>
      </c>
      <c r="BV105">
        <v>0.03</v>
      </c>
      <c r="BW105" t="s">
        <v>80</v>
      </c>
      <c r="BX105" t="s">
        <v>741</v>
      </c>
      <c r="BY105">
        <v>4404664</v>
      </c>
      <c r="BZ105" t="s">
        <v>346</v>
      </c>
      <c r="CA105">
        <v>0.04</v>
      </c>
      <c r="CB105" t="s">
        <v>50</v>
      </c>
      <c r="CC105" t="s">
        <v>1639</v>
      </c>
      <c r="CD105">
        <v>4166919</v>
      </c>
      <c r="CE105" t="s">
        <v>346</v>
      </c>
      <c r="CF105">
        <v>0.06</v>
      </c>
      <c r="CG105" t="s">
        <v>53</v>
      </c>
      <c r="CH105" t="s">
        <v>645</v>
      </c>
      <c r="CI105">
        <v>4198648</v>
      </c>
      <c r="CJ105" t="s">
        <v>346</v>
      </c>
      <c r="CK105">
        <v>0.03</v>
      </c>
      <c r="CL105" t="s">
        <v>67</v>
      </c>
      <c r="CM105" t="s">
        <v>1655</v>
      </c>
      <c r="CN105">
        <v>4026057</v>
      </c>
      <c r="CO105" t="s">
        <v>346</v>
      </c>
      <c r="CP105">
        <v>0.05</v>
      </c>
      <c r="CQ105" t="s">
        <v>53</v>
      </c>
      <c r="CV105" t="s">
        <v>306</v>
      </c>
      <c r="DA105" t="s">
        <v>306</v>
      </c>
      <c r="DB105" t="s">
        <v>1419</v>
      </c>
      <c r="DC105">
        <v>4145124</v>
      </c>
      <c r="DD105" t="s">
        <v>346</v>
      </c>
      <c r="DE105">
        <v>0.06</v>
      </c>
      <c r="DF105" t="s">
        <v>336</v>
      </c>
      <c r="DK105" t="s">
        <v>306</v>
      </c>
      <c r="DL105" t="s">
        <v>1419</v>
      </c>
      <c r="DM105">
        <v>4145124</v>
      </c>
      <c r="DN105" t="s">
        <v>346</v>
      </c>
      <c r="DO105">
        <v>0.06</v>
      </c>
      <c r="DP105" t="s">
        <v>336</v>
      </c>
      <c r="DU105" t="s">
        <v>306</v>
      </c>
      <c r="DV105" t="s">
        <v>1103</v>
      </c>
      <c r="DW105">
        <v>4082660</v>
      </c>
      <c r="DX105" t="s">
        <v>346</v>
      </c>
      <c r="DY105">
        <v>0</v>
      </c>
      <c r="DZ105" t="s">
        <v>53</v>
      </c>
      <c r="EA105" t="s">
        <v>1639</v>
      </c>
      <c r="EB105">
        <v>4166919</v>
      </c>
      <c r="EC105" t="s">
        <v>346</v>
      </c>
      <c r="ED105">
        <v>0.06</v>
      </c>
      <c r="EE105" t="s">
        <v>53</v>
      </c>
      <c r="EF105" t="s">
        <v>1419</v>
      </c>
      <c r="EG105">
        <v>4145124</v>
      </c>
      <c r="EH105" t="s">
        <v>346</v>
      </c>
      <c r="EI105">
        <v>0.06</v>
      </c>
      <c r="EJ105" t="s">
        <v>336</v>
      </c>
      <c r="EO105" t="s">
        <v>306</v>
      </c>
      <c r="EP105" t="s">
        <v>2132</v>
      </c>
      <c r="EQ105" t="s">
        <v>300</v>
      </c>
      <c r="ER105" t="s">
        <v>361</v>
      </c>
      <c r="ES105">
        <v>0</v>
      </c>
      <c r="ET105" t="s">
        <v>50</v>
      </c>
      <c r="EY105" t="s">
        <v>306</v>
      </c>
      <c r="FD105" t="s">
        <v>306</v>
      </c>
      <c r="FI105" t="s">
        <v>306</v>
      </c>
      <c r="FJ105" t="s">
        <v>524</v>
      </c>
      <c r="FK105">
        <v>4147331</v>
      </c>
      <c r="FL105" t="s">
        <v>346</v>
      </c>
      <c r="FM105">
        <v>0</v>
      </c>
      <c r="FN105" t="s">
        <v>313</v>
      </c>
      <c r="FS105" t="s">
        <v>306</v>
      </c>
      <c r="FX105" t="s">
        <v>306</v>
      </c>
      <c r="FY105" t="s">
        <v>1419</v>
      </c>
      <c r="FZ105">
        <v>4145124</v>
      </c>
      <c r="GA105" t="s">
        <v>346</v>
      </c>
      <c r="GB105">
        <v>0.06</v>
      </c>
      <c r="GC105" t="s">
        <v>336</v>
      </c>
      <c r="GH105" t="s">
        <v>306</v>
      </c>
      <c r="GM105" t="s">
        <v>306</v>
      </c>
      <c r="GN105" t="s">
        <v>524</v>
      </c>
      <c r="GO105">
        <v>4147331</v>
      </c>
      <c r="GP105" t="s">
        <v>346</v>
      </c>
      <c r="GQ105">
        <v>0</v>
      </c>
      <c r="GR105" t="s">
        <v>313</v>
      </c>
      <c r="GS105" t="s">
        <v>389</v>
      </c>
      <c r="GT105">
        <v>109888</v>
      </c>
      <c r="GU105" t="s">
        <v>346</v>
      </c>
      <c r="GV105">
        <v>0.02</v>
      </c>
      <c r="GW105" t="s">
        <v>53</v>
      </c>
      <c r="GX105" t="s">
        <v>1639</v>
      </c>
      <c r="GY105">
        <v>4166919</v>
      </c>
      <c r="GZ105" t="s">
        <v>346</v>
      </c>
      <c r="HA105">
        <v>0.06</v>
      </c>
      <c r="HB105" t="s">
        <v>53</v>
      </c>
      <c r="HG105" t="s">
        <v>306</v>
      </c>
    </row>
    <row r="106" spans="5:215" x14ac:dyDescent="0.35">
      <c r="E106" t="s">
        <v>306</v>
      </c>
      <c r="F106" t="s">
        <v>495</v>
      </c>
      <c r="G106">
        <v>4341817</v>
      </c>
      <c r="H106" t="s">
        <v>346</v>
      </c>
      <c r="I106">
        <v>0.01</v>
      </c>
      <c r="J106" t="s">
        <v>304</v>
      </c>
      <c r="K106" t="s">
        <v>680</v>
      </c>
      <c r="L106">
        <v>4246606</v>
      </c>
      <c r="M106" t="s">
        <v>346</v>
      </c>
      <c r="N106">
        <v>0</v>
      </c>
      <c r="O106" t="s">
        <v>2194</v>
      </c>
      <c r="T106" t="s">
        <v>306</v>
      </c>
      <c r="U106" t="s">
        <v>742</v>
      </c>
      <c r="V106">
        <v>4209761</v>
      </c>
      <c r="W106" t="s">
        <v>346</v>
      </c>
      <c r="X106">
        <v>0.03</v>
      </c>
      <c r="Y106" t="s">
        <v>2181</v>
      </c>
      <c r="Z106" t="s">
        <v>680</v>
      </c>
      <c r="AA106">
        <v>4246606</v>
      </c>
      <c r="AB106" t="s">
        <v>346</v>
      </c>
      <c r="AC106">
        <v>0</v>
      </c>
      <c r="AD106" t="s">
        <v>2194</v>
      </c>
      <c r="AE106" t="s">
        <v>1038</v>
      </c>
      <c r="AF106">
        <v>4137587</v>
      </c>
      <c r="AG106" t="s">
        <v>346</v>
      </c>
      <c r="AH106">
        <v>0.01</v>
      </c>
      <c r="AI106" t="s">
        <v>2193</v>
      </c>
      <c r="AN106" t="s">
        <v>306</v>
      </c>
      <c r="AO106" t="s">
        <v>1185</v>
      </c>
      <c r="AP106">
        <v>110616</v>
      </c>
      <c r="AQ106" t="s">
        <v>346</v>
      </c>
      <c r="AR106">
        <v>0.03</v>
      </c>
      <c r="AS106" t="s">
        <v>313</v>
      </c>
      <c r="AX106" t="s">
        <v>306</v>
      </c>
      <c r="BC106" t="s">
        <v>306</v>
      </c>
      <c r="BD106" t="s">
        <v>1172</v>
      </c>
      <c r="BE106">
        <v>4118152</v>
      </c>
      <c r="BF106" t="s">
        <v>346</v>
      </c>
      <c r="BG106">
        <v>0.06</v>
      </c>
      <c r="BH106" t="s">
        <v>53</v>
      </c>
      <c r="BI106" t="s">
        <v>456</v>
      </c>
      <c r="BJ106">
        <v>4249110</v>
      </c>
      <c r="BK106" t="s">
        <v>346</v>
      </c>
      <c r="BL106">
        <v>0.02</v>
      </c>
      <c r="BM106" t="s">
        <v>313</v>
      </c>
      <c r="BN106" t="s">
        <v>430</v>
      </c>
      <c r="BO106">
        <v>4055767</v>
      </c>
      <c r="BP106" t="s">
        <v>346</v>
      </c>
      <c r="BQ106">
        <v>0.02</v>
      </c>
      <c r="BR106" t="s">
        <v>53</v>
      </c>
      <c r="BS106" t="s">
        <v>664</v>
      </c>
      <c r="BT106">
        <v>4138760</v>
      </c>
      <c r="BU106" t="s">
        <v>346</v>
      </c>
      <c r="BV106">
        <v>0.03</v>
      </c>
      <c r="BW106" t="s">
        <v>50</v>
      </c>
      <c r="BX106" t="s">
        <v>742</v>
      </c>
      <c r="BY106">
        <v>4209761</v>
      </c>
      <c r="BZ106" t="s">
        <v>346</v>
      </c>
      <c r="CA106">
        <v>0.03</v>
      </c>
      <c r="CB106" t="s">
        <v>2181</v>
      </c>
      <c r="CC106" t="s">
        <v>1640</v>
      </c>
      <c r="CD106">
        <v>4294921</v>
      </c>
      <c r="CE106" t="s">
        <v>346</v>
      </c>
      <c r="CF106">
        <v>0.06</v>
      </c>
      <c r="CG106" t="s">
        <v>114</v>
      </c>
      <c r="CH106" t="s">
        <v>1185</v>
      </c>
      <c r="CI106">
        <v>110616</v>
      </c>
      <c r="CJ106" t="s">
        <v>346</v>
      </c>
      <c r="CK106">
        <v>0.03</v>
      </c>
      <c r="CL106" t="s">
        <v>313</v>
      </c>
      <c r="CM106" t="s">
        <v>645</v>
      </c>
      <c r="CN106">
        <v>4198648</v>
      </c>
      <c r="CO106" t="s">
        <v>346</v>
      </c>
      <c r="CP106">
        <v>0.05</v>
      </c>
      <c r="CQ106" t="s">
        <v>67</v>
      </c>
      <c r="CV106" t="s">
        <v>306</v>
      </c>
      <c r="DA106" t="s">
        <v>306</v>
      </c>
      <c r="DB106" t="s">
        <v>1172</v>
      </c>
      <c r="DC106">
        <v>4118152</v>
      </c>
      <c r="DD106" t="s">
        <v>346</v>
      </c>
      <c r="DE106">
        <v>0.06</v>
      </c>
      <c r="DF106" t="s">
        <v>53</v>
      </c>
      <c r="DK106" t="s">
        <v>306</v>
      </c>
      <c r="DL106" t="s">
        <v>1172</v>
      </c>
      <c r="DM106">
        <v>4118152</v>
      </c>
      <c r="DN106" t="s">
        <v>346</v>
      </c>
      <c r="DO106">
        <v>0.06</v>
      </c>
      <c r="DP106" t="s">
        <v>53</v>
      </c>
      <c r="DU106" t="s">
        <v>306</v>
      </c>
      <c r="DV106" t="s">
        <v>1211</v>
      </c>
      <c r="DW106">
        <v>5847561</v>
      </c>
      <c r="DX106" t="s">
        <v>346</v>
      </c>
      <c r="DY106">
        <v>0</v>
      </c>
      <c r="DZ106" t="s">
        <v>320</v>
      </c>
      <c r="EA106" t="s">
        <v>1640</v>
      </c>
      <c r="EB106">
        <v>4294921</v>
      </c>
      <c r="EC106" t="s">
        <v>346</v>
      </c>
      <c r="ED106">
        <v>0.06</v>
      </c>
      <c r="EE106" t="s">
        <v>114</v>
      </c>
      <c r="EF106" t="s">
        <v>1172</v>
      </c>
      <c r="EG106">
        <v>4118152</v>
      </c>
      <c r="EH106" t="s">
        <v>346</v>
      </c>
      <c r="EI106">
        <v>0.06</v>
      </c>
      <c r="EJ106" t="s">
        <v>53</v>
      </c>
      <c r="EO106" t="s">
        <v>306</v>
      </c>
      <c r="EP106" t="s">
        <v>404</v>
      </c>
      <c r="EQ106">
        <v>4383779</v>
      </c>
      <c r="ER106" t="s">
        <v>346</v>
      </c>
      <c r="ES106">
        <v>0</v>
      </c>
      <c r="ET106" t="s">
        <v>53</v>
      </c>
      <c r="EY106" t="s">
        <v>306</v>
      </c>
      <c r="FD106" t="s">
        <v>306</v>
      </c>
      <c r="FI106" t="s">
        <v>306</v>
      </c>
      <c r="FJ106" t="s">
        <v>2167</v>
      </c>
      <c r="FK106">
        <v>6337027</v>
      </c>
      <c r="FL106" t="s">
        <v>346</v>
      </c>
      <c r="FM106">
        <v>0</v>
      </c>
      <c r="FN106" t="s">
        <v>320</v>
      </c>
      <c r="FS106" t="s">
        <v>306</v>
      </c>
      <c r="FX106" t="s">
        <v>306</v>
      </c>
      <c r="FY106" t="s">
        <v>1172</v>
      </c>
      <c r="FZ106">
        <v>4118152</v>
      </c>
      <c r="GA106" t="s">
        <v>346</v>
      </c>
      <c r="GB106">
        <v>0.06</v>
      </c>
      <c r="GC106" t="s">
        <v>53</v>
      </c>
      <c r="GH106" t="s">
        <v>306</v>
      </c>
      <c r="GM106" t="s">
        <v>306</v>
      </c>
      <c r="GN106" t="s">
        <v>2167</v>
      </c>
      <c r="GO106">
        <v>6337027</v>
      </c>
      <c r="GP106" t="s">
        <v>346</v>
      </c>
      <c r="GQ106">
        <v>0</v>
      </c>
      <c r="GR106" t="s">
        <v>320</v>
      </c>
      <c r="GS106" t="s">
        <v>430</v>
      </c>
      <c r="GT106">
        <v>4055767</v>
      </c>
      <c r="GU106" t="s">
        <v>346</v>
      </c>
      <c r="GV106">
        <v>0.02</v>
      </c>
      <c r="GW106" t="s">
        <v>53</v>
      </c>
      <c r="GX106" t="s">
        <v>1640</v>
      </c>
      <c r="GY106">
        <v>4294921</v>
      </c>
      <c r="GZ106" t="s">
        <v>346</v>
      </c>
      <c r="HA106">
        <v>0.06</v>
      </c>
      <c r="HB106" t="s">
        <v>114</v>
      </c>
      <c r="HG106" t="s">
        <v>306</v>
      </c>
    </row>
    <row r="107" spans="5:215" x14ac:dyDescent="0.35">
      <c r="E107" t="s">
        <v>306</v>
      </c>
      <c r="F107" t="s">
        <v>389</v>
      </c>
      <c r="G107">
        <v>109888</v>
      </c>
      <c r="H107" t="s">
        <v>346</v>
      </c>
      <c r="I107">
        <v>0.01</v>
      </c>
      <c r="J107" t="s">
        <v>53</v>
      </c>
      <c r="K107" t="s">
        <v>435</v>
      </c>
      <c r="L107">
        <v>109789</v>
      </c>
      <c r="M107" t="s">
        <v>346</v>
      </c>
      <c r="N107">
        <v>0</v>
      </c>
      <c r="O107" t="s">
        <v>53</v>
      </c>
      <c r="T107" t="s">
        <v>306</v>
      </c>
      <c r="U107" t="s">
        <v>501</v>
      </c>
      <c r="V107">
        <v>111359</v>
      </c>
      <c r="W107" t="s">
        <v>346</v>
      </c>
      <c r="X107">
        <v>0.03</v>
      </c>
      <c r="Y107" t="s">
        <v>53</v>
      </c>
      <c r="Z107" t="s">
        <v>435</v>
      </c>
      <c r="AA107">
        <v>109789</v>
      </c>
      <c r="AB107" t="s">
        <v>346</v>
      </c>
      <c r="AC107">
        <v>0</v>
      </c>
      <c r="AD107" t="s">
        <v>53</v>
      </c>
      <c r="AE107" t="s">
        <v>1137</v>
      </c>
      <c r="AF107">
        <v>4219045</v>
      </c>
      <c r="AG107" t="s">
        <v>346</v>
      </c>
      <c r="AH107">
        <v>0.01</v>
      </c>
      <c r="AI107" t="s">
        <v>53</v>
      </c>
      <c r="AN107" t="s">
        <v>306</v>
      </c>
      <c r="AO107" t="s">
        <v>463</v>
      </c>
      <c r="AP107">
        <v>4138888</v>
      </c>
      <c r="AQ107" t="s">
        <v>346</v>
      </c>
      <c r="AR107">
        <v>0.03</v>
      </c>
      <c r="AS107" t="s">
        <v>375</v>
      </c>
      <c r="AX107" t="s">
        <v>306</v>
      </c>
      <c r="BC107" t="s">
        <v>306</v>
      </c>
      <c r="BD107" t="s">
        <v>575</v>
      </c>
      <c r="BE107">
        <v>4575993</v>
      </c>
      <c r="BF107" t="s">
        <v>346</v>
      </c>
      <c r="BG107">
        <v>0.06</v>
      </c>
      <c r="BH107" t="s">
        <v>80</v>
      </c>
      <c r="BI107" t="s">
        <v>497</v>
      </c>
      <c r="BJ107">
        <v>4138770</v>
      </c>
      <c r="BK107" t="s">
        <v>346</v>
      </c>
      <c r="BL107">
        <v>0.02</v>
      </c>
      <c r="BM107" t="s">
        <v>313</v>
      </c>
      <c r="BN107" t="s">
        <v>743</v>
      </c>
      <c r="BO107">
        <v>4137999</v>
      </c>
      <c r="BP107" t="s">
        <v>346</v>
      </c>
      <c r="BQ107">
        <v>0.02</v>
      </c>
      <c r="BR107" t="s">
        <v>50</v>
      </c>
      <c r="BS107" t="s">
        <v>964</v>
      </c>
      <c r="BT107">
        <v>110829</v>
      </c>
      <c r="BU107" t="s">
        <v>346</v>
      </c>
      <c r="BV107">
        <v>0.03</v>
      </c>
      <c r="BW107" t="s">
        <v>53</v>
      </c>
      <c r="BX107" t="s">
        <v>501</v>
      </c>
      <c r="BY107">
        <v>111359</v>
      </c>
      <c r="BZ107" t="s">
        <v>346</v>
      </c>
      <c r="CA107">
        <v>0.03</v>
      </c>
      <c r="CB107" t="s">
        <v>53</v>
      </c>
      <c r="CC107" t="s">
        <v>1641</v>
      </c>
      <c r="CD107">
        <v>4291326</v>
      </c>
      <c r="CE107" t="s">
        <v>364</v>
      </c>
      <c r="CF107">
        <v>0.06</v>
      </c>
      <c r="CG107" t="s">
        <v>114</v>
      </c>
      <c r="CH107" t="s">
        <v>463</v>
      </c>
      <c r="CI107">
        <v>4138888</v>
      </c>
      <c r="CJ107" t="s">
        <v>346</v>
      </c>
      <c r="CK107">
        <v>0.03</v>
      </c>
      <c r="CL107" t="s">
        <v>375</v>
      </c>
      <c r="CM107" t="s">
        <v>442</v>
      </c>
      <c r="CN107">
        <v>4117611</v>
      </c>
      <c r="CO107" t="s">
        <v>346</v>
      </c>
      <c r="CP107">
        <v>0.05</v>
      </c>
      <c r="CQ107" t="s">
        <v>53</v>
      </c>
      <c r="CV107" t="s">
        <v>306</v>
      </c>
      <c r="DA107" t="s">
        <v>306</v>
      </c>
      <c r="DB107" t="s">
        <v>575</v>
      </c>
      <c r="DC107">
        <v>4575993</v>
      </c>
      <c r="DD107" t="s">
        <v>346</v>
      </c>
      <c r="DE107">
        <v>0.06</v>
      </c>
      <c r="DF107" t="s">
        <v>80</v>
      </c>
      <c r="DK107" t="s">
        <v>306</v>
      </c>
      <c r="DL107" t="s">
        <v>575</v>
      </c>
      <c r="DM107">
        <v>4575993</v>
      </c>
      <c r="DN107" t="s">
        <v>346</v>
      </c>
      <c r="DO107">
        <v>0.06</v>
      </c>
      <c r="DP107" t="s">
        <v>80</v>
      </c>
      <c r="DU107" t="s">
        <v>306</v>
      </c>
      <c r="DV107" t="s">
        <v>519</v>
      </c>
      <c r="DW107">
        <v>109968</v>
      </c>
      <c r="DX107" t="s">
        <v>346</v>
      </c>
      <c r="DY107">
        <v>0</v>
      </c>
      <c r="DZ107" t="s">
        <v>53</v>
      </c>
      <c r="EA107" t="s">
        <v>1641</v>
      </c>
      <c r="EB107">
        <v>4291326</v>
      </c>
      <c r="EC107" t="s">
        <v>364</v>
      </c>
      <c r="ED107">
        <v>0.06</v>
      </c>
      <c r="EE107" t="s">
        <v>114</v>
      </c>
      <c r="EF107" t="s">
        <v>575</v>
      </c>
      <c r="EG107">
        <v>4575993</v>
      </c>
      <c r="EH107" t="s">
        <v>346</v>
      </c>
      <c r="EI107">
        <v>0.06</v>
      </c>
      <c r="EJ107" t="s">
        <v>80</v>
      </c>
      <c r="EO107" t="s">
        <v>306</v>
      </c>
      <c r="EP107" t="s">
        <v>722</v>
      </c>
      <c r="EQ107">
        <v>5812793</v>
      </c>
      <c r="ER107" t="s">
        <v>346</v>
      </c>
      <c r="ES107">
        <v>0</v>
      </c>
      <c r="ET107" t="s">
        <v>50</v>
      </c>
      <c r="EY107" t="s">
        <v>306</v>
      </c>
      <c r="FD107" t="s">
        <v>306</v>
      </c>
      <c r="FI107" t="s">
        <v>306</v>
      </c>
      <c r="FJ107" t="s">
        <v>526</v>
      </c>
      <c r="FK107">
        <v>4248288</v>
      </c>
      <c r="FL107" t="s">
        <v>346</v>
      </c>
      <c r="FM107">
        <v>0</v>
      </c>
      <c r="FN107" t="s">
        <v>80</v>
      </c>
      <c r="FS107" t="s">
        <v>306</v>
      </c>
      <c r="FX107" t="s">
        <v>306</v>
      </c>
      <c r="FY107" t="s">
        <v>575</v>
      </c>
      <c r="FZ107">
        <v>4575993</v>
      </c>
      <c r="GA107" t="s">
        <v>346</v>
      </c>
      <c r="GB107">
        <v>0.06</v>
      </c>
      <c r="GC107" t="s">
        <v>80</v>
      </c>
      <c r="GH107" t="s">
        <v>306</v>
      </c>
      <c r="GM107" t="s">
        <v>306</v>
      </c>
      <c r="GN107" t="s">
        <v>526</v>
      </c>
      <c r="GO107">
        <v>4248288</v>
      </c>
      <c r="GP107" t="s">
        <v>346</v>
      </c>
      <c r="GQ107">
        <v>0</v>
      </c>
      <c r="GR107" t="s">
        <v>80</v>
      </c>
      <c r="GS107" t="s">
        <v>743</v>
      </c>
      <c r="GT107">
        <v>4137999</v>
      </c>
      <c r="GU107" t="s">
        <v>346</v>
      </c>
      <c r="GV107">
        <v>0.02</v>
      </c>
      <c r="GW107" t="s">
        <v>50</v>
      </c>
      <c r="GX107" t="s">
        <v>1641</v>
      </c>
      <c r="GY107">
        <v>4291326</v>
      </c>
      <c r="GZ107" t="s">
        <v>364</v>
      </c>
      <c r="HA107">
        <v>0.06</v>
      </c>
      <c r="HB107" t="s">
        <v>114</v>
      </c>
      <c r="HG107" t="s">
        <v>306</v>
      </c>
    </row>
    <row r="108" spans="5:215" x14ac:dyDescent="0.35">
      <c r="E108" t="s">
        <v>306</v>
      </c>
      <c r="F108" t="s">
        <v>496</v>
      </c>
      <c r="G108">
        <v>110495</v>
      </c>
      <c r="H108" t="s">
        <v>346</v>
      </c>
      <c r="I108">
        <v>0.01</v>
      </c>
      <c r="J108" t="s">
        <v>53</v>
      </c>
      <c r="K108" t="s">
        <v>444</v>
      </c>
      <c r="L108">
        <v>109988</v>
      </c>
      <c r="M108" t="s">
        <v>346</v>
      </c>
      <c r="N108">
        <v>0</v>
      </c>
      <c r="O108" t="s">
        <v>53</v>
      </c>
      <c r="T108" t="s">
        <v>306</v>
      </c>
      <c r="U108" t="s">
        <v>743</v>
      </c>
      <c r="V108">
        <v>4137999</v>
      </c>
      <c r="W108" t="s">
        <v>346</v>
      </c>
      <c r="X108">
        <v>0.03</v>
      </c>
      <c r="Y108" t="s">
        <v>50</v>
      </c>
      <c r="Z108" t="s">
        <v>444</v>
      </c>
      <c r="AA108">
        <v>109988</v>
      </c>
      <c r="AB108" t="s">
        <v>346</v>
      </c>
      <c r="AC108">
        <v>0</v>
      </c>
      <c r="AD108" t="s">
        <v>53</v>
      </c>
      <c r="AE108" t="s">
        <v>461</v>
      </c>
      <c r="AF108">
        <v>4137912</v>
      </c>
      <c r="AG108" t="s">
        <v>346</v>
      </c>
      <c r="AH108">
        <v>0.01</v>
      </c>
      <c r="AI108" t="s">
        <v>2185</v>
      </c>
      <c r="AN108" t="s">
        <v>306</v>
      </c>
      <c r="AO108" t="s">
        <v>1287</v>
      </c>
      <c r="AP108">
        <v>6727027</v>
      </c>
      <c r="AQ108" t="s">
        <v>346</v>
      </c>
      <c r="AR108">
        <v>0.03</v>
      </c>
      <c r="AS108" t="s">
        <v>62</v>
      </c>
      <c r="AX108" t="s">
        <v>306</v>
      </c>
      <c r="BC108" t="s">
        <v>306</v>
      </c>
      <c r="BD108" t="s">
        <v>467</v>
      </c>
      <c r="BE108">
        <v>7108293</v>
      </c>
      <c r="BF108" t="s">
        <v>369</v>
      </c>
      <c r="BG108">
        <v>0.06</v>
      </c>
      <c r="BH108" t="s">
        <v>313</v>
      </c>
      <c r="BI108" t="s">
        <v>492</v>
      </c>
      <c r="BJ108">
        <v>110674</v>
      </c>
      <c r="BK108" t="s">
        <v>346</v>
      </c>
      <c r="BL108">
        <v>0.02</v>
      </c>
      <c r="BM108" t="s">
        <v>53</v>
      </c>
      <c r="BN108" t="s">
        <v>453</v>
      </c>
      <c r="BO108">
        <v>4318598</v>
      </c>
      <c r="BP108" t="s">
        <v>346</v>
      </c>
      <c r="BQ108">
        <v>0.02</v>
      </c>
      <c r="BR108" t="s">
        <v>53</v>
      </c>
      <c r="BS108" t="s">
        <v>436</v>
      </c>
      <c r="BT108">
        <v>111219</v>
      </c>
      <c r="BU108" t="s">
        <v>346</v>
      </c>
      <c r="BV108">
        <v>0.03</v>
      </c>
      <c r="BW108" t="s">
        <v>53</v>
      </c>
      <c r="BX108" t="s">
        <v>743</v>
      </c>
      <c r="BY108">
        <v>4137999</v>
      </c>
      <c r="BZ108" t="s">
        <v>346</v>
      </c>
      <c r="CA108">
        <v>0.03</v>
      </c>
      <c r="CB108" t="s">
        <v>50</v>
      </c>
      <c r="CC108" t="s">
        <v>481</v>
      </c>
      <c r="CD108">
        <v>4376121</v>
      </c>
      <c r="CE108" t="s">
        <v>346</v>
      </c>
      <c r="CF108">
        <v>0.06</v>
      </c>
      <c r="CG108" t="s">
        <v>313</v>
      </c>
      <c r="CH108" t="s">
        <v>1287</v>
      </c>
      <c r="CI108">
        <v>6727027</v>
      </c>
      <c r="CJ108" t="s">
        <v>346</v>
      </c>
      <c r="CK108">
        <v>0.03</v>
      </c>
      <c r="CL108" t="s">
        <v>62</v>
      </c>
      <c r="CM108" t="s">
        <v>1285</v>
      </c>
      <c r="CN108">
        <v>14171602</v>
      </c>
      <c r="CO108" t="s">
        <v>346</v>
      </c>
      <c r="CP108">
        <v>0.05</v>
      </c>
      <c r="CQ108" t="s">
        <v>62</v>
      </c>
      <c r="CV108" t="s">
        <v>306</v>
      </c>
      <c r="DA108" t="s">
        <v>306</v>
      </c>
      <c r="DB108" t="s">
        <v>467</v>
      </c>
      <c r="DC108">
        <v>7108293</v>
      </c>
      <c r="DD108" t="s">
        <v>369</v>
      </c>
      <c r="DE108">
        <v>0.06</v>
      </c>
      <c r="DF108" t="s">
        <v>313</v>
      </c>
      <c r="DK108" t="s">
        <v>306</v>
      </c>
      <c r="DL108" t="s">
        <v>467</v>
      </c>
      <c r="DM108">
        <v>7108293</v>
      </c>
      <c r="DN108" t="s">
        <v>369</v>
      </c>
      <c r="DO108">
        <v>0.06</v>
      </c>
      <c r="DP108" t="s">
        <v>313</v>
      </c>
      <c r="DU108" t="s">
        <v>306</v>
      </c>
      <c r="DV108" t="s">
        <v>533</v>
      </c>
      <c r="DW108">
        <v>4377155</v>
      </c>
      <c r="DX108" t="s">
        <v>346</v>
      </c>
      <c r="DY108">
        <v>0</v>
      </c>
      <c r="DZ108" t="s">
        <v>2192</v>
      </c>
      <c r="EA108" t="s">
        <v>481</v>
      </c>
      <c r="EB108">
        <v>4376121</v>
      </c>
      <c r="EC108" t="s">
        <v>346</v>
      </c>
      <c r="ED108">
        <v>0.06</v>
      </c>
      <c r="EE108" t="s">
        <v>313</v>
      </c>
      <c r="EF108" t="s">
        <v>467</v>
      </c>
      <c r="EG108">
        <v>7108293</v>
      </c>
      <c r="EH108" t="s">
        <v>369</v>
      </c>
      <c r="EI108">
        <v>0.06</v>
      </c>
      <c r="EJ108" t="s">
        <v>313</v>
      </c>
      <c r="EO108" t="s">
        <v>306</v>
      </c>
      <c r="EP108" t="s">
        <v>672</v>
      </c>
      <c r="EQ108">
        <v>4139739</v>
      </c>
      <c r="ER108" t="s">
        <v>346</v>
      </c>
      <c r="ES108">
        <v>0</v>
      </c>
      <c r="ET108" t="s">
        <v>50</v>
      </c>
      <c r="EY108" t="s">
        <v>306</v>
      </c>
      <c r="FD108" t="s">
        <v>306</v>
      </c>
      <c r="FI108" t="s">
        <v>306</v>
      </c>
      <c r="FJ108" t="s">
        <v>537</v>
      </c>
      <c r="FK108">
        <v>5834897</v>
      </c>
      <c r="FL108" t="s">
        <v>346</v>
      </c>
      <c r="FM108">
        <v>0</v>
      </c>
      <c r="FN108" t="s">
        <v>313</v>
      </c>
      <c r="FS108" t="s">
        <v>306</v>
      </c>
      <c r="FX108" t="s">
        <v>306</v>
      </c>
      <c r="FY108" t="s">
        <v>467</v>
      </c>
      <c r="FZ108">
        <v>7108293</v>
      </c>
      <c r="GA108" t="s">
        <v>369</v>
      </c>
      <c r="GB108">
        <v>0.06</v>
      </c>
      <c r="GC108" t="s">
        <v>313</v>
      </c>
      <c r="GH108" t="s">
        <v>306</v>
      </c>
      <c r="GM108" t="s">
        <v>306</v>
      </c>
      <c r="GN108" t="s">
        <v>537</v>
      </c>
      <c r="GO108">
        <v>5834897</v>
      </c>
      <c r="GP108" t="s">
        <v>346</v>
      </c>
      <c r="GQ108">
        <v>0</v>
      </c>
      <c r="GR108" t="s">
        <v>313</v>
      </c>
      <c r="GS108" t="s">
        <v>453</v>
      </c>
      <c r="GT108">
        <v>4318598</v>
      </c>
      <c r="GU108" t="s">
        <v>346</v>
      </c>
      <c r="GV108">
        <v>0.02</v>
      </c>
      <c r="GW108" t="s">
        <v>53</v>
      </c>
      <c r="GX108" t="s">
        <v>481</v>
      </c>
      <c r="GY108">
        <v>4376121</v>
      </c>
      <c r="GZ108" t="s">
        <v>346</v>
      </c>
      <c r="HA108">
        <v>0.06</v>
      </c>
      <c r="HB108" t="s">
        <v>313</v>
      </c>
      <c r="HG108" t="s">
        <v>306</v>
      </c>
    </row>
    <row r="109" spans="5:215" x14ac:dyDescent="0.35">
      <c r="E109" t="s">
        <v>306</v>
      </c>
      <c r="F109" t="s">
        <v>497</v>
      </c>
      <c r="G109">
        <v>4138770</v>
      </c>
      <c r="H109" t="s">
        <v>346</v>
      </c>
      <c r="I109">
        <v>0.01</v>
      </c>
      <c r="J109" t="s">
        <v>313</v>
      </c>
      <c r="K109" t="s">
        <v>378</v>
      </c>
      <c r="L109">
        <v>4048184</v>
      </c>
      <c r="M109" t="s">
        <v>346</v>
      </c>
      <c r="N109">
        <v>0</v>
      </c>
      <c r="O109" t="s">
        <v>80</v>
      </c>
      <c r="T109" t="s">
        <v>306</v>
      </c>
      <c r="U109" t="s">
        <v>744</v>
      </c>
      <c r="V109">
        <v>4099072</v>
      </c>
      <c r="W109" t="s">
        <v>346</v>
      </c>
      <c r="X109">
        <v>0.03</v>
      </c>
      <c r="Y109" t="s">
        <v>53</v>
      </c>
      <c r="Z109" t="s">
        <v>378</v>
      </c>
      <c r="AA109">
        <v>4048184</v>
      </c>
      <c r="AB109" t="s">
        <v>346</v>
      </c>
      <c r="AC109">
        <v>0</v>
      </c>
      <c r="AD109" t="s">
        <v>80</v>
      </c>
      <c r="AE109" t="s">
        <v>481</v>
      </c>
      <c r="AF109">
        <v>4376121</v>
      </c>
      <c r="AG109" t="s">
        <v>346</v>
      </c>
      <c r="AH109">
        <v>0.01</v>
      </c>
      <c r="AI109" t="s">
        <v>313</v>
      </c>
      <c r="AN109" t="s">
        <v>306</v>
      </c>
      <c r="AO109" t="s">
        <v>444</v>
      </c>
      <c r="AP109">
        <v>109988</v>
      </c>
      <c r="AQ109" t="s">
        <v>346</v>
      </c>
      <c r="AR109">
        <v>0.03</v>
      </c>
      <c r="AS109" t="s">
        <v>53</v>
      </c>
      <c r="AX109" t="s">
        <v>306</v>
      </c>
      <c r="BC109" t="s">
        <v>306</v>
      </c>
      <c r="BD109" t="s">
        <v>458</v>
      </c>
      <c r="BE109">
        <v>109806</v>
      </c>
      <c r="BF109" t="s">
        <v>346</v>
      </c>
      <c r="BG109">
        <v>0.05</v>
      </c>
      <c r="BH109" t="s">
        <v>53</v>
      </c>
      <c r="BI109" t="s">
        <v>1566</v>
      </c>
      <c r="BJ109" t="s">
        <v>300</v>
      </c>
      <c r="BK109" t="s">
        <v>361</v>
      </c>
      <c r="BL109">
        <v>0.02</v>
      </c>
      <c r="BM109" t="s">
        <v>50</v>
      </c>
      <c r="BN109" t="s">
        <v>401</v>
      </c>
      <c r="BO109">
        <v>4139862</v>
      </c>
      <c r="BP109" t="s">
        <v>346</v>
      </c>
      <c r="BQ109">
        <v>0.02</v>
      </c>
      <c r="BR109" t="s">
        <v>313</v>
      </c>
      <c r="BS109" t="s">
        <v>390</v>
      </c>
      <c r="BT109">
        <v>4135241</v>
      </c>
      <c r="BU109" t="s">
        <v>346</v>
      </c>
      <c r="BV109">
        <v>0.03</v>
      </c>
      <c r="BW109" t="s">
        <v>125</v>
      </c>
      <c r="BX109" t="s">
        <v>744</v>
      </c>
      <c r="BY109">
        <v>4099072</v>
      </c>
      <c r="BZ109" t="s">
        <v>346</v>
      </c>
      <c r="CA109">
        <v>0.03</v>
      </c>
      <c r="CB109" t="s">
        <v>53</v>
      </c>
      <c r="CC109" t="s">
        <v>430</v>
      </c>
      <c r="CD109">
        <v>4055767</v>
      </c>
      <c r="CE109" t="s">
        <v>346</v>
      </c>
      <c r="CF109">
        <v>0.06</v>
      </c>
      <c r="CG109" t="s">
        <v>53</v>
      </c>
      <c r="CH109" t="s">
        <v>444</v>
      </c>
      <c r="CI109">
        <v>109988</v>
      </c>
      <c r="CJ109" t="s">
        <v>346</v>
      </c>
      <c r="CK109">
        <v>0.03</v>
      </c>
      <c r="CL109" t="s">
        <v>53</v>
      </c>
      <c r="CM109" t="s">
        <v>1968</v>
      </c>
      <c r="CN109">
        <v>4114509</v>
      </c>
      <c r="CO109" t="s">
        <v>366</v>
      </c>
      <c r="CP109">
        <v>0.04</v>
      </c>
      <c r="CQ109" t="s">
        <v>53</v>
      </c>
      <c r="CV109" t="s">
        <v>306</v>
      </c>
      <c r="DA109" t="s">
        <v>306</v>
      </c>
      <c r="DB109" t="s">
        <v>458</v>
      </c>
      <c r="DC109">
        <v>109806</v>
      </c>
      <c r="DD109" t="s">
        <v>346</v>
      </c>
      <c r="DE109">
        <v>0.05</v>
      </c>
      <c r="DF109" t="s">
        <v>53</v>
      </c>
      <c r="DK109" t="s">
        <v>306</v>
      </c>
      <c r="DL109" t="s">
        <v>458</v>
      </c>
      <c r="DM109">
        <v>109806</v>
      </c>
      <c r="DN109" t="s">
        <v>346</v>
      </c>
      <c r="DO109">
        <v>0.05</v>
      </c>
      <c r="DP109" t="s">
        <v>53</v>
      </c>
      <c r="DU109" t="s">
        <v>306</v>
      </c>
      <c r="DV109" t="s">
        <v>475</v>
      </c>
      <c r="DW109">
        <v>4115935</v>
      </c>
      <c r="DX109" t="s">
        <v>346</v>
      </c>
      <c r="DY109">
        <v>0</v>
      </c>
      <c r="DZ109" t="s">
        <v>53</v>
      </c>
      <c r="EA109" t="s">
        <v>430</v>
      </c>
      <c r="EB109">
        <v>4055767</v>
      </c>
      <c r="EC109" t="s">
        <v>346</v>
      </c>
      <c r="ED109">
        <v>0.06</v>
      </c>
      <c r="EE109" t="s">
        <v>53</v>
      </c>
      <c r="EF109" t="s">
        <v>458</v>
      </c>
      <c r="EG109">
        <v>109806</v>
      </c>
      <c r="EH109" t="s">
        <v>346</v>
      </c>
      <c r="EI109">
        <v>0.05</v>
      </c>
      <c r="EJ109" t="s">
        <v>53</v>
      </c>
      <c r="EO109" t="s">
        <v>306</v>
      </c>
      <c r="EP109" t="s">
        <v>487</v>
      </c>
      <c r="EQ109">
        <v>4111901</v>
      </c>
      <c r="ER109" t="s">
        <v>346</v>
      </c>
      <c r="ES109">
        <v>0</v>
      </c>
      <c r="ET109" t="s">
        <v>2192</v>
      </c>
      <c r="EY109" t="s">
        <v>306</v>
      </c>
      <c r="FD109" t="s">
        <v>306</v>
      </c>
      <c r="FI109" t="s">
        <v>306</v>
      </c>
      <c r="FJ109" t="s">
        <v>536</v>
      </c>
      <c r="FK109">
        <v>4432074</v>
      </c>
      <c r="FL109" t="s">
        <v>346</v>
      </c>
      <c r="FM109">
        <v>0</v>
      </c>
      <c r="FN109" t="s">
        <v>80</v>
      </c>
      <c r="FS109" t="s">
        <v>306</v>
      </c>
      <c r="FX109" t="s">
        <v>306</v>
      </c>
      <c r="FY109" t="s">
        <v>458</v>
      </c>
      <c r="FZ109">
        <v>109806</v>
      </c>
      <c r="GA109" t="s">
        <v>346</v>
      </c>
      <c r="GB109">
        <v>0.05</v>
      </c>
      <c r="GC109" t="s">
        <v>53</v>
      </c>
      <c r="GH109" t="s">
        <v>306</v>
      </c>
      <c r="GM109" t="s">
        <v>306</v>
      </c>
      <c r="GN109" t="s">
        <v>536</v>
      </c>
      <c r="GO109">
        <v>4432074</v>
      </c>
      <c r="GP109" t="s">
        <v>346</v>
      </c>
      <c r="GQ109">
        <v>0</v>
      </c>
      <c r="GR109" t="s">
        <v>80</v>
      </c>
      <c r="GS109" t="s">
        <v>401</v>
      </c>
      <c r="GT109">
        <v>4139862</v>
      </c>
      <c r="GU109" t="s">
        <v>346</v>
      </c>
      <c r="GV109">
        <v>0.02</v>
      </c>
      <c r="GW109" t="s">
        <v>313</v>
      </c>
      <c r="GX109" t="s">
        <v>430</v>
      </c>
      <c r="GY109">
        <v>4055767</v>
      </c>
      <c r="GZ109" t="s">
        <v>346</v>
      </c>
      <c r="HA109">
        <v>0.06</v>
      </c>
      <c r="HB109" t="s">
        <v>53</v>
      </c>
      <c r="HG109" t="s">
        <v>306</v>
      </c>
    </row>
    <row r="110" spans="5:215" x14ac:dyDescent="0.35">
      <c r="E110" t="s">
        <v>306</v>
      </c>
      <c r="F110" t="s">
        <v>498</v>
      </c>
      <c r="G110">
        <v>4187546</v>
      </c>
      <c r="H110" t="s">
        <v>346</v>
      </c>
      <c r="I110">
        <v>0.01</v>
      </c>
      <c r="J110" t="s">
        <v>53</v>
      </c>
      <c r="K110" t="s">
        <v>681</v>
      </c>
      <c r="L110">
        <v>5866754</v>
      </c>
      <c r="M110" t="s">
        <v>346</v>
      </c>
      <c r="N110">
        <v>0</v>
      </c>
      <c r="O110" t="s">
        <v>50</v>
      </c>
      <c r="T110" t="s">
        <v>306</v>
      </c>
      <c r="U110" t="s">
        <v>429</v>
      </c>
      <c r="V110">
        <v>4607441</v>
      </c>
      <c r="W110" t="s">
        <v>346</v>
      </c>
      <c r="X110">
        <v>0.03</v>
      </c>
      <c r="Y110" t="s">
        <v>304</v>
      </c>
      <c r="Z110" t="s">
        <v>681</v>
      </c>
      <c r="AA110">
        <v>5866754</v>
      </c>
      <c r="AB110" t="s">
        <v>346</v>
      </c>
      <c r="AC110">
        <v>0</v>
      </c>
      <c r="AD110" t="s">
        <v>50</v>
      </c>
      <c r="AE110" t="s">
        <v>1138</v>
      </c>
      <c r="AF110">
        <v>5837713</v>
      </c>
      <c r="AG110" t="s">
        <v>346</v>
      </c>
      <c r="AH110">
        <v>0.01</v>
      </c>
      <c r="AI110" t="s">
        <v>323</v>
      </c>
      <c r="AN110" t="s">
        <v>306</v>
      </c>
      <c r="AO110" t="s">
        <v>1288</v>
      </c>
      <c r="AP110">
        <v>5863780</v>
      </c>
      <c r="AQ110" t="s">
        <v>346</v>
      </c>
      <c r="AR110">
        <v>0.02</v>
      </c>
      <c r="AS110" t="s">
        <v>313</v>
      </c>
      <c r="AX110" t="s">
        <v>306</v>
      </c>
      <c r="BC110" t="s">
        <v>306</v>
      </c>
      <c r="BD110" t="s">
        <v>1259</v>
      </c>
      <c r="BE110">
        <v>4213239</v>
      </c>
      <c r="BF110" t="s">
        <v>346</v>
      </c>
      <c r="BG110">
        <v>0.05</v>
      </c>
      <c r="BH110" t="s">
        <v>62</v>
      </c>
      <c r="BI110" t="s">
        <v>481</v>
      </c>
      <c r="BJ110">
        <v>4376121</v>
      </c>
      <c r="BK110" t="s">
        <v>346</v>
      </c>
      <c r="BL110">
        <v>0.01</v>
      </c>
      <c r="BM110" t="s">
        <v>313</v>
      </c>
      <c r="BN110" t="s">
        <v>687</v>
      </c>
      <c r="BO110">
        <v>4368709</v>
      </c>
      <c r="BP110" t="s">
        <v>346</v>
      </c>
      <c r="BQ110">
        <v>0.02</v>
      </c>
      <c r="BR110" t="s">
        <v>50</v>
      </c>
      <c r="BS110" t="s">
        <v>583</v>
      </c>
      <c r="BT110">
        <v>4579014</v>
      </c>
      <c r="BU110" t="s">
        <v>346</v>
      </c>
      <c r="BV110">
        <v>0.03</v>
      </c>
      <c r="BW110" t="s">
        <v>53</v>
      </c>
      <c r="BX110" t="s">
        <v>429</v>
      </c>
      <c r="BY110">
        <v>4607441</v>
      </c>
      <c r="BZ110" t="s">
        <v>346</v>
      </c>
      <c r="CA110">
        <v>0.03</v>
      </c>
      <c r="CB110" t="s">
        <v>304</v>
      </c>
      <c r="CC110" t="s">
        <v>1642</v>
      </c>
      <c r="CD110">
        <v>4339252</v>
      </c>
      <c r="CE110" t="s">
        <v>346</v>
      </c>
      <c r="CF110">
        <v>0.06</v>
      </c>
      <c r="CG110" t="s">
        <v>114</v>
      </c>
      <c r="CH110" t="s">
        <v>1288</v>
      </c>
      <c r="CI110">
        <v>5863780</v>
      </c>
      <c r="CJ110" t="s">
        <v>346</v>
      </c>
      <c r="CK110">
        <v>0.02</v>
      </c>
      <c r="CL110" t="s">
        <v>313</v>
      </c>
      <c r="CM110" t="s">
        <v>456</v>
      </c>
      <c r="CN110">
        <v>4249110</v>
      </c>
      <c r="CO110" t="s">
        <v>346</v>
      </c>
      <c r="CP110">
        <v>0.04</v>
      </c>
      <c r="CQ110" t="s">
        <v>313</v>
      </c>
      <c r="CV110" t="s">
        <v>306</v>
      </c>
      <c r="DA110" t="s">
        <v>306</v>
      </c>
      <c r="DB110" t="s">
        <v>1259</v>
      </c>
      <c r="DC110">
        <v>4213239</v>
      </c>
      <c r="DD110" t="s">
        <v>346</v>
      </c>
      <c r="DE110">
        <v>0.05</v>
      </c>
      <c r="DF110" t="s">
        <v>62</v>
      </c>
      <c r="DK110" t="s">
        <v>306</v>
      </c>
      <c r="DL110" t="s">
        <v>1259</v>
      </c>
      <c r="DM110">
        <v>4213239</v>
      </c>
      <c r="DN110" t="s">
        <v>346</v>
      </c>
      <c r="DO110">
        <v>0.05</v>
      </c>
      <c r="DP110" t="s">
        <v>62</v>
      </c>
      <c r="DU110" t="s">
        <v>306</v>
      </c>
      <c r="DV110" t="s">
        <v>435</v>
      </c>
      <c r="DW110">
        <v>109789</v>
      </c>
      <c r="DX110" t="s">
        <v>346</v>
      </c>
      <c r="DY110">
        <v>0</v>
      </c>
      <c r="DZ110" t="s">
        <v>53</v>
      </c>
      <c r="EA110" t="s">
        <v>1642</v>
      </c>
      <c r="EB110">
        <v>4339252</v>
      </c>
      <c r="EC110" t="s">
        <v>346</v>
      </c>
      <c r="ED110">
        <v>0.06</v>
      </c>
      <c r="EE110" t="s">
        <v>114</v>
      </c>
      <c r="EF110" t="s">
        <v>1259</v>
      </c>
      <c r="EG110">
        <v>4213239</v>
      </c>
      <c r="EH110" t="s">
        <v>346</v>
      </c>
      <c r="EI110">
        <v>0.05</v>
      </c>
      <c r="EJ110" t="s">
        <v>62</v>
      </c>
      <c r="EO110" t="s">
        <v>306</v>
      </c>
      <c r="EP110" t="s">
        <v>720</v>
      </c>
      <c r="EQ110">
        <v>4139225</v>
      </c>
      <c r="ER110" t="s">
        <v>346</v>
      </c>
      <c r="ES110">
        <v>0</v>
      </c>
      <c r="ET110" t="s">
        <v>50</v>
      </c>
      <c r="EY110" t="s">
        <v>306</v>
      </c>
      <c r="FD110" t="s">
        <v>306</v>
      </c>
      <c r="FI110" t="s">
        <v>306</v>
      </c>
      <c r="FJ110" t="s">
        <v>609</v>
      </c>
      <c r="FK110">
        <v>4975908</v>
      </c>
      <c r="FL110" t="s">
        <v>346</v>
      </c>
      <c r="FM110">
        <v>0</v>
      </c>
      <c r="FN110" t="s">
        <v>53</v>
      </c>
      <c r="FS110" t="s">
        <v>306</v>
      </c>
      <c r="FX110" t="s">
        <v>306</v>
      </c>
      <c r="FY110" t="s">
        <v>1259</v>
      </c>
      <c r="FZ110">
        <v>4213239</v>
      </c>
      <c r="GA110" t="s">
        <v>346</v>
      </c>
      <c r="GB110">
        <v>0.05</v>
      </c>
      <c r="GC110" t="s">
        <v>62</v>
      </c>
      <c r="GH110" t="s">
        <v>306</v>
      </c>
      <c r="GM110" t="s">
        <v>306</v>
      </c>
      <c r="GN110" t="s">
        <v>609</v>
      </c>
      <c r="GO110">
        <v>4975908</v>
      </c>
      <c r="GP110" t="s">
        <v>346</v>
      </c>
      <c r="GQ110">
        <v>0</v>
      </c>
      <c r="GR110" t="s">
        <v>53</v>
      </c>
      <c r="GS110" t="s">
        <v>687</v>
      </c>
      <c r="GT110">
        <v>4368709</v>
      </c>
      <c r="GU110" t="s">
        <v>346</v>
      </c>
      <c r="GV110">
        <v>0.02</v>
      </c>
      <c r="GW110" t="s">
        <v>50</v>
      </c>
      <c r="GX110" t="s">
        <v>1642</v>
      </c>
      <c r="GY110">
        <v>4339252</v>
      </c>
      <c r="GZ110" t="s">
        <v>346</v>
      </c>
      <c r="HA110">
        <v>0.06</v>
      </c>
      <c r="HB110" t="s">
        <v>114</v>
      </c>
      <c r="HG110" t="s">
        <v>306</v>
      </c>
    </row>
    <row r="111" spans="5:215" x14ac:dyDescent="0.35">
      <c r="E111" t="s">
        <v>306</v>
      </c>
      <c r="F111" t="s">
        <v>499</v>
      </c>
      <c r="G111">
        <v>4073190</v>
      </c>
      <c r="H111" t="s">
        <v>346</v>
      </c>
      <c r="I111">
        <v>0.01</v>
      </c>
      <c r="J111" t="s">
        <v>53</v>
      </c>
      <c r="K111" t="s">
        <v>682</v>
      </c>
      <c r="L111">
        <v>13690315</v>
      </c>
      <c r="M111" t="s">
        <v>346</v>
      </c>
      <c r="N111">
        <v>0</v>
      </c>
      <c r="O111" t="s">
        <v>53</v>
      </c>
      <c r="T111" t="s">
        <v>306</v>
      </c>
      <c r="U111" t="s">
        <v>681</v>
      </c>
      <c r="V111">
        <v>5866754</v>
      </c>
      <c r="W111" t="s">
        <v>346</v>
      </c>
      <c r="X111">
        <v>0.03</v>
      </c>
      <c r="Y111" t="s">
        <v>50</v>
      </c>
      <c r="Z111" t="s">
        <v>682</v>
      </c>
      <c r="AA111">
        <v>13690315</v>
      </c>
      <c r="AB111" t="s">
        <v>346</v>
      </c>
      <c r="AC111">
        <v>0</v>
      </c>
      <c r="AD111" t="s">
        <v>53</v>
      </c>
      <c r="AE111" t="s">
        <v>425</v>
      </c>
      <c r="AF111">
        <v>4137704</v>
      </c>
      <c r="AG111" t="s">
        <v>346</v>
      </c>
      <c r="AH111">
        <v>0.01</v>
      </c>
      <c r="AI111" t="s">
        <v>304</v>
      </c>
      <c r="AN111" t="s">
        <v>306</v>
      </c>
      <c r="AO111" t="s">
        <v>482</v>
      </c>
      <c r="AP111">
        <v>4048742</v>
      </c>
      <c r="AQ111" t="s">
        <v>346</v>
      </c>
      <c r="AR111">
        <v>0.02</v>
      </c>
      <c r="AS111" t="s">
        <v>80</v>
      </c>
      <c r="AX111" t="s">
        <v>306</v>
      </c>
      <c r="BC111" t="s">
        <v>306</v>
      </c>
      <c r="BD111" t="s">
        <v>438</v>
      </c>
      <c r="BE111">
        <v>4040817</v>
      </c>
      <c r="BF111" t="s">
        <v>364</v>
      </c>
      <c r="BG111">
        <v>0.05</v>
      </c>
      <c r="BH111" t="s">
        <v>313</v>
      </c>
      <c r="BI111" t="s">
        <v>509</v>
      </c>
      <c r="BJ111">
        <v>4226520</v>
      </c>
      <c r="BK111" t="s">
        <v>346</v>
      </c>
      <c r="BL111">
        <v>0.01</v>
      </c>
      <c r="BM111" t="s">
        <v>80</v>
      </c>
      <c r="BN111" t="s">
        <v>727</v>
      </c>
      <c r="BO111">
        <v>15508432</v>
      </c>
      <c r="BP111" t="s">
        <v>346</v>
      </c>
      <c r="BQ111">
        <v>0.01</v>
      </c>
      <c r="BR111" t="s">
        <v>50</v>
      </c>
      <c r="BS111" t="s">
        <v>965</v>
      </c>
      <c r="BT111">
        <v>4119540</v>
      </c>
      <c r="BU111" t="s">
        <v>346</v>
      </c>
      <c r="BV111">
        <v>0.03</v>
      </c>
      <c r="BW111" t="s">
        <v>53</v>
      </c>
      <c r="BX111" t="s">
        <v>681</v>
      </c>
      <c r="BY111">
        <v>5866754</v>
      </c>
      <c r="BZ111" t="s">
        <v>346</v>
      </c>
      <c r="CA111">
        <v>0.03</v>
      </c>
      <c r="CB111" t="s">
        <v>50</v>
      </c>
      <c r="CC111" t="s">
        <v>529</v>
      </c>
      <c r="CD111">
        <v>110570</v>
      </c>
      <c r="CE111" t="s">
        <v>346</v>
      </c>
      <c r="CF111">
        <v>0.05</v>
      </c>
      <c r="CG111" t="s">
        <v>53</v>
      </c>
      <c r="CH111" t="s">
        <v>482</v>
      </c>
      <c r="CI111">
        <v>4048742</v>
      </c>
      <c r="CJ111" t="s">
        <v>346</v>
      </c>
      <c r="CK111">
        <v>0.02</v>
      </c>
      <c r="CL111" t="s">
        <v>80</v>
      </c>
      <c r="CM111" t="s">
        <v>1699</v>
      </c>
      <c r="CN111">
        <v>4562926</v>
      </c>
      <c r="CO111" t="s">
        <v>364</v>
      </c>
      <c r="CP111">
        <v>0.04</v>
      </c>
      <c r="CQ111" t="s">
        <v>53</v>
      </c>
      <c r="CV111" t="s">
        <v>306</v>
      </c>
      <c r="DA111" t="s">
        <v>306</v>
      </c>
      <c r="DB111" t="s">
        <v>438</v>
      </c>
      <c r="DC111">
        <v>4040817</v>
      </c>
      <c r="DD111" t="s">
        <v>364</v>
      </c>
      <c r="DE111">
        <v>0.05</v>
      </c>
      <c r="DF111" t="s">
        <v>313</v>
      </c>
      <c r="DK111" t="s">
        <v>306</v>
      </c>
      <c r="DL111" t="s">
        <v>438</v>
      </c>
      <c r="DM111">
        <v>4040817</v>
      </c>
      <c r="DN111" t="s">
        <v>364</v>
      </c>
      <c r="DO111">
        <v>0.05</v>
      </c>
      <c r="DP111" t="s">
        <v>313</v>
      </c>
      <c r="DU111" t="s">
        <v>306</v>
      </c>
      <c r="DV111" t="s">
        <v>1212</v>
      </c>
      <c r="DW111">
        <v>4325140</v>
      </c>
      <c r="DX111" t="s">
        <v>346</v>
      </c>
      <c r="DY111">
        <v>0</v>
      </c>
      <c r="DZ111" t="s">
        <v>2198</v>
      </c>
      <c r="EA111" t="s">
        <v>529</v>
      </c>
      <c r="EB111">
        <v>110570</v>
      </c>
      <c r="EC111" t="s">
        <v>346</v>
      </c>
      <c r="ED111">
        <v>0.05</v>
      </c>
      <c r="EE111" t="s">
        <v>53</v>
      </c>
      <c r="EF111" t="s">
        <v>438</v>
      </c>
      <c r="EG111">
        <v>4040817</v>
      </c>
      <c r="EH111" t="s">
        <v>364</v>
      </c>
      <c r="EI111">
        <v>0.05</v>
      </c>
      <c r="EJ111" t="s">
        <v>313</v>
      </c>
      <c r="EO111" t="s">
        <v>306</v>
      </c>
      <c r="EP111" t="s">
        <v>2133</v>
      </c>
      <c r="EQ111">
        <v>5759727</v>
      </c>
      <c r="ER111" t="s">
        <v>346</v>
      </c>
      <c r="ES111">
        <v>0</v>
      </c>
      <c r="ET111" t="s">
        <v>326</v>
      </c>
      <c r="EY111" t="s">
        <v>306</v>
      </c>
      <c r="FD111" t="s">
        <v>306</v>
      </c>
      <c r="FI111" t="s">
        <v>306</v>
      </c>
      <c r="FJ111" t="s">
        <v>450</v>
      </c>
      <c r="FK111">
        <v>4134083</v>
      </c>
      <c r="FL111" t="s">
        <v>346</v>
      </c>
      <c r="FM111">
        <v>0</v>
      </c>
      <c r="FN111" t="s">
        <v>53</v>
      </c>
      <c r="FS111" t="s">
        <v>306</v>
      </c>
      <c r="FX111" t="s">
        <v>306</v>
      </c>
      <c r="FY111" t="s">
        <v>438</v>
      </c>
      <c r="FZ111">
        <v>4040817</v>
      </c>
      <c r="GA111" t="s">
        <v>364</v>
      </c>
      <c r="GB111">
        <v>0.05</v>
      </c>
      <c r="GC111" t="s">
        <v>313</v>
      </c>
      <c r="GH111" t="s">
        <v>306</v>
      </c>
      <c r="GM111" t="s">
        <v>306</v>
      </c>
      <c r="GN111" t="s">
        <v>450</v>
      </c>
      <c r="GO111">
        <v>4134083</v>
      </c>
      <c r="GP111" t="s">
        <v>346</v>
      </c>
      <c r="GQ111">
        <v>0</v>
      </c>
      <c r="GR111" t="s">
        <v>53</v>
      </c>
      <c r="GS111" t="s">
        <v>727</v>
      </c>
      <c r="GT111">
        <v>15508432</v>
      </c>
      <c r="GU111" t="s">
        <v>346</v>
      </c>
      <c r="GV111">
        <v>0.01</v>
      </c>
      <c r="GW111" t="s">
        <v>50</v>
      </c>
      <c r="GX111" t="s">
        <v>529</v>
      </c>
      <c r="GY111">
        <v>110570</v>
      </c>
      <c r="GZ111" t="s">
        <v>346</v>
      </c>
      <c r="HA111">
        <v>0.05</v>
      </c>
      <c r="HB111" t="s">
        <v>53</v>
      </c>
      <c r="HG111" t="s">
        <v>306</v>
      </c>
    </row>
    <row r="112" spans="5:215" x14ac:dyDescent="0.35">
      <c r="E112" t="s">
        <v>306</v>
      </c>
      <c r="F112" t="s">
        <v>500</v>
      </c>
      <c r="G112">
        <v>4048185</v>
      </c>
      <c r="H112" t="s">
        <v>346</v>
      </c>
      <c r="I112">
        <v>0.01</v>
      </c>
      <c r="J112" t="s">
        <v>53</v>
      </c>
      <c r="K112" t="s">
        <v>453</v>
      </c>
      <c r="L112">
        <v>4318598</v>
      </c>
      <c r="M112" t="s">
        <v>346</v>
      </c>
      <c r="N112">
        <v>0</v>
      </c>
      <c r="O112" t="s">
        <v>53</v>
      </c>
      <c r="T112" t="s">
        <v>306</v>
      </c>
      <c r="U112" t="s">
        <v>399</v>
      </c>
      <c r="V112">
        <v>4026948</v>
      </c>
      <c r="W112" t="s">
        <v>346</v>
      </c>
      <c r="X112">
        <v>0.03</v>
      </c>
      <c r="Y112" t="s">
        <v>317</v>
      </c>
      <c r="Z112" t="s">
        <v>453</v>
      </c>
      <c r="AA112">
        <v>4318598</v>
      </c>
      <c r="AB112" t="s">
        <v>346</v>
      </c>
      <c r="AC112">
        <v>0</v>
      </c>
      <c r="AD112" t="s">
        <v>53</v>
      </c>
      <c r="AE112" t="s">
        <v>677</v>
      </c>
      <c r="AF112">
        <v>4345260</v>
      </c>
      <c r="AG112" t="s">
        <v>346</v>
      </c>
      <c r="AH112">
        <v>0.01</v>
      </c>
      <c r="AI112" t="s">
        <v>50</v>
      </c>
      <c r="AN112" t="s">
        <v>306</v>
      </c>
      <c r="AO112" t="s">
        <v>1289</v>
      </c>
      <c r="AP112">
        <v>5813354</v>
      </c>
      <c r="AQ112" t="s">
        <v>346</v>
      </c>
      <c r="AR112">
        <v>0.02</v>
      </c>
      <c r="AS112" t="s">
        <v>62</v>
      </c>
      <c r="AX112" t="s">
        <v>306</v>
      </c>
      <c r="BC112" t="s">
        <v>306</v>
      </c>
      <c r="BD112" t="s">
        <v>1059</v>
      </c>
      <c r="BE112">
        <v>4343939</v>
      </c>
      <c r="BF112" t="s">
        <v>300</v>
      </c>
      <c r="BG112">
        <v>0.05</v>
      </c>
      <c r="BH112" t="s">
        <v>53</v>
      </c>
      <c r="BI112" t="s">
        <v>1017</v>
      </c>
      <c r="BJ112">
        <v>108500035</v>
      </c>
      <c r="BK112" t="s">
        <v>346</v>
      </c>
      <c r="BL112">
        <v>0.01</v>
      </c>
      <c r="BM112" t="s">
        <v>317</v>
      </c>
      <c r="BN112" t="s">
        <v>481</v>
      </c>
      <c r="BO112">
        <v>4376121</v>
      </c>
      <c r="BP112" t="s">
        <v>346</v>
      </c>
      <c r="BQ112">
        <v>0.01</v>
      </c>
      <c r="BR112" t="s">
        <v>313</v>
      </c>
      <c r="BS112" t="s">
        <v>678</v>
      </c>
      <c r="BT112">
        <v>5877799</v>
      </c>
      <c r="BU112" t="s">
        <v>346</v>
      </c>
      <c r="BV112">
        <v>0.03</v>
      </c>
      <c r="BW112" t="s">
        <v>50</v>
      </c>
      <c r="BX112" t="s">
        <v>399</v>
      </c>
      <c r="BY112">
        <v>4026948</v>
      </c>
      <c r="BZ112" t="s">
        <v>346</v>
      </c>
      <c r="CA112">
        <v>0.03</v>
      </c>
      <c r="CB112" t="s">
        <v>317</v>
      </c>
      <c r="CC112" t="s">
        <v>387</v>
      </c>
      <c r="CD112">
        <v>4020980</v>
      </c>
      <c r="CE112" t="s">
        <v>346</v>
      </c>
      <c r="CF112">
        <v>0.05</v>
      </c>
      <c r="CG112" t="s">
        <v>2189</v>
      </c>
      <c r="CH112" t="s">
        <v>1289</v>
      </c>
      <c r="CI112">
        <v>5813354</v>
      </c>
      <c r="CJ112" t="s">
        <v>346</v>
      </c>
      <c r="CK112">
        <v>0.02</v>
      </c>
      <c r="CL112" t="s">
        <v>62</v>
      </c>
      <c r="CM112" t="s">
        <v>484</v>
      </c>
      <c r="CN112">
        <v>110386</v>
      </c>
      <c r="CO112" t="s">
        <v>346</v>
      </c>
      <c r="CP112">
        <v>0.04</v>
      </c>
      <c r="CQ112" t="s">
        <v>53</v>
      </c>
      <c r="CV112" t="s">
        <v>306</v>
      </c>
      <c r="DA112" t="s">
        <v>306</v>
      </c>
      <c r="DB112" t="s">
        <v>1059</v>
      </c>
      <c r="DC112">
        <v>4343939</v>
      </c>
      <c r="DD112" t="s">
        <v>300</v>
      </c>
      <c r="DE112">
        <v>0.05</v>
      </c>
      <c r="DF112" t="s">
        <v>53</v>
      </c>
      <c r="DK112" t="s">
        <v>306</v>
      </c>
      <c r="DL112" t="s">
        <v>1059</v>
      </c>
      <c r="DM112">
        <v>4343939</v>
      </c>
      <c r="DN112" t="s">
        <v>300</v>
      </c>
      <c r="DO112">
        <v>0.05</v>
      </c>
      <c r="DP112" t="s">
        <v>53</v>
      </c>
      <c r="DU112" t="s">
        <v>306</v>
      </c>
      <c r="DV112" t="s">
        <v>471</v>
      </c>
      <c r="DW112">
        <v>4102247</v>
      </c>
      <c r="DX112" t="s">
        <v>346</v>
      </c>
      <c r="DY112">
        <v>0</v>
      </c>
      <c r="DZ112" t="s">
        <v>53</v>
      </c>
      <c r="EA112" t="s">
        <v>387</v>
      </c>
      <c r="EB112">
        <v>4020980</v>
      </c>
      <c r="EC112" t="s">
        <v>346</v>
      </c>
      <c r="ED112">
        <v>0.05</v>
      </c>
      <c r="EE112" t="s">
        <v>2189</v>
      </c>
      <c r="EF112" t="s">
        <v>1059</v>
      </c>
      <c r="EG112">
        <v>4343939</v>
      </c>
      <c r="EH112" t="s">
        <v>300</v>
      </c>
      <c r="EI112">
        <v>0.05</v>
      </c>
      <c r="EJ112" t="s">
        <v>53</v>
      </c>
      <c r="EO112" t="s">
        <v>306</v>
      </c>
      <c r="EP112" t="s">
        <v>808</v>
      </c>
      <c r="EQ112">
        <v>4138631</v>
      </c>
      <c r="ER112" t="s">
        <v>346</v>
      </c>
      <c r="ES112">
        <v>0</v>
      </c>
      <c r="ET112" t="s">
        <v>50</v>
      </c>
      <c r="EY112" t="s">
        <v>306</v>
      </c>
      <c r="FD112" t="s">
        <v>306</v>
      </c>
      <c r="FI112" t="s">
        <v>306</v>
      </c>
      <c r="FJ112" t="s">
        <v>481</v>
      </c>
      <c r="FK112">
        <v>4376121</v>
      </c>
      <c r="FL112" t="s">
        <v>346</v>
      </c>
      <c r="FM112">
        <v>0</v>
      </c>
      <c r="FN112" t="s">
        <v>313</v>
      </c>
      <c r="FS112" t="s">
        <v>306</v>
      </c>
      <c r="FX112" t="s">
        <v>306</v>
      </c>
      <c r="FY112" t="s">
        <v>1059</v>
      </c>
      <c r="FZ112">
        <v>4343939</v>
      </c>
      <c r="GA112" t="s">
        <v>300</v>
      </c>
      <c r="GB112">
        <v>0.05</v>
      </c>
      <c r="GC112" t="s">
        <v>53</v>
      </c>
      <c r="GH112" t="s">
        <v>306</v>
      </c>
      <c r="GM112" t="s">
        <v>306</v>
      </c>
      <c r="GN112" t="s">
        <v>481</v>
      </c>
      <c r="GO112">
        <v>4376121</v>
      </c>
      <c r="GP112" t="s">
        <v>346</v>
      </c>
      <c r="GQ112">
        <v>0</v>
      </c>
      <c r="GR112" t="s">
        <v>313</v>
      </c>
      <c r="GS112" t="s">
        <v>481</v>
      </c>
      <c r="GT112">
        <v>4376121</v>
      </c>
      <c r="GU112" t="s">
        <v>346</v>
      </c>
      <c r="GV112">
        <v>0.01</v>
      </c>
      <c r="GW112" t="s">
        <v>313</v>
      </c>
      <c r="GX112" t="s">
        <v>387</v>
      </c>
      <c r="GY112">
        <v>4020980</v>
      </c>
      <c r="GZ112" t="s">
        <v>346</v>
      </c>
      <c r="HA112">
        <v>0.05</v>
      </c>
      <c r="HB112" t="s">
        <v>2189</v>
      </c>
      <c r="HG112" t="s">
        <v>306</v>
      </c>
    </row>
    <row r="113" spans="5:215" x14ac:dyDescent="0.35">
      <c r="E113" t="s">
        <v>306</v>
      </c>
      <c r="F113" t="s">
        <v>501</v>
      </c>
      <c r="G113">
        <v>111359</v>
      </c>
      <c r="H113" t="s">
        <v>346</v>
      </c>
      <c r="I113">
        <v>0.01</v>
      </c>
      <c r="J113" t="s">
        <v>53</v>
      </c>
      <c r="K113" t="s">
        <v>491</v>
      </c>
      <c r="L113">
        <v>106960</v>
      </c>
      <c r="M113" t="s">
        <v>346</v>
      </c>
      <c r="N113">
        <v>0</v>
      </c>
      <c r="O113" t="s">
        <v>80</v>
      </c>
      <c r="T113" t="s">
        <v>306</v>
      </c>
      <c r="U113" t="s">
        <v>554</v>
      </c>
      <c r="V113">
        <v>4408592</v>
      </c>
      <c r="W113" t="s">
        <v>346</v>
      </c>
      <c r="X113">
        <v>0.03</v>
      </c>
      <c r="Y113" t="s">
        <v>326</v>
      </c>
      <c r="Z113" t="s">
        <v>491</v>
      </c>
      <c r="AA113">
        <v>106960</v>
      </c>
      <c r="AB113" t="s">
        <v>346</v>
      </c>
      <c r="AC113">
        <v>0</v>
      </c>
      <c r="AD113" t="s">
        <v>80</v>
      </c>
      <c r="AE113" t="s">
        <v>528</v>
      </c>
      <c r="AF113">
        <v>4773761</v>
      </c>
      <c r="AG113" t="s">
        <v>346</v>
      </c>
      <c r="AH113">
        <v>0.01</v>
      </c>
      <c r="AI113" t="s">
        <v>80</v>
      </c>
      <c r="AN113" t="s">
        <v>306</v>
      </c>
      <c r="AO113" t="s">
        <v>356</v>
      </c>
      <c r="AP113">
        <v>4578944</v>
      </c>
      <c r="AQ113" t="s">
        <v>346</v>
      </c>
      <c r="AR113">
        <v>0.02</v>
      </c>
      <c r="AS113" t="s">
        <v>125</v>
      </c>
      <c r="AX113" t="s">
        <v>306</v>
      </c>
      <c r="BC113" t="s">
        <v>306</v>
      </c>
      <c r="BD113" t="s">
        <v>1420</v>
      </c>
      <c r="BE113">
        <v>4235357</v>
      </c>
      <c r="BF113" t="s">
        <v>705</v>
      </c>
      <c r="BG113">
        <v>0.05</v>
      </c>
      <c r="BH113" t="s">
        <v>2199</v>
      </c>
      <c r="BI113" t="s">
        <v>1492</v>
      </c>
      <c r="BJ113">
        <v>4229289</v>
      </c>
      <c r="BK113" t="s">
        <v>346</v>
      </c>
      <c r="BL113">
        <v>0.01</v>
      </c>
      <c r="BM113" t="s">
        <v>323</v>
      </c>
      <c r="BN113" t="s">
        <v>741</v>
      </c>
      <c r="BO113">
        <v>4404664</v>
      </c>
      <c r="BP113" t="s">
        <v>346</v>
      </c>
      <c r="BQ113">
        <v>0.01</v>
      </c>
      <c r="BR113" t="s">
        <v>50</v>
      </c>
      <c r="BS113" t="s">
        <v>747</v>
      </c>
      <c r="BT113">
        <v>4345964</v>
      </c>
      <c r="BU113" t="s">
        <v>346</v>
      </c>
      <c r="BV113">
        <v>0.03</v>
      </c>
      <c r="BW113" t="s">
        <v>50</v>
      </c>
      <c r="BX113" t="s">
        <v>554</v>
      </c>
      <c r="BY113">
        <v>4408592</v>
      </c>
      <c r="BZ113" t="s">
        <v>346</v>
      </c>
      <c r="CA113">
        <v>0.03</v>
      </c>
      <c r="CB113" t="s">
        <v>326</v>
      </c>
      <c r="CC113" t="s">
        <v>961</v>
      </c>
      <c r="CD113">
        <v>4048349</v>
      </c>
      <c r="CE113" t="s">
        <v>346</v>
      </c>
      <c r="CF113">
        <v>0.05</v>
      </c>
      <c r="CG113" t="s">
        <v>313</v>
      </c>
      <c r="CH113" t="s">
        <v>356</v>
      </c>
      <c r="CI113">
        <v>4578944</v>
      </c>
      <c r="CJ113" t="s">
        <v>346</v>
      </c>
      <c r="CK113">
        <v>0.02</v>
      </c>
      <c r="CL113" t="s">
        <v>125</v>
      </c>
      <c r="CM113" t="s">
        <v>1071</v>
      </c>
      <c r="CN113">
        <v>4118668</v>
      </c>
      <c r="CO113" t="s">
        <v>346</v>
      </c>
      <c r="CP113">
        <v>0.04</v>
      </c>
      <c r="CQ113" t="s">
        <v>53</v>
      </c>
      <c r="CV113" t="s">
        <v>306</v>
      </c>
      <c r="DA113" t="s">
        <v>306</v>
      </c>
      <c r="DB113" t="s">
        <v>1420</v>
      </c>
      <c r="DC113">
        <v>4235357</v>
      </c>
      <c r="DD113" t="s">
        <v>705</v>
      </c>
      <c r="DE113">
        <v>0.05</v>
      </c>
      <c r="DF113" t="s">
        <v>2199</v>
      </c>
      <c r="DK113" t="s">
        <v>306</v>
      </c>
      <c r="DL113" t="s">
        <v>1420</v>
      </c>
      <c r="DM113">
        <v>4235357</v>
      </c>
      <c r="DN113" t="s">
        <v>705</v>
      </c>
      <c r="DO113">
        <v>0.05</v>
      </c>
      <c r="DP113" t="s">
        <v>2199</v>
      </c>
      <c r="DU113" t="s">
        <v>306</v>
      </c>
      <c r="DV113" t="s">
        <v>1213</v>
      </c>
      <c r="DW113">
        <v>5807015</v>
      </c>
      <c r="DX113" t="s">
        <v>346</v>
      </c>
      <c r="DY113">
        <v>0</v>
      </c>
      <c r="DZ113" t="s">
        <v>2200</v>
      </c>
      <c r="EA113" t="s">
        <v>961</v>
      </c>
      <c r="EB113">
        <v>4048349</v>
      </c>
      <c r="EC113" t="s">
        <v>346</v>
      </c>
      <c r="ED113">
        <v>0.05</v>
      </c>
      <c r="EE113" t="s">
        <v>313</v>
      </c>
      <c r="EF113" t="s">
        <v>1420</v>
      </c>
      <c r="EG113">
        <v>4235357</v>
      </c>
      <c r="EH113" t="s">
        <v>705</v>
      </c>
      <c r="EI113">
        <v>0.05</v>
      </c>
      <c r="EJ113" t="s">
        <v>2199</v>
      </c>
      <c r="EO113" t="s">
        <v>306</v>
      </c>
      <c r="EP113" t="s">
        <v>491</v>
      </c>
      <c r="EQ113">
        <v>106960</v>
      </c>
      <c r="ER113" t="s">
        <v>346</v>
      </c>
      <c r="ES113">
        <v>0</v>
      </c>
      <c r="ET113" t="s">
        <v>80</v>
      </c>
      <c r="EY113" t="s">
        <v>306</v>
      </c>
      <c r="FD113" t="s">
        <v>306</v>
      </c>
      <c r="FI113" t="s">
        <v>306</v>
      </c>
      <c r="FJ113" t="s">
        <v>544</v>
      </c>
      <c r="FK113">
        <v>5745911</v>
      </c>
      <c r="FL113" t="s">
        <v>369</v>
      </c>
      <c r="FM113">
        <v>0</v>
      </c>
      <c r="FN113" t="s">
        <v>2194</v>
      </c>
      <c r="FS113" t="s">
        <v>306</v>
      </c>
      <c r="FX113" t="s">
        <v>306</v>
      </c>
      <c r="FY113" t="s">
        <v>1420</v>
      </c>
      <c r="FZ113">
        <v>4235357</v>
      </c>
      <c r="GA113" t="s">
        <v>705</v>
      </c>
      <c r="GB113">
        <v>0.05</v>
      </c>
      <c r="GC113" t="s">
        <v>2199</v>
      </c>
      <c r="GH113" t="s">
        <v>306</v>
      </c>
      <c r="GM113" t="s">
        <v>306</v>
      </c>
      <c r="GN113" t="s">
        <v>544</v>
      </c>
      <c r="GO113">
        <v>5745911</v>
      </c>
      <c r="GP113" t="s">
        <v>369</v>
      </c>
      <c r="GQ113">
        <v>0</v>
      </c>
      <c r="GR113" t="s">
        <v>2194</v>
      </c>
      <c r="GS113" t="s">
        <v>741</v>
      </c>
      <c r="GT113">
        <v>4404664</v>
      </c>
      <c r="GU113" t="s">
        <v>346</v>
      </c>
      <c r="GV113">
        <v>0.01</v>
      </c>
      <c r="GW113" t="s">
        <v>50</v>
      </c>
      <c r="GX113" t="s">
        <v>961</v>
      </c>
      <c r="GY113">
        <v>4048349</v>
      </c>
      <c r="GZ113" t="s">
        <v>346</v>
      </c>
      <c r="HA113">
        <v>0.05</v>
      </c>
      <c r="HB113" t="s">
        <v>313</v>
      </c>
      <c r="HG113" t="s">
        <v>306</v>
      </c>
    </row>
    <row r="114" spans="5:215" x14ac:dyDescent="0.35">
      <c r="E114" t="s">
        <v>306</v>
      </c>
      <c r="F114" t="s">
        <v>502</v>
      </c>
      <c r="G114">
        <v>4225041</v>
      </c>
      <c r="H114" t="s">
        <v>346</v>
      </c>
      <c r="I114">
        <v>0.01</v>
      </c>
      <c r="J114" t="s">
        <v>2186</v>
      </c>
      <c r="K114" t="s">
        <v>466</v>
      </c>
      <c r="L114">
        <v>111267</v>
      </c>
      <c r="M114" t="s">
        <v>346</v>
      </c>
      <c r="N114">
        <v>0</v>
      </c>
      <c r="O114" t="s">
        <v>313</v>
      </c>
      <c r="T114" t="s">
        <v>306</v>
      </c>
      <c r="U114" t="s">
        <v>481</v>
      </c>
      <c r="V114">
        <v>4376121</v>
      </c>
      <c r="W114" t="s">
        <v>346</v>
      </c>
      <c r="X114">
        <v>0.03</v>
      </c>
      <c r="Y114" t="s">
        <v>313</v>
      </c>
      <c r="Z114" t="s">
        <v>466</v>
      </c>
      <c r="AA114">
        <v>111267</v>
      </c>
      <c r="AB114" t="s">
        <v>346</v>
      </c>
      <c r="AC114">
        <v>0</v>
      </c>
      <c r="AD114" t="s">
        <v>313</v>
      </c>
      <c r="AE114" t="s">
        <v>1139</v>
      </c>
      <c r="AF114">
        <v>9826610</v>
      </c>
      <c r="AG114" t="s">
        <v>346</v>
      </c>
      <c r="AH114">
        <v>0.01</v>
      </c>
      <c r="AI114" t="s">
        <v>313</v>
      </c>
      <c r="AN114" t="s">
        <v>306</v>
      </c>
      <c r="AO114" t="s">
        <v>1290</v>
      </c>
      <c r="AP114">
        <v>4275763</v>
      </c>
      <c r="AQ114" t="s">
        <v>346</v>
      </c>
      <c r="AR114">
        <v>0.02</v>
      </c>
      <c r="AS114" t="s">
        <v>62</v>
      </c>
      <c r="AX114" t="s">
        <v>306</v>
      </c>
      <c r="BC114" t="s">
        <v>306</v>
      </c>
      <c r="BD114" t="s">
        <v>439</v>
      </c>
      <c r="BE114">
        <v>4757367</v>
      </c>
      <c r="BF114" t="s">
        <v>363</v>
      </c>
      <c r="BG114">
        <v>0.05</v>
      </c>
      <c r="BH114" t="s">
        <v>125</v>
      </c>
      <c r="BI114" t="s">
        <v>488</v>
      </c>
      <c r="BJ114">
        <v>4087052</v>
      </c>
      <c r="BK114" t="s">
        <v>346</v>
      </c>
      <c r="BL114">
        <v>0.01</v>
      </c>
      <c r="BM114" t="s">
        <v>53</v>
      </c>
      <c r="BN114" t="s">
        <v>551</v>
      </c>
      <c r="BO114">
        <v>4137681</v>
      </c>
      <c r="BP114" t="s">
        <v>346</v>
      </c>
      <c r="BQ114">
        <v>0.01</v>
      </c>
      <c r="BR114" t="s">
        <v>50</v>
      </c>
      <c r="BS114" t="s">
        <v>751</v>
      </c>
      <c r="BT114">
        <v>4574748</v>
      </c>
      <c r="BU114" t="s">
        <v>346</v>
      </c>
      <c r="BV114">
        <v>0.03</v>
      </c>
      <c r="BW114" t="s">
        <v>50</v>
      </c>
      <c r="BX114" t="s">
        <v>481</v>
      </c>
      <c r="BY114">
        <v>4376121</v>
      </c>
      <c r="BZ114" t="s">
        <v>346</v>
      </c>
      <c r="CA114">
        <v>0.03</v>
      </c>
      <c r="CB114" t="s">
        <v>313</v>
      </c>
      <c r="CC114" t="s">
        <v>530</v>
      </c>
      <c r="CD114">
        <v>102729</v>
      </c>
      <c r="CE114" t="s">
        <v>346</v>
      </c>
      <c r="CF114">
        <v>0.05</v>
      </c>
      <c r="CG114" t="s">
        <v>53</v>
      </c>
      <c r="CH114" t="s">
        <v>1290</v>
      </c>
      <c r="CI114">
        <v>4275763</v>
      </c>
      <c r="CJ114" t="s">
        <v>346</v>
      </c>
      <c r="CK114">
        <v>0.02</v>
      </c>
      <c r="CL114" t="s">
        <v>62</v>
      </c>
      <c r="CM114" t="s">
        <v>410</v>
      </c>
      <c r="CN114">
        <v>5759394</v>
      </c>
      <c r="CO114" t="s">
        <v>346</v>
      </c>
      <c r="CP114">
        <v>0.04</v>
      </c>
      <c r="CQ114" t="s">
        <v>2186</v>
      </c>
      <c r="CV114" t="s">
        <v>306</v>
      </c>
      <c r="DA114" t="s">
        <v>306</v>
      </c>
      <c r="DB114" t="s">
        <v>439</v>
      </c>
      <c r="DC114">
        <v>4757367</v>
      </c>
      <c r="DD114" t="s">
        <v>363</v>
      </c>
      <c r="DE114">
        <v>0.05</v>
      </c>
      <c r="DF114" t="s">
        <v>125</v>
      </c>
      <c r="DK114" t="s">
        <v>306</v>
      </c>
      <c r="DL114" t="s">
        <v>439</v>
      </c>
      <c r="DM114">
        <v>4757367</v>
      </c>
      <c r="DN114" t="s">
        <v>363</v>
      </c>
      <c r="DO114">
        <v>0.05</v>
      </c>
      <c r="DP114" t="s">
        <v>125</v>
      </c>
      <c r="DU114" t="s">
        <v>306</v>
      </c>
      <c r="DV114" t="s">
        <v>464</v>
      </c>
      <c r="DW114">
        <v>4629378</v>
      </c>
      <c r="DX114" t="s">
        <v>346</v>
      </c>
      <c r="DY114">
        <v>0</v>
      </c>
      <c r="DZ114" t="s">
        <v>304</v>
      </c>
      <c r="EA114" t="s">
        <v>530</v>
      </c>
      <c r="EB114">
        <v>102729</v>
      </c>
      <c r="EC114" t="s">
        <v>346</v>
      </c>
      <c r="ED114">
        <v>0.05</v>
      </c>
      <c r="EE114" t="s">
        <v>53</v>
      </c>
      <c r="EF114" t="s">
        <v>439</v>
      </c>
      <c r="EG114">
        <v>4757367</v>
      </c>
      <c r="EH114" t="s">
        <v>363</v>
      </c>
      <c r="EI114">
        <v>0.05</v>
      </c>
      <c r="EJ114" t="s">
        <v>125</v>
      </c>
      <c r="EO114" t="s">
        <v>306</v>
      </c>
      <c r="EP114" t="s">
        <v>849</v>
      </c>
      <c r="EQ114">
        <v>4336717</v>
      </c>
      <c r="ER114" t="s">
        <v>346</v>
      </c>
      <c r="ES114">
        <v>0</v>
      </c>
      <c r="ET114" t="s">
        <v>50</v>
      </c>
      <c r="EY114" t="s">
        <v>306</v>
      </c>
      <c r="FD114" t="s">
        <v>306</v>
      </c>
      <c r="FI114" t="s">
        <v>306</v>
      </c>
      <c r="FJ114" t="s">
        <v>549</v>
      </c>
      <c r="FK114">
        <v>4556203</v>
      </c>
      <c r="FL114" t="s">
        <v>346</v>
      </c>
      <c r="FM114">
        <v>0</v>
      </c>
      <c r="FN114" t="s">
        <v>53</v>
      </c>
      <c r="FS114" t="s">
        <v>306</v>
      </c>
      <c r="FX114" t="s">
        <v>306</v>
      </c>
      <c r="FY114" t="s">
        <v>439</v>
      </c>
      <c r="FZ114">
        <v>4757367</v>
      </c>
      <c r="GA114" t="s">
        <v>363</v>
      </c>
      <c r="GB114">
        <v>0.05</v>
      </c>
      <c r="GC114" t="s">
        <v>125</v>
      </c>
      <c r="GH114" t="s">
        <v>306</v>
      </c>
      <c r="GM114" t="s">
        <v>306</v>
      </c>
      <c r="GN114" t="s">
        <v>549</v>
      </c>
      <c r="GO114">
        <v>4556203</v>
      </c>
      <c r="GP114" t="s">
        <v>346</v>
      </c>
      <c r="GQ114">
        <v>0</v>
      </c>
      <c r="GR114" t="s">
        <v>53</v>
      </c>
      <c r="GS114" t="s">
        <v>551</v>
      </c>
      <c r="GT114">
        <v>4137681</v>
      </c>
      <c r="GU114" t="s">
        <v>346</v>
      </c>
      <c r="GV114">
        <v>0.01</v>
      </c>
      <c r="GW114" t="s">
        <v>50</v>
      </c>
      <c r="GX114" t="s">
        <v>530</v>
      </c>
      <c r="GY114">
        <v>102729</v>
      </c>
      <c r="GZ114" t="s">
        <v>346</v>
      </c>
      <c r="HA114">
        <v>0.05</v>
      </c>
      <c r="HB114" t="s">
        <v>53</v>
      </c>
      <c r="HG114" t="s">
        <v>306</v>
      </c>
    </row>
    <row r="115" spans="5:215" x14ac:dyDescent="0.35">
      <c r="E115" t="s">
        <v>306</v>
      </c>
      <c r="F115" t="s">
        <v>503</v>
      </c>
      <c r="G115" t="s">
        <v>300</v>
      </c>
      <c r="H115" t="s">
        <v>361</v>
      </c>
      <c r="I115">
        <v>0.01</v>
      </c>
      <c r="J115" t="s">
        <v>50</v>
      </c>
      <c r="K115" t="s">
        <v>683</v>
      </c>
      <c r="L115">
        <v>4137754</v>
      </c>
      <c r="M115" t="s">
        <v>346</v>
      </c>
      <c r="N115">
        <v>0</v>
      </c>
      <c r="O115" t="s">
        <v>50</v>
      </c>
      <c r="T115" t="s">
        <v>306</v>
      </c>
      <c r="U115" t="s">
        <v>443</v>
      </c>
      <c r="V115">
        <v>110787</v>
      </c>
      <c r="W115" t="s">
        <v>346</v>
      </c>
      <c r="X115">
        <v>0.03</v>
      </c>
      <c r="Y115" t="s">
        <v>53</v>
      </c>
      <c r="Z115" t="s">
        <v>683</v>
      </c>
      <c r="AA115">
        <v>4137754</v>
      </c>
      <c r="AB115" t="s">
        <v>346</v>
      </c>
      <c r="AC115">
        <v>0</v>
      </c>
      <c r="AD115" t="s">
        <v>50</v>
      </c>
      <c r="AE115" t="s">
        <v>1140</v>
      </c>
      <c r="AF115" t="s">
        <v>300</v>
      </c>
      <c r="AG115" t="s">
        <v>361</v>
      </c>
      <c r="AH115">
        <v>0.01</v>
      </c>
      <c r="AI115" t="s">
        <v>50</v>
      </c>
      <c r="AN115" t="s">
        <v>306</v>
      </c>
      <c r="AO115" t="s">
        <v>423</v>
      </c>
      <c r="AP115">
        <v>4318240</v>
      </c>
      <c r="AQ115" t="s">
        <v>346</v>
      </c>
      <c r="AR115">
        <v>0.02</v>
      </c>
      <c r="AS115" t="s">
        <v>304</v>
      </c>
      <c r="AX115" t="s">
        <v>306</v>
      </c>
      <c r="BC115" t="s">
        <v>306</v>
      </c>
      <c r="BD115" t="s">
        <v>1241</v>
      </c>
      <c r="BE115">
        <v>100522</v>
      </c>
      <c r="BF115" t="s">
        <v>366</v>
      </c>
      <c r="BG115">
        <v>0.05</v>
      </c>
      <c r="BH115" t="s">
        <v>80</v>
      </c>
      <c r="BI115" t="s">
        <v>423</v>
      </c>
      <c r="BJ115">
        <v>4318240</v>
      </c>
      <c r="BK115" t="s">
        <v>346</v>
      </c>
      <c r="BL115">
        <v>0.01</v>
      </c>
      <c r="BM115" t="s">
        <v>304</v>
      </c>
      <c r="BN115" t="s">
        <v>714</v>
      </c>
      <c r="BO115">
        <v>4388745</v>
      </c>
      <c r="BP115" t="s">
        <v>346</v>
      </c>
      <c r="BQ115">
        <v>0.01</v>
      </c>
      <c r="BR115" t="s">
        <v>326</v>
      </c>
      <c r="BS115" t="s">
        <v>782</v>
      </c>
      <c r="BT115">
        <v>4138745</v>
      </c>
      <c r="BU115" t="s">
        <v>346</v>
      </c>
      <c r="BV115">
        <v>0.03</v>
      </c>
      <c r="BW115" t="s">
        <v>2181</v>
      </c>
      <c r="BX115" t="s">
        <v>443</v>
      </c>
      <c r="BY115">
        <v>110787</v>
      </c>
      <c r="BZ115" t="s">
        <v>346</v>
      </c>
      <c r="CA115">
        <v>0.03</v>
      </c>
      <c r="CB115" t="s">
        <v>53</v>
      </c>
      <c r="CC115" t="s">
        <v>937</v>
      </c>
      <c r="CD115">
        <v>4041896</v>
      </c>
      <c r="CE115" t="s">
        <v>366</v>
      </c>
      <c r="CF115">
        <v>0.05</v>
      </c>
      <c r="CG115" t="s">
        <v>53</v>
      </c>
      <c r="CH115" t="s">
        <v>423</v>
      </c>
      <c r="CI115">
        <v>4318240</v>
      </c>
      <c r="CJ115" t="s">
        <v>346</v>
      </c>
      <c r="CK115">
        <v>0.02</v>
      </c>
      <c r="CL115" t="s">
        <v>304</v>
      </c>
      <c r="CM115" t="s">
        <v>1609</v>
      </c>
      <c r="CN115">
        <v>4135463</v>
      </c>
      <c r="CO115" t="s">
        <v>364</v>
      </c>
      <c r="CP115">
        <v>0.04</v>
      </c>
      <c r="CQ115" t="s">
        <v>53</v>
      </c>
      <c r="CV115" t="s">
        <v>306</v>
      </c>
      <c r="DA115" t="s">
        <v>306</v>
      </c>
      <c r="DB115" t="s">
        <v>1241</v>
      </c>
      <c r="DC115">
        <v>100522</v>
      </c>
      <c r="DD115" t="s">
        <v>366</v>
      </c>
      <c r="DE115">
        <v>0.05</v>
      </c>
      <c r="DF115" t="s">
        <v>80</v>
      </c>
      <c r="DK115" t="s">
        <v>306</v>
      </c>
      <c r="DL115" t="s">
        <v>1241</v>
      </c>
      <c r="DM115">
        <v>100522</v>
      </c>
      <c r="DN115" t="s">
        <v>366</v>
      </c>
      <c r="DO115">
        <v>0.05</v>
      </c>
      <c r="DP115" t="s">
        <v>80</v>
      </c>
      <c r="DU115" t="s">
        <v>306</v>
      </c>
      <c r="DV115" t="s">
        <v>1214</v>
      </c>
      <c r="DW115">
        <v>4138158</v>
      </c>
      <c r="DX115" t="s">
        <v>346</v>
      </c>
      <c r="DY115">
        <v>0</v>
      </c>
      <c r="DZ115" t="s">
        <v>320</v>
      </c>
      <c r="EA115" t="s">
        <v>937</v>
      </c>
      <c r="EB115">
        <v>4041896</v>
      </c>
      <c r="EC115" t="s">
        <v>366</v>
      </c>
      <c r="ED115">
        <v>0.05</v>
      </c>
      <c r="EE115" t="s">
        <v>53</v>
      </c>
      <c r="EF115" t="s">
        <v>1241</v>
      </c>
      <c r="EG115">
        <v>100522</v>
      </c>
      <c r="EH115" t="s">
        <v>366</v>
      </c>
      <c r="EI115">
        <v>0.05</v>
      </c>
      <c r="EJ115" t="s">
        <v>80</v>
      </c>
      <c r="EO115" t="s">
        <v>306</v>
      </c>
      <c r="EP115" t="s">
        <v>662</v>
      </c>
      <c r="EQ115">
        <v>4316799</v>
      </c>
      <c r="ER115" t="s">
        <v>346</v>
      </c>
      <c r="ES115">
        <v>0</v>
      </c>
      <c r="ET115" t="s">
        <v>50</v>
      </c>
      <c r="EY115" t="s">
        <v>306</v>
      </c>
      <c r="FD115" t="s">
        <v>306</v>
      </c>
      <c r="FI115" t="s">
        <v>306</v>
      </c>
      <c r="FJ115" t="s">
        <v>387</v>
      </c>
      <c r="FK115">
        <v>4020980</v>
      </c>
      <c r="FL115" t="s">
        <v>346</v>
      </c>
      <c r="FM115">
        <v>0</v>
      </c>
      <c r="FN115" t="s">
        <v>2189</v>
      </c>
      <c r="FS115" t="s">
        <v>306</v>
      </c>
      <c r="FX115" t="s">
        <v>306</v>
      </c>
      <c r="FY115" t="s">
        <v>1241</v>
      </c>
      <c r="FZ115">
        <v>100522</v>
      </c>
      <c r="GA115" t="s">
        <v>366</v>
      </c>
      <c r="GB115">
        <v>0.05</v>
      </c>
      <c r="GC115" t="s">
        <v>80</v>
      </c>
      <c r="GH115" t="s">
        <v>306</v>
      </c>
      <c r="GM115" t="s">
        <v>306</v>
      </c>
      <c r="GN115" t="s">
        <v>387</v>
      </c>
      <c r="GO115">
        <v>4020980</v>
      </c>
      <c r="GP115" t="s">
        <v>346</v>
      </c>
      <c r="GQ115">
        <v>0</v>
      </c>
      <c r="GR115" t="s">
        <v>2189</v>
      </c>
      <c r="GS115" t="s">
        <v>714</v>
      </c>
      <c r="GT115">
        <v>4388745</v>
      </c>
      <c r="GU115" t="s">
        <v>346</v>
      </c>
      <c r="GV115">
        <v>0.01</v>
      </c>
      <c r="GW115" t="s">
        <v>326</v>
      </c>
      <c r="GX115" t="s">
        <v>937</v>
      </c>
      <c r="GY115">
        <v>4041896</v>
      </c>
      <c r="GZ115" t="s">
        <v>366</v>
      </c>
      <c r="HA115">
        <v>0.05</v>
      </c>
      <c r="HB115" t="s">
        <v>53</v>
      </c>
      <c r="HG115" t="s">
        <v>306</v>
      </c>
    </row>
    <row r="116" spans="5:215" x14ac:dyDescent="0.35">
      <c r="E116" t="s">
        <v>306</v>
      </c>
      <c r="F116" t="s">
        <v>504</v>
      </c>
      <c r="G116">
        <v>4630169</v>
      </c>
      <c r="H116" t="s">
        <v>346</v>
      </c>
      <c r="I116">
        <v>0.01</v>
      </c>
      <c r="J116" t="s">
        <v>2185</v>
      </c>
      <c r="K116" t="s">
        <v>403</v>
      </c>
      <c r="L116">
        <v>4033550</v>
      </c>
      <c r="M116" t="s">
        <v>346</v>
      </c>
      <c r="N116">
        <v>0</v>
      </c>
      <c r="O116" t="s">
        <v>53</v>
      </c>
      <c r="T116" t="s">
        <v>306</v>
      </c>
      <c r="U116" t="s">
        <v>453</v>
      </c>
      <c r="V116">
        <v>4318598</v>
      </c>
      <c r="W116" t="s">
        <v>346</v>
      </c>
      <c r="X116">
        <v>0.03</v>
      </c>
      <c r="Y116" t="s">
        <v>53</v>
      </c>
      <c r="Z116" t="s">
        <v>403</v>
      </c>
      <c r="AA116">
        <v>4033550</v>
      </c>
      <c r="AB116" t="s">
        <v>346</v>
      </c>
      <c r="AC116">
        <v>0</v>
      </c>
      <c r="AD116" t="s">
        <v>53</v>
      </c>
      <c r="AE116" t="s">
        <v>1141</v>
      </c>
      <c r="AF116">
        <v>5767199</v>
      </c>
      <c r="AG116" t="s">
        <v>346</v>
      </c>
      <c r="AH116">
        <v>0.01</v>
      </c>
      <c r="AI116" t="s">
        <v>67</v>
      </c>
      <c r="AN116" t="s">
        <v>306</v>
      </c>
      <c r="AO116" t="s">
        <v>1291</v>
      </c>
      <c r="AP116">
        <v>5868733</v>
      </c>
      <c r="AQ116" t="s">
        <v>346</v>
      </c>
      <c r="AR116">
        <v>0.02</v>
      </c>
      <c r="AS116" t="s">
        <v>62</v>
      </c>
      <c r="AX116" t="s">
        <v>306</v>
      </c>
      <c r="BC116" t="s">
        <v>306</v>
      </c>
      <c r="BD116" t="s">
        <v>1421</v>
      </c>
      <c r="BE116">
        <v>4138670</v>
      </c>
      <c r="BF116" t="s">
        <v>346</v>
      </c>
      <c r="BG116">
        <v>0.05</v>
      </c>
      <c r="BH116" t="s">
        <v>313</v>
      </c>
      <c r="BI116" t="s">
        <v>480</v>
      </c>
      <c r="BJ116">
        <v>4119651</v>
      </c>
      <c r="BK116" t="s">
        <v>346</v>
      </c>
      <c r="BL116">
        <v>0.01</v>
      </c>
      <c r="BM116" t="s">
        <v>53</v>
      </c>
      <c r="BN116" t="s">
        <v>759</v>
      </c>
      <c r="BO116">
        <v>4549477</v>
      </c>
      <c r="BP116" t="s">
        <v>346</v>
      </c>
      <c r="BQ116">
        <v>0.01</v>
      </c>
      <c r="BR116" t="s">
        <v>326</v>
      </c>
      <c r="BS116" t="s">
        <v>746</v>
      </c>
      <c r="BT116">
        <v>4332537</v>
      </c>
      <c r="BU116" t="s">
        <v>346</v>
      </c>
      <c r="BV116">
        <v>0.03</v>
      </c>
      <c r="BW116" t="s">
        <v>50</v>
      </c>
      <c r="BX116" t="s">
        <v>453</v>
      </c>
      <c r="BY116">
        <v>4318598</v>
      </c>
      <c r="BZ116" t="s">
        <v>346</v>
      </c>
      <c r="CA116">
        <v>0.03</v>
      </c>
      <c r="CB116" t="s">
        <v>53</v>
      </c>
      <c r="CC116" t="s">
        <v>1643</v>
      </c>
      <c r="CD116">
        <v>4140158</v>
      </c>
      <c r="CE116" t="s">
        <v>346</v>
      </c>
      <c r="CF116">
        <v>0.05</v>
      </c>
      <c r="CG116" t="s">
        <v>114</v>
      </c>
      <c r="CH116" t="s">
        <v>1291</v>
      </c>
      <c r="CI116">
        <v>5868733</v>
      </c>
      <c r="CJ116" t="s">
        <v>346</v>
      </c>
      <c r="CK116">
        <v>0.02</v>
      </c>
      <c r="CL116" t="s">
        <v>62</v>
      </c>
      <c r="CM116" t="s">
        <v>1288</v>
      </c>
      <c r="CN116">
        <v>5863780</v>
      </c>
      <c r="CO116" t="s">
        <v>346</v>
      </c>
      <c r="CP116">
        <v>0.04</v>
      </c>
      <c r="CQ116" t="s">
        <v>313</v>
      </c>
      <c r="CV116" t="s">
        <v>306</v>
      </c>
      <c r="DA116" t="s">
        <v>306</v>
      </c>
      <c r="DB116" t="s">
        <v>1421</v>
      </c>
      <c r="DC116">
        <v>4138670</v>
      </c>
      <c r="DD116" t="s">
        <v>346</v>
      </c>
      <c r="DE116">
        <v>0.05</v>
      </c>
      <c r="DF116" t="s">
        <v>313</v>
      </c>
      <c r="DK116" t="s">
        <v>306</v>
      </c>
      <c r="DL116" t="s">
        <v>1421</v>
      </c>
      <c r="DM116">
        <v>4138670</v>
      </c>
      <c r="DN116" t="s">
        <v>346</v>
      </c>
      <c r="DO116">
        <v>0.05</v>
      </c>
      <c r="DP116" t="s">
        <v>313</v>
      </c>
      <c r="DU116" t="s">
        <v>306</v>
      </c>
      <c r="DV116" t="s">
        <v>1215</v>
      </c>
      <c r="DW116">
        <v>14990547</v>
      </c>
      <c r="DX116" t="s">
        <v>346</v>
      </c>
      <c r="DY116">
        <v>0</v>
      </c>
      <c r="DZ116" t="s">
        <v>2184</v>
      </c>
      <c r="EA116" t="s">
        <v>1643</v>
      </c>
      <c r="EB116">
        <v>4140158</v>
      </c>
      <c r="EC116" t="s">
        <v>346</v>
      </c>
      <c r="ED116">
        <v>0.05</v>
      </c>
      <c r="EE116" t="s">
        <v>114</v>
      </c>
      <c r="EF116" t="s">
        <v>1421</v>
      </c>
      <c r="EG116">
        <v>4138670</v>
      </c>
      <c r="EH116" t="s">
        <v>346</v>
      </c>
      <c r="EI116">
        <v>0.05</v>
      </c>
      <c r="EJ116" t="s">
        <v>313</v>
      </c>
      <c r="EO116" t="s">
        <v>306</v>
      </c>
      <c r="EP116" t="s">
        <v>743</v>
      </c>
      <c r="EQ116">
        <v>4137999</v>
      </c>
      <c r="ER116" t="s">
        <v>346</v>
      </c>
      <c r="ES116">
        <v>0</v>
      </c>
      <c r="ET116" t="s">
        <v>50</v>
      </c>
      <c r="EY116" t="s">
        <v>306</v>
      </c>
      <c r="FD116" t="s">
        <v>306</v>
      </c>
      <c r="FI116" t="s">
        <v>306</v>
      </c>
      <c r="FJ116" t="s">
        <v>489</v>
      </c>
      <c r="FK116">
        <v>4324456</v>
      </c>
      <c r="FL116" t="s">
        <v>346</v>
      </c>
      <c r="FM116">
        <v>0</v>
      </c>
      <c r="FN116" t="s">
        <v>2194</v>
      </c>
      <c r="FS116" t="s">
        <v>306</v>
      </c>
      <c r="FX116" t="s">
        <v>306</v>
      </c>
      <c r="FY116" t="s">
        <v>1421</v>
      </c>
      <c r="FZ116">
        <v>4138670</v>
      </c>
      <c r="GA116" t="s">
        <v>346</v>
      </c>
      <c r="GB116">
        <v>0.05</v>
      </c>
      <c r="GC116" t="s">
        <v>313</v>
      </c>
      <c r="GH116" t="s">
        <v>306</v>
      </c>
      <c r="GM116" t="s">
        <v>306</v>
      </c>
      <c r="GN116" t="s">
        <v>489</v>
      </c>
      <c r="GO116">
        <v>4324456</v>
      </c>
      <c r="GP116" t="s">
        <v>346</v>
      </c>
      <c r="GQ116">
        <v>0</v>
      </c>
      <c r="GR116" t="s">
        <v>2194</v>
      </c>
      <c r="GS116" t="s">
        <v>759</v>
      </c>
      <c r="GT116">
        <v>4549477</v>
      </c>
      <c r="GU116" t="s">
        <v>346</v>
      </c>
      <c r="GV116">
        <v>0.01</v>
      </c>
      <c r="GW116" t="s">
        <v>326</v>
      </c>
      <c r="GX116" t="s">
        <v>1643</v>
      </c>
      <c r="GY116">
        <v>4140158</v>
      </c>
      <c r="GZ116" t="s">
        <v>346</v>
      </c>
      <c r="HA116">
        <v>0.05</v>
      </c>
      <c r="HB116" t="s">
        <v>114</v>
      </c>
      <c r="HG116" t="s">
        <v>306</v>
      </c>
    </row>
    <row r="117" spans="5:215" x14ac:dyDescent="0.35">
      <c r="E117" t="s">
        <v>306</v>
      </c>
      <c r="F117" t="s">
        <v>505</v>
      </c>
      <c r="G117">
        <v>5856016</v>
      </c>
      <c r="H117" t="s">
        <v>346</v>
      </c>
      <c r="I117">
        <v>0.01</v>
      </c>
      <c r="J117" t="s">
        <v>2185</v>
      </c>
      <c r="K117" t="s">
        <v>526</v>
      </c>
      <c r="L117">
        <v>4248288</v>
      </c>
      <c r="M117" t="s">
        <v>346</v>
      </c>
      <c r="N117">
        <v>0</v>
      </c>
      <c r="O117" t="s">
        <v>80</v>
      </c>
      <c r="T117" t="s">
        <v>306</v>
      </c>
      <c r="U117" t="s">
        <v>745</v>
      </c>
      <c r="V117">
        <v>4120036</v>
      </c>
      <c r="W117" t="s">
        <v>364</v>
      </c>
      <c r="X117">
        <v>0.03</v>
      </c>
      <c r="Y117" t="s">
        <v>326</v>
      </c>
      <c r="Z117" t="s">
        <v>526</v>
      </c>
      <c r="AA117">
        <v>4248288</v>
      </c>
      <c r="AB117" t="s">
        <v>346</v>
      </c>
      <c r="AC117">
        <v>0</v>
      </c>
      <c r="AD117" t="s">
        <v>80</v>
      </c>
      <c r="AE117" t="s">
        <v>1142</v>
      </c>
      <c r="AF117">
        <v>4585233</v>
      </c>
      <c r="AG117" t="s">
        <v>346</v>
      </c>
      <c r="AH117">
        <v>0.01</v>
      </c>
      <c r="AI117" t="s">
        <v>53</v>
      </c>
      <c r="AN117" t="s">
        <v>306</v>
      </c>
      <c r="AO117" t="s">
        <v>400</v>
      </c>
      <c r="AP117">
        <v>7834181</v>
      </c>
      <c r="AQ117" t="s">
        <v>346</v>
      </c>
      <c r="AR117">
        <v>0.02</v>
      </c>
      <c r="AS117" t="s">
        <v>313</v>
      </c>
      <c r="AX117" t="s">
        <v>306</v>
      </c>
      <c r="BC117" t="s">
        <v>306</v>
      </c>
      <c r="BD117" t="s">
        <v>1422</v>
      </c>
      <c r="BE117">
        <v>100519</v>
      </c>
      <c r="BF117" t="s">
        <v>346</v>
      </c>
      <c r="BG117">
        <v>0.05</v>
      </c>
      <c r="BH117" t="s">
        <v>80</v>
      </c>
      <c r="BI117" t="s">
        <v>1414</v>
      </c>
      <c r="BJ117">
        <v>4278965</v>
      </c>
      <c r="BK117" t="s">
        <v>346</v>
      </c>
      <c r="BL117">
        <v>0.01</v>
      </c>
      <c r="BM117" t="s">
        <v>2192</v>
      </c>
      <c r="BN117" t="s">
        <v>465</v>
      </c>
      <c r="BO117">
        <v>4119440</v>
      </c>
      <c r="BP117" t="s">
        <v>346</v>
      </c>
      <c r="BQ117">
        <v>0.01</v>
      </c>
      <c r="BR117" t="s">
        <v>53</v>
      </c>
      <c r="BS117" t="s">
        <v>435</v>
      </c>
      <c r="BT117">
        <v>109789</v>
      </c>
      <c r="BU117" t="s">
        <v>346</v>
      </c>
      <c r="BV117">
        <v>0.03</v>
      </c>
      <c r="BW117" t="s">
        <v>53</v>
      </c>
      <c r="BX117" t="s">
        <v>745</v>
      </c>
      <c r="BY117">
        <v>4120036</v>
      </c>
      <c r="BZ117" t="s">
        <v>364</v>
      </c>
      <c r="CA117">
        <v>0.03</v>
      </c>
      <c r="CB117" t="s">
        <v>326</v>
      </c>
      <c r="CC117" t="s">
        <v>1644</v>
      </c>
      <c r="CD117">
        <v>102757</v>
      </c>
      <c r="CE117" t="s">
        <v>346</v>
      </c>
      <c r="CF117">
        <v>0.05</v>
      </c>
      <c r="CG117" t="s">
        <v>53</v>
      </c>
      <c r="CH117" t="s">
        <v>400</v>
      </c>
      <c r="CI117">
        <v>7834181</v>
      </c>
      <c r="CJ117" t="s">
        <v>346</v>
      </c>
      <c r="CK117">
        <v>0.02</v>
      </c>
      <c r="CL117" t="s">
        <v>313</v>
      </c>
      <c r="CM117" t="s">
        <v>487</v>
      </c>
      <c r="CN117">
        <v>4111901</v>
      </c>
      <c r="CO117" t="s">
        <v>346</v>
      </c>
      <c r="CP117">
        <v>0.04</v>
      </c>
      <c r="CQ117" t="s">
        <v>2192</v>
      </c>
      <c r="CV117" t="s">
        <v>306</v>
      </c>
      <c r="DA117" t="s">
        <v>306</v>
      </c>
      <c r="DB117" t="s">
        <v>1422</v>
      </c>
      <c r="DC117">
        <v>100519</v>
      </c>
      <c r="DD117" t="s">
        <v>346</v>
      </c>
      <c r="DE117">
        <v>0.05</v>
      </c>
      <c r="DF117" t="s">
        <v>80</v>
      </c>
      <c r="DK117" t="s">
        <v>306</v>
      </c>
      <c r="DL117" t="s">
        <v>1422</v>
      </c>
      <c r="DM117">
        <v>100519</v>
      </c>
      <c r="DN117" t="s">
        <v>346</v>
      </c>
      <c r="DO117">
        <v>0.05</v>
      </c>
      <c r="DP117" t="s">
        <v>80</v>
      </c>
      <c r="DU117" t="s">
        <v>306</v>
      </c>
      <c r="DV117" t="s">
        <v>1216</v>
      </c>
      <c r="DW117">
        <v>4212983</v>
      </c>
      <c r="DX117" t="s">
        <v>346</v>
      </c>
      <c r="DY117">
        <v>0</v>
      </c>
      <c r="DZ117" t="s">
        <v>323</v>
      </c>
      <c r="EA117" t="s">
        <v>1644</v>
      </c>
      <c r="EB117">
        <v>102757</v>
      </c>
      <c r="EC117" t="s">
        <v>346</v>
      </c>
      <c r="ED117">
        <v>0.05</v>
      </c>
      <c r="EE117" t="s">
        <v>53</v>
      </c>
      <c r="EF117" t="s">
        <v>1422</v>
      </c>
      <c r="EG117">
        <v>100519</v>
      </c>
      <c r="EH117" t="s">
        <v>346</v>
      </c>
      <c r="EI117">
        <v>0.05</v>
      </c>
      <c r="EJ117" t="s">
        <v>80</v>
      </c>
      <c r="EO117" t="s">
        <v>306</v>
      </c>
      <c r="EP117" t="s">
        <v>731</v>
      </c>
      <c r="EQ117">
        <v>4417406</v>
      </c>
      <c r="ER117" t="s">
        <v>346</v>
      </c>
      <c r="ES117">
        <v>0</v>
      </c>
      <c r="ET117" t="s">
        <v>50</v>
      </c>
      <c r="EY117" t="s">
        <v>306</v>
      </c>
      <c r="FD117" t="s">
        <v>306</v>
      </c>
      <c r="FI117" t="s">
        <v>306</v>
      </c>
      <c r="FJ117" t="s">
        <v>539</v>
      </c>
      <c r="FK117">
        <v>4341249</v>
      </c>
      <c r="FL117" t="s">
        <v>346</v>
      </c>
      <c r="FM117">
        <v>0</v>
      </c>
      <c r="FN117" t="s">
        <v>304</v>
      </c>
      <c r="FS117" t="s">
        <v>306</v>
      </c>
      <c r="FX117" t="s">
        <v>306</v>
      </c>
      <c r="FY117" t="s">
        <v>1422</v>
      </c>
      <c r="FZ117">
        <v>100519</v>
      </c>
      <c r="GA117" t="s">
        <v>346</v>
      </c>
      <c r="GB117">
        <v>0.05</v>
      </c>
      <c r="GC117" t="s">
        <v>80</v>
      </c>
      <c r="GH117" t="s">
        <v>306</v>
      </c>
      <c r="GM117" t="s">
        <v>306</v>
      </c>
      <c r="GN117" t="s">
        <v>539</v>
      </c>
      <c r="GO117">
        <v>4341249</v>
      </c>
      <c r="GP117" t="s">
        <v>346</v>
      </c>
      <c r="GQ117">
        <v>0</v>
      </c>
      <c r="GR117" t="s">
        <v>304</v>
      </c>
      <c r="GS117" t="s">
        <v>465</v>
      </c>
      <c r="GT117">
        <v>4119440</v>
      </c>
      <c r="GU117" t="s">
        <v>346</v>
      </c>
      <c r="GV117">
        <v>0.01</v>
      </c>
      <c r="GW117" t="s">
        <v>53</v>
      </c>
      <c r="GX117" t="s">
        <v>1644</v>
      </c>
      <c r="GY117">
        <v>102757</v>
      </c>
      <c r="GZ117" t="s">
        <v>346</v>
      </c>
      <c r="HA117">
        <v>0.05</v>
      </c>
      <c r="HB117" t="s">
        <v>53</v>
      </c>
      <c r="HG117" t="s">
        <v>306</v>
      </c>
    </row>
    <row r="118" spans="5:215" x14ac:dyDescent="0.35">
      <c r="E118" t="s">
        <v>306</v>
      </c>
      <c r="F118" t="s">
        <v>506</v>
      </c>
      <c r="G118">
        <v>4242466</v>
      </c>
      <c r="H118" t="s">
        <v>346</v>
      </c>
      <c r="I118">
        <v>0.01</v>
      </c>
      <c r="J118" t="s">
        <v>2185</v>
      </c>
      <c r="K118" t="s">
        <v>404</v>
      </c>
      <c r="L118">
        <v>4383779</v>
      </c>
      <c r="M118" t="s">
        <v>346</v>
      </c>
      <c r="N118">
        <v>0</v>
      </c>
      <c r="O118" t="s">
        <v>53</v>
      </c>
      <c r="T118" t="s">
        <v>306</v>
      </c>
      <c r="U118" t="s">
        <v>746</v>
      </c>
      <c r="V118">
        <v>4332537</v>
      </c>
      <c r="W118" t="s">
        <v>346</v>
      </c>
      <c r="X118">
        <v>0.02</v>
      </c>
      <c r="Y118" t="s">
        <v>50</v>
      </c>
      <c r="Z118" t="s">
        <v>404</v>
      </c>
      <c r="AA118">
        <v>4383779</v>
      </c>
      <c r="AB118" t="s">
        <v>346</v>
      </c>
      <c r="AC118">
        <v>0</v>
      </c>
      <c r="AD118" t="s">
        <v>53</v>
      </c>
      <c r="AE118" t="s">
        <v>489</v>
      </c>
      <c r="AF118">
        <v>4324456</v>
      </c>
      <c r="AG118" t="s">
        <v>346</v>
      </c>
      <c r="AH118">
        <v>0.01</v>
      </c>
      <c r="AI118" t="s">
        <v>2194</v>
      </c>
      <c r="AN118" t="s">
        <v>306</v>
      </c>
      <c r="AO118" t="s">
        <v>588</v>
      </c>
      <c r="AP118">
        <v>111537</v>
      </c>
      <c r="AQ118" t="s">
        <v>346</v>
      </c>
      <c r="AR118">
        <v>0.02</v>
      </c>
      <c r="AS118" t="s">
        <v>53</v>
      </c>
      <c r="AX118" t="s">
        <v>306</v>
      </c>
      <c r="BC118" t="s">
        <v>306</v>
      </c>
      <c r="BD118" t="s">
        <v>1423</v>
      </c>
      <c r="BE118">
        <v>4118652</v>
      </c>
      <c r="BF118" t="s">
        <v>346</v>
      </c>
      <c r="BG118">
        <v>0.05</v>
      </c>
      <c r="BH118" t="s">
        <v>53</v>
      </c>
      <c r="BI118" t="s">
        <v>541</v>
      </c>
      <c r="BJ118">
        <v>4135098</v>
      </c>
      <c r="BK118" t="s">
        <v>346</v>
      </c>
      <c r="BL118">
        <v>0.01</v>
      </c>
      <c r="BM118" t="s">
        <v>313</v>
      </c>
      <c r="BN118" t="s">
        <v>664</v>
      </c>
      <c r="BO118">
        <v>4138760</v>
      </c>
      <c r="BP118" t="s">
        <v>346</v>
      </c>
      <c r="BQ118">
        <v>0.01</v>
      </c>
      <c r="BR118" t="s">
        <v>50</v>
      </c>
      <c r="BS118" t="s">
        <v>591</v>
      </c>
      <c r="BT118">
        <v>109721</v>
      </c>
      <c r="BU118" t="s">
        <v>346</v>
      </c>
      <c r="BV118">
        <v>0.03</v>
      </c>
      <c r="BW118" t="s">
        <v>53</v>
      </c>
      <c r="BX118" t="s">
        <v>746</v>
      </c>
      <c r="BY118">
        <v>4332537</v>
      </c>
      <c r="BZ118" t="s">
        <v>346</v>
      </c>
      <c r="CA118">
        <v>0.02</v>
      </c>
      <c r="CB118" t="s">
        <v>50</v>
      </c>
      <c r="CC118" t="s">
        <v>955</v>
      </c>
      <c r="CD118">
        <v>4138889</v>
      </c>
      <c r="CE118" t="s">
        <v>346</v>
      </c>
      <c r="CF118">
        <v>0.05</v>
      </c>
      <c r="CG118" t="s">
        <v>313</v>
      </c>
      <c r="CH118" t="s">
        <v>588</v>
      </c>
      <c r="CI118">
        <v>111537</v>
      </c>
      <c r="CJ118" t="s">
        <v>346</v>
      </c>
      <c r="CK118">
        <v>0.02</v>
      </c>
      <c r="CL118" t="s">
        <v>53</v>
      </c>
      <c r="CM118" t="s">
        <v>1218</v>
      </c>
      <c r="CN118">
        <v>4423321</v>
      </c>
      <c r="CO118" t="s">
        <v>346</v>
      </c>
      <c r="CP118">
        <v>0.04</v>
      </c>
      <c r="CQ118" t="s">
        <v>62</v>
      </c>
      <c r="CV118" t="s">
        <v>306</v>
      </c>
      <c r="DA118" t="s">
        <v>306</v>
      </c>
      <c r="DB118" t="s">
        <v>1423</v>
      </c>
      <c r="DC118">
        <v>4118652</v>
      </c>
      <c r="DD118" t="s">
        <v>346</v>
      </c>
      <c r="DE118">
        <v>0.05</v>
      </c>
      <c r="DF118" t="s">
        <v>53</v>
      </c>
      <c r="DK118" t="s">
        <v>306</v>
      </c>
      <c r="DL118" t="s">
        <v>1423</v>
      </c>
      <c r="DM118">
        <v>4118652</v>
      </c>
      <c r="DN118" t="s">
        <v>346</v>
      </c>
      <c r="DO118">
        <v>0.05</v>
      </c>
      <c r="DP118" t="s">
        <v>53</v>
      </c>
      <c r="DU118" t="s">
        <v>306</v>
      </c>
      <c r="DV118" t="s">
        <v>781</v>
      </c>
      <c r="DW118">
        <v>7794310</v>
      </c>
      <c r="DX118" t="s">
        <v>346</v>
      </c>
      <c r="DY118">
        <v>0</v>
      </c>
      <c r="DZ118" t="s">
        <v>313</v>
      </c>
      <c r="EA118" t="s">
        <v>955</v>
      </c>
      <c r="EB118">
        <v>4138889</v>
      </c>
      <c r="EC118" t="s">
        <v>346</v>
      </c>
      <c r="ED118">
        <v>0.05</v>
      </c>
      <c r="EE118" t="s">
        <v>313</v>
      </c>
      <c r="EF118" t="s">
        <v>1423</v>
      </c>
      <c r="EG118">
        <v>4118652</v>
      </c>
      <c r="EH118" t="s">
        <v>346</v>
      </c>
      <c r="EI118">
        <v>0.05</v>
      </c>
      <c r="EJ118" t="s">
        <v>53</v>
      </c>
      <c r="EO118" t="s">
        <v>306</v>
      </c>
      <c r="EP118" t="s">
        <v>739</v>
      </c>
      <c r="EQ118">
        <v>4311270</v>
      </c>
      <c r="ER118" t="s">
        <v>346</v>
      </c>
      <c r="ES118">
        <v>0</v>
      </c>
      <c r="ET118" t="s">
        <v>50</v>
      </c>
      <c r="EY118" t="s">
        <v>306</v>
      </c>
      <c r="FD118" t="s">
        <v>306</v>
      </c>
      <c r="FI118" t="s">
        <v>306</v>
      </c>
      <c r="FJ118" t="s">
        <v>501</v>
      </c>
      <c r="FK118">
        <v>111359</v>
      </c>
      <c r="FL118" t="s">
        <v>346</v>
      </c>
      <c r="FM118">
        <v>0</v>
      </c>
      <c r="FN118" t="s">
        <v>53</v>
      </c>
      <c r="FS118" t="s">
        <v>306</v>
      </c>
      <c r="FX118" t="s">
        <v>306</v>
      </c>
      <c r="FY118" t="s">
        <v>1423</v>
      </c>
      <c r="FZ118">
        <v>4118652</v>
      </c>
      <c r="GA118" t="s">
        <v>346</v>
      </c>
      <c r="GB118">
        <v>0.05</v>
      </c>
      <c r="GC118" t="s">
        <v>53</v>
      </c>
      <c r="GH118" t="s">
        <v>306</v>
      </c>
      <c r="GM118" t="s">
        <v>306</v>
      </c>
      <c r="GN118" t="s">
        <v>501</v>
      </c>
      <c r="GO118">
        <v>111359</v>
      </c>
      <c r="GP118" t="s">
        <v>346</v>
      </c>
      <c r="GQ118">
        <v>0</v>
      </c>
      <c r="GR118" t="s">
        <v>53</v>
      </c>
      <c r="GS118" t="s">
        <v>664</v>
      </c>
      <c r="GT118">
        <v>4138760</v>
      </c>
      <c r="GU118" t="s">
        <v>346</v>
      </c>
      <c r="GV118">
        <v>0.01</v>
      </c>
      <c r="GW118" t="s">
        <v>50</v>
      </c>
      <c r="GX118" t="s">
        <v>955</v>
      </c>
      <c r="GY118">
        <v>4138889</v>
      </c>
      <c r="GZ118" t="s">
        <v>346</v>
      </c>
      <c r="HA118">
        <v>0.05</v>
      </c>
      <c r="HB118" t="s">
        <v>313</v>
      </c>
      <c r="HG118" t="s">
        <v>306</v>
      </c>
    </row>
    <row r="119" spans="5:215" x14ac:dyDescent="0.35">
      <c r="E119" t="s">
        <v>306</v>
      </c>
      <c r="F119" t="s">
        <v>507</v>
      </c>
      <c r="G119">
        <v>4150758</v>
      </c>
      <c r="H119" t="s">
        <v>366</v>
      </c>
      <c r="I119">
        <v>0</v>
      </c>
      <c r="J119" t="s">
        <v>320</v>
      </c>
      <c r="K119" t="s">
        <v>413</v>
      </c>
      <c r="L119">
        <v>4114882</v>
      </c>
      <c r="M119" t="s">
        <v>346</v>
      </c>
      <c r="N119">
        <v>0</v>
      </c>
      <c r="O119" t="s">
        <v>80</v>
      </c>
      <c r="T119" t="s">
        <v>306</v>
      </c>
      <c r="U119" t="s">
        <v>401</v>
      </c>
      <c r="V119">
        <v>4139862</v>
      </c>
      <c r="W119" t="s">
        <v>346</v>
      </c>
      <c r="X119">
        <v>0.02</v>
      </c>
      <c r="Y119" t="s">
        <v>313</v>
      </c>
      <c r="Z119" t="s">
        <v>413</v>
      </c>
      <c r="AA119">
        <v>4114882</v>
      </c>
      <c r="AB119" t="s">
        <v>346</v>
      </c>
      <c r="AC119">
        <v>0</v>
      </c>
      <c r="AD119" t="s">
        <v>80</v>
      </c>
      <c r="AE119" t="s">
        <v>1143</v>
      </c>
      <c r="AF119">
        <v>4138850</v>
      </c>
      <c r="AG119" t="s">
        <v>346</v>
      </c>
      <c r="AH119">
        <v>0.01</v>
      </c>
      <c r="AI119" t="s">
        <v>62</v>
      </c>
      <c r="AN119" t="s">
        <v>306</v>
      </c>
      <c r="AO119" t="s">
        <v>496</v>
      </c>
      <c r="AP119">
        <v>110495</v>
      </c>
      <c r="AQ119" t="s">
        <v>346</v>
      </c>
      <c r="AR119">
        <v>0.02</v>
      </c>
      <c r="AS119" t="s">
        <v>53</v>
      </c>
      <c r="AX119" t="s">
        <v>306</v>
      </c>
      <c r="BC119" t="s">
        <v>306</v>
      </c>
      <c r="BD119" t="s">
        <v>954</v>
      </c>
      <c r="BE119">
        <v>4026994</v>
      </c>
      <c r="BF119" t="s">
        <v>346</v>
      </c>
      <c r="BG119">
        <v>0.05</v>
      </c>
      <c r="BH119" t="s">
        <v>321</v>
      </c>
      <c r="BI119" t="s">
        <v>482</v>
      </c>
      <c r="BJ119">
        <v>4048742</v>
      </c>
      <c r="BK119" t="s">
        <v>346</v>
      </c>
      <c r="BL119">
        <v>0.01</v>
      </c>
      <c r="BM119" t="s">
        <v>80</v>
      </c>
      <c r="BN119" t="s">
        <v>404</v>
      </c>
      <c r="BO119">
        <v>4383779</v>
      </c>
      <c r="BP119" t="s">
        <v>346</v>
      </c>
      <c r="BQ119">
        <v>0.01</v>
      </c>
      <c r="BR119" t="s">
        <v>53</v>
      </c>
      <c r="BS119" t="s">
        <v>406</v>
      </c>
      <c r="BT119">
        <v>4115698</v>
      </c>
      <c r="BU119" t="s">
        <v>346</v>
      </c>
      <c r="BV119">
        <v>0.03</v>
      </c>
      <c r="BW119" t="s">
        <v>313</v>
      </c>
      <c r="BX119" t="s">
        <v>401</v>
      </c>
      <c r="BY119">
        <v>4139862</v>
      </c>
      <c r="BZ119" t="s">
        <v>346</v>
      </c>
      <c r="CA119">
        <v>0.02</v>
      </c>
      <c r="CB119" t="s">
        <v>313</v>
      </c>
      <c r="CC119" t="s">
        <v>1645</v>
      </c>
      <c r="CD119">
        <v>100382</v>
      </c>
      <c r="CE119" t="s">
        <v>366</v>
      </c>
      <c r="CF119">
        <v>0.05</v>
      </c>
      <c r="CG119" t="s">
        <v>53</v>
      </c>
      <c r="CH119" t="s">
        <v>496</v>
      </c>
      <c r="CI119">
        <v>110495</v>
      </c>
      <c r="CJ119" t="s">
        <v>346</v>
      </c>
      <c r="CK119">
        <v>0.02</v>
      </c>
      <c r="CL119" t="s">
        <v>53</v>
      </c>
      <c r="CM119" t="s">
        <v>1755</v>
      </c>
      <c r="CN119">
        <v>5866138</v>
      </c>
      <c r="CO119" t="s">
        <v>364</v>
      </c>
      <c r="CP119">
        <v>0.04</v>
      </c>
      <c r="CQ119" t="s">
        <v>313</v>
      </c>
      <c r="CV119" t="s">
        <v>306</v>
      </c>
      <c r="DA119" t="s">
        <v>306</v>
      </c>
      <c r="DB119" t="s">
        <v>954</v>
      </c>
      <c r="DC119">
        <v>4026994</v>
      </c>
      <c r="DD119" t="s">
        <v>346</v>
      </c>
      <c r="DE119">
        <v>0.05</v>
      </c>
      <c r="DF119" t="s">
        <v>321</v>
      </c>
      <c r="DK119" t="s">
        <v>306</v>
      </c>
      <c r="DL119" t="s">
        <v>954</v>
      </c>
      <c r="DM119">
        <v>4026994</v>
      </c>
      <c r="DN119" t="s">
        <v>346</v>
      </c>
      <c r="DO119">
        <v>0.05</v>
      </c>
      <c r="DP119" t="s">
        <v>321</v>
      </c>
      <c r="DU119" t="s">
        <v>306</v>
      </c>
      <c r="DV119" t="s">
        <v>1167</v>
      </c>
      <c r="DW119">
        <v>14992688</v>
      </c>
      <c r="DX119" t="s">
        <v>346</v>
      </c>
      <c r="DY119">
        <v>0</v>
      </c>
      <c r="DZ119" t="s">
        <v>2194</v>
      </c>
      <c r="EA119" t="s">
        <v>1645</v>
      </c>
      <c r="EB119">
        <v>100382</v>
      </c>
      <c r="EC119" t="s">
        <v>366</v>
      </c>
      <c r="ED119">
        <v>0.05</v>
      </c>
      <c r="EE119" t="s">
        <v>53</v>
      </c>
      <c r="EF119" t="s">
        <v>954</v>
      </c>
      <c r="EG119">
        <v>4026994</v>
      </c>
      <c r="EH119" t="s">
        <v>346</v>
      </c>
      <c r="EI119">
        <v>0.05</v>
      </c>
      <c r="EJ119" t="s">
        <v>321</v>
      </c>
      <c r="EO119" t="s">
        <v>306</v>
      </c>
      <c r="EP119" t="s">
        <v>459</v>
      </c>
      <c r="EQ119">
        <v>4140503</v>
      </c>
      <c r="ER119" t="s">
        <v>346</v>
      </c>
      <c r="ES119">
        <v>0</v>
      </c>
      <c r="ET119" t="s">
        <v>2186</v>
      </c>
      <c r="EY119" t="s">
        <v>306</v>
      </c>
      <c r="FD119" t="s">
        <v>306</v>
      </c>
      <c r="FI119" t="s">
        <v>306</v>
      </c>
      <c r="FJ119" t="s">
        <v>453</v>
      </c>
      <c r="FK119">
        <v>4318598</v>
      </c>
      <c r="FL119" t="s">
        <v>346</v>
      </c>
      <c r="FM119">
        <v>0</v>
      </c>
      <c r="FN119" t="s">
        <v>53</v>
      </c>
      <c r="FS119" t="s">
        <v>306</v>
      </c>
      <c r="FX119" t="s">
        <v>306</v>
      </c>
      <c r="FY119" t="s">
        <v>954</v>
      </c>
      <c r="FZ119">
        <v>4026994</v>
      </c>
      <c r="GA119" t="s">
        <v>346</v>
      </c>
      <c r="GB119">
        <v>0.05</v>
      </c>
      <c r="GC119" t="s">
        <v>321</v>
      </c>
      <c r="GH119" t="s">
        <v>306</v>
      </c>
      <c r="GM119" t="s">
        <v>306</v>
      </c>
      <c r="GN119" t="s">
        <v>453</v>
      </c>
      <c r="GO119">
        <v>4318598</v>
      </c>
      <c r="GP119" t="s">
        <v>346</v>
      </c>
      <c r="GQ119">
        <v>0</v>
      </c>
      <c r="GR119" t="s">
        <v>53</v>
      </c>
      <c r="GS119" t="s">
        <v>404</v>
      </c>
      <c r="GT119">
        <v>4383779</v>
      </c>
      <c r="GU119" t="s">
        <v>346</v>
      </c>
      <c r="GV119">
        <v>0.01</v>
      </c>
      <c r="GW119" t="s">
        <v>53</v>
      </c>
      <c r="GX119" t="s">
        <v>1645</v>
      </c>
      <c r="GY119">
        <v>100382</v>
      </c>
      <c r="GZ119" t="s">
        <v>366</v>
      </c>
      <c r="HA119">
        <v>0.05</v>
      </c>
      <c r="HB119" t="s">
        <v>53</v>
      </c>
      <c r="HG119" t="s">
        <v>306</v>
      </c>
    </row>
    <row r="120" spans="5:215" x14ac:dyDescent="0.35">
      <c r="E120" t="s">
        <v>306</v>
      </c>
      <c r="F120" t="s">
        <v>508</v>
      </c>
      <c r="G120">
        <v>4399282</v>
      </c>
      <c r="H120" t="s">
        <v>346</v>
      </c>
      <c r="I120">
        <v>0</v>
      </c>
      <c r="J120" t="s">
        <v>80</v>
      </c>
      <c r="K120" t="s">
        <v>386</v>
      </c>
      <c r="L120">
        <v>4145085</v>
      </c>
      <c r="M120" t="s">
        <v>346</v>
      </c>
      <c r="N120">
        <v>0</v>
      </c>
      <c r="O120" t="s">
        <v>313</v>
      </c>
      <c r="T120" t="s">
        <v>306</v>
      </c>
      <c r="U120" t="s">
        <v>666</v>
      </c>
      <c r="V120">
        <v>4379197</v>
      </c>
      <c r="W120" t="s">
        <v>346</v>
      </c>
      <c r="X120">
        <v>0.02</v>
      </c>
      <c r="Y120" t="s">
        <v>50</v>
      </c>
      <c r="Z120" t="s">
        <v>386</v>
      </c>
      <c r="AA120">
        <v>4145085</v>
      </c>
      <c r="AB120" t="s">
        <v>346</v>
      </c>
      <c r="AC120">
        <v>0</v>
      </c>
      <c r="AD120" t="s">
        <v>313</v>
      </c>
      <c r="AE120" t="s">
        <v>390</v>
      </c>
      <c r="AF120">
        <v>4135241</v>
      </c>
      <c r="AG120" t="s">
        <v>346</v>
      </c>
      <c r="AH120">
        <v>0.01</v>
      </c>
      <c r="AI120" t="s">
        <v>125</v>
      </c>
      <c r="AN120" t="s">
        <v>306</v>
      </c>
      <c r="AO120" t="s">
        <v>533</v>
      </c>
      <c r="AP120">
        <v>4377155</v>
      </c>
      <c r="AQ120" t="s">
        <v>346</v>
      </c>
      <c r="AR120">
        <v>0.02</v>
      </c>
      <c r="AS120" t="s">
        <v>2192</v>
      </c>
      <c r="AX120" t="s">
        <v>306</v>
      </c>
      <c r="BC120" t="s">
        <v>306</v>
      </c>
      <c r="BD120" t="s">
        <v>1424</v>
      </c>
      <c r="BE120">
        <v>4089578</v>
      </c>
      <c r="BF120" t="s">
        <v>346</v>
      </c>
      <c r="BG120">
        <v>0.05</v>
      </c>
      <c r="BH120" t="s">
        <v>53</v>
      </c>
      <c r="BI120" t="s">
        <v>1567</v>
      </c>
      <c r="BJ120">
        <v>5859803</v>
      </c>
      <c r="BK120" t="s">
        <v>346</v>
      </c>
      <c r="BL120">
        <v>0.01</v>
      </c>
      <c r="BM120" t="s">
        <v>323</v>
      </c>
      <c r="BN120" t="s">
        <v>668</v>
      </c>
      <c r="BO120">
        <v>109523595</v>
      </c>
      <c r="BP120" t="s">
        <v>346</v>
      </c>
      <c r="BQ120">
        <v>0.01</v>
      </c>
      <c r="BR120" t="s">
        <v>50</v>
      </c>
      <c r="BS120" t="s">
        <v>966</v>
      </c>
      <c r="BT120">
        <v>4195225</v>
      </c>
      <c r="BU120" t="s">
        <v>346</v>
      </c>
      <c r="BV120">
        <v>0.03</v>
      </c>
      <c r="BW120" t="s">
        <v>313</v>
      </c>
      <c r="BX120" t="s">
        <v>666</v>
      </c>
      <c r="BY120">
        <v>4379197</v>
      </c>
      <c r="BZ120" t="s">
        <v>346</v>
      </c>
      <c r="CA120">
        <v>0.02</v>
      </c>
      <c r="CB120" t="s">
        <v>50</v>
      </c>
      <c r="CC120" t="s">
        <v>1190</v>
      </c>
      <c r="CD120">
        <v>4135104</v>
      </c>
      <c r="CE120" t="s">
        <v>364</v>
      </c>
      <c r="CF120">
        <v>0.05</v>
      </c>
      <c r="CG120" t="s">
        <v>313</v>
      </c>
      <c r="CH120" t="s">
        <v>533</v>
      </c>
      <c r="CI120">
        <v>4377155</v>
      </c>
      <c r="CJ120" t="s">
        <v>346</v>
      </c>
      <c r="CK120">
        <v>0.02</v>
      </c>
      <c r="CL120" t="s">
        <v>2192</v>
      </c>
      <c r="CM120" t="s">
        <v>1717</v>
      </c>
      <c r="CN120">
        <v>4117421</v>
      </c>
      <c r="CO120" t="s">
        <v>346</v>
      </c>
      <c r="CP120">
        <v>0.04</v>
      </c>
      <c r="CQ120" t="s">
        <v>53</v>
      </c>
      <c r="CV120" t="s">
        <v>306</v>
      </c>
      <c r="DA120" t="s">
        <v>306</v>
      </c>
      <c r="DB120" t="s">
        <v>1424</v>
      </c>
      <c r="DC120">
        <v>4089578</v>
      </c>
      <c r="DD120" t="s">
        <v>346</v>
      </c>
      <c r="DE120">
        <v>0.05</v>
      </c>
      <c r="DF120" t="s">
        <v>53</v>
      </c>
      <c r="DK120" t="s">
        <v>306</v>
      </c>
      <c r="DL120" t="s">
        <v>1424</v>
      </c>
      <c r="DM120">
        <v>4089578</v>
      </c>
      <c r="DN120" t="s">
        <v>346</v>
      </c>
      <c r="DO120">
        <v>0.05</v>
      </c>
      <c r="DP120" t="s">
        <v>53</v>
      </c>
      <c r="DU120" t="s">
        <v>306</v>
      </c>
      <c r="DV120" t="s">
        <v>1217</v>
      </c>
      <c r="DW120">
        <v>7800204</v>
      </c>
      <c r="DX120" t="s">
        <v>364</v>
      </c>
      <c r="DY120">
        <v>0</v>
      </c>
      <c r="DZ120" t="s">
        <v>62</v>
      </c>
      <c r="EA120" t="s">
        <v>1190</v>
      </c>
      <c r="EB120">
        <v>4135104</v>
      </c>
      <c r="EC120" t="s">
        <v>364</v>
      </c>
      <c r="ED120">
        <v>0.05</v>
      </c>
      <c r="EE120" t="s">
        <v>313</v>
      </c>
      <c r="EF120" t="s">
        <v>1424</v>
      </c>
      <c r="EG120">
        <v>4089578</v>
      </c>
      <c r="EH120" t="s">
        <v>346</v>
      </c>
      <c r="EI120">
        <v>0.05</v>
      </c>
      <c r="EJ120" t="s">
        <v>53</v>
      </c>
      <c r="EO120" t="s">
        <v>306</v>
      </c>
      <c r="EP120" t="s">
        <v>526</v>
      </c>
      <c r="EQ120">
        <v>4248288</v>
      </c>
      <c r="ER120" t="s">
        <v>346</v>
      </c>
      <c r="ES120">
        <v>0</v>
      </c>
      <c r="ET120" t="s">
        <v>80</v>
      </c>
      <c r="EY120" t="s">
        <v>306</v>
      </c>
      <c r="FD120" t="s">
        <v>306</v>
      </c>
      <c r="FI120" t="s">
        <v>306</v>
      </c>
      <c r="FJ120" t="s">
        <v>527</v>
      </c>
      <c r="FK120">
        <v>4212947</v>
      </c>
      <c r="FL120" t="s">
        <v>346</v>
      </c>
      <c r="FM120">
        <v>0</v>
      </c>
      <c r="FN120" t="s">
        <v>304</v>
      </c>
      <c r="FS120" t="s">
        <v>306</v>
      </c>
      <c r="FX120" t="s">
        <v>306</v>
      </c>
      <c r="FY120" t="s">
        <v>1424</v>
      </c>
      <c r="FZ120">
        <v>4089578</v>
      </c>
      <c r="GA120" t="s">
        <v>346</v>
      </c>
      <c r="GB120">
        <v>0.05</v>
      </c>
      <c r="GC120" t="s">
        <v>53</v>
      </c>
      <c r="GH120" t="s">
        <v>306</v>
      </c>
      <c r="GM120" t="s">
        <v>306</v>
      </c>
      <c r="GN120" t="s">
        <v>527</v>
      </c>
      <c r="GO120">
        <v>4212947</v>
      </c>
      <c r="GP120" t="s">
        <v>346</v>
      </c>
      <c r="GQ120">
        <v>0</v>
      </c>
      <c r="GR120" t="s">
        <v>304</v>
      </c>
      <c r="GS120" t="s">
        <v>668</v>
      </c>
      <c r="GT120">
        <v>109523595</v>
      </c>
      <c r="GU120" t="s">
        <v>346</v>
      </c>
      <c r="GV120">
        <v>0.01</v>
      </c>
      <c r="GW120" t="s">
        <v>50</v>
      </c>
      <c r="GX120" t="s">
        <v>1190</v>
      </c>
      <c r="GY120">
        <v>4135104</v>
      </c>
      <c r="GZ120" t="s">
        <v>364</v>
      </c>
      <c r="HA120">
        <v>0.05</v>
      </c>
      <c r="HB120" t="s">
        <v>313</v>
      </c>
      <c r="HG120" t="s">
        <v>306</v>
      </c>
    </row>
    <row r="121" spans="5:215" x14ac:dyDescent="0.35">
      <c r="E121" t="s">
        <v>306</v>
      </c>
      <c r="F121" t="s">
        <v>509</v>
      </c>
      <c r="G121">
        <v>4226520</v>
      </c>
      <c r="H121" t="s">
        <v>346</v>
      </c>
      <c r="I121">
        <v>0</v>
      </c>
      <c r="J121" t="s">
        <v>80</v>
      </c>
      <c r="K121" t="s">
        <v>684</v>
      </c>
      <c r="L121">
        <v>4139415</v>
      </c>
      <c r="M121" t="s">
        <v>346</v>
      </c>
      <c r="N121">
        <v>0</v>
      </c>
      <c r="O121" t="s">
        <v>50</v>
      </c>
      <c r="T121" t="s">
        <v>306</v>
      </c>
      <c r="U121" t="s">
        <v>484</v>
      </c>
      <c r="V121">
        <v>110386</v>
      </c>
      <c r="W121" t="s">
        <v>346</v>
      </c>
      <c r="X121">
        <v>0.02</v>
      </c>
      <c r="Y121" t="s">
        <v>53</v>
      </c>
      <c r="Z121" t="s">
        <v>684</v>
      </c>
      <c r="AA121">
        <v>4139415</v>
      </c>
      <c r="AB121" t="s">
        <v>346</v>
      </c>
      <c r="AC121">
        <v>0</v>
      </c>
      <c r="AD121" t="s">
        <v>50</v>
      </c>
      <c r="AE121" t="s">
        <v>1144</v>
      </c>
      <c r="AF121">
        <v>4342473</v>
      </c>
      <c r="AG121" t="s">
        <v>346</v>
      </c>
      <c r="AH121">
        <v>0.01</v>
      </c>
      <c r="AI121" t="s">
        <v>320</v>
      </c>
      <c r="AN121" t="s">
        <v>306</v>
      </c>
      <c r="AO121" t="s">
        <v>499</v>
      </c>
      <c r="AP121">
        <v>4073190</v>
      </c>
      <c r="AQ121" t="s">
        <v>346</v>
      </c>
      <c r="AR121">
        <v>0.02</v>
      </c>
      <c r="AS121" t="s">
        <v>53</v>
      </c>
      <c r="AX121" t="s">
        <v>306</v>
      </c>
      <c r="BC121" t="s">
        <v>306</v>
      </c>
      <c r="BD121" t="s">
        <v>1425</v>
      </c>
      <c r="BE121">
        <v>4115725</v>
      </c>
      <c r="BF121" t="s">
        <v>346</v>
      </c>
      <c r="BG121">
        <v>0.05</v>
      </c>
      <c r="BH121" t="s">
        <v>313</v>
      </c>
      <c r="BI121" t="s">
        <v>820</v>
      </c>
      <c r="BJ121">
        <v>4240804</v>
      </c>
      <c r="BK121" t="s">
        <v>346</v>
      </c>
      <c r="BL121">
        <v>0.01</v>
      </c>
      <c r="BM121" t="s">
        <v>2191</v>
      </c>
      <c r="BN121" t="s">
        <v>471</v>
      </c>
      <c r="BO121">
        <v>4102247</v>
      </c>
      <c r="BP121" t="s">
        <v>346</v>
      </c>
      <c r="BQ121">
        <v>0.01</v>
      </c>
      <c r="BR121" t="s">
        <v>53</v>
      </c>
      <c r="BS121" t="s">
        <v>967</v>
      </c>
      <c r="BT121">
        <v>19536721</v>
      </c>
      <c r="BU121" t="s">
        <v>346</v>
      </c>
      <c r="BV121">
        <v>0.03</v>
      </c>
      <c r="BW121" t="s">
        <v>125</v>
      </c>
      <c r="BX121" t="s">
        <v>484</v>
      </c>
      <c r="BY121">
        <v>110386</v>
      </c>
      <c r="BZ121" t="s">
        <v>346</v>
      </c>
      <c r="CA121">
        <v>0.02</v>
      </c>
      <c r="CB121" t="s">
        <v>53</v>
      </c>
      <c r="CC121" t="s">
        <v>1646</v>
      </c>
      <c r="CD121">
        <v>4289255</v>
      </c>
      <c r="CE121" t="s">
        <v>346</v>
      </c>
      <c r="CF121">
        <v>0.04</v>
      </c>
      <c r="CG121" t="s">
        <v>114</v>
      </c>
      <c r="CH121" t="s">
        <v>499</v>
      </c>
      <c r="CI121">
        <v>4073190</v>
      </c>
      <c r="CJ121" t="s">
        <v>346</v>
      </c>
      <c r="CK121">
        <v>0.02</v>
      </c>
      <c r="CL121" t="s">
        <v>53</v>
      </c>
      <c r="CM121" t="s">
        <v>1777</v>
      </c>
      <c r="CN121">
        <v>4115973</v>
      </c>
      <c r="CO121" t="s">
        <v>346</v>
      </c>
      <c r="CP121">
        <v>0.04</v>
      </c>
      <c r="CQ121" t="s">
        <v>53</v>
      </c>
      <c r="CV121" t="s">
        <v>306</v>
      </c>
      <c r="DA121" t="s">
        <v>306</v>
      </c>
      <c r="DB121" t="s">
        <v>1425</v>
      </c>
      <c r="DC121">
        <v>4115725</v>
      </c>
      <c r="DD121" t="s">
        <v>346</v>
      </c>
      <c r="DE121">
        <v>0.05</v>
      </c>
      <c r="DF121" t="s">
        <v>313</v>
      </c>
      <c r="DK121" t="s">
        <v>306</v>
      </c>
      <c r="DL121" t="s">
        <v>1425</v>
      </c>
      <c r="DM121">
        <v>4115725</v>
      </c>
      <c r="DN121" t="s">
        <v>346</v>
      </c>
      <c r="DO121">
        <v>0.05</v>
      </c>
      <c r="DP121" t="s">
        <v>313</v>
      </c>
      <c r="DU121" t="s">
        <v>306</v>
      </c>
      <c r="DV121" t="s">
        <v>428</v>
      </c>
      <c r="DW121">
        <v>4116134</v>
      </c>
      <c r="DX121" t="s">
        <v>346</v>
      </c>
      <c r="DY121">
        <v>0</v>
      </c>
      <c r="DZ121" t="s">
        <v>304</v>
      </c>
      <c r="EA121" t="s">
        <v>1646</v>
      </c>
      <c r="EB121">
        <v>4289255</v>
      </c>
      <c r="EC121" t="s">
        <v>346</v>
      </c>
      <c r="ED121">
        <v>0.04</v>
      </c>
      <c r="EE121" t="s">
        <v>114</v>
      </c>
      <c r="EF121" t="s">
        <v>1425</v>
      </c>
      <c r="EG121">
        <v>4115725</v>
      </c>
      <c r="EH121" t="s">
        <v>346</v>
      </c>
      <c r="EI121">
        <v>0.05</v>
      </c>
      <c r="EJ121" t="s">
        <v>313</v>
      </c>
      <c r="EO121" t="s">
        <v>306</v>
      </c>
      <c r="EP121" t="s">
        <v>2134</v>
      </c>
      <c r="EQ121" t="s">
        <v>300</v>
      </c>
      <c r="ER121" t="s">
        <v>361</v>
      </c>
      <c r="ES121">
        <v>0</v>
      </c>
      <c r="ET121" t="s">
        <v>50</v>
      </c>
      <c r="EY121" t="s">
        <v>306</v>
      </c>
      <c r="FD121" t="s">
        <v>306</v>
      </c>
      <c r="FI121" t="s">
        <v>306</v>
      </c>
      <c r="FJ121" t="s">
        <v>567</v>
      </c>
      <c r="FK121">
        <v>4139837</v>
      </c>
      <c r="FL121" t="s">
        <v>346</v>
      </c>
      <c r="FM121">
        <v>0</v>
      </c>
      <c r="FN121" t="s">
        <v>304</v>
      </c>
      <c r="FS121" t="s">
        <v>306</v>
      </c>
      <c r="FX121" t="s">
        <v>306</v>
      </c>
      <c r="FY121" t="s">
        <v>1425</v>
      </c>
      <c r="FZ121">
        <v>4115725</v>
      </c>
      <c r="GA121" t="s">
        <v>346</v>
      </c>
      <c r="GB121">
        <v>0.05</v>
      </c>
      <c r="GC121" t="s">
        <v>313</v>
      </c>
      <c r="GH121" t="s">
        <v>306</v>
      </c>
      <c r="GM121" t="s">
        <v>306</v>
      </c>
      <c r="GN121" t="s">
        <v>567</v>
      </c>
      <c r="GO121">
        <v>4139837</v>
      </c>
      <c r="GP121" t="s">
        <v>346</v>
      </c>
      <c r="GQ121">
        <v>0</v>
      </c>
      <c r="GR121" t="s">
        <v>304</v>
      </c>
      <c r="GS121" t="s">
        <v>471</v>
      </c>
      <c r="GT121">
        <v>4102247</v>
      </c>
      <c r="GU121" t="s">
        <v>346</v>
      </c>
      <c r="GV121">
        <v>0.01</v>
      </c>
      <c r="GW121" t="s">
        <v>53</v>
      </c>
      <c r="GX121" t="s">
        <v>1646</v>
      </c>
      <c r="GY121">
        <v>4289255</v>
      </c>
      <c r="GZ121" t="s">
        <v>346</v>
      </c>
      <c r="HA121">
        <v>0.04</v>
      </c>
      <c r="HB121" t="s">
        <v>114</v>
      </c>
      <c r="HG121" t="s">
        <v>306</v>
      </c>
    </row>
    <row r="122" spans="5:215" x14ac:dyDescent="0.35">
      <c r="E122" t="s">
        <v>306</v>
      </c>
      <c r="F122" t="s">
        <v>510</v>
      </c>
      <c r="G122">
        <v>4089114</v>
      </c>
      <c r="H122" t="s">
        <v>346</v>
      </c>
      <c r="I122">
        <v>0</v>
      </c>
      <c r="J122" t="s">
        <v>53</v>
      </c>
      <c r="K122" t="s">
        <v>685</v>
      </c>
      <c r="L122">
        <v>4641730</v>
      </c>
      <c r="M122" t="s">
        <v>346</v>
      </c>
      <c r="N122">
        <v>0</v>
      </c>
      <c r="O122" t="s">
        <v>326</v>
      </c>
      <c r="T122" t="s">
        <v>306</v>
      </c>
      <c r="U122" t="s">
        <v>747</v>
      </c>
      <c r="V122">
        <v>4345964</v>
      </c>
      <c r="W122" t="s">
        <v>346</v>
      </c>
      <c r="X122">
        <v>0.02</v>
      </c>
      <c r="Y122" t="s">
        <v>50</v>
      </c>
      <c r="Z122" t="s">
        <v>685</v>
      </c>
      <c r="AA122">
        <v>4641730</v>
      </c>
      <c r="AB122" t="s">
        <v>346</v>
      </c>
      <c r="AC122">
        <v>0</v>
      </c>
      <c r="AD122" t="s">
        <v>326</v>
      </c>
      <c r="AE122" t="s">
        <v>1145</v>
      </c>
      <c r="AF122">
        <v>4663465</v>
      </c>
      <c r="AG122" t="s">
        <v>364</v>
      </c>
      <c r="AH122">
        <v>0</v>
      </c>
      <c r="AI122" t="s">
        <v>53</v>
      </c>
      <c r="AN122" t="s">
        <v>306</v>
      </c>
      <c r="AO122" t="s">
        <v>1292</v>
      </c>
      <c r="AP122">
        <v>5884486</v>
      </c>
      <c r="AQ122" t="s">
        <v>346</v>
      </c>
      <c r="AR122">
        <v>0.02</v>
      </c>
      <c r="AS122" t="s">
        <v>62</v>
      </c>
      <c r="AX122" t="s">
        <v>306</v>
      </c>
      <c r="BC122" t="s">
        <v>306</v>
      </c>
      <c r="BD122" t="s">
        <v>1270</v>
      </c>
      <c r="BE122">
        <v>5845361</v>
      </c>
      <c r="BF122" t="s">
        <v>364</v>
      </c>
      <c r="BG122">
        <v>0.04</v>
      </c>
      <c r="BH122" t="s">
        <v>62</v>
      </c>
      <c r="BI122" t="s">
        <v>466</v>
      </c>
      <c r="BJ122">
        <v>111267</v>
      </c>
      <c r="BK122" t="s">
        <v>346</v>
      </c>
      <c r="BL122">
        <v>0.01</v>
      </c>
      <c r="BM122" t="s">
        <v>313</v>
      </c>
      <c r="BN122" t="s">
        <v>710</v>
      </c>
      <c r="BO122">
        <v>4559567</v>
      </c>
      <c r="BP122" t="s">
        <v>346</v>
      </c>
      <c r="BQ122">
        <v>0.01</v>
      </c>
      <c r="BR122" t="s">
        <v>50</v>
      </c>
      <c r="BS122" t="s">
        <v>443</v>
      </c>
      <c r="BT122">
        <v>110787</v>
      </c>
      <c r="BU122" t="s">
        <v>346</v>
      </c>
      <c r="BV122">
        <v>0.03</v>
      </c>
      <c r="BW122" t="s">
        <v>53</v>
      </c>
      <c r="BX122" t="s">
        <v>747</v>
      </c>
      <c r="BY122">
        <v>4345964</v>
      </c>
      <c r="BZ122" t="s">
        <v>346</v>
      </c>
      <c r="CA122">
        <v>0.02</v>
      </c>
      <c r="CB122" t="s">
        <v>50</v>
      </c>
      <c r="CC122" t="s">
        <v>591</v>
      </c>
      <c r="CD122">
        <v>109721</v>
      </c>
      <c r="CE122" t="s">
        <v>346</v>
      </c>
      <c r="CF122">
        <v>0.04</v>
      </c>
      <c r="CG122" t="s">
        <v>53</v>
      </c>
      <c r="CH122" t="s">
        <v>1292</v>
      </c>
      <c r="CI122">
        <v>5884486</v>
      </c>
      <c r="CJ122" t="s">
        <v>346</v>
      </c>
      <c r="CK122">
        <v>0.02</v>
      </c>
      <c r="CL122" t="s">
        <v>62</v>
      </c>
      <c r="CM122" t="s">
        <v>1282</v>
      </c>
      <c r="CN122">
        <v>102734</v>
      </c>
      <c r="CO122" t="s">
        <v>346</v>
      </c>
      <c r="CP122">
        <v>0.04</v>
      </c>
      <c r="CQ122" t="s">
        <v>53</v>
      </c>
      <c r="CV122" t="s">
        <v>306</v>
      </c>
      <c r="DA122" t="s">
        <v>306</v>
      </c>
      <c r="DB122" t="s">
        <v>1270</v>
      </c>
      <c r="DC122">
        <v>5845361</v>
      </c>
      <c r="DD122" t="s">
        <v>364</v>
      </c>
      <c r="DE122">
        <v>0.04</v>
      </c>
      <c r="DF122" t="s">
        <v>62</v>
      </c>
      <c r="DK122" t="s">
        <v>306</v>
      </c>
      <c r="DL122" t="s">
        <v>1270</v>
      </c>
      <c r="DM122">
        <v>5845361</v>
      </c>
      <c r="DN122" t="s">
        <v>364</v>
      </c>
      <c r="DO122">
        <v>0.04</v>
      </c>
      <c r="DP122" t="s">
        <v>62</v>
      </c>
      <c r="DU122" t="s">
        <v>306</v>
      </c>
      <c r="DV122" t="s">
        <v>588</v>
      </c>
      <c r="DW122">
        <v>111537</v>
      </c>
      <c r="DX122" t="s">
        <v>346</v>
      </c>
      <c r="DY122">
        <v>0</v>
      </c>
      <c r="DZ122" t="s">
        <v>53</v>
      </c>
      <c r="EA122" t="s">
        <v>591</v>
      </c>
      <c r="EB122">
        <v>109721</v>
      </c>
      <c r="EC122" t="s">
        <v>346</v>
      </c>
      <c r="ED122">
        <v>0.04</v>
      </c>
      <c r="EE122" t="s">
        <v>53</v>
      </c>
      <c r="EF122" t="s">
        <v>1270</v>
      </c>
      <c r="EG122">
        <v>5845361</v>
      </c>
      <c r="EH122" t="s">
        <v>364</v>
      </c>
      <c r="EI122">
        <v>0.04</v>
      </c>
      <c r="EJ122" t="s">
        <v>62</v>
      </c>
      <c r="EO122" t="s">
        <v>306</v>
      </c>
      <c r="EP122" t="s">
        <v>464</v>
      </c>
      <c r="EQ122">
        <v>4629378</v>
      </c>
      <c r="ER122" t="s">
        <v>346</v>
      </c>
      <c r="ES122">
        <v>0</v>
      </c>
      <c r="ET122" t="s">
        <v>304</v>
      </c>
      <c r="EY122" t="s">
        <v>306</v>
      </c>
      <c r="FD122" t="s">
        <v>306</v>
      </c>
      <c r="FI122" t="s">
        <v>306</v>
      </c>
      <c r="FJ122" t="s">
        <v>395</v>
      </c>
      <c r="FK122">
        <v>4153606</v>
      </c>
      <c r="FL122" t="s">
        <v>346</v>
      </c>
      <c r="FM122">
        <v>0</v>
      </c>
      <c r="FN122" t="s">
        <v>53</v>
      </c>
      <c r="FS122" t="s">
        <v>306</v>
      </c>
      <c r="FX122" t="s">
        <v>306</v>
      </c>
      <c r="FY122" t="s">
        <v>1270</v>
      </c>
      <c r="FZ122">
        <v>5845361</v>
      </c>
      <c r="GA122" t="s">
        <v>364</v>
      </c>
      <c r="GB122">
        <v>0.04</v>
      </c>
      <c r="GC122" t="s">
        <v>62</v>
      </c>
      <c r="GH122" t="s">
        <v>306</v>
      </c>
      <c r="GM122" t="s">
        <v>306</v>
      </c>
      <c r="GN122" t="s">
        <v>395</v>
      </c>
      <c r="GO122">
        <v>4153606</v>
      </c>
      <c r="GP122" t="s">
        <v>346</v>
      </c>
      <c r="GQ122">
        <v>0</v>
      </c>
      <c r="GR122" t="s">
        <v>53</v>
      </c>
      <c r="GS122" t="s">
        <v>710</v>
      </c>
      <c r="GT122">
        <v>4559567</v>
      </c>
      <c r="GU122" t="s">
        <v>346</v>
      </c>
      <c r="GV122">
        <v>0.01</v>
      </c>
      <c r="GW122" t="s">
        <v>50</v>
      </c>
      <c r="GX122" t="s">
        <v>591</v>
      </c>
      <c r="GY122">
        <v>109721</v>
      </c>
      <c r="GZ122" t="s">
        <v>346</v>
      </c>
      <c r="HA122">
        <v>0.04</v>
      </c>
      <c r="HB122" t="s">
        <v>53</v>
      </c>
      <c r="HG122" t="s">
        <v>306</v>
      </c>
    </row>
    <row r="123" spans="5:215" x14ac:dyDescent="0.35">
      <c r="E123" t="s">
        <v>306</v>
      </c>
      <c r="F123" t="s">
        <v>511</v>
      </c>
      <c r="G123" t="s">
        <v>300</v>
      </c>
      <c r="H123" t="s">
        <v>361</v>
      </c>
      <c r="I123">
        <v>0</v>
      </c>
      <c r="J123" t="s">
        <v>50</v>
      </c>
      <c r="K123" t="s">
        <v>628</v>
      </c>
      <c r="L123">
        <v>4289501</v>
      </c>
      <c r="M123" t="s">
        <v>346</v>
      </c>
      <c r="N123">
        <v>0</v>
      </c>
      <c r="O123" t="s">
        <v>313</v>
      </c>
      <c r="T123" t="s">
        <v>306</v>
      </c>
      <c r="U123" t="s">
        <v>409</v>
      </c>
      <c r="V123">
        <v>102719</v>
      </c>
      <c r="W123" t="s">
        <v>346</v>
      </c>
      <c r="X123">
        <v>0.02</v>
      </c>
      <c r="Y123" t="s">
        <v>53</v>
      </c>
      <c r="Z123" t="s">
        <v>628</v>
      </c>
      <c r="AA123">
        <v>4289501</v>
      </c>
      <c r="AB123" t="s">
        <v>346</v>
      </c>
      <c r="AC123">
        <v>0</v>
      </c>
      <c r="AD123" t="s">
        <v>313</v>
      </c>
      <c r="AE123" t="s">
        <v>856</v>
      </c>
      <c r="AF123">
        <v>4141040</v>
      </c>
      <c r="AG123" t="s">
        <v>346</v>
      </c>
      <c r="AH123">
        <v>0</v>
      </c>
      <c r="AI123" t="s">
        <v>313</v>
      </c>
      <c r="AN123" t="s">
        <v>306</v>
      </c>
      <c r="AO123" t="s">
        <v>1293</v>
      </c>
      <c r="AP123">
        <v>4672160</v>
      </c>
      <c r="AQ123" t="s">
        <v>346</v>
      </c>
      <c r="AR123">
        <v>0.02</v>
      </c>
      <c r="AS123" t="s">
        <v>62</v>
      </c>
      <c r="AX123" t="s">
        <v>306</v>
      </c>
      <c r="BC123" t="s">
        <v>306</v>
      </c>
      <c r="BD123" t="s">
        <v>550</v>
      </c>
      <c r="BE123">
        <v>4138393</v>
      </c>
      <c r="BF123" t="s">
        <v>346</v>
      </c>
      <c r="BG123">
        <v>0.04</v>
      </c>
      <c r="BH123" t="s">
        <v>2184</v>
      </c>
      <c r="BI123" t="s">
        <v>428</v>
      </c>
      <c r="BJ123">
        <v>4116134</v>
      </c>
      <c r="BK123" t="s">
        <v>346</v>
      </c>
      <c r="BL123">
        <v>0.01</v>
      </c>
      <c r="BM123" t="s">
        <v>304</v>
      </c>
      <c r="BN123" t="s">
        <v>442</v>
      </c>
      <c r="BO123">
        <v>4117611</v>
      </c>
      <c r="BP123" t="s">
        <v>346</v>
      </c>
      <c r="BQ123">
        <v>0.01</v>
      </c>
      <c r="BR123" t="s">
        <v>53</v>
      </c>
      <c r="BS123" t="s">
        <v>968</v>
      </c>
      <c r="BT123">
        <v>4115683</v>
      </c>
      <c r="BU123" t="s">
        <v>346</v>
      </c>
      <c r="BV123">
        <v>0.03</v>
      </c>
      <c r="BW123" t="s">
        <v>313</v>
      </c>
      <c r="BX123" t="s">
        <v>409</v>
      </c>
      <c r="BY123">
        <v>102719</v>
      </c>
      <c r="BZ123" t="s">
        <v>346</v>
      </c>
      <c r="CA123">
        <v>0.02</v>
      </c>
      <c r="CB123" t="s">
        <v>53</v>
      </c>
      <c r="CC123" t="s">
        <v>401</v>
      </c>
      <c r="CD123">
        <v>4139862</v>
      </c>
      <c r="CE123" t="s">
        <v>346</v>
      </c>
      <c r="CF123">
        <v>0.04</v>
      </c>
      <c r="CG123" t="s">
        <v>313</v>
      </c>
      <c r="CH123" t="s">
        <v>1293</v>
      </c>
      <c r="CI123">
        <v>4672160</v>
      </c>
      <c r="CJ123" t="s">
        <v>346</v>
      </c>
      <c r="CK123">
        <v>0.02</v>
      </c>
      <c r="CL123" t="s">
        <v>62</v>
      </c>
      <c r="CM123" t="s">
        <v>356</v>
      </c>
      <c r="CN123">
        <v>4578944</v>
      </c>
      <c r="CO123" t="s">
        <v>346</v>
      </c>
      <c r="CP123">
        <v>0.04</v>
      </c>
      <c r="CQ123" t="s">
        <v>125</v>
      </c>
      <c r="CV123" t="s">
        <v>306</v>
      </c>
      <c r="DA123" t="s">
        <v>306</v>
      </c>
      <c r="DB123" t="s">
        <v>550</v>
      </c>
      <c r="DC123">
        <v>4138393</v>
      </c>
      <c r="DD123" t="s">
        <v>346</v>
      </c>
      <c r="DE123">
        <v>0.04</v>
      </c>
      <c r="DF123" t="s">
        <v>2184</v>
      </c>
      <c r="DK123" t="s">
        <v>306</v>
      </c>
      <c r="DL123" t="s">
        <v>550</v>
      </c>
      <c r="DM123">
        <v>4138393</v>
      </c>
      <c r="DN123" t="s">
        <v>346</v>
      </c>
      <c r="DO123">
        <v>0.04</v>
      </c>
      <c r="DP123" t="s">
        <v>2184</v>
      </c>
      <c r="DU123" t="s">
        <v>306</v>
      </c>
      <c r="DV123" t="s">
        <v>564</v>
      </c>
      <c r="DW123">
        <v>4137693</v>
      </c>
      <c r="DX123" t="s">
        <v>346</v>
      </c>
      <c r="DY123">
        <v>0</v>
      </c>
      <c r="DZ123" t="s">
        <v>2194</v>
      </c>
      <c r="EA123" t="s">
        <v>401</v>
      </c>
      <c r="EB123">
        <v>4139862</v>
      </c>
      <c r="EC123" t="s">
        <v>346</v>
      </c>
      <c r="ED123">
        <v>0.04</v>
      </c>
      <c r="EE123" t="s">
        <v>313</v>
      </c>
      <c r="EF123" t="s">
        <v>550</v>
      </c>
      <c r="EG123">
        <v>4138393</v>
      </c>
      <c r="EH123" t="s">
        <v>346</v>
      </c>
      <c r="EI123">
        <v>0.04</v>
      </c>
      <c r="EJ123" t="s">
        <v>2184</v>
      </c>
      <c r="EO123" t="s">
        <v>306</v>
      </c>
      <c r="EP123" t="s">
        <v>726</v>
      </c>
      <c r="EQ123">
        <v>4137941</v>
      </c>
      <c r="ER123" t="s">
        <v>346</v>
      </c>
      <c r="ES123">
        <v>0</v>
      </c>
      <c r="ET123" t="s">
        <v>50</v>
      </c>
      <c r="EY123" t="s">
        <v>306</v>
      </c>
      <c r="FD123" t="s">
        <v>306</v>
      </c>
      <c r="FI123" t="s">
        <v>306</v>
      </c>
      <c r="FJ123" t="s">
        <v>2168</v>
      </c>
      <c r="FK123" t="s">
        <v>300</v>
      </c>
      <c r="FL123" t="s">
        <v>361</v>
      </c>
      <c r="FM123">
        <v>0</v>
      </c>
      <c r="FN123" t="s">
        <v>50</v>
      </c>
      <c r="FS123" t="s">
        <v>306</v>
      </c>
      <c r="FX123" t="s">
        <v>306</v>
      </c>
      <c r="FY123" t="s">
        <v>550</v>
      </c>
      <c r="FZ123">
        <v>4138393</v>
      </c>
      <c r="GA123" t="s">
        <v>346</v>
      </c>
      <c r="GB123">
        <v>0.04</v>
      </c>
      <c r="GC123" t="s">
        <v>2184</v>
      </c>
      <c r="GH123" t="s">
        <v>306</v>
      </c>
      <c r="GM123" t="s">
        <v>306</v>
      </c>
      <c r="GN123" t="s">
        <v>2168</v>
      </c>
      <c r="GO123" t="s">
        <v>300</v>
      </c>
      <c r="GP123" t="s">
        <v>361</v>
      </c>
      <c r="GQ123">
        <v>0</v>
      </c>
      <c r="GR123" t="s">
        <v>50</v>
      </c>
      <c r="GS123" t="s">
        <v>442</v>
      </c>
      <c r="GT123">
        <v>4117611</v>
      </c>
      <c r="GU123" t="s">
        <v>346</v>
      </c>
      <c r="GV123">
        <v>0.01</v>
      </c>
      <c r="GW123" t="s">
        <v>53</v>
      </c>
      <c r="GX123" t="s">
        <v>401</v>
      </c>
      <c r="GY123">
        <v>4139862</v>
      </c>
      <c r="GZ123" t="s">
        <v>346</v>
      </c>
      <c r="HA123">
        <v>0.04</v>
      </c>
      <c r="HB123" t="s">
        <v>313</v>
      </c>
      <c r="HG123" t="s">
        <v>306</v>
      </c>
    </row>
    <row r="124" spans="5:215" x14ac:dyDescent="0.35">
      <c r="E124" t="s">
        <v>306</v>
      </c>
      <c r="F124" t="s">
        <v>512</v>
      </c>
      <c r="G124">
        <v>6422826</v>
      </c>
      <c r="H124" t="s">
        <v>346</v>
      </c>
      <c r="I124">
        <v>0</v>
      </c>
      <c r="J124" t="s">
        <v>304</v>
      </c>
      <c r="K124" t="s">
        <v>584</v>
      </c>
      <c r="L124">
        <v>4138797</v>
      </c>
      <c r="M124" t="s">
        <v>346</v>
      </c>
      <c r="N124">
        <v>0</v>
      </c>
      <c r="O124" t="s">
        <v>326</v>
      </c>
      <c r="T124" t="s">
        <v>306</v>
      </c>
      <c r="U124" t="s">
        <v>489</v>
      </c>
      <c r="V124">
        <v>4324456</v>
      </c>
      <c r="W124" t="s">
        <v>346</v>
      </c>
      <c r="X124">
        <v>0.02</v>
      </c>
      <c r="Y124" t="s">
        <v>2194</v>
      </c>
      <c r="Z124" t="s">
        <v>584</v>
      </c>
      <c r="AA124">
        <v>4138797</v>
      </c>
      <c r="AB124" t="s">
        <v>346</v>
      </c>
      <c r="AC124">
        <v>0</v>
      </c>
      <c r="AD124" t="s">
        <v>326</v>
      </c>
      <c r="AE124" t="s">
        <v>413</v>
      </c>
      <c r="AF124">
        <v>4114882</v>
      </c>
      <c r="AG124" t="s">
        <v>346</v>
      </c>
      <c r="AH124">
        <v>0</v>
      </c>
      <c r="AI124" t="s">
        <v>80</v>
      </c>
      <c r="AN124" t="s">
        <v>306</v>
      </c>
      <c r="AO124" t="s">
        <v>1294</v>
      </c>
      <c r="AP124">
        <v>4138986</v>
      </c>
      <c r="AQ124" t="s">
        <v>346</v>
      </c>
      <c r="AR124">
        <v>0.02</v>
      </c>
      <c r="AS124" t="s">
        <v>62</v>
      </c>
      <c r="AX124" t="s">
        <v>306</v>
      </c>
      <c r="BC124" t="s">
        <v>306</v>
      </c>
      <c r="BD124" t="s">
        <v>1426</v>
      </c>
      <c r="BE124">
        <v>4857391</v>
      </c>
      <c r="BF124" t="s">
        <v>346</v>
      </c>
      <c r="BG124">
        <v>0.04</v>
      </c>
      <c r="BH124" t="s">
        <v>2201</v>
      </c>
      <c r="BI124" t="s">
        <v>1474</v>
      </c>
      <c r="BJ124">
        <v>4255658</v>
      </c>
      <c r="BK124" t="s">
        <v>346</v>
      </c>
      <c r="BL124">
        <v>0.01</v>
      </c>
      <c r="BM124" t="s">
        <v>2185</v>
      </c>
      <c r="BN124" t="s">
        <v>400</v>
      </c>
      <c r="BO124">
        <v>7834181</v>
      </c>
      <c r="BP124" t="s">
        <v>346</v>
      </c>
      <c r="BQ124">
        <v>0.01</v>
      </c>
      <c r="BR124" t="s">
        <v>313</v>
      </c>
      <c r="BS124" t="s">
        <v>668</v>
      </c>
      <c r="BT124">
        <v>109523595</v>
      </c>
      <c r="BU124" t="s">
        <v>346</v>
      </c>
      <c r="BV124">
        <v>0.03</v>
      </c>
      <c r="BW124" t="s">
        <v>50</v>
      </c>
      <c r="BX124" t="s">
        <v>489</v>
      </c>
      <c r="BY124">
        <v>4324456</v>
      </c>
      <c r="BZ124" t="s">
        <v>346</v>
      </c>
      <c r="CA124">
        <v>0.02</v>
      </c>
      <c r="CB124" t="s">
        <v>2194</v>
      </c>
      <c r="CC124" t="s">
        <v>562</v>
      </c>
      <c r="CD124">
        <v>4256114</v>
      </c>
      <c r="CE124" t="s">
        <v>346</v>
      </c>
      <c r="CF124">
        <v>0.04</v>
      </c>
      <c r="CG124" t="s">
        <v>301</v>
      </c>
      <c r="CH124" t="s">
        <v>1294</v>
      </c>
      <c r="CI124">
        <v>4138986</v>
      </c>
      <c r="CJ124" t="s">
        <v>346</v>
      </c>
      <c r="CK124">
        <v>0.02</v>
      </c>
      <c r="CL124" t="s">
        <v>62</v>
      </c>
      <c r="CM124" t="s">
        <v>1657</v>
      </c>
      <c r="CN124">
        <v>102771</v>
      </c>
      <c r="CO124" t="s">
        <v>346</v>
      </c>
      <c r="CP124">
        <v>0.04</v>
      </c>
      <c r="CQ124" t="s">
        <v>53</v>
      </c>
      <c r="CV124" t="s">
        <v>306</v>
      </c>
      <c r="DA124" t="s">
        <v>306</v>
      </c>
      <c r="DB124" t="s">
        <v>1426</v>
      </c>
      <c r="DC124">
        <v>4857391</v>
      </c>
      <c r="DD124" t="s">
        <v>346</v>
      </c>
      <c r="DE124">
        <v>0.04</v>
      </c>
      <c r="DF124" t="s">
        <v>2201</v>
      </c>
      <c r="DK124" t="s">
        <v>306</v>
      </c>
      <c r="DL124" t="s">
        <v>1426</v>
      </c>
      <c r="DM124">
        <v>4857391</v>
      </c>
      <c r="DN124" t="s">
        <v>346</v>
      </c>
      <c r="DO124">
        <v>0.04</v>
      </c>
      <c r="DP124" t="s">
        <v>2201</v>
      </c>
      <c r="DU124" t="s">
        <v>306</v>
      </c>
      <c r="DV124" t="s">
        <v>379</v>
      </c>
      <c r="DW124">
        <v>137764443</v>
      </c>
      <c r="DX124" t="s">
        <v>346</v>
      </c>
      <c r="DY124">
        <v>0</v>
      </c>
      <c r="DZ124" t="s">
        <v>53</v>
      </c>
      <c r="EA124" t="s">
        <v>562</v>
      </c>
      <c r="EB124">
        <v>4256114</v>
      </c>
      <c r="EC124" t="s">
        <v>346</v>
      </c>
      <c r="ED124">
        <v>0.04</v>
      </c>
      <c r="EE124" t="s">
        <v>301</v>
      </c>
      <c r="EF124" t="s">
        <v>1426</v>
      </c>
      <c r="EG124">
        <v>4857391</v>
      </c>
      <c r="EH124" t="s">
        <v>346</v>
      </c>
      <c r="EI124">
        <v>0.04</v>
      </c>
      <c r="EJ124" t="s">
        <v>2201</v>
      </c>
      <c r="EO124" t="s">
        <v>306</v>
      </c>
      <c r="EP124" t="s">
        <v>484</v>
      </c>
      <c r="EQ124">
        <v>110386</v>
      </c>
      <c r="ER124" t="s">
        <v>346</v>
      </c>
      <c r="ES124">
        <v>0</v>
      </c>
      <c r="ET124" t="s">
        <v>53</v>
      </c>
      <c r="EY124" t="s">
        <v>306</v>
      </c>
      <c r="FD124" t="s">
        <v>306</v>
      </c>
      <c r="FI124" t="s">
        <v>306</v>
      </c>
      <c r="FJ124" t="s">
        <v>554</v>
      </c>
      <c r="FK124">
        <v>4408592</v>
      </c>
      <c r="FL124" t="s">
        <v>346</v>
      </c>
      <c r="FM124">
        <v>0</v>
      </c>
      <c r="FN124" t="s">
        <v>326</v>
      </c>
      <c r="FS124" t="s">
        <v>306</v>
      </c>
      <c r="FX124" t="s">
        <v>306</v>
      </c>
      <c r="FY124" t="s">
        <v>1426</v>
      </c>
      <c r="FZ124">
        <v>4857391</v>
      </c>
      <c r="GA124" t="s">
        <v>346</v>
      </c>
      <c r="GB124">
        <v>0.04</v>
      </c>
      <c r="GC124" t="s">
        <v>2201</v>
      </c>
      <c r="GH124" t="s">
        <v>306</v>
      </c>
      <c r="GM124" t="s">
        <v>306</v>
      </c>
      <c r="GN124" t="s">
        <v>554</v>
      </c>
      <c r="GO124">
        <v>4408592</v>
      </c>
      <c r="GP124" t="s">
        <v>346</v>
      </c>
      <c r="GQ124">
        <v>0</v>
      </c>
      <c r="GR124" t="s">
        <v>326</v>
      </c>
      <c r="GS124" t="s">
        <v>400</v>
      </c>
      <c r="GT124">
        <v>7834181</v>
      </c>
      <c r="GU124" t="s">
        <v>346</v>
      </c>
      <c r="GV124">
        <v>0.01</v>
      </c>
      <c r="GW124" t="s">
        <v>313</v>
      </c>
      <c r="GX124" t="s">
        <v>562</v>
      </c>
      <c r="GY124">
        <v>4256114</v>
      </c>
      <c r="GZ124" t="s">
        <v>346</v>
      </c>
      <c r="HA124">
        <v>0.04</v>
      </c>
      <c r="HB124" t="s">
        <v>301</v>
      </c>
      <c r="HG124" t="s">
        <v>306</v>
      </c>
    </row>
    <row r="125" spans="5:215" x14ac:dyDescent="0.35">
      <c r="E125" t="s">
        <v>306</v>
      </c>
      <c r="F125" t="s">
        <v>513</v>
      </c>
      <c r="G125">
        <v>4139819</v>
      </c>
      <c r="H125" t="s">
        <v>346</v>
      </c>
      <c r="I125">
        <v>0</v>
      </c>
      <c r="J125" t="s">
        <v>2181</v>
      </c>
      <c r="K125" t="s">
        <v>686</v>
      </c>
      <c r="L125">
        <v>4784142</v>
      </c>
      <c r="M125" t="s">
        <v>346</v>
      </c>
      <c r="N125">
        <v>0</v>
      </c>
      <c r="O125" t="s">
        <v>50</v>
      </c>
      <c r="T125" t="s">
        <v>306</v>
      </c>
      <c r="U125" t="s">
        <v>451</v>
      </c>
      <c r="V125">
        <v>5747632</v>
      </c>
      <c r="W125" t="s">
        <v>346</v>
      </c>
      <c r="X125">
        <v>0.02</v>
      </c>
      <c r="Y125" t="s">
        <v>80</v>
      </c>
      <c r="Z125" t="s">
        <v>686</v>
      </c>
      <c r="AA125">
        <v>4784142</v>
      </c>
      <c r="AB125" t="s">
        <v>346</v>
      </c>
      <c r="AC125">
        <v>0</v>
      </c>
      <c r="AD125" t="s">
        <v>50</v>
      </c>
      <c r="AE125" t="s">
        <v>1031</v>
      </c>
      <c r="AF125">
        <v>4212529</v>
      </c>
      <c r="AG125" t="s">
        <v>346</v>
      </c>
      <c r="AH125">
        <v>0</v>
      </c>
      <c r="AI125" t="s">
        <v>2185</v>
      </c>
      <c r="AN125" t="s">
        <v>306</v>
      </c>
      <c r="AO125" t="s">
        <v>403</v>
      </c>
      <c r="AP125">
        <v>4033550</v>
      </c>
      <c r="AQ125" t="s">
        <v>346</v>
      </c>
      <c r="AR125">
        <v>0.02</v>
      </c>
      <c r="AS125" t="s">
        <v>53</v>
      </c>
      <c r="AX125" t="s">
        <v>306</v>
      </c>
      <c r="BC125" t="s">
        <v>306</v>
      </c>
      <c r="BD125" t="s">
        <v>1427</v>
      </c>
      <c r="BE125">
        <v>5793708</v>
      </c>
      <c r="BF125" t="s">
        <v>346</v>
      </c>
      <c r="BG125">
        <v>0.04</v>
      </c>
      <c r="BH125" t="s">
        <v>2185</v>
      </c>
      <c r="BI125" t="s">
        <v>409</v>
      </c>
      <c r="BJ125">
        <v>102719</v>
      </c>
      <c r="BK125" t="s">
        <v>346</v>
      </c>
      <c r="BL125">
        <v>0.01</v>
      </c>
      <c r="BM125" t="s">
        <v>53</v>
      </c>
      <c r="BN125" t="s">
        <v>745</v>
      </c>
      <c r="BO125">
        <v>4120036</v>
      </c>
      <c r="BP125" t="s">
        <v>364</v>
      </c>
      <c r="BQ125">
        <v>0.01</v>
      </c>
      <c r="BR125" t="s">
        <v>326</v>
      </c>
      <c r="BS125" t="s">
        <v>681</v>
      </c>
      <c r="BT125">
        <v>5866754</v>
      </c>
      <c r="BU125" t="s">
        <v>346</v>
      </c>
      <c r="BV125">
        <v>0.03</v>
      </c>
      <c r="BW125" t="s">
        <v>50</v>
      </c>
      <c r="BX125" t="s">
        <v>451</v>
      </c>
      <c r="BY125">
        <v>5747632</v>
      </c>
      <c r="BZ125" t="s">
        <v>346</v>
      </c>
      <c r="CA125">
        <v>0.02</v>
      </c>
      <c r="CB125" t="s">
        <v>80</v>
      </c>
      <c r="CC125" t="s">
        <v>491</v>
      </c>
      <c r="CD125">
        <v>106960</v>
      </c>
      <c r="CE125" t="s">
        <v>346</v>
      </c>
      <c r="CF125">
        <v>0.04</v>
      </c>
      <c r="CG125" t="s">
        <v>80</v>
      </c>
      <c r="CH125" t="s">
        <v>403</v>
      </c>
      <c r="CI125">
        <v>4033550</v>
      </c>
      <c r="CJ125" t="s">
        <v>346</v>
      </c>
      <c r="CK125">
        <v>0.02</v>
      </c>
      <c r="CL125" t="s">
        <v>53</v>
      </c>
      <c r="CM125" t="s">
        <v>1645</v>
      </c>
      <c r="CN125">
        <v>100382</v>
      </c>
      <c r="CO125" t="s">
        <v>366</v>
      </c>
      <c r="CP125">
        <v>0.04</v>
      </c>
      <c r="CQ125" t="s">
        <v>53</v>
      </c>
      <c r="CV125" t="s">
        <v>306</v>
      </c>
      <c r="DA125" t="s">
        <v>306</v>
      </c>
      <c r="DB125" t="s">
        <v>1427</v>
      </c>
      <c r="DC125">
        <v>5793708</v>
      </c>
      <c r="DD125" t="s">
        <v>346</v>
      </c>
      <c r="DE125">
        <v>0.04</v>
      </c>
      <c r="DF125" t="s">
        <v>2185</v>
      </c>
      <c r="DK125" t="s">
        <v>306</v>
      </c>
      <c r="DL125" t="s">
        <v>1427</v>
      </c>
      <c r="DM125">
        <v>5793708</v>
      </c>
      <c r="DN125" t="s">
        <v>346</v>
      </c>
      <c r="DO125">
        <v>0.04</v>
      </c>
      <c r="DP125" t="s">
        <v>2185</v>
      </c>
      <c r="DU125" t="s">
        <v>306</v>
      </c>
      <c r="DV125" t="s">
        <v>1218</v>
      </c>
      <c r="DW125">
        <v>4423321</v>
      </c>
      <c r="DX125" t="s">
        <v>346</v>
      </c>
      <c r="DY125">
        <v>0</v>
      </c>
      <c r="DZ125" t="s">
        <v>62</v>
      </c>
      <c r="EA125" t="s">
        <v>491</v>
      </c>
      <c r="EB125">
        <v>106960</v>
      </c>
      <c r="EC125" t="s">
        <v>346</v>
      </c>
      <c r="ED125">
        <v>0.04</v>
      </c>
      <c r="EE125" t="s">
        <v>80</v>
      </c>
      <c r="EF125" t="s">
        <v>1427</v>
      </c>
      <c r="EG125">
        <v>5793708</v>
      </c>
      <c r="EH125" t="s">
        <v>346</v>
      </c>
      <c r="EI125">
        <v>0.04</v>
      </c>
      <c r="EJ125" t="s">
        <v>2185</v>
      </c>
      <c r="EO125" t="s">
        <v>306</v>
      </c>
      <c r="EP125" t="s">
        <v>391</v>
      </c>
      <c r="EQ125">
        <v>13582910</v>
      </c>
      <c r="ER125" t="s">
        <v>346</v>
      </c>
      <c r="ES125">
        <v>0</v>
      </c>
      <c r="ET125" t="s">
        <v>317</v>
      </c>
      <c r="EY125" t="s">
        <v>306</v>
      </c>
      <c r="FD125" t="s">
        <v>306</v>
      </c>
      <c r="FI125" t="s">
        <v>306</v>
      </c>
      <c r="FJ125" t="s">
        <v>587</v>
      </c>
      <c r="FK125">
        <v>5844561</v>
      </c>
      <c r="FL125" t="s">
        <v>346</v>
      </c>
      <c r="FM125">
        <v>0</v>
      </c>
      <c r="FN125" t="s">
        <v>304</v>
      </c>
      <c r="FS125" t="s">
        <v>306</v>
      </c>
      <c r="FX125" t="s">
        <v>306</v>
      </c>
      <c r="FY125" t="s">
        <v>1427</v>
      </c>
      <c r="FZ125">
        <v>5793708</v>
      </c>
      <c r="GA125" t="s">
        <v>346</v>
      </c>
      <c r="GB125">
        <v>0.04</v>
      </c>
      <c r="GC125" t="s">
        <v>2185</v>
      </c>
      <c r="GH125" t="s">
        <v>306</v>
      </c>
      <c r="GM125" t="s">
        <v>306</v>
      </c>
      <c r="GN125" t="s">
        <v>587</v>
      </c>
      <c r="GO125">
        <v>5844561</v>
      </c>
      <c r="GP125" t="s">
        <v>346</v>
      </c>
      <c r="GQ125">
        <v>0</v>
      </c>
      <c r="GR125" t="s">
        <v>304</v>
      </c>
      <c r="GS125" t="s">
        <v>745</v>
      </c>
      <c r="GT125">
        <v>4120036</v>
      </c>
      <c r="GU125" t="s">
        <v>364</v>
      </c>
      <c r="GV125">
        <v>0.01</v>
      </c>
      <c r="GW125" t="s">
        <v>326</v>
      </c>
      <c r="GX125" t="s">
        <v>491</v>
      </c>
      <c r="GY125">
        <v>106960</v>
      </c>
      <c r="GZ125" t="s">
        <v>346</v>
      </c>
      <c r="HA125">
        <v>0.04</v>
      </c>
      <c r="HB125" t="s">
        <v>80</v>
      </c>
      <c r="HG125" t="s">
        <v>306</v>
      </c>
    </row>
    <row r="126" spans="5:215" x14ac:dyDescent="0.35">
      <c r="E126" t="s">
        <v>306</v>
      </c>
      <c r="F126" t="s">
        <v>514</v>
      </c>
      <c r="G126" t="s">
        <v>300</v>
      </c>
      <c r="H126" t="s">
        <v>361</v>
      </c>
      <c r="I126">
        <v>0</v>
      </c>
      <c r="J126" t="s">
        <v>50</v>
      </c>
      <c r="K126" t="s">
        <v>687</v>
      </c>
      <c r="L126">
        <v>4368709</v>
      </c>
      <c r="M126" t="s">
        <v>346</v>
      </c>
      <c r="N126">
        <v>0</v>
      </c>
      <c r="O126" t="s">
        <v>50</v>
      </c>
      <c r="T126" t="s">
        <v>306</v>
      </c>
      <c r="U126" t="s">
        <v>748</v>
      </c>
      <c r="V126">
        <v>4138088</v>
      </c>
      <c r="W126" t="s">
        <v>346</v>
      </c>
      <c r="X126">
        <v>0.02</v>
      </c>
      <c r="Y126" t="s">
        <v>50</v>
      </c>
      <c r="Z126" t="s">
        <v>687</v>
      </c>
      <c r="AA126">
        <v>4368709</v>
      </c>
      <c r="AB126" t="s">
        <v>346</v>
      </c>
      <c r="AC126">
        <v>0</v>
      </c>
      <c r="AD126" t="s">
        <v>50</v>
      </c>
      <c r="AE126" t="s">
        <v>398</v>
      </c>
      <c r="AF126">
        <v>4107954</v>
      </c>
      <c r="AG126" t="s">
        <v>300</v>
      </c>
      <c r="AH126">
        <v>0</v>
      </c>
      <c r="AI126" t="s">
        <v>304</v>
      </c>
      <c r="AN126" t="s">
        <v>306</v>
      </c>
      <c r="AO126" t="s">
        <v>988</v>
      </c>
      <c r="AP126">
        <v>4825704</v>
      </c>
      <c r="AQ126" t="s">
        <v>346</v>
      </c>
      <c r="AR126">
        <v>0.01</v>
      </c>
      <c r="AS126" t="s">
        <v>323</v>
      </c>
      <c r="AX126" t="s">
        <v>306</v>
      </c>
      <c r="BC126" t="s">
        <v>306</v>
      </c>
      <c r="BD126" t="s">
        <v>441</v>
      </c>
      <c r="BE126">
        <v>4153483</v>
      </c>
      <c r="BF126" t="s">
        <v>363</v>
      </c>
      <c r="BG126">
        <v>0.04</v>
      </c>
      <c r="BH126" t="s">
        <v>80</v>
      </c>
      <c r="BI126" t="s">
        <v>1017</v>
      </c>
      <c r="BJ126">
        <v>4138485</v>
      </c>
      <c r="BK126" t="s">
        <v>346</v>
      </c>
      <c r="BL126">
        <v>0.01</v>
      </c>
      <c r="BM126" t="s">
        <v>317</v>
      </c>
      <c r="BN126" t="s">
        <v>552</v>
      </c>
      <c r="BO126">
        <v>4026973</v>
      </c>
      <c r="BP126" t="s">
        <v>346</v>
      </c>
      <c r="BQ126">
        <v>0.01</v>
      </c>
      <c r="BR126" t="s">
        <v>313</v>
      </c>
      <c r="BS126" t="s">
        <v>969</v>
      </c>
      <c r="BT126">
        <v>4803401</v>
      </c>
      <c r="BU126" t="s">
        <v>346</v>
      </c>
      <c r="BV126">
        <v>0.03</v>
      </c>
      <c r="BW126" t="s">
        <v>2193</v>
      </c>
      <c r="BX126" t="s">
        <v>748</v>
      </c>
      <c r="BY126">
        <v>4138088</v>
      </c>
      <c r="BZ126" t="s">
        <v>346</v>
      </c>
      <c r="CA126">
        <v>0.02</v>
      </c>
      <c r="CB126" t="s">
        <v>50</v>
      </c>
      <c r="CC126" t="s">
        <v>558</v>
      </c>
      <c r="CD126">
        <v>109844</v>
      </c>
      <c r="CE126" t="s">
        <v>346</v>
      </c>
      <c r="CF126">
        <v>0.04</v>
      </c>
      <c r="CG126" t="s">
        <v>53</v>
      </c>
      <c r="CH126" t="s">
        <v>988</v>
      </c>
      <c r="CI126">
        <v>4825704</v>
      </c>
      <c r="CJ126" t="s">
        <v>346</v>
      </c>
      <c r="CK126">
        <v>0.01</v>
      </c>
      <c r="CL126" t="s">
        <v>323</v>
      </c>
      <c r="CM126" t="s">
        <v>435</v>
      </c>
      <c r="CN126">
        <v>109789</v>
      </c>
      <c r="CO126" t="s">
        <v>346</v>
      </c>
      <c r="CP126">
        <v>0.04</v>
      </c>
      <c r="CQ126" t="s">
        <v>53</v>
      </c>
      <c r="CV126" t="s">
        <v>306</v>
      </c>
      <c r="DA126" t="s">
        <v>306</v>
      </c>
      <c r="DB126" t="s">
        <v>441</v>
      </c>
      <c r="DC126">
        <v>4153483</v>
      </c>
      <c r="DD126" t="s">
        <v>363</v>
      </c>
      <c r="DE126">
        <v>0.04</v>
      </c>
      <c r="DF126" t="s">
        <v>80</v>
      </c>
      <c r="DK126" t="s">
        <v>306</v>
      </c>
      <c r="DL126" t="s">
        <v>441</v>
      </c>
      <c r="DM126">
        <v>4153483</v>
      </c>
      <c r="DN126" t="s">
        <v>363</v>
      </c>
      <c r="DO126">
        <v>0.04</v>
      </c>
      <c r="DP126" t="s">
        <v>80</v>
      </c>
      <c r="DU126" t="s">
        <v>306</v>
      </c>
      <c r="DV126" t="s">
        <v>1219</v>
      </c>
      <c r="DW126">
        <v>8338097</v>
      </c>
      <c r="DX126" t="s">
        <v>346</v>
      </c>
      <c r="DY126">
        <v>0</v>
      </c>
      <c r="DZ126" t="s">
        <v>304</v>
      </c>
      <c r="EA126" t="s">
        <v>558</v>
      </c>
      <c r="EB126">
        <v>109844</v>
      </c>
      <c r="EC126" t="s">
        <v>346</v>
      </c>
      <c r="ED126">
        <v>0.04</v>
      </c>
      <c r="EE126" t="s">
        <v>53</v>
      </c>
      <c r="EF126" t="s">
        <v>441</v>
      </c>
      <c r="EG126">
        <v>4153483</v>
      </c>
      <c r="EH126" t="s">
        <v>363</v>
      </c>
      <c r="EI126">
        <v>0.04</v>
      </c>
      <c r="EJ126" t="s">
        <v>80</v>
      </c>
      <c r="EO126" t="s">
        <v>306</v>
      </c>
      <c r="EP126" t="s">
        <v>413</v>
      </c>
      <c r="EQ126">
        <v>4114882</v>
      </c>
      <c r="ER126" t="s">
        <v>346</v>
      </c>
      <c r="ES126">
        <v>0</v>
      </c>
      <c r="ET126" t="s">
        <v>80</v>
      </c>
      <c r="EY126" t="s">
        <v>306</v>
      </c>
      <c r="FD126" t="s">
        <v>306</v>
      </c>
      <c r="FI126" t="s">
        <v>306</v>
      </c>
      <c r="FJ126" t="s">
        <v>520</v>
      </c>
      <c r="FK126">
        <v>103661</v>
      </c>
      <c r="FL126" t="s">
        <v>346</v>
      </c>
      <c r="FM126">
        <v>0</v>
      </c>
      <c r="FN126" t="s">
        <v>53</v>
      </c>
      <c r="FS126" t="s">
        <v>306</v>
      </c>
      <c r="FX126" t="s">
        <v>306</v>
      </c>
      <c r="FY126" t="s">
        <v>441</v>
      </c>
      <c r="FZ126">
        <v>4153483</v>
      </c>
      <c r="GA126" t="s">
        <v>363</v>
      </c>
      <c r="GB126">
        <v>0.04</v>
      </c>
      <c r="GC126" t="s">
        <v>80</v>
      </c>
      <c r="GH126" t="s">
        <v>306</v>
      </c>
      <c r="GM126" t="s">
        <v>306</v>
      </c>
      <c r="GN126" t="s">
        <v>520</v>
      </c>
      <c r="GO126">
        <v>103661</v>
      </c>
      <c r="GP126" t="s">
        <v>346</v>
      </c>
      <c r="GQ126">
        <v>0</v>
      </c>
      <c r="GR126" t="s">
        <v>53</v>
      </c>
      <c r="GS126" t="s">
        <v>552</v>
      </c>
      <c r="GT126">
        <v>4026973</v>
      </c>
      <c r="GU126" t="s">
        <v>346</v>
      </c>
      <c r="GV126">
        <v>0.01</v>
      </c>
      <c r="GW126" t="s">
        <v>313</v>
      </c>
      <c r="GX126" t="s">
        <v>558</v>
      </c>
      <c r="GY126">
        <v>109844</v>
      </c>
      <c r="GZ126" t="s">
        <v>346</v>
      </c>
      <c r="HA126">
        <v>0.04</v>
      </c>
      <c r="HB126" t="s">
        <v>53</v>
      </c>
      <c r="HG126" t="s">
        <v>306</v>
      </c>
    </row>
    <row r="127" spans="5:215" x14ac:dyDescent="0.35">
      <c r="E127" t="s">
        <v>306</v>
      </c>
      <c r="F127" t="s">
        <v>515</v>
      </c>
      <c r="G127">
        <v>109731</v>
      </c>
      <c r="H127" t="s">
        <v>346</v>
      </c>
      <c r="I127">
        <v>0</v>
      </c>
      <c r="J127" t="s">
        <v>53</v>
      </c>
      <c r="K127" t="s">
        <v>549</v>
      </c>
      <c r="L127">
        <v>4556203</v>
      </c>
      <c r="M127" t="s">
        <v>346</v>
      </c>
      <c r="N127">
        <v>0</v>
      </c>
      <c r="O127" t="s">
        <v>53</v>
      </c>
      <c r="T127" t="s">
        <v>306</v>
      </c>
      <c r="U127" t="s">
        <v>667</v>
      </c>
      <c r="V127">
        <v>4208762</v>
      </c>
      <c r="W127" t="s">
        <v>346</v>
      </c>
      <c r="X127">
        <v>0.02</v>
      </c>
      <c r="Y127" t="s">
        <v>326</v>
      </c>
      <c r="Z127" t="s">
        <v>549</v>
      </c>
      <c r="AA127">
        <v>4556203</v>
      </c>
      <c r="AB127" t="s">
        <v>346</v>
      </c>
      <c r="AC127">
        <v>0</v>
      </c>
      <c r="AD127" t="s">
        <v>53</v>
      </c>
      <c r="AE127" t="s">
        <v>464</v>
      </c>
      <c r="AF127">
        <v>4629378</v>
      </c>
      <c r="AG127" t="s">
        <v>346</v>
      </c>
      <c r="AH127">
        <v>0</v>
      </c>
      <c r="AI127" t="s">
        <v>304</v>
      </c>
      <c r="AN127" t="s">
        <v>306</v>
      </c>
      <c r="AO127" t="s">
        <v>1295</v>
      </c>
      <c r="AP127">
        <v>6389325</v>
      </c>
      <c r="AQ127" t="s">
        <v>364</v>
      </c>
      <c r="AR127">
        <v>0.01</v>
      </c>
      <c r="AS127" t="s">
        <v>62</v>
      </c>
      <c r="AX127" t="s">
        <v>306</v>
      </c>
      <c r="BC127" t="s">
        <v>306</v>
      </c>
      <c r="BD127" t="s">
        <v>435</v>
      </c>
      <c r="BE127">
        <v>109789</v>
      </c>
      <c r="BF127" t="s">
        <v>346</v>
      </c>
      <c r="BG127">
        <v>0.04</v>
      </c>
      <c r="BH127" t="s">
        <v>53</v>
      </c>
      <c r="BI127" t="s">
        <v>1200</v>
      </c>
      <c r="BJ127">
        <v>4140083</v>
      </c>
      <c r="BK127" t="s">
        <v>346</v>
      </c>
      <c r="BL127">
        <v>0.01</v>
      </c>
      <c r="BM127" t="s">
        <v>2185</v>
      </c>
      <c r="BN127" t="s">
        <v>750</v>
      </c>
      <c r="BO127">
        <v>4138496</v>
      </c>
      <c r="BP127" t="s">
        <v>346</v>
      </c>
      <c r="BQ127">
        <v>0.01</v>
      </c>
      <c r="BR127" t="s">
        <v>50</v>
      </c>
      <c r="BS127" t="s">
        <v>653</v>
      </c>
      <c r="BT127">
        <v>4100281</v>
      </c>
      <c r="BU127" t="s">
        <v>346</v>
      </c>
      <c r="BV127">
        <v>0.03</v>
      </c>
      <c r="BW127" t="s">
        <v>326</v>
      </c>
      <c r="BX127" t="s">
        <v>667</v>
      </c>
      <c r="BY127">
        <v>4208762</v>
      </c>
      <c r="BZ127" t="s">
        <v>346</v>
      </c>
      <c r="CA127">
        <v>0.02</v>
      </c>
      <c r="CB127" t="s">
        <v>326</v>
      </c>
      <c r="CC127" t="s">
        <v>1647</v>
      </c>
      <c r="CD127">
        <v>5847702</v>
      </c>
      <c r="CE127" t="s">
        <v>364</v>
      </c>
      <c r="CF127">
        <v>0.03</v>
      </c>
      <c r="CG127" t="s">
        <v>114</v>
      </c>
      <c r="CH127" t="s">
        <v>1295</v>
      </c>
      <c r="CI127">
        <v>6389325</v>
      </c>
      <c r="CJ127" t="s">
        <v>364</v>
      </c>
      <c r="CK127">
        <v>0.01</v>
      </c>
      <c r="CL127" t="s">
        <v>62</v>
      </c>
      <c r="CM127" t="s">
        <v>1268</v>
      </c>
      <c r="CN127">
        <v>4418744</v>
      </c>
      <c r="CO127" t="s">
        <v>346</v>
      </c>
      <c r="CP127">
        <v>0.04</v>
      </c>
      <c r="CQ127" t="s">
        <v>62</v>
      </c>
      <c r="CV127" t="s">
        <v>306</v>
      </c>
      <c r="DA127" t="s">
        <v>306</v>
      </c>
      <c r="DB127" t="s">
        <v>435</v>
      </c>
      <c r="DC127">
        <v>109789</v>
      </c>
      <c r="DD127" t="s">
        <v>346</v>
      </c>
      <c r="DE127">
        <v>0.04</v>
      </c>
      <c r="DF127" t="s">
        <v>53</v>
      </c>
      <c r="DK127" t="s">
        <v>306</v>
      </c>
      <c r="DL127" t="s">
        <v>435</v>
      </c>
      <c r="DM127">
        <v>109789</v>
      </c>
      <c r="DN127" t="s">
        <v>346</v>
      </c>
      <c r="DO127">
        <v>0.04</v>
      </c>
      <c r="DP127" t="s">
        <v>53</v>
      </c>
      <c r="DU127" t="s">
        <v>306</v>
      </c>
      <c r="DV127" t="s">
        <v>1220</v>
      </c>
      <c r="DW127">
        <v>4218892</v>
      </c>
      <c r="DX127" t="s">
        <v>346</v>
      </c>
      <c r="DY127">
        <v>0</v>
      </c>
      <c r="DZ127" t="s">
        <v>53</v>
      </c>
      <c r="EA127" t="s">
        <v>1647</v>
      </c>
      <c r="EB127">
        <v>5847702</v>
      </c>
      <c r="EC127" t="s">
        <v>364</v>
      </c>
      <c r="ED127">
        <v>0.03</v>
      </c>
      <c r="EE127" t="s">
        <v>114</v>
      </c>
      <c r="EF127" t="s">
        <v>435</v>
      </c>
      <c r="EG127">
        <v>109789</v>
      </c>
      <c r="EH127" t="s">
        <v>346</v>
      </c>
      <c r="EI127">
        <v>0.04</v>
      </c>
      <c r="EJ127" t="s">
        <v>53</v>
      </c>
      <c r="EO127" t="s">
        <v>306</v>
      </c>
      <c r="EP127" t="s">
        <v>458</v>
      </c>
      <c r="EQ127">
        <v>109806</v>
      </c>
      <c r="ER127" t="s">
        <v>346</v>
      </c>
      <c r="ES127">
        <v>0</v>
      </c>
      <c r="ET127" t="s">
        <v>53</v>
      </c>
      <c r="EY127" t="s">
        <v>306</v>
      </c>
      <c r="FD127" t="s">
        <v>306</v>
      </c>
      <c r="FI127" t="s">
        <v>306</v>
      </c>
      <c r="FJ127" t="s">
        <v>591</v>
      </c>
      <c r="FK127">
        <v>109721</v>
      </c>
      <c r="FL127" t="s">
        <v>346</v>
      </c>
      <c r="FM127">
        <v>0</v>
      </c>
      <c r="FN127" t="s">
        <v>53</v>
      </c>
      <c r="FS127" t="s">
        <v>306</v>
      </c>
      <c r="FX127" t="s">
        <v>306</v>
      </c>
      <c r="FY127" t="s">
        <v>435</v>
      </c>
      <c r="FZ127">
        <v>109789</v>
      </c>
      <c r="GA127" t="s">
        <v>346</v>
      </c>
      <c r="GB127">
        <v>0.04</v>
      </c>
      <c r="GC127" t="s">
        <v>53</v>
      </c>
      <c r="GH127" t="s">
        <v>306</v>
      </c>
      <c r="GM127" t="s">
        <v>306</v>
      </c>
      <c r="GN127" t="s">
        <v>591</v>
      </c>
      <c r="GO127">
        <v>109721</v>
      </c>
      <c r="GP127" t="s">
        <v>346</v>
      </c>
      <c r="GQ127">
        <v>0</v>
      </c>
      <c r="GR127" t="s">
        <v>53</v>
      </c>
      <c r="GS127" t="s">
        <v>750</v>
      </c>
      <c r="GT127">
        <v>4138496</v>
      </c>
      <c r="GU127" t="s">
        <v>346</v>
      </c>
      <c r="GV127">
        <v>0.01</v>
      </c>
      <c r="GW127" t="s">
        <v>50</v>
      </c>
      <c r="GX127" t="s">
        <v>1647</v>
      </c>
      <c r="GY127">
        <v>5847702</v>
      </c>
      <c r="GZ127" t="s">
        <v>364</v>
      </c>
      <c r="HA127">
        <v>0.03</v>
      </c>
      <c r="HB127" t="s">
        <v>114</v>
      </c>
      <c r="HG127" t="s">
        <v>306</v>
      </c>
    </row>
    <row r="128" spans="5:215" x14ac:dyDescent="0.35">
      <c r="E128" t="s">
        <v>306</v>
      </c>
      <c r="F128" t="s">
        <v>410</v>
      </c>
      <c r="G128">
        <v>5759394</v>
      </c>
      <c r="H128" t="s">
        <v>346</v>
      </c>
      <c r="I128">
        <v>0</v>
      </c>
      <c r="J128" t="s">
        <v>2186</v>
      </c>
      <c r="K128" t="s">
        <v>688</v>
      </c>
      <c r="L128">
        <v>14821347</v>
      </c>
      <c r="M128" t="s">
        <v>346</v>
      </c>
      <c r="N128">
        <v>0</v>
      </c>
      <c r="O128" t="s">
        <v>2181</v>
      </c>
      <c r="T128" t="s">
        <v>306</v>
      </c>
      <c r="U128" t="s">
        <v>565</v>
      </c>
      <c r="V128">
        <v>26566323</v>
      </c>
      <c r="W128" t="s">
        <v>346</v>
      </c>
      <c r="X128">
        <v>0.02</v>
      </c>
      <c r="Y128" t="s">
        <v>53</v>
      </c>
      <c r="Z128" t="s">
        <v>688</v>
      </c>
      <c r="AA128">
        <v>14821347</v>
      </c>
      <c r="AB128" t="s">
        <v>346</v>
      </c>
      <c r="AC128">
        <v>0</v>
      </c>
      <c r="AD128" t="s">
        <v>2181</v>
      </c>
      <c r="AE128" t="s">
        <v>1146</v>
      </c>
      <c r="AF128">
        <v>4138223</v>
      </c>
      <c r="AG128" t="s">
        <v>346</v>
      </c>
      <c r="AH128">
        <v>0</v>
      </c>
      <c r="AI128" t="s">
        <v>320</v>
      </c>
      <c r="AN128" t="s">
        <v>306</v>
      </c>
      <c r="AO128" t="s">
        <v>523</v>
      </c>
      <c r="AP128">
        <v>7060057</v>
      </c>
      <c r="AQ128" t="s">
        <v>346</v>
      </c>
      <c r="AR128">
        <v>0.01</v>
      </c>
      <c r="AS128" t="s">
        <v>320</v>
      </c>
      <c r="AX128" t="s">
        <v>306</v>
      </c>
      <c r="BC128" t="s">
        <v>306</v>
      </c>
      <c r="BD128" t="s">
        <v>1428</v>
      </c>
      <c r="BE128">
        <v>113837</v>
      </c>
      <c r="BF128" t="s">
        <v>346</v>
      </c>
      <c r="BG128">
        <v>0.04</v>
      </c>
      <c r="BH128" t="s">
        <v>336</v>
      </c>
      <c r="BI128" t="s">
        <v>623</v>
      </c>
      <c r="BJ128">
        <v>4138267</v>
      </c>
      <c r="BK128" t="s">
        <v>346</v>
      </c>
      <c r="BL128">
        <v>0.01</v>
      </c>
      <c r="BM128" t="s">
        <v>320</v>
      </c>
      <c r="BN128" t="s">
        <v>412</v>
      </c>
      <c r="BO128">
        <v>109687</v>
      </c>
      <c r="BP128" t="s">
        <v>346</v>
      </c>
      <c r="BQ128">
        <v>0.01</v>
      </c>
      <c r="BR128" t="s">
        <v>53</v>
      </c>
      <c r="BS128" t="s">
        <v>466</v>
      </c>
      <c r="BT128">
        <v>111267</v>
      </c>
      <c r="BU128" t="s">
        <v>346</v>
      </c>
      <c r="BV128">
        <v>0.02</v>
      </c>
      <c r="BW128" t="s">
        <v>313</v>
      </c>
      <c r="BX128" t="s">
        <v>565</v>
      </c>
      <c r="BY128">
        <v>26566323</v>
      </c>
      <c r="BZ128" t="s">
        <v>346</v>
      </c>
      <c r="CA128">
        <v>0.02</v>
      </c>
      <c r="CB128" t="s">
        <v>53</v>
      </c>
      <c r="CC128" t="s">
        <v>749</v>
      </c>
      <c r="CD128">
        <v>109913</v>
      </c>
      <c r="CE128" t="s">
        <v>346</v>
      </c>
      <c r="CF128">
        <v>0.03</v>
      </c>
      <c r="CG128" t="s">
        <v>53</v>
      </c>
      <c r="CH128" t="s">
        <v>523</v>
      </c>
      <c r="CI128">
        <v>7060057</v>
      </c>
      <c r="CJ128" t="s">
        <v>346</v>
      </c>
      <c r="CK128">
        <v>0.01</v>
      </c>
      <c r="CL128" t="s">
        <v>320</v>
      </c>
      <c r="CM128" t="s">
        <v>1281</v>
      </c>
      <c r="CN128">
        <v>4631098</v>
      </c>
      <c r="CO128" t="s">
        <v>364</v>
      </c>
      <c r="CP128">
        <v>0.04</v>
      </c>
      <c r="CQ128" t="s">
        <v>62</v>
      </c>
      <c r="CV128" t="s">
        <v>306</v>
      </c>
      <c r="DA128" t="s">
        <v>306</v>
      </c>
      <c r="DB128" t="s">
        <v>1428</v>
      </c>
      <c r="DC128">
        <v>113837</v>
      </c>
      <c r="DD128" t="s">
        <v>346</v>
      </c>
      <c r="DE128">
        <v>0.04</v>
      </c>
      <c r="DF128" t="s">
        <v>336</v>
      </c>
      <c r="DK128" t="s">
        <v>306</v>
      </c>
      <c r="DL128" t="s">
        <v>1428</v>
      </c>
      <c r="DM128">
        <v>113837</v>
      </c>
      <c r="DN128" t="s">
        <v>346</v>
      </c>
      <c r="DO128">
        <v>0.04</v>
      </c>
      <c r="DP128" t="s">
        <v>336</v>
      </c>
      <c r="DU128" t="s">
        <v>306</v>
      </c>
      <c r="DV128" t="s">
        <v>753</v>
      </c>
      <c r="DW128">
        <v>10499632</v>
      </c>
      <c r="DX128" t="s">
        <v>363</v>
      </c>
      <c r="DY128">
        <v>0</v>
      </c>
      <c r="DZ128" t="s">
        <v>313</v>
      </c>
      <c r="EA128" t="s">
        <v>749</v>
      </c>
      <c r="EB128">
        <v>109913</v>
      </c>
      <c r="EC128" t="s">
        <v>346</v>
      </c>
      <c r="ED128">
        <v>0.03</v>
      </c>
      <c r="EE128" t="s">
        <v>53</v>
      </c>
      <c r="EF128" t="s">
        <v>1428</v>
      </c>
      <c r="EG128">
        <v>113837</v>
      </c>
      <c r="EH128" t="s">
        <v>346</v>
      </c>
      <c r="EI128">
        <v>0.04</v>
      </c>
      <c r="EJ128" t="s">
        <v>336</v>
      </c>
      <c r="EO128" t="s">
        <v>306</v>
      </c>
      <c r="EP128" t="s">
        <v>589</v>
      </c>
      <c r="EQ128">
        <v>4140617</v>
      </c>
      <c r="ER128" t="s">
        <v>346</v>
      </c>
      <c r="ES128">
        <v>0</v>
      </c>
      <c r="ET128" t="s">
        <v>320</v>
      </c>
      <c r="EY128" t="s">
        <v>306</v>
      </c>
      <c r="FD128" t="s">
        <v>306</v>
      </c>
      <c r="FI128" t="s">
        <v>306</v>
      </c>
      <c r="FJ128" t="s">
        <v>593</v>
      </c>
      <c r="FK128">
        <v>4138124</v>
      </c>
      <c r="FL128" t="s">
        <v>346</v>
      </c>
      <c r="FM128">
        <v>0</v>
      </c>
      <c r="FN128" t="s">
        <v>304</v>
      </c>
      <c r="FS128" t="s">
        <v>306</v>
      </c>
      <c r="FX128" t="s">
        <v>306</v>
      </c>
      <c r="FY128" t="s">
        <v>1428</v>
      </c>
      <c r="FZ128">
        <v>113837</v>
      </c>
      <c r="GA128" t="s">
        <v>346</v>
      </c>
      <c r="GB128">
        <v>0.04</v>
      </c>
      <c r="GC128" t="s">
        <v>336</v>
      </c>
      <c r="GH128" t="s">
        <v>306</v>
      </c>
      <c r="GM128" t="s">
        <v>306</v>
      </c>
      <c r="GN128" t="s">
        <v>593</v>
      </c>
      <c r="GO128">
        <v>4138124</v>
      </c>
      <c r="GP128" t="s">
        <v>346</v>
      </c>
      <c r="GQ128">
        <v>0</v>
      </c>
      <c r="GR128" t="s">
        <v>304</v>
      </c>
      <c r="GS128" t="s">
        <v>412</v>
      </c>
      <c r="GT128">
        <v>109687</v>
      </c>
      <c r="GU128" t="s">
        <v>346</v>
      </c>
      <c r="GV128">
        <v>0.01</v>
      </c>
      <c r="GW128" t="s">
        <v>53</v>
      </c>
      <c r="GX128" t="s">
        <v>749</v>
      </c>
      <c r="GY128">
        <v>109913</v>
      </c>
      <c r="GZ128" t="s">
        <v>346</v>
      </c>
      <c r="HA128">
        <v>0.03</v>
      </c>
      <c r="HB128" t="s">
        <v>53</v>
      </c>
      <c r="HG128" t="s">
        <v>306</v>
      </c>
    </row>
    <row r="129" spans="5:215" x14ac:dyDescent="0.35">
      <c r="E129" t="s">
        <v>306</v>
      </c>
      <c r="F129" t="s">
        <v>516</v>
      </c>
      <c r="G129">
        <v>4139988</v>
      </c>
      <c r="H129" t="s">
        <v>346</v>
      </c>
      <c r="I129">
        <v>0</v>
      </c>
      <c r="J129" t="s">
        <v>304</v>
      </c>
      <c r="K129" t="s">
        <v>420</v>
      </c>
      <c r="L129">
        <v>19342220</v>
      </c>
      <c r="M129" t="s">
        <v>346</v>
      </c>
      <c r="N129">
        <v>0</v>
      </c>
      <c r="O129" t="s">
        <v>53</v>
      </c>
      <c r="T129" t="s">
        <v>306</v>
      </c>
      <c r="U129" t="s">
        <v>664</v>
      </c>
      <c r="V129">
        <v>4138760</v>
      </c>
      <c r="W129" t="s">
        <v>346</v>
      </c>
      <c r="X129">
        <v>0.02</v>
      </c>
      <c r="Y129" t="s">
        <v>50</v>
      </c>
      <c r="Z129" t="s">
        <v>420</v>
      </c>
      <c r="AA129">
        <v>19342220</v>
      </c>
      <c r="AB129" t="s">
        <v>346</v>
      </c>
      <c r="AC129">
        <v>0</v>
      </c>
      <c r="AD129" t="s">
        <v>53</v>
      </c>
      <c r="AE129" t="s">
        <v>435</v>
      </c>
      <c r="AF129">
        <v>109789</v>
      </c>
      <c r="AG129" t="s">
        <v>346</v>
      </c>
      <c r="AH129">
        <v>0</v>
      </c>
      <c r="AI129" t="s">
        <v>53</v>
      </c>
      <c r="AN129" t="s">
        <v>306</v>
      </c>
      <c r="AO129" t="s">
        <v>489</v>
      </c>
      <c r="AP129">
        <v>4324456</v>
      </c>
      <c r="AQ129" t="s">
        <v>346</v>
      </c>
      <c r="AR129">
        <v>0.01</v>
      </c>
      <c r="AS129" t="s">
        <v>2194</v>
      </c>
      <c r="AX129" t="s">
        <v>306</v>
      </c>
      <c r="BC129" t="s">
        <v>306</v>
      </c>
      <c r="BD129" t="s">
        <v>1429</v>
      </c>
      <c r="BE129">
        <v>4140470</v>
      </c>
      <c r="BF129" t="s">
        <v>346</v>
      </c>
      <c r="BG129">
        <v>0.04</v>
      </c>
      <c r="BH129" t="s">
        <v>321</v>
      </c>
      <c r="BI129" t="s">
        <v>1568</v>
      </c>
      <c r="BJ129">
        <v>4139610</v>
      </c>
      <c r="BK129" t="s">
        <v>346</v>
      </c>
      <c r="BL129">
        <v>0.01</v>
      </c>
      <c r="BM129" t="s">
        <v>2185</v>
      </c>
      <c r="BN129" t="s">
        <v>583</v>
      </c>
      <c r="BO129">
        <v>4579014</v>
      </c>
      <c r="BP129" t="s">
        <v>346</v>
      </c>
      <c r="BQ129">
        <v>0.01</v>
      </c>
      <c r="BR129" t="s">
        <v>53</v>
      </c>
      <c r="BS129" t="s">
        <v>970</v>
      </c>
      <c r="BT129">
        <v>4139028</v>
      </c>
      <c r="BU129" t="s">
        <v>346</v>
      </c>
      <c r="BV129">
        <v>0.02</v>
      </c>
      <c r="BW129" t="s">
        <v>317</v>
      </c>
      <c r="BX129" t="s">
        <v>664</v>
      </c>
      <c r="BY129">
        <v>4138760</v>
      </c>
      <c r="BZ129" t="s">
        <v>346</v>
      </c>
      <c r="CA129">
        <v>0.02</v>
      </c>
      <c r="CB129" t="s">
        <v>50</v>
      </c>
      <c r="CC129" t="s">
        <v>1648</v>
      </c>
      <c r="CD129">
        <v>4621969</v>
      </c>
      <c r="CE129" t="s">
        <v>346</v>
      </c>
      <c r="CF129">
        <v>0.03</v>
      </c>
      <c r="CG129" t="s">
        <v>53</v>
      </c>
      <c r="CH129" t="s">
        <v>489</v>
      </c>
      <c r="CI129">
        <v>4324456</v>
      </c>
      <c r="CJ129" t="s">
        <v>346</v>
      </c>
      <c r="CK129">
        <v>0.01</v>
      </c>
      <c r="CL129" t="s">
        <v>2194</v>
      </c>
      <c r="CM129" t="s">
        <v>482</v>
      </c>
      <c r="CN129">
        <v>4048742</v>
      </c>
      <c r="CO129" t="s">
        <v>346</v>
      </c>
      <c r="CP129">
        <v>0.03</v>
      </c>
      <c r="CQ129" t="s">
        <v>80</v>
      </c>
      <c r="CV129" t="s">
        <v>306</v>
      </c>
      <c r="DA129" t="s">
        <v>306</v>
      </c>
      <c r="DB129" t="s">
        <v>1429</v>
      </c>
      <c r="DC129">
        <v>4140470</v>
      </c>
      <c r="DD129" t="s">
        <v>346</v>
      </c>
      <c r="DE129">
        <v>0.04</v>
      </c>
      <c r="DF129" t="s">
        <v>321</v>
      </c>
      <c r="DK129" t="s">
        <v>306</v>
      </c>
      <c r="DL129" t="s">
        <v>1429</v>
      </c>
      <c r="DM129">
        <v>4140470</v>
      </c>
      <c r="DN129" t="s">
        <v>346</v>
      </c>
      <c r="DO129">
        <v>0.04</v>
      </c>
      <c r="DP129" t="s">
        <v>321</v>
      </c>
      <c r="DU129" t="s">
        <v>306</v>
      </c>
      <c r="DV129" t="s">
        <v>393</v>
      </c>
      <c r="DW129">
        <v>4723508</v>
      </c>
      <c r="DX129" t="s">
        <v>346</v>
      </c>
      <c r="DY129">
        <v>0</v>
      </c>
      <c r="DZ129" t="s">
        <v>313</v>
      </c>
      <c r="EA129" t="s">
        <v>1648</v>
      </c>
      <c r="EB129">
        <v>4621969</v>
      </c>
      <c r="EC129" t="s">
        <v>346</v>
      </c>
      <c r="ED129">
        <v>0.03</v>
      </c>
      <c r="EE129" t="s">
        <v>53</v>
      </c>
      <c r="EF129" t="s">
        <v>1429</v>
      </c>
      <c r="EG129">
        <v>4140470</v>
      </c>
      <c r="EH129" t="s">
        <v>346</v>
      </c>
      <c r="EI129">
        <v>0.04</v>
      </c>
      <c r="EJ129" t="s">
        <v>321</v>
      </c>
      <c r="EO129" t="s">
        <v>306</v>
      </c>
      <c r="EP129" t="s">
        <v>793</v>
      </c>
      <c r="EQ129">
        <v>7798890</v>
      </c>
      <c r="ER129" t="s">
        <v>346</v>
      </c>
      <c r="ES129">
        <v>0</v>
      </c>
      <c r="ET129" t="s">
        <v>50</v>
      </c>
      <c r="EY129" t="s">
        <v>306</v>
      </c>
      <c r="FD129" t="s">
        <v>306</v>
      </c>
      <c r="FI129" t="s">
        <v>306</v>
      </c>
      <c r="FJ129" t="s">
        <v>613</v>
      </c>
      <c r="FK129">
        <v>27267005</v>
      </c>
      <c r="FL129" t="s">
        <v>346</v>
      </c>
      <c r="FM129">
        <v>0</v>
      </c>
      <c r="FN129" t="s">
        <v>2186</v>
      </c>
      <c r="FS129" t="s">
        <v>306</v>
      </c>
      <c r="FX129" t="s">
        <v>306</v>
      </c>
      <c r="FY129" t="s">
        <v>1429</v>
      </c>
      <c r="FZ129">
        <v>4140470</v>
      </c>
      <c r="GA129" t="s">
        <v>346</v>
      </c>
      <c r="GB129">
        <v>0.04</v>
      </c>
      <c r="GC129" t="s">
        <v>321</v>
      </c>
      <c r="GH129" t="s">
        <v>306</v>
      </c>
      <c r="GM129" t="s">
        <v>306</v>
      </c>
      <c r="GN129" t="s">
        <v>613</v>
      </c>
      <c r="GO129">
        <v>27267005</v>
      </c>
      <c r="GP129" t="s">
        <v>346</v>
      </c>
      <c r="GQ129">
        <v>0</v>
      </c>
      <c r="GR129" t="s">
        <v>2186</v>
      </c>
      <c r="GS129" t="s">
        <v>583</v>
      </c>
      <c r="GT129">
        <v>4579014</v>
      </c>
      <c r="GU129" t="s">
        <v>346</v>
      </c>
      <c r="GV129">
        <v>0.01</v>
      </c>
      <c r="GW129" t="s">
        <v>53</v>
      </c>
      <c r="GX129" t="s">
        <v>1648</v>
      </c>
      <c r="GY129">
        <v>4621969</v>
      </c>
      <c r="GZ129" t="s">
        <v>346</v>
      </c>
      <c r="HA129">
        <v>0.03</v>
      </c>
      <c r="HB129" t="s">
        <v>53</v>
      </c>
      <c r="HG129" t="s">
        <v>306</v>
      </c>
    </row>
    <row r="130" spans="5:215" x14ac:dyDescent="0.35">
      <c r="E130" t="s">
        <v>306</v>
      </c>
      <c r="F130" t="s">
        <v>517</v>
      </c>
      <c r="G130">
        <v>111097</v>
      </c>
      <c r="H130" t="s">
        <v>346</v>
      </c>
      <c r="I130">
        <v>0</v>
      </c>
      <c r="J130" t="s">
        <v>53</v>
      </c>
      <c r="K130" t="s">
        <v>465</v>
      </c>
      <c r="L130">
        <v>4119440</v>
      </c>
      <c r="M130" t="s">
        <v>346</v>
      </c>
      <c r="N130">
        <v>0</v>
      </c>
      <c r="O130" t="s">
        <v>53</v>
      </c>
      <c r="T130" t="s">
        <v>306</v>
      </c>
      <c r="U130" t="s">
        <v>749</v>
      </c>
      <c r="V130">
        <v>109913</v>
      </c>
      <c r="W130" t="s">
        <v>346</v>
      </c>
      <c r="X130">
        <v>0.02</v>
      </c>
      <c r="Y130" t="s">
        <v>53</v>
      </c>
      <c r="Z130" t="s">
        <v>465</v>
      </c>
      <c r="AA130">
        <v>4119440</v>
      </c>
      <c r="AB130" t="s">
        <v>346</v>
      </c>
      <c r="AC130">
        <v>0</v>
      </c>
      <c r="AD130" t="s">
        <v>53</v>
      </c>
      <c r="AE130" t="s">
        <v>1147</v>
      </c>
      <c r="AF130">
        <v>4187733</v>
      </c>
      <c r="AG130" t="s">
        <v>346</v>
      </c>
      <c r="AH130">
        <v>0</v>
      </c>
      <c r="AI130" t="s">
        <v>320</v>
      </c>
      <c r="AN130" t="s">
        <v>306</v>
      </c>
      <c r="AO130" t="s">
        <v>451</v>
      </c>
      <c r="AP130">
        <v>5747632</v>
      </c>
      <c r="AQ130" t="s">
        <v>346</v>
      </c>
      <c r="AR130">
        <v>0.01</v>
      </c>
      <c r="AS130" t="s">
        <v>80</v>
      </c>
      <c r="AX130" t="s">
        <v>306</v>
      </c>
      <c r="BC130" t="s">
        <v>306</v>
      </c>
      <c r="BD130" t="s">
        <v>1430</v>
      </c>
      <c r="BE130">
        <v>4149461</v>
      </c>
      <c r="BF130" t="s">
        <v>346</v>
      </c>
      <c r="BG130">
        <v>0.04</v>
      </c>
      <c r="BH130" t="s">
        <v>313</v>
      </c>
      <c r="BI130" t="s">
        <v>565</v>
      </c>
      <c r="BJ130">
        <v>26566323</v>
      </c>
      <c r="BK130" t="s">
        <v>346</v>
      </c>
      <c r="BL130">
        <v>0.01</v>
      </c>
      <c r="BM130" t="s">
        <v>53</v>
      </c>
      <c r="BN130" t="s">
        <v>636</v>
      </c>
      <c r="BO130">
        <v>4139271</v>
      </c>
      <c r="BP130" t="s">
        <v>346</v>
      </c>
      <c r="BQ130">
        <v>0.01</v>
      </c>
      <c r="BR130" t="s">
        <v>50</v>
      </c>
      <c r="BS130" t="s">
        <v>891</v>
      </c>
      <c r="BT130">
        <v>4190959</v>
      </c>
      <c r="BU130" t="s">
        <v>346</v>
      </c>
      <c r="BV130">
        <v>0.02</v>
      </c>
      <c r="BW130" t="s">
        <v>2188</v>
      </c>
      <c r="BX130" t="s">
        <v>749</v>
      </c>
      <c r="BY130">
        <v>109913</v>
      </c>
      <c r="BZ130" t="s">
        <v>346</v>
      </c>
      <c r="CA130">
        <v>0.02</v>
      </c>
      <c r="CB130" t="s">
        <v>53</v>
      </c>
      <c r="CC130" t="s">
        <v>1649</v>
      </c>
      <c r="CD130">
        <v>4274506</v>
      </c>
      <c r="CE130" t="s">
        <v>346</v>
      </c>
      <c r="CF130">
        <v>0.03</v>
      </c>
      <c r="CG130" t="s">
        <v>114</v>
      </c>
      <c r="CH130" t="s">
        <v>451</v>
      </c>
      <c r="CI130">
        <v>5747632</v>
      </c>
      <c r="CJ130" t="s">
        <v>346</v>
      </c>
      <c r="CK130">
        <v>0.01</v>
      </c>
      <c r="CL130" t="s">
        <v>80</v>
      </c>
      <c r="CM130" t="s">
        <v>767</v>
      </c>
      <c r="CN130">
        <v>4139846</v>
      </c>
      <c r="CO130" t="s">
        <v>346</v>
      </c>
      <c r="CP130">
        <v>0.03</v>
      </c>
      <c r="CQ130" t="s">
        <v>317</v>
      </c>
      <c r="CV130" t="s">
        <v>306</v>
      </c>
      <c r="DA130" t="s">
        <v>306</v>
      </c>
      <c r="DB130" t="s">
        <v>1430</v>
      </c>
      <c r="DC130">
        <v>4149461</v>
      </c>
      <c r="DD130" t="s">
        <v>346</v>
      </c>
      <c r="DE130">
        <v>0.04</v>
      </c>
      <c r="DF130" t="s">
        <v>313</v>
      </c>
      <c r="DK130" t="s">
        <v>306</v>
      </c>
      <c r="DL130" t="s">
        <v>1430</v>
      </c>
      <c r="DM130">
        <v>4149461</v>
      </c>
      <c r="DN130" t="s">
        <v>346</v>
      </c>
      <c r="DO130">
        <v>0.04</v>
      </c>
      <c r="DP130" t="s">
        <v>313</v>
      </c>
      <c r="DU130" t="s">
        <v>306</v>
      </c>
      <c r="DV130" t="s">
        <v>548</v>
      </c>
      <c r="DW130">
        <v>26480935</v>
      </c>
      <c r="DX130" t="s">
        <v>346</v>
      </c>
      <c r="DY130">
        <v>0</v>
      </c>
      <c r="DZ130" t="s">
        <v>53</v>
      </c>
      <c r="EA130" t="s">
        <v>1649</v>
      </c>
      <c r="EB130">
        <v>4274506</v>
      </c>
      <c r="EC130" t="s">
        <v>346</v>
      </c>
      <c r="ED130">
        <v>0.03</v>
      </c>
      <c r="EE130" t="s">
        <v>114</v>
      </c>
      <c r="EF130" t="s">
        <v>1430</v>
      </c>
      <c r="EG130">
        <v>4149461</v>
      </c>
      <c r="EH130" t="s">
        <v>346</v>
      </c>
      <c r="EI130">
        <v>0.04</v>
      </c>
      <c r="EJ130" t="s">
        <v>313</v>
      </c>
      <c r="EO130" t="s">
        <v>306</v>
      </c>
      <c r="EP130" t="s">
        <v>2135</v>
      </c>
      <c r="EQ130" t="s">
        <v>300</v>
      </c>
      <c r="ER130" t="s">
        <v>361</v>
      </c>
      <c r="ES130">
        <v>0</v>
      </c>
      <c r="ET130" t="s">
        <v>50</v>
      </c>
      <c r="EY130" t="s">
        <v>306</v>
      </c>
      <c r="FD130" t="s">
        <v>306</v>
      </c>
      <c r="FI130" t="s">
        <v>306</v>
      </c>
      <c r="FJ130" t="s">
        <v>2169</v>
      </c>
      <c r="FK130" t="s">
        <v>300</v>
      </c>
      <c r="FL130" t="s">
        <v>361</v>
      </c>
      <c r="FM130">
        <v>0</v>
      </c>
      <c r="FN130" t="s">
        <v>50</v>
      </c>
      <c r="FS130" t="s">
        <v>306</v>
      </c>
      <c r="FX130" t="s">
        <v>306</v>
      </c>
      <c r="FY130" t="s">
        <v>1430</v>
      </c>
      <c r="FZ130">
        <v>4149461</v>
      </c>
      <c r="GA130" t="s">
        <v>346</v>
      </c>
      <c r="GB130">
        <v>0.04</v>
      </c>
      <c r="GC130" t="s">
        <v>313</v>
      </c>
      <c r="GH130" t="s">
        <v>306</v>
      </c>
      <c r="GM130" t="s">
        <v>306</v>
      </c>
      <c r="GN130" t="s">
        <v>2169</v>
      </c>
      <c r="GO130" t="s">
        <v>300</v>
      </c>
      <c r="GP130" t="s">
        <v>361</v>
      </c>
      <c r="GQ130">
        <v>0</v>
      </c>
      <c r="GR130" t="s">
        <v>50</v>
      </c>
      <c r="GS130" t="s">
        <v>636</v>
      </c>
      <c r="GT130">
        <v>4139271</v>
      </c>
      <c r="GU130" t="s">
        <v>346</v>
      </c>
      <c r="GV130">
        <v>0.01</v>
      </c>
      <c r="GW130" t="s">
        <v>50</v>
      </c>
      <c r="GX130" t="s">
        <v>1649</v>
      </c>
      <c r="GY130">
        <v>4274506</v>
      </c>
      <c r="GZ130" t="s">
        <v>346</v>
      </c>
      <c r="HA130">
        <v>0.03</v>
      </c>
      <c r="HB130" t="s">
        <v>114</v>
      </c>
      <c r="HG130" t="s">
        <v>306</v>
      </c>
    </row>
    <row r="131" spans="5:215" x14ac:dyDescent="0.35">
      <c r="E131" t="s">
        <v>306</v>
      </c>
      <c r="F131" t="s">
        <v>518</v>
      </c>
      <c r="G131">
        <v>4200067</v>
      </c>
      <c r="H131" t="s">
        <v>346</v>
      </c>
      <c r="I131">
        <v>0</v>
      </c>
      <c r="J131" t="s">
        <v>2185</v>
      </c>
      <c r="K131" t="s">
        <v>542</v>
      </c>
      <c r="L131">
        <v>4001519</v>
      </c>
      <c r="M131" t="s">
        <v>346</v>
      </c>
      <c r="N131">
        <v>0</v>
      </c>
      <c r="O131" t="s">
        <v>53</v>
      </c>
      <c r="T131" t="s">
        <v>306</v>
      </c>
      <c r="U131" t="s">
        <v>750</v>
      </c>
      <c r="V131">
        <v>4138496</v>
      </c>
      <c r="W131" t="s">
        <v>346</v>
      </c>
      <c r="X131">
        <v>0.02</v>
      </c>
      <c r="Y131" t="s">
        <v>50</v>
      </c>
      <c r="Z131" t="s">
        <v>542</v>
      </c>
      <c r="AA131">
        <v>4001519</v>
      </c>
      <c r="AB131" t="s">
        <v>346</v>
      </c>
      <c r="AC131">
        <v>0</v>
      </c>
      <c r="AD131" t="s">
        <v>53</v>
      </c>
      <c r="AE131" t="s">
        <v>652</v>
      </c>
      <c r="AF131">
        <v>4134208</v>
      </c>
      <c r="AG131" t="s">
        <v>346</v>
      </c>
      <c r="AH131">
        <v>0</v>
      </c>
      <c r="AI131" t="s">
        <v>53</v>
      </c>
      <c r="AN131" t="s">
        <v>306</v>
      </c>
      <c r="AO131" t="s">
        <v>1296</v>
      </c>
      <c r="AP131">
        <v>8091201</v>
      </c>
      <c r="AQ131" t="s">
        <v>346</v>
      </c>
      <c r="AR131">
        <v>0.01</v>
      </c>
      <c r="AS131" t="s">
        <v>2202</v>
      </c>
      <c r="AX131" t="s">
        <v>306</v>
      </c>
      <c r="BC131" t="s">
        <v>306</v>
      </c>
      <c r="BD131" t="s">
        <v>453</v>
      </c>
      <c r="BE131">
        <v>4318598</v>
      </c>
      <c r="BF131" t="s">
        <v>346</v>
      </c>
      <c r="BG131">
        <v>0.04</v>
      </c>
      <c r="BH131" t="s">
        <v>53</v>
      </c>
      <c r="BI131" t="s">
        <v>1569</v>
      </c>
      <c r="BJ131">
        <v>4260241</v>
      </c>
      <c r="BK131" t="s">
        <v>346</v>
      </c>
      <c r="BL131">
        <v>0.01</v>
      </c>
      <c r="BM131" t="s">
        <v>323</v>
      </c>
      <c r="BN131" t="s">
        <v>775</v>
      </c>
      <c r="BO131">
        <v>19448171</v>
      </c>
      <c r="BP131" t="s">
        <v>346</v>
      </c>
      <c r="BQ131">
        <v>0.01</v>
      </c>
      <c r="BR131" t="s">
        <v>50</v>
      </c>
      <c r="BS131" t="s">
        <v>971</v>
      </c>
      <c r="BT131">
        <v>4042808</v>
      </c>
      <c r="BU131" t="s">
        <v>346</v>
      </c>
      <c r="BV131">
        <v>0.02</v>
      </c>
      <c r="BW131" t="s">
        <v>53</v>
      </c>
      <c r="BX131" t="s">
        <v>750</v>
      </c>
      <c r="BY131">
        <v>4138496</v>
      </c>
      <c r="BZ131" t="s">
        <v>346</v>
      </c>
      <c r="CA131">
        <v>0.02</v>
      </c>
      <c r="CB131" t="s">
        <v>50</v>
      </c>
      <c r="CC131" t="s">
        <v>575</v>
      </c>
      <c r="CD131">
        <v>4575993</v>
      </c>
      <c r="CE131" t="s">
        <v>346</v>
      </c>
      <c r="CF131">
        <v>0.03</v>
      </c>
      <c r="CG131" t="s">
        <v>80</v>
      </c>
      <c r="CH131" t="s">
        <v>1296</v>
      </c>
      <c r="CI131">
        <v>8091201</v>
      </c>
      <c r="CJ131" t="s">
        <v>346</v>
      </c>
      <c r="CK131">
        <v>0.01</v>
      </c>
      <c r="CL131" t="s">
        <v>2202</v>
      </c>
      <c r="CM131" t="s">
        <v>1969</v>
      </c>
      <c r="CN131">
        <v>4028811</v>
      </c>
      <c r="CO131" t="s">
        <v>346</v>
      </c>
      <c r="CP131">
        <v>0.03</v>
      </c>
      <c r="CQ131" t="s">
        <v>53</v>
      </c>
      <c r="CV131" t="s">
        <v>306</v>
      </c>
      <c r="DA131" t="s">
        <v>306</v>
      </c>
      <c r="DB131" t="s">
        <v>453</v>
      </c>
      <c r="DC131">
        <v>4318598</v>
      </c>
      <c r="DD131" t="s">
        <v>346</v>
      </c>
      <c r="DE131">
        <v>0.04</v>
      </c>
      <c r="DF131" t="s">
        <v>53</v>
      </c>
      <c r="DK131" t="s">
        <v>306</v>
      </c>
      <c r="DL131" t="s">
        <v>453</v>
      </c>
      <c r="DM131">
        <v>4318598</v>
      </c>
      <c r="DN131" t="s">
        <v>346</v>
      </c>
      <c r="DO131">
        <v>0.04</v>
      </c>
      <c r="DP131" t="s">
        <v>53</v>
      </c>
      <c r="DU131" t="s">
        <v>306</v>
      </c>
      <c r="DV131" t="s">
        <v>420</v>
      </c>
      <c r="DW131">
        <v>19342220</v>
      </c>
      <c r="DX131" t="s">
        <v>346</v>
      </c>
      <c r="DY131">
        <v>0</v>
      </c>
      <c r="DZ131" t="s">
        <v>53</v>
      </c>
      <c r="EA131" t="s">
        <v>575</v>
      </c>
      <c r="EB131">
        <v>4575993</v>
      </c>
      <c r="EC131" t="s">
        <v>346</v>
      </c>
      <c r="ED131">
        <v>0.03</v>
      </c>
      <c r="EE131" t="s">
        <v>80</v>
      </c>
      <c r="EF131" t="s">
        <v>453</v>
      </c>
      <c r="EG131">
        <v>4318598</v>
      </c>
      <c r="EH131" t="s">
        <v>346</v>
      </c>
      <c r="EI131">
        <v>0.04</v>
      </c>
      <c r="EJ131" t="s">
        <v>53</v>
      </c>
      <c r="EO131" t="s">
        <v>306</v>
      </c>
      <c r="EP131" t="s">
        <v>835</v>
      </c>
      <c r="EQ131">
        <v>4878959</v>
      </c>
      <c r="ER131" t="s">
        <v>346</v>
      </c>
      <c r="ES131">
        <v>0</v>
      </c>
      <c r="ET131" t="s">
        <v>50</v>
      </c>
      <c r="EY131" t="s">
        <v>306</v>
      </c>
      <c r="FD131" t="s">
        <v>306</v>
      </c>
      <c r="FI131" t="s">
        <v>306</v>
      </c>
      <c r="FJ131" t="s">
        <v>426</v>
      </c>
      <c r="FK131">
        <v>100201</v>
      </c>
      <c r="FL131" t="s">
        <v>366</v>
      </c>
      <c r="FM131">
        <v>0</v>
      </c>
      <c r="FN131" t="s">
        <v>53</v>
      </c>
      <c r="FS131" t="s">
        <v>306</v>
      </c>
      <c r="FX131" t="s">
        <v>306</v>
      </c>
      <c r="FY131" t="s">
        <v>453</v>
      </c>
      <c r="FZ131">
        <v>4318598</v>
      </c>
      <c r="GA131" t="s">
        <v>346</v>
      </c>
      <c r="GB131">
        <v>0.04</v>
      </c>
      <c r="GC131" t="s">
        <v>53</v>
      </c>
      <c r="GH131" t="s">
        <v>306</v>
      </c>
      <c r="GM131" t="s">
        <v>306</v>
      </c>
      <c r="GN131" t="s">
        <v>426</v>
      </c>
      <c r="GO131">
        <v>100201</v>
      </c>
      <c r="GP131" t="s">
        <v>366</v>
      </c>
      <c r="GQ131">
        <v>0</v>
      </c>
      <c r="GR131" t="s">
        <v>53</v>
      </c>
      <c r="GS131" t="s">
        <v>775</v>
      </c>
      <c r="GT131">
        <v>19448171</v>
      </c>
      <c r="GU131" t="s">
        <v>346</v>
      </c>
      <c r="GV131">
        <v>0.01</v>
      </c>
      <c r="GW131" t="s">
        <v>50</v>
      </c>
      <c r="GX131" t="s">
        <v>575</v>
      </c>
      <c r="GY131">
        <v>4575993</v>
      </c>
      <c r="GZ131" t="s">
        <v>346</v>
      </c>
      <c r="HA131">
        <v>0.03</v>
      </c>
      <c r="HB131" t="s">
        <v>80</v>
      </c>
      <c r="HG131" t="s">
        <v>306</v>
      </c>
    </row>
    <row r="132" spans="5:215" x14ac:dyDescent="0.35">
      <c r="E132" t="s">
        <v>306</v>
      </c>
      <c r="F132" t="s">
        <v>519</v>
      </c>
      <c r="G132">
        <v>109968</v>
      </c>
      <c r="H132" t="s">
        <v>346</v>
      </c>
      <c r="I132">
        <v>0</v>
      </c>
      <c r="J132" t="s">
        <v>53</v>
      </c>
      <c r="K132" t="s">
        <v>418</v>
      </c>
      <c r="L132">
        <v>109776</v>
      </c>
      <c r="M132" t="s">
        <v>346</v>
      </c>
      <c r="N132">
        <v>0</v>
      </c>
      <c r="O132" t="s">
        <v>53</v>
      </c>
      <c r="T132" t="s">
        <v>306</v>
      </c>
      <c r="U132" t="s">
        <v>660</v>
      </c>
      <c r="V132">
        <v>4099895</v>
      </c>
      <c r="W132" t="s">
        <v>366</v>
      </c>
      <c r="X132">
        <v>0.02</v>
      </c>
      <c r="Y132" t="s">
        <v>80</v>
      </c>
      <c r="Z132" t="s">
        <v>418</v>
      </c>
      <c r="AA132">
        <v>109776</v>
      </c>
      <c r="AB132" t="s">
        <v>346</v>
      </c>
      <c r="AC132">
        <v>0</v>
      </c>
      <c r="AD132" t="s">
        <v>53</v>
      </c>
      <c r="AE132" t="s">
        <v>1045</v>
      </c>
      <c r="AF132">
        <v>5776820</v>
      </c>
      <c r="AG132" t="s">
        <v>346</v>
      </c>
      <c r="AH132">
        <v>0</v>
      </c>
      <c r="AI132" t="s">
        <v>2193</v>
      </c>
      <c r="AN132" t="s">
        <v>306</v>
      </c>
      <c r="AO132" t="s">
        <v>663</v>
      </c>
      <c r="AP132">
        <v>4080954</v>
      </c>
      <c r="AQ132" t="s">
        <v>346</v>
      </c>
      <c r="AR132">
        <v>0.01</v>
      </c>
      <c r="AS132" t="s">
        <v>2193</v>
      </c>
      <c r="AX132" t="s">
        <v>306</v>
      </c>
      <c r="BC132" t="s">
        <v>306</v>
      </c>
      <c r="BD132" t="s">
        <v>1431</v>
      </c>
      <c r="BE132">
        <v>4138890</v>
      </c>
      <c r="BF132" t="s">
        <v>346</v>
      </c>
      <c r="BG132">
        <v>0.04</v>
      </c>
      <c r="BH132" t="s">
        <v>2185</v>
      </c>
      <c r="BI132" t="s">
        <v>459</v>
      </c>
      <c r="BJ132">
        <v>4140503</v>
      </c>
      <c r="BK132" t="s">
        <v>346</v>
      </c>
      <c r="BL132">
        <v>0.01</v>
      </c>
      <c r="BM132" t="s">
        <v>2186</v>
      </c>
      <c r="BN132" t="s">
        <v>763</v>
      </c>
      <c r="BO132">
        <v>110153</v>
      </c>
      <c r="BP132" t="s">
        <v>364</v>
      </c>
      <c r="BQ132">
        <v>0.01</v>
      </c>
      <c r="BR132" t="s">
        <v>53</v>
      </c>
      <c r="BS132" t="s">
        <v>453</v>
      </c>
      <c r="BT132">
        <v>4318598</v>
      </c>
      <c r="BU132" t="s">
        <v>346</v>
      </c>
      <c r="BV132">
        <v>0.02</v>
      </c>
      <c r="BW132" t="s">
        <v>53</v>
      </c>
      <c r="BX132" t="s">
        <v>660</v>
      </c>
      <c r="BY132">
        <v>4099895</v>
      </c>
      <c r="BZ132" t="s">
        <v>366</v>
      </c>
      <c r="CA132">
        <v>0.02</v>
      </c>
      <c r="CB132" t="s">
        <v>80</v>
      </c>
      <c r="CC132" t="s">
        <v>1650</v>
      </c>
      <c r="CD132">
        <v>5843411</v>
      </c>
      <c r="CE132" t="s">
        <v>364</v>
      </c>
      <c r="CF132">
        <v>0.03</v>
      </c>
      <c r="CG132" t="s">
        <v>313</v>
      </c>
      <c r="CH132" t="s">
        <v>663</v>
      </c>
      <c r="CI132">
        <v>4080954</v>
      </c>
      <c r="CJ132" t="s">
        <v>346</v>
      </c>
      <c r="CK132">
        <v>0.01</v>
      </c>
      <c r="CL132" t="s">
        <v>2193</v>
      </c>
      <c r="CM132" t="s">
        <v>1774</v>
      </c>
      <c r="CN132">
        <v>5774712</v>
      </c>
      <c r="CO132" t="s">
        <v>346</v>
      </c>
      <c r="CP132">
        <v>0.03</v>
      </c>
      <c r="CQ132" t="s">
        <v>53</v>
      </c>
      <c r="CV132" t="s">
        <v>306</v>
      </c>
      <c r="DA132" t="s">
        <v>306</v>
      </c>
      <c r="DB132" t="s">
        <v>1431</v>
      </c>
      <c r="DC132">
        <v>4138890</v>
      </c>
      <c r="DD132" t="s">
        <v>346</v>
      </c>
      <c r="DE132">
        <v>0.04</v>
      </c>
      <c r="DF132" t="s">
        <v>2185</v>
      </c>
      <c r="DK132" t="s">
        <v>306</v>
      </c>
      <c r="DL132" t="s">
        <v>1431</v>
      </c>
      <c r="DM132">
        <v>4138890</v>
      </c>
      <c r="DN132" t="s">
        <v>346</v>
      </c>
      <c r="DO132">
        <v>0.04</v>
      </c>
      <c r="DP132" t="s">
        <v>2185</v>
      </c>
      <c r="DU132" t="s">
        <v>306</v>
      </c>
      <c r="DV132" t="s">
        <v>1221</v>
      </c>
      <c r="DW132">
        <v>5761555</v>
      </c>
      <c r="DX132" t="s">
        <v>346</v>
      </c>
      <c r="DY132">
        <v>0</v>
      </c>
      <c r="DZ132" t="s">
        <v>323</v>
      </c>
      <c r="EA132" t="s">
        <v>1650</v>
      </c>
      <c r="EB132">
        <v>5843411</v>
      </c>
      <c r="EC132" t="s">
        <v>364</v>
      </c>
      <c r="ED132">
        <v>0.03</v>
      </c>
      <c r="EE132" t="s">
        <v>313</v>
      </c>
      <c r="EF132" t="s">
        <v>1431</v>
      </c>
      <c r="EG132">
        <v>4138890</v>
      </c>
      <c r="EH132" t="s">
        <v>346</v>
      </c>
      <c r="EI132">
        <v>0.04</v>
      </c>
      <c r="EJ132" t="s">
        <v>2185</v>
      </c>
      <c r="EO132" t="s">
        <v>306</v>
      </c>
      <c r="EP132" t="s">
        <v>676</v>
      </c>
      <c r="EQ132">
        <v>15012201</v>
      </c>
      <c r="ER132" t="s">
        <v>346</v>
      </c>
      <c r="ES132">
        <v>0</v>
      </c>
      <c r="ET132" t="s">
        <v>50</v>
      </c>
      <c r="EY132" t="s">
        <v>306</v>
      </c>
      <c r="FD132" t="s">
        <v>306</v>
      </c>
      <c r="FI132" t="s">
        <v>306</v>
      </c>
      <c r="FJ132" t="s">
        <v>462</v>
      </c>
      <c r="FK132">
        <v>109872</v>
      </c>
      <c r="FL132" t="s">
        <v>346</v>
      </c>
      <c r="FM132">
        <v>0</v>
      </c>
      <c r="FN132" t="s">
        <v>53</v>
      </c>
      <c r="FS132" t="s">
        <v>306</v>
      </c>
      <c r="FX132" t="s">
        <v>306</v>
      </c>
      <c r="FY132" t="s">
        <v>1431</v>
      </c>
      <c r="FZ132">
        <v>4138890</v>
      </c>
      <c r="GA132" t="s">
        <v>346</v>
      </c>
      <c r="GB132">
        <v>0.04</v>
      </c>
      <c r="GC132" t="s">
        <v>2185</v>
      </c>
      <c r="GH132" t="s">
        <v>306</v>
      </c>
      <c r="GM132" t="s">
        <v>306</v>
      </c>
      <c r="GN132" t="s">
        <v>462</v>
      </c>
      <c r="GO132">
        <v>109872</v>
      </c>
      <c r="GP132" t="s">
        <v>346</v>
      </c>
      <c r="GQ132">
        <v>0</v>
      </c>
      <c r="GR132" t="s">
        <v>53</v>
      </c>
      <c r="GS132" t="s">
        <v>763</v>
      </c>
      <c r="GT132">
        <v>110153</v>
      </c>
      <c r="GU132" t="s">
        <v>364</v>
      </c>
      <c r="GV132">
        <v>0.01</v>
      </c>
      <c r="GW132" t="s">
        <v>53</v>
      </c>
      <c r="GX132" t="s">
        <v>1650</v>
      </c>
      <c r="GY132">
        <v>5843411</v>
      </c>
      <c r="GZ132" t="s">
        <v>364</v>
      </c>
      <c r="HA132">
        <v>0.03</v>
      </c>
      <c r="HB132" t="s">
        <v>313</v>
      </c>
      <c r="HG132" t="s">
        <v>306</v>
      </c>
    </row>
    <row r="133" spans="5:215" x14ac:dyDescent="0.35">
      <c r="E133" t="s">
        <v>306</v>
      </c>
      <c r="F133" t="s">
        <v>520</v>
      </c>
      <c r="G133">
        <v>103661</v>
      </c>
      <c r="H133" t="s">
        <v>346</v>
      </c>
      <c r="I133">
        <v>0</v>
      </c>
      <c r="J133" t="s">
        <v>53</v>
      </c>
      <c r="K133" t="s">
        <v>689</v>
      </c>
      <c r="L133">
        <v>109964</v>
      </c>
      <c r="M133" t="s">
        <v>346</v>
      </c>
      <c r="N133">
        <v>0</v>
      </c>
      <c r="O133" t="s">
        <v>53</v>
      </c>
      <c r="T133" t="s">
        <v>306</v>
      </c>
      <c r="U133" t="s">
        <v>497</v>
      </c>
      <c r="V133">
        <v>4138770</v>
      </c>
      <c r="W133" t="s">
        <v>346</v>
      </c>
      <c r="X133">
        <v>0.02</v>
      </c>
      <c r="Y133" t="s">
        <v>313</v>
      </c>
      <c r="Z133" t="s">
        <v>689</v>
      </c>
      <c r="AA133">
        <v>109964</v>
      </c>
      <c r="AB133" t="s">
        <v>346</v>
      </c>
      <c r="AC133">
        <v>0</v>
      </c>
      <c r="AD133" t="s">
        <v>53</v>
      </c>
      <c r="AE133" t="s">
        <v>1148</v>
      </c>
      <c r="AF133">
        <v>4239546</v>
      </c>
      <c r="AG133" t="s">
        <v>346</v>
      </c>
      <c r="AH133">
        <v>0</v>
      </c>
      <c r="AI133" t="s">
        <v>80</v>
      </c>
      <c r="AN133" t="s">
        <v>306</v>
      </c>
      <c r="AO133" t="s">
        <v>1297</v>
      </c>
      <c r="AP133">
        <v>19679073</v>
      </c>
      <c r="AQ133" t="s">
        <v>346</v>
      </c>
      <c r="AR133">
        <v>0.01</v>
      </c>
      <c r="AS133" t="s">
        <v>62</v>
      </c>
      <c r="AX133" t="s">
        <v>306</v>
      </c>
      <c r="BC133" t="s">
        <v>306</v>
      </c>
      <c r="BD133" t="s">
        <v>1432</v>
      </c>
      <c r="BE133">
        <v>4235168</v>
      </c>
      <c r="BF133" t="s">
        <v>346</v>
      </c>
      <c r="BG133">
        <v>0.04</v>
      </c>
      <c r="BH133" t="s">
        <v>313</v>
      </c>
      <c r="BI133" t="s">
        <v>440</v>
      </c>
      <c r="BJ133">
        <v>4140078</v>
      </c>
      <c r="BK133" t="s">
        <v>346</v>
      </c>
      <c r="BL133">
        <v>0.01</v>
      </c>
      <c r="BM133" t="s">
        <v>304</v>
      </c>
      <c r="BN133" t="s">
        <v>646</v>
      </c>
      <c r="BO133">
        <v>4435100</v>
      </c>
      <c r="BP133" t="s">
        <v>346</v>
      </c>
      <c r="BQ133">
        <v>0.01</v>
      </c>
      <c r="BR133" t="s">
        <v>50</v>
      </c>
      <c r="BS133" t="s">
        <v>972</v>
      </c>
      <c r="BT133">
        <v>4578989</v>
      </c>
      <c r="BU133" t="s">
        <v>346</v>
      </c>
      <c r="BV133">
        <v>0.02</v>
      </c>
      <c r="BW133" t="s">
        <v>323</v>
      </c>
      <c r="BX133" t="s">
        <v>497</v>
      </c>
      <c r="BY133">
        <v>4138770</v>
      </c>
      <c r="BZ133" t="s">
        <v>346</v>
      </c>
      <c r="CA133">
        <v>0.02</v>
      </c>
      <c r="CB133" t="s">
        <v>313</v>
      </c>
      <c r="CC133" t="s">
        <v>752</v>
      </c>
      <c r="CD133">
        <v>111272</v>
      </c>
      <c r="CE133" t="s">
        <v>346</v>
      </c>
      <c r="CF133">
        <v>0.03</v>
      </c>
      <c r="CG133" t="s">
        <v>313</v>
      </c>
      <c r="CH133" t="s">
        <v>1297</v>
      </c>
      <c r="CI133">
        <v>19679073</v>
      </c>
      <c r="CJ133" t="s">
        <v>346</v>
      </c>
      <c r="CK133">
        <v>0.01</v>
      </c>
      <c r="CL133" t="s">
        <v>62</v>
      </c>
      <c r="CM133" t="s">
        <v>1970</v>
      </c>
      <c r="CN133">
        <v>4043174</v>
      </c>
      <c r="CO133" t="s">
        <v>363</v>
      </c>
      <c r="CP133">
        <v>0.03</v>
      </c>
      <c r="CQ133" t="s">
        <v>53</v>
      </c>
      <c r="CV133" t="s">
        <v>306</v>
      </c>
      <c r="DA133" t="s">
        <v>306</v>
      </c>
      <c r="DB133" t="s">
        <v>1432</v>
      </c>
      <c r="DC133">
        <v>4235168</v>
      </c>
      <c r="DD133" t="s">
        <v>346</v>
      </c>
      <c r="DE133">
        <v>0.04</v>
      </c>
      <c r="DF133" t="s">
        <v>313</v>
      </c>
      <c r="DK133" t="s">
        <v>306</v>
      </c>
      <c r="DL133" t="s">
        <v>1432</v>
      </c>
      <c r="DM133">
        <v>4235168</v>
      </c>
      <c r="DN133" t="s">
        <v>346</v>
      </c>
      <c r="DO133">
        <v>0.04</v>
      </c>
      <c r="DP133" t="s">
        <v>313</v>
      </c>
      <c r="DU133" t="s">
        <v>306</v>
      </c>
      <c r="DV133" t="s">
        <v>1222</v>
      </c>
      <c r="DW133">
        <v>7676883</v>
      </c>
      <c r="DX133" t="s">
        <v>346</v>
      </c>
      <c r="DY133">
        <v>0</v>
      </c>
      <c r="DZ133" t="s">
        <v>53</v>
      </c>
      <c r="EA133" t="s">
        <v>752</v>
      </c>
      <c r="EB133">
        <v>111272</v>
      </c>
      <c r="EC133" t="s">
        <v>346</v>
      </c>
      <c r="ED133">
        <v>0.03</v>
      </c>
      <c r="EE133" t="s">
        <v>313</v>
      </c>
      <c r="EF133" t="s">
        <v>1432</v>
      </c>
      <c r="EG133">
        <v>4235168</v>
      </c>
      <c r="EH133" t="s">
        <v>346</v>
      </c>
      <c r="EI133">
        <v>0.04</v>
      </c>
      <c r="EJ133" t="s">
        <v>313</v>
      </c>
      <c r="EO133" t="s">
        <v>306</v>
      </c>
      <c r="EP133" t="s">
        <v>428</v>
      </c>
      <c r="EQ133">
        <v>4116134</v>
      </c>
      <c r="ER133" t="s">
        <v>346</v>
      </c>
      <c r="ES133">
        <v>0</v>
      </c>
      <c r="ET133" t="s">
        <v>304</v>
      </c>
      <c r="EY133" t="s">
        <v>306</v>
      </c>
      <c r="FD133" t="s">
        <v>306</v>
      </c>
      <c r="FI133" t="s">
        <v>306</v>
      </c>
      <c r="FJ133" t="s">
        <v>418</v>
      </c>
      <c r="FK133">
        <v>109776</v>
      </c>
      <c r="FL133" t="s">
        <v>346</v>
      </c>
      <c r="FM133">
        <v>0</v>
      </c>
      <c r="FN133" t="s">
        <v>53</v>
      </c>
      <c r="FS133" t="s">
        <v>306</v>
      </c>
      <c r="FX133" t="s">
        <v>306</v>
      </c>
      <c r="FY133" t="s">
        <v>1432</v>
      </c>
      <c r="FZ133">
        <v>4235168</v>
      </c>
      <c r="GA133" t="s">
        <v>346</v>
      </c>
      <c r="GB133">
        <v>0.04</v>
      </c>
      <c r="GC133" t="s">
        <v>313</v>
      </c>
      <c r="GH133" t="s">
        <v>306</v>
      </c>
      <c r="GM133" t="s">
        <v>306</v>
      </c>
      <c r="GN133" t="s">
        <v>418</v>
      </c>
      <c r="GO133">
        <v>109776</v>
      </c>
      <c r="GP133" t="s">
        <v>346</v>
      </c>
      <c r="GQ133">
        <v>0</v>
      </c>
      <c r="GR133" t="s">
        <v>53</v>
      </c>
      <c r="GS133" t="s">
        <v>646</v>
      </c>
      <c r="GT133">
        <v>4435100</v>
      </c>
      <c r="GU133" t="s">
        <v>346</v>
      </c>
      <c r="GV133">
        <v>0.01</v>
      </c>
      <c r="GW133" t="s">
        <v>50</v>
      </c>
      <c r="GX133" t="s">
        <v>752</v>
      </c>
      <c r="GY133">
        <v>111272</v>
      </c>
      <c r="GZ133" t="s">
        <v>346</v>
      </c>
      <c r="HA133">
        <v>0.03</v>
      </c>
      <c r="HB133" t="s">
        <v>313</v>
      </c>
      <c r="HG133" t="s">
        <v>306</v>
      </c>
    </row>
    <row r="134" spans="5:215" x14ac:dyDescent="0.35">
      <c r="E134" t="s">
        <v>306</v>
      </c>
      <c r="F134" t="s">
        <v>521</v>
      </c>
      <c r="G134" t="s">
        <v>300</v>
      </c>
      <c r="H134" t="s">
        <v>361</v>
      </c>
      <c r="I134">
        <v>0</v>
      </c>
      <c r="J134" t="s">
        <v>50</v>
      </c>
      <c r="O134" t="s">
        <v>306</v>
      </c>
      <c r="T134" t="s">
        <v>306</v>
      </c>
      <c r="U134" t="s">
        <v>751</v>
      </c>
      <c r="V134">
        <v>4574748</v>
      </c>
      <c r="W134" t="s">
        <v>346</v>
      </c>
      <c r="X134">
        <v>0.02</v>
      </c>
      <c r="Y134" t="s">
        <v>50</v>
      </c>
      <c r="AD134" t="s">
        <v>306</v>
      </c>
      <c r="AE134" t="s">
        <v>1040</v>
      </c>
      <c r="AF134">
        <v>4232927</v>
      </c>
      <c r="AG134" t="s">
        <v>346</v>
      </c>
      <c r="AH134">
        <v>0</v>
      </c>
      <c r="AI134" t="s">
        <v>323</v>
      </c>
      <c r="AN134" t="s">
        <v>306</v>
      </c>
      <c r="AO134" t="s">
        <v>1034</v>
      </c>
      <c r="AP134">
        <v>4256960</v>
      </c>
      <c r="AQ134" t="s">
        <v>346</v>
      </c>
      <c r="AR134">
        <v>0.01</v>
      </c>
      <c r="AS134" t="s">
        <v>2183</v>
      </c>
      <c r="AX134" t="s">
        <v>306</v>
      </c>
      <c r="BC134" t="s">
        <v>306</v>
      </c>
      <c r="BD134" t="s">
        <v>465</v>
      </c>
      <c r="BE134">
        <v>4119440</v>
      </c>
      <c r="BF134" t="s">
        <v>346</v>
      </c>
      <c r="BG134">
        <v>0.04</v>
      </c>
      <c r="BH134" t="s">
        <v>53</v>
      </c>
      <c r="BI134" t="s">
        <v>520</v>
      </c>
      <c r="BJ134">
        <v>103661</v>
      </c>
      <c r="BK134" t="s">
        <v>346</v>
      </c>
      <c r="BL134">
        <v>0.01</v>
      </c>
      <c r="BM134" t="s">
        <v>53</v>
      </c>
      <c r="BN134" t="s">
        <v>894</v>
      </c>
      <c r="BO134">
        <v>4139629</v>
      </c>
      <c r="BP134" t="s">
        <v>346</v>
      </c>
      <c r="BQ134">
        <v>0.01</v>
      </c>
      <c r="BR134" t="s">
        <v>2181</v>
      </c>
      <c r="BS134" t="s">
        <v>785</v>
      </c>
      <c r="BT134">
        <v>4139950</v>
      </c>
      <c r="BU134" t="s">
        <v>346</v>
      </c>
      <c r="BV134">
        <v>0.02</v>
      </c>
      <c r="BW134" t="s">
        <v>50</v>
      </c>
      <c r="BX134" t="s">
        <v>751</v>
      </c>
      <c r="BY134">
        <v>4574748</v>
      </c>
      <c r="BZ134" t="s">
        <v>346</v>
      </c>
      <c r="CA134">
        <v>0.02</v>
      </c>
      <c r="CB134" t="s">
        <v>50</v>
      </c>
      <c r="CC134" t="s">
        <v>1651</v>
      </c>
      <c r="CD134">
        <v>8354360</v>
      </c>
      <c r="CE134" t="s">
        <v>366</v>
      </c>
      <c r="CF134">
        <v>0.03</v>
      </c>
      <c r="CG134" t="s">
        <v>114</v>
      </c>
      <c r="CH134" t="s">
        <v>1034</v>
      </c>
      <c r="CI134">
        <v>4256960</v>
      </c>
      <c r="CJ134" t="s">
        <v>346</v>
      </c>
      <c r="CK134">
        <v>0.01</v>
      </c>
      <c r="CL134" t="s">
        <v>2183</v>
      </c>
      <c r="CM134" t="s">
        <v>839</v>
      </c>
      <c r="CN134">
        <v>5759900</v>
      </c>
      <c r="CO134" t="s">
        <v>346</v>
      </c>
      <c r="CP134">
        <v>0.03</v>
      </c>
      <c r="CQ134" t="s">
        <v>313</v>
      </c>
      <c r="CV134" t="s">
        <v>306</v>
      </c>
      <c r="DA134" t="s">
        <v>306</v>
      </c>
      <c r="DB134" t="s">
        <v>465</v>
      </c>
      <c r="DC134">
        <v>4119440</v>
      </c>
      <c r="DD134" t="s">
        <v>346</v>
      </c>
      <c r="DE134">
        <v>0.04</v>
      </c>
      <c r="DF134" t="s">
        <v>53</v>
      </c>
      <c r="DK134" t="s">
        <v>306</v>
      </c>
      <c r="DL134" t="s">
        <v>465</v>
      </c>
      <c r="DM134">
        <v>4119440</v>
      </c>
      <c r="DN134" t="s">
        <v>346</v>
      </c>
      <c r="DO134">
        <v>0.04</v>
      </c>
      <c r="DP134" t="s">
        <v>53</v>
      </c>
      <c r="DU134" t="s">
        <v>306</v>
      </c>
      <c r="DV134" t="s">
        <v>413</v>
      </c>
      <c r="DW134">
        <v>4114882</v>
      </c>
      <c r="DX134" t="s">
        <v>346</v>
      </c>
      <c r="DY134">
        <v>0</v>
      </c>
      <c r="DZ134" t="s">
        <v>80</v>
      </c>
      <c r="EA134" t="s">
        <v>1651</v>
      </c>
      <c r="EB134">
        <v>8354360</v>
      </c>
      <c r="EC134" t="s">
        <v>366</v>
      </c>
      <c r="ED134">
        <v>0.03</v>
      </c>
      <c r="EE134" t="s">
        <v>114</v>
      </c>
      <c r="EF134" t="s">
        <v>465</v>
      </c>
      <c r="EG134">
        <v>4119440</v>
      </c>
      <c r="EH134" t="s">
        <v>346</v>
      </c>
      <c r="EI134">
        <v>0.04</v>
      </c>
      <c r="EJ134" t="s">
        <v>53</v>
      </c>
      <c r="EO134" t="s">
        <v>306</v>
      </c>
      <c r="EP134" t="s">
        <v>1478</v>
      </c>
      <c r="EQ134">
        <v>4339354</v>
      </c>
      <c r="ER134" t="s">
        <v>346</v>
      </c>
      <c r="ES134">
        <v>0</v>
      </c>
      <c r="ET134" t="s">
        <v>53</v>
      </c>
      <c r="EY134" t="s">
        <v>306</v>
      </c>
      <c r="FD134" t="s">
        <v>306</v>
      </c>
      <c r="FI134" t="s">
        <v>306</v>
      </c>
      <c r="FJ134" t="s">
        <v>475</v>
      </c>
      <c r="FK134">
        <v>4115935</v>
      </c>
      <c r="FL134" t="s">
        <v>346</v>
      </c>
      <c r="FM134">
        <v>0</v>
      </c>
      <c r="FN134" t="s">
        <v>53</v>
      </c>
      <c r="FS134" t="s">
        <v>306</v>
      </c>
      <c r="FX134" t="s">
        <v>306</v>
      </c>
      <c r="FY134" t="s">
        <v>465</v>
      </c>
      <c r="FZ134">
        <v>4119440</v>
      </c>
      <c r="GA134" t="s">
        <v>346</v>
      </c>
      <c r="GB134">
        <v>0.04</v>
      </c>
      <c r="GC134" t="s">
        <v>53</v>
      </c>
      <c r="GH134" t="s">
        <v>306</v>
      </c>
      <c r="GM134" t="s">
        <v>306</v>
      </c>
      <c r="GN134" t="s">
        <v>475</v>
      </c>
      <c r="GO134">
        <v>4115935</v>
      </c>
      <c r="GP134" t="s">
        <v>346</v>
      </c>
      <c r="GQ134">
        <v>0</v>
      </c>
      <c r="GR134" t="s">
        <v>53</v>
      </c>
      <c r="GS134" t="s">
        <v>894</v>
      </c>
      <c r="GT134">
        <v>4139629</v>
      </c>
      <c r="GU134" t="s">
        <v>346</v>
      </c>
      <c r="GV134">
        <v>0.01</v>
      </c>
      <c r="GW134" t="s">
        <v>2181</v>
      </c>
      <c r="GX134" t="s">
        <v>1651</v>
      </c>
      <c r="GY134">
        <v>8354360</v>
      </c>
      <c r="GZ134" t="s">
        <v>366</v>
      </c>
      <c r="HA134">
        <v>0.03</v>
      </c>
      <c r="HB134" t="s">
        <v>114</v>
      </c>
      <c r="HG134" t="s">
        <v>306</v>
      </c>
    </row>
    <row r="135" spans="5:215" x14ac:dyDescent="0.35">
      <c r="E135" t="s">
        <v>306</v>
      </c>
      <c r="F135" t="s">
        <v>522</v>
      </c>
      <c r="G135">
        <v>4118373</v>
      </c>
      <c r="H135" t="s">
        <v>346</v>
      </c>
      <c r="I135">
        <v>0</v>
      </c>
      <c r="J135" t="s">
        <v>53</v>
      </c>
      <c r="O135" t="s">
        <v>306</v>
      </c>
      <c r="T135" t="s">
        <v>306</v>
      </c>
      <c r="U135" t="s">
        <v>435</v>
      </c>
      <c r="V135">
        <v>109789</v>
      </c>
      <c r="W135" t="s">
        <v>346</v>
      </c>
      <c r="X135">
        <v>0.02</v>
      </c>
      <c r="Y135" t="s">
        <v>53</v>
      </c>
      <c r="AD135" t="s">
        <v>306</v>
      </c>
      <c r="AE135" t="s">
        <v>1149</v>
      </c>
      <c r="AF135">
        <v>4227239</v>
      </c>
      <c r="AG135" t="s">
        <v>346</v>
      </c>
      <c r="AH135">
        <v>0</v>
      </c>
      <c r="AI135" t="s">
        <v>2203</v>
      </c>
      <c r="AN135" t="s">
        <v>306</v>
      </c>
      <c r="AO135" t="s">
        <v>977</v>
      </c>
      <c r="AP135">
        <v>4578628</v>
      </c>
      <c r="AQ135" t="s">
        <v>346</v>
      </c>
      <c r="AR135">
        <v>0.01</v>
      </c>
      <c r="AS135" t="s">
        <v>53</v>
      </c>
      <c r="AX135" t="s">
        <v>306</v>
      </c>
      <c r="BC135" t="s">
        <v>306</v>
      </c>
      <c r="BD135" t="s">
        <v>1260</v>
      </c>
      <c r="BE135">
        <v>4139972</v>
      </c>
      <c r="BF135" t="s">
        <v>346</v>
      </c>
      <c r="BG135">
        <v>0.04</v>
      </c>
      <c r="BH135" t="s">
        <v>62</v>
      </c>
      <c r="BI135" t="s">
        <v>1038</v>
      </c>
      <c r="BJ135">
        <v>4137587</v>
      </c>
      <c r="BK135" t="s">
        <v>346</v>
      </c>
      <c r="BL135">
        <v>0.01</v>
      </c>
      <c r="BM135" t="s">
        <v>2193</v>
      </c>
      <c r="BN135" t="s">
        <v>747</v>
      </c>
      <c r="BO135">
        <v>4345964</v>
      </c>
      <c r="BP135" t="s">
        <v>346</v>
      </c>
      <c r="BQ135">
        <v>0.01</v>
      </c>
      <c r="BR135" t="s">
        <v>50</v>
      </c>
      <c r="BS135" t="s">
        <v>501</v>
      </c>
      <c r="BT135">
        <v>111359</v>
      </c>
      <c r="BU135" t="s">
        <v>346</v>
      </c>
      <c r="BV135">
        <v>0.02</v>
      </c>
      <c r="BW135" t="s">
        <v>53</v>
      </c>
      <c r="BX135" t="s">
        <v>435</v>
      </c>
      <c r="BY135">
        <v>109789</v>
      </c>
      <c r="BZ135" t="s">
        <v>346</v>
      </c>
      <c r="CA135">
        <v>0.02</v>
      </c>
      <c r="CB135" t="s">
        <v>53</v>
      </c>
      <c r="CC135" t="s">
        <v>1652</v>
      </c>
      <c r="CD135">
        <v>4550887</v>
      </c>
      <c r="CE135" t="s">
        <v>364</v>
      </c>
      <c r="CF135">
        <v>0.03</v>
      </c>
      <c r="CG135" t="s">
        <v>53</v>
      </c>
      <c r="CH135" t="s">
        <v>977</v>
      </c>
      <c r="CI135">
        <v>4578628</v>
      </c>
      <c r="CJ135" t="s">
        <v>346</v>
      </c>
      <c r="CK135">
        <v>0.01</v>
      </c>
      <c r="CL135" t="s">
        <v>53</v>
      </c>
      <c r="CM135" t="s">
        <v>1739</v>
      </c>
      <c r="CN135">
        <v>4282430</v>
      </c>
      <c r="CO135" t="s">
        <v>346</v>
      </c>
      <c r="CP135">
        <v>0.03</v>
      </c>
      <c r="CQ135" t="s">
        <v>53</v>
      </c>
      <c r="CV135" t="s">
        <v>306</v>
      </c>
      <c r="DA135" t="s">
        <v>306</v>
      </c>
      <c r="DB135" t="s">
        <v>1260</v>
      </c>
      <c r="DC135">
        <v>4139972</v>
      </c>
      <c r="DD135" t="s">
        <v>346</v>
      </c>
      <c r="DE135">
        <v>0.04</v>
      </c>
      <c r="DF135" t="s">
        <v>62</v>
      </c>
      <c r="DK135" t="s">
        <v>306</v>
      </c>
      <c r="DL135" t="s">
        <v>1260</v>
      </c>
      <c r="DM135">
        <v>4139972</v>
      </c>
      <c r="DN135" t="s">
        <v>346</v>
      </c>
      <c r="DO135">
        <v>0.04</v>
      </c>
      <c r="DP135" t="s">
        <v>62</v>
      </c>
      <c r="DU135" t="s">
        <v>306</v>
      </c>
      <c r="DV135" t="s">
        <v>925</v>
      </c>
      <c r="DW135">
        <v>4055966</v>
      </c>
      <c r="DX135" t="s">
        <v>346</v>
      </c>
      <c r="DY135">
        <v>0</v>
      </c>
      <c r="DZ135" t="s">
        <v>53</v>
      </c>
      <c r="EA135" t="s">
        <v>1652</v>
      </c>
      <c r="EB135">
        <v>4550887</v>
      </c>
      <c r="EC135" t="s">
        <v>364</v>
      </c>
      <c r="ED135">
        <v>0.03</v>
      </c>
      <c r="EE135" t="s">
        <v>53</v>
      </c>
      <c r="EF135" t="s">
        <v>1260</v>
      </c>
      <c r="EG135">
        <v>4139972</v>
      </c>
      <c r="EH135" t="s">
        <v>346</v>
      </c>
      <c r="EI135">
        <v>0.04</v>
      </c>
      <c r="EJ135" t="s">
        <v>62</v>
      </c>
      <c r="EO135" t="s">
        <v>306</v>
      </c>
      <c r="EP135" t="s">
        <v>846</v>
      </c>
      <c r="EQ135">
        <v>5855481</v>
      </c>
      <c r="ER135" t="s">
        <v>346</v>
      </c>
      <c r="ES135">
        <v>0</v>
      </c>
      <c r="ET135" t="s">
        <v>50</v>
      </c>
      <c r="EY135" t="s">
        <v>306</v>
      </c>
      <c r="FD135" t="s">
        <v>306</v>
      </c>
      <c r="FI135" t="s">
        <v>306</v>
      </c>
      <c r="FJ135" t="s">
        <v>499</v>
      </c>
      <c r="FK135">
        <v>4073190</v>
      </c>
      <c r="FL135" t="s">
        <v>346</v>
      </c>
      <c r="FM135">
        <v>0</v>
      </c>
      <c r="FN135" t="s">
        <v>53</v>
      </c>
      <c r="FS135" t="s">
        <v>306</v>
      </c>
      <c r="FX135" t="s">
        <v>306</v>
      </c>
      <c r="FY135" t="s">
        <v>1260</v>
      </c>
      <c r="FZ135">
        <v>4139972</v>
      </c>
      <c r="GA135" t="s">
        <v>346</v>
      </c>
      <c r="GB135">
        <v>0.04</v>
      </c>
      <c r="GC135" t="s">
        <v>62</v>
      </c>
      <c r="GH135" t="s">
        <v>306</v>
      </c>
      <c r="GM135" t="s">
        <v>306</v>
      </c>
      <c r="GN135" t="s">
        <v>499</v>
      </c>
      <c r="GO135">
        <v>4073190</v>
      </c>
      <c r="GP135" t="s">
        <v>346</v>
      </c>
      <c r="GQ135">
        <v>0</v>
      </c>
      <c r="GR135" t="s">
        <v>53</v>
      </c>
      <c r="GS135" t="s">
        <v>747</v>
      </c>
      <c r="GT135">
        <v>4345964</v>
      </c>
      <c r="GU135" t="s">
        <v>346</v>
      </c>
      <c r="GV135">
        <v>0.01</v>
      </c>
      <c r="GW135" t="s">
        <v>50</v>
      </c>
      <c r="GX135" t="s">
        <v>1652</v>
      </c>
      <c r="GY135">
        <v>4550887</v>
      </c>
      <c r="GZ135" t="s">
        <v>364</v>
      </c>
      <c r="HA135">
        <v>0.03</v>
      </c>
      <c r="HB135" t="s">
        <v>53</v>
      </c>
      <c r="HG135" t="s">
        <v>306</v>
      </c>
    </row>
    <row r="136" spans="5:215" x14ac:dyDescent="0.35">
      <c r="E136" t="s">
        <v>306</v>
      </c>
      <c r="F136" t="s">
        <v>523</v>
      </c>
      <c r="G136">
        <v>7060057</v>
      </c>
      <c r="H136" t="s">
        <v>346</v>
      </c>
      <c r="I136">
        <v>0</v>
      </c>
      <c r="J136" t="s">
        <v>320</v>
      </c>
      <c r="O136" t="s">
        <v>306</v>
      </c>
      <c r="T136" t="s">
        <v>306</v>
      </c>
      <c r="U136" t="s">
        <v>752</v>
      </c>
      <c r="V136">
        <v>111272</v>
      </c>
      <c r="W136" t="s">
        <v>346</v>
      </c>
      <c r="X136">
        <v>0.02</v>
      </c>
      <c r="Y136" t="s">
        <v>313</v>
      </c>
      <c r="AD136" t="s">
        <v>306</v>
      </c>
      <c r="AE136" t="s">
        <v>1150</v>
      </c>
      <c r="AF136">
        <v>4235429</v>
      </c>
      <c r="AG136" t="s">
        <v>346</v>
      </c>
      <c r="AH136">
        <v>0</v>
      </c>
      <c r="AI136" t="s">
        <v>80</v>
      </c>
      <c r="AN136" t="s">
        <v>306</v>
      </c>
      <c r="AO136" t="s">
        <v>529</v>
      </c>
      <c r="AP136">
        <v>110570</v>
      </c>
      <c r="AQ136" t="s">
        <v>346</v>
      </c>
      <c r="AR136">
        <v>0.01</v>
      </c>
      <c r="AS136" t="s">
        <v>53</v>
      </c>
      <c r="AX136" t="s">
        <v>306</v>
      </c>
      <c r="BC136" t="s">
        <v>306</v>
      </c>
      <c r="BD136" t="s">
        <v>1275</v>
      </c>
      <c r="BE136">
        <v>29629745</v>
      </c>
      <c r="BF136" t="s">
        <v>346</v>
      </c>
      <c r="BG136">
        <v>0.04</v>
      </c>
      <c r="BH136" t="s">
        <v>62</v>
      </c>
      <c r="BI136" t="s">
        <v>994</v>
      </c>
      <c r="BJ136">
        <v>19464645</v>
      </c>
      <c r="BK136" t="s">
        <v>346</v>
      </c>
      <c r="BL136">
        <v>0.01</v>
      </c>
      <c r="BM136" t="s">
        <v>321</v>
      </c>
      <c r="BN136" t="s">
        <v>666</v>
      </c>
      <c r="BO136">
        <v>4379197</v>
      </c>
      <c r="BP136" t="s">
        <v>346</v>
      </c>
      <c r="BQ136">
        <v>0.01</v>
      </c>
      <c r="BR136" t="s">
        <v>50</v>
      </c>
      <c r="BS136" t="s">
        <v>484</v>
      </c>
      <c r="BT136">
        <v>110386</v>
      </c>
      <c r="BU136" t="s">
        <v>346</v>
      </c>
      <c r="BV136">
        <v>0.02</v>
      </c>
      <c r="BW136" t="s">
        <v>53</v>
      </c>
      <c r="BX136" t="s">
        <v>752</v>
      </c>
      <c r="BY136">
        <v>111272</v>
      </c>
      <c r="BZ136" t="s">
        <v>346</v>
      </c>
      <c r="CA136">
        <v>0.02</v>
      </c>
      <c r="CB136" t="s">
        <v>313</v>
      </c>
      <c r="CC136" t="s">
        <v>492</v>
      </c>
      <c r="CD136">
        <v>110674</v>
      </c>
      <c r="CE136" t="s">
        <v>346</v>
      </c>
      <c r="CF136">
        <v>0.03</v>
      </c>
      <c r="CG136" t="s">
        <v>53</v>
      </c>
      <c r="CH136" t="s">
        <v>529</v>
      </c>
      <c r="CI136">
        <v>110570</v>
      </c>
      <c r="CJ136" t="s">
        <v>346</v>
      </c>
      <c r="CK136">
        <v>0.01</v>
      </c>
      <c r="CL136" t="s">
        <v>53</v>
      </c>
      <c r="CM136" t="s">
        <v>471</v>
      </c>
      <c r="CN136">
        <v>4102247</v>
      </c>
      <c r="CO136" t="s">
        <v>346</v>
      </c>
      <c r="CP136">
        <v>0.03</v>
      </c>
      <c r="CQ136" t="s">
        <v>53</v>
      </c>
      <c r="CV136" t="s">
        <v>306</v>
      </c>
      <c r="DA136" t="s">
        <v>306</v>
      </c>
      <c r="DB136" t="s">
        <v>1275</v>
      </c>
      <c r="DC136">
        <v>29629745</v>
      </c>
      <c r="DD136" t="s">
        <v>346</v>
      </c>
      <c r="DE136">
        <v>0.04</v>
      </c>
      <c r="DF136" t="s">
        <v>62</v>
      </c>
      <c r="DK136" t="s">
        <v>306</v>
      </c>
      <c r="DL136" t="s">
        <v>1275</v>
      </c>
      <c r="DM136">
        <v>29629745</v>
      </c>
      <c r="DN136" t="s">
        <v>346</v>
      </c>
      <c r="DO136">
        <v>0.04</v>
      </c>
      <c r="DP136" t="s">
        <v>62</v>
      </c>
      <c r="DU136" t="s">
        <v>306</v>
      </c>
      <c r="DV136" t="s">
        <v>418</v>
      </c>
      <c r="DW136">
        <v>109776</v>
      </c>
      <c r="DX136" t="s">
        <v>346</v>
      </c>
      <c r="DY136">
        <v>0</v>
      </c>
      <c r="DZ136" t="s">
        <v>53</v>
      </c>
      <c r="EA136" t="s">
        <v>492</v>
      </c>
      <c r="EB136">
        <v>110674</v>
      </c>
      <c r="EC136" t="s">
        <v>346</v>
      </c>
      <c r="ED136">
        <v>0.03</v>
      </c>
      <c r="EE136" t="s">
        <v>53</v>
      </c>
      <c r="EF136" t="s">
        <v>1275</v>
      </c>
      <c r="EG136">
        <v>29629745</v>
      </c>
      <c r="EH136" t="s">
        <v>346</v>
      </c>
      <c r="EI136">
        <v>0.04</v>
      </c>
      <c r="EJ136" t="s">
        <v>62</v>
      </c>
      <c r="EO136" t="s">
        <v>306</v>
      </c>
      <c r="EP136" t="s">
        <v>746</v>
      </c>
      <c r="EQ136">
        <v>4332537</v>
      </c>
      <c r="ER136" t="s">
        <v>346</v>
      </c>
      <c r="ES136">
        <v>0</v>
      </c>
      <c r="ET136" t="s">
        <v>50</v>
      </c>
      <c r="EY136" t="s">
        <v>306</v>
      </c>
      <c r="FD136" t="s">
        <v>306</v>
      </c>
      <c r="FI136" t="s">
        <v>306</v>
      </c>
      <c r="FJ136" t="s">
        <v>979</v>
      </c>
      <c r="FK136">
        <v>4041196</v>
      </c>
      <c r="FL136" t="s">
        <v>366</v>
      </c>
      <c r="FM136">
        <v>0</v>
      </c>
      <c r="FN136" t="s">
        <v>313</v>
      </c>
      <c r="FS136" t="s">
        <v>306</v>
      </c>
      <c r="FX136" t="s">
        <v>306</v>
      </c>
      <c r="FY136" t="s">
        <v>1275</v>
      </c>
      <c r="FZ136">
        <v>29629745</v>
      </c>
      <c r="GA136" t="s">
        <v>346</v>
      </c>
      <c r="GB136">
        <v>0.04</v>
      </c>
      <c r="GC136" t="s">
        <v>62</v>
      </c>
      <c r="GH136" t="s">
        <v>306</v>
      </c>
      <c r="GM136" t="s">
        <v>306</v>
      </c>
      <c r="GN136" t="s">
        <v>979</v>
      </c>
      <c r="GO136">
        <v>4041196</v>
      </c>
      <c r="GP136" t="s">
        <v>366</v>
      </c>
      <c r="GQ136">
        <v>0</v>
      </c>
      <c r="GR136" t="s">
        <v>313</v>
      </c>
      <c r="GS136" t="s">
        <v>666</v>
      </c>
      <c r="GT136">
        <v>4379197</v>
      </c>
      <c r="GU136" t="s">
        <v>346</v>
      </c>
      <c r="GV136">
        <v>0.01</v>
      </c>
      <c r="GW136" t="s">
        <v>50</v>
      </c>
      <c r="GX136" t="s">
        <v>492</v>
      </c>
      <c r="GY136">
        <v>110674</v>
      </c>
      <c r="GZ136" t="s">
        <v>346</v>
      </c>
      <c r="HA136">
        <v>0.03</v>
      </c>
      <c r="HB136" t="s">
        <v>53</v>
      </c>
      <c r="HG136" t="s">
        <v>306</v>
      </c>
    </row>
    <row r="137" spans="5:215" x14ac:dyDescent="0.35">
      <c r="E137" t="s">
        <v>306</v>
      </c>
      <c r="F137" t="s">
        <v>524</v>
      </c>
      <c r="G137">
        <v>4147331</v>
      </c>
      <c r="H137" t="s">
        <v>346</v>
      </c>
      <c r="I137">
        <v>0</v>
      </c>
      <c r="J137" t="s">
        <v>313</v>
      </c>
      <c r="O137" t="s">
        <v>306</v>
      </c>
      <c r="T137" t="s">
        <v>306</v>
      </c>
      <c r="U137" t="s">
        <v>753</v>
      </c>
      <c r="V137">
        <v>10499632</v>
      </c>
      <c r="W137" t="s">
        <v>363</v>
      </c>
      <c r="X137">
        <v>0.02</v>
      </c>
      <c r="Y137" t="s">
        <v>313</v>
      </c>
      <c r="AD137" t="s">
        <v>306</v>
      </c>
      <c r="AE137" t="s">
        <v>1151</v>
      </c>
      <c r="AF137">
        <v>5847707</v>
      </c>
      <c r="AG137" t="s">
        <v>346</v>
      </c>
      <c r="AH137">
        <v>0</v>
      </c>
      <c r="AI137" t="s">
        <v>80</v>
      </c>
      <c r="AN137" t="s">
        <v>306</v>
      </c>
      <c r="AO137" t="s">
        <v>1298</v>
      </c>
      <c r="AP137">
        <v>112262714</v>
      </c>
      <c r="AQ137" t="s">
        <v>346</v>
      </c>
      <c r="AR137">
        <v>0.01</v>
      </c>
      <c r="AS137" t="s">
        <v>306</v>
      </c>
      <c r="AX137" t="s">
        <v>306</v>
      </c>
      <c r="BC137" t="s">
        <v>306</v>
      </c>
      <c r="BD137" t="s">
        <v>355</v>
      </c>
      <c r="BE137">
        <v>111074</v>
      </c>
      <c r="BF137" t="s">
        <v>346</v>
      </c>
      <c r="BG137">
        <v>0.04</v>
      </c>
      <c r="BH137" t="s">
        <v>53</v>
      </c>
      <c r="BI137" t="s">
        <v>851</v>
      </c>
      <c r="BJ137">
        <v>4405395</v>
      </c>
      <c r="BK137" t="s">
        <v>346</v>
      </c>
      <c r="BL137">
        <v>0.01</v>
      </c>
      <c r="BM137" t="s">
        <v>313</v>
      </c>
      <c r="BN137" t="s">
        <v>751</v>
      </c>
      <c r="BO137">
        <v>4574748</v>
      </c>
      <c r="BP137" t="s">
        <v>346</v>
      </c>
      <c r="BQ137">
        <v>0.01</v>
      </c>
      <c r="BR137" t="s">
        <v>50</v>
      </c>
      <c r="BS137" t="s">
        <v>973</v>
      </c>
      <c r="BT137">
        <v>101449874</v>
      </c>
      <c r="BU137" t="s">
        <v>346</v>
      </c>
      <c r="BV137">
        <v>0.02</v>
      </c>
      <c r="BW137" t="s">
        <v>2194</v>
      </c>
      <c r="BX137" t="s">
        <v>753</v>
      </c>
      <c r="BY137">
        <v>10499632</v>
      </c>
      <c r="BZ137" t="s">
        <v>363</v>
      </c>
      <c r="CA137">
        <v>0.02</v>
      </c>
      <c r="CB137" t="s">
        <v>313</v>
      </c>
      <c r="CC137" t="s">
        <v>1653</v>
      </c>
      <c r="CD137">
        <v>16908562</v>
      </c>
      <c r="CE137" t="s">
        <v>346</v>
      </c>
      <c r="CF137">
        <v>0.03</v>
      </c>
      <c r="CG137" t="s">
        <v>114</v>
      </c>
      <c r="CH137" t="s">
        <v>1298</v>
      </c>
      <c r="CI137">
        <v>112262714</v>
      </c>
      <c r="CJ137" t="s">
        <v>346</v>
      </c>
      <c r="CK137">
        <v>0.01</v>
      </c>
      <c r="CL137" t="s">
        <v>306</v>
      </c>
      <c r="CM137" t="s">
        <v>1971</v>
      </c>
      <c r="CN137">
        <v>7609147</v>
      </c>
      <c r="CO137" t="s">
        <v>346</v>
      </c>
      <c r="CP137">
        <v>0.03</v>
      </c>
      <c r="CQ137" t="s">
        <v>2184</v>
      </c>
      <c r="CV137" t="s">
        <v>306</v>
      </c>
      <c r="DA137" t="s">
        <v>306</v>
      </c>
      <c r="DB137" t="s">
        <v>355</v>
      </c>
      <c r="DC137">
        <v>111074</v>
      </c>
      <c r="DD137" t="s">
        <v>346</v>
      </c>
      <c r="DE137">
        <v>0.04</v>
      </c>
      <c r="DF137" t="s">
        <v>53</v>
      </c>
      <c r="DK137" t="s">
        <v>306</v>
      </c>
      <c r="DL137" t="s">
        <v>355</v>
      </c>
      <c r="DM137">
        <v>111074</v>
      </c>
      <c r="DN137" t="s">
        <v>346</v>
      </c>
      <c r="DO137">
        <v>0.04</v>
      </c>
      <c r="DP137" t="s">
        <v>53</v>
      </c>
      <c r="DU137" t="s">
        <v>306</v>
      </c>
      <c r="DZ137" t="s">
        <v>306</v>
      </c>
      <c r="EA137" t="s">
        <v>1653</v>
      </c>
      <c r="EB137">
        <v>16908562</v>
      </c>
      <c r="EC137" t="s">
        <v>346</v>
      </c>
      <c r="ED137">
        <v>0.03</v>
      </c>
      <c r="EE137" t="s">
        <v>114</v>
      </c>
      <c r="EF137" t="s">
        <v>355</v>
      </c>
      <c r="EG137">
        <v>111074</v>
      </c>
      <c r="EH137" t="s">
        <v>346</v>
      </c>
      <c r="EI137">
        <v>0.04</v>
      </c>
      <c r="EJ137" t="s">
        <v>53</v>
      </c>
      <c r="EO137" t="s">
        <v>306</v>
      </c>
      <c r="EP137" t="s">
        <v>405</v>
      </c>
      <c r="EQ137">
        <v>4035990</v>
      </c>
      <c r="ER137" t="s">
        <v>346</v>
      </c>
      <c r="ES137">
        <v>0</v>
      </c>
      <c r="ET137" t="s">
        <v>80</v>
      </c>
      <c r="EY137" t="s">
        <v>306</v>
      </c>
      <c r="FD137" t="s">
        <v>306</v>
      </c>
      <c r="FI137" t="s">
        <v>306</v>
      </c>
      <c r="FJ137" t="s">
        <v>451</v>
      </c>
      <c r="FK137">
        <v>5747632</v>
      </c>
      <c r="FL137" t="s">
        <v>346</v>
      </c>
      <c r="FM137">
        <v>0</v>
      </c>
      <c r="FN137" t="s">
        <v>80</v>
      </c>
      <c r="FS137" t="s">
        <v>306</v>
      </c>
      <c r="FX137" t="s">
        <v>306</v>
      </c>
      <c r="FY137" t="s">
        <v>355</v>
      </c>
      <c r="FZ137">
        <v>111074</v>
      </c>
      <c r="GA137" t="s">
        <v>346</v>
      </c>
      <c r="GB137">
        <v>0.04</v>
      </c>
      <c r="GC137" t="s">
        <v>53</v>
      </c>
      <c r="GH137" t="s">
        <v>306</v>
      </c>
      <c r="GM137" t="s">
        <v>306</v>
      </c>
      <c r="GN137" t="s">
        <v>451</v>
      </c>
      <c r="GO137">
        <v>5747632</v>
      </c>
      <c r="GP137" t="s">
        <v>346</v>
      </c>
      <c r="GQ137">
        <v>0</v>
      </c>
      <c r="GR137" t="s">
        <v>80</v>
      </c>
      <c r="GS137" t="s">
        <v>751</v>
      </c>
      <c r="GT137">
        <v>4574748</v>
      </c>
      <c r="GU137" t="s">
        <v>346</v>
      </c>
      <c r="GV137">
        <v>0.01</v>
      </c>
      <c r="GW137" t="s">
        <v>50</v>
      </c>
      <c r="GX137" t="s">
        <v>1653</v>
      </c>
      <c r="GY137">
        <v>16908562</v>
      </c>
      <c r="GZ137" t="s">
        <v>346</v>
      </c>
      <c r="HA137">
        <v>0.03</v>
      </c>
      <c r="HB137" t="s">
        <v>114</v>
      </c>
      <c r="HG137" t="s">
        <v>306</v>
      </c>
    </row>
    <row r="138" spans="5:215" x14ac:dyDescent="0.35">
      <c r="E138" t="s">
        <v>306</v>
      </c>
      <c r="F138" t="s">
        <v>525</v>
      </c>
      <c r="G138">
        <v>4227087</v>
      </c>
      <c r="H138" t="s">
        <v>346</v>
      </c>
      <c r="I138">
        <v>0</v>
      </c>
      <c r="J138" t="s">
        <v>2185</v>
      </c>
      <c r="O138" t="s">
        <v>306</v>
      </c>
      <c r="T138" t="s">
        <v>306</v>
      </c>
      <c r="U138" t="s">
        <v>560</v>
      </c>
      <c r="V138">
        <v>4095848</v>
      </c>
      <c r="W138" t="s">
        <v>346</v>
      </c>
      <c r="X138">
        <v>0.02</v>
      </c>
      <c r="Y138" t="s">
        <v>53</v>
      </c>
      <c r="AD138" t="s">
        <v>306</v>
      </c>
      <c r="AE138" t="s">
        <v>1152</v>
      </c>
      <c r="AF138">
        <v>4789854</v>
      </c>
      <c r="AG138" t="s">
        <v>346</v>
      </c>
      <c r="AH138">
        <v>0</v>
      </c>
      <c r="AI138" t="s">
        <v>2187</v>
      </c>
      <c r="AN138" t="s">
        <v>306</v>
      </c>
      <c r="AO138" t="s">
        <v>1049</v>
      </c>
      <c r="AP138">
        <v>5767537</v>
      </c>
      <c r="AQ138" t="s">
        <v>365</v>
      </c>
      <c r="AR138">
        <v>0.01</v>
      </c>
      <c r="AS138" t="s">
        <v>320</v>
      </c>
      <c r="AX138" t="s">
        <v>306</v>
      </c>
      <c r="BC138" t="s">
        <v>306</v>
      </c>
      <c r="BD138" t="s">
        <v>477</v>
      </c>
      <c r="BE138">
        <v>4119790</v>
      </c>
      <c r="BF138" t="s">
        <v>346</v>
      </c>
      <c r="BG138">
        <v>0.04</v>
      </c>
      <c r="BH138" t="s">
        <v>53</v>
      </c>
      <c r="BI138" t="s">
        <v>425</v>
      </c>
      <c r="BJ138">
        <v>4137704</v>
      </c>
      <c r="BK138" t="s">
        <v>346</v>
      </c>
      <c r="BL138">
        <v>0.01</v>
      </c>
      <c r="BM138" t="s">
        <v>304</v>
      </c>
      <c r="BN138" t="s">
        <v>786</v>
      </c>
      <c r="BO138">
        <v>4954984</v>
      </c>
      <c r="BP138" t="s">
        <v>346</v>
      </c>
      <c r="BQ138">
        <v>0.01</v>
      </c>
      <c r="BR138" t="s">
        <v>50</v>
      </c>
      <c r="BS138" t="s">
        <v>393</v>
      </c>
      <c r="BT138">
        <v>4723508</v>
      </c>
      <c r="BU138" t="s">
        <v>346</v>
      </c>
      <c r="BV138">
        <v>0.02</v>
      </c>
      <c r="BW138" t="s">
        <v>313</v>
      </c>
      <c r="BX138" t="s">
        <v>560</v>
      </c>
      <c r="BY138">
        <v>4095848</v>
      </c>
      <c r="BZ138" t="s">
        <v>346</v>
      </c>
      <c r="CA138">
        <v>0.02</v>
      </c>
      <c r="CB138" t="s">
        <v>53</v>
      </c>
      <c r="CC138" t="s">
        <v>1654</v>
      </c>
      <c r="CD138">
        <v>4112715</v>
      </c>
      <c r="CE138" t="s">
        <v>346</v>
      </c>
      <c r="CF138">
        <v>0.03</v>
      </c>
      <c r="CG138" t="s">
        <v>53</v>
      </c>
      <c r="CH138" t="s">
        <v>1049</v>
      </c>
      <c r="CI138">
        <v>5767537</v>
      </c>
      <c r="CJ138" t="s">
        <v>365</v>
      </c>
      <c r="CK138">
        <v>0.01</v>
      </c>
      <c r="CL138" t="s">
        <v>320</v>
      </c>
      <c r="CM138" t="s">
        <v>1972</v>
      </c>
      <c r="CN138">
        <v>16894363</v>
      </c>
      <c r="CO138" t="s">
        <v>364</v>
      </c>
      <c r="CP138">
        <v>0.03</v>
      </c>
      <c r="CQ138" t="s">
        <v>53</v>
      </c>
      <c r="CV138" t="s">
        <v>306</v>
      </c>
      <c r="DA138" t="s">
        <v>306</v>
      </c>
      <c r="DB138" t="s">
        <v>477</v>
      </c>
      <c r="DC138">
        <v>4119790</v>
      </c>
      <c r="DD138" t="s">
        <v>346</v>
      </c>
      <c r="DE138">
        <v>0.04</v>
      </c>
      <c r="DF138" t="s">
        <v>53</v>
      </c>
      <c r="DK138" t="s">
        <v>306</v>
      </c>
      <c r="DL138" t="s">
        <v>477</v>
      </c>
      <c r="DM138">
        <v>4119790</v>
      </c>
      <c r="DN138" t="s">
        <v>346</v>
      </c>
      <c r="DO138">
        <v>0.04</v>
      </c>
      <c r="DP138" t="s">
        <v>53</v>
      </c>
      <c r="DU138" t="s">
        <v>306</v>
      </c>
      <c r="DZ138" t="s">
        <v>306</v>
      </c>
      <c r="EA138" t="s">
        <v>1654</v>
      </c>
      <c r="EB138">
        <v>4112715</v>
      </c>
      <c r="EC138" t="s">
        <v>346</v>
      </c>
      <c r="ED138">
        <v>0.03</v>
      </c>
      <c r="EE138" t="s">
        <v>53</v>
      </c>
      <c r="EF138" t="s">
        <v>477</v>
      </c>
      <c r="EG138">
        <v>4119790</v>
      </c>
      <c r="EH138" t="s">
        <v>346</v>
      </c>
      <c r="EI138">
        <v>0.04</v>
      </c>
      <c r="EJ138" t="s">
        <v>53</v>
      </c>
      <c r="EO138" t="s">
        <v>306</v>
      </c>
      <c r="EP138" t="s">
        <v>897</v>
      </c>
      <c r="EQ138">
        <v>19438254</v>
      </c>
      <c r="ER138" t="s">
        <v>346</v>
      </c>
      <c r="ES138">
        <v>0</v>
      </c>
      <c r="ET138" t="s">
        <v>50</v>
      </c>
      <c r="EY138" t="s">
        <v>306</v>
      </c>
      <c r="FD138" t="s">
        <v>306</v>
      </c>
      <c r="FI138" t="s">
        <v>306</v>
      </c>
      <c r="FJ138" t="s">
        <v>823</v>
      </c>
      <c r="FK138">
        <v>4212913</v>
      </c>
      <c r="FL138" t="s">
        <v>346</v>
      </c>
      <c r="FM138">
        <v>0</v>
      </c>
      <c r="FN138" t="s">
        <v>2191</v>
      </c>
      <c r="FS138" t="s">
        <v>306</v>
      </c>
      <c r="FX138" t="s">
        <v>306</v>
      </c>
      <c r="FY138" t="s">
        <v>477</v>
      </c>
      <c r="FZ138">
        <v>4119790</v>
      </c>
      <c r="GA138" t="s">
        <v>346</v>
      </c>
      <c r="GB138">
        <v>0.04</v>
      </c>
      <c r="GC138" t="s">
        <v>53</v>
      </c>
      <c r="GH138" t="s">
        <v>306</v>
      </c>
      <c r="GM138" t="s">
        <v>306</v>
      </c>
      <c r="GN138" t="s">
        <v>823</v>
      </c>
      <c r="GO138">
        <v>4212913</v>
      </c>
      <c r="GP138" t="s">
        <v>346</v>
      </c>
      <c r="GQ138">
        <v>0</v>
      </c>
      <c r="GR138" t="s">
        <v>2191</v>
      </c>
      <c r="GS138" t="s">
        <v>786</v>
      </c>
      <c r="GT138">
        <v>4954984</v>
      </c>
      <c r="GU138" t="s">
        <v>346</v>
      </c>
      <c r="GV138">
        <v>0.01</v>
      </c>
      <c r="GW138" t="s">
        <v>50</v>
      </c>
      <c r="GX138" t="s">
        <v>1654</v>
      </c>
      <c r="GY138">
        <v>4112715</v>
      </c>
      <c r="GZ138" t="s">
        <v>346</v>
      </c>
      <c r="HA138">
        <v>0.03</v>
      </c>
      <c r="HB138" t="s">
        <v>53</v>
      </c>
      <c r="HG138" t="s">
        <v>306</v>
      </c>
    </row>
    <row r="139" spans="5:215" x14ac:dyDescent="0.35">
      <c r="E139" t="s">
        <v>306</v>
      </c>
      <c r="F139" t="s">
        <v>526</v>
      </c>
      <c r="G139">
        <v>4248288</v>
      </c>
      <c r="H139" t="s">
        <v>346</v>
      </c>
      <c r="I139">
        <v>0</v>
      </c>
      <c r="J139" t="s">
        <v>80</v>
      </c>
      <c r="O139" t="s">
        <v>306</v>
      </c>
      <c r="T139" t="s">
        <v>306</v>
      </c>
      <c r="U139" t="s">
        <v>543</v>
      </c>
      <c r="V139">
        <v>4138118</v>
      </c>
      <c r="W139" t="s">
        <v>346</v>
      </c>
      <c r="X139">
        <v>0.02</v>
      </c>
      <c r="Y139" t="s">
        <v>326</v>
      </c>
      <c r="AD139" t="s">
        <v>306</v>
      </c>
      <c r="AE139" t="s">
        <v>1153</v>
      </c>
      <c r="AF139">
        <v>4929448</v>
      </c>
      <c r="AG139" t="s">
        <v>346</v>
      </c>
      <c r="AH139">
        <v>0</v>
      </c>
      <c r="AI139" t="s">
        <v>80</v>
      </c>
      <c r="AN139" t="s">
        <v>306</v>
      </c>
      <c r="AO139" t="s">
        <v>923</v>
      </c>
      <c r="AP139">
        <v>4119489</v>
      </c>
      <c r="AQ139" t="s">
        <v>346</v>
      </c>
      <c r="AR139">
        <v>0.01</v>
      </c>
      <c r="AS139" t="s">
        <v>53</v>
      </c>
      <c r="AX139" t="s">
        <v>306</v>
      </c>
      <c r="BC139" t="s">
        <v>306</v>
      </c>
      <c r="BD139" t="s">
        <v>1433</v>
      </c>
      <c r="BE139">
        <v>4139773</v>
      </c>
      <c r="BF139" t="s">
        <v>346</v>
      </c>
      <c r="BG139">
        <v>0.04</v>
      </c>
      <c r="BH139" t="s">
        <v>313</v>
      </c>
      <c r="BI139" t="s">
        <v>499</v>
      </c>
      <c r="BJ139">
        <v>4073190</v>
      </c>
      <c r="BK139" t="s">
        <v>346</v>
      </c>
      <c r="BL139">
        <v>0.01</v>
      </c>
      <c r="BM139" t="s">
        <v>53</v>
      </c>
      <c r="BN139" t="s">
        <v>774</v>
      </c>
      <c r="BO139">
        <v>20057752</v>
      </c>
      <c r="BP139" t="s">
        <v>346</v>
      </c>
      <c r="BQ139">
        <v>0.01</v>
      </c>
      <c r="BR139" t="s">
        <v>50</v>
      </c>
      <c r="BS139" t="s">
        <v>738</v>
      </c>
      <c r="BT139">
        <v>4138005</v>
      </c>
      <c r="BU139" t="s">
        <v>369</v>
      </c>
      <c r="BV139">
        <v>0.02</v>
      </c>
      <c r="BW139" t="s">
        <v>326</v>
      </c>
      <c r="BX139" t="s">
        <v>543</v>
      </c>
      <c r="BY139">
        <v>4138118</v>
      </c>
      <c r="BZ139" t="s">
        <v>346</v>
      </c>
      <c r="CA139">
        <v>0.02</v>
      </c>
      <c r="CB139" t="s">
        <v>326</v>
      </c>
      <c r="CC139" t="s">
        <v>1655</v>
      </c>
      <c r="CD139">
        <v>4026057</v>
      </c>
      <c r="CE139" t="s">
        <v>346</v>
      </c>
      <c r="CF139">
        <v>0.03</v>
      </c>
      <c r="CG139" t="s">
        <v>53</v>
      </c>
      <c r="CH139" t="s">
        <v>923</v>
      </c>
      <c r="CI139">
        <v>4119489</v>
      </c>
      <c r="CJ139" t="s">
        <v>346</v>
      </c>
      <c r="CK139">
        <v>0.01</v>
      </c>
      <c r="CL139" t="s">
        <v>53</v>
      </c>
      <c r="CM139" t="s">
        <v>1973</v>
      </c>
      <c r="CN139">
        <v>4251523</v>
      </c>
      <c r="CO139" t="s">
        <v>364</v>
      </c>
      <c r="CP139">
        <v>0.03</v>
      </c>
      <c r="CQ139" t="s">
        <v>53</v>
      </c>
      <c r="CV139" t="s">
        <v>306</v>
      </c>
      <c r="DA139" t="s">
        <v>306</v>
      </c>
      <c r="DB139" t="s">
        <v>1433</v>
      </c>
      <c r="DC139">
        <v>4139773</v>
      </c>
      <c r="DD139" t="s">
        <v>346</v>
      </c>
      <c r="DE139">
        <v>0.04</v>
      </c>
      <c r="DF139" t="s">
        <v>313</v>
      </c>
      <c r="DK139" t="s">
        <v>306</v>
      </c>
      <c r="DL139" t="s">
        <v>1433</v>
      </c>
      <c r="DM139">
        <v>4139773</v>
      </c>
      <c r="DN139" t="s">
        <v>346</v>
      </c>
      <c r="DO139">
        <v>0.04</v>
      </c>
      <c r="DP139" t="s">
        <v>313</v>
      </c>
      <c r="DU139" t="s">
        <v>306</v>
      </c>
      <c r="DZ139" t="s">
        <v>306</v>
      </c>
      <c r="EA139" t="s">
        <v>1655</v>
      </c>
      <c r="EB139">
        <v>4026057</v>
      </c>
      <c r="EC139" t="s">
        <v>346</v>
      </c>
      <c r="ED139">
        <v>0.03</v>
      </c>
      <c r="EE139" t="s">
        <v>53</v>
      </c>
      <c r="EF139" t="s">
        <v>1433</v>
      </c>
      <c r="EG139">
        <v>4139773</v>
      </c>
      <c r="EH139" t="s">
        <v>346</v>
      </c>
      <c r="EI139">
        <v>0.04</v>
      </c>
      <c r="EJ139" t="s">
        <v>313</v>
      </c>
      <c r="EO139" t="s">
        <v>306</v>
      </c>
      <c r="EP139" t="s">
        <v>656</v>
      </c>
      <c r="EQ139">
        <v>5826475</v>
      </c>
      <c r="ER139" t="s">
        <v>346</v>
      </c>
      <c r="ES139">
        <v>0</v>
      </c>
      <c r="ET139" t="s">
        <v>50</v>
      </c>
      <c r="EY139" t="s">
        <v>306</v>
      </c>
      <c r="FD139" t="s">
        <v>306</v>
      </c>
      <c r="FI139" t="s">
        <v>306</v>
      </c>
      <c r="FJ139" t="s">
        <v>589</v>
      </c>
      <c r="FK139">
        <v>4140617</v>
      </c>
      <c r="FL139" t="s">
        <v>346</v>
      </c>
      <c r="FM139">
        <v>0</v>
      </c>
      <c r="FN139" t="s">
        <v>320</v>
      </c>
      <c r="FS139" t="s">
        <v>306</v>
      </c>
      <c r="FX139" t="s">
        <v>306</v>
      </c>
      <c r="FY139" t="s">
        <v>1433</v>
      </c>
      <c r="FZ139">
        <v>4139773</v>
      </c>
      <c r="GA139" t="s">
        <v>346</v>
      </c>
      <c r="GB139">
        <v>0.04</v>
      </c>
      <c r="GC139" t="s">
        <v>313</v>
      </c>
      <c r="GH139" t="s">
        <v>306</v>
      </c>
      <c r="GM139" t="s">
        <v>306</v>
      </c>
      <c r="GN139" t="s">
        <v>589</v>
      </c>
      <c r="GO139">
        <v>4140617</v>
      </c>
      <c r="GP139" t="s">
        <v>346</v>
      </c>
      <c r="GQ139">
        <v>0</v>
      </c>
      <c r="GR139" t="s">
        <v>320</v>
      </c>
      <c r="GS139" t="s">
        <v>774</v>
      </c>
      <c r="GT139">
        <v>20057752</v>
      </c>
      <c r="GU139" t="s">
        <v>346</v>
      </c>
      <c r="GV139">
        <v>0.01</v>
      </c>
      <c r="GW139" t="s">
        <v>50</v>
      </c>
      <c r="GX139" t="s">
        <v>1655</v>
      </c>
      <c r="GY139">
        <v>4026057</v>
      </c>
      <c r="GZ139" t="s">
        <v>346</v>
      </c>
      <c r="HA139">
        <v>0.03</v>
      </c>
      <c r="HB139" t="s">
        <v>53</v>
      </c>
      <c r="HG139" t="s">
        <v>306</v>
      </c>
    </row>
    <row r="140" spans="5:215" x14ac:dyDescent="0.35">
      <c r="E140" t="s">
        <v>306</v>
      </c>
      <c r="F140" t="s">
        <v>527</v>
      </c>
      <c r="G140">
        <v>4212947</v>
      </c>
      <c r="H140" t="s">
        <v>346</v>
      </c>
      <c r="I140">
        <v>0</v>
      </c>
      <c r="J140" t="s">
        <v>304</v>
      </c>
      <c r="O140" t="s">
        <v>306</v>
      </c>
      <c r="T140" t="s">
        <v>306</v>
      </c>
      <c r="U140" t="s">
        <v>754</v>
      </c>
      <c r="V140">
        <v>11183019</v>
      </c>
      <c r="W140" t="s">
        <v>346</v>
      </c>
      <c r="X140">
        <v>0.02</v>
      </c>
      <c r="Y140" t="s">
        <v>50</v>
      </c>
      <c r="AD140" t="s">
        <v>306</v>
      </c>
      <c r="AE140" t="s">
        <v>1154</v>
      </c>
      <c r="AF140">
        <v>4125909</v>
      </c>
      <c r="AG140" t="s">
        <v>346</v>
      </c>
      <c r="AH140">
        <v>0</v>
      </c>
      <c r="AI140" t="s">
        <v>321</v>
      </c>
      <c r="AN140" t="s">
        <v>306</v>
      </c>
      <c r="AO140" t="s">
        <v>1299</v>
      </c>
      <c r="AP140">
        <v>4277357</v>
      </c>
      <c r="AQ140" t="s">
        <v>346</v>
      </c>
      <c r="AR140">
        <v>0.01</v>
      </c>
      <c r="AS140" t="s">
        <v>62</v>
      </c>
      <c r="AX140" t="s">
        <v>306</v>
      </c>
      <c r="BC140" t="s">
        <v>306</v>
      </c>
      <c r="BD140" t="s">
        <v>1434</v>
      </c>
      <c r="BE140">
        <v>4437851</v>
      </c>
      <c r="BF140" t="s">
        <v>346</v>
      </c>
      <c r="BG140">
        <v>0.04</v>
      </c>
      <c r="BH140" t="s">
        <v>53</v>
      </c>
      <c r="BI140" t="s">
        <v>475</v>
      </c>
      <c r="BJ140">
        <v>4115935</v>
      </c>
      <c r="BK140" t="s">
        <v>346</v>
      </c>
      <c r="BL140">
        <v>0.01</v>
      </c>
      <c r="BM140" t="s">
        <v>53</v>
      </c>
      <c r="BN140" t="s">
        <v>830</v>
      </c>
      <c r="BO140">
        <v>4621446</v>
      </c>
      <c r="BP140" t="s">
        <v>346</v>
      </c>
      <c r="BQ140">
        <v>0.01</v>
      </c>
      <c r="BR140" t="s">
        <v>50</v>
      </c>
      <c r="BS140" t="s">
        <v>797</v>
      </c>
      <c r="BT140">
        <v>4138761</v>
      </c>
      <c r="BU140" t="s">
        <v>346</v>
      </c>
      <c r="BV140">
        <v>0.02</v>
      </c>
      <c r="BW140" t="s">
        <v>50</v>
      </c>
      <c r="BX140" t="s">
        <v>754</v>
      </c>
      <c r="BY140">
        <v>11183019</v>
      </c>
      <c r="BZ140" t="s">
        <v>346</v>
      </c>
      <c r="CA140">
        <v>0.02</v>
      </c>
      <c r="CB140" t="s">
        <v>50</v>
      </c>
      <c r="CC140" t="s">
        <v>1656</v>
      </c>
      <c r="CD140">
        <v>4250319</v>
      </c>
      <c r="CE140" t="s">
        <v>364</v>
      </c>
      <c r="CF140">
        <v>0.03</v>
      </c>
      <c r="CG140" t="s">
        <v>2195</v>
      </c>
      <c r="CH140" t="s">
        <v>1299</v>
      </c>
      <c r="CI140">
        <v>4277357</v>
      </c>
      <c r="CJ140" t="s">
        <v>346</v>
      </c>
      <c r="CK140">
        <v>0.01</v>
      </c>
      <c r="CL140" t="s">
        <v>62</v>
      </c>
      <c r="CM140" t="s">
        <v>1683</v>
      </c>
      <c r="CN140">
        <v>4572787</v>
      </c>
      <c r="CO140" t="s">
        <v>364</v>
      </c>
      <c r="CP140">
        <v>0.03</v>
      </c>
      <c r="CQ140" t="s">
        <v>53</v>
      </c>
      <c r="CV140" t="s">
        <v>306</v>
      </c>
      <c r="DA140" t="s">
        <v>306</v>
      </c>
      <c r="DB140" t="s">
        <v>1434</v>
      </c>
      <c r="DC140">
        <v>4437851</v>
      </c>
      <c r="DD140" t="s">
        <v>346</v>
      </c>
      <c r="DE140">
        <v>0.04</v>
      </c>
      <c r="DF140" t="s">
        <v>53</v>
      </c>
      <c r="DK140" t="s">
        <v>306</v>
      </c>
      <c r="DL140" t="s">
        <v>1434</v>
      </c>
      <c r="DM140">
        <v>4437851</v>
      </c>
      <c r="DN140" t="s">
        <v>346</v>
      </c>
      <c r="DO140">
        <v>0.04</v>
      </c>
      <c r="DP140" t="s">
        <v>53</v>
      </c>
      <c r="DU140" t="s">
        <v>306</v>
      </c>
      <c r="DZ140" t="s">
        <v>306</v>
      </c>
      <c r="EA140" t="s">
        <v>1656</v>
      </c>
      <c r="EB140">
        <v>4250319</v>
      </c>
      <c r="EC140" t="s">
        <v>364</v>
      </c>
      <c r="ED140">
        <v>0.03</v>
      </c>
      <c r="EE140" t="s">
        <v>2195</v>
      </c>
      <c r="EF140" t="s">
        <v>1434</v>
      </c>
      <c r="EG140">
        <v>4437851</v>
      </c>
      <c r="EH140" t="s">
        <v>346</v>
      </c>
      <c r="EI140">
        <v>0.04</v>
      </c>
      <c r="EJ140" t="s">
        <v>53</v>
      </c>
      <c r="EO140" t="s">
        <v>306</v>
      </c>
      <c r="EP140" t="s">
        <v>806</v>
      </c>
      <c r="EQ140">
        <v>4140536</v>
      </c>
      <c r="ER140" t="s">
        <v>346</v>
      </c>
      <c r="ES140">
        <v>0</v>
      </c>
      <c r="ET140" t="s">
        <v>50</v>
      </c>
      <c r="EY140" t="s">
        <v>306</v>
      </c>
      <c r="FD140" t="s">
        <v>306</v>
      </c>
      <c r="FI140" t="s">
        <v>306</v>
      </c>
      <c r="FN140" t="s">
        <v>306</v>
      </c>
      <c r="FS140" t="s">
        <v>306</v>
      </c>
      <c r="FX140" t="s">
        <v>306</v>
      </c>
      <c r="FY140" t="s">
        <v>1434</v>
      </c>
      <c r="FZ140">
        <v>4437851</v>
      </c>
      <c r="GA140" t="s">
        <v>346</v>
      </c>
      <c r="GB140">
        <v>0.04</v>
      </c>
      <c r="GC140" t="s">
        <v>53</v>
      </c>
      <c r="GH140" t="s">
        <v>306</v>
      </c>
      <c r="GM140" t="s">
        <v>306</v>
      </c>
      <c r="GR140" t="s">
        <v>306</v>
      </c>
      <c r="GS140" t="s">
        <v>830</v>
      </c>
      <c r="GT140">
        <v>4621446</v>
      </c>
      <c r="GU140" t="s">
        <v>346</v>
      </c>
      <c r="GV140">
        <v>0.01</v>
      </c>
      <c r="GW140" t="s">
        <v>50</v>
      </c>
      <c r="GX140" t="s">
        <v>1656</v>
      </c>
      <c r="GY140">
        <v>4250319</v>
      </c>
      <c r="GZ140" t="s">
        <v>364</v>
      </c>
      <c r="HA140">
        <v>0.03</v>
      </c>
      <c r="HB140" t="s">
        <v>2195</v>
      </c>
      <c r="HG140" t="s">
        <v>306</v>
      </c>
    </row>
    <row r="141" spans="5:215" x14ac:dyDescent="0.35">
      <c r="E141" t="s">
        <v>306</v>
      </c>
      <c r="F141" t="s">
        <v>528</v>
      </c>
      <c r="G141">
        <v>4773761</v>
      </c>
      <c r="H141" t="s">
        <v>346</v>
      </c>
      <c r="I141">
        <v>0</v>
      </c>
      <c r="J141" t="s">
        <v>80</v>
      </c>
      <c r="O141" t="s">
        <v>306</v>
      </c>
      <c r="T141" t="s">
        <v>306</v>
      </c>
      <c r="U141" t="s">
        <v>530</v>
      </c>
      <c r="V141">
        <v>102729</v>
      </c>
      <c r="W141" t="s">
        <v>346</v>
      </c>
      <c r="X141">
        <v>0.02</v>
      </c>
      <c r="Y141" t="s">
        <v>53</v>
      </c>
      <c r="AD141" t="s">
        <v>306</v>
      </c>
      <c r="AE141" t="s">
        <v>1155</v>
      </c>
      <c r="AF141" t="s">
        <v>300</v>
      </c>
      <c r="AG141" t="s">
        <v>361</v>
      </c>
      <c r="AH141">
        <v>0</v>
      </c>
      <c r="AI141" t="s">
        <v>50</v>
      </c>
      <c r="AN141" t="s">
        <v>306</v>
      </c>
      <c r="AO141" t="s">
        <v>492</v>
      </c>
      <c r="AP141">
        <v>110674</v>
      </c>
      <c r="AQ141" t="s">
        <v>346</v>
      </c>
      <c r="AR141">
        <v>0.01</v>
      </c>
      <c r="AS141" t="s">
        <v>53</v>
      </c>
      <c r="AX141" t="s">
        <v>306</v>
      </c>
      <c r="BC141" t="s">
        <v>306</v>
      </c>
      <c r="BD141" t="s">
        <v>593</v>
      </c>
      <c r="BE141">
        <v>4138124</v>
      </c>
      <c r="BF141" t="s">
        <v>346</v>
      </c>
      <c r="BG141">
        <v>0.04</v>
      </c>
      <c r="BH141" t="s">
        <v>304</v>
      </c>
      <c r="BI141" t="s">
        <v>533</v>
      </c>
      <c r="BJ141">
        <v>4377155</v>
      </c>
      <c r="BK141" t="s">
        <v>346</v>
      </c>
      <c r="BL141">
        <v>0.01</v>
      </c>
      <c r="BM141" t="s">
        <v>2192</v>
      </c>
      <c r="BN141" t="s">
        <v>810</v>
      </c>
      <c r="BO141">
        <v>106535824</v>
      </c>
      <c r="BP141" t="s">
        <v>346</v>
      </c>
      <c r="BQ141">
        <v>0.01</v>
      </c>
      <c r="BR141" t="s">
        <v>306</v>
      </c>
      <c r="BS141" t="s">
        <v>687</v>
      </c>
      <c r="BT141">
        <v>4368709</v>
      </c>
      <c r="BU141" t="s">
        <v>346</v>
      </c>
      <c r="BV141">
        <v>0.02</v>
      </c>
      <c r="BW141" t="s">
        <v>50</v>
      </c>
      <c r="BX141" t="s">
        <v>530</v>
      </c>
      <c r="BY141">
        <v>102729</v>
      </c>
      <c r="BZ141" t="s">
        <v>346</v>
      </c>
      <c r="CA141">
        <v>0.02</v>
      </c>
      <c r="CB141" t="s">
        <v>53</v>
      </c>
      <c r="CC141" t="s">
        <v>1657</v>
      </c>
      <c r="CD141">
        <v>102771</v>
      </c>
      <c r="CE141" t="s">
        <v>346</v>
      </c>
      <c r="CF141">
        <v>0.03</v>
      </c>
      <c r="CG141" t="s">
        <v>53</v>
      </c>
      <c r="CH141" t="s">
        <v>492</v>
      </c>
      <c r="CI141">
        <v>110674</v>
      </c>
      <c r="CJ141" t="s">
        <v>346</v>
      </c>
      <c r="CK141">
        <v>0.01</v>
      </c>
      <c r="CL141" t="s">
        <v>53</v>
      </c>
      <c r="CM141" t="s">
        <v>1276</v>
      </c>
      <c r="CN141">
        <v>8358474</v>
      </c>
      <c r="CO141" t="s">
        <v>346</v>
      </c>
      <c r="CP141">
        <v>0.03</v>
      </c>
      <c r="CQ141" t="s">
        <v>62</v>
      </c>
      <c r="CV141" t="s">
        <v>306</v>
      </c>
      <c r="DA141" t="s">
        <v>306</v>
      </c>
      <c r="DB141" t="s">
        <v>593</v>
      </c>
      <c r="DC141">
        <v>4138124</v>
      </c>
      <c r="DD141" t="s">
        <v>346</v>
      </c>
      <c r="DE141">
        <v>0.04</v>
      </c>
      <c r="DF141" t="s">
        <v>304</v>
      </c>
      <c r="DK141" t="s">
        <v>306</v>
      </c>
      <c r="DL141" t="s">
        <v>593</v>
      </c>
      <c r="DM141">
        <v>4138124</v>
      </c>
      <c r="DN141" t="s">
        <v>346</v>
      </c>
      <c r="DO141">
        <v>0.04</v>
      </c>
      <c r="DP141" t="s">
        <v>304</v>
      </c>
      <c r="DU141" t="s">
        <v>306</v>
      </c>
      <c r="DZ141" t="s">
        <v>306</v>
      </c>
      <c r="EA141" t="s">
        <v>1657</v>
      </c>
      <c r="EB141">
        <v>102771</v>
      </c>
      <c r="EC141" t="s">
        <v>346</v>
      </c>
      <c r="ED141">
        <v>0.03</v>
      </c>
      <c r="EE141" t="s">
        <v>53</v>
      </c>
      <c r="EF141" t="s">
        <v>593</v>
      </c>
      <c r="EG141">
        <v>4138124</v>
      </c>
      <c r="EH141" t="s">
        <v>346</v>
      </c>
      <c r="EI141">
        <v>0.04</v>
      </c>
      <c r="EJ141" t="s">
        <v>304</v>
      </c>
      <c r="EO141" t="s">
        <v>306</v>
      </c>
      <c r="EP141" t="s">
        <v>869</v>
      </c>
      <c r="EQ141">
        <v>4560837</v>
      </c>
      <c r="ER141" t="s">
        <v>346</v>
      </c>
      <c r="ES141">
        <v>0</v>
      </c>
      <c r="ET141" t="s">
        <v>326</v>
      </c>
      <c r="EY141" t="s">
        <v>306</v>
      </c>
      <c r="FD141" t="s">
        <v>306</v>
      </c>
      <c r="FI141" t="s">
        <v>306</v>
      </c>
      <c r="FN141" t="s">
        <v>306</v>
      </c>
      <c r="FS141" t="s">
        <v>306</v>
      </c>
      <c r="FX141" t="s">
        <v>306</v>
      </c>
      <c r="FY141" t="s">
        <v>593</v>
      </c>
      <c r="FZ141">
        <v>4138124</v>
      </c>
      <c r="GA141" t="s">
        <v>346</v>
      </c>
      <c r="GB141">
        <v>0.04</v>
      </c>
      <c r="GC141" t="s">
        <v>304</v>
      </c>
      <c r="GH141" t="s">
        <v>306</v>
      </c>
      <c r="GM141" t="s">
        <v>306</v>
      </c>
      <c r="GR141" t="s">
        <v>306</v>
      </c>
      <c r="GS141" t="s">
        <v>810</v>
      </c>
      <c r="GT141">
        <v>106535824</v>
      </c>
      <c r="GU141" t="s">
        <v>346</v>
      </c>
      <c r="GV141">
        <v>0.01</v>
      </c>
      <c r="GW141" t="s">
        <v>306</v>
      </c>
      <c r="GX141" t="s">
        <v>1657</v>
      </c>
      <c r="GY141">
        <v>102771</v>
      </c>
      <c r="GZ141" t="s">
        <v>346</v>
      </c>
      <c r="HA141">
        <v>0.03</v>
      </c>
      <c r="HB141" t="s">
        <v>53</v>
      </c>
      <c r="HG141" t="s">
        <v>306</v>
      </c>
    </row>
    <row r="142" spans="5:215" x14ac:dyDescent="0.35">
      <c r="E142" t="s">
        <v>306</v>
      </c>
      <c r="F142" t="s">
        <v>529</v>
      </c>
      <c r="G142">
        <v>110570</v>
      </c>
      <c r="H142" t="s">
        <v>346</v>
      </c>
      <c r="I142">
        <v>0</v>
      </c>
      <c r="J142" t="s">
        <v>53</v>
      </c>
      <c r="O142" t="s">
        <v>306</v>
      </c>
      <c r="T142" t="s">
        <v>306</v>
      </c>
      <c r="U142" t="s">
        <v>650</v>
      </c>
      <c r="V142">
        <v>4550448</v>
      </c>
      <c r="W142" t="s">
        <v>346</v>
      </c>
      <c r="X142">
        <v>0.02</v>
      </c>
      <c r="Y142" t="s">
        <v>50</v>
      </c>
      <c r="AD142" t="s">
        <v>306</v>
      </c>
      <c r="AE142" t="s">
        <v>1103</v>
      </c>
      <c r="AF142">
        <v>4082660</v>
      </c>
      <c r="AG142" t="s">
        <v>346</v>
      </c>
      <c r="AH142">
        <v>0</v>
      </c>
      <c r="AI142" t="s">
        <v>53</v>
      </c>
      <c r="AN142" t="s">
        <v>306</v>
      </c>
      <c r="AO142" t="s">
        <v>1300</v>
      </c>
      <c r="AP142">
        <v>7789918</v>
      </c>
      <c r="AQ142" t="s">
        <v>346</v>
      </c>
      <c r="AR142">
        <v>0.01</v>
      </c>
      <c r="AS142" t="s">
        <v>323</v>
      </c>
      <c r="AX142" t="s">
        <v>306</v>
      </c>
      <c r="BC142" t="s">
        <v>306</v>
      </c>
      <c r="BD142" t="s">
        <v>611</v>
      </c>
      <c r="BE142">
        <v>4288242</v>
      </c>
      <c r="BF142" t="s">
        <v>346</v>
      </c>
      <c r="BG142">
        <v>0.04</v>
      </c>
      <c r="BH142" t="s">
        <v>53</v>
      </c>
      <c r="BI142" t="s">
        <v>1570</v>
      </c>
      <c r="BJ142">
        <v>8111313</v>
      </c>
      <c r="BK142" t="s">
        <v>346</v>
      </c>
      <c r="BL142">
        <v>0.01</v>
      </c>
      <c r="BM142" t="s">
        <v>80</v>
      </c>
      <c r="BN142" t="s">
        <v>765</v>
      </c>
      <c r="BO142">
        <v>10181318</v>
      </c>
      <c r="BP142" t="s">
        <v>346</v>
      </c>
      <c r="BQ142">
        <v>0.01</v>
      </c>
      <c r="BR142" t="s">
        <v>50</v>
      </c>
      <c r="BS142" t="s">
        <v>588</v>
      </c>
      <c r="BT142">
        <v>111537</v>
      </c>
      <c r="BU142" t="s">
        <v>346</v>
      </c>
      <c r="BV142">
        <v>0.02</v>
      </c>
      <c r="BW142" t="s">
        <v>53</v>
      </c>
      <c r="BX142" t="s">
        <v>650</v>
      </c>
      <c r="BY142">
        <v>4550448</v>
      </c>
      <c r="BZ142" t="s">
        <v>346</v>
      </c>
      <c r="CA142">
        <v>0.02</v>
      </c>
      <c r="CB142" t="s">
        <v>50</v>
      </c>
      <c r="CC142" t="s">
        <v>1658</v>
      </c>
      <c r="CD142">
        <v>4347364</v>
      </c>
      <c r="CE142" t="s">
        <v>346</v>
      </c>
      <c r="CF142">
        <v>0.02</v>
      </c>
      <c r="CG142" t="s">
        <v>2195</v>
      </c>
      <c r="CH142" t="s">
        <v>1300</v>
      </c>
      <c r="CI142">
        <v>7789918</v>
      </c>
      <c r="CJ142" t="s">
        <v>346</v>
      </c>
      <c r="CK142">
        <v>0.01</v>
      </c>
      <c r="CL142" t="s">
        <v>323</v>
      </c>
      <c r="CM142" t="s">
        <v>531</v>
      </c>
      <c r="CN142">
        <v>4072215</v>
      </c>
      <c r="CO142" t="s">
        <v>346</v>
      </c>
      <c r="CP142">
        <v>0.03</v>
      </c>
      <c r="CQ142" t="s">
        <v>53</v>
      </c>
      <c r="CV142" t="s">
        <v>306</v>
      </c>
      <c r="DA142" t="s">
        <v>306</v>
      </c>
      <c r="DB142" t="s">
        <v>611</v>
      </c>
      <c r="DC142">
        <v>4288242</v>
      </c>
      <c r="DD142" t="s">
        <v>346</v>
      </c>
      <c r="DE142">
        <v>0.04</v>
      </c>
      <c r="DF142" t="s">
        <v>53</v>
      </c>
      <c r="DK142" t="s">
        <v>306</v>
      </c>
      <c r="DL142" t="s">
        <v>611</v>
      </c>
      <c r="DM142">
        <v>4288242</v>
      </c>
      <c r="DN142" t="s">
        <v>346</v>
      </c>
      <c r="DO142">
        <v>0.04</v>
      </c>
      <c r="DP142" t="s">
        <v>53</v>
      </c>
      <c r="DU142" t="s">
        <v>306</v>
      </c>
      <c r="DZ142" t="s">
        <v>306</v>
      </c>
      <c r="EA142" t="s">
        <v>1658</v>
      </c>
      <c r="EB142">
        <v>4347364</v>
      </c>
      <c r="EC142" t="s">
        <v>346</v>
      </c>
      <c r="ED142">
        <v>0.02</v>
      </c>
      <c r="EE142" t="s">
        <v>2195</v>
      </c>
      <c r="EF142" t="s">
        <v>611</v>
      </c>
      <c r="EG142">
        <v>4288242</v>
      </c>
      <c r="EH142" t="s">
        <v>346</v>
      </c>
      <c r="EI142">
        <v>0.04</v>
      </c>
      <c r="EJ142" t="s">
        <v>53</v>
      </c>
      <c r="EO142" t="s">
        <v>306</v>
      </c>
      <c r="EP142" t="s">
        <v>886</v>
      </c>
      <c r="EQ142">
        <v>29518821</v>
      </c>
      <c r="ER142" t="s">
        <v>346</v>
      </c>
      <c r="ES142">
        <v>0</v>
      </c>
      <c r="ET142" t="s">
        <v>50</v>
      </c>
      <c r="EY142" t="s">
        <v>306</v>
      </c>
      <c r="FD142" t="s">
        <v>306</v>
      </c>
      <c r="FI142" t="s">
        <v>306</v>
      </c>
      <c r="FN142" t="s">
        <v>306</v>
      </c>
      <c r="FS142" t="s">
        <v>306</v>
      </c>
      <c r="FX142" t="s">
        <v>306</v>
      </c>
      <c r="FY142" t="s">
        <v>611</v>
      </c>
      <c r="FZ142">
        <v>4288242</v>
      </c>
      <c r="GA142" t="s">
        <v>346</v>
      </c>
      <c r="GB142">
        <v>0.04</v>
      </c>
      <c r="GC142" t="s">
        <v>53</v>
      </c>
      <c r="GH142" t="s">
        <v>306</v>
      </c>
      <c r="GM142" t="s">
        <v>306</v>
      </c>
      <c r="GR142" t="s">
        <v>306</v>
      </c>
      <c r="GS142" t="s">
        <v>765</v>
      </c>
      <c r="GT142">
        <v>10181318</v>
      </c>
      <c r="GU142" t="s">
        <v>346</v>
      </c>
      <c r="GV142">
        <v>0.01</v>
      </c>
      <c r="GW142" t="s">
        <v>50</v>
      </c>
      <c r="GX142" t="s">
        <v>1658</v>
      </c>
      <c r="GY142">
        <v>4347364</v>
      </c>
      <c r="GZ142" t="s">
        <v>346</v>
      </c>
      <c r="HA142">
        <v>0.02</v>
      </c>
      <c r="HB142" t="s">
        <v>2195</v>
      </c>
      <c r="HG142" t="s">
        <v>306</v>
      </c>
    </row>
    <row r="143" spans="5:215" x14ac:dyDescent="0.35">
      <c r="E143" t="s">
        <v>306</v>
      </c>
      <c r="F143" t="s">
        <v>530</v>
      </c>
      <c r="G143">
        <v>102729</v>
      </c>
      <c r="H143" t="s">
        <v>346</v>
      </c>
      <c r="I143">
        <v>0</v>
      </c>
      <c r="J143" t="s">
        <v>53</v>
      </c>
      <c r="O143" t="s">
        <v>306</v>
      </c>
      <c r="T143" t="s">
        <v>306</v>
      </c>
      <c r="U143" t="s">
        <v>755</v>
      </c>
      <c r="V143" t="s">
        <v>300</v>
      </c>
      <c r="W143" t="s">
        <v>361</v>
      </c>
      <c r="X143">
        <v>0.02</v>
      </c>
      <c r="Y143" t="s">
        <v>50</v>
      </c>
      <c r="AD143" t="s">
        <v>306</v>
      </c>
      <c r="AE143" t="s">
        <v>568</v>
      </c>
      <c r="AF143">
        <v>4135240</v>
      </c>
      <c r="AG143" t="s">
        <v>346</v>
      </c>
      <c r="AH143">
        <v>0</v>
      </c>
      <c r="AI143" t="s">
        <v>125</v>
      </c>
      <c r="AN143" t="s">
        <v>306</v>
      </c>
      <c r="AO143" t="s">
        <v>583</v>
      </c>
      <c r="AP143">
        <v>4579014</v>
      </c>
      <c r="AQ143" t="s">
        <v>346</v>
      </c>
      <c r="AR143">
        <v>0.01</v>
      </c>
      <c r="AS143" t="s">
        <v>53</v>
      </c>
      <c r="AX143" t="s">
        <v>306</v>
      </c>
      <c r="BC143" t="s">
        <v>306</v>
      </c>
      <c r="BD143" t="s">
        <v>643</v>
      </c>
      <c r="BE143">
        <v>8365031</v>
      </c>
      <c r="BF143" t="s">
        <v>346</v>
      </c>
      <c r="BG143">
        <v>0.03</v>
      </c>
      <c r="BH143" t="s">
        <v>125</v>
      </c>
      <c r="BI143" t="s">
        <v>1571</v>
      </c>
      <c r="BJ143">
        <v>4235822</v>
      </c>
      <c r="BK143" t="s">
        <v>346</v>
      </c>
      <c r="BL143">
        <v>0.01</v>
      </c>
      <c r="BM143" t="s">
        <v>2185</v>
      </c>
      <c r="BN143" t="s">
        <v>823</v>
      </c>
      <c r="BO143">
        <v>4212913</v>
      </c>
      <c r="BP143" t="s">
        <v>346</v>
      </c>
      <c r="BQ143">
        <v>0.01</v>
      </c>
      <c r="BR143" t="s">
        <v>2191</v>
      </c>
      <c r="BS143" t="s">
        <v>974</v>
      </c>
      <c r="BT143">
        <v>5828077</v>
      </c>
      <c r="BU143" t="s">
        <v>346</v>
      </c>
      <c r="BV143">
        <v>0.02</v>
      </c>
      <c r="BW143" t="s">
        <v>313</v>
      </c>
      <c r="BX143" t="s">
        <v>755</v>
      </c>
      <c r="BY143" t="s">
        <v>300</v>
      </c>
      <c r="BZ143" t="s">
        <v>361</v>
      </c>
      <c r="CA143">
        <v>0.02</v>
      </c>
      <c r="CB143" t="s">
        <v>50</v>
      </c>
      <c r="CC143" t="s">
        <v>1659</v>
      </c>
      <c r="CD143">
        <v>4134300</v>
      </c>
      <c r="CE143" t="s">
        <v>364</v>
      </c>
      <c r="CF143">
        <v>0.02</v>
      </c>
      <c r="CG143" t="s">
        <v>53</v>
      </c>
      <c r="CH143" t="s">
        <v>583</v>
      </c>
      <c r="CI143">
        <v>4579014</v>
      </c>
      <c r="CJ143" t="s">
        <v>346</v>
      </c>
      <c r="CK143">
        <v>0.01</v>
      </c>
      <c r="CL143" t="s">
        <v>53</v>
      </c>
      <c r="CM143" t="s">
        <v>1974</v>
      </c>
      <c r="CN143" t="s">
        <v>300</v>
      </c>
      <c r="CO143" t="s">
        <v>361</v>
      </c>
      <c r="CP143">
        <v>0.03</v>
      </c>
      <c r="CQ143" t="s">
        <v>50</v>
      </c>
      <c r="CV143" t="s">
        <v>306</v>
      </c>
      <c r="DA143" t="s">
        <v>306</v>
      </c>
      <c r="DB143" t="s">
        <v>643</v>
      </c>
      <c r="DC143">
        <v>8365031</v>
      </c>
      <c r="DD143" t="s">
        <v>346</v>
      </c>
      <c r="DE143">
        <v>0.03</v>
      </c>
      <c r="DF143" t="s">
        <v>125</v>
      </c>
      <c r="DK143" t="s">
        <v>306</v>
      </c>
      <c r="DL143" t="s">
        <v>643</v>
      </c>
      <c r="DM143">
        <v>8365031</v>
      </c>
      <c r="DN143" t="s">
        <v>346</v>
      </c>
      <c r="DO143">
        <v>0.03</v>
      </c>
      <c r="DP143" t="s">
        <v>125</v>
      </c>
      <c r="DU143" t="s">
        <v>306</v>
      </c>
      <c r="DZ143" t="s">
        <v>306</v>
      </c>
      <c r="EA143" t="s">
        <v>1659</v>
      </c>
      <c r="EB143">
        <v>4134300</v>
      </c>
      <c r="EC143" t="s">
        <v>364</v>
      </c>
      <c r="ED143">
        <v>0.02</v>
      </c>
      <c r="EE143" t="s">
        <v>53</v>
      </c>
      <c r="EF143" t="s">
        <v>643</v>
      </c>
      <c r="EG143">
        <v>8365031</v>
      </c>
      <c r="EH143" t="s">
        <v>346</v>
      </c>
      <c r="EI143">
        <v>0.03</v>
      </c>
      <c r="EJ143" t="s">
        <v>125</v>
      </c>
      <c r="EO143" t="s">
        <v>306</v>
      </c>
      <c r="EP143" t="s">
        <v>906</v>
      </c>
      <c r="EQ143">
        <v>5880770</v>
      </c>
      <c r="ER143" t="s">
        <v>346</v>
      </c>
      <c r="ES143">
        <v>0</v>
      </c>
      <c r="ET143" t="s">
        <v>50</v>
      </c>
      <c r="EY143" t="s">
        <v>306</v>
      </c>
      <c r="FD143" t="s">
        <v>306</v>
      </c>
      <c r="FI143" t="s">
        <v>306</v>
      </c>
      <c r="FN143" t="s">
        <v>306</v>
      </c>
      <c r="FS143" t="s">
        <v>306</v>
      </c>
      <c r="FX143" t="s">
        <v>306</v>
      </c>
      <c r="FY143" t="s">
        <v>643</v>
      </c>
      <c r="FZ143">
        <v>8365031</v>
      </c>
      <c r="GA143" t="s">
        <v>346</v>
      </c>
      <c r="GB143">
        <v>0.03</v>
      </c>
      <c r="GC143" t="s">
        <v>125</v>
      </c>
      <c r="GH143" t="s">
        <v>306</v>
      </c>
      <c r="GM143" t="s">
        <v>306</v>
      </c>
      <c r="GR143" t="s">
        <v>306</v>
      </c>
      <c r="GS143" t="s">
        <v>823</v>
      </c>
      <c r="GT143">
        <v>4212913</v>
      </c>
      <c r="GU143" t="s">
        <v>346</v>
      </c>
      <c r="GV143">
        <v>0.01</v>
      </c>
      <c r="GW143" t="s">
        <v>2191</v>
      </c>
      <c r="GX143" t="s">
        <v>1659</v>
      </c>
      <c r="GY143">
        <v>4134300</v>
      </c>
      <c r="GZ143" t="s">
        <v>364</v>
      </c>
      <c r="HA143">
        <v>0.02</v>
      </c>
      <c r="HB143" t="s">
        <v>53</v>
      </c>
      <c r="HG143" t="s">
        <v>306</v>
      </c>
    </row>
    <row r="144" spans="5:215" x14ac:dyDescent="0.35">
      <c r="E144" t="s">
        <v>306</v>
      </c>
      <c r="F144" t="s">
        <v>531</v>
      </c>
      <c r="G144">
        <v>4072215</v>
      </c>
      <c r="H144" t="s">
        <v>346</v>
      </c>
      <c r="I144">
        <v>0</v>
      </c>
      <c r="J144" t="s">
        <v>53</v>
      </c>
      <c r="O144" t="s">
        <v>306</v>
      </c>
      <c r="T144" t="s">
        <v>306</v>
      </c>
      <c r="U144" t="s">
        <v>678</v>
      </c>
      <c r="V144">
        <v>5877799</v>
      </c>
      <c r="W144" t="s">
        <v>346</v>
      </c>
      <c r="X144">
        <v>0.02</v>
      </c>
      <c r="Y144" t="s">
        <v>50</v>
      </c>
      <c r="AD144" t="s">
        <v>306</v>
      </c>
      <c r="AE144" t="s">
        <v>546</v>
      </c>
      <c r="AF144">
        <v>4158830</v>
      </c>
      <c r="AG144" t="s">
        <v>346</v>
      </c>
      <c r="AH144">
        <v>0</v>
      </c>
      <c r="AI144" t="s">
        <v>53</v>
      </c>
      <c r="AN144" t="s">
        <v>306</v>
      </c>
      <c r="AO144" t="s">
        <v>1301</v>
      </c>
      <c r="AP144">
        <v>4326066</v>
      </c>
      <c r="AQ144" t="s">
        <v>346</v>
      </c>
      <c r="AR144">
        <v>0.01</v>
      </c>
      <c r="AS144" t="s">
        <v>62</v>
      </c>
      <c r="AX144" t="s">
        <v>306</v>
      </c>
      <c r="BC144" t="s">
        <v>306</v>
      </c>
      <c r="BD144" t="s">
        <v>1111</v>
      </c>
      <c r="BE144">
        <v>4139331</v>
      </c>
      <c r="BF144" t="s">
        <v>346</v>
      </c>
      <c r="BG144">
        <v>0.03</v>
      </c>
      <c r="BH144" t="s">
        <v>320</v>
      </c>
      <c r="BI144" t="s">
        <v>1012</v>
      </c>
      <c r="BJ144">
        <v>4139945</v>
      </c>
      <c r="BK144" t="s">
        <v>346</v>
      </c>
      <c r="BL144">
        <v>0.01</v>
      </c>
      <c r="BM144" t="s">
        <v>317</v>
      </c>
      <c r="BN144" t="s">
        <v>977</v>
      </c>
      <c r="BO144">
        <v>4578628</v>
      </c>
      <c r="BP144" t="s">
        <v>346</v>
      </c>
      <c r="BQ144">
        <v>0.01</v>
      </c>
      <c r="BR144" t="s">
        <v>53</v>
      </c>
      <c r="BS144" t="s">
        <v>799</v>
      </c>
      <c r="BT144">
        <v>6520584</v>
      </c>
      <c r="BU144" t="s">
        <v>346</v>
      </c>
      <c r="BV144">
        <v>0.02</v>
      </c>
      <c r="BW144" t="s">
        <v>50</v>
      </c>
      <c r="BX144" t="s">
        <v>678</v>
      </c>
      <c r="BY144">
        <v>5877799</v>
      </c>
      <c r="BZ144" t="s">
        <v>346</v>
      </c>
      <c r="CA144">
        <v>0.02</v>
      </c>
      <c r="CB144" t="s">
        <v>50</v>
      </c>
      <c r="CC144" t="s">
        <v>1660</v>
      </c>
      <c r="CD144">
        <v>5845172</v>
      </c>
      <c r="CE144" t="s">
        <v>346</v>
      </c>
      <c r="CF144">
        <v>0.02</v>
      </c>
      <c r="CG144" t="s">
        <v>114</v>
      </c>
      <c r="CH144" t="s">
        <v>1301</v>
      </c>
      <c r="CI144">
        <v>4326066</v>
      </c>
      <c r="CJ144" t="s">
        <v>346</v>
      </c>
      <c r="CK144">
        <v>0.01</v>
      </c>
      <c r="CL144" t="s">
        <v>62</v>
      </c>
      <c r="CM144" t="s">
        <v>1807</v>
      </c>
      <c r="CN144">
        <v>23890076</v>
      </c>
      <c r="CO144" t="s">
        <v>346</v>
      </c>
      <c r="CP144">
        <v>0.03</v>
      </c>
      <c r="CQ144" t="s">
        <v>53</v>
      </c>
      <c r="CV144" t="s">
        <v>306</v>
      </c>
      <c r="DA144" t="s">
        <v>306</v>
      </c>
      <c r="DB144" t="s">
        <v>1111</v>
      </c>
      <c r="DC144">
        <v>4139331</v>
      </c>
      <c r="DD144" t="s">
        <v>346</v>
      </c>
      <c r="DE144">
        <v>0.03</v>
      </c>
      <c r="DF144" t="s">
        <v>320</v>
      </c>
      <c r="DK144" t="s">
        <v>306</v>
      </c>
      <c r="DL144" t="s">
        <v>1111</v>
      </c>
      <c r="DM144">
        <v>4139331</v>
      </c>
      <c r="DN144" t="s">
        <v>346</v>
      </c>
      <c r="DO144">
        <v>0.03</v>
      </c>
      <c r="DP144" t="s">
        <v>320</v>
      </c>
      <c r="DU144" t="s">
        <v>306</v>
      </c>
      <c r="DZ144" t="s">
        <v>306</v>
      </c>
      <c r="EA144" t="s">
        <v>1660</v>
      </c>
      <c r="EB144">
        <v>5845172</v>
      </c>
      <c r="EC144" t="s">
        <v>346</v>
      </c>
      <c r="ED144">
        <v>0.02</v>
      </c>
      <c r="EE144" t="s">
        <v>114</v>
      </c>
      <c r="EF144" t="s">
        <v>1111</v>
      </c>
      <c r="EG144">
        <v>4139331</v>
      </c>
      <c r="EH144" t="s">
        <v>346</v>
      </c>
      <c r="EI144">
        <v>0.03</v>
      </c>
      <c r="EJ144" t="s">
        <v>320</v>
      </c>
      <c r="EO144" t="s">
        <v>306</v>
      </c>
      <c r="EP144" t="s">
        <v>480</v>
      </c>
      <c r="EQ144">
        <v>4119651</v>
      </c>
      <c r="ER144" t="s">
        <v>346</v>
      </c>
      <c r="ES144">
        <v>0</v>
      </c>
      <c r="ET144" t="s">
        <v>53</v>
      </c>
      <c r="EY144" t="s">
        <v>306</v>
      </c>
      <c r="FD144" t="s">
        <v>306</v>
      </c>
      <c r="FI144" t="s">
        <v>306</v>
      </c>
      <c r="FN144" t="s">
        <v>306</v>
      </c>
      <c r="FS144" t="s">
        <v>306</v>
      </c>
      <c r="FX144" t="s">
        <v>306</v>
      </c>
      <c r="FY144" t="s">
        <v>1111</v>
      </c>
      <c r="FZ144">
        <v>4139331</v>
      </c>
      <c r="GA144" t="s">
        <v>346</v>
      </c>
      <c r="GB144">
        <v>0.03</v>
      </c>
      <c r="GC144" t="s">
        <v>320</v>
      </c>
      <c r="GH144" t="s">
        <v>306</v>
      </c>
      <c r="GM144" t="s">
        <v>306</v>
      </c>
      <c r="GR144" t="s">
        <v>306</v>
      </c>
      <c r="GS144" t="s">
        <v>977</v>
      </c>
      <c r="GT144">
        <v>4578628</v>
      </c>
      <c r="GU144" t="s">
        <v>346</v>
      </c>
      <c r="GV144">
        <v>0.01</v>
      </c>
      <c r="GW144" t="s">
        <v>53</v>
      </c>
      <c r="GX144" t="s">
        <v>1660</v>
      </c>
      <c r="GY144">
        <v>5845172</v>
      </c>
      <c r="GZ144" t="s">
        <v>346</v>
      </c>
      <c r="HA144">
        <v>0.02</v>
      </c>
      <c r="HB144" t="s">
        <v>114</v>
      </c>
      <c r="HG144" t="s">
        <v>306</v>
      </c>
    </row>
    <row r="145" spans="5:215" x14ac:dyDescent="0.35">
      <c r="E145" t="s">
        <v>306</v>
      </c>
      <c r="F145" t="s">
        <v>532</v>
      </c>
      <c r="G145">
        <v>4225018</v>
      </c>
      <c r="H145" t="s">
        <v>346</v>
      </c>
      <c r="I145">
        <v>0</v>
      </c>
      <c r="J145" t="s">
        <v>2191</v>
      </c>
      <c r="O145" t="s">
        <v>306</v>
      </c>
      <c r="T145" t="s">
        <v>306</v>
      </c>
      <c r="U145" t="s">
        <v>756</v>
      </c>
      <c r="V145">
        <v>4026891</v>
      </c>
      <c r="W145" t="s">
        <v>346</v>
      </c>
      <c r="X145">
        <v>0.02</v>
      </c>
      <c r="Y145" t="s">
        <v>313</v>
      </c>
      <c r="AD145" t="s">
        <v>306</v>
      </c>
      <c r="AE145" t="s">
        <v>631</v>
      </c>
      <c r="AF145">
        <v>112247511</v>
      </c>
      <c r="AG145" t="s">
        <v>346</v>
      </c>
      <c r="AH145">
        <v>0</v>
      </c>
      <c r="AI145" t="s">
        <v>53</v>
      </c>
      <c r="AN145" t="s">
        <v>306</v>
      </c>
      <c r="AO145" t="s">
        <v>1302</v>
      </c>
      <c r="AP145" t="s">
        <v>300</v>
      </c>
      <c r="AQ145" t="s">
        <v>361</v>
      </c>
      <c r="AR145">
        <v>0.01</v>
      </c>
      <c r="AS145" t="s">
        <v>50</v>
      </c>
      <c r="AX145" t="s">
        <v>306</v>
      </c>
      <c r="BC145" t="s">
        <v>306</v>
      </c>
      <c r="BD145" t="s">
        <v>974</v>
      </c>
      <c r="BE145">
        <v>5828077</v>
      </c>
      <c r="BF145" t="s">
        <v>346</v>
      </c>
      <c r="BG145">
        <v>0.03</v>
      </c>
      <c r="BH145" t="s">
        <v>313</v>
      </c>
      <c r="BI145" t="s">
        <v>522</v>
      </c>
      <c r="BJ145">
        <v>4118373</v>
      </c>
      <c r="BK145" t="s">
        <v>346</v>
      </c>
      <c r="BL145">
        <v>0.01</v>
      </c>
      <c r="BM145" t="s">
        <v>53</v>
      </c>
      <c r="BN145" t="s">
        <v>452</v>
      </c>
      <c r="BO145">
        <v>4784107</v>
      </c>
      <c r="BP145" t="s">
        <v>346</v>
      </c>
      <c r="BQ145">
        <v>0.01</v>
      </c>
      <c r="BR145" t="s">
        <v>317</v>
      </c>
      <c r="BS145" t="s">
        <v>650</v>
      </c>
      <c r="BT145">
        <v>4550448</v>
      </c>
      <c r="BU145" t="s">
        <v>346</v>
      </c>
      <c r="BV145">
        <v>0.02</v>
      </c>
      <c r="BW145" t="s">
        <v>50</v>
      </c>
      <c r="BX145" t="s">
        <v>756</v>
      </c>
      <c r="BY145">
        <v>4026891</v>
      </c>
      <c r="BZ145" t="s">
        <v>346</v>
      </c>
      <c r="CA145">
        <v>0.02</v>
      </c>
      <c r="CB145" t="s">
        <v>313</v>
      </c>
      <c r="CC145" t="s">
        <v>1454</v>
      </c>
      <c r="CD145">
        <v>6708326</v>
      </c>
      <c r="CE145" t="s">
        <v>370</v>
      </c>
      <c r="CF145">
        <v>0.02</v>
      </c>
      <c r="CG145" t="s">
        <v>53</v>
      </c>
      <c r="CH145" t="s">
        <v>1302</v>
      </c>
      <c r="CI145" t="s">
        <v>300</v>
      </c>
      <c r="CJ145" t="s">
        <v>361</v>
      </c>
      <c r="CK145">
        <v>0.01</v>
      </c>
      <c r="CL145" t="s">
        <v>50</v>
      </c>
      <c r="CM145" t="s">
        <v>1300</v>
      </c>
      <c r="CN145">
        <v>7789918</v>
      </c>
      <c r="CO145" t="s">
        <v>346</v>
      </c>
      <c r="CP145">
        <v>0.03</v>
      </c>
      <c r="CQ145" t="s">
        <v>323</v>
      </c>
      <c r="CV145" t="s">
        <v>306</v>
      </c>
      <c r="DA145" t="s">
        <v>306</v>
      </c>
      <c r="DB145" t="s">
        <v>974</v>
      </c>
      <c r="DC145">
        <v>5828077</v>
      </c>
      <c r="DD145" t="s">
        <v>346</v>
      </c>
      <c r="DE145">
        <v>0.03</v>
      </c>
      <c r="DF145" t="s">
        <v>313</v>
      </c>
      <c r="DK145" t="s">
        <v>306</v>
      </c>
      <c r="DL145" t="s">
        <v>974</v>
      </c>
      <c r="DM145">
        <v>5828077</v>
      </c>
      <c r="DN145" t="s">
        <v>346</v>
      </c>
      <c r="DO145">
        <v>0.03</v>
      </c>
      <c r="DP145" t="s">
        <v>313</v>
      </c>
      <c r="DU145" t="s">
        <v>306</v>
      </c>
      <c r="DZ145" t="s">
        <v>306</v>
      </c>
      <c r="EA145" t="s">
        <v>1454</v>
      </c>
      <c r="EB145">
        <v>6708326</v>
      </c>
      <c r="EC145" t="s">
        <v>370</v>
      </c>
      <c r="ED145">
        <v>0.02</v>
      </c>
      <c r="EE145" t="s">
        <v>53</v>
      </c>
      <c r="EF145" t="s">
        <v>974</v>
      </c>
      <c r="EG145">
        <v>5828077</v>
      </c>
      <c r="EH145" t="s">
        <v>346</v>
      </c>
      <c r="EI145">
        <v>0.03</v>
      </c>
      <c r="EJ145" t="s">
        <v>313</v>
      </c>
      <c r="EO145" t="s">
        <v>306</v>
      </c>
      <c r="EP145" t="s">
        <v>790</v>
      </c>
      <c r="EQ145">
        <v>5883003</v>
      </c>
      <c r="ER145" t="s">
        <v>346</v>
      </c>
      <c r="ES145">
        <v>0</v>
      </c>
      <c r="ET145" t="s">
        <v>50</v>
      </c>
      <c r="EY145" t="s">
        <v>306</v>
      </c>
      <c r="FD145" t="s">
        <v>306</v>
      </c>
      <c r="FI145" t="s">
        <v>306</v>
      </c>
      <c r="FN145" t="s">
        <v>306</v>
      </c>
      <c r="FS145" t="s">
        <v>306</v>
      </c>
      <c r="FX145" t="s">
        <v>306</v>
      </c>
      <c r="FY145" t="s">
        <v>974</v>
      </c>
      <c r="FZ145">
        <v>5828077</v>
      </c>
      <c r="GA145" t="s">
        <v>346</v>
      </c>
      <c r="GB145">
        <v>0.03</v>
      </c>
      <c r="GC145" t="s">
        <v>313</v>
      </c>
      <c r="GH145" t="s">
        <v>306</v>
      </c>
      <c r="GM145" t="s">
        <v>306</v>
      </c>
      <c r="GR145" t="s">
        <v>306</v>
      </c>
      <c r="GS145" t="s">
        <v>452</v>
      </c>
      <c r="GT145">
        <v>4784107</v>
      </c>
      <c r="GU145" t="s">
        <v>346</v>
      </c>
      <c r="GV145">
        <v>0.01</v>
      </c>
      <c r="GW145" t="s">
        <v>317</v>
      </c>
      <c r="GX145" t="s">
        <v>1454</v>
      </c>
      <c r="GY145">
        <v>6708326</v>
      </c>
      <c r="GZ145" t="s">
        <v>370</v>
      </c>
      <c r="HA145">
        <v>0.02</v>
      </c>
      <c r="HB145" t="s">
        <v>53</v>
      </c>
      <c r="HG145" t="s">
        <v>306</v>
      </c>
    </row>
    <row r="146" spans="5:215" x14ac:dyDescent="0.35">
      <c r="E146" t="s">
        <v>306</v>
      </c>
      <c r="F146" t="s">
        <v>533</v>
      </c>
      <c r="G146">
        <v>4377155</v>
      </c>
      <c r="H146" t="s">
        <v>346</v>
      </c>
      <c r="I146">
        <v>0</v>
      </c>
      <c r="J146" t="s">
        <v>2192</v>
      </c>
      <c r="O146" t="s">
        <v>306</v>
      </c>
      <c r="T146" t="s">
        <v>306</v>
      </c>
      <c r="U146" t="s">
        <v>407</v>
      </c>
      <c r="V146">
        <v>109754</v>
      </c>
      <c r="W146" t="s">
        <v>346</v>
      </c>
      <c r="X146">
        <v>0.02</v>
      </c>
      <c r="Y146" t="s">
        <v>53</v>
      </c>
      <c r="AD146" t="s">
        <v>306</v>
      </c>
      <c r="AE146" t="s">
        <v>1156</v>
      </c>
      <c r="AF146">
        <v>142497992</v>
      </c>
      <c r="AG146" t="s">
        <v>346</v>
      </c>
      <c r="AH146">
        <v>0</v>
      </c>
      <c r="AI146" t="s">
        <v>323</v>
      </c>
      <c r="AN146" t="s">
        <v>306</v>
      </c>
      <c r="AO146" t="s">
        <v>1303</v>
      </c>
      <c r="AP146">
        <v>4265061</v>
      </c>
      <c r="AQ146" t="s">
        <v>346</v>
      </c>
      <c r="AR146">
        <v>0.01</v>
      </c>
      <c r="AS146" t="s">
        <v>62</v>
      </c>
      <c r="AX146" t="s">
        <v>306</v>
      </c>
      <c r="BC146" t="s">
        <v>306</v>
      </c>
      <c r="BD146" t="s">
        <v>1435</v>
      </c>
      <c r="BE146">
        <v>4239389</v>
      </c>
      <c r="BF146" t="s">
        <v>346</v>
      </c>
      <c r="BG146">
        <v>0.03</v>
      </c>
      <c r="BH146" t="s">
        <v>2186</v>
      </c>
      <c r="BI146" t="s">
        <v>1165</v>
      </c>
      <c r="BJ146">
        <v>10655279</v>
      </c>
      <c r="BK146" t="s">
        <v>346</v>
      </c>
      <c r="BL146">
        <v>0.01</v>
      </c>
      <c r="BM146" t="s">
        <v>313</v>
      </c>
      <c r="BN146" t="s">
        <v>831</v>
      </c>
      <c r="BO146">
        <v>109508756</v>
      </c>
      <c r="BP146" t="s">
        <v>346</v>
      </c>
      <c r="BQ146">
        <v>0.01</v>
      </c>
      <c r="BR146" t="s">
        <v>306</v>
      </c>
      <c r="BS146" t="s">
        <v>461</v>
      </c>
      <c r="BT146">
        <v>4137912</v>
      </c>
      <c r="BU146" t="s">
        <v>346</v>
      </c>
      <c r="BV146">
        <v>0.02</v>
      </c>
      <c r="BW146" t="s">
        <v>2185</v>
      </c>
      <c r="BX146" t="s">
        <v>407</v>
      </c>
      <c r="BY146">
        <v>109754</v>
      </c>
      <c r="BZ146" t="s">
        <v>346</v>
      </c>
      <c r="CA146">
        <v>0.02</v>
      </c>
      <c r="CB146" t="s">
        <v>53</v>
      </c>
      <c r="CC146" t="s">
        <v>1661</v>
      </c>
      <c r="CD146">
        <v>4092965</v>
      </c>
      <c r="CE146" t="s">
        <v>366</v>
      </c>
      <c r="CF146">
        <v>0.02</v>
      </c>
      <c r="CG146" t="s">
        <v>53</v>
      </c>
      <c r="CH146" t="s">
        <v>1303</v>
      </c>
      <c r="CI146">
        <v>4265061</v>
      </c>
      <c r="CJ146" t="s">
        <v>346</v>
      </c>
      <c r="CK146">
        <v>0.01</v>
      </c>
      <c r="CL146" t="s">
        <v>62</v>
      </c>
      <c r="CM146" t="s">
        <v>1975</v>
      </c>
      <c r="CN146">
        <v>115711662</v>
      </c>
      <c r="CO146" t="s">
        <v>276</v>
      </c>
      <c r="CP146">
        <v>0.03</v>
      </c>
      <c r="CQ146" t="s">
        <v>53</v>
      </c>
      <c r="CV146" t="s">
        <v>306</v>
      </c>
      <c r="DA146" t="s">
        <v>306</v>
      </c>
      <c r="DB146" t="s">
        <v>1435</v>
      </c>
      <c r="DC146">
        <v>4239389</v>
      </c>
      <c r="DD146" t="s">
        <v>346</v>
      </c>
      <c r="DE146">
        <v>0.03</v>
      </c>
      <c r="DF146" t="s">
        <v>2186</v>
      </c>
      <c r="DK146" t="s">
        <v>306</v>
      </c>
      <c r="DL146" t="s">
        <v>1435</v>
      </c>
      <c r="DM146">
        <v>4239389</v>
      </c>
      <c r="DN146" t="s">
        <v>346</v>
      </c>
      <c r="DO146">
        <v>0.03</v>
      </c>
      <c r="DP146" t="s">
        <v>2186</v>
      </c>
      <c r="DU146" t="s">
        <v>306</v>
      </c>
      <c r="DZ146" t="s">
        <v>306</v>
      </c>
      <c r="EA146" t="s">
        <v>1661</v>
      </c>
      <c r="EB146">
        <v>4092965</v>
      </c>
      <c r="EC146" t="s">
        <v>366</v>
      </c>
      <c r="ED146">
        <v>0.02</v>
      </c>
      <c r="EE146" t="s">
        <v>53</v>
      </c>
      <c r="EF146" t="s">
        <v>1435</v>
      </c>
      <c r="EG146">
        <v>4239389</v>
      </c>
      <c r="EH146" t="s">
        <v>346</v>
      </c>
      <c r="EI146">
        <v>0.03</v>
      </c>
      <c r="EJ146" t="s">
        <v>2186</v>
      </c>
      <c r="EO146" t="s">
        <v>306</v>
      </c>
      <c r="EP146" t="s">
        <v>748</v>
      </c>
      <c r="EQ146">
        <v>4138088</v>
      </c>
      <c r="ER146" t="s">
        <v>346</v>
      </c>
      <c r="ES146">
        <v>0</v>
      </c>
      <c r="ET146" t="s">
        <v>50</v>
      </c>
      <c r="EY146" t="s">
        <v>306</v>
      </c>
      <c r="FD146" t="s">
        <v>306</v>
      </c>
      <c r="FI146" t="s">
        <v>306</v>
      </c>
      <c r="FN146" t="s">
        <v>306</v>
      </c>
      <c r="FS146" t="s">
        <v>306</v>
      </c>
      <c r="FX146" t="s">
        <v>306</v>
      </c>
      <c r="FY146" t="s">
        <v>1435</v>
      </c>
      <c r="FZ146">
        <v>4239389</v>
      </c>
      <c r="GA146" t="s">
        <v>346</v>
      </c>
      <c r="GB146">
        <v>0.03</v>
      </c>
      <c r="GC146" t="s">
        <v>2186</v>
      </c>
      <c r="GH146" t="s">
        <v>306</v>
      </c>
      <c r="GM146" t="s">
        <v>306</v>
      </c>
      <c r="GR146" t="s">
        <v>306</v>
      </c>
      <c r="GS146" t="s">
        <v>831</v>
      </c>
      <c r="GT146">
        <v>109508756</v>
      </c>
      <c r="GU146" t="s">
        <v>346</v>
      </c>
      <c r="GV146">
        <v>0.01</v>
      </c>
      <c r="GW146" t="s">
        <v>306</v>
      </c>
      <c r="GX146" t="s">
        <v>1661</v>
      </c>
      <c r="GY146">
        <v>4092965</v>
      </c>
      <c r="GZ146" t="s">
        <v>366</v>
      </c>
      <c r="HA146">
        <v>0.02</v>
      </c>
      <c r="HB146" t="s">
        <v>53</v>
      </c>
      <c r="HG146" t="s">
        <v>306</v>
      </c>
    </row>
    <row r="147" spans="5:215" x14ac:dyDescent="0.35">
      <c r="E147" t="s">
        <v>306</v>
      </c>
      <c r="F147" t="s">
        <v>534</v>
      </c>
      <c r="G147">
        <v>4139851</v>
      </c>
      <c r="H147" t="s">
        <v>346</v>
      </c>
      <c r="I147">
        <v>0</v>
      </c>
      <c r="J147" t="s">
        <v>304</v>
      </c>
      <c r="O147" t="s">
        <v>306</v>
      </c>
      <c r="T147" t="s">
        <v>306</v>
      </c>
      <c r="U147" t="s">
        <v>757</v>
      </c>
      <c r="V147">
        <v>5804546</v>
      </c>
      <c r="W147" t="s">
        <v>364</v>
      </c>
      <c r="X147">
        <v>0.01</v>
      </c>
      <c r="Y147" t="s">
        <v>2181</v>
      </c>
      <c r="AD147" t="s">
        <v>306</v>
      </c>
      <c r="AE147" t="s">
        <v>1157</v>
      </c>
      <c r="AF147">
        <v>4090274</v>
      </c>
      <c r="AG147" t="s">
        <v>346</v>
      </c>
      <c r="AH147">
        <v>0</v>
      </c>
      <c r="AI147" t="s">
        <v>53</v>
      </c>
      <c r="AN147" t="s">
        <v>306</v>
      </c>
      <c r="AO147" t="s">
        <v>974</v>
      </c>
      <c r="AP147">
        <v>5828077</v>
      </c>
      <c r="AQ147" t="s">
        <v>346</v>
      </c>
      <c r="AR147">
        <v>0.01</v>
      </c>
      <c r="AS147" t="s">
        <v>313</v>
      </c>
      <c r="AX147" t="s">
        <v>306</v>
      </c>
      <c r="BC147" t="s">
        <v>306</v>
      </c>
      <c r="BD147" t="s">
        <v>415</v>
      </c>
      <c r="BE147">
        <v>110587</v>
      </c>
      <c r="BF147" t="s">
        <v>346</v>
      </c>
      <c r="BG147">
        <v>0.03</v>
      </c>
      <c r="BH147" t="s">
        <v>53</v>
      </c>
      <c r="BI147" t="s">
        <v>622</v>
      </c>
      <c r="BJ147">
        <v>4072625</v>
      </c>
      <c r="BK147" t="s">
        <v>346</v>
      </c>
      <c r="BL147">
        <v>0.01</v>
      </c>
      <c r="BM147" t="s">
        <v>53</v>
      </c>
      <c r="BN147" t="s">
        <v>746</v>
      </c>
      <c r="BO147">
        <v>4332537</v>
      </c>
      <c r="BP147" t="s">
        <v>346</v>
      </c>
      <c r="BQ147">
        <v>0.01</v>
      </c>
      <c r="BR147" t="s">
        <v>50</v>
      </c>
      <c r="BS147" t="s">
        <v>754</v>
      </c>
      <c r="BT147">
        <v>11183019</v>
      </c>
      <c r="BU147" t="s">
        <v>346</v>
      </c>
      <c r="BV147">
        <v>0.02</v>
      </c>
      <c r="BW147" t="s">
        <v>50</v>
      </c>
      <c r="BX147" t="s">
        <v>757</v>
      </c>
      <c r="BY147">
        <v>5804546</v>
      </c>
      <c r="BZ147" t="s">
        <v>364</v>
      </c>
      <c r="CA147">
        <v>0.01</v>
      </c>
      <c r="CB147" t="s">
        <v>2181</v>
      </c>
      <c r="CC147" t="s">
        <v>451</v>
      </c>
      <c r="CD147">
        <v>5747632</v>
      </c>
      <c r="CE147" t="s">
        <v>346</v>
      </c>
      <c r="CF147">
        <v>0.02</v>
      </c>
      <c r="CG147" t="s">
        <v>80</v>
      </c>
      <c r="CH147" t="s">
        <v>974</v>
      </c>
      <c r="CI147">
        <v>5828077</v>
      </c>
      <c r="CJ147" t="s">
        <v>346</v>
      </c>
      <c r="CK147">
        <v>0.01</v>
      </c>
      <c r="CL147" t="s">
        <v>313</v>
      </c>
      <c r="CM147" t="s">
        <v>452</v>
      </c>
      <c r="CN147">
        <v>4784107</v>
      </c>
      <c r="CO147" t="s">
        <v>346</v>
      </c>
      <c r="CP147">
        <v>0.03</v>
      </c>
      <c r="CQ147" t="s">
        <v>317</v>
      </c>
      <c r="CV147" t="s">
        <v>306</v>
      </c>
      <c r="DA147" t="s">
        <v>306</v>
      </c>
      <c r="DB147" t="s">
        <v>415</v>
      </c>
      <c r="DC147">
        <v>110587</v>
      </c>
      <c r="DD147" t="s">
        <v>346</v>
      </c>
      <c r="DE147">
        <v>0.03</v>
      </c>
      <c r="DF147" t="s">
        <v>53</v>
      </c>
      <c r="DK147" t="s">
        <v>306</v>
      </c>
      <c r="DL147" t="s">
        <v>415</v>
      </c>
      <c r="DM147">
        <v>110587</v>
      </c>
      <c r="DN147" t="s">
        <v>346</v>
      </c>
      <c r="DO147">
        <v>0.03</v>
      </c>
      <c r="DP147" t="s">
        <v>53</v>
      </c>
      <c r="DU147" t="s">
        <v>306</v>
      </c>
      <c r="DZ147" t="s">
        <v>306</v>
      </c>
      <c r="EA147" t="s">
        <v>451</v>
      </c>
      <c r="EB147">
        <v>5747632</v>
      </c>
      <c r="EC147" t="s">
        <v>346</v>
      </c>
      <c r="ED147">
        <v>0.02</v>
      </c>
      <c r="EE147" t="s">
        <v>80</v>
      </c>
      <c r="EF147" t="s">
        <v>415</v>
      </c>
      <c r="EG147">
        <v>110587</v>
      </c>
      <c r="EH147" t="s">
        <v>346</v>
      </c>
      <c r="EI147">
        <v>0.03</v>
      </c>
      <c r="EJ147" t="s">
        <v>53</v>
      </c>
      <c r="EO147" t="s">
        <v>306</v>
      </c>
      <c r="EP147" t="s">
        <v>930</v>
      </c>
      <c r="EQ147">
        <v>6892772</v>
      </c>
      <c r="ER147" t="s">
        <v>346</v>
      </c>
      <c r="ES147">
        <v>0</v>
      </c>
      <c r="ET147" t="s">
        <v>50</v>
      </c>
      <c r="EY147" t="s">
        <v>306</v>
      </c>
      <c r="FD147" t="s">
        <v>306</v>
      </c>
      <c r="FI147" t="s">
        <v>306</v>
      </c>
      <c r="FN147" t="s">
        <v>306</v>
      </c>
      <c r="FS147" t="s">
        <v>306</v>
      </c>
      <c r="FX147" t="s">
        <v>306</v>
      </c>
      <c r="FY147" t="s">
        <v>415</v>
      </c>
      <c r="FZ147">
        <v>110587</v>
      </c>
      <c r="GA147" t="s">
        <v>346</v>
      </c>
      <c r="GB147">
        <v>0.03</v>
      </c>
      <c r="GC147" t="s">
        <v>53</v>
      </c>
      <c r="GH147" t="s">
        <v>306</v>
      </c>
      <c r="GM147" t="s">
        <v>306</v>
      </c>
      <c r="GR147" t="s">
        <v>306</v>
      </c>
      <c r="GS147" t="s">
        <v>746</v>
      </c>
      <c r="GT147">
        <v>4332537</v>
      </c>
      <c r="GU147" t="s">
        <v>346</v>
      </c>
      <c r="GV147">
        <v>0.01</v>
      </c>
      <c r="GW147" t="s">
        <v>50</v>
      </c>
      <c r="GX147" t="s">
        <v>451</v>
      </c>
      <c r="GY147">
        <v>5747632</v>
      </c>
      <c r="GZ147" t="s">
        <v>346</v>
      </c>
      <c r="HA147">
        <v>0.02</v>
      </c>
      <c r="HB147" t="s">
        <v>80</v>
      </c>
      <c r="HG147" t="s">
        <v>306</v>
      </c>
    </row>
    <row r="148" spans="5:215" x14ac:dyDescent="0.35">
      <c r="E148" t="s">
        <v>306</v>
      </c>
      <c r="F148" t="s">
        <v>535</v>
      </c>
      <c r="G148">
        <v>4434811</v>
      </c>
      <c r="H148" t="s">
        <v>346</v>
      </c>
      <c r="I148">
        <v>0</v>
      </c>
      <c r="J148" t="s">
        <v>53</v>
      </c>
      <c r="O148" t="s">
        <v>306</v>
      </c>
      <c r="T148" t="s">
        <v>306</v>
      </c>
      <c r="U148" t="s">
        <v>758</v>
      </c>
      <c r="V148">
        <v>4890277</v>
      </c>
      <c r="W148" t="s">
        <v>346</v>
      </c>
      <c r="X148">
        <v>0.01</v>
      </c>
      <c r="Y148" t="s">
        <v>50</v>
      </c>
      <c r="AD148" t="s">
        <v>306</v>
      </c>
      <c r="AE148" t="s">
        <v>525</v>
      </c>
      <c r="AF148">
        <v>4227087</v>
      </c>
      <c r="AG148" t="s">
        <v>346</v>
      </c>
      <c r="AH148">
        <v>0</v>
      </c>
      <c r="AI148" t="s">
        <v>2185</v>
      </c>
      <c r="AN148" t="s">
        <v>306</v>
      </c>
      <c r="AO148" t="s">
        <v>398</v>
      </c>
      <c r="AP148">
        <v>4107954</v>
      </c>
      <c r="AQ148" t="s">
        <v>300</v>
      </c>
      <c r="AR148">
        <v>0.01</v>
      </c>
      <c r="AS148" t="s">
        <v>304</v>
      </c>
      <c r="AX148" t="s">
        <v>306</v>
      </c>
      <c r="BC148" t="s">
        <v>306</v>
      </c>
      <c r="BD148" t="s">
        <v>444</v>
      </c>
      <c r="BE148">
        <v>109988</v>
      </c>
      <c r="BF148" t="s">
        <v>346</v>
      </c>
      <c r="BG148">
        <v>0.03</v>
      </c>
      <c r="BH148" t="s">
        <v>53</v>
      </c>
      <c r="BI148" t="s">
        <v>519</v>
      </c>
      <c r="BJ148">
        <v>109968</v>
      </c>
      <c r="BK148" t="s">
        <v>346</v>
      </c>
      <c r="BL148">
        <v>0.01</v>
      </c>
      <c r="BM148" t="s">
        <v>53</v>
      </c>
      <c r="BN148" t="s">
        <v>466</v>
      </c>
      <c r="BO148">
        <v>111267</v>
      </c>
      <c r="BP148" t="s">
        <v>346</v>
      </c>
      <c r="BQ148">
        <v>0.01</v>
      </c>
      <c r="BR148" t="s">
        <v>313</v>
      </c>
      <c r="BS148" t="s">
        <v>975</v>
      </c>
      <c r="BT148">
        <v>15119005</v>
      </c>
      <c r="BU148" t="s">
        <v>346</v>
      </c>
      <c r="BV148">
        <v>0.02</v>
      </c>
      <c r="BW148" t="s">
        <v>53</v>
      </c>
      <c r="BX148" t="s">
        <v>758</v>
      </c>
      <c r="BY148">
        <v>4890277</v>
      </c>
      <c r="BZ148" t="s">
        <v>346</v>
      </c>
      <c r="CA148">
        <v>0.01</v>
      </c>
      <c r="CB148" t="s">
        <v>50</v>
      </c>
      <c r="CC148" t="s">
        <v>1662</v>
      </c>
      <c r="CD148">
        <v>5860684</v>
      </c>
      <c r="CE148" t="s">
        <v>364</v>
      </c>
      <c r="CF148">
        <v>0.02</v>
      </c>
      <c r="CG148" t="s">
        <v>114</v>
      </c>
      <c r="CH148" t="s">
        <v>398</v>
      </c>
      <c r="CI148">
        <v>4107954</v>
      </c>
      <c r="CJ148" t="s">
        <v>300</v>
      </c>
      <c r="CK148">
        <v>0.01</v>
      </c>
      <c r="CL148" t="s">
        <v>304</v>
      </c>
      <c r="CM148" t="s">
        <v>466</v>
      </c>
      <c r="CN148">
        <v>111267</v>
      </c>
      <c r="CO148" t="s">
        <v>346</v>
      </c>
      <c r="CP148">
        <v>0.03</v>
      </c>
      <c r="CQ148" t="s">
        <v>313</v>
      </c>
      <c r="CV148" t="s">
        <v>306</v>
      </c>
      <c r="DA148" t="s">
        <v>306</v>
      </c>
      <c r="DB148" t="s">
        <v>444</v>
      </c>
      <c r="DC148">
        <v>109988</v>
      </c>
      <c r="DD148" t="s">
        <v>346</v>
      </c>
      <c r="DE148">
        <v>0.03</v>
      </c>
      <c r="DF148" t="s">
        <v>53</v>
      </c>
      <c r="DK148" t="s">
        <v>306</v>
      </c>
      <c r="DL148" t="s">
        <v>444</v>
      </c>
      <c r="DM148">
        <v>109988</v>
      </c>
      <c r="DN148" t="s">
        <v>346</v>
      </c>
      <c r="DO148">
        <v>0.03</v>
      </c>
      <c r="DP148" t="s">
        <v>53</v>
      </c>
      <c r="DU148" t="s">
        <v>306</v>
      </c>
      <c r="DZ148" t="s">
        <v>306</v>
      </c>
      <c r="EA148" t="s">
        <v>1662</v>
      </c>
      <c r="EB148">
        <v>5860684</v>
      </c>
      <c r="EC148" t="s">
        <v>364</v>
      </c>
      <c r="ED148">
        <v>0.02</v>
      </c>
      <c r="EE148" t="s">
        <v>114</v>
      </c>
      <c r="EF148" t="s">
        <v>444</v>
      </c>
      <c r="EG148">
        <v>109988</v>
      </c>
      <c r="EH148" t="s">
        <v>346</v>
      </c>
      <c r="EI148">
        <v>0.03</v>
      </c>
      <c r="EJ148" t="s">
        <v>53</v>
      </c>
      <c r="EO148" t="s">
        <v>306</v>
      </c>
      <c r="EP148" t="s">
        <v>420</v>
      </c>
      <c r="EQ148">
        <v>19342220</v>
      </c>
      <c r="ER148" t="s">
        <v>346</v>
      </c>
      <c r="ES148">
        <v>0</v>
      </c>
      <c r="ET148" t="s">
        <v>53</v>
      </c>
      <c r="EY148" t="s">
        <v>306</v>
      </c>
      <c r="FD148" t="s">
        <v>306</v>
      </c>
      <c r="FI148" t="s">
        <v>306</v>
      </c>
      <c r="FN148" t="s">
        <v>306</v>
      </c>
      <c r="FS148" t="s">
        <v>306</v>
      </c>
      <c r="FX148" t="s">
        <v>306</v>
      </c>
      <c r="FY148" t="s">
        <v>444</v>
      </c>
      <c r="FZ148">
        <v>109988</v>
      </c>
      <c r="GA148" t="s">
        <v>346</v>
      </c>
      <c r="GB148">
        <v>0.03</v>
      </c>
      <c r="GC148" t="s">
        <v>53</v>
      </c>
      <c r="GH148" t="s">
        <v>306</v>
      </c>
      <c r="GM148" t="s">
        <v>306</v>
      </c>
      <c r="GR148" t="s">
        <v>306</v>
      </c>
      <c r="GS148" t="s">
        <v>466</v>
      </c>
      <c r="GT148">
        <v>111267</v>
      </c>
      <c r="GU148" t="s">
        <v>346</v>
      </c>
      <c r="GV148">
        <v>0.01</v>
      </c>
      <c r="GW148" t="s">
        <v>313</v>
      </c>
      <c r="GX148" t="s">
        <v>1662</v>
      </c>
      <c r="GY148">
        <v>5860684</v>
      </c>
      <c r="GZ148" t="s">
        <v>364</v>
      </c>
      <c r="HA148">
        <v>0.02</v>
      </c>
      <c r="HB148" t="s">
        <v>114</v>
      </c>
      <c r="HG148" t="s">
        <v>306</v>
      </c>
    </row>
    <row r="149" spans="5:215" x14ac:dyDescent="0.35">
      <c r="E149" t="s">
        <v>306</v>
      </c>
      <c r="F149" t="s">
        <v>536</v>
      </c>
      <c r="G149">
        <v>4432074</v>
      </c>
      <c r="H149" t="s">
        <v>346</v>
      </c>
      <c r="I149">
        <v>0</v>
      </c>
      <c r="J149" t="s">
        <v>80</v>
      </c>
      <c r="O149" t="s">
        <v>306</v>
      </c>
      <c r="T149" t="s">
        <v>306</v>
      </c>
      <c r="U149" t="s">
        <v>759</v>
      </c>
      <c r="V149">
        <v>4549477</v>
      </c>
      <c r="W149" t="s">
        <v>346</v>
      </c>
      <c r="X149">
        <v>0.01</v>
      </c>
      <c r="Y149" t="s">
        <v>326</v>
      </c>
      <c r="AD149" t="s">
        <v>306</v>
      </c>
      <c r="AE149" t="s">
        <v>510</v>
      </c>
      <c r="AF149">
        <v>4089114</v>
      </c>
      <c r="AG149" t="s">
        <v>346</v>
      </c>
      <c r="AH149">
        <v>0</v>
      </c>
      <c r="AI149" t="s">
        <v>53</v>
      </c>
      <c r="AN149" t="s">
        <v>306</v>
      </c>
      <c r="AO149" t="s">
        <v>1304</v>
      </c>
      <c r="AP149">
        <v>7490911</v>
      </c>
      <c r="AQ149" t="s">
        <v>346</v>
      </c>
      <c r="AR149">
        <v>0.01</v>
      </c>
      <c r="AS149" t="s">
        <v>62</v>
      </c>
      <c r="AX149" t="s">
        <v>306</v>
      </c>
      <c r="BC149" t="s">
        <v>306</v>
      </c>
      <c r="BD149" t="s">
        <v>412</v>
      </c>
      <c r="BE149">
        <v>109687</v>
      </c>
      <c r="BF149" t="s">
        <v>346</v>
      </c>
      <c r="BG149">
        <v>0.03</v>
      </c>
      <c r="BH149" t="s">
        <v>53</v>
      </c>
      <c r="BI149" t="s">
        <v>1061</v>
      </c>
      <c r="BJ149">
        <v>4422379</v>
      </c>
      <c r="BK149" t="s">
        <v>346</v>
      </c>
      <c r="BL149">
        <v>0.01</v>
      </c>
      <c r="BM149" t="s">
        <v>2185</v>
      </c>
      <c r="BN149" t="s">
        <v>457</v>
      </c>
      <c r="BO149">
        <v>110399</v>
      </c>
      <c r="BP149" t="s">
        <v>346</v>
      </c>
      <c r="BQ149">
        <v>0.01</v>
      </c>
      <c r="BR149" t="s">
        <v>53</v>
      </c>
      <c r="BS149" t="s">
        <v>976</v>
      </c>
      <c r="BT149">
        <v>5882287</v>
      </c>
      <c r="BU149" t="s">
        <v>346</v>
      </c>
      <c r="BV149">
        <v>0.02</v>
      </c>
      <c r="BW149" t="s">
        <v>313</v>
      </c>
      <c r="BX149" t="s">
        <v>759</v>
      </c>
      <c r="BY149">
        <v>4549477</v>
      </c>
      <c r="BZ149" t="s">
        <v>346</v>
      </c>
      <c r="CA149">
        <v>0.01</v>
      </c>
      <c r="CB149" t="s">
        <v>326</v>
      </c>
      <c r="CC149" t="s">
        <v>1663</v>
      </c>
      <c r="CD149">
        <v>4320346</v>
      </c>
      <c r="CE149" t="s">
        <v>346</v>
      </c>
      <c r="CF149">
        <v>0.02</v>
      </c>
      <c r="CG149" t="s">
        <v>313</v>
      </c>
      <c r="CH149" t="s">
        <v>1304</v>
      </c>
      <c r="CI149">
        <v>7490911</v>
      </c>
      <c r="CJ149" t="s">
        <v>346</v>
      </c>
      <c r="CK149">
        <v>0.01</v>
      </c>
      <c r="CL149" t="s">
        <v>62</v>
      </c>
      <c r="CM149" t="s">
        <v>431</v>
      </c>
      <c r="CN149">
        <v>4085931</v>
      </c>
      <c r="CO149" t="s">
        <v>346</v>
      </c>
      <c r="CP149">
        <v>0.03</v>
      </c>
      <c r="CQ149" t="s">
        <v>304</v>
      </c>
      <c r="CV149" t="s">
        <v>306</v>
      </c>
      <c r="DA149" t="s">
        <v>306</v>
      </c>
      <c r="DB149" t="s">
        <v>412</v>
      </c>
      <c r="DC149">
        <v>109687</v>
      </c>
      <c r="DD149" t="s">
        <v>346</v>
      </c>
      <c r="DE149">
        <v>0.03</v>
      </c>
      <c r="DF149" t="s">
        <v>53</v>
      </c>
      <c r="DK149" t="s">
        <v>306</v>
      </c>
      <c r="DL149" t="s">
        <v>412</v>
      </c>
      <c r="DM149">
        <v>109687</v>
      </c>
      <c r="DN149" t="s">
        <v>346</v>
      </c>
      <c r="DO149">
        <v>0.03</v>
      </c>
      <c r="DP149" t="s">
        <v>53</v>
      </c>
      <c r="DU149" t="s">
        <v>306</v>
      </c>
      <c r="DZ149" t="s">
        <v>306</v>
      </c>
      <c r="EA149" t="s">
        <v>1663</v>
      </c>
      <c r="EB149">
        <v>4320346</v>
      </c>
      <c r="EC149" t="s">
        <v>346</v>
      </c>
      <c r="ED149">
        <v>0.02</v>
      </c>
      <c r="EE149" t="s">
        <v>313</v>
      </c>
      <c r="EF149" t="s">
        <v>412</v>
      </c>
      <c r="EG149">
        <v>109687</v>
      </c>
      <c r="EH149" t="s">
        <v>346</v>
      </c>
      <c r="EI149">
        <v>0.03</v>
      </c>
      <c r="EJ149" t="s">
        <v>53</v>
      </c>
      <c r="EO149" t="s">
        <v>306</v>
      </c>
      <c r="EP149" t="s">
        <v>418</v>
      </c>
      <c r="EQ149">
        <v>109776</v>
      </c>
      <c r="ER149" t="s">
        <v>346</v>
      </c>
      <c r="ES149">
        <v>0</v>
      </c>
      <c r="ET149" t="s">
        <v>53</v>
      </c>
      <c r="EY149" t="s">
        <v>306</v>
      </c>
      <c r="FD149" t="s">
        <v>306</v>
      </c>
      <c r="FI149" t="s">
        <v>306</v>
      </c>
      <c r="FN149" t="s">
        <v>306</v>
      </c>
      <c r="FS149" t="s">
        <v>306</v>
      </c>
      <c r="FX149" t="s">
        <v>306</v>
      </c>
      <c r="FY149" t="s">
        <v>412</v>
      </c>
      <c r="FZ149">
        <v>109687</v>
      </c>
      <c r="GA149" t="s">
        <v>346</v>
      </c>
      <c r="GB149">
        <v>0.03</v>
      </c>
      <c r="GC149" t="s">
        <v>53</v>
      </c>
      <c r="GH149" t="s">
        <v>306</v>
      </c>
      <c r="GM149" t="s">
        <v>306</v>
      </c>
      <c r="GR149" t="s">
        <v>306</v>
      </c>
      <c r="GS149" t="s">
        <v>457</v>
      </c>
      <c r="GT149">
        <v>110399</v>
      </c>
      <c r="GU149" t="s">
        <v>346</v>
      </c>
      <c r="GV149">
        <v>0.01</v>
      </c>
      <c r="GW149" t="s">
        <v>53</v>
      </c>
      <c r="GX149" t="s">
        <v>1663</v>
      </c>
      <c r="GY149">
        <v>4320346</v>
      </c>
      <c r="GZ149" t="s">
        <v>346</v>
      </c>
      <c r="HA149">
        <v>0.02</v>
      </c>
      <c r="HB149" t="s">
        <v>313</v>
      </c>
      <c r="HG149" t="s">
        <v>306</v>
      </c>
    </row>
    <row r="150" spans="5:215" x14ac:dyDescent="0.35">
      <c r="E150" t="s">
        <v>306</v>
      </c>
      <c r="F150" t="s">
        <v>537</v>
      </c>
      <c r="G150">
        <v>5834897</v>
      </c>
      <c r="H150" t="s">
        <v>346</v>
      </c>
      <c r="I150">
        <v>0</v>
      </c>
      <c r="J150" t="s">
        <v>313</v>
      </c>
      <c r="O150" t="s">
        <v>306</v>
      </c>
      <c r="T150" t="s">
        <v>306</v>
      </c>
      <c r="U150" t="s">
        <v>760</v>
      </c>
      <c r="V150">
        <v>4677331</v>
      </c>
      <c r="W150" t="s">
        <v>346</v>
      </c>
      <c r="X150">
        <v>0.01</v>
      </c>
      <c r="Y150" t="s">
        <v>50</v>
      </c>
      <c r="AD150" t="s">
        <v>306</v>
      </c>
      <c r="AE150" t="s">
        <v>453</v>
      </c>
      <c r="AF150">
        <v>4318598</v>
      </c>
      <c r="AG150" t="s">
        <v>346</v>
      </c>
      <c r="AH150">
        <v>0</v>
      </c>
      <c r="AI150" t="s">
        <v>53</v>
      </c>
      <c r="AN150" t="s">
        <v>306</v>
      </c>
      <c r="AO150" t="s">
        <v>873</v>
      </c>
      <c r="AP150">
        <v>4873872</v>
      </c>
      <c r="AQ150" t="s">
        <v>346</v>
      </c>
      <c r="AR150">
        <v>0.01</v>
      </c>
      <c r="AS150" t="s">
        <v>2184</v>
      </c>
      <c r="AX150" t="s">
        <v>306</v>
      </c>
      <c r="BC150" t="s">
        <v>306</v>
      </c>
      <c r="BD150" t="s">
        <v>436</v>
      </c>
      <c r="BE150">
        <v>111219</v>
      </c>
      <c r="BF150" t="s">
        <v>346</v>
      </c>
      <c r="BG150">
        <v>0.03</v>
      </c>
      <c r="BH150" t="s">
        <v>53</v>
      </c>
      <c r="BI150" t="s">
        <v>547</v>
      </c>
      <c r="BJ150">
        <v>4005523</v>
      </c>
      <c r="BK150" t="s">
        <v>346</v>
      </c>
      <c r="BL150">
        <v>0.01</v>
      </c>
      <c r="BM150" t="s">
        <v>80</v>
      </c>
      <c r="BN150" t="s">
        <v>739</v>
      </c>
      <c r="BO150">
        <v>4311270</v>
      </c>
      <c r="BP150" t="s">
        <v>346</v>
      </c>
      <c r="BQ150">
        <v>0.01</v>
      </c>
      <c r="BR150" t="s">
        <v>50</v>
      </c>
      <c r="BS150" t="s">
        <v>748</v>
      </c>
      <c r="BT150">
        <v>4138088</v>
      </c>
      <c r="BU150" t="s">
        <v>346</v>
      </c>
      <c r="BV150">
        <v>0.02</v>
      </c>
      <c r="BW150" t="s">
        <v>50</v>
      </c>
      <c r="BX150" t="s">
        <v>760</v>
      </c>
      <c r="BY150">
        <v>4677331</v>
      </c>
      <c r="BZ150" t="s">
        <v>346</v>
      </c>
      <c r="CA150">
        <v>0.01</v>
      </c>
      <c r="CB150" t="s">
        <v>50</v>
      </c>
      <c r="CC150" t="s">
        <v>466</v>
      </c>
      <c r="CD150">
        <v>111267</v>
      </c>
      <c r="CE150" t="s">
        <v>346</v>
      </c>
      <c r="CF150">
        <v>0.02</v>
      </c>
      <c r="CG150" t="s">
        <v>313</v>
      </c>
      <c r="CH150" t="s">
        <v>873</v>
      </c>
      <c r="CI150">
        <v>4873872</v>
      </c>
      <c r="CJ150" t="s">
        <v>346</v>
      </c>
      <c r="CK150">
        <v>0.01</v>
      </c>
      <c r="CL150" t="s">
        <v>2184</v>
      </c>
      <c r="CM150" t="s">
        <v>1976</v>
      </c>
      <c r="CN150">
        <v>4255945</v>
      </c>
      <c r="CO150" t="s">
        <v>276</v>
      </c>
      <c r="CP150">
        <v>0.03</v>
      </c>
      <c r="CQ150" t="s">
        <v>53</v>
      </c>
      <c r="CV150" t="s">
        <v>306</v>
      </c>
      <c r="DA150" t="s">
        <v>306</v>
      </c>
      <c r="DB150" t="s">
        <v>436</v>
      </c>
      <c r="DC150">
        <v>111219</v>
      </c>
      <c r="DD150" t="s">
        <v>346</v>
      </c>
      <c r="DE150">
        <v>0.03</v>
      </c>
      <c r="DF150" t="s">
        <v>53</v>
      </c>
      <c r="DK150" t="s">
        <v>306</v>
      </c>
      <c r="DL150" t="s">
        <v>436</v>
      </c>
      <c r="DM150">
        <v>111219</v>
      </c>
      <c r="DN150" t="s">
        <v>346</v>
      </c>
      <c r="DO150">
        <v>0.03</v>
      </c>
      <c r="DP150" t="s">
        <v>53</v>
      </c>
      <c r="DU150" t="s">
        <v>306</v>
      </c>
      <c r="DZ150" t="s">
        <v>306</v>
      </c>
      <c r="EA150" t="s">
        <v>466</v>
      </c>
      <c r="EB150">
        <v>111267</v>
      </c>
      <c r="EC150" t="s">
        <v>346</v>
      </c>
      <c r="ED150">
        <v>0.02</v>
      </c>
      <c r="EE150" t="s">
        <v>313</v>
      </c>
      <c r="EF150" t="s">
        <v>436</v>
      </c>
      <c r="EG150">
        <v>111219</v>
      </c>
      <c r="EH150" t="s">
        <v>346</v>
      </c>
      <c r="EI150">
        <v>0.03</v>
      </c>
      <c r="EJ150" t="s">
        <v>53</v>
      </c>
      <c r="EO150" t="s">
        <v>306</v>
      </c>
      <c r="ET150" t="s">
        <v>306</v>
      </c>
      <c r="EY150" t="s">
        <v>306</v>
      </c>
      <c r="FD150" t="s">
        <v>306</v>
      </c>
      <c r="FI150" t="s">
        <v>306</v>
      </c>
      <c r="FN150" t="s">
        <v>306</v>
      </c>
      <c r="FS150" t="s">
        <v>306</v>
      </c>
      <c r="FX150" t="s">
        <v>306</v>
      </c>
      <c r="FY150" t="s">
        <v>436</v>
      </c>
      <c r="FZ150">
        <v>111219</v>
      </c>
      <c r="GA150" t="s">
        <v>346</v>
      </c>
      <c r="GB150">
        <v>0.03</v>
      </c>
      <c r="GC150" t="s">
        <v>53</v>
      </c>
      <c r="GH150" t="s">
        <v>306</v>
      </c>
      <c r="GM150" t="s">
        <v>306</v>
      </c>
      <c r="GR150" t="s">
        <v>306</v>
      </c>
      <c r="GS150" t="s">
        <v>739</v>
      </c>
      <c r="GT150">
        <v>4311270</v>
      </c>
      <c r="GU150" t="s">
        <v>346</v>
      </c>
      <c r="GV150">
        <v>0.01</v>
      </c>
      <c r="GW150" t="s">
        <v>50</v>
      </c>
      <c r="GX150" t="s">
        <v>466</v>
      </c>
      <c r="GY150">
        <v>111267</v>
      </c>
      <c r="GZ150" t="s">
        <v>346</v>
      </c>
      <c r="HA150">
        <v>0.02</v>
      </c>
      <c r="HB150" t="s">
        <v>313</v>
      </c>
      <c r="HG150" t="s">
        <v>306</v>
      </c>
    </row>
    <row r="151" spans="5:215" x14ac:dyDescent="0.35">
      <c r="E151" t="s">
        <v>306</v>
      </c>
      <c r="F151" t="s">
        <v>538</v>
      </c>
      <c r="G151">
        <v>4547194</v>
      </c>
      <c r="H151" t="s">
        <v>346</v>
      </c>
      <c r="I151">
        <v>0</v>
      </c>
      <c r="J151" t="s">
        <v>2194</v>
      </c>
      <c r="O151" t="s">
        <v>306</v>
      </c>
      <c r="T151" t="s">
        <v>306</v>
      </c>
      <c r="U151" t="s">
        <v>410</v>
      </c>
      <c r="V151">
        <v>5759394</v>
      </c>
      <c r="W151" t="s">
        <v>346</v>
      </c>
      <c r="X151">
        <v>0.01</v>
      </c>
      <c r="Y151" t="s">
        <v>2186</v>
      </c>
      <c r="AD151" t="s">
        <v>306</v>
      </c>
      <c r="AE151" t="s">
        <v>515</v>
      </c>
      <c r="AF151">
        <v>109731</v>
      </c>
      <c r="AG151" t="s">
        <v>346</v>
      </c>
      <c r="AH151">
        <v>0</v>
      </c>
      <c r="AI151" t="s">
        <v>53</v>
      </c>
      <c r="AN151" t="s">
        <v>306</v>
      </c>
      <c r="AO151" t="s">
        <v>1305</v>
      </c>
      <c r="AP151">
        <v>5866366</v>
      </c>
      <c r="AQ151" t="s">
        <v>346</v>
      </c>
      <c r="AR151">
        <v>0.01</v>
      </c>
      <c r="AS151" t="s">
        <v>62</v>
      </c>
      <c r="AX151" t="s">
        <v>306</v>
      </c>
      <c r="BC151" t="s">
        <v>306</v>
      </c>
      <c r="BD151" t="s">
        <v>1436</v>
      </c>
      <c r="BE151">
        <v>4138868</v>
      </c>
      <c r="BF151" t="s">
        <v>346</v>
      </c>
      <c r="BG151">
        <v>0.03</v>
      </c>
      <c r="BH151" t="s">
        <v>323</v>
      </c>
      <c r="BI151" t="s">
        <v>586</v>
      </c>
      <c r="BJ151">
        <v>4251516</v>
      </c>
      <c r="BK151" t="s">
        <v>346</v>
      </c>
      <c r="BL151">
        <v>0.01</v>
      </c>
      <c r="BM151" t="s">
        <v>320</v>
      </c>
      <c r="BN151" t="s">
        <v>760</v>
      </c>
      <c r="BO151">
        <v>4677331</v>
      </c>
      <c r="BP151" t="s">
        <v>346</v>
      </c>
      <c r="BQ151">
        <v>0.01</v>
      </c>
      <c r="BR151" t="s">
        <v>50</v>
      </c>
      <c r="BS151" t="s">
        <v>977</v>
      </c>
      <c r="BT151">
        <v>4578628</v>
      </c>
      <c r="BU151" t="s">
        <v>346</v>
      </c>
      <c r="BV151">
        <v>0.02</v>
      </c>
      <c r="BW151" t="s">
        <v>53</v>
      </c>
      <c r="BX151" t="s">
        <v>410</v>
      </c>
      <c r="BY151">
        <v>5759394</v>
      </c>
      <c r="BZ151" t="s">
        <v>346</v>
      </c>
      <c r="CA151">
        <v>0.01</v>
      </c>
      <c r="CB151" t="s">
        <v>2186</v>
      </c>
      <c r="CC151" t="s">
        <v>1664</v>
      </c>
      <c r="CD151">
        <v>7384223</v>
      </c>
      <c r="CE151" t="s">
        <v>364</v>
      </c>
      <c r="CF151">
        <v>0.02</v>
      </c>
      <c r="CG151" t="s">
        <v>53</v>
      </c>
      <c r="CH151" t="s">
        <v>1305</v>
      </c>
      <c r="CI151">
        <v>5866366</v>
      </c>
      <c r="CJ151" t="s">
        <v>346</v>
      </c>
      <c r="CK151">
        <v>0.01</v>
      </c>
      <c r="CL151" t="s">
        <v>62</v>
      </c>
      <c r="CM151" t="s">
        <v>1831</v>
      </c>
      <c r="CN151">
        <v>4169610</v>
      </c>
      <c r="CO151" t="s">
        <v>346</v>
      </c>
      <c r="CP151">
        <v>0.03</v>
      </c>
      <c r="CQ151" t="s">
        <v>80</v>
      </c>
      <c r="CV151" t="s">
        <v>306</v>
      </c>
      <c r="DA151" t="s">
        <v>306</v>
      </c>
      <c r="DB151" t="s">
        <v>1436</v>
      </c>
      <c r="DC151">
        <v>4138868</v>
      </c>
      <c r="DD151" t="s">
        <v>346</v>
      </c>
      <c r="DE151">
        <v>0.03</v>
      </c>
      <c r="DF151" t="s">
        <v>323</v>
      </c>
      <c r="DK151" t="s">
        <v>306</v>
      </c>
      <c r="DL151" t="s">
        <v>1436</v>
      </c>
      <c r="DM151">
        <v>4138868</v>
      </c>
      <c r="DN151" t="s">
        <v>346</v>
      </c>
      <c r="DO151">
        <v>0.03</v>
      </c>
      <c r="DP151" t="s">
        <v>323</v>
      </c>
      <c r="DU151" t="s">
        <v>306</v>
      </c>
      <c r="DZ151" t="s">
        <v>306</v>
      </c>
      <c r="EA151" t="s">
        <v>1664</v>
      </c>
      <c r="EB151">
        <v>7384223</v>
      </c>
      <c r="EC151" t="s">
        <v>364</v>
      </c>
      <c r="ED151">
        <v>0.02</v>
      </c>
      <c r="EE151" t="s">
        <v>53</v>
      </c>
      <c r="EF151" t="s">
        <v>1436</v>
      </c>
      <c r="EG151">
        <v>4138868</v>
      </c>
      <c r="EH151" t="s">
        <v>346</v>
      </c>
      <c r="EI151">
        <v>0.03</v>
      </c>
      <c r="EJ151" t="s">
        <v>323</v>
      </c>
      <c r="EO151" t="s">
        <v>306</v>
      </c>
      <c r="ET151" t="s">
        <v>306</v>
      </c>
      <c r="EY151" t="s">
        <v>306</v>
      </c>
      <c r="FD151" t="s">
        <v>306</v>
      </c>
      <c r="FI151" t="s">
        <v>306</v>
      </c>
      <c r="FN151" t="s">
        <v>306</v>
      </c>
      <c r="FS151" t="s">
        <v>306</v>
      </c>
      <c r="FX151" t="s">
        <v>306</v>
      </c>
      <c r="FY151" t="s">
        <v>1436</v>
      </c>
      <c r="FZ151">
        <v>4138868</v>
      </c>
      <c r="GA151" t="s">
        <v>346</v>
      </c>
      <c r="GB151">
        <v>0.03</v>
      </c>
      <c r="GC151" t="s">
        <v>323</v>
      </c>
      <c r="GH151" t="s">
        <v>306</v>
      </c>
      <c r="GM151" t="s">
        <v>306</v>
      </c>
      <c r="GR151" t="s">
        <v>306</v>
      </c>
      <c r="GS151" t="s">
        <v>760</v>
      </c>
      <c r="GT151">
        <v>4677331</v>
      </c>
      <c r="GU151" t="s">
        <v>346</v>
      </c>
      <c r="GV151">
        <v>0.01</v>
      </c>
      <c r="GW151" t="s">
        <v>50</v>
      </c>
      <c r="GX151" t="s">
        <v>1664</v>
      </c>
      <c r="GY151">
        <v>7384223</v>
      </c>
      <c r="GZ151" t="s">
        <v>364</v>
      </c>
      <c r="HA151">
        <v>0.02</v>
      </c>
      <c r="HB151" t="s">
        <v>53</v>
      </c>
      <c r="HG151" t="s">
        <v>306</v>
      </c>
    </row>
    <row r="152" spans="5:215" x14ac:dyDescent="0.35">
      <c r="E152" t="s">
        <v>306</v>
      </c>
      <c r="F152" t="s">
        <v>539</v>
      </c>
      <c r="G152">
        <v>4341249</v>
      </c>
      <c r="H152" t="s">
        <v>346</v>
      </c>
      <c r="I152">
        <v>0</v>
      </c>
      <c r="J152" t="s">
        <v>304</v>
      </c>
      <c r="O152" t="s">
        <v>306</v>
      </c>
      <c r="T152" t="s">
        <v>306</v>
      </c>
      <c r="U152" t="s">
        <v>761</v>
      </c>
      <c r="V152">
        <v>15102002</v>
      </c>
      <c r="W152" t="s">
        <v>346</v>
      </c>
      <c r="X152">
        <v>0.01</v>
      </c>
      <c r="Y152" t="s">
        <v>50</v>
      </c>
      <c r="AD152" t="s">
        <v>306</v>
      </c>
      <c r="AE152" t="s">
        <v>873</v>
      </c>
      <c r="AF152">
        <v>4873872</v>
      </c>
      <c r="AG152" t="s">
        <v>346</v>
      </c>
      <c r="AH152">
        <v>0</v>
      </c>
      <c r="AI152" t="s">
        <v>2184</v>
      </c>
      <c r="AN152" t="s">
        <v>306</v>
      </c>
      <c r="AO152" t="s">
        <v>894</v>
      </c>
      <c r="AP152">
        <v>4139629</v>
      </c>
      <c r="AQ152" t="s">
        <v>346</v>
      </c>
      <c r="AR152">
        <v>0.01</v>
      </c>
      <c r="AS152" t="s">
        <v>2181</v>
      </c>
      <c r="AX152" t="s">
        <v>306</v>
      </c>
      <c r="BC152" t="s">
        <v>306</v>
      </c>
      <c r="BD152" t="s">
        <v>1437</v>
      </c>
      <c r="BE152">
        <v>4296071</v>
      </c>
      <c r="BF152" t="s">
        <v>346</v>
      </c>
      <c r="BG152">
        <v>0.03</v>
      </c>
      <c r="BH152" t="s">
        <v>326</v>
      </c>
      <c r="BI152" t="s">
        <v>1032</v>
      </c>
      <c r="BJ152">
        <v>4343973</v>
      </c>
      <c r="BK152" t="s">
        <v>346</v>
      </c>
      <c r="BL152">
        <v>0.01</v>
      </c>
      <c r="BM152" t="s">
        <v>375</v>
      </c>
      <c r="BN152" t="s">
        <v>1034</v>
      </c>
      <c r="BO152">
        <v>4256960</v>
      </c>
      <c r="BP152" t="s">
        <v>346</v>
      </c>
      <c r="BQ152">
        <v>0.01</v>
      </c>
      <c r="BR152" t="s">
        <v>2183</v>
      </c>
      <c r="BS152" t="s">
        <v>743</v>
      </c>
      <c r="BT152">
        <v>4137999</v>
      </c>
      <c r="BU152" t="s">
        <v>346</v>
      </c>
      <c r="BV152">
        <v>0.02</v>
      </c>
      <c r="BW152" t="s">
        <v>50</v>
      </c>
      <c r="BX152" t="s">
        <v>761</v>
      </c>
      <c r="BY152">
        <v>15102002</v>
      </c>
      <c r="BZ152" t="s">
        <v>346</v>
      </c>
      <c r="CA152">
        <v>0.01</v>
      </c>
      <c r="CB152" t="s">
        <v>50</v>
      </c>
      <c r="CC152" t="s">
        <v>633</v>
      </c>
      <c r="CD152">
        <v>114508</v>
      </c>
      <c r="CE152" t="s">
        <v>366</v>
      </c>
      <c r="CF152">
        <v>0.02</v>
      </c>
      <c r="CG152" t="s">
        <v>313</v>
      </c>
      <c r="CH152" t="s">
        <v>894</v>
      </c>
      <c r="CI152">
        <v>4139629</v>
      </c>
      <c r="CJ152" t="s">
        <v>346</v>
      </c>
      <c r="CK152">
        <v>0.01</v>
      </c>
      <c r="CL152" t="s">
        <v>2181</v>
      </c>
      <c r="CM152" t="s">
        <v>954</v>
      </c>
      <c r="CN152">
        <v>4026994</v>
      </c>
      <c r="CO152" t="s">
        <v>346</v>
      </c>
      <c r="CP152">
        <v>0.03</v>
      </c>
      <c r="CQ152" t="s">
        <v>321</v>
      </c>
      <c r="CV152" t="s">
        <v>306</v>
      </c>
      <c r="DA152" t="s">
        <v>306</v>
      </c>
      <c r="DB152" t="s">
        <v>1437</v>
      </c>
      <c r="DC152">
        <v>4296071</v>
      </c>
      <c r="DD152" t="s">
        <v>346</v>
      </c>
      <c r="DE152">
        <v>0.03</v>
      </c>
      <c r="DF152" t="s">
        <v>326</v>
      </c>
      <c r="DK152" t="s">
        <v>306</v>
      </c>
      <c r="DL152" t="s">
        <v>1437</v>
      </c>
      <c r="DM152">
        <v>4296071</v>
      </c>
      <c r="DN152" t="s">
        <v>346</v>
      </c>
      <c r="DO152">
        <v>0.03</v>
      </c>
      <c r="DP152" t="s">
        <v>326</v>
      </c>
      <c r="DU152" t="s">
        <v>306</v>
      </c>
      <c r="DZ152" t="s">
        <v>306</v>
      </c>
      <c r="EA152" t="s">
        <v>633</v>
      </c>
      <c r="EB152">
        <v>114508</v>
      </c>
      <c r="EC152" t="s">
        <v>366</v>
      </c>
      <c r="ED152">
        <v>0.02</v>
      </c>
      <c r="EE152" t="s">
        <v>313</v>
      </c>
      <c r="EF152" t="s">
        <v>1437</v>
      </c>
      <c r="EG152">
        <v>4296071</v>
      </c>
      <c r="EH152" t="s">
        <v>346</v>
      </c>
      <c r="EI152">
        <v>0.03</v>
      </c>
      <c r="EJ152" t="s">
        <v>326</v>
      </c>
      <c r="EO152" t="s">
        <v>306</v>
      </c>
      <c r="ET152" t="s">
        <v>306</v>
      </c>
      <c r="EY152" t="s">
        <v>306</v>
      </c>
      <c r="FD152" t="s">
        <v>306</v>
      </c>
      <c r="FI152" t="s">
        <v>306</v>
      </c>
      <c r="FN152" t="s">
        <v>306</v>
      </c>
      <c r="FS152" t="s">
        <v>306</v>
      </c>
      <c r="FX152" t="s">
        <v>306</v>
      </c>
      <c r="FY152" t="s">
        <v>1437</v>
      </c>
      <c r="FZ152">
        <v>4296071</v>
      </c>
      <c r="GA152" t="s">
        <v>346</v>
      </c>
      <c r="GB152">
        <v>0.03</v>
      </c>
      <c r="GC152" t="s">
        <v>326</v>
      </c>
      <c r="GH152" t="s">
        <v>306</v>
      </c>
      <c r="GM152" t="s">
        <v>306</v>
      </c>
      <c r="GR152" t="s">
        <v>306</v>
      </c>
      <c r="GS152" t="s">
        <v>1034</v>
      </c>
      <c r="GT152">
        <v>4256960</v>
      </c>
      <c r="GU152" t="s">
        <v>346</v>
      </c>
      <c r="GV152">
        <v>0.01</v>
      </c>
      <c r="GW152" t="s">
        <v>2183</v>
      </c>
      <c r="GX152" t="s">
        <v>633</v>
      </c>
      <c r="GY152">
        <v>114508</v>
      </c>
      <c r="GZ152" t="s">
        <v>366</v>
      </c>
      <c r="HA152">
        <v>0.02</v>
      </c>
      <c r="HB152" t="s">
        <v>313</v>
      </c>
      <c r="HG152" t="s">
        <v>306</v>
      </c>
    </row>
    <row r="153" spans="5:215" x14ac:dyDescent="0.35">
      <c r="E153" t="s">
        <v>306</v>
      </c>
      <c r="F153" t="s">
        <v>540</v>
      </c>
      <c r="G153">
        <v>4281265</v>
      </c>
      <c r="H153" t="s">
        <v>346</v>
      </c>
      <c r="I153">
        <v>0</v>
      </c>
      <c r="J153" t="s">
        <v>80</v>
      </c>
      <c r="O153" t="s">
        <v>306</v>
      </c>
      <c r="T153" t="s">
        <v>306</v>
      </c>
      <c r="U153" t="s">
        <v>762</v>
      </c>
      <c r="V153">
        <v>5854382</v>
      </c>
      <c r="W153" t="s">
        <v>346</v>
      </c>
      <c r="X153">
        <v>0.01</v>
      </c>
      <c r="Y153" t="s">
        <v>326</v>
      </c>
      <c r="AD153" t="s">
        <v>306</v>
      </c>
      <c r="AE153" t="s">
        <v>537</v>
      </c>
      <c r="AF153">
        <v>5834897</v>
      </c>
      <c r="AG153" t="s">
        <v>346</v>
      </c>
      <c r="AH153">
        <v>0</v>
      </c>
      <c r="AI153" t="s">
        <v>313</v>
      </c>
      <c r="AN153" t="s">
        <v>306</v>
      </c>
      <c r="AO153" t="s">
        <v>1306</v>
      </c>
      <c r="AP153">
        <v>5879300</v>
      </c>
      <c r="AQ153" t="s">
        <v>364</v>
      </c>
      <c r="AR153">
        <v>0.01</v>
      </c>
      <c r="AS153" t="s">
        <v>62</v>
      </c>
      <c r="AX153" t="s">
        <v>306</v>
      </c>
      <c r="BC153" t="s">
        <v>306</v>
      </c>
      <c r="BD153" t="s">
        <v>1438</v>
      </c>
      <c r="BE153">
        <v>4206137</v>
      </c>
      <c r="BF153" t="s">
        <v>346</v>
      </c>
      <c r="BG153">
        <v>0.03</v>
      </c>
      <c r="BH153" t="s">
        <v>2184</v>
      </c>
      <c r="BI153" t="s">
        <v>498</v>
      </c>
      <c r="BJ153">
        <v>4187546</v>
      </c>
      <c r="BK153" t="s">
        <v>346</v>
      </c>
      <c r="BL153">
        <v>0.01</v>
      </c>
      <c r="BM153" t="s">
        <v>53</v>
      </c>
      <c r="BN153" t="s">
        <v>1239</v>
      </c>
      <c r="BO153">
        <v>111486</v>
      </c>
      <c r="BP153" t="s">
        <v>346</v>
      </c>
      <c r="BQ153">
        <v>0.01</v>
      </c>
      <c r="BR153" t="s">
        <v>53</v>
      </c>
      <c r="BS153" t="s">
        <v>458</v>
      </c>
      <c r="BT153">
        <v>109806</v>
      </c>
      <c r="BU153" t="s">
        <v>346</v>
      </c>
      <c r="BV153">
        <v>0.02</v>
      </c>
      <c r="BW153" t="s">
        <v>53</v>
      </c>
      <c r="BX153" t="s">
        <v>762</v>
      </c>
      <c r="BY153">
        <v>5854382</v>
      </c>
      <c r="BZ153" t="s">
        <v>346</v>
      </c>
      <c r="CA153">
        <v>0.01</v>
      </c>
      <c r="CB153" t="s">
        <v>326</v>
      </c>
      <c r="CC153" t="s">
        <v>425</v>
      </c>
      <c r="CD153">
        <v>4137704</v>
      </c>
      <c r="CE153" t="s">
        <v>346</v>
      </c>
      <c r="CF153">
        <v>0.02</v>
      </c>
      <c r="CG153" t="s">
        <v>304</v>
      </c>
      <c r="CH153" t="s">
        <v>1306</v>
      </c>
      <c r="CI153">
        <v>5879300</v>
      </c>
      <c r="CJ153" t="s">
        <v>364</v>
      </c>
      <c r="CK153">
        <v>0.01</v>
      </c>
      <c r="CL153" t="s">
        <v>62</v>
      </c>
      <c r="CM153" t="s">
        <v>425</v>
      </c>
      <c r="CN153">
        <v>4137704</v>
      </c>
      <c r="CO153" t="s">
        <v>346</v>
      </c>
      <c r="CP153">
        <v>0.03</v>
      </c>
      <c r="CQ153" t="s">
        <v>304</v>
      </c>
      <c r="CV153" t="s">
        <v>306</v>
      </c>
      <c r="DA153" t="s">
        <v>306</v>
      </c>
      <c r="DB153" t="s">
        <v>1438</v>
      </c>
      <c r="DC153">
        <v>4206137</v>
      </c>
      <c r="DD153" t="s">
        <v>346</v>
      </c>
      <c r="DE153">
        <v>0.03</v>
      </c>
      <c r="DF153" t="s">
        <v>2184</v>
      </c>
      <c r="DK153" t="s">
        <v>306</v>
      </c>
      <c r="DL153" t="s">
        <v>1438</v>
      </c>
      <c r="DM153">
        <v>4206137</v>
      </c>
      <c r="DN153" t="s">
        <v>346</v>
      </c>
      <c r="DO153">
        <v>0.03</v>
      </c>
      <c r="DP153" t="s">
        <v>2184</v>
      </c>
      <c r="DU153" t="s">
        <v>306</v>
      </c>
      <c r="DZ153" t="s">
        <v>306</v>
      </c>
      <c r="EA153" t="s">
        <v>425</v>
      </c>
      <c r="EB153">
        <v>4137704</v>
      </c>
      <c r="EC153" t="s">
        <v>346</v>
      </c>
      <c r="ED153">
        <v>0.02</v>
      </c>
      <c r="EE153" t="s">
        <v>304</v>
      </c>
      <c r="EF153" t="s">
        <v>1438</v>
      </c>
      <c r="EG153">
        <v>4206137</v>
      </c>
      <c r="EH153" t="s">
        <v>346</v>
      </c>
      <c r="EI153">
        <v>0.03</v>
      </c>
      <c r="EJ153" t="s">
        <v>2184</v>
      </c>
      <c r="EO153" t="s">
        <v>306</v>
      </c>
      <c r="ET153" t="s">
        <v>306</v>
      </c>
      <c r="EY153" t="s">
        <v>306</v>
      </c>
      <c r="FD153" t="s">
        <v>306</v>
      </c>
      <c r="FI153" t="s">
        <v>306</v>
      </c>
      <c r="FN153" t="s">
        <v>306</v>
      </c>
      <c r="FS153" t="s">
        <v>306</v>
      </c>
      <c r="FX153" t="s">
        <v>306</v>
      </c>
      <c r="FY153" t="s">
        <v>1438</v>
      </c>
      <c r="FZ153">
        <v>4206137</v>
      </c>
      <c r="GA153" t="s">
        <v>346</v>
      </c>
      <c r="GB153">
        <v>0.03</v>
      </c>
      <c r="GC153" t="s">
        <v>2184</v>
      </c>
      <c r="GH153" t="s">
        <v>306</v>
      </c>
      <c r="GM153" t="s">
        <v>306</v>
      </c>
      <c r="GR153" t="s">
        <v>306</v>
      </c>
      <c r="GS153" t="s">
        <v>1239</v>
      </c>
      <c r="GT153">
        <v>111486</v>
      </c>
      <c r="GU153" t="s">
        <v>346</v>
      </c>
      <c r="GV153">
        <v>0.01</v>
      </c>
      <c r="GW153" t="s">
        <v>53</v>
      </c>
      <c r="GX153" t="s">
        <v>425</v>
      </c>
      <c r="GY153">
        <v>4137704</v>
      </c>
      <c r="GZ153" t="s">
        <v>346</v>
      </c>
      <c r="HA153">
        <v>0.02</v>
      </c>
      <c r="HB153" t="s">
        <v>304</v>
      </c>
      <c r="HG153" t="s">
        <v>306</v>
      </c>
    </row>
    <row r="154" spans="5:215" x14ac:dyDescent="0.35">
      <c r="E154" t="s">
        <v>306</v>
      </c>
      <c r="F154" t="s">
        <v>541</v>
      </c>
      <c r="G154">
        <v>4135098</v>
      </c>
      <c r="H154" t="s">
        <v>346</v>
      </c>
      <c r="I154">
        <v>0</v>
      </c>
      <c r="J154" t="s">
        <v>313</v>
      </c>
      <c r="O154" t="s">
        <v>306</v>
      </c>
      <c r="T154" t="s">
        <v>306</v>
      </c>
      <c r="U154" t="s">
        <v>763</v>
      </c>
      <c r="V154">
        <v>110153</v>
      </c>
      <c r="W154" t="s">
        <v>364</v>
      </c>
      <c r="X154">
        <v>0.01</v>
      </c>
      <c r="Y154" t="s">
        <v>53</v>
      </c>
      <c r="AD154" t="s">
        <v>306</v>
      </c>
      <c r="AE154" t="s">
        <v>1158</v>
      </c>
      <c r="AF154">
        <v>4422324</v>
      </c>
      <c r="AG154" t="s">
        <v>346</v>
      </c>
      <c r="AH154">
        <v>0</v>
      </c>
      <c r="AI154" t="s">
        <v>2185</v>
      </c>
      <c r="AN154" t="s">
        <v>306</v>
      </c>
      <c r="AO154" t="s">
        <v>425</v>
      </c>
      <c r="AP154">
        <v>4137704</v>
      </c>
      <c r="AQ154" t="s">
        <v>346</v>
      </c>
      <c r="AR154">
        <v>0.01</v>
      </c>
      <c r="AS154" t="s">
        <v>304</v>
      </c>
      <c r="AX154" t="s">
        <v>306</v>
      </c>
      <c r="BC154" t="s">
        <v>306</v>
      </c>
      <c r="BD154" t="s">
        <v>1439</v>
      </c>
      <c r="BE154">
        <v>4233769</v>
      </c>
      <c r="BF154" t="s">
        <v>346</v>
      </c>
      <c r="BG154">
        <v>0.03</v>
      </c>
      <c r="BH154" t="s">
        <v>2193</v>
      </c>
      <c r="BI154" t="s">
        <v>1572</v>
      </c>
      <c r="BJ154">
        <v>4210643</v>
      </c>
      <c r="BK154" t="s">
        <v>364</v>
      </c>
      <c r="BL154">
        <v>0.01</v>
      </c>
      <c r="BM154" t="s">
        <v>2185</v>
      </c>
      <c r="BN154" t="s">
        <v>543</v>
      </c>
      <c r="BO154">
        <v>4138118</v>
      </c>
      <c r="BP154" t="s">
        <v>346</v>
      </c>
      <c r="BQ154">
        <v>0.01</v>
      </c>
      <c r="BR154" t="s">
        <v>326</v>
      </c>
      <c r="BS154" t="s">
        <v>394</v>
      </c>
      <c r="BT154">
        <v>4048695</v>
      </c>
      <c r="BU154" t="s">
        <v>346</v>
      </c>
      <c r="BV154">
        <v>0.02</v>
      </c>
      <c r="BW154" t="s">
        <v>53</v>
      </c>
      <c r="BX154" t="s">
        <v>763</v>
      </c>
      <c r="BY154">
        <v>110153</v>
      </c>
      <c r="BZ154" t="s">
        <v>364</v>
      </c>
      <c r="CA154">
        <v>0.01</v>
      </c>
      <c r="CB154" t="s">
        <v>53</v>
      </c>
      <c r="CC154" t="s">
        <v>459</v>
      </c>
      <c r="CD154">
        <v>4140503</v>
      </c>
      <c r="CE154" t="s">
        <v>346</v>
      </c>
      <c r="CF154">
        <v>0.02</v>
      </c>
      <c r="CG154" t="s">
        <v>2186</v>
      </c>
      <c r="CH154" t="s">
        <v>425</v>
      </c>
      <c r="CI154">
        <v>4137704</v>
      </c>
      <c r="CJ154" t="s">
        <v>346</v>
      </c>
      <c r="CK154">
        <v>0.01</v>
      </c>
      <c r="CL154" t="s">
        <v>304</v>
      </c>
      <c r="CM154" t="s">
        <v>1977</v>
      </c>
      <c r="CN154" t="s">
        <v>300</v>
      </c>
      <c r="CO154" t="s">
        <v>361</v>
      </c>
      <c r="CP154">
        <v>0.03</v>
      </c>
      <c r="CQ154" t="s">
        <v>50</v>
      </c>
      <c r="CV154" t="s">
        <v>306</v>
      </c>
      <c r="DA154" t="s">
        <v>306</v>
      </c>
      <c r="DB154" t="s">
        <v>1439</v>
      </c>
      <c r="DC154">
        <v>4233769</v>
      </c>
      <c r="DD154" t="s">
        <v>346</v>
      </c>
      <c r="DE154">
        <v>0.03</v>
      </c>
      <c r="DF154" t="s">
        <v>2193</v>
      </c>
      <c r="DK154" t="s">
        <v>306</v>
      </c>
      <c r="DL154" t="s">
        <v>1439</v>
      </c>
      <c r="DM154">
        <v>4233769</v>
      </c>
      <c r="DN154" t="s">
        <v>346</v>
      </c>
      <c r="DO154">
        <v>0.03</v>
      </c>
      <c r="DP154" t="s">
        <v>2193</v>
      </c>
      <c r="DU154" t="s">
        <v>306</v>
      </c>
      <c r="DZ154" t="s">
        <v>306</v>
      </c>
      <c r="EA154" t="s">
        <v>459</v>
      </c>
      <c r="EB154">
        <v>4140503</v>
      </c>
      <c r="EC154" t="s">
        <v>346</v>
      </c>
      <c r="ED154">
        <v>0.02</v>
      </c>
      <c r="EE154" t="s">
        <v>2186</v>
      </c>
      <c r="EF154" t="s">
        <v>1439</v>
      </c>
      <c r="EG154">
        <v>4233769</v>
      </c>
      <c r="EH154" t="s">
        <v>346</v>
      </c>
      <c r="EI154">
        <v>0.03</v>
      </c>
      <c r="EJ154" t="s">
        <v>2193</v>
      </c>
      <c r="EO154" t="s">
        <v>306</v>
      </c>
      <c r="ET154" t="s">
        <v>306</v>
      </c>
      <c r="EY154" t="s">
        <v>306</v>
      </c>
      <c r="FD154" t="s">
        <v>306</v>
      </c>
      <c r="FI154" t="s">
        <v>306</v>
      </c>
      <c r="FN154" t="s">
        <v>306</v>
      </c>
      <c r="FS154" t="s">
        <v>306</v>
      </c>
      <c r="FX154" t="s">
        <v>306</v>
      </c>
      <c r="FY154" t="s">
        <v>1439</v>
      </c>
      <c r="FZ154">
        <v>4233769</v>
      </c>
      <c r="GA154" t="s">
        <v>346</v>
      </c>
      <c r="GB154">
        <v>0.03</v>
      </c>
      <c r="GC154" t="s">
        <v>2193</v>
      </c>
      <c r="GH154" t="s">
        <v>306</v>
      </c>
      <c r="GM154" t="s">
        <v>306</v>
      </c>
      <c r="GR154" t="s">
        <v>306</v>
      </c>
      <c r="GS154" t="s">
        <v>543</v>
      </c>
      <c r="GT154">
        <v>4138118</v>
      </c>
      <c r="GU154" t="s">
        <v>346</v>
      </c>
      <c r="GV154">
        <v>0.01</v>
      </c>
      <c r="GW154" t="s">
        <v>326</v>
      </c>
      <c r="GX154" t="s">
        <v>459</v>
      </c>
      <c r="GY154">
        <v>4140503</v>
      </c>
      <c r="GZ154" t="s">
        <v>346</v>
      </c>
      <c r="HA154">
        <v>0.02</v>
      </c>
      <c r="HB154" t="s">
        <v>2186</v>
      </c>
      <c r="HG154" t="s">
        <v>306</v>
      </c>
    </row>
    <row r="155" spans="5:215" x14ac:dyDescent="0.35">
      <c r="E155" t="s">
        <v>306</v>
      </c>
      <c r="F155" t="s">
        <v>542</v>
      </c>
      <c r="G155">
        <v>4001519</v>
      </c>
      <c r="H155" t="s">
        <v>346</v>
      </c>
      <c r="I155">
        <v>0</v>
      </c>
      <c r="J155" t="s">
        <v>53</v>
      </c>
      <c r="O155" t="s">
        <v>306</v>
      </c>
      <c r="T155" t="s">
        <v>306</v>
      </c>
      <c r="U155" t="s">
        <v>386</v>
      </c>
      <c r="V155">
        <v>4145085</v>
      </c>
      <c r="W155" t="s">
        <v>346</v>
      </c>
      <c r="X155">
        <v>0.01</v>
      </c>
      <c r="Y155" t="s">
        <v>313</v>
      </c>
      <c r="AD155" t="s">
        <v>306</v>
      </c>
      <c r="AE155" t="s">
        <v>467</v>
      </c>
      <c r="AF155">
        <v>7108293</v>
      </c>
      <c r="AG155" t="s">
        <v>369</v>
      </c>
      <c r="AH155">
        <v>0</v>
      </c>
      <c r="AI155" t="s">
        <v>313</v>
      </c>
      <c r="AN155" t="s">
        <v>306</v>
      </c>
      <c r="AO155" t="s">
        <v>522</v>
      </c>
      <c r="AP155">
        <v>4118373</v>
      </c>
      <c r="AQ155" t="s">
        <v>346</v>
      </c>
      <c r="AR155">
        <v>0.01</v>
      </c>
      <c r="AS155" t="s">
        <v>53</v>
      </c>
      <c r="AX155" t="s">
        <v>306</v>
      </c>
      <c r="BC155" t="s">
        <v>306</v>
      </c>
      <c r="BD155" t="s">
        <v>442</v>
      </c>
      <c r="BE155">
        <v>4117611</v>
      </c>
      <c r="BF155" t="s">
        <v>346</v>
      </c>
      <c r="BG155">
        <v>0.03</v>
      </c>
      <c r="BH155" t="s">
        <v>53</v>
      </c>
      <c r="BI155" t="s">
        <v>398</v>
      </c>
      <c r="BJ155">
        <v>4107954</v>
      </c>
      <c r="BK155" t="s">
        <v>300</v>
      </c>
      <c r="BL155">
        <v>0.01</v>
      </c>
      <c r="BM155" t="s">
        <v>304</v>
      </c>
      <c r="BN155" t="s">
        <v>459</v>
      </c>
      <c r="BO155">
        <v>4140503</v>
      </c>
      <c r="BP155" t="s">
        <v>346</v>
      </c>
      <c r="BQ155">
        <v>0.01</v>
      </c>
      <c r="BR155" t="s">
        <v>2186</v>
      </c>
      <c r="BS155" t="s">
        <v>410</v>
      </c>
      <c r="BT155">
        <v>5759394</v>
      </c>
      <c r="BU155" t="s">
        <v>346</v>
      </c>
      <c r="BV155">
        <v>0.02</v>
      </c>
      <c r="BW155" t="s">
        <v>2186</v>
      </c>
      <c r="BX155" t="s">
        <v>386</v>
      </c>
      <c r="BY155">
        <v>4145085</v>
      </c>
      <c r="BZ155" t="s">
        <v>346</v>
      </c>
      <c r="CA155">
        <v>0.01</v>
      </c>
      <c r="CB155" t="s">
        <v>313</v>
      </c>
      <c r="CC155" t="s">
        <v>583</v>
      </c>
      <c r="CD155">
        <v>4579014</v>
      </c>
      <c r="CE155" t="s">
        <v>346</v>
      </c>
      <c r="CF155">
        <v>0.02</v>
      </c>
      <c r="CG155" t="s">
        <v>53</v>
      </c>
      <c r="CH155" t="s">
        <v>522</v>
      </c>
      <c r="CI155">
        <v>4118373</v>
      </c>
      <c r="CJ155" t="s">
        <v>346</v>
      </c>
      <c r="CK155">
        <v>0.01</v>
      </c>
      <c r="CL155" t="s">
        <v>53</v>
      </c>
      <c r="CM155" t="s">
        <v>388</v>
      </c>
      <c r="CN155">
        <v>4057506</v>
      </c>
      <c r="CO155" t="s">
        <v>346</v>
      </c>
      <c r="CP155">
        <v>0.03</v>
      </c>
      <c r="CQ155" t="s">
        <v>53</v>
      </c>
      <c r="CV155" t="s">
        <v>306</v>
      </c>
      <c r="DA155" t="s">
        <v>306</v>
      </c>
      <c r="DB155" t="s">
        <v>442</v>
      </c>
      <c r="DC155">
        <v>4117611</v>
      </c>
      <c r="DD155" t="s">
        <v>346</v>
      </c>
      <c r="DE155">
        <v>0.03</v>
      </c>
      <c r="DF155" t="s">
        <v>53</v>
      </c>
      <c r="DK155" t="s">
        <v>306</v>
      </c>
      <c r="DL155" t="s">
        <v>442</v>
      </c>
      <c r="DM155">
        <v>4117611</v>
      </c>
      <c r="DN155" t="s">
        <v>346</v>
      </c>
      <c r="DO155">
        <v>0.03</v>
      </c>
      <c r="DP155" t="s">
        <v>53</v>
      </c>
      <c r="DU155" t="s">
        <v>306</v>
      </c>
      <c r="DZ155" t="s">
        <v>306</v>
      </c>
      <c r="EA155" t="s">
        <v>583</v>
      </c>
      <c r="EB155">
        <v>4579014</v>
      </c>
      <c r="EC155" t="s">
        <v>346</v>
      </c>
      <c r="ED155">
        <v>0.02</v>
      </c>
      <c r="EE155" t="s">
        <v>53</v>
      </c>
      <c r="EF155" t="s">
        <v>442</v>
      </c>
      <c r="EG155">
        <v>4117611</v>
      </c>
      <c r="EH155" t="s">
        <v>346</v>
      </c>
      <c r="EI155">
        <v>0.03</v>
      </c>
      <c r="EJ155" t="s">
        <v>53</v>
      </c>
      <c r="EO155" t="s">
        <v>306</v>
      </c>
      <c r="ET155" t="s">
        <v>306</v>
      </c>
      <c r="EY155" t="s">
        <v>306</v>
      </c>
      <c r="FD155" t="s">
        <v>306</v>
      </c>
      <c r="FI155" t="s">
        <v>306</v>
      </c>
      <c r="FN155" t="s">
        <v>306</v>
      </c>
      <c r="FS155" t="s">
        <v>306</v>
      </c>
      <c r="FX155" t="s">
        <v>306</v>
      </c>
      <c r="FY155" t="s">
        <v>442</v>
      </c>
      <c r="FZ155">
        <v>4117611</v>
      </c>
      <c r="GA155" t="s">
        <v>346</v>
      </c>
      <c r="GB155">
        <v>0.03</v>
      </c>
      <c r="GC155" t="s">
        <v>53</v>
      </c>
      <c r="GH155" t="s">
        <v>306</v>
      </c>
      <c r="GM155" t="s">
        <v>306</v>
      </c>
      <c r="GR155" t="s">
        <v>306</v>
      </c>
      <c r="GS155" t="s">
        <v>459</v>
      </c>
      <c r="GT155">
        <v>4140503</v>
      </c>
      <c r="GU155" t="s">
        <v>346</v>
      </c>
      <c r="GV155">
        <v>0.01</v>
      </c>
      <c r="GW155" t="s">
        <v>2186</v>
      </c>
      <c r="GX155" t="s">
        <v>583</v>
      </c>
      <c r="GY155">
        <v>4579014</v>
      </c>
      <c r="GZ155" t="s">
        <v>346</v>
      </c>
      <c r="HA155">
        <v>0.02</v>
      </c>
      <c r="HB155" t="s">
        <v>53</v>
      </c>
      <c r="HG155" t="s">
        <v>306</v>
      </c>
    </row>
    <row r="156" spans="5:215" x14ac:dyDescent="0.35">
      <c r="E156" t="s">
        <v>306</v>
      </c>
      <c r="F156" t="s">
        <v>543</v>
      </c>
      <c r="G156">
        <v>4138118</v>
      </c>
      <c r="H156" t="s">
        <v>346</v>
      </c>
      <c r="I156">
        <v>0</v>
      </c>
      <c r="J156" t="s">
        <v>326</v>
      </c>
      <c r="O156" t="s">
        <v>306</v>
      </c>
      <c r="T156" t="s">
        <v>306</v>
      </c>
      <c r="U156" t="s">
        <v>764</v>
      </c>
      <c r="V156">
        <v>5879252</v>
      </c>
      <c r="W156" t="s">
        <v>346</v>
      </c>
      <c r="X156">
        <v>0.01</v>
      </c>
      <c r="Y156" t="s">
        <v>50</v>
      </c>
      <c r="AD156" t="s">
        <v>306</v>
      </c>
      <c r="AE156" t="s">
        <v>1159</v>
      </c>
      <c r="AF156">
        <v>4329383</v>
      </c>
      <c r="AG156" t="s">
        <v>346</v>
      </c>
      <c r="AH156">
        <v>0</v>
      </c>
      <c r="AI156" t="s">
        <v>2184</v>
      </c>
      <c r="AN156" t="s">
        <v>306</v>
      </c>
      <c r="AO156" t="s">
        <v>1307</v>
      </c>
      <c r="AP156">
        <v>5852488</v>
      </c>
      <c r="AQ156" t="s">
        <v>346</v>
      </c>
      <c r="AR156">
        <v>0.01</v>
      </c>
      <c r="AS156" t="s">
        <v>62</v>
      </c>
      <c r="AX156" t="s">
        <v>306</v>
      </c>
      <c r="BC156" t="s">
        <v>306</v>
      </c>
      <c r="BD156" t="s">
        <v>1440</v>
      </c>
      <c r="BE156">
        <v>5746445</v>
      </c>
      <c r="BF156" t="s">
        <v>346</v>
      </c>
      <c r="BG156">
        <v>0.03</v>
      </c>
      <c r="BH156" t="s">
        <v>313</v>
      </c>
      <c r="BI156" t="s">
        <v>1042</v>
      </c>
      <c r="BJ156">
        <v>6594844</v>
      </c>
      <c r="BK156" t="s">
        <v>346</v>
      </c>
      <c r="BL156">
        <v>0.01</v>
      </c>
      <c r="BM156" t="s">
        <v>2181</v>
      </c>
      <c r="BN156" t="s">
        <v>667</v>
      </c>
      <c r="BO156">
        <v>4208762</v>
      </c>
      <c r="BP156" t="s">
        <v>346</v>
      </c>
      <c r="BQ156">
        <v>0.01</v>
      </c>
      <c r="BR156" t="s">
        <v>326</v>
      </c>
      <c r="BS156" t="s">
        <v>411</v>
      </c>
      <c r="BT156">
        <v>4272373</v>
      </c>
      <c r="BU156" t="s">
        <v>346</v>
      </c>
      <c r="BV156">
        <v>0.02</v>
      </c>
      <c r="BW156" t="s">
        <v>313</v>
      </c>
      <c r="BX156" t="s">
        <v>764</v>
      </c>
      <c r="BY156">
        <v>5879252</v>
      </c>
      <c r="BZ156" t="s">
        <v>346</v>
      </c>
      <c r="CA156">
        <v>0.01</v>
      </c>
      <c r="CB156" t="s">
        <v>50</v>
      </c>
      <c r="CC156" t="s">
        <v>482</v>
      </c>
      <c r="CD156">
        <v>4048742</v>
      </c>
      <c r="CE156" t="s">
        <v>346</v>
      </c>
      <c r="CF156">
        <v>0.02</v>
      </c>
      <c r="CG156" t="s">
        <v>80</v>
      </c>
      <c r="CH156" t="s">
        <v>1307</v>
      </c>
      <c r="CI156">
        <v>5852488</v>
      </c>
      <c r="CJ156" t="s">
        <v>346</v>
      </c>
      <c r="CK156">
        <v>0.01</v>
      </c>
      <c r="CL156" t="s">
        <v>62</v>
      </c>
      <c r="CM156" t="s">
        <v>1775</v>
      </c>
      <c r="CN156">
        <v>4226156</v>
      </c>
      <c r="CO156" t="s">
        <v>364</v>
      </c>
      <c r="CP156">
        <v>0.02</v>
      </c>
      <c r="CQ156" t="s">
        <v>53</v>
      </c>
      <c r="CV156" t="s">
        <v>306</v>
      </c>
      <c r="DA156" t="s">
        <v>306</v>
      </c>
      <c r="DB156" t="s">
        <v>1440</v>
      </c>
      <c r="DC156">
        <v>5746445</v>
      </c>
      <c r="DD156" t="s">
        <v>346</v>
      </c>
      <c r="DE156">
        <v>0.03</v>
      </c>
      <c r="DF156" t="s">
        <v>313</v>
      </c>
      <c r="DK156" t="s">
        <v>306</v>
      </c>
      <c r="DL156" t="s">
        <v>1440</v>
      </c>
      <c r="DM156">
        <v>5746445</v>
      </c>
      <c r="DN156" t="s">
        <v>346</v>
      </c>
      <c r="DO156">
        <v>0.03</v>
      </c>
      <c r="DP156" t="s">
        <v>313</v>
      </c>
      <c r="DU156" t="s">
        <v>306</v>
      </c>
      <c r="DZ156" t="s">
        <v>306</v>
      </c>
      <c r="EA156" t="s">
        <v>482</v>
      </c>
      <c r="EB156">
        <v>4048742</v>
      </c>
      <c r="EC156" t="s">
        <v>346</v>
      </c>
      <c r="ED156">
        <v>0.02</v>
      </c>
      <c r="EE156" t="s">
        <v>80</v>
      </c>
      <c r="EF156" t="s">
        <v>1440</v>
      </c>
      <c r="EG156">
        <v>5746445</v>
      </c>
      <c r="EH156" t="s">
        <v>346</v>
      </c>
      <c r="EI156">
        <v>0.03</v>
      </c>
      <c r="EJ156" t="s">
        <v>313</v>
      </c>
      <c r="EO156" t="s">
        <v>306</v>
      </c>
      <c r="ET156" t="s">
        <v>306</v>
      </c>
      <c r="EY156" t="s">
        <v>306</v>
      </c>
      <c r="FD156" t="s">
        <v>306</v>
      </c>
      <c r="FI156" t="s">
        <v>306</v>
      </c>
      <c r="FN156" t="s">
        <v>306</v>
      </c>
      <c r="FS156" t="s">
        <v>306</v>
      </c>
      <c r="FX156" t="s">
        <v>306</v>
      </c>
      <c r="FY156" t="s">
        <v>1440</v>
      </c>
      <c r="FZ156">
        <v>5746445</v>
      </c>
      <c r="GA156" t="s">
        <v>346</v>
      </c>
      <c r="GB156">
        <v>0.03</v>
      </c>
      <c r="GC156" t="s">
        <v>313</v>
      </c>
      <c r="GH156" t="s">
        <v>306</v>
      </c>
      <c r="GM156" t="s">
        <v>306</v>
      </c>
      <c r="GR156" t="s">
        <v>306</v>
      </c>
      <c r="GS156" t="s">
        <v>667</v>
      </c>
      <c r="GT156">
        <v>4208762</v>
      </c>
      <c r="GU156" t="s">
        <v>346</v>
      </c>
      <c r="GV156">
        <v>0.01</v>
      </c>
      <c r="GW156" t="s">
        <v>326</v>
      </c>
      <c r="GX156" t="s">
        <v>482</v>
      </c>
      <c r="GY156">
        <v>4048742</v>
      </c>
      <c r="GZ156" t="s">
        <v>346</v>
      </c>
      <c r="HA156">
        <v>0.02</v>
      </c>
      <c r="HB156" t="s">
        <v>80</v>
      </c>
      <c r="HG156" t="s">
        <v>306</v>
      </c>
    </row>
    <row r="157" spans="5:215" x14ac:dyDescent="0.35">
      <c r="E157" t="s">
        <v>306</v>
      </c>
      <c r="F157" t="s">
        <v>544</v>
      </c>
      <c r="G157">
        <v>5745911</v>
      </c>
      <c r="H157" t="s">
        <v>369</v>
      </c>
      <c r="I157">
        <v>0</v>
      </c>
      <c r="J157" t="s">
        <v>2194</v>
      </c>
      <c r="O157" t="s">
        <v>306</v>
      </c>
      <c r="T157" t="s">
        <v>306</v>
      </c>
      <c r="U157" t="s">
        <v>541</v>
      </c>
      <c r="V157">
        <v>4135098</v>
      </c>
      <c r="W157" t="s">
        <v>346</v>
      </c>
      <c r="X157">
        <v>0.01</v>
      </c>
      <c r="Y157" t="s">
        <v>313</v>
      </c>
      <c r="AD157" t="s">
        <v>306</v>
      </c>
      <c r="AE157" t="s">
        <v>395</v>
      </c>
      <c r="AF157">
        <v>4153606</v>
      </c>
      <c r="AG157" t="s">
        <v>346</v>
      </c>
      <c r="AH157">
        <v>0</v>
      </c>
      <c r="AI157" t="s">
        <v>53</v>
      </c>
      <c r="AN157" t="s">
        <v>306</v>
      </c>
      <c r="AO157" t="s">
        <v>1308</v>
      </c>
      <c r="AP157">
        <v>5760527</v>
      </c>
      <c r="AQ157" t="s">
        <v>346</v>
      </c>
      <c r="AR157">
        <v>0.01</v>
      </c>
      <c r="AS157" t="s">
        <v>62</v>
      </c>
      <c r="AX157" t="s">
        <v>306</v>
      </c>
      <c r="BC157" t="s">
        <v>306</v>
      </c>
      <c r="BD157" t="s">
        <v>1441</v>
      </c>
      <c r="BE157">
        <v>5786329</v>
      </c>
      <c r="BF157" t="s">
        <v>365</v>
      </c>
      <c r="BG157">
        <v>0.03</v>
      </c>
      <c r="BH157" t="s">
        <v>125</v>
      </c>
      <c r="BI157" t="s">
        <v>476</v>
      </c>
      <c r="BJ157">
        <v>4139886</v>
      </c>
      <c r="BK157" t="s">
        <v>346</v>
      </c>
      <c r="BL157">
        <v>0.01</v>
      </c>
      <c r="BM157" t="s">
        <v>304</v>
      </c>
      <c r="BN157" t="s">
        <v>797</v>
      </c>
      <c r="BO157">
        <v>4138761</v>
      </c>
      <c r="BP157" t="s">
        <v>346</v>
      </c>
      <c r="BQ157">
        <v>0.01</v>
      </c>
      <c r="BR157" t="s">
        <v>50</v>
      </c>
      <c r="BS157" t="s">
        <v>750</v>
      </c>
      <c r="BT157">
        <v>4138496</v>
      </c>
      <c r="BU157" t="s">
        <v>346</v>
      </c>
      <c r="BV157">
        <v>0.02</v>
      </c>
      <c r="BW157" t="s">
        <v>50</v>
      </c>
      <c r="BX157" t="s">
        <v>541</v>
      </c>
      <c r="BY157">
        <v>4135098</v>
      </c>
      <c r="BZ157" t="s">
        <v>346</v>
      </c>
      <c r="CA157">
        <v>0.01</v>
      </c>
      <c r="CB157" t="s">
        <v>313</v>
      </c>
      <c r="CC157" t="s">
        <v>1665</v>
      </c>
      <c r="CD157">
        <v>5824729</v>
      </c>
      <c r="CE157" t="s">
        <v>364</v>
      </c>
      <c r="CF157">
        <v>0.02</v>
      </c>
      <c r="CG157" t="s">
        <v>114</v>
      </c>
      <c r="CH157" t="s">
        <v>1308</v>
      </c>
      <c r="CI157">
        <v>5760527</v>
      </c>
      <c r="CJ157" t="s">
        <v>346</v>
      </c>
      <c r="CK157">
        <v>0.01</v>
      </c>
      <c r="CL157" t="s">
        <v>62</v>
      </c>
      <c r="CM157" t="s">
        <v>1978</v>
      </c>
      <c r="CN157">
        <v>4031105</v>
      </c>
      <c r="CO157" t="s">
        <v>346</v>
      </c>
      <c r="CP157">
        <v>0.02</v>
      </c>
      <c r="CQ157" t="s">
        <v>53</v>
      </c>
      <c r="CV157" t="s">
        <v>306</v>
      </c>
      <c r="DA157" t="s">
        <v>306</v>
      </c>
      <c r="DB157" t="s">
        <v>1441</v>
      </c>
      <c r="DC157">
        <v>5786329</v>
      </c>
      <c r="DD157" t="s">
        <v>365</v>
      </c>
      <c r="DE157">
        <v>0.03</v>
      </c>
      <c r="DF157" t="s">
        <v>125</v>
      </c>
      <c r="DK157" t="s">
        <v>306</v>
      </c>
      <c r="DL157" t="s">
        <v>1441</v>
      </c>
      <c r="DM157">
        <v>5786329</v>
      </c>
      <c r="DN157" t="s">
        <v>365</v>
      </c>
      <c r="DO157">
        <v>0.03</v>
      </c>
      <c r="DP157" t="s">
        <v>125</v>
      </c>
      <c r="DU157" t="s">
        <v>306</v>
      </c>
      <c r="DZ157" t="s">
        <v>306</v>
      </c>
      <c r="EA157" t="s">
        <v>1665</v>
      </c>
      <c r="EB157">
        <v>5824729</v>
      </c>
      <c r="EC157" t="s">
        <v>364</v>
      </c>
      <c r="ED157">
        <v>0.02</v>
      </c>
      <c r="EE157" t="s">
        <v>114</v>
      </c>
      <c r="EF157" t="s">
        <v>1441</v>
      </c>
      <c r="EG157">
        <v>5786329</v>
      </c>
      <c r="EH157" t="s">
        <v>365</v>
      </c>
      <c r="EI157">
        <v>0.03</v>
      </c>
      <c r="EJ157" t="s">
        <v>125</v>
      </c>
      <c r="EO157" t="s">
        <v>306</v>
      </c>
      <c r="ET157" t="s">
        <v>306</v>
      </c>
      <c r="EY157" t="s">
        <v>306</v>
      </c>
      <c r="FD157" t="s">
        <v>306</v>
      </c>
      <c r="FI157" t="s">
        <v>306</v>
      </c>
      <c r="FN157" t="s">
        <v>306</v>
      </c>
      <c r="FS157" t="s">
        <v>306</v>
      </c>
      <c r="FX157" t="s">
        <v>306</v>
      </c>
      <c r="FY157" t="s">
        <v>1441</v>
      </c>
      <c r="FZ157">
        <v>5786329</v>
      </c>
      <c r="GA157" t="s">
        <v>365</v>
      </c>
      <c r="GB157">
        <v>0.03</v>
      </c>
      <c r="GC157" t="s">
        <v>125</v>
      </c>
      <c r="GH157" t="s">
        <v>306</v>
      </c>
      <c r="GM157" t="s">
        <v>306</v>
      </c>
      <c r="GR157" t="s">
        <v>306</v>
      </c>
      <c r="GS157" t="s">
        <v>797</v>
      </c>
      <c r="GT157">
        <v>4138761</v>
      </c>
      <c r="GU157" t="s">
        <v>346</v>
      </c>
      <c r="GV157">
        <v>0.01</v>
      </c>
      <c r="GW157" t="s">
        <v>50</v>
      </c>
      <c r="GX157" t="s">
        <v>1665</v>
      </c>
      <c r="GY157">
        <v>5824729</v>
      </c>
      <c r="GZ157" t="s">
        <v>364</v>
      </c>
      <c r="HA157">
        <v>0.02</v>
      </c>
      <c r="HB157" t="s">
        <v>114</v>
      </c>
      <c r="HG157" t="s">
        <v>306</v>
      </c>
    </row>
    <row r="158" spans="5:215" x14ac:dyDescent="0.35">
      <c r="E158" t="s">
        <v>306</v>
      </c>
      <c r="F158" t="s">
        <v>545</v>
      </c>
      <c r="G158" t="s">
        <v>300</v>
      </c>
      <c r="H158" t="s">
        <v>361</v>
      </c>
      <c r="I158">
        <v>0</v>
      </c>
      <c r="J158" t="s">
        <v>50</v>
      </c>
      <c r="O158" t="s">
        <v>306</v>
      </c>
      <c r="T158" t="s">
        <v>306</v>
      </c>
      <c r="U158" t="s">
        <v>765</v>
      </c>
      <c r="V158">
        <v>10181318</v>
      </c>
      <c r="W158" t="s">
        <v>346</v>
      </c>
      <c r="X158">
        <v>0.01</v>
      </c>
      <c r="Y158" t="s">
        <v>50</v>
      </c>
      <c r="AD158" t="s">
        <v>306</v>
      </c>
      <c r="AE158" t="s">
        <v>523</v>
      </c>
      <c r="AF158">
        <v>7060057</v>
      </c>
      <c r="AG158" t="s">
        <v>346</v>
      </c>
      <c r="AH158">
        <v>0</v>
      </c>
      <c r="AI158" t="s">
        <v>320</v>
      </c>
      <c r="AN158" t="s">
        <v>306</v>
      </c>
      <c r="AO158" t="s">
        <v>1309</v>
      </c>
      <c r="AP158">
        <v>114817542</v>
      </c>
      <c r="AQ158" t="s">
        <v>346</v>
      </c>
      <c r="AR158">
        <v>0.01</v>
      </c>
      <c r="AS158" t="s">
        <v>306</v>
      </c>
      <c r="AX158" t="s">
        <v>306</v>
      </c>
      <c r="BC158" t="s">
        <v>306</v>
      </c>
      <c r="BD158" t="s">
        <v>1442</v>
      </c>
      <c r="BE158" t="s">
        <v>300</v>
      </c>
      <c r="BF158" t="s">
        <v>361</v>
      </c>
      <c r="BG158">
        <v>0.03</v>
      </c>
      <c r="BH158" t="s">
        <v>50</v>
      </c>
      <c r="BI158" t="s">
        <v>837</v>
      </c>
      <c r="BJ158">
        <v>5830179</v>
      </c>
      <c r="BK158" t="s">
        <v>346</v>
      </c>
      <c r="BL158">
        <v>0.01</v>
      </c>
      <c r="BM158" t="s">
        <v>2186</v>
      </c>
      <c r="BN158" t="s">
        <v>458</v>
      </c>
      <c r="BO158">
        <v>109806</v>
      </c>
      <c r="BP158" t="s">
        <v>346</v>
      </c>
      <c r="BQ158">
        <v>0.01</v>
      </c>
      <c r="BR158" t="s">
        <v>53</v>
      </c>
      <c r="BS158" t="s">
        <v>978</v>
      </c>
      <c r="BT158">
        <v>4224292</v>
      </c>
      <c r="BU158" t="s">
        <v>346</v>
      </c>
      <c r="BV158">
        <v>0.02</v>
      </c>
      <c r="BW158" t="s">
        <v>2185</v>
      </c>
      <c r="BX158" t="s">
        <v>765</v>
      </c>
      <c r="BY158">
        <v>10181318</v>
      </c>
      <c r="BZ158" t="s">
        <v>346</v>
      </c>
      <c r="CA158">
        <v>0.01</v>
      </c>
      <c r="CB158" t="s">
        <v>50</v>
      </c>
      <c r="CC158" t="s">
        <v>954</v>
      </c>
      <c r="CD158">
        <v>4026994</v>
      </c>
      <c r="CE158" t="s">
        <v>346</v>
      </c>
      <c r="CF158">
        <v>0.02</v>
      </c>
      <c r="CG158" t="s">
        <v>321</v>
      </c>
      <c r="CH158" t="s">
        <v>1309</v>
      </c>
      <c r="CI158">
        <v>114817542</v>
      </c>
      <c r="CJ158" t="s">
        <v>346</v>
      </c>
      <c r="CK158">
        <v>0.01</v>
      </c>
      <c r="CL158" t="s">
        <v>306</v>
      </c>
      <c r="CM158" t="s">
        <v>463</v>
      </c>
      <c r="CN158">
        <v>4138888</v>
      </c>
      <c r="CO158" t="s">
        <v>346</v>
      </c>
      <c r="CP158">
        <v>0.02</v>
      </c>
      <c r="CQ158" t="s">
        <v>375</v>
      </c>
      <c r="CV158" t="s">
        <v>306</v>
      </c>
      <c r="DA158" t="s">
        <v>306</v>
      </c>
      <c r="DB158" t="s">
        <v>1442</v>
      </c>
      <c r="DC158" t="s">
        <v>300</v>
      </c>
      <c r="DD158" t="s">
        <v>361</v>
      </c>
      <c r="DE158">
        <v>0.03</v>
      </c>
      <c r="DF158" t="s">
        <v>50</v>
      </c>
      <c r="DK158" t="s">
        <v>306</v>
      </c>
      <c r="DL158" t="s">
        <v>1442</v>
      </c>
      <c r="DM158" t="s">
        <v>300</v>
      </c>
      <c r="DN158" t="s">
        <v>361</v>
      </c>
      <c r="DO158">
        <v>0.03</v>
      </c>
      <c r="DP158" t="s">
        <v>50</v>
      </c>
      <c r="DU158" t="s">
        <v>306</v>
      </c>
      <c r="DZ158" t="s">
        <v>306</v>
      </c>
      <c r="EA158" t="s">
        <v>954</v>
      </c>
      <c r="EB158">
        <v>4026994</v>
      </c>
      <c r="EC158" t="s">
        <v>346</v>
      </c>
      <c r="ED158">
        <v>0.02</v>
      </c>
      <c r="EE158" t="s">
        <v>321</v>
      </c>
      <c r="EF158" t="s">
        <v>1442</v>
      </c>
      <c r="EG158" t="s">
        <v>300</v>
      </c>
      <c r="EH158" t="s">
        <v>361</v>
      </c>
      <c r="EI158">
        <v>0.03</v>
      </c>
      <c r="EJ158" t="s">
        <v>50</v>
      </c>
      <c r="EO158" t="s">
        <v>306</v>
      </c>
      <c r="ET158" t="s">
        <v>306</v>
      </c>
      <c r="EY158" t="s">
        <v>306</v>
      </c>
      <c r="FD158" t="s">
        <v>306</v>
      </c>
      <c r="FI158" t="s">
        <v>306</v>
      </c>
      <c r="FN158" t="s">
        <v>306</v>
      </c>
      <c r="FS158" t="s">
        <v>306</v>
      </c>
      <c r="FX158" t="s">
        <v>306</v>
      </c>
      <c r="FY158" t="s">
        <v>1442</v>
      </c>
      <c r="FZ158" t="s">
        <v>300</v>
      </c>
      <c r="GA158" t="s">
        <v>361</v>
      </c>
      <c r="GB158">
        <v>0.03</v>
      </c>
      <c r="GC158" t="s">
        <v>50</v>
      </c>
      <c r="GH158" t="s">
        <v>306</v>
      </c>
      <c r="GM158" t="s">
        <v>306</v>
      </c>
      <c r="GR158" t="s">
        <v>306</v>
      </c>
      <c r="GS158" t="s">
        <v>458</v>
      </c>
      <c r="GT158">
        <v>109806</v>
      </c>
      <c r="GU158" t="s">
        <v>346</v>
      </c>
      <c r="GV158">
        <v>0.01</v>
      </c>
      <c r="GW158" t="s">
        <v>53</v>
      </c>
      <c r="GX158" t="s">
        <v>954</v>
      </c>
      <c r="GY158">
        <v>4026994</v>
      </c>
      <c r="GZ158" t="s">
        <v>346</v>
      </c>
      <c r="HA158">
        <v>0.02</v>
      </c>
      <c r="HB158" t="s">
        <v>321</v>
      </c>
      <c r="HG158" t="s">
        <v>306</v>
      </c>
    </row>
    <row r="159" spans="5:215" x14ac:dyDescent="0.35">
      <c r="E159" t="s">
        <v>306</v>
      </c>
      <c r="F159" t="s">
        <v>546</v>
      </c>
      <c r="G159">
        <v>4158830</v>
      </c>
      <c r="H159" t="s">
        <v>346</v>
      </c>
      <c r="I159">
        <v>0</v>
      </c>
      <c r="J159" t="s">
        <v>53</v>
      </c>
      <c r="O159" t="s">
        <v>306</v>
      </c>
      <c r="T159" t="s">
        <v>306</v>
      </c>
      <c r="U159" t="s">
        <v>766</v>
      </c>
      <c r="V159">
        <v>4138826</v>
      </c>
      <c r="W159" t="s">
        <v>346</v>
      </c>
      <c r="X159">
        <v>0.01</v>
      </c>
      <c r="Y159" t="s">
        <v>50</v>
      </c>
      <c r="AD159" t="s">
        <v>306</v>
      </c>
      <c r="AE159" t="s">
        <v>533</v>
      </c>
      <c r="AF159">
        <v>4377155</v>
      </c>
      <c r="AG159" t="s">
        <v>346</v>
      </c>
      <c r="AH159">
        <v>0</v>
      </c>
      <c r="AI159" t="s">
        <v>2192</v>
      </c>
      <c r="AN159" t="s">
        <v>306</v>
      </c>
      <c r="AO159" t="s">
        <v>913</v>
      </c>
      <c r="AP159">
        <v>26632854</v>
      </c>
      <c r="AQ159" t="s">
        <v>346</v>
      </c>
      <c r="AR159">
        <v>0.01</v>
      </c>
      <c r="AS159" t="s">
        <v>53</v>
      </c>
      <c r="AX159" t="s">
        <v>306</v>
      </c>
      <c r="BC159" t="s">
        <v>306</v>
      </c>
      <c r="BD159" t="s">
        <v>1443</v>
      </c>
      <c r="BE159">
        <v>105695553</v>
      </c>
      <c r="BF159" t="s">
        <v>346</v>
      </c>
      <c r="BG159">
        <v>0.03</v>
      </c>
      <c r="BH159" t="s">
        <v>125</v>
      </c>
      <c r="BI159" t="s">
        <v>1573</v>
      </c>
      <c r="BJ159">
        <v>5777599</v>
      </c>
      <c r="BK159" t="s">
        <v>346</v>
      </c>
      <c r="BL159">
        <v>0.01</v>
      </c>
      <c r="BM159" t="s">
        <v>320</v>
      </c>
      <c r="BN159" t="s">
        <v>835</v>
      </c>
      <c r="BO159">
        <v>4878959</v>
      </c>
      <c r="BP159" t="s">
        <v>346</v>
      </c>
      <c r="BQ159">
        <v>0.01</v>
      </c>
      <c r="BR159" t="s">
        <v>50</v>
      </c>
      <c r="BS159" t="s">
        <v>735</v>
      </c>
      <c r="BT159">
        <v>4345966</v>
      </c>
      <c r="BU159" t="s">
        <v>346</v>
      </c>
      <c r="BV159">
        <v>0.02</v>
      </c>
      <c r="BW159" t="s">
        <v>50</v>
      </c>
      <c r="BX159" t="s">
        <v>766</v>
      </c>
      <c r="BY159">
        <v>4138826</v>
      </c>
      <c r="BZ159" t="s">
        <v>346</v>
      </c>
      <c r="CA159">
        <v>0.01</v>
      </c>
      <c r="CB159" t="s">
        <v>50</v>
      </c>
      <c r="CC159" t="s">
        <v>1666</v>
      </c>
      <c r="CD159">
        <v>8350548</v>
      </c>
      <c r="CE159" t="s">
        <v>364</v>
      </c>
      <c r="CF159">
        <v>0.02</v>
      </c>
      <c r="CG159" t="s">
        <v>114</v>
      </c>
      <c r="CH159" t="s">
        <v>913</v>
      </c>
      <c r="CI159">
        <v>26632854</v>
      </c>
      <c r="CJ159" t="s">
        <v>346</v>
      </c>
      <c r="CK159">
        <v>0.01</v>
      </c>
      <c r="CL159" t="s">
        <v>53</v>
      </c>
      <c r="CM159" t="s">
        <v>1979</v>
      </c>
      <c r="CN159">
        <v>13043196</v>
      </c>
      <c r="CO159" t="s">
        <v>346</v>
      </c>
      <c r="CP159">
        <v>0.02</v>
      </c>
      <c r="CQ159" t="s">
        <v>313</v>
      </c>
      <c r="CV159" t="s">
        <v>306</v>
      </c>
      <c r="DA159" t="s">
        <v>306</v>
      </c>
      <c r="DB159" t="s">
        <v>1443</v>
      </c>
      <c r="DC159">
        <v>105695553</v>
      </c>
      <c r="DD159" t="s">
        <v>346</v>
      </c>
      <c r="DE159">
        <v>0.03</v>
      </c>
      <c r="DF159" t="s">
        <v>125</v>
      </c>
      <c r="DK159" t="s">
        <v>306</v>
      </c>
      <c r="DL159" t="s">
        <v>1443</v>
      </c>
      <c r="DM159">
        <v>105695553</v>
      </c>
      <c r="DN159" t="s">
        <v>346</v>
      </c>
      <c r="DO159">
        <v>0.03</v>
      </c>
      <c r="DP159" t="s">
        <v>125</v>
      </c>
      <c r="DU159" t="s">
        <v>306</v>
      </c>
      <c r="DZ159" t="s">
        <v>306</v>
      </c>
      <c r="EA159" t="s">
        <v>1666</v>
      </c>
      <c r="EB159">
        <v>8350548</v>
      </c>
      <c r="EC159" t="s">
        <v>364</v>
      </c>
      <c r="ED159">
        <v>0.02</v>
      </c>
      <c r="EE159" t="s">
        <v>114</v>
      </c>
      <c r="EF159" t="s">
        <v>1443</v>
      </c>
      <c r="EG159">
        <v>105695553</v>
      </c>
      <c r="EH159" t="s">
        <v>346</v>
      </c>
      <c r="EI159">
        <v>0.03</v>
      </c>
      <c r="EJ159" t="s">
        <v>125</v>
      </c>
      <c r="EO159" t="s">
        <v>306</v>
      </c>
      <c r="ET159" t="s">
        <v>306</v>
      </c>
      <c r="EY159" t="s">
        <v>306</v>
      </c>
      <c r="FD159" t="s">
        <v>306</v>
      </c>
      <c r="FI159" t="s">
        <v>306</v>
      </c>
      <c r="FN159" t="s">
        <v>306</v>
      </c>
      <c r="FS159" t="s">
        <v>306</v>
      </c>
      <c r="FX159" t="s">
        <v>306</v>
      </c>
      <c r="FY159" t="s">
        <v>1443</v>
      </c>
      <c r="FZ159">
        <v>105695553</v>
      </c>
      <c r="GA159" t="s">
        <v>346</v>
      </c>
      <c r="GB159">
        <v>0.03</v>
      </c>
      <c r="GC159" t="s">
        <v>125</v>
      </c>
      <c r="GH159" t="s">
        <v>306</v>
      </c>
      <c r="GM159" t="s">
        <v>306</v>
      </c>
      <c r="GR159" t="s">
        <v>306</v>
      </c>
      <c r="GS159" t="s">
        <v>835</v>
      </c>
      <c r="GT159">
        <v>4878959</v>
      </c>
      <c r="GU159" t="s">
        <v>346</v>
      </c>
      <c r="GV159">
        <v>0.01</v>
      </c>
      <c r="GW159" t="s">
        <v>50</v>
      </c>
      <c r="GX159" t="s">
        <v>1666</v>
      </c>
      <c r="GY159">
        <v>8350548</v>
      </c>
      <c r="GZ159" t="s">
        <v>364</v>
      </c>
      <c r="HA159">
        <v>0.02</v>
      </c>
      <c r="HB159" t="s">
        <v>114</v>
      </c>
      <c r="HG159" t="s">
        <v>306</v>
      </c>
    </row>
    <row r="160" spans="5:215" x14ac:dyDescent="0.35">
      <c r="E160" t="s">
        <v>306</v>
      </c>
      <c r="F160" t="s">
        <v>547</v>
      </c>
      <c r="G160">
        <v>4005523</v>
      </c>
      <c r="H160" t="s">
        <v>346</v>
      </c>
      <c r="I160">
        <v>0</v>
      </c>
      <c r="J160" t="s">
        <v>80</v>
      </c>
      <c r="O160" t="s">
        <v>306</v>
      </c>
      <c r="T160" t="s">
        <v>306</v>
      </c>
      <c r="U160" t="s">
        <v>524</v>
      </c>
      <c r="V160">
        <v>4147331</v>
      </c>
      <c r="W160" t="s">
        <v>346</v>
      </c>
      <c r="X160">
        <v>0.01</v>
      </c>
      <c r="Y160" t="s">
        <v>313</v>
      </c>
      <c r="AD160" t="s">
        <v>306</v>
      </c>
      <c r="AE160" t="s">
        <v>570</v>
      </c>
      <c r="AF160">
        <v>106302708</v>
      </c>
      <c r="AG160" t="s">
        <v>346</v>
      </c>
      <c r="AH160">
        <v>0</v>
      </c>
      <c r="AI160" t="s">
        <v>320</v>
      </c>
      <c r="AN160" t="s">
        <v>306</v>
      </c>
      <c r="AO160" t="s">
        <v>1310</v>
      </c>
      <c r="AP160" t="s">
        <v>300</v>
      </c>
      <c r="AQ160" t="s">
        <v>361</v>
      </c>
      <c r="AR160">
        <v>0.01</v>
      </c>
      <c r="AS160" t="s">
        <v>50</v>
      </c>
      <c r="AX160" t="s">
        <v>306</v>
      </c>
      <c r="BC160" t="s">
        <v>306</v>
      </c>
      <c r="BD160" t="s">
        <v>931</v>
      </c>
      <c r="BE160">
        <v>109247</v>
      </c>
      <c r="BF160" t="s">
        <v>366</v>
      </c>
      <c r="BG160">
        <v>0.03</v>
      </c>
      <c r="BH160" t="s">
        <v>53</v>
      </c>
      <c r="BI160" t="s">
        <v>510</v>
      </c>
      <c r="BJ160">
        <v>4089114</v>
      </c>
      <c r="BK160" t="s">
        <v>346</v>
      </c>
      <c r="BL160">
        <v>0.01</v>
      </c>
      <c r="BM160" t="s">
        <v>53</v>
      </c>
      <c r="BN160" t="s">
        <v>463</v>
      </c>
      <c r="BO160">
        <v>4138888</v>
      </c>
      <c r="BP160" t="s">
        <v>346</v>
      </c>
      <c r="BQ160">
        <v>0.01</v>
      </c>
      <c r="BR160" t="s">
        <v>375</v>
      </c>
      <c r="BS160" t="s">
        <v>651</v>
      </c>
      <c r="BT160">
        <v>7059915</v>
      </c>
      <c r="BU160" t="s">
        <v>346</v>
      </c>
      <c r="BV160">
        <v>0.02</v>
      </c>
      <c r="BW160" t="s">
        <v>50</v>
      </c>
      <c r="BX160" t="s">
        <v>524</v>
      </c>
      <c r="BY160">
        <v>4147331</v>
      </c>
      <c r="BZ160" t="s">
        <v>346</v>
      </c>
      <c r="CA160">
        <v>0.01</v>
      </c>
      <c r="CB160" t="s">
        <v>313</v>
      </c>
      <c r="CC160" t="s">
        <v>1667</v>
      </c>
      <c r="CD160">
        <v>5857201</v>
      </c>
      <c r="CE160" t="s">
        <v>346</v>
      </c>
      <c r="CF160">
        <v>0.02</v>
      </c>
      <c r="CG160" t="s">
        <v>114</v>
      </c>
      <c r="CH160" t="s">
        <v>1310</v>
      </c>
      <c r="CI160" t="s">
        <v>300</v>
      </c>
      <c r="CJ160" t="s">
        <v>361</v>
      </c>
      <c r="CK160">
        <v>0.01</v>
      </c>
      <c r="CL160" t="s">
        <v>50</v>
      </c>
      <c r="CM160" t="s">
        <v>597</v>
      </c>
      <c r="CN160">
        <v>4654230</v>
      </c>
      <c r="CO160" t="s">
        <v>346</v>
      </c>
      <c r="CP160">
        <v>0.02</v>
      </c>
      <c r="CQ160" t="s">
        <v>125</v>
      </c>
      <c r="CV160" t="s">
        <v>306</v>
      </c>
      <c r="DA160" t="s">
        <v>306</v>
      </c>
      <c r="DB160" t="s">
        <v>931</v>
      </c>
      <c r="DC160">
        <v>109247</v>
      </c>
      <c r="DD160" t="s">
        <v>366</v>
      </c>
      <c r="DE160">
        <v>0.03</v>
      </c>
      <c r="DF160" t="s">
        <v>53</v>
      </c>
      <c r="DK160" t="s">
        <v>306</v>
      </c>
      <c r="DL160" t="s">
        <v>931</v>
      </c>
      <c r="DM160">
        <v>109247</v>
      </c>
      <c r="DN160" t="s">
        <v>366</v>
      </c>
      <c r="DO160">
        <v>0.03</v>
      </c>
      <c r="DP160" t="s">
        <v>53</v>
      </c>
      <c r="DU160" t="s">
        <v>306</v>
      </c>
      <c r="DZ160" t="s">
        <v>306</v>
      </c>
      <c r="EA160" t="s">
        <v>1667</v>
      </c>
      <c r="EB160">
        <v>5857201</v>
      </c>
      <c r="EC160" t="s">
        <v>346</v>
      </c>
      <c r="ED160">
        <v>0.02</v>
      </c>
      <c r="EE160" t="s">
        <v>114</v>
      </c>
      <c r="EF160" t="s">
        <v>931</v>
      </c>
      <c r="EG160">
        <v>109247</v>
      </c>
      <c r="EH160" t="s">
        <v>366</v>
      </c>
      <c r="EI160">
        <v>0.03</v>
      </c>
      <c r="EJ160" t="s">
        <v>53</v>
      </c>
      <c r="EO160" t="s">
        <v>306</v>
      </c>
      <c r="ET160" t="s">
        <v>306</v>
      </c>
      <c r="EY160" t="s">
        <v>306</v>
      </c>
      <c r="FD160" t="s">
        <v>306</v>
      </c>
      <c r="FI160" t="s">
        <v>306</v>
      </c>
      <c r="FN160" t="s">
        <v>306</v>
      </c>
      <c r="FS160" t="s">
        <v>306</v>
      </c>
      <c r="FX160" t="s">
        <v>306</v>
      </c>
      <c r="FY160" t="s">
        <v>931</v>
      </c>
      <c r="FZ160">
        <v>109247</v>
      </c>
      <c r="GA160" t="s">
        <v>366</v>
      </c>
      <c r="GB160">
        <v>0.03</v>
      </c>
      <c r="GC160" t="s">
        <v>53</v>
      </c>
      <c r="GH160" t="s">
        <v>306</v>
      </c>
      <c r="GM160" t="s">
        <v>306</v>
      </c>
      <c r="GR160" t="s">
        <v>306</v>
      </c>
      <c r="GS160" t="s">
        <v>463</v>
      </c>
      <c r="GT160">
        <v>4138888</v>
      </c>
      <c r="GU160" t="s">
        <v>346</v>
      </c>
      <c r="GV160">
        <v>0.01</v>
      </c>
      <c r="GW160" t="s">
        <v>375</v>
      </c>
      <c r="GX160" t="s">
        <v>1667</v>
      </c>
      <c r="GY160">
        <v>5857201</v>
      </c>
      <c r="GZ160" t="s">
        <v>346</v>
      </c>
      <c r="HA160">
        <v>0.02</v>
      </c>
      <c r="HB160" t="s">
        <v>114</v>
      </c>
      <c r="HG160" t="s">
        <v>306</v>
      </c>
    </row>
    <row r="161" spans="5:215" x14ac:dyDescent="0.35">
      <c r="E161" t="s">
        <v>306</v>
      </c>
      <c r="F161" t="s">
        <v>548</v>
      </c>
      <c r="G161">
        <v>26480935</v>
      </c>
      <c r="H161" t="s">
        <v>346</v>
      </c>
      <c r="I161">
        <v>0</v>
      </c>
      <c r="J161" t="s">
        <v>53</v>
      </c>
      <c r="O161" t="s">
        <v>306</v>
      </c>
      <c r="T161" t="s">
        <v>306</v>
      </c>
      <c r="U161" t="s">
        <v>767</v>
      </c>
      <c r="V161">
        <v>4139846</v>
      </c>
      <c r="W161" t="s">
        <v>346</v>
      </c>
      <c r="X161">
        <v>0.01</v>
      </c>
      <c r="Y161" t="s">
        <v>317</v>
      </c>
      <c r="AD161" t="s">
        <v>306</v>
      </c>
      <c r="AE161" t="s">
        <v>465</v>
      </c>
      <c r="AF161">
        <v>4119440</v>
      </c>
      <c r="AG161" t="s">
        <v>346</v>
      </c>
      <c r="AH161">
        <v>0</v>
      </c>
      <c r="AI161" t="s">
        <v>53</v>
      </c>
      <c r="AN161" t="s">
        <v>306</v>
      </c>
      <c r="AO161" t="s">
        <v>1311</v>
      </c>
      <c r="AP161">
        <v>5866214</v>
      </c>
      <c r="AQ161" t="s">
        <v>346</v>
      </c>
      <c r="AR161">
        <v>0.01</v>
      </c>
      <c r="AS161" t="s">
        <v>62</v>
      </c>
      <c r="AX161" t="s">
        <v>306</v>
      </c>
      <c r="BC161" t="s">
        <v>306</v>
      </c>
      <c r="BD161" t="s">
        <v>1294</v>
      </c>
      <c r="BE161">
        <v>4138986</v>
      </c>
      <c r="BF161" t="s">
        <v>346</v>
      </c>
      <c r="BG161">
        <v>0.03</v>
      </c>
      <c r="BH161" t="s">
        <v>62</v>
      </c>
      <c r="BI161" t="s">
        <v>523</v>
      </c>
      <c r="BJ161">
        <v>7060057</v>
      </c>
      <c r="BK161" t="s">
        <v>346</v>
      </c>
      <c r="BL161">
        <v>0</v>
      </c>
      <c r="BM161" t="s">
        <v>320</v>
      </c>
      <c r="BN161" t="s">
        <v>398</v>
      </c>
      <c r="BO161">
        <v>4107954</v>
      </c>
      <c r="BP161" t="s">
        <v>300</v>
      </c>
      <c r="BQ161">
        <v>0.01</v>
      </c>
      <c r="BR161" t="s">
        <v>304</v>
      </c>
      <c r="BS161" t="s">
        <v>663</v>
      </c>
      <c r="BT161">
        <v>4080954</v>
      </c>
      <c r="BU161" t="s">
        <v>346</v>
      </c>
      <c r="BV161">
        <v>0.02</v>
      </c>
      <c r="BW161" t="s">
        <v>2193</v>
      </c>
      <c r="BX161" t="s">
        <v>767</v>
      </c>
      <c r="BY161">
        <v>4139846</v>
      </c>
      <c r="BZ161" t="s">
        <v>346</v>
      </c>
      <c r="CA161">
        <v>0.01</v>
      </c>
      <c r="CB161" t="s">
        <v>317</v>
      </c>
      <c r="CC161" t="s">
        <v>657</v>
      </c>
      <c r="CD161">
        <v>5851513</v>
      </c>
      <c r="CE161" t="s">
        <v>346</v>
      </c>
      <c r="CF161">
        <v>0.02</v>
      </c>
      <c r="CG161" t="s">
        <v>80</v>
      </c>
      <c r="CH161" t="s">
        <v>1311</v>
      </c>
      <c r="CI161">
        <v>5866214</v>
      </c>
      <c r="CJ161" t="s">
        <v>346</v>
      </c>
      <c r="CK161">
        <v>0.01</v>
      </c>
      <c r="CL161" t="s">
        <v>62</v>
      </c>
      <c r="CM161" t="s">
        <v>1980</v>
      </c>
      <c r="CN161">
        <v>4278930</v>
      </c>
      <c r="CO161" t="s">
        <v>346</v>
      </c>
      <c r="CP161">
        <v>0.02</v>
      </c>
      <c r="CQ161" t="s">
        <v>2203</v>
      </c>
      <c r="CV161" t="s">
        <v>306</v>
      </c>
      <c r="DA161" t="s">
        <v>306</v>
      </c>
      <c r="DB161" t="s">
        <v>1294</v>
      </c>
      <c r="DC161">
        <v>4138986</v>
      </c>
      <c r="DD161" t="s">
        <v>346</v>
      </c>
      <c r="DE161">
        <v>0.03</v>
      </c>
      <c r="DF161" t="s">
        <v>62</v>
      </c>
      <c r="DK161" t="s">
        <v>306</v>
      </c>
      <c r="DL161" t="s">
        <v>1294</v>
      </c>
      <c r="DM161">
        <v>4138986</v>
      </c>
      <c r="DN161" t="s">
        <v>346</v>
      </c>
      <c r="DO161">
        <v>0.03</v>
      </c>
      <c r="DP161" t="s">
        <v>62</v>
      </c>
      <c r="DU161" t="s">
        <v>306</v>
      </c>
      <c r="DZ161" t="s">
        <v>306</v>
      </c>
      <c r="EA161" t="s">
        <v>657</v>
      </c>
      <c r="EB161">
        <v>5851513</v>
      </c>
      <c r="EC161" t="s">
        <v>346</v>
      </c>
      <c r="ED161">
        <v>0.02</v>
      </c>
      <c r="EE161" t="s">
        <v>80</v>
      </c>
      <c r="EF161" t="s">
        <v>1294</v>
      </c>
      <c r="EG161">
        <v>4138986</v>
      </c>
      <c r="EH161" t="s">
        <v>346</v>
      </c>
      <c r="EI161">
        <v>0.03</v>
      </c>
      <c r="EJ161" t="s">
        <v>62</v>
      </c>
      <c r="EO161" t="s">
        <v>306</v>
      </c>
      <c r="ET161" t="s">
        <v>306</v>
      </c>
      <c r="EY161" t="s">
        <v>306</v>
      </c>
      <c r="FD161" t="s">
        <v>306</v>
      </c>
      <c r="FI161" t="s">
        <v>306</v>
      </c>
      <c r="FN161" t="s">
        <v>306</v>
      </c>
      <c r="FS161" t="s">
        <v>306</v>
      </c>
      <c r="FX161" t="s">
        <v>306</v>
      </c>
      <c r="FY161" t="s">
        <v>1294</v>
      </c>
      <c r="FZ161">
        <v>4138986</v>
      </c>
      <c r="GA161" t="s">
        <v>346</v>
      </c>
      <c r="GB161">
        <v>0.03</v>
      </c>
      <c r="GC161" t="s">
        <v>62</v>
      </c>
      <c r="GH161" t="s">
        <v>306</v>
      </c>
      <c r="GM161" t="s">
        <v>306</v>
      </c>
      <c r="GR161" t="s">
        <v>306</v>
      </c>
      <c r="GS161" t="s">
        <v>398</v>
      </c>
      <c r="GT161">
        <v>4107954</v>
      </c>
      <c r="GU161" t="s">
        <v>300</v>
      </c>
      <c r="GV161">
        <v>0.01</v>
      </c>
      <c r="GW161" t="s">
        <v>304</v>
      </c>
      <c r="GX161" t="s">
        <v>657</v>
      </c>
      <c r="GY161">
        <v>5851513</v>
      </c>
      <c r="GZ161" t="s">
        <v>346</v>
      </c>
      <c r="HA161">
        <v>0.02</v>
      </c>
      <c r="HB161" t="s">
        <v>80</v>
      </c>
      <c r="HG161" t="s">
        <v>306</v>
      </c>
    </row>
    <row r="162" spans="5:215" x14ac:dyDescent="0.35">
      <c r="E162" t="s">
        <v>306</v>
      </c>
      <c r="F162" t="s">
        <v>549</v>
      </c>
      <c r="G162">
        <v>4556203</v>
      </c>
      <c r="H162" t="s">
        <v>346</v>
      </c>
      <c r="I162">
        <v>0</v>
      </c>
      <c r="J162" t="s">
        <v>53</v>
      </c>
      <c r="O162" t="s">
        <v>306</v>
      </c>
      <c r="T162" t="s">
        <v>306</v>
      </c>
      <c r="U162" t="s">
        <v>529</v>
      </c>
      <c r="V162">
        <v>110570</v>
      </c>
      <c r="W162" t="s">
        <v>346</v>
      </c>
      <c r="X162">
        <v>0.01</v>
      </c>
      <c r="Y162" t="s">
        <v>53</v>
      </c>
      <c r="AD162" t="s">
        <v>306</v>
      </c>
      <c r="AE162" t="s">
        <v>483</v>
      </c>
      <c r="AF162">
        <v>109763</v>
      </c>
      <c r="AG162" t="s">
        <v>346</v>
      </c>
      <c r="AH162">
        <v>0</v>
      </c>
      <c r="AI162" t="s">
        <v>53</v>
      </c>
      <c r="AN162" t="s">
        <v>306</v>
      </c>
      <c r="AO162" t="s">
        <v>1312</v>
      </c>
      <c r="AP162">
        <v>7944855</v>
      </c>
      <c r="AQ162" t="s">
        <v>346</v>
      </c>
      <c r="AR162">
        <v>0.01</v>
      </c>
      <c r="AS162" t="s">
        <v>62</v>
      </c>
      <c r="AX162" t="s">
        <v>306</v>
      </c>
      <c r="BC162" t="s">
        <v>306</v>
      </c>
      <c r="BD162" t="s">
        <v>603</v>
      </c>
      <c r="BE162">
        <v>110641</v>
      </c>
      <c r="BF162" t="s">
        <v>346</v>
      </c>
      <c r="BG162">
        <v>0.03</v>
      </c>
      <c r="BH162" t="s">
        <v>53</v>
      </c>
      <c r="BI162" t="s">
        <v>1092</v>
      </c>
      <c r="BJ162">
        <v>27584974</v>
      </c>
      <c r="BK162" t="s">
        <v>346</v>
      </c>
      <c r="BL162">
        <v>0</v>
      </c>
      <c r="BM162" t="s">
        <v>80</v>
      </c>
      <c r="BN162" t="s">
        <v>509</v>
      </c>
      <c r="BO162">
        <v>4226520</v>
      </c>
      <c r="BP162" t="s">
        <v>346</v>
      </c>
      <c r="BQ162">
        <v>0.01</v>
      </c>
      <c r="BR162" t="s">
        <v>80</v>
      </c>
      <c r="BS162" t="s">
        <v>530</v>
      </c>
      <c r="BT162">
        <v>102729</v>
      </c>
      <c r="BU162" t="s">
        <v>346</v>
      </c>
      <c r="BV162">
        <v>0.02</v>
      </c>
      <c r="BW162" t="s">
        <v>53</v>
      </c>
      <c r="BX162" t="s">
        <v>529</v>
      </c>
      <c r="BY162">
        <v>110570</v>
      </c>
      <c r="BZ162" t="s">
        <v>346</v>
      </c>
      <c r="CA162">
        <v>0.01</v>
      </c>
      <c r="CB162" t="s">
        <v>53</v>
      </c>
      <c r="CC162" t="s">
        <v>526</v>
      </c>
      <c r="CD162">
        <v>4248288</v>
      </c>
      <c r="CE162" t="s">
        <v>346</v>
      </c>
      <c r="CF162">
        <v>0.02</v>
      </c>
      <c r="CG162" t="s">
        <v>80</v>
      </c>
      <c r="CH162" t="s">
        <v>1312</v>
      </c>
      <c r="CI162">
        <v>7944855</v>
      </c>
      <c r="CJ162" t="s">
        <v>346</v>
      </c>
      <c r="CK162">
        <v>0.01</v>
      </c>
      <c r="CL162" t="s">
        <v>62</v>
      </c>
      <c r="CM162" t="s">
        <v>936</v>
      </c>
      <c r="CN162">
        <v>100369</v>
      </c>
      <c r="CO162" t="s">
        <v>366</v>
      </c>
      <c r="CP162">
        <v>0.02</v>
      </c>
      <c r="CQ162" t="s">
        <v>53</v>
      </c>
      <c r="CV162" t="s">
        <v>306</v>
      </c>
      <c r="DA162" t="s">
        <v>306</v>
      </c>
      <c r="DB162" t="s">
        <v>603</v>
      </c>
      <c r="DC162">
        <v>110641</v>
      </c>
      <c r="DD162" t="s">
        <v>346</v>
      </c>
      <c r="DE162">
        <v>0.03</v>
      </c>
      <c r="DF162" t="s">
        <v>53</v>
      </c>
      <c r="DK162" t="s">
        <v>306</v>
      </c>
      <c r="DL162" t="s">
        <v>603</v>
      </c>
      <c r="DM162">
        <v>110641</v>
      </c>
      <c r="DN162" t="s">
        <v>346</v>
      </c>
      <c r="DO162">
        <v>0.03</v>
      </c>
      <c r="DP162" t="s">
        <v>53</v>
      </c>
      <c r="DU162" t="s">
        <v>306</v>
      </c>
      <c r="DZ162" t="s">
        <v>306</v>
      </c>
      <c r="EA162" t="s">
        <v>526</v>
      </c>
      <c r="EB162">
        <v>4248288</v>
      </c>
      <c r="EC162" t="s">
        <v>346</v>
      </c>
      <c r="ED162">
        <v>0.02</v>
      </c>
      <c r="EE162" t="s">
        <v>80</v>
      </c>
      <c r="EF162" t="s">
        <v>603</v>
      </c>
      <c r="EG162">
        <v>110641</v>
      </c>
      <c r="EH162" t="s">
        <v>346</v>
      </c>
      <c r="EI162">
        <v>0.03</v>
      </c>
      <c r="EJ162" t="s">
        <v>53</v>
      </c>
      <c r="EO162" t="s">
        <v>306</v>
      </c>
      <c r="ET162" t="s">
        <v>306</v>
      </c>
      <c r="EY162" t="s">
        <v>306</v>
      </c>
      <c r="FD162" t="s">
        <v>306</v>
      </c>
      <c r="FI162" t="s">
        <v>306</v>
      </c>
      <c r="FN162" t="s">
        <v>306</v>
      </c>
      <c r="FS162" t="s">
        <v>306</v>
      </c>
      <c r="FX162" t="s">
        <v>306</v>
      </c>
      <c r="FY162" t="s">
        <v>603</v>
      </c>
      <c r="FZ162">
        <v>110641</v>
      </c>
      <c r="GA162" t="s">
        <v>346</v>
      </c>
      <c r="GB162">
        <v>0.03</v>
      </c>
      <c r="GC162" t="s">
        <v>53</v>
      </c>
      <c r="GH162" t="s">
        <v>306</v>
      </c>
      <c r="GM162" t="s">
        <v>306</v>
      </c>
      <c r="GR162" t="s">
        <v>306</v>
      </c>
      <c r="GS162" t="s">
        <v>509</v>
      </c>
      <c r="GT162">
        <v>4226520</v>
      </c>
      <c r="GU162" t="s">
        <v>346</v>
      </c>
      <c r="GV162">
        <v>0.01</v>
      </c>
      <c r="GW162" t="s">
        <v>80</v>
      </c>
      <c r="GX162" t="s">
        <v>526</v>
      </c>
      <c r="GY162">
        <v>4248288</v>
      </c>
      <c r="GZ162" t="s">
        <v>346</v>
      </c>
      <c r="HA162">
        <v>0.02</v>
      </c>
      <c r="HB162" t="s">
        <v>80</v>
      </c>
      <c r="HG162" t="s">
        <v>306</v>
      </c>
    </row>
    <row r="163" spans="5:215" x14ac:dyDescent="0.35">
      <c r="E163" t="s">
        <v>306</v>
      </c>
      <c r="F163" t="s">
        <v>550</v>
      </c>
      <c r="G163">
        <v>4138393</v>
      </c>
      <c r="H163" t="s">
        <v>346</v>
      </c>
      <c r="I163">
        <v>0</v>
      </c>
      <c r="J163" t="s">
        <v>2184</v>
      </c>
      <c r="O163" t="s">
        <v>306</v>
      </c>
      <c r="T163" t="s">
        <v>306</v>
      </c>
      <c r="U163" t="s">
        <v>488</v>
      </c>
      <c r="V163">
        <v>4087052</v>
      </c>
      <c r="W163" t="s">
        <v>346</v>
      </c>
      <c r="X163">
        <v>0.01</v>
      </c>
      <c r="Y163" t="s">
        <v>53</v>
      </c>
      <c r="AD163" t="s">
        <v>306</v>
      </c>
      <c r="AE163" t="s">
        <v>880</v>
      </c>
      <c r="AF163">
        <v>4139864</v>
      </c>
      <c r="AG163" t="s">
        <v>346</v>
      </c>
      <c r="AH163">
        <v>0</v>
      </c>
      <c r="AI163" t="s">
        <v>313</v>
      </c>
      <c r="AN163" t="s">
        <v>306</v>
      </c>
      <c r="AO163" t="s">
        <v>1313</v>
      </c>
      <c r="AP163">
        <v>5777655</v>
      </c>
      <c r="AQ163" t="s">
        <v>346</v>
      </c>
      <c r="AR163">
        <v>0.01</v>
      </c>
      <c r="AS163" t="s">
        <v>62</v>
      </c>
      <c r="AX163" t="s">
        <v>306</v>
      </c>
      <c r="BC163" t="s">
        <v>306</v>
      </c>
      <c r="BD163" t="s">
        <v>1444</v>
      </c>
      <c r="BE163">
        <v>4144847</v>
      </c>
      <c r="BF163" t="s">
        <v>346</v>
      </c>
      <c r="BG163">
        <v>0.03</v>
      </c>
      <c r="BH163" t="s">
        <v>321</v>
      </c>
      <c r="BI163" t="s">
        <v>508</v>
      </c>
      <c r="BJ163">
        <v>4399282</v>
      </c>
      <c r="BK163" t="s">
        <v>346</v>
      </c>
      <c r="BL163">
        <v>0</v>
      </c>
      <c r="BM163" t="s">
        <v>80</v>
      </c>
      <c r="BN163" t="s">
        <v>772</v>
      </c>
      <c r="BO163">
        <v>4137684</v>
      </c>
      <c r="BP163" t="s">
        <v>300</v>
      </c>
      <c r="BQ163">
        <v>0.01</v>
      </c>
      <c r="BR163" t="s">
        <v>50</v>
      </c>
      <c r="BS163" t="s">
        <v>753</v>
      </c>
      <c r="BT163">
        <v>10499632</v>
      </c>
      <c r="BU163" t="s">
        <v>363</v>
      </c>
      <c r="BV163">
        <v>0.02</v>
      </c>
      <c r="BW163" t="s">
        <v>313</v>
      </c>
      <c r="BX163" t="s">
        <v>488</v>
      </c>
      <c r="BY163">
        <v>4087052</v>
      </c>
      <c r="BZ163" t="s">
        <v>346</v>
      </c>
      <c r="CA163">
        <v>0.01</v>
      </c>
      <c r="CB163" t="s">
        <v>53</v>
      </c>
      <c r="CC163" t="s">
        <v>1668</v>
      </c>
      <c r="CD163">
        <v>19400125</v>
      </c>
      <c r="CE163" t="s">
        <v>346</v>
      </c>
      <c r="CF163">
        <v>0.02</v>
      </c>
      <c r="CG163" t="s">
        <v>2181</v>
      </c>
      <c r="CH163" t="s">
        <v>1313</v>
      </c>
      <c r="CI163">
        <v>5777655</v>
      </c>
      <c r="CJ163" t="s">
        <v>346</v>
      </c>
      <c r="CK163">
        <v>0.01</v>
      </c>
      <c r="CL163" t="s">
        <v>62</v>
      </c>
      <c r="CM163" t="s">
        <v>1981</v>
      </c>
      <c r="CN163">
        <v>4253287</v>
      </c>
      <c r="CO163" t="s">
        <v>366</v>
      </c>
      <c r="CP163">
        <v>0.02</v>
      </c>
      <c r="CQ163" t="s">
        <v>53</v>
      </c>
      <c r="CV163" t="s">
        <v>306</v>
      </c>
      <c r="DA163" t="s">
        <v>306</v>
      </c>
      <c r="DB163" t="s">
        <v>1444</v>
      </c>
      <c r="DC163">
        <v>4144847</v>
      </c>
      <c r="DD163" t="s">
        <v>346</v>
      </c>
      <c r="DE163">
        <v>0.03</v>
      </c>
      <c r="DF163" t="s">
        <v>321</v>
      </c>
      <c r="DK163" t="s">
        <v>306</v>
      </c>
      <c r="DL163" t="s">
        <v>1444</v>
      </c>
      <c r="DM163">
        <v>4144847</v>
      </c>
      <c r="DN163" t="s">
        <v>346</v>
      </c>
      <c r="DO163">
        <v>0.03</v>
      </c>
      <c r="DP163" t="s">
        <v>321</v>
      </c>
      <c r="DU163" t="s">
        <v>306</v>
      </c>
      <c r="DZ163" t="s">
        <v>306</v>
      </c>
      <c r="EA163" t="s">
        <v>1668</v>
      </c>
      <c r="EB163">
        <v>19400125</v>
      </c>
      <c r="EC163" t="s">
        <v>346</v>
      </c>
      <c r="ED163">
        <v>0.02</v>
      </c>
      <c r="EE163" t="s">
        <v>2181</v>
      </c>
      <c r="EF163" t="s">
        <v>1444</v>
      </c>
      <c r="EG163">
        <v>4144847</v>
      </c>
      <c r="EH163" t="s">
        <v>346</v>
      </c>
      <c r="EI163">
        <v>0.03</v>
      </c>
      <c r="EJ163" t="s">
        <v>321</v>
      </c>
      <c r="EO163" t="s">
        <v>306</v>
      </c>
      <c r="ET163" t="s">
        <v>306</v>
      </c>
      <c r="EY163" t="s">
        <v>306</v>
      </c>
      <c r="FD163" t="s">
        <v>306</v>
      </c>
      <c r="FI163" t="s">
        <v>306</v>
      </c>
      <c r="FN163" t="s">
        <v>306</v>
      </c>
      <c r="FS163" t="s">
        <v>306</v>
      </c>
      <c r="FX163" t="s">
        <v>306</v>
      </c>
      <c r="FY163" t="s">
        <v>1444</v>
      </c>
      <c r="FZ163">
        <v>4144847</v>
      </c>
      <c r="GA163" t="s">
        <v>346</v>
      </c>
      <c r="GB163">
        <v>0.03</v>
      </c>
      <c r="GC163" t="s">
        <v>321</v>
      </c>
      <c r="GH163" t="s">
        <v>306</v>
      </c>
      <c r="GM163" t="s">
        <v>306</v>
      </c>
      <c r="GR163" t="s">
        <v>306</v>
      </c>
      <c r="GS163" t="s">
        <v>772</v>
      </c>
      <c r="GT163">
        <v>4137684</v>
      </c>
      <c r="GU163" t="s">
        <v>300</v>
      </c>
      <c r="GV163">
        <v>0.01</v>
      </c>
      <c r="GW163" t="s">
        <v>50</v>
      </c>
      <c r="GX163" t="s">
        <v>1668</v>
      </c>
      <c r="GY163">
        <v>19400125</v>
      </c>
      <c r="GZ163" t="s">
        <v>346</v>
      </c>
      <c r="HA163">
        <v>0.02</v>
      </c>
      <c r="HB163" t="s">
        <v>2181</v>
      </c>
      <c r="HG163" t="s">
        <v>306</v>
      </c>
    </row>
    <row r="164" spans="5:215" x14ac:dyDescent="0.35">
      <c r="E164" t="s">
        <v>306</v>
      </c>
      <c r="F164" t="s">
        <v>551</v>
      </c>
      <c r="G164">
        <v>4137681</v>
      </c>
      <c r="H164" t="s">
        <v>346</v>
      </c>
      <c r="I164">
        <v>0</v>
      </c>
      <c r="J164" t="s">
        <v>50</v>
      </c>
      <c r="O164" t="s">
        <v>306</v>
      </c>
      <c r="T164" t="s">
        <v>306</v>
      </c>
      <c r="U164" t="s">
        <v>768</v>
      </c>
      <c r="V164" t="s">
        <v>300</v>
      </c>
      <c r="W164" t="s">
        <v>361</v>
      </c>
      <c r="X164">
        <v>0.01</v>
      </c>
      <c r="Y164" t="s">
        <v>50</v>
      </c>
      <c r="AD164" t="s">
        <v>306</v>
      </c>
      <c r="AE164" t="s">
        <v>549</v>
      </c>
      <c r="AF164">
        <v>4556203</v>
      </c>
      <c r="AG164" t="s">
        <v>346</v>
      </c>
      <c r="AH164">
        <v>0</v>
      </c>
      <c r="AI164" t="s">
        <v>53</v>
      </c>
      <c r="AN164" t="s">
        <v>306</v>
      </c>
      <c r="AO164" t="s">
        <v>1314</v>
      </c>
      <c r="AP164">
        <v>105607411</v>
      </c>
      <c r="AQ164" t="s">
        <v>346</v>
      </c>
      <c r="AR164">
        <v>0.01</v>
      </c>
      <c r="AS164" t="s">
        <v>62</v>
      </c>
      <c r="AX164" t="s">
        <v>306</v>
      </c>
      <c r="BC164" t="s">
        <v>306</v>
      </c>
      <c r="BD164" t="s">
        <v>1445</v>
      </c>
      <c r="BE164">
        <v>113830</v>
      </c>
      <c r="BF164" t="s">
        <v>346</v>
      </c>
      <c r="BG164">
        <v>0.03</v>
      </c>
      <c r="BH164" t="s">
        <v>2185</v>
      </c>
      <c r="BI164" t="s">
        <v>1574</v>
      </c>
      <c r="BJ164">
        <v>4026908</v>
      </c>
      <c r="BK164" t="s">
        <v>346</v>
      </c>
      <c r="BL164">
        <v>0</v>
      </c>
      <c r="BM164" t="s">
        <v>53</v>
      </c>
      <c r="BN164" t="s">
        <v>444</v>
      </c>
      <c r="BO164">
        <v>109988</v>
      </c>
      <c r="BP164" t="s">
        <v>346</v>
      </c>
      <c r="BQ164">
        <v>0.01</v>
      </c>
      <c r="BR164" t="s">
        <v>53</v>
      </c>
      <c r="BS164" t="s">
        <v>979</v>
      </c>
      <c r="BT164">
        <v>4041196</v>
      </c>
      <c r="BU164" t="s">
        <v>366</v>
      </c>
      <c r="BV164">
        <v>0.01</v>
      </c>
      <c r="BW164" t="s">
        <v>313</v>
      </c>
      <c r="BX164" t="s">
        <v>768</v>
      </c>
      <c r="BY164" t="s">
        <v>300</v>
      </c>
      <c r="BZ164" t="s">
        <v>361</v>
      </c>
      <c r="CA164">
        <v>0.01</v>
      </c>
      <c r="CB164" t="s">
        <v>50</v>
      </c>
      <c r="CC164" t="s">
        <v>477</v>
      </c>
      <c r="CD164">
        <v>4119790</v>
      </c>
      <c r="CE164" t="s">
        <v>346</v>
      </c>
      <c r="CF164">
        <v>0.02</v>
      </c>
      <c r="CG164" t="s">
        <v>53</v>
      </c>
      <c r="CH164" t="s">
        <v>1314</v>
      </c>
      <c r="CI164">
        <v>105607411</v>
      </c>
      <c r="CJ164" t="s">
        <v>346</v>
      </c>
      <c r="CK164">
        <v>0.01</v>
      </c>
      <c r="CL164" t="s">
        <v>62</v>
      </c>
      <c r="CM164" t="s">
        <v>1274</v>
      </c>
      <c r="CN164">
        <v>25022507</v>
      </c>
      <c r="CO164" t="s">
        <v>346</v>
      </c>
      <c r="CP164">
        <v>0.02</v>
      </c>
      <c r="CQ164" t="s">
        <v>62</v>
      </c>
      <c r="CV164" t="s">
        <v>306</v>
      </c>
      <c r="DA164" t="s">
        <v>306</v>
      </c>
      <c r="DB164" t="s">
        <v>1445</v>
      </c>
      <c r="DC164">
        <v>113830</v>
      </c>
      <c r="DD164" t="s">
        <v>346</v>
      </c>
      <c r="DE164">
        <v>0.03</v>
      </c>
      <c r="DF164" t="s">
        <v>2185</v>
      </c>
      <c r="DK164" t="s">
        <v>306</v>
      </c>
      <c r="DL164" t="s">
        <v>1445</v>
      </c>
      <c r="DM164">
        <v>113830</v>
      </c>
      <c r="DN164" t="s">
        <v>346</v>
      </c>
      <c r="DO164">
        <v>0.03</v>
      </c>
      <c r="DP164" t="s">
        <v>2185</v>
      </c>
      <c r="DU164" t="s">
        <v>306</v>
      </c>
      <c r="DZ164" t="s">
        <v>306</v>
      </c>
      <c r="EA164" t="s">
        <v>477</v>
      </c>
      <c r="EB164">
        <v>4119790</v>
      </c>
      <c r="EC164" t="s">
        <v>346</v>
      </c>
      <c r="ED164">
        <v>0.02</v>
      </c>
      <c r="EE164" t="s">
        <v>53</v>
      </c>
      <c r="EF164" t="s">
        <v>1445</v>
      </c>
      <c r="EG164">
        <v>113830</v>
      </c>
      <c r="EH164" t="s">
        <v>346</v>
      </c>
      <c r="EI164">
        <v>0.03</v>
      </c>
      <c r="EJ164" t="s">
        <v>2185</v>
      </c>
      <c r="EO164" t="s">
        <v>306</v>
      </c>
      <c r="ET164" t="s">
        <v>306</v>
      </c>
      <c r="EY164" t="s">
        <v>306</v>
      </c>
      <c r="FD164" t="s">
        <v>306</v>
      </c>
      <c r="FI164" t="s">
        <v>306</v>
      </c>
      <c r="FN164" t="s">
        <v>306</v>
      </c>
      <c r="FS164" t="s">
        <v>306</v>
      </c>
      <c r="FX164" t="s">
        <v>306</v>
      </c>
      <c r="FY164" t="s">
        <v>1445</v>
      </c>
      <c r="FZ164">
        <v>113830</v>
      </c>
      <c r="GA164" t="s">
        <v>346</v>
      </c>
      <c r="GB164">
        <v>0.03</v>
      </c>
      <c r="GC164" t="s">
        <v>2185</v>
      </c>
      <c r="GH164" t="s">
        <v>306</v>
      </c>
      <c r="GM164" t="s">
        <v>306</v>
      </c>
      <c r="GR164" t="s">
        <v>306</v>
      </c>
      <c r="GS164" t="s">
        <v>444</v>
      </c>
      <c r="GT164">
        <v>109988</v>
      </c>
      <c r="GU164" t="s">
        <v>346</v>
      </c>
      <c r="GV164">
        <v>0.01</v>
      </c>
      <c r="GW164" t="s">
        <v>53</v>
      </c>
      <c r="GX164" t="s">
        <v>477</v>
      </c>
      <c r="GY164">
        <v>4119790</v>
      </c>
      <c r="GZ164" t="s">
        <v>346</v>
      </c>
      <c r="HA164">
        <v>0.02</v>
      </c>
      <c r="HB164" t="s">
        <v>53</v>
      </c>
      <c r="HG164" t="s">
        <v>306</v>
      </c>
    </row>
    <row r="165" spans="5:215" x14ac:dyDescent="0.35">
      <c r="E165" t="s">
        <v>306</v>
      </c>
      <c r="F165" t="s">
        <v>552</v>
      </c>
      <c r="G165">
        <v>4026973</v>
      </c>
      <c r="H165" t="s">
        <v>346</v>
      </c>
      <c r="I165">
        <v>0</v>
      </c>
      <c r="J165" t="s">
        <v>313</v>
      </c>
      <c r="O165" t="s">
        <v>306</v>
      </c>
      <c r="T165" t="s">
        <v>306</v>
      </c>
      <c r="U165" t="s">
        <v>769</v>
      </c>
      <c r="V165">
        <v>4332718</v>
      </c>
      <c r="W165" t="s">
        <v>346</v>
      </c>
      <c r="X165">
        <v>0.01</v>
      </c>
      <c r="Y165" t="s">
        <v>313</v>
      </c>
      <c r="AD165" t="s">
        <v>306</v>
      </c>
      <c r="AE165" t="s">
        <v>1067</v>
      </c>
      <c r="AF165">
        <v>4336776</v>
      </c>
      <c r="AG165" t="s">
        <v>346</v>
      </c>
      <c r="AH165">
        <v>0</v>
      </c>
      <c r="AI165" t="s">
        <v>375</v>
      </c>
      <c r="AN165" t="s">
        <v>306</v>
      </c>
      <c r="AO165" t="s">
        <v>1315</v>
      </c>
      <c r="AP165">
        <v>4139315</v>
      </c>
      <c r="AQ165" t="s">
        <v>346</v>
      </c>
      <c r="AR165">
        <v>0.01</v>
      </c>
      <c r="AS165" t="s">
        <v>2185</v>
      </c>
      <c r="AX165" t="s">
        <v>306</v>
      </c>
      <c r="BC165" t="s">
        <v>306</v>
      </c>
      <c r="BD165" t="s">
        <v>1446</v>
      </c>
      <c r="BE165">
        <v>4116825</v>
      </c>
      <c r="BF165" t="s">
        <v>346</v>
      </c>
      <c r="BG165">
        <v>0.03</v>
      </c>
      <c r="BH165" t="s">
        <v>53</v>
      </c>
      <c r="BI165" t="s">
        <v>549</v>
      </c>
      <c r="BJ165">
        <v>4556203</v>
      </c>
      <c r="BK165" t="s">
        <v>346</v>
      </c>
      <c r="BL165">
        <v>0</v>
      </c>
      <c r="BM165" t="s">
        <v>53</v>
      </c>
      <c r="BN165" t="s">
        <v>407</v>
      </c>
      <c r="BO165">
        <v>109754</v>
      </c>
      <c r="BP165" t="s">
        <v>346</v>
      </c>
      <c r="BQ165">
        <v>0.01</v>
      </c>
      <c r="BR165" t="s">
        <v>53</v>
      </c>
      <c r="BS165" t="s">
        <v>541</v>
      </c>
      <c r="BT165">
        <v>4135098</v>
      </c>
      <c r="BU165" t="s">
        <v>346</v>
      </c>
      <c r="BV165">
        <v>0.01</v>
      </c>
      <c r="BW165" t="s">
        <v>313</v>
      </c>
      <c r="BX165" t="s">
        <v>769</v>
      </c>
      <c r="BY165">
        <v>4332718</v>
      </c>
      <c r="BZ165" t="s">
        <v>346</v>
      </c>
      <c r="CA165">
        <v>0.01</v>
      </c>
      <c r="CB165" t="s">
        <v>313</v>
      </c>
      <c r="CC165" t="s">
        <v>1411</v>
      </c>
      <c r="CD165">
        <v>100515</v>
      </c>
      <c r="CE165" t="s">
        <v>366</v>
      </c>
      <c r="CF165">
        <v>0.02</v>
      </c>
      <c r="CG165" t="s">
        <v>80</v>
      </c>
      <c r="CH165" t="s">
        <v>1315</v>
      </c>
      <c r="CI165">
        <v>4139315</v>
      </c>
      <c r="CJ165" t="s">
        <v>346</v>
      </c>
      <c r="CK165">
        <v>0.01</v>
      </c>
      <c r="CL165" t="s">
        <v>2185</v>
      </c>
      <c r="CM165" t="s">
        <v>1982</v>
      </c>
      <c r="CN165">
        <v>15017834</v>
      </c>
      <c r="CO165" t="s">
        <v>346</v>
      </c>
      <c r="CP165">
        <v>0.02</v>
      </c>
      <c r="CQ165" t="s">
        <v>53</v>
      </c>
      <c r="CV165" t="s">
        <v>306</v>
      </c>
      <c r="DA165" t="s">
        <v>306</v>
      </c>
      <c r="DB165" t="s">
        <v>1446</v>
      </c>
      <c r="DC165">
        <v>4116825</v>
      </c>
      <c r="DD165" t="s">
        <v>346</v>
      </c>
      <c r="DE165">
        <v>0.03</v>
      </c>
      <c r="DF165" t="s">
        <v>53</v>
      </c>
      <c r="DK165" t="s">
        <v>306</v>
      </c>
      <c r="DL165" t="s">
        <v>1446</v>
      </c>
      <c r="DM165">
        <v>4116825</v>
      </c>
      <c r="DN165" t="s">
        <v>346</v>
      </c>
      <c r="DO165">
        <v>0.03</v>
      </c>
      <c r="DP165" t="s">
        <v>53</v>
      </c>
      <c r="DU165" t="s">
        <v>306</v>
      </c>
      <c r="DZ165" t="s">
        <v>306</v>
      </c>
      <c r="EA165" t="s">
        <v>1411</v>
      </c>
      <c r="EB165">
        <v>100515</v>
      </c>
      <c r="EC165" t="s">
        <v>366</v>
      </c>
      <c r="ED165">
        <v>0.02</v>
      </c>
      <c r="EE165" t="s">
        <v>80</v>
      </c>
      <c r="EF165" t="s">
        <v>1446</v>
      </c>
      <c r="EG165">
        <v>4116825</v>
      </c>
      <c r="EH165" t="s">
        <v>346</v>
      </c>
      <c r="EI165">
        <v>0.03</v>
      </c>
      <c r="EJ165" t="s">
        <v>53</v>
      </c>
      <c r="EO165" t="s">
        <v>306</v>
      </c>
      <c r="ET165" t="s">
        <v>306</v>
      </c>
      <c r="EY165" t="s">
        <v>306</v>
      </c>
      <c r="FD165" t="s">
        <v>306</v>
      </c>
      <c r="FI165" t="s">
        <v>306</v>
      </c>
      <c r="FN165" t="s">
        <v>306</v>
      </c>
      <c r="FS165" t="s">
        <v>306</v>
      </c>
      <c r="FX165" t="s">
        <v>306</v>
      </c>
      <c r="FY165" t="s">
        <v>1446</v>
      </c>
      <c r="FZ165">
        <v>4116825</v>
      </c>
      <c r="GA165" t="s">
        <v>346</v>
      </c>
      <c r="GB165">
        <v>0.03</v>
      </c>
      <c r="GC165" t="s">
        <v>53</v>
      </c>
      <c r="GH165" t="s">
        <v>306</v>
      </c>
      <c r="GM165" t="s">
        <v>306</v>
      </c>
      <c r="GR165" t="s">
        <v>306</v>
      </c>
      <c r="GS165" t="s">
        <v>407</v>
      </c>
      <c r="GT165">
        <v>109754</v>
      </c>
      <c r="GU165" t="s">
        <v>346</v>
      </c>
      <c r="GV165">
        <v>0.01</v>
      </c>
      <c r="GW165" t="s">
        <v>53</v>
      </c>
      <c r="GX165" t="s">
        <v>1411</v>
      </c>
      <c r="GY165">
        <v>100515</v>
      </c>
      <c r="GZ165" t="s">
        <v>366</v>
      </c>
      <c r="HA165">
        <v>0.02</v>
      </c>
      <c r="HB165" t="s">
        <v>80</v>
      </c>
      <c r="HG165" t="s">
        <v>306</v>
      </c>
    </row>
    <row r="166" spans="5:215" x14ac:dyDescent="0.35">
      <c r="E166" t="s">
        <v>306</v>
      </c>
      <c r="F166" t="s">
        <v>553</v>
      </c>
      <c r="G166">
        <v>4557089</v>
      </c>
      <c r="H166" t="s">
        <v>346</v>
      </c>
      <c r="I166">
        <v>0</v>
      </c>
      <c r="J166" t="s">
        <v>80</v>
      </c>
      <c r="O166" t="s">
        <v>306</v>
      </c>
      <c r="T166" t="s">
        <v>306</v>
      </c>
      <c r="U166" t="s">
        <v>687</v>
      </c>
      <c r="V166">
        <v>4368709</v>
      </c>
      <c r="W166" t="s">
        <v>346</v>
      </c>
      <c r="X166">
        <v>0.01</v>
      </c>
      <c r="Y166" t="s">
        <v>50</v>
      </c>
      <c r="AD166" t="s">
        <v>306</v>
      </c>
      <c r="AE166" t="s">
        <v>1160</v>
      </c>
      <c r="AF166">
        <v>5868744</v>
      </c>
      <c r="AG166" t="s">
        <v>346</v>
      </c>
      <c r="AH166">
        <v>0</v>
      </c>
      <c r="AI166" t="s">
        <v>2184</v>
      </c>
      <c r="AN166" t="s">
        <v>306</v>
      </c>
      <c r="AO166" t="s">
        <v>471</v>
      </c>
      <c r="AP166">
        <v>4102247</v>
      </c>
      <c r="AQ166" t="s">
        <v>346</v>
      </c>
      <c r="AR166">
        <v>0.01</v>
      </c>
      <c r="AS166" t="s">
        <v>53</v>
      </c>
      <c r="AX166" t="s">
        <v>306</v>
      </c>
      <c r="BC166" t="s">
        <v>306</v>
      </c>
      <c r="BD166" t="s">
        <v>455</v>
      </c>
      <c r="BE166">
        <v>4119538</v>
      </c>
      <c r="BF166" t="s">
        <v>364</v>
      </c>
      <c r="BG166">
        <v>0.03</v>
      </c>
      <c r="BH166" t="s">
        <v>53</v>
      </c>
      <c r="BI166" t="s">
        <v>570</v>
      </c>
      <c r="BJ166">
        <v>106302708</v>
      </c>
      <c r="BK166" t="s">
        <v>346</v>
      </c>
      <c r="BL166">
        <v>0</v>
      </c>
      <c r="BM166" t="s">
        <v>320</v>
      </c>
      <c r="BN166" t="s">
        <v>781</v>
      </c>
      <c r="BO166">
        <v>7794310</v>
      </c>
      <c r="BP166" t="s">
        <v>346</v>
      </c>
      <c r="BQ166">
        <v>0.01</v>
      </c>
      <c r="BR166" t="s">
        <v>313</v>
      </c>
      <c r="BS166" t="s">
        <v>454</v>
      </c>
      <c r="BT166">
        <v>4145691</v>
      </c>
      <c r="BU166" t="s">
        <v>346</v>
      </c>
      <c r="BV166">
        <v>0.01</v>
      </c>
      <c r="BW166" t="s">
        <v>53</v>
      </c>
      <c r="BX166" t="s">
        <v>687</v>
      </c>
      <c r="BY166">
        <v>4368709</v>
      </c>
      <c r="BZ166" t="s">
        <v>346</v>
      </c>
      <c r="CA166">
        <v>0.01</v>
      </c>
      <c r="CB166" t="s">
        <v>50</v>
      </c>
      <c r="CC166" t="s">
        <v>1669</v>
      </c>
      <c r="CD166">
        <v>4416867</v>
      </c>
      <c r="CE166" t="s">
        <v>346</v>
      </c>
      <c r="CF166">
        <v>0.02</v>
      </c>
      <c r="CG166" t="s">
        <v>114</v>
      </c>
      <c r="CH166" t="s">
        <v>471</v>
      </c>
      <c r="CI166">
        <v>4102247</v>
      </c>
      <c r="CJ166" t="s">
        <v>346</v>
      </c>
      <c r="CK166">
        <v>0.01</v>
      </c>
      <c r="CL166" t="s">
        <v>53</v>
      </c>
      <c r="CM166" t="s">
        <v>1751</v>
      </c>
      <c r="CN166">
        <v>4145924</v>
      </c>
      <c r="CO166" t="s">
        <v>346</v>
      </c>
      <c r="CP166">
        <v>0.02</v>
      </c>
      <c r="CQ166" t="s">
        <v>53</v>
      </c>
      <c r="CV166" t="s">
        <v>306</v>
      </c>
      <c r="DA166" t="s">
        <v>306</v>
      </c>
      <c r="DB166" t="s">
        <v>455</v>
      </c>
      <c r="DC166">
        <v>4119538</v>
      </c>
      <c r="DD166" t="s">
        <v>364</v>
      </c>
      <c r="DE166">
        <v>0.03</v>
      </c>
      <c r="DF166" t="s">
        <v>53</v>
      </c>
      <c r="DK166" t="s">
        <v>306</v>
      </c>
      <c r="DL166" t="s">
        <v>455</v>
      </c>
      <c r="DM166">
        <v>4119538</v>
      </c>
      <c r="DN166" t="s">
        <v>364</v>
      </c>
      <c r="DO166">
        <v>0.03</v>
      </c>
      <c r="DP166" t="s">
        <v>53</v>
      </c>
      <c r="DU166" t="s">
        <v>306</v>
      </c>
      <c r="DZ166" t="s">
        <v>306</v>
      </c>
      <c r="EA166" t="s">
        <v>1669</v>
      </c>
      <c r="EB166">
        <v>4416867</v>
      </c>
      <c r="EC166" t="s">
        <v>346</v>
      </c>
      <c r="ED166">
        <v>0.02</v>
      </c>
      <c r="EE166" t="s">
        <v>114</v>
      </c>
      <c r="EF166" t="s">
        <v>455</v>
      </c>
      <c r="EG166">
        <v>4119538</v>
      </c>
      <c r="EH166" t="s">
        <v>364</v>
      </c>
      <c r="EI166">
        <v>0.03</v>
      </c>
      <c r="EJ166" t="s">
        <v>53</v>
      </c>
      <c r="EO166" t="s">
        <v>306</v>
      </c>
      <c r="ET166" t="s">
        <v>306</v>
      </c>
      <c r="EY166" t="s">
        <v>306</v>
      </c>
      <c r="FD166" t="s">
        <v>306</v>
      </c>
      <c r="FI166" t="s">
        <v>306</v>
      </c>
      <c r="FN166" t="s">
        <v>306</v>
      </c>
      <c r="FS166" t="s">
        <v>306</v>
      </c>
      <c r="FX166" t="s">
        <v>306</v>
      </c>
      <c r="FY166" t="s">
        <v>455</v>
      </c>
      <c r="FZ166">
        <v>4119538</v>
      </c>
      <c r="GA166" t="s">
        <v>364</v>
      </c>
      <c r="GB166">
        <v>0.03</v>
      </c>
      <c r="GC166" t="s">
        <v>53</v>
      </c>
      <c r="GH166" t="s">
        <v>306</v>
      </c>
      <c r="GM166" t="s">
        <v>306</v>
      </c>
      <c r="GR166" t="s">
        <v>306</v>
      </c>
      <c r="GS166" t="s">
        <v>781</v>
      </c>
      <c r="GT166">
        <v>7794310</v>
      </c>
      <c r="GU166" t="s">
        <v>346</v>
      </c>
      <c r="GV166">
        <v>0.01</v>
      </c>
      <c r="GW166" t="s">
        <v>313</v>
      </c>
      <c r="GX166" t="s">
        <v>1669</v>
      </c>
      <c r="GY166">
        <v>4416867</v>
      </c>
      <c r="GZ166" t="s">
        <v>346</v>
      </c>
      <c r="HA166">
        <v>0.02</v>
      </c>
      <c r="HB166" t="s">
        <v>114</v>
      </c>
      <c r="HG166" t="s">
        <v>306</v>
      </c>
    </row>
    <row r="167" spans="5:215" x14ac:dyDescent="0.35">
      <c r="E167" t="s">
        <v>306</v>
      </c>
      <c r="F167" t="s">
        <v>412</v>
      </c>
      <c r="G167">
        <v>109687</v>
      </c>
      <c r="H167" t="s">
        <v>346</v>
      </c>
      <c r="I167">
        <v>0</v>
      </c>
      <c r="J167" t="s">
        <v>53</v>
      </c>
      <c r="O167" t="s">
        <v>306</v>
      </c>
      <c r="T167" t="s">
        <v>306</v>
      </c>
      <c r="U167" t="s">
        <v>400</v>
      </c>
      <c r="V167">
        <v>7834181</v>
      </c>
      <c r="W167" t="s">
        <v>346</v>
      </c>
      <c r="X167">
        <v>0.01</v>
      </c>
      <c r="Y167" t="s">
        <v>313</v>
      </c>
      <c r="AD167" t="s">
        <v>306</v>
      </c>
      <c r="AE167" t="s">
        <v>1161</v>
      </c>
      <c r="AF167">
        <v>4232567</v>
      </c>
      <c r="AG167" t="s">
        <v>364</v>
      </c>
      <c r="AH167">
        <v>0</v>
      </c>
      <c r="AI167" t="s">
        <v>80</v>
      </c>
      <c r="AN167" t="s">
        <v>306</v>
      </c>
      <c r="AO167" t="s">
        <v>1316</v>
      </c>
      <c r="AP167">
        <v>4246573</v>
      </c>
      <c r="AQ167" t="s">
        <v>346</v>
      </c>
      <c r="AR167">
        <v>0.01</v>
      </c>
      <c r="AS167" t="s">
        <v>62</v>
      </c>
      <c r="AX167" t="s">
        <v>306</v>
      </c>
      <c r="BC167" t="s">
        <v>306</v>
      </c>
      <c r="BD167" t="s">
        <v>1447</v>
      </c>
      <c r="BE167">
        <v>4048674</v>
      </c>
      <c r="BF167" t="s">
        <v>346</v>
      </c>
      <c r="BG167">
        <v>0.03</v>
      </c>
      <c r="BH167" t="s">
        <v>53</v>
      </c>
      <c r="BI167" t="s">
        <v>464</v>
      </c>
      <c r="BJ167">
        <v>4629378</v>
      </c>
      <c r="BK167" t="s">
        <v>346</v>
      </c>
      <c r="BL167">
        <v>0</v>
      </c>
      <c r="BM167" t="s">
        <v>304</v>
      </c>
      <c r="BN167" t="s">
        <v>477</v>
      </c>
      <c r="BO167">
        <v>4119790</v>
      </c>
      <c r="BP167" t="s">
        <v>346</v>
      </c>
      <c r="BQ167">
        <v>0.01</v>
      </c>
      <c r="BR167" t="s">
        <v>53</v>
      </c>
      <c r="BS167" t="s">
        <v>980</v>
      </c>
      <c r="BT167">
        <v>4273029</v>
      </c>
      <c r="BU167" t="s">
        <v>346</v>
      </c>
      <c r="BV167">
        <v>0.01</v>
      </c>
      <c r="BW167" t="s">
        <v>313</v>
      </c>
      <c r="BX167" t="s">
        <v>400</v>
      </c>
      <c r="BY167">
        <v>7834181</v>
      </c>
      <c r="BZ167" t="s">
        <v>346</v>
      </c>
      <c r="CA167">
        <v>0.01</v>
      </c>
      <c r="CB167" t="s">
        <v>313</v>
      </c>
      <c r="CC167" t="s">
        <v>1670</v>
      </c>
      <c r="CD167">
        <v>6283323</v>
      </c>
      <c r="CE167" t="s">
        <v>346</v>
      </c>
      <c r="CF167">
        <v>0.02</v>
      </c>
      <c r="CG167" t="s">
        <v>114</v>
      </c>
      <c r="CH167" t="s">
        <v>1316</v>
      </c>
      <c r="CI167">
        <v>4246573</v>
      </c>
      <c r="CJ167" t="s">
        <v>346</v>
      </c>
      <c r="CK167">
        <v>0.01</v>
      </c>
      <c r="CL167" t="s">
        <v>62</v>
      </c>
      <c r="CM167" t="s">
        <v>423</v>
      </c>
      <c r="CN167">
        <v>4318240</v>
      </c>
      <c r="CO167" t="s">
        <v>346</v>
      </c>
      <c r="CP167">
        <v>0.02</v>
      </c>
      <c r="CQ167" t="s">
        <v>304</v>
      </c>
      <c r="CV167" t="s">
        <v>306</v>
      </c>
      <c r="DA167" t="s">
        <v>306</v>
      </c>
      <c r="DB167" t="s">
        <v>1447</v>
      </c>
      <c r="DC167">
        <v>4048674</v>
      </c>
      <c r="DD167" t="s">
        <v>346</v>
      </c>
      <c r="DE167">
        <v>0.03</v>
      </c>
      <c r="DF167" t="s">
        <v>53</v>
      </c>
      <c r="DK167" t="s">
        <v>306</v>
      </c>
      <c r="DL167" t="s">
        <v>1447</v>
      </c>
      <c r="DM167">
        <v>4048674</v>
      </c>
      <c r="DN167" t="s">
        <v>346</v>
      </c>
      <c r="DO167">
        <v>0.03</v>
      </c>
      <c r="DP167" t="s">
        <v>53</v>
      </c>
      <c r="DU167" t="s">
        <v>306</v>
      </c>
      <c r="DZ167" t="s">
        <v>306</v>
      </c>
      <c r="EA167" t="s">
        <v>1670</v>
      </c>
      <c r="EB167">
        <v>6283323</v>
      </c>
      <c r="EC167" t="s">
        <v>346</v>
      </c>
      <c r="ED167">
        <v>0.02</v>
      </c>
      <c r="EE167" t="s">
        <v>114</v>
      </c>
      <c r="EF167" t="s">
        <v>1447</v>
      </c>
      <c r="EG167">
        <v>4048674</v>
      </c>
      <c r="EH167" t="s">
        <v>346</v>
      </c>
      <c r="EI167">
        <v>0.03</v>
      </c>
      <c r="EJ167" t="s">
        <v>53</v>
      </c>
      <c r="EO167" t="s">
        <v>306</v>
      </c>
      <c r="ET167" t="s">
        <v>306</v>
      </c>
      <c r="EY167" t="s">
        <v>306</v>
      </c>
      <c r="FD167" t="s">
        <v>306</v>
      </c>
      <c r="FI167" t="s">
        <v>306</v>
      </c>
      <c r="FN167" t="s">
        <v>306</v>
      </c>
      <c r="FS167" t="s">
        <v>306</v>
      </c>
      <c r="FX167" t="s">
        <v>306</v>
      </c>
      <c r="FY167" t="s">
        <v>1447</v>
      </c>
      <c r="FZ167">
        <v>4048674</v>
      </c>
      <c r="GA167" t="s">
        <v>346</v>
      </c>
      <c r="GB167">
        <v>0.03</v>
      </c>
      <c r="GC167" t="s">
        <v>53</v>
      </c>
      <c r="GH167" t="s">
        <v>306</v>
      </c>
      <c r="GM167" t="s">
        <v>306</v>
      </c>
      <c r="GR167" t="s">
        <v>306</v>
      </c>
      <c r="GS167" t="s">
        <v>477</v>
      </c>
      <c r="GT167">
        <v>4119790</v>
      </c>
      <c r="GU167" t="s">
        <v>346</v>
      </c>
      <c r="GV167">
        <v>0.01</v>
      </c>
      <c r="GW167" t="s">
        <v>53</v>
      </c>
      <c r="GX167" t="s">
        <v>1670</v>
      </c>
      <c r="GY167">
        <v>6283323</v>
      </c>
      <c r="GZ167" t="s">
        <v>346</v>
      </c>
      <c r="HA167">
        <v>0.02</v>
      </c>
      <c r="HB167" t="s">
        <v>114</v>
      </c>
      <c r="HG167" t="s">
        <v>306</v>
      </c>
    </row>
    <row r="168" spans="5:215" x14ac:dyDescent="0.35">
      <c r="E168" t="s">
        <v>306</v>
      </c>
      <c r="F168" t="s">
        <v>554</v>
      </c>
      <c r="G168">
        <v>4408592</v>
      </c>
      <c r="H168" t="s">
        <v>346</v>
      </c>
      <c r="I168">
        <v>0</v>
      </c>
      <c r="J168" t="s">
        <v>326</v>
      </c>
      <c r="O168" t="s">
        <v>306</v>
      </c>
      <c r="T168" t="s">
        <v>306</v>
      </c>
      <c r="U168" t="s">
        <v>770</v>
      </c>
      <c r="V168" t="s">
        <v>300</v>
      </c>
      <c r="W168" t="s">
        <v>361</v>
      </c>
      <c r="X168">
        <v>0.01</v>
      </c>
      <c r="Y168" t="s">
        <v>50</v>
      </c>
      <c r="AD168" t="s">
        <v>306</v>
      </c>
      <c r="AE168" t="s">
        <v>1162</v>
      </c>
      <c r="AF168">
        <v>4139861</v>
      </c>
      <c r="AG168" t="s">
        <v>346</v>
      </c>
      <c r="AH168">
        <v>0</v>
      </c>
      <c r="AI168" t="s">
        <v>2184</v>
      </c>
      <c r="AN168" t="s">
        <v>306</v>
      </c>
      <c r="AO168" t="s">
        <v>1317</v>
      </c>
      <c r="AP168">
        <v>7720214</v>
      </c>
      <c r="AQ168" t="s">
        <v>346</v>
      </c>
      <c r="AR168">
        <v>0.01</v>
      </c>
      <c r="AS168" t="s">
        <v>62</v>
      </c>
      <c r="AX168" t="s">
        <v>306</v>
      </c>
      <c r="BC168" t="s">
        <v>306</v>
      </c>
      <c r="BD168" t="s">
        <v>422</v>
      </c>
      <c r="BE168">
        <v>4048507</v>
      </c>
      <c r="BF168" t="s">
        <v>346</v>
      </c>
      <c r="BG168">
        <v>0.03</v>
      </c>
      <c r="BH168" t="s">
        <v>304</v>
      </c>
      <c r="BI168" t="s">
        <v>1338</v>
      </c>
      <c r="BJ168">
        <v>6758323</v>
      </c>
      <c r="BK168" t="s">
        <v>346</v>
      </c>
      <c r="BL168">
        <v>0</v>
      </c>
      <c r="BM168" t="s">
        <v>62</v>
      </c>
      <c r="BN168" t="s">
        <v>1240</v>
      </c>
      <c r="BO168" t="s">
        <v>300</v>
      </c>
      <c r="BP168" t="s">
        <v>361</v>
      </c>
      <c r="BQ168">
        <v>0</v>
      </c>
      <c r="BR168" t="s">
        <v>50</v>
      </c>
      <c r="BS168" t="s">
        <v>723</v>
      </c>
      <c r="BT168">
        <v>4536183</v>
      </c>
      <c r="BU168" t="s">
        <v>346</v>
      </c>
      <c r="BV168">
        <v>0.01</v>
      </c>
      <c r="BW168" t="s">
        <v>50</v>
      </c>
      <c r="BX168" t="s">
        <v>770</v>
      </c>
      <c r="BY168" t="s">
        <v>300</v>
      </c>
      <c r="BZ168" t="s">
        <v>361</v>
      </c>
      <c r="CA168">
        <v>0.01</v>
      </c>
      <c r="CB168" t="s">
        <v>50</v>
      </c>
      <c r="CC168" t="s">
        <v>1671</v>
      </c>
      <c r="CD168">
        <v>4224857</v>
      </c>
      <c r="CE168" t="s">
        <v>364</v>
      </c>
      <c r="CF168">
        <v>0.02</v>
      </c>
      <c r="CG168" t="s">
        <v>114</v>
      </c>
      <c r="CH168" t="s">
        <v>1317</v>
      </c>
      <c r="CI168">
        <v>7720214</v>
      </c>
      <c r="CJ168" t="s">
        <v>346</v>
      </c>
      <c r="CK168">
        <v>0.01</v>
      </c>
      <c r="CL168" t="s">
        <v>62</v>
      </c>
      <c r="CM168" t="s">
        <v>643</v>
      </c>
      <c r="CN168">
        <v>8365031</v>
      </c>
      <c r="CO168" t="s">
        <v>346</v>
      </c>
      <c r="CP168">
        <v>0.02</v>
      </c>
      <c r="CQ168" t="s">
        <v>125</v>
      </c>
      <c r="CV168" t="s">
        <v>306</v>
      </c>
      <c r="DA168" t="s">
        <v>306</v>
      </c>
      <c r="DB168" t="s">
        <v>422</v>
      </c>
      <c r="DC168">
        <v>4048507</v>
      </c>
      <c r="DD168" t="s">
        <v>346</v>
      </c>
      <c r="DE168">
        <v>0.03</v>
      </c>
      <c r="DF168" t="s">
        <v>304</v>
      </c>
      <c r="DK168" t="s">
        <v>306</v>
      </c>
      <c r="DL168" t="s">
        <v>422</v>
      </c>
      <c r="DM168">
        <v>4048507</v>
      </c>
      <c r="DN168" t="s">
        <v>346</v>
      </c>
      <c r="DO168">
        <v>0.03</v>
      </c>
      <c r="DP168" t="s">
        <v>304</v>
      </c>
      <c r="DU168" t="s">
        <v>306</v>
      </c>
      <c r="DZ168" t="s">
        <v>306</v>
      </c>
      <c r="EA168" t="s">
        <v>1671</v>
      </c>
      <c r="EB168">
        <v>4224857</v>
      </c>
      <c r="EC168" t="s">
        <v>364</v>
      </c>
      <c r="ED168">
        <v>0.02</v>
      </c>
      <c r="EE168" t="s">
        <v>114</v>
      </c>
      <c r="EF168" t="s">
        <v>422</v>
      </c>
      <c r="EG168">
        <v>4048507</v>
      </c>
      <c r="EH168" t="s">
        <v>346</v>
      </c>
      <c r="EI168">
        <v>0.03</v>
      </c>
      <c r="EJ168" t="s">
        <v>304</v>
      </c>
      <c r="EO168" t="s">
        <v>306</v>
      </c>
      <c r="ET168" t="s">
        <v>306</v>
      </c>
      <c r="EY168" t="s">
        <v>306</v>
      </c>
      <c r="FD168" t="s">
        <v>306</v>
      </c>
      <c r="FI168" t="s">
        <v>306</v>
      </c>
      <c r="FN168" t="s">
        <v>306</v>
      </c>
      <c r="FS168" t="s">
        <v>306</v>
      </c>
      <c r="FX168" t="s">
        <v>306</v>
      </c>
      <c r="FY168" t="s">
        <v>422</v>
      </c>
      <c r="FZ168">
        <v>4048507</v>
      </c>
      <c r="GA168" t="s">
        <v>346</v>
      </c>
      <c r="GB168">
        <v>0.03</v>
      </c>
      <c r="GC168" t="s">
        <v>304</v>
      </c>
      <c r="GH168" t="s">
        <v>306</v>
      </c>
      <c r="GM168" t="s">
        <v>306</v>
      </c>
      <c r="GR168" t="s">
        <v>306</v>
      </c>
      <c r="GS168" t="s">
        <v>1240</v>
      </c>
      <c r="GT168" t="s">
        <v>300</v>
      </c>
      <c r="GU168" t="s">
        <v>361</v>
      </c>
      <c r="GV168">
        <v>0</v>
      </c>
      <c r="GW168" t="s">
        <v>50</v>
      </c>
      <c r="GX168" t="s">
        <v>1671</v>
      </c>
      <c r="GY168">
        <v>4224857</v>
      </c>
      <c r="GZ168" t="s">
        <v>364</v>
      </c>
      <c r="HA168">
        <v>0.02</v>
      </c>
      <c r="HB168" t="s">
        <v>114</v>
      </c>
      <c r="HG168" t="s">
        <v>306</v>
      </c>
    </row>
    <row r="169" spans="5:215" x14ac:dyDescent="0.35">
      <c r="E169" t="s">
        <v>306</v>
      </c>
      <c r="F169" t="s">
        <v>555</v>
      </c>
      <c r="G169">
        <v>4581412</v>
      </c>
      <c r="H169" t="s">
        <v>346</v>
      </c>
      <c r="I169">
        <v>0</v>
      </c>
      <c r="J169" t="s">
        <v>2184</v>
      </c>
      <c r="O169" t="s">
        <v>306</v>
      </c>
      <c r="T169" t="s">
        <v>306</v>
      </c>
      <c r="U169" t="s">
        <v>771</v>
      </c>
      <c r="V169">
        <v>4162576</v>
      </c>
      <c r="W169" t="s">
        <v>346</v>
      </c>
      <c r="X169">
        <v>0.01</v>
      </c>
      <c r="Y169" t="s">
        <v>53</v>
      </c>
      <c r="AD169" t="s">
        <v>306</v>
      </c>
      <c r="AE169" t="s">
        <v>485</v>
      </c>
      <c r="AF169">
        <v>5652844</v>
      </c>
      <c r="AG169" t="s">
        <v>346</v>
      </c>
      <c r="AH169">
        <v>0</v>
      </c>
      <c r="AI169" t="s">
        <v>304</v>
      </c>
      <c r="AN169" t="s">
        <v>306</v>
      </c>
      <c r="AO169" t="s">
        <v>589</v>
      </c>
      <c r="AP169">
        <v>4140617</v>
      </c>
      <c r="AQ169" t="s">
        <v>346</v>
      </c>
      <c r="AR169">
        <v>0.01</v>
      </c>
      <c r="AS169" t="s">
        <v>320</v>
      </c>
      <c r="AX169" t="s">
        <v>306</v>
      </c>
      <c r="BC169" t="s">
        <v>306</v>
      </c>
      <c r="BD169" t="s">
        <v>1258</v>
      </c>
      <c r="BE169">
        <v>4418750</v>
      </c>
      <c r="BF169" t="s">
        <v>346</v>
      </c>
      <c r="BG169">
        <v>0.03</v>
      </c>
      <c r="BH169" t="s">
        <v>62</v>
      </c>
      <c r="BI169" t="s">
        <v>1040</v>
      </c>
      <c r="BJ169">
        <v>4232927</v>
      </c>
      <c r="BK169" t="s">
        <v>346</v>
      </c>
      <c r="BL169">
        <v>0</v>
      </c>
      <c r="BM169" t="s">
        <v>323</v>
      </c>
      <c r="BN169" t="s">
        <v>586</v>
      </c>
      <c r="BO169">
        <v>4251516</v>
      </c>
      <c r="BP169" t="s">
        <v>346</v>
      </c>
      <c r="BQ169">
        <v>0</v>
      </c>
      <c r="BR169" t="s">
        <v>320</v>
      </c>
      <c r="BS169" t="s">
        <v>649</v>
      </c>
      <c r="BT169">
        <v>4606392</v>
      </c>
      <c r="BU169" t="s">
        <v>346</v>
      </c>
      <c r="BV169">
        <v>0.01</v>
      </c>
      <c r="BW169" t="s">
        <v>50</v>
      </c>
      <c r="BX169" t="s">
        <v>771</v>
      </c>
      <c r="BY169">
        <v>4162576</v>
      </c>
      <c r="BZ169" t="s">
        <v>346</v>
      </c>
      <c r="CA169">
        <v>0.01</v>
      </c>
      <c r="CB169" t="s">
        <v>53</v>
      </c>
      <c r="CC169" t="s">
        <v>1672</v>
      </c>
      <c r="CD169">
        <v>4262013</v>
      </c>
      <c r="CE169" t="s">
        <v>346</v>
      </c>
      <c r="CF169">
        <v>0.02</v>
      </c>
      <c r="CG169" t="s">
        <v>53</v>
      </c>
      <c r="CH169" t="s">
        <v>589</v>
      </c>
      <c r="CI169">
        <v>4140617</v>
      </c>
      <c r="CJ169" t="s">
        <v>346</v>
      </c>
      <c r="CK169">
        <v>0.01</v>
      </c>
      <c r="CL169" t="s">
        <v>320</v>
      </c>
      <c r="CM169" t="s">
        <v>1323</v>
      </c>
      <c r="CN169">
        <v>5854916</v>
      </c>
      <c r="CO169" t="s">
        <v>346</v>
      </c>
      <c r="CP169">
        <v>0.02</v>
      </c>
      <c r="CQ169" t="s">
        <v>62</v>
      </c>
      <c r="CV169" t="s">
        <v>306</v>
      </c>
      <c r="DA169" t="s">
        <v>306</v>
      </c>
      <c r="DB169" t="s">
        <v>1258</v>
      </c>
      <c r="DC169">
        <v>4418750</v>
      </c>
      <c r="DD169" t="s">
        <v>346</v>
      </c>
      <c r="DE169">
        <v>0.03</v>
      </c>
      <c r="DF169" t="s">
        <v>62</v>
      </c>
      <c r="DK169" t="s">
        <v>306</v>
      </c>
      <c r="DL169" t="s">
        <v>1258</v>
      </c>
      <c r="DM169">
        <v>4418750</v>
      </c>
      <c r="DN169" t="s">
        <v>346</v>
      </c>
      <c r="DO169">
        <v>0.03</v>
      </c>
      <c r="DP169" t="s">
        <v>62</v>
      </c>
      <c r="DU169" t="s">
        <v>306</v>
      </c>
      <c r="DZ169" t="s">
        <v>306</v>
      </c>
      <c r="EA169" t="s">
        <v>1672</v>
      </c>
      <c r="EB169">
        <v>4262013</v>
      </c>
      <c r="EC169" t="s">
        <v>346</v>
      </c>
      <c r="ED169">
        <v>0.02</v>
      </c>
      <c r="EE169" t="s">
        <v>53</v>
      </c>
      <c r="EF169" t="s">
        <v>1258</v>
      </c>
      <c r="EG169">
        <v>4418750</v>
      </c>
      <c r="EH169" t="s">
        <v>346</v>
      </c>
      <c r="EI169">
        <v>0.03</v>
      </c>
      <c r="EJ169" t="s">
        <v>62</v>
      </c>
      <c r="EO169" t="s">
        <v>306</v>
      </c>
      <c r="ET169" t="s">
        <v>306</v>
      </c>
      <c r="EY169" t="s">
        <v>306</v>
      </c>
      <c r="FD169" t="s">
        <v>306</v>
      </c>
      <c r="FI169" t="s">
        <v>306</v>
      </c>
      <c r="FN169" t="s">
        <v>306</v>
      </c>
      <c r="FS169" t="s">
        <v>306</v>
      </c>
      <c r="FX169" t="s">
        <v>306</v>
      </c>
      <c r="FY169" t="s">
        <v>1258</v>
      </c>
      <c r="FZ169">
        <v>4418750</v>
      </c>
      <c r="GA169" t="s">
        <v>346</v>
      </c>
      <c r="GB169">
        <v>0.03</v>
      </c>
      <c r="GC169" t="s">
        <v>62</v>
      </c>
      <c r="GH169" t="s">
        <v>306</v>
      </c>
      <c r="GM169" t="s">
        <v>306</v>
      </c>
      <c r="GR169" t="s">
        <v>306</v>
      </c>
      <c r="GS169" t="s">
        <v>586</v>
      </c>
      <c r="GT169">
        <v>4251516</v>
      </c>
      <c r="GU169" t="s">
        <v>346</v>
      </c>
      <c r="GV169">
        <v>0</v>
      </c>
      <c r="GW169" t="s">
        <v>320</v>
      </c>
      <c r="GX169" t="s">
        <v>1672</v>
      </c>
      <c r="GY169">
        <v>4262013</v>
      </c>
      <c r="GZ169" t="s">
        <v>346</v>
      </c>
      <c r="HA169">
        <v>0.02</v>
      </c>
      <c r="HB169" t="s">
        <v>53</v>
      </c>
      <c r="HG169" t="s">
        <v>306</v>
      </c>
    </row>
    <row r="170" spans="5:215" x14ac:dyDescent="0.35">
      <c r="E170" t="s">
        <v>306</v>
      </c>
      <c r="F170" t="s">
        <v>556</v>
      </c>
      <c r="G170">
        <v>4273041</v>
      </c>
      <c r="H170" t="s">
        <v>346</v>
      </c>
      <c r="I170">
        <v>0</v>
      </c>
      <c r="J170" t="s">
        <v>2181</v>
      </c>
      <c r="O170" t="s">
        <v>306</v>
      </c>
      <c r="T170" t="s">
        <v>306</v>
      </c>
      <c r="U170" t="s">
        <v>546</v>
      </c>
      <c r="V170">
        <v>4158830</v>
      </c>
      <c r="W170" t="s">
        <v>346</v>
      </c>
      <c r="X170">
        <v>0.01</v>
      </c>
      <c r="Y170" t="s">
        <v>53</v>
      </c>
      <c r="AD170" t="s">
        <v>306</v>
      </c>
      <c r="AE170" t="s">
        <v>1163</v>
      </c>
      <c r="AF170">
        <v>5796925</v>
      </c>
      <c r="AG170" t="s">
        <v>346</v>
      </c>
      <c r="AH170">
        <v>0</v>
      </c>
      <c r="AI170" t="s">
        <v>2185</v>
      </c>
      <c r="AN170" t="s">
        <v>306</v>
      </c>
      <c r="AO170" t="s">
        <v>1318</v>
      </c>
      <c r="AP170">
        <v>4234965</v>
      </c>
      <c r="AQ170" t="s">
        <v>346</v>
      </c>
      <c r="AR170">
        <v>0.01</v>
      </c>
      <c r="AS170" t="s">
        <v>2202</v>
      </c>
      <c r="AX170" t="s">
        <v>306</v>
      </c>
      <c r="BC170" t="s">
        <v>306</v>
      </c>
      <c r="BD170" t="s">
        <v>1448</v>
      </c>
      <c r="BE170">
        <v>4395029</v>
      </c>
      <c r="BF170" t="s">
        <v>346</v>
      </c>
      <c r="BG170">
        <v>0.03</v>
      </c>
      <c r="BH170" t="s">
        <v>313</v>
      </c>
      <c r="BI170" t="s">
        <v>579</v>
      </c>
      <c r="BJ170">
        <v>5842097</v>
      </c>
      <c r="BK170" t="s">
        <v>346</v>
      </c>
      <c r="BL170">
        <v>0</v>
      </c>
      <c r="BM170" t="s">
        <v>2194</v>
      </c>
      <c r="BN170" t="s">
        <v>562</v>
      </c>
      <c r="BO170">
        <v>4256114</v>
      </c>
      <c r="BP170" t="s">
        <v>346</v>
      </c>
      <c r="BQ170">
        <v>0</v>
      </c>
      <c r="BR170" t="s">
        <v>301</v>
      </c>
      <c r="BS170" t="s">
        <v>666</v>
      </c>
      <c r="BT170">
        <v>4379197</v>
      </c>
      <c r="BU170" t="s">
        <v>346</v>
      </c>
      <c r="BV170">
        <v>0.01</v>
      </c>
      <c r="BW170" t="s">
        <v>50</v>
      </c>
      <c r="BX170" t="s">
        <v>546</v>
      </c>
      <c r="BY170">
        <v>4158830</v>
      </c>
      <c r="BZ170" t="s">
        <v>346</v>
      </c>
      <c r="CA170">
        <v>0.01</v>
      </c>
      <c r="CB170" t="s">
        <v>53</v>
      </c>
      <c r="CC170" t="s">
        <v>423</v>
      </c>
      <c r="CD170">
        <v>4318240</v>
      </c>
      <c r="CE170" t="s">
        <v>346</v>
      </c>
      <c r="CF170">
        <v>0.02</v>
      </c>
      <c r="CG170" t="s">
        <v>304</v>
      </c>
      <c r="CH170" t="s">
        <v>1318</v>
      </c>
      <c r="CI170">
        <v>4234965</v>
      </c>
      <c r="CJ170" t="s">
        <v>346</v>
      </c>
      <c r="CK170">
        <v>0.01</v>
      </c>
      <c r="CL170" t="s">
        <v>2202</v>
      </c>
      <c r="CM170" t="s">
        <v>1293</v>
      </c>
      <c r="CN170">
        <v>4672160</v>
      </c>
      <c r="CO170" t="s">
        <v>346</v>
      </c>
      <c r="CP170">
        <v>0.02</v>
      </c>
      <c r="CQ170" t="s">
        <v>62</v>
      </c>
      <c r="CV170" t="s">
        <v>306</v>
      </c>
      <c r="DA170" t="s">
        <v>306</v>
      </c>
      <c r="DB170" t="s">
        <v>1448</v>
      </c>
      <c r="DC170">
        <v>4395029</v>
      </c>
      <c r="DD170" t="s">
        <v>346</v>
      </c>
      <c r="DE170">
        <v>0.03</v>
      </c>
      <c r="DF170" t="s">
        <v>313</v>
      </c>
      <c r="DK170" t="s">
        <v>306</v>
      </c>
      <c r="DL170" t="s">
        <v>1448</v>
      </c>
      <c r="DM170">
        <v>4395029</v>
      </c>
      <c r="DN170" t="s">
        <v>346</v>
      </c>
      <c r="DO170">
        <v>0.03</v>
      </c>
      <c r="DP170" t="s">
        <v>313</v>
      </c>
      <c r="DU170" t="s">
        <v>306</v>
      </c>
      <c r="DZ170" t="s">
        <v>306</v>
      </c>
      <c r="EA170" t="s">
        <v>423</v>
      </c>
      <c r="EB170">
        <v>4318240</v>
      </c>
      <c r="EC170" t="s">
        <v>346</v>
      </c>
      <c r="ED170">
        <v>0.02</v>
      </c>
      <c r="EE170" t="s">
        <v>304</v>
      </c>
      <c r="EF170" t="s">
        <v>1448</v>
      </c>
      <c r="EG170">
        <v>4395029</v>
      </c>
      <c r="EH170" t="s">
        <v>346</v>
      </c>
      <c r="EI170">
        <v>0.03</v>
      </c>
      <c r="EJ170" t="s">
        <v>313</v>
      </c>
      <c r="EO170" t="s">
        <v>306</v>
      </c>
      <c r="ET170" t="s">
        <v>306</v>
      </c>
      <c r="EY170" t="s">
        <v>306</v>
      </c>
      <c r="FD170" t="s">
        <v>306</v>
      </c>
      <c r="FI170" t="s">
        <v>306</v>
      </c>
      <c r="FN170" t="s">
        <v>306</v>
      </c>
      <c r="FS170" t="s">
        <v>306</v>
      </c>
      <c r="FX170" t="s">
        <v>306</v>
      </c>
      <c r="FY170" t="s">
        <v>1448</v>
      </c>
      <c r="FZ170">
        <v>4395029</v>
      </c>
      <c r="GA170" t="s">
        <v>346</v>
      </c>
      <c r="GB170">
        <v>0.03</v>
      </c>
      <c r="GC170" t="s">
        <v>313</v>
      </c>
      <c r="GH170" t="s">
        <v>306</v>
      </c>
      <c r="GM170" t="s">
        <v>306</v>
      </c>
      <c r="GR170" t="s">
        <v>306</v>
      </c>
      <c r="GS170" t="s">
        <v>562</v>
      </c>
      <c r="GT170">
        <v>4256114</v>
      </c>
      <c r="GU170" t="s">
        <v>346</v>
      </c>
      <c r="GV170">
        <v>0</v>
      </c>
      <c r="GW170" t="s">
        <v>301</v>
      </c>
      <c r="GX170" t="s">
        <v>423</v>
      </c>
      <c r="GY170">
        <v>4318240</v>
      </c>
      <c r="GZ170" t="s">
        <v>346</v>
      </c>
      <c r="HA170">
        <v>0.02</v>
      </c>
      <c r="HB170" t="s">
        <v>304</v>
      </c>
      <c r="HG170" t="s">
        <v>306</v>
      </c>
    </row>
    <row r="171" spans="5:215" x14ac:dyDescent="0.35">
      <c r="E171" t="s">
        <v>306</v>
      </c>
      <c r="F171" t="s">
        <v>557</v>
      </c>
      <c r="G171">
        <v>20326442</v>
      </c>
      <c r="H171" t="s">
        <v>346</v>
      </c>
      <c r="I171">
        <v>0</v>
      </c>
      <c r="J171" t="s">
        <v>306</v>
      </c>
      <c r="O171" t="s">
        <v>306</v>
      </c>
      <c r="T171" t="s">
        <v>306</v>
      </c>
      <c r="U171" t="s">
        <v>404</v>
      </c>
      <c r="V171">
        <v>4383779</v>
      </c>
      <c r="W171" t="s">
        <v>346</v>
      </c>
      <c r="X171">
        <v>0.01</v>
      </c>
      <c r="Y171" t="s">
        <v>53</v>
      </c>
      <c r="AD171" t="s">
        <v>306</v>
      </c>
      <c r="AE171" t="s">
        <v>566</v>
      </c>
      <c r="AF171">
        <v>5842545</v>
      </c>
      <c r="AG171" t="s">
        <v>346</v>
      </c>
      <c r="AH171">
        <v>0</v>
      </c>
      <c r="AI171" t="s">
        <v>53</v>
      </c>
      <c r="AN171" t="s">
        <v>306</v>
      </c>
      <c r="AO171" t="s">
        <v>1319</v>
      </c>
      <c r="AP171">
        <v>19910977</v>
      </c>
      <c r="AQ171" t="s">
        <v>346</v>
      </c>
      <c r="AR171">
        <v>0.01</v>
      </c>
      <c r="AS171" t="s">
        <v>62</v>
      </c>
      <c r="AX171" t="s">
        <v>306</v>
      </c>
      <c r="BC171" t="s">
        <v>306</v>
      </c>
      <c r="BD171" t="s">
        <v>1325</v>
      </c>
      <c r="BE171">
        <v>5760145</v>
      </c>
      <c r="BF171" t="s">
        <v>346</v>
      </c>
      <c r="BG171">
        <v>0.03</v>
      </c>
      <c r="BH171" t="s">
        <v>62</v>
      </c>
      <c r="BI171" t="s">
        <v>390</v>
      </c>
      <c r="BJ171">
        <v>4135241</v>
      </c>
      <c r="BK171" t="s">
        <v>346</v>
      </c>
      <c r="BL171">
        <v>0</v>
      </c>
      <c r="BM171" t="s">
        <v>125</v>
      </c>
      <c r="BN171" t="s">
        <v>675</v>
      </c>
      <c r="BO171">
        <v>4548312</v>
      </c>
      <c r="BP171" t="s">
        <v>346</v>
      </c>
      <c r="BQ171">
        <v>0</v>
      </c>
      <c r="BR171" t="s">
        <v>50</v>
      </c>
      <c r="BS171" t="s">
        <v>730</v>
      </c>
      <c r="BT171">
        <v>4436408</v>
      </c>
      <c r="BU171" t="s">
        <v>346</v>
      </c>
      <c r="BV171">
        <v>0.01</v>
      </c>
      <c r="BW171" t="s">
        <v>50</v>
      </c>
      <c r="BX171" t="s">
        <v>404</v>
      </c>
      <c r="BY171">
        <v>4383779</v>
      </c>
      <c r="BZ171" t="s">
        <v>346</v>
      </c>
      <c r="CA171">
        <v>0.01</v>
      </c>
      <c r="CB171" t="s">
        <v>53</v>
      </c>
      <c r="CC171" t="s">
        <v>398</v>
      </c>
      <c r="CD171">
        <v>4107954</v>
      </c>
      <c r="CE171" t="s">
        <v>300</v>
      </c>
      <c r="CF171">
        <v>0.02</v>
      </c>
      <c r="CG171" t="s">
        <v>304</v>
      </c>
      <c r="CH171" t="s">
        <v>1319</v>
      </c>
      <c r="CI171">
        <v>19910977</v>
      </c>
      <c r="CJ171" t="s">
        <v>346</v>
      </c>
      <c r="CK171">
        <v>0.01</v>
      </c>
      <c r="CL171" t="s">
        <v>62</v>
      </c>
      <c r="CM171" t="s">
        <v>1202</v>
      </c>
      <c r="CN171">
        <v>5850609</v>
      </c>
      <c r="CO171" t="s">
        <v>346</v>
      </c>
      <c r="CP171">
        <v>0.02</v>
      </c>
      <c r="CQ171" t="s">
        <v>2185</v>
      </c>
      <c r="CV171" t="s">
        <v>306</v>
      </c>
      <c r="DA171" t="s">
        <v>306</v>
      </c>
      <c r="DB171" t="s">
        <v>1325</v>
      </c>
      <c r="DC171">
        <v>5760145</v>
      </c>
      <c r="DD171" t="s">
        <v>346</v>
      </c>
      <c r="DE171">
        <v>0.03</v>
      </c>
      <c r="DF171" t="s">
        <v>62</v>
      </c>
      <c r="DK171" t="s">
        <v>306</v>
      </c>
      <c r="DL171" t="s">
        <v>1325</v>
      </c>
      <c r="DM171">
        <v>5760145</v>
      </c>
      <c r="DN171" t="s">
        <v>346</v>
      </c>
      <c r="DO171">
        <v>0.03</v>
      </c>
      <c r="DP171" t="s">
        <v>62</v>
      </c>
      <c r="DU171" t="s">
        <v>306</v>
      </c>
      <c r="DZ171" t="s">
        <v>306</v>
      </c>
      <c r="EA171" t="s">
        <v>398</v>
      </c>
      <c r="EB171">
        <v>4107954</v>
      </c>
      <c r="EC171" t="s">
        <v>300</v>
      </c>
      <c r="ED171">
        <v>0.02</v>
      </c>
      <c r="EE171" t="s">
        <v>304</v>
      </c>
      <c r="EF171" t="s">
        <v>1325</v>
      </c>
      <c r="EG171">
        <v>5760145</v>
      </c>
      <c r="EH171" t="s">
        <v>346</v>
      </c>
      <c r="EI171">
        <v>0.03</v>
      </c>
      <c r="EJ171" t="s">
        <v>62</v>
      </c>
      <c r="EO171" t="s">
        <v>306</v>
      </c>
      <c r="ET171" t="s">
        <v>306</v>
      </c>
      <c r="EY171" t="s">
        <v>306</v>
      </c>
      <c r="FD171" t="s">
        <v>306</v>
      </c>
      <c r="FI171" t="s">
        <v>306</v>
      </c>
      <c r="FN171" t="s">
        <v>306</v>
      </c>
      <c r="FS171" t="s">
        <v>306</v>
      </c>
      <c r="FX171" t="s">
        <v>306</v>
      </c>
      <c r="FY171" t="s">
        <v>1325</v>
      </c>
      <c r="FZ171">
        <v>5760145</v>
      </c>
      <c r="GA171" t="s">
        <v>346</v>
      </c>
      <c r="GB171">
        <v>0.03</v>
      </c>
      <c r="GC171" t="s">
        <v>62</v>
      </c>
      <c r="GH171" t="s">
        <v>306</v>
      </c>
      <c r="GM171" t="s">
        <v>306</v>
      </c>
      <c r="GR171" t="s">
        <v>306</v>
      </c>
      <c r="GS171" t="s">
        <v>675</v>
      </c>
      <c r="GT171">
        <v>4548312</v>
      </c>
      <c r="GU171" t="s">
        <v>346</v>
      </c>
      <c r="GV171">
        <v>0</v>
      </c>
      <c r="GW171" t="s">
        <v>50</v>
      </c>
      <c r="GX171" t="s">
        <v>398</v>
      </c>
      <c r="GY171">
        <v>4107954</v>
      </c>
      <c r="GZ171" t="s">
        <v>300</v>
      </c>
      <c r="HA171">
        <v>0.02</v>
      </c>
      <c r="HB171" t="s">
        <v>304</v>
      </c>
      <c r="HG171" t="s">
        <v>306</v>
      </c>
    </row>
    <row r="172" spans="5:215" x14ac:dyDescent="0.35">
      <c r="E172" t="s">
        <v>306</v>
      </c>
      <c r="F172" t="s">
        <v>558</v>
      </c>
      <c r="G172">
        <v>109844</v>
      </c>
      <c r="H172" t="s">
        <v>346</v>
      </c>
      <c r="I172">
        <v>0</v>
      </c>
      <c r="J172" t="s">
        <v>53</v>
      </c>
      <c r="O172" t="s">
        <v>306</v>
      </c>
      <c r="T172" t="s">
        <v>306</v>
      </c>
      <c r="U172" t="s">
        <v>772</v>
      </c>
      <c r="V172">
        <v>4137684</v>
      </c>
      <c r="W172" t="s">
        <v>300</v>
      </c>
      <c r="X172">
        <v>0.01</v>
      </c>
      <c r="Y172" t="s">
        <v>50</v>
      </c>
      <c r="AD172" t="s">
        <v>306</v>
      </c>
      <c r="AE172" t="s">
        <v>1164</v>
      </c>
      <c r="AF172" t="s">
        <v>300</v>
      </c>
      <c r="AG172" t="s">
        <v>361</v>
      </c>
      <c r="AH172">
        <v>0</v>
      </c>
      <c r="AI172" t="s">
        <v>50</v>
      </c>
      <c r="AN172" t="s">
        <v>306</v>
      </c>
      <c r="AO172" t="s">
        <v>1320</v>
      </c>
      <c r="AP172">
        <v>4116164</v>
      </c>
      <c r="AQ172" t="s">
        <v>346</v>
      </c>
      <c r="AR172">
        <v>0.01</v>
      </c>
      <c r="AS172" t="s">
        <v>53</v>
      </c>
      <c r="AX172" t="s">
        <v>306</v>
      </c>
      <c r="BC172" t="s">
        <v>306</v>
      </c>
      <c r="BD172" t="s">
        <v>1449</v>
      </c>
      <c r="BE172">
        <v>4628064</v>
      </c>
      <c r="BF172" t="s">
        <v>346</v>
      </c>
      <c r="BG172">
        <v>0.03</v>
      </c>
      <c r="BH172" t="s">
        <v>2204</v>
      </c>
      <c r="BI172" t="s">
        <v>356</v>
      </c>
      <c r="BJ172">
        <v>4578944</v>
      </c>
      <c r="BK172" t="s">
        <v>346</v>
      </c>
      <c r="BL172">
        <v>0</v>
      </c>
      <c r="BM172" t="s">
        <v>125</v>
      </c>
      <c r="BN172" t="s">
        <v>833</v>
      </c>
      <c r="BO172">
        <v>110527</v>
      </c>
      <c r="BP172" t="s">
        <v>346</v>
      </c>
      <c r="BQ172">
        <v>0</v>
      </c>
      <c r="BR172" t="s">
        <v>53</v>
      </c>
      <c r="BS172" t="s">
        <v>795</v>
      </c>
      <c r="BT172">
        <v>27663277</v>
      </c>
      <c r="BU172" t="s">
        <v>346</v>
      </c>
      <c r="BV172">
        <v>0.01</v>
      </c>
      <c r="BW172" t="s">
        <v>306</v>
      </c>
      <c r="BX172" t="s">
        <v>772</v>
      </c>
      <c r="BY172">
        <v>4137684</v>
      </c>
      <c r="BZ172" t="s">
        <v>300</v>
      </c>
      <c r="CA172">
        <v>0.01</v>
      </c>
      <c r="CB172" t="s">
        <v>50</v>
      </c>
      <c r="CC172" t="s">
        <v>1673</v>
      </c>
      <c r="CD172">
        <v>5773969</v>
      </c>
      <c r="CE172" t="s">
        <v>346</v>
      </c>
      <c r="CF172">
        <v>0.02</v>
      </c>
      <c r="CG172" t="s">
        <v>114</v>
      </c>
      <c r="CH172" t="s">
        <v>1320</v>
      </c>
      <c r="CI172">
        <v>4116164</v>
      </c>
      <c r="CJ172" t="s">
        <v>346</v>
      </c>
      <c r="CK172">
        <v>0.01</v>
      </c>
      <c r="CL172" t="s">
        <v>53</v>
      </c>
      <c r="CM172" t="s">
        <v>1983</v>
      </c>
      <c r="CN172">
        <v>4027846</v>
      </c>
      <c r="CO172" t="s">
        <v>346</v>
      </c>
      <c r="CP172">
        <v>0.02</v>
      </c>
      <c r="CQ172" t="s">
        <v>53</v>
      </c>
      <c r="CV172" t="s">
        <v>306</v>
      </c>
      <c r="DA172" t="s">
        <v>306</v>
      </c>
      <c r="DB172" t="s">
        <v>1449</v>
      </c>
      <c r="DC172">
        <v>4628064</v>
      </c>
      <c r="DD172" t="s">
        <v>346</v>
      </c>
      <c r="DE172">
        <v>0.03</v>
      </c>
      <c r="DF172" t="s">
        <v>2204</v>
      </c>
      <c r="DK172" t="s">
        <v>306</v>
      </c>
      <c r="DL172" t="s">
        <v>1449</v>
      </c>
      <c r="DM172">
        <v>4628064</v>
      </c>
      <c r="DN172" t="s">
        <v>346</v>
      </c>
      <c r="DO172">
        <v>0.03</v>
      </c>
      <c r="DP172" t="s">
        <v>2204</v>
      </c>
      <c r="DU172" t="s">
        <v>306</v>
      </c>
      <c r="DZ172" t="s">
        <v>306</v>
      </c>
      <c r="EA172" t="s">
        <v>1673</v>
      </c>
      <c r="EB172">
        <v>5773969</v>
      </c>
      <c r="EC172" t="s">
        <v>346</v>
      </c>
      <c r="ED172">
        <v>0.02</v>
      </c>
      <c r="EE172" t="s">
        <v>114</v>
      </c>
      <c r="EF172" t="s">
        <v>1449</v>
      </c>
      <c r="EG172">
        <v>4628064</v>
      </c>
      <c r="EH172" t="s">
        <v>346</v>
      </c>
      <c r="EI172">
        <v>0.03</v>
      </c>
      <c r="EJ172" t="s">
        <v>2204</v>
      </c>
      <c r="EO172" t="s">
        <v>306</v>
      </c>
      <c r="ET172" t="s">
        <v>306</v>
      </c>
      <c r="EY172" t="s">
        <v>306</v>
      </c>
      <c r="FD172" t="s">
        <v>306</v>
      </c>
      <c r="FI172" t="s">
        <v>306</v>
      </c>
      <c r="FN172" t="s">
        <v>306</v>
      </c>
      <c r="FS172" t="s">
        <v>306</v>
      </c>
      <c r="FX172" t="s">
        <v>306</v>
      </c>
      <c r="FY172" t="s">
        <v>1449</v>
      </c>
      <c r="FZ172">
        <v>4628064</v>
      </c>
      <c r="GA172" t="s">
        <v>346</v>
      </c>
      <c r="GB172">
        <v>0.03</v>
      </c>
      <c r="GC172" t="s">
        <v>2204</v>
      </c>
      <c r="GH172" t="s">
        <v>306</v>
      </c>
      <c r="GM172" t="s">
        <v>306</v>
      </c>
      <c r="GR172" t="s">
        <v>306</v>
      </c>
      <c r="GS172" t="s">
        <v>833</v>
      </c>
      <c r="GT172">
        <v>110527</v>
      </c>
      <c r="GU172" t="s">
        <v>346</v>
      </c>
      <c r="GV172">
        <v>0</v>
      </c>
      <c r="GW172" t="s">
        <v>53</v>
      </c>
      <c r="GX172" t="s">
        <v>1673</v>
      </c>
      <c r="GY172">
        <v>5773969</v>
      </c>
      <c r="GZ172" t="s">
        <v>346</v>
      </c>
      <c r="HA172">
        <v>0.02</v>
      </c>
      <c r="HB172" t="s">
        <v>114</v>
      </c>
      <c r="HG172" t="s">
        <v>306</v>
      </c>
    </row>
    <row r="173" spans="5:215" x14ac:dyDescent="0.35">
      <c r="E173" t="s">
        <v>306</v>
      </c>
      <c r="F173" t="s">
        <v>559</v>
      </c>
      <c r="G173">
        <v>4018163</v>
      </c>
      <c r="H173" t="s">
        <v>346</v>
      </c>
      <c r="I173">
        <v>0</v>
      </c>
      <c r="J173" t="s">
        <v>53</v>
      </c>
      <c r="O173" t="s">
        <v>306</v>
      </c>
      <c r="T173" t="s">
        <v>306</v>
      </c>
      <c r="U173" t="s">
        <v>773</v>
      </c>
      <c r="V173">
        <v>4296648</v>
      </c>
      <c r="W173" t="s">
        <v>346</v>
      </c>
      <c r="X173">
        <v>0.01</v>
      </c>
      <c r="Y173" t="s">
        <v>304</v>
      </c>
      <c r="AD173" t="s">
        <v>306</v>
      </c>
      <c r="AE173" t="s">
        <v>1165</v>
      </c>
      <c r="AF173">
        <v>10655279</v>
      </c>
      <c r="AG173" t="s">
        <v>346</v>
      </c>
      <c r="AH173">
        <v>0</v>
      </c>
      <c r="AI173" t="s">
        <v>313</v>
      </c>
      <c r="AN173" t="s">
        <v>306</v>
      </c>
      <c r="AO173" t="s">
        <v>1321</v>
      </c>
      <c r="AP173">
        <v>4213183</v>
      </c>
      <c r="AQ173" t="s">
        <v>346</v>
      </c>
      <c r="AR173">
        <v>0.01</v>
      </c>
      <c r="AS173" t="s">
        <v>62</v>
      </c>
      <c r="AX173" t="s">
        <v>306</v>
      </c>
      <c r="BC173" t="s">
        <v>306</v>
      </c>
      <c r="BD173" t="s">
        <v>1007</v>
      </c>
      <c r="BE173">
        <v>5813728</v>
      </c>
      <c r="BF173" t="s">
        <v>346</v>
      </c>
      <c r="BG173">
        <v>0.03</v>
      </c>
      <c r="BH173" t="s">
        <v>2186</v>
      </c>
      <c r="BI173" t="s">
        <v>763</v>
      </c>
      <c r="BJ173">
        <v>110153</v>
      </c>
      <c r="BK173" t="s">
        <v>364</v>
      </c>
      <c r="BL173">
        <v>0</v>
      </c>
      <c r="BM173" t="s">
        <v>53</v>
      </c>
      <c r="BN173" t="s">
        <v>754</v>
      </c>
      <c r="BO173">
        <v>11183019</v>
      </c>
      <c r="BP173" t="s">
        <v>346</v>
      </c>
      <c r="BQ173">
        <v>0</v>
      </c>
      <c r="BR173" t="s">
        <v>50</v>
      </c>
      <c r="BS173" t="s">
        <v>731</v>
      </c>
      <c r="BT173">
        <v>4417406</v>
      </c>
      <c r="BU173" t="s">
        <v>346</v>
      </c>
      <c r="BV173">
        <v>0.01</v>
      </c>
      <c r="BW173" t="s">
        <v>50</v>
      </c>
      <c r="BX173" t="s">
        <v>773</v>
      </c>
      <c r="BY173">
        <v>4296648</v>
      </c>
      <c r="BZ173" t="s">
        <v>346</v>
      </c>
      <c r="CA173">
        <v>0.01</v>
      </c>
      <c r="CB173" t="s">
        <v>304</v>
      </c>
      <c r="CC173" t="s">
        <v>1674</v>
      </c>
      <c r="CD173">
        <v>5874743</v>
      </c>
      <c r="CE173" t="s">
        <v>364</v>
      </c>
      <c r="CF173">
        <v>0.02</v>
      </c>
      <c r="CG173" t="s">
        <v>114</v>
      </c>
      <c r="CH173" t="s">
        <v>1321</v>
      </c>
      <c r="CI173">
        <v>4213183</v>
      </c>
      <c r="CJ173" t="s">
        <v>346</v>
      </c>
      <c r="CK173">
        <v>0.01</v>
      </c>
      <c r="CL173" t="s">
        <v>62</v>
      </c>
      <c r="CM173" t="s">
        <v>477</v>
      </c>
      <c r="CN173">
        <v>4119790</v>
      </c>
      <c r="CO173" t="s">
        <v>346</v>
      </c>
      <c r="CP173">
        <v>0.02</v>
      </c>
      <c r="CQ173" t="s">
        <v>53</v>
      </c>
      <c r="CV173" t="s">
        <v>306</v>
      </c>
      <c r="DA173" t="s">
        <v>306</v>
      </c>
      <c r="DB173" t="s">
        <v>1007</v>
      </c>
      <c r="DC173">
        <v>5813728</v>
      </c>
      <c r="DD173" t="s">
        <v>346</v>
      </c>
      <c r="DE173">
        <v>0.03</v>
      </c>
      <c r="DF173" t="s">
        <v>2186</v>
      </c>
      <c r="DK173" t="s">
        <v>306</v>
      </c>
      <c r="DL173" t="s">
        <v>1007</v>
      </c>
      <c r="DM173">
        <v>5813728</v>
      </c>
      <c r="DN173" t="s">
        <v>346</v>
      </c>
      <c r="DO173">
        <v>0.03</v>
      </c>
      <c r="DP173" t="s">
        <v>2186</v>
      </c>
      <c r="DU173" t="s">
        <v>306</v>
      </c>
      <c r="DZ173" t="s">
        <v>306</v>
      </c>
      <c r="EA173" t="s">
        <v>1674</v>
      </c>
      <c r="EB173">
        <v>5874743</v>
      </c>
      <c r="EC173" t="s">
        <v>364</v>
      </c>
      <c r="ED173">
        <v>0.02</v>
      </c>
      <c r="EE173" t="s">
        <v>114</v>
      </c>
      <c r="EF173" t="s">
        <v>1007</v>
      </c>
      <c r="EG173">
        <v>5813728</v>
      </c>
      <c r="EH173" t="s">
        <v>346</v>
      </c>
      <c r="EI173">
        <v>0.03</v>
      </c>
      <c r="EJ173" t="s">
        <v>2186</v>
      </c>
      <c r="EO173" t="s">
        <v>306</v>
      </c>
      <c r="ET173" t="s">
        <v>306</v>
      </c>
      <c r="EY173" t="s">
        <v>306</v>
      </c>
      <c r="FD173" t="s">
        <v>306</v>
      </c>
      <c r="FI173" t="s">
        <v>306</v>
      </c>
      <c r="FN173" t="s">
        <v>306</v>
      </c>
      <c r="FS173" t="s">
        <v>306</v>
      </c>
      <c r="FX173" t="s">
        <v>306</v>
      </c>
      <c r="FY173" t="s">
        <v>1007</v>
      </c>
      <c r="FZ173">
        <v>5813728</v>
      </c>
      <c r="GA173" t="s">
        <v>346</v>
      </c>
      <c r="GB173">
        <v>0.03</v>
      </c>
      <c r="GC173" t="s">
        <v>2186</v>
      </c>
      <c r="GH173" t="s">
        <v>306</v>
      </c>
      <c r="GM173" t="s">
        <v>306</v>
      </c>
      <c r="GR173" t="s">
        <v>306</v>
      </c>
      <c r="GS173" t="s">
        <v>754</v>
      </c>
      <c r="GT173">
        <v>11183019</v>
      </c>
      <c r="GU173" t="s">
        <v>346</v>
      </c>
      <c r="GV173">
        <v>0</v>
      </c>
      <c r="GW173" t="s">
        <v>50</v>
      </c>
      <c r="GX173" t="s">
        <v>1674</v>
      </c>
      <c r="GY173">
        <v>5874743</v>
      </c>
      <c r="GZ173" t="s">
        <v>364</v>
      </c>
      <c r="HA173">
        <v>0.02</v>
      </c>
      <c r="HB173" t="s">
        <v>114</v>
      </c>
      <c r="HG173" t="s">
        <v>306</v>
      </c>
    </row>
    <row r="174" spans="5:215" x14ac:dyDescent="0.35">
      <c r="E174" t="s">
        <v>306</v>
      </c>
      <c r="F174" t="s">
        <v>560</v>
      </c>
      <c r="G174">
        <v>4095848</v>
      </c>
      <c r="H174" t="s">
        <v>346</v>
      </c>
      <c r="I174">
        <v>0</v>
      </c>
      <c r="J174" t="s">
        <v>53</v>
      </c>
      <c r="O174" t="s">
        <v>306</v>
      </c>
      <c r="T174" t="s">
        <v>306</v>
      </c>
      <c r="U174" t="s">
        <v>774</v>
      </c>
      <c r="V174">
        <v>20057752</v>
      </c>
      <c r="W174" t="s">
        <v>346</v>
      </c>
      <c r="X174">
        <v>0.01</v>
      </c>
      <c r="Y174" t="s">
        <v>50</v>
      </c>
      <c r="AD174" t="s">
        <v>306</v>
      </c>
      <c r="AE174" t="s">
        <v>1166</v>
      </c>
      <c r="AF174" t="s">
        <v>300</v>
      </c>
      <c r="AG174" t="s">
        <v>361</v>
      </c>
      <c r="AH174">
        <v>0</v>
      </c>
      <c r="AI174" t="s">
        <v>50</v>
      </c>
      <c r="AN174" t="s">
        <v>306</v>
      </c>
      <c r="AO174" t="s">
        <v>504</v>
      </c>
      <c r="AP174">
        <v>4630169</v>
      </c>
      <c r="AQ174" t="s">
        <v>346</v>
      </c>
      <c r="AR174">
        <v>0.01</v>
      </c>
      <c r="AS174" t="s">
        <v>2185</v>
      </c>
      <c r="AX174" t="s">
        <v>306</v>
      </c>
      <c r="BC174" t="s">
        <v>306</v>
      </c>
      <c r="BD174" t="s">
        <v>987</v>
      </c>
      <c r="BE174">
        <v>110332</v>
      </c>
      <c r="BF174" t="s">
        <v>346</v>
      </c>
      <c r="BG174">
        <v>0.02</v>
      </c>
      <c r="BH174" t="s">
        <v>53</v>
      </c>
      <c r="BI174" t="s">
        <v>1575</v>
      </c>
      <c r="BJ174">
        <v>19076918</v>
      </c>
      <c r="BK174" t="s">
        <v>300</v>
      </c>
      <c r="BL174">
        <v>0</v>
      </c>
      <c r="BM174" t="s">
        <v>53</v>
      </c>
      <c r="BN174" t="s">
        <v>802</v>
      </c>
      <c r="BO174">
        <v>4345262</v>
      </c>
      <c r="BP174" t="s">
        <v>346</v>
      </c>
      <c r="BQ174">
        <v>0</v>
      </c>
      <c r="BR174" t="s">
        <v>50</v>
      </c>
      <c r="BS174" t="s">
        <v>774</v>
      </c>
      <c r="BT174">
        <v>20057752</v>
      </c>
      <c r="BU174" t="s">
        <v>346</v>
      </c>
      <c r="BV174">
        <v>0.01</v>
      </c>
      <c r="BW174" t="s">
        <v>50</v>
      </c>
      <c r="BX174" t="s">
        <v>774</v>
      </c>
      <c r="BY174">
        <v>20057752</v>
      </c>
      <c r="BZ174" t="s">
        <v>346</v>
      </c>
      <c r="CA174">
        <v>0.01</v>
      </c>
      <c r="CB174" t="s">
        <v>50</v>
      </c>
      <c r="CC174" t="s">
        <v>1675</v>
      </c>
      <c r="CD174">
        <v>4338213</v>
      </c>
      <c r="CE174" t="s">
        <v>346</v>
      </c>
      <c r="CF174">
        <v>0.02</v>
      </c>
      <c r="CG174" t="s">
        <v>53</v>
      </c>
      <c r="CH174" t="s">
        <v>504</v>
      </c>
      <c r="CI174">
        <v>4630169</v>
      </c>
      <c r="CJ174" t="s">
        <v>346</v>
      </c>
      <c r="CK174">
        <v>0.01</v>
      </c>
      <c r="CL174" t="s">
        <v>2185</v>
      </c>
      <c r="CM174" t="s">
        <v>1984</v>
      </c>
      <c r="CN174">
        <v>4313747</v>
      </c>
      <c r="CO174" t="s">
        <v>364</v>
      </c>
      <c r="CP174">
        <v>0.02</v>
      </c>
      <c r="CQ174" t="s">
        <v>53</v>
      </c>
      <c r="CV174" t="s">
        <v>306</v>
      </c>
      <c r="DA174" t="s">
        <v>306</v>
      </c>
      <c r="DB174" t="s">
        <v>987</v>
      </c>
      <c r="DC174">
        <v>110332</v>
      </c>
      <c r="DD174" t="s">
        <v>346</v>
      </c>
      <c r="DE174">
        <v>0.02</v>
      </c>
      <c r="DF174" t="s">
        <v>53</v>
      </c>
      <c r="DK174" t="s">
        <v>306</v>
      </c>
      <c r="DL174" t="s">
        <v>987</v>
      </c>
      <c r="DM174">
        <v>110332</v>
      </c>
      <c r="DN174" t="s">
        <v>346</v>
      </c>
      <c r="DO174">
        <v>0.02</v>
      </c>
      <c r="DP174" t="s">
        <v>53</v>
      </c>
      <c r="DU174" t="s">
        <v>306</v>
      </c>
      <c r="DZ174" t="s">
        <v>306</v>
      </c>
      <c r="EA174" t="s">
        <v>1675</v>
      </c>
      <c r="EB174">
        <v>4338213</v>
      </c>
      <c r="EC174" t="s">
        <v>346</v>
      </c>
      <c r="ED174">
        <v>0.02</v>
      </c>
      <c r="EE174" t="s">
        <v>53</v>
      </c>
      <c r="EF174" t="s">
        <v>987</v>
      </c>
      <c r="EG174">
        <v>110332</v>
      </c>
      <c r="EH174" t="s">
        <v>346</v>
      </c>
      <c r="EI174">
        <v>0.02</v>
      </c>
      <c r="EJ174" t="s">
        <v>53</v>
      </c>
      <c r="EO174" t="s">
        <v>306</v>
      </c>
      <c r="ET174" t="s">
        <v>306</v>
      </c>
      <c r="EY174" t="s">
        <v>306</v>
      </c>
      <c r="FD174" t="s">
        <v>306</v>
      </c>
      <c r="FI174" t="s">
        <v>306</v>
      </c>
      <c r="FN174" t="s">
        <v>306</v>
      </c>
      <c r="FS174" t="s">
        <v>306</v>
      </c>
      <c r="FX174" t="s">
        <v>306</v>
      </c>
      <c r="FY174" t="s">
        <v>987</v>
      </c>
      <c r="FZ174">
        <v>110332</v>
      </c>
      <c r="GA174" t="s">
        <v>346</v>
      </c>
      <c r="GB174">
        <v>0.02</v>
      </c>
      <c r="GC174" t="s">
        <v>53</v>
      </c>
      <c r="GH174" t="s">
        <v>306</v>
      </c>
      <c r="GM174" t="s">
        <v>306</v>
      </c>
      <c r="GR174" t="s">
        <v>306</v>
      </c>
      <c r="GS174" t="s">
        <v>802</v>
      </c>
      <c r="GT174">
        <v>4345262</v>
      </c>
      <c r="GU174" t="s">
        <v>346</v>
      </c>
      <c r="GV174">
        <v>0</v>
      </c>
      <c r="GW174" t="s">
        <v>50</v>
      </c>
      <c r="GX174" t="s">
        <v>1675</v>
      </c>
      <c r="GY174">
        <v>4338213</v>
      </c>
      <c r="GZ174" t="s">
        <v>346</v>
      </c>
      <c r="HA174">
        <v>0.02</v>
      </c>
      <c r="HB174" t="s">
        <v>53</v>
      </c>
      <c r="HG174" t="s">
        <v>306</v>
      </c>
    </row>
    <row r="175" spans="5:215" x14ac:dyDescent="0.35">
      <c r="E175" t="s">
        <v>306</v>
      </c>
      <c r="F175" t="s">
        <v>561</v>
      </c>
      <c r="G175">
        <v>4234727</v>
      </c>
      <c r="H175" t="s">
        <v>346</v>
      </c>
      <c r="I175">
        <v>0</v>
      </c>
      <c r="J175" t="s">
        <v>2185</v>
      </c>
      <c r="O175" t="s">
        <v>306</v>
      </c>
      <c r="T175" t="s">
        <v>306</v>
      </c>
      <c r="U175" t="s">
        <v>459</v>
      </c>
      <c r="V175">
        <v>4140503</v>
      </c>
      <c r="W175" t="s">
        <v>346</v>
      </c>
      <c r="X175">
        <v>0.01</v>
      </c>
      <c r="Y175" t="s">
        <v>2186</v>
      </c>
      <c r="AD175" t="s">
        <v>306</v>
      </c>
      <c r="AE175" t="s">
        <v>1167</v>
      </c>
      <c r="AF175">
        <v>14992688</v>
      </c>
      <c r="AG175" t="s">
        <v>346</v>
      </c>
      <c r="AH175">
        <v>0</v>
      </c>
      <c r="AI175" t="s">
        <v>2194</v>
      </c>
      <c r="AN175" t="s">
        <v>306</v>
      </c>
      <c r="AO175" t="s">
        <v>1322</v>
      </c>
      <c r="AP175">
        <v>4147585</v>
      </c>
      <c r="AQ175" t="s">
        <v>346</v>
      </c>
      <c r="AR175">
        <v>0.01</v>
      </c>
      <c r="AS175" t="s">
        <v>2185</v>
      </c>
      <c r="AX175" t="s">
        <v>306</v>
      </c>
      <c r="BC175" t="s">
        <v>306</v>
      </c>
      <c r="BD175" t="s">
        <v>1450</v>
      </c>
      <c r="BE175">
        <v>4325233</v>
      </c>
      <c r="BF175" t="s">
        <v>346</v>
      </c>
      <c r="BG175">
        <v>0.02</v>
      </c>
      <c r="BH175" t="s">
        <v>313</v>
      </c>
      <c r="BI175" t="s">
        <v>1451</v>
      </c>
      <c r="BJ175">
        <v>113985</v>
      </c>
      <c r="BK175" t="s">
        <v>366</v>
      </c>
      <c r="BL175">
        <v>0</v>
      </c>
      <c r="BM175" t="s">
        <v>2185</v>
      </c>
      <c r="BN175" t="s">
        <v>688</v>
      </c>
      <c r="BO175">
        <v>14821347</v>
      </c>
      <c r="BP175" t="s">
        <v>346</v>
      </c>
      <c r="BQ175">
        <v>0</v>
      </c>
      <c r="BR175" t="s">
        <v>2181</v>
      </c>
      <c r="BS175" t="s">
        <v>710</v>
      </c>
      <c r="BT175">
        <v>4559567</v>
      </c>
      <c r="BU175" t="s">
        <v>346</v>
      </c>
      <c r="BV175">
        <v>0.01</v>
      </c>
      <c r="BW175" t="s">
        <v>50</v>
      </c>
      <c r="BX175" t="s">
        <v>459</v>
      </c>
      <c r="BY175">
        <v>4140503</v>
      </c>
      <c r="BZ175" t="s">
        <v>346</v>
      </c>
      <c r="CA175">
        <v>0.01</v>
      </c>
      <c r="CB175" t="s">
        <v>2186</v>
      </c>
      <c r="CC175" t="s">
        <v>1676</v>
      </c>
      <c r="CD175">
        <v>4116978</v>
      </c>
      <c r="CE175" t="s">
        <v>346</v>
      </c>
      <c r="CF175">
        <v>0.02</v>
      </c>
      <c r="CG175" t="s">
        <v>53</v>
      </c>
      <c r="CH175" t="s">
        <v>1322</v>
      </c>
      <c r="CI175">
        <v>4147585</v>
      </c>
      <c r="CJ175" t="s">
        <v>346</v>
      </c>
      <c r="CK175">
        <v>0.01</v>
      </c>
      <c r="CL175" t="s">
        <v>2185</v>
      </c>
      <c r="CM175" t="s">
        <v>1680</v>
      </c>
      <c r="CN175">
        <v>109232</v>
      </c>
      <c r="CO175" t="s">
        <v>346</v>
      </c>
      <c r="CP175">
        <v>0.02</v>
      </c>
      <c r="CQ175" t="s">
        <v>53</v>
      </c>
      <c r="CV175" t="s">
        <v>306</v>
      </c>
      <c r="DA175" t="s">
        <v>306</v>
      </c>
      <c r="DB175" t="s">
        <v>1450</v>
      </c>
      <c r="DC175">
        <v>4325233</v>
      </c>
      <c r="DD175" t="s">
        <v>346</v>
      </c>
      <c r="DE175">
        <v>0.02</v>
      </c>
      <c r="DF175" t="s">
        <v>313</v>
      </c>
      <c r="DK175" t="s">
        <v>306</v>
      </c>
      <c r="DL175" t="s">
        <v>1450</v>
      </c>
      <c r="DM175">
        <v>4325233</v>
      </c>
      <c r="DN175" t="s">
        <v>346</v>
      </c>
      <c r="DO175">
        <v>0.02</v>
      </c>
      <c r="DP175" t="s">
        <v>313</v>
      </c>
      <c r="DU175" t="s">
        <v>306</v>
      </c>
      <c r="DZ175" t="s">
        <v>306</v>
      </c>
      <c r="EA175" t="s">
        <v>1676</v>
      </c>
      <c r="EB175">
        <v>4116978</v>
      </c>
      <c r="EC175" t="s">
        <v>346</v>
      </c>
      <c r="ED175">
        <v>0.02</v>
      </c>
      <c r="EE175" t="s">
        <v>53</v>
      </c>
      <c r="EF175" t="s">
        <v>1450</v>
      </c>
      <c r="EG175">
        <v>4325233</v>
      </c>
      <c r="EH175" t="s">
        <v>346</v>
      </c>
      <c r="EI175">
        <v>0.02</v>
      </c>
      <c r="EJ175" t="s">
        <v>313</v>
      </c>
      <c r="EO175" t="s">
        <v>306</v>
      </c>
      <c r="ET175" t="s">
        <v>306</v>
      </c>
      <c r="EY175" t="s">
        <v>306</v>
      </c>
      <c r="FD175" t="s">
        <v>306</v>
      </c>
      <c r="FI175" t="s">
        <v>306</v>
      </c>
      <c r="FN175" t="s">
        <v>306</v>
      </c>
      <c r="FS175" t="s">
        <v>306</v>
      </c>
      <c r="FX175" t="s">
        <v>306</v>
      </c>
      <c r="FY175" t="s">
        <v>1450</v>
      </c>
      <c r="FZ175">
        <v>4325233</v>
      </c>
      <c r="GA175" t="s">
        <v>346</v>
      </c>
      <c r="GB175">
        <v>0.02</v>
      </c>
      <c r="GC175" t="s">
        <v>313</v>
      </c>
      <c r="GH175" t="s">
        <v>306</v>
      </c>
      <c r="GM175" t="s">
        <v>306</v>
      </c>
      <c r="GR175" t="s">
        <v>306</v>
      </c>
      <c r="GS175" t="s">
        <v>688</v>
      </c>
      <c r="GT175">
        <v>14821347</v>
      </c>
      <c r="GU175" t="s">
        <v>346</v>
      </c>
      <c r="GV175">
        <v>0</v>
      </c>
      <c r="GW175" t="s">
        <v>2181</v>
      </c>
      <c r="GX175" t="s">
        <v>1676</v>
      </c>
      <c r="GY175">
        <v>4116978</v>
      </c>
      <c r="GZ175" t="s">
        <v>346</v>
      </c>
      <c r="HA175">
        <v>0.02</v>
      </c>
      <c r="HB175" t="s">
        <v>53</v>
      </c>
      <c r="HG175" t="s">
        <v>306</v>
      </c>
    </row>
    <row r="176" spans="5:215" x14ac:dyDescent="0.35">
      <c r="E176" t="s">
        <v>306</v>
      </c>
      <c r="F176" t="s">
        <v>562</v>
      </c>
      <c r="G176">
        <v>4256114</v>
      </c>
      <c r="H176" t="s">
        <v>346</v>
      </c>
      <c r="I176">
        <v>0</v>
      </c>
      <c r="J176" t="s">
        <v>301</v>
      </c>
      <c r="O176" t="s">
        <v>306</v>
      </c>
      <c r="T176" t="s">
        <v>306</v>
      </c>
      <c r="U176" t="s">
        <v>775</v>
      </c>
      <c r="V176">
        <v>19448171</v>
      </c>
      <c r="W176" t="s">
        <v>346</v>
      </c>
      <c r="X176">
        <v>0.01</v>
      </c>
      <c r="Y176" t="s">
        <v>50</v>
      </c>
      <c r="AD176" t="s">
        <v>306</v>
      </c>
      <c r="AE176" t="s">
        <v>412</v>
      </c>
      <c r="AF176">
        <v>109687</v>
      </c>
      <c r="AG176" t="s">
        <v>346</v>
      </c>
      <c r="AH176">
        <v>0</v>
      </c>
      <c r="AI176" t="s">
        <v>53</v>
      </c>
      <c r="AN176" t="s">
        <v>306</v>
      </c>
      <c r="AO176" t="s">
        <v>472</v>
      </c>
      <c r="AP176">
        <v>4048215</v>
      </c>
      <c r="AQ176" t="s">
        <v>346</v>
      </c>
      <c r="AR176">
        <v>0.01</v>
      </c>
      <c r="AS176" t="s">
        <v>53</v>
      </c>
      <c r="AX176" t="s">
        <v>306</v>
      </c>
      <c r="BC176" t="s">
        <v>306</v>
      </c>
      <c r="BD176" t="s">
        <v>1367</v>
      </c>
      <c r="BE176">
        <v>8246912</v>
      </c>
      <c r="BF176" t="s">
        <v>346</v>
      </c>
      <c r="BG176">
        <v>0.02</v>
      </c>
      <c r="BH176" t="s">
        <v>62</v>
      </c>
      <c r="BI176" t="s">
        <v>526</v>
      </c>
      <c r="BJ176">
        <v>4248288</v>
      </c>
      <c r="BK176" t="s">
        <v>346</v>
      </c>
      <c r="BL176">
        <v>0</v>
      </c>
      <c r="BM176" t="s">
        <v>80</v>
      </c>
      <c r="BN176" t="s">
        <v>1081</v>
      </c>
      <c r="BO176">
        <v>13728752</v>
      </c>
      <c r="BP176" t="s">
        <v>346</v>
      </c>
      <c r="BQ176">
        <v>0</v>
      </c>
      <c r="BR176" t="s">
        <v>313</v>
      </c>
      <c r="BS176" t="s">
        <v>729</v>
      </c>
      <c r="BT176">
        <v>4304908</v>
      </c>
      <c r="BU176" t="s">
        <v>346</v>
      </c>
      <c r="BV176">
        <v>0.01</v>
      </c>
      <c r="BW176" t="s">
        <v>326</v>
      </c>
      <c r="BX176" t="s">
        <v>775</v>
      </c>
      <c r="BY176">
        <v>19448171</v>
      </c>
      <c r="BZ176" t="s">
        <v>346</v>
      </c>
      <c r="CA176">
        <v>0.01</v>
      </c>
      <c r="CB176" t="s">
        <v>50</v>
      </c>
      <c r="CC176" t="s">
        <v>388</v>
      </c>
      <c r="CD176">
        <v>4057506</v>
      </c>
      <c r="CE176" t="s">
        <v>346</v>
      </c>
      <c r="CF176">
        <v>0.02</v>
      </c>
      <c r="CG176" t="s">
        <v>53</v>
      </c>
      <c r="CH176" t="s">
        <v>472</v>
      </c>
      <c r="CI176">
        <v>4048215</v>
      </c>
      <c r="CJ176" t="s">
        <v>346</v>
      </c>
      <c r="CK176">
        <v>0.01</v>
      </c>
      <c r="CL176" t="s">
        <v>53</v>
      </c>
      <c r="CM176" t="s">
        <v>1985</v>
      </c>
      <c r="CN176">
        <v>4244091</v>
      </c>
      <c r="CO176" t="s">
        <v>346</v>
      </c>
      <c r="CP176">
        <v>0.02</v>
      </c>
      <c r="CQ176" t="s">
        <v>53</v>
      </c>
      <c r="CV176" t="s">
        <v>306</v>
      </c>
      <c r="DA176" t="s">
        <v>306</v>
      </c>
      <c r="DB176" t="s">
        <v>1367</v>
      </c>
      <c r="DC176">
        <v>8246912</v>
      </c>
      <c r="DD176" t="s">
        <v>346</v>
      </c>
      <c r="DE176">
        <v>0.02</v>
      </c>
      <c r="DF176" t="s">
        <v>62</v>
      </c>
      <c r="DK176" t="s">
        <v>306</v>
      </c>
      <c r="DL176" t="s">
        <v>1367</v>
      </c>
      <c r="DM176">
        <v>8246912</v>
      </c>
      <c r="DN176" t="s">
        <v>346</v>
      </c>
      <c r="DO176">
        <v>0.02</v>
      </c>
      <c r="DP176" t="s">
        <v>62</v>
      </c>
      <c r="DU176" t="s">
        <v>306</v>
      </c>
      <c r="DZ176" t="s">
        <v>306</v>
      </c>
      <c r="EA176" t="s">
        <v>388</v>
      </c>
      <c r="EB176">
        <v>4057506</v>
      </c>
      <c r="EC176" t="s">
        <v>346</v>
      </c>
      <c r="ED176">
        <v>0.02</v>
      </c>
      <c r="EE176" t="s">
        <v>53</v>
      </c>
      <c r="EF176" t="s">
        <v>1367</v>
      </c>
      <c r="EG176">
        <v>8246912</v>
      </c>
      <c r="EH176" t="s">
        <v>346</v>
      </c>
      <c r="EI176">
        <v>0.02</v>
      </c>
      <c r="EJ176" t="s">
        <v>62</v>
      </c>
      <c r="EO176" t="s">
        <v>306</v>
      </c>
      <c r="ET176" t="s">
        <v>306</v>
      </c>
      <c r="EY176" t="s">
        <v>306</v>
      </c>
      <c r="FD176" t="s">
        <v>306</v>
      </c>
      <c r="FI176" t="s">
        <v>306</v>
      </c>
      <c r="FN176" t="s">
        <v>306</v>
      </c>
      <c r="FS176" t="s">
        <v>306</v>
      </c>
      <c r="FX176" t="s">
        <v>306</v>
      </c>
      <c r="FY176" t="s">
        <v>1367</v>
      </c>
      <c r="FZ176">
        <v>8246912</v>
      </c>
      <c r="GA176" t="s">
        <v>346</v>
      </c>
      <c r="GB176">
        <v>0.02</v>
      </c>
      <c r="GC176" t="s">
        <v>62</v>
      </c>
      <c r="GH176" t="s">
        <v>306</v>
      </c>
      <c r="GM176" t="s">
        <v>306</v>
      </c>
      <c r="GR176" t="s">
        <v>306</v>
      </c>
      <c r="GS176" t="s">
        <v>1081</v>
      </c>
      <c r="GT176">
        <v>13728752</v>
      </c>
      <c r="GU176" t="s">
        <v>346</v>
      </c>
      <c r="GV176">
        <v>0</v>
      </c>
      <c r="GW176" t="s">
        <v>313</v>
      </c>
      <c r="GX176" t="s">
        <v>388</v>
      </c>
      <c r="GY176">
        <v>4057506</v>
      </c>
      <c r="GZ176" t="s">
        <v>346</v>
      </c>
      <c r="HA176">
        <v>0.02</v>
      </c>
      <c r="HB176" t="s">
        <v>53</v>
      </c>
      <c r="HG176" t="s">
        <v>306</v>
      </c>
    </row>
    <row r="177" spans="5:215" x14ac:dyDescent="0.35">
      <c r="E177" t="s">
        <v>306</v>
      </c>
      <c r="F177" t="s">
        <v>405</v>
      </c>
      <c r="G177">
        <v>4035990</v>
      </c>
      <c r="H177" t="s">
        <v>346</v>
      </c>
      <c r="I177">
        <v>0</v>
      </c>
      <c r="J177" t="s">
        <v>80</v>
      </c>
      <c r="O177" t="s">
        <v>306</v>
      </c>
      <c r="T177" t="s">
        <v>306</v>
      </c>
      <c r="U177" t="s">
        <v>776</v>
      </c>
      <c r="V177">
        <v>4345268</v>
      </c>
      <c r="W177" t="s">
        <v>346</v>
      </c>
      <c r="X177">
        <v>0.01</v>
      </c>
      <c r="Y177" t="s">
        <v>50</v>
      </c>
      <c r="AD177" t="s">
        <v>306</v>
      </c>
      <c r="AE177" t="s">
        <v>1168</v>
      </c>
      <c r="AF177">
        <v>4785371</v>
      </c>
      <c r="AG177" t="s">
        <v>346</v>
      </c>
      <c r="AH177">
        <v>0</v>
      </c>
      <c r="AI177" t="s">
        <v>2205</v>
      </c>
      <c r="AN177" t="s">
        <v>306</v>
      </c>
      <c r="AO177" t="s">
        <v>1323</v>
      </c>
      <c r="AP177">
        <v>5854916</v>
      </c>
      <c r="AQ177" t="s">
        <v>346</v>
      </c>
      <c r="AR177">
        <v>0.01</v>
      </c>
      <c r="AS177" t="s">
        <v>62</v>
      </c>
      <c r="AX177" t="s">
        <v>306</v>
      </c>
      <c r="BC177" t="s">
        <v>306</v>
      </c>
      <c r="BD177" t="s">
        <v>501</v>
      </c>
      <c r="BE177">
        <v>111359</v>
      </c>
      <c r="BF177" t="s">
        <v>346</v>
      </c>
      <c r="BG177">
        <v>0.02</v>
      </c>
      <c r="BH177" t="s">
        <v>53</v>
      </c>
      <c r="BI177" t="s">
        <v>1576</v>
      </c>
      <c r="BJ177">
        <v>4417267</v>
      </c>
      <c r="BK177" t="s">
        <v>346</v>
      </c>
      <c r="BL177">
        <v>0</v>
      </c>
      <c r="BM177" t="s">
        <v>2206</v>
      </c>
      <c r="BN177" t="s">
        <v>827</v>
      </c>
      <c r="BO177">
        <v>4138775</v>
      </c>
      <c r="BP177" t="s">
        <v>346</v>
      </c>
      <c r="BQ177">
        <v>0</v>
      </c>
      <c r="BR177" t="s">
        <v>50</v>
      </c>
      <c r="BS177" t="s">
        <v>758</v>
      </c>
      <c r="BT177">
        <v>4890277</v>
      </c>
      <c r="BU177" t="s">
        <v>346</v>
      </c>
      <c r="BV177">
        <v>0.01</v>
      </c>
      <c r="BW177" t="s">
        <v>50</v>
      </c>
      <c r="BX177" t="s">
        <v>776</v>
      </c>
      <c r="BY177">
        <v>4345268</v>
      </c>
      <c r="BZ177" t="s">
        <v>346</v>
      </c>
      <c r="CA177">
        <v>0.01</v>
      </c>
      <c r="CB177" t="s">
        <v>50</v>
      </c>
      <c r="CC177" t="s">
        <v>829</v>
      </c>
      <c r="CD177">
        <v>4074095</v>
      </c>
      <c r="CE177" t="s">
        <v>346</v>
      </c>
      <c r="CF177">
        <v>0.02</v>
      </c>
      <c r="CG177" t="s">
        <v>313</v>
      </c>
      <c r="CH177" t="s">
        <v>1323</v>
      </c>
      <c r="CI177">
        <v>5854916</v>
      </c>
      <c r="CJ177" t="s">
        <v>346</v>
      </c>
      <c r="CK177">
        <v>0.01</v>
      </c>
      <c r="CL177" t="s">
        <v>62</v>
      </c>
      <c r="CM177" t="s">
        <v>749</v>
      </c>
      <c r="CN177">
        <v>109913</v>
      </c>
      <c r="CO177" t="s">
        <v>346</v>
      </c>
      <c r="CP177">
        <v>0.02</v>
      </c>
      <c r="CQ177" t="s">
        <v>53</v>
      </c>
      <c r="CV177" t="s">
        <v>306</v>
      </c>
      <c r="DA177" t="s">
        <v>306</v>
      </c>
      <c r="DB177" t="s">
        <v>501</v>
      </c>
      <c r="DC177">
        <v>111359</v>
      </c>
      <c r="DD177" t="s">
        <v>346</v>
      </c>
      <c r="DE177">
        <v>0.02</v>
      </c>
      <c r="DF177" t="s">
        <v>53</v>
      </c>
      <c r="DK177" t="s">
        <v>306</v>
      </c>
      <c r="DL177" t="s">
        <v>501</v>
      </c>
      <c r="DM177">
        <v>111359</v>
      </c>
      <c r="DN177" t="s">
        <v>346</v>
      </c>
      <c r="DO177">
        <v>0.02</v>
      </c>
      <c r="DP177" t="s">
        <v>53</v>
      </c>
      <c r="DU177" t="s">
        <v>306</v>
      </c>
      <c r="DZ177" t="s">
        <v>306</v>
      </c>
      <c r="EA177" t="s">
        <v>829</v>
      </c>
      <c r="EB177">
        <v>4074095</v>
      </c>
      <c r="EC177" t="s">
        <v>346</v>
      </c>
      <c r="ED177">
        <v>0.02</v>
      </c>
      <c r="EE177" t="s">
        <v>313</v>
      </c>
      <c r="EF177" t="s">
        <v>501</v>
      </c>
      <c r="EG177">
        <v>111359</v>
      </c>
      <c r="EH177" t="s">
        <v>346</v>
      </c>
      <c r="EI177">
        <v>0.02</v>
      </c>
      <c r="EJ177" t="s">
        <v>53</v>
      </c>
      <c r="EO177" t="s">
        <v>306</v>
      </c>
      <c r="ET177" t="s">
        <v>306</v>
      </c>
      <c r="EY177" t="s">
        <v>306</v>
      </c>
      <c r="FD177" t="s">
        <v>306</v>
      </c>
      <c r="FI177" t="s">
        <v>306</v>
      </c>
      <c r="FN177" t="s">
        <v>306</v>
      </c>
      <c r="FS177" t="s">
        <v>306</v>
      </c>
      <c r="FX177" t="s">
        <v>306</v>
      </c>
      <c r="FY177" t="s">
        <v>501</v>
      </c>
      <c r="FZ177">
        <v>111359</v>
      </c>
      <c r="GA177" t="s">
        <v>346</v>
      </c>
      <c r="GB177">
        <v>0.02</v>
      </c>
      <c r="GC177" t="s">
        <v>53</v>
      </c>
      <c r="GH177" t="s">
        <v>306</v>
      </c>
      <c r="GM177" t="s">
        <v>306</v>
      </c>
      <c r="GR177" t="s">
        <v>306</v>
      </c>
      <c r="GS177" t="s">
        <v>827</v>
      </c>
      <c r="GT177">
        <v>4138775</v>
      </c>
      <c r="GU177" t="s">
        <v>346</v>
      </c>
      <c r="GV177">
        <v>0</v>
      </c>
      <c r="GW177" t="s">
        <v>50</v>
      </c>
      <c r="GX177" t="s">
        <v>829</v>
      </c>
      <c r="GY177">
        <v>4074095</v>
      </c>
      <c r="GZ177" t="s">
        <v>346</v>
      </c>
      <c r="HA177">
        <v>0.02</v>
      </c>
      <c r="HB177" t="s">
        <v>313</v>
      </c>
      <c r="HG177" t="s">
        <v>306</v>
      </c>
    </row>
    <row r="178" spans="5:215" x14ac:dyDescent="0.35">
      <c r="E178" t="s">
        <v>306</v>
      </c>
      <c r="F178" t="s">
        <v>563</v>
      </c>
      <c r="G178">
        <v>118352632</v>
      </c>
      <c r="H178" t="s">
        <v>346</v>
      </c>
      <c r="I178">
        <v>0</v>
      </c>
      <c r="J178" t="s">
        <v>2184</v>
      </c>
      <c r="O178" t="s">
        <v>306</v>
      </c>
      <c r="T178" t="s">
        <v>306</v>
      </c>
      <c r="U178" t="s">
        <v>777</v>
      </c>
      <c r="V178">
        <v>107988050</v>
      </c>
      <c r="W178" t="s">
        <v>346</v>
      </c>
      <c r="X178">
        <v>0.01</v>
      </c>
      <c r="Y178" t="s">
        <v>50</v>
      </c>
      <c r="AD178" t="s">
        <v>306</v>
      </c>
      <c r="AE178" t="s">
        <v>1169</v>
      </c>
      <c r="AF178" t="s">
        <v>300</v>
      </c>
      <c r="AG178" t="s">
        <v>361</v>
      </c>
      <c r="AH178">
        <v>0</v>
      </c>
      <c r="AI178" t="s">
        <v>50</v>
      </c>
      <c r="AN178" t="s">
        <v>306</v>
      </c>
      <c r="AO178" t="s">
        <v>422</v>
      </c>
      <c r="AP178">
        <v>4048507</v>
      </c>
      <c r="AQ178" t="s">
        <v>346</v>
      </c>
      <c r="AR178">
        <v>0.01</v>
      </c>
      <c r="AS178" t="s">
        <v>304</v>
      </c>
      <c r="AX178" t="s">
        <v>306</v>
      </c>
      <c r="BC178" t="s">
        <v>306</v>
      </c>
      <c r="BD178" t="s">
        <v>409</v>
      </c>
      <c r="BE178">
        <v>102719</v>
      </c>
      <c r="BF178" t="s">
        <v>346</v>
      </c>
      <c r="BG178">
        <v>0.02</v>
      </c>
      <c r="BH178" t="s">
        <v>53</v>
      </c>
      <c r="BI178" t="s">
        <v>1527</v>
      </c>
      <c r="BJ178">
        <v>4140026</v>
      </c>
      <c r="BK178" t="s">
        <v>346</v>
      </c>
      <c r="BL178">
        <v>0</v>
      </c>
      <c r="BM178" t="s">
        <v>2185</v>
      </c>
      <c r="BN178" t="s">
        <v>766</v>
      </c>
      <c r="BO178">
        <v>4138826</v>
      </c>
      <c r="BP178" t="s">
        <v>346</v>
      </c>
      <c r="BQ178">
        <v>0</v>
      </c>
      <c r="BR178" t="s">
        <v>50</v>
      </c>
      <c r="BS178" t="s">
        <v>740</v>
      </c>
      <c r="BT178">
        <v>4271664</v>
      </c>
      <c r="BU178" t="s">
        <v>346</v>
      </c>
      <c r="BV178">
        <v>0.01</v>
      </c>
      <c r="BW178" t="s">
        <v>313</v>
      </c>
      <c r="BX178" t="s">
        <v>777</v>
      </c>
      <c r="BY178">
        <v>107988050</v>
      </c>
      <c r="BZ178" t="s">
        <v>346</v>
      </c>
      <c r="CA178">
        <v>0.01</v>
      </c>
      <c r="CB178" t="s">
        <v>50</v>
      </c>
      <c r="CC178" t="s">
        <v>1677</v>
      </c>
      <c r="CD178">
        <v>19547874</v>
      </c>
      <c r="CE178" t="s">
        <v>364</v>
      </c>
      <c r="CF178">
        <v>0.02</v>
      </c>
      <c r="CG178" t="s">
        <v>53</v>
      </c>
      <c r="CH178" t="s">
        <v>422</v>
      </c>
      <c r="CI178">
        <v>4048507</v>
      </c>
      <c r="CJ178" t="s">
        <v>346</v>
      </c>
      <c r="CK178">
        <v>0.01</v>
      </c>
      <c r="CL178" t="s">
        <v>304</v>
      </c>
      <c r="CM178" t="s">
        <v>1725</v>
      </c>
      <c r="CN178">
        <v>11227495</v>
      </c>
      <c r="CO178" t="s">
        <v>346</v>
      </c>
      <c r="CP178">
        <v>0.02</v>
      </c>
      <c r="CQ178" t="s">
        <v>53</v>
      </c>
      <c r="CV178" t="s">
        <v>306</v>
      </c>
      <c r="DA178" t="s">
        <v>306</v>
      </c>
      <c r="DB178" t="s">
        <v>409</v>
      </c>
      <c r="DC178">
        <v>102719</v>
      </c>
      <c r="DD178" t="s">
        <v>346</v>
      </c>
      <c r="DE178">
        <v>0.02</v>
      </c>
      <c r="DF178" t="s">
        <v>53</v>
      </c>
      <c r="DK178" t="s">
        <v>306</v>
      </c>
      <c r="DL178" t="s">
        <v>409</v>
      </c>
      <c r="DM178">
        <v>102719</v>
      </c>
      <c r="DN178" t="s">
        <v>346</v>
      </c>
      <c r="DO178">
        <v>0.02</v>
      </c>
      <c r="DP178" t="s">
        <v>53</v>
      </c>
      <c r="DU178" t="s">
        <v>306</v>
      </c>
      <c r="DZ178" t="s">
        <v>306</v>
      </c>
      <c r="EA178" t="s">
        <v>1677</v>
      </c>
      <c r="EB178">
        <v>19547874</v>
      </c>
      <c r="EC178" t="s">
        <v>364</v>
      </c>
      <c r="ED178">
        <v>0.02</v>
      </c>
      <c r="EE178" t="s">
        <v>53</v>
      </c>
      <c r="EF178" t="s">
        <v>409</v>
      </c>
      <c r="EG178">
        <v>102719</v>
      </c>
      <c r="EH178" t="s">
        <v>346</v>
      </c>
      <c r="EI178">
        <v>0.02</v>
      </c>
      <c r="EJ178" t="s">
        <v>53</v>
      </c>
      <c r="EO178" t="s">
        <v>306</v>
      </c>
      <c r="ET178" t="s">
        <v>306</v>
      </c>
      <c r="EY178" t="s">
        <v>306</v>
      </c>
      <c r="FD178" t="s">
        <v>306</v>
      </c>
      <c r="FI178" t="s">
        <v>306</v>
      </c>
      <c r="FN178" t="s">
        <v>306</v>
      </c>
      <c r="FS178" t="s">
        <v>306</v>
      </c>
      <c r="FX178" t="s">
        <v>306</v>
      </c>
      <c r="FY178" t="s">
        <v>409</v>
      </c>
      <c r="FZ178">
        <v>102719</v>
      </c>
      <c r="GA178" t="s">
        <v>346</v>
      </c>
      <c r="GB178">
        <v>0.02</v>
      </c>
      <c r="GC178" t="s">
        <v>53</v>
      </c>
      <c r="GH178" t="s">
        <v>306</v>
      </c>
      <c r="GM178" t="s">
        <v>306</v>
      </c>
      <c r="GR178" t="s">
        <v>306</v>
      </c>
      <c r="GS178" t="s">
        <v>766</v>
      </c>
      <c r="GT178">
        <v>4138826</v>
      </c>
      <c r="GU178" t="s">
        <v>346</v>
      </c>
      <c r="GV178">
        <v>0</v>
      </c>
      <c r="GW178" t="s">
        <v>50</v>
      </c>
      <c r="GX178" t="s">
        <v>1677</v>
      </c>
      <c r="GY178">
        <v>19547874</v>
      </c>
      <c r="GZ178" t="s">
        <v>364</v>
      </c>
      <c r="HA178">
        <v>0.02</v>
      </c>
      <c r="HB178" t="s">
        <v>53</v>
      </c>
      <c r="HG178" t="s">
        <v>306</v>
      </c>
    </row>
    <row r="179" spans="5:215" x14ac:dyDescent="0.35">
      <c r="E179" t="s">
        <v>306</v>
      </c>
      <c r="F179" t="s">
        <v>564</v>
      </c>
      <c r="G179">
        <v>4137693</v>
      </c>
      <c r="H179" t="s">
        <v>346</v>
      </c>
      <c r="I179">
        <v>0</v>
      </c>
      <c r="J179" t="s">
        <v>2194</v>
      </c>
      <c r="O179" t="s">
        <v>306</v>
      </c>
      <c r="T179" t="s">
        <v>306</v>
      </c>
      <c r="U179" t="s">
        <v>461</v>
      </c>
      <c r="V179">
        <v>4137912</v>
      </c>
      <c r="W179" t="s">
        <v>346</v>
      </c>
      <c r="X179">
        <v>0.01</v>
      </c>
      <c r="Y179" t="s">
        <v>2185</v>
      </c>
      <c r="AD179" t="s">
        <v>306</v>
      </c>
      <c r="AE179" t="s">
        <v>524</v>
      </c>
      <c r="AF179">
        <v>4147331</v>
      </c>
      <c r="AG179" t="s">
        <v>346</v>
      </c>
      <c r="AH179">
        <v>0</v>
      </c>
      <c r="AI179" t="s">
        <v>313</v>
      </c>
      <c r="AN179" t="s">
        <v>306</v>
      </c>
      <c r="AO179" t="s">
        <v>531</v>
      </c>
      <c r="AP179">
        <v>4072215</v>
      </c>
      <c r="AQ179" t="s">
        <v>346</v>
      </c>
      <c r="AR179">
        <v>0.01</v>
      </c>
      <c r="AS179" t="s">
        <v>53</v>
      </c>
      <c r="AX179" t="s">
        <v>306</v>
      </c>
      <c r="BC179" t="s">
        <v>306</v>
      </c>
      <c r="BD179" t="s">
        <v>880</v>
      </c>
      <c r="BE179">
        <v>4139864</v>
      </c>
      <c r="BF179" t="s">
        <v>346</v>
      </c>
      <c r="BG179">
        <v>0.02</v>
      </c>
      <c r="BH179" t="s">
        <v>313</v>
      </c>
      <c r="BI179" t="s">
        <v>1104</v>
      </c>
      <c r="BJ179">
        <v>4145324</v>
      </c>
      <c r="BK179" t="s">
        <v>346</v>
      </c>
      <c r="BL179">
        <v>0</v>
      </c>
      <c r="BM179" t="s">
        <v>2185</v>
      </c>
      <c r="BN179" t="s">
        <v>796</v>
      </c>
      <c r="BO179">
        <v>19312355</v>
      </c>
      <c r="BP179" t="s">
        <v>346</v>
      </c>
      <c r="BQ179">
        <v>0</v>
      </c>
      <c r="BR179" t="s">
        <v>50</v>
      </c>
      <c r="BS179" t="s">
        <v>547</v>
      </c>
      <c r="BT179">
        <v>4005523</v>
      </c>
      <c r="BU179" t="s">
        <v>346</v>
      </c>
      <c r="BV179">
        <v>0.01</v>
      </c>
      <c r="BW179" t="s">
        <v>80</v>
      </c>
      <c r="BX179" t="s">
        <v>461</v>
      </c>
      <c r="BY179">
        <v>4137912</v>
      </c>
      <c r="BZ179" t="s">
        <v>346</v>
      </c>
      <c r="CA179">
        <v>0.01</v>
      </c>
      <c r="CB179" t="s">
        <v>2185</v>
      </c>
      <c r="CC179" t="s">
        <v>963</v>
      </c>
      <c r="CD179">
        <v>4156964</v>
      </c>
      <c r="CE179" t="s">
        <v>346</v>
      </c>
      <c r="CF179">
        <v>0.02</v>
      </c>
      <c r="CG179" t="s">
        <v>80</v>
      </c>
      <c r="CH179" t="s">
        <v>531</v>
      </c>
      <c r="CI179">
        <v>4072215</v>
      </c>
      <c r="CJ179" t="s">
        <v>346</v>
      </c>
      <c r="CK179">
        <v>0.01</v>
      </c>
      <c r="CL179" t="s">
        <v>53</v>
      </c>
      <c r="CM179" t="s">
        <v>1296</v>
      </c>
      <c r="CN179">
        <v>8091201</v>
      </c>
      <c r="CO179" t="s">
        <v>346</v>
      </c>
      <c r="CP179">
        <v>0.02</v>
      </c>
      <c r="CQ179" t="s">
        <v>2202</v>
      </c>
      <c r="CV179" t="s">
        <v>306</v>
      </c>
      <c r="DA179" t="s">
        <v>306</v>
      </c>
      <c r="DB179" t="s">
        <v>880</v>
      </c>
      <c r="DC179">
        <v>4139864</v>
      </c>
      <c r="DD179" t="s">
        <v>346</v>
      </c>
      <c r="DE179">
        <v>0.02</v>
      </c>
      <c r="DF179" t="s">
        <v>313</v>
      </c>
      <c r="DK179" t="s">
        <v>306</v>
      </c>
      <c r="DL179" t="s">
        <v>880</v>
      </c>
      <c r="DM179">
        <v>4139864</v>
      </c>
      <c r="DN179" t="s">
        <v>346</v>
      </c>
      <c r="DO179">
        <v>0.02</v>
      </c>
      <c r="DP179" t="s">
        <v>313</v>
      </c>
      <c r="DU179" t="s">
        <v>306</v>
      </c>
      <c r="DZ179" t="s">
        <v>306</v>
      </c>
      <c r="EA179" t="s">
        <v>963</v>
      </c>
      <c r="EB179">
        <v>4156964</v>
      </c>
      <c r="EC179" t="s">
        <v>346</v>
      </c>
      <c r="ED179">
        <v>0.02</v>
      </c>
      <c r="EE179" t="s">
        <v>80</v>
      </c>
      <c r="EF179" t="s">
        <v>880</v>
      </c>
      <c r="EG179">
        <v>4139864</v>
      </c>
      <c r="EH179" t="s">
        <v>346</v>
      </c>
      <c r="EI179">
        <v>0.02</v>
      </c>
      <c r="EJ179" t="s">
        <v>313</v>
      </c>
      <c r="EO179" t="s">
        <v>306</v>
      </c>
      <c r="ET179" t="s">
        <v>306</v>
      </c>
      <c r="EY179" t="s">
        <v>306</v>
      </c>
      <c r="FD179" t="s">
        <v>306</v>
      </c>
      <c r="FI179" t="s">
        <v>306</v>
      </c>
      <c r="FN179" t="s">
        <v>306</v>
      </c>
      <c r="FS179" t="s">
        <v>306</v>
      </c>
      <c r="FX179" t="s">
        <v>306</v>
      </c>
      <c r="FY179" t="s">
        <v>880</v>
      </c>
      <c r="FZ179">
        <v>4139864</v>
      </c>
      <c r="GA179" t="s">
        <v>346</v>
      </c>
      <c r="GB179">
        <v>0.02</v>
      </c>
      <c r="GC179" t="s">
        <v>313</v>
      </c>
      <c r="GH179" t="s">
        <v>306</v>
      </c>
      <c r="GM179" t="s">
        <v>306</v>
      </c>
      <c r="GR179" t="s">
        <v>306</v>
      </c>
      <c r="GS179" t="s">
        <v>796</v>
      </c>
      <c r="GT179">
        <v>19312355</v>
      </c>
      <c r="GU179" t="s">
        <v>346</v>
      </c>
      <c r="GV179">
        <v>0</v>
      </c>
      <c r="GW179" t="s">
        <v>50</v>
      </c>
      <c r="GX179" t="s">
        <v>963</v>
      </c>
      <c r="GY179">
        <v>4156964</v>
      </c>
      <c r="GZ179" t="s">
        <v>346</v>
      </c>
      <c r="HA179">
        <v>0.02</v>
      </c>
      <c r="HB179" t="s">
        <v>80</v>
      </c>
      <c r="HG179" t="s">
        <v>306</v>
      </c>
    </row>
    <row r="180" spans="5:215" x14ac:dyDescent="0.35">
      <c r="E180" t="s">
        <v>306</v>
      </c>
      <c r="F180" t="s">
        <v>565</v>
      </c>
      <c r="G180">
        <v>26566323</v>
      </c>
      <c r="H180" t="s">
        <v>346</v>
      </c>
      <c r="I180">
        <v>0</v>
      </c>
      <c r="J180" t="s">
        <v>53</v>
      </c>
      <c r="O180" t="s">
        <v>306</v>
      </c>
      <c r="T180" t="s">
        <v>306</v>
      </c>
      <c r="U180" t="s">
        <v>778</v>
      </c>
      <c r="V180">
        <v>4341872</v>
      </c>
      <c r="W180" t="s">
        <v>346</v>
      </c>
      <c r="X180">
        <v>0.01</v>
      </c>
      <c r="Y180" t="s">
        <v>50</v>
      </c>
      <c r="AD180" t="s">
        <v>306</v>
      </c>
      <c r="AE180" t="s">
        <v>576</v>
      </c>
      <c r="AF180">
        <v>4672091</v>
      </c>
      <c r="AG180" t="s">
        <v>300</v>
      </c>
      <c r="AH180">
        <v>0</v>
      </c>
      <c r="AI180" t="s">
        <v>62</v>
      </c>
      <c r="AN180" t="s">
        <v>306</v>
      </c>
      <c r="AO180" t="s">
        <v>1324</v>
      </c>
      <c r="AP180">
        <v>4234580</v>
      </c>
      <c r="AQ180" t="s">
        <v>364</v>
      </c>
      <c r="AR180">
        <v>0.01</v>
      </c>
      <c r="AS180" t="s">
        <v>62</v>
      </c>
      <c r="AX180" t="s">
        <v>306</v>
      </c>
      <c r="BC180" t="s">
        <v>306</v>
      </c>
      <c r="BD180" t="s">
        <v>391</v>
      </c>
      <c r="BE180">
        <v>13582910</v>
      </c>
      <c r="BF180" t="s">
        <v>346</v>
      </c>
      <c r="BG180">
        <v>0.02</v>
      </c>
      <c r="BH180" t="s">
        <v>317</v>
      </c>
      <c r="BI180" t="s">
        <v>1202</v>
      </c>
      <c r="BJ180">
        <v>5850609</v>
      </c>
      <c r="BK180" t="s">
        <v>346</v>
      </c>
      <c r="BL180">
        <v>0</v>
      </c>
      <c r="BM180" t="s">
        <v>2185</v>
      </c>
      <c r="BN180" t="s">
        <v>462</v>
      </c>
      <c r="BO180">
        <v>109872</v>
      </c>
      <c r="BP180" t="s">
        <v>346</v>
      </c>
      <c r="BQ180">
        <v>0</v>
      </c>
      <c r="BR180" t="s">
        <v>53</v>
      </c>
      <c r="BS180" t="s">
        <v>741</v>
      </c>
      <c r="BT180">
        <v>4404664</v>
      </c>
      <c r="BU180" t="s">
        <v>346</v>
      </c>
      <c r="BV180">
        <v>0.01</v>
      </c>
      <c r="BW180" t="s">
        <v>50</v>
      </c>
      <c r="BX180" t="s">
        <v>778</v>
      </c>
      <c r="BY180">
        <v>4341872</v>
      </c>
      <c r="BZ180" t="s">
        <v>346</v>
      </c>
      <c r="CA180">
        <v>0.01</v>
      </c>
      <c r="CB180" t="s">
        <v>50</v>
      </c>
      <c r="CC180" t="s">
        <v>1678</v>
      </c>
      <c r="CD180">
        <v>20025131</v>
      </c>
      <c r="CE180" t="s">
        <v>346</v>
      </c>
      <c r="CF180">
        <v>0.01</v>
      </c>
      <c r="CG180" t="s">
        <v>53</v>
      </c>
      <c r="CH180" t="s">
        <v>1324</v>
      </c>
      <c r="CI180">
        <v>4234580</v>
      </c>
      <c r="CJ180" t="s">
        <v>364</v>
      </c>
      <c r="CK180">
        <v>0.01</v>
      </c>
      <c r="CL180" t="s">
        <v>62</v>
      </c>
      <c r="CM180" t="s">
        <v>480</v>
      </c>
      <c r="CN180">
        <v>4119651</v>
      </c>
      <c r="CO180" t="s">
        <v>346</v>
      </c>
      <c r="CP180">
        <v>0.02</v>
      </c>
      <c r="CQ180" t="s">
        <v>53</v>
      </c>
      <c r="CV180" t="s">
        <v>306</v>
      </c>
      <c r="DA180" t="s">
        <v>306</v>
      </c>
      <c r="DB180" t="s">
        <v>391</v>
      </c>
      <c r="DC180">
        <v>13582910</v>
      </c>
      <c r="DD180" t="s">
        <v>346</v>
      </c>
      <c r="DE180">
        <v>0.02</v>
      </c>
      <c r="DF180" t="s">
        <v>317</v>
      </c>
      <c r="DK180" t="s">
        <v>306</v>
      </c>
      <c r="DL180" t="s">
        <v>391</v>
      </c>
      <c r="DM180">
        <v>13582910</v>
      </c>
      <c r="DN180" t="s">
        <v>346</v>
      </c>
      <c r="DO180">
        <v>0.02</v>
      </c>
      <c r="DP180" t="s">
        <v>317</v>
      </c>
      <c r="DU180" t="s">
        <v>306</v>
      </c>
      <c r="DZ180" t="s">
        <v>306</v>
      </c>
      <c r="EA180" t="s">
        <v>1678</v>
      </c>
      <c r="EB180">
        <v>20025131</v>
      </c>
      <c r="EC180" t="s">
        <v>346</v>
      </c>
      <c r="ED180">
        <v>0.01</v>
      </c>
      <c r="EE180" t="s">
        <v>53</v>
      </c>
      <c r="EF180" t="s">
        <v>391</v>
      </c>
      <c r="EG180">
        <v>13582910</v>
      </c>
      <c r="EH180" t="s">
        <v>346</v>
      </c>
      <c r="EI180">
        <v>0.02</v>
      </c>
      <c r="EJ180" t="s">
        <v>317</v>
      </c>
      <c r="EO180" t="s">
        <v>306</v>
      </c>
      <c r="ET180" t="s">
        <v>306</v>
      </c>
      <c r="EY180" t="s">
        <v>306</v>
      </c>
      <c r="FD180" t="s">
        <v>306</v>
      </c>
      <c r="FI180" t="s">
        <v>306</v>
      </c>
      <c r="FN180" t="s">
        <v>306</v>
      </c>
      <c r="FS180" t="s">
        <v>306</v>
      </c>
      <c r="FX180" t="s">
        <v>306</v>
      </c>
      <c r="FY180" t="s">
        <v>391</v>
      </c>
      <c r="FZ180">
        <v>13582910</v>
      </c>
      <c r="GA180" t="s">
        <v>346</v>
      </c>
      <c r="GB180">
        <v>0.02</v>
      </c>
      <c r="GC180" t="s">
        <v>317</v>
      </c>
      <c r="GH180" t="s">
        <v>306</v>
      </c>
      <c r="GM180" t="s">
        <v>306</v>
      </c>
      <c r="GR180" t="s">
        <v>306</v>
      </c>
      <c r="GS180" t="s">
        <v>462</v>
      </c>
      <c r="GT180">
        <v>109872</v>
      </c>
      <c r="GU180" t="s">
        <v>346</v>
      </c>
      <c r="GV180">
        <v>0</v>
      </c>
      <c r="GW180" t="s">
        <v>53</v>
      </c>
      <c r="GX180" t="s">
        <v>1678</v>
      </c>
      <c r="GY180">
        <v>20025131</v>
      </c>
      <c r="GZ180" t="s">
        <v>346</v>
      </c>
      <c r="HA180">
        <v>0.01</v>
      </c>
      <c r="HB180" t="s">
        <v>53</v>
      </c>
      <c r="HG180" t="s">
        <v>306</v>
      </c>
    </row>
    <row r="181" spans="5:215" x14ac:dyDescent="0.35">
      <c r="E181" t="s">
        <v>306</v>
      </c>
      <c r="F181" t="s">
        <v>566</v>
      </c>
      <c r="G181">
        <v>5842545</v>
      </c>
      <c r="H181" t="s">
        <v>346</v>
      </c>
      <c r="I181">
        <v>0</v>
      </c>
      <c r="J181" t="s">
        <v>53</v>
      </c>
      <c r="O181" t="s">
        <v>306</v>
      </c>
      <c r="T181" t="s">
        <v>306</v>
      </c>
      <c r="U181" t="s">
        <v>779</v>
      </c>
      <c r="V181" t="s">
        <v>300</v>
      </c>
      <c r="W181" t="s">
        <v>361</v>
      </c>
      <c r="X181">
        <v>0.01</v>
      </c>
      <c r="Y181" t="s">
        <v>50</v>
      </c>
      <c r="AD181" t="s">
        <v>306</v>
      </c>
      <c r="AE181" t="s">
        <v>1170</v>
      </c>
      <c r="AF181" t="s">
        <v>300</v>
      </c>
      <c r="AG181" t="s">
        <v>361</v>
      </c>
      <c r="AH181">
        <v>0</v>
      </c>
      <c r="AI181" t="s">
        <v>50</v>
      </c>
      <c r="AN181" t="s">
        <v>306</v>
      </c>
      <c r="AO181" t="s">
        <v>440</v>
      </c>
      <c r="AP181">
        <v>4140078</v>
      </c>
      <c r="AQ181" t="s">
        <v>346</v>
      </c>
      <c r="AR181">
        <v>0.01</v>
      </c>
      <c r="AS181" t="s">
        <v>304</v>
      </c>
      <c r="AX181" t="s">
        <v>306</v>
      </c>
      <c r="BC181" t="s">
        <v>306</v>
      </c>
      <c r="BD181" t="s">
        <v>1451</v>
      </c>
      <c r="BE181">
        <v>113985</v>
      </c>
      <c r="BF181" t="s">
        <v>366</v>
      </c>
      <c r="BG181">
        <v>0.02</v>
      </c>
      <c r="BH181" t="s">
        <v>2185</v>
      </c>
      <c r="BI181" t="s">
        <v>525</v>
      </c>
      <c r="BJ181">
        <v>4227087</v>
      </c>
      <c r="BK181" t="s">
        <v>346</v>
      </c>
      <c r="BL181">
        <v>0</v>
      </c>
      <c r="BM181" t="s">
        <v>2185</v>
      </c>
      <c r="BN181" t="s">
        <v>857</v>
      </c>
      <c r="BO181">
        <v>4262519</v>
      </c>
      <c r="BP181" t="s">
        <v>346</v>
      </c>
      <c r="BQ181">
        <v>0</v>
      </c>
      <c r="BR181" t="s">
        <v>53</v>
      </c>
      <c r="BS181" t="s">
        <v>533</v>
      </c>
      <c r="BT181">
        <v>4377155</v>
      </c>
      <c r="BU181" t="s">
        <v>346</v>
      </c>
      <c r="BV181">
        <v>0.01</v>
      </c>
      <c r="BW181" t="s">
        <v>2192</v>
      </c>
      <c r="BX181" t="s">
        <v>779</v>
      </c>
      <c r="BY181" t="s">
        <v>300</v>
      </c>
      <c r="BZ181" t="s">
        <v>361</v>
      </c>
      <c r="CA181">
        <v>0.01</v>
      </c>
      <c r="CB181" t="s">
        <v>50</v>
      </c>
      <c r="CC181" t="s">
        <v>1679</v>
      </c>
      <c r="CD181">
        <v>4138692</v>
      </c>
      <c r="CE181" t="s">
        <v>346</v>
      </c>
      <c r="CF181">
        <v>0.01</v>
      </c>
      <c r="CG181" t="s">
        <v>2207</v>
      </c>
      <c r="CH181" t="s">
        <v>440</v>
      </c>
      <c r="CI181">
        <v>4140078</v>
      </c>
      <c r="CJ181" t="s">
        <v>346</v>
      </c>
      <c r="CK181">
        <v>0.01</v>
      </c>
      <c r="CL181" t="s">
        <v>304</v>
      </c>
      <c r="CM181" t="s">
        <v>415</v>
      </c>
      <c r="CN181">
        <v>110587</v>
      </c>
      <c r="CO181" t="s">
        <v>346</v>
      </c>
      <c r="CP181">
        <v>0.02</v>
      </c>
      <c r="CQ181" t="s">
        <v>53</v>
      </c>
      <c r="CV181" t="s">
        <v>306</v>
      </c>
      <c r="DA181" t="s">
        <v>306</v>
      </c>
      <c r="DB181" t="s">
        <v>1451</v>
      </c>
      <c r="DC181">
        <v>113985</v>
      </c>
      <c r="DD181" t="s">
        <v>366</v>
      </c>
      <c r="DE181">
        <v>0.02</v>
      </c>
      <c r="DF181" t="s">
        <v>2185</v>
      </c>
      <c r="DK181" t="s">
        <v>306</v>
      </c>
      <c r="DL181" t="s">
        <v>1451</v>
      </c>
      <c r="DM181">
        <v>113985</v>
      </c>
      <c r="DN181" t="s">
        <v>366</v>
      </c>
      <c r="DO181">
        <v>0.02</v>
      </c>
      <c r="DP181" t="s">
        <v>2185</v>
      </c>
      <c r="DU181" t="s">
        <v>306</v>
      </c>
      <c r="DZ181" t="s">
        <v>306</v>
      </c>
      <c r="EA181" t="s">
        <v>1679</v>
      </c>
      <c r="EB181">
        <v>4138692</v>
      </c>
      <c r="EC181" t="s">
        <v>346</v>
      </c>
      <c r="ED181">
        <v>0.01</v>
      </c>
      <c r="EE181" t="s">
        <v>2207</v>
      </c>
      <c r="EF181" t="s">
        <v>1451</v>
      </c>
      <c r="EG181">
        <v>113985</v>
      </c>
      <c r="EH181" t="s">
        <v>366</v>
      </c>
      <c r="EI181">
        <v>0.02</v>
      </c>
      <c r="EJ181" t="s">
        <v>2185</v>
      </c>
      <c r="EO181" t="s">
        <v>306</v>
      </c>
      <c r="ET181" t="s">
        <v>306</v>
      </c>
      <c r="EY181" t="s">
        <v>306</v>
      </c>
      <c r="FD181" t="s">
        <v>306</v>
      </c>
      <c r="FI181" t="s">
        <v>306</v>
      </c>
      <c r="FN181" t="s">
        <v>306</v>
      </c>
      <c r="FS181" t="s">
        <v>306</v>
      </c>
      <c r="FX181" t="s">
        <v>306</v>
      </c>
      <c r="FY181" t="s">
        <v>1451</v>
      </c>
      <c r="FZ181">
        <v>113985</v>
      </c>
      <c r="GA181" t="s">
        <v>366</v>
      </c>
      <c r="GB181">
        <v>0.02</v>
      </c>
      <c r="GC181" t="s">
        <v>2185</v>
      </c>
      <c r="GH181" t="s">
        <v>306</v>
      </c>
      <c r="GM181" t="s">
        <v>306</v>
      </c>
      <c r="GR181" t="s">
        <v>306</v>
      </c>
      <c r="GS181" t="s">
        <v>857</v>
      </c>
      <c r="GT181">
        <v>4262519</v>
      </c>
      <c r="GU181" t="s">
        <v>346</v>
      </c>
      <c r="GV181">
        <v>0</v>
      </c>
      <c r="GW181" t="s">
        <v>53</v>
      </c>
      <c r="GX181" t="s">
        <v>1679</v>
      </c>
      <c r="GY181">
        <v>4138692</v>
      </c>
      <c r="GZ181" t="s">
        <v>346</v>
      </c>
      <c r="HA181">
        <v>0.01</v>
      </c>
      <c r="HB181" t="s">
        <v>2207</v>
      </c>
      <c r="HG181" t="s">
        <v>306</v>
      </c>
    </row>
    <row r="182" spans="5:215" x14ac:dyDescent="0.35">
      <c r="E182" t="s">
        <v>306</v>
      </c>
      <c r="F182" t="s">
        <v>567</v>
      </c>
      <c r="G182">
        <v>4139837</v>
      </c>
      <c r="H182" t="s">
        <v>346</v>
      </c>
      <c r="I182">
        <v>0</v>
      </c>
      <c r="J182" t="s">
        <v>304</v>
      </c>
      <c r="O182" t="s">
        <v>306</v>
      </c>
      <c r="T182" t="s">
        <v>306</v>
      </c>
      <c r="U182" t="s">
        <v>388</v>
      </c>
      <c r="V182">
        <v>4057506</v>
      </c>
      <c r="W182" t="s">
        <v>346</v>
      </c>
      <c r="X182">
        <v>0.01</v>
      </c>
      <c r="Y182" t="s">
        <v>53</v>
      </c>
      <c r="AD182" t="s">
        <v>306</v>
      </c>
      <c r="AE182" t="s">
        <v>1100</v>
      </c>
      <c r="AF182">
        <v>4139199</v>
      </c>
      <c r="AG182" t="s">
        <v>346</v>
      </c>
      <c r="AH182">
        <v>0</v>
      </c>
      <c r="AI182" t="s">
        <v>2205</v>
      </c>
      <c r="AN182" t="s">
        <v>306</v>
      </c>
      <c r="AO182" t="s">
        <v>1325</v>
      </c>
      <c r="AP182">
        <v>5760145</v>
      </c>
      <c r="AQ182" t="s">
        <v>346</v>
      </c>
      <c r="AR182">
        <v>0.01</v>
      </c>
      <c r="AS182" t="s">
        <v>62</v>
      </c>
      <c r="AX182" t="s">
        <v>306</v>
      </c>
      <c r="BC182" t="s">
        <v>306</v>
      </c>
      <c r="BD182" t="s">
        <v>434</v>
      </c>
      <c r="BE182">
        <v>4120033</v>
      </c>
      <c r="BF182" t="s">
        <v>346</v>
      </c>
      <c r="BG182">
        <v>0.02</v>
      </c>
      <c r="BH182" t="s">
        <v>304</v>
      </c>
      <c r="BI182" t="s">
        <v>1577</v>
      </c>
      <c r="BJ182">
        <v>4137593</v>
      </c>
      <c r="BK182" t="s">
        <v>346</v>
      </c>
      <c r="BL182">
        <v>0</v>
      </c>
      <c r="BM182" t="s">
        <v>67</v>
      </c>
      <c r="BN182" t="s">
        <v>663</v>
      </c>
      <c r="BO182">
        <v>4080954</v>
      </c>
      <c r="BP182" t="s">
        <v>346</v>
      </c>
      <c r="BQ182">
        <v>0</v>
      </c>
      <c r="BR182" t="s">
        <v>2193</v>
      </c>
      <c r="BS182" t="s">
        <v>981</v>
      </c>
      <c r="BT182">
        <v>4140081</v>
      </c>
      <c r="BU182" t="s">
        <v>346</v>
      </c>
      <c r="BV182">
        <v>0.01</v>
      </c>
      <c r="BW182" t="s">
        <v>317</v>
      </c>
      <c r="BX182" t="s">
        <v>388</v>
      </c>
      <c r="BY182">
        <v>4057506</v>
      </c>
      <c r="BZ182" t="s">
        <v>346</v>
      </c>
      <c r="CA182">
        <v>0.01</v>
      </c>
      <c r="CB182" t="s">
        <v>53</v>
      </c>
      <c r="CC182" t="s">
        <v>599</v>
      </c>
      <c r="CD182">
        <v>19350037</v>
      </c>
      <c r="CE182" t="s">
        <v>346</v>
      </c>
      <c r="CF182">
        <v>0.01</v>
      </c>
      <c r="CG182" t="s">
        <v>313</v>
      </c>
      <c r="CH182" t="s">
        <v>1325</v>
      </c>
      <c r="CI182">
        <v>5760145</v>
      </c>
      <c r="CJ182" t="s">
        <v>346</v>
      </c>
      <c r="CK182">
        <v>0.01</v>
      </c>
      <c r="CL182" t="s">
        <v>62</v>
      </c>
      <c r="CM182" t="s">
        <v>663</v>
      </c>
      <c r="CN182">
        <v>4080954</v>
      </c>
      <c r="CO182" t="s">
        <v>346</v>
      </c>
      <c r="CP182">
        <v>0.02</v>
      </c>
      <c r="CQ182" t="s">
        <v>2193</v>
      </c>
      <c r="CV182" t="s">
        <v>306</v>
      </c>
      <c r="DA182" t="s">
        <v>306</v>
      </c>
      <c r="DB182" t="s">
        <v>434</v>
      </c>
      <c r="DC182">
        <v>4120033</v>
      </c>
      <c r="DD182" t="s">
        <v>346</v>
      </c>
      <c r="DE182">
        <v>0.02</v>
      </c>
      <c r="DF182" t="s">
        <v>304</v>
      </c>
      <c r="DK182" t="s">
        <v>306</v>
      </c>
      <c r="DL182" t="s">
        <v>434</v>
      </c>
      <c r="DM182">
        <v>4120033</v>
      </c>
      <c r="DN182" t="s">
        <v>346</v>
      </c>
      <c r="DO182">
        <v>0.02</v>
      </c>
      <c r="DP182" t="s">
        <v>304</v>
      </c>
      <c r="DU182" t="s">
        <v>306</v>
      </c>
      <c r="DZ182" t="s">
        <v>306</v>
      </c>
      <c r="EA182" t="s">
        <v>599</v>
      </c>
      <c r="EB182">
        <v>19350037</v>
      </c>
      <c r="EC182" t="s">
        <v>346</v>
      </c>
      <c r="ED182">
        <v>0.01</v>
      </c>
      <c r="EE182" t="s">
        <v>313</v>
      </c>
      <c r="EF182" t="s">
        <v>434</v>
      </c>
      <c r="EG182">
        <v>4120033</v>
      </c>
      <c r="EH182" t="s">
        <v>346</v>
      </c>
      <c r="EI182">
        <v>0.02</v>
      </c>
      <c r="EJ182" t="s">
        <v>304</v>
      </c>
      <c r="EO182" t="s">
        <v>306</v>
      </c>
      <c r="ET182" t="s">
        <v>306</v>
      </c>
      <c r="EY182" t="s">
        <v>306</v>
      </c>
      <c r="FD182" t="s">
        <v>306</v>
      </c>
      <c r="FI182" t="s">
        <v>306</v>
      </c>
      <c r="FN182" t="s">
        <v>306</v>
      </c>
      <c r="FS182" t="s">
        <v>306</v>
      </c>
      <c r="FX182" t="s">
        <v>306</v>
      </c>
      <c r="FY182" t="s">
        <v>434</v>
      </c>
      <c r="FZ182">
        <v>4120033</v>
      </c>
      <c r="GA182" t="s">
        <v>346</v>
      </c>
      <c r="GB182">
        <v>0.02</v>
      </c>
      <c r="GC182" t="s">
        <v>304</v>
      </c>
      <c r="GH182" t="s">
        <v>306</v>
      </c>
      <c r="GM182" t="s">
        <v>306</v>
      </c>
      <c r="GR182" t="s">
        <v>306</v>
      </c>
      <c r="GS182" t="s">
        <v>663</v>
      </c>
      <c r="GT182">
        <v>4080954</v>
      </c>
      <c r="GU182" t="s">
        <v>346</v>
      </c>
      <c r="GV182">
        <v>0</v>
      </c>
      <c r="GW182" t="s">
        <v>2193</v>
      </c>
      <c r="GX182" t="s">
        <v>599</v>
      </c>
      <c r="GY182">
        <v>19350037</v>
      </c>
      <c r="GZ182" t="s">
        <v>346</v>
      </c>
      <c r="HA182">
        <v>0.01</v>
      </c>
      <c r="HB182" t="s">
        <v>313</v>
      </c>
      <c r="HG182" t="s">
        <v>306</v>
      </c>
    </row>
    <row r="183" spans="5:215" x14ac:dyDescent="0.35">
      <c r="E183" t="s">
        <v>306</v>
      </c>
      <c r="F183" t="s">
        <v>568</v>
      </c>
      <c r="G183">
        <v>4135240</v>
      </c>
      <c r="H183" t="s">
        <v>346</v>
      </c>
      <c r="I183">
        <v>0</v>
      </c>
      <c r="J183" t="s">
        <v>125</v>
      </c>
      <c r="O183" t="s">
        <v>306</v>
      </c>
      <c r="T183" t="s">
        <v>306</v>
      </c>
      <c r="U183" t="s">
        <v>780</v>
      </c>
      <c r="V183" t="s">
        <v>300</v>
      </c>
      <c r="W183" t="s">
        <v>361</v>
      </c>
      <c r="X183">
        <v>0.01</v>
      </c>
      <c r="Y183" t="s">
        <v>50</v>
      </c>
      <c r="AD183" t="s">
        <v>306</v>
      </c>
      <c r="AE183" t="s">
        <v>591</v>
      </c>
      <c r="AF183">
        <v>109721</v>
      </c>
      <c r="AG183" t="s">
        <v>346</v>
      </c>
      <c r="AH183">
        <v>0</v>
      </c>
      <c r="AI183" t="s">
        <v>53</v>
      </c>
      <c r="AN183" t="s">
        <v>306</v>
      </c>
      <c r="AO183" t="s">
        <v>856</v>
      </c>
      <c r="AP183">
        <v>4141040</v>
      </c>
      <c r="AQ183" t="s">
        <v>346</v>
      </c>
      <c r="AR183">
        <v>0.01</v>
      </c>
      <c r="AS183" t="s">
        <v>313</v>
      </c>
      <c r="AX183" t="s">
        <v>306</v>
      </c>
      <c r="BC183" t="s">
        <v>306</v>
      </c>
      <c r="BD183" t="s">
        <v>961</v>
      </c>
      <c r="BE183">
        <v>4048349</v>
      </c>
      <c r="BF183" t="s">
        <v>346</v>
      </c>
      <c r="BG183">
        <v>0.02</v>
      </c>
      <c r="BH183" t="s">
        <v>313</v>
      </c>
      <c r="BI183" t="s">
        <v>1530</v>
      </c>
      <c r="BJ183">
        <v>5755714</v>
      </c>
      <c r="BK183" t="s">
        <v>346</v>
      </c>
      <c r="BL183">
        <v>0</v>
      </c>
      <c r="BM183" t="s">
        <v>2208</v>
      </c>
      <c r="BN183" t="s">
        <v>501</v>
      </c>
      <c r="BO183">
        <v>111359</v>
      </c>
      <c r="BP183" t="s">
        <v>346</v>
      </c>
      <c r="BQ183">
        <v>0</v>
      </c>
      <c r="BR183" t="s">
        <v>53</v>
      </c>
      <c r="BS183" t="s">
        <v>442</v>
      </c>
      <c r="BT183">
        <v>4117611</v>
      </c>
      <c r="BU183" t="s">
        <v>346</v>
      </c>
      <c r="BV183">
        <v>0.01</v>
      </c>
      <c r="BW183" t="s">
        <v>53</v>
      </c>
      <c r="BX183" t="s">
        <v>780</v>
      </c>
      <c r="BY183" t="s">
        <v>300</v>
      </c>
      <c r="BZ183" t="s">
        <v>361</v>
      </c>
      <c r="CA183">
        <v>0.01</v>
      </c>
      <c r="CB183" t="s">
        <v>50</v>
      </c>
      <c r="CC183" t="s">
        <v>1680</v>
      </c>
      <c r="CD183">
        <v>109232</v>
      </c>
      <c r="CE183" t="s">
        <v>346</v>
      </c>
      <c r="CF183">
        <v>0.01</v>
      </c>
      <c r="CG183" t="s">
        <v>53</v>
      </c>
      <c r="CH183" t="s">
        <v>856</v>
      </c>
      <c r="CI183">
        <v>4141040</v>
      </c>
      <c r="CJ183" t="s">
        <v>346</v>
      </c>
      <c r="CK183">
        <v>0.01</v>
      </c>
      <c r="CL183" t="s">
        <v>313</v>
      </c>
      <c r="CM183" t="s">
        <v>1391</v>
      </c>
      <c r="CN183">
        <v>4217352</v>
      </c>
      <c r="CO183" t="s">
        <v>346</v>
      </c>
      <c r="CP183">
        <v>0.02</v>
      </c>
      <c r="CQ183" t="s">
        <v>62</v>
      </c>
      <c r="CV183" t="s">
        <v>306</v>
      </c>
      <c r="DA183" t="s">
        <v>306</v>
      </c>
      <c r="DB183" t="s">
        <v>961</v>
      </c>
      <c r="DC183">
        <v>4048349</v>
      </c>
      <c r="DD183" t="s">
        <v>346</v>
      </c>
      <c r="DE183">
        <v>0.02</v>
      </c>
      <c r="DF183" t="s">
        <v>313</v>
      </c>
      <c r="DK183" t="s">
        <v>306</v>
      </c>
      <c r="DL183" t="s">
        <v>961</v>
      </c>
      <c r="DM183">
        <v>4048349</v>
      </c>
      <c r="DN183" t="s">
        <v>346</v>
      </c>
      <c r="DO183">
        <v>0.02</v>
      </c>
      <c r="DP183" t="s">
        <v>313</v>
      </c>
      <c r="DU183" t="s">
        <v>306</v>
      </c>
      <c r="DZ183" t="s">
        <v>306</v>
      </c>
      <c r="EA183" t="s">
        <v>1680</v>
      </c>
      <c r="EB183">
        <v>109232</v>
      </c>
      <c r="EC183" t="s">
        <v>346</v>
      </c>
      <c r="ED183">
        <v>0.01</v>
      </c>
      <c r="EE183" t="s">
        <v>53</v>
      </c>
      <c r="EF183" t="s">
        <v>961</v>
      </c>
      <c r="EG183">
        <v>4048349</v>
      </c>
      <c r="EH183" t="s">
        <v>346</v>
      </c>
      <c r="EI183">
        <v>0.02</v>
      </c>
      <c r="EJ183" t="s">
        <v>313</v>
      </c>
      <c r="EO183" t="s">
        <v>306</v>
      </c>
      <c r="ET183" t="s">
        <v>306</v>
      </c>
      <c r="EY183" t="s">
        <v>306</v>
      </c>
      <c r="FD183" t="s">
        <v>306</v>
      </c>
      <c r="FI183" t="s">
        <v>306</v>
      </c>
      <c r="FN183" t="s">
        <v>306</v>
      </c>
      <c r="FS183" t="s">
        <v>306</v>
      </c>
      <c r="FX183" t="s">
        <v>306</v>
      </c>
      <c r="FY183" t="s">
        <v>961</v>
      </c>
      <c r="FZ183">
        <v>4048349</v>
      </c>
      <c r="GA183" t="s">
        <v>346</v>
      </c>
      <c r="GB183">
        <v>0.02</v>
      </c>
      <c r="GC183" t="s">
        <v>313</v>
      </c>
      <c r="GH183" t="s">
        <v>306</v>
      </c>
      <c r="GM183" t="s">
        <v>306</v>
      </c>
      <c r="GR183" t="s">
        <v>306</v>
      </c>
      <c r="GS183" t="s">
        <v>501</v>
      </c>
      <c r="GT183">
        <v>111359</v>
      </c>
      <c r="GU183" t="s">
        <v>346</v>
      </c>
      <c r="GV183">
        <v>0</v>
      </c>
      <c r="GW183" t="s">
        <v>53</v>
      </c>
      <c r="GX183" t="s">
        <v>1680</v>
      </c>
      <c r="GY183">
        <v>109232</v>
      </c>
      <c r="GZ183" t="s">
        <v>346</v>
      </c>
      <c r="HA183">
        <v>0.01</v>
      </c>
      <c r="HB183" t="s">
        <v>53</v>
      </c>
      <c r="HG183" t="s">
        <v>306</v>
      </c>
    </row>
    <row r="184" spans="5:215" x14ac:dyDescent="0.35">
      <c r="E184" t="s">
        <v>306</v>
      </c>
      <c r="F184" t="s">
        <v>569</v>
      </c>
      <c r="G184">
        <v>4332220</v>
      </c>
      <c r="H184" t="s">
        <v>346</v>
      </c>
      <c r="I184">
        <v>0</v>
      </c>
      <c r="J184" t="s">
        <v>53</v>
      </c>
      <c r="O184" t="s">
        <v>306</v>
      </c>
      <c r="T184" t="s">
        <v>306</v>
      </c>
      <c r="U184" t="s">
        <v>471</v>
      </c>
      <c r="V184">
        <v>4102247</v>
      </c>
      <c r="W184" t="s">
        <v>346</v>
      </c>
      <c r="X184">
        <v>0.01</v>
      </c>
      <c r="Y184" t="s">
        <v>53</v>
      </c>
      <c r="AD184" t="s">
        <v>306</v>
      </c>
      <c r="AE184" t="s">
        <v>1171</v>
      </c>
      <c r="AF184">
        <v>5762403</v>
      </c>
      <c r="AG184" t="s">
        <v>346</v>
      </c>
      <c r="AH184">
        <v>0</v>
      </c>
      <c r="AI184" t="s">
        <v>2205</v>
      </c>
      <c r="AN184" t="s">
        <v>306</v>
      </c>
      <c r="AO184" t="s">
        <v>1326</v>
      </c>
      <c r="AP184">
        <v>4230198</v>
      </c>
      <c r="AQ184" t="s">
        <v>346</v>
      </c>
      <c r="AR184">
        <v>0.01</v>
      </c>
      <c r="AS184" t="s">
        <v>62</v>
      </c>
      <c r="AX184" t="s">
        <v>306</v>
      </c>
      <c r="BC184" t="s">
        <v>306</v>
      </c>
      <c r="BD184" t="s">
        <v>1452</v>
      </c>
      <c r="BE184">
        <v>4022450</v>
      </c>
      <c r="BF184" t="s">
        <v>363</v>
      </c>
      <c r="BG184">
        <v>0.02</v>
      </c>
      <c r="BH184" t="s">
        <v>53</v>
      </c>
      <c r="BI184" t="s">
        <v>1578</v>
      </c>
      <c r="BJ184">
        <v>106515681</v>
      </c>
      <c r="BK184" t="s">
        <v>346</v>
      </c>
      <c r="BL184">
        <v>0</v>
      </c>
      <c r="BM184" t="s">
        <v>2186</v>
      </c>
      <c r="BN184" t="s">
        <v>843</v>
      </c>
      <c r="BO184">
        <v>4095386</v>
      </c>
      <c r="BP184" t="s">
        <v>364</v>
      </c>
      <c r="BQ184">
        <v>0</v>
      </c>
      <c r="BR184" t="s">
        <v>53</v>
      </c>
      <c r="BS184" t="s">
        <v>459</v>
      </c>
      <c r="BT184">
        <v>4140503</v>
      </c>
      <c r="BU184" t="s">
        <v>346</v>
      </c>
      <c r="BV184">
        <v>0.01</v>
      </c>
      <c r="BW184" t="s">
        <v>2186</v>
      </c>
      <c r="BX184" t="s">
        <v>471</v>
      </c>
      <c r="BY184">
        <v>4102247</v>
      </c>
      <c r="BZ184" t="s">
        <v>346</v>
      </c>
      <c r="CA184">
        <v>0.01</v>
      </c>
      <c r="CB184" t="s">
        <v>53</v>
      </c>
      <c r="CC184" t="s">
        <v>1681</v>
      </c>
      <c r="CD184">
        <v>4252258</v>
      </c>
      <c r="CE184" t="s">
        <v>346</v>
      </c>
      <c r="CF184">
        <v>0.01</v>
      </c>
      <c r="CG184" t="s">
        <v>2189</v>
      </c>
      <c r="CH184" t="s">
        <v>1326</v>
      </c>
      <c r="CI184">
        <v>4230198</v>
      </c>
      <c r="CJ184" t="s">
        <v>346</v>
      </c>
      <c r="CK184">
        <v>0.01</v>
      </c>
      <c r="CL184" t="s">
        <v>62</v>
      </c>
      <c r="CM184" t="s">
        <v>451</v>
      </c>
      <c r="CN184">
        <v>5747632</v>
      </c>
      <c r="CO184" t="s">
        <v>346</v>
      </c>
      <c r="CP184">
        <v>0.01</v>
      </c>
      <c r="CQ184" t="s">
        <v>80</v>
      </c>
      <c r="CV184" t="s">
        <v>306</v>
      </c>
      <c r="DA184" t="s">
        <v>306</v>
      </c>
      <c r="DB184" t="s">
        <v>1452</v>
      </c>
      <c r="DC184">
        <v>4022450</v>
      </c>
      <c r="DD184" t="s">
        <v>363</v>
      </c>
      <c r="DE184">
        <v>0.02</v>
      </c>
      <c r="DF184" t="s">
        <v>53</v>
      </c>
      <c r="DK184" t="s">
        <v>306</v>
      </c>
      <c r="DL184" t="s">
        <v>1452</v>
      </c>
      <c r="DM184">
        <v>4022450</v>
      </c>
      <c r="DN184" t="s">
        <v>363</v>
      </c>
      <c r="DO184">
        <v>0.02</v>
      </c>
      <c r="DP184" t="s">
        <v>53</v>
      </c>
      <c r="DU184" t="s">
        <v>306</v>
      </c>
      <c r="DZ184" t="s">
        <v>306</v>
      </c>
      <c r="EA184" t="s">
        <v>1681</v>
      </c>
      <c r="EB184">
        <v>4252258</v>
      </c>
      <c r="EC184" t="s">
        <v>346</v>
      </c>
      <c r="ED184">
        <v>0.01</v>
      </c>
      <c r="EE184" t="s">
        <v>2189</v>
      </c>
      <c r="EF184" t="s">
        <v>1452</v>
      </c>
      <c r="EG184">
        <v>4022450</v>
      </c>
      <c r="EH184" t="s">
        <v>363</v>
      </c>
      <c r="EI184">
        <v>0.02</v>
      </c>
      <c r="EJ184" t="s">
        <v>53</v>
      </c>
      <c r="EO184" t="s">
        <v>306</v>
      </c>
      <c r="ET184" t="s">
        <v>306</v>
      </c>
      <c r="EY184" t="s">
        <v>306</v>
      </c>
      <c r="FD184" t="s">
        <v>306</v>
      </c>
      <c r="FI184" t="s">
        <v>306</v>
      </c>
      <c r="FN184" t="s">
        <v>306</v>
      </c>
      <c r="FS184" t="s">
        <v>306</v>
      </c>
      <c r="FX184" t="s">
        <v>306</v>
      </c>
      <c r="FY184" t="s">
        <v>1452</v>
      </c>
      <c r="FZ184">
        <v>4022450</v>
      </c>
      <c r="GA184" t="s">
        <v>363</v>
      </c>
      <c r="GB184">
        <v>0.02</v>
      </c>
      <c r="GC184" t="s">
        <v>53</v>
      </c>
      <c r="GH184" t="s">
        <v>306</v>
      </c>
      <c r="GM184" t="s">
        <v>306</v>
      </c>
      <c r="GR184" t="s">
        <v>306</v>
      </c>
      <c r="GS184" t="s">
        <v>843</v>
      </c>
      <c r="GT184">
        <v>4095386</v>
      </c>
      <c r="GU184" t="s">
        <v>364</v>
      </c>
      <c r="GV184">
        <v>0</v>
      </c>
      <c r="GW184" t="s">
        <v>53</v>
      </c>
      <c r="GX184" t="s">
        <v>1681</v>
      </c>
      <c r="GY184">
        <v>4252258</v>
      </c>
      <c r="GZ184" t="s">
        <v>346</v>
      </c>
      <c r="HA184">
        <v>0.01</v>
      </c>
      <c r="HB184" t="s">
        <v>2189</v>
      </c>
      <c r="HG184" t="s">
        <v>306</v>
      </c>
    </row>
    <row r="185" spans="5:215" x14ac:dyDescent="0.35">
      <c r="E185" t="s">
        <v>306</v>
      </c>
      <c r="F185" t="s">
        <v>570</v>
      </c>
      <c r="G185">
        <v>106302708</v>
      </c>
      <c r="H185" t="s">
        <v>346</v>
      </c>
      <c r="I185">
        <v>0</v>
      </c>
      <c r="J185" t="s">
        <v>320</v>
      </c>
      <c r="O185" t="s">
        <v>306</v>
      </c>
      <c r="T185" t="s">
        <v>306</v>
      </c>
      <c r="U185" t="s">
        <v>781</v>
      </c>
      <c r="V185">
        <v>7794310</v>
      </c>
      <c r="W185" t="s">
        <v>346</v>
      </c>
      <c r="X185">
        <v>0.01</v>
      </c>
      <c r="Y185" t="s">
        <v>313</v>
      </c>
      <c r="AD185" t="s">
        <v>306</v>
      </c>
      <c r="AE185" t="s">
        <v>1172</v>
      </c>
      <c r="AF185">
        <v>4118152</v>
      </c>
      <c r="AG185" t="s">
        <v>346</v>
      </c>
      <c r="AH185">
        <v>0</v>
      </c>
      <c r="AI185" t="s">
        <v>53</v>
      </c>
      <c r="AN185" t="s">
        <v>306</v>
      </c>
      <c r="AO185" t="s">
        <v>1327</v>
      </c>
      <c r="AP185">
        <v>19814121</v>
      </c>
      <c r="AQ185" t="s">
        <v>346</v>
      </c>
      <c r="AR185">
        <v>0</v>
      </c>
      <c r="AS185" t="s">
        <v>62</v>
      </c>
      <c r="AX185" t="s">
        <v>306</v>
      </c>
      <c r="BC185" t="s">
        <v>306</v>
      </c>
      <c r="BD185" t="s">
        <v>1263</v>
      </c>
      <c r="BE185">
        <v>5760616</v>
      </c>
      <c r="BF185" t="s">
        <v>346</v>
      </c>
      <c r="BG185">
        <v>0.02</v>
      </c>
      <c r="BH185" t="s">
        <v>62</v>
      </c>
      <c r="BI185" t="s">
        <v>1579</v>
      </c>
      <c r="BJ185">
        <v>6729616</v>
      </c>
      <c r="BK185" t="s">
        <v>346</v>
      </c>
      <c r="BL185">
        <v>0</v>
      </c>
      <c r="BM185" t="s">
        <v>317</v>
      </c>
      <c r="BN185" t="s">
        <v>423</v>
      </c>
      <c r="BO185">
        <v>4318240</v>
      </c>
      <c r="BP185" t="s">
        <v>346</v>
      </c>
      <c r="BQ185">
        <v>0</v>
      </c>
      <c r="BR185" t="s">
        <v>304</v>
      </c>
      <c r="BS185" t="s">
        <v>982</v>
      </c>
      <c r="BT185">
        <v>4138911</v>
      </c>
      <c r="BU185" t="s">
        <v>346</v>
      </c>
      <c r="BV185">
        <v>0.01</v>
      </c>
      <c r="BW185" t="s">
        <v>2186</v>
      </c>
      <c r="BX185" t="s">
        <v>781</v>
      </c>
      <c r="BY185">
        <v>7794310</v>
      </c>
      <c r="BZ185" t="s">
        <v>346</v>
      </c>
      <c r="CA185">
        <v>0.01</v>
      </c>
      <c r="CB185" t="s">
        <v>313</v>
      </c>
      <c r="CC185" t="s">
        <v>1200</v>
      </c>
      <c r="CD185">
        <v>4140083</v>
      </c>
      <c r="CE185" t="s">
        <v>346</v>
      </c>
      <c r="CF185">
        <v>0.01</v>
      </c>
      <c r="CG185" t="s">
        <v>2185</v>
      </c>
      <c r="CH185" t="s">
        <v>1327</v>
      </c>
      <c r="CI185">
        <v>19814121</v>
      </c>
      <c r="CJ185" t="s">
        <v>346</v>
      </c>
      <c r="CK185">
        <v>0</v>
      </c>
      <c r="CL185" t="s">
        <v>62</v>
      </c>
      <c r="CM185" t="s">
        <v>1986</v>
      </c>
      <c r="CN185">
        <v>7944630</v>
      </c>
      <c r="CO185" t="s">
        <v>346</v>
      </c>
      <c r="CP185">
        <v>0.01</v>
      </c>
      <c r="CQ185" t="s">
        <v>62</v>
      </c>
      <c r="CV185" t="s">
        <v>306</v>
      </c>
      <c r="DA185" t="s">
        <v>306</v>
      </c>
      <c r="DB185" t="s">
        <v>1263</v>
      </c>
      <c r="DC185">
        <v>5760616</v>
      </c>
      <c r="DD185" t="s">
        <v>346</v>
      </c>
      <c r="DE185">
        <v>0.02</v>
      </c>
      <c r="DF185" t="s">
        <v>62</v>
      </c>
      <c r="DK185" t="s">
        <v>306</v>
      </c>
      <c r="DL185" t="s">
        <v>1263</v>
      </c>
      <c r="DM185">
        <v>5760616</v>
      </c>
      <c r="DN185" t="s">
        <v>346</v>
      </c>
      <c r="DO185">
        <v>0.02</v>
      </c>
      <c r="DP185" t="s">
        <v>62</v>
      </c>
      <c r="DU185" t="s">
        <v>306</v>
      </c>
      <c r="DZ185" t="s">
        <v>306</v>
      </c>
      <c r="EA185" t="s">
        <v>1200</v>
      </c>
      <c r="EB185">
        <v>4140083</v>
      </c>
      <c r="EC185" t="s">
        <v>346</v>
      </c>
      <c r="ED185">
        <v>0.01</v>
      </c>
      <c r="EE185" t="s">
        <v>2185</v>
      </c>
      <c r="EF185" t="s">
        <v>1263</v>
      </c>
      <c r="EG185">
        <v>5760616</v>
      </c>
      <c r="EH185" t="s">
        <v>346</v>
      </c>
      <c r="EI185">
        <v>0.02</v>
      </c>
      <c r="EJ185" t="s">
        <v>62</v>
      </c>
      <c r="EO185" t="s">
        <v>306</v>
      </c>
      <c r="ET185" t="s">
        <v>306</v>
      </c>
      <c r="EY185" t="s">
        <v>306</v>
      </c>
      <c r="FD185" t="s">
        <v>306</v>
      </c>
      <c r="FI185" t="s">
        <v>306</v>
      </c>
      <c r="FN185" t="s">
        <v>306</v>
      </c>
      <c r="FS185" t="s">
        <v>306</v>
      </c>
      <c r="FX185" t="s">
        <v>306</v>
      </c>
      <c r="FY185" t="s">
        <v>1263</v>
      </c>
      <c r="FZ185">
        <v>5760616</v>
      </c>
      <c r="GA185" t="s">
        <v>346</v>
      </c>
      <c r="GB185">
        <v>0.02</v>
      </c>
      <c r="GC185" t="s">
        <v>62</v>
      </c>
      <c r="GH185" t="s">
        <v>306</v>
      </c>
      <c r="GM185" t="s">
        <v>306</v>
      </c>
      <c r="GR185" t="s">
        <v>306</v>
      </c>
      <c r="GS185" t="s">
        <v>423</v>
      </c>
      <c r="GT185">
        <v>4318240</v>
      </c>
      <c r="GU185" t="s">
        <v>346</v>
      </c>
      <c r="GV185">
        <v>0</v>
      </c>
      <c r="GW185" t="s">
        <v>304</v>
      </c>
      <c r="GX185" t="s">
        <v>1200</v>
      </c>
      <c r="GY185">
        <v>4140083</v>
      </c>
      <c r="GZ185" t="s">
        <v>346</v>
      </c>
      <c r="HA185">
        <v>0.01</v>
      </c>
      <c r="HB185" t="s">
        <v>2185</v>
      </c>
      <c r="HG185" t="s">
        <v>306</v>
      </c>
    </row>
    <row r="186" spans="5:215" x14ac:dyDescent="0.35">
      <c r="E186" t="s">
        <v>306</v>
      </c>
      <c r="F186" t="s">
        <v>571</v>
      </c>
      <c r="G186">
        <v>22792340</v>
      </c>
      <c r="H186" t="s">
        <v>346</v>
      </c>
      <c r="I186">
        <v>0</v>
      </c>
      <c r="J186" t="s">
        <v>53</v>
      </c>
      <c r="O186" t="s">
        <v>306</v>
      </c>
      <c r="T186" t="s">
        <v>306</v>
      </c>
      <c r="U186" t="s">
        <v>782</v>
      </c>
      <c r="V186">
        <v>4138745</v>
      </c>
      <c r="W186" t="s">
        <v>346</v>
      </c>
      <c r="X186">
        <v>0.01</v>
      </c>
      <c r="Y186" t="s">
        <v>2181</v>
      </c>
      <c r="AD186" t="s">
        <v>306</v>
      </c>
      <c r="AE186" t="s">
        <v>815</v>
      </c>
      <c r="AF186">
        <v>110287</v>
      </c>
      <c r="AG186" t="s">
        <v>346</v>
      </c>
      <c r="AH186">
        <v>0</v>
      </c>
      <c r="AI186" t="s">
        <v>80</v>
      </c>
      <c r="AN186" t="s">
        <v>306</v>
      </c>
      <c r="AO186" t="s">
        <v>1328</v>
      </c>
      <c r="AP186">
        <v>5807523</v>
      </c>
      <c r="AQ186" t="s">
        <v>346</v>
      </c>
      <c r="AR186">
        <v>0</v>
      </c>
      <c r="AS186" t="s">
        <v>62</v>
      </c>
      <c r="AX186" t="s">
        <v>306</v>
      </c>
      <c r="BC186" t="s">
        <v>306</v>
      </c>
      <c r="BD186" t="s">
        <v>451</v>
      </c>
      <c r="BE186">
        <v>5747632</v>
      </c>
      <c r="BF186" t="s">
        <v>346</v>
      </c>
      <c r="BG186">
        <v>0.02</v>
      </c>
      <c r="BH186" t="s">
        <v>80</v>
      </c>
      <c r="BI186" t="s">
        <v>1045</v>
      </c>
      <c r="BJ186">
        <v>5776820</v>
      </c>
      <c r="BK186" t="s">
        <v>346</v>
      </c>
      <c r="BL186">
        <v>0</v>
      </c>
      <c r="BM186" t="s">
        <v>2193</v>
      </c>
      <c r="BN186" t="s">
        <v>388</v>
      </c>
      <c r="BO186">
        <v>4057506</v>
      </c>
      <c r="BP186" t="s">
        <v>346</v>
      </c>
      <c r="BQ186">
        <v>0</v>
      </c>
      <c r="BR186" t="s">
        <v>53</v>
      </c>
      <c r="BS186" t="s">
        <v>489</v>
      </c>
      <c r="BT186">
        <v>4324456</v>
      </c>
      <c r="BU186" t="s">
        <v>346</v>
      </c>
      <c r="BV186">
        <v>0.01</v>
      </c>
      <c r="BW186" t="s">
        <v>2194</v>
      </c>
      <c r="BX186" t="s">
        <v>782</v>
      </c>
      <c r="BY186">
        <v>4138745</v>
      </c>
      <c r="BZ186" t="s">
        <v>346</v>
      </c>
      <c r="CA186">
        <v>0.01</v>
      </c>
      <c r="CB186" t="s">
        <v>2181</v>
      </c>
      <c r="CC186" t="s">
        <v>1682</v>
      </c>
      <c r="CD186">
        <v>4222570</v>
      </c>
      <c r="CE186" t="s">
        <v>346</v>
      </c>
      <c r="CF186">
        <v>0.01</v>
      </c>
      <c r="CG186" t="s">
        <v>2185</v>
      </c>
      <c r="CH186" t="s">
        <v>1328</v>
      </c>
      <c r="CI186">
        <v>5807523</v>
      </c>
      <c r="CJ186" t="s">
        <v>346</v>
      </c>
      <c r="CK186">
        <v>0</v>
      </c>
      <c r="CL186" t="s">
        <v>62</v>
      </c>
      <c r="CM186" t="s">
        <v>1291</v>
      </c>
      <c r="CN186">
        <v>5868733</v>
      </c>
      <c r="CO186" t="s">
        <v>346</v>
      </c>
      <c r="CP186">
        <v>0.01</v>
      </c>
      <c r="CQ186" t="s">
        <v>62</v>
      </c>
      <c r="CV186" t="s">
        <v>306</v>
      </c>
      <c r="DA186" t="s">
        <v>306</v>
      </c>
      <c r="DB186" t="s">
        <v>451</v>
      </c>
      <c r="DC186">
        <v>5747632</v>
      </c>
      <c r="DD186" t="s">
        <v>346</v>
      </c>
      <c r="DE186">
        <v>0.02</v>
      </c>
      <c r="DF186" t="s">
        <v>80</v>
      </c>
      <c r="DK186" t="s">
        <v>306</v>
      </c>
      <c r="DL186" t="s">
        <v>451</v>
      </c>
      <c r="DM186">
        <v>5747632</v>
      </c>
      <c r="DN186" t="s">
        <v>346</v>
      </c>
      <c r="DO186">
        <v>0.02</v>
      </c>
      <c r="DP186" t="s">
        <v>80</v>
      </c>
      <c r="DU186" t="s">
        <v>306</v>
      </c>
      <c r="DZ186" t="s">
        <v>306</v>
      </c>
      <c r="EA186" t="s">
        <v>1682</v>
      </c>
      <c r="EB186">
        <v>4222570</v>
      </c>
      <c r="EC186" t="s">
        <v>346</v>
      </c>
      <c r="ED186">
        <v>0.01</v>
      </c>
      <c r="EE186" t="s">
        <v>2185</v>
      </c>
      <c r="EF186" t="s">
        <v>451</v>
      </c>
      <c r="EG186">
        <v>5747632</v>
      </c>
      <c r="EH186" t="s">
        <v>346</v>
      </c>
      <c r="EI186">
        <v>0.02</v>
      </c>
      <c r="EJ186" t="s">
        <v>80</v>
      </c>
      <c r="EO186" t="s">
        <v>306</v>
      </c>
      <c r="ET186" t="s">
        <v>306</v>
      </c>
      <c r="EY186" t="s">
        <v>306</v>
      </c>
      <c r="FD186" t="s">
        <v>306</v>
      </c>
      <c r="FI186" t="s">
        <v>306</v>
      </c>
      <c r="FN186" t="s">
        <v>306</v>
      </c>
      <c r="FS186" t="s">
        <v>306</v>
      </c>
      <c r="FX186" t="s">
        <v>306</v>
      </c>
      <c r="FY186" t="s">
        <v>451</v>
      </c>
      <c r="FZ186">
        <v>5747632</v>
      </c>
      <c r="GA186" t="s">
        <v>346</v>
      </c>
      <c r="GB186">
        <v>0.02</v>
      </c>
      <c r="GC186" t="s">
        <v>80</v>
      </c>
      <c r="GH186" t="s">
        <v>306</v>
      </c>
      <c r="GM186" t="s">
        <v>306</v>
      </c>
      <c r="GR186" t="s">
        <v>306</v>
      </c>
      <c r="GS186" t="s">
        <v>388</v>
      </c>
      <c r="GT186">
        <v>4057506</v>
      </c>
      <c r="GU186" t="s">
        <v>346</v>
      </c>
      <c r="GV186">
        <v>0</v>
      </c>
      <c r="GW186" t="s">
        <v>53</v>
      </c>
      <c r="GX186" t="s">
        <v>1682</v>
      </c>
      <c r="GY186">
        <v>4222570</v>
      </c>
      <c r="GZ186" t="s">
        <v>346</v>
      </c>
      <c r="HA186">
        <v>0.01</v>
      </c>
      <c r="HB186" t="s">
        <v>2185</v>
      </c>
      <c r="HG186" t="s">
        <v>306</v>
      </c>
    </row>
    <row r="187" spans="5:215" x14ac:dyDescent="0.35">
      <c r="E187" t="s">
        <v>306</v>
      </c>
      <c r="F187" t="s">
        <v>572</v>
      </c>
      <c r="G187">
        <v>4294917</v>
      </c>
      <c r="H187" t="s">
        <v>346</v>
      </c>
      <c r="I187">
        <v>0</v>
      </c>
      <c r="J187" t="s">
        <v>320</v>
      </c>
      <c r="O187" t="s">
        <v>306</v>
      </c>
      <c r="T187" t="s">
        <v>306</v>
      </c>
      <c r="U187" t="s">
        <v>783</v>
      </c>
      <c r="V187" t="s">
        <v>300</v>
      </c>
      <c r="W187" t="s">
        <v>361</v>
      </c>
      <c r="X187">
        <v>0.01</v>
      </c>
      <c r="Y187" t="s">
        <v>50</v>
      </c>
      <c r="AD187" t="s">
        <v>306</v>
      </c>
      <c r="AE187" t="s">
        <v>859</v>
      </c>
      <c r="AF187">
        <v>4049161</v>
      </c>
      <c r="AG187" t="s">
        <v>346</v>
      </c>
      <c r="AH187">
        <v>0</v>
      </c>
      <c r="AI187" t="s">
        <v>53</v>
      </c>
      <c r="AN187" t="s">
        <v>306</v>
      </c>
      <c r="AO187" t="s">
        <v>1329</v>
      </c>
      <c r="AP187">
        <v>5804886</v>
      </c>
      <c r="AQ187" t="s">
        <v>346</v>
      </c>
      <c r="AR187">
        <v>0</v>
      </c>
      <c r="AS187" t="s">
        <v>62</v>
      </c>
      <c r="AX187" t="s">
        <v>306</v>
      </c>
      <c r="BC187" t="s">
        <v>306</v>
      </c>
      <c r="BD187" t="s">
        <v>388</v>
      </c>
      <c r="BE187">
        <v>4057506</v>
      </c>
      <c r="BF187" t="s">
        <v>346</v>
      </c>
      <c r="BG187">
        <v>0.02</v>
      </c>
      <c r="BH187" t="s">
        <v>53</v>
      </c>
      <c r="BI187" t="s">
        <v>537</v>
      </c>
      <c r="BJ187">
        <v>5834897</v>
      </c>
      <c r="BK187" t="s">
        <v>346</v>
      </c>
      <c r="BL187">
        <v>0</v>
      </c>
      <c r="BM187" t="s">
        <v>313</v>
      </c>
      <c r="BN187" t="s">
        <v>836</v>
      </c>
      <c r="BO187">
        <v>4396635</v>
      </c>
      <c r="BP187" t="s">
        <v>346</v>
      </c>
      <c r="BQ187">
        <v>0</v>
      </c>
      <c r="BR187" t="s">
        <v>50</v>
      </c>
      <c r="BS187" t="s">
        <v>467</v>
      </c>
      <c r="BT187">
        <v>7108293</v>
      </c>
      <c r="BU187" t="s">
        <v>369</v>
      </c>
      <c r="BV187">
        <v>0.01</v>
      </c>
      <c r="BW187" t="s">
        <v>313</v>
      </c>
      <c r="BX187" t="s">
        <v>783</v>
      </c>
      <c r="BY187" t="s">
        <v>300</v>
      </c>
      <c r="BZ187" t="s">
        <v>361</v>
      </c>
      <c r="CA187">
        <v>0.01</v>
      </c>
      <c r="CB187" t="s">
        <v>50</v>
      </c>
      <c r="CC187" t="s">
        <v>1683</v>
      </c>
      <c r="CD187">
        <v>4572787</v>
      </c>
      <c r="CE187" t="s">
        <v>364</v>
      </c>
      <c r="CF187">
        <v>0.01</v>
      </c>
      <c r="CG187" t="s">
        <v>53</v>
      </c>
      <c r="CH187" t="s">
        <v>1329</v>
      </c>
      <c r="CI187">
        <v>5804886</v>
      </c>
      <c r="CJ187" t="s">
        <v>346</v>
      </c>
      <c r="CK187">
        <v>0</v>
      </c>
      <c r="CL187" t="s">
        <v>62</v>
      </c>
      <c r="CM187" t="s">
        <v>1987</v>
      </c>
      <c r="CN187">
        <v>109355</v>
      </c>
      <c r="CO187" t="s">
        <v>366</v>
      </c>
      <c r="CP187">
        <v>0.01</v>
      </c>
      <c r="CQ187" t="s">
        <v>53</v>
      </c>
      <c r="CV187" t="s">
        <v>306</v>
      </c>
      <c r="DA187" t="s">
        <v>306</v>
      </c>
      <c r="DB187" t="s">
        <v>388</v>
      </c>
      <c r="DC187">
        <v>4057506</v>
      </c>
      <c r="DD187" t="s">
        <v>346</v>
      </c>
      <c r="DE187">
        <v>0.02</v>
      </c>
      <c r="DF187" t="s">
        <v>53</v>
      </c>
      <c r="DK187" t="s">
        <v>306</v>
      </c>
      <c r="DL187" t="s">
        <v>388</v>
      </c>
      <c r="DM187">
        <v>4057506</v>
      </c>
      <c r="DN187" t="s">
        <v>346</v>
      </c>
      <c r="DO187">
        <v>0.02</v>
      </c>
      <c r="DP187" t="s">
        <v>53</v>
      </c>
      <c r="DU187" t="s">
        <v>306</v>
      </c>
      <c r="DZ187" t="s">
        <v>306</v>
      </c>
      <c r="EA187" t="s">
        <v>1683</v>
      </c>
      <c r="EB187">
        <v>4572787</v>
      </c>
      <c r="EC187" t="s">
        <v>364</v>
      </c>
      <c r="ED187">
        <v>0.01</v>
      </c>
      <c r="EE187" t="s">
        <v>53</v>
      </c>
      <c r="EF187" t="s">
        <v>388</v>
      </c>
      <c r="EG187">
        <v>4057506</v>
      </c>
      <c r="EH187" t="s">
        <v>346</v>
      </c>
      <c r="EI187">
        <v>0.02</v>
      </c>
      <c r="EJ187" t="s">
        <v>53</v>
      </c>
      <c r="EO187" t="s">
        <v>306</v>
      </c>
      <c r="ET187" t="s">
        <v>306</v>
      </c>
      <c r="EY187" t="s">
        <v>306</v>
      </c>
      <c r="FD187" t="s">
        <v>306</v>
      </c>
      <c r="FI187" t="s">
        <v>306</v>
      </c>
      <c r="FN187" t="s">
        <v>306</v>
      </c>
      <c r="FS187" t="s">
        <v>306</v>
      </c>
      <c r="FX187" t="s">
        <v>306</v>
      </c>
      <c r="FY187" t="s">
        <v>388</v>
      </c>
      <c r="FZ187">
        <v>4057506</v>
      </c>
      <c r="GA187" t="s">
        <v>346</v>
      </c>
      <c r="GB187">
        <v>0.02</v>
      </c>
      <c r="GC187" t="s">
        <v>53</v>
      </c>
      <c r="GH187" t="s">
        <v>306</v>
      </c>
      <c r="GM187" t="s">
        <v>306</v>
      </c>
      <c r="GR187" t="s">
        <v>306</v>
      </c>
      <c r="GS187" t="s">
        <v>836</v>
      </c>
      <c r="GT187">
        <v>4396635</v>
      </c>
      <c r="GU187" t="s">
        <v>346</v>
      </c>
      <c r="GV187">
        <v>0</v>
      </c>
      <c r="GW187" t="s">
        <v>50</v>
      </c>
      <c r="GX187" t="s">
        <v>1683</v>
      </c>
      <c r="GY187">
        <v>4572787</v>
      </c>
      <c r="GZ187" t="s">
        <v>364</v>
      </c>
      <c r="HA187">
        <v>0.01</v>
      </c>
      <c r="HB187" t="s">
        <v>53</v>
      </c>
      <c r="HG187" t="s">
        <v>306</v>
      </c>
    </row>
    <row r="188" spans="5:215" x14ac:dyDescent="0.35">
      <c r="E188" t="s">
        <v>306</v>
      </c>
      <c r="F188" t="s">
        <v>573</v>
      </c>
      <c r="G188">
        <v>5809681</v>
      </c>
      <c r="H188" t="s">
        <v>346</v>
      </c>
      <c r="I188">
        <v>0</v>
      </c>
      <c r="J188" t="s">
        <v>2184</v>
      </c>
      <c r="O188" t="s">
        <v>306</v>
      </c>
      <c r="T188" t="s">
        <v>306</v>
      </c>
      <c r="U188" t="s">
        <v>784</v>
      </c>
      <c r="V188" t="s">
        <v>300</v>
      </c>
      <c r="W188" t="s">
        <v>361</v>
      </c>
      <c r="X188">
        <v>0.01</v>
      </c>
      <c r="Y188" t="s">
        <v>50</v>
      </c>
      <c r="AD188" t="s">
        <v>306</v>
      </c>
      <c r="AE188" t="s">
        <v>1173</v>
      </c>
      <c r="AF188">
        <v>4570672</v>
      </c>
      <c r="AG188" t="s">
        <v>346</v>
      </c>
      <c r="AH188">
        <v>0</v>
      </c>
      <c r="AI188" t="s">
        <v>2205</v>
      </c>
      <c r="AN188" t="s">
        <v>306</v>
      </c>
      <c r="AO188" t="s">
        <v>1330</v>
      </c>
      <c r="AP188">
        <v>19909326</v>
      </c>
      <c r="AQ188" t="s">
        <v>364</v>
      </c>
      <c r="AR188">
        <v>0</v>
      </c>
      <c r="AS188" t="s">
        <v>62</v>
      </c>
      <c r="AX188" t="s">
        <v>306</v>
      </c>
      <c r="BC188" t="s">
        <v>306</v>
      </c>
      <c r="BD188" t="s">
        <v>953</v>
      </c>
      <c r="BE188">
        <v>4039450</v>
      </c>
      <c r="BF188" t="s">
        <v>346</v>
      </c>
      <c r="BG188">
        <v>0.02</v>
      </c>
      <c r="BH188" t="s">
        <v>53</v>
      </c>
      <c r="BI188" t="s">
        <v>540</v>
      </c>
      <c r="BJ188">
        <v>4281265</v>
      </c>
      <c r="BK188" t="s">
        <v>346</v>
      </c>
      <c r="BL188">
        <v>0</v>
      </c>
      <c r="BM188" t="s">
        <v>80</v>
      </c>
      <c r="BN188" t="s">
        <v>472</v>
      </c>
      <c r="BO188">
        <v>4048215</v>
      </c>
      <c r="BP188" t="s">
        <v>346</v>
      </c>
      <c r="BQ188">
        <v>0</v>
      </c>
      <c r="BR188" t="s">
        <v>53</v>
      </c>
      <c r="BS188" t="s">
        <v>822</v>
      </c>
      <c r="BT188">
        <v>15947616</v>
      </c>
      <c r="BU188" t="s">
        <v>346</v>
      </c>
      <c r="BV188">
        <v>0.01</v>
      </c>
      <c r="BW188" t="s">
        <v>50</v>
      </c>
      <c r="BX188" t="s">
        <v>784</v>
      </c>
      <c r="BY188" t="s">
        <v>300</v>
      </c>
      <c r="BZ188" t="s">
        <v>361</v>
      </c>
      <c r="CA188">
        <v>0.01</v>
      </c>
      <c r="CB188" t="s">
        <v>50</v>
      </c>
      <c r="CC188" t="s">
        <v>515</v>
      </c>
      <c r="CD188">
        <v>109731</v>
      </c>
      <c r="CE188" t="s">
        <v>346</v>
      </c>
      <c r="CF188">
        <v>0.01</v>
      </c>
      <c r="CG188" t="s">
        <v>53</v>
      </c>
      <c r="CH188" t="s">
        <v>1330</v>
      </c>
      <c r="CI188">
        <v>19909326</v>
      </c>
      <c r="CJ188" t="s">
        <v>364</v>
      </c>
      <c r="CK188">
        <v>0</v>
      </c>
      <c r="CL188" t="s">
        <v>62</v>
      </c>
      <c r="CM188" t="s">
        <v>873</v>
      </c>
      <c r="CN188">
        <v>4873872</v>
      </c>
      <c r="CO188" t="s">
        <v>346</v>
      </c>
      <c r="CP188">
        <v>0.01</v>
      </c>
      <c r="CQ188" t="s">
        <v>2184</v>
      </c>
      <c r="CV188" t="s">
        <v>306</v>
      </c>
      <c r="DA188" t="s">
        <v>306</v>
      </c>
      <c r="DB188" t="s">
        <v>953</v>
      </c>
      <c r="DC188">
        <v>4039450</v>
      </c>
      <c r="DD188" t="s">
        <v>346</v>
      </c>
      <c r="DE188">
        <v>0.02</v>
      </c>
      <c r="DF188" t="s">
        <v>53</v>
      </c>
      <c r="DK188" t="s">
        <v>306</v>
      </c>
      <c r="DL188" t="s">
        <v>953</v>
      </c>
      <c r="DM188">
        <v>4039450</v>
      </c>
      <c r="DN188" t="s">
        <v>346</v>
      </c>
      <c r="DO188">
        <v>0.02</v>
      </c>
      <c r="DP188" t="s">
        <v>53</v>
      </c>
      <c r="DU188" t="s">
        <v>306</v>
      </c>
      <c r="DZ188" t="s">
        <v>306</v>
      </c>
      <c r="EA188" t="s">
        <v>515</v>
      </c>
      <c r="EB188">
        <v>109731</v>
      </c>
      <c r="EC188" t="s">
        <v>346</v>
      </c>
      <c r="ED188">
        <v>0.01</v>
      </c>
      <c r="EE188" t="s">
        <v>53</v>
      </c>
      <c r="EF188" t="s">
        <v>953</v>
      </c>
      <c r="EG188">
        <v>4039450</v>
      </c>
      <c r="EH188" t="s">
        <v>346</v>
      </c>
      <c r="EI188">
        <v>0.02</v>
      </c>
      <c r="EJ188" t="s">
        <v>53</v>
      </c>
      <c r="EO188" t="s">
        <v>306</v>
      </c>
      <c r="ET188" t="s">
        <v>306</v>
      </c>
      <c r="EY188" t="s">
        <v>306</v>
      </c>
      <c r="FD188" t="s">
        <v>306</v>
      </c>
      <c r="FI188" t="s">
        <v>306</v>
      </c>
      <c r="FN188" t="s">
        <v>306</v>
      </c>
      <c r="FS188" t="s">
        <v>306</v>
      </c>
      <c r="FX188" t="s">
        <v>306</v>
      </c>
      <c r="FY188" t="s">
        <v>953</v>
      </c>
      <c r="FZ188">
        <v>4039450</v>
      </c>
      <c r="GA188" t="s">
        <v>346</v>
      </c>
      <c r="GB188">
        <v>0.02</v>
      </c>
      <c r="GC188" t="s">
        <v>53</v>
      </c>
      <c r="GH188" t="s">
        <v>306</v>
      </c>
      <c r="GM188" t="s">
        <v>306</v>
      </c>
      <c r="GR188" t="s">
        <v>306</v>
      </c>
      <c r="GS188" t="s">
        <v>472</v>
      </c>
      <c r="GT188">
        <v>4048215</v>
      </c>
      <c r="GU188" t="s">
        <v>346</v>
      </c>
      <c r="GV188">
        <v>0</v>
      </c>
      <c r="GW188" t="s">
        <v>53</v>
      </c>
      <c r="GX188" t="s">
        <v>515</v>
      </c>
      <c r="GY188">
        <v>109731</v>
      </c>
      <c r="GZ188" t="s">
        <v>346</v>
      </c>
      <c r="HA188">
        <v>0.01</v>
      </c>
      <c r="HB188" t="s">
        <v>53</v>
      </c>
      <c r="HG188" t="s">
        <v>306</v>
      </c>
    </row>
    <row r="189" spans="5:215" x14ac:dyDescent="0.35">
      <c r="E189" t="s">
        <v>306</v>
      </c>
      <c r="F189" t="s">
        <v>574</v>
      </c>
      <c r="G189">
        <v>4049157</v>
      </c>
      <c r="H189" t="s">
        <v>346</v>
      </c>
      <c r="I189">
        <v>0</v>
      </c>
      <c r="J189" t="s">
        <v>53</v>
      </c>
      <c r="O189" t="s">
        <v>306</v>
      </c>
      <c r="T189" t="s">
        <v>306</v>
      </c>
      <c r="U189" t="s">
        <v>785</v>
      </c>
      <c r="V189">
        <v>4139950</v>
      </c>
      <c r="W189" t="s">
        <v>346</v>
      </c>
      <c r="X189">
        <v>0.01</v>
      </c>
      <c r="Y189" t="s">
        <v>50</v>
      </c>
      <c r="AD189" t="s">
        <v>306</v>
      </c>
      <c r="AE189" t="s">
        <v>1174</v>
      </c>
      <c r="AF189">
        <v>4147202</v>
      </c>
      <c r="AG189" t="s">
        <v>346</v>
      </c>
      <c r="AH189">
        <v>0</v>
      </c>
      <c r="AI189" t="s">
        <v>80</v>
      </c>
      <c r="AN189" t="s">
        <v>306</v>
      </c>
      <c r="AO189" t="s">
        <v>1331</v>
      </c>
      <c r="AP189">
        <v>5788099</v>
      </c>
      <c r="AQ189" t="s">
        <v>346</v>
      </c>
      <c r="AR189">
        <v>0</v>
      </c>
      <c r="AS189" t="s">
        <v>62</v>
      </c>
      <c r="AX189" t="s">
        <v>306</v>
      </c>
      <c r="BC189" t="s">
        <v>306</v>
      </c>
      <c r="BD189" t="s">
        <v>1453</v>
      </c>
      <c r="BE189">
        <v>4139052</v>
      </c>
      <c r="BF189" t="s">
        <v>346</v>
      </c>
      <c r="BG189">
        <v>0.02</v>
      </c>
      <c r="BH189" t="s">
        <v>313</v>
      </c>
      <c r="BI189" t="s">
        <v>550</v>
      </c>
      <c r="BJ189">
        <v>4138393</v>
      </c>
      <c r="BK189" t="s">
        <v>346</v>
      </c>
      <c r="BL189">
        <v>0</v>
      </c>
      <c r="BM189" t="s">
        <v>2184</v>
      </c>
      <c r="BN189" t="s">
        <v>851</v>
      </c>
      <c r="BO189">
        <v>4405395</v>
      </c>
      <c r="BP189" t="s">
        <v>346</v>
      </c>
      <c r="BQ189">
        <v>0</v>
      </c>
      <c r="BR189" t="s">
        <v>313</v>
      </c>
      <c r="BS189" t="s">
        <v>759</v>
      </c>
      <c r="BT189">
        <v>4549477</v>
      </c>
      <c r="BU189" t="s">
        <v>346</v>
      </c>
      <c r="BV189">
        <v>0.01</v>
      </c>
      <c r="BW189" t="s">
        <v>326</v>
      </c>
      <c r="BX189" t="s">
        <v>785</v>
      </c>
      <c r="BY189">
        <v>4139950</v>
      </c>
      <c r="BZ189" t="s">
        <v>346</v>
      </c>
      <c r="CA189">
        <v>0.01</v>
      </c>
      <c r="CB189" t="s">
        <v>50</v>
      </c>
      <c r="CC189" t="s">
        <v>547</v>
      </c>
      <c r="CD189">
        <v>4005523</v>
      </c>
      <c r="CE189" t="s">
        <v>346</v>
      </c>
      <c r="CF189">
        <v>0.01</v>
      </c>
      <c r="CG189" t="s">
        <v>80</v>
      </c>
      <c r="CH189" t="s">
        <v>1331</v>
      </c>
      <c r="CI189">
        <v>5788099</v>
      </c>
      <c r="CJ189" t="s">
        <v>346</v>
      </c>
      <c r="CK189">
        <v>0</v>
      </c>
      <c r="CL189" t="s">
        <v>62</v>
      </c>
      <c r="CM189" t="s">
        <v>1750</v>
      </c>
      <c r="CN189">
        <v>4037127</v>
      </c>
      <c r="CO189" t="s">
        <v>346</v>
      </c>
      <c r="CP189">
        <v>0.01</v>
      </c>
      <c r="CQ189" t="s">
        <v>53</v>
      </c>
      <c r="CV189" t="s">
        <v>306</v>
      </c>
      <c r="DA189" t="s">
        <v>306</v>
      </c>
      <c r="DB189" t="s">
        <v>1453</v>
      </c>
      <c r="DC189">
        <v>4139052</v>
      </c>
      <c r="DD189" t="s">
        <v>346</v>
      </c>
      <c r="DE189">
        <v>0.02</v>
      </c>
      <c r="DF189" t="s">
        <v>313</v>
      </c>
      <c r="DK189" t="s">
        <v>306</v>
      </c>
      <c r="DL189" t="s">
        <v>1453</v>
      </c>
      <c r="DM189">
        <v>4139052</v>
      </c>
      <c r="DN189" t="s">
        <v>346</v>
      </c>
      <c r="DO189">
        <v>0.02</v>
      </c>
      <c r="DP189" t="s">
        <v>313</v>
      </c>
      <c r="DU189" t="s">
        <v>306</v>
      </c>
      <c r="DZ189" t="s">
        <v>306</v>
      </c>
      <c r="EA189" t="s">
        <v>547</v>
      </c>
      <c r="EB189">
        <v>4005523</v>
      </c>
      <c r="EC189" t="s">
        <v>346</v>
      </c>
      <c r="ED189">
        <v>0.01</v>
      </c>
      <c r="EE189" t="s">
        <v>80</v>
      </c>
      <c r="EF189" t="s">
        <v>1453</v>
      </c>
      <c r="EG189">
        <v>4139052</v>
      </c>
      <c r="EH189" t="s">
        <v>346</v>
      </c>
      <c r="EI189">
        <v>0.02</v>
      </c>
      <c r="EJ189" t="s">
        <v>313</v>
      </c>
      <c r="EO189" t="s">
        <v>306</v>
      </c>
      <c r="ET189" t="s">
        <v>306</v>
      </c>
      <c r="EY189" t="s">
        <v>306</v>
      </c>
      <c r="FD189" t="s">
        <v>306</v>
      </c>
      <c r="FI189" t="s">
        <v>306</v>
      </c>
      <c r="FN189" t="s">
        <v>306</v>
      </c>
      <c r="FS189" t="s">
        <v>306</v>
      </c>
      <c r="FX189" t="s">
        <v>306</v>
      </c>
      <c r="FY189" t="s">
        <v>1453</v>
      </c>
      <c r="FZ189">
        <v>4139052</v>
      </c>
      <c r="GA189" t="s">
        <v>346</v>
      </c>
      <c r="GB189">
        <v>0.02</v>
      </c>
      <c r="GC189" t="s">
        <v>313</v>
      </c>
      <c r="GH189" t="s">
        <v>306</v>
      </c>
      <c r="GM189" t="s">
        <v>306</v>
      </c>
      <c r="GR189" t="s">
        <v>306</v>
      </c>
      <c r="GS189" t="s">
        <v>851</v>
      </c>
      <c r="GT189">
        <v>4405395</v>
      </c>
      <c r="GU189" t="s">
        <v>346</v>
      </c>
      <c r="GV189">
        <v>0</v>
      </c>
      <c r="GW189" t="s">
        <v>313</v>
      </c>
      <c r="GX189" t="s">
        <v>547</v>
      </c>
      <c r="GY189">
        <v>4005523</v>
      </c>
      <c r="GZ189" t="s">
        <v>346</v>
      </c>
      <c r="HA189">
        <v>0.01</v>
      </c>
      <c r="HB189" t="s">
        <v>80</v>
      </c>
      <c r="HG189" t="s">
        <v>306</v>
      </c>
    </row>
    <row r="190" spans="5:215" x14ac:dyDescent="0.35">
      <c r="E190" t="s">
        <v>306</v>
      </c>
      <c r="F190" t="s">
        <v>575</v>
      </c>
      <c r="G190">
        <v>4575993</v>
      </c>
      <c r="H190" t="s">
        <v>346</v>
      </c>
      <c r="I190">
        <v>0</v>
      </c>
      <c r="J190" t="s">
        <v>80</v>
      </c>
      <c r="O190" t="s">
        <v>306</v>
      </c>
      <c r="T190" t="s">
        <v>306</v>
      </c>
      <c r="U190" t="s">
        <v>444</v>
      </c>
      <c r="V190">
        <v>109988</v>
      </c>
      <c r="W190" t="s">
        <v>346</v>
      </c>
      <c r="X190">
        <v>0.01</v>
      </c>
      <c r="Y190" t="s">
        <v>53</v>
      </c>
      <c r="AD190" t="s">
        <v>306</v>
      </c>
      <c r="AE190" t="s">
        <v>1175</v>
      </c>
      <c r="AF190">
        <v>4138457</v>
      </c>
      <c r="AG190" t="s">
        <v>346</v>
      </c>
      <c r="AH190">
        <v>0</v>
      </c>
      <c r="AI190" t="s">
        <v>2185</v>
      </c>
      <c r="AN190" t="s">
        <v>306</v>
      </c>
      <c r="AO190" t="s">
        <v>1332</v>
      </c>
      <c r="AP190">
        <v>4949613</v>
      </c>
      <c r="AQ190" t="s">
        <v>346</v>
      </c>
      <c r="AR190">
        <v>0</v>
      </c>
      <c r="AS190" t="s">
        <v>62</v>
      </c>
      <c r="AX190" t="s">
        <v>306</v>
      </c>
      <c r="BC190" t="s">
        <v>306</v>
      </c>
      <c r="BD190" t="s">
        <v>1265</v>
      </c>
      <c r="BE190">
        <v>4118993</v>
      </c>
      <c r="BF190" t="s">
        <v>346</v>
      </c>
      <c r="BG190">
        <v>0.02</v>
      </c>
      <c r="BH190" t="s">
        <v>53</v>
      </c>
      <c r="BI190" t="s">
        <v>1580</v>
      </c>
      <c r="BJ190">
        <v>4199123</v>
      </c>
      <c r="BK190" t="s">
        <v>346</v>
      </c>
      <c r="BL190">
        <v>0</v>
      </c>
      <c r="BM190" t="s">
        <v>2185</v>
      </c>
      <c r="BN190" t="s">
        <v>461</v>
      </c>
      <c r="BO190">
        <v>4137912</v>
      </c>
      <c r="BP190" t="s">
        <v>346</v>
      </c>
      <c r="BQ190">
        <v>0</v>
      </c>
      <c r="BR190" t="s">
        <v>2185</v>
      </c>
      <c r="BS190" t="s">
        <v>777</v>
      </c>
      <c r="BT190">
        <v>107988050</v>
      </c>
      <c r="BU190" t="s">
        <v>346</v>
      </c>
      <c r="BV190">
        <v>0.01</v>
      </c>
      <c r="BW190" t="s">
        <v>50</v>
      </c>
      <c r="BX190" t="s">
        <v>444</v>
      </c>
      <c r="BY190">
        <v>109988</v>
      </c>
      <c r="BZ190" t="s">
        <v>346</v>
      </c>
      <c r="CA190">
        <v>0.01</v>
      </c>
      <c r="CB190" t="s">
        <v>53</v>
      </c>
      <c r="CC190" t="s">
        <v>460</v>
      </c>
      <c r="CD190">
        <v>4337989</v>
      </c>
      <c r="CE190" t="s">
        <v>346</v>
      </c>
      <c r="CF190">
        <v>0.01</v>
      </c>
      <c r="CG190" t="s">
        <v>53</v>
      </c>
      <c r="CH190" t="s">
        <v>1332</v>
      </c>
      <c r="CI190">
        <v>4949613</v>
      </c>
      <c r="CJ190" t="s">
        <v>346</v>
      </c>
      <c r="CK190">
        <v>0</v>
      </c>
      <c r="CL190" t="s">
        <v>62</v>
      </c>
      <c r="CM190" t="s">
        <v>1185</v>
      </c>
      <c r="CN190">
        <v>110616</v>
      </c>
      <c r="CO190" t="s">
        <v>346</v>
      </c>
      <c r="CP190">
        <v>0.01</v>
      </c>
      <c r="CQ190" t="s">
        <v>313</v>
      </c>
      <c r="CV190" t="s">
        <v>306</v>
      </c>
      <c r="DA190" t="s">
        <v>306</v>
      </c>
      <c r="DB190" t="s">
        <v>1265</v>
      </c>
      <c r="DC190">
        <v>4118993</v>
      </c>
      <c r="DD190" t="s">
        <v>346</v>
      </c>
      <c r="DE190">
        <v>0.02</v>
      </c>
      <c r="DF190" t="s">
        <v>53</v>
      </c>
      <c r="DK190" t="s">
        <v>306</v>
      </c>
      <c r="DL190" t="s">
        <v>1265</v>
      </c>
      <c r="DM190">
        <v>4118993</v>
      </c>
      <c r="DN190" t="s">
        <v>346</v>
      </c>
      <c r="DO190">
        <v>0.02</v>
      </c>
      <c r="DP190" t="s">
        <v>53</v>
      </c>
      <c r="DU190" t="s">
        <v>306</v>
      </c>
      <c r="DZ190" t="s">
        <v>306</v>
      </c>
      <c r="EA190" t="s">
        <v>460</v>
      </c>
      <c r="EB190">
        <v>4337989</v>
      </c>
      <c r="EC190" t="s">
        <v>346</v>
      </c>
      <c r="ED190">
        <v>0.01</v>
      </c>
      <c r="EE190" t="s">
        <v>53</v>
      </c>
      <c r="EF190" t="s">
        <v>1265</v>
      </c>
      <c r="EG190">
        <v>4118993</v>
      </c>
      <c r="EH190" t="s">
        <v>346</v>
      </c>
      <c r="EI190">
        <v>0.02</v>
      </c>
      <c r="EJ190" t="s">
        <v>53</v>
      </c>
      <c r="EO190" t="s">
        <v>306</v>
      </c>
      <c r="ET190" t="s">
        <v>306</v>
      </c>
      <c r="EY190" t="s">
        <v>306</v>
      </c>
      <c r="FD190" t="s">
        <v>306</v>
      </c>
      <c r="FI190" t="s">
        <v>306</v>
      </c>
      <c r="FN190" t="s">
        <v>306</v>
      </c>
      <c r="FS190" t="s">
        <v>306</v>
      </c>
      <c r="FX190" t="s">
        <v>306</v>
      </c>
      <c r="FY190" t="s">
        <v>1265</v>
      </c>
      <c r="FZ190">
        <v>4118993</v>
      </c>
      <c r="GA190" t="s">
        <v>346</v>
      </c>
      <c r="GB190">
        <v>0.02</v>
      </c>
      <c r="GC190" t="s">
        <v>53</v>
      </c>
      <c r="GH190" t="s">
        <v>306</v>
      </c>
      <c r="GM190" t="s">
        <v>306</v>
      </c>
      <c r="GR190" t="s">
        <v>306</v>
      </c>
      <c r="GS190" t="s">
        <v>461</v>
      </c>
      <c r="GT190">
        <v>4137912</v>
      </c>
      <c r="GU190" t="s">
        <v>346</v>
      </c>
      <c r="GV190">
        <v>0</v>
      </c>
      <c r="GW190" t="s">
        <v>2185</v>
      </c>
      <c r="GX190" t="s">
        <v>460</v>
      </c>
      <c r="GY190">
        <v>4337989</v>
      </c>
      <c r="GZ190" t="s">
        <v>346</v>
      </c>
      <c r="HA190">
        <v>0.01</v>
      </c>
      <c r="HB190" t="s">
        <v>53</v>
      </c>
      <c r="HG190" t="s">
        <v>306</v>
      </c>
    </row>
    <row r="191" spans="5:215" x14ac:dyDescent="0.35">
      <c r="E191" t="s">
        <v>306</v>
      </c>
      <c r="F191" t="s">
        <v>576</v>
      </c>
      <c r="G191">
        <v>4672091</v>
      </c>
      <c r="H191" t="s">
        <v>300</v>
      </c>
      <c r="I191">
        <v>0</v>
      </c>
      <c r="J191" t="s">
        <v>62</v>
      </c>
      <c r="O191" t="s">
        <v>306</v>
      </c>
      <c r="T191" t="s">
        <v>306</v>
      </c>
      <c r="U191" t="s">
        <v>442</v>
      </c>
      <c r="V191">
        <v>4117611</v>
      </c>
      <c r="W191" t="s">
        <v>346</v>
      </c>
      <c r="X191">
        <v>0.01</v>
      </c>
      <c r="Y191" t="s">
        <v>53</v>
      </c>
      <c r="AD191" t="s">
        <v>306</v>
      </c>
      <c r="AE191" t="s">
        <v>1176</v>
      </c>
      <c r="AF191">
        <v>27786385</v>
      </c>
      <c r="AG191" t="s">
        <v>346</v>
      </c>
      <c r="AH191">
        <v>0</v>
      </c>
      <c r="AI191" t="s">
        <v>2185</v>
      </c>
      <c r="AN191" t="s">
        <v>306</v>
      </c>
      <c r="AO191" t="s">
        <v>1333</v>
      </c>
      <c r="AP191">
        <v>5871860</v>
      </c>
      <c r="AQ191" t="s">
        <v>346</v>
      </c>
      <c r="AR191">
        <v>0</v>
      </c>
      <c r="AS191" t="s">
        <v>62</v>
      </c>
      <c r="AX191" t="s">
        <v>306</v>
      </c>
      <c r="BC191" t="s">
        <v>306</v>
      </c>
      <c r="BD191" t="s">
        <v>1454</v>
      </c>
      <c r="BE191">
        <v>6708326</v>
      </c>
      <c r="BF191" t="s">
        <v>370</v>
      </c>
      <c r="BG191">
        <v>0.02</v>
      </c>
      <c r="BH191" t="s">
        <v>53</v>
      </c>
      <c r="BI191" t="s">
        <v>462</v>
      </c>
      <c r="BJ191">
        <v>109872</v>
      </c>
      <c r="BK191" t="s">
        <v>346</v>
      </c>
      <c r="BL191">
        <v>0</v>
      </c>
      <c r="BM191" t="s">
        <v>53</v>
      </c>
      <c r="BN191" t="s">
        <v>533</v>
      </c>
      <c r="BO191">
        <v>4377155</v>
      </c>
      <c r="BP191" t="s">
        <v>346</v>
      </c>
      <c r="BQ191">
        <v>0</v>
      </c>
      <c r="BR191" t="s">
        <v>2192</v>
      </c>
      <c r="BS191" t="s">
        <v>983</v>
      </c>
      <c r="BT191">
        <v>4119768</v>
      </c>
      <c r="BU191" t="s">
        <v>346</v>
      </c>
      <c r="BV191">
        <v>0.01</v>
      </c>
      <c r="BW191" t="s">
        <v>53</v>
      </c>
      <c r="BX191" t="s">
        <v>442</v>
      </c>
      <c r="BY191">
        <v>4117611</v>
      </c>
      <c r="BZ191" t="s">
        <v>346</v>
      </c>
      <c r="CA191">
        <v>0.01</v>
      </c>
      <c r="CB191" t="s">
        <v>53</v>
      </c>
      <c r="CC191" t="s">
        <v>552</v>
      </c>
      <c r="CD191">
        <v>4026973</v>
      </c>
      <c r="CE191" t="s">
        <v>346</v>
      </c>
      <c r="CF191">
        <v>0.01</v>
      </c>
      <c r="CG191" t="s">
        <v>313</v>
      </c>
      <c r="CH191" t="s">
        <v>1333</v>
      </c>
      <c r="CI191">
        <v>5871860</v>
      </c>
      <c r="CJ191" t="s">
        <v>346</v>
      </c>
      <c r="CK191">
        <v>0</v>
      </c>
      <c r="CL191" t="s">
        <v>62</v>
      </c>
      <c r="CM191" t="s">
        <v>1901</v>
      </c>
      <c r="CN191">
        <v>4283610</v>
      </c>
      <c r="CO191" t="s">
        <v>346</v>
      </c>
      <c r="CP191">
        <v>0.01</v>
      </c>
      <c r="CQ191" t="s">
        <v>53</v>
      </c>
      <c r="CV191" t="s">
        <v>306</v>
      </c>
      <c r="DA191" t="s">
        <v>306</v>
      </c>
      <c r="DB191" t="s">
        <v>1454</v>
      </c>
      <c r="DC191">
        <v>6708326</v>
      </c>
      <c r="DD191" t="s">
        <v>370</v>
      </c>
      <c r="DE191">
        <v>0.02</v>
      </c>
      <c r="DF191" t="s">
        <v>53</v>
      </c>
      <c r="DK191" t="s">
        <v>306</v>
      </c>
      <c r="DL191" t="s">
        <v>1454</v>
      </c>
      <c r="DM191">
        <v>6708326</v>
      </c>
      <c r="DN191" t="s">
        <v>370</v>
      </c>
      <c r="DO191">
        <v>0.02</v>
      </c>
      <c r="DP191" t="s">
        <v>53</v>
      </c>
      <c r="DU191" t="s">
        <v>306</v>
      </c>
      <c r="DZ191" t="s">
        <v>306</v>
      </c>
      <c r="EA191" t="s">
        <v>552</v>
      </c>
      <c r="EB191">
        <v>4026973</v>
      </c>
      <c r="EC191" t="s">
        <v>346</v>
      </c>
      <c r="ED191">
        <v>0.01</v>
      </c>
      <c r="EE191" t="s">
        <v>313</v>
      </c>
      <c r="EF191" t="s">
        <v>1454</v>
      </c>
      <c r="EG191">
        <v>6708326</v>
      </c>
      <c r="EH191" t="s">
        <v>370</v>
      </c>
      <c r="EI191">
        <v>0.02</v>
      </c>
      <c r="EJ191" t="s">
        <v>53</v>
      </c>
      <c r="EO191" t="s">
        <v>306</v>
      </c>
      <c r="ET191" t="s">
        <v>306</v>
      </c>
      <c r="EY191" t="s">
        <v>306</v>
      </c>
      <c r="FD191" t="s">
        <v>306</v>
      </c>
      <c r="FI191" t="s">
        <v>306</v>
      </c>
      <c r="FN191" t="s">
        <v>306</v>
      </c>
      <c r="FS191" t="s">
        <v>306</v>
      </c>
      <c r="FX191" t="s">
        <v>306</v>
      </c>
      <c r="FY191" t="s">
        <v>1454</v>
      </c>
      <c r="FZ191">
        <v>6708326</v>
      </c>
      <c r="GA191" t="s">
        <v>370</v>
      </c>
      <c r="GB191">
        <v>0.02</v>
      </c>
      <c r="GC191" t="s">
        <v>53</v>
      </c>
      <c r="GH191" t="s">
        <v>306</v>
      </c>
      <c r="GM191" t="s">
        <v>306</v>
      </c>
      <c r="GR191" t="s">
        <v>306</v>
      </c>
      <c r="GS191" t="s">
        <v>533</v>
      </c>
      <c r="GT191">
        <v>4377155</v>
      </c>
      <c r="GU191" t="s">
        <v>346</v>
      </c>
      <c r="GV191">
        <v>0</v>
      </c>
      <c r="GW191" t="s">
        <v>2192</v>
      </c>
      <c r="GX191" t="s">
        <v>552</v>
      </c>
      <c r="GY191">
        <v>4026973</v>
      </c>
      <c r="GZ191" t="s">
        <v>346</v>
      </c>
      <c r="HA191">
        <v>0.01</v>
      </c>
      <c r="HB191" t="s">
        <v>313</v>
      </c>
      <c r="HG191" t="s">
        <v>306</v>
      </c>
    </row>
    <row r="192" spans="5:215" x14ac:dyDescent="0.35">
      <c r="E192" t="s">
        <v>306</v>
      </c>
      <c r="F192" t="s">
        <v>577</v>
      </c>
      <c r="G192">
        <v>4026915</v>
      </c>
      <c r="H192" t="s">
        <v>346</v>
      </c>
      <c r="I192">
        <v>0</v>
      </c>
      <c r="J192" t="s">
        <v>53</v>
      </c>
      <c r="O192" t="s">
        <v>306</v>
      </c>
      <c r="T192" t="s">
        <v>306</v>
      </c>
      <c r="U192" t="s">
        <v>786</v>
      </c>
      <c r="V192">
        <v>4954984</v>
      </c>
      <c r="W192" t="s">
        <v>346</v>
      </c>
      <c r="X192">
        <v>0.01</v>
      </c>
      <c r="Y192" t="s">
        <v>50</v>
      </c>
      <c r="AD192" t="s">
        <v>306</v>
      </c>
      <c r="AE192" t="s">
        <v>1177</v>
      </c>
      <c r="AF192">
        <v>13006872</v>
      </c>
      <c r="AG192" t="s">
        <v>364</v>
      </c>
      <c r="AH192">
        <v>0</v>
      </c>
      <c r="AI192" t="s">
        <v>53</v>
      </c>
      <c r="AN192" t="s">
        <v>306</v>
      </c>
      <c r="AO192" t="s">
        <v>509</v>
      </c>
      <c r="AP192">
        <v>4226520</v>
      </c>
      <c r="AQ192" t="s">
        <v>346</v>
      </c>
      <c r="AR192">
        <v>0</v>
      </c>
      <c r="AS192" t="s">
        <v>80</v>
      </c>
      <c r="AX192" t="s">
        <v>306</v>
      </c>
      <c r="BC192" t="s">
        <v>306</v>
      </c>
      <c r="BD192" t="s">
        <v>1261</v>
      </c>
      <c r="BE192">
        <v>4139896</v>
      </c>
      <c r="BF192" t="s">
        <v>346</v>
      </c>
      <c r="BG192">
        <v>0.02</v>
      </c>
      <c r="BH192" t="s">
        <v>62</v>
      </c>
      <c r="BI192" t="s">
        <v>500</v>
      </c>
      <c r="BJ192">
        <v>4048185</v>
      </c>
      <c r="BK192" t="s">
        <v>346</v>
      </c>
      <c r="BL192">
        <v>0</v>
      </c>
      <c r="BM192" t="s">
        <v>53</v>
      </c>
      <c r="BN192" t="s">
        <v>419</v>
      </c>
      <c r="BO192">
        <v>4338202</v>
      </c>
      <c r="BP192" t="s">
        <v>346</v>
      </c>
      <c r="BQ192">
        <v>0</v>
      </c>
      <c r="BR192" t="s">
        <v>53</v>
      </c>
      <c r="BS192" t="s">
        <v>772</v>
      </c>
      <c r="BT192">
        <v>4137684</v>
      </c>
      <c r="BU192" t="s">
        <v>300</v>
      </c>
      <c r="BV192">
        <v>0.01</v>
      </c>
      <c r="BW192" t="s">
        <v>50</v>
      </c>
      <c r="BX192" t="s">
        <v>786</v>
      </c>
      <c r="BY192">
        <v>4954984</v>
      </c>
      <c r="BZ192" t="s">
        <v>346</v>
      </c>
      <c r="CA192">
        <v>0.01</v>
      </c>
      <c r="CB192" t="s">
        <v>50</v>
      </c>
      <c r="CC192" t="s">
        <v>1684</v>
      </c>
      <c r="CD192">
        <v>5838281</v>
      </c>
      <c r="CE192" t="s">
        <v>364</v>
      </c>
      <c r="CF192">
        <v>0.01</v>
      </c>
      <c r="CG192" t="s">
        <v>313</v>
      </c>
      <c r="CH192" t="s">
        <v>509</v>
      </c>
      <c r="CI192">
        <v>4226520</v>
      </c>
      <c r="CJ192" t="s">
        <v>346</v>
      </c>
      <c r="CK192">
        <v>0</v>
      </c>
      <c r="CL192" t="s">
        <v>80</v>
      </c>
      <c r="CM192" t="s">
        <v>1988</v>
      </c>
      <c r="CN192">
        <v>4227089</v>
      </c>
      <c r="CO192" t="s">
        <v>346</v>
      </c>
      <c r="CP192">
        <v>0.01</v>
      </c>
      <c r="CQ192" t="s">
        <v>320</v>
      </c>
      <c r="CV192" t="s">
        <v>306</v>
      </c>
      <c r="DA192" t="s">
        <v>306</v>
      </c>
      <c r="DB192" t="s">
        <v>1261</v>
      </c>
      <c r="DC192">
        <v>4139896</v>
      </c>
      <c r="DD192" t="s">
        <v>346</v>
      </c>
      <c r="DE192">
        <v>0.02</v>
      </c>
      <c r="DF192" t="s">
        <v>62</v>
      </c>
      <c r="DK192" t="s">
        <v>306</v>
      </c>
      <c r="DL192" t="s">
        <v>1261</v>
      </c>
      <c r="DM192">
        <v>4139896</v>
      </c>
      <c r="DN192" t="s">
        <v>346</v>
      </c>
      <c r="DO192">
        <v>0.02</v>
      </c>
      <c r="DP192" t="s">
        <v>62</v>
      </c>
      <c r="DU192" t="s">
        <v>306</v>
      </c>
      <c r="DZ192" t="s">
        <v>306</v>
      </c>
      <c r="EA192" t="s">
        <v>1684</v>
      </c>
      <c r="EB192">
        <v>5838281</v>
      </c>
      <c r="EC192" t="s">
        <v>364</v>
      </c>
      <c r="ED192">
        <v>0.01</v>
      </c>
      <c r="EE192" t="s">
        <v>313</v>
      </c>
      <c r="EF192" t="s">
        <v>1261</v>
      </c>
      <c r="EG192">
        <v>4139896</v>
      </c>
      <c r="EH192" t="s">
        <v>346</v>
      </c>
      <c r="EI192">
        <v>0.02</v>
      </c>
      <c r="EJ192" t="s">
        <v>62</v>
      </c>
      <c r="EO192" t="s">
        <v>306</v>
      </c>
      <c r="ET192" t="s">
        <v>306</v>
      </c>
      <c r="EY192" t="s">
        <v>306</v>
      </c>
      <c r="FD192" t="s">
        <v>306</v>
      </c>
      <c r="FI192" t="s">
        <v>306</v>
      </c>
      <c r="FN192" t="s">
        <v>306</v>
      </c>
      <c r="FS192" t="s">
        <v>306</v>
      </c>
      <c r="FX192" t="s">
        <v>306</v>
      </c>
      <c r="FY192" t="s">
        <v>1261</v>
      </c>
      <c r="FZ192">
        <v>4139896</v>
      </c>
      <c r="GA192" t="s">
        <v>346</v>
      </c>
      <c r="GB192">
        <v>0.02</v>
      </c>
      <c r="GC192" t="s">
        <v>62</v>
      </c>
      <c r="GH192" t="s">
        <v>306</v>
      </c>
      <c r="GM192" t="s">
        <v>306</v>
      </c>
      <c r="GR192" t="s">
        <v>306</v>
      </c>
      <c r="GS192" t="s">
        <v>419</v>
      </c>
      <c r="GT192">
        <v>4338202</v>
      </c>
      <c r="GU192" t="s">
        <v>346</v>
      </c>
      <c r="GV192">
        <v>0</v>
      </c>
      <c r="GW192" t="s">
        <v>53</v>
      </c>
      <c r="GX192" t="s">
        <v>1684</v>
      </c>
      <c r="GY192">
        <v>5838281</v>
      </c>
      <c r="GZ192" t="s">
        <v>364</v>
      </c>
      <c r="HA192">
        <v>0.01</v>
      </c>
      <c r="HB192" t="s">
        <v>313</v>
      </c>
      <c r="HG192" t="s">
        <v>306</v>
      </c>
    </row>
    <row r="193" spans="5:215" x14ac:dyDescent="0.35">
      <c r="E193" t="s">
        <v>306</v>
      </c>
      <c r="F193" t="s">
        <v>578</v>
      </c>
      <c r="G193">
        <v>5793585</v>
      </c>
      <c r="H193" t="s">
        <v>346</v>
      </c>
      <c r="I193">
        <v>0</v>
      </c>
      <c r="J193" t="s">
        <v>323</v>
      </c>
      <c r="O193" t="s">
        <v>306</v>
      </c>
      <c r="T193" t="s">
        <v>306</v>
      </c>
      <c r="U193" t="s">
        <v>787</v>
      </c>
      <c r="V193" t="s">
        <v>300</v>
      </c>
      <c r="W193" t="s">
        <v>361</v>
      </c>
      <c r="X193">
        <v>0.01</v>
      </c>
      <c r="Y193" t="s">
        <v>50</v>
      </c>
      <c r="AD193" t="s">
        <v>306</v>
      </c>
      <c r="AE193" t="s">
        <v>602</v>
      </c>
      <c r="AF193">
        <v>4378744</v>
      </c>
      <c r="AG193" t="s">
        <v>346</v>
      </c>
      <c r="AH193">
        <v>0</v>
      </c>
      <c r="AI193" t="s">
        <v>2187</v>
      </c>
      <c r="AN193" t="s">
        <v>306</v>
      </c>
      <c r="AO193" t="s">
        <v>1334</v>
      </c>
      <c r="AP193">
        <v>4239667</v>
      </c>
      <c r="AQ193" t="s">
        <v>364</v>
      </c>
      <c r="AR193">
        <v>0</v>
      </c>
      <c r="AS193" t="s">
        <v>62</v>
      </c>
      <c r="AX193" t="s">
        <v>306</v>
      </c>
      <c r="BC193" t="s">
        <v>306</v>
      </c>
      <c r="BD193" t="s">
        <v>564</v>
      </c>
      <c r="BE193">
        <v>4137693</v>
      </c>
      <c r="BF193" t="s">
        <v>346</v>
      </c>
      <c r="BG193">
        <v>0.02</v>
      </c>
      <c r="BH193" t="s">
        <v>2194</v>
      </c>
      <c r="BI193" t="s">
        <v>578</v>
      </c>
      <c r="BJ193">
        <v>5793585</v>
      </c>
      <c r="BK193" t="s">
        <v>346</v>
      </c>
      <c r="BL193">
        <v>0</v>
      </c>
      <c r="BM193" t="s">
        <v>323</v>
      </c>
      <c r="BN193" t="s">
        <v>821</v>
      </c>
      <c r="BO193">
        <v>4240614</v>
      </c>
      <c r="BP193" t="s">
        <v>346</v>
      </c>
      <c r="BQ193">
        <v>0</v>
      </c>
      <c r="BR193" t="s">
        <v>2191</v>
      </c>
      <c r="BS193" t="s">
        <v>984</v>
      </c>
      <c r="BT193">
        <v>4113062</v>
      </c>
      <c r="BU193" t="s">
        <v>346</v>
      </c>
      <c r="BV193">
        <v>0.01</v>
      </c>
      <c r="BW193" t="s">
        <v>53</v>
      </c>
      <c r="BX193" t="s">
        <v>787</v>
      </c>
      <c r="BY193" t="s">
        <v>300</v>
      </c>
      <c r="BZ193" t="s">
        <v>361</v>
      </c>
      <c r="CA193">
        <v>0.01</v>
      </c>
      <c r="CB193" t="s">
        <v>50</v>
      </c>
      <c r="CC193" t="s">
        <v>1685</v>
      </c>
      <c r="CD193">
        <v>4383268</v>
      </c>
      <c r="CE193" t="s">
        <v>366</v>
      </c>
      <c r="CF193">
        <v>0.01</v>
      </c>
      <c r="CG193" t="s">
        <v>53</v>
      </c>
      <c r="CH193" t="s">
        <v>1334</v>
      </c>
      <c r="CI193">
        <v>4239667</v>
      </c>
      <c r="CJ193" t="s">
        <v>364</v>
      </c>
      <c r="CK193">
        <v>0</v>
      </c>
      <c r="CL193" t="s">
        <v>62</v>
      </c>
      <c r="CM193" t="s">
        <v>468</v>
      </c>
      <c r="CN193">
        <v>4556191</v>
      </c>
      <c r="CO193" t="s">
        <v>346</v>
      </c>
      <c r="CP193">
        <v>0.01</v>
      </c>
      <c r="CQ193" t="s">
        <v>53</v>
      </c>
      <c r="CV193" t="s">
        <v>306</v>
      </c>
      <c r="DA193" t="s">
        <v>306</v>
      </c>
      <c r="DB193" t="s">
        <v>564</v>
      </c>
      <c r="DC193">
        <v>4137693</v>
      </c>
      <c r="DD193" t="s">
        <v>346</v>
      </c>
      <c r="DE193">
        <v>0.02</v>
      </c>
      <c r="DF193" t="s">
        <v>2194</v>
      </c>
      <c r="DK193" t="s">
        <v>306</v>
      </c>
      <c r="DL193" t="s">
        <v>564</v>
      </c>
      <c r="DM193">
        <v>4137693</v>
      </c>
      <c r="DN193" t="s">
        <v>346</v>
      </c>
      <c r="DO193">
        <v>0.02</v>
      </c>
      <c r="DP193" t="s">
        <v>2194</v>
      </c>
      <c r="DU193" t="s">
        <v>306</v>
      </c>
      <c r="DZ193" t="s">
        <v>306</v>
      </c>
      <c r="EA193" t="s">
        <v>1685</v>
      </c>
      <c r="EB193">
        <v>4383268</v>
      </c>
      <c r="EC193" t="s">
        <v>366</v>
      </c>
      <c r="ED193">
        <v>0.01</v>
      </c>
      <c r="EE193" t="s">
        <v>53</v>
      </c>
      <c r="EF193" t="s">
        <v>564</v>
      </c>
      <c r="EG193">
        <v>4137693</v>
      </c>
      <c r="EH193" t="s">
        <v>346</v>
      </c>
      <c r="EI193">
        <v>0.02</v>
      </c>
      <c r="EJ193" t="s">
        <v>2194</v>
      </c>
      <c r="EO193" t="s">
        <v>306</v>
      </c>
      <c r="ET193" t="s">
        <v>306</v>
      </c>
      <c r="EY193" t="s">
        <v>306</v>
      </c>
      <c r="FD193" t="s">
        <v>306</v>
      </c>
      <c r="FI193" t="s">
        <v>306</v>
      </c>
      <c r="FN193" t="s">
        <v>306</v>
      </c>
      <c r="FS193" t="s">
        <v>306</v>
      </c>
      <c r="FX193" t="s">
        <v>306</v>
      </c>
      <c r="FY193" t="s">
        <v>564</v>
      </c>
      <c r="FZ193">
        <v>4137693</v>
      </c>
      <c r="GA193" t="s">
        <v>346</v>
      </c>
      <c r="GB193">
        <v>0.02</v>
      </c>
      <c r="GC193" t="s">
        <v>2194</v>
      </c>
      <c r="GH193" t="s">
        <v>306</v>
      </c>
      <c r="GM193" t="s">
        <v>306</v>
      </c>
      <c r="GR193" t="s">
        <v>306</v>
      </c>
      <c r="GS193" t="s">
        <v>821</v>
      </c>
      <c r="GT193">
        <v>4240614</v>
      </c>
      <c r="GU193" t="s">
        <v>346</v>
      </c>
      <c r="GV193">
        <v>0</v>
      </c>
      <c r="GW193" t="s">
        <v>2191</v>
      </c>
      <c r="GX193" t="s">
        <v>1685</v>
      </c>
      <c r="GY193">
        <v>4383268</v>
      </c>
      <c r="GZ193" t="s">
        <v>366</v>
      </c>
      <c r="HA193">
        <v>0.01</v>
      </c>
      <c r="HB193" t="s">
        <v>53</v>
      </c>
      <c r="HG193" t="s">
        <v>306</v>
      </c>
    </row>
    <row r="194" spans="5:215" x14ac:dyDescent="0.35">
      <c r="E194" t="s">
        <v>306</v>
      </c>
      <c r="F194" t="s">
        <v>579</v>
      </c>
      <c r="G194">
        <v>5842097</v>
      </c>
      <c r="H194" t="s">
        <v>346</v>
      </c>
      <c r="I194">
        <v>0</v>
      </c>
      <c r="J194" t="s">
        <v>2194</v>
      </c>
      <c r="O194" t="s">
        <v>306</v>
      </c>
      <c r="T194" t="s">
        <v>306</v>
      </c>
      <c r="U194" t="s">
        <v>788</v>
      </c>
      <c r="V194">
        <v>4592065</v>
      </c>
      <c r="W194" t="s">
        <v>346</v>
      </c>
      <c r="X194">
        <v>0.01</v>
      </c>
      <c r="Y194" t="s">
        <v>50</v>
      </c>
      <c r="AD194" t="s">
        <v>306</v>
      </c>
      <c r="AE194" t="s">
        <v>1178</v>
      </c>
      <c r="AF194">
        <v>5823212</v>
      </c>
      <c r="AG194" t="s">
        <v>346</v>
      </c>
      <c r="AH194">
        <v>0</v>
      </c>
      <c r="AI194" t="s">
        <v>306</v>
      </c>
      <c r="AN194" t="s">
        <v>306</v>
      </c>
      <c r="AO194" t="s">
        <v>1335</v>
      </c>
      <c r="AP194">
        <v>10308257</v>
      </c>
      <c r="AQ194" t="s">
        <v>364</v>
      </c>
      <c r="AR194">
        <v>0</v>
      </c>
      <c r="AS194" t="s">
        <v>62</v>
      </c>
      <c r="AX194" t="s">
        <v>306</v>
      </c>
      <c r="BC194" t="s">
        <v>306</v>
      </c>
      <c r="BD194" t="s">
        <v>1455</v>
      </c>
      <c r="BE194">
        <v>4064277</v>
      </c>
      <c r="BF194" t="s">
        <v>346</v>
      </c>
      <c r="BG194">
        <v>0.02</v>
      </c>
      <c r="BH194" t="s">
        <v>53</v>
      </c>
      <c r="BI194" t="s">
        <v>412</v>
      </c>
      <c r="BJ194">
        <v>109687</v>
      </c>
      <c r="BK194" t="s">
        <v>346</v>
      </c>
      <c r="BL194">
        <v>0</v>
      </c>
      <c r="BM194" t="s">
        <v>53</v>
      </c>
      <c r="BN194" t="s">
        <v>811</v>
      </c>
      <c r="BO194">
        <v>4240414</v>
      </c>
      <c r="BP194" t="s">
        <v>346</v>
      </c>
      <c r="BQ194">
        <v>0</v>
      </c>
      <c r="BR194" t="s">
        <v>2191</v>
      </c>
      <c r="BS194" t="s">
        <v>752</v>
      </c>
      <c r="BT194">
        <v>111272</v>
      </c>
      <c r="BU194" t="s">
        <v>346</v>
      </c>
      <c r="BV194">
        <v>0.01</v>
      </c>
      <c r="BW194" t="s">
        <v>313</v>
      </c>
      <c r="BX194" t="s">
        <v>788</v>
      </c>
      <c r="BY194">
        <v>4592065</v>
      </c>
      <c r="BZ194" t="s">
        <v>346</v>
      </c>
      <c r="CA194">
        <v>0.01</v>
      </c>
      <c r="CB194" t="s">
        <v>50</v>
      </c>
      <c r="CC194" t="s">
        <v>1082</v>
      </c>
      <c r="CD194">
        <v>4425813</v>
      </c>
      <c r="CE194" t="s">
        <v>346</v>
      </c>
      <c r="CF194">
        <v>0.01</v>
      </c>
      <c r="CG194" t="s">
        <v>2185</v>
      </c>
      <c r="CH194" t="s">
        <v>1335</v>
      </c>
      <c r="CI194">
        <v>10308257</v>
      </c>
      <c r="CJ194" t="s">
        <v>364</v>
      </c>
      <c r="CK194">
        <v>0</v>
      </c>
      <c r="CL194" t="s">
        <v>62</v>
      </c>
      <c r="CM194" t="s">
        <v>1298</v>
      </c>
      <c r="CN194">
        <v>112262714</v>
      </c>
      <c r="CO194" t="s">
        <v>346</v>
      </c>
      <c r="CP194">
        <v>0.01</v>
      </c>
      <c r="CQ194" t="s">
        <v>306</v>
      </c>
      <c r="CV194" t="s">
        <v>306</v>
      </c>
      <c r="DA194" t="s">
        <v>306</v>
      </c>
      <c r="DB194" t="s">
        <v>1455</v>
      </c>
      <c r="DC194">
        <v>4064277</v>
      </c>
      <c r="DD194" t="s">
        <v>346</v>
      </c>
      <c r="DE194">
        <v>0.02</v>
      </c>
      <c r="DF194" t="s">
        <v>53</v>
      </c>
      <c r="DK194" t="s">
        <v>306</v>
      </c>
      <c r="DL194" t="s">
        <v>1455</v>
      </c>
      <c r="DM194">
        <v>4064277</v>
      </c>
      <c r="DN194" t="s">
        <v>346</v>
      </c>
      <c r="DO194">
        <v>0.02</v>
      </c>
      <c r="DP194" t="s">
        <v>53</v>
      </c>
      <c r="DU194" t="s">
        <v>306</v>
      </c>
      <c r="DZ194" t="s">
        <v>306</v>
      </c>
      <c r="EA194" t="s">
        <v>1082</v>
      </c>
      <c r="EB194">
        <v>4425813</v>
      </c>
      <c r="EC194" t="s">
        <v>346</v>
      </c>
      <c r="ED194">
        <v>0.01</v>
      </c>
      <c r="EE194" t="s">
        <v>2185</v>
      </c>
      <c r="EF194" t="s">
        <v>1455</v>
      </c>
      <c r="EG194">
        <v>4064277</v>
      </c>
      <c r="EH194" t="s">
        <v>346</v>
      </c>
      <c r="EI194">
        <v>0.02</v>
      </c>
      <c r="EJ194" t="s">
        <v>53</v>
      </c>
      <c r="EO194" t="s">
        <v>306</v>
      </c>
      <c r="ET194" t="s">
        <v>306</v>
      </c>
      <c r="EY194" t="s">
        <v>306</v>
      </c>
      <c r="FD194" t="s">
        <v>306</v>
      </c>
      <c r="FI194" t="s">
        <v>306</v>
      </c>
      <c r="FN194" t="s">
        <v>306</v>
      </c>
      <c r="FS194" t="s">
        <v>306</v>
      </c>
      <c r="FX194" t="s">
        <v>306</v>
      </c>
      <c r="FY194" t="s">
        <v>1455</v>
      </c>
      <c r="FZ194">
        <v>4064277</v>
      </c>
      <c r="GA194" t="s">
        <v>346</v>
      </c>
      <c r="GB194">
        <v>0.02</v>
      </c>
      <c r="GC194" t="s">
        <v>53</v>
      </c>
      <c r="GH194" t="s">
        <v>306</v>
      </c>
      <c r="GM194" t="s">
        <v>306</v>
      </c>
      <c r="GR194" t="s">
        <v>306</v>
      </c>
      <c r="GS194" t="s">
        <v>811</v>
      </c>
      <c r="GT194">
        <v>4240414</v>
      </c>
      <c r="GU194" t="s">
        <v>346</v>
      </c>
      <c r="GV194">
        <v>0</v>
      </c>
      <c r="GW194" t="s">
        <v>2191</v>
      </c>
      <c r="GX194" t="s">
        <v>1082</v>
      </c>
      <c r="GY194">
        <v>4425813</v>
      </c>
      <c r="GZ194" t="s">
        <v>346</v>
      </c>
      <c r="HA194">
        <v>0.01</v>
      </c>
      <c r="HB194" t="s">
        <v>2185</v>
      </c>
      <c r="HG194" t="s">
        <v>306</v>
      </c>
    </row>
    <row r="195" spans="5:215" x14ac:dyDescent="0.35">
      <c r="E195" t="s">
        <v>306</v>
      </c>
      <c r="F195" t="s">
        <v>580</v>
      </c>
      <c r="G195">
        <v>4037402</v>
      </c>
      <c r="H195" t="s">
        <v>346</v>
      </c>
      <c r="I195">
        <v>0</v>
      </c>
      <c r="J195" t="s">
        <v>53</v>
      </c>
      <c r="O195" t="s">
        <v>306</v>
      </c>
      <c r="T195" t="s">
        <v>306</v>
      </c>
      <c r="U195" t="s">
        <v>482</v>
      </c>
      <c r="V195">
        <v>4048742</v>
      </c>
      <c r="W195" t="s">
        <v>346</v>
      </c>
      <c r="X195">
        <v>0.01</v>
      </c>
      <c r="Y195" t="s">
        <v>80</v>
      </c>
      <c r="AD195" t="s">
        <v>306</v>
      </c>
      <c r="AE195" t="s">
        <v>544</v>
      </c>
      <c r="AF195">
        <v>5745911</v>
      </c>
      <c r="AG195" t="s">
        <v>369</v>
      </c>
      <c r="AH195">
        <v>0</v>
      </c>
      <c r="AI195" t="s">
        <v>2194</v>
      </c>
      <c r="AN195" t="s">
        <v>306</v>
      </c>
      <c r="AO195" t="s">
        <v>652</v>
      </c>
      <c r="AP195">
        <v>4134208</v>
      </c>
      <c r="AQ195" t="s">
        <v>346</v>
      </c>
      <c r="AR195">
        <v>0</v>
      </c>
      <c r="AS195" t="s">
        <v>53</v>
      </c>
      <c r="AX195" t="s">
        <v>306</v>
      </c>
      <c r="BC195" t="s">
        <v>306</v>
      </c>
      <c r="BD195" t="s">
        <v>452</v>
      </c>
      <c r="BE195">
        <v>4784107</v>
      </c>
      <c r="BF195" t="s">
        <v>346</v>
      </c>
      <c r="BG195">
        <v>0.02</v>
      </c>
      <c r="BH195" t="s">
        <v>317</v>
      </c>
      <c r="BI195" t="s">
        <v>1581</v>
      </c>
      <c r="BJ195" t="s">
        <v>300</v>
      </c>
      <c r="BK195" t="s">
        <v>361</v>
      </c>
      <c r="BL195">
        <v>0</v>
      </c>
      <c r="BM195" t="s">
        <v>50</v>
      </c>
      <c r="BN195" t="s">
        <v>799</v>
      </c>
      <c r="BO195">
        <v>6520584</v>
      </c>
      <c r="BP195" t="s">
        <v>346</v>
      </c>
      <c r="BQ195">
        <v>0</v>
      </c>
      <c r="BR195" t="s">
        <v>50</v>
      </c>
      <c r="BS195" t="s">
        <v>481</v>
      </c>
      <c r="BT195">
        <v>4376121</v>
      </c>
      <c r="BU195" t="s">
        <v>346</v>
      </c>
      <c r="BV195">
        <v>0.01</v>
      </c>
      <c r="BW195" t="s">
        <v>313</v>
      </c>
      <c r="BX195" t="s">
        <v>482</v>
      </c>
      <c r="BY195">
        <v>4048742</v>
      </c>
      <c r="BZ195" t="s">
        <v>346</v>
      </c>
      <c r="CA195">
        <v>0.01</v>
      </c>
      <c r="CB195" t="s">
        <v>80</v>
      </c>
      <c r="CC195" t="s">
        <v>1686</v>
      </c>
      <c r="CD195">
        <v>7538222</v>
      </c>
      <c r="CE195" t="s">
        <v>346</v>
      </c>
      <c r="CF195">
        <v>0.01</v>
      </c>
      <c r="CG195" t="s">
        <v>53</v>
      </c>
      <c r="CH195" t="s">
        <v>652</v>
      </c>
      <c r="CI195">
        <v>4134208</v>
      </c>
      <c r="CJ195" t="s">
        <v>346</v>
      </c>
      <c r="CK195">
        <v>0</v>
      </c>
      <c r="CL195" t="s">
        <v>53</v>
      </c>
      <c r="CM195" t="s">
        <v>1034</v>
      </c>
      <c r="CN195">
        <v>4256960</v>
      </c>
      <c r="CO195" t="s">
        <v>346</v>
      </c>
      <c r="CP195">
        <v>0.01</v>
      </c>
      <c r="CQ195" t="s">
        <v>2183</v>
      </c>
      <c r="CV195" t="s">
        <v>306</v>
      </c>
      <c r="DA195" t="s">
        <v>306</v>
      </c>
      <c r="DB195" t="s">
        <v>452</v>
      </c>
      <c r="DC195">
        <v>4784107</v>
      </c>
      <c r="DD195" t="s">
        <v>346</v>
      </c>
      <c r="DE195">
        <v>0.02</v>
      </c>
      <c r="DF195" t="s">
        <v>317</v>
      </c>
      <c r="DK195" t="s">
        <v>306</v>
      </c>
      <c r="DL195" t="s">
        <v>452</v>
      </c>
      <c r="DM195">
        <v>4784107</v>
      </c>
      <c r="DN195" t="s">
        <v>346</v>
      </c>
      <c r="DO195">
        <v>0.02</v>
      </c>
      <c r="DP195" t="s">
        <v>317</v>
      </c>
      <c r="DU195" t="s">
        <v>306</v>
      </c>
      <c r="DZ195" t="s">
        <v>306</v>
      </c>
      <c r="EA195" t="s">
        <v>1686</v>
      </c>
      <c r="EB195">
        <v>7538222</v>
      </c>
      <c r="EC195" t="s">
        <v>346</v>
      </c>
      <c r="ED195">
        <v>0.01</v>
      </c>
      <c r="EE195" t="s">
        <v>53</v>
      </c>
      <c r="EF195" t="s">
        <v>452</v>
      </c>
      <c r="EG195">
        <v>4784107</v>
      </c>
      <c r="EH195" t="s">
        <v>346</v>
      </c>
      <c r="EI195">
        <v>0.02</v>
      </c>
      <c r="EJ195" t="s">
        <v>317</v>
      </c>
      <c r="EO195" t="s">
        <v>306</v>
      </c>
      <c r="ET195" t="s">
        <v>306</v>
      </c>
      <c r="EY195" t="s">
        <v>306</v>
      </c>
      <c r="FD195" t="s">
        <v>306</v>
      </c>
      <c r="FI195" t="s">
        <v>306</v>
      </c>
      <c r="FN195" t="s">
        <v>306</v>
      </c>
      <c r="FS195" t="s">
        <v>306</v>
      </c>
      <c r="FX195" t="s">
        <v>306</v>
      </c>
      <c r="FY195" t="s">
        <v>452</v>
      </c>
      <c r="FZ195">
        <v>4784107</v>
      </c>
      <c r="GA195" t="s">
        <v>346</v>
      </c>
      <c r="GB195">
        <v>0.02</v>
      </c>
      <c r="GC195" t="s">
        <v>317</v>
      </c>
      <c r="GH195" t="s">
        <v>306</v>
      </c>
      <c r="GM195" t="s">
        <v>306</v>
      </c>
      <c r="GR195" t="s">
        <v>306</v>
      </c>
      <c r="GS195" t="s">
        <v>799</v>
      </c>
      <c r="GT195">
        <v>6520584</v>
      </c>
      <c r="GU195" t="s">
        <v>346</v>
      </c>
      <c r="GV195">
        <v>0</v>
      </c>
      <c r="GW195" t="s">
        <v>50</v>
      </c>
      <c r="GX195" t="s">
        <v>1686</v>
      </c>
      <c r="GY195">
        <v>7538222</v>
      </c>
      <c r="GZ195" t="s">
        <v>346</v>
      </c>
      <c r="HA195">
        <v>0.01</v>
      </c>
      <c r="HB195" t="s">
        <v>53</v>
      </c>
      <c r="HG195" t="s">
        <v>306</v>
      </c>
    </row>
    <row r="196" spans="5:215" x14ac:dyDescent="0.35">
      <c r="E196" t="s">
        <v>306</v>
      </c>
      <c r="F196" t="s">
        <v>581</v>
      </c>
      <c r="G196">
        <v>115732953</v>
      </c>
      <c r="H196" t="s">
        <v>346</v>
      </c>
      <c r="I196">
        <v>0</v>
      </c>
      <c r="J196" t="s">
        <v>2185</v>
      </c>
      <c r="O196" t="s">
        <v>306</v>
      </c>
      <c r="T196" t="s">
        <v>306</v>
      </c>
      <c r="U196" t="s">
        <v>789</v>
      </c>
      <c r="V196">
        <v>10169175</v>
      </c>
      <c r="W196" t="s">
        <v>346</v>
      </c>
      <c r="X196">
        <v>0.01</v>
      </c>
      <c r="Y196" t="s">
        <v>53</v>
      </c>
      <c r="AD196" t="s">
        <v>306</v>
      </c>
      <c r="AE196" t="s">
        <v>1179</v>
      </c>
      <c r="AF196">
        <v>4556895</v>
      </c>
      <c r="AG196" t="s">
        <v>346</v>
      </c>
      <c r="AH196">
        <v>0</v>
      </c>
      <c r="AI196" t="s">
        <v>2193</v>
      </c>
      <c r="AN196" t="s">
        <v>306</v>
      </c>
      <c r="AO196" t="s">
        <v>1070</v>
      </c>
      <c r="AP196">
        <v>4119544</v>
      </c>
      <c r="AQ196" t="s">
        <v>364</v>
      </c>
      <c r="AR196">
        <v>0</v>
      </c>
      <c r="AS196" t="s">
        <v>53</v>
      </c>
      <c r="AX196" t="s">
        <v>306</v>
      </c>
      <c r="BC196" t="s">
        <v>306</v>
      </c>
      <c r="BD196" t="s">
        <v>663</v>
      </c>
      <c r="BE196">
        <v>4080954</v>
      </c>
      <c r="BF196" t="s">
        <v>346</v>
      </c>
      <c r="BG196">
        <v>0.02</v>
      </c>
      <c r="BH196" t="s">
        <v>2193</v>
      </c>
      <c r="BI196" t="s">
        <v>1582</v>
      </c>
      <c r="BJ196" t="s">
        <v>300</v>
      </c>
      <c r="BK196" t="s">
        <v>361</v>
      </c>
      <c r="BL196">
        <v>0</v>
      </c>
      <c r="BM196" t="s">
        <v>50</v>
      </c>
      <c r="BN196" t="s">
        <v>778</v>
      </c>
      <c r="BO196">
        <v>4341872</v>
      </c>
      <c r="BP196" t="s">
        <v>346</v>
      </c>
      <c r="BQ196">
        <v>0</v>
      </c>
      <c r="BR196" t="s">
        <v>50</v>
      </c>
      <c r="BS196" t="s">
        <v>756</v>
      </c>
      <c r="BT196">
        <v>4026891</v>
      </c>
      <c r="BU196" t="s">
        <v>346</v>
      </c>
      <c r="BV196">
        <v>0.01</v>
      </c>
      <c r="BW196" t="s">
        <v>313</v>
      </c>
      <c r="BX196" t="s">
        <v>789</v>
      </c>
      <c r="BY196">
        <v>10169175</v>
      </c>
      <c r="BZ196" t="s">
        <v>346</v>
      </c>
      <c r="CA196">
        <v>0.01</v>
      </c>
      <c r="CB196" t="s">
        <v>53</v>
      </c>
      <c r="CC196" t="s">
        <v>1687</v>
      </c>
      <c r="CD196">
        <v>4138723</v>
      </c>
      <c r="CE196" t="s">
        <v>346</v>
      </c>
      <c r="CF196">
        <v>0.01</v>
      </c>
      <c r="CG196" t="s">
        <v>313</v>
      </c>
      <c r="CH196" t="s">
        <v>1070</v>
      </c>
      <c r="CI196">
        <v>4119544</v>
      </c>
      <c r="CJ196" t="s">
        <v>364</v>
      </c>
      <c r="CK196">
        <v>0</v>
      </c>
      <c r="CL196" t="s">
        <v>53</v>
      </c>
      <c r="CM196" t="s">
        <v>1733</v>
      </c>
      <c r="CN196">
        <v>4853822</v>
      </c>
      <c r="CO196" t="s">
        <v>346</v>
      </c>
      <c r="CP196">
        <v>0.01</v>
      </c>
      <c r="CQ196" t="s">
        <v>313</v>
      </c>
      <c r="CV196" t="s">
        <v>306</v>
      </c>
      <c r="DA196" t="s">
        <v>306</v>
      </c>
      <c r="DB196" t="s">
        <v>663</v>
      </c>
      <c r="DC196">
        <v>4080954</v>
      </c>
      <c r="DD196" t="s">
        <v>346</v>
      </c>
      <c r="DE196">
        <v>0.02</v>
      </c>
      <c r="DF196" t="s">
        <v>2193</v>
      </c>
      <c r="DK196" t="s">
        <v>306</v>
      </c>
      <c r="DL196" t="s">
        <v>663</v>
      </c>
      <c r="DM196">
        <v>4080954</v>
      </c>
      <c r="DN196" t="s">
        <v>346</v>
      </c>
      <c r="DO196">
        <v>0.02</v>
      </c>
      <c r="DP196" t="s">
        <v>2193</v>
      </c>
      <c r="DU196" t="s">
        <v>306</v>
      </c>
      <c r="DZ196" t="s">
        <v>306</v>
      </c>
      <c r="EA196" t="s">
        <v>1687</v>
      </c>
      <c r="EB196">
        <v>4138723</v>
      </c>
      <c r="EC196" t="s">
        <v>346</v>
      </c>
      <c r="ED196">
        <v>0.01</v>
      </c>
      <c r="EE196" t="s">
        <v>313</v>
      </c>
      <c r="EF196" t="s">
        <v>663</v>
      </c>
      <c r="EG196">
        <v>4080954</v>
      </c>
      <c r="EH196" t="s">
        <v>346</v>
      </c>
      <c r="EI196">
        <v>0.02</v>
      </c>
      <c r="EJ196" t="s">
        <v>2193</v>
      </c>
      <c r="EO196" t="s">
        <v>306</v>
      </c>
      <c r="ET196" t="s">
        <v>306</v>
      </c>
      <c r="EY196" t="s">
        <v>306</v>
      </c>
      <c r="FD196" t="s">
        <v>306</v>
      </c>
      <c r="FI196" t="s">
        <v>306</v>
      </c>
      <c r="FN196" t="s">
        <v>306</v>
      </c>
      <c r="FS196" t="s">
        <v>306</v>
      </c>
      <c r="FX196" t="s">
        <v>306</v>
      </c>
      <c r="FY196" t="s">
        <v>663</v>
      </c>
      <c r="FZ196">
        <v>4080954</v>
      </c>
      <c r="GA196" t="s">
        <v>346</v>
      </c>
      <c r="GB196">
        <v>0.02</v>
      </c>
      <c r="GC196" t="s">
        <v>2193</v>
      </c>
      <c r="GH196" t="s">
        <v>306</v>
      </c>
      <c r="GM196" t="s">
        <v>306</v>
      </c>
      <c r="GR196" t="s">
        <v>306</v>
      </c>
      <c r="GS196" t="s">
        <v>778</v>
      </c>
      <c r="GT196">
        <v>4341872</v>
      </c>
      <c r="GU196" t="s">
        <v>346</v>
      </c>
      <c r="GV196">
        <v>0</v>
      </c>
      <c r="GW196" t="s">
        <v>50</v>
      </c>
      <c r="GX196" t="s">
        <v>1687</v>
      </c>
      <c r="GY196">
        <v>4138723</v>
      </c>
      <c r="GZ196" t="s">
        <v>346</v>
      </c>
      <c r="HA196">
        <v>0.01</v>
      </c>
      <c r="HB196" t="s">
        <v>313</v>
      </c>
      <c r="HG196" t="s">
        <v>306</v>
      </c>
    </row>
    <row r="197" spans="5:215" x14ac:dyDescent="0.35">
      <c r="E197" t="s">
        <v>306</v>
      </c>
      <c r="F197" t="s">
        <v>582</v>
      </c>
      <c r="G197">
        <v>4119728</v>
      </c>
      <c r="H197" t="s">
        <v>634</v>
      </c>
      <c r="I197">
        <v>0</v>
      </c>
      <c r="J197" t="s">
        <v>53</v>
      </c>
      <c r="O197" t="s">
        <v>306</v>
      </c>
      <c r="T197" t="s">
        <v>306</v>
      </c>
      <c r="U197" t="s">
        <v>790</v>
      </c>
      <c r="V197">
        <v>5883003</v>
      </c>
      <c r="W197" t="s">
        <v>346</v>
      </c>
      <c r="X197">
        <v>0.01</v>
      </c>
      <c r="Y197" t="s">
        <v>50</v>
      </c>
      <c r="AD197" t="s">
        <v>306</v>
      </c>
      <c r="AE197" t="s">
        <v>589</v>
      </c>
      <c r="AF197">
        <v>4140617</v>
      </c>
      <c r="AG197" t="s">
        <v>346</v>
      </c>
      <c r="AH197">
        <v>0</v>
      </c>
      <c r="AI197" t="s">
        <v>320</v>
      </c>
      <c r="AN197" t="s">
        <v>306</v>
      </c>
      <c r="AO197" t="s">
        <v>824</v>
      </c>
      <c r="AP197">
        <v>4213196</v>
      </c>
      <c r="AQ197" t="s">
        <v>346</v>
      </c>
      <c r="AR197">
        <v>0</v>
      </c>
      <c r="AS197" t="s">
        <v>304</v>
      </c>
      <c r="AX197" t="s">
        <v>306</v>
      </c>
      <c r="BC197" t="s">
        <v>306</v>
      </c>
      <c r="BD197" t="s">
        <v>460</v>
      </c>
      <c r="BE197">
        <v>4337989</v>
      </c>
      <c r="BF197" t="s">
        <v>346</v>
      </c>
      <c r="BG197">
        <v>0.02</v>
      </c>
      <c r="BH197" t="s">
        <v>53</v>
      </c>
      <c r="BI197" t="s">
        <v>536</v>
      </c>
      <c r="BJ197">
        <v>4432074</v>
      </c>
      <c r="BK197" t="s">
        <v>346</v>
      </c>
      <c r="BL197">
        <v>0</v>
      </c>
      <c r="BM197" t="s">
        <v>80</v>
      </c>
      <c r="BN197" t="s">
        <v>782</v>
      </c>
      <c r="BO197">
        <v>4138745</v>
      </c>
      <c r="BP197" t="s">
        <v>346</v>
      </c>
      <c r="BQ197">
        <v>0</v>
      </c>
      <c r="BR197" t="s">
        <v>2181</v>
      </c>
      <c r="BS197" t="s">
        <v>776</v>
      </c>
      <c r="BT197">
        <v>4345268</v>
      </c>
      <c r="BU197" t="s">
        <v>346</v>
      </c>
      <c r="BV197">
        <v>0.01</v>
      </c>
      <c r="BW197" t="s">
        <v>50</v>
      </c>
      <c r="BX197" t="s">
        <v>790</v>
      </c>
      <c r="BY197">
        <v>5883003</v>
      </c>
      <c r="BZ197" t="s">
        <v>346</v>
      </c>
      <c r="CA197">
        <v>0.01</v>
      </c>
      <c r="CB197" t="s">
        <v>50</v>
      </c>
      <c r="CC197" t="s">
        <v>1688</v>
      </c>
      <c r="CD197">
        <v>4319774</v>
      </c>
      <c r="CE197" t="s">
        <v>364</v>
      </c>
      <c r="CF197">
        <v>0.01</v>
      </c>
      <c r="CG197" t="s">
        <v>53</v>
      </c>
      <c r="CH197" t="s">
        <v>824</v>
      </c>
      <c r="CI197">
        <v>4213196</v>
      </c>
      <c r="CJ197" t="s">
        <v>346</v>
      </c>
      <c r="CK197">
        <v>0</v>
      </c>
      <c r="CL197" t="s">
        <v>304</v>
      </c>
      <c r="CM197" t="s">
        <v>1292</v>
      </c>
      <c r="CN197">
        <v>5884486</v>
      </c>
      <c r="CO197" t="s">
        <v>346</v>
      </c>
      <c r="CP197">
        <v>0.01</v>
      </c>
      <c r="CQ197" t="s">
        <v>62</v>
      </c>
      <c r="CV197" t="s">
        <v>306</v>
      </c>
      <c r="DA197" t="s">
        <v>306</v>
      </c>
      <c r="DB197" t="s">
        <v>460</v>
      </c>
      <c r="DC197">
        <v>4337989</v>
      </c>
      <c r="DD197" t="s">
        <v>346</v>
      </c>
      <c r="DE197">
        <v>0.02</v>
      </c>
      <c r="DF197" t="s">
        <v>53</v>
      </c>
      <c r="DK197" t="s">
        <v>306</v>
      </c>
      <c r="DL197" t="s">
        <v>460</v>
      </c>
      <c r="DM197">
        <v>4337989</v>
      </c>
      <c r="DN197" t="s">
        <v>346</v>
      </c>
      <c r="DO197">
        <v>0.02</v>
      </c>
      <c r="DP197" t="s">
        <v>53</v>
      </c>
      <c r="DU197" t="s">
        <v>306</v>
      </c>
      <c r="DZ197" t="s">
        <v>306</v>
      </c>
      <c r="EA197" t="s">
        <v>1688</v>
      </c>
      <c r="EB197">
        <v>4319774</v>
      </c>
      <c r="EC197" t="s">
        <v>364</v>
      </c>
      <c r="ED197">
        <v>0.01</v>
      </c>
      <c r="EE197" t="s">
        <v>53</v>
      </c>
      <c r="EF197" t="s">
        <v>460</v>
      </c>
      <c r="EG197">
        <v>4337989</v>
      </c>
      <c r="EH197" t="s">
        <v>346</v>
      </c>
      <c r="EI197">
        <v>0.02</v>
      </c>
      <c r="EJ197" t="s">
        <v>53</v>
      </c>
      <c r="EO197" t="s">
        <v>306</v>
      </c>
      <c r="ET197" t="s">
        <v>306</v>
      </c>
      <c r="EY197" t="s">
        <v>306</v>
      </c>
      <c r="FD197" t="s">
        <v>306</v>
      </c>
      <c r="FI197" t="s">
        <v>306</v>
      </c>
      <c r="FN197" t="s">
        <v>306</v>
      </c>
      <c r="FS197" t="s">
        <v>306</v>
      </c>
      <c r="FX197" t="s">
        <v>306</v>
      </c>
      <c r="FY197" t="s">
        <v>460</v>
      </c>
      <c r="FZ197">
        <v>4337989</v>
      </c>
      <c r="GA197" t="s">
        <v>346</v>
      </c>
      <c r="GB197">
        <v>0.02</v>
      </c>
      <c r="GC197" t="s">
        <v>53</v>
      </c>
      <c r="GH197" t="s">
        <v>306</v>
      </c>
      <c r="GM197" t="s">
        <v>306</v>
      </c>
      <c r="GR197" t="s">
        <v>306</v>
      </c>
      <c r="GS197" t="s">
        <v>782</v>
      </c>
      <c r="GT197">
        <v>4138745</v>
      </c>
      <c r="GU197" t="s">
        <v>346</v>
      </c>
      <c r="GV197">
        <v>0</v>
      </c>
      <c r="GW197" t="s">
        <v>2181</v>
      </c>
      <c r="GX197" t="s">
        <v>1688</v>
      </c>
      <c r="GY197">
        <v>4319774</v>
      </c>
      <c r="GZ197" t="s">
        <v>364</v>
      </c>
      <c r="HA197">
        <v>0.01</v>
      </c>
      <c r="HB197" t="s">
        <v>53</v>
      </c>
      <c r="HG197" t="s">
        <v>306</v>
      </c>
    </row>
    <row r="198" spans="5:215" x14ac:dyDescent="0.35">
      <c r="E198" t="s">
        <v>306</v>
      </c>
      <c r="F198" t="s">
        <v>583</v>
      </c>
      <c r="G198">
        <v>4579014</v>
      </c>
      <c r="H198" t="s">
        <v>346</v>
      </c>
      <c r="I198">
        <v>0</v>
      </c>
      <c r="J198" t="s">
        <v>53</v>
      </c>
      <c r="O198" t="s">
        <v>306</v>
      </c>
      <c r="T198" t="s">
        <v>306</v>
      </c>
      <c r="U198" t="s">
        <v>791</v>
      </c>
      <c r="V198">
        <v>4139625</v>
      </c>
      <c r="W198" t="s">
        <v>346</v>
      </c>
      <c r="X198">
        <v>0.01</v>
      </c>
      <c r="Y198" t="s">
        <v>2188</v>
      </c>
      <c r="AD198" t="s">
        <v>306</v>
      </c>
      <c r="AE198" t="s">
        <v>578</v>
      </c>
      <c r="AF198">
        <v>5793585</v>
      </c>
      <c r="AG198" t="s">
        <v>346</v>
      </c>
      <c r="AH198">
        <v>0</v>
      </c>
      <c r="AI198" t="s">
        <v>323</v>
      </c>
      <c r="AN198" t="s">
        <v>306</v>
      </c>
      <c r="AO198" t="s">
        <v>1336</v>
      </c>
      <c r="AP198">
        <v>118749616</v>
      </c>
      <c r="AQ198" t="s">
        <v>346</v>
      </c>
      <c r="AR198">
        <v>0</v>
      </c>
      <c r="AS198" t="s">
        <v>306</v>
      </c>
      <c r="AX198" t="s">
        <v>306</v>
      </c>
      <c r="BC198" t="s">
        <v>306</v>
      </c>
      <c r="BD198" t="s">
        <v>1456</v>
      </c>
      <c r="BE198">
        <v>4055762</v>
      </c>
      <c r="BF198" t="s">
        <v>366</v>
      </c>
      <c r="BG198">
        <v>0.02</v>
      </c>
      <c r="BH198" t="s">
        <v>2194</v>
      </c>
      <c r="BI198" t="s">
        <v>1583</v>
      </c>
      <c r="BJ198">
        <v>4417299</v>
      </c>
      <c r="BK198" t="s">
        <v>346</v>
      </c>
      <c r="BL198">
        <v>0</v>
      </c>
      <c r="BM198" t="s">
        <v>2185</v>
      </c>
      <c r="BN198" t="s">
        <v>685</v>
      </c>
      <c r="BO198">
        <v>4641730</v>
      </c>
      <c r="BP198" t="s">
        <v>346</v>
      </c>
      <c r="BQ198">
        <v>0</v>
      </c>
      <c r="BR198" t="s">
        <v>326</v>
      </c>
      <c r="BS198" t="s">
        <v>403</v>
      </c>
      <c r="BT198">
        <v>4033550</v>
      </c>
      <c r="BU198" t="s">
        <v>346</v>
      </c>
      <c r="BV198">
        <v>0.01</v>
      </c>
      <c r="BW198" t="s">
        <v>53</v>
      </c>
      <c r="BX198" t="s">
        <v>791</v>
      </c>
      <c r="BY198">
        <v>4139625</v>
      </c>
      <c r="BZ198" t="s">
        <v>346</v>
      </c>
      <c r="CA198">
        <v>0.01</v>
      </c>
      <c r="CB198" t="s">
        <v>2188</v>
      </c>
      <c r="CC198" t="s">
        <v>1689</v>
      </c>
      <c r="CD198">
        <v>4005755</v>
      </c>
      <c r="CE198" t="s">
        <v>363</v>
      </c>
      <c r="CF198">
        <v>0.01</v>
      </c>
      <c r="CG198" t="s">
        <v>53</v>
      </c>
      <c r="CH198" t="s">
        <v>1336</v>
      </c>
      <c r="CI198">
        <v>118749616</v>
      </c>
      <c r="CJ198" t="s">
        <v>346</v>
      </c>
      <c r="CK198">
        <v>0</v>
      </c>
      <c r="CL198" t="s">
        <v>306</v>
      </c>
      <c r="CM198" t="s">
        <v>1989</v>
      </c>
      <c r="CN198">
        <v>4540115</v>
      </c>
      <c r="CO198" t="s">
        <v>366</v>
      </c>
      <c r="CP198">
        <v>0.01</v>
      </c>
      <c r="CQ198" t="s">
        <v>336</v>
      </c>
      <c r="CV198" t="s">
        <v>306</v>
      </c>
      <c r="DA198" t="s">
        <v>306</v>
      </c>
      <c r="DB198" t="s">
        <v>1456</v>
      </c>
      <c r="DC198">
        <v>4055762</v>
      </c>
      <c r="DD198" t="s">
        <v>366</v>
      </c>
      <c r="DE198">
        <v>0.02</v>
      </c>
      <c r="DF198" t="s">
        <v>2194</v>
      </c>
      <c r="DK198" t="s">
        <v>306</v>
      </c>
      <c r="DL198" t="s">
        <v>1456</v>
      </c>
      <c r="DM198">
        <v>4055762</v>
      </c>
      <c r="DN198" t="s">
        <v>366</v>
      </c>
      <c r="DO198">
        <v>0.02</v>
      </c>
      <c r="DP198" t="s">
        <v>2194</v>
      </c>
      <c r="DU198" t="s">
        <v>306</v>
      </c>
      <c r="DZ198" t="s">
        <v>306</v>
      </c>
      <c r="EA198" t="s">
        <v>1689</v>
      </c>
      <c r="EB198">
        <v>4005755</v>
      </c>
      <c r="EC198" t="s">
        <v>363</v>
      </c>
      <c r="ED198">
        <v>0.01</v>
      </c>
      <c r="EE198" t="s">
        <v>53</v>
      </c>
      <c r="EF198" t="s">
        <v>1456</v>
      </c>
      <c r="EG198">
        <v>4055762</v>
      </c>
      <c r="EH198" t="s">
        <v>366</v>
      </c>
      <c r="EI198">
        <v>0.02</v>
      </c>
      <c r="EJ198" t="s">
        <v>2194</v>
      </c>
      <c r="EO198" t="s">
        <v>306</v>
      </c>
      <c r="ET198" t="s">
        <v>306</v>
      </c>
      <c r="EY198" t="s">
        <v>306</v>
      </c>
      <c r="FD198" t="s">
        <v>306</v>
      </c>
      <c r="FI198" t="s">
        <v>306</v>
      </c>
      <c r="FN198" t="s">
        <v>306</v>
      </c>
      <c r="FS198" t="s">
        <v>306</v>
      </c>
      <c r="FX198" t="s">
        <v>306</v>
      </c>
      <c r="FY198" t="s">
        <v>1456</v>
      </c>
      <c r="FZ198">
        <v>4055762</v>
      </c>
      <c r="GA198" t="s">
        <v>366</v>
      </c>
      <c r="GB198">
        <v>0.02</v>
      </c>
      <c r="GC198" t="s">
        <v>2194</v>
      </c>
      <c r="GH198" t="s">
        <v>306</v>
      </c>
      <c r="GM198" t="s">
        <v>306</v>
      </c>
      <c r="GR198" t="s">
        <v>306</v>
      </c>
      <c r="GS198" t="s">
        <v>685</v>
      </c>
      <c r="GT198">
        <v>4641730</v>
      </c>
      <c r="GU198" t="s">
        <v>346</v>
      </c>
      <c r="GV198">
        <v>0</v>
      </c>
      <c r="GW198" t="s">
        <v>326</v>
      </c>
      <c r="GX198" t="s">
        <v>1689</v>
      </c>
      <c r="GY198">
        <v>4005755</v>
      </c>
      <c r="GZ198" t="s">
        <v>363</v>
      </c>
      <c r="HA198">
        <v>0.01</v>
      </c>
      <c r="HB198" t="s">
        <v>53</v>
      </c>
      <c r="HG198" t="s">
        <v>306</v>
      </c>
    </row>
    <row r="199" spans="5:215" x14ac:dyDescent="0.35">
      <c r="E199" t="s">
        <v>306</v>
      </c>
      <c r="F199" t="s">
        <v>584</v>
      </c>
      <c r="G199">
        <v>4138797</v>
      </c>
      <c r="H199" t="s">
        <v>346</v>
      </c>
      <c r="I199">
        <v>0</v>
      </c>
      <c r="J199" t="s">
        <v>326</v>
      </c>
      <c r="O199" t="s">
        <v>306</v>
      </c>
      <c r="T199" t="s">
        <v>306</v>
      </c>
      <c r="U199" t="s">
        <v>792</v>
      </c>
      <c r="V199">
        <v>4314602</v>
      </c>
      <c r="W199" t="s">
        <v>346</v>
      </c>
      <c r="X199">
        <v>0.01</v>
      </c>
      <c r="Y199" t="s">
        <v>2191</v>
      </c>
      <c r="AD199" t="s">
        <v>306</v>
      </c>
      <c r="AE199" t="s">
        <v>567</v>
      </c>
      <c r="AF199">
        <v>4139837</v>
      </c>
      <c r="AG199" t="s">
        <v>346</v>
      </c>
      <c r="AH199">
        <v>0</v>
      </c>
      <c r="AI199" t="s">
        <v>304</v>
      </c>
      <c r="AN199" t="s">
        <v>306</v>
      </c>
      <c r="AO199" t="s">
        <v>464</v>
      </c>
      <c r="AP199">
        <v>4629378</v>
      </c>
      <c r="AQ199" t="s">
        <v>346</v>
      </c>
      <c r="AR199">
        <v>0</v>
      </c>
      <c r="AS199" t="s">
        <v>304</v>
      </c>
      <c r="AX199" t="s">
        <v>306</v>
      </c>
      <c r="BC199" t="s">
        <v>306</v>
      </c>
      <c r="BD199" t="s">
        <v>449</v>
      </c>
      <c r="BE199">
        <v>4093616</v>
      </c>
      <c r="BF199" t="s">
        <v>346</v>
      </c>
      <c r="BG199">
        <v>0.02</v>
      </c>
      <c r="BH199" t="s">
        <v>80</v>
      </c>
      <c r="BI199" t="s">
        <v>1584</v>
      </c>
      <c r="BJ199" t="s">
        <v>300</v>
      </c>
      <c r="BK199" t="s">
        <v>361</v>
      </c>
      <c r="BL199">
        <v>0</v>
      </c>
      <c r="BM199" t="s">
        <v>50</v>
      </c>
      <c r="BN199" t="s">
        <v>826</v>
      </c>
      <c r="BO199">
        <v>7789048</v>
      </c>
      <c r="BP199" t="s">
        <v>346</v>
      </c>
      <c r="BQ199">
        <v>0</v>
      </c>
      <c r="BR199" t="s">
        <v>50</v>
      </c>
      <c r="BS199" t="s">
        <v>407</v>
      </c>
      <c r="BT199">
        <v>109754</v>
      </c>
      <c r="BU199" t="s">
        <v>346</v>
      </c>
      <c r="BV199">
        <v>0.01</v>
      </c>
      <c r="BW199" t="s">
        <v>53</v>
      </c>
      <c r="BX199" t="s">
        <v>792</v>
      </c>
      <c r="BY199">
        <v>4314602</v>
      </c>
      <c r="BZ199" t="s">
        <v>346</v>
      </c>
      <c r="CA199">
        <v>0.01</v>
      </c>
      <c r="CB199" t="s">
        <v>2191</v>
      </c>
      <c r="CC199" t="s">
        <v>1415</v>
      </c>
      <c r="CD199">
        <v>4077805</v>
      </c>
      <c r="CE199" t="s">
        <v>366</v>
      </c>
      <c r="CF199">
        <v>0.01</v>
      </c>
      <c r="CG199" t="s">
        <v>317</v>
      </c>
      <c r="CH199" t="s">
        <v>464</v>
      </c>
      <c r="CI199">
        <v>4629378</v>
      </c>
      <c r="CJ199" t="s">
        <v>346</v>
      </c>
      <c r="CK199">
        <v>0</v>
      </c>
      <c r="CL199" t="s">
        <v>304</v>
      </c>
      <c r="CM199" t="s">
        <v>1990</v>
      </c>
      <c r="CN199">
        <v>14979346</v>
      </c>
      <c r="CO199" t="s">
        <v>346</v>
      </c>
      <c r="CP199">
        <v>0.01</v>
      </c>
      <c r="CQ199" t="s">
        <v>53</v>
      </c>
      <c r="CV199" t="s">
        <v>306</v>
      </c>
      <c r="DA199" t="s">
        <v>306</v>
      </c>
      <c r="DB199" t="s">
        <v>449</v>
      </c>
      <c r="DC199">
        <v>4093616</v>
      </c>
      <c r="DD199" t="s">
        <v>346</v>
      </c>
      <c r="DE199">
        <v>0.02</v>
      </c>
      <c r="DF199" t="s">
        <v>80</v>
      </c>
      <c r="DK199" t="s">
        <v>306</v>
      </c>
      <c r="DL199" t="s">
        <v>449</v>
      </c>
      <c r="DM199">
        <v>4093616</v>
      </c>
      <c r="DN199" t="s">
        <v>346</v>
      </c>
      <c r="DO199">
        <v>0.02</v>
      </c>
      <c r="DP199" t="s">
        <v>80</v>
      </c>
      <c r="DU199" t="s">
        <v>306</v>
      </c>
      <c r="DZ199" t="s">
        <v>306</v>
      </c>
      <c r="EA199" t="s">
        <v>1415</v>
      </c>
      <c r="EB199">
        <v>4077805</v>
      </c>
      <c r="EC199" t="s">
        <v>366</v>
      </c>
      <c r="ED199">
        <v>0.01</v>
      </c>
      <c r="EE199" t="s">
        <v>317</v>
      </c>
      <c r="EF199" t="s">
        <v>449</v>
      </c>
      <c r="EG199">
        <v>4093616</v>
      </c>
      <c r="EH199" t="s">
        <v>346</v>
      </c>
      <c r="EI199">
        <v>0.02</v>
      </c>
      <c r="EJ199" t="s">
        <v>80</v>
      </c>
      <c r="EO199" t="s">
        <v>306</v>
      </c>
      <c r="ET199" t="s">
        <v>306</v>
      </c>
      <c r="EY199" t="s">
        <v>306</v>
      </c>
      <c r="FD199" t="s">
        <v>306</v>
      </c>
      <c r="FI199" t="s">
        <v>306</v>
      </c>
      <c r="FN199" t="s">
        <v>306</v>
      </c>
      <c r="FS199" t="s">
        <v>306</v>
      </c>
      <c r="FX199" t="s">
        <v>306</v>
      </c>
      <c r="FY199" t="s">
        <v>449</v>
      </c>
      <c r="FZ199">
        <v>4093616</v>
      </c>
      <c r="GA199" t="s">
        <v>346</v>
      </c>
      <c r="GB199">
        <v>0.02</v>
      </c>
      <c r="GC199" t="s">
        <v>80</v>
      </c>
      <c r="GH199" t="s">
        <v>306</v>
      </c>
      <c r="GM199" t="s">
        <v>306</v>
      </c>
      <c r="GR199" t="s">
        <v>306</v>
      </c>
      <c r="GS199" t="s">
        <v>826</v>
      </c>
      <c r="GT199">
        <v>7789048</v>
      </c>
      <c r="GU199" t="s">
        <v>346</v>
      </c>
      <c r="GV199">
        <v>0</v>
      </c>
      <c r="GW199" t="s">
        <v>50</v>
      </c>
      <c r="GX199" t="s">
        <v>1415</v>
      </c>
      <c r="GY199">
        <v>4077805</v>
      </c>
      <c r="GZ199" t="s">
        <v>366</v>
      </c>
      <c r="HA199">
        <v>0.01</v>
      </c>
      <c r="HB199" t="s">
        <v>317</v>
      </c>
      <c r="HG199" t="s">
        <v>306</v>
      </c>
    </row>
    <row r="200" spans="5:215" x14ac:dyDescent="0.35">
      <c r="E200" t="s">
        <v>306</v>
      </c>
      <c r="F200" t="s">
        <v>585</v>
      </c>
      <c r="G200">
        <v>4139382</v>
      </c>
      <c r="H200" t="s">
        <v>346</v>
      </c>
      <c r="I200">
        <v>0</v>
      </c>
      <c r="J200" t="s">
        <v>2184</v>
      </c>
      <c r="O200" t="s">
        <v>306</v>
      </c>
      <c r="T200" t="s">
        <v>306</v>
      </c>
      <c r="U200" t="s">
        <v>793</v>
      </c>
      <c r="V200">
        <v>7798890</v>
      </c>
      <c r="W200" t="s">
        <v>346</v>
      </c>
      <c r="X200">
        <v>0.01</v>
      </c>
      <c r="Y200" t="s">
        <v>50</v>
      </c>
      <c r="AD200" t="s">
        <v>306</v>
      </c>
      <c r="AE200" t="s">
        <v>581</v>
      </c>
      <c r="AF200">
        <v>115732953</v>
      </c>
      <c r="AG200" t="s">
        <v>346</v>
      </c>
      <c r="AH200">
        <v>0</v>
      </c>
      <c r="AI200" t="s">
        <v>2185</v>
      </c>
      <c r="AN200" t="s">
        <v>306</v>
      </c>
      <c r="AO200" t="s">
        <v>1337</v>
      </c>
      <c r="AP200">
        <v>133963845</v>
      </c>
      <c r="AQ200" t="s">
        <v>346</v>
      </c>
      <c r="AR200">
        <v>0</v>
      </c>
      <c r="AS200" t="s">
        <v>306</v>
      </c>
      <c r="AX200" t="s">
        <v>306</v>
      </c>
      <c r="BC200" t="s">
        <v>306</v>
      </c>
      <c r="BD200" t="s">
        <v>403</v>
      </c>
      <c r="BE200">
        <v>4033550</v>
      </c>
      <c r="BF200" t="s">
        <v>346</v>
      </c>
      <c r="BG200">
        <v>0.02</v>
      </c>
      <c r="BH200" t="s">
        <v>53</v>
      </c>
      <c r="BI200" t="s">
        <v>1585</v>
      </c>
      <c r="BJ200">
        <v>5800780</v>
      </c>
      <c r="BK200" t="s">
        <v>300</v>
      </c>
      <c r="BL200">
        <v>0</v>
      </c>
      <c r="BM200" t="s">
        <v>323</v>
      </c>
      <c r="BN200" t="s">
        <v>791</v>
      </c>
      <c r="BO200">
        <v>4139625</v>
      </c>
      <c r="BP200" t="s">
        <v>346</v>
      </c>
      <c r="BQ200">
        <v>0</v>
      </c>
      <c r="BR200" t="s">
        <v>2188</v>
      </c>
      <c r="BS200" t="s">
        <v>985</v>
      </c>
      <c r="BT200">
        <v>13033925</v>
      </c>
      <c r="BU200" t="s">
        <v>346</v>
      </c>
      <c r="BV200">
        <v>0.01</v>
      </c>
      <c r="BW200" t="s">
        <v>2185</v>
      </c>
      <c r="BX200" t="s">
        <v>793</v>
      </c>
      <c r="BY200">
        <v>7798890</v>
      </c>
      <c r="BZ200" t="s">
        <v>346</v>
      </c>
      <c r="CA200">
        <v>0.01</v>
      </c>
      <c r="CB200" t="s">
        <v>50</v>
      </c>
      <c r="CC200" t="s">
        <v>1690</v>
      </c>
      <c r="CD200">
        <v>4117333</v>
      </c>
      <c r="CE200" t="s">
        <v>364</v>
      </c>
      <c r="CF200">
        <v>0.01</v>
      </c>
      <c r="CG200" t="s">
        <v>317</v>
      </c>
      <c r="CH200" t="s">
        <v>1337</v>
      </c>
      <c r="CI200">
        <v>133963845</v>
      </c>
      <c r="CJ200" t="s">
        <v>346</v>
      </c>
      <c r="CK200">
        <v>0</v>
      </c>
      <c r="CL200" t="s">
        <v>306</v>
      </c>
      <c r="CM200" t="s">
        <v>659</v>
      </c>
      <c r="CN200">
        <v>4139011</v>
      </c>
      <c r="CO200" t="s">
        <v>346</v>
      </c>
      <c r="CP200">
        <v>0.01</v>
      </c>
      <c r="CQ200" t="s">
        <v>2185</v>
      </c>
      <c r="CV200" t="s">
        <v>306</v>
      </c>
      <c r="DA200" t="s">
        <v>306</v>
      </c>
      <c r="DB200" t="s">
        <v>403</v>
      </c>
      <c r="DC200">
        <v>4033550</v>
      </c>
      <c r="DD200" t="s">
        <v>346</v>
      </c>
      <c r="DE200">
        <v>0.02</v>
      </c>
      <c r="DF200" t="s">
        <v>53</v>
      </c>
      <c r="DK200" t="s">
        <v>306</v>
      </c>
      <c r="DL200" t="s">
        <v>403</v>
      </c>
      <c r="DM200">
        <v>4033550</v>
      </c>
      <c r="DN200" t="s">
        <v>346</v>
      </c>
      <c r="DO200">
        <v>0.02</v>
      </c>
      <c r="DP200" t="s">
        <v>53</v>
      </c>
      <c r="DU200" t="s">
        <v>306</v>
      </c>
      <c r="DZ200" t="s">
        <v>306</v>
      </c>
      <c r="EA200" t="s">
        <v>1690</v>
      </c>
      <c r="EB200">
        <v>4117333</v>
      </c>
      <c r="EC200" t="s">
        <v>364</v>
      </c>
      <c r="ED200">
        <v>0.01</v>
      </c>
      <c r="EE200" t="s">
        <v>317</v>
      </c>
      <c r="EF200" t="s">
        <v>403</v>
      </c>
      <c r="EG200">
        <v>4033550</v>
      </c>
      <c r="EH200" t="s">
        <v>346</v>
      </c>
      <c r="EI200">
        <v>0.02</v>
      </c>
      <c r="EJ200" t="s">
        <v>53</v>
      </c>
      <c r="EO200" t="s">
        <v>306</v>
      </c>
      <c r="ET200" t="s">
        <v>306</v>
      </c>
      <c r="EY200" t="s">
        <v>306</v>
      </c>
      <c r="FD200" t="s">
        <v>306</v>
      </c>
      <c r="FI200" t="s">
        <v>306</v>
      </c>
      <c r="FN200" t="s">
        <v>306</v>
      </c>
      <c r="FS200" t="s">
        <v>306</v>
      </c>
      <c r="FX200" t="s">
        <v>306</v>
      </c>
      <c r="FY200" t="s">
        <v>403</v>
      </c>
      <c r="FZ200">
        <v>4033550</v>
      </c>
      <c r="GA200" t="s">
        <v>346</v>
      </c>
      <c r="GB200">
        <v>0.02</v>
      </c>
      <c r="GC200" t="s">
        <v>53</v>
      </c>
      <c r="GH200" t="s">
        <v>306</v>
      </c>
      <c r="GM200" t="s">
        <v>306</v>
      </c>
      <c r="GR200" t="s">
        <v>306</v>
      </c>
      <c r="GS200" t="s">
        <v>791</v>
      </c>
      <c r="GT200">
        <v>4139625</v>
      </c>
      <c r="GU200" t="s">
        <v>346</v>
      </c>
      <c r="GV200">
        <v>0</v>
      </c>
      <c r="GW200" t="s">
        <v>2188</v>
      </c>
      <c r="GX200" t="s">
        <v>1690</v>
      </c>
      <c r="GY200">
        <v>4117333</v>
      </c>
      <c r="GZ200" t="s">
        <v>364</v>
      </c>
      <c r="HA200">
        <v>0.01</v>
      </c>
      <c r="HB200" t="s">
        <v>317</v>
      </c>
      <c r="HG200" t="s">
        <v>306</v>
      </c>
    </row>
    <row r="201" spans="5:215" x14ac:dyDescent="0.35">
      <c r="E201" t="s">
        <v>306</v>
      </c>
      <c r="F201" t="s">
        <v>586</v>
      </c>
      <c r="G201">
        <v>4251516</v>
      </c>
      <c r="H201" t="s">
        <v>346</v>
      </c>
      <c r="I201">
        <v>0</v>
      </c>
      <c r="J201" t="s">
        <v>320</v>
      </c>
      <c r="O201" t="s">
        <v>306</v>
      </c>
      <c r="T201" t="s">
        <v>306</v>
      </c>
      <c r="U201" t="s">
        <v>423</v>
      </c>
      <c r="V201">
        <v>4318240</v>
      </c>
      <c r="W201" t="s">
        <v>346</v>
      </c>
      <c r="X201">
        <v>0.01</v>
      </c>
      <c r="Y201" t="s">
        <v>304</v>
      </c>
      <c r="AD201" t="s">
        <v>306</v>
      </c>
      <c r="AE201" t="s">
        <v>601</v>
      </c>
      <c r="AF201">
        <v>5816131</v>
      </c>
      <c r="AG201" t="s">
        <v>346</v>
      </c>
      <c r="AH201">
        <v>0</v>
      </c>
      <c r="AI201" t="s">
        <v>53</v>
      </c>
      <c r="AN201" t="s">
        <v>306</v>
      </c>
      <c r="AO201" t="s">
        <v>461</v>
      </c>
      <c r="AP201">
        <v>4137912</v>
      </c>
      <c r="AQ201" t="s">
        <v>346</v>
      </c>
      <c r="AR201">
        <v>0</v>
      </c>
      <c r="AS201" t="s">
        <v>2185</v>
      </c>
      <c r="AX201" t="s">
        <v>306</v>
      </c>
      <c r="BC201" t="s">
        <v>306</v>
      </c>
      <c r="BD201" t="s">
        <v>378</v>
      </c>
      <c r="BE201">
        <v>4048184</v>
      </c>
      <c r="BF201" t="s">
        <v>346</v>
      </c>
      <c r="BG201">
        <v>0.02</v>
      </c>
      <c r="BH201" t="s">
        <v>80</v>
      </c>
      <c r="BI201" t="s">
        <v>395</v>
      </c>
      <c r="BJ201">
        <v>4153606</v>
      </c>
      <c r="BK201" t="s">
        <v>346</v>
      </c>
      <c r="BL201">
        <v>0</v>
      </c>
      <c r="BM201" t="s">
        <v>53</v>
      </c>
      <c r="BN201" t="s">
        <v>838</v>
      </c>
      <c r="BO201">
        <v>4315032</v>
      </c>
      <c r="BP201" t="s">
        <v>346</v>
      </c>
      <c r="BQ201">
        <v>0</v>
      </c>
      <c r="BR201" t="s">
        <v>50</v>
      </c>
      <c r="BS201" t="s">
        <v>413</v>
      </c>
      <c r="BT201">
        <v>4114882</v>
      </c>
      <c r="BU201" t="s">
        <v>346</v>
      </c>
      <c r="BV201">
        <v>0.01</v>
      </c>
      <c r="BW201" t="s">
        <v>80</v>
      </c>
      <c r="BX201" t="s">
        <v>423</v>
      </c>
      <c r="BY201">
        <v>4318240</v>
      </c>
      <c r="BZ201" t="s">
        <v>346</v>
      </c>
      <c r="CA201">
        <v>0.01</v>
      </c>
      <c r="CB201" t="s">
        <v>304</v>
      </c>
      <c r="CC201" t="s">
        <v>471</v>
      </c>
      <c r="CD201">
        <v>4102247</v>
      </c>
      <c r="CE201" t="s">
        <v>346</v>
      </c>
      <c r="CF201">
        <v>0.01</v>
      </c>
      <c r="CG201" t="s">
        <v>53</v>
      </c>
      <c r="CH201" t="s">
        <v>461</v>
      </c>
      <c r="CI201">
        <v>4137912</v>
      </c>
      <c r="CJ201" t="s">
        <v>346</v>
      </c>
      <c r="CK201">
        <v>0</v>
      </c>
      <c r="CL201" t="s">
        <v>2185</v>
      </c>
      <c r="CM201" t="s">
        <v>1330</v>
      </c>
      <c r="CN201">
        <v>19909326</v>
      </c>
      <c r="CO201" t="s">
        <v>364</v>
      </c>
      <c r="CP201">
        <v>0.01</v>
      </c>
      <c r="CQ201" t="s">
        <v>62</v>
      </c>
      <c r="CV201" t="s">
        <v>306</v>
      </c>
      <c r="DA201" t="s">
        <v>306</v>
      </c>
      <c r="DB201" t="s">
        <v>378</v>
      </c>
      <c r="DC201">
        <v>4048184</v>
      </c>
      <c r="DD201" t="s">
        <v>346</v>
      </c>
      <c r="DE201">
        <v>0.02</v>
      </c>
      <c r="DF201" t="s">
        <v>80</v>
      </c>
      <c r="DK201" t="s">
        <v>306</v>
      </c>
      <c r="DL201" t="s">
        <v>378</v>
      </c>
      <c r="DM201">
        <v>4048184</v>
      </c>
      <c r="DN201" t="s">
        <v>346</v>
      </c>
      <c r="DO201">
        <v>0.02</v>
      </c>
      <c r="DP201" t="s">
        <v>80</v>
      </c>
      <c r="DU201" t="s">
        <v>306</v>
      </c>
      <c r="DZ201" t="s">
        <v>306</v>
      </c>
      <c r="EA201" t="s">
        <v>471</v>
      </c>
      <c r="EB201">
        <v>4102247</v>
      </c>
      <c r="EC201" t="s">
        <v>346</v>
      </c>
      <c r="ED201">
        <v>0.01</v>
      </c>
      <c r="EE201" t="s">
        <v>53</v>
      </c>
      <c r="EF201" t="s">
        <v>378</v>
      </c>
      <c r="EG201">
        <v>4048184</v>
      </c>
      <c r="EH201" t="s">
        <v>346</v>
      </c>
      <c r="EI201">
        <v>0.02</v>
      </c>
      <c r="EJ201" t="s">
        <v>80</v>
      </c>
      <c r="EO201" t="s">
        <v>306</v>
      </c>
      <c r="ET201" t="s">
        <v>306</v>
      </c>
      <c r="EY201" t="s">
        <v>306</v>
      </c>
      <c r="FD201" t="s">
        <v>306</v>
      </c>
      <c r="FI201" t="s">
        <v>306</v>
      </c>
      <c r="FN201" t="s">
        <v>306</v>
      </c>
      <c r="FS201" t="s">
        <v>306</v>
      </c>
      <c r="FX201" t="s">
        <v>306</v>
      </c>
      <c r="FY201" t="s">
        <v>378</v>
      </c>
      <c r="FZ201">
        <v>4048184</v>
      </c>
      <c r="GA201" t="s">
        <v>346</v>
      </c>
      <c r="GB201">
        <v>0.02</v>
      </c>
      <c r="GC201" t="s">
        <v>80</v>
      </c>
      <c r="GH201" t="s">
        <v>306</v>
      </c>
      <c r="GM201" t="s">
        <v>306</v>
      </c>
      <c r="GR201" t="s">
        <v>306</v>
      </c>
      <c r="GS201" t="s">
        <v>838</v>
      </c>
      <c r="GT201">
        <v>4315032</v>
      </c>
      <c r="GU201" t="s">
        <v>346</v>
      </c>
      <c r="GV201">
        <v>0</v>
      </c>
      <c r="GW201" t="s">
        <v>50</v>
      </c>
      <c r="GX201" t="s">
        <v>471</v>
      </c>
      <c r="GY201">
        <v>4102247</v>
      </c>
      <c r="GZ201" t="s">
        <v>346</v>
      </c>
      <c r="HA201">
        <v>0.01</v>
      </c>
      <c r="HB201" t="s">
        <v>53</v>
      </c>
      <c r="HG201" t="s">
        <v>306</v>
      </c>
    </row>
    <row r="202" spans="5:215" x14ac:dyDescent="0.35">
      <c r="E202" t="s">
        <v>306</v>
      </c>
      <c r="F202" t="s">
        <v>587</v>
      </c>
      <c r="G202">
        <v>5844561</v>
      </c>
      <c r="H202" t="s">
        <v>346</v>
      </c>
      <c r="I202">
        <v>0</v>
      </c>
      <c r="J202" t="s">
        <v>304</v>
      </c>
      <c r="O202" t="s">
        <v>306</v>
      </c>
      <c r="T202" t="s">
        <v>306</v>
      </c>
      <c r="U202" t="s">
        <v>513</v>
      </c>
      <c r="V202">
        <v>4139819</v>
      </c>
      <c r="W202" t="s">
        <v>346</v>
      </c>
      <c r="X202">
        <v>0.01</v>
      </c>
      <c r="Y202" t="s">
        <v>2181</v>
      </c>
      <c r="AD202" t="s">
        <v>306</v>
      </c>
      <c r="AE202" t="s">
        <v>1180</v>
      </c>
      <c r="AF202">
        <v>4032624</v>
      </c>
      <c r="AG202" t="s">
        <v>346</v>
      </c>
      <c r="AH202">
        <v>0</v>
      </c>
      <c r="AI202" t="s">
        <v>53</v>
      </c>
      <c r="AN202" t="s">
        <v>306</v>
      </c>
      <c r="AO202" t="s">
        <v>1338</v>
      </c>
      <c r="AP202">
        <v>6758323</v>
      </c>
      <c r="AQ202" t="s">
        <v>346</v>
      </c>
      <c r="AR202">
        <v>0</v>
      </c>
      <c r="AS202" t="s">
        <v>62</v>
      </c>
      <c r="AX202" t="s">
        <v>306</v>
      </c>
      <c r="BC202" t="s">
        <v>306</v>
      </c>
      <c r="BD202" t="s">
        <v>407</v>
      </c>
      <c r="BE202">
        <v>109754</v>
      </c>
      <c r="BF202" t="s">
        <v>346</v>
      </c>
      <c r="BG202">
        <v>0.02</v>
      </c>
      <c r="BH202" t="s">
        <v>53</v>
      </c>
      <c r="BI202" t="s">
        <v>1586</v>
      </c>
      <c r="BJ202" t="s">
        <v>300</v>
      </c>
      <c r="BK202" t="s">
        <v>361</v>
      </c>
      <c r="BL202">
        <v>0</v>
      </c>
      <c r="BM202" t="s">
        <v>50</v>
      </c>
      <c r="BN202" t="s">
        <v>776</v>
      </c>
      <c r="BO202">
        <v>4345268</v>
      </c>
      <c r="BP202" t="s">
        <v>346</v>
      </c>
      <c r="BQ202">
        <v>0</v>
      </c>
      <c r="BR202" t="s">
        <v>50</v>
      </c>
      <c r="BS202" t="s">
        <v>732</v>
      </c>
      <c r="BT202">
        <v>4139789</v>
      </c>
      <c r="BU202" t="s">
        <v>346</v>
      </c>
      <c r="BV202">
        <v>0.01</v>
      </c>
      <c r="BW202" t="s">
        <v>50</v>
      </c>
      <c r="BX202" t="s">
        <v>513</v>
      </c>
      <c r="BY202">
        <v>4139819</v>
      </c>
      <c r="BZ202" t="s">
        <v>346</v>
      </c>
      <c r="CA202">
        <v>0.01</v>
      </c>
      <c r="CB202" t="s">
        <v>2181</v>
      </c>
      <c r="CC202" t="s">
        <v>1691</v>
      </c>
      <c r="CD202">
        <v>4115177</v>
      </c>
      <c r="CE202" t="s">
        <v>366</v>
      </c>
      <c r="CF202">
        <v>0.01</v>
      </c>
      <c r="CG202" t="s">
        <v>53</v>
      </c>
      <c r="CH202" t="s">
        <v>1338</v>
      </c>
      <c r="CI202">
        <v>6758323</v>
      </c>
      <c r="CJ202" t="s">
        <v>346</v>
      </c>
      <c r="CK202">
        <v>0</v>
      </c>
      <c r="CL202" t="s">
        <v>62</v>
      </c>
      <c r="CM202" t="s">
        <v>1283</v>
      </c>
      <c r="CN202">
        <v>19723341</v>
      </c>
      <c r="CO202" t="s">
        <v>346</v>
      </c>
      <c r="CP202">
        <v>0.01</v>
      </c>
      <c r="CQ202" t="s">
        <v>62</v>
      </c>
      <c r="CV202" t="s">
        <v>306</v>
      </c>
      <c r="DA202" t="s">
        <v>306</v>
      </c>
      <c r="DB202" t="s">
        <v>407</v>
      </c>
      <c r="DC202">
        <v>109754</v>
      </c>
      <c r="DD202" t="s">
        <v>346</v>
      </c>
      <c r="DE202">
        <v>0.02</v>
      </c>
      <c r="DF202" t="s">
        <v>53</v>
      </c>
      <c r="DK202" t="s">
        <v>306</v>
      </c>
      <c r="DL202" t="s">
        <v>407</v>
      </c>
      <c r="DM202">
        <v>109754</v>
      </c>
      <c r="DN202" t="s">
        <v>346</v>
      </c>
      <c r="DO202">
        <v>0.02</v>
      </c>
      <c r="DP202" t="s">
        <v>53</v>
      </c>
      <c r="DU202" t="s">
        <v>306</v>
      </c>
      <c r="DZ202" t="s">
        <v>306</v>
      </c>
      <c r="EA202" t="s">
        <v>1691</v>
      </c>
      <c r="EB202">
        <v>4115177</v>
      </c>
      <c r="EC202" t="s">
        <v>366</v>
      </c>
      <c r="ED202">
        <v>0.01</v>
      </c>
      <c r="EE202" t="s">
        <v>53</v>
      </c>
      <c r="EF202" t="s">
        <v>407</v>
      </c>
      <c r="EG202">
        <v>109754</v>
      </c>
      <c r="EH202" t="s">
        <v>346</v>
      </c>
      <c r="EI202">
        <v>0.02</v>
      </c>
      <c r="EJ202" t="s">
        <v>53</v>
      </c>
      <c r="EO202" t="s">
        <v>306</v>
      </c>
      <c r="ET202" t="s">
        <v>306</v>
      </c>
      <c r="EY202" t="s">
        <v>306</v>
      </c>
      <c r="FD202" t="s">
        <v>306</v>
      </c>
      <c r="FI202" t="s">
        <v>306</v>
      </c>
      <c r="FN202" t="s">
        <v>306</v>
      </c>
      <c r="FS202" t="s">
        <v>306</v>
      </c>
      <c r="FX202" t="s">
        <v>306</v>
      </c>
      <c r="FY202" t="s">
        <v>407</v>
      </c>
      <c r="FZ202">
        <v>109754</v>
      </c>
      <c r="GA202" t="s">
        <v>346</v>
      </c>
      <c r="GB202">
        <v>0.02</v>
      </c>
      <c r="GC202" t="s">
        <v>53</v>
      </c>
      <c r="GH202" t="s">
        <v>306</v>
      </c>
      <c r="GM202" t="s">
        <v>306</v>
      </c>
      <c r="GR202" t="s">
        <v>306</v>
      </c>
      <c r="GS202" t="s">
        <v>776</v>
      </c>
      <c r="GT202">
        <v>4345268</v>
      </c>
      <c r="GU202" t="s">
        <v>346</v>
      </c>
      <c r="GV202">
        <v>0</v>
      </c>
      <c r="GW202" t="s">
        <v>50</v>
      </c>
      <c r="GX202" t="s">
        <v>1691</v>
      </c>
      <c r="GY202">
        <v>4115177</v>
      </c>
      <c r="GZ202" t="s">
        <v>366</v>
      </c>
      <c r="HA202">
        <v>0.01</v>
      </c>
      <c r="HB202" t="s">
        <v>53</v>
      </c>
      <c r="HG202" t="s">
        <v>306</v>
      </c>
    </row>
    <row r="203" spans="5:215" x14ac:dyDescent="0.35">
      <c r="E203" t="s">
        <v>306</v>
      </c>
      <c r="F203" t="s">
        <v>588</v>
      </c>
      <c r="G203">
        <v>111537</v>
      </c>
      <c r="H203" t="s">
        <v>346</v>
      </c>
      <c r="I203">
        <v>0</v>
      </c>
      <c r="J203" t="s">
        <v>53</v>
      </c>
      <c r="O203" t="s">
        <v>306</v>
      </c>
      <c r="T203" t="s">
        <v>306</v>
      </c>
      <c r="U203" t="s">
        <v>356</v>
      </c>
      <c r="V203">
        <v>4578944</v>
      </c>
      <c r="W203" t="s">
        <v>346</v>
      </c>
      <c r="X203">
        <v>0.01</v>
      </c>
      <c r="Y203" t="s">
        <v>125</v>
      </c>
      <c r="AD203" t="s">
        <v>306</v>
      </c>
      <c r="AE203" t="s">
        <v>1181</v>
      </c>
      <c r="AF203">
        <v>5766970</v>
      </c>
      <c r="AG203" t="s">
        <v>346</v>
      </c>
      <c r="AH203">
        <v>0</v>
      </c>
      <c r="AI203" t="s">
        <v>2185</v>
      </c>
      <c r="AN203" t="s">
        <v>306</v>
      </c>
      <c r="AO203" t="s">
        <v>1339</v>
      </c>
      <c r="AP203">
        <v>29536489</v>
      </c>
      <c r="AQ203" t="s">
        <v>346</v>
      </c>
      <c r="AR203">
        <v>0</v>
      </c>
      <c r="AS203" t="s">
        <v>306</v>
      </c>
      <c r="AX203" t="s">
        <v>306</v>
      </c>
      <c r="BC203" t="s">
        <v>306</v>
      </c>
      <c r="BD203" t="s">
        <v>1457</v>
      </c>
      <c r="BE203">
        <v>111434</v>
      </c>
      <c r="BF203" t="s">
        <v>346</v>
      </c>
      <c r="BG203">
        <v>0.02</v>
      </c>
      <c r="BH203" t="s">
        <v>53</v>
      </c>
      <c r="BI203" t="s">
        <v>546</v>
      </c>
      <c r="BJ203">
        <v>4158830</v>
      </c>
      <c r="BK203" t="s">
        <v>346</v>
      </c>
      <c r="BL203">
        <v>0</v>
      </c>
      <c r="BM203" t="s">
        <v>53</v>
      </c>
      <c r="BN203" t="s">
        <v>758</v>
      </c>
      <c r="BO203">
        <v>4890277</v>
      </c>
      <c r="BP203" t="s">
        <v>346</v>
      </c>
      <c r="BQ203">
        <v>0</v>
      </c>
      <c r="BR203" t="s">
        <v>50</v>
      </c>
      <c r="BS203" t="s">
        <v>389</v>
      </c>
      <c r="BT203">
        <v>109888</v>
      </c>
      <c r="BU203" t="s">
        <v>346</v>
      </c>
      <c r="BV203">
        <v>0.01</v>
      </c>
      <c r="BW203" t="s">
        <v>53</v>
      </c>
      <c r="BX203" t="s">
        <v>356</v>
      </c>
      <c r="BY203">
        <v>4578944</v>
      </c>
      <c r="BZ203" t="s">
        <v>346</v>
      </c>
      <c r="CA203">
        <v>0.01</v>
      </c>
      <c r="CB203" t="s">
        <v>125</v>
      </c>
      <c r="CC203" t="s">
        <v>391</v>
      </c>
      <c r="CD203">
        <v>13582910</v>
      </c>
      <c r="CE203" t="s">
        <v>346</v>
      </c>
      <c r="CF203">
        <v>0.01</v>
      </c>
      <c r="CG203" t="s">
        <v>317</v>
      </c>
      <c r="CH203" t="s">
        <v>1339</v>
      </c>
      <c r="CI203">
        <v>29536489</v>
      </c>
      <c r="CJ203" t="s">
        <v>346</v>
      </c>
      <c r="CK203">
        <v>0</v>
      </c>
      <c r="CL203" t="s">
        <v>306</v>
      </c>
      <c r="CM203" t="s">
        <v>1143</v>
      </c>
      <c r="CN203">
        <v>4138850</v>
      </c>
      <c r="CO203" t="s">
        <v>346</v>
      </c>
      <c r="CP203">
        <v>0.01</v>
      </c>
      <c r="CQ203" t="s">
        <v>62</v>
      </c>
      <c r="CV203" t="s">
        <v>306</v>
      </c>
      <c r="DA203" t="s">
        <v>306</v>
      </c>
      <c r="DB203" t="s">
        <v>1457</v>
      </c>
      <c r="DC203">
        <v>111434</v>
      </c>
      <c r="DD203" t="s">
        <v>346</v>
      </c>
      <c r="DE203">
        <v>0.02</v>
      </c>
      <c r="DF203" t="s">
        <v>53</v>
      </c>
      <c r="DK203" t="s">
        <v>306</v>
      </c>
      <c r="DL203" t="s">
        <v>1457</v>
      </c>
      <c r="DM203">
        <v>111434</v>
      </c>
      <c r="DN203" t="s">
        <v>346</v>
      </c>
      <c r="DO203">
        <v>0.02</v>
      </c>
      <c r="DP203" t="s">
        <v>53</v>
      </c>
      <c r="DU203" t="s">
        <v>306</v>
      </c>
      <c r="DZ203" t="s">
        <v>306</v>
      </c>
      <c r="EA203" t="s">
        <v>391</v>
      </c>
      <c r="EB203">
        <v>13582910</v>
      </c>
      <c r="EC203" t="s">
        <v>346</v>
      </c>
      <c r="ED203">
        <v>0.01</v>
      </c>
      <c r="EE203" t="s">
        <v>317</v>
      </c>
      <c r="EF203" t="s">
        <v>1457</v>
      </c>
      <c r="EG203">
        <v>111434</v>
      </c>
      <c r="EH203" t="s">
        <v>346</v>
      </c>
      <c r="EI203">
        <v>0.02</v>
      </c>
      <c r="EJ203" t="s">
        <v>53</v>
      </c>
      <c r="EO203" t="s">
        <v>306</v>
      </c>
      <c r="ET203" t="s">
        <v>306</v>
      </c>
      <c r="EY203" t="s">
        <v>306</v>
      </c>
      <c r="FD203" t="s">
        <v>306</v>
      </c>
      <c r="FI203" t="s">
        <v>306</v>
      </c>
      <c r="FN203" t="s">
        <v>306</v>
      </c>
      <c r="FS203" t="s">
        <v>306</v>
      </c>
      <c r="FX203" t="s">
        <v>306</v>
      </c>
      <c r="FY203" t="s">
        <v>1457</v>
      </c>
      <c r="FZ203">
        <v>111434</v>
      </c>
      <c r="GA203" t="s">
        <v>346</v>
      </c>
      <c r="GB203">
        <v>0.02</v>
      </c>
      <c r="GC203" t="s">
        <v>53</v>
      </c>
      <c r="GH203" t="s">
        <v>306</v>
      </c>
      <c r="GM203" t="s">
        <v>306</v>
      </c>
      <c r="GR203" t="s">
        <v>306</v>
      </c>
      <c r="GS203" t="s">
        <v>758</v>
      </c>
      <c r="GT203">
        <v>4890277</v>
      </c>
      <c r="GU203" t="s">
        <v>346</v>
      </c>
      <c r="GV203">
        <v>0</v>
      </c>
      <c r="GW203" t="s">
        <v>50</v>
      </c>
      <c r="GX203" t="s">
        <v>391</v>
      </c>
      <c r="GY203">
        <v>13582910</v>
      </c>
      <c r="GZ203" t="s">
        <v>346</v>
      </c>
      <c r="HA203">
        <v>0.01</v>
      </c>
      <c r="HB203" t="s">
        <v>317</v>
      </c>
      <c r="HG203" t="s">
        <v>306</v>
      </c>
    </row>
    <row r="204" spans="5:215" x14ac:dyDescent="0.35">
      <c r="E204" t="s">
        <v>306</v>
      </c>
      <c r="F204" t="s">
        <v>589</v>
      </c>
      <c r="G204">
        <v>4140617</v>
      </c>
      <c r="H204" t="s">
        <v>346</v>
      </c>
      <c r="I204">
        <v>0</v>
      </c>
      <c r="J204" t="s">
        <v>320</v>
      </c>
      <c r="O204" t="s">
        <v>306</v>
      </c>
      <c r="T204" t="s">
        <v>306</v>
      </c>
      <c r="U204" t="s">
        <v>794</v>
      </c>
      <c r="V204" t="s">
        <v>300</v>
      </c>
      <c r="W204" t="s">
        <v>361</v>
      </c>
      <c r="X204">
        <v>0.01</v>
      </c>
      <c r="Y204" t="s">
        <v>50</v>
      </c>
      <c r="AD204" t="s">
        <v>306</v>
      </c>
      <c r="AE204" t="s">
        <v>1182</v>
      </c>
      <c r="AF204">
        <v>4117260</v>
      </c>
      <c r="AG204" t="s">
        <v>346</v>
      </c>
      <c r="AH204">
        <v>0</v>
      </c>
      <c r="AI204" t="s">
        <v>53</v>
      </c>
      <c r="AN204" t="s">
        <v>306</v>
      </c>
      <c r="AO204" t="s">
        <v>484</v>
      </c>
      <c r="AP204">
        <v>110386</v>
      </c>
      <c r="AQ204" t="s">
        <v>346</v>
      </c>
      <c r="AR204">
        <v>0</v>
      </c>
      <c r="AS204" t="s">
        <v>53</v>
      </c>
      <c r="AX204" t="s">
        <v>306</v>
      </c>
      <c r="BC204" t="s">
        <v>306</v>
      </c>
      <c r="BD204" t="s">
        <v>544</v>
      </c>
      <c r="BE204">
        <v>5745911</v>
      </c>
      <c r="BF204" t="s">
        <v>369</v>
      </c>
      <c r="BG204">
        <v>0.02</v>
      </c>
      <c r="BH204" t="s">
        <v>2194</v>
      </c>
      <c r="BI204" t="s">
        <v>566</v>
      </c>
      <c r="BJ204">
        <v>5842545</v>
      </c>
      <c r="BK204" t="s">
        <v>346</v>
      </c>
      <c r="BL204">
        <v>0</v>
      </c>
      <c r="BM204" t="s">
        <v>53</v>
      </c>
      <c r="BN204" t="s">
        <v>1072</v>
      </c>
      <c r="BO204">
        <v>5760994</v>
      </c>
      <c r="BP204" t="s">
        <v>346</v>
      </c>
      <c r="BQ204">
        <v>0</v>
      </c>
      <c r="BR204" t="s">
        <v>323</v>
      </c>
      <c r="BS204" t="s">
        <v>986</v>
      </c>
      <c r="BT204">
        <v>4120275</v>
      </c>
      <c r="BU204" t="s">
        <v>346</v>
      </c>
      <c r="BV204">
        <v>0.01</v>
      </c>
      <c r="BW204" t="s">
        <v>320</v>
      </c>
      <c r="BX204" t="s">
        <v>794</v>
      </c>
      <c r="BY204" t="s">
        <v>300</v>
      </c>
      <c r="BZ204" t="s">
        <v>361</v>
      </c>
      <c r="CA204">
        <v>0.01</v>
      </c>
      <c r="CB204" t="s">
        <v>50</v>
      </c>
      <c r="CC204" t="s">
        <v>1692</v>
      </c>
      <c r="CD204">
        <v>4119727</v>
      </c>
      <c r="CE204" t="s">
        <v>346</v>
      </c>
      <c r="CF204">
        <v>0.01</v>
      </c>
      <c r="CG204" t="s">
        <v>53</v>
      </c>
      <c r="CH204" t="s">
        <v>484</v>
      </c>
      <c r="CI204">
        <v>110386</v>
      </c>
      <c r="CJ204" t="s">
        <v>346</v>
      </c>
      <c r="CK204">
        <v>0</v>
      </c>
      <c r="CL204" t="s">
        <v>53</v>
      </c>
      <c r="CM204" t="s">
        <v>1303</v>
      </c>
      <c r="CN204">
        <v>4265061</v>
      </c>
      <c r="CO204" t="s">
        <v>346</v>
      </c>
      <c r="CP204">
        <v>0.01</v>
      </c>
      <c r="CQ204" t="s">
        <v>62</v>
      </c>
      <c r="CV204" t="s">
        <v>306</v>
      </c>
      <c r="DA204" t="s">
        <v>306</v>
      </c>
      <c r="DB204" t="s">
        <v>544</v>
      </c>
      <c r="DC204">
        <v>5745911</v>
      </c>
      <c r="DD204" t="s">
        <v>369</v>
      </c>
      <c r="DE204">
        <v>0.02</v>
      </c>
      <c r="DF204" t="s">
        <v>2194</v>
      </c>
      <c r="DK204" t="s">
        <v>306</v>
      </c>
      <c r="DL204" t="s">
        <v>544</v>
      </c>
      <c r="DM204">
        <v>5745911</v>
      </c>
      <c r="DN204" t="s">
        <v>369</v>
      </c>
      <c r="DO204">
        <v>0.02</v>
      </c>
      <c r="DP204" t="s">
        <v>2194</v>
      </c>
      <c r="DU204" t="s">
        <v>306</v>
      </c>
      <c r="DZ204" t="s">
        <v>306</v>
      </c>
      <c r="EA204" t="s">
        <v>1692</v>
      </c>
      <c r="EB204">
        <v>4119727</v>
      </c>
      <c r="EC204" t="s">
        <v>346</v>
      </c>
      <c r="ED204">
        <v>0.01</v>
      </c>
      <c r="EE204" t="s">
        <v>53</v>
      </c>
      <c r="EF204" t="s">
        <v>544</v>
      </c>
      <c r="EG204">
        <v>5745911</v>
      </c>
      <c r="EH204" t="s">
        <v>369</v>
      </c>
      <c r="EI204">
        <v>0.02</v>
      </c>
      <c r="EJ204" t="s">
        <v>2194</v>
      </c>
      <c r="EO204" t="s">
        <v>306</v>
      </c>
      <c r="ET204" t="s">
        <v>306</v>
      </c>
      <c r="EY204" t="s">
        <v>306</v>
      </c>
      <c r="FD204" t="s">
        <v>306</v>
      </c>
      <c r="FI204" t="s">
        <v>306</v>
      </c>
      <c r="FN204" t="s">
        <v>306</v>
      </c>
      <c r="FS204" t="s">
        <v>306</v>
      </c>
      <c r="FX204" t="s">
        <v>306</v>
      </c>
      <c r="FY204" t="s">
        <v>544</v>
      </c>
      <c r="FZ204">
        <v>5745911</v>
      </c>
      <c r="GA204" t="s">
        <v>369</v>
      </c>
      <c r="GB204">
        <v>0.02</v>
      </c>
      <c r="GC204" t="s">
        <v>2194</v>
      </c>
      <c r="GH204" t="s">
        <v>306</v>
      </c>
      <c r="GM204" t="s">
        <v>306</v>
      </c>
      <c r="GR204" t="s">
        <v>306</v>
      </c>
      <c r="GS204" t="s">
        <v>1072</v>
      </c>
      <c r="GT204">
        <v>5760994</v>
      </c>
      <c r="GU204" t="s">
        <v>346</v>
      </c>
      <c r="GV204">
        <v>0</v>
      </c>
      <c r="GW204" t="s">
        <v>323</v>
      </c>
      <c r="GX204" t="s">
        <v>1692</v>
      </c>
      <c r="GY204">
        <v>4119727</v>
      </c>
      <c r="GZ204" t="s">
        <v>346</v>
      </c>
      <c r="HA204">
        <v>0.01</v>
      </c>
      <c r="HB204" t="s">
        <v>53</v>
      </c>
      <c r="HG204" t="s">
        <v>306</v>
      </c>
    </row>
    <row r="205" spans="5:215" x14ac:dyDescent="0.35">
      <c r="E205" t="s">
        <v>306</v>
      </c>
      <c r="F205" t="s">
        <v>590</v>
      </c>
      <c r="G205">
        <v>5843650</v>
      </c>
      <c r="H205" t="s">
        <v>346</v>
      </c>
      <c r="I205">
        <v>0</v>
      </c>
      <c r="J205" t="s">
        <v>2185</v>
      </c>
      <c r="O205" t="s">
        <v>306</v>
      </c>
      <c r="T205" t="s">
        <v>306</v>
      </c>
      <c r="U205" t="s">
        <v>795</v>
      </c>
      <c r="V205">
        <v>27663277</v>
      </c>
      <c r="W205" t="s">
        <v>346</v>
      </c>
      <c r="X205">
        <v>0.01</v>
      </c>
      <c r="Y205" t="s">
        <v>306</v>
      </c>
      <c r="AD205" t="s">
        <v>306</v>
      </c>
      <c r="AE205" t="s">
        <v>430</v>
      </c>
      <c r="AF205">
        <v>4055767</v>
      </c>
      <c r="AG205" t="s">
        <v>346</v>
      </c>
      <c r="AH205">
        <v>0</v>
      </c>
      <c r="AI205" t="s">
        <v>53</v>
      </c>
      <c r="AN205" t="s">
        <v>306</v>
      </c>
      <c r="AO205" t="s">
        <v>1340</v>
      </c>
      <c r="AP205">
        <v>5829348</v>
      </c>
      <c r="AQ205" t="s">
        <v>346</v>
      </c>
      <c r="AR205">
        <v>0</v>
      </c>
      <c r="AS205" t="s">
        <v>62</v>
      </c>
      <c r="AX205" t="s">
        <v>306</v>
      </c>
      <c r="BC205" t="s">
        <v>306</v>
      </c>
      <c r="BD205" t="s">
        <v>555</v>
      </c>
      <c r="BE205">
        <v>4581412</v>
      </c>
      <c r="BF205" t="s">
        <v>346</v>
      </c>
      <c r="BG205">
        <v>0.02</v>
      </c>
      <c r="BH205" t="s">
        <v>2184</v>
      </c>
      <c r="BI205" t="s">
        <v>558</v>
      </c>
      <c r="BJ205">
        <v>109844</v>
      </c>
      <c r="BK205" t="s">
        <v>346</v>
      </c>
      <c r="BL205">
        <v>0</v>
      </c>
      <c r="BM205" t="s">
        <v>53</v>
      </c>
      <c r="BN205" t="s">
        <v>659</v>
      </c>
      <c r="BO205">
        <v>4139011</v>
      </c>
      <c r="BP205" t="s">
        <v>346</v>
      </c>
      <c r="BQ205">
        <v>0</v>
      </c>
      <c r="BR205" t="s">
        <v>2185</v>
      </c>
      <c r="BS205" t="s">
        <v>526</v>
      </c>
      <c r="BT205">
        <v>4248288</v>
      </c>
      <c r="BU205" t="s">
        <v>346</v>
      </c>
      <c r="BV205">
        <v>0.01</v>
      </c>
      <c r="BW205" t="s">
        <v>80</v>
      </c>
      <c r="BX205" t="s">
        <v>795</v>
      </c>
      <c r="BY205">
        <v>27663277</v>
      </c>
      <c r="BZ205" t="s">
        <v>346</v>
      </c>
      <c r="CA205">
        <v>0.01</v>
      </c>
      <c r="CB205" t="s">
        <v>306</v>
      </c>
      <c r="CC205" t="s">
        <v>1693</v>
      </c>
      <c r="CD205">
        <v>5847714</v>
      </c>
      <c r="CE205" t="s">
        <v>364</v>
      </c>
      <c r="CF205">
        <v>0.01</v>
      </c>
      <c r="CG205" t="s">
        <v>114</v>
      </c>
      <c r="CH205" t="s">
        <v>1340</v>
      </c>
      <c r="CI205">
        <v>5829348</v>
      </c>
      <c r="CJ205" t="s">
        <v>346</v>
      </c>
      <c r="CK205">
        <v>0</v>
      </c>
      <c r="CL205" t="s">
        <v>62</v>
      </c>
      <c r="CM205" t="s">
        <v>1991</v>
      </c>
      <c r="CN205">
        <v>4097767</v>
      </c>
      <c r="CO205" t="s">
        <v>363</v>
      </c>
      <c r="CP205">
        <v>0.01</v>
      </c>
      <c r="CQ205" t="s">
        <v>53</v>
      </c>
      <c r="CV205" t="s">
        <v>306</v>
      </c>
      <c r="DA205" t="s">
        <v>306</v>
      </c>
      <c r="DB205" t="s">
        <v>555</v>
      </c>
      <c r="DC205">
        <v>4581412</v>
      </c>
      <c r="DD205" t="s">
        <v>346</v>
      </c>
      <c r="DE205">
        <v>0.02</v>
      </c>
      <c r="DF205" t="s">
        <v>2184</v>
      </c>
      <c r="DK205" t="s">
        <v>306</v>
      </c>
      <c r="DL205" t="s">
        <v>555</v>
      </c>
      <c r="DM205">
        <v>4581412</v>
      </c>
      <c r="DN205" t="s">
        <v>346</v>
      </c>
      <c r="DO205">
        <v>0.02</v>
      </c>
      <c r="DP205" t="s">
        <v>2184</v>
      </c>
      <c r="DU205" t="s">
        <v>306</v>
      </c>
      <c r="DZ205" t="s">
        <v>306</v>
      </c>
      <c r="EA205" t="s">
        <v>1693</v>
      </c>
      <c r="EB205">
        <v>5847714</v>
      </c>
      <c r="EC205" t="s">
        <v>364</v>
      </c>
      <c r="ED205">
        <v>0.01</v>
      </c>
      <c r="EE205" t="s">
        <v>114</v>
      </c>
      <c r="EF205" t="s">
        <v>555</v>
      </c>
      <c r="EG205">
        <v>4581412</v>
      </c>
      <c r="EH205" t="s">
        <v>346</v>
      </c>
      <c r="EI205">
        <v>0.02</v>
      </c>
      <c r="EJ205" t="s">
        <v>2184</v>
      </c>
      <c r="EO205" t="s">
        <v>306</v>
      </c>
      <c r="ET205" t="s">
        <v>306</v>
      </c>
      <c r="EY205" t="s">
        <v>306</v>
      </c>
      <c r="FD205" t="s">
        <v>306</v>
      </c>
      <c r="FI205" t="s">
        <v>306</v>
      </c>
      <c r="FN205" t="s">
        <v>306</v>
      </c>
      <c r="FS205" t="s">
        <v>306</v>
      </c>
      <c r="FX205" t="s">
        <v>306</v>
      </c>
      <c r="FY205" t="s">
        <v>555</v>
      </c>
      <c r="FZ205">
        <v>4581412</v>
      </c>
      <c r="GA205" t="s">
        <v>346</v>
      </c>
      <c r="GB205">
        <v>0.02</v>
      </c>
      <c r="GC205" t="s">
        <v>2184</v>
      </c>
      <c r="GH205" t="s">
        <v>306</v>
      </c>
      <c r="GM205" t="s">
        <v>306</v>
      </c>
      <c r="GR205" t="s">
        <v>306</v>
      </c>
      <c r="GS205" t="s">
        <v>659</v>
      </c>
      <c r="GT205">
        <v>4139011</v>
      </c>
      <c r="GU205" t="s">
        <v>346</v>
      </c>
      <c r="GV205">
        <v>0</v>
      </c>
      <c r="GW205" t="s">
        <v>2185</v>
      </c>
      <c r="GX205" t="s">
        <v>1693</v>
      </c>
      <c r="GY205">
        <v>5847714</v>
      </c>
      <c r="GZ205" t="s">
        <v>364</v>
      </c>
      <c r="HA205">
        <v>0.01</v>
      </c>
      <c r="HB205" t="s">
        <v>114</v>
      </c>
      <c r="HG205" t="s">
        <v>306</v>
      </c>
    </row>
    <row r="206" spans="5:215" x14ac:dyDescent="0.35">
      <c r="E206" t="s">
        <v>306</v>
      </c>
      <c r="F206" t="s">
        <v>591</v>
      </c>
      <c r="G206">
        <v>109721</v>
      </c>
      <c r="H206" t="s">
        <v>346</v>
      </c>
      <c r="I206">
        <v>0</v>
      </c>
      <c r="J206" t="s">
        <v>53</v>
      </c>
      <c r="O206" t="s">
        <v>306</v>
      </c>
      <c r="T206" t="s">
        <v>306</v>
      </c>
      <c r="U206" t="s">
        <v>398</v>
      </c>
      <c r="V206">
        <v>4107954</v>
      </c>
      <c r="W206" t="s">
        <v>300</v>
      </c>
      <c r="X206">
        <v>0.01</v>
      </c>
      <c r="Y206" t="s">
        <v>304</v>
      </c>
      <c r="AD206" t="s">
        <v>306</v>
      </c>
      <c r="AE206" t="s">
        <v>446</v>
      </c>
      <c r="AF206">
        <v>4539004</v>
      </c>
      <c r="AG206" t="s">
        <v>346</v>
      </c>
      <c r="AH206">
        <v>0</v>
      </c>
      <c r="AI206" t="s">
        <v>53</v>
      </c>
      <c r="AN206" t="s">
        <v>306</v>
      </c>
      <c r="AO206" t="s">
        <v>1067</v>
      </c>
      <c r="AP206">
        <v>4336776</v>
      </c>
      <c r="AQ206" t="s">
        <v>346</v>
      </c>
      <c r="AR206">
        <v>0</v>
      </c>
      <c r="AS206" t="s">
        <v>375</v>
      </c>
      <c r="AX206" t="s">
        <v>306</v>
      </c>
      <c r="BC206" t="s">
        <v>306</v>
      </c>
      <c r="BD206" t="s">
        <v>547</v>
      </c>
      <c r="BE206">
        <v>4005523</v>
      </c>
      <c r="BF206" t="s">
        <v>346</v>
      </c>
      <c r="BG206">
        <v>0.02</v>
      </c>
      <c r="BH206" t="s">
        <v>80</v>
      </c>
      <c r="BI206" t="s">
        <v>894</v>
      </c>
      <c r="BJ206">
        <v>4139629</v>
      </c>
      <c r="BK206" t="s">
        <v>346</v>
      </c>
      <c r="BL206">
        <v>0</v>
      </c>
      <c r="BM206" t="s">
        <v>2181</v>
      </c>
      <c r="BN206" t="s">
        <v>408</v>
      </c>
      <c r="BO206">
        <v>4138917</v>
      </c>
      <c r="BP206" t="s">
        <v>346</v>
      </c>
      <c r="BQ206">
        <v>0</v>
      </c>
      <c r="BR206" t="s">
        <v>125</v>
      </c>
      <c r="BS206" t="s">
        <v>404</v>
      </c>
      <c r="BT206">
        <v>4383779</v>
      </c>
      <c r="BU206" t="s">
        <v>346</v>
      </c>
      <c r="BV206">
        <v>0.01</v>
      </c>
      <c r="BW206" t="s">
        <v>53</v>
      </c>
      <c r="BX206" t="s">
        <v>398</v>
      </c>
      <c r="BY206">
        <v>4107954</v>
      </c>
      <c r="BZ206" t="s">
        <v>300</v>
      </c>
      <c r="CA206">
        <v>0.01</v>
      </c>
      <c r="CB206" t="s">
        <v>304</v>
      </c>
      <c r="CC206" t="s">
        <v>952</v>
      </c>
      <c r="CD206">
        <v>4244140</v>
      </c>
      <c r="CE206" t="s">
        <v>346</v>
      </c>
      <c r="CF206">
        <v>0.01</v>
      </c>
      <c r="CG206" t="s">
        <v>53</v>
      </c>
      <c r="CH206" t="s">
        <v>1067</v>
      </c>
      <c r="CI206">
        <v>4336776</v>
      </c>
      <c r="CJ206" t="s">
        <v>346</v>
      </c>
      <c r="CK206">
        <v>0</v>
      </c>
      <c r="CL206" t="s">
        <v>375</v>
      </c>
      <c r="CM206" t="s">
        <v>1886</v>
      </c>
      <c r="CN206">
        <v>109739</v>
      </c>
      <c r="CO206" t="s">
        <v>346</v>
      </c>
      <c r="CP206">
        <v>0.01</v>
      </c>
      <c r="CQ206" t="s">
        <v>53</v>
      </c>
      <c r="CV206" t="s">
        <v>306</v>
      </c>
      <c r="DA206" t="s">
        <v>306</v>
      </c>
      <c r="DB206" t="s">
        <v>547</v>
      </c>
      <c r="DC206">
        <v>4005523</v>
      </c>
      <c r="DD206" t="s">
        <v>346</v>
      </c>
      <c r="DE206">
        <v>0.02</v>
      </c>
      <c r="DF206" t="s">
        <v>80</v>
      </c>
      <c r="DK206" t="s">
        <v>306</v>
      </c>
      <c r="DL206" t="s">
        <v>547</v>
      </c>
      <c r="DM206">
        <v>4005523</v>
      </c>
      <c r="DN206" t="s">
        <v>346</v>
      </c>
      <c r="DO206">
        <v>0.02</v>
      </c>
      <c r="DP206" t="s">
        <v>80</v>
      </c>
      <c r="DU206" t="s">
        <v>306</v>
      </c>
      <c r="DZ206" t="s">
        <v>306</v>
      </c>
      <c r="EA206" t="s">
        <v>952</v>
      </c>
      <c r="EB206">
        <v>4244140</v>
      </c>
      <c r="EC206" t="s">
        <v>346</v>
      </c>
      <c r="ED206">
        <v>0.01</v>
      </c>
      <c r="EE206" t="s">
        <v>53</v>
      </c>
      <c r="EF206" t="s">
        <v>547</v>
      </c>
      <c r="EG206">
        <v>4005523</v>
      </c>
      <c r="EH206" t="s">
        <v>346</v>
      </c>
      <c r="EI206">
        <v>0.02</v>
      </c>
      <c r="EJ206" t="s">
        <v>80</v>
      </c>
      <c r="EO206" t="s">
        <v>306</v>
      </c>
      <c r="ET206" t="s">
        <v>306</v>
      </c>
      <c r="EY206" t="s">
        <v>306</v>
      </c>
      <c r="FD206" t="s">
        <v>306</v>
      </c>
      <c r="FI206" t="s">
        <v>306</v>
      </c>
      <c r="FN206" t="s">
        <v>306</v>
      </c>
      <c r="FS206" t="s">
        <v>306</v>
      </c>
      <c r="FX206" t="s">
        <v>306</v>
      </c>
      <c r="FY206" t="s">
        <v>547</v>
      </c>
      <c r="FZ206">
        <v>4005523</v>
      </c>
      <c r="GA206" t="s">
        <v>346</v>
      </c>
      <c r="GB206">
        <v>0.02</v>
      </c>
      <c r="GC206" t="s">
        <v>80</v>
      </c>
      <c r="GH206" t="s">
        <v>306</v>
      </c>
      <c r="GM206" t="s">
        <v>306</v>
      </c>
      <c r="GR206" t="s">
        <v>306</v>
      </c>
      <c r="GS206" t="s">
        <v>408</v>
      </c>
      <c r="GT206">
        <v>4138917</v>
      </c>
      <c r="GU206" t="s">
        <v>346</v>
      </c>
      <c r="GV206">
        <v>0</v>
      </c>
      <c r="GW206" t="s">
        <v>125</v>
      </c>
      <c r="GX206" t="s">
        <v>952</v>
      </c>
      <c r="GY206">
        <v>4244140</v>
      </c>
      <c r="GZ206" t="s">
        <v>346</v>
      </c>
      <c r="HA206">
        <v>0.01</v>
      </c>
      <c r="HB206" t="s">
        <v>53</v>
      </c>
      <c r="HG206" t="s">
        <v>306</v>
      </c>
    </row>
    <row r="207" spans="5:215" x14ac:dyDescent="0.35">
      <c r="E207" t="s">
        <v>306</v>
      </c>
      <c r="F207" t="s">
        <v>592</v>
      </c>
      <c r="G207">
        <v>1015222</v>
      </c>
      <c r="H207" t="s">
        <v>346</v>
      </c>
      <c r="I207">
        <v>0</v>
      </c>
      <c r="J207" t="s">
        <v>53</v>
      </c>
      <c r="O207" t="s">
        <v>306</v>
      </c>
      <c r="T207" t="s">
        <v>306</v>
      </c>
      <c r="U207" t="s">
        <v>796</v>
      </c>
      <c r="V207">
        <v>19312355</v>
      </c>
      <c r="W207" t="s">
        <v>346</v>
      </c>
      <c r="X207">
        <v>0.01</v>
      </c>
      <c r="Y207" t="s">
        <v>50</v>
      </c>
      <c r="AD207" t="s">
        <v>306</v>
      </c>
      <c r="AE207" t="s">
        <v>1183</v>
      </c>
      <c r="AF207">
        <v>4142284</v>
      </c>
      <c r="AG207" t="s">
        <v>366</v>
      </c>
      <c r="AH207">
        <v>0</v>
      </c>
      <c r="AI207" t="s">
        <v>53</v>
      </c>
      <c r="AN207" t="s">
        <v>306</v>
      </c>
      <c r="AO207" t="s">
        <v>872</v>
      </c>
      <c r="AP207">
        <v>4025426</v>
      </c>
      <c r="AQ207" t="s">
        <v>300</v>
      </c>
      <c r="AR207">
        <v>0</v>
      </c>
      <c r="AS207" t="s">
        <v>53</v>
      </c>
      <c r="AX207" t="s">
        <v>306</v>
      </c>
      <c r="BC207" t="s">
        <v>306</v>
      </c>
      <c r="BD207" t="s">
        <v>1458</v>
      </c>
      <c r="BE207">
        <v>4187151</v>
      </c>
      <c r="BF207" t="s">
        <v>346</v>
      </c>
      <c r="BG207">
        <v>0.02</v>
      </c>
      <c r="BH207" t="s">
        <v>53</v>
      </c>
      <c r="BI207" t="s">
        <v>1587</v>
      </c>
      <c r="BJ207">
        <v>4555471</v>
      </c>
      <c r="BK207" t="s">
        <v>364</v>
      </c>
      <c r="BL207">
        <v>0</v>
      </c>
      <c r="BM207" t="s">
        <v>2194</v>
      </c>
      <c r="BN207" t="s">
        <v>660</v>
      </c>
      <c r="BO207">
        <v>4099895</v>
      </c>
      <c r="BP207" t="s">
        <v>366</v>
      </c>
      <c r="BQ207">
        <v>0</v>
      </c>
      <c r="BR207" t="s">
        <v>80</v>
      </c>
      <c r="BS207" t="s">
        <v>429</v>
      </c>
      <c r="BT207">
        <v>4607441</v>
      </c>
      <c r="BU207" t="s">
        <v>346</v>
      </c>
      <c r="BV207">
        <v>0.01</v>
      </c>
      <c r="BW207" t="s">
        <v>304</v>
      </c>
      <c r="BX207" t="s">
        <v>796</v>
      </c>
      <c r="BY207">
        <v>19312355</v>
      </c>
      <c r="BZ207" t="s">
        <v>346</v>
      </c>
      <c r="CA207">
        <v>0.01</v>
      </c>
      <c r="CB207" t="s">
        <v>50</v>
      </c>
      <c r="CC207" t="s">
        <v>1694</v>
      </c>
      <c r="CD207">
        <v>4115842</v>
      </c>
      <c r="CE207" t="s">
        <v>346</v>
      </c>
      <c r="CF207">
        <v>0.01</v>
      </c>
      <c r="CG207" t="s">
        <v>53</v>
      </c>
      <c r="CH207" t="s">
        <v>872</v>
      </c>
      <c r="CI207">
        <v>4025426</v>
      </c>
      <c r="CJ207" t="s">
        <v>300</v>
      </c>
      <c r="CK207">
        <v>0</v>
      </c>
      <c r="CL207" t="s">
        <v>53</v>
      </c>
      <c r="CM207" t="s">
        <v>1992</v>
      </c>
      <c r="CN207">
        <v>4116320</v>
      </c>
      <c r="CO207" t="s">
        <v>346</v>
      </c>
      <c r="CP207">
        <v>0.01</v>
      </c>
      <c r="CQ207" t="s">
        <v>53</v>
      </c>
      <c r="CV207" t="s">
        <v>306</v>
      </c>
      <c r="DA207" t="s">
        <v>306</v>
      </c>
      <c r="DB207" t="s">
        <v>1458</v>
      </c>
      <c r="DC207">
        <v>4187151</v>
      </c>
      <c r="DD207" t="s">
        <v>346</v>
      </c>
      <c r="DE207">
        <v>0.02</v>
      </c>
      <c r="DF207" t="s">
        <v>53</v>
      </c>
      <c r="DK207" t="s">
        <v>306</v>
      </c>
      <c r="DL207" t="s">
        <v>1458</v>
      </c>
      <c r="DM207">
        <v>4187151</v>
      </c>
      <c r="DN207" t="s">
        <v>346</v>
      </c>
      <c r="DO207">
        <v>0.02</v>
      </c>
      <c r="DP207" t="s">
        <v>53</v>
      </c>
      <c r="DU207" t="s">
        <v>306</v>
      </c>
      <c r="DZ207" t="s">
        <v>306</v>
      </c>
      <c r="EA207" t="s">
        <v>1694</v>
      </c>
      <c r="EB207">
        <v>4115842</v>
      </c>
      <c r="EC207" t="s">
        <v>346</v>
      </c>
      <c r="ED207">
        <v>0.01</v>
      </c>
      <c r="EE207" t="s">
        <v>53</v>
      </c>
      <c r="EF207" t="s">
        <v>1458</v>
      </c>
      <c r="EG207">
        <v>4187151</v>
      </c>
      <c r="EH207" t="s">
        <v>346</v>
      </c>
      <c r="EI207">
        <v>0.02</v>
      </c>
      <c r="EJ207" t="s">
        <v>53</v>
      </c>
      <c r="EO207" t="s">
        <v>306</v>
      </c>
      <c r="ET207" t="s">
        <v>306</v>
      </c>
      <c r="EY207" t="s">
        <v>306</v>
      </c>
      <c r="FD207" t="s">
        <v>306</v>
      </c>
      <c r="FI207" t="s">
        <v>306</v>
      </c>
      <c r="FN207" t="s">
        <v>306</v>
      </c>
      <c r="FS207" t="s">
        <v>306</v>
      </c>
      <c r="FX207" t="s">
        <v>306</v>
      </c>
      <c r="FY207" t="s">
        <v>1458</v>
      </c>
      <c r="FZ207">
        <v>4187151</v>
      </c>
      <c r="GA207" t="s">
        <v>346</v>
      </c>
      <c r="GB207">
        <v>0.02</v>
      </c>
      <c r="GC207" t="s">
        <v>53</v>
      </c>
      <c r="GH207" t="s">
        <v>306</v>
      </c>
      <c r="GM207" t="s">
        <v>306</v>
      </c>
      <c r="GR207" t="s">
        <v>306</v>
      </c>
      <c r="GS207" t="s">
        <v>660</v>
      </c>
      <c r="GT207">
        <v>4099895</v>
      </c>
      <c r="GU207" t="s">
        <v>366</v>
      </c>
      <c r="GV207">
        <v>0</v>
      </c>
      <c r="GW207" t="s">
        <v>80</v>
      </c>
      <c r="GX207" t="s">
        <v>1694</v>
      </c>
      <c r="GY207">
        <v>4115842</v>
      </c>
      <c r="GZ207" t="s">
        <v>346</v>
      </c>
      <c r="HA207">
        <v>0.01</v>
      </c>
      <c r="HB207" t="s">
        <v>53</v>
      </c>
      <c r="HG207" t="s">
        <v>306</v>
      </c>
    </row>
    <row r="208" spans="5:215" x14ac:dyDescent="0.35">
      <c r="E208" t="s">
        <v>306</v>
      </c>
      <c r="F208" t="s">
        <v>593</v>
      </c>
      <c r="G208">
        <v>4138124</v>
      </c>
      <c r="H208" t="s">
        <v>346</v>
      </c>
      <c r="I208">
        <v>0</v>
      </c>
      <c r="J208" t="s">
        <v>304</v>
      </c>
      <c r="O208" t="s">
        <v>306</v>
      </c>
      <c r="T208" t="s">
        <v>306</v>
      </c>
      <c r="U208" t="s">
        <v>797</v>
      </c>
      <c r="V208">
        <v>4138761</v>
      </c>
      <c r="W208" t="s">
        <v>346</v>
      </c>
      <c r="X208">
        <v>0.01</v>
      </c>
      <c r="Y208" t="s">
        <v>50</v>
      </c>
      <c r="AD208" t="s">
        <v>306</v>
      </c>
      <c r="AE208" t="s">
        <v>1184</v>
      </c>
      <c r="AF208">
        <v>110116</v>
      </c>
      <c r="AG208" t="s">
        <v>346</v>
      </c>
      <c r="AH208">
        <v>0</v>
      </c>
      <c r="AI208" t="s">
        <v>53</v>
      </c>
      <c r="AN208" t="s">
        <v>306</v>
      </c>
      <c r="AO208" t="s">
        <v>477</v>
      </c>
      <c r="AP208">
        <v>4119790</v>
      </c>
      <c r="AQ208" t="s">
        <v>346</v>
      </c>
      <c r="AR208">
        <v>0</v>
      </c>
      <c r="AS208" t="s">
        <v>53</v>
      </c>
      <c r="AX208" t="s">
        <v>306</v>
      </c>
      <c r="BC208" t="s">
        <v>306</v>
      </c>
      <c r="BD208" t="s">
        <v>963</v>
      </c>
      <c r="BE208">
        <v>4156964</v>
      </c>
      <c r="BF208" t="s">
        <v>346</v>
      </c>
      <c r="BG208">
        <v>0.02</v>
      </c>
      <c r="BH208" t="s">
        <v>80</v>
      </c>
      <c r="BI208" t="s">
        <v>544</v>
      </c>
      <c r="BJ208">
        <v>5745911</v>
      </c>
      <c r="BK208" t="s">
        <v>369</v>
      </c>
      <c r="BL208">
        <v>0</v>
      </c>
      <c r="BM208" t="s">
        <v>2194</v>
      </c>
      <c r="BN208" t="s">
        <v>728</v>
      </c>
      <c r="BO208">
        <v>4316929</v>
      </c>
      <c r="BP208" t="s">
        <v>346</v>
      </c>
      <c r="BQ208">
        <v>0</v>
      </c>
      <c r="BR208" t="s">
        <v>50</v>
      </c>
      <c r="BS208" t="s">
        <v>987</v>
      </c>
      <c r="BT208">
        <v>110332</v>
      </c>
      <c r="BU208" t="s">
        <v>346</v>
      </c>
      <c r="BV208">
        <v>0.01</v>
      </c>
      <c r="BW208" t="s">
        <v>53</v>
      </c>
      <c r="BX208" t="s">
        <v>797</v>
      </c>
      <c r="BY208">
        <v>4138761</v>
      </c>
      <c r="BZ208" t="s">
        <v>346</v>
      </c>
      <c r="CA208">
        <v>0.01</v>
      </c>
      <c r="CB208" t="s">
        <v>50</v>
      </c>
      <c r="CC208" t="s">
        <v>1695</v>
      </c>
      <c r="CD208">
        <v>4548258</v>
      </c>
      <c r="CE208" t="s">
        <v>276</v>
      </c>
      <c r="CF208">
        <v>0.01</v>
      </c>
      <c r="CG208" t="s">
        <v>114</v>
      </c>
      <c r="CH208" t="s">
        <v>477</v>
      </c>
      <c r="CI208">
        <v>4119790</v>
      </c>
      <c r="CJ208" t="s">
        <v>346</v>
      </c>
      <c r="CK208">
        <v>0</v>
      </c>
      <c r="CL208" t="s">
        <v>53</v>
      </c>
      <c r="CM208" t="s">
        <v>459</v>
      </c>
      <c r="CN208">
        <v>4140503</v>
      </c>
      <c r="CO208" t="s">
        <v>346</v>
      </c>
      <c r="CP208">
        <v>0.01</v>
      </c>
      <c r="CQ208" t="s">
        <v>2186</v>
      </c>
      <c r="CV208" t="s">
        <v>306</v>
      </c>
      <c r="DA208" t="s">
        <v>306</v>
      </c>
      <c r="DB208" t="s">
        <v>963</v>
      </c>
      <c r="DC208">
        <v>4156964</v>
      </c>
      <c r="DD208" t="s">
        <v>346</v>
      </c>
      <c r="DE208">
        <v>0.02</v>
      </c>
      <c r="DF208" t="s">
        <v>80</v>
      </c>
      <c r="DK208" t="s">
        <v>306</v>
      </c>
      <c r="DL208" t="s">
        <v>963</v>
      </c>
      <c r="DM208">
        <v>4156964</v>
      </c>
      <c r="DN208" t="s">
        <v>346</v>
      </c>
      <c r="DO208">
        <v>0.02</v>
      </c>
      <c r="DP208" t="s">
        <v>80</v>
      </c>
      <c r="DU208" t="s">
        <v>306</v>
      </c>
      <c r="DZ208" t="s">
        <v>306</v>
      </c>
      <c r="EA208" t="s">
        <v>1695</v>
      </c>
      <c r="EB208">
        <v>4548258</v>
      </c>
      <c r="EC208" t="s">
        <v>276</v>
      </c>
      <c r="ED208">
        <v>0.01</v>
      </c>
      <c r="EE208" t="s">
        <v>114</v>
      </c>
      <c r="EF208" t="s">
        <v>963</v>
      </c>
      <c r="EG208">
        <v>4156964</v>
      </c>
      <c r="EH208" t="s">
        <v>346</v>
      </c>
      <c r="EI208">
        <v>0.02</v>
      </c>
      <c r="EJ208" t="s">
        <v>80</v>
      </c>
      <c r="EO208" t="s">
        <v>306</v>
      </c>
      <c r="ET208" t="s">
        <v>306</v>
      </c>
      <c r="EY208" t="s">
        <v>306</v>
      </c>
      <c r="FD208" t="s">
        <v>306</v>
      </c>
      <c r="FI208" t="s">
        <v>306</v>
      </c>
      <c r="FN208" t="s">
        <v>306</v>
      </c>
      <c r="FS208" t="s">
        <v>306</v>
      </c>
      <c r="FX208" t="s">
        <v>306</v>
      </c>
      <c r="FY208" t="s">
        <v>963</v>
      </c>
      <c r="FZ208">
        <v>4156964</v>
      </c>
      <c r="GA208" t="s">
        <v>346</v>
      </c>
      <c r="GB208">
        <v>0.02</v>
      </c>
      <c r="GC208" t="s">
        <v>80</v>
      </c>
      <c r="GH208" t="s">
        <v>306</v>
      </c>
      <c r="GM208" t="s">
        <v>306</v>
      </c>
      <c r="GR208" t="s">
        <v>306</v>
      </c>
      <c r="GS208" t="s">
        <v>728</v>
      </c>
      <c r="GT208">
        <v>4316929</v>
      </c>
      <c r="GU208" t="s">
        <v>346</v>
      </c>
      <c r="GV208">
        <v>0</v>
      </c>
      <c r="GW208" t="s">
        <v>50</v>
      </c>
      <c r="GX208" t="s">
        <v>1695</v>
      </c>
      <c r="GY208">
        <v>4548258</v>
      </c>
      <c r="GZ208" t="s">
        <v>276</v>
      </c>
      <c r="HA208">
        <v>0.01</v>
      </c>
      <c r="HB208" t="s">
        <v>114</v>
      </c>
      <c r="HG208" t="s">
        <v>306</v>
      </c>
    </row>
    <row r="209" spans="5:215" x14ac:dyDescent="0.35">
      <c r="E209" t="s">
        <v>306</v>
      </c>
      <c r="F209" t="s">
        <v>395</v>
      </c>
      <c r="G209">
        <v>4153606</v>
      </c>
      <c r="H209" t="s">
        <v>346</v>
      </c>
      <c r="I209">
        <v>0</v>
      </c>
      <c r="J209" t="s">
        <v>53</v>
      </c>
      <c r="O209" t="s">
        <v>306</v>
      </c>
      <c r="T209" t="s">
        <v>306</v>
      </c>
      <c r="U209" t="s">
        <v>798</v>
      </c>
      <c r="V209" t="s">
        <v>300</v>
      </c>
      <c r="W209" t="s">
        <v>361</v>
      </c>
      <c r="X209">
        <v>0.01</v>
      </c>
      <c r="Y209" t="s">
        <v>50</v>
      </c>
      <c r="AD209" t="s">
        <v>306</v>
      </c>
      <c r="AE209" t="s">
        <v>1185</v>
      </c>
      <c r="AF209">
        <v>110616</v>
      </c>
      <c r="AG209" t="s">
        <v>346</v>
      </c>
      <c r="AH209">
        <v>0</v>
      </c>
      <c r="AI209" t="s">
        <v>313</v>
      </c>
      <c r="AN209" t="s">
        <v>306</v>
      </c>
      <c r="AO209" t="s">
        <v>1341</v>
      </c>
      <c r="AP209">
        <v>14965291</v>
      </c>
      <c r="AQ209" t="s">
        <v>346</v>
      </c>
      <c r="AR209">
        <v>0</v>
      </c>
      <c r="AS209" t="s">
        <v>62</v>
      </c>
      <c r="AX209" t="s">
        <v>306</v>
      </c>
      <c r="BC209" t="s">
        <v>306</v>
      </c>
      <c r="BD209" t="s">
        <v>1218</v>
      </c>
      <c r="BE209">
        <v>4423321</v>
      </c>
      <c r="BF209" t="s">
        <v>346</v>
      </c>
      <c r="BG209">
        <v>0.01</v>
      </c>
      <c r="BH209" t="s">
        <v>62</v>
      </c>
      <c r="BI209" t="s">
        <v>1588</v>
      </c>
      <c r="BJ209" t="s">
        <v>300</v>
      </c>
      <c r="BK209" t="s">
        <v>361</v>
      </c>
      <c r="BL209">
        <v>0</v>
      </c>
      <c r="BM209" t="s">
        <v>50</v>
      </c>
      <c r="BN209" t="s">
        <v>1098</v>
      </c>
      <c r="BO209">
        <v>4119219</v>
      </c>
      <c r="BP209" t="s">
        <v>346</v>
      </c>
      <c r="BQ209">
        <v>0</v>
      </c>
      <c r="BR209" t="s">
        <v>53</v>
      </c>
      <c r="BS209" t="s">
        <v>988</v>
      </c>
      <c r="BT209">
        <v>4825704</v>
      </c>
      <c r="BU209" t="s">
        <v>346</v>
      </c>
      <c r="BV209">
        <v>0.01</v>
      </c>
      <c r="BW209" t="s">
        <v>323</v>
      </c>
      <c r="BX209" t="s">
        <v>798</v>
      </c>
      <c r="BY209" t="s">
        <v>300</v>
      </c>
      <c r="BZ209" t="s">
        <v>361</v>
      </c>
      <c r="CA209">
        <v>0.01</v>
      </c>
      <c r="CB209" t="s">
        <v>50</v>
      </c>
      <c r="CC209" t="s">
        <v>1696</v>
      </c>
      <c r="CD209">
        <v>4724211</v>
      </c>
      <c r="CE209" t="s">
        <v>346</v>
      </c>
      <c r="CF209">
        <v>0.01</v>
      </c>
      <c r="CG209" t="s">
        <v>53</v>
      </c>
      <c r="CH209" t="s">
        <v>1341</v>
      </c>
      <c r="CI209">
        <v>14965291</v>
      </c>
      <c r="CJ209" t="s">
        <v>346</v>
      </c>
      <c r="CK209">
        <v>0</v>
      </c>
      <c r="CL209" t="s">
        <v>62</v>
      </c>
      <c r="CM209" t="s">
        <v>1262</v>
      </c>
      <c r="CN209">
        <v>4550016</v>
      </c>
      <c r="CO209" t="s">
        <v>364</v>
      </c>
      <c r="CP209">
        <v>0.01</v>
      </c>
      <c r="CQ209" t="s">
        <v>62</v>
      </c>
      <c r="CV209" t="s">
        <v>306</v>
      </c>
      <c r="DA209" t="s">
        <v>306</v>
      </c>
      <c r="DB209" t="s">
        <v>1218</v>
      </c>
      <c r="DC209">
        <v>4423321</v>
      </c>
      <c r="DD209" t="s">
        <v>346</v>
      </c>
      <c r="DE209">
        <v>0.01</v>
      </c>
      <c r="DF209" t="s">
        <v>62</v>
      </c>
      <c r="DK209" t="s">
        <v>306</v>
      </c>
      <c r="DL209" t="s">
        <v>1218</v>
      </c>
      <c r="DM209">
        <v>4423321</v>
      </c>
      <c r="DN209" t="s">
        <v>346</v>
      </c>
      <c r="DO209">
        <v>0.01</v>
      </c>
      <c r="DP209" t="s">
        <v>62</v>
      </c>
      <c r="DU209" t="s">
        <v>306</v>
      </c>
      <c r="DZ209" t="s">
        <v>306</v>
      </c>
      <c r="EA209" t="s">
        <v>1696</v>
      </c>
      <c r="EB209">
        <v>4724211</v>
      </c>
      <c r="EC209" t="s">
        <v>346</v>
      </c>
      <c r="ED209">
        <v>0.01</v>
      </c>
      <c r="EE209" t="s">
        <v>53</v>
      </c>
      <c r="EF209" t="s">
        <v>1218</v>
      </c>
      <c r="EG209">
        <v>4423321</v>
      </c>
      <c r="EH209" t="s">
        <v>346</v>
      </c>
      <c r="EI209">
        <v>0.01</v>
      </c>
      <c r="EJ209" t="s">
        <v>62</v>
      </c>
      <c r="EO209" t="s">
        <v>306</v>
      </c>
      <c r="ET209" t="s">
        <v>306</v>
      </c>
      <c r="EY209" t="s">
        <v>306</v>
      </c>
      <c r="FD209" t="s">
        <v>306</v>
      </c>
      <c r="FI209" t="s">
        <v>306</v>
      </c>
      <c r="FN209" t="s">
        <v>306</v>
      </c>
      <c r="FS209" t="s">
        <v>306</v>
      </c>
      <c r="FX209" t="s">
        <v>306</v>
      </c>
      <c r="FY209" t="s">
        <v>1218</v>
      </c>
      <c r="FZ209">
        <v>4423321</v>
      </c>
      <c r="GA209" t="s">
        <v>346</v>
      </c>
      <c r="GB209">
        <v>0.01</v>
      </c>
      <c r="GC209" t="s">
        <v>62</v>
      </c>
      <c r="GH209" t="s">
        <v>306</v>
      </c>
      <c r="GM209" t="s">
        <v>306</v>
      </c>
      <c r="GR209" t="s">
        <v>306</v>
      </c>
      <c r="GS209" t="s">
        <v>1098</v>
      </c>
      <c r="GT209">
        <v>4119219</v>
      </c>
      <c r="GU209" t="s">
        <v>346</v>
      </c>
      <c r="GV209">
        <v>0</v>
      </c>
      <c r="GW209" t="s">
        <v>53</v>
      </c>
      <c r="GX209" t="s">
        <v>1696</v>
      </c>
      <c r="GY209">
        <v>4724211</v>
      </c>
      <c r="GZ209" t="s">
        <v>346</v>
      </c>
      <c r="HA209">
        <v>0.01</v>
      </c>
      <c r="HB209" t="s">
        <v>53</v>
      </c>
      <c r="HG209" t="s">
        <v>306</v>
      </c>
    </row>
    <row r="210" spans="5:215" x14ac:dyDescent="0.35">
      <c r="E210" t="s">
        <v>306</v>
      </c>
      <c r="F210" t="s">
        <v>594</v>
      </c>
      <c r="G210">
        <v>5821164</v>
      </c>
      <c r="H210" t="s">
        <v>346</v>
      </c>
      <c r="I210">
        <v>0</v>
      </c>
      <c r="J210" t="s">
        <v>2185</v>
      </c>
      <c r="O210" t="s">
        <v>306</v>
      </c>
      <c r="T210" t="s">
        <v>306</v>
      </c>
      <c r="U210" t="s">
        <v>799</v>
      </c>
      <c r="V210">
        <v>6520584</v>
      </c>
      <c r="W210" t="s">
        <v>346</v>
      </c>
      <c r="X210">
        <v>0.01</v>
      </c>
      <c r="Y210" t="s">
        <v>50</v>
      </c>
      <c r="AD210" t="s">
        <v>306</v>
      </c>
      <c r="AE210" t="s">
        <v>418</v>
      </c>
      <c r="AF210">
        <v>109776</v>
      </c>
      <c r="AG210" t="s">
        <v>346</v>
      </c>
      <c r="AH210">
        <v>0</v>
      </c>
      <c r="AI210" t="s">
        <v>53</v>
      </c>
      <c r="AN210" t="s">
        <v>306</v>
      </c>
      <c r="AO210" t="s">
        <v>1342</v>
      </c>
      <c r="AP210">
        <v>4277356</v>
      </c>
      <c r="AQ210" t="s">
        <v>346</v>
      </c>
      <c r="AR210">
        <v>0</v>
      </c>
      <c r="AS210" t="s">
        <v>62</v>
      </c>
      <c r="AX210" t="s">
        <v>306</v>
      </c>
      <c r="BC210" t="s">
        <v>306</v>
      </c>
      <c r="BD210" t="s">
        <v>541</v>
      </c>
      <c r="BE210">
        <v>4135098</v>
      </c>
      <c r="BF210" t="s">
        <v>346</v>
      </c>
      <c r="BG210">
        <v>0.01</v>
      </c>
      <c r="BH210" t="s">
        <v>313</v>
      </c>
      <c r="BI210" t="s">
        <v>471</v>
      </c>
      <c r="BJ210">
        <v>4102247</v>
      </c>
      <c r="BK210" t="s">
        <v>346</v>
      </c>
      <c r="BL210">
        <v>0</v>
      </c>
      <c r="BM210" t="s">
        <v>53</v>
      </c>
      <c r="BN210" t="s">
        <v>510</v>
      </c>
      <c r="BO210">
        <v>4089114</v>
      </c>
      <c r="BP210" t="s">
        <v>346</v>
      </c>
      <c r="BQ210">
        <v>0</v>
      </c>
      <c r="BR210" t="s">
        <v>53</v>
      </c>
      <c r="BS210" t="s">
        <v>788</v>
      </c>
      <c r="BT210">
        <v>4592065</v>
      </c>
      <c r="BU210" t="s">
        <v>346</v>
      </c>
      <c r="BV210">
        <v>0.01</v>
      </c>
      <c r="BW210" t="s">
        <v>50</v>
      </c>
      <c r="BX210" t="s">
        <v>799</v>
      </c>
      <c r="BY210">
        <v>6520584</v>
      </c>
      <c r="BZ210" t="s">
        <v>346</v>
      </c>
      <c r="CA210">
        <v>0.01</v>
      </c>
      <c r="CB210" t="s">
        <v>50</v>
      </c>
      <c r="CC210" t="s">
        <v>1697</v>
      </c>
      <c r="CD210">
        <v>4438040</v>
      </c>
      <c r="CE210" t="s">
        <v>346</v>
      </c>
      <c r="CF210">
        <v>0.01</v>
      </c>
      <c r="CG210" t="s">
        <v>114</v>
      </c>
      <c r="CH210" t="s">
        <v>1342</v>
      </c>
      <c r="CI210">
        <v>4277356</v>
      </c>
      <c r="CJ210" t="s">
        <v>346</v>
      </c>
      <c r="CK210">
        <v>0</v>
      </c>
      <c r="CL210" t="s">
        <v>62</v>
      </c>
      <c r="CM210" t="s">
        <v>1993</v>
      </c>
      <c r="CN210" t="s">
        <v>300</v>
      </c>
      <c r="CO210" t="s">
        <v>361</v>
      </c>
      <c r="CP210">
        <v>0.01</v>
      </c>
      <c r="CQ210" t="s">
        <v>50</v>
      </c>
      <c r="CV210" t="s">
        <v>306</v>
      </c>
      <c r="DA210" t="s">
        <v>306</v>
      </c>
      <c r="DB210" t="s">
        <v>541</v>
      </c>
      <c r="DC210">
        <v>4135098</v>
      </c>
      <c r="DD210" t="s">
        <v>346</v>
      </c>
      <c r="DE210">
        <v>0.01</v>
      </c>
      <c r="DF210" t="s">
        <v>313</v>
      </c>
      <c r="DK210" t="s">
        <v>306</v>
      </c>
      <c r="DL210" t="s">
        <v>541</v>
      </c>
      <c r="DM210">
        <v>4135098</v>
      </c>
      <c r="DN210" t="s">
        <v>346</v>
      </c>
      <c r="DO210">
        <v>0.01</v>
      </c>
      <c r="DP210" t="s">
        <v>313</v>
      </c>
      <c r="DU210" t="s">
        <v>306</v>
      </c>
      <c r="DZ210" t="s">
        <v>306</v>
      </c>
      <c r="EA210" t="s">
        <v>1697</v>
      </c>
      <c r="EB210">
        <v>4438040</v>
      </c>
      <c r="EC210" t="s">
        <v>346</v>
      </c>
      <c r="ED210">
        <v>0.01</v>
      </c>
      <c r="EE210" t="s">
        <v>114</v>
      </c>
      <c r="EF210" t="s">
        <v>541</v>
      </c>
      <c r="EG210">
        <v>4135098</v>
      </c>
      <c r="EH210" t="s">
        <v>346</v>
      </c>
      <c r="EI210">
        <v>0.01</v>
      </c>
      <c r="EJ210" t="s">
        <v>313</v>
      </c>
      <c r="EO210" t="s">
        <v>306</v>
      </c>
      <c r="ET210" t="s">
        <v>306</v>
      </c>
      <c r="EY210" t="s">
        <v>306</v>
      </c>
      <c r="FD210" t="s">
        <v>306</v>
      </c>
      <c r="FI210" t="s">
        <v>306</v>
      </c>
      <c r="FN210" t="s">
        <v>306</v>
      </c>
      <c r="FS210" t="s">
        <v>306</v>
      </c>
      <c r="FX210" t="s">
        <v>306</v>
      </c>
      <c r="FY210" t="s">
        <v>541</v>
      </c>
      <c r="FZ210">
        <v>4135098</v>
      </c>
      <c r="GA210" t="s">
        <v>346</v>
      </c>
      <c r="GB210">
        <v>0.01</v>
      </c>
      <c r="GC210" t="s">
        <v>313</v>
      </c>
      <c r="GH210" t="s">
        <v>306</v>
      </c>
      <c r="GM210" t="s">
        <v>306</v>
      </c>
      <c r="GR210" t="s">
        <v>306</v>
      </c>
      <c r="GS210" t="s">
        <v>510</v>
      </c>
      <c r="GT210">
        <v>4089114</v>
      </c>
      <c r="GU210" t="s">
        <v>346</v>
      </c>
      <c r="GV210">
        <v>0</v>
      </c>
      <c r="GW210" t="s">
        <v>53</v>
      </c>
      <c r="GX210" t="s">
        <v>1697</v>
      </c>
      <c r="GY210">
        <v>4438040</v>
      </c>
      <c r="GZ210" t="s">
        <v>346</v>
      </c>
      <c r="HA210">
        <v>0.01</v>
      </c>
      <c r="HB210" t="s">
        <v>114</v>
      </c>
      <c r="HG210" t="s">
        <v>306</v>
      </c>
    </row>
    <row r="211" spans="5:215" x14ac:dyDescent="0.35">
      <c r="E211" t="s">
        <v>306</v>
      </c>
      <c r="F211" t="s">
        <v>595</v>
      </c>
      <c r="G211">
        <v>7706973</v>
      </c>
      <c r="H211" t="s">
        <v>276</v>
      </c>
      <c r="I211">
        <v>0</v>
      </c>
      <c r="J211" t="s">
        <v>2185</v>
      </c>
      <c r="O211" t="s">
        <v>306</v>
      </c>
      <c r="T211" t="s">
        <v>306</v>
      </c>
      <c r="U211" t="s">
        <v>800</v>
      </c>
      <c r="V211">
        <v>5883563</v>
      </c>
      <c r="W211" t="s">
        <v>346</v>
      </c>
      <c r="X211">
        <v>0.01</v>
      </c>
      <c r="Y211" t="s">
        <v>50</v>
      </c>
      <c r="AD211" t="s">
        <v>306</v>
      </c>
      <c r="AE211" t="s">
        <v>905</v>
      </c>
      <c r="AF211">
        <v>4048818</v>
      </c>
      <c r="AG211" t="s">
        <v>346</v>
      </c>
      <c r="AH211">
        <v>0</v>
      </c>
      <c r="AI211" t="s">
        <v>53</v>
      </c>
      <c r="AN211" t="s">
        <v>306</v>
      </c>
      <c r="AO211" t="s">
        <v>568</v>
      </c>
      <c r="AP211">
        <v>4135240</v>
      </c>
      <c r="AQ211" t="s">
        <v>346</v>
      </c>
      <c r="AR211">
        <v>0</v>
      </c>
      <c r="AS211" t="s">
        <v>125</v>
      </c>
      <c r="AX211" t="s">
        <v>306</v>
      </c>
      <c r="BC211" t="s">
        <v>306</v>
      </c>
      <c r="BD211" t="s">
        <v>475</v>
      </c>
      <c r="BE211">
        <v>4115935</v>
      </c>
      <c r="BF211" t="s">
        <v>346</v>
      </c>
      <c r="BG211">
        <v>0.01</v>
      </c>
      <c r="BH211" t="s">
        <v>53</v>
      </c>
      <c r="BI211" t="s">
        <v>624</v>
      </c>
      <c r="BJ211">
        <v>4138992</v>
      </c>
      <c r="BK211" t="s">
        <v>346</v>
      </c>
      <c r="BL211">
        <v>0</v>
      </c>
      <c r="BM211" t="s">
        <v>80</v>
      </c>
      <c r="BN211" t="s">
        <v>455</v>
      </c>
      <c r="BO211">
        <v>4119538</v>
      </c>
      <c r="BP211" t="s">
        <v>364</v>
      </c>
      <c r="BQ211">
        <v>0</v>
      </c>
      <c r="BR211" t="s">
        <v>53</v>
      </c>
      <c r="BS211" t="s">
        <v>989</v>
      </c>
      <c r="BT211">
        <v>4115690</v>
      </c>
      <c r="BU211" t="s">
        <v>346</v>
      </c>
      <c r="BV211">
        <v>0.01</v>
      </c>
      <c r="BW211" t="s">
        <v>313</v>
      </c>
      <c r="BX211" t="s">
        <v>800</v>
      </c>
      <c r="BY211">
        <v>5883563</v>
      </c>
      <c r="BZ211" t="s">
        <v>346</v>
      </c>
      <c r="CA211">
        <v>0.01</v>
      </c>
      <c r="CB211" t="s">
        <v>50</v>
      </c>
      <c r="CC211" t="s">
        <v>465</v>
      </c>
      <c r="CD211">
        <v>4119440</v>
      </c>
      <c r="CE211" t="s">
        <v>346</v>
      </c>
      <c r="CF211">
        <v>0.01</v>
      </c>
      <c r="CG211" t="s">
        <v>53</v>
      </c>
      <c r="CH211" t="s">
        <v>568</v>
      </c>
      <c r="CI211">
        <v>4135240</v>
      </c>
      <c r="CJ211" t="s">
        <v>346</v>
      </c>
      <c r="CK211">
        <v>0</v>
      </c>
      <c r="CL211" t="s">
        <v>125</v>
      </c>
      <c r="CM211" t="s">
        <v>1788</v>
      </c>
      <c r="CN211">
        <v>5837967</v>
      </c>
      <c r="CO211" t="s">
        <v>364</v>
      </c>
      <c r="CP211">
        <v>0.01</v>
      </c>
      <c r="CQ211" t="s">
        <v>53</v>
      </c>
      <c r="CV211" t="s">
        <v>306</v>
      </c>
      <c r="DA211" t="s">
        <v>306</v>
      </c>
      <c r="DB211" t="s">
        <v>475</v>
      </c>
      <c r="DC211">
        <v>4115935</v>
      </c>
      <c r="DD211" t="s">
        <v>346</v>
      </c>
      <c r="DE211">
        <v>0.01</v>
      </c>
      <c r="DF211" t="s">
        <v>53</v>
      </c>
      <c r="DK211" t="s">
        <v>306</v>
      </c>
      <c r="DL211" t="s">
        <v>475</v>
      </c>
      <c r="DM211">
        <v>4115935</v>
      </c>
      <c r="DN211" t="s">
        <v>346</v>
      </c>
      <c r="DO211">
        <v>0.01</v>
      </c>
      <c r="DP211" t="s">
        <v>53</v>
      </c>
      <c r="DU211" t="s">
        <v>306</v>
      </c>
      <c r="DZ211" t="s">
        <v>306</v>
      </c>
      <c r="EA211" t="s">
        <v>465</v>
      </c>
      <c r="EB211">
        <v>4119440</v>
      </c>
      <c r="EC211" t="s">
        <v>346</v>
      </c>
      <c r="ED211">
        <v>0.01</v>
      </c>
      <c r="EE211" t="s">
        <v>53</v>
      </c>
      <c r="EF211" t="s">
        <v>475</v>
      </c>
      <c r="EG211">
        <v>4115935</v>
      </c>
      <c r="EH211" t="s">
        <v>346</v>
      </c>
      <c r="EI211">
        <v>0.01</v>
      </c>
      <c r="EJ211" t="s">
        <v>53</v>
      </c>
      <c r="EO211" t="s">
        <v>306</v>
      </c>
      <c r="ET211" t="s">
        <v>306</v>
      </c>
      <c r="EY211" t="s">
        <v>306</v>
      </c>
      <c r="FD211" t="s">
        <v>306</v>
      </c>
      <c r="FI211" t="s">
        <v>306</v>
      </c>
      <c r="FN211" t="s">
        <v>306</v>
      </c>
      <c r="FS211" t="s">
        <v>306</v>
      </c>
      <c r="FX211" t="s">
        <v>306</v>
      </c>
      <c r="FY211" t="s">
        <v>475</v>
      </c>
      <c r="FZ211">
        <v>4115935</v>
      </c>
      <c r="GA211" t="s">
        <v>346</v>
      </c>
      <c r="GB211">
        <v>0.01</v>
      </c>
      <c r="GC211" t="s">
        <v>53</v>
      </c>
      <c r="GH211" t="s">
        <v>306</v>
      </c>
      <c r="GM211" t="s">
        <v>306</v>
      </c>
      <c r="GR211" t="s">
        <v>306</v>
      </c>
      <c r="GS211" t="s">
        <v>455</v>
      </c>
      <c r="GT211">
        <v>4119538</v>
      </c>
      <c r="GU211" t="s">
        <v>364</v>
      </c>
      <c r="GV211">
        <v>0</v>
      </c>
      <c r="GW211" t="s">
        <v>53</v>
      </c>
      <c r="GX211" t="s">
        <v>465</v>
      </c>
      <c r="GY211">
        <v>4119440</v>
      </c>
      <c r="GZ211" t="s">
        <v>346</v>
      </c>
      <c r="HA211">
        <v>0.01</v>
      </c>
      <c r="HB211" t="s">
        <v>53</v>
      </c>
      <c r="HG211" t="s">
        <v>306</v>
      </c>
    </row>
    <row r="212" spans="5:215" x14ac:dyDescent="0.35">
      <c r="E212" t="s">
        <v>306</v>
      </c>
      <c r="F212" t="s">
        <v>596</v>
      </c>
      <c r="G212">
        <v>4140486</v>
      </c>
      <c r="H212" t="s">
        <v>346</v>
      </c>
      <c r="I212">
        <v>0</v>
      </c>
      <c r="J212" t="s">
        <v>50</v>
      </c>
      <c r="O212" t="s">
        <v>306</v>
      </c>
      <c r="T212" t="s">
        <v>306</v>
      </c>
      <c r="U212" t="s">
        <v>801</v>
      </c>
      <c r="V212" t="s">
        <v>300</v>
      </c>
      <c r="W212" t="s">
        <v>361</v>
      </c>
      <c r="X212">
        <v>0.01</v>
      </c>
      <c r="Y212" t="s">
        <v>50</v>
      </c>
      <c r="AD212" t="s">
        <v>306</v>
      </c>
      <c r="AE212" t="s">
        <v>1186</v>
      </c>
      <c r="AF212">
        <v>4093311</v>
      </c>
      <c r="AG212" t="s">
        <v>346</v>
      </c>
      <c r="AH212">
        <v>0</v>
      </c>
      <c r="AI212" t="s">
        <v>53</v>
      </c>
      <c r="AN212" t="s">
        <v>306</v>
      </c>
      <c r="AO212" t="s">
        <v>1343</v>
      </c>
      <c r="AP212">
        <v>13084932</v>
      </c>
      <c r="AQ212" t="s">
        <v>346</v>
      </c>
      <c r="AR212">
        <v>0</v>
      </c>
      <c r="AS212" t="s">
        <v>62</v>
      </c>
      <c r="AX212" t="s">
        <v>306</v>
      </c>
      <c r="BC212" t="s">
        <v>306</v>
      </c>
      <c r="BD212" t="s">
        <v>900</v>
      </c>
      <c r="BE212">
        <v>4264756</v>
      </c>
      <c r="BF212" t="s">
        <v>346</v>
      </c>
      <c r="BG212">
        <v>0.01</v>
      </c>
      <c r="BH212" t="s">
        <v>62</v>
      </c>
      <c r="BI212" t="s">
        <v>1589</v>
      </c>
      <c r="BJ212">
        <v>16089675</v>
      </c>
      <c r="BK212" t="s">
        <v>346</v>
      </c>
      <c r="BL212">
        <v>0</v>
      </c>
      <c r="BM212" t="s">
        <v>2186</v>
      </c>
      <c r="BN212" t="s">
        <v>733</v>
      </c>
      <c r="BO212">
        <v>5851125</v>
      </c>
      <c r="BP212" t="s">
        <v>346</v>
      </c>
      <c r="BQ212">
        <v>0</v>
      </c>
      <c r="BR212" t="s">
        <v>50</v>
      </c>
      <c r="BS212" t="s">
        <v>990</v>
      </c>
      <c r="BT212">
        <v>4139137</v>
      </c>
      <c r="BU212" t="s">
        <v>346</v>
      </c>
      <c r="BV212">
        <v>0.01</v>
      </c>
      <c r="BW212" t="s">
        <v>317</v>
      </c>
      <c r="BX212" t="s">
        <v>801</v>
      </c>
      <c r="BY212" t="s">
        <v>300</v>
      </c>
      <c r="BZ212" t="s">
        <v>361</v>
      </c>
      <c r="CA212">
        <v>0.01</v>
      </c>
      <c r="CB212" t="s">
        <v>50</v>
      </c>
      <c r="CC212" t="s">
        <v>1007</v>
      </c>
      <c r="CD212">
        <v>5813728</v>
      </c>
      <c r="CE212" t="s">
        <v>346</v>
      </c>
      <c r="CF212">
        <v>0.01</v>
      </c>
      <c r="CG212" t="s">
        <v>2186</v>
      </c>
      <c r="CH212" t="s">
        <v>1343</v>
      </c>
      <c r="CI212">
        <v>13084932</v>
      </c>
      <c r="CJ212" t="s">
        <v>346</v>
      </c>
      <c r="CK212">
        <v>0</v>
      </c>
      <c r="CL212" t="s">
        <v>62</v>
      </c>
      <c r="CM212" t="s">
        <v>1306</v>
      </c>
      <c r="CN212">
        <v>5879300</v>
      </c>
      <c r="CO212" t="s">
        <v>364</v>
      </c>
      <c r="CP212">
        <v>0.01</v>
      </c>
      <c r="CQ212" t="s">
        <v>62</v>
      </c>
      <c r="CV212" t="s">
        <v>306</v>
      </c>
      <c r="DA212" t="s">
        <v>306</v>
      </c>
      <c r="DB212" t="s">
        <v>900</v>
      </c>
      <c r="DC212">
        <v>4264756</v>
      </c>
      <c r="DD212" t="s">
        <v>346</v>
      </c>
      <c r="DE212">
        <v>0.01</v>
      </c>
      <c r="DF212" t="s">
        <v>62</v>
      </c>
      <c r="DK212" t="s">
        <v>306</v>
      </c>
      <c r="DL212" t="s">
        <v>900</v>
      </c>
      <c r="DM212">
        <v>4264756</v>
      </c>
      <c r="DN212" t="s">
        <v>346</v>
      </c>
      <c r="DO212">
        <v>0.01</v>
      </c>
      <c r="DP212" t="s">
        <v>62</v>
      </c>
      <c r="DU212" t="s">
        <v>306</v>
      </c>
      <c r="DZ212" t="s">
        <v>306</v>
      </c>
      <c r="EA212" t="s">
        <v>1007</v>
      </c>
      <c r="EB212">
        <v>5813728</v>
      </c>
      <c r="EC212" t="s">
        <v>346</v>
      </c>
      <c r="ED212">
        <v>0.01</v>
      </c>
      <c r="EE212" t="s">
        <v>2186</v>
      </c>
      <c r="EF212" t="s">
        <v>900</v>
      </c>
      <c r="EG212">
        <v>4264756</v>
      </c>
      <c r="EH212" t="s">
        <v>346</v>
      </c>
      <c r="EI212">
        <v>0.01</v>
      </c>
      <c r="EJ212" t="s">
        <v>62</v>
      </c>
      <c r="EO212" t="s">
        <v>306</v>
      </c>
      <c r="ET212" t="s">
        <v>306</v>
      </c>
      <c r="EY212" t="s">
        <v>306</v>
      </c>
      <c r="FD212" t="s">
        <v>306</v>
      </c>
      <c r="FI212" t="s">
        <v>306</v>
      </c>
      <c r="FN212" t="s">
        <v>306</v>
      </c>
      <c r="FS212" t="s">
        <v>306</v>
      </c>
      <c r="FX212" t="s">
        <v>306</v>
      </c>
      <c r="FY212" t="s">
        <v>900</v>
      </c>
      <c r="FZ212">
        <v>4264756</v>
      </c>
      <c r="GA212" t="s">
        <v>346</v>
      </c>
      <c r="GB212">
        <v>0.01</v>
      </c>
      <c r="GC212" t="s">
        <v>62</v>
      </c>
      <c r="GH212" t="s">
        <v>306</v>
      </c>
      <c r="GM212" t="s">
        <v>306</v>
      </c>
      <c r="GR212" t="s">
        <v>306</v>
      </c>
      <c r="GS212" t="s">
        <v>733</v>
      </c>
      <c r="GT212">
        <v>5851125</v>
      </c>
      <c r="GU212" t="s">
        <v>346</v>
      </c>
      <c r="GV212">
        <v>0</v>
      </c>
      <c r="GW212" t="s">
        <v>50</v>
      </c>
      <c r="GX212" t="s">
        <v>1007</v>
      </c>
      <c r="GY212">
        <v>5813728</v>
      </c>
      <c r="GZ212" t="s">
        <v>346</v>
      </c>
      <c r="HA212">
        <v>0.01</v>
      </c>
      <c r="HB212" t="s">
        <v>2186</v>
      </c>
      <c r="HG212" t="s">
        <v>306</v>
      </c>
    </row>
    <row r="213" spans="5:215" x14ac:dyDescent="0.35">
      <c r="E213" t="s">
        <v>306</v>
      </c>
      <c r="F213" t="s">
        <v>597</v>
      </c>
      <c r="G213">
        <v>4654230</v>
      </c>
      <c r="H213" t="s">
        <v>346</v>
      </c>
      <c r="I213">
        <v>0</v>
      </c>
      <c r="J213" t="s">
        <v>125</v>
      </c>
      <c r="O213" t="s">
        <v>306</v>
      </c>
      <c r="T213" t="s">
        <v>306</v>
      </c>
      <c r="U213" t="s">
        <v>802</v>
      </c>
      <c r="V213">
        <v>4345262</v>
      </c>
      <c r="W213" t="s">
        <v>346</v>
      </c>
      <c r="X213">
        <v>0.01</v>
      </c>
      <c r="Y213" t="s">
        <v>50</v>
      </c>
      <c r="AD213" t="s">
        <v>306</v>
      </c>
      <c r="AE213" t="s">
        <v>1187</v>
      </c>
      <c r="AF213">
        <v>4209260</v>
      </c>
      <c r="AG213" t="s">
        <v>346</v>
      </c>
      <c r="AH213">
        <v>0</v>
      </c>
      <c r="AI213" t="s">
        <v>53</v>
      </c>
      <c r="AN213" t="s">
        <v>306</v>
      </c>
      <c r="AO213" t="s">
        <v>1344</v>
      </c>
      <c r="AP213">
        <v>124019115</v>
      </c>
      <c r="AQ213" t="s">
        <v>346</v>
      </c>
      <c r="AR213">
        <v>0</v>
      </c>
      <c r="AS213" t="s">
        <v>62</v>
      </c>
      <c r="AX213" t="s">
        <v>306</v>
      </c>
      <c r="BC213" t="s">
        <v>306</v>
      </c>
      <c r="BD213" t="s">
        <v>749</v>
      </c>
      <c r="BE213">
        <v>109913</v>
      </c>
      <c r="BF213" t="s">
        <v>346</v>
      </c>
      <c r="BG213">
        <v>0.01</v>
      </c>
      <c r="BH213" t="s">
        <v>53</v>
      </c>
      <c r="BI213" t="s">
        <v>659</v>
      </c>
      <c r="BJ213">
        <v>4139011</v>
      </c>
      <c r="BK213" t="s">
        <v>346</v>
      </c>
      <c r="BL213">
        <v>0</v>
      </c>
      <c r="BM213" t="s">
        <v>2185</v>
      </c>
      <c r="BN213" t="s">
        <v>824</v>
      </c>
      <c r="BO213">
        <v>4213196</v>
      </c>
      <c r="BP213" t="s">
        <v>346</v>
      </c>
      <c r="BQ213">
        <v>0</v>
      </c>
      <c r="BR213" t="s">
        <v>304</v>
      </c>
      <c r="BS213" t="s">
        <v>558</v>
      </c>
      <c r="BT213">
        <v>109844</v>
      </c>
      <c r="BU213" t="s">
        <v>346</v>
      </c>
      <c r="BV213">
        <v>0.01</v>
      </c>
      <c r="BW213" t="s">
        <v>53</v>
      </c>
      <c r="BX213" t="s">
        <v>802</v>
      </c>
      <c r="BY213">
        <v>4345262</v>
      </c>
      <c r="BZ213" t="s">
        <v>346</v>
      </c>
      <c r="CA213">
        <v>0.01</v>
      </c>
      <c r="CB213" t="s">
        <v>50</v>
      </c>
      <c r="CC213" t="s">
        <v>419</v>
      </c>
      <c r="CD213">
        <v>4338202</v>
      </c>
      <c r="CE213" t="s">
        <v>346</v>
      </c>
      <c r="CF213">
        <v>0.01</v>
      </c>
      <c r="CG213" t="s">
        <v>53</v>
      </c>
      <c r="CH213" t="s">
        <v>1344</v>
      </c>
      <c r="CI213">
        <v>124019115</v>
      </c>
      <c r="CJ213" t="s">
        <v>346</v>
      </c>
      <c r="CK213">
        <v>0</v>
      </c>
      <c r="CL213" t="s">
        <v>62</v>
      </c>
      <c r="CM213" t="s">
        <v>489</v>
      </c>
      <c r="CN213">
        <v>4324456</v>
      </c>
      <c r="CO213" t="s">
        <v>346</v>
      </c>
      <c r="CP213">
        <v>0.01</v>
      </c>
      <c r="CQ213" t="s">
        <v>2194</v>
      </c>
      <c r="CV213" t="s">
        <v>306</v>
      </c>
      <c r="DA213" t="s">
        <v>306</v>
      </c>
      <c r="DB213" t="s">
        <v>749</v>
      </c>
      <c r="DC213">
        <v>109913</v>
      </c>
      <c r="DD213" t="s">
        <v>346</v>
      </c>
      <c r="DE213">
        <v>0.01</v>
      </c>
      <c r="DF213" t="s">
        <v>53</v>
      </c>
      <c r="DK213" t="s">
        <v>306</v>
      </c>
      <c r="DL213" t="s">
        <v>749</v>
      </c>
      <c r="DM213">
        <v>109913</v>
      </c>
      <c r="DN213" t="s">
        <v>346</v>
      </c>
      <c r="DO213">
        <v>0.01</v>
      </c>
      <c r="DP213" t="s">
        <v>53</v>
      </c>
      <c r="DU213" t="s">
        <v>306</v>
      </c>
      <c r="DZ213" t="s">
        <v>306</v>
      </c>
      <c r="EA213" t="s">
        <v>419</v>
      </c>
      <c r="EB213">
        <v>4338202</v>
      </c>
      <c r="EC213" t="s">
        <v>346</v>
      </c>
      <c r="ED213">
        <v>0.01</v>
      </c>
      <c r="EE213" t="s">
        <v>53</v>
      </c>
      <c r="EF213" t="s">
        <v>749</v>
      </c>
      <c r="EG213">
        <v>109913</v>
      </c>
      <c r="EH213" t="s">
        <v>346</v>
      </c>
      <c r="EI213">
        <v>0.01</v>
      </c>
      <c r="EJ213" t="s">
        <v>53</v>
      </c>
      <c r="EO213" t="s">
        <v>306</v>
      </c>
      <c r="ET213" t="s">
        <v>306</v>
      </c>
      <c r="EY213" t="s">
        <v>306</v>
      </c>
      <c r="FD213" t="s">
        <v>306</v>
      </c>
      <c r="FI213" t="s">
        <v>306</v>
      </c>
      <c r="FN213" t="s">
        <v>306</v>
      </c>
      <c r="FS213" t="s">
        <v>306</v>
      </c>
      <c r="FX213" t="s">
        <v>306</v>
      </c>
      <c r="FY213" t="s">
        <v>749</v>
      </c>
      <c r="FZ213">
        <v>109913</v>
      </c>
      <c r="GA213" t="s">
        <v>346</v>
      </c>
      <c r="GB213">
        <v>0.01</v>
      </c>
      <c r="GC213" t="s">
        <v>53</v>
      </c>
      <c r="GH213" t="s">
        <v>306</v>
      </c>
      <c r="GM213" t="s">
        <v>306</v>
      </c>
      <c r="GR213" t="s">
        <v>306</v>
      </c>
      <c r="GS213" t="s">
        <v>824</v>
      </c>
      <c r="GT213">
        <v>4213196</v>
      </c>
      <c r="GU213" t="s">
        <v>346</v>
      </c>
      <c r="GV213">
        <v>0</v>
      </c>
      <c r="GW213" t="s">
        <v>304</v>
      </c>
      <c r="GX213" t="s">
        <v>419</v>
      </c>
      <c r="GY213">
        <v>4338202</v>
      </c>
      <c r="GZ213" t="s">
        <v>346</v>
      </c>
      <c r="HA213">
        <v>0.01</v>
      </c>
      <c r="HB213" t="s">
        <v>53</v>
      </c>
      <c r="HG213" t="s">
        <v>306</v>
      </c>
    </row>
    <row r="214" spans="5:215" x14ac:dyDescent="0.35">
      <c r="E214" t="s">
        <v>306</v>
      </c>
      <c r="F214" t="s">
        <v>598</v>
      </c>
      <c r="G214">
        <v>5753444</v>
      </c>
      <c r="H214" t="s">
        <v>346</v>
      </c>
      <c r="I214">
        <v>0</v>
      </c>
      <c r="J214" t="s">
        <v>320</v>
      </c>
      <c r="O214" t="s">
        <v>306</v>
      </c>
      <c r="T214" t="s">
        <v>306</v>
      </c>
      <c r="U214" t="s">
        <v>803</v>
      </c>
      <c r="V214">
        <v>5877802</v>
      </c>
      <c r="W214" t="s">
        <v>346</v>
      </c>
      <c r="X214">
        <v>0</v>
      </c>
      <c r="Y214" t="s">
        <v>50</v>
      </c>
      <c r="AD214" t="s">
        <v>306</v>
      </c>
      <c r="AE214" t="s">
        <v>1188</v>
      </c>
      <c r="AF214">
        <v>4413788</v>
      </c>
      <c r="AG214" t="s">
        <v>346</v>
      </c>
      <c r="AH214">
        <v>0</v>
      </c>
      <c r="AI214" t="s">
        <v>53</v>
      </c>
      <c r="AN214" t="s">
        <v>306</v>
      </c>
      <c r="AO214" t="s">
        <v>1345</v>
      </c>
      <c r="AP214">
        <v>10761756</v>
      </c>
      <c r="AQ214" t="s">
        <v>346</v>
      </c>
      <c r="AR214">
        <v>0</v>
      </c>
      <c r="AS214" t="s">
        <v>62</v>
      </c>
      <c r="AX214" t="s">
        <v>306</v>
      </c>
      <c r="BC214" t="s">
        <v>306</v>
      </c>
      <c r="BD214" t="s">
        <v>1262</v>
      </c>
      <c r="BE214">
        <v>4550016</v>
      </c>
      <c r="BF214" t="s">
        <v>364</v>
      </c>
      <c r="BG214">
        <v>0.01</v>
      </c>
      <c r="BH214" t="s">
        <v>62</v>
      </c>
      <c r="BI214" t="s">
        <v>1590</v>
      </c>
      <c r="BJ214">
        <v>9195551</v>
      </c>
      <c r="BK214" t="s">
        <v>346</v>
      </c>
      <c r="BL214">
        <v>0</v>
      </c>
      <c r="BM214" t="s">
        <v>2185</v>
      </c>
      <c r="BN214" t="s">
        <v>777</v>
      </c>
      <c r="BO214">
        <v>107988050</v>
      </c>
      <c r="BP214" t="s">
        <v>346</v>
      </c>
      <c r="BQ214">
        <v>0</v>
      </c>
      <c r="BR214" t="s">
        <v>50</v>
      </c>
      <c r="BS214" t="s">
        <v>742</v>
      </c>
      <c r="BT214">
        <v>4209761</v>
      </c>
      <c r="BU214" t="s">
        <v>346</v>
      </c>
      <c r="BV214">
        <v>0.01</v>
      </c>
      <c r="BW214" t="s">
        <v>2181</v>
      </c>
      <c r="BX214" t="s">
        <v>803</v>
      </c>
      <c r="BY214">
        <v>5877802</v>
      </c>
      <c r="BZ214" t="s">
        <v>346</v>
      </c>
      <c r="CA214">
        <v>0</v>
      </c>
      <c r="CB214" t="s">
        <v>50</v>
      </c>
      <c r="CC214" t="s">
        <v>1698</v>
      </c>
      <c r="CD214">
        <v>4138462</v>
      </c>
      <c r="CE214" t="s">
        <v>363</v>
      </c>
      <c r="CF214">
        <v>0.01</v>
      </c>
      <c r="CG214" t="s">
        <v>53</v>
      </c>
      <c r="CH214" t="s">
        <v>1345</v>
      </c>
      <c r="CI214">
        <v>10761756</v>
      </c>
      <c r="CJ214" t="s">
        <v>346</v>
      </c>
      <c r="CK214">
        <v>0</v>
      </c>
      <c r="CL214" t="s">
        <v>62</v>
      </c>
      <c r="CM214" t="s">
        <v>478</v>
      </c>
      <c r="CN214">
        <v>5852503</v>
      </c>
      <c r="CO214" t="s">
        <v>346</v>
      </c>
      <c r="CP214">
        <v>0.01</v>
      </c>
      <c r="CQ214" t="s">
        <v>62</v>
      </c>
      <c r="CV214" t="s">
        <v>306</v>
      </c>
      <c r="DA214" t="s">
        <v>306</v>
      </c>
      <c r="DB214" t="s">
        <v>1262</v>
      </c>
      <c r="DC214">
        <v>4550016</v>
      </c>
      <c r="DD214" t="s">
        <v>364</v>
      </c>
      <c r="DE214">
        <v>0.01</v>
      </c>
      <c r="DF214" t="s">
        <v>62</v>
      </c>
      <c r="DK214" t="s">
        <v>306</v>
      </c>
      <c r="DL214" t="s">
        <v>1262</v>
      </c>
      <c r="DM214">
        <v>4550016</v>
      </c>
      <c r="DN214" t="s">
        <v>364</v>
      </c>
      <c r="DO214">
        <v>0.01</v>
      </c>
      <c r="DP214" t="s">
        <v>62</v>
      </c>
      <c r="DU214" t="s">
        <v>306</v>
      </c>
      <c r="DZ214" t="s">
        <v>306</v>
      </c>
      <c r="EA214" t="s">
        <v>1698</v>
      </c>
      <c r="EB214">
        <v>4138462</v>
      </c>
      <c r="EC214" t="s">
        <v>363</v>
      </c>
      <c r="ED214">
        <v>0.01</v>
      </c>
      <c r="EE214" t="s">
        <v>53</v>
      </c>
      <c r="EF214" t="s">
        <v>1262</v>
      </c>
      <c r="EG214">
        <v>4550016</v>
      </c>
      <c r="EH214" t="s">
        <v>364</v>
      </c>
      <c r="EI214">
        <v>0.01</v>
      </c>
      <c r="EJ214" t="s">
        <v>62</v>
      </c>
      <c r="EO214" t="s">
        <v>306</v>
      </c>
      <c r="ET214" t="s">
        <v>306</v>
      </c>
      <c r="EY214" t="s">
        <v>306</v>
      </c>
      <c r="FD214" t="s">
        <v>306</v>
      </c>
      <c r="FI214" t="s">
        <v>306</v>
      </c>
      <c r="FN214" t="s">
        <v>306</v>
      </c>
      <c r="FS214" t="s">
        <v>306</v>
      </c>
      <c r="FX214" t="s">
        <v>306</v>
      </c>
      <c r="FY214" t="s">
        <v>1262</v>
      </c>
      <c r="FZ214">
        <v>4550016</v>
      </c>
      <c r="GA214" t="s">
        <v>364</v>
      </c>
      <c r="GB214">
        <v>0.01</v>
      </c>
      <c r="GC214" t="s">
        <v>62</v>
      </c>
      <c r="GH214" t="s">
        <v>306</v>
      </c>
      <c r="GM214" t="s">
        <v>306</v>
      </c>
      <c r="GR214" t="s">
        <v>306</v>
      </c>
      <c r="GS214" t="s">
        <v>777</v>
      </c>
      <c r="GT214">
        <v>107988050</v>
      </c>
      <c r="GU214" t="s">
        <v>346</v>
      </c>
      <c r="GV214">
        <v>0</v>
      </c>
      <c r="GW214" t="s">
        <v>50</v>
      </c>
      <c r="GX214" t="s">
        <v>1698</v>
      </c>
      <c r="GY214">
        <v>4138462</v>
      </c>
      <c r="GZ214" t="s">
        <v>363</v>
      </c>
      <c r="HA214">
        <v>0.01</v>
      </c>
      <c r="HB214" t="s">
        <v>53</v>
      </c>
      <c r="HG214" t="s">
        <v>306</v>
      </c>
    </row>
    <row r="215" spans="5:215" x14ac:dyDescent="0.35">
      <c r="E215" t="s">
        <v>306</v>
      </c>
      <c r="F215" t="s">
        <v>599</v>
      </c>
      <c r="G215">
        <v>19350037</v>
      </c>
      <c r="H215" t="s">
        <v>346</v>
      </c>
      <c r="I215">
        <v>0</v>
      </c>
      <c r="J215" t="s">
        <v>313</v>
      </c>
      <c r="O215" t="s">
        <v>306</v>
      </c>
      <c r="T215" t="s">
        <v>306</v>
      </c>
      <c r="U215" t="s">
        <v>403</v>
      </c>
      <c r="V215">
        <v>4033550</v>
      </c>
      <c r="W215" t="s">
        <v>346</v>
      </c>
      <c r="X215">
        <v>0</v>
      </c>
      <c r="Y215" t="s">
        <v>53</v>
      </c>
      <c r="AD215" t="s">
        <v>306</v>
      </c>
      <c r="AE215" t="s">
        <v>630</v>
      </c>
      <c r="AF215">
        <v>27861143</v>
      </c>
      <c r="AG215" t="s">
        <v>346</v>
      </c>
      <c r="AH215">
        <v>0</v>
      </c>
      <c r="AI215" t="s">
        <v>53</v>
      </c>
      <c r="AN215" t="s">
        <v>306</v>
      </c>
      <c r="AO215" t="s">
        <v>1346</v>
      </c>
      <c r="AP215">
        <v>29317018</v>
      </c>
      <c r="AQ215" t="s">
        <v>346</v>
      </c>
      <c r="AR215">
        <v>0</v>
      </c>
      <c r="AS215" t="s">
        <v>62</v>
      </c>
      <c r="AX215" t="s">
        <v>306</v>
      </c>
      <c r="BC215" t="s">
        <v>306</v>
      </c>
      <c r="BD215" t="s">
        <v>1286</v>
      </c>
      <c r="BE215">
        <v>4388414</v>
      </c>
      <c r="BF215" t="s">
        <v>346</v>
      </c>
      <c r="BG215">
        <v>0.01</v>
      </c>
      <c r="BH215" t="s">
        <v>62</v>
      </c>
      <c r="BI215" t="s">
        <v>548</v>
      </c>
      <c r="BJ215">
        <v>26480935</v>
      </c>
      <c r="BK215" t="s">
        <v>346</v>
      </c>
      <c r="BL215">
        <v>0</v>
      </c>
      <c r="BM215" t="s">
        <v>53</v>
      </c>
      <c r="BN215" t="s">
        <v>1049</v>
      </c>
      <c r="BO215">
        <v>5767537</v>
      </c>
      <c r="BP215" t="s">
        <v>365</v>
      </c>
      <c r="BQ215">
        <v>0</v>
      </c>
      <c r="BR215" t="s">
        <v>320</v>
      </c>
      <c r="BS215" t="s">
        <v>734</v>
      </c>
      <c r="BT215">
        <v>4322244</v>
      </c>
      <c r="BU215" t="s">
        <v>346</v>
      </c>
      <c r="BV215">
        <v>0.01</v>
      </c>
      <c r="BW215" t="s">
        <v>50</v>
      </c>
      <c r="BX215" t="s">
        <v>403</v>
      </c>
      <c r="BY215">
        <v>4033550</v>
      </c>
      <c r="BZ215" t="s">
        <v>346</v>
      </c>
      <c r="CA215">
        <v>0</v>
      </c>
      <c r="CB215" t="s">
        <v>53</v>
      </c>
      <c r="CC215" t="s">
        <v>1699</v>
      </c>
      <c r="CD215">
        <v>4562926</v>
      </c>
      <c r="CE215" t="s">
        <v>364</v>
      </c>
      <c r="CF215">
        <v>0.01</v>
      </c>
      <c r="CG215" t="s">
        <v>53</v>
      </c>
      <c r="CH215" t="s">
        <v>1346</v>
      </c>
      <c r="CI215">
        <v>29317018</v>
      </c>
      <c r="CJ215" t="s">
        <v>346</v>
      </c>
      <c r="CK215">
        <v>0</v>
      </c>
      <c r="CL215" t="s">
        <v>62</v>
      </c>
      <c r="CM215" t="s">
        <v>1855</v>
      </c>
      <c r="CN215">
        <v>4027675</v>
      </c>
      <c r="CO215" t="s">
        <v>346</v>
      </c>
      <c r="CP215">
        <v>0.01</v>
      </c>
      <c r="CQ215" t="s">
        <v>53</v>
      </c>
      <c r="CV215" t="s">
        <v>306</v>
      </c>
      <c r="DA215" t="s">
        <v>306</v>
      </c>
      <c r="DB215" t="s">
        <v>1286</v>
      </c>
      <c r="DC215">
        <v>4388414</v>
      </c>
      <c r="DD215" t="s">
        <v>346</v>
      </c>
      <c r="DE215">
        <v>0.01</v>
      </c>
      <c r="DF215" t="s">
        <v>62</v>
      </c>
      <c r="DK215" t="s">
        <v>306</v>
      </c>
      <c r="DL215" t="s">
        <v>1286</v>
      </c>
      <c r="DM215">
        <v>4388414</v>
      </c>
      <c r="DN215" t="s">
        <v>346</v>
      </c>
      <c r="DO215">
        <v>0.01</v>
      </c>
      <c r="DP215" t="s">
        <v>62</v>
      </c>
      <c r="DU215" t="s">
        <v>306</v>
      </c>
      <c r="DZ215" t="s">
        <v>306</v>
      </c>
      <c r="EA215" t="s">
        <v>1699</v>
      </c>
      <c r="EB215">
        <v>4562926</v>
      </c>
      <c r="EC215" t="s">
        <v>364</v>
      </c>
      <c r="ED215">
        <v>0.01</v>
      </c>
      <c r="EE215" t="s">
        <v>53</v>
      </c>
      <c r="EF215" t="s">
        <v>1286</v>
      </c>
      <c r="EG215">
        <v>4388414</v>
      </c>
      <c r="EH215" t="s">
        <v>346</v>
      </c>
      <c r="EI215">
        <v>0.01</v>
      </c>
      <c r="EJ215" t="s">
        <v>62</v>
      </c>
      <c r="EO215" t="s">
        <v>306</v>
      </c>
      <c r="ET215" t="s">
        <v>306</v>
      </c>
      <c r="EY215" t="s">
        <v>306</v>
      </c>
      <c r="FD215" t="s">
        <v>306</v>
      </c>
      <c r="FI215" t="s">
        <v>306</v>
      </c>
      <c r="FN215" t="s">
        <v>306</v>
      </c>
      <c r="FS215" t="s">
        <v>306</v>
      </c>
      <c r="FX215" t="s">
        <v>306</v>
      </c>
      <c r="FY215" t="s">
        <v>1286</v>
      </c>
      <c r="FZ215">
        <v>4388414</v>
      </c>
      <c r="GA215" t="s">
        <v>346</v>
      </c>
      <c r="GB215">
        <v>0.01</v>
      </c>
      <c r="GC215" t="s">
        <v>62</v>
      </c>
      <c r="GH215" t="s">
        <v>306</v>
      </c>
      <c r="GM215" t="s">
        <v>306</v>
      </c>
      <c r="GR215" t="s">
        <v>306</v>
      </c>
      <c r="GS215" t="s">
        <v>1049</v>
      </c>
      <c r="GT215">
        <v>5767537</v>
      </c>
      <c r="GU215" t="s">
        <v>365</v>
      </c>
      <c r="GV215">
        <v>0</v>
      </c>
      <c r="GW215" t="s">
        <v>320</v>
      </c>
      <c r="GX215" t="s">
        <v>1699</v>
      </c>
      <c r="GY215">
        <v>4562926</v>
      </c>
      <c r="GZ215" t="s">
        <v>364</v>
      </c>
      <c r="HA215">
        <v>0.01</v>
      </c>
      <c r="HB215" t="s">
        <v>53</v>
      </c>
      <c r="HG215" t="s">
        <v>306</v>
      </c>
    </row>
    <row r="216" spans="5:215" x14ac:dyDescent="0.35">
      <c r="E216" t="s">
        <v>306</v>
      </c>
      <c r="F216" t="s">
        <v>600</v>
      </c>
      <c r="G216">
        <v>4145203</v>
      </c>
      <c r="H216" t="s">
        <v>346</v>
      </c>
      <c r="I216">
        <v>0</v>
      </c>
      <c r="J216" t="s">
        <v>53</v>
      </c>
      <c r="O216" t="s">
        <v>306</v>
      </c>
      <c r="T216" t="s">
        <v>306</v>
      </c>
      <c r="U216" t="s">
        <v>804</v>
      </c>
      <c r="V216">
        <v>5813336</v>
      </c>
      <c r="W216" t="s">
        <v>346</v>
      </c>
      <c r="X216">
        <v>0</v>
      </c>
      <c r="Y216" t="s">
        <v>313</v>
      </c>
      <c r="AD216" t="s">
        <v>306</v>
      </c>
      <c r="AE216" t="s">
        <v>1189</v>
      </c>
      <c r="AF216">
        <v>10869810</v>
      </c>
      <c r="AG216" t="s">
        <v>346</v>
      </c>
      <c r="AH216">
        <v>0</v>
      </c>
      <c r="AI216" t="s">
        <v>2181</v>
      </c>
      <c r="AN216" t="s">
        <v>306</v>
      </c>
      <c r="AO216" t="s">
        <v>1347</v>
      </c>
      <c r="AP216">
        <v>4225263</v>
      </c>
      <c r="AQ216" t="s">
        <v>346</v>
      </c>
      <c r="AR216">
        <v>0</v>
      </c>
      <c r="AS216" t="s">
        <v>62</v>
      </c>
      <c r="AX216" t="s">
        <v>306</v>
      </c>
      <c r="BC216" t="s">
        <v>306</v>
      </c>
      <c r="BD216" t="s">
        <v>1459</v>
      </c>
      <c r="BE216">
        <v>7060956</v>
      </c>
      <c r="BF216" t="s">
        <v>346</v>
      </c>
      <c r="BG216">
        <v>0.01</v>
      </c>
      <c r="BH216" t="s">
        <v>313</v>
      </c>
      <c r="BI216" t="s">
        <v>608</v>
      </c>
      <c r="BJ216">
        <v>110427</v>
      </c>
      <c r="BK216" t="s">
        <v>346</v>
      </c>
      <c r="BL216">
        <v>0</v>
      </c>
      <c r="BM216" t="s">
        <v>313</v>
      </c>
      <c r="BN216" t="s">
        <v>492</v>
      </c>
      <c r="BO216">
        <v>110674</v>
      </c>
      <c r="BP216" t="s">
        <v>346</v>
      </c>
      <c r="BQ216">
        <v>0</v>
      </c>
      <c r="BR216" t="s">
        <v>53</v>
      </c>
      <c r="BS216" t="s">
        <v>991</v>
      </c>
      <c r="BT216">
        <v>4206857</v>
      </c>
      <c r="BU216" t="s">
        <v>346</v>
      </c>
      <c r="BV216">
        <v>0.01</v>
      </c>
      <c r="BW216" t="s">
        <v>125</v>
      </c>
      <c r="BX216" t="s">
        <v>804</v>
      </c>
      <c r="BY216">
        <v>5813336</v>
      </c>
      <c r="BZ216" t="s">
        <v>346</v>
      </c>
      <c r="CA216">
        <v>0</v>
      </c>
      <c r="CB216" t="s">
        <v>313</v>
      </c>
      <c r="CC216" t="s">
        <v>496</v>
      </c>
      <c r="CD216">
        <v>110495</v>
      </c>
      <c r="CE216" t="s">
        <v>346</v>
      </c>
      <c r="CF216">
        <v>0.01</v>
      </c>
      <c r="CG216" t="s">
        <v>53</v>
      </c>
      <c r="CH216" t="s">
        <v>1347</v>
      </c>
      <c r="CI216">
        <v>4225263</v>
      </c>
      <c r="CJ216" t="s">
        <v>346</v>
      </c>
      <c r="CK216">
        <v>0</v>
      </c>
      <c r="CL216" t="s">
        <v>62</v>
      </c>
      <c r="CM216" t="s">
        <v>1994</v>
      </c>
      <c r="CN216">
        <v>4314289</v>
      </c>
      <c r="CO216" t="s">
        <v>346</v>
      </c>
      <c r="CP216">
        <v>0.01</v>
      </c>
      <c r="CQ216" t="s">
        <v>62</v>
      </c>
      <c r="CV216" t="s">
        <v>306</v>
      </c>
      <c r="DA216" t="s">
        <v>306</v>
      </c>
      <c r="DB216" t="s">
        <v>1459</v>
      </c>
      <c r="DC216">
        <v>7060956</v>
      </c>
      <c r="DD216" t="s">
        <v>346</v>
      </c>
      <c r="DE216">
        <v>0.01</v>
      </c>
      <c r="DF216" t="s">
        <v>313</v>
      </c>
      <c r="DK216" t="s">
        <v>306</v>
      </c>
      <c r="DL216" t="s">
        <v>1459</v>
      </c>
      <c r="DM216">
        <v>7060956</v>
      </c>
      <c r="DN216" t="s">
        <v>346</v>
      </c>
      <c r="DO216">
        <v>0.01</v>
      </c>
      <c r="DP216" t="s">
        <v>313</v>
      </c>
      <c r="DU216" t="s">
        <v>306</v>
      </c>
      <c r="DZ216" t="s">
        <v>306</v>
      </c>
      <c r="EA216" t="s">
        <v>496</v>
      </c>
      <c r="EB216">
        <v>110495</v>
      </c>
      <c r="EC216" t="s">
        <v>346</v>
      </c>
      <c r="ED216">
        <v>0.01</v>
      </c>
      <c r="EE216" t="s">
        <v>53</v>
      </c>
      <c r="EF216" t="s">
        <v>1459</v>
      </c>
      <c r="EG216">
        <v>7060956</v>
      </c>
      <c r="EH216" t="s">
        <v>346</v>
      </c>
      <c r="EI216">
        <v>0.01</v>
      </c>
      <c r="EJ216" t="s">
        <v>313</v>
      </c>
      <c r="EO216" t="s">
        <v>306</v>
      </c>
      <c r="ET216" t="s">
        <v>306</v>
      </c>
      <c r="EY216" t="s">
        <v>306</v>
      </c>
      <c r="FD216" t="s">
        <v>306</v>
      </c>
      <c r="FI216" t="s">
        <v>306</v>
      </c>
      <c r="FN216" t="s">
        <v>306</v>
      </c>
      <c r="FS216" t="s">
        <v>306</v>
      </c>
      <c r="FX216" t="s">
        <v>306</v>
      </c>
      <c r="FY216" t="s">
        <v>1459</v>
      </c>
      <c r="FZ216">
        <v>7060956</v>
      </c>
      <c r="GA216" t="s">
        <v>346</v>
      </c>
      <c r="GB216">
        <v>0.01</v>
      </c>
      <c r="GC216" t="s">
        <v>313</v>
      </c>
      <c r="GH216" t="s">
        <v>306</v>
      </c>
      <c r="GM216" t="s">
        <v>306</v>
      </c>
      <c r="GR216" t="s">
        <v>306</v>
      </c>
      <c r="GS216" t="s">
        <v>492</v>
      </c>
      <c r="GT216">
        <v>110674</v>
      </c>
      <c r="GU216" t="s">
        <v>346</v>
      </c>
      <c r="GV216">
        <v>0</v>
      </c>
      <c r="GW216" t="s">
        <v>53</v>
      </c>
      <c r="GX216" t="s">
        <v>496</v>
      </c>
      <c r="GY216">
        <v>110495</v>
      </c>
      <c r="GZ216" t="s">
        <v>346</v>
      </c>
      <c r="HA216">
        <v>0.01</v>
      </c>
      <c r="HB216" t="s">
        <v>53</v>
      </c>
      <c r="HG216" t="s">
        <v>306</v>
      </c>
    </row>
    <row r="217" spans="5:215" x14ac:dyDescent="0.35">
      <c r="E217" t="s">
        <v>306</v>
      </c>
      <c r="F217" t="s">
        <v>601</v>
      </c>
      <c r="G217">
        <v>5816131</v>
      </c>
      <c r="H217" t="s">
        <v>346</v>
      </c>
      <c r="I217">
        <v>0</v>
      </c>
      <c r="J217" t="s">
        <v>53</v>
      </c>
      <c r="O217" t="s">
        <v>306</v>
      </c>
      <c r="T217" t="s">
        <v>306</v>
      </c>
      <c r="U217" t="s">
        <v>805</v>
      </c>
      <c r="V217">
        <v>4066647</v>
      </c>
      <c r="W217" t="s">
        <v>369</v>
      </c>
      <c r="X217">
        <v>0</v>
      </c>
      <c r="Y217" t="s">
        <v>80</v>
      </c>
      <c r="AD217" t="s">
        <v>306</v>
      </c>
      <c r="AE217" t="s">
        <v>455</v>
      </c>
      <c r="AF217">
        <v>4119538</v>
      </c>
      <c r="AG217" t="s">
        <v>364</v>
      </c>
      <c r="AH217">
        <v>0</v>
      </c>
      <c r="AI217" t="s">
        <v>53</v>
      </c>
      <c r="AN217" t="s">
        <v>306</v>
      </c>
      <c r="AO217" t="s">
        <v>1348</v>
      </c>
      <c r="AP217">
        <v>5864676</v>
      </c>
      <c r="AQ217" t="s">
        <v>346</v>
      </c>
      <c r="AR217">
        <v>0</v>
      </c>
      <c r="AS217" t="s">
        <v>62</v>
      </c>
      <c r="AX217" t="s">
        <v>306</v>
      </c>
      <c r="BC217" t="s">
        <v>306</v>
      </c>
      <c r="BD217" t="s">
        <v>1269</v>
      </c>
      <c r="BE217">
        <v>4840599</v>
      </c>
      <c r="BF217" t="s">
        <v>364</v>
      </c>
      <c r="BG217">
        <v>0.01</v>
      </c>
      <c r="BH217" t="s">
        <v>62</v>
      </c>
      <c r="BI217" t="s">
        <v>591</v>
      </c>
      <c r="BJ217">
        <v>109721</v>
      </c>
      <c r="BK217" t="s">
        <v>346</v>
      </c>
      <c r="BL217">
        <v>0</v>
      </c>
      <c r="BM217" t="s">
        <v>53</v>
      </c>
      <c r="BN217" t="s">
        <v>788</v>
      </c>
      <c r="BO217">
        <v>4592065</v>
      </c>
      <c r="BP217" t="s">
        <v>346</v>
      </c>
      <c r="BQ217">
        <v>0</v>
      </c>
      <c r="BR217" t="s">
        <v>50</v>
      </c>
      <c r="BS217" t="s">
        <v>554</v>
      </c>
      <c r="BT217">
        <v>4408592</v>
      </c>
      <c r="BU217" t="s">
        <v>346</v>
      </c>
      <c r="BV217">
        <v>0.01</v>
      </c>
      <c r="BW217" t="s">
        <v>326</v>
      </c>
      <c r="BX217" t="s">
        <v>805</v>
      </c>
      <c r="BY217">
        <v>4066647</v>
      </c>
      <c r="BZ217" t="s">
        <v>369</v>
      </c>
      <c r="CA217">
        <v>0</v>
      </c>
      <c r="CB217" t="s">
        <v>80</v>
      </c>
      <c r="CC217" t="s">
        <v>1700</v>
      </c>
      <c r="CD217">
        <v>4117795</v>
      </c>
      <c r="CE217" t="s">
        <v>346</v>
      </c>
      <c r="CF217">
        <v>0.01</v>
      </c>
      <c r="CG217" t="s">
        <v>53</v>
      </c>
      <c r="CH217" t="s">
        <v>1348</v>
      </c>
      <c r="CI217">
        <v>5864676</v>
      </c>
      <c r="CJ217" t="s">
        <v>346</v>
      </c>
      <c r="CK217">
        <v>0</v>
      </c>
      <c r="CL217" t="s">
        <v>62</v>
      </c>
      <c r="CM217" t="s">
        <v>1995</v>
      </c>
      <c r="CN217">
        <v>4145129</v>
      </c>
      <c r="CO217" t="s">
        <v>346</v>
      </c>
      <c r="CP217">
        <v>0.01</v>
      </c>
      <c r="CQ217" t="s">
        <v>67</v>
      </c>
      <c r="CV217" t="s">
        <v>306</v>
      </c>
      <c r="DA217" t="s">
        <v>306</v>
      </c>
      <c r="DB217" t="s">
        <v>1269</v>
      </c>
      <c r="DC217">
        <v>4840599</v>
      </c>
      <c r="DD217" t="s">
        <v>364</v>
      </c>
      <c r="DE217">
        <v>0.01</v>
      </c>
      <c r="DF217" t="s">
        <v>62</v>
      </c>
      <c r="DK217" t="s">
        <v>306</v>
      </c>
      <c r="DL217" t="s">
        <v>1269</v>
      </c>
      <c r="DM217">
        <v>4840599</v>
      </c>
      <c r="DN217" t="s">
        <v>364</v>
      </c>
      <c r="DO217">
        <v>0.01</v>
      </c>
      <c r="DP217" t="s">
        <v>62</v>
      </c>
      <c r="DU217" t="s">
        <v>306</v>
      </c>
      <c r="DZ217" t="s">
        <v>306</v>
      </c>
      <c r="EA217" t="s">
        <v>1700</v>
      </c>
      <c r="EB217">
        <v>4117795</v>
      </c>
      <c r="EC217" t="s">
        <v>346</v>
      </c>
      <c r="ED217">
        <v>0.01</v>
      </c>
      <c r="EE217" t="s">
        <v>53</v>
      </c>
      <c r="EF217" t="s">
        <v>1269</v>
      </c>
      <c r="EG217">
        <v>4840599</v>
      </c>
      <c r="EH217" t="s">
        <v>364</v>
      </c>
      <c r="EI217">
        <v>0.01</v>
      </c>
      <c r="EJ217" t="s">
        <v>62</v>
      </c>
      <c r="EO217" t="s">
        <v>306</v>
      </c>
      <c r="ET217" t="s">
        <v>306</v>
      </c>
      <c r="EY217" t="s">
        <v>306</v>
      </c>
      <c r="FD217" t="s">
        <v>306</v>
      </c>
      <c r="FI217" t="s">
        <v>306</v>
      </c>
      <c r="FN217" t="s">
        <v>306</v>
      </c>
      <c r="FS217" t="s">
        <v>306</v>
      </c>
      <c r="FX217" t="s">
        <v>306</v>
      </c>
      <c r="FY217" t="s">
        <v>1269</v>
      </c>
      <c r="FZ217">
        <v>4840599</v>
      </c>
      <c r="GA217" t="s">
        <v>364</v>
      </c>
      <c r="GB217">
        <v>0.01</v>
      </c>
      <c r="GC217" t="s">
        <v>62</v>
      </c>
      <c r="GH217" t="s">
        <v>306</v>
      </c>
      <c r="GM217" t="s">
        <v>306</v>
      </c>
      <c r="GR217" t="s">
        <v>306</v>
      </c>
      <c r="GS217" t="s">
        <v>788</v>
      </c>
      <c r="GT217">
        <v>4592065</v>
      </c>
      <c r="GU217" t="s">
        <v>346</v>
      </c>
      <c r="GV217">
        <v>0</v>
      </c>
      <c r="GW217" t="s">
        <v>50</v>
      </c>
      <c r="GX217" t="s">
        <v>1700</v>
      </c>
      <c r="GY217">
        <v>4117795</v>
      </c>
      <c r="GZ217" t="s">
        <v>346</v>
      </c>
      <c r="HA217">
        <v>0.01</v>
      </c>
      <c r="HB217" t="s">
        <v>53</v>
      </c>
      <c r="HG217" t="s">
        <v>306</v>
      </c>
    </row>
    <row r="218" spans="5:215" x14ac:dyDescent="0.35">
      <c r="E218" t="s">
        <v>306</v>
      </c>
      <c r="F218" t="s">
        <v>602</v>
      </c>
      <c r="G218">
        <v>4378744</v>
      </c>
      <c r="H218" t="s">
        <v>346</v>
      </c>
      <c r="I218">
        <v>0</v>
      </c>
      <c r="J218" t="s">
        <v>2187</v>
      </c>
      <c r="O218" t="s">
        <v>306</v>
      </c>
      <c r="T218" t="s">
        <v>306</v>
      </c>
      <c r="U218" t="s">
        <v>806</v>
      </c>
      <c r="V218">
        <v>4140536</v>
      </c>
      <c r="W218" t="s">
        <v>346</v>
      </c>
      <c r="X218">
        <v>0</v>
      </c>
      <c r="Y218" t="s">
        <v>50</v>
      </c>
      <c r="AD218" t="s">
        <v>306</v>
      </c>
      <c r="AE218" t="s">
        <v>1190</v>
      </c>
      <c r="AF218">
        <v>4135104</v>
      </c>
      <c r="AG218" t="s">
        <v>364</v>
      </c>
      <c r="AH218">
        <v>-0.76</v>
      </c>
      <c r="AI218" t="s">
        <v>313</v>
      </c>
      <c r="AN218" t="s">
        <v>306</v>
      </c>
      <c r="AO218" t="s">
        <v>480</v>
      </c>
      <c r="AP218">
        <v>4119651</v>
      </c>
      <c r="AQ218" t="s">
        <v>346</v>
      </c>
      <c r="AR218">
        <v>0</v>
      </c>
      <c r="AS218" t="s">
        <v>53</v>
      </c>
      <c r="AX218" t="s">
        <v>306</v>
      </c>
      <c r="BC218" t="s">
        <v>306</v>
      </c>
      <c r="BD218" t="s">
        <v>472</v>
      </c>
      <c r="BE218">
        <v>4048215</v>
      </c>
      <c r="BF218" t="s">
        <v>346</v>
      </c>
      <c r="BG218">
        <v>0.01</v>
      </c>
      <c r="BH218" t="s">
        <v>53</v>
      </c>
      <c r="BI218" t="s">
        <v>631</v>
      </c>
      <c r="BJ218">
        <v>112247511</v>
      </c>
      <c r="BK218" t="s">
        <v>346</v>
      </c>
      <c r="BL218">
        <v>0</v>
      </c>
      <c r="BM218" t="s">
        <v>53</v>
      </c>
      <c r="BN218" t="s">
        <v>480</v>
      </c>
      <c r="BO218">
        <v>4119651</v>
      </c>
      <c r="BP218" t="s">
        <v>346</v>
      </c>
      <c r="BQ218">
        <v>0</v>
      </c>
      <c r="BR218" t="s">
        <v>53</v>
      </c>
      <c r="BS218" t="s">
        <v>992</v>
      </c>
      <c r="BT218">
        <v>4346066</v>
      </c>
      <c r="BU218" t="s">
        <v>346</v>
      </c>
      <c r="BV218">
        <v>0.01</v>
      </c>
      <c r="BW218" t="s">
        <v>2188</v>
      </c>
      <c r="BX218" t="s">
        <v>806</v>
      </c>
      <c r="BY218">
        <v>4140536</v>
      </c>
      <c r="BZ218" t="s">
        <v>346</v>
      </c>
      <c r="CA218">
        <v>0</v>
      </c>
      <c r="CB218" t="s">
        <v>50</v>
      </c>
      <c r="CC218" t="s">
        <v>1701</v>
      </c>
      <c r="CD218">
        <v>19110619</v>
      </c>
      <c r="CE218" t="s">
        <v>346</v>
      </c>
      <c r="CF218">
        <v>0.01</v>
      </c>
      <c r="CG218" t="s">
        <v>53</v>
      </c>
      <c r="CH218" t="s">
        <v>480</v>
      </c>
      <c r="CI218">
        <v>4119651</v>
      </c>
      <c r="CJ218" t="s">
        <v>346</v>
      </c>
      <c r="CK218">
        <v>0</v>
      </c>
      <c r="CL218" t="s">
        <v>53</v>
      </c>
      <c r="CM218" t="s">
        <v>1422</v>
      </c>
      <c r="CN218">
        <v>100519</v>
      </c>
      <c r="CO218" t="s">
        <v>346</v>
      </c>
      <c r="CP218">
        <v>0.01</v>
      </c>
      <c r="CQ218" t="s">
        <v>80</v>
      </c>
      <c r="CV218" t="s">
        <v>306</v>
      </c>
      <c r="DA218" t="s">
        <v>306</v>
      </c>
      <c r="DB218" t="s">
        <v>472</v>
      </c>
      <c r="DC218">
        <v>4048215</v>
      </c>
      <c r="DD218" t="s">
        <v>346</v>
      </c>
      <c r="DE218">
        <v>0.01</v>
      </c>
      <c r="DF218" t="s">
        <v>53</v>
      </c>
      <c r="DK218" t="s">
        <v>306</v>
      </c>
      <c r="DL218" t="s">
        <v>472</v>
      </c>
      <c r="DM218">
        <v>4048215</v>
      </c>
      <c r="DN218" t="s">
        <v>346</v>
      </c>
      <c r="DO218">
        <v>0.01</v>
      </c>
      <c r="DP218" t="s">
        <v>53</v>
      </c>
      <c r="DU218" t="s">
        <v>306</v>
      </c>
      <c r="DZ218" t="s">
        <v>306</v>
      </c>
      <c r="EA218" t="s">
        <v>1701</v>
      </c>
      <c r="EB218">
        <v>19110619</v>
      </c>
      <c r="EC218" t="s">
        <v>346</v>
      </c>
      <c r="ED218">
        <v>0.01</v>
      </c>
      <c r="EE218" t="s">
        <v>53</v>
      </c>
      <c r="EF218" t="s">
        <v>472</v>
      </c>
      <c r="EG218">
        <v>4048215</v>
      </c>
      <c r="EH218" t="s">
        <v>346</v>
      </c>
      <c r="EI218">
        <v>0.01</v>
      </c>
      <c r="EJ218" t="s">
        <v>53</v>
      </c>
      <c r="EO218" t="s">
        <v>306</v>
      </c>
      <c r="ET218" t="s">
        <v>306</v>
      </c>
      <c r="EY218" t="s">
        <v>306</v>
      </c>
      <c r="FD218" t="s">
        <v>306</v>
      </c>
      <c r="FI218" t="s">
        <v>306</v>
      </c>
      <c r="FN218" t="s">
        <v>306</v>
      </c>
      <c r="FS218" t="s">
        <v>306</v>
      </c>
      <c r="FX218" t="s">
        <v>306</v>
      </c>
      <c r="FY218" t="s">
        <v>472</v>
      </c>
      <c r="FZ218">
        <v>4048215</v>
      </c>
      <c r="GA218" t="s">
        <v>346</v>
      </c>
      <c r="GB218">
        <v>0.01</v>
      </c>
      <c r="GC218" t="s">
        <v>53</v>
      </c>
      <c r="GH218" t="s">
        <v>306</v>
      </c>
      <c r="GM218" t="s">
        <v>306</v>
      </c>
      <c r="GR218" t="s">
        <v>306</v>
      </c>
      <c r="GS218" t="s">
        <v>480</v>
      </c>
      <c r="GT218">
        <v>4119651</v>
      </c>
      <c r="GU218" t="s">
        <v>346</v>
      </c>
      <c r="GV218">
        <v>0</v>
      </c>
      <c r="GW218" t="s">
        <v>53</v>
      </c>
      <c r="GX218" t="s">
        <v>1701</v>
      </c>
      <c r="GY218">
        <v>19110619</v>
      </c>
      <c r="GZ218" t="s">
        <v>346</v>
      </c>
      <c r="HA218">
        <v>0.01</v>
      </c>
      <c r="HB218" t="s">
        <v>53</v>
      </c>
      <c r="HG218" t="s">
        <v>306</v>
      </c>
    </row>
    <row r="219" spans="5:215" x14ac:dyDescent="0.35">
      <c r="E219" t="s">
        <v>306</v>
      </c>
      <c r="F219" t="s">
        <v>603</v>
      </c>
      <c r="G219">
        <v>110641</v>
      </c>
      <c r="H219" t="s">
        <v>346</v>
      </c>
      <c r="I219">
        <v>0</v>
      </c>
      <c r="J219" t="s">
        <v>53</v>
      </c>
      <c r="O219" t="s">
        <v>306</v>
      </c>
      <c r="T219" t="s">
        <v>306</v>
      </c>
      <c r="U219" t="s">
        <v>532</v>
      </c>
      <c r="V219">
        <v>4225018</v>
      </c>
      <c r="W219" t="s">
        <v>346</v>
      </c>
      <c r="X219">
        <v>0</v>
      </c>
      <c r="Y219" t="s">
        <v>2191</v>
      </c>
      <c r="AD219" t="s">
        <v>306</v>
      </c>
      <c r="AI219" t="s">
        <v>306</v>
      </c>
      <c r="AN219" t="s">
        <v>306</v>
      </c>
      <c r="AO219" t="s">
        <v>1349</v>
      </c>
      <c r="AP219">
        <v>4428399</v>
      </c>
      <c r="AQ219" t="s">
        <v>346</v>
      </c>
      <c r="AR219">
        <v>0</v>
      </c>
      <c r="AS219" t="s">
        <v>62</v>
      </c>
      <c r="AX219" t="s">
        <v>306</v>
      </c>
      <c r="BC219" t="s">
        <v>306</v>
      </c>
      <c r="BD219" t="s">
        <v>423</v>
      </c>
      <c r="BE219">
        <v>4318240</v>
      </c>
      <c r="BF219" t="s">
        <v>346</v>
      </c>
      <c r="BG219">
        <v>0.01</v>
      </c>
      <c r="BH219" t="s">
        <v>304</v>
      </c>
      <c r="BI219" t="s">
        <v>485</v>
      </c>
      <c r="BJ219">
        <v>5652844</v>
      </c>
      <c r="BK219" t="s">
        <v>346</v>
      </c>
      <c r="BL219">
        <v>0</v>
      </c>
      <c r="BM219" t="s">
        <v>304</v>
      </c>
      <c r="BN219" t="s">
        <v>522</v>
      </c>
      <c r="BO219">
        <v>4118373</v>
      </c>
      <c r="BP219" t="s">
        <v>346</v>
      </c>
      <c r="BQ219">
        <v>0</v>
      </c>
      <c r="BR219" t="s">
        <v>53</v>
      </c>
      <c r="BS219" t="s">
        <v>832</v>
      </c>
      <c r="BT219">
        <v>15135223</v>
      </c>
      <c r="BU219" t="s">
        <v>346</v>
      </c>
      <c r="BV219">
        <v>0.01</v>
      </c>
      <c r="BW219" t="s">
        <v>50</v>
      </c>
      <c r="BX219" t="s">
        <v>532</v>
      </c>
      <c r="BY219">
        <v>4225018</v>
      </c>
      <c r="BZ219" t="s">
        <v>346</v>
      </c>
      <c r="CA219">
        <v>0</v>
      </c>
      <c r="CB219" t="s">
        <v>2191</v>
      </c>
      <c r="CC219" t="s">
        <v>1702</v>
      </c>
      <c r="CD219">
        <v>4326048</v>
      </c>
      <c r="CE219" t="s">
        <v>364</v>
      </c>
      <c r="CF219">
        <v>0.01</v>
      </c>
      <c r="CG219" t="s">
        <v>53</v>
      </c>
      <c r="CH219" t="s">
        <v>1349</v>
      </c>
      <c r="CI219">
        <v>4428399</v>
      </c>
      <c r="CJ219" t="s">
        <v>346</v>
      </c>
      <c r="CK219">
        <v>0</v>
      </c>
      <c r="CL219" t="s">
        <v>62</v>
      </c>
      <c r="CM219" t="s">
        <v>1996</v>
      </c>
      <c r="CN219">
        <v>4119592</v>
      </c>
      <c r="CO219" t="s">
        <v>346</v>
      </c>
      <c r="CP219">
        <v>0.01</v>
      </c>
      <c r="CQ219" t="s">
        <v>53</v>
      </c>
      <c r="CV219" t="s">
        <v>306</v>
      </c>
      <c r="DA219" t="s">
        <v>306</v>
      </c>
      <c r="DB219" t="s">
        <v>423</v>
      </c>
      <c r="DC219">
        <v>4318240</v>
      </c>
      <c r="DD219" t="s">
        <v>346</v>
      </c>
      <c r="DE219">
        <v>0.01</v>
      </c>
      <c r="DF219" t="s">
        <v>304</v>
      </c>
      <c r="DK219" t="s">
        <v>306</v>
      </c>
      <c r="DL219" t="s">
        <v>423</v>
      </c>
      <c r="DM219">
        <v>4318240</v>
      </c>
      <c r="DN219" t="s">
        <v>346</v>
      </c>
      <c r="DO219">
        <v>0.01</v>
      </c>
      <c r="DP219" t="s">
        <v>304</v>
      </c>
      <c r="DU219" t="s">
        <v>306</v>
      </c>
      <c r="DZ219" t="s">
        <v>306</v>
      </c>
      <c r="EA219" t="s">
        <v>1702</v>
      </c>
      <c r="EB219">
        <v>4326048</v>
      </c>
      <c r="EC219" t="s">
        <v>364</v>
      </c>
      <c r="ED219">
        <v>0.01</v>
      </c>
      <c r="EE219" t="s">
        <v>53</v>
      </c>
      <c r="EF219" t="s">
        <v>423</v>
      </c>
      <c r="EG219">
        <v>4318240</v>
      </c>
      <c r="EH219" t="s">
        <v>346</v>
      </c>
      <c r="EI219">
        <v>0.01</v>
      </c>
      <c r="EJ219" t="s">
        <v>304</v>
      </c>
      <c r="EO219" t="s">
        <v>306</v>
      </c>
      <c r="ET219" t="s">
        <v>306</v>
      </c>
      <c r="EY219" t="s">
        <v>306</v>
      </c>
      <c r="FD219" t="s">
        <v>306</v>
      </c>
      <c r="FI219" t="s">
        <v>306</v>
      </c>
      <c r="FN219" t="s">
        <v>306</v>
      </c>
      <c r="FS219" t="s">
        <v>306</v>
      </c>
      <c r="FX219" t="s">
        <v>306</v>
      </c>
      <c r="FY219" t="s">
        <v>423</v>
      </c>
      <c r="FZ219">
        <v>4318240</v>
      </c>
      <c r="GA219" t="s">
        <v>346</v>
      </c>
      <c r="GB219">
        <v>0.01</v>
      </c>
      <c r="GC219" t="s">
        <v>304</v>
      </c>
      <c r="GH219" t="s">
        <v>306</v>
      </c>
      <c r="GM219" t="s">
        <v>306</v>
      </c>
      <c r="GR219" t="s">
        <v>306</v>
      </c>
      <c r="GS219" t="s">
        <v>522</v>
      </c>
      <c r="GT219">
        <v>4118373</v>
      </c>
      <c r="GU219" t="s">
        <v>346</v>
      </c>
      <c r="GV219">
        <v>0</v>
      </c>
      <c r="GW219" t="s">
        <v>53</v>
      </c>
      <c r="GX219" t="s">
        <v>1702</v>
      </c>
      <c r="GY219">
        <v>4326048</v>
      </c>
      <c r="GZ219" t="s">
        <v>364</v>
      </c>
      <c r="HA219">
        <v>0.01</v>
      </c>
      <c r="HB219" t="s">
        <v>53</v>
      </c>
      <c r="HG219" t="s">
        <v>306</v>
      </c>
    </row>
    <row r="220" spans="5:215" x14ac:dyDescent="0.35">
      <c r="E220" t="s">
        <v>306</v>
      </c>
      <c r="F220" t="s">
        <v>604</v>
      </c>
      <c r="G220">
        <v>4216438</v>
      </c>
      <c r="H220" t="s">
        <v>346</v>
      </c>
      <c r="I220">
        <v>0</v>
      </c>
      <c r="J220" t="s">
        <v>2191</v>
      </c>
      <c r="O220" t="s">
        <v>306</v>
      </c>
      <c r="T220" t="s">
        <v>306</v>
      </c>
      <c r="U220" t="s">
        <v>449</v>
      </c>
      <c r="V220">
        <v>4093616</v>
      </c>
      <c r="W220" t="s">
        <v>346</v>
      </c>
      <c r="X220">
        <v>0</v>
      </c>
      <c r="Y220" t="s">
        <v>80</v>
      </c>
      <c r="AD220" t="s">
        <v>306</v>
      </c>
      <c r="AI220" t="s">
        <v>306</v>
      </c>
      <c r="AN220" t="s">
        <v>306</v>
      </c>
      <c r="AO220" t="s">
        <v>1350</v>
      </c>
      <c r="AP220">
        <v>4029888</v>
      </c>
      <c r="AQ220" t="s">
        <v>346</v>
      </c>
      <c r="AR220">
        <v>0</v>
      </c>
      <c r="AS220" t="s">
        <v>53</v>
      </c>
      <c r="AX220" t="s">
        <v>306</v>
      </c>
      <c r="BC220" t="s">
        <v>306</v>
      </c>
      <c r="BD220" t="s">
        <v>558</v>
      </c>
      <c r="BE220">
        <v>109844</v>
      </c>
      <c r="BF220" t="s">
        <v>346</v>
      </c>
      <c r="BG220">
        <v>0.01</v>
      </c>
      <c r="BH220" t="s">
        <v>53</v>
      </c>
      <c r="BI220" t="s">
        <v>625</v>
      </c>
      <c r="BJ220">
        <v>111206</v>
      </c>
      <c r="BK220" t="s">
        <v>346</v>
      </c>
      <c r="BL220">
        <v>0</v>
      </c>
      <c r="BM220" t="s">
        <v>53</v>
      </c>
      <c r="BN220" t="s">
        <v>507</v>
      </c>
      <c r="BO220">
        <v>4150758</v>
      </c>
      <c r="BP220" t="s">
        <v>366</v>
      </c>
      <c r="BQ220">
        <v>0</v>
      </c>
      <c r="BR220" t="s">
        <v>320</v>
      </c>
      <c r="BS220" t="s">
        <v>428</v>
      </c>
      <c r="BT220">
        <v>4116134</v>
      </c>
      <c r="BU220" t="s">
        <v>346</v>
      </c>
      <c r="BV220">
        <v>0.01</v>
      </c>
      <c r="BW220" t="s">
        <v>304</v>
      </c>
      <c r="BX220" t="s">
        <v>449</v>
      </c>
      <c r="BY220">
        <v>4093616</v>
      </c>
      <c r="BZ220" t="s">
        <v>346</v>
      </c>
      <c r="CA220">
        <v>0</v>
      </c>
      <c r="CB220" t="s">
        <v>80</v>
      </c>
      <c r="CC220" t="s">
        <v>1703</v>
      </c>
      <c r="CD220">
        <v>6733987</v>
      </c>
      <c r="CE220" t="s">
        <v>346</v>
      </c>
      <c r="CF220">
        <v>0.01</v>
      </c>
      <c r="CG220" t="s">
        <v>114</v>
      </c>
      <c r="CH220" t="s">
        <v>1350</v>
      </c>
      <c r="CI220">
        <v>4029888</v>
      </c>
      <c r="CJ220" t="s">
        <v>346</v>
      </c>
      <c r="CK220">
        <v>0</v>
      </c>
      <c r="CL220" t="s">
        <v>53</v>
      </c>
      <c r="CM220" t="s">
        <v>1997</v>
      </c>
      <c r="CN220">
        <v>133140347</v>
      </c>
      <c r="CO220" t="s">
        <v>346</v>
      </c>
      <c r="CP220">
        <v>0.01</v>
      </c>
      <c r="CQ220" t="s">
        <v>53</v>
      </c>
      <c r="CV220" t="s">
        <v>306</v>
      </c>
      <c r="DA220" t="s">
        <v>306</v>
      </c>
      <c r="DB220" t="s">
        <v>558</v>
      </c>
      <c r="DC220">
        <v>109844</v>
      </c>
      <c r="DD220" t="s">
        <v>346</v>
      </c>
      <c r="DE220">
        <v>0.01</v>
      </c>
      <c r="DF220" t="s">
        <v>53</v>
      </c>
      <c r="DK220" t="s">
        <v>306</v>
      </c>
      <c r="DL220" t="s">
        <v>558</v>
      </c>
      <c r="DM220">
        <v>109844</v>
      </c>
      <c r="DN220" t="s">
        <v>346</v>
      </c>
      <c r="DO220">
        <v>0.01</v>
      </c>
      <c r="DP220" t="s">
        <v>53</v>
      </c>
      <c r="DU220" t="s">
        <v>306</v>
      </c>
      <c r="DZ220" t="s">
        <v>306</v>
      </c>
      <c r="EA220" t="s">
        <v>1703</v>
      </c>
      <c r="EB220">
        <v>6733987</v>
      </c>
      <c r="EC220" t="s">
        <v>346</v>
      </c>
      <c r="ED220">
        <v>0.01</v>
      </c>
      <c r="EE220" t="s">
        <v>114</v>
      </c>
      <c r="EF220" t="s">
        <v>558</v>
      </c>
      <c r="EG220">
        <v>109844</v>
      </c>
      <c r="EH220" t="s">
        <v>346</v>
      </c>
      <c r="EI220">
        <v>0.01</v>
      </c>
      <c r="EJ220" t="s">
        <v>53</v>
      </c>
      <c r="EO220" t="s">
        <v>306</v>
      </c>
      <c r="ET220" t="s">
        <v>306</v>
      </c>
      <c r="EY220" t="s">
        <v>306</v>
      </c>
      <c r="FD220" t="s">
        <v>306</v>
      </c>
      <c r="FI220" t="s">
        <v>306</v>
      </c>
      <c r="FN220" t="s">
        <v>306</v>
      </c>
      <c r="FS220" t="s">
        <v>306</v>
      </c>
      <c r="FX220" t="s">
        <v>306</v>
      </c>
      <c r="FY220" t="s">
        <v>558</v>
      </c>
      <c r="FZ220">
        <v>109844</v>
      </c>
      <c r="GA220" t="s">
        <v>346</v>
      </c>
      <c r="GB220">
        <v>0.01</v>
      </c>
      <c r="GC220" t="s">
        <v>53</v>
      </c>
      <c r="GH220" t="s">
        <v>306</v>
      </c>
      <c r="GM220" t="s">
        <v>306</v>
      </c>
      <c r="GR220" t="s">
        <v>306</v>
      </c>
      <c r="GS220" t="s">
        <v>507</v>
      </c>
      <c r="GT220">
        <v>4150758</v>
      </c>
      <c r="GU220" t="s">
        <v>366</v>
      </c>
      <c r="GV220">
        <v>0</v>
      </c>
      <c r="GW220" t="s">
        <v>320</v>
      </c>
      <c r="GX220" t="s">
        <v>1703</v>
      </c>
      <c r="GY220">
        <v>6733987</v>
      </c>
      <c r="GZ220" t="s">
        <v>346</v>
      </c>
      <c r="HA220">
        <v>0.01</v>
      </c>
      <c r="HB220" t="s">
        <v>114</v>
      </c>
      <c r="HG220" t="s">
        <v>306</v>
      </c>
    </row>
    <row r="221" spans="5:215" x14ac:dyDescent="0.35">
      <c r="E221" t="s">
        <v>306</v>
      </c>
      <c r="F221" t="s">
        <v>605</v>
      </c>
      <c r="G221">
        <v>111489</v>
      </c>
      <c r="H221" t="s">
        <v>346</v>
      </c>
      <c r="I221">
        <v>0</v>
      </c>
      <c r="J221" t="s">
        <v>53</v>
      </c>
      <c r="O221" t="s">
        <v>306</v>
      </c>
      <c r="T221" t="s">
        <v>306</v>
      </c>
      <c r="U221" t="s">
        <v>807</v>
      </c>
      <c r="V221">
        <v>4553770</v>
      </c>
      <c r="W221" t="s">
        <v>346</v>
      </c>
      <c r="X221">
        <v>0</v>
      </c>
      <c r="Y221" t="s">
        <v>50</v>
      </c>
      <c r="AD221" t="s">
        <v>306</v>
      </c>
      <c r="AI221" t="s">
        <v>306</v>
      </c>
      <c r="AN221" t="s">
        <v>306</v>
      </c>
      <c r="AO221" t="s">
        <v>1351</v>
      </c>
      <c r="AP221">
        <v>4140057</v>
      </c>
      <c r="AQ221" t="s">
        <v>346</v>
      </c>
      <c r="AR221">
        <v>0</v>
      </c>
      <c r="AS221" t="s">
        <v>2203</v>
      </c>
      <c r="AX221" t="s">
        <v>306</v>
      </c>
      <c r="BC221" t="s">
        <v>306</v>
      </c>
      <c r="BD221" t="s">
        <v>356</v>
      </c>
      <c r="BE221">
        <v>4578944</v>
      </c>
      <c r="BF221" t="s">
        <v>346</v>
      </c>
      <c r="BG221">
        <v>0.01</v>
      </c>
      <c r="BH221" t="s">
        <v>125</v>
      </c>
      <c r="BI221" t="s">
        <v>574</v>
      </c>
      <c r="BJ221">
        <v>4049157</v>
      </c>
      <c r="BK221" t="s">
        <v>346</v>
      </c>
      <c r="BL221">
        <v>0</v>
      </c>
      <c r="BM221" t="s">
        <v>53</v>
      </c>
      <c r="BN221" t="s">
        <v>491</v>
      </c>
      <c r="BO221">
        <v>106960</v>
      </c>
      <c r="BP221" t="s">
        <v>346</v>
      </c>
      <c r="BQ221">
        <v>0</v>
      </c>
      <c r="BR221" t="s">
        <v>80</v>
      </c>
      <c r="BS221" t="s">
        <v>757</v>
      </c>
      <c r="BT221">
        <v>5804546</v>
      </c>
      <c r="BU221" t="s">
        <v>364</v>
      </c>
      <c r="BV221">
        <v>0.01</v>
      </c>
      <c r="BW221" t="s">
        <v>2181</v>
      </c>
      <c r="BX221" t="s">
        <v>807</v>
      </c>
      <c r="BY221">
        <v>4553770</v>
      </c>
      <c r="BZ221" t="s">
        <v>346</v>
      </c>
      <c r="CA221">
        <v>0</v>
      </c>
      <c r="CB221" t="s">
        <v>50</v>
      </c>
      <c r="CC221" t="s">
        <v>1704</v>
      </c>
      <c r="CD221">
        <v>1000525</v>
      </c>
      <c r="CE221" t="s">
        <v>346</v>
      </c>
      <c r="CF221">
        <v>0.01</v>
      </c>
      <c r="CG221" t="s">
        <v>53</v>
      </c>
      <c r="CH221" t="s">
        <v>1351</v>
      </c>
      <c r="CI221">
        <v>4140057</v>
      </c>
      <c r="CJ221" t="s">
        <v>346</v>
      </c>
      <c r="CK221">
        <v>0</v>
      </c>
      <c r="CL221" t="s">
        <v>2203</v>
      </c>
      <c r="CM221" t="s">
        <v>1359</v>
      </c>
      <c r="CN221">
        <v>4213188</v>
      </c>
      <c r="CO221" t="s">
        <v>346</v>
      </c>
      <c r="CP221">
        <v>0.01</v>
      </c>
      <c r="CQ221" t="s">
        <v>62</v>
      </c>
      <c r="CV221" t="s">
        <v>306</v>
      </c>
      <c r="DA221" t="s">
        <v>306</v>
      </c>
      <c r="DB221" t="s">
        <v>356</v>
      </c>
      <c r="DC221">
        <v>4578944</v>
      </c>
      <c r="DD221" t="s">
        <v>346</v>
      </c>
      <c r="DE221">
        <v>0.01</v>
      </c>
      <c r="DF221" t="s">
        <v>125</v>
      </c>
      <c r="DK221" t="s">
        <v>306</v>
      </c>
      <c r="DL221" t="s">
        <v>356</v>
      </c>
      <c r="DM221">
        <v>4578944</v>
      </c>
      <c r="DN221" t="s">
        <v>346</v>
      </c>
      <c r="DO221">
        <v>0.01</v>
      </c>
      <c r="DP221" t="s">
        <v>125</v>
      </c>
      <c r="DU221" t="s">
        <v>306</v>
      </c>
      <c r="DZ221" t="s">
        <v>306</v>
      </c>
      <c r="EA221" t="s">
        <v>1704</v>
      </c>
      <c r="EB221">
        <v>1000525</v>
      </c>
      <c r="EC221" t="s">
        <v>346</v>
      </c>
      <c r="ED221">
        <v>0.01</v>
      </c>
      <c r="EE221" t="s">
        <v>53</v>
      </c>
      <c r="EF221" t="s">
        <v>356</v>
      </c>
      <c r="EG221">
        <v>4578944</v>
      </c>
      <c r="EH221" t="s">
        <v>346</v>
      </c>
      <c r="EI221">
        <v>0.01</v>
      </c>
      <c r="EJ221" t="s">
        <v>125</v>
      </c>
      <c r="EO221" t="s">
        <v>306</v>
      </c>
      <c r="ET221" t="s">
        <v>306</v>
      </c>
      <c r="EY221" t="s">
        <v>306</v>
      </c>
      <c r="FD221" t="s">
        <v>306</v>
      </c>
      <c r="FI221" t="s">
        <v>306</v>
      </c>
      <c r="FN221" t="s">
        <v>306</v>
      </c>
      <c r="FS221" t="s">
        <v>306</v>
      </c>
      <c r="FX221" t="s">
        <v>306</v>
      </c>
      <c r="FY221" t="s">
        <v>356</v>
      </c>
      <c r="FZ221">
        <v>4578944</v>
      </c>
      <c r="GA221" t="s">
        <v>346</v>
      </c>
      <c r="GB221">
        <v>0.01</v>
      </c>
      <c r="GC221" t="s">
        <v>125</v>
      </c>
      <c r="GH221" t="s">
        <v>306</v>
      </c>
      <c r="GM221" t="s">
        <v>306</v>
      </c>
      <c r="GR221" t="s">
        <v>306</v>
      </c>
      <c r="GS221" t="s">
        <v>491</v>
      </c>
      <c r="GT221">
        <v>106960</v>
      </c>
      <c r="GU221" t="s">
        <v>346</v>
      </c>
      <c r="GV221">
        <v>0</v>
      </c>
      <c r="GW221" t="s">
        <v>80</v>
      </c>
      <c r="GX221" t="s">
        <v>1704</v>
      </c>
      <c r="GY221">
        <v>1000525</v>
      </c>
      <c r="GZ221" t="s">
        <v>346</v>
      </c>
      <c r="HA221">
        <v>0.01</v>
      </c>
      <c r="HB221" t="s">
        <v>53</v>
      </c>
      <c r="HG221" t="s">
        <v>306</v>
      </c>
    </row>
    <row r="222" spans="5:215" x14ac:dyDescent="0.35">
      <c r="E222" t="s">
        <v>306</v>
      </c>
      <c r="F222" t="s">
        <v>606</v>
      </c>
      <c r="G222">
        <v>10346719</v>
      </c>
      <c r="H222" t="s">
        <v>346</v>
      </c>
      <c r="I222">
        <v>0</v>
      </c>
      <c r="J222" t="s">
        <v>313</v>
      </c>
      <c r="O222" t="s">
        <v>306</v>
      </c>
      <c r="T222" t="s">
        <v>306</v>
      </c>
      <c r="U222" t="s">
        <v>808</v>
      </c>
      <c r="V222">
        <v>4138631</v>
      </c>
      <c r="W222" t="s">
        <v>346</v>
      </c>
      <c r="X222">
        <v>0</v>
      </c>
      <c r="Y222" t="s">
        <v>50</v>
      </c>
      <c r="AD222" t="s">
        <v>306</v>
      </c>
      <c r="AI222" t="s">
        <v>306</v>
      </c>
      <c r="AN222" t="s">
        <v>306</v>
      </c>
      <c r="AO222" t="s">
        <v>1242</v>
      </c>
      <c r="AP222">
        <v>5864922</v>
      </c>
      <c r="AQ222" t="s">
        <v>346</v>
      </c>
      <c r="AR222">
        <v>0</v>
      </c>
      <c r="AS222" t="s">
        <v>317</v>
      </c>
      <c r="AX222" t="s">
        <v>306</v>
      </c>
      <c r="BC222" t="s">
        <v>306</v>
      </c>
      <c r="BD222" t="s">
        <v>851</v>
      </c>
      <c r="BE222">
        <v>4405395</v>
      </c>
      <c r="BF222" t="s">
        <v>346</v>
      </c>
      <c r="BG222">
        <v>0.01</v>
      </c>
      <c r="BH222" t="s">
        <v>313</v>
      </c>
      <c r="BI222" t="s">
        <v>592</v>
      </c>
      <c r="BJ222">
        <v>1015222</v>
      </c>
      <c r="BK222" t="s">
        <v>346</v>
      </c>
      <c r="BL222">
        <v>0</v>
      </c>
      <c r="BM222" t="s">
        <v>53</v>
      </c>
      <c r="BN222" t="s">
        <v>825</v>
      </c>
      <c r="BO222">
        <v>5868824</v>
      </c>
      <c r="BP222" t="s">
        <v>346</v>
      </c>
      <c r="BQ222">
        <v>0</v>
      </c>
      <c r="BR222" t="s">
        <v>50</v>
      </c>
      <c r="BS222" t="s">
        <v>355</v>
      </c>
      <c r="BT222">
        <v>111074</v>
      </c>
      <c r="BU222" t="s">
        <v>346</v>
      </c>
      <c r="BV222">
        <v>0.01</v>
      </c>
      <c r="BW222" t="s">
        <v>53</v>
      </c>
      <c r="BX222" t="s">
        <v>808</v>
      </c>
      <c r="BY222">
        <v>4138631</v>
      </c>
      <c r="BZ222" t="s">
        <v>346</v>
      </c>
      <c r="CA222">
        <v>0</v>
      </c>
      <c r="CB222" t="s">
        <v>50</v>
      </c>
      <c r="CC222" t="s">
        <v>1705</v>
      </c>
      <c r="CD222">
        <v>4413792</v>
      </c>
      <c r="CE222" t="s">
        <v>346</v>
      </c>
      <c r="CF222">
        <v>0.01</v>
      </c>
      <c r="CG222" t="s">
        <v>53</v>
      </c>
      <c r="CH222" t="s">
        <v>1242</v>
      </c>
      <c r="CI222">
        <v>5864922</v>
      </c>
      <c r="CJ222" t="s">
        <v>346</v>
      </c>
      <c r="CK222">
        <v>0</v>
      </c>
      <c r="CL222" t="s">
        <v>317</v>
      </c>
      <c r="CM222" t="s">
        <v>1311</v>
      </c>
      <c r="CN222">
        <v>5866214</v>
      </c>
      <c r="CO222" t="s">
        <v>346</v>
      </c>
      <c r="CP222">
        <v>0.01</v>
      </c>
      <c r="CQ222" t="s">
        <v>62</v>
      </c>
      <c r="CV222" t="s">
        <v>306</v>
      </c>
      <c r="DA222" t="s">
        <v>306</v>
      </c>
      <c r="DB222" t="s">
        <v>851</v>
      </c>
      <c r="DC222">
        <v>4405395</v>
      </c>
      <c r="DD222" t="s">
        <v>346</v>
      </c>
      <c r="DE222">
        <v>0.01</v>
      </c>
      <c r="DF222" t="s">
        <v>313</v>
      </c>
      <c r="DK222" t="s">
        <v>306</v>
      </c>
      <c r="DL222" t="s">
        <v>851</v>
      </c>
      <c r="DM222">
        <v>4405395</v>
      </c>
      <c r="DN222" t="s">
        <v>346</v>
      </c>
      <c r="DO222">
        <v>0.01</v>
      </c>
      <c r="DP222" t="s">
        <v>313</v>
      </c>
      <c r="DU222" t="s">
        <v>306</v>
      </c>
      <c r="DZ222" t="s">
        <v>306</v>
      </c>
      <c r="EA222" t="s">
        <v>1705</v>
      </c>
      <c r="EB222">
        <v>4413792</v>
      </c>
      <c r="EC222" t="s">
        <v>346</v>
      </c>
      <c r="ED222">
        <v>0.01</v>
      </c>
      <c r="EE222" t="s">
        <v>53</v>
      </c>
      <c r="EF222" t="s">
        <v>851</v>
      </c>
      <c r="EG222">
        <v>4405395</v>
      </c>
      <c r="EH222" t="s">
        <v>346</v>
      </c>
      <c r="EI222">
        <v>0.01</v>
      </c>
      <c r="EJ222" t="s">
        <v>313</v>
      </c>
      <c r="EO222" t="s">
        <v>306</v>
      </c>
      <c r="ET222" t="s">
        <v>306</v>
      </c>
      <c r="EY222" t="s">
        <v>306</v>
      </c>
      <c r="FD222" t="s">
        <v>306</v>
      </c>
      <c r="FI222" t="s">
        <v>306</v>
      </c>
      <c r="FN222" t="s">
        <v>306</v>
      </c>
      <c r="FS222" t="s">
        <v>306</v>
      </c>
      <c r="FX222" t="s">
        <v>306</v>
      </c>
      <c r="FY222" t="s">
        <v>851</v>
      </c>
      <c r="FZ222">
        <v>4405395</v>
      </c>
      <c r="GA222" t="s">
        <v>346</v>
      </c>
      <c r="GB222">
        <v>0.01</v>
      </c>
      <c r="GC222" t="s">
        <v>313</v>
      </c>
      <c r="GH222" t="s">
        <v>306</v>
      </c>
      <c r="GM222" t="s">
        <v>306</v>
      </c>
      <c r="GR222" t="s">
        <v>306</v>
      </c>
      <c r="GS222" t="s">
        <v>825</v>
      </c>
      <c r="GT222">
        <v>5868824</v>
      </c>
      <c r="GU222" t="s">
        <v>346</v>
      </c>
      <c r="GV222">
        <v>0</v>
      </c>
      <c r="GW222" t="s">
        <v>50</v>
      </c>
      <c r="GX222" t="s">
        <v>1705</v>
      </c>
      <c r="GY222">
        <v>4413792</v>
      </c>
      <c r="GZ222" t="s">
        <v>346</v>
      </c>
      <c r="HA222">
        <v>0.01</v>
      </c>
      <c r="HB222" t="s">
        <v>53</v>
      </c>
      <c r="HG222" t="s">
        <v>306</v>
      </c>
    </row>
    <row r="223" spans="5:215" x14ac:dyDescent="0.35">
      <c r="E223" t="s">
        <v>306</v>
      </c>
      <c r="F223" t="s">
        <v>607</v>
      </c>
      <c r="G223">
        <v>17501722</v>
      </c>
      <c r="H223" t="s">
        <v>366</v>
      </c>
      <c r="I223">
        <v>0</v>
      </c>
      <c r="J223" t="s">
        <v>313</v>
      </c>
      <c r="O223" t="s">
        <v>306</v>
      </c>
      <c r="T223" t="s">
        <v>306</v>
      </c>
      <c r="U223" t="s">
        <v>809</v>
      </c>
      <c r="V223">
        <v>8682054</v>
      </c>
      <c r="W223" t="s">
        <v>346</v>
      </c>
      <c r="X223">
        <v>0</v>
      </c>
      <c r="Y223" t="s">
        <v>326</v>
      </c>
      <c r="AD223" t="s">
        <v>306</v>
      </c>
      <c r="AI223" t="s">
        <v>306</v>
      </c>
      <c r="AN223" t="s">
        <v>306</v>
      </c>
      <c r="AO223" t="s">
        <v>439</v>
      </c>
      <c r="AP223">
        <v>4757367</v>
      </c>
      <c r="AQ223" t="s">
        <v>363</v>
      </c>
      <c r="AR223">
        <v>0</v>
      </c>
      <c r="AS223" t="s">
        <v>125</v>
      </c>
      <c r="AX223" t="s">
        <v>306</v>
      </c>
      <c r="BC223" t="s">
        <v>306</v>
      </c>
      <c r="BD223" t="s">
        <v>1460</v>
      </c>
      <c r="BE223">
        <v>4073155</v>
      </c>
      <c r="BF223" t="s">
        <v>346</v>
      </c>
      <c r="BG223">
        <v>0.01</v>
      </c>
      <c r="BH223" t="s">
        <v>53</v>
      </c>
      <c r="BI223" t="s">
        <v>1591</v>
      </c>
      <c r="BJ223">
        <v>4182942</v>
      </c>
      <c r="BK223" t="s">
        <v>346</v>
      </c>
      <c r="BL223">
        <v>0</v>
      </c>
      <c r="BM223" t="s">
        <v>320</v>
      </c>
      <c r="BN223" t="s">
        <v>482</v>
      </c>
      <c r="BO223">
        <v>4048742</v>
      </c>
      <c r="BP223" t="s">
        <v>346</v>
      </c>
      <c r="BQ223">
        <v>0</v>
      </c>
      <c r="BR223" t="s">
        <v>80</v>
      </c>
      <c r="BS223" t="s">
        <v>401</v>
      </c>
      <c r="BT223">
        <v>4139862</v>
      </c>
      <c r="BU223" t="s">
        <v>346</v>
      </c>
      <c r="BV223">
        <v>0.01</v>
      </c>
      <c r="BW223" t="s">
        <v>313</v>
      </c>
      <c r="BX223" t="s">
        <v>809</v>
      </c>
      <c r="BY223">
        <v>8682054</v>
      </c>
      <c r="BZ223" t="s">
        <v>346</v>
      </c>
      <c r="CA223">
        <v>0</v>
      </c>
      <c r="CB223" t="s">
        <v>326</v>
      </c>
      <c r="CC223" t="s">
        <v>1706</v>
      </c>
      <c r="CD223">
        <v>118902457</v>
      </c>
      <c r="CE223" t="s">
        <v>346</v>
      </c>
      <c r="CF223">
        <v>0.01</v>
      </c>
      <c r="CG223" t="s">
        <v>306</v>
      </c>
      <c r="CH223" t="s">
        <v>439</v>
      </c>
      <c r="CI223">
        <v>4757367</v>
      </c>
      <c r="CJ223" t="s">
        <v>363</v>
      </c>
      <c r="CK223">
        <v>0</v>
      </c>
      <c r="CL223" t="s">
        <v>125</v>
      </c>
      <c r="CM223" t="s">
        <v>1639</v>
      </c>
      <c r="CN223">
        <v>4166919</v>
      </c>
      <c r="CO223" t="s">
        <v>346</v>
      </c>
      <c r="CP223">
        <v>0.01</v>
      </c>
      <c r="CQ223" t="s">
        <v>53</v>
      </c>
      <c r="CV223" t="s">
        <v>306</v>
      </c>
      <c r="DA223" t="s">
        <v>306</v>
      </c>
      <c r="DB223" t="s">
        <v>1460</v>
      </c>
      <c r="DC223">
        <v>4073155</v>
      </c>
      <c r="DD223" t="s">
        <v>346</v>
      </c>
      <c r="DE223">
        <v>0.01</v>
      </c>
      <c r="DF223" t="s">
        <v>53</v>
      </c>
      <c r="DK223" t="s">
        <v>306</v>
      </c>
      <c r="DL223" t="s">
        <v>1460</v>
      </c>
      <c r="DM223">
        <v>4073155</v>
      </c>
      <c r="DN223" t="s">
        <v>346</v>
      </c>
      <c r="DO223">
        <v>0.01</v>
      </c>
      <c r="DP223" t="s">
        <v>53</v>
      </c>
      <c r="DU223" t="s">
        <v>306</v>
      </c>
      <c r="DZ223" t="s">
        <v>306</v>
      </c>
      <c r="EA223" t="s">
        <v>1706</v>
      </c>
      <c r="EB223">
        <v>118902457</v>
      </c>
      <c r="EC223" t="s">
        <v>346</v>
      </c>
      <c r="ED223">
        <v>0.01</v>
      </c>
      <c r="EE223" t="s">
        <v>306</v>
      </c>
      <c r="EF223" t="s">
        <v>1460</v>
      </c>
      <c r="EG223">
        <v>4073155</v>
      </c>
      <c r="EH223" t="s">
        <v>346</v>
      </c>
      <c r="EI223">
        <v>0.01</v>
      </c>
      <c r="EJ223" t="s">
        <v>53</v>
      </c>
      <c r="EO223" t="s">
        <v>306</v>
      </c>
      <c r="ET223" t="s">
        <v>306</v>
      </c>
      <c r="EY223" t="s">
        <v>306</v>
      </c>
      <c r="FD223" t="s">
        <v>306</v>
      </c>
      <c r="FI223" t="s">
        <v>306</v>
      </c>
      <c r="FN223" t="s">
        <v>306</v>
      </c>
      <c r="FS223" t="s">
        <v>306</v>
      </c>
      <c r="FX223" t="s">
        <v>306</v>
      </c>
      <c r="FY223" t="s">
        <v>1460</v>
      </c>
      <c r="FZ223">
        <v>4073155</v>
      </c>
      <c r="GA223" t="s">
        <v>346</v>
      </c>
      <c r="GB223">
        <v>0.01</v>
      </c>
      <c r="GC223" t="s">
        <v>53</v>
      </c>
      <c r="GH223" t="s">
        <v>306</v>
      </c>
      <c r="GM223" t="s">
        <v>306</v>
      </c>
      <c r="GR223" t="s">
        <v>306</v>
      </c>
      <c r="GS223" t="s">
        <v>482</v>
      </c>
      <c r="GT223">
        <v>4048742</v>
      </c>
      <c r="GU223" t="s">
        <v>346</v>
      </c>
      <c r="GV223">
        <v>0</v>
      </c>
      <c r="GW223" t="s">
        <v>80</v>
      </c>
      <c r="GX223" t="s">
        <v>1706</v>
      </c>
      <c r="GY223">
        <v>118902457</v>
      </c>
      <c r="GZ223" t="s">
        <v>346</v>
      </c>
      <c r="HA223">
        <v>0.01</v>
      </c>
      <c r="HB223" t="s">
        <v>306</v>
      </c>
      <c r="HG223" t="s">
        <v>306</v>
      </c>
    </row>
    <row r="224" spans="5:215" x14ac:dyDescent="0.35">
      <c r="E224" t="s">
        <v>306</v>
      </c>
      <c r="F224" t="s">
        <v>608</v>
      </c>
      <c r="G224">
        <v>110427</v>
      </c>
      <c r="H224" t="s">
        <v>346</v>
      </c>
      <c r="I224">
        <v>0</v>
      </c>
      <c r="J224" t="s">
        <v>313</v>
      </c>
      <c r="O224" t="s">
        <v>306</v>
      </c>
      <c r="T224" t="s">
        <v>306</v>
      </c>
      <c r="U224" t="s">
        <v>810</v>
      </c>
      <c r="V224">
        <v>106535824</v>
      </c>
      <c r="W224" t="s">
        <v>346</v>
      </c>
      <c r="X224">
        <v>0</v>
      </c>
      <c r="Y224" t="s">
        <v>306</v>
      </c>
      <c r="AD224" t="s">
        <v>306</v>
      </c>
      <c r="AI224" t="s">
        <v>306</v>
      </c>
      <c r="AN224" t="s">
        <v>306</v>
      </c>
      <c r="AO224" t="s">
        <v>395</v>
      </c>
      <c r="AP224">
        <v>4153606</v>
      </c>
      <c r="AQ224" t="s">
        <v>346</v>
      </c>
      <c r="AR224">
        <v>0</v>
      </c>
      <c r="AS224" t="s">
        <v>53</v>
      </c>
      <c r="AX224" t="s">
        <v>306</v>
      </c>
      <c r="BC224" t="s">
        <v>306</v>
      </c>
      <c r="BD224" t="s">
        <v>1268</v>
      </c>
      <c r="BE224">
        <v>4418744</v>
      </c>
      <c r="BF224" t="s">
        <v>346</v>
      </c>
      <c r="BG224">
        <v>0.01</v>
      </c>
      <c r="BH224" t="s">
        <v>62</v>
      </c>
      <c r="BI224" t="s">
        <v>588</v>
      </c>
      <c r="BJ224">
        <v>111537</v>
      </c>
      <c r="BK224" t="s">
        <v>346</v>
      </c>
      <c r="BL224">
        <v>0</v>
      </c>
      <c r="BM224" t="s">
        <v>53</v>
      </c>
      <c r="BN224" t="s">
        <v>1241</v>
      </c>
      <c r="BO224">
        <v>100522</v>
      </c>
      <c r="BP224" t="s">
        <v>366</v>
      </c>
      <c r="BQ224">
        <v>0</v>
      </c>
      <c r="BR224" t="s">
        <v>80</v>
      </c>
      <c r="BS224" t="s">
        <v>487</v>
      </c>
      <c r="BT224">
        <v>4111901</v>
      </c>
      <c r="BU224" t="s">
        <v>346</v>
      </c>
      <c r="BV224">
        <v>0.01</v>
      </c>
      <c r="BW224" t="s">
        <v>2192</v>
      </c>
      <c r="BX224" t="s">
        <v>810</v>
      </c>
      <c r="BY224">
        <v>106535824</v>
      </c>
      <c r="BZ224" t="s">
        <v>346</v>
      </c>
      <c r="CA224">
        <v>0</v>
      </c>
      <c r="CB224" t="s">
        <v>306</v>
      </c>
      <c r="CC224" t="s">
        <v>410</v>
      </c>
      <c r="CD224">
        <v>5759394</v>
      </c>
      <c r="CE224" t="s">
        <v>346</v>
      </c>
      <c r="CF224">
        <v>0.01</v>
      </c>
      <c r="CG224" t="s">
        <v>2186</v>
      </c>
      <c r="CH224" t="s">
        <v>395</v>
      </c>
      <c r="CI224">
        <v>4153606</v>
      </c>
      <c r="CJ224" t="s">
        <v>346</v>
      </c>
      <c r="CK224">
        <v>0</v>
      </c>
      <c r="CL224" t="s">
        <v>53</v>
      </c>
      <c r="CM224" t="s">
        <v>1998</v>
      </c>
      <c r="CN224" t="s">
        <v>300</v>
      </c>
      <c r="CO224" t="s">
        <v>361</v>
      </c>
      <c r="CP224">
        <v>0.01</v>
      </c>
      <c r="CQ224" t="s">
        <v>50</v>
      </c>
      <c r="CV224" t="s">
        <v>306</v>
      </c>
      <c r="DA224" t="s">
        <v>306</v>
      </c>
      <c r="DB224" t="s">
        <v>1268</v>
      </c>
      <c r="DC224">
        <v>4418744</v>
      </c>
      <c r="DD224" t="s">
        <v>346</v>
      </c>
      <c r="DE224">
        <v>0.01</v>
      </c>
      <c r="DF224" t="s">
        <v>62</v>
      </c>
      <c r="DK224" t="s">
        <v>306</v>
      </c>
      <c r="DL224" t="s">
        <v>1268</v>
      </c>
      <c r="DM224">
        <v>4418744</v>
      </c>
      <c r="DN224" t="s">
        <v>346</v>
      </c>
      <c r="DO224">
        <v>0.01</v>
      </c>
      <c r="DP224" t="s">
        <v>62</v>
      </c>
      <c r="DU224" t="s">
        <v>306</v>
      </c>
      <c r="DZ224" t="s">
        <v>306</v>
      </c>
      <c r="EA224" t="s">
        <v>410</v>
      </c>
      <c r="EB224">
        <v>5759394</v>
      </c>
      <c r="EC224" t="s">
        <v>346</v>
      </c>
      <c r="ED224">
        <v>0.01</v>
      </c>
      <c r="EE224" t="s">
        <v>2186</v>
      </c>
      <c r="EF224" t="s">
        <v>1268</v>
      </c>
      <c r="EG224">
        <v>4418744</v>
      </c>
      <c r="EH224" t="s">
        <v>346</v>
      </c>
      <c r="EI224">
        <v>0.01</v>
      </c>
      <c r="EJ224" t="s">
        <v>62</v>
      </c>
      <c r="EO224" t="s">
        <v>306</v>
      </c>
      <c r="ET224" t="s">
        <v>306</v>
      </c>
      <c r="EY224" t="s">
        <v>306</v>
      </c>
      <c r="FD224" t="s">
        <v>306</v>
      </c>
      <c r="FI224" t="s">
        <v>306</v>
      </c>
      <c r="FN224" t="s">
        <v>306</v>
      </c>
      <c r="FS224" t="s">
        <v>306</v>
      </c>
      <c r="FX224" t="s">
        <v>306</v>
      </c>
      <c r="FY224" t="s">
        <v>1268</v>
      </c>
      <c r="FZ224">
        <v>4418744</v>
      </c>
      <c r="GA224" t="s">
        <v>346</v>
      </c>
      <c r="GB224">
        <v>0.01</v>
      </c>
      <c r="GC224" t="s">
        <v>62</v>
      </c>
      <c r="GH224" t="s">
        <v>306</v>
      </c>
      <c r="GM224" t="s">
        <v>306</v>
      </c>
      <c r="GR224" t="s">
        <v>306</v>
      </c>
      <c r="GS224" t="s">
        <v>1241</v>
      </c>
      <c r="GT224">
        <v>100522</v>
      </c>
      <c r="GU224" t="s">
        <v>366</v>
      </c>
      <c r="GV224">
        <v>0</v>
      </c>
      <c r="GW224" t="s">
        <v>80</v>
      </c>
      <c r="GX224" t="s">
        <v>410</v>
      </c>
      <c r="GY224">
        <v>5759394</v>
      </c>
      <c r="GZ224" t="s">
        <v>346</v>
      </c>
      <c r="HA224">
        <v>0.01</v>
      </c>
      <c r="HB224" t="s">
        <v>2186</v>
      </c>
      <c r="HG224" t="s">
        <v>306</v>
      </c>
    </row>
    <row r="225" spans="5:215" x14ac:dyDescent="0.35">
      <c r="E225" t="s">
        <v>306</v>
      </c>
      <c r="F225" t="s">
        <v>609</v>
      </c>
      <c r="G225">
        <v>4975908</v>
      </c>
      <c r="H225" t="s">
        <v>346</v>
      </c>
      <c r="I225">
        <v>0</v>
      </c>
      <c r="J225" t="s">
        <v>53</v>
      </c>
      <c r="O225" t="s">
        <v>306</v>
      </c>
      <c r="T225" t="s">
        <v>306</v>
      </c>
      <c r="U225" t="s">
        <v>811</v>
      </c>
      <c r="V225">
        <v>4240414</v>
      </c>
      <c r="W225" t="s">
        <v>346</v>
      </c>
      <c r="X225">
        <v>0</v>
      </c>
      <c r="Y225" t="s">
        <v>2191</v>
      </c>
      <c r="AD225" t="s">
        <v>306</v>
      </c>
      <c r="AI225" t="s">
        <v>306</v>
      </c>
      <c r="AN225" t="s">
        <v>306</v>
      </c>
      <c r="AO225" t="s">
        <v>548</v>
      </c>
      <c r="AP225">
        <v>26480935</v>
      </c>
      <c r="AQ225" t="s">
        <v>346</v>
      </c>
      <c r="AR225">
        <v>0</v>
      </c>
      <c r="AS225" t="s">
        <v>53</v>
      </c>
      <c r="AX225" t="s">
        <v>306</v>
      </c>
      <c r="BC225" t="s">
        <v>306</v>
      </c>
      <c r="BD225" t="s">
        <v>428</v>
      </c>
      <c r="BE225">
        <v>4116134</v>
      </c>
      <c r="BF225" t="s">
        <v>346</v>
      </c>
      <c r="BG225">
        <v>0.01</v>
      </c>
      <c r="BH225" t="s">
        <v>304</v>
      </c>
      <c r="BI225" t="s">
        <v>1524</v>
      </c>
      <c r="BJ225">
        <v>7794598</v>
      </c>
      <c r="BK225" t="s">
        <v>346</v>
      </c>
      <c r="BL225">
        <v>0</v>
      </c>
      <c r="BM225" t="s">
        <v>323</v>
      </c>
      <c r="BN225" t="s">
        <v>403</v>
      </c>
      <c r="BO225">
        <v>4033550</v>
      </c>
      <c r="BP225" t="s">
        <v>346</v>
      </c>
      <c r="BQ225">
        <v>0</v>
      </c>
      <c r="BR225" t="s">
        <v>53</v>
      </c>
      <c r="BS225" t="s">
        <v>400</v>
      </c>
      <c r="BT225">
        <v>7834181</v>
      </c>
      <c r="BU225" t="s">
        <v>346</v>
      </c>
      <c r="BV225">
        <v>0.01</v>
      </c>
      <c r="BW225" t="s">
        <v>313</v>
      </c>
      <c r="BX225" t="s">
        <v>811</v>
      </c>
      <c r="BY225">
        <v>4240414</v>
      </c>
      <c r="BZ225" t="s">
        <v>346</v>
      </c>
      <c r="CA225">
        <v>0</v>
      </c>
      <c r="CB225" t="s">
        <v>2191</v>
      </c>
      <c r="CC225" t="s">
        <v>1707</v>
      </c>
      <c r="CD225">
        <v>4283469</v>
      </c>
      <c r="CE225" t="s">
        <v>369</v>
      </c>
      <c r="CF225">
        <v>0.01</v>
      </c>
      <c r="CG225" t="s">
        <v>2195</v>
      </c>
      <c r="CH225" t="s">
        <v>548</v>
      </c>
      <c r="CI225">
        <v>26480935</v>
      </c>
      <c r="CJ225" t="s">
        <v>346</v>
      </c>
      <c r="CK225">
        <v>0</v>
      </c>
      <c r="CL225" t="s">
        <v>53</v>
      </c>
      <c r="CM225" t="s">
        <v>1411</v>
      </c>
      <c r="CN225">
        <v>100515</v>
      </c>
      <c r="CO225" t="s">
        <v>366</v>
      </c>
      <c r="CP225">
        <v>0.01</v>
      </c>
      <c r="CQ225" t="s">
        <v>80</v>
      </c>
      <c r="CV225" t="s">
        <v>306</v>
      </c>
      <c r="DA225" t="s">
        <v>306</v>
      </c>
      <c r="DB225" t="s">
        <v>428</v>
      </c>
      <c r="DC225">
        <v>4116134</v>
      </c>
      <c r="DD225" t="s">
        <v>346</v>
      </c>
      <c r="DE225">
        <v>0.01</v>
      </c>
      <c r="DF225" t="s">
        <v>304</v>
      </c>
      <c r="DK225" t="s">
        <v>306</v>
      </c>
      <c r="DL225" t="s">
        <v>428</v>
      </c>
      <c r="DM225">
        <v>4116134</v>
      </c>
      <c r="DN225" t="s">
        <v>346</v>
      </c>
      <c r="DO225">
        <v>0.01</v>
      </c>
      <c r="DP225" t="s">
        <v>304</v>
      </c>
      <c r="DU225" t="s">
        <v>306</v>
      </c>
      <c r="DZ225" t="s">
        <v>306</v>
      </c>
      <c r="EA225" t="s">
        <v>1707</v>
      </c>
      <c r="EB225">
        <v>4283469</v>
      </c>
      <c r="EC225" t="s">
        <v>369</v>
      </c>
      <c r="ED225">
        <v>0.01</v>
      </c>
      <c r="EE225" t="s">
        <v>2195</v>
      </c>
      <c r="EF225" t="s">
        <v>428</v>
      </c>
      <c r="EG225">
        <v>4116134</v>
      </c>
      <c r="EH225" t="s">
        <v>346</v>
      </c>
      <c r="EI225">
        <v>0.01</v>
      </c>
      <c r="EJ225" t="s">
        <v>304</v>
      </c>
      <c r="EO225" t="s">
        <v>306</v>
      </c>
      <c r="ET225" t="s">
        <v>306</v>
      </c>
      <c r="EY225" t="s">
        <v>306</v>
      </c>
      <c r="FD225" t="s">
        <v>306</v>
      </c>
      <c r="FI225" t="s">
        <v>306</v>
      </c>
      <c r="FN225" t="s">
        <v>306</v>
      </c>
      <c r="FS225" t="s">
        <v>306</v>
      </c>
      <c r="FX225" t="s">
        <v>306</v>
      </c>
      <c r="FY225" t="s">
        <v>428</v>
      </c>
      <c r="FZ225">
        <v>4116134</v>
      </c>
      <c r="GA225" t="s">
        <v>346</v>
      </c>
      <c r="GB225">
        <v>0.01</v>
      </c>
      <c r="GC225" t="s">
        <v>304</v>
      </c>
      <c r="GH225" t="s">
        <v>306</v>
      </c>
      <c r="GM225" t="s">
        <v>306</v>
      </c>
      <c r="GR225" t="s">
        <v>306</v>
      </c>
      <c r="GS225" t="s">
        <v>403</v>
      </c>
      <c r="GT225">
        <v>4033550</v>
      </c>
      <c r="GU225" t="s">
        <v>346</v>
      </c>
      <c r="GV225">
        <v>0</v>
      </c>
      <c r="GW225" t="s">
        <v>53</v>
      </c>
      <c r="GX225" t="s">
        <v>1707</v>
      </c>
      <c r="GY225">
        <v>4283469</v>
      </c>
      <c r="GZ225" t="s">
        <v>369</v>
      </c>
      <c r="HA225">
        <v>0.01</v>
      </c>
      <c r="HB225" t="s">
        <v>2195</v>
      </c>
      <c r="HG225" t="s">
        <v>306</v>
      </c>
    </row>
    <row r="226" spans="5:215" x14ac:dyDescent="0.35">
      <c r="E226" t="s">
        <v>306</v>
      </c>
      <c r="F226" t="s">
        <v>610</v>
      </c>
      <c r="G226">
        <v>10343382</v>
      </c>
      <c r="H226" t="s">
        <v>276</v>
      </c>
      <c r="I226">
        <v>0</v>
      </c>
      <c r="J226" t="s">
        <v>53</v>
      </c>
      <c r="O226" t="s">
        <v>306</v>
      </c>
      <c r="T226" t="s">
        <v>306</v>
      </c>
      <c r="U226" t="s">
        <v>812</v>
      </c>
      <c r="V226" t="s">
        <v>300</v>
      </c>
      <c r="W226" t="s">
        <v>361</v>
      </c>
      <c r="X226">
        <v>0</v>
      </c>
      <c r="Y226" t="s">
        <v>50</v>
      </c>
      <c r="AD226" t="s">
        <v>306</v>
      </c>
      <c r="AI226" t="s">
        <v>306</v>
      </c>
      <c r="AN226" t="s">
        <v>306</v>
      </c>
      <c r="AO226" t="s">
        <v>1247</v>
      </c>
      <c r="AP226">
        <v>4579063</v>
      </c>
      <c r="AQ226" t="s">
        <v>346</v>
      </c>
      <c r="AR226">
        <v>0</v>
      </c>
      <c r="AS226" t="s">
        <v>53</v>
      </c>
      <c r="AX226" t="s">
        <v>306</v>
      </c>
      <c r="BC226" t="s">
        <v>306</v>
      </c>
      <c r="BD226" t="s">
        <v>510</v>
      </c>
      <c r="BE226">
        <v>4089114</v>
      </c>
      <c r="BF226" t="s">
        <v>346</v>
      </c>
      <c r="BG226">
        <v>0.01</v>
      </c>
      <c r="BH226" t="s">
        <v>53</v>
      </c>
      <c r="BI226" t="s">
        <v>589</v>
      </c>
      <c r="BJ226">
        <v>4140617</v>
      </c>
      <c r="BK226" t="s">
        <v>346</v>
      </c>
      <c r="BL226">
        <v>0</v>
      </c>
      <c r="BM226" t="s">
        <v>320</v>
      </c>
      <c r="BN226" t="s">
        <v>1242</v>
      </c>
      <c r="BO226">
        <v>5864922</v>
      </c>
      <c r="BP226" t="s">
        <v>346</v>
      </c>
      <c r="BQ226">
        <v>0</v>
      </c>
      <c r="BR226" t="s">
        <v>317</v>
      </c>
      <c r="BS226" t="s">
        <v>993</v>
      </c>
      <c r="BT226">
        <v>4551743</v>
      </c>
      <c r="BU226" t="s">
        <v>346</v>
      </c>
      <c r="BV226">
        <v>0.01</v>
      </c>
      <c r="BW226" t="s">
        <v>313</v>
      </c>
      <c r="BX226" t="s">
        <v>812</v>
      </c>
      <c r="BY226" t="s">
        <v>300</v>
      </c>
      <c r="BZ226" t="s">
        <v>361</v>
      </c>
      <c r="CA226">
        <v>0</v>
      </c>
      <c r="CB226" t="s">
        <v>50</v>
      </c>
      <c r="CC226" t="s">
        <v>1018</v>
      </c>
      <c r="CD226">
        <v>4117563</v>
      </c>
      <c r="CE226" t="s">
        <v>346</v>
      </c>
      <c r="CF226">
        <v>0.01</v>
      </c>
      <c r="CG226" t="s">
        <v>53</v>
      </c>
      <c r="CH226" t="s">
        <v>1247</v>
      </c>
      <c r="CI226">
        <v>4579063</v>
      </c>
      <c r="CJ226" t="s">
        <v>346</v>
      </c>
      <c r="CK226">
        <v>0</v>
      </c>
      <c r="CL226" t="s">
        <v>53</v>
      </c>
      <c r="CM226" t="s">
        <v>1999</v>
      </c>
      <c r="CN226">
        <v>4111723</v>
      </c>
      <c r="CO226" t="s">
        <v>276</v>
      </c>
      <c r="CP226">
        <v>0.01</v>
      </c>
      <c r="CQ226" t="s">
        <v>53</v>
      </c>
      <c r="CV226" t="s">
        <v>306</v>
      </c>
      <c r="DA226" t="s">
        <v>306</v>
      </c>
      <c r="DB226" t="s">
        <v>510</v>
      </c>
      <c r="DC226">
        <v>4089114</v>
      </c>
      <c r="DD226" t="s">
        <v>346</v>
      </c>
      <c r="DE226">
        <v>0.01</v>
      </c>
      <c r="DF226" t="s">
        <v>53</v>
      </c>
      <c r="DK226" t="s">
        <v>306</v>
      </c>
      <c r="DL226" t="s">
        <v>510</v>
      </c>
      <c r="DM226">
        <v>4089114</v>
      </c>
      <c r="DN226" t="s">
        <v>346</v>
      </c>
      <c r="DO226">
        <v>0.01</v>
      </c>
      <c r="DP226" t="s">
        <v>53</v>
      </c>
      <c r="DU226" t="s">
        <v>306</v>
      </c>
      <c r="DZ226" t="s">
        <v>306</v>
      </c>
      <c r="EA226" t="s">
        <v>1018</v>
      </c>
      <c r="EB226">
        <v>4117563</v>
      </c>
      <c r="EC226" t="s">
        <v>346</v>
      </c>
      <c r="ED226">
        <v>0.01</v>
      </c>
      <c r="EE226" t="s">
        <v>53</v>
      </c>
      <c r="EF226" t="s">
        <v>510</v>
      </c>
      <c r="EG226">
        <v>4089114</v>
      </c>
      <c r="EH226" t="s">
        <v>346</v>
      </c>
      <c r="EI226">
        <v>0.01</v>
      </c>
      <c r="EJ226" t="s">
        <v>53</v>
      </c>
      <c r="EO226" t="s">
        <v>306</v>
      </c>
      <c r="ET226" t="s">
        <v>306</v>
      </c>
      <c r="EY226" t="s">
        <v>306</v>
      </c>
      <c r="FD226" t="s">
        <v>306</v>
      </c>
      <c r="FI226" t="s">
        <v>306</v>
      </c>
      <c r="FN226" t="s">
        <v>306</v>
      </c>
      <c r="FS226" t="s">
        <v>306</v>
      </c>
      <c r="FX226" t="s">
        <v>306</v>
      </c>
      <c r="FY226" t="s">
        <v>510</v>
      </c>
      <c r="FZ226">
        <v>4089114</v>
      </c>
      <c r="GA226" t="s">
        <v>346</v>
      </c>
      <c r="GB226">
        <v>0.01</v>
      </c>
      <c r="GC226" t="s">
        <v>53</v>
      </c>
      <c r="GH226" t="s">
        <v>306</v>
      </c>
      <c r="GM226" t="s">
        <v>306</v>
      </c>
      <c r="GR226" t="s">
        <v>306</v>
      </c>
      <c r="GS226" t="s">
        <v>1242</v>
      </c>
      <c r="GT226">
        <v>5864922</v>
      </c>
      <c r="GU226" t="s">
        <v>346</v>
      </c>
      <c r="GV226">
        <v>0</v>
      </c>
      <c r="GW226" t="s">
        <v>317</v>
      </c>
      <c r="GX226" t="s">
        <v>1018</v>
      </c>
      <c r="GY226">
        <v>4117563</v>
      </c>
      <c r="GZ226" t="s">
        <v>346</v>
      </c>
      <c r="HA226">
        <v>0.01</v>
      </c>
      <c r="HB226" t="s">
        <v>53</v>
      </c>
      <c r="HG226" t="s">
        <v>306</v>
      </c>
    </row>
    <row r="227" spans="5:215" x14ac:dyDescent="0.35">
      <c r="E227" t="s">
        <v>306</v>
      </c>
      <c r="F227" t="s">
        <v>419</v>
      </c>
      <c r="G227">
        <v>4338202</v>
      </c>
      <c r="H227" t="s">
        <v>346</v>
      </c>
      <c r="I227">
        <v>0</v>
      </c>
      <c r="J227" t="s">
        <v>53</v>
      </c>
      <c r="O227" t="s">
        <v>306</v>
      </c>
      <c r="T227" t="s">
        <v>306</v>
      </c>
      <c r="U227" t="s">
        <v>813</v>
      </c>
      <c r="V227">
        <v>5810740</v>
      </c>
      <c r="W227" t="s">
        <v>346</v>
      </c>
      <c r="X227">
        <v>0</v>
      </c>
      <c r="Y227" t="s">
        <v>50</v>
      </c>
      <c r="AD227" t="s">
        <v>306</v>
      </c>
      <c r="AI227" t="s">
        <v>306</v>
      </c>
      <c r="AN227" t="s">
        <v>306</v>
      </c>
      <c r="AO227" t="s">
        <v>428</v>
      </c>
      <c r="AP227">
        <v>4116134</v>
      </c>
      <c r="AQ227" t="s">
        <v>346</v>
      </c>
      <c r="AR227">
        <v>0</v>
      </c>
      <c r="AS227" t="s">
        <v>304</v>
      </c>
      <c r="AX227" t="s">
        <v>306</v>
      </c>
      <c r="BC227" t="s">
        <v>306</v>
      </c>
      <c r="BD227" t="s">
        <v>488</v>
      </c>
      <c r="BE227">
        <v>4087052</v>
      </c>
      <c r="BF227" t="s">
        <v>346</v>
      </c>
      <c r="BG227">
        <v>0.01</v>
      </c>
      <c r="BH227" t="s">
        <v>53</v>
      </c>
      <c r="BI227" t="s">
        <v>925</v>
      </c>
      <c r="BJ227">
        <v>4055966</v>
      </c>
      <c r="BK227" t="s">
        <v>346</v>
      </c>
      <c r="BL227">
        <v>0</v>
      </c>
      <c r="BM227" t="s">
        <v>53</v>
      </c>
      <c r="BN227" t="s">
        <v>800</v>
      </c>
      <c r="BO227">
        <v>5883563</v>
      </c>
      <c r="BP227" t="s">
        <v>346</v>
      </c>
      <c r="BQ227">
        <v>0</v>
      </c>
      <c r="BR227" t="s">
        <v>50</v>
      </c>
      <c r="BS227" t="s">
        <v>802</v>
      </c>
      <c r="BT227">
        <v>4345262</v>
      </c>
      <c r="BU227" t="s">
        <v>346</v>
      </c>
      <c r="BV227">
        <v>0.01</v>
      </c>
      <c r="BW227" t="s">
        <v>50</v>
      </c>
      <c r="BX227" t="s">
        <v>813</v>
      </c>
      <c r="BY227">
        <v>5810740</v>
      </c>
      <c r="BZ227" t="s">
        <v>346</v>
      </c>
      <c r="CA227">
        <v>0</v>
      </c>
      <c r="CB227" t="s">
        <v>50</v>
      </c>
      <c r="CC227" t="s">
        <v>1708</v>
      </c>
      <c r="CD227">
        <v>4188958</v>
      </c>
      <c r="CE227" t="s">
        <v>346</v>
      </c>
      <c r="CF227">
        <v>0.01</v>
      </c>
      <c r="CG227" t="s">
        <v>53</v>
      </c>
      <c r="CH227" t="s">
        <v>428</v>
      </c>
      <c r="CI227">
        <v>4116134</v>
      </c>
      <c r="CJ227" t="s">
        <v>346</v>
      </c>
      <c r="CK227">
        <v>0</v>
      </c>
      <c r="CL227" t="s">
        <v>304</v>
      </c>
      <c r="CM227" t="s">
        <v>1305</v>
      </c>
      <c r="CN227">
        <v>5866366</v>
      </c>
      <c r="CO227" t="s">
        <v>346</v>
      </c>
      <c r="CP227">
        <v>0.01</v>
      </c>
      <c r="CQ227" t="s">
        <v>62</v>
      </c>
      <c r="CV227" t="s">
        <v>306</v>
      </c>
      <c r="DA227" t="s">
        <v>306</v>
      </c>
      <c r="DB227" t="s">
        <v>488</v>
      </c>
      <c r="DC227">
        <v>4087052</v>
      </c>
      <c r="DD227" t="s">
        <v>346</v>
      </c>
      <c r="DE227">
        <v>0.01</v>
      </c>
      <c r="DF227" t="s">
        <v>53</v>
      </c>
      <c r="DK227" t="s">
        <v>306</v>
      </c>
      <c r="DL227" t="s">
        <v>488</v>
      </c>
      <c r="DM227">
        <v>4087052</v>
      </c>
      <c r="DN227" t="s">
        <v>346</v>
      </c>
      <c r="DO227">
        <v>0.01</v>
      </c>
      <c r="DP227" t="s">
        <v>53</v>
      </c>
      <c r="DU227" t="s">
        <v>306</v>
      </c>
      <c r="DZ227" t="s">
        <v>306</v>
      </c>
      <c r="EA227" t="s">
        <v>1708</v>
      </c>
      <c r="EB227">
        <v>4188958</v>
      </c>
      <c r="EC227" t="s">
        <v>346</v>
      </c>
      <c r="ED227">
        <v>0.01</v>
      </c>
      <c r="EE227" t="s">
        <v>53</v>
      </c>
      <c r="EF227" t="s">
        <v>488</v>
      </c>
      <c r="EG227">
        <v>4087052</v>
      </c>
      <c r="EH227" t="s">
        <v>346</v>
      </c>
      <c r="EI227">
        <v>0.01</v>
      </c>
      <c r="EJ227" t="s">
        <v>53</v>
      </c>
      <c r="EO227" t="s">
        <v>306</v>
      </c>
      <c r="ET227" t="s">
        <v>306</v>
      </c>
      <c r="EY227" t="s">
        <v>306</v>
      </c>
      <c r="FD227" t="s">
        <v>306</v>
      </c>
      <c r="FI227" t="s">
        <v>306</v>
      </c>
      <c r="FN227" t="s">
        <v>306</v>
      </c>
      <c r="FS227" t="s">
        <v>306</v>
      </c>
      <c r="FX227" t="s">
        <v>306</v>
      </c>
      <c r="FY227" t="s">
        <v>488</v>
      </c>
      <c r="FZ227">
        <v>4087052</v>
      </c>
      <c r="GA227" t="s">
        <v>346</v>
      </c>
      <c r="GB227">
        <v>0.01</v>
      </c>
      <c r="GC227" t="s">
        <v>53</v>
      </c>
      <c r="GH227" t="s">
        <v>306</v>
      </c>
      <c r="GM227" t="s">
        <v>306</v>
      </c>
      <c r="GR227" t="s">
        <v>306</v>
      </c>
      <c r="GS227" t="s">
        <v>800</v>
      </c>
      <c r="GT227">
        <v>5883563</v>
      </c>
      <c r="GU227" t="s">
        <v>346</v>
      </c>
      <c r="GV227">
        <v>0</v>
      </c>
      <c r="GW227" t="s">
        <v>50</v>
      </c>
      <c r="GX227" t="s">
        <v>1708</v>
      </c>
      <c r="GY227">
        <v>4188958</v>
      </c>
      <c r="GZ227" t="s">
        <v>346</v>
      </c>
      <c r="HA227">
        <v>0.01</v>
      </c>
      <c r="HB227" t="s">
        <v>53</v>
      </c>
      <c r="HG227" t="s">
        <v>306</v>
      </c>
    </row>
    <row r="228" spans="5:215" x14ac:dyDescent="0.35">
      <c r="E228" t="s">
        <v>306</v>
      </c>
      <c r="F228" t="s">
        <v>611</v>
      </c>
      <c r="G228">
        <v>4288242</v>
      </c>
      <c r="H228" t="s">
        <v>346</v>
      </c>
      <c r="I228">
        <v>0</v>
      </c>
      <c r="J228" t="s">
        <v>53</v>
      </c>
      <c r="O228" t="s">
        <v>306</v>
      </c>
      <c r="T228" t="s">
        <v>306</v>
      </c>
      <c r="U228" t="s">
        <v>814</v>
      </c>
      <c r="V228">
        <v>133018323</v>
      </c>
      <c r="W228" t="s">
        <v>346</v>
      </c>
      <c r="X228">
        <v>0</v>
      </c>
      <c r="Y228" t="s">
        <v>53</v>
      </c>
      <c r="AD228" t="s">
        <v>306</v>
      </c>
      <c r="AI228" t="s">
        <v>306</v>
      </c>
      <c r="AN228" t="s">
        <v>306</v>
      </c>
      <c r="AO228" t="s">
        <v>453</v>
      </c>
      <c r="AP228">
        <v>4318598</v>
      </c>
      <c r="AQ228" t="s">
        <v>346</v>
      </c>
      <c r="AR228">
        <v>0</v>
      </c>
      <c r="AS228" t="s">
        <v>53</v>
      </c>
      <c r="AX228" t="s">
        <v>306</v>
      </c>
      <c r="BC228" t="s">
        <v>306</v>
      </c>
      <c r="BD228" t="s">
        <v>1266</v>
      </c>
      <c r="BE228">
        <v>5842278</v>
      </c>
      <c r="BF228" t="s">
        <v>346</v>
      </c>
      <c r="BG228">
        <v>0.01</v>
      </c>
      <c r="BH228" t="s">
        <v>62</v>
      </c>
      <c r="BI228" t="s">
        <v>1175</v>
      </c>
      <c r="BJ228">
        <v>4138457</v>
      </c>
      <c r="BK228" t="s">
        <v>346</v>
      </c>
      <c r="BL228">
        <v>0</v>
      </c>
      <c r="BM228" t="s">
        <v>2185</v>
      </c>
      <c r="BN228" t="s">
        <v>730</v>
      </c>
      <c r="BO228">
        <v>4436408</v>
      </c>
      <c r="BP228" t="s">
        <v>346</v>
      </c>
      <c r="BQ228">
        <v>0</v>
      </c>
      <c r="BR228" t="s">
        <v>50</v>
      </c>
      <c r="BS228" t="s">
        <v>565</v>
      </c>
      <c r="BT228">
        <v>26566323</v>
      </c>
      <c r="BU228" t="s">
        <v>346</v>
      </c>
      <c r="BV228">
        <v>0.01</v>
      </c>
      <c r="BW228" t="s">
        <v>53</v>
      </c>
      <c r="BX228" t="s">
        <v>814</v>
      </c>
      <c r="BY228">
        <v>133018323</v>
      </c>
      <c r="BZ228" t="s">
        <v>346</v>
      </c>
      <c r="CA228">
        <v>0</v>
      </c>
      <c r="CB228" t="s">
        <v>53</v>
      </c>
      <c r="CC228" t="s">
        <v>1709</v>
      </c>
      <c r="CD228">
        <v>7260213</v>
      </c>
      <c r="CE228" t="s">
        <v>346</v>
      </c>
      <c r="CF228">
        <v>0.01</v>
      </c>
      <c r="CG228" t="s">
        <v>313</v>
      </c>
      <c r="CH228" t="s">
        <v>453</v>
      </c>
      <c r="CI228">
        <v>4318598</v>
      </c>
      <c r="CJ228" t="s">
        <v>346</v>
      </c>
      <c r="CK228">
        <v>0</v>
      </c>
      <c r="CL228" t="s">
        <v>53</v>
      </c>
      <c r="CM228" t="s">
        <v>2000</v>
      </c>
      <c r="CN228">
        <v>4138856</v>
      </c>
      <c r="CO228" t="s">
        <v>363</v>
      </c>
      <c r="CP228">
        <v>0.01</v>
      </c>
      <c r="CQ228" t="s">
        <v>53</v>
      </c>
      <c r="CV228" t="s">
        <v>306</v>
      </c>
      <c r="DA228" t="s">
        <v>306</v>
      </c>
      <c r="DB228" t="s">
        <v>1266</v>
      </c>
      <c r="DC228">
        <v>5842278</v>
      </c>
      <c r="DD228" t="s">
        <v>346</v>
      </c>
      <c r="DE228">
        <v>0.01</v>
      </c>
      <c r="DF228" t="s">
        <v>62</v>
      </c>
      <c r="DK228" t="s">
        <v>306</v>
      </c>
      <c r="DL228" t="s">
        <v>1266</v>
      </c>
      <c r="DM228">
        <v>5842278</v>
      </c>
      <c r="DN228" t="s">
        <v>346</v>
      </c>
      <c r="DO228">
        <v>0.01</v>
      </c>
      <c r="DP228" t="s">
        <v>62</v>
      </c>
      <c r="DU228" t="s">
        <v>306</v>
      </c>
      <c r="DZ228" t="s">
        <v>306</v>
      </c>
      <c r="EA228" t="s">
        <v>1709</v>
      </c>
      <c r="EB228">
        <v>7260213</v>
      </c>
      <c r="EC228" t="s">
        <v>346</v>
      </c>
      <c r="ED228">
        <v>0.01</v>
      </c>
      <c r="EE228" t="s">
        <v>313</v>
      </c>
      <c r="EF228" t="s">
        <v>1266</v>
      </c>
      <c r="EG228">
        <v>5842278</v>
      </c>
      <c r="EH228" t="s">
        <v>346</v>
      </c>
      <c r="EI228">
        <v>0.01</v>
      </c>
      <c r="EJ228" t="s">
        <v>62</v>
      </c>
      <c r="EO228" t="s">
        <v>306</v>
      </c>
      <c r="ET228" t="s">
        <v>306</v>
      </c>
      <c r="EY228" t="s">
        <v>306</v>
      </c>
      <c r="FD228" t="s">
        <v>306</v>
      </c>
      <c r="FI228" t="s">
        <v>306</v>
      </c>
      <c r="FN228" t="s">
        <v>306</v>
      </c>
      <c r="FS228" t="s">
        <v>306</v>
      </c>
      <c r="FX228" t="s">
        <v>306</v>
      </c>
      <c r="FY228" t="s">
        <v>1266</v>
      </c>
      <c r="FZ228">
        <v>5842278</v>
      </c>
      <c r="GA228" t="s">
        <v>346</v>
      </c>
      <c r="GB228">
        <v>0.01</v>
      </c>
      <c r="GC228" t="s">
        <v>62</v>
      </c>
      <c r="GH228" t="s">
        <v>306</v>
      </c>
      <c r="GM228" t="s">
        <v>306</v>
      </c>
      <c r="GR228" t="s">
        <v>306</v>
      </c>
      <c r="GS228" t="s">
        <v>730</v>
      </c>
      <c r="GT228">
        <v>4436408</v>
      </c>
      <c r="GU228" t="s">
        <v>346</v>
      </c>
      <c r="GV228">
        <v>0</v>
      </c>
      <c r="GW228" t="s">
        <v>50</v>
      </c>
      <c r="GX228" t="s">
        <v>1709</v>
      </c>
      <c r="GY228">
        <v>7260213</v>
      </c>
      <c r="GZ228" t="s">
        <v>346</v>
      </c>
      <c r="HA228">
        <v>0.01</v>
      </c>
      <c r="HB228" t="s">
        <v>313</v>
      </c>
      <c r="HG228" t="s">
        <v>306</v>
      </c>
    </row>
    <row r="229" spans="5:215" x14ac:dyDescent="0.35">
      <c r="E229" t="s">
        <v>306</v>
      </c>
      <c r="F229" t="s">
        <v>612</v>
      </c>
      <c r="G229">
        <v>5805166</v>
      </c>
      <c r="H229" t="s">
        <v>346</v>
      </c>
      <c r="I229">
        <v>0</v>
      </c>
      <c r="J229" t="s">
        <v>323</v>
      </c>
      <c r="O229" t="s">
        <v>306</v>
      </c>
      <c r="T229" t="s">
        <v>306</v>
      </c>
      <c r="U229" t="s">
        <v>685</v>
      </c>
      <c r="V229">
        <v>4641730</v>
      </c>
      <c r="W229" t="s">
        <v>346</v>
      </c>
      <c r="X229">
        <v>0</v>
      </c>
      <c r="Y229" t="s">
        <v>326</v>
      </c>
      <c r="AD229" t="s">
        <v>306</v>
      </c>
      <c r="AI229" t="s">
        <v>306</v>
      </c>
      <c r="AN229" t="s">
        <v>306</v>
      </c>
      <c r="AO229" t="s">
        <v>1352</v>
      </c>
      <c r="AP229">
        <v>10796005</v>
      </c>
      <c r="AQ229" t="s">
        <v>346</v>
      </c>
      <c r="AR229">
        <v>0</v>
      </c>
      <c r="AS229" t="s">
        <v>62</v>
      </c>
      <c r="AX229" t="s">
        <v>306</v>
      </c>
      <c r="BC229" t="s">
        <v>306</v>
      </c>
      <c r="BD229" t="s">
        <v>894</v>
      </c>
      <c r="BE229">
        <v>4139629</v>
      </c>
      <c r="BF229" t="s">
        <v>346</v>
      </c>
      <c r="BG229">
        <v>0.01</v>
      </c>
      <c r="BH229" t="s">
        <v>2181</v>
      </c>
      <c r="BI229" t="s">
        <v>1543</v>
      </c>
      <c r="BJ229">
        <v>5763215</v>
      </c>
      <c r="BK229" t="s">
        <v>346</v>
      </c>
      <c r="BL229">
        <v>0</v>
      </c>
      <c r="BM229" t="s">
        <v>320</v>
      </c>
      <c r="BN229" t="s">
        <v>425</v>
      </c>
      <c r="BO229">
        <v>4137704</v>
      </c>
      <c r="BP229" t="s">
        <v>346</v>
      </c>
      <c r="BQ229">
        <v>0</v>
      </c>
      <c r="BR229" t="s">
        <v>304</v>
      </c>
      <c r="BS229" t="s">
        <v>778</v>
      </c>
      <c r="BT229">
        <v>4341872</v>
      </c>
      <c r="BU229" t="s">
        <v>346</v>
      </c>
      <c r="BV229">
        <v>0.01</v>
      </c>
      <c r="BW229" t="s">
        <v>50</v>
      </c>
      <c r="BX229" t="s">
        <v>685</v>
      </c>
      <c r="BY229">
        <v>4641730</v>
      </c>
      <c r="BZ229" t="s">
        <v>346</v>
      </c>
      <c r="CA229">
        <v>0</v>
      </c>
      <c r="CB229" t="s">
        <v>326</v>
      </c>
      <c r="CC229" t="s">
        <v>488</v>
      </c>
      <c r="CD229">
        <v>4087052</v>
      </c>
      <c r="CE229" t="s">
        <v>346</v>
      </c>
      <c r="CF229">
        <v>0.01</v>
      </c>
      <c r="CG229" t="s">
        <v>53</v>
      </c>
      <c r="CH229" t="s">
        <v>1352</v>
      </c>
      <c r="CI229">
        <v>10796005</v>
      </c>
      <c r="CJ229" t="s">
        <v>346</v>
      </c>
      <c r="CK229">
        <v>0</v>
      </c>
      <c r="CL229" t="s">
        <v>62</v>
      </c>
      <c r="CM229" t="s">
        <v>583</v>
      </c>
      <c r="CN229">
        <v>4579014</v>
      </c>
      <c r="CO229" t="s">
        <v>346</v>
      </c>
      <c r="CP229">
        <v>0.01</v>
      </c>
      <c r="CQ229" t="s">
        <v>53</v>
      </c>
      <c r="CV229" t="s">
        <v>306</v>
      </c>
      <c r="DA229" t="s">
        <v>306</v>
      </c>
      <c r="DB229" t="s">
        <v>894</v>
      </c>
      <c r="DC229">
        <v>4139629</v>
      </c>
      <c r="DD229" t="s">
        <v>346</v>
      </c>
      <c r="DE229">
        <v>0.01</v>
      </c>
      <c r="DF229" t="s">
        <v>2181</v>
      </c>
      <c r="DK229" t="s">
        <v>306</v>
      </c>
      <c r="DL229" t="s">
        <v>894</v>
      </c>
      <c r="DM229">
        <v>4139629</v>
      </c>
      <c r="DN229" t="s">
        <v>346</v>
      </c>
      <c r="DO229">
        <v>0.01</v>
      </c>
      <c r="DP229" t="s">
        <v>2181</v>
      </c>
      <c r="DU229" t="s">
        <v>306</v>
      </c>
      <c r="DZ229" t="s">
        <v>306</v>
      </c>
      <c r="EA229" t="s">
        <v>488</v>
      </c>
      <c r="EB229">
        <v>4087052</v>
      </c>
      <c r="EC229" t="s">
        <v>346</v>
      </c>
      <c r="ED229">
        <v>0.01</v>
      </c>
      <c r="EE229" t="s">
        <v>53</v>
      </c>
      <c r="EF229" t="s">
        <v>894</v>
      </c>
      <c r="EG229">
        <v>4139629</v>
      </c>
      <c r="EH229" t="s">
        <v>346</v>
      </c>
      <c r="EI229">
        <v>0.01</v>
      </c>
      <c r="EJ229" t="s">
        <v>2181</v>
      </c>
      <c r="EO229" t="s">
        <v>306</v>
      </c>
      <c r="ET229" t="s">
        <v>306</v>
      </c>
      <c r="EY229" t="s">
        <v>306</v>
      </c>
      <c r="FD229" t="s">
        <v>306</v>
      </c>
      <c r="FI229" t="s">
        <v>306</v>
      </c>
      <c r="FN229" t="s">
        <v>306</v>
      </c>
      <c r="FS229" t="s">
        <v>306</v>
      </c>
      <c r="FX229" t="s">
        <v>306</v>
      </c>
      <c r="FY229" t="s">
        <v>894</v>
      </c>
      <c r="FZ229">
        <v>4139629</v>
      </c>
      <c r="GA229" t="s">
        <v>346</v>
      </c>
      <c r="GB229">
        <v>0.01</v>
      </c>
      <c r="GC229" t="s">
        <v>2181</v>
      </c>
      <c r="GH229" t="s">
        <v>306</v>
      </c>
      <c r="GM229" t="s">
        <v>306</v>
      </c>
      <c r="GR229" t="s">
        <v>306</v>
      </c>
      <c r="GS229" t="s">
        <v>425</v>
      </c>
      <c r="GT229">
        <v>4137704</v>
      </c>
      <c r="GU229" t="s">
        <v>346</v>
      </c>
      <c r="GV229">
        <v>0</v>
      </c>
      <c r="GW229" t="s">
        <v>304</v>
      </c>
      <c r="GX229" t="s">
        <v>488</v>
      </c>
      <c r="GY229">
        <v>4087052</v>
      </c>
      <c r="GZ229" t="s">
        <v>346</v>
      </c>
      <c r="HA229">
        <v>0.01</v>
      </c>
      <c r="HB229" t="s">
        <v>53</v>
      </c>
      <c r="HG229" t="s">
        <v>306</v>
      </c>
    </row>
    <row r="230" spans="5:215" x14ac:dyDescent="0.35">
      <c r="E230" t="s">
        <v>306</v>
      </c>
      <c r="F230" t="s">
        <v>613</v>
      </c>
      <c r="G230">
        <v>27267005</v>
      </c>
      <c r="H230" t="s">
        <v>346</v>
      </c>
      <c r="I230">
        <v>0</v>
      </c>
      <c r="J230" t="s">
        <v>2186</v>
      </c>
      <c r="O230" t="s">
        <v>306</v>
      </c>
      <c r="T230" t="s">
        <v>306</v>
      </c>
      <c r="U230" t="s">
        <v>428</v>
      </c>
      <c r="V230">
        <v>4116134</v>
      </c>
      <c r="W230" t="s">
        <v>346</v>
      </c>
      <c r="X230">
        <v>0</v>
      </c>
      <c r="Y230" t="s">
        <v>304</v>
      </c>
      <c r="AD230" t="s">
        <v>306</v>
      </c>
      <c r="AI230" t="s">
        <v>306</v>
      </c>
      <c r="AN230" t="s">
        <v>306</v>
      </c>
      <c r="AO230" t="s">
        <v>1353</v>
      </c>
      <c r="AP230">
        <v>5867014</v>
      </c>
      <c r="AQ230" t="s">
        <v>364</v>
      </c>
      <c r="AR230">
        <v>0</v>
      </c>
      <c r="AS230" t="s">
        <v>62</v>
      </c>
      <c r="AX230" t="s">
        <v>306</v>
      </c>
      <c r="BC230" t="s">
        <v>306</v>
      </c>
      <c r="BD230" t="s">
        <v>984</v>
      </c>
      <c r="BE230">
        <v>4113062</v>
      </c>
      <c r="BF230" t="s">
        <v>346</v>
      </c>
      <c r="BG230">
        <v>0.01</v>
      </c>
      <c r="BH230" t="s">
        <v>53</v>
      </c>
      <c r="BI230" t="s">
        <v>1247</v>
      </c>
      <c r="BJ230">
        <v>4579063</v>
      </c>
      <c r="BK230" t="s">
        <v>346</v>
      </c>
      <c r="BL230">
        <v>0</v>
      </c>
      <c r="BM230" t="s">
        <v>53</v>
      </c>
      <c r="BN230" t="s">
        <v>822</v>
      </c>
      <c r="BO230">
        <v>15947616</v>
      </c>
      <c r="BP230" t="s">
        <v>346</v>
      </c>
      <c r="BQ230">
        <v>0</v>
      </c>
      <c r="BR230" t="s">
        <v>50</v>
      </c>
      <c r="BS230" t="s">
        <v>745</v>
      </c>
      <c r="BT230">
        <v>4120036</v>
      </c>
      <c r="BU230" t="s">
        <v>364</v>
      </c>
      <c r="BV230">
        <v>0.01</v>
      </c>
      <c r="BW230" t="s">
        <v>326</v>
      </c>
      <c r="BX230" t="s">
        <v>428</v>
      </c>
      <c r="BY230">
        <v>4116134</v>
      </c>
      <c r="BZ230" t="s">
        <v>346</v>
      </c>
      <c r="CA230">
        <v>0</v>
      </c>
      <c r="CB230" t="s">
        <v>304</v>
      </c>
      <c r="CC230" t="s">
        <v>1710</v>
      </c>
      <c r="CD230">
        <v>4291339</v>
      </c>
      <c r="CE230" t="s">
        <v>346</v>
      </c>
      <c r="CF230">
        <v>0.01</v>
      </c>
      <c r="CG230" t="s">
        <v>114</v>
      </c>
      <c r="CH230" t="s">
        <v>1353</v>
      </c>
      <c r="CI230">
        <v>5867014</v>
      </c>
      <c r="CJ230" t="s">
        <v>364</v>
      </c>
      <c r="CK230">
        <v>0</v>
      </c>
      <c r="CL230" t="s">
        <v>62</v>
      </c>
      <c r="CM230" t="s">
        <v>2001</v>
      </c>
      <c r="CN230">
        <v>4030090</v>
      </c>
      <c r="CO230" t="s">
        <v>276</v>
      </c>
      <c r="CP230">
        <v>0.01</v>
      </c>
      <c r="CQ230" t="s">
        <v>53</v>
      </c>
      <c r="CV230" t="s">
        <v>306</v>
      </c>
      <c r="DA230" t="s">
        <v>306</v>
      </c>
      <c r="DB230" t="s">
        <v>984</v>
      </c>
      <c r="DC230">
        <v>4113062</v>
      </c>
      <c r="DD230" t="s">
        <v>346</v>
      </c>
      <c r="DE230">
        <v>0.01</v>
      </c>
      <c r="DF230" t="s">
        <v>53</v>
      </c>
      <c r="DK230" t="s">
        <v>306</v>
      </c>
      <c r="DL230" t="s">
        <v>984</v>
      </c>
      <c r="DM230">
        <v>4113062</v>
      </c>
      <c r="DN230" t="s">
        <v>346</v>
      </c>
      <c r="DO230">
        <v>0.01</v>
      </c>
      <c r="DP230" t="s">
        <v>53</v>
      </c>
      <c r="DU230" t="s">
        <v>306</v>
      </c>
      <c r="DZ230" t="s">
        <v>306</v>
      </c>
      <c r="EA230" t="s">
        <v>1710</v>
      </c>
      <c r="EB230">
        <v>4291339</v>
      </c>
      <c r="EC230" t="s">
        <v>346</v>
      </c>
      <c r="ED230">
        <v>0.01</v>
      </c>
      <c r="EE230" t="s">
        <v>114</v>
      </c>
      <c r="EF230" t="s">
        <v>984</v>
      </c>
      <c r="EG230">
        <v>4113062</v>
      </c>
      <c r="EH230" t="s">
        <v>346</v>
      </c>
      <c r="EI230">
        <v>0.01</v>
      </c>
      <c r="EJ230" t="s">
        <v>53</v>
      </c>
      <c r="EO230" t="s">
        <v>306</v>
      </c>
      <c r="ET230" t="s">
        <v>306</v>
      </c>
      <c r="EY230" t="s">
        <v>306</v>
      </c>
      <c r="FD230" t="s">
        <v>306</v>
      </c>
      <c r="FI230" t="s">
        <v>306</v>
      </c>
      <c r="FN230" t="s">
        <v>306</v>
      </c>
      <c r="FS230" t="s">
        <v>306</v>
      </c>
      <c r="FX230" t="s">
        <v>306</v>
      </c>
      <c r="FY230" t="s">
        <v>984</v>
      </c>
      <c r="FZ230">
        <v>4113062</v>
      </c>
      <c r="GA230" t="s">
        <v>346</v>
      </c>
      <c r="GB230">
        <v>0.01</v>
      </c>
      <c r="GC230" t="s">
        <v>53</v>
      </c>
      <c r="GH230" t="s">
        <v>306</v>
      </c>
      <c r="GM230" t="s">
        <v>306</v>
      </c>
      <c r="GR230" t="s">
        <v>306</v>
      </c>
      <c r="GS230" t="s">
        <v>822</v>
      </c>
      <c r="GT230">
        <v>15947616</v>
      </c>
      <c r="GU230" t="s">
        <v>346</v>
      </c>
      <c r="GV230">
        <v>0</v>
      </c>
      <c r="GW230" t="s">
        <v>50</v>
      </c>
      <c r="GX230" t="s">
        <v>1710</v>
      </c>
      <c r="GY230">
        <v>4291339</v>
      </c>
      <c r="GZ230" t="s">
        <v>346</v>
      </c>
      <c r="HA230">
        <v>0.01</v>
      </c>
      <c r="HB230" t="s">
        <v>114</v>
      </c>
      <c r="HG230" t="s">
        <v>306</v>
      </c>
    </row>
    <row r="231" spans="5:215" x14ac:dyDescent="0.35">
      <c r="E231" t="s">
        <v>306</v>
      </c>
      <c r="F231" t="s">
        <v>614</v>
      </c>
      <c r="G231">
        <v>7844534</v>
      </c>
      <c r="H231" t="s">
        <v>346</v>
      </c>
      <c r="I231">
        <v>0</v>
      </c>
      <c r="J231" t="s">
        <v>320</v>
      </c>
      <c r="O231" t="s">
        <v>306</v>
      </c>
      <c r="T231" t="s">
        <v>306</v>
      </c>
      <c r="U231" t="s">
        <v>815</v>
      </c>
      <c r="V231">
        <v>110287</v>
      </c>
      <c r="W231" t="s">
        <v>346</v>
      </c>
      <c r="X231">
        <v>0</v>
      </c>
      <c r="Y231" t="s">
        <v>80</v>
      </c>
      <c r="AD231" t="s">
        <v>306</v>
      </c>
      <c r="AI231" t="s">
        <v>306</v>
      </c>
      <c r="AN231" t="s">
        <v>306</v>
      </c>
      <c r="AO231" t="s">
        <v>1032</v>
      </c>
      <c r="AP231">
        <v>4343973</v>
      </c>
      <c r="AQ231" t="s">
        <v>346</v>
      </c>
      <c r="AR231">
        <v>0</v>
      </c>
      <c r="AS231" t="s">
        <v>375</v>
      </c>
      <c r="AX231" t="s">
        <v>306</v>
      </c>
      <c r="BC231" t="s">
        <v>306</v>
      </c>
      <c r="BD231" t="s">
        <v>1461</v>
      </c>
      <c r="BE231">
        <v>5783407</v>
      </c>
      <c r="BF231" t="s">
        <v>346</v>
      </c>
      <c r="BG231">
        <v>0.01</v>
      </c>
      <c r="BH231" t="s">
        <v>80</v>
      </c>
      <c r="BI231" t="s">
        <v>1592</v>
      </c>
      <c r="BJ231" t="s">
        <v>300</v>
      </c>
      <c r="BK231" t="s">
        <v>361</v>
      </c>
      <c r="BL231">
        <v>0</v>
      </c>
      <c r="BM231" t="s">
        <v>50</v>
      </c>
      <c r="BN231" t="s">
        <v>918</v>
      </c>
      <c r="BO231">
        <v>4860042</v>
      </c>
      <c r="BP231" t="s">
        <v>346</v>
      </c>
      <c r="BQ231">
        <v>0</v>
      </c>
      <c r="BR231" t="s">
        <v>50</v>
      </c>
      <c r="BS231" t="s">
        <v>934</v>
      </c>
      <c r="BT231">
        <v>10533696</v>
      </c>
      <c r="BU231" t="s">
        <v>346</v>
      </c>
      <c r="BV231">
        <v>0.01</v>
      </c>
      <c r="BW231" t="s">
        <v>326</v>
      </c>
      <c r="BX231" t="s">
        <v>815</v>
      </c>
      <c r="BY231">
        <v>110287</v>
      </c>
      <c r="BZ231" t="s">
        <v>346</v>
      </c>
      <c r="CA231">
        <v>0</v>
      </c>
      <c r="CB231" t="s">
        <v>80</v>
      </c>
      <c r="CC231" t="s">
        <v>549</v>
      </c>
      <c r="CD231">
        <v>4556203</v>
      </c>
      <c r="CE231" t="s">
        <v>346</v>
      </c>
      <c r="CF231">
        <v>0.01</v>
      </c>
      <c r="CG231" t="s">
        <v>53</v>
      </c>
      <c r="CH231" t="s">
        <v>1032</v>
      </c>
      <c r="CI231">
        <v>4343973</v>
      </c>
      <c r="CJ231" t="s">
        <v>346</v>
      </c>
      <c r="CK231">
        <v>0</v>
      </c>
      <c r="CL231" t="s">
        <v>375</v>
      </c>
      <c r="CM231" t="s">
        <v>1290</v>
      </c>
      <c r="CN231">
        <v>4275763</v>
      </c>
      <c r="CO231" t="s">
        <v>346</v>
      </c>
      <c r="CP231">
        <v>0.01</v>
      </c>
      <c r="CQ231" t="s">
        <v>62</v>
      </c>
      <c r="CV231" t="s">
        <v>306</v>
      </c>
      <c r="DA231" t="s">
        <v>306</v>
      </c>
      <c r="DB231" t="s">
        <v>1461</v>
      </c>
      <c r="DC231">
        <v>5783407</v>
      </c>
      <c r="DD231" t="s">
        <v>346</v>
      </c>
      <c r="DE231">
        <v>0.01</v>
      </c>
      <c r="DF231" t="s">
        <v>80</v>
      </c>
      <c r="DK231" t="s">
        <v>306</v>
      </c>
      <c r="DL231" t="s">
        <v>1461</v>
      </c>
      <c r="DM231">
        <v>5783407</v>
      </c>
      <c r="DN231" t="s">
        <v>346</v>
      </c>
      <c r="DO231">
        <v>0.01</v>
      </c>
      <c r="DP231" t="s">
        <v>80</v>
      </c>
      <c r="DU231" t="s">
        <v>306</v>
      </c>
      <c r="DZ231" t="s">
        <v>306</v>
      </c>
      <c r="EA231" t="s">
        <v>549</v>
      </c>
      <c r="EB231">
        <v>4556203</v>
      </c>
      <c r="EC231" t="s">
        <v>346</v>
      </c>
      <c r="ED231">
        <v>0.01</v>
      </c>
      <c r="EE231" t="s">
        <v>53</v>
      </c>
      <c r="EF231" t="s">
        <v>1461</v>
      </c>
      <c r="EG231">
        <v>5783407</v>
      </c>
      <c r="EH231" t="s">
        <v>346</v>
      </c>
      <c r="EI231">
        <v>0.01</v>
      </c>
      <c r="EJ231" t="s">
        <v>80</v>
      </c>
      <c r="EO231" t="s">
        <v>306</v>
      </c>
      <c r="ET231" t="s">
        <v>306</v>
      </c>
      <c r="EY231" t="s">
        <v>306</v>
      </c>
      <c r="FD231" t="s">
        <v>306</v>
      </c>
      <c r="FI231" t="s">
        <v>306</v>
      </c>
      <c r="FN231" t="s">
        <v>306</v>
      </c>
      <c r="FS231" t="s">
        <v>306</v>
      </c>
      <c r="FX231" t="s">
        <v>306</v>
      </c>
      <c r="FY231" t="s">
        <v>1461</v>
      </c>
      <c r="FZ231">
        <v>5783407</v>
      </c>
      <c r="GA231" t="s">
        <v>346</v>
      </c>
      <c r="GB231">
        <v>0.01</v>
      </c>
      <c r="GC231" t="s">
        <v>80</v>
      </c>
      <c r="GH231" t="s">
        <v>306</v>
      </c>
      <c r="GM231" t="s">
        <v>306</v>
      </c>
      <c r="GR231" t="s">
        <v>306</v>
      </c>
      <c r="GS231" t="s">
        <v>918</v>
      </c>
      <c r="GT231">
        <v>4860042</v>
      </c>
      <c r="GU231" t="s">
        <v>346</v>
      </c>
      <c r="GV231">
        <v>0</v>
      </c>
      <c r="GW231" t="s">
        <v>50</v>
      </c>
      <c r="GX231" t="s">
        <v>549</v>
      </c>
      <c r="GY231">
        <v>4556203</v>
      </c>
      <c r="GZ231" t="s">
        <v>346</v>
      </c>
      <c r="HA231">
        <v>0.01</v>
      </c>
      <c r="HB231" t="s">
        <v>53</v>
      </c>
      <c r="HG231" t="s">
        <v>306</v>
      </c>
    </row>
    <row r="232" spans="5:215" x14ac:dyDescent="0.35">
      <c r="E232" t="s">
        <v>306</v>
      </c>
      <c r="F232" t="s">
        <v>615</v>
      </c>
      <c r="G232">
        <v>109947</v>
      </c>
      <c r="H232" t="s">
        <v>346</v>
      </c>
      <c r="I232">
        <v>0</v>
      </c>
      <c r="J232" t="s">
        <v>53</v>
      </c>
      <c r="O232" t="s">
        <v>306</v>
      </c>
      <c r="T232" t="s">
        <v>306</v>
      </c>
      <c r="U232" t="s">
        <v>487</v>
      </c>
      <c r="V232">
        <v>4111901</v>
      </c>
      <c r="W232" t="s">
        <v>346</v>
      </c>
      <c r="X232">
        <v>0</v>
      </c>
      <c r="Y232" t="s">
        <v>2192</v>
      </c>
      <c r="AD232" t="s">
        <v>306</v>
      </c>
      <c r="AI232" t="s">
        <v>306</v>
      </c>
      <c r="AN232" t="s">
        <v>306</v>
      </c>
      <c r="AO232" t="s">
        <v>1077</v>
      </c>
      <c r="AP232">
        <v>5804824</v>
      </c>
      <c r="AQ232" t="s">
        <v>346</v>
      </c>
      <c r="AR232">
        <v>0</v>
      </c>
      <c r="AS232" t="s">
        <v>323</v>
      </c>
      <c r="AX232" t="s">
        <v>306</v>
      </c>
      <c r="BC232" t="s">
        <v>306</v>
      </c>
      <c r="BD232" t="s">
        <v>1462</v>
      </c>
      <c r="BE232">
        <v>4360933</v>
      </c>
      <c r="BF232" t="s">
        <v>346</v>
      </c>
      <c r="BG232">
        <v>0.01</v>
      </c>
      <c r="BH232" t="s">
        <v>313</v>
      </c>
      <c r="BI232" t="s">
        <v>1593</v>
      </c>
      <c r="BJ232" t="s">
        <v>300</v>
      </c>
      <c r="BK232" t="s">
        <v>361</v>
      </c>
      <c r="BL232">
        <v>0</v>
      </c>
      <c r="BM232" t="s">
        <v>50</v>
      </c>
      <c r="BN232" t="s">
        <v>849</v>
      </c>
      <c r="BO232">
        <v>4336717</v>
      </c>
      <c r="BP232" t="s">
        <v>346</v>
      </c>
      <c r="BQ232">
        <v>0</v>
      </c>
      <c r="BR232" t="s">
        <v>50</v>
      </c>
      <c r="BS232" t="s">
        <v>876</v>
      </c>
      <c r="BT232">
        <v>7731166</v>
      </c>
      <c r="BU232" t="s">
        <v>346</v>
      </c>
      <c r="BV232">
        <v>0.01</v>
      </c>
      <c r="BW232" t="s">
        <v>50</v>
      </c>
      <c r="BX232" t="s">
        <v>487</v>
      </c>
      <c r="BY232">
        <v>4111901</v>
      </c>
      <c r="BZ232" t="s">
        <v>346</v>
      </c>
      <c r="CA232">
        <v>0</v>
      </c>
      <c r="CB232" t="s">
        <v>2192</v>
      </c>
      <c r="CC232" t="s">
        <v>1711</v>
      </c>
      <c r="CD232">
        <v>5847725</v>
      </c>
      <c r="CE232" t="s">
        <v>346</v>
      </c>
      <c r="CF232">
        <v>0.01</v>
      </c>
      <c r="CG232" t="s">
        <v>114</v>
      </c>
      <c r="CH232" t="s">
        <v>1077</v>
      </c>
      <c r="CI232">
        <v>5804824</v>
      </c>
      <c r="CJ232" t="s">
        <v>346</v>
      </c>
      <c r="CK232">
        <v>0</v>
      </c>
      <c r="CL232" t="s">
        <v>323</v>
      </c>
      <c r="CM232" t="s">
        <v>1796</v>
      </c>
      <c r="CN232">
        <v>4271661</v>
      </c>
      <c r="CO232" t="s">
        <v>346</v>
      </c>
      <c r="CP232">
        <v>0.01</v>
      </c>
      <c r="CQ232" t="s">
        <v>80</v>
      </c>
      <c r="CV232" t="s">
        <v>306</v>
      </c>
      <c r="DA232" t="s">
        <v>306</v>
      </c>
      <c r="DB232" t="s">
        <v>1462</v>
      </c>
      <c r="DC232">
        <v>4360933</v>
      </c>
      <c r="DD232" t="s">
        <v>346</v>
      </c>
      <c r="DE232">
        <v>0.01</v>
      </c>
      <c r="DF232" t="s">
        <v>313</v>
      </c>
      <c r="DK232" t="s">
        <v>306</v>
      </c>
      <c r="DL232" t="s">
        <v>1462</v>
      </c>
      <c r="DM232">
        <v>4360933</v>
      </c>
      <c r="DN232" t="s">
        <v>346</v>
      </c>
      <c r="DO232">
        <v>0.01</v>
      </c>
      <c r="DP232" t="s">
        <v>313</v>
      </c>
      <c r="DU232" t="s">
        <v>306</v>
      </c>
      <c r="DZ232" t="s">
        <v>306</v>
      </c>
      <c r="EA232" t="s">
        <v>1711</v>
      </c>
      <c r="EB232">
        <v>5847725</v>
      </c>
      <c r="EC232" t="s">
        <v>346</v>
      </c>
      <c r="ED232">
        <v>0.01</v>
      </c>
      <c r="EE232" t="s">
        <v>114</v>
      </c>
      <c r="EF232" t="s">
        <v>1462</v>
      </c>
      <c r="EG232">
        <v>4360933</v>
      </c>
      <c r="EH232" t="s">
        <v>346</v>
      </c>
      <c r="EI232">
        <v>0.01</v>
      </c>
      <c r="EJ232" t="s">
        <v>313</v>
      </c>
      <c r="EO232" t="s">
        <v>306</v>
      </c>
      <c r="ET232" t="s">
        <v>306</v>
      </c>
      <c r="EY232" t="s">
        <v>306</v>
      </c>
      <c r="FD232" t="s">
        <v>306</v>
      </c>
      <c r="FI232" t="s">
        <v>306</v>
      </c>
      <c r="FN232" t="s">
        <v>306</v>
      </c>
      <c r="FS232" t="s">
        <v>306</v>
      </c>
      <c r="FX232" t="s">
        <v>306</v>
      </c>
      <c r="FY232" t="s">
        <v>1462</v>
      </c>
      <c r="FZ232">
        <v>4360933</v>
      </c>
      <c r="GA232" t="s">
        <v>346</v>
      </c>
      <c r="GB232">
        <v>0.01</v>
      </c>
      <c r="GC232" t="s">
        <v>313</v>
      </c>
      <c r="GH232" t="s">
        <v>306</v>
      </c>
      <c r="GM232" t="s">
        <v>306</v>
      </c>
      <c r="GR232" t="s">
        <v>306</v>
      </c>
      <c r="GS232" t="s">
        <v>849</v>
      </c>
      <c r="GT232">
        <v>4336717</v>
      </c>
      <c r="GU232" t="s">
        <v>346</v>
      </c>
      <c r="GV232">
        <v>0</v>
      </c>
      <c r="GW232" t="s">
        <v>50</v>
      </c>
      <c r="GX232" t="s">
        <v>1711</v>
      </c>
      <c r="GY232">
        <v>5847725</v>
      </c>
      <c r="GZ232" t="s">
        <v>346</v>
      </c>
      <c r="HA232">
        <v>0.01</v>
      </c>
      <c r="HB232" t="s">
        <v>114</v>
      </c>
      <c r="HG232" t="s">
        <v>306</v>
      </c>
    </row>
    <row r="233" spans="5:215" x14ac:dyDescent="0.35">
      <c r="E233" t="s">
        <v>306</v>
      </c>
      <c r="F233" t="s">
        <v>616</v>
      </c>
      <c r="G233">
        <v>5769650</v>
      </c>
      <c r="H233" t="s">
        <v>346</v>
      </c>
      <c r="I233">
        <v>0</v>
      </c>
      <c r="J233" t="s">
        <v>80</v>
      </c>
      <c r="O233" t="s">
        <v>306</v>
      </c>
      <c r="T233" t="s">
        <v>306</v>
      </c>
      <c r="U233" t="s">
        <v>675</v>
      </c>
      <c r="V233">
        <v>4548312</v>
      </c>
      <c r="W233" t="s">
        <v>346</v>
      </c>
      <c r="X233">
        <v>0</v>
      </c>
      <c r="Y233" t="s">
        <v>50</v>
      </c>
      <c r="AD233" t="s">
        <v>306</v>
      </c>
      <c r="AI233" t="s">
        <v>306</v>
      </c>
      <c r="AN233" t="s">
        <v>306</v>
      </c>
      <c r="AO233" t="s">
        <v>1245</v>
      </c>
      <c r="AP233">
        <v>6729481</v>
      </c>
      <c r="AQ233" t="s">
        <v>346</v>
      </c>
      <c r="AR233">
        <v>0</v>
      </c>
      <c r="AS233" t="s">
        <v>2185</v>
      </c>
      <c r="AX233" t="s">
        <v>306</v>
      </c>
      <c r="BC233" t="s">
        <v>306</v>
      </c>
      <c r="BD233" t="s">
        <v>999</v>
      </c>
      <c r="BE233">
        <v>4031268</v>
      </c>
      <c r="BF233" t="s">
        <v>346</v>
      </c>
      <c r="BG233">
        <v>0.01</v>
      </c>
      <c r="BH233" t="s">
        <v>53</v>
      </c>
      <c r="BI233" t="s">
        <v>581</v>
      </c>
      <c r="BJ233">
        <v>115732953</v>
      </c>
      <c r="BK233" t="s">
        <v>346</v>
      </c>
      <c r="BL233">
        <v>0</v>
      </c>
      <c r="BM233" t="s">
        <v>2185</v>
      </c>
      <c r="BN233" t="s">
        <v>719</v>
      </c>
      <c r="BO233">
        <v>4139954</v>
      </c>
      <c r="BP233" t="s">
        <v>346</v>
      </c>
      <c r="BQ233">
        <v>0</v>
      </c>
      <c r="BR233" t="s">
        <v>326</v>
      </c>
      <c r="BS233" t="s">
        <v>875</v>
      </c>
      <c r="BT233">
        <v>4139902</v>
      </c>
      <c r="BU233" t="s">
        <v>346</v>
      </c>
      <c r="BV233">
        <v>0.01</v>
      </c>
      <c r="BW233" t="s">
        <v>50</v>
      </c>
      <c r="BX233" t="s">
        <v>675</v>
      </c>
      <c r="BY233">
        <v>4548312</v>
      </c>
      <c r="BZ233" t="s">
        <v>346</v>
      </c>
      <c r="CA233">
        <v>0</v>
      </c>
      <c r="CB233" t="s">
        <v>50</v>
      </c>
      <c r="CC233" t="s">
        <v>1712</v>
      </c>
      <c r="CD233">
        <v>4187561</v>
      </c>
      <c r="CE233" t="s">
        <v>346</v>
      </c>
      <c r="CF233">
        <v>0.01</v>
      </c>
      <c r="CG233" t="s">
        <v>53</v>
      </c>
      <c r="CH233" t="s">
        <v>1245</v>
      </c>
      <c r="CI233">
        <v>6729481</v>
      </c>
      <c r="CJ233" t="s">
        <v>346</v>
      </c>
      <c r="CK233">
        <v>0</v>
      </c>
      <c r="CL233" t="s">
        <v>2185</v>
      </c>
      <c r="CM233" t="s">
        <v>1896</v>
      </c>
      <c r="CN233">
        <v>13980941</v>
      </c>
      <c r="CO233" t="s">
        <v>346</v>
      </c>
      <c r="CP233">
        <v>0.01</v>
      </c>
      <c r="CQ233" t="s">
        <v>53</v>
      </c>
      <c r="CV233" t="s">
        <v>306</v>
      </c>
      <c r="DA233" t="s">
        <v>306</v>
      </c>
      <c r="DB233" t="s">
        <v>999</v>
      </c>
      <c r="DC233">
        <v>4031268</v>
      </c>
      <c r="DD233" t="s">
        <v>346</v>
      </c>
      <c r="DE233">
        <v>0.01</v>
      </c>
      <c r="DF233" t="s">
        <v>53</v>
      </c>
      <c r="DK233" t="s">
        <v>306</v>
      </c>
      <c r="DL233" t="s">
        <v>999</v>
      </c>
      <c r="DM233">
        <v>4031268</v>
      </c>
      <c r="DN233" t="s">
        <v>346</v>
      </c>
      <c r="DO233">
        <v>0.01</v>
      </c>
      <c r="DP233" t="s">
        <v>53</v>
      </c>
      <c r="DU233" t="s">
        <v>306</v>
      </c>
      <c r="DZ233" t="s">
        <v>306</v>
      </c>
      <c r="EA233" t="s">
        <v>1712</v>
      </c>
      <c r="EB233">
        <v>4187561</v>
      </c>
      <c r="EC233" t="s">
        <v>346</v>
      </c>
      <c r="ED233">
        <v>0.01</v>
      </c>
      <c r="EE233" t="s">
        <v>53</v>
      </c>
      <c r="EF233" t="s">
        <v>999</v>
      </c>
      <c r="EG233">
        <v>4031268</v>
      </c>
      <c r="EH233" t="s">
        <v>346</v>
      </c>
      <c r="EI233">
        <v>0.01</v>
      </c>
      <c r="EJ233" t="s">
        <v>53</v>
      </c>
      <c r="EO233" t="s">
        <v>306</v>
      </c>
      <c r="ET233" t="s">
        <v>306</v>
      </c>
      <c r="EY233" t="s">
        <v>306</v>
      </c>
      <c r="FD233" t="s">
        <v>306</v>
      </c>
      <c r="FI233" t="s">
        <v>306</v>
      </c>
      <c r="FN233" t="s">
        <v>306</v>
      </c>
      <c r="FS233" t="s">
        <v>306</v>
      </c>
      <c r="FX233" t="s">
        <v>306</v>
      </c>
      <c r="FY233" t="s">
        <v>999</v>
      </c>
      <c r="FZ233">
        <v>4031268</v>
      </c>
      <c r="GA233" t="s">
        <v>346</v>
      </c>
      <c r="GB233">
        <v>0.01</v>
      </c>
      <c r="GC233" t="s">
        <v>53</v>
      </c>
      <c r="GH233" t="s">
        <v>306</v>
      </c>
      <c r="GM233" t="s">
        <v>306</v>
      </c>
      <c r="GR233" t="s">
        <v>306</v>
      </c>
      <c r="GS233" t="s">
        <v>719</v>
      </c>
      <c r="GT233">
        <v>4139954</v>
      </c>
      <c r="GU233" t="s">
        <v>346</v>
      </c>
      <c r="GV233">
        <v>0</v>
      </c>
      <c r="GW233" t="s">
        <v>326</v>
      </c>
      <c r="GX233" t="s">
        <v>1712</v>
      </c>
      <c r="GY233">
        <v>4187561</v>
      </c>
      <c r="GZ233" t="s">
        <v>346</v>
      </c>
      <c r="HA233">
        <v>0.01</v>
      </c>
      <c r="HB233" t="s">
        <v>53</v>
      </c>
      <c r="HG233" t="s">
        <v>306</v>
      </c>
    </row>
    <row r="234" spans="5:215" x14ac:dyDescent="0.35">
      <c r="E234" t="s">
        <v>306</v>
      </c>
      <c r="F234" t="s">
        <v>617</v>
      </c>
      <c r="G234">
        <v>4117990</v>
      </c>
      <c r="H234" t="s">
        <v>346</v>
      </c>
      <c r="I234">
        <v>0</v>
      </c>
      <c r="J234" t="s">
        <v>53</v>
      </c>
      <c r="O234" t="s">
        <v>306</v>
      </c>
      <c r="T234" t="s">
        <v>306</v>
      </c>
      <c r="U234" t="s">
        <v>816</v>
      </c>
      <c r="V234">
        <v>4187337</v>
      </c>
      <c r="W234" t="s">
        <v>364</v>
      </c>
      <c r="X234">
        <v>0</v>
      </c>
      <c r="Y234" t="s">
        <v>2184</v>
      </c>
      <c r="AD234" t="s">
        <v>306</v>
      </c>
      <c r="AI234" t="s">
        <v>306</v>
      </c>
      <c r="AN234" t="s">
        <v>306</v>
      </c>
      <c r="AO234" t="s">
        <v>882</v>
      </c>
      <c r="AP234">
        <v>110793</v>
      </c>
      <c r="AQ234" t="s">
        <v>346</v>
      </c>
      <c r="AR234">
        <v>0</v>
      </c>
      <c r="AS234" t="s">
        <v>53</v>
      </c>
      <c r="AX234" t="s">
        <v>306</v>
      </c>
      <c r="BC234" t="s">
        <v>306</v>
      </c>
      <c r="BD234" t="s">
        <v>440</v>
      </c>
      <c r="BE234">
        <v>4140078</v>
      </c>
      <c r="BF234" t="s">
        <v>346</v>
      </c>
      <c r="BG234">
        <v>0.01</v>
      </c>
      <c r="BH234" t="s">
        <v>304</v>
      </c>
      <c r="BI234" t="s">
        <v>576</v>
      </c>
      <c r="BJ234">
        <v>4672091</v>
      </c>
      <c r="BK234" t="s">
        <v>300</v>
      </c>
      <c r="BL234">
        <v>0</v>
      </c>
      <c r="BM234" t="s">
        <v>62</v>
      </c>
      <c r="BN234" t="s">
        <v>589</v>
      </c>
      <c r="BO234">
        <v>4140617</v>
      </c>
      <c r="BP234" t="s">
        <v>346</v>
      </c>
      <c r="BQ234">
        <v>0</v>
      </c>
      <c r="BR234" t="s">
        <v>320</v>
      </c>
      <c r="BS234" t="s">
        <v>515</v>
      </c>
      <c r="BT234">
        <v>109731</v>
      </c>
      <c r="BU234" t="s">
        <v>346</v>
      </c>
      <c r="BV234">
        <v>0.01</v>
      </c>
      <c r="BW234" t="s">
        <v>53</v>
      </c>
      <c r="BX234" t="s">
        <v>816</v>
      </c>
      <c r="BY234">
        <v>4187337</v>
      </c>
      <c r="BZ234" t="s">
        <v>364</v>
      </c>
      <c r="CA234">
        <v>0</v>
      </c>
      <c r="CB234" t="s">
        <v>2184</v>
      </c>
      <c r="CC234" t="s">
        <v>469</v>
      </c>
      <c r="CD234">
        <v>4026996</v>
      </c>
      <c r="CE234" t="s">
        <v>346</v>
      </c>
      <c r="CF234">
        <v>0.01</v>
      </c>
      <c r="CG234" t="s">
        <v>53</v>
      </c>
      <c r="CH234" t="s">
        <v>882</v>
      </c>
      <c r="CI234">
        <v>110793</v>
      </c>
      <c r="CJ234" t="s">
        <v>346</v>
      </c>
      <c r="CK234">
        <v>0</v>
      </c>
      <c r="CL234" t="s">
        <v>53</v>
      </c>
      <c r="CM234" t="s">
        <v>2002</v>
      </c>
      <c r="CN234">
        <v>4280559</v>
      </c>
      <c r="CO234" t="s">
        <v>364</v>
      </c>
      <c r="CP234">
        <v>0.01</v>
      </c>
      <c r="CQ234" t="s">
        <v>53</v>
      </c>
      <c r="CV234" t="s">
        <v>306</v>
      </c>
      <c r="DA234" t="s">
        <v>306</v>
      </c>
      <c r="DB234" t="s">
        <v>440</v>
      </c>
      <c r="DC234">
        <v>4140078</v>
      </c>
      <c r="DD234" t="s">
        <v>346</v>
      </c>
      <c r="DE234">
        <v>0.01</v>
      </c>
      <c r="DF234" t="s">
        <v>304</v>
      </c>
      <c r="DK234" t="s">
        <v>306</v>
      </c>
      <c r="DL234" t="s">
        <v>440</v>
      </c>
      <c r="DM234">
        <v>4140078</v>
      </c>
      <c r="DN234" t="s">
        <v>346</v>
      </c>
      <c r="DO234">
        <v>0.01</v>
      </c>
      <c r="DP234" t="s">
        <v>304</v>
      </c>
      <c r="DU234" t="s">
        <v>306</v>
      </c>
      <c r="DZ234" t="s">
        <v>306</v>
      </c>
      <c r="EA234" t="s">
        <v>469</v>
      </c>
      <c r="EB234">
        <v>4026996</v>
      </c>
      <c r="EC234" t="s">
        <v>346</v>
      </c>
      <c r="ED234">
        <v>0.01</v>
      </c>
      <c r="EE234" t="s">
        <v>53</v>
      </c>
      <c r="EF234" t="s">
        <v>440</v>
      </c>
      <c r="EG234">
        <v>4140078</v>
      </c>
      <c r="EH234" t="s">
        <v>346</v>
      </c>
      <c r="EI234">
        <v>0.01</v>
      </c>
      <c r="EJ234" t="s">
        <v>304</v>
      </c>
      <c r="EO234" t="s">
        <v>306</v>
      </c>
      <c r="ET234" t="s">
        <v>306</v>
      </c>
      <c r="EY234" t="s">
        <v>306</v>
      </c>
      <c r="FD234" t="s">
        <v>306</v>
      </c>
      <c r="FI234" t="s">
        <v>306</v>
      </c>
      <c r="FN234" t="s">
        <v>306</v>
      </c>
      <c r="FS234" t="s">
        <v>306</v>
      </c>
      <c r="FX234" t="s">
        <v>306</v>
      </c>
      <c r="FY234" t="s">
        <v>440</v>
      </c>
      <c r="FZ234">
        <v>4140078</v>
      </c>
      <c r="GA234" t="s">
        <v>346</v>
      </c>
      <c r="GB234">
        <v>0.01</v>
      </c>
      <c r="GC234" t="s">
        <v>304</v>
      </c>
      <c r="GH234" t="s">
        <v>306</v>
      </c>
      <c r="GM234" t="s">
        <v>306</v>
      </c>
      <c r="GR234" t="s">
        <v>306</v>
      </c>
      <c r="GS234" t="s">
        <v>589</v>
      </c>
      <c r="GT234">
        <v>4140617</v>
      </c>
      <c r="GU234" t="s">
        <v>346</v>
      </c>
      <c r="GV234">
        <v>0</v>
      </c>
      <c r="GW234" t="s">
        <v>320</v>
      </c>
      <c r="GX234" t="s">
        <v>469</v>
      </c>
      <c r="GY234">
        <v>4026996</v>
      </c>
      <c r="GZ234" t="s">
        <v>346</v>
      </c>
      <c r="HA234">
        <v>0.01</v>
      </c>
      <c r="HB234" t="s">
        <v>53</v>
      </c>
      <c r="HG234" t="s">
        <v>306</v>
      </c>
    </row>
    <row r="235" spans="5:215" x14ac:dyDescent="0.35">
      <c r="E235" t="s">
        <v>306</v>
      </c>
      <c r="F235" t="s">
        <v>618</v>
      </c>
      <c r="G235">
        <v>100406</v>
      </c>
      <c r="H235" t="s">
        <v>366</v>
      </c>
      <c r="I235">
        <v>0</v>
      </c>
      <c r="J235" t="s">
        <v>53</v>
      </c>
      <c r="O235" t="s">
        <v>306</v>
      </c>
      <c r="T235" t="s">
        <v>306</v>
      </c>
      <c r="U235" t="s">
        <v>445</v>
      </c>
      <c r="V235">
        <v>4241120</v>
      </c>
      <c r="W235" t="s">
        <v>346</v>
      </c>
      <c r="X235">
        <v>0</v>
      </c>
      <c r="Y235" t="s">
        <v>2191</v>
      </c>
      <c r="AD235" t="s">
        <v>306</v>
      </c>
      <c r="AI235" t="s">
        <v>306</v>
      </c>
      <c r="AN235" t="s">
        <v>306</v>
      </c>
      <c r="AO235" t="s">
        <v>1354</v>
      </c>
      <c r="AP235">
        <v>4305801</v>
      </c>
      <c r="AQ235" t="s">
        <v>346</v>
      </c>
      <c r="AR235">
        <v>0</v>
      </c>
      <c r="AS235" t="s">
        <v>62</v>
      </c>
      <c r="AX235" t="s">
        <v>306</v>
      </c>
      <c r="BC235" t="s">
        <v>306</v>
      </c>
      <c r="BD235" t="s">
        <v>413</v>
      </c>
      <c r="BE235">
        <v>4114882</v>
      </c>
      <c r="BF235" t="s">
        <v>346</v>
      </c>
      <c r="BG235">
        <v>0.01</v>
      </c>
      <c r="BH235" t="s">
        <v>80</v>
      </c>
      <c r="BI235" t="s">
        <v>598</v>
      </c>
      <c r="BJ235">
        <v>5753444</v>
      </c>
      <c r="BK235" t="s">
        <v>346</v>
      </c>
      <c r="BL235">
        <v>0</v>
      </c>
      <c r="BM235" t="s">
        <v>320</v>
      </c>
      <c r="BN235" t="s">
        <v>867</v>
      </c>
      <c r="BO235">
        <v>4557386</v>
      </c>
      <c r="BP235" t="s">
        <v>346</v>
      </c>
      <c r="BQ235">
        <v>0</v>
      </c>
      <c r="BR235" t="s">
        <v>50</v>
      </c>
      <c r="BS235" t="s">
        <v>994</v>
      </c>
      <c r="BT235">
        <v>19464645</v>
      </c>
      <c r="BU235" t="s">
        <v>346</v>
      </c>
      <c r="BV235">
        <v>0.01</v>
      </c>
      <c r="BW235" t="s">
        <v>321</v>
      </c>
      <c r="BX235" t="s">
        <v>445</v>
      </c>
      <c r="BY235">
        <v>4241120</v>
      </c>
      <c r="BZ235" t="s">
        <v>346</v>
      </c>
      <c r="CA235">
        <v>0</v>
      </c>
      <c r="CB235" t="s">
        <v>2191</v>
      </c>
      <c r="CC235" t="s">
        <v>1713</v>
      </c>
      <c r="CD235">
        <v>109453</v>
      </c>
      <c r="CE235" t="s">
        <v>366</v>
      </c>
      <c r="CF235">
        <v>0.01</v>
      </c>
      <c r="CG235" t="s">
        <v>53</v>
      </c>
      <c r="CH235" t="s">
        <v>1354</v>
      </c>
      <c r="CI235">
        <v>4305801</v>
      </c>
      <c r="CJ235" t="s">
        <v>346</v>
      </c>
      <c r="CK235">
        <v>0</v>
      </c>
      <c r="CL235" t="s">
        <v>62</v>
      </c>
      <c r="CM235" t="s">
        <v>1348</v>
      </c>
      <c r="CN235">
        <v>5864676</v>
      </c>
      <c r="CO235" t="s">
        <v>346</v>
      </c>
      <c r="CP235">
        <v>0.01</v>
      </c>
      <c r="CQ235" t="s">
        <v>62</v>
      </c>
      <c r="CV235" t="s">
        <v>306</v>
      </c>
      <c r="DA235" t="s">
        <v>306</v>
      </c>
      <c r="DB235" t="s">
        <v>413</v>
      </c>
      <c r="DC235">
        <v>4114882</v>
      </c>
      <c r="DD235" t="s">
        <v>346</v>
      </c>
      <c r="DE235">
        <v>0.01</v>
      </c>
      <c r="DF235" t="s">
        <v>80</v>
      </c>
      <c r="DK235" t="s">
        <v>306</v>
      </c>
      <c r="DL235" t="s">
        <v>413</v>
      </c>
      <c r="DM235">
        <v>4114882</v>
      </c>
      <c r="DN235" t="s">
        <v>346</v>
      </c>
      <c r="DO235">
        <v>0.01</v>
      </c>
      <c r="DP235" t="s">
        <v>80</v>
      </c>
      <c r="DU235" t="s">
        <v>306</v>
      </c>
      <c r="DZ235" t="s">
        <v>306</v>
      </c>
      <c r="EA235" t="s">
        <v>1713</v>
      </c>
      <c r="EB235">
        <v>109453</v>
      </c>
      <c r="EC235" t="s">
        <v>366</v>
      </c>
      <c r="ED235">
        <v>0.01</v>
      </c>
      <c r="EE235" t="s">
        <v>53</v>
      </c>
      <c r="EF235" t="s">
        <v>413</v>
      </c>
      <c r="EG235">
        <v>4114882</v>
      </c>
      <c r="EH235" t="s">
        <v>346</v>
      </c>
      <c r="EI235">
        <v>0.01</v>
      </c>
      <c r="EJ235" t="s">
        <v>80</v>
      </c>
      <c r="EO235" t="s">
        <v>306</v>
      </c>
      <c r="ET235" t="s">
        <v>306</v>
      </c>
      <c r="EY235" t="s">
        <v>306</v>
      </c>
      <c r="FD235" t="s">
        <v>306</v>
      </c>
      <c r="FI235" t="s">
        <v>306</v>
      </c>
      <c r="FN235" t="s">
        <v>306</v>
      </c>
      <c r="FS235" t="s">
        <v>306</v>
      </c>
      <c r="FX235" t="s">
        <v>306</v>
      </c>
      <c r="FY235" t="s">
        <v>413</v>
      </c>
      <c r="FZ235">
        <v>4114882</v>
      </c>
      <c r="GA235" t="s">
        <v>346</v>
      </c>
      <c r="GB235">
        <v>0.01</v>
      </c>
      <c r="GC235" t="s">
        <v>80</v>
      </c>
      <c r="GH235" t="s">
        <v>306</v>
      </c>
      <c r="GM235" t="s">
        <v>306</v>
      </c>
      <c r="GR235" t="s">
        <v>306</v>
      </c>
      <c r="GS235" t="s">
        <v>867</v>
      </c>
      <c r="GT235">
        <v>4557386</v>
      </c>
      <c r="GU235" t="s">
        <v>346</v>
      </c>
      <c r="GV235">
        <v>0</v>
      </c>
      <c r="GW235" t="s">
        <v>50</v>
      </c>
      <c r="GX235" t="s">
        <v>1713</v>
      </c>
      <c r="GY235">
        <v>109453</v>
      </c>
      <c r="GZ235" t="s">
        <v>366</v>
      </c>
      <c r="HA235">
        <v>0.01</v>
      </c>
      <c r="HB235" t="s">
        <v>53</v>
      </c>
      <c r="HG235" t="s">
        <v>306</v>
      </c>
    </row>
    <row r="236" spans="5:215" x14ac:dyDescent="0.35">
      <c r="E236" t="s">
        <v>306</v>
      </c>
      <c r="F236" t="s">
        <v>619</v>
      </c>
      <c r="G236">
        <v>4615512</v>
      </c>
      <c r="H236" t="s">
        <v>346</v>
      </c>
      <c r="I236">
        <v>0</v>
      </c>
      <c r="J236" t="s">
        <v>53</v>
      </c>
      <c r="O236" t="s">
        <v>306</v>
      </c>
      <c r="T236" t="s">
        <v>306</v>
      </c>
      <c r="U236" t="s">
        <v>604</v>
      </c>
      <c r="V236">
        <v>4216438</v>
      </c>
      <c r="W236" t="s">
        <v>346</v>
      </c>
      <c r="X236">
        <v>0</v>
      </c>
      <c r="Y236" t="s">
        <v>2191</v>
      </c>
      <c r="AD236" t="s">
        <v>306</v>
      </c>
      <c r="AI236" t="s">
        <v>306</v>
      </c>
      <c r="AN236" t="s">
        <v>306</v>
      </c>
      <c r="AO236" t="s">
        <v>1355</v>
      </c>
      <c r="AP236">
        <v>4027327</v>
      </c>
      <c r="AQ236" t="s">
        <v>346</v>
      </c>
      <c r="AR236">
        <v>0</v>
      </c>
      <c r="AS236" t="s">
        <v>53</v>
      </c>
      <c r="AX236" t="s">
        <v>306</v>
      </c>
      <c r="BC236" t="s">
        <v>306</v>
      </c>
      <c r="BD236" t="s">
        <v>1289</v>
      </c>
      <c r="BE236">
        <v>5813354</v>
      </c>
      <c r="BF236" t="s">
        <v>346</v>
      </c>
      <c r="BG236">
        <v>0.01</v>
      </c>
      <c r="BH236" t="s">
        <v>62</v>
      </c>
      <c r="BI236" t="s">
        <v>517</v>
      </c>
      <c r="BJ236">
        <v>111097</v>
      </c>
      <c r="BK236" t="s">
        <v>346</v>
      </c>
      <c r="BL236">
        <v>0</v>
      </c>
      <c r="BM236" t="s">
        <v>53</v>
      </c>
      <c r="BN236" t="s">
        <v>604</v>
      </c>
      <c r="BO236">
        <v>4216438</v>
      </c>
      <c r="BP236" t="s">
        <v>346</v>
      </c>
      <c r="BQ236">
        <v>0</v>
      </c>
      <c r="BR236" t="s">
        <v>2191</v>
      </c>
      <c r="BS236" t="s">
        <v>995</v>
      </c>
      <c r="BT236">
        <v>4186090</v>
      </c>
      <c r="BU236" t="s">
        <v>366</v>
      </c>
      <c r="BV236">
        <v>0.01</v>
      </c>
      <c r="BW236" t="s">
        <v>2185</v>
      </c>
      <c r="BX236" t="s">
        <v>604</v>
      </c>
      <c r="BY236">
        <v>4216438</v>
      </c>
      <c r="BZ236" t="s">
        <v>346</v>
      </c>
      <c r="CA236">
        <v>0</v>
      </c>
      <c r="CB236" t="s">
        <v>2191</v>
      </c>
      <c r="CC236" t="s">
        <v>1714</v>
      </c>
      <c r="CD236">
        <v>4222753</v>
      </c>
      <c r="CE236" t="s">
        <v>346</v>
      </c>
      <c r="CF236">
        <v>0.01</v>
      </c>
      <c r="CG236" t="s">
        <v>53</v>
      </c>
      <c r="CH236" t="s">
        <v>1355</v>
      </c>
      <c r="CI236">
        <v>4027327</v>
      </c>
      <c r="CJ236" t="s">
        <v>346</v>
      </c>
      <c r="CK236">
        <v>0</v>
      </c>
      <c r="CL236" t="s">
        <v>53</v>
      </c>
      <c r="CM236" t="s">
        <v>1902</v>
      </c>
      <c r="CN236">
        <v>4546465</v>
      </c>
      <c r="CO236" t="s">
        <v>346</v>
      </c>
      <c r="CP236">
        <v>0.01</v>
      </c>
      <c r="CQ236" t="s">
        <v>2185</v>
      </c>
      <c r="CV236" t="s">
        <v>306</v>
      </c>
      <c r="DA236" t="s">
        <v>306</v>
      </c>
      <c r="DB236" t="s">
        <v>1289</v>
      </c>
      <c r="DC236">
        <v>5813354</v>
      </c>
      <c r="DD236" t="s">
        <v>346</v>
      </c>
      <c r="DE236">
        <v>0.01</v>
      </c>
      <c r="DF236" t="s">
        <v>62</v>
      </c>
      <c r="DK236" t="s">
        <v>306</v>
      </c>
      <c r="DL236" t="s">
        <v>1289</v>
      </c>
      <c r="DM236">
        <v>5813354</v>
      </c>
      <c r="DN236" t="s">
        <v>346</v>
      </c>
      <c r="DO236">
        <v>0.01</v>
      </c>
      <c r="DP236" t="s">
        <v>62</v>
      </c>
      <c r="DU236" t="s">
        <v>306</v>
      </c>
      <c r="DZ236" t="s">
        <v>306</v>
      </c>
      <c r="EA236" t="s">
        <v>1714</v>
      </c>
      <c r="EB236">
        <v>4222753</v>
      </c>
      <c r="EC236" t="s">
        <v>346</v>
      </c>
      <c r="ED236">
        <v>0.01</v>
      </c>
      <c r="EE236" t="s">
        <v>53</v>
      </c>
      <c r="EF236" t="s">
        <v>1289</v>
      </c>
      <c r="EG236">
        <v>5813354</v>
      </c>
      <c r="EH236" t="s">
        <v>346</v>
      </c>
      <c r="EI236">
        <v>0.01</v>
      </c>
      <c r="EJ236" t="s">
        <v>62</v>
      </c>
      <c r="EO236" t="s">
        <v>306</v>
      </c>
      <c r="ET236" t="s">
        <v>306</v>
      </c>
      <c r="EY236" t="s">
        <v>306</v>
      </c>
      <c r="FD236" t="s">
        <v>306</v>
      </c>
      <c r="FI236" t="s">
        <v>306</v>
      </c>
      <c r="FN236" t="s">
        <v>306</v>
      </c>
      <c r="FS236" t="s">
        <v>306</v>
      </c>
      <c r="FX236" t="s">
        <v>306</v>
      </c>
      <c r="FY236" t="s">
        <v>1289</v>
      </c>
      <c r="FZ236">
        <v>5813354</v>
      </c>
      <c r="GA236" t="s">
        <v>346</v>
      </c>
      <c r="GB236">
        <v>0.01</v>
      </c>
      <c r="GC236" t="s">
        <v>62</v>
      </c>
      <c r="GH236" t="s">
        <v>306</v>
      </c>
      <c r="GM236" t="s">
        <v>306</v>
      </c>
      <c r="GR236" t="s">
        <v>306</v>
      </c>
      <c r="GS236" t="s">
        <v>604</v>
      </c>
      <c r="GT236">
        <v>4216438</v>
      </c>
      <c r="GU236" t="s">
        <v>346</v>
      </c>
      <c r="GV236">
        <v>0</v>
      </c>
      <c r="GW236" t="s">
        <v>2191</v>
      </c>
      <c r="GX236" t="s">
        <v>1714</v>
      </c>
      <c r="GY236">
        <v>4222753</v>
      </c>
      <c r="GZ236" t="s">
        <v>346</v>
      </c>
      <c r="HA236">
        <v>0.01</v>
      </c>
      <c r="HB236" t="s">
        <v>53</v>
      </c>
      <c r="HG236" t="s">
        <v>306</v>
      </c>
    </row>
    <row r="237" spans="5:215" x14ac:dyDescent="0.35">
      <c r="E237" t="s">
        <v>306</v>
      </c>
      <c r="F237" t="s">
        <v>620</v>
      </c>
      <c r="G237">
        <v>4093059</v>
      </c>
      <c r="H237" t="s">
        <v>346</v>
      </c>
      <c r="I237">
        <v>0</v>
      </c>
      <c r="J237" t="s">
        <v>53</v>
      </c>
      <c r="O237" t="s">
        <v>306</v>
      </c>
      <c r="T237" t="s">
        <v>306</v>
      </c>
      <c r="U237" t="s">
        <v>817</v>
      </c>
      <c r="V237">
        <v>4135100</v>
      </c>
      <c r="W237" t="s">
        <v>346</v>
      </c>
      <c r="X237">
        <v>0</v>
      </c>
      <c r="Y237" t="s">
        <v>313</v>
      </c>
      <c r="AD237" t="s">
        <v>306</v>
      </c>
      <c r="AI237" t="s">
        <v>306</v>
      </c>
      <c r="AN237" t="s">
        <v>306</v>
      </c>
      <c r="AO237" t="s">
        <v>1356</v>
      </c>
      <c r="AP237">
        <v>5830723</v>
      </c>
      <c r="AQ237" t="s">
        <v>346</v>
      </c>
      <c r="AR237">
        <v>0</v>
      </c>
      <c r="AS237" t="s">
        <v>62</v>
      </c>
      <c r="AX237" t="s">
        <v>306</v>
      </c>
      <c r="BC237" t="s">
        <v>306</v>
      </c>
      <c r="BD237" t="s">
        <v>1147</v>
      </c>
      <c r="BE237">
        <v>4187733</v>
      </c>
      <c r="BF237" t="s">
        <v>346</v>
      </c>
      <c r="BG237">
        <v>0.01</v>
      </c>
      <c r="BH237" t="s">
        <v>320</v>
      </c>
      <c r="BI237" t="s">
        <v>1594</v>
      </c>
      <c r="BJ237" t="s">
        <v>300</v>
      </c>
      <c r="BK237" t="s">
        <v>361</v>
      </c>
      <c r="BL237">
        <v>0</v>
      </c>
      <c r="BM237" t="s">
        <v>50</v>
      </c>
      <c r="BN237" t="s">
        <v>875</v>
      </c>
      <c r="BO237">
        <v>4139902</v>
      </c>
      <c r="BP237" t="s">
        <v>346</v>
      </c>
      <c r="BQ237">
        <v>0</v>
      </c>
      <c r="BR237" t="s">
        <v>50</v>
      </c>
      <c r="BS237" t="s">
        <v>739</v>
      </c>
      <c r="BT237">
        <v>4311270</v>
      </c>
      <c r="BU237" t="s">
        <v>346</v>
      </c>
      <c r="BV237">
        <v>0.01</v>
      </c>
      <c r="BW237" t="s">
        <v>50</v>
      </c>
      <c r="BX237" t="s">
        <v>817</v>
      </c>
      <c r="BY237">
        <v>4135100</v>
      </c>
      <c r="BZ237" t="s">
        <v>346</v>
      </c>
      <c r="CA237">
        <v>0</v>
      </c>
      <c r="CB237" t="s">
        <v>313</v>
      </c>
      <c r="CC237" t="s">
        <v>925</v>
      </c>
      <c r="CD237">
        <v>4055966</v>
      </c>
      <c r="CE237" t="s">
        <v>346</v>
      </c>
      <c r="CF237">
        <v>0.01</v>
      </c>
      <c r="CG237" t="s">
        <v>53</v>
      </c>
      <c r="CH237" t="s">
        <v>1356</v>
      </c>
      <c r="CI237">
        <v>5830723</v>
      </c>
      <c r="CJ237" t="s">
        <v>346</v>
      </c>
      <c r="CK237">
        <v>0</v>
      </c>
      <c r="CL237" t="s">
        <v>62</v>
      </c>
      <c r="CM237" t="s">
        <v>2003</v>
      </c>
      <c r="CN237">
        <v>4320445</v>
      </c>
      <c r="CO237" t="s">
        <v>364</v>
      </c>
      <c r="CP237">
        <v>0.01</v>
      </c>
      <c r="CQ237" t="s">
        <v>62</v>
      </c>
      <c r="CV237" t="s">
        <v>306</v>
      </c>
      <c r="DA237" t="s">
        <v>306</v>
      </c>
      <c r="DB237" t="s">
        <v>1147</v>
      </c>
      <c r="DC237">
        <v>4187733</v>
      </c>
      <c r="DD237" t="s">
        <v>346</v>
      </c>
      <c r="DE237">
        <v>0.01</v>
      </c>
      <c r="DF237" t="s">
        <v>320</v>
      </c>
      <c r="DK237" t="s">
        <v>306</v>
      </c>
      <c r="DL237" t="s">
        <v>1147</v>
      </c>
      <c r="DM237">
        <v>4187733</v>
      </c>
      <c r="DN237" t="s">
        <v>346</v>
      </c>
      <c r="DO237">
        <v>0.01</v>
      </c>
      <c r="DP237" t="s">
        <v>320</v>
      </c>
      <c r="DU237" t="s">
        <v>306</v>
      </c>
      <c r="DZ237" t="s">
        <v>306</v>
      </c>
      <c r="EA237" t="s">
        <v>925</v>
      </c>
      <c r="EB237">
        <v>4055966</v>
      </c>
      <c r="EC237" t="s">
        <v>346</v>
      </c>
      <c r="ED237">
        <v>0.01</v>
      </c>
      <c r="EE237" t="s">
        <v>53</v>
      </c>
      <c r="EF237" t="s">
        <v>1147</v>
      </c>
      <c r="EG237">
        <v>4187733</v>
      </c>
      <c r="EH237" t="s">
        <v>346</v>
      </c>
      <c r="EI237">
        <v>0.01</v>
      </c>
      <c r="EJ237" t="s">
        <v>320</v>
      </c>
      <c r="EO237" t="s">
        <v>306</v>
      </c>
      <c r="ET237" t="s">
        <v>306</v>
      </c>
      <c r="EY237" t="s">
        <v>306</v>
      </c>
      <c r="FD237" t="s">
        <v>306</v>
      </c>
      <c r="FI237" t="s">
        <v>306</v>
      </c>
      <c r="FN237" t="s">
        <v>306</v>
      </c>
      <c r="FS237" t="s">
        <v>306</v>
      </c>
      <c r="FX237" t="s">
        <v>306</v>
      </c>
      <c r="FY237" t="s">
        <v>1147</v>
      </c>
      <c r="FZ237">
        <v>4187733</v>
      </c>
      <c r="GA237" t="s">
        <v>346</v>
      </c>
      <c r="GB237">
        <v>0.01</v>
      </c>
      <c r="GC237" t="s">
        <v>320</v>
      </c>
      <c r="GH237" t="s">
        <v>306</v>
      </c>
      <c r="GM237" t="s">
        <v>306</v>
      </c>
      <c r="GR237" t="s">
        <v>306</v>
      </c>
      <c r="GS237" t="s">
        <v>875</v>
      </c>
      <c r="GT237">
        <v>4139902</v>
      </c>
      <c r="GU237" t="s">
        <v>346</v>
      </c>
      <c r="GV237">
        <v>0</v>
      </c>
      <c r="GW237" t="s">
        <v>50</v>
      </c>
      <c r="GX237" t="s">
        <v>925</v>
      </c>
      <c r="GY237">
        <v>4055966</v>
      </c>
      <c r="GZ237" t="s">
        <v>346</v>
      </c>
      <c r="HA237">
        <v>0.01</v>
      </c>
      <c r="HB237" t="s">
        <v>53</v>
      </c>
      <c r="HG237" t="s">
        <v>306</v>
      </c>
    </row>
    <row r="238" spans="5:215" x14ac:dyDescent="0.35">
      <c r="E238" t="s">
        <v>306</v>
      </c>
      <c r="F238" t="s">
        <v>621</v>
      </c>
      <c r="G238">
        <v>4110324</v>
      </c>
      <c r="H238" t="s">
        <v>346</v>
      </c>
      <c r="I238">
        <v>0</v>
      </c>
      <c r="J238" t="s">
        <v>53</v>
      </c>
      <c r="O238" t="s">
        <v>306</v>
      </c>
      <c r="T238" t="s">
        <v>306</v>
      </c>
      <c r="U238" t="s">
        <v>523</v>
      </c>
      <c r="V238">
        <v>7060057</v>
      </c>
      <c r="W238" t="s">
        <v>346</v>
      </c>
      <c r="X238">
        <v>0</v>
      </c>
      <c r="Y238" t="s">
        <v>320</v>
      </c>
      <c r="AD238" t="s">
        <v>306</v>
      </c>
      <c r="AI238" t="s">
        <v>306</v>
      </c>
      <c r="AN238" t="s">
        <v>306</v>
      </c>
      <c r="AO238" t="s">
        <v>1357</v>
      </c>
      <c r="AP238">
        <v>26357812</v>
      </c>
      <c r="AQ238" t="s">
        <v>366</v>
      </c>
      <c r="AR238">
        <v>0</v>
      </c>
      <c r="AS238" t="s">
        <v>62</v>
      </c>
      <c r="AX238" t="s">
        <v>306</v>
      </c>
      <c r="BC238" t="s">
        <v>306</v>
      </c>
      <c r="BD238" t="s">
        <v>1463</v>
      </c>
      <c r="BE238">
        <v>5834515</v>
      </c>
      <c r="BF238" t="s">
        <v>346</v>
      </c>
      <c r="BG238">
        <v>0.01</v>
      </c>
      <c r="BH238" t="s">
        <v>313</v>
      </c>
      <c r="BI238" t="s">
        <v>602</v>
      </c>
      <c r="BJ238">
        <v>4378744</v>
      </c>
      <c r="BK238" t="s">
        <v>346</v>
      </c>
      <c r="BL238">
        <v>0</v>
      </c>
      <c r="BM238" t="s">
        <v>2187</v>
      </c>
      <c r="BN238" t="s">
        <v>1077</v>
      </c>
      <c r="BO238">
        <v>5804824</v>
      </c>
      <c r="BP238" t="s">
        <v>346</v>
      </c>
      <c r="BQ238">
        <v>0</v>
      </c>
      <c r="BR238" t="s">
        <v>323</v>
      </c>
      <c r="BS238" t="s">
        <v>472</v>
      </c>
      <c r="BT238">
        <v>4048215</v>
      </c>
      <c r="BU238" t="s">
        <v>346</v>
      </c>
      <c r="BV238">
        <v>0.01</v>
      </c>
      <c r="BW238" t="s">
        <v>53</v>
      </c>
      <c r="BX238" t="s">
        <v>523</v>
      </c>
      <c r="BY238">
        <v>7060057</v>
      </c>
      <c r="BZ238" t="s">
        <v>346</v>
      </c>
      <c r="CA238">
        <v>0</v>
      </c>
      <c r="CB238" t="s">
        <v>320</v>
      </c>
      <c r="CC238" t="s">
        <v>1715</v>
      </c>
      <c r="CD238">
        <v>5850734</v>
      </c>
      <c r="CE238" t="s">
        <v>346</v>
      </c>
      <c r="CF238">
        <v>0.01</v>
      </c>
      <c r="CG238" t="s">
        <v>114</v>
      </c>
      <c r="CH238" t="s">
        <v>1357</v>
      </c>
      <c r="CI238">
        <v>26357812</v>
      </c>
      <c r="CJ238" t="s">
        <v>366</v>
      </c>
      <c r="CK238">
        <v>0</v>
      </c>
      <c r="CL238" t="s">
        <v>62</v>
      </c>
      <c r="CM238" t="s">
        <v>1314</v>
      </c>
      <c r="CN238">
        <v>105607411</v>
      </c>
      <c r="CO238" t="s">
        <v>346</v>
      </c>
      <c r="CP238">
        <v>0.01</v>
      </c>
      <c r="CQ238" t="s">
        <v>62</v>
      </c>
      <c r="CV238" t="s">
        <v>306</v>
      </c>
      <c r="DA238" t="s">
        <v>306</v>
      </c>
      <c r="DB238" t="s">
        <v>1463</v>
      </c>
      <c r="DC238">
        <v>5834515</v>
      </c>
      <c r="DD238" t="s">
        <v>346</v>
      </c>
      <c r="DE238">
        <v>0.01</v>
      </c>
      <c r="DF238" t="s">
        <v>313</v>
      </c>
      <c r="DK238" t="s">
        <v>306</v>
      </c>
      <c r="DL238" t="s">
        <v>1463</v>
      </c>
      <c r="DM238">
        <v>5834515</v>
      </c>
      <c r="DN238" t="s">
        <v>346</v>
      </c>
      <c r="DO238">
        <v>0.01</v>
      </c>
      <c r="DP238" t="s">
        <v>313</v>
      </c>
      <c r="DU238" t="s">
        <v>306</v>
      </c>
      <c r="DZ238" t="s">
        <v>306</v>
      </c>
      <c r="EA238" t="s">
        <v>1715</v>
      </c>
      <c r="EB238">
        <v>5850734</v>
      </c>
      <c r="EC238" t="s">
        <v>346</v>
      </c>
      <c r="ED238">
        <v>0.01</v>
      </c>
      <c r="EE238" t="s">
        <v>114</v>
      </c>
      <c r="EF238" t="s">
        <v>1463</v>
      </c>
      <c r="EG238">
        <v>5834515</v>
      </c>
      <c r="EH238" t="s">
        <v>346</v>
      </c>
      <c r="EI238">
        <v>0.01</v>
      </c>
      <c r="EJ238" t="s">
        <v>313</v>
      </c>
      <c r="EO238" t="s">
        <v>306</v>
      </c>
      <c r="ET238" t="s">
        <v>306</v>
      </c>
      <c r="EY238" t="s">
        <v>306</v>
      </c>
      <c r="FD238" t="s">
        <v>306</v>
      </c>
      <c r="FI238" t="s">
        <v>306</v>
      </c>
      <c r="FN238" t="s">
        <v>306</v>
      </c>
      <c r="FS238" t="s">
        <v>306</v>
      </c>
      <c r="FX238" t="s">
        <v>306</v>
      </c>
      <c r="FY238" t="s">
        <v>1463</v>
      </c>
      <c r="FZ238">
        <v>5834515</v>
      </c>
      <c r="GA238" t="s">
        <v>346</v>
      </c>
      <c r="GB238">
        <v>0.01</v>
      </c>
      <c r="GC238" t="s">
        <v>313</v>
      </c>
      <c r="GH238" t="s">
        <v>306</v>
      </c>
      <c r="GM238" t="s">
        <v>306</v>
      </c>
      <c r="GR238" t="s">
        <v>306</v>
      </c>
      <c r="GS238" t="s">
        <v>1077</v>
      </c>
      <c r="GT238">
        <v>5804824</v>
      </c>
      <c r="GU238" t="s">
        <v>346</v>
      </c>
      <c r="GV238">
        <v>0</v>
      </c>
      <c r="GW238" t="s">
        <v>323</v>
      </c>
      <c r="GX238" t="s">
        <v>1715</v>
      </c>
      <c r="GY238">
        <v>5850734</v>
      </c>
      <c r="GZ238" t="s">
        <v>346</v>
      </c>
      <c r="HA238">
        <v>0.01</v>
      </c>
      <c r="HB238" t="s">
        <v>114</v>
      </c>
      <c r="HG238" t="s">
        <v>306</v>
      </c>
    </row>
    <row r="239" spans="5:215" x14ac:dyDescent="0.35">
      <c r="E239" t="s">
        <v>306</v>
      </c>
      <c r="F239" t="s">
        <v>622</v>
      </c>
      <c r="G239">
        <v>4072625</v>
      </c>
      <c r="H239" t="s">
        <v>346</v>
      </c>
      <c r="I239">
        <v>0</v>
      </c>
      <c r="J239" t="s">
        <v>53</v>
      </c>
      <c r="O239" t="s">
        <v>306</v>
      </c>
      <c r="T239" t="s">
        <v>306</v>
      </c>
      <c r="U239" t="s">
        <v>472</v>
      </c>
      <c r="V239">
        <v>4048215</v>
      </c>
      <c r="W239" t="s">
        <v>346</v>
      </c>
      <c r="X239">
        <v>0</v>
      </c>
      <c r="Y239" t="s">
        <v>53</v>
      </c>
      <c r="AD239" t="s">
        <v>306</v>
      </c>
      <c r="AI239" t="s">
        <v>306</v>
      </c>
      <c r="AN239" t="s">
        <v>306</v>
      </c>
      <c r="AO239" t="s">
        <v>1358</v>
      </c>
      <c r="AP239">
        <v>8264448</v>
      </c>
      <c r="AQ239" t="s">
        <v>346</v>
      </c>
      <c r="AR239">
        <v>0</v>
      </c>
      <c r="AS239" t="s">
        <v>62</v>
      </c>
      <c r="AX239" t="s">
        <v>306</v>
      </c>
      <c r="BC239" t="s">
        <v>306</v>
      </c>
      <c r="BD239" t="s">
        <v>478</v>
      </c>
      <c r="BE239">
        <v>5852503</v>
      </c>
      <c r="BF239" t="s">
        <v>346</v>
      </c>
      <c r="BG239">
        <v>0.01</v>
      </c>
      <c r="BH239" t="s">
        <v>62</v>
      </c>
      <c r="BI239" t="s">
        <v>603</v>
      </c>
      <c r="BJ239">
        <v>110641</v>
      </c>
      <c r="BK239" t="s">
        <v>346</v>
      </c>
      <c r="BL239">
        <v>0</v>
      </c>
      <c r="BM239" t="s">
        <v>53</v>
      </c>
      <c r="BN239" t="s">
        <v>840</v>
      </c>
      <c r="BO239">
        <v>4581365</v>
      </c>
      <c r="BP239" t="s">
        <v>346</v>
      </c>
      <c r="BQ239">
        <v>0</v>
      </c>
      <c r="BR239" t="s">
        <v>326</v>
      </c>
      <c r="BS239" t="s">
        <v>398</v>
      </c>
      <c r="BT239">
        <v>4107954</v>
      </c>
      <c r="BU239" t="s">
        <v>300</v>
      </c>
      <c r="BV239">
        <v>0.01</v>
      </c>
      <c r="BW239" t="s">
        <v>304</v>
      </c>
      <c r="BX239" t="s">
        <v>472</v>
      </c>
      <c r="BY239">
        <v>4048215</v>
      </c>
      <c r="BZ239" t="s">
        <v>346</v>
      </c>
      <c r="CA239">
        <v>0</v>
      </c>
      <c r="CB239" t="s">
        <v>53</v>
      </c>
      <c r="CC239" t="s">
        <v>1716</v>
      </c>
      <c r="CD239">
        <v>5774447</v>
      </c>
      <c r="CE239" t="s">
        <v>369</v>
      </c>
      <c r="CF239">
        <v>0.01</v>
      </c>
      <c r="CG239" t="s">
        <v>114</v>
      </c>
      <c r="CH239" t="s">
        <v>1358</v>
      </c>
      <c r="CI239">
        <v>8264448</v>
      </c>
      <c r="CJ239" t="s">
        <v>346</v>
      </c>
      <c r="CK239">
        <v>0</v>
      </c>
      <c r="CL239" t="s">
        <v>62</v>
      </c>
      <c r="CM239" t="s">
        <v>2004</v>
      </c>
      <c r="CN239">
        <v>9751424</v>
      </c>
      <c r="CO239" t="s">
        <v>364</v>
      </c>
      <c r="CP239">
        <v>0.01</v>
      </c>
      <c r="CQ239" t="s">
        <v>53</v>
      </c>
      <c r="CV239" t="s">
        <v>306</v>
      </c>
      <c r="DA239" t="s">
        <v>306</v>
      </c>
      <c r="DB239" t="s">
        <v>478</v>
      </c>
      <c r="DC239">
        <v>5852503</v>
      </c>
      <c r="DD239" t="s">
        <v>346</v>
      </c>
      <c r="DE239">
        <v>0.01</v>
      </c>
      <c r="DF239" t="s">
        <v>62</v>
      </c>
      <c r="DK239" t="s">
        <v>306</v>
      </c>
      <c r="DL239" t="s">
        <v>478</v>
      </c>
      <c r="DM239">
        <v>5852503</v>
      </c>
      <c r="DN239" t="s">
        <v>346</v>
      </c>
      <c r="DO239">
        <v>0.01</v>
      </c>
      <c r="DP239" t="s">
        <v>62</v>
      </c>
      <c r="DU239" t="s">
        <v>306</v>
      </c>
      <c r="DZ239" t="s">
        <v>306</v>
      </c>
      <c r="EA239" t="s">
        <v>1716</v>
      </c>
      <c r="EB239">
        <v>5774447</v>
      </c>
      <c r="EC239" t="s">
        <v>369</v>
      </c>
      <c r="ED239">
        <v>0.01</v>
      </c>
      <c r="EE239" t="s">
        <v>114</v>
      </c>
      <c r="EF239" t="s">
        <v>478</v>
      </c>
      <c r="EG239">
        <v>5852503</v>
      </c>
      <c r="EH239" t="s">
        <v>346</v>
      </c>
      <c r="EI239">
        <v>0.01</v>
      </c>
      <c r="EJ239" t="s">
        <v>62</v>
      </c>
      <c r="EO239" t="s">
        <v>306</v>
      </c>
      <c r="ET239" t="s">
        <v>306</v>
      </c>
      <c r="EY239" t="s">
        <v>306</v>
      </c>
      <c r="FD239" t="s">
        <v>306</v>
      </c>
      <c r="FI239" t="s">
        <v>306</v>
      </c>
      <c r="FN239" t="s">
        <v>306</v>
      </c>
      <c r="FS239" t="s">
        <v>306</v>
      </c>
      <c r="FX239" t="s">
        <v>306</v>
      </c>
      <c r="FY239" t="s">
        <v>478</v>
      </c>
      <c r="FZ239">
        <v>5852503</v>
      </c>
      <c r="GA239" t="s">
        <v>346</v>
      </c>
      <c r="GB239">
        <v>0.01</v>
      </c>
      <c r="GC239" t="s">
        <v>62</v>
      </c>
      <c r="GH239" t="s">
        <v>306</v>
      </c>
      <c r="GM239" t="s">
        <v>306</v>
      </c>
      <c r="GR239" t="s">
        <v>306</v>
      </c>
      <c r="GS239" t="s">
        <v>840</v>
      </c>
      <c r="GT239">
        <v>4581365</v>
      </c>
      <c r="GU239" t="s">
        <v>346</v>
      </c>
      <c r="GV239">
        <v>0</v>
      </c>
      <c r="GW239" t="s">
        <v>326</v>
      </c>
      <c r="GX239" t="s">
        <v>1716</v>
      </c>
      <c r="GY239">
        <v>5774447</v>
      </c>
      <c r="GZ239" t="s">
        <v>369</v>
      </c>
      <c r="HA239">
        <v>0.01</v>
      </c>
      <c r="HB239" t="s">
        <v>114</v>
      </c>
      <c r="HG239" t="s">
        <v>306</v>
      </c>
    </row>
    <row r="240" spans="5:215" x14ac:dyDescent="0.35">
      <c r="E240" t="s">
        <v>306</v>
      </c>
      <c r="F240" t="s">
        <v>623</v>
      </c>
      <c r="G240">
        <v>4138267</v>
      </c>
      <c r="H240" t="s">
        <v>346</v>
      </c>
      <c r="I240">
        <v>0</v>
      </c>
      <c r="J240" t="s">
        <v>320</v>
      </c>
      <c r="O240" t="s">
        <v>306</v>
      </c>
      <c r="T240" t="s">
        <v>306</v>
      </c>
      <c r="U240" t="s">
        <v>656</v>
      </c>
      <c r="V240">
        <v>5826475</v>
      </c>
      <c r="W240" t="s">
        <v>346</v>
      </c>
      <c r="X240">
        <v>0</v>
      </c>
      <c r="Y240" t="s">
        <v>50</v>
      </c>
      <c r="AD240" t="s">
        <v>306</v>
      </c>
      <c r="AI240" t="s">
        <v>306</v>
      </c>
      <c r="AN240" t="s">
        <v>306</v>
      </c>
      <c r="AO240" t="s">
        <v>491</v>
      </c>
      <c r="AP240">
        <v>106960</v>
      </c>
      <c r="AQ240" t="s">
        <v>346</v>
      </c>
      <c r="AR240">
        <v>0</v>
      </c>
      <c r="AS240" t="s">
        <v>80</v>
      </c>
      <c r="AX240" t="s">
        <v>306</v>
      </c>
      <c r="BC240" t="s">
        <v>306</v>
      </c>
      <c r="BD240" t="s">
        <v>1284</v>
      </c>
      <c r="BE240">
        <v>4235022</v>
      </c>
      <c r="BF240" t="s">
        <v>346</v>
      </c>
      <c r="BG240">
        <v>0.01</v>
      </c>
      <c r="BH240" t="s">
        <v>62</v>
      </c>
      <c r="BI240" t="s">
        <v>1595</v>
      </c>
      <c r="BJ240" t="s">
        <v>300</v>
      </c>
      <c r="BK240" t="s">
        <v>361</v>
      </c>
      <c r="BL240">
        <v>0</v>
      </c>
      <c r="BM240" t="s">
        <v>50</v>
      </c>
      <c r="BN240" t="s">
        <v>807</v>
      </c>
      <c r="BO240">
        <v>4553770</v>
      </c>
      <c r="BP240" t="s">
        <v>346</v>
      </c>
      <c r="BQ240">
        <v>0</v>
      </c>
      <c r="BR240" t="s">
        <v>50</v>
      </c>
      <c r="BS240" t="s">
        <v>861</v>
      </c>
      <c r="BT240">
        <v>5823548</v>
      </c>
      <c r="BU240" t="s">
        <v>346</v>
      </c>
      <c r="BV240">
        <v>0.01</v>
      </c>
      <c r="BW240" t="s">
        <v>50</v>
      </c>
      <c r="BX240" t="s">
        <v>656</v>
      </c>
      <c r="BY240">
        <v>5826475</v>
      </c>
      <c r="BZ240" t="s">
        <v>346</v>
      </c>
      <c r="CA240">
        <v>0</v>
      </c>
      <c r="CB240" t="s">
        <v>50</v>
      </c>
      <c r="CC240" t="s">
        <v>896</v>
      </c>
      <c r="CD240">
        <v>4272541</v>
      </c>
      <c r="CE240" t="s">
        <v>346</v>
      </c>
      <c r="CF240">
        <v>0.01</v>
      </c>
      <c r="CG240" t="s">
        <v>53</v>
      </c>
      <c r="CH240" t="s">
        <v>491</v>
      </c>
      <c r="CI240">
        <v>106960</v>
      </c>
      <c r="CJ240" t="s">
        <v>346</v>
      </c>
      <c r="CK240">
        <v>0</v>
      </c>
      <c r="CL240" t="s">
        <v>80</v>
      </c>
      <c r="CM240" t="s">
        <v>1316</v>
      </c>
      <c r="CN240">
        <v>4246573</v>
      </c>
      <c r="CO240" t="s">
        <v>346</v>
      </c>
      <c r="CP240">
        <v>0.01</v>
      </c>
      <c r="CQ240" t="s">
        <v>62</v>
      </c>
      <c r="CV240" t="s">
        <v>306</v>
      </c>
      <c r="DA240" t="s">
        <v>306</v>
      </c>
      <c r="DB240" t="s">
        <v>1284</v>
      </c>
      <c r="DC240">
        <v>4235022</v>
      </c>
      <c r="DD240" t="s">
        <v>346</v>
      </c>
      <c r="DE240">
        <v>0.01</v>
      </c>
      <c r="DF240" t="s">
        <v>62</v>
      </c>
      <c r="DK240" t="s">
        <v>306</v>
      </c>
      <c r="DL240" t="s">
        <v>1284</v>
      </c>
      <c r="DM240">
        <v>4235022</v>
      </c>
      <c r="DN240" t="s">
        <v>346</v>
      </c>
      <c r="DO240">
        <v>0.01</v>
      </c>
      <c r="DP240" t="s">
        <v>62</v>
      </c>
      <c r="DU240" t="s">
        <v>306</v>
      </c>
      <c r="DZ240" t="s">
        <v>306</v>
      </c>
      <c r="EA240" t="s">
        <v>896</v>
      </c>
      <c r="EB240">
        <v>4272541</v>
      </c>
      <c r="EC240" t="s">
        <v>346</v>
      </c>
      <c r="ED240">
        <v>0.01</v>
      </c>
      <c r="EE240" t="s">
        <v>53</v>
      </c>
      <c r="EF240" t="s">
        <v>1284</v>
      </c>
      <c r="EG240">
        <v>4235022</v>
      </c>
      <c r="EH240" t="s">
        <v>346</v>
      </c>
      <c r="EI240">
        <v>0.01</v>
      </c>
      <c r="EJ240" t="s">
        <v>62</v>
      </c>
      <c r="EO240" t="s">
        <v>306</v>
      </c>
      <c r="ET240" t="s">
        <v>306</v>
      </c>
      <c r="EY240" t="s">
        <v>306</v>
      </c>
      <c r="FD240" t="s">
        <v>306</v>
      </c>
      <c r="FI240" t="s">
        <v>306</v>
      </c>
      <c r="FN240" t="s">
        <v>306</v>
      </c>
      <c r="FS240" t="s">
        <v>306</v>
      </c>
      <c r="FX240" t="s">
        <v>306</v>
      </c>
      <c r="FY240" t="s">
        <v>1284</v>
      </c>
      <c r="FZ240">
        <v>4235022</v>
      </c>
      <c r="GA240" t="s">
        <v>346</v>
      </c>
      <c r="GB240">
        <v>0.01</v>
      </c>
      <c r="GC240" t="s">
        <v>62</v>
      </c>
      <c r="GH240" t="s">
        <v>306</v>
      </c>
      <c r="GM240" t="s">
        <v>306</v>
      </c>
      <c r="GR240" t="s">
        <v>306</v>
      </c>
      <c r="GS240" t="s">
        <v>807</v>
      </c>
      <c r="GT240">
        <v>4553770</v>
      </c>
      <c r="GU240" t="s">
        <v>346</v>
      </c>
      <c r="GV240">
        <v>0</v>
      </c>
      <c r="GW240" t="s">
        <v>50</v>
      </c>
      <c r="GX240" t="s">
        <v>896</v>
      </c>
      <c r="GY240">
        <v>4272541</v>
      </c>
      <c r="GZ240" t="s">
        <v>346</v>
      </c>
      <c r="HA240">
        <v>0.01</v>
      </c>
      <c r="HB240" t="s">
        <v>53</v>
      </c>
      <c r="HG240" t="s">
        <v>306</v>
      </c>
    </row>
    <row r="241" spans="5:215" x14ac:dyDescent="0.35">
      <c r="E241" t="s">
        <v>306</v>
      </c>
      <c r="F241" t="s">
        <v>624</v>
      </c>
      <c r="G241">
        <v>4138992</v>
      </c>
      <c r="H241" t="s">
        <v>346</v>
      </c>
      <c r="I241">
        <v>0</v>
      </c>
      <c r="J241" t="s">
        <v>80</v>
      </c>
      <c r="O241" t="s">
        <v>306</v>
      </c>
      <c r="T241" t="s">
        <v>306</v>
      </c>
      <c r="U241" t="s">
        <v>818</v>
      </c>
      <c r="V241">
        <v>5819977</v>
      </c>
      <c r="W241" t="s">
        <v>346</v>
      </c>
      <c r="X241">
        <v>0</v>
      </c>
      <c r="Y241" t="s">
        <v>50</v>
      </c>
      <c r="AD241" t="s">
        <v>306</v>
      </c>
      <c r="AI241" t="s">
        <v>306</v>
      </c>
      <c r="AN241" t="s">
        <v>306</v>
      </c>
      <c r="AO241" t="s">
        <v>1359</v>
      </c>
      <c r="AP241">
        <v>4213188</v>
      </c>
      <c r="AQ241" t="s">
        <v>346</v>
      </c>
      <c r="AR241">
        <v>0</v>
      </c>
      <c r="AS241" t="s">
        <v>62</v>
      </c>
      <c r="AX241" t="s">
        <v>306</v>
      </c>
      <c r="BC241" t="s">
        <v>306</v>
      </c>
      <c r="BD241" t="s">
        <v>491</v>
      </c>
      <c r="BE241">
        <v>106960</v>
      </c>
      <c r="BF241" t="s">
        <v>346</v>
      </c>
      <c r="BG241">
        <v>0.01</v>
      </c>
      <c r="BH241" t="s">
        <v>80</v>
      </c>
      <c r="BI241" t="s">
        <v>600</v>
      </c>
      <c r="BJ241">
        <v>4145203</v>
      </c>
      <c r="BK241" t="s">
        <v>346</v>
      </c>
      <c r="BL241">
        <v>0</v>
      </c>
      <c r="BM241" t="s">
        <v>53</v>
      </c>
      <c r="BN241" t="s">
        <v>1031</v>
      </c>
      <c r="BO241">
        <v>4212529</v>
      </c>
      <c r="BP241" t="s">
        <v>346</v>
      </c>
      <c r="BQ241">
        <v>0</v>
      </c>
      <c r="BR241" t="s">
        <v>2185</v>
      </c>
      <c r="BS241" t="s">
        <v>856</v>
      </c>
      <c r="BT241">
        <v>4141040</v>
      </c>
      <c r="BU241" t="s">
        <v>346</v>
      </c>
      <c r="BV241">
        <v>0.01</v>
      </c>
      <c r="BW241" t="s">
        <v>313</v>
      </c>
      <c r="BX241" t="s">
        <v>818</v>
      </c>
      <c r="BY241">
        <v>5819977</v>
      </c>
      <c r="BZ241" t="s">
        <v>346</v>
      </c>
      <c r="CA241">
        <v>0</v>
      </c>
      <c r="CB241" t="s">
        <v>50</v>
      </c>
      <c r="CC241" t="s">
        <v>480</v>
      </c>
      <c r="CD241">
        <v>4119651</v>
      </c>
      <c r="CE241" t="s">
        <v>346</v>
      </c>
      <c r="CF241">
        <v>0.01</v>
      </c>
      <c r="CG241" t="s">
        <v>53</v>
      </c>
      <c r="CH241" t="s">
        <v>1359</v>
      </c>
      <c r="CI241">
        <v>4213188</v>
      </c>
      <c r="CJ241" t="s">
        <v>346</v>
      </c>
      <c r="CK241">
        <v>0</v>
      </c>
      <c r="CL241" t="s">
        <v>62</v>
      </c>
      <c r="CM241" t="s">
        <v>1319</v>
      </c>
      <c r="CN241">
        <v>19910977</v>
      </c>
      <c r="CO241" t="s">
        <v>346</v>
      </c>
      <c r="CP241">
        <v>0.01</v>
      </c>
      <c r="CQ241" t="s">
        <v>62</v>
      </c>
      <c r="CV241" t="s">
        <v>306</v>
      </c>
      <c r="DA241" t="s">
        <v>306</v>
      </c>
      <c r="DB241" t="s">
        <v>491</v>
      </c>
      <c r="DC241">
        <v>106960</v>
      </c>
      <c r="DD241" t="s">
        <v>346</v>
      </c>
      <c r="DE241">
        <v>0.01</v>
      </c>
      <c r="DF241" t="s">
        <v>80</v>
      </c>
      <c r="DK241" t="s">
        <v>306</v>
      </c>
      <c r="DL241" t="s">
        <v>491</v>
      </c>
      <c r="DM241">
        <v>106960</v>
      </c>
      <c r="DN241" t="s">
        <v>346</v>
      </c>
      <c r="DO241">
        <v>0.01</v>
      </c>
      <c r="DP241" t="s">
        <v>80</v>
      </c>
      <c r="DU241" t="s">
        <v>306</v>
      </c>
      <c r="DZ241" t="s">
        <v>306</v>
      </c>
      <c r="EA241" t="s">
        <v>480</v>
      </c>
      <c r="EB241">
        <v>4119651</v>
      </c>
      <c r="EC241" t="s">
        <v>346</v>
      </c>
      <c r="ED241">
        <v>0.01</v>
      </c>
      <c r="EE241" t="s">
        <v>53</v>
      </c>
      <c r="EF241" t="s">
        <v>491</v>
      </c>
      <c r="EG241">
        <v>106960</v>
      </c>
      <c r="EH241" t="s">
        <v>346</v>
      </c>
      <c r="EI241">
        <v>0.01</v>
      </c>
      <c r="EJ241" t="s">
        <v>80</v>
      </c>
      <c r="EO241" t="s">
        <v>306</v>
      </c>
      <c r="ET241" t="s">
        <v>306</v>
      </c>
      <c r="EY241" t="s">
        <v>306</v>
      </c>
      <c r="FD241" t="s">
        <v>306</v>
      </c>
      <c r="FI241" t="s">
        <v>306</v>
      </c>
      <c r="FN241" t="s">
        <v>306</v>
      </c>
      <c r="FS241" t="s">
        <v>306</v>
      </c>
      <c r="FX241" t="s">
        <v>306</v>
      </c>
      <c r="FY241" t="s">
        <v>491</v>
      </c>
      <c r="FZ241">
        <v>106960</v>
      </c>
      <c r="GA241" t="s">
        <v>346</v>
      </c>
      <c r="GB241">
        <v>0.01</v>
      </c>
      <c r="GC241" t="s">
        <v>80</v>
      </c>
      <c r="GH241" t="s">
        <v>306</v>
      </c>
      <c r="GM241" t="s">
        <v>306</v>
      </c>
      <c r="GR241" t="s">
        <v>306</v>
      </c>
      <c r="GS241" t="s">
        <v>1031</v>
      </c>
      <c r="GT241">
        <v>4212529</v>
      </c>
      <c r="GU241" t="s">
        <v>346</v>
      </c>
      <c r="GV241">
        <v>0</v>
      </c>
      <c r="GW241" t="s">
        <v>2185</v>
      </c>
      <c r="GX241" t="s">
        <v>480</v>
      </c>
      <c r="GY241">
        <v>4119651</v>
      </c>
      <c r="GZ241" t="s">
        <v>346</v>
      </c>
      <c r="HA241">
        <v>0.01</v>
      </c>
      <c r="HB241" t="s">
        <v>53</v>
      </c>
      <c r="HG241" t="s">
        <v>306</v>
      </c>
    </row>
    <row r="242" spans="5:215" x14ac:dyDescent="0.35">
      <c r="E242" t="s">
        <v>306</v>
      </c>
      <c r="F242" t="s">
        <v>418</v>
      </c>
      <c r="G242">
        <v>109776</v>
      </c>
      <c r="H242" t="s">
        <v>346</v>
      </c>
      <c r="I242">
        <v>0</v>
      </c>
      <c r="J242" t="s">
        <v>53</v>
      </c>
      <c r="O242" t="s">
        <v>306</v>
      </c>
      <c r="T242" t="s">
        <v>306</v>
      </c>
      <c r="U242" t="s">
        <v>584</v>
      </c>
      <c r="V242">
        <v>4138797</v>
      </c>
      <c r="W242" t="s">
        <v>346</v>
      </c>
      <c r="X242">
        <v>0</v>
      </c>
      <c r="Y242" t="s">
        <v>326</v>
      </c>
      <c r="AD242" t="s">
        <v>306</v>
      </c>
      <c r="AI242" t="s">
        <v>306</v>
      </c>
      <c r="AN242" t="s">
        <v>306</v>
      </c>
      <c r="AO242" t="s">
        <v>1360</v>
      </c>
      <c r="AP242">
        <v>4337895</v>
      </c>
      <c r="AQ242" t="s">
        <v>364</v>
      </c>
      <c r="AR242">
        <v>0</v>
      </c>
      <c r="AS242" t="s">
        <v>53</v>
      </c>
      <c r="AX242" t="s">
        <v>306</v>
      </c>
      <c r="BC242" t="s">
        <v>306</v>
      </c>
      <c r="BD242" t="s">
        <v>425</v>
      </c>
      <c r="BE242">
        <v>4137704</v>
      </c>
      <c r="BF242" t="s">
        <v>346</v>
      </c>
      <c r="BG242">
        <v>0.01</v>
      </c>
      <c r="BH242" t="s">
        <v>304</v>
      </c>
      <c r="BI242" t="s">
        <v>575</v>
      </c>
      <c r="BJ242">
        <v>4575993</v>
      </c>
      <c r="BK242" t="s">
        <v>346</v>
      </c>
      <c r="BL242">
        <v>0</v>
      </c>
      <c r="BM242" t="s">
        <v>80</v>
      </c>
      <c r="BN242" t="s">
        <v>1038</v>
      </c>
      <c r="BO242">
        <v>4137587</v>
      </c>
      <c r="BP242" t="s">
        <v>346</v>
      </c>
      <c r="BQ242">
        <v>0</v>
      </c>
      <c r="BR242" t="s">
        <v>2193</v>
      </c>
      <c r="BS242" t="s">
        <v>996</v>
      </c>
      <c r="BT242">
        <v>4314411</v>
      </c>
      <c r="BU242" t="s">
        <v>346</v>
      </c>
      <c r="BV242">
        <v>0.01</v>
      </c>
      <c r="BW242" t="s">
        <v>321</v>
      </c>
      <c r="BX242" t="s">
        <v>584</v>
      </c>
      <c r="BY242">
        <v>4138797</v>
      </c>
      <c r="BZ242" t="s">
        <v>346</v>
      </c>
      <c r="CA242">
        <v>0</v>
      </c>
      <c r="CB242" t="s">
        <v>326</v>
      </c>
      <c r="CC242" t="s">
        <v>403</v>
      </c>
      <c r="CD242">
        <v>4033550</v>
      </c>
      <c r="CE242" t="s">
        <v>346</v>
      </c>
      <c r="CF242">
        <v>0.01</v>
      </c>
      <c r="CG242" t="s">
        <v>53</v>
      </c>
      <c r="CH242" t="s">
        <v>1360</v>
      </c>
      <c r="CI242">
        <v>4337895</v>
      </c>
      <c r="CJ242" t="s">
        <v>364</v>
      </c>
      <c r="CK242">
        <v>0</v>
      </c>
      <c r="CL242" t="s">
        <v>53</v>
      </c>
      <c r="CM242" t="s">
        <v>551</v>
      </c>
      <c r="CN242">
        <v>4137681</v>
      </c>
      <c r="CO242" t="s">
        <v>346</v>
      </c>
      <c r="CP242">
        <v>0.01</v>
      </c>
      <c r="CQ242" t="s">
        <v>50</v>
      </c>
      <c r="CV242" t="s">
        <v>306</v>
      </c>
      <c r="DA242" t="s">
        <v>306</v>
      </c>
      <c r="DB242" t="s">
        <v>425</v>
      </c>
      <c r="DC242">
        <v>4137704</v>
      </c>
      <c r="DD242" t="s">
        <v>346</v>
      </c>
      <c r="DE242">
        <v>0.01</v>
      </c>
      <c r="DF242" t="s">
        <v>304</v>
      </c>
      <c r="DK242" t="s">
        <v>306</v>
      </c>
      <c r="DL242" t="s">
        <v>425</v>
      </c>
      <c r="DM242">
        <v>4137704</v>
      </c>
      <c r="DN242" t="s">
        <v>346</v>
      </c>
      <c r="DO242">
        <v>0.01</v>
      </c>
      <c r="DP242" t="s">
        <v>304</v>
      </c>
      <c r="DU242" t="s">
        <v>306</v>
      </c>
      <c r="DZ242" t="s">
        <v>306</v>
      </c>
      <c r="EA242" t="s">
        <v>403</v>
      </c>
      <c r="EB242">
        <v>4033550</v>
      </c>
      <c r="EC242" t="s">
        <v>346</v>
      </c>
      <c r="ED242">
        <v>0.01</v>
      </c>
      <c r="EE242" t="s">
        <v>53</v>
      </c>
      <c r="EF242" t="s">
        <v>425</v>
      </c>
      <c r="EG242">
        <v>4137704</v>
      </c>
      <c r="EH242" t="s">
        <v>346</v>
      </c>
      <c r="EI242">
        <v>0.01</v>
      </c>
      <c r="EJ242" t="s">
        <v>304</v>
      </c>
      <c r="EO242" t="s">
        <v>306</v>
      </c>
      <c r="ET242" t="s">
        <v>306</v>
      </c>
      <c r="EY242" t="s">
        <v>306</v>
      </c>
      <c r="FD242" t="s">
        <v>306</v>
      </c>
      <c r="FI242" t="s">
        <v>306</v>
      </c>
      <c r="FN242" t="s">
        <v>306</v>
      </c>
      <c r="FS242" t="s">
        <v>306</v>
      </c>
      <c r="FX242" t="s">
        <v>306</v>
      </c>
      <c r="FY242" t="s">
        <v>425</v>
      </c>
      <c r="FZ242">
        <v>4137704</v>
      </c>
      <c r="GA242" t="s">
        <v>346</v>
      </c>
      <c r="GB242">
        <v>0.01</v>
      </c>
      <c r="GC242" t="s">
        <v>304</v>
      </c>
      <c r="GH242" t="s">
        <v>306</v>
      </c>
      <c r="GM242" t="s">
        <v>306</v>
      </c>
      <c r="GR242" t="s">
        <v>306</v>
      </c>
      <c r="GS242" t="s">
        <v>1038</v>
      </c>
      <c r="GT242">
        <v>4137587</v>
      </c>
      <c r="GU242" t="s">
        <v>346</v>
      </c>
      <c r="GV242">
        <v>0</v>
      </c>
      <c r="GW242" t="s">
        <v>2193</v>
      </c>
      <c r="GX242" t="s">
        <v>403</v>
      </c>
      <c r="GY242">
        <v>4033550</v>
      </c>
      <c r="GZ242" t="s">
        <v>346</v>
      </c>
      <c r="HA242">
        <v>0.01</v>
      </c>
      <c r="HB242" t="s">
        <v>53</v>
      </c>
      <c r="HG242" t="s">
        <v>306</v>
      </c>
    </row>
    <row r="243" spans="5:215" x14ac:dyDescent="0.35">
      <c r="E243" t="s">
        <v>306</v>
      </c>
      <c r="F243" t="s">
        <v>625</v>
      </c>
      <c r="G243">
        <v>111206</v>
      </c>
      <c r="H243" t="s">
        <v>346</v>
      </c>
      <c r="I243">
        <v>0</v>
      </c>
      <c r="J243" t="s">
        <v>53</v>
      </c>
      <c r="O243" t="s">
        <v>306</v>
      </c>
      <c r="T243" t="s">
        <v>306</v>
      </c>
      <c r="U243" t="s">
        <v>819</v>
      </c>
      <c r="V243">
        <v>108037678</v>
      </c>
      <c r="W243" t="s">
        <v>346</v>
      </c>
      <c r="X243">
        <v>0</v>
      </c>
      <c r="Y243" t="s">
        <v>50</v>
      </c>
      <c r="AD243" t="s">
        <v>306</v>
      </c>
      <c r="AI243" t="s">
        <v>306</v>
      </c>
      <c r="AN243" t="s">
        <v>306</v>
      </c>
      <c r="AO243" t="s">
        <v>526</v>
      </c>
      <c r="AP243">
        <v>4248288</v>
      </c>
      <c r="AQ243" t="s">
        <v>346</v>
      </c>
      <c r="AR243">
        <v>0</v>
      </c>
      <c r="AS243" t="s">
        <v>80</v>
      </c>
      <c r="AX243" t="s">
        <v>306</v>
      </c>
      <c r="BC243" t="s">
        <v>306</v>
      </c>
      <c r="BD243" t="s">
        <v>1283</v>
      </c>
      <c r="BE243">
        <v>19723341</v>
      </c>
      <c r="BF243" t="s">
        <v>346</v>
      </c>
      <c r="BG243">
        <v>0.01</v>
      </c>
      <c r="BH243" t="s">
        <v>62</v>
      </c>
      <c r="BI243" t="s">
        <v>580</v>
      </c>
      <c r="BJ243">
        <v>4037402</v>
      </c>
      <c r="BK243" t="s">
        <v>346</v>
      </c>
      <c r="BL243">
        <v>0</v>
      </c>
      <c r="BM243" t="s">
        <v>53</v>
      </c>
      <c r="BN243" t="s">
        <v>671</v>
      </c>
      <c r="BO243">
        <v>5862433</v>
      </c>
      <c r="BP243" t="s">
        <v>346</v>
      </c>
      <c r="BQ243">
        <v>0</v>
      </c>
      <c r="BR243" t="s">
        <v>326</v>
      </c>
      <c r="BS243" t="s">
        <v>997</v>
      </c>
      <c r="BT243">
        <v>4430994</v>
      </c>
      <c r="BU243" t="s">
        <v>346</v>
      </c>
      <c r="BV243">
        <v>0.01</v>
      </c>
      <c r="BW243" t="s">
        <v>326</v>
      </c>
      <c r="BX243" t="s">
        <v>819</v>
      </c>
      <c r="BY243">
        <v>108037678</v>
      </c>
      <c r="BZ243" t="s">
        <v>346</v>
      </c>
      <c r="CA243">
        <v>0</v>
      </c>
      <c r="CB243" t="s">
        <v>50</v>
      </c>
      <c r="CC243" t="s">
        <v>437</v>
      </c>
      <c r="CD243">
        <v>4102073</v>
      </c>
      <c r="CE243" t="s">
        <v>346</v>
      </c>
      <c r="CF243">
        <v>0.01</v>
      </c>
      <c r="CG243" t="s">
        <v>53</v>
      </c>
      <c r="CH243" t="s">
        <v>526</v>
      </c>
      <c r="CI243">
        <v>4248288</v>
      </c>
      <c r="CJ243" t="s">
        <v>346</v>
      </c>
      <c r="CK243">
        <v>0</v>
      </c>
      <c r="CL243" t="s">
        <v>80</v>
      </c>
      <c r="CM243" t="s">
        <v>403</v>
      </c>
      <c r="CN243">
        <v>4033550</v>
      </c>
      <c r="CO243" t="s">
        <v>346</v>
      </c>
      <c r="CP243">
        <v>0.01</v>
      </c>
      <c r="CQ243" t="s">
        <v>53</v>
      </c>
      <c r="CV243" t="s">
        <v>306</v>
      </c>
      <c r="DA243" t="s">
        <v>306</v>
      </c>
      <c r="DB243" t="s">
        <v>1283</v>
      </c>
      <c r="DC243">
        <v>19723341</v>
      </c>
      <c r="DD243" t="s">
        <v>346</v>
      </c>
      <c r="DE243">
        <v>0.01</v>
      </c>
      <c r="DF243" t="s">
        <v>62</v>
      </c>
      <c r="DK243" t="s">
        <v>306</v>
      </c>
      <c r="DL243" t="s">
        <v>1283</v>
      </c>
      <c r="DM243">
        <v>19723341</v>
      </c>
      <c r="DN243" t="s">
        <v>346</v>
      </c>
      <c r="DO243">
        <v>0.01</v>
      </c>
      <c r="DP243" t="s">
        <v>62</v>
      </c>
      <c r="DU243" t="s">
        <v>306</v>
      </c>
      <c r="DZ243" t="s">
        <v>306</v>
      </c>
      <c r="EA243" t="s">
        <v>437</v>
      </c>
      <c r="EB243">
        <v>4102073</v>
      </c>
      <c r="EC243" t="s">
        <v>346</v>
      </c>
      <c r="ED243">
        <v>0.01</v>
      </c>
      <c r="EE243" t="s">
        <v>53</v>
      </c>
      <c r="EF243" t="s">
        <v>1283</v>
      </c>
      <c r="EG243">
        <v>19723341</v>
      </c>
      <c r="EH243" t="s">
        <v>346</v>
      </c>
      <c r="EI243">
        <v>0.01</v>
      </c>
      <c r="EJ243" t="s">
        <v>62</v>
      </c>
      <c r="EO243" t="s">
        <v>306</v>
      </c>
      <c r="ET243" t="s">
        <v>306</v>
      </c>
      <c r="EY243" t="s">
        <v>306</v>
      </c>
      <c r="FD243" t="s">
        <v>306</v>
      </c>
      <c r="FI243" t="s">
        <v>306</v>
      </c>
      <c r="FN243" t="s">
        <v>306</v>
      </c>
      <c r="FS243" t="s">
        <v>306</v>
      </c>
      <c r="FX243" t="s">
        <v>306</v>
      </c>
      <c r="FY243" t="s">
        <v>1283</v>
      </c>
      <c r="FZ243">
        <v>19723341</v>
      </c>
      <c r="GA243" t="s">
        <v>346</v>
      </c>
      <c r="GB243">
        <v>0.01</v>
      </c>
      <c r="GC243" t="s">
        <v>62</v>
      </c>
      <c r="GH243" t="s">
        <v>306</v>
      </c>
      <c r="GM243" t="s">
        <v>306</v>
      </c>
      <c r="GR243" t="s">
        <v>306</v>
      </c>
      <c r="GS243" t="s">
        <v>671</v>
      </c>
      <c r="GT243">
        <v>5862433</v>
      </c>
      <c r="GU243" t="s">
        <v>346</v>
      </c>
      <c r="GV243">
        <v>0</v>
      </c>
      <c r="GW243" t="s">
        <v>326</v>
      </c>
      <c r="GX243" t="s">
        <v>437</v>
      </c>
      <c r="GY243">
        <v>4102073</v>
      </c>
      <c r="GZ243" t="s">
        <v>346</v>
      </c>
      <c r="HA243">
        <v>0.01</v>
      </c>
      <c r="HB243" t="s">
        <v>53</v>
      </c>
      <c r="HG243" t="s">
        <v>306</v>
      </c>
    </row>
    <row r="244" spans="5:215" x14ac:dyDescent="0.35">
      <c r="E244" t="s">
        <v>306</v>
      </c>
      <c r="F244" t="s">
        <v>626</v>
      </c>
      <c r="G244">
        <v>4035337</v>
      </c>
      <c r="H244" t="s">
        <v>346</v>
      </c>
      <c r="I244">
        <v>0</v>
      </c>
      <c r="J244" t="s">
        <v>53</v>
      </c>
      <c r="O244" t="s">
        <v>306</v>
      </c>
      <c r="T244" t="s">
        <v>306</v>
      </c>
      <c r="U244" t="s">
        <v>603</v>
      </c>
      <c r="V244">
        <v>110641</v>
      </c>
      <c r="W244" t="s">
        <v>346</v>
      </c>
      <c r="X244">
        <v>0</v>
      </c>
      <c r="Y244" t="s">
        <v>53</v>
      </c>
      <c r="AD244" t="s">
        <v>306</v>
      </c>
      <c r="AI244" t="s">
        <v>306</v>
      </c>
      <c r="AN244" t="s">
        <v>306</v>
      </c>
      <c r="AO244" t="s">
        <v>517</v>
      </c>
      <c r="AP244">
        <v>111097</v>
      </c>
      <c r="AQ244" t="s">
        <v>346</v>
      </c>
      <c r="AR244">
        <v>0</v>
      </c>
      <c r="AS244" t="s">
        <v>53</v>
      </c>
      <c r="AX244" t="s">
        <v>306</v>
      </c>
      <c r="BC244" t="s">
        <v>306</v>
      </c>
      <c r="BD244" t="s">
        <v>1464</v>
      </c>
      <c r="BE244">
        <v>4066487</v>
      </c>
      <c r="BF244" t="s">
        <v>346</v>
      </c>
      <c r="BG244">
        <v>0.01</v>
      </c>
      <c r="BH244" t="s">
        <v>53</v>
      </c>
      <c r="BI244" t="s">
        <v>1596</v>
      </c>
      <c r="BJ244" t="s">
        <v>300</v>
      </c>
      <c r="BK244" t="s">
        <v>361</v>
      </c>
      <c r="BL244">
        <v>0</v>
      </c>
      <c r="BM244" t="s">
        <v>50</v>
      </c>
      <c r="BN244" t="s">
        <v>628</v>
      </c>
      <c r="BO244">
        <v>4289501</v>
      </c>
      <c r="BP244" t="s">
        <v>346</v>
      </c>
      <c r="BQ244">
        <v>0</v>
      </c>
      <c r="BR244" t="s">
        <v>313</v>
      </c>
      <c r="BS244" t="s">
        <v>998</v>
      </c>
      <c r="BT244">
        <v>5753419</v>
      </c>
      <c r="BU244" t="s">
        <v>346</v>
      </c>
      <c r="BV244">
        <v>0.01</v>
      </c>
      <c r="BW244" t="s">
        <v>320</v>
      </c>
      <c r="BX244" t="s">
        <v>603</v>
      </c>
      <c r="BY244">
        <v>110641</v>
      </c>
      <c r="BZ244" t="s">
        <v>346</v>
      </c>
      <c r="CA244">
        <v>0</v>
      </c>
      <c r="CB244" t="s">
        <v>53</v>
      </c>
      <c r="CC244" t="s">
        <v>1207</v>
      </c>
      <c r="CD244">
        <v>5855000</v>
      </c>
      <c r="CE244" t="s">
        <v>346</v>
      </c>
      <c r="CF244">
        <v>0.01</v>
      </c>
      <c r="CG244" t="s">
        <v>2185</v>
      </c>
      <c r="CH244" t="s">
        <v>517</v>
      </c>
      <c r="CI244">
        <v>111097</v>
      </c>
      <c r="CJ244" t="s">
        <v>346</v>
      </c>
      <c r="CK244">
        <v>0</v>
      </c>
      <c r="CL244" t="s">
        <v>53</v>
      </c>
      <c r="CM244" t="s">
        <v>1220</v>
      </c>
      <c r="CN244">
        <v>4218892</v>
      </c>
      <c r="CO244" t="s">
        <v>346</v>
      </c>
      <c r="CP244">
        <v>0.01</v>
      </c>
      <c r="CQ244" t="s">
        <v>53</v>
      </c>
      <c r="CV244" t="s">
        <v>306</v>
      </c>
      <c r="DA244" t="s">
        <v>306</v>
      </c>
      <c r="DB244" t="s">
        <v>1464</v>
      </c>
      <c r="DC244">
        <v>4066487</v>
      </c>
      <c r="DD244" t="s">
        <v>346</v>
      </c>
      <c r="DE244">
        <v>0.01</v>
      </c>
      <c r="DF244" t="s">
        <v>53</v>
      </c>
      <c r="DK244" t="s">
        <v>306</v>
      </c>
      <c r="DL244" t="s">
        <v>1464</v>
      </c>
      <c r="DM244">
        <v>4066487</v>
      </c>
      <c r="DN244" t="s">
        <v>346</v>
      </c>
      <c r="DO244">
        <v>0.01</v>
      </c>
      <c r="DP244" t="s">
        <v>53</v>
      </c>
      <c r="DU244" t="s">
        <v>306</v>
      </c>
      <c r="DZ244" t="s">
        <v>306</v>
      </c>
      <c r="EA244" t="s">
        <v>1207</v>
      </c>
      <c r="EB244">
        <v>5855000</v>
      </c>
      <c r="EC244" t="s">
        <v>346</v>
      </c>
      <c r="ED244">
        <v>0.01</v>
      </c>
      <c r="EE244" t="s">
        <v>2185</v>
      </c>
      <c r="EF244" t="s">
        <v>1464</v>
      </c>
      <c r="EG244">
        <v>4066487</v>
      </c>
      <c r="EH244" t="s">
        <v>346</v>
      </c>
      <c r="EI244">
        <v>0.01</v>
      </c>
      <c r="EJ244" t="s">
        <v>53</v>
      </c>
      <c r="EO244" t="s">
        <v>306</v>
      </c>
      <c r="ET244" t="s">
        <v>306</v>
      </c>
      <c r="EY244" t="s">
        <v>306</v>
      </c>
      <c r="FD244" t="s">
        <v>306</v>
      </c>
      <c r="FI244" t="s">
        <v>306</v>
      </c>
      <c r="FN244" t="s">
        <v>306</v>
      </c>
      <c r="FS244" t="s">
        <v>306</v>
      </c>
      <c r="FX244" t="s">
        <v>306</v>
      </c>
      <c r="FY244" t="s">
        <v>1464</v>
      </c>
      <c r="FZ244">
        <v>4066487</v>
      </c>
      <c r="GA244" t="s">
        <v>346</v>
      </c>
      <c r="GB244">
        <v>0.01</v>
      </c>
      <c r="GC244" t="s">
        <v>53</v>
      </c>
      <c r="GH244" t="s">
        <v>306</v>
      </c>
      <c r="GM244" t="s">
        <v>306</v>
      </c>
      <c r="GR244" t="s">
        <v>306</v>
      </c>
      <c r="GS244" t="s">
        <v>628</v>
      </c>
      <c r="GT244">
        <v>4289501</v>
      </c>
      <c r="GU244" t="s">
        <v>346</v>
      </c>
      <c r="GV244">
        <v>0</v>
      </c>
      <c r="GW244" t="s">
        <v>313</v>
      </c>
      <c r="GX244" t="s">
        <v>1207</v>
      </c>
      <c r="GY244">
        <v>5855000</v>
      </c>
      <c r="GZ244" t="s">
        <v>346</v>
      </c>
      <c r="HA244">
        <v>0.01</v>
      </c>
      <c r="HB244" t="s">
        <v>2185</v>
      </c>
      <c r="HG244" t="s">
        <v>306</v>
      </c>
    </row>
    <row r="245" spans="5:215" x14ac:dyDescent="0.35">
      <c r="E245" t="s">
        <v>306</v>
      </c>
      <c r="F245" t="s">
        <v>627</v>
      </c>
      <c r="G245">
        <v>4566684</v>
      </c>
      <c r="H245" t="s">
        <v>346</v>
      </c>
      <c r="I245">
        <v>0</v>
      </c>
      <c r="J245" t="s">
        <v>53</v>
      </c>
      <c r="O245" t="s">
        <v>306</v>
      </c>
      <c r="T245" t="s">
        <v>306</v>
      </c>
      <c r="U245" t="s">
        <v>820</v>
      </c>
      <c r="V245">
        <v>4240804</v>
      </c>
      <c r="W245" t="s">
        <v>346</v>
      </c>
      <c r="X245">
        <v>0</v>
      </c>
      <c r="Y245" t="s">
        <v>2191</v>
      </c>
      <c r="AD245" t="s">
        <v>306</v>
      </c>
      <c r="AI245" t="s">
        <v>306</v>
      </c>
      <c r="AN245" t="s">
        <v>306</v>
      </c>
      <c r="AO245" t="s">
        <v>569</v>
      </c>
      <c r="AP245">
        <v>4332220</v>
      </c>
      <c r="AQ245" t="s">
        <v>346</v>
      </c>
      <c r="AR245">
        <v>0</v>
      </c>
      <c r="AS245" t="s">
        <v>53</v>
      </c>
      <c r="AX245" t="s">
        <v>306</v>
      </c>
      <c r="BC245" t="s">
        <v>306</v>
      </c>
      <c r="BD245" t="s">
        <v>1465</v>
      </c>
      <c r="BE245">
        <v>4140473</v>
      </c>
      <c r="BF245" t="s">
        <v>346</v>
      </c>
      <c r="BG245">
        <v>0.01</v>
      </c>
      <c r="BH245" t="s">
        <v>313</v>
      </c>
      <c r="BI245" t="s">
        <v>1597</v>
      </c>
      <c r="BJ245" t="s">
        <v>300</v>
      </c>
      <c r="BK245" t="s">
        <v>361</v>
      </c>
      <c r="BL245">
        <v>0</v>
      </c>
      <c r="BM245" t="s">
        <v>50</v>
      </c>
      <c r="BN245" t="s">
        <v>844</v>
      </c>
      <c r="BO245">
        <v>4139779</v>
      </c>
      <c r="BP245" t="s">
        <v>346</v>
      </c>
      <c r="BQ245">
        <v>0</v>
      </c>
      <c r="BR245" t="s">
        <v>2179</v>
      </c>
      <c r="BS245" t="s">
        <v>412</v>
      </c>
      <c r="BT245">
        <v>109687</v>
      </c>
      <c r="BU245" t="s">
        <v>346</v>
      </c>
      <c r="BV245">
        <v>0.01</v>
      </c>
      <c r="BW245" t="s">
        <v>53</v>
      </c>
      <c r="BX245" t="s">
        <v>820</v>
      </c>
      <c r="BY245">
        <v>4240804</v>
      </c>
      <c r="BZ245" t="s">
        <v>346</v>
      </c>
      <c r="CA245">
        <v>0</v>
      </c>
      <c r="CB245" t="s">
        <v>2191</v>
      </c>
      <c r="CC245" t="s">
        <v>716</v>
      </c>
      <c r="CD245">
        <v>4310789</v>
      </c>
      <c r="CE245" t="s">
        <v>346</v>
      </c>
      <c r="CF245">
        <v>0.01</v>
      </c>
      <c r="CG245" t="s">
        <v>317</v>
      </c>
      <c r="CH245" t="s">
        <v>569</v>
      </c>
      <c r="CI245">
        <v>4332220</v>
      </c>
      <c r="CJ245" t="s">
        <v>346</v>
      </c>
      <c r="CK245">
        <v>0</v>
      </c>
      <c r="CL245" t="s">
        <v>53</v>
      </c>
      <c r="CM245" t="s">
        <v>2005</v>
      </c>
      <c r="CN245" t="s">
        <v>300</v>
      </c>
      <c r="CO245" t="s">
        <v>361</v>
      </c>
      <c r="CP245">
        <v>0.01</v>
      </c>
      <c r="CQ245" t="s">
        <v>50</v>
      </c>
      <c r="CV245" t="s">
        <v>306</v>
      </c>
      <c r="DA245" t="s">
        <v>306</v>
      </c>
      <c r="DB245" t="s">
        <v>1465</v>
      </c>
      <c r="DC245">
        <v>4140473</v>
      </c>
      <c r="DD245" t="s">
        <v>346</v>
      </c>
      <c r="DE245">
        <v>0.01</v>
      </c>
      <c r="DF245" t="s">
        <v>313</v>
      </c>
      <c r="DK245" t="s">
        <v>306</v>
      </c>
      <c r="DL245" t="s">
        <v>1465</v>
      </c>
      <c r="DM245">
        <v>4140473</v>
      </c>
      <c r="DN245" t="s">
        <v>346</v>
      </c>
      <c r="DO245">
        <v>0.01</v>
      </c>
      <c r="DP245" t="s">
        <v>313</v>
      </c>
      <c r="DU245" t="s">
        <v>306</v>
      </c>
      <c r="DZ245" t="s">
        <v>306</v>
      </c>
      <c r="EA245" t="s">
        <v>716</v>
      </c>
      <c r="EB245">
        <v>4310789</v>
      </c>
      <c r="EC245" t="s">
        <v>346</v>
      </c>
      <c r="ED245">
        <v>0.01</v>
      </c>
      <c r="EE245" t="s">
        <v>317</v>
      </c>
      <c r="EF245" t="s">
        <v>1465</v>
      </c>
      <c r="EG245">
        <v>4140473</v>
      </c>
      <c r="EH245" t="s">
        <v>346</v>
      </c>
      <c r="EI245">
        <v>0.01</v>
      </c>
      <c r="EJ245" t="s">
        <v>313</v>
      </c>
      <c r="EO245" t="s">
        <v>306</v>
      </c>
      <c r="ET245" t="s">
        <v>306</v>
      </c>
      <c r="EY245" t="s">
        <v>306</v>
      </c>
      <c r="FD245" t="s">
        <v>306</v>
      </c>
      <c r="FI245" t="s">
        <v>306</v>
      </c>
      <c r="FN245" t="s">
        <v>306</v>
      </c>
      <c r="FS245" t="s">
        <v>306</v>
      </c>
      <c r="FX245" t="s">
        <v>306</v>
      </c>
      <c r="FY245" t="s">
        <v>1465</v>
      </c>
      <c r="FZ245">
        <v>4140473</v>
      </c>
      <c r="GA245" t="s">
        <v>346</v>
      </c>
      <c r="GB245">
        <v>0.01</v>
      </c>
      <c r="GC245" t="s">
        <v>313</v>
      </c>
      <c r="GH245" t="s">
        <v>306</v>
      </c>
      <c r="GM245" t="s">
        <v>306</v>
      </c>
      <c r="GR245" t="s">
        <v>306</v>
      </c>
      <c r="GS245" t="s">
        <v>844</v>
      </c>
      <c r="GT245">
        <v>4139779</v>
      </c>
      <c r="GU245" t="s">
        <v>346</v>
      </c>
      <c r="GV245">
        <v>0</v>
      </c>
      <c r="GW245" t="s">
        <v>2179</v>
      </c>
      <c r="GX245" t="s">
        <v>716</v>
      </c>
      <c r="GY245">
        <v>4310789</v>
      </c>
      <c r="GZ245" t="s">
        <v>346</v>
      </c>
      <c r="HA245">
        <v>0.01</v>
      </c>
      <c r="HB245" t="s">
        <v>317</v>
      </c>
      <c r="HG245" t="s">
        <v>306</v>
      </c>
    </row>
    <row r="246" spans="5:215" x14ac:dyDescent="0.35">
      <c r="E246" t="s">
        <v>306</v>
      </c>
      <c r="F246" t="s">
        <v>628</v>
      </c>
      <c r="G246">
        <v>4289501</v>
      </c>
      <c r="H246" t="s">
        <v>346</v>
      </c>
      <c r="I246">
        <v>0</v>
      </c>
      <c r="J246" t="s">
        <v>313</v>
      </c>
      <c r="O246" t="s">
        <v>306</v>
      </c>
      <c r="T246" t="s">
        <v>306</v>
      </c>
      <c r="U246" t="s">
        <v>408</v>
      </c>
      <c r="V246">
        <v>4138917</v>
      </c>
      <c r="W246" t="s">
        <v>346</v>
      </c>
      <c r="X246">
        <v>0</v>
      </c>
      <c r="Y246" t="s">
        <v>125</v>
      </c>
      <c r="AD246" t="s">
        <v>306</v>
      </c>
      <c r="AI246" t="s">
        <v>306</v>
      </c>
      <c r="AN246" t="s">
        <v>306</v>
      </c>
      <c r="AO246" t="s">
        <v>1361</v>
      </c>
      <c r="AP246">
        <v>4142020</v>
      </c>
      <c r="AQ246" t="s">
        <v>346</v>
      </c>
      <c r="AR246">
        <v>0</v>
      </c>
      <c r="AS246" t="s">
        <v>2179</v>
      </c>
      <c r="AX246" t="s">
        <v>306</v>
      </c>
      <c r="BC246" t="s">
        <v>306</v>
      </c>
      <c r="BD246" t="s">
        <v>1466</v>
      </c>
      <c r="BE246">
        <v>4139354</v>
      </c>
      <c r="BF246" t="s">
        <v>346</v>
      </c>
      <c r="BG246">
        <v>0.01</v>
      </c>
      <c r="BH246" t="s">
        <v>313</v>
      </c>
      <c r="BI246" t="s">
        <v>454</v>
      </c>
      <c r="BJ246">
        <v>4145691</v>
      </c>
      <c r="BK246" t="s">
        <v>346</v>
      </c>
      <c r="BL246">
        <v>0</v>
      </c>
      <c r="BM246" t="s">
        <v>53</v>
      </c>
      <c r="BN246" t="s">
        <v>391</v>
      </c>
      <c r="BO246">
        <v>13582910</v>
      </c>
      <c r="BP246" t="s">
        <v>346</v>
      </c>
      <c r="BQ246">
        <v>0</v>
      </c>
      <c r="BR246" t="s">
        <v>317</v>
      </c>
      <c r="BS246" t="s">
        <v>445</v>
      </c>
      <c r="BT246">
        <v>4241120</v>
      </c>
      <c r="BU246" t="s">
        <v>346</v>
      </c>
      <c r="BV246">
        <v>0.01</v>
      </c>
      <c r="BW246" t="s">
        <v>2191</v>
      </c>
      <c r="BX246" t="s">
        <v>408</v>
      </c>
      <c r="BY246">
        <v>4138917</v>
      </c>
      <c r="BZ246" t="s">
        <v>346</v>
      </c>
      <c r="CA246">
        <v>0</v>
      </c>
      <c r="CB246" t="s">
        <v>125</v>
      </c>
      <c r="CC246" t="s">
        <v>1717</v>
      </c>
      <c r="CD246">
        <v>4117421</v>
      </c>
      <c r="CE246" t="s">
        <v>346</v>
      </c>
      <c r="CF246">
        <v>0.01</v>
      </c>
      <c r="CG246" t="s">
        <v>53</v>
      </c>
      <c r="CH246" t="s">
        <v>1361</v>
      </c>
      <c r="CI246">
        <v>4142020</v>
      </c>
      <c r="CJ246" t="s">
        <v>346</v>
      </c>
      <c r="CK246">
        <v>0</v>
      </c>
      <c r="CL246" t="s">
        <v>2179</v>
      </c>
      <c r="CM246" t="s">
        <v>2006</v>
      </c>
      <c r="CN246">
        <v>4186534</v>
      </c>
      <c r="CO246" t="s">
        <v>346</v>
      </c>
      <c r="CP246">
        <v>0.01</v>
      </c>
      <c r="CQ246" t="s">
        <v>53</v>
      </c>
      <c r="CV246" t="s">
        <v>306</v>
      </c>
      <c r="DA246" t="s">
        <v>306</v>
      </c>
      <c r="DB246" t="s">
        <v>1466</v>
      </c>
      <c r="DC246">
        <v>4139354</v>
      </c>
      <c r="DD246" t="s">
        <v>346</v>
      </c>
      <c r="DE246">
        <v>0.01</v>
      </c>
      <c r="DF246" t="s">
        <v>313</v>
      </c>
      <c r="DK246" t="s">
        <v>306</v>
      </c>
      <c r="DL246" t="s">
        <v>1466</v>
      </c>
      <c r="DM246">
        <v>4139354</v>
      </c>
      <c r="DN246" t="s">
        <v>346</v>
      </c>
      <c r="DO246">
        <v>0.01</v>
      </c>
      <c r="DP246" t="s">
        <v>313</v>
      </c>
      <c r="DU246" t="s">
        <v>306</v>
      </c>
      <c r="DZ246" t="s">
        <v>306</v>
      </c>
      <c r="EA246" t="s">
        <v>1717</v>
      </c>
      <c r="EB246">
        <v>4117421</v>
      </c>
      <c r="EC246" t="s">
        <v>346</v>
      </c>
      <c r="ED246">
        <v>0.01</v>
      </c>
      <c r="EE246" t="s">
        <v>53</v>
      </c>
      <c r="EF246" t="s">
        <v>1466</v>
      </c>
      <c r="EG246">
        <v>4139354</v>
      </c>
      <c r="EH246" t="s">
        <v>346</v>
      </c>
      <c r="EI246">
        <v>0.01</v>
      </c>
      <c r="EJ246" t="s">
        <v>313</v>
      </c>
      <c r="EO246" t="s">
        <v>306</v>
      </c>
      <c r="ET246" t="s">
        <v>306</v>
      </c>
      <c r="EY246" t="s">
        <v>306</v>
      </c>
      <c r="FD246" t="s">
        <v>306</v>
      </c>
      <c r="FI246" t="s">
        <v>306</v>
      </c>
      <c r="FN246" t="s">
        <v>306</v>
      </c>
      <c r="FS246" t="s">
        <v>306</v>
      </c>
      <c r="FX246" t="s">
        <v>306</v>
      </c>
      <c r="FY246" t="s">
        <v>1466</v>
      </c>
      <c r="FZ246">
        <v>4139354</v>
      </c>
      <c r="GA246" t="s">
        <v>346</v>
      </c>
      <c r="GB246">
        <v>0.01</v>
      </c>
      <c r="GC246" t="s">
        <v>313</v>
      </c>
      <c r="GH246" t="s">
        <v>306</v>
      </c>
      <c r="GM246" t="s">
        <v>306</v>
      </c>
      <c r="GR246" t="s">
        <v>306</v>
      </c>
      <c r="GS246" t="s">
        <v>391</v>
      </c>
      <c r="GT246">
        <v>13582910</v>
      </c>
      <c r="GU246" t="s">
        <v>346</v>
      </c>
      <c r="GV246">
        <v>0</v>
      </c>
      <c r="GW246" t="s">
        <v>317</v>
      </c>
      <c r="GX246" t="s">
        <v>1717</v>
      </c>
      <c r="GY246">
        <v>4117421</v>
      </c>
      <c r="GZ246" t="s">
        <v>346</v>
      </c>
      <c r="HA246">
        <v>0.01</v>
      </c>
      <c r="HB246" t="s">
        <v>53</v>
      </c>
      <c r="HG246" t="s">
        <v>306</v>
      </c>
    </row>
    <row r="247" spans="5:215" x14ac:dyDescent="0.35">
      <c r="E247" t="s">
        <v>306</v>
      </c>
      <c r="F247" t="s">
        <v>629</v>
      </c>
      <c r="G247">
        <v>4279122</v>
      </c>
      <c r="H247" t="s">
        <v>346</v>
      </c>
      <c r="I247">
        <v>0</v>
      </c>
      <c r="J247" t="s">
        <v>125</v>
      </c>
      <c r="O247" t="s">
        <v>306</v>
      </c>
      <c r="T247" t="s">
        <v>306</v>
      </c>
      <c r="U247" t="s">
        <v>491</v>
      </c>
      <c r="V247">
        <v>106960</v>
      </c>
      <c r="W247" t="s">
        <v>346</v>
      </c>
      <c r="X247">
        <v>0</v>
      </c>
      <c r="Y247" t="s">
        <v>80</v>
      </c>
      <c r="AD247" t="s">
        <v>306</v>
      </c>
      <c r="AI247" t="s">
        <v>306</v>
      </c>
      <c r="AN247" t="s">
        <v>306</v>
      </c>
      <c r="AO247" t="s">
        <v>1362</v>
      </c>
      <c r="AP247">
        <v>5879182</v>
      </c>
      <c r="AQ247" t="s">
        <v>346</v>
      </c>
      <c r="AR247">
        <v>0</v>
      </c>
      <c r="AS247" t="s">
        <v>62</v>
      </c>
      <c r="AX247" t="s">
        <v>306</v>
      </c>
      <c r="BC247" t="s">
        <v>306</v>
      </c>
      <c r="BD247" t="s">
        <v>1281</v>
      </c>
      <c r="BE247">
        <v>4631098</v>
      </c>
      <c r="BF247" t="s">
        <v>364</v>
      </c>
      <c r="BG247">
        <v>0.01</v>
      </c>
      <c r="BH247" t="s">
        <v>62</v>
      </c>
      <c r="BI247" t="s">
        <v>1536</v>
      </c>
      <c r="BJ247">
        <v>111820246</v>
      </c>
      <c r="BK247" t="s">
        <v>346</v>
      </c>
      <c r="BL247">
        <v>0</v>
      </c>
      <c r="BM247" t="s">
        <v>2185</v>
      </c>
      <c r="BN247" t="s">
        <v>405</v>
      </c>
      <c r="BO247">
        <v>4035990</v>
      </c>
      <c r="BP247" t="s">
        <v>346</v>
      </c>
      <c r="BQ247">
        <v>0</v>
      </c>
      <c r="BR247" t="s">
        <v>80</v>
      </c>
      <c r="BS247" t="s">
        <v>483</v>
      </c>
      <c r="BT247">
        <v>109763</v>
      </c>
      <c r="BU247" t="s">
        <v>346</v>
      </c>
      <c r="BV247">
        <v>0.01</v>
      </c>
      <c r="BW247" t="s">
        <v>53</v>
      </c>
      <c r="BX247" t="s">
        <v>491</v>
      </c>
      <c r="BY247">
        <v>106960</v>
      </c>
      <c r="BZ247" t="s">
        <v>346</v>
      </c>
      <c r="CA247">
        <v>0</v>
      </c>
      <c r="CB247" t="s">
        <v>80</v>
      </c>
      <c r="CC247" t="s">
        <v>1718</v>
      </c>
      <c r="CD247" t="s">
        <v>300</v>
      </c>
      <c r="CE247" t="s">
        <v>361</v>
      </c>
      <c r="CF247">
        <v>0.01</v>
      </c>
      <c r="CG247" t="s">
        <v>50</v>
      </c>
      <c r="CH247" t="s">
        <v>1362</v>
      </c>
      <c r="CI247">
        <v>5879182</v>
      </c>
      <c r="CJ247" t="s">
        <v>346</v>
      </c>
      <c r="CK247">
        <v>0</v>
      </c>
      <c r="CL247" t="s">
        <v>62</v>
      </c>
      <c r="CM247" t="s">
        <v>2007</v>
      </c>
      <c r="CN247">
        <v>110770</v>
      </c>
      <c r="CO247" t="s">
        <v>346</v>
      </c>
      <c r="CP247">
        <v>0.01</v>
      </c>
      <c r="CQ247" t="s">
        <v>53</v>
      </c>
      <c r="CV247" t="s">
        <v>306</v>
      </c>
      <c r="DA247" t="s">
        <v>306</v>
      </c>
      <c r="DB247" t="s">
        <v>1281</v>
      </c>
      <c r="DC247">
        <v>4631098</v>
      </c>
      <c r="DD247" t="s">
        <v>364</v>
      </c>
      <c r="DE247">
        <v>0.01</v>
      </c>
      <c r="DF247" t="s">
        <v>62</v>
      </c>
      <c r="DK247" t="s">
        <v>306</v>
      </c>
      <c r="DL247" t="s">
        <v>1281</v>
      </c>
      <c r="DM247">
        <v>4631098</v>
      </c>
      <c r="DN247" t="s">
        <v>364</v>
      </c>
      <c r="DO247">
        <v>0.01</v>
      </c>
      <c r="DP247" t="s">
        <v>62</v>
      </c>
      <c r="DU247" t="s">
        <v>306</v>
      </c>
      <c r="DZ247" t="s">
        <v>306</v>
      </c>
      <c r="EA247" t="s">
        <v>1718</v>
      </c>
      <c r="EB247" t="s">
        <v>300</v>
      </c>
      <c r="EC247" t="s">
        <v>361</v>
      </c>
      <c r="ED247">
        <v>0.01</v>
      </c>
      <c r="EE247" t="s">
        <v>50</v>
      </c>
      <c r="EF247" t="s">
        <v>1281</v>
      </c>
      <c r="EG247">
        <v>4631098</v>
      </c>
      <c r="EH247" t="s">
        <v>364</v>
      </c>
      <c r="EI247">
        <v>0.01</v>
      </c>
      <c r="EJ247" t="s">
        <v>62</v>
      </c>
      <c r="EO247" t="s">
        <v>306</v>
      </c>
      <c r="ET247" t="s">
        <v>306</v>
      </c>
      <c r="EY247" t="s">
        <v>306</v>
      </c>
      <c r="FD247" t="s">
        <v>306</v>
      </c>
      <c r="FI247" t="s">
        <v>306</v>
      </c>
      <c r="FN247" t="s">
        <v>306</v>
      </c>
      <c r="FS247" t="s">
        <v>306</v>
      </c>
      <c r="FX247" t="s">
        <v>306</v>
      </c>
      <c r="FY247" t="s">
        <v>1281</v>
      </c>
      <c r="FZ247">
        <v>4631098</v>
      </c>
      <c r="GA247" t="s">
        <v>364</v>
      </c>
      <c r="GB247">
        <v>0.01</v>
      </c>
      <c r="GC247" t="s">
        <v>62</v>
      </c>
      <c r="GH247" t="s">
        <v>306</v>
      </c>
      <c r="GM247" t="s">
        <v>306</v>
      </c>
      <c r="GR247" t="s">
        <v>306</v>
      </c>
      <c r="GS247" t="s">
        <v>405</v>
      </c>
      <c r="GT247">
        <v>4035990</v>
      </c>
      <c r="GU247" t="s">
        <v>346</v>
      </c>
      <c r="GV247">
        <v>0</v>
      </c>
      <c r="GW247" t="s">
        <v>80</v>
      </c>
      <c r="GX247" t="s">
        <v>1718</v>
      </c>
      <c r="GY247" t="s">
        <v>300</v>
      </c>
      <c r="GZ247" t="s">
        <v>361</v>
      </c>
      <c r="HA247">
        <v>0.01</v>
      </c>
      <c r="HB247" t="s">
        <v>50</v>
      </c>
      <c r="HG247" t="s">
        <v>306</v>
      </c>
    </row>
    <row r="248" spans="5:215" x14ac:dyDescent="0.35">
      <c r="E248" t="s">
        <v>306</v>
      </c>
      <c r="F248" t="s">
        <v>630</v>
      </c>
      <c r="G248">
        <v>27861143</v>
      </c>
      <c r="H248" t="s">
        <v>346</v>
      </c>
      <c r="I248">
        <v>0</v>
      </c>
      <c r="J248" t="s">
        <v>53</v>
      </c>
      <c r="O248" t="s">
        <v>306</v>
      </c>
      <c r="T248" t="s">
        <v>306</v>
      </c>
      <c r="U248" t="s">
        <v>821</v>
      </c>
      <c r="V248">
        <v>4240614</v>
      </c>
      <c r="W248" t="s">
        <v>346</v>
      </c>
      <c r="X248">
        <v>0</v>
      </c>
      <c r="Y248" t="s">
        <v>2191</v>
      </c>
      <c r="AD248" t="s">
        <v>306</v>
      </c>
      <c r="AI248" t="s">
        <v>306</v>
      </c>
      <c r="AN248" t="s">
        <v>306</v>
      </c>
      <c r="AO248" t="s">
        <v>404</v>
      </c>
      <c r="AP248">
        <v>4383779</v>
      </c>
      <c r="AQ248" t="s">
        <v>346</v>
      </c>
      <c r="AR248">
        <v>0</v>
      </c>
      <c r="AS248" t="s">
        <v>53</v>
      </c>
      <c r="AX248" t="s">
        <v>306</v>
      </c>
      <c r="BC248" t="s">
        <v>306</v>
      </c>
      <c r="BD248" t="s">
        <v>459</v>
      </c>
      <c r="BE248">
        <v>4140503</v>
      </c>
      <c r="BF248" t="s">
        <v>346</v>
      </c>
      <c r="BG248">
        <v>0.01</v>
      </c>
      <c r="BH248" t="s">
        <v>2186</v>
      </c>
      <c r="BI248" t="s">
        <v>1079</v>
      </c>
      <c r="BJ248">
        <v>100435035</v>
      </c>
      <c r="BK248" t="s">
        <v>346</v>
      </c>
      <c r="BL248">
        <v>0</v>
      </c>
      <c r="BM248" t="s">
        <v>320</v>
      </c>
      <c r="BN248" t="s">
        <v>523</v>
      </c>
      <c r="BO248">
        <v>7060057</v>
      </c>
      <c r="BP248" t="s">
        <v>346</v>
      </c>
      <c r="BQ248">
        <v>0</v>
      </c>
      <c r="BR248" t="s">
        <v>320</v>
      </c>
      <c r="BS248" t="s">
        <v>849</v>
      </c>
      <c r="BT248">
        <v>4336717</v>
      </c>
      <c r="BU248" t="s">
        <v>346</v>
      </c>
      <c r="BV248">
        <v>0.01</v>
      </c>
      <c r="BW248" t="s">
        <v>50</v>
      </c>
      <c r="BX248" t="s">
        <v>821</v>
      </c>
      <c r="BY248">
        <v>4240614</v>
      </c>
      <c r="BZ248" t="s">
        <v>346</v>
      </c>
      <c r="CA248">
        <v>0</v>
      </c>
      <c r="CB248" t="s">
        <v>2191</v>
      </c>
      <c r="CC248" t="s">
        <v>1719</v>
      </c>
      <c r="CD248">
        <v>4243310</v>
      </c>
      <c r="CE248" t="s">
        <v>346</v>
      </c>
      <c r="CF248">
        <v>0.01</v>
      </c>
      <c r="CG248" t="s">
        <v>114</v>
      </c>
      <c r="CH248" t="s">
        <v>404</v>
      </c>
      <c r="CI248">
        <v>4383779</v>
      </c>
      <c r="CJ248" t="s">
        <v>346</v>
      </c>
      <c r="CK248">
        <v>0</v>
      </c>
      <c r="CL248" t="s">
        <v>53</v>
      </c>
      <c r="CM248" t="s">
        <v>2008</v>
      </c>
      <c r="CN248">
        <v>4022690</v>
      </c>
      <c r="CO248" t="s">
        <v>364</v>
      </c>
      <c r="CP248">
        <v>0.01</v>
      </c>
      <c r="CQ248" t="s">
        <v>53</v>
      </c>
      <c r="CV248" t="s">
        <v>306</v>
      </c>
      <c r="DA248" t="s">
        <v>306</v>
      </c>
      <c r="DB248" t="s">
        <v>459</v>
      </c>
      <c r="DC248">
        <v>4140503</v>
      </c>
      <c r="DD248" t="s">
        <v>346</v>
      </c>
      <c r="DE248">
        <v>0.01</v>
      </c>
      <c r="DF248" t="s">
        <v>2186</v>
      </c>
      <c r="DK248" t="s">
        <v>306</v>
      </c>
      <c r="DL248" t="s">
        <v>459</v>
      </c>
      <c r="DM248">
        <v>4140503</v>
      </c>
      <c r="DN248" t="s">
        <v>346</v>
      </c>
      <c r="DO248">
        <v>0.01</v>
      </c>
      <c r="DP248" t="s">
        <v>2186</v>
      </c>
      <c r="DU248" t="s">
        <v>306</v>
      </c>
      <c r="DZ248" t="s">
        <v>306</v>
      </c>
      <c r="EA248" t="s">
        <v>1719</v>
      </c>
      <c r="EB248">
        <v>4243310</v>
      </c>
      <c r="EC248" t="s">
        <v>346</v>
      </c>
      <c r="ED248">
        <v>0.01</v>
      </c>
      <c r="EE248" t="s">
        <v>114</v>
      </c>
      <c r="EF248" t="s">
        <v>459</v>
      </c>
      <c r="EG248">
        <v>4140503</v>
      </c>
      <c r="EH248" t="s">
        <v>346</v>
      </c>
      <c r="EI248">
        <v>0.01</v>
      </c>
      <c r="EJ248" t="s">
        <v>2186</v>
      </c>
      <c r="EO248" t="s">
        <v>306</v>
      </c>
      <c r="ET248" t="s">
        <v>306</v>
      </c>
      <c r="EY248" t="s">
        <v>306</v>
      </c>
      <c r="FD248" t="s">
        <v>306</v>
      </c>
      <c r="FI248" t="s">
        <v>306</v>
      </c>
      <c r="FN248" t="s">
        <v>306</v>
      </c>
      <c r="FS248" t="s">
        <v>306</v>
      </c>
      <c r="FX248" t="s">
        <v>306</v>
      </c>
      <c r="FY248" t="s">
        <v>459</v>
      </c>
      <c r="FZ248">
        <v>4140503</v>
      </c>
      <c r="GA248" t="s">
        <v>346</v>
      </c>
      <c r="GB248">
        <v>0.01</v>
      </c>
      <c r="GC248" t="s">
        <v>2186</v>
      </c>
      <c r="GH248" t="s">
        <v>306</v>
      </c>
      <c r="GM248" t="s">
        <v>306</v>
      </c>
      <c r="GR248" t="s">
        <v>306</v>
      </c>
      <c r="GS248" t="s">
        <v>523</v>
      </c>
      <c r="GT248">
        <v>7060057</v>
      </c>
      <c r="GU248" t="s">
        <v>346</v>
      </c>
      <c r="GV248">
        <v>0</v>
      </c>
      <c r="GW248" t="s">
        <v>320</v>
      </c>
      <c r="GX248" t="s">
        <v>1719</v>
      </c>
      <c r="GY248">
        <v>4243310</v>
      </c>
      <c r="GZ248" t="s">
        <v>346</v>
      </c>
      <c r="HA248">
        <v>0.01</v>
      </c>
      <c r="HB248" t="s">
        <v>114</v>
      </c>
      <c r="HG248" t="s">
        <v>306</v>
      </c>
    </row>
    <row r="249" spans="5:215" x14ac:dyDescent="0.35">
      <c r="E249" t="s">
        <v>306</v>
      </c>
      <c r="F249" t="s">
        <v>631</v>
      </c>
      <c r="G249">
        <v>112247511</v>
      </c>
      <c r="H249" t="s">
        <v>346</v>
      </c>
      <c r="I249">
        <v>0</v>
      </c>
      <c r="J249" t="s">
        <v>53</v>
      </c>
      <c r="O249" t="s">
        <v>306</v>
      </c>
      <c r="T249" t="s">
        <v>306</v>
      </c>
      <c r="U249" t="s">
        <v>822</v>
      </c>
      <c r="V249">
        <v>15947616</v>
      </c>
      <c r="W249" t="s">
        <v>346</v>
      </c>
      <c r="X249">
        <v>0</v>
      </c>
      <c r="Y249" t="s">
        <v>50</v>
      </c>
      <c r="AD249" t="s">
        <v>306</v>
      </c>
      <c r="AI249" t="s">
        <v>306</v>
      </c>
      <c r="AN249" t="s">
        <v>306</v>
      </c>
      <c r="AO249" t="s">
        <v>1363</v>
      </c>
      <c r="AP249">
        <v>13069459</v>
      </c>
      <c r="AQ249" t="s">
        <v>346</v>
      </c>
      <c r="AR249">
        <v>0</v>
      </c>
      <c r="AS249" t="s">
        <v>62</v>
      </c>
      <c r="AX249" t="s">
        <v>306</v>
      </c>
      <c r="BC249" t="s">
        <v>306</v>
      </c>
      <c r="BD249" t="s">
        <v>419</v>
      </c>
      <c r="BE249">
        <v>4338202</v>
      </c>
      <c r="BF249" t="s">
        <v>346</v>
      </c>
      <c r="BG249">
        <v>0.01</v>
      </c>
      <c r="BH249" t="s">
        <v>53</v>
      </c>
      <c r="BI249" t="s">
        <v>597</v>
      </c>
      <c r="BJ249">
        <v>4654230</v>
      </c>
      <c r="BK249" t="s">
        <v>346</v>
      </c>
      <c r="BL249">
        <v>0</v>
      </c>
      <c r="BM249" t="s">
        <v>125</v>
      </c>
      <c r="BN249" t="s">
        <v>656</v>
      </c>
      <c r="BO249">
        <v>5826475</v>
      </c>
      <c r="BP249" t="s">
        <v>346</v>
      </c>
      <c r="BQ249">
        <v>0</v>
      </c>
      <c r="BR249" t="s">
        <v>50</v>
      </c>
      <c r="BS249" t="s">
        <v>392</v>
      </c>
      <c r="BT249">
        <v>4398826</v>
      </c>
      <c r="BU249" t="s">
        <v>346</v>
      </c>
      <c r="BV249">
        <v>0.01</v>
      </c>
      <c r="BW249" t="s">
        <v>53</v>
      </c>
      <c r="BX249" t="s">
        <v>822</v>
      </c>
      <c r="BY249">
        <v>15947616</v>
      </c>
      <c r="BZ249" t="s">
        <v>346</v>
      </c>
      <c r="CA249">
        <v>0</v>
      </c>
      <c r="CB249" t="s">
        <v>50</v>
      </c>
      <c r="CC249" t="s">
        <v>1720</v>
      </c>
      <c r="CD249">
        <v>4339274</v>
      </c>
      <c r="CE249" t="s">
        <v>346</v>
      </c>
      <c r="CF249">
        <v>0.01</v>
      </c>
      <c r="CG249" t="s">
        <v>53</v>
      </c>
      <c r="CH249" t="s">
        <v>1363</v>
      </c>
      <c r="CI249">
        <v>13069459</v>
      </c>
      <c r="CJ249" t="s">
        <v>346</v>
      </c>
      <c r="CK249">
        <v>0</v>
      </c>
      <c r="CL249" t="s">
        <v>62</v>
      </c>
      <c r="CM249" t="s">
        <v>882</v>
      </c>
      <c r="CN249">
        <v>110793</v>
      </c>
      <c r="CO249" t="s">
        <v>346</v>
      </c>
      <c r="CP249">
        <v>0.01</v>
      </c>
      <c r="CQ249" t="s">
        <v>53</v>
      </c>
      <c r="CV249" t="s">
        <v>306</v>
      </c>
      <c r="DA249" t="s">
        <v>306</v>
      </c>
      <c r="DB249" t="s">
        <v>419</v>
      </c>
      <c r="DC249">
        <v>4338202</v>
      </c>
      <c r="DD249" t="s">
        <v>346</v>
      </c>
      <c r="DE249">
        <v>0.01</v>
      </c>
      <c r="DF249" t="s">
        <v>53</v>
      </c>
      <c r="DK249" t="s">
        <v>306</v>
      </c>
      <c r="DL249" t="s">
        <v>419</v>
      </c>
      <c r="DM249">
        <v>4338202</v>
      </c>
      <c r="DN249" t="s">
        <v>346</v>
      </c>
      <c r="DO249">
        <v>0.01</v>
      </c>
      <c r="DP249" t="s">
        <v>53</v>
      </c>
      <c r="DU249" t="s">
        <v>306</v>
      </c>
      <c r="DZ249" t="s">
        <v>306</v>
      </c>
      <c r="EA249" t="s">
        <v>1720</v>
      </c>
      <c r="EB249">
        <v>4339274</v>
      </c>
      <c r="EC249" t="s">
        <v>346</v>
      </c>
      <c r="ED249">
        <v>0.01</v>
      </c>
      <c r="EE249" t="s">
        <v>53</v>
      </c>
      <c r="EF249" t="s">
        <v>419</v>
      </c>
      <c r="EG249">
        <v>4338202</v>
      </c>
      <c r="EH249" t="s">
        <v>346</v>
      </c>
      <c r="EI249">
        <v>0.01</v>
      </c>
      <c r="EJ249" t="s">
        <v>53</v>
      </c>
      <c r="EO249" t="s">
        <v>306</v>
      </c>
      <c r="ET249" t="s">
        <v>306</v>
      </c>
      <c r="EY249" t="s">
        <v>306</v>
      </c>
      <c r="FD249" t="s">
        <v>306</v>
      </c>
      <c r="FI249" t="s">
        <v>306</v>
      </c>
      <c r="FN249" t="s">
        <v>306</v>
      </c>
      <c r="FS249" t="s">
        <v>306</v>
      </c>
      <c r="FX249" t="s">
        <v>306</v>
      </c>
      <c r="FY249" t="s">
        <v>419</v>
      </c>
      <c r="FZ249">
        <v>4338202</v>
      </c>
      <c r="GA249" t="s">
        <v>346</v>
      </c>
      <c r="GB249">
        <v>0.01</v>
      </c>
      <c r="GC249" t="s">
        <v>53</v>
      </c>
      <c r="GH249" t="s">
        <v>306</v>
      </c>
      <c r="GM249" t="s">
        <v>306</v>
      </c>
      <c r="GR249" t="s">
        <v>306</v>
      </c>
      <c r="GS249" t="s">
        <v>656</v>
      </c>
      <c r="GT249">
        <v>5826475</v>
      </c>
      <c r="GU249" t="s">
        <v>346</v>
      </c>
      <c r="GV249">
        <v>0</v>
      </c>
      <c r="GW249" t="s">
        <v>50</v>
      </c>
      <c r="GX249" t="s">
        <v>1720</v>
      </c>
      <c r="GY249">
        <v>4339274</v>
      </c>
      <c r="GZ249" t="s">
        <v>346</v>
      </c>
      <c r="HA249">
        <v>0.01</v>
      </c>
      <c r="HB249" t="s">
        <v>53</v>
      </c>
      <c r="HG249" t="s">
        <v>306</v>
      </c>
    </row>
    <row r="250" spans="5:215" x14ac:dyDescent="0.35">
      <c r="E250" t="s">
        <v>306</v>
      </c>
      <c r="F250" t="s">
        <v>632</v>
      </c>
      <c r="G250">
        <v>112689727</v>
      </c>
      <c r="H250" t="s">
        <v>346</v>
      </c>
      <c r="I250">
        <v>0</v>
      </c>
      <c r="J250" t="s">
        <v>53</v>
      </c>
      <c r="O250" t="s">
        <v>306</v>
      </c>
      <c r="T250" t="s">
        <v>306</v>
      </c>
      <c r="U250" t="s">
        <v>823</v>
      </c>
      <c r="V250">
        <v>4212913</v>
      </c>
      <c r="W250" t="s">
        <v>346</v>
      </c>
      <c r="X250">
        <v>0</v>
      </c>
      <c r="Y250" t="s">
        <v>2191</v>
      </c>
      <c r="AD250" t="s">
        <v>306</v>
      </c>
      <c r="AI250" t="s">
        <v>306</v>
      </c>
      <c r="AN250" t="s">
        <v>306</v>
      </c>
      <c r="AO250" t="s">
        <v>1364</v>
      </c>
      <c r="AP250">
        <v>10890287</v>
      </c>
      <c r="AQ250" t="s">
        <v>346</v>
      </c>
      <c r="AR250">
        <v>0</v>
      </c>
      <c r="AS250" t="s">
        <v>62</v>
      </c>
      <c r="AX250" t="s">
        <v>306</v>
      </c>
      <c r="BC250" t="s">
        <v>306</v>
      </c>
      <c r="BD250" t="s">
        <v>890</v>
      </c>
      <c r="BE250">
        <v>4260136</v>
      </c>
      <c r="BF250" t="s">
        <v>346</v>
      </c>
      <c r="BG250">
        <v>0.01</v>
      </c>
      <c r="BH250" t="s">
        <v>317</v>
      </c>
      <c r="BI250" t="s">
        <v>1598</v>
      </c>
      <c r="BJ250">
        <v>5872037</v>
      </c>
      <c r="BK250" t="s">
        <v>346</v>
      </c>
      <c r="BL250">
        <v>0</v>
      </c>
      <c r="BM250" t="s">
        <v>2194</v>
      </c>
      <c r="BN250" t="s">
        <v>440</v>
      </c>
      <c r="BO250">
        <v>4140078</v>
      </c>
      <c r="BP250" t="s">
        <v>346</v>
      </c>
      <c r="BQ250">
        <v>0</v>
      </c>
      <c r="BR250" t="s">
        <v>304</v>
      </c>
      <c r="BS250" t="s">
        <v>667</v>
      </c>
      <c r="BT250">
        <v>4208762</v>
      </c>
      <c r="BU250" t="s">
        <v>346</v>
      </c>
      <c r="BV250">
        <v>0.01</v>
      </c>
      <c r="BW250" t="s">
        <v>326</v>
      </c>
      <c r="BX250" t="s">
        <v>823</v>
      </c>
      <c r="BY250">
        <v>4212913</v>
      </c>
      <c r="BZ250" t="s">
        <v>346</v>
      </c>
      <c r="CA250">
        <v>0</v>
      </c>
      <c r="CB250" t="s">
        <v>2191</v>
      </c>
      <c r="CC250" t="s">
        <v>1721</v>
      </c>
      <c r="CD250">
        <v>4560824</v>
      </c>
      <c r="CE250" t="s">
        <v>346</v>
      </c>
      <c r="CF250">
        <v>0.01</v>
      </c>
      <c r="CG250" t="s">
        <v>53</v>
      </c>
      <c r="CH250" t="s">
        <v>1364</v>
      </c>
      <c r="CI250">
        <v>10890287</v>
      </c>
      <c r="CJ250" t="s">
        <v>346</v>
      </c>
      <c r="CK250">
        <v>0</v>
      </c>
      <c r="CL250" t="s">
        <v>62</v>
      </c>
      <c r="CM250" t="s">
        <v>1349</v>
      </c>
      <c r="CN250">
        <v>4428399</v>
      </c>
      <c r="CO250" t="s">
        <v>346</v>
      </c>
      <c r="CP250">
        <v>0.01</v>
      </c>
      <c r="CQ250" t="s">
        <v>62</v>
      </c>
      <c r="CV250" t="s">
        <v>306</v>
      </c>
      <c r="DA250" t="s">
        <v>306</v>
      </c>
      <c r="DB250" t="s">
        <v>890</v>
      </c>
      <c r="DC250">
        <v>4260136</v>
      </c>
      <c r="DD250" t="s">
        <v>346</v>
      </c>
      <c r="DE250">
        <v>0.01</v>
      </c>
      <c r="DF250" t="s">
        <v>317</v>
      </c>
      <c r="DK250" t="s">
        <v>306</v>
      </c>
      <c r="DL250" t="s">
        <v>890</v>
      </c>
      <c r="DM250">
        <v>4260136</v>
      </c>
      <c r="DN250" t="s">
        <v>346</v>
      </c>
      <c r="DO250">
        <v>0.01</v>
      </c>
      <c r="DP250" t="s">
        <v>317</v>
      </c>
      <c r="DU250" t="s">
        <v>306</v>
      </c>
      <c r="DZ250" t="s">
        <v>306</v>
      </c>
      <c r="EA250" t="s">
        <v>1721</v>
      </c>
      <c r="EB250">
        <v>4560824</v>
      </c>
      <c r="EC250" t="s">
        <v>346</v>
      </c>
      <c r="ED250">
        <v>0.01</v>
      </c>
      <c r="EE250" t="s">
        <v>53</v>
      </c>
      <c r="EF250" t="s">
        <v>890</v>
      </c>
      <c r="EG250">
        <v>4260136</v>
      </c>
      <c r="EH250" t="s">
        <v>346</v>
      </c>
      <c r="EI250">
        <v>0.01</v>
      </c>
      <c r="EJ250" t="s">
        <v>317</v>
      </c>
      <c r="EO250" t="s">
        <v>306</v>
      </c>
      <c r="ET250" t="s">
        <v>306</v>
      </c>
      <c r="EY250" t="s">
        <v>306</v>
      </c>
      <c r="FD250" t="s">
        <v>306</v>
      </c>
      <c r="FI250" t="s">
        <v>306</v>
      </c>
      <c r="FN250" t="s">
        <v>306</v>
      </c>
      <c r="FS250" t="s">
        <v>306</v>
      </c>
      <c r="FX250" t="s">
        <v>306</v>
      </c>
      <c r="FY250" t="s">
        <v>890</v>
      </c>
      <c r="FZ250">
        <v>4260136</v>
      </c>
      <c r="GA250" t="s">
        <v>346</v>
      </c>
      <c r="GB250">
        <v>0.01</v>
      </c>
      <c r="GC250" t="s">
        <v>317</v>
      </c>
      <c r="GH250" t="s">
        <v>306</v>
      </c>
      <c r="GM250" t="s">
        <v>306</v>
      </c>
      <c r="GR250" t="s">
        <v>306</v>
      </c>
      <c r="GS250" t="s">
        <v>440</v>
      </c>
      <c r="GT250">
        <v>4140078</v>
      </c>
      <c r="GU250" t="s">
        <v>346</v>
      </c>
      <c r="GV250">
        <v>0</v>
      </c>
      <c r="GW250" t="s">
        <v>304</v>
      </c>
      <c r="GX250" t="s">
        <v>1721</v>
      </c>
      <c r="GY250">
        <v>4560824</v>
      </c>
      <c r="GZ250" t="s">
        <v>346</v>
      </c>
      <c r="HA250">
        <v>0.01</v>
      </c>
      <c r="HB250" t="s">
        <v>53</v>
      </c>
      <c r="HG250" t="s">
        <v>306</v>
      </c>
    </row>
    <row r="251" spans="5:215" x14ac:dyDescent="0.35">
      <c r="E251" t="s">
        <v>306</v>
      </c>
      <c r="F251" t="s">
        <v>633</v>
      </c>
      <c r="G251">
        <v>114508</v>
      </c>
      <c r="H251" t="s">
        <v>366</v>
      </c>
      <c r="I251">
        <v>-0.9</v>
      </c>
      <c r="J251" t="s">
        <v>313</v>
      </c>
      <c r="O251" t="s">
        <v>306</v>
      </c>
      <c r="T251" t="s">
        <v>306</v>
      </c>
      <c r="U251" t="s">
        <v>824</v>
      </c>
      <c r="V251">
        <v>4213196</v>
      </c>
      <c r="W251" t="s">
        <v>346</v>
      </c>
      <c r="X251">
        <v>0</v>
      </c>
      <c r="Y251" t="s">
        <v>304</v>
      </c>
      <c r="AD251" t="s">
        <v>306</v>
      </c>
      <c r="AI251" t="s">
        <v>306</v>
      </c>
      <c r="AN251" t="s">
        <v>306</v>
      </c>
      <c r="AO251" t="s">
        <v>860</v>
      </c>
      <c r="AP251">
        <v>110879</v>
      </c>
      <c r="AQ251" t="s">
        <v>346</v>
      </c>
      <c r="AR251">
        <v>0</v>
      </c>
      <c r="AS251" t="s">
        <v>53</v>
      </c>
      <c r="AX251" t="s">
        <v>306</v>
      </c>
      <c r="BC251" t="s">
        <v>306</v>
      </c>
      <c r="BD251" t="s">
        <v>1467</v>
      </c>
      <c r="BE251">
        <v>13959</v>
      </c>
      <c r="BF251" t="s">
        <v>634</v>
      </c>
      <c r="BG251">
        <v>0.01</v>
      </c>
      <c r="BH251" t="s">
        <v>53</v>
      </c>
      <c r="BI251" t="s">
        <v>607</v>
      </c>
      <c r="BJ251">
        <v>17501722</v>
      </c>
      <c r="BK251" t="s">
        <v>366</v>
      </c>
      <c r="BL251">
        <v>0</v>
      </c>
      <c r="BM251" t="s">
        <v>313</v>
      </c>
      <c r="BN251" t="s">
        <v>785</v>
      </c>
      <c r="BO251">
        <v>4139950</v>
      </c>
      <c r="BP251" t="s">
        <v>346</v>
      </c>
      <c r="BQ251">
        <v>0</v>
      </c>
      <c r="BR251" t="s">
        <v>50</v>
      </c>
      <c r="BS251" t="s">
        <v>821</v>
      </c>
      <c r="BT251">
        <v>4240614</v>
      </c>
      <c r="BU251" t="s">
        <v>346</v>
      </c>
      <c r="BV251">
        <v>0.01</v>
      </c>
      <c r="BW251" t="s">
        <v>2191</v>
      </c>
      <c r="BX251" t="s">
        <v>824</v>
      </c>
      <c r="BY251">
        <v>4213196</v>
      </c>
      <c r="BZ251" t="s">
        <v>346</v>
      </c>
      <c r="CA251">
        <v>0</v>
      </c>
      <c r="CB251" t="s">
        <v>304</v>
      </c>
      <c r="CC251" t="s">
        <v>1722</v>
      </c>
      <c r="CD251">
        <v>110939</v>
      </c>
      <c r="CE251" t="s">
        <v>346</v>
      </c>
      <c r="CF251">
        <v>0.01</v>
      </c>
      <c r="CG251" t="s">
        <v>53</v>
      </c>
      <c r="CH251" t="s">
        <v>860</v>
      </c>
      <c r="CI251">
        <v>110879</v>
      </c>
      <c r="CJ251" t="s">
        <v>346</v>
      </c>
      <c r="CK251">
        <v>0</v>
      </c>
      <c r="CL251" t="s">
        <v>53</v>
      </c>
      <c r="CM251" t="s">
        <v>2009</v>
      </c>
      <c r="CN251">
        <v>4237297</v>
      </c>
      <c r="CO251" t="s">
        <v>364</v>
      </c>
      <c r="CP251">
        <v>0.01</v>
      </c>
      <c r="CQ251" t="s">
        <v>53</v>
      </c>
      <c r="CV251" t="s">
        <v>306</v>
      </c>
      <c r="DA251" t="s">
        <v>306</v>
      </c>
      <c r="DB251" t="s">
        <v>1467</v>
      </c>
      <c r="DC251">
        <v>13959</v>
      </c>
      <c r="DD251" t="s">
        <v>634</v>
      </c>
      <c r="DE251">
        <v>0.01</v>
      </c>
      <c r="DF251" t="s">
        <v>53</v>
      </c>
      <c r="DK251" t="s">
        <v>306</v>
      </c>
      <c r="DL251" t="s">
        <v>1467</v>
      </c>
      <c r="DM251">
        <v>13959</v>
      </c>
      <c r="DN251" t="s">
        <v>634</v>
      </c>
      <c r="DO251">
        <v>0.01</v>
      </c>
      <c r="DP251" t="s">
        <v>53</v>
      </c>
      <c r="DU251" t="s">
        <v>306</v>
      </c>
      <c r="DZ251" t="s">
        <v>306</v>
      </c>
      <c r="EA251" t="s">
        <v>1722</v>
      </c>
      <c r="EB251">
        <v>110939</v>
      </c>
      <c r="EC251" t="s">
        <v>346</v>
      </c>
      <c r="ED251">
        <v>0.01</v>
      </c>
      <c r="EE251" t="s">
        <v>53</v>
      </c>
      <c r="EF251" t="s">
        <v>1467</v>
      </c>
      <c r="EG251">
        <v>13959</v>
      </c>
      <c r="EH251" t="s">
        <v>634</v>
      </c>
      <c r="EI251">
        <v>0.01</v>
      </c>
      <c r="EJ251" t="s">
        <v>53</v>
      </c>
      <c r="EO251" t="s">
        <v>306</v>
      </c>
      <c r="ET251" t="s">
        <v>306</v>
      </c>
      <c r="EY251" t="s">
        <v>306</v>
      </c>
      <c r="FD251" t="s">
        <v>306</v>
      </c>
      <c r="FI251" t="s">
        <v>306</v>
      </c>
      <c r="FN251" t="s">
        <v>306</v>
      </c>
      <c r="FS251" t="s">
        <v>306</v>
      </c>
      <c r="FX251" t="s">
        <v>306</v>
      </c>
      <c r="FY251" t="s">
        <v>1467</v>
      </c>
      <c r="FZ251">
        <v>13959</v>
      </c>
      <c r="GA251" t="s">
        <v>634</v>
      </c>
      <c r="GB251">
        <v>0.01</v>
      </c>
      <c r="GC251" t="s">
        <v>53</v>
      </c>
      <c r="GH251" t="s">
        <v>306</v>
      </c>
      <c r="GM251" t="s">
        <v>306</v>
      </c>
      <c r="GR251" t="s">
        <v>306</v>
      </c>
      <c r="GS251" t="s">
        <v>785</v>
      </c>
      <c r="GT251">
        <v>4139950</v>
      </c>
      <c r="GU251" t="s">
        <v>346</v>
      </c>
      <c r="GV251">
        <v>0</v>
      </c>
      <c r="GW251" t="s">
        <v>50</v>
      </c>
      <c r="GX251" t="s">
        <v>1722</v>
      </c>
      <c r="GY251">
        <v>110939</v>
      </c>
      <c r="GZ251" t="s">
        <v>346</v>
      </c>
      <c r="HA251">
        <v>0.01</v>
      </c>
      <c r="HB251" t="s">
        <v>53</v>
      </c>
      <c r="HG251" t="s">
        <v>306</v>
      </c>
    </row>
    <row r="252" spans="5:215" x14ac:dyDescent="0.35">
      <c r="E252" t="s">
        <v>306</v>
      </c>
      <c r="J252" t="s">
        <v>306</v>
      </c>
      <c r="O252" t="s">
        <v>306</v>
      </c>
      <c r="T252" t="s">
        <v>306</v>
      </c>
      <c r="U252" t="s">
        <v>825</v>
      </c>
      <c r="V252">
        <v>5868824</v>
      </c>
      <c r="W252" t="s">
        <v>346</v>
      </c>
      <c r="X252">
        <v>0</v>
      </c>
      <c r="Y252" t="s">
        <v>50</v>
      </c>
      <c r="AD252" t="s">
        <v>306</v>
      </c>
      <c r="AI252" t="s">
        <v>306</v>
      </c>
      <c r="AN252" t="s">
        <v>306</v>
      </c>
      <c r="AO252" t="s">
        <v>458</v>
      </c>
      <c r="AP252">
        <v>109806</v>
      </c>
      <c r="AQ252" t="s">
        <v>346</v>
      </c>
      <c r="AR252">
        <v>0</v>
      </c>
      <c r="AS252" t="s">
        <v>53</v>
      </c>
      <c r="AX252" t="s">
        <v>306</v>
      </c>
      <c r="BC252" t="s">
        <v>306</v>
      </c>
      <c r="BD252" t="s">
        <v>398</v>
      </c>
      <c r="BE252">
        <v>4107954</v>
      </c>
      <c r="BF252" t="s">
        <v>300</v>
      </c>
      <c r="BG252">
        <v>0.01</v>
      </c>
      <c r="BH252" t="s">
        <v>304</v>
      </c>
      <c r="BI252" t="s">
        <v>582</v>
      </c>
      <c r="BJ252">
        <v>4119728</v>
      </c>
      <c r="BK252" t="s">
        <v>634</v>
      </c>
      <c r="BL252">
        <v>0</v>
      </c>
      <c r="BM252" t="s">
        <v>53</v>
      </c>
      <c r="BN252" t="s">
        <v>464</v>
      </c>
      <c r="BO252">
        <v>4629378</v>
      </c>
      <c r="BP252" t="s">
        <v>346</v>
      </c>
      <c r="BQ252">
        <v>0</v>
      </c>
      <c r="BR252" t="s">
        <v>304</v>
      </c>
      <c r="BS252" t="s">
        <v>452</v>
      </c>
      <c r="BT252">
        <v>4784107</v>
      </c>
      <c r="BU252" t="s">
        <v>346</v>
      </c>
      <c r="BV252">
        <v>0.01</v>
      </c>
      <c r="BW252" t="s">
        <v>317</v>
      </c>
      <c r="BX252" t="s">
        <v>825</v>
      </c>
      <c r="BY252">
        <v>5868824</v>
      </c>
      <c r="BZ252" t="s">
        <v>346</v>
      </c>
      <c r="CA252">
        <v>0</v>
      </c>
      <c r="CB252" t="s">
        <v>50</v>
      </c>
      <c r="CC252" t="s">
        <v>1723</v>
      </c>
      <c r="CD252">
        <v>23892764</v>
      </c>
      <c r="CE252" t="s">
        <v>346</v>
      </c>
      <c r="CF252">
        <v>0.01</v>
      </c>
      <c r="CG252" t="s">
        <v>114</v>
      </c>
      <c r="CH252" t="s">
        <v>458</v>
      </c>
      <c r="CI252">
        <v>109806</v>
      </c>
      <c r="CJ252" t="s">
        <v>346</v>
      </c>
      <c r="CK252">
        <v>0</v>
      </c>
      <c r="CL252" t="s">
        <v>53</v>
      </c>
      <c r="CM252" t="s">
        <v>472</v>
      </c>
      <c r="CN252">
        <v>4048215</v>
      </c>
      <c r="CO252" t="s">
        <v>346</v>
      </c>
      <c r="CP252">
        <v>0.01</v>
      </c>
      <c r="CQ252" t="s">
        <v>53</v>
      </c>
      <c r="CV252" t="s">
        <v>306</v>
      </c>
      <c r="DA252" t="s">
        <v>306</v>
      </c>
      <c r="DB252" t="s">
        <v>398</v>
      </c>
      <c r="DC252">
        <v>4107954</v>
      </c>
      <c r="DD252" t="s">
        <v>300</v>
      </c>
      <c r="DE252">
        <v>0.01</v>
      </c>
      <c r="DF252" t="s">
        <v>304</v>
      </c>
      <c r="DK252" t="s">
        <v>306</v>
      </c>
      <c r="DL252" t="s">
        <v>398</v>
      </c>
      <c r="DM252">
        <v>4107954</v>
      </c>
      <c r="DN252" t="s">
        <v>300</v>
      </c>
      <c r="DO252">
        <v>0.01</v>
      </c>
      <c r="DP252" t="s">
        <v>304</v>
      </c>
      <c r="DU252" t="s">
        <v>306</v>
      </c>
      <c r="DZ252" t="s">
        <v>306</v>
      </c>
      <c r="EA252" t="s">
        <v>1723</v>
      </c>
      <c r="EB252">
        <v>23892764</v>
      </c>
      <c r="EC252" t="s">
        <v>346</v>
      </c>
      <c r="ED252">
        <v>0.01</v>
      </c>
      <c r="EE252" t="s">
        <v>114</v>
      </c>
      <c r="EF252" t="s">
        <v>398</v>
      </c>
      <c r="EG252">
        <v>4107954</v>
      </c>
      <c r="EH252" t="s">
        <v>300</v>
      </c>
      <c r="EI252">
        <v>0.01</v>
      </c>
      <c r="EJ252" t="s">
        <v>304</v>
      </c>
      <c r="EO252" t="s">
        <v>306</v>
      </c>
      <c r="ET252" t="s">
        <v>306</v>
      </c>
      <c r="EY252" t="s">
        <v>306</v>
      </c>
      <c r="FD252" t="s">
        <v>306</v>
      </c>
      <c r="FI252" t="s">
        <v>306</v>
      </c>
      <c r="FN252" t="s">
        <v>306</v>
      </c>
      <c r="FS252" t="s">
        <v>306</v>
      </c>
      <c r="FX252" t="s">
        <v>306</v>
      </c>
      <c r="FY252" t="s">
        <v>398</v>
      </c>
      <c r="FZ252">
        <v>4107954</v>
      </c>
      <c r="GA252" t="s">
        <v>300</v>
      </c>
      <c r="GB252">
        <v>0.01</v>
      </c>
      <c r="GC252" t="s">
        <v>304</v>
      </c>
      <c r="GH252" t="s">
        <v>306</v>
      </c>
      <c r="GM252" t="s">
        <v>306</v>
      </c>
      <c r="GR252" t="s">
        <v>306</v>
      </c>
      <c r="GS252" t="s">
        <v>464</v>
      </c>
      <c r="GT252">
        <v>4629378</v>
      </c>
      <c r="GU252" t="s">
        <v>346</v>
      </c>
      <c r="GV252">
        <v>0</v>
      </c>
      <c r="GW252" t="s">
        <v>304</v>
      </c>
      <c r="GX252" t="s">
        <v>1723</v>
      </c>
      <c r="GY252">
        <v>23892764</v>
      </c>
      <c r="GZ252" t="s">
        <v>346</v>
      </c>
      <c r="HA252">
        <v>0.01</v>
      </c>
      <c r="HB252" t="s">
        <v>114</v>
      </c>
      <c r="HG252" t="s">
        <v>306</v>
      </c>
    </row>
    <row r="253" spans="5:215" x14ac:dyDescent="0.35">
      <c r="E253" t="s">
        <v>306</v>
      </c>
      <c r="J253" t="s">
        <v>306</v>
      </c>
      <c r="O253" t="s">
        <v>306</v>
      </c>
      <c r="T253" t="s">
        <v>306</v>
      </c>
      <c r="U253" t="s">
        <v>826</v>
      </c>
      <c r="V253">
        <v>7789048</v>
      </c>
      <c r="W253" t="s">
        <v>346</v>
      </c>
      <c r="X253">
        <v>0</v>
      </c>
      <c r="Y253" t="s">
        <v>50</v>
      </c>
      <c r="AD253" t="s">
        <v>306</v>
      </c>
      <c r="AI253" t="s">
        <v>306</v>
      </c>
      <c r="AN253" t="s">
        <v>306</v>
      </c>
      <c r="AO253" t="s">
        <v>1365</v>
      </c>
      <c r="AP253">
        <v>4581414</v>
      </c>
      <c r="AQ253" t="s">
        <v>346</v>
      </c>
      <c r="AR253">
        <v>0</v>
      </c>
      <c r="AS253" t="s">
        <v>62</v>
      </c>
      <c r="AX253" t="s">
        <v>306</v>
      </c>
      <c r="BC253" t="s">
        <v>306</v>
      </c>
      <c r="BD253" t="s">
        <v>855</v>
      </c>
      <c r="BE253">
        <v>8532130</v>
      </c>
      <c r="BF253" t="s">
        <v>346</v>
      </c>
      <c r="BG253">
        <v>0.01</v>
      </c>
      <c r="BH253" t="s">
        <v>62</v>
      </c>
      <c r="BI253" t="s">
        <v>605</v>
      </c>
      <c r="BJ253">
        <v>111489</v>
      </c>
      <c r="BK253" t="s">
        <v>346</v>
      </c>
      <c r="BL253">
        <v>0</v>
      </c>
      <c r="BM253" t="s">
        <v>53</v>
      </c>
      <c r="BN253" t="s">
        <v>886</v>
      </c>
      <c r="BO253">
        <v>29518821</v>
      </c>
      <c r="BP253" t="s">
        <v>346</v>
      </c>
      <c r="BQ253">
        <v>0</v>
      </c>
      <c r="BR253" t="s">
        <v>50</v>
      </c>
      <c r="BS253" t="s">
        <v>786</v>
      </c>
      <c r="BT253">
        <v>4954984</v>
      </c>
      <c r="BU253" t="s">
        <v>346</v>
      </c>
      <c r="BV253">
        <v>0.01</v>
      </c>
      <c r="BW253" t="s">
        <v>50</v>
      </c>
      <c r="BX253" t="s">
        <v>826</v>
      </c>
      <c r="BY253">
        <v>7789048</v>
      </c>
      <c r="BZ253" t="s">
        <v>346</v>
      </c>
      <c r="CA253">
        <v>0</v>
      </c>
      <c r="CB253" t="s">
        <v>50</v>
      </c>
      <c r="CC253" t="s">
        <v>1724</v>
      </c>
      <c r="CD253">
        <v>4975164</v>
      </c>
      <c r="CE253" t="s">
        <v>346</v>
      </c>
      <c r="CF253">
        <v>0.01</v>
      </c>
      <c r="CG253" t="s">
        <v>53</v>
      </c>
      <c r="CH253" t="s">
        <v>1365</v>
      </c>
      <c r="CI253">
        <v>4581414</v>
      </c>
      <c r="CJ253" t="s">
        <v>346</v>
      </c>
      <c r="CK253">
        <v>0</v>
      </c>
      <c r="CL253" t="s">
        <v>62</v>
      </c>
      <c r="CM253" t="s">
        <v>937</v>
      </c>
      <c r="CN253">
        <v>4041896</v>
      </c>
      <c r="CO253" t="s">
        <v>366</v>
      </c>
      <c r="CP253">
        <v>0.01</v>
      </c>
      <c r="CQ253" t="s">
        <v>53</v>
      </c>
      <c r="CV253" t="s">
        <v>306</v>
      </c>
      <c r="DA253" t="s">
        <v>306</v>
      </c>
      <c r="DB253" t="s">
        <v>855</v>
      </c>
      <c r="DC253">
        <v>8532130</v>
      </c>
      <c r="DD253" t="s">
        <v>346</v>
      </c>
      <c r="DE253">
        <v>0.01</v>
      </c>
      <c r="DF253" t="s">
        <v>62</v>
      </c>
      <c r="DK253" t="s">
        <v>306</v>
      </c>
      <c r="DL253" t="s">
        <v>855</v>
      </c>
      <c r="DM253">
        <v>8532130</v>
      </c>
      <c r="DN253" t="s">
        <v>346</v>
      </c>
      <c r="DO253">
        <v>0.01</v>
      </c>
      <c r="DP253" t="s">
        <v>62</v>
      </c>
      <c r="DU253" t="s">
        <v>306</v>
      </c>
      <c r="DZ253" t="s">
        <v>306</v>
      </c>
      <c r="EA253" t="s">
        <v>1724</v>
      </c>
      <c r="EB253">
        <v>4975164</v>
      </c>
      <c r="EC253" t="s">
        <v>346</v>
      </c>
      <c r="ED253">
        <v>0.01</v>
      </c>
      <c r="EE253" t="s">
        <v>53</v>
      </c>
      <c r="EF253" t="s">
        <v>855</v>
      </c>
      <c r="EG253">
        <v>8532130</v>
      </c>
      <c r="EH253" t="s">
        <v>346</v>
      </c>
      <c r="EI253">
        <v>0.01</v>
      </c>
      <c r="EJ253" t="s">
        <v>62</v>
      </c>
      <c r="EO253" t="s">
        <v>306</v>
      </c>
      <c r="ET253" t="s">
        <v>306</v>
      </c>
      <c r="EY253" t="s">
        <v>306</v>
      </c>
      <c r="FD253" t="s">
        <v>306</v>
      </c>
      <c r="FI253" t="s">
        <v>306</v>
      </c>
      <c r="FN253" t="s">
        <v>306</v>
      </c>
      <c r="FS253" t="s">
        <v>306</v>
      </c>
      <c r="FX253" t="s">
        <v>306</v>
      </c>
      <c r="FY253" t="s">
        <v>855</v>
      </c>
      <c r="FZ253">
        <v>8532130</v>
      </c>
      <c r="GA253" t="s">
        <v>346</v>
      </c>
      <c r="GB253">
        <v>0.01</v>
      </c>
      <c r="GC253" t="s">
        <v>62</v>
      </c>
      <c r="GH253" t="s">
        <v>306</v>
      </c>
      <c r="GM253" t="s">
        <v>306</v>
      </c>
      <c r="GR253" t="s">
        <v>306</v>
      </c>
      <c r="GS253" t="s">
        <v>886</v>
      </c>
      <c r="GT253">
        <v>29518821</v>
      </c>
      <c r="GU253" t="s">
        <v>346</v>
      </c>
      <c r="GV253">
        <v>0</v>
      </c>
      <c r="GW253" t="s">
        <v>50</v>
      </c>
      <c r="GX253" t="s">
        <v>1724</v>
      </c>
      <c r="GY253">
        <v>4975164</v>
      </c>
      <c r="GZ253" t="s">
        <v>346</v>
      </c>
      <c r="HA253">
        <v>0.01</v>
      </c>
      <c r="HB253" t="s">
        <v>53</v>
      </c>
      <c r="HG253" t="s">
        <v>306</v>
      </c>
    </row>
    <row r="254" spans="5:215" x14ac:dyDescent="0.35">
      <c r="E254" t="s">
        <v>306</v>
      </c>
      <c r="J254" t="s">
        <v>306</v>
      </c>
      <c r="O254" t="s">
        <v>306</v>
      </c>
      <c r="T254" t="s">
        <v>306</v>
      </c>
      <c r="U254" t="s">
        <v>496</v>
      </c>
      <c r="V254">
        <v>110495</v>
      </c>
      <c r="W254" t="s">
        <v>346</v>
      </c>
      <c r="X254">
        <v>0</v>
      </c>
      <c r="Y254" t="s">
        <v>53</v>
      </c>
      <c r="AD254" t="s">
        <v>306</v>
      </c>
      <c r="AI254" t="s">
        <v>306</v>
      </c>
      <c r="AN254" t="s">
        <v>306</v>
      </c>
      <c r="AO254" t="s">
        <v>603</v>
      </c>
      <c r="AP254">
        <v>110641</v>
      </c>
      <c r="AQ254" t="s">
        <v>346</v>
      </c>
      <c r="AR254">
        <v>0</v>
      </c>
      <c r="AS254" t="s">
        <v>53</v>
      </c>
      <c r="AX254" t="s">
        <v>306</v>
      </c>
      <c r="BC254" t="s">
        <v>306</v>
      </c>
      <c r="BD254" t="s">
        <v>1276</v>
      </c>
      <c r="BE254">
        <v>8358474</v>
      </c>
      <c r="BF254" t="s">
        <v>346</v>
      </c>
      <c r="BG254">
        <v>0.01</v>
      </c>
      <c r="BH254" t="s">
        <v>62</v>
      </c>
      <c r="BI254" t="s">
        <v>601</v>
      </c>
      <c r="BJ254">
        <v>5816131</v>
      </c>
      <c r="BK254" t="s">
        <v>346</v>
      </c>
      <c r="BL254">
        <v>0</v>
      </c>
      <c r="BM254" t="s">
        <v>53</v>
      </c>
      <c r="BN254" t="s">
        <v>806</v>
      </c>
      <c r="BO254">
        <v>4140536</v>
      </c>
      <c r="BP254" t="s">
        <v>346</v>
      </c>
      <c r="BQ254">
        <v>0</v>
      </c>
      <c r="BR254" t="s">
        <v>50</v>
      </c>
      <c r="BS254" t="s">
        <v>827</v>
      </c>
      <c r="BT254">
        <v>4138775</v>
      </c>
      <c r="BU254" t="s">
        <v>346</v>
      </c>
      <c r="BV254">
        <v>0.01</v>
      </c>
      <c r="BW254" t="s">
        <v>50</v>
      </c>
      <c r="BX254" t="s">
        <v>496</v>
      </c>
      <c r="BY254">
        <v>110495</v>
      </c>
      <c r="BZ254" t="s">
        <v>346</v>
      </c>
      <c r="CA254">
        <v>0</v>
      </c>
      <c r="CB254" t="s">
        <v>53</v>
      </c>
      <c r="CC254" t="s">
        <v>1725</v>
      </c>
      <c r="CD254">
        <v>11227495</v>
      </c>
      <c r="CE254" t="s">
        <v>346</v>
      </c>
      <c r="CF254">
        <v>0.01</v>
      </c>
      <c r="CG254" t="s">
        <v>53</v>
      </c>
      <c r="CH254" t="s">
        <v>603</v>
      </c>
      <c r="CI254">
        <v>110641</v>
      </c>
      <c r="CJ254" t="s">
        <v>346</v>
      </c>
      <c r="CK254">
        <v>0</v>
      </c>
      <c r="CL254" t="s">
        <v>53</v>
      </c>
      <c r="CM254" t="s">
        <v>1334</v>
      </c>
      <c r="CN254">
        <v>4239667</v>
      </c>
      <c r="CO254" t="s">
        <v>364</v>
      </c>
      <c r="CP254">
        <v>0.01</v>
      </c>
      <c r="CQ254" t="s">
        <v>62</v>
      </c>
      <c r="CV254" t="s">
        <v>306</v>
      </c>
      <c r="DA254" t="s">
        <v>306</v>
      </c>
      <c r="DB254" t="s">
        <v>1276</v>
      </c>
      <c r="DC254">
        <v>8358474</v>
      </c>
      <c r="DD254" t="s">
        <v>346</v>
      </c>
      <c r="DE254">
        <v>0.01</v>
      </c>
      <c r="DF254" t="s">
        <v>62</v>
      </c>
      <c r="DK254" t="s">
        <v>306</v>
      </c>
      <c r="DL254" t="s">
        <v>1276</v>
      </c>
      <c r="DM254">
        <v>8358474</v>
      </c>
      <c r="DN254" t="s">
        <v>346</v>
      </c>
      <c r="DO254">
        <v>0.01</v>
      </c>
      <c r="DP254" t="s">
        <v>62</v>
      </c>
      <c r="DU254" t="s">
        <v>306</v>
      </c>
      <c r="DZ254" t="s">
        <v>306</v>
      </c>
      <c r="EA254" t="s">
        <v>1725</v>
      </c>
      <c r="EB254">
        <v>11227495</v>
      </c>
      <c r="EC254" t="s">
        <v>346</v>
      </c>
      <c r="ED254">
        <v>0.01</v>
      </c>
      <c r="EE254" t="s">
        <v>53</v>
      </c>
      <c r="EF254" t="s">
        <v>1276</v>
      </c>
      <c r="EG254">
        <v>8358474</v>
      </c>
      <c r="EH254" t="s">
        <v>346</v>
      </c>
      <c r="EI254">
        <v>0.01</v>
      </c>
      <c r="EJ254" t="s">
        <v>62</v>
      </c>
      <c r="EO254" t="s">
        <v>306</v>
      </c>
      <c r="ET254" t="s">
        <v>306</v>
      </c>
      <c r="EY254" t="s">
        <v>306</v>
      </c>
      <c r="FD254" t="s">
        <v>306</v>
      </c>
      <c r="FI254" t="s">
        <v>306</v>
      </c>
      <c r="FN254" t="s">
        <v>306</v>
      </c>
      <c r="FS254" t="s">
        <v>306</v>
      </c>
      <c r="FX254" t="s">
        <v>306</v>
      </c>
      <c r="FY254" t="s">
        <v>1276</v>
      </c>
      <c r="FZ254">
        <v>8358474</v>
      </c>
      <c r="GA254" t="s">
        <v>346</v>
      </c>
      <c r="GB254">
        <v>0.01</v>
      </c>
      <c r="GC254" t="s">
        <v>62</v>
      </c>
      <c r="GH254" t="s">
        <v>306</v>
      </c>
      <c r="GM254" t="s">
        <v>306</v>
      </c>
      <c r="GR254" t="s">
        <v>306</v>
      </c>
      <c r="GS254" t="s">
        <v>806</v>
      </c>
      <c r="GT254">
        <v>4140536</v>
      </c>
      <c r="GU254" t="s">
        <v>346</v>
      </c>
      <c r="GV254">
        <v>0</v>
      </c>
      <c r="GW254" t="s">
        <v>50</v>
      </c>
      <c r="GX254" t="s">
        <v>1725</v>
      </c>
      <c r="GY254">
        <v>11227495</v>
      </c>
      <c r="GZ254" t="s">
        <v>346</v>
      </c>
      <c r="HA254">
        <v>0.01</v>
      </c>
      <c r="HB254" t="s">
        <v>53</v>
      </c>
      <c r="HG254" t="s">
        <v>306</v>
      </c>
    </row>
    <row r="255" spans="5:215" x14ac:dyDescent="0.35">
      <c r="E255" t="s">
        <v>306</v>
      </c>
      <c r="J255" t="s">
        <v>306</v>
      </c>
      <c r="O255" t="s">
        <v>306</v>
      </c>
      <c r="T255" t="s">
        <v>306</v>
      </c>
      <c r="U255" t="s">
        <v>460</v>
      </c>
      <c r="V255">
        <v>4337989</v>
      </c>
      <c r="W255" t="s">
        <v>346</v>
      </c>
      <c r="X255">
        <v>0</v>
      </c>
      <c r="Y255" t="s">
        <v>53</v>
      </c>
      <c r="AD255" t="s">
        <v>306</v>
      </c>
      <c r="AI255" t="s">
        <v>306</v>
      </c>
      <c r="AN255" t="s">
        <v>306</v>
      </c>
      <c r="AO255" t="s">
        <v>1366</v>
      </c>
      <c r="AP255">
        <v>115685602</v>
      </c>
      <c r="AQ255" t="s">
        <v>364</v>
      </c>
      <c r="AR255">
        <v>0</v>
      </c>
      <c r="AS255" t="s">
        <v>62</v>
      </c>
      <c r="AX255" t="s">
        <v>306</v>
      </c>
      <c r="BC255" t="s">
        <v>306</v>
      </c>
      <c r="BD255" t="s">
        <v>1468</v>
      </c>
      <c r="BE255">
        <v>4224817</v>
      </c>
      <c r="BF255" t="s">
        <v>346</v>
      </c>
      <c r="BG255">
        <v>0.01</v>
      </c>
      <c r="BH255" t="s">
        <v>313</v>
      </c>
      <c r="BI255" t="s">
        <v>610</v>
      </c>
      <c r="BJ255">
        <v>10343382</v>
      </c>
      <c r="BK255" t="s">
        <v>276</v>
      </c>
      <c r="BL255">
        <v>0</v>
      </c>
      <c r="BM255" t="s">
        <v>53</v>
      </c>
      <c r="BN255" t="s">
        <v>1243</v>
      </c>
      <c r="BO255" t="s">
        <v>300</v>
      </c>
      <c r="BP255" t="s">
        <v>361</v>
      </c>
      <c r="BQ255">
        <v>0</v>
      </c>
      <c r="BR255" t="s">
        <v>50</v>
      </c>
      <c r="BS255" t="s">
        <v>402</v>
      </c>
      <c r="BT255">
        <v>4065216</v>
      </c>
      <c r="BU255" t="s">
        <v>346</v>
      </c>
      <c r="BV255">
        <v>0.01</v>
      </c>
      <c r="BW255" t="s">
        <v>313</v>
      </c>
      <c r="BX255" t="s">
        <v>460</v>
      </c>
      <c r="BY255">
        <v>4337989</v>
      </c>
      <c r="BZ255" t="s">
        <v>346</v>
      </c>
      <c r="CA255">
        <v>0</v>
      </c>
      <c r="CB255" t="s">
        <v>53</v>
      </c>
      <c r="CC255" t="s">
        <v>1726</v>
      </c>
      <c r="CD255">
        <v>4288845</v>
      </c>
      <c r="CE255" t="s">
        <v>364</v>
      </c>
      <c r="CF255">
        <v>0.01</v>
      </c>
      <c r="CG255" t="s">
        <v>313</v>
      </c>
      <c r="CH255" t="s">
        <v>1366</v>
      </c>
      <c r="CI255">
        <v>115685602</v>
      </c>
      <c r="CJ255" t="s">
        <v>364</v>
      </c>
      <c r="CK255">
        <v>0</v>
      </c>
      <c r="CL255" t="s">
        <v>62</v>
      </c>
      <c r="CM255" t="s">
        <v>1328</v>
      </c>
      <c r="CN255">
        <v>5807523</v>
      </c>
      <c r="CO255" t="s">
        <v>346</v>
      </c>
      <c r="CP255">
        <v>0.01</v>
      </c>
      <c r="CQ255" t="s">
        <v>62</v>
      </c>
      <c r="CV255" t="s">
        <v>306</v>
      </c>
      <c r="DA255" t="s">
        <v>306</v>
      </c>
      <c r="DB255" t="s">
        <v>1468</v>
      </c>
      <c r="DC255">
        <v>4224817</v>
      </c>
      <c r="DD255" t="s">
        <v>346</v>
      </c>
      <c r="DE255">
        <v>0.01</v>
      </c>
      <c r="DF255" t="s">
        <v>313</v>
      </c>
      <c r="DK255" t="s">
        <v>306</v>
      </c>
      <c r="DL255" t="s">
        <v>1468</v>
      </c>
      <c r="DM255">
        <v>4224817</v>
      </c>
      <c r="DN255" t="s">
        <v>346</v>
      </c>
      <c r="DO255">
        <v>0.01</v>
      </c>
      <c r="DP255" t="s">
        <v>313</v>
      </c>
      <c r="DU255" t="s">
        <v>306</v>
      </c>
      <c r="DZ255" t="s">
        <v>306</v>
      </c>
      <c r="EA255" t="s">
        <v>1726</v>
      </c>
      <c r="EB255">
        <v>4288845</v>
      </c>
      <c r="EC255" t="s">
        <v>364</v>
      </c>
      <c r="ED255">
        <v>0.01</v>
      </c>
      <c r="EE255" t="s">
        <v>313</v>
      </c>
      <c r="EF255" t="s">
        <v>1468</v>
      </c>
      <c r="EG255">
        <v>4224817</v>
      </c>
      <c r="EH255" t="s">
        <v>346</v>
      </c>
      <c r="EI255">
        <v>0.01</v>
      </c>
      <c r="EJ255" t="s">
        <v>313</v>
      </c>
      <c r="EO255" t="s">
        <v>306</v>
      </c>
      <c r="ET255" t="s">
        <v>306</v>
      </c>
      <c r="EY255" t="s">
        <v>306</v>
      </c>
      <c r="FD255" t="s">
        <v>306</v>
      </c>
      <c r="FI255" t="s">
        <v>306</v>
      </c>
      <c r="FN255" t="s">
        <v>306</v>
      </c>
      <c r="FS255" t="s">
        <v>306</v>
      </c>
      <c r="FX255" t="s">
        <v>306</v>
      </c>
      <c r="FY255" t="s">
        <v>1468</v>
      </c>
      <c r="FZ255">
        <v>4224817</v>
      </c>
      <c r="GA255" t="s">
        <v>346</v>
      </c>
      <c r="GB255">
        <v>0.01</v>
      </c>
      <c r="GC255" t="s">
        <v>313</v>
      </c>
      <c r="GH255" t="s">
        <v>306</v>
      </c>
      <c r="GM255" t="s">
        <v>306</v>
      </c>
      <c r="GR255" t="s">
        <v>306</v>
      </c>
      <c r="GS255" t="s">
        <v>1243</v>
      </c>
      <c r="GT255" t="s">
        <v>300</v>
      </c>
      <c r="GU255" t="s">
        <v>361</v>
      </c>
      <c r="GV255">
        <v>0</v>
      </c>
      <c r="GW255" t="s">
        <v>50</v>
      </c>
      <c r="GX255" t="s">
        <v>1726</v>
      </c>
      <c r="GY255">
        <v>4288845</v>
      </c>
      <c r="GZ255" t="s">
        <v>364</v>
      </c>
      <c r="HA255">
        <v>0.01</v>
      </c>
      <c r="HB255" t="s">
        <v>313</v>
      </c>
      <c r="HG255" t="s">
        <v>306</v>
      </c>
    </row>
    <row r="256" spans="5:215" x14ac:dyDescent="0.35">
      <c r="E256" t="s">
        <v>306</v>
      </c>
      <c r="J256" t="s">
        <v>306</v>
      </c>
      <c r="O256" t="s">
        <v>306</v>
      </c>
      <c r="T256" t="s">
        <v>306</v>
      </c>
      <c r="U256" t="s">
        <v>641</v>
      </c>
      <c r="V256">
        <v>4820048</v>
      </c>
      <c r="W256" t="s">
        <v>346</v>
      </c>
      <c r="X256">
        <v>0</v>
      </c>
      <c r="Y256" t="s">
        <v>50</v>
      </c>
      <c r="AD256" t="s">
        <v>306</v>
      </c>
      <c r="AI256" t="s">
        <v>306</v>
      </c>
      <c r="AN256" t="s">
        <v>306</v>
      </c>
      <c r="AO256" t="s">
        <v>1367</v>
      </c>
      <c r="AP256">
        <v>8246912</v>
      </c>
      <c r="AQ256" t="s">
        <v>346</v>
      </c>
      <c r="AR256">
        <v>0</v>
      </c>
      <c r="AS256" t="s">
        <v>62</v>
      </c>
      <c r="AX256" t="s">
        <v>306</v>
      </c>
      <c r="BC256" t="s">
        <v>306</v>
      </c>
      <c r="BD256" t="s">
        <v>499</v>
      </c>
      <c r="BE256">
        <v>4073190</v>
      </c>
      <c r="BF256" t="s">
        <v>346</v>
      </c>
      <c r="BG256">
        <v>0.01</v>
      </c>
      <c r="BH256" t="s">
        <v>53</v>
      </c>
      <c r="BI256" t="s">
        <v>613</v>
      </c>
      <c r="BJ256">
        <v>27267005</v>
      </c>
      <c r="BK256" t="s">
        <v>346</v>
      </c>
      <c r="BL256">
        <v>0</v>
      </c>
      <c r="BM256" t="s">
        <v>2186</v>
      </c>
      <c r="BN256" t="s">
        <v>881</v>
      </c>
      <c r="BO256">
        <v>4608579</v>
      </c>
      <c r="BP256" t="s">
        <v>346</v>
      </c>
      <c r="BQ256">
        <v>0</v>
      </c>
      <c r="BR256" t="s">
        <v>50</v>
      </c>
      <c r="BS256" t="s">
        <v>867</v>
      </c>
      <c r="BT256">
        <v>4557386</v>
      </c>
      <c r="BU256" t="s">
        <v>346</v>
      </c>
      <c r="BV256">
        <v>0.01</v>
      </c>
      <c r="BW256" t="s">
        <v>50</v>
      </c>
      <c r="BX256" t="s">
        <v>641</v>
      </c>
      <c r="BY256">
        <v>4820048</v>
      </c>
      <c r="BZ256" t="s">
        <v>346</v>
      </c>
      <c r="CA256">
        <v>0</v>
      </c>
      <c r="CB256" t="s">
        <v>50</v>
      </c>
      <c r="CC256" t="s">
        <v>1727</v>
      </c>
      <c r="CD256">
        <v>19734686</v>
      </c>
      <c r="CE256" t="s">
        <v>346</v>
      </c>
      <c r="CF256">
        <v>0.01</v>
      </c>
      <c r="CG256" t="s">
        <v>114</v>
      </c>
      <c r="CH256" t="s">
        <v>1367</v>
      </c>
      <c r="CI256">
        <v>8246912</v>
      </c>
      <c r="CJ256" t="s">
        <v>346</v>
      </c>
      <c r="CK256">
        <v>0</v>
      </c>
      <c r="CL256" t="s">
        <v>62</v>
      </c>
      <c r="CM256" t="s">
        <v>1312</v>
      </c>
      <c r="CN256">
        <v>7944855</v>
      </c>
      <c r="CO256" t="s">
        <v>346</v>
      </c>
      <c r="CP256">
        <v>0.01</v>
      </c>
      <c r="CQ256" t="s">
        <v>62</v>
      </c>
      <c r="CV256" t="s">
        <v>306</v>
      </c>
      <c r="DA256" t="s">
        <v>306</v>
      </c>
      <c r="DB256" t="s">
        <v>499</v>
      </c>
      <c r="DC256">
        <v>4073190</v>
      </c>
      <c r="DD256" t="s">
        <v>346</v>
      </c>
      <c r="DE256">
        <v>0.01</v>
      </c>
      <c r="DF256" t="s">
        <v>53</v>
      </c>
      <c r="DK256" t="s">
        <v>306</v>
      </c>
      <c r="DL256" t="s">
        <v>499</v>
      </c>
      <c r="DM256">
        <v>4073190</v>
      </c>
      <c r="DN256" t="s">
        <v>346</v>
      </c>
      <c r="DO256">
        <v>0.01</v>
      </c>
      <c r="DP256" t="s">
        <v>53</v>
      </c>
      <c r="DU256" t="s">
        <v>306</v>
      </c>
      <c r="DZ256" t="s">
        <v>306</v>
      </c>
      <c r="EA256" t="s">
        <v>1727</v>
      </c>
      <c r="EB256">
        <v>19734686</v>
      </c>
      <c r="EC256" t="s">
        <v>346</v>
      </c>
      <c r="ED256">
        <v>0.01</v>
      </c>
      <c r="EE256" t="s">
        <v>114</v>
      </c>
      <c r="EF256" t="s">
        <v>499</v>
      </c>
      <c r="EG256">
        <v>4073190</v>
      </c>
      <c r="EH256" t="s">
        <v>346</v>
      </c>
      <c r="EI256">
        <v>0.01</v>
      </c>
      <c r="EJ256" t="s">
        <v>53</v>
      </c>
      <c r="EO256" t="s">
        <v>306</v>
      </c>
      <c r="ET256" t="s">
        <v>306</v>
      </c>
      <c r="EY256" t="s">
        <v>306</v>
      </c>
      <c r="FD256" t="s">
        <v>306</v>
      </c>
      <c r="FI256" t="s">
        <v>306</v>
      </c>
      <c r="FN256" t="s">
        <v>306</v>
      </c>
      <c r="FS256" t="s">
        <v>306</v>
      </c>
      <c r="FX256" t="s">
        <v>306</v>
      </c>
      <c r="FY256" t="s">
        <v>499</v>
      </c>
      <c r="FZ256">
        <v>4073190</v>
      </c>
      <c r="GA256" t="s">
        <v>346</v>
      </c>
      <c r="GB256">
        <v>0.01</v>
      </c>
      <c r="GC256" t="s">
        <v>53</v>
      </c>
      <c r="GH256" t="s">
        <v>306</v>
      </c>
      <c r="GM256" t="s">
        <v>306</v>
      </c>
      <c r="GR256" t="s">
        <v>306</v>
      </c>
      <c r="GS256" t="s">
        <v>881</v>
      </c>
      <c r="GT256">
        <v>4608579</v>
      </c>
      <c r="GU256" t="s">
        <v>346</v>
      </c>
      <c r="GV256">
        <v>0</v>
      </c>
      <c r="GW256" t="s">
        <v>50</v>
      </c>
      <c r="GX256" t="s">
        <v>1727</v>
      </c>
      <c r="GY256">
        <v>19734686</v>
      </c>
      <c r="GZ256" t="s">
        <v>346</v>
      </c>
      <c r="HA256">
        <v>0.01</v>
      </c>
      <c r="HB256" t="s">
        <v>114</v>
      </c>
      <c r="HG256" t="s">
        <v>306</v>
      </c>
    </row>
    <row r="257" spans="5:215" x14ac:dyDescent="0.35">
      <c r="E257" t="s">
        <v>306</v>
      </c>
      <c r="J257" t="s">
        <v>306</v>
      </c>
      <c r="O257" t="s">
        <v>306</v>
      </c>
      <c r="T257" t="s">
        <v>306</v>
      </c>
      <c r="U257" t="s">
        <v>827</v>
      </c>
      <c r="V257">
        <v>4138775</v>
      </c>
      <c r="W257" t="s">
        <v>346</v>
      </c>
      <c r="X257">
        <v>0</v>
      </c>
      <c r="Y257" t="s">
        <v>50</v>
      </c>
      <c r="AD257" t="s">
        <v>306</v>
      </c>
      <c r="AI257" t="s">
        <v>306</v>
      </c>
      <c r="AN257" t="s">
        <v>306</v>
      </c>
      <c r="AO257" t="s">
        <v>1368</v>
      </c>
      <c r="AP257">
        <v>11023422</v>
      </c>
      <c r="AQ257" t="s">
        <v>346</v>
      </c>
      <c r="AR257">
        <v>0</v>
      </c>
      <c r="AS257" t="s">
        <v>62</v>
      </c>
      <c r="AX257" t="s">
        <v>306</v>
      </c>
      <c r="BC257" t="s">
        <v>306</v>
      </c>
      <c r="BD257" t="s">
        <v>1469</v>
      </c>
      <c r="BE257">
        <v>4145396</v>
      </c>
      <c r="BF257" t="s">
        <v>346</v>
      </c>
      <c r="BG257">
        <v>0.01</v>
      </c>
      <c r="BH257" t="s">
        <v>53</v>
      </c>
      <c r="BI257" t="s">
        <v>614</v>
      </c>
      <c r="BJ257">
        <v>7844534</v>
      </c>
      <c r="BK257" t="s">
        <v>346</v>
      </c>
      <c r="BL257">
        <v>0</v>
      </c>
      <c r="BM257" t="s">
        <v>320</v>
      </c>
      <c r="BN257" t="s">
        <v>837</v>
      </c>
      <c r="BO257">
        <v>5830179</v>
      </c>
      <c r="BP257" t="s">
        <v>346</v>
      </c>
      <c r="BQ257">
        <v>0</v>
      </c>
      <c r="BR257" t="s">
        <v>2186</v>
      </c>
      <c r="BS257" t="s">
        <v>773</v>
      </c>
      <c r="BT257">
        <v>4296648</v>
      </c>
      <c r="BU257" t="s">
        <v>346</v>
      </c>
      <c r="BV257">
        <v>0</v>
      </c>
      <c r="BW257" t="s">
        <v>304</v>
      </c>
      <c r="BX257" t="s">
        <v>827</v>
      </c>
      <c r="BY257">
        <v>4138775</v>
      </c>
      <c r="BZ257" t="s">
        <v>346</v>
      </c>
      <c r="CA257">
        <v>0</v>
      </c>
      <c r="CB257" t="s">
        <v>50</v>
      </c>
      <c r="CC257" t="s">
        <v>1728</v>
      </c>
      <c r="CD257">
        <v>5846303</v>
      </c>
      <c r="CE257" t="s">
        <v>346</v>
      </c>
      <c r="CF257">
        <v>0.01</v>
      </c>
      <c r="CG257" t="s">
        <v>114</v>
      </c>
      <c r="CH257" t="s">
        <v>1368</v>
      </c>
      <c r="CI257">
        <v>11023422</v>
      </c>
      <c r="CJ257" t="s">
        <v>346</v>
      </c>
      <c r="CK257">
        <v>0</v>
      </c>
      <c r="CL257" t="s">
        <v>62</v>
      </c>
      <c r="CM257" t="s">
        <v>2010</v>
      </c>
      <c r="CN257">
        <v>4146337</v>
      </c>
      <c r="CO257" t="s">
        <v>346</v>
      </c>
      <c r="CP257">
        <v>0.01</v>
      </c>
      <c r="CQ257" t="s">
        <v>53</v>
      </c>
      <c r="CV257" t="s">
        <v>306</v>
      </c>
      <c r="DA257" t="s">
        <v>306</v>
      </c>
      <c r="DB257" t="s">
        <v>1469</v>
      </c>
      <c r="DC257">
        <v>4145396</v>
      </c>
      <c r="DD257" t="s">
        <v>346</v>
      </c>
      <c r="DE257">
        <v>0.01</v>
      </c>
      <c r="DF257" t="s">
        <v>53</v>
      </c>
      <c r="DK257" t="s">
        <v>306</v>
      </c>
      <c r="DL257" t="s">
        <v>1469</v>
      </c>
      <c r="DM257">
        <v>4145396</v>
      </c>
      <c r="DN257" t="s">
        <v>346</v>
      </c>
      <c r="DO257">
        <v>0.01</v>
      </c>
      <c r="DP257" t="s">
        <v>53</v>
      </c>
      <c r="DU257" t="s">
        <v>306</v>
      </c>
      <c r="DZ257" t="s">
        <v>306</v>
      </c>
      <c r="EA257" t="s">
        <v>1728</v>
      </c>
      <c r="EB257">
        <v>5846303</v>
      </c>
      <c r="EC257" t="s">
        <v>346</v>
      </c>
      <c r="ED257">
        <v>0.01</v>
      </c>
      <c r="EE257" t="s">
        <v>114</v>
      </c>
      <c r="EF257" t="s">
        <v>1469</v>
      </c>
      <c r="EG257">
        <v>4145396</v>
      </c>
      <c r="EH257" t="s">
        <v>346</v>
      </c>
      <c r="EI257">
        <v>0.01</v>
      </c>
      <c r="EJ257" t="s">
        <v>53</v>
      </c>
      <c r="EO257" t="s">
        <v>306</v>
      </c>
      <c r="ET257" t="s">
        <v>306</v>
      </c>
      <c r="EY257" t="s">
        <v>306</v>
      </c>
      <c r="FD257" t="s">
        <v>306</v>
      </c>
      <c r="FI257" t="s">
        <v>306</v>
      </c>
      <c r="FN257" t="s">
        <v>306</v>
      </c>
      <c r="FS257" t="s">
        <v>306</v>
      </c>
      <c r="FX257" t="s">
        <v>306</v>
      </c>
      <c r="FY257" t="s">
        <v>1469</v>
      </c>
      <c r="FZ257">
        <v>4145396</v>
      </c>
      <c r="GA257" t="s">
        <v>346</v>
      </c>
      <c r="GB257">
        <v>0.01</v>
      </c>
      <c r="GC257" t="s">
        <v>53</v>
      </c>
      <c r="GH257" t="s">
        <v>306</v>
      </c>
      <c r="GM257" t="s">
        <v>306</v>
      </c>
      <c r="GR257" t="s">
        <v>306</v>
      </c>
      <c r="GS257" t="s">
        <v>837</v>
      </c>
      <c r="GT257">
        <v>5830179</v>
      </c>
      <c r="GU257" t="s">
        <v>346</v>
      </c>
      <c r="GV257">
        <v>0</v>
      </c>
      <c r="GW257" t="s">
        <v>2186</v>
      </c>
      <c r="GX257" t="s">
        <v>1728</v>
      </c>
      <c r="GY257">
        <v>5846303</v>
      </c>
      <c r="GZ257" t="s">
        <v>346</v>
      </c>
      <c r="HA257">
        <v>0.01</v>
      </c>
      <c r="HB257" t="s">
        <v>114</v>
      </c>
      <c r="HG257" t="s">
        <v>306</v>
      </c>
    </row>
    <row r="258" spans="5:215" x14ac:dyDescent="0.35">
      <c r="E258" t="s">
        <v>306</v>
      </c>
      <c r="J258" t="s">
        <v>306</v>
      </c>
      <c r="O258" t="s">
        <v>306</v>
      </c>
      <c r="T258" t="s">
        <v>306</v>
      </c>
      <c r="U258" t="s">
        <v>828</v>
      </c>
      <c r="V258">
        <v>4311273</v>
      </c>
      <c r="W258" t="s">
        <v>346</v>
      </c>
      <c r="X258">
        <v>0</v>
      </c>
      <c r="Y258" t="s">
        <v>326</v>
      </c>
      <c r="AD258" t="s">
        <v>306</v>
      </c>
      <c r="AI258" t="s">
        <v>306</v>
      </c>
      <c r="AN258" t="s">
        <v>306</v>
      </c>
      <c r="AO258" t="s">
        <v>1369</v>
      </c>
      <c r="AP258">
        <v>8342880</v>
      </c>
      <c r="AQ258" t="s">
        <v>346</v>
      </c>
      <c r="AR258">
        <v>0</v>
      </c>
      <c r="AS258" t="s">
        <v>62</v>
      </c>
      <c r="AX258" t="s">
        <v>306</v>
      </c>
      <c r="BC258" t="s">
        <v>306</v>
      </c>
      <c r="BD258" t="s">
        <v>1018</v>
      </c>
      <c r="BE258">
        <v>4117563</v>
      </c>
      <c r="BF258" t="s">
        <v>346</v>
      </c>
      <c r="BG258">
        <v>0.01</v>
      </c>
      <c r="BH258" t="s">
        <v>53</v>
      </c>
      <c r="BI258" t="s">
        <v>1599</v>
      </c>
      <c r="BJ258">
        <v>4283802</v>
      </c>
      <c r="BK258" t="s">
        <v>346</v>
      </c>
      <c r="BL258">
        <v>0</v>
      </c>
      <c r="BM258" t="s">
        <v>53</v>
      </c>
      <c r="BN258" t="s">
        <v>484</v>
      </c>
      <c r="BO258">
        <v>110386</v>
      </c>
      <c r="BP258" t="s">
        <v>346</v>
      </c>
      <c r="BQ258">
        <v>0</v>
      </c>
      <c r="BR258" t="s">
        <v>53</v>
      </c>
      <c r="BS258" t="s">
        <v>506</v>
      </c>
      <c r="BT258">
        <v>4242466</v>
      </c>
      <c r="BU258" t="s">
        <v>346</v>
      </c>
      <c r="BV258">
        <v>0</v>
      </c>
      <c r="BW258" t="s">
        <v>2185</v>
      </c>
      <c r="BX258" t="s">
        <v>828</v>
      </c>
      <c r="BY258">
        <v>4311273</v>
      </c>
      <c r="BZ258" t="s">
        <v>346</v>
      </c>
      <c r="CA258">
        <v>0</v>
      </c>
      <c r="CB258" t="s">
        <v>326</v>
      </c>
      <c r="CC258" t="s">
        <v>1729</v>
      </c>
      <c r="CD258">
        <v>5884240</v>
      </c>
      <c r="CE258" t="s">
        <v>346</v>
      </c>
      <c r="CF258">
        <v>0.01</v>
      </c>
      <c r="CG258" t="s">
        <v>114</v>
      </c>
      <c r="CH258" t="s">
        <v>1369</v>
      </c>
      <c r="CI258">
        <v>8342880</v>
      </c>
      <c r="CJ258" t="s">
        <v>346</v>
      </c>
      <c r="CK258">
        <v>0</v>
      </c>
      <c r="CL258" t="s">
        <v>62</v>
      </c>
      <c r="CM258" t="s">
        <v>1326</v>
      </c>
      <c r="CN258">
        <v>4230198</v>
      </c>
      <c r="CO258" t="s">
        <v>346</v>
      </c>
      <c r="CP258">
        <v>0.01</v>
      </c>
      <c r="CQ258" t="s">
        <v>62</v>
      </c>
      <c r="CV258" t="s">
        <v>306</v>
      </c>
      <c r="DA258" t="s">
        <v>306</v>
      </c>
      <c r="DB258" t="s">
        <v>1018</v>
      </c>
      <c r="DC258">
        <v>4117563</v>
      </c>
      <c r="DD258" t="s">
        <v>346</v>
      </c>
      <c r="DE258">
        <v>0.01</v>
      </c>
      <c r="DF258" t="s">
        <v>53</v>
      </c>
      <c r="DK258" t="s">
        <v>306</v>
      </c>
      <c r="DL258" t="s">
        <v>1018</v>
      </c>
      <c r="DM258">
        <v>4117563</v>
      </c>
      <c r="DN258" t="s">
        <v>346</v>
      </c>
      <c r="DO258">
        <v>0.01</v>
      </c>
      <c r="DP258" t="s">
        <v>53</v>
      </c>
      <c r="DU258" t="s">
        <v>306</v>
      </c>
      <c r="DZ258" t="s">
        <v>306</v>
      </c>
      <c r="EA258" t="s">
        <v>1729</v>
      </c>
      <c r="EB258">
        <v>5884240</v>
      </c>
      <c r="EC258" t="s">
        <v>346</v>
      </c>
      <c r="ED258">
        <v>0.01</v>
      </c>
      <c r="EE258" t="s">
        <v>114</v>
      </c>
      <c r="EF258" t="s">
        <v>1018</v>
      </c>
      <c r="EG258">
        <v>4117563</v>
      </c>
      <c r="EH258" t="s">
        <v>346</v>
      </c>
      <c r="EI258">
        <v>0.01</v>
      </c>
      <c r="EJ258" t="s">
        <v>53</v>
      </c>
      <c r="EO258" t="s">
        <v>306</v>
      </c>
      <c r="ET258" t="s">
        <v>306</v>
      </c>
      <c r="EY258" t="s">
        <v>306</v>
      </c>
      <c r="FD258" t="s">
        <v>306</v>
      </c>
      <c r="FI258" t="s">
        <v>306</v>
      </c>
      <c r="FN258" t="s">
        <v>306</v>
      </c>
      <c r="FS258" t="s">
        <v>306</v>
      </c>
      <c r="FX258" t="s">
        <v>306</v>
      </c>
      <c r="FY258" t="s">
        <v>1018</v>
      </c>
      <c r="FZ258">
        <v>4117563</v>
      </c>
      <c r="GA258" t="s">
        <v>346</v>
      </c>
      <c r="GB258">
        <v>0.01</v>
      </c>
      <c r="GC258" t="s">
        <v>53</v>
      </c>
      <c r="GH258" t="s">
        <v>306</v>
      </c>
      <c r="GM258" t="s">
        <v>306</v>
      </c>
      <c r="GR258" t="s">
        <v>306</v>
      </c>
      <c r="GS258" t="s">
        <v>484</v>
      </c>
      <c r="GT258">
        <v>110386</v>
      </c>
      <c r="GU258" t="s">
        <v>346</v>
      </c>
      <c r="GV258">
        <v>0</v>
      </c>
      <c r="GW258" t="s">
        <v>53</v>
      </c>
      <c r="GX258" t="s">
        <v>1729</v>
      </c>
      <c r="GY258">
        <v>5884240</v>
      </c>
      <c r="GZ258" t="s">
        <v>346</v>
      </c>
      <c r="HA258">
        <v>0.01</v>
      </c>
      <c r="HB258" t="s">
        <v>114</v>
      </c>
      <c r="HG258" t="s">
        <v>306</v>
      </c>
    </row>
    <row r="259" spans="5:215" x14ac:dyDescent="0.35">
      <c r="E259" t="s">
        <v>306</v>
      </c>
      <c r="J259" t="s">
        <v>306</v>
      </c>
      <c r="O259" t="s">
        <v>306</v>
      </c>
      <c r="T259" t="s">
        <v>306</v>
      </c>
      <c r="U259" t="s">
        <v>829</v>
      </c>
      <c r="V259">
        <v>4074095</v>
      </c>
      <c r="W259" t="s">
        <v>346</v>
      </c>
      <c r="X259">
        <v>0</v>
      </c>
      <c r="Y259" t="s">
        <v>313</v>
      </c>
      <c r="AD259" t="s">
        <v>306</v>
      </c>
      <c r="AI259" t="s">
        <v>306</v>
      </c>
      <c r="AN259" t="s">
        <v>306</v>
      </c>
      <c r="AO259" t="s">
        <v>680</v>
      </c>
      <c r="AP259">
        <v>4246606</v>
      </c>
      <c r="AQ259" t="s">
        <v>346</v>
      </c>
      <c r="AR259">
        <v>0</v>
      </c>
      <c r="AS259" t="s">
        <v>2194</v>
      </c>
      <c r="AX259" t="s">
        <v>306</v>
      </c>
      <c r="BC259" t="s">
        <v>306</v>
      </c>
      <c r="BD259" t="s">
        <v>498</v>
      </c>
      <c r="BE259">
        <v>4187546</v>
      </c>
      <c r="BF259" t="s">
        <v>346</v>
      </c>
      <c r="BG259">
        <v>0.01</v>
      </c>
      <c r="BH259" t="s">
        <v>53</v>
      </c>
      <c r="BI259" t="s">
        <v>387</v>
      </c>
      <c r="BJ259">
        <v>4020980</v>
      </c>
      <c r="BK259" t="s">
        <v>346</v>
      </c>
      <c r="BL259">
        <v>0</v>
      </c>
      <c r="BM259" t="s">
        <v>2189</v>
      </c>
      <c r="BN259" t="s">
        <v>737</v>
      </c>
      <c r="BO259">
        <v>4120029</v>
      </c>
      <c r="BP259" t="s">
        <v>346</v>
      </c>
      <c r="BQ259">
        <v>0</v>
      </c>
      <c r="BR259" t="s">
        <v>326</v>
      </c>
      <c r="BS259" t="s">
        <v>766</v>
      </c>
      <c r="BT259">
        <v>4138826</v>
      </c>
      <c r="BU259" t="s">
        <v>346</v>
      </c>
      <c r="BV259">
        <v>0</v>
      </c>
      <c r="BW259" t="s">
        <v>50</v>
      </c>
      <c r="BX259" t="s">
        <v>829</v>
      </c>
      <c r="BY259">
        <v>4074095</v>
      </c>
      <c r="BZ259" t="s">
        <v>346</v>
      </c>
      <c r="CA259">
        <v>0</v>
      </c>
      <c r="CB259" t="s">
        <v>313</v>
      </c>
      <c r="CC259" t="s">
        <v>467</v>
      </c>
      <c r="CD259">
        <v>7108293</v>
      </c>
      <c r="CE259" t="s">
        <v>369</v>
      </c>
      <c r="CF259">
        <v>0.01</v>
      </c>
      <c r="CG259" t="s">
        <v>313</v>
      </c>
      <c r="CH259" t="s">
        <v>680</v>
      </c>
      <c r="CI259">
        <v>4246606</v>
      </c>
      <c r="CJ259" t="s">
        <v>346</v>
      </c>
      <c r="CK259">
        <v>0</v>
      </c>
      <c r="CL259" t="s">
        <v>2194</v>
      </c>
      <c r="CM259" t="s">
        <v>440</v>
      </c>
      <c r="CN259">
        <v>4140078</v>
      </c>
      <c r="CO259" t="s">
        <v>346</v>
      </c>
      <c r="CP259">
        <v>0.01</v>
      </c>
      <c r="CQ259" t="s">
        <v>304</v>
      </c>
      <c r="CV259" t="s">
        <v>306</v>
      </c>
      <c r="DA259" t="s">
        <v>306</v>
      </c>
      <c r="DB259" t="s">
        <v>498</v>
      </c>
      <c r="DC259">
        <v>4187546</v>
      </c>
      <c r="DD259" t="s">
        <v>346</v>
      </c>
      <c r="DE259">
        <v>0.01</v>
      </c>
      <c r="DF259" t="s">
        <v>53</v>
      </c>
      <c r="DK259" t="s">
        <v>306</v>
      </c>
      <c r="DL259" t="s">
        <v>498</v>
      </c>
      <c r="DM259">
        <v>4187546</v>
      </c>
      <c r="DN259" t="s">
        <v>346</v>
      </c>
      <c r="DO259">
        <v>0.01</v>
      </c>
      <c r="DP259" t="s">
        <v>53</v>
      </c>
      <c r="DU259" t="s">
        <v>306</v>
      </c>
      <c r="DZ259" t="s">
        <v>306</v>
      </c>
      <c r="EA259" t="s">
        <v>467</v>
      </c>
      <c r="EB259">
        <v>7108293</v>
      </c>
      <c r="EC259" t="s">
        <v>369</v>
      </c>
      <c r="ED259">
        <v>0.01</v>
      </c>
      <c r="EE259" t="s">
        <v>313</v>
      </c>
      <c r="EF259" t="s">
        <v>498</v>
      </c>
      <c r="EG259">
        <v>4187546</v>
      </c>
      <c r="EH259" t="s">
        <v>346</v>
      </c>
      <c r="EI259">
        <v>0.01</v>
      </c>
      <c r="EJ259" t="s">
        <v>53</v>
      </c>
      <c r="EO259" t="s">
        <v>306</v>
      </c>
      <c r="ET259" t="s">
        <v>306</v>
      </c>
      <c r="EY259" t="s">
        <v>306</v>
      </c>
      <c r="FD259" t="s">
        <v>306</v>
      </c>
      <c r="FI259" t="s">
        <v>306</v>
      </c>
      <c r="FN259" t="s">
        <v>306</v>
      </c>
      <c r="FS259" t="s">
        <v>306</v>
      </c>
      <c r="FX259" t="s">
        <v>306</v>
      </c>
      <c r="FY259" t="s">
        <v>498</v>
      </c>
      <c r="FZ259">
        <v>4187546</v>
      </c>
      <c r="GA259" t="s">
        <v>346</v>
      </c>
      <c r="GB259">
        <v>0.01</v>
      </c>
      <c r="GC259" t="s">
        <v>53</v>
      </c>
      <c r="GH259" t="s">
        <v>306</v>
      </c>
      <c r="GM259" t="s">
        <v>306</v>
      </c>
      <c r="GR259" t="s">
        <v>306</v>
      </c>
      <c r="GS259" t="s">
        <v>737</v>
      </c>
      <c r="GT259">
        <v>4120029</v>
      </c>
      <c r="GU259" t="s">
        <v>346</v>
      </c>
      <c r="GV259">
        <v>0</v>
      </c>
      <c r="GW259" t="s">
        <v>326</v>
      </c>
      <c r="GX259" t="s">
        <v>467</v>
      </c>
      <c r="GY259">
        <v>7108293</v>
      </c>
      <c r="GZ259" t="s">
        <v>369</v>
      </c>
      <c r="HA259">
        <v>0.01</v>
      </c>
      <c r="HB259" t="s">
        <v>313</v>
      </c>
      <c r="HG259" t="s">
        <v>306</v>
      </c>
    </row>
    <row r="260" spans="5:215" x14ac:dyDescent="0.35">
      <c r="E260" t="s">
        <v>306</v>
      </c>
      <c r="J260" t="s">
        <v>306</v>
      </c>
      <c r="O260" t="s">
        <v>306</v>
      </c>
      <c r="T260" t="s">
        <v>306</v>
      </c>
      <c r="U260" t="s">
        <v>425</v>
      </c>
      <c r="V260">
        <v>4137704</v>
      </c>
      <c r="W260" t="s">
        <v>346</v>
      </c>
      <c r="X260">
        <v>0</v>
      </c>
      <c r="Y260" t="s">
        <v>304</v>
      </c>
      <c r="AD260" t="s">
        <v>306</v>
      </c>
      <c r="AI260" t="s">
        <v>306</v>
      </c>
      <c r="AN260" t="s">
        <v>306</v>
      </c>
      <c r="AO260" t="s">
        <v>600</v>
      </c>
      <c r="AP260">
        <v>4145203</v>
      </c>
      <c r="AQ260" t="s">
        <v>346</v>
      </c>
      <c r="AR260">
        <v>0</v>
      </c>
      <c r="AS260" t="s">
        <v>53</v>
      </c>
      <c r="AX260" t="s">
        <v>306</v>
      </c>
      <c r="BC260" t="s">
        <v>306</v>
      </c>
      <c r="BD260" t="s">
        <v>502</v>
      </c>
      <c r="BE260">
        <v>4225041</v>
      </c>
      <c r="BF260" t="s">
        <v>346</v>
      </c>
      <c r="BG260">
        <v>0.01</v>
      </c>
      <c r="BH260" t="s">
        <v>2186</v>
      </c>
      <c r="BI260" t="s">
        <v>599</v>
      </c>
      <c r="BJ260">
        <v>19350037</v>
      </c>
      <c r="BK260" t="s">
        <v>346</v>
      </c>
      <c r="BL260">
        <v>0</v>
      </c>
      <c r="BM260" t="s">
        <v>313</v>
      </c>
      <c r="BN260" t="s">
        <v>395</v>
      </c>
      <c r="BO260">
        <v>4153606</v>
      </c>
      <c r="BP260" t="s">
        <v>346</v>
      </c>
      <c r="BQ260">
        <v>0</v>
      </c>
      <c r="BR260" t="s">
        <v>53</v>
      </c>
      <c r="BS260" t="s">
        <v>657</v>
      </c>
      <c r="BT260">
        <v>5851513</v>
      </c>
      <c r="BU260" t="s">
        <v>346</v>
      </c>
      <c r="BV260">
        <v>0</v>
      </c>
      <c r="BW260" t="s">
        <v>80</v>
      </c>
      <c r="BX260" t="s">
        <v>425</v>
      </c>
      <c r="BY260">
        <v>4137704</v>
      </c>
      <c r="BZ260" t="s">
        <v>346</v>
      </c>
      <c r="CA260">
        <v>0</v>
      </c>
      <c r="CB260" t="s">
        <v>304</v>
      </c>
      <c r="CC260" t="s">
        <v>1730</v>
      </c>
      <c r="CD260">
        <v>4609245</v>
      </c>
      <c r="CE260" t="s">
        <v>346</v>
      </c>
      <c r="CF260">
        <v>0.01</v>
      </c>
      <c r="CG260" t="s">
        <v>114</v>
      </c>
      <c r="CH260" t="s">
        <v>600</v>
      </c>
      <c r="CI260">
        <v>4145203</v>
      </c>
      <c r="CJ260" t="s">
        <v>346</v>
      </c>
      <c r="CK260">
        <v>0</v>
      </c>
      <c r="CL260" t="s">
        <v>53</v>
      </c>
      <c r="CM260" t="s">
        <v>433</v>
      </c>
      <c r="CN260">
        <v>3000896</v>
      </c>
      <c r="CO260" t="s">
        <v>346</v>
      </c>
      <c r="CP260">
        <v>0.01</v>
      </c>
      <c r="CQ260" t="s">
        <v>53</v>
      </c>
      <c r="CV260" t="s">
        <v>306</v>
      </c>
      <c r="DA260" t="s">
        <v>306</v>
      </c>
      <c r="DB260" t="s">
        <v>502</v>
      </c>
      <c r="DC260">
        <v>4225041</v>
      </c>
      <c r="DD260" t="s">
        <v>346</v>
      </c>
      <c r="DE260">
        <v>0.01</v>
      </c>
      <c r="DF260" t="s">
        <v>2186</v>
      </c>
      <c r="DK260" t="s">
        <v>306</v>
      </c>
      <c r="DL260" t="s">
        <v>502</v>
      </c>
      <c r="DM260">
        <v>4225041</v>
      </c>
      <c r="DN260" t="s">
        <v>346</v>
      </c>
      <c r="DO260">
        <v>0.01</v>
      </c>
      <c r="DP260" t="s">
        <v>2186</v>
      </c>
      <c r="DU260" t="s">
        <v>306</v>
      </c>
      <c r="DZ260" t="s">
        <v>306</v>
      </c>
      <c r="EA260" t="s">
        <v>1730</v>
      </c>
      <c r="EB260">
        <v>4609245</v>
      </c>
      <c r="EC260" t="s">
        <v>346</v>
      </c>
      <c r="ED260">
        <v>0.01</v>
      </c>
      <c r="EE260" t="s">
        <v>114</v>
      </c>
      <c r="EF260" t="s">
        <v>502</v>
      </c>
      <c r="EG260">
        <v>4225041</v>
      </c>
      <c r="EH260" t="s">
        <v>346</v>
      </c>
      <c r="EI260">
        <v>0.01</v>
      </c>
      <c r="EJ260" t="s">
        <v>2186</v>
      </c>
      <c r="EO260" t="s">
        <v>306</v>
      </c>
      <c r="ET260" t="s">
        <v>306</v>
      </c>
      <c r="EY260" t="s">
        <v>306</v>
      </c>
      <c r="FD260" t="s">
        <v>306</v>
      </c>
      <c r="FI260" t="s">
        <v>306</v>
      </c>
      <c r="FN260" t="s">
        <v>306</v>
      </c>
      <c r="FS260" t="s">
        <v>306</v>
      </c>
      <c r="FX260" t="s">
        <v>306</v>
      </c>
      <c r="FY260" t="s">
        <v>502</v>
      </c>
      <c r="FZ260">
        <v>4225041</v>
      </c>
      <c r="GA260" t="s">
        <v>346</v>
      </c>
      <c r="GB260">
        <v>0.01</v>
      </c>
      <c r="GC260" t="s">
        <v>2186</v>
      </c>
      <c r="GH260" t="s">
        <v>306</v>
      </c>
      <c r="GM260" t="s">
        <v>306</v>
      </c>
      <c r="GR260" t="s">
        <v>306</v>
      </c>
      <c r="GS260" t="s">
        <v>395</v>
      </c>
      <c r="GT260">
        <v>4153606</v>
      </c>
      <c r="GU260" t="s">
        <v>346</v>
      </c>
      <c r="GV260">
        <v>0</v>
      </c>
      <c r="GW260" t="s">
        <v>53</v>
      </c>
      <c r="GX260" t="s">
        <v>1730</v>
      </c>
      <c r="GY260">
        <v>4609245</v>
      </c>
      <c r="GZ260" t="s">
        <v>346</v>
      </c>
      <c r="HA260">
        <v>0.01</v>
      </c>
      <c r="HB260" t="s">
        <v>114</v>
      </c>
      <c r="HG260" t="s">
        <v>306</v>
      </c>
    </row>
    <row r="261" spans="5:215" x14ac:dyDescent="0.35">
      <c r="E261" t="s">
        <v>306</v>
      </c>
      <c r="J261" t="s">
        <v>306</v>
      </c>
      <c r="O261" t="s">
        <v>306</v>
      </c>
      <c r="T261" t="s">
        <v>306</v>
      </c>
      <c r="U261" t="s">
        <v>378</v>
      </c>
      <c r="V261">
        <v>4048184</v>
      </c>
      <c r="W261" t="s">
        <v>346</v>
      </c>
      <c r="X261">
        <v>0</v>
      </c>
      <c r="Y261" t="s">
        <v>80</v>
      </c>
      <c r="AD261" t="s">
        <v>306</v>
      </c>
      <c r="AI261" t="s">
        <v>306</v>
      </c>
      <c r="AN261" t="s">
        <v>306</v>
      </c>
      <c r="AO261" t="s">
        <v>1178</v>
      </c>
      <c r="AP261">
        <v>5823212</v>
      </c>
      <c r="AQ261" t="s">
        <v>346</v>
      </c>
      <c r="AR261">
        <v>0</v>
      </c>
      <c r="AS261" t="s">
        <v>306</v>
      </c>
      <c r="AX261" t="s">
        <v>306</v>
      </c>
      <c r="BC261" t="s">
        <v>306</v>
      </c>
      <c r="BD261" t="s">
        <v>559</v>
      </c>
      <c r="BE261">
        <v>4018163</v>
      </c>
      <c r="BF261" t="s">
        <v>346</v>
      </c>
      <c r="BG261">
        <v>0.01</v>
      </c>
      <c r="BH261" t="s">
        <v>53</v>
      </c>
      <c r="BI261" t="s">
        <v>1600</v>
      </c>
      <c r="BJ261" t="s">
        <v>300</v>
      </c>
      <c r="BK261" t="s">
        <v>361</v>
      </c>
      <c r="BL261">
        <v>0</v>
      </c>
      <c r="BM261" t="s">
        <v>50</v>
      </c>
      <c r="BN261" t="s">
        <v>576</v>
      </c>
      <c r="BO261">
        <v>4672091</v>
      </c>
      <c r="BP261" t="s">
        <v>300</v>
      </c>
      <c r="BQ261">
        <v>0</v>
      </c>
      <c r="BR261" t="s">
        <v>62</v>
      </c>
      <c r="BS261" t="s">
        <v>543</v>
      </c>
      <c r="BT261">
        <v>4138118</v>
      </c>
      <c r="BU261" t="s">
        <v>346</v>
      </c>
      <c r="BV261">
        <v>0</v>
      </c>
      <c r="BW261" t="s">
        <v>326</v>
      </c>
      <c r="BX261" t="s">
        <v>378</v>
      </c>
      <c r="BY261">
        <v>4048184</v>
      </c>
      <c r="BZ261" t="s">
        <v>346</v>
      </c>
      <c r="CA261">
        <v>0</v>
      </c>
      <c r="CB261" t="s">
        <v>80</v>
      </c>
      <c r="CC261" t="s">
        <v>979</v>
      </c>
      <c r="CD261">
        <v>4041196</v>
      </c>
      <c r="CE261" t="s">
        <v>366</v>
      </c>
      <c r="CF261">
        <v>0.01</v>
      </c>
      <c r="CG261" t="s">
        <v>313</v>
      </c>
      <c r="CH261" t="s">
        <v>1178</v>
      </c>
      <c r="CI261">
        <v>5823212</v>
      </c>
      <c r="CJ261" t="s">
        <v>346</v>
      </c>
      <c r="CK261">
        <v>0</v>
      </c>
      <c r="CL261" t="s">
        <v>306</v>
      </c>
      <c r="CM261" t="s">
        <v>2011</v>
      </c>
      <c r="CN261" t="s">
        <v>300</v>
      </c>
      <c r="CO261" t="s">
        <v>361</v>
      </c>
      <c r="CP261">
        <v>0.01</v>
      </c>
      <c r="CQ261" t="s">
        <v>50</v>
      </c>
      <c r="CV261" t="s">
        <v>306</v>
      </c>
      <c r="DA261" t="s">
        <v>306</v>
      </c>
      <c r="DB261" t="s">
        <v>559</v>
      </c>
      <c r="DC261">
        <v>4018163</v>
      </c>
      <c r="DD261" t="s">
        <v>346</v>
      </c>
      <c r="DE261">
        <v>0.01</v>
      </c>
      <c r="DF261" t="s">
        <v>53</v>
      </c>
      <c r="DK261" t="s">
        <v>306</v>
      </c>
      <c r="DL261" t="s">
        <v>559</v>
      </c>
      <c r="DM261">
        <v>4018163</v>
      </c>
      <c r="DN261" t="s">
        <v>346</v>
      </c>
      <c r="DO261">
        <v>0.01</v>
      </c>
      <c r="DP261" t="s">
        <v>53</v>
      </c>
      <c r="DU261" t="s">
        <v>306</v>
      </c>
      <c r="DZ261" t="s">
        <v>306</v>
      </c>
      <c r="EA261" t="s">
        <v>979</v>
      </c>
      <c r="EB261">
        <v>4041196</v>
      </c>
      <c r="EC261" t="s">
        <v>366</v>
      </c>
      <c r="ED261">
        <v>0.01</v>
      </c>
      <c r="EE261" t="s">
        <v>313</v>
      </c>
      <c r="EF261" t="s">
        <v>559</v>
      </c>
      <c r="EG261">
        <v>4018163</v>
      </c>
      <c r="EH261" t="s">
        <v>346</v>
      </c>
      <c r="EI261">
        <v>0.01</v>
      </c>
      <c r="EJ261" t="s">
        <v>53</v>
      </c>
      <c r="EO261" t="s">
        <v>306</v>
      </c>
      <c r="ET261" t="s">
        <v>306</v>
      </c>
      <c r="EY261" t="s">
        <v>306</v>
      </c>
      <c r="FD261" t="s">
        <v>306</v>
      </c>
      <c r="FI261" t="s">
        <v>306</v>
      </c>
      <c r="FN261" t="s">
        <v>306</v>
      </c>
      <c r="FS261" t="s">
        <v>306</v>
      </c>
      <c r="FX261" t="s">
        <v>306</v>
      </c>
      <c r="FY261" t="s">
        <v>559</v>
      </c>
      <c r="FZ261">
        <v>4018163</v>
      </c>
      <c r="GA261" t="s">
        <v>346</v>
      </c>
      <c r="GB261">
        <v>0.01</v>
      </c>
      <c r="GC261" t="s">
        <v>53</v>
      </c>
      <c r="GH261" t="s">
        <v>306</v>
      </c>
      <c r="GM261" t="s">
        <v>306</v>
      </c>
      <c r="GR261" t="s">
        <v>306</v>
      </c>
      <c r="GS261" t="s">
        <v>576</v>
      </c>
      <c r="GT261">
        <v>4672091</v>
      </c>
      <c r="GU261" t="s">
        <v>300</v>
      </c>
      <c r="GV261">
        <v>0</v>
      </c>
      <c r="GW261" t="s">
        <v>62</v>
      </c>
      <c r="GX261" t="s">
        <v>979</v>
      </c>
      <c r="GY261">
        <v>4041196</v>
      </c>
      <c r="GZ261" t="s">
        <v>366</v>
      </c>
      <c r="HA261">
        <v>0.01</v>
      </c>
      <c r="HB261" t="s">
        <v>313</v>
      </c>
      <c r="HG261" t="s">
        <v>306</v>
      </c>
    </row>
    <row r="262" spans="5:215" x14ac:dyDescent="0.35">
      <c r="E262" t="s">
        <v>306</v>
      </c>
      <c r="J262" t="s">
        <v>306</v>
      </c>
      <c r="O262" t="s">
        <v>306</v>
      </c>
      <c r="T262" t="s">
        <v>306</v>
      </c>
      <c r="U262" t="s">
        <v>830</v>
      </c>
      <c r="V262">
        <v>4621446</v>
      </c>
      <c r="W262" t="s">
        <v>346</v>
      </c>
      <c r="X262">
        <v>0</v>
      </c>
      <c r="Y262" t="s">
        <v>50</v>
      </c>
      <c r="AD262" t="s">
        <v>306</v>
      </c>
      <c r="AI262" t="s">
        <v>306</v>
      </c>
      <c r="AN262" t="s">
        <v>306</v>
      </c>
      <c r="AO262" t="s">
        <v>564</v>
      </c>
      <c r="AP262">
        <v>4137693</v>
      </c>
      <c r="AQ262" t="s">
        <v>346</v>
      </c>
      <c r="AR262">
        <v>0</v>
      </c>
      <c r="AS262" t="s">
        <v>2194</v>
      </c>
      <c r="AX262" t="s">
        <v>306</v>
      </c>
      <c r="BC262" t="s">
        <v>306</v>
      </c>
      <c r="BD262" t="s">
        <v>1280</v>
      </c>
      <c r="BE262">
        <v>5818409</v>
      </c>
      <c r="BF262" t="s">
        <v>364</v>
      </c>
      <c r="BG262">
        <v>0.01</v>
      </c>
      <c r="BH262" t="s">
        <v>62</v>
      </c>
      <c r="BI262" t="s">
        <v>1601</v>
      </c>
      <c r="BJ262" t="s">
        <v>300</v>
      </c>
      <c r="BK262" t="s">
        <v>361</v>
      </c>
      <c r="BL262">
        <v>0</v>
      </c>
      <c r="BM262" t="s">
        <v>50</v>
      </c>
      <c r="BN262" t="s">
        <v>1244</v>
      </c>
      <c r="BO262">
        <v>106982880</v>
      </c>
      <c r="BP262" t="s">
        <v>346</v>
      </c>
      <c r="BQ262">
        <v>0</v>
      </c>
      <c r="BR262" t="s">
        <v>50</v>
      </c>
      <c r="BS262" t="s">
        <v>449</v>
      </c>
      <c r="BT262">
        <v>4093616</v>
      </c>
      <c r="BU262" t="s">
        <v>346</v>
      </c>
      <c r="BV262">
        <v>0</v>
      </c>
      <c r="BW262" t="s">
        <v>80</v>
      </c>
      <c r="BX262" t="s">
        <v>830</v>
      </c>
      <c r="BY262">
        <v>4621446</v>
      </c>
      <c r="BZ262" t="s">
        <v>346</v>
      </c>
      <c r="CA262">
        <v>0</v>
      </c>
      <c r="CB262" t="s">
        <v>50</v>
      </c>
      <c r="CC262" t="s">
        <v>472</v>
      </c>
      <c r="CD262">
        <v>4048215</v>
      </c>
      <c r="CE262" t="s">
        <v>346</v>
      </c>
      <c r="CF262">
        <v>0.01</v>
      </c>
      <c r="CG262" t="s">
        <v>53</v>
      </c>
      <c r="CH262" t="s">
        <v>564</v>
      </c>
      <c r="CI262">
        <v>4137693</v>
      </c>
      <c r="CJ262" t="s">
        <v>346</v>
      </c>
      <c r="CK262">
        <v>0</v>
      </c>
      <c r="CL262" t="s">
        <v>2194</v>
      </c>
      <c r="CM262" t="s">
        <v>2012</v>
      </c>
      <c r="CN262">
        <v>5849928</v>
      </c>
      <c r="CO262" t="s">
        <v>364</v>
      </c>
      <c r="CP262">
        <v>0.01</v>
      </c>
      <c r="CQ262" t="s">
        <v>62</v>
      </c>
      <c r="CV262" t="s">
        <v>306</v>
      </c>
      <c r="DA262" t="s">
        <v>306</v>
      </c>
      <c r="DB262" t="s">
        <v>1280</v>
      </c>
      <c r="DC262">
        <v>5818409</v>
      </c>
      <c r="DD262" t="s">
        <v>364</v>
      </c>
      <c r="DE262">
        <v>0.01</v>
      </c>
      <c r="DF262" t="s">
        <v>62</v>
      </c>
      <c r="DK262" t="s">
        <v>306</v>
      </c>
      <c r="DL262" t="s">
        <v>1280</v>
      </c>
      <c r="DM262">
        <v>5818409</v>
      </c>
      <c r="DN262" t="s">
        <v>364</v>
      </c>
      <c r="DO262">
        <v>0.01</v>
      </c>
      <c r="DP262" t="s">
        <v>62</v>
      </c>
      <c r="DU262" t="s">
        <v>306</v>
      </c>
      <c r="DZ262" t="s">
        <v>306</v>
      </c>
      <c r="EA262" t="s">
        <v>472</v>
      </c>
      <c r="EB262">
        <v>4048215</v>
      </c>
      <c r="EC262" t="s">
        <v>346</v>
      </c>
      <c r="ED262">
        <v>0.01</v>
      </c>
      <c r="EE262" t="s">
        <v>53</v>
      </c>
      <c r="EF262" t="s">
        <v>1280</v>
      </c>
      <c r="EG262">
        <v>5818409</v>
      </c>
      <c r="EH262" t="s">
        <v>364</v>
      </c>
      <c r="EI262">
        <v>0.01</v>
      </c>
      <c r="EJ262" t="s">
        <v>62</v>
      </c>
      <c r="EO262" t="s">
        <v>306</v>
      </c>
      <c r="ET262" t="s">
        <v>306</v>
      </c>
      <c r="EY262" t="s">
        <v>306</v>
      </c>
      <c r="FD262" t="s">
        <v>306</v>
      </c>
      <c r="FI262" t="s">
        <v>306</v>
      </c>
      <c r="FN262" t="s">
        <v>306</v>
      </c>
      <c r="FS262" t="s">
        <v>306</v>
      </c>
      <c r="FX262" t="s">
        <v>306</v>
      </c>
      <c r="FY262" t="s">
        <v>1280</v>
      </c>
      <c r="FZ262">
        <v>5818409</v>
      </c>
      <c r="GA262" t="s">
        <v>364</v>
      </c>
      <c r="GB262">
        <v>0.01</v>
      </c>
      <c r="GC262" t="s">
        <v>62</v>
      </c>
      <c r="GH262" t="s">
        <v>306</v>
      </c>
      <c r="GM262" t="s">
        <v>306</v>
      </c>
      <c r="GR262" t="s">
        <v>306</v>
      </c>
      <c r="GS262" t="s">
        <v>1244</v>
      </c>
      <c r="GT262">
        <v>106982880</v>
      </c>
      <c r="GU262" t="s">
        <v>346</v>
      </c>
      <c r="GV262">
        <v>0</v>
      </c>
      <c r="GW262" t="s">
        <v>50</v>
      </c>
      <c r="GX262" t="s">
        <v>472</v>
      </c>
      <c r="GY262">
        <v>4048215</v>
      </c>
      <c r="GZ262" t="s">
        <v>346</v>
      </c>
      <c r="HA262">
        <v>0.01</v>
      </c>
      <c r="HB262" t="s">
        <v>53</v>
      </c>
      <c r="HG262" t="s">
        <v>306</v>
      </c>
    </row>
    <row r="263" spans="5:215" x14ac:dyDescent="0.35">
      <c r="E263" t="s">
        <v>306</v>
      </c>
      <c r="J263" t="s">
        <v>306</v>
      </c>
      <c r="O263" t="s">
        <v>306</v>
      </c>
      <c r="T263" t="s">
        <v>306</v>
      </c>
      <c r="U263" t="s">
        <v>831</v>
      </c>
      <c r="V263">
        <v>109508756</v>
      </c>
      <c r="W263" t="s">
        <v>346</v>
      </c>
      <c r="X263">
        <v>0</v>
      </c>
      <c r="Y263" t="s">
        <v>306</v>
      </c>
      <c r="AD263" t="s">
        <v>306</v>
      </c>
      <c r="AI263" t="s">
        <v>306</v>
      </c>
      <c r="AN263" t="s">
        <v>306</v>
      </c>
      <c r="AO263" t="s">
        <v>628</v>
      </c>
      <c r="AP263">
        <v>4289501</v>
      </c>
      <c r="AQ263" t="s">
        <v>346</v>
      </c>
      <c r="AR263">
        <v>0</v>
      </c>
      <c r="AS263" t="s">
        <v>313</v>
      </c>
      <c r="AX263" t="s">
        <v>306</v>
      </c>
      <c r="BC263" t="s">
        <v>306</v>
      </c>
      <c r="BD263" t="s">
        <v>1141</v>
      </c>
      <c r="BE263">
        <v>5767199</v>
      </c>
      <c r="BF263" t="s">
        <v>346</v>
      </c>
      <c r="BG263">
        <v>0.01</v>
      </c>
      <c r="BH263" t="s">
        <v>67</v>
      </c>
      <c r="BI263" t="s">
        <v>1179</v>
      </c>
      <c r="BJ263">
        <v>4556895</v>
      </c>
      <c r="BK263" t="s">
        <v>346</v>
      </c>
      <c r="BL263">
        <v>0</v>
      </c>
      <c r="BM263" t="s">
        <v>2193</v>
      </c>
      <c r="BN263" t="s">
        <v>439</v>
      </c>
      <c r="BO263">
        <v>4757367</v>
      </c>
      <c r="BP263" t="s">
        <v>363</v>
      </c>
      <c r="BQ263">
        <v>0</v>
      </c>
      <c r="BR263" t="s">
        <v>125</v>
      </c>
      <c r="BS263" t="s">
        <v>532</v>
      </c>
      <c r="BT263">
        <v>4225018</v>
      </c>
      <c r="BU263" t="s">
        <v>346</v>
      </c>
      <c r="BV263">
        <v>0</v>
      </c>
      <c r="BW263" t="s">
        <v>2191</v>
      </c>
      <c r="BX263" t="s">
        <v>831</v>
      </c>
      <c r="BY263">
        <v>109508756</v>
      </c>
      <c r="BZ263" t="s">
        <v>346</v>
      </c>
      <c r="CA263">
        <v>0</v>
      </c>
      <c r="CB263" t="s">
        <v>306</v>
      </c>
      <c r="CC263" t="s">
        <v>1731</v>
      </c>
      <c r="CD263" t="s">
        <v>300</v>
      </c>
      <c r="CE263" t="s">
        <v>361</v>
      </c>
      <c r="CF263">
        <v>0.01</v>
      </c>
      <c r="CG263" t="s">
        <v>50</v>
      </c>
      <c r="CH263" t="s">
        <v>628</v>
      </c>
      <c r="CI263">
        <v>4289501</v>
      </c>
      <c r="CJ263" t="s">
        <v>346</v>
      </c>
      <c r="CK263">
        <v>0</v>
      </c>
      <c r="CL263" t="s">
        <v>313</v>
      </c>
      <c r="CM263" t="s">
        <v>2013</v>
      </c>
      <c r="CN263">
        <v>124646695</v>
      </c>
      <c r="CO263" t="s">
        <v>276</v>
      </c>
      <c r="CP263">
        <v>0.01</v>
      </c>
      <c r="CQ263" t="s">
        <v>53</v>
      </c>
      <c r="CV263" t="s">
        <v>306</v>
      </c>
      <c r="DA263" t="s">
        <v>306</v>
      </c>
      <c r="DB263" t="s">
        <v>1141</v>
      </c>
      <c r="DC263">
        <v>5767199</v>
      </c>
      <c r="DD263" t="s">
        <v>346</v>
      </c>
      <c r="DE263">
        <v>0.01</v>
      </c>
      <c r="DF263" t="s">
        <v>67</v>
      </c>
      <c r="DK263" t="s">
        <v>306</v>
      </c>
      <c r="DL263" t="s">
        <v>1141</v>
      </c>
      <c r="DM263">
        <v>5767199</v>
      </c>
      <c r="DN263" t="s">
        <v>346</v>
      </c>
      <c r="DO263">
        <v>0.01</v>
      </c>
      <c r="DP263" t="s">
        <v>67</v>
      </c>
      <c r="DU263" t="s">
        <v>306</v>
      </c>
      <c r="DZ263" t="s">
        <v>306</v>
      </c>
      <c r="EA263" t="s">
        <v>1731</v>
      </c>
      <c r="EB263" t="s">
        <v>300</v>
      </c>
      <c r="EC263" t="s">
        <v>361</v>
      </c>
      <c r="ED263">
        <v>0.01</v>
      </c>
      <c r="EE263" t="s">
        <v>50</v>
      </c>
      <c r="EF263" t="s">
        <v>1141</v>
      </c>
      <c r="EG263">
        <v>5767199</v>
      </c>
      <c r="EH263" t="s">
        <v>346</v>
      </c>
      <c r="EI263">
        <v>0.01</v>
      </c>
      <c r="EJ263" t="s">
        <v>67</v>
      </c>
      <c r="EO263" t="s">
        <v>306</v>
      </c>
      <c r="ET263" t="s">
        <v>306</v>
      </c>
      <c r="EY263" t="s">
        <v>306</v>
      </c>
      <c r="FD263" t="s">
        <v>306</v>
      </c>
      <c r="FI263" t="s">
        <v>306</v>
      </c>
      <c r="FN263" t="s">
        <v>306</v>
      </c>
      <c r="FS263" t="s">
        <v>306</v>
      </c>
      <c r="FX263" t="s">
        <v>306</v>
      </c>
      <c r="FY263" t="s">
        <v>1141</v>
      </c>
      <c r="FZ263">
        <v>5767199</v>
      </c>
      <c r="GA263" t="s">
        <v>346</v>
      </c>
      <c r="GB263">
        <v>0.01</v>
      </c>
      <c r="GC263" t="s">
        <v>67</v>
      </c>
      <c r="GH263" t="s">
        <v>306</v>
      </c>
      <c r="GM263" t="s">
        <v>306</v>
      </c>
      <c r="GR263" t="s">
        <v>306</v>
      </c>
      <c r="GS263" t="s">
        <v>439</v>
      </c>
      <c r="GT263">
        <v>4757367</v>
      </c>
      <c r="GU263" t="s">
        <v>363</v>
      </c>
      <c r="GV263">
        <v>0</v>
      </c>
      <c r="GW263" t="s">
        <v>125</v>
      </c>
      <c r="GX263" t="s">
        <v>1731</v>
      </c>
      <c r="GY263" t="s">
        <v>300</v>
      </c>
      <c r="GZ263" t="s">
        <v>361</v>
      </c>
      <c r="HA263">
        <v>0.01</v>
      </c>
      <c r="HB263" t="s">
        <v>50</v>
      </c>
      <c r="HG263" t="s">
        <v>306</v>
      </c>
    </row>
    <row r="264" spans="5:215" x14ac:dyDescent="0.35">
      <c r="E264" t="s">
        <v>306</v>
      </c>
      <c r="J264" t="s">
        <v>306</v>
      </c>
      <c r="O264" t="s">
        <v>306</v>
      </c>
      <c r="T264" t="s">
        <v>306</v>
      </c>
      <c r="U264" t="s">
        <v>465</v>
      </c>
      <c r="V264">
        <v>4119440</v>
      </c>
      <c r="W264" t="s">
        <v>346</v>
      </c>
      <c r="X264">
        <v>0</v>
      </c>
      <c r="Y264" t="s">
        <v>53</v>
      </c>
      <c r="AD264" t="s">
        <v>306</v>
      </c>
      <c r="AI264" t="s">
        <v>306</v>
      </c>
      <c r="AN264" t="s">
        <v>306</v>
      </c>
      <c r="AO264" t="s">
        <v>1370</v>
      </c>
      <c r="AP264">
        <v>19495946</v>
      </c>
      <c r="AQ264" t="s">
        <v>346</v>
      </c>
      <c r="AR264">
        <v>0</v>
      </c>
      <c r="AS264" t="s">
        <v>62</v>
      </c>
      <c r="AX264" t="s">
        <v>306</v>
      </c>
      <c r="BC264" t="s">
        <v>306</v>
      </c>
      <c r="BD264" t="s">
        <v>1239</v>
      </c>
      <c r="BE264">
        <v>111486</v>
      </c>
      <c r="BF264" t="s">
        <v>346</v>
      </c>
      <c r="BG264">
        <v>0.01</v>
      </c>
      <c r="BH264" t="s">
        <v>53</v>
      </c>
      <c r="BI264" t="s">
        <v>1602</v>
      </c>
      <c r="BJ264">
        <v>5764468</v>
      </c>
      <c r="BK264" t="s">
        <v>346</v>
      </c>
      <c r="BL264">
        <v>0</v>
      </c>
      <c r="BM264" t="s">
        <v>2186</v>
      </c>
      <c r="BN264" t="s">
        <v>717</v>
      </c>
      <c r="BO264">
        <v>4345275</v>
      </c>
      <c r="BP264" t="s">
        <v>346</v>
      </c>
      <c r="BQ264">
        <v>0</v>
      </c>
      <c r="BR264" t="s">
        <v>50</v>
      </c>
      <c r="BS264" t="s">
        <v>538</v>
      </c>
      <c r="BT264">
        <v>4547194</v>
      </c>
      <c r="BU264" t="s">
        <v>346</v>
      </c>
      <c r="BV264">
        <v>0</v>
      </c>
      <c r="BW264" t="s">
        <v>2194</v>
      </c>
      <c r="BX264" t="s">
        <v>465</v>
      </c>
      <c r="BY264">
        <v>4119440</v>
      </c>
      <c r="BZ264" t="s">
        <v>346</v>
      </c>
      <c r="CA264">
        <v>0</v>
      </c>
      <c r="CB264" t="s">
        <v>53</v>
      </c>
      <c r="CC264" t="s">
        <v>1732</v>
      </c>
      <c r="CD264">
        <v>5803574</v>
      </c>
      <c r="CE264" t="s">
        <v>364</v>
      </c>
      <c r="CF264">
        <v>0.01</v>
      </c>
      <c r="CG264" t="s">
        <v>114</v>
      </c>
      <c r="CH264" t="s">
        <v>1370</v>
      </c>
      <c r="CI264">
        <v>19495946</v>
      </c>
      <c r="CJ264" t="s">
        <v>346</v>
      </c>
      <c r="CK264">
        <v>0</v>
      </c>
      <c r="CL264" t="s">
        <v>62</v>
      </c>
      <c r="CM264" t="s">
        <v>2014</v>
      </c>
      <c r="CN264">
        <v>6691825</v>
      </c>
      <c r="CO264" t="s">
        <v>346</v>
      </c>
      <c r="CP264">
        <v>0.01</v>
      </c>
      <c r="CQ264" t="s">
        <v>313</v>
      </c>
      <c r="CV264" t="s">
        <v>306</v>
      </c>
      <c r="DA264" t="s">
        <v>306</v>
      </c>
      <c r="DB264" t="s">
        <v>1239</v>
      </c>
      <c r="DC264">
        <v>111486</v>
      </c>
      <c r="DD264" t="s">
        <v>346</v>
      </c>
      <c r="DE264">
        <v>0.01</v>
      </c>
      <c r="DF264" t="s">
        <v>53</v>
      </c>
      <c r="DK264" t="s">
        <v>306</v>
      </c>
      <c r="DL264" t="s">
        <v>1239</v>
      </c>
      <c r="DM264">
        <v>111486</v>
      </c>
      <c r="DN264" t="s">
        <v>346</v>
      </c>
      <c r="DO264">
        <v>0.01</v>
      </c>
      <c r="DP264" t="s">
        <v>53</v>
      </c>
      <c r="DU264" t="s">
        <v>306</v>
      </c>
      <c r="DZ264" t="s">
        <v>306</v>
      </c>
      <c r="EA264" t="s">
        <v>1732</v>
      </c>
      <c r="EB264">
        <v>5803574</v>
      </c>
      <c r="EC264" t="s">
        <v>364</v>
      </c>
      <c r="ED264">
        <v>0.01</v>
      </c>
      <c r="EE264" t="s">
        <v>114</v>
      </c>
      <c r="EF264" t="s">
        <v>1239</v>
      </c>
      <c r="EG264">
        <v>111486</v>
      </c>
      <c r="EH264" t="s">
        <v>346</v>
      </c>
      <c r="EI264">
        <v>0.01</v>
      </c>
      <c r="EJ264" t="s">
        <v>53</v>
      </c>
      <c r="EO264" t="s">
        <v>306</v>
      </c>
      <c r="ET264" t="s">
        <v>306</v>
      </c>
      <c r="EY264" t="s">
        <v>306</v>
      </c>
      <c r="FD264" t="s">
        <v>306</v>
      </c>
      <c r="FI264" t="s">
        <v>306</v>
      </c>
      <c r="FN264" t="s">
        <v>306</v>
      </c>
      <c r="FS264" t="s">
        <v>306</v>
      </c>
      <c r="FX264" t="s">
        <v>306</v>
      </c>
      <c r="FY264" t="s">
        <v>1239</v>
      </c>
      <c r="FZ264">
        <v>111486</v>
      </c>
      <c r="GA264" t="s">
        <v>346</v>
      </c>
      <c r="GB264">
        <v>0.01</v>
      </c>
      <c r="GC264" t="s">
        <v>53</v>
      </c>
      <c r="GH264" t="s">
        <v>306</v>
      </c>
      <c r="GM264" t="s">
        <v>306</v>
      </c>
      <c r="GR264" t="s">
        <v>306</v>
      </c>
      <c r="GS264" t="s">
        <v>717</v>
      </c>
      <c r="GT264">
        <v>4345275</v>
      </c>
      <c r="GU264" t="s">
        <v>346</v>
      </c>
      <c r="GV264">
        <v>0</v>
      </c>
      <c r="GW264" t="s">
        <v>50</v>
      </c>
      <c r="GX264" t="s">
        <v>1732</v>
      </c>
      <c r="GY264">
        <v>5803574</v>
      </c>
      <c r="GZ264" t="s">
        <v>364</v>
      </c>
      <c r="HA264">
        <v>0.01</v>
      </c>
      <c r="HB264" t="s">
        <v>114</v>
      </c>
      <c r="HG264" t="s">
        <v>306</v>
      </c>
    </row>
    <row r="265" spans="5:215" x14ac:dyDescent="0.35">
      <c r="E265" t="s">
        <v>306</v>
      </c>
      <c r="J265" t="s">
        <v>306</v>
      </c>
      <c r="O265" t="s">
        <v>306</v>
      </c>
      <c r="T265" t="s">
        <v>306</v>
      </c>
      <c r="U265" t="s">
        <v>832</v>
      </c>
      <c r="V265">
        <v>15135223</v>
      </c>
      <c r="W265" t="s">
        <v>346</v>
      </c>
      <c r="X265">
        <v>0</v>
      </c>
      <c r="Y265" t="s">
        <v>50</v>
      </c>
      <c r="AD265" t="s">
        <v>306</v>
      </c>
      <c r="AI265" t="s">
        <v>306</v>
      </c>
      <c r="AN265" t="s">
        <v>306</v>
      </c>
      <c r="AO265" t="s">
        <v>1371</v>
      </c>
      <c r="AP265">
        <v>7789175</v>
      </c>
      <c r="AQ265" t="s">
        <v>346</v>
      </c>
      <c r="AR265">
        <v>0</v>
      </c>
      <c r="AS265" t="s">
        <v>62</v>
      </c>
      <c r="AX265" t="s">
        <v>306</v>
      </c>
      <c r="BC265" t="s">
        <v>306</v>
      </c>
      <c r="BD265" t="s">
        <v>1470</v>
      </c>
      <c r="BE265">
        <v>4049169</v>
      </c>
      <c r="BF265" t="s">
        <v>366</v>
      </c>
      <c r="BG265">
        <v>0.01</v>
      </c>
      <c r="BH265" t="s">
        <v>125</v>
      </c>
      <c r="BI265" t="s">
        <v>1603</v>
      </c>
      <c r="BJ265" t="s">
        <v>300</v>
      </c>
      <c r="BK265" t="s">
        <v>361</v>
      </c>
      <c r="BL265">
        <v>0</v>
      </c>
      <c r="BM265" t="s">
        <v>50</v>
      </c>
      <c r="BN265" t="s">
        <v>553</v>
      </c>
      <c r="BO265">
        <v>4557089</v>
      </c>
      <c r="BP265" t="s">
        <v>346</v>
      </c>
      <c r="BQ265">
        <v>0</v>
      </c>
      <c r="BR265" t="s">
        <v>80</v>
      </c>
      <c r="BS265" t="s">
        <v>507</v>
      </c>
      <c r="BT265">
        <v>4150758</v>
      </c>
      <c r="BU265" t="s">
        <v>366</v>
      </c>
      <c r="BV265">
        <v>0</v>
      </c>
      <c r="BW265" t="s">
        <v>320</v>
      </c>
      <c r="BX265" t="s">
        <v>832</v>
      </c>
      <c r="BY265">
        <v>15135223</v>
      </c>
      <c r="BZ265" t="s">
        <v>346</v>
      </c>
      <c r="CA265">
        <v>0</v>
      </c>
      <c r="CB265" t="s">
        <v>50</v>
      </c>
      <c r="CC265" t="s">
        <v>1733</v>
      </c>
      <c r="CD265">
        <v>4853822</v>
      </c>
      <c r="CE265" t="s">
        <v>346</v>
      </c>
      <c r="CF265">
        <v>0.01</v>
      </c>
      <c r="CG265" t="s">
        <v>313</v>
      </c>
      <c r="CH265" t="s">
        <v>1371</v>
      </c>
      <c r="CI265">
        <v>7789175</v>
      </c>
      <c r="CJ265" t="s">
        <v>346</v>
      </c>
      <c r="CK265">
        <v>0</v>
      </c>
      <c r="CL265" t="s">
        <v>62</v>
      </c>
      <c r="CM265" t="s">
        <v>2015</v>
      </c>
      <c r="CN265">
        <v>4582215</v>
      </c>
      <c r="CO265" t="s">
        <v>346</v>
      </c>
      <c r="CP265">
        <v>0</v>
      </c>
      <c r="CQ265" t="s">
        <v>53</v>
      </c>
      <c r="CV265" t="s">
        <v>306</v>
      </c>
      <c r="DA265" t="s">
        <v>306</v>
      </c>
      <c r="DB265" t="s">
        <v>1470</v>
      </c>
      <c r="DC265">
        <v>4049169</v>
      </c>
      <c r="DD265" t="s">
        <v>366</v>
      </c>
      <c r="DE265">
        <v>0.01</v>
      </c>
      <c r="DF265" t="s">
        <v>125</v>
      </c>
      <c r="DK265" t="s">
        <v>306</v>
      </c>
      <c r="DL265" t="s">
        <v>1470</v>
      </c>
      <c r="DM265">
        <v>4049169</v>
      </c>
      <c r="DN265" t="s">
        <v>366</v>
      </c>
      <c r="DO265">
        <v>0.01</v>
      </c>
      <c r="DP265" t="s">
        <v>125</v>
      </c>
      <c r="DU265" t="s">
        <v>306</v>
      </c>
      <c r="DZ265" t="s">
        <v>306</v>
      </c>
      <c r="EA265" t="s">
        <v>1733</v>
      </c>
      <c r="EB265">
        <v>4853822</v>
      </c>
      <c r="EC265" t="s">
        <v>346</v>
      </c>
      <c r="ED265">
        <v>0.01</v>
      </c>
      <c r="EE265" t="s">
        <v>313</v>
      </c>
      <c r="EF265" t="s">
        <v>1470</v>
      </c>
      <c r="EG265">
        <v>4049169</v>
      </c>
      <c r="EH265" t="s">
        <v>366</v>
      </c>
      <c r="EI265">
        <v>0.01</v>
      </c>
      <c r="EJ265" t="s">
        <v>125</v>
      </c>
      <c r="EO265" t="s">
        <v>306</v>
      </c>
      <c r="ET265" t="s">
        <v>306</v>
      </c>
      <c r="EY265" t="s">
        <v>306</v>
      </c>
      <c r="FD265" t="s">
        <v>306</v>
      </c>
      <c r="FI265" t="s">
        <v>306</v>
      </c>
      <c r="FN265" t="s">
        <v>306</v>
      </c>
      <c r="FS265" t="s">
        <v>306</v>
      </c>
      <c r="FX265" t="s">
        <v>306</v>
      </c>
      <c r="FY265" t="s">
        <v>1470</v>
      </c>
      <c r="FZ265">
        <v>4049169</v>
      </c>
      <c r="GA265" t="s">
        <v>366</v>
      </c>
      <c r="GB265">
        <v>0.01</v>
      </c>
      <c r="GC265" t="s">
        <v>125</v>
      </c>
      <c r="GH265" t="s">
        <v>306</v>
      </c>
      <c r="GM265" t="s">
        <v>306</v>
      </c>
      <c r="GR265" t="s">
        <v>306</v>
      </c>
      <c r="GS265" t="s">
        <v>553</v>
      </c>
      <c r="GT265">
        <v>4557089</v>
      </c>
      <c r="GU265" t="s">
        <v>346</v>
      </c>
      <c r="GV265">
        <v>0</v>
      </c>
      <c r="GW265" t="s">
        <v>80</v>
      </c>
      <c r="GX265" t="s">
        <v>1733</v>
      </c>
      <c r="GY265">
        <v>4853822</v>
      </c>
      <c r="GZ265" t="s">
        <v>346</v>
      </c>
      <c r="HA265">
        <v>0.01</v>
      </c>
      <c r="HB265" t="s">
        <v>313</v>
      </c>
      <c r="HG265" t="s">
        <v>306</v>
      </c>
    </row>
    <row r="266" spans="5:215" x14ac:dyDescent="0.35">
      <c r="E266" t="s">
        <v>306</v>
      </c>
      <c r="J266" t="s">
        <v>306</v>
      </c>
      <c r="O266" t="s">
        <v>306</v>
      </c>
      <c r="T266" t="s">
        <v>306</v>
      </c>
      <c r="U266" t="s">
        <v>833</v>
      </c>
      <c r="V266">
        <v>110527</v>
      </c>
      <c r="W266" t="s">
        <v>346</v>
      </c>
      <c r="X266">
        <v>0</v>
      </c>
      <c r="Y266" t="s">
        <v>53</v>
      </c>
      <c r="AD266" t="s">
        <v>306</v>
      </c>
      <c r="AI266" t="s">
        <v>306</v>
      </c>
      <c r="AN266" t="s">
        <v>306</v>
      </c>
      <c r="AO266" t="s">
        <v>1372</v>
      </c>
      <c r="AP266">
        <v>5869594</v>
      </c>
      <c r="AQ266" t="s">
        <v>346</v>
      </c>
      <c r="AR266">
        <v>0</v>
      </c>
      <c r="AS266" t="s">
        <v>62</v>
      </c>
      <c r="AX266" t="s">
        <v>306</v>
      </c>
      <c r="BC266" t="s">
        <v>306</v>
      </c>
      <c r="BD266" t="s">
        <v>1471</v>
      </c>
      <c r="BE266">
        <v>5758195</v>
      </c>
      <c r="BF266" t="s">
        <v>346</v>
      </c>
      <c r="BG266">
        <v>0.01</v>
      </c>
      <c r="BH266" t="s">
        <v>62</v>
      </c>
      <c r="BI266" t="s">
        <v>1604</v>
      </c>
      <c r="BJ266" t="s">
        <v>300</v>
      </c>
      <c r="BK266" t="s">
        <v>361</v>
      </c>
      <c r="BL266">
        <v>0</v>
      </c>
      <c r="BM266" t="s">
        <v>50</v>
      </c>
      <c r="BN266" t="s">
        <v>1080</v>
      </c>
      <c r="BO266">
        <v>4644090</v>
      </c>
      <c r="BP266" t="s">
        <v>346</v>
      </c>
      <c r="BQ266">
        <v>0</v>
      </c>
      <c r="BR266" t="s">
        <v>326</v>
      </c>
      <c r="BS266" t="s">
        <v>463</v>
      </c>
      <c r="BT266">
        <v>4138888</v>
      </c>
      <c r="BU266" t="s">
        <v>346</v>
      </c>
      <c r="BV266">
        <v>0</v>
      </c>
      <c r="BW266" t="s">
        <v>375</v>
      </c>
      <c r="BX266" t="s">
        <v>833</v>
      </c>
      <c r="BY266">
        <v>110527</v>
      </c>
      <c r="BZ266" t="s">
        <v>346</v>
      </c>
      <c r="CA266">
        <v>0</v>
      </c>
      <c r="CB266" t="s">
        <v>53</v>
      </c>
      <c r="CC266" t="s">
        <v>1734</v>
      </c>
      <c r="CD266">
        <v>4093038</v>
      </c>
      <c r="CE266" t="s">
        <v>346</v>
      </c>
      <c r="CF266">
        <v>0.01</v>
      </c>
      <c r="CG266" t="s">
        <v>53</v>
      </c>
      <c r="CH266" t="s">
        <v>1372</v>
      </c>
      <c r="CI266">
        <v>5869594</v>
      </c>
      <c r="CJ266" t="s">
        <v>346</v>
      </c>
      <c r="CK266">
        <v>0</v>
      </c>
      <c r="CL266" t="s">
        <v>62</v>
      </c>
      <c r="CM266" t="s">
        <v>1768</v>
      </c>
      <c r="CN266">
        <v>4853792</v>
      </c>
      <c r="CO266" t="s">
        <v>366</v>
      </c>
      <c r="CP266">
        <v>0</v>
      </c>
      <c r="CQ266" t="s">
        <v>313</v>
      </c>
      <c r="CV266" t="s">
        <v>306</v>
      </c>
      <c r="DA266" t="s">
        <v>306</v>
      </c>
      <c r="DB266" t="s">
        <v>1471</v>
      </c>
      <c r="DC266">
        <v>5758195</v>
      </c>
      <c r="DD266" t="s">
        <v>346</v>
      </c>
      <c r="DE266">
        <v>0.01</v>
      </c>
      <c r="DF266" t="s">
        <v>62</v>
      </c>
      <c r="DK266" t="s">
        <v>306</v>
      </c>
      <c r="DL266" t="s">
        <v>1471</v>
      </c>
      <c r="DM266">
        <v>5758195</v>
      </c>
      <c r="DN266" t="s">
        <v>346</v>
      </c>
      <c r="DO266">
        <v>0.01</v>
      </c>
      <c r="DP266" t="s">
        <v>62</v>
      </c>
      <c r="DU266" t="s">
        <v>306</v>
      </c>
      <c r="DZ266" t="s">
        <v>306</v>
      </c>
      <c r="EA266" t="s">
        <v>1734</v>
      </c>
      <c r="EB266">
        <v>4093038</v>
      </c>
      <c r="EC266" t="s">
        <v>346</v>
      </c>
      <c r="ED266">
        <v>0.01</v>
      </c>
      <c r="EE266" t="s">
        <v>53</v>
      </c>
      <c r="EF266" t="s">
        <v>1471</v>
      </c>
      <c r="EG266">
        <v>5758195</v>
      </c>
      <c r="EH266" t="s">
        <v>346</v>
      </c>
      <c r="EI266">
        <v>0.01</v>
      </c>
      <c r="EJ266" t="s">
        <v>62</v>
      </c>
      <c r="EO266" t="s">
        <v>306</v>
      </c>
      <c r="ET266" t="s">
        <v>306</v>
      </c>
      <c r="EY266" t="s">
        <v>306</v>
      </c>
      <c r="FD266" t="s">
        <v>306</v>
      </c>
      <c r="FI266" t="s">
        <v>306</v>
      </c>
      <c r="FN266" t="s">
        <v>306</v>
      </c>
      <c r="FS266" t="s">
        <v>306</v>
      </c>
      <c r="FX266" t="s">
        <v>306</v>
      </c>
      <c r="FY266" t="s">
        <v>1471</v>
      </c>
      <c r="FZ266">
        <v>5758195</v>
      </c>
      <c r="GA266" t="s">
        <v>346</v>
      </c>
      <c r="GB266">
        <v>0.01</v>
      </c>
      <c r="GC266" t="s">
        <v>62</v>
      </c>
      <c r="GH266" t="s">
        <v>306</v>
      </c>
      <c r="GM266" t="s">
        <v>306</v>
      </c>
      <c r="GR266" t="s">
        <v>306</v>
      </c>
      <c r="GS266" t="s">
        <v>1080</v>
      </c>
      <c r="GT266">
        <v>4644090</v>
      </c>
      <c r="GU266" t="s">
        <v>346</v>
      </c>
      <c r="GV266">
        <v>0</v>
      </c>
      <c r="GW266" t="s">
        <v>326</v>
      </c>
      <c r="GX266" t="s">
        <v>1734</v>
      </c>
      <c r="GY266">
        <v>4093038</v>
      </c>
      <c r="GZ266" t="s">
        <v>346</v>
      </c>
      <c r="HA266">
        <v>0.01</v>
      </c>
      <c r="HB266" t="s">
        <v>53</v>
      </c>
      <c r="HG266" t="s">
        <v>306</v>
      </c>
    </row>
    <row r="267" spans="5:215" x14ac:dyDescent="0.35">
      <c r="E267" t="s">
        <v>306</v>
      </c>
      <c r="J267" t="s">
        <v>306</v>
      </c>
      <c r="O267" t="s">
        <v>306</v>
      </c>
      <c r="T267" t="s">
        <v>306</v>
      </c>
      <c r="U267" t="s">
        <v>834</v>
      </c>
      <c r="V267">
        <v>4097957</v>
      </c>
      <c r="W267" t="s">
        <v>346</v>
      </c>
      <c r="X267">
        <v>0</v>
      </c>
      <c r="Y267" t="s">
        <v>53</v>
      </c>
      <c r="AD267" t="s">
        <v>306</v>
      </c>
      <c r="AI267" t="s">
        <v>306</v>
      </c>
      <c r="AN267" t="s">
        <v>306</v>
      </c>
      <c r="AO267" t="s">
        <v>1373</v>
      </c>
      <c r="AP267">
        <v>4399531</v>
      </c>
      <c r="AQ267" t="s">
        <v>346</v>
      </c>
      <c r="AR267">
        <v>0</v>
      </c>
      <c r="AS267" t="s">
        <v>2184</v>
      </c>
      <c r="AX267" t="s">
        <v>306</v>
      </c>
      <c r="BC267" t="s">
        <v>306</v>
      </c>
      <c r="BD267" t="s">
        <v>1162</v>
      </c>
      <c r="BE267">
        <v>4139861</v>
      </c>
      <c r="BF267" t="s">
        <v>346</v>
      </c>
      <c r="BG267">
        <v>0.01</v>
      </c>
      <c r="BH267" t="s">
        <v>2184</v>
      </c>
      <c r="BI267" t="s">
        <v>418</v>
      </c>
      <c r="BJ267">
        <v>109776</v>
      </c>
      <c r="BK267" t="s">
        <v>346</v>
      </c>
      <c r="BL267">
        <v>0</v>
      </c>
      <c r="BM267" t="s">
        <v>53</v>
      </c>
      <c r="BN267" t="s">
        <v>870</v>
      </c>
      <c r="BO267">
        <v>8364410</v>
      </c>
      <c r="BP267" t="s">
        <v>346</v>
      </c>
      <c r="BQ267">
        <v>0</v>
      </c>
      <c r="BR267" t="s">
        <v>50</v>
      </c>
      <c r="BS267" t="s">
        <v>806</v>
      </c>
      <c r="BT267">
        <v>4140536</v>
      </c>
      <c r="BU267" t="s">
        <v>346</v>
      </c>
      <c r="BV267">
        <v>0</v>
      </c>
      <c r="BW267" t="s">
        <v>50</v>
      </c>
      <c r="BX267" t="s">
        <v>834</v>
      </c>
      <c r="BY267">
        <v>4097957</v>
      </c>
      <c r="BZ267" t="s">
        <v>346</v>
      </c>
      <c r="CA267">
        <v>0</v>
      </c>
      <c r="CB267" t="s">
        <v>53</v>
      </c>
      <c r="CC267" t="s">
        <v>1735</v>
      </c>
      <c r="CD267">
        <v>4590847</v>
      </c>
      <c r="CE267" t="s">
        <v>346</v>
      </c>
      <c r="CF267">
        <v>0.01</v>
      </c>
      <c r="CG267" t="s">
        <v>53</v>
      </c>
      <c r="CH267" t="s">
        <v>1373</v>
      </c>
      <c r="CI267">
        <v>4399531</v>
      </c>
      <c r="CJ267" t="s">
        <v>346</v>
      </c>
      <c r="CK267">
        <v>0</v>
      </c>
      <c r="CL267" t="s">
        <v>2184</v>
      </c>
      <c r="CM267" t="s">
        <v>1700</v>
      </c>
      <c r="CN267">
        <v>4117795</v>
      </c>
      <c r="CO267" t="s">
        <v>346</v>
      </c>
      <c r="CP267">
        <v>0</v>
      </c>
      <c r="CQ267" t="s">
        <v>53</v>
      </c>
      <c r="CV267" t="s">
        <v>306</v>
      </c>
      <c r="DA267" t="s">
        <v>306</v>
      </c>
      <c r="DB267" t="s">
        <v>1162</v>
      </c>
      <c r="DC267">
        <v>4139861</v>
      </c>
      <c r="DD267" t="s">
        <v>346</v>
      </c>
      <c r="DE267">
        <v>0.01</v>
      </c>
      <c r="DF267" t="s">
        <v>2184</v>
      </c>
      <c r="DK267" t="s">
        <v>306</v>
      </c>
      <c r="DL267" t="s">
        <v>1162</v>
      </c>
      <c r="DM267">
        <v>4139861</v>
      </c>
      <c r="DN267" t="s">
        <v>346</v>
      </c>
      <c r="DO267">
        <v>0.01</v>
      </c>
      <c r="DP267" t="s">
        <v>2184</v>
      </c>
      <c r="DU267" t="s">
        <v>306</v>
      </c>
      <c r="DZ267" t="s">
        <v>306</v>
      </c>
      <c r="EA267" t="s">
        <v>1735</v>
      </c>
      <c r="EB267">
        <v>4590847</v>
      </c>
      <c r="EC267" t="s">
        <v>346</v>
      </c>
      <c r="ED267">
        <v>0.01</v>
      </c>
      <c r="EE267" t="s">
        <v>53</v>
      </c>
      <c r="EF267" t="s">
        <v>1162</v>
      </c>
      <c r="EG267">
        <v>4139861</v>
      </c>
      <c r="EH267" t="s">
        <v>346</v>
      </c>
      <c r="EI267">
        <v>0.01</v>
      </c>
      <c r="EJ267" t="s">
        <v>2184</v>
      </c>
      <c r="EO267" t="s">
        <v>306</v>
      </c>
      <c r="ET267" t="s">
        <v>306</v>
      </c>
      <c r="EY267" t="s">
        <v>306</v>
      </c>
      <c r="FD267" t="s">
        <v>306</v>
      </c>
      <c r="FI267" t="s">
        <v>306</v>
      </c>
      <c r="FN267" t="s">
        <v>306</v>
      </c>
      <c r="FS267" t="s">
        <v>306</v>
      </c>
      <c r="FX267" t="s">
        <v>306</v>
      </c>
      <c r="FY267" t="s">
        <v>1162</v>
      </c>
      <c r="FZ267">
        <v>4139861</v>
      </c>
      <c r="GA267" t="s">
        <v>346</v>
      </c>
      <c r="GB267">
        <v>0.01</v>
      </c>
      <c r="GC267" t="s">
        <v>2184</v>
      </c>
      <c r="GH267" t="s">
        <v>306</v>
      </c>
      <c r="GM267" t="s">
        <v>306</v>
      </c>
      <c r="GR267" t="s">
        <v>306</v>
      </c>
      <c r="GS267" t="s">
        <v>870</v>
      </c>
      <c r="GT267">
        <v>8364410</v>
      </c>
      <c r="GU267" t="s">
        <v>346</v>
      </c>
      <c r="GV267">
        <v>0</v>
      </c>
      <c r="GW267" t="s">
        <v>50</v>
      </c>
      <c r="GX267" t="s">
        <v>1735</v>
      </c>
      <c r="GY267">
        <v>4590847</v>
      </c>
      <c r="GZ267" t="s">
        <v>346</v>
      </c>
      <c r="HA267">
        <v>0.01</v>
      </c>
      <c r="HB267" t="s">
        <v>53</v>
      </c>
      <c r="HG267" t="s">
        <v>306</v>
      </c>
    </row>
    <row r="268" spans="5:215" x14ac:dyDescent="0.35">
      <c r="E268" t="s">
        <v>306</v>
      </c>
      <c r="J268" t="s">
        <v>306</v>
      </c>
      <c r="O268" t="s">
        <v>306</v>
      </c>
      <c r="T268" t="s">
        <v>306</v>
      </c>
      <c r="U268" t="s">
        <v>835</v>
      </c>
      <c r="V268">
        <v>4878959</v>
      </c>
      <c r="W268" t="s">
        <v>346</v>
      </c>
      <c r="X268">
        <v>0</v>
      </c>
      <c r="Y268" t="s">
        <v>50</v>
      </c>
      <c r="AD268" t="s">
        <v>306</v>
      </c>
      <c r="AI268" t="s">
        <v>306</v>
      </c>
      <c r="AN268" t="s">
        <v>306</v>
      </c>
      <c r="AO268" t="s">
        <v>1374</v>
      </c>
      <c r="AP268">
        <v>7941727</v>
      </c>
      <c r="AQ268" t="s">
        <v>346</v>
      </c>
      <c r="AR268">
        <v>0</v>
      </c>
      <c r="AS268" t="s">
        <v>62</v>
      </c>
      <c r="AX268" t="s">
        <v>306</v>
      </c>
      <c r="BC268" t="s">
        <v>306</v>
      </c>
      <c r="BD268" t="s">
        <v>1273</v>
      </c>
      <c r="BE268">
        <v>4423324</v>
      </c>
      <c r="BF268" t="s">
        <v>346</v>
      </c>
      <c r="BG268">
        <v>0.01</v>
      </c>
      <c r="BH268" t="s">
        <v>62</v>
      </c>
      <c r="BI268" t="s">
        <v>1605</v>
      </c>
      <c r="BJ268">
        <v>110330</v>
      </c>
      <c r="BK268" t="s">
        <v>346</v>
      </c>
      <c r="BL268">
        <v>0</v>
      </c>
      <c r="BM268" t="s">
        <v>53</v>
      </c>
      <c r="BN268" t="s">
        <v>850</v>
      </c>
      <c r="BO268">
        <v>5853751</v>
      </c>
      <c r="BP268" t="s">
        <v>346</v>
      </c>
      <c r="BQ268">
        <v>0</v>
      </c>
      <c r="BR268" t="s">
        <v>50</v>
      </c>
      <c r="BS268" t="s">
        <v>488</v>
      </c>
      <c r="BT268">
        <v>4087052</v>
      </c>
      <c r="BU268" t="s">
        <v>346</v>
      </c>
      <c r="BV268">
        <v>0</v>
      </c>
      <c r="BW268" t="s">
        <v>53</v>
      </c>
      <c r="BX268" t="s">
        <v>835</v>
      </c>
      <c r="BY268">
        <v>4878959</v>
      </c>
      <c r="BZ268" t="s">
        <v>346</v>
      </c>
      <c r="CA268">
        <v>0</v>
      </c>
      <c r="CB268" t="s">
        <v>50</v>
      </c>
      <c r="CC268" t="s">
        <v>1736</v>
      </c>
      <c r="CD268">
        <v>4118104</v>
      </c>
      <c r="CE268" t="s">
        <v>346</v>
      </c>
      <c r="CF268">
        <v>0.01</v>
      </c>
      <c r="CG268" t="s">
        <v>53</v>
      </c>
      <c r="CH268" t="s">
        <v>1374</v>
      </c>
      <c r="CI268">
        <v>7941727</v>
      </c>
      <c r="CJ268" t="s">
        <v>346</v>
      </c>
      <c r="CK268">
        <v>0</v>
      </c>
      <c r="CL268" t="s">
        <v>62</v>
      </c>
      <c r="CM268" t="s">
        <v>1327</v>
      </c>
      <c r="CN268">
        <v>19814121</v>
      </c>
      <c r="CO268" t="s">
        <v>346</v>
      </c>
      <c r="CP268">
        <v>0</v>
      </c>
      <c r="CQ268" t="s">
        <v>62</v>
      </c>
      <c r="CV268" t="s">
        <v>306</v>
      </c>
      <c r="DA268" t="s">
        <v>306</v>
      </c>
      <c r="DB268" t="s">
        <v>1273</v>
      </c>
      <c r="DC268">
        <v>4423324</v>
      </c>
      <c r="DD268" t="s">
        <v>346</v>
      </c>
      <c r="DE268">
        <v>0.01</v>
      </c>
      <c r="DF268" t="s">
        <v>62</v>
      </c>
      <c r="DK268" t="s">
        <v>306</v>
      </c>
      <c r="DL268" t="s">
        <v>1273</v>
      </c>
      <c r="DM268">
        <v>4423324</v>
      </c>
      <c r="DN268" t="s">
        <v>346</v>
      </c>
      <c r="DO268">
        <v>0.01</v>
      </c>
      <c r="DP268" t="s">
        <v>62</v>
      </c>
      <c r="DU268" t="s">
        <v>306</v>
      </c>
      <c r="DZ268" t="s">
        <v>306</v>
      </c>
      <c r="EA268" t="s">
        <v>1736</v>
      </c>
      <c r="EB268">
        <v>4118104</v>
      </c>
      <c r="EC268" t="s">
        <v>346</v>
      </c>
      <c r="ED268">
        <v>0.01</v>
      </c>
      <c r="EE268" t="s">
        <v>53</v>
      </c>
      <c r="EF268" t="s">
        <v>1273</v>
      </c>
      <c r="EG268">
        <v>4423324</v>
      </c>
      <c r="EH268" t="s">
        <v>346</v>
      </c>
      <c r="EI268">
        <v>0.01</v>
      </c>
      <c r="EJ268" t="s">
        <v>62</v>
      </c>
      <c r="EO268" t="s">
        <v>306</v>
      </c>
      <c r="ET268" t="s">
        <v>306</v>
      </c>
      <c r="EY268" t="s">
        <v>306</v>
      </c>
      <c r="FD268" t="s">
        <v>306</v>
      </c>
      <c r="FI268" t="s">
        <v>306</v>
      </c>
      <c r="FN268" t="s">
        <v>306</v>
      </c>
      <c r="FS268" t="s">
        <v>306</v>
      </c>
      <c r="FX268" t="s">
        <v>306</v>
      </c>
      <c r="FY268" t="s">
        <v>1273</v>
      </c>
      <c r="FZ268">
        <v>4423324</v>
      </c>
      <c r="GA268" t="s">
        <v>346</v>
      </c>
      <c r="GB268">
        <v>0.01</v>
      </c>
      <c r="GC268" t="s">
        <v>62</v>
      </c>
      <c r="GH268" t="s">
        <v>306</v>
      </c>
      <c r="GM268" t="s">
        <v>306</v>
      </c>
      <c r="GR268" t="s">
        <v>306</v>
      </c>
      <c r="GS268" t="s">
        <v>850</v>
      </c>
      <c r="GT268">
        <v>5853751</v>
      </c>
      <c r="GU268" t="s">
        <v>346</v>
      </c>
      <c r="GV268">
        <v>0</v>
      </c>
      <c r="GW268" t="s">
        <v>50</v>
      </c>
      <c r="GX268" t="s">
        <v>1736</v>
      </c>
      <c r="GY268">
        <v>4118104</v>
      </c>
      <c r="GZ268" t="s">
        <v>346</v>
      </c>
      <c r="HA268">
        <v>0.01</v>
      </c>
      <c r="HB268" t="s">
        <v>53</v>
      </c>
      <c r="HG268" t="s">
        <v>306</v>
      </c>
    </row>
    <row r="269" spans="5:215" x14ac:dyDescent="0.35">
      <c r="E269" t="s">
        <v>306</v>
      </c>
      <c r="J269" t="s">
        <v>306</v>
      </c>
      <c r="O269" t="s">
        <v>306</v>
      </c>
      <c r="T269" t="s">
        <v>306</v>
      </c>
      <c r="U269" t="s">
        <v>836</v>
      </c>
      <c r="V269">
        <v>4396635</v>
      </c>
      <c r="W269" t="s">
        <v>346</v>
      </c>
      <c r="X269">
        <v>0</v>
      </c>
      <c r="Y269" t="s">
        <v>50</v>
      </c>
      <c r="AD269" t="s">
        <v>306</v>
      </c>
      <c r="AI269" t="s">
        <v>306</v>
      </c>
      <c r="AN269" t="s">
        <v>306</v>
      </c>
      <c r="AO269" t="s">
        <v>540</v>
      </c>
      <c r="AP269">
        <v>4281265</v>
      </c>
      <c r="AQ269" t="s">
        <v>346</v>
      </c>
      <c r="AR269">
        <v>0</v>
      </c>
      <c r="AS269" t="s">
        <v>80</v>
      </c>
      <c r="AX269" t="s">
        <v>306</v>
      </c>
      <c r="BC269" t="s">
        <v>306</v>
      </c>
      <c r="BD269" t="s">
        <v>1472</v>
      </c>
      <c r="BE269">
        <v>7357269</v>
      </c>
      <c r="BF269" t="s">
        <v>346</v>
      </c>
      <c r="BG269">
        <v>0</v>
      </c>
      <c r="BH269" t="s">
        <v>53</v>
      </c>
      <c r="BI269" t="s">
        <v>882</v>
      </c>
      <c r="BJ269">
        <v>110793</v>
      </c>
      <c r="BK269" t="s">
        <v>346</v>
      </c>
      <c r="BL269">
        <v>0</v>
      </c>
      <c r="BM269" t="s">
        <v>53</v>
      </c>
      <c r="BN269" t="s">
        <v>895</v>
      </c>
      <c r="BO269">
        <v>106158792</v>
      </c>
      <c r="BP269" t="s">
        <v>346</v>
      </c>
      <c r="BQ269">
        <v>0</v>
      </c>
      <c r="BR269" t="s">
        <v>50</v>
      </c>
      <c r="BS269" t="s">
        <v>999</v>
      </c>
      <c r="BT269">
        <v>4031268</v>
      </c>
      <c r="BU269" t="s">
        <v>346</v>
      </c>
      <c r="BV269">
        <v>0</v>
      </c>
      <c r="BW269" t="s">
        <v>53</v>
      </c>
      <c r="BX269" t="s">
        <v>836</v>
      </c>
      <c r="BY269">
        <v>4396635</v>
      </c>
      <c r="BZ269" t="s">
        <v>346</v>
      </c>
      <c r="CA269">
        <v>0</v>
      </c>
      <c r="CB269" t="s">
        <v>50</v>
      </c>
      <c r="CC269" t="s">
        <v>489</v>
      </c>
      <c r="CD269">
        <v>4324456</v>
      </c>
      <c r="CE269" t="s">
        <v>346</v>
      </c>
      <c r="CF269">
        <v>0.01</v>
      </c>
      <c r="CG269" t="s">
        <v>2194</v>
      </c>
      <c r="CH269" t="s">
        <v>540</v>
      </c>
      <c r="CI269">
        <v>4281265</v>
      </c>
      <c r="CJ269" t="s">
        <v>346</v>
      </c>
      <c r="CK269">
        <v>0</v>
      </c>
      <c r="CL269" t="s">
        <v>80</v>
      </c>
      <c r="CM269" t="s">
        <v>824</v>
      </c>
      <c r="CN269">
        <v>4213196</v>
      </c>
      <c r="CO269" t="s">
        <v>346</v>
      </c>
      <c r="CP269">
        <v>0</v>
      </c>
      <c r="CQ269" t="s">
        <v>304</v>
      </c>
      <c r="CV269" t="s">
        <v>306</v>
      </c>
      <c r="DA269" t="s">
        <v>306</v>
      </c>
      <c r="DB269" t="s">
        <v>1472</v>
      </c>
      <c r="DC269">
        <v>7357269</v>
      </c>
      <c r="DD269" t="s">
        <v>346</v>
      </c>
      <c r="DE269">
        <v>0</v>
      </c>
      <c r="DF269" t="s">
        <v>53</v>
      </c>
      <c r="DK269" t="s">
        <v>306</v>
      </c>
      <c r="DL269" t="s">
        <v>1472</v>
      </c>
      <c r="DM269">
        <v>7357269</v>
      </c>
      <c r="DN269" t="s">
        <v>346</v>
      </c>
      <c r="DO269">
        <v>0</v>
      </c>
      <c r="DP269" t="s">
        <v>53</v>
      </c>
      <c r="DU269" t="s">
        <v>306</v>
      </c>
      <c r="DZ269" t="s">
        <v>306</v>
      </c>
      <c r="EA269" t="s">
        <v>489</v>
      </c>
      <c r="EB269">
        <v>4324456</v>
      </c>
      <c r="EC269" t="s">
        <v>346</v>
      </c>
      <c r="ED269">
        <v>0.01</v>
      </c>
      <c r="EE269" t="s">
        <v>2194</v>
      </c>
      <c r="EF269" t="s">
        <v>1472</v>
      </c>
      <c r="EG269">
        <v>7357269</v>
      </c>
      <c r="EH269" t="s">
        <v>346</v>
      </c>
      <c r="EI269">
        <v>0</v>
      </c>
      <c r="EJ269" t="s">
        <v>53</v>
      </c>
      <c r="EO269" t="s">
        <v>306</v>
      </c>
      <c r="ET269" t="s">
        <v>306</v>
      </c>
      <c r="EY269" t="s">
        <v>306</v>
      </c>
      <c r="FD269" t="s">
        <v>306</v>
      </c>
      <c r="FI269" t="s">
        <v>306</v>
      </c>
      <c r="FN269" t="s">
        <v>306</v>
      </c>
      <c r="FS269" t="s">
        <v>306</v>
      </c>
      <c r="FX269" t="s">
        <v>306</v>
      </c>
      <c r="FY269" t="s">
        <v>1472</v>
      </c>
      <c r="FZ269">
        <v>7357269</v>
      </c>
      <c r="GA269" t="s">
        <v>346</v>
      </c>
      <c r="GB269">
        <v>0</v>
      </c>
      <c r="GC269" t="s">
        <v>53</v>
      </c>
      <c r="GH269" t="s">
        <v>306</v>
      </c>
      <c r="GM269" t="s">
        <v>306</v>
      </c>
      <c r="GR269" t="s">
        <v>306</v>
      </c>
      <c r="GS269" t="s">
        <v>895</v>
      </c>
      <c r="GT269">
        <v>106158792</v>
      </c>
      <c r="GU269" t="s">
        <v>346</v>
      </c>
      <c r="GV269">
        <v>0</v>
      </c>
      <c r="GW269" t="s">
        <v>50</v>
      </c>
      <c r="GX269" t="s">
        <v>489</v>
      </c>
      <c r="GY269">
        <v>4324456</v>
      </c>
      <c r="GZ269" t="s">
        <v>346</v>
      </c>
      <c r="HA269">
        <v>0.01</v>
      </c>
      <c r="HB269" t="s">
        <v>2194</v>
      </c>
      <c r="HG269" t="s">
        <v>306</v>
      </c>
    </row>
    <row r="270" spans="5:215" x14ac:dyDescent="0.35">
      <c r="E270" t="s">
        <v>306</v>
      </c>
      <c r="J270" t="s">
        <v>306</v>
      </c>
      <c r="O270" t="s">
        <v>306</v>
      </c>
      <c r="T270" t="s">
        <v>306</v>
      </c>
      <c r="U270" t="s">
        <v>837</v>
      </c>
      <c r="V270">
        <v>5830179</v>
      </c>
      <c r="W270" t="s">
        <v>346</v>
      </c>
      <c r="X270">
        <v>0</v>
      </c>
      <c r="Y270" t="s">
        <v>2186</v>
      </c>
      <c r="AD270" t="s">
        <v>306</v>
      </c>
      <c r="AI270" t="s">
        <v>306</v>
      </c>
      <c r="AN270" t="s">
        <v>306</v>
      </c>
      <c r="AO270" t="s">
        <v>1375</v>
      </c>
      <c r="AP270">
        <v>6696616</v>
      </c>
      <c r="AQ270" t="s">
        <v>364</v>
      </c>
      <c r="AR270">
        <v>0</v>
      </c>
      <c r="AS270" t="s">
        <v>62</v>
      </c>
      <c r="AX270" t="s">
        <v>306</v>
      </c>
      <c r="BC270" t="s">
        <v>306</v>
      </c>
      <c r="BD270" t="s">
        <v>781</v>
      </c>
      <c r="BE270">
        <v>7794310</v>
      </c>
      <c r="BF270" t="s">
        <v>346</v>
      </c>
      <c r="BG270">
        <v>0</v>
      </c>
      <c r="BH270" t="s">
        <v>313</v>
      </c>
      <c r="BI270" t="s">
        <v>1606</v>
      </c>
      <c r="BJ270">
        <v>4119479</v>
      </c>
      <c r="BK270" t="s">
        <v>346</v>
      </c>
      <c r="BL270">
        <v>0</v>
      </c>
      <c r="BM270" t="s">
        <v>53</v>
      </c>
      <c r="BN270" t="s">
        <v>892</v>
      </c>
      <c r="BO270">
        <v>4307010</v>
      </c>
      <c r="BP270" t="s">
        <v>346</v>
      </c>
      <c r="BQ270">
        <v>0</v>
      </c>
      <c r="BR270" t="s">
        <v>53</v>
      </c>
      <c r="BS270" t="s">
        <v>1000</v>
      </c>
      <c r="BT270">
        <v>4138488</v>
      </c>
      <c r="BU270" t="s">
        <v>300</v>
      </c>
      <c r="BV270">
        <v>0</v>
      </c>
      <c r="BW270" t="s">
        <v>317</v>
      </c>
      <c r="BX270" t="s">
        <v>837</v>
      </c>
      <c r="BY270">
        <v>5830179</v>
      </c>
      <c r="BZ270" t="s">
        <v>346</v>
      </c>
      <c r="CA270">
        <v>0</v>
      </c>
      <c r="CB270" t="s">
        <v>2186</v>
      </c>
      <c r="CC270" t="s">
        <v>1241</v>
      </c>
      <c r="CD270">
        <v>100522</v>
      </c>
      <c r="CE270" t="s">
        <v>366</v>
      </c>
      <c r="CF270">
        <v>0.01</v>
      </c>
      <c r="CG270" t="s">
        <v>80</v>
      </c>
      <c r="CH270" t="s">
        <v>1375</v>
      </c>
      <c r="CI270">
        <v>6696616</v>
      </c>
      <c r="CJ270" t="s">
        <v>364</v>
      </c>
      <c r="CK270">
        <v>0</v>
      </c>
      <c r="CL270" t="s">
        <v>62</v>
      </c>
      <c r="CM270" t="s">
        <v>1836</v>
      </c>
      <c r="CN270">
        <v>4111513</v>
      </c>
      <c r="CO270" t="s">
        <v>346</v>
      </c>
      <c r="CP270">
        <v>0</v>
      </c>
      <c r="CQ270" t="s">
        <v>53</v>
      </c>
      <c r="CV270" t="s">
        <v>306</v>
      </c>
      <c r="DA270" t="s">
        <v>306</v>
      </c>
      <c r="DB270" t="s">
        <v>781</v>
      </c>
      <c r="DC270">
        <v>7794310</v>
      </c>
      <c r="DD270" t="s">
        <v>346</v>
      </c>
      <c r="DE270">
        <v>0</v>
      </c>
      <c r="DF270" t="s">
        <v>313</v>
      </c>
      <c r="DK270" t="s">
        <v>306</v>
      </c>
      <c r="DL270" t="s">
        <v>781</v>
      </c>
      <c r="DM270">
        <v>7794310</v>
      </c>
      <c r="DN270" t="s">
        <v>346</v>
      </c>
      <c r="DO270">
        <v>0</v>
      </c>
      <c r="DP270" t="s">
        <v>313</v>
      </c>
      <c r="DU270" t="s">
        <v>306</v>
      </c>
      <c r="DZ270" t="s">
        <v>306</v>
      </c>
      <c r="EA270" t="s">
        <v>1241</v>
      </c>
      <c r="EB270">
        <v>100522</v>
      </c>
      <c r="EC270" t="s">
        <v>366</v>
      </c>
      <c r="ED270">
        <v>0.01</v>
      </c>
      <c r="EE270" t="s">
        <v>80</v>
      </c>
      <c r="EF270" t="s">
        <v>781</v>
      </c>
      <c r="EG270">
        <v>7794310</v>
      </c>
      <c r="EH270" t="s">
        <v>346</v>
      </c>
      <c r="EI270">
        <v>0</v>
      </c>
      <c r="EJ270" t="s">
        <v>313</v>
      </c>
      <c r="EO270" t="s">
        <v>306</v>
      </c>
      <c r="ET270" t="s">
        <v>306</v>
      </c>
      <c r="EY270" t="s">
        <v>306</v>
      </c>
      <c r="FD270" t="s">
        <v>306</v>
      </c>
      <c r="FI270" t="s">
        <v>306</v>
      </c>
      <c r="FN270" t="s">
        <v>306</v>
      </c>
      <c r="FS270" t="s">
        <v>306</v>
      </c>
      <c r="FX270" t="s">
        <v>306</v>
      </c>
      <c r="FY270" t="s">
        <v>781</v>
      </c>
      <c r="FZ270">
        <v>7794310</v>
      </c>
      <c r="GA270" t="s">
        <v>346</v>
      </c>
      <c r="GB270">
        <v>0</v>
      </c>
      <c r="GC270" t="s">
        <v>313</v>
      </c>
      <c r="GH270" t="s">
        <v>306</v>
      </c>
      <c r="GM270" t="s">
        <v>306</v>
      </c>
      <c r="GR270" t="s">
        <v>306</v>
      </c>
      <c r="GS270" t="s">
        <v>892</v>
      </c>
      <c r="GT270">
        <v>4307010</v>
      </c>
      <c r="GU270" t="s">
        <v>346</v>
      </c>
      <c r="GV270">
        <v>0</v>
      </c>
      <c r="GW270" t="s">
        <v>53</v>
      </c>
      <c r="GX270" t="s">
        <v>1241</v>
      </c>
      <c r="GY270">
        <v>100522</v>
      </c>
      <c r="GZ270" t="s">
        <v>366</v>
      </c>
      <c r="HA270">
        <v>0.01</v>
      </c>
      <c r="HB270" t="s">
        <v>80</v>
      </c>
      <c r="HG270" t="s">
        <v>306</v>
      </c>
    </row>
    <row r="271" spans="5:215" x14ac:dyDescent="0.35">
      <c r="E271" t="s">
        <v>306</v>
      </c>
      <c r="J271" t="s">
        <v>306</v>
      </c>
      <c r="O271" t="s">
        <v>306</v>
      </c>
      <c r="T271" t="s">
        <v>306</v>
      </c>
      <c r="U271" t="s">
        <v>838</v>
      </c>
      <c r="V271">
        <v>4315032</v>
      </c>
      <c r="W271" t="s">
        <v>346</v>
      </c>
      <c r="X271">
        <v>0</v>
      </c>
      <c r="Y271" t="s">
        <v>50</v>
      </c>
      <c r="AD271" t="s">
        <v>306</v>
      </c>
      <c r="AI271" t="s">
        <v>306</v>
      </c>
      <c r="AN271" t="s">
        <v>306</v>
      </c>
      <c r="AO271" t="s">
        <v>1376</v>
      </c>
      <c r="AP271">
        <v>110794</v>
      </c>
      <c r="AQ271" t="s">
        <v>346</v>
      </c>
      <c r="AR271">
        <v>0</v>
      </c>
      <c r="AS271" t="s">
        <v>53</v>
      </c>
      <c r="AX271" t="s">
        <v>306</v>
      </c>
      <c r="BC271" t="s">
        <v>306</v>
      </c>
      <c r="BD271" t="s">
        <v>484</v>
      </c>
      <c r="BE271">
        <v>110386</v>
      </c>
      <c r="BF271" t="s">
        <v>346</v>
      </c>
      <c r="BG271">
        <v>0</v>
      </c>
      <c r="BH271" t="s">
        <v>53</v>
      </c>
      <c r="BI271" t="s">
        <v>413</v>
      </c>
      <c r="BJ271">
        <v>4114882</v>
      </c>
      <c r="BK271" t="s">
        <v>346</v>
      </c>
      <c r="BL271">
        <v>0</v>
      </c>
      <c r="BM271" t="s">
        <v>80</v>
      </c>
      <c r="BN271" t="s">
        <v>390</v>
      </c>
      <c r="BO271">
        <v>4135241</v>
      </c>
      <c r="BP271" t="s">
        <v>346</v>
      </c>
      <c r="BQ271">
        <v>0</v>
      </c>
      <c r="BR271" t="s">
        <v>125</v>
      </c>
      <c r="BS271" t="s">
        <v>1001</v>
      </c>
      <c r="BT271">
        <v>109692</v>
      </c>
      <c r="BU271" t="s">
        <v>346</v>
      </c>
      <c r="BV271">
        <v>0</v>
      </c>
      <c r="BW271" t="s">
        <v>53</v>
      </c>
      <c r="BX271" t="s">
        <v>838</v>
      </c>
      <c r="BY271">
        <v>4315032</v>
      </c>
      <c r="BZ271" t="s">
        <v>346</v>
      </c>
      <c r="CA271">
        <v>0</v>
      </c>
      <c r="CB271" t="s">
        <v>50</v>
      </c>
      <c r="CC271" t="s">
        <v>1737</v>
      </c>
      <c r="CD271">
        <v>4224428</v>
      </c>
      <c r="CE271" t="s">
        <v>346</v>
      </c>
      <c r="CF271">
        <v>0.01</v>
      </c>
      <c r="CG271" t="s">
        <v>114</v>
      </c>
      <c r="CH271" t="s">
        <v>1376</v>
      </c>
      <c r="CI271">
        <v>110794</v>
      </c>
      <c r="CJ271" t="s">
        <v>346</v>
      </c>
      <c r="CK271">
        <v>0</v>
      </c>
      <c r="CL271" t="s">
        <v>53</v>
      </c>
      <c r="CM271" t="s">
        <v>1506</v>
      </c>
      <c r="CN271">
        <v>5864340</v>
      </c>
      <c r="CO271" t="s">
        <v>346</v>
      </c>
      <c r="CP271">
        <v>0</v>
      </c>
      <c r="CQ271" t="s">
        <v>2209</v>
      </c>
      <c r="CV271" t="s">
        <v>306</v>
      </c>
      <c r="DA271" t="s">
        <v>306</v>
      </c>
      <c r="DB271" t="s">
        <v>484</v>
      </c>
      <c r="DC271">
        <v>110386</v>
      </c>
      <c r="DD271" t="s">
        <v>346</v>
      </c>
      <c r="DE271">
        <v>0</v>
      </c>
      <c r="DF271" t="s">
        <v>53</v>
      </c>
      <c r="DK271" t="s">
        <v>306</v>
      </c>
      <c r="DL271" t="s">
        <v>484</v>
      </c>
      <c r="DM271">
        <v>110386</v>
      </c>
      <c r="DN271" t="s">
        <v>346</v>
      </c>
      <c r="DO271">
        <v>0</v>
      </c>
      <c r="DP271" t="s">
        <v>53</v>
      </c>
      <c r="DU271" t="s">
        <v>306</v>
      </c>
      <c r="DZ271" t="s">
        <v>306</v>
      </c>
      <c r="EA271" t="s">
        <v>1737</v>
      </c>
      <c r="EB271">
        <v>4224428</v>
      </c>
      <c r="EC271" t="s">
        <v>346</v>
      </c>
      <c r="ED271">
        <v>0.01</v>
      </c>
      <c r="EE271" t="s">
        <v>114</v>
      </c>
      <c r="EF271" t="s">
        <v>484</v>
      </c>
      <c r="EG271">
        <v>110386</v>
      </c>
      <c r="EH271" t="s">
        <v>346</v>
      </c>
      <c r="EI271">
        <v>0</v>
      </c>
      <c r="EJ271" t="s">
        <v>53</v>
      </c>
      <c r="EO271" t="s">
        <v>306</v>
      </c>
      <c r="ET271" t="s">
        <v>306</v>
      </c>
      <c r="EY271" t="s">
        <v>306</v>
      </c>
      <c r="FD271" t="s">
        <v>306</v>
      </c>
      <c r="FI271" t="s">
        <v>306</v>
      </c>
      <c r="FN271" t="s">
        <v>306</v>
      </c>
      <c r="FS271" t="s">
        <v>306</v>
      </c>
      <c r="FX271" t="s">
        <v>306</v>
      </c>
      <c r="FY271" t="s">
        <v>484</v>
      </c>
      <c r="FZ271">
        <v>110386</v>
      </c>
      <c r="GA271" t="s">
        <v>346</v>
      </c>
      <c r="GB271">
        <v>0</v>
      </c>
      <c r="GC271" t="s">
        <v>53</v>
      </c>
      <c r="GH271" t="s">
        <v>306</v>
      </c>
      <c r="GM271" t="s">
        <v>306</v>
      </c>
      <c r="GR271" t="s">
        <v>306</v>
      </c>
      <c r="GS271" t="s">
        <v>390</v>
      </c>
      <c r="GT271">
        <v>4135241</v>
      </c>
      <c r="GU271" t="s">
        <v>346</v>
      </c>
      <c r="GV271">
        <v>0</v>
      </c>
      <c r="GW271" t="s">
        <v>125</v>
      </c>
      <c r="GX271" t="s">
        <v>1737</v>
      </c>
      <c r="GY271">
        <v>4224428</v>
      </c>
      <c r="GZ271" t="s">
        <v>346</v>
      </c>
      <c r="HA271">
        <v>0.01</v>
      </c>
      <c r="HB271" t="s">
        <v>114</v>
      </c>
      <c r="HG271" t="s">
        <v>306</v>
      </c>
    </row>
    <row r="272" spans="5:215" x14ac:dyDescent="0.35">
      <c r="E272" t="s">
        <v>306</v>
      </c>
      <c r="J272" t="s">
        <v>306</v>
      </c>
      <c r="O272" t="s">
        <v>306</v>
      </c>
      <c r="T272" t="s">
        <v>306</v>
      </c>
      <c r="U272" t="s">
        <v>440</v>
      </c>
      <c r="V272">
        <v>4140078</v>
      </c>
      <c r="W272" t="s">
        <v>346</v>
      </c>
      <c r="X272">
        <v>0</v>
      </c>
      <c r="Y272" t="s">
        <v>304</v>
      </c>
      <c r="AD272" t="s">
        <v>306</v>
      </c>
      <c r="AI272" t="s">
        <v>306</v>
      </c>
      <c r="AN272" t="s">
        <v>306</v>
      </c>
      <c r="AO272" t="s">
        <v>520</v>
      </c>
      <c r="AP272">
        <v>103661</v>
      </c>
      <c r="AQ272" t="s">
        <v>346</v>
      </c>
      <c r="AR272">
        <v>0</v>
      </c>
      <c r="AS272" t="s">
        <v>53</v>
      </c>
      <c r="AX272" t="s">
        <v>306</v>
      </c>
      <c r="BC272" t="s">
        <v>306</v>
      </c>
      <c r="BD272" t="s">
        <v>1473</v>
      </c>
      <c r="BE272">
        <v>25429472</v>
      </c>
      <c r="BF272" t="s">
        <v>346</v>
      </c>
      <c r="BG272">
        <v>0</v>
      </c>
      <c r="BH272" t="s">
        <v>2186</v>
      </c>
      <c r="BI272" t="s">
        <v>359</v>
      </c>
      <c r="BJ272">
        <v>4144380</v>
      </c>
      <c r="BK272" t="s">
        <v>346</v>
      </c>
      <c r="BL272">
        <v>0</v>
      </c>
      <c r="BM272" t="s">
        <v>317</v>
      </c>
      <c r="BN272" t="s">
        <v>869</v>
      </c>
      <c r="BO272">
        <v>4560837</v>
      </c>
      <c r="BP272" t="s">
        <v>346</v>
      </c>
      <c r="BQ272">
        <v>0</v>
      </c>
      <c r="BR272" t="s">
        <v>326</v>
      </c>
      <c r="BS272" t="s">
        <v>643</v>
      </c>
      <c r="BT272">
        <v>8365031</v>
      </c>
      <c r="BU272" t="s">
        <v>346</v>
      </c>
      <c r="BV272">
        <v>0</v>
      </c>
      <c r="BW272" t="s">
        <v>125</v>
      </c>
      <c r="BX272" t="s">
        <v>440</v>
      </c>
      <c r="BY272">
        <v>4140078</v>
      </c>
      <c r="BZ272" t="s">
        <v>346</v>
      </c>
      <c r="CA272">
        <v>0</v>
      </c>
      <c r="CB272" t="s">
        <v>304</v>
      </c>
      <c r="CC272" t="s">
        <v>1738</v>
      </c>
      <c r="CD272">
        <v>27890771</v>
      </c>
      <c r="CE272" t="s">
        <v>364</v>
      </c>
      <c r="CF272">
        <v>0.01</v>
      </c>
      <c r="CG272" t="s">
        <v>114</v>
      </c>
      <c r="CH272" t="s">
        <v>520</v>
      </c>
      <c r="CI272">
        <v>103661</v>
      </c>
      <c r="CJ272" t="s">
        <v>346</v>
      </c>
      <c r="CK272">
        <v>0</v>
      </c>
      <c r="CL272" t="s">
        <v>53</v>
      </c>
      <c r="CM272" t="s">
        <v>1833</v>
      </c>
      <c r="CN272">
        <v>4027022</v>
      </c>
      <c r="CO272" t="s">
        <v>346</v>
      </c>
      <c r="CP272">
        <v>0</v>
      </c>
      <c r="CQ272" t="s">
        <v>53</v>
      </c>
      <c r="CV272" t="s">
        <v>306</v>
      </c>
      <c r="DA272" t="s">
        <v>306</v>
      </c>
      <c r="DB272" t="s">
        <v>1473</v>
      </c>
      <c r="DC272">
        <v>25429472</v>
      </c>
      <c r="DD272" t="s">
        <v>346</v>
      </c>
      <c r="DE272">
        <v>0</v>
      </c>
      <c r="DF272" t="s">
        <v>2186</v>
      </c>
      <c r="DK272" t="s">
        <v>306</v>
      </c>
      <c r="DL272" t="s">
        <v>1473</v>
      </c>
      <c r="DM272">
        <v>25429472</v>
      </c>
      <c r="DN272" t="s">
        <v>346</v>
      </c>
      <c r="DO272">
        <v>0</v>
      </c>
      <c r="DP272" t="s">
        <v>2186</v>
      </c>
      <c r="DU272" t="s">
        <v>306</v>
      </c>
      <c r="DZ272" t="s">
        <v>306</v>
      </c>
      <c r="EA272" t="s">
        <v>1738</v>
      </c>
      <c r="EB272">
        <v>27890771</v>
      </c>
      <c r="EC272" t="s">
        <v>364</v>
      </c>
      <c r="ED272">
        <v>0.01</v>
      </c>
      <c r="EE272" t="s">
        <v>114</v>
      </c>
      <c r="EF272" t="s">
        <v>1473</v>
      </c>
      <c r="EG272">
        <v>25429472</v>
      </c>
      <c r="EH272" t="s">
        <v>346</v>
      </c>
      <c r="EI272">
        <v>0</v>
      </c>
      <c r="EJ272" t="s">
        <v>2186</v>
      </c>
      <c r="EO272" t="s">
        <v>306</v>
      </c>
      <c r="ET272" t="s">
        <v>306</v>
      </c>
      <c r="EY272" t="s">
        <v>306</v>
      </c>
      <c r="FD272" t="s">
        <v>306</v>
      </c>
      <c r="FI272" t="s">
        <v>306</v>
      </c>
      <c r="FN272" t="s">
        <v>306</v>
      </c>
      <c r="FS272" t="s">
        <v>306</v>
      </c>
      <c r="FX272" t="s">
        <v>306</v>
      </c>
      <c r="FY272" t="s">
        <v>1473</v>
      </c>
      <c r="FZ272">
        <v>25429472</v>
      </c>
      <c r="GA272" t="s">
        <v>346</v>
      </c>
      <c r="GB272">
        <v>0</v>
      </c>
      <c r="GC272" t="s">
        <v>2186</v>
      </c>
      <c r="GH272" t="s">
        <v>306</v>
      </c>
      <c r="GM272" t="s">
        <v>306</v>
      </c>
      <c r="GR272" t="s">
        <v>306</v>
      </c>
      <c r="GS272" t="s">
        <v>869</v>
      </c>
      <c r="GT272">
        <v>4560837</v>
      </c>
      <c r="GU272" t="s">
        <v>346</v>
      </c>
      <c r="GV272">
        <v>0</v>
      </c>
      <c r="GW272" t="s">
        <v>326</v>
      </c>
      <c r="GX272" t="s">
        <v>1738</v>
      </c>
      <c r="GY272">
        <v>27890771</v>
      </c>
      <c r="GZ272" t="s">
        <v>364</v>
      </c>
      <c r="HA272">
        <v>0.01</v>
      </c>
      <c r="HB272" t="s">
        <v>114</v>
      </c>
      <c r="HG272" t="s">
        <v>306</v>
      </c>
    </row>
    <row r="273" spans="5:215" x14ac:dyDescent="0.35">
      <c r="E273" t="s">
        <v>306</v>
      </c>
      <c r="J273" t="s">
        <v>306</v>
      </c>
      <c r="O273" t="s">
        <v>306</v>
      </c>
      <c r="T273" t="s">
        <v>306</v>
      </c>
      <c r="U273" t="s">
        <v>547</v>
      </c>
      <c r="V273">
        <v>4005523</v>
      </c>
      <c r="W273" t="s">
        <v>346</v>
      </c>
      <c r="X273">
        <v>0</v>
      </c>
      <c r="Y273" t="s">
        <v>80</v>
      </c>
      <c r="AD273" t="s">
        <v>306</v>
      </c>
      <c r="AI273" t="s">
        <v>306</v>
      </c>
      <c r="AN273" t="s">
        <v>306</v>
      </c>
      <c r="AO273" t="s">
        <v>1377</v>
      </c>
      <c r="AP273">
        <v>5830610</v>
      </c>
      <c r="AQ273" t="s">
        <v>346</v>
      </c>
      <c r="AR273">
        <v>0</v>
      </c>
      <c r="AS273" t="s">
        <v>62</v>
      </c>
      <c r="AX273" t="s">
        <v>306</v>
      </c>
      <c r="BC273" t="s">
        <v>306</v>
      </c>
      <c r="BD273" t="s">
        <v>508</v>
      </c>
      <c r="BE273">
        <v>4399282</v>
      </c>
      <c r="BF273" t="s">
        <v>346</v>
      </c>
      <c r="BG273">
        <v>0</v>
      </c>
      <c r="BH273" t="s">
        <v>80</v>
      </c>
      <c r="BI273" t="s">
        <v>1144</v>
      </c>
      <c r="BJ273">
        <v>4342473</v>
      </c>
      <c r="BK273" t="s">
        <v>346</v>
      </c>
      <c r="BL273">
        <v>0</v>
      </c>
      <c r="BM273" t="s">
        <v>320</v>
      </c>
      <c r="BN273" t="s">
        <v>1245</v>
      </c>
      <c r="BO273">
        <v>6729481</v>
      </c>
      <c r="BP273" t="s">
        <v>346</v>
      </c>
      <c r="BQ273">
        <v>0</v>
      </c>
      <c r="BR273" t="s">
        <v>2185</v>
      </c>
      <c r="BS273" t="s">
        <v>1002</v>
      </c>
      <c r="BT273">
        <v>110470</v>
      </c>
      <c r="BU273" t="s">
        <v>346</v>
      </c>
      <c r="BV273">
        <v>0</v>
      </c>
      <c r="BW273" t="s">
        <v>53</v>
      </c>
      <c r="BX273" t="s">
        <v>547</v>
      </c>
      <c r="BY273">
        <v>4005523</v>
      </c>
      <c r="BZ273" t="s">
        <v>346</v>
      </c>
      <c r="CA273">
        <v>0</v>
      </c>
      <c r="CB273" t="s">
        <v>80</v>
      </c>
      <c r="CC273" t="s">
        <v>923</v>
      </c>
      <c r="CD273">
        <v>4119489</v>
      </c>
      <c r="CE273" t="s">
        <v>346</v>
      </c>
      <c r="CF273">
        <v>0.01</v>
      </c>
      <c r="CG273" t="s">
        <v>53</v>
      </c>
      <c r="CH273" t="s">
        <v>1377</v>
      </c>
      <c r="CI273">
        <v>5830610</v>
      </c>
      <c r="CJ273" t="s">
        <v>346</v>
      </c>
      <c r="CK273">
        <v>0</v>
      </c>
      <c r="CL273" t="s">
        <v>62</v>
      </c>
      <c r="CM273" t="s">
        <v>1477</v>
      </c>
      <c r="CN273">
        <v>4588955</v>
      </c>
      <c r="CO273" t="s">
        <v>364</v>
      </c>
      <c r="CP273">
        <v>0</v>
      </c>
      <c r="CQ273" t="s">
        <v>62</v>
      </c>
      <c r="CV273" t="s">
        <v>306</v>
      </c>
      <c r="DA273" t="s">
        <v>306</v>
      </c>
      <c r="DB273" t="s">
        <v>508</v>
      </c>
      <c r="DC273">
        <v>4399282</v>
      </c>
      <c r="DD273" t="s">
        <v>346</v>
      </c>
      <c r="DE273">
        <v>0</v>
      </c>
      <c r="DF273" t="s">
        <v>80</v>
      </c>
      <c r="DK273" t="s">
        <v>306</v>
      </c>
      <c r="DL273" t="s">
        <v>508</v>
      </c>
      <c r="DM273">
        <v>4399282</v>
      </c>
      <c r="DN273" t="s">
        <v>346</v>
      </c>
      <c r="DO273">
        <v>0</v>
      </c>
      <c r="DP273" t="s">
        <v>80</v>
      </c>
      <c r="DU273" t="s">
        <v>306</v>
      </c>
      <c r="DZ273" t="s">
        <v>306</v>
      </c>
      <c r="EA273" t="s">
        <v>923</v>
      </c>
      <c r="EB273">
        <v>4119489</v>
      </c>
      <c r="EC273" t="s">
        <v>346</v>
      </c>
      <c r="ED273">
        <v>0.01</v>
      </c>
      <c r="EE273" t="s">
        <v>53</v>
      </c>
      <c r="EF273" t="s">
        <v>508</v>
      </c>
      <c r="EG273">
        <v>4399282</v>
      </c>
      <c r="EH273" t="s">
        <v>346</v>
      </c>
      <c r="EI273">
        <v>0</v>
      </c>
      <c r="EJ273" t="s">
        <v>80</v>
      </c>
      <c r="EO273" t="s">
        <v>306</v>
      </c>
      <c r="ET273" t="s">
        <v>306</v>
      </c>
      <c r="EY273" t="s">
        <v>306</v>
      </c>
      <c r="FD273" t="s">
        <v>306</v>
      </c>
      <c r="FI273" t="s">
        <v>306</v>
      </c>
      <c r="FN273" t="s">
        <v>306</v>
      </c>
      <c r="FS273" t="s">
        <v>306</v>
      </c>
      <c r="FX273" t="s">
        <v>306</v>
      </c>
      <c r="FY273" t="s">
        <v>508</v>
      </c>
      <c r="FZ273">
        <v>4399282</v>
      </c>
      <c r="GA273" t="s">
        <v>346</v>
      </c>
      <c r="GB273">
        <v>0</v>
      </c>
      <c r="GC273" t="s">
        <v>80</v>
      </c>
      <c r="GH273" t="s">
        <v>306</v>
      </c>
      <c r="GM273" t="s">
        <v>306</v>
      </c>
      <c r="GR273" t="s">
        <v>306</v>
      </c>
      <c r="GS273" t="s">
        <v>1245</v>
      </c>
      <c r="GT273">
        <v>6729481</v>
      </c>
      <c r="GU273" t="s">
        <v>346</v>
      </c>
      <c r="GV273">
        <v>0</v>
      </c>
      <c r="GW273" t="s">
        <v>2185</v>
      </c>
      <c r="GX273" t="s">
        <v>923</v>
      </c>
      <c r="GY273">
        <v>4119489</v>
      </c>
      <c r="GZ273" t="s">
        <v>346</v>
      </c>
      <c r="HA273">
        <v>0.01</v>
      </c>
      <c r="HB273" t="s">
        <v>53</v>
      </c>
      <c r="HG273" t="s">
        <v>306</v>
      </c>
    </row>
    <row r="274" spans="5:215" x14ac:dyDescent="0.35">
      <c r="E274" t="s">
        <v>306</v>
      </c>
      <c r="J274" t="s">
        <v>306</v>
      </c>
      <c r="O274" t="s">
        <v>306</v>
      </c>
      <c r="T274" t="s">
        <v>306</v>
      </c>
      <c r="U274" t="s">
        <v>522</v>
      </c>
      <c r="V274">
        <v>4118373</v>
      </c>
      <c r="W274" t="s">
        <v>346</v>
      </c>
      <c r="X274">
        <v>0</v>
      </c>
      <c r="Y274" t="s">
        <v>53</v>
      </c>
      <c r="AD274" t="s">
        <v>306</v>
      </c>
      <c r="AI274" t="s">
        <v>306</v>
      </c>
      <c r="AN274" t="s">
        <v>306</v>
      </c>
      <c r="AO274" t="s">
        <v>1378</v>
      </c>
      <c r="AP274">
        <v>5763686</v>
      </c>
      <c r="AQ274" t="s">
        <v>346</v>
      </c>
      <c r="AR274">
        <v>0</v>
      </c>
      <c r="AS274" t="s">
        <v>125</v>
      </c>
      <c r="AX274" t="s">
        <v>306</v>
      </c>
      <c r="BC274" t="s">
        <v>306</v>
      </c>
      <c r="BD274" t="s">
        <v>1474</v>
      </c>
      <c r="BE274">
        <v>4255658</v>
      </c>
      <c r="BF274" t="s">
        <v>346</v>
      </c>
      <c r="BG274">
        <v>0</v>
      </c>
      <c r="BH274" t="s">
        <v>2185</v>
      </c>
      <c r="BI274" t="s">
        <v>1607</v>
      </c>
      <c r="BJ274">
        <v>4225175</v>
      </c>
      <c r="BK274" t="s">
        <v>346</v>
      </c>
      <c r="BL274">
        <v>0</v>
      </c>
      <c r="BM274" t="s">
        <v>317</v>
      </c>
      <c r="BN274" t="s">
        <v>846</v>
      </c>
      <c r="BO274">
        <v>5855481</v>
      </c>
      <c r="BP274" t="s">
        <v>346</v>
      </c>
      <c r="BQ274">
        <v>0</v>
      </c>
      <c r="BR274" t="s">
        <v>50</v>
      </c>
      <c r="BS274" t="s">
        <v>523</v>
      </c>
      <c r="BT274">
        <v>7060057</v>
      </c>
      <c r="BU274" t="s">
        <v>346</v>
      </c>
      <c r="BV274">
        <v>0</v>
      </c>
      <c r="BW274" t="s">
        <v>320</v>
      </c>
      <c r="BX274" t="s">
        <v>522</v>
      </c>
      <c r="BY274">
        <v>4118373</v>
      </c>
      <c r="BZ274" t="s">
        <v>346</v>
      </c>
      <c r="CA274">
        <v>0</v>
      </c>
      <c r="CB274" t="s">
        <v>53</v>
      </c>
      <c r="CC274" t="s">
        <v>1739</v>
      </c>
      <c r="CD274">
        <v>4282430</v>
      </c>
      <c r="CE274" t="s">
        <v>346</v>
      </c>
      <c r="CF274">
        <v>0.01</v>
      </c>
      <c r="CG274" t="s">
        <v>53</v>
      </c>
      <c r="CH274" t="s">
        <v>1378</v>
      </c>
      <c r="CI274">
        <v>5763686</v>
      </c>
      <c r="CJ274" t="s">
        <v>346</v>
      </c>
      <c r="CK274">
        <v>0</v>
      </c>
      <c r="CL274" t="s">
        <v>125</v>
      </c>
      <c r="CM274" t="s">
        <v>1352</v>
      </c>
      <c r="CN274">
        <v>10796005</v>
      </c>
      <c r="CO274" t="s">
        <v>346</v>
      </c>
      <c r="CP274">
        <v>0</v>
      </c>
      <c r="CQ274" t="s">
        <v>62</v>
      </c>
      <c r="CV274" t="s">
        <v>306</v>
      </c>
      <c r="DA274" t="s">
        <v>306</v>
      </c>
      <c r="DB274" t="s">
        <v>1474</v>
      </c>
      <c r="DC274">
        <v>4255658</v>
      </c>
      <c r="DD274" t="s">
        <v>346</v>
      </c>
      <c r="DE274">
        <v>0</v>
      </c>
      <c r="DF274" t="s">
        <v>2185</v>
      </c>
      <c r="DK274" t="s">
        <v>306</v>
      </c>
      <c r="DL274" t="s">
        <v>1474</v>
      </c>
      <c r="DM274">
        <v>4255658</v>
      </c>
      <c r="DN274" t="s">
        <v>346</v>
      </c>
      <c r="DO274">
        <v>0</v>
      </c>
      <c r="DP274" t="s">
        <v>2185</v>
      </c>
      <c r="DU274" t="s">
        <v>306</v>
      </c>
      <c r="DZ274" t="s">
        <v>306</v>
      </c>
      <c r="EA274" t="s">
        <v>1739</v>
      </c>
      <c r="EB274">
        <v>4282430</v>
      </c>
      <c r="EC274" t="s">
        <v>346</v>
      </c>
      <c r="ED274">
        <v>0.01</v>
      </c>
      <c r="EE274" t="s">
        <v>53</v>
      </c>
      <c r="EF274" t="s">
        <v>1474</v>
      </c>
      <c r="EG274">
        <v>4255658</v>
      </c>
      <c r="EH274" t="s">
        <v>346</v>
      </c>
      <c r="EI274">
        <v>0</v>
      </c>
      <c r="EJ274" t="s">
        <v>2185</v>
      </c>
      <c r="EO274" t="s">
        <v>306</v>
      </c>
      <c r="ET274" t="s">
        <v>306</v>
      </c>
      <c r="EY274" t="s">
        <v>306</v>
      </c>
      <c r="FD274" t="s">
        <v>306</v>
      </c>
      <c r="FI274" t="s">
        <v>306</v>
      </c>
      <c r="FN274" t="s">
        <v>306</v>
      </c>
      <c r="FS274" t="s">
        <v>306</v>
      </c>
      <c r="FX274" t="s">
        <v>306</v>
      </c>
      <c r="FY274" t="s">
        <v>1474</v>
      </c>
      <c r="FZ274">
        <v>4255658</v>
      </c>
      <c r="GA274" t="s">
        <v>346</v>
      </c>
      <c r="GB274">
        <v>0</v>
      </c>
      <c r="GC274" t="s">
        <v>2185</v>
      </c>
      <c r="GH274" t="s">
        <v>306</v>
      </c>
      <c r="GM274" t="s">
        <v>306</v>
      </c>
      <c r="GR274" t="s">
        <v>306</v>
      </c>
      <c r="GS274" t="s">
        <v>846</v>
      </c>
      <c r="GT274">
        <v>5855481</v>
      </c>
      <c r="GU274" t="s">
        <v>346</v>
      </c>
      <c r="GV274">
        <v>0</v>
      </c>
      <c r="GW274" t="s">
        <v>50</v>
      </c>
      <c r="GX274" t="s">
        <v>1739</v>
      </c>
      <c r="GY274">
        <v>4282430</v>
      </c>
      <c r="GZ274" t="s">
        <v>346</v>
      </c>
      <c r="HA274">
        <v>0.01</v>
      </c>
      <c r="HB274" t="s">
        <v>53</v>
      </c>
      <c r="HG274" t="s">
        <v>306</v>
      </c>
    </row>
    <row r="275" spans="5:215" x14ac:dyDescent="0.35">
      <c r="E275" t="s">
        <v>306</v>
      </c>
      <c r="J275" t="s">
        <v>306</v>
      </c>
      <c r="O275" t="s">
        <v>306</v>
      </c>
      <c r="T275" t="s">
        <v>306</v>
      </c>
      <c r="U275" t="s">
        <v>839</v>
      </c>
      <c r="V275">
        <v>5759900</v>
      </c>
      <c r="W275" t="s">
        <v>346</v>
      </c>
      <c r="X275">
        <v>0</v>
      </c>
      <c r="Y275" t="s">
        <v>313</v>
      </c>
      <c r="AD275" t="s">
        <v>306</v>
      </c>
      <c r="AI275" t="s">
        <v>306</v>
      </c>
      <c r="AN275" t="s">
        <v>306</v>
      </c>
      <c r="AO275" t="s">
        <v>413</v>
      </c>
      <c r="AP275">
        <v>4114882</v>
      </c>
      <c r="AQ275" t="s">
        <v>346</v>
      </c>
      <c r="AR275">
        <v>0</v>
      </c>
      <c r="AS275" t="s">
        <v>80</v>
      </c>
      <c r="AX275" t="s">
        <v>306</v>
      </c>
      <c r="BC275" t="s">
        <v>306</v>
      </c>
      <c r="BD275" t="s">
        <v>509</v>
      </c>
      <c r="BE275">
        <v>4226520</v>
      </c>
      <c r="BF275" t="s">
        <v>346</v>
      </c>
      <c r="BG275">
        <v>0</v>
      </c>
      <c r="BH275" t="s">
        <v>80</v>
      </c>
      <c r="BI275" t="s">
        <v>405</v>
      </c>
      <c r="BJ275">
        <v>4035990</v>
      </c>
      <c r="BK275" t="s">
        <v>346</v>
      </c>
      <c r="BL275">
        <v>0</v>
      </c>
      <c r="BM275" t="s">
        <v>80</v>
      </c>
      <c r="BN275" t="s">
        <v>771</v>
      </c>
      <c r="BO275">
        <v>4162576</v>
      </c>
      <c r="BP275" t="s">
        <v>346</v>
      </c>
      <c r="BQ275">
        <v>0</v>
      </c>
      <c r="BR275" t="s">
        <v>53</v>
      </c>
      <c r="BS275" t="s">
        <v>1003</v>
      </c>
      <c r="BT275">
        <v>4077794</v>
      </c>
      <c r="BU275" t="s">
        <v>346</v>
      </c>
      <c r="BV275">
        <v>0</v>
      </c>
      <c r="BW275" t="s">
        <v>53</v>
      </c>
      <c r="BX275" t="s">
        <v>839</v>
      </c>
      <c r="BY275">
        <v>5759900</v>
      </c>
      <c r="BZ275" t="s">
        <v>346</v>
      </c>
      <c r="CA275">
        <v>0</v>
      </c>
      <c r="CB275" t="s">
        <v>313</v>
      </c>
      <c r="CC275" t="s">
        <v>1740</v>
      </c>
      <c r="CD275">
        <v>4056453</v>
      </c>
      <c r="CE275" t="s">
        <v>366</v>
      </c>
      <c r="CF275">
        <v>0.01</v>
      </c>
      <c r="CG275" t="s">
        <v>80</v>
      </c>
      <c r="CH275" t="s">
        <v>413</v>
      </c>
      <c r="CI275">
        <v>4114882</v>
      </c>
      <c r="CJ275" t="s">
        <v>346</v>
      </c>
      <c r="CK275">
        <v>0</v>
      </c>
      <c r="CL275" t="s">
        <v>80</v>
      </c>
      <c r="CM275" t="s">
        <v>1842</v>
      </c>
      <c r="CN275">
        <v>4785392</v>
      </c>
      <c r="CO275" t="s">
        <v>346</v>
      </c>
      <c r="CP275">
        <v>0</v>
      </c>
      <c r="CQ275" t="s">
        <v>53</v>
      </c>
      <c r="CV275" t="s">
        <v>306</v>
      </c>
      <c r="DA275" t="s">
        <v>306</v>
      </c>
      <c r="DB275" t="s">
        <v>509</v>
      </c>
      <c r="DC275">
        <v>4226520</v>
      </c>
      <c r="DD275" t="s">
        <v>346</v>
      </c>
      <c r="DE275">
        <v>0</v>
      </c>
      <c r="DF275" t="s">
        <v>80</v>
      </c>
      <c r="DK275" t="s">
        <v>306</v>
      </c>
      <c r="DL275" t="s">
        <v>509</v>
      </c>
      <c r="DM275">
        <v>4226520</v>
      </c>
      <c r="DN275" t="s">
        <v>346</v>
      </c>
      <c r="DO275">
        <v>0</v>
      </c>
      <c r="DP275" t="s">
        <v>80</v>
      </c>
      <c r="DU275" t="s">
        <v>306</v>
      </c>
      <c r="DZ275" t="s">
        <v>306</v>
      </c>
      <c r="EA275" t="s">
        <v>1740</v>
      </c>
      <c r="EB275">
        <v>4056453</v>
      </c>
      <c r="EC275" t="s">
        <v>366</v>
      </c>
      <c r="ED275">
        <v>0.01</v>
      </c>
      <c r="EE275" t="s">
        <v>80</v>
      </c>
      <c r="EF275" t="s">
        <v>509</v>
      </c>
      <c r="EG275">
        <v>4226520</v>
      </c>
      <c r="EH275" t="s">
        <v>346</v>
      </c>
      <c r="EI275">
        <v>0</v>
      </c>
      <c r="EJ275" t="s">
        <v>80</v>
      </c>
      <c r="EO275" t="s">
        <v>306</v>
      </c>
      <c r="ET275" t="s">
        <v>306</v>
      </c>
      <c r="EY275" t="s">
        <v>306</v>
      </c>
      <c r="FD275" t="s">
        <v>306</v>
      </c>
      <c r="FI275" t="s">
        <v>306</v>
      </c>
      <c r="FN275" t="s">
        <v>306</v>
      </c>
      <c r="FS275" t="s">
        <v>306</v>
      </c>
      <c r="FX275" t="s">
        <v>306</v>
      </c>
      <c r="FY275" t="s">
        <v>509</v>
      </c>
      <c r="FZ275">
        <v>4226520</v>
      </c>
      <c r="GA275" t="s">
        <v>346</v>
      </c>
      <c r="GB275">
        <v>0</v>
      </c>
      <c r="GC275" t="s">
        <v>80</v>
      </c>
      <c r="GH275" t="s">
        <v>306</v>
      </c>
      <c r="GM275" t="s">
        <v>306</v>
      </c>
      <c r="GR275" t="s">
        <v>306</v>
      </c>
      <c r="GS275" t="s">
        <v>771</v>
      </c>
      <c r="GT275">
        <v>4162576</v>
      </c>
      <c r="GU275" t="s">
        <v>346</v>
      </c>
      <c r="GV275">
        <v>0</v>
      </c>
      <c r="GW275" t="s">
        <v>53</v>
      </c>
      <c r="GX275" t="s">
        <v>1740</v>
      </c>
      <c r="GY275">
        <v>4056453</v>
      </c>
      <c r="GZ275" t="s">
        <v>366</v>
      </c>
      <c r="HA275">
        <v>0.01</v>
      </c>
      <c r="HB275" t="s">
        <v>80</v>
      </c>
      <c r="HG275" t="s">
        <v>306</v>
      </c>
    </row>
    <row r="276" spans="5:215" x14ac:dyDescent="0.35">
      <c r="E276" t="s">
        <v>306</v>
      </c>
      <c r="J276" t="s">
        <v>306</v>
      </c>
      <c r="O276" t="s">
        <v>306</v>
      </c>
      <c r="T276" t="s">
        <v>306</v>
      </c>
      <c r="U276" t="s">
        <v>840</v>
      </c>
      <c r="V276">
        <v>4581365</v>
      </c>
      <c r="W276" t="s">
        <v>346</v>
      </c>
      <c r="X276">
        <v>0</v>
      </c>
      <c r="Y276" t="s">
        <v>326</v>
      </c>
      <c r="AD276" t="s">
        <v>306</v>
      </c>
      <c r="AI276" t="s">
        <v>306</v>
      </c>
      <c r="AN276" t="s">
        <v>306</v>
      </c>
      <c r="AO276" t="s">
        <v>455</v>
      </c>
      <c r="AP276">
        <v>4119538</v>
      </c>
      <c r="AQ276" t="s">
        <v>364</v>
      </c>
      <c r="AR276">
        <v>0</v>
      </c>
      <c r="AS276" t="s">
        <v>53</v>
      </c>
      <c r="AX276" t="s">
        <v>306</v>
      </c>
      <c r="BC276" t="s">
        <v>306</v>
      </c>
      <c r="BD276" t="s">
        <v>552</v>
      </c>
      <c r="BE276">
        <v>4026973</v>
      </c>
      <c r="BF276" t="s">
        <v>346</v>
      </c>
      <c r="BG276">
        <v>0</v>
      </c>
      <c r="BH276" t="s">
        <v>313</v>
      </c>
      <c r="BI276" t="s">
        <v>455</v>
      </c>
      <c r="BJ276">
        <v>4119538</v>
      </c>
      <c r="BK276" t="s">
        <v>364</v>
      </c>
      <c r="BL276">
        <v>-0.52</v>
      </c>
      <c r="BM276" t="s">
        <v>53</v>
      </c>
      <c r="BN276" t="s">
        <v>877</v>
      </c>
      <c r="BO276">
        <v>4167462</v>
      </c>
      <c r="BP276" t="s">
        <v>366</v>
      </c>
      <c r="BQ276">
        <v>0</v>
      </c>
      <c r="BR276" t="s">
        <v>53</v>
      </c>
      <c r="BS276" t="s">
        <v>1004</v>
      </c>
      <c r="BT276">
        <v>4115970</v>
      </c>
      <c r="BU276" t="s">
        <v>346</v>
      </c>
      <c r="BV276">
        <v>0</v>
      </c>
      <c r="BW276" t="s">
        <v>53</v>
      </c>
      <c r="BX276" t="s">
        <v>840</v>
      </c>
      <c r="BY276">
        <v>4581365</v>
      </c>
      <c r="BZ276" t="s">
        <v>346</v>
      </c>
      <c r="CA276">
        <v>0</v>
      </c>
      <c r="CB276" t="s">
        <v>326</v>
      </c>
      <c r="CC276" t="s">
        <v>1092</v>
      </c>
      <c r="CD276">
        <v>27584974</v>
      </c>
      <c r="CE276" t="s">
        <v>346</v>
      </c>
      <c r="CF276">
        <v>0.01</v>
      </c>
      <c r="CG276" t="s">
        <v>80</v>
      </c>
      <c r="CH276" t="s">
        <v>455</v>
      </c>
      <c r="CI276">
        <v>4119538</v>
      </c>
      <c r="CJ276" t="s">
        <v>364</v>
      </c>
      <c r="CK276">
        <v>0</v>
      </c>
      <c r="CL276" t="s">
        <v>53</v>
      </c>
      <c r="CM276" t="s">
        <v>509</v>
      </c>
      <c r="CN276">
        <v>4226520</v>
      </c>
      <c r="CO276" t="s">
        <v>346</v>
      </c>
      <c r="CP276">
        <v>0</v>
      </c>
      <c r="CQ276" t="s">
        <v>80</v>
      </c>
      <c r="CV276" t="s">
        <v>306</v>
      </c>
      <c r="DA276" t="s">
        <v>306</v>
      </c>
      <c r="DB276" t="s">
        <v>552</v>
      </c>
      <c r="DC276">
        <v>4026973</v>
      </c>
      <c r="DD276" t="s">
        <v>346</v>
      </c>
      <c r="DE276">
        <v>0</v>
      </c>
      <c r="DF276" t="s">
        <v>313</v>
      </c>
      <c r="DK276" t="s">
        <v>306</v>
      </c>
      <c r="DL276" t="s">
        <v>552</v>
      </c>
      <c r="DM276">
        <v>4026973</v>
      </c>
      <c r="DN276" t="s">
        <v>346</v>
      </c>
      <c r="DO276">
        <v>0</v>
      </c>
      <c r="DP276" t="s">
        <v>313</v>
      </c>
      <c r="DU276" t="s">
        <v>306</v>
      </c>
      <c r="DZ276" t="s">
        <v>306</v>
      </c>
      <c r="EA276" t="s">
        <v>1092</v>
      </c>
      <c r="EB276">
        <v>27584974</v>
      </c>
      <c r="EC276" t="s">
        <v>346</v>
      </c>
      <c r="ED276">
        <v>0.01</v>
      </c>
      <c r="EE276" t="s">
        <v>80</v>
      </c>
      <c r="EF276" t="s">
        <v>552</v>
      </c>
      <c r="EG276">
        <v>4026973</v>
      </c>
      <c r="EH276" t="s">
        <v>346</v>
      </c>
      <c r="EI276">
        <v>0</v>
      </c>
      <c r="EJ276" t="s">
        <v>313</v>
      </c>
      <c r="EO276" t="s">
        <v>306</v>
      </c>
      <c r="ET276" t="s">
        <v>306</v>
      </c>
      <c r="EY276" t="s">
        <v>306</v>
      </c>
      <c r="FD276" t="s">
        <v>306</v>
      </c>
      <c r="FI276" t="s">
        <v>306</v>
      </c>
      <c r="FN276" t="s">
        <v>306</v>
      </c>
      <c r="FS276" t="s">
        <v>306</v>
      </c>
      <c r="FX276" t="s">
        <v>306</v>
      </c>
      <c r="FY276" t="s">
        <v>552</v>
      </c>
      <c r="FZ276">
        <v>4026973</v>
      </c>
      <c r="GA276" t="s">
        <v>346</v>
      </c>
      <c r="GB276">
        <v>0</v>
      </c>
      <c r="GC276" t="s">
        <v>313</v>
      </c>
      <c r="GH276" t="s">
        <v>306</v>
      </c>
      <c r="GM276" t="s">
        <v>306</v>
      </c>
      <c r="GR276" t="s">
        <v>306</v>
      </c>
      <c r="GS276" t="s">
        <v>877</v>
      </c>
      <c r="GT276">
        <v>4167462</v>
      </c>
      <c r="GU276" t="s">
        <v>366</v>
      </c>
      <c r="GV276">
        <v>0</v>
      </c>
      <c r="GW276" t="s">
        <v>53</v>
      </c>
      <c r="GX276" t="s">
        <v>1092</v>
      </c>
      <c r="GY276">
        <v>27584974</v>
      </c>
      <c r="GZ276" t="s">
        <v>346</v>
      </c>
      <c r="HA276">
        <v>0.01</v>
      </c>
      <c r="HB276" t="s">
        <v>80</v>
      </c>
      <c r="HG276" t="s">
        <v>306</v>
      </c>
    </row>
    <row r="277" spans="5:215" x14ac:dyDescent="0.35">
      <c r="E277" t="s">
        <v>306</v>
      </c>
      <c r="J277" t="s">
        <v>306</v>
      </c>
      <c r="O277" t="s">
        <v>306</v>
      </c>
      <c r="T277" t="s">
        <v>306</v>
      </c>
      <c r="U277" t="s">
        <v>671</v>
      </c>
      <c r="V277">
        <v>5862433</v>
      </c>
      <c r="W277" t="s">
        <v>346</v>
      </c>
      <c r="X277">
        <v>0</v>
      </c>
      <c r="Y277" t="s">
        <v>326</v>
      </c>
      <c r="AD277" t="s">
        <v>306</v>
      </c>
      <c r="AI277" t="s">
        <v>306</v>
      </c>
      <c r="AN277" t="s">
        <v>306</v>
      </c>
      <c r="AO277" t="s">
        <v>1379</v>
      </c>
      <c r="AP277">
        <v>20326977</v>
      </c>
      <c r="AQ277" t="s">
        <v>346</v>
      </c>
      <c r="AR277">
        <v>0</v>
      </c>
      <c r="AS277" t="s">
        <v>62</v>
      </c>
      <c r="AX277" t="s">
        <v>306</v>
      </c>
      <c r="BC277" t="s">
        <v>306</v>
      </c>
      <c r="BD277" t="s">
        <v>1475</v>
      </c>
      <c r="BE277">
        <v>4029724</v>
      </c>
      <c r="BF277" t="s">
        <v>346</v>
      </c>
      <c r="BG277">
        <v>0</v>
      </c>
      <c r="BH277" t="s">
        <v>53</v>
      </c>
      <c r="BI277" t="s">
        <v>1608</v>
      </c>
      <c r="BJ277">
        <v>4207125</v>
      </c>
      <c r="BK277" t="s">
        <v>364</v>
      </c>
      <c r="BL277">
        <v>-0.55000000000000004</v>
      </c>
      <c r="BM277" t="s">
        <v>313</v>
      </c>
      <c r="BN277" t="s">
        <v>762</v>
      </c>
      <c r="BO277">
        <v>5854382</v>
      </c>
      <c r="BP277" t="s">
        <v>346</v>
      </c>
      <c r="BQ277">
        <v>0</v>
      </c>
      <c r="BR277" t="s">
        <v>326</v>
      </c>
      <c r="BS277" t="s">
        <v>1005</v>
      </c>
      <c r="BT277">
        <v>4134765</v>
      </c>
      <c r="BU277" t="s">
        <v>364</v>
      </c>
      <c r="BV277">
        <v>0</v>
      </c>
      <c r="BW277" t="s">
        <v>53</v>
      </c>
      <c r="BX277" t="s">
        <v>671</v>
      </c>
      <c r="BY277">
        <v>5862433</v>
      </c>
      <c r="BZ277" t="s">
        <v>346</v>
      </c>
      <c r="CA277">
        <v>0</v>
      </c>
      <c r="CB277" t="s">
        <v>326</v>
      </c>
      <c r="CC277" t="s">
        <v>1741</v>
      </c>
      <c r="CD277">
        <v>28775263</v>
      </c>
      <c r="CE277" t="s">
        <v>346</v>
      </c>
      <c r="CF277">
        <v>0.01</v>
      </c>
      <c r="CG277" t="s">
        <v>114</v>
      </c>
      <c r="CH277" t="s">
        <v>1379</v>
      </c>
      <c r="CI277">
        <v>20326977</v>
      </c>
      <c r="CJ277" t="s">
        <v>346</v>
      </c>
      <c r="CK277">
        <v>0</v>
      </c>
      <c r="CL277" t="s">
        <v>62</v>
      </c>
      <c r="CM277" t="s">
        <v>1251</v>
      </c>
      <c r="CN277">
        <v>4119608</v>
      </c>
      <c r="CO277" t="s">
        <v>346</v>
      </c>
      <c r="CP277">
        <v>0</v>
      </c>
      <c r="CQ277" t="s">
        <v>53</v>
      </c>
      <c r="CV277" t="s">
        <v>306</v>
      </c>
      <c r="DA277" t="s">
        <v>306</v>
      </c>
      <c r="DB277" t="s">
        <v>1475</v>
      </c>
      <c r="DC277">
        <v>4029724</v>
      </c>
      <c r="DD277" t="s">
        <v>346</v>
      </c>
      <c r="DE277">
        <v>0</v>
      </c>
      <c r="DF277" t="s">
        <v>53</v>
      </c>
      <c r="DK277" t="s">
        <v>306</v>
      </c>
      <c r="DL277" t="s">
        <v>1475</v>
      </c>
      <c r="DM277">
        <v>4029724</v>
      </c>
      <c r="DN277" t="s">
        <v>346</v>
      </c>
      <c r="DO277">
        <v>0</v>
      </c>
      <c r="DP277" t="s">
        <v>53</v>
      </c>
      <c r="DU277" t="s">
        <v>306</v>
      </c>
      <c r="DZ277" t="s">
        <v>306</v>
      </c>
      <c r="EA277" t="s">
        <v>1741</v>
      </c>
      <c r="EB277">
        <v>28775263</v>
      </c>
      <c r="EC277" t="s">
        <v>346</v>
      </c>
      <c r="ED277">
        <v>0.01</v>
      </c>
      <c r="EE277" t="s">
        <v>114</v>
      </c>
      <c r="EF277" t="s">
        <v>1475</v>
      </c>
      <c r="EG277">
        <v>4029724</v>
      </c>
      <c r="EH277" t="s">
        <v>346</v>
      </c>
      <c r="EI277">
        <v>0</v>
      </c>
      <c r="EJ277" t="s">
        <v>53</v>
      </c>
      <c r="EO277" t="s">
        <v>306</v>
      </c>
      <c r="ET277" t="s">
        <v>306</v>
      </c>
      <c r="EY277" t="s">
        <v>306</v>
      </c>
      <c r="FD277" t="s">
        <v>306</v>
      </c>
      <c r="FI277" t="s">
        <v>306</v>
      </c>
      <c r="FN277" t="s">
        <v>306</v>
      </c>
      <c r="FS277" t="s">
        <v>306</v>
      </c>
      <c r="FX277" t="s">
        <v>306</v>
      </c>
      <c r="FY277" t="s">
        <v>1475</v>
      </c>
      <c r="FZ277">
        <v>4029724</v>
      </c>
      <c r="GA277" t="s">
        <v>346</v>
      </c>
      <c r="GB277">
        <v>0</v>
      </c>
      <c r="GC277" t="s">
        <v>53</v>
      </c>
      <c r="GH277" t="s">
        <v>306</v>
      </c>
      <c r="GM277" t="s">
        <v>306</v>
      </c>
      <c r="GR277" t="s">
        <v>306</v>
      </c>
      <c r="GS277" t="s">
        <v>762</v>
      </c>
      <c r="GT277">
        <v>5854382</v>
      </c>
      <c r="GU277" t="s">
        <v>346</v>
      </c>
      <c r="GV277">
        <v>0</v>
      </c>
      <c r="GW277" t="s">
        <v>326</v>
      </c>
      <c r="GX277" t="s">
        <v>1741</v>
      </c>
      <c r="GY277">
        <v>28775263</v>
      </c>
      <c r="GZ277" t="s">
        <v>346</v>
      </c>
      <c r="HA277">
        <v>0.01</v>
      </c>
      <c r="HB277" t="s">
        <v>114</v>
      </c>
      <c r="HG277" t="s">
        <v>306</v>
      </c>
    </row>
    <row r="278" spans="5:215" x14ac:dyDescent="0.35">
      <c r="E278" t="s">
        <v>306</v>
      </c>
      <c r="J278" t="s">
        <v>306</v>
      </c>
      <c r="O278" t="s">
        <v>306</v>
      </c>
      <c r="T278" t="s">
        <v>306</v>
      </c>
      <c r="U278" t="s">
        <v>841</v>
      </c>
      <c r="V278">
        <v>4281886</v>
      </c>
      <c r="W278" t="s">
        <v>346</v>
      </c>
      <c r="X278">
        <v>0</v>
      </c>
      <c r="Y278" t="s">
        <v>2191</v>
      </c>
      <c r="AD278" t="s">
        <v>306</v>
      </c>
      <c r="AI278" t="s">
        <v>306</v>
      </c>
      <c r="AN278" t="s">
        <v>306</v>
      </c>
      <c r="AO278" t="s">
        <v>1380</v>
      </c>
      <c r="AP278">
        <v>20326927</v>
      </c>
      <c r="AQ278" t="s">
        <v>346</v>
      </c>
      <c r="AR278">
        <v>0</v>
      </c>
      <c r="AS278" t="s">
        <v>62</v>
      </c>
      <c r="AX278" t="s">
        <v>306</v>
      </c>
      <c r="BC278" t="s">
        <v>306</v>
      </c>
      <c r="BD278" t="s">
        <v>468</v>
      </c>
      <c r="BE278">
        <v>4556191</v>
      </c>
      <c r="BF278" t="s">
        <v>346</v>
      </c>
      <c r="BG278">
        <v>0</v>
      </c>
      <c r="BH278" t="s">
        <v>53</v>
      </c>
      <c r="BI278" t="s">
        <v>1609</v>
      </c>
      <c r="BJ278">
        <v>4135463</v>
      </c>
      <c r="BK278" t="s">
        <v>364</v>
      </c>
      <c r="BL278">
        <v>-0.88</v>
      </c>
      <c r="BM278" t="s">
        <v>53</v>
      </c>
      <c r="BN278" t="s">
        <v>1246</v>
      </c>
      <c r="BO278">
        <v>4138119</v>
      </c>
      <c r="BP278" t="s">
        <v>346</v>
      </c>
      <c r="BQ278">
        <v>0</v>
      </c>
      <c r="BR278" t="s">
        <v>2188</v>
      </c>
      <c r="BS278" t="s">
        <v>1006</v>
      </c>
      <c r="BT278">
        <v>9795838</v>
      </c>
      <c r="BU278" t="s">
        <v>346</v>
      </c>
      <c r="BV278">
        <v>0</v>
      </c>
      <c r="BW278" t="s">
        <v>50</v>
      </c>
      <c r="BX278" t="s">
        <v>841</v>
      </c>
      <c r="BY278">
        <v>4281886</v>
      </c>
      <c r="BZ278" t="s">
        <v>346</v>
      </c>
      <c r="CA278">
        <v>0</v>
      </c>
      <c r="CB278" t="s">
        <v>2191</v>
      </c>
      <c r="CC278" t="s">
        <v>1742</v>
      </c>
      <c r="CD278">
        <v>4658016</v>
      </c>
      <c r="CE278" t="s">
        <v>346</v>
      </c>
      <c r="CF278">
        <v>0.01</v>
      </c>
      <c r="CG278" t="s">
        <v>114</v>
      </c>
      <c r="CH278" t="s">
        <v>1380</v>
      </c>
      <c r="CI278">
        <v>20326927</v>
      </c>
      <c r="CJ278" t="s">
        <v>346</v>
      </c>
      <c r="CK278">
        <v>0</v>
      </c>
      <c r="CL278" t="s">
        <v>62</v>
      </c>
      <c r="CM278" t="s">
        <v>1762</v>
      </c>
      <c r="CN278">
        <v>4217906</v>
      </c>
      <c r="CO278" t="s">
        <v>364</v>
      </c>
      <c r="CP278">
        <v>0</v>
      </c>
      <c r="CQ278" t="s">
        <v>53</v>
      </c>
      <c r="CV278" t="s">
        <v>306</v>
      </c>
      <c r="DA278" t="s">
        <v>306</v>
      </c>
      <c r="DB278" t="s">
        <v>468</v>
      </c>
      <c r="DC278">
        <v>4556191</v>
      </c>
      <c r="DD278" t="s">
        <v>346</v>
      </c>
      <c r="DE278">
        <v>0</v>
      </c>
      <c r="DF278" t="s">
        <v>53</v>
      </c>
      <c r="DK278" t="s">
        <v>306</v>
      </c>
      <c r="DL278" t="s">
        <v>468</v>
      </c>
      <c r="DM278">
        <v>4556191</v>
      </c>
      <c r="DN278" t="s">
        <v>346</v>
      </c>
      <c r="DO278">
        <v>0</v>
      </c>
      <c r="DP278" t="s">
        <v>53</v>
      </c>
      <c r="DU278" t="s">
        <v>306</v>
      </c>
      <c r="DZ278" t="s">
        <v>306</v>
      </c>
      <c r="EA278" t="s">
        <v>1742</v>
      </c>
      <c r="EB278">
        <v>4658016</v>
      </c>
      <c r="EC278" t="s">
        <v>346</v>
      </c>
      <c r="ED278">
        <v>0.01</v>
      </c>
      <c r="EE278" t="s">
        <v>114</v>
      </c>
      <c r="EF278" t="s">
        <v>468</v>
      </c>
      <c r="EG278">
        <v>4556191</v>
      </c>
      <c r="EH278" t="s">
        <v>346</v>
      </c>
      <c r="EI278">
        <v>0</v>
      </c>
      <c r="EJ278" t="s">
        <v>53</v>
      </c>
      <c r="EO278" t="s">
        <v>306</v>
      </c>
      <c r="ET278" t="s">
        <v>306</v>
      </c>
      <c r="EY278" t="s">
        <v>306</v>
      </c>
      <c r="FD278" t="s">
        <v>306</v>
      </c>
      <c r="FI278" t="s">
        <v>306</v>
      </c>
      <c r="FN278" t="s">
        <v>306</v>
      </c>
      <c r="FS278" t="s">
        <v>306</v>
      </c>
      <c r="FX278" t="s">
        <v>306</v>
      </c>
      <c r="FY278" t="s">
        <v>468</v>
      </c>
      <c r="FZ278">
        <v>4556191</v>
      </c>
      <c r="GA278" t="s">
        <v>346</v>
      </c>
      <c r="GB278">
        <v>0</v>
      </c>
      <c r="GC278" t="s">
        <v>53</v>
      </c>
      <c r="GH278" t="s">
        <v>306</v>
      </c>
      <c r="GM278" t="s">
        <v>306</v>
      </c>
      <c r="GR278" t="s">
        <v>306</v>
      </c>
      <c r="GS278" t="s">
        <v>1246</v>
      </c>
      <c r="GT278">
        <v>4138119</v>
      </c>
      <c r="GU278" t="s">
        <v>346</v>
      </c>
      <c r="GV278">
        <v>0</v>
      </c>
      <c r="GW278" t="s">
        <v>2188</v>
      </c>
      <c r="GX278" t="s">
        <v>1742</v>
      </c>
      <c r="GY278">
        <v>4658016</v>
      </c>
      <c r="GZ278" t="s">
        <v>346</v>
      </c>
      <c r="HA278">
        <v>0.01</v>
      </c>
      <c r="HB278" t="s">
        <v>114</v>
      </c>
      <c r="HG278" t="s">
        <v>306</v>
      </c>
    </row>
    <row r="279" spans="5:215" x14ac:dyDescent="0.35">
      <c r="E279" t="s">
        <v>306</v>
      </c>
      <c r="J279" t="s">
        <v>306</v>
      </c>
      <c r="O279" t="s">
        <v>306</v>
      </c>
      <c r="T279" t="s">
        <v>306</v>
      </c>
      <c r="U279" t="s">
        <v>842</v>
      </c>
      <c r="V279">
        <v>19437756</v>
      </c>
      <c r="W279" t="s">
        <v>346</v>
      </c>
      <c r="X279">
        <v>0</v>
      </c>
      <c r="Y279" t="s">
        <v>50</v>
      </c>
      <c r="AD279" t="s">
        <v>306</v>
      </c>
      <c r="AI279" t="s">
        <v>306</v>
      </c>
      <c r="AN279" t="s">
        <v>306</v>
      </c>
      <c r="AO279" t="s">
        <v>502</v>
      </c>
      <c r="AP279">
        <v>4225041</v>
      </c>
      <c r="AQ279" t="s">
        <v>346</v>
      </c>
      <c r="AR279">
        <v>0</v>
      </c>
      <c r="AS279" t="s">
        <v>2186</v>
      </c>
      <c r="AX279" t="s">
        <v>306</v>
      </c>
      <c r="BC279" t="s">
        <v>306</v>
      </c>
      <c r="BD279" t="s">
        <v>1476</v>
      </c>
      <c r="BE279">
        <v>110895</v>
      </c>
      <c r="BF279" t="s">
        <v>634</v>
      </c>
      <c r="BG279">
        <v>0</v>
      </c>
      <c r="BH279" t="s">
        <v>53</v>
      </c>
      <c r="BM279" t="s">
        <v>306</v>
      </c>
      <c r="BN279" t="s">
        <v>808</v>
      </c>
      <c r="BO279">
        <v>4138631</v>
      </c>
      <c r="BP279" t="s">
        <v>346</v>
      </c>
      <c r="BQ279">
        <v>0</v>
      </c>
      <c r="BR279" t="s">
        <v>50</v>
      </c>
      <c r="BS279" t="s">
        <v>1007</v>
      </c>
      <c r="BT279">
        <v>5813728</v>
      </c>
      <c r="BU279" t="s">
        <v>346</v>
      </c>
      <c r="BV279">
        <v>0</v>
      </c>
      <c r="BW279" t="s">
        <v>2186</v>
      </c>
      <c r="BX279" t="s">
        <v>842</v>
      </c>
      <c r="BY279">
        <v>19437756</v>
      </c>
      <c r="BZ279" t="s">
        <v>346</v>
      </c>
      <c r="CA279">
        <v>0</v>
      </c>
      <c r="CB279" t="s">
        <v>50</v>
      </c>
      <c r="CC279" t="s">
        <v>1743</v>
      </c>
      <c r="CD279">
        <v>4315019</v>
      </c>
      <c r="CE279" t="s">
        <v>346</v>
      </c>
      <c r="CF279">
        <v>0.01</v>
      </c>
      <c r="CG279" t="s">
        <v>114</v>
      </c>
      <c r="CH279" t="s">
        <v>502</v>
      </c>
      <c r="CI279">
        <v>4225041</v>
      </c>
      <c r="CJ279" t="s">
        <v>346</v>
      </c>
      <c r="CK279">
        <v>0</v>
      </c>
      <c r="CL279" t="s">
        <v>2186</v>
      </c>
      <c r="CM279" t="s">
        <v>1341</v>
      </c>
      <c r="CN279">
        <v>14965291</v>
      </c>
      <c r="CO279" t="s">
        <v>346</v>
      </c>
      <c r="CP279">
        <v>0</v>
      </c>
      <c r="CQ279" t="s">
        <v>62</v>
      </c>
      <c r="CV279" t="s">
        <v>306</v>
      </c>
      <c r="DA279" t="s">
        <v>306</v>
      </c>
      <c r="DB279" t="s">
        <v>1476</v>
      </c>
      <c r="DC279">
        <v>110895</v>
      </c>
      <c r="DD279" t="s">
        <v>634</v>
      </c>
      <c r="DE279">
        <v>0</v>
      </c>
      <c r="DF279" t="s">
        <v>53</v>
      </c>
      <c r="DK279" t="s">
        <v>306</v>
      </c>
      <c r="DL279" t="s">
        <v>1476</v>
      </c>
      <c r="DM279">
        <v>110895</v>
      </c>
      <c r="DN279" t="s">
        <v>634</v>
      </c>
      <c r="DO279">
        <v>0</v>
      </c>
      <c r="DP279" t="s">
        <v>53</v>
      </c>
      <c r="DU279" t="s">
        <v>306</v>
      </c>
      <c r="DZ279" t="s">
        <v>306</v>
      </c>
      <c r="EA279" t="s">
        <v>1743</v>
      </c>
      <c r="EB279">
        <v>4315019</v>
      </c>
      <c r="EC279" t="s">
        <v>346</v>
      </c>
      <c r="ED279">
        <v>0.01</v>
      </c>
      <c r="EE279" t="s">
        <v>114</v>
      </c>
      <c r="EF279" t="s">
        <v>1476</v>
      </c>
      <c r="EG279">
        <v>110895</v>
      </c>
      <c r="EH279" t="s">
        <v>634</v>
      </c>
      <c r="EI279">
        <v>0</v>
      </c>
      <c r="EJ279" t="s">
        <v>53</v>
      </c>
      <c r="EO279" t="s">
        <v>306</v>
      </c>
      <c r="ET279" t="s">
        <v>306</v>
      </c>
      <c r="EY279" t="s">
        <v>306</v>
      </c>
      <c r="FD279" t="s">
        <v>306</v>
      </c>
      <c r="FI279" t="s">
        <v>306</v>
      </c>
      <c r="FN279" t="s">
        <v>306</v>
      </c>
      <c r="FS279" t="s">
        <v>306</v>
      </c>
      <c r="FX279" t="s">
        <v>306</v>
      </c>
      <c r="FY279" t="s">
        <v>1476</v>
      </c>
      <c r="FZ279">
        <v>110895</v>
      </c>
      <c r="GA279" t="s">
        <v>634</v>
      </c>
      <c r="GB279">
        <v>0</v>
      </c>
      <c r="GC279" t="s">
        <v>53</v>
      </c>
      <c r="GH279" t="s">
        <v>306</v>
      </c>
      <c r="GM279" t="s">
        <v>306</v>
      </c>
      <c r="GR279" t="s">
        <v>306</v>
      </c>
      <c r="GS279" t="s">
        <v>808</v>
      </c>
      <c r="GT279">
        <v>4138631</v>
      </c>
      <c r="GU279" t="s">
        <v>346</v>
      </c>
      <c r="GV279">
        <v>0</v>
      </c>
      <c r="GW279" t="s">
        <v>50</v>
      </c>
      <c r="GX279" t="s">
        <v>1743</v>
      </c>
      <c r="GY279">
        <v>4315019</v>
      </c>
      <c r="GZ279" t="s">
        <v>346</v>
      </c>
      <c r="HA279">
        <v>0.01</v>
      </c>
      <c r="HB279" t="s">
        <v>114</v>
      </c>
      <c r="HG279" t="s">
        <v>306</v>
      </c>
    </row>
    <row r="280" spans="5:215" x14ac:dyDescent="0.35">
      <c r="E280" t="s">
        <v>306</v>
      </c>
      <c r="J280" t="s">
        <v>306</v>
      </c>
      <c r="O280" t="s">
        <v>306</v>
      </c>
      <c r="T280" t="s">
        <v>306</v>
      </c>
      <c r="U280" t="s">
        <v>477</v>
      </c>
      <c r="V280">
        <v>4119790</v>
      </c>
      <c r="W280" t="s">
        <v>346</v>
      </c>
      <c r="X280">
        <v>0</v>
      </c>
      <c r="Y280" t="s">
        <v>53</v>
      </c>
      <c r="AD280" t="s">
        <v>306</v>
      </c>
      <c r="AI280" t="s">
        <v>306</v>
      </c>
      <c r="AN280" t="s">
        <v>306</v>
      </c>
      <c r="AO280" t="s">
        <v>519</v>
      </c>
      <c r="AP280">
        <v>109968</v>
      </c>
      <c r="AQ280" t="s">
        <v>346</v>
      </c>
      <c r="AR280">
        <v>0</v>
      </c>
      <c r="AS280" t="s">
        <v>53</v>
      </c>
      <c r="AX280" t="s">
        <v>306</v>
      </c>
      <c r="BC280" t="s">
        <v>306</v>
      </c>
      <c r="BD280" t="s">
        <v>1210</v>
      </c>
      <c r="BE280">
        <v>4304195</v>
      </c>
      <c r="BF280" t="s">
        <v>346</v>
      </c>
      <c r="BG280">
        <v>0</v>
      </c>
      <c r="BH280" t="s">
        <v>62</v>
      </c>
      <c r="BM280" t="s">
        <v>306</v>
      </c>
      <c r="BN280" t="s">
        <v>896</v>
      </c>
      <c r="BO280">
        <v>4272541</v>
      </c>
      <c r="BP280" t="s">
        <v>346</v>
      </c>
      <c r="BQ280">
        <v>0</v>
      </c>
      <c r="BR280" t="s">
        <v>53</v>
      </c>
      <c r="BS280" t="s">
        <v>1008</v>
      </c>
      <c r="BT280">
        <v>4056822</v>
      </c>
      <c r="BU280" t="s">
        <v>346</v>
      </c>
      <c r="BV280">
        <v>0</v>
      </c>
      <c r="BW280" t="s">
        <v>320</v>
      </c>
      <c r="BX280" t="s">
        <v>477</v>
      </c>
      <c r="BY280">
        <v>4119790</v>
      </c>
      <c r="BZ280" t="s">
        <v>346</v>
      </c>
      <c r="CA280">
        <v>0</v>
      </c>
      <c r="CB280" t="s">
        <v>53</v>
      </c>
      <c r="CC280" t="s">
        <v>1744</v>
      </c>
      <c r="CD280">
        <v>4252252</v>
      </c>
      <c r="CE280" t="s">
        <v>364</v>
      </c>
      <c r="CF280">
        <v>0.01</v>
      </c>
      <c r="CG280" t="s">
        <v>53</v>
      </c>
      <c r="CH280" t="s">
        <v>519</v>
      </c>
      <c r="CI280">
        <v>109968</v>
      </c>
      <c r="CJ280" t="s">
        <v>346</v>
      </c>
      <c r="CK280">
        <v>0</v>
      </c>
      <c r="CL280" t="s">
        <v>53</v>
      </c>
      <c r="CM280" t="s">
        <v>978</v>
      </c>
      <c r="CN280">
        <v>4224292</v>
      </c>
      <c r="CO280" t="s">
        <v>346</v>
      </c>
      <c r="CP280">
        <v>0</v>
      </c>
      <c r="CQ280" t="s">
        <v>2185</v>
      </c>
      <c r="CV280" t="s">
        <v>306</v>
      </c>
      <c r="DA280" t="s">
        <v>306</v>
      </c>
      <c r="DB280" t="s">
        <v>1210</v>
      </c>
      <c r="DC280">
        <v>4304195</v>
      </c>
      <c r="DD280" t="s">
        <v>346</v>
      </c>
      <c r="DE280">
        <v>0</v>
      </c>
      <c r="DF280" t="s">
        <v>62</v>
      </c>
      <c r="DK280" t="s">
        <v>306</v>
      </c>
      <c r="DL280" t="s">
        <v>1210</v>
      </c>
      <c r="DM280">
        <v>4304195</v>
      </c>
      <c r="DN280" t="s">
        <v>346</v>
      </c>
      <c r="DO280">
        <v>0</v>
      </c>
      <c r="DP280" t="s">
        <v>62</v>
      </c>
      <c r="DU280" t="s">
        <v>306</v>
      </c>
      <c r="DZ280" t="s">
        <v>306</v>
      </c>
      <c r="EA280" t="s">
        <v>1744</v>
      </c>
      <c r="EB280">
        <v>4252252</v>
      </c>
      <c r="EC280" t="s">
        <v>364</v>
      </c>
      <c r="ED280">
        <v>0.01</v>
      </c>
      <c r="EE280" t="s">
        <v>53</v>
      </c>
      <c r="EF280" t="s">
        <v>1210</v>
      </c>
      <c r="EG280">
        <v>4304195</v>
      </c>
      <c r="EH280" t="s">
        <v>346</v>
      </c>
      <c r="EI280">
        <v>0</v>
      </c>
      <c r="EJ280" t="s">
        <v>62</v>
      </c>
      <c r="EO280" t="s">
        <v>306</v>
      </c>
      <c r="ET280" t="s">
        <v>306</v>
      </c>
      <c r="EY280" t="s">
        <v>306</v>
      </c>
      <c r="FD280" t="s">
        <v>306</v>
      </c>
      <c r="FI280" t="s">
        <v>306</v>
      </c>
      <c r="FN280" t="s">
        <v>306</v>
      </c>
      <c r="FS280" t="s">
        <v>306</v>
      </c>
      <c r="FX280" t="s">
        <v>306</v>
      </c>
      <c r="FY280" t="s">
        <v>1210</v>
      </c>
      <c r="FZ280">
        <v>4304195</v>
      </c>
      <c r="GA280" t="s">
        <v>346</v>
      </c>
      <c r="GB280">
        <v>0</v>
      </c>
      <c r="GC280" t="s">
        <v>62</v>
      </c>
      <c r="GH280" t="s">
        <v>306</v>
      </c>
      <c r="GM280" t="s">
        <v>306</v>
      </c>
      <c r="GR280" t="s">
        <v>306</v>
      </c>
      <c r="GS280" t="s">
        <v>896</v>
      </c>
      <c r="GT280">
        <v>4272541</v>
      </c>
      <c r="GU280" t="s">
        <v>346</v>
      </c>
      <c r="GV280">
        <v>0</v>
      </c>
      <c r="GW280" t="s">
        <v>53</v>
      </c>
      <c r="GX280" t="s">
        <v>1744</v>
      </c>
      <c r="GY280">
        <v>4252252</v>
      </c>
      <c r="GZ280" t="s">
        <v>364</v>
      </c>
      <c r="HA280">
        <v>0.01</v>
      </c>
      <c r="HB280" t="s">
        <v>53</v>
      </c>
      <c r="HG280" t="s">
        <v>306</v>
      </c>
    </row>
    <row r="281" spans="5:215" x14ac:dyDescent="0.35">
      <c r="E281" t="s">
        <v>306</v>
      </c>
      <c r="J281" t="s">
        <v>306</v>
      </c>
      <c r="O281" t="s">
        <v>306</v>
      </c>
      <c r="T281" t="s">
        <v>306</v>
      </c>
      <c r="U281" t="s">
        <v>843</v>
      </c>
      <c r="V281">
        <v>4095386</v>
      </c>
      <c r="W281" t="s">
        <v>364</v>
      </c>
      <c r="X281">
        <v>0</v>
      </c>
      <c r="Y281" t="s">
        <v>53</v>
      </c>
      <c r="AD281" t="s">
        <v>306</v>
      </c>
      <c r="AI281" t="s">
        <v>306</v>
      </c>
      <c r="AN281" t="s">
        <v>306</v>
      </c>
      <c r="AO281" t="s">
        <v>1381</v>
      </c>
      <c r="AP281">
        <v>9321263</v>
      </c>
      <c r="AQ281" t="s">
        <v>346</v>
      </c>
      <c r="AR281">
        <v>0</v>
      </c>
      <c r="AS281" t="s">
        <v>53</v>
      </c>
      <c r="AX281" t="s">
        <v>306</v>
      </c>
      <c r="BC281" t="s">
        <v>306</v>
      </c>
      <c r="BD281" t="s">
        <v>823</v>
      </c>
      <c r="BE281">
        <v>4212913</v>
      </c>
      <c r="BF281" t="s">
        <v>346</v>
      </c>
      <c r="BG281">
        <v>0</v>
      </c>
      <c r="BH281" t="s">
        <v>2191</v>
      </c>
      <c r="BM281" t="s">
        <v>306</v>
      </c>
      <c r="BN281" t="s">
        <v>898</v>
      </c>
      <c r="BO281">
        <v>106229912</v>
      </c>
      <c r="BP281" t="s">
        <v>346</v>
      </c>
      <c r="BQ281">
        <v>0</v>
      </c>
      <c r="BR281" t="s">
        <v>50</v>
      </c>
      <c r="BS281" t="s">
        <v>662</v>
      </c>
      <c r="BT281">
        <v>4316799</v>
      </c>
      <c r="BU281" t="s">
        <v>346</v>
      </c>
      <c r="BV281">
        <v>0</v>
      </c>
      <c r="BW281" t="s">
        <v>50</v>
      </c>
      <c r="BX281" t="s">
        <v>843</v>
      </c>
      <c r="BY281">
        <v>4095386</v>
      </c>
      <c r="BZ281" t="s">
        <v>364</v>
      </c>
      <c r="CA281">
        <v>0</v>
      </c>
      <c r="CB281" t="s">
        <v>53</v>
      </c>
      <c r="CC281" t="s">
        <v>978</v>
      </c>
      <c r="CD281">
        <v>4224292</v>
      </c>
      <c r="CE281" t="s">
        <v>346</v>
      </c>
      <c r="CF281">
        <v>0.01</v>
      </c>
      <c r="CG281" t="s">
        <v>2185</v>
      </c>
      <c r="CH281" t="s">
        <v>1381</v>
      </c>
      <c r="CI281">
        <v>9321263</v>
      </c>
      <c r="CJ281" t="s">
        <v>346</v>
      </c>
      <c r="CK281">
        <v>0</v>
      </c>
      <c r="CL281" t="s">
        <v>53</v>
      </c>
      <c r="CM281" t="s">
        <v>2016</v>
      </c>
      <c r="CN281">
        <v>4048459</v>
      </c>
      <c r="CO281" t="s">
        <v>346</v>
      </c>
      <c r="CP281">
        <v>0</v>
      </c>
      <c r="CQ281" t="s">
        <v>53</v>
      </c>
      <c r="CV281" t="s">
        <v>306</v>
      </c>
      <c r="DA281" t="s">
        <v>306</v>
      </c>
      <c r="DB281" t="s">
        <v>823</v>
      </c>
      <c r="DC281">
        <v>4212913</v>
      </c>
      <c r="DD281" t="s">
        <v>346</v>
      </c>
      <c r="DE281">
        <v>0</v>
      </c>
      <c r="DF281" t="s">
        <v>2191</v>
      </c>
      <c r="DK281" t="s">
        <v>306</v>
      </c>
      <c r="DL281" t="s">
        <v>823</v>
      </c>
      <c r="DM281">
        <v>4212913</v>
      </c>
      <c r="DN281" t="s">
        <v>346</v>
      </c>
      <c r="DO281">
        <v>0</v>
      </c>
      <c r="DP281" t="s">
        <v>2191</v>
      </c>
      <c r="DU281" t="s">
        <v>306</v>
      </c>
      <c r="DZ281" t="s">
        <v>306</v>
      </c>
      <c r="EA281" t="s">
        <v>978</v>
      </c>
      <c r="EB281">
        <v>4224292</v>
      </c>
      <c r="EC281" t="s">
        <v>346</v>
      </c>
      <c r="ED281">
        <v>0.01</v>
      </c>
      <c r="EE281" t="s">
        <v>2185</v>
      </c>
      <c r="EF281" t="s">
        <v>823</v>
      </c>
      <c r="EG281">
        <v>4212913</v>
      </c>
      <c r="EH281" t="s">
        <v>346</v>
      </c>
      <c r="EI281">
        <v>0</v>
      </c>
      <c r="EJ281" t="s">
        <v>2191</v>
      </c>
      <c r="EO281" t="s">
        <v>306</v>
      </c>
      <c r="ET281" t="s">
        <v>306</v>
      </c>
      <c r="EY281" t="s">
        <v>306</v>
      </c>
      <c r="FD281" t="s">
        <v>306</v>
      </c>
      <c r="FI281" t="s">
        <v>306</v>
      </c>
      <c r="FN281" t="s">
        <v>306</v>
      </c>
      <c r="FS281" t="s">
        <v>306</v>
      </c>
      <c r="FX281" t="s">
        <v>306</v>
      </c>
      <c r="FY281" t="s">
        <v>823</v>
      </c>
      <c r="FZ281">
        <v>4212913</v>
      </c>
      <c r="GA281" t="s">
        <v>346</v>
      </c>
      <c r="GB281">
        <v>0</v>
      </c>
      <c r="GC281" t="s">
        <v>2191</v>
      </c>
      <c r="GH281" t="s">
        <v>306</v>
      </c>
      <c r="GM281" t="s">
        <v>306</v>
      </c>
      <c r="GR281" t="s">
        <v>306</v>
      </c>
      <c r="GS281" t="s">
        <v>898</v>
      </c>
      <c r="GT281">
        <v>106229912</v>
      </c>
      <c r="GU281" t="s">
        <v>346</v>
      </c>
      <c r="GV281">
        <v>0</v>
      </c>
      <c r="GW281" t="s">
        <v>50</v>
      </c>
      <c r="GX281" t="s">
        <v>978</v>
      </c>
      <c r="GY281">
        <v>4224292</v>
      </c>
      <c r="GZ281" t="s">
        <v>346</v>
      </c>
      <c r="HA281">
        <v>0.01</v>
      </c>
      <c r="HB281" t="s">
        <v>2185</v>
      </c>
      <c r="HG281" t="s">
        <v>306</v>
      </c>
    </row>
    <row r="282" spans="5:215" x14ac:dyDescent="0.35">
      <c r="E282" t="s">
        <v>306</v>
      </c>
      <c r="J282" t="s">
        <v>306</v>
      </c>
      <c r="O282" t="s">
        <v>306</v>
      </c>
      <c r="T282" t="s">
        <v>306</v>
      </c>
      <c r="U282" t="s">
        <v>844</v>
      </c>
      <c r="V282">
        <v>4139779</v>
      </c>
      <c r="W282" t="s">
        <v>346</v>
      </c>
      <c r="X282">
        <v>0</v>
      </c>
      <c r="Y282" t="s">
        <v>2179</v>
      </c>
      <c r="AD282" t="s">
        <v>306</v>
      </c>
      <c r="AI282" t="s">
        <v>306</v>
      </c>
      <c r="AN282" t="s">
        <v>306</v>
      </c>
      <c r="AO282" t="s">
        <v>1382</v>
      </c>
      <c r="AP282" t="s">
        <v>300</v>
      </c>
      <c r="AQ282" t="s">
        <v>361</v>
      </c>
      <c r="AR282">
        <v>0</v>
      </c>
      <c r="AS282" t="s">
        <v>50</v>
      </c>
      <c r="AX282" t="s">
        <v>306</v>
      </c>
      <c r="BC282" t="s">
        <v>306</v>
      </c>
      <c r="BD282" t="s">
        <v>470</v>
      </c>
      <c r="BE282">
        <v>109849</v>
      </c>
      <c r="BF282" t="s">
        <v>346</v>
      </c>
      <c r="BG282">
        <v>0</v>
      </c>
      <c r="BH282" t="s">
        <v>53</v>
      </c>
      <c r="BM282" t="s">
        <v>306</v>
      </c>
      <c r="BN282" t="s">
        <v>445</v>
      </c>
      <c r="BO282">
        <v>4241120</v>
      </c>
      <c r="BP282" t="s">
        <v>346</v>
      </c>
      <c r="BQ282">
        <v>0</v>
      </c>
      <c r="BR282" t="s">
        <v>2191</v>
      </c>
      <c r="BS282" t="s">
        <v>771</v>
      </c>
      <c r="BT282">
        <v>4162576</v>
      </c>
      <c r="BU282" t="s">
        <v>346</v>
      </c>
      <c r="BV282">
        <v>0</v>
      </c>
      <c r="BW282" t="s">
        <v>53</v>
      </c>
      <c r="BX282" t="s">
        <v>844</v>
      </c>
      <c r="BY282">
        <v>4139779</v>
      </c>
      <c r="BZ282" t="s">
        <v>346</v>
      </c>
      <c r="CA282">
        <v>0</v>
      </c>
      <c r="CB282" t="s">
        <v>2179</v>
      </c>
      <c r="CC282" t="s">
        <v>1745</v>
      </c>
      <c r="CD282">
        <v>4561053</v>
      </c>
      <c r="CE282" t="s">
        <v>364</v>
      </c>
      <c r="CF282">
        <v>0.01</v>
      </c>
      <c r="CG282" t="s">
        <v>114</v>
      </c>
      <c r="CH282" t="s">
        <v>1382</v>
      </c>
      <c r="CI282" t="s">
        <v>300</v>
      </c>
      <c r="CJ282" t="s">
        <v>361</v>
      </c>
      <c r="CK282">
        <v>0</v>
      </c>
      <c r="CL282" t="s">
        <v>50</v>
      </c>
      <c r="CM282" t="s">
        <v>2017</v>
      </c>
      <c r="CN282">
        <v>6676765</v>
      </c>
      <c r="CO282" t="s">
        <v>346</v>
      </c>
      <c r="CP282">
        <v>0</v>
      </c>
      <c r="CQ282" t="s">
        <v>53</v>
      </c>
      <c r="CV282" t="s">
        <v>306</v>
      </c>
      <c r="DA282" t="s">
        <v>306</v>
      </c>
      <c r="DB282" t="s">
        <v>470</v>
      </c>
      <c r="DC282">
        <v>109849</v>
      </c>
      <c r="DD282" t="s">
        <v>346</v>
      </c>
      <c r="DE282">
        <v>0</v>
      </c>
      <c r="DF282" t="s">
        <v>53</v>
      </c>
      <c r="DK282" t="s">
        <v>306</v>
      </c>
      <c r="DL282" t="s">
        <v>470</v>
      </c>
      <c r="DM282">
        <v>109849</v>
      </c>
      <c r="DN282" t="s">
        <v>346</v>
      </c>
      <c r="DO282">
        <v>0</v>
      </c>
      <c r="DP282" t="s">
        <v>53</v>
      </c>
      <c r="DU282" t="s">
        <v>306</v>
      </c>
      <c r="DZ282" t="s">
        <v>306</v>
      </c>
      <c r="EA282" t="s">
        <v>1745</v>
      </c>
      <c r="EB282">
        <v>4561053</v>
      </c>
      <c r="EC282" t="s">
        <v>364</v>
      </c>
      <c r="ED282">
        <v>0.01</v>
      </c>
      <c r="EE282" t="s">
        <v>114</v>
      </c>
      <c r="EF282" t="s">
        <v>470</v>
      </c>
      <c r="EG282">
        <v>109849</v>
      </c>
      <c r="EH282" t="s">
        <v>346</v>
      </c>
      <c r="EI282">
        <v>0</v>
      </c>
      <c r="EJ282" t="s">
        <v>53</v>
      </c>
      <c r="EO282" t="s">
        <v>306</v>
      </c>
      <c r="ET282" t="s">
        <v>306</v>
      </c>
      <c r="EY282" t="s">
        <v>306</v>
      </c>
      <c r="FD282" t="s">
        <v>306</v>
      </c>
      <c r="FI282" t="s">
        <v>306</v>
      </c>
      <c r="FN282" t="s">
        <v>306</v>
      </c>
      <c r="FS282" t="s">
        <v>306</v>
      </c>
      <c r="FX282" t="s">
        <v>306</v>
      </c>
      <c r="FY282" t="s">
        <v>470</v>
      </c>
      <c r="FZ282">
        <v>109849</v>
      </c>
      <c r="GA282" t="s">
        <v>346</v>
      </c>
      <c r="GB282">
        <v>0</v>
      </c>
      <c r="GC282" t="s">
        <v>53</v>
      </c>
      <c r="GH282" t="s">
        <v>306</v>
      </c>
      <c r="GM282" t="s">
        <v>306</v>
      </c>
      <c r="GR282" t="s">
        <v>306</v>
      </c>
      <c r="GS282" t="s">
        <v>445</v>
      </c>
      <c r="GT282">
        <v>4241120</v>
      </c>
      <c r="GU282" t="s">
        <v>346</v>
      </c>
      <c r="GV282">
        <v>0</v>
      </c>
      <c r="GW282" t="s">
        <v>2191</v>
      </c>
      <c r="GX282" t="s">
        <v>1745</v>
      </c>
      <c r="GY282">
        <v>4561053</v>
      </c>
      <c r="GZ282" t="s">
        <v>364</v>
      </c>
      <c r="HA282">
        <v>0.01</v>
      </c>
      <c r="HB282" t="s">
        <v>114</v>
      </c>
      <c r="HG282" t="s">
        <v>306</v>
      </c>
    </row>
    <row r="283" spans="5:215" x14ac:dyDescent="0.35">
      <c r="E283" t="s">
        <v>306</v>
      </c>
      <c r="J283" t="s">
        <v>306</v>
      </c>
      <c r="O283" t="s">
        <v>306</v>
      </c>
      <c r="T283" t="s">
        <v>306</v>
      </c>
      <c r="U283" t="s">
        <v>845</v>
      </c>
      <c r="V283">
        <v>4577892</v>
      </c>
      <c r="W283" t="s">
        <v>346</v>
      </c>
      <c r="X283">
        <v>0</v>
      </c>
      <c r="Y283" t="s">
        <v>326</v>
      </c>
      <c r="AD283" t="s">
        <v>306</v>
      </c>
      <c r="AI283" t="s">
        <v>306</v>
      </c>
      <c r="AN283" t="s">
        <v>306</v>
      </c>
      <c r="AO283" t="s">
        <v>1383</v>
      </c>
      <c r="AP283">
        <v>9146959</v>
      </c>
      <c r="AQ283" t="s">
        <v>346</v>
      </c>
      <c r="AR283">
        <v>0</v>
      </c>
      <c r="AS283" t="s">
        <v>62</v>
      </c>
      <c r="AX283" t="s">
        <v>306</v>
      </c>
      <c r="BC283" t="s">
        <v>306</v>
      </c>
      <c r="BD283" t="s">
        <v>1477</v>
      </c>
      <c r="BE283">
        <v>4588955</v>
      </c>
      <c r="BF283" t="s">
        <v>364</v>
      </c>
      <c r="BG283">
        <v>0</v>
      </c>
      <c r="BH283" t="s">
        <v>62</v>
      </c>
      <c r="BM283" t="s">
        <v>306</v>
      </c>
      <c r="BN283" t="s">
        <v>819</v>
      </c>
      <c r="BO283">
        <v>108037678</v>
      </c>
      <c r="BP283" t="s">
        <v>346</v>
      </c>
      <c r="BQ283">
        <v>0</v>
      </c>
      <c r="BR283" t="s">
        <v>50</v>
      </c>
      <c r="BS283" t="s">
        <v>685</v>
      </c>
      <c r="BT283">
        <v>4641730</v>
      </c>
      <c r="BU283" t="s">
        <v>346</v>
      </c>
      <c r="BV283">
        <v>0</v>
      </c>
      <c r="BW283" t="s">
        <v>326</v>
      </c>
      <c r="BX283" t="s">
        <v>845</v>
      </c>
      <c r="BY283">
        <v>4577892</v>
      </c>
      <c r="BZ283" t="s">
        <v>346</v>
      </c>
      <c r="CA283">
        <v>0</v>
      </c>
      <c r="CB283" t="s">
        <v>326</v>
      </c>
      <c r="CC283" t="s">
        <v>1746</v>
      </c>
      <c r="CD283">
        <v>4276616</v>
      </c>
      <c r="CE283" t="s">
        <v>364</v>
      </c>
      <c r="CF283">
        <v>0.01</v>
      </c>
      <c r="CG283" t="s">
        <v>114</v>
      </c>
      <c r="CH283" t="s">
        <v>1383</v>
      </c>
      <c r="CI283">
        <v>9146959</v>
      </c>
      <c r="CJ283" t="s">
        <v>346</v>
      </c>
      <c r="CK283">
        <v>0</v>
      </c>
      <c r="CL283" t="s">
        <v>62</v>
      </c>
      <c r="CM283" t="s">
        <v>2018</v>
      </c>
      <c r="CN283">
        <v>4320033</v>
      </c>
      <c r="CO283" t="s">
        <v>346</v>
      </c>
      <c r="CP283">
        <v>0</v>
      </c>
      <c r="CQ283" t="s">
        <v>53</v>
      </c>
      <c r="CV283" t="s">
        <v>306</v>
      </c>
      <c r="DA283" t="s">
        <v>306</v>
      </c>
      <c r="DB283" t="s">
        <v>1477</v>
      </c>
      <c r="DC283">
        <v>4588955</v>
      </c>
      <c r="DD283" t="s">
        <v>364</v>
      </c>
      <c r="DE283">
        <v>0</v>
      </c>
      <c r="DF283" t="s">
        <v>62</v>
      </c>
      <c r="DK283" t="s">
        <v>306</v>
      </c>
      <c r="DL283" t="s">
        <v>1477</v>
      </c>
      <c r="DM283">
        <v>4588955</v>
      </c>
      <c r="DN283" t="s">
        <v>364</v>
      </c>
      <c r="DO283">
        <v>0</v>
      </c>
      <c r="DP283" t="s">
        <v>62</v>
      </c>
      <c r="DU283" t="s">
        <v>306</v>
      </c>
      <c r="DZ283" t="s">
        <v>306</v>
      </c>
      <c r="EA283" t="s">
        <v>1746</v>
      </c>
      <c r="EB283">
        <v>4276616</v>
      </c>
      <c r="EC283" t="s">
        <v>364</v>
      </c>
      <c r="ED283">
        <v>0.01</v>
      </c>
      <c r="EE283" t="s">
        <v>114</v>
      </c>
      <c r="EF283" t="s">
        <v>1477</v>
      </c>
      <c r="EG283">
        <v>4588955</v>
      </c>
      <c r="EH283" t="s">
        <v>364</v>
      </c>
      <c r="EI283">
        <v>0</v>
      </c>
      <c r="EJ283" t="s">
        <v>62</v>
      </c>
      <c r="EO283" t="s">
        <v>306</v>
      </c>
      <c r="ET283" t="s">
        <v>306</v>
      </c>
      <c r="EY283" t="s">
        <v>306</v>
      </c>
      <c r="FD283" t="s">
        <v>306</v>
      </c>
      <c r="FI283" t="s">
        <v>306</v>
      </c>
      <c r="FN283" t="s">
        <v>306</v>
      </c>
      <c r="FS283" t="s">
        <v>306</v>
      </c>
      <c r="FX283" t="s">
        <v>306</v>
      </c>
      <c r="FY283" t="s">
        <v>1477</v>
      </c>
      <c r="FZ283">
        <v>4588955</v>
      </c>
      <c r="GA283" t="s">
        <v>364</v>
      </c>
      <c r="GB283">
        <v>0</v>
      </c>
      <c r="GC283" t="s">
        <v>62</v>
      </c>
      <c r="GH283" t="s">
        <v>306</v>
      </c>
      <c r="GM283" t="s">
        <v>306</v>
      </c>
      <c r="GR283" t="s">
        <v>306</v>
      </c>
      <c r="GS283" t="s">
        <v>819</v>
      </c>
      <c r="GT283">
        <v>108037678</v>
      </c>
      <c r="GU283" t="s">
        <v>346</v>
      </c>
      <c r="GV283">
        <v>0</v>
      </c>
      <c r="GW283" t="s">
        <v>50</v>
      </c>
      <c r="GX283" t="s">
        <v>1746</v>
      </c>
      <c r="GY283">
        <v>4276616</v>
      </c>
      <c r="GZ283" t="s">
        <v>364</v>
      </c>
      <c r="HA283">
        <v>0.01</v>
      </c>
      <c r="HB283" t="s">
        <v>114</v>
      </c>
      <c r="HG283" t="s">
        <v>306</v>
      </c>
    </row>
    <row r="284" spans="5:215" x14ac:dyDescent="0.35">
      <c r="E284" t="s">
        <v>306</v>
      </c>
      <c r="J284" t="s">
        <v>306</v>
      </c>
      <c r="O284" t="s">
        <v>306</v>
      </c>
      <c r="T284" t="s">
        <v>306</v>
      </c>
      <c r="U284" t="s">
        <v>846</v>
      </c>
      <c r="V284">
        <v>5855481</v>
      </c>
      <c r="W284" t="s">
        <v>346</v>
      </c>
      <c r="X284">
        <v>0</v>
      </c>
      <c r="Y284" t="s">
        <v>50</v>
      </c>
      <c r="AD284" t="s">
        <v>306</v>
      </c>
      <c r="AI284" t="s">
        <v>306</v>
      </c>
      <c r="AN284" t="s">
        <v>306</v>
      </c>
      <c r="AO284" t="s">
        <v>599</v>
      </c>
      <c r="AP284">
        <v>19350037</v>
      </c>
      <c r="AQ284" t="s">
        <v>346</v>
      </c>
      <c r="AR284">
        <v>0</v>
      </c>
      <c r="AS284" t="s">
        <v>313</v>
      </c>
      <c r="AX284" t="s">
        <v>306</v>
      </c>
      <c r="BC284" t="s">
        <v>306</v>
      </c>
      <c r="BD284" t="s">
        <v>1478</v>
      </c>
      <c r="BE284">
        <v>4339354</v>
      </c>
      <c r="BF284" t="s">
        <v>346</v>
      </c>
      <c r="BG284">
        <v>0</v>
      </c>
      <c r="BH284" t="s">
        <v>53</v>
      </c>
      <c r="BM284" t="s">
        <v>306</v>
      </c>
      <c r="BN284" t="s">
        <v>887</v>
      </c>
      <c r="BO284">
        <v>5843533</v>
      </c>
      <c r="BP284" t="s">
        <v>346</v>
      </c>
      <c r="BQ284">
        <v>0</v>
      </c>
      <c r="BR284" t="s">
        <v>50</v>
      </c>
      <c r="BS284" t="s">
        <v>509</v>
      </c>
      <c r="BT284">
        <v>4226520</v>
      </c>
      <c r="BU284" t="s">
        <v>346</v>
      </c>
      <c r="BV284">
        <v>0</v>
      </c>
      <c r="BW284" t="s">
        <v>80</v>
      </c>
      <c r="BX284" t="s">
        <v>846</v>
      </c>
      <c r="BY284">
        <v>5855481</v>
      </c>
      <c r="BZ284" t="s">
        <v>346</v>
      </c>
      <c r="CA284">
        <v>0</v>
      </c>
      <c r="CB284" t="s">
        <v>50</v>
      </c>
      <c r="CC284" t="s">
        <v>1747</v>
      </c>
      <c r="CD284">
        <v>4240640</v>
      </c>
      <c r="CE284" t="s">
        <v>346</v>
      </c>
      <c r="CF284">
        <v>0.01</v>
      </c>
      <c r="CG284" t="s">
        <v>2184</v>
      </c>
      <c r="CH284" t="s">
        <v>599</v>
      </c>
      <c r="CI284">
        <v>19350037</v>
      </c>
      <c r="CJ284" t="s">
        <v>346</v>
      </c>
      <c r="CK284">
        <v>0</v>
      </c>
      <c r="CL284" t="s">
        <v>313</v>
      </c>
      <c r="CM284" t="s">
        <v>549</v>
      </c>
      <c r="CN284">
        <v>4556203</v>
      </c>
      <c r="CO284" t="s">
        <v>346</v>
      </c>
      <c r="CP284">
        <v>0</v>
      </c>
      <c r="CQ284" t="s">
        <v>53</v>
      </c>
      <c r="CV284" t="s">
        <v>306</v>
      </c>
      <c r="DA284" t="s">
        <v>306</v>
      </c>
      <c r="DB284" t="s">
        <v>1478</v>
      </c>
      <c r="DC284">
        <v>4339354</v>
      </c>
      <c r="DD284" t="s">
        <v>346</v>
      </c>
      <c r="DE284">
        <v>0</v>
      </c>
      <c r="DF284" t="s">
        <v>53</v>
      </c>
      <c r="DK284" t="s">
        <v>306</v>
      </c>
      <c r="DL284" t="s">
        <v>1478</v>
      </c>
      <c r="DM284">
        <v>4339354</v>
      </c>
      <c r="DN284" t="s">
        <v>346</v>
      </c>
      <c r="DO284">
        <v>0</v>
      </c>
      <c r="DP284" t="s">
        <v>53</v>
      </c>
      <c r="DU284" t="s">
        <v>306</v>
      </c>
      <c r="DZ284" t="s">
        <v>306</v>
      </c>
      <c r="EA284" t="s">
        <v>1747</v>
      </c>
      <c r="EB284">
        <v>4240640</v>
      </c>
      <c r="EC284" t="s">
        <v>346</v>
      </c>
      <c r="ED284">
        <v>0.01</v>
      </c>
      <c r="EE284" t="s">
        <v>2184</v>
      </c>
      <c r="EF284" t="s">
        <v>1478</v>
      </c>
      <c r="EG284">
        <v>4339354</v>
      </c>
      <c r="EH284" t="s">
        <v>346</v>
      </c>
      <c r="EI284">
        <v>0</v>
      </c>
      <c r="EJ284" t="s">
        <v>53</v>
      </c>
      <c r="EO284" t="s">
        <v>306</v>
      </c>
      <c r="ET284" t="s">
        <v>306</v>
      </c>
      <c r="EY284" t="s">
        <v>306</v>
      </c>
      <c r="FD284" t="s">
        <v>306</v>
      </c>
      <c r="FI284" t="s">
        <v>306</v>
      </c>
      <c r="FN284" t="s">
        <v>306</v>
      </c>
      <c r="FS284" t="s">
        <v>306</v>
      </c>
      <c r="FX284" t="s">
        <v>306</v>
      </c>
      <c r="FY284" t="s">
        <v>1478</v>
      </c>
      <c r="FZ284">
        <v>4339354</v>
      </c>
      <c r="GA284" t="s">
        <v>346</v>
      </c>
      <c r="GB284">
        <v>0</v>
      </c>
      <c r="GC284" t="s">
        <v>53</v>
      </c>
      <c r="GH284" t="s">
        <v>306</v>
      </c>
      <c r="GM284" t="s">
        <v>306</v>
      </c>
      <c r="GR284" t="s">
        <v>306</v>
      </c>
      <c r="GS284" t="s">
        <v>887</v>
      </c>
      <c r="GT284">
        <v>5843533</v>
      </c>
      <c r="GU284" t="s">
        <v>346</v>
      </c>
      <c r="GV284">
        <v>0</v>
      </c>
      <c r="GW284" t="s">
        <v>50</v>
      </c>
      <c r="GX284" t="s">
        <v>1747</v>
      </c>
      <c r="GY284">
        <v>4240640</v>
      </c>
      <c r="GZ284" t="s">
        <v>346</v>
      </c>
      <c r="HA284">
        <v>0.01</v>
      </c>
      <c r="HB284" t="s">
        <v>2184</v>
      </c>
      <c r="HG284" t="s">
        <v>306</v>
      </c>
    </row>
    <row r="285" spans="5:215" x14ac:dyDescent="0.35">
      <c r="E285" t="s">
        <v>306</v>
      </c>
      <c r="J285" t="s">
        <v>306</v>
      </c>
      <c r="O285" t="s">
        <v>306</v>
      </c>
      <c r="T285" t="s">
        <v>306</v>
      </c>
      <c r="U285" t="s">
        <v>847</v>
      </c>
      <c r="V285">
        <v>11172585</v>
      </c>
      <c r="W285" t="s">
        <v>346</v>
      </c>
      <c r="X285">
        <v>0</v>
      </c>
      <c r="Y285" t="s">
        <v>50</v>
      </c>
      <c r="AD285" t="s">
        <v>306</v>
      </c>
      <c r="AI285" t="s">
        <v>306</v>
      </c>
      <c r="AN285" t="s">
        <v>306</v>
      </c>
      <c r="AO285" t="s">
        <v>1384</v>
      </c>
      <c r="AP285">
        <v>28669074</v>
      </c>
      <c r="AQ285" t="s">
        <v>346</v>
      </c>
      <c r="AR285">
        <v>0</v>
      </c>
      <c r="AS285" t="s">
        <v>53</v>
      </c>
      <c r="AX285" t="s">
        <v>306</v>
      </c>
      <c r="BC285" t="s">
        <v>306</v>
      </c>
      <c r="BD285" t="s">
        <v>1274</v>
      </c>
      <c r="BE285">
        <v>25022507</v>
      </c>
      <c r="BF285" t="s">
        <v>346</v>
      </c>
      <c r="BG285">
        <v>0</v>
      </c>
      <c r="BH285" t="s">
        <v>62</v>
      </c>
      <c r="BM285" t="s">
        <v>306</v>
      </c>
      <c r="BN285" t="s">
        <v>952</v>
      </c>
      <c r="BO285">
        <v>4244140</v>
      </c>
      <c r="BP285" t="s">
        <v>346</v>
      </c>
      <c r="BQ285">
        <v>0</v>
      </c>
      <c r="BR285" t="s">
        <v>53</v>
      </c>
      <c r="BS285" t="s">
        <v>1009</v>
      </c>
      <c r="BT285">
        <v>4056821</v>
      </c>
      <c r="BU285" t="s">
        <v>346</v>
      </c>
      <c r="BV285">
        <v>0</v>
      </c>
      <c r="BW285" t="s">
        <v>320</v>
      </c>
      <c r="BX285" t="s">
        <v>847</v>
      </c>
      <c r="BY285">
        <v>11172585</v>
      </c>
      <c r="BZ285" t="s">
        <v>346</v>
      </c>
      <c r="CA285">
        <v>0</v>
      </c>
      <c r="CB285" t="s">
        <v>50</v>
      </c>
      <c r="CC285" t="s">
        <v>1748</v>
      </c>
      <c r="CD285">
        <v>5863095</v>
      </c>
      <c r="CE285" t="s">
        <v>346</v>
      </c>
      <c r="CF285">
        <v>0.01</v>
      </c>
      <c r="CG285" t="s">
        <v>53</v>
      </c>
      <c r="CH285" t="s">
        <v>1384</v>
      </c>
      <c r="CI285">
        <v>28669074</v>
      </c>
      <c r="CJ285" t="s">
        <v>346</v>
      </c>
      <c r="CK285">
        <v>0</v>
      </c>
      <c r="CL285" t="s">
        <v>53</v>
      </c>
      <c r="CM285" t="s">
        <v>2019</v>
      </c>
      <c r="CN285">
        <v>5750365</v>
      </c>
      <c r="CO285" t="s">
        <v>346</v>
      </c>
      <c r="CP285">
        <v>0</v>
      </c>
      <c r="CQ285" t="s">
        <v>53</v>
      </c>
      <c r="CV285" t="s">
        <v>306</v>
      </c>
      <c r="DA285" t="s">
        <v>306</v>
      </c>
      <c r="DB285" t="s">
        <v>1274</v>
      </c>
      <c r="DC285">
        <v>25022507</v>
      </c>
      <c r="DD285" t="s">
        <v>346</v>
      </c>
      <c r="DE285">
        <v>0</v>
      </c>
      <c r="DF285" t="s">
        <v>62</v>
      </c>
      <c r="DK285" t="s">
        <v>306</v>
      </c>
      <c r="DL285" t="s">
        <v>1274</v>
      </c>
      <c r="DM285">
        <v>25022507</v>
      </c>
      <c r="DN285" t="s">
        <v>346</v>
      </c>
      <c r="DO285">
        <v>0</v>
      </c>
      <c r="DP285" t="s">
        <v>62</v>
      </c>
      <c r="DU285" t="s">
        <v>306</v>
      </c>
      <c r="DZ285" t="s">
        <v>306</v>
      </c>
      <c r="EA285" t="s">
        <v>1748</v>
      </c>
      <c r="EB285">
        <v>5863095</v>
      </c>
      <c r="EC285" t="s">
        <v>346</v>
      </c>
      <c r="ED285">
        <v>0.01</v>
      </c>
      <c r="EE285" t="s">
        <v>53</v>
      </c>
      <c r="EF285" t="s">
        <v>1274</v>
      </c>
      <c r="EG285">
        <v>25022507</v>
      </c>
      <c r="EH285" t="s">
        <v>346</v>
      </c>
      <c r="EI285">
        <v>0</v>
      </c>
      <c r="EJ285" t="s">
        <v>62</v>
      </c>
      <c r="EO285" t="s">
        <v>306</v>
      </c>
      <c r="ET285" t="s">
        <v>306</v>
      </c>
      <c r="EY285" t="s">
        <v>306</v>
      </c>
      <c r="FD285" t="s">
        <v>306</v>
      </c>
      <c r="FI285" t="s">
        <v>306</v>
      </c>
      <c r="FN285" t="s">
        <v>306</v>
      </c>
      <c r="FS285" t="s">
        <v>306</v>
      </c>
      <c r="FX285" t="s">
        <v>306</v>
      </c>
      <c r="FY285" t="s">
        <v>1274</v>
      </c>
      <c r="FZ285">
        <v>25022507</v>
      </c>
      <c r="GA285" t="s">
        <v>346</v>
      </c>
      <c r="GB285">
        <v>0</v>
      </c>
      <c r="GC285" t="s">
        <v>62</v>
      </c>
      <c r="GH285" t="s">
        <v>306</v>
      </c>
      <c r="GM285" t="s">
        <v>306</v>
      </c>
      <c r="GR285" t="s">
        <v>306</v>
      </c>
      <c r="GS285" t="s">
        <v>952</v>
      </c>
      <c r="GT285">
        <v>4244140</v>
      </c>
      <c r="GU285" t="s">
        <v>346</v>
      </c>
      <c r="GV285">
        <v>0</v>
      </c>
      <c r="GW285" t="s">
        <v>53</v>
      </c>
      <c r="GX285" t="s">
        <v>1748</v>
      </c>
      <c r="GY285">
        <v>5863095</v>
      </c>
      <c r="GZ285" t="s">
        <v>346</v>
      </c>
      <c r="HA285">
        <v>0.01</v>
      </c>
      <c r="HB285" t="s">
        <v>53</v>
      </c>
      <c r="HG285" t="s">
        <v>306</v>
      </c>
    </row>
    <row r="286" spans="5:215" x14ac:dyDescent="0.35">
      <c r="E286" t="s">
        <v>306</v>
      </c>
      <c r="J286" t="s">
        <v>306</v>
      </c>
      <c r="O286" t="s">
        <v>306</v>
      </c>
      <c r="T286" t="s">
        <v>306</v>
      </c>
      <c r="U286" t="s">
        <v>848</v>
      </c>
      <c r="V286">
        <v>4117833</v>
      </c>
      <c r="W286" t="s">
        <v>346</v>
      </c>
      <c r="X286">
        <v>0</v>
      </c>
      <c r="Y286" t="s">
        <v>2181</v>
      </c>
      <c r="AD286" t="s">
        <v>306</v>
      </c>
      <c r="AI286" t="s">
        <v>306</v>
      </c>
      <c r="AN286" t="s">
        <v>306</v>
      </c>
      <c r="AO286" t="s">
        <v>618</v>
      </c>
      <c r="AP286">
        <v>100406</v>
      </c>
      <c r="AQ286" t="s">
        <v>366</v>
      </c>
      <c r="AR286">
        <v>0</v>
      </c>
      <c r="AS286" t="s">
        <v>53</v>
      </c>
      <c r="AX286" t="s">
        <v>306</v>
      </c>
      <c r="BC286" t="s">
        <v>306</v>
      </c>
      <c r="BD286" t="s">
        <v>540</v>
      </c>
      <c r="BE286">
        <v>4281265</v>
      </c>
      <c r="BF286" t="s">
        <v>346</v>
      </c>
      <c r="BG286">
        <v>0</v>
      </c>
      <c r="BH286" t="s">
        <v>80</v>
      </c>
      <c r="BM286" t="s">
        <v>306</v>
      </c>
      <c r="BN286" t="s">
        <v>905</v>
      </c>
      <c r="BO286">
        <v>4048818</v>
      </c>
      <c r="BP286" t="s">
        <v>346</v>
      </c>
      <c r="BQ286">
        <v>0</v>
      </c>
      <c r="BR286" t="s">
        <v>53</v>
      </c>
      <c r="BS286" t="s">
        <v>1010</v>
      </c>
      <c r="BT286">
        <v>4119836</v>
      </c>
      <c r="BU286" t="s">
        <v>346</v>
      </c>
      <c r="BV286">
        <v>0</v>
      </c>
      <c r="BW286" t="s">
        <v>2203</v>
      </c>
      <c r="BX286" t="s">
        <v>848</v>
      </c>
      <c r="BY286">
        <v>4117833</v>
      </c>
      <c r="BZ286" t="s">
        <v>346</v>
      </c>
      <c r="CA286">
        <v>0</v>
      </c>
      <c r="CB286" t="s">
        <v>2181</v>
      </c>
      <c r="CC286" t="s">
        <v>1749</v>
      </c>
      <c r="CD286">
        <v>6744855</v>
      </c>
      <c r="CE286" t="s">
        <v>346</v>
      </c>
      <c r="CF286">
        <v>0.01</v>
      </c>
      <c r="CG286" t="s">
        <v>114</v>
      </c>
      <c r="CH286" t="s">
        <v>618</v>
      </c>
      <c r="CI286">
        <v>100406</v>
      </c>
      <c r="CJ286" t="s">
        <v>366</v>
      </c>
      <c r="CK286">
        <v>0</v>
      </c>
      <c r="CL286" t="s">
        <v>53</v>
      </c>
      <c r="CM286" t="s">
        <v>2020</v>
      </c>
      <c r="CN286">
        <v>4117859</v>
      </c>
      <c r="CO286" t="s">
        <v>346</v>
      </c>
      <c r="CP286">
        <v>0</v>
      </c>
      <c r="CQ286" t="s">
        <v>53</v>
      </c>
      <c r="CV286" t="s">
        <v>306</v>
      </c>
      <c r="DA286" t="s">
        <v>306</v>
      </c>
      <c r="DB286" t="s">
        <v>540</v>
      </c>
      <c r="DC286">
        <v>4281265</v>
      </c>
      <c r="DD286" t="s">
        <v>346</v>
      </c>
      <c r="DE286">
        <v>0</v>
      </c>
      <c r="DF286" t="s">
        <v>80</v>
      </c>
      <c r="DK286" t="s">
        <v>306</v>
      </c>
      <c r="DL286" t="s">
        <v>540</v>
      </c>
      <c r="DM286">
        <v>4281265</v>
      </c>
      <c r="DN286" t="s">
        <v>346</v>
      </c>
      <c r="DO286">
        <v>0</v>
      </c>
      <c r="DP286" t="s">
        <v>80</v>
      </c>
      <c r="DU286" t="s">
        <v>306</v>
      </c>
      <c r="DZ286" t="s">
        <v>306</v>
      </c>
      <c r="EA286" t="s">
        <v>1749</v>
      </c>
      <c r="EB286">
        <v>6744855</v>
      </c>
      <c r="EC286" t="s">
        <v>346</v>
      </c>
      <c r="ED286">
        <v>0.01</v>
      </c>
      <c r="EE286" t="s">
        <v>114</v>
      </c>
      <c r="EF286" t="s">
        <v>540</v>
      </c>
      <c r="EG286">
        <v>4281265</v>
      </c>
      <c r="EH286" t="s">
        <v>346</v>
      </c>
      <c r="EI286">
        <v>0</v>
      </c>
      <c r="EJ286" t="s">
        <v>80</v>
      </c>
      <c r="EO286" t="s">
        <v>306</v>
      </c>
      <c r="ET286" t="s">
        <v>306</v>
      </c>
      <c r="EY286" t="s">
        <v>306</v>
      </c>
      <c r="FD286" t="s">
        <v>306</v>
      </c>
      <c r="FI286" t="s">
        <v>306</v>
      </c>
      <c r="FN286" t="s">
        <v>306</v>
      </c>
      <c r="FS286" t="s">
        <v>306</v>
      </c>
      <c r="FX286" t="s">
        <v>306</v>
      </c>
      <c r="FY286" t="s">
        <v>540</v>
      </c>
      <c r="FZ286">
        <v>4281265</v>
      </c>
      <c r="GA286" t="s">
        <v>346</v>
      </c>
      <c r="GB286">
        <v>0</v>
      </c>
      <c r="GC286" t="s">
        <v>80</v>
      </c>
      <c r="GH286" t="s">
        <v>306</v>
      </c>
      <c r="GM286" t="s">
        <v>306</v>
      </c>
      <c r="GR286" t="s">
        <v>306</v>
      </c>
      <c r="GS286" t="s">
        <v>905</v>
      </c>
      <c r="GT286">
        <v>4048818</v>
      </c>
      <c r="GU286" t="s">
        <v>346</v>
      </c>
      <c r="GV286">
        <v>0</v>
      </c>
      <c r="GW286" t="s">
        <v>53</v>
      </c>
      <c r="GX286" t="s">
        <v>1749</v>
      </c>
      <c r="GY286">
        <v>6744855</v>
      </c>
      <c r="GZ286" t="s">
        <v>346</v>
      </c>
      <c r="HA286">
        <v>0.01</v>
      </c>
      <c r="HB286" t="s">
        <v>114</v>
      </c>
      <c r="HG286" t="s">
        <v>306</v>
      </c>
    </row>
    <row r="287" spans="5:215" x14ac:dyDescent="0.35">
      <c r="E287" t="s">
        <v>306</v>
      </c>
      <c r="J287" t="s">
        <v>306</v>
      </c>
      <c r="O287" t="s">
        <v>306</v>
      </c>
      <c r="T287" t="s">
        <v>306</v>
      </c>
      <c r="U287" t="s">
        <v>849</v>
      </c>
      <c r="V287">
        <v>4336717</v>
      </c>
      <c r="W287" t="s">
        <v>346</v>
      </c>
      <c r="X287">
        <v>0</v>
      </c>
      <c r="Y287" t="s">
        <v>50</v>
      </c>
      <c r="AD287" t="s">
        <v>306</v>
      </c>
      <c r="AI287" t="s">
        <v>306</v>
      </c>
      <c r="AN287" t="s">
        <v>306</v>
      </c>
      <c r="AO287" t="s">
        <v>418</v>
      </c>
      <c r="AP287">
        <v>109776</v>
      </c>
      <c r="AQ287" t="s">
        <v>346</v>
      </c>
      <c r="AR287">
        <v>0</v>
      </c>
      <c r="AS287" t="s">
        <v>53</v>
      </c>
      <c r="AX287" t="s">
        <v>306</v>
      </c>
      <c r="BC287" t="s">
        <v>306</v>
      </c>
      <c r="BD287" t="s">
        <v>464</v>
      </c>
      <c r="BE287">
        <v>4629378</v>
      </c>
      <c r="BF287" t="s">
        <v>346</v>
      </c>
      <c r="BG287">
        <v>0</v>
      </c>
      <c r="BH287" t="s">
        <v>304</v>
      </c>
      <c r="BM287" t="s">
        <v>306</v>
      </c>
      <c r="BN287" t="s">
        <v>376</v>
      </c>
      <c r="BO287">
        <v>4030986</v>
      </c>
      <c r="BP287" t="s">
        <v>346</v>
      </c>
      <c r="BQ287">
        <v>0</v>
      </c>
      <c r="BR287" t="s">
        <v>53</v>
      </c>
      <c r="BS287" t="s">
        <v>1011</v>
      </c>
      <c r="BT287">
        <v>4368630</v>
      </c>
      <c r="BU287" t="s">
        <v>346</v>
      </c>
      <c r="BV287">
        <v>0</v>
      </c>
      <c r="BW287" t="s">
        <v>2179</v>
      </c>
      <c r="BX287" t="s">
        <v>849</v>
      </c>
      <c r="BY287">
        <v>4336717</v>
      </c>
      <c r="BZ287" t="s">
        <v>346</v>
      </c>
      <c r="CA287">
        <v>0</v>
      </c>
      <c r="CB287" t="s">
        <v>50</v>
      </c>
      <c r="CC287" t="s">
        <v>1750</v>
      </c>
      <c r="CD287">
        <v>4037127</v>
      </c>
      <c r="CE287" t="s">
        <v>346</v>
      </c>
      <c r="CF287">
        <v>0.01</v>
      </c>
      <c r="CG287" t="s">
        <v>53</v>
      </c>
      <c r="CH287" t="s">
        <v>418</v>
      </c>
      <c r="CI287">
        <v>109776</v>
      </c>
      <c r="CJ287" t="s">
        <v>346</v>
      </c>
      <c r="CK287">
        <v>0</v>
      </c>
      <c r="CL287" t="s">
        <v>53</v>
      </c>
      <c r="CM287" t="s">
        <v>352</v>
      </c>
      <c r="CN287">
        <v>4143440</v>
      </c>
      <c r="CO287" t="s">
        <v>346</v>
      </c>
      <c r="CP287">
        <v>0</v>
      </c>
      <c r="CQ287" t="s">
        <v>53</v>
      </c>
      <c r="CV287" t="s">
        <v>306</v>
      </c>
      <c r="DA287" t="s">
        <v>306</v>
      </c>
      <c r="DB287" t="s">
        <v>464</v>
      </c>
      <c r="DC287">
        <v>4629378</v>
      </c>
      <c r="DD287" t="s">
        <v>346</v>
      </c>
      <c r="DE287">
        <v>0</v>
      </c>
      <c r="DF287" t="s">
        <v>304</v>
      </c>
      <c r="DK287" t="s">
        <v>306</v>
      </c>
      <c r="DL287" t="s">
        <v>464</v>
      </c>
      <c r="DM287">
        <v>4629378</v>
      </c>
      <c r="DN287" t="s">
        <v>346</v>
      </c>
      <c r="DO287">
        <v>0</v>
      </c>
      <c r="DP287" t="s">
        <v>304</v>
      </c>
      <c r="DU287" t="s">
        <v>306</v>
      </c>
      <c r="DZ287" t="s">
        <v>306</v>
      </c>
      <c r="EA287" t="s">
        <v>1750</v>
      </c>
      <c r="EB287">
        <v>4037127</v>
      </c>
      <c r="EC287" t="s">
        <v>346</v>
      </c>
      <c r="ED287">
        <v>0.01</v>
      </c>
      <c r="EE287" t="s">
        <v>53</v>
      </c>
      <c r="EF287" t="s">
        <v>464</v>
      </c>
      <c r="EG287">
        <v>4629378</v>
      </c>
      <c r="EH287" t="s">
        <v>346</v>
      </c>
      <c r="EI287">
        <v>0</v>
      </c>
      <c r="EJ287" t="s">
        <v>304</v>
      </c>
      <c r="EO287" t="s">
        <v>306</v>
      </c>
      <c r="ET287" t="s">
        <v>306</v>
      </c>
      <c r="EY287" t="s">
        <v>306</v>
      </c>
      <c r="FD287" t="s">
        <v>306</v>
      </c>
      <c r="FI287" t="s">
        <v>306</v>
      </c>
      <c r="FN287" t="s">
        <v>306</v>
      </c>
      <c r="FS287" t="s">
        <v>306</v>
      </c>
      <c r="FX287" t="s">
        <v>306</v>
      </c>
      <c r="FY287" t="s">
        <v>464</v>
      </c>
      <c r="FZ287">
        <v>4629378</v>
      </c>
      <c r="GA287" t="s">
        <v>346</v>
      </c>
      <c r="GB287">
        <v>0</v>
      </c>
      <c r="GC287" t="s">
        <v>304</v>
      </c>
      <c r="GH287" t="s">
        <v>306</v>
      </c>
      <c r="GM287" t="s">
        <v>306</v>
      </c>
      <c r="GR287" t="s">
        <v>306</v>
      </c>
      <c r="GS287" t="s">
        <v>376</v>
      </c>
      <c r="GT287">
        <v>4030986</v>
      </c>
      <c r="GU287" t="s">
        <v>346</v>
      </c>
      <c r="GV287">
        <v>0</v>
      </c>
      <c r="GW287" t="s">
        <v>53</v>
      </c>
      <c r="GX287" t="s">
        <v>1750</v>
      </c>
      <c r="GY287">
        <v>4037127</v>
      </c>
      <c r="GZ287" t="s">
        <v>346</v>
      </c>
      <c r="HA287">
        <v>0.01</v>
      </c>
      <c r="HB287" t="s">
        <v>53</v>
      </c>
      <c r="HG287" t="s">
        <v>306</v>
      </c>
    </row>
    <row r="288" spans="5:215" x14ac:dyDescent="0.35">
      <c r="E288" t="s">
        <v>306</v>
      </c>
      <c r="J288" t="s">
        <v>306</v>
      </c>
      <c r="O288" t="s">
        <v>306</v>
      </c>
      <c r="T288" t="s">
        <v>306</v>
      </c>
      <c r="U288" t="s">
        <v>850</v>
      </c>
      <c r="V288">
        <v>5853751</v>
      </c>
      <c r="W288" t="s">
        <v>346</v>
      </c>
      <c r="X288">
        <v>0</v>
      </c>
      <c r="Y288" t="s">
        <v>50</v>
      </c>
      <c r="AD288" t="s">
        <v>306</v>
      </c>
      <c r="AI288" t="s">
        <v>306</v>
      </c>
      <c r="AN288" t="s">
        <v>306</v>
      </c>
      <c r="AO288" t="s">
        <v>1004</v>
      </c>
      <c r="AP288">
        <v>4115970</v>
      </c>
      <c r="AQ288" t="s">
        <v>346</v>
      </c>
      <c r="AR288">
        <v>0</v>
      </c>
      <c r="AS288" t="s">
        <v>53</v>
      </c>
      <c r="AX288" t="s">
        <v>306</v>
      </c>
      <c r="BC288" t="s">
        <v>306</v>
      </c>
      <c r="BD288" t="s">
        <v>1479</v>
      </c>
      <c r="BE288">
        <v>5867291</v>
      </c>
      <c r="BF288" t="s">
        <v>364</v>
      </c>
      <c r="BG288">
        <v>0</v>
      </c>
      <c r="BH288" t="s">
        <v>62</v>
      </c>
      <c r="BM288" t="s">
        <v>306</v>
      </c>
      <c r="BN288" t="s">
        <v>1247</v>
      </c>
      <c r="BO288">
        <v>4579063</v>
      </c>
      <c r="BP288" t="s">
        <v>346</v>
      </c>
      <c r="BQ288">
        <v>0</v>
      </c>
      <c r="BR288" t="s">
        <v>53</v>
      </c>
      <c r="BS288" t="s">
        <v>419</v>
      </c>
      <c r="BT288">
        <v>4338202</v>
      </c>
      <c r="BU288" t="s">
        <v>346</v>
      </c>
      <c r="BV288">
        <v>0</v>
      </c>
      <c r="BW288" t="s">
        <v>53</v>
      </c>
      <c r="BX288" t="s">
        <v>850</v>
      </c>
      <c r="BY288">
        <v>5853751</v>
      </c>
      <c r="BZ288" t="s">
        <v>346</v>
      </c>
      <c r="CA288">
        <v>0</v>
      </c>
      <c r="CB288" t="s">
        <v>50</v>
      </c>
      <c r="CC288" t="s">
        <v>504</v>
      </c>
      <c r="CD288">
        <v>4630169</v>
      </c>
      <c r="CE288" t="s">
        <v>346</v>
      </c>
      <c r="CF288">
        <v>0.01</v>
      </c>
      <c r="CG288" t="s">
        <v>2185</v>
      </c>
      <c r="CH288" t="s">
        <v>1004</v>
      </c>
      <c r="CI288">
        <v>4115970</v>
      </c>
      <c r="CJ288" t="s">
        <v>346</v>
      </c>
      <c r="CK288">
        <v>0</v>
      </c>
      <c r="CL288" t="s">
        <v>53</v>
      </c>
      <c r="CM288" t="s">
        <v>2021</v>
      </c>
      <c r="CN288">
        <v>9337684</v>
      </c>
      <c r="CO288" t="s">
        <v>346</v>
      </c>
      <c r="CP288">
        <v>0</v>
      </c>
      <c r="CQ288" t="s">
        <v>326</v>
      </c>
      <c r="CV288" t="s">
        <v>306</v>
      </c>
      <c r="DA288" t="s">
        <v>306</v>
      </c>
      <c r="DB288" t="s">
        <v>1479</v>
      </c>
      <c r="DC288">
        <v>5867291</v>
      </c>
      <c r="DD288" t="s">
        <v>364</v>
      </c>
      <c r="DE288">
        <v>0</v>
      </c>
      <c r="DF288" t="s">
        <v>62</v>
      </c>
      <c r="DK288" t="s">
        <v>306</v>
      </c>
      <c r="DL288" t="s">
        <v>1479</v>
      </c>
      <c r="DM288">
        <v>5867291</v>
      </c>
      <c r="DN288" t="s">
        <v>364</v>
      </c>
      <c r="DO288">
        <v>0</v>
      </c>
      <c r="DP288" t="s">
        <v>62</v>
      </c>
      <c r="DU288" t="s">
        <v>306</v>
      </c>
      <c r="DZ288" t="s">
        <v>306</v>
      </c>
      <c r="EA288" t="s">
        <v>504</v>
      </c>
      <c r="EB288">
        <v>4630169</v>
      </c>
      <c r="EC288" t="s">
        <v>346</v>
      </c>
      <c r="ED288">
        <v>0.01</v>
      </c>
      <c r="EE288" t="s">
        <v>2185</v>
      </c>
      <c r="EF288" t="s">
        <v>1479</v>
      </c>
      <c r="EG288">
        <v>5867291</v>
      </c>
      <c r="EH288" t="s">
        <v>364</v>
      </c>
      <c r="EI288">
        <v>0</v>
      </c>
      <c r="EJ288" t="s">
        <v>62</v>
      </c>
      <c r="EO288" t="s">
        <v>306</v>
      </c>
      <c r="ET288" t="s">
        <v>306</v>
      </c>
      <c r="EY288" t="s">
        <v>306</v>
      </c>
      <c r="FD288" t="s">
        <v>306</v>
      </c>
      <c r="FI288" t="s">
        <v>306</v>
      </c>
      <c r="FN288" t="s">
        <v>306</v>
      </c>
      <c r="FS288" t="s">
        <v>306</v>
      </c>
      <c r="FX288" t="s">
        <v>306</v>
      </c>
      <c r="FY288" t="s">
        <v>1479</v>
      </c>
      <c r="FZ288">
        <v>5867291</v>
      </c>
      <c r="GA288" t="s">
        <v>364</v>
      </c>
      <c r="GB288">
        <v>0</v>
      </c>
      <c r="GC288" t="s">
        <v>62</v>
      </c>
      <c r="GH288" t="s">
        <v>306</v>
      </c>
      <c r="GM288" t="s">
        <v>306</v>
      </c>
      <c r="GR288" t="s">
        <v>306</v>
      </c>
      <c r="GS288" t="s">
        <v>1247</v>
      </c>
      <c r="GT288">
        <v>4579063</v>
      </c>
      <c r="GU288" t="s">
        <v>346</v>
      </c>
      <c r="GV288">
        <v>0</v>
      </c>
      <c r="GW288" t="s">
        <v>53</v>
      </c>
      <c r="GX288" t="s">
        <v>504</v>
      </c>
      <c r="GY288">
        <v>4630169</v>
      </c>
      <c r="GZ288" t="s">
        <v>346</v>
      </c>
      <c r="HA288">
        <v>0.01</v>
      </c>
      <c r="HB288" t="s">
        <v>2185</v>
      </c>
      <c r="HG288" t="s">
        <v>306</v>
      </c>
    </row>
    <row r="289" spans="5:215" x14ac:dyDescent="0.35">
      <c r="E289" t="s">
        <v>306</v>
      </c>
      <c r="J289" t="s">
        <v>306</v>
      </c>
      <c r="O289" t="s">
        <v>306</v>
      </c>
      <c r="T289" t="s">
        <v>306</v>
      </c>
      <c r="U289" t="s">
        <v>464</v>
      </c>
      <c r="V289">
        <v>4629378</v>
      </c>
      <c r="W289" t="s">
        <v>346</v>
      </c>
      <c r="X289">
        <v>0</v>
      </c>
      <c r="Y289" t="s">
        <v>304</v>
      </c>
      <c r="AD289" t="s">
        <v>306</v>
      </c>
      <c r="AI289" t="s">
        <v>306</v>
      </c>
      <c r="AN289" t="s">
        <v>306</v>
      </c>
      <c r="AO289" t="s">
        <v>1385</v>
      </c>
      <c r="AP289">
        <v>4187459</v>
      </c>
      <c r="AQ289" t="s">
        <v>276</v>
      </c>
      <c r="AR289">
        <v>0</v>
      </c>
      <c r="AS289" t="s">
        <v>53</v>
      </c>
      <c r="AX289" t="s">
        <v>306</v>
      </c>
      <c r="BC289" t="s">
        <v>306</v>
      </c>
      <c r="BD289" t="s">
        <v>1267</v>
      </c>
      <c r="BE289">
        <v>4304196</v>
      </c>
      <c r="BF289" t="s">
        <v>346</v>
      </c>
      <c r="BG289">
        <v>0</v>
      </c>
      <c r="BH289" t="s">
        <v>62</v>
      </c>
      <c r="BM289" t="s">
        <v>306</v>
      </c>
      <c r="BN289" t="s">
        <v>428</v>
      </c>
      <c r="BO289">
        <v>4116134</v>
      </c>
      <c r="BP289" t="s">
        <v>346</v>
      </c>
      <c r="BQ289">
        <v>0</v>
      </c>
      <c r="BR289" t="s">
        <v>304</v>
      </c>
      <c r="BS289" t="s">
        <v>378</v>
      </c>
      <c r="BT289">
        <v>4048184</v>
      </c>
      <c r="BU289" t="s">
        <v>346</v>
      </c>
      <c r="BV289">
        <v>0</v>
      </c>
      <c r="BW289" t="s">
        <v>80</v>
      </c>
      <c r="BX289" t="s">
        <v>464</v>
      </c>
      <c r="BY289">
        <v>4629378</v>
      </c>
      <c r="BZ289" t="s">
        <v>346</v>
      </c>
      <c r="CA289">
        <v>0</v>
      </c>
      <c r="CB289" t="s">
        <v>304</v>
      </c>
      <c r="CC289" t="s">
        <v>1751</v>
      </c>
      <c r="CD289">
        <v>4145924</v>
      </c>
      <c r="CE289" t="s">
        <v>346</v>
      </c>
      <c r="CF289">
        <v>0.01</v>
      </c>
      <c r="CG289" t="s">
        <v>53</v>
      </c>
      <c r="CH289" t="s">
        <v>1385</v>
      </c>
      <c r="CI289">
        <v>4187459</v>
      </c>
      <c r="CJ289" t="s">
        <v>276</v>
      </c>
      <c r="CK289">
        <v>0</v>
      </c>
      <c r="CL289" t="s">
        <v>53</v>
      </c>
      <c r="CM289" t="s">
        <v>2022</v>
      </c>
      <c r="CN289">
        <v>4212108</v>
      </c>
      <c r="CO289" t="s">
        <v>276</v>
      </c>
      <c r="CP289">
        <v>0</v>
      </c>
      <c r="CQ289" t="s">
        <v>53</v>
      </c>
      <c r="CV289" t="s">
        <v>306</v>
      </c>
      <c r="DA289" t="s">
        <v>306</v>
      </c>
      <c r="DB289" t="s">
        <v>1267</v>
      </c>
      <c r="DC289">
        <v>4304196</v>
      </c>
      <c r="DD289" t="s">
        <v>346</v>
      </c>
      <c r="DE289">
        <v>0</v>
      </c>
      <c r="DF289" t="s">
        <v>62</v>
      </c>
      <c r="DK289" t="s">
        <v>306</v>
      </c>
      <c r="DL289" t="s">
        <v>1267</v>
      </c>
      <c r="DM289">
        <v>4304196</v>
      </c>
      <c r="DN289" t="s">
        <v>346</v>
      </c>
      <c r="DO289">
        <v>0</v>
      </c>
      <c r="DP289" t="s">
        <v>62</v>
      </c>
      <c r="DU289" t="s">
        <v>306</v>
      </c>
      <c r="DZ289" t="s">
        <v>306</v>
      </c>
      <c r="EA289" t="s">
        <v>1751</v>
      </c>
      <c r="EB289">
        <v>4145924</v>
      </c>
      <c r="EC289" t="s">
        <v>346</v>
      </c>
      <c r="ED289">
        <v>0.01</v>
      </c>
      <c r="EE289" t="s">
        <v>53</v>
      </c>
      <c r="EF289" t="s">
        <v>1267</v>
      </c>
      <c r="EG289">
        <v>4304196</v>
      </c>
      <c r="EH289" t="s">
        <v>346</v>
      </c>
      <c r="EI289">
        <v>0</v>
      </c>
      <c r="EJ289" t="s">
        <v>62</v>
      </c>
      <c r="EO289" t="s">
        <v>306</v>
      </c>
      <c r="ET289" t="s">
        <v>306</v>
      </c>
      <c r="EY289" t="s">
        <v>306</v>
      </c>
      <c r="FD289" t="s">
        <v>306</v>
      </c>
      <c r="FI289" t="s">
        <v>306</v>
      </c>
      <c r="FN289" t="s">
        <v>306</v>
      </c>
      <c r="FS289" t="s">
        <v>306</v>
      </c>
      <c r="FX289" t="s">
        <v>306</v>
      </c>
      <c r="FY289" t="s">
        <v>1267</v>
      </c>
      <c r="FZ289">
        <v>4304196</v>
      </c>
      <c r="GA289" t="s">
        <v>346</v>
      </c>
      <c r="GB289">
        <v>0</v>
      </c>
      <c r="GC289" t="s">
        <v>62</v>
      </c>
      <c r="GH289" t="s">
        <v>306</v>
      </c>
      <c r="GM289" t="s">
        <v>306</v>
      </c>
      <c r="GR289" t="s">
        <v>306</v>
      </c>
      <c r="GS289" t="s">
        <v>428</v>
      </c>
      <c r="GT289">
        <v>4116134</v>
      </c>
      <c r="GU289" t="s">
        <v>346</v>
      </c>
      <c r="GV289">
        <v>0</v>
      </c>
      <c r="GW289" t="s">
        <v>304</v>
      </c>
      <c r="GX289" t="s">
        <v>1751</v>
      </c>
      <c r="GY289">
        <v>4145924</v>
      </c>
      <c r="GZ289" t="s">
        <v>346</v>
      </c>
      <c r="HA289">
        <v>0.01</v>
      </c>
      <c r="HB289" t="s">
        <v>53</v>
      </c>
      <c r="HG289" t="s">
        <v>306</v>
      </c>
    </row>
    <row r="290" spans="5:215" x14ac:dyDescent="0.35">
      <c r="E290" t="s">
        <v>306</v>
      </c>
      <c r="J290" t="s">
        <v>306</v>
      </c>
      <c r="O290" t="s">
        <v>306</v>
      </c>
      <c r="T290" t="s">
        <v>306</v>
      </c>
      <c r="U290" t="s">
        <v>480</v>
      </c>
      <c r="V290">
        <v>4119651</v>
      </c>
      <c r="W290" t="s">
        <v>346</v>
      </c>
      <c r="X290">
        <v>0</v>
      </c>
      <c r="Y290" t="s">
        <v>53</v>
      </c>
      <c r="AD290" t="s">
        <v>306</v>
      </c>
      <c r="AI290" t="s">
        <v>306</v>
      </c>
      <c r="AN290" t="s">
        <v>306</v>
      </c>
      <c r="AO290" t="s">
        <v>630</v>
      </c>
      <c r="AP290">
        <v>27861143</v>
      </c>
      <c r="AQ290" t="s">
        <v>346</v>
      </c>
      <c r="AR290">
        <v>0</v>
      </c>
      <c r="AS290" t="s">
        <v>53</v>
      </c>
      <c r="AX290" t="s">
        <v>306</v>
      </c>
      <c r="BC290" t="s">
        <v>306</v>
      </c>
      <c r="BD290" t="s">
        <v>476</v>
      </c>
      <c r="BE290">
        <v>4139886</v>
      </c>
      <c r="BF290" t="s">
        <v>346</v>
      </c>
      <c r="BG290">
        <v>0</v>
      </c>
      <c r="BH290" t="s">
        <v>304</v>
      </c>
      <c r="BM290" t="s">
        <v>306</v>
      </c>
      <c r="BN290" t="s">
        <v>1248</v>
      </c>
      <c r="BO290">
        <v>4315520</v>
      </c>
      <c r="BP290" t="s">
        <v>346</v>
      </c>
      <c r="BQ290">
        <v>0</v>
      </c>
      <c r="BR290" t="s">
        <v>2191</v>
      </c>
      <c r="BS290" t="s">
        <v>815</v>
      </c>
      <c r="BT290">
        <v>110287</v>
      </c>
      <c r="BU290" t="s">
        <v>346</v>
      </c>
      <c r="BV290">
        <v>0</v>
      </c>
      <c r="BW290" t="s">
        <v>80</v>
      </c>
      <c r="BX290" t="s">
        <v>480</v>
      </c>
      <c r="BY290">
        <v>4119651</v>
      </c>
      <c r="BZ290" t="s">
        <v>346</v>
      </c>
      <c r="CA290">
        <v>0</v>
      </c>
      <c r="CB290" t="s">
        <v>53</v>
      </c>
      <c r="CC290" t="s">
        <v>1752</v>
      </c>
      <c r="CD290">
        <v>4026737</v>
      </c>
      <c r="CE290" t="s">
        <v>346</v>
      </c>
      <c r="CF290">
        <v>0.01</v>
      </c>
      <c r="CG290" t="s">
        <v>53</v>
      </c>
      <c r="CH290" t="s">
        <v>630</v>
      </c>
      <c r="CI290">
        <v>27861143</v>
      </c>
      <c r="CJ290" t="s">
        <v>346</v>
      </c>
      <c r="CK290">
        <v>0</v>
      </c>
      <c r="CL290" t="s">
        <v>53</v>
      </c>
      <c r="CM290" t="s">
        <v>1308</v>
      </c>
      <c r="CN290">
        <v>5760527</v>
      </c>
      <c r="CO290" t="s">
        <v>346</v>
      </c>
      <c r="CP290">
        <v>0</v>
      </c>
      <c r="CQ290" t="s">
        <v>62</v>
      </c>
      <c r="CV290" t="s">
        <v>306</v>
      </c>
      <c r="DA290" t="s">
        <v>306</v>
      </c>
      <c r="DB290" t="s">
        <v>476</v>
      </c>
      <c r="DC290">
        <v>4139886</v>
      </c>
      <c r="DD290" t="s">
        <v>346</v>
      </c>
      <c r="DE290">
        <v>0</v>
      </c>
      <c r="DF290" t="s">
        <v>304</v>
      </c>
      <c r="DK290" t="s">
        <v>306</v>
      </c>
      <c r="DL290" t="s">
        <v>476</v>
      </c>
      <c r="DM290">
        <v>4139886</v>
      </c>
      <c r="DN290" t="s">
        <v>346</v>
      </c>
      <c r="DO290">
        <v>0</v>
      </c>
      <c r="DP290" t="s">
        <v>304</v>
      </c>
      <c r="DU290" t="s">
        <v>306</v>
      </c>
      <c r="DZ290" t="s">
        <v>306</v>
      </c>
      <c r="EA290" t="s">
        <v>1752</v>
      </c>
      <c r="EB290">
        <v>4026737</v>
      </c>
      <c r="EC290" t="s">
        <v>346</v>
      </c>
      <c r="ED290">
        <v>0.01</v>
      </c>
      <c r="EE290" t="s">
        <v>53</v>
      </c>
      <c r="EF290" t="s">
        <v>476</v>
      </c>
      <c r="EG290">
        <v>4139886</v>
      </c>
      <c r="EH290" t="s">
        <v>346</v>
      </c>
      <c r="EI290">
        <v>0</v>
      </c>
      <c r="EJ290" t="s">
        <v>304</v>
      </c>
      <c r="EO290" t="s">
        <v>306</v>
      </c>
      <c r="ET290" t="s">
        <v>306</v>
      </c>
      <c r="EY290" t="s">
        <v>306</v>
      </c>
      <c r="FD290" t="s">
        <v>306</v>
      </c>
      <c r="FI290" t="s">
        <v>306</v>
      </c>
      <c r="FN290" t="s">
        <v>306</v>
      </c>
      <c r="FS290" t="s">
        <v>306</v>
      </c>
      <c r="FX290" t="s">
        <v>306</v>
      </c>
      <c r="FY290" t="s">
        <v>476</v>
      </c>
      <c r="FZ290">
        <v>4139886</v>
      </c>
      <c r="GA290" t="s">
        <v>346</v>
      </c>
      <c r="GB290">
        <v>0</v>
      </c>
      <c r="GC290" t="s">
        <v>304</v>
      </c>
      <c r="GH290" t="s">
        <v>306</v>
      </c>
      <c r="GM290" t="s">
        <v>306</v>
      </c>
      <c r="GR290" t="s">
        <v>306</v>
      </c>
      <c r="GS290" t="s">
        <v>1248</v>
      </c>
      <c r="GT290">
        <v>4315520</v>
      </c>
      <c r="GU290" t="s">
        <v>346</v>
      </c>
      <c r="GV290">
        <v>0</v>
      </c>
      <c r="GW290" t="s">
        <v>2191</v>
      </c>
      <c r="GX290" t="s">
        <v>1752</v>
      </c>
      <c r="GY290">
        <v>4026737</v>
      </c>
      <c r="GZ290" t="s">
        <v>346</v>
      </c>
      <c r="HA290">
        <v>0.01</v>
      </c>
      <c r="HB290" t="s">
        <v>53</v>
      </c>
      <c r="HG290" t="s">
        <v>306</v>
      </c>
    </row>
    <row r="291" spans="5:215" x14ac:dyDescent="0.35">
      <c r="E291" t="s">
        <v>306</v>
      </c>
      <c r="J291" t="s">
        <v>306</v>
      </c>
      <c r="O291" t="s">
        <v>306</v>
      </c>
      <c r="T291" t="s">
        <v>306</v>
      </c>
      <c r="U291" t="s">
        <v>542</v>
      </c>
      <c r="V291">
        <v>4001519</v>
      </c>
      <c r="W291" t="s">
        <v>346</v>
      </c>
      <c r="X291">
        <v>0</v>
      </c>
      <c r="Y291" t="s">
        <v>53</v>
      </c>
      <c r="AD291" t="s">
        <v>306</v>
      </c>
      <c r="AI291" t="s">
        <v>306</v>
      </c>
      <c r="AN291" t="s">
        <v>306</v>
      </c>
      <c r="AO291" t="s">
        <v>420</v>
      </c>
      <c r="AP291">
        <v>19342220</v>
      </c>
      <c r="AQ291" t="s">
        <v>346</v>
      </c>
      <c r="AR291">
        <v>0</v>
      </c>
      <c r="AS291" t="s">
        <v>53</v>
      </c>
      <c r="AX291" t="s">
        <v>306</v>
      </c>
      <c r="BC291" t="s">
        <v>306</v>
      </c>
      <c r="BD291" t="s">
        <v>1306</v>
      </c>
      <c r="BE291">
        <v>5879300</v>
      </c>
      <c r="BF291" t="s">
        <v>364</v>
      </c>
      <c r="BG291">
        <v>0</v>
      </c>
      <c r="BH291" t="s">
        <v>62</v>
      </c>
      <c r="BM291" t="s">
        <v>306</v>
      </c>
      <c r="BN291" t="s">
        <v>526</v>
      </c>
      <c r="BO291">
        <v>4248288</v>
      </c>
      <c r="BP291" t="s">
        <v>346</v>
      </c>
      <c r="BQ291">
        <v>0</v>
      </c>
      <c r="BR291" t="s">
        <v>80</v>
      </c>
      <c r="BS291" t="s">
        <v>560</v>
      </c>
      <c r="BT291">
        <v>4095848</v>
      </c>
      <c r="BU291" t="s">
        <v>346</v>
      </c>
      <c r="BV291">
        <v>0</v>
      </c>
      <c r="BW291" t="s">
        <v>53</v>
      </c>
      <c r="BX291" t="s">
        <v>542</v>
      </c>
      <c r="BY291">
        <v>4001519</v>
      </c>
      <c r="BZ291" t="s">
        <v>346</v>
      </c>
      <c r="CA291">
        <v>0</v>
      </c>
      <c r="CB291" t="s">
        <v>53</v>
      </c>
      <c r="CC291" t="s">
        <v>1753</v>
      </c>
      <c r="CD291">
        <v>7062751</v>
      </c>
      <c r="CE291" t="s">
        <v>346</v>
      </c>
      <c r="CF291">
        <v>0.01</v>
      </c>
      <c r="CG291" t="s">
        <v>80</v>
      </c>
      <c r="CH291" t="s">
        <v>420</v>
      </c>
      <c r="CI291">
        <v>19342220</v>
      </c>
      <c r="CJ291" t="s">
        <v>346</v>
      </c>
      <c r="CK291">
        <v>0</v>
      </c>
      <c r="CL291" t="s">
        <v>53</v>
      </c>
      <c r="CM291" t="s">
        <v>1340</v>
      </c>
      <c r="CN291">
        <v>5829348</v>
      </c>
      <c r="CO291" t="s">
        <v>346</v>
      </c>
      <c r="CP291">
        <v>0</v>
      </c>
      <c r="CQ291" t="s">
        <v>62</v>
      </c>
      <c r="CV291" t="s">
        <v>306</v>
      </c>
      <c r="DA291" t="s">
        <v>306</v>
      </c>
      <c r="DB291" t="s">
        <v>1306</v>
      </c>
      <c r="DC291">
        <v>5879300</v>
      </c>
      <c r="DD291" t="s">
        <v>364</v>
      </c>
      <c r="DE291">
        <v>0</v>
      </c>
      <c r="DF291" t="s">
        <v>62</v>
      </c>
      <c r="DK291" t="s">
        <v>306</v>
      </c>
      <c r="DL291" t="s">
        <v>1306</v>
      </c>
      <c r="DM291">
        <v>5879300</v>
      </c>
      <c r="DN291" t="s">
        <v>364</v>
      </c>
      <c r="DO291">
        <v>0</v>
      </c>
      <c r="DP291" t="s">
        <v>62</v>
      </c>
      <c r="DU291" t="s">
        <v>306</v>
      </c>
      <c r="DZ291" t="s">
        <v>306</v>
      </c>
      <c r="EA291" t="s">
        <v>1753</v>
      </c>
      <c r="EB291">
        <v>7062751</v>
      </c>
      <c r="EC291" t="s">
        <v>346</v>
      </c>
      <c r="ED291">
        <v>0.01</v>
      </c>
      <c r="EE291" t="s">
        <v>80</v>
      </c>
      <c r="EF291" t="s">
        <v>1306</v>
      </c>
      <c r="EG291">
        <v>5879300</v>
      </c>
      <c r="EH291" t="s">
        <v>364</v>
      </c>
      <c r="EI291">
        <v>0</v>
      </c>
      <c r="EJ291" t="s">
        <v>62</v>
      </c>
      <c r="EO291" t="s">
        <v>306</v>
      </c>
      <c r="ET291" t="s">
        <v>306</v>
      </c>
      <c r="EY291" t="s">
        <v>306</v>
      </c>
      <c r="FD291" t="s">
        <v>306</v>
      </c>
      <c r="FI291" t="s">
        <v>306</v>
      </c>
      <c r="FN291" t="s">
        <v>306</v>
      </c>
      <c r="FS291" t="s">
        <v>306</v>
      </c>
      <c r="FX291" t="s">
        <v>306</v>
      </c>
      <c r="FY291" t="s">
        <v>1306</v>
      </c>
      <c r="FZ291">
        <v>5879300</v>
      </c>
      <c r="GA291" t="s">
        <v>364</v>
      </c>
      <c r="GB291">
        <v>0</v>
      </c>
      <c r="GC291" t="s">
        <v>62</v>
      </c>
      <c r="GH291" t="s">
        <v>306</v>
      </c>
      <c r="GM291" t="s">
        <v>306</v>
      </c>
      <c r="GR291" t="s">
        <v>306</v>
      </c>
      <c r="GS291" t="s">
        <v>526</v>
      </c>
      <c r="GT291">
        <v>4248288</v>
      </c>
      <c r="GU291" t="s">
        <v>346</v>
      </c>
      <c r="GV291">
        <v>0</v>
      </c>
      <c r="GW291" t="s">
        <v>80</v>
      </c>
      <c r="GX291" t="s">
        <v>1753</v>
      </c>
      <c r="GY291">
        <v>7062751</v>
      </c>
      <c r="GZ291" t="s">
        <v>346</v>
      </c>
      <c r="HA291">
        <v>0.01</v>
      </c>
      <c r="HB291" t="s">
        <v>80</v>
      </c>
      <c r="HG291" t="s">
        <v>306</v>
      </c>
    </row>
    <row r="292" spans="5:215" x14ac:dyDescent="0.35">
      <c r="E292" t="s">
        <v>306</v>
      </c>
      <c r="J292" t="s">
        <v>306</v>
      </c>
      <c r="O292" t="s">
        <v>306</v>
      </c>
      <c r="T292" t="s">
        <v>306</v>
      </c>
      <c r="U292" t="s">
        <v>509</v>
      </c>
      <c r="V292">
        <v>4226520</v>
      </c>
      <c r="W292" t="s">
        <v>346</v>
      </c>
      <c r="X292">
        <v>0</v>
      </c>
      <c r="Y292" t="s">
        <v>80</v>
      </c>
      <c r="AD292" t="s">
        <v>306</v>
      </c>
      <c r="AI292" t="s">
        <v>306</v>
      </c>
      <c r="AN292" t="s">
        <v>306</v>
      </c>
      <c r="AO292" t="s">
        <v>392</v>
      </c>
      <c r="AP292">
        <v>4398826</v>
      </c>
      <c r="AQ292" t="s">
        <v>346</v>
      </c>
      <c r="AR292">
        <v>0</v>
      </c>
      <c r="AS292" t="s">
        <v>53</v>
      </c>
      <c r="AX292" t="s">
        <v>306</v>
      </c>
      <c r="BC292" t="s">
        <v>306</v>
      </c>
      <c r="BD292" t="s">
        <v>1313</v>
      </c>
      <c r="BE292">
        <v>5777655</v>
      </c>
      <c r="BF292" t="s">
        <v>346</v>
      </c>
      <c r="BG292">
        <v>0</v>
      </c>
      <c r="BH292" t="s">
        <v>62</v>
      </c>
      <c r="BM292" t="s">
        <v>306</v>
      </c>
      <c r="BN292" t="s">
        <v>883</v>
      </c>
      <c r="BO292">
        <v>4288829</v>
      </c>
      <c r="BP292" t="s">
        <v>364</v>
      </c>
      <c r="BQ292">
        <v>0</v>
      </c>
      <c r="BR292" t="s">
        <v>326</v>
      </c>
      <c r="BS292" t="s">
        <v>513</v>
      </c>
      <c r="BT292">
        <v>4139819</v>
      </c>
      <c r="BU292" t="s">
        <v>346</v>
      </c>
      <c r="BV292">
        <v>0</v>
      </c>
      <c r="BW292" t="s">
        <v>2181</v>
      </c>
      <c r="BX292" t="s">
        <v>509</v>
      </c>
      <c r="BY292">
        <v>4226520</v>
      </c>
      <c r="BZ292" t="s">
        <v>346</v>
      </c>
      <c r="CA292">
        <v>0</v>
      </c>
      <c r="CB292" t="s">
        <v>80</v>
      </c>
      <c r="CC292" t="s">
        <v>1754</v>
      </c>
      <c r="CD292">
        <v>4583833</v>
      </c>
      <c r="CE292" t="s">
        <v>276</v>
      </c>
      <c r="CF292">
        <v>0.01</v>
      </c>
      <c r="CG292" t="s">
        <v>53</v>
      </c>
      <c r="CH292" t="s">
        <v>392</v>
      </c>
      <c r="CI292">
        <v>4398826</v>
      </c>
      <c r="CJ292" t="s">
        <v>346</v>
      </c>
      <c r="CK292">
        <v>0</v>
      </c>
      <c r="CL292" t="s">
        <v>53</v>
      </c>
      <c r="CM292" t="s">
        <v>2023</v>
      </c>
      <c r="CN292">
        <v>105908838</v>
      </c>
      <c r="CO292" t="s">
        <v>364</v>
      </c>
      <c r="CP292">
        <v>0</v>
      </c>
      <c r="CQ292" t="s">
        <v>53</v>
      </c>
      <c r="CV292" t="s">
        <v>306</v>
      </c>
      <c r="DA292" t="s">
        <v>306</v>
      </c>
      <c r="DB292" t="s">
        <v>1313</v>
      </c>
      <c r="DC292">
        <v>5777655</v>
      </c>
      <c r="DD292" t="s">
        <v>346</v>
      </c>
      <c r="DE292">
        <v>0</v>
      </c>
      <c r="DF292" t="s">
        <v>62</v>
      </c>
      <c r="DK292" t="s">
        <v>306</v>
      </c>
      <c r="DL292" t="s">
        <v>1313</v>
      </c>
      <c r="DM292">
        <v>5777655</v>
      </c>
      <c r="DN292" t="s">
        <v>346</v>
      </c>
      <c r="DO292">
        <v>0</v>
      </c>
      <c r="DP292" t="s">
        <v>62</v>
      </c>
      <c r="DU292" t="s">
        <v>306</v>
      </c>
      <c r="DZ292" t="s">
        <v>306</v>
      </c>
      <c r="EA292" t="s">
        <v>1754</v>
      </c>
      <c r="EB292">
        <v>4583833</v>
      </c>
      <c r="EC292" t="s">
        <v>276</v>
      </c>
      <c r="ED292">
        <v>0.01</v>
      </c>
      <c r="EE292" t="s">
        <v>53</v>
      </c>
      <c r="EF292" t="s">
        <v>1313</v>
      </c>
      <c r="EG292">
        <v>5777655</v>
      </c>
      <c r="EH292" t="s">
        <v>346</v>
      </c>
      <c r="EI292">
        <v>0</v>
      </c>
      <c r="EJ292" t="s">
        <v>62</v>
      </c>
      <c r="EO292" t="s">
        <v>306</v>
      </c>
      <c r="ET292" t="s">
        <v>306</v>
      </c>
      <c r="EY292" t="s">
        <v>306</v>
      </c>
      <c r="FD292" t="s">
        <v>306</v>
      </c>
      <c r="FI292" t="s">
        <v>306</v>
      </c>
      <c r="FN292" t="s">
        <v>306</v>
      </c>
      <c r="FS292" t="s">
        <v>306</v>
      </c>
      <c r="FX292" t="s">
        <v>306</v>
      </c>
      <c r="FY292" t="s">
        <v>1313</v>
      </c>
      <c r="FZ292">
        <v>5777655</v>
      </c>
      <c r="GA292" t="s">
        <v>346</v>
      </c>
      <c r="GB292">
        <v>0</v>
      </c>
      <c r="GC292" t="s">
        <v>62</v>
      </c>
      <c r="GH292" t="s">
        <v>306</v>
      </c>
      <c r="GM292" t="s">
        <v>306</v>
      </c>
      <c r="GR292" t="s">
        <v>306</v>
      </c>
      <c r="GS292" t="s">
        <v>883</v>
      </c>
      <c r="GT292">
        <v>4288829</v>
      </c>
      <c r="GU292" t="s">
        <v>364</v>
      </c>
      <c r="GV292">
        <v>0</v>
      </c>
      <c r="GW292" t="s">
        <v>326</v>
      </c>
      <c r="GX292" t="s">
        <v>1754</v>
      </c>
      <c r="GY292">
        <v>4583833</v>
      </c>
      <c r="GZ292" t="s">
        <v>276</v>
      </c>
      <c r="HA292">
        <v>0.01</v>
      </c>
      <c r="HB292" t="s">
        <v>53</v>
      </c>
      <c r="HG292" t="s">
        <v>306</v>
      </c>
    </row>
    <row r="293" spans="5:215" x14ac:dyDescent="0.35">
      <c r="E293" t="s">
        <v>306</v>
      </c>
      <c r="J293" t="s">
        <v>306</v>
      </c>
      <c r="O293" t="s">
        <v>306</v>
      </c>
      <c r="T293" t="s">
        <v>306</v>
      </c>
      <c r="U293" t="s">
        <v>434</v>
      </c>
      <c r="V293">
        <v>4120033</v>
      </c>
      <c r="W293" t="s">
        <v>346</v>
      </c>
      <c r="X293">
        <v>0</v>
      </c>
      <c r="Y293" t="s">
        <v>304</v>
      </c>
      <c r="AD293" t="s">
        <v>306</v>
      </c>
      <c r="AI293" t="s">
        <v>306</v>
      </c>
      <c r="AN293" t="s">
        <v>306</v>
      </c>
      <c r="AS293" t="s">
        <v>306</v>
      </c>
      <c r="AX293" t="s">
        <v>306</v>
      </c>
      <c r="BC293" t="s">
        <v>306</v>
      </c>
      <c r="BD293" t="s">
        <v>492</v>
      </c>
      <c r="BE293">
        <v>110674</v>
      </c>
      <c r="BF293" t="s">
        <v>346</v>
      </c>
      <c r="BG293">
        <v>0</v>
      </c>
      <c r="BH293" t="s">
        <v>53</v>
      </c>
      <c r="BM293" t="s">
        <v>306</v>
      </c>
      <c r="BN293" t="s">
        <v>818</v>
      </c>
      <c r="BO293">
        <v>5819977</v>
      </c>
      <c r="BP293" t="s">
        <v>346</v>
      </c>
      <c r="BQ293">
        <v>0</v>
      </c>
      <c r="BR293" t="s">
        <v>50</v>
      </c>
      <c r="BS293" t="s">
        <v>775</v>
      </c>
      <c r="BT293">
        <v>19448171</v>
      </c>
      <c r="BU293" t="s">
        <v>346</v>
      </c>
      <c r="BV293">
        <v>0</v>
      </c>
      <c r="BW293" t="s">
        <v>50</v>
      </c>
      <c r="BX293" t="s">
        <v>434</v>
      </c>
      <c r="BY293">
        <v>4120033</v>
      </c>
      <c r="BZ293" t="s">
        <v>346</v>
      </c>
      <c r="CA293">
        <v>0</v>
      </c>
      <c r="CB293" t="s">
        <v>304</v>
      </c>
      <c r="CC293" t="s">
        <v>458</v>
      </c>
      <c r="CD293">
        <v>109806</v>
      </c>
      <c r="CE293" t="s">
        <v>346</v>
      </c>
      <c r="CF293">
        <v>0.01</v>
      </c>
      <c r="CG293" t="s">
        <v>53</v>
      </c>
      <c r="CL293" t="s">
        <v>306</v>
      </c>
      <c r="CM293" t="s">
        <v>2024</v>
      </c>
      <c r="CN293">
        <v>101288928</v>
      </c>
      <c r="CO293" t="s">
        <v>346</v>
      </c>
      <c r="CP293">
        <v>0</v>
      </c>
      <c r="CQ293" t="s">
        <v>53</v>
      </c>
      <c r="CV293" t="s">
        <v>306</v>
      </c>
      <c r="DA293" t="s">
        <v>306</v>
      </c>
      <c r="DB293" t="s">
        <v>492</v>
      </c>
      <c r="DC293">
        <v>110674</v>
      </c>
      <c r="DD293" t="s">
        <v>346</v>
      </c>
      <c r="DE293">
        <v>0</v>
      </c>
      <c r="DF293" t="s">
        <v>53</v>
      </c>
      <c r="DK293" t="s">
        <v>306</v>
      </c>
      <c r="DL293" t="s">
        <v>492</v>
      </c>
      <c r="DM293">
        <v>110674</v>
      </c>
      <c r="DN293" t="s">
        <v>346</v>
      </c>
      <c r="DO293">
        <v>0</v>
      </c>
      <c r="DP293" t="s">
        <v>53</v>
      </c>
      <c r="DU293" t="s">
        <v>306</v>
      </c>
      <c r="DZ293" t="s">
        <v>306</v>
      </c>
      <c r="EA293" t="s">
        <v>458</v>
      </c>
      <c r="EB293">
        <v>109806</v>
      </c>
      <c r="EC293" t="s">
        <v>346</v>
      </c>
      <c r="ED293">
        <v>0.01</v>
      </c>
      <c r="EE293" t="s">
        <v>53</v>
      </c>
      <c r="EF293" t="s">
        <v>492</v>
      </c>
      <c r="EG293">
        <v>110674</v>
      </c>
      <c r="EH293" t="s">
        <v>346</v>
      </c>
      <c r="EI293">
        <v>0</v>
      </c>
      <c r="EJ293" t="s">
        <v>53</v>
      </c>
      <c r="EO293" t="s">
        <v>306</v>
      </c>
      <c r="ET293" t="s">
        <v>306</v>
      </c>
      <c r="EY293" t="s">
        <v>306</v>
      </c>
      <c r="FD293" t="s">
        <v>306</v>
      </c>
      <c r="FI293" t="s">
        <v>306</v>
      </c>
      <c r="FN293" t="s">
        <v>306</v>
      </c>
      <c r="FS293" t="s">
        <v>306</v>
      </c>
      <c r="FX293" t="s">
        <v>306</v>
      </c>
      <c r="FY293" t="s">
        <v>492</v>
      </c>
      <c r="FZ293">
        <v>110674</v>
      </c>
      <c r="GA293" t="s">
        <v>346</v>
      </c>
      <c r="GB293">
        <v>0</v>
      </c>
      <c r="GC293" t="s">
        <v>53</v>
      </c>
      <c r="GH293" t="s">
        <v>306</v>
      </c>
      <c r="GM293" t="s">
        <v>306</v>
      </c>
      <c r="GR293" t="s">
        <v>306</v>
      </c>
      <c r="GS293" t="s">
        <v>818</v>
      </c>
      <c r="GT293">
        <v>5819977</v>
      </c>
      <c r="GU293" t="s">
        <v>346</v>
      </c>
      <c r="GV293">
        <v>0</v>
      </c>
      <c r="GW293" t="s">
        <v>50</v>
      </c>
      <c r="GX293" t="s">
        <v>458</v>
      </c>
      <c r="GY293">
        <v>109806</v>
      </c>
      <c r="GZ293" t="s">
        <v>346</v>
      </c>
      <c r="HA293">
        <v>0.01</v>
      </c>
      <c r="HB293" t="s">
        <v>53</v>
      </c>
      <c r="HG293" t="s">
        <v>306</v>
      </c>
    </row>
    <row r="294" spans="5:215" x14ac:dyDescent="0.35">
      <c r="E294" t="s">
        <v>306</v>
      </c>
      <c r="J294" t="s">
        <v>306</v>
      </c>
      <c r="O294" t="s">
        <v>306</v>
      </c>
      <c r="T294" t="s">
        <v>306</v>
      </c>
      <c r="U294" t="s">
        <v>851</v>
      </c>
      <c r="V294">
        <v>4405395</v>
      </c>
      <c r="W294" t="s">
        <v>346</v>
      </c>
      <c r="X294">
        <v>0</v>
      </c>
      <c r="Y294" t="s">
        <v>313</v>
      </c>
      <c r="AD294" t="s">
        <v>306</v>
      </c>
      <c r="AI294" t="s">
        <v>306</v>
      </c>
      <c r="AN294" t="s">
        <v>306</v>
      </c>
      <c r="AS294" t="s">
        <v>306</v>
      </c>
      <c r="AX294" t="s">
        <v>306</v>
      </c>
      <c r="BC294" t="s">
        <v>306</v>
      </c>
      <c r="BD294" t="s">
        <v>1480</v>
      </c>
      <c r="BE294">
        <v>4339647</v>
      </c>
      <c r="BF294" t="s">
        <v>364</v>
      </c>
      <c r="BG294">
        <v>0</v>
      </c>
      <c r="BH294" t="s">
        <v>313</v>
      </c>
      <c r="BM294" t="s">
        <v>306</v>
      </c>
      <c r="BN294" t="s">
        <v>517</v>
      </c>
      <c r="BO294">
        <v>111097</v>
      </c>
      <c r="BP294" t="s">
        <v>346</v>
      </c>
      <c r="BQ294">
        <v>0</v>
      </c>
      <c r="BR294" t="s">
        <v>53</v>
      </c>
      <c r="BS294" t="s">
        <v>475</v>
      </c>
      <c r="BT294">
        <v>4115935</v>
      </c>
      <c r="BU294" t="s">
        <v>346</v>
      </c>
      <c r="BV294">
        <v>0</v>
      </c>
      <c r="BW294" t="s">
        <v>53</v>
      </c>
      <c r="BX294" t="s">
        <v>851</v>
      </c>
      <c r="BY294">
        <v>4405395</v>
      </c>
      <c r="BZ294" t="s">
        <v>346</v>
      </c>
      <c r="CA294">
        <v>0</v>
      </c>
      <c r="CB294" t="s">
        <v>313</v>
      </c>
      <c r="CC294" t="s">
        <v>1755</v>
      </c>
      <c r="CD294">
        <v>5866138</v>
      </c>
      <c r="CE294" t="s">
        <v>364</v>
      </c>
      <c r="CF294">
        <v>0.01</v>
      </c>
      <c r="CG294" t="s">
        <v>313</v>
      </c>
      <c r="CL294" t="s">
        <v>306</v>
      </c>
      <c r="CM294" t="s">
        <v>464</v>
      </c>
      <c r="CN294">
        <v>4629378</v>
      </c>
      <c r="CO294" t="s">
        <v>346</v>
      </c>
      <c r="CP294">
        <v>0</v>
      </c>
      <c r="CQ294" t="s">
        <v>304</v>
      </c>
      <c r="CV294" t="s">
        <v>306</v>
      </c>
      <c r="DA294" t="s">
        <v>306</v>
      </c>
      <c r="DB294" t="s">
        <v>1480</v>
      </c>
      <c r="DC294">
        <v>4339647</v>
      </c>
      <c r="DD294" t="s">
        <v>364</v>
      </c>
      <c r="DE294">
        <v>0</v>
      </c>
      <c r="DF294" t="s">
        <v>313</v>
      </c>
      <c r="DK294" t="s">
        <v>306</v>
      </c>
      <c r="DL294" t="s">
        <v>1480</v>
      </c>
      <c r="DM294">
        <v>4339647</v>
      </c>
      <c r="DN294" t="s">
        <v>364</v>
      </c>
      <c r="DO294">
        <v>0</v>
      </c>
      <c r="DP294" t="s">
        <v>313</v>
      </c>
      <c r="DU294" t="s">
        <v>306</v>
      </c>
      <c r="DZ294" t="s">
        <v>306</v>
      </c>
      <c r="EA294" t="s">
        <v>1755</v>
      </c>
      <c r="EB294">
        <v>5866138</v>
      </c>
      <c r="EC294" t="s">
        <v>364</v>
      </c>
      <c r="ED294">
        <v>0.01</v>
      </c>
      <c r="EE294" t="s">
        <v>313</v>
      </c>
      <c r="EF294" t="s">
        <v>1480</v>
      </c>
      <c r="EG294">
        <v>4339647</v>
      </c>
      <c r="EH294" t="s">
        <v>364</v>
      </c>
      <c r="EI294">
        <v>0</v>
      </c>
      <c r="EJ294" t="s">
        <v>313</v>
      </c>
      <c r="EO294" t="s">
        <v>306</v>
      </c>
      <c r="ET294" t="s">
        <v>306</v>
      </c>
      <c r="EY294" t="s">
        <v>306</v>
      </c>
      <c r="FD294" t="s">
        <v>306</v>
      </c>
      <c r="FI294" t="s">
        <v>306</v>
      </c>
      <c r="FN294" t="s">
        <v>306</v>
      </c>
      <c r="FS294" t="s">
        <v>306</v>
      </c>
      <c r="FX294" t="s">
        <v>306</v>
      </c>
      <c r="FY294" t="s">
        <v>1480</v>
      </c>
      <c r="FZ294">
        <v>4339647</v>
      </c>
      <c r="GA294" t="s">
        <v>364</v>
      </c>
      <c r="GB294">
        <v>0</v>
      </c>
      <c r="GC294" t="s">
        <v>313</v>
      </c>
      <c r="GH294" t="s">
        <v>306</v>
      </c>
      <c r="GM294" t="s">
        <v>306</v>
      </c>
      <c r="GR294" t="s">
        <v>306</v>
      </c>
      <c r="GS294" t="s">
        <v>517</v>
      </c>
      <c r="GT294">
        <v>111097</v>
      </c>
      <c r="GU294" t="s">
        <v>346</v>
      </c>
      <c r="GV294">
        <v>0</v>
      </c>
      <c r="GW294" t="s">
        <v>53</v>
      </c>
      <c r="GX294" t="s">
        <v>1755</v>
      </c>
      <c r="GY294">
        <v>5866138</v>
      </c>
      <c r="GZ294" t="s">
        <v>364</v>
      </c>
      <c r="HA294">
        <v>0.01</v>
      </c>
      <c r="HB294" t="s">
        <v>313</v>
      </c>
      <c r="HG294" t="s">
        <v>306</v>
      </c>
    </row>
    <row r="295" spans="5:215" x14ac:dyDescent="0.35">
      <c r="E295" t="s">
        <v>306</v>
      </c>
      <c r="J295" t="s">
        <v>306</v>
      </c>
      <c r="O295" t="s">
        <v>306</v>
      </c>
      <c r="T295" t="s">
        <v>306</v>
      </c>
      <c r="U295" t="s">
        <v>852</v>
      </c>
      <c r="V295">
        <v>5866758</v>
      </c>
      <c r="W295" t="s">
        <v>346</v>
      </c>
      <c r="X295">
        <v>0</v>
      </c>
      <c r="Y295" t="s">
        <v>50</v>
      </c>
      <c r="AD295" t="s">
        <v>306</v>
      </c>
      <c r="AI295" t="s">
        <v>306</v>
      </c>
      <c r="AN295" t="s">
        <v>306</v>
      </c>
      <c r="AS295" t="s">
        <v>306</v>
      </c>
      <c r="AX295" t="s">
        <v>306</v>
      </c>
      <c r="BC295" t="s">
        <v>306</v>
      </c>
      <c r="BD295" t="s">
        <v>1152</v>
      </c>
      <c r="BE295">
        <v>4789854</v>
      </c>
      <c r="BF295" t="s">
        <v>346</v>
      </c>
      <c r="BG295">
        <v>0</v>
      </c>
      <c r="BH295" t="s">
        <v>2187</v>
      </c>
      <c r="BM295" t="s">
        <v>306</v>
      </c>
      <c r="BN295" t="s">
        <v>515</v>
      </c>
      <c r="BO295">
        <v>109731</v>
      </c>
      <c r="BP295" t="s">
        <v>346</v>
      </c>
      <c r="BQ295">
        <v>0</v>
      </c>
      <c r="BR295" t="s">
        <v>53</v>
      </c>
      <c r="BS295" t="s">
        <v>829</v>
      </c>
      <c r="BT295">
        <v>4074095</v>
      </c>
      <c r="BU295" t="s">
        <v>346</v>
      </c>
      <c r="BV295">
        <v>0</v>
      </c>
      <c r="BW295" t="s">
        <v>313</v>
      </c>
      <c r="BX295" t="s">
        <v>852</v>
      </c>
      <c r="BY295">
        <v>5866758</v>
      </c>
      <c r="BZ295" t="s">
        <v>346</v>
      </c>
      <c r="CA295">
        <v>0</v>
      </c>
      <c r="CB295" t="s">
        <v>50</v>
      </c>
      <c r="CC295" t="s">
        <v>621</v>
      </c>
      <c r="CD295">
        <v>4110324</v>
      </c>
      <c r="CE295" t="s">
        <v>346</v>
      </c>
      <c r="CF295">
        <v>0.01</v>
      </c>
      <c r="CG295" t="s">
        <v>53</v>
      </c>
      <c r="CL295" t="s">
        <v>306</v>
      </c>
      <c r="CM295" t="s">
        <v>475</v>
      </c>
      <c r="CN295">
        <v>4115935</v>
      </c>
      <c r="CO295" t="s">
        <v>346</v>
      </c>
      <c r="CP295">
        <v>0</v>
      </c>
      <c r="CQ295" t="s">
        <v>53</v>
      </c>
      <c r="CV295" t="s">
        <v>306</v>
      </c>
      <c r="DA295" t="s">
        <v>306</v>
      </c>
      <c r="DB295" t="s">
        <v>1152</v>
      </c>
      <c r="DC295">
        <v>4789854</v>
      </c>
      <c r="DD295" t="s">
        <v>346</v>
      </c>
      <c r="DE295">
        <v>0</v>
      </c>
      <c r="DF295" t="s">
        <v>2187</v>
      </c>
      <c r="DK295" t="s">
        <v>306</v>
      </c>
      <c r="DL295" t="s">
        <v>1152</v>
      </c>
      <c r="DM295">
        <v>4789854</v>
      </c>
      <c r="DN295" t="s">
        <v>346</v>
      </c>
      <c r="DO295">
        <v>0</v>
      </c>
      <c r="DP295" t="s">
        <v>2187</v>
      </c>
      <c r="DU295" t="s">
        <v>306</v>
      </c>
      <c r="DZ295" t="s">
        <v>306</v>
      </c>
      <c r="EA295" t="s">
        <v>621</v>
      </c>
      <c r="EB295">
        <v>4110324</v>
      </c>
      <c r="EC295" t="s">
        <v>346</v>
      </c>
      <c r="ED295">
        <v>0.01</v>
      </c>
      <c r="EE295" t="s">
        <v>53</v>
      </c>
      <c r="EF295" t="s">
        <v>1152</v>
      </c>
      <c r="EG295">
        <v>4789854</v>
      </c>
      <c r="EH295" t="s">
        <v>346</v>
      </c>
      <c r="EI295">
        <v>0</v>
      </c>
      <c r="EJ295" t="s">
        <v>2187</v>
      </c>
      <c r="EO295" t="s">
        <v>306</v>
      </c>
      <c r="ET295" t="s">
        <v>306</v>
      </c>
      <c r="EY295" t="s">
        <v>306</v>
      </c>
      <c r="FD295" t="s">
        <v>306</v>
      </c>
      <c r="FI295" t="s">
        <v>306</v>
      </c>
      <c r="FN295" t="s">
        <v>306</v>
      </c>
      <c r="FS295" t="s">
        <v>306</v>
      </c>
      <c r="FX295" t="s">
        <v>306</v>
      </c>
      <c r="FY295" t="s">
        <v>1152</v>
      </c>
      <c r="FZ295">
        <v>4789854</v>
      </c>
      <c r="GA295" t="s">
        <v>346</v>
      </c>
      <c r="GB295">
        <v>0</v>
      </c>
      <c r="GC295" t="s">
        <v>2187</v>
      </c>
      <c r="GH295" t="s">
        <v>306</v>
      </c>
      <c r="GM295" t="s">
        <v>306</v>
      </c>
      <c r="GR295" t="s">
        <v>306</v>
      </c>
      <c r="GS295" t="s">
        <v>515</v>
      </c>
      <c r="GT295">
        <v>109731</v>
      </c>
      <c r="GU295" t="s">
        <v>346</v>
      </c>
      <c r="GV295">
        <v>0</v>
      </c>
      <c r="GW295" t="s">
        <v>53</v>
      </c>
      <c r="GX295" t="s">
        <v>621</v>
      </c>
      <c r="GY295">
        <v>4110324</v>
      </c>
      <c r="GZ295" t="s">
        <v>346</v>
      </c>
      <c r="HA295">
        <v>0.01</v>
      </c>
      <c r="HB295" t="s">
        <v>53</v>
      </c>
      <c r="HG295" t="s">
        <v>306</v>
      </c>
    </row>
    <row r="296" spans="5:215" x14ac:dyDescent="0.35">
      <c r="E296" t="s">
        <v>306</v>
      </c>
      <c r="J296" t="s">
        <v>306</v>
      </c>
      <c r="O296" t="s">
        <v>306</v>
      </c>
      <c r="T296" t="s">
        <v>306</v>
      </c>
      <c r="U296" t="s">
        <v>853</v>
      </c>
      <c r="V296">
        <v>4259935</v>
      </c>
      <c r="W296" t="s">
        <v>346</v>
      </c>
      <c r="X296">
        <v>0</v>
      </c>
      <c r="Y296" t="s">
        <v>326</v>
      </c>
      <c r="AD296" t="s">
        <v>306</v>
      </c>
      <c r="AI296" t="s">
        <v>306</v>
      </c>
      <c r="AN296" t="s">
        <v>306</v>
      </c>
      <c r="AS296" t="s">
        <v>306</v>
      </c>
      <c r="AX296" t="s">
        <v>306</v>
      </c>
      <c r="BC296" t="s">
        <v>306</v>
      </c>
      <c r="BD296" t="s">
        <v>1481</v>
      </c>
      <c r="BE296">
        <v>4255852</v>
      </c>
      <c r="BF296" t="s">
        <v>346</v>
      </c>
      <c r="BG296">
        <v>0</v>
      </c>
      <c r="BH296" t="s">
        <v>53</v>
      </c>
      <c r="BM296" t="s">
        <v>306</v>
      </c>
      <c r="BN296" t="s">
        <v>871</v>
      </c>
      <c r="BO296">
        <v>4055159</v>
      </c>
      <c r="BP296" t="s">
        <v>346</v>
      </c>
      <c r="BQ296">
        <v>0</v>
      </c>
      <c r="BR296" t="s">
        <v>53</v>
      </c>
      <c r="BS296" t="s">
        <v>824</v>
      </c>
      <c r="BT296">
        <v>4213196</v>
      </c>
      <c r="BU296" t="s">
        <v>346</v>
      </c>
      <c r="BV296">
        <v>0</v>
      </c>
      <c r="BW296" t="s">
        <v>304</v>
      </c>
      <c r="BX296" t="s">
        <v>853</v>
      </c>
      <c r="BY296">
        <v>4259935</v>
      </c>
      <c r="BZ296" t="s">
        <v>346</v>
      </c>
      <c r="CA296">
        <v>0</v>
      </c>
      <c r="CB296" t="s">
        <v>326</v>
      </c>
      <c r="CC296" t="s">
        <v>1756</v>
      </c>
      <c r="CD296">
        <v>110379</v>
      </c>
      <c r="CE296" t="s">
        <v>346</v>
      </c>
      <c r="CF296">
        <v>0</v>
      </c>
      <c r="CG296" t="s">
        <v>53</v>
      </c>
      <c r="CL296" t="s">
        <v>306</v>
      </c>
      <c r="CM296" t="s">
        <v>1339</v>
      </c>
      <c r="CN296">
        <v>29536489</v>
      </c>
      <c r="CO296" t="s">
        <v>346</v>
      </c>
      <c r="CP296">
        <v>0</v>
      </c>
      <c r="CQ296" t="s">
        <v>306</v>
      </c>
      <c r="CV296" t="s">
        <v>306</v>
      </c>
      <c r="DA296" t="s">
        <v>306</v>
      </c>
      <c r="DB296" t="s">
        <v>1481</v>
      </c>
      <c r="DC296">
        <v>4255852</v>
      </c>
      <c r="DD296" t="s">
        <v>346</v>
      </c>
      <c r="DE296">
        <v>0</v>
      </c>
      <c r="DF296" t="s">
        <v>53</v>
      </c>
      <c r="DK296" t="s">
        <v>306</v>
      </c>
      <c r="DL296" t="s">
        <v>1481</v>
      </c>
      <c r="DM296">
        <v>4255852</v>
      </c>
      <c r="DN296" t="s">
        <v>346</v>
      </c>
      <c r="DO296">
        <v>0</v>
      </c>
      <c r="DP296" t="s">
        <v>53</v>
      </c>
      <c r="DU296" t="s">
        <v>306</v>
      </c>
      <c r="DZ296" t="s">
        <v>306</v>
      </c>
      <c r="EA296" t="s">
        <v>1756</v>
      </c>
      <c r="EB296">
        <v>110379</v>
      </c>
      <c r="EC296" t="s">
        <v>346</v>
      </c>
      <c r="ED296">
        <v>0</v>
      </c>
      <c r="EE296" t="s">
        <v>53</v>
      </c>
      <c r="EF296" t="s">
        <v>1481</v>
      </c>
      <c r="EG296">
        <v>4255852</v>
      </c>
      <c r="EH296" t="s">
        <v>346</v>
      </c>
      <c r="EI296">
        <v>0</v>
      </c>
      <c r="EJ296" t="s">
        <v>53</v>
      </c>
      <c r="EO296" t="s">
        <v>306</v>
      </c>
      <c r="ET296" t="s">
        <v>306</v>
      </c>
      <c r="EY296" t="s">
        <v>306</v>
      </c>
      <c r="FD296" t="s">
        <v>306</v>
      </c>
      <c r="FI296" t="s">
        <v>306</v>
      </c>
      <c r="FN296" t="s">
        <v>306</v>
      </c>
      <c r="FS296" t="s">
        <v>306</v>
      </c>
      <c r="FX296" t="s">
        <v>306</v>
      </c>
      <c r="FY296" t="s">
        <v>1481</v>
      </c>
      <c r="FZ296">
        <v>4255852</v>
      </c>
      <c r="GA296" t="s">
        <v>346</v>
      </c>
      <c r="GB296">
        <v>0</v>
      </c>
      <c r="GC296" t="s">
        <v>53</v>
      </c>
      <c r="GH296" t="s">
        <v>306</v>
      </c>
      <c r="GM296" t="s">
        <v>306</v>
      </c>
      <c r="GR296" t="s">
        <v>306</v>
      </c>
      <c r="GS296" t="s">
        <v>871</v>
      </c>
      <c r="GT296">
        <v>4055159</v>
      </c>
      <c r="GU296" t="s">
        <v>346</v>
      </c>
      <c r="GV296">
        <v>0</v>
      </c>
      <c r="GW296" t="s">
        <v>53</v>
      </c>
      <c r="GX296" t="s">
        <v>1756</v>
      </c>
      <c r="GY296">
        <v>110379</v>
      </c>
      <c r="GZ296" t="s">
        <v>346</v>
      </c>
      <c r="HA296">
        <v>0</v>
      </c>
      <c r="HB296" t="s">
        <v>53</v>
      </c>
      <c r="HG296" t="s">
        <v>306</v>
      </c>
    </row>
    <row r="297" spans="5:215" x14ac:dyDescent="0.35">
      <c r="E297" t="s">
        <v>306</v>
      </c>
      <c r="J297" t="s">
        <v>306</v>
      </c>
      <c r="O297" t="s">
        <v>306</v>
      </c>
      <c r="T297" t="s">
        <v>306</v>
      </c>
      <c r="U297" t="s">
        <v>854</v>
      </c>
      <c r="V297">
        <v>5777425</v>
      </c>
      <c r="W297" t="s">
        <v>346</v>
      </c>
      <c r="X297">
        <v>0</v>
      </c>
      <c r="Y297" t="s">
        <v>50</v>
      </c>
      <c r="AD297" t="s">
        <v>306</v>
      </c>
      <c r="AI297" t="s">
        <v>306</v>
      </c>
      <c r="AN297" t="s">
        <v>306</v>
      </c>
      <c r="AS297" t="s">
        <v>306</v>
      </c>
      <c r="AX297" t="s">
        <v>306</v>
      </c>
      <c r="BC297" t="s">
        <v>306</v>
      </c>
      <c r="BD297" t="s">
        <v>585</v>
      </c>
      <c r="BE297">
        <v>4139382</v>
      </c>
      <c r="BF297" t="s">
        <v>346</v>
      </c>
      <c r="BG297">
        <v>0</v>
      </c>
      <c r="BH297" t="s">
        <v>2184</v>
      </c>
      <c r="BM297" t="s">
        <v>306</v>
      </c>
      <c r="BN297" t="s">
        <v>882</v>
      </c>
      <c r="BO297">
        <v>110793</v>
      </c>
      <c r="BP297" t="s">
        <v>346</v>
      </c>
      <c r="BQ297">
        <v>0</v>
      </c>
      <c r="BR297" t="s">
        <v>53</v>
      </c>
      <c r="BS297" t="s">
        <v>1012</v>
      </c>
      <c r="BT297">
        <v>4139945</v>
      </c>
      <c r="BU297" t="s">
        <v>346</v>
      </c>
      <c r="BV297">
        <v>0</v>
      </c>
      <c r="BW297" t="s">
        <v>317</v>
      </c>
      <c r="BX297" t="s">
        <v>854</v>
      </c>
      <c r="BY297">
        <v>5777425</v>
      </c>
      <c r="BZ297" t="s">
        <v>346</v>
      </c>
      <c r="CA297">
        <v>0</v>
      </c>
      <c r="CB297" t="s">
        <v>50</v>
      </c>
      <c r="CC297" t="s">
        <v>1757</v>
      </c>
      <c r="CD297">
        <v>4279126</v>
      </c>
      <c r="CE297" t="s">
        <v>346</v>
      </c>
      <c r="CF297">
        <v>0</v>
      </c>
      <c r="CG297" t="s">
        <v>2195</v>
      </c>
      <c r="CL297" t="s">
        <v>306</v>
      </c>
      <c r="CM297" t="s">
        <v>358</v>
      </c>
      <c r="CN297">
        <v>4137806</v>
      </c>
      <c r="CO297" t="s">
        <v>346</v>
      </c>
      <c r="CP297">
        <v>0</v>
      </c>
      <c r="CQ297" t="s">
        <v>2181</v>
      </c>
      <c r="CV297" t="s">
        <v>306</v>
      </c>
      <c r="DA297" t="s">
        <v>306</v>
      </c>
      <c r="DB297" t="s">
        <v>585</v>
      </c>
      <c r="DC297">
        <v>4139382</v>
      </c>
      <c r="DD297" t="s">
        <v>346</v>
      </c>
      <c r="DE297">
        <v>0</v>
      </c>
      <c r="DF297" t="s">
        <v>2184</v>
      </c>
      <c r="DK297" t="s">
        <v>306</v>
      </c>
      <c r="DL297" t="s">
        <v>585</v>
      </c>
      <c r="DM297">
        <v>4139382</v>
      </c>
      <c r="DN297" t="s">
        <v>346</v>
      </c>
      <c r="DO297">
        <v>0</v>
      </c>
      <c r="DP297" t="s">
        <v>2184</v>
      </c>
      <c r="DU297" t="s">
        <v>306</v>
      </c>
      <c r="DZ297" t="s">
        <v>306</v>
      </c>
      <c r="EA297" t="s">
        <v>1757</v>
      </c>
      <c r="EB297">
        <v>4279126</v>
      </c>
      <c r="EC297" t="s">
        <v>346</v>
      </c>
      <c r="ED297">
        <v>0</v>
      </c>
      <c r="EE297" t="s">
        <v>2195</v>
      </c>
      <c r="EF297" t="s">
        <v>585</v>
      </c>
      <c r="EG297">
        <v>4139382</v>
      </c>
      <c r="EH297" t="s">
        <v>346</v>
      </c>
      <c r="EI297">
        <v>0</v>
      </c>
      <c r="EJ297" t="s">
        <v>2184</v>
      </c>
      <c r="EO297" t="s">
        <v>306</v>
      </c>
      <c r="ET297" t="s">
        <v>306</v>
      </c>
      <c r="EY297" t="s">
        <v>306</v>
      </c>
      <c r="FD297" t="s">
        <v>306</v>
      </c>
      <c r="FI297" t="s">
        <v>306</v>
      </c>
      <c r="FN297" t="s">
        <v>306</v>
      </c>
      <c r="FS297" t="s">
        <v>306</v>
      </c>
      <c r="FX297" t="s">
        <v>306</v>
      </c>
      <c r="FY297" t="s">
        <v>585</v>
      </c>
      <c r="FZ297">
        <v>4139382</v>
      </c>
      <c r="GA297" t="s">
        <v>346</v>
      </c>
      <c r="GB297">
        <v>0</v>
      </c>
      <c r="GC297" t="s">
        <v>2184</v>
      </c>
      <c r="GH297" t="s">
        <v>306</v>
      </c>
      <c r="GM297" t="s">
        <v>306</v>
      </c>
      <c r="GR297" t="s">
        <v>306</v>
      </c>
      <c r="GS297" t="s">
        <v>882</v>
      </c>
      <c r="GT297">
        <v>110793</v>
      </c>
      <c r="GU297" t="s">
        <v>346</v>
      </c>
      <c r="GV297">
        <v>0</v>
      </c>
      <c r="GW297" t="s">
        <v>53</v>
      </c>
      <c r="GX297" t="s">
        <v>1757</v>
      </c>
      <c r="GY297">
        <v>4279126</v>
      </c>
      <c r="GZ297" t="s">
        <v>346</v>
      </c>
      <c r="HA297">
        <v>0</v>
      </c>
      <c r="HB297" t="s">
        <v>2195</v>
      </c>
      <c r="HG297" t="s">
        <v>306</v>
      </c>
    </row>
    <row r="298" spans="5:215" x14ac:dyDescent="0.35">
      <c r="E298" t="s">
        <v>306</v>
      </c>
      <c r="J298" t="s">
        <v>306</v>
      </c>
      <c r="O298" t="s">
        <v>306</v>
      </c>
      <c r="T298" t="s">
        <v>306</v>
      </c>
      <c r="U298" t="s">
        <v>855</v>
      </c>
      <c r="V298">
        <v>8532130</v>
      </c>
      <c r="W298" t="s">
        <v>346</v>
      </c>
      <c r="X298">
        <v>0</v>
      </c>
      <c r="Y298" t="s">
        <v>62</v>
      </c>
      <c r="AD298" t="s">
        <v>306</v>
      </c>
      <c r="AI298" t="s">
        <v>306</v>
      </c>
      <c r="AN298" t="s">
        <v>306</v>
      </c>
      <c r="AS298" t="s">
        <v>306</v>
      </c>
      <c r="AX298" t="s">
        <v>306</v>
      </c>
      <c r="BC298" t="s">
        <v>306</v>
      </c>
      <c r="BD298" t="s">
        <v>1482</v>
      </c>
      <c r="BE298">
        <v>8307279</v>
      </c>
      <c r="BF298" t="s">
        <v>346</v>
      </c>
      <c r="BG298">
        <v>0</v>
      </c>
      <c r="BH298" t="s">
        <v>313</v>
      </c>
      <c r="BM298" t="s">
        <v>306</v>
      </c>
      <c r="BN298" t="s">
        <v>923</v>
      </c>
      <c r="BO298">
        <v>4119489</v>
      </c>
      <c r="BP298" t="s">
        <v>346</v>
      </c>
      <c r="BQ298">
        <v>0</v>
      </c>
      <c r="BR298" t="s">
        <v>53</v>
      </c>
      <c r="BS298" t="s">
        <v>1013</v>
      </c>
      <c r="BT298">
        <v>4253894</v>
      </c>
      <c r="BU298" t="s">
        <v>346</v>
      </c>
      <c r="BV298">
        <v>0</v>
      </c>
      <c r="BW298" t="s">
        <v>323</v>
      </c>
      <c r="BX298" t="s">
        <v>855</v>
      </c>
      <c r="BY298">
        <v>8532130</v>
      </c>
      <c r="BZ298" t="s">
        <v>346</v>
      </c>
      <c r="CA298">
        <v>0</v>
      </c>
      <c r="CB298" t="s">
        <v>62</v>
      </c>
      <c r="CC298" t="s">
        <v>1457</v>
      </c>
      <c r="CD298">
        <v>111434</v>
      </c>
      <c r="CE298" t="s">
        <v>346</v>
      </c>
      <c r="CF298">
        <v>0</v>
      </c>
      <c r="CG298" t="s">
        <v>53</v>
      </c>
      <c r="CL298" t="s">
        <v>306</v>
      </c>
      <c r="CM298" t="s">
        <v>1809</v>
      </c>
      <c r="CN298">
        <v>12764260</v>
      </c>
      <c r="CO298" t="s">
        <v>346</v>
      </c>
      <c r="CP298">
        <v>0</v>
      </c>
      <c r="CQ298" t="s">
        <v>53</v>
      </c>
      <c r="CV298" t="s">
        <v>306</v>
      </c>
      <c r="DA298" t="s">
        <v>306</v>
      </c>
      <c r="DB298" t="s">
        <v>1482</v>
      </c>
      <c r="DC298">
        <v>8307279</v>
      </c>
      <c r="DD298" t="s">
        <v>346</v>
      </c>
      <c r="DE298">
        <v>0</v>
      </c>
      <c r="DF298" t="s">
        <v>313</v>
      </c>
      <c r="DK298" t="s">
        <v>306</v>
      </c>
      <c r="DL298" t="s">
        <v>1482</v>
      </c>
      <c r="DM298">
        <v>8307279</v>
      </c>
      <c r="DN298" t="s">
        <v>346</v>
      </c>
      <c r="DO298">
        <v>0</v>
      </c>
      <c r="DP298" t="s">
        <v>313</v>
      </c>
      <c r="DU298" t="s">
        <v>306</v>
      </c>
      <c r="DZ298" t="s">
        <v>306</v>
      </c>
      <c r="EA298" t="s">
        <v>1457</v>
      </c>
      <c r="EB298">
        <v>111434</v>
      </c>
      <c r="EC298" t="s">
        <v>346</v>
      </c>
      <c r="ED298">
        <v>0</v>
      </c>
      <c r="EE298" t="s">
        <v>53</v>
      </c>
      <c r="EF298" t="s">
        <v>1482</v>
      </c>
      <c r="EG298">
        <v>8307279</v>
      </c>
      <c r="EH298" t="s">
        <v>346</v>
      </c>
      <c r="EI298">
        <v>0</v>
      </c>
      <c r="EJ298" t="s">
        <v>313</v>
      </c>
      <c r="EO298" t="s">
        <v>306</v>
      </c>
      <c r="ET298" t="s">
        <v>306</v>
      </c>
      <c r="EY298" t="s">
        <v>306</v>
      </c>
      <c r="FD298" t="s">
        <v>306</v>
      </c>
      <c r="FI298" t="s">
        <v>306</v>
      </c>
      <c r="FN298" t="s">
        <v>306</v>
      </c>
      <c r="FS298" t="s">
        <v>306</v>
      </c>
      <c r="FX298" t="s">
        <v>306</v>
      </c>
      <c r="FY298" t="s">
        <v>1482</v>
      </c>
      <c r="FZ298">
        <v>8307279</v>
      </c>
      <c r="GA298" t="s">
        <v>346</v>
      </c>
      <c r="GB298">
        <v>0</v>
      </c>
      <c r="GC298" t="s">
        <v>313</v>
      </c>
      <c r="GH298" t="s">
        <v>306</v>
      </c>
      <c r="GM298" t="s">
        <v>306</v>
      </c>
      <c r="GR298" t="s">
        <v>306</v>
      </c>
      <c r="GS298" t="s">
        <v>923</v>
      </c>
      <c r="GT298">
        <v>4119489</v>
      </c>
      <c r="GU298" t="s">
        <v>346</v>
      </c>
      <c r="GV298">
        <v>0</v>
      </c>
      <c r="GW298" t="s">
        <v>53</v>
      </c>
      <c r="GX298" t="s">
        <v>1457</v>
      </c>
      <c r="GY298">
        <v>111434</v>
      </c>
      <c r="GZ298" t="s">
        <v>346</v>
      </c>
      <c r="HA298">
        <v>0</v>
      </c>
      <c r="HB298" t="s">
        <v>53</v>
      </c>
      <c r="HG298" t="s">
        <v>306</v>
      </c>
    </row>
    <row r="299" spans="5:215" x14ac:dyDescent="0.35">
      <c r="E299" t="s">
        <v>306</v>
      </c>
      <c r="J299" t="s">
        <v>306</v>
      </c>
      <c r="O299" t="s">
        <v>306</v>
      </c>
      <c r="T299" t="s">
        <v>306</v>
      </c>
      <c r="U299" t="s">
        <v>856</v>
      </c>
      <c r="V299">
        <v>4141040</v>
      </c>
      <c r="W299" t="s">
        <v>346</v>
      </c>
      <c r="X299">
        <v>0</v>
      </c>
      <c r="Y299" t="s">
        <v>313</v>
      </c>
      <c r="AD299" t="s">
        <v>306</v>
      </c>
      <c r="AI299" t="s">
        <v>306</v>
      </c>
      <c r="AN299" t="s">
        <v>306</v>
      </c>
      <c r="AS299" t="s">
        <v>306</v>
      </c>
      <c r="AX299" t="s">
        <v>306</v>
      </c>
      <c r="BC299" t="s">
        <v>306</v>
      </c>
      <c r="BD299" t="s">
        <v>1483</v>
      </c>
      <c r="BE299">
        <v>110956</v>
      </c>
      <c r="BF299" t="s">
        <v>346</v>
      </c>
      <c r="BG299">
        <v>0</v>
      </c>
      <c r="BH299" t="s">
        <v>53</v>
      </c>
      <c r="BM299" t="s">
        <v>306</v>
      </c>
      <c r="BN299" t="s">
        <v>1040</v>
      </c>
      <c r="BO299">
        <v>4232927</v>
      </c>
      <c r="BP299" t="s">
        <v>346</v>
      </c>
      <c r="BQ299">
        <v>0</v>
      </c>
      <c r="BR299" t="s">
        <v>323</v>
      </c>
      <c r="BS299" t="s">
        <v>859</v>
      </c>
      <c r="BT299">
        <v>4049161</v>
      </c>
      <c r="BU299" t="s">
        <v>346</v>
      </c>
      <c r="BV299">
        <v>0</v>
      </c>
      <c r="BW299" t="s">
        <v>53</v>
      </c>
      <c r="BX299" t="s">
        <v>856</v>
      </c>
      <c r="BY299">
        <v>4141040</v>
      </c>
      <c r="BZ299" t="s">
        <v>346</v>
      </c>
      <c r="CA299">
        <v>0</v>
      </c>
      <c r="CB299" t="s">
        <v>313</v>
      </c>
      <c r="CC299" t="s">
        <v>1758</v>
      </c>
      <c r="CD299">
        <v>4291208</v>
      </c>
      <c r="CE299" t="s">
        <v>364</v>
      </c>
      <c r="CF299">
        <v>0</v>
      </c>
      <c r="CG299" t="s">
        <v>114</v>
      </c>
      <c r="CL299" t="s">
        <v>306</v>
      </c>
      <c r="CM299" t="s">
        <v>2025</v>
      </c>
      <c r="CN299">
        <v>4320117</v>
      </c>
      <c r="CO299" t="s">
        <v>346</v>
      </c>
      <c r="CP299">
        <v>0</v>
      </c>
      <c r="CQ299" t="s">
        <v>53</v>
      </c>
      <c r="CV299" t="s">
        <v>306</v>
      </c>
      <c r="DA299" t="s">
        <v>306</v>
      </c>
      <c r="DB299" t="s">
        <v>1483</v>
      </c>
      <c r="DC299">
        <v>110956</v>
      </c>
      <c r="DD299" t="s">
        <v>346</v>
      </c>
      <c r="DE299">
        <v>0</v>
      </c>
      <c r="DF299" t="s">
        <v>53</v>
      </c>
      <c r="DK299" t="s">
        <v>306</v>
      </c>
      <c r="DL299" t="s">
        <v>1483</v>
      </c>
      <c r="DM299">
        <v>110956</v>
      </c>
      <c r="DN299" t="s">
        <v>346</v>
      </c>
      <c r="DO299">
        <v>0</v>
      </c>
      <c r="DP299" t="s">
        <v>53</v>
      </c>
      <c r="DU299" t="s">
        <v>306</v>
      </c>
      <c r="DZ299" t="s">
        <v>306</v>
      </c>
      <c r="EA299" t="s">
        <v>1758</v>
      </c>
      <c r="EB299">
        <v>4291208</v>
      </c>
      <c r="EC299" t="s">
        <v>364</v>
      </c>
      <c r="ED299">
        <v>0</v>
      </c>
      <c r="EE299" t="s">
        <v>114</v>
      </c>
      <c r="EF299" t="s">
        <v>1483</v>
      </c>
      <c r="EG299">
        <v>110956</v>
      </c>
      <c r="EH299" t="s">
        <v>346</v>
      </c>
      <c r="EI299">
        <v>0</v>
      </c>
      <c r="EJ299" t="s">
        <v>53</v>
      </c>
      <c r="EO299" t="s">
        <v>306</v>
      </c>
      <c r="ET299" t="s">
        <v>306</v>
      </c>
      <c r="EY299" t="s">
        <v>306</v>
      </c>
      <c r="FD299" t="s">
        <v>306</v>
      </c>
      <c r="FI299" t="s">
        <v>306</v>
      </c>
      <c r="FN299" t="s">
        <v>306</v>
      </c>
      <c r="FS299" t="s">
        <v>306</v>
      </c>
      <c r="FX299" t="s">
        <v>306</v>
      </c>
      <c r="FY299" t="s">
        <v>1483</v>
      </c>
      <c r="FZ299">
        <v>110956</v>
      </c>
      <c r="GA299" t="s">
        <v>346</v>
      </c>
      <c r="GB299">
        <v>0</v>
      </c>
      <c r="GC299" t="s">
        <v>53</v>
      </c>
      <c r="GH299" t="s">
        <v>306</v>
      </c>
      <c r="GM299" t="s">
        <v>306</v>
      </c>
      <c r="GR299" t="s">
        <v>306</v>
      </c>
      <c r="GS299" t="s">
        <v>1040</v>
      </c>
      <c r="GT299">
        <v>4232927</v>
      </c>
      <c r="GU299" t="s">
        <v>346</v>
      </c>
      <c r="GV299">
        <v>0</v>
      </c>
      <c r="GW299" t="s">
        <v>323</v>
      </c>
      <c r="GX299" t="s">
        <v>1758</v>
      </c>
      <c r="GY299">
        <v>4291208</v>
      </c>
      <c r="GZ299" t="s">
        <v>364</v>
      </c>
      <c r="HA299">
        <v>0</v>
      </c>
      <c r="HB299" t="s">
        <v>114</v>
      </c>
      <c r="HG299" t="s">
        <v>306</v>
      </c>
    </row>
    <row r="300" spans="5:215" x14ac:dyDescent="0.35">
      <c r="E300" t="s">
        <v>306</v>
      </c>
      <c r="J300" t="s">
        <v>306</v>
      </c>
      <c r="O300" t="s">
        <v>306</v>
      </c>
      <c r="T300" t="s">
        <v>306</v>
      </c>
      <c r="U300" t="s">
        <v>857</v>
      </c>
      <c r="V300">
        <v>4262519</v>
      </c>
      <c r="W300" t="s">
        <v>346</v>
      </c>
      <c r="X300">
        <v>0</v>
      </c>
      <c r="Y300" t="s">
        <v>53</v>
      </c>
      <c r="AD300" t="s">
        <v>306</v>
      </c>
      <c r="AI300" t="s">
        <v>306</v>
      </c>
      <c r="AN300" t="s">
        <v>306</v>
      </c>
      <c r="AS300" t="s">
        <v>306</v>
      </c>
      <c r="AX300" t="s">
        <v>306</v>
      </c>
      <c r="BC300" t="s">
        <v>306</v>
      </c>
      <c r="BD300" t="s">
        <v>1287</v>
      </c>
      <c r="BE300">
        <v>6727027</v>
      </c>
      <c r="BF300" t="s">
        <v>346</v>
      </c>
      <c r="BG300">
        <v>0</v>
      </c>
      <c r="BH300" t="s">
        <v>62</v>
      </c>
      <c r="BM300" t="s">
        <v>306</v>
      </c>
      <c r="BN300" t="s">
        <v>890</v>
      </c>
      <c r="BO300">
        <v>4260136</v>
      </c>
      <c r="BP300" t="s">
        <v>346</v>
      </c>
      <c r="BQ300">
        <v>0</v>
      </c>
      <c r="BR300" t="s">
        <v>317</v>
      </c>
      <c r="BS300" t="s">
        <v>1014</v>
      </c>
      <c r="BT300">
        <v>5886333</v>
      </c>
      <c r="BU300" t="s">
        <v>346</v>
      </c>
      <c r="BV300">
        <v>0</v>
      </c>
      <c r="BW300" t="s">
        <v>320</v>
      </c>
      <c r="BX300" t="s">
        <v>857</v>
      </c>
      <c r="BY300">
        <v>4262519</v>
      </c>
      <c r="BZ300" t="s">
        <v>346</v>
      </c>
      <c r="CA300">
        <v>0</v>
      </c>
      <c r="CB300" t="s">
        <v>53</v>
      </c>
      <c r="CC300" t="s">
        <v>1759</v>
      </c>
      <c r="CD300">
        <v>19760305</v>
      </c>
      <c r="CE300" t="s">
        <v>346</v>
      </c>
      <c r="CF300">
        <v>0</v>
      </c>
      <c r="CG300" t="s">
        <v>114</v>
      </c>
      <c r="CL300" t="s">
        <v>306</v>
      </c>
      <c r="CM300" t="s">
        <v>2026</v>
      </c>
      <c r="CN300">
        <v>110322</v>
      </c>
      <c r="CO300" t="s">
        <v>346</v>
      </c>
      <c r="CP300">
        <v>0</v>
      </c>
      <c r="CQ300" t="s">
        <v>53</v>
      </c>
      <c r="CV300" t="s">
        <v>306</v>
      </c>
      <c r="DA300" t="s">
        <v>306</v>
      </c>
      <c r="DB300" t="s">
        <v>1287</v>
      </c>
      <c r="DC300">
        <v>6727027</v>
      </c>
      <c r="DD300" t="s">
        <v>346</v>
      </c>
      <c r="DE300">
        <v>0</v>
      </c>
      <c r="DF300" t="s">
        <v>62</v>
      </c>
      <c r="DK300" t="s">
        <v>306</v>
      </c>
      <c r="DL300" t="s">
        <v>1287</v>
      </c>
      <c r="DM300">
        <v>6727027</v>
      </c>
      <c r="DN300" t="s">
        <v>346</v>
      </c>
      <c r="DO300">
        <v>0</v>
      </c>
      <c r="DP300" t="s">
        <v>62</v>
      </c>
      <c r="DU300" t="s">
        <v>306</v>
      </c>
      <c r="DZ300" t="s">
        <v>306</v>
      </c>
      <c r="EA300" t="s">
        <v>1759</v>
      </c>
      <c r="EB300">
        <v>19760305</v>
      </c>
      <c r="EC300" t="s">
        <v>346</v>
      </c>
      <c r="ED300">
        <v>0</v>
      </c>
      <c r="EE300" t="s">
        <v>114</v>
      </c>
      <c r="EF300" t="s">
        <v>1287</v>
      </c>
      <c r="EG300">
        <v>6727027</v>
      </c>
      <c r="EH300" t="s">
        <v>346</v>
      </c>
      <c r="EI300">
        <v>0</v>
      </c>
      <c r="EJ300" t="s">
        <v>62</v>
      </c>
      <c r="EO300" t="s">
        <v>306</v>
      </c>
      <c r="ET300" t="s">
        <v>306</v>
      </c>
      <c r="EY300" t="s">
        <v>306</v>
      </c>
      <c r="FD300" t="s">
        <v>306</v>
      </c>
      <c r="FI300" t="s">
        <v>306</v>
      </c>
      <c r="FN300" t="s">
        <v>306</v>
      </c>
      <c r="FS300" t="s">
        <v>306</v>
      </c>
      <c r="FX300" t="s">
        <v>306</v>
      </c>
      <c r="FY300" t="s">
        <v>1287</v>
      </c>
      <c r="FZ300">
        <v>6727027</v>
      </c>
      <c r="GA300" t="s">
        <v>346</v>
      </c>
      <c r="GB300">
        <v>0</v>
      </c>
      <c r="GC300" t="s">
        <v>62</v>
      </c>
      <c r="GH300" t="s">
        <v>306</v>
      </c>
      <c r="GM300" t="s">
        <v>306</v>
      </c>
      <c r="GR300" t="s">
        <v>306</v>
      </c>
      <c r="GS300" t="s">
        <v>890</v>
      </c>
      <c r="GT300">
        <v>4260136</v>
      </c>
      <c r="GU300" t="s">
        <v>346</v>
      </c>
      <c r="GV300">
        <v>0</v>
      </c>
      <c r="GW300" t="s">
        <v>317</v>
      </c>
      <c r="GX300" t="s">
        <v>1759</v>
      </c>
      <c r="GY300">
        <v>19760305</v>
      </c>
      <c r="GZ300" t="s">
        <v>346</v>
      </c>
      <c r="HA300">
        <v>0</v>
      </c>
      <c r="HB300" t="s">
        <v>114</v>
      </c>
      <c r="HG300" t="s">
        <v>306</v>
      </c>
    </row>
    <row r="301" spans="5:215" x14ac:dyDescent="0.35">
      <c r="E301" t="s">
        <v>306</v>
      </c>
      <c r="J301" t="s">
        <v>306</v>
      </c>
      <c r="O301" t="s">
        <v>306</v>
      </c>
      <c r="T301" t="s">
        <v>306</v>
      </c>
      <c r="U301" t="s">
        <v>602</v>
      </c>
      <c r="V301">
        <v>4378744</v>
      </c>
      <c r="W301" t="s">
        <v>346</v>
      </c>
      <c r="X301">
        <v>0</v>
      </c>
      <c r="Y301" t="s">
        <v>2187</v>
      </c>
      <c r="AD301" t="s">
        <v>306</v>
      </c>
      <c r="AI301" t="s">
        <v>306</v>
      </c>
      <c r="AN301" t="s">
        <v>306</v>
      </c>
      <c r="AS301" t="s">
        <v>306</v>
      </c>
      <c r="AX301" t="s">
        <v>306</v>
      </c>
      <c r="BC301" t="s">
        <v>306</v>
      </c>
      <c r="BD301" t="s">
        <v>1347</v>
      </c>
      <c r="BE301">
        <v>4225263</v>
      </c>
      <c r="BF301" t="s">
        <v>346</v>
      </c>
      <c r="BG301">
        <v>0</v>
      </c>
      <c r="BH301" t="s">
        <v>62</v>
      </c>
      <c r="BM301" t="s">
        <v>306</v>
      </c>
      <c r="BN301" t="s">
        <v>605</v>
      </c>
      <c r="BO301">
        <v>111489</v>
      </c>
      <c r="BP301" t="s">
        <v>346</v>
      </c>
      <c r="BQ301">
        <v>0</v>
      </c>
      <c r="BR301" t="s">
        <v>53</v>
      </c>
      <c r="BS301" t="s">
        <v>1015</v>
      </c>
      <c r="BT301">
        <v>4135174</v>
      </c>
      <c r="BU301" t="s">
        <v>364</v>
      </c>
      <c r="BV301">
        <v>0</v>
      </c>
      <c r="BW301" t="s">
        <v>313</v>
      </c>
      <c r="BX301" t="s">
        <v>602</v>
      </c>
      <c r="BY301">
        <v>4378744</v>
      </c>
      <c r="BZ301" t="s">
        <v>346</v>
      </c>
      <c r="CA301">
        <v>0</v>
      </c>
      <c r="CB301" t="s">
        <v>2187</v>
      </c>
      <c r="CC301" t="s">
        <v>1760</v>
      </c>
      <c r="CD301">
        <v>118324063</v>
      </c>
      <c r="CE301" t="s">
        <v>346</v>
      </c>
      <c r="CF301">
        <v>0</v>
      </c>
      <c r="CG301" t="s">
        <v>114</v>
      </c>
      <c r="CL301" t="s">
        <v>306</v>
      </c>
      <c r="CM301" t="s">
        <v>1344</v>
      </c>
      <c r="CN301">
        <v>124019115</v>
      </c>
      <c r="CO301" t="s">
        <v>346</v>
      </c>
      <c r="CP301">
        <v>0</v>
      </c>
      <c r="CQ301" t="s">
        <v>62</v>
      </c>
      <c r="CV301" t="s">
        <v>306</v>
      </c>
      <c r="DA301" t="s">
        <v>306</v>
      </c>
      <c r="DB301" t="s">
        <v>1347</v>
      </c>
      <c r="DC301">
        <v>4225263</v>
      </c>
      <c r="DD301" t="s">
        <v>346</v>
      </c>
      <c r="DE301">
        <v>0</v>
      </c>
      <c r="DF301" t="s">
        <v>62</v>
      </c>
      <c r="DK301" t="s">
        <v>306</v>
      </c>
      <c r="DL301" t="s">
        <v>1347</v>
      </c>
      <c r="DM301">
        <v>4225263</v>
      </c>
      <c r="DN301" t="s">
        <v>346</v>
      </c>
      <c r="DO301">
        <v>0</v>
      </c>
      <c r="DP301" t="s">
        <v>62</v>
      </c>
      <c r="DU301" t="s">
        <v>306</v>
      </c>
      <c r="DZ301" t="s">
        <v>306</v>
      </c>
      <c r="EA301" t="s">
        <v>1760</v>
      </c>
      <c r="EB301">
        <v>118324063</v>
      </c>
      <c r="EC301" t="s">
        <v>346</v>
      </c>
      <c r="ED301">
        <v>0</v>
      </c>
      <c r="EE301" t="s">
        <v>114</v>
      </c>
      <c r="EF301" t="s">
        <v>1347</v>
      </c>
      <c r="EG301">
        <v>4225263</v>
      </c>
      <c r="EH301" t="s">
        <v>346</v>
      </c>
      <c r="EI301">
        <v>0</v>
      </c>
      <c r="EJ301" t="s">
        <v>62</v>
      </c>
      <c r="EO301" t="s">
        <v>306</v>
      </c>
      <c r="ET301" t="s">
        <v>306</v>
      </c>
      <c r="EY301" t="s">
        <v>306</v>
      </c>
      <c r="FD301" t="s">
        <v>306</v>
      </c>
      <c r="FI301" t="s">
        <v>306</v>
      </c>
      <c r="FN301" t="s">
        <v>306</v>
      </c>
      <c r="FS301" t="s">
        <v>306</v>
      </c>
      <c r="FX301" t="s">
        <v>306</v>
      </c>
      <c r="FY301" t="s">
        <v>1347</v>
      </c>
      <c r="FZ301">
        <v>4225263</v>
      </c>
      <c r="GA301" t="s">
        <v>346</v>
      </c>
      <c r="GB301">
        <v>0</v>
      </c>
      <c r="GC301" t="s">
        <v>62</v>
      </c>
      <c r="GH301" t="s">
        <v>306</v>
      </c>
      <c r="GM301" t="s">
        <v>306</v>
      </c>
      <c r="GR301" t="s">
        <v>306</v>
      </c>
      <c r="GS301" t="s">
        <v>605</v>
      </c>
      <c r="GT301">
        <v>111489</v>
      </c>
      <c r="GU301" t="s">
        <v>346</v>
      </c>
      <c r="GV301">
        <v>0</v>
      </c>
      <c r="GW301" t="s">
        <v>53</v>
      </c>
      <c r="GX301" t="s">
        <v>1760</v>
      </c>
      <c r="GY301">
        <v>118324063</v>
      </c>
      <c r="GZ301" t="s">
        <v>346</v>
      </c>
      <c r="HA301">
        <v>0</v>
      </c>
      <c r="HB301" t="s">
        <v>114</v>
      </c>
      <c r="HG301" t="s">
        <v>306</v>
      </c>
    </row>
    <row r="302" spans="5:215" x14ac:dyDescent="0.35">
      <c r="E302" t="s">
        <v>306</v>
      </c>
      <c r="J302" t="s">
        <v>306</v>
      </c>
      <c r="O302" t="s">
        <v>306</v>
      </c>
      <c r="T302" t="s">
        <v>306</v>
      </c>
      <c r="U302" t="s">
        <v>589</v>
      </c>
      <c r="V302">
        <v>4140617</v>
      </c>
      <c r="W302" t="s">
        <v>346</v>
      </c>
      <c r="X302">
        <v>0</v>
      </c>
      <c r="Y302" t="s">
        <v>320</v>
      </c>
      <c r="AD302" t="s">
        <v>306</v>
      </c>
      <c r="AI302" t="s">
        <v>306</v>
      </c>
      <c r="AN302" t="s">
        <v>306</v>
      </c>
      <c r="AS302" t="s">
        <v>306</v>
      </c>
      <c r="AX302" t="s">
        <v>306</v>
      </c>
      <c r="BC302" t="s">
        <v>306</v>
      </c>
      <c r="BD302" t="s">
        <v>1484</v>
      </c>
      <c r="BE302">
        <v>5813975</v>
      </c>
      <c r="BF302" t="s">
        <v>346</v>
      </c>
      <c r="BG302">
        <v>0</v>
      </c>
      <c r="BH302" t="s">
        <v>313</v>
      </c>
      <c r="BM302" t="s">
        <v>306</v>
      </c>
      <c r="BN302" t="s">
        <v>914</v>
      </c>
      <c r="BO302">
        <v>4772536</v>
      </c>
      <c r="BP302" t="s">
        <v>346</v>
      </c>
      <c r="BQ302">
        <v>0</v>
      </c>
      <c r="BR302" t="s">
        <v>50</v>
      </c>
      <c r="BS302" t="s">
        <v>850</v>
      </c>
      <c r="BT302">
        <v>5853751</v>
      </c>
      <c r="BU302" t="s">
        <v>346</v>
      </c>
      <c r="BV302">
        <v>0</v>
      </c>
      <c r="BW302" t="s">
        <v>50</v>
      </c>
      <c r="BX302" t="s">
        <v>589</v>
      </c>
      <c r="BY302">
        <v>4140617</v>
      </c>
      <c r="BZ302" t="s">
        <v>346</v>
      </c>
      <c r="CA302">
        <v>0</v>
      </c>
      <c r="CB302" t="s">
        <v>320</v>
      </c>
      <c r="CC302" t="s">
        <v>1761</v>
      </c>
      <c r="CD302">
        <v>110979</v>
      </c>
      <c r="CE302" t="s">
        <v>346</v>
      </c>
      <c r="CF302">
        <v>0</v>
      </c>
      <c r="CG302" t="s">
        <v>53</v>
      </c>
      <c r="CL302" t="s">
        <v>306</v>
      </c>
      <c r="CM302" t="s">
        <v>1324</v>
      </c>
      <c r="CN302">
        <v>4234580</v>
      </c>
      <c r="CO302" t="s">
        <v>364</v>
      </c>
      <c r="CP302">
        <v>0</v>
      </c>
      <c r="CQ302" t="s">
        <v>62</v>
      </c>
      <c r="CV302" t="s">
        <v>306</v>
      </c>
      <c r="DA302" t="s">
        <v>306</v>
      </c>
      <c r="DB302" t="s">
        <v>1484</v>
      </c>
      <c r="DC302">
        <v>5813975</v>
      </c>
      <c r="DD302" t="s">
        <v>346</v>
      </c>
      <c r="DE302">
        <v>0</v>
      </c>
      <c r="DF302" t="s">
        <v>313</v>
      </c>
      <c r="DK302" t="s">
        <v>306</v>
      </c>
      <c r="DL302" t="s">
        <v>1484</v>
      </c>
      <c r="DM302">
        <v>5813975</v>
      </c>
      <c r="DN302" t="s">
        <v>346</v>
      </c>
      <c r="DO302">
        <v>0</v>
      </c>
      <c r="DP302" t="s">
        <v>313</v>
      </c>
      <c r="DU302" t="s">
        <v>306</v>
      </c>
      <c r="DZ302" t="s">
        <v>306</v>
      </c>
      <c r="EA302" t="s">
        <v>1761</v>
      </c>
      <c r="EB302">
        <v>110979</v>
      </c>
      <c r="EC302" t="s">
        <v>346</v>
      </c>
      <c r="ED302">
        <v>0</v>
      </c>
      <c r="EE302" t="s">
        <v>53</v>
      </c>
      <c r="EF302" t="s">
        <v>1484</v>
      </c>
      <c r="EG302">
        <v>5813975</v>
      </c>
      <c r="EH302" t="s">
        <v>346</v>
      </c>
      <c r="EI302">
        <v>0</v>
      </c>
      <c r="EJ302" t="s">
        <v>313</v>
      </c>
      <c r="EO302" t="s">
        <v>306</v>
      </c>
      <c r="ET302" t="s">
        <v>306</v>
      </c>
      <c r="EY302" t="s">
        <v>306</v>
      </c>
      <c r="FD302" t="s">
        <v>306</v>
      </c>
      <c r="FI302" t="s">
        <v>306</v>
      </c>
      <c r="FN302" t="s">
        <v>306</v>
      </c>
      <c r="FS302" t="s">
        <v>306</v>
      </c>
      <c r="FX302" t="s">
        <v>306</v>
      </c>
      <c r="FY302" t="s">
        <v>1484</v>
      </c>
      <c r="FZ302">
        <v>5813975</v>
      </c>
      <c r="GA302" t="s">
        <v>346</v>
      </c>
      <c r="GB302">
        <v>0</v>
      </c>
      <c r="GC302" t="s">
        <v>313</v>
      </c>
      <c r="GH302" t="s">
        <v>306</v>
      </c>
      <c r="GM302" t="s">
        <v>306</v>
      </c>
      <c r="GR302" t="s">
        <v>306</v>
      </c>
      <c r="GS302" t="s">
        <v>914</v>
      </c>
      <c r="GT302">
        <v>4772536</v>
      </c>
      <c r="GU302" t="s">
        <v>346</v>
      </c>
      <c r="GV302">
        <v>0</v>
      </c>
      <c r="GW302" t="s">
        <v>50</v>
      </c>
      <c r="GX302" t="s">
        <v>1761</v>
      </c>
      <c r="GY302">
        <v>110979</v>
      </c>
      <c r="GZ302" t="s">
        <v>346</v>
      </c>
      <c r="HA302">
        <v>0</v>
      </c>
      <c r="HB302" t="s">
        <v>53</v>
      </c>
      <c r="HG302" t="s">
        <v>306</v>
      </c>
    </row>
    <row r="303" spans="5:215" x14ac:dyDescent="0.35">
      <c r="E303" t="s">
        <v>306</v>
      </c>
      <c r="J303" t="s">
        <v>306</v>
      </c>
      <c r="O303" t="s">
        <v>306</v>
      </c>
      <c r="T303" t="s">
        <v>306</v>
      </c>
      <c r="U303" t="s">
        <v>858</v>
      </c>
      <c r="V303">
        <v>123879915</v>
      </c>
      <c r="W303" t="s">
        <v>346</v>
      </c>
      <c r="X303">
        <v>0</v>
      </c>
      <c r="Y303" t="s">
        <v>306</v>
      </c>
      <c r="AD303" t="s">
        <v>306</v>
      </c>
      <c r="AI303" t="s">
        <v>306</v>
      </c>
      <c r="AN303" t="s">
        <v>306</v>
      </c>
      <c r="AS303" t="s">
        <v>306</v>
      </c>
      <c r="AX303" t="s">
        <v>306</v>
      </c>
      <c r="BC303" t="s">
        <v>306</v>
      </c>
      <c r="BD303" t="s">
        <v>526</v>
      </c>
      <c r="BE303">
        <v>4248288</v>
      </c>
      <c r="BF303" t="s">
        <v>346</v>
      </c>
      <c r="BG303">
        <v>0</v>
      </c>
      <c r="BH303" t="s">
        <v>80</v>
      </c>
      <c r="BM303" t="s">
        <v>306</v>
      </c>
      <c r="BN303" t="s">
        <v>1045</v>
      </c>
      <c r="BO303">
        <v>5776820</v>
      </c>
      <c r="BP303" t="s">
        <v>346</v>
      </c>
      <c r="BQ303">
        <v>0</v>
      </c>
      <c r="BR303" t="s">
        <v>2193</v>
      </c>
      <c r="BS303" t="s">
        <v>884</v>
      </c>
      <c r="BT303">
        <v>4281837</v>
      </c>
      <c r="BU303" t="s">
        <v>346</v>
      </c>
      <c r="BV303">
        <v>0</v>
      </c>
      <c r="BW303" t="s">
        <v>2191</v>
      </c>
      <c r="BX303" t="s">
        <v>858</v>
      </c>
      <c r="BY303">
        <v>123879915</v>
      </c>
      <c r="BZ303" t="s">
        <v>346</v>
      </c>
      <c r="CA303">
        <v>0</v>
      </c>
      <c r="CB303" t="s">
        <v>306</v>
      </c>
      <c r="CC303" t="s">
        <v>597</v>
      </c>
      <c r="CD303">
        <v>4654230</v>
      </c>
      <c r="CE303" t="s">
        <v>346</v>
      </c>
      <c r="CF303">
        <v>0</v>
      </c>
      <c r="CG303" t="s">
        <v>125</v>
      </c>
      <c r="CL303" t="s">
        <v>306</v>
      </c>
      <c r="CM303" t="s">
        <v>1284</v>
      </c>
      <c r="CN303">
        <v>4235022</v>
      </c>
      <c r="CO303" t="s">
        <v>346</v>
      </c>
      <c r="CP303">
        <v>0</v>
      </c>
      <c r="CQ303" t="s">
        <v>62</v>
      </c>
      <c r="CV303" t="s">
        <v>306</v>
      </c>
      <c r="DA303" t="s">
        <v>306</v>
      </c>
      <c r="DB303" t="s">
        <v>526</v>
      </c>
      <c r="DC303">
        <v>4248288</v>
      </c>
      <c r="DD303" t="s">
        <v>346</v>
      </c>
      <c r="DE303">
        <v>0</v>
      </c>
      <c r="DF303" t="s">
        <v>80</v>
      </c>
      <c r="DK303" t="s">
        <v>306</v>
      </c>
      <c r="DL303" t="s">
        <v>526</v>
      </c>
      <c r="DM303">
        <v>4248288</v>
      </c>
      <c r="DN303" t="s">
        <v>346</v>
      </c>
      <c r="DO303">
        <v>0</v>
      </c>
      <c r="DP303" t="s">
        <v>80</v>
      </c>
      <c r="DU303" t="s">
        <v>306</v>
      </c>
      <c r="DZ303" t="s">
        <v>306</v>
      </c>
      <c r="EA303" t="s">
        <v>597</v>
      </c>
      <c r="EB303">
        <v>4654230</v>
      </c>
      <c r="EC303" t="s">
        <v>346</v>
      </c>
      <c r="ED303">
        <v>0</v>
      </c>
      <c r="EE303" t="s">
        <v>125</v>
      </c>
      <c r="EF303" t="s">
        <v>526</v>
      </c>
      <c r="EG303">
        <v>4248288</v>
      </c>
      <c r="EH303" t="s">
        <v>346</v>
      </c>
      <c r="EI303">
        <v>0</v>
      </c>
      <c r="EJ303" t="s">
        <v>80</v>
      </c>
      <c r="EO303" t="s">
        <v>306</v>
      </c>
      <c r="ET303" t="s">
        <v>306</v>
      </c>
      <c r="EY303" t="s">
        <v>306</v>
      </c>
      <c r="FD303" t="s">
        <v>306</v>
      </c>
      <c r="FI303" t="s">
        <v>306</v>
      </c>
      <c r="FN303" t="s">
        <v>306</v>
      </c>
      <c r="FS303" t="s">
        <v>306</v>
      </c>
      <c r="FX303" t="s">
        <v>306</v>
      </c>
      <c r="FY303" t="s">
        <v>526</v>
      </c>
      <c r="FZ303">
        <v>4248288</v>
      </c>
      <c r="GA303" t="s">
        <v>346</v>
      </c>
      <c r="GB303">
        <v>0</v>
      </c>
      <c r="GC303" t="s">
        <v>80</v>
      </c>
      <c r="GH303" t="s">
        <v>306</v>
      </c>
      <c r="GM303" t="s">
        <v>306</v>
      </c>
      <c r="GR303" t="s">
        <v>306</v>
      </c>
      <c r="GS303" t="s">
        <v>1045</v>
      </c>
      <c r="GT303">
        <v>5776820</v>
      </c>
      <c r="GU303" t="s">
        <v>346</v>
      </c>
      <c r="GV303">
        <v>0</v>
      </c>
      <c r="GW303" t="s">
        <v>2193</v>
      </c>
      <c r="GX303" t="s">
        <v>597</v>
      </c>
      <c r="GY303">
        <v>4654230</v>
      </c>
      <c r="GZ303" t="s">
        <v>346</v>
      </c>
      <c r="HA303">
        <v>0</v>
      </c>
      <c r="HB303" t="s">
        <v>125</v>
      </c>
      <c r="HG303" t="s">
        <v>306</v>
      </c>
    </row>
    <row r="304" spans="5:215" x14ac:dyDescent="0.35">
      <c r="E304" t="s">
        <v>306</v>
      </c>
      <c r="J304" t="s">
        <v>306</v>
      </c>
      <c r="O304" t="s">
        <v>306</v>
      </c>
      <c r="T304" t="s">
        <v>306</v>
      </c>
      <c r="U304" t="s">
        <v>859</v>
      </c>
      <c r="V304">
        <v>4049161</v>
      </c>
      <c r="W304" t="s">
        <v>346</v>
      </c>
      <c r="X304">
        <v>0</v>
      </c>
      <c r="Y304" t="s">
        <v>53</v>
      </c>
      <c r="AD304" t="s">
        <v>306</v>
      </c>
      <c r="AI304" t="s">
        <v>306</v>
      </c>
      <c r="AN304" t="s">
        <v>306</v>
      </c>
      <c r="AS304" t="s">
        <v>306</v>
      </c>
      <c r="AX304" t="s">
        <v>306</v>
      </c>
      <c r="BC304" t="s">
        <v>306</v>
      </c>
      <c r="BD304" t="s">
        <v>679</v>
      </c>
      <c r="BE304">
        <v>4138221</v>
      </c>
      <c r="BF304" t="s">
        <v>346</v>
      </c>
      <c r="BG304">
        <v>0</v>
      </c>
      <c r="BH304" t="s">
        <v>50</v>
      </c>
      <c r="BM304" t="s">
        <v>306</v>
      </c>
      <c r="BN304" t="s">
        <v>606</v>
      </c>
      <c r="BO304">
        <v>10346719</v>
      </c>
      <c r="BP304" t="s">
        <v>346</v>
      </c>
      <c r="BQ304">
        <v>0</v>
      </c>
      <c r="BR304" t="s">
        <v>313</v>
      </c>
      <c r="BS304" t="s">
        <v>792</v>
      </c>
      <c r="BT304">
        <v>4314602</v>
      </c>
      <c r="BU304" t="s">
        <v>346</v>
      </c>
      <c r="BV304">
        <v>0</v>
      </c>
      <c r="BW304" t="s">
        <v>2191</v>
      </c>
      <c r="BX304" t="s">
        <v>859</v>
      </c>
      <c r="BY304">
        <v>4049161</v>
      </c>
      <c r="BZ304" t="s">
        <v>346</v>
      </c>
      <c r="CA304">
        <v>0</v>
      </c>
      <c r="CB304" t="s">
        <v>53</v>
      </c>
      <c r="CC304" t="s">
        <v>1202</v>
      </c>
      <c r="CD304">
        <v>5850609</v>
      </c>
      <c r="CE304" t="s">
        <v>346</v>
      </c>
      <c r="CF304">
        <v>0</v>
      </c>
      <c r="CG304" t="s">
        <v>2185</v>
      </c>
      <c r="CL304" t="s">
        <v>306</v>
      </c>
      <c r="CM304" t="s">
        <v>2027</v>
      </c>
      <c r="CN304">
        <v>8896286</v>
      </c>
      <c r="CO304" t="s">
        <v>364</v>
      </c>
      <c r="CP304">
        <v>0</v>
      </c>
      <c r="CQ304" t="s">
        <v>114</v>
      </c>
      <c r="CV304" t="s">
        <v>306</v>
      </c>
      <c r="DA304" t="s">
        <v>306</v>
      </c>
      <c r="DB304" t="s">
        <v>679</v>
      </c>
      <c r="DC304">
        <v>4138221</v>
      </c>
      <c r="DD304" t="s">
        <v>346</v>
      </c>
      <c r="DE304">
        <v>0</v>
      </c>
      <c r="DF304" t="s">
        <v>50</v>
      </c>
      <c r="DK304" t="s">
        <v>306</v>
      </c>
      <c r="DL304" t="s">
        <v>679</v>
      </c>
      <c r="DM304">
        <v>4138221</v>
      </c>
      <c r="DN304" t="s">
        <v>346</v>
      </c>
      <c r="DO304">
        <v>0</v>
      </c>
      <c r="DP304" t="s">
        <v>50</v>
      </c>
      <c r="DU304" t="s">
        <v>306</v>
      </c>
      <c r="DZ304" t="s">
        <v>306</v>
      </c>
      <c r="EA304" t="s">
        <v>1202</v>
      </c>
      <c r="EB304">
        <v>5850609</v>
      </c>
      <c r="EC304" t="s">
        <v>346</v>
      </c>
      <c r="ED304">
        <v>0</v>
      </c>
      <c r="EE304" t="s">
        <v>2185</v>
      </c>
      <c r="EF304" t="s">
        <v>679</v>
      </c>
      <c r="EG304">
        <v>4138221</v>
      </c>
      <c r="EH304" t="s">
        <v>346</v>
      </c>
      <c r="EI304">
        <v>0</v>
      </c>
      <c r="EJ304" t="s">
        <v>50</v>
      </c>
      <c r="EO304" t="s">
        <v>306</v>
      </c>
      <c r="ET304" t="s">
        <v>306</v>
      </c>
      <c r="EY304" t="s">
        <v>306</v>
      </c>
      <c r="FD304" t="s">
        <v>306</v>
      </c>
      <c r="FI304" t="s">
        <v>306</v>
      </c>
      <c r="FN304" t="s">
        <v>306</v>
      </c>
      <c r="FS304" t="s">
        <v>306</v>
      </c>
      <c r="FX304" t="s">
        <v>306</v>
      </c>
      <c r="FY304" t="s">
        <v>679</v>
      </c>
      <c r="FZ304">
        <v>4138221</v>
      </c>
      <c r="GA304" t="s">
        <v>346</v>
      </c>
      <c r="GB304">
        <v>0</v>
      </c>
      <c r="GC304" t="s">
        <v>50</v>
      </c>
      <c r="GH304" t="s">
        <v>306</v>
      </c>
      <c r="GM304" t="s">
        <v>306</v>
      </c>
      <c r="GR304" t="s">
        <v>306</v>
      </c>
      <c r="GS304" t="s">
        <v>606</v>
      </c>
      <c r="GT304">
        <v>10346719</v>
      </c>
      <c r="GU304" t="s">
        <v>346</v>
      </c>
      <c r="GV304">
        <v>0</v>
      </c>
      <c r="GW304" t="s">
        <v>313</v>
      </c>
      <c r="GX304" t="s">
        <v>1202</v>
      </c>
      <c r="GY304">
        <v>5850609</v>
      </c>
      <c r="GZ304" t="s">
        <v>346</v>
      </c>
      <c r="HA304">
        <v>0</v>
      </c>
      <c r="HB304" t="s">
        <v>2185</v>
      </c>
      <c r="HG304" t="s">
        <v>306</v>
      </c>
    </row>
    <row r="305" spans="5:215" x14ac:dyDescent="0.35">
      <c r="E305" t="s">
        <v>306</v>
      </c>
      <c r="J305" t="s">
        <v>306</v>
      </c>
      <c r="O305" t="s">
        <v>306</v>
      </c>
      <c r="T305" t="s">
        <v>306</v>
      </c>
      <c r="U305" t="s">
        <v>860</v>
      </c>
      <c r="V305">
        <v>110879</v>
      </c>
      <c r="W305" t="s">
        <v>346</v>
      </c>
      <c r="X305">
        <v>0</v>
      </c>
      <c r="Y305" t="s">
        <v>53</v>
      </c>
      <c r="AD305" t="s">
        <v>306</v>
      </c>
      <c r="AI305" t="s">
        <v>306</v>
      </c>
      <c r="AN305" t="s">
        <v>306</v>
      </c>
      <c r="AS305" t="s">
        <v>306</v>
      </c>
      <c r="AX305" t="s">
        <v>306</v>
      </c>
      <c r="BC305" t="s">
        <v>306</v>
      </c>
      <c r="BD305" t="s">
        <v>1333</v>
      </c>
      <c r="BE305">
        <v>5871860</v>
      </c>
      <c r="BF305" t="s">
        <v>346</v>
      </c>
      <c r="BG305">
        <v>0</v>
      </c>
      <c r="BH305" t="s">
        <v>62</v>
      </c>
      <c r="BM305" t="s">
        <v>306</v>
      </c>
      <c r="BN305" t="s">
        <v>858</v>
      </c>
      <c r="BO305">
        <v>123879915</v>
      </c>
      <c r="BP305" t="s">
        <v>346</v>
      </c>
      <c r="BQ305">
        <v>0</v>
      </c>
      <c r="BR305" t="s">
        <v>306</v>
      </c>
      <c r="BS305" t="s">
        <v>894</v>
      </c>
      <c r="BT305">
        <v>4139629</v>
      </c>
      <c r="BU305" t="s">
        <v>346</v>
      </c>
      <c r="BV305">
        <v>0</v>
      </c>
      <c r="BW305" t="s">
        <v>2181</v>
      </c>
      <c r="BX305" t="s">
        <v>860</v>
      </c>
      <c r="BY305">
        <v>110879</v>
      </c>
      <c r="BZ305" t="s">
        <v>346</v>
      </c>
      <c r="CA305">
        <v>0</v>
      </c>
      <c r="CB305" t="s">
        <v>53</v>
      </c>
      <c r="CC305" t="s">
        <v>894</v>
      </c>
      <c r="CD305">
        <v>4139629</v>
      </c>
      <c r="CE305" t="s">
        <v>346</v>
      </c>
      <c r="CF305">
        <v>0</v>
      </c>
      <c r="CG305" t="s">
        <v>2181</v>
      </c>
      <c r="CL305" t="s">
        <v>306</v>
      </c>
      <c r="CM305" t="s">
        <v>2028</v>
      </c>
      <c r="CN305">
        <v>4431044</v>
      </c>
      <c r="CO305" t="s">
        <v>346</v>
      </c>
      <c r="CP305">
        <v>0</v>
      </c>
      <c r="CQ305" t="s">
        <v>53</v>
      </c>
      <c r="CV305" t="s">
        <v>306</v>
      </c>
      <c r="DA305" t="s">
        <v>306</v>
      </c>
      <c r="DB305" t="s">
        <v>1333</v>
      </c>
      <c r="DC305">
        <v>5871860</v>
      </c>
      <c r="DD305" t="s">
        <v>346</v>
      </c>
      <c r="DE305">
        <v>0</v>
      </c>
      <c r="DF305" t="s">
        <v>62</v>
      </c>
      <c r="DK305" t="s">
        <v>306</v>
      </c>
      <c r="DL305" t="s">
        <v>1333</v>
      </c>
      <c r="DM305">
        <v>5871860</v>
      </c>
      <c r="DN305" t="s">
        <v>346</v>
      </c>
      <c r="DO305">
        <v>0</v>
      </c>
      <c r="DP305" t="s">
        <v>62</v>
      </c>
      <c r="DU305" t="s">
        <v>306</v>
      </c>
      <c r="DZ305" t="s">
        <v>306</v>
      </c>
      <c r="EA305" t="s">
        <v>894</v>
      </c>
      <c r="EB305">
        <v>4139629</v>
      </c>
      <c r="EC305" t="s">
        <v>346</v>
      </c>
      <c r="ED305">
        <v>0</v>
      </c>
      <c r="EE305" t="s">
        <v>2181</v>
      </c>
      <c r="EF305" t="s">
        <v>1333</v>
      </c>
      <c r="EG305">
        <v>5871860</v>
      </c>
      <c r="EH305" t="s">
        <v>346</v>
      </c>
      <c r="EI305">
        <v>0</v>
      </c>
      <c r="EJ305" t="s">
        <v>62</v>
      </c>
      <c r="EO305" t="s">
        <v>306</v>
      </c>
      <c r="ET305" t="s">
        <v>306</v>
      </c>
      <c r="EY305" t="s">
        <v>306</v>
      </c>
      <c r="FD305" t="s">
        <v>306</v>
      </c>
      <c r="FI305" t="s">
        <v>306</v>
      </c>
      <c r="FN305" t="s">
        <v>306</v>
      </c>
      <c r="FS305" t="s">
        <v>306</v>
      </c>
      <c r="FX305" t="s">
        <v>306</v>
      </c>
      <c r="FY305" t="s">
        <v>1333</v>
      </c>
      <c r="FZ305">
        <v>5871860</v>
      </c>
      <c r="GA305" t="s">
        <v>346</v>
      </c>
      <c r="GB305">
        <v>0</v>
      </c>
      <c r="GC305" t="s">
        <v>62</v>
      </c>
      <c r="GH305" t="s">
        <v>306</v>
      </c>
      <c r="GM305" t="s">
        <v>306</v>
      </c>
      <c r="GR305" t="s">
        <v>306</v>
      </c>
      <c r="GS305" t="s">
        <v>858</v>
      </c>
      <c r="GT305">
        <v>123879915</v>
      </c>
      <c r="GU305" t="s">
        <v>346</v>
      </c>
      <c r="GV305">
        <v>0</v>
      </c>
      <c r="GW305" t="s">
        <v>306</v>
      </c>
      <c r="GX305" t="s">
        <v>894</v>
      </c>
      <c r="GY305">
        <v>4139629</v>
      </c>
      <c r="GZ305" t="s">
        <v>346</v>
      </c>
      <c r="HA305">
        <v>0</v>
      </c>
      <c r="HB305" t="s">
        <v>2181</v>
      </c>
      <c r="HG305" t="s">
        <v>306</v>
      </c>
    </row>
    <row r="306" spans="5:215" x14ac:dyDescent="0.35">
      <c r="E306" t="s">
        <v>306</v>
      </c>
      <c r="J306" t="s">
        <v>306</v>
      </c>
      <c r="O306" t="s">
        <v>306</v>
      </c>
      <c r="T306" t="s">
        <v>306</v>
      </c>
      <c r="U306" t="s">
        <v>861</v>
      </c>
      <c r="V306">
        <v>5823548</v>
      </c>
      <c r="W306" t="s">
        <v>346</v>
      </c>
      <c r="X306">
        <v>0</v>
      </c>
      <c r="Y306" t="s">
        <v>50</v>
      </c>
      <c r="AD306" t="s">
        <v>306</v>
      </c>
      <c r="AI306" t="s">
        <v>306</v>
      </c>
      <c r="AN306" t="s">
        <v>306</v>
      </c>
      <c r="AS306" t="s">
        <v>306</v>
      </c>
      <c r="AX306" t="s">
        <v>306</v>
      </c>
      <c r="BC306" t="s">
        <v>306</v>
      </c>
      <c r="BD306" t="s">
        <v>1076</v>
      </c>
      <c r="BE306">
        <v>5877271</v>
      </c>
      <c r="BF306" t="s">
        <v>346</v>
      </c>
      <c r="BG306">
        <v>0</v>
      </c>
      <c r="BH306" t="s">
        <v>62</v>
      </c>
      <c r="BM306" t="s">
        <v>306</v>
      </c>
      <c r="BN306" t="s">
        <v>1249</v>
      </c>
      <c r="BO306">
        <v>5879076</v>
      </c>
      <c r="BP306" t="s">
        <v>346</v>
      </c>
      <c r="BQ306">
        <v>0</v>
      </c>
      <c r="BR306" t="s">
        <v>50</v>
      </c>
      <c r="BS306" t="s">
        <v>1016</v>
      </c>
      <c r="BT306">
        <v>4219913</v>
      </c>
      <c r="BU306" t="s">
        <v>346</v>
      </c>
      <c r="BV306">
        <v>0</v>
      </c>
      <c r="BW306" t="s">
        <v>326</v>
      </c>
      <c r="BX306" t="s">
        <v>861</v>
      </c>
      <c r="BY306">
        <v>5823548</v>
      </c>
      <c r="BZ306" t="s">
        <v>346</v>
      </c>
      <c r="CA306">
        <v>0</v>
      </c>
      <c r="CB306" t="s">
        <v>50</v>
      </c>
      <c r="CC306" t="s">
        <v>1472</v>
      </c>
      <c r="CD306">
        <v>7357269</v>
      </c>
      <c r="CE306" t="s">
        <v>346</v>
      </c>
      <c r="CF306">
        <v>0</v>
      </c>
      <c r="CG306" t="s">
        <v>53</v>
      </c>
      <c r="CL306" t="s">
        <v>306</v>
      </c>
      <c r="CM306" t="s">
        <v>1871</v>
      </c>
      <c r="CN306">
        <v>4048290</v>
      </c>
      <c r="CO306" t="s">
        <v>276</v>
      </c>
      <c r="CP306">
        <v>0</v>
      </c>
      <c r="CQ306" t="s">
        <v>53</v>
      </c>
      <c r="CV306" t="s">
        <v>306</v>
      </c>
      <c r="DA306" t="s">
        <v>306</v>
      </c>
      <c r="DB306" t="s">
        <v>1076</v>
      </c>
      <c r="DC306">
        <v>5877271</v>
      </c>
      <c r="DD306" t="s">
        <v>346</v>
      </c>
      <c r="DE306">
        <v>0</v>
      </c>
      <c r="DF306" t="s">
        <v>62</v>
      </c>
      <c r="DK306" t="s">
        <v>306</v>
      </c>
      <c r="DL306" t="s">
        <v>1076</v>
      </c>
      <c r="DM306">
        <v>5877271</v>
      </c>
      <c r="DN306" t="s">
        <v>346</v>
      </c>
      <c r="DO306">
        <v>0</v>
      </c>
      <c r="DP306" t="s">
        <v>62</v>
      </c>
      <c r="DU306" t="s">
        <v>306</v>
      </c>
      <c r="DZ306" t="s">
        <v>306</v>
      </c>
      <c r="EA306" t="s">
        <v>1472</v>
      </c>
      <c r="EB306">
        <v>7357269</v>
      </c>
      <c r="EC306" t="s">
        <v>346</v>
      </c>
      <c r="ED306">
        <v>0</v>
      </c>
      <c r="EE306" t="s">
        <v>53</v>
      </c>
      <c r="EF306" t="s">
        <v>1076</v>
      </c>
      <c r="EG306">
        <v>5877271</v>
      </c>
      <c r="EH306" t="s">
        <v>346</v>
      </c>
      <c r="EI306">
        <v>0</v>
      </c>
      <c r="EJ306" t="s">
        <v>62</v>
      </c>
      <c r="EO306" t="s">
        <v>306</v>
      </c>
      <c r="ET306" t="s">
        <v>306</v>
      </c>
      <c r="EY306" t="s">
        <v>306</v>
      </c>
      <c r="FD306" t="s">
        <v>306</v>
      </c>
      <c r="FI306" t="s">
        <v>306</v>
      </c>
      <c r="FN306" t="s">
        <v>306</v>
      </c>
      <c r="FS306" t="s">
        <v>306</v>
      </c>
      <c r="FX306" t="s">
        <v>306</v>
      </c>
      <c r="FY306" t="s">
        <v>1076</v>
      </c>
      <c r="FZ306">
        <v>5877271</v>
      </c>
      <c r="GA306" t="s">
        <v>346</v>
      </c>
      <c r="GB306">
        <v>0</v>
      </c>
      <c r="GC306" t="s">
        <v>62</v>
      </c>
      <c r="GH306" t="s">
        <v>306</v>
      </c>
      <c r="GM306" t="s">
        <v>306</v>
      </c>
      <c r="GR306" t="s">
        <v>306</v>
      </c>
      <c r="GS306" t="s">
        <v>1249</v>
      </c>
      <c r="GT306">
        <v>5879076</v>
      </c>
      <c r="GU306" t="s">
        <v>346</v>
      </c>
      <c r="GV306">
        <v>0</v>
      </c>
      <c r="GW306" t="s">
        <v>50</v>
      </c>
      <c r="GX306" t="s">
        <v>1472</v>
      </c>
      <c r="GY306">
        <v>7357269</v>
      </c>
      <c r="GZ306" t="s">
        <v>346</v>
      </c>
      <c r="HA306">
        <v>0</v>
      </c>
      <c r="HB306" t="s">
        <v>53</v>
      </c>
      <c r="HG306" t="s">
        <v>306</v>
      </c>
    </row>
    <row r="307" spans="5:215" x14ac:dyDescent="0.35">
      <c r="E307" t="s">
        <v>306</v>
      </c>
      <c r="J307" t="s">
        <v>306</v>
      </c>
      <c r="O307" t="s">
        <v>306</v>
      </c>
      <c r="T307" t="s">
        <v>306</v>
      </c>
      <c r="U307" t="s">
        <v>576</v>
      </c>
      <c r="V307">
        <v>4672091</v>
      </c>
      <c r="W307" t="s">
        <v>300</v>
      </c>
      <c r="X307">
        <v>0</v>
      </c>
      <c r="Y307" t="s">
        <v>62</v>
      </c>
      <c r="AD307" t="s">
        <v>306</v>
      </c>
      <c r="AI307" t="s">
        <v>306</v>
      </c>
      <c r="AN307" t="s">
        <v>306</v>
      </c>
      <c r="AS307" t="s">
        <v>306</v>
      </c>
      <c r="AX307" t="s">
        <v>306</v>
      </c>
      <c r="BC307" t="s">
        <v>306</v>
      </c>
      <c r="BD307" t="s">
        <v>1485</v>
      </c>
      <c r="BE307">
        <v>4672272</v>
      </c>
      <c r="BF307" t="s">
        <v>346</v>
      </c>
      <c r="BG307">
        <v>0</v>
      </c>
      <c r="BH307" t="s">
        <v>62</v>
      </c>
      <c r="BM307" t="s">
        <v>306</v>
      </c>
      <c r="BN307" t="s">
        <v>909</v>
      </c>
      <c r="BO307">
        <v>11220187</v>
      </c>
      <c r="BP307" t="s">
        <v>346</v>
      </c>
      <c r="BQ307">
        <v>0</v>
      </c>
      <c r="BR307" t="s">
        <v>50</v>
      </c>
      <c r="BS307" t="s">
        <v>482</v>
      </c>
      <c r="BT307">
        <v>4048742</v>
      </c>
      <c r="BU307" t="s">
        <v>346</v>
      </c>
      <c r="BV307">
        <v>0</v>
      </c>
      <c r="BW307" t="s">
        <v>80</v>
      </c>
      <c r="BX307" t="s">
        <v>576</v>
      </c>
      <c r="BY307">
        <v>4672091</v>
      </c>
      <c r="BZ307" t="s">
        <v>300</v>
      </c>
      <c r="CA307">
        <v>0</v>
      </c>
      <c r="CB307" t="s">
        <v>62</v>
      </c>
      <c r="CC307" t="s">
        <v>1762</v>
      </c>
      <c r="CD307">
        <v>4217906</v>
      </c>
      <c r="CE307" t="s">
        <v>364</v>
      </c>
      <c r="CF307">
        <v>0</v>
      </c>
      <c r="CG307" t="s">
        <v>53</v>
      </c>
      <c r="CL307" t="s">
        <v>306</v>
      </c>
      <c r="CM307" t="s">
        <v>1335</v>
      </c>
      <c r="CN307">
        <v>10308257</v>
      </c>
      <c r="CO307" t="s">
        <v>364</v>
      </c>
      <c r="CP307">
        <v>0</v>
      </c>
      <c r="CQ307" t="s">
        <v>62</v>
      </c>
      <c r="CV307" t="s">
        <v>306</v>
      </c>
      <c r="DA307" t="s">
        <v>306</v>
      </c>
      <c r="DB307" t="s">
        <v>1485</v>
      </c>
      <c r="DC307">
        <v>4672272</v>
      </c>
      <c r="DD307" t="s">
        <v>346</v>
      </c>
      <c r="DE307">
        <v>0</v>
      </c>
      <c r="DF307" t="s">
        <v>62</v>
      </c>
      <c r="DK307" t="s">
        <v>306</v>
      </c>
      <c r="DL307" t="s">
        <v>1485</v>
      </c>
      <c r="DM307">
        <v>4672272</v>
      </c>
      <c r="DN307" t="s">
        <v>346</v>
      </c>
      <c r="DO307">
        <v>0</v>
      </c>
      <c r="DP307" t="s">
        <v>62</v>
      </c>
      <c r="DU307" t="s">
        <v>306</v>
      </c>
      <c r="DZ307" t="s">
        <v>306</v>
      </c>
      <c r="EA307" t="s">
        <v>1762</v>
      </c>
      <c r="EB307">
        <v>4217906</v>
      </c>
      <c r="EC307" t="s">
        <v>364</v>
      </c>
      <c r="ED307">
        <v>0</v>
      </c>
      <c r="EE307" t="s">
        <v>53</v>
      </c>
      <c r="EF307" t="s">
        <v>1485</v>
      </c>
      <c r="EG307">
        <v>4672272</v>
      </c>
      <c r="EH307" t="s">
        <v>346</v>
      </c>
      <c r="EI307">
        <v>0</v>
      </c>
      <c r="EJ307" t="s">
        <v>62</v>
      </c>
      <c r="EO307" t="s">
        <v>306</v>
      </c>
      <c r="ET307" t="s">
        <v>306</v>
      </c>
      <c r="EY307" t="s">
        <v>306</v>
      </c>
      <c r="FD307" t="s">
        <v>306</v>
      </c>
      <c r="FI307" t="s">
        <v>306</v>
      </c>
      <c r="FN307" t="s">
        <v>306</v>
      </c>
      <c r="FS307" t="s">
        <v>306</v>
      </c>
      <c r="FX307" t="s">
        <v>306</v>
      </c>
      <c r="FY307" t="s">
        <v>1485</v>
      </c>
      <c r="FZ307">
        <v>4672272</v>
      </c>
      <c r="GA307" t="s">
        <v>346</v>
      </c>
      <c r="GB307">
        <v>0</v>
      </c>
      <c r="GC307" t="s">
        <v>62</v>
      </c>
      <c r="GH307" t="s">
        <v>306</v>
      </c>
      <c r="GM307" t="s">
        <v>306</v>
      </c>
      <c r="GR307" t="s">
        <v>306</v>
      </c>
      <c r="GS307" t="s">
        <v>909</v>
      </c>
      <c r="GT307">
        <v>11220187</v>
      </c>
      <c r="GU307" t="s">
        <v>346</v>
      </c>
      <c r="GV307">
        <v>0</v>
      </c>
      <c r="GW307" t="s">
        <v>50</v>
      </c>
      <c r="GX307" t="s">
        <v>1762</v>
      </c>
      <c r="GY307">
        <v>4217906</v>
      </c>
      <c r="GZ307" t="s">
        <v>364</v>
      </c>
      <c r="HA307">
        <v>0</v>
      </c>
      <c r="HB307" t="s">
        <v>53</v>
      </c>
      <c r="HG307" t="s">
        <v>306</v>
      </c>
    </row>
    <row r="308" spans="5:215" x14ac:dyDescent="0.35">
      <c r="E308" t="s">
        <v>306</v>
      </c>
      <c r="J308" t="s">
        <v>306</v>
      </c>
      <c r="O308" t="s">
        <v>306</v>
      </c>
      <c r="T308" t="s">
        <v>306</v>
      </c>
      <c r="U308" t="s">
        <v>862</v>
      </c>
      <c r="V308">
        <v>4278931</v>
      </c>
      <c r="W308" t="s">
        <v>346</v>
      </c>
      <c r="X308">
        <v>0</v>
      </c>
      <c r="Y308" t="s">
        <v>2191</v>
      </c>
      <c r="AD308" t="s">
        <v>306</v>
      </c>
      <c r="AI308" t="s">
        <v>306</v>
      </c>
      <c r="AN308" t="s">
        <v>306</v>
      </c>
      <c r="AS308" t="s">
        <v>306</v>
      </c>
      <c r="AX308" t="s">
        <v>306</v>
      </c>
      <c r="BC308" t="s">
        <v>306</v>
      </c>
      <c r="BD308" t="s">
        <v>814</v>
      </c>
      <c r="BE308">
        <v>133018323</v>
      </c>
      <c r="BF308" t="s">
        <v>346</v>
      </c>
      <c r="BG308">
        <v>0</v>
      </c>
      <c r="BH308" t="s">
        <v>53</v>
      </c>
      <c r="BM308" t="s">
        <v>306</v>
      </c>
      <c r="BN308" t="s">
        <v>793</v>
      </c>
      <c r="BO308">
        <v>7798890</v>
      </c>
      <c r="BP308" t="s">
        <v>346</v>
      </c>
      <c r="BQ308">
        <v>0</v>
      </c>
      <c r="BR308" t="s">
        <v>50</v>
      </c>
      <c r="BS308" t="s">
        <v>1017</v>
      </c>
      <c r="BT308">
        <v>4138485</v>
      </c>
      <c r="BU308" t="s">
        <v>346</v>
      </c>
      <c r="BV308">
        <v>0</v>
      </c>
      <c r="BW308" t="s">
        <v>317</v>
      </c>
      <c r="BX308" t="s">
        <v>862</v>
      </c>
      <c r="BY308">
        <v>4278931</v>
      </c>
      <c r="BZ308" t="s">
        <v>346</v>
      </c>
      <c r="CA308">
        <v>0</v>
      </c>
      <c r="CB308" t="s">
        <v>2191</v>
      </c>
      <c r="CC308" t="s">
        <v>1763</v>
      </c>
      <c r="CD308">
        <v>5752951</v>
      </c>
      <c r="CE308" t="s">
        <v>346</v>
      </c>
      <c r="CF308">
        <v>0</v>
      </c>
      <c r="CG308" t="s">
        <v>80</v>
      </c>
      <c r="CL308" t="s">
        <v>306</v>
      </c>
      <c r="CM308" t="s">
        <v>2029</v>
      </c>
      <c r="CN308">
        <v>5803703</v>
      </c>
      <c r="CO308" t="s">
        <v>346</v>
      </c>
      <c r="CP308">
        <v>0</v>
      </c>
      <c r="CQ308" t="s">
        <v>2185</v>
      </c>
      <c r="CV308" t="s">
        <v>306</v>
      </c>
      <c r="DA308" t="s">
        <v>306</v>
      </c>
      <c r="DB308" t="s">
        <v>814</v>
      </c>
      <c r="DC308">
        <v>133018323</v>
      </c>
      <c r="DD308" t="s">
        <v>346</v>
      </c>
      <c r="DE308">
        <v>0</v>
      </c>
      <c r="DF308" t="s">
        <v>53</v>
      </c>
      <c r="DK308" t="s">
        <v>306</v>
      </c>
      <c r="DL308" t="s">
        <v>814</v>
      </c>
      <c r="DM308">
        <v>133018323</v>
      </c>
      <c r="DN308" t="s">
        <v>346</v>
      </c>
      <c r="DO308">
        <v>0</v>
      </c>
      <c r="DP308" t="s">
        <v>53</v>
      </c>
      <c r="DU308" t="s">
        <v>306</v>
      </c>
      <c r="DZ308" t="s">
        <v>306</v>
      </c>
      <c r="EA308" t="s">
        <v>1763</v>
      </c>
      <c r="EB308">
        <v>5752951</v>
      </c>
      <c r="EC308" t="s">
        <v>346</v>
      </c>
      <c r="ED308">
        <v>0</v>
      </c>
      <c r="EE308" t="s">
        <v>80</v>
      </c>
      <c r="EF308" t="s">
        <v>814</v>
      </c>
      <c r="EG308">
        <v>133018323</v>
      </c>
      <c r="EH308" t="s">
        <v>346</v>
      </c>
      <c r="EI308">
        <v>0</v>
      </c>
      <c r="EJ308" t="s">
        <v>53</v>
      </c>
      <c r="EO308" t="s">
        <v>306</v>
      </c>
      <c r="ET308" t="s">
        <v>306</v>
      </c>
      <c r="EY308" t="s">
        <v>306</v>
      </c>
      <c r="FD308" t="s">
        <v>306</v>
      </c>
      <c r="FI308" t="s">
        <v>306</v>
      </c>
      <c r="FN308" t="s">
        <v>306</v>
      </c>
      <c r="FS308" t="s">
        <v>306</v>
      </c>
      <c r="FX308" t="s">
        <v>306</v>
      </c>
      <c r="FY308" t="s">
        <v>814</v>
      </c>
      <c r="FZ308">
        <v>133018323</v>
      </c>
      <c r="GA308" t="s">
        <v>346</v>
      </c>
      <c r="GB308">
        <v>0</v>
      </c>
      <c r="GC308" t="s">
        <v>53</v>
      </c>
      <c r="GH308" t="s">
        <v>306</v>
      </c>
      <c r="GM308" t="s">
        <v>306</v>
      </c>
      <c r="GR308" t="s">
        <v>306</v>
      </c>
      <c r="GS308" t="s">
        <v>793</v>
      </c>
      <c r="GT308">
        <v>7798890</v>
      </c>
      <c r="GU308" t="s">
        <v>346</v>
      </c>
      <c r="GV308">
        <v>0</v>
      </c>
      <c r="GW308" t="s">
        <v>50</v>
      </c>
      <c r="GX308" t="s">
        <v>1763</v>
      </c>
      <c r="GY308">
        <v>5752951</v>
      </c>
      <c r="GZ308" t="s">
        <v>346</v>
      </c>
      <c r="HA308">
        <v>0</v>
      </c>
      <c r="HB308" t="s">
        <v>80</v>
      </c>
      <c r="HG308" t="s">
        <v>306</v>
      </c>
    </row>
    <row r="309" spans="5:215" x14ac:dyDescent="0.35">
      <c r="E309" t="s">
        <v>306</v>
      </c>
      <c r="J309" t="s">
        <v>306</v>
      </c>
      <c r="O309" t="s">
        <v>306</v>
      </c>
      <c r="T309" t="s">
        <v>306</v>
      </c>
      <c r="U309" t="s">
        <v>863</v>
      </c>
      <c r="V309">
        <v>4190455</v>
      </c>
      <c r="W309" t="s">
        <v>346</v>
      </c>
      <c r="X309">
        <v>0</v>
      </c>
      <c r="Y309" t="s">
        <v>2188</v>
      </c>
      <c r="AD309" t="s">
        <v>306</v>
      </c>
      <c r="AI309" t="s">
        <v>306</v>
      </c>
      <c r="AN309" t="s">
        <v>306</v>
      </c>
      <c r="AS309" t="s">
        <v>306</v>
      </c>
      <c r="AX309" t="s">
        <v>306</v>
      </c>
      <c r="BC309" t="s">
        <v>306</v>
      </c>
      <c r="BD309" t="s">
        <v>756</v>
      </c>
      <c r="BE309">
        <v>4026891</v>
      </c>
      <c r="BF309" t="s">
        <v>346</v>
      </c>
      <c r="BG309">
        <v>0</v>
      </c>
      <c r="BH309" t="s">
        <v>313</v>
      </c>
      <c r="BM309" t="s">
        <v>306</v>
      </c>
      <c r="BN309" t="s">
        <v>903</v>
      </c>
      <c r="BO309">
        <v>19241294</v>
      </c>
      <c r="BP309" t="s">
        <v>346</v>
      </c>
      <c r="BQ309">
        <v>0</v>
      </c>
      <c r="BR309" t="s">
        <v>306</v>
      </c>
      <c r="BS309" t="s">
        <v>444</v>
      </c>
      <c r="BT309">
        <v>109988</v>
      </c>
      <c r="BU309" t="s">
        <v>346</v>
      </c>
      <c r="BV309">
        <v>0</v>
      </c>
      <c r="BW309" t="s">
        <v>53</v>
      </c>
      <c r="BX309" t="s">
        <v>863</v>
      </c>
      <c r="BY309">
        <v>4190455</v>
      </c>
      <c r="BZ309" t="s">
        <v>346</v>
      </c>
      <c r="CA309">
        <v>0</v>
      </c>
      <c r="CB309" t="s">
        <v>2188</v>
      </c>
      <c r="CC309" t="s">
        <v>1764</v>
      </c>
      <c r="CD309">
        <v>12966365</v>
      </c>
      <c r="CE309" t="s">
        <v>276</v>
      </c>
      <c r="CF309">
        <v>0</v>
      </c>
      <c r="CG309" t="s">
        <v>53</v>
      </c>
      <c r="CL309" t="s">
        <v>306</v>
      </c>
      <c r="CM309" t="s">
        <v>837</v>
      </c>
      <c r="CN309">
        <v>5830179</v>
      </c>
      <c r="CO309" t="s">
        <v>346</v>
      </c>
      <c r="CP309">
        <v>0</v>
      </c>
      <c r="CQ309" t="s">
        <v>2186</v>
      </c>
      <c r="CV309" t="s">
        <v>306</v>
      </c>
      <c r="DA309" t="s">
        <v>306</v>
      </c>
      <c r="DB309" t="s">
        <v>756</v>
      </c>
      <c r="DC309">
        <v>4026891</v>
      </c>
      <c r="DD309" t="s">
        <v>346</v>
      </c>
      <c r="DE309">
        <v>0</v>
      </c>
      <c r="DF309" t="s">
        <v>313</v>
      </c>
      <c r="DK309" t="s">
        <v>306</v>
      </c>
      <c r="DL309" t="s">
        <v>756</v>
      </c>
      <c r="DM309">
        <v>4026891</v>
      </c>
      <c r="DN309" t="s">
        <v>346</v>
      </c>
      <c r="DO309">
        <v>0</v>
      </c>
      <c r="DP309" t="s">
        <v>313</v>
      </c>
      <c r="DU309" t="s">
        <v>306</v>
      </c>
      <c r="DZ309" t="s">
        <v>306</v>
      </c>
      <c r="EA309" t="s">
        <v>1764</v>
      </c>
      <c r="EB309">
        <v>12966365</v>
      </c>
      <c r="EC309" t="s">
        <v>276</v>
      </c>
      <c r="ED309">
        <v>0</v>
      </c>
      <c r="EE309" t="s">
        <v>53</v>
      </c>
      <c r="EF309" t="s">
        <v>756</v>
      </c>
      <c r="EG309">
        <v>4026891</v>
      </c>
      <c r="EH309" t="s">
        <v>346</v>
      </c>
      <c r="EI309">
        <v>0</v>
      </c>
      <c r="EJ309" t="s">
        <v>313</v>
      </c>
      <c r="EO309" t="s">
        <v>306</v>
      </c>
      <c r="ET309" t="s">
        <v>306</v>
      </c>
      <c r="EY309" t="s">
        <v>306</v>
      </c>
      <c r="FD309" t="s">
        <v>306</v>
      </c>
      <c r="FI309" t="s">
        <v>306</v>
      </c>
      <c r="FN309" t="s">
        <v>306</v>
      </c>
      <c r="FS309" t="s">
        <v>306</v>
      </c>
      <c r="FX309" t="s">
        <v>306</v>
      </c>
      <c r="FY309" t="s">
        <v>756</v>
      </c>
      <c r="FZ309">
        <v>4026891</v>
      </c>
      <c r="GA309" t="s">
        <v>346</v>
      </c>
      <c r="GB309">
        <v>0</v>
      </c>
      <c r="GC309" t="s">
        <v>313</v>
      </c>
      <c r="GH309" t="s">
        <v>306</v>
      </c>
      <c r="GM309" t="s">
        <v>306</v>
      </c>
      <c r="GR309" t="s">
        <v>306</v>
      </c>
      <c r="GS309" t="s">
        <v>903</v>
      </c>
      <c r="GT309">
        <v>19241294</v>
      </c>
      <c r="GU309" t="s">
        <v>346</v>
      </c>
      <c r="GV309">
        <v>0</v>
      </c>
      <c r="GW309" t="s">
        <v>306</v>
      </c>
      <c r="GX309" t="s">
        <v>1764</v>
      </c>
      <c r="GY309">
        <v>12966365</v>
      </c>
      <c r="GZ309" t="s">
        <v>276</v>
      </c>
      <c r="HA309">
        <v>0</v>
      </c>
      <c r="HB309" t="s">
        <v>53</v>
      </c>
      <c r="HG309" t="s">
        <v>306</v>
      </c>
    </row>
    <row r="310" spans="5:215" x14ac:dyDescent="0.35">
      <c r="E310" t="s">
        <v>306</v>
      </c>
      <c r="J310" t="s">
        <v>306</v>
      </c>
      <c r="O310" t="s">
        <v>306</v>
      </c>
      <c r="T310" t="s">
        <v>306</v>
      </c>
      <c r="U310" t="s">
        <v>864</v>
      </c>
      <c r="V310">
        <v>4345969</v>
      </c>
      <c r="W310" t="s">
        <v>346</v>
      </c>
      <c r="X310">
        <v>0</v>
      </c>
      <c r="Y310" t="s">
        <v>50</v>
      </c>
      <c r="AD310" t="s">
        <v>306</v>
      </c>
      <c r="AI310" t="s">
        <v>306</v>
      </c>
      <c r="AN310" t="s">
        <v>306</v>
      </c>
      <c r="AS310" t="s">
        <v>306</v>
      </c>
      <c r="AX310" t="s">
        <v>306</v>
      </c>
      <c r="BC310" t="s">
        <v>306</v>
      </c>
      <c r="BD310" t="s">
        <v>582</v>
      </c>
      <c r="BE310">
        <v>4119728</v>
      </c>
      <c r="BF310" t="s">
        <v>634</v>
      </c>
      <c r="BG310">
        <v>0</v>
      </c>
      <c r="BH310" t="s">
        <v>53</v>
      </c>
      <c r="BM310" t="s">
        <v>306</v>
      </c>
      <c r="BN310" t="s">
        <v>859</v>
      </c>
      <c r="BO310">
        <v>4049161</v>
      </c>
      <c r="BP310" t="s">
        <v>346</v>
      </c>
      <c r="BQ310">
        <v>0</v>
      </c>
      <c r="BR310" t="s">
        <v>53</v>
      </c>
      <c r="BS310" t="s">
        <v>460</v>
      </c>
      <c r="BT310">
        <v>4337989</v>
      </c>
      <c r="BU310" t="s">
        <v>346</v>
      </c>
      <c r="BV310">
        <v>0</v>
      </c>
      <c r="BW310" t="s">
        <v>53</v>
      </c>
      <c r="BX310" t="s">
        <v>864</v>
      </c>
      <c r="BY310">
        <v>4345969</v>
      </c>
      <c r="BZ310" t="s">
        <v>346</v>
      </c>
      <c r="CA310">
        <v>0</v>
      </c>
      <c r="CB310" t="s">
        <v>50</v>
      </c>
      <c r="CC310" t="s">
        <v>475</v>
      </c>
      <c r="CD310">
        <v>4115935</v>
      </c>
      <c r="CE310" t="s">
        <v>346</v>
      </c>
      <c r="CF310">
        <v>0</v>
      </c>
      <c r="CG310" t="s">
        <v>53</v>
      </c>
      <c r="CL310" t="s">
        <v>306</v>
      </c>
      <c r="CM310" t="s">
        <v>1346</v>
      </c>
      <c r="CN310">
        <v>29317018</v>
      </c>
      <c r="CO310" t="s">
        <v>346</v>
      </c>
      <c r="CP310">
        <v>0</v>
      </c>
      <c r="CQ310" t="s">
        <v>62</v>
      </c>
      <c r="CV310" t="s">
        <v>306</v>
      </c>
      <c r="DA310" t="s">
        <v>306</v>
      </c>
      <c r="DB310" t="s">
        <v>582</v>
      </c>
      <c r="DC310">
        <v>4119728</v>
      </c>
      <c r="DD310" t="s">
        <v>634</v>
      </c>
      <c r="DE310">
        <v>0</v>
      </c>
      <c r="DF310" t="s">
        <v>53</v>
      </c>
      <c r="DK310" t="s">
        <v>306</v>
      </c>
      <c r="DL310" t="s">
        <v>582</v>
      </c>
      <c r="DM310">
        <v>4119728</v>
      </c>
      <c r="DN310" t="s">
        <v>634</v>
      </c>
      <c r="DO310">
        <v>0</v>
      </c>
      <c r="DP310" t="s">
        <v>53</v>
      </c>
      <c r="DU310" t="s">
        <v>306</v>
      </c>
      <c r="DZ310" t="s">
        <v>306</v>
      </c>
      <c r="EA310" t="s">
        <v>475</v>
      </c>
      <c r="EB310">
        <v>4115935</v>
      </c>
      <c r="EC310" t="s">
        <v>346</v>
      </c>
      <c r="ED310">
        <v>0</v>
      </c>
      <c r="EE310" t="s">
        <v>53</v>
      </c>
      <c r="EF310" t="s">
        <v>582</v>
      </c>
      <c r="EG310">
        <v>4119728</v>
      </c>
      <c r="EH310" t="s">
        <v>634</v>
      </c>
      <c r="EI310">
        <v>0</v>
      </c>
      <c r="EJ310" t="s">
        <v>53</v>
      </c>
      <c r="EO310" t="s">
        <v>306</v>
      </c>
      <c r="ET310" t="s">
        <v>306</v>
      </c>
      <c r="EY310" t="s">
        <v>306</v>
      </c>
      <c r="FD310" t="s">
        <v>306</v>
      </c>
      <c r="FI310" t="s">
        <v>306</v>
      </c>
      <c r="FN310" t="s">
        <v>306</v>
      </c>
      <c r="FS310" t="s">
        <v>306</v>
      </c>
      <c r="FX310" t="s">
        <v>306</v>
      </c>
      <c r="FY310" t="s">
        <v>582</v>
      </c>
      <c r="FZ310">
        <v>4119728</v>
      </c>
      <c r="GA310" t="s">
        <v>634</v>
      </c>
      <c r="GB310">
        <v>0</v>
      </c>
      <c r="GC310" t="s">
        <v>53</v>
      </c>
      <c r="GH310" t="s">
        <v>306</v>
      </c>
      <c r="GM310" t="s">
        <v>306</v>
      </c>
      <c r="GR310" t="s">
        <v>306</v>
      </c>
      <c r="GS310" t="s">
        <v>859</v>
      </c>
      <c r="GT310">
        <v>4049161</v>
      </c>
      <c r="GU310" t="s">
        <v>346</v>
      </c>
      <c r="GV310">
        <v>0</v>
      </c>
      <c r="GW310" t="s">
        <v>53</v>
      </c>
      <c r="GX310" t="s">
        <v>475</v>
      </c>
      <c r="GY310">
        <v>4115935</v>
      </c>
      <c r="GZ310" t="s">
        <v>346</v>
      </c>
      <c r="HA310">
        <v>0</v>
      </c>
      <c r="HB310" t="s">
        <v>53</v>
      </c>
      <c r="HG310" t="s">
        <v>306</v>
      </c>
    </row>
    <row r="311" spans="5:215" x14ac:dyDescent="0.35">
      <c r="E311" t="s">
        <v>306</v>
      </c>
      <c r="J311" t="s">
        <v>306</v>
      </c>
      <c r="O311" t="s">
        <v>306</v>
      </c>
      <c r="T311" t="s">
        <v>306</v>
      </c>
      <c r="U311" t="s">
        <v>865</v>
      </c>
      <c r="V311">
        <v>4669111</v>
      </c>
      <c r="W311" t="s">
        <v>346</v>
      </c>
      <c r="X311">
        <v>0</v>
      </c>
      <c r="Y311" t="s">
        <v>50</v>
      </c>
      <c r="AD311" t="s">
        <v>306</v>
      </c>
      <c r="AI311" t="s">
        <v>306</v>
      </c>
      <c r="AN311" t="s">
        <v>306</v>
      </c>
      <c r="AS311" t="s">
        <v>306</v>
      </c>
      <c r="AX311" t="s">
        <v>306</v>
      </c>
      <c r="BC311" t="s">
        <v>306</v>
      </c>
      <c r="BD311" t="s">
        <v>1343</v>
      </c>
      <c r="BE311">
        <v>13084932</v>
      </c>
      <c r="BF311" t="s">
        <v>346</v>
      </c>
      <c r="BG311">
        <v>0</v>
      </c>
      <c r="BH311" t="s">
        <v>62</v>
      </c>
      <c r="BM311" t="s">
        <v>306</v>
      </c>
      <c r="BN311" t="s">
        <v>520</v>
      </c>
      <c r="BO311">
        <v>103661</v>
      </c>
      <c r="BP311" t="s">
        <v>346</v>
      </c>
      <c r="BQ311">
        <v>0</v>
      </c>
      <c r="BR311" t="s">
        <v>53</v>
      </c>
      <c r="BS311" t="s">
        <v>857</v>
      </c>
      <c r="BT311">
        <v>4262519</v>
      </c>
      <c r="BU311" t="s">
        <v>346</v>
      </c>
      <c r="BV311">
        <v>0</v>
      </c>
      <c r="BW311" t="s">
        <v>53</v>
      </c>
      <c r="BX311" t="s">
        <v>865</v>
      </c>
      <c r="BY311">
        <v>4669111</v>
      </c>
      <c r="BZ311" t="s">
        <v>346</v>
      </c>
      <c r="CA311">
        <v>0</v>
      </c>
      <c r="CB311" t="s">
        <v>50</v>
      </c>
      <c r="CC311" t="s">
        <v>1765</v>
      </c>
      <c r="CD311">
        <v>110462</v>
      </c>
      <c r="CE311" t="s">
        <v>346</v>
      </c>
      <c r="CF311">
        <v>0</v>
      </c>
      <c r="CG311" t="s">
        <v>53</v>
      </c>
      <c r="CL311" t="s">
        <v>306</v>
      </c>
      <c r="CM311" t="s">
        <v>1714</v>
      </c>
      <c r="CN311">
        <v>4222753</v>
      </c>
      <c r="CO311" t="s">
        <v>346</v>
      </c>
      <c r="CP311">
        <v>0</v>
      </c>
      <c r="CQ311" t="s">
        <v>53</v>
      </c>
      <c r="CV311" t="s">
        <v>306</v>
      </c>
      <c r="DA311" t="s">
        <v>306</v>
      </c>
      <c r="DB311" t="s">
        <v>1343</v>
      </c>
      <c r="DC311">
        <v>13084932</v>
      </c>
      <c r="DD311" t="s">
        <v>346</v>
      </c>
      <c r="DE311">
        <v>0</v>
      </c>
      <c r="DF311" t="s">
        <v>62</v>
      </c>
      <c r="DK311" t="s">
        <v>306</v>
      </c>
      <c r="DL311" t="s">
        <v>1343</v>
      </c>
      <c r="DM311">
        <v>13084932</v>
      </c>
      <c r="DN311" t="s">
        <v>346</v>
      </c>
      <c r="DO311">
        <v>0</v>
      </c>
      <c r="DP311" t="s">
        <v>62</v>
      </c>
      <c r="DU311" t="s">
        <v>306</v>
      </c>
      <c r="DZ311" t="s">
        <v>306</v>
      </c>
      <c r="EA311" t="s">
        <v>1765</v>
      </c>
      <c r="EB311">
        <v>110462</v>
      </c>
      <c r="EC311" t="s">
        <v>346</v>
      </c>
      <c r="ED311">
        <v>0</v>
      </c>
      <c r="EE311" t="s">
        <v>53</v>
      </c>
      <c r="EF311" t="s">
        <v>1343</v>
      </c>
      <c r="EG311">
        <v>13084932</v>
      </c>
      <c r="EH311" t="s">
        <v>346</v>
      </c>
      <c r="EI311">
        <v>0</v>
      </c>
      <c r="EJ311" t="s">
        <v>62</v>
      </c>
      <c r="EO311" t="s">
        <v>306</v>
      </c>
      <c r="ET311" t="s">
        <v>306</v>
      </c>
      <c r="EY311" t="s">
        <v>306</v>
      </c>
      <c r="FD311" t="s">
        <v>306</v>
      </c>
      <c r="FI311" t="s">
        <v>306</v>
      </c>
      <c r="FN311" t="s">
        <v>306</v>
      </c>
      <c r="FS311" t="s">
        <v>306</v>
      </c>
      <c r="FX311" t="s">
        <v>306</v>
      </c>
      <c r="FY311" t="s">
        <v>1343</v>
      </c>
      <c r="FZ311">
        <v>13084932</v>
      </c>
      <c r="GA311" t="s">
        <v>346</v>
      </c>
      <c r="GB311">
        <v>0</v>
      </c>
      <c r="GC311" t="s">
        <v>62</v>
      </c>
      <c r="GH311" t="s">
        <v>306</v>
      </c>
      <c r="GM311" t="s">
        <v>306</v>
      </c>
      <c r="GR311" t="s">
        <v>306</v>
      </c>
      <c r="GS311" t="s">
        <v>520</v>
      </c>
      <c r="GT311">
        <v>103661</v>
      </c>
      <c r="GU311" t="s">
        <v>346</v>
      </c>
      <c r="GV311">
        <v>0</v>
      </c>
      <c r="GW311" t="s">
        <v>53</v>
      </c>
      <c r="GX311" t="s">
        <v>1765</v>
      </c>
      <c r="GY311">
        <v>110462</v>
      </c>
      <c r="GZ311" t="s">
        <v>346</v>
      </c>
      <c r="HA311">
        <v>0</v>
      </c>
      <c r="HB311" t="s">
        <v>53</v>
      </c>
      <c r="HG311" t="s">
        <v>306</v>
      </c>
    </row>
    <row r="312" spans="5:215" x14ac:dyDescent="0.35">
      <c r="E312" t="s">
        <v>306</v>
      </c>
      <c r="J312" t="s">
        <v>306</v>
      </c>
      <c r="O312" t="s">
        <v>306</v>
      </c>
      <c r="T312" t="s">
        <v>306</v>
      </c>
      <c r="U312" t="s">
        <v>866</v>
      </c>
      <c r="V312">
        <v>5829542</v>
      </c>
      <c r="W312" t="s">
        <v>346</v>
      </c>
      <c r="X312">
        <v>0</v>
      </c>
      <c r="Y312" t="s">
        <v>50</v>
      </c>
      <c r="AD312" t="s">
        <v>306</v>
      </c>
      <c r="AI312" t="s">
        <v>306</v>
      </c>
      <c r="AN312" t="s">
        <v>306</v>
      </c>
      <c r="AS312" t="s">
        <v>306</v>
      </c>
      <c r="AX312" t="s">
        <v>306</v>
      </c>
      <c r="BC312" t="s">
        <v>306</v>
      </c>
      <c r="BD312" t="s">
        <v>1486</v>
      </c>
      <c r="BE312">
        <v>4948675</v>
      </c>
      <c r="BF312" t="s">
        <v>346</v>
      </c>
      <c r="BG312">
        <v>0</v>
      </c>
      <c r="BH312" t="s">
        <v>62</v>
      </c>
      <c r="BM312" t="s">
        <v>306</v>
      </c>
      <c r="BN312" t="s">
        <v>897</v>
      </c>
      <c r="BO312">
        <v>19438254</v>
      </c>
      <c r="BP312" t="s">
        <v>346</v>
      </c>
      <c r="BQ312">
        <v>0</v>
      </c>
      <c r="BR312" t="s">
        <v>50</v>
      </c>
      <c r="BS312" t="s">
        <v>789</v>
      </c>
      <c r="BT312">
        <v>10169175</v>
      </c>
      <c r="BU312" t="s">
        <v>346</v>
      </c>
      <c r="BV312">
        <v>0</v>
      </c>
      <c r="BW312" t="s">
        <v>53</v>
      </c>
      <c r="BX312" t="s">
        <v>866</v>
      </c>
      <c r="BY312">
        <v>5829542</v>
      </c>
      <c r="BZ312" t="s">
        <v>346</v>
      </c>
      <c r="CA312">
        <v>0</v>
      </c>
      <c r="CB312" t="s">
        <v>50</v>
      </c>
      <c r="CC312" t="s">
        <v>1766</v>
      </c>
      <c r="CD312">
        <v>4420105</v>
      </c>
      <c r="CE312" t="s">
        <v>346</v>
      </c>
      <c r="CF312">
        <v>0</v>
      </c>
      <c r="CG312" t="s">
        <v>114</v>
      </c>
      <c r="CL312" t="s">
        <v>306</v>
      </c>
      <c r="CM312" t="s">
        <v>2030</v>
      </c>
      <c r="CN312">
        <v>133155690</v>
      </c>
      <c r="CO312" t="s">
        <v>276</v>
      </c>
      <c r="CP312">
        <v>0</v>
      </c>
      <c r="CQ312" t="s">
        <v>306</v>
      </c>
      <c r="CV312" t="s">
        <v>306</v>
      </c>
      <c r="DA312" t="s">
        <v>306</v>
      </c>
      <c r="DB312" t="s">
        <v>1486</v>
      </c>
      <c r="DC312">
        <v>4948675</v>
      </c>
      <c r="DD312" t="s">
        <v>346</v>
      </c>
      <c r="DE312">
        <v>0</v>
      </c>
      <c r="DF312" t="s">
        <v>62</v>
      </c>
      <c r="DK312" t="s">
        <v>306</v>
      </c>
      <c r="DL312" t="s">
        <v>1486</v>
      </c>
      <c r="DM312">
        <v>4948675</v>
      </c>
      <c r="DN312" t="s">
        <v>346</v>
      </c>
      <c r="DO312">
        <v>0</v>
      </c>
      <c r="DP312" t="s">
        <v>62</v>
      </c>
      <c r="DU312" t="s">
        <v>306</v>
      </c>
      <c r="DZ312" t="s">
        <v>306</v>
      </c>
      <c r="EA312" t="s">
        <v>1766</v>
      </c>
      <c r="EB312">
        <v>4420105</v>
      </c>
      <c r="EC312" t="s">
        <v>346</v>
      </c>
      <c r="ED312">
        <v>0</v>
      </c>
      <c r="EE312" t="s">
        <v>114</v>
      </c>
      <c r="EF312" t="s">
        <v>1486</v>
      </c>
      <c r="EG312">
        <v>4948675</v>
      </c>
      <c r="EH312" t="s">
        <v>346</v>
      </c>
      <c r="EI312">
        <v>0</v>
      </c>
      <c r="EJ312" t="s">
        <v>62</v>
      </c>
      <c r="EO312" t="s">
        <v>306</v>
      </c>
      <c r="ET312" t="s">
        <v>306</v>
      </c>
      <c r="EY312" t="s">
        <v>306</v>
      </c>
      <c r="FD312" t="s">
        <v>306</v>
      </c>
      <c r="FI312" t="s">
        <v>306</v>
      </c>
      <c r="FN312" t="s">
        <v>306</v>
      </c>
      <c r="FS312" t="s">
        <v>306</v>
      </c>
      <c r="FX312" t="s">
        <v>306</v>
      </c>
      <c r="FY312" t="s">
        <v>1486</v>
      </c>
      <c r="FZ312">
        <v>4948675</v>
      </c>
      <c r="GA312" t="s">
        <v>346</v>
      </c>
      <c r="GB312">
        <v>0</v>
      </c>
      <c r="GC312" t="s">
        <v>62</v>
      </c>
      <c r="GH312" t="s">
        <v>306</v>
      </c>
      <c r="GM312" t="s">
        <v>306</v>
      </c>
      <c r="GR312" t="s">
        <v>306</v>
      </c>
      <c r="GS312" t="s">
        <v>897</v>
      </c>
      <c r="GT312">
        <v>19438254</v>
      </c>
      <c r="GU312" t="s">
        <v>346</v>
      </c>
      <c r="GV312">
        <v>0</v>
      </c>
      <c r="GW312" t="s">
        <v>50</v>
      </c>
      <c r="GX312" t="s">
        <v>1766</v>
      </c>
      <c r="GY312">
        <v>4420105</v>
      </c>
      <c r="GZ312" t="s">
        <v>346</v>
      </c>
      <c r="HA312">
        <v>0</v>
      </c>
      <c r="HB312" t="s">
        <v>114</v>
      </c>
      <c r="HG312" t="s">
        <v>306</v>
      </c>
    </row>
    <row r="313" spans="5:215" x14ac:dyDescent="0.35">
      <c r="E313" t="s">
        <v>306</v>
      </c>
      <c r="J313" t="s">
        <v>306</v>
      </c>
      <c r="O313" t="s">
        <v>306</v>
      </c>
      <c r="T313" t="s">
        <v>306</v>
      </c>
      <c r="U313" t="s">
        <v>533</v>
      </c>
      <c r="V313">
        <v>4377155</v>
      </c>
      <c r="W313" t="s">
        <v>346</v>
      </c>
      <c r="X313">
        <v>0</v>
      </c>
      <c r="Y313" t="s">
        <v>2192</v>
      </c>
      <c r="AD313" t="s">
        <v>306</v>
      </c>
      <c r="AI313" t="s">
        <v>306</v>
      </c>
      <c r="AN313" t="s">
        <v>306</v>
      </c>
      <c r="AS313" t="s">
        <v>306</v>
      </c>
      <c r="AX313" t="s">
        <v>306</v>
      </c>
      <c r="BC313" t="s">
        <v>306</v>
      </c>
      <c r="BD313" t="s">
        <v>462</v>
      </c>
      <c r="BE313">
        <v>109872</v>
      </c>
      <c r="BF313" t="s">
        <v>346</v>
      </c>
      <c r="BG313">
        <v>0</v>
      </c>
      <c r="BH313" t="s">
        <v>53</v>
      </c>
      <c r="BM313" t="s">
        <v>306</v>
      </c>
      <c r="BN313" t="s">
        <v>413</v>
      </c>
      <c r="BO313">
        <v>4114882</v>
      </c>
      <c r="BP313" t="s">
        <v>346</v>
      </c>
      <c r="BQ313">
        <v>0</v>
      </c>
      <c r="BR313" t="s">
        <v>80</v>
      </c>
      <c r="BS313" t="s">
        <v>811</v>
      </c>
      <c r="BT313">
        <v>4240414</v>
      </c>
      <c r="BU313" t="s">
        <v>346</v>
      </c>
      <c r="BV313">
        <v>0</v>
      </c>
      <c r="BW313" t="s">
        <v>2191</v>
      </c>
      <c r="BX313" t="s">
        <v>533</v>
      </c>
      <c r="BY313">
        <v>4377155</v>
      </c>
      <c r="BZ313" t="s">
        <v>346</v>
      </c>
      <c r="CA313">
        <v>0</v>
      </c>
      <c r="CB313" t="s">
        <v>2192</v>
      </c>
      <c r="CC313" t="s">
        <v>1767</v>
      </c>
      <c r="CD313">
        <v>7168394</v>
      </c>
      <c r="CE313" t="s">
        <v>346</v>
      </c>
      <c r="CF313">
        <v>0</v>
      </c>
      <c r="CG313" t="s">
        <v>114</v>
      </c>
      <c r="CL313" t="s">
        <v>306</v>
      </c>
      <c r="CM313" t="s">
        <v>2031</v>
      </c>
      <c r="CN313">
        <v>4253405</v>
      </c>
      <c r="CO313" t="s">
        <v>346</v>
      </c>
      <c r="CP313">
        <v>0</v>
      </c>
      <c r="CQ313" t="s">
        <v>304</v>
      </c>
      <c r="CV313" t="s">
        <v>306</v>
      </c>
      <c r="DA313" t="s">
        <v>306</v>
      </c>
      <c r="DB313" t="s">
        <v>462</v>
      </c>
      <c r="DC313">
        <v>109872</v>
      </c>
      <c r="DD313" t="s">
        <v>346</v>
      </c>
      <c r="DE313">
        <v>0</v>
      </c>
      <c r="DF313" t="s">
        <v>53</v>
      </c>
      <c r="DK313" t="s">
        <v>306</v>
      </c>
      <c r="DL313" t="s">
        <v>462</v>
      </c>
      <c r="DM313">
        <v>109872</v>
      </c>
      <c r="DN313" t="s">
        <v>346</v>
      </c>
      <c r="DO313">
        <v>0</v>
      </c>
      <c r="DP313" t="s">
        <v>53</v>
      </c>
      <c r="DU313" t="s">
        <v>306</v>
      </c>
      <c r="DZ313" t="s">
        <v>306</v>
      </c>
      <c r="EA313" t="s">
        <v>1767</v>
      </c>
      <c r="EB313">
        <v>7168394</v>
      </c>
      <c r="EC313" t="s">
        <v>346</v>
      </c>
      <c r="ED313">
        <v>0</v>
      </c>
      <c r="EE313" t="s">
        <v>114</v>
      </c>
      <c r="EF313" t="s">
        <v>462</v>
      </c>
      <c r="EG313">
        <v>109872</v>
      </c>
      <c r="EH313" t="s">
        <v>346</v>
      </c>
      <c r="EI313">
        <v>0</v>
      </c>
      <c r="EJ313" t="s">
        <v>53</v>
      </c>
      <c r="EO313" t="s">
        <v>306</v>
      </c>
      <c r="ET313" t="s">
        <v>306</v>
      </c>
      <c r="EY313" t="s">
        <v>306</v>
      </c>
      <c r="FD313" t="s">
        <v>306</v>
      </c>
      <c r="FI313" t="s">
        <v>306</v>
      </c>
      <c r="FN313" t="s">
        <v>306</v>
      </c>
      <c r="FS313" t="s">
        <v>306</v>
      </c>
      <c r="FX313" t="s">
        <v>306</v>
      </c>
      <c r="FY313" t="s">
        <v>462</v>
      </c>
      <c r="FZ313">
        <v>109872</v>
      </c>
      <c r="GA313" t="s">
        <v>346</v>
      </c>
      <c r="GB313">
        <v>0</v>
      </c>
      <c r="GC313" t="s">
        <v>53</v>
      </c>
      <c r="GH313" t="s">
        <v>306</v>
      </c>
      <c r="GM313" t="s">
        <v>306</v>
      </c>
      <c r="GR313" t="s">
        <v>306</v>
      </c>
      <c r="GS313" t="s">
        <v>413</v>
      </c>
      <c r="GT313">
        <v>4114882</v>
      </c>
      <c r="GU313" t="s">
        <v>346</v>
      </c>
      <c r="GV313">
        <v>0</v>
      </c>
      <c r="GW313" t="s">
        <v>80</v>
      </c>
      <c r="GX313" t="s">
        <v>1767</v>
      </c>
      <c r="GY313">
        <v>7168394</v>
      </c>
      <c r="GZ313" t="s">
        <v>346</v>
      </c>
      <c r="HA313">
        <v>0</v>
      </c>
      <c r="HB313" t="s">
        <v>114</v>
      </c>
      <c r="HG313" t="s">
        <v>306</v>
      </c>
    </row>
    <row r="314" spans="5:215" x14ac:dyDescent="0.35">
      <c r="E314" t="s">
        <v>306</v>
      </c>
      <c r="J314" t="s">
        <v>306</v>
      </c>
      <c r="O314" t="s">
        <v>306</v>
      </c>
      <c r="T314" t="s">
        <v>306</v>
      </c>
      <c r="U314" t="s">
        <v>867</v>
      </c>
      <c r="V314">
        <v>4557386</v>
      </c>
      <c r="W314" t="s">
        <v>346</v>
      </c>
      <c r="X314">
        <v>0</v>
      </c>
      <c r="Y314" t="s">
        <v>50</v>
      </c>
      <c r="AD314" t="s">
        <v>306</v>
      </c>
      <c r="AI314" t="s">
        <v>306</v>
      </c>
      <c r="AN314" t="s">
        <v>306</v>
      </c>
      <c r="AS314" t="s">
        <v>306</v>
      </c>
      <c r="AX314" t="s">
        <v>306</v>
      </c>
      <c r="BC314" t="s">
        <v>306</v>
      </c>
      <c r="BD314" t="s">
        <v>1487</v>
      </c>
      <c r="BE314">
        <v>4150521</v>
      </c>
      <c r="BF314" t="s">
        <v>366</v>
      </c>
      <c r="BG314">
        <v>0</v>
      </c>
      <c r="BH314" t="s">
        <v>2185</v>
      </c>
      <c r="BM314" t="s">
        <v>306</v>
      </c>
      <c r="BN314" t="s">
        <v>861</v>
      </c>
      <c r="BO314">
        <v>5823548</v>
      </c>
      <c r="BP314" t="s">
        <v>346</v>
      </c>
      <c r="BQ314">
        <v>0</v>
      </c>
      <c r="BR314" t="s">
        <v>50</v>
      </c>
      <c r="BS314" t="s">
        <v>800</v>
      </c>
      <c r="BT314">
        <v>5883563</v>
      </c>
      <c r="BU314" t="s">
        <v>346</v>
      </c>
      <c r="BV314">
        <v>0</v>
      </c>
      <c r="BW314" t="s">
        <v>50</v>
      </c>
      <c r="BX314" t="s">
        <v>867</v>
      </c>
      <c r="BY314">
        <v>4557386</v>
      </c>
      <c r="BZ314" t="s">
        <v>346</v>
      </c>
      <c r="CA314">
        <v>0</v>
      </c>
      <c r="CB314" t="s">
        <v>50</v>
      </c>
      <c r="CC314" t="s">
        <v>1768</v>
      </c>
      <c r="CD314">
        <v>4853792</v>
      </c>
      <c r="CE314" t="s">
        <v>366</v>
      </c>
      <c r="CF314">
        <v>0</v>
      </c>
      <c r="CG314" t="s">
        <v>313</v>
      </c>
      <c r="CL314" t="s">
        <v>306</v>
      </c>
      <c r="CM314" t="s">
        <v>2032</v>
      </c>
      <c r="CN314">
        <v>4773613</v>
      </c>
      <c r="CO314" t="s">
        <v>346</v>
      </c>
      <c r="CP314">
        <v>0</v>
      </c>
      <c r="CQ314" t="s">
        <v>2195</v>
      </c>
      <c r="CV314" t="s">
        <v>306</v>
      </c>
      <c r="DA314" t="s">
        <v>306</v>
      </c>
      <c r="DB314" t="s">
        <v>1487</v>
      </c>
      <c r="DC314">
        <v>4150521</v>
      </c>
      <c r="DD314" t="s">
        <v>366</v>
      </c>
      <c r="DE314">
        <v>0</v>
      </c>
      <c r="DF314" t="s">
        <v>2185</v>
      </c>
      <c r="DK314" t="s">
        <v>306</v>
      </c>
      <c r="DL314" t="s">
        <v>1487</v>
      </c>
      <c r="DM314">
        <v>4150521</v>
      </c>
      <c r="DN314" t="s">
        <v>366</v>
      </c>
      <c r="DO314">
        <v>0</v>
      </c>
      <c r="DP314" t="s">
        <v>2185</v>
      </c>
      <c r="DU314" t="s">
        <v>306</v>
      </c>
      <c r="DZ314" t="s">
        <v>306</v>
      </c>
      <c r="EA314" t="s">
        <v>1768</v>
      </c>
      <c r="EB314">
        <v>4853792</v>
      </c>
      <c r="EC314" t="s">
        <v>366</v>
      </c>
      <c r="ED314">
        <v>0</v>
      </c>
      <c r="EE314" t="s">
        <v>313</v>
      </c>
      <c r="EF314" t="s">
        <v>1487</v>
      </c>
      <c r="EG314">
        <v>4150521</v>
      </c>
      <c r="EH314" t="s">
        <v>366</v>
      </c>
      <c r="EI314">
        <v>0</v>
      </c>
      <c r="EJ314" t="s">
        <v>2185</v>
      </c>
      <c r="EO314" t="s">
        <v>306</v>
      </c>
      <c r="ET314" t="s">
        <v>306</v>
      </c>
      <c r="EY314" t="s">
        <v>306</v>
      </c>
      <c r="FD314" t="s">
        <v>306</v>
      </c>
      <c r="FI314" t="s">
        <v>306</v>
      </c>
      <c r="FN314" t="s">
        <v>306</v>
      </c>
      <c r="FS314" t="s">
        <v>306</v>
      </c>
      <c r="FX314" t="s">
        <v>306</v>
      </c>
      <c r="FY314" t="s">
        <v>1487</v>
      </c>
      <c r="FZ314">
        <v>4150521</v>
      </c>
      <c r="GA314" t="s">
        <v>366</v>
      </c>
      <c r="GB314">
        <v>0</v>
      </c>
      <c r="GC314" t="s">
        <v>2185</v>
      </c>
      <c r="GH314" t="s">
        <v>306</v>
      </c>
      <c r="GM314" t="s">
        <v>306</v>
      </c>
      <c r="GR314" t="s">
        <v>306</v>
      </c>
      <c r="GS314" t="s">
        <v>861</v>
      </c>
      <c r="GT314">
        <v>5823548</v>
      </c>
      <c r="GU314" t="s">
        <v>346</v>
      </c>
      <c r="GV314">
        <v>0</v>
      </c>
      <c r="GW314" t="s">
        <v>50</v>
      </c>
      <c r="GX314" t="s">
        <v>1768</v>
      </c>
      <c r="GY314">
        <v>4853792</v>
      </c>
      <c r="GZ314" t="s">
        <v>366</v>
      </c>
      <c r="HA314">
        <v>0</v>
      </c>
      <c r="HB314" t="s">
        <v>313</v>
      </c>
      <c r="HG314" t="s">
        <v>306</v>
      </c>
    </row>
    <row r="315" spans="5:215" x14ac:dyDescent="0.35">
      <c r="E315" t="s">
        <v>306</v>
      </c>
      <c r="J315" t="s">
        <v>306</v>
      </c>
      <c r="O315" t="s">
        <v>306</v>
      </c>
      <c r="T315" t="s">
        <v>306</v>
      </c>
      <c r="U315" t="s">
        <v>868</v>
      </c>
      <c r="V315">
        <v>4138374</v>
      </c>
      <c r="W315" t="s">
        <v>346</v>
      </c>
      <c r="X315">
        <v>0</v>
      </c>
      <c r="Y315" t="s">
        <v>304</v>
      </c>
      <c r="AD315" t="s">
        <v>306</v>
      </c>
      <c r="AI315" t="s">
        <v>306</v>
      </c>
      <c r="AN315" t="s">
        <v>306</v>
      </c>
      <c r="AS315" t="s">
        <v>306</v>
      </c>
      <c r="AX315" t="s">
        <v>306</v>
      </c>
      <c r="BC315" t="s">
        <v>306</v>
      </c>
      <c r="BD315" t="s">
        <v>500</v>
      </c>
      <c r="BE315">
        <v>4048185</v>
      </c>
      <c r="BF315" t="s">
        <v>346</v>
      </c>
      <c r="BG315">
        <v>0</v>
      </c>
      <c r="BH315" t="s">
        <v>53</v>
      </c>
      <c r="BM315" t="s">
        <v>306</v>
      </c>
      <c r="BN315" t="s">
        <v>865</v>
      </c>
      <c r="BO315">
        <v>4669111</v>
      </c>
      <c r="BP315" t="s">
        <v>346</v>
      </c>
      <c r="BQ315">
        <v>0</v>
      </c>
      <c r="BR315" t="s">
        <v>50</v>
      </c>
      <c r="BS315" t="s">
        <v>1018</v>
      </c>
      <c r="BT315">
        <v>4117563</v>
      </c>
      <c r="BU315" t="s">
        <v>346</v>
      </c>
      <c r="BV315">
        <v>0</v>
      </c>
      <c r="BW315" t="s">
        <v>53</v>
      </c>
      <c r="BX315" t="s">
        <v>868</v>
      </c>
      <c r="BY315">
        <v>4138374</v>
      </c>
      <c r="BZ315" t="s">
        <v>346</v>
      </c>
      <c r="CA315">
        <v>0</v>
      </c>
      <c r="CB315" t="s">
        <v>304</v>
      </c>
      <c r="CC315" t="s">
        <v>782</v>
      </c>
      <c r="CD315">
        <v>4138745</v>
      </c>
      <c r="CE315" t="s">
        <v>346</v>
      </c>
      <c r="CF315">
        <v>0</v>
      </c>
      <c r="CG315" t="s">
        <v>2181</v>
      </c>
      <c r="CL315" t="s">
        <v>306</v>
      </c>
      <c r="CM315" t="s">
        <v>2033</v>
      </c>
      <c r="CN315">
        <v>4255310</v>
      </c>
      <c r="CO315" t="s">
        <v>365</v>
      </c>
      <c r="CP315">
        <v>0</v>
      </c>
      <c r="CQ315" t="s">
        <v>53</v>
      </c>
      <c r="CV315" t="s">
        <v>306</v>
      </c>
      <c r="DA315" t="s">
        <v>306</v>
      </c>
      <c r="DB315" t="s">
        <v>500</v>
      </c>
      <c r="DC315">
        <v>4048185</v>
      </c>
      <c r="DD315" t="s">
        <v>346</v>
      </c>
      <c r="DE315">
        <v>0</v>
      </c>
      <c r="DF315" t="s">
        <v>53</v>
      </c>
      <c r="DK315" t="s">
        <v>306</v>
      </c>
      <c r="DL315" t="s">
        <v>500</v>
      </c>
      <c r="DM315">
        <v>4048185</v>
      </c>
      <c r="DN315" t="s">
        <v>346</v>
      </c>
      <c r="DO315">
        <v>0</v>
      </c>
      <c r="DP315" t="s">
        <v>53</v>
      </c>
      <c r="DU315" t="s">
        <v>306</v>
      </c>
      <c r="DZ315" t="s">
        <v>306</v>
      </c>
      <c r="EA315" t="s">
        <v>782</v>
      </c>
      <c r="EB315">
        <v>4138745</v>
      </c>
      <c r="EC315" t="s">
        <v>346</v>
      </c>
      <c r="ED315">
        <v>0</v>
      </c>
      <c r="EE315" t="s">
        <v>2181</v>
      </c>
      <c r="EF315" t="s">
        <v>500</v>
      </c>
      <c r="EG315">
        <v>4048185</v>
      </c>
      <c r="EH315" t="s">
        <v>346</v>
      </c>
      <c r="EI315">
        <v>0</v>
      </c>
      <c r="EJ315" t="s">
        <v>53</v>
      </c>
      <c r="EO315" t="s">
        <v>306</v>
      </c>
      <c r="ET315" t="s">
        <v>306</v>
      </c>
      <c r="EY315" t="s">
        <v>306</v>
      </c>
      <c r="FD315" t="s">
        <v>306</v>
      </c>
      <c r="FI315" t="s">
        <v>306</v>
      </c>
      <c r="FN315" t="s">
        <v>306</v>
      </c>
      <c r="FS315" t="s">
        <v>306</v>
      </c>
      <c r="FX315" t="s">
        <v>306</v>
      </c>
      <c r="FY315" t="s">
        <v>500</v>
      </c>
      <c r="FZ315">
        <v>4048185</v>
      </c>
      <c r="GA315" t="s">
        <v>346</v>
      </c>
      <c r="GB315">
        <v>0</v>
      </c>
      <c r="GC315" t="s">
        <v>53</v>
      </c>
      <c r="GH315" t="s">
        <v>306</v>
      </c>
      <c r="GM315" t="s">
        <v>306</v>
      </c>
      <c r="GR315" t="s">
        <v>306</v>
      </c>
      <c r="GS315" t="s">
        <v>865</v>
      </c>
      <c r="GT315">
        <v>4669111</v>
      </c>
      <c r="GU315" t="s">
        <v>346</v>
      </c>
      <c r="GV315">
        <v>0</v>
      </c>
      <c r="GW315" t="s">
        <v>50</v>
      </c>
      <c r="GX315" t="s">
        <v>782</v>
      </c>
      <c r="GY315">
        <v>4138745</v>
      </c>
      <c r="GZ315" t="s">
        <v>346</v>
      </c>
      <c r="HA315">
        <v>0</v>
      </c>
      <c r="HB315" t="s">
        <v>2181</v>
      </c>
      <c r="HG315" t="s">
        <v>306</v>
      </c>
    </row>
    <row r="316" spans="5:215" x14ac:dyDescent="0.35">
      <c r="E316" t="s">
        <v>306</v>
      </c>
      <c r="J316" t="s">
        <v>306</v>
      </c>
      <c r="O316" t="s">
        <v>306</v>
      </c>
      <c r="T316" t="s">
        <v>306</v>
      </c>
      <c r="U316" t="s">
        <v>517</v>
      </c>
      <c r="V316">
        <v>111097</v>
      </c>
      <c r="W316" t="s">
        <v>346</v>
      </c>
      <c r="X316">
        <v>0</v>
      </c>
      <c r="Y316" t="s">
        <v>53</v>
      </c>
      <c r="AD316" t="s">
        <v>306</v>
      </c>
      <c r="AI316" t="s">
        <v>306</v>
      </c>
      <c r="AN316" t="s">
        <v>306</v>
      </c>
      <c r="AS316" t="s">
        <v>306</v>
      </c>
      <c r="AX316" t="s">
        <v>306</v>
      </c>
      <c r="BC316" t="s">
        <v>306</v>
      </c>
      <c r="BD316" t="s">
        <v>1488</v>
      </c>
      <c r="BE316">
        <v>4245888</v>
      </c>
      <c r="BF316" t="s">
        <v>346</v>
      </c>
      <c r="BG316">
        <v>0</v>
      </c>
      <c r="BH316" t="s">
        <v>317</v>
      </c>
      <c r="BM316" t="s">
        <v>306</v>
      </c>
      <c r="BN316" t="s">
        <v>906</v>
      </c>
      <c r="BO316">
        <v>5880770</v>
      </c>
      <c r="BP316" t="s">
        <v>346</v>
      </c>
      <c r="BQ316">
        <v>0</v>
      </c>
      <c r="BR316" t="s">
        <v>50</v>
      </c>
      <c r="BS316" t="s">
        <v>477</v>
      </c>
      <c r="BT316">
        <v>4119790</v>
      </c>
      <c r="BU316" t="s">
        <v>346</v>
      </c>
      <c r="BV316">
        <v>0</v>
      </c>
      <c r="BW316" t="s">
        <v>53</v>
      </c>
      <c r="BX316" t="s">
        <v>517</v>
      </c>
      <c r="BY316">
        <v>111097</v>
      </c>
      <c r="BZ316" t="s">
        <v>346</v>
      </c>
      <c r="CA316">
        <v>0</v>
      </c>
      <c r="CB316" t="s">
        <v>53</v>
      </c>
      <c r="CC316" t="s">
        <v>440</v>
      </c>
      <c r="CD316">
        <v>4140078</v>
      </c>
      <c r="CE316" t="s">
        <v>346</v>
      </c>
      <c r="CF316">
        <v>0</v>
      </c>
      <c r="CG316" t="s">
        <v>304</v>
      </c>
      <c r="CL316" t="s">
        <v>306</v>
      </c>
      <c r="CM316" t="s">
        <v>1754</v>
      </c>
      <c r="CN316">
        <v>4583833</v>
      </c>
      <c r="CO316" t="s">
        <v>276</v>
      </c>
      <c r="CP316">
        <v>0</v>
      </c>
      <c r="CQ316" t="s">
        <v>53</v>
      </c>
      <c r="CV316" t="s">
        <v>306</v>
      </c>
      <c r="DA316" t="s">
        <v>306</v>
      </c>
      <c r="DB316" t="s">
        <v>1488</v>
      </c>
      <c r="DC316">
        <v>4245888</v>
      </c>
      <c r="DD316" t="s">
        <v>346</v>
      </c>
      <c r="DE316">
        <v>0</v>
      </c>
      <c r="DF316" t="s">
        <v>317</v>
      </c>
      <c r="DK316" t="s">
        <v>306</v>
      </c>
      <c r="DL316" t="s">
        <v>1488</v>
      </c>
      <c r="DM316">
        <v>4245888</v>
      </c>
      <c r="DN316" t="s">
        <v>346</v>
      </c>
      <c r="DO316">
        <v>0</v>
      </c>
      <c r="DP316" t="s">
        <v>317</v>
      </c>
      <c r="DU316" t="s">
        <v>306</v>
      </c>
      <c r="DZ316" t="s">
        <v>306</v>
      </c>
      <c r="EA316" t="s">
        <v>440</v>
      </c>
      <c r="EB316">
        <v>4140078</v>
      </c>
      <c r="EC316" t="s">
        <v>346</v>
      </c>
      <c r="ED316">
        <v>0</v>
      </c>
      <c r="EE316" t="s">
        <v>304</v>
      </c>
      <c r="EF316" t="s">
        <v>1488</v>
      </c>
      <c r="EG316">
        <v>4245888</v>
      </c>
      <c r="EH316" t="s">
        <v>346</v>
      </c>
      <c r="EI316">
        <v>0</v>
      </c>
      <c r="EJ316" t="s">
        <v>317</v>
      </c>
      <c r="EO316" t="s">
        <v>306</v>
      </c>
      <c r="ET316" t="s">
        <v>306</v>
      </c>
      <c r="EY316" t="s">
        <v>306</v>
      </c>
      <c r="FD316" t="s">
        <v>306</v>
      </c>
      <c r="FI316" t="s">
        <v>306</v>
      </c>
      <c r="FN316" t="s">
        <v>306</v>
      </c>
      <c r="FS316" t="s">
        <v>306</v>
      </c>
      <c r="FX316" t="s">
        <v>306</v>
      </c>
      <c r="FY316" t="s">
        <v>1488</v>
      </c>
      <c r="FZ316">
        <v>4245888</v>
      </c>
      <c r="GA316" t="s">
        <v>346</v>
      </c>
      <c r="GB316">
        <v>0</v>
      </c>
      <c r="GC316" t="s">
        <v>317</v>
      </c>
      <c r="GH316" t="s">
        <v>306</v>
      </c>
      <c r="GM316" t="s">
        <v>306</v>
      </c>
      <c r="GR316" t="s">
        <v>306</v>
      </c>
      <c r="GS316" t="s">
        <v>906</v>
      </c>
      <c r="GT316">
        <v>5880770</v>
      </c>
      <c r="GU316" t="s">
        <v>346</v>
      </c>
      <c r="GV316">
        <v>0</v>
      </c>
      <c r="GW316" t="s">
        <v>50</v>
      </c>
      <c r="GX316" t="s">
        <v>440</v>
      </c>
      <c r="GY316">
        <v>4140078</v>
      </c>
      <c r="GZ316" t="s">
        <v>346</v>
      </c>
      <c r="HA316">
        <v>0</v>
      </c>
      <c r="HB316" t="s">
        <v>304</v>
      </c>
      <c r="HG316" t="s">
        <v>306</v>
      </c>
    </row>
    <row r="317" spans="5:215" x14ac:dyDescent="0.35">
      <c r="E317" t="s">
        <v>306</v>
      </c>
      <c r="J317" t="s">
        <v>306</v>
      </c>
      <c r="O317" t="s">
        <v>306</v>
      </c>
      <c r="T317" t="s">
        <v>306</v>
      </c>
      <c r="U317" t="s">
        <v>869</v>
      </c>
      <c r="V317">
        <v>4560837</v>
      </c>
      <c r="W317" t="s">
        <v>346</v>
      </c>
      <c r="X317">
        <v>0</v>
      </c>
      <c r="Y317" t="s">
        <v>326</v>
      </c>
      <c r="AD317" t="s">
        <v>306</v>
      </c>
      <c r="AI317" t="s">
        <v>306</v>
      </c>
      <c r="AN317" t="s">
        <v>306</v>
      </c>
      <c r="AS317" t="s">
        <v>306</v>
      </c>
      <c r="AX317" t="s">
        <v>306</v>
      </c>
      <c r="BC317" t="s">
        <v>306</v>
      </c>
      <c r="BD317" t="s">
        <v>1489</v>
      </c>
      <c r="BE317">
        <v>4055223</v>
      </c>
      <c r="BF317" t="s">
        <v>276</v>
      </c>
      <c r="BG317">
        <v>0</v>
      </c>
      <c r="BH317" t="s">
        <v>53</v>
      </c>
      <c r="BM317" t="s">
        <v>306</v>
      </c>
      <c r="BN317" t="s">
        <v>603</v>
      </c>
      <c r="BO317">
        <v>110641</v>
      </c>
      <c r="BP317" t="s">
        <v>346</v>
      </c>
      <c r="BQ317">
        <v>0</v>
      </c>
      <c r="BR317" t="s">
        <v>53</v>
      </c>
      <c r="BS317" t="s">
        <v>1019</v>
      </c>
      <c r="BT317">
        <v>4119213</v>
      </c>
      <c r="BU317" t="s">
        <v>346</v>
      </c>
      <c r="BV317">
        <v>0</v>
      </c>
      <c r="BW317" t="s">
        <v>53</v>
      </c>
      <c r="BX317" t="s">
        <v>869</v>
      </c>
      <c r="BY317">
        <v>4560837</v>
      </c>
      <c r="BZ317" t="s">
        <v>346</v>
      </c>
      <c r="CA317">
        <v>0</v>
      </c>
      <c r="CB317" t="s">
        <v>326</v>
      </c>
      <c r="CC317" t="s">
        <v>1769</v>
      </c>
      <c r="CD317">
        <v>4231312</v>
      </c>
      <c r="CE317" t="s">
        <v>346</v>
      </c>
      <c r="CF317">
        <v>0</v>
      </c>
      <c r="CG317" t="s">
        <v>53</v>
      </c>
      <c r="CL317" t="s">
        <v>306</v>
      </c>
      <c r="CM317" t="s">
        <v>1345</v>
      </c>
      <c r="CN317">
        <v>10761756</v>
      </c>
      <c r="CO317" t="s">
        <v>346</v>
      </c>
      <c r="CP317">
        <v>0</v>
      </c>
      <c r="CQ317" t="s">
        <v>62</v>
      </c>
      <c r="CV317" t="s">
        <v>306</v>
      </c>
      <c r="DA317" t="s">
        <v>306</v>
      </c>
      <c r="DB317" t="s">
        <v>1489</v>
      </c>
      <c r="DC317">
        <v>4055223</v>
      </c>
      <c r="DD317" t="s">
        <v>276</v>
      </c>
      <c r="DE317">
        <v>0</v>
      </c>
      <c r="DF317" t="s">
        <v>53</v>
      </c>
      <c r="DK317" t="s">
        <v>306</v>
      </c>
      <c r="DL317" t="s">
        <v>1489</v>
      </c>
      <c r="DM317">
        <v>4055223</v>
      </c>
      <c r="DN317" t="s">
        <v>276</v>
      </c>
      <c r="DO317">
        <v>0</v>
      </c>
      <c r="DP317" t="s">
        <v>53</v>
      </c>
      <c r="DU317" t="s">
        <v>306</v>
      </c>
      <c r="DZ317" t="s">
        <v>306</v>
      </c>
      <c r="EA317" t="s">
        <v>1769</v>
      </c>
      <c r="EB317">
        <v>4231312</v>
      </c>
      <c r="EC317" t="s">
        <v>346</v>
      </c>
      <c r="ED317">
        <v>0</v>
      </c>
      <c r="EE317" t="s">
        <v>53</v>
      </c>
      <c r="EF317" t="s">
        <v>1489</v>
      </c>
      <c r="EG317">
        <v>4055223</v>
      </c>
      <c r="EH317" t="s">
        <v>276</v>
      </c>
      <c r="EI317">
        <v>0</v>
      </c>
      <c r="EJ317" t="s">
        <v>53</v>
      </c>
      <c r="EO317" t="s">
        <v>306</v>
      </c>
      <c r="ET317" t="s">
        <v>306</v>
      </c>
      <c r="EY317" t="s">
        <v>306</v>
      </c>
      <c r="FD317" t="s">
        <v>306</v>
      </c>
      <c r="FI317" t="s">
        <v>306</v>
      </c>
      <c r="FN317" t="s">
        <v>306</v>
      </c>
      <c r="FS317" t="s">
        <v>306</v>
      </c>
      <c r="FX317" t="s">
        <v>306</v>
      </c>
      <c r="FY317" t="s">
        <v>1489</v>
      </c>
      <c r="FZ317">
        <v>4055223</v>
      </c>
      <c r="GA317" t="s">
        <v>276</v>
      </c>
      <c r="GB317">
        <v>0</v>
      </c>
      <c r="GC317" t="s">
        <v>53</v>
      </c>
      <c r="GH317" t="s">
        <v>306</v>
      </c>
      <c r="GM317" t="s">
        <v>306</v>
      </c>
      <c r="GR317" t="s">
        <v>306</v>
      </c>
      <c r="GS317" t="s">
        <v>603</v>
      </c>
      <c r="GT317">
        <v>110641</v>
      </c>
      <c r="GU317" t="s">
        <v>346</v>
      </c>
      <c r="GV317">
        <v>0</v>
      </c>
      <c r="GW317" t="s">
        <v>53</v>
      </c>
      <c r="GX317" t="s">
        <v>1769</v>
      </c>
      <c r="GY317">
        <v>4231312</v>
      </c>
      <c r="GZ317" t="s">
        <v>346</v>
      </c>
      <c r="HA317">
        <v>0</v>
      </c>
      <c r="HB317" t="s">
        <v>53</v>
      </c>
      <c r="HG317" t="s">
        <v>306</v>
      </c>
    </row>
    <row r="318" spans="5:215" x14ac:dyDescent="0.35">
      <c r="E318" t="s">
        <v>306</v>
      </c>
      <c r="J318" t="s">
        <v>306</v>
      </c>
      <c r="O318" t="s">
        <v>306</v>
      </c>
      <c r="T318" t="s">
        <v>306</v>
      </c>
      <c r="U318" t="s">
        <v>592</v>
      </c>
      <c r="V318">
        <v>1015222</v>
      </c>
      <c r="W318" t="s">
        <v>346</v>
      </c>
      <c r="X318">
        <v>0</v>
      </c>
      <c r="Y318" t="s">
        <v>53</v>
      </c>
      <c r="AD318" t="s">
        <v>306</v>
      </c>
      <c r="AI318" t="s">
        <v>306</v>
      </c>
      <c r="AN318" t="s">
        <v>306</v>
      </c>
      <c r="AS318" t="s">
        <v>306</v>
      </c>
      <c r="AX318" t="s">
        <v>306</v>
      </c>
      <c r="BC318" t="s">
        <v>306</v>
      </c>
      <c r="BD318" t="s">
        <v>1490</v>
      </c>
      <c r="BE318">
        <v>5875144</v>
      </c>
      <c r="BF318" t="s">
        <v>346</v>
      </c>
      <c r="BG318">
        <v>0</v>
      </c>
      <c r="BH318" t="s">
        <v>53</v>
      </c>
      <c r="BM318" t="s">
        <v>306</v>
      </c>
      <c r="BN318" t="s">
        <v>908</v>
      </c>
      <c r="BO318">
        <v>4138232</v>
      </c>
      <c r="BP318" t="s">
        <v>366</v>
      </c>
      <c r="BQ318">
        <v>0</v>
      </c>
      <c r="BR318" t="s">
        <v>50</v>
      </c>
      <c r="BS318" t="s">
        <v>804</v>
      </c>
      <c r="BT318">
        <v>5813336</v>
      </c>
      <c r="BU318" t="s">
        <v>346</v>
      </c>
      <c r="BV318">
        <v>0</v>
      </c>
      <c r="BW318" t="s">
        <v>313</v>
      </c>
      <c r="BX318" t="s">
        <v>592</v>
      </c>
      <c r="BY318">
        <v>1015222</v>
      </c>
      <c r="BZ318" t="s">
        <v>346</v>
      </c>
      <c r="CA318">
        <v>0</v>
      </c>
      <c r="CB318" t="s">
        <v>53</v>
      </c>
      <c r="CC318" t="s">
        <v>1770</v>
      </c>
      <c r="CD318">
        <v>4632538</v>
      </c>
      <c r="CE318" t="s">
        <v>346</v>
      </c>
      <c r="CF318">
        <v>0</v>
      </c>
      <c r="CG318" t="s">
        <v>2185</v>
      </c>
      <c r="CL318" t="s">
        <v>306</v>
      </c>
      <c r="CM318" t="s">
        <v>2034</v>
      </c>
      <c r="CN318">
        <v>4118549</v>
      </c>
      <c r="CO318" t="s">
        <v>346</v>
      </c>
      <c r="CP318">
        <v>0</v>
      </c>
      <c r="CQ318" t="s">
        <v>53</v>
      </c>
      <c r="CV318" t="s">
        <v>306</v>
      </c>
      <c r="DA318" t="s">
        <v>306</v>
      </c>
      <c r="DB318" t="s">
        <v>1490</v>
      </c>
      <c r="DC318">
        <v>5875144</v>
      </c>
      <c r="DD318" t="s">
        <v>346</v>
      </c>
      <c r="DE318">
        <v>0</v>
      </c>
      <c r="DF318" t="s">
        <v>53</v>
      </c>
      <c r="DK318" t="s">
        <v>306</v>
      </c>
      <c r="DL318" t="s">
        <v>1490</v>
      </c>
      <c r="DM318">
        <v>5875144</v>
      </c>
      <c r="DN318" t="s">
        <v>346</v>
      </c>
      <c r="DO318">
        <v>0</v>
      </c>
      <c r="DP318" t="s">
        <v>53</v>
      </c>
      <c r="DU318" t="s">
        <v>306</v>
      </c>
      <c r="DZ318" t="s">
        <v>306</v>
      </c>
      <c r="EA318" t="s">
        <v>1770</v>
      </c>
      <c r="EB318">
        <v>4632538</v>
      </c>
      <c r="EC318" t="s">
        <v>346</v>
      </c>
      <c r="ED318">
        <v>0</v>
      </c>
      <c r="EE318" t="s">
        <v>2185</v>
      </c>
      <c r="EF318" t="s">
        <v>1490</v>
      </c>
      <c r="EG318">
        <v>5875144</v>
      </c>
      <c r="EH318" t="s">
        <v>346</v>
      </c>
      <c r="EI318">
        <v>0</v>
      </c>
      <c r="EJ318" t="s">
        <v>53</v>
      </c>
      <c r="EO318" t="s">
        <v>306</v>
      </c>
      <c r="ET318" t="s">
        <v>306</v>
      </c>
      <c r="EY318" t="s">
        <v>306</v>
      </c>
      <c r="FD318" t="s">
        <v>306</v>
      </c>
      <c r="FI318" t="s">
        <v>306</v>
      </c>
      <c r="FN318" t="s">
        <v>306</v>
      </c>
      <c r="FS318" t="s">
        <v>306</v>
      </c>
      <c r="FX318" t="s">
        <v>306</v>
      </c>
      <c r="FY318" t="s">
        <v>1490</v>
      </c>
      <c r="FZ318">
        <v>5875144</v>
      </c>
      <c r="GA318" t="s">
        <v>346</v>
      </c>
      <c r="GB318">
        <v>0</v>
      </c>
      <c r="GC318" t="s">
        <v>53</v>
      </c>
      <c r="GH318" t="s">
        <v>306</v>
      </c>
      <c r="GM318" t="s">
        <v>306</v>
      </c>
      <c r="GR318" t="s">
        <v>306</v>
      </c>
      <c r="GS318" t="s">
        <v>908</v>
      </c>
      <c r="GT318">
        <v>4138232</v>
      </c>
      <c r="GU318" t="s">
        <v>366</v>
      </c>
      <c r="GV318">
        <v>0</v>
      </c>
      <c r="GW318" t="s">
        <v>50</v>
      </c>
      <c r="GX318" t="s">
        <v>1770</v>
      </c>
      <c r="GY318">
        <v>4632538</v>
      </c>
      <c r="GZ318" t="s">
        <v>346</v>
      </c>
      <c r="HA318">
        <v>0</v>
      </c>
      <c r="HB318" t="s">
        <v>2185</v>
      </c>
      <c r="HG318" t="s">
        <v>306</v>
      </c>
    </row>
    <row r="319" spans="5:215" x14ac:dyDescent="0.35">
      <c r="E319" t="s">
        <v>306</v>
      </c>
      <c r="J319" t="s">
        <v>306</v>
      </c>
      <c r="O319" t="s">
        <v>306</v>
      </c>
      <c r="T319" t="s">
        <v>306</v>
      </c>
      <c r="U319" t="s">
        <v>870</v>
      </c>
      <c r="V319">
        <v>8364410</v>
      </c>
      <c r="W319" t="s">
        <v>346</v>
      </c>
      <c r="X319">
        <v>0</v>
      </c>
      <c r="Y319" t="s">
        <v>50</v>
      </c>
      <c r="AD319" t="s">
        <v>306</v>
      </c>
      <c r="AI319" t="s">
        <v>306</v>
      </c>
      <c r="AN319" t="s">
        <v>306</v>
      </c>
      <c r="AS319" t="s">
        <v>306</v>
      </c>
      <c r="AX319" t="s">
        <v>306</v>
      </c>
      <c r="BC319" t="s">
        <v>306</v>
      </c>
      <c r="BD319" t="s">
        <v>1137</v>
      </c>
      <c r="BE319">
        <v>4219045</v>
      </c>
      <c r="BF319" t="s">
        <v>346</v>
      </c>
      <c r="BG319">
        <v>0</v>
      </c>
      <c r="BH319" t="s">
        <v>53</v>
      </c>
      <c r="BM319" t="s">
        <v>306</v>
      </c>
      <c r="BN319" t="s">
        <v>828</v>
      </c>
      <c r="BO319">
        <v>4311273</v>
      </c>
      <c r="BP319" t="s">
        <v>346</v>
      </c>
      <c r="BQ319">
        <v>0</v>
      </c>
      <c r="BR319" t="s">
        <v>326</v>
      </c>
      <c r="BS319" t="s">
        <v>496</v>
      </c>
      <c r="BT319">
        <v>110495</v>
      </c>
      <c r="BU319" t="s">
        <v>346</v>
      </c>
      <c r="BV319">
        <v>0</v>
      </c>
      <c r="BW319" t="s">
        <v>53</v>
      </c>
      <c r="BX319" t="s">
        <v>870</v>
      </c>
      <c r="BY319">
        <v>8364410</v>
      </c>
      <c r="BZ319" t="s">
        <v>346</v>
      </c>
      <c r="CA319">
        <v>0</v>
      </c>
      <c r="CB319" t="s">
        <v>50</v>
      </c>
      <c r="CC319" t="s">
        <v>1771</v>
      </c>
      <c r="CD319">
        <v>4305081</v>
      </c>
      <c r="CE319" t="s">
        <v>346</v>
      </c>
      <c r="CF319">
        <v>0</v>
      </c>
      <c r="CG319" t="s">
        <v>80</v>
      </c>
      <c r="CL319" t="s">
        <v>306</v>
      </c>
      <c r="CM319" t="s">
        <v>2035</v>
      </c>
      <c r="CN319">
        <v>4000991</v>
      </c>
      <c r="CO319" t="s">
        <v>366</v>
      </c>
      <c r="CP319">
        <v>0</v>
      </c>
      <c r="CQ319" t="s">
        <v>336</v>
      </c>
      <c r="CV319" t="s">
        <v>306</v>
      </c>
      <c r="DA319" t="s">
        <v>306</v>
      </c>
      <c r="DB319" t="s">
        <v>1137</v>
      </c>
      <c r="DC319">
        <v>4219045</v>
      </c>
      <c r="DD319" t="s">
        <v>346</v>
      </c>
      <c r="DE319">
        <v>0</v>
      </c>
      <c r="DF319" t="s">
        <v>53</v>
      </c>
      <c r="DK319" t="s">
        <v>306</v>
      </c>
      <c r="DL319" t="s">
        <v>1137</v>
      </c>
      <c r="DM319">
        <v>4219045</v>
      </c>
      <c r="DN319" t="s">
        <v>346</v>
      </c>
      <c r="DO319">
        <v>0</v>
      </c>
      <c r="DP319" t="s">
        <v>53</v>
      </c>
      <c r="DU319" t="s">
        <v>306</v>
      </c>
      <c r="DZ319" t="s">
        <v>306</v>
      </c>
      <c r="EA319" t="s">
        <v>1771</v>
      </c>
      <c r="EB319">
        <v>4305081</v>
      </c>
      <c r="EC319" t="s">
        <v>346</v>
      </c>
      <c r="ED319">
        <v>0</v>
      </c>
      <c r="EE319" t="s">
        <v>80</v>
      </c>
      <c r="EF319" t="s">
        <v>1137</v>
      </c>
      <c r="EG319">
        <v>4219045</v>
      </c>
      <c r="EH319" t="s">
        <v>346</v>
      </c>
      <c r="EI319">
        <v>0</v>
      </c>
      <c r="EJ319" t="s">
        <v>53</v>
      </c>
      <c r="EO319" t="s">
        <v>306</v>
      </c>
      <c r="ET319" t="s">
        <v>306</v>
      </c>
      <c r="EY319" t="s">
        <v>306</v>
      </c>
      <c r="FD319" t="s">
        <v>306</v>
      </c>
      <c r="FI319" t="s">
        <v>306</v>
      </c>
      <c r="FN319" t="s">
        <v>306</v>
      </c>
      <c r="FS319" t="s">
        <v>306</v>
      </c>
      <c r="FX319" t="s">
        <v>306</v>
      </c>
      <c r="FY319" t="s">
        <v>1137</v>
      </c>
      <c r="FZ319">
        <v>4219045</v>
      </c>
      <c r="GA319" t="s">
        <v>346</v>
      </c>
      <c r="GB319">
        <v>0</v>
      </c>
      <c r="GC319" t="s">
        <v>53</v>
      </c>
      <c r="GH319" t="s">
        <v>306</v>
      </c>
      <c r="GM319" t="s">
        <v>306</v>
      </c>
      <c r="GR319" t="s">
        <v>306</v>
      </c>
      <c r="GS319" t="s">
        <v>828</v>
      </c>
      <c r="GT319">
        <v>4311273</v>
      </c>
      <c r="GU319" t="s">
        <v>346</v>
      </c>
      <c r="GV319">
        <v>0</v>
      </c>
      <c r="GW319" t="s">
        <v>326</v>
      </c>
      <c r="GX319" t="s">
        <v>1771</v>
      </c>
      <c r="GY319">
        <v>4305081</v>
      </c>
      <c r="GZ319" t="s">
        <v>346</v>
      </c>
      <c r="HA319">
        <v>0</v>
      </c>
      <c r="HB319" t="s">
        <v>80</v>
      </c>
      <c r="HG319" t="s">
        <v>306</v>
      </c>
    </row>
    <row r="320" spans="5:215" x14ac:dyDescent="0.35">
      <c r="E320" t="s">
        <v>306</v>
      </c>
      <c r="J320" t="s">
        <v>306</v>
      </c>
      <c r="O320" t="s">
        <v>306</v>
      </c>
      <c r="T320" t="s">
        <v>306</v>
      </c>
      <c r="U320" t="s">
        <v>871</v>
      </c>
      <c r="V320">
        <v>4055159</v>
      </c>
      <c r="W320" t="s">
        <v>346</v>
      </c>
      <c r="X320">
        <v>0</v>
      </c>
      <c r="Y320" t="s">
        <v>53</v>
      </c>
      <c r="AD320" t="s">
        <v>306</v>
      </c>
      <c r="AI320" t="s">
        <v>306</v>
      </c>
      <c r="AN320" t="s">
        <v>306</v>
      </c>
      <c r="AS320" t="s">
        <v>306</v>
      </c>
      <c r="AX320" t="s">
        <v>306</v>
      </c>
      <c r="BC320" t="s">
        <v>306</v>
      </c>
      <c r="BD320" t="s">
        <v>1491</v>
      </c>
      <c r="BE320">
        <v>4428318</v>
      </c>
      <c r="BF320" t="s">
        <v>346</v>
      </c>
      <c r="BG320">
        <v>0</v>
      </c>
      <c r="BH320" t="s">
        <v>2186</v>
      </c>
      <c r="BM320" t="s">
        <v>306</v>
      </c>
      <c r="BN320" t="s">
        <v>1250</v>
      </c>
      <c r="BO320">
        <v>4539092</v>
      </c>
      <c r="BP320" t="s">
        <v>364</v>
      </c>
      <c r="BQ320">
        <v>0</v>
      </c>
      <c r="BR320" t="s">
        <v>313</v>
      </c>
      <c r="BS320" t="s">
        <v>819</v>
      </c>
      <c r="BT320">
        <v>108037678</v>
      </c>
      <c r="BU320" t="s">
        <v>346</v>
      </c>
      <c r="BV320">
        <v>0</v>
      </c>
      <c r="BW320" t="s">
        <v>50</v>
      </c>
      <c r="BX320" t="s">
        <v>871</v>
      </c>
      <c r="BY320">
        <v>4055159</v>
      </c>
      <c r="BZ320" t="s">
        <v>346</v>
      </c>
      <c r="CA320">
        <v>0</v>
      </c>
      <c r="CB320" t="s">
        <v>53</v>
      </c>
      <c r="CC320" t="s">
        <v>1772</v>
      </c>
      <c r="CD320">
        <v>6571315</v>
      </c>
      <c r="CE320" t="s">
        <v>346</v>
      </c>
      <c r="CF320">
        <v>0</v>
      </c>
      <c r="CG320" t="s">
        <v>114</v>
      </c>
      <c r="CL320" t="s">
        <v>306</v>
      </c>
      <c r="CM320" t="s">
        <v>2036</v>
      </c>
      <c r="CN320" t="s">
        <v>300</v>
      </c>
      <c r="CO320" t="s">
        <v>361</v>
      </c>
      <c r="CP320">
        <v>0</v>
      </c>
      <c r="CQ320" t="s">
        <v>50</v>
      </c>
      <c r="CV320" t="s">
        <v>306</v>
      </c>
      <c r="DA320" t="s">
        <v>306</v>
      </c>
      <c r="DB320" t="s">
        <v>1491</v>
      </c>
      <c r="DC320">
        <v>4428318</v>
      </c>
      <c r="DD320" t="s">
        <v>346</v>
      </c>
      <c r="DE320">
        <v>0</v>
      </c>
      <c r="DF320" t="s">
        <v>2186</v>
      </c>
      <c r="DK320" t="s">
        <v>306</v>
      </c>
      <c r="DL320" t="s">
        <v>1491</v>
      </c>
      <c r="DM320">
        <v>4428318</v>
      </c>
      <c r="DN320" t="s">
        <v>346</v>
      </c>
      <c r="DO320">
        <v>0</v>
      </c>
      <c r="DP320" t="s">
        <v>2186</v>
      </c>
      <c r="DU320" t="s">
        <v>306</v>
      </c>
      <c r="DZ320" t="s">
        <v>306</v>
      </c>
      <c r="EA320" t="s">
        <v>1772</v>
      </c>
      <c r="EB320">
        <v>6571315</v>
      </c>
      <c r="EC320" t="s">
        <v>346</v>
      </c>
      <c r="ED320">
        <v>0</v>
      </c>
      <c r="EE320" t="s">
        <v>114</v>
      </c>
      <c r="EF320" t="s">
        <v>1491</v>
      </c>
      <c r="EG320">
        <v>4428318</v>
      </c>
      <c r="EH320" t="s">
        <v>346</v>
      </c>
      <c r="EI320">
        <v>0</v>
      </c>
      <c r="EJ320" t="s">
        <v>2186</v>
      </c>
      <c r="EO320" t="s">
        <v>306</v>
      </c>
      <c r="ET320" t="s">
        <v>306</v>
      </c>
      <c r="EY320" t="s">
        <v>306</v>
      </c>
      <c r="FD320" t="s">
        <v>306</v>
      </c>
      <c r="FI320" t="s">
        <v>306</v>
      </c>
      <c r="FN320" t="s">
        <v>306</v>
      </c>
      <c r="FS320" t="s">
        <v>306</v>
      </c>
      <c r="FX320" t="s">
        <v>306</v>
      </c>
      <c r="FY320" t="s">
        <v>1491</v>
      </c>
      <c r="FZ320">
        <v>4428318</v>
      </c>
      <c r="GA320" t="s">
        <v>346</v>
      </c>
      <c r="GB320">
        <v>0</v>
      </c>
      <c r="GC320" t="s">
        <v>2186</v>
      </c>
      <c r="GH320" t="s">
        <v>306</v>
      </c>
      <c r="GM320" t="s">
        <v>306</v>
      </c>
      <c r="GR320" t="s">
        <v>306</v>
      </c>
      <c r="GS320" t="s">
        <v>1250</v>
      </c>
      <c r="GT320">
        <v>4539092</v>
      </c>
      <c r="GU320" t="s">
        <v>364</v>
      </c>
      <c r="GV320">
        <v>0</v>
      </c>
      <c r="GW320" t="s">
        <v>313</v>
      </c>
      <c r="GX320" t="s">
        <v>1772</v>
      </c>
      <c r="GY320">
        <v>6571315</v>
      </c>
      <c r="GZ320" t="s">
        <v>346</v>
      </c>
      <c r="HA320">
        <v>0</v>
      </c>
      <c r="HB320" t="s">
        <v>114</v>
      </c>
      <c r="HG320" t="s">
        <v>306</v>
      </c>
    </row>
    <row r="321" spans="5:215" x14ac:dyDescent="0.35">
      <c r="E321" t="s">
        <v>306</v>
      </c>
      <c r="J321" t="s">
        <v>306</v>
      </c>
      <c r="O321" t="s">
        <v>306</v>
      </c>
      <c r="T321" t="s">
        <v>306</v>
      </c>
      <c r="U321" t="s">
        <v>439</v>
      </c>
      <c r="V321">
        <v>4757367</v>
      </c>
      <c r="W321" t="s">
        <v>363</v>
      </c>
      <c r="X321">
        <v>0</v>
      </c>
      <c r="Y321" t="s">
        <v>125</v>
      </c>
      <c r="AD321" t="s">
        <v>306</v>
      </c>
      <c r="AI321" t="s">
        <v>306</v>
      </c>
      <c r="AN321" t="s">
        <v>306</v>
      </c>
      <c r="AS321" t="s">
        <v>306</v>
      </c>
      <c r="AX321" t="s">
        <v>306</v>
      </c>
      <c r="BC321" t="s">
        <v>306</v>
      </c>
      <c r="BD321" t="s">
        <v>1303</v>
      </c>
      <c r="BE321">
        <v>4265061</v>
      </c>
      <c r="BF321" t="s">
        <v>346</v>
      </c>
      <c r="BG321">
        <v>0</v>
      </c>
      <c r="BH321" t="s">
        <v>62</v>
      </c>
      <c r="BM321" t="s">
        <v>306</v>
      </c>
      <c r="BN321" t="s">
        <v>1251</v>
      </c>
      <c r="BO321">
        <v>4119608</v>
      </c>
      <c r="BP321" t="s">
        <v>346</v>
      </c>
      <c r="BQ321">
        <v>0</v>
      </c>
      <c r="BR321" t="s">
        <v>53</v>
      </c>
      <c r="BS321" t="s">
        <v>1020</v>
      </c>
      <c r="BT321">
        <v>111352</v>
      </c>
      <c r="BU321" t="s">
        <v>346</v>
      </c>
      <c r="BV321">
        <v>0</v>
      </c>
      <c r="BW321" t="s">
        <v>53</v>
      </c>
      <c r="BX321" t="s">
        <v>439</v>
      </c>
      <c r="BY321">
        <v>4757367</v>
      </c>
      <c r="BZ321" t="s">
        <v>363</v>
      </c>
      <c r="CA321">
        <v>0</v>
      </c>
      <c r="CB321" t="s">
        <v>125</v>
      </c>
      <c r="CC321" t="s">
        <v>1773</v>
      </c>
      <c r="CD321">
        <v>4338027</v>
      </c>
      <c r="CE321" t="s">
        <v>346</v>
      </c>
      <c r="CF321">
        <v>0</v>
      </c>
      <c r="CG321" t="s">
        <v>2201</v>
      </c>
      <c r="CL321" t="s">
        <v>306</v>
      </c>
      <c r="CM321" t="s">
        <v>1724</v>
      </c>
      <c r="CN321">
        <v>4975164</v>
      </c>
      <c r="CO321" t="s">
        <v>346</v>
      </c>
      <c r="CP321">
        <v>0</v>
      </c>
      <c r="CQ321" t="s">
        <v>53</v>
      </c>
      <c r="CV321" t="s">
        <v>306</v>
      </c>
      <c r="DA321" t="s">
        <v>306</v>
      </c>
      <c r="DB321" t="s">
        <v>1303</v>
      </c>
      <c r="DC321">
        <v>4265061</v>
      </c>
      <c r="DD321" t="s">
        <v>346</v>
      </c>
      <c r="DE321">
        <v>0</v>
      </c>
      <c r="DF321" t="s">
        <v>62</v>
      </c>
      <c r="DK321" t="s">
        <v>306</v>
      </c>
      <c r="DL321" t="s">
        <v>1303</v>
      </c>
      <c r="DM321">
        <v>4265061</v>
      </c>
      <c r="DN321" t="s">
        <v>346</v>
      </c>
      <c r="DO321">
        <v>0</v>
      </c>
      <c r="DP321" t="s">
        <v>62</v>
      </c>
      <c r="DU321" t="s">
        <v>306</v>
      </c>
      <c r="DZ321" t="s">
        <v>306</v>
      </c>
      <c r="EA321" t="s">
        <v>1773</v>
      </c>
      <c r="EB321">
        <v>4338027</v>
      </c>
      <c r="EC321" t="s">
        <v>346</v>
      </c>
      <c r="ED321">
        <v>0</v>
      </c>
      <c r="EE321" t="s">
        <v>2201</v>
      </c>
      <c r="EF321" t="s">
        <v>1303</v>
      </c>
      <c r="EG321">
        <v>4265061</v>
      </c>
      <c r="EH321" t="s">
        <v>346</v>
      </c>
      <c r="EI321">
        <v>0</v>
      </c>
      <c r="EJ321" t="s">
        <v>62</v>
      </c>
      <c r="EO321" t="s">
        <v>306</v>
      </c>
      <c r="ET321" t="s">
        <v>306</v>
      </c>
      <c r="EY321" t="s">
        <v>306</v>
      </c>
      <c r="FD321" t="s">
        <v>306</v>
      </c>
      <c r="FI321" t="s">
        <v>306</v>
      </c>
      <c r="FN321" t="s">
        <v>306</v>
      </c>
      <c r="FS321" t="s">
        <v>306</v>
      </c>
      <c r="FX321" t="s">
        <v>306</v>
      </c>
      <c r="FY321" t="s">
        <v>1303</v>
      </c>
      <c r="FZ321">
        <v>4265061</v>
      </c>
      <c r="GA321" t="s">
        <v>346</v>
      </c>
      <c r="GB321">
        <v>0</v>
      </c>
      <c r="GC321" t="s">
        <v>62</v>
      </c>
      <c r="GH321" t="s">
        <v>306</v>
      </c>
      <c r="GM321" t="s">
        <v>306</v>
      </c>
      <c r="GR321" t="s">
        <v>306</v>
      </c>
      <c r="GS321" t="s">
        <v>1251</v>
      </c>
      <c r="GT321">
        <v>4119608</v>
      </c>
      <c r="GU321" t="s">
        <v>346</v>
      </c>
      <c r="GV321">
        <v>0</v>
      </c>
      <c r="GW321" t="s">
        <v>53</v>
      </c>
      <c r="GX321" t="s">
        <v>1773</v>
      </c>
      <c r="GY321">
        <v>4338027</v>
      </c>
      <c r="GZ321" t="s">
        <v>346</v>
      </c>
      <c r="HA321">
        <v>0</v>
      </c>
      <c r="HB321" t="s">
        <v>2201</v>
      </c>
      <c r="HG321" t="s">
        <v>306</v>
      </c>
    </row>
    <row r="322" spans="5:215" x14ac:dyDescent="0.35">
      <c r="E322" t="s">
        <v>306</v>
      </c>
      <c r="J322" t="s">
        <v>306</v>
      </c>
      <c r="O322" t="s">
        <v>306</v>
      </c>
      <c r="T322" t="s">
        <v>306</v>
      </c>
      <c r="U322" t="s">
        <v>872</v>
      </c>
      <c r="V322">
        <v>4025426</v>
      </c>
      <c r="W322" t="s">
        <v>300</v>
      </c>
      <c r="X322">
        <v>0</v>
      </c>
      <c r="Y322" t="s">
        <v>53</v>
      </c>
      <c r="AD322" t="s">
        <v>306</v>
      </c>
      <c r="AI322" t="s">
        <v>306</v>
      </c>
      <c r="AN322" t="s">
        <v>306</v>
      </c>
      <c r="AS322" t="s">
        <v>306</v>
      </c>
      <c r="AX322" t="s">
        <v>306</v>
      </c>
      <c r="BC322" t="s">
        <v>306</v>
      </c>
      <c r="BD322" t="s">
        <v>1146</v>
      </c>
      <c r="BE322">
        <v>4138223</v>
      </c>
      <c r="BF322" t="s">
        <v>346</v>
      </c>
      <c r="BG322">
        <v>0</v>
      </c>
      <c r="BH322" t="s">
        <v>320</v>
      </c>
      <c r="BM322" t="s">
        <v>306</v>
      </c>
      <c r="BN322" t="s">
        <v>921</v>
      </c>
      <c r="BO322">
        <v>5853282</v>
      </c>
      <c r="BP322" t="s">
        <v>346</v>
      </c>
      <c r="BQ322">
        <v>0</v>
      </c>
      <c r="BR322" t="s">
        <v>50</v>
      </c>
      <c r="BS322" t="s">
        <v>890</v>
      </c>
      <c r="BT322">
        <v>4260136</v>
      </c>
      <c r="BU322" t="s">
        <v>346</v>
      </c>
      <c r="BV322">
        <v>0</v>
      </c>
      <c r="BW322" t="s">
        <v>317</v>
      </c>
      <c r="BX322" t="s">
        <v>872</v>
      </c>
      <c r="BY322">
        <v>4025426</v>
      </c>
      <c r="BZ322" t="s">
        <v>300</v>
      </c>
      <c r="CA322">
        <v>0</v>
      </c>
      <c r="CB322" t="s">
        <v>53</v>
      </c>
      <c r="CC322" t="s">
        <v>1500</v>
      </c>
      <c r="CD322">
        <v>4388826</v>
      </c>
      <c r="CE322" t="s">
        <v>346</v>
      </c>
      <c r="CF322">
        <v>0</v>
      </c>
      <c r="CG322" t="s">
        <v>53</v>
      </c>
      <c r="CL322" t="s">
        <v>306</v>
      </c>
      <c r="CM322" t="s">
        <v>625</v>
      </c>
      <c r="CN322">
        <v>111206</v>
      </c>
      <c r="CO322" t="s">
        <v>346</v>
      </c>
      <c r="CP322">
        <v>0</v>
      </c>
      <c r="CQ322" t="s">
        <v>53</v>
      </c>
      <c r="CV322" t="s">
        <v>306</v>
      </c>
      <c r="DA322" t="s">
        <v>306</v>
      </c>
      <c r="DB322" t="s">
        <v>1146</v>
      </c>
      <c r="DC322">
        <v>4138223</v>
      </c>
      <c r="DD322" t="s">
        <v>346</v>
      </c>
      <c r="DE322">
        <v>0</v>
      </c>
      <c r="DF322" t="s">
        <v>320</v>
      </c>
      <c r="DK322" t="s">
        <v>306</v>
      </c>
      <c r="DL322" t="s">
        <v>1146</v>
      </c>
      <c r="DM322">
        <v>4138223</v>
      </c>
      <c r="DN322" t="s">
        <v>346</v>
      </c>
      <c r="DO322">
        <v>0</v>
      </c>
      <c r="DP322" t="s">
        <v>320</v>
      </c>
      <c r="DU322" t="s">
        <v>306</v>
      </c>
      <c r="DZ322" t="s">
        <v>306</v>
      </c>
      <c r="EA322" t="s">
        <v>1500</v>
      </c>
      <c r="EB322">
        <v>4388826</v>
      </c>
      <c r="EC322" t="s">
        <v>346</v>
      </c>
      <c r="ED322">
        <v>0</v>
      </c>
      <c r="EE322" t="s">
        <v>53</v>
      </c>
      <c r="EF322" t="s">
        <v>1146</v>
      </c>
      <c r="EG322">
        <v>4138223</v>
      </c>
      <c r="EH322" t="s">
        <v>346</v>
      </c>
      <c r="EI322">
        <v>0</v>
      </c>
      <c r="EJ322" t="s">
        <v>320</v>
      </c>
      <c r="EO322" t="s">
        <v>306</v>
      </c>
      <c r="ET322" t="s">
        <v>306</v>
      </c>
      <c r="EY322" t="s">
        <v>306</v>
      </c>
      <c r="FD322" t="s">
        <v>306</v>
      </c>
      <c r="FI322" t="s">
        <v>306</v>
      </c>
      <c r="FN322" t="s">
        <v>306</v>
      </c>
      <c r="FS322" t="s">
        <v>306</v>
      </c>
      <c r="FX322" t="s">
        <v>306</v>
      </c>
      <c r="FY322" t="s">
        <v>1146</v>
      </c>
      <c r="FZ322">
        <v>4138223</v>
      </c>
      <c r="GA322" t="s">
        <v>346</v>
      </c>
      <c r="GB322">
        <v>0</v>
      </c>
      <c r="GC322" t="s">
        <v>320</v>
      </c>
      <c r="GH322" t="s">
        <v>306</v>
      </c>
      <c r="GM322" t="s">
        <v>306</v>
      </c>
      <c r="GR322" t="s">
        <v>306</v>
      </c>
      <c r="GS322" t="s">
        <v>921</v>
      </c>
      <c r="GT322">
        <v>5853282</v>
      </c>
      <c r="GU322" t="s">
        <v>346</v>
      </c>
      <c r="GV322">
        <v>0</v>
      </c>
      <c r="GW322" t="s">
        <v>50</v>
      </c>
      <c r="GX322" t="s">
        <v>1500</v>
      </c>
      <c r="GY322">
        <v>4388826</v>
      </c>
      <c r="GZ322" t="s">
        <v>346</v>
      </c>
      <c r="HA322">
        <v>0</v>
      </c>
      <c r="HB322" t="s">
        <v>53</v>
      </c>
      <c r="HG322" t="s">
        <v>306</v>
      </c>
    </row>
    <row r="323" spans="5:215" x14ac:dyDescent="0.35">
      <c r="E323" t="s">
        <v>306</v>
      </c>
      <c r="J323" t="s">
        <v>306</v>
      </c>
      <c r="O323" t="s">
        <v>306</v>
      </c>
      <c r="T323" t="s">
        <v>306</v>
      </c>
      <c r="U323" t="s">
        <v>873</v>
      </c>
      <c r="V323">
        <v>4873872</v>
      </c>
      <c r="W323" t="s">
        <v>346</v>
      </c>
      <c r="X323">
        <v>0</v>
      </c>
      <c r="Y323" t="s">
        <v>2184</v>
      </c>
      <c r="AD323" t="s">
        <v>306</v>
      </c>
      <c r="AI323" t="s">
        <v>306</v>
      </c>
      <c r="AN323" t="s">
        <v>306</v>
      </c>
      <c r="AS323" t="s">
        <v>306</v>
      </c>
      <c r="AX323" t="s">
        <v>306</v>
      </c>
      <c r="BC323" t="s">
        <v>306</v>
      </c>
      <c r="BD323" t="s">
        <v>1492</v>
      </c>
      <c r="BE323">
        <v>4229289</v>
      </c>
      <c r="BF323" t="s">
        <v>346</v>
      </c>
      <c r="BG323">
        <v>0</v>
      </c>
      <c r="BH323" t="s">
        <v>323</v>
      </c>
      <c r="BM323" t="s">
        <v>306</v>
      </c>
      <c r="BN323" t="s">
        <v>591</v>
      </c>
      <c r="BO323">
        <v>109721</v>
      </c>
      <c r="BP323" t="s">
        <v>346</v>
      </c>
      <c r="BQ323">
        <v>0</v>
      </c>
      <c r="BR323" t="s">
        <v>53</v>
      </c>
      <c r="BS323" t="s">
        <v>820</v>
      </c>
      <c r="BT323">
        <v>4240804</v>
      </c>
      <c r="BU323" t="s">
        <v>346</v>
      </c>
      <c r="BV323">
        <v>0</v>
      </c>
      <c r="BW323" t="s">
        <v>2191</v>
      </c>
      <c r="BX323" t="s">
        <v>873</v>
      </c>
      <c r="BY323">
        <v>4873872</v>
      </c>
      <c r="BZ323" t="s">
        <v>346</v>
      </c>
      <c r="CA323">
        <v>0</v>
      </c>
      <c r="CB323" t="s">
        <v>2184</v>
      </c>
      <c r="CC323" t="s">
        <v>1774</v>
      </c>
      <c r="CD323">
        <v>5774712</v>
      </c>
      <c r="CE323" t="s">
        <v>346</v>
      </c>
      <c r="CF323">
        <v>0</v>
      </c>
      <c r="CG323" t="s">
        <v>53</v>
      </c>
      <c r="CL323" t="s">
        <v>306</v>
      </c>
      <c r="CM323" t="s">
        <v>2037</v>
      </c>
      <c r="CN323">
        <v>4305266</v>
      </c>
      <c r="CO323" t="s">
        <v>346</v>
      </c>
      <c r="CP323">
        <v>0</v>
      </c>
      <c r="CQ323" t="s">
        <v>53</v>
      </c>
      <c r="CV323" t="s">
        <v>306</v>
      </c>
      <c r="DA323" t="s">
        <v>306</v>
      </c>
      <c r="DB323" t="s">
        <v>1492</v>
      </c>
      <c r="DC323">
        <v>4229289</v>
      </c>
      <c r="DD323" t="s">
        <v>346</v>
      </c>
      <c r="DE323">
        <v>0</v>
      </c>
      <c r="DF323" t="s">
        <v>323</v>
      </c>
      <c r="DK323" t="s">
        <v>306</v>
      </c>
      <c r="DL323" t="s">
        <v>1492</v>
      </c>
      <c r="DM323">
        <v>4229289</v>
      </c>
      <c r="DN323" t="s">
        <v>346</v>
      </c>
      <c r="DO323">
        <v>0</v>
      </c>
      <c r="DP323" t="s">
        <v>323</v>
      </c>
      <c r="DU323" t="s">
        <v>306</v>
      </c>
      <c r="DZ323" t="s">
        <v>306</v>
      </c>
      <c r="EA323" t="s">
        <v>1774</v>
      </c>
      <c r="EB323">
        <v>5774712</v>
      </c>
      <c r="EC323" t="s">
        <v>346</v>
      </c>
      <c r="ED323">
        <v>0</v>
      </c>
      <c r="EE323" t="s">
        <v>53</v>
      </c>
      <c r="EF323" t="s">
        <v>1492</v>
      </c>
      <c r="EG323">
        <v>4229289</v>
      </c>
      <c r="EH323" t="s">
        <v>346</v>
      </c>
      <c r="EI323">
        <v>0</v>
      </c>
      <c r="EJ323" t="s">
        <v>323</v>
      </c>
      <c r="EO323" t="s">
        <v>306</v>
      </c>
      <c r="ET323" t="s">
        <v>306</v>
      </c>
      <c r="EY323" t="s">
        <v>306</v>
      </c>
      <c r="FD323" t="s">
        <v>306</v>
      </c>
      <c r="FI323" t="s">
        <v>306</v>
      </c>
      <c r="FN323" t="s">
        <v>306</v>
      </c>
      <c r="FS323" t="s">
        <v>306</v>
      </c>
      <c r="FX323" t="s">
        <v>306</v>
      </c>
      <c r="FY323" t="s">
        <v>1492</v>
      </c>
      <c r="FZ323">
        <v>4229289</v>
      </c>
      <c r="GA323" t="s">
        <v>346</v>
      </c>
      <c r="GB323">
        <v>0</v>
      </c>
      <c r="GC323" t="s">
        <v>323</v>
      </c>
      <c r="GH323" t="s">
        <v>306</v>
      </c>
      <c r="GM323" t="s">
        <v>306</v>
      </c>
      <c r="GR323" t="s">
        <v>306</v>
      </c>
      <c r="GS323" t="s">
        <v>591</v>
      </c>
      <c r="GT323">
        <v>109721</v>
      </c>
      <c r="GU323" t="s">
        <v>346</v>
      </c>
      <c r="GV323">
        <v>0</v>
      </c>
      <c r="GW323" t="s">
        <v>53</v>
      </c>
      <c r="GX323" t="s">
        <v>1774</v>
      </c>
      <c r="GY323">
        <v>5774712</v>
      </c>
      <c r="GZ323" t="s">
        <v>346</v>
      </c>
      <c r="HA323">
        <v>0</v>
      </c>
      <c r="HB323" t="s">
        <v>53</v>
      </c>
      <c r="HG323" t="s">
        <v>306</v>
      </c>
    </row>
    <row r="324" spans="5:215" x14ac:dyDescent="0.35">
      <c r="E324" t="s">
        <v>306</v>
      </c>
      <c r="J324" t="s">
        <v>306</v>
      </c>
      <c r="O324" t="s">
        <v>306</v>
      </c>
      <c r="T324" t="s">
        <v>306</v>
      </c>
      <c r="U324" t="s">
        <v>874</v>
      </c>
      <c r="V324">
        <v>4111802</v>
      </c>
      <c r="W324" t="s">
        <v>346</v>
      </c>
      <c r="X324">
        <v>0</v>
      </c>
      <c r="Y324" t="s">
        <v>304</v>
      </c>
      <c r="AD324" t="s">
        <v>306</v>
      </c>
      <c r="AI324" t="s">
        <v>306</v>
      </c>
      <c r="AN324" t="s">
        <v>306</v>
      </c>
      <c r="AS324" t="s">
        <v>306</v>
      </c>
      <c r="AX324" t="s">
        <v>306</v>
      </c>
      <c r="BC324" t="s">
        <v>306</v>
      </c>
      <c r="BD324" t="s">
        <v>1332</v>
      </c>
      <c r="BE324">
        <v>4949613</v>
      </c>
      <c r="BF324" t="s">
        <v>346</v>
      </c>
      <c r="BG324">
        <v>0</v>
      </c>
      <c r="BH324" t="s">
        <v>62</v>
      </c>
      <c r="BM324" t="s">
        <v>306</v>
      </c>
      <c r="BN324" t="s">
        <v>502</v>
      </c>
      <c r="BO324">
        <v>4225041</v>
      </c>
      <c r="BP324" t="s">
        <v>346</v>
      </c>
      <c r="BQ324">
        <v>0</v>
      </c>
      <c r="BR324" t="s">
        <v>2186</v>
      </c>
      <c r="BS324" t="s">
        <v>835</v>
      </c>
      <c r="BT324">
        <v>4878959</v>
      </c>
      <c r="BU324" t="s">
        <v>346</v>
      </c>
      <c r="BV324">
        <v>0</v>
      </c>
      <c r="BW324" t="s">
        <v>50</v>
      </c>
      <c r="BX324" t="s">
        <v>874</v>
      </c>
      <c r="BY324">
        <v>4111802</v>
      </c>
      <c r="BZ324" t="s">
        <v>346</v>
      </c>
      <c r="CA324">
        <v>0</v>
      </c>
      <c r="CB324" t="s">
        <v>304</v>
      </c>
      <c r="CC324" t="s">
        <v>1775</v>
      </c>
      <c r="CD324">
        <v>4226156</v>
      </c>
      <c r="CE324" t="s">
        <v>364</v>
      </c>
      <c r="CF324">
        <v>0</v>
      </c>
      <c r="CG324" t="s">
        <v>53</v>
      </c>
      <c r="CL324" t="s">
        <v>306</v>
      </c>
      <c r="CM324" t="s">
        <v>1321</v>
      </c>
      <c r="CN324">
        <v>4213183</v>
      </c>
      <c r="CO324" t="s">
        <v>346</v>
      </c>
      <c r="CP324">
        <v>0</v>
      </c>
      <c r="CQ324" t="s">
        <v>62</v>
      </c>
      <c r="CV324" t="s">
        <v>306</v>
      </c>
      <c r="DA324" t="s">
        <v>306</v>
      </c>
      <c r="DB324" t="s">
        <v>1332</v>
      </c>
      <c r="DC324">
        <v>4949613</v>
      </c>
      <c r="DD324" t="s">
        <v>346</v>
      </c>
      <c r="DE324">
        <v>0</v>
      </c>
      <c r="DF324" t="s">
        <v>62</v>
      </c>
      <c r="DK324" t="s">
        <v>306</v>
      </c>
      <c r="DL324" t="s">
        <v>1332</v>
      </c>
      <c r="DM324">
        <v>4949613</v>
      </c>
      <c r="DN324" t="s">
        <v>346</v>
      </c>
      <c r="DO324">
        <v>0</v>
      </c>
      <c r="DP324" t="s">
        <v>62</v>
      </c>
      <c r="DU324" t="s">
        <v>306</v>
      </c>
      <c r="DZ324" t="s">
        <v>306</v>
      </c>
      <c r="EA324" t="s">
        <v>1775</v>
      </c>
      <c r="EB324">
        <v>4226156</v>
      </c>
      <c r="EC324" t="s">
        <v>364</v>
      </c>
      <c r="ED324">
        <v>0</v>
      </c>
      <c r="EE324" t="s">
        <v>53</v>
      </c>
      <c r="EF324" t="s">
        <v>1332</v>
      </c>
      <c r="EG324">
        <v>4949613</v>
      </c>
      <c r="EH324" t="s">
        <v>346</v>
      </c>
      <c r="EI324">
        <v>0</v>
      </c>
      <c r="EJ324" t="s">
        <v>62</v>
      </c>
      <c r="EO324" t="s">
        <v>306</v>
      </c>
      <c r="ET324" t="s">
        <v>306</v>
      </c>
      <c r="EY324" t="s">
        <v>306</v>
      </c>
      <c r="FD324" t="s">
        <v>306</v>
      </c>
      <c r="FI324" t="s">
        <v>306</v>
      </c>
      <c r="FN324" t="s">
        <v>306</v>
      </c>
      <c r="FS324" t="s">
        <v>306</v>
      </c>
      <c r="FX324" t="s">
        <v>306</v>
      </c>
      <c r="FY324" t="s">
        <v>1332</v>
      </c>
      <c r="FZ324">
        <v>4949613</v>
      </c>
      <c r="GA324" t="s">
        <v>346</v>
      </c>
      <c r="GB324">
        <v>0</v>
      </c>
      <c r="GC324" t="s">
        <v>62</v>
      </c>
      <c r="GH324" t="s">
        <v>306</v>
      </c>
      <c r="GM324" t="s">
        <v>306</v>
      </c>
      <c r="GR324" t="s">
        <v>306</v>
      </c>
      <c r="GS324" t="s">
        <v>502</v>
      </c>
      <c r="GT324">
        <v>4225041</v>
      </c>
      <c r="GU324" t="s">
        <v>346</v>
      </c>
      <c r="GV324">
        <v>0</v>
      </c>
      <c r="GW324" t="s">
        <v>2186</v>
      </c>
      <c r="GX324" t="s">
        <v>1775</v>
      </c>
      <c r="GY324">
        <v>4226156</v>
      </c>
      <c r="GZ324" t="s">
        <v>364</v>
      </c>
      <c r="HA324">
        <v>0</v>
      </c>
      <c r="HB324" t="s">
        <v>53</v>
      </c>
      <c r="HG324" t="s">
        <v>306</v>
      </c>
    </row>
    <row r="325" spans="5:215" x14ac:dyDescent="0.35">
      <c r="E325" t="s">
        <v>306</v>
      </c>
      <c r="J325" t="s">
        <v>306</v>
      </c>
      <c r="O325" t="s">
        <v>306</v>
      </c>
      <c r="T325" t="s">
        <v>306</v>
      </c>
      <c r="U325" t="s">
        <v>631</v>
      </c>
      <c r="V325">
        <v>112247511</v>
      </c>
      <c r="W325" t="s">
        <v>346</v>
      </c>
      <c r="X325">
        <v>0</v>
      </c>
      <c r="Y325" t="s">
        <v>53</v>
      </c>
      <c r="AD325" t="s">
        <v>306</v>
      </c>
      <c r="AI325" t="s">
        <v>306</v>
      </c>
      <c r="AN325" t="s">
        <v>306</v>
      </c>
      <c r="AS325" t="s">
        <v>306</v>
      </c>
      <c r="AX325" t="s">
        <v>306</v>
      </c>
      <c r="BC325" t="s">
        <v>306</v>
      </c>
      <c r="BD325" t="s">
        <v>586</v>
      </c>
      <c r="BE325">
        <v>4251516</v>
      </c>
      <c r="BF325" t="s">
        <v>346</v>
      </c>
      <c r="BG325">
        <v>0</v>
      </c>
      <c r="BH325" t="s">
        <v>320</v>
      </c>
      <c r="BM325" t="s">
        <v>306</v>
      </c>
      <c r="BN325" t="s">
        <v>812</v>
      </c>
      <c r="BO325" t="s">
        <v>300</v>
      </c>
      <c r="BP325" t="s">
        <v>361</v>
      </c>
      <c r="BQ325">
        <v>0</v>
      </c>
      <c r="BR325" t="s">
        <v>50</v>
      </c>
      <c r="BS325" t="s">
        <v>1021</v>
      </c>
      <c r="BT325" t="s">
        <v>300</v>
      </c>
      <c r="BU325" t="s">
        <v>361</v>
      </c>
      <c r="BV325">
        <v>0</v>
      </c>
      <c r="BW325" t="s">
        <v>50</v>
      </c>
      <c r="BX325" t="s">
        <v>631</v>
      </c>
      <c r="BY325">
        <v>112247511</v>
      </c>
      <c r="BZ325" t="s">
        <v>346</v>
      </c>
      <c r="CA325">
        <v>0</v>
      </c>
      <c r="CB325" t="s">
        <v>53</v>
      </c>
      <c r="CC325" t="s">
        <v>1185</v>
      </c>
      <c r="CD325">
        <v>110616</v>
      </c>
      <c r="CE325" t="s">
        <v>346</v>
      </c>
      <c r="CF325">
        <v>0</v>
      </c>
      <c r="CG325" t="s">
        <v>313</v>
      </c>
      <c r="CL325" t="s">
        <v>306</v>
      </c>
      <c r="CM325" t="s">
        <v>2038</v>
      </c>
      <c r="CN325">
        <v>4677843</v>
      </c>
      <c r="CO325" t="s">
        <v>346</v>
      </c>
      <c r="CP325">
        <v>0</v>
      </c>
      <c r="CQ325" t="s">
        <v>53</v>
      </c>
      <c r="CV325" t="s">
        <v>306</v>
      </c>
      <c r="DA325" t="s">
        <v>306</v>
      </c>
      <c r="DB325" t="s">
        <v>586</v>
      </c>
      <c r="DC325">
        <v>4251516</v>
      </c>
      <c r="DD325" t="s">
        <v>346</v>
      </c>
      <c r="DE325">
        <v>0</v>
      </c>
      <c r="DF325" t="s">
        <v>320</v>
      </c>
      <c r="DK325" t="s">
        <v>306</v>
      </c>
      <c r="DL325" t="s">
        <v>586</v>
      </c>
      <c r="DM325">
        <v>4251516</v>
      </c>
      <c r="DN325" t="s">
        <v>346</v>
      </c>
      <c r="DO325">
        <v>0</v>
      </c>
      <c r="DP325" t="s">
        <v>320</v>
      </c>
      <c r="DU325" t="s">
        <v>306</v>
      </c>
      <c r="DZ325" t="s">
        <v>306</v>
      </c>
      <c r="EA325" t="s">
        <v>1185</v>
      </c>
      <c r="EB325">
        <v>110616</v>
      </c>
      <c r="EC325" t="s">
        <v>346</v>
      </c>
      <c r="ED325">
        <v>0</v>
      </c>
      <c r="EE325" t="s">
        <v>313</v>
      </c>
      <c r="EF325" t="s">
        <v>586</v>
      </c>
      <c r="EG325">
        <v>4251516</v>
      </c>
      <c r="EH325" t="s">
        <v>346</v>
      </c>
      <c r="EI325">
        <v>0</v>
      </c>
      <c r="EJ325" t="s">
        <v>320</v>
      </c>
      <c r="EO325" t="s">
        <v>306</v>
      </c>
      <c r="ET325" t="s">
        <v>306</v>
      </c>
      <c r="EY325" t="s">
        <v>306</v>
      </c>
      <c r="FD325" t="s">
        <v>306</v>
      </c>
      <c r="FI325" t="s">
        <v>306</v>
      </c>
      <c r="FN325" t="s">
        <v>306</v>
      </c>
      <c r="FS325" t="s">
        <v>306</v>
      </c>
      <c r="FX325" t="s">
        <v>306</v>
      </c>
      <c r="FY325" t="s">
        <v>586</v>
      </c>
      <c r="FZ325">
        <v>4251516</v>
      </c>
      <c r="GA325" t="s">
        <v>346</v>
      </c>
      <c r="GB325">
        <v>0</v>
      </c>
      <c r="GC325" t="s">
        <v>320</v>
      </c>
      <c r="GH325" t="s">
        <v>306</v>
      </c>
      <c r="GM325" t="s">
        <v>306</v>
      </c>
      <c r="GR325" t="s">
        <v>306</v>
      </c>
      <c r="GS325" t="s">
        <v>812</v>
      </c>
      <c r="GT325" t="s">
        <v>300</v>
      </c>
      <c r="GU325" t="s">
        <v>361</v>
      </c>
      <c r="GV325">
        <v>0</v>
      </c>
      <c r="GW325" t="s">
        <v>50</v>
      </c>
      <c r="GX325" t="s">
        <v>1185</v>
      </c>
      <c r="GY325">
        <v>110616</v>
      </c>
      <c r="GZ325" t="s">
        <v>346</v>
      </c>
      <c r="HA325">
        <v>0</v>
      </c>
      <c r="HB325" t="s">
        <v>313</v>
      </c>
      <c r="HG325" t="s">
        <v>306</v>
      </c>
    </row>
    <row r="326" spans="5:215" x14ac:dyDescent="0.35">
      <c r="E326" t="s">
        <v>306</v>
      </c>
      <c r="J326" t="s">
        <v>306</v>
      </c>
      <c r="O326" t="s">
        <v>306</v>
      </c>
      <c r="T326" t="s">
        <v>306</v>
      </c>
      <c r="U326" t="s">
        <v>875</v>
      </c>
      <c r="V326">
        <v>4139902</v>
      </c>
      <c r="W326" t="s">
        <v>346</v>
      </c>
      <c r="X326">
        <v>0</v>
      </c>
      <c r="Y326" t="s">
        <v>50</v>
      </c>
      <c r="AD326" t="s">
        <v>306</v>
      </c>
      <c r="AI326" t="s">
        <v>306</v>
      </c>
      <c r="AN326" t="s">
        <v>306</v>
      </c>
      <c r="AS326" t="s">
        <v>306</v>
      </c>
      <c r="AX326" t="s">
        <v>306</v>
      </c>
      <c r="BC326" t="s">
        <v>306</v>
      </c>
      <c r="BD326" t="s">
        <v>519</v>
      </c>
      <c r="BE326">
        <v>109968</v>
      </c>
      <c r="BF326" t="s">
        <v>346</v>
      </c>
      <c r="BG326">
        <v>0</v>
      </c>
      <c r="BH326" t="s">
        <v>53</v>
      </c>
      <c r="BM326" t="s">
        <v>306</v>
      </c>
      <c r="BN326" t="s">
        <v>891</v>
      </c>
      <c r="BO326">
        <v>4190959</v>
      </c>
      <c r="BP326" t="s">
        <v>346</v>
      </c>
      <c r="BQ326">
        <v>0</v>
      </c>
      <c r="BR326" t="s">
        <v>2188</v>
      </c>
      <c r="BS326" t="s">
        <v>1022</v>
      </c>
      <c r="BT326">
        <v>4139961</v>
      </c>
      <c r="BU326" t="s">
        <v>346</v>
      </c>
      <c r="BV326">
        <v>0</v>
      </c>
      <c r="BW326" t="s">
        <v>320</v>
      </c>
      <c r="BX326" t="s">
        <v>875</v>
      </c>
      <c r="BY326">
        <v>4139902</v>
      </c>
      <c r="BZ326" t="s">
        <v>346</v>
      </c>
      <c r="CA326">
        <v>0</v>
      </c>
      <c r="CB326" t="s">
        <v>50</v>
      </c>
      <c r="CC326" t="s">
        <v>880</v>
      </c>
      <c r="CD326">
        <v>4139864</v>
      </c>
      <c r="CE326" t="s">
        <v>346</v>
      </c>
      <c r="CF326">
        <v>0</v>
      </c>
      <c r="CG326" t="s">
        <v>313</v>
      </c>
      <c r="CL326" t="s">
        <v>306</v>
      </c>
      <c r="CM326" t="s">
        <v>2039</v>
      </c>
      <c r="CN326">
        <v>5776234</v>
      </c>
      <c r="CO326" t="s">
        <v>346</v>
      </c>
      <c r="CP326">
        <v>0</v>
      </c>
      <c r="CQ326" t="s">
        <v>313</v>
      </c>
      <c r="CV326" t="s">
        <v>306</v>
      </c>
      <c r="DA326" t="s">
        <v>306</v>
      </c>
      <c r="DB326" t="s">
        <v>519</v>
      </c>
      <c r="DC326">
        <v>109968</v>
      </c>
      <c r="DD326" t="s">
        <v>346</v>
      </c>
      <c r="DE326">
        <v>0</v>
      </c>
      <c r="DF326" t="s">
        <v>53</v>
      </c>
      <c r="DK326" t="s">
        <v>306</v>
      </c>
      <c r="DL326" t="s">
        <v>519</v>
      </c>
      <c r="DM326">
        <v>109968</v>
      </c>
      <c r="DN326" t="s">
        <v>346</v>
      </c>
      <c r="DO326">
        <v>0</v>
      </c>
      <c r="DP326" t="s">
        <v>53</v>
      </c>
      <c r="DU326" t="s">
        <v>306</v>
      </c>
      <c r="DZ326" t="s">
        <v>306</v>
      </c>
      <c r="EA326" t="s">
        <v>880</v>
      </c>
      <c r="EB326">
        <v>4139864</v>
      </c>
      <c r="EC326" t="s">
        <v>346</v>
      </c>
      <c r="ED326">
        <v>0</v>
      </c>
      <c r="EE326" t="s">
        <v>313</v>
      </c>
      <c r="EF326" t="s">
        <v>519</v>
      </c>
      <c r="EG326">
        <v>109968</v>
      </c>
      <c r="EH326" t="s">
        <v>346</v>
      </c>
      <c r="EI326">
        <v>0</v>
      </c>
      <c r="EJ326" t="s">
        <v>53</v>
      </c>
      <c r="EO326" t="s">
        <v>306</v>
      </c>
      <c r="ET326" t="s">
        <v>306</v>
      </c>
      <c r="EY326" t="s">
        <v>306</v>
      </c>
      <c r="FD326" t="s">
        <v>306</v>
      </c>
      <c r="FI326" t="s">
        <v>306</v>
      </c>
      <c r="FN326" t="s">
        <v>306</v>
      </c>
      <c r="FS326" t="s">
        <v>306</v>
      </c>
      <c r="FX326" t="s">
        <v>306</v>
      </c>
      <c r="FY326" t="s">
        <v>519</v>
      </c>
      <c r="FZ326">
        <v>109968</v>
      </c>
      <c r="GA326" t="s">
        <v>346</v>
      </c>
      <c r="GB326">
        <v>0</v>
      </c>
      <c r="GC326" t="s">
        <v>53</v>
      </c>
      <c r="GH326" t="s">
        <v>306</v>
      </c>
      <c r="GM326" t="s">
        <v>306</v>
      </c>
      <c r="GR326" t="s">
        <v>306</v>
      </c>
      <c r="GS326" t="s">
        <v>891</v>
      </c>
      <c r="GT326">
        <v>4190959</v>
      </c>
      <c r="GU326" t="s">
        <v>346</v>
      </c>
      <c r="GV326">
        <v>0</v>
      </c>
      <c r="GW326" t="s">
        <v>2188</v>
      </c>
      <c r="GX326" t="s">
        <v>880</v>
      </c>
      <c r="GY326">
        <v>4139864</v>
      </c>
      <c r="GZ326" t="s">
        <v>346</v>
      </c>
      <c r="HA326">
        <v>0</v>
      </c>
      <c r="HB326" t="s">
        <v>313</v>
      </c>
      <c r="HG326" t="s">
        <v>306</v>
      </c>
    </row>
    <row r="327" spans="5:215" x14ac:dyDescent="0.35">
      <c r="E327" t="s">
        <v>306</v>
      </c>
      <c r="J327" t="s">
        <v>306</v>
      </c>
      <c r="O327" t="s">
        <v>306</v>
      </c>
      <c r="T327" t="s">
        <v>306</v>
      </c>
      <c r="U327" t="s">
        <v>876</v>
      </c>
      <c r="V327">
        <v>7731166</v>
      </c>
      <c r="W327" t="s">
        <v>346</v>
      </c>
      <c r="X327">
        <v>0</v>
      </c>
      <c r="Y327" t="s">
        <v>50</v>
      </c>
      <c r="AD327" t="s">
        <v>306</v>
      </c>
      <c r="AI327" t="s">
        <v>306</v>
      </c>
      <c r="AN327" t="s">
        <v>306</v>
      </c>
      <c r="AS327" t="s">
        <v>306</v>
      </c>
      <c r="AX327" t="s">
        <v>306</v>
      </c>
      <c r="BC327" t="s">
        <v>306</v>
      </c>
      <c r="BD327" t="s">
        <v>531</v>
      </c>
      <c r="BE327">
        <v>4072215</v>
      </c>
      <c r="BF327" t="s">
        <v>346</v>
      </c>
      <c r="BG327">
        <v>0</v>
      </c>
      <c r="BH327" t="s">
        <v>53</v>
      </c>
      <c r="BM327" t="s">
        <v>306</v>
      </c>
      <c r="BN327" t="s">
        <v>1252</v>
      </c>
      <c r="BO327">
        <v>4230200</v>
      </c>
      <c r="BP327" t="s">
        <v>346</v>
      </c>
      <c r="BQ327">
        <v>0</v>
      </c>
      <c r="BR327" t="s">
        <v>317</v>
      </c>
      <c r="BS327" t="s">
        <v>1023</v>
      </c>
      <c r="BT327">
        <v>4257101</v>
      </c>
      <c r="BU327" t="s">
        <v>366</v>
      </c>
      <c r="BV327">
        <v>0</v>
      </c>
      <c r="BW327" t="s">
        <v>2181</v>
      </c>
      <c r="BX327" t="s">
        <v>876</v>
      </c>
      <c r="BY327">
        <v>7731166</v>
      </c>
      <c r="BZ327" t="s">
        <v>346</v>
      </c>
      <c r="CA327">
        <v>0</v>
      </c>
      <c r="CB327" t="s">
        <v>50</v>
      </c>
      <c r="CC327" t="s">
        <v>1776</v>
      </c>
      <c r="CD327">
        <v>4552228</v>
      </c>
      <c r="CE327" t="s">
        <v>364</v>
      </c>
      <c r="CF327">
        <v>0</v>
      </c>
      <c r="CG327" t="s">
        <v>114</v>
      </c>
      <c r="CL327" t="s">
        <v>306</v>
      </c>
      <c r="CM327" t="s">
        <v>1895</v>
      </c>
      <c r="CN327">
        <v>4134197</v>
      </c>
      <c r="CO327" t="s">
        <v>364</v>
      </c>
      <c r="CP327">
        <v>0</v>
      </c>
      <c r="CQ327" t="s">
        <v>53</v>
      </c>
      <c r="CV327" t="s">
        <v>306</v>
      </c>
      <c r="DA327" t="s">
        <v>306</v>
      </c>
      <c r="DB327" t="s">
        <v>531</v>
      </c>
      <c r="DC327">
        <v>4072215</v>
      </c>
      <c r="DD327" t="s">
        <v>346</v>
      </c>
      <c r="DE327">
        <v>0</v>
      </c>
      <c r="DF327" t="s">
        <v>53</v>
      </c>
      <c r="DK327" t="s">
        <v>306</v>
      </c>
      <c r="DL327" t="s">
        <v>531</v>
      </c>
      <c r="DM327">
        <v>4072215</v>
      </c>
      <c r="DN327" t="s">
        <v>346</v>
      </c>
      <c r="DO327">
        <v>0</v>
      </c>
      <c r="DP327" t="s">
        <v>53</v>
      </c>
      <c r="DU327" t="s">
        <v>306</v>
      </c>
      <c r="DZ327" t="s">
        <v>306</v>
      </c>
      <c r="EA327" t="s">
        <v>1776</v>
      </c>
      <c r="EB327">
        <v>4552228</v>
      </c>
      <c r="EC327" t="s">
        <v>364</v>
      </c>
      <c r="ED327">
        <v>0</v>
      </c>
      <c r="EE327" t="s">
        <v>114</v>
      </c>
      <c r="EF327" t="s">
        <v>531</v>
      </c>
      <c r="EG327">
        <v>4072215</v>
      </c>
      <c r="EH327" t="s">
        <v>346</v>
      </c>
      <c r="EI327">
        <v>0</v>
      </c>
      <c r="EJ327" t="s">
        <v>53</v>
      </c>
      <c r="EO327" t="s">
        <v>306</v>
      </c>
      <c r="ET327" t="s">
        <v>306</v>
      </c>
      <c r="EY327" t="s">
        <v>306</v>
      </c>
      <c r="FD327" t="s">
        <v>306</v>
      </c>
      <c r="FI327" t="s">
        <v>306</v>
      </c>
      <c r="FN327" t="s">
        <v>306</v>
      </c>
      <c r="FS327" t="s">
        <v>306</v>
      </c>
      <c r="FX327" t="s">
        <v>306</v>
      </c>
      <c r="FY327" t="s">
        <v>531</v>
      </c>
      <c r="FZ327">
        <v>4072215</v>
      </c>
      <c r="GA327" t="s">
        <v>346</v>
      </c>
      <c r="GB327">
        <v>0</v>
      </c>
      <c r="GC327" t="s">
        <v>53</v>
      </c>
      <c r="GH327" t="s">
        <v>306</v>
      </c>
      <c r="GM327" t="s">
        <v>306</v>
      </c>
      <c r="GR327" t="s">
        <v>306</v>
      </c>
      <c r="GS327" t="s">
        <v>1252</v>
      </c>
      <c r="GT327">
        <v>4230200</v>
      </c>
      <c r="GU327" t="s">
        <v>346</v>
      </c>
      <c r="GV327">
        <v>0</v>
      </c>
      <c r="GW327" t="s">
        <v>317</v>
      </c>
      <c r="GX327" t="s">
        <v>1776</v>
      </c>
      <c r="GY327">
        <v>4552228</v>
      </c>
      <c r="GZ327" t="s">
        <v>364</v>
      </c>
      <c r="HA327">
        <v>0</v>
      </c>
      <c r="HB327" t="s">
        <v>114</v>
      </c>
      <c r="HG327" t="s">
        <v>306</v>
      </c>
    </row>
    <row r="328" spans="5:215" x14ac:dyDescent="0.35">
      <c r="E328" t="s">
        <v>306</v>
      </c>
      <c r="J328" t="s">
        <v>306</v>
      </c>
      <c r="O328" t="s">
        <v>306</v>
      </c>
      <c r="T328" t="s">
        <v>306</v>
      </c>
      <c r="U328" t="s">
        <v>877</v>
      </c>
      <c r="V328">
        <v>4167462</v>
      </c>
      <c r="W328" t="s">
        <v>366</v>
      </c>
      <c r="X328">
        <v>0</v>
      </c>
      <c r="Y328" t="s">
        <v>53</v>
      </c>
      <c r="AD328" t="s">
        <v>306</v>
      </c>
      <c r="AI328" t="s">
        <v>306</v>
      </c>
      <c r="AN328" t="s">
        <v>306</v>
      </c>
      <c r="AS328" t="s">
        <v>306</v>
      </c>
      <c r="AX328" t="s">
        <v>306</v>
      </c>
      <c r="BC328" t="s">
        <v>306</v>
      </c>
      <c r="BD328" t="s">
        <v>1493</v>
      </c>
      <c r="BE328">
        <v>4672316</v>
      </c>
      <c r="BF328" t="s">
        <v>346</v>
      </c>
      <c r="BG328">
        <v>0</v>
      </c>
      <c r="BH328" t="s">
        <v>62</v>
      </c>
      <c r="BM328" t="s">
        <v>306</v>
      </c>
      <c r="BN328" t="s">
        <v>790</v>
      </c>
      <c r="BO328">
        <v>5883003</v>
      </c>
      <c r="BP328" t="s">
        <v>346</v>
      </c>
      <c r="BQ328">
        <v>0</v>
      </c>
      <c r="BR328" t="s">
        <v>50</v>
      </c>
      <c r="BS328" t="s">
        <v>1024</v>
      </c>
      <c r="BT328">
        <v>5749757</v>
      </c>
      <c r="BU328" t="s">
        <v>346</v>
      </c>
      <c r="BV328">
        <v>0</v>
      </c>
      <c r="BW328" t="s">
        <v>313</v>
      </c>
      <c r="BX328" t="s">
        <v>877</v>
      </c>
      <c r="BY328">
        <v>4167462</v>
      </c>
      <c r="BZ328" t="s">
        <v>366</v>
      </c>
      <c r="CA328">
        <v>0</v>
      </c>
      <c r="CB328" t="s">
        <v>53</v>
      </c>
      <c r="CC328" t="s">
        <v>378</v>
      </c>
      <c r="CD328">
        <v>4048184</v>
      </c>
      <c r="CE328" t="s">
        <v>346</v>
      </c>
      <c r="CF328">
        <v>0</v>
      </c>
      <c r="CG328" t="s">
        <v>80</v>
      </c>
      <c r="CL328" t="s">
        <v>306</v>
      </c>
      <c r="CM328" t="s">
        <v>816</v>
      </c>
      <c r="CN328">
        <v>4187337</v>
      </c>
      <c r="CO328" t="s">
        <v>364</v>
      </c>
      <c r="CP328">
        <v>0</v>
      </c>
      <c r="CQ328" t="s">
        <v>2184</v>
      </c>
      <c r="CV328" t="s">
        <v>306</v>
      </c>
      <c r="DA328" t="s">
        <v>306</v>
      </c>
      <c r="DB328" t="s">
        <v>1493</v>
      </c>
      <c r="DC328">
        <v>4672316</v>
      </c>
      <c r="DD328" t="s">
        <v>346</v>
      </c>
      <c r="DE328">
        <v>0</v>
      </c>
      <c r="DF328" t="s">
        <v>62</v>
      </c>
      <c r="DK328" t="s">
        <v>306</v>
      </c>
      <c r="DL328" t="s">
        <v>1493</v>
      </c>
      <c r="DM328">
        <v>4672316</v>
      </c>
      <c r="DN328" t="s">
        <v>346</v>
      </c>
      <c r="DO328">
        <v>0</v>
      </c>
      <c r="DP328" t="s">
        <v>62</v>
      </c>
      <c r="DU328" t="s">
        <v>306</v>
      </c>
      <c r="DZ328" t="s">
        <v>306</v>
      </c>
      <c r="EA328" t="s">
        <v>378</v>
      </c>
      <c r="EB328">
        <v>4048184</v>
      </c>
      <c r="EC328" t="s">
        <v>346</v>
      </c>
      <c r="ED328">
        <v>0</v>
      </c>
      <c r="EE328" t="s">
        <v>80</v>
      </c>
      <c r="EF328" t="s">
        <v>1493</v>
      </c>
      <c r="EG328">
        <v>4672316</v>
      </c>
      <c r="EH328" t="s">
        <v>346</v>
      </c>
      <c r="EI328">
        <v>0</v>
      </c>
      <c r="EJ328" t="s">
        <v>62</v>
      </c>
      <c r="EO328" t="s">
        <v>306</v>
      </c>
      <c r="ET328" t="s">
        <v>306</v>
      </c>
      <c r="EY328" t="s">
        <v>306</v>
      </c>
      <c r="FD328" t="s">
        <v>306</v>
      </c>
      <c r="FI328" t="s">
        <v>306</v>
      </c>
      <c r="FN328" t="s">
        <v>306</v>
      </c>
      <c r="FS328" t="s">
        <v>306</v>
      </c>
      <c r="FX328" t="s">
        <v>306</v>
      </c>
      <c r="FY328" t="s">
        <v>1493</v>
      </c>
      <c r="FZ328">
        <v>4672316</v>
      </c>
      <c r="GA328" t="s">
        <v>346</v>
      </c>
      <c r="GB328">
        <v>0</v>
      </c>
      <c r="GC328" t="s">
        <v>62</v>
      </c>
      <c r="GH328" t="s">
        <v>306</v>
      </c>
      <c r="GM328" t="s">
        <v>306</v>
      </c>
      <c r="GR328" t="s">
        <v>306</v>
      </c>
      <c r="GS328" t="s">
        <v>790</v>
      </c>
      <c r="GT328">
        <v>5883003</v>
      </c>
      <c r="GU328" t="s">
        <v>346</v>
      </c>
      <c r="GV328">
        <v>0</v>
      </c>
      <c r="GW328" t="s">
        <v>50</v>
      </c>
      <c r="GX328" t="s">
        <v>378</v>
      </c>
      <c r="GY328">
        <v>4048184</v>
      </c>
      <c r="GZ328" t="s">
        <v>346</v>
      </c>
      <c r="HA328">
        <v>0</v>
      </c>
      <c r="HB328" t="s">
        <v>80</v>
      </c>
      <c r="HG328" t="s">
        <v>306</v>
      </c>
    </row>
    <row r="329" spans="5:215" x14ac:dyDescent="0.35">
      <c r="E329" t="s">
        <v>306</v>
      </c>
      <c r="J329" t="s">
        <v>306</v>
      </c>
      <c r="O329" t="s">
        <v>306</v>
      </c>
      <c r="T329" t="s">
        <v>306</v>
      </c>
      <c r="U329" t="s">
        <v>878</v>
      </c>
      <c r="V329">
        <v>4138146</v>
      </c>
      <c r="W329" t="s">
        <v>346</v>
      </c>
      <c r="X329">
        <v>0</v>
      </c>
      <c r="Y329" t="s">
        <v>313</v>
      </c>
      <c r="AD329" t="s">
        <v>306</v>
      </c>
      <c r="AI329" t="s">
        <v>306</v>
      </c>
      <c r="AN329" t="s">
        <v>306</v>
      </c>
      <c r="AS329" t="s">
        <v>306</v>
      </c>
      <c r="AX329" t="s">
        <v>306</v>
      </c>
      <c r="BC329" t="s">
        <v>306</v>
      </c>
      <c r="BD329" t="s">
        <v>517</v>
      </c>
      <c r="BE329">
        <v>111097</v>
      </c>
      <c r="BF329" t="s">
        <v>346</v>
      </c>
      <c r="BG329">
        <v>0</v>
      </c>
      <c r="BH329" t="s">
        <v>53</v>
      </c>
      <c r="BM329" t="s">
        <v>306</v>
      </c>
      <c r="BN329" t="s">
        <v>1179</v>
      </c>
      <c r="BO329">
        <v>4556895</v>
      </c>
      <c r="BP329" t="s">
        <v>346</v>
      </c>
      <c r="BQ329">
        <v>0</v>
      </c>
      <c r="BR329" t="s">
        <v>2193</v>
      </c>
      <c r="BS329" t="s">
        <v>805</v>
      </c>
      <c r="BT329">
        <v>4066647</v>
      </c>
      <c r="BU329" t="s">
        <v>369</v>
      </c>
      <c r="BV329">
        <v>0</v>
      </c>
      <c r="BW329" t="s">
        <v>80</v>
      </c>
      <c r="BX329" t="s">
        <v>878</v>
      </c>
      <c r="BY329">
        <v>4138146</v>
      </c>
      <c r="BZ329" t="s">
        <v>346</v>
      </c>
      <c r="CA329">
        <v>0</v>
      </c>
      <c r="CB329" t="s">
        <v>313</v>
      </c>
      <c r="CC329" t="s">
        <v>1777</v>
      </c>
      <c r="CD329">
        <v>4115973</v>
      </c>
      <c r="CE329" t="s">
        <v>346</v>
      </c>
      <c r="CF329">
        <v>0</v>
      </c>
      <c r="CG329" t="s">
        <v>53</v>
      </c>
      <c r="CL329" t="s">
        <v>306</v>
      </c>
      <c r="CM329" t="s">
        <v>2040</v>
      </c>
      <c r="CN329">
        <v>10737375</v>
      </c>
      <c r="CO329" t="s">
        <v>276</v>
      </c>
      <c r="CP329">
        <v>0</v>
      </c>
      <c r="CQ329" t="s">
        <v>53</v>
      </c>
      <c r="CV329" t="s">
        <v>306</v>
      </c>
      <c r="DA329" t="s">
        <v>306</v>
      </c>
      <c r="DB329" t="s">
        <v>517</v>
      </c>
      <c r="DC329">
        <v>111097</v>
      </c>
      <c r="DD329" t="s">
        <v>346</v>
      </c>
      <c r="DE329">
        <v>0</v>
      </c>
      <c r="DF329" t="s">
        <v>53</v>
      </c>
      <c r="DK329" t="s">
        <v>306</v>
      </c>
      <c r="DL329" t="s">
        <v>517</v>
      </c>
      <c r="DM329">
        <v>111097</v>
      </c>
      <c r="DN329" t="s">
        <v>346</v>
      </c>
      <c r="DO329">
        <v>0</v>
      </c>
      <c r="DP329" t="s">
        <v>53</v>
      </c>
      <c r="DU329" t="s">
        <v>306</v>
      </c>
      <c r="DZ329" t="s">
        <v>306</v>
      </c>
      <c r="EA329" t="s">
        <v>1777</v>
      </c>
      <c r="EB329">
        <v>4115973</v>
      </c>
      <c r="EC329" t="s">
        <v>346</v>
      </c>
      <c r="ED329">
        <v>0</v>
      </c>
      <c r="EE329" t="s">
        <v>53</v>
      </c>
      <c r="EF329" t="s">
        <v>517</v>
      </c>
      <c r="EG329">
        <v>111097</v>
      </c>
      <c r="EH329" t="s">
        <v>346</v>
      </c>
      <c r="EI329">
        <v>0</v>
      </c>
      <c r="EJ329" t="s">
        <v>53</v>
      </c>
      <c r="EO329" t="s">
        <v>306</v>
      </c>
      <c r="ET329" t="s">
        <v>306</v>
      </c>
      <c r="EY329" t="s">
        <v>306</v>
      </c>
      <c r="FD329" t="s">
        <v>306</v>
      </c>
      <c r="FI329" t="s">
        <v>306</v>
      </c>
      <c r="FN329" t="s">
        <v>306</v>
      </c>
      <c r="FS329" t="s">
        <v>306</v>
      </c>
      <c r="FX329" t="s">
        <v>306</v>
      </c>
      <c r="FY329" t="s">
        <v>517</v>
      </c>
      <c r="FZ329">
        <v>111097</v>
      </c>
      <c r="GA329" t="s">
        <v>346</v>
      </c>
      <c r="GB329">
        <v>0</v>
      </c>
      <c r="GC329" t="s">
        <v>53</v>
      </c>
      <c r="GH329" t="s">
        <v>306</v>
      </c>
      <c r="GM329" t="s">
        <v>306</v>
      </c>
      <c r="GR329" t="s">
        <v>306</v>
      </c>
      <c r="GS329" t="s">
        <v>1179</v>
      </c>
      <c r="GT329">
        <v>4556895</v>
      </c>
      <c r="GU329" t="s">
        <v>346</v>
      </c>
      <c r="GV329">
        <v>0</v>
      </c>
      <c r="GW329" t="s">
        <v>2193</v>
      </c>
      <c r="GX329" t="s">
        <v>1777</v>
      </c>
      <c r="GY329">
        <v>4115973</v>
      </c>
      <c r="GZ329" t="s">
        <v>346</v>
      </c>
      <c r="HA329">
        <v>0</v>
      </c>
      <c r="HB329" t="s">
        <v>53</v>
      </c>
      <c r="HG329" t="s">
        <v>306</v>
      </c>
    </row>
    <row r="330" spans="5:215" x14ac:dyDescent="0.35">
      <c r="E330" t="s">
        <v>306</v>
      </c>
      <c r="J330" t="s">
        <v>306</v>
      </c>
      <c r="O330" t="s">
        <v>306</v>
      </c>
      <c r="T330" t="s">
        <v>306</v>
      </c>
      <c r="U330" t="s">
        <v>879</v>
      </c>
      <c r="V330">
        <v>5841553</v>
      </c>
      <c r="W330" t="s">
        <v>346</v>
      </c>
      <c r="X330">
        <v>0</v>
      </c>
      <c r="Y330" t="s">
        <v>50</v>
      </c>
      <c r="AD330" t="s">
        <v>306</v>
      </c>
      <c r="AI330" t="s">
        <v>306</v>
      </c>
      <c r="AN330" t="s">
        <v>306</v>
      </c>
      <c r="AS330" t="s">
        <v>306</v>
      </c>
      <c r="AX330" t="s">
        <v>306</v>
      </c>
      <c r="BC330" t="s">
        <v>306</v>
      </c>
      <c r="BD330" t="s">
        <v>1494</v>
      </c>
      <c r="BE330">
        <v>4565421</v>
      </c>
      <c r="BF330" t="s">
        <v>346</v>
      </c>
      <c r="BG330">
        <v>0</v>
      </c>
      <c r="BH330" t="s">
        <v>125</v>
      </c>
      <c r="BM330" t="s">
        <v>306</v>
      </c>
      <c r="BN330" t="s">
        <v>928</v>
      </c>
      <c r="BO330">
        <v>4587777</v>
      </c>
      <c r="BP330" t="s">
        <v>346</v>
      </c>
      <c r="BQ330">
        <v>0</v>
      </c>
      <c r="BR330" t="s">
        <v>50</v>
      </c>
      <c r="BS330" t="s">
        <v>1025</v>
      </c>
      <c r="BT330">
        <v>4137552</v>
      </c>
      <c r="BU330" t="s">
        <v>346</v>
      </c>
      <c r="BV330">
        <v>0</v>
      </c>
      <c r="BW330" t="s">
        <v>317</v>
      </c>
      <c r="BX330" t="s">
        <v>879</v>
      </c>
      <c r="BY330">
        <v>5841553</v>
      </c>
      <c r="BZ330" t="s">
        <v>346</v>
      </c>
      <c r="CA330">
        <v>0</v>
      </c>
      <c r="CB330" t="s">
        <v>50</v>
      </c>
      <c r="CC330" t="s">
        <v>1778</v>
      </c>
      <c r="CD330">
        <v>5857613</v>
      </c>
      <c r="CE330" t="s">
        <v>346</v>
      </c>
      <c r="CF330">
        <v>0</v>
      </c>
      <c r="CG330" t="s">
        <v>114</v>
      </c>
      <c r="CL330" t="s">
        <v>306</v>
      </c>
      <c r="CM330" t="s">
        <v>2041</v>
      </c>
      <c r="CN330">
        <v>8328672</v>
      </c>
      <c r="CO330" t="s">
        <v>346</v>
      </c>
      <c r="CP330">
        <v>0</v>
      </c>
      <c r="CQ330" t="s">
        <v>2185</v>
      </c>
      <c r="CV330" t="s">
        <v>306</v>
      </c>
      <c r="DA330" t="s">
        <v>306</v>
      </c>
      <c r="DB330" t="s">
        <v>1494</v>
      </c>
      <c r="DC330">
        <v>4565421</v>
      </c>
      <c r="DD330" t="s">
        <v>346</v>
      </c>
      <c r="DE330">
        <v>0</v>
      </c>
      <c r="DF330" t="s">
        <v>125</v>
      </c>
      <c r="DK330" t="s">
        <v>306</v>
      </c>
      <c r="DL330" t="s">
        <v>1494</v>
      </c>
      <c r="DM330">
        <v>4565421</v>
      </c>
      <c r="DN330" t="s">
        <v>346</v>
      </c>
      <c r="DO330">
        <v>0</v>
      </c>
      <c r="DP330" t="s">
        <v>125</v>
      </c>
      <c r="DU330" t="s">
        <v>306</v>
      </c>
      <c r="DZ330" t="s">
        <v>306</v>
      </c>
      <c r="EA330" t="s">
        <v>1778</v>
      </c>
      <c r="EB330">
        <v>5857613</v>
      </c>
      <c r="EC330" t="s">
        <v>346</v>
      </c>
      <c r="ED330">
        <v>0</v>
      </c>
      <c r="EE330" t="s">
        <v>114</v>
      </c>
      <c r="EF330" t="s">
        <v>1494</v>
      </c>
      <c r="EG330">
        <v>4565421</v>
      </c>
      <c r="EH330" t="s">
        <v>346</v>
      </c>
      <c r="EI330">
        <v>0</v>
      </c>
      <c r="EJ330" t="s">
        <v>125</v>
      </c>
      <c r="EO330" t="s">
        <v>306</v>
      </c>
      <c r="ET330" t="s">
        <v>306</v>
      </c>
      <c r="EY330" t="s">
        <v>306</v>
      </c>
      <c r="FD330" t="s">
        <v>306</v>
      </c>
      <c r="FI330" t="s">
        <v>306</v>
      </c>
      <c r="FN330" t="s">
        <v>306</v>
      </c>
      <c r="FS330" t="s">
        <v>306</v>
      </c>
      <c r="FX330" t="s">
        <v>306</v>
      </c>
      <c r="FY330" t="s">
        <v>1494</v>
      </c>
      <c r="FZ330">
        <v>4565421</v>
      </c>
      <c r="GA330" t="s">
        <v>346</v>
      </c>
      <c r="GB330">
        <v>0</v>
      </c>
      <c r="GC330" t="s">
        <v>125</v>
      </c>
      <c r="GH330" t="s">
        <v>306</v>
      </c>
      <c r="GM330" t="s">
        <v>306</v>
      </c>
      <c r="GR330" t="s">
        <v>306</v>
      </c>
      <c r="GS330" t="s">
        <v>928</v>
      </c>
      <c r="GT330">
        <v>4587777</v>
      </c>
      <c r="GU330" t="s">
        <v>346</v>
      </c>
      <c r="GV330">
        <v>0</v>
      </c>
      <c r="GW330" t="s">
        <v>50</v>
      </c>
      <c r="GX330" t="s">
        <v>1778</v>
      </c>
      <c r="GY330">
        <v>5857613</v>
      </c>
      <c r="GZ330" t="s">
        <v>346</v>
      </c>
      <c r="HA330">
        <v>0</v>
      </c>
      <c r="HB330" t="s">
        <v>114</v>
      </c>
      <c r="HG330" t="s">
        <v>306</v>
      </c>
    </row>
    <row r="331" spans="5:215" x14ac:dyDescent="0.35">
      <c r="E331" t="s">
        <v>306</v>
      </c>
      <c r="J331" t="s">
        <v>306</v>
      </c>
      <c r="O331" t="s">
        <v>306</v>
      </c>
      <c r="T331" t="s">
        <v>306</v>
      </c>
      <c r="U331" t="s">
        <v>880</v>
      </c>
      <c r="V331">
        <v>4139864</v>
      </c>
      <c r="W331" t="s">
        <v>346</v>
      </c>
      <c r="X331">
        <v>0</v>
      </c>
      <c r="Y331" t="s">
        <v>313</v>
      </c>
      <c r="AD331" t="s">
        <v>306</v>
      </c>
      <c r="AI331" t="s">
        <v>306</v>
      </c>
      <c r="AN331" t="s">
        <v>306</v>
      </c>
      <c r="AS331" t="s">
        <v>306</v>
      </c>
      <c r="AX331" t="s">
        <v>306</v>
      </c>
      <c r="BC331" t="s">
        <v>306</v>
      </c>
      <c r="BD331" t="s">
        <v>1495</v>
      </c>
      <c r="BE331">
        <v>4324453</v>
      </c>
      <c r="BF331" t="s">
        <v>346</v>
      </c>
      <c r="BG331">
        <v>0</v>
      </c>
      <c r="BH331" t="s">
        <v>62</v>
      </c>
      <c r="BM331" t="s">
        <v>306</v>
      </c>
      <c r="BN331" t="s">
        <v>930</v>
      </c>
      <c r="BO331">
        <v>6892772</v>
      </c>
      <c r="BP331" t="s">
        <v>346</v>
      </c>
      <c r="BQ331">
        <v>0</v>
      </c>
      <c r="BR331" t="s">
        <v>50</v>
      </c>
      <c r="BS331" t="s">
        <v>497</v>
      </c>
      <c r="BT331">
        <v>4138770</v>
      </c>
      <c r="BU331" t="s">
        <v>346</v>
      </c>
      <c r="BV331">
        <v>0</v>
      </c>
      <c r="BW331" t="s">
        <v>313</v>
      </c>
      <c r="BX331" t="s">
        <v>880</v>
      </c>
      <c r="BY331">
        <v>4139864</v>
      </c>
      <c r="BZ331" t="s">
        <v>346</v>
      </c>
      <c r="CA331">
        <v>0</v>
      </c>
      <c r="CB331" t="s">
        <v>313</v>
      </c>
      <c r="CC331" t="s">
        <v>1779</v>
      </c>
      <c r="CD331">
        <v>110354</v>
      </c>
      <c r="CE331" t="s">
        <v>346</v>
      </c>
      <c r="CF331">
        <v>0</v>
      </c>
      <c r="CG331" t="s">
        <v>53</v>
      </c>
      <c r="CL331" t="s">
        <v>306</v>
      </c>
      <c r="CM331" t="s">
        <v>1332</v>
      </c>
      <c r="CN331">
        <v>4949613</v>
      </c>
      <c r="CO331" t="s">
        <v>346</v>
      </c>
      <c r="CP331">
        <v>0</v>
      </c>
      <c r="CQ331" t="s">
        <v>62</v>
      </c>
      <c r="CV331" t="s">
        <v>306</v>
      </c>
      <c r="DA331" t="s">
        <v>306</v>
      </c>
      <c r="DB331" t="s">
        <v>1495</v>
      </c>
      <c r="DC331">
        <v>4324453</v>
      </c>
      <c r="DD331" t="s">
        <v>346</v>
      </c>
      <c r="DE331">
        <v>0</v>
      </c>
      <c r="DF331" t="s">
        <v>62</v>
      </c>
      <c r="DK331" t="s">
        <v>306</v>
      </c>
      <c r="DL331" t="s">
        <v>1495</v>
      </c>
      <c r="DM331">
        <v>4324453</v>
      </c>
      <c r="DN331" t="s">
        <v>346</v>
      </c>
      <c r="DO331">
        <v>0</v>
      </c>
      <c r="DP331" t="s">
        <v>62</v>
      </c>
      <c r="DU331" t="s">
        <v>306</v>
      </c>
      <c r="DZ331" t="s">
        <v>306</v>
      </c>
      <c r="EA331" t="s">
        <v>1779</v>
      </c>
      <c r="EB331">
        <v>110354</v>
      </c>
      <c r="EC331" t="s">
        <v>346</v>
      </c>
      <c r="ED331">
        <v>0</v>
      </c>
      <c r="EE331" t="s">
        <v>53</v>
      </c>
      <c r="EF331" t="s">
        <v>1495</v>
      </c>
      <c r="EG331">
        <v>4324453</v>
      </c>
      <c r="EH331" t="s">
        <v>346</v>
      </c>
      <c r="EI331">
        <v>0</v>
      </c>
      <c r="EJ331" t="s">
        <v>62</v>
      </c>
      <c r="EO331" t="s">
        <v>306</v>
      </c>
      <c r="ET331" t="s">
        <v>306</v>
      </c>
      <c r="EY331" t="s">
        <v>306</v>
      </c>
      <c r="FD331" t="s">
        <v>306</v>
      </c>
      <c r="FI331" t="s">
        <v>306</v>
      </c>
      <c r="FN331" t="s">
        <v>306</v>
      </c>
      <c r="FS331" t="s">
        <v>306</v>
      </c>
      <c r="FX331" t="s">
        <v>306</v>
      </c>
      <c r="FY331" t="s">
        <v>1495</v>
      </c>
      <c r="FZ331">
        <v>4324453</v>
      </c>
      <c r="GA331" t="s">
        <v>346</v>
      </c>
      <c r="GB331">
        <v>0</v>
      </c>
      <c r="GC331" t="s">
        <v>62</v>
      </c>
      <c r="GH331" t="s">
        <v>306</v>
      </c>
      <c r="GM331" t="s">
        <v>306</v>
      </c>
      <c r="GR331" t="s">
        <v>306</v>
      </c>
      <c r="GS331" t="s">
        <v>930</v>
      </c>
      <c r="GT331">
        <v>6892772</v>
      </c>
      <c r="GU331" t="s">
        <v>346</v>
      </c>
      <c r="GV331">
        <v>0</v>
      </c>
      <c r="GW331" t="s">
        <v>50</v>
      </c>
      <c r="GX331" t="s">
        <v>1779</v>
      </c>
      <c r="GY331">
        <v>110354</v>
      </c>
      <c r="GZ331" t="s">
        <v>346</v>
      </c>
      <c r="HA331">
        <v>0</v>
      </c>
      <c r="HB331" t="s">
        <v>53</v>
      </c>
      <c r="HG331" t="s">
        <v>306</v>
      </c>
    </row>
    <row r="332" spans="5:215" x14ac:dyDescent="0.35">
      <c r="E332" t="s">
        <v>306</v>
      </c>
      <c r="J332" t="s">
        <v>306</v>
      </c>
      <c r="O332" t="s">
        <v>306</v>
      </c>
      <c r="T332" t="s">
        <v>306</v>
      </c>
      <c r="U332" t="s">
        <v>475</v>
      </c>
      <c r="V332">
        <v>4115935</v>
      </c>
      <c r="W332" t="s">
        <v>346</v>
      </c>
      <c r="X332">
        <v>0</v>
      </c>
      <c r="Y332" t="s">
        <v>53</v>
      </c>
      <c r="AD332" t="s">
        <v>306</v>
      </c>
      <c r="AI332" t="s">
        <v>306</v>
      </c>
      <c r="AN332" t="s">
        <v>306</v>
      </c>
      <c r="AS332" t="s">
        <v>306</v>
      </c>
      <c r="AX332" t="s">
        <v>306</v>
      </c>
      <c r="BC332" t="s">
        <v>306</v>
      </c>
      <c r="BD332" t="s">
        <v>536</v>
      </c>
      <c r="BE332">
        <v>4432074</v>
      </c>
      <c r="BF332" t="s">
        <v>346</v>
      </c>
      <c r="BG332">
        <v>0</v>
      </c>
      <c r="BH332" t="s">
        <v>80</v>
      </c>
      <c r="BM332" t="s">
        <v>306</v>
      </c>
      <c r="BN332" t="s">
        <v>1253</v>
      </c>
      <c r="BO332">
        <v>25838827</v>
      </c>
      <c r="BP332" t="s">
        <v>369</v>
      </c>
      <c r="BQ332">
        <v>0</v>
      </c>
      <c r="BR332" t="s">
        <v>50</v>
      </c>
      <c r="BS332" t="s">
        <v>641</v>
      </c>
      <c r="BT332">
        <v>4820048</v>
      </c>
      <c r="BU332" t="s">
        <v>346</v>
      </c>
      <c r="BV332">
        <v>0</v>
      </c>
      <c r="BW332" t="s">
        <v>50</v>
      </c>
      <c r="BX332" t="s">
        <v>475</v>
      </c>
      <c r="BY332">
        <v>4115935</v>
      </c>
      <c r="BZ332" t="s">
        <v>346</v>
      </c>
      <c r="CA332">
        <v>0</v>
      </c>
      <c r="CB332" t="s">
        <v>53</v>
      </c>
      <c r="CC332" t="s">
        <v>1780</v>
      </c>
      <c r="CD332">
        <v>110082</v>
      </c>
      <c r="CE332" t="s">
        <v>346</v>
      </c>
      <c r="CF332">
        <v>0</v>
      </c>
      <c r="CG332" t="s">
        <v>53</v>
      </c>
      <c r="CL332" t="s">
        <v>306</v>
      </c>
      <c r="CM332" t="s">
        <v>1661</v>
      </c>
      <c r="CN332">
        <v>4092965</v>
      </c>
      <c r="CO332" t="s">
        <v>366</v>
      </c>
      <c r="CP332">
        <v>0</v>
      </c>
      <c r="CQ332" t="s">
        <v>53</v>
      </c>
      <c r="CV332" t="s">
        <v>306</v>
      </c>
      <c r="DA332" t="s">
        <v>306</v>
      </c>
      <c r="DB332" t="s">
        <v>536</v>
      </c>
      <c r="DC332">
        <v>4432074</v>
      </c>
      <c r="DD332" t="s">
        <v>346</v>
      </c>
      <c r="DE332">
        <v>0</v>
      </c>
      <c r="DF332" t="s">
        <v>80</v>
      </c>
      <c r="DK332" t="s">
        <v>306</v>
      </c>
      <c r="DL332" t="s">
        <v>536</v>
      </c>
      <c r="DM332">
        <v>4432074</v>
      </c>
      <c r="DN332" t="s">
        <v>346</v>
      </c>
      <c r="DO332">
        <v>0</v>
      </c>
      <c r="DP332" t="s">
        <v>80</v>
      </c>
      <c r="DU332" t="s">
        <v>306</v>
      </c>
      <c r="DZ332" t="s">
        <v>306</v>
      </c>
      <c r="EA332" t="s">
        <v>1780</v>
      </c>
      <c r="EB332">
        <v>110082</v>
      </c>
      <c r="EC332" t="s">
        <v>346</v>
      </c>
      <c r="ED332">
        <v>0</v>
      </c>
      <c r="EE332" t="s">
        <v>53</v>
      </c>
      <c r="EF332" t="s">
        <v>536</v>
      </c>
      <c r="EG332">
        <v>4432074</v>
      </c>
      <c r="EH332" t="s">
        <v>346</v>
      </c>
      <c r="EI332">
        <v>0</v>
      </c>
      <c r="EJ332" t="s">
        <v>80</v>
      </c>
      <c r="EO332" t="s">
        <v>306</v>
      </c>
      <c r="ET332" t="s">
        <v>306</v>
      </c>
      <c r="EY332" t="s">
        <v>306</v>
      </c>
      <c r="FD332" t="s">
        <v>306</v>
      </c>
      <c r="FI332" t="s">
        <v>306</v>
      </c>
      <c r="FN332" t="s">
        <v>306</v>
      </c>
      <c r="FS332" t="s">
        <v>306</v>
      </c>
      <c r="FX332" t="s">
        <v>306</v>
      </c>
      <c r="FY332" t="s">
        <v>536</v>
      </c>
      <c r="FZ332">
        <v>4432074</v>
      </c>
      <c r="GA332" t="s">
        <v>346</v>
      </c>
      <c r="GB332">
        <v>0</v>
      </c>
      <c r="GC332" t="s">
        <v>80</v>
      </c>
      <c r="GH332" t="s">
        <v>306</v>
      </c>
      <c r="GM332" t="s">
        <v>306</v>
      </c>
      <c r="GR332" t="s">
        <v>306</v>
      </c>
      <c r="GS332" t="s">
        <v>1253</v>
      </c>
      <c r="GT332">
        <v>25838827</v>
      </c>
      <c r="GU332" t="s">
        <v>369</v>
      </c>
      <c r="GV332">
        <v>0</v>
      </c>
      <c r="GW332" t="s">
        <v>50</v>
      </c>
      <c r="GX332" t="s">
        <v>1780</v>
      </c>
      <c r="GY332">
        <v>110082</v>
      </c>
      <c r="GZ332" t="s">
        <v>346</v>
      </c>
      <c r="HA332">
        <v>0</v>
      </c>
      <c r="HB332" t="s">
        <v>53</v>
      </c>
      <c r="HG332" t="s">
        <v>306</v>
      </c>
    </row>
    <row r="333" spans="5:215" x14ac:dyDescent="0.35">
      <c r="E333" t="s">
        <v>306</v>
      </c>
      <c r="J333" t="s">
        <v>306</v>
      </c>
      <c r="O333" t="s">
        <v>306</v>
      </c>
      <c r="T333" t="s">
        <v>306</v>
      </c>
      <c r="U333" t="s">
        <v>412</v>
      </c>
      <c r="V333">
        <v>109687</v>
      </c>
      <c r="W333" t="s">
        <v>346</v>
      </c>
      <c r="X333">
        <v>0</v>
      </c>
      <c r="Y333" t="s">
        <v>53</v>
      </c>
      <c r="AD333" t="s">
        <v>306</v>
      </c>
      <c r="AI333" t="s">
        <v>306</v>
      </c>
      <c r="AN333" t="s">
        <v>306</v>
      </c>
      <c r="AS333" t="s">
        <v>306</v>
      </c>
      <c r="AX333" t="s">
        <v>306</v>
      </c>
      <c r="BC333" t="s">
        <v>306</v>
      </c>
      <c r="BD333" t="s">
        <v>1496</v>
      </c>
      <c r="BE333">
        <v>5860870</v>
      </c>
      <c r="BF333" t="s">
        <v>346</v>
      </c>
      <c r="BG333">
        <v>0</v>
      </c>
      <c r="BH333" t="s">
        <v>317</v>
      </c>
      <c r="BM333" t="s">
        <v>306</v>
      </c>
      <c r="BN333" t="s">
        <v>1254</v>
      </c>
      <c r="BO333">
        <v>4313305</v>
      </c>
      <c r="BP333" t="s">
        <v>346</v>
      </c>
      <c r="BQ333">
        <v>0</v>
      </c>
      <c r="BR333" t="s">
        <v>50</v>
      </c>
      <c r="BS333" t="s">
        <v>813</v>
      </c>
      <c r="BT333">
        <v>5810740</v>
      </c>
      <c r="BU333" t="s">
        <v>346</v>
      </c>
      <c r="BV333">
        <v>0</v>
      </c>
      <c r="BW333" t="s">
        <v>50</v>
      </c>
      <c r="BX333" t="s">
        <v>412</v>
      </c>
      <c r="BY333">
        <v>109687</v>
      </c>
      <c r="BZ333" t="s">
        <v>346</v>
      </c>
      <c r="CA333">
        <v>0</v>
      </c>
      <c r="CB333" t="s">
        <v>53</v>
      </c>
      <c r="CC333" t="s">
        <v>528</v>
      </c>
      <c r="CD333">
        <v>4773761</v>
      </c>
      <c r="CE333" t="s">
        <v>346</v>
      </c>
      <c r="CF333">
        <v>0</v>
      </c>
      <c r="CG333" t="s">
        <v>80</v>
      </c>
      <c r="CL333" t="s">
        <v>306</v>
      </c>
      <c r="CM333" t="s">
        <v>1241</v>
      </c>
      <c r="CN333">
        <v>100522</v>
      </c>
      <c r="CO333" t="s">
        <v>366</v>
      </c>
      <c r="CP333">
        <v>0</v>
      </c>
      <c r="CQ333" t="s">
        <v>80</v>
      </c>
      <c r="CV333" t="s">
        <v>306</v>
      </c>
      <c r="DA333" t="s">
        <v>306</v>
      </c>
      <c r="DB333" t="s">
        <v>1496</v>
      </c>
      <c r="DC333">
        <v>5860870</v>
      </c>
      <c r="DD333" t="s">
        <v>346</v>
      </c>
      <c r="DE333">
        <v>0</v>
      </c>
      <c r="DF333" t="s">
        <v>317</v>
      </c>
      <c r="DK333" t="s">
        <v>306</v>
      </c>
      <c r="DL333" t="s">
        <v>1496</v>
      </c>
      <c r="DM333">
        <v>5860870</v>
      </c>
      <c r="DN333" t="s">
        <v>346</v>
      </c>
      <c r="DO333">
        <v>0</v>
      </c>
      <c r="DP333" t="s">
        <v>317</v>
      </c>
      <c r="DU333" t="s">
        <v>306</v>
      </c>
      <c r="DZ333" t="s">
        <v>306</v>
      </c>
      <c r="EA333" t="s">
        <v>528</v>
      </c>
      <c r="EB333">
        <v>4773761</v>
      </c>
      <c r="EC333" t="s">
        <v>346</v>
      </c>
      <c r="ED333">
        <v>0</v>
      </c>
      <c r="EE333" t="s">
        <v>80</v>
      </c>
      <c r="EF333" t="s">
        <v>1496</v>
      </c>
      <c r="EG333">
        <v>5860870</v>
      </c>
      <c r="EH333" t="s">
        <v>346</v>
      </c>
      <c r="EI333">
        <v>0</v>
      </c>
      <c r="EJ333" t="s">
        <v>317</v>
      </c>
      <c r="EO333" t="s">
        <v>306</v>
      </c>
      <c r="ET333" t="s">
        <v>306</v>
      </c>
      <c r="EY333" t="s">
        <v>306</v>
      </c>
      <c r="FD333" t="s">
        <v>306</v>
      </c>
      <c r="FI333" t="s">
        <v>306</v>
      </c>
      <c r="FN333" t="s">
        <v>306</v>
      </c>
      <c r="FS333" t="s">
        <v>306</v>
      </c>
      <c r="FX333" t="s">
        <v>306</v>
      </c>
      <c r="FY333" t="s">
        <v>1496</v>
      </c>
      <c r="FZ333">
        <v>5860870</v>
      </c>
      <c r="GA333" t="s">
        <v>346</v>
      </c>
      <c r="GB333">
        <v>0</v>
      </c>
      <c r="GC333" t="s">
        <v>317</v>
      </c>
      <c r="GH333" t="s">
        <v>306</v>
      </c>
      <c r="GM333" t="s">
        <v>306</v>
      </c>
      <c r="GR333" t="s">
        <v>306</v>
      </c>
      <c r="GS333" t="s">
        <v>1254</v>
      </c>
      <c r="GT333">
        <v>4313305</v>
      </c>
      <c r="GU333" t="s">
        <v>346</v>
      </c>
      <c r="GV333">
        <v>0</v>
      </c>
      <c r="GW333" t="s">
        <v>50</v>
      </c>
      <c r="GX333" t="s">
        <v>528</v>
      </c>
      <c r="GY333">
        <v>4773761</v>
      </c>
      <c r="GZ333" t="s">
        <v>346</v>
      </c>
      <c r="HA333">
        <v>0</v>
      </c>
      <c r="HB333" t="s">
        <v>80</v>
      </c>
      <c r="HG333" t="s">
        <v>306</v>
      </c>
    </row>
    <row r="334" spans="5:215" x14ac:dyDescent="0.35">
      <c r="E334" t="s">
        <v>306</v>
      </c>
      <c r="J334" t="s">
        <v>306</v>
      </c>
      <c r="O334" t="s">
        <v>306</v>
      </c>
      <c r="T334" t="s">
        <v>306</v>
      </c>
      <c r="U334" t="s">
        <v>881</v>
      </c>
      <c r="V334">
        <v>4608579</v>
      </c>
      <c r="W334" t="s">
        <v>346</v>
      </c>
      <c r="X334">
        <v>0</v>
      </c>
      <c r="Y334" t="s">
        <v>50</v>
      </c>
      <c r="AD334" t="s">
        <v>306</v>
      </c>
      <c r="AI334" t="s">
        <v>306</v>
      </c>
      <c r="AN334" t="s">
        <v>306</v>
      </c>
      <c r="AS334" t="s">
        <v>306</v>
      </c>
      <c r="AX334" t="s">
        <v>306</v>
      </c>
      <c r="BC334" t="s">
        <v>306</v>
      </c>
      <c r="BD334" t="s">
        <v>538</v>
      </c>
      <c r="BE334">
        <v>4547194</v>
      </c>
      <c r="BF334" t="s">
        <v>346</v>
      </c>
      <c r="BG334">
        <v>0</v>
      </c>
      <c r="BH334" t="s">
        <v>2194</v>
      </c>
      <c r="BM334" t="s">
        <v>306</v>
      </c>
      <c r="BN334" t="s">
        <v>792</v>
      </c>
      <c r="BO334">
        <v>4314602</v>
      </c>
      <c r="BP334" t="s">
        <v>346</v>
      </c>
      <c r="BQ334">
        <v>0</v>
      </c>
      <c r="BR334" t="s">
        <v>2191</v>
      </c>
      <c r="BS334" t="s">
        <v>529</v>
      </c>
      <c r="BT334">
        <v>110570</v>
      </c>
      <c r="BU334" t="s">
        <v>346</v>
      </c>
      <c r="BV334">
        <v>0</v>
      </c>
      <c r="BW334" t="s">
        <v>53</v>
      </c>
      <c r="BX334" t="s">
        <v>881</v>
      </c>
      <c r="BY334">
        <v>4608579</v>
      </c>
      <c r="BZ334" t="s">
        <v>346</v>
      </c>
      <c r="CA334">
        <v>0</v>
      </c>
      <c r="CB334" t="s">
        <v>50</v>
      </c>
      <c r="CC334" t="s">
        <v>1781</v>
      </c>
      <c r="CD334">
        <v>4420079</v>
      </c>
      <c r="CE334" t="s">
        <v>364</v>
      </c>
      <c r="CF334">
        <v>0</v>
      </c>
      <c r="CG334" t="s">
        <v>114</v>
      </c>
      <c r="CL334" t="s">
        <v>306</v>
      </c>
      <c r="CM334" t="s">
        <v>2042</v>
      </c>
      <c r="CN334">
        <v>27734737</v>
      </c>
      <c r="CO334" t="s">
        <v>364</v>
      </c>
      <c r="CP334">
        <v>0</v>
      </c>
      <c r="CQ334" t="s">
        <v>53</v>
      </c>
      <c r="CV334" t="s">
        <v>306</v>
      </c>
      <c r="DA334" t="s">
        <v>306</v>
      </c>
      <c r="DB334" t="s">
        <v>538</v>
      </c>
      <c r="DC334">
        <v>4547194</v>
      </c>
      <c r="DD334" t="s">
        <v>346</v>
      </c>
      <c r="DE334">
        <v>0</v>
      </c>
      <c r="DF334" t="s">
        <v>2194</v>
      </c>
      <c r="DK334" t="s">
        <v>306</v>
      </c>
      <c r="DL334" t="s">
        <v>538</v>
      </c>
      <c r="DM334">
        <v>4547194</v>
      </c>
      <c r="DN334" t="s">
        <v>346</v>
      </c>
      <c r="DO334">
        <v>0</v>
      </c>
      <c r="DP334" t="s">
        <v>2194</v>
      </c>
      <c r="DU334" t="s">
        <v>306</v>
      </c>
      <c r="DZ334" t="s">
        <v>306</v>
      </c>
      <c r="EA334" t="s">
        <v>1781</v>
      </c>
      <c r="EB334">
        <v>4420079</v>
      </c>
      <c r="EC334" t="s">
        <v>364</v>
      </c>
      <c r="ED334">
        <v>0</v>
      </c>
      <c r="EE334" t="s">
        <v>114</v>
      </c>
      <c r="EF334" t="s">
        <v>538</v>
      </c>
      <c r="EG334">
        <v>4547194</v>
      </c>
      <c r="EH334" t="s">
        <v>346</v>
      </c>
      <c r="EI334">
        <v>0</v>
      </c>
      <c r="EJ334" t="s">
        <v>2194</v>
      </c>
      <c r="EO334" t="s">
        <v>306</v>
      </c>
      <c r="ET334" t="s">
        <v>306</v>
      </c>
      <c r="EY334" t="s">
        <v>306</v>
      </c>
      <c r="FD334" t="s">
        <v>306</v>
      </c>
      <c r="FI334" t="s">
        <v>306</v>
      </c>
      <c r="FN334" t="s">
        <v>306</v>
      </c>
      <c r="FS334" t="s">
        <v>306</v>
      </c>
      <c r="FX334" t="s">
        <v>306</v>
      </c>
      <c r="FY334" t="s">
        <v>538</v>
      </c>
      <c r="FZ334">
        <v>4547194</v>
      </c>
      <c r="GA334" t="s">
        <v>346</v>
      </c>
      <c r="GB334">
        <v>0</v>
      </c>
      <c r="GC334" t="s">
        <v>2194</v>
      </c>
      <c r="GH334" t="s">
        <v>306</v>
      </c>
      <c r="GM334" t="s">
        <v>306</v>
      </c>
      <c r="GR334" t="s">
        <v>306</v>
      </c>
      <c r="GS334" t="s">
        <v>792</v>
      </c>
      <c r="GT334">
        <v>4314602</v>
      </c>
      <c r="GU334" t="s">
        <v>346</v>
      </c>
      <c r="GV334">
        <v>0</v>
      </c>
      <c r="GW334" t="s">
        <v>2191</v>
      </c>
      <c r="GX334" t="s">
        <v>1781</v>
      </c>
      <c r="GY334">
        <v>4420079</v>
      </c>
      <c r="GZ334" t="s">
        <v>364</v>
      </c>
      <c r="HA334">
        <v>0</v>
      </c>
      <c r="HB334" t="s">
        <v>114</v>
      </c>
      <c r="HG334" t="s">
        <v>306</v>
      </c>
    </row>
    <row r="335" spans="5:215" x14ac:dyDescent="0.35">
      <c r="E335" t="s">
        <v>306</v>
      </c>
      <c r="J335" t="s">
        <v>306</v>
      </c>
      <c r="O335" t="s">
        <v>306</v>
      </c>
      <c r="T335" t="s">
        <v>306</v>
      </c>
      <c r="U335" t="s">
        <v>882</v>
      </c>
      <c r="V335">
        <v>110793</v>
      </c>
      <c r="W335" t="s">
        <v>346</v>
      </c>
      <c r="X335">
        <v>0</v>
      </c>
      <c r="Y335" t="s">
        <v>53</v>
      </c>
      <c r="AD335" t="s">
        <v>306</v>
      </c>
      <c r="AI335" t="s">
        <v>306</v>
      </c>
      <c r="AN335" t="s">
        <v>306</v>
      </c>
      <c r="AS335" t="s">
        <v>306</v>
      </c>
      <c r="AX335" t="s">
        <v>306</v>
      </c>
      <c r="BC335" t="s">
        <v>306</v>
      </c>
      <c r="BD335" t="s">
        <v>1293</v>
      </c>
      <c r="BE335">
        <v>4672160</v>
      </c>
      <c r="BF335" t="s">
        <v>346</v>
      </c>
      <c r="BG335">
        <v>0</v>
      </c>
      <c r="BH335" t="s">
        <v>62</v>
      </c>
      <c r="BM335" t="s">
        <v>306</v>
      </c>
      <c r="BN335" t="s">
        <v>532</v>
      </c>
      <c r="BO335">
        <v>4225018</v>
      </c>
      <c r="BP335" t="s">
        <v>346</v>
      </c>
      <c r="BQ335">
        <v>0</v>
      </c>
      <c r="BR335" t="s">
        <v>2191</v>
      </c>
      <c r="BS335" t="s">
        <v>781</v>
      </c>
      <c r="BT335">
        <v>7794310</v>
      </c>
      <c r="BU335" t="s">
        <v>346</v>
      </c>
      <c r="BV335">
        <v>0</v>
      </c>
      <c r="BW335" t="s">
        <v>313</v>
      </c>
      <c r="BX335" t="s">
        <v>882</v>
      </c>
      <c r="BY335">
        <v>110793</v>
      </c>
      <c r="BZ335" t="s">
        <v>346</v>
      </c>
      <c r="CA335">
        <v>0</v>
      </c>
      <c r="CB335" t="s">
        <v>53</v>
      </c>
      <c r="CC335" t="s">
        <v>509</v>
      </c>
      <c r="CD335">
        <v>4226520</v>
      </c>
      <c r="CE335" t="s">
        <v>346</v>
      </c>
      <c r="CF335">
        <v>0</v>
      </c>
      <c r="CG335" t="s">
        <v>80</v>
      </c>
      <c r="CL335" t="s">
        <v>306</v>
      </c>
      <c r="CM335" t="s">
        <v>2043</v>
      </c>
      <c r="CN335">
        <v>4157397</v>
      </c>
      <c r="CO335" t="s">
        <v>369</v>
      </c>
      <c r="CP335">
        <v>0</v>
      </c>
      <c r="CQ335" t="s">
        <v>53</v>
      </c>
      <c r="CV335" t="s">
        <v>306</v>
      </c>
      <c r="DA335" t="s">
        <v>306</v>
      </c>
      <c r="DB335" t="s">
        <v>1293</v>
      </c>
      <c r="DC335">
        <v>4672160</v>
      </c>
      <c r="DD335" t="s">
        <v>346</v>
      </c>
      <c r="DE335">
        <v>0</v>
      </c>
      <c r="DF335" t="s">
        <v>62</v>
      </c>
      <c r="DK335" t="s">
        <v>306</v>
      </c>
      <c r="DL335" t="s">
        <v>1293</v>
      </c>
      <c r="DM335">
        <v>4672160</v>
      </c>
      <c r="DN335" t="s">
        <v>346</v>
      </c>
      <c r="DO335">
        <v>0</v>
      </c>
      <c r="DP335" t="s">
        <v>62</v>
      </c>
      <c r="DU335" t="s">
        <v>306</v>
      </c>
      <c r="DZ335" t="s">
        <v>306</v>
      </c>
      <c r="EA335" t="s">
        <v>509</v>
      </c>
      <c r="EB335">
        <v>4226520</v>
      </c>
      <c r="EC335" t="s">
        <v>346</v>
      </c>
      <c r="ED335">
        <v>0</v>
      </c>
      <c r="EE335" t="s">
        <v>80</v>
      </c>
      <c r="EF335" t="s">
        <v>1293</v>
      </c>
      <c r="EG335">
        <v>4672160</v>
      </c>
      <c r="EH335" t="s">
        <v>346</v>
      </c>
      <c r="EI335">
        <v>0</v>
      </c>
      <c r="EJ335" t="s">
        <v>62</v>
      </c>
      <c r="EO335" t="s">
        <v>306</v>
      </c>
      <c r="ET335" t="s">
        <v>306</v>
      </c>
      <c r="EY335" t="s">
        <v>306</v>
      </c>
      <c r="FD335" t="s">
        <v>306</v>
      </c>
      <c r="FI335" t="s">
        <v>306</v>
      </c>
      <c r="FN335" t="s">
        <v>306</v>
      </c>
      <c r="FS335" t="s">
        <v>306</v>
      </c>
      <c r="FX335" t="s">
        <v>306</v>
      </c>
      <c r="FY335" t="s">
        <v>1293</v>
      </c>
      <c r="FZ335">
        <v>4672160</v>
      </c>
      <c r="GA335" t="s">
        <v>346</v>
      </c>
      <c r="GB335">
        <v>0</v>
      </c>
      <c r="GC335" t="s">
        <v>62</v>
      </c>
      <c r="GH335" t="s">
        <v>306</v>
      </c>
      <c r="GM335" t="s">
        <v>306</v>
      </c>
      <c r="GR335" t="s">
        <v>306</v>
      </c>
      <c r="GS335" t="s">
        <v>532</v>
      </c>
      <c r="GT335">
        <v>4225018</v>
      </c>
      <c r="GU335" t="s">
        <v>346</v>
      </c>
      <c r="GV335">
        <v>0</v>
      </c>
      <c r="GW335" t="s">
        <v>2191</v>
      </c>
      <c r="GX335" t="s">
        <v>509</v>
      </c>
      <c r="GY335">
        <v>4226520</v>
      </c>
      <c r="GZ335" t="s">
        <v>346</v>
      </c>
      <c r="HA335">
        <v>0</v>
      </c>
      <c r="HB335" t="s">
        <v>80</v>
      </c>
      <c r="HG335" t="s">
        <v>306</v>
      </c>
    </row>
    <row r="336" spans="5:215" x14ac:dyDescent="0.35">
      <c r="E336" t="s">
        <v>306</v>
      </c>
      <c r="J336" t="s">
        <v>306</v>
      </c>
      <c r="O336" t="s">
        <v>306</v>
      </c>
      <c r="T336" t="s">
        <v>306</v>
      </c>
      <c r="U336" t="s">
        <v>883</v>
      </c>
      <c r="V336">
        <v>4288829</v>
      </c>
      <c r="W336" t="s">
        <v>364</v>
      </c>
      <c r="X336">
        <v>0</v>
      </c>
      <c r="Y336" t="s">
        <v>326</v>
      </c>
      <c r="AD336" t="s">
        <v>306</v>
      </c>
      <c r="AI336" t="s">
        <v>306</v>
      </c>
      <c r="AN336" t="s">
        <v>306</v>
      </c>
      <c r="AS336" t="s">
        <v>306</v>
      </c>
      <c r="AX336" t="s">
        <v>306</v>
      </c>
      <c r="BC336" t="s">
        <v>306</v>
      </c>
      <c r="BD336" t="s">
        <v>1084</v>
      </c>
      <c r="BE336">
        <v>6731032</v>
      </c>
      <c r="BF336" t="s">
        <v>346</v>
      </c>
      <c r="BG336">
        <v>0</v>
      </c>
      <c r="BH336" t="s">
        <v>320</v>
      </c>
      <c r="BM336" t="s">
        <v>306</v>
      </c>
      <c r="BN336" t="s">
        <v>498</v>
      </c>
      <c r="BO336">
        <v>4187546</v>
      </c>
      <c r="BP336" t="s">
        <v>346</v>
      </c>
      <c r="BQ336">
        <v>0</v>
      </c>
      <c r="BR336" t="s">
        <v>53</v>
      </c>
      <c r="BS336" t="s">
        <v>837</v>
      </c>
      <c r="BT336">
        <v>5830179</v>
      </c>
      <c r="BU336" t="s">
        <v>346</v>
      </c>
      <c r="BV336">
        <v>0</v>
      </c>
      <c r="BW336" t="s">
        <v>2186</v>
      </c>
      <c r="BX336" t="s">
        <v>883</v>
      </c>
      <c r="BY336">
        <v>4288829</v>
      </c>
      <c r="BZ336" t="s">
        <v>364</v>
      </c>
      <c r="CA336">
        <v>0</v>
      </c>
      <c r="CB336" t="s">
        <v>326</v>
      </c>
      <c r="CC336" t="s">
        <v>1782</v>
      </c>
      <c r="CD336">
        <v>108146967</v>
      </c>
      <c r="CE336" t="s">
        <v>346</v>
      </c>
      <c r="CF336">
        <v>0</v>
      </c>
      <c r="CG336" t="s">
        <v>114</v>
      </c>
      <c r="CL336" t="s">
        <v>306</v>
      </c>
      <c r="CM336" t="s">
        <v>1103</v>
      </c>
      <c r="CN336">
        <v>4082660</v>
      </c>
      <c r="CO336" t="s">
        <v>346</v>
      </c>
      <c r="CP336">
        <v>0</v>
      </c>
      <c r="CQ336" t="s">
        <v>53</v>
      </c>
      <c r="CV336" t="s">
        <v>306</v>
      </c>
      <c r="DA336" t="s">
        <v>306</v>
      </c>
      <c r="DB336" t="s">
        <v>1084</v>
      </c>
      <c r="DC336">
        <v>6731032</v>
      </c>
      <c r="DD336" t="s">
        <v>346</v>
      </c>
      <c r="DE336">
        <v>0</v>
      </c>
      <c r="DF336" t="s">
        <v>320</v>
      </c>
      <c r="DK336" t="s">
        <v>306</v>
      </c>
      <c r="DL336" t="s">
        <v>1084</v>
      </c>
      <c r="DM336">
        <v>6731032</v>
      </c>
      <c r="DN336" t="s">
        <v>346</v>
      </c>
      <c r="DO336">
        <v>0</v>
      </c>
      <c r="DP336" t="s">
        <v>320</v>
      </c>
      <c r="DU336" t="s">
        <v>306</v>
      </c>
      <c r="DZ336" t="s">
        <v>306</v>
      </c>
      <c r="EA336" t="s">
        <v>1782</v>
      </c>
      <c r="EB336">
        <v>108146967</v>
      </c>
      <c r="EC336" t="s">
        <v>346</v>
      </c>
      <c r="ED336">
        <v>0</v>
      </c>
      <c r="EE336" t="s">
        <v>114</v>
      </c>
      <c r="EF336" t="s">
        <v>1084</v>
      </c>
      <c r="EG336">
        <v>6731032</v>
      </c>
      <c r="EH336" t="s">
        <v>346</v>
      </c>
      <c r="EI336">
        <v>0</v>
      </c>
      <c r="EJ336" t="s">
        <v>320</v>
      </c>
      <c r="EO336" t="s">
        <v>306</v>
      </c>
      <c r="ET336" t="s">
        <v>306</v>
      </c>
      <c r="EY336" t="s">
        <v>306</v>
      </c>
      <c r="FD336" t="s">
        <v>306</v>
      </c>
      <c r="FI336" t="s">
        <v>306</v>
      </c>
      <c r="FN336" t="s">
        <v>306</v>
      </c>
      <c r="FS336" t="s">
        <v>306</v>
      </c>
      <c r="FX336" t="s">
        <v>306</v>
      </c>
      <c r="FY336" t="s">
        <v>1084</v>
      </c>
      <c r="FZ336">
        <v>6731032</v>
      </c>
      <c r="GA336" t="s">
        <v>346</v>
      </c>
      <c r="GB336">
        <v>0</v>
      </c>
      <c r="GC336" t="s">
        <v>320</v>
      </c>
      <c r="GH336" t="s">
        <v>306</v>
      </c>
      <c r="GM336" t="s">
        <v>306</v>
      </c>
      <c r="GR336" t="s">
        <v>306</v>
      </c>
      <c r="GS336" t="s">
        <v>498</v>
      </c>
      <c r="GT336">
        <v>4187546</v>
      </c>
      <c r="GU336" t="s">
        <v>346</v>
      </c>
      <c r="GV336">
        <v>0</v>
      </c>
      <c r="GW336" t="s">
        <v>53</v>
      </c>
      <c r="GX336" t="s">
        <v>1782</v>
      </c>
      <c r="GY336">
        <v>108146967</v>
      </c>
      <c r="GZ336" t="s">
        <v>346</v>
      </c>
      <c r="HA336">
        <v>0</v>
      </c>
      <c r="HB336" t="s">
        <v>114</v>
      </c>
      <c r="HG336" t="s">
        <v>306</v>
      </c>
    </row>
    <row r="337" spans="5:215" x14ac:dyDescent="0.35">
      <c r="E337" t="s">
        <v>306</v>
      </c>
      <c r="J337" t="s">
        <v>306</v>
      </c>
      <c r="O337" t="s">
        <v>306</v>
      </c>
      <c r="T337" t="s">
        <v>306</v>
      </c>
      <c r="U337" t="s">
        <v>884</v>
      </c>
      <c r="V337">
        <v>4281837</v>
      </c>
      <c r="W337" t="s">
        <v>346</v>
      </c>
      <c r="X337">
        <v>0</v>
      </c>
      <c r="Y337" t="s">
        <v>2191</v>
      </c>
      <c r="AD337" t="s">
        <v>306</v>
      </c>
      <c r="AI337" t="s">
        <v>306</v>
      </c>
      <c r="AN337" t="s">
        <v>306</v>
      </c>
      <c r="AS337" t="s">
        <v>306</v>
      </c>
      <c r="AX337" t="s">
        <v>306</v>
      </c>
      <c r="BC337" t="s">
        <v>306</v>
      </c>
      <c r="BD337" t="s">
        <v>1316</v>
      </c>
      <c r="BE337">
        <v>4246573</v>
      </c>
      <c r="BF337" t="s">
        <v>346</v>
      </c>
      <c r="BG337">
        <v>0</v>
      </c>
      <c r="BH337" t="s">
        <v>62</v>
      </c>
      <c r="BM337" t="s">
        <v>306</v>
      </c>
      <c r="BN337" t="s">
        <v>359</v>
      </c>
      <c r="BO337">
        <v>4144380</v>
      </c>
      <c r="BP337" t="s">
        <v>346</v>
      </c>
      <c r="BQ337">
        <v>0</v>
      </c>
      <c r="BR337" t="s">
        <v>317</v>
      </c>
      <c r="BS337" t="s">
        <v>791</v>
      </c>
      <c r="BT337">
        <v>4139625</v>
      </c>
      <c r="BU337" t="s">
        <v>346</v>
      </c>
      <c r="BV337">
        <v>0</v>
      </c>
      <c r="BW337" t="s">
        <v>2188</v>
      </c>
      <c r="BX337" t="s">
        <v>884</v>
      </c>
      <c r="BY337">
        <v>4281837</v>
      </c>
      <c r="BZ337" t="s">
        <v>346</v>
      </c>
      <c r="CA337">
        <v>0</v>
      </c>
      <c r="CB337" t="s">
        <v>2191</v>
      </c>
      <c r="CC337" t="s">
        <v>1783</v>
      </c>
      <c r="CD337">
        <v>4426129</v>
      </c>
      <c r="CE337" t="s">
        <v>365</v>
      </c>
      <c r="CF337">
        <v>0</v>
      </c>
      <c r="CG337" t="s">
        <v>114</v>
      </c>
      <c r="CL337" t="s">
        <v>306</v>
      </c>
      <c r="CM337" t="s">
        <v>2044</v>
      </c>
      <c r="CN337">
        <v>111448835</v>
      </c>
      <c r="CO337" t="s">
        <v>346</v>
      </c>
      <c r="CP337">
        <v>0</v>
      </c>
      <c r="CQ337" t="s">
        <v>53</v>
      </c>
      <c r="CV337" t="s">
        <v>306</v>
      </c>
      <c r="DA337" t="s">
        <v>306</v>
      </c>
      <c r="DB337" t="s">
        <v>1316</v>
      </c>
      <c r="DC337">
        <v>4246573</v>
      </c>
      <c r="DD337" t="s">
        <v>346</v>
      </c>
      <c r="DE337">
        <v>0</v>
      </c>
      <c r="DF337" t="s">
        <v>62</v>
      </c>
      <c r="DK337" t="s">
        <v>306</v>
      </c>
      <c r="DL337" t="s">
        <v>1316</v>
      </c>
      <c r="DM337">
        <v>4246573</v>
      </c>
      <c r="DN337" t="s">
        <v>346</v>
      </c>
      <c r="DO337">
        <v>0</v>
      </c>
      <c r="DP337" t="s">
        <v>62</v>
      </c>
      <c r="DU337" t="s">
        <v>306</v>
      </c>
      <c r="DZ337" t="s">
        <v>306</v>
      </c>
      <c r="EA337" t="s">
        <v>1783</v>
      </c>
      <c r="EB337">
        <v>4426129</v>
      </c>
      <c r="EC337" t="s">
        <v>365</v>
      </c>
      <c r="ED337">
        <v>0</v>
      </c>
      <c r="EE337" t="s">
        <v>114</v>
      </c>
      <c r="EF337" t="s">
        <v>1316</v>
      </c>
      <c r="EG337">
        <v>4246573</v>
      </c>
      <c r="EH337" t="s">
        <v>346</v>
      </c>
      <c r="EI337">
        <v>0</v>
      </c>
      <c r="EJ337" t="s">
        <v>62</v>
      </c>
      <c r="EO337" t="s">
        <v>306</v>
      </c>
      <c r="ET337" t="s">
        <v>306</v>
      </c>
      <c r="EY337" t="s">
        <v>306</v>
      </c>
      <c r="FD337" t="s">
        <v>306</v>
      </c>
      <c r="FI337" t="s">
        <v>306</v>
      </c>
      <c r="FN337" t="s">
        <v>306</v>
      </c>
      <c r="FS337" t="s">
        <v>306</v>
      </c>
      <c r="FX337" t="s">
        <v>306</v>
      </c>
      <c r="FY337" t="s">
        <v>1316</v>
      </c>
      <c r="FZ337">
        <v>4246573</v>
      </c>
      <c r="GA337" t="s">
        <v>346</v>
      </c>
      <c r="GB337">
        <v>0</v>
      </c>
      <c r="GC337" t="s">
        <v>62</v>
      </c>
      <c r="GH337" t="s">
        <v>306</v>
      </c>
      <c r="GM337" t="s">
        <v>306</v>
      </c>
      <c r="GR337" t="s">
        <v>306</v>
      </c>
      <c r="GS337" t="s">
        <v>359</v>
      </c>
      <c r="GT337">
        <v>4144380</v>
      </c>
      <c r="GU337" t="s">
        <v>346</v>
      </c>
      <c r="GV337">
        <v>0</v>
      </c>
      <c r="GW337" t="s">
        <v>317</v>
      </c>
      <c r="GX337" t="s">
        <v>1783</v>
      </c>
      <c r="GY337">
        <v>4426129</v>
      </c>
      <c r="GZ337" t="s">
        <v>365</v>
      </c>
      <c r="HA337">
        <v>0</v>
      </c>
      <c r="HB337" t="s">
        <v>114</v>
      </c>
      <c r="HG337" t="s">
        <v>306</v>
      </c>
    </row>
    <row r="338" spans="5:215" x14ac:dyDescent="0.35">
      <c r="E338" t="s">
        <v>306</v>
      </c>
      <c r="J338" t="s">
        <v>306</v>
      </c>
      <c r="O338" t="s">
        <v>306</v>
      </c>
      <c r="T338" t="s">
        <v>306</v>
      </c>
      <c r="U338" t="s">
        <v>498</v>
      </c>
      <c r="V338">
        <v>4187546</v>
      </c>
      <c r="W338" t="s">
        <v>346</v>
      </c>
      <c r="X338">
        <v>0</v>
      </c>
      <c r="Y338" t="s">
        <v>53</v>
      </c>
      <c r="AD338" t="s">
        <v>306</v>
      </c>
      <c r="AI338" t="s">
        <v>306</v>
      </c>
      <c r="AN338" t="s">
        <v>306</v>
      </c>
      <c r="AS338" t="s">
        <v>306</v>
      </c>
      <c r="AX338" t="s">
        <v>306</v>
      </c>
      <c r="BC338" t="s">
        <v>306</v>
      </c>
      <c r="BD338" t="s">
        <v>1308</v>
      </c>
      <c r="BE338">
        <v>5760527</v>
      </c>
      <c r="BF338" t="s">
        <v>346</v>
      </c>
      <c r="BG338">
        <v>0</v>
      </c>
      <c r="BH338" t="s">
        <v>62</v>
      </c>
      <c r="BM338" t="s">
        <v>306</v>
      </c>
      <c r="BN338" t="s">
        <v>904</v>
      </c>
      <c r="BO338">
        <v>4377113</v>
      </c>
      <c r="BP338" t="s">
        <v>346</v>
      </c>
      <c r="BQ338">
        <v>0</v>
      </c>
      <c r="BR338" t="s">
        <v>53</v>
      </c>
      <c r="BS338" t="s">
        <v>1026</v>
      </c>
      <c r="BT338">
        <v>139139532</v>
      </c>
      <c r="BU338" t="s">
        <v>346</v>
      </c>
      <c r="BV338">
        <v>0</v>
      </c>
      <c r="BW338" t="s">
        <v>306</v>
      </c>
      <c r="BX338" t="s">
        <v>498</v>
      </c>
      <c r="BY338">
        <v>4187546</v>
      </c>
      <c r="BZ338" t="s">
        <v>346</v>
      </c>
      <c r="CA338">
        <v>0</v>
      </c>
      <c r="CB338" t="s">
        <v>53</v>
      </c>
      <c r="CC338" t="s">
        <v>1784</v>
      </c>
      <c r="CD338">
        <v>4905054</v>
      </c>
      <c r="CE338" t="s">
        <v>364</v>
      </c>
      <c r="CF338">
        <v>0</v>
      </c>
      <c r="CG338" t="s">
        <v>53</v>
      </c>
      <c r="CL338" t="s">
        <v>306</v>
      </c>
      <c r="CM338" t="s">
        <v>680</v>
      </c>
      <c r="CN338">
        <v>4246606</v>
      </c>
      <c r="CO338" t="s">
        <v>346</v>
      </c>
      <c r="CP338">
        <v>0</v>
      </c>
      <c r="CQ338" t="s">
        <v>2194</v>
      </c>
      <c r="CV338" t="s">
        <v>306</v>
      </c>
      <c r="DA338" t="s">
        <v>306</v>
      </c>
      <c r="DB338" t="s">
        <v>1308</v>
      </c>
      <c r="DC338">
        <v>5760527</v>
      </c>
      <c r="DD338" t="s">
        <v>346</v>
      </c>
      <c r="DE338">
        <v>0</v>
      </c>
      <c r="DF338" t="s">
        <v>62</v>
      </c>
      <c r="DK338" t="s">
        <v>306</v>
      </c>
      <c r="DL338" t="s">
        <v>1308</v>
      </c>
      <c r="DM338">
        <v>5760527</v>
      </c>
      <c r="DN338" t="s">
        <v>346</v>
      </c>
      <c r="DO338">
        <v>0</v>
      </c>
      <c r="DP338" t="s">
        <v>62</v>
      </c>
      <c r="DU338" t="s">
        <v>306</v>
      </c>
      <c r="DZ338" t="s">
        <v>306</v>
      </c>
      <c r="EA338" t="s">
        <v>1784</v>
      </c>
      <c r="EB338">
        <v>4905054</v>
      </c>
      <c r="EC338" t="s">
        <v>364</v>
      </c>
      <c r="ED338">
        <v>0</v>
      </c>
      <c r="EE338" t="s">
        <v>53</v>
      </c>
      <c r="EF338" t="s">
        <v>1308</v>
      </c>
      <c r="EG338">
        <v>5760527</v>
      </c>
      <c r="EH338" t="s">
        <v>346</v>
      </c>
      <c r="EI338">
        <v>0</v>
      </c>
      <c r="EJ338" t="s">
        <v>62</v>
      </c>
      <c r="EO338" t="s">
        <v>306</v>
      </c>
      <c r="ET338" t="s">
        <v>306</v>
      </c>
      <c r="EY338" t="s">
        <v>306</v>
      </c>
      <c r="FD338" t="s">
        <v>306</v>
      </c>
      <c r="FI338" t="s">
        <v>306</v>
      </c>
      <c r="FN338" t="s">
        <v>306</v>
      </c>
      <c r="FS338" t="s">
        <v>306</v>
      </c>
      <c r="FX338" t="s">
        <v>306</v>
      </c>
      <c r="FY338" t="s">
        <v>1308</v>
      </c>
      <c r="FZ338">
        <v>5760527</v>
      </c>
      <c r="GA338" t="s">
        <v>346</v>
      </c>
      <c r="GB338">
        <v>0</v>
      </c>
      <c r="GC338" t="s">
        <v>62</v>
      </c>
      <c r="GH338" t="s">
        <v>306</v>
      </c>
      <c r="GM338" t="s">
        <v>306</v>
      </c>
      <c r="GR338" t="s">
        <v>306</v>
      </c>
      <c r="GS338" t="s">
        <v>904</v>
      </c>
      <c r="GT338">
        <v>4377113</v>
      </c>
      <c r="GU338" t="s">
        <v>346</v>
      </c>
      <c r="GV338">
        <v>0</v>
      </c>
      <c r="GW338" t="s">
        <v>53</v>
      </c>
      <c r="GX338" t="s">
        <v>1784</v>
      </c>
      <c r="GY338">
        <v>4905054</v>
      </c>
      <c r="GZ338" t="s">
        <v>364</v>
      </c>
      <c r="HA338">
        <v>0</v>
      </c>
      <c r="HB338" t="s">
        <v>53</v>
      </c>
      <c r="HG338" t="s">
        <v>306</v>
      </c>
    </row>
    <row r="339" spans="5:215" x14ac:dyDescent="0.35">
      <c r="E339" t="s">
        <v>306</v>
      </c>
      <c r="J339" t="s">
        <v>306</v>
      </c>
      <c r="O339" t="s">
        <v>306</v>
      </c>
      <c r="T339" t="s">
        <v>306</v>
      </c>
      <c r="U339" t="s">
        <v>885</v>
      </c>
      <c r="V339">
        <v>4281020</v>
      </c>
      <c r="W339" t="s">
        <v>346</v>
      </c>
      <c r="X339">
        <v>0</v>
      </c>
      <c r="Y339" t="s">
        <v>326</v>
      </c>
      <c r="AD339" t="s">
        <v>306</v>
      </c>
      <c r="AI339" t="s">
        <v>306</v>
      </c>
      <c r="AN339" t="s">
        <v>306</v>
      </c>
      <c r="AS339" t="s">
        <v>306</v>
      </c>
      <c r="AX339" t="s">
        <v>306</v>
      </c>
      <c r="BC339" t="s">
        <v>306</v>
      </c>
      <c r="BD339" t="s">
        <v>592</v>
      </c>
      <c r="BE339">
        <v>1015222</v>
      </c>
      <c r="BF339" t="s">
        <v>346</v>
      </c>
      <c r="BG339">
        <v>0</v>
      </c>
      <c r="BH339" t="s">
        <v>53</v>
      </c>
      <c r="BM339" t="s">
        <v>306</v>
      </c>
      <c r="BN339" t="s">
        <v>418</v>
      </c>
      <c r="BO339">
        <v>109776</v>
      </c>
      <c r="BP339" t="s">
        <v>346</v>
      </c>
      <c r="BQ339">
        <v>0</v>
      </c>
      <c r="BR339" t="s">
        <v>53</v>
      </c>
      <c r="BS339" t="s">
        <v>1027</v>
      </c>
      <c r="BT339">
        <v>4434914</v>
      </c>
      <c r="BU339" t="s">
        <v>346</v>
      </c>
      <c r="BV339">
        <v>0</v>
      </c>
      <c r="BW339" t="s">
        <v>313</v>
      </c>
      <c r="BX339" t="s">
        <v>885</v>
      </c>
      <c r="BY339">
        <v>4281020</v>
      </c>
      <c r="BZ339" t="s">
        <v>346</v>
      </c>
      <c r="CA339">
        <v>0</v>
      </c>
      <c r="CB339" t="s">
        <v>326</v>
      </c>
      <c r="CC339" t="s">
        <v>1785</v>
      </c>
      <c r="CD339">
        <v>5784767</v>
      </c>
      <c r="CE339" t="s">
        <v>346</v>
      </c>
      <c r="CF339">
        <v>0</v>
      </c>
      <c r="CG339" t="s">
        <v>114</v>
      </c>
      <c r="CL339" t="s">
        <v>306</v>
      </c>
      <c r="CM339" t="s">
        <v>1838</v>
      </c>
      <c r="CN339">
        <v>4219077</v>
      </c>
      <c r="CO339" t="s">
        <v>346</v>
      </c>
      <c r="CP339">
        <v>0</v>
      </c>
      <c r="CQ339" t="s">
        <v>53</v>
      </c>
      <c r="CV339" t="s">
        <v>306</v>
      </c>
      <c r="DA339" t="s">
        <v>306</v>
      </c>
      <c r="DB339" t="s">
        <v>592</v>
      </c>
      <c r="DC339">
        <v>1015222</v>
      </c>
      <c r="DD339" t="s">
        <v>346</v>
      </c>
      <c r="DE339">
        <v>0</v>
      </c>
      <c r="DF339" t="s">
        <v>53</v>
      </c>
      <c r="DK339" t="s">
        <v>306</v>
      </c>
      <c r="DL339" t="s">
        <v>592</v>
      </c>
      <c r="DM339">
        <v>1015222</v>
      </c>
      <c r="DN339" t="s">
        <v>346</v>
      </c>
      <c r="DO339">
        <v>0</v>
      </c>
      <c r="DP339" t="s">
        <v>53</v>
      </c>
      <c r="DU339" t="s">
        <v>306</v>
      </c>
      <c r="DZ339" t="s">
        <v>306</v>
      </c>
      <c r="EA339" t="s">
        <v>1785</v>
      </c>
      <c r="EB339">
        <v>5784767</v>
      </c>
      <c r="EC339" t="s">
        <v>346</v>
      </c>
      <c r="ED339">
        <v>0</v>
      </c>
      <c r="EE339" t="s">
        <v>114</v>
      </c>
      <c r="EF339" t="s">
        <v>592</v>
      </c>
      <c r="EG339">
        <v>1015222</v>
      </c>
      <c r="EH339" t="s">
        <v>346</v>
      </c>
      <c r="EI339">
        <v>0</v>
      </c>
      <c r="EJ339" t="s">
        <v>53</v>
      </c>
      <c r="EO339" t="s">
        <v>306</v>
      </c>
      <c r="ET339" t="s">
        <v>306</v>
      </c>
      <c r="EY339" t="s">
        <v>306</v>
      </c>
      <c r="FD339" t="s">
        <v>306</v>
      </c>
      <c r="FI339" t="s">
        <v>306</v>
      </c>
      <c r="FN339" t="s">
        <v>306</v>
      </c>
      <c r="FS339" t="s">
        <v>306</v>
      </c>
      <c r="FX339" t="s">
        <v>306</v>
      </c>
      <c r="FY339" t="s">
        <v>592</v>
      </c>
      <c r="FZ339">
        <v>1015222</v>
      </c>
      <c r="GA339" t="s">
        <v>346</v>
      </c>
      <c r="GB339">
        <v>0</v>
      </c>
      <c r="GC339" t="s">
        <v>53</v>
      </c>
      <c r="GH339" t="s">
        <v>306</v>
      </c>
      <c r="GM339" t="s">
        <v>306</v>
      </c>
      <c r="GR339" t="s">
        <v>306</v>
      </c>
      <c r="GS339" t="s">
        <v>418</v>
      </c>
      <c r="GT339">
        <v>109776</v>
      </c>
      <c r="GU339" t="s">
        <v>346</v>
      </c>
      <c r="GV339">
        <v>0</v>
      </c>
      <c r="GW339" t="s">
        <v>53</v>
      </c>
      <c r="GX339" t="s">
        <v>1785</v>
      </c>
      <c r="GY339">
        <v>5784767</v>
      </c>
      <c r="GZ339" t="s">
        <v>346</v>
      </c>
      <c r="HA339">
        <v>0</v>
      </c>
      <c r="HB339" t="s">
        <v>114</v>
      </c>
      <c r="HG339" t="s">
        <v>306</v>
      </c>
    </row>
    <row r="340" spans="5:215" x14ac:dyDescent="0.35">
      <c r="E340" t="s">
        <v>306</v>
      </c>
      <c r="J340" t="s">
        <v>306</v>
      </c>
      <c r="O340" t="s">
        <v>306</v>
      </c>
      <c r="T340" t="s">
        <v>306</v>
      </c>
      <c r="U340" t="s">
        <v>886</v>
      </c>
      <c r="V340">
        <v>29518821</v>
      </c>
      <c r="W340" t="s">
        <v>346</v>
      </c>
      <c r="X340">
        <v>0</v>
      </c>
      <c r="Y340" t="s">
        <v>50</v>
      </c>
      <c r="AD340" t="s">
        <v>306</v>
      </c>
      <c r="AI340" t="s">
        <v>306</v>
      </c>
      <c r="AN340" t="s">
        <v>306</v>
      </c>
      <c r="AS340" t="s">
        <v>306</v>
      </c>
      <c r="AX340" t="s">
        <v>306</v>
      </c>
      <c r="BC340" t="s">
        <v>306</v>
      </c>
      <c r="BD340" t="s">
        <v>1497</v>
      </c>
      <c r="BE340">
        <v>7729796</v>
      </c>
      <c r="BF340" t="s">
        <v>346</v>
      </c>
      <c r="BG340">
        <v>0</v>
      </c>
      <c r="BH340" t="s">
        <v>2185</v>
      </c>
      <c r="BM340" t="s">
        <v>306</v>
      </c>
      <c r="BN340" t="s">
        <v>433</v>
      </c>
      <c r="BO340">
        <v>3000896</v>
      </c>
      <c r="BP340" t="s">
        <v>346</v>
      </c>
      <c r="BQ340">
        <v>0</v>
      </c>
      <c r="BR340" t="s">
        <v>53</v>
      </c>
      <c r="BS340" t="s">
        <v>1028</v>
      </c>
      <c r="BT340">
        <v>4139830</v>
      </c>
      <c r="BU340" t="s">
        <v>346</v>
      </c>
      <c r="BV340">
        <v>0</v>
      </c>
      <c r="BW340" t="s">
        <v>2185</v>
      </c>
      <c r="BX340" t="s">
        <v>886</v>
      </c>
      <c r="BY340">
        <v>29518821</v>
      </c>
      <c r="BZ340" t="s">
        <v>346</v>
      </c>
      <c r="CA340">
        <v>0</v>
      </c>
      <c r="CB340" t="s">
        <v>50</v>
      </c>
      <c r="CC340" t="s">
        <v>1786</v>
      </c>
      <c r="CD340">
        <v>4097611</v>
      </c>
      <c r="CE340" t="s">
        <v>364</v>
      </c>
      <c r="CF340">
        <v>0</v>
      </c>
      <c r="CG340" t="s">
        <v>53</v>
      </c>
      <c r="CL340" t="s">
        <v>306</v>
      </c>
      <c r="CM340" t="s">
        <v>2045</v>
      </c>
      <c r="CN340">
        <v>132235024</v>
      </c>
      <c r="CO340" t="s">
        <v>276</v>
      </c>
      <c r="CP340">
        <v>0</v>
      </c>
      <c r="CQ340" t="s">
        <v>306</v>
      </c>
      <c r="CV340" t="s">
        <v>306</v>
      </c>
      <c r="DA340" t="s">
        <v>306</v>
      </c>
      <c r="DB340" t="s">
        <v>1497</v>
      </c>
      <c r="DC340">
        <v>7729796</v>
      </c>
      <c r="DD340" t="s">
        <v>346</v>
      </c>
      <c r="DE340">
        <v>0</v>
      </c>
      <c r="DF340" t="s">
        <v>2185</v>
      </c>
      <c r="DK340" t="s">
        <v>306</v>
      </c>
      <c r="DL340" t="s">
        <v>1497</v>
      </c>
      <c r="DM340">
        <v>7729796</v>
      </c>
      <c r="DN340" t="s">
        <v>346</v>
      </c>
      <c r="DO340">
        <v>0</v>
      </c>
      <c r="DP340" t="s">
        <v>2185</v>
      </c>
      <c r="DU340" t="s">
        <v>306</v>
      </c>
      <c r="DZ340" t="s">
        <v>306</v>
      </c>
      <c r="EA340" t="s">
        <v>1786</v>
      </c>
      <c r="EB340">
        <v>4097611</v>
      </c>
      <c r="EC340" t="s">
        <v>364</v>
      </c>
      <c r="ED340">
        <v>0</v>
      </c>
      <c r="EE340" t="s">
        <v>53</v>
      </c>
      <c r="EF340" t="s">
        <v>1497</v>
      </c>
      <c r="EG340">
        <v>7729796</v>
      </c>
      <c r="EH340" t="s">
        <v>346</v>
      </c>
      <c r="EI340">
        <v>0</v>
      </c>
      <c r="EJ340" t="s">
        <v>2185</v>
      </c>
      <c r="EO340" t="s">
        <v>306</v>
      </c>
      <c r="ET340" t="s">
        <v>306</v>
      </c>
      <c r="EY340" t="s">
        <v>306</v>
      </c>
      <c r="FD340" t="s">
        <v>306</v>
      </c>
      <c r="FI340" t="s">
        <v>306</v>
      </c>
      <c r="FN340" t="s">
        <v>306</v>
      </c>
      <c r="FS340" t="s">
        <v>306</v>
      </c>
      <c r="FX340" t="s">
        <v>306</v>
      </c>
      <c r="FY340" t="s">
        <v>1497</v>
      </c>
      <c r="FZ340">
        <v>7729796</v>
      </c>
      <c r="GA340" t="s">
        <v>346</v>
      </c>
      <c r="GB340">
        <v>0</v>
      </c>
      <c r="GC340" t="s">
        <v>2185</v>
      </c>
      <c r="GH340" t="s">
        <v>306</v>
      </c>
      <c r="GM340" t="s">
        <v>306</v>
      </c>
      <c r="GR340" t="s">
        <v>306</v>
      </c>
      <c r="GS340" t="s">
        <v>433</v>
      </c>
      <c r="GT340">
        <v>3000896</v>
      </c>
      <c r="GU340" t="s">
        <v>346</v>
      </c>
      <c r="GV340">
        <v>0</v>
      </c>
      <c r="GW340" t="s">
        <v>53</v>
      </c>
      <c r="GX340" t="s">
        <v>1786</v>
      </c>
      <c r="GY340">
        <v>4097611</v>
      </c>
      <c r="GZ340" t="s">
        <v>364</v>
      </c>
      <c r="HA340">
        <v>0</v>
      </c>
      <c r="HB340" t="s">
        <v>53</v>
      </c>
      <c r="HG340" t="s">
        <v>306</v>
      </c>
    </row>
    <row r="341" spans="5:215" x14ac:dyDescent="0.35">
      <c r="E341" t="s">
        <v>306</v>
      </c>
      <c r="J341" t="s">
        <v>306</v>
      </c>
      <c r="O341" t="s">
        <v>306</v>
      </c>
      <c r="T341" t="s">
        <v>306</v>
      </c>
      <c r="U341" t="s">
        <v>483</v>
      </c>
      <c r="V341">
        <v>109763</v>
      </c>
      <c r="W341" t="s">
        <v>346</v>
      </c>
      <c r="X341">
        <v>0</v>
      </c>
      <c r="Y341" t="s">
        <v>53</v>
      </c>
      <c r="AD341" t="s">
        <v>306</v>
      </c>
      <c r="AI341" t="s">
        <v>306</v>
      </c>
      <c r="AN341" t="s">
        <v>306</v>
      </c>
      <c r="AS341" t="s">
        <v>306</v>
      </c>
      <c r="AX341" t="s">
        <v>306</v>
      </c>
      <c r="BC341" t="s">
        <v>306</v>
      </c>
      <c r="BD341" t="s">
        <v>1296</v>
      </c>
      <c r="BE341">
        <v>8091201</v>
      </c>
      <c r="BF341" t="s">
        <v>346</v>
      </c>
      <c r="BG341">
        <v>0</v>
      </c>
      <c r="BH341" t="s">
        <v>2202</v>
      </c>
      <c r="BM341" t="s">
        <v>306</v>
      </c>
      <c r="BN341" t="s">
        <v>860</v>
      </c>
      <c r="BO341">
        <v>110879</v>
      </c>
      <c r="BP341" t="s">
        <v>346</v>
      </c>
      <c r="BQ341">
        <v>0</v>
      </c>
      <c r="BR341" t="s">
        <v>53</v>
      </c>
      <c r="BS341" t="s">
        <v>423</v>
      </c>
      <c r="BT341">
        <v>4318240</v>
      </c>
      <c r="BU341" t="s">
        <v>346</v>
      </c>
      <c r="BV341">
        <v>0</v>
      </c>
      <c r="BW341" t="s">
        <v>304</v>
      </c>
      <c r="BX341" t="s">
        <v>483</v>
      </c>
      <c r="BY341">
        <v>109763</v>
      </c>
      <c r="BZ341" t="s">
        <v>346</v>
      </c>
      <c r="CA341">
        <v>0</v>
      </c>
      <c r="CB341" t="s">
        <v>53</v>
      </c>
      <c r="CC341" t="s">
        <v>1787</v>
      </c>
      <c r="CD341">
        <v>19181171</v>
      </c>
      <c r="CE341" t="s">
        <v>346</v>
      </c>
      <c r="CF341">
        <v>0</v>
      </c>
      <c r="CG341" t="s">
        <v>53</v>
      </c>
      <c r="CL341" t="s">
        <v>306</v>
      </c>
      <c r="CM341" t="s">
        <v>395</v>
      </c>
      <c r="CN341">
        <v>4153606</v>
      </c>
      <c r="CO341" t="s">
        <v>346</v>
      </c>
      <c r="CP341">
        <v>0</v>
      </c>
      <c r="CQ341" t="s">
        <v>53</v>
      </c>
      <c r="CV341" t="s">
        <v>306</v>
      </c>
      <c r="DA341" t="s">
        <v>306</v>
      </c>
      <c r="DB341" t="s">
        <v>1296</v>
      </c>
      <c r="DC341">
        <v>8091201</v>
      </c>
      <c r="DD341" t="s">
        <v>346</v>
      </c>
      <c r="DE341">
        <v>0</v>
      </c>
      <c r="DF341" t="s">
        <v>2202</v>
      </c>
      <c r="DK341" t="s">
        <v>306</v>
      </c>
      <c r="DL341" t="s">
        <v>1296</v>
      </c>
      <c r="DM341">
        <v>8091201</v>
      </c>
      <c r="DN341" t="s">
        <v>346</v>
      </c>
      <c r="DO341">
        <v>0</v>
      </c>
      <c r="DP341" t="s">
        <v>2202</v>
      </c>
      <c r="DU341" t="s">
        <v>306</v>
      </c>
      <c r="DZ341" t="s">
        <v>306</v>
      </c>
      <c r="EA341" t="s">
        <v>1787</v>
      </c>
      <c r="EB341">
        <v>19181171</v>
      </c>
      <c r="EC341" t="s">
        <v>346</v>
      </c>
      <c r="ED341">
        <v>0</v>
      </c>
      <c r="EE341" t="s">
        <v>53</v>
      </c>
      <c r="EF341" t="s">
        <v>1296</v>
      </c>
      <c r="EG341">
        <v>8091201</v>
      </c>
      <c r="EH341" t="s">
        <v>346</v>
      </c>
      <c r="EI341">
        <v>0</v>
      </c>
      <c r="EJ341" t="s">
        <v>2202</v>
      </c>
      <c r="EO341" t="s">
        <v>306</v>
      </c>
      <c r="ET341" t="s">
        <v>306</v>
      </c>
      <c r="EY341" t="s">
        <v>306</v>
      </c>
      <c r="FD341" t="s">
        <v>306</v>
      </c>
      <c r="FI341" t="s">
        <v>306</v>
      </c>
      <c r="FN341" t="s">
        <v>306</v>
      </c>
      <c r="FS341" t="s">
        <v>306</v>
      </c>
      <c r="FX341" t="s">
        <v>306</v>
      </c>
      <c r="FY341" t="s">
        <v>1296</v>
      </c>
      <c r="FZ341">
        <v>8091201</v>
      </c>
      <c r="GA341" t="s">
        <v>346</v>
      </c>
      <c r="GB341">
        <v>0</v>
      </c>
      <c r="GC341" t="s">
        <v>2202</v>
      </c>
      <c r="GH341" t="s">
        <v>306</v>
      </c>
      <c r="GM341" t="s">
        <v>306</v>
      </c>
      <c r="GR341" t="s">
        <v>306</v>
      </c>
      <c r="GS341" t="s">
        <v>860</v>
      </c>
      <c r="GT341">
        <v>110879</v>
      </c>
      <c r="GU341" t="s">
        <v>346</v>
      </c>
      <c r="GV341">
        <v>0</v>
      </c>
      <c r="GW341" t="s">
        <v>53</v>
      </c>
      <c r="GX341" t="s">
        <v>1787</v>
      </c>
      <c r="GY341">
        <v>19181171</v>
      </c>
      <c r="GZ341" t="s">
        <v>346</v>
      </c>
      <c r="HA341">
        <v>0</v>
      </c>
      <c r="HB341" t="s">
        <v>53</v>
      </c>
      <c r="HG341" t="s">
        <v>306</v>
      </c>
    </row>
    <row r="342" spans="5:215" x14ac:dyDescent="0.35">
      <c r="E342" t="s">
        <v>306</v>
      </c>
      <c r="J342" t="s">
        <v>306</v>
      </c>
      <c r="O342" t="s">
        <v>306</v>
      </c>
      <c r="T342" t="s">
        <v>306</v>
      </c>
      <c r="U342" t="s">
        <v>526</v>
      </c>
      <c r="V342">
        <v>4248288</v>
      </c>
      <c r="W342" t="s">
        <v>346</v>
      </c>
      <c r="X342">
        <v>0</v>
      </c>
      <c r="Y342" t="s">
        <v>80</v>
      </c>
      <c r="AD342" t="s">
        <v>306</v>
      </c>
      <c r="AI342" t="s">
        <v>306</v>
      </c>
      <c r="AN342" t="s">
        <v>306</v>
      </c>
      <c r="AS342" t="s">
        <v>306</v>
      </c>
      <c r="AX342" t="s">
        <v>306</v>
      </c>
      <c r="BC342" t="s">
        <v>306</v>
      </c>
      <c r="BD342" t="s">
        <v>405</v>
      </c>
      <c r="BE342">
        <v>4035990</v>
      </c>
      <c r="BF342" t="s">
        <v>346</v>
      </c>
      <c r="BG342">
        <v>0</v>
      </c>
      <c r="BH342" t="s">
        <v>80</v>
      </c>
      <c r="BM342" t="s">
        <v>306</v>
      </c>
      <c r="BN342" t="s">
        <v>752</v>
      </c>
      <c r="BO342">
        <v>111272</v>
      </c>
      <c r="BP342" t="s">
        <v>346</v>
      </c>
      <c r="BQ342">
        <v>0</v>
      </c>
      <c r="BR342" t="s">
        <v>313</v>
      </c>
      <c r="BS342" t="s">
        <v>923</v>
      </c>
      <c r="BT342">
        <v>4119489</v>
      </c>
      <c r="BU342" t="s">
        <v>346</v>
      </c>
      <c r="BV342">
        <v>0</v>
      </c>
      <c r="BW342" t="s">
        <v>53</v>
      </c>
      <c r="BX342" t="s">
        <v>526</v>
      </c>
      <c r="BY342">
        <v>4248288</v>
      </c>
      <c r="BZ342" t="s">
        <v>346</v>
      </c>
      <c r="CA342">
        <v>0</v>
      </c>
      <c r="CB342" t="s">
        <v>80</v>
      </c>
      <c r="CC342" t="s">
        <v>1788</v>
      </c>
      <c r="CD342">
        <v>5837967</v>
      </c>
      <c r="CE342" t="s">
        <v>364</v>
      </c>
      <c r="CF342">
        <v>0</v>
      </c>
      <c r="CG342" t="s">
        <v>53</v>
      </c>
      <c r="CL342" t="s">
        <v>306</v>
      </c>
      <c r="CM342" t="s">
        <v>2046</v>
      </c>
      <c r="CN342">
        <v>4218652</v>
      </c>
      <c r="CO342" t="s">
        <v>346</v>
      </c>
      <c r="CP342">
        <v>0</v>
      </c>
      <c r="CQ342" t="s">
        <v>53</v>
      </c>
      <c r="CV342" t="s">
        <v>306</v>
      </c>
      <c r="DA342" t="s">
        <v>306</v>
      </c>
      <c r="DB342" t="s">
        <v>405</v>
      </c>
      <c r="DC342">
        <v>4035990</v>
      </c>
      <c r="DD342" t="s">
        <v>346</v>
      </c>
      <c r="DE342">
        <v>0</v>
      </c>
      <c r="DF342" t="s">
        <v>80</v>
      </c>
      <c r="DK342" t="s">
        <v>306</v>
      </c>
      <c r="DL342" t="s">
        <v>405</v>
      </c>
      <c r="DM342">
        <v>4035990</v>
      </c>
      <c r="DN342" t="s">
        <v>346</v>
      </c>
      <c r="DO342">
        <v>0</v>
      </c>
      <c r="DP342" t="s">
        <v>80</v>
      </c>
      <c r="DU342" t="s">
        <v>306</v>
      </c>
      <c r="DZ342" t="s">
        <v>306</v>
      </c>
      <c r="EA342" t="s">
        <v>1788</v>
      </c>
      <c r="EB342">
        <v>5837967</v>
      </c>
      <c r="EC342" t="s">
        <v>364</v>
      </c>
      <c r="ED342">
        <v>0</v>
      </c>
      <c r="EE342" t="s">
        <v>53</v>
      </c>
      <c r="EF342" t="s">
        <v>405</v>
      </c>
      <c r="EG342">
        <v>4035990</v>
      </c>
      <c r="EH342" t="s">
        <v>346</v>
      </c>
      <c r="EI342">
        <v>0</v>
      </c>
      <c r="EJ342" t="s">
        <v>80</v>
      </c>
      <c r="EO342" t="s">
        <v>306</v>
      </c>
      <c r="ET342" t="s">
        <v>306</v>
      </c>
      <c r="EY342" t="s">
        <v>306</v>
      </c>
      <c r="FD342" t="s">
        <v>306</v>
      </c>
      <c r="FI342" t="s">
        <v>306</v>
      </c>
      <c r="FN342" t="s">
        <v>306</v>
      </c>
      <c r="FS342" t="s">
        <v>306</v>
      </c>
      <c r="FX342" t="s">
        <v>306</v>
      </c>
      <c r="FY342" t="s">
        <v>405</v>
      </c>
      <c r="FZ342">
        <v>4035990</v>
      </c>
      <c r="GA342" t="s">
        <v>346</v>
      </c>
      <c r="GB342">
        <v>0</v>
      </c>
      <c r="GC342" t="s">
        <v>80</v>
      </c>
      <c r="GH342" t="s">
        <v>306</v>
      </c>
      <c r="GM342" t="s">
        <v>306</v>
      </c>
      <c r="GR342" t="s">
        <v>306</v>
      </c>
      <c r="GS342" t="s">
        <v>752</v>
      </c>
      <c r="GT342">
        <v>111272</v>
      </c>
      <c r="GU342" t="s">
        <v>346</v>
      </c>
      <c r="GV342">
        <v>0</v>
      </c>
      <c r="GW342" t="s">
        <v>313</v>
      </c>
      <c r="GX342" t="s">
        <v>1788</v>
      </c>
      <c r="GY342">
        <v>5837967</v>
      </c>
      <c r="GZ342" t="s">
        <v>364</v>
      </c>
      <c r="HA342">
        <v>0</v>
      </c>
      <c r="HB342" t="s">
        <v>53</v>
      </c>
      <c r="HG342" t="s">
        <v>306</v>
      </c>
    </row>
    <row r="343" spans="5:215" x14ac:dyDescent="0.35">
      <c r="E343" t="s">
        <v>306</v>
      </c>
      <c r="J343" t="s">
        <v>306</v>
      </c>
      <c r="O343" t="s">
        <v>306</v>
      </c>
      <c r="T343" t="s">
        <v>306</v>
      </c>
      <c r="U343" t="s">
        <v>887</v>
      </c>
      <c r="V343">
        <v>5843533</v>
      </c>
      <c r="W343" t="s">
        <v>346</v>
      </c>
      <c r="X343">
        <v>0</v>
      </c>
      <c r="Y343" t="s">
        <v>50</v>
      </c>
      <c r="AD343" t="s">
        <v>306</v>
      </c>
      <c r="AI343" t="s">
        <v>306</v>
      </c>
      <c r="AN343" t="s">
        <v>306</v>
      </c>
      <c r="AS343" t="s">
        <v>306</v>
      </c>
      <c r="AX343" t="s">
        <v>306</v>
      </c>
      <c r="BC343" t="s">
        <v>306</v>
      </c>
      <c r="BD343" t="s">
        <v>1290</v>
      </c>
      <c r="BE343">
        <v>4275763</v>
      </c>
      <c r="BF343" t="s">
        <v>346</v>
      </c>
      <c r="BG343">
        <v>0</v>
      </c>
      <c r="BH343" t="s">
        <v>62</v>
      </c>
      <c r="BM343" t="s">
        <v>306</v>
      </c>
      <c r="BN343" t="s">
        <v>420</v>
      </c>
      <c r="BO343">
        <v>19342220</v>
      </c>
      <c r="BP343" t="s">
        <v>346</v>
      </c>
      <c r="BQ343">
        <v>0</v>
      </c>
      <c r="BR343" t="s">
        <v>53</v>
      </c>
      <c r="BS343" t="s">
        <v>1029</v>
      </c>
      <c r="BT343">
        <v>109927</v>
      </c>
      <c r="BU343" t="s">
        <v>346</v>
      </c>
      <c r="BV343">
        <v>0</v>
      </c>
      <c r="BW343" t="s">
        <v>53</v>
      </c>
      <c r="BX343" t="s">
        <v>887</v>
      </c>
      <c r="BY343">
        <v>5843533</v>
      </c>
      <c r="BZ343" t="s">
        <v>346</v>
      </c>
      <c r="CA343">
        <v>0</v>
      </c>
      <c r="CB343" t="s">
        <v>50</v>
      </c>
      <c r="CC343" t="s">
        <v>625</v>
      </c>
      <c r="CD343">
        <v>111206</v>
      </c>
      <c r="CE343" t="s">
        <v>346</v>
      </c>
      <c r="CF343">
        <v>0</v>
      </c>
      <c r="CG343" t="s">
        <v>53</v>
      </c>
      <c r="CL343" t="s">
        <v>306</v>
      </c>
      <c r="CM343" t="s">
        <v>533</v>
      </c>
      <c r="CN343">
        <v>4377155</v>
      </c>
      <c r="CO343" t="s">
        <v>346</v>
      </c>
      <c r="CP343">
        <v>0</v>
      </c>
      <c r="CQ343" t="s">
        <v>2192</v>
      </c>
      <c r="CV343" t="s">
        <v>306</v>
      </c>
      <c r="DA343" t="s">
        <v>306</v>
      </c>
      <c r="DB343" t="s">
        <v>1290</v>
      </c>
      <c r="DC343">
        <v>4275763</v>
      </c>
      <c r="DD343" t="s">
        <v>346</v>
      </c>
      <c r="DE343">
        <v>0</v>
      </c>
      <c r="DF343" t="s">
        <v>62</v>
      </c>
      <c r="DK343" t="s">
        <v>306</v>
      </c>
      <c r="DL343" t="s">
        <v>1290</v>
      </c>
      <c r="DM343">
        <v>4275763</v>
      </c>
      <c r="DN343" t="s">
        <v>346</v>
      </c>
      <c r="DO343">
        <v>0</v>
      </c>
      <c r="DP343" t="s">
        <v>62</v>
      </c>
      <c r="DU343" t="s">
        <v>306</v>
      </c>
      <c r="DZ343" t="s">
        <v>306</v>
      </c>
      <c r="EA343" t="s">
        <v>625</v>
      </c>
      <c r="EB343">
        <v>111206</v>
      </c>
      <c r="EC343" t="s">
        <v>346</v>
      </c>
      <c r="ED343">
        <v>0</v>
      </c>
      <c r="EE343" t="s">
        <v>53</v>
      </c>
      <c r="EF343" t="s">
        <v>1290</v>
      </c>
      <c r="EG343">
        <v>4275763</v>
      </c>
      <c r="EH343" t="s">
        <v>346</v>
      </c>
      <c r="EI343">
        <v>0</v>
      </c>
      <c r="EJ343" t="s">
        <v>62</v>
      </c>
      <c r="EO343" t="s">
        <v>306</v>
      </c>
      <c r="ET343" t="s">
        <v>306</v>
      </c>
      <c r="EY343" t="s">
        <v>306</v>
      </c>
      <c r="FD343" t="s">
        <v>306</v>
      </c>
      <c r="FI343" t="s">
        <v>306</v>
      </c>
      <c r="FN343" t="s">
        <v>306</v>
      </c>
      <c r="FS343" t="s">
        <v>306</v>
      </c>
      <c r="FX343" t="s">
        <v>306</v>
      </c>
      <c r="FY343" t="s">
        <v>1290</v>
      </c>
      <c r="FZ343">
        <v>4275763</v>
      </c>
      <c r="GA343" t="s">
        <v>346</v>
      </c>
      <c r="GB343">
        <v>0</v>
      </c>
      <c r="GC343" t="s">
        <v>62</v>
      </c>
      <c r="GH343" t="s">
        <v>306</v>
      </c>
      <c r="GM343" t="s">
        <v>306</v>
      </c>
      <c r="GR343" t="s">
        <v>306</v>
      </c>
      <c r="GS343" t="s">
        <v>420</v>
      </c>
      <c r="GT343">
        <v>19342220</v>
      </c>
      <c r="GU343" t="s">
        <v>346</v>
      </c>
      <c r="GV343">
        <v>0</v>
      </c>
      <c r="GW343" t="s">
        <v>53</v>
      </c>
      <c r="GX343" t="s">
        <v>625</v>
      </c>
      <c r="GY343">
        <v>111206</v>
      </c>
      <c r="GZ343" t="s">
        <v>346</v>
      </c>
      <c r="HA343">
        <v>0</v>
      </c>
      <c r="HB343" t="s">
        <v>53</v>
      </c>
      <c r="HG343" t="s">
        <v>306</v>
      </c>
    </row>
    <row r="344" spans="5:215" x14ac:dyDescent="0.35">
      <c r="E344" t="s">
        <v>306</v>
      </c>
      <c r="J344" t="s">
        <v>306</v>
      </c>
      <c r="O344" t="s">
        <v>306</v>
      </c>
      <c r="T344" t="s">
        <v>306</v>
      </c>
      <c r="U344" t="s">
        <v>888</v>
      </c>
      <c r="V344">
        <v>4248806</v>
      </c>
      <c r="W344" t="s">
        <v>346</v>
      </c>
      <c r="X344">
        <v>0</v>
      </c>
      <c r="Y344" t="s">
        <v>2191</v>
      </c>
      <c r="AD344" t="s">
        <v>306</v>
      </c>
      <c r="AI344" t="s">
        <v>306</v>
      </c>
      <c r="AN344" t="s">
        <v>306</v>
      </c>
      <c r="AS344" t="s">
        <v>306</v>
      </c>
      <c r="AX344" t="s">
        <v>306</v>
      </c>
      <c r="BC344" t="s">
        <v>306</v>
      </c>
      <c r="BD344" t="s">
        <v>1498</v>
      </c>
      <c r="BE344">
        <v>7945673</v>
      </c>
      <c r="BF344" t="s">
        <v>346</v>
      </c>
      <c r="BG344">
        <v>0</v>
      </c>
      <c r="BH344" t="s">
        <v>62</v>
      </c>
      <c r="BM344" t="s">
        <v>306</v>
      </c>
      <c r="BN344" t="s">
        <v>934</v>
      </c>
      <c r="BO344">
        <v>10533696</v>
      </c>
      <c r="BP344" t="s">
        <v>346</v>
      </c>
      <c r="BQ344">
        <v>0</v>
      </c>
      <c r="BR344" t="s">
        <v>326</v>
      </c>
      <c r="BS344" t="s">
        <v>761</v>
      </c>
      <c r="BT344">
        <v>15102002</v>
      </c>
      <c r="BU344" t="s">
        <v>346</v>
      </c>
      <c r="BV344">
        <v>0</v>
      </c>
      <c r="BW344" t="s">
        <v>50</v>
      </c>
      <c r="BX344" t="s">
        <v>888</v>
      </c>
      <c r="BY344">
        <v>4248806</v>
      </c>
      <c r="BZ344" t="s">
        <v>346</v>
      </c>
      <c r="CA344">
        <v>0</v>
      </c>
      <c r="CB344" t="s">
        <v>2191</v>
      </c>
      <c r="CC344" t="s">
        <v>1789</v>
      </c>
      <c r="CD344">
        <v>4320743</v>
      </c>
      <c r="CE344" t="s">
        <v>346</v>
      </c>
      <c r="CF344">
        <v>0</v>
      </c>
      <c r="CG344" t="s">
        <v>53</v>
      </c>
      <c r="CL344" t="s">
        <v>306</v>
      </c>
      <c r="CM344" t="s">
        <v>2047</v>
      </c>
      <c r="CN344">
        <v>100423759</v>
      </c>
      <c r="CO344" t="s">
        <v>346</v>
      </c>
      <c r="CP344">
        <v>0</v>
      </c>
      <c r="CQ344" t="s">
        <v>53</v>
      </c>
      <c r="CV344" t="s">
        <v>306</v>
      </c>
      <c r="DA344" t="s">
        <v>306</v>
      </c>
      <c r="DB344" t="s">
        <v>1498</v>
      </c>
      <c r="DC344">
        <v>7945673</v>
      </c>
      <c r="DD344" t="s">
        <v>346</v>
      </c>
      <c r="DE344">
        <v>0</v>
      </c>
      <c r="DF344" t="s">
        <v>62</v>
      </c>
      <c r="DK344" t="s">
        <v>306</v>
      </c>
      <c r="DL344" t="s">
        <v>1498</v>
      </c>
      <c r="DM344">
        <v>7945673</v>
      </c>
      <c r="DN344" t="s">
        <v>346</v>
      </c>
      <c r="DO344">
        <v>0</v>
      </c>
      <c r="DP344" t="s">
        <v>62</v>
      </c>
      <c r="DU344" t="s">
        <v>306</v>
      </c>
      <c r="DZ344" t="s">
        <v>306</v>
      </c>
      <c r="EA344" t="s">
        <v>1789</v>
      </c>
      <c r="EB344">
        <v>4320743</v>
      </c>
      <c r="EC344" t="s">
        <v>346</v>
      </c>
      <c r="ED344">
        <v>0</v>
      </c>
      <c r="EE344" t="s">
        <v>53</v>
      </c>
      <c r="EF344" t="s">
        <v>1498</v>
      </c>
      <c r="EG344">
        <v>7945673</v>
      </c>
      <c r="EH344" t="s">
        <v>346</v>
      </c>
      <c r="EI344">
        <v>0</v>
      </c>
      <c r="EJ344" t="s">
        <v>62</v>
      </c>
      <c r="EO344" t="s">
        <v>306</v>
      </c>
      <c r="ET344" t="s">
        <v>306</v>
      </c>
      <c r="EY344" t="s">
        <v>306</v>
      </c>
      <c r="FD344" t="s">
        <v>306</v>
      </c>
      <c r="FI344" t="s">
        <v>306</v>
      </c>
      <c r="FN344" t="s">
        <v>306</v>
      </c>
      <c r="FS344" t="s">
        <v>306</v>
      </c>
      <c r="FX344" t="s">
        <v>306</v>
      </c>
      <c r="FY344" t="s">
        <v>1498</v>
      </c>
      <c r="FZ344">
        <v>7945673</v>
      </c>
      <c r="GA344" t="s">
        <v>346</v>
      </c>
      <c r="GB344">
        <v>0</v>
      </c>
      <c r="GC344" t="s">
        <v>62</v>
      </c>
      <c r="GH344" t="s">
        <v>306</v>
      </c>
      <c r="GM344" t="s">
        <v>306</v>
      </c>
      <c r="GR344" t="s">
        <v>306</v>
      </c>
      <c r="GS344" t="s">
        <v>934</v>
      </c>
      <c r="GT344">
        <v>10533696</v>
      </c>
      <c r="GU344" t="s">
        <v>346</v>
      </c>
      <c r="GV344">
        <v>0</v>
      </c>
      <c r="GW344" t="s">
        <v>326</v>
      </c>
      <c r="GX344" t="s">
        <v>1789</v>
      </c>
      <c r="GY344">
        <v>4320743</v>
      </c>
      <c r="GZ344" t="s">
        <v>346</v>
      </c>
      <c r="HA344">
        <v>0</v>
      </c>
      <c r="HB344" t="s">
        <v>53</v>
      </c>
      <c r="HG344" t="s">
        <v>306</v>
      </c>
    </row>
    <row r="345" spans="5:215" x14ac:dyDescent="0.35">
      <c r="E345" t="s">
        <v>306</v>
      </c>
      <c r="J345" t="s">
        <v>306</v>
      </c>
      <c r="O345" t="s">
        <v>306</v>
      </c>
      <c r="T345" t="s">
        <v>306</v>
      </c>
      <c r="U345" t="s">
        <v>889</v>
      </c>
      <c r="V345">
        <v>4213180</v>
      </c>
      <c r="W345" t="s">
        <v>346</v>
      </c>
      <c r="X345">
        <v>0</v>
      </c>
      <c r="Y345" t="s">
        <v>326</v>
      </c>
      <c r="AD345" t="s">
        <v>306</v>
      </c>
      <c r="AI345" t="s">
        <v>306</v>
      </c>
      <c r="AN345" t="s">
        <v>306</v>
      </c>
      <c r="AS345" t="s">
        <v>306</v>
      </c>
      <c r="AX345" t="s">
        <v>306</v>
      </c>
      <c r="BC345" t="s">
        <v>306</v>
      </c>
      <c r="BD345" t="s">
        <v>522</v>
      </c>
      <c r="BE345">
        <v>4118373</v>
      </c>
      <c r="BF345" t="s">
        <v>346</v>
      </c>
      <c r="BG345">
        <v>0</v>
      </c>
      <c r="BH345" t="s">
        <v>53</v>
      </c>
      <c r="BM345" t="s">
        <v>306</v>
      </c>
      <c r="BN345" t="s">
        <v>937</v>
      </c>
      <c r="BO345">
        <v>4041896</v>
      </c>
      <c r="BP345" t="s">
        <v>366</v>
      </c>
      <c r="BQ345">
        <v>-0.06</v>
      </c>
      <c r="BR345" t="s">
        <v>53</v>
      </c>
      <c r="BS345" t="s">
        <v>816</v>
      </c>
      <c r="BT345">
        <v>4187337</v>
      </c>
      <c r="BU345" t="s">
        <v>364</v>
      </c>
      <c r="BV345">
        <v>0</v>
      </c>
      <c r="BW345" t="s">
        <v>2184</v>
      </c>
      <c r="BX345" t="s">
        <v>889</v>
      </c>
      <c r="BY345">
        <v>4213180</v>
      </c>
      <c r="BZ345" t="s">
        <v>346</v>
      </c>
      <c r="CA345">
        <v>0</v>
      </c>
      <c r="CB345" t="s">
        <v>326</v>
      </c>
      <c r="CC345" t="s">
        <v>1066</v>
      </c>
      <c r="CD345">
        <v>4304962</v>
      </c>
      <c r="CE345" t="s">
        <v>346</v>
      </c>
      <c r="CF345">
        <v>0</v>
      </c>
      <c r="CG345" t="s">
        <v>317</v>
      </c>
      <c r="CL345" t="s">
        <v>306</v>
      </c>
      <c r="CM345" t="s">
        <v>419</v>
      </c>
      <c r="CN345">
        <v>4338202</v>
      </c>
      <c r="CO345" t="s">
        <v>346</v>
      </c>
      <c r="CP345">
        <v>0</v>
      </c>
      <c r="CQ345" t="s">
        <v>53</v>
      </c>
      <c r="CV345" t="s">
        <v>306</v>
      </c>
      <c r="DA345" t="s">
        <v>306</v>
      </c>
      <c r="DB345" t="s">
        <v>522</v>
      </c>
      <c r="DC345">
        <v>4118373</v>
      </c>
      <c r="DD345" t="s">
        <v>346</v>
      </c>
      <c r="DE345">
        <v>0</v>
      </c>
      <c r="DF345" t="s">
        <v>53</v>
      </c>
      <c r="DK345" t="s">
        <v>306</v>
      </c>
      <c r="DL345" t="s">
        <v>522</v>
      </c>
      <c r="DM345">
        <v>4118373</v>
      </c>
      <c r="DN345" t="s">
        <v>346</v>
      </c>
      <c r="DO345">
        <v>0</v>
      </c>
      <c r="DP345" t="s">
        <v>53</v>
      </c>
      <c r="DU345" t="s">
        <v>306</v>
      </c>
      <c r="DZ345" t="s">
        <v>306</v>
      </c>
      <c r="EA345" t="s">
        <v>1066</v>
      </c>
      <c r="EB345">
        <v>4304962</v>
      </c>
      <c r="EC345" t="s">
        <v>346</v>
      </c>
      <c r="ED345">
        <v>0</v>
      </c>
      <c r="EE345" t="s">
        <v>317</v>
      </c>
      <c r="EF345" t="s">
        <v>522</v>
      </c>
      <c r="EG345">
        <v>4118373</v>
      </c>
      <c r="EH345" t="s">
        <v>346</v>
      </c>
      <c r="EI345">
        <v>0</v>
      </c>
      <c r="EJ345" t="s">
        <v>53</v>
      </c>
      <c r="EO345" t="s">
        <v>306</v>
      </c>
      <c r="ET345" t="s">
        <v>306</v>
      </c>
      <c r="EY345" t="s">
        <v>306</v>
      </c>
      <c r="FD345" t="s">
        <v>306</v>
      </c>
      <c r="FI345" t="s">
        <v>306</v>
      </c>
      <c r="FN345" t="s">
        <v>306</v>
      </c>
      <c r="FS345" t="s">
        <v>306</v>
      </c>
      <c r="FX345" t="s">
        <v>306</v>
      </c>
      <c r="FY345" t="s">
        <v>522</v>
      </c>
      <c r="FZ345">
        <v>4118373</v>
      </c>
      <c r="GA345" t="s">
        <v>346</v>
      </c>
      <c r="GB345">
        <v>0</v>
      </c>
      <c r="GC345" t="s">
        <v>53</v>
      </c>
      <c r="GH345" t="s">
        <v>306</v>
      </c>
      <c r="GM345" t="s">
        <v>306</v>
      </c>
      <c r="GR345" t="s">
        <v>306</v>
      </c>
      <c r="GS345" t="s">
        <v>937</v>
      </c>
      <c r="GT345">
        <v>4041896</v>
      </c>
      <c r="GU345" t="s">
        <v>366</v>
      </c>
      <c r="GV345">
        <v>-0.06</v>
      </c>
      <c r="GW345" t="s">
        <v>53</v>
      </c>
      <c r="GX345" t="s">
        <v>1066</v>
      </c>
      <c r="GY345">
        <v>4304962</v>
      </c>
      <c r="GZ345" t="s">
        <v>346</v>
      </c>
      <c r="HA345">
        <v>0</v>
      </c>
      <c r="HB345" t="s">
        <v>317</v>
      </c>
      <c r="HG345" t="s">
        <v>306</v>
      </c>
    </row>
    <row r="346" spans="5:215" x14ac:dyDescent="0.35">
      <c r="E346" t="s">
        <v>306</v>
      </c>
      <c r="J346" t="s">
        <v>306</v>
      </c>
      <c r="O346" t="s">
        <v>306</v>
      </c>
      <c r="T346" t="s">
        <v>306</v>
      </c>
      <c r="U346" t="s">
        <v>390</v>
      </c>
      <c r="V346">
        <v>4135241</v>
      </c>
      <c r="W346" t="s">
        <v>346</v>
      </c>
      <c r="X346">
        <v>0</v>
      </c>
      <c r="Y346" t="s">
        <v>125</v>
      </c>
      <c r="AD346" t="s">
        <v>306</v>
      </c>
      <c r="AI346" t="s">
        <v>306</v>
      </c>
      <c r="AN346" t="s">
        <v>306</v>
      </c>
      <c r="AS346" t="s">
        <v>306</v>
      </c>
      <c r="AX346" t="s">
        <v>306</v>
      </c>
      <c r="BC346" t="s">
        <v>306</v>
      </c>
      <c r="BD346" t="s">
        <v>1278</v>
      </c>
      <c r="BE346">
        <v>7496233</v>
      </c>
      <c r="BF346" t="s">
        <v>346</v>
      </c>
      <c r="BG346">
        <v>0</v>
      </c>
      <c r="BH346" t="s">
        <v>62</v>
      </c>
      <c r="BM346" t="s">
        <v>306</v>
      </c>
      <c r="BR346" t="s">
        <v>306</v>
      </c>
      <c r="BS346" t="s">
        <v>455</v>
      </c>
      <c r="BT346">
        <v>4119538</v>
      </c>
      <c r="BU346" t="s">
        <v>364</v>
      </c>
      <c r="BV346">
        <v>0</v>
      </c>
      <c r="BW346" t="s">
        <v>53</v>
      </c>
      <c r="BX346" t="s">
        <v>390</v>
      </c>
      <c r="BY346">
        <v>4135241</v>
      </c>
      <c r="BZ346" t="s">
        <v>346</v>
      </c>
      <c r="CA346">
        <v>0</v>
      </c>
      <c r="CB346" t="s">
        <v>125</v>
      </c>
      <c r="CC346" t="s">
        <v>443</v>
      </c>
      <c r="CD346">
        <v>110787</v>
      </c>
      <c r="CE346" t="s">
        <v>346</v>
      </c>
      <c r="CF346">
        <v>0</v>
      </c>
      <c r="CG346" t="s">
        <v>53</v>
      </c>
      <c r="CL346" t="s">
        <v>306</v>
      </c>
      <c r="CM346" t="s">
        <v>1752</v>
      </c>
      <c r="CN346">
        <v>4026737</v>
      </c>
      <c r="CO346" t="s">
        <v>346</v>
      </c>
      <c r="CP346">
        <v>0</v>
      </c>
      <c r="CQ346" t="s">
        <v>53</v>
      </c>
      <c r="CV346" t="s">
        <v>306</v>
      </c>
      <c r="DA346" t="s">
        <v>306</v>
      </c>
      <c r="DB346" t="s">
        <v>1278</v>
      </c>
      <c r="DC346">
        <v>7496233</v>
      </c>
      <c r="DD346" t="s">
        <v>346</v>
      </c>
      <c r="DE346">
        <v>0</v>
      </c>
      <c r="DF346" t="s">
        <v>62</v>
      </c>
      <c r="DK346" t="s">
        <v>306</v>
      </c>
      <c r="DL346" t="s">
        <v>1278</v>
      </c>
      <c r="DM346">
        <v>7496233</v>
      </c>
      <c r="DN346" t="s">
        <v>346</v>
      </c>
      <c r="DO346">
        <v>0</v>
      </c>
      <c r="DP346" t="s">
        <v>62</v>
      </c>
      <c r="DU346" t="s">
        <v>306</v>
      </c>
      <c r="DZ346" t="s">
        <v>306</v>
      </c>
      <c r="EA346" t="s">
        <v>443</v>
      </c>
      <c r="EB346">
        <v>110787</v>
      </c>
      <c r="EC346" t="s">
        <v>346</v>
      </c>
      <c r="ED346">
        <v>0</v>
      </c>
      <c r="EE346" t="s">
        <v>53</v>
      </c>
      <c r="EF346" t="s">
        <v>1278</v>
      </c>
      <c r="EG346">
        <v>7496233</v>
      </c>
      <c r="EH346" t="s">
        <v>346</v>
      </c>
      <c r="EI346">
        <v>0</v>
      </c>
      <c r="EJ346" t="s">
        <v>62</v>
      </c>
      <c r="EO346" t="s">
        <v>306</v>
      </c>
      <c r="ET346" t="s">
        <v>306</v>
      </c>
      <c r="EY346" t="s">
        <v>306</v>
      </c>
      <c r="FD346" t="s">
        <v>306</v>
      </c>
      <c r="FI346" t="s">
        <v>306</v>
      </c>
      <c r="FN346" t="s">
        <v>306</v>
      </c>
      <c r="FS346" t="s">
        <v>306</v>
      </c>
      <c r="FX346" t="s">
        <v>306</v>
      </c>
      <c r="FY346" t="s">
        <v>1278</v>
      </c>
      <c r="FZ346">
        <v>7496233</v>
      </c>
      <c r="GA346" t="s">
        <v>346</v>
      </c>
      <c r="GB346">
        <v>0</v>
      </c>
      <c r="GC346" t="s">
        <v>62</v>
      </c>
      <c r="GH346" t="s">
        <v>306</v>
      </c>
      <c r="GM346" t="s">
        <v>306</v>
      </c>
      <c r="GR346" t="s">
        <v>306</v>
      </c>
      <c r="GW346" t="s">
        <v>306</v>
      </c>
      <c r="GX346" t="s">
        <v>443</v>
      </c>
      <c r="GY346">
        <v>110787</v>
      </c>
      <c r="GZ346" t="s">
        <v>346</v>
      </c>
      <c r="HA346">
        <v>0</v>
      </c>
      <c r="HB346" t="s">
        <v>53</v>
      </c>
      <c r="HG346" t="s">
        <v>306</v>
      </c>
    </row>
    <row r="347" spans="5:215" x14ac:dyDescent="0.35">
      <c r="E347" t="s">
        <v>306</v>
      </c>
      <c r="J347" t="s">
        <v>306</v>
      </c>
      <c r="O347" t="s">
        <v>306</v>
      </c>
      <c r="T347" t="s">
        <v>306</v>
      </c>
      <c r="U347" t="s">
        <v>890</v>
      </c>
      <c r="V347">
        <v>4260136</v>
      </c>
      <c r="W347" t="s">
        <v>346</v>
      </c>
      <c r="X347">
        <v>0</v>
      </c>
      <c r="Y347" t="s">
        <v>317</v>
      </c>
      <c r="AD347" t="s">
        <v>306</v>
      </c>
      <c r="AI347" t="s">
        <v>306</v>
      </c>
      <c r="AN347" t="s">
        <v>306</v>
      </c>
      <c r="AS347" t="s">
        <v>306</v>
      </c>
      <c r="AX347" t="s">
        <v>306</v>
      </c>
      <c r="BC347" t="s">
        <v>306</v>
      </c>
      <c r="BD347" t="s">
        <v>1359</v>
      </c>
      <c r="BE347">
        <v>4213188</v>
      </c>
      <c r="BF347" t="s">
        <v>346</v>
      </c>
      <c r="BG347">
        <v>0</v>
      </c>
      <c r="BH347" t="s">
        <v>62</v>
      </c>
      <c r="BM347" t="s">
        <v>306</v>
      </c>
      <c r="BR347" t="s">
        <v>306</v>
      </c>
      <c r="BS347" t="s">
        <v>579</v>
      </c>
      <c r="BT347">
        <v>5842097</v>
      </c>
      <c r="BU347" t="s">
        <v>346</v>
      </c>
      <c r="BV347">
        <v>0</v>
      </c>
      <c r="BW347" t="s">
        <v>2194</v>
      </c>
      <c r="BX347" t="s">
        <v>890</v>
      </c>
      <c r="BY347">
        <v>4260136</v>
      </c>
      <c r="BZ347" t="s">
        <v>346</v>
      </c>
      <c r="CA347">
        <v>0</v>
      </c>
      <c r="CB347" t="s">
        <v>317</v>
      </c>
      <c r="CC347" t="s">
        <v>857</v>
      </c>
      <c r="CD347">
        <v>4262519</v>
      </c>
      <c r="CE347" t="s">
        <v>346</v>
      </c>
      <c r="CF347">
        <v>0</v>
      </c>
      <c r="CG347" t="s">
        <v>53</v>
      </c>
      <c r="CL347" t="s">
        <v>306</v>
      </c>
      <c r="CM347" t="s">
        <v>1325</v>
      </c>
      <c r="CN347">
        <v>5760145</v>
      </c>
      <c r="CO347" t="s">
        <v>346</v>
      </c>
      <c r="CP347">
        <v>0</v>
      </c>
      <c r="CQ347" t="s">
        <v>62</v>
      </c>
      <c r="CV347" t="s">
        <v>306</v>
      </c>
      <c r="DA347" t="s">
        <v>306</v>
      </c>
      <c r="DB347" t="s">
        <v>1359</v>
      </c>
      <c r="DC347">
        <v>4213188</v>
      </c>
      <c r="DD347" t="s">
        <v>346</v>
      </c>
      <c r="DE347">
        <v>0</v>
      </c>
      <c r="DF347" t="s">
        <v>62</v>
      </c>
      <c r="DK347" t="s">
        <v>306</v>
      </c>
      <c r="DL347" t="s">
        <v>1359</v>
      </c>
      <c r="DM347">
        <v>4213188</v>
      </c>
      <c r="DN347" t="s">
        <v>346</v>
      </c>
      <c r="DO347">
        <v>0</v>
      </c>
      <c r="DP347" t="s">
        <v>62</v>
      </c>
      <c r="DU347" t="s">
        <v>306</v>
      </c>
      <c r="DZ347" t="s">
        <v>306</v>
      </c>
      <c r="EA347" t="s">
        <v>857</v>
      </c>
      <c r="EB347">
        <v>4262519</v>
      </c>
      <c r="EC347" t="s">
        <v>346</v>
      </c>
      <c r="ED347">
        <v>0</v>
      </c>
      <c r="EE347" t="s">
        <v>53</v>
      </c>
      <c r="EF347" t="s">
        <v>1359</v>
      </c>
      <c r="EG347">
        <v>4213188</v>
      </c>
      <c r="EH347" t="s">
        <v>346</v>
      </c>
      <c r="EI347">
        <v>0</v>
      </c>
      <c r="EJ347" t="s">
        <v>62</v>
      </c>
      <c r="EO347" t="s">
        <v>306</v>
      </c>
      <c r="ET347" t="s">
        <v>306</v>
      </c>
      <c r="EY347" t="s">
        <v>306</v>
      </c>
      <c r="FD347" t="s">
        <v>306</v>
      </c>
      <c r="FI347" t="s">
        <v>306</v>
      </c>
      <c r="FN347" t="s">
        <v>306</v>
      </c>
      <c r="FS347" t="s">
        <v>306</v>
      </c>
      <c r="FX347" t="s">
        <v>306</v>
      </c>
      <c r="FY347" t="s">
        <v>1359</v>
      </c>
      <c r="FZ347">
        <v>4213188</v>
      </c>
      <c r="GA347" t="s">
        <v>346</v>
      </c>
      <c r="GB347">
        <v>0</v>
      </c>
      <c r="GC347" t="s">
        <v>62</v>
      </c>
      <c r="GH347" t="s">
        <v>306</v>
      </c>
      <c r="GM347" t="s">
        <v>306</v>
      </c>
      <c r="GR347" t="s">
        <v>306</v>
      </c>
      <c r="GW347" t="s">
        <v>306</v>
      </c>
      <c r="GX347" t="s">
        <v>857</v>
      </c>
      <c r="GY347">
        <v>4262519</v>
      </c>
      <c r="GZ347" t="s">
        <v>346</v>
      </c>
      <c r="HA347">
        <v>0</v>
      </c>
      <c r="HB347" t="s">
        <v>53</v>
      </c>
      <c r="HG347" t="s">
        <v>306</v>
      </c>
    </row>
    <row r="348" spans="5:215" x14ac:dyDescent="0.35">
      <c r="E348" t="s">
        <v>306</v>
      </c>
      <c r="J348" t="s">
        <v>306</v>
      </c>
      <c r="O348" t="s">
        <v>306</v>
      </c>
      <c r="T348" t="s">
        <v>306</v>
      </c>
      <c r="U348" t="s">
        <v>891</v>
      </c>
      <c r="V348">
        <v>4190959</v>
      </c>
      <c r="W348" t="s">
        <v>346</v>
      </c>
      <c r="X348">
        <v>0</v>
      </c>
      <c r="Y348" t="s">
        <v>2188</v>
      </c>
      <c r="AD348" t="s">
        <v>306</v>
      </c>
      <c r="AI348" t="s">
        <v>306</v>
      </c>
      <c r="AN348" t="s">
        <v>306</v>
      </c>
      <c r="AS348" t="s">
        <v>306</v>
      </c>
      <c r="AX348" t="s">
        <v>306</v>
      </c>
      <c r="BC348" t="s">
        <v>306</v>
      </c>
      <c r="BD348" t="s">
        <v>504</v>
      </c>
      <c r="BE348">
        <v>4630169</v>
      </c>
      <c r="BF348" t="s">
        <v>346</v>
      </c>
      <c r="BG348">
        <v>0</v>
      </c>
      <c r="BH348" t="s">
        <v>2185</v>
      </c>
      <c r="BM348" t="s">
        <v>306</v>
      </c>
      <c r="BR348" t="s">
        <v>306</v>
      </c>
      <c r="BS348" t="s">
        <v>1030</v>
      </c>
      <c r="BT348">
        <v>11220191</v>
      </c>
      <c r="BU348" t="s">
        <v>346</v>
      </c>
      <c r="BV348">
        <v>0</v>
      </c>
      <c r="BW348" t="s">
        <v>50</v>
      </c>
      <c r="BX348" t="s">
        <v>891</v>
      </c>
      <c r="BY348">
        <v>4190959</v>
      </c>
      <c r="BZ348" t="s">
        <v>346</v>
      </c>
      <c r="CA348">
        <v>0</v>
      </c>
      <c r="CB348" t="s">
        <v>2188</v>
      </c>
      <c r="CC348" t="s">
        <v>1790</v>
      </c>
      <c r="CD348">
        <v>4251001</v>
      </c>
      <c r="CE348" t="s">
        <v>366</v>
      </c>
      <c r="CF348">
        <v>0</v>
      </c>
      <c r="CG348" t="s">
        <v>114</v>
      </c>
      <c r="CL348" t="s">
        <v>306</v>
      </c>
      <c r="CM348" t="s">
        <v>2048</v>
      </c>
      <c r="CN348">
        <v>108004431</v>
      </c>
      <c r="CO348" t="s">
        <v>346</v>
      </c>
      <c r="CP348">
        <v>0</v>
      </c>
      <c r="CQ348" t="s">
        <v>53</v>
      </c>
      <c r="CV348" t="s">
        <v>306</v>
      </c>
      <c r="DA348" t="s">
        <v>306</v>
      </c>
      <c r="DB348" t="s">
        <v>504</v>
      </c>
      <c r="DC348">
        <v>4630169</v>
      </c>
      <c r="DD348" t="s">
        <v>346</v>
      </c>
      <c r="DE348">
        <v>0</v>
      </c>
      <c r="DF348" t="s">
        <v>2185</v>
      </c>
      <c r="DK348" t="s">
        <v>306</v>
      </c>
      <c r="DL348" t="s">
        <v>504</v>
      </c>
      <c r="DM348">
        <v>4630169</v>
      </c>
      <c r="DN348" t="s">
        <v>346</v>
      </c>
      <c r="DO348">
        <v>0</v>
      </c>
      <c r="DP348" t="s">
        <v>2185</v>
      </c>
      <c r="DU348" t="s">
        <v>306</v>
      </c>
      <c r="DZ348" t="s">
        <v>306</v>
      </c>
      <c r="EA348" t="s">
        <v>1790</v>
      </c>
      <c r="EB348">
        <v>4251001</v>
      </c>
      <c r="EC348" t="s">
        <v>366</v>
      </c>
      <c r="ED348">
        <v>0</v>
      </c>
      <c r="EE348" t="s">
        <v>114</v>
      </c>
      <c r="EF348" t="s">
        <v>504</v>
      </c>
      <c r="EG348">
        <v>4630169</v>
      </c>
      <c r="EH348" t="s">
        <v>346</v>
      </c>
      <c r="EI348">
        <v>0</v>
      </c>
      <c r="EJ348" t="s">
        <v>2185</v>
      </c>
      <c r="EO348" t="s">
        <v>306</v>
      </c>
      <c r="ET348" t="s">
        <v>306</v>
      </c>
      <c r="EY348" t="s">
        <v>306</v>
      </c>
      <c r="FD348" t="s">
        <v>306</v>
      </c>
      <c r="FI348" t="s">
        <v>306</v>
      </c>
      <c r="FN348" t="s">
        <v>306</v>
      </c>
      <c r="FS348" t="s">
        <v>306</v>
      </c>
      <c r="FX348" t="s">
        <v>306</v>
      </c>
      <c r="FY348" t="s">
        <v>504</v>
      </c>
      <c r="FZ348">
        <v>4630169</v>
      </c>
      <c r="GA348" t="s">
        <v>346</v>
      </c>
      <c r="GB348">
        <v>0</v>
      </c>
      <c r="GC348" t="s">
        <v>2185</v>
      </c>
      <c r="GH348" t="s">
        <v>306</v>
      </c>
      <c r="GM348" t="s">
        <v>306</v>
      </c>
      <c r="GR348" t="s">
        <v>306</v>
      </c>
      <c r="GW348" t="s">
        <v>306</v>
      </c>
      <c r="GX348" t="s">
        <v>1790</v>
      </c>
      <c r="GY348">
        <v>4251001</v>
      </c>
      <c r="GZ348" t="s">
        <v>366</v>
      </c>
      <c r="HA348">
        <v>0</v>
      </c>
      <c r="HB348" t="s">
        <v>114</v>
      </c>
      <c r="HG348" t="s">
        <v>306</v>
      </c>
    </row>
    <row r="349" spans="5:215" x14ac:dyDescent="0.35">
      <c r="E349" t="s">
        <v>306</v>
      </c>
      <c r="J349" t="s">
        <v>306</v>
      </c>
      <c r="O349" t="s">
        <v>306</v>
      </c>
      <c r="T349" t="s">
        <v>306</v>
      </c>
      <c r="U349" t="s">
        <v>892</v>
      </c>
      <c r="V349">
        <v>4307010</v>
      </c>
      <c r="W349" t="s">
        <v>346</v>
      </c>
      <c r="X349">
        <v>0</v>
      </c>
      <c r="Y349" t="s">
        <v>53</v>
      </c>
      <c r="AD349" t="s">
        <v>306</v>
      </c>
      <c r="AI349" t="s">
        <v>306</v>
      </c>
      <c r="AN349" t="s">
        <v>306</v>
      </c>
      <c r="AS349" t="s">
        <v>306</v>
      </c>
      <c r="AX349" t="s">
        <v>306</v>
      </c>
      <c r="BC349" t="s">
        <v>306</v>
      </c>
      <c r="BD349" t="s">
        <v>1065</v>
      </c>
      <c r="BE349">
        <v>4240703</v>
      </c>
      <c r="BF349" t="s">
        <v>346</v>
      </c>
      <c r="BG349">
        <v>0</v>
      </c>
      <c r="BH349" t="s">
        <v>2191</v>
      </c>
      <c r="BM349" t="s">
        <v>306</v>
      </c>
      <c r="BR349" t="s">
        <v>306</v>
      </c>
      <c r="BS349" t="s">
        <v>1031</v>
      </c>
      <c r="BT349">
        <v>4212529</v>
      </c>
      <c r="BU349" t="s">
        <v>346</v>
      </c>
      <c r="BV349">
        <v>0</v>
      </c>
      <c r="BW349" t="s">
        <v>2185</v>
      </c>
      <c r="BX349" t="s">
        <v>892</v>
      </c>
      <c r="BY349">
        <v>4307010</v>
      </c>
      <c r="BZ349" t="s">
        <v>346</v>
      </c>
      <c r="CA349">
        <v>0</v>
      </c>
      <c r="CB349" t="s">
        <v>53</v>
      </c>
      <c r="CC349" t="s">
        <v>1791</v>
      </c>
      <c r="CD349">
        <v>1021746</v>
      </c>
      <c r="CE349" t="s">
        <v>366</v>
      </c>
      <c r="CF349">
        <v>0</v>
      </c>
      <c r="CG349" t="s">
        <v>53</v>
      </c>
      <c r="CL349" t="s">
        <v>306</v>
      </c>
      <c r="CM349" t="s">
        <v>2049</v>
      </c>
      <c r="CN349">
        <v>138948344</v>
      </c>
      <c r="CO349" t="s">
        <v>346</v>
      </c>
      <c r="CP349">
        <v>0</v>
      </c>
      <c r="CQ349" t="s">
        <v>306</v>
      </c>
      <c r="CV349" t="s">
        <v>306</v>
      </c>
      <c r="DA349" t="s">
        <v>306</v>
      </c>
      <c r="DB349" t="s">
        <v>1065</v>
      </c>
      <c r="DC349">
        <v>4240703</v>
      </c>
      <c r="DD349" t="s">
        <v>346</v>
      </c>
      <c r="DE349">
        <v>0</v>
      </c>
      <c r="DF349" t="s">
        <v>2191</v>
      </c>
      <c r="DK349" t="s">
        <v>306</v>
      </c>
      <c r="DL349" t="s">
        <v>1065</v>
      </c>
      <c r="DM349">
        <v>4240703</v>
      </c>
      <c r="DN349" t="s">
        <v>346</v>
      </c>
      <c r="DO349">
        <v>0</v>
      </c>
      <c r="DP349" t="s">
        <v>2191</v>
      </c>
      <c r="DU349" t="s">
        <v>306</v>
      </c>
      <c r="DZ349" t="s">
        <v>306</v>
      </c>
      <c r="EA349" t="s">
        <v>1791</v>
      </c>
      <c r="EB349">
        <v>1021746</v>
      </c>
      <c r="EC349" t="s">
        <v>366</v>
      </c>
      <c r="ED349">
        <v>0</v>
      </c>
      <c r="EE349" t="s">
        <v>53</v>
      </c>
      <c r="EF349" t="s">
        <v>1065</v>
      </c>
      <c r="EG349">
        <v>4240703</v>
      </c>
      <c r="EH349" t="s">
        <v>346</v>
      </c>
      <c r="EI349">
        <v>0</v>
      </c>
      <c r="EJ349" t="s">
        <v>2191</v>
      </c>
      <c r="EO349" t="s">
        <v>306</v>
      </c>
      <c r="ET349" t="s">
        <v>306</v>
      </c>
      <c r="EY349" t="s">
        <v>306</v>
      </c>
      <c r="FD349" t="s">
        <v>306</v>
      </c>
      <c r="FI349" t="s">
        <v>306</v>
      </c>
      <c r="FN349" t="s">
        <v>306</v>
      </c>
      <c r="FS349" t="s">
        <v>306</v>
      </c>
      <c r="FX349" t="s">
        <v>306</v>
      </c>
      <c r="FY349" t="s">
        <v>1065</v>
      </c>
      <c r="FZ349">
        <v>4240703</v>
      </c>
      <c r="GA349" t="s">
        <v>346</v>
      </c>
      <c r="GB349">
        <v>0</v>
      </c>
      <c r="GC349" t="s">
        <v>2191</v>
      </c>
      <c r="GH349" t="s">
        <v>306</v>
      </c>
      <c r="GM349" t="s">
        <v>306</v>
      </c>
      <c r="GR349" t="s">
        <v>306</v>
      </c>
      <c r="GW349" t="s">
        <v>306</v>
      </c>
      <c r="GX349" t="s">
        <v>1791</v>
      </c>
      <c r="GY349">
        <v>1021746</v>
      </c>
      <c r="GZ349" t="s">
        <v>366</v>
      </c>
      <c r="HA349">
        <v>0</v>
      </c>
      <c r="HB349" t="s">
        <v>53</v>
      </c>
      <c r="HG349" t="s">
        <v>306</v>
      </c>
    </row>
    <row r="350" spans="5:215" x14ac:dyDescent="0.35">
      <c r="E350" t="s">
        <v>306</v>
      </c>
      <c r="J350" t="s">
        <v>306</v>
      </c>
      <c r="O350" t="s">
        <v>306</v>
      </c>
      <c r="T350" t="s">
        <v>306</v>
      </c>
      <c r="U350" t="s">
        <v>568</v>
      </c>
      <c r="V350">
        <v>4135240</v>
      </c>
      <c r="W350" t="s">
        <v>346</v>
      </c>
      <c r="X350">
        <v>0</v>
      </c>
      <c r="Y350" t="s">
        <v>125</v>
      </c>
      <c r="AD350" t="s">
        <v>306</v>
      </c>
      <c r="AI350" t="s">
        <v>306</v>
      </c>
      <c r="AN350" t="s">
        <v>306</v>
      </c>
      <c r="AS350" t="s">
        <v>306</v>
      </c>
      <c r="AX350" t="s">
        <v>306</v>
      </c>
      <c r="BC350" t="s">
        <v>306</v>
      </c>
      <c r="BD350" t="s">
        <v>1338</v>
      </c>
      <c r="BE350">
        <v>6758323</v>
      </c>
      <c r="BF350" t="s">
        <v>346</v>
      </c>
      <c r="BG350">
        <v>0</v>
      </c>
      <c r="BH350" t="s">
        <v>62</v>
      </c>
      <c r="BM350" t="s">
        <v>306</v>
      </c>
      <c r="BR350" t="s">
        <v>306</v>
      </c>
      <c r="BS350" t="s">
        <v>1032</v>
      </c>
      <c r="BT350">
        <v>4343973</v>
      </c>
      <c r="BU350" t="s">
        <v>346</v>
      </c>
      <c r="BV350">
        <v>0</v>
      </c>
      <c r="BW350" t="s">
        <v>375</v>
      </c>
      <c r="BX350" t="s">
        <v>568</v>
      </c>
      <c r="BY350">
        <v>4135240</v>
      </c>
      <c r="BZ350" t="s">
        <v>346</v>
      </c>
      <c r="CA350">
        <v>0</v>
      </c>
      <c r="CB350" t="s">
        <v>125</v>
      </c>
      <c r="CC350" t="s">
        <v>464</v>
      </c>
      <c r="CD350">
        <v>4629378</v>
      </c>
      <c r="CE350" t="s">
        <v>346</v>
      </c>
      <c r="CF350">
        <v>0</v>
      </c>
      <c r="CG350" t="s">
        <v>304</v>
      </c>
      <c r="CL350" t="s">
        <v>306</v>
      </c>
      <c r="CM350" t="s">
        <v>2050</v>
      </c>
      <c r="CN350">
        <v>4435552</v>
      </c>
      <c r="CO350" t="s">
        <v>366</v>
      </c>
      <c r="CP350">
        <v>0</v>
      </c>
      <c r="CQ350" t="s">
        <v>53</v>
      </c>
      <c r="CV350" t="s">
        <v>306</v>
      </c>
      <c r="DA350" t="s">
        <v>306</v>
      </c>
      <c r="DB350" t="s">
        <v>1338</v>
      </c>
      <c r="DC350">
        <v>6758323</v>
      </c>
      <c r="DD350" t="s">
        <v>346</v>
      </c>
      <c r="DE350">
        <v>0</v>
      </c>
      <c r="DF350" t="s">
        <v>62</v>
      </c>
      <c r="DK350" t="s">
        <v>306</v>
      </c>
      <c r="DL350" t="s">
        <v>1338</v>
      </c>
      <c r="DM350">
        <v>6758323</v>
      </c>
      <c r="DN350" t="s">
        <v>346</v>
      </c>
      <c r="DO350">
        <v>0</v>
      </c>
      <c r="DP350" t="s">
        <v>62</v>
      </c>
      <c r="DU350" t="s">
        <v>306</v>
      </c>
      <c r="DZ350" t="s">
        <v>306</v>
      </c>
      <c r="EA350" t="s">
        <v>464</v>
      </c>
      <c r="EB350">
        <v>4629378</v>
      </c>
      <c r="EC350" t="s">
        <v>346</v>
      </c>
      <c r="ED350">
        <v>0</v>
      </c>
      <c r="EE350" t="s">
        <v>304</v>
      </c>
      <c r="EF350" t="s">
        <v>1338</v>
      </c>
      <c r="EG350">
        <v>6758323</v>
      </c>
      <c r="EH350" t="s">
        <v>346</v>
      </c>
      <c r="EI350">
        <v>0</v>
      </c>
      <c r="EJ350" t="s">
        <v>62</v>
      </c>
      <c r="EO350" t="s">
        <v>306</v>
      </c>
      <c r="ET350" t="s">
        <v>306</v>
      </c>
      <c r="EY350" t="s">
        <v>306</v>
      </c>
      <c r="FD350" t="s">
        <v>306</v>
      </c>
      <c r="FI350" t="s">
        <v>306</v>
      </c>
      <c r="FN350" t="s">
        <v>306</v>
      </c>
      <c r="FS350" t="s">
        <v>306</v>
      </c>
      <c r="FX350" t="s">
        <v>306</v>
      </c>
      <c r="FY350" t="s">
        <v>1338</v>
      </c>
      <c r="FZ350">
        <v>6758323</v>
      </c>
      <c r="GA350" t="s">
        <v>346</v>
      </c>
      <c r="GB350">
        <v>0</v>
      </c>
      <c r="GC350" t="s">
        <v>62</v>
      </c>
      <c r="GH350" t="s">
        <v>306</v>
      </c>
      <c r="GM350" t="s">
        <v>306</v>
      </c>
      <c r="GR350" t="s">
        <v>306</v>
      </c>
      <c r="GW350" t="s">
        <v>306</v>
      </c>
      <c r="GX350" t="s">
        <v>464</v>
      </c>
      <c r="GY350">
        <v>4629378</v>
      </c>
      <c r="GZ350" t="s">
        <v>346</v>
      </c>
      <c r="HA350">
        <v>0</v>
      </c>
      <c r="HB350" t="s">
        <v>304</v>
      </c>
      <c r="HG350" t="s">
        <v>306</v>
      </c>
    </row>
    <row r="351" spans="5:215" x14ac:dyDescent="0.35">
      <c r="E351" t="s">
        <v>306</v>
      </c>
      <c r="J351" t="s">
        <v>306</v>
      </c>
      <c r="O351" t="s">
        <v>306</v>
      </c>
      <c r="T351" t="s">
        <v>306</v>
      </c>
      <c r="U351" t="s">
        <v>893</v>
      </c>
      <c r="V351">
        <v>5849983</v>
      </c>
      <c r="W351" t="s">
        <v>346</v>
      </c>
      <c r="X351">
        <v>0</v>
      </c>
      <c r="Y351" t="s">
        <v>323</v>
      </c>
      <c r="AD351" t="s">
        <v>306</v>
      </c>
      <c r="AI351" t="s">
        <v>306</v>
      </c>
      <c r="AN351" t="s">
        <v>306</v>
      </c>
      <c r="AS351" t="s">
        <v>306</v>
      </c>
      <c r="AX351" t="s">
        <v>306</v>
      </c>
      <c r="BC351" t="s">
        <v>306</v>
      </c>
      <c r="BD351" t="s">
        <v>570</v>
      </c>
      <c r="BE351">
        <v>106302708</v>
      </c>
      <c r="BF351" t="s">
        <v>346</v>
      </c>
      <c r="BG351">
        <v>0</v>
      </c>
      <c r="BH351" t="s">
        <v>320</v>
      </c>
      <c r="BM351" t="s">
        <v>306</v>
      </c>
      <c r="BR351" t="s">
        <v>306</v>
      </c>
      <c r="BS351" t="s">
        <v>852</v>
      </c>
      <c r="BT351">
        <v>5866758</v>
      </c>
      <c r="BU351" t="s">
        <v>346</v>
      </c>
      <c r="BV351">
        <v>0</v>
      </c>
      <c r="BW351" t="s">
        <v>50</v>
      </c>
      <c r="BX351" t="s">
        <v>893</v>
      </c>
      <c r="BY351">
        <v>5849983</v>
      </c>
      <c r="BZ351" t="s">
        <v>346</v>
      </c>
      <c r="CA351">
        <v>0</v>
      </c>
      <c r="CB351" t="s">
        <v>323</v>
      </c>
      <c r="CC351" t="s">
        <v>1392</v>
      </c>
      <c r="CD351">
        <v>4155715</v>
      </c>
      <c r="CE351" t="s">
        <v>346</v>
      </c>
      <c r="CF351">
        <v>0</v>
      </c>
      <c r="CG351" t="s">
        <v>125</v>
      </c>
      <c r="CL351" t="s">
        <v>306</v>
      </c>
      <c r="CM351" t="s">
        <v>1793</v>
      </c>
      <c r="CN351">
        <v>4773635</v>
      </c>
      <c r="CO351" t="s">
        <v>346</v>
      </c>
      <c r="CP351">
        <v>0</v>
      </c>
      <c r="CQ351" t="s">
        <v>320</v>
      </c>
      <c r="CV351" t="s">
        <v>306</v>
      </c>
      <c r="DA351" t="s">
        <v>306</v>
      </c>
      <c r="DB351" t="s">
        <v>570</v>
      </c>
      <c r="DC351">
        <v>106302708</v>
      </c>
      <c r="DD351" t="s">
        <v>346</v>
      </c>
      <c r="DE351">
        <v>0</v>
      </c>
      <c r="DF351" t="s">
        <v>320</v>
      </c>
      <c r="DK351" t="s">
        <v>306</v>
      </c>
      <c r="DL351" t="s">
        <v>570</v>
      </c>
      <c r="DM351">
        <v>106302708</v>
      </c>
      <c r="DN351" t="s">
        <v>346</v>
      </c>
      <c r="DO351">
        <v>0</v>
      </c>
      <c r="DP351" t="s">
        <v>320</v>
      </c>
      <c r="DU351" t="s">
        <v>306</v>
      </c>
      <c r="DZ351" t="s">
        <v>306</v>
      </c>
      <c r="EA351" t="s">
        <v>1392</v>
      </c>
      <c r="EB351">
        <v>4155715</v>
      </c>
      <c r="EC351" t="s">
        <v>346</v>
      </c>
      <c r="ED351">
        <v>0</v>
      </c>
      <c r="EE351" t="s">
        <v>125</v>
      </c>
      <c r="EF351" t="s">
        <v>570</v>
      </c>
      <c r="EG351">
        <v>106302708</v>
      </c>
      <c r="EH351" t="s">
        <v>346</v>
      </c>
      <c r="EI351">
        <v>0</v>
      </c>
      <c r="EJ351" t="s">
        <v>320</v>
      </c>
      <c r="EO351" t="s">
        <v>306</v>
      </c>
      <c r="ET351" t="s">
        <v>306</v>
      </c>
      <c r="EY351" t="s">
        <v>306</v>
      </c>
      <c r="FD351" t="s">
        <v>306</v>
      </c>
      <c r="FI351" t="s">
        <v>306</v>
      </c>
      <c r="FN351" t="s">
        <v>306</v>
      </c>
      <c r="FS351" t="s">
        <v>306</v>
      </c>
      <c r="FX351" t="s">
        <v>306</v>
      </c>
      <c r="FY351" t="s">
        <v>570</v>
      </c>
      <c r="FZ351">
        <v>106302708</v>
      </c>
      <c r="GA351" t="s">
        <v>346</v>
      </c>
      <c r="GB351">
        <v>0</v>
      </c>
      <c r="GC351" t="s">
        <v>320</v>
      </c>
      <c r="GH351" t="s">
        <v>306</v>
      </c>
      <c r="GM351" t="s">
        <v>306</v>
      </c>
      <c r="GR351" t="s">
        <v>306</v>
      </c>
      <c r="GW351" t="s">
        <v>306</v>
      </c>
      <c r="GX351" t="s">
        <v>1392</v>
      </c>
      <c r="GY351">
        <v>4155715</v>
      </c>
      <c r="GZ351" t="s">
        <v>346</v>
      </c>
      <c r="HA351">
        <v>0</v>
      </c>
      <c r="HB351" t="s">
        <v>125</v>
      </c>
      <c r="HG351" t="s">
        <v>306</v>
      </c>
    </row>
    <row r="352" spans="5:215" x14ac:dyDescent="0.35">
      <c r="E352" t="s">
        <v>306</v>
      </c>
      <c r="J352" t="s">
        <v>306</v>
      </c>
      <c r="O352" t="s">
        <v>306</v>
      </c>
      <c r="T352" t="s">
        <v>306</v>
      </c>
      <c r="U352" t="s">
        <v>894</v>
      </c>
      <c r="V352">
        <v>4139629</v>
      </c>
      <c r="W352" t="s">
        <v>346</v>
      </c>
      <c r="X352">
        <v>0</v>
      </c>
      <c r="Y352" t="s">
        <v>2181</v>
      </c>
      <c r="AD352" t="s">
        <v>306</v>
      </c>
      <c r="AI352" t="s">
        <v>306</v>
      </c>
      <c r="AN352" t="s">
        <v>306</v>
      </c>
      <c r="AS352" t="s">
        <v>306</v>
      </c>
      <c r="AX352" t="s">
        <v>306</v>
      </c>
      <c r="BC352" t="s">
        <v>306</v>
      </c>
      <c r="BD352" t="s">
        <v>1499</v>
      </c>
      <c r="BE352">
        <v>5642815</v>
      </c>
      <c r="BF352" t="s">
        <v>346</v>
      </c>
      <c r="BG352">
        <v>0</v>
      </c>
      <c r="BH352" t="s">
        <v>2184</v>
      </c>
      <c r="BM352" t="s">
        <v>306</v>
      </c>
      <c r="BR352" t="s">
        <v>306</v>
      </c>
      <c r="BS352" t="s">
        <v>1033</v>
      </c>
      <c r="BT352">
        <v>4138131</v>
      </c>
      <c r="BU352" t="s">
        <v>346</v>
      </c>
      <c r="BV352">
        <v>0</v>
      </c>
      <c r="BW352" t="s">
        <v>2185</v>
      </c>
      <c r="BX352" t="s">
        <v>894</v>
      </c>
      <c r="BY352">
        <v>4139629</v>
      </c>
      <c r="BZ352" t="s">
        <v>346</v>
      </c>
      <c r="CA352">
        <v>0</v>
      </c>
      <c r="CB352" t="s">
        <v>2181</v>
      </c>
      <c r="CC352" t="s">
        <v>977</v>
      </c>
      <c r="CD352">
        <v>4578628</v>
      </c>
      <c r="CE352" t="s">
        <v>346</v>
      </c>
      <c r="CF352">
        <v>0</v>
      </c>
      <c r="CG352" t="s">
        <v>53</v>
      </c>
      <c r="CL352" t="s">
        <v>306</v>
      </c>
      <c r="CM352" t="s">
        <v>2051</v>
      </c>
      <c r="CN352">
        <v>4045946</v>
      </c>
      <c r="CO352" t="s">
        <v>346</v>
      </c>
      <c r="CP352">
        <v>0</v>
      </c>
      <c r="CQ352" t="s">
        <v>53</v>
      </c>
      <c r="CV352" t="s">
        <v>306</v>
      </c>
      <c r="DA352" t="s">
        <v>306</v>
      </c>
      <c r="DB352" t="s">
        <v>1499</v>
      </c>
      <c r="DC352">
        <v>5642815</v>
      </c>
      <c r="DD352" t="s">
        <v>346</v>
      </c>
      <c r="DE352">
        <v>0</v>
      </c>
      <c r="DF352" t="s">
        <v>2184</v>
      </c>
      <c r="DK352" t="s">
        <v>306</v>
      </c>
      <c r="DL352" t="s">
        <v>1499</v>
      </c>
      <c r="DM352">
        <v>5642815</v>
      </c>
      <c r="DN352" t="s">
        <v>346</v>
      </c>
      <c r="DO352">
        <v>0</v>
      </c>
      <c r="DP352" t="s">
        <v>2184</v>
      </c>
      <c r="DU352" t="s">
        <v>306</v>
      </c>
      <c r="DZ352" t="s">
        <v>306</v>
      </c>
      <c r="EA352" t="s">
        <v>977</v>
      </c>
      <c r="EB352">
        <v>4578628</v>
      </c>
      <c r="EC352" t="s">
        <v>346</v>
      </c>
      <c r="ED352">
        <v>0</v>
      </c>
      <c r="EE352" t="s">
        <v>53</v>
      </c>
      <c r="EF352" t="s">
        <v>1499</v>
      </c>
      <c r="EG352">
        <v>5642815</v>
      </c>
      <c r="EH352" t="s">
        <v>346</v>
      </c>
      <c r="EI352">
        <v>0</v>
      </c>
      <c r="EJ352" t="s">
        <v>2184</v>
      </c>
      <c r="EO352" t="s">
        <v>306</v>
      </c>
      <c r="ET352" t="s">
        <v>306</v>
      </c>
      <c r="EY352" t="s">
        <v>306</v>
      </c>
      <c r="FD352" t="s">
        <v>306</v>
      </c>
      <c r="FI352" t="s">
        <v>306</v>
      </c>
      <c r="FN352" t="s">
        <v>306</v>
      </c>
      <c r="FS352" t="s">
        <v>306</v>
      </c>
      <c r="FX352" t="s">
        <v>306</v>
      </c>
      <c r="FY352" t="s">
        <v>1499</v>
      </c>
      <c r="FZ352">
        <v>5642815</v>
      </c>
      <c r="GA352" t="s">
        <v>346</v>
      </c>
      <c r="GB352">
        <v>0</v>
      </c>
      <c r="GC352" t="s">
        <v>2184</v>
      </c>
      <c r="GH352" t="s">
        <v>306</v>
      </c>
      <c r="GM352" t="s">
        <v>306</v>
      </c>
      <c r="GR352" t="s">
        <v>306</v>
      </c>
      <c r="GW352" t="s">
        <v>306</v>
      </c>
      <c r="GX352" t="s">
        <v>977</v>
      </c>
      <c r="GY352">
        <v>4578628</v>
      </c>
      <c r="GZ352" t="s">
        <v>346</v>
      </c>
      <c r="HA352">
        <v>0</v>
      </c>
      <c r="HB352" t="s">
        <v>53</v>
      </c>
      <c r="HG352" t="s">
        <v>306</v>
      </c>
    </row>
    <row r="353" spans="5:215" x14ac:dyDescent="0.35">
      <c r="E353" t="s">
        <v>306</v>
      </c>
      <c r="J353" t="s">
        <v>306</v>
      </c>
      <c r="O353" t="s">
        <v>306</v>
      </c>
      <c r="T353" t="s">
        <v>306</v>
      </c>
      <c r="U353" t="s">
        <v>895</v>
      </c>
      <c r="V353">
        <v>106158792</v>
      </c>
      <c r="W353" t="s">
        <v>346</v>
      </c>
      <c r="X353">
        <v>0</v>
      </c>
      <c r="Y353" t="s">
        <v>50</v>
      </c>
      <c r="AD353" t="s">
        <v>306</v>
      </c>
      <c r="AI353" t="s">
        <v>306</v>
      </c>
      <c r="AN353" t="s">
        <v>306</v>
      </c>
      <c r="AS353" t="s">
        <v>306</v>
      </c>
      <c r="AX353" t="s">
        <v>306</v>
      </c>
      <c r="BC353" t="s">
        <v>306</v>
      </c>
      <c r="BD353" t="s">
        <v>1330</v>
      </c>
      <c r="BE353">
        <v>19909326</v>
      </c>
      <c r="BF353" t="s">
        <v>364</v>
      </c>
      <c r="BG353">
        <v>0</v>
      </c>
      <c r="BH353" t="s">
        <v>62</v>
      </c>
      <c r="BM353" t="s">
        <v>306</v>
      </c>
      <c r="BR353" t="s">
        <v>306</v>
      </c>
      <c r="BS353" t="s">
        <v>919</v>
      </c>
      <c r="BT353">
        <v>28469313</v>
      </c>
      <c r="BU353" t="s">
        <v>346</v>
      </c>
      <c r="BV353">
        <v>0</v>
      </c>
      <c r="BW353" t="s">
        <v>50</v>
      </c>
      <c r="BX353" t="s">
        <v>895</v>
      </c>
      <c r="BY353">
        <v>106158792</v>
      </c>
      <c r="BZ353" t="s">
        <v>346</v>
      </c>
      <c r="CA353">
        <v>0</v>
      </c>
      <c r="CB353" t="s">
        <v>50</v>
      </c>
      <c r="CC353" t="s">
        <v>1028</v>
      </c>
      <c r="CD353">
        <v>4139830</v>
      </c>
      <c r="CE353" t="s">
        <v>346</v>
      </c>
      <c r="CF353">
        <v>0</v>
      </c>
      <c r="CG353" t="s">
        <v>2185</v>
      </c>
      <c r="CL353" t="s">
        <v>306</v>
      </c>
      <c r="CM353" t="s">
        <v>1370</v>
      </c>
      <c r="CN353">
        <v>19495946</v>
      </c>
      <c r="CO353" t="s">
        <v>346</v>
      </c>
      <c r="CP353">
        <v>0</v>
      </c>
      <c r="CQ353" t="s">
        <v>62</v>
      </c>
      <c r="CV353" t="s">
        <v>306</v>
      </c>
      <c r="DA353" t="s">
        <v>306</v>
      </c>
      <c r="DB353" t="s">
        <v>1330</v>
      </c>
      <c r="DC353">
        <v>19909326</v>
      </c>
      <c r="DD353" t="s">
        <v>364</v>
      </c>
      <c r="DE353">
        <v>0</v>
      </c>
      <c r="DF353" t="s">
        <v>62</v>
      </c>
      <c r="DK353" t="s">
        <v>306</v>
      </c>
      <c r="DL353" t="s">
        <v>1330</v>
      </c>
      <c r="DM353">
        <v>19909326</v>
      </c>
      <c r="DN353" t="s">
        <v>364</v>
      </c>
      <c r="DO353">
        <v>0</v>
      </c>
      <c r="DP353" t="s">
        <v>62</v>
      </c>
      <c r="DU353" t="s">
        <v>306</v>
      </c>
      <c r="DZ353" t="s">
        <v>306</v>
      </c>
      <c r="EA353" t="s">
        <v>1028</v>
      </c>
      <c r="EB353">
        <v>4139830</v>
      </c>
      <c r="EC353" t="s">
        <v>346</v>
      </c>
      <c r="ED353">
        <v>0</v>
      </c>
      <c r="EE353" t="s">
        <v>2185</v>
      </c>
      <c r="EF353" t="s">
        <v>1330</v>
      </c>
      <c r="EG353">
        <v>19909326</v>
      </c>
      <c r="EH353" t="s">
        <v>364</v>
      </c>
      <c r="EI353">
        <v>0</v>
      </c>
      <c r="EJ353" t="s">
        <v>62</v>
      </c>
      <c r="EO353" t="s">
        <v>306</v>
      </c>
      <c r="ET353" t="s">
        <v>306</v>
      </c>
      <c r="EY353" t="s">
        <v>306</v>
      </c>
      <c r="FD353" t="s">
        <v>306</v>
      </c>
      <c r="FI353" t="s">
        <v>306</v>
      </c>
      <c r="FN353" t="s">
        <v>306</v>
      </c>
      <c r="FS353" t="s">
        <v>306</v>
      </c>
      <c r="FX353" t="s">
        <v>306</v>
      </c>
      <c r="FY353" t="s">
        <v>1330</v>
      </c>
      <c r="FZ353">
        <v>19909326</v>
      </c>
      <c r="GA353" t="s">
        <v>364</v>
      </c>
      <c r="GB353">
        <v>0</v>
      </c>
      <c r="GC353" t="s">
        <v>62</v>
      </c>
      <c r="GH353" t="s">
        <v>306</v>
      </c>
      <c r="GM353" t="s">
        <v>306</v>
      </c>
      <c r="GR353" t="s">
        <v>306</v>
      </c>
      <c r="GW353" t="s">
        <v>306</v>
      </c>
      <c r="GX353" t="s">
        <v>1028</v>
      </c>
      <c r="GY353">
        <v>4139830</v>
      </c>
      <c r="GZ353" t="s">
        <v>346</v>
      </c>
      <c r="HA353">
        <v>0</v>
      </c>
      <c r="HB353" t="s">
        <v>2185</v>
      </c>
      <c r="HG353" t="s">
        <v>306</v>
      </c>
    </row>
    <row r="354" spans="5:215" x14ac:dyDescent="0.35">
      <c r="E354" t="s">
        <v>306</v>
      </c>
      <c r="J354" t="s">
        <v>306</v>
      </c>
      <c r="O354" t="s">
        <v>306</v>
      </c>
      <c r="T354" t="s">
        <v>306</v>
      </c>
      <c r="U354" t="s">
        <v>896</v>
      </c>
      <c r="V354">
        <v>4272541</v>
      </c>
      <c r="W354" t="s">
        <v>346</v>
      </c>
      <c r="X354">
        <v>0</v>
      </c>
      <c r="Y354" t="s">
        <v>53</v>
      </c>
      <c r="AD354" t="s">
        <v>306</v>
      </c>
      <c r="AI354" t="s">
        <v>306</v>
      </c>
      <c r="AN354" t="s">
        <v>306</v>
      </c>
      <c r="AS354" t="s">
        <v>306</v>
      </c>
      <c r="AX354" t="s">
        <v>306</v>
      </c>
      <c r="BC354" t="s">
        <v>306</v>
      </c>
      <c r="BD354" t="s">
        <v>1500</v>
      </c>
      <c r="BE354">
        <v>4388826</v>
      </c>
      <c r="BF354" t="s">
        <v>346</v>
      </c>
      <c r="BG354">
        <v>0</v>
      </c>
      <c r="BH354" t="s">
        <v>53</v>
      </c>
      <c r="BM354" t="s">
        <v>306</v>
      </c>
      <c r="BR354" t="s">
        <v>306</v>
      </c>
      <c r="BS354" t="s">
        <v>1034</v>
      </c>
      <c r="BT354">
        <v>4256960</v>
      </c>
      <c r="BU354" t="s">
        <v>346</v>
      </c>
      <c r="BV354">
        <v>0</v>
      </c>
      <c r="BW354" t="s">
        <v>2183</v>
      </c>
      <c r="BX354" t="s">
        <v>896</v>
      </c>
      <c r="BY354">
        <v>4272541</v>
      </c>
      <c r="BZ354" t="s">
        <v>346</v>
      </c>
      <c r="CA354">
        <v>0</v>
      </c>
      <c r="CB354" t="s">
        <v>53</v>
      </c>
      <c r="CC354" t="s">
        <v>1792</v>
      </c>
      <c r="CD354">
        <v>4134940</v>
      </c>
      <c r="CE354" t="s">
        <v>346</v>
      </c>
      <c r="CF354">
        <v>0</v>
      </c>
      <c r="CG354" t="s">
        <v>53</v>
      </c>
      <c r="CL354" t="s">
        <v>306</v>
      </c>
      <c r="CM354" t="s">
        <v>1425</v>
      </c>
      <c r="CN354">
        <v>4115725</v>
      </c>
      <c r="CO354" t="s">
        <v>346</v>
      </c>
      <c r="CP354">
        <v>0</v>
      </c>
      <c r="CQ354" t="s">
        <v>313</v>
      </c>
      <c r="CV354" t="s">
        <v>306</v>
      </c>
      <c r="DA354" t="s">
        <v>306</v>
      </c>
      <c r="DB354" t="s">
        <v>1500</v>
      </c>
      <c r="DC354">
        <v>4388826</v>
      </c>
      <c r="DD354" t="s">
        <v>346</v>
      </c>
      <c r="DE354">
        <v>0</v>
      </c>
      <c r="DF354" t="s">
        <v>53</v>
      </c>
      <c r="DK354" t="s">
        <v>306</v>
      </c>
      <c r="DL354" t="s">
        <v>1500</v>
      </c>
      <c r="DM354">
        <v>4388826</v>
      </c>
      <c r="DN354" t="s">
        <v>346</v>
      </c>
      <c r="DO354">
        <v>0</v>
      </c>
      <c r="DP354" t="s">
        <v>53</v>
      </c>
      <c r="DU354" t="s">
        <v>306</v>
      </c>
      <c r="DZ354" t="s">
        <v>306</v>
      </c>
      <c r="EA354" t="s">
        <v>1792</v>
      </c>
      <c r="EB354">
        <v>4134940</v>
      </c>
      <c r="EC354" t="s">
        <v>346</v>
      </c>
      <c r="ED354">
        <v>0</v>
      </c>
      <c r="EE354" t="s">
        <v>53</v>
      </c>
      <c r="EF354" t="s">
        <v>1500</v>
      </c>
      <c r="EG354">
        <v>4388826</v>
      </c>
      <c r="EH354" t="s">
        <v>346</v>
      </c>
      <c r="EI354">
        <v>0</v>
      </c>
      <c r="EJ354" t="s">
        <v>53</v>
      </c>
      <c r="EO354" t="s">
        <v>306</v>
      </c>
      <c r="ET354" t="s">
        <v>306</v>
      </c>
      <c r="EY354" t="s">
        <v>306</v>
      </c>
      <c r="FD354" t="s">
        <v>306</v>
      </c>
      <c r="FI354" t="s">
        <v>306</v>
      </c>
      <c r="FN354" t="s">
        <v>306</v>
      </c>
      <c r="FS354" t="s">
        <v>306</v>
      </c>
      <c r="FX354" t="s">
        <v>306</v>
      </c>
      <c r="FY354" t="s">
        <v>1500</v>
      </c>
      <c r="FZ354">
        <v>4388826</v>
      </c>
      <c r="GA354" t="s">
        <v>346</v>
      </c>
      <c r="GB354">
        <v>0</v>
      </c>
      <c r="GC354" t="s">
        <v>53</v>
      </c>
      <c r="GH354" t="s">
        <v>306</v>
      </c>
      <c r="GM354" t="s">
        <v>306</v>
      </c>
      <c r="GR354" t="s">
        <v>306</v>
      </c>
      <c r="GW354" t="s">
        <v>306</v>
      </c>
      <c r="GX354" t="s">
        <v>1792</v>
      </c>
      <c r="GY354">
        <v>4134940</v>
      </c>
      <c r="GZ354" t="s">
        <v>346</v>
      </c>
      <c r="HA354">
        <v>0</v>
      </c>
      <c r="HB354" t="s">
        <v>53</v>
      </c>
      <c r="HG354" t="s">
        <v>306</v>
      </c>
    </row>
    <row r="355" spans="5:215" x14ac:dyDescent="0.35">
      <c r="E355" t="s">
        <v>306</v>
      </c>
      <c r="J355" t="s">
        <v>306</v>
      </c>
      <c r="O355" t="s">
        <v>306</v>
      </c>
      <c r="T355" t="s">
        <v>306</v>
      </c>
      <c r="U355" t="s">
        <v>897</v>
      </c>
      <c r="V355">
        <v>19438254</v>
      </c>
      <c r="W355" t="s">
        <v>346</v>
      </c>
      <c r="X355">
        <v>0</v>
      </c>
      <c r="Y355" t="s">
        <v>50</v>
      </c>
      <c r="AD355" t="s">
        <v>306</v>
      </c>
      <c r="AI355" t="s">
        <v>306</v>
      </c>
      <c r="AN355" t="s">
        <v>306</v>
      </c>
      <c r="AS355" t="s">
        <v>306</v>
      </c>
      <c r="AX355" t="s">
        <v>306</v>
      </c>
      <c r="BC355" t="s">
        <v>306</v>
      </c>
      <c r="BD355" t="s">
        <v>1501</v>
      </c>
      <c r="BE355">
        <v>19104894</v>
      </c>
      <c r="BF355" t="s">
        <v>276</v>
      </c>
      <c r="BG355">
        <v>0</v>
      </c>
      <c r="BH355" t="s">
        <v>62</v>
      </c>
      <c r="BM355" t="s">
        <v>306</v>
      </c>
      <c r="BR355" t="s">
        <v>306</v>
      </c>
      <c r="BS355" t="s">
        <v>1035</v>
      </c>
      <c r="BT355">
        <v>4015717</v>
      </c>
      <c r="BU355" t="s">
        <v>346</v>
      </c>
      <c r="BV355">
        <v>0</v>
      </c>
      <c r="BW355" t="s">
        <v>313</v>
      </c>
      <c r="BX355" t="s">
        <v>897</v>
      </c>
      <c r="BY355">
        <v>19438254</v>
      </c>
      <c r="BZ355" t="s">
        <v>346</v>
      </c>
      <c r="CA355">
        <v>0</v>
      </c>
      <c r="CB355" t="s">
        <v>50</v>
      </c>
      <c r="CC355" t="s">
        <v>998</v>
      </c>
      <c r="CD355">
        <v>5753419</v>
      </c>
      <c r="CE355" t="s">
        <v>346</v>
      </c>
      <c r="CF355">
        <v>0</v>
      </c>
      <c r="CG355" t="s">
        <v>320</v>
      </c>
      <c r="CL355" t="s">
        <v>306</v>
      </c>
      <c r="CM355" t="s">
        <v>1861</v>
      </c>
      <c r="CN355">
        <v>4026892</v>
      </c>
      <c r="CO355" t="s">
        <v>346</v>
      </c>
      <c r="CP355">
        <v>0</v>
      </c>
      <c r="CQ355" t="s">
        <v>53</v>
      </c>
      <c r="CV355" t="s">
        <v>306</v>
      </c>
      <c r="DA355" t="s">
        <v>306</v>
      </c>
      <c r="DB355" t="s">
        <v>1501</v>
      </c>
      <c r="DC355">
        <v>19104894</v>
      </c>
      <c r="DD355" t="s">
        <v>276</v>
      </c>
      <c r="DE355">
        <v>0</v>
      </c>
      <c r="DF355" t="s">
        <v>62</v>
      </c>
      <c r="DK355" t="s">
        <v>306</v>
      </c>
      <c r="DL355" t="s">
        <v>1501</v>
      </c>
      <c r="DM355">
        <v>19104894</v>
      </c>
      <c r="DN355" t="s">
        <v>276</v>
      </c>
      <c r="DO355">
        <v>0</v>
      </c>
      <c r="DP355" t="s">
        <v>62</v>
      </c>
      <c r="DU355" t="s">
        <v>306</v>
      </c>
      <c r="DZ355" t="s">
        <v>306</v>
      </c>
      <c r="EA355" t="s">
        <v>998</v>
      </c>
      <c r="EB355">
        <v>5753419</v>
      </c>
      <c r="EC355" t="s">
        <v>346</v>
      </c>
      <c r="ED355">
        <v>0</v>
      </c>
      <c r="EE355" t="s">
        <v>320</v>
      </c>
      <c r="EF355" t="s">
        <v>1501</v>
      </c>
      <c r="EG355">
        <v>19104894</v>
      </c>
      <c r="EH355" t="s">
        <v>276</v>
      </c>
      <c r="EI355">
        <v>0</v>
      </c>
      <c r="EJ355" t="s">
        <v>62</v>
      </c>
      <c r="EO355" t="s">
        <v>306</v>
      </c>
      <c r="ET355" t="s">
        <v>306</v>
      </c>
      <c r="EY355" t="s">
        <v>306</v>
      </c>
      <c r="FD355" t="s">
        <v>306</v>
      </c>
      <c r="FI355" t="s">
        <v>306</v>
      </c>
      <c r="FN355" t="s">
        <v>306</v>
      </c>
      <c r="FS355" t="s">
        <v>306</v>
      </c>
      <c r="FX355" t="s">
        <v>306</v>
      </c>
      <c r="FY355" t="s">
        <v>1501</v>
      </c>
      <c r="FZ355">
        <v>19104894</v>
      </c>
      <c r="GA355" t="s">
        <v>276</v>
      </c>
      <c r="GB355">
        <v>0</v>
      </c>
      <c r="GC355" t="s">
        <v>62</v>
      </c>
      <c r="GH355" t="s">
        <v>306</v>
      </c>
      <c r="GM355" t="s">
        <v>306</v>
      </c>
      <c r="GR355" t="s">
        <v>306</v>
      </c>
      <c r="GW355" t="s">
        <v>306</v>
      </c>
      <c r="GX355" t="s">
        <v>998</v>
      </c>
      <c r="GY355">
        <v>5753419</v>
      </c>
      <c r="GZ355" t="s">
        <v>346</v>
      </c>
      <c r="HA355">
        <v>0</v>
      </c>
      <c r="HB355" t="s">
        <v>320</v>
      </c>
      <c r="HG355" t="s">
        <v>306</v>
      </c>
    </row>
    <row r="356" spans="5:215" x14ac:dyDescent="0.35">
      <c r="E356" t="s">
        <v>306</v>
      </c>
      <c r="J356" t="s">
        <v>306</v>
      </c>
      <c r="O356" t="s">
        <v>306</v>
      </c>
      <c r="T356" t="s">
        <v>306</v>
      </c>
      <c r="U356" t="s">
        <v>898</v>
      </c>
      <c r="V356">
        <v>106229912</v>
      </c>
      <c r="W356" t="s">
        <v>346</v>
      </c>
      <c r="X356">
        <v>0</v>
      </c>
      <c r="Y356" t="s">
        <v>50</v>
      </c>
      <c r="AD356" t="s">
        <v>306</v>
      </c>
      <c r="AI356" t="s">
        <v>306</v>
      </c>
      <c r="AN356" t="s">
        <v>306</v>
      </c>
      <c r="AS356" t="s">
        <v>306</v>
      </c>
      <c r="AX356" t="s">
        <v>306</v>
      </c>
      <c r="BC356" t="s">
        <v>306</v>
      </c>
      <c r="BD356" t="s">
        <v>1502</v>
      </c>
      <c r="BE356">
        <v>5878397</v>
      </c>
      <c r="BF356" t="s">
        <v>346</v>
      </c>
      <c r="BG356">
        <v>0</v>
      </c>
      <c r="BH356" t="s">
        <v>323</v>
      </c>
      <c r="BM356" t="s">
        <v>306</v>
      </c>
      <c r="BR356" t="s">
        <v>306</v>
      </c>
      <c r="BS356" t="s">
        <v>1036</v>
      </c>
      <c r="BT356">
        <v>5864674</v>
      </c>
      <c r="BU356" t="s">
        <v>346</v>
      </c>
      <c r="BV356">
        <v>0</v>
      </c>
      <c r="BW356" t="s">
        <v>321</v>
      </c>
      <c r="BX356" t="s">
        <v>898</v>
      </c>
      <c r="BY356">
        <v>106229912</v>
      </c>
      <c r="BZ356" t="s">
        <v>346</v>
      </c>
      <c r="CA356">
        <v>0</v>
      </c>
      <c r="CB356" t="s">
        <v>50</v>
      </c>
      <c r="CC356" t="s">
        <v>519</v>
      </c>
      <c r="CD356">
        <v>109968</v>
      </c>
      <c r="CE356" t="s">
        <v>346</v>
      </c>
      <c r="CF356">
        <v>0</v>
      </c>
      <c r="CG356" t="s">
        <v>53</v>
      </c>
      <c r="CL356" t="s">
        <v>306</v>
      </c>
      <c r="CM356" t="s">
        <v>453</v>
      </c>
      <c r="CN356">
        <v>4318598</v>
      </c>
      <c r="CO356" t="s">
        <v>346</v>
      </c>
      <c r="CP356">
        <v>0</v>
      </c>
      <c r="CQ356" t="s">
        <v>53</v>
      </c>
      <c r="CV356" t="s">
        <v>306</v>
      </c>
      <c r="DA356" t="s">
        <v>306</v>
      </c>
      <c r="DB356" t="s">
        <v>1502</v>
      </c>
      <c r="DC356">
        <v>5878397</v>
      </c>
      <c r="DD356" t="s">
        <v>346</v>
      </c>
      <c r="DE356">
        <v>0</v>
      </c>
      <c r="DF356" t="s">
        <v>323</v>
      </c>
      <c r="DK356" t="s">
        <v>306</v>
      </c>
      <c r="DL356" t="s">
        <v>1502</v>
      </c>
      <c r="DM356">
        <v>5878397</v>
      </c>
      <c r="DN356" t="s">
        <v>346</v>
      </c>
      <c r="DO356">
        <v>0</v>
      </c>
      <c r="DP356" t="s">
        <v>323</v>
      </c>
      <c r="DU356" t="s">
        <v>306</v>
      </c>
      <c r="DZ356" t="s">
        <v>306</v>
      </c>
      <c r="EA356" t="s">
        <v>519</v>
      </c>
      <c r="EB356">
        <v>109968</v>
      </c>
      <c r="EC356" t="s">
        <v>346</v>
      </c>
      <c r="ED356">
        <v>0</v>
      </c>
      <c r="EE356" t="s">
        <v>53</v>
      </c>
      <c r="EF356" t="s">
        <v>1502</v>
      </c>
      <c r="EG356">
        <v>5878397</v>
      </c>
      <c r="EH356" t="s">
        <v>346</v>
      </c>
      <c r="EI356">
        <v>0</v>
      </c>
      <c r="EJ356" t="s">
        <v>323</v>
      </c>
      <c r="EO356" t="s">
        <v>306</v>
      </c>
      <c r="ET356" t="s">
        <v>306</v>
      </c>
      <c r="EY356" t="s">
        <v>306</v>
      </c>
      <c r="FD356" t="s">
        <v>306</v>
      </c>
      <c r="FI356" t="s">
        <v>306</v>
      </c>
      <c r="FN356" t="s">
        <v>306</v>
      </c>
      <c r="FS356" t="s">
        <v>306</v>
      </c>
      <c r="FX356" t="s">
        <v>306</v>
      </c>
      <c r="FY356" t="s">
        <v>1502</v>
      </c>
      <c r="FZ356">
        <v>5878397</v>
      </c>
      <c r="GA356" t="s">
        <v>346</v>
      </c>
      <c r="GB356">
        <v>0</v>
      </c>
      <c r="GC356" t="s">
        <v>323</v>
      </c>
      <c r="GH356" t="s">
        <v>306</v>
      </c>
      <c r="GM356" t="s">
        <v>306</v>
      </c>
      <c r="GR356" t="s">
        <v>306</v>
      </c>
      <c r="GW356" t="s">
        <v>306</v>
      </c>
      <c r="GX356" t="s">
        <v>519</v>
      </c>
      <c r="GY356">
        <v>109968</v>
      </c>
      <c r="GZ356" t="s">
        <v>346</v>
      </c>
      <c r="HA356">
        <v>0</v>
      </c>
      <c r="HB356" t="s">
        <v>53</v>
      </c>
      <c r="HG356" t="s">
        <v>306</v>
      </c>
    </row>
    <row r="357" spans="5:215" x14ac:dyDescent="0.35">
      <c r="E357" t="s">
        <v>306</v>
      </c>
      <c r="J357" t="s">
        <v>306</v>
      </c>
      <c r="O357" t="s">
        <v>306</v>
      </c>
      <c r="T357" t="s">
        <v>306</v>
      </c>
      <c r="U357" t="s">
        <v>899</v>
      </c>
      <c r="V357">
        <v>4543599</v>
      </c>
      <c r="W357" t="s">
        <v>346</v>
      </c>
      <c r="X357">
        <v>0</v>
      </c>
      <c r="Y357" t="s">
        <v>326</v>
      </c>
      <c r="AD357" t="s">
        <v>306</v>
      </c>
      <c r="AI357" t="s">
        <v>306</v>
      </c>
      <c r="AN357" t="s">
        <v>306</v>
      </c>
      <c r="AS357" t="s">
        <v>306</v>
      </c>
      <c r="AX357" t="s">
        <v>306</v>
      </c>
      <c r="BC357" t="s">
        <v>306</v>
      </c>
      <c r="BD357" t="s">
        <v>471</v>
      </c>
      <c r="BE357">
        <v>4102247</v>
      </c>
      <c r="BF357" t="s">
        <v>346</v>
      </c>
      <c r="BG357">
        <v>0</v>
      </c>
      <c r="BH357" t="s">
        <v>53</v>
      </c>
      <c r="BM357" t="s">
        <v>306</v>
      </c>
      <c r="BR357" t="s">
        <v>306</v>
      </c>
      <c r="BS357" t="s">
        <v>826</v>
      </c>
      <c r="BT357">
        <v>7789048</v>
      </c>
      <c r="BU357" t="s">
        <v>346</v>
      </c>
      <c r="BV357">
        <v>0</v>
      </c>
      <c r="BW357" t="s">
        <v>50</v>
      </c>
      <c r="BX357" t="s">
        <v>899</v>
      </c>
      <c r="BY357">
        <v>4543599</v>
      </c>
      <c r="BZ357" t="s">
        <v>346</v>
      </c>
      <c r="CA357">
        <v>0</v>
      </c>
      <c r="CB357" t="s">
        <v>326</v>
      </c>
      <c r="CC357" t="s">
        <v>1793</v>
      </c>
      <c r="CD357">
        <v>4773635</v>
      </c>
      <c r="CE357" t="s">
        <v>346</v>
      </c>
      <c r="CF357">
        <v>0</v>
      </c>
      <c r="CG357" t="s">
        <v>320</v>
      </c>
      <c r="CL357" t="s">
        <v>306</v>
      </c>
      <c r="CM357" t="s">
        <v>439</v>
      </c>
      <c r="CN357">
        <v>4757367</v>
      </c>
      <c r="CO357" t="s">
        <v>363</v>
      </c>
      <c r="CP357">
        <v>0</v>
      </c>
      <c r="CQ357" t="s">
        <v>125</v>
      </c>
      <c r="CV357" t="s">
        <v>306</v>
      </c>
      <c r="DA357" t="s">
        <v>306</v>
      </c>
      <c r="DB357" t="s">
        <v>471</v>
      </c>
      <c r="DC357">
        <v>4102247</v>
      </c>
      <c r="DD357" t="s">
        <v>346</v>
      </c>
      <c r="DE357">
        <v>0</v>
      </c>
      <c r="DF357" t="s">
        <v>53</v>
      </c>
      <c r="DK357" t="s">
        <v>306</v>
      </c>
      <c r="DL357" t="s">
        <v>471</v>
      </c>
      <c r="DM357">
        <v>4102247</v>
      </c>
      <c r="DN357" t="s">
        <v>346</v>
      </c>
      <c r="DO357">
        <v>0</v>
      </c>
      <c r="DP357" t="s">
        <v>53</v>
      </c>
      <c r="DU357" t="s">
        <v>306</v>
      </c>
      <c r="DZ357" t="s">
        <v>306</v>
      </c>
      <c r="EA357" t="s">
        <v>1793</v>
      </c>
      <c r="EB357">
        <v>4773635</v>
      </c>
      <c r="EC357" t="s">
        <v>346</v>
      </c>
      <c r="ED357">
        <v>0</v>
      </c>
      <c r="EE357" t="s">
        <v>320</v>
      </c>
      <c r="EF357" t="s">
        <v>471</v>
      </c>
      <c r="EG357">
        <v>4102247</v>
      </c>
      <c r="EH357" t="s">
        <v>346</v>
      </c>
      <c r="EI357">
        <v>0</v>
      </c>
      <c r="EJ357" t="s">
        <v>53</v>
      </c>
      <c r="EO357" t="s">
        <v>306</v>
      </c>
      <c r="ET357" t="s">
        <v>306</v>
      </c>
      <c r="EY357" t="s">
        <v>306</v>
      </c>
      <c r="FD357" t="s">
        <v>306</v>
      </c>
      <c r="FI357" t="s">
        <v>306</v>
      </c>
      <c r="FN357" t="s">
        <v>306</v>
      </c>
      <c r="FS357" t="s">
        <v>306</v>
      </c>
      <c r="FX357" t="s">
        <v>306</v>
      </c>
      <c r="FY357" t="s">
        <v>471</v>
      </c>
      <c r="FZ357">
        <v>4102247</v>
      </c>
      <c r="GA357" t="s">
        <v>346</v>
      </c>
      <c r="GB357">
        <v>0</v>
      </c>
      <c r="GC357" t="s">
        <v>53</v>
      </c>
      <c r="GH357" t="s">
        <v>306</v>
      </c>
      <c r="GM357" t="s">
        <v>306</v>
      </c>
      <c r="GR357" t="s">
        <v>306</v>
      </c>
      <c r="GW357" t="s">
        <v>306</v>
      </c>
      <c r="GX357" t="s">
        <v>1793</v>
      </c>
      <c r="GY357">
        <v>4773635</v>
      </c>
      <c r="GZ357" t="s">
        <v>346</v>
      </c>
      <c r="HA357">
        <v>0</v>
      </c>
      <c r="HB357" t="s">
        <v>320</v>
      </c>
      <c r="HG357" t="s">
        <v>306</v>
      </c>
    </row>
    <row r="358" spans="5:215" x14ac:dyDescent="0.35">
      <c r="E358" t="s">
        <v>306</v>
      </c>
      <c r="J358" t="s">
        <v>306</v>
      </c>
      <c r="O358" t="s">
        <v>306</v>
      </c>
      <c r="T358" t="s">
        <v>306</v>
      </c>
      <c r="U358" t="s">
        <v>900</v>
      </c>
      <c r="V358">
        <v>4264756</v>
      </c>
      <c r="W358" t="s">
        <v>346</v>
      </c>
      <c r="X358">
        <v>0</v>
      </c>
      <c r="Y358" t="s">
        <v>62</v>
      </c>
      <c r="AD358" t="s">
        <v>306</v>
      </c>
      <c r="AI358" t="s">
        <v>306</v>
      </c>
      <c r="AN358" t="s">
        <v>306</v>
      </c>
      <c r="AS358" t="s">
        <v>306</v>
      </c>
      <c r="AX358" t="s">
        <v>306</v>
      </c>
      <c r="BC358" t="s">
        <v>306</v>
      </c>
      <c r="BD358" t="s">
        <v>1070</v>
      </c>
      <c r="BE358">
        <v>4119544</v>
      </c>
      <c r="BF358" t="s">
        <v>364</v>
      </c>
      <c r="BG358">
        <v>0</v>
      </c>
      <c r="BH358" t="s">
        <v>53</v>
      </c>
      <c r="BM358" t="s">
        <v>306</v>
      </c>
      <c r="BR358" t="s">
        <v>306</v>
      </c>
      <c r="BS358" t="s">
        <v>1037</v>
      </c>
      <c r="BT358">
        <v>5762004</v>
      </c>
      <c r="BU358" t="s">
        <v>346</v>
      </c>
      <c r="BV358">
        <v>0</v>
      </c>
      <c r="BW358" t="s">
        <v>320</v>
      </c>
      <c r="BX358" t="s">
        <v>900</v>
      </c>
      <c r="BY358">
        <v>4264756</v>
      </c>
      <c r="BZ358" t="s">
        <v>346</v>
      </c>
      <c r="CA358">
        <v>0</v>
      </c>
      <c r="CB358" t="s">
        <v>62</v>
      </c>
      <c r="CC358" t="s">
        <v>1794</v>
      </c>
      <c r="CD358">
        <v>101377641</v>
      </c>
      <c r="CE358" t="s">
        <v>346</v>
      </c>
      <c r="CF358">
        <v>0</v>
      </c>
      <c r="CG358" t="s">
        <v>53</v>
      </c>
      <c r="CL358" t="s">
        <v>306</v>
      </c>
      <c r="CM358" t="s">
        <v>2052</v>
      </c>
      <c r="CN358">
        <v>117743850</v>
      </c>
      <c r="CO358" t="s">
        <v>346</v>
      </c>
      <c r="CP358">
        <v>0</v>
      </c>
      <c r="CQ358" t="s">
        <v>53</v>
      </c>
      <c r="CV358" t="s">
        <v>306</v>
      </c>
      <c r="DA358" t="s">
        <v>306</v>
      </c>
      <c r="DB358" t="s">
        <v>1070</v>
      </c>
      <c r="DC358">
        <v>4119544</v>
      </c>
      <c r="DD358" t="s">
        <v>364</v>
      </c>
      <c r="DE358">
        <v>0</v>
      </c>
      <c r="DF358" t="s">
        <v>53</v>
      </c>
      <c r="DK358" t="s">
        <v>306</v>
      </c>
      <c r="DL358" t="s">
        <v>1070</v>
      </c>
      <c r="DM358">
        <v>4119544</v>
      </c>
      <c r="DN358" t="s">
        <v>364</v>
      </c>
      <c r="DO358">
        <v>0</v>
      </c>
      <c r="DP358" t="s">
        <v>53</v>
      </c>
      <c r="DU358" t="s">
        <v>306</v>
      </c>
      <c r="DZ358" t="s">
        <v>306</v>
      </c>
      <c r="EA358" t="s">
        <v>1794</v>
      </c>
      <c r="EB358">
        <v>101377641</v>
      </c>
      <c r="EC358" t="s">
        <v>346</v>
      </c>
      <c r="ED358">
        <v>0</v>
      </c>
      <c r="EE358" t="s">
        <v>53</v>
      </c>
      <c r="EF358" t="s">
        <v>1070</v>
      </c>
      <c r="EG358">
        <v>4119544</v>
      </c>
      <c r="EH358" t="s">
        <v>364</v>
      </c>
      <c r="EI358">
        <v>0</v>
      </c>
      <c r="EJ358" t="s">
        <v>53</v>
      </c>
      <c r="EO358" t="s">
        <v>306</v>
      </c>
      <c r="ET358" t="s">
        <v>306</v>
      </c>
      <c r="EY358" t="s">
        <v>306</v>
      </c>
      <c r="FD358" t="s">
        <v>306</v>
      </c>
      <c r="FI358" t="s">
        <v>306</v>
      </c>
      <c r="FN358" t="s">
        <v>306</v>
      </c>
      <c r="FS358" t="s">
        <v>306</v>
      </c>
      <c r="FX358" t="s">
        <v>306</v>
      </c>
      <c r="FY358" t="s">
        <v>1070</v>
      </c>
      <c r="FZ358">
        <v>4119544</v>
      </c>
      <c r="GA358" t="s">
        <v>364</v>
      </c>
      <c r="GB358">
        <v>0</v>
      </c>
      <c r="GC358" t="s">
        <v>53</v>
      </c>
      <c r="GH358" t="s">
        <v>306</v>
      </c>
      <c r="GM358" t="s">
        <v>306</v>
      </c>
      <c r="GR358" t="s">
        <v>306</v>
      </c>
      <c r="GW358" t="s">
        <v>306</v>
      </c>
      <c r="GX358" t="s">
        <v>1794</v>
      </c>
      <c r="GY358">
        <v>101377641</v>
      </c>
      <c r="GZ358" t="s">
        <v>346</v>
      </c>
      <c r="HA358">
        <v>0</v>
      </c>
      <c r="HB358" t="s">
        <v>53</v>
      </c>
      <c r="HG358" t="s">
        <v>306</v>
      </c>
    </row>
    <row r="359" spans="5:215" x14ac:dyDescent="0.35">
      <c r="E359" t="s">
        <v>306</v>
      </c>
      <c r="J359" t="s">
        <v>306</v>
      </c>
      <c r="O359" t="s">
        <v>306</v>
      </c>
      <c r="T359" t="s">
        <v>306</v>
      </c>
      <c r="U359" t="s">
        <v>901</v>
      </c>
      <c r="V359">
        <v>27729917</v>
      </c>
      <c r="W359" t="s">
        <v>346</v>
      </c>
      <c r="X359">
        <v>0</v>
      </c>
      <c r="Y359" t="s">
        <v>62</v>
      </c>
      <c r="AD359" t="s">
        <v>306</v>
      </c>
      <c r="AI359" t="s">
        <v>306</v>
      </c>
      <c r="AN359" t="s">
        <v>306</v>
      </c>
      <c r="AS359" t="s">
        <v>306</v>
      </c>
      <c r="AX359" t="s">
        <v>306</v>
      </c>
      <c r="BC359" t="s">
        <v>306</v>
      </c>
      <c r="BD359" t="s">
        <v>573</v>
      </c>
      <c r="BE359">
        <v>5809681</v>
      </c>
      <c r="BF359" t="s">
        <v>346</v>
      </c>
      <c r="BG359">
        <v>0</v>
      </c>
      <c r="BH359" t="s">
        <v>2184</v>
      </c>
      <c r="BM359" t="s">
        <v>306</v>
      </c>
      <c r="BR359" t="s">
        <v>306</v>
      </c>
      <c r="BS359" t="s">
        <v>1038</v>
      </c>
      <c r="BT359">
        <v>4137587</v>
      </c>
      <c r="BU359" t="s">
        <v>346</v>
      </c>
      <c r="BV359">
        <v>0</v>
      </c>
      <c r="BW359" t="s">
        <v>2193</v>
      </c>
      <c r="BX359" t="s">
        <v>901</v>
      </c>
      <c r="BY359">
        <v>27729917</v>
      </c>
      <c r="BZ359" t="s">
        <v>346</v>
      </c>
      <c r="CA359">
        <v>0</v>
      </c>
      <c r="CB359" t="s">
        <v>62</v>
      </c>
      <c r="CC359" t="s">
        <v>498</v>
      </c>
      <c r="CD359">
        <v>4187546</v>
      </c>
      <c r="CE359" t="s">
        <v>346</v>
      </c>
      <c r="CF359">
        <v>0</v>
      </c>
      <c r="CG359" t="s">
        <v>53</v>
      </c>
      <c r="CL359" t="s">
        <v>306</v>
      </c>
      <c r="CM359" t="s">
        <v>2053</v>
      </c>
      <c r="CN359">
        <v>4119637</v>
      </c>
      <c r="CO359" t="s">
        <v>346</v>
      </c>
      <c r="CP359">
        <v>0</v>
      </c>
      <c r="CQ359" t="s">
        <v>53</v>
      </c>
      <c r="CV359" t="s">
        <v>306</v>
      </c>
      <c r="DA359" t="s">
        <v>306</v>
      </c>
      <c r="DB359" t="s">
        <v>573</v>
      </c>
      <c r="DC359">
        <v>5809681</v>
      </c>
      <c r="DD359" t="s">
        <v>346</v>
      </c>
      <c r="DE359">
        <v>0</v>
      </c>
      <c r="DF359" t="s">
        <v>2184</v>
      </c>
      <c r="DK359" t="s">
        <v>306</v>
      </c>
      <c r="DL359" t="s">
        <v>573</v>
      </c>
      <c r="DM359">
        <v>5809681</v>
      </c>
      <c r="DN359" t="s">
        <v>346</v>
      </c>
      <c r="DO359">
        <v>0</v>
      </c>
      <c r="DP359" t="s">
        <v>2184</v>
      </c>
      <c r="DU359" t="s">
        <v>306</v>
      </c>
      <c r="DZ359" t="s">
        <v>306</v>
      </c>
      <c r="EA359" t="s">
        <v>498</v>
      </c>
      <c r="EB359">
        <v>4187546</v>
      </c>
      <c r="EC359" t="s">
        <v>346</v>
      </c>
      <c r="ED359">
        <v>0</v>
      </c>
      <c r="EE359" t="s">
        <v>53</v>
      </c>
      <c r="EF359" t="s">
        <v>573</v>
      </c>
      <c r="EG359">
        <v>5809681</v>
      </c>
      <c r="EH359" t="s">
        <v>346</v>
      </c>
      <c r="EI359">
        <v>0</v>
      </c>
      <c r="EJ359" t="s">
        <v>2184</v>
      </c>
      <c r="EO359" t="s">
        <v>306</v>
      </c>
      <c r="ET359" t="s">
        <v>306</v>
      </c>
      <c r="EY359" t="s">
        <v>306</v>
      </c>
      <c r="FD359" t="s">
        <v>306</v>
      </c>
      <c r="FI359" t="s">
        <v>306</v>
      </c>
      <c r="FN359" t="s">
        <v>306</v>
      </c>
      <c r="FS359" t="s">
        <v>306</v>
      </c>
      <c r="FX359" t="s">
        <v>306</v>
      </c>
      <c r="FY359" t="s">
        <v>573</v>
      </c>
      <c r="FZ359">
        <v>5809681</v>
      </c>
      <c r="GA359" t="s">
        <v>346</v>
      </c>
      <c r="GB359">
        <v>0</v>
      </c>
      <c r="GC359" t="s">
        <v>2184</v>
      </c>
      <c r="GH359" t="s">
        <v>306</v>
      </c>
      <c r="GM359" t="s">
        <v>306</v>
      </c>
      <c r="GR359" t="s">
        <v>306</v>
      </c>
      <c r="GW359" t="s">
        <v>306</v>
      </c>
      <c r="GX359" t="s">
        <v>498</v>
      </c>
      <c r="GY359">
        <v>4187546</v>
      </c>
      <c r="GZ359" t="s">
        <v>346</v>
      </c>
      <c r="HA359">
        <v>0</v>
      </c>
      <c r="HB359" t="s">
        <v>53</v>
      </c>
      <c r="HG359" t="s">
        <v>306</v>
      </c>
    </row>
    <row r="360" spans="5:215" x14ac:dyDescent="0.35">
      <c r="E360" t="s">
        <v>306</v>
      </c>
      <c r="J360" t="s">
        <v>306</v>
      </c>
      <c r="O360" t="s">
        <v>306</v>
      </c>
      <c r="T360" t="s">
        <v>306</v>
      </c>
      <c r="U360" t="s">
        <v>902</v>
      </c>
      <c r="V360">
        <v>120128743</v>
      </c>
      <c r="W360" t="s">
        <v>346</v>
      </c>
      <c r="X360">
        <v>0</v>
      </c>
      <c r="Y360" t="s">
        <v>53</v>
      </c>
      <c r="AD360" t="s">
        <v>306</v>
      </c>
      <c r="AI360" t="s">
        <v>306</v>
      </c>
      <c r="AN360" t="s">
        <v>306</v>
      </c>
      <c r="AS360" t="s">
        <v>306</v>
      </c>
      <c r="AX360" t="s">
        <v>306</v>
      </c>
      <c r="BC360" t="s">
        <v>306</v>
      </c>
      <c r="BD360" t="s">
        <v>1122</v>
      </c>
      <c r="BE360">
        <v>111354</v>
      </c>
      <c r="BF360" t="s">
        <v>346</v>
      </c>
      <c r="BG360">
        <v>0</v>
      </c>
      <c r="BH360" t="s">
        <v>53</v>
      </c>
      <c r="BM360" t="s">
        <v>306</v>
      </c>
      <c r="BR360" t="s">
        <v>306</v>
      </c>
      <c r="BS360" t="s">
        <v>1039</v>
      </c>
      <c r="BT360">
        <v>5816585</v>
      </c>
      <c r="BU360" t="s">
        <v>346</v>
      </c>
      <c r="BV360">
        <v>0</v>
      </c>
      <c r="BW360" t="s">
        <v>323</v>
      </c>
      <c r="BX360" t="s">
        <v>902</v>
      </c>
      <c r="BY360">
        <v>120128743</v>
      </c>
      <c r="BZ360" t="s">
        <v>346</v>
      </c>
      <c r="CA360">
        <v>0</v>
      </c>
      <c r="CB360" t="s">
        <v>53</v>
      </c>
      <c r="CC360" t="s">
        <v>1795</v>
      </c>
      <c r="CD360">
        <v>4291471</v>
      </c>
      <c r="CE360" t="s">
        <v>346</v>
      </c>
      <c r="CF360">
        <v>0</v>
      </c>
      <c r="CG360" t="s">
        <v>114</v>
      </c>
      <c r="CL360" t="s">
        <v>306</v>
      </c>
      <c r="CM360" t="s">
        <v>2054</v>
      </c>
      <c r="CN360">
        <v>15092839</v>
      </c>
      <c r="CO360" t="s">
        <v>276</v>
      </c>
      <c r="CP360">
        <v>0</v>
      </c>
      <c r="CQ360" t="s">
        <v>53</v>
      </c>
      <c r="CV360" t="s">
        <v>306</v>
      </c>
      <c r="DA360" t="s">
        <v>306</v>
      </c>
      <c r="DB360" t="s">
        <v>1122</v>
      </c>
      <c r="DC360">
        <v>111354</v>
      </c>
      <c r="DD360" t="s">
        <v>346</v>
      </c>
      <c r="DE360">
        <v>0</v>
      </c>
      <c r="DF360" t="s">
        <v>53</v>
      </c>
      <c r="DK360" t="s">
        <v>306</v>
      </c>
      <c r="DL360" t="s">
        <v>1122</v>
      </c>
      <c r="DM360">
        <v>111354</v>
      </c>
      <c r="DN360" t="s">
        <v>346</v>
      </c>
      <c r="DO360">
        <v>0</v>
      </c>
      <c r="DP360" t="s">
        <v>53</v>
      </c>
      <c r="DU360" t="s">
        <v>306</v>
      </c>
      <c r="DZ360" t="s">
        <v>306</v>
      </c>
      <c r="EA360" t="s">
        <v>1795</v>
      </c>
      <c r="EB360">
        <v>4291471</v>
      </c>
      <c r="EC360" t="s">
        <v>346</v>
      </c>
      <c r="ED360">
        <v>0</v>
      </c>
      <c r="EE360" t="s">
        <v>114</v>
      </c>
      <c r="EF360" t="s">
        <v>1122</v>
      </c>
      <c r="EG360">
        <v>111354</v>
      </c>
      <c r="EH360" t="s">
        <v>346</v>
      </c>
      <c r="EI360">
        <v>0</v>
      </c>
      <c r="EJ360" t="s">
        <v>53</v>
      </c>
      <c r="EO360" t="s">
        <v>306</v>
      </c>
      <c r="ET360" t="s">
        <v>306</v>
      </c>
      <c r="EY360" t="s">
        <v>306</v>
      </c>
      <c r="FD360" t="s">
        <v>306</v>
      </c>
      <c r="FI360" t="s">
        <v>306</v>
      </c>
      <c r="FN360" t="s">
        <v>306</v>
      </c>
      <c r="FS360" t="s">
        <v>306</v>
      </c>
      <c r="FX360" t="s">
        <v>306</v>
      </c>
      <c r="FY360" t="s">
        <v>1122</v>
      </c>
      <c r="FZ360">
        <v>111354</v>
      </c>
      <c r="GA360" t="s">
        <v>346</v>
      </c>
      <c r="GB360">
        <v>0</v>
      </c>
      <c r="GC360" t="s">
        <v>53</v>
      </c>
      <c r="GH360" t="s">
        <v>306</v>
      </c>
      <c r="GM360" t="s">
        <v>306</v>
      </c>
      <c r="GR360" t="s">
        <v>306</v>
      </c>
      <c r="GW360" t="s">
        <v>306</v>
      </c>
      <c r="GX360" t="s">
        <v>1795</v>
      </c>
      <c r="GY360">
        <v>4291471</v>
      </c>
      <c r="GZ360" t="s">
        <v>346</v>
      </c>
      <c r="HA360">
        <v>0</v>
      </c>
      <c r="HB360" t="s">
        <v>114</v>
      </c>
      <c r="HG360" t="s">
        <v>306</v>
      </c>
    </row>
    <row r="361" spans="5:215" x14ac:dyDescent="0.35">
      <c r="E361" t="s">
        <v>306</v>
      </c>
      <c r="J361" t="s">
        <v>306</v>
      </c>
      <c r="O361" t="s">
        <v>306</v>
      </c>
      <c r="T361" t="s">
        <v>306</v>
      </c>
      <c r="U361" t="s">
        <v>903</v>
      </c>
      <c r="V361">
        <v>19241294</v>
      </c>
      <c r="W361" t="s">
        <v>346</v>
      </c>
      <c r="X361">
        <v>0</v>
      </c>
      <c r="Y361" t="s">
        <v>306</v>
      </c>
      <c r="AD361" t="s">
        <v>306</v>
      </c>
      <c r="AI361" t="s">
        <v>306</v>
      </c>
      <c r="AN361" t="s">
        <v>306</v>
      </c>
      <c r="AS361" t="s">
        <v>306</v>
      </c>
      <c r="AX361" t="s">
        <v>306</v>
      </c>
      <c r="BC361" t="s">
        <v>306</v>
      </c>
      <c r="BD361" t="s">
        <v>626</v>
      </c>
      <c r="BE361">
        <v>4035337</v>
      </c>
      <c r="BF361" t="s">
        <v>346</v>
      </c>
      <c r="BG361">
        <v>0</v>
      </c>
      <c r="BH361" t="s">
        <v>53</v>
      </c>
      <c r="BM361" t="s">
        <v>306</v>
      </c>
      <c r="BR361" t="s">
        <v>306</v>
      </c>
      <c r="BS361" t="s">
        <v>1040</v>
      </c>
      <c r="BT361">
        <v>4232927</v>
      </c>
      <c r="BU361" t="s">
        <v>346</v>
      </c>
      <c r="BV361">
        <v>0</v>
      </c>
      <c r="BW361" t="s">
        <v>323</v>
      </c>
      <c r="BX361" t="s">
        <v>903</v>
      </c>
      <c r="BY361">
        <v>19241294</v>
      </c>
      <c r="BZ361" t="s">
        <v>346</v>
      </c>
      <c r="CA361">
        <v>0</v>
      </c>
      <c r="CB361" t="s">
        <v>306</v>
      </c>
      <c r="CC361" t="s">
        <v>522</v>
      </c>
      <c r="CD361">
        <v>4118373</v>
      </c>
      <c r="CE361" t="s">
        <v>346</v>
      </c>
      <c r="CF361">
        <v>0</v>
      </c>
      <c r="CG361" t="s">
        <v>53</v>
      </c>
      <c r="CL361" t="s">
        <v>306</v>
      </c>
      <c r="CM361" t="s">
        <v>2055</v>
      </c>
      <c r="CN361">
        <v>4283515</v>
      </c>
      <c r="CO361" t="s">
        <v>346</v>
      </c>
      <c r="CP361">
        <v>0</v>
      </c>
      <c r="CQ361" t="s">
        <v>53</v>
      </c>
      <c r="CV361" t="s">
        <v>306</v>
      </c>
      <c r="DA361" t="s">
        <v>306</v>
      </c>
      <c r="DB361" t="s">
        <v>626</v>
      </c>
      <c r="DC361">
        <v>4035337</v>
      </c>
      <c r="DD361" t="s">
        <v>346</v>
      </c>
      <c r="DE361">
        <v>0</v>
      </c>
      <c r="DF361" t="s">
        <v>53</v>
      </c>
      <c r="DK361" t="s">
        <v>306</v>
      </c>
      <c r="DL361" t="s">
        <v>626</v>
      </c>
      <c r="DM361">
        <v>4035337</v>
      </c>
      <c r="DN361" t="s">
        <v>346</v>
      </c>
      <c r="DO361">
        <v>0</v>
      </c>
      <c r="DP361" t="s">
        <v>53</v>
      </c>
      <c r="DU361" t="s">
        <v>306</v>
      </c>
      <c r="DZ361" t="s">
        <v>306</v>
      </c>
      <c r="EA361" t="s">
        <v>522</v>
      </c>
      <c r="EB361">
        <v>4118373</v>
      </c>
      <c r="EC361" t="s">
        <v>346</v>
      </c>
      <c r="ED361">
        <v>0</v>
      </c>
      <c r="EE361" t="s">
        <v>53</v>
      </c>
      <c r="EF361" t="s">
        <v>626</v>
      </c>
      <c r="EG361">
        <v>4035337</v>
      </c>
      <c r="EH361" t="s">
        <v>346</v>
      </c>
      <c r="EI361">
        <v>0</v>
      </c>
      <c r="EJ361" t="s">
        <v>53</v>
      </c>
      <c r="EO361" t="s">
        <v>306</v>
      </c>
      <c r="ET361" t="s">
        <v>306</v>
      </c>
      <c r="EY361" t="s">
        <v>306</v>
      </c>
      <c r="FD361" t="s">
        <v>306</v>
      </c>
      <c r="FI361" t="s">
        <v>306</v>
      </c>
      <c r="FN361" t="s">
        <v>306</v>
      </c>
      <c r="FS361" t="s">
        <v>306</v>
      </c>
      <c r="FX361" t="s">
        <v>306</v>
      </c>
      <c r="FY361" t="s">
        <v>626</v>
      </c>
      <c r="FZ361">
        <v>4035337</v>
      </c>
      <c r="GA361" t="s">
        <v>346</v>
      </c>
      <c r="GB361">
        <v>0</v>
      </c>
      <c r="GC361" t="s">
        <v>53</v>
      </c>
      <c r="GH361" t="s">
        <v>306</v>
      </c>
      <c r="GM361" t="s">
        <v>306</v>
      </c>
      <c r="GR361" t="s">
        <v>306</v>
      </c>
      <c r="GW361" t="s">
        <v>306</v>
      </c>
      <c r="GX361" t="s">
        <v>522</v>
      </c>
      <c r="GY361">
        <v>4118373</v>
      </c>
      <c r="GZ361" t="s">
        <v>346</v>
      </c>
      <c r="HA361">
        <v>0</v>
      </c>
      <c r="HB361" t="s">
        <v>53</v>
      </c>
      <c r="HG361" t="s">
        <v>306</v>
      </c>
    </row>
    <row r="362" spans="5:215" x14ac:dyDescent="0.35">
      <c r="E362" t="s">
        <v>306</v>
      </c>
      <c r="J362" t="s">
        <v>306</v>
      </c>
      <c r="O362" t="s">
        <v>306</v>
      </c>
      <c r="T362" t="s">
        <v>306</v>
      </c>
      <c r="U362" t="s">
        <v>904</v>
      </c>
      <c r="V362">
        <v>4377113</v>
      </c>
      <c r="W362" t="s">
        <v>346</v>
      </c>
      <c r="X362">
        <v>0</v>
      </c>
      <c r="Y362" t="s">
        <v>53</v>
      </c>
      <c r="AD362" t="s">
        <v>306</v>
      </c>
      <c r="AI362" t="s">
        <v>306</v>
      </c>
      <c r="AN362" t="s">
        <v>306</v>
      </c>
      <c r="AS362" t="s">
        <v>306</v>
      </c>
      <c r="AX362" t="s">
        <v>306</v>
      </c>
      <c r="BC362" t="s">
        <v>306</v>
      </c>
      <c r="BD362" t="s">
        <v>1503</v>
      </c>
      <c r="BE362">
        <v>4213204</v>
      </c>
      <c r="BF362" t="s">
        <v>346</v>
      </c>
      <c r="BG362">
        <v>0</v>
      </c>
      <c r="BH362" t="s">
        <v>2187</v>
      </c>
      <c r="BM362" t="s">
        <v>306</v>
      </c>
      <c r="BR362" t="s">
        <v>306</v>
      </c>
      <c r="BS362" t="s">
        <v>807</v>
      </c>
      <c r="BT362">
        <v>4553770</v>
      </c>
      <c r="BU362" t="s">
        <v>346</v>
      </c>
      <c r="BV362">
        <v>0</v>
      </c>
      <c r="BW362" t="s">
        <v>50</v>
      </c>
      <c r="BX362" t="s">
        <v>904</v>
      </c>
      <c r="BY362">
        <v>4377113</v>
      </c>
      <c r="BZ362" t="s">
        <v>346</v>
      </c>
      <c r="CA362">
        <v>0</v>
      </c>
      <c r="CB362" t="s">
        <v>53</v>
      </c>
      <c r="CC362" t="s">
        <v>999</v>
      </c>
      <c r="CD362">
        <v>4031268</v>
      </c>
      <c r="CE362" t="s">
        <v>346</v>
      </c>
      <c r="CF362">
        <v>0</v>
      </c>
      <c r="CG362" t="s">
        <v>53</v>
      </c>
      <c r="CL362" t="s">
        <v>306</v>
      </c>
      <c r="CM362" t="s">
        <v>2056</v>
      </c>
      <c r="CN362">
        <v>4255901</v>
      </c>
      <c r="CO362" t="s">
        <v>346</v>
      </c>
      <c r="CP362">
        <v>0</v>
      </c>
      <c r="CQ362" t="s">
        <v>53</v>
      </c>
      <c r="CV362" t="s">
        <v>306</v>
      </c>
      <c r="DA362" t="s">
        <v>306</v>
      </c>
      <c r="DB362" t="s">
        <v>1503</v>
      </c>
      <c r="DC362">
        <v>4213204</v>
      </c>
      <c r="DD362" t="s">
        <v>346</v>
      </c>
      <c r="DE362">
        <v>0</v>
      </c>
      <c r="DF362" t="s">
        <v>2187</v>
      </c>
      <c r="DK362" t="s">
        <v>306</v>
      </c>
      <c r="DL362" t="s">
        <v>1503</v>
      </c>
      <c r="DM362">
        <v>4213204</v>
      </c>
      <c r="DN362" t="s">
        <v>346</v>
      </c>
      <c r="DO362">
        <v>0</v>
      </c>
      <c r="DP362" t="s">
        <v>2187</v>
      </c>
      <c r="DU362" t="s">
        <v>306</v>
      </c>
      <c r="DZ362" t="s">
        <v>306</v>
      </c>
      <c r="EA362" t="s">
        <v>999</v>
      </c>
      <c r="EB362">
        <v>4031268</v>
      </c>
      <c r="EC362" t="s">
        <v>346</v>
      </c>
      <c r="ED362">
        <v>0</v>
      </c>
      <c r="EE362" t="s">
        <v>53</v>
      </c>
      <c r="EF362" t="s">
        <v>1503</v>
      </c>
      <c r="EG362">
        <v>4213204</v>
      </c>
      <c r="EH362" t="s">
        <v>346</v>
      </c>
      <c r="EI362">
        <v>0</v>
      </c>
      <c r="EJ362" t="s">
        <v>2187</v>
      </c>
      <c r="EO362" t="s">
        <v>306</v>
      </c>
      <c r="ET362" t="s">
        <v>306</v>
      </c>
      <c r="EY362" t="s">
        <v>306</v>
      </c>
      <c r="FD362" t="s">
        <v>306</v>
      </c>
      <c r="FI362" t="s">
        <v>306</v>
      </c>
      <c r="FN362" t="s">
        <v>306</v>
      </c>
      <c r="FS362" t="s">
        <v>306</v>
      </c>
      <c r="FX362" t="s">
        <v>306</v>
      </c>
      <c r="FY362" t="s">
        <v>1503</v>
      </c>
      <c r="FZ362">
        <v>4213204</v>
      </c>
      <c r="GA362" t="s">
        <v>346</v>
      </c>
      <c r="GB362">
        <v>0</v>
      </c>
      <c r="GC362" t="s">
        <v>2187</v>
      </c>
      <c r="GH362" t="s">
        <v>306</v>
      </c>
      <c r="GM362" t="s">
        <v>306</v>
      </c>
      <c r="GR362" t="s">
        <v>306</v>
      </c>
      <c r="GW362" t="s">
        <v>306</v>
      </c>
      <c r="GX362" t="s">
        <v>999</v>
      </c>
      <c r="GY362">
        <v>4031268</v>
      </c>
      <c r="GZ362" t="s">
        <v>346</v>
      </c>
      <c r="HA362">
        <v>0</v>
      </c>
      <c r="HB362" t="s">
        <v>53</v>
      </c>
      <c r="HG362" t="s">
        <v>306</v>
      </c>
    </row>
    <row r="363" spans="5:215" x14ac:dyDescent="0.35">
      <c r="E363" t="s">
        <v>306</v>
      </c>
      <c r="J363" t="s">
        <v>306</v>
      </c>
      <c r="O363" t="s">
        <v>306</v>
      </c>
      <c r="T363" t="s">
        <v>306</v>
      </c>
      <c r="U363" t="s">
        <v>652</v>
      </c>
      <c r="V363">
        <v>4134208</v>
      </c>
      <c r="W363" t="s">
        <v>346</v>
      </c>
      <c r="X363">
        <v>0</v>
      </c>
      <c r="Y363" t="s">
        <v>53</v>
      </c>
      <c r="AD363" t="s">
        <v>306</v>
      </c>
      <c r="AI363" t="s">
        <v>306</v>
      </c>
      <c r="AN363" t="s">
        <v>306</v>
      </c>
      <c r="AS363" t="s">
        <v>306</v>
      </c>
      <c r="AX363" t="s">
        <v>306</v>
      </c>
      <c r="BC363" t="s">
        <v>306</v>
      </c>
      <c r="BD363" t="s">
        <v>1504</v>
      </c>
      <c r="BE363">
        <v>4237293</v>
      </c>
      <c r="BF363" t="s">
        <v>346</v>
      </c>
      <c r="BG363">
        <v>0</v>
      </c>
      <c r="BH363" t="s">
        <v>62</v>
      </c>
      <c r="BM363" t="s">
        <v>306</v>
      </c>
      <c r="BR363" t="s">
        <v>306</v>
      </c>
      <c r="BS363" t="s">
        <v>1041</v>
      </c>
      <c r="BT363">
        <v>4886130</v>
      </c>
      <c r="BU363" t="s">
        <v>346</v>
      </c>
      <c r="BV363">
        <v>0</v>
      </c>
      <c r="BW363" t="s">
        <v>326</v>
      </c>
      <c r="BX363" t="s">
        <v>652</v>
      </c>
      <c r="BY363">
        <v>4134208</v>
      </c>
      <c r="BZ363" t="s">
        <v>346</v>
      </c>
      <c r="CA363">
        <v>0</v>
      </c>
      <c r="CB363" t="s">
        <v>53</v>
      </c>
      <c r="CC363" t="s">
        <v>1796</v>
      </c>
      <c r="CD363">
        <v>4271661</v>
      </c>
      <c r="CE363" t="s">
        <v>346</v>
      </c>
      <c r="CF363">
        <v>0</v>
      </c>
      <c r="CG363" t="s">
        <v>80</v>
      </c>
      <c r="CL363" t="s">
        <v>306</v>
      </c>
      <c r="CM363" t="s">
        <v>860</v>
      </c>
      <c r="CN363">
        <v>110879</v>
      </c>
      <c r="CO363" t="s">
        <v>346</v>
      </c>
      <c r="CP363">
        <v>0</v>
      </c>
      <c r="CQ363" t="s">
        <v>53</v>
      </c>
      <c r="CV363" t="s">
        <v>306</v>
      </c>
      <c r="DA363" t="s">
        <v>306</v>
      </c>
      <c r="DB363" t="s">
        <v>1504</v>
      </c>
      <c r="DC363">
        <v>4237293</v>
      </c>
      <c r="DD363" t="s">
        <v>346</v>
      </c>
      <c r="DE363">
        <v>0</v>
      </c>
      <c r="DF363" t="s">
        <v>62</v>
      </c>
      <c r="DK363" t="s">
        <v>306</v>
      </c>
      <c r="DL363" t="s">
        <v>1504</v>
      </c>
      <c r="DM363">
        <v>4237293</v>
      </c>
      <c r="DN363" t="s">
        <v>346</v>
      </c>
      <c r="DO363">
        <v>0</v>
      </c>
      <c r="DP363" t="s">
        <v>62</v>
      </c>
      <c r="DU363" t="s">
        <v>306</v>
      </c>
      <c r="DZ363" t="s">
        <v>306</v>
      </c>
      <c r="EA363" t="s">
        <v>1796</v>
      </c>
      <c r="EB363">
        <v>4271661</v>
      </c>
      <c r="EC363" t="s">
        <v>346</v>
      </c>
      <c r="ED363">
        <v>0</v>
      </c>
      <c r="EE363" t="s">
        <v>80</v>
      </c>
      <c r="EF363" t="s">
        <v>1504</v>
      </c>
      <c r="EG363">
        <v>4237293</v>
      </c>
      <c r="EH363" t="s">
        <v>346</v>
      </c>
      <c r="EI363">
        <v>0</v>
      </c>
      <c r="EJ363" t="s">
        <v>62</v>
      </c>
      <c r="EO363" t="s">
        <v>306</v>
      </c>
      <c r="ET363" t="s">
        <v>306</v>
      </c>
      <c r="EY363" t="s">
        <v>306</v>
      </c>
      <c r="FD363" t="s">
        <v>306</v>
      </c>
      <c r="FI363" t="s">
        <v>306</v>
      </c>
      <c r="FN363" t="s">
        <v>306</v>
      </c>
      <c r="FS363" t="s">
        <v>306</v>
      </c>
      <c r="FX363" t="s">
        <v>306</v>
      </c>
      <c r="FY363" t="s">
        <v>1504</v>
      </c>
      <c r="FZ363">
        <v>4237293</v>
      </c>
      <c r="GA363" t="s">
        <v>346</v>
      </c>
      <c r="GB363">
        <v>0</v>
      </c>
      <c r="GC363" t="s">
        <v>62</v>
      </c>
      <c r="GH363" t="s">
        <v>306</v>
      </c>
      <c r="GM363" t="s">
        <v>306</v>
      </c>
      <c r="GR363" t="s">
        <v>306</v>
      </c>
      <c r="GW363" t="s">
        <v>306</v>
      </c>
      <c r="GX363" t="s">
        <v>1796</v>
      </c>
      <c r="GY363">
        <v>4271661</v>
      </c>
      <c r="GZ363" t="s">
        <v>346</v>
      </c>
      <c r="HA363">
        <v>0</v>
      </c>
      <c r="HB363" t="s">
        <v>80</v>
      </c>
      <c r="HG363" t="s">
        <v>306</v>
      </c>
    </row>
    <row r="364" spans="5:215" x14ac:dyDescent="0.35">
      <c r="E364" t="s">
        <v>306</v>
      </c>
      <c r="J364" t="s">
        <v>306</v>
      </c>
      <c r="O364" t="s">
        <v>306</v>
      </c>
      <c r="T364" t="s">
        <v>306</v>
      </c>
      <c r="U364" t="s">
        <v>531</v>
      </c>
      <c r="V364">
        <v>4072215</v>
      </c>
      <c r="W364" t="s">
        <v>346</v>
      </c>
      <c r="X364">
        <v>0</v>
      </c>
      <c r="Y364" t="s">
        <v>53</v>
      </c>
      <c r="AD364" t="s">
        <v>306</v>
      </c>
      <c r="AI364" t="s">
        <v>306</v>
      </c>
      <c r="AN364" t="s">
        <v>306</v>
      </c>
      <c r="AS364" t="s">
        <v>306</v>
      </c>
      <c r="AX364" t="s">
        <v>306</v>
      </c>
      <c r="BC364" t="s">
        <v>306</v>
      </c>
      <c r="BD364" t="s">
        <v>1505</v>
      </c>
      <c r="BE364">
        <v>4417280</v>
      </c>
      <c r="BF364" t="s">
        <v>346</v>
      </c>
      <c r="BG364">
        <v>0</v>
      </c>
      <c r="BH364" t="s">
        <v>2184</v>
      </c>
      <c r="BM364" t="s">
        <v>306</v>
      </c>
      <c r="BR364" t="s">
        <v>306</v>
      </c>
      <c r="BS364" t="s">
        <v>557</v>
      </c>
      <c r="BT364">
        <v>20326442</v>
      </c>
      <c r="BU364" t="s">
        <v>346</v>
      </c>
      <c r="BV364">
        <v>0</v>
      </c>
      <c r="BW364" t="s">
        <v>306</v>
      </c>
      <c r="BX364" t="s">
        <v>531</v>
      </c>
      <c r="BY364">
        <v>4072215</v>
      </c>
      <c r="BZ364" t="s">
        <v>346</v>
      </c>
      <c r="CA364">
        <v>0</v>
      </c>
      <c r="CB364" t="s">
        <v>53</v>
      </c>
      <c r="CC364" t="s">
        <v>1797</v>
      </c>
      <c r="CD364">
        <v>4116602</v>
      </c>
      <c r="CE364" t="s">
        <v>346</v>
      </c>
      <c r="CF364">
        <v>0</v>
      </c>
      <c r="CG364" t="s">
        <v>53</v>
      </c>
      <c r="CL364" t="s">
        <v>306</v>
      </c>
      <c r="CM364" t="s">
        <v>481</v>
      </c>
      <c r="CN364">
        <v>4376121</v>
      </c>
      <c r="CO364" t="s">
        <v>346</v>
      </c>
      <c r="CP364">
        <v>0</v>
      </c>
      <c r="CQ364" t="s">
        <v>313</v>
      </c>
      <c r="CV364" t="s">
        <v>306</v>
      </c>
      <c r="DA364" t="s">
        <v>306</v>
      </c>
      <c r="DB364" t="s">
        <v>1505</v>
      </c>
      <c r="DC364">
        <v>4417280</v>
      </c>
      <c r="DD364" t="s">
        <v>346</v>
      </c>
      <c r="DE364">
        <v>0</v>
      </c>
      <c r="DF364" t="s">
        <v>2184</v>
      </c>
      <c r="DK364" t="s">
        <v>306</v>
      </c>
      <c r="DL364" t="s">
        <v>1505</v>
      </c>
      <c r="DM364">
        <v>4417280</v>
      </c>
      <c r="DN364" t="s">
        <v>346</v>
      </c>
      <c r="DO364">
        <v>0</v>
      </c>
      <c r="DP364" t="s">
        <v>2184</v>
      </c>
      <c r="DU364" t="s">
        <v>306</v>
      </c>
      <c r="DZ364" t="s">
        <v>306</v>
      </c>
      <c r="EA364" t="s">
        <v>1797</v>
      </c>
      <c r="EB364">
        <v>4116602</v>
      </c>
      <c r="EC364" t="s">
        <v>346</v>
      </c>
      <c r="ED364">
        <v>0</v>
      </c>
      <c r="EE364" t="s">
        <v>53</v>
      </c>
      <c r="EF364" t="s">
        <v>1505</v>
      </c>
      <c r="EG364">
        <v>4417280</v>
      </c>
      <c r="EH364" t="s">
        <v>346</v>
      </c>
      <c r="EI364">
        <v>0</v>
      </c>
      <c r="EJ364" t="s">
        <v>2184</v>
      </c>
      <c r="EO364" t="s">
        <v>306</v>
      </c>
      <c r="ET364" t="s">
        <v>306</v>
      </c>
      <c r="EY364" t="s">
        <v>306</v>
      </c>
      <c r="FD364" t="s">
        <v>306</v>
      </c>
      <c r="FI364" t="s">
        <v>306</v>
      </c>
      <c r="FN364" t="s">
        <v>306</v>
      </c>
      <c r="FS364" t="s">
        <v>306</v>
      </c>
      <c r="FX364" t="s">
        <v>306</v>
      </c>
      <c r="FY364" t="s">
        <v>1505</v>
      </c>
      <c r="FZ364">
        <v>4417280</v>
      </c>
      <c r="GA364" t="s">
        <v>346</v>
      </c>
      <c r="GB364">
        <v>0</v>
      </c>
      <c r="GC364" t="s">
        <v>2184</v>
      </c>
      <c r="GH364" t="s">
        <v>306</v>
      </c>
      <c r="GM364" t="s">
        <v>306</v>
      </c>
      <c r="GR364" t="s">
        <v>306</v>
      </c>
      <c r="GW364" t="s">
        <v>306</v>
      </c>
      <c r="GX364" t="s">
        <v>1797</v>
      </c>
      <c r="GY364">
        <v>4116602</v>
      </c>
      <c r="GZ364" t="s">
        <v>346</v>
      </c>
      <c r="HA364">
        <v>0</v>
      </c>
      <c r="HB364" t="s">
        <v>53</v>
      </c>
      <c r="HG364" t="s">
        <v>306</v>
      </c>
    </row>
    <row r="365" spans="5:215" x14ac:dyDescent="0.35">
      <c r="E365" t="s">
        <v>306</v>
      </c>
      <c r="J365" t="s">
        <v>306</v>
      </c>
      <c r="O365" t="s">
        <v>306</v>
      </c>
      <c r="T365" t="s">
        <v>306</v>
      </c>
      <c r="U365" t="s">
        <v>905</v>
      </c>
      <c r="V365">
        <v>4048818</v>
      </c>
      <c r="W365" t="s">
        <v>346</v>
      </c>
      <c r="X365">
        <v>0</v>
      </c>
      <c r="Y365" t="s">
        <v>53</v>
      </c>
      <c r="AD365" t="s">
        <v>306</v>
      </c>
      <c r="AI365" t="s">
        <v>306</v>
      </c>
      <c r="AN365" t="s">
        <v>306</v>
      </c>
      <c r="AS365" t="s">
        <v>306</v>
      </c>
      <c r="AX365" t="s">
        <v>306</v>
      </c>
      <c r="BC365" t="s">
        <v>306</v>
      </c>
      <c r="BD365" t="s">
        <v>1506</v>
      </c>
      <c r="BE365">
        <v>5864340</v>
      </c>
      <c r="BF365" t="s">
        <v>346</v>
      </c>
      <c r="BG365">
        <v>0</v>
      </c>
      <c r="BH365" t="s">
        <v>2209</v>
      </c>
      <c r="BM365" t="s">
        <v>306</v>
      </c>
      <c r="BR365" t="s">
        <v>306</v>
      </c>
      <c r="BS365" t="s">
        <v>1042</v>
      </c>
      <c r="BT365">
        <v>6594844</v>
      </c>
      <c r="BU365" t="s">
        <v>346</v>
      </c>
      <c r="BV365">
        <v>0</v>
      </c>
      <c r="BW365" t="s">
        <v>2181</v>
      </c>
      <c r="BX365" t="s">
        <v>905</v>
      </c>
      <c r="BY365">
        <v>4048818</v>
      </c>
      <c r="BZ365" t="s">
        <v>346</v>
      </c>
      <c r="CA365">
        <v>0</v>
      </c>
      <c r="CB365" t="s">
        <v>53</v>
      </c>
      <c r="CC365" t="s">
        <v>1798</v>
      </c>
      <c r="CD365">
        <v>110256</v>
      </c>
      <c r="CE365" t="s">
        <v>346</v>
      </c>
      <c r="CF365">
        <v>0</v>
      </c>
      <c r="CG365" t="s">
        <v>53</v>
      </c>
      <c r="CL365" t="s">
        <v>306</v>
      </c>
      <c r="CM365" t="s">
        <v>1908</v>
      </c>
      <c r="CN365">
        <v>4255907</v>
      </c>
      <c r="CO365" t="s">
        <v>346</v>
      </c>
      <c r="CP365">
        <v>0</v>
      </c>
      <c r="CQ365" t="s">
        <v>53</v>
      </c>
      <c r="CV365" t="s">
        <v>306</v>
      </c>
      <c r="DA365" t="s">
        <v>306</v>
      </c>
      <c r="DB365" t="s">
        <v>1506</v>
      </c>
      <c r="DC365">
        <v>5864340</v>
      </c>
      <c r="DD365" t="s">
        <v>346</v>
      </c>
      <c r="DE365">
        <v>0</v>
      </c>
      <c r="DF365" t="s">
        <v>2209</v>
      </c>
      <c r="DK365" t="s">
        <v>306</v>
      </c>
      <c r="DL365" t="s">
        <v>1506</v>
      </c>
      <c r="DM365">
        <v>5864340</v>
      </c>
      <c r="DN365" t="s">
        <v>346</v>
      </c>
      <c r="DO365">
        <v>0</v>
      </c>
      <c r="DP365" t="s">
        <v>2209</v>
      </c>
      <c r="DU365" t="s">
        <v>306</v>
      </c>
      <c r="DZ365" t="s">
        <v>306</v>
      </c>
      <c r="EA365" t="s">
        <v>1798</v>
      </c>
      <c r="EB365">
        <v>110256</v>
      </c>
      <c r="EC365" t="s">
        <v>346</v>
      </c>
      <c r="ED365">
        <v>0</v>
      </c>
      <c r="EE365" t="s">
        <v>53</v>
      </c>
      <c r="EF365" t="s">
        <v>1506</v>
      </c>
      <c r="EG365">
        <v>5864340</v>
      </c>
      <c r="EH365" t="s">
        <v>346</v>
      </c>
      <c r="EI365">
        <v>0</v>
      </c>
      <c r="EJ365" t="s">
        <v>2209</v>
      </c>
      <c r="EO365" t="s">
        <v>306</v>
      </c>
      <c r="ET365" t="s">
        <v>306</v>
      </c>
      <c r="EY365" t="s">
        <v>306</v>
      </c>
      <c r="FD365" t="s">
        <v>306</v>
      </c>
      <c r="FI365" t="s">
        <v>306</v>
      </c>
      <c r="FN365" t="s">
        <v>306</v>
      </c>
      <c r="FS365" t="s">
        <v>306</v>
      </c>
      <c r="FX365" t="s">
        <v>306</v>
      </c>
      <c r="FY365" t="s">
        <v>1506</v>
      </c>
      <c r="FZ365">
        <v>5864340</v>
      </c>
      <c r="GA365" t="s">
        <v>346</v>
      </c>
      <c r="GB365">
        <v>0</v>
      </c>
      <c r="GC365" t="s">
        <v>2209</v>
      </c>
      <c r="GH365" t="s">
        <v>306</v>
      </c>
      <c r="GM365" t="s">
        <v>306</v>
      </c>
      <c r="GR365" t="s">
        <v>306</v>
      </c>
      <c r="GW365" t="s">
        <v>306</v>
      </c>
      <c r="GX365" t="s">
        <v>1798</v>
      </c>
      <c r="GY365">
        <v>110256</v>
      </c>
      <c r="GZ365" t="s">
        <v>346</v>
      </c>
      <c r="HA365">
        <v>0</v>
      </c>
      <c r="HB365" t="s">
        <v>53</v>
      </c>
      <c r="HG365" t="s">
        <v>306</v>
      </c>
    </row>
    <row r="366" spans="5:215" x14ac:dyDescent="0.35">
      <c r="E366" t="s">
        <v>306</v>
      </c>
      <c r="J366" t="s">
        <v>306</v>
      </c>
      <c r="O366" t="s">
        <v>306</v>
      </c>
      <c r="T366" t="s">
        <v>306</v>
      </c>
      <c r="U366" t="s">
        <v>413</v>
      </c>
      <c r="V366">
        <v>4114882</v>
      </c>
      <c r="W366" t="s">
        <v>346</v>
      </c>
      <c r="X366">
        <v>0</v>
      </c>
      <c r="Y366" t="s">
        <v>80</v>
      </c>
      <c r="AD366" t="s">
        <v>306</v>
      </c>
      <c r="AI366" t="s">
        <v>306</v>
      </c>
      <c r="AN366" t="s">
        <v>306</v>
      </c>
      <c r="AS366" t="s">
        <v>306</v>
      </c>
      <c r="AX366" t="s">
        <v>306</v>
      </c>
      <c r="BC366" t="s">
        <v>306</v>
      </c>
      <c r="BD366" t="s">
        <v>1335</v>
      </c>
      <c r="BE366">
        <v>10308257</v>
      </c>
      <c r="BF366" t="s">
        <v>364</v>
      </c>
      <c r="BG366">
        <v>0</v>
      </c>
      <c r="BH366" t="s">
        <v>62</v>
      </c>
      <c r="BM366" t="s">
        <v>306</v>
      </c>
      <c r="BR366" t="s">
        <v>306</v>
      </c>
      <c r="BS366" t="s">
        <v>749</v>
      </c>
      <c r="BT366">
        <v>109913</v>
      </c>
      <c r="BU366" t="s">
        <v>346</v>
      </c>
      <c r="BV366">
        <v>0</v>
      </c>
      <c r="BW366" t="s">
        <v>53</v>
      </c>
      <c r="BX366" t="s">
        <v>413</v>
      </c>
      <c r="BY366">
        <v>4114882</v>
      </c>
      <c r="BZ366" t="s">
        <v>346</v>
      </c>
      <c r="CA366">
        <v>0</v>
      </c>
      <c r="CB366" t="s">
        <v>80</v>
      </c>
      <c r="CC366" t="s">
        <v>1799</v>
      </c>
      <c r="CD366">
        <v>4291336</v>
      </c>
      <c r="CE366" t="s">
        <v>364</v>
      </c>
      <c r="CF366">
        <v>0</v>
      </c>
      <c r="CG366" t="s">
        <v>114</v>
      </c>
      <c r="CL366" t="s">
        <v>306</v>
      </c>
      <c r="CM366" t="s">
        <v>1864</v>
      </c>
      <c r="CN366">
        <v>15092837</v>
      </c>
      <c r="CO366" t="s">
        <v>346</v>
      </c>
      <c r="CP366">
        <v>0</v>
      </c>
      <c r="CQ366" t="s">
        <v>53</v>
      </c>
      <c r="CV366" t="s">
        <v>306</v>
      </c>
      <c r="DA366" t="s">
        <v>306</v>
      </c>
      <c r="DB366" t="s">
        <v>1335</v>
      </c>
      <c r="DC366">
        <v>10308257</v>
      </c>
      <c r="DD366" t="s">
        <v>364</v>
      </c>
      <c r="DE366">
        <v>0</v>
      </c>
      <c r="DF366" t="s">
        <v>62</v>
      </c>
      <c r="DK366" t="s">
        <v>306</v>
      </c>
      <c r="DL366" t="s">
        <v>1335</v>
      </c>
      <c r="DM366">
        <v>10308257</v>
      </c>
      <c r="DN366" t="s">
        <v>364</v>
      </c>
      <c r="DO366">
        <v>0</v>
      </c>
      <c r="DP366" t="s">
        <v>62</v>
      </c>
      <c r="DU366" t="s">
        <v>306</v>
      </c>
      <c r="DZ366" t="s">
        <v>306</v>
      </c>
      <c r="EA366" t="s">
        <v>1799</v>
      </c>
      <c r="EB366">
        <v>4291336</v>
      </c>
      <c r="EC366" t="s">
        <v>364</v>
      </c>
      <c r="ED366">
        <v>0</v>
      </c>
      <c r="EE366" t="s">
        <v>114</v>
      </c>
      <c r="EF366" t="s">
        <v>1335</v>
      </c>
      <c r="EG366">
        <v>10308257</v>
      </c>
      <c r="EH366" t="s">
        <v>364</v>
      </c>
      <c r="EI366">
        <v>0</v>
      </c>
      <c r="EJ366" t="s">
        <v>62</v>
      </c>
      <c r="EO366" t="s">
        <v>306</v>
      </c>
      <c r="ET366" t="s">
        <v>306</v>
      </c>
      <c r="EY366" t="s">
        <v>306</v>
      </c>
      <c r="FD366" t="s">
        <v>306</v>
      </c>
      <c r="FI366" t="s">
        <v>306</v>
      </c>
      <c r="FN366" t="s">
        <v>306</v>
      </c>
      <c r="FS366" t="s">
        <v>306</v>
      </c>
      <c r="FX366" t="s">
        <v>306</v>
      </c>
      <c r="FY366" t="s">
        <v>1335</v>
      </c>
      <c r="FZ366">
        <v>10308257</v>
      </c>
      <c r="GA366" t="s">
        <v>364</v>
      </c>
      <c r="GB366">
        <v>0</v>
      </c>
      <c r="GC366" t="s">
        <v>62</v>
      </c>
      <c r="GH366" t="s">
        <v>306</v>
      </c>
      <c r="GM366" t="s">
        <v>306</v>
      </c>
      <c r="GR366" t="s">
        <v>306</v>
      </c>
      <c r="GW366" t="s">
        <v>306</v>
      </c>
      <c r="GX366" t="s">
        <v>1799</v>
      </c>
      <c r="GY366">
        <v>4291336</v>
      </c>
      <c r="GZ366" t="s">
        <v>364</v>
      </c>
      <c r="HA366">
        <v>0</v>
      </c>
      <c r="HB366" t="s">
        <v>114</v>
      </c>
      <c r="HG366" t="s">
        <v>306</v>
      </c>
    </row>
    <row r="367" spans="5:215" x14ac:dyDescent="0.35">
      <c r="E367" t="s">
        <v>306</v>
      </c>
      <c r="J367" t="s">
        <v>306</v>
      </c>
      <c r="O367" t="s">
        <v>306</v>
      </c>
      <c r="T367" t="s">
        <v>306</v>
      </c>
      <c r="U367" t="s">
        <v>628</v>
      </c>
      <c r="V367">
        <v>4289501</v>
      </c>
      <c r="W367" t="s">
        <v>346</v>
      </c>
      <c r="X367">
        <v>0</v>
      </c>
      <c r="Y367" t="s">
        <v>313</v>
      </c>
      <c r="AD367" t="s">
        <v>306</v>
      </c>
      <c r="AI367" t="s">
        <v>306</v>
      </c>
      <c r="AN367" t="s">
        <v>306</v>
      </c>
      <c r="AS367" t="s">
        <v>306</v>
      </c>
      <c r="AX367" t="s">
        <v>306</v>
      </c>
      <c r="BC367" t="s">
        <v>306</v>
      </c>
      <c r="BD367" t="s">
        <v>1507</v>
      </c>
      <c r="BE367">
        <v>4138242</v>
      </c>
      <c r="BF367" t="s">
        <v>346</v>
      </c>
      <c r="BG367">
        <v>0</v>
      </c>
      <c r="BH367" t="s">
        <v>2184</v>
      </c>
      <c r="BM367" t="s">
        <v>306</v>
      </c>
      <c r="BR367" t="s">
        <v>306</v>
      </c>
      <c r="BS367" t="s">
        <v>764</v>
      </c>
      <c r="BT367">
        <v>5879252</v>
      </c>
      <c r="BU367" t="s">
        <v>346</v>
      </c>
      <c r="BV367">
        <v>0</v>
      </c>
      <c r="BW367" t="s">
        <v>50</v>
      </c>
      <c r="BX367" t="s">
        <v>628</v>
      </c>
      <c r="BY367">
        <v>4289501</v>
      </c>
      <c r="BZ367" t="s">
        <v>346</v>
      </c>
      <c r="CA367">
        <v>0</v>
      </c>
      <c r="CB367" t="s">
        <v>313</v>
      </c>
      <c r="CC367" t="s">
        <v>1800</v>
      </c>
      <c r="CD367">
        <v>4244873</v>
      </c>
      <c r="CE367" t="s">
        <v>346</v>
      </c>
      <c r="CF367">
        <v>0</v>
      </c>
      <c r="CG367" t="s">
        <v>114</v>
      </c>
      <c r="CL367" t="s">
        <v>306</v>
      </c>
      <c r="CM367" t="s">
        <v>1854</v>
      </c>
      <c r="CN367">
        <v>4117722</v>
      </c>
      <c r="CO367" t="s">
        <v>346</v>
      </c>
      <c r="CP367">
        <v>0</v>
      </c>
      <c r="CQ367" t="s">
        <v>53</v>
      </c>
      <c r="CV367" t="s">
        <v>306</v>
      </c>
      <c r="DA367" t="s">
        <v>306</v>
      </c>
      <c r="DB367" t="s">
        <v>1507</v>
      </c>
      <c r="DC367">
        <v>4138242</v>
      </c>
      <c r="DD367" t="s">
        <v>346</v>
      </c>
      <c r="DE367">
        <v>0</v>
      </c>
      <c r="DF367" t="s">
        <v>2184</v>
      </c>
      <c r="DK367" t="s">
        <v>306</v>
      </c>
      <c r="DL367" t="s">
        <v>1507</v>
      </c>
      <c r="DM367">
        <v>4138242</v>
      </c>
      <c r="DN367" t="s">
        <v>346</v>
      </c>
      <c r="DO367">
        <v>0</v>
      </c>
      <c r="DP367" t="s">
        <v>2184</v>
      </c>
      <c r="DU367" t="s">
        <v>306</v>
      </c>
      <c r="DZ367" t="s">
        <v>306</v>
      </c>
      <c r="EA367" t="s">
        <v>1800</v>
      </c>
      <c r="EB367">
        <v>4244873</v>
      </c>
      <c r="EC367" t="s">
        <v>346</v>
      </c>
      <c r="ED367">
        <v>0</v>
      </c>
      <c r="EE367" t="s">
        <v>114</v>
      </c>
      <c r="EF367" t="s">
        <v>1507</v>
      </c>
      <c r="EG367">
        <v>4138242</v>
      </c>
      <c r="EH367" t="s">
        <v>346</v>
      </c>
      <c r="EI367">
        <v>0</v>
      </c>
      <c r="EJ367" t="s">
        <v>2184</v>
      </c>
      <c r="EO367" t="s">
        <v>306</v>
      </c>
      <c r="ET367" t="s">
        <v>306</v>
      </c>
      <c r="EY367" t="s">
        <v>306</v>
      </c>
      <c r="FD367" t="s">
        <v>306</v>
      </c>
      <c r="FI367" t="s">
        <v>306</v>
      </c>
      <c r="FN367" t="s">
        <v>306</v>
      </c>
      <c r="FS367" t="s">
        <v>306</v>
      </c>
      <c r="FX367" t="s">
        <v>306</v>
      </c>
      <c r="FY367" t="s">
        <v>1507</v>
      </c>
      <c r="FZ367">
        <v>4138242</v>
      </c>
      <c r="GA367" t="s">
        <v>346</v>
      </c>
      <c r="GB367">
        <v>0</v>
      </c>
      <c r="GC367" t="s">
        <v>2184</v>
      </c>
      <c r="GH367" t="s">
        <v>306</v>
      </c>
      <c r="GM367" t="s">
        <v>306</v>
      </c>
      <c r="GR367" t="s">
        <v>306</v>
      </c>
      <c r="GW367" t="s">
        <v>306</v>
      </c>
      <c r="GX367" t="s">
        <v>1800</v>
      </c>
      <c r="GY367">
        <v>4244873</v>
      </c>
      <c r="GZ367" t="s">
        <v>346</v>
      </c>
      <c r="HA367">
        <v>0</v>
      </c>
      <c r="HB367" t="s">
        <v>114</v>
      </c>
      <c r="HG367" t="s">
        <v>306</v>
      </c>
    </row>
    <row r="368" spans="5:215" x14ac:dyDescent="0.35">
      <c r="E368" t="s">
        <v>306</v>
      </c>
      <c r="J368" t="s">
        <v>306</v>
      </c>
      <c r="O368" t="s">
        <v>306</v>
      </c>
      <c r="T368" t="s">
        <v>306</v>
      </c>
      <c r="U368" t="s">
        <v>906</v>
      </c>
      <c r="V368">
        <v>5880770</v>
      </c>
      <c r="W368" t="s">
        <v>346</v>
      </c>
      <c r="X368">
        <v>0</v>
      </c>
      <c r="Y368" t="s">
        <v>50</v>
      </c>
      <c r="AD368" t="s">
        <v>306</v>
      </c>
      <c r="AI368" t="s">
        <v>306</v>
      </c>
      <c r="AN368" t="s">
        <v>306</v>
      </c>
      <c r="AS368" t="s">
        <v>306</v>
      </c>
      <c r="AX368" t="s">
        <v>306</v>
      </c>
      <c r="BC368" t="s">
        <v>306</v>
      </c>
      <c r="BD368" t="s">
        <v>1291</v>
      </c>
      <c r="BE368">
        <v>5868733</v>
      </c>
      <c r="BF368" t="s">
        <v>346</v>
      </c>
      <c r="BG368">
        <v>0</v>
      </c>
      <c r="BH368" t="s">
        <v>62</v>
      </c>
      <c r="BM368" t="s">
        <v>306</v>
      </c>
      <c r="BR368" t="s">
        <v>306</v>
      </c>
      <c r="BS368" t="s">
        <v>1043</v>
      </c>
      <c r="BT368">
        <v>4975448</v>
      </c>
      <c r="BU368" t="s">
        <v>364</v>
      </c>
      <c r="BV368">
        <v>0</v>
      </c>
      <c r="BW368" t="s">
        <v>326</v>
      </c>
      <c r="BX368" t="s">
        <v>906</v>
      </c>
      <c r="BY368">
        <v>5880770</v>
      </c>
      <c r="BZ368" t="s">
        <v>346</v>
      </c>
      <c r="CA368">
        <v>0</v>
      </c>
      <c r="CB368" t="s">
        <v>50</v>
      </c>
      <c r="CC368" t="s">
        <v>1801</v>
      </c>
      <c r="CD368">
        <v>4376761</v>
      </c>
      <c r="CE368" t="s">
        <v>366</v>
      </c>
      <c r="CF368">
        <v>0</v>
      </c>
      <c r="CG368" t="s">
        <v>53</v>
      </c>
      <c r="CL368" t="s">
        <v>306</v>
      </c>
      <c r="CM368" t="s">
        <v>2057</v>
      </c>
      <c r="CN368">
        <v>4117370</v>
      </c>
      <c r="CO368" t="s">
        <v>346</v>
      </c>
      <c r="CP368">
        <v>0</v>
      </c>
      <c r="CQ368" t="s">
        <v>53</v>
      </c>
      <c r="CV368" t="s">
        <v>306</v>
      </c>
      <c r="DA368" t="s">
        <v>306</v>
      </c>
      <c r="DB368" t="s">
        <v>1291</v>
      </c>
      <c r="DC368">
        <v>5868733</v>
      </c>
      <c r="DD368" t="s">
        <v>346</v>
      </c>
      <c r="DE368">
        <v>0</v>
      </c>
      <c r="DF368" t="s">
        <v>62</v>
      </c>
      <c r="DK368" t="s">
        <v>306</v>
      </c>
      <c r="DL368" t="s">
        <v>1291</v>
      </c>
      <c r="DM368">
        <v>5868733</v>
      </c>
      <c r="DN368" t="s">
        <v>346</v>
      </c>
      <c r="DO368">
        <v>0</v>
      </c>
      <c r="DP368" t="s">
        <v>62</v>
      </c>
      <c r="DU368" t="s">
        <v>306</v>
      </c>
      <c r="DZ368" t="s">
        <v>306</v>
      </c>
      <c r="EA368" t="s">
        <v>1801</v>
      </c>
      <c r="EB368">
        <v>4376761</v>
      </c>
      <c r="EC368" t="s">
        <v>366</v>
      </c>
      <c r="ED368">
        <v>0</v>
      </c>
      <c r="EE368" t="s">
        <v>53</v>
      </c>
      <c r="EF368" t="s">
        <v>1291</v>
      </c>
      <c r="EG368">
        <v>5868733</v>
      </c>
      <c r="EH368" t="s">
        <v>346</v>
      </c>
      <c r="EI368">
        <v>0</v>
      </c>
      <c r="EJ368" t="s">
        <v>62</v>
      </c>
      <c r="EO368" t="s">
        <v>306</v>
      </c>
      <c r="ET368" t="s">
        <v>306</v>
      </c>
      <c r="EY368" t="s">
        <v>306</v>
      </c>
      <c r="FD368" t="s">
        <v>306</v>
      </c>
      <c r="FI368" t="s">
        <v>306</v>
      </c>
      <c r="FN368" t="s">
        <v>306</v>
      </c>
      <c r="FS368" t="s">
        <v>306</v>
      </c>
      <c r="FX368" t="s">
        <v>306</v>
      </c>
      <c r="FY368" t="s">
        <v>1291</v>
      </c>
      <c r="FZ368">
        <v>5868733</v>
      </c>
      <c r="GA368" t="s">
        <v>346</v>
      </c>
      <c r="GB368">
        <v>0</v>
      </c>
      <c r="GC368" t="s">
        <v>62</v>
      </c>
      <c r="GH368" t="s">
        <v>306</v>
      </c>
      <c r="GM368" t="s">
        <v>306</v>
      </c>
      <c r="GR368" t="s">
        <v>306</v>
      </c>
      <c r="GW368" t="s">
        <v>306</v>
      </c>
      <c r="GX368" t="s">
        <v>1801</v>
      </c>
      <c r="GY368">
        <v>4376761</v>
      </c>
      <c r="GZ368" t="s">
        <v>366</v>
      </c>
      <c r="HA368">
        <v>0</v>
      </c>
      <c r="HB368" t="s">
        <v>53</v>
      </c>
      <c r="HG368" t="s">
        <v>306</v>
      </c>
    </row>
    <row r="369" spans="5:215" x14ac:dyDescent="0.35">
      <c r="E369" t="s">
        <v>306</v>
      </c>
      <c r="J369" t="s">
        <v>306</v>
      </c>
      <c r="O369" t="s">
        <v>306</v>
      </c>
      <c r="T369" t="s">
        <v>306</v>
      </c>
      <c r="U369" t="s">
        <v>395</v>
      </c>
      <c r="V369">
        <v>4153606</v>
      </c>
      <c r="W369" t="s">
        <v>346</v>
      </c>
      <c r="X369">
        <v>0</v>
      </c>
      <c r="Y369" t="s">
        <v>53</v>
      </c>
      <c r="AD369" t="s">
        <v>306</v>
      </c>
      <c r="AI369" t="s">
        <v>306</v>
      </c>
      <c r="AN369" t="s">
        <v>306</v>
      </c>
      <c r="AS369" t="s">
        <v>306</v>
      </c>
      <c r="AX369" t="s">
        <v>306</v>
      </c>
      <c r="BC369" t="s">
        <v>306</v>
      </c>
      <c r="BD369" t="s">
        <v>1298</v>
      </c>
      <c r="BE369">
        <v>112262714</v>
      </c>
      <c r="BF369" t="s">
        <v>346</v>
      </c>
      <c r="BG369">
        <v>0</v>
      </c>
      <c r="BH369" t="s">
        <v>306</v>
      </c>
      <c r="BM369" t="s">
        <v>306</v>
      </c>
      <c r="BR369" t="s">
        <v>306</v>
      </c>
      <c r="BS369" t="s">
        <v>1044</v>
      </c>
      <c r="BT369">
        <v>4553851</v>
      </c>
      <c r="BU369" t="s">
        <v>346</v>
      </c>
      <c r="BV369">
        <v>0</v>
      </c>
      <c r="BW369" t="s">
        <v>320</v>
      </c>
      <c r="BX369" t="s">
        <v>395</v>
      </c>
      <c r="BY369">
        <v>4153606</v>
      </c>
      <c r="BZ369" t="s">
        <v>346</v>
      </c>
      <c r="CA369">
        <v>0</v>
      </c>
      <c r="CB369" t="s">
        <v>53</v>
      </c>
      <c r="CC369" t="s">
        <v>1802</v>
      </c>
      <c r="CD369">
        <v>4669030</v>
      </c>
      <c r="CE369" t="s">
        <v>346</v>
      </c>
      <c r="CF369">
        <v>0</v>
      </c>
      <c r="CG369" t="s">
        <v>53</v>
      </c>
      <c r="CL369" t="s">
        <v>306</v>
      </c>
      <c r="CM369" t="s">
        <v>2058</v>
      </c>
      <c r="CN369">
        <v>109413</v>
      </c>
      <c r="CO369" t="s">
        <v>346</v>
      </c>
      <c r="CP369">
        <v>0</v>
      </c>
      <c r="CQ369" t="s">
        <v>53</v>
      </c>
      <c r="CV369" t="s">
        <v>306</v>
      </c>
      <c r="DA369" t="s">
        <v>306</v>
      </c>
      <c r="DB369" t="s">
        <v>1298</v>
      </c>
      <c r="DC369">
        <v>112262714</v>
      </c>
      <c r="DD369" t="s">
        <v>346</v>
      </c>
      <c r="DE369">
        <v>0</v>
      </c>
      <c r="DF369" t="s">
        <v>306</v>
      </c>
      <c r="DK369" t="s">
        <v>306</v>
      </c>
      <c r="DL369" t="s">
        <v>1298</v>
      </c>
      <c r="DM369">
        <v>112262714</v>
      </c>
      <c r="DN369" t="s">
        <v>346</v>
      </c>
      <c r="DO369">
        <v>0</v>
      </c>
      <c r="DP369" t="s">
        <v>306</v>
      </c>
      <c r="DU369" t="s">
        <v>306</v>
      </c>
      <c r="DZ369" t="s">
        <v>306</v>
      </c>
      <c r="EA369" t="s">
        <v>1802</v>
      </c>
      <c r="EB369">
        <v>4669030</v>
      </c>
      <c r="EC369" t="s">
        <v>346</v>
      </c>
      <c r="ED369">
        <v>0</v>
      </c>
      <c r="EE369" t="s">
        <v>53</v>
      </c>
      <c r="EF369" t="s">
        <v>1298</v>
      </c>
      <c r="EG369">
        <v>112262714</v>
      </c>
      <c r="EH369" t="s">
        <v>346</v>
      </c>
      <c r="EI369">
        <v>0</v>
      </c>
      <c r="EJ369" t="s">
        <v>306</v>
      </c>
      <c r="EO369" t="s">
        <v>306</v>
      </c>
      <c r="ET369" t="s">
        <v>306</v>
      </c>
      <c r="EY369" t="s">
        <v>306</v>
      </c>
      <c r="FD369" t="s">
        <v>306</v>
      </c>
      <c r="FI369" t="s">
        <v>306</v>
      </c>
      <c r="FN369" t="s">
        <v>306</v>
      </c>
      <c r="FS369" t="s">
        <v>306</v>
      </c>
      <c r="FX369" t="s">
        <v>306</v>
      </c>
      <c r="FY369" t="s">
        <v>1298</v>
      </c>
      <c r="FZ369">
        <v>112262714</v>
      </c>
      <c r="GA369" t="s">
        <v>346</v>
      </c>
      <c r="GB369">
        <v>0</v>
      </c>
      <c r="GC369" t="s">
        <v>306</v>
      </c>
      <c r="GH369" t="s">
        <v>306</v>
      </c>
      <c r="GM369" t="s">
        <v>306</v>
      </c>
      <c r="GR369" t="s">
        <v>306</v>
      </c>
      <c r="GW369" t="s">
        <v>306</v>
      </c>
      <c r="GX369" t="s">
        <v>1802</v>
      </c>
      <c r="GY369">
        <v>4669030</v>
      </c>
      <c r="GZ369" t="s">
        <v>346</v>
      </c>
      <c r="HA369">
        <v>0</v>
      </c>
      <c r="HB369" t="s">
        <v>53</v>
      </c>
      <c r="HG369" t="s">
        <v>306</v>
      </c>
    </row>
    <row r="370" spans="5:215" x14ac:dyDescent="0.35">
      <c r="E370" t="s">
        <v>306</v>
      </c>
      <c r="J370" t="s">
        <v>306</v>
      </c>
      <c r="O370" t="s">
        <v>306</v>
      </c>
      <c r="T370" t="s">
        <v>306</v>
      </c>
      <c r="U370" t="s">
        <v>577</v>
      </c>
      <c r="V370">
        <v>4026915</v>
      </c>
      <c r="W370" t="s">
        <v>346</v>
      </c>
      <c r="X370">
        <v>0</v>
      </c>
      <c r="Y370" t="s">
        <v>53</v>
      </c>
      <c r="AD370" t="s">
        <v>306</v>
      </c>
      <c r="AI370" t="s">
        <v>306</v>
      </c>
      <c r="AN370" t="s">
        <v>306</v>
      </c>
      <c r="AS370" t="s">
        <v>306</v>
      </c>
      <c r="AX370" t="s">
        <v>306</v>
      </c>
      <c r="BC370" t="s">
        <v>306</v>
      </c>
      <c r="BD370" t="s">
        <v>523</v>
      </c>
      <c r="BE370">
        <v>7060057</v>
      </c>
      <c r="BF370" t="s">
        <v>346</v>
      </c>
      <c r="BG370">
        <v>0</v>
      </c>
      <c r="BH370" t="s">
        <v>320</v>
      </c>
      <c r="BM370" t="s">
        <v>306</v>
      </c>
      <c r="BR370" t="s">
        <v>306</v>
      </c>
      <c r="BS370" t="s">
        <v>408</v>
      </c>
      <c r="BT370">
        <v>4138917</v>
      </c>
      <c r="BU370" t="s">
        <v>346</v>
      </c>
      <c r="BV370">
        <v>0</v>
      </c>
      <c r="BW370" t="s">
        <v>125</v>
      </c>
      <c r="BX370" t="s">
        <v>577</v>
      </c>
      <c r="BY370">
        <v>4026915</v>
      </c>
      <c r="BZ370" t="s">
        <v>346</v>
      </c>
      <c r="CA370">
        <v>0</v>
      </c>
      <c r="CB370" t="s">
        <v>53</v>
      </c>
      <c r="CC370" t="s">
        <v>589</v>
      </c>
      <c r="CD370">
        <v>4140617</v>
      </c>
      <c r="CE370" t="s">
        <v>346</v>
      </c>
      <c r="CF370">
        <v>0</v>
      </c>
      <c r="CG370" t="s">
        <v>320</v>
      </c>
      <c r="CL370" t="s">
        <v>306</v>
      </c>
      <c r="CM370" t="s">
        <v>2059</v>
      </c>
      <c r="CN370">
        <v>19315994</v>
      </c>
      <c r="CO370" t="s">
        <v>346</v>
      </c>
      <c r="CP370">
        <v>0</v>
      </c>
      <c r="CQ370" t="s">
        <v>53</v>
      </c>
      <c r="CV370" t="s">
        <v>306</v>
      </c>
      <c r="DA370" t="s">
        <v>306</v>
      </c>
      <c r="DB370" t="s">
        <v>523</v>
      </c>
      <c r="DC370">
        <v>7060057</v>
      </c>
      <c r="DD370" t="s">
        <v>346</v>
      </c>
      <c r="DE370">
        <v>0</v>
      </c>
      <c r="DF370" t="s">
        <v>320</v>
      </c>
      <c r="DK370" t="s">
        <v>306</v>
      </c>
      <c r="DL370" t="s">
        <v>523</v>
      </c>
      <c r="DM370">
        <v>7060057</v>
      </c>
      <c r="DN370" t="s">
        <v>346</v>
      </c>
      <c r="DO370">
        <v>0</v>
      </c>
      <c r="DP370" t="s">
        <v>320</v>
      </c>
      <c r="DU370" t="s">
        <v>306</v>
      </c>
      <c r="DZ370" t="s">
        <v>306</v>
      </c>
      <c r="EA370" t="s">
        <v>589</v>
      </c>
      <c r="EB370">
        <v>4140617</v>
      </c>
      <c r="EC370" t="s">
        <v>346</v>
      </c>
      <c r="ED370">
        <v>0</v>
      </c>
      <c r="EE370" t="s">
        <v>320</v>
      </c>
      <c r="EF370" t="s">
        <v>523</v>
      </c>
      <c r="EG370">
        <v>7060057</v>
      </c>
      <c r="EH370" t="s">
        <v>346</v>
      </c>
      <c r="EI370">
        <v>0</v>
      </c>
      <c r="EJ370" t="s">
        <v>320</v>
      </c>
      <c r="EO370" t="s">
        <v>306</v>
      </c>
      <c r="ET370" t="s">
        <v>306</v>
      </c>
      <c r="EY370" t="s">
        <v>306</v>
      </c>
      <c r="FD370" t="s">
        <v>306</v>
      </c>
      <c r="FI370" t="s">
        <v>306</v>
      </c>
      <c r="FN370" t="s">
        <v>306</v>
      </c>
      <c r="FS370" t="s">
        <v>306</v>
      </c>
      <c r="FX370" t="s">
        <v>306</v>
      </c>
      <c r="FY370" t="s">
        <v>523</v>
      </c>
      <c r="FZ370">
        <v>7060057</v>
      </c>
      <c r="GA370" t="s">
        <v>346</v>
      </c>
      <c r="GB370">
        <v>0</v>
      </c>
      <c r="GC370" t="s">
        <v>320</v>
      </c>
      <c r="GH370" t="s">
        <v>306</v>
      </c>
      <c r="GM370" t="s">
        <v>306</v>
      </c>
      <c r="GR370" t="s">
        <v>306</v>
      </c>
      <c r="GW370" t="s">
        <v>306</v>
      </c>
      <c r="GX370" t="s">
        <v>589</v>
      </c>
      <c r="GY370">
        <v>4140617</v>
      </c>
      <c r="GZ370" t="s">
        <v>346</v>
      </c>
      <c r="HA370">
        <v>0</v>
      </c>
      <c r="HB370" t="s">
        <v>320</v>
      </c>
      <c r="HG370" t="s">
        <v>306</v>
      </c>
    </row>
    <row r="371" spans="5:215" x14ac:dyDescent="0.35">
      <c r="E371" t="s">
        <v>306</v>
      </c>
      <c r="J371" t="s">
        <v>306</v>
      </c>
      <c r="O371" t="s">
        <v>306</v>
      </c>
      <c r="T371" t="s">
        <v>306</v>
      </c>
      <c r="U371" t="s">
        <v>907</v>
      </c>
      <c r="V371">
        <v>109931</v>
      </c>
      <c r="W371" t="s">
        <v>346</v>
      </c>
      <c r="X371">
        <v>0</v>
      </c>
      <c r="Y371" t="s">
        <v>53</v>
      </c>
      <c r="AD371" t="s">
        <v>306</v>
      </c>
      <c r="AI371" t="s">
        <v>306</v>
      </c>
      <c r="AN371" t="s">
        <v>306</v>
      </c>
      <c r="AS371" t="s">
        <v>306</v>
      </c>
      <c r="AX371" t="s">
        <v>306</v>
      </c>
      <c r="BC371" t="s">
        <v>306</v>
      </c>
      <c r="BD371" t="s">
        <v>1508</v>
      </c>
      <c r="BE371">
        <v>4139118</v>
      </c>
      <c r="BF371" t="s">
        <v>346</v>
      </c>
      <c r="BG371">
        <v>0</v>
      </c>
      <c r="BH371" t="s">
        <v>2184</v>
      </c>
      <c r="BM371" t="s">
        <v>306</v>
      </c>
      <c r="BR371" t="s">
        <v>306</v>
      </c>
      <c r="BS371" t="s">
        <v>577</v>
      </c>
      <c r="BT371">
        <v>4026915</v>
      </c>
      <c r="BU371" t="s">
        <v>346</v>
      </c>
      <c r="BV371">
        <v>0</v>
      </c>
      <c r="BW371" t="s">
        <v>53</v>
      </c>
      <c r="BX371" t="s">
        <v>907</v>
      </c>
      <c r="BY371">
        <v>109931</v>
      </c>
      <c r="BZ371" t="s">
        <v>346</v>
      </c>
      <c r="CA371">
        <v>0</v>
      </c>
      <c r="CB371" t="s">
        <v>53</v>
      </c>
      <c r="CC371" t="s">
        <v>1803</v>
      </c>
      <c r="CD371">
        <v>4663442</v>
      </c>
      <c r="CE371" t="s">
        <v>364</v>
      </c>
      <c r="CF371">
        <v>0</v>
      </c>
      <c r="CG371" t="s">
        <v>53</v>
      </c>
      <c r="CL371" t="s">
        <v>306</v>
      </c>
      <c r="CM371" t="s">
        <v>1356</v>
      </c>
      <c r="CN371">
        <v>5830723</v>
      </c>
      <c r="CO371" t="s">
        <v>346</v>
      </c>
      <c r="CP371">
        <v>0</v>
      </c>
      <c r="CQ371" t="s">
        <v>62</v>
      </c>
      <c r="CV371" t="s">
        <v>306</v>
      </c>
      <c r="DA371" t="s">
        <v>306</v>
      </c>
      <c r="DB371" t="s">
        <v>1508</v>
      </c>
      <c r="DC371">
        <v>4139118</v>
      </c>
      <c r="DD371" t="s">
        <v>346</v>
      </c>
      <c r="DE371">
        <v>0</v>
      </c>
      <c r="DF371" t="s">
        <v>2184</v>
      </c>
      <c r="DK371" t="s">
        <v>306</v>
      </c>
      <c r="DL371" t="s">
        <v>1508</v>
      </c>
      <c r="DM371">
        <v>4139118</v>
      </c>
      <c r="DN371" t="s">
        <v>346</v>
      </c>
      <c r="DO371">
        <v>0</v>
      </c>
      <c r="DP371" t="s">
        <v>2184</v>
      </c>
      <c r="DU371" t="s">
        <v>306</v>
      </c>
      <c r="DZ371" t="s">
        <v>306</v>
      </c>
      <c r="EA371" t="s">
        <v>1803</v>
      </c>
      <c r="EB371">
        <v>4663442</v>
      </c>
      <c r="EC371" t="s">
        <v>364</v>
      </c>
      <c r="ED371">
        <v>0</v>
      </c>
      <c r="EE371" t="s">
        <v>53</v>
      </c>
      <c r="EF371" t="s">
        <v>1508</v>
      </c>
      <c r="EG371">
        <v>4139118</v>
      </c>
      <c r="EH371" t="s">
        <v>346</v>
      </c>
      <c r="EI371">
        <v>0</v>
      </c>
      <c r="EJ371" t="s">
        <v>2184</v>
      </c>
      <c r="EO371" t="s">
        <v>306</v>
      </c>
      <c r="ET371" t="s">
        <v>306</v>
      </c>
      <c r="EY371" t="s">
        <v>306</v>
      </c>
      <c r="FD371" t="s">
        <v>306</v>
      </c>
      <c r="FI371" t="s">
        <v>306</v>
      </c>
      <c r="FN371" t="s">
        <v>306</v>
      </c>
      <c r="FS371" t="s">
        <v>306</v>
      </c>
      <c r="FX371" t="s">
        <v>306</v>
      </c>
      <c r="FY371" t="s">
        <v>1508</v>
      </c>
      <c r="FZ371">
        <v>4139118</v>
      </c>
      <c r="GA371" t="s">
        <v>346</v>
      </c>
      <c r="GB371">
        <v>0</v>
      </c>
      <c r="GC371" t="s">
        <v>2184</v>
      </c>
      <c r="GH371" t="s">
        <v>306</v>
      </c>
      <c r="GM371" t="s">
        <v>306</v>
      </c>
      <c r="GR371" t="s">
        <v>306</v>
      </c>
      <c r="GW371" t="s">
        <v>306</v>
      </c>
      <c r="GX371" t="s">
        <v>1803</v>
      </c>
      <c r="GY371">
        <v>4663442</v>
      </c>
      <c r="GZ371" t="s">
        <v>364</v>
      </c>
      <c r="HA371">
        <v>0</v>
      </c>
      <c r="HB371" t="s">
        <v>53</v>
      </c>
      <c r="HG371" t="s">
        <v>306</v>
      </c>
    </row>
    <row r="372" spans="5:215" x14ac:dyDescent="0.35">
      <c r="E372" t="s">
        <v>306</v>
      </c>
      <c r="J372" t="s">
        <v>306</v>
      </c>
      <c r="O372" t="s">
        <v>306</v>
      </c>
      <c r="T372" t="s">
        <v>306</v>
      </c>
      <c r="U372" t="s">
        <v>908</v>
      </c>
      <c r="V372">
        <v>4138232</v>
      </c>
      <c r="W372" t="s">
        <v>366</v>
      </c>
      <c r="X372">
        <v>0</v>
      </c>
      <c r="Y372" t="s">
        <v>50</v>
      </c>
      <c r="AD372" t="s">
        <v>306</v>
      </c>
      <c r="AI372" t="s">
        <v>306</v>
      </c>
      <c r="AN372" t="s">
        <v>306</v>
      </c>
      <c r="AS372" t="s">
        <v>306</v>
      </c>
      <c r="AX372" t="s">
        <v>306</v>
      </c>
      <c r="BC372" t="s">
        <v>306</v>
      </c>
      <c r="BD372" t="s">
        <v>1083</v>
      </c>
      <c r="BE372">
        <v>6723524</v>
      </c>
      <c r="BF372" t="s">
        <v>346</v>
      </c>
      <c r="BG372">
        <v>0</v>
      </c>
      <c r="BH372" t="s">
        <v>320</v>
      </c>
      <c r="BM372" t="s">
        <v>306</v>
      </c>
      <c r="BR372" t="s">
        <v>306</v>
      </c>
      <c r="BS372" t="s">
        <v>790</v>
      </c>
      <c r="BT372">
        <v>5883003</v>
      </c>
      <c r="BU372" t="s">
        <v>346</v>
      </c>
      <c r="BV372">
        <v>0</v>
      </c>
      <c r="BW372" t="s">
        <v>50</v>
      </c>
      <c r="BX372" t="s">
        <v>908</v>
      </c>
      <c r="BY372">
        <v>4138232</v>
      </c>
      <c r="BZ372" t="s">
        <v>366</v>
      </c>
      <c r="CA372">
        <v>0</v>
      </c>
      <c r="CB372" t="s">
        <v>50</v>
      </c>
      <c r="CC372" t="s">
        <v>1804</v>
      </c>
      <c r="CD372">
        <v>5764337</v>
      </c>
      <c r="CE372" t="s">
        <v>364</v>
      </c>
      <c r="CF372">
        <v>0</v>
      </c>
      <c r="CG372" t="s">
        <v>2208</v>
      </c>
      <c r="CL372" t="s">
        <v>306</v>
      </c>
      <c r="CM372" t="s">
        <v>2060</v>
      </c>
      <c r="CN372">
        <v>7974210</v>
      </c>
      <c r="CO372" t="s">
        <v>276</v>
      </c>
      <c r="CP372">
        <v>0</v>
      </c>
      <c r="CQ372" t="s">
        <v>53</v>
      </c>
      <c r="CV372" t="s">
        <v>306</v>
      </c>
      <c r="DA372" t="s">
        <v>306</v>
      </c>
      <c r="DB372" t="s">
        <v>1083</v>
      </c>
      <c r="DC372">
        <v>6723524</v>
      </c>
      <c r="DD372" t="s">
        <v>346</v>
      </c>
      <c r="DE372">
        <v>0</v>
      </c>
      <c r="DF372" t="s">
        <v>320</v>
      </c>
      <c r="DK372" t="s">
        <v>306</v>
      </c>
      <c r="DL372" t="s">
        <v>1083</v>
      </c>
      <c r="DM372">
        <v>6723524</v>
      </c>
      <c r="DN372" t="s">
        <v>346</v>
      </c>
      <c r="DO372">
        <v>0</v>
      </c>
      <c r="DP372" t="s">
        <v>320</v>
      </c>
      <c r="DU372" t="s">
        <v>306</v>
      </c>
      <c r="DZ372" t="s">
        <v>306</v>
      </c>
      <c r="EA372" t="s">
        <v>1804</v>
      </c>
      <c r="EB372">
        <v>5764337</v>
      </c>
      <c r="EC372" t="s">
        <v>364</v>
      </c>
      <c r="ED372">
        <v>0</v>
      </c>
      <c r="EE372" t="s">
        <v>2208</v>
      </c>
      <c r="EF372" t="s">
        <v>1083</v>
      </c>
      <c r="EG372">
        <v>6723524</v>
      </c>
      <c r="EH372" t="s">
        <v>346</v>
      </c>
      <c r="EI372">
        <v>0</v>
      </c>
      <c r="EJ372" t="s">
        <v>320</v>
      </c>
      <c r="EO372" t="s">
        <v>306</v>
      </c>
      <c r="ET372" t="s">
        <v>306</v>
      </c>
      <c r="EY372" t="s">
        <v>306</v>
      </c>
      <c r="FD372" t="s">
        <v>306</v>
      </c>
      <c r="FI372" t="s">
        <v>306</v>
      </c>
      <c r="FN372" t="s">
        <v>306</v>
      </c>
      <c r="FS372" t="s">
        <v>306</v>
      </c>
      <c r="FX372" t="s">
        <v>306</v>
      </c>
      <c r="FY372" t="s">
        <v>1083</v>
      </c>
      <c r="FZ372">
        <v>6723524</v>
      </c>
      <c r="GA372" t="s">
        <v>346</v>
      </c>
      <c r="GB372">
        <v>0</v>
      </c>
      <c r="GC372" t="s">
        <v>320</v>
      </c>
      <c r="GH372" t="s">
        <v>306</v>
      </c>
      <c r="GM372" t="s">
        <v>306</v>
      </c>
      <c r="GR372" t="s">
        <v>306</v>
      </c>
      <c r="GW372" t="s">
        <v>306</v>
      </c>
      <c r="GX372" t="s">
        <v>1804</v>
      </c>
      <c r="GY372">
        <v>5764337</v>
      </c>
      <c r="GZ372" t="s">
        <v>364</v>
      </c>
      <c r="HA372">
        <v>0</v>
      </c>
      <c r="HB372" t="s">
        <v>2208</v>
      </c>
      <c r="HG372" t="s">
        <v>306</v>
      </c>
    </row>
    <row r="373" spans="5:215" x14ac:dyDescent="0.35">
      <c r="E373" t="s">
        <v>306</v>
      </c>
      <c r="J373" t="s">
        <v>306</v>
      </c>
      <c r="O373" t="s">
        <v>306</v>
      </c>
      <c r="T373" t="s">
        <v>306</v>
      </c>
      <c r="U373" t="s">
        <v>909</v>
      </c>
      <c r="V373">
        <v>11220187</v>
      </c>
      <c r="W373" t="s">
        <v>346</v>
      </c>
      <c r="X373">
        <v>0</v>
      </c>
      <c r="Y373" t="s">
        <v>50</v>
      </c>
      <c r="AD373" t="s">
        <v>306</v>
      </c>
      <c r="AI373" t="s">
        <v>306</v>
      </c>
      <c r="AN373" t="s">
        <v>306</v>
      </c>
      <c r="AS373" t="s">
        <v>306</v>
      </c>
      <c r="AX373" t="s">
        <v>306</v>
      </c>
      <c r="BC373" t="s">
        <v>306</v>
      </c>
      <c r="BD373" t="s">
        <v>1299</v>
      </c>
      <c r="BE373">
        <v>4277357</v>
      </c>
      <c r="BF373" t="s">
        <v>346</v>
      </c>
      <c r="BG373">
        <v>0</v>
      </c>
      <c r="BH373" t="s">
        <v>62</v>
      </c>
      <c r="BM373" t="s">
        <v>306</v>
      </c>
      <c r="BR373" t="s">
        <v>306</v>
      </c>
      <c r="BS373" t="s">
        <v>623</v>
      </c>
      <c r="BT373">
        <v>4138267</v>
      </c>
      <c r="BU373" t="s">
        <v>346</v>
      </c>
      <c r="BV373">
        <v>0</v>
      </c>
      <c r="BW373" t="s">
        <v>320</v>
      </c>
      <c r="BX373" t="s">
        <v>909</v>
      </c>
      <c r="BY373">
        <v>11220187</v>
      </c>
      <c r="BZ373" t="s">
        <v>346</v>
      </c>
      <c r="CA373">
        <v>0</v>
      </c>
      <c r="CB373" t="s">
        <v>50</v>
      </c>
      <c r="CC373" t="s">
        <v>1805</v>
      </c>
      <c r="CD373">
        <v>100521</v>
      </c>
      <c r="CE373" t="s">
        <v>346</v>
      </c>
      <c r="CF373">
        <v>0</v>
      </c>
      <c r="CG373" t="s">
        <v>80</v>
      </c>
      <c r="CL373" t="s">
        <v>306</v>
      </c>
      <c r="CM373" t="s">
        <v>2061</v>
      </c>
      <c r="CN373">
        <v>106240952</v>
      </c>
      <c r="CO373" t="s">
        <v>276</v>
      </c>
      <c r="CP373">
        <v>0</v>
      </c>
      <c r="CQ373" t="s">
        <v>53</v>
      </c>
      <c r="CV373" t="s">
        <v>306</v>
      </c>
      <c r="DA373" t="s">
        <v>306</v>
      </c>
      <c r="DB373" t="s">
        <v>1299</v>
      </c>
      <c r="DC373">
        <v>4277357</v>
      </c>
      <c r="DD373" t="s">
        <v>346</v>
      </c>
      <c r="DE373">
        <v>0</v>
      </c>
      <c r="DF373" t="s">
        <v>62</v>
      </c>
      <c r="DK373" t="s">
        <v>306</v>
      </c>
      <c r="DL373" t="s">
        <v>1299</v>
      </c>
      <c r="DM373">
        <v>4277357</v>
      </c>
      <c r="DN373" t="s">
        <v>346</v>
      </c>
      <c r="DO373">
        <v>0</v>
      </c>
      <c r="DP373" t="s">
        <v>62</v>
      </c>
      <c r="DU373" t="s">
        <v>306</v>
      </c>
      <c r="DZ373" t="s">
        <v>306</v>
      </c>
      <c r="EA373" t="s">
        <v>1805</v>
      </c>
      <c r="EB373">
        <v>100521</v>
      </c>
      <c r="EC373" t="s">
        <v>346</v>
      </c>
      <c r="ED373">
        <v>0</v>
      </c>
      <c r="EE373" t="s">
        <v>80</v>
      </c>
      <c r="EF373" t="s">
        <v>1299</v>
      </c>
      <c r="EG373">
        <v>4277357</v>
      </c>
      <c r="EH373" t="s">
        <v>346</v>
      </c>
      <c r="EI373">
        <v>0</v>
      </c>
      <c r="EJ373" t="s">
        <v>62</v>
      </c>
      <c r="EO373" t="s">
        <v>306</v>
      </c>
      <c r="ET373" t="s">
        <v>306</v>
      </c>
      <c r="EY373" t="s">
        <v>306</v>
      </c>
      <c r="FD373" t="s">
        <v>306</v>
      </c>
      <c r="FI373" t="s">
        <v>306</v>
      </c>
      <c r="FN373" t="s">
        <v>306</v>
      </c>
      <c r="FS373" t="s">
        <v>306</v>
      </c>
      <c r="FX373" t="s">
        <v>306</v>
      </c>
      <c r="FY373" t="s">
        <v>1299</v>
      </c>
      <c r="FZ373">
        <v>4277357</v>
      </c>
      <c r="GA373" t="s">
        <v>346</v>
      </c>
      <c r="GB373">
        <v>0</v>
      </c>
      <c r="GC373" t="s">
        <v>62</v>
      </c>
      <c r="GH373" t="s">
        <v>306</v>
      </c>
      <c r="GM373" t="s">
        <v>306</v>
      </c>
      <c r="GR373" t="s">
        <v>306</v>
      </c>
      <c r="GW373" t="s">
        <v>306</v>
      </c>
      <c r="GX373" t="s">
        <v>1805</v>
      </c>
      <c r="GY373">
        <v>100521</v>
      </c>
      <c r="GZ373" t="s">
        <v>346</v>
      </c>
      <c r="HA373">
        <v>0</v>
      </c>
      <c r="HB373" t="s">
        <v>80</v>
      </c>
      <c r="HG373" t="s">
        <v>306</v>
      </c>
    </row>
    <row r="374" spans="5:215" x14ac:dyDescent="0.35">
      <c r="E374" t="s">
        <v>306</v>
      </c>
      <c r="J374" t="s">
        <v>306</v>
      </c>
      <c r="O374" t="s">
        <v>306</v>
      </c>
      <c r="T374" t="s">
        <v>306</v>
      </c>
      <c r="U374" t="s">
        <v>910</v>
      </c>
      <c r="V374">
        <v>4419277</v>
      </c>
      <c r="W374" t="s">
        <v>300</v>
      </c>
      <c r="X374">
        <v>0</v>
      </c>
      <c r="Y374" t="s">
        <v>53</v>
      </c>
      <c r="AD374" t="s">
        <v>306</v>
      </c>
      <c r="AI374" t="s">
        <v>306</v>
      </c>
      <c r="AN374" t="s">
        <v>306</v>
      </c>
      <c r="AS374" t="s">
        <v>306</v>
      </c>
      <c r="AX374" t="s">
        <v>306</v>
      </c>
      <c r="BC374" t="s">
        <v>306</v>
      </c>
      <c r="BD374" t="s">
        <v>485</v>
      </c>
      <c r="BE374">
        <v>5652844</v>
      </c>
      <c r="BF374" t="s">
        <v>346</v>
      </c>
      <c r="BG374">
        <v>0</v>
      </c>
      <c r="BH374" t="s">
        <v>304</v>
      </c>
      <c r="BM374" t="s">
        <v>306</v>
      </c>
      <c r="BR374" t="s">
        <v>306</v>
      </c>
      <c r="BS374" t="s">
        <v>828</v>
      </c>
      <c r="BT374">
        <v>4311273</v>
      </c>
      <c r="BU374" t="s">
        <v>346</v>
      </c>
      <c r="BV374">
        <v>0</v>
      </c>
      <c r="BW374" t="s">
        <v>326</v>
      </c>
      <c r="BX374" t="s">
        <v>910</v>
      </c>
      <c r="BY374">
        <v>4419277</v>
      </c>
      <c r="BZ374" t="s">
        <v>300</v>
      </c>
      <c r="CA374">
        <v>0</v>
      </c>
      <c r="CB374" t="s">
        <v>53</v>
      </c>
      <c r="CC374" t="s">
        <v>1806</v>
      </c>
      <c r="CD374">
        <v>19932756</v>
      </c>
      <c r="CE374" t="s">
        <v>346</v>
      </c>
      <c r="CF374">
        <v>0</v>
      </c>
      <c r="CG374" t="s">
        <v>53</v>
      </c>
      <c r="CL374" t="s">
        <v>306</v>
      </c>
      <c r="CM374" t="s">
        <v>1818</v>
      </c>
      <c r="CN374">
        <v>111511</v>
      </c>
      <c r="CO374" t="s">
        <v>346</v>
      </c>
      <c r="CP374">
        <v>0</v>
      </c>
      <c r="CQ374" t="s">
        <v>53</v>
      </c>
      <c r="CV374" t="s">
        <v>306</v>
      </c>
      <c r="DA374" t="s">
        <v>306</v>
      </c>
      <c r="DB374" t="s">
        <v>485</v>
      </c>
      <c r="DC374">
        <v>5652844</v>
      </c>
      <c r="DD374" t="s">
        <v>346</v>
      </c>
      <c r="DE374">
        <v>0</v>
      </c>
      <c r="DF374" t="s">
        <v>304</v>
      </c>
      <c r="DK374" t="s">
        <v>306</v>
      </c>
      <c r="DL374" t="s">
        <v>485</v>
      </c>
      <c r="DM374">
        <v>5652844</v>
      </c>
      <c r="DN374" t="s">
        <v>346</v>
      </c>
      <c r="DO374">
        <v>0</v>
      </c>
      <c r="DP374" t="s">
        <v>304</v>
      </c>
      <c r="DU374" t="s">
        <v>306</v>
      </c>
      <c r="DZ374" t="s">
        <v>306</v>
      </c>
      <c r="EA374" t="s">
        <v>1806</v>
      </c>
      <c r="EB374">
        <v>19932756</v>
      </c>
      <c r="EC374" t="s">
        <v>346</v>
      </c>
      <c r="ED374">
        <v>0</v>
      </c>
      <c r="EE374" t="s">
        <v>53</v>
      </c>
      <c r="EF374" t="s">
        <v>485</v>
      </c>
      <c r="EG374">
        <v>5652844</v>
      </c>
      <c r="EH374" t="s">
        <v>346</v>
      </c>
      <c r="EI374">
        <v>0</v>
      </c>
      <c r="EJ374" t="s">
        <v>304</v>
      </c>
      <c r="EO374" t="s">
        <v>306</v>
      </c>
      <c r="ET374" t="s">
        <v>306</v>
      </c>
      <c r="EY374" t="s">
        <v>306</v>
      </c>
      <c r="FD374" t="s">
        <v>306</v>
      </c>
      <c r="FI374" t="s">
        <v>306</v>
      </c>
      <c r="FN374" t="s">
        <v>306</v>
      </c>
      <c r="FS374" t="s">
        <v>306</v>
      </c>
      <c r="FX374" t="s">
        <v>306</v>
      </c>
      <c r="FY374" t="s">
        <v>485</v>
      </c>
      <c r="FZ374">
        <v>5652844</v>
      </c>
      <c r="GA374" t="s">
        <v>346</v>
      </c>
      <c r="GB374">
        <v>0</v>
      </c>
      <c r="GC374" t="s">
        <v>304</v>
      </c>
      <c r="GH374" t="s">
        <v>306</v>
      </c>
      <c r="GM374" t="s">
        <v>306</v>
      </c>
      <c r="GR374" t="s">
        <v>306</v>
      </c>
      <c r="GW374" t="s">
        <v>306</v>
      </c>
      <c r="GX374" t="s">
        <v>1806</v>
      </c>
      <c r="GY374">
        <v>19932756</v>
      </c>
      <c r="GZ374" t="s">
        <v>346</v>
      </c>
      <c r="HA374">
        <v>0</v>
      </c>
      <c r="HB374" t="s">
        <v>53</v>
      </c>
      <c r="HG374" t="s">
        <v>306</v>
      </c>
    </row>
    <row r="375" spans="5:215" x14ac:dyDescent="0.35">
      <c r="E375" t="s">
        <v>306</v>
      </c>
      <c r="J375" t="s">
        <v>306</v>
      </c>
      <c r="O375" t="s">
        <v>306</v>
      </c>
      <c r="T375" t="s">
        <v>306</v>
      </c>
      <c r="U375" t="s">
        <v>588</v>
      </c>
      <c r="V375">
        <v>111537</v>
      </c>
      <c r="W375" t="s">
        <v>346</v>
      </c>
      <c r="X375">
        <v>0</v>
      </c>
      <c r="Y375" t="s">
        <v>53</v>
      </c>
      <c r="AD375" t="s">
        <v>306</v>
      </c>
      <c r="AI375" t="s">
        <v>306</v>
      </c>
      <c r="AN375" t="s">
        <v>306</v>
      </c>
      <c r="AS375" t="s">
        <v>306</v>
      </c>
      <c r="AX375" t="s">
        <v>306</v>
      </c>
      <c r="BC375" t="s">
        <v>306</v>
      </c>
      <c r="BD375" t="s">
        <v>816</v>
      </c>
      <c r="BE375">
        <v>4187337</v>
      </c>
      <c r="BF375" t="s">
        <v>364</v>
      </c>
      <c r="BG375">
        <v>0</v>
      </c>
      <c r="BH375" t="s">
        <v>2184</v>
      </c>
      <c r="BM375" t="s">
        <v>306</v>
      </c>
      <c r="BR375" t="s">
        <v>306</v>
      </c>
      <c r="BS375" t="s">
        <v>1045</v>
      </c>
      <c r="BT375">
        <v>5776820</v>
      </c>
      <c r="BU375" t="s">
        <v>346</v>
      </c>
      <c r="BV375">
        <v>0</v>
      </c>
      <c r="BW375" t="s">
        <v>2193</v>
      </c>
      <c r="BX375" t="s">
        <v>588</v>
      </c>
      <c r="BY375">
        <v>111537</v>
      </c>
      <c r="BZ375" t="s">
        <v>346</v>
      </c>
      <c r="CA375">
        <v>0</v>
      </c>
      <c r="CB375" t="s">
        <v>53</v>
      </c>
      <c r="CC375" t="s">
        <v>1807</v>
      </c>
      <c r="CD375">
        <v>23890076</v>
      </c>
      <c r="CE375" t="s">
        <v>346</v>
      </c>
      <c r="CF375">
        <v>0</v>
      </c>
      <c r="CG375" t="s">
        <v>53</v>
      </c>
      <c r="CL375" t="s">
        <v>306</v>
      </c>
      <c r="CM375" t="s">
        <v>2062</v>
      </c>
      <c r="CN375">
        <v>132467595</v>
      </c>
      <c r="CO375" t="s">
        <v>346</v>
      </c>
      <c r="CP375">
        <v>0</v>
      </c>
      <c r="CQ375" t="s">
        <v>326</v>
      </c>
      <c r="CV375" t="s">
        <v>306</v>
      </c>
      <c r="DA375" t="s">
        <v>306</v>
      </c>
      <c r="DB375" t="s">
        <v>816</v>
      </c>
      <c r="DC375">
        <v>4187337</v>
      </c>
      <c r="DD375" t="s">
        <v>364</v>
      </c>
      <c r="DE375">
        <v>0</v>
      </c>
      <c r="DF375" t="s">
        <v>2184</v>
      </c>
      <c r="DK375" t="s">
        <v>306</v>
      </c>
      <c r="DL375" t="s">
        <v>816</v>
      </c>
      <c r="DM375">
        <v>4187337</v>
      </c>
      <c r="DN375" t="s">
        <v>364</v>
      </c>
      <c r="DO375">
        <v>0</v>
      </c>
      <c r="DP375" t="s">
        <v>2184</v>
      </c>
      <c r="DU375" t="s">
        <v>306</v>
      </c>
      <c r="DZ375" t="s">
        <v>306</v>
      </c>
      <c r="EA375" t="s">
        <v>1807</v>
      </c>
      <c r="EB375">
        <v>23890076</v>
      </c>
      <c r="EC375" t="s">
        <v>346</v>
      </c>
      <c r="ED375">
        <v>0</v>
      </c>
      <c r="EE375" t="s">
        <v>53</v>
      </c>
      <c r="EF375" t="s">
        <v>816</v>
      </c>
      <c r="EG375">
        <v>4187337</v>
      </c>
      <c r="EH375" t="s">
        <v>364</v>
      </c>
      <c r="EI375">
        <v>0</v>
      </c>
      <c r="EJ375" t="s">
        <v>2184</v>
      </c>
      <c r="EO375" t="s">
        <v>306</v>
      </c>
      <c r="ET375" t="s">
        <v>306</v>
      </c>
      <c r="EY375" t="s">
        <v>306</v>
      </c>
      <c r="FD375" t="s">
        <v>306</v>
      </c>
      <c r="FI375" t="s">
        <v>306</v>
      </c>
      <c r="FN375" t="s">
        <v>306</v>
      </c>
      <c r="FS375" t="s">
        <v>306</v>
      </c>
      <c r="FX375" t="s">
        <v>306</v>
      </c>
      <c r="FY375" t="s">
        <v>816</v>
      </c>
      <c r="FZ375">
        <v>4187337</v>
      </c>
      <c r="GA375" t="s">
        <v>364</v>
      </c>
      <c r="GB375">
        <v>0</v>
      </c>
      <c r="GC375" t="s">
        <v>2184</v>
      </c>
      <c r="GH375" t="s">
        <v>306</v>
      </c>
      <c r="GM375" t="s">
        <v>306</v>
      </c>
      <c r="GR375" t="s">
        <v>306</v>
      </c>
      <c r="GW375" t="s">
        <v>306</v>
      </c>
      <c r="GX375" t="s">
        <v>1807</v>
      </c>
      <c r="GY375">
        <v>23890076</v>
      </c>
      <c r="GZ375" t="s">
        <v>346</v>
      </c>
      <c r="HA375">
        <v>0</v>
      </c>
      <c r="HB375" t="s">
        <v>53</v>
      </c>
      <c r="HG375" t="s">
        <v>306</v>
      </c>
    </row>
    <row r="376" spans="5:215" x14ac:dyDescent="0.35">
      <c r="E376" t="s">
        <v>306</v>
      </c>
      <c r="J376" t="s">
        <v>306</v>
      </c>
      <c r="O376" t="s">
        <v>306</v>
      </c>
      <c r="T376" t="s">
        <v>306</v>
      </c>
      <c r="U376" t="s">
        <v>606</v>
      </c>
      <c r="V376">
        <v>10346719</v>
      </c>
      <c r="W376" t="s">
        <v>346</v>
      </c>
      <c r="X376">
        <v>0</v>
      </c>
      <c r="Y376" t="s">
        <v>313</v>
      </c>
      <c r="AD376" t="s">
        <v>306</v>
      </c>
      <c r="AI376" t="s">
        <v>306</v>
      </c>
      <c r="AN376" t="s">
        <v>306</v>
      </c>
      <c r="AS376" t="s">
        <v>306</v>
      </c>
      <c r="AX376" t="s">
        <v>306</v>
      </c>
      <c r="BC376" t="s">
        <v>306</v>
      </c>
      <c r="BD376" t="s">
        <v>1509</v>
      </c>
      <c r="BE376">
        <v>5816434</v>
      </c>
      <c r="BF376" t="s">
        <v>346</v>
      </c>
      <c r="BG376">
        <v>0</v>
      </c>
      <c r="BH376" t="s">
        <v>2208</v>
      </c>
      <c r="BM376" t="s">
        <v>306</v>
      </c>
      <c r="BR376" t="s">
        <v>306</v>
      </c>
      <c r="BS376" t="s">
        <v>846</v>
      </c>
      <c r="BT376">
        <v>5855481</v>
      </c>
      <c r="BU376" t="s">
        <v>346</v>
      </c>
      <c r="BV376">
        <v>0</v>
      </c>
      <c r="BW376" t="s">
        <v>50</v>
      </c>
      <c r="BX376" t="s">
        <v>606</v>
      </c>
      <c r="BY376">
        <v>10346719</v>
      </c>
      <c r="BZ376" t="s">
        <v>346</v>
      </c>
      <c r="CA376">
        <v>0</v>
      </c>
      <c r="CB376" t="s">
        <v>313</v>
      </c>
      <c r="CC376" t="s">
        <v>1808</v>
      </c>
      <c r="CD376">
        <v>28702408</v>
      </c>
      <c r="CE376" t="s">
        <v>346</v>
      </c>
      <c r="CF376">
        <v>0</v>
      </c>
      <c r="CG376" t="s">
        <v>114</v>
      </c>
      <c r="CL376" t="s">
        <v>306</v>
      </c>
      <c r="CM376" t="s">
        <v>1313</v>
      </c>
      <c r="CN376">
        <v>5777655</v>
      </c>
      <c r="CO376" t="s">
        <v>346</v>
      </c>
      <c r="CP376">
        <v>0</v>
      </c>
      <c r="CQ376" t="s">
        <v>62</v>
      </c>
      <c r="CV376" t="s">
        <v>306</v>
      </c>
      <c r="DA376" t="s">
        <v>306</v>
      </c>
      <c r="DB376" t="s">
        <v>1509</v>
      </c>
      <c r="DC376">
        <v>5816434</v>
      </c>
      <c r="DD376" t="s">
        <v>346</v>
      </c>
      <c r="DE376">
        <v>0</v>
      </c>
      <c r="DF376" t="s">
        <v>2208</v>
      </c>
      <c r="DK376" t="s">
        <v>306</v>
      </c>
      <c r="DL376" t="s">
        <v>1509</v>
      </c>
      <c r="DM376">
        <v>5816434</v>
      </c>
      <c r="DN376" t="s">
        <v>346</v>
      </c>
      <c r="DO376">
        <v>0</v>
      </c>
      <c r="DP376" t="s">
        <v>2208</v>
      </c>
      <c r="DU376" t="s">
        <v>306</v>
      </c>
      <c r="DZ376" t="s">
        <v>306</v>
      </c>
      <c r="EA376" t="s">
        <v>1808</v>
      </c>
      <c r="EB376">
        <v>28702408</v>
      </c>
      <c r="EC376" t="s">
        <v>346</v>
      </c>
      <c r="ED376">
        <v>0</v>
      </c>
      <c r="EE376" t="s">
        <v>114</v>
      </c>
      <c r="EF376" t="s">
        <v>1509</v>
      </c>
      <c r="EG376">
        <v>5816434</v>
      </c>
      <c r="EH376" t="s">
        <v>346</v>
      </c>
      <c r="EI376">
        <v>0</v>
      </c>
      <c r="EJ376" t="s">
        <v>2208</v>
      </c>
      <c r="EO376" t="s">
        <v>306</v>
      </c>
      <c r="ET376" t="s">
        <v>306</v>
      </c>
      <c r="EY376" t="s">
        <v>306</v>
      </c>
      <c r="FD376" t="s">
        <v>306</v>
      </c>
      <c r="FI376" t="s">
        <v>306</v>
      </c>
      <c r="FN376" t="s">
        <v>306</v>
      </c>
      <c r="FS376" t="s">
        <v>306</v>
      </c>
      <c r="FX376" t="s">
        <v>306</v>
      </c>
      <c r="FY376" t="s">
        <v>1509</v>
      </c>
      <c r="FZ376">
        <v>5816434</v>
      </c>
      <c r="GA376" t="s">
        <v>346</v>
      </c>
      <c r="GB376">
        <v>0</v>
      </c>
      <c r="GC376" t="s">
        <v>2208</v>
      </c>
      <c r="GH376" t="s">
        <v>306</v>
      </c>
      <c r="GM376" t="s">
        <v>306</v>
      </c>
      <c r="GR376" t="s">
        <v>306</v>
      </c>
      <c r="GW376" t="s">
        <v>306</v>
      </c>
      <c r="GX376" t="s">
        <v>1808</v>
      </c>
      <c r="GY376">
        <v>28702408</v>
      </c>
      <c r="GZ376" t="s">
        <v>346</v>
      </c>
      <c r="HA376">
        <v>0</v>
      </c>
      <c r="HB376" t="s">
        <v>114</v>
      </c>
      <c r="HG376" t="s">
        <v>306</v>
      </c>
    </row>
    <row r="377" spans="5:215" x14ac:dyDescent="0.35">
      <c r="E377" t="s">
        <v>306</v>
      </c>
      <c r="J377" t="s">
        <v>306</v>
      </c>
      <c r="O377" t="s">
        <v>306</v>
      </c>
      <c r="T377" t="s">
        <v>306</v>
      </c>
      <c r="U377" t="s">
        <v>911</v>
      </c>
      <c r="V377">
        <v>109399086</v>
      </c>
      <c r="W377" t="s">
        <v>346</v>
      </c>
      <c r="X377">
        <v>0</v>
      </c>
      <c r="Y377" t="s">
        <v>50</v>
      </c>
      <c r="AD377" t="s">
        <v>306</v>
      </c>
      <c r="AI377" t="s">
        <v>306</v>
      </c>
      <c r="AN377" t="s">
        <v>306</v>
      </c>
      <c r="AS377" t="s">
        <v>306</v>
      </c>
      <c r="AX377" t="s">
        <v>306</v>
      </c>
      <c r="BC377" t="s">
        <v>306</v>
      </c>
      <c r="BD377" t="s">
        <v>1510</v>
      </c>
      <c r="BE377" t="s">
        <v>300</v>
      </c>
      <c r="BF377" t="s">
        <v>361</v>
      </c>
      <c r="BG377">
        <v>0</v>
      </c>
      <c r="BH377" t="s">
        <v>50</v>
      </c>
      <c r="BM377" t="s">
        <v>306</v>
      </c>
      <c r="BR377" t="s">
        <v>306</v>
      </c>
      <c r="BS377" t="s">
        <v>1046</v>
      </c>
      <c r="BT377">
        <v>4165697</v>
      </c>
      <c r="BU377" t="s">
        <v>346</v>
      </c>
      <c r="BV377">
        <v>0</v>
      </c>
      <c r="BW377" t="s">
        <v>317</v>
      </c>
      <c r="BX377" t="s">
        <v>911</v>
      </c>
      <c r="BY377">
        <v>109399086</v>
      </c>
      <c r="BZ377" t="s">
        <v>346</v>
      </c>
      <c r="CA377">
        <v>0</v>
      </c>
      <c r="CB377" t="s">
        <v>50</v>
      </c>
      <c r="CC377" t="s">
        <v>1809</v>
      </c>
      <c r="CD377">
        <v>12764260</v>
      </c>
      <c r="CE377" t="s">
        <v>346</v>
      </c>
      <c r="CF377">
        <v>0</v>
      </c>
      <c r="CG377" t="s">
        <v>53</v>
      </c>
      <c r="CL377" t="s">
        <v>306</v>
      </c>
      <c r="CM377" t="s">
        <v>2063</v>
      </c>
      <c r="CN377">
        <v>4118161</v>
      </c>
      <c r="CO377" t="s">
        <v>346</v>
      </c>
      <c r="CP377">
        <v>0</v>
      </c>
      <c r="CQ377" t="s">
        <v>53</v>
      </c>
      <c r="CV377" t="s">
        <v>306</v>
      </c>
      <c r="DA377" t="s">
        <v>306</v>
      </c>
      <c r="DB377" t="s">
        <v>1510</v>
      </c>
      <c r="DC377" t="s">
        <v>300</v>
      </c>
      <c r="DD377" t="s">
        <v>361</v>
      </c>
      <c r="DE377">
        <v>0</v>
      </c>
      <c r="DF377" t="s">
        <v>50</v>
      </c>
      <c r="DK377" t="s">
        <v>306</v>
      </c>
      <c r="DL377" t="s">
        <v>1510</v>
      </c>
      <c r="DM377" t="s">
        <v>300</v>
      </c>
      <c r="DN377" t="s">
        <v>361</v>
      </c>
      <c r="DO377">
        <v>0</v>
      </c>
      <c r="DP377" t="s">
        <v>50</v>
      </c>
      <c r="DU377" t="s">
        <v>306</v>
      </c>
      <c r="DZ377" t="s">
        <v>306</v>
      </c>
      <c r="EA377" t="s">
        <v>1809</v>
      </c>
      <c r="EB377">
        <v>12764260</v>
      </c>
      <c r="EC377" t="s">
        <v>346</v>
      </c>
      <c r="ED377">
        <v>0</v>
      </c>
      <c r="EE377" t="s">
        <v>53</v>
      </c>
      <c r="EF377" t="s">
        <v>1510</v>
      </c>
      <c r="EG377" t="s">
        <v>300</v>
      </c>
      <c r="EH377" t="s">
        <v>361</v>
      </c>
      <c r="EI377">
        <v>0</v>
      </c>
      <c r="EJ377" t="s">
        <v>50</v>
      </c>
      <c r="EO377" t="s">
        <v>306</v>
      </c>
      <c r="ET377" t="s">
        <v>306</v>
      </c>
      <c r="EY377" t="s">
        <v>306</v>
      </c>
      <c r="FD377" t="s">
        <v>306</v>
      </c>
      <c r="FI377" t="s">
        <v>306</v>
      </c>
      <c r="FN377" t="s">
        <v>306</v>
      </c>
      <c r="FS377" t="s">
        <v>306</v>
      </c>
      <c r="FX377" t="s">
        <v>306</v>
      </c>
      <c r="FY377" t="s">
        <v>1510</v>
      </c>
      <c r="FZ377" t="s">
        <v>300</v>
      </c>
      <c r="GA377" t="s">
        <v>361</v>
      </c>
      <c r="GB377">
        <v>0</v>
      </c>
      <c r="GC377" t="s">
        <v>50</v>
      </c>
      <c r="GH377" t="s">
        <v>306</v>
      </c>
      <c r="GM377" t="s">
        <v>306</v>
      </c>
      <c r="GR377" t="s">
        <v>306</v>
      </c>
      <c r="GW377" t="s">
        <v>306</v>
      </c>
      <c r="GX377" t="s">
        <v>1809</v>
      </c>
      <c r="GY377">
        <v>12764260</v>
      </c>
      <c r="GZ377" t="s">
        <v>346</v>
      </c>
      <c r="HA377">
        <v>0</v>
      </c>
      <c r="HB377" t="s">
        <v>53</v>
      </c>
      <c r="HG377" t="s">
        <v>306</v>
      </c>
    </row>
    <row r="378" spans="5:215" x14ac:dyDescent="0.35">
      <c r="E378" t="s">
        <v>306</v>
      </c>
      <c r="J378" t="s">
        <v>306</v>
      </c>
      <c r="O378" t="s">
        <v>306</v>
      </c>
      <c r="T378" t="s">
        <v>306</v>
      </c>
      <c r="U378" t="s">
        <v>912</v>
      </c>
      <c r="V378">
        <v>4937020</v>
      </c>
      <c r="W378" t="s">
        <v>346</v>
      </c>
      <c r="X378">
        <v>0</v>
      </c>
      <c r="Y378" t="s">
        <v>50</v>
      </c>
      <c r="AD378" t="s">
        <v>306</v>
      </c>
      <c r="AI378" t="s">
        <v>306</v>
      </c>
      <c r="AN378" t="s">
        <v>306</v>
      </c>
      <c r="AS378" t="s">
        <v>306</v>
      </c>
      <c r="AX378" t="s">
        <v>306</v>
      </c>
      <c r="BC378" t="s">
        <v>306</v>
      </c>
      <c r="BD378" t="s">
        <v>529</v>
      </c>
      <c r="BE378">
        <v>110570</v>
      </c>
      <c r="BF378" t="s">
        <v>346</v>
      </c>
      <c r="BG378">
        <v>0</v>
      </c>
      <c r="BH378" t="s">
        <v>53</v>
      </c>
      <c r="BM378" t="s">
        <v>306</v>
      </c>
      <c r="BR378" t="s">
        <v>306</v>
      </c>
      <c r="BS378" t="s">
        <v>688</v>
      </c>
      <c r="BT378">
        <v>14821347</v>
      </c>
      <c r="BU378" t="s">
        <v>346</v>
      </c>
      <c r="BV378">
        <v>0</v>
      </c>
      <c r="BW378" t="s">
        <v>2181</v>
      </c>
      <c r="BX378" t="s">
        <v>912</v>
      </c>
      <c r="BY378">
        <v>4937020</v>
      </c>
      <c r="BZ378" t="s">
        <v>346</v>
      </c>
      <c r="CA378">
        <v>0</v>
      </c>
      <c r="CB378" t="s">
        <v>50</v>
      </c>
      <c r="CC378" t="s">
        <v>1810</v>
      </c>
      <c r="CD378">
        <v>28791761</v>
      </c>
      <c r="CE378" t="s">
        <v>364</v>
      </c>
      <c r="CF378">
        <v>0</v>
      </c>
      <c r="CG378" t="s">
        <v>2181</v>
      </c>
      <c r="CL378" t="s">
        <v>306</v>
      </c>
      <c r="CM378" t="s">
        <v>618</v>
      </c>
      <c r="CN378">
        <v>100406</v>
      </c>
      <c r="CO378" t="s">
        <v>366</v>
      </c>
      <c r="CP378">
        <v>0</v>
      </c>
      <c r="CQ378" t="s">
        <v>53</v>
      </c>
      <c r="CV378" t="s">
        <v>306</v>
      </c>
      <c r="DA378" t="s">
        <v>306</v>
      </c>
      <c r="DB378" t="s">
        <v>529</v>
      </c>
      <c r="DC378">
        <v>110570</v>
      </c>
      <c r="DD378" t="s">
        <v>346</v>
      </c>
      <c r="DE378">
        <v>0</v>
      </c>
      <c r="DF378" t="s">
        <v>53</v>
      </c>
      <c r="DK378" t="s">
        <v>306</v>
      </c>
      <c r="DL378" t="s">
        <v>529</v>
      </c>
      <c r="DM378">
        <v>110570</v>
      </c>
      <c r="DN378" t="s">
        <v>346</v>
      </c>
      <c r="DO378">
        <v>0</v>
      </c>
      <c r="DP378" t="s">
        <v>53</v>
      </c>
      <c r="DU378" t="s">
        <v>306</v>
      </c>
      <c r="DZ378" t="s">
        <v>306</v>
      </c>
      <c r="EA378" t="s">
        <v>1810</v>
      </c>
      <c r="EB378">
        <v>28791761</v>
      </c>
      <c r="EC378" t="s">
        <v>364</v>
      </c>
      <c r="ED378">
        <v>0</v>
      </c>
      <c r="EE378" t="s">
        <v>2181</v>
      </c>
      <c r="EF378" t="s">
        <v>529</v>
      </c>
      <c r="EG378">
        <v>110570</v>
      </c>
      <c r="EH378" t="s">
        <v>346</v>
      </c>
      <c r="EI378">
        <v>0</v>
      </c>
      <c r="EJ378" t="s">
        <v>53</v>
      </c>
      <c r="EO378" t="s">
        <v>306</v>
      </c>
      <c r="ET378" t="s">
        <v>306</v>
      </c>
      <c r="EY378" t="s">
        <v>306</v>
      </c>
      <c r="FD378" t="s">
        <v>306</v>
      </c>
      <c r="FI378" t="s">
        <v>306</v>
      </c>
      <c r="FN378" t="s">
        <v>306</v>
      </c>
      <c r="FS378" t="s">
        <v>306</v>
      </c>
      <c r="FX378" t="s">
        <v>306</v>
      </c>
      <c r="FY378" t="s">
        <v>529</v>
      </c>
      <c r="FZ378">
        <v>110570</v>
      </c>
      <c r="GA378" t="s">
        <v>346</v>
      </c>
      <c r="GB378">
        <v>0</v>
      </c>
      <c r="GC378" t="s">
        <v>53</v>
      </c>
      <c r="GH378" t="s">
        <v>306</v>
      </c>
      <c r="GM378" t="s">
        <v>306</v>
      </c>
      <c r="GR378" t="s">
        <v>306</v>
      </c>
      <c r="GW378" t="s">
        <v>306</v>
      </c>
      <c r="GX378" t="s">
        <v>1810</v>
      </c>
      <c r="GY378">
        <v>28791761</v>
      </c>
      <c r="GZ378" t="s">
        <v>364</v>
      </c>
      <c r="HA378">
        <v>0</v>
      </c>
      <c r="HB378" t="s">
        <v>2181</v>
      </c>
      <c r="HG378" t="s">
        <v>306</v>
      </c>
    </row>
    <row r="379" spans="5:215" x14ac:dyDescent="0.35">
      <c r="E379" t="s">
        <v>306</v>
      </c>
      <c r="J379" t="s">
        <v>306</v>
      </c>
      <c r="O379" t="s">
        <v>306</v>
      </c>
      <c r="T379" t="s">
        <v>306</v>
      </c>
      <c r="U379" t="s">
        <v>913</v>
      </c>
      <c r="V379">
        <v>26632854</v>
      </c>
      <c r="W379" t="s">
        <v>346</v>
      </c>
      <c r="X379">
        <v>0</v>
      </c>
      <c r="Y379" t="s">
        <v>53</v>
      </c>
      <c r="AD379" t="s">
        <v>306</v>
      </c>
      <c r="AI379" t="s">
        <v>306</v>
      </c>
      <c r="AN379" t="s">
        <v>306</v>
      </c>
      <c r="AS379" t="s">
        <v>306</v>
      </c>
      <c r="AX379" t="s">
        <v>306</v>
      </c>
      <c r="BC379" t="s">
        <v>306</v>
      </c>
      <c r="BD379" t="s">
        <v>589</v>
      </c>
      <c r="BE379">
        <v>4140617</v>
      </c>
      <c r="BF379" t="s">
        <v>346</v>
      </c>
      <c r="BG379">
        <v>0</v>
      </c>
      <c r="BH379" t="s">
        <v>320</v>
      </c>
      <c r="BM379" t="s">
        <v>306</v>
      </c>
      <c r="BR379" t="s">
        <v>306</v>
      </c>
      <c r="BS379" t="s">
        <v>1047</v>
      </c>
      <c r="BT379" t="s">
        <v>300</v>
      </c>
      <c r="BU379" t="s">
        <v>361</v>
      </c>
      <c r="BV379">
        <v>0</v>
      </c>
      <c r="BW379" t="s">
        <v>50</v>
      </c>
      <c r="BX379" t="s">
        <v>913</v>
      </c>
      <c r="BY379">
        <v>26632854</v>
      </c>
      <c r="BZ379" t="s">
        <v>346</v>
      </c>
      <c r="CA379">
        <v>0</v>
      </c>
      <c r="CB379" t="s">
        <v>53</v>
      </c>
      <c r="CC379" t="s">
        <v>1811</v>
      </c>
      <c r="CD379">
        <v>8473138</v>
      </c>
      <c r="CE379" t="s">
        <v>346</v>
      </c>
      <c r="CF379">
        <v>0</v>
      </c>
      <c r="CG379" t="s">
        <v>114</v>
      </c>
      <c r="CL379" t="s">
        <v>306</v>
      </c>
      <c r="CM379" t="s">
        <v>1899</v>
      </c>
      <c r="CN379">
        <v>19067849</v>
      </c>
      <c r="CO379" t="s">
        <v>276</v>
      </c>
      <c r="CP379">
        <v>0</v>
      </c>
      <c r="CQ379" t="s">
        <v>53</v>
      </c>
      <c r="CV379" t="s">
        <v>306</v>
      </c>
      <c r="DA379" t="s">
        <v>306</v>
      </c>
      <c r="DB379" t="s">
        <v>589</v>
      </c>
      <c r="DC379">
        <v>4140617</v>
      </c>
      <c r="DD379" t="s">
        <v>346</v>
      </c>
      <c r="DE379">
        <v>0</v>
      </c>
      <c r="DF379" t="s">
        <v>320</v>
      </c>
      <c r="DK379" t="s">
        <v>306</v>
      </c>
      <c r="DL379" t="s">
        <v>589</v>
      </c>
      <c r="DM379">
        <v>4140617</v>
      </c>
      <c r="DN379" t="s">
        <v>346</v>
      </c>
      <c r="DO379">
        <v>0</v>
      </c>
      <c r="DP379" t="s">
        <v>320</v>
      </c>
      <c r="DU379" t="s">
        <v>306</v>
      </c>
      <c r="DZ379" t="s">
        <v>306</v>
      </c>
      <c r="EA379" t="s">
        <v>1811</v>
      </c>
      <c r="EB379">
        <v>8473138</v>
      </c>
      <c r="EC379" t="s">
        <v>346</v>
      </c>
      <c r="ED379">
        <v>0</v>
      </c>
      <c r="EE379" t="s">
        <v>114</v>
      </c>
      <c r="EF379" t="s">
        <v>589</v>
      </c>
      <c r="EG379">
        <v>4140617</v>
      </c>
      <c r="EH379" t="s">
        <v>346</v>
      </c>
      <c r="EI379">
        <v>0</v>
      </c>
      <c r="EJ379" t="s">
        <v>320</v>
      </c>
      <c r="EO379" t="s">
        <v>306</v>
      </c>
      <c r="ET379" t="s">
        <v>306</v>
      </c>
      <c r="EY379" t="s">
        <v>306</v>
      </c>
      <c r="FD379" t="s">
        <v>306</v>
      </c>
      <c r="FI379" t="s">
        <v>306</v>
      </c>
      <c r="FN379" t="s">
        <v>306</v>
      </c>
      <c r="FS379" t="s">
        <v>306</v>
      </c>
      <c r="FX379" t="s">
        <v>306</v>
      </c>
      <c r="FY379" t="s">
        <v>589</v>
      </c>
      <c r="FZ379">
        <v>4140617</v>
      </c>
      <c r="GA379" t="s">
        <v>346</v>
      </c>
      <c r="GB379">
        <v>0</v>
      </c>
      <c r="GC379" t="s">
        <v>320</v>
      </c>
      <c r="GH379" t="s">
        <v>306</v>
      </c>
      <c r="GM379" t="s">
        <v>306</v>
      </c>
      <c r="GR379" t="s">
        <v>306</v>
      </c>
      <c r="GW379" t="s">
        <v>306</v>
      </c>
      <c r="GX379" t="s">
        <v>1811</v>
      </c>
      <c r="GY379">
        <v>8473138</v>
      </c>
      <c r="GZ379" t="s">
        <v>346</v>
      </c>
      <c r="HA379">
        <v>0</v>
      </c>
      <c r="HB379" t="s">
        <v>114</v>
      </c>
      <c r="HG379" t="s">
        <v>306</v>
      </c>
    </row>
    <row r="380" spans="5:215" x14ac:dyDescent="0.35">
      <c r="E380" t="s">
        <v>306</v>
      </c>
      <c r="J380" t="s">
        <v>306</v>
      </c>
      <c r="O380" t="s">
        <v>306</v>
      </c>
      <c r="T380" t="s">
        <v>306</v>
      </c>
      <c r="U380" t="s">
        <v>914</v>
      </c>
      <c r="V380">
        <v>4772536</v>
      </c>
      <c r="W380" t="s">
        <v>346</v>
      </c>
      <c r="X380">
        <v>0</v>
      </c>
      <c r="Y380" t="s">
        <v>50</v>
      </c>
      <c r="AD380" t="s">
        <v>306</v>
      </c>
      <c r="AI380" t="s">
        <v>306</v>
      </c>
      <c r="AN380" t="s">
        <v>306</v>
      </c>
      <c r="AS380" t="s">
        <v>306</v>
      </c>
      <c r="AX380" t="s">
        <v>306</v>
      </c>
      <c r="BC380" t="s">
        <v>306</v>
      </c>
      <c r="BD380" t="s">
        <v>1217</v>
      </c>
      <c r="BE380">
        <v>7800204</v>
      </c>
      <c r="BF380" t="s">
        <v>364</v>
      </c>
      <c r="BG380">
        <v>0</v>
      </c>
      <c r="BH380" t="s">
        <v>62</v>
      </c>
      <c r="BM380" t="s">
        <v>306</v>
      </c>
      <c r="BR380" t="s">
        <v>306</v>
      </c>
      <c r="BS380" t="s">
        <v>675</v>
      </c>
      <c r="BT380">
        <v>4548312</v>
      </c>
      <c r="BU380" t="s">
        <v>346</v>
      </c>
      <c r="BV380">
        <v>0</v>
      </c>
      <c r="BW380" t="s">
        <v>50</v>
      </c>
      <c r="BX380" t="s">
        <v>914</v>
      </c>
      <c r="BY380">
        <v>4772536</v>
      </c>
      <c r="BZ380" t="s">
        <v>346</v>
      </c>
      <c r="CA380">
        <v>0</v>
      </c>
      <c r="CB380" t="s">
        <v>50</v>
      </c>
      <c r="CC380" t="s">
        <v>1812</v>
      </c>
      <c r="CD380" t="s">
        <v>300</v>
      </c>
      <c r="CE380" t="s">
        <v>361</v>
      </c>
      <c r="CF380">
        <v>0</v>
      </c>
      <c r="CG380" t="s">
        <v>50</v>
      </c>
      <c r="CL380" t="s">
        <v>306</v>
      </c>
      <c r="CM380" t="s">
        <v>2064</v>
      </c>
      <c r="CN380">
        <v>109853274</v>
      </c>
      <c r="CO380" t="s">
        <v>346</v>
      </c>
      <c r="CP380">
        <v>0</v>
      </c>
      <c r="CQ380" t="s">
        <v>53</v>
      </c>
      <c r="CV380" t="s">
        <v>306</v>
      </c>
      <c r="DA380" t="s">
        <v>306</v>
      </c>
      <c r="DB380" t="s">
        <v>1217</v>
      </c>
      <c r="DC380">
        <v>7800204</v>
      </c>
      <c r="DD380" t="s">
        <v>364</v>
      </c>
      <c r="DE380">
        <v>0</v>
      </c>
      <c r="DF380" t="s">
        <v>62</v>
      </c>
      <c r="DK380" t="s">
        <v>306</v>
      </c>
      <c r="DL380" t="s">
        <v>1217</v>
      </c>
      <c r="DM380">
        <v>7800204</v>
      </c>
      <c r="DN380" t="s">
        <v>364</v>
      </c>
      <c r="DO380">
        <v>0</v>
      </c>
      <c r="DP380" t="s">
        <v>62</v>
      </c>
      <c r="DU380" t="s">
        <v>306</v>
      </c>
      <c r="DZ380" t="s">
        <v>306</v>
      </c>
      <c r="EA380" t="s">
        <v>1812</v>
      </c>
      <c r="EB380" t="s">
        <v>300</v>
      </c>
      <c r="EC380" t="s">
        <v>361</v>
      </c>
      <c r="ED380">
        <v>0</v>
      </c>
      <c r="EE380" t="s">
        <v>50</v>
      </c>
      <c r="EF380" t="s">
        <v>1217</v>
      </c>
      <c r="EG380">
        <v>7800204</v>
      </c>
      <c r="EH380" t="s">
        <v>364</v>
      </c>
      <c r="EI380">
        <v>0</v>
      </c>
      <c r="EJ380" t="s">
        <v>62</v>
      </c>
      <c r="EO380" t="s">
        <v>306</v>
      </c>
      <c r="ET380" t="s">
        <v>306</v>
      </c>
      <c r="EY380" t="s">
        <v>306</v>
      </c>
      <c r="FD380" t="s">
        <v>306</v>
      </c>
      <c r="FI380" t="s">
        <v>306</v>
      </c>
      <c r="FN380" t="s">
        <v>306</v>
      </c>
      <c r="FS380" t="s">
        <v>306</v>
      </c>
      <c r="FX380" t="s">
        <v>306</v>
      </c>
      <c r="FY380" t="s">
        <v>1217</v>
      </c>
      <c r="FZ380">
        <v>7800204</v>
      </c>
      <c r="GA380" t="s">
        <v>364</v>
      </c>
      <c r="GB380">
        <v>0</v>
      </c>
      <c r="GC380" t="s">
        <v>62</v>
      </c>
      <c r="GH380" t="s">
        <v>306</v>
      </c>
      <c r="GM380" t="s">
        <v>306</v>
      </c>
      <c r="GR380" t="s">
        <v>306</v>
      </c>
      <c r="GW380" t="s">
        <v>306</v>
      </c>
      <c r="GX380" t="s">
        <v>1812</v>
      </c>
      <c r="GY380" t="s">
        <v>300</v>
      </c>
      <c r="GZ380" t="s">
        <v>361</v>
      </c>
      <c r="HA380">
        <v>0</v>
      </c>
      <c r="HB380" t="s">
        <v>50</v>
      </c>
      <c r="HG380" t="s">
        <v>306</v>
      </c>
    </row>
    <row r="381" spans="5:215" x14ac:dyDescent="0.35">
      <c r="E381" t="s">
        <v>306</v>
      </c>
      <c r="J381" t="s">
        <v>306</v>
      </c>
      <c r="O381" t="s">
        <v>306</v>
      </c>
      <c r="T381" t="s">
        <v>306</v>
      </c>
      <c r="U381" t="s">
        <v>599</v>
      </c>
      <c r="V381">
        <v>19350037</v>
      </c>
      <c r="W381" t="s">
        <v>346</v>
      </c>
      <c r="X381">
        <v>0</v>
      </c>
      <c r="Y381" t="s">
        <v>313</v>
      </c>
      <c r="AD381" t="s">
        <v>306</v>
      </c>
      <c r="AI381" t="s">
        <v>306</v>
      </c>
      <c r="AN381" t="s">
        <v>306</v>
      </c>
      <c r="AS381" t="s">
        <v>306</v>
      </c>
      <c r="AX381" t="s">
        <v>306</v>
      </c>
      <c r="BC381" t="s">
        <v>306</v>
      </c>
      <c r="BD381" t="s">
        <v>1511</v>
      </c>
      <c r="BE381">
        <v>4209916</v>
      </c>
      <c r="BF381" t="s">
        <v>346</v>
      </c>
      <c r="BG381">
        <v>0</v>
      </c>
      <c r="BH381" t="s">
        <v>2185</v>
      </c>
      <c r="BM381" t="s">
        <v>306</v>
      </c>
      <c r="BR381" t="s">
        <v>306</v>
      </c>
      <c r="BS381" t="s">
        <v>796</v>
      </c>
      <c r="BT381">
        <v>19312355</v>
      </c>
      <c r="BU381" t="s">
        <v>346</v>
      </c>
      <c r="BV381">
        <v>0</v>
      </c>
      <c r="BW381" t="s">
        <v>50</v>
      </c>
      <c r="BX381" t="s">
        <v>599</v>
      </c>
      <c r="BY381">
        <v>19350037</v>
      </c>
      <c r="BZ381" t="s">
        <v>346</v>
      </c>
      <c r="CA381">
        <v>0</v>
      </c>
      <c r="CB381" t="s">
        <v>313</v>
      </c>
      <c r="CC381" t="s">
        <v>1813</v>
      </c>
      <c r="CD381">
        <v>5799985</v>
      </c>
      <c r="CE381" t="s">
        <v>346</v>
      </c>
      <c r="CF381">
        <v>0</v>
      </c>
      <c r="CG381" t="s">
        <v>2179</v>
      </c>
      <c r="CL381" t="s">
        <v>306</v>
      </c>
      <c r="CM381" t="s">
        <v>2065</v>
      </c>
      <c r="CN381">
        <v>101542827</v>
      </c>
      <c r="CO381" t="s">
        <v>346</v>
      </c>
      <c r="CP381">
        <v>0</v>
      </c>
      <c r="CQ381" t="s">
        <v>53</v>
      </c>
      <c r="CV381" t="s">
        <v>306</v>
      </c>
      <c r="DA381" t="s">
        <v>306</v>
      </c>
      <c r="DB381" t="s">
        <v>1511</v>
      </c>
      <c r="DC381">
        <v>4209916</v>
      </c>
      <c r="DD381" t="s">
        <v>346</v>
      </c>
      <c r="DE381">
        <v>0</v>
      </c>
      <c r="DF381" t="s">
        <v>2185</v>
      </c>
      <c r="DK381" t="s">
        <v>306</v>
      </c>
      <c r="DL381" t="s">
        <v>1511</v>
      </c>
      <c r="DM381">
        <v>4209916</v>
      </c>
      <c r="DN381" t="s">
        <v>346</v>
      </c>
      <c r="DO381">
        <v>0</v>
      </c>
      <c r="DP381" t="s">
        <v>2185</v>
      </c>
      <c r="DU381" t="s">
        <v>306</v>
      </c>
      <c r="DZ381" t="s">
        <v>306</v>
      </c>
      <c r="EA381" t="s">
        <v>1813</v>
      </c>
      <c r="EB381">
        <v>5799985</v>
      </c>
      <c r="EC381" t="s">
        <v>346</v>
      </c>
      <c r="ED381">
        <v>0</v>
      </c>
      <c r="EE381" t="s">
        <v>2179</v>
      </c>
      <c r="EF381" t="s">
        <v>1511</v>
      </c>
      <c r="EG381">
        <v>4209916</v>
      </c>
      <c r="EH381" t="s">
        <v>346</v>
      </c>
      <c r="EI381">
        <v>0</v>
      </c>
      <c r="EJ381" t="s">
        <v>2185</v>
      </c>
      <c r="EO381" t="s">
        <v>306</v>
      </c>
      <c r="ET381" t="s">
        <v>306</v>
      </c>
      <c r="EY381" t="s">
        <v>306</v>
      </c>
      <c r="FD381" t="s">
        <v>306</v>
      </c>
      <c r="FI381" t="s">
        <v>306</v>
      </c>
      <c r="FN381" t="s">
        <v>306</v>
      </c>
      <c r="FS381" t="s">
        <v>306</v>
      </c>
      <c r="FX381" t="s">
        <v>306</v>
      </c>
      <c r="FY381" t="s">
        <v>1511</v>
      </c>
      <c r="FZ381">
        <v>4209916</v>
      </c>
      <c r="GA381" t="s">
        <v>346</v>
      </c>
      <c r="GB381">
        <v>0</v>
      </c>
      <c r="GC381" t="s">
        <v>2185</v>
      </c>
      <c r="GH381" t="s">
        <v>306</v>
      </c>
      <c r="GM381" t="s">
        <v>306</v>
      </c>
      <c r="GR381" t="s">
        <v>306</v>
      </c>
      <c r="GW381" t="s">
        <v>306</v>
      </c>
      <c r="GX381" t="s">
        <v>1813</v>
      </c>
      <c r="GY381">
        <v>5799985</v>
      </c>
      <c r="GZ381" t="s">
        <v>346</v>
      </c>
      <c r="HA381">
        <v>0</v>
      </c>
      <c r="HB381" t="s">
        <v>2179</v>
      </c>
      <c r="HG381" t="s">
        <v>306</v>
      </c>
    </row>
    <row r="382" spans="5:215" x14ac:dyDescent="0.35">
      <c r="E382" t="s">
        <v>306</v>
      </c>
      <c r="J382" t="s">
        <v>306</v>
      </c>
      <c r="O382" t="s">
        <v>306</v>
      </c>
      <c r="T382" t="s">
        <v>306</v>
      </c>
      <c r="U382" t="s">
        <v>915</v>
      </c>
      <c r="V382">
        <v>4824802</v>
      </c>
      <c r="W382" t="s">
        <v>346</v>
      </c>
      <c r="X382">
        <v>0</v>
      </c>
      <c r="Y382" t="s">
        <v>50</v>
      </c>
      <c r="AD382" t="s">
        <v>306</v>
      </c>
      <c r="AI382" t="s">
        <v>306</v>
      </c>
      <c r="AN382" t="s">
        <v>306</v>
      </c>
      <c r="AS382" t="s">
        <v>306</v>
      </c>
      <c r="AX382" t="s">
        <v>306</v>
      </c>
      <c r="BC382" t="s">
        <v>306</v>
      </c>
      <c r="BD382" t="s">
        <v>1365</v>
      </c>
      <c r="BE382">
        <v>4581414</v>
      </c>
      <c r="BF382" t="s">
        <v>346</v>
      </c>
      <c r="BG382">
        <v>0</v>
      </c>
      <c r="BH382" t="s">
        <v>62</v>
      </c>
      <c r="BM382" t="s">
        <v>306</v>
      </c>
      <c r="BR382" t="s">
        <v>306</v>
      </c>
      <c r="BS382" t="s">
        <v>1048</v>
      </c>
      <c r="BT382" t="s">
        <v>300</v>
      </c>
      <c r="BU382" t="s">
        <v>361</v>
      </c>
      <c r="BV382">
        <v>0</v>
      </c>
      <c r="BW382" t="s">
        <v>50</v>
      </c>
      <c r="BX382" t="s">
        <v>915</v>
      </c>
      <c r="BY382">
        <v>4824802</v>
      </c>
      <c r="BZ382" t="s">
        <v>346</v>
      </c>
      <c r="CA382">
        <v>0</v>
      </c>
      <c r="CB382" t="s">
        <v>50</v>
      </c>
      <c r="CC382" t="s">
        <v>533</v>
      </c>
      <c r="CD382">
        <v>4377155</v>
      </c>
      <c r="CE382" t="s">
        <v>346</v>
      </c>
      <c r="CF382">
        <v>0</v>
      </c>
      <c r="CG382" t="s">
        <v>2192</v>
      </c>
      <c r="CL382" t="s">
        <v>306</v>
      </c>
      <c r="CM382" t="s">
        <v>2066</v>
      </c>
      <c r="CN382">
        <v>4116056</v>
      </c>
      <c r="CO382" t="s">
        <v>346</v>
      </c>
      <c r="CP382">
        <v>0</v>
      </c>
      <c r="CQ382" t="s">
        <v>53</v>
      </c>
      <c r="CV382" t="s">
        <v>306</v>
      </c>
      <c r="DA382" t="s">
        <v>306</v>
      </c>
      <c r="DB382" t="s">
        <v>1365</v>
      </c>
      <c r="DC382">
        <v>4581414</v>
      </c>
      <c r="DD382" t="s">
        <v>346</v>
      </c>
      <c r="DE382">
        <v>0</v>
      </c>
      <c r="DF382" t="s">
        <v>62</v>
      </c>
      <c r="DK382" t="s">
        <v>306</v>
      </c>
      <c r="DL382" t="s">
        <v>1365</v>
      </c>
      <c r="DM382">
        <v>4581414</v>
      </c>
      <c r="DN382" t="s">
        <v>346</v>
      </c>
      <c r="DO382">
        <v>0</v>
      </c>
      <c r="DP382" t="s">
        <v>62</v>
      </c>
      <c r="DU382" t="s">
        <v>306</v>
      </c>
      <c r="DZ382" t="s">
        <v>306</v>
      </c>
      <c r="EA382" t="s">
        <v>533</v>
      </c>
      <c r="EB382">
        <v>4377155</v>
      </c>
      <c r="EC382" t="s">
        <v>346</v>
      </c>
      <c r="ED382">
        <v>0</v>
      </c>
      <c r="EE382" t="s">
        <v>2192</v>
      </c>
      <c r="EF382" t="s">
        <v>1365</v>
      </c>
      <c r="EG382">
        <v>4581414</v>
      </c>
      <c r="EH382" t="s">
        <v>346</v>
      </c>
      <c r="EI382">
        <v>0</v>
      </c>
      <c r="EJ382" t="s">
        <v>62</v>
      </c>
      <c r="EO382" t="s">
        <v>306</v>
      </c>
      <c r="ET382" t="s">
        <v>306</v>
      </c>
      <c r="EY382" t="s">
        <v>306</v>
      </c>
      <c r="FD382" t="s">
        <v>306</v>
      </c>
      <c r="FI382" t="s">
        <v>306</v>
      </c>
      <c r="FN382" t="s">
        <v>306</v>
      </c>
      <c r="FS382" t="s">
        <v>306</v>
      </c>
      <c r="FX382" t="s">
        <v>306</v>
      </c>
      <c r="FY382" t="s">
        <v>1365</v>
      </c>
      <c r="FZ382">
        <v>4581414</v>
      </c>
      <c r="GA382" t="s">
        <v>346</v>
      </c>
      <c r="GB382">
        <v>0</v>
      </c>
      <c r="GC382" t="s">
        <v>62</v>
      </c>
      <c r="GH382" t="s">
        <v>306</v>
      </c>
      <c r="GM382" t="s">
        <v>306</v>
      </c>
      <c r="GR382" t="s">
        <v>306</v>
      </c>
      <c r="GW382" t="s">
        <v>306</v>
      </c>
      <c r="GX382" t="s">
        <v>533</v>
      </c>
      <c r="GY382">
        <v>4377155</v>
      </c>
      <c r="GZ382" t="s">
        <v>346</v>
      </c>
      <c r="HA382">
        <v>0</v>
      </c>
      <c r="HB382" t="s">
        <v>2192</v>
      </c>
      <c r="HG382" t="s">
        <v>306</v>
      </c>
    </row>
    <row r="383" spans="5:215" x14ac:dyDescent="0.35">
      <c r="E383" t="s">
        <v>306</v>
      </c>
      <c r="J383" t="s">
        <v>306</v>
      </c>
      <c r="O383" t="s">
        <v>306</v>
      </c>
      <c r="T383" t="s">
        <v>306</v>
      </c>
      <c r="U383" t="s">
        <v>916</v>
      </c>
      <c r="V383">
        <v>15102304</v>
      </c>
      <c r="W383" t="s">
        <v>346</v>
      </c>
      <c r="X383">
        <v>0</v>
      </c>
      <c r="Y383" t="s">
        <v>50</v>
      </c>
      <c r="AD383" t="s">
        <v>306</v>
      </c>
      <c r="AI383" t="s">
        <v>306</v>
      </c>
      <c r="AN383" t="s">
        <v>306</v>
      </c>
      <c r="AS383" t="s">
        <v>306</v>
      </c>
      <c r="AX383" t="s">
        <v>306</v>
      </c>
      <c r="BC383" t="s">
        <v>306</v>
      </c>
      <c r="BD383" t="s">
        <v>1285</v>
      </c>
      <c r="BE383">
        <v>14171602</v>
      </c>
      <c r="BF383" t="s">
        <v>346</v>
      </c>
      <c r="BG383">
        <v>0</v>
      </c>
      <c r="BH383" t="s">
        <v>62</v>
      </c>
      <c r="BM383" t="s">
        <v>306</v>
      </c>
      <c r="BR383" t="s">
        <v>306</v>
      </c>
      <c r="BS383" t="s">
        <v>457</v>
      </c>
      <c r="BT383">
        <v>110399</v>
      </c>
      <c r="BU383" t="s">
        <v>346</v>
      </c>
      <c r="BV383">
        <v>0</v>
      </c>
      <c r="BW383" t="s">
        <v>53</v>
      </c>
      <c r="BX383" t="s">
        <v>916</v>
      </c>
      <c r="BY383">
        <v>15102304</v>
      </c>
      <c r="BZ383" t="s">
        <v>346</v>
      </c>
      <c r="CA383">
        <v>0</v>
      </c>
      <c r="CB383" t="s">
        <v>50</v>
      </c>
      <c r="CC383" t="s">
        <v>1814</v>
      </c>
      <c r="CD383">
        <v>4283269</v>
      </c>
      <c r="CE383" t="s">
        <v>346</v>
      </c>
      <c r="CF383">
        <v>0</v>
      </c>
      <c r="CG383" t="s">
        <v>2195</v>
      </c>
      <c r="CL383" t="s">
        <v>306</v>
      </c>
      <c r="CM383" t="s">
        <v>1245</v>
      </c>
      <c r="CN383">
        <v>6729481</v>
      </c>
      <c r="CO383" t="s">
        <v>346</v>
      </c>
      <c r="CP383">
        <v>0</v>
      </c>
      <c r="CQ383" t="s">
        <v>2185</v>
      </c>
      <c r="CV383" t="s">
        <v>306</v>
      </c>
      <c r="DA383" t="s">
        <v>306</v>
      </c>
      <c r="DB383" t="s">
        <v>1285</v>
      </c>
      <c r="DC383">
        <v>14171602</v>
      </c>
      <c r="DD383" t="s">
        <v>346</v>
      </c>
      <c r="DE383">
        <v>0</v>
      </c>
      <c r="DF383" t="s">
        <v>62</v>
      </c>
      <c r="DK383" t="s">
        <v>306</v>
      </c>
      <c r="DL383" t="s">
        <v>1285</v>
      </c>
      <c r="DM383">
        <v>14171602</v>
      </c>
      <c r="DN383" t="s">
        <v>346</v>
      </c>
      <c r="DO383">
        <v>0</v>
      </c>
      <c r="DP383" t="s">
        <v>62</v>
      </c>
      <c r="DU383" t="s">
        <v>306</v>
      </c>
      <c r="DZ383" t="s">
        <v>306</v>
      </c>
      <c r="EA383" t="s">
        <v>1814</v>
      </c>
      <c r="EB383">
        <v>4283269</v>
      </c>
      <c r="EC383" t="s">
        <v>346</v>
      </c>
      <c r="ED383">
        <v>0</v>
      </c>
      <c r="EE383" t="s">
        <v>2195</v>
      </c>
      <c r="EF383" t="s">
        <v>1285</v>
      </c>
      <c r="EG383">
        <v>14171602</v>
      </c>
      <c r="EH383" t="s">
        <v>346</v>
      </c>
      <c r="EI383">
        <v>0</v>
      </c>
      <c r="EJ383" t="s">
        <v>62</v>
      </c>
      <c r="EO383" t="s">
        <v>306</v>
      </c>
      <c r="ET383" t="s">
        <v>306</v>
      </c>
      <c r="EY383" t="s">
        <v>306</v>
      </c>
      <c r="FD383" t="s">
        <v>306</v>
      </c>
      <c r="FI383" t="s">
        <v>306</v>
      </c>
      <c r="FN383" t="s">
        <v>306</v>
      </c>
      <c r="FS383" t="s">
        <v>306</v>
      </c>
      <c r="FX383" t="s">
        <v>306</v>
      </c>
      <c r="FY383" t="s">
        <v>1285</v>
      </c>
      <c r="FZ383">
        <v>14171602</v>
      </c>
      <c r="GA383" t="s">
        <v>346</v>
      </c>
      <c r="GB383">
        <v>0</v>
      </c>
      <c r="GC383" t="s">
        <v>62</v>
      </c>
      <c r="GH383" t="s">
        <v>306</v>
      </c>
      <c r="GM383" t="s">
        <v>306</v>
      </c>
      <c r="GR383" t="s">
        <v>306</v>
      </c>
      <c r="GW383" t="s">
        <v>306</v>
      </c>
      <c r="GX383" t="s">
        <v>1814</v>
      </c>
      <c r="GY383">
        <v>4283269</v>
      </c>
      <c r="GZ383" t="s">
        <v>346</v>
      </c>
      <c r="HA383">
        <v>0</v>
      </c>
      <c r="HB383" t="s">
        <v>2195</v>
      </c>
      <c r="HG383" t="s">
        <v>306</v>
      </c>
    </row>
    <row r="384" spans="5:215" x14ac:dyDescent="0.35">
      <c r="E384" t="s">
        <v>306</v>
      </c>
      <c r="J384" t="s">
        <v>306</v>
      </c>
      <c r="O384" t="s">
        <v>306</v>
      </c>
      <c r="T384" t="s">
        <v>306</v>
      </c>
      <c r="U384" t="s">
        <v>519</v>
      </c>
      <c r="V384">
        <v>109968</v>
      </c>
      <c r="W384" t="s">
        <v>346</v>
      </c>
      <c r="X384">
        <v>0</v>
      </c>
      <c r="Y384" t="s">
        <v>53</v>
      </c>
      <c r="AD384" t="s">
        <v>306</v>
      </c>
      <c r="AI384" t="s">
        <v>306</v>
      </c>
      <c r="AN384" t="s">
        <v>306</v>
      </c>
      <c r="AS384" t="s">
        <v>306</v>
      </c>
      <c r="AX384" t="s">
        <v>306</v>
      </c>
      <c r="BC384" t="s">
        <v>306</v>
      </c>
      <c r="BD384" t="s">
        <v>1512</v>
      </c>
      <c r="BE384">
        <v>4139008</v>
      </c>
      <c r="BF384" t="s">
        <v>346</v>
      </c>
      <c r="BG384">
        <v>0</v>
      </c>
      <c r="BH384" t="s">
        <v>2184</v>
      </c>
      <c r="BM384" t="s">
        <v>306</v>
      </c>
      <c r="BR384" t="s">
        <v>306</v>
      </c>
      <c r="BS384" t="s">
        <v>1049</v>
      </c>
      <c r="BT384">
        <v>5767537</v>
      </c>
      <c r="BU384" t="s">
        <v>365</v>
      </c>
      <c r="BV384">
        <v>0</v>
      </c>
      <c r="BW384" t="s">
        <v>320</v>
      </c>
      <c r="BX384" t="s">
        <v>519</v>
      </c>
      <c r="BY384">
        <v>109968</v>
      </c>
      <c r="BZ384" t="s">
        <v>346</v>
      </c>
      <c r="CA384">
        <v>0</v>
      </c>
      <c r="CB384" t="s">
        <v>53</v>
      </c>
      <c r="CC384" t="s">
        <v>1815</v>
      </c>
      <c r="CD384">
        <v>29441964</v>
      </c>
      <c r="CE384" t="s">
        <v>346</v>
      </c>
      <c r="CF384">
        <v>0</v>
      </c>
      <c r="CG384" t="s">
        <v>114</v>
      </c>
      <c r="CL384" t="s">
        <v>306</v>
      </c>
      <c r="CM384" t="s">
        <v>1353</v>
      </c>
      <c r="CN384">
        <v>5867014</v>
      </c>
      <c r="CO384" t="s">
        <v>364</v>
      </c>
      <c r="CP384">
        <v>0</v>
      </c>
      <c r="CQ384" t="s">
        <v>62</v>
      </c>
      <c r="CV384" t="s">
        <v>306</v>
      </c>
      <c r="DA384" t="s">
        <v>306</v>
      </c>
      <c r="DB384" t="s">
        <v>1512</v>
      </c>
      <c r="DC384">
        <v>4139008</v>
      </c>
      <c r="DD384" t="s">
        <v>346</v>
      </c>
      <c r="DE384">
        <v>0</v>
      </c>
      <c r="DF384" t="s">
        <v>2184</v>
      </c>
      <c r="DK384" t="s">
        <v>306</v>
      </c>
      <c r="DL384" t="s">
        <v>1512</v>
      </c>
      <c r="DM384">
        <v>4139008</v>
      </c>
      <c r="DN384" t="s">
        <v>346</v>
      </c>
      <c r="DO384">
        <v>0</v>
      </c>
      <c r="DP384" t="s">
        <v>2184</v>
      </c>
      <c r="DU384" t="s">
        <v>306</v>
      </c>
      <c r="DZ384" t="s">
        <v>306</v>
      </c>
      <c r="EA384" t="s">
        <v>1815</v>
      </c>
      <c r="EB384">
        <v>29441964</v>
      </c>
      <c r="EC384" t="s">
        <v>346</v>
      </c>
      <c r="ED384">
        <v>0</v>
      </c>
      <c r="EE384" t="s">
        <v>114</v>
      </c>
      <c r="EF384" t="s">
        <v>1512</v>
      </c>
      <c r="EG384">
        <v>4139008</v>
      </c>
      <c r="EH384" t="s">
        <v>346</v>
      </c>
      <c r="EI384">
        <v>0</v>
      </c>
      <c r="EJ384" t="s">
        <v>2184</v>
      </c>
      <c r="EO384" t="s">
        <v>306</v>
      </c>
      <c r="ET384" t="s">
        <v>306</v>
      </c>
      <c r="EY384" t="s">
        <v>306</v>
      </c>
      <c r="FD384" t="s">
        <v>306</v>
      </c>
      <c r="FI384" t="s">
        <v>306</v>
      </c>
      <c r="FN384" t="s">
        <v>306</v>
      </c>
      <c r="FS384" t="s">
        <v>306</v>
      </c>
      <c r="FX384" t="s">
        <v>306</v>
      </c>
      <c r="FY384" t="s">
        <v>1512</v>
      </c>
      <c r="FZ384">
        <v>4139008</v>
      </c>
      <c r="GA384" t="s">
        <v>346</v>
      </c>
      <c r="GB384">
        <v>0</v>
      </c>
      <c r="GC384" t="s">
        <v>2184</v>
      </c>
      <c r="GH384" t="s">
        <v>306</v>
      </c>
      <c r="GM384" t="s">
        <v>306</v>
      </c>
      <c r="GR384" t="s">
        <v>306</v>
      </c>
      <c r="GW384" t="s">
        <v>306</v>
      </c>
      <c r="GX384" t="s">
        <v>1815</v>
      </c>
      <c r="GY384">
        <v>29441964</v>
      </c>
      <c r="GZ384" t="s">
        <v>346</v>
      </c>
      <c r="HA384">
        <v>0</v>
      </c>
      <c r="HB384" t="s">
        <v>114</v>
      </c>
      <c r="HG384" t="s">
        <v>306</v>
      </c>
    </row>
    <row r="385" spans="5:215" x14ac:dyDescent="0.35">
      <c r="E385" t="s">
        <v>306</v>
      </c>
      <c r="J385" t="s">
        <v>306</v>
      </c>
      <c r="O385" t="s">
        <v>306</v>
      </c>
      <c r="T385" t="s">
        <v>306</v>
      </c>
      <c r="U385" t="s">
        <v>917</v>
      </c>
      <c r="V385">
        <v>4319350</v>
      </c>
      <c r="W385" t="s">
        <v>346</v>
      </c>
      <c r="X385">
        <v>0</v>
      </c>
      <c r="Y385" t="s">
        <v>50</v>
      </c>
      <c r="AD385" t="s">
        <v>306</v>
      </c>
      <c r="AI385" t="s">
        <v>306</v>
      </c>
      <c r="AN385" t="s">
        <v>306</v>
      </c>
      <c r="AS385" t="s">
        <v>306</v>
      </c>
      <c r="AX385" t="s">
        <v>306</v>
      </c>
      <c r="BC385" t="s">
        <v>306</v>
      </c>
      <c r="BD385" t="s">
        <v>1513</v>
      </c>
      <c r="BE385">
        <v>5848043</v>
      </c>
      <c r="BF385" t="s">
        <v>346</v>
      </c>
      <c r="BG385">
        <v>0</v>
      </c>
      <c r="BH385" t="s">
        <v>320</v>
      </c>
      <c r="BM385" t="s">
        <v>306</v>
      </c>
      <c r="BR385" t="s">
        <v>306</v>
      </c>
      <c r="BS385" t="s">
        <v>1050</v>
      </c>
      <c r="BT385">
        <v>5802440</v>
      </c>
      <c r="BU385" t="s">
        <v>346</v>
      </c>
      <c r="BV385">
        <v>0</v>
      </c>
      <c r="BW385" t="s">
        <v>320</v>
      </c>
      <c r="BX385" t="s">
        <v>917</v>
      </c>
      <c r="BY385">
        <v>4319350</v>
      </c>
      <c r="BZ385" t="s">
        <v>346</v>
      </c>
      <c r="CA385">
        <v>0</v>
      </c>
      <c r="CB385" t="s">
        <v>50</v>
      </c>
      <c r="CC385" t="s">
        <v>833</v>
      </c>
      <c r="CD385">
        <v>110527</v>
      </c>
      <c r="CE385" t="s">
        <v>346</v>
      </c>
      <c r="CF385">
        <v>0</v>
      </c>
      <c r="CG385" t="s">
        <v>53</v>
      </c>
      <c r="CL385" t="s">
        <v>306</v>
      </c>
      <c r="CM385" t="s">
        <v>575</v>
      </c>
      <c r="CN385">
        <v>4575993</v>
      </c>
      <c r="CO385" t="s">
        <v>346</v>
      </c>
      <c r="CP385">
        <v>0</v>
      </c>
      <c r="CQ385" t="s">
        <v>80</v>
      </c>
      <c r="CV385" t="s">
        <v>306</v>
      </c>
      <c r="DA385" t="s">
        <v>306</v>
      </c>
      <c r="DB385" t="s">
        <v>1513</v>
      </c>
      <c r="DC385">
        <v>5848043</v>
      </c>
      <c r="DD385" t="s">
        <v>346</v>
      </c>
      <c r="DE385">
        <v>0</v>
      </c>
      <c r="DF385" t="s">
        <v>320</v>
      </c>
      <c r="DK385" t="s">
        <v>306</v>
      </c>
      <c r="DL385" t="s">
        <v>1513</v>
      </c>
      <c r="DM385">
        <v>5848043</v>
      </c>
      <c r="DN385" t="s">
        <v>346</v>
      </c>
      <c r="DO385">
        <v>0</v>
      </c>
      <c r="DP385" t="s">
        <v>320</v>
      </c>
      <c r="DU385" t="s">
        <v>306</v>
      </c>
      <c r="DZ385" t="s">
        <v>306</v>
      </c>
      <c r="EA385" t="s">
        <v>833</v>
      </c>
      <c r="EB385">
        <v>110527</v>
      </c>
      <c r="EC385" t="s">
        <v>346</v>
      </c>
      <c r="ED385">
        <v>0</v>
      </c>
      <c r="EE385" t="s">
        <v>53</v>
      </c>
      <c r="EF385" t="s">
        <v>1513</v>
      </c>
      <c r="EG385">
        <v>5848043</v>
      </c>
      <c r="EH385" t="s">
        <v>346</v>
      </c>
      <c r="EI385">
        <v>0</v>
      </c>
      <c r="EJ385" t="s">
        <v>320</v>
      </c>
      <c r="EO385" t="s">
        <v>306</v>
      </c>
      <c r="ET385" t="s">
        <v>306</v>
      </c>
      <c r="EY385" t="s">
        <v>306</v>
      </c>
      <c r="FD385" t="s">
        <v>306</v>
      </c>
      <c r="FI385" t="s">
        <v>306</v>
      </c>
      <c r="FN385" t="s">
        <v>306</v>
      </c>
      <c r="FS385" t="s">
        <v>306</v>
      </c>
      <c r="FX385" t="s">
        <v>306</v>
      </c>
      <c r="FY385" t="s">
        <v>1513</v>
      </c>
      <c r="FZ385">
        <v>5848043</v>
      </c>
      <c r="GA385" t="s">
        <v>346</v>
      </c>
      <c r="GB385">
        <v>0</v>
      </c>
      <c r="GC385" t="s">
        <v>320</v>
      </c>
      <c r="GH385" t="s">
        <v>306</v>
      </c>
      <c r="GM385" t="s">
        <v>306</v>
      </c>
      <c r="GR385" t="s">
        <v>306</v>
      </c>
      <c r="GW385" t="s">
        <v>306</v>
      </c>
      <c r="GX385" t="s">
        <v>833</v>
      </c>
      <c r="GY385">
        <v>110527</v>
      </c>
      <c r="GZ385" t="s">
        <v>346</v>
      </c>
      <c r="HA385">
        <v>0</v>
      </c>
      <c r="HB385" t="s">
        <v>53</v>
      </c>
      <c r="HG385" t="s">
        <v>306</v>
      </c>
    </row>
    <row r="386" spans="5:215" x14ac:dyDescent="0.35">
      <c r="E386" t="s">
        <v>306</v>
      </c>
      <c r="J386" t="s">
        <v>306</v>
      </c>
      <c r="O386" t="s">
        <v>306</v>
      </c>
      <c r="T386" t="s">
        <v>306</v>
      </c>
      <c r="U386" t="s">
        <v>564</v>
      </c>
      <c r="V386">
        <v>4137693</v>
      </c>
      <c r="W386" t="s">
        <v>346</v>
      </c>
      <c r="X386">
        <v>0</v>
      </c>
      <c r="Y386" t="s">
        <v>2194</v>
      </c>
      <c r="AD386" t="s">
        <v>306</v>
      </c>
      <c r="AI386" t="s">
        <v>306</v>
      </c>
      <c r="AN386" t="s">
        <v>306</v>
      </c>
      <c r="AS386" t="s">
        <v>306</v>
      </c>
      <c r="AX386" t="s">
        <v>306</v>
      </c>
      <c r="BC386" t="s">
        <v>306</v>
      </c>
      <c r="BD386" t="s">
        <v>1514</v>
      </c>
      <c r="BE386">
        <v>19502411</v>
      </c>
      <c r="BF386" t="s">
        <v>346</v>
      </c>
      <c r="BG386">
        <v>0</v>
      </c>
      <c r="BH386" t="s">
        <v>62</v>
      </c>
      <c r="BM386" t="s">
        <v>306</v>
      </c>
      <c r="BR386" t="s">
        <v>306</v>
      </c>
      <c r="BS386" t="s">
        <v>870</v>
      </c>
      <c r="BT386">
        <v>8364410</v>
      </c>
      <c r="BU386" t="s">
        <v>346</v>
      </c>
      <c r="BV386">
        <v>0</v>
      </c>
      <c r="BW386" t="s">
        <v>50</v>
      </c>
      <c r="BX386" t="s">
        <v>564</v>
      </c>
      <c r="BY386">
        <v>4137693</v>
      </c>
      <c r="BZ386" t="s">
        <v>346</v>
      </c>
      <c r="CA386">
        <v>0</v>
      </c>
      <c r="CB386" t="s">
        <v>2194</v>
      </c>
      <c r="CC386" t="s">
        <v>1816</v>
      </c>
      <c r="CD386">
        <v>6902537</v>
      </c>
      <c r="CE386" t="s">
        <v>364</v>
      </c>
      <c r="CF386">
        <v>0</v>
      </c>
      <c r="CG386" t="s">
        <v>53</v>
      </c>
      <c r="CL386" t="s">
        <v>306</v>
      </c>
      <c r="CM386" t="s">
        <v>599</v>
      </c>
      <c r="CN386">
        <v>19350037</v>
      </c>
      <c r="CO386" t="s">
        <v>346</v>
      </c>
      <c r="CP386">
        <v>0</v>
      </c>
      <c r="CQ386" t="s">
        <v>313</v>
      </c>
      <c r="CV386" t="s">
        <v>306</v>
      </c>
      <c r="DA386" t="s">
        <v>306</v>
      </c>
      <c r="DB386" t="s">
        <v>1514</v>
      </c>
      <c r="DC386">
        <v>19502411</v>
      </c>
      <c r="DD386" t="s">
        <v>346</v>
      </c>
      <c r="DE386">
        <v>0</v>
      </c>
      <c r="DF386" t="s">
        <v>62</v>
      </c>
      <c r="DK386" t="s">
        <v>306</v>
      </c>
      <c r="DL386" t="s">
        <v>1514</v>
      </c>
      <c r="DM386">
        <v>19502411</v>
      </c>
      <c r="DN386" t="s">
        <v>346</v>
      </c>
      <c r="DO386">
        <v>0</v>
      </c>
      <c r="DP386" t="s">
        <v>62</v>
      </c>
      <c r="DU386" t="s">
        <v>306</v>
      </c>
      <c r="DZ386" t="s">
        <v>306</v>
      </c>
      <c r="EA386" t="s">
        <v>1816</v>
      </c>
      <c r="EB386">
        <v>6902537</v>
      </c>
      <c r="EC386" t="s">
        <v>364</v>
      </c>
      <c r="ED386">
        <v>0</v>
      </c>
      <c r="EE386" t="s">
        <v>53</v>
      </c>
      <c r="EF386" t="s">
        <v>1514</v>
      </c>
      <c r="EG386">
        <v>19502411</v>
      </c>
      <c r="EH386" t="s">
        <v>346</v>
      </c>
      <c r="EI386">
        <v>0</v>
      </c>
      <c r="EJ386" t="s">
        <v>62</v>
      </c>
      <c r="EO386" t="s">
        <v>306</v>
      </c>
      <c r="ET386" t="s">
        <v>306</v>
      </c>
      <c r="EY386" t="s">
        <v>306</v>
      </c>
      <c r="FD386" t="s">
        <v>306</v>
      </c>
      <c r="FI386" t="s">
        <v>306</v>
      </c>
      <c r="FN386" t="s">
        <v>306</v>
      </c>
      <c r="FS386" t="s">
        <v>306</v>
      </c>
      <c r="FX386" t="s">
        <v>306</v>
      </c>
      <c r="FY386" t="s">
        <v>1514</v>
      </c>
      <c r="FZ386">
        <v>19502411</v>
      </c>
      <c r="GA386" t="s">
        <v>346</v>
      </c>
      <c r="GB386">
        <v>0</v>
      </c>
      <c r="GC386" t="s">
        <v>62</v>
      </c>
      <c r="GH386" t="s">
        <v>306</v>
      </c>
      <c r="GM386" t="s">
        <v>306</v>
      </c>
      <c r="GR386" t="s">
        <v>306</v>
      </c>
      <c r="GW386" t="s">
        <v>306</v>
      </c>
      <c r="GX386" t="s">
        <v>1816</v>
      </c>
      <c r="GY386">
        <v>6902537</v>
      </c>
      <c r="GZ386" t="s">
        <v>364</v>
      </c>
      <c r="HA386">
        <v>0</v>
      </c>
      <c r="HB386" t="s">
        <v>53</v>
      </c>
      <c r="HG386" t="s">
        <v>306</v>
      </c>
    </row>
    <row r="387" spans="5:215" x14ac:dyDescent="0.35">
      <c r="E387" t="s">
        <v>306</v>
      </c>
      <c r="J387" t="s">
        <v>306</v>
      </c>
      <c r="O387" t="s">
        <v>306</v>
      </c>
      <c r="T387" t="s">
        <v>306</v>
      </c>
      <c r="U387" t="s">
        <v>918</v>
      </c>
      <c r="V387">
        <v>4860042</v>
      </c>
      <c r="W387" t="s">
        <v>346</v>
      </c>
      <c r="X387">
        <v>0</v>
      </c>
      <c r="Y387" t="s">
        <v>50</v>
      </c>
      <c r="AD387" t="s">
        <v>306</v>
      </c>
      <c r="AI387" t="s">
        <v>306</v>
      </c>
      <c r="AN387" t="s">
        <v>306</v>
      </c>
      <c r="AS387" t="s">
        <v>306</v>
      </c>
      <c r="AX387" t="s">
        <v>306</v>
      </c>
      <c r="BC387" t="s">
        <v>306</v>
      </c>
      <c r="BD387" t="s">
        <v>1327</v>
      </c>
      <c r="BE387">
        <v>19814121</v>
      </c>
      <c r="BF387" t="s">
        <v>346</v>
      </c>
      <c r="BG387">
        <v>0</v>
      </c>
      <c r="BH387" t="s">
        <v>62</v>
      </c>
      <c r="BM387" t="s">
        <v>306</v>
      </c>
      <c r="BR387" t="s">
        <v>306</v>
      </c>
      <c r="BS387" t="s">
        <v>863</v>
      </c>
      <c r="BT387">
        <v>4190455</v>
      </c>
      <c r="BU387" t="s">
        <v>346</v>
      </c>
      <c r="BV387">
        <v>0</v>
      </c>
      <c r="BW387" t="s">
        <v>2188</v>
      </c>
      <c r="BX387" t="s">
        <v>918</v>
      </c>
      <c r="BY387">
        <v>4860042</v>
      </c>
      <c r="BZ387" t="s">
        <v>346</v>
      </c>
      <c r="CA387">
        <v>0</v>
      </c>
      <c r="CB387" t="s">
        <v>50</v>
      </c>
      <c r="CC387" t="s">
        <v>532</v>
      </c>
      <c r="CD387">
        <v>4225018</v>
      </c>
      <c r="CE387" t="s">
        <v>346</v>
      </c>
      <c r="CF387">
        <v>0</v>
      </c>
      <c r="CG387" t="s">
        <v>2191</v>
      </c>
      <c r="CL387" t="s">
        <v>306</v>
      </c>
      <c r="CM387" t="s">
        <v>2067</v>
      </c>
      <c r="CN387">
        <v>27638536</v>
      </c>
      <c r="CO387" t="s">
        <v>346</v>
      </c>
      <c r="CP387">
        <v>0</v>
      </c>
      <c r="CQ387" t="s">
        <v>62</v>
      </c>
      <c r="CV387" t="s">
        <v>306</v>
      </c>
      <c r="DA387" t="s">
        <v>306</v>
      </c>
      <c r="DB387" t="s">
        <v>1327</v>
      </c>
      <c r="DC387">
        <v>19814121</v>
      </c>
      <c r="DD387" t="s">
        <v>346</v>
      </c>
      <c r="DE387">
        <v>0</v>
      </c>
      <c r="DF387" t="s">
        <v>62</v>
      </c>
      <c r="DK387" t="s">
        <v>306</v>
      </c>
      <c r="DL387" t="s">
        <v>1327</v>
      </c>
      <c r="DM387">
        <v>19814121</v>
      </c>
      <c r="DN387" t="s">
        <v>346</v>
      </c>
      <c r="DO387">
        <v>0</v>
      </c>
      <c r="DP387" t="s">
        <v>62</v>
      </c>
      <c r="DU387" t="s">
        <v>306</v>
      </c>
      <c r="DZ387" t="s">
        <v>306</v>
      </c>
      <c r="EA387" t="s">
        <v>532</v>
      </c>
      <c r="EB387">
        <v>4225018</v>
      </c>
      <c r="EC387" t="s">
        <v>346</v>
      </c>
      <c r="ED387">
        <v>0</v>
      </c>
      <c r="EE387" t="s">
        <v>2191</v>
      </c>
      <c r="EF387" t="s">
        <v>1327</v>
      </c>
      <c r="EG387">
        <v>19814121</v>
      </c>
      <c r="EH387" t="s">
        <v>346</v>
      </c>
      <c r="EI387">
        <v>0</v>
      </c>
      <c r="EJ387" t="s">
        <v>62</v>
      </c>
      <c r="EO387" t="s">
        <v>306</v>
      </c>
      <c r="ET387" t="s">
        <v>306</v>
      </c>
      <c r="EY387" t="s">
        <v>306</v>
      </c>
      <c r="FD387" t="s">
        <v>306</v>
      </c>
      <c r="FI387" t="s">
        <v>306</v>
      </c>
      <c r="FN387" t="s">
        <v>306</v>
      </c>
      <c r="FS387" t="s">
        <v>306</v>
      </c>
      <c r="FX387" t="s">
        <v>306</v>
      </c>
      <c r="FY387" t="s">
        <v>1327</v>
      </c>
      <c r="FZ387">
        <v>19814121</v>
      </c>
      <c r="GA387" t="s">
        <v>346</v>
      </c>
      <c r="GB387">
        <v>0</v>
      </c>
      <c r="GC387" t="s">
        <v>62</v>
      </c>
      <c r="GH387" t="s">
        <v>306</v>
      </c>
      <c r="GM387" t="s">
        <v>306</v>
      </c>
      <c r="GR387" t="s">
        <v>306</v>
      </c>
      <c r="GW387" t="s">
        <v>306</v>
      </c>
      <c r="GX387" t="s">
        <v>532</v>
      </c>
      <c r="GY387">
        <v>4225018</v>
      </c>
      <c r="GZ387" t="s">
        <v>346</v>
      </c>
      <c r="HA387">
        <v>0</v>
      </c>
      <c r="HB387" t="s">
        <v>2191</v>
      </c>
      <c r="HG387" t="s">
        <v>306</v>
      </c>
    </row>
    <row r="388" spans="5:215" x14ac:dyDescent="0.35">
      <c r="E388" t="s">
        <v>306</v>
      </c>
      <c r="J388" t="s">
        <v>306</v>
      </c>
      <c r="O388" t="s">
        <v>306</v>
      </c>
      <c r="T388" t="s">
        <v>306</v>
      </c>
      <c r="U388" t="s">
        <v>919</v>
      </c>
      <c r="V388">
        <v>28469313</v>
      </c>
      <c r="W388" t="s">
        <v>346</v>
      </c>
      <c r="X388">
        <v>0</v>
      </c>
      <c r="Y388" t="s">
        <v>50</v>
      </c>
      <c r="AD388" t="s">
        <v>306</v>
      </c>
      <c r="AI388" t="s">
        <v>306</v>
      </c>
      <c r="AN388" t="s">
        <v>306</v>
      </c>
      <c r="AS388" t="s">
        <v>306</v>
      </c>
      <c r="AX388" t="s">
        <v>306</v>
      </c>
      <c r="BC388" t="s">
        <v>306</v>
      </c>
      <c r="BD388" t="s">
        <v>390</v>
      </c>
      <c r="BE388">
        <v>4135241</v>
      </c>
      <c r="BF388" t="s">
        <v>346</v>
      </c>
      <c r="BG388">
        <v>0</v>
      </c>
      <c r="BH388" t="s">
        <v>125</v>
      </c>
      <c r="BM388" t="s">
        <v>306</v>
      </c>
      <c r="BR388" t="s">
        <v>306</v>
      </c>
      <c r="BS388" t="s">
        <v>1051</v>
      </c>
      <c r="BT388">
        <v>4140184</v>
      </c>
      <c r="BU388" t="s">
        <v>346</v>
      </c>
      <c r="BV388">
        <v>0</v>
      </c>
      <c r="BW388" t="s">
        <v>2185</v>
      </c>
      <c r="BX388" t="s">
        <v>919</v>
      </c>
      <c r="BY388">
        <v>28469313</v>
      </c>
      <c r="BZ388" t="s">
        <v>346</v>
      </c>
      <c r="CA388">
        <v>0</v>
      </c>
      <c r="CB388" t="s">
        <v>50</v>
      </c>
      <c r="CC388" t="s">
        <v>576</v>
      </c>
      <c r="CD388">
        <v>4672091</v>
      </c>
      <c r="CE388" t="s">
        <v>300</v>
      </c>
      <c r="CF388">
        <v>0</v>
      </c>
      <c r="CG388" t="s">
        <v>62</v>
      </c>
      <c r="CL388" t="s">
        <v>306</v>
      </c>
      <c r="CM388" t="s">
        <v>600</v>
      </c>
      <c r="CN388">
        <v>4145203</v>
      </c>
      <c r="CO388" t="s">
        <v>346</v>
      </c>
      <c r="CP388">
        <v>0</v>
      </c>
      <c r="CQ388" t="s">
        <v>53</v>
      </c>
      <c r="CV388" t="s">
        <v>306</v>
      </c>
      <c r="DA388" t="s">
        <v>306</v>
      </c>
      <c r="DB388" t="s">
        <v>390</v>
      </c>
      <c r="DC388">
        <v>4135241</v>
      </c>
      <c r="DD388" t="s">
        <v>346</v>
      </c>
      <c r="DE388">
        <v>0</v>
      </c>
      <c r="DF388" t="s">
        <v>125</v>
      </c>
      <c r="DK388" t="s">
        <v>306</v>
      </c>
      <c r="DL388" t="s">
        <v>390</v>
      </c>
      <c r="DM388">
        <v>4135241</v>
      </c>
      <c r="DN388" t="s">
        <v>346</v>
      </c>
      <c r="DO388">
        <v>0</v>
      </c>
      <c r="DP388" t="s">
        <v>125</v>
      </c>
      <c r="DU388" t="s">
        <v>306</v>
      </c>
      <c r="DZ388" t="s">
        <v>306</v>
      </c>
      <c r="EA388" t="s">
        <v>576</v>
      </c>
      <c r="EB388">
        <v>4672091</v>
      </c>
      <c r="EC388" t="s">
        <v>300</v>
      </c>
      <c r="ED388">
        <v>0</v>
      </c>
      <c r="EE388" t="s">
        <v>62</v>
      </c>
      <c r="EF388" t="s">
        <v>390</v>
      </c>
      <c r="EG388">
        <v>4135241</v>
      </c>
      <c r="EH388" t="s">
        <v>346</v>
      </c>
      <c r="EI388">
        <v>0</v>
      </c>
      <c r="EJ388" t="s">
        <v>125</v>
      </c>
      <c r="EO388" t="s">
        <v>306</v>
      </c>
      <c r="ET388" t="s">
        <v>306</v>
      </c>
      <c r="EY388" t="s">
        <v>306</v>
      </c>
      <c r="FD388" t="s">
        <v>306</v>
      </c>
      <c r="FI388" t="s">
        <v>306</v>
      </c>
      <c r="FN388" t="s">
        <v>306</v>
      </c>
      <c r="FS388" t="s">
        <v>306</v>
      </c>
      <c r="FX388" t="s">
        <v>306</v>
      </c>
      <c r="FY388" t="s">
        <v>390</v>
      </c>
      <c r="FZ388">
        <v>4135241</v>
      </c>
      <c r="GA388" t="s">
        <v>346</v>
      </c>
      <c r="GB388">
        <v>0</v>
      </c>
      <c r="GC388" t="s">
        <v>125</v>
      </c>
      <c r="GH388" t="s">
        <v>306</v>
      </c>
      <c r="GM388" t="s">
        <v>306</v>
      </c>
      <c r="GR388" t="s">
        <v>306</v>
      </c>
      <c r="GW388" t="s">
        <v>306</v>
      </c>
      <c r="GX388" t="s">
        <v>576</v>
      </c>
      <c r="GY388">
        <v>4672091</v>
      </c>
      <c r="GZ388" t="s">
        <v>300</v>
      </c>
      <c r="HA388">
        <v>0</v>
      </c>
      <c r="HB388" t="s">
        <v>62</v>
      </c>
      <c r="HG388" t="s">
        <v>306</v>
      </c>
    </row>
    <row r="389" spans="5:215" x14ac:dyDescent="0.35">
      <c r="E389" t="s">
        <v>306</v>
      </c>
      <c r="J389" t="s">
        <v>306</v>
      </c>
      <c r="O389" t="s">
        <v>306</v>
      </c>
      <c r="T389" t="s">
        <v>306</v>
      </c>
      <c r="U389" t="s">
        <v>920</v>
      </c>
      <c r="V389">
        <v>4270311</v>
      </c>
      <c r="W389" t="s">
        <v>346</v>
      </c>
      <c r="X389">
        <v>0</v>
      </c>
      <c r="Y389" t="s">
        <v>326</v>
      </c>
      <c r="AD389" t="s">
        <v>306</v>
      </c>
      <c r="AI389" t="s">
        <v>306</v>
      </c>
      <c r="AN389" t="s">
        <v>306</v>
      </c>
      <c r="AS389" t="s">
        <v>306</v>
      </c>
      <c r="AX389" t="s">
        <v>306</v>
      </c>
      <c r="BC389" t="s">
        <v>306</v>
      </c>
      <c r="BD389" t="s">
        <v>1515</v>
      </c>
      <c r="BE389">
        <v>10795646</v>
      </c>
      <c r="BF389" t="s">
        <v>346</v>
      </c>
      <c r="BG389">
        <v>0</v>
      </c>
      <c r="BH389" t="s">
        <v>62</v>
      </c>
      <c r="BM389" t="s">
        <v>306</v>
      </c>
      <c r="BR389" t="s">
        <v>306</v>
      </c>
      <c r="BS389" t="s">
        <v>1052</v>
      </c>
      <c r="BT389">
        <v>9313998</v>
      </c>
      <c r="BU389" t="s">
        <v>346</v>
      </c>
      <c r="BV389">
        <v>0</v>
      </c>
      <c r="BW389" t="s">
        <v>320</v>
      </c>
      <c r="BX389" t="s">
        <v>920</v>
      </c>
      <c r="BY389">
        <v>4270311</v>
      </c>
      <c r="BZ389" t="s">
        <v>346</v>
      </c>
      <c r="CA389">
        <v>0</v>
      </c>
      <c r="CB389" t="s">
        <v>326</v>
      </c>
      <c r="CC389" t="s">
        <v>1817</v>
      </c>
      <c r="CD389">
        <v>9499792</v>
      </c>
      <c r="CE389" t="s">
        <v>346</v>
      </c>
      <c r="CF389">
        <v>0</v>
      </c>
      <c r="CG389" t="s">
        <v>114</v>
      </c>
      <c r="CL389" t="s">
        <v>306</v>
      </c>
      <c r="CM389" t="s">
        <v>1362</v>
      </c>
      <c r="CN389">
        <v>5879182</v>
      </c>
      <c r="CO389" t="s">
        <v>346</v>
      </c>
      <c r="CP389">
        <v>0</v>
      </c>
      <c r="CQ389" t="s">
        <v>62</v>
      </c>
      <c r="CV389" t="s">
        <v>306</v>
      </c>
      <c r="DA389" t="s">
        <v>306</v>
      </c>
      <c r="DB389" t="s">
        <v>1515</v>
      </c>
      <c r="DC389">
        <v>10795646</v>
      </c>
      <c r="DD389" t="s">
        <v>346</v>
      </c>
      <c r="DE389">
        <v>0</v>
      </c>
      <c r="DF389" t="s">
        <v>62</v>
      </c>
      <c r="DK389" t="s">
        <v>306</v>
      </c>
      <c r="DL389" t="s">
        <v>1515</v>
      </c>
      <c r="DM389">
        <v>10795646</v>
      </c>
      <c r="DN389" t="s">
        <v>346</v>
      </c>
      <c r="DO389">
        <v>0</v>
      </c>
      <c r="DP389" t="s">
        <v>62</v>
      </c>
      <c r="DU389" t="s">
        <v>306</v>
      </c>
      <c r="DZ389" t="s">
        <v>306</v>
      </c>
      <c r="EA389" t="s">
        <v>1817</v>
      </c>
      <c r="EB389">
        <v>9499792</v>
      </c>
      <c r="EC389" t="s">
        <v>346</v>
      </c>
      <c r="ED389">
        <v>0</v>
      </c>
      <c r="EE389" t="s">
        <v>114</v>
      </c>
      <c r="EF389" t="s">
        <v>1515</v>
      </c>
      <c r="EG389">
        <v>10795646</v>
      </c>
      <c r="EH389" t="s">
        <v>346</v>
      </c>
      <c r="EI389">
        <v>0</v>
      </c>
      <c r="EJ389" t="s">
        <v>62</v>
      </c>
      <c r="EO389" t="s">
        <v>306</v>
      </c>
      <c r="ET389" t="s">
        <v>306</v>
      </c>
      <c r="EY389" t="s">
        <v>306</v>
      </c>
      <c r="FD389" t="s">
        <v>306</v>
      </c>
      <c r="FI389" t="s">
        <v>306</v>
      </c>
      <c r="FN389" t="s">
        <v>306</v>
      </c>
      <c r="FS389" t="s">
        <v>306</v>
      </c>
      <c r="FX389" t="s">
        <v>306</v>
      </c>
      <c r="FY389" t="s">
        <v>1515</v>
      </c>
      <c r="FZ389">
        <v>10795646</v>
      </c>
      <c r="GA389" t="s">
        <v>346</v>
      </c>
      <c r="GB389">
        <v>0</v>
      </c>
      <c r="GC389" t="s">
        <v>62</v>
      </c>
      <c r="GH389" t="s">
        <v>306</v>
      </c>
      <c r="GM389" t="s">
        <v>306</v>
      </c>
      <c r="GR389" t="s">
        <v>306</v>
      </c>
      <c r="GW389" t="s">
        <v>306</v>
      </c>
      <c r="GX389" t="s">
        <v>1817</v>
      </c>
      <c r="GY389">
        <v>9499792</v>
      </c>
      <c r="GZ389" t="s">
        <v>346</v>
      </c>
      <c r="HA389">
        <v>0</v>
      </c>
      <c r="HB389" t="s">
        <v>114</v>
      </c>
      <c r="HG389" t="s">
        <v>306</v>
      </c>
    </row>
    <row r="390" spans="5:215" x14ac:dyDescent="0.35">
      <c r="E390" t="s">
        <v>306</v>
      </c>
      <c r="J390" t="s">
        <v>306</v>
      </c>
      <c r="O390" t="s">
        <v>306</v>
      </c>
      <c r="T390" t="s">
        <v>306</v>
      </c>
      <c r="U390" t="s">
        <v>921</v>
      </c>
      <c r="V390">
        <v>5853282</v>
      </c>
      <c r="W390" t="s">
        <v>346</v>
      </c>
      <c r="X390">
        <v>0</v>
      </c>
      <c r="Y390" t="s">
        <v>50</v>
      </c>
      <c r="AD390" t="s">
        <v>306</v>
      </c>
      <c r="AI390" t="s">
        <v>306</v>
      </c>
      <c r="AN390" t="s">
        <v>306</v>
      </c>
      <c r="AS390" t="s">
        <v>306</v>
      </c>
      <c r="AX390" t="s">
        <v>306</v>
      </c>
      <c r="BC390" t="s">
        <v>306</v>
      </c>
      <c r="BD390" t="s">
        <v>1516</v>
      </c>
      <c r="BE390">
        <v>7059944</v>
      </c>
      <c r="BF390" t="s">
        <v>346</v>
      </c>
      <c r="BG390">
        <v>0</v>
      </c>
      <c r="BH390" t="s">
        <v>62</v>
      </c>
      <c r="BM390" t="s">
        <v>306</v>
      </c>
      <c r="BR390" t="s">
        <v>306</v>
      </c>
      <c r="BS390" t="s">
        <v>866</v>
      </c>
      <c r="BT390">
        <v>5829542</v>
      </c>
      <c r="BU390" t="s">
        <v>346</v>
      </c>
      <c r="BV390">
        <v>0</v>
      </c>
      <c r="BW390" t="s">
        <v>50</v>
      </c>
      <c r="BX390" t="s">
        <v>921</v>
      </c>
      <c r="BY390">
        <v>5853282</v>
      </c>
      <c r="BZ390" t="s">
        <v>346</v>
      </c>
      <c r="CA390">
        <v>0</v>
      </c>
      <c r="CB390" t="s">
        <v>50</v>
      </c>
      <c r="CC390" t="s">
        <v>1818</v>
      </c>
      <c r="CD390">
        <v>111511</v>
      </c>
      <c r="CE390" t="s">
        <v>346</v>
      </c>
      <c r="CF390">
        <v>0</v>
      </c>
      <c r="CG390" t="s">
        <v>53</v>
      </c>
      <c r="CL390" t="s">
        <v>306</v>
      </c>
      <c r="CM390" t="s">
        <v>2068</v>
      </c>
      <c r="CN390" t="s">
        <v>300</v>
      </c>
      <c r="CO390" t="s">
        <v>361</v>
      </c>
      <c r="CP390">
        <v>0</v>
      </c>
      <c r="CQ390" t="s">
        <v>50</v>
      </c>
      <c r="CV390" t="s">
        <v>306</v>
      </c>
      <c r="DA390" t="s">
        <v>306</v>
      </c>
      <c r="DB390" t="s">
        <v>1516</v>
      </c>
      <c r="DC390">
        <v>7059944</v>
      </c>
      <c r="DD390" t="s">
        <v>346</v>
      </c>
      <c r="DE390">
        <v>0</v>
      </c>
      <c r="DF390" t="s">
        <v>62</v>
      </c>
      <c r="DK390" t="s">
        <v>306</v>
      </c>
      <c r="DL390" t="s">
        <v>1516</v>
      </c>
      <c r="DM390">
        <v>7059944</v>
      </c>
      <c r="DN390" t="s">
        <v>346</v>
      </c>
      <c r="DO390">
        <v>0</v>
      </c>
      <c r="DP390" t="s">
        <v>62</v>
      </c>
      <c r="DU390" t="s">
        <v>306</v>
      </c>
      <c r="DZ390" t="s">
        <v>306</v>
      </c>
      <c r="EA390" t="s">
        <v>1818</v>
      </c>
      <c r="EB390">
        <v>111511</v>
      </c>
      <c r="EC390" t="s">
        <v>346</v>
      </c>
      <c r="ED390">
        <v>0</v>
      </c>
      <c r="EE390" t="s">
        <v>53</v>
      </c>
      <c r="EF390" t="s">
        <v>1516</v>
      </c>
      <c r="EG390">
        <v>7059944</v>
      </c>
      <c r="EH390" t="s">
        <v>346</v>
      </c>
      <c r="EI390">
        <v>0</v>
      </c>
      <c r="EJ390" t="s">
        <v>62</v>
      </c>
      <c r="EO390" t="s">
        <v>306</v>
      </c>
      <c r="ET390" t="s">
        <v>306</v>
      </c>
      <c r="EY390" t="s">
        <v>306</v>
      </c>
      <c r="FD390" t="s">
        <v>306</v>
      </c>
      <c r="FI390" t="s">
        <v>306</v>
      </c>
      <c r="FN390" t="s">
        <v>306</v>
      </c>
      <c r="FS390" t="s">
        <v>306</v>
      </c>
      <c r="FX390" t="s">
        <v>306</v>
      </c>
      <c r="FY390" t="s">
        <v>1516</v>
      </c>
      <c r="FZ390">
        <v>7059944</v>
      </c>
      <c r="GA390" t="s">
        <v>346</v>
      </c>
      <c r="GB390">
        <v>0</v>
      </c>
      <c r="GC390" t="s">
        <v>62</v>
      </c>
      <c r="GH390" t="s">
        <v>306</v>
      </c>
      <c r="GM390" t="s">
        <v>306</v>
      </c>
      <c r="GR390" t="s">
        <v>306</v>
      </c>
      <c r="GW390" t="s">
        <v>306</v>
      </c>
      <c r="GX390" t="s">
        <v>1818</v>
      </c>
      <c r="GY390">
        <v>111511</v>
      </c>
      <c r="GZ390" t="s">
        <v>346</v>
      </c>
      <c r="HA390">
        <v>0</v>
      </c>
      <c r="HB390" t="s">
        <v>53</v>
      </c>
      <c r="HG390" t="s">
        <v>306</v>
      </c>
    </row>
    <row r="391" spans="5:215" x14ac:dyDescent="0.35">
      <c r="E391" t="s">
        <v>306</v>
      </c>
      <c r="J391" t="s">
        <v>306</v>
      </c>
      <c r="O391" t="s">
        <v>306</v>
      </c>
      <c r="T391" t="s">
        <v>306</v>
      </c>
      <c r="U391" t="s">
        <v>922</v>
      </c>
      <c r="V391">
        <v>25461354</v>
      </c>
      <c r="W391" t="s">
        <v>346</v>
      </c>
      <c r="X391">
        <v>0</v>
      </c>
      <c r="Y391" t="s">
        <v>2184</v>
      </c>
      <c r="AD391" t="s">
        <v>306</v>
      </c>
      <c r="AI391" t="s">
        <v>306</v>
      </c>
      <c r="AN391" t="s">
        <v>306</v>
      </c>
      <c r="AS391" t="s">
        <v>306</v>
      </c>
      <c r="AX391" t="s">
        <v>306</v>
      </c>
      <c r="BC391" t="s">
        <v>306</v>
      </c>
      <c r="BD391" t="s">
        <v>1517</v>
      </c>
      <c r="BE391" t="s">
        <v>300</v>
      </c>
      <c r="BF391" t="s">
        <v>361</v>
      </c>
      <c r="BG391">
        <v>0</v>
      </c>
      <c r="BH391" t="s">
        <v>50</v>
      </c>
      <c r="BM391" t="s">
        <v>306</v>
      </c>
      <c r="BR391" t="s">
        <v>306</v>
      </c>
      <c r="BS391" t="s">
        <v>1053</v>
      </c>
      <c r="BT391">
        <v>4783459</v>
      </c>
      <c r="BU391" t="s">
        <v>346</v>
      </c>
      <c r="BV391">
        <v>0</v>
      </c>
      <c r="BW391" t="s">
        <v>317</v>
      </c>
      <c r="BX391" t="s">
        <v>922</v>
      </c>
      <c r="BY391">
        <v>25461354</v>
      </c>
      <c r="BZ391" t="s">
        <v>346</v>
      </c>
      <c r="CA391">
        <v>0</v>
      </c>
      <c r="CB391" t="s">
        <v>2184</v>
      </c>
      <c r="CC391" t="s">
        <v>1819</v>
      </c>
      <c r="CD391">
        <v>19088276</v>
      </c>
      <c r="CE391" t="s">
        <v>364</v>
      </c>
      <c r="CF391">
        <v>0</v>
      </c>
      <c r="CG391" t="s">
        <v>114</v>
      </c>
      <c r="CL391" t="s">
        <v>306</v>
      </c>
      <c r="CM391" t="s">
        <v>1372</v>
      </c>
      <c r="CN391">
        <v>5869594</v>
      </c>
      <c r="CO391" t="s">
        <v>346</v>
      </c>
      <c r="CP391">
        <v>0</v>
      </c>
      <c r="CQ391" t="s">
        <v>62</v>
      </c>
      <c r="CV391" t="s">
        <v>306</v>
      </c>
      <c r="DA391" t="s">
        <v>306</v>
      </c>
      <c r="DB391" t="s">
        <v>1517</v>
      </c>
      <c r="DC391" t="s">
        <v>300</v>
      </c>
      <c r="DD391" t="s">
        <v>361</v>
      </c>
      <c r="DE391">
        <v>0</v>
      </c>
      <c r="DF391" t="s">
        <v>50</v>
      </c>
      <c r="DK391" t="s">
        <v>306</v>
      </c>
      <c r="DL391" t="s">
        <v>1517</v>
      </c>
      <c r="DM391" t="s">
        <v>300</v>
      </c>
      <c r="DN391" t="s">
        <v>361</v>
      </c>
      <c r="DO391">
        <v>0</v>
      </c>
      <c r="DP391" t="s">
        <v>50</v>
      </c>
      <c r="DU391" t="s">
        <v>306</v>
      </c>
      <c r="DZ391" t="s">
        <v>306</v>
      </c>
      <c r="EA391" t="s">
        <v>1819</v>
      </c>
      <c r="EB391">
        <v>19088276</v>
      </c>
      <c r="EC391" t="s">
        <v>364</v>
      </c>
      <c r="ED391">
        <v>0</v>
      </c>
      <c r="EE391" t="s">
        <v>114</v>
      </c>
      <c r="EF391" t="s">
        <v>1517</v>
      </c>
      <c r="EG391" t="s">
        <v>300</v>
      </c>
      <c r="EH391" t="s">
        <v>361</v>
      </c>
      <c r="EI391">
        <v>0</v>
      </c>
      <c r="EJ391" t="s">
        <v>50</v>
      </c>
      <c r="EO391" t="s">
        <v>306</v>
      </c>
      <c r="ET391" t="s">
        <v>306</v>
      </c>
      <c r="EY391" t="s">
        <v>306</v>
      </c>
      <c r="FD391" t="s">
        <v>306</v>
      </c>
      <c r="FI391" t="s">
        <v>306</v>
      </c>
      <c r="FN391" t="s">
        <v>306</v>
      </c>
      <c r="FS391" t="s">
        <v>306</v>
      </c>
      <c r="FX391" t="s">
        <v>306</v>
      </c>
      <c r="FY391" t="s">
        <v>1517</v>
      </c>
      <c r="FZ391" t="s">
        <v>300</v>
      </c>
      <c r="GA391" t="s">
        <v>361</v>
      </c>
      <c r="GB391">
        <v>0</v>
      </c>
      <c r="GC391" t="s">
        <v>50</v>
      </c>
      <c r="GH391" t="s">
        <v>306</v>
      </c>
      <c r="GM391" t="s">
        <v>306</v>
      </c>
      <c r="GR391" t="s">
        <v>306</v>
      </c>
      <c r="GW391" t="s">
        <v>306</v>
      </c>
      <c r="GX391" t="s">
        <v>1819</v>
      </c>
      <c r="GY391">
        <v>19088276</v>
      </c>
      <c r="GZ391" t="s">
        <v>364</v>
      </c>
      <c r="HA391">
        <v>0</v>
      </c>
      <c r="HB391" t="s">
        <v>114</v>
      </c>
      <c r="HG391" t="s">
        <v>306</v>
      </c>
    </row>
    <row r="392" spans="5:215" x14ac:dyDescent="0.35">
      <c r="E392" t="s">
        <v>306</v>
      </c>
      <c r="J392" t="s">
        <v>306</v>
      </c>
      <c r="O392" t="s">
        <v>306</v>
      </c>
      <c r="T392" t="s">
        <v>306</v>
      </c>
      <c r="U392" t="s">
        <v>923</v>
      </c>
      <c r="V392">
        <v>4119489</v>
      </c>
      <c r="W392" t="s">
        <v>346</v>
      </c>
      <c r="X392">
        <v>0</v>
      </c>
      <c r="Y392" t="s">
        <v>53</v>
      </c>
      <c r="AD392" t="s">
        <v>306</v>
      </c>
      <c r="AI392" t="s">
        <v>306</v>
      </c>
      <c r="AN392" t="s">
        <v>306</v>
      </c>
      <c r="AS392" t="s">
        <v>306</v>
      </c>
      <c r="AX392" t="s">
        <v>306</v>
      </c>
      <c r="BC392" t="s">
        <v>306</v>
      </c>
      <c r="BD392" t="s">
        <v>574</v>
      </c>
      <c r="BE392">
        <v>4049157</v>
      </c>
      <c r="BF392" t="s">
        <v>346</v>
      </c>
      <c r="BG392">
        <v>0</v>
      </c>
      <c r="BH392" t="s">
        <v>53</v>
      </c>
      <c r="BM392" t="s">
        <v>306</v>
      </c>
      <c r="BR392" t="s">
        <v>306</v>
      </c>
      <c r="BS392" t="s">
        <v>480</v>
      </c>
      <c r="BT392">
        <v>4119651</v>
      </c>
      <c r="BU392" t="s">
        <v>346</v>
      </c>
      <c r="BV392">
        <v>0</v>
      </c>
      <c r="BW392" t="s">
        <v>53</v>
      </c>
      <c r="BX392" t="s">
        <v>923</v>
      </c>
      <c r="BY392">
        <v>4119489</v>
      </c>
      <c r="BZ392" t="s">
        <v>346</v>
      </c>
      <c r="CA392">
        <v>0</v>
      </c>
      <c r="CB392" t="s">
        <v>53</v>
      </c>
      <c r="CC392" t="s">
        <v>1820</v>
      </c>
      <c r="CD392">
        <v>4230918</v>
      </c>
      <c r="CE392" t="s">
        <v>346</v>
      </c>
      <c r="CF392">
        <v>0</v>
      </c>
      <c r="CG392" t="s">
        <v>53</v>
      </c>
      <c r="CL392" t="s">
        <v>306</v>
      </c>
      <c r="CM392" t="s">
        <v>1307</v>
      </c>
      <c r="CN392">
        <v>5852488</v>
      </c>
      <c r="CO392" t="s">
        <v>346</v>
      </c>
      <c r="CP392">
        <v>0</v>
      </c>
      <c r="CQ392" t="s">
        <v>62</v>
      </c>
      <c r="CV392" t="s">
        <v>306</v>
      </c>
      <c r="DA392" t="s">
        <v>306</v>
      </c>
      <c r="DB392" t="s">
        <v>574</v>
      </c>
      <c r="DC392">
        <v>4049157</v>
      </c>
      <c r="DD392" t="s">
        <v>346</v>
      </c>
      <c r="DE392">
        <v>0</v>
      </c>
      <c r="DF392" t="s">
        <v>53</v>
      </c>
      <c r="DK392" t="s">
        <v>306</v>
      </c>
      <c r="DL392" t="s">
        <v>574</v>
      </c>
      <c r="DM392">
        <v>4049157</v>
      </c>
      <c r="DN392" t="s">
        <v>346</v>
      </c>
      <c r="DO392">
        <v>0</v>
      </c>
      <c r="DP392" t="s">
        <v>53</v>
      </c>
      <c r="DU392" t="s">
        <v>306</v>
      </c>
      <c r="DZ392" t="s">
        <v>306</v>
      </c>
      <c r="EA392" t="s">
        <v>1820</v>
      </c>
      <c r="EB392">
        <v>4230918</v>
      </c>
      <c r="EC392" t="s">
        <v>346</v>
      </c>
      <c r="ED392">
        <v>0</v>
      </c>
      <c r="EE392" t="s">
        <v>53</v>
      </c>
      <c r="EF392" t="s">
        <v>574</v>
      </c>
      <c r="EG392">
        <v>4049157</v>
      </c>
      <c r="EH392" t="s">
        <v>346</v>
      </c>
      <c r="EI392">
        <v>0</v>
      </c>
      <c r="EJ392" t="s">
        <v>53</v>
      </c>
      <c r="EO392" t="s">
        <v>306</v>
      </c>
      <c r="ET392" t="s">
        <v>306</v>
      </c>
      <c r="EY392" t="s">
        <v>306</v>
      </c>
      <c r="FD392" t="s">
        <v>306</v>
      </c>
      <c r="FI392" t="s">
        <v>306</v>
      </c>
      <c r="FN392" t="s">
        <v>306</v>
      </c>
      <c r="FS392" t="s">
        <v>306</v>
      </c>
      <c r="FX392" t="s">
        <v>306</v>
      </c>
      <c r="FY392" t="s">
        <v>574</v>
      </c>
      <c r="FZ392">
        <v>4049157</v>
      </c>
      <c r="GA392" t="s">
        <v>346</v>
      </c>
      <c r="GB392">
        <v>0</v>
      </c>
      <c r="GC392" t="s">
        <v>53</v>
      </c>
      <c r="GH392" t="s">
        <v>306</v>
      </c>
      <c r="GM392" t="s">
        <v>306</v>
      </c>
      <c r="GR392" t="s">
        <v>306</v>
      </c>
      <c r="GW392" t="s">
        <v>306</v>
      </c>
      <c r="GX392" t="s">
        <v>1820</v>
      </c>
      <c r="GY392">
        <v>4230918</v>
      </c>
      <c r="GZ392" t="s">
        <v>346</v>
      </c>
      <c r="HA392">
        <v>0</v>
      </c>
      <c r="HB392" t="s">
        <v>53</v>
      </c>
      <c r="HG392" t="s">
        <v>306</v>
      </c>
    </row>
    <row r="393" spans="5:215" x14ac:dyDescent="0.35">
      <c r="E393" t="s">
        <v>306</v>
      </c>
      <c r="J393" t="s">
        <v>306</v>
      </c>
      <c r="O393" t="s">
        <v>306</v>
      </c>
      <c r="T393" t="s">
        <v>306</v>
      </c>
      <c r="U393" t="s">
        <v>618</v>
      </c>
      <c r="V393">
        <v>100406</v>
      </c>
      <c r="W393" t="s">
        <v>366</v>
      </c>
      <c r="X393">
        <v>0</v>
      </c>
      <c r="Y393" t="s">
        <v>53</v>
      </c>
      <c r="AD393" t="s">
        <v>306</v>
      </c>
      <c r="AI393" t="s">
        <v>306</v>
      </c>
      <c r="AN393" t="s">
        <v>306</v>
      </c>
      <c r="AS393" t="s">
        <v>306</v>
      </c>
      <c r="AX393" t="s">
        <v>306</v>
      </c>
      <c r="BC393" t="s">
        <v>306</v>
      </c>
      <c r="BD393" t="s">
        <v>1518</v>
      </c>
      <c r="BE393">
        <v>114833789</v>
      </c>
      <c r="BF393" t="s">
        <v>346</v>
      </c>
      <c r="BG393">
        <v>0</v>
      </c>
      <c r="BH393" t="s">
        <v>2185</v>
      </c>
      <c r="BM393" t="s">
        <v>306</v>
      </c>
      <c r="BR393" t="s">
        <v>306</v>
      </c>
      <c r="BS393" t="s">
        <v>471</v>
      </c>
      <c r="BT393">
        <v>4102247</v>
      </c>
      <c r="BU393" t="s">
        <v>346</v>
      </c>
      <c r="BV393">
        <v>0</v>
      </c>
      <c r="BW393" t="s">
        <v>53</v>
      </c>
      <c r="BX393" t="s">
        <v>618</v>
      </c>
      <c r="BY393">
        <v>100406</v>
      </c>
      <c r="BZ393" t="s">
        <v>366</v>
      </c>
      <c r="CA393">
        <v>0</v>
      </c>
      <c r="CB393" t="s">
        <v>53</v>
      </c>
      <c r="CC393" t="s">
        <v>1150</v>
      </c>
      <c r="CD393">
        <v>4235429</v>
      </c>
      <c r="CE393" t="s">
        <v>346</v>
      </c>
      <c r="CF393">
        <v>0</v>
      </c>
      <c r="CG393" t="s">
        <v>80</v>
      </c>
      <c r="CL393" t="s">
        <v>306</v>
      </c>
      <c r="CM393" t="s">
        <v>2069</v>
      </c>
      <c r="CN393">
        <v>108506278</v>
      </c>
      <c r="CO393" t="s">
        <v>346</v>
      </c>
      <c r="CP393">
        <v>0</v>
      </c>
      <c r="CQ393" t="s">
        <v>62</v>
      </c>
      <c r="CV393" t="s">
        <v>306</v>
      </c>
      <c r="DA393" t="s">
        <v>306</v>
      </c>
      <c r="DB393" t="s">
        <v>1518</v>
      </c>
      <c r="DC393">
        <v>114833789</v>
      </c>
      <c r="DD393" t="s">
        <v>346</v>
      </c>
      <c r="DE393">
        <v>0</v>
      </c>
      <c r="DF393" t="s">
        <v>2185</v>
      </c>
      <c r="DK393" t="s">
        <v>306</v>
      </c>
      <c r="DL393" t="s">
        <v>1518</v>
      </c>
      <c r="DM393">
        <v>114833789</v>
      </c>
      <c r="DN393" t="s">
        <v>346</v>
      </c>
      <c r="DO393">
        <v>0</v>
      </c>
      <c r="DP393" t="s">
        <v>2185</v>
      </c>
      <c r="DU393" t="s">
        <v>306</v>
      </c>
      <c r="DZ393" t="s">
        <v>306</v>
      </c>
      <c r="EA393" t="s">
        <v>1150</v>
      </c>
      <c r="EB393">
        <v>4235429</v>
      </c>
      <c r="EC393" t="s">
        <v>346</v>
      </c>
      <c r="ED393">
        <v>0</v>
      </c>
      <c r="EE393" t="s">
        <v>80</v>
      </c>
      <c r="EF393" t="s">
        <v>1518</v>
      </c>
      <c r="EG393">
        <v>114833789</v>
      </c>
      <c r="EH393" t="s">
        <v>346</v>
      </c>
      <c r="EI393">
        <v>0</v>
      </c>
      <c r="EJ393" t="s">
        <v>2185</v>
      </c>
      <c r="EO393" t="s">
        <v>306</v>
      </c>
      <c r="ET393" t="s">
        <v>306</v>
      </c>
      <c r="EY393" t="s">
        <v>306</v>
      </c>
      <c r="FD393" t="s">
        <v>306</v>
      </c>
      <c r="FI393" t="s">
        <v>306</v>
      </c>
      <c r="FN393" t="s">
        <v>306</v>
      </c>
      <c r="FS393" t="s">
        <v>306</v>
      </c>
      <c r="FX393" t="s">
        <v>306</v>
      </c>
      <c r="FY393" t="s">
        <v>1518</v>
      </c>
      <c r="FZ393">
        <v>114833789</v>
      </c>
      <c r="GA393" t="s">
        <v>346</v>
      </c>
      <c r="GB393">
        <v>0</v>
      </c>
      <c r="GC393" t="s">
        <v>2185</v>
      </c>
      <c r="GH393" t="s">
        <v>306</v>
      </c>
      <c r="GM393" t="s">
        <v>306</v>
      </c>
      <c r="GR393" t="s">
        <v>306</v>
      </c>
      <c r="GW393" t="s">
        <v>306</v>
      </c>
      <c r="GX393" t="s">
        <v>1150</v>
      </c>
      <c r="GY393">
        <v>4235429</v>
      </c>
      <c r="GZ393" t="s">
        <v>346</v>
      </c>
      <c r="HA393">
        <v>0</v>
      </c>
      <c r="HB393" t="s">
        <v>80</v>
      </c>
      <c r="HG393" t="s">
        <v>306</v>
      </c>
    </row>
    <row r="394" spans="5:215" x14ac:dyDescent="0.35">
      <c r="E394" t="s">
        <v>306</v>
      </c>
      <c r="J394" t="s">
        <v>306</v>
      </c>
      <c r="O394" t="s">
        <v>306</v>
      </c>
      <c r="T394" t="s">
        <v>306</v>
      </c>
      <c r="U394" t="s">
        <v>615</v>
      </c>
      <c r="V394">
        <v>109947</v>
      </c>
      <c r="W394" t="s">
        <v>346</v>
      </c>
      <c r="X394">
        <v>0</v>
      </c>
      <c r="Y394" t="s">
        <v>53</v>
      </c>
      <c r="AD394" t="s">
        <v>306</v>
      </c>
      <c r="AI394" t="s">
        <v>306</v>
      </c>
      <c r="AN394" t="s">
        <v>306</v>
      </c>
      <c r="AS394" t="s">
        <v>306</v>
      </c>
      <c r="AX394" t="s">
        <v>306</v>
      </c>
      <c r="BC394" t="s">
        <v>306</v>
      </c>
      <c r="BD394" t="s">
        <v>1311</v>
      </c>
      <c r="BE394">
        <v>5866214</v>
      </c>
      <c r="BF394" t="s">
        <v>346</v>
      </c>
      <c r="BG394">
        <v>0</v>
      </c>
      <c r="BH394" t="s">
        <v>62</v>
      </c>
      <c r="BM394" t="s">
        <v>306</v>
      </c>
      <c r="BR394" t="s">
        <v>306</v>
      </c>
      <c r="BS394" t="s">
        <v>839</v>
      </c>
      <c r="BT394">
        <v>5759900</v>
      </c>
      <c r="BU394" t="s">
        <v>346</v>
      </c>
      <c r="BV394">
        <v>0</v>
      </c>
      <c r="BW394" t="s">
        <v>313</v>
      </c>
      <c r="BX394" t="s">
        <v>615</v>
      </c>
      <c r="BY394">
        <v>109947</v>
      </c>
      <c r="BZ394" t="s">
        <v>346</v>
      </c>
      <c r="CA394">
        <v>0</v>
      </c>
      <c r="CB394" t="s">
        <v>53</v>
      </c>
      <c r="CC394" t="s">
        <v>1002</v>
      </c>
      <c r="CD394">
        <v>110470</v>
      </c>
      <c r="CE394" t="s">
        <v>346</v>
      </c>
      <c r="CF394">
        <v>0</v>
      </c>
      <c r="CG394" t="s">
        <v>53</v>
      </c>
      <c r="CL394" t="s">
        <v>306</v>
      </c>
      <c r="CM394" t="s">
        <v>526</v>
      </c>
      <c r="CN394">
        <v>4248288</v>
      </c>
      <c r="CO394" t="s">
        <v>346</v>
      </c>
      <c r="CP394">
        <v>0</v>
      </c>
      <c r="CQ394" t="s">
        <v>80</v>
      </c>
      <c r="CV394" t="s">
        <v>306</v>
      </c>
      <c r="DA394" t="s">
        <v>306</v>
      </c>
      <c r="DB394" t="s">
        <v>1311</v>
      </c>
      <c r="DC394">
        <v>5866214</v>
      </c>
      <c r="DD394" t="s">
        <v>346</v>
      </c>
      <c r="DE394">
        <v>0</v>
      </c>
      <c r="DF394" t="s">
        <v>62</v>
      </c>
      <c r="DK394" t="s">
        <v>306</v>
      </c>
      <c r="DL394" t="s">
        <v>1311</v>
      </c>
      <c r="DM394">
        <v>5866214</v>
      </c>
      <c r="DN394" t="s">
        <v>346</v>
      </c>
      <c r="DO394">
        <v>0</v>
      </c>
      <c r="DP394" t="s">
        <v>62</v>
      </c>
      <c r="DU394" t="s">
        <v>306</v>
      </c>
      <c r="DZ394" t="s">
        <v>306</v>
      </c>
      <c r="EA394" t="s">
        <v>1002</v>
      </c>
      <c r="EB394">
        <v>110470</v>
      </c>
      <c r="EC394" t="s">
        <v>346</v>
      </c>
      <c r="ED394">
        <v>0</v>
      </c>
      <c r="EE394" t="s">
        <v>53</v>
      </c>
      <c r="EF394" t="s">
        <v>1311</v>
      </c>
      <c r="EG394">
        <v>5866214</v>
      </c>
      <c r="EH394" t="s">
        <v>346</v>
      </c>
      <c r="EI394">
        <v>0</v>
      </c>
      <c r="EJ394" t="s">
        <v>62</v>
      </c>
      <c r="EO394" t="s">
        <v>306</v>
      </c>
      <c r="ET394" t="s">
        <v>306</v>
      </c>
      <c r="EY394" t="s">
        <v>306</v>
      </c>
      <c r="FD394" t="s">
        <v>306</v>
      </c>
      <c r="FI394" t="s">
        <v>306</v>
      </c>
      <c r="FN394" t="s">
        <v>306</v>
      </c>
      <c r="FS394" t="s">
        <v>306</v>
      </c>
      <c r="FX394" t="s">
        <v>306</v>
      </c>
      <c r="FY394" t="s">
        <v>1311</v>
      </c>
      <c r="FZ394">
        <v>5866214</v>
      </c>
      <c r="GA394" t="s">
        <v>346</v>
      </c>
      <c r="GB394">
        <v>0</v>
      </c>
      <c r="GC394" t="s">
        <v>62</v>
      </c>
      <c r="GH394" t="s">
        <v>306</v>
      </c>
      <c r="GM394" t="s">
        <v>306</v>
      </c>
      <c r="GR394" t="s">
        <v>306</v>
      </c>
      <c r="GW394" t="s">
        <v>306</v>
      </c>
      <c r="GX394" t="s">
        <v>1002</v>
      </c>
      <c r="GY394">
        <v>110470</v>
      </c>
      <c r="GZ394" t="s">
        <v>346</v>
      </c>
      <c r="HA394">
        <v>0</v>
      </c>
      <c r="HB394" t="s">
        <v>53</v>
      </c>
      <c r="HG394" t="s">
        <v>306</v>
      </c>
    </row>
    <row r="395" spans="5:215" x14ac:dyDescent="0.35">
      <c r="E395" t="s">
        <v>306</v>
      </c>
      <c r="J395" t="s">
        <v>306</v>
      </c>
      <c r="O395" t="s">
        <v>306</v>
      </c>
      <c r="T395" t="s">
        <v>306</v>
      </c>
      <c r="U395" t="s">
        <v>924</v>
      </c>
      <c r="V395">
        <v>4138115</v>
      </c>
      <c r="W395" t="s">
        <v>346</v>
      </c>
      <c r="X395">
        <v>0</v>
      </c>
      <c r="Y395" t="s">
        <v>2188</v>
      </c>
      <c r="AD395" t="s">
        <v>306</v>
      </c>
      <c r="AI395" t="s">
        <v>306</v>
      </c>
      <c r="AN395" t="s">
        <v>306</v>
      </c>
      <c r="AS395" t="s">
        <v>306</v>
      </c>
      <c r="AX395" t="s">
        <v>306</v>
      </c>
      <c r="BC395" t="s">
        <v>306</v>
      </c>
      <c r="BD395" t="s">
        <v>1304</v>
      </c>
      <c r="BE395">
        <v>7490911</v>
      </c>
      <c r="BF395" t="s">
        <v>346</v>
      </c>
      <c r="BG395">
        <v>0</v>
      </c>
      <c r="BH395" t="s">
        <v>62</v>
      </c>
      <c r="BM395" t="s">
        <v>306</v>
      </c>
      <c r="BR395" t="s">
        <v>306</v>
      </c>
      <c r="BS395" t="s">
        <v>1054</v>
      </c>
      <c r="BT395">
        <v>4187046</v>
      </c>
      <c r="BU395" t="s">
        <v>346</v>
      </c>
      <c r="BV395">
        <v>0</v>
      </c>
      <c r="BW395" t="s">
        <v>53</v>
      </c>
      <c r="BX395" t="s">
        <v>924</v>
      </c>
      <c r="BY395">
        <v>4138115</v>
      </c>
      <c r="BZ395" t="s">
        <v>346</v>
      </c>
      <c r="CA395">
        <v>0</v>
      </c>
      <c r="CB395" t="s">
        <v>2188</v>
      </c>
      <c r="CC395" t="s">
        <v>1821</v>
      </c>
      <c r="CD395">
        <v>9313235</v>
      </c>
      <c r="CE395" t="s">
        <v>346</v>
      </c>
      <c r="CF395">
        <v>0</v>
      </c>
      <c r="CG395" t="s">
        <v>53</v>
      </c>
      <c r="CL395" t="s">
        <v>306</v>
      </c>
      <c r="CM395" t="s">
        <v>1460</v>
      </c>
      <c r="CN395">
        <v>4073155</v>
      </c>
      <c r="CO395" t="s">
        <v>346</v>
      </c>
      <c r="CP395">
        <v>0</v>
      </c>
      <c r="CQ395" t="s">
        <v>53</v>
      </c>
      <c r="CV395" t="s">
        <v>306</v>
      </c>
      <c r="DA395" t="s">
        <v>306</v>
      </c>
      <c r="DB395" t="s">
        <v>1304</v>
      </c>
      <c r="DC395">
        <v>7490911</v>
      </c>
      <c r="DD395" t="s">
        <v>346</v>
      </c>
      <c r="DE395">
        <v>0</v>
      </c>
      <c r="DF395" t="s">
        <v>62</v>
      </c>
      <c r="DK395" t="s">
        <v>306</v>
      </c>
      <c r="DL395" t="s">
        <v>1304</v>
      </c>
      <c r="DM395">
        <v>7490911</v>
      </c>
      <c r="DN395" t="s">
        <v>346</v>
      </c>
      <c r="DO395">
        <v>0</v>
      </c>
      <c r="DP395" t="s">
        <v>62</v>
      </c>
      <c r="DU395" t="s">
        <v>306</v>
      </c>
      <c r="DZ395" t="s">
        <v>306</v>
      </c>
      <c r="EA395" t="s">
        <v>1821</v>
      </c>
      <c r="EB395">
        <v>9313235</v>
      </c>
      <c r="EC395" t="s">
        <v>346</v>
      </c>
      <c r="ED395">
        <v>0</v>
      </c>
      <c r="EE395" t="s">
        <v>53</v>
      </c>
      <c r="EF395" t="s">
        <v>1304</v>
      </c>
      <c r="EG395">
        <v>7490911</v>
      </c>
      <c r="EH395" t="s">
        <v>346</v>
      </c>
      <c r="EI395">
        <v>0</v>
      </c>
      <c r="EJ395" t="s">
        <v>62</v>
      </c>
      <c r="EO395" t="s">
        <v>306</v>
      </c>
      <c r="ET395" t="s">
        <v>306</v>
      </c>
      <c r="EY395" t="s">
        <v>306</v>
      </c>
      <c r="FD395" t="s">
        <v>306</v>
      </c>
      <c r="FI395" t="s">
        <v>306</v>
      </c>
      <c r="FN395" t="s">
        <v>306</v>
      </c>
      <c r="FS395" t="s">
        <v>306</v>
      </c>
      <c r="FX395" t="s">
        <v>306</v>
      </c>
      <c r="FY395" t="s">
        <v>1304</v>
      </c>
      <c r="FZ395">
        <v>7490911</v>
      </c>
      <c r="GA395" t="s">
        <v>346</v>
      </c>
      <c r="GB395">
        <v>0</v>
      </c>
      <c r="GC395" t="s">
        <v>62</v>
      </c>
      <c r="GH395" t="s">
        <v>306</v>
      </c>
      <c r="GM395" t="s">
        <v>306</v>
      </c>
      <c r="GR395" t="s">
        <v>306</v>
      </c>
      <c r="GW395" t="s">
        <v>306</v>
      </c>
      <c r="GX395" t="s">
        <v>1821</v>
      </c>
      <c r="GY395">
        <v>9313235</v>
      </c>
      <c r="GZ395" t="s">
        <v>346</v>
      </c>
      <c r="HA395">
        <v>0</v>
      </c>
      <c r="HB395" t="s">
        <v>53</v>
      </c>
      <c r="HG395" t="s">
        <v>306</v>
      </c>
    </row>
    <row r="396" spans="5:215" x14ac:dyDescent="0.35">
      <c r="E396" t="s">
        <v>306</v>
      </c>
      <c r="J396" t="s">
        <v>306</v>
      </c>
      <c r="O396" t="s">
        <v>306</v>
      </c>
      <c r="T396" t="s">
        <v>306</v>
      </c>
      <c r="U396" t="s">
        <v>925</v>
      </c>
      <c r="V396">
        <v>4055966</v>
      </c>
      <c r="W396" t="s">
        <v>346</v>
      </c>
      <c r="X396">
        <v>0</v>
      </c>
      <c r="Y396" t="s">
        <v>53</v>
      </c>
      <c r="AD396" t="s">
        <v>306</v>
      </c>
      <c r="AI396" t="s">
        <v>306</v>
      </c>
      <c r="AN396" t="s">
        <v>306</v>
      </c>
      <c r="AS396" t="s">
        <v>306</v>
      </c>
      <c r="AX396" t="s">
        <v>306</v>
      </c>
      <c r="BC396" t="s">
        <v>306</v>
      </c>
      <c r="BD396" t="s">
        <v>763</v>
      </c>
      <c r="BE396">
        <v>110153</v>
      </c>
      <c r="BF396" t="s">
        <v>364</v>
      </c>
      <c r="BG396">
        <v>0</v>
      </c>
      <c r="BH396" t="s">
        <v>53</v>
      </c>
      <c r="BM396" t="s">
        <v>306</v>
      </c>
      <c r="BR396" t="s">
        <v>306</v>
      </c>
      <c r="BS396" t="s">
        <v>1055</v>
      </c>
      <c r="BT396">
        <v>4288812</v>
      </c>
      <c r="BU396" t="s">
        <v>346</v>
      </c>
      <c r="BV396">
        <v>0</v>
      </c>
      <c r="BW396" t="s">
        <v>320</v>
      </c>
      <c r="BX396" t="s">
        <v>925</v>
      </c>
      <c r="BY396">
        <v>4055966</v>
      </c>
      <c r="BZ396" t="s">
        <v>346</v>
      </c>
      <c r="CA396">
        <v>0</v>
      </c>
      <c r="CB396" t="s">
        <v>53</v>
      </c>
      <c r="CC396" t="s">
        <v>1822</v>
      </c>
      <c r="CD396">
        <v>4045705</v>
      </c>
      <c r="CE396" t="s">
        <v>366</v>
      </c>
      <c r="CF396">
        <v>0</v>
      </c>
      <c r="CG396" t="s">
        <v>53</v>
      </c>
      <c r="CL396" t="s">
        <v>306</v>
      </c>
      <c r="CM396" t="s">
        <v>621</v>
      </c>
      <c r="CN396">
        <v>4110324</v>
      </c>
      <c r="CO396" t="s">
        <v>346</v>
      </c>
      <c r="CP396">
        <v>0</v>
      </c>
      <c r="CQ396" t="s">
        <v>53</v>
      </c>
      <c r="CV396" t="s">
        <v>306</v>
      </c>
      <c r="DA396" t="s">
        <v>306</v>
      </c>
      <c r="DB396" t="s">
        <v>763</v>
      </c>
      <c r="DC396">
        <v>110153</v>
      </c>
      <c r="DD396" t="s">
        <v>364</v>
      </c>
      <c r="DE396">
        <v>0</v>
      </c>
      <c r="DF396" t="s">
        <v>53</v>
      </c>
      <c r="DK396" t="s">
        <v>306</v>
      </c>
      <c r="DL396" t="s">
        <v>763</v>
      </c>
      <c r="DM396">
        <v>110153</v>
      </c>
      <c r="DN396" t="s">
        <v>364</v>
      </c>
      <c r="DO396">
        <v>0</v>
      </c>
      <c r="DP396" t="s">
        <v>53</v>
      </c>
      <c r="DU396" t="s">
        <v>306</v>
      </c>
      <c r="DZ396" t="s">
        <v>306</v>
      </c>
      <c r="EA396" t="s">
        <v>1822</v>
      </c>
      <c r="EB396">
        <v>4045705</v>
      </c>
      <c r="EC396" t="s">
        <v>366</v>
      </c>
      <c r="ED396">
        <v>0</v>
      </c>
      <c r="EE396" t="s">
        <v>53</v>
      </c>
      <c r="EF396" t="s">
        <v>763</v>
      </c>
      <c r="EG396">
        <v>110153</v>
      </c>
      <c r="EH396" t="s">
        <v>364</v>
      </c>
      <c r="EI396">
        <v>0</v>
      </c>
      <c r="EJ396" t="s">
        <v>53</v>
      </c>
      <c r="EO396" t="s">
        <v>306</v>
      </c>
      <c r="ET396" t="s">
        <v>306</v>
      </c>
      <c r="EY396" t="s">
        <v>306</v>
      </c>
      <c r="FD396" t="s">
        <v>306</v>
      </c>
      <c r="FI396" t="s">
        <v>306</v>
      </c>
      <c r="FN396" t="s">
        <v>306</v>
      </c>
      <c r="FS396" t="s">
        <v>306</v>
      </c>
      <c r="FX396" t="s">
        <v>306</v>
      </c>
      <c r="FY396" t="s">
        <v>763</v>
      </c>
      <c r="FZ396">
        <v>110153</v>
      </c>
      <c r="GA396" t="s">
        <v>364</v>
      </c>
      <c r="GB396">
        <v>0</v>
      </c>
      <c r="GC396" t="s">
        <v>53</v>
      </c>
      <c r="GH396" t="s">
        <v>306</v>
      </c>
      <c r="GM396" t="s">
        <v>306</v>
      </c>
      <c r="GR396" t="s">
        <v>306</v>
      </c>
      <c r="GW396" t="s">
        <v>306</v>
      </c>
      <c r="GX396" t="s">
        <v>1822</v>
      </c>
      <c r="GY396">
        <v>4045705</v>
      </c>
      <c r="GZ396" t="s">
        <v>366</v>
      </c>
      <c r="HA396">
        <v>0</v>
      </c>
      <c r="HB396" t="s">
        <v>53</v>
      </c>
      <c r="HG396" t="s">
        <v>306</v>
      </c>
    </row>
    <row r="397" spans="5:215" x14ac:dyDescent="0.35">
      <c r="E397" t="s">
        <v>306</v>
      </c>
      <c r="J397" t="s">
        <v>306</v>
      </c>
      <c r="O397" t="s">
        <v>306</v>
      </c>
      <c r="T397" t="s">
        <v>306</v>
      </c>
      <c r="U397" t="s">
        <v>926</v>
      </c>
      <c r="V397">
        <v>4140566</v>
      </c>
      <c r="W397" t="s">
        <v>346</v>
      </c>
      <c r="X397">
        <v>0</v>
      </c>
      <c r="Y397" t="s">
        <v>62</v>
      </c>
      <c r="AD397" t="s">
        <v>306</v>
      </c>
      <c r="AI397" t="s">
        <v>306</v>
      </c>
      <c r="AN397" t="s">
        <v>306</v>
      </c>
      <c r="AS397" t="s">
        <v>306</v>
      </c>
      <c r="AX397" t="s">
        <v>306</v>
      </c>
      <c r="BC397" t="s">
        <v>306</v>
      </c>
      <c r="BD397" t="s">
        <v>591</v>
      </c>
      <c r="BE397">
        <v>109721</v>
      </c>
      <c r="BF397" t="s">
        <v>346</v>
      </c>
      <c r="BG397">
        <v>0</v>
      </c>
      <c r="BH397" t="s">
        <v>53</v>
      </c>
      <c r="BM397" t="s">
        <v>306</v>
      </c>
      <c r="BR397" t="s">
        <v>306</v>
      </c>
      <c r="BS397" t="s">
        <v>809</v>
      </c>
      <c r="BT397">
        <v>8682054</v>
      </c>
      <c r="BU397" t="s">
        <v>346</v>
      </c>
      <c r="BV397">
        <v>0</v>
      </c>
      <c r="BW397" t="s">
        <v>326</v>
      </c>
      <c r="BX397" t="s">
        <v>926</v>
      </c>
      <c r="BY397">
        <v>4140566</v>
      </c>
      <c r="BZ397" t="s">
        <v>346</v>
      </c>
      <c r="CA397">
        <v>0</v>
      </c>
      <c r="CB397" t="s">
        <v>62</v>
      </c>
      <c r="CC397" t="s">
        <v>1823</v>
      </c>
      <c r="CD397">
        <v>4119107</v>
      </c>
      <c r="CE397" t="s">
        <v>346</v>
      </c>
      <c r="CF397">
        <v>0</v>
      </c>
      <c r="CG397" t="s">
        <v>53</v>
      </c>
      <c r="CL397" t="s">
        <v>306</v>
      </c>
      <c r="CM397" t="s">
        <v>517</v>
      </c>
      <c r="CN397">
        <v>111097</v>
      </c>
      <c r="CO397" t="s">
        <v>346</v>
      </c>
      <c r="CP397">
        <v>0</v>
      </c>
      <c r="CQ397" t="s">
        <v>53</v>
      </c>
      <c r="CV397" t="s">
        <v>306</v>
      </c>
      <c r="DA397" t="s">
        <v>306</v>
      </c>
      <c r="DB397" t="s">
        <v>591</v>
      </c>
      <c r="DC397">
        <v>109721</v>
      </c>
      <c r="DD397" t="s">
        <v>346</v>
      </c>
      <c r="DE397">
        <v>0</v>
      </c>
      <c r="DF397" t="s">
        <v>53</v>
      </c>
      <c r="DK397" t="s">
        <v>306</v>
      </c>
      <c r="DL397" t="s">
        <v>591</v>
      </c>
      <c r="DM397">
        <v>109721</v>
      </c>
      <c r="DN397" t="s">
        <v>346</v>
      </c>
      <c r="DO397">
        <v>0</v>
      </c>
      <c r="DP397" t="s">
        <v>53</v>
      </c>
      <c r="DU397" t="s">
        <v>306</v>
      </c>
      <c r="DZ397" t="s">
        <v>306</v>
      </c>
      <c r="EA397" t="s">
        <v>1823</v>
      </c>
      <c r="EB397">
        <v>4119107</v>
      </c>
      <c r="EC397" t="s">
        <v>346</v>
      </c>
      <c r="ED397">
        <v>0</v>
      </c>
      <c r="EE397" t="s">
        <v>53</v>
      </c>
      <c r="EF397" t="s">
        <v>591</v>
      </c>
      <c r="EG397">
        <v>109721</v>
      </c>
      <c r="EH397" t="s">
        <v>346</v>
      </c>
      <c r="EI397">
        <v>0</v>
      </c>
      <c r="EJ397" t="s">
        <v>53</v>
      </c>
      <c r="EO397" t="s">
        <v>306</v>
      </c>
      <c r="ET397" t="s">
        <v>306</v>
      </c>
      <c r="EY397" t="s">
        <v>306</v>
      </c>
      <c r="FD397" t="s">
        <v>306</v>
      </c>
      <c r="FI397" t="s">
        <v>306</v>
      </c>
      <c r="FN397" t="s">
        <v>306</v>
      </c>
      <c r="FS397" t="s">
        <v>306</v>
      </c>
      <c r="FX397" t="s">
        <v>306</v>
      </c>
      <c r="FY397" t="s">
        <v>591</v>
      </c>
      <c r="FZ397">
        <v>109721</v>
      </c>
      <c r="GA397" t="s">
        <v>346</v>
      </c>
      <c r="GB397">
        <v>0</v>
      </c>
      <c r="GC397" t="s">
        <v>53</v>
      </c>
      <c r="GH397" t="s">
        <v>306</v>
      </c>
      <c r="GM397" t="s">
        <v>306</v>
      </c>
      <c r="GR397" t="s">
        <v>306</v>
      </c>
      <c r="GW397" t="s">
        <v>306</v>
      </c>
      <c r="GX397" t="s">
        <v>1823</v>
      </c>
      <c r="GY397">
        <v>4119107</v>
      </c>
      <c r="GZ397" t="s">
        <v>346</v>
      </c>
      <c r="HA397">
        <v>0</v>
      </c>
      <c r="HB397" t="s">
        <v>53</v>
      </c>
      <c r="HG397" t="s">
        <v>306</v>
      </c>
    </row>
    <row r="398" spans="5:215" x14ac:dyDescent="0.35">
      <c r="E398" t="s">
        <v>306</v>
      </c>
      <c r="J398" t="s">
        <v>306</v>
      </c>
      <c r="O398" t="s">
        <v>306</v>
      </c>
      <c r="T398" t="s">
        <v>306</v>
      </c>
      <c r="U398" t="s">
        <v>548</v>
      </c>
      <c r="V398">
        <v>26480935</v>
      </c>
      <c r="W398" t="s">
        <v>346</v>
      </c>
      <c r="X398">
        <v>0</v>
      </c>
      <c r="Y398" t="s">
        <v>53</v>
      </c>
      <c r="AD398" t="s">
        <v>306</v>
      </c>
      <c r="AI398" t="s">
        <v>306</v>
      </c>
      <c r="AN398" t="s">
        <v>306</v>
      </c>
      <c r="AS398" t="s">
        <v>306</v>
      </c>
      <c r="AX398" t="s">
        <v>306</v>
      </c>
      <c r="BC398" t="s">
        <v>306</v>
      </c>
      <c r="BD398" t="s">
        <v>1098</v>
      </c>
      <c r="BE398">
        <v>4119219</v>
      </c>
      <c r="BF398" t="s">
        <v>346</v>
      </c>
      <c r="BG398">
        <v>0</v>
      </c>
      <c r="BH398" t="s">
        <v>53</v>
      </c>
      <c r="BM398" t="s">
        <v>306</v>
      </c>
      <c r="BR398" t="s">
        <v>306</v>
      </c>
      <c r="BS398" t="s">
        <v>1056</v>
      </c>
      <c r="BT398">
        <v>4137828</v>
      </c>
      <c r="BU398" t="s">
        <v>346</v>
      </c>
      <c r="BV398">
        <v>0</v>
      </c>
      <c r="BW398" t="s">
        <v>2194</v>
      </c>
      <c r="BX398" t="s">
        <v>548</v>
      </c>
      <c r="BY398">
        <v>26480935</v>
      </c>
      <c r="BZ398" t="s">
        <v>346</v>
      </c>
      <c r="CA398">
        <v>0</v>
      </c>
      <c r="CB398" t="s">
        <v>53</v>
      </c>
      <c r="CC398" t="s">
        <v>1824</v>
      </c>
      <c r="CD398">
        <v>4054540</v>
      </c>
      <c r="CE398" t="s">
        <v>346</v>
      </c>
      <c r="CF398">
        <v>0</v>
      </c>
      <c r="CG398" t="s">
        <v>53</v>
      </c>
      <c r="CL398" t="s">
        <v>306</v>
      </c>
      <c r="CM398" t="s">
        <v>2070</v>
      </c>
      <c r="CN398">
        <v>4116022</v>
      </c>
      <c r="CO398" t="s">
        <v>346</v>
      </c>
      <c r="CP398">
        <v>0</v>
      </c>
      <c r="CQ398" t="s">
        <v>53</v>
      </c>
      <c r="CV398" t="s">
        <v>306</v>
      </c>
      <c r="DA398" t="s">
        <v>306</v>
      </c>
      <c r="DB398" t="s">
        <v>1098</v>
      </c>
      <c r="DC398">
        <v>4119219</v>
      </c>
      <c r="DD398" t="s">
        <v>346</v>
      </c>
      <c r="DE398">
        <v>0</v>
      </c>
      <c r="DF398" t="s">
        <v>53</v>
      </c>
      <c r="DK398" t="s">
        <v>306</v>
      </c>
      <c r="DL398" t="s">
        <v>1098</v>
      </c>
      <c r="DM398">
        <v>4119219</v>
      </c>
      <c r="DN398" t="s">
        <v>346</v>
      </c>
      <c r="DO398">
        <v>0</v>
      </c>
      <c r="DP398" t="s">
        <v>53</v>
      </c>
      <c r="DU398" t="s">
        <v>306</v>
      </c>
      <c r="DZ398" t="s">
        <v>306</v>
      </c>
      <c r="EA398" t="s">
        <v>1824</v>
      </c>
      <c r="EB398">
        <v>4054540</v>
      </c>
      <c r="EC398" t="s">
        <v>346</v>
      </c>
      <c r="ED398">
        <v>0</v>
      </c>
      <c r="EE398" t="s">
        <v>53</v>
      </c>
      <c r="EF398" t="s">
        <v>1098</v>
      </c>
      <c r="EG398">
        <v>4119219</v>
      </c>
      <c r="EH398" t="s">
        <v>346</v>
      </c>
      <c r="EI398">
        <v>0</v>
      </c>
      <c r="EJ398" t="s">
        <v>53</v>
      </c>
      <c r="EO398" t="s">
        <v>306</v>
      </c>
      <c r="ET398" t="s">
        <v>306</v>
      </c>
      <c r="EY398" t="s">
        <v>306</v>
      </c>
      <c r="FD398" t="s">
        <v>306</v>
      </c>
      <c r="FI398" t="s">
        <v>306</v>
      </c>
      <c r="FN398" t="s">
        <v>306</v>
      </c>
      <c r="FS398" t="s">
        <v>306</v>
      </c>
      <c r="FX398" t="s">
        <v>306</v>
      </c>
      <c r="FY398" t="s">
        <v>1098</v>
      </c>
      <c r="FZ398">
        <v>4119219</v>
      </c>
      <c r="GA398" t="s">
        <v>346</v>
      </c>
      <c r="GB398">
        <v>0</v>
      </c>
      <c r="GC398" t="s">
        <v>53</v>
      </c>
      <c r="GH398" t="s">
        <v>306</v>
      </c>
      <c r="GM398" t="s">
        <v>306</v>
      </c>
      <c r="GR398" t="s">
        <v>306</v>
      </c>
      <c r="GW398" t="s">
        <v>306</v>
      </c>
      <c r="GX398" t="s">
        <v>1824</v>
      </c>
      <c r="GY398">
        <v>4054540</v>
      </c>
      <c r="GZ398" t="s">
        <v>346</v>
      </c>
      <c r="HA398">
        <v>0</v>
      </c>
      <c r="HB398" t="s">
        <v>53</v>
      </c>
      <c r="HG398" t="s">
        <v>306</v>
      </c>
    </row>
    <row r="399" spans="5:215" x14ac:dyDescent="0.35">
      <c r="E399" t="s">
        <v>306</v>
      </c>
      <c r="J399" t="s">
        <v>306</v>
      </c>
      <c r="O399" t="s">
        <v>306</v>
      </c>
      <c r="T399" t="s">
        <v>306</v>
      </c>
      <c r="U399" t="s">
        <v>927</v>
      </c>
      <c r="V399">
        <v>110719123</v>
      </c>
      <c r="W399" t="s">
        <v>346</v>
      </c>
      <c r="X399">
        <v>0</v>
      </c>
      <c r="Y399" t="s">
        <v>306</v>
      </c>
      <c r="AD399" t="s">
        <v>306</v>
      </c>
      <c r="AI399" t="s">
        <v>306</v>
      </c>
      <c r="AN399" t="s">
        <v>306</v>
      </c>
      <c r="AS399" t="s">
        <v>306</v>
      </c>
      <c r="AX399" t="s">
        <v>306</v>
      </c>
      <c r="BC399" t="s">
        <v>306</v>
      </c>
      <c r="BD399" t="s">
        <v>1323</v>
      </c>
      <c r="BE399">
        <v>5854916</v>
      </c>
      <c r="BF399" t="s">
        <v>346</v>
      </c>
      <c r="BG399">
        <v>0</v>
      </c>
      <c r="BH399" t="s">
        <v>62</v>
      </c>
      <c r="BM399" t="s">
        <v>306</v>
      </c>
      <c r="BR399" t="s">
        <v>306</v>
      </c>
      <c r="BS399" t="s">
        <v>494</v>
      </c>
      <c r="BT399">
        <v>4583596</v>
      </c>
      <c r="BU399" t="s">
        <v>346</v>
      </c>
      <c r="BV399">
        <v>0</v>
      </c>
      <c r="BW399" t="s">
        <v>53</v>
      </c>
      <c r="BX399" t="s">
        <v>927</v>
      </c>
      <c r="BY399">
        <v>110719123</v>
      </c>
      <c r="BZ399" t="s">
        <v>346</v>
      </c>
      <c r="CA399">
        <v>0</v>
      </c>
      <c r="CB399" t="s">
        <v>306</v>
      </c>
      <c r="CC399" t="s">
        <v>1825</v>
      </c>
      <c r="CD399">
        <v>4585324</v>
      </c>
      <c r="CE399" t="s">
        <v>346</v>
      </c>
      <c r="CF399">
        <v>0</v>
      </c>
      <c r="CG399" t="s">
        <v>53</v>
      </c>
      <c r="CL399" t="s">
        <v>306</v>
      </c>
      <c r="CM399" t="s">
        <v>548</v>
      </c>
      <c r="CN399">
        <v>26480935</v>
      </c>
      <c r="CO399" t="s">
        <v>346</v>
      </c>
      <c r="CP399">
        <v>0</v>
      </c>
      <c r="CQ399" t="s">
        <v>53</v>
      </c>
      <c r="CV399" t="s">
        <v>306</v>
      </c>
      <c r="DA399" t="s">
        <v>306</v>
      </c>
      <c r="DB399" t="s">
        <v>1323</v>
      </c>
      <c r="DC399">
        <v>5854916</v>
      </c>
      <c r="DD399" t="s">
        <v>346</v>
      </c>
      <c r="DE399">
        <v>0</v>
      </c>
      <c r="DF399" t="s">
        <v>62</v>
      </c>
      <c r="DK399" t="s">
        <v>306</v>
      </c>
      <c r="DL399" t="s">
        <v>1323</v>
      </c>
      <c r="DM399">
        <v>5854916</v>
      </c>
      <c r="DN399" t="s">
        <v>346</v>
      </c>
      <c r="DO399">
        <v>0</v>
      </c>
      <c r="DP399" t="s">
        <v>62</v>
      </c>
      <c r="DU399" t="s">
        <v>306</v>
      </c>
      <c r="DZ399" t="s">
        <v>306</v>
      </c>
      <c r="EA399" t="s">
        <v>1825</v>
      </c>
      <c r="EB399">
        <v>4585324</v>
      </c>
      <c r="EC399" t="s">
        <v>346</v>
      </c>
      <c r="ED399">
        <v>0</v>
      </c>
      <c r="EE399" t="s">
        <v>53</v>
      </c>
      <c r="EF399" t="s">
        <v>1323</v>
      </c>
      <c r="EG399">
        <v>5854916</v>
      </c>
      <c r="EH399" t="s">
        <v>346</v>
      </c>
      <c r="EI399">
        <v>0</v>
      </c>
      <c r="EJ399" t="s">
        <v>62</v>
      </c>
      <c r="EO399" t="s">
        <v>306</v>
      </c>
      <c r="ET399" t="s">
        <v>306</v>
      </c>
      <c r="EY399" t="s">
        <v>306</v>
      </c>
      <c r="FD399" t="s">
        <v>306</v>
      </c>
      <c r="FI399" t="s">
        <v>306</v>
      </c>
      <c r="FN399" t="s">
        <v>306</v>
      </c>
      <c r="FS399" t="s">
        <v>306</v>
      </c>
      <c r="FX399" t="s">
        <v>306</v>
      </c>
      <c r="FY399" t="s">
        <v>1323</v>
      </c>
      <c r="FZ399">
        <v>5854916</v>
      </c>
      <c r="GA399" t="s">
        <v>346</v>
      </c>
      <c r="GB399">
        <v>0</v>
      </c>
      <c r="GC399" t="s">
        <v>62</v>
      </c>
      <c r="GH399" t="s">
        <v>306</v>
      </c>
      <c r="GM399" t="s">
        <v>306</v>
      </c>
      <c r="GR399" t="s">
        <v>306</v>
      </c>
      <c r="GW399" t="s">
        <v>306</v>
      </c>
      <c r="GX399" t="s">
        <v>1825</v>
      </c>
      <c r="GY399">
        <v>4585324</v>
      </c>
      <c r="GZ399" t="s">
        <v>346</v>
      </c>
      <c r="HA399">
        <v>0</v>
      </c>
      <c r="HB399" t="s">
        <v>53</v>
      </c>
      <c r="HG399" t="s">
        <v>306</v>
      </c>
    </row>
    <row r="400" spans="5:215" x14ac:dyDescent="0.35">
      <c r="E400" t="s">
        <v>306</v>
      </c>
      <c r="J400" t="s">
        <v>306</v>
      </c>
      <c r="O400" t="s">
        <v>306</v>
      </c>
      <c r="T400" t="s">
        <v>306</v>
      </c>
      <c r="U400" t="s">
        <v>549</v>
      </c>
      <c r="V400">
        <v>4556203</v>
      </c>
      <c r="W400" t="s">
        <v>346</v>
      </c>
      <c r="X400">
        <v>0</v>
      </c>
      <c r="Y400" t="s">
        <v>53</v>
      </c>
      <c r="AD400" t="s">
        <v>306</v>
      </c>
      <c r="AI400" t="s">
        <v>306</v>
      </c>
      <c r="AN400" t="s">
        <v>306</v>
      </c>
      <c r="AS400" t="s">
        <v>306</v>
      </c>
      <c r="AX400" t="s">
        <v>306</v>
      </c>
      <c r="BC400" t="s">
        <v>306</v>
      </c>
      <c r="BD400" t="s">
        <v>1519</v>
      </c>
      <c r="BE400">
        <v>5867090</v>
      </c>
      <c r="BF400" t="s">
        <v>346</v>
      </c>
      <c r="BG400">
        <v>0</v>
      </c>
      <c r="BH400" t="s">
        <v>62</v>
      </c>
      <c r="BM400" t="s">
        <v>306</v>
      </c>
      <c r="BR400" t="s">
        <v>306</v>
      </c>
      <c r="BS400" t="s">
        <v>1057</v>
      </c>
      <c r="BT400">
        <v>4138977</v>
      </c>
      <c r="BU400" t="s">
        <v>346</v>
      </c>
      <c r="BV400">
        <v>0</v>
      </c>
      <c r="BW400" t="s">
        <v>2203</v>
      </c>
      <c r="BX400" t="s">
        <v>549</v>
      </c>
      <c r="BY400">
        <v>4556203</v>
      </c>
      <c r="BZ400" t="s">
        <v>346</v>
      </c>
      <c r="CA400">
        <v>0</v>
      </c>
      <c r="CB400" t="s">
        <v>53</v>
      </c>
      <c r="CC400" t="s">
        <v>781</v>
      </c>
      <c r="CD400">
        <v>7794310</v>
      </c>
      <c r="CE400" t="s">
        <v>346</v>
      </c>
      <c r="CF400">
        <v>0</v>
      </c>
      <c r="CG400" t="s">
        <v>313</v>
      </c>
      <c r="CL400" t="s">
        <v>306</v>
      </c>
      <c r="CM400" t="s">
        <v>1358</v>
      </c>
      <c r="CN400">
        <v>8264448</v>
      </c>
      <c r="CO400" t="s">
        <v>346</v>
      </c>
      <c r="CP400">
        <v>0</v>
      </c>
      <c r="CQ400" t="s">
        <v>62</v>
      </c>
      <c r="CV400" t="s">
        <v>306</v>
      </c>
      <c r="DA400" t="s">
        <v>306</v>
      </c>
      <c r="DB400" t="s">
        <v>1519</v>
      </c>
      <c r="DC400">
        <v>5867090</v>
      </c>
      <c r="DD400" t="s">
        <v>346</v>
      </c>
      <c r="DE400">
        <v>0</v>
      </c>
      <c r="DF400" t="s">
        <v>62</v>
      </c>
      <c r="DK400" t="s">
        <v>306</v>
      </c>
      <c r="DL400" t="s">
        <v>1519</v>
      </c>
      <c r="DM400">
        <v>5867090</v>
      </c>
      <c r="DN400" t="s">
        <v>346</v>
      </c>
      <c r="DO400">
        <v>0</v>
      </c>
      <c r="DP400" t="s">
        <v>62</v>
      </c>
      <c r="DU400" t="s">
        <v>306</v>
      </c>
      <c r="DZ400" t="s">
        <v>306</v>
      </c>
      <c r="EA400" t="s">
        <v>781</v>
      </c>
      <c r="EB400">
        <v>7794310</v>
      </c>
      <c r="EC400" t="s">
        <v>346</v>
      </c>
      <c r="ED400">
        <v>0</v>
      </c>
      <c r="EE400" t="s">
        <v>313</v>
      </c>
      <c r="EF400" t="s">
        <v>1519</v>
      </c>
      <c r="EG400">
        <v>5867090</v>
      </c>
      <c r="EH400" t="s">
        <v>346</v>
      </c>
      <c r="EI400">
        <v>0</v>
      </c>
      <c r="EJ400" t="s">
        <v>62</v>
      </c>
      <c r="EO400" t="s">
        <v>306</v>
      </c>
      <c r="ET400" t="s">
        <v>306</v>
      </c>
      <c r="EY400" t="s">
        <v>306</v>
      </c>
      <c r="FD400" t="s">
        <v>306</v>
      </c>
      <c r="FI400" t="s">
        <v>306</v>
      </c>
      <c r="FN400" t="s">
        <v>306</v>
      </c>
      <c r="FS400" t="s">
        <v>306</v>
      </c>
      <c r="FX400" t="s">
        <v>306</v>
      </c>
      <c r="FY400" t="s">
        <v>1519</v>
      </c>
      <c r="FZ400">
        <v>5867090</v>
      </c>
      <c r="GA400" t="s">
        <v>346</v>
      </c>
      <c r="GB400">
        <v>0</v>
      </c>
      <c r="GC400" t="s">
        <v>62</v>
      </c>
      <c r="GH400" t="s">
        <v>306</v>
      </c>
      <c r="GM400" t="s">
        <v>306</v>
      </c>
      <c r="GR400" t="s">
        <v>306</v>
      </c>
      <c r="GW400" t="s">
        <v>306</v>
      </c>
      <c r="GX400" t="s">
        <v>781</v>
      </c>
      <c r="GY400">
        <v>7794310</v>
      </c>
      <c r="GZ400" t="s">
        <v>346</v>
      </c>
      <c r="HA400">
        <v>0</v>
      </c>
      <c r="HB400" t="s">
        <v>313</v>
      </c>
      <c r="HG400" t="s">
        <v>306</v>
      </c>
    </row>
    <row r="401" spans="5:215" x14ac:dyDescent="0.35">
      <c r="E401" t="s">
        <v>306</v>
      </c>
      <c r="J401" t="s">
        <v>306</v>
      </c>
      <c r="O401" t="s">
        <v>306</v>
      </c>
      <c r="T401" t="s">
        <v>306</v>
      </c>
      <c r="U401" t="s">
        <v>928</v>
      </c>
      <c r="V401">
        <v>4587777</v>
      </c>
      <c r="W401" t="s">
        <v>346</v>
      </c>
      <c r="X401">
        <v>0</v>
      </c>
      <c r="Y401" t="s">
        <v>50</v>
      </c>
      <c r="AD401" t="s">
        <v>306</v>
      </c>
      <c r="AI401" t="s">
        <v>306</v>
      </c>
      <c r="AN401" t="s">
        <v>306</v>
      </c>
      <c r="AS401" t="s">
        <v>306</v>
      </c>
      <c r="AX401" t="s">
        <v>306</v>
      </c>
      <c r="BC401" t="s">
        <v>306</v>
      </c>
      <c r="BD401" t="s">
        <v>1349</v>
      </c>
      <c r="BE401">
        <v>4428399</v>
      </c>
      <c r="BF401" t="s">
        <v>346</v>
      </c>
      <c r="BG401">
        <v>0</v>
      </c>
      <c r="BH401" t="s">
        <v>62</v>
      </c>
      <c r="BM401" t="s">
        <v>306</v>
      </c>
      <c r="BR401" t="s">
        <v>306</v>
      </c>
      <c r="BS401" t="s">
        <v>1058</v>
      </c>
      <c r="BT401">
        <v>19942920</v>
      </c>
      <c r="BU401" t="s">
        <v>364</v>
      </c>
      <c r="BV401">
        <v>0</v>
      </c>
      <c r="BW401" t="s">
        <v>326</v>
      </c>
      <c r="BX401" t="s">
        <v>928</v>
      </c>
      <c r="BY401">
        <v>4587777</v>
      </c>
      <c r="BZ401" t="s">
        <v>346</v>
      </c>
      <c r="CA401">
        <v>0</v>
      </c>
      <c r="CB401" t="s">
        <v>50</v>
      </c>
      <c r="CC401" t="s">
        <v>1826</v>
      </c>
      <c r="CD401">
        <v>4608100</v>
      </c>
      <c r="CE401" t="s">
        <v>369</v>
      </c>
      <c r="CF401">
        <v>0</v>
      </c>
      <c r="CG401" t="s">
        <v>114</v>
      </c>
      <c r="CL401" t="s">
        <v>306</v>
      </c>
      <c r="CM401" t="s">
        <v>1704</v>
      </c>
      <c r="CN401">
        <v>1000525</v>
      </c>
      <c r="CO401" t="s">
        <v>346</v>
      </c>
      <c r="CP401">
        <v>0</v>
      </c>
      <c r="CQ401" t="s">
        <v>53</v>
      </c>
      <c r="CV401" t="s">
        <v>306</v>
      </c>
      <c r="DA401" t="s">
        <v>306</v>
      </c>
      <c r="DB401" t="s">
        <v>1349</v>
      </c>
      <c r="DC401">
        <v>4428399</v>
      </c>
      <c r="DD401" t="s">
        <v>346</v>
      </c>
      <c r="DE401">
        <v>0</v>
      </c>
      <c r="DF401" t="s">
        <v>62</v>
      </c>
      <c r="DK401" t="s">
        <v>306</v>
      </c>
      <c r="DL401" t="s">
        <v>1349</v>
      </c>
      <c r="DM401">
        <v>4428399</v>
      </c>
      <c r="DN401" t="s">
        <v>346</v>
      </c>
      <c r="DO401">
        <v>0</v>
      </c>
      <c r="DP401" t="s">
        <v>62</v>
      </c>
      <c r="DU401" t="s">
        <v>306</v>
      </c>
      <c r="DZ401" t="s">
        <v>306</v>
      </c>
      <c r="EA401" t="s">
        <v>1826</v>
      </c>
      <c r="EB401">
        <v>4608100</v>
      </c>
      <c r="EC401" t="s">
        <v>369</v>
      </c>
      <c r="ED401">
        <v>0</v>
      </c>
      <c r="EE401" t="s">
        <v>114</v>
      </c>
      <c r="EF401" t="s">
        <v>1349</v>
      </c>
      <c r="EG401">
        <v>4428399</v>
      </c>
      <c r="EH401" t="s">
        <v>346</v>
      </c>
      <c r="EI401">
        <v>0</v>
      </c>
      <c r="EJ401" t="s">
        <v>62</v>
      </c>
      <c r="EO401" t="s">
        <v>306</v>
      </c>
      <c r="ET401" t="s">
        <v>306</v>
      </c>
      <c r="EY401" t="s">
        <v>306</v>
      </c>
      <c r="FD401" t="s">
        <v>306</v>
      </c>
      <c r="FI401" t="s">
        <v>306</v>
      </c>
      <c r="FN401" t="s">
        <v>306</v>
      </c>
      <c r="FS401" t="s">
        <v>306</v>
      </c>
      <c r="FX401" t="s">
        <v>306</v>
      </c>
      <c r="FY401" t="s">
        <v>1349</v>
      </c>
      <c r="FZ401">
        <v>4428399</v>
      </c>
      <c r="GA401" t="s">
        <v>346</v>
      </c>
      <c r="GB401">
        <v>0</v>
      </c>
      <c r="GC401" t="s">
        <v>62</v>
      </c>
      <c r="GH401" t="s">
        <v>306</v>
      </c>
      <c r="GM401" t="s">
        <v>306</v>
      </c>
      <c r="GR401" t="s">
        <v>306</v>
      </c>
      <c r="GW401" t="s">
        <v>306</v>
      </c>
      <c r="GX401" t="s">
        <v>1826</v>
      </c>
      <c r="GY401">
        <v>4608100</v>
      </c>
      <c r="GZ401" t="s">
        <v>369</v>
      </c>
      <c r="HA401">
        <v>0</v>
      </c>
      <c r="HB401" t="s">
        <v>114</v>
      </c>
      <c r="HG401" t="s">
        <v>306</v>
      </c>
    </row>
    <row r="402" spans="5:215" x14ac:dyDescent="0.35">
      <c r="E402" t="s">
        <v>306</v>
      </c>
      <c r="J402" t="s">
        <v>306</v>
      </c>
      <c r="O402" t="s">
        <v>306</v>
      </c>
      <c r="T402" t="s">
        <v>306</v>
      </c>
      <c r="U402" t="s">
        <v>617</v>
      </c>
      <c r="V402">
        <v>4117990</v>
      </c>
      <c r="W402" t="s">
        <v>346</v>
      </c>
      <c r="X402">
        <v>0</v>
      </c>
      <c r="Y402" t="s">
        <v>53</v>
      </c>
      <c r="AD402" t="s">
        <v>306</v>
      </c>
      <c r="AI402" t="s">
        <v>306</v>
      </c>
      <c r="AN402" t="s">
        <v>306</v>
      </c>
      <c r="AS402" t="s">
        <v>306</v>
      </c>
      <c r="AX402" t="s">
        <v>306</v>
      </c>
      <c r="BC402" t="s">
        <v>306</v>
      </c>
      <c r="BD402" t="s">
        <v>1318</v>
      </c>
      <c r="BE402">
        <v>4234965</v>
      </c>
      <c r="BF402" t="s">
        <v>346</v>
      </c>
      <c r="BG402">
        <v>0</v>
      </c>
      <c r="BH402" t="s">
        <v>2202</v>
      </c>
      <c r="BM402" t="s">
        <v>306</v>
      </c>
      <c r="BR402" t="s">
        <v>306</v>
      </c>
      <c r="BS402" t="s">
        <v>763</v>
      </c>
      <c r="BT402">
        <v>110153</v>
      </c>
      <c r="BU402" t="s">
        <v>364</v>
      </c>
      <c r="BV402">
        <v>0</v>
      </c>
      <c r="BW402" t="s">
        <v>53</v>
      </c>
      <c r="BX402" t="s">
        <v>617</v>
      </c>
      <c r="BY402">
        <v>4117990</v>
      </c>
      <c r="BZ402" t="s">
        <v>346</v>
      </c>
      <c r="CA402">
        <v>0</v>
      </c>
      <c r="CB402" t="s">
        <v>53</v>
      </c>
      <c r="CC402" t="s">
        <v>1827</v>
      </c>
      <c r="CD402">
        <v>4116182</v>
      </c>
      <c r="CE402" t="s">
        <v>346</v>
      </c>
      <c r="CF402">
        <v>0</v>
      </c>
      <c r="CG402" t="s">
        <v>53</v>
      </c>
      <c r="CL402" t="s">
        <v>306</v>
      </c>
      <c r="CM402" t="s">
        <v>1363</v>
      </c>
      <c r="CN402">
        <v>13069459</v>
      </c>
      <c r="CO402" t="s">
        <v>346</v>
      </c>
      <c r="CP402">
        <v>0</v>
      </c>
      <c r="CQ402" t="s">
        <v>62</v>
      </c>
      <c r="CV402" t="s">
        <v>306</v>
      </c>
      <c r="DA402" t="s">
        <v>306</v>
      </c>
      <c r="DB402" t="s">
        <v>1318</v>
      </c>
      <c r="DC402">
        <v>4234965</v>
      </c>
      <c r="DD402" t="s">
        <v>346</v>
      </c>
      <c r="DE402">
        <v>0</v>
      </c>
      <c r="DF402" t="s">
        <v>2202</v>
      </c>
      <c r="DK402" t="s">
        <v>306</v>
      </c>
      <c r="DL402" t="s">
        <v>1318</v>
      </c>
      <c r="DM402">
        <v>4234965</v>
      </c>
      <c r="DN402" t="s">
        <v>346</v>
      </c>
      <c r="DO402">
        <v>0</v>
      </c>
      <c r="DP402" t="s">
        <v>2202</v>
      </c>
      <c r="DU402" t="s">
        <v>306</v>
      </c>
      <c r="DZ402" t="s">
        <v>306</v>
      </c>
      <c r="EA402" t="s">
        <v>1827</v>
      </c>
      <c r="EB402">
        <v>4116182</v>
      </c>
      <c r="EC402" t="s">
        <v>346</v>
      </c>
      <c r="ED402">
        <v>0</v>
      </c>
      <c r="EE402" t="s">
        <v>53</v>
      </c>
      <c r="EF402" t="s">
        <v>1318</v>
      </c>
      <c r="EG402">
        <v>4234965</v>
      </c>
      <c r="EH402" t="s">
        <v>346</v>
      </c>
      <c r="EI402">
        <v>0</v>
      </c>
      <c r="EJ402" t="s">
        <v>2202</v>
      </c>
      <c r="EO402" t="s">
        <v>306</v>
      </c>
      <c r="ET402" t="s">
        <v>306</v>
      </c>
      <c r="EY402" t="s">
        <v>306</v>
      </c>
      <c r="FD402" t="s">
        <v>306</v>
      </c>
      <c r="FI402" t="s">
        <v>306</v>
      </c>
      <c r="FN402" t="s">
        <v>306</v>
      </c>
      <c r="FS402" t="s">
        <v>306</v>
      </c>
      <c r="FX402" t="s">
        <v>306</v>
      </c>
      <c r="FY402" t="s">
        <v>1318</v>
      </c>
      <c r="FZ402">
        <v>4234965</v>
      </c>
      <c r="GA402" t="s">
        <v>346</v>
      </c>
      <c r="GB402">
        <v>0</v>
      </c>
      <c r="GC402" t="s">
        <v>2202</v>
      </c>
      <c r="GH402" t="s">
        <v>306</v>
      </c>
      <c r="GM402" t="s">
        <v>306</v>
      </c>
      <c r="GR402" t="s">
        <v>306</v>
      </c>
      <c r="GW402" t="s">
        <v>306</v>
      </c>
      <c r="GX402" t="s">
        <v>1827</v>
      </c>
      <c r="GY402">
        <v>4116182</v>
      </c>
      <c r="GZ402" t="s">
        <v>346</v>
      </c>
      <c r="HA402">
        <v>0</v>
      </c>
      <c r="HB402" t="s">
        <v>53</v>
      </c>
      <c r="HG402" t="s">
        <v>306</v>
      </c>
    </row>
    <row r="403" spans="5:215" x14ac:dyDescent="0.35">
      <c r="E403" t="s">
        <v>306</v>
      </c>
      <c r="J403" t="s">
        <v>306</v>
      </c>
      <c r="O403" t="s">
        <v>306</v>
      </c>
      <c r="T403" t="s">
        <v>306</v>
      </c>
      <c r="U403" t="s">
        <v>929</v>
      </c>
      <c r="V403">
        <v>5879050</v>
      </c>
      <c r="W403" t="s">
        <v>346</v>
      </c>
      <c r="X403">
        <v>0</v>
      </c>
      <c r="Y403" t="s">
        <v>50</v>
      </c>
      <c r="AD403" t="s">
        <v>306</v>
      </c>
      <c r="AI403" t="s">
        <v>306</v>
      </c>
      <c r="AN403" t="s">
        <v>306</v>
      </c>
      <c r="AS403" t="s">
        <v>306</v>
      </c>
      <c r="AX403" t="s">
        <v>306</v>
      </c>
      <c r="BC403" t="s">
        <v>306</v>
      </c>
      <c r="BD403" t="s">
        <v>1341</v>
      </c>
      <c r="BE403">
        <v>14965291</v>
      </c>
      <c r="BF403" t="s">
        <v>346</v>
      </c>
      <c r="BG403">
        <v>0</v>
      </c>
      <c r="BH403" t="s">
        <v>62</v>
      </c>
      <c r="BM403" t="s">
        <v>306</v>
      </c>
      <c r="BR403" t="s">
        <v>306</v>
      </c>
      <c r="BS403" t="s">
        <v>834</v>
      </c>
      <c r="BT403">
        <v>4097957</v>
      </c>
      <c r="BU403" t="s">
        <v>346</v>
      </c>
      <c r="BV403">
        <v>0</v>
      </c>
      <c r="BW403" t="s">
        <v>53</v>
      </c>
      <c r="BX403" t="s">
        <v>929</v>
      </c>
      <c r="BY403">
        <v>5879050</v>
      </c>
      <c r="BZ403" t="s">
        <v>346</v>
      </c>
      <c r="CA403">
        <v>0</v>
      </c>
      <c r="CB403" t="s">
        <v>50</v>
      </c>
      <c r="CC403" t="s">
        <v>1828</v>
      </c>
      <c r="CD403">
        <v>5857235</v>
      </c>
      <c r="CE403" t="s">
        <v>364</v>
      </c>
      <c r="CF403">
        <v>0</v>
      </c>
      <c r="CG403" t="s">
        <v>114</v>
      </c>
      <c r="CL403" t="s">
        <v>306</v>
      </c>
      <c r="CM403" t="s">
        <v>1364</v>
      </c>
      <c r="CN403">
        <v>10890287</v>
      </c>
      <c r="CO403" t="s">
        <v>346</v>
      </c>
      <c r="CP403">
        <v>0</v>
      </c>
      <c r="CQ403" t="s">
        <v>62</v>
      </c>
      <c r="CV403" t="s">
        <v>306</v>
      </c>
      <c r="DA403" t="s">
        <v>306</v>
      </c>
      <c r="DB403" t="s">
        <v>1341</v>
      </c>
      <c r="DC403">
        <v>14965291</v>
      </c>
      <c r="DD403" t="s">
        <v>346</v>
      </c>
      <c r="DE403">
        <v>0</v>
      </c>
      <c r="DF403" t="s">
        <v>62</v>
      </c>
      <c r="DK403" t="s">
        <v>306</v>
      </c>
      <c r="DL403" t="s">
        <v>1341</v>
      </c>
      <c r="DM403">
        <v>14965291</v>
      </c>
      <c r="DN403" t="s">
        <v>346</v>
      </c>
      <c r="DO403">
        <v>0</v>
      </c>
      <c r="DP403" t="s">
        <v>62</v>
      </c>
      <c r="DU403" t="s">
        <v>306</v>
      </c>
      <c r="DZ403" t="s">
        <v>306</v>
      </c>
      <c r="EA403" t="s">
        <v>1828</v>
      </c>
      <c r="EB403">
        <v>5857235</v>
      </c>
      <c r="EC403" t="s">
        <v>364</v>
      </c>
      <c r="ED403">
        <v>0</v>
      </c>
      <c r="EE403" t="s">
        <v>114</v>
      </c>
      <c r="EF403" t="s">
        <v>1341</v>
      </c>
      <c r="EG403">
        <v>14965291</v>
      </c>
      <c r="EH403" t="s">
        <v>346</v>
      </c>
      <c r="EI403">
        <v>0</v>
      </c>
      <c r="EJ403" t="s">
        <v>62</v>
      </c>
      <c r="EO403" t="s">
        <v>306</v>
      </c>
      <c r="ET403" t="s">
        <v>306</v>
      </c>
      <c r="EY403" t="s">
        <v>306</v>
      </c>
      <c r="FD403" t="s">
        <v>306</v>
      </c>
      <c r="FI403" t="s">
        <v>306</v>
      </c>
      <c r="FN403" t="s">
        <v>306</v>
      </c>
      <c r="FS403" t="s">
        <v>306</v>
      </c>
      <c r="FX403" t="s">
        <v>306</v>
      </c>
      <c r="FY403" t="s">
        <v>1341</v>
      </c>
      <c r="FZ403">
        <v>14965291</v>
      </c>
      <c r="GA403" t="s">
        <v>346</v>
      </c>
      <c r="GB403">
        <v>0</v>
      </c>
      <c r="GC403" t="s">
        <v>62</v>
      </c>
      <c r="GH403" t="s">
        <v>306</v>
      </c>
      <c r="GM403" t="s">
        <v>306</v>
      </c>
      <c r="GR403" t="s">
        <v>306</v>
      </c>
      <c r="GW403" t="s">
        <v>306</v>
      </c>
      <c r="GX403" t="s">
        <v>1828</v>
      </c>
      <c r="GY403">
        <v>5857235</v>
      </c>
      <c r="GZ403" t="s">
        <v>364</v>
      </c>
      <c r="HA403">
        <v>0</v>
      </c>
      <c r="HB403" t="s">
        <v>114</v>
      </c>
      <c r="HG403" t="s">
        <v>306</v>
      </c>
    </row>
    <row r="404" spans="5:215" x14ac:dyDescent="0.35">
      <c r="E404" t="s">
        <v>306</v>
      </c>
      <c r="J404" t="s">
        <v>306</v>
      </c>
      <c r="O404" t="s">
        <v>306</v>
      </c>
      <c r="T404" t="s">
        <v>306</v>
      </c>
      <c r="U404" t="s">
        <v>930</v>
      </c>
      <c r="V404">
        <v>6892772</v>
      </c>
      <c r="W404" t="s">
        <v>346</v>
      </c>
      <c r="X404">
        <v>0</v>
      </c>
      <c r="Y404" t="s">
        <v>50</v>
      </c>
      <c r="AD404" t="s">
        <v>306</v>
      </c>
      <c r="AI404" t="s">
        <v>306</v>
      </c>
      <c r="AN404" t="s">
        <v>306</v>
      </c>
      <c r="AS404" t="s">
        <v>306</v>
      </c>
      <c r="AX404" t="s">
        <v>306</v>
      </c>
      <c r="BC404" t="s">
        <v>306</v>
      </c>
      <c r="BD404" t="s">
        <v>1520</v>
      </c>
      <c r="BE404">
        <v>4036943</v>
      </c>
      <c r="BF404" t="s">
        <v>346</v>
      </c>
      <c r="BG404">
        <v>0</v>
      </c>
      <c r="BH404" t="s">
        <v>53</v>
      </c>
      <c r="BM404" t="s">
        <v>306</v>
      </c>
      <c r="BR404" t="s">
        <v>306</v>
      </c>
      <c r="BS404" t="s">
        <v>628</v>
      </c>
      <c r="BT404">
        <v>4289501</v>
      </c>
      <c r="BU404" t="s">
        <v>346</v>
      </c>
      <c r="BV404">
        <v>0</v>
      </c>
      <c r="BW404" t="s">
        <v>313</v>
      </c>
      <c r="BX404" t="s">
        <v>930</v>
      </c>
      <c r="BY404">
        <v>6892772</v>
      </c>
      <c r="BZ404" t="s">
        <v>346</v>
      </c>
      <c r="CA404">
        <v>0</v>
      </c>
      <c r="CB404" t="s">
        <v>50</v>
      </c>
      <c r="CC404" t="s">
        <v>1829</v>
      </c>
      <c r="CD404" t="s">
        <v>300</v>
      </c>
      <c r="CE404" t="s">
        <v>361</v>
      </c>
      <c r="CF404">
        <v>0</v>
      </c>
      <c r="CG404" t="s">
        <v>50</v>
      </c>
      <c r="CL404" t="s">
        <v>306</v>
      </c>
      <c r="CM404" t="s">
        <v>2071</v>
      </c>
      <c r="CN404">
        <v>4273050</v>
      </c>
      <c r="CO404" t="s">
        <v>346</v>
      </c>
      <c r="CP404">
        <v>0</v>
      </c>
      <c r="CQ404" t="s">
        <v>53</v>
      </c>
      <c r="CV404" t="s">
        <v>306</v>
      </c>
      <c r="DA404" t="s">
        <v>306</v>
      </c>
      <c r="DB404" t="s">
        <v>1520</v>
      </c>
      <c r="DC404">
        <v>4036943</v>
      </c>
      <c r="DD404" t="s">
        <v>346</v>
      </c>
      <c r="DE404">
        <v>0</v>
      </c>
      <c r="DF404" t="s">
        <v>53</v>
      </c>
      <c r="DK404" t="s">
        <v>306</v>
      </c>
      <c r="DL404" t="s">
        <v>1520</v>
      </c>
      <c r="DM404">
        <v>4036943</v>
      </c>
      <c r="DN404" t="s">
        <v>346</v>
      </c>
      <c r="DO404">
        <v>0</v>
      </c>
      <c r="DP404" t="s">
        <v>53</v>
      </c>
      <c r="DU404" t="s">
        <v>306</v>
      </c>
      <c r="DZ404" t="s">
        <v>306</v>
      </c>
      <c r="EA404" t="s">
        <v>1829</v>
      </c>
      <c r="EB404" t="s">
        <v>300</v>
      </c>
      <c r="EC404" t="s">
        <v>361</v>
      </c>
      <c r="ED404">
        <v>0</v>
      </c>
      <c r="EE404" t="s">
        <v>50</v>
      </c>
      <c r="EF404" t="s">
        <v>1520</v>
      </c>
      <c r="EG404">
        <v>4036943</v>
      </c>
      <c r="EH404" t="s">
        <v>346</v>
      </c>
      <c r="EI404">
        <v>0</v>
      </c>
      <c r="EJ404" t="s">
        <v>53</v>
      </c>
      <c r="EO404" t="s">
        <v>306</v>
      </c>
      <c r="ET404" t="s">
        <v>306</v>
      </c>
      <c r="EY404" t="s">
        <v>306</v>
      </c>
      <c r="FD404" t="s">
        <v>306</v>
      </c>
      <c r="FI404" t="s">
        <v>306</v>
      </c>
      <c r="FN404" t="s">
        <v>306</v>
      </c>
      <c r="FS404" t="s">
        <v>306</v>
      </c>
      <c r="FX404" t="s">
        <v>306</v>
      </c>
      <c r="FY404" t="s">
        <v>1520</v>
      </c>
      <c r="FZ404">
        <v>4036943</v>
      </c>
      <c r="GA404" t="s">
        <v>346</v>
      </c>
      <c r="GB404">
        <v>0</v>
      </c>
      <c r="GC404" t="s">
        <v>53</v>
      </c>
      <c r="GH404" t="s">
        <v>306</v>
      </c>
      <c r="GM404" t="s">
        <v>306</v>
      </c>
      <c r="GR404" t="s">
        <v>306</v>
      </c>
      <c r="GW404" t="s">
        <v>306</v>
      </c>
      <c r="GX404" t="s">
        <v>1829</v>
      </c>
      <c r="GY404" t="s">
        <v>300</v>
      </c>
      <c r="GZ404" t="s">
        <v>361</v>
      </c>
      <c r="HA404">
        <v>0</v>
      </c>
      <c r="HB404" t="s">
        <v>50</v>
      </c>
      <c r="HG404" t="s">
        <v>306</v>
      </c>
    </row>
    <row r="405" spans="5:215" x14ac:dyDescent="0.35">
      <c r="E405" t="s">
        <v>306</v>
      </c>
      <c r="J405" t="s">
        <v>306</v>
      </c>
      <c r="O405" t="s">
        <v>306</v>
      </c>
      <c r="T405" t="s">
        <v>306</v>
      </c>
      <c r="U405" t="s">
        <v>620</v>
      </c>
      <c r="V405">
        <v>4093059</v>
      </c>
      <c r="W405" t="s">
        <v>346</v>
      </c>
      <c r="X405">
        <v>0</v>
      </c>
      <c r="Y405" t="s">
        <v>53</v>
      </c>
      <c r="AD405" t="s">
        <v>306</v>
      </c>
      <c r="AI405" t="s">
        <v>306</v>
      </c>
      <c r="AN405" t="s">
        <v>306</v>
      </c>
      <c r="AS405" t="s">
        <v>306</v>
      </c>
      <c r="AX405" t="s">
        <v>306</v>
      </c>
      <c r="BC405" t="s">
        <v>306</v>
      </c>
      <c r="BD405" t="s">
        <v>1003</v>
      </c>
      <c r="BE405">
        <v>4077794</v>
      </c>
      <c r="BF405" t="s">
        <v>346</v>
      </c>
      <c r="BG405">
        <v>0</v>
      </c>
      <c r="BH405" t="s">
        <v>53</v>
      </c>
      <c r="BM405" t="s">
        <v>306</v>
      </c>
      <c r="BR405" t="s">
        <v>306</v>
      </c>
      <c r="BS405" t="s">
        <v>1059</v>
      </c>
      <c r="BT405">
        <v>4343939</v>
      </c>
      <c r="BU405" t="s">
        <v>300</v>
      </c>
      <c r="BV405">
        <v>0</v>
      </c>
      <c r="BW405" t="s">
        <v>53</v>
      </c>
      <c r="BX405" t="s">
        <v>620</v>
      </c>
      <c r="BY405">
        <v>4093059</v>
      </c>
      <c r="BZ405" t="s">
        <v>346</v>
      </c>
      <c r="CA405">
        <v>0</v>
      </c>
      <c r="CB405" t="s">
        <v>53</v>
      </c>
      <c r="CC405" t="s">
        <v>1830</v>
      </c>
      <c r="CD405">
        <v>4117835</v>
      </c>
      <c r="CE405" t="s">
        <v>346</v>
      </c>
      <c r="CF405">
        <v>0</v>
      </c>
      <c r="CG405" t="s">
        <v>53</v>
      </c>
      <c r="CL405" t="s">
        <v>306</v>
      </c>
      <c r="CM405" t="s">
        <v>1365</v>
      </c>
      <c r="CN405">
        <v>4581414</v>
      </c>
      <c r="CO405" t="s">
        <v>346</v>
      </c>
      <c r="CP405">
        <v>0</v>
      </c>
      <c r="CQ405" t="s">
        <v>62</v>
      </c>
      <c r="CV405" t="s">
        <v>306</v>
      </c>
      <c r="DA405" t="s">
        <v>306</v>
      </c>
      <c r="DB405" t="s">
        <v>1003</v>
      </c>
      <c r="DC405">
        <v>4077794</v>
      </c>
      <c r="DD405" t="s">
        <v>346</v>
      </c>
      <c r="DE405">
        <v>0</v>
      </c>
      <c r="DF405" t="s">
        <v>53</v>
      </c>
      <c r="DK405" t="s">
        <v>306</v>
      </c>
      <c r="DL405" t="s">
        <v>1003</v>
      </c>
      <c r="DM405">
        <v>4077794</v>
      </c>
      <c r="DN405" t="s">
        <v>346</v>
      </c>
      <c r="DO405">
        <v>0</v>
      </c>
      <c r="DP405" t="s">
        <v>53</v>
      </c>
      <c r="DU405" t="s">
        <v>306</v>
      </c>
      <c r="DZ405" t="s">
        <v>306</v>
      </c>
      <c r="EA405" t="s">
        <v>1830</v>
      </c>
      <c r="EB405">
        <v>4117835</v>
      </c>
      <c r="EC405" t="s">
        <v>346</v>
      </c>
      <c r="ED405">
        <v>0</v>
      </c>
      <c r="EE405" t="s">
        <v>53</v>
      </c>
      <c r="EF405" t="s">
        <v>1003</v>
      </c>
      <c r="EG405">
        <v>4077794</v>
      </c>
      <c r="EH405" t="s">
        <v>346</v>
      </c>
      <c r="EI405">
        <v>0</v>
      </c>
      <c r="EJ405" t="s">
        <v>53</v>
      </c>
      <c r="EO405" t="s">
        <v>306</v>
      </c>
      <c r="ET405" t="s">
        <v>306</v>
      </c>
      <c r="EY405" t="s">
        <v>306</v>
      </c>
      <c r="FD405" t="s">
        <v>306</v>
      </c>
      <c r="FI405" t="s">
        <v>306</v>
      </c>
      <c r="FN405" t="s">
        <v>306</v>
      </c>
      <c r="FS405" t="s">
        <v>306</v>
      </c>
      <c r="FX405" t="s">
        <v>306</v>
      </c>
      <c r="FY405" t="s">
        <v>1003</v>
      </c>
      <c r="FZ405">
        <v>4077794</v>
      </c>
      <c r="GA405" t="s">
        <v>346</v>
      </c>
      <c r="GB405">
        <v>0</v>
      </c>
      <c r="GC405" t="s">
        <v>53</v>
      </c>
      <c r="GH405" t="s">
        <v>306</v>
      </c>
      <c r="GM405" t="s">
        <v>306</v>
      </c>
      <c r="GR405" t="s">
        <v>306</v>
      </c>
      <c r="GW405" t="s">
        <v>306</v>
      </c>
      <c r="GX405" t="s">
        <v>1830</v>
      </c>
      <c r="GY405">
        <v>4117835</v>
      </c>
      <c r="GZ405" t="s">
        <v>346</v>
      </c>
      <c r="HA405">
        <v>0</v>
      </c>
      <c r="HB405" t="s">
        <v>53</v>
      </c>
      <c r="HG405" t="s">
        <v>306</v>
      </c>
    </row>
    <row r="406" spans="5:215" x14ac:dyDescent="0.35">
      <c r="E406" t="s">
        <v>306</v>
      </c>
      <c r="J406" t="s">
        <v>306</v>
      </c>
      <c r="O406" t="s">
        <v>306</v>
      </c>
      <c r="T406" t="s">
        <v>306</v>
      </c>
      <c r="U406" t="s">
        <v>931</v>
      </c>
      <c r="V406">
        <v>109247</v>
      </c>
      <c r="W406" t="s">
        <v>366</v>
      </c>
      <c r="X406">
        <v>0</v>
      </c>
      <c r="Y406" t="s">
        <v>53</v>
      </c>
      <c r="AD406" t="s">
        <v>306</v>
      </c>
      <c r="AI406" t="s">
        <v>306</v>
      </c>
      <c r="AN406" t="s">
        <v>306</v>
      </c>
      <c r="AS406" t="s">
        <v>306</v>
      </c>
      <c r="AX406" t="s">
        <v>306</v>
      </c>
      <c r="BC406" t="s">
        <v>306</v>
      </c>
      <c r="BD406" t="s">
        <v>782</v>
      </c>
      <c r="BE406">
        <v>4138745</v>
      </c>
      <c r="BF406" t="s">
        <v>346</v>
      </c>
      <c r="BG406">
        <v>0</v>
      </c>
      <c r="BH406" t="s">
        <v>2181</v>
      </c>
      <c r="BM406" t="s">
        <v>306</v>
      </c>
      <c r="BR406" t="s">
        <v>306</v>
      </c>
      <c r="BS406" t="s">
        <v>825</v>
      </c>
      <c r="BT406">
        <v>5868824</v>
      </c>
      <c r="BU406" t="s">
        <v>346</v>
      </c>
      <c r="BV406">
        <v>0</v>
      </c>
      <c r="BW406" t="s">
        <v>50</v>
      </c>
      <c r="BX406" t="s">
        <v>931</v>
      </c>
      <c r="BY406">
        <v>109247</v>
      </c>
      <c r="BZ406" t="s">
        <v>366</v>
      </c>
      <c r="CA406">
        <v>0</v>
      </c>
      <c r="CB406" t="s">
        <v>53</v>
      </c>
      <c r="CC406" t="s">
        <v>1831</v>
      </c>
      <c r="CD406">
        <v>4169610</v>
      </c>
      <c r="CE406" t="s">
        <v>346</v>
      </c>
      <c r="CF406">
        <v>0</v>
      </c>
      <c r="CG406" t="s">
        <v>80</v>
      </c>
      <c r="CL406" t="s">
        <v>306</v>
      </c>
      <c r="CM406" t="s">
        <v>409</v>
      </c>
      <c r="CN406">
        <v>102719</v>
      </c>
      <c r="CO406" t="s">
        <v>346</v>
      </c>
      <c r="CP406">
        <v>0</v>
      </c>
      <c r="CQ406" t="s">
        <v>53</v>
      </c>
      <c r="CV406" t="s">
        <v>306</v>
      </c>
      <c r="DA406" t="s">
        <v>306</v>
      </c>
      <c r="DB406" t="s">
        <v>782</v>
      </c>
      <c r="DC406">
        <v>4138745</v>
      </c>
      <c r="DD406" t="s">
        <v>346</v>
      </c>
      <c r="DE406">
        <v>0</v>
      </c>
      <c r="DF406" t="s">
        <v>2181</v>
      </c>
      <c r="DK406" t="s">
        <v>306</v>
      </c>
      <c r="DL406" t="s">
        <v>782</v>
      </c>
      <c r="DM406">
        <v>4138745</v>
      </c>
      <c r="DN406" t="s">
        <v>346</v>
      </c>
      <c r="DO406">
        <v>0</v>
      </c>
      <c r="DP406" t="s">
        <v>2181</v>
      </c>
      <c r="DU406" t="s">
        <v>306</v>
      </c>
      <c r="DZ406" t="s">
        <v>306</v>
      </c>
      <c r="EA406" t="s">
        <v>1831</v>
      </c>
      <c r="EB406">
        <v>4169610</v>
      </c>
      <c r="EC406" t="s">
        <v>346</v>
      </c>
      <c r="ED406">
        <v>0</v>
      </c>
      <c r="EE406" t="s">
        <v>80</v>
      </c>
      <c r="EF406" t="s">
        <v>782</v>
      </c>
      <c r="EG406">
        <v>4138745</v>
      </c>
      <c r="EH406" t="s">
        <v>346</v>
      </c>
      <c r="EI406">
        <v>0</v>
      </c>
      <c r="EJ406" t="s">
        <v>2181</v>
      </c>
      <c r="EO406" t="s">
        <v>306</v>
      </c>
      <c r="ET406" t="s">
        <v>306</v>
      </c>
      <c r="EY406" t="s">
        <v>306</v>
      </c>
      <c r="FD406" t="s">
        <v>306</v>
      </c>
      <c r="FI406" t="s">
        <v>306</v>
      </c>
      <c r="FN406" t="s">
        <v>306</v>
      </c>
      <c r="FS406" t="s">
        <v>306</v>
      </c>
      <c r="FX406" t="s">
        <v>306</v>
      </c>
      <c r="FY406" t="s">
        <v>782</v>
      </c>
      <c r="FZ406">
        <v>4138745</v>
      </c>
      <c r="GA406" t="s">
        <v>346</v>
      </c>
      <c r="GB406">
        <v>0</v>
      </c>
      <c r="GC406" t="s">
        <v>2181</v>
      </c>
      <c r="GH406" t="s">
        <v>306</v>
      </c>
      <c r="GM406" t="s">
        <v>306</v>
      </c>
      <c r="GR406" t="s">
        <v>306</v>
      </c>
      <c r="GW406" t="s">
        <v>306</v>
      </c>
      <c r="GX406" t="s">
        <v>1831</v>
      </c>
      <c r="GY406">
        <v>4169610</v>
      </c>
      <c r="GZ406" t="s">
        <v>346</v>
      </c>
      <c r="HA406">
        <v>0</v>
      </c>
      <c r="HB406" t="s">
        <v>80</v>
      </c>
      <c r="HG406" t="s">
        <v>306</v>
      </c>
    </row>
    <row r="407" spans="5:215" x14ac:dyDescent="0.35">
      <c r="E407" t="s">
        <v>306</v>
      </c>
      <c r="J407" t="s">
        <v>306</v>
      </c>
      <c r="O407" t="s">
        <v>306</v>
      </c>
      <c r="T407" t="s">
        <v>306</v>
      </c>
      <c r="U407" t="s">
        <v>418</v>
      </c>
      <c r="V407">
        <v>109776</v>
      </c>
      <c r="W407" t="s">
        <v>346</v>
      </c>
      <c r="X407">
        <v>0</v>
      </c>
      <c r="Y407" t="s">
        <v>53</v>
      </c>
      <c r="AD407" t="s">
        <v>306</v>
      </c>
      <c r="AI407" t="s">
        <v>306</v>
      </c>
      <c r="AN407" t="s">
        <v>306</v>
      </c>
      <c r="AS407" t="s">
        <v>306</v>
      </c>
      <c r="AX407" t="s">
        <v>306</v>
      </c>
      <c r="BC407" t="s">
        <v>306</v>
      </c>
      <c r="BD407" t="s">
        <v>1319</v>
      </c>
      <c r="BE407">
        <v>19910977</v>
      </c>
      <c r="BF407" t="s">
        <v>346</v>
      </c>
      <c r="BG407">
        <v>0</v>
      </c>
      <c r="BH407" t="s">
        <v>62</v>
      </c>
      <c r="BM407" t="s">
        <v>306</v>
      </c>
      <c r="BR407" t="s">
        <v>306</v>
      </c>
      <c r="BS407" t="s">
        <v>823</v>
      </c>
      <c r="BT407">
        <v>4212913</v>
      </c>
      <c r="BU407" t="s">
        <v>346</v>
      </c>
      <c r="BV407">
        <v>0</v>
      </c>
      <c r="BW407" t="s">
        <v>2191</v>
      </c>
      <c r="BX407" t="s">
        <v>418</v>
      </c>
      <c r="BY407">
        <v>109776</v>
      </c>
      <c r="BZ407" t="s">
        <v>346</v>
      </c>
      <c r="CA407">
        <v>0</v>
      </c>
      <c r="CB407" t="s">
        <v>53</v>
      </c>
      <c r="CC407" t="s">
        <v>1832</v>
      </c>
      <c r="CD407">
        <v>4937556</v>
      </c>
      <c r="CE407" t="s">
        <v>364</v>
      </c>
      <c r="CF407">
        <v>0</v>
      </c>
      <c r="CG407" t="s">
        <v>53</v>
      </c>
      <c r="CL407" t="s">
        <v>306</v>
      </c>
      <c r="CM407" t="s">
        <v>2072</v>
      </c>
      <c r="CN407">
        <v>4186766</v>
      </c>
      <c r="CO407" t="s">
        <v>346</v>
      </c>
      <c r="CP407">
        <v>0</v>
      </c>
      <c r="CQ407" t="s">
        <v>53</v>
      </c>
      <c r="CV407" t="s">
        <v>306</v>
      </c>
      <c r="DA407" t="s">
        <v>306</v>
      </c>
      <c r="DB407" t="s">
        <v>1319</v>
      </c>
      <c r="DC407">
        <v>19910977</v>
      </c>
      <c r="DD407" t="s">
        <v>346</v>
      </c>
      <c r="DE407">
        <v>0</v>
      </c>
      <c r="DF407" t="s">
        <v>62</v>
      </c>
      <c r="DK407" t="s">
        <v>306</v>
      </c>
      <c r="DL407" t="s">
        <v>1319</v>
      </c>
      <c r="DM407">
        <v>19910977</v>
      </c>
      <c r="DN407" t="s">
        <v>346</v>
      </c>
      <c r="DO407">
        <v>0</v>
      </c>
      <c r="DP407" t="s">
        <v>62</v>
      </c>
      <c r="DU407" t="s">
        <v>306</v>
      </c>
      <c r="DZ407" t="s">
        <v>306</v>
      </c>
      <c r="EA407" t="s">
        <v>1832</v>
      </c>
      <c r="EB407">
        <v>4937556</v>
      </c>
      <c r="EC407" t="s">
        <v>364</v>
      </c>
      <c r="ED407">
        <v>0</v>
      </c>
      <c r="EE407" t="s">
        <v>53</v>
      </c>
      <c r="EF407" t="s">
        <v>1319</v>
      </c>
      <c r="EG407">
        <v>19910977</v>
      </c>
      <c r="EH407" t="s">
        <v>346</v>
      </c>
      <c r="EI407">
        <v>0</v>
      </c>
      <c r="EJ407" t="s">
        <v>62</v>
      </c>
      <c r="EO407" t="s">
        <v>306</v>
      </c>
      <c r="ET407" t="s">
        <v>306</v>
      </c>
      <c r="EY407" t="s">
        <v>306</v>
      </c>
      <c r="FD407" t="s">
        <v>306</v>
      </c>
      <c r="FI407" t="s">
        <v>306</v>
      </c>
      <c r="FN407" t="s">
        <v>306</v>
      </c>
      <c r="FS407" t="s">
        <v>306</v>
      </c>
      <c r="FX407" t="s">
        <v>306</v>
      </c>
      <c r="FY407" t="s">
        <v>1319</v>
      </c>
      <c r="FZ407">
        <v>19910977</v>
      </c>
      <c r="GA407" t="s">
        <v>346</v>
      </c>
      <c r="GB407">
        <v>0</v>
      </c>
      <c r="GC407" t="s">
        <v>62</v>
      </c>
      <c r="GH407" t="s">
        <v>306</v>
      </c>
      <c r="GM407" t="s">
        <v>306</v>
      </c>
      <c r="GR407" t="s">
        <v>306</v>
      </c>
      <c r="GW407" t="s">
        <v>306</v>
      </c>
      <c r="GX407" t="s">
        <v>1832</v>
      </c>
      <c r="GY407">
        <v>4937556</v>
      </c>
      <c r="GZ407" t="s">
        <v>364</v>
      </c>
      <c r="HA407">
        <v>0</v>
      </c>
      <c r="HB407" t="s">
        <v>53</v>
      </c>
      <c r="HG407" t="s">
        <v>306</v>
      </c>
    </row>
    <row r="408" spans="5:215" x14ac:dyDescent="0.35">
      <c r="E408" t="s">
        <v>306</v>
      </c>
      <c r="J408" t="s">
        <v>306</v>
      </c>
      <c r="O408" t="s">
        <v>306</v>
      </c>
      <c r="T408" t="s">
        <v>306</v>
      </c>
      <c r="U408" t="s">
        <v>932</v>
      </c>
      <c r="V408">
        <v>4139728</v>
      </c>
      <c r="W408" t="s">
        <v>346</v>
      </c>
      <c r="X408">
        <v>0</v>
      </c>
      <c r="Y408" t="s">
        <v>326</v>
      </c>
      <c r="AD408" t="s">
        <v>306</v>
      </c>
      <c r="AI408" t="s">
        <v>306</v>
      </c>
      <c r="AN408" t="s">
        <v>306</v>
      </c>
      <c r="AS408" t="s">
        <v>306</v>
      </c>
      <c r="AX408" t="s">
        <v>306</v>
      </c>
      <c r="BC408" t="s">
        <v>306</v>
      </c>
      <c r="BD408" t="s">
        <v>1307</v>
      </c>
      <c r="BE408">
        <v>5852488</v>
      </c>
      <c r="BF408" t="s">
        <v>346</v>
      </c>
      <c r="BG408">
        <v>0</v>
      </c>
      <c r="BH408" t="s">
        <v>62</v>
      </c>
      <c r="BM408" t="s">
        <v>306</v>
      </c>
      <c r="BR408" t="s">
        <v>306</v>
      </c>
      <c r="BS408" t="s">
        <v>425</v>
      </c>
      <c r="BT408">
        <v>4137704</v>
      </c>
      <c r="BU408" t="s">
        <v>346</v>
      </c>
      <c r="BV408">
        <v>0</v>
      </c>
      <c r="BW408" t="s">
        <v>304</v>
      </c>
      <c r="BX408" t="s">
        <v>932</v>
      </c>
      <c r="BY408">
        <v>4139728</v>
      </c>
      <c r="BZ408" t="s">
        <v>346</v>
      </c>
      <c r="CA408">
        <v>0</v>
      </c>
      <c r="CB408" t="s">
        <v>326</v>
      </c>
      <c r="CC408" t="s">
        <v>1833</v>
      </c>
      <c r="CD408">
        <v>4027022</v>
      </c>
      <c r="CE408" t="s">
        <v>346</v>
      </c>
      <c r="CF408">
        <v>0</v>
      </c>
      <c r="CG408" t="s">
        <v>53</v>
      </c>
      <c r="CL408" t="s">
        <v>306</v>
      </c>
      <c r="CM408" t="s">
        <v>1404</v>
      </c>
      <c r="CN408">
        <v>4056595</v>
      </c>
      <c r="CO408" t="s">
        <v>346</v>
      </c>
      <c r="CP408">
        <v>0</v>
      </c>
      <c r="CQ408" t="s">
        <v>313</v>
      </c>
      <c r="CV408" t="s">
        <v>306</v>
      </c>
      <c r="DA408" t="s">
        <v>306</v>
      </c>
      <c r="DB408" t="s">
        <v>1307</v>
      </c>
      <c r="DC408">
        <v>5852488</v>
      </c>
      <c r="DD408" t="s">
        <v>346</v>
      </c>
      <c r="DE408">
        <v>0</v>
      </c>
      <c r="DF408" t="s">
        <v>62</v>
      </c>
      <c r="DK408" t="s">
        <v>306</v>
      </c>
      <c r="DL408" t="s">
        <v>1307</v>
      </c>
      <c r="DM408">
        <v>5852488</v>
      </c>
      <c r="DN408" t="s">
        <v>346</v>
      </c>
      <c r="DO408">
        <v>0</v>
      </c>
      <c r="DP408" t="s">
        <v>62</v>
      </c>
      <c r="DU408" t="s">
        <v>306</v>
      </c>
      <c r="DZ408" t="s">
        <v>306</v>
      </c>
      <c r="EA408" t="s">
        <v>1833</v>
      </c>
      <c r="EB408">
        <v>4027022</v>
      </c>
      <c r="EC408" t="s">
        <v>346</v>
      </c>
      <c r="ED408">
        <v>0</v>
      </c>
      <c r="EE408" t="s">
        <v>53</v>
      </c>
      <c r="EF408" t="s">
        <v>1307</v>
      </c>
      <c r="EG408">
        <v>5852488</v>
      </c>
      <c r="EH408" t="s">
        <v>346</v>
      </c>
      <c r="EI408">
        <v>0</v>
      </c>
      <c r="EJ408" t="s">
        <v>62</v>
      </c>
      <c r="EO408" t="s">
        <v>306</v>
      </c>
      <c r="ET408" t="s">
        <v>306</v>
      </c>
      <c r="EY408" t="s">
        <v>306</v>
      </c>
      <c r="FD408" t="s">
        <v>306</v>
      </c>
      <c r="FI408" t="s">
        <v>306</v>
      </c>
      <c r="FN408" t="s">
        <v>306</v>
      </c>
      <c r="FS408" t="s">
        <v>306</v>
      </c>
      <c r="FX408" t="s">
        <v>306</v>
      </c>
      <c r="FY408" t="s">
        <v>1307</v>
      </c>
      <c r="FZ408">
        <v>5852488</v>
      </c>
      <c r="GA408" t="s">
        <v>346</v>
      </c>
      <c r="GB408">
        <v>0</v>
      </c>
      <c r="GC408" t="s">
        <v>62</v>
      </c>
      <c r="GH408" t="s">
        <v>306</v>
      </c>
      <c r="GM408" t="s">
        <v>306</v>
      </c>
      <c r="GR408" t="s">
        <v>306</v>
      </c>
      <c r="GW408" t="s">
        <v>306</v>
      </c>
      <c r="GX408" t="s">
        <v>1833</v>
      </c>
      <c r="GY408">
        <v>4027022</v>
      </c>
      <c r="GZ408" t="s">
        <v>346</v>
      </c>
      <c r="HA408">
        <v>0</v>
      </c>
      <c r="HB408" t="s">
        <v>53</v>
      </c>
      <c r="HG408" t="s">
        <v>306</v>
      </c>
    </row>
    <row r="409" spans="5:215" x14ac:dyDescent="0.35">
      <c r="E409" t="s">
        <v>306</v>
      </c>
      <c r="J409" t="s">
        <v>306</v>
      </c>
      <c r="O409" t="s">
        <v>306</v>
      </c>
      <c r="T409" t="s">
        <v>306</v>
      </c>
      <c r="U409" t="s">
        <v>359</v>
      </c>
      <c r="V409">
        <v>4144380</v>
      </c>
      <c r="W409" t="s">
        <v>346</v>
      </c>
      <c r="X409">
        <v>0</v>
      </c>
      <c r="Y409" t="s">
        <v>317</v>
      </c>
      <c r="AD409" t="s">
        <v>306</v>
      </c>
      <c r="AI409" t="s">
        <v>306</v>
      </c>
      <c r="AN409" t="s">
        <v>306</v>
      </c>
      <c r="AS409" t="s">
        <v>306</v>
      </c>
      <c r="AX409" t="s">
        <v>306</v>
      </c>
      <c r="BC409" t="s">
        <v>306</v>
      </c>
      <c r="BD409" t="s">
        <v>1521</v>
      </c>
      <c r="BE409" t="s">
        <v>300</v>
      </c>
      <c r="BF409" t="s">
        <v>361</v>
      </c>
      <c r="BG409">
        <v>0</v>
      </c>
      <c r="BH409" t="s">
        <v>50</v>
      </c>
      <c r="BM409" t="s">
        <v>306</v>
      </c>
      <c r="BR409" t="s">
        <v>306</v>
      </c>
      <c r="BS409" t="s">
        <v>851</v>
      </c>
      <c r="BT409">
        <v>4405395</v>
      </c>
      <c r="BU409" t="s">
        <v>346</v>
      </c>
      <c r="BV409">
        <v>0</v>
      </c>
      <c r="BW409" t="s">
        <v>313</v>
      </c>
      <c r="BX409" t="s">
        <v>359</v>
      </c>
      <c r="BY409">
        <v>4144380</v>
      </c>
      <c r="BZ409" t="s">
        <v>346</v>
      </c>
      <c r="CA409">
        <v>0</v>
      </c>
      <c r="CB409" t="s">
        <v>317</v>
      </c>
      <c r="CC409" t="s">
        <v>603</v>
      </c>
      <c r="CD409">
        <v>110641</v>
      </c>
      <c r="CE409" t="s">
        <v>346</v>
      </c>
      <c r="CF409">
        <v>0</v>
      </c>
      <c r="CG409" t="s">
        <v>53</v>
      </c>
      <c r="CL409" t="s">
        <v>306</v>
      </c>
      <c r="CM409" t="s">
        <v>1355</v>
      </c>
      <c r="CN409">
        <v>4027327</v>
      </c>
      <c r="CO409" t="s">
        <v>346</v>
      </c>
      <c r="CP409">
        <v>0</v>
      </c>
      <c r="CQ409" t="s">
        <v>53</v>
      </c>
      <c r="CV409" t="s">
        <v>306</v>
      </c>
      <c r="DA409" t="s">
        <v>306</v>
      </c>
      <c r="DB409" t="s">
        <v>1521</v>
      </c>
      <c r="DC409" t="s">
        <v>300</v>
      </c>
      <c r="DD409" t="s">
        <v>361</v>
      </c>
      <c r="DE409">
        <v>0</v>
      </c>
      <c r="DF409" t="s">
        <v>50</v>
      </c>
      <c r="DK409" t="s">
        <v>306</v>
      </c>
      <c r="DL409" t="s">
        <v>1521</v>
      </c>
      <c r="DM409" t="s">
        <v>300</v>
      </c>
      <c r="DN409" t="s">
        <v>361</v>
      </c>
      <c r="DO409">
        <v>0</v>
      </c>
      <c r="DP409" t="s">
        <v>50</v>
      </c>
      <c r="DU409" t="s">
        <v>306</v>
      </c>
      <c r="DZ409" t="s">
        <v>306</v>
      </c>
      <c r="EA409" t="s">
        <v>603</v>
      </c>
      <c r="EB409">
        <v>110641</v>
      </c>
      <c r="EC409" t="s">
        <v>346</v>
      </c>
      <c r="ED409">
        <v>0</v>
      </c>
      <c r="EE409" t="s">
        <v>53</v>
      </c>
      <c r="EF409" t="s">
        <v>1521</v>
      </c>
      <c r="EG409" t="s">
        <v>300</v>
      </c>
      <c r="EH409" t="s">
        <v>361</v>
      </c>
      <c r="EI409">
        <v>0</v>
      </c>
      <c r="EJ409" t="s">
        <v>50</v>
      </c>
      <c r="EO409" t="s">
        <v>306</v>
      </c>
      <c r="ET409" t="s">
        <v>306</v>
      </c>
      <c r="EY409" t="s">
        <v>306</v>
      </c>
      <c r="FD409" t="s">
        <v>306</v>
      </c>
      <c r="FI409" t="s">
        <v>306</v>
      </c>
      <c r="FN409" t="s">
        <v>306</v>
      </c>
      <c r="FS409" t="s">
        <v>306</v>
      </c>
      <c r="FX409" t="s">
        <v>306</v>
      </c>
      <c r="FY409" t="s">
        <v>1521</v>
      </c>
      <c r="FZ409" t="s">
        <v>300</v>
      </c>
      <c r="GA409" t="s">
        <v>361</v>
      </c>
      <c r="GB409">
        <v>0</v>
      </c>
      <c r="GC409" t="s">
        <v>50</v>
      </c>
      <c r="GH409" t="s">
        <v>306</v>
      </c>
      <c r="GM409" t="s">
        <v>306</v>
      </c>
      <c r="GR409" t="s">
        <v>306</v>
      </c>
      <c r="GW409" t="s">
        <v>306</v>
      </c>
      <c r="GX409" t="s">
        <v>603</v>
      </c>
      <c r="GY409">
        <v>110641</v>
      </c>
      <c r="GZ409" t="s">
        <v>346</v>
      </c>
      <c r="HA409">
        <v>0</v>
      </c>
      <c r="HB409" t="s">
        <v>53</v>
      </c>
      <c r="HG409" t="s">
        <v>306</v>
      </c>
    </row>
    <row r="410" spans="5:215" x14ac:dyDescent="0.35">
      <c r="E410" t="s">
        <v>306</v>
      </c>
      <c r="J410" t="s">
        <v>306</v>
      </c>
      <c r="O410" t="s">
        <v>306</v>
      </c>
      <c r="T410" t="s">
        <v>306</v>
      </c>
      <c r="U410" t="s">
        <v>933</v>
      </c>
      <c r="V410">
        <v>4239293</v>
      </c>
      <c r="W410" t="s">
        <v>346</v>
      </c>
      <c r="X410">
        <v>0</v>
      </c>
      <c r="Y410" t="s">
        <v>2191</v>
      </c>
      <c r="AD410" t="s">
        <v>306</v>
      </c>
      <c r="AI410" t="s">
        <v>306</v>
      </c>
      <c r="AN410" t="s">
        <v>306</v>
      </c>
      <c r="AS410" t="s">
        <v>306</v>
      </c>
      <c r="AX410" t="s">
        <v>306</v>
      </c>
      <c r="BC410" t="s">
        <v>306</v>
      </c>
      <c r="BD410" t="s">
        <v>543</v>
      </c>
      <c r="BE410">
        <v>4138118</v>
      </c>
      <c r="BF410" t="s">
        <v>346</v>
      </c>
      <c r="BG410">
        <v>0</v>
      </c>
      <c r="BH410" t="s">
        <v>326</v>
      </c>
      <c r="BM410" t="s">
        <v>306</v>
      </c>
      <c r="BR410" t="s">
        <v>306</v>
      </c>
      <c r="BS410" t="s">
        <v>830</v>
      </c>
      <c r="BT410">
        <v>4621446</v>
      </c>
      <c r="BU410" t="s">
        <v>346</v>
      </c>
      <c r="BV410">
        <v>0</v>
      </c>
      <c r="BW410" t="s">
        <v>50</v>
      </c>
      <c r="BX410" t="s">
        <v>933</v>
      </c>
      <c r="BY410">
        <v>4239293</v>
      </c>
      <c r="BZ410" t="s">
        <v>346</v>
      </c>
      <c r="CA410">
        <v>0</v>
      </c>
      <c r="CB410" t="s">
        <v>2191</v>
      </c>
      <c r="CC410" t="s">
        <v>1834</v>
      </c>
      <c r="CD410">
        <v>7357690</v>
      </c>
      <c r="CE410" t="s">
        <v>346</v>
      </c>
      <c r="CF410">
        <v>0</v>
      </c>
      <c r="CG410" t="s">
        <v>53</v>
      </c>
      <c r="CL410" t="s">
        <v>306</v>
      </c>
      <c r="CM410" t="s">
        <v>913</v>
      </c>
      <c r="CN410">
        <v>26632854</v>
      </c>
      <c r="CO410" t="s">
        <v>346</v>
      </c>
      <c r="CP410">
        <v>0</v>
      </c>
      <c r="CQ410" t="s">
        <v>53</v>
      </c>
      <c r="CV410" t="s">
        <v>306</v>
      </c>
      <c r="DA410" t="s">
        <v>306</v>
      </c>
      <c r="DB410" t="s">
        <v>543</v>
      </c>
      <c r="DC410">
        <v>4138118</v>
      </c>
      <c r="DD410" t="s">
        <v>346</v>
      </c>
      <c r="DE410">
        <v>0</v>
      </c>
      <c r="DF410" t="s">
        <v>326</v>
      </c>
      <c r="DK410" t="s">
        <v>306</v>
      </c>
      <c r="DL410" t="s">
        <v>543</v>
      </c>
      <c r="DM410">
        <v>4138118</v>
      </c>
      <c r="DN410" t="s">
        <v>346</v>
      </c>
      <c r="DO410">
        <v>0</v>
      </c>
      <c r="DP410" t="s">
        <v>326</v>
      </c>
      <c r="DU410" t="s">
        <v>306</v>
      </c>
      <c r="DZ410" t="s">
        <v>306</v>
      </c>
      <c r="EA410" t="s">
        <v>1834</v>
      </c>
      <c r="EB410">
        <v>7357690</v>
      </c>
      <c r="EC410" t="s">
        <v>346</v>
      </c>
      <c r="ED410">
        <v>0</v>
      </c>
      <c r="EE410" t="s">
        <v>53</v>
      </c>
      <c r="EF410" t="s">
        <v>543</v>
      </c>
      <c r="EG410">
        <v>4138118</v>
      </c>
      <c r="EH410" t="s">
        <v>346</v>
      </c>
      <c r="EI410">
        <v>0</v>
      </c>
      <c r="EJ410" t="s">
        <v>326</v>
      </c>
      <c r="EO410" t="s">
        <v>306</v>
      </c>
      <c r="ET410" t="s">
        <v>306</v>
      </c>
      <c r="EY410" t="s">
        <v>306</v>
      </c>
      <c r="FD410" t="s">
        <v>306</v>
      </c>
      <c r="FI410" t="s">
        <v>306</v>
      </c>
      <c r="FN410" t="s">
        <v>306</v>
      </c>
      <c r="FS410" t="s">
        <v>306</v>
      </c>
      <c r="FX410" t="s">
        <v>306</v>
      </c>
      <c r="FY410" t="s">
        <v>543</v>
      </c>
      <c r="FZ410">
        <v>4138118</v>
      </c>
      <c r="GA410" t="s">
        <v>346</v>
      </c>
      <c r="GB410">
        <v>0</v>
      </c>
      <c r="GC410" t="s">
        <v>326</v>
      </c>
      <c r="GH410" t="s">
        <v>306</v>
      </c>
      <c r="GM410" t="s">
        <v>306</v>
      </c>
      <c r="GR410" t="s">
        <v>306</v>
      </c>
      <c r="GW410" t="s">
        <v>306</v>
      </c>
      <c r="GX410" t="s">
        <v>1834</v>
      </c>
      <c r="GY410">
        <v>7357690</v>
      </c>
      <c r="GZ410" t="s">
        <v>346</v>
      </c>
      <c r="HA410">
        <v>0</v>
      </c>
      <c r="HB410" t="s">
        <v>53</v>
      </c>
      <c r="HG410" t="s">
        <v>306</v>
      </c>
    </row>
    <row r="411" spans="5:215" x14ac:dyDescent="0.35">
      <c r="E411" t="s">
        <v>306</v>
      </c>
      <c r="J411" t="s">
        <v>306</v>
      </c>
      <c r="O411" t="s">
        <v>306</v>
      </c>
      <c r="T411" t="s">
        <v>306</v>
      </c>
      <c r="U411" t="s">
        <v>934</v>
      </c>
      <c r="V411">
        <v>10533696</v>
      </c>
      <c r="W411" t="s">
        <v>346</v>
      </c>
      <c r="X411">
        <v>0</v>
      </c>
      <c r="Y411" t="s">
        <v>326</v>
      </c>
      <c r="AD411" t="s">
        <v>306</v>
      </c>
      <c r="AI411" t="s">
        <v>306</v>
      </c>
      <c r="AN411" t="s">
        <v>306</v>
      </c>
      <c r="AS411" t="s">
        <v>306</v>
      </c>
      <c r="AX411" t="s">
        <v>306</v>
      </c>
      <c r="BC411" t="s">
        <v>306</v>
      </c>
      <c r="BD411" t="s">
        <v>1324</v>
      </c>
      <c r="BE411">
        <v>4234580</v>
      </c>
      <c r="BF411" t="s">
        <v>364</v>
      </c>
      <c r="BG411">
        <v>0</v>
      </c>
      <c r="BH411" t="s">
        <v>62</v>
      </c>
      <c r="BM411" t="s">
        <v>306</v>
      </c>
      <c r="BR411" t="s">
        <v>306</v>
      </c>
      <c r="BS411" t="s">
        <v>502</v>
      </c>
      <c r="BT411">
        <v>4225041</v>
      </c>
      <c r="BU411" t="s">
        <v>346</v>
      </c>
      <c r="BV411">
        <v>0</v>
      </c>
      <c r="BW411" t="s">
        <v>2186</v>
      </c>
      <c r="BX411" t="s">
        <v>934</v>
      </c>
      <c r="BY411">
        <v>10533696</v>
      </c>
      <c r="BZ411" t="s">
        <v>346</v>
      </c>
      <c r="CA411">
        <v>0</v>
      </c>
      <c r="CB411" t="s">
        <v>326</v>
      </c>
      <c r="CC411" t="s">
        <v>1835</v>
      </c>
      <c r="CD411">
        <v>110426</v>
      </c>
      <c r="CE411" t="s">
        <v>346</v>
      </c>
      <c r="CF411">
        <v>0</v>
      </c>
      <c r="CG411" t="s">
        <v>53</v>
      </c>
      <c r="CL411" t="s">
        <v>306</v>
      </c>
      <c r="CM411" t="s">
        <v>1850</v>
      </c>
      <c r="CN411">
        <v>4218639</v>
      </c>
      <c r="CO411" t="s">
        <v>346</v>
      </c>
      <c r="CP411">
        <v>0</v>
      </c>
      <c r="CQ411" t="s">
        <v>53</v>
      </c>
      <c r="CV411" t="s">
        <v>306</v>
      </c>
      <c r="DA411" t="s">
        <v>306</v>
      </c>
      <c r="DB411" t="s">
        <v>1324</v>
      </c>
      <c r="DC411">
        <v>4234580</v>
      </c>
      <c r="DD411" t="s">
        <v>364</v>
      </c>
      <c r="DE411">
        <v>0</v>
      </c>
      <c r="DF411" t="s">
        <v>62</v>
      </c>
      <c r="DK411" t="s">
        <v>306</v>
      </c>
      <c r="DL411" t="s">
        <v>1324</v>
      </c>
      <c r="DM411">
        <v>4234580</v>
      </c>
      <c r="DN411" t="s">
        <v>364</v>
      </c>
      <c r="DO411">
        <v>0</v>
      </c>
      <c r="DP411" t="s">
        <v>62</v>
      </c>
      <c r="DU411" t="s">
        <v>306</v>
      </c>
      <c r="DZ411" t="s">
        <v>306</v>
      </c>
      <c r="EA411" t="s">
        <v>1835</v>
      </c>
      <c r="EB411">
        <v>110426</v>
      </c>
      <c r="EC411" t="s">
        <v>346</v>
      </c>
      <c r="ED411">
        <v>0</v>
      </c>
      <c r="EE411" t="s">
        <v>53</v>
      </c>
      <c r="EF411" t="s">
        <v>1324</v>
      </c>
      <c r="EG411">
        <v>4234580</v>
      </c>
      <c r="EH411" t="s">
        <v>364</v>
      </c>
      <c r="EI411">
        <v>0</v>
      </c>
      <c r="EJ411" t="s">
        <v>62</v>
      </c>
      <c r="EO411" t="s">
        <v>306</v>
      </c>
      <c r="ET411" t="s">
        <v>306</v>
      </c>
      <c r="EY411" t="s">
        <v>306</v>
      </c>
      <c r="FD411" t="s">
        <v>306</v>
      </c>
      <c r="FI411" t="s">
        <v>306</v>
      </c>
      <c r="FN411" t="s">
        <v>306</v>
      </c>
      <c r="FS411" t="s">
        <v>306</v>
      </c>
      <c r="FX411" t="s">
        <v>306</v>
      </c>
      <c r="FY411" t="s">
        <v>1324</v>
      </c>
      <c r="FZ411">
        <v>4234580</v>
      </c>
      <c r="GA411" t="s">
        <v>364</v>
      </c>
      <c r="GB411">
        <v>0</v>
      </c>
      <c r="GC411" t="s">
        <v>62</v>
      </c>
      <c r="GH411" t="s">
        <v>306</v>
      </c>
      <c r="GM411" t="s">
        <v>306</v>
      </c>
      <c r="GR411" t="s">
        <v>306</v>
      </c>
      <c r="GW411" t="s">
        <v>306</v>
      </c>
      <c r="GX411" t="s">
        <v>1835</v>
      </c>
      <c r="GY411">
        <v>110426</v>
      </c>
      <c r="GZ411" t="s">
        <v>346</v>
      </c>
      <c r="HA411">
        <v>0</v>
      </c>
      <c r="HB411" t="s">
        <v>53</v>
      </c>
      <c r="HG411" t="s">
        <v>306</v>
      </c>
    </row>
    <row r="412" spans="5:215" x14ac:dyDescent="0.35">
      <c r="E412" t="s">
        <v>306</v>
      </c>
      <c r="J412" t="s">
        <v>306</v>
      </c>
      <c r="O412" t="s">
        <v>306</v>
      </c>
      <c r="T412" t="s">
        <v>306</v>
      </c>
      <c r="U412" t="s">
        <v>420</v>
      </c>
      <c r="V412">
        <v>19342220</v>
      </c>
      <c r="W412" t="s">
        <v>346</v>
      </c>
      <c r="X412">
        <v>0</v>
      </c>
      <c r="Y412" t="s">
        <v>53</v>
      </c>
      <c r="AD412" t="s">
        <v>306</v>
      </c>
      <c r="AI412" t="s">
        <v>306</v>
      </c>
      <c r="AN412" t="s">
        <v>306</v>
      </c>
      <c r="AS412" t="s">
        <v>306</v>
      </c>
      <c r="AX412" t="s">
        <v>306</v>
      </c>
      <c r="BC412" t="s">
        <v>306</v>
      </c>
      <c r="BD412" t="s">
        <v>631</v>
      </c>
      <c r="BE412">
        <v>112247511</v>
      </c>
      <c r="BF412" t="s">
        <v>346</v>
      </c>
      <c r="BG412">
        <v>0</v>
      </c>
      <c r="BH412" t="s">
        <v>53</v>
      </c>
      <c r="BM412" t="s">
        <v>306</v>
      </c>
      <c r="BR412" t="s">
        <v>306</v>
      </c>
      <c r="BS412" t="s">
        <v>498</v>
      </c>
      <c r="BT412">
        <v>4187546</v>
      </c>
      <c r="BU412" t="s">
        <v>346</v>
      </c>
      <c r="BV412">
        <v>0</v>
      </c>
      <c r="BW412" t="s">
        <v>53</v>
      </c>
      <c r="BX412" t="s">
        <v>420</v>
      </c>
      <c r="BY412">
        <v>19342220</v>
      </c>
      <c r="BZ412" t="s">
        <v>346</v>
      </c>
      <c r="CA412">
        <v>0</v>
      </c>
      <c r="CB412" t="s">
        <v>53</v>
      </c>
      <c r="CC412" t="s">
        <v>1836</v>
      </c>
      <c r="CD412">
        <v>4111513</v>
      </c>
      <c r="CE412" t="s">
        <v>346</v>
      </c>
      <c r="CF412">
        <v>0</v>
      </c>
      <c r="CG412" t="s">
        <v>53</v>
      </c>
      <c r="CL412" t="s">
        <v>306</v>
      </c>
      <c r="CM412" t="s">
        <v>1366</v>
      </c>
      <c r="CN412">
        <v>115685602</v>
      </c>
      <c r="CO412" t="s">
        <v>364</v>
      </c>
      <c r="CP412">
        <v>0</v>
      </c>
      <c r="CQ412" t="s">
        <v>62</v>
      </c>
      <c r="CV412" t="s">
        <v>306</v>
      </c>
      <c r="DA412" t="s">
        <v>306</v>
      </c>
      <c r="DB412" t="s">
        <v>631</v>
      </c>
      <c r="DC412">
        <v>112247511</v>
      </c>
      <c r="DD412" t="s">
        <v>346</v>
      </c>
      <c r="DE412">
        <v>0</v>
      </c>
      <c r="DF412" t="s">
        <v>53</v>
      </c>
      <c r="DK412" t="s">
        <v>306</v>
      </c>
      <c r="DL412" t="s">
        <v>631</v>
      </c>
      <c r="DM412">
        <v>112247511</v>
      </c>
      <c r="DN412" t="s">
        <v>346</v>
      </c>
      <c r="DO412">
        <v>0</v>
      </c>
      <c r="DP412" t="s">
        <v>53</v>
      </c>
      <c r="DU412" t="s">
        <v>306</v>
      </c>
      <c r="DZ412" t="s">
        <v>306</v>
      </c>
      <c r="EA412" t="s">
        <v>1836</v>
      </c>
      <c r="EB412">
        <v>4111513</v>
      </c>
      <c r="EC412" t="s">
        <v>346</v>
      </c>
      <c r="ED412">
        <v>0</v>
      </c>
      <c r="EE412" t="s">
        <v>53</v>
      </c>
      <c r="EF412" t="s">
        <v>631</v>
      </c>
      <c r="EG412">
        <v>112247511</v>
      </c>
      <c r="EH412" t="s">
        <v>346</v>
      </c>
      <c r="EI412">
        <v>0</v>
      </c>
      <c r="EJ412" t="s">
        <v>53</v>
      </c>
      <c r="EO412" t="s">
        <v>306</v>
      </c>
      <c r="ET412" t="s">
        <v>306</v>
      </c>
      <c r="EY412" t="s">
        <v>306</v>
      </c>
      <c r="FD412" t="s">
        <v>306</v>
      </c>
      <c r="FI412" t="s">
        <v>306</v>
      </c>
      <c r="FN412" t="s">
        <v>306</v>
      </c>
      <c r="FS412" t="s">
        <v>306</v>
      </c>
      <c r="FX412" t="s">
        <v>306</v>
      </c>
      <c r="FY412" t="s">
        <v>631</v>
      </c>
      <c r="FZ412">
        <v>112247511</v>
      </c>
      <c r="GA412" t="s">
        <v>346</v>
      </c>
      <c r="GB412">
        <v>0</v>
      </c>
      <c r="GC412" t="s">
        <v>53</v>
      </c>
      <c r="GH412" t="s">
        <v>306</v>
      </c>
      <c r="GM412" t="s">
        <v>306</v>
      </c>
      <c r="GR412" t="s">
        <v>306</v>
      </c>
      <c r="GW412" t="s">
        <v>306</v>
      </c>
      <c r="GX412" t="s">
        <v>1836</v>
      </c>
      <c r="GY412">
        <v>4111513</v>
      </c>
      <c r="GZ412" t="s">
        <v>346</v>
      </c>
      <c r="HA412">
        <v>0</v>
      </c>
      <c r="HB412" t="s">
        <v>53</v>
      </c>
      <c r="HG412" t="s">
        <v>306</v>
      </c>
    </row>
    <row r="413" spans="5:215" x14ac:dyDescent="0.35">
      <c r="E413" t="s">
        <v>306</v>
      </c>
      <c r="J413" t="s">
        <v>306</v>
      </c>
      <c r="O413" t="s">
        <v>306</v>
      </c>
      <c r="T413" t="s">
        <v>306</v>
      </c>
      <c r="U413" t="s">
        <v>632</v>
      </c>
      <c r="V413">
        <v>112689727</v>
      </c>
      <c r="W413" t="s">
        <v>346</v>
      </c>
      <c r="X413">
        <v>0</v>
      </c>
      <c r="Y413" t="s">
        <v>53</v>
      </c>
      <c r="AD413" t="s">
        <v>306</v>
      </c>
      <c r="AI413" t="s">
        <v>306</v>
      </c>
      <c r="AN413" t="s">
        <v>306</v>
      </c>
      <c r="AS413" t="s">
        <v>306</v>
      </c>
      <c r="AX413" t="s">
        <v>306</v>
      </c>
      <c r="BC413" t="s">
        <v>306</v>
      </c>
      <c r="BD413" t="s">
        <v>1305</v>
      </c>
      <c r="BE413">
        <v>5866366</v>
      </c>
      <c r="BF413" t="s">
        <v>346</v>
      </c>
      <c r="BG413">
        <v>0</v>
      </c>
      <c r="BH413" t="s">
        <v>62</v>
      </c>
      <c r="BM413" t="s">
        <v>306</v>
      </c>
      <c r="BR413" t="s">
        <v>306</v>
      </c>
      <c r="BS413" t="s">
        <v>848</v>
      </c>
      <c r="BT413">
        <v>4117833</v>
      </c>
      <c r="BU413" t="s">
        <v>346</v>
      </c>
      <c r="BV413">
        <v>0</v>
      </c>
      <c r="BW413" t="s">
        <v>2181</v>
      </c>
      <c r="BX413" t="s">
        <v>632</v>
      </c>
      <c r="BY413">
        <v>112689727</v>
      </c>
      <c r="BZ413" t="s">
        <v>346</v>
      </c>
      <c r="CA413">
        <v>0</v>
      </c>
      <c r="CB413" t="s">
        <v>53</v>
      </c>
      <c r="CC413" t="s">
        <v>1837</v>
      </c>
      <c r="CD413">
        <v>5615632</v>
      </c>
      <c r="CE413" t="s">
        <v>276</v>
      </c>
      <c r="CF413">
        <v>0</v>
      </c>
      <c r="CG413" t="s">
        <v>53</v>
      </c>
      <c r="CL413" t="s">
        <v>306</v>
      </c>
      <c r="CM413" t="s">
        <v>1368</v>
      </c>
      <c r="CN413">
        <v>11023422</v>
      </c>
      <c r="CO413" t="s">
        <v>346</v>
      </c>
      <c r="CP413">
        <v>0</v>
      </c>
      <c r="CQ413" t="s">
        <v>62</v>
      </c>
      <c r="CV413" t="s">
        <v>306</v>
      </c>
      <c r="DA413" t="s">
        <v>306</v>
      </c>
      <c r="DB413" t="s">
        <v>1305</v>
      </c>
      <c r="DC413">
        <v>5866366</v>
      </c>
      <c r="DD413" t="s">
        <v>346</v>
      </c>
      <c r="DE413">
        <v>0</v>
      </c>
      <c r="DF413" t="s">
        <v>62</v>
      </c>
      <c r="DK413" t="s">
        <v>306</v>
      </c>
      <c r="DL413" t="s">
        <v>1305</v>
      </c>
      <c r="DM413">
        <v>5866366</v>
      </c>
      <c r="DN413" t="s">
        <v>346</v>
      </c>
      <c r="DO413">
        <v>0</v>
      </c>
      <c r="DP413" t="s">
        <v>62</v>
      </c>
      <c r="DU413" t="s">
        <v>306</v>
      </c>
      <c r="DZ413" t="s">
        <v>306</v>
      </c>
      <c r="EA413" t="s">
        <v>1837</v>
      </c>
      <c r="EB413">
        <v>5615632</v>
      </c>
      <c r="EC413" t="s">
        <v>276</v>
      </c>
      <c r="ED413">
        <v>0</v>
      </c>
      <c r="EE413" t="s">
        <v>53</v>
      </c>
      <c r="EF413" t="s">
        <v>1305</v>
      </c>
      <c r="EG413">
        <v>5866366</v>
      </c>
      <c r="EH413" t="s">
        <v>346</v>
      </c>
      <c r="EI413">
        <v>0</v>
      </c>
      <c r="EJ413" t="s">
        <v>62</v>
      </c>
      <c r="EO413" t="s">
        <v>306</v>
      </c>
      <c r="ET413" t="s">
        <v>306</v>
      </c>
      <c r="EY413" t="s">
        <v>306</v>
      </c>
      <c r="FD413" t="s">
        <v>306</v>
      </c>
      <c r="FI413" t="s">
        <v>306</v>
      </c>
      <c r="FN413" t="s">
        <v>306</v>
      </c>
      <c r="FS413" t="s">
        <v>306</v>
      </c>
      <c r="FX413" t="s">
        <v>306</v>
      </c>
      <c r="FY413" t="s">
        <v>1305</v>
      </c>
      <c r="FZ413">
        <v>5866366</v>
      </c>
      <c r="GA413" t="s">
        <v>346</v>
      </c>
      <c r="GB413">
        <v>0</v>
      </c>
      <c r="GC413" t="s">
        <v>62</v>
      </c>
      <c r="GH413" t="s">
        <v>306</v>
      </c>
      <c r="GM413" t="s">
        <v>306</v>
      </c>
      <c r="GR413" t="s">
        <v>306</v>
      </c>
      <c r="GW413" t="s">
        <v>306</v>
      </c>
      <c r="GX413" t="s">
        <v>1837</v>
      </c>
      <c r="GY413">
        <v>5615632</v>
      </c>
      <c r="GZ413" t="s">
        <v>276</v>
      </c>
      <c r="HA413">
        <v>0</v>
      </c>
      <c r="HB413" t="s">
        <v>53</v>
      </c>
      <c r="HG413" t="s">
        <v>306</v>
      </c>
    </row>
    <row r="414" spans="5:215" x14ac:dyDescent="0.35">
      <c r="E414" t="s">
        <v>306</v>
      </c>
      <c r="J414" t="s">
        <v>306</v>
      </c>
      <c r="O414" t="s">
        <v>306</v>
      </c>
      <c r="T414" t="s">
        <v>306</v>
      </c>
      <c r="U414" t="s">
        <v>935</v>
      </c>
      <c r="V414">
        <v>109295</v>
      </c>
      <c r="W414" t="s">
        <v>366</v>
      </c>
      <c r="X414">
        <v>0</v>
      </c>
      <c r="Y414" t="s">
        <v>53</v>
      </c>
      <c r="AD414" t="s">
        <v>306</v>
      </c>
      <c r="AI414" t="s">
        <v>306</v>
      </c>
      <c r="AN414" t="s">
        <v>306</v>
      </c>
      <c r="AS414" t="s">
        <v>306</v>
      </c>
      <c r="AX414" t="s">
        <v>306</v>
      </c>
      <c r="BC414" t="s">
        <v>306</v>
      </c>
      <c r="BD414" t="s">
        <v>1522</v>
      </c>
      <c r="BE414">
        <v>5807183</v>
      </c>
      <c r="BF414" t="s">
        <v>346</v>
      </c>
      <c r="BG414">
        <v>0</v>
      </c>
      <c r="BH414" t="s">
        <v>2185</v>
      </c>
      <c r="BM414" t="s">
        <v>306</v>
      </c>
      <c r="BR414" t="s">
        <v>306</v>
      </c>
      <c r="BS414" t="s">
        <v>880</v>
      </c>
      <c r="BT414">
        <v>4139864</v>
      </c>
      <c r="BU414" t="s">
        <v>346</v>
      </c>
      <c r="BV414">
        <v>0</v>
      </c>
      <c r="BW414" t="s">
        <v>313</v>
      </c>
      <c r="BX414" t="s">
        <v>935</v>
      </c>
      <c r="BY414">
        <v>109295</v>
      </c>
      <c r="BZ414" t="s">
        <v>366</v>
      </c>
      <c r="CA414">
        <v>0</v>
      </c>
      <c r="CB414" t="s">
        <v>53</v>
      </c>
      <c r="CC414" t="s">
        <v>1838</v>
      </c>
      <c r="CD414">
        <v>4219077</v>
      </c>
      <c r="CE414" t="s">
        <v>346</v>
      </c>
      <c r="CF414">
        <v>0</v>
      </c>
      <c r="CG414" t="s">
        <v>53</v>
      </c>
      <c r="CL414" t="s">
        <v>306</v>
      </c>
      <c r="CM414" t="s">
        <v>458</v>
      </c>
      <c r="CN414">
        <v>109806</v>
      </c>
      <c r="CO414" t="s">
        <v>346</v>
      </c>
      <c r="CP414">
        <v>0</v>
      </c>
      <c r="CQ414" t="s">
        <v>53</v>
      </c>
      <c r="CV414" t="s">
        <v>306</v>
      </c>
      <c r="DA414" t="s">
        <v>306</v>
      </c>
      <c r="DB414" t="s">
        <v>1522</v>
      </c>
      <c r="DC414">
        <v>5807183</v>
      </c>
      <c r="DD414" t="s">
        <v>346</v>
      </c>
      <c r="DE414">
        <v>0</v>
      </c>
      <c r="DF414" t="s">
        <v>2185</v>
      </c>
      <c r="DK414" t="s">
        <v>306</v>
      </c>
      <c r="DL414" t="s">
        <v>1522</v>
      </c>
      <c r="DM414">
        <v>5807183</v>
      </c>
      <c r="DN414" t="s">
        <v>346</v>
      </c>
      <c r="DO414">
        <v>0</v>
      </c>
      <c r="DP414" t="s">
        <v>2185</v>
      </c>
      <c r="DU414" t="s">
        <v>306</v>
      </c>
      <c r="DZ414" t="s">
        <v>306</v>
      </c>
      <c r="EA414" t="s">
        <v>1838</v>
      </c>
      <c r="EB414">
        <v>4219077</v>
      </c>
      <c r="EC414" t="s">
        <v>346</v>
      </c>
      <c r="ED414">
        <v>0</v>
      </c>
      <c r="EE414" t="s">
        <v>53</v>
      </c>
      <c r="EF414" t="s">
        <v>1522</v>
      </c>
      <c r="EG414">
        <v>5807183</v>
      </c>
      <c r="EH414" t="s">
        <v>346</v>
      </c>
      <c r="EI414">
        <v>0</v>
      </c>
      <c r="EJ414" t="s">
        <v>2185</v>
      </c>
      <c r="EO414" t="s">
        <v>306</v>
      </c>
      <c r="ET414" t="s">
        <v>306</v>
      </c>
      <c r="EY414" t="s">
        <v>306</v>
      </c>
      <c r="FD414" t="s">
        <v>306</v>
      </c>
      <c r="FI414" t="s">
        <v>306</v>
      </c>
      <c r="FN414" t="s">
        <v>306</v>
      </c>
      <c r="FS414" t="s">
        <v>306</v>
      </c>
      <c r="FX414" t="s">
        <v>306</v>
      </c>
      <c r="FY414" t="s">
        <v>1522</v>
      </c>
      <c r="FZ414">
        <v>5807183</v>
      </c>
      <c r="GA414" t="s">
        <v>346</v>
      </c>
      <c r="GB414">
        <v>0</v>
      </c>
      <c r="GC414" t="s">
        <v>2185</v>
      </c>
      <c r="GH414" t="s">
        <v>306</v>
      </c>
      <c r="GM414" t="s">
        <v>306</v>
      </c>
      <c r="GR414" t="s">
        <v>306</v>
      </c>
      <c r="GW414" t="s">
        <v>306</v>
      </c>
      <c r="GX414" t="s">
        <v>1838</v>
      </c>
      <c r="GY414">
        <v>4219077</v>
      </c>
      <c r="GZ414" t="s">
        <v>346</v>
      </c>
      <c r="HA414">
        <v>0</v>
      </c>
      <c r="HB414" t="s">
        <v>53</v>
      </c>
      <c r="HG414" t="s">
        <v>306</v>
      </c>
    </row>
    <row r="415" spans="5:215" x14ac:dyDescent="0.35">
      <c r="E415" t="s">
        <v>306</v>
      </c>
      <c r="J415" t="s">
        <v>306</v>
      </c>
      <c r="O415" t="s">
        <v>306</v>
      </c>
      <c r="T415" t="s">
        <v>306</v>
      </c>
      <c r="U415" t="s">
        <v>936</v>
      </c>
      <c r="V415">
        <v>100369</v>
      </c>
      <c r="W415" t="s">
        <v>366</v>
      </c>
      <c r="X415">
        <v>-0.01</v>
      </c>
      <c r="Y415" t="s">
        <v>53</v>
      </c>
      <c r="AD415" t="s">
        <v>306</v>
      </c>
      <c r="AI415" t="s">
        <v>306</v>
      </c>
      <c r="AN415" t="s">
        <v>306</v>
      </c>
      <c r="AS415" t="s">
        <v>306</v>
      </c>
      <c r="AX415" t="s">
        <v>306</v>
      </c>
      <c r="BC415" t="s">
        <v>306</v>
      </c>
      <c r="BD415" t="s">
        <v>1090</v>
      </c>
      <c r="BE415">
        <v>4547746</v>
      </c>
      <c r="BF415" t="s">
        <v>346</v>
      </c>
      <c r="BG415">
        <v>0</v>
      </c>
      <c r="BH415" t="s">
        <v>2185</v>
      </c>
      <c r="BM415" t="s">
        <v>306</v>
      </c>
      <c r="BR415" t="s">
        <v>306</v>
      </c>
      <c r="BS415" t="s">
        <v>1060</v>
      </c>
      <c r="BT415">
        <v>4298386</v>
      </c>
      <c r="BU415" t="s">
        <v>346</v>
      </c>
      <c r="BV415">
        <v>0</v>
      </c>
      <c r="BW415" t="s">
        <v>313</v>
      </c>
      <c r="BX415" t="s">
        <v>936</v>
      </c>
      <c r="BY415">
        <v>100369</v>
      </c>
      <c r="BZ415" t="s">
        <v>366</v>
      </c>
      <c r="CA415">
        <v>-0.01</v>
      </c>
      <c r="CB415" t="s">
        <v>53</v>
      </c>
      <c r="CC415" t="s">
        <v>1839</v>
      </c>
      <c r="CD415">
        <v>10737882</v>
      </c>
      <c r="CE415" t="s">
        <v>276</v>
      </c>
      <c r="CF415">
        <v>0</v>
      </c>
      <c r="CG415" t="s">
        <v>53</v>
      </c>
      <c r="CL415" t="s">
        <v>306</v>
      </c>
      <c r="CM415" t="s">
        <v>1354</v>
      </c>
      <c r="CN415">
        <v>4305801</v>
      </c>
      <c r="CO415" t="s">
        <v>346</v>
      </c>
      <c r="CP415">
        <v>0</v>
      </c>
      <c r="CQ415" t="s">
        <v>62</v>
      </c>
      <c r="CV415" t="s">
        <v>306</v>
      </c>
      <c r="DA415" t="s">
        <v>306</v>
      </c>
      <c r="DB415" t="s">
        <v>1090</v>
      </c>
      <c r="DC415">
        <v>4547746</v>
      </c>
      <c r="DD415" t="s">
        <v>346</v>
      </c>
      <c r="DE415">
        <v>0</v>
      </c>
      <c r="DF415" t="s">
        <v>2185</v>
      </c>
      <c r="DK415" t="s">
        <v>306</v>
      </c>
      <c r="DL415" t="s">
        <v>1090</v>
      </c>
      <c r="DM415">
        <v>4547746</v>
      </c>
      <c r="DN415" t="s">
        <v>346</v>
      </c>
      <c r="DO415">
        <v>0</v>
      </c>
      <c r="DP415" t="s">
        <v>2185</v>
      </c>
      <c r="DU415" t="s">
        <v>306</v>
      </c>
      <c r="DZ415" t="s">
        <v>306</v>
      </c>
      <c r="EA415" t="s">
        <v>1839</v>
      </c>
      <c r="EB415">
        <v>10737882</v>
      </c>
      <c r="EC415" t="s">
        <v>276</v>
      </c>
      <c r="ED415">
        <v>0</v>
      </c>
      <c r="EE415" t="s">
        <v>53</v>
      </c>
      <c r="EF415" t="s">
        <v>1090</v>
      </c>
      <c r="EG415">
        <v>4547746</v>
      </c>
      <c r="EH415" t="s">
        <v>346</v>
      </c>
      <c r="EI415">
        <v>0</v>
      </c>
      <c r="EJ415" t="s">
        <v>2185</v>
      </c>
      <c r="EO415" t="s">
        <v>306</v>
      </c>
      <c r="ET415" t="s">
        <v>306</v>
      </c>
      <c r="EY415" t="s">
        <v>306</v>
      </c>
      <c r="FD415" t="s">
        <v>306</v>
      </c>
      <c r="FI415" t="s">
        <v>306</v>
      </c>
      <c r="FN415" t="s">
        <v>306</v>
      </c>
      <c r="FS415" t="s">
        <v>306</v>
      </c>
      <c r="FX415" t="s">
        <v>306</v>
      </c>
      <c r="FY415" t="s">
        <v>1090</v>
      </c>
      <c r="FZ415">
        <v>4547746</v>
      </c>
      <c r="GA415" t="s">
        <v>346</v>
      </c>
      <c r="GB415">
        <v>0</v>
      </c>
      <c r="GC415" t="s">
        <v>2185</v>
      </c>
      <c r="GH415" t="s">
        <v>306</v>
      </c>
      <c r="GM415" t="s">
        <v>306</v>
      </c>
      <c r="GR415" t="s">
        <v>306</v>
      </c>
      <c r="GW415" t="s">
        <v>306</v>
      </c>
      <c r="GX415" t="s">
        <v>1839</v>
      </c>
      <c r="GY415">
        <v>10737882</v>
      </c>
      <c r="GZ415" t="s">
        <v>276</v>
      </c>
      <c r="HA415">
        <v>0</v>
      </c>
      <c r="HB415" t="s">
        <v>53</v>
      </c>
      <c r="HG415" t="s">
        <v>306</v>
      </c>
    </row>
    <row r="416" spans="5:215" x14ac:dyDescent="0.35">
      <c r="E416" t="s">
        <v>306</v>
      </c>
      <c r="J416" t="s">
        <v>306</v>
      </c>
      <c r="O416" t="s">
        <v>306</v>
      </c>
      <c r="T416" t="s">
        <v>306</v>
      </c>
      <c r="U416" t="s">
        <v>937</v>
      </c>
      <c r="V416">
        <v>4041896</v>
      </c>
      <c r="W416" t="s">
        <v>366</v>
      </c>
      <c r="X416">
        <v>-0.05</v>
      </c>
      <c r="Y416" t="s">
        <v>53</v>
      </c>
      <c r="AD416" t="s">
        <v>306</v>
      </c>
      <c r="AI416" t="s">
        <v>306</v>
      </c>
      <c r="AN416" t="s">
        <v>306</v>
      </c>
      <c r="AS416" t="s">
        <v>306</v>
      </c>
      <c r="AX416" t="s">
        <v>306</v>
      </c>
      <c r="BC416" t="s">
        <v>306</v>
      </c>
      <c r="BD416" t="s">
        <v>566</v>
      </c>
      <c r="BE416">
        <v>5842545</v>
      </c>
      <c r="BF416" t="s">
        <v>346</v>
      </c>
      <c r="BG416">
        <v>0</v>
      </c>
      <c r="BH416" t="s">
        <v>53</v>
      </c>
      <c r="BM416" t="s">
        <v>306</v>
      </c>
      <c r="BR416" t="s">
        <v>306</v>
      </c>
      <c r="BS416" t="s">
        <v>1061</v>
      </c>
      <c r="BT416">
        <v>4422379</v>
      </c>
      <c r="BU416" t="s">
        <v>346</v>
      </c>
      <c r="BV416">
        <v>0</v>
      </c>
      <c r="BW416" t="s">
        <v>2185</v>
      </c>
      <c r="BX416" t="s">
        <v>937</v>
      </c>
      <c r="BY416">
        <v>4041896</v>
      </c>
      <c r="BZ416" t="s">
        <v>366</v>
      </c>
      <c r="CA416">
        <v>-0.05</v>
      </c>
      <c r="CB416" t="s">
        <v>53</v>
      </c>
      <c r="CC416" t="s">
        <v>823</v>
      </c>
      <c r="CD416">
        <v>4212913</v>
      </c>
      <c r="CE416" t="s">
        <v>346</v>
      </c>
      <c r="CF416">
        <v>0</v>
      </c>
      <c r="CG416" t="s">
        <v>2191</v>
      </c>
      <c r="CL416" t="s">
        <v>306</v>
      </c>
      <c r="CM416" t="s">
        <v>1384</v>
      </c>
      <c r="CN416">
        <v>28669074</v>
      </c>
      <c r="CO416" t="s">
        <v>346</v>
      </c>
      <c r="CP416">
        <v>0</v>
      </c>
      <c r="CQ416" t="s">
        <v>53</v>
      </c>
      <c r="CV416" t="s">
        <v>306</v>
      </c>
      <c r="DA416" t="s">
        <v>306</v>
      </c>
      <c r="DB416" t="s">
        <v>566</v>
      </c>
      <c r="DC416">
        <v>5842545</v>
      </c>
      <c r="DD416" t="s">
        <v>346</v>
      </c>
      <c r="DE416">
        <v>0</v>
      </c>
      <c r="DF416" t="s">
        <v>53</v>
      </c>
      <c r="DK416" t="s">
        <v>306</v>
      </c>
      <c r="DL416" t="s">
        <v>566</v>
      </c>
      <c r="DM416">
        <v>5842545</v>
      </c>
      <c r="DN416" t="s">
        <v>346</v>
      </c>
      <c r="DO416">
        <v>0</v>
      </c>
      <c r="DP416" t="s">
        <v>53</v>
      </c>
      <c r="DU416" t="s">
        <v>306</v>
      </c>
      <c r="DZ416" t="s">
        <v>306</v>
      </c>
      <c r="EA416" t="s">
        <v>823</v>
      </c>
      <c r="EB416">
        <v>4212913</v>
      </c>
      <c r="EC416" t="s">
        <v>346</v>
      </c>
      <c r="ED416">
        <v>0</v>
      </c>
      <c r="EE416" t="s">
        <v>2191</v>
      </c>
      <c r="EF416" t="s">
        <v>566</v>
      </c>
      <c r="EG416">
        <v>5842545</v>
      </c>
      <c r="EH416" t="s">
        <v>346</v>
      </c>
      <c r="EI416">
        <v>0</v>
      </c>
      <c r="EJ416" t="s">
        <v>53</v>
      </c>
      <c r="EO416" t="s">
        <v>306</v>
      </c>
      <c r="ET416" t="s">
        <v>306</v>
      </c>
      <c r="EY416" t="s">
        <v>306</v>
      </c>
      <c r="FD416" t="s">
        <v>306</v>
      </c>
      <c r="FI416" t="s">
        <v>306</v>
      </c>
      <c r="FN416" t="s">
        <v>306</v>
      </c>
      <c r="FS416" t="s">
        <v>306</v>
      </c>
      <c r="FX416" t="s">
        <v>306</v>
      </c>
      <c r="FY416" t="s">
        <v>566</v>
      </c>
      <c r="FZ416">
        <v>5842545</v>
      </c>
      <c r="GA416" t="s">
        <v>346</v>
      </c>
      <c r="GB416">
        <v>0</v>
      </c>
      <c r="GC416" t="s">
        <v>53</v>
      </c>
      <c r="GH416" t="s">
        <v>306</v>
      </c>
      <c r="GM416" t="s">
        <v>306</v>
      </c>
      <c r="GR416" t="s">
        <v>306</v>
      </c>
      <c r="GW416" t="s">
        <v>306</v>
      </c>
      <c r="GX416" t="s">
        <v>823</v>
      </c>
      <c r="GY416">
        <v>4212913</v>
      </c>
      <c r="GZ416" t="s">
        <v>346</v>
      </c>
      <c r="HA416">
        <v>0</v>
      </c>
      <c r="HB416" t="s">
        <v>2191</v>
      </c>
      <c r="HG416" t="s">
        <v>306</v>
      </c>
    </row>
    <row r="417" spans="5:215" x14ac:dyDescent="0.35">
      <c r="E417" t="s">
        <v>306</v>
      </c>
      <c r="J417" t="s">
        <v>306</v>
      </c>
      <c r="O417" t="s">
        <v>306</v>
      </c>
      <c r="T417" t="s">
        <v>306</v>
      </c>
      <c r="Y417" t="s">
        <v>306</v>
      </c>
      <c r="AD417" t="s">
        <v>306</v>
      </c>
      <c r="AI417" t="s">
        <v>306</v>
      </c>
      <c r="AN417" t="s">
        <v>306</v>
      </c>
      <c r="AS417" t="s">
        <v>306</v>
      </c>
      <c r="AX417" t="s">
        <v>306</v>
      </c>
      <c r="BC417" t="s">
        <v>306</v>
      </c>
      <c r="BD417" t="s">
        <v>1523</v>
      </c>
      <c r="BE417">
        <v>5852466</v>
      </c>
      <c r="BF417" t="s">
        <v>346</v>
      </c>
      <c r="BG417">
        <v>0</v>
      </c>
      <c r="BH417" t="s">
        <v>62</v>
      </c>
      <c r="BM417" t="s">
        <v>306</v>
      </c>
      <c r="BR417" t="s">
        <v>306</v>
      </c>
      <c r="BS417" t="s">
        <v>1062</v>
      </c>
      <c r="BT417">
        <v>6727278</v>
      </c>
      <c r="BU417" t="s">
        <v>346</v>
      </c>
      <c r="BV417">
        <v>0</v>
      </c>
      <c r="BW417" t="s">
        <v>323</v>
      </c>
      <c r="CB417" t="s">
        <v>306</v>
      </c>
      <c r="CC417" t="s">
        <v>1840</v>
      </c>
      <c r="CD417">
        <v>4115974</v>
      </c>
      <c r="CE417" t="s">
        <v>346</v>
      </c>
      <c r="CF417">
        <v>0</v>
      </c>
      <c r="CG417" t="s">
        <v>53</v>
      </c>
      <c r="CL417" t="s">
        <v>306</v>
      </c>
      <c r="CM417" t="s">
        <v>1329</v>
      </c>
      <c r="CN417">
        <v>5804886</v>
      </c>
      <c r="CO417" t="s">
        <v>346</v>
      </c>
      <c r="CP417">
        <v>0</v>
      </c>
      <c r="CQ417" t="s">
        <v>62</v>
      </c>
      <c r="CV417" t="s">
        <v>306</v>
      </c>
      <c r="DA417" t="s">
        <v>306</v>
      </c>
      <c r="DB417" t="s">
        <v>1523</v>
      </c>
      <c r="DC417">
        <v>5852466</v>
      </c>
      <c r="DD417" t="s">
        <v>346</v>
      </c>
      <c r="DE417">
        <v>0</v>
      </c>
      <c r="DF417" t="s">
        <v>62</v>
      </c>
      <c r="DK417" t="s">
        <v>306</v>
      </c>
      <c r="DL417" t="s">
        <v>1523</v>
      </c>
      <c r="DM417">
        <v>5852466</v>
      </c>
      <c r="DN417" t="s">
        <v>346</v>
      </c>
      <c r="DO417">
        <v>0</v>
      </c>
      <c r="DP417" t="s">
        <v>62</v>
      </c>
      <c r="DU417" t="s">
        <v>306</v>
      </c>
      <c r="DZ417" t="s">
        <v>306</v>
      </c>
      <c r="EA417" t="s">
        <v>1840</v>
      </c>
      <c r="EB417">
        <v>4115974</v>
      </c>
      <c r="EC417" t="s">
        <v>346</v>
      </c>
      <c r="ED417">
        <v>0</v>
      </c>
      <c r="EE417" t="s">
        <v>53</v>
      </c>
      <c r="EF417" t="s">
        <v>1523</v>
      </c>
      <c r="EG417">
        <v>5852466</v>
      </c>
      <c r="EH417" t="s">
        <v>346</v>
      </c>
      <c r="EI417">
        <v>0</v>
      </c>
      <c r="EJ417" t="s">
        <v>62</v>
      </c>
      <c r="EO417" t="s">
        <v>306</v>
      </c>
      <c r="ET417" t="s">
        <v>306</v>
      </c>
      <c r="EY417" t="s">
        <v>306</v>
      </c>
      <c r="FD417" t="s">
        <v>306</v>
      </c>
      <c r="FI417" t="s">
        <v>306</v>
      </c>
      <c r="FN417" t="s">
        <v>306</v>
      </c>
      <c r="FS417" t="s">
        <v>306</v>
      </c>
      <c r="FX417" t="s">
        <v>306</v>
      </c>
      <c r="FY417" t="s">
        <v>1523</v>
      </c>
      <c r="FZ417">
        <v>5852466</v>
      </c>
      <c r="GA417" t="s">
        <v>346</v>
      </c>
      <c r="GB417">
        <v>0</v>
      </c>
      <c r="GC417" t="s">
        <v>62</v>
      </c>
      <c r="GH417" t="s">
        <v>306</v>
      </c>
      <c r="GM417" t="s">
        <v>306</v>
      </c>
      <c r="GR417" t="s">
        <v>306</v>
      </c>
      <c r="GW417" t="s">
        <v>306</v>
      </c>
      <c r="GX417" t="s">
        <v>1840</v>
      </c>
      <c r="GY417">
        <v>4115974</v>
      </c>
      <c r="GZ417" t="s">
        <v>346</v>
      </c>
      <c r="HA417">
        <v>0</v>
      </c>
      <c r="HB417" t="s">
        <v>53</v>
      </c>
      <c r="HG417" t="s">
        <v>306</v>
      </c>
    </row>
    <row r="418" spans="5:215" x14ac:dyDescent="0.35">
      <c r="E418" t="s">
        <v>306</v>
      </c>
      <c r="J418" t="s">
        <v>306</v>
      </c>
      <c r="O418" t="s">
        <v>306</v>
      </c>
      <c r="T418" t="s">
        <v>306</v>
      </c>
      <c r="Y418" t="s">
        <v>306</v>
      </c>
      <c r="AD418" t="s">
        <v>306</v>
      </c>
      <c r="AI418" t="s">
        <v>306</v>
      </c>
      <c r="AN418" t="s">
        <v>306</v>
      </c>
      <c r="AS418" t="s">
        <v>306</v>
      </c>
      <c r="AX418" t="s">
        <v>306</v>
      </c>
      <c r="BC418" t="s">
        <v>306</v>
      </c>
      <c r="BD418" t="s">
        <v>872</v>
      </c>
      <c r="BE418">
        <v>4025426</v>
      </c>
      <c r="BF418" t="s">
        <v>300</v>
      </c>
      <c r="BG418">
        <v>0</v>
      </c>
      <c r="BH418" t="s">
        <v>53</v>
      </c>
      <c r="BM418" t="s">
        <v>306</v>
      </c>
      <c r="BR418" t="s">
        <v>306</v>
      </c>
      <c r="BS418" t="s">
        <v>1063</v>
      </c>
      <c r="BT418">
        <v>6249990</v>
      </c>
      <c r="BU418" t="s">
        <v>346</v>
      </c>
      <c r="BV418">
        <v>0</v>
      </c>
      <c r="BW418" t="s">
        <v>320</v>
      </c>
      <c r="CB418" t="s">
        <v>306</v>
      </c>
      <c r="CC418" t="s">
        <v>422</v>
      </c>
      <c r="CD418">
        <v>4048507</v>
      </c>
      <c r="CE418" t="s">
        <v>346</v>
      </c>
      <c r="CF418">
        <v>0</v>
      </c>
      <c r="CG418" t="s">
        <v>304</v>
      </c>
      <c r="CL418" t="s">
        <v>306</v>
      </c>
      <c r="CM418" t="s">
        <v>1550</v>
      </c>
      <c r="CN418">
        <v>6442762</v>
      </c>
      <c r="CO418" t="s">
        <v>346</v>
      </c>
      <c r="CP418">
        <v>0</v>
      </c>
      <c r="CQ418" t="s">
        <v>62</v>
      </c>
      <c r="CV418" t="s">
        <v>306</v>
      </c>
      <c r="DA418" t="s">
        <v>306</v>
      </c>
      <c r="DB418" t="s">
        <v>872</v>
      </c>
      <c r="DC418">
        <v>4025426</v>
      </c>
      <c r="DD418" t="s">
        <v>300</v>
      </c>
      <c r="DE418">
        <v>0</v>
      </c>
      <c r="DF418" t="s">
        <v>53</v>
      </c>
      <c r="DK418" t="s">
        <v>306</v>
      </c>
      <c r="DL418" t="s">
        <v>872</v>
      </c>
      <c r="DM418">
        <v>4025426</v>
      </c>
      <c r="DN418" t="s">
        <v>300</v>
      </c>
      <c r="DO418">
        <v>0</v>
      </c>
      <c r="DP418" t="s">
        <v>53</v>
      </c>
      <c r="DU418" t="s">
        <v>306</v>
      </c>
      <c r="DZ418" t="s">
        <v>306</v>
      </c>
      <c r="EA418" t="s">
        <v>422</v>
      </c>
      <c r="EB418">
        <v>4048507</v>
      </c>
      <c r="EC418" t="s">
        <v>346</v>
      </c>
      <c r="ED418">
        <v>0</v>
      </c>
      <c r="EE418" t="s">
        <v>304</v>
      </c>
      <c r="EF418" t="s">
        <v>872</v>
      </c>
      <c r="EG418">
        <v>4025426</v>
      </c>
      <c r="EH418" t="s">
        <v>300</v>
      </c>
      <c r="EI418">
        <v>0</v>
      </c>
      <c r="EJ418" t="s">
        <v>53</v>
      </c>
      <c r="EO418" t="s">
        <v>306</v>
      </c>
      <c r="ET418" t="s">
        <v>306</v>
      </c>
      <c r="EY418" t="s">
        <v>306</v>
      </c>
      <c r="FD418" t="s">
        <v>306</v>
      </c>
      <c r="FI418" t="s">
        <v>306</v>
      </c>
      <c r="FN418" t="s">
        <v>306</v>
      </c>
      <c r="FS418" t="s">
        <v>306</v>
      </c>
      <c r="FX418" t="s">
        <v>306</v>
      </c>
      <c r="FY418" t="s">
        <v>872</v>
      </c>
      <c r="FZ418">
        <v>4025426</v>
      </c>
      <c r="GA418" t="s">
        <v>300</v>
      </c>
      <c r="GB418">
        <v>0</v>
      </c>
      <c r="GC418" t="s">
        <v>53</v>
      </c>
      <c r="GH418" t="s">
        <v>306</v>
      </c>
      <c r="GM418" t="s">
        <v>306</v>
      </c>
      <c r="GR418" t="s">
        <v>306</v>
      </c>
      <c r="GW418" t="s">
        <v>306</v>
      </c>
      <c r="GX418" t="s">
        <v>422</v>
      </c>
      <c r="GY418">
        <v>4048507</v>
      </c>
      <c r="GZ418" t="s">
        <v>346</v>
      </c>
      <c r="HA418">
        <v>0</v>
      </c>
      <c r="HB418" t="s">
        <v>304</v>
      </c>
      <c r="HG418" t="s">
        <v>306</v>
      </c>
    </row>
    <row r="419" spans="5:215" x14ac:dyDescent="0.35">
      <c r="E419" t="s">
        <v>306</v>
      </c>
      <c r="J419" t="s">
        <v>306</v>
      </c>
      <c r="O419" t="s">
        <v>306</v>
      </c>
      <c r="T419" t="s">
        <v>306</v>
      </c>
      <c r="Y419" t="s">
        <v>306</v>
      </c>
      <c r="AD419" t="s">
        <v>306</v>
      </c>
      <c r="AI419" t="s">
        <v>306</v>
      </c>
      <c r="AN419" t="s">
        <v>306</v>
      </c>
      <c r="AS419" t="s">
        <v>306</v>
      </c>
      <c r="AX419" t="s">
        <v>306</v>
      </c>
      <c r="BC419" t="s">
        <v>306</v>
      </c>
      <c r="BD419" t="s">
        <v>530</v>
      </c>
      <c r="BE419">
        <v>102729</v>
      </c>
      <c r="BF419" t="s">
        <v>346</v>
      </c>
      <c r="BG419">
        <v>0</v>
      </c>
      <c r="BH419" t="s">
        <v>53</v>
      </c>
      <c r="BM419" t="s">
        <v>306</v>
      </c>
      <c r="BR419" t="s">
        <v>306</v>
      </c>
      <c r="BS419" t="s">
        <v>603</v>
      </c>
      <c r="BT419">
        <v>110641</v>
      </c>
      <c r="BU419" t="s">
        <v>346</v>
      </c>
      <c r="BV419">
        <v>0</v>
      </c>
      <c r="BW419" t="s">
        <v>53</v>
      </c>
      <c r="CB419" t="s">
        <v>306</v>
      </c>
      <c r="CC419" t="s">
        <v>1145</v>
      </c>
      <c r="CD419">
        <v>4663465</v>
      </c>
      <c r="CE419" t="s">
        <v>364</v>
      </c>
      <c r="CF419">
        <v>0</v>
      </c>
      <c r="CG419" t="s">
        <v>53</v>
      </c>
      <c r="CL419" t="s">
        <v>306</v>
      </c>
      <c r="CM419" t="s">
        <v>2073</v>
      </c>
      <c r="CN419" t="s">
        <v>300</v>
      </c>
      <c r="CO419" t="s">
        <v>361</v>
      </c>
      <c r="CP419">
        <v>0</v>
      </c>
      <c r="CQ419" t="s">
        <v>50</v>
      </c>
      <c r="CV419" t="s">
        <v>306</v>
      </c>
      <c r="DA419" t="s">
        <v>306</v>
      </c>
      <c r="DB419" t="s">
        <v>530</v>
      </c>
      <c r="DC419">
        <v>102729</v>
      </c>
      <c r="DD419" t="s">
        <v>346</v>
      </c>
      <c r="DE419">
        <v>0</v>
      </c>
      <c r="DF419" t="s">
        <v>53</v>
      </c>
      <c r="DK419" t="s">
        <v>306</v>
      </c>
      <c r="DL419" t="s">
        <v>530</v>
      </c>
      <c r="DM419">
        <v>102729</v>
      </c>
      <c r="DN419" t="s">
        <v>346</v>
      </c>
      <c r="DO419">
        <v>0</v>
      </c>
      <c r="DP419" t="s">
        <v>53</v>
      </c>
      <c r="DU419" t="s">
        <v>306</v>
      </c>
      <c r="DZ419" t="s">
        <v>306</v>
      </c>
      <c r="EA419" t="s">
        <v>1145</v>
      </c>
      <c r="EB419">
        <v>4663465</v>
      </c>
      <c r="EC419" t="s">
        <v>364</v>
      </c>
      <c r="ED419">
        <v>0</v>
      </c>
      <c r="EE419" t="s">
        <v>53</v>
      </c>
      <c r="EF419" t="s">
        <v>530</v>
      </c>
      <c r="EG419">
        <v>102729</v>
      </c>
      <c r="EH419" t="s">
        <v>346</v>
      </c>
      <c r="EI419">
        <v>0</v>
      </c>
      <c r="EJ419" t="s">
        <v>53</v>
      </c>
      <c r="EO419" t="s">
        <v>306</v>
      </c>
      <c r="ET419" t="s">
        <v>306</v>
      </c>
      <c r="EY419" t="s">
        <v>306</v>
      </c>
      <c r="FD419" t="s">
        <v>306</v>
      </c>
      <c r="FI419" t="s">
        <v>306</v>
      </c>
      <c r="FN419" t="s">
        <v>306</v>
      </c>
      <c r="FS419" t="s">
        <v>306</v>
      </c>
      <c r="FX419" t="s">
        <v>306</v>
      </c>
      <c r="FY419" t="s">
        <v>530</v>
      </c>
      <c r="FZ419">
        <v>102729</v>
      </c>
      <c r="GA419" t="s">
        <v>346</v>
      </c>
      <c r="GB419">
        <v>0</v>
      </c>
      <c r="GC419" t="s">
        <v>53</v>
      </c>
      <c r="GH419" t="s">
        <v>306</v>
      </c>
      <c r="GM419" t="s">
        <v>306</v>
      </c>
      <c r="GR419" t="s">
        <v>306</v>
      </c>
      <c r="GW419" t="s">
        <v>306</v>
      </c>
      <c r="GX419" t="s">
        <v>1145</v>
      </c>
      <c r="GY419">
        <v>4663465</v>
      </c>
      <c r="GZ419" t="s">
        <v>364</v>
      </c>
      <c r="HA419">
        <v>0</v>
      </c>
      <c r="HB419" t="s">
        <v>53</v>
      </c>
      <c r="HG419" t="s">
        <v>306</v>
      </c>
    </row>
    <row r="420" spans="5:215" x14ac:dyDescent="0.35">
      <c r="E420" t="s">
        <v>306</v>
      </c>
      <c r="J420" t="s">
        <v>306</v>
      </c>
      <c r="O420" t="s">
        <v>306</v>
      </c>
      <c r="T420" t="s">
        <v>306</v>
      </c>
      <c r="Y420" t="s">
        <v>306</v>
      </c>
      <c r="AD420" t="s">
        <v>306</v>
      </c>
      <c r="AI420" t="s">
        <v>306</v>
      </c>
      <c r="AN420" t="s">
        <v>306</v>
      </c>
      <c r="AS420" t="s">
        <v>306</v>
      </c>
      <c r="AX420" t="s">
        <v>306</v>
      </c>
      <c r="BC420" t="s">
        <v>306</v>
      </c>
      <c r="BD420" t="s">
        <v>1331</v>
      </c>
      <c r="BE420">
        <v>5788099</v>
      </c>
      <c r="BF420" t="s">
        <v>346</v>
      </c>
      <c r="BG420">
        <v>0</v>
      </c>
      <c r="BH420" t="s">
        <v>62</v>
      </c>
      <c r="BM420" t="s">
        <v>306</v>
      </c>
      <c r="BR420" t="s">
        <v>306</v>
      </c>
      <c r="BS420" t="s">
        <v>1064</v>
      </c>
      <c r="BT420">
        <v>4227776</v>
      </c>
      <c r="BU420" t="s">
        <v>346</v>
      </c>
      <c r="BV420">
        <v>0</v>
      </c>
      <c r="BW420" t="s">
        <v>313</v>
      </c>
      <c r="CB420" t="s">
        <v>306</v>
      </c>
      <c r="CC420" t="s">
        <v>1841</v>
      </c>
      <c r="CD420">
        <v>10277117</v>
      </c>
      <c r="CE420" t="s">
        <v>346</v>
      </c>
      <c r="CF420">
        <v>0</v>
      </c>
      <c r="CG420" t="s">
        <v>114</v>
      </c>
      <c r="CL420" t="s">
        <v>306</v>
      </c>
      <c r="CM420" t="s">
        <v>2074</v>
      </c>
      <c r="CN420">
        <v>111281</v>
      </c>
      <c r="CO420" t="s">
        <v>346</v>
      </c>
      <c r="CP420">
        <v>0</v>
      </c>
      <c r="CQ420" t="s">
        <v>53</v>
      </c>
      <c r="CV420" t="s">
        <v>306</v>
      </c>
      <c r="DA420" t="s">
        <v>306</v>
      </c>
      <c r="DB420" t="s">
        <v>1331</v>
      </c>
      <c r="DC420">
        <v>5788099</v>
      </c>
      <c r="DD420" t="s">
        <v>346</v>
      </c>
      <c r="DE420">
        <v>0</v>
      </c>
      <c r="DF420" t="s">
        <v>62</v>
      </c>
      <c r="DK420" t="s">
        <v>306</v>
      </c>
      <c r="DL420" t="s">
        <v>1331</v>
      </c>
      <c r="DM420">
        <v>5788099</v>
      </c>
      <c r="DN420" t="s">
        <v>346</v>
      </c>
      <c r="DO420">
        <v>0</v>
      </c>
      <c r="DP420" t="s">
        <v>62</v>
      </c>
      <c r="DU420" t="s">
        <v>306</v>
      </c>
      <c r="DZ420" t="s">
        <v>306</v>
      </c>
      <c r="EA420" t="s">
        <v>1841</v>
      </c>
      <c r="EB420">
        <v>10277117</v>
      </c>
      <c r="EC420" t="s">
        <v>346</v>
      </c>
      <c r="ED420">
        <v>0</v>
      </c>
      <c r="EE420" t="s">
        <v>114</v>
      </c>
      <c r="EF420" t="s">
        <v>1331</v>
      </c>
      <c r="EG420">
        <v>5788099</v>
      </c>
      <c r="EH420" t="s">
        <v>346</v>
      </c>
      <c r="EI420">
        <v>0</v>
      </c>
      <c r="EJ420" t="s">
        <v>62</v>
      </c>
      <c r="EO420" t="s">
        <v>306</v>
      </c>
      <c r="ET420" t="s">
        <v>306</v>
      </c>
      <c r="EY420" t="s">
        <v>306</v>
      </c>
      <c r="FD420" t="s">
        <v>306</v>
      </c>
      <c r="FI420" t="s">
        <v>306</v>
      </c>
      <c r="FN420" t="s">
        <v>306</v>
      </c>
      <c r="FS420" t="s">
        <v>306</v>
      </c>
      <c r="FX420" t="s">
        <v>306</v>
      </c>
      <c r="FY420" t="s">
        <v>1331</v>
      </c>
      <c r="FZ420">
        <v>5788099</v>
      </c>
      <c r="GA420" t="s">
        <v>346</v>
      </c>
      <c r="GB420">
        <v>0</v>
      </c>
      <c r="GC420" t="s">
        <v>62</v>
      </c>
      <c r="GH420" t="s">
        <v>306</v>
      </c>
      <c r="GM420" t="s">
        <v>306</v>
      </c>
      <c r="GR420" t="s">
        <v>306</v>
      </c>
      <c r="GW420" t="s">
        <v>306</v>
      </c>
      <c r="GX420" t="s">
        <v>1841</v>
      </c>
      <c r="GY420">
        <v>10277117</v>
      </c>
      <c r="GZ420" t="s">
        <v>346</v>
      </c>
      <c r="HA420">
        <v>0</v>
      </c>
      <c r="HB420" t="s">
        <v>114</v>
      </c>
      <c r="HG420" t="s">
        <v>306</v>
      </c>
    </row>
    <row r="421" spans="5:215" x14ac:dyDescent="0.35">
      <c r="E421" t="s">
        <v>306</v>
      </c>
      <c r="J421" t="s">
        <v>306</v>
      </c>
      <c r="O421" t="s">
        <v>306</v>
      </c>
      <c r="T421" t="s">
        <v>306</v>
      </c>
      <c r="Y421" t="s">
        <v>306</v>
      </c>
      <c r="AD421" t="s">
        <v>306</v>
      </c>
      <c r="AI421" t="s">
        <v>306</v>
      </c>
      <c r="AN421" t="s">
        <v>306</v>
      </c>
      <c r="AS421" t="s">
        <v>306</v>
      </c>
      <c r="AX421" t="s">
        <v>306</v>
      </c>
      <c r="BC421" t="s">
        <v>306</v>
      </c>
      <c r="BD421" t="s">
        <v>1292</v>
      </c>
      <c r="BE421">
        <v>5884486</v>
      </c>
      <c r="BF421" t="s">
        <v>346</v>
      </c>
      <c r="BG421">
        <v>0</v>
      </c>
      <c r="BH421" t="s">
        <v>62</v>
      </c>
      <c r="BM421" t="s">
        <v>306</v>
      </c>
      <c r="BR421" t="s">
        <v>306</v>
      </c>
      <c r="BS421" t="s">
        <v>1065</v>
      </c>
      <c r="BT421">
        <v>4240703</v>
      </c>
      <c r="BU421" t="s">
        <v>346</v>
      </c>
      <c r="BV421">
        <v>0</v>
      </c>
      <c r="BW421" t="s">
        <v>2191</v>
      </c>
      <c r="CB421" t="s">
        <v>306</v>
      </c>
      <c r="CC421" t="s">
        <v>1842</v>
      </c>
      <c r="CD421">
        <v>4785392</v>
      </c>
      <c r="CE421" t="s">
        <v>346</v>
      </c>
      <c r="CF421">
        <v>0</v>
      </c>
      <c r="CG421" t="s">
        <v>53</v>
      </c>
      <c r="CL421" t="s">
        <v>306</v>
      </c>
      <c r="CM421" t="s">
        <v>1077</v>
      </c>
      <c r="CN421">
        <v>5804824</v>
      </c>
      <c r="CO421" t="s">
        <v>346</v>
      </c>
      <c r="CP421">
        <v>0</v>
      </c>
      <c r="CQ421" t="s">
        <v>323</v>
      </c>
      <c r="CV421" t="s">
        <v>306</v>
      </c>
      <c r="DA421" t="s">
        <v>306</v>
      </c>
      <c r="DB421" t="s">
        <v>1292</v>
      </c>
      <c r="DC421">
        <v>5884486</v>
      </c>
      <c r="DD421" t="s">
        <v>346</v>
      </c>
      <c r="DE421">
        <v>0</v>
      </c>
      <c r="DF421" t="s">
        <v>62</v>
      </c>
      <c r="DK421" t="s">
        <v>306</v>
      </c>
      <c r="DL421" t="s">
        <v>1292</v>
      </c>
      <c r="DM421">
        <v>5884486</v>
      </c>
      <c r="DN421" t="s">
        <v>346</v>
      </c>
      <c r="DO421">
        <v>0</v>
      </c>
      <c r="DP421" t="s">
        <v>62</v>
      </c>
      <c r="DU421" t="s">
        <v>306</v>
      </c>
      <c r="DZ421" t="s">
        <v>306</v>
      </c>
      <c r="EA421" t="s">
        <v>1842</v>
      </c>
      <c r="EB421">
        <v>4785392</v>
      </c>
      <c r="EC421" t="s">
        <v>346</v>
      </c>
      <c r="ED421">
        <v>0</v>
      </c>
      <c r="EE421" t="s">
        <v>53</v>
      </c>
      <c r="EF421" t="s">
        <v>1292</v>
      </c>
      <c r="EG421">
        <v>5884486</v>
      </c>
      <c r="EH421" t="s">
        <v>346</v>
      </c>
      <c r="EI421">
        <v>0</v>
      </c>
      <c r="EJ421" t="s">
        <v>62</v>
      </c>
      <c r="EO421" t="s">
        <v>306</v>
      </c>
      <c r="ET421" t="s">
        <v>306</v>
      </c>
      <c r="EY421" t="s">
        <v>306</v>
      </c>
      <c r="FD421" t="s">
        <v>306</v>
      </c>
      <c r="FI421" t="s">
        <v>306</v>
      </c>
      <c r="FN421" t="s">
        <v>306</v>
      </c>
      <c r="FS421" t="s">
        <v>306</v>
      </c>
      <c r="FX421" t="s">
        <v>306</v>
      </c>
      <c r="FY421" t="s">
        <v>1292</v>
      </c>
      <c r="FZ421">
        <v>5884486</v>
      </c>
      <c r="GA421" t="s">
        <v>346</v>
      </c>
      <c r="GB421">
        <v>0</v>
      </c>
      <c r="GC421" t="s">
        <v>62</v>
      </c>
      <c r="GH421" t="s">
        <v>306</v>
      </c>
      <c r="GM421" t="s">
        <v>306</v>
      </c>
      <c r="GR421" t="s">
        <v>306</v>
      </c>
      <c r="GW421" t="s">
        <v>306</v>
      </c>
      <c r="GX421" t="s">
        <v>1842</v>
      </c>
      <c r="GY421">
        <v>4785392</v>
      </c>
      <c r="GZ421" t="s">
        <v>346</v>
      </c>
      <c r="HA421">
        <v>0</v>
      </c>
      <c r="HB421" t="s">
        <v>53</v>
      </c>
      <c r="HG421" t="s">
        <v>306</v>
      </c>
    </row>
    <row r="422" spans="5:215" x14ac:dyDescent="0.35">
      <c r="E422" t="s">
        <v>306</v>
      </c>
      <c r="J422" t="s">
        <v>306</v>
      </c>
      <c r="O422" t="s">
        <v>306</v>
      </c>
      <c r="T422" t="s">
        <v>306</v>
      </c>
      <c r="Y422" t="s">
        <v>306</v>
      </c>
      <c r="AD422" t="s">
        <v>306</v>
      </c>
      <c r="AI422" t="s">
        <v>306</v>
      </c>
      <c r="AN422" t="s">
        <v>306</v>
      </c>
      <c r="AS422" t="s">
        <v>306</v>
      </c>
      <c r="AX422" t="s">
        <v>306</v>
      </c>
      <c r="BC422" t="s">
        <v>306</v>
      </c>
      <c r="BD422" t="s">
        <v>1524</v>
      </c>
      <c r="BE422">
        <v>7794598</v>
      </c>
      <c r="BF422" t="s">
        <v>346</v>
      </c>
      <c r="BG422">
        <v>0</v>
      </c>
      <c r="BH422" t="s">
        <v>323</v>
      </c>
      <c r="BM422" t="s">
        <v>306</v>
      </c>
      <c r="BR422" t="s">
        <v>306</v>
      </c>
      <c r="BS422" t="s">
        <v>803</v>
      </c>
      <c r="BT422">
        <v>5877802</v>
      </c>
      <c r="BU422" t="s">
        <v>346</v>
      </c>
      <c r="BV422">
        <v>0</v>
      </c>
      <c r="BW422" t="s">
        <v>50</v>
      </c>
      <c r="CB422" t="s">
        <v>306</v>
      </c>
      <c r="CC422" t="s">
        <v>1843</v>
      </c>
      <c r="CD422">
        <v>114228265</v>
      </c>
      <c r="CE422" t="s">
        <v>364</v>
      </c>
      <c r="CF422">
        <v>0</v>
      </c>
      <c r="CG422" t="s">
        <v>53</v>
      </c>
      <c r="CL422" t="s">
        <v>306</v>
      </c>
      <c r="CM422" t="s">
        <v>1371</v>
      </c>
      <c r="CN422">
        <v>7789175</v>
      </c>
      <c r="CO422" t="s">
        <v>346</v>
      </c>
      <c r="CP422">
        <v>0</v>
      </c>
      <c r="CQ422" t="s">
        <v>62</v>
      </c>
      <c r="CV422" t="s">
        <v>306</v>
      </c>
      <c r="DA422" t="s">
        <v>306</v>
      </c>
      <c r="DB422" t="s">
        <v>1524</v>
      </c>
      <c r="DC422">
        <v>7794598</v>
      </c>
      <c r="DD422" t="s">
        <v>346</v>
      </c>
      <c r="DE422">
        <v>0</v>
      </c>
      <c r="DF422" t="s">
        <v>323</v>
      </c>
      <c r="DK422" t="s">
        <v>306</v>
      </c>
      <c r="DL422" t="s">
        <v>1524</v>
      </c>
      <c r="DM422">
        <v>7794598</v>
      </c>
      <c r="DN422" t="s">
        <v>346</v>
      </c>
      <c r="DO422">
        <v>0</v>
      </c>
      <c r="DP422" t="s">
        <v>323</v>
      </c>
      <c r="DU422" t="s">
        <v>306</v>
      </c>
      <c r="DZ422" t="s">
        <v>306</v>
      </c>
      <c r="EA422" t="s">
        <v>1843</v>
      </c>
      <c r="EB422">
        <v>114228265</v>
      </c>
      <c r="EC422" t="s">
        <v>364</v>
      </c>
      <c r="ED422">
        <v>0</v>
      </c>
      <c r="EE422" t="s">
        <v>53</v>
      </c>
      <c r="EF422" t="s">
        <v>1524</v>
      </c>
      <c r="EG422">
        <v>7794598</v>
      </c>
      <c r="EH422" t="s">
        <v>346</v>
      </c>
      <c r="EI422">
        <v>0</v>
      </c>
      <c r="EJ422" t="s">
        <v>323</v>
      </c>
      <c r="EO422" t="s">
        <v>306</v>
      </c>
      <c r="ET422" t="s">
        <v>306</v>
      </c>
      <c r="EY422" t="s">
        <v>306</v>
      </c>
      <c r="FD422" t="s">
        <v>306</v>
      </c>
      <c r="FI422" t="s">
        <v>306</v>
      </c>
      <c r="FN422" t="s">
        <v>306</v>
      </c>
      <c r="FS422" t="s">
        <v>306</v>
      </c>
      <c r="FX422" t="s">
        <v>306</v>
      </c>
      <c r="FY422" t="s">
        <v>1524</v>
      </c>
      <c r="FZ422">
        <v>7794598</v>
      </c>
      <c r="GA422" t="s">
        <v>346</v>
      </c>
      <c r="GB422">
        <v>0</v>
      </c>
      <c r="GC422" t="s">
        <v>323</v>
      </c>
      <c r="GH422" t="s">
        <v>306</v>
      </c>
      <c r="GM422" t="s">
        <v>306</v>
      </c>
      <c r="GR422" t="s">
        <v>306</v>
      </c>
      <c r="GW422" t="s">
        <v>306</v>
      </c>
      <c r="GX422" t="s">
        <v>1843</v>
      </c>
      <c r="GY422">
        <v>114228265</v>
      </c>
      <c r="GZ422" t="s">
        <v>364</v>
      </c>
      <c r="HA422">
        <v>0</v>
      </c>
      <c r="HB422" t="s">
        <v>53</v>
      </c>
      <c r="HG422" t="s">
        <v>306</v>
      </c>
    </row>
    <row r="423" spans="5:215" x14ac:dyDescent="0.35">
      <c r="E423" t="s">
        <v>306</v>
      </c>
      <c r="J423" t="s">
        <v>306</v>
      </c>
      <c r="O423" t="s">
        <v>306</v>
      </c>
      <c r="T423" t="s">
        <v>306</v>
      </c>
      <c r="Y423" t="s">
        <v>306</v>
      </c>
      <c r="AD423" t="s">
        <v>306</v>
      </c>
      <c r="AI423" t="s">
        <v>306</v>
      </c>
      <c r="AN423" t="s">
        <v>306</v>
      </c>
      <c r="AS423" t="s">
        <v>306</v>
      </c>
      <c r="AX423" t="s">
        <v>306</v>
      </c>
      <c r="BC423" t="s">
        <v>306</v>
      </c>
      <c r="BD423" t="s">
        <v>896</v>
      </c>
      <c r="BE423">
        <v>4272541</v>
      </c>
      <c r="BF423" t="s">
        <v>346</v>
      </c>
      <c r="BG423">
        <v>0</v>
      </c>
      <c r="BH423" t="s">
        <v>53</v>
      </c>
      <c r="BM423" t="s">
        <v>306</v>
      </c>
      <c r="BR423" t="s">
        <v>306</v>
      </c>
      <c r="BS423" t="s">
        <v>604</v>
      </c>
      <c r="BT423">
        <v>4216438</v>
      </c>
      <c r="BU423" t="s">
        <v>346</v>
      </c>
      <c r="BV423">
        <v>0</v>
      </c>
      <c r="BW423" t="s">
        <v>2191</v>
      </c>
      <c r="CB423" t="s">
        <v>306</v>
      </c>
      <c r="CC423" t="s">
        <v>1844</v>
      </c>
      <c r="CD423" t="s">
        <v>300</v>
      </c>
      <c r="CE423" t="s">
        <v>361</v>
      </c>
      <c r="CF423">
        <v>0</v>
      </c>
      <c r="CG423" t="s">
        <v>50</v>
      </c>
      <c r="CL423" t="s">
        <v>306</v>
      </c>
      <c r="CM423" t="s">
        <v>628</v>
      </c>
      <c r="CN423">
        <v>4289501</v>
      </c>
      <c r="CO423" t="s">
        <v>346</v>
      </c>
      <c r="CP423">
        <v>0</v>
      </c>
      <c r="CQ423" t="s">
        <v>313</v>
      </c>
      <c r="CV423" t="s">
        <v>306</v>
      </c>
      <c r="DA423" t="s">
        <v>306</v>
      </c>
      <c r="DB423" t="s">
        <v>896</v>
      </c>
      <c r="DC423">
        <v>4272541</v>
      </c>
      <c r="DD423" t="s">
        <v>346</v>
      </c>
      <c r="DE423">
        <v>0</v>
      </c>
      <c r="DF423" t="s">
        <v>53</v>
      </c>
      <c r="DK423" t="s">
        <v>306</v>
      </c>
      <c r="DL423" t="s">
        <v>896</v>
      </c>
      <c r="DM423">
        <v>4272541</v>
      </c>
      <c r="DN423" t="s">
        <v>346</v>
      </c>
      <c r="DO423">
        <v>0</v>
      </c>
      <c r="DP423" t="s">
        <v>53</v>
      </c>
      <c r="DU423" t="s">
        <v>306</v>
      </c>
      <c r="DZ423" t="s">
        <v>306</v>
      </c>
      <c r="EA423" t="s">
        <v>1844</v>
      </c>
      <c r="EB423" t="s">
        <v>300</v>
      </c>
      <c r="EC423" t="s">
        <v>361</v>
      </c>
      <c r="ED423">
        <v>0</v>
      </c>
      <c r="EE423" t="s">
        <v>50</v>
      </c>
      <c r="EF423" t="s">
        <v>896</v>
      </c>
      <c r="EG423">
        <v>4272541</v>
      </c>
      <c r="EH423" t="s">
        <v>346</v>
      </c>
      <c r="EI423">
        <v>0</v>
      </c>
      <c r="EJ423" t="s">
        <v>53</v>
      </c>
      <c r="EO423" t="s">
        <v>306</v>
      </c>
      <c r="ET423" t="s">
        <v>306</v>
      </c>
      <c r="EY423" t="s">
        <v>306</v>
      </c>
      <c r="FD423" t="s">
        <v>306</v>
      </c>
      <c r="FI423" t="s">
        <v>306</v>
      </c>
      <c r="FN423" t="s">
        <v>306</v>
      </c>
      <c r="FS423" t="s">
        <v>306</v>
      </c>
      <c r="FX423" t="s">
        <v>306</v>
      </c>
      <c r="FY423" t="s">
        <v>896</v>
      </c>
      <c r="FZ423">
        <v>4272541</v>
      </c>
      <c r="GA423" t="s">
        <v>346</v>
      </c>
      <c r="GB423">
        <v>0</v>
      </c>
      <c r="GC423" t="s">
        <v>53</v>
      </c>
      <c r="GH423" t="s">
        <v>306</v>
      </c>
      <c r="GM423" t="s">
        <v>306</v>
      </c>
      <c r="GR423" t="s">
        <v>306</v>
      </c>
      <c r="GW423" t="s">
        <v>306</v>
      </c>
      <c r="GX423" t="s">
        <v>1844</v>
      </c>
      <c r="GY423" t="s">
        <v>300</v>
      </c>
      <c r="GZ423" t="s">
        <v>361</v>
      </c>
      <c r="HA423">
        <v>0</v>
      </c>
      <c r="HB423" t="s">
        <v>50</v>
      </c>
      <c r="HG423" t="s">
        <v>306</v>
      </c>
    </row>
    <row r="424" spans="5:215" x14ac:dyDescent="0.35">
      <c r="E424" t="s">
        <v>306</v>
      </c>
      <c r="J424" t="s">
        <v>306</v>
      </c>
      <c r="O424" t="s">
        <v>306</v>
      </c>
      <c r="T424" t="s">
        <v>306</v>
      </c>
      <c r="Y424" t="s">
        <v>306</v>
      </c>
      <c r="AD424" t="s">
        <v>306</v>
      </c>
      <c r="AI424" t="s">
        <v>306</v>
      </c>
      <c r="AN424" t="s">
        <v>306</v>
      </c>
      <c r="AS424" t="s">
        <v>306</v>
      </c>
      <c r="AX424" t="s">
        <v>306</v>
      </c>
      <c r="BC424" t="s">
        <v>306</v>
      </c>
      <c r="BD424" t="s">
        <v>1314</v>
      </c>
      <c r="BE424">
        <v>105607411</v>
      </c>
      <c r="BF424" t="s">
        <v>346</v>
      </c>
      <c r="BG424">
        <v>0</v>
      </c>
      <c r="BH424" t="s">
        <v>62</v>
      </c>
      <c r="BM424" t="s">
        <v>306</v>
      </c>
      <c r="BR424" t="s">
        <v>306</v>
      </c>
      <c r="BS424" t="s">
        <v>927</v>
      </c>
      <c r="BT424">
        <v>110719123</v>
      </c>
      <c r="BU424" t="s">
        <v>346</v>
      </c>
      <c r="BV424">
        <v>0</v>
      </c>
      <c r="BW424" t="s">
        <v>306</v>
      </c>
      <c r="CB424" t="s">
        <v>306</v>
      </c>
      <c r="CC424" t="s">
        <v>1845</v>
      </c>
      <c r="CD424">
        <v>101548481</v>
      </c>
      <c r="CE424" t="s">
        <v>276</v>
      </c>
      <c r="CF424">
        <v>0</v>
      </c>
      <c r="CG424" t="s">
        <v>53</v>
      </c>
      <c r="CL424" t="s">
        <v>306</v>
      </c>
      <c r="CM424" t="s">
        <v>2075</v>
      </c>
      <c r="CN424">
        <v>5787808</v>
      </c>
      <c r="CO424" t="s">
        <v>346</v>
      </c>
      <c r="CP424">
        <v>0</v>
      </c>
      <c r="CQ424" t="s">
        <v>304</v>
      </c>
      <c r="CV424" t="s">
        <v>306</v>
      </c>
      <c r="DA424" t="s">
        <v>306</v>
      </c>
      <c r="DB424" t="s">
        <v>1314</v>
      </c>
      <c r="DC424">
        <v>105607411</v>
      </c>
      <c r="DD424" t="s">
        <v>346</v>
      </c>
      <c r="DE424">
        <v>0</v>
      </c>
      <c r="DF424" t="s">
        <v>62</v>
      </c>
      <c r="DK424" t="s">
        <v>306</v>
      </c>
      <c r="DL424" t="s">
        <v>1314</v>
      </c>
      <c r="DM424">
        <v>105607411</v>
      </c>
      <c r="DN424" t="s">
        <v>346</v>
      </c>
      <c r="DO424">
        <v>0</v>
      </c>
      <c r="DP424" t="s">
        <v>62</v>
      </c>
      <c r="DU424" t="s">
        <v>306</v>
      </c>
      <c r="DZ424" t="s">
        <v>306</v>
      </c>
      <c r="EA424" t="s">
        <v>1845</v>
      </c>
      <c r="EB424">
        <v>101548481</v>
      </c>
      <c r="EC424" t="s">
        <v>276</v>
      </c>
      <c r="ED424">
        <v>0</v>
      </c>
      <c r="EE424" t="s">
        <v>53</v>
      </c>
      <c r="EF424" t="s">
        <v>1314</v>
      </c>
      <c r="EG424">
        <v>105607411</v>
      </c>
      <c r="EH424" t="s">
        <v>346</v>
      </c>
      <c r="EI424">
        <v>0</v>
      </c>
      <c r="EJ424" t="s">
        <v>62</v>
      </c>
      <c r="EO424" t="s">
        <v>306</v>
      </c>
      <c r="ET424" t="s">
        <v>306</v>
      </c>
      <c r="EY424" t="s">
        <v>306</v>
      </c>
      <c r="FD424" t="s">
        <v>306</v>
      </c>
      <c r="FI424" t="s">
        <v>306</v>
      </c>
      <c r="FN424" t="s">
        <v>306</v>
      </c>
      <c r="FS424" t="s">
        <v>306</v>
      </c>
      <c r="FX424" t="s">
        <v>306</v>
      </c>
      <c r="FY424" t="s">
        <v>1314</v>
      </c>
      <c r="FZ424">
        <v>105607411</v>
      </c>
      <c r="GA424" t="s">
        <v>346</v>
      </c>
      <c r="GB424">
        <v>0</v>
      </c>
      <c r="GC424" t="s">
        <v>62</v>
      </c>
      <c r="GH424" t="s">
        <v>306</v>
      </c>
      <c r="GM424" t="s">
        <v>306</v>
      </c>
      <c r="GR424" t="s">
        <v>306</v>
      </c>
      <c r="GW424" t="s">
        <v>306</v>
      </c>
      <c r="GX424" t="s">
        <v>1845</v>
      </c>
      <c r="GY424">
        <v>101548481</v>
      </c>
      <c r="GZ424" t="s">
        <v>276</v>
      </c>
      <c r="HA424">
        <v>0</v>
      </c>
      <c r="HB424" t="s">
        <v>53</v>
      </c>
      <c r="HG424" t="s">
        <v>306</v>
      </c>
    </row>
    <row r="425" spans="5:215" x14ac:dyDescent="0.35">
      <c r="E425" t="s">
        <v>306</v>
      </c>
      <c r="J425" t="s">
        <v>306</v>
      </c>
      <c r="O425" t="s">
        <v>306</v>
      </c>
      <c r="T425" t="s">
        <v>306</v>
      </c>
      <c r="Y425" t="s">
        <v>306</v>
      </c>
      <c r="AD425" t="s">
        <v>306</v>
      </c>
      <c r="AI425" t="s">
        <v>306</v>
      </c>
      <c r="AN425" t="s">
        <v>306</v>
      </c>
      <c r="AS425" t="s">
        <v>306</v>
      </c>
      <c r="AX425" t="s">
        <v>306</v>
      </c>
      <c r="BC425" t="s">
        <v>306</v>
      </c>
      <c r="BD425" t="s">
        <v>821</v>
      </c>
      <c r="BE425">
        <v>4240614</v>
      </c>
      <c r="BF425" t="s">
        <v>346</v>
      </c>
      <c r="BG425">
        <v>0</v>
      </c>
      <c r="BH425" t="s">
        <v>2191</v>
      </c>
      <c r="BM425" t="s">
        <v>306</v>
      </c>
      <c r="BR425" t="s">
        <v>306</v>
      </c>
      <c r="BS425" t="s">
        <v>1066</v>
      </c>
      <c r="BT425">
        <v>4304962</v>
      </c>
      <c r="BU425" t="s">
        <v>346</v>
      </c>
      <c r="BV425">
        <v>0</v>
      </c>
      <c r="BW425" t="s">
        <v>317</v>
      </c>
      <c r="CB425" t="s">
        <v>306</v>
      </c>
      <c r="CC425" t="s">
        <v>626</v>
      </c>
      <c r="CD425">
        <v>4035337</v>
      </c>
      <c r="CE425" t="s">
        <v>346</v>
      </c>
      <c r="CF425">
        <v>0</v>
      </c>
      <c r="CG425" t="s">
        <v>53</v>
      </c>
      <c r="CL425" t="s">
        <v>306</v>
      </c>
      <c r="CM425" t="s">
        <v>1360</v>
      </c>
      <c r="CN425">
        <v>4337895</v>
      </c>
      <c r="CO425" t="s">
        <v>364</v>
      </c>
      <c r="CP425">
        <v>0</v>
      </c>
      <c r="CQ425" t="s">
        <v>53</v>
      </c>
      <c r="CV425" t="s">
        <v>306</v>
      </c>
      <c r="DA425" t="s">
        <v>306</v>
      </c>
      <c r="DB425" t="s">
        <v>821</v>
      </c>
      <c r="DC425">
        <v>4240614</v>
      </c>
      <c r="DD425" t="s">
        <v>346</v>
      </c>
      <c r="DE425">
        <v>0</v>
      </c>
      <c r="DF425" t="s">
        <v>2191</v>
      </c>
      <c r="DK425" t="s">
        <v>306</v>
      </c>
      <c r="DL425" t="s">
        <v>821</v>
      </c>
      <c r="DM425">
        <v>4240614</v>
      </c>
      <c r="DN425" t="s">
        <v>346</v>
      </c>
      <c r="DO425">
        <v>0</v>
      </c>
      <c r="DP425" t="s">
        <v>2191</v>
      </c>
      <c r="DU425" t="s">
        <v>306</v>
      </c>
      <c r="DZ425" t="s">
        <v>306</v>
      </c>
      <c r="EA425" t="s">
        <v>626</v>
      </c>
      <c r="EB425">
        <v>4035337</v>
      </c>
      <c r="EC425" t="s">
        <v>346</v>
      </c>
      <c r="ED425">
        <v>0</v>
      </c>
      <c r="EE425" t="s">
        <v>53</v>
      </c>
      <c r="EF425" t="s">
        <v>821</v>
      </c>
      <c r="EG425">
        <v>4240614</v>
      </c>
      <c r="EH425" t="s">
        <v>346</v>
      </c>
      <c r="EI425">
        <v>0</v>
      </c>
      <c r="EJ425" t="s">
        <v>2191</v>
      </c>
      <c r="EO425" t="s">
        <v>306</v>
      </c>
      <c r="ET425" t="s">
        <v>306</v>
      </c>
      <c r="EY425" t="s">
        <v>306</v>
      </c>
      <c r="FD425" t="s">
        <v>306</v>
      </c>
      <c r="FI425" t="s">
        <v>306</v>
      </c>
      <c r="FN425" t="s">
        <v>306</v>
      </c>
      <c r="FS425" t="s">
        <v>306</v>
      </c>
      <c r="FX425" t="s">
        <v>306</v>
      </c>
      <c r="FY425" t="s">
        <v>821</v>
      </c>
      <c r="FZ425">
        <v>4240614</v>
      </c>
      <c r="GA425" t="s">
        <v>346</v>
      </c>
      <c r="GB425">
        <v>0</v>
      </c>
      <c r="GC425" t="s">
        <v>2191</v>
      </c>
      <c r="GH425" t="s">
        <v>306</v>
      </c>
      <c r="GM425" t="s">
        <v>306</v>
      </c>
      <c r="GR425" t="s">
        <v>306</v>
      </c>
      <c r="GW425" t="s">
        <v>306</v>
      </c>
      <c r="GX425" t="s">
        <v>626</v>
      </c>
      <c r="GY425">
        <v>4035337</v>
      </c>
      <c r="GZ425" t="s">
        <v>346</v>
      </c>
      <c r="HA425">
        <v>0</v>
      </c>
      <c r="HB425" t="s">
        <v>53</v>
      </c>
      <c r="HG425" t="s">
        <v>306</v>
      </c>
    </row>
    <row r="426" spans="5:215" x14ac:dyDescent="0.35">
      <c r="E426" t="s">
        <v>306</v>
      </c>
      <c r="J426" t="s">
        <v>306</v>
      </c>
      <c r="O426" t="s">
        <v>306</v>
      </c>
      <c r="T426" t="s">
        <v>306</v>
      </c>
      <c r="Y426" t="s">
        <v>306</v>
      </c>
      <c r="AD426" t="s">
        <v>306</v>
      </c>
      <c r="AI426" t="s">
        <v>306</v>
      </c>
      <c r="AN426" t="s">
        <v>306</v>
      </c>
      <c r="AS426" t="s">
        <v>306</v>
      </c>
      <c r="AX426" t="s">
        <v>306</v>
      </c>
      <c r="BC426" t="s">
        <v>306</v>
      </c>
      <c r="BD426" t="s">
        <v>1328</v>
      </c>
      <c r="BE426">
        <v>5807523</v>
      </c>
      <c r="BF426" t="s">
        <v>346</v>
      </c>
      <c r="BG426">
        <v>0</v>
      </c>
      <c r="BH426" t="s">
        <v>62</v>
      </c>
      <c r="BM426" t="s">
        <v>306</v>
      </c>
      <c r="BR426" t="s">
        <v>306</v>
      </c>
      <c r="BS426" t="s">
        <v>1067</v>
      </c>
      <c r="BT426">
        <v>4336776</v>
      </c>
      <c r="BU426" t="s">
        <v>346</v>
      </c>
      <c r="BV426">
        <v>0</v>
      </c>
      <c r="BW426" t="s">
        <v>375</v>
      </c>
      <c r="CB426" t="s">
        <v>306</v>
      </c>
      <c r="CC426" t="s">
        <v>1846</v>
      </c>
      <c r="CD426">
        <v>4275835</v>
      </c>
      <c r="CE426" t="s">
        <v>346</v>
      </c>
      <c r="CF426">
        <v>0</v>
      </c>
      <c r="CG426" t="s">
        <v>114</v>
      </c>
      <c r="CL426" t="s">
        <v>306</v>
      </c>
      <c r="CM426" t="s">
        <v>2076</v>
      </c>
      <c r="CN426" t="s">
        <v>300</v>
      </c>
      <c r="CO426" t="s">
        <v>361</v>
      </c>
      <c r="CP426">
        <v>0</v>
      </c>
      <c r="CQ426" t="s">
        <v>50</v>
      </c>
      <c r="CV426" t="s">
        <v>306</v>
      </c>
      <c r="DA426" t="s">
        <v>306</v>
      </c>
      <c r="DB426" t="s">
        <v>1328</v>
      </c>
      <c r="DC426">
        <v>5807523</v>
      </c>
      <c r="DD426" t="s">
        <v>346</v>
      </c>
      <c r="DE426">
        <v>0</v>
      </c>
      <c r="DF426" t="s">
        <v>62</v>
      </c>
      <c r="DK426" t="s">
        <v>306</v>
      </c>
      <c r="DL426" t="s">
        <v>1328</v>
      </c>
      <c r="DM426">
        <v>5807523</v>
      </c>
      <c r="DN426" t="s">
        <v>346</v>
      </c>
      <c r="DO426">
        <v>0</v>
      </c>
      <c r="DP426" t="s">
        <v>62</v>
      </c>
      <c r="DU426" t="s">
        <v>306</v>
      </c>
      <c r="DZ426" t="s">
        <v>306</v>
      </c>
      <c r="EA426" t="s">
        <v>1846</v>
      </c>
      <c r="EB426">
        <v>4275835</v>
      </c>
      <c r="EC426" t="s">
        <v>346</v>
      </c>
      <c r="ED426">
        <v>0</v>
      </c>
      <c r="EE426" t="s">
        <v>114</v>
      </c>
      <c r="EF426" t="s">
        <v>1328</v>
      </c>
      <c r="EG426">
        <v>5807523</v>
      </c>
      <c r="EH426" t="s">
        <v>346</v>
      </c>
      <c r="EI426">
        <v>0</v>
      </c>
      <c r="EJ426" t="s">
        <v>62</v>
      </c>
      <c r="EO426" t="s">
        <v>306</v>
      </c>
      <c r="ET426" t="s">
        <v>306</v>
      </c>
      <c r="EY426" t="s">
        <v>306</v>
      </c>
      <c r="FD426" t="s">
        <v>306</v>
      </c>
      <c r="FI426" t="s">
        <v>306</v>
      </c>
      <c r="FN426" t="s">
        <v>306</v>
      </c>
      <c r="FS426" t="s">
        <v>306</v>
      </c>
      <c r="FX426" t="s">
        <v>306</v>
      </c>
      <c r="FY426" t="s">
        <v>1328</v>
      </c>
      <c r="FZ426">
        <v>5807523</v>
      </c>
      <c r="GA426" t="s">
        <v>346</v>
      </c>
      <c r="GB426">
        <v>0</v>
      </c>
      <c r="GC426" t="s">
        <v>62</v>
      </c>
      <c r="GH426" t="s">
        <v>306</v>
      </c>
      <c r="GM426" t="s">
        <v>306</v>
      </c>
      <c r="GR426" t="s">
        <v>306</v>
      </c>
      <c r="GW426" t="s">
        <v>306</v>
      </c>
      <c r="GX426" t="s">
        <v>1846</v>
      </c>
      <c r="GY426">
        <v>4275835</v>
      </c>
      <c r="GZ426" t="s">
        <v>346</v>
      </c>
      <c r="HA426">
        <v>0</v>
      </c>
      <c r="HB426" t="s">
        <v>114</v>
      </c>
      <c r="HG426" t="s">
        <v>306</v>
      </c>
    </row>
    <row r="427" spans="5:215" x14ac:dyDescent="0.35">
      <c r="E427" t="s">
        <v>306</v>
      </c>
      <c r="J427" t="s">
        <v>306</v>
      </c>
      <c r="O427" t="s">
        <v>306</v>
      </c>
      <c r="T427" t="s">
        <v>306</v>
      </c>
      <c r="Y427" t="s">
        <v>306</v>
      </c>
      <c r="AD427" t="s">
        <v>306</v>
      </c>
      <c r="AI427" t="s">
        <v>306</v>
      </c>
      <c r="AN427" t="s">
        <v>306</v>
      </c>
      <c r="AS427" t="s">
        <v>306</v>
      </c>
      <c r="AX427" t="s">
        <v>306</v>
      </c>
      <c r="BC427" t="s">
        <v>306</v>
      </c>
      <c r="BD427" t="s">
        <v>859</v>
      </c>
      <c r="BE427">
        <v>4049161</v>
      </c>
      <c r="BF427" t="s">
        <v>346</v>
      </c>
      <c r="BG427">
        <v>0</v>
      </c>
      <c r="BH427" t="s">
        <v>53</v>
      </c>
      <c r="BM427" t="s">
        <v>306</v>
      </c>
      <c r="BR427" t="s">
        <v>306</v>
      </c>
      <c r="BS427" t="s">
        <v>869</v>
      </c>
      <c r="BT427">
        <v>4560837</v>
      </c>
      <c r="BU427" t="s">
        <v>346</v>
      </c>
      <c r="BV427">
        <v>0</v>
      </c>
      <c r="BW427" t="s">
        <v>326</v>
      </c>
      <c r="CB427" t="s">
        <v>306</v>
      </c>
      <c r="CC427" t="s">
        <v>1847</v>
      </c>
      <c r="CD427">
        <v>111122</v>
      </c>
      <c r="CE427" t="s">
        <v>346</v>
      </c>
      <c r="CF427">
        <v>0</v>
      </c>
      <c r="CG427" t="s">
        <v>53</v>
      </c>
      <c r="CL427" t="s">
        <v>306</v>
      </c>
      <c r="CM427" t="s">
        <v>2077</v>
      </c>
      <c r="CN427">
        <v>1984064</v>
      </c>
      <c r="CO427" t="s">
        <v>366</v>
      </c>
      <c r="CP427">
        <v>0</v>
      </c>
      <c r="CQ427" t="s">
        <v>53</v>
      </c>
      <c r="CV427" t="s">
        <v>306</v>
      </c>
      <c r="DA427" t="s">
        <v>306</v>
      </c>
      <c r="DB427" t="s">
        <v>859</v>
      </c>
      <c r="DC427">
        <v>4049161</v>
      </c>
      <c r="DD427" t="s">
        <v>346</v>
      </c>
      <c r="DE427">
        <v>0</v>
      </c>
      <c r="DF427" t="s">
        <v>53</v>
      </c>
      <c r="DK427" t="s">
        <v>306</v>
      </c>
      <c r="DL427" t="s">
        <v>859</v>
      </c>
      <c r="DM427">
        <v>4049161</v>
      </c>
      <c r="DN427" t="s">
        <v>346</v>
      </c>
      <c r="DO427">
        <v>0</v>
      </c>
      <c r="DP427" t="s">
        <v>53</v>
      </c>
      <c r="DU427" t="s">
        <v>306</v>
      </c>
      <c r="DZ427" t="s">
        <v>306</v>
      </c>
      <c r="EA427" t="s">
        <v>1847</v>
      </c>
      <c r="EB427">
        <v>111122</v>
      </c>
      <c r="EC427" t="s">
        <v>346</v>
      </c>
      <c r="ED427">
        <v>0</v>
      </c>
      <c r="EE427" t="s">
        <v>53</v>
      </c>
      <c r="EF427" t="s">
        <v>859</v>
      </c>
      <c r="EG427">
        <v>4049161</v>
      </c>
      <c r="EH427" t="s">
        <v>346</v>
      </c>
      <c r="EI427">
        <v>0</v>
      </c>
      <c r="EJ427" t="s">
        <v>53</v>
      </c>
      <c r="EO427" t="s">
        <v>306</v>
      </c>
      <c r="ET427" t="s">
        <v>306</v>
      </c>
      <c r="EY427" t="s">
        <v>306</v>
      </c>
      <c r="FD427" t="s">
        <v>306</v>
      </c>
      <c r="FI427" t="s">
        <v>306</v>
      </c>
      <c r="FN427" t="s">
        <v>306</v>
      </c>
      <c r="FS427" t="s">
        <v>306</v>
      </c>
      <c r="FX427" t="s">
        <v>306</v>
      </c>
      <c r="FY427" t="s">
        <v>859</v>
      </c>
      <c r="FZ427">
        <v>4049161</v>
      </c>
      <c r="GA427" t="s">
        <v>346</v>
      </c>
      <c r="GB427">
        <v>0</v>
      </c>
      <c r="GC427" t="s">
        <v>53</v>
      </c>
      <c r="GH427" t="s">
        <v>306</v>
      </c>
      <c r="GM427" t="s">
        <v>306</v>
      </c>
      <c r="GR427" t="s">
        <v>306</v>
      </c>
      <c r="GW427" t="s">
        <v>306</v>
      </c>
      <c r="GX427" t="s">
        <v>1847</v>
      </c>
      <c r="GY427">
        <v>111122</v>
      </c>
      <c r="GZ427" t="s">
        <v>346</v>
      </c>
      <c r="HA427">
        <v>0</v>
      </c>
      <c r="HB427" t="s">
        <v>53</v>
      </c>
      <c r="HG427" t="s">
        <v>306</v>
      </c>
    </row>
    <row r="428" spans="5:215" x14ac:dyDescent="0.35">
      <c r="E428" t="s">
        <v>306</v>
      </c>
      <c r="J428" t="s">
        <v>306</v>
      </c>
      <c r="O428" t="s">
        <v>306</v>
      </c>
      <c r="T428" t="s">
        <v>306</v>
      </c>
      <c r="Y428" t="s">
        <v>306</v>
      </c>
      <c r="AD428" t="s">
        <v>306</v>
      </c>
      <c r="AI428" t="s">
        <v>306</v>
      </c>
      <c r="AN428" t="s">
        <v>306</v>
      </c>
      <c r="AS428" t="s">
        <v>306</v>
      </c>
      <c r="AX428" t="s">
        <v>306</v>
      </c>
      <c r="BC428" t="s">
        <v>306</v>
      </c>
      <c r="BD428" t="s">
        <v>1329</v>
      </c>
      <c r="BE428">
        <v>5804886</v>
      </c>
      <c r="BF428" t="s">
        <v>346</v>
      </c>
      <c r="BG428">
        <v>0</v>
      </c>
      <c r="BH428" t="s">
        <v>62</v>
      </c>
      <c r="BM428" t="s">
        <v>306</v>
      </c>
      <c r="BR428" t="s">
        <v>306</v>
      </c>
      <c r="BS428" t="s">
        <v>1068</v>
      </c>
      <c r="BT428">
        <v>110142</v>
      </c>
      <c r="BU428" t="s">
        <v>346</v>
      </c>
      <c r="BV428">
        <v>0</v>
      </c>
      <c r="BW428" t="s">
        <v>53</v>
      </c>
      <c r="CB428" t="s">
        <v>306</v>
      </c>
      <c r="CC428" t="s">
        <v>1848</v>
      </c>
      <c r="CD428">
        <v>4139244</v>
      </c>
      <c r="CE428" t="s">
        <v>346</v>
      </c>
      <c r="CF428">
        <v>0</v>
      </c>
      <c r="CG428" t="s">
        <v>2207</v>
      </c>
      <c r="CL428" t="s">
        <v>306</v>
      </c>
      <c r="CM428" t="s">
        <v>1614</v>
      </c>
      <c r="CN428">
        <v>4407080</v>
      </c>
      <c r="CO428" t="s">
        <v>346</v>
      </c>
      <c r="CP428">
        <v>0</v>
      </c>
      <c r="CQ428" t="s">
        <v>114</v>
      </c>
      <c r="CV428" t="s">
        <v>306</v>
      </c>
      <c r="DA428" t="s">
        <v>306</v>
      </c>
      <c r="DB428" t="s">
        <v>1329</v>
      </c>
      <c r="DC428">
        <v>5804886</v>
      </c>
      <c r="DD428" t="s">
        <v>346</v>
      </c>
      <c r="DE428">
        <v>0</v>
      </c>
      <c r="DF428" t="s">
        <v>62</v>
      </c>
      <c r="DK428" t="s">
        <v>306</v>
      </c>
      <c r="DL428" t="s">
        <v>1329</v>
      </c>
      <c r="DM428">
        <v>5804886</v>
      </c>
      <c r="DN428" t="s">
        <v>346</v>
      </c>
      <c r="DO428">
        <v>0</v>
      </c>
      <c r="DP428" t="s">
        <v>62</v>
      </c>
      <c r="DU428" t="s">
        <v>306</v>
      </c>
      <c r="DZ428" t="s">
        <v>306</v>
      </c>
      <c r="EA428" t="s">
        <v>1848</v>
      </c>
      <c r="EB428">
        <v>4139244</v>
      </c>
      <c r="EC428" t="s">
        <v>346</v>
      </c>
      <c r="ED428">
        <v>0</v>
      </c>
      <c r="EE428" t="s">
        <v>2207</v>
      </c>
      <c r="EF428" t="s">
        <v>1329</v>
      </c>
      <c r="EG428">
        <v>5804886</v>
      </c>
      <c r="EH428" t="s">
        <v>346</v>
      </c>
      <c r="EI428">
        <v>0</v>
      </c>
      <c r="EJ428" t="s">
        <v>62</v>
      </c>
      <c r="EO428" t="s">
        <v>306</v>
      </c>
      <c r="ET428" t="s">
        <v>306</v>
      </c>
      <c r="EY428" t="s">
        <v>306</v>
      </c>
      <c r="FD428" t="s">
        <v>306</v>
      </c>
      <c r="FI428" t="s">
        <v>306</v>
      </c>
      <c r="FN428" t="s">
        <v>306</v>
      </c>
      <c r="FS428" t="s">
        <v>306</v>
      </c>
      <c r="FX428" t="s">
        <v>306</v>
      </c>
      <c r="FY428" t="s">
        <v>1329</v>
      </c>
      <c r="FZ428">
        <v>5804886</v>
      </c>
      <c r="GA428" t="s">
        <v>346</v>
      </c>
      <c r="GB428">
        <v>0</v>
      </c>
      <c r="GC428" t="s">
        <v>62</v>
      </c>
      <c r="GH428" t="s">
        <v>306</v>
      </c>
      <c r="GM428" t="s">
        <v>306</v>
      </c>
      <c r="GR428" t="s">
        <v>306</v>
      </c>
      <c r="GW428" t="s">
        <v>306</v>
      </c>
      <c r="GX428" t="s">
        <v>1848</v>
      </c>
      <c r="GY428">
        <v>4139244</v>
      </c>
      <c r="GZ428" t="s">
        <v>346</v>
      </c>
      <c r="HA428">
        <v>0</v>
      </c>
      <c r="HB428" t="s">
        <v>2207</v>
      </c>
      <c r="HG428" t="s">
        <v>306</v>
      </c>
    </row>
    <row r="429" spans="5:215" x14ac:dyDescent="0.35">
      <c r="E429" t="s">
        <v>306</v>
      </c>
      <c r="J429" t="s">
        <v>306</v>
      </c>
      <c r="O429" t="s">
        <v>306</v>
      </c>
      <c r="T429" t="s">
        <v>306</v>
      </c>
      <c r="Y429" t="s">
        <v>306</v>
      </c>
      <c r="AD429" t="s">
        <v>306</v>
      </c>
      <c r="AI429" t="s">
        <v>306</v>
      </c>
      <c r="AN429" t="s">
        <v>306</v>
      </c>
      <c r="AS429" t="s">
        <v>306</v>
      </c>
      <c r="AX429" t="s">
        <v>306</v>
      </c>
      <c r="BC429" t="s">
        <v>306</v>
      </c>
      <c r="BD429" t="s">
        <v>1344</v>
      </c>
      <c r="BE429">
        <v>124019115</v>
      </c>
      <c r="BF429" t="s">
        <v>346</v>
      </c>
      <c r="BG429">
        <v>0</v>
      </c>
      <c r="BH429" t="s">
        <v>62</v>
      </c>
      <c r="BM429" t="s">
        <v>306</v>
      </c>
      <c r="BR429" t="s">
        <v>306</v>
      </c>
      <c r="BS429" t="s">
        <v>879</v>
      </c>
      <c r="BT429">
        <v>5841553</v>
      </c>
      <c r="BU429" t="s">
        <v>346</v>
      </c>
      <c r="BV429">
        <v>0</v>
      </c>
      <c r="BW429" t="s">
        <v>50</v>
      </c>
      <c r="CB429" t="s">
        <v>306</v>
      </c>
      <c r="CC429" t="s">
        <v>1849</v>
      </c>
      <c r="CD429">
        <v>5858996</v>
      </c>
      <c r="CE429" t="s">
        <v>634</v>
      </c>
      <c r="CF429">
        <v>0</v>
      </c>
      <c r="CG429" t="s">
        <v>53</v>
      </c>
      <c r="CL429" t="s">
        <v>306</v>
      </c>
      <c r="CM429" t="s">
        <v>1375</v>
      </c>
      <c r="CN429">
        <v>6696616</v>
      </c>
      <c r="CO429" t="s">
        <v>364</v>
      </c>
      <c r="CP429">
        <v>0</v>
      </c>
      <c r="CQ429" t="s">
        <v>62</v>
      </c>
      <c r="CV429" t="s">
        <v>306</v>
      </c>
      <c r="DA429" t="s">
        <v>306</v>
      </c>
      <c r="DB429" t="s">
        <v>1344</v>
      </c>
      <c r="DC429">
        <v>124019115</v>
      </c>
      <c r="DD429" t="s">
        <v>346</v>
      </c>
      <c r="DE429">
        <v>0</v>
      </c>
      <c r="DF429" t="s">
        <v>62</v>
      </c>
      <c r="DK429" t="s">
        <v>306</v>
      </c>
      <c r="DL429" t="s">
        <v>1344</v>
      </c>
      <c r="DM429">
        <v>124019115</v>
      </c>
      <c r="DN429" t="s">
        <v>346</v>
      </c>
      <c r="DO429">
        <v>0</v>
      </c>
      <c r="DP429" t="s">
        <v>62</v>
      </c>
      <c r="DU429" t="s">
        <v>306</v>
      </c>
      <c r="DZ429" t="s">
        <v>306</v>
      </c>
      <c r="EA429" t="s">
        <v>1849</v>
      </c>
      <c r="EB429">
        <v>5858996</v>
      </c>
      <c r="EC429" t="s">
        <v>634</v>
      </c>
      <c r="ED429">
        <v>0</v>
      </c>
      <c r="EE429" t="s">
        <v>53</v>
      </c>
      <c r="EF429" t="s">
        <v>1344</v>
      </c>
      <c r="EG429">
        <v>124019115</v>
      </c>
      <c r="EH429" t="s">
        <v>346</v>
      </c>
      <c r="EI429">
        <v>0</v>
      </c>
      <c r="EJ429" t="s">
        <v>62</v>
      </c>
      <c r="EO429" t="s">
        <v>306</v>
      </c>
      <c r="ET429" t="s">
        <v>306</v>
      </c>
      <c r="EY429" t="s">
        <v>306</v>
      </c>
      <c r="FD429" t="s">
        <v>306</v>
      </c>
      <c r="FI429" t="s">
        <v>306</v>
      </c>
      <c r="FN429" t="s">
        <v>306</v>
      </c>
      <c r="FS429" t="s">
        <v>306</v>
      </c>
      <c r="FX429" t="s">
        <v>306</v>
      </c>
      <c r="FY429" t="s">
        <v>1344</v>
      </c>
      <c r="FZ429">
        <v>124019115</v>
      </c>
      <c r="GA429" t="s">
        <v>346</v>
      </c>
      <c r="GB429">
        <v>0</v>
      </c>
      <c r="GC429" t="s">
        <v>62</v>
      </c>
      <c r="GH429" t="s">
        <v>306</v>
      </c>
      <c r="GM429" t="s">
        <v>306</v>
      </c>
      <c r="GR429" t="s">
        <v>306</v>
      </c>
      <c r="GW429" t="s">
        <v>306</v>
      </c>
      <c r="GX429" t="s">
        <v>1849</v>
      </c>
      <c r="GY429">
        <v>5858996</v>
      </c>
      <c r="GZ429" t="s">
        <v>634</v>
      </c>
      <c r="HA429">
        <v>0</v>
      </c>
      <c r="HB429" t="s">
        <v>53</v>
      </c>
      <c r="HG429" t="s">
        <v>306</v>
      </c>
    </row>
    <row r="430" spans="5:215" x14ac:dyDescent="0.35">
      <c r="E430" t="s">
        <v>306</v>
      </c>
      <c r="J430" t="s">
        <v>306</v>
      </c>
      <c r="O430" t="s">
        <v>306</v>
      </c>
      <c r="T430" t="s">
        <v>306</v>
      </c>
      <c r="Y430" t="s">
        <v>306</v>
      </c>
      <c r="AD430" t="s">
        <v>306</v>
      </c>
      <c r="AI430" t="s">
        <v>306</v>
      </c>
      <c r="AN430" t="s">
        <v>306</v>
      </c>
      <c r="AS430" t="s">
        <v>306</v>
      </c>
      <c r="AX430" t="s">
        <v>306</v>
      </c>
      <c r="BC430" t="s">
        <v>306</v>
      </c>
      <c r="BD430" t="s">
        <v>1525</v>
      </c>
      <c r="BE430">
        <v>28061038</v>
      </c>
      <c r="BF430" t="s">
        <v>276</v>
      </c>
      <c r="BG430">
        <v>0</v>
      </c>
      <c r="BH430" t="s">
        <v>2185</v>
      </c>
      <c r="BM430" t="s">
        <v>306</v>
      </c>
      <c r="BR430" t="s">
        <v>306</v>
      </c>
      <c r="BS430" t="s">
        <v>1069</v>
      </c>
      <c r="BT430">
        <v>4158857</v>
      </c>
      <c r="BU430" t="s">
        <v>346</v>
      </c>
      <c r="BV430">
        <v>0</v>
      </c>
      <c r="BW430" t="s">
        <v>2181</v>
      </c>
      <c r="CB430" t="s">
        <v>306</v>
      </c>
      <c r="CC430" t="s">
        <v>1850</v>
      </c>
      <c r="CD430">
        <v>4218639</v>
      </c>
      <c r="CE430" t="s">
        <v>346</v>
      </c>
      <c r="CF430">
        <v>0</v>
      </c>
      <c r="CG430" t="s">
        <v>53</v>
      </c>
      <c r="CL430" t="s">
        <v>306</v>
      </c>
      <c r="CM430" t="s">
        <v>2078</v>
      </c>
      <c r="CN430">
        <v>4035419</v>
      </c>
      <c r="CO430" t="s">
        <v>346</v>
      </c>
      <c r="CP430">
        <v>0</v>
      </c>
      <c r="CQ430" t="s">
        <v>53</v>
      </c>
      <c r="CV430" t="s">
        <v>306</v>
      </c>
      <c r="DA430" t="s">
        <v>306</v>
      </c>
      <c r="DB430" t="s">
        <v>1525</v>
      </c>
      <c r="DC430">
        <v>28061038</v>
      </c>
      <c r="DD430" t="s">
        <v>276</v>
      </c>
      <c r="DE430">
        <v>0</v>
      </c>
      <c r="DF430" t="s">
        <v>2185</v>
      </c>
      <c r="DK430" t="s">
        <v>306</v>
      </c>
      <c r="DL430" t="s">
        <v>1525</v>
      </c>
      <c r="DM430">
        <v>28061038</v>
      </c>
      <c r="DN430" t="s">
        <v>276</v>
      </c>
      <c r="DO430">
        <v>0</v>
      </c>
      <c r="DP430" t="s">
        <v>2185</v>
      </c>
      <c r="DU430" t="s">
        <v>306</v>
      </c>
      <c r="DZ430" t="s">
        <v>306</v>
      </c>
      <c r="EA430" t="s">
        <v>1850</v>
      </c>
      <c r="EB430">
        <v>4218639</v>
      </c>
      <c r="EC430" t="s">
        <v>346</v>
      </c>
      <c r="ED430">
        <v>0</v>
      </c>
      <c r="EE430" t="s">
        <v>53</v>
      </c>
      <c r="EF430" t="s">
        <v>1525</v>
      </c>
      <c r="EG430">
        <v>28061038</v>
      </c>
      <c r="EH430" t="s">
        <v>276</v>
      </c>
      <c r="EI430">
        <v>0</v>
      </c>
      <c r="EJ430" t="s">
        <v>2185</v>
      </c>
      <c r="EO430" t="s">
        <v>306</v>
      </c>
      <c r="ET430" t="s">
        <v>306</v>
      </c>
      <c r="EY430" t="s">
        <v>306</v>
      </c>
      <c r="FD430" t="s">
        <v>306</v>
      </c>
      <c r="FI430" t="s">
        <v>306</v>
      </c>
      <c r="FN430" t="s">
        <v>306</v>
      </c>
      <c r="FS430" t="s">
        <v>306</v>
      </c>
      <c r="FX430" t="s">
        <v>306</v>
      </c>
      <c r="FY430" t="s">
        <v>1525</v>
      </c>
      <c r="FZ430">
        <v>28061038</v>
      </c>
      <c r="GA430" t="s">
        <v>276</v>
      </c>
      <c r="GB430">
        <v>0</v>
      </c>
      <c r="GC430" t="s">
        <v>2185</v>
      </c>
      <c r="GH430" t="s">
        <v>306</v>
      </c>
      <c r="GM430" t="s">
        <v>306</v>
      </c>
      <c r="GR430" t="s">
        <v>306</v>
      </c>
      <c r="GW430" t="s">
        <v>306</v>
      </c>
      <c r="GX430" t="s">
        <v>1850</v>
      </c>
      <c r="GY430">
        <v>4218639</v>
      </c>
      <c r="GZ430" t="s">
        <v>346</v>
      </c>
      <c r="HA430">
        <v>0</v>
      </c>
      <c r="HB430" t="s">
        <v>53</v>
      </c>
      <c r="HG430" t="s">
        <v>306</v>
      </c>
    </row>
    <row r="431" spans="5:215" x14ac:dyDescent="0.35">
      <c r="E431" t="s">
        <v>306</v>
      </c>
      <c r="J431" t="s">
        <v>306</v>
      </c>
      <c r="O431" t="s">
        <v>306</v>
      </c>
      <c r="T431" t="s">
        <v>306</v>
      </c>
      <c r="Y431" t="s">
        <v>306</v>
      </c>
      <c r="AD431" t="s">
        <v>306</v>
      </c>
      <c r="AI431" t="s">
        <v>306</v>
      </c>
      <c r="AN431" t="s">
        <v>306</v>
      </c>
      <c r="AS431" t="s">
        <v>306</v>
      </c>
      <c r="AX431" t="s">
        <v>306</v>
      </c>
      <c r="BC431" t="s">
        <v>306</v>
      </c>
      <c r="BD431" t="s">
        <v>1301</v>
      </c>
      <c r="BE431">
        <v>4326066</v>
      </c>
      <c r="BF431" t="s">
        <v>346</v>
      </c>
      <c r="BG431">
        <v>0</v>
      </c>
      <c r="BH431" t="s">
        <v>62</v>
      </c>
      <c r="BM431" t="s">
        <v>306</v>
      </c>
      <c r="BR431" t="s">
        <v>306</v>
      </c>
      <c r="BS431" t="s">
        <v>1070</v>
      </c>
      <c r="BT431">
        <v>4119544</v>
      </c>
      <c r="BU431" t="s">
        <v>364</v>
      </c>
      <c r="BV431">
        <v>0</v>
      </c>
      <c r="BW431" t="s">
        <v>53</v>
      </c>
      <c r="CB431" t="s">
        <v>306</v>
      </c>
      <c r="CC431" t="s">
        <v>1851</v>
      </c>
      <c r="CD431">
        <v>4115833</v>
      </c>
      <c r="CE431" t="s">
        <v>346</v>
      </c>
      <c r="CF431">
        <v>0</v>
      </c>
      <c r="CG431" t="s">
        <v>53</v>
      </c>
      <c r="CL431" t="s">
        <v>306</v>
      </c>
      <c r="CM431" t="s">
        <v>2079</v>
      </c>
      <c r="CN431">
        <v>4186450</v>
      </c>
      <c r="CO431" t="s">
        <v>346</v>
      </c>
      <c r="CP431">
        <v>0</v>
      </c>
      <c r="CQ431" t="s">
        <v>53</v>
      </c>
      <c r="CV431" t="s">
        <v>306</v>
      </c>
      <c r="DA431" t="s">
        <v>306</v>
      </c>
      <c r="DB431" t="s">
        <v>1301</v>
      </c>
      <c r="DC431">
        <v>4326066</v>
      </c>
      <c r="DD431" t="s">
        <v>346</v>
      </c>
      <c r="DE431">
        <v>0</v>
      </c>
      <c r="DF431" t="s">
        <v>62</v>
      </c>
      <c r="DK431" t="s">
        <v>306</v>
      </c>
      <c r="DL431" t="s">
        <v>1301</v>
      </c>
      <c r="DM431">
        <v>4326066</v>
      </c>
      <c r="DN431" t="s">
        <v>346</v>
      </c>
      <c r="DO431">
        <v>0</v>
      </c>
      <c r="DP431" t="s">
        <v>62</v>
      </c>
      <c r="DU431" t="s">
        <v>306</v>
      </c>
      <c r="DZ431" t="s">
        <v>306</v>
      </c>
      <c r="EA431" t="s">
        <v>1851</v>
      </c>
      <c r="EB431">
        <v>4115833</v>
      </c>
      <c r="EC431" t="s">
        <v>346</v>
      </c>
      <c r="ED431">
        <v>0</v>
      </c>
      <c r="EE431" t="s">
        <v>53</v>
      </c>
      <c r="EF431" t="s">
        <v>1301</v>
      </c>
      <c r="EG431">
        <v>4326066</v>
      </c>
      <c r="EH431" t="s">
        <v>346</v>
      </c>
      <c r="EI431">
        <v>0</v>
      </c>
      <c r="EJ431" t="s">
        <v>62</v>
      </c>
      <c r="EO431" t="s">
        <v>306</v>
      </c>
      <c r="ET431" t="s">
        <v>306</v>
      </c>
      <c r="EY431" t="s">
        <v>306</v>
      </c>
      <c r="FD431" t="s">
        <v>306</v>
      </c>
      <c r="FI431" t="s">
        <v>306</v>
      </c>
      <c r="FN431" t="s">
        <v>306</v>
      </c>
      <c r="FS431" t="s">
        <v>306</v>
      </c>
      <c r="FX431" t="s">
        <v>306</v>
      </c>
      <c r="FY431" t="s">
        <v>1301</v>
      </c>
      <c r="FZ431">
        <v>4326066</v>
      </c>
      <c r="GA431" t="s">
        <v>346</v>
      </c>
      <c r="GB431">
        <v>0</v>
      </c>
      <c r="GC431" t="s">
        <v>62</v>
      </c>
      <c r="GH431" t="s">
        <v>306</v>
      </c>
      <c r="GM431" t="s">
        <v>306</v>
      </c>
      <c r="GR431" t="s">
        <v>306</v>
      </c>
      <c r="GW431" t="s">
        <v>306</v>
      </c>
      <c r="GX431" t="s">
        <v>1851</v>
      </c>
      <c r="GY431">
        <v>4115833</v>
      </c>
      <c r="GZ431" t="s">
        <v>346</v>
      </c>
      <c r="HA431">
        <v>0</v>
      </c>
      <c r="HB431" t="s">
        <v>53</v>
      </c>
      <c r="HG431" t="s">
        <v>306</v>
      </c>
    </row>
    <row r="432" spans="5:215" x14ac:dyDescent="0.35">
      <c r="E432" t="s">
        <v>306</v>
      </c>
      <c r="J432" t="s">
        <v>306</v>
      </c>
      <c r="O432" t="s">
        <v>306</v>
      </c>
      <c r="T432" t="s">
        <v>306</v>
      </c>
      <c r="Y432" t="s">
        <v>306</v>
      </c>
      <c r="AD432" t="s">
        <v>306</v>
      </c>
      <c r="AI432" t="s">
        <v>306</v>
      </c>
      <c r="AN432" t="s">
        <v>306</v>
      </c>
      <c r="AS432" t="s">
        <v>306</v>
      </c>
      <c r="AX432" t="s">
        <v>306</v>
      </c>
      <c r="BC432" t="s">
        <v>306</v>
      </c>
      <c r="BD432" t="s">
        <v>1526</v>
      </c>
      <c r="BE432">
        <v>26415326</v>
      </c>
      <c r="BF432" t="s">
        <v>364</v>
      </c>
      <c r="BG432">
        <v>0</v>
      </c>
      <c r="BH432" t="s">
        <v>53</v>
      </c>
      <c r="BM432" t="s">
        <v>306</v>
      </c>
      <c r="BR432" t="s">
        <v>306</v>
      </c>
      <c r="BS432" t="s">
        <v>1071</v>
      </c>
      <c r="BT432">
        <v>4118668</v>
      </c>
      <c r="BU432" t="s">
        <v>346</v>
      </c>
      <c r="BV432">
        <v>0</v>
      </c>
      <c r="BW432" t="s">
        <v>53</v>
      </c>
      <c r="CB432" t="s">
        <v>306</v>
      </c>
      <c r="CC432" t="s">
        <v>811</v>
      </c>
      <c r="CD432">
        <v>4240414</v>
      </c>
      <c r="CE432" t="s">
        <v>346</v>
      </c>
      <c r="CF432">
        <v>0</v>
      </c>
      <c r="CG432" t="s">
        <v>2191</v>
      </c>
      <c r="CL432" t="s">
        <v>306</v>
      </c>
      <c r="CM432" t="s">
        <v>1740</v>
      </c>
      <c r="CN432">
        <v>4056453</v>
      </c>
      <c r="CO432" t="s">
        <v>366</v>
      </c>
      <c r="CP432">
        <v>0</v>
      </c>
      <c r="CQ432" t="s">
        <v>80</v>
      </c>
      <c r="CV432" t="s">
        <v>306</v>
      </c>
      <c r="DA432" t="s">
        <v>306</v>
      </c>
      <c r="DB432" t="s">
        <v>1526</v>
      </c>
      <c r="DC432">
        <v>26415326</v>
      </c>
      <c r="DD432" t="s">
        <v>364</v>
      </c>
      <c r="DE432">
        <v>0</v>
      </c>
      <c r="DF432" t="s">
        <v>53</v>
      </c>
      <c r="DK432" t="s">
        <v>306</v>
      </c>
      <c r="DL432" t="s">
        <v>1526</v>
      </c>
      <c r="DM432">
        <v>26415326</v>
      </c>
      <c r="DN432" t="s">
        <v>364</v>
      </c>
      <c r="DO432">
        <v>0</v>
      </c>
      <c r="DP432" t="s">
        <v>53</v>
      </c>
      <c r="DU432" t="s">
        <v>306</v>
      </c>
      <c r="DZ432" t="s">
        <v>306</v>
      </c>
      <c r="EA432" t="s">
        <v>811</v>
      </c>
      <c r="EB432">
        <v>4240414</v>
      </c>
      <c r="EC432" t="s">
        <v>346</v>
      </c>
      <c r="ED432">
        <v>0</v>
      </c>
      <c r="EE432" t="s">
        <v>2191</v>
      </c>
      <c r="EF432" t="s">
        <v>1526</v>
      </c>
      <c r="EG432">
        <v>26415326</v>
      </c>
      <c r="EH432" t="s">
        <v>364</v>
      </c>
      <c r="EI432">
        <v>0</v>
      </c>
      <c r="EJ432" t="s">
        <v>53</v>
      </c>
      <c r="EO432" t="s">
        <v>306</v>
      </c>
      <c r="ET432" t="s">
        <v>306</v>
      </c>
      <c r="EY432" t="s">
        <v>306</v>
      </c>
      <c r="FD432" t="s">
        <v>306</v>
      </c>
      <c r="FI432" t="s">
        <v>306</v>
      </c>
      <c r="FN432" t="s">
        <v>306</v>
      </c>
      <c r="FS432" t="s">
        <v>306</v>
      </c>
      <c r="FX432" t="s">
        <v>306</v>
      </c>
      <c r="FY432" t="s">
        <v>1526</v>
      </c>
      <c r="FZ432">
        <v>26415326</v>
      </c>
      <c r="GA432" t="s">
        <v>364</v>
      </c>
      <c r="GB432">
        <v>0</v>
      </c>
      <c r="GC432" t="s">
        <v>53</v>
      </c>
      <c r="GH432" t="s">
        <v>306</v>
      </c>
      <c r="GM432" t="s">
        <v>306</v>
      </c>
      <c r="GR432" t="s">
        <v>306</v>
      </c>
      <c r="GW432" t="s">
        <v>306</v>
      </c>
      <c r="GX432" t="s">
        <v>811</v>
      </c>
      <c r="GY432">
        <v>4240414</v>
      </c>
      <c r="GZ432" t="s">
        <v>346</v>
      </c>
      <c r="HA432">
        <v>0</v>
      </c>
      <c r="HB432" t="s">
        <v>2191</v>
      </c>
      <c r="HG432" t="s">
        <v>306</v>
      </c>
    </row>
    <row r="433" spans="5:215" x14ac:dyDescent="0.35">
      <c r="E433" t="s">
        <v>306</v>
      </c>
      <c r="J433" t="s">
        <v>306</v>
      </c>
      <c r="O433" t="s">
        <v>306</v>
      </c>
      <c r="T433" t="s">
        <v>306</v>
      </c>
      <c r="Y433" t="s">
        <v>306</v>
      </c>
      <c r="AD433" t="s">
        <v>306</v>
      </c>
      <c r="AI433" t="s">
        <v>306</v>
      </c>
      <c r="AN433" t="s">
        <v>306</v>
      </c>
      <c r="AS433" t="s">
        <v>306</v>
      </c>
      <c r="AX433" t="s">
        <v>306</v>
      </c>
      <c r="BC433" t="s">
        <v>306</v>
      </c>
      <c r="BD433" t="s">
        <v>1527</v>
      </c>
      <c r="BE433">
        <v>4140026</v>
      </c>
      <c r="BF433" t="s">
        <v>346</v>
      </c>
      <c r="BG433">
        <v>0</v>
      </c>
      <c r="BH433" t="s">
        <v>2185</v>
      </c>
      <c r="BM433" t="s">
        <v>306</v>
      </c>
      <c r="BR433" t="s">
        <v>306</v>
      </c>
      <c r="BS433" t="s">
        <v>858</v>
      </c>
      <c r="BT433">
        <v>123879915</v>
      </c>
      <c r="BU433" t="s">
        <v>346</v>
      </c>
      <c r="BV433">
        <v>0</v>
      </c>
      <c r="BW433" t="s">
        <v>306</v>
      </c>
      <c r="CB433" t="s">
        <v>306</v>
      </c>
      <c r="CC433" t="s">
        <v>1852</v>
      </c>
      <c r="CD433" t="s">
        <v>300</v>
      </c>
      <c r="CE433" t="s">
        <v>361</v>
      </c>
      <c r="CF433">
        <v>0</v>
      </c>
      <c r="CG433" t="s">
        <v>50</v>
      </c>
      <c r="CL433" t="s">
        <v>306</v>
      </c>
      <c r="CM433" t="s">
        <v>1824</v>
      </c>
      <c r="CN433">
        <v>4054540</v>
      </c>
      <c r="CO433" t="s">
        <v>346</v>
      </c>
      <c r="CP433">
        <v>0</v>
      </c>
      <c r="CQ433" t="s">
        <v>53</v>
      </c>
      <c r="CV433" t="s">
        <v>306</v>
      </c>
      <c r="DA433" t="s">
        <v>306</v>
      </c>
      <c r="DB433" t="s">
        <v>1527</v>
      </c>
      <c r="DC433">
        <v>4140026</v>
      </c>
      <c r="DD433" t="s">
        <v>346</v>
      </c>
      <c r="DE433">
        <v>0</v>
      </c>
      <c r="DF433" t="s">
        <v>2185</v>
      </c>
      <c r="DK433" t="s">
        <v>306</v>
      </c>
      <c r="DL433" t="s">
        <v>1527</v>
      </c>
      <c r="DM433">
        <v>4140026</v>
      </c>
      <c r="DN433" t="s">
        <v>346</v>
      </c>
      <c r="DO433">
        <v>0</v>
      </c>
      <c r="DP433" t="s">
        <v>2185</v>
      </c>
      <c r="DU433" t="s">
        <v>306</v>
      </c>
      <c r="DZ433" t="s">
        <v>306</v>
      </c>
      <c r="EA433" t="s">
        <v>1852</v>
      </c>
      <c r="EB433" t="s">
        <v>300</v>
      </c>
      <c r="EC433" t="s">
        <v>361</v>
      </c>
      <c r="ED433">
        <v>0</v>
      </c>
      <c r="EE433" t="s">
        <v>50</v>
      </c>
      <c r="EF433" t="s">
        <v>1527</v>
      </c>
      <c r="EG433">
        <v>4140026</v>
      </c>
      <c r="EH433" t="s">
        <v>346</v>
      </c>
      <c r="EI433">
        <v>0</v>
      </c>
      <c r="EJ433" t="s">
        <v>2185</v>
      </c>
      <c r="EO433" t="s">
        <v>306</v>
      </c>
      <c r="ET433" t="s">
        <v>306</v>
      </c>
      <c r="EY433" t="s">
        <v>306</v>
      </c>
      <c r="FD433" t="s">
        <v>306</v>
      </c>
      <c r="FI433" t="s">
        <v>306</v>
      </c>
      <c r="FN433" t="s">
        <v>306</v>
      </c>
      <c r="FS433" t="s">
        <v>306</v>
      </c>
      <c r="FX433" t="s">
        <v>306</v>
      </c>
      <c r="FY433" t="s">
        <v>1527</v>
      </c>
      <c r="FZ433">
        <v>4140026</v>
      </c>
      <c r="GA433" t="s">
        <v>346</v>
      </c>
      <c r="GB433">
        <v>0</v>
      </c>
      <c r="GC433" t="s">
        <v>2185</v>
      </c>
      <c r="GH433" t="s">
        <v>306</v>
      </c>
      <c r="GM433" t="s">
        <v>306</v>
      </c>
      <c r="GR433" t="s">
        <v>306</v>
      </c>
      <c r="GW433" t="s">
        <v>306</v>
      </c>
      <c r="GX433" t="s">
        <v>1852</v>
      </c>
      <c r="GY433" t="s">
        <v>300</v>
      </c>
      <c r="GZ433" t="s">
        <v>361</v>
      </c>
      <c r="HA433">
        <v>0</v>
      </c>
      <c r="HB433" t="s">
        <v>50</v>
      </c>
      <c r="HG433" t="s">
        <v>306</v>
      </c>
    </row>
    <row r="434" spans="5:215" x14ac:dyDescent="0.35">
      <c r="E434" t="s">
        <v>306</v>
      </c>
      <c r="J434" t="s">
        <v>306</v>
      </c>
      <c r="O434" t="s">
        <v>306</v>
      </c>
      <c r="T434" t="s">
        <v>306</v>
      </c>
      <c r="Y434" t="s">
        <v>306</v>
      </c>
      <c r="AD434" t="s">
        <v>306</v>
      </c>
      <c r="AI434" t="s">
        <v>306</v>
      </c>
      <c r="AN434" t="s">
        <v>306</v>
      </c>
      <c r="AS434" t="s">
        <v>306</v>
      </c>
      <c r="AX434" t="s">
        <v>306</v>
      </c>
      <c r="BC434" t="s">
        <v>306</v>
      </c>
      <c r="BD434" t="s">
        <v>579</v>
      </c>
      <c r="BE434">
        <v>5842097</v>
      </c>
      <c r="BF434" t="s">
        <v>346</v>
      </c>
      <c r="BG434">
        <v>0</v>
      </c>
      <c r="BH434" t="s">
        <v>2194</v>
      </c>
      <c r="BM434" t="s">
        <v>306</v>
      </c>
      <c r="BR434" t="s">
        <v>306</v>
      </c>
      <c r="BS434" t="s">
        <v>1072</v>
      </c>
      <c r="BT434">
        <v>5760994</v>
      </c>
      <c r="BU434" t="s">
        <v>346</v>
      </c>
      <c r="BV434">
        <v>0</v>
      </c>
      <c r="BW434" t="s">
        <v>323</v>
      </c>
      <c r="CB434" t="s">
        <v>306</v>
      </c>
      <c r="CC434" t="s">
        <v>1853</v>
      </c>
      <c r="CD434">
        <v>5750463</v>
      </c>
      <c r="CE434" t="s">
        <v>364</v>
      </c>
      <c r="CF434">
        <v>0</v>
      </c>
      <c r="CG434" t="s">
        <v>114</v>
      </c>
      <c r="CL434" t="s">
        <v>306</v>
      </c>
      <c r="CM434" t="s">
        <v>872</v>
      </c>
      <c r="CN434">
        <v>4025426</v>
      </c>
      <c r="CO434" t="s">
        <v>300</v>
      </c>
      <c r="CP434">
        <v>0</v>
      </c>
      <c r="CQ434" t="s">
        <v>53</v>
      </c>
      <c r="CV434" t="s">
        <v>306</v>
      </c>
      <c r="DA434" t="s">
        <v>306</v>
      </c>
      <c r="DB434" t="s">
        <v>579</v>
      </c>
      <c r="DC434">
        <v>5842097</v>
      </c>
      <c r="DD434" t="s">
        <v>346</v>
      </c>
      <c r="DE434">
        <v>0</v>
      </c>
      <c r="DF434" t="s">
        <v>2194</v>
      </c>
      <c r="DK434" t="s">
        <v>306</v>
      </c>
      <c r="DL434" t="s">
        <v>579</v>
      </c>
      <c r="DM434">
        <v>5842097</v>
      </c>
      <c r="DN434" t="s">
        <v>346</v>
      </c>
      <c r="DO434">
        <v>0</v>
      </c>
      <c r="DP434" t="s">
        <v>2194</v>
      </c>
      <c r="DU434" t="s">
        <v>306</v>
      </c>
      <c r="DZ434" t="s">
        <v>306</v>
      </c>
      <c r="EA434" t="s">
        <v>1853</v>
      </c>
      <c r="EB434">
        <v>5750463</v>
      </c>
      <c r="EC434" t="s">
        <v>364</v>
      </c>
      <c r="ED434">
        <v>0</v>
      </c>
      <c r="EE434" t="s">
        <v>114</v>
      </c>
      <c r="EF434" t="s">
        <v>579</v>
      </c>
      <c r="EG434">
        <v>5842097</v>
      </c>
      <c r="EH434" t="s">
        <v>346</v>
      </c>
      <c r="EI434">
        <v>0</v>
      </c>
      <c r="EJ434" t="s">
        <v>2194</v>
      </c>
      <c r="EO434" t="s">
        <v>306</v>
      </c>
      <c r="ET434" t="s">
        <v>306</v>
      </c>
      <c r="EY434" t="s">
        <v>306</v>
      </c>
      <c r="FD434" t="s">
        <v>306</v>
      </c>
      <c r="FI434" t="s">
        <v>306</v>
      </c>
      <c r="FN434" t="s">
        <v>306</v>
      </c>
      <c r="FS434" t="s">
        <v>306</v>
      </c>
      <c r="FX434" t="s">
        <v>306</v>
      </c>
      <c r="FY434" t="s">
        <v>579</v>
      </c>
      <c r="FZ434">
        <v>5842097</v>
      </c>
      <c r="GA434" t="s">
        <v>346</v>
      </c>
      <c r="GB434">
        <v>0</v>
      </c>
      <c r="GC434" t="s">
        <v>2194</v>
      </c>
      <c r="GH434" t="s">
        <v>306</v>
      </c>
      <c r="GM434" t="s">
        <v>306</v>
      </c>
      <c r="GR434" t="s">
        <v>306</v>
      </c>
      <c r="GW434" t="s">
        <v>306</v>
      </c>
      <c r="GX434" t="s">
        <v>1853</v>
      </c>
      <c r="GY434">
        <v>5750463</v>
      </c>
      <c r="GZ434" t="s">
        <v>364</v>
      </c>
      <c r="HA434">
        <v>0</v>
      </c>
      <c r="HB434" t="s">
        <v>114</v>
      </c>
      <c r="HG434" t="s">
        <v>306</v>
      </c>
    </row>
    <row r="435" spans="5:215" x14ac:dyDescent="0.35">
      <c r="E435" t="s">
        <v>306</v>
      </c>
      <c r="J435" t="s">
        <v>306</v>
      </c>
      <c r="O435" t="s">
        <v>306</v>
      </c>
      <c r="T435" t="s">
        <v>306</v>
      </c>
      <c r="Y435" t="s">
        <v>306</v>
      </c>
      <c r="AD435" t="s">
        <v>306</v>
      </c>
      <c r="AI435" t="s">
        <v>306</v>
      </c>
      <c r="AN435" t="s">
        <v>306</v>
      </c>
      <c r="AS435" t="s">
        <v>306</v>
      </c>
      <c r="AX435" t="s">
        <v>306</v>
      </c>
      <c r="BC435" t="s">
        <v>306</v>
      </c>
      <c r="BD435" t="s">
        <v>1271</v>
      </c>
      <c r="BE435">
        <v>4930964</v>
      </c>
      <c r="BF435" t="s">
        <v>346</v>
      </c>
      <c r="BG435">
        <v>0</v>
      </c>
      <c r="BH435" t="s">
        <v>62</v>
      </c>
      <c r="BM435" t="s">
        <v>306</v>
      </c>
      <c r="BR435" t="s">
        <v>306</v>
      </c>
      <c r="BS435" t="s">
        <v>465</v>
      </c>
      <c r="BT435">
        <v>4119440</v>
      </c>
      <c r="BU435" t="s">
        <v>346</v>
      </c>
      <c r="BV435">
        <v>0</v>
      </c>
      <c r="BW435" t="s">
        <v>53</v>
      </c>
      <c r="CB435" t="s">
        <v>306</v>
      </c>
      <c r="CC435" t="s">
        <v>1854</v>
      </c>
      <c r="CD435">
        <v>4117722</v>
      </c>
      <c r="CE435" t="s">
        <v>346</v>
      </c>
      <c r="CF435">
        <v>0</v>
      </c>
      <c r="CG435" t="s">
        <v>53</v>
      </c>
      <c r="CL435" t="s">
        <v>306</v>
      </c>
      <c r="CM435" t="s">
        <v>2080</v>
      </c>
      <c r="CN435">
        <v>137748619</v>
      </c>
      <c r="CO435" t="s">
        <v>276</v>
      </c>
      <c r="CP435">
        <v>0</v>
      </c>
      <c r="CQ435" t="s">
        <v>53</v>
      </c>
      <c r="CV435" t="s">
        <v>306</v>
      </c>
      <c r="DA435" t="s">
        <v>306</v>
      </c>
      <c r="DB435" t="s">
        <v>1271</v>
      </c>
      <c r="DC435">
        <v>4930964</v>
      </c>
      <c r="DD435" t="s">
        <v>346</v>
      </c>
      <c r="DE435">
        <v>0</v>
      </c>
      <c r="DF435" t="s">
        <v>62</v>
      </c>
      <c r="DK435" t="s">
        <v>306</v>
      </c>
      <c r="DL435" t="s">
        <v>1271</v>
      </c>
      <c r="DM435">
        <v>4930964</v>
      </c>
      <c r="DN435" t="s">
        <v>346</v>
      </c>
      <c r="DO435">
        <v>0</v>
      </c>
      <c r="DP435" t="s">
        <v>62</v>
      </c>
      <c r="DU435" t="s">
        <v>306</v>
      </c>
      <c r="DZ435" t="s">
        <v>306</v>
      </c>
      <c r="EA435" t="s">
        <v>1854</v>
      </c>
      <c r="EB435">
        <v>4117722</v>
      </c>
      <c r="EC435" t="s">
        <v>346</v>
      </c>
      <c r="ED435">
        <v>0</v>
      </c>
      <c r="EE435" t="s">
        <v>53</v>
      </c>
      <c r="EF435" t="s">
        <v>1271</v>
      </c>
      <c r="EG435">
        <v>4930964</v>
      </c>
      <c r="EH435" t="s">
        <v>346</v>
      </c>
      <c r="EI435">
        <v>0</v>
      </c>
      <c r="EJ435" t="s">
        <v>62</v>
      </c>
      <c r="EO435" t="s">
        <v>306</v>
      </c>
      <c r="ET435" t="s">
        <v>306</v>
      </c>
      <c r="EY435" t="s">
        <v>306</v>
      </c>
      <c r="FD435" t="s">
        <v>306</v>
      </c>
      <c r="FI435" t="s">
        <v>306</v>
      </c>
      <c r="FN435" t="s">
        <v>306</v>
      </c>
      <c r="FS435" t="s">
        <v>306</v>
      </c>
      <c r="FX435" t="s">
        <v>306</v>
      </c>
      <c r="FY435" t="s">
        <v>1271</v>
      </c>
      <c r="FZ435">
        <v>4930964</v>
      </c>
      <c r="GA435" t="s">
        <v>346</v>
      </c>
      <c r="GB435">
        <v>0</v>
      </c>
      <c r="GC435" t="s">
        <v>62</v>
      </c>
      <c r="GH435" t="s">
        <v>306</v>
      </c>
      <c r="GM435" t="s">
        <v>306</v>
      </c>
      <c r="GR435" t="s">
        <v>306</v>
      </c>
      <c r="GW435" t="s">
        <v>306</v>
      </c>
      <c r="GX435" t="s">
        <v>1854</v>
      </c>
      <c r="GY435">
        <v>4117722</v>
      </c>
      <c r="GZ435" t="s">
        <v>346</v>
      </c>
      <c r="HA435">
        <v>0</v>
      </c>
      <c r="HB435" t="s">
        <v>53</v>
      </c>
      <c r="HG435" t="s">
        <v>306</v>
      </c>
    </row>
    <row r="436" spans="5:215" x14ac:dyDescent="0.35">
      <c r="E436" t="s">
        <v>306</v>
      </c>
      <c r="J436" t="s">
        <v>306</v>
      </c>
      <c r="O436" t="s">
        <v>306</v>
      </c>
      <c r="T436" t="s">
        <v>306</v>
      </c>
      <c r="Y436" t="s">
        <v>306</v>
      </c>
      <c r="AD436" t="s">
        <v>306</v>
      </c>
      <c r="AI436" t="s">
        <v>306</v>
      </c>
      <c r="AN436" t="s">
        <v>306</v>
      </c>
      <c r="AS436" t="s">
        <v>306</v>
      </c>
      <c r="AX436" t="s">
        <v>306</v>
      </c>
      <c r="BC436" t="s">
        <v>306</v>
      </c>
      <c r="BD436" t="s">
        <v>609</v>
      </c>
      <c r="BE436">
        <v>4975908</v>
      </c>
      <c r="BF436" t="s">
        <v>346</v>
      </c>
      <c r="BG436">
        <v>0</v>
      </c>
      <c r="BH436" t="s">
        <v>53</v>
      </c>
      <c r="BM436" t="s">
        <v>306</v>
      </c>
      <c r="BR436" t="s">
        <v>306</v>
      </c>
      <c r="BS436" t="s">
        <v>397</v>
      </c>
      <c r="BT436">
        <v>4139795</v>
      </c>
      <c r="BU436" t="s">
        <v>346</v>
      </c>
      <c r="BV436">
        <v>0</v>
      </c>
      <c r="BW436" t="s">
        <v>2185</v>
      </c>
      <c r="CB436" t="s">
        <v>306</v>
      </c>
      <c r="CC436" t="s">
        <v>445</v>
      </c>
      <c r="CD436">
        <v>4241120</v>
      </c>
      <c r="CE436" t="s">
        <v>346</v>
      </c>
      <c r="CF436">
        <v>0</v>
      </c>
      <c r="CG436" t="s">
        <v>2191</v>
      </c>
      <c r="CL436" t="s">
        <v>306</v>
      </c>
      <c r="CM436" t="s">
        <v>2081</v>
      </c>
      <c r="CN436">
        <v>1000511</v>
      </c>
      <c r="CO436" t="s">
        <v>346</v>
      </c>
      <c r="CP436">
        <v>0</v>
      </c>
      <c r="CQ436" t="s">
        <v>53</v>
      </c>
      <c r="CV436" t="s">
        <v>306</v>
      </c>
      <c r="DA436" t="s">
        <v>306</v>
      </c>
      <c r="DB436" t="s">
        <v>609</v>
      </c>
      <c r="DC436">
        <v>4975908</v>
      </c>
      <c r="DD436" t="s">
        <v>346</v>
      </c>
      <c r="DE436">
        <v>0</v>
      </c>
      <c r="DF436" t="s">
        <v>53</v>
      </c>
      <c r="DK436" t="s">
        <v>306</v>
      </c>
      <c r="DL436" t="s">
        <v>609</v>
      </c>
      <c r="DM436">
        <v>4975908</v>
      </c>
      <c r="DN436" t="s">
        <v>346</v>
      </c>
      <c r="DO436">
        <v>0</v>
      </c>
      <c r="DP436" t="s">
        <v>53</v>
      </c>
      <c r="DU436" t="s">
        <v>306</v>
      </c>
      <c r="DZ436" t="s">
        <v>306</v>
      </c>
      <c r="EA436" t="s">
        <v>445</v>
      </c>
      <c r="EB436">
        <v>4241120</v>
      </c>
      <c r="EC436" t="s">
        <v>346</v>
      </c>
      <c r="ED436">
        <v>0</v>
      </c>
      <c r="EE436" t="s">
        <v>2191</v>
      </c>
      <c r="EF436" t="s">
        <v>609</v>
      </c>
      <c r="EG436">
        <v>4975908</v>
      </c>
      <c r="EH436" t="s">
        <v>346</v>
      </c>
      <c r="EI436">
        <v>0</v>
      </c>
      <c r="EJ436" t="s">
        <v>53</v>
      </c>
      <c r="EO436" t="s">
        <v>306</v>
      </c>
      <c r="ET436" t="s">
        <v>306</v>
      </c>
      <c r="EY436" t="s">
        <v>306</v>
      </c>
      <c r="FD436" t="s">
        <v>306</v>
      </c>
      <c r="FI436" t="s">
        <v>306</v>
      </c>
      <c r="FN436" t="s">
        <v>306</v>
      </c>
      <c r="FS436" t="s">
        <v>306</v>
      </c>
      <c r="FX436" t="s">
        <v>306</v>
      </c>
      <c r="FY436" t="s">
        <v>609</v>
      </c>
      <c r="FZ436">
        <v>4975908</v>
      </c>
      <c r="GA436" t="s">
        <v>346</v>
      </c>
      <c r="GB436">
        <v>0</v>
      </c>
      <c r="GC436" t="s">
        <v>53</v>
      </c>
      <c r="GH436" t="s">
        <v>306</v>
      </c>
      <c r="GM436" t="s">
        <v>306</v>
      </c>
      <c r="GR436" t="s">
        <v>306</v>
      </c>
      <c r="GW436" t="s">
        <v>306</v>
      </c>
      <c r="GX436" t="s">
        <v>445</v>
      </c>
      <c r="GY436">
        <v>4241120</v>
      </c>
      <c r="GZ436" t="s">
        <v>346</v>
      </c>
      <c r="HA436">
        <v>0</v>
      </c>
      <c r="HB436" t="s">
        <v>2191</v>
      </c>
      <c r="HG436" t="s">
        <v>306</v>
      </c>
    </row>
    <row r="437" spans="5:215" x14ac:dyDescent="0.35">
      <c r="E437" t="s">
        <v>306</v>
      </c>
      <c r="J437" t="s">
        <v>306</v>
      </c>
      <c r="O437" t="s">
        <v>306</v>
      </c>
      <c r="T437" t="s">
        <v>306</v>
      </c>
      <c r="Y437" t="s">
        <v>306</v>
      </c>
      <c r="AD437" t="s">
        <v>306</v>
      </c>
      <c r="AI437" t="s">
        <v>306</v>
      </c>
      <c r="AN437" t="s">
        <v>306</v>
      </c>
      <c r="AS437" t="s">
        <v>306</v>
      </c>
      <c r="AX437" t="s">
        <v>306</v>
      </c>
      <c r="BC437" t="s">
        <v>306</v>
      </c>
      <c r="BD437" t="s">
        <v>580</v>
      </c>
      <c r="BE437">
        <v>4037402</v>
      </c>
      <c r="BF437" t="s">
        <v>346</v>
      </c>
      <c r="BG437">
        <v>0</v>
      </c>
      <c r="BH437" t="s">
        <v>53</v>
      </c>
      <c r="BM437" t="s">
        <v>306</v>
      </c>
      <c r="BR437" t="s">
        <v>306</v>
      </c>
      <c r="BS437" t="s">
        <v>868</v>
      </c>
      <c r="BT437">
        <v>4138374</v>
      </c>
      <c r="BU437" t="s">
        <v>346</v>
      </c>
      <c r="BV437">
        <v>0</v>
      </c>
      <c r="BW437" t="s">
        <v>304</v>
      </c>
      <c r="CB437" t="s">
        <v>306</v>
      </c>
      <c r="CC437" t="s">
        <v>1855</v>
      </c>
      <c r="CD437">
        <v>4027675</v>
      </c>
      <c r="CE437" t="s">
        <v>346</v>
      </c>
      <c r="CF437">
        <v>0</v>
      </c>
      <c r="CG437" t="s">
        <v>53</v>
      </c>
      <c r="CL437" t="s">
        <v>306</v>
      </c>
      <c r="CM437" t="s">
        <v>1599</v>
      </c>
      <c r="CN437">
        <v>4283802</v>
      </c>
      <c r="CO437" t="s">
        <v>346</v>
      </c>
      <c r="CP437">
        <v>0</v>
      </c>
      <c r="CQ437" t="s">
        <v>53</v>
      </c>
      <c r="CV437" t="s">
        <v>306</v>
      </c>
      <c r="DA437" t="s">
        <v>306</v>
      </c>
      <c r="DB437" t="s">
        <v>580</v>
      </c>
      <c r="DC437">
        <v>4037402</v>
      </c>
      <c r="DD437" t="s">
        <v>346</v>
      </c>
      <c r="DE437">
        <v>0</v>
      </c>
      <c r="DF437" t="s">
        <v>53</v>
      </c>
      <c r="DK437" t="s">
        <v>306</v>
      </c>
      <c r="DL437" t="s">
        <v>580</v>
      </c>
      <c r="DM437">
        <v>4037402</v>
      </c>
      <c r="DN437" t="s">
        <v>346</v>
      </c>
      <c r="DO437">
        <v>0</v>
      </c>
      <c r="DP437" t="s">
        <v>53</v>
      </c>
      <c r="DU437" t="s">
        <v>306</v>
      </c>
      <c r="DZ437" t="s">
        <v>306</v>
      </c>
      <c r="EA437" t="s">
        <v>1855</v>
      </c>
      <c r="EB437">
        <v>4027675</v>
      </c>
      <c r="EC437" t="s">
        <v>346</v>
      </c>
      <c r="ED437">
        <v>0</v>
      </c>
      <c r="EE437" t="s">
        <v>53</v>
      </c>
      <c r="EF437" t="s">
        <v>580</v>
      </c>
      <c r="EG437">
        <v>4037402</v>
      </c>
      <c r="EH437" t="s">
        <v>346</v>
      </c>
      <c r="EI437">
        <v>0</v>
      </c>
      <c r="EJ437" t="s">
        <v>53</v>
      </c>
      <c r="EO437" t="s">
        <v>306</v>
      </c>
      <c r="ET437" t="s">
        <v>306</v>
      </c>
      <c r="EY437" t="s">
        <v>306</v>
      </c>
      <c r="FD437" t="s">
        <v>306</v>
      </c>
      <c r="FI437" t="s">
        <v>306</v>
      </c>
      <c r="FN437" t="s">
        <v>306</v>
      </c>
      <c r="FS437" t="s">
        <v>306</v>
      </c>
      <c r="FX437" t="s">
        <v>306</v>
      </c>
      <c r="FY437" t="s">
        <v>580</v>
      </c>
      <c r="FZ437">
        <v>4037402</v>
      </c>
      <c r="GA437" t="s">
        <v>346</v>
      </c>
      <c r="GB437">
        <v>0</v>
      </c>
      <c r="GC437" t="s">
        <v>53</v>
      </c>
      <c r="GH437" t="s">
        <v>306</v>
      </c>
      <c r="GM437" t="s">
        <v>306</v>
      </c>
      <c r="GR437" t="s">
        <v>306</v>
      </c>
      <c r="GW437" t="s">
        <v>306</v>
      </c>
      <c r="GX437" t="s">
        <v>1855</v>
      </c>
      <c r="GY437">
        <v>4027675</v>
      </c>
      <c r="GZ437" t="s">
        <v>346</v>
      </c>
      <c r="HA437">
        <v>0</v>
      </c>
      <c r="HB437" t="s">
        <v>53</v>
      </c>
      <c r="HG437" t="s">
        <v>306</v>
      </c>
    </row>
    <row r="438" spans="5:215" x14ac:dyDescent="0.35">
      <c r="E438" t="s">
        <v>306</v>
      </c>
      <c r="J438" t="s">
        <v>306</v>
      </c>
      <c r="O438" t="s">
        <v>306</v>
      </c>
      <c r="T438" t="s">
        <v>306</v>
      </c>
      <c r="Y438" t="s">
        <v>306</v>
      </c>
      <c r="AD438" t="s">
        <v>306</v>
      </c>
      <c r="AI438" t="s">
        <v>306</v>
      </c>
      <c r="AN438" t="s">
        <v>306</v>
      </c>
      <c r="AS438" t="s">
        <v>306</v>
      </c>
      <c r="AX438" t="s">
        <v>306</v>
      </c>
      <c r="BC438" t="s">
        <v>306</v>
      </c>
      <c r="BD438" t="s">
        <v>1528</v>
      </c>
      <c r="BE438">
        <v>4221491</v>
      </c>
      <c r="BF438" t="s">
        <v>364</v>
      </c>
      <c r="BG438">
        <v>0</v>
      </c>
      <c r="BH438" t="s">
        <v>313</v>
      </c>
      <c r="BM438" t="s">
        <v>306</v>
      </c>
      <c r="BR438" t="s">
        <v>306</v>
      </c>
      <c r="BS438" t="s">
        <v>440</v>
      </c>
      <c r="BT438">
        <v>4140078</v>
      </c>
      <c r="BU438" t="s">
        <v>346</v>
      </c>
      <c r="BV438">
        <v>0</v>
      </c>
      <c r="BW438" t="s">
        <v>304</v>
      </c>
      <c r="CB438" t="s">
        <v>306</v>
      </c>
      <c r="CC438" t="s">
        <v>1856</v>
      </c>
      <c r="CD438">
        <v>15038624</v>
      </c>
      <c r="CE438" t="s">
        <v>366</v>
      </c>
      <c r="CF438">
        <v>0</v>
      </c>
      <c r="CG438" t="s">
        <v>53</v>
      </c>
      <c r="CL438" t="s">
        <v>306</v>
      </c>
      <c r="CM438" t="s">
        <v>1378</v>
      </c>
      <c r="CN438">
        <v>5763686</v>
      </c>
      <c r="CO438" t="s">
        <v>346</v>
      </c>
      <c r="CP438">
        <v>0</v>
      </c>
      <c r="CQ438" t="s">
        <v>125</v>
      </c>
      <c r="CV438" t="s">
        <v>306</v>
      </c>
      <c r="DA438" t="s">
        <v>306</v>
      </c>
      <c r="DB438" t="s">
        <v>1528</v>
      </c>
      <c r="DC438">
        <v>4221491</v>
      </c>
      <c r="DD438" t="s">
        <v>364</v>
      </c>
      <c r="DE438">
        <v>0</v>
      </c>
      <c r="DF438" t="s">
        <v>313</v>
      </c>
      <c r="DK438" t="s">
        <v>306</v>
      </c>
      <c r="DL438" t="s">
        <v>1528</v>
      </c>
      <c r="DM438">
        <v>4221491</v>
      </c>
      <c r="DN438" t="s">
        <v>364</v>
      </c>
      <c r="DO438">
        <v>0</v>
      </c>
      <c r="DP438" t="s">
        <v>313</v>
      </c>
      <c r="DU438" t="s">
        <v>306</v>
      </c>
      <c r="DZ438" t="s">
        <v>306</v>
      </c>
      <c r="EA438" t="s">
        <v>1856</v>
      </c>
      <c r="EB438">
        <v>15038624</v>
      </c>
      <c r="EC438" t="s">
        <v>366</v>
      </c>
      <c r="ED438">
        <v>0</v>
      </c>
      <c r="EE438" t="s">
        <v>53</v>
      </c>
      <c r="EF438" t="s">
        <v>1528</v>
      </c>
      <c r="EG438">
        <v>4221491</v>
      </c>
      <c r="EH438" t="s">
        <v>364</v>
      </c>
      <c r="EI438">
        <v>0</v>
      </c>
      <c r="EJ438" t="s">
        <v>313</v>
      </c>
      <c r="EO438" t="s">
        <v>306</v>
      </c>
      <c r="ET438" t="s">
        <v>306</v>
      </c>
      <c r="EY438" t="s">
        <v>306</v>
      </c>
      <c r="FD438" t="s">
        <v>306</v>
      </c>
      <c r="FI438" t="s">
        <v>306</v>
      </c>
      <c r="FN438" t="s">
        <v>306</v>
      </c>
      <c r="FS438" t="s">
        <v>306</v>
      </c>
      <c r="FX438" t="s">
        <v>306</v>
      </c>
      <c r="FY438" t="s">
        <v>1528</v>
      </c>
      <c r="FZ438">
        <v>4221491</v>
      </c>
      <c r="GA438" t="s">
        <v>364</v>
      </c>
      <c r="GB438">
        <v>0</v>
      </c>
      <c r="GC438" t="s">
        <v>313</v>
      </c>
      <c r="GH438" t="s">
        <v>306</v>
      </c>
      <c r="GM438" t="s">
        <v>306</v>
      </c>
      <c r="GR438" t="s">
        <v>306</v>
      </c>
      <c r="GW438" t="s">
        <v>306</v>
      </c>
      <c r="GX438" t="s">
        <v>1856</v>
      </c>
      <c r="GY438">
        <v>15038624</v>
      </c>
      <c r="GZ438" t="s">
        <v>366</v>
      </c>
      <c r="HA438">
        <v>0</v>
      </c>
      <c r="HB438" t="s">
        <v>53</v>
      </c>
      <c r="HG438" t="s">
        <v>306</v>
      </c>
    </row>
    <row r="439" spans="5:215" x14ac:dyDescent="0.35">
      <c r="E439" t="s">
        <v>306</v>
      </c>
      <c r="J439" t="s">
        <v>306</v>
      </c>
      <c r="O439" t="s">
        <v>306</v>
      </c>
      <c r="T439" t="s">
        <v>306</v>
      </c>
      <c r="Y439" t="s">
        <v>306</v>
      </c>
      <c r="AD439" t="s">
        <v>306</v>
      </c>
      <c r="AI439" t="s">
        <v>306</v>
      </c>
      <c r="AN439" t="s">
        <v>306</v>
      </c>
      <c r="AS439" t="s">
        <v>306</v>
      </c>
      <c r="AX439" t="s">
        <v>306</v>
      </c>
      <c r="BC439" t="s">
        <v>306</v>
      </c>
      <c r="BD439" t="s">
        <v>1529</v>
      </c>
      <c r="BE439">
        <v>11055038</v>
      </c>
      <c r="BF439" t="s">
        <v>346</v>
      </c>
      <c r="BG439">
        <v>0</v>
      </c>
      <c r="BH439" t="s">
        <v>62</v>
      </c>
      <c r="BM439" t="s">
        <v>306</v>
      </c>
      <c r="BR439" t="s">
        <v>306</v>
      </c>
      <c r="BS439" t="s">
        <v>1073</v>
      </c>
      <c r="BT439">
        <v>4610683</v>
      </c>
      <c r="BU439" t="s">
        <v>346</v>
      </c>
      <c r="BV439">
        <v>0</v>
      </c>
      <c r="BW439" t="s">
        <v>320</v>
      </c>
      <c r="CB439" t="s">
        <v>306</v>
      </c>
      <c r="CC439" t="s">
        <v>1857</v>
      </c>
      <c r="CD439">
        <v>19863545</v>
      </c>
      <c r="CE439" t="s">
        <v>346</v>
      </c>
      <c r="CF439">
        <v>0</v>
      </c>
      <c r="CG439" t="s">
        <v>53</v>
      </c>
      <c r="CL439" t="s">
        <v>306</v>
      </c>
      <c r="CM439" t="s">
        <v>1377</v>
      </c>
      <c r="CN439">
        <v>5830610</v>
      </c>
      <c r="CO439" t="s">
        <v>346</v>
      </c>
      <c r="CP439">
        <v>0</v>
      </c>
      <c r="CQ439" t="s">
        <v>62</v>
      </c>
      <c r="CV439" t="s">
        <v>306</v>
      </c>
      <c r="DA439" t="s">
        <v>306</v>
      </c>
      <c r="DB439" t="s">
        <v>1529</v>
      </c>
      <c r="DC439">
        <v>11055038</v>
      </c>
      <c r="DD439" t="s">
        <v>346</v>
      </c>
      <c r="DE439">
        <v>0</v>
      </c>
      <c r="DF439" t="s">
        <v>62</v>
      </c>
      <c r="DK439" t="s">
        <v>306</v>
      </c>
      <c r="DL439" t="s">
        <v>1529</v>
      </c>
      <c r="DM439">
        <v>11055038</v>
      </c>
      <c r="DN439" t="s">
        <v>346</v>
      </c>
      <c r="DO439">
        <v>0</v>
      </c>
      <c r="DP439" t="s">
        <v>62</v>
      </c>
      <c r="DU439" t="s">
        <v>306</v>
      </c>
      <c r="DZ439" t="s">
        <v>306</v>
      </c>
      <c r="EA439" t="s">
        <v>1857</v>
      </c>
      <c r="EB439">
        <v>19863545</v>
      </c>
      <c r="EC439" t="s">
        <v>346</v>
      </c>
      <c r="ED439">
        <v>0</v>
      </c>
      <c r="EE439" t="s">
        <v>53</v>
      </c>
      <c r="EF439" t="s">
        <v>1529</v>
      </c>
      <c r="EG439">
        <v>11055038</v>
      </c>
      <c r="EH439" t="s">
        <v>346</v>
      </c>
      <c r="EI439">
        <v>0</v>
      </c>
      <c r="EJ439" t="s">
        <v>62</v>
      </c>
      <c r="EO439" t="s">
        <v>306</v>
      </c>
      <c r="ET439" t="s">
        <v>306</v>
      </c>
      <c r="EY439" t="s">
        <v>306</v>
      </c>
      <c r="FD439" t="s">
        <v>306</v>
      </c>
      <c r="FI439" t="s">
        <v>306</v>
      </c>
      <c r="FN439" t="s">
        <v>306</v>
      </c>
      <c r="FS439" t="s">
        <v>306</v>
      </c>
      <c r="FX439" t="s">
        <v>306</v>
      </c>
      <c r="FY439" t="s">
        <v>1529</v>
      </c>
      <c r="FZ439">
        <v>11055038</v>
      </c>
      <c r="GA439" t="s">
        <v>346</v>
      </c>
      <c r="GB439">
        <v>0</v>
      </c>
      <c r="GC439" t="s">
        <v>62</v>
      </c>
      <c r="GH439" t="s">
        <v>306</v>
      </c>
      <c r="GM439" t="s">
        <v>306</v>
      </c>
      <c r="GR439" t="s">
        <v>306</v>
      </c>
      <c r="GW439" t="s">
        <v>306</v>
      </c>
      <c r="GX439" t="s">
        <v>1857</v>
      </c>
      <c r="GY439">
        <v>19863545</v>
      </c>
      <c r="GZ439" t="s">
        <v>346</v>
      </c>
      <c r="HA439">
        <v>0</v>
      </c>
      <c r="HB439" t="s">
        <v>53</v>
      </c>
      <c r="HG439" t="s">
        <v>306</v>
      </c>
    </row>
    <row r="440" spans="5:215" x14ac:dyDescent="0.35">
      <c r="E440" t="s">
        <v>306</v>
      </c>
      <c r="J440" t="s">
        <v>306</v>
      </c>
      <c r="O440" t="s">
        <v>306</v>
      </c>
      <c r="T440" t="s">
        <v>306</v>
      </c>
      <c r="Y440" t="s">
        <v>306</v>
      </c>
      <c r="AD440" t="s">
        <v>306</v>
      </c>
      <c r="AI440" t="s">
        <v>306</v>
      </c>
      <c r="AN440" t="s">
        <v>306</v>
      </c>
      <c r="AS440" t="s">
        <v>306</v>
      </c>
      <c r="AX440" t="s">
        <v>306</v>
      </c>
      <c r="BC440" t="s">
        <v>306</v>
      </c>
      <c r="BD440" t="s">
        <v>1530</v>
      </c>
      <c r="BE440">
        <v>5755714</v>
      </c>
      <c r="BF440" t="s">
        <v>346</v>
      </c>
      <c r="BG440">
        <v>0</v>
      </c>
      <c r="BH440" t="s">
        <v>2208</v>
      </c>
      <c r="BM440" t="s">
        <v>306</v>
      </c>
      <c r="BR440" t="s">
        <v>306</v>
      </c>
      <c r="BS440" t="s">
        <v>434</v>
      </c>
      <c r="BT440">
        <v>4120033</v>
      </c>
      <c r="BU440" t="s">
        <v>346</v>
      </c>
      <c r="BV440">
        <v>0</v>
      </c>
      <c r="BW440" t="s">
        <v>304</v>
      </c>
      <c r="CB440" t="s">
        <v>306</v>
      </c>
      <c r="CC440" t="s">
        <v>1858</v>
      </c>
      <c r="CD440">
        <v>105924436</v>
      </c>
      <c r="CE440" t="s">
        <v>364</v>
      </c>
      <c r="CF440">
        <v>0</v>
      </c>
      <c r="CG440" t="s">
        <v>53</v>
      </c>
      <c r="CL440" t="s">
        <v>306</v>
      </c>
      <c r="CM440" t="s">
        <v>2082</v>
      </c>
      <c r="CN440">
        <v>5859195</v>
      </c>
      <c r="CO440" t="s">
        <v>346</v>
      </c>
      <c r="CP440">
        <v>0</v>
      </c>
      <c r="CQ440" t="s">
        <v>53</v>
      </c>
      <c r="CV440" t="s">
        <v>306</v>
      </c>
      <c r="DA440" t="s">
        <v>306</v>
      </c>
      <c r="DB440" t="s">
        <v>1530</v>
      </c>
      <c r="DC440">
        <v>5755714</v>
      </c>
      <c r="DD440" t="s">
        <v>346</v>
      </c>
      <c r="DE440">
        <v>0</v>
      </c>
      <c r="DF440" t="s">
        <v>2208</v>
      </c>
      <c r="DK440" t="s">
        <v>306</v>
      </c>
      <c r="DL440" t="s">
        <v>1530</v>
      </c>
      <c r="DM440">
        <v>5755714</v>
      </c>
      <c r="DN440" t="s">
        <v>346</v>
      </c>
      <c r="DO440">
        <v>0</v>
      </c>
      <c r="DP440" t="s">
        <v>2208</v>
      </c>
      <c r="DU440" t="s">
        <v>306</v>
      </c>
      <c r="DZ440" t="s">
        <v>306</v>
      </c>
      <c r="EA440" t="s">
        <v>1858</v>
      </c>
      <c r="EB440">
        <v>105924436</v>
      </c>
      <c r="EC440" t="s">
        <v>364</v>
      </c>
      <c r="ED440">
        <v>0</v>
      </c>
      <c r="EE440" t="s">
        <v>53</v>
      </c>
      <c r="EF440" t="s">
        <v>1530</v>
      </c>
      <c r="EG440">
        <v>5755714</v>
      </c>
      <c r="EH440" t="s">
        <v>346</v>
      </c>
      <c r="EI440">
        <v>0</v>
      </c>
      <c r="EJ440" t="s">
        <v>2208</v>
      </c>
      <c r="EO440" t="s">
        <v>306</v>
      </c>
      <c r="ET440" t="s">
        <v>306</v>
      </c>
      <c r="EY440" t="s">
        <v>306</v>
      </c>
      <c r="FD440" t="s">
        <v>306</v>
      </c>
      <c r="FI440" t="s">
        <v>306</v>
      </c>
      <c r="FN440" t="s">
        <v>306</v>
      </c>
      <c r="FS440" t="s">
        <v>306</v>
      </c>
      <c r="FX440" t="s">
        <v>306</v>
      </c>
      <c r="FY440" t="s">
        <v>1530</v>
      </c>
      <c r="FZ440">
        <v>5755714</v>
      </c>
      <c r="GA440" t="s">
        <v>346</v>
      </c>
      <c r="GB440">
        <v>0</v>
      </c>
      <c r="GC440" t="s">
        <v>2208</v>
      </c>
      <c r="GH440" t="s">
        <v>306</v>
      </c>
      <c r="GM440" t="s">
        <v>306</v>
      </c>
      <c r="GR440" t="s">
        <v>306</v>
      </c>
      <c r="GW440" t="s">
        <v>306</v>
      </c>
      <c r="GX440" t="s">
        <v>1858</v>
      </c>
      <c r="GY440">
        <v>105924436</v>
      </c>
      <c r="GZ440" t="s">
        <v>364</v>
      </c>
      <c r="HA440">
        <v>0</v>
      </c>
      <c r="HB440" t="s">
        <v>53</v>
      </c>
      <c r="HG440" t="s">
        <v>306</v>
      </c>
    </row>
    <row r="441" spans="5:215" x14ac:dyDescent="0.35">
      <c r="E441" t="s">
        <v>306</v>
      </c>
      <c r="J441" t="s">
        <v>306</v>
      </c>
      <c r="O441" t="s">
        <v>306</v>
      </c>
      <c r="T441" t="s">
        <v>306</v>
      </c>
      <c r="Y441" t="s">
        <v>306</v>
      </c>
      <c r="AD441" t="s">
        <v>306</v>
      </c>
      <c r="AI441" t="s">
        <v>306</v>
      </c>
      <c r="AN441" t="s">
        <v>306</v>
      </c>
      <c r="AS441" t="s">
        <v>306</v>
      </c>
      <c r="AX441" t="s">
        <v>306</v>
      </c>
      <c r="BC441" t="s">
        <v>306</v>
      </c>
      <c r="BD441" t="s">
        <v>525</v>
      </c>
      <c r="BE441">
        <v>4227087</v>
      </c>
      <c r="BF441" t="s">
        <v>346</v>
      </c>
      <c r="BG441">
        <v>0</v>
      </c>
      <c r="BH441" t="s">
        <v>2185</v>
      </c>
      <c r="BM441" t="s">
        <v>306</v>
      </c>
      <c r="BR441" t="s">
        <v>306</v>
      </c>
      <c r="BS441" t="s">
        <v>682</v>
      </c>
      <c r="BT441">
        <v>13690315</v>
      </c>
      <c r="BU441" t="s">
        <v>346</v>
      </c>
      <c r="BV441">
        <v>0</v>
      </c>
      <c r="BW441" t="s">
        <v>53</v>
      </c>
      <c r="CB441" t="s">
        <v>306</v>
      </c>
      <c r="CC441" t="s">
        <v>404</v>
      </c>
      <c r="CD441">
        <v>4383779</v>
      </c>
      <c r="CE441" t="s">
        <v>346</v>
      </c>
      <c r="CF441">
        <v>0</v>
      </c>
      <c r="CG441" t="s">
        <v>53</v>
      </c>
      <c r="CL441" t="s">
        <v>306</v>
      </c>
      <c r="CM441" t="s">
        <v>2083</v>
      </c>
      <c r="CN441">
        <v>110752</v>
      </c>
      <c r="CO441" t="s">
        <v>346</v>
      </c>
      <c r="CP441">
        <v>0</v>
      </c>
      <c r="CQ441" t="s">
        <v>53</v>
      </c>
      <c r="CV441" t="s">
        <v>306</v>
      </c>
      <c r="DA441" t="s">
        <v>306</v>
      </c>
      <c r="DB441" t="s">
        <v>525</v>
      </c>
      <c r="DC441">
        <v>4227087</v>
      </c>
      <c r="DD441" t="s">
        <v>346</v>
      </c>
      <c r="DE441">
        <v>0</v>
      </c>
      <c r="DF441" t="s">
        <v>2185</v>
      </c>
      <c r="DK441" t="s">
        <v>306</v>
      </c>
      <c r="DL441" t="s">
        <v>525</v>
      </c>
      <c r="DM441">
        <v>4227087</v>
      </c>
      <c r="DN441" t="s">
        <v>346</v>
      </c>
      <c r="DO441">
        <v>0</v>
      </c>
      <c r="DP441" t="s">
        <v>2185</v>
      </c>
      <c r="DU441" t="s">
        <v>306</v>
      </c>
      <c r="DZ441" t="s">
        <v>306</v>
      </c>
      <c r="EA441" t="s">
        <v>404</v>
      </c>
      <c r="EB441">
        <v>4383779</v>
      </c>
      <c r="EC441" t="s">
        <v>346</v>
      </c>
      <c r="ED441">
        <v>0</v>
      </c>
      <c r="EE441" t="s">
        <v>53</v>
      </c>
      <c r="EF441" t="s">
        <v>525</v>
      </c>
      <c r="EG441">
        <v>4227087</v>
      </c>
      <c r="EH441" t="s">
        <v>346</v>
      </c>
      <c r="EI441">
        <v>0</v>
      </c>
      <c r="EJ441" t="s">
        <v>2185</v>
      </c>
      <c r="EO441" t="s">
        <v>306</v>
      </c>
      <c r="ET441" t="s">
        <v>306</v>
      </c>
      <c r="EY441" t="s">
        <v>306</v>
      </c>
      <c r="FD441" t="s">
        <v>306</v>
      </c>
      <c r="FI441" t="s">
        <v>306</v>
      </c>
      <c r="FN441" t="s">
        <v>306</v>
      </c>
      <c r="FS441" t="s">
        <v>306</v>
      </c>
      <c r="FX441" t="s">
        <v>306</v>
      </c>
      <c r="FY441" t="s">
        <v>525</v>
      </c>
      <c r="FZ441">
        <v>4227087</v>
      </c>
      <c r="GA441" t="s">
        <v>346</v>
      </c>
      <c r="GB441">
        <v>0</v>
      </c>
      <c r="GC441" t="s">
        <v>2185</v>
      </c>
      <c r="GH441" t="s">
        <v>306</v>
      </c>
      <c r="GM441" t="s">
        <v>306</v>
      </c>
      <c r="GR441" t="s">
        <v>306</v>
      </c>
      <c r="GW441" t="s">
        <v>306</v>
      </c>
      <c r="GX441" t="s">
        <v>404</v>
      </c>
      <c r="GY441">
        <v>4383779</v>
      </c>
      <c r="GZ441" t="s">
        <v>346</v>
      </c>
      <c r="HA441">
        <v>0</v>
      </c>
      <c r="HB441" t="s">
        <v>53</v>
      </c>
      <c r="HG441" t="s">
        <v>306</v>
      </c>
    </row>
    <row r="442" spans="5:215" x14ac:dyDescent="0.35">
      <c r="E442" t="s">
        <v>306</v>
      </c>
      <c r="J442" t="s">
        <v>306</v>
      </c>
      <c r="O442" t="s">
        <v>306</v>
      </c>
      <c r="T442" t="s">
        <v>306</v>
      </c>
      <c r="Y442" t="s">
        <v>306</v>
      </c>
      <c r="AD442" t="s">
        <v>306</v>
      </c>
      <c r="AI442" t="s">
        <v>306</v>
      </c>
      <c r="AN442" t="s">
        <v>306</v>
      </c>
      <c r="AS442" t="s">
        <v>306</v>
      </c>
      <c r="AX442" t="s">
        <v>306</v>
      </c>
      <c r="BC442" t="s">
        <v>306</v>
      </c>
      <c r="BD442" t="s">
        <v>1142</v>
      </c>
      <c r="BE442">
        <v>4585233</v>
      </c>
      <c r="BF442" t="s">
        <v>346</v>
      </c>
      <c r="BG442">
        <v>0</v>
      </c>
      <c r="BH442" t="s">
        <v>53</v>
      </c>
      <c r="BM442" t="s">
        <v>306</v>
      </c>
      <c r="BR442" t="s">
        <v>306</v>
      </c>
      <c r="BS442" t="s">
        <v>853</v>
      </c>
      <c r="BT442">
        <v>4259935</v>
      </c>
      <c r="BU442" t="s">
        <v>346</v>
      </c>
      <c r="BV442">
        <v>0</v>
      </c>
      <c r="BW442" t="s">
        <v>326</v>
      </c>
      <c r="CB442" t="s">
        <v>306</v>
      </c>
      <c r="CC442" t="s">
        <v>1859</v>
      </c>
      <c r="CD442">
        <v>4255911</v>
      </c>
      <c r="CE442" t="s">
        <v>346</v>
      </c>
      <c r="CF442">
        <v>0</v>
      </c>
      <c r="CG442" t="s">
        <v>53</v>
      </c>
      <c r="CL442" t="s">
        <v>306</v>
      </c>
      <c r="CM442" t="s">
        <v>2084</v>
      </c>
      <c r="CN442">
        <v>4029450</v>
      </c>
      <c r="CO442" t="s">
        <v>346</v>
      </c>
      <c r="CP442">
        <v>0</v>
      </c>
      <c r="CQ442" t="s">
        <v>53</v>
      </c>
      <c r="CV442" t="s">
        <v>306</v>
      </c>
      <c r="DA442" t="s">
        <v>306</v>
      </c>
      <c r="DB442" t="s">
        <v>1142</v>
      </c>
      <c r="DC442">
        <v>4585233</v>
      </c>
      <c r="DD442" t="s">
        <v>346</v>
      </c>
      <c r="DE442">
        <v>0</v>
      </c>
      <c r="DF442" t="s">
        <v>53</v>
      </c>
      <c r="DK442" t="s">
        <v>306</v>
      </c>
      <c r="DL442" t="s">
        <v>1142</v>
      </c>
      <c r="DM442">
        <v>4585233</v>
      </c>
      <c r="DN442" t="s">
        <v>346</v>
      </c>
      <c r="DO442">
        <v>0</v>
      </c>
      <c r="DP442" t="s">
        <v>53</v>
      </c>
      <c r="DU442" t="s">
        <v>306</v>
      </c>
      <c r="DZ442" t="s">
        <v>306</v>
      </c>
      <c r="EA442" t="s">
        <v>1859</v>
      </c>
      <c r="EB442">
        <v>4255911</v>
      </c>
      <c r="EC442" t="s">
        <v>346</v>
      </c>
      <c r="ED442">
        <v>0</v>
      </c>
      <c r="EE442" t="s">
        <v>53</v>
      </c>
      <c r="EF442" t="s">
        <v>1142</v>
      </c>
      <c r="EG442">
        <v>4585233</v>
      </c>
      <c r="EH442" t="s">
        <v>346</v>
      </c>
      <c r="EI442">
        <v>0</v>
      </c>
      <c r="EJ442" t="s">
        <v>53</v>
      </c>
      <c r="EO442" t="s">
        <v>306</v>
      </c>
      <c r="ET442" t="s">
        <v>306</v>
      </c>
      <c r="EY442" t="s">
        <v>306</v>
      </c>
      <c r="FD442" t="s">
        <v>306</v>
      </c>
      <c r="FI442" t="s">
        <v>306</v>
      </c>
      <c r="FN442" t="s">
        <v>306</v>
      </c>
      <c r="FS442" t="s">
        <v>306</v>
      </c>
      <c r="FX442" t="s">
        <v>306</v>
      </c>
      <c r="FY442" t="s">
        <v>1142</v>
      </c>
      <c r="FZ442">
        <v>4585233</v>
      </c>
      <c r="GA442" t="s">
        <v>346</v>
      </c>
      <c r="GB442">
        <v>0</v>
      </c>
      <c r="GC442" t="s">
        <v>53</v>
      </c>
      <c r="GH442" t="s">
        <v>306</v>
      </c>
      <c r="GM442" t="s">
        <v>306</v>
      </c>
      <c r="GR442" t="s">
        <v>306</v>
      </c>
      <c r="GW442" t="s">
        <v>306</v>
      </c>
      <c r="GX442" t="s">
        <v>1859</v>
      </c>
      <c r="GY442">
        <v>4255911</v>
      </c>
      <c r="GZ442" t="s">
        <v>346</v>
      </c>
      <c r="HA442">
        <v>0</v>
      </c>
      <c r="HB442" t="s">
        <v>53</v>
      </c>
      <c r="HG442" t="s">
        <v>306</v>
      </c>
    </row>
    <row r="443" spans="5:215" x14ac:dyDescent="0.35">
      <c r="E443" t="s">
        <v>306</v>
      </c>
      <c r="J443" t="s">
        <v>306</v>
      </c>
      <c r="O443" t="s">
        <v>306</v>
      </c>
      <c r="T443" t="s">
        <v>306</v>
      </c>
      <c r="Y443" t="s">
        <v>306</v>
      </c>
      <c r="AD443" t="s">
        <v>306</v>
      </c>
      <c r="AI443" t="s">
        <v>306</v>
      </c>
      <c r="AN443" t="s">
        <v>306</v>
      </c>
      <c r="AS443" t="s">
        <v>306</v>
      </c>
      <c r="AX443" t="s">
        <v>306</v>
      </c>
      <c r="BC443" t="s">
        <v>306</v>
      </c>
      <c r="BD443" t="s">
        <v>1531</v>
      </c>
      <c r="BE443">
        <v>4308277</v>
      </c>
      <c r="BF443" t="s">
        <v>346</v>
      </c>
      <c r="BG443">
        <v>0</v>
      </c>
      <c r="BH443" t="s">
        <v>53</v>
      </c>
      <c r="BM443" t="s">
        <v>306</v>
      </c>
      <c r="BR443" t="s">
        <v>306</v>
      </c>
      <c r="BS443" t="s">
        <v>1074</v>
      </c>
      <c r="BT443">
        <v>4254092</v>
      </c>
      <c r="BU443" t="s">
        <v>346</v>
      </c>
      <c r="BV443">
        <v>0</v>
      </c>
      <c r="BW443" t="s">
        <v>67</v>
      </c>
      <c r="CB443" t="s">
        <v>306</v>
      </c>
      <c r="CC443" t="s">
        <v>1860</v>
      </c>
      <c r="CD443">
        <v>4118477</v>
      </c>
      <c r="CE443" t="s">
        <v>346</v>
      </c>
      <c r="CF443">
        <v>0</v>
      </c>
      <c r="CG443" t="s">
        <v>53</v>
      </c>
      <c r="CL443" t="s">
        <v>306</v>
      </c>
      <c r="CM443" t="s">
        <v>1539</v>
      </c>
      <c r="CN443">
        <v>117631848</v>
      </c>
      <c r="CO443" t="s">
        <v>346</v>
      </c>
      <c r="CP443">
        <v>0</v>
      </c>
      <c r="CQ443" t="s">
        <v>62</v>
      </c>
      <c r="CV443" t="s">
        <v>306</v>
      </c>
      <c r="DA443" t="s">
        <v>306</v>
      </c>
      <c r="DB443" t="s">
        <v>1531</v>
      </c>
      <c r="DC443">
        <v>4308277</v>
      </c>
      <c r="DD443" t="s">
        <v>346</v>
      </c>
      <c r="DE443">
        <v>0</v>
      </c>
      <c r="DF443" t="s">
        <v>53</v>
      </c>
      <c r="DK443" t="s">
        <v>306</v>
      </c>
      <c r="DL443" t="s">
        <v>1531</v>
      </c>
      <c r="DM443">
        <v>4308277</v>
      </c>
      <c r="DN443" t="s">
        <v>346</v>
      </c>
      <c r="DO443">
        <v>0</v>
      </c>
      <c r="DP443" t="s">
        <v>53</v>
      </c>
      <c r="DU443" t="s">
        <v>306</v>
      </c>
      <c r="DZ443" t="s">
        <v>306</v>
      </c>
      <c r="EA443" t="s">
        <v>1860</v>
      </c>
      <c r="EB443">
        <v>4118477</v>
      </c>
      <c r="EC443" t="s">
        <v>346</v>
      </c>
      <c r="ED443">
        <v>0</v>
      </c>
      <c r="EE443" t="s">
        <v>53</v>
      </c>
      <c r="EF443" t="s">
        <v>1531</v>
      </c>
      <c r="EG443">
        <v>4308277</v>
      </c>
      <c r="EH443" t="s">
        <v>346</v>
      </c>
      <c r="EI443">
        <v>0</v>
      </c>
      <c r="EJ443" t="s">
        <v>53</v>
      </c>
      <c r="EO443" t="s">
        <v>306</v>
      </c>
      <c r="ET443" t="s">
        <v>306</v>
      </c>
      <c r="EY443" t="s">
        <v>306</v>
      </c>
      <c r="FD443" t="s">
        <v>306</v>
      </c>
      <c r="FI443" t="s">
        <v>306</v>
      </c>
      <c r="FN443" t="s">
        <v>306</v>
      </c>
      <c r="FS443" t="s">
        <v>306</v>
      </c>
      <c r="FX443" t="s">
        <v>306</v>
      </c>
      <c r="FY443" t="s">
        <v>1531</v>
      </c>
      <c r="FZ443">
        <v>4308277</v>
      </c>
      <c r="GA443" t="s">
        <v>346</v>
      </c>
      <c r="GB443">
        <v>0</v>
      </c>
      <c r="GC443" t="s">
        <v>53</v>
      </c>
      <c r="GH443" t="s">
        <v>306</v>
      </c>
      <c r="GM443" t="s">
        <v>306</v>
      </c>
      <c r="GR443" t="s">
        <v>306</v>
      </c>
      <c r="GW443" t="s">
        <v>306</v>
      </c>
      <c r="GX443" t="s">
        <v>1860</v>
      </c>
      <c r="GY443">
        <v>4118477</v>
      </c>
      <c r="GZ443" t="s">
        <v>346</v>
      </c>
      <c r="HA443">
        <v>0</v>
      </c>
      <c r="HB443" t="s">
        <v>53</v>
      </c>
      <c r="HG443" t="s">
        <v>306</v>
      </c>
    </row>
    <row r="444" spans="5:215" x14ac:dyDescent="0.35">
      <c r="E444" t="s">
        <v>306</v>
      </c>
      <c r="J444" t="s">
        <v>306</v>
      </c>
      <c r="O444" t="s">
        <v>306</v>
      </c>
      <c r="T444" t="s">
        <v>306</v>
      </c>
      <c r="Y444" t="s">
        <v>306</v>
      </c>
      <c r="AD444" t="s">
        <v>306</v>
      </c>
      <c r="AI444" t="s">
        <v>306</v>
      </c>
      <c r="AN444" t="s">
        <v>306</v>
      </c>
      <c r="AS444" t="s">
        <v>306</v>
      </c>
      <c r="AX444" t="s">
        <v>306</v>
      </c>
      <c r="BC444" t="s">
        <v>306</v>
      </c>
      <c r="BD444" t="s">
        <v>1312</v>
      </c>
      <c r="BE444">
        <v>7944855</v>
      </c>
      <c r="BF444" t="s">
        <v>346</v>
      </c>
      <c r="BG444">
        <v>0</v>
      </c>
      <c r="BH444" t="s">
        <v>62</v>
      </c>
      <c r="BM444" t="s">
        <v>306</v>
      </c>
      <c r="BR444" t="s">
        <v>306</v>
      </c>
      <c r="BS444" t="s">
        <v>1075</v>
      </c>
      <c r="BT444">
        <v>4559077</v>
      </c>
      <c r="BU444" t="s">
        <v>346</v>
      </c>
      <c r="BV444">
        <v>0</v>
      </c>
      <c r="BW444" t="s">
        <v>2188</v>
      </c>
      <c r="CB444" t="s">
        <v>306</v>
      </c>
      <c r="CC444" t="s">
        <v>1861</v>
      </c>
      <c r="CD444">
        <v>4026892</v>
      </c>
      <c r="CE444" t="s">
        <v>346</v>
      </c>
      <c r="CF444">
        <v>0</v>
      </c>
      <c r="CG444" t="s">
        <v>53</v>
      </c>
      <c r="CL444" t="s">
        <v>306</v>
      </c>
      <c r="CM444" t="s">
        <v>1301</v>
      </c>
      <c r="CN444">
        <v>4326066</v>
      </c>
      <c r="CO444" t="s">
        <v>346</v>
      </c>
      <c r="CP444">
        <v>0</v>
      </c>
      <c r="CQ444" t="s">
        <v>62</v>
      </c>
      <c r="CV444" t="s">
        <v>306</v>
      </c>
      <c r="DA444" t="s">
        <v>306</v>
      </c>
      <c r="DB444" t="s">
        <v>1312</v>
      </c>
      <c r="DC444">
        <v>7944855</v>
      </c>
      <c r="DD444" t="s">
        <v>346</v>
      </c>
      <c r="DE444">
        <v>0</v>
      </c>
      <c r="DF444" t="s">
        <v>62</v>
      </c>
      <c r="DK444" t="s">
        <v>306</v>
      </c>
      <c r="DL444" t="s">
        <v>1312</v>
      </c>
      <c r="DM444">
        <v>7944855</v>
      </c>
      <c r="DN444" t="s">
        <v>346</v>
      </c>
      <c r="DO444">
        <v>0</v>
      </c>
      <c r="DP444" t="s">
        <v>62</v>
      </c>
      <c r="DU444" t="s">
        <v>306</v>
      </c>
      <c r="DZ444" t="s">
        <v>306</v>
      </c>
      <c r="EA444" t="s">
        <v>1861</v>
      </c>
      <c r="EB444">
        <v>4026892</v>
      </c>
      <c r="EC444" t="s">
        <v>346</v>
      </c>
      <c r="ED444">
        <v>0</v>
      </c>
      <c r="EE444" t="s">
        <v>53</v>
      </c>
      <c r="EF444" t="s">
        <v>1312</v>
      </c>
      <c r="EG444">
        <v>7944855</v>
      </c>
      <c r="EH444" t="s">
        <v>346</v>
      </c>
      <c r="EI444">
        <v>0</v>
      </c>
      <c r="EJ444" t="s">
        <v>62</v>
      </c>
      <c r="EO444" t="s">
        <v>306</v>
      </c>
      <c r="ET444" t="s">
        <v>306</v>
      </c>
      <c r="EY444" t="s">
        <v>306</v>
      </c>
      <c r="FD444" t="s">
        <v>306</v>
      </c>
      <c r="FI444" t="s">
        <v>306</v>
      </c>
      <c r="FN444" t="s">
        <v>306</v>
      </c>
      <c r="FS444" t="s">
        <v>306</v>
      </c>
      <c r="FX444" t="s">
        <v>306</v>
      </c>
      <c r="FY444" t="s">
        <v>1312</v>
      </c>
      <c r="FZ444">
        <v>7944855</v>
      </c>
      <c r="GA444" t="s">
        <v>346</v>
      </c>
      <c r="GB444">
        <v>0</v>
      </c>
      <c r="GC444" t="s">
        <v>62</v>
      </c>
      <c r="GH444" t="s">
        <v>306</v>
      </c>
      <c r="GM444" t="s">
        <v>306</v>
      </c>
      <c r="GR444" t="s">
        <v>306</v>
      </c>
      <c r="GW444" t="s">
        <v>306</v>
      </c>
      <c r="GX444" t="s">
        <v>1861</v>
      </c>
      <c r="GY444">
        <v>4026892</v>
      </c>
      <c r="GZ444" t="s">
        <v>346</v>
      </c>
      <c r="HA444">
        <v>0</v>
      </c>
      <c r="HB444" t="s">
        <v>53</v>
      </c>
      <c r="HG444" t="s">
        <v>306</v>
      </c>
    </row>
    <row r="445" spans="5:215" x14ac:dyDescent="0.35">
      <c r="E445" t="s">
        <v>306</v>
      </c>
      <c r="J445" t="s">
        <v>306</v>
      </c>
      <c r="O445" t="s">
        <v>306</v>
      </c>
      <c r="T445" t="s">
        <v>306</v>
      </c>
      <c r="Y445" t="s">
        <v>306</v>
      </c>
      <c r="AD445" t="s">
        <v>306</v>
      </c>
      <c r="AI445" t="s">
        <v>306</v>
      </c>
      <c r="AN445" t="s">
        <v>306</v>
      </c>
      <c r="AS445" t="s">
        <v>306</v>
      </c>
      <c r="AX445" t="s">
        <v>306</v>
      </c>
      <c r="BC445" t="s">
        <v>306</v>
      </c>
      <c r="BD445" t="s">
        <v>1326</v>
      </c>
      <c r="BE445">
        <v>4230198</v>
      </c>
      <c r="BF445" t="s">
        <v>346</v>
      </c>
      <c r="BG445">
        <v>0</v>
      </c>
      <c r="BH445" t="s">
        <v>62</v>
      </c>
      <c r="BM445" t="s">
        <v>306</v>
      </c>
      <c r="BR445" t="s">
        <v>306</v>
      </c>
      <c r="BS445" t="s">
        <v>1076</v>
      </c>
      <c r="BT445">
        <v>5877271</v>
      </c>
      <c r="BU445" t="s">
        <v>346</v>
      </c>
      <c r="BV445">
        <v>0</v>
      </c>
      <c r="BW445" t="s">
        <v>62</v>
      </c>
      <c r="CB445" t="s">
        <v>306</v>
      </c>
      <c r="CC445" t="s">
        <v>1862</v>
      </c>
      <c r="CD445">
        <v>4118513</v>
      </c>
      <c r="CE445" t="s">
        <v>346</v>
      </c>
      <c r="CF445">
        <v>0</v>
      </c>
      <c r="CG445" t="s">
        <v>53</v>
      </c>
      <c r="CL445" t="s">
        <v>306</v>
      </c>
      <c r="CM445" t="s">
        <v>2085</v>
      </c>
      <c r="CN445">
        <v>16880954</v>
      </c>
      <c r="CO445" t="s">
        <v>346</v>
      </c>
      <c r="CP445">
        <v>0</v>
      </c>
      <c r="CQ445" t="s">
        <v>53</v>
      </c>
      <c r="CV445" t="s">
        <v>306</v>
      </c>
      <c r="DA445" t="s">
        <v>306</v>
      </c>
      <c r="DB445" t="s">
        <v>1326</v>
      </c>
      <c r="DC445">
        <v>4230198</v>
      </c>
      <c r="DD445" t="s">
        <v>346</v>
      </c>
      <c r="DE445">
        <v>0</v>
      </c>
      <c r="DF445" t="s">
        <v>62</v>
      </c>
      <c r="DK445" t="s">
        <v>306</v>
      </c>
      <c r="DL445" t="s">
        <v>1326</v>
      </c>
      <c r="DM445">
        <v>4230198</v>
      </c>
      <c r="DN445" t="s">
        <v>346</v>
      </c>
      <c r="DO445">
        <v>0</v>
      </c>
      <c r="DP445" t="s">
        <v>62</v>
      </c>
      <c r="DU445" t="s">
        <v>306</v>
      </c>
      <c r="DZ445" t="s">
        <v>306</v>
      </c>
      <c r="EA445" t="s">
        <v>1862</v>
      </c>
      <c r="EB445">
        <v>4118513</v>
      </c>
      <c r="EC445" t="s">
        <v>346</v>
      </c>
      <c r="ED445">
        <v>0</v>
      </c>
      <c r="EE445" t="s">
        <v>53</v>
      </c>
      <c r="EF445" t="s">
        <v>1326</v>
      </c>
      <c r="EG445">
        <v>4230198</v>
      </c>
      <c r="EH445" t="s">
        <v>346</v>
      </c>
      <c r="EI445">
        <v>0</v>
      </c>
      <c r="EJ445" t="s">
        <v>62</v>
      </c>
      <c r="EO445" t="s">
        <v>306</v>
      </c>
      <c r="ET445" t="s">
        <v>306</v>
      </c>
      <c r="EY445" t="s">
        <v>306</v>
      </c>
      <c r="FD445" t="s">
        <v>306</v>
      </c>
      <c r="FI445" t="s">
        <v>306</v>
      </c>
      <c r="FN445" t="s">
        <v>306</v>
      </c>
      <c r="FS445" t="s">
        <v>306</v>
      </c>
      <c r="FX445" t="s">
        <v>306</v>
      </c>
      <c r="FY445" t="s">
        <v>1326</v>
      </c>
      <c r="FZ445">
        <v>4230198</v>
      </c>
      <c r="GA445" t="s">
        <v>346</v>
      </c>
      <c r="GB445">
        <v>0</v>
      </c>
      <c r="GC445" t="s">
        <v>62</v>
      </c>
      <c r="GH445" t="s">
        <v>306</v>
      </c>
      <c r="GM445" t="s">
        <v>306</v>
      </c>
      <c r="GR445" t="s">
        <v>306</v>
      </c>
      <c r="GW445" t="s">
        <v>306</v>
      </c>
      <c r="GX445" t="s">
        <v>1862</v>
      </c>
      <c r="GY445">
        <v>4118513</v>
      </c>
      <c r="GZ445" t="s">
        <v>346</v>
      </c>
      <c r="HA445">
        <v>0</v>
      </c>
      <c r="HB445" t="s">
        <v>53</v>
      </c>
      <c r="HG445" t="s">
        <v>306</v>
      </c>
    </row>
    <row r="446" spans="5:215" x14ac:dyDescent="0.35">
      <c r="E446" t="s">
        <v>306</v>
      </c>
      <c r="J446" t="s">
        <v>306</v>
      </c>
      <c r="O446" t="s">
        <v>306</v>
      </c>
      <c r="T446" t="s">
        <v>306</v>
      </c>
      <c r="Y446" t="s">
        <v>306</v>
      </c>
      <c r="AD446" t="s">
        <v>306</v>
      </c>
      <c r="AI446" t="s">
        <v>306</v>
      </c>
      <c r="AN446" t="s">
        <v>306</v>
      </c>
      <c r="AS446" t="s">
        <v>306</v>
      </c>
      <c r="AX446" t="s">
        <v>306</v>
      </c>
      <c r="BC446" t="s">
        <v>306</v>
      </c>
      <c r="BD446" t="s">
        <v>602</v>
      </c>
      <c r="BE446">
        <v>4378744</v>
      </c>
      <c r="BF446" t="s">
        <v>346</v>
      </c>
      <c r="BG446">
        <v>0</v>
      </c>
      <c r="BH446" t="s">
        <v>2187</v>
      </c>
      <c r="BM446" t="s">
        <v>306</v>
      </c>
      <c r="BR446" t="s">
        <v>306</v>
      </c>
      <c r="BS446" t="s">
        <v>1077</v>
      </c>
      <c r="BT446">
        <v>5804824</v>
      </c>
      <c r="BU446" t="s">
        <v>346</v>
      </c>
      <c r="BV446">
        <v>0</v>
      </c>
      <c r="BW446" t="s">
        <v>323</v>
      </c>
      <c r="CB446" t="s">
        <v>306</v>
      </c>
      <c r="CC446" t="s">
        <v>1863</v>
      </c>
      <c r="CD446">
        <v>6486334</v>
      </c>
      <c r="CE446" t="s">
        <v>346</v>
      </c>
      <c r="CF446">
        <v>0</v>
      </c>
      <c r="CG446" t="s">
        <v>114</v>
      </c>
      <c r="CL446" t="s">
        <v>306</v>
      </c>
      <c r="CM446" t="s">
        <v>2086</v>
      </c>
      <c r="CN446">
        <v>4115708</v>
      </c>
      <c r="CO446" t="s">
        <v>346</v>
      </c>
      <c r="CP446">
        <v>0</v>
      </c>
      <c r="CQ446" t="s">
        <v>80</v>
      </c>
      <c r="CV446" t="s">
        <v>306</v>
      </c>
      <c r="DA446" t="s">
        <v>306</v>
      </c>
      <c r="DB446" t="s">
        <v>602</v>
      </c>
      <c r="DC446">
        <v>4378744</v>
      </c>
      <c r="DD446" t="s">
        <v>346</v>
      </c>
      <c r="DE446">
        <v>0</v>
      </c>
      <c r="DF446" t="s">
        <v>2187</v>
      </c>
      <c r="DK446" t="s">
        <v>306</v>
      </c>
      <c r="DL446" t="s">
        <v>602</v>
      </c>
      <c r="DM446">
        <v>4378744</v>
      </c>
      <c r="DN446" t="s">
        <v>346</v>
      </c>
      <c r="DO446">
        <v>0</v>
      </c>
      <c r="DP446" t="s">
        <v>2187</v>
      </c>
      <c r="DU446" t="s">
        <v>306</v>
      </c>
      <c r="DZ446" t="s">
        <v>306</v>
      </c>
      <c r="EA446" t="s">
        <v>1863</v>
      </c>
      <c r="EB446">
        <v>6486334</v>
      </c>
      <c r="EC446" t="s">
        <v>346</v>
      </c>
      <c r="ED446">
        <v>0</v>
      </c>
      <c r="EE446" t="s">
        <v>114</v>
      </c>
      <c r="EF446" t="s">
        <v>602</v>
      </c>
      <c r="EG446">
        <v>4378744</v>
      </c>
      <c r="EH446" t="s">
        <v>346</v>
      </c>
      <c r="EI446">
        <v>0</v>
      </c>
      <c r="EJ446" t="s">
        <v>2187</v>
      </c>
      <c r="EO446" t="s">
        <v>306</v>
      </c>
      <c r="ET446" t="s">
        <v>306</v>
      </c>
      <c r="EY446" t="s">
        <v>306</v>
      </c>
      <c r="FD446" t="s">
        <v>306</v>
      </c>
      <c r="FI446" t="s">
        <v>306</v>
      </c>
      <c r="FN446" t="s">
        <v>306</v>
      </c>
      <c r="FS446" t="s">
        <v>306</v>
      </c>
      <c r="FX446" t="s">
        <v>306</v>
      </c>
      <c r="FY446" t="s">
        <v>602</v>
      </c>
      <c r="FZ446">
        <v>4378744</v>
      </c>
      <c r="GA446" t="s">
        <v>346</v>
      </c>
      <c r="GB446">
        <v>0</v>
      </c>
      <c r="GC446" t="s">
        <v>2187</v>
      </c>
      <c r="GH446" t="s">
        <v>306</v>
      </c>
      <c r="GM446" t="s">
        <v>306</v>
      </c>
      <c r="GR446" t="s">
        <v>306</v>
      </c>
      <c r="GW446" t="s">
        <v>306</v>
      </c>
      <c r="GX446" t="s">
        <v>1863</v>
      </c>
      <c r="GY446">
        <v>6486334</v>
      </c>
      <c r="GZ446" t="s">
        <v>346</v>
      </c>
      <c r="HA446">
        <v>0</v>
      </c>
      <c r="HB446" t="s">
        <v>114</v>
      </c>
      <c r="HG446" t="s">
        <v>306</v>
      </c>
    </row>
    <row r="447" spans="5:215" x14ac:dyDescent="0.35">
      <c r="E447" t="s">
        <v>306</v>
      </c>
      <c r="J447" t="s">
        <v>306</v>
      </c>
      <c r="O447" t="s">
        <v>306</v>
      </c>
      <c r="T447" t="s">
        <v>306</v>
      </c>
      <c r="Y447" t="s">
        <v>306</v>
      </c>
      <c r="AD447" t="s">
        <v>306</v>
      </c>
      <c r="AI447" t="s">
        <v>306</v>
      </c>
      <c r="AN447" t="s">
        <v>306</v>
      </c>
      <c r="AS447" t="s">
        <v>306</v>
      </c>
      <c r="AX447" t="s">
        <v>306</v>
      </c>
      <c r="BC447" t="s">
        <v>306</v>
      </c>
      <c r="BD447" t="s">
        <v>1202</v>
      </c>
      <c r="BE447">
        <v>5850609</v>
      </c>
      <c r="BF447" t="s">
        <v>346</v>
      </c>
      <c r="BG447">
        <v>0</v>
      </c>
      <c r="BH447" t="s">
        <v>2185</v>
      </c>
      <c r="BM447" t="s">
        <v>306</v>
      </c>
      <c r="BR447" t="s">
        <v>306</v>
      </c>
      <c r="BS447" t="s">
        <v>1078</v>
      </c>
      <c r="BT447">
        <v>9868264</v>
      </c>
      <c r="BU447" t="s">
        <v>346</v>
      </c>
      <c r="BV447">
        <v>0</v>
      </c>
      <c r="BW447" t="s">
        <v>2185</v>
      </c>
      <c r="CB447" t="s">
        <v>306</v>
      </c>
      <c r="CC447" t="s">
        <v>1864</v>
      </c>
      <c r="CD447">
        <v>15092837</v>
      </c>
      <c r="CE447" t="s">
        <v>346</v>
      </c>
      <c r="CF447">
        <v>0</v>
      </c>
      <c r="CG447" t="s">
        <v>53</v>
      </c>
      <c r="CL447" t="s">
        <v>306</v>
      </c>
      <c r="CM447" t="s">
        <v>2087</v>
      </c>
      <c r="CN447">
        <v>4028556</v>
      </c>
      <c r="CO447" t="s">
        <v>346</v>
      </c>
      <c r="CP447">
        <v>0</v>
      </c>
      <c r="CQ447" t="s">
        <v>53</v>
      </c>
      <c r="CV447" t="s">
        <v>306</v>
      </c>
      <c r="DA447" t="s">
        <v>306</v>
      </c>
      <c r="DB447" t="s">
        <v>1202</v>
      </c>
      <c r="DC447">
        <v>5850609</v>
      </c>
      <c r="DD447" t="s">
        <v>346</v>
      </c>
      <c r="DE447">
        <v>0</v>
      </c>
      <c r="DF447" t="s">
        <v>2185</v>
      </c>
      <c r="DK447" t="s">
        <v>306</v>
      </c>
      <c r="DL447" t="s">
        <v>1202</v>
      </c>
      <c r="DM447">
        <v>5850609</v>
      </c>
      <c r="DN447" t="s">
        <v>346</v>
      </c>
      <c r="DO447">
        <v>0</v>
      </c>
      <c r="DP447" t="s">
        <v>2185</v>
      </c>
      <c r="DU447" t="s">
        <v>306</v>
      </c>
      <c r="DZ447" t="s">
        <v>306</v>
      </c>
      <c r="EA447" t="s">
        <v>1864</v>
      </c>
      <c r="EB447">
        <v>15092837</v>
      </c>
      <c r="EC447" t="s">
        <v>346</v>
      </c>
      <c r="ED447">
        <v>0</v>
      </c>
      <c r="EE447" t="s">
        <v>53</v>
      </c>
      <c r="EF447" t="s">
        <v>1202</v>
      </c>
      <c r="EG447">
        <v>5850609</v>
      </c>
      <c r="EH447" t="s">
        <v>346</v>
      </c>
      <c r="EI447">
        <v>0</v>
      </c>
      <c r="EJ447" t="s">
        <v>2185</v>
      </c>
      <c r="EO447" t="s">
        <v>306</v>
      </c>
      <c r="ET447" t="s">
        <v>306</v>
      </c>
      <c r="EY447" t="s">
        <v>306</v>
      </c>
      <c r="FD447" t="s">
        <v>306</v>
      </c>
      <c r="FI447" t="s">
        <v>306</v>
      </c>
      <c r="FN447" t="s">
        <v>306</v>
      </c>
      <c r="FS447" t="s">
        <v>306</v>
      </c>
      <c r="FX447" t="s">
        <v>306</v>
      </c>
      <c r="FY447" t="s">
        <v>1202</v>
      </c>
      <c r="FZ447">
        <v>5850609</v>
      </c>
      <c r="GA447" t="s">
        <v>346</v>
      </c>
      <c r="GB447">
        <v>0</v>
      </c>
      <c r="GC447" t="s">
        <v>2185</v>
      </c>
      <c r="GH447" t="s">
        <v>306</v>
      </c>
      <c r="GM447" t="s">
        <v>306</v>
      </c>
      <c r="GR447" t="s">
        <v>306</v>
      </c>
      <c r="GW447" t="s">
        <v>306</v>
      </c>
      <c r="GX447" t="s">
        <v>1864</v>
      </c>
      <c r="GY447">
        <v>15092837</v>
      </c>
      <c r="GZ447" t="s">
        <v>346</v>
      </c>
      <c r="HA447">
        <v>0</v>
      </c>
      <c r="HB447" t="s">
        <v>53</v>
      </c>
      <c r="HG447" t="s">
        <v>306</v>
      </c>
    </row>
    <row r="448" spans="5:215" x14ac:dyDescent="0.35">
      <c r="E448" t="s">
        <v>306</v>
      </c>
      <c r="J448" t="s">
        <v>306</v>
      </c>
      <c r="O448" t="s">
        <v>306</v>
      </c>
      <c r="T448" t="s">
        <v>306</v>
      </c>
      <c r="Y448" t="s">
        <v>306</v>
      </c>
      <c r="AD448" t="s">
        <v>306</v>
      </c>
      <c r="AI448" t="s">
        <v>306</v>
      </c>
      <c r="AN448" t="s">
        <v>306</v>
      </c>
      <c r="AS448" t="s">
        <v>306</v>
      </c>
      <c r="AX448" t="s">
        <v>306</v>
      </c>
      <c r="BC448" t="s">
        <v>306</v>
      </c>
      <c r="BD448" t="s">
        <v>1532</v>
      </c>
      <c r="BE448">
        <v>4145301</v>
      </c>
      <c r="BF448" t="s">
        <v>346</v>
      </c>
      <c r="BG448">
        <v>0</v>
      </c>
      <c r="BH448" t="s">
        <v>2194</v>
      </c>
      <c r="BM448" t="s">
        <v>306</v>
      </c>
      <c r="BR448" t="s">
        <v>306</v>
      </c>
      <c r="BS448" t="s">
        <v>542</v>
      </c>
      <c r="BT448">
        <v>4001519</v>
      </c>
      <c r="BU448" t="s">
        <v>346</v>
      </c>
      <c r="BV448">
        <v>0</v>
      </c>
      <c r="BW448" t="s">
        <v>53</v>
      </c>
      <c r="CB448" t="s">
        <v>306</v>
      </c>
      <c r="CC448" t="s">
        <v>1865</v>
      </c>
      <c r="CD448">
        <v>4291343</v>
      </c>
      <c r="CE448" t="s">
        <v>346</v>
      </c>
      <c r="CF448">
        <v>0</v>
      </c>
      <c r="CG448" t="s">
        <v>114</v>
      </c>
      <c r="CL448" t="s">
        <v>306</v>
      </c>
      <c r="CM448" t="s">
        <v>1379</v>
      </c>
      <c r="CN448">
        <v>20326977</v>
      </c>
      <c r="CO448" t="s">
        <v>346</v>
      </c>
      <c r="CP448">
        <v>0</v>
      </c>
      <c r="CQ448" t="s">
        <v>62</v>
      </c>
      <c r="CV448" t="s">
        <v>306</v>
      </c>
      <c r="DA448" t="s">
        <v>306</v>
      </c>
      <c r="DB448" t="s">
        <v>1532</v>
      </c>
      <c r="DC448">
        <v>4145301</v>
      </c>
      <c r="DD448" t="s">
        <v>346</v>
      </c>
      <c r="DE448">
        <v>0</v>
      </c>
      <c r="DF448" t="s">
        <v>2194</v>
      </c>
      <c r="DK448" t="s">
        <v>306</v>
      </c>
      <c r="DL448" t="s">
        <v>1532</v>
      </c>
      <c r="DM448">
        <v>4145301</v>
      </c>
      <c r="DN448" t="s">
        <v>346</v>
      </c>
      <c r="DO448">
        <v>0</v>
      </c>
      <c r="DP448" t="s">
        <v>2194</v>
      </c>
      <c r="DU448" t="s">
        <v>306</v>
      </c>
      <c r="DZ448" t="s">
        <v>306</v>
      </c>
      <c r="EA448" t="s">
        <v>1865</v>
      </c>
      <c r="EB448">
        <v>4291343</v>
      </c>
      <c r="EC448" t="s">
        <v>346</v>
      </c>
      <c r="ED448">
        <v>0</v>
      </c>
      <c r="EE448" t="s">
        <v>114</v>
      </c>
      <c r="EF448" t="s">
        <v>1532</v>
      </c>
      <c r="EG448">
        <v>4145301</v>
      </c>
      <c r="EH448" t="s">
        <v>346</v>
      </c>
      <c r="EI448">
        <v>0</v>
      </c>
      <c r="EJ448" t="s">
        <v>2194</v>
      </c>
      <c r="EO448" t="s">
        <v>306</v>
      </c>
      <c r="ET448" t="s">
        <v>306</v>
      </c>
      <c r="EY448" t="s">
        <v>306</v>
      </c>
      <c r="FD448" t="s">
        <v>306</v>
      </c>
      <c r="FI448" t="s">
        <v>306</v>
      </c>
      <c r="FN448" t="s">
        <v>306</v>
      </c>
      <c r="FS448" t="s">
        <v>306</v>
      </c>
      <c r="FX448" t="s">
        <v>306</v>
      </c>
      <c r="FY448" t="s">
        <v>1532</v>
      </c>
      <c r="FZ448">
        <v>4145301</v>
      </c>
      <c r="GA448" t="s">
        <v>346</v>
      </c>
      <c r="GB448">
        <v>0</v>
      </c>
      <c r="GC448" t="s">
        <v>2194</v>
      </c>
      <c r="GH448" t="s">
        <v>306</v>
      </c>
      <c r="GM448" t="s">
        <v>306</v>
      </c>
      <c r="GR448" t="s">
        <v>306</v>
      </c>
      <c r="GW448" t="s">
        <v>306</v>
      </c>
      <c r="GX448" t="s">
        <v>1865</v>
      </c>
      <c r="GY448">
        <v>4291343</v>
      </c>
      <c r="GZ448" t="s">
        <v>346</v>
      </c>
      <c r="HA448">
        <v>0</v>
      </c>
      <c r="HB448" t="s">
        <v>114</v>
      </c>
      <c r="HG448" t="s">
        <v>306</v>
      </c>
    </row>
    <row r="449" spans="5:215" x14ac:dyDescent="0.35">
      <c r="E449" t="s">
        <v>306</v>
      </c>
      <c r="J449" t="s">
        <v>306</v>
      </c>
      <c r="O449" t="s">
        <v>306</v>
      </c>
      <c r="T449" t="s">
        <v>306</v>
      </c>
      <c r="Y449" t="s">
        <v>306</v>
      </c>
      <c r="AD449" t="s">
        <v>306</v>
      </c>
      <c r="AI449" t="s">
        <v>306</v>
      </c>
      <c r="AN449" t="s">
        <v>306</v>
      </c>
      <c r="AS449" t="s">
        <v>306</v>
      </c>
      <c r="AX449" t="s">
        <v>306</v>
      </c>
      <c r="BC449" t="s">
        <v>306</v>
      </c>
      <c r="BD449" t="s">
        <v>862</v>
      </c>
      <c r="BE449">
        <v>4278931</v>
      </c>
      <c r="BF449" t="s">
        <v>346</v>
      </c>
      <c r="BG449">
        <v>0</v>
      </c>
      <c r="BH449" t="s">
        <v>2191</v>
      </c>
      <c r="BM449" t="s">
        <v>306</v>
      </c>
      <c r="BR449" t="s">
        <v>306</v>
      </c>
      <c r="BS449" t="s">
        <v>1079</v>
      </c>
      <c r="BT449">
        <v>100435035</v>
      </c>
      <c r="BU449" t="s">
        <v>346</v>
      </c>
      <c r="BV449">
        <v>0</v>
      </c>
      <c r="BW449" t="s">
        <v>320</v>
      </c>
      <c r="CB449" t="s">
        <v>306</v>
      </c>
      <c r="CC449" t="s">
        <v>1866</v>
      </c>
      <c r="CD449">
        <v>29317231</v>
      </c>
      <c r="CE449" t="s">
        <v>346</v>
      </c>
      <c r="CF449">
        <v>0</v>
      </c>
      <c r="CG449" t="s">
        <v>114</v>
      </c>
      <c r="CL449" t="s">
        <v>306</v>
      </c>
      <c r="CM449" t="s">
        <v>1380</v>
      </c>
      <c r="CN449">
        <v>20326927</v>
      </c>
      <c r="CO449" t="s">
        <v>346</v>
      </c>
      <c r="CP449">
        <v>0</v>
      </c>
      <c r="CQ449" t="s">
        <v>62</v>
      </c>
      <c r="CV449" t="s">
        <v>306</v>
      </c>
      <c r="DA449" t="s">
        <v>306</v>
      </c>
      <c r="DB449" t="s">
        <v>862</v>
      </c>
      <c r="DC449">
        <v>4278931</v>
      </c>
      <c r="DD449" t="s">
        <v>346</v>
      </c>
      <c r="DE449">
        <v>0</v>
      </c>
      <c r="DF449" t="s">
        <v>2191</v>
      </c>
      <c r="DK449" t="s">
        <v>306</v>
      </c>
      <c r="DL449" t="s">
        <v>862</v>
      </c>
      <c r="DM449">
        <v>4278931</v>
      </c>
      <c r="DN449" t="s">
        <v>346</v>
      </c>
      <c r="DO449">
        <v>0</v>
      </c>
      <c r="DP449" t="s">
        <v>2191</v>
      </c>
      <c r="DU449" t="s">
        <v>306</v>
      </c>
      <c r="DZ449" t="s">
        <v>306</v>
      </c>
      <c r="EA449" t="s">
        <v>1866</v>
      </c>
      <c r="EB449">
        <v>29317231</v>
      </c>
      <c r="EC449" t="s">
        <v>346</v>
      </c>
      <c r="ED449">
        <v>0</v>
      </c>
      <c r="EE449" t="s">
        <v>114</v>
      </c>
      <c r="EF449" t="s">
        <v>862</v>
      </c>
      <c r="EG449">
        <v>4278931</v>
      </c>
      <c r="EH449" t="s">
        <v>346</v>
      </c>
      <c r="EI449">
        <v>0</v>
      </c>
      <c r="EJ449" t="s">
        <v>2191</v>
      </c>
      <c r="EO449" t="s">
        <v>306</v>
      </c>
      <c r="ET449" t="s">
        <v>306</v>
      </c>
      <c r="EY449" t="s">
        <v>306</v>
      </c>
      <c r="FD449" t="s">
        <v>306</v>
      </c>
      <c r="FI449" t="s">
        <v>306</v>
      </c>
      <c r="FN449" t="s">
        <v>306</v>
      </c>
      <c r="FS449" t="s">
        <v>306</v>
      </c>
      <c r="FX449" t="s">
        <v>306</v>
      </c>
      <c r="FY449" t="s">
        <v>862</v>
      </c>
      <c r="FZ449">
        <v>4278931</v>
      </c>
      <c r="GA449" t="s">
        <v>346</v>
      </c>
      <c r="GB449">
        <v>0</v>
      </c>
      <c r="GC449" t="s">
        <v>2191</v>
      </c>
      <c r="GH449" t="s">
        <v>306</v>
      </c>
      <c r="GM449" t="s">
        <v>306</v>
      </c>
      <c r="GR449" t="s">
        <v>306</v>
      </c>
      <c r="GW449" t="s">
        <v>306</v>
      </c>
      <c r="GX449" t="s">
        <v>1866</v>
      </c>
      <c r="GY449">
        <v>29317231</v>
      </c>
      <c r="GZ449" t="s">
        <v>346</v>
      </c>
      <c r="HA449">
        <v>0</v>
      </c>
      <c r="HB449" t="s">
        <v>114</v>
      </c>
      <c r="HG449" t="s">
        <v>306</v>
      </c>
    </row>
    <row r="450" spans="5:215" x14ac:dyDescent="0.35">
      <c r="E450" t="s">
        <v>306</v>
      </c>
      <c r="J450" t="s">
        <v>306</v>
      </c>
      <c r="O450" t="s">
        <v>306</v>
      </c>
      <c r="T450" t="s">
        <v>306</v>
      </c>
      <c r="Y450" t="s">
        <v>306</v>
      </c>
      <c r="AD450" t="s">
        <v>306</v>
      </c>
      <c r="AI450" t="s">
        <v>306</v>
      </c>
      <c r="AN450" t="s">
        <v>306</v>
      </c>
      <c r="AS450" t="s">
        <v>306</v>
      </c>
      <c r="AX450" t="s">
        <v>306</v>
      </c>
      <c r="BC450" t="s">
        <v>306</v>
      </c>
      <c r="BD450" t="s">
        <v>548</v>
      </c>
      <c r="BE450">
        <v>26480935</v>
      </c>
      <c r="BF450" t="s">
        <v>346</v>
      </c>
      <c r="BG450">
        <v>0</v>
      </c>
      <c r="BH450" t="s">
        <v>53</v>
      </c>
      <c r="BM450" t="s">
        <v>306</v>
      </c>
      <c r="BR450" t="s">
        <v>306</v>
      </c>
      <c r="BS450" t="s">
        <v>1080</v>
      </c>
      <c r="BT450">
        <v>4644090</v>
      </c>
      <c r="BU450" t="s">
        <v>346</v>
      </c>
      <c r="BV450">
        <v>0</v>
      </c>
      <c r="BW450" t="s">
        <v>326</v>
      </c>
      <c r="CB450" t="s">
        <v>306</v>
      </c>
      <c r="CC450" t="s">
        <v>1867</v>
      </c>
      <c r="CD450">
        <v>4419274</v>
      </c>
      <c r="CE450" t="s">
        <v>346</v>
      </c>
      <c r="CF450">
        <v>0</v>
      </c>
      <c r="CG450" t="s">
        <v>313</v>
      </c>
      <c r="CL450" t="s">
        <v>306</v>
      </c>
      <c r="CM450" t="s">
        <v>2088</v>
      </c>
      <c r="CN450">
        <v>4585350</v>
      </c>
      <c r="CO450" t="s">
        <v>346</v>
      </c>
      <c r="CP450">
        <v>0</v>
      </c>
      <c r="CQ450" t="s">
        <v>53</v>
      </c>
      <c r="CV450" t="s">
        <v>306</v>
      </c>
      <c r="DA450" t="s">
        <v>306</v>
      </c>
      <c r="DB450" t="s">
        <v>548</v>
      </c>
      <c r="DC450">
        <v>26480935</v>
      </c>
      <c r="DD450" t="s">
        <v>346</v>
      </c>
      <c r="DE450">
        <v>0</v>
      </c>
      <c r="DF450" t="s">
        <v>53</v>
      </c>
      <c r="DK450" t="s">
        <v>306</v>
      </c>
      <c r="DL450" t="s">
        <v>548</v>
      </c>
      <c r="DM450">
        <v>26480935</v>
      </c>
      <c r="DN450" t="s">
        <v>346</v>
      </c>
      <c r="DO450">
        <v>0</v>
      </c>
      <c r="DP450" t="s">
        <v>53</v>
      </c>
      <c r="DU450" t="s">
        <v>306</v>
      </c>
      <c r="DZ450" t="s">
        <v>306</v>
      </c>
      <c r="EA450" t="s">
        <v>1867</v>
      </c>
      <c r="EB450">
        <v>4419274</v>
      </c>
      <c r="EC450" t="s">
        <v>346</v>
      </c>
      <c r="ED450">
        <v>0</v>
      </c>
      <c r="EE450" t="s">
        <v>313</v>
      </c>
      <c r="EF450" t="s">
        <v>548</v>
      </c>
      <c r="EG450">
        <v>26480935</v>
      </c>
      <c r="EH450" t="s">
        <v>346</v>
      </c>
      <c r="EI450">
        <v>0</v>
      </c>
      <c r="EJ450" t="s">
        <v>53</v>
      </c>
      <c r="EO450" t="s">
        <v>306</v>
      </c>
      <c r="ET450" t="s">
        <v>306</v>
      </c>
      <c r="EY450" t="s">
        <v>306</v>
      </c>
      <c r="FD450" t="s">
        <v>306</v>
      </c>
      <c r="FI450" t="s">
        <v>306</v>
      </c>
      <c r="FN450" t="s">
        <v>306</v>
      </c>
      <c r="FS450" t="s">
        <v>306</v>
      </c>
      <c r="FX450" t="s">
        <v>306</v>
      </c>
      <c r="FY450" t="s">
        <v>548</v>
      </c>
      <c r="FZ450">
        <v>26480935</v>
      </c>
      <c r="GA450" t="s">
        <v>346</v>
      </c>
      <c r="GB450">
        <v>0</v>
      </c>
      <c r="GC450" t="s">
        <v>53</v>
      </c>
      <c r="GH450" t="s">
        <v>306</v>
      </c>
      <c r="GM450" t="s">
        <v>306</v>
      </c>
      <c r="GR450" t="s">
        <v>306</v>
      </c>
      <c r="GW450" t="s">
        <v>306</v>
      </c>
      <c r="GX450" t="s">
        <v>1867</v>
      </c>
      <c r="GY450">
        <v>4419274</v>
      </c>
      <c r="GZ450" t="s">
        <v>346</v>
      </c>
      <c r="HA450">
        <v>0</v>
      </c>
      <c r="HB450" t="s">
        <v>313</v>
      </c>
      <c r="HG450" t="s">
        <v>306</v>
      </c>
    </row>
    <row r="451" spans="5:215" x14ac:dyDescent="0.35">
      <c r="E451" t="s">
        <v>306</v>
      </c>
      <c r="J451" t="s">
        <v>306</v>
      </c>
      <c r="O451" t="s">
        <v>306</v>
      </c>
      <c r="T451" t="s">
        <v>306</v>
      </c>
      <c r="Y451" t="s">
        <v>306</v>
      </c>
      <c r="AD451" t="s">
        <v>306</v>
      </c>
      <c r="AI451" t="s">
        <v>306</v>
      </c>
      <c r="AN451" t="s">
        <v>306</v>
      </c>
      <c r="AS451" t="s">
        <v>306</v>
      </c>
      <c r="AX451" t="s">
        <v>306</v>
      </c>
      <c r="BC451" t="s">
        <v>306</v>
      </c>
      <c r="BD451" t="s">
        <v>1533</v>
      </c>
      <c r="BE451">
        <v>7944341</v>
      </c>
      <c r="BF451" t="s">
        <v>346</v>
      </c>
      <c r="BG451">
        <v>0</v>
      </c>
      <c r="BH451" t="s">
        <v>62</v>
      </c>
      <c r="BM451" t="s">
        <v>306</v>
      </c>
      <c r="BR451" t="s">
        <v>306</v>
      </c>
      <c r="BS451" t="s">
        <v>883</v>
      </c>
      <c r="BT451">
        <v>4288829</v>
      </c>
      <c r="BU451" t="s">
        <v>364</v>
      </c>
      <c r="BV451">
        <v>0</v>
      </c>
      <c r="BW451" t="s">
        <v>326</v>
      </c>
      <c r="CB451" t="s">
        <v>306</v>
      </c>
      <c r="CC451" t="s">
        <v>1868</v>
      </c>
      <c r="CD451">
        <v>26550182</v>
      </c>
      <c r="CE451" t="s">
        <v>346</v>
      </c>
      <c r="CF451">
        <v>0</v>
      </c>
      <c r="CG451" t="s">
        <v>114</v>
      </c>
      <c r="CL451" t="s">
        <v>306</v>
      </c>
      <c r="CM451" t="s">
        <v>2089</v>
      </c>
      <c r="CN451">
        <v>117627498</v>
      </c>
      <c r="CO451" t="s">
        <v>276</v>
      </c>
      <c r="CP451">
        <v>0</v>
      </c>
      <c r="CQ451" t="s">
        <v>53</v>
      </c>
      <c r="CV451" t="s">
        <v>306</v>
      </c>
      <c r="DA451" t="s">
        <v>306</v>
      </c>
      <c r="DB451" t="s">
        <v>1533</v>
      </c>
      <c r="DC451">
        <v>7944341</v>
      </c>
      <c r="DD451" t="s">
        <v>346</v>
      </c>
      <c r="DE451">
        <v>0</v>
      </c>
      <c r="DF451" t="s">
        <v>62</v>
      </c>
      <c r="DK451" t="s">
        <v>306</v>
      </c>
      <c r="DL451" t="s">
        <v>1533</v>
      </c>
      <c r="DM451">
        <v>7944341</v>
      </c>
      <c r="DN451" t="s">
        <v>346</v>
      </c>
      <c r="DO451">
        <v>0</v>
      </c>
      <c r="DP451" t="s">
        <v>62</v>
      </c>
      <c r="DU451" t="s">
        <v>306</v>
      </c>
      <c r="DZ451" t="s">
        <v>306</v>
      </c>
      <c r="EA451" t="s">
        <v>1868</v>
      </c>
      <c r="EB451">
        <v>26550182</v>
      </c>
      <c r="EC451" t="s">
        <v>346</v>
      </c>
      <c r="ED451">
        <v>0</v>
      </c>
      <c r="EE451" t="s">
        <v>114</v>
      </c>
      <c r="EF451" t="s">
        <v>1533</v>
      </c>
      <c r="EG451">
        <v>7944341</v>
      </c>
      <c r="EH451" t="s">
        <v>346</v>
      </c>
      <c r="EI451">
        <v>0</v>
      </c>
      <c r="EJ451" t="s">
        <v>62</v>
      </c>
      <c r="EO451" t="s">
        <v>306</v>
      </c>
      <c r="ET451" t="s">
        <v>306</v>
      </c>
      <c r="EY451" t="s">
        <v>306</v>
      </c>
      <c r="FD451" t="s">
        <v>306</v>
      </c>
      <c r="FI451" t="s">
        <v>306</v>
      </c>
      <c r="FN451" t="s">
        <v>306</v>
      </c>
      <c r="FS451" t="s">
        <v>306</v>
      </c>
      <c r="FX451" t="s">
        <v>306</v>
      </c>
      <c r="FY451" t="s">
        <v>1533</v>
      </c>
      <c r="FZ451">
        <v>7944341</v>
      </c>
      <c r="GA451" t="s">
        <v>346</v>
      </c>
      <c r="GB451">
        <v>0</v>
      </c>
      <c r="GC451" t="s">
        <v>62</v>
      </c>
      <c r="GH451" t="s">
        <v>306</v>
      </c>
      <c r="GM451" t="s">
        <v>306</v>
      </c>
      <c r="GR451" t="s">
        <v>306</v>
      </c>
      <c r="GW451" t="s">
        <v>306</v>
      </c>
      <c r="GX451" t="s">
        <v>1868</v>
      </c>
      <c r="GY451">
        <v>26550182</v>
      </c>
      <c r="GZ451" t="s">
        <v>346</v>
      </c>
      <c r="HA451">
        <v>0</v>
      </c>
      <c r="HB451" t="s">
        <v>114</v>
      </c>
      <c r="HG451" t="s">
        <v>306</v>
      </c>
    </row>
    <row r="452" spans="5:215" x14ac:dyDescent="0.35">
      <c r="E452" t="s">
        <v>306</v>
      </c>
      <c r="J452" t="s">
        <v>306</v>
      </c>
      <c r="O452" t="s">
        <v>306</v>
      </c>
      <c r="T452" t="s">
        <v>306</v>
      </c>
      <c r="Y452" t="s">
        <v>306</v>
      </c>
      <c r="AD452" t="s">
        <v>306</v>
      </c>
      <c r="AI452" t="s">
        <v>306</v>
      </c>
      <c r="AN452" t="s">
        <v>306</v>
      </c>
      <c r="AS452" t="s">
        <v>306</v>
      </c>
      <c r="AX452" t="s">
        <v>306</v>
      </c>
      <c r="BC452" t="s">
        <v>306</v>
      </c>
      <c r="BD452" t="s">
        <v>1342</v>
      </c>
      <c r="BE452">
        <v>4277356</v>
      </c>
      <c r="BF452" t="s">
        <v>346</v>
      </c>
      <c r="BG452">
        <v>0</v>
      </c>
      <c r="BH452" t="s">
        <v>62</v>
      </c>
      <c r="BM452" t="s">
        <v>306</v>
      </c>
      <c r="BR452" t="s">
        <v>306</v>
      </c>
      <c r="BS452" t="s">
        <v>1081</v>
      </c>
      <c r="BT452">
        <v>13728752</v>
      </c>
      <c r="BU452" t="s">
        <v>346</v>
      </c>
      <c r="BV452">
        <v>0</v>
      </c>
      <c r="BW452" t="s">
        <v>313</v>
      </c>
      <c r="CB452" t="s">
        <v>306</v>
      </c>
      <c r="CC452" t="s">
        <v>1869</v>
      </c>
      <c r="CD452">
        <v>4286138</v>
      </c>
      <c r="CE452" t="s">
        <v>346</v>
      </c>
      <c r="CF452">
        <v>0</v>
      </c>
      <c r="CG452" t="s">
        <v>2195</v>
      </c>
      <c r="CL452" t="s">
        <v>306</v>
      </c>
      <c r="CM452" t="s">
        <v>2090</v>
      </c>
      <c r="CN452">
        <v>4556217</v>
      </c>
      <c r="CO452" t="s">
        <v>346</v>
      </c>
      <c r="CP452">
        <v>0</v>
      </c>
      <c r="CQ452" t="s">
        <v>53</v>
      </c>
      <c r="CV452" t="s">
        <v>306</v>
      </c>
      <c r="DA452" t="s">
        <v>306</v>
      </c>
      <c r="DB452" t="s">
        <v>1342</v>
      </c>
      <c r="DC452">
        <v>4277356</v>
      </c>
      <c r="DD452" t="s">
        <v>346</v>
      </c>
      <c r="DE452">
        <v>0</v>
      </c>
      <c r="DF452" t="s">
        <v>62</v>
      </c>
      <c r="DK452" t="s">
        <v>306</v>
      </c>
      <c r="DL452" t="s">
        <v>1342</v>
      </c>
      <c r="DM452">
        <v>4277356</v>
      </c>
      <c r="DN452" t="s">
        <v>346</v>
      </c>
      <c r="DO452">
        <v>0</v>
      </c>
      <c r="DP452" t="s">
        <v>62</v>
      </c>
      <c r="DU452" t="s">
        <v>306</v>
      </c>
      <c r="DZ452" t="s">
        <v>306</v>
      </c>
      <c r="EA452" t="s">
        <v>1869</v>
      </c>
      <c r="EB452">
        <v>4286138</v>
      </c>
      <c r="EC452" t="s">
        <v>346</v>
      </c>
      <c r="ED452">
        <v>0</v>
      </c>
      <c r="EE452" t="s">
        <v>2195</v>
      </c>
      <c r="EF452" t="s">
        <v>1342</v>
      </c>
      <c r="EG452">
        <v>4277356</v>
      </c>
      <c r="EH452" t="s">
        <v>346</v>
      </c>
      <c r="EI452">
        <v>0</v>
      </c>
      <c r="EJ452" t="s">
        <v>62</v>
      </c>
      <c r="EO452" t="s">
        <v>306</v>
      </c>
      <c r="ET452" t="s">
        <v>306</v>
      </c>
      <c r="EY452" t="s">
        <v>306</v>
      </c>
      <c r="FD452" t="s">
        <v>306</v>
      </c>
      <c r="FI452" t="s">
        <v>306</v>
      </c>
      <c r="FN452" t="s">
        <v>306</v>
      </c>
      <c r="FS452" t="s">
        <v>306</v>
      </c>
      <c r="FX452" t="s">
        <v>306</v>
      </c>
      <c r="FY452" t="s">
        <v>1342</v>
      </c>
      <c r="FZ452">
        <v>4277356</v>
      </c>
      <c r="GA452" t="s">
        <v>346</v>
      </c>
      <c r="GB452">
        <v>0</v>
      </c>
      <c r="GC452" t="s">
        <v>62</v>
      </c>
      <c r="GH452" t="s">
        <v>306</v>
      </c>
      <c r="GM452" t="s">
        <v>306</v>
      </c>
      <c r="GR452" t="s">
        <v>306</v>
      </c>
      <c r="GW452" t="s">
        <v>306</v>
      </c>
      <c r="GX452" t="s">
        <v>1869</v>
      </c>
      <c r="GY452">
        <v>4286138</v>
      </c>
      <c r="GZ452" t="s">
        <v>346</v>
      </c>
      <c r="HA452">
        <v>0</v>
      </c>
      <c r="HB452" t="s">
        <v>2195</v>
      </c>
      <c r="HG452" t="s">
        <v>306</v>
      </c>
    </row>
    <row r="453" spans="5:215" x14ac:dyDescent="0.35">
      <c r="E453" t="s">
        <v>306</v>
      </c>
      <c r="J453" t="s">
        <v>306</v>
      </c>
      <c r="O453" t="s">
        <v>306</v>
      </c>
      <c r="T453" t="s">
        <v>306</v>
      </c>
      <c r="Y453" t="s">
        <v>306</v>
      </c>
      <c r="AD453" t="s">
        <v>306</v>
      </c>
      <c r="AI453" t="s">
        <v>306</v>
      </c>
      <c r="AN453" t="s">
        <v>306</v>
      </c>
      <c r="AS453" t="s">
        <v>306</v>
      </c>
      <c r="AX453" t="s">
        <v>306</v>
      </c>
      <c r="BC453" t="s">
        <v>306</v>
      </c>
      <c r="BD453" t="s">
        <v>1354</v>
      </c>
      <c r="BE453">
        <v>4305801</v>
      </c>
      <c r="BF453" t="s">
        <v>346</v>
      </c>
      <c r="BG453">
        <v>0</v>
      </c>
      <c r="BH453" t="s">
        <v>62</v>
      </c>
      <c r="BM453" t="s">
        <v>306</v>
      </c>
      <c r="BR453" t="s">
        <v>306</v>
      </c>
      <c r="BS453" t="s">
        <v>1082</v>
      </c>
      <c r="BT453">
        <v>4425813</v>
      </c>
      <c r="BU453" t="s">
        <v>346</v>
      </c>
      <c r="BV453">
        <v>0</v>
      </c>
      <c r="BW453" t="s">
        <v>2185</v>
      </c>
      <c r="CB453" t="s">
        <v>306</v>
      </c>
      <c r="CC453" t="s">
        <v>1870</v>
      </c>
      <c r="CD453">
        <v>117672515</v>
      </c>
      <c r="CE453" t="s">
        <v>346</v>
      </c>
      <c r="CF453">
        <v>0</v>
      </c>
      <c r="CG453" t="s">
        <v>306</v>
      </c>
      <c r="CL453" t="s">
        <v>306</v>
      </c>
      <c r="CM453" t="s">
        <v>2091</v>
      </c>
      <c r="CN453">
        <v>4273070</v>
      </c>
      <c r="CO453" t="s">
        <v>346</v>
      </c>
      <c r="CP453">
        <v>0</v>
      </c>
      <c r="CQ453" t="s">
        <v>53</v>
      </c>
      <c r="CV453" t="s">
        <v>306</v>
      </c>
      <c r="DA453" t="s">
        <v>306</v>
      </c>
      <c r="DB453" t="s">
        <v>1354</v>
      </c>
      <c r="DC453">
        <v>4305801</v>
      </c>
      <c r="DD453" t="s">
        <v>346</v>
      </c>
      <c r="DE453">
        <v>0</v>
      </c>
      <c r="DF453" t="s">
        <v>62</v>
      </c>
      <c r="DK453" t="s">
        <v>306</v>
      </c>
      <c r="DL453" t="s">
        <v>1354</v>
      </c>
      <c r="DM453">
        <v>4305801</v>
      </c>
      <c r="DN453" t="s">
        <v>346</v>
      </c>
      <c r="DO453">
        <v>0</v>
      </c>
      <c r="DP453" t="s">
        <v>62</v>
      </c>
      <c r="DU453" t="s">
        <v>306</v>
      </c>
      <c r="DZ453" t="s">
        <v>306</v>
      </c>
      <c r="EA453" t="s">
        <v>1870</v>
      </c>
      <c r="EB453">
        <v>117672515</v>
      </c>
      <c r="EC453" t="s">
        <v>346</v>
      </c>
      <c r="ED453">
        <v>0</v>
      </c>
      <c r="EE453" t="s">
        <v>306</v>
      </c>
      <c r="EF453" t="s">
        <v>1354</v>
      </c>
      <c r="EG453">
        <v>4305801</v>
      </c>
      <c r="EH453" t="s">
        <v>346</v>
      </c>
      <c r="EI453">
        <v>0</v>
      </c>
      <c r="EJ453" t="s">
        <v>62</v>
      </c>
      <c r="EO453" t="s">
        <v>306</v>
      </c>
      <c r="ET453" t="s">
        <v>306</v>
      </c>
      <c r="EY453" t="s">
        <v>306</v>
      </c>
      <c r="FD453" t="s">
        <v>306</v>
      </c>
      <c r="FI453" t="s">
        <v>306</v>
      </c>
      <c r="FN453" t="s">
        <v>306</v>
      </c>
      <c r="FS453" t="s">
        <v>306</v>
      </c>
      <c r="FX453" t="s">
        <v>306</v>
      </c>
      <c r="FY453" t="s">
        <v>1354</v>
      </c>
      <c r="FZ453">
        <v>4305801</v>
      </c>
      <c r="GA453" t="s">
        <v>346</v>
      </c>
      <c r="GB453">
        <v>0</v>
      </c>
      <c r="GC453" t="s">
        <v>62</v>
      </c>
      <c r="GH453" t="s">
        <v>306</v>
      </c>
      <c r="GM453" t="s">
        <v>306</v>
      </c>
      <c r="GR453" t="s">
        <v>306</v>
      </c>
      <c r="GW453" t="s">
        <v>306</v>
      </c>
      <c r="GX453" t="s">
        <v>1870</v>
      </c>
      <c r="GY453">
        <v>117672515</v>
      </c>
      <c r="GZ453" t="s">
        <v>346</v>
      </c>
      <c r="HA453">
        <v>0</v>
      </c>
      <c r="HB453" t="s">
        <v>306</v>
      </c>
      <c r="HG453" t="s">
        <v>306</v>
      </c>
    </row>
    <row r="454" spans="5:215" x14ac:dyDescent="0.35">
      <c r="E454" t="s">
        <v>306</v>
      </c>
      <c r="J454" t="s">
        <v>306</v>
      </c>
      <c r="O454" t="s">
        <v>306</v>
      </c>
      <c r="T454" t="s">
        <v>306</v>
      </c>
      <c r="Y454" t="s">
        <v>306</v>
      </c>
      <c r="AD454" t="s">
        <v>306</v>
      </c>
      <c r="AI454" t="s">
        <v>306</v>
      </c>
      <c r="AN454" t="s">
        <v>306</v>
      </c>
      <c r="AS454" t="s">
        <v>306</v>
      </c>
      <c r="AX454" t="s">
        <v>306</v>
      </c>
      <c r="BC454" t="s">
        <v>306</v>
      </c>
      <c r="BD454" t="s">
        <v>1336</v>
      </c>
      <c r="BE454">
        <v>118749616</v>
      </c>
      <c r="BF454" t="s">
        <v>346</v>
      </c>
      <c r="BG454">
        <v>0</v>
      </c>
      <c r="BH454" t="s">
        <v>306</v>
      </c>
      <c r="BM454" t="s">
        <v>306</v>
      </c>
      <c r="BR454" t="s">
        <v>306</v>
      </c>
      <c r="BS454" t="s">
        <v>586</v>
      </c>
      <c r="BT454">
        <v>4251516</v>
      </c>
      <c r="BU454" t="s">
        <v>346</v>
      </c>
      <c r="BV454">
        <v>0</v>
      </c>
      <c r="BW454" t="s">
        <v>320</v>
      </c>
      <c r="CB454" t="s">
        <v>306</v>
      </c>
      <c r="CC454" t="s">
        <v>1871</v>
      </c>
      <c r="CD454">
        <v>4048290</v>
      </c>
      <c r="CE454" t="s">
        <v>276</v>
      </c>
      <c r="CF454">
        <v>0</v>
      </c>
      <c r="CG454" t="s">
        <v>53</v>
      </c>
      <c r="CL454" t="s">
        <v>306</v>
      </c>
      <c r="CM454" t="s">
        <v>1381</v>
      </c>
      <c r="CN454">
        <v>9321263</v>
      </c>
      <c r="CO454" t="s">
        <v>346</v>
      </c>
      <c r="CP454">
        <v>0</v>
      </c>
      <c r="CQ454" t="s">
        <v>53</v>
      </c>
      <c r="CV454" t="s">
        <v>306</v>
      </c>
      <c r="DA454" t="s">
        <v>306</v>
      </c>
      <c r="DB454" t="s">
        <v>1336</v>
      </c>
      <c r="DC454">
        <v>118749616</v>
      </c>
      <c r="DD454" t="s">
        <v>346</v>
      </c>
      <c r="DE454">
        <v>0</v>
      </c>
      <c r="DF454" t="s">
        <v>306</v>
      </c>
      <c r="DK454" t="s">
        <v>306</v>
      </c>
      <c r="DL454" t="s">
        <v>1336</v>
      </c>
      <c r="DM454">
        <v>118749616</v>
      </c>
      <c r="DN454" t="s">
        <v>346</v>
      </c>
      <c r="DO454">
        <v>0</v>
      </c>
      <c r="DP454" t="s">
        <v>306</v>
      </c>
      <c r="DU454" t="s">
        <v>306</v>
      </c>
      <c r="DZ454" t="s">
        <v>306</v>
      </c>
      <c r="EA454" t="s">
        <v>1871</v>
      </c>
      <c r="EB454">
        <v>4048290</v>
      </c>
      <c r="EC454" t="s">
        <v>276</v>
      </c>
      <c r="ED454">
        <v>0</v>
      </c>
      <c r="EE454" t="s">
        <v>53</v>
      </c>
      <c r="EF454" t="s">
        <v>1336</v>
      </c>
      <c r="EG454">
        <v>118749616</v>
      </c>
      <c r="EH454" t="s">
        <v>346</v>
      </c>
      <c r="EI454">
        <v>0</v>
      </c>
      <c r="EJ454" t="s">
        <v>306</v>
      </c>
      <c r="EO454" t="s">
        <v>306</v>
      </c>
      <c r="ET454" t="s">
        <v>306</v>
      </c>
      <c r="EY454" t="s">
        <v>306</v>
      </c>
      <c r="FD454" t="s">
        <v>306</v>
      </c>
      <c r="FI454" t="s">
        <v>306</v>
      </c>
      <c r="FN454" t="s">
        <v>306</v>
      </c>
      <c r="FS454" t="s">
        <v>306</v>
      </c>
      <c r="FX454" t="s">
        <v>306</v>
      </c>
      <c r="FY454" t="s">
        <v>1336</v>
      </c>
      <c r="FZ454">
        <v>118749616</v>
      </c>
      <c r="GA454" t="s">
        <v>346</v>
      </c>
      <c r="GB454">
        <v>0</v>
      </c>
      <c r="GC454" t="s">
        <v>306</v>
      </c>
      <c r="GH454" t="s">
        <v>306</v>
      </c>
      <c r="GM454" t="s">
        <v>306</v>
      </c>
      <c r="GR454" t="s">
        <v>306</v>
      </c>
      <c r="GW454" t="s">
        <v>306</v>
      </c>
      <c r="GX454" t="s">
        <v>1871</v>
      </c>
      <c r="GY454">
        <v>4048290</v>
      </c>
      <c r="GZ454" t="s">
        <v>276</v>
      </c>
      <c r="HA454">
        <v>0</v>
      </c>
      <c r="HB454" t="s">
        <v>53</v>
      </c>
      <c r="HG454" t="s">
        <v>306</v>
      </c>
    </row>
    <row r="455" spans="5:215" x14ac:dyDescent="0.35">
      <c r="E455" t="s">
        <v>306</v>
      </c>
      <c r="J455" t="s">
        <v>306</v>
      </c>
      <c r="O455" t="s">
        <v>306</v>
      </c>
      <c r="T455" t="s">
        <v>306</v>
      </c>
      <c r="Y455" t="s">
        <v>306</v>
      </c>
      <c r="AD455" t="s">
        <v>306</v>
      </c>
      <c r="AI455" t="s">
        <v>306</v>
      </c>
      <c r="AN455" t="s">
        <v>306</v>
      </c>
      <c r="AS455" t="s">
        <v>306</v>
      </c>
      <c r="AX455" t="s">
        <v>306</v>
      </c>
      <c r="BC455" t="s">
        <v>306</v>
      </c>
      <c r="BD455" t="s">
        <v>1337</v>
      </c>
      <c r="BE455">
        <v>133963845</v>
      </c>
      <c r="BF455" t="s">
        <v>346</v>
      </c>
      <c r="BG455">
        <v>0</v>
      </c>
      <c r="BH455" t="s">
        <v>306</v>
      </c>
      <c r="BM455" t="s">
        <v>306</v>
      </c>
      <c r="BR455" t="s">
        <v>306</v>
      </c>
      <c r="BS455" t="s">
        <v>838</v>
      </c>
      <c r="BT455">
        <v>4315032</v>
      </c>
      <c r="BU455" t="s">
        <v>346</v>
      </c>
      <c r="BV455">
        <v>0</v>
      </c>
      <c r="BW455" t="s">
        <v>50</v>
      </c>
      <c r="CB455" t="s">
        <v>306</v>
      </c>
      <c r="CC455" t="s">
        <v>1872</v>
      </c>
      <c r="CD455">
        <v>4116053</v>
      </c>
      <c r="CE455" t="s">
        <v>346</v>
      </c>
      <c r="CF455">
        <v>0</v>
      </c>
      <c r="CG455" t="s">
        <v>53</v>
      </c>
      <c r="CL455" t="s">
        <v>306</v>
      </c>
      <c r="CM455" t="s">
        <v>1299</v>
      </c>
      <c r="CN455">
        <v>4277357</v>
      </c>
      <c r="CO455" t="s">
        <v>346</v>
      </c>
      <c r="CP455">
        <v>0</v>
      </c>
      <c r="CQ455" t="s">
        <v>62</v>
      </c>
      <c r="CV455" t="s">
        <v>306</v>
      </c>
      <c r="DA455" t="s">
        <v>306</v>
      </c>
      <c r="DB455" t="s">
        <v>1337</v>
      </c>
      <c r="DC455">
        <v>133963845</v>
      </c>
      <c r="DD455" t="s">
        <v>346</v>
      </c>
      <c r="DE455">
        <v>0</v>
      </c>
      <c r="DF455" t="s">
        <v>306</v>
      </c>
      <c r="DK455" t="s">
        <v>306</v>
      </c>
      <c r="DL455" t="s">
        <v>1337</v>
      </c>
      <c r="DM455">
        <v>133963845</v>
      </c>
      <c r="DN455" t="s">
        <v>346</v>
      </c>
      <c r="DO455">
        <v>0</v>
      </c>
      <c r="DP455" t="s">
        <v>306</v>
      </c>
      <c r="DU455" t="s">
        <v>306</v>
      </c>
      <c r="DZ455" t="s">
        <v>306</v>
      </c>
      <c r="EA455" t="s">
        <v>1872</v>
      </c>
      <c r="EB455">
        <v>4116053</v>
      </c>
      <c r="EC455" t="s">
        <v>346</v>
      </c>
      <c r="ED455">
        <v>0</v>
      </c>
      <c r="EE455" t="s">
        <v>53</v>
      </c>
      <c r="EF455" t="s">
        <v>1337</v>
      </c>
      <c r="EG455">
        <v>133963845</v>
      </c>
      <c r="EH455" t="s">
        <v>346</v>
      </c>
      <c r="EI455">
        <v>0</v>
      </c>
      <c r="EJ455" t="s">
        <v>306</v>
      </c>
      <c r="EO455" t="s">
        <v>306</v>
      </c>
      <c r="ET455" t="s">
        <v>306</v>
      </c>
      <c r="EY455" t="s">
        <v>306</v>
      </c>
      <c r="FD455" t="s">
        <v>306</v>
      </c>
      <c r="FI455" t="s">
        <v>306</v>
      </c>
      <c r="FN455" t="s">
        <v>306</v>
      </c>
      <c r="FS455" t="s">
        <v>306</v>
      </c>
      <c r="FX455" t="s">
        <v>306</v>
      </c>
      <c r="FY455" t="s">
        <v>1337</v>
      </c>
      <c r="FZ455">
        <v>133963845</v>
      </c>
      <c r="GA455" t="s">
        <v>346</v>
      </c>
      <c r="GB455">
        <v>0</v>
      </c>
      <c r="GC455" t="s">
        <v>306</v>
      </c>
      <c r="GH455" t="s">
        <v>306</v>
      </c>
      <c r="GM455" t="s">
        <v>306</v>
      </c>
      <c r="GR455" t="s">
        <v>306</v>
      </c>
      <c r="GW455" t="s">
        <v>306</v>
      </c>
      <c r="GX455" t="s">
        <v>1872</v>
      </c>
      <c r="GY455">
        <v>4116053</v>
      </c>
      <c r="GZ455" t="s">
        <v>346</v>
      </c>
      <c r="HA455">
        <v>0</v>
      </c>
      <c r="HB455" t="s">
        <v>53</v>
      </c>
      <c r="HG455" t="s">
        <v>306</v>
      </c>
    </row>
    <row r="456" spans="5:215" x14ac:dyDescent="0.35">
      <c r="E456" t="s">
        <v>306</v>
      </c>
      <c r="J456" t="s">
        <v>306</v>
      </c>
      <c r="O456" t="s">
        <v>306</v>
      </c>
      <c r="T456" t="s">
        <v>306</v>
      </c>
      <c r="Y456" t="s">
        <v>306</v>
      </c>
      <c r="AD456" t="s">
        <v>306</v>
      </c>
      <c r="AI456" t="s">
        <v>306</v>
      </c>
      <c r="AN456" t="s">
        <v>306</v>
      </c>
      <c r="AS456" t="s">
        <v>306</v>
      </c>
      <c r="AX456" t="s">
        <v>306</v>
      </c>
      <c r="BC456" t="s">
        <v>306</v>
      </c>
      <c r="BD456" t="s">
        <v>1340</v>
      </c>
      <c r="BE456">
        <v>5829348</v>
      </c>
      <c r="BF456" t="s">
        <v>346</v>
      </c>
      <c r="BG456">
        <v>0</v>
      </c>
      <c r="BH456" t="s">
        <v>62</v>
      </c>
      <c r="BM456" t="s">
        <v>306</v>
      </c>
      <c r="BR456" t="s">
        <v>306</v>
      </c>
      <c r="BS456" t="s">
        <v>862</v>
      </c>
      <c r="BT456">
        <v>4278931</v>
      </c>
      <c r="BU456" t="s">
        <v>346</v>
      </c>
      <c r="BV456">
        <v>0</v>
      </c>
      <c r="BW456" t="s">
        <v>2191</v>
      </c>
      <c r="CB456" t="s">
        <v>306</v>
      </c>
      <c r="CC456" t="s">
        <v>1873</v>
      </c>
      <c r="CD456">
        <v>9170810</v>
      </c>
      <c r="CE456" t="s">
        <v>346</v>
      </c>
      <c r="CF456">
        <v>0</v>
      </c>
      <c r="CG456" t="s">
        <v>53</v>
      </c>
      <c r="CL456" t="s">
        <v>306</v>
      </c>
      <c r="CM456" t="s">
        <v>2092</v>
      </c>
      <c r="CN456">
        <v>13042408</v>
      </c>
      <c r="CO456" t="s">
        <v>364</v>
      </c>
      <c r="CP456">
        <v>0</v>
      </c>
      <c r="CQ456" t="s">
        <v>313</v>
      </c>
      <c r="CV456" t="s">
        <v>306</v>
      </c>
      <c r="DA456" t="s">
        <v>306</v>
      </c>
      <c r="DB456" t="s">
        <v>1340</v>
      </c>
      <c r="DC456">
        <v>5829348</v>
      </c>
      <c r="DD456" t="s">
        <v>346</v>
      </c>
      <c r="DE456">
        <v>0</v>
      </c>
      <c r="DF456" t="s">
        <v>62</v>
      </c>
      <c r="DK456" t="s">
        <v>306</v>
      </c>
      <c r="DL456" t="s">
        <v>1340</v>
      </c>
      <c r="DM456">
        <v>5829348</v>
      </c>
      <c r="DN456" t="s">
        <v>346</v>
      </c>
      <c r="DO456">
        <v>0</v>
      </c>
      <c r="DP456" t="s">
        <v>62</v>
      </c>
      <c r="DU456" t="s">
        <v>306</v>
      </c>
      <c r="DZ456" t="s">
        <v>306</v>
      </c>
      <c r="EA456" t="s">
        <v>1873</v>
      </c>
      <c r="EB456">
        <v>9170810</v>
      </c>
      <c r="EC456" t="s">
        <v>346</v>
      </c>
      <c r="ED456">
        <v>0</v>
      </c>
      <c r="EE456" t="s">
        <v>53</v>
      </c>
      <c r="EF456" t="s">
        <v>1340</v>
      </c>
      <c r="EG456">
        <v>5829348</v>
      </c>
      <c r="EH456" t="s">
        <v>346</v>
      </c>
      <c r="EI456">
        <v>0</v>
      </c>
      <c r="EJ456" t="s">
        <v>62</v>
      </c>
      <c r="EO456" t="s">
        <v>306</v>
      </c>
      <c r="ET456" t="s">
        <v>306</v>
      </c>
      <c r="EY456" t="s">
        <v>306</v>
      </c>
      <c r="FD456" t="s">
        <v>306</v>
      </c>
      <c r="FI456" t="s">
        <v>306</v>
      </c>
      <c r="FN456" t="s">
        <v>306</v>
      </c>
      <c r="FS456" t="s">
        <v>306</v>
      </c>
      <c r="FX456" t="s">
        <v>306</v>
      </c>
      <c r="FY456" t="s">
        <v>1340</v>
      </c>
      <c r="FZ456">
        <v>5829348</v>
      </c>
      <c r="GA456" t="s">
        <v>346</v>
      </c>
      <c r="GB456">
        <v>0</v>
      </c>
      <c r="GC456" t="s">
        <v>62</v>
      </c>
      <c r="GH456" t="s">
        <v>306</v>
      </c>
      <c r="GM456" t="s">
        <v>306</v>
      </c>
      <c r="GR456" t="s">
        <v>306</v>
      </c>
      <c r="GW456" t="s">
        <v>306</v>
      </c>
      <c r="GX456" t="s">
        <v>1873</v>
      </c>
      <c r="GY456">
        <v>9170810</v>
      </c>
      <c r="GZ456" t="s">
        <v>346</v>
      </c>
      <c r="HA456">
        <v>0</v>
      </c>
      <c r="HB456" t="s">
        <v>53</v>
      </c>
      <c r="HG456" t="s">
        <v>306</v>
      </c>
    </row>
    <row r="457" spans="5:215" x14ac:dyDescent="0.35">
      <c r="E457" t="s">
        <v>306</v>
      </c>
      <c r="J457" t="s">
        <v>306</v>
      </c>
      <c r="O457" t="s">
        <v>306</v>
      </c>
      <c r="T457" t="s">
        <v>306</v>
      </c>
      <c r="Y457" t="s">
        <v>306</v>
      </c>
      <c r="AD457" t="s">
        <v>306</v>
      </c>
      <c r="AI457" t="s">
        <v>306</v>
      </c>
      <c r="AN457" t="s">
        <v>306</v>
      </c>
      <c r="AS457" t="s">
        <v>306</v>
      </c>
      <c r="AX457" t="s">
        <v>306</v>
      </c>
      <c r="BC457" t="s">
        <v>306</v>
      </c>
      <c r="BD457" t="s">
        <v>1534</v>
      </c>
      <c r="BE457">
        <v>5758555</v>
      </c>
      <c r="BF457" t="s">
        <v>346</v>
      </c>
      <c r="BG457">
        <v>0</v>
      </c>
      <c r="BH457" t="s">
        <v>2184</v>
      </c>
      <c r="BM457" t="s">
        <v>306</v>
      </c>
      <c r="BR457" t="s">
        <v>306</v>
      </c>
      <c r="BS457" t="s">
        <v>1083</v>
      </c>
      <c r="BT457">
        <v>6723524</v>
      </c>
      <c r="BU457" t="s">
        <v>346</v>
      </c>
      <c r="BV457">
        <v>0</v>
      </c>
      <c r="BW457" t="s">
        <v>320</v>
      </c>
      <c r="CB457" t="s">
        <v>306</v>
      </c>
      <c r="CC457" t="s">
        <v>1874</v>
      </c>
      <c r="CD457">
        <v>4097967</v>
      </c>
      <c r="CE457" t="s">
        <v>346</v>
      </c>
      <c r="CF457">
        <v>0</v>
      </c>
      <c r="CG457" t="s">
        <v>80</v>
      </c>
      <c r="CL457" t="s">
        <v>306</v>
      </c>
      <c r="CM457" t="s">
        <v>2093</v>
      </c>
      <c r="CN457">
        <v>113575156</v>
      </c>
      <c r="CO457" t="s">
        <v>346</v>
      </c>
      <c r="CP457">
        <v>0</v>
      </c>
      <c r="CQ457" t="s">
        <v>53</v>
      </c>
      <c r="CV457" t="s">
        <v>306</v>
      </c>
      <c r="DA457" t="s">
        <v>306</v>
      </c>
      <c r="DB457" t="s">
        <v>1534</v>
      </c>
      <c r="DC457">
        <v>5758555</v>
      </c>
      <c r="DD457" t="s">
        <v>346</v>
      </c>
      <c r="DE457">
        <v>0</v>
      </c>
      <c r="DF457" t="s">
        <v>2184</v>
      </c>
      <c r="DK457" t="s">
        <v>306</v>
      </c>
      <c r="DL457" t="s">
        <v>1534</v>
      </c>
      <c r="DM457">
        <v>5758555</v>
      </c>
      <c r="DN457" t="s">
        <v>346</v>
      </c>
      <c r="DO457">
        <v>0</v>
      </c>
      <c r="DP457" t="s">
        <v>2184</v>
      </c>
      <c r="DU457" t="s">
        <v>306</v>
      </c>
      <c r="DZ457" t="s">
        <v>306</v>
      </c>
      <c r="EA457" t="s">
        <v>1874</v>
      </c>
      <c r="EB457">
        <v>4097967</v>
      </c>
      <c r="EC457" t="s">
        <v>346</v>
      </c>
      <c r="ED457">
        <v>0</v>
      </c>
      <c r="EE457" t="s">
        <v>80</v>
      </c>
      <c r="EF457" t="s">
        <v>1534</v>
      </c>
      <c r="EG457">
        <v>5758555</v>
      </c>
      <c r="EH457" t="s">
        <v>346</v>
      </c>
      <c r="EI457">
        <v>0</v>
      </c>
      <c r="EJ457" t="s">
        <v>2184</v>
      </c>
      <c r="EO457" t="s">
        <v>306</v>
      </c>
      <c r="ET457" t="s">
        <v>306</v>
      </c>
      <c r="EY457" t="s">
        <v>306</v>
      </c>
      <c r="FD457" t="s">
        <v>306</v>
      </c>
      <c r="FI457" t="s">
        <v>306</v>
      </c>
      <c r="FN457" t="s">
        <v>306</v>
      </c>
      <c r="FS457" t="s">
        <v>306</v>
      </c>
      <c r="FX457" t="s">
        <v>306</v>
      </c>
      <c r="FY457" t="s">
        <v>1534</v>
      </c>
      <c r="FZ457">
        <v>5758555</v>
      </c>
      <c r="GA457" t="s">
        <v>346</v>
      </c>
      <c r="GB457">
        <v>0</v>
      </c>
      <c r="GC457" t="s">
        <v>2184</v>
      </c>
      <c r="GH457" t="s">
        <v>306</v>
      </c>
      <c r="GM457" t="s">
        <v>306</v>
      </c>
      <c r="GR457" t="s">
        <v>306</v>
      </c>
      <c r="GW457" t="s">
        <v>306</v>
      </c>
      <c r="GX457" t="s">
        <v>1874</v>
      </c>
      <c r="GY457">
        <v>4097967</v>
      </c>
      <c r="GZ457" t="s">
        <v>346</v>
      </c>
      <c r="HA457">
        <v>0</v>
      </c>
      <c r="HB457" t="s">
        <v>80</v>
      </c>
      <c r="HG457" t="s">
        <v>306</v>
      </c>
    </row>
    <row r="458" spans="5:215" x14ac:dyDescent="0.35">
      <c r="E458" t="s">
        <v>306</v>
      </c>
      <c r="J458" t="s">
        <v>306</v>
      </c>
      <c r="O458" t="s">
        <v>306</v>
      </c>
      <c r="T458" t="s">
        <v>306</v>
      </c>
      <c r="Y458" t="s">
        <v>306</v>
      </c>
      <c r="AD458" t="s">
        <v>306</v>
      </c>
      <c r="AI458" t="s">
        <v>306</v>
      </c>
      <c r="AN458" t="s">
        <v>306</v>
      </c>
      <c r="AS458" t="s">
        <v>306</v>
      </c>
      <c r="AX458" t="s">
        <v>306</v>
      </c>
      <c r="BC458" t="s">
        <v>306</v>
      </c>
      <c r="BD458" t="s">
        <v>454</v>
      </c>
      <c r="BE458">
        <v>4145691</v>
      </c>
      <c r="BF458" t="s">
        <v>346</v>
      </c>
      <c r="BG458">
        <v>0</v>
      </c>
      <c r="BH458" t="s">
        <v>53</v>
      </c>
      <c r="BM458" t="s">
        <v>306</v>
      </c>
      <c r="BR458" t="s">
        <v>306</v>
      </c>
      <c r="BS458" t="s">
        <v>1084</v>
      </c>
      <c r="BT458">
        <v>6731032</v>
      </c>
      <c r="BU458" t="s">
        <v>346</v>
      </c>
      <c r="BV458">
        <v>0</v>
      </c>
      <c r="BW458" t="s">
        <v>320</v>
      </c>
      <c r="CB458" t="s">
        <v>306</v>
      </c>
      <c r="CC458" t="s">
        <v>1162</v>
      </c>
      <c r="CD458">
        <v>4139861</v>
      </c>
      <c r="CE458" t="s">
        <v>346</v>
      </c>
      <c r="CF458">
        <v>0</v>
      </c>
      <c r="CG458" t="s">
        <v>2184</v>
      </c>
      <c r="CL458" t="s">
        <v>306</v>
      </c>
      <c r="CM458" t="s">
        <v>2094</v>
      </c>
      <c r="CN458">
        <v>4187172</v>
      </c>
      <c r="CO458" t="s">
        <v>346</v>
      </c>
      <c r="CP458">
        <v>0</v>
      </c>
      <c r="CQ458" t="s">
        <v>53</v>
      </c>
      <c r="CV458" t="s">
        <v>306</v>
      </c>
      <c r="DA458" t="s">
        <v>306</v>
      </c>
      <c r="DB458" t="s">
        <v>454</v>
      </c>
      <c r="DC458">
        <v>4145691</v>
      </c>
      <c r="DD458" t="s">
        <v>346</v>
      </c>
      <c r="DE458">
        <v>0</v>
      </c>
      <c r="DF458" t="s">
        <v>53</v>
      </c>
      <c r="DK458" t="s">
        <v>306</v>
      </c>
      <c r="DL458" t="s">
        <v>454</v>
      </c>
      <c r="DM458">
        <v>4145691</v>
      </c>
      <c r="DN458" t="s">
        <v>346</v>
      </c>
      <c r="DO458">
        <v>0</v>
      </c>
      <c r="DP458" t="s">
        <v>53</v>
      </c>
      <c r="DU458" t="s">
        <v>306</v>
      </c>
      <c r="DZ458" t="s">
        <v>306</v>
      </c>
      <c r="EA458" t="s">
        <v>1162</v>
      </c>
      <c r="EB458">
        <v>4139861</v>
      </c>
      <c r="EC458" t="s">
        <v>346</v>
      </c>
      <c r="ED458">
        <v>0</v>
      </c>
      <c r="EE458" t="s">
        <v>2184</v>
      </c>
      <c r="EF458" t="s">
        <v>454</v>
      </c>
      <c r="EG458">
        <v>4145691</v>
      </c>
      <c r="EH458" t="s">
        <v>346</v>
      </c>
      <c r="EI458">
        <v>0</v>
      </c>
      <c r="EJ458" t="s">
        <v>53</v>
      </c>
      <c r="EO458" t="s">
        <v>306</v>
      </c>
      <c r="ET458" t="s">
        <v>306</v>
      </c>
      <c r="EY458" t="s">
        <v>306</v>
      </c>
      <c r="FD458" t="s">
        <v>306</v>
      </c>
      <c r="FI458" t="s">
        <v>306</v>
      </c>
      <c r="FN458" t="s">
        <v>306</v>
      </c>
      <c r="FS458" t="s">
        <v>306</v>
      </c>
      <c r="FX458" t="s">
        <v>306</v>
      </c>
      <c r="FY458" t="s">
        <v>454</v>
      </c>
      <c r="FZ458">
        <v>4145691</v>
      </c>
      <c r="GA458" t="s">
        <v>346</v>
      </c>
      <c r="GB458">
        <v>0</v>
      </c>
      <c r="GC458" t="s">
        <v>53</v>
      </c>
      <c r="GH458" t="s">
        <v>306</v>
      </c>
      <c r="GM458" t="s">
        <v>306</v>
      </c>
      <c r="GR458" t="s">
        <v>306</v>
      </c>
      <c r="GW458" t="s">
        <v>306</v>
      </c>
      <c r="GX458" t="s">
        <v>1162</v>
      </c>
      <c r="GY458">
        <v>4139861</v>
      </c>
      <c r="GZ458" t="s">
        <v>346</v>
      </c>
      <c r="HA458">
        <v>0</v>
      </c>
      <c r="HB458" t="s">
        <v>2184</v>
      </c>
      <c r="HG458" t="s">
        <v>306</v>
      </c>
    </row>
    <row r="459" spans="5:215" x14ac:dyDescent="0.35">
      <c r="E459" t="s">
        <v>306</v>
      </c>
      <c r="J459" t="s">
        <v>306</v>
      </c>
      <c r="O459" t="s">
        <v>306</v>
      </c>
      <c r="T459" t="s">
        <v>306</v>
      </c>
      <c r="Y459" t="s">
        <v>306</v>
      </c>
      <c r="AD459" t="s">
        <v>306</v>
      </c>
      <c r="AI459" t="s">
        <v>306</v>
      </c>
      <c r="AN459" t="s">
        <v>306</v>
      </c>
      <c r="AS459" t="s">
        <v>306</v>
      </c>
      <c r="AX459" t="s">
        <v>306</v>
      </c>
      <c r="BC459" t="s">
        <v>306</v>
      </c>
      <c r="BD459" t="s">
        <v>1346</v>
      </c>
      <c r="BE459">
        <v>29317018</v>
      </c>
      <c r="BF459" t="s">
        <v>346</v>
      </c>
      <c r="BG459">
        <v>0</v>
      </c>
      <c r="BH459" t="s">
        <v>62</v>
      </c>
      <c r="BM459" t="s">
        <v>306</v>
      </c>
      <c r="BR459" t="s">
        <v>306</v>
      </c>
      <c r="BS459" t="s">
        <v>1085</v>
      </c>
      <c r="BT459">
        <v>105984690</v>
      </c>
      <c r="BU459" t="s">
        <v>346</v>
      </c>
      <c r="BV459">
        <v>0</v>
      </c>
      <c r="BW459" t="s">
        <v>50</v>
      </c>
      <c r="CB459" t="s">
        <v>306</v>
      </c>
      <c r="CC459" t="s">
        <v>1875</v>
      </c>
      <c r="CD459">
        <v>4244975</v>
      </c>
      <c r="CE459" t="s">
        <v>346</v>
      </c>
      <c r="CF459">
        <v>0</v>
      </c>
      <c r="CG459" t="s">
        <v>114</v>
      </c>
      <c r="CL459" t="s">
        <v>306</v>
      </c>
      <c r="CM459" t="s">
        <v>2095</v>
      </c>
      <c r="CN459">
        <v>1013419</v>
      </c>
      <c r="CO459" t="s">
        <v>366</v>
      </c>
      <c r="CP459">
        <v>0</v>
      </c>
      <c r="CQ459" t="s">
        <v>53</v>
      </c>
      <c r="CV459" t="s">
        <v>306</v>
      </c>
      <c r="DA459" t="s">
        <v>306</v>
      </c>
      <c r="DB459" t="s">
        <v>1346</v>
      </c>
      <c r="DC459">
        <v>29317018</v>
      </c>
      <c r="DD459" t="s">
        <v>346</v>
      </c>
      <c r="DE459">
        <v>0</v>
      </c>
      <c r="DF459" t="s">
        <v>62</v>
      </c>
      <c r="DK459" t="s">
        <v>306</v>
      </c>
      <c r="DL459" t="s">
        <v>1346</v>
      </c>
      <c r="DM459">
        <v>29317018</v>
      </c>
      <c r="DN459" t="s">
        <v>346</v>
      </c>
      <c r="DO459">
        <v>0</v>
      </c>
      <c r="DP459" t="s">
        <v>62</v>
      </c>
      <c r="DU459" t="s">
        <v>306</v>
      </c>
      <c r="DZ459" t="s">
        <v>306</v>
      </c>
      <c r="EA459" t="s">
        <v>1875</v>
      </c>
      <c r="EB459">
        <v>4244975</v>
      </c>
      <c r="EC459" t="s">
        <v>346</v>
      </c>
      <c r="ED459">
        <v>0</v>
      </c>
      <c r="EE459" t="s">
        <v>114</v>
      </c>
      <c r="EF459" t="s">
        <v>1346</v>
      </c>
      <c r="EG459">
        <v>29317018</v>
      </c>
      <c r="EH459" t="s">
        <v>346</v>
      </c>
      <c r="EI459">
        <v>0</v>
      </c>
      <c r="EJ459" t="s">
        <v>62</v>
      </c>
      <c r="EO459" t="s">
        <v>306</v>
      </c>
      <c r="ET459" t="s">
        <v>306</v>
      </c>
      <c r="EY459" t="s">
        <v>306</v>
      </c>
      <c r="FD459" t="s">
        <v>306</v>
      </c>
      <c r="FI459" t="s">
        <v>306</v>
      </c>
      <c r="FN459" t="s">
        <v>306</v>
      </c>
      <c r="FS459" t="s">
        <v>306</v>
      </c>
      <c r="FX459" t="s">
        <v>306</v>
      </c>
      <c r="FY459" t="s">
        <v>1346</v>
      </c>
      <c r="FZ459">
        <v>29317018</v>
      </c>
      <c r="GA459" t="s">
        <v>346</v>
      </c>
      <c r="GB459">
        <v>0</v>
      </c>
      <c r="GC459" t="s">
        <v>62</v>
      </c>
      <c r="GH459" t="s">
        <v>306</v>
      </c>
      <c r="GM459" t="s">
        <v>306</v>
      </c>
      <c r="GR459" t="s">
        <v>306</v>
      </c>
      <c r="GW459" t="s">
        <v>306</v>
      </c>
      <c r="GX459" t="s">
        <v>1875</v>
      </c>
      <c r="GY459">
        <v>4244975</v>
      </c>
      <c r="GZ459" t="s">
        <v>346</v>
      </c>
      <c r="HA459">
        <v>0</v>
      </c>
      <c r="HB459" t="s">
        <v>114</v>
      </c>
      <c r="HG459" t="s">
        <v>306</v>
      </c>
    </row>
    <row r="460" spans="5:215" x14ac:dyDescent="0.35">
      <c r="E460" t="s">
        <v>306</v>
      </c>
      <c r="J460" t="s">
        <v>306</v>
      </c>
      <c r="O460" t="s">
        <v>306</v>
      </c>
      <c r="T460" t="s">
        <v>306</v>
      </c>
      <c r="Y460" t="s">
        <v>306</v>
      </c>
      <c r="AD460" t="s">
        <v>306</v>
      </c>
      <c r="AI460" t="s">
        <v>306</v>
      </c>
      <c r="AN460" t="s">
        <v>306</v>
      </c>
      <c r="AS460" t="s">
        <v>306</v>
      </c>
      <c r="AX460" t="s">
        <v>306</v>
      </c>
      <c r="BC460" t="s">
        <v>306</v>
      </c>
      <c r="BD460" t="s">
        <v>1535</v>
      </c>
      <c r="BE460">
        <v>19911309</v>
      </c>
      <c r="BF460" t="s">
        <v>346</v>
      </c>
      <c r="BG460">
        <v>0</v>
      </c>
      <c r="BH460" t="s">
        <v>62</v>
      </c>
      <c r="BM460" t="s">
        <v>306</v>
      </c>
      <c r="BR460" t="s">
        <v>306</v>
      </c>
      <c r="BS460" t="s">
        <v>906</v>
      </c>
      <c r="BT460">
        <v>5880770</v>
      </c>
      <c r="BU460" t="s">
        <v>346</v>
      </c>
      <c r="BV460">
        <v>0</v>
      </c>
      <c r="BW460" t="s">
        <v>50</v>
      </c>
      <c r="CB460" t="s">
        <v>306</v>
      </c>
      <c r="CC460" t="s">
        <v>1876</v>
      </c>
      <c r="CD460">
        <v>10361723</v>
      </c>
      <c r="CE460" t="s">
        <v>346</v>
      </c>
      <c r="CF460">
        <v>0</v>
      </c>
      <c r="CG460" t="s">
        <v>114</v>
      </c>
      <c r="CL460" t="s">
        <v>306</v>
      </c>
      <c r="CM460" t="s">
        <v>2096</v>
      </c>
      <c r="CN460" t="s">
        <v>300</v>
      </c>
      <c r="CO460" t="s">
        <v>361</v>
      </c>
      <c r="CP460">
        <v>0</v>
      </c>
      <c r="CQ460" t="s">
        <v>50</v>
      </c>
      <c r="CV460" t="s">
        <v>306</v>
      </c>
      <c r="DA460" t="s">
        <v>306</v>
      </c>
      <c r="DB460" t="s">
        <v>1535</v>
      </c>
      <c r="DC460">
        <v>19911309</v>
      </c>
      <c r="DD460" t="s">
        <v>346</v>
      </c>
      <c r="DE460">
        <v>0</v>
      </c>
      <c r="DF460" t="s">
        <v>62</v>
      </c>
      <c r="DK460" t="s">
        <v>306</v>
      </c>
      <c r="DL460" t="s">
        <v>1535</v>
      </c>
      <c r="DM460">
        <v>19911309</v>
      </c>
      <c r="DN460" t="s">
        <v>346</v>
      </c>
      <c r="DO460">
        <v>0</v>
      </c>
      <c r="DP460" t="s">
        <v>62</v>
      </c>
      <c r="DU460" t="s">
        <v>306</v>
      </c>
      <c r="DZ460" t="s">
        <v>306</v>
      </c>
      <c r="EA460" t="s">
        <v>1876</v>
      </c>
      <c r="EB460">
        <v>10361723</v>
      </c>
      <c r="EC460" t="s">
        <v>346</v>
      </c>
      <c r="ED460">
        <v>0</v>
      </c>
      <c r="EE460" t="s">
        <v>114</v>
      </c>
      <c r="EF460" t="s">
        <v>1535</v>
      </c>
      <c r="EG460">
        <v>19911309</v>
      </c>
      <c r="EH460" t="s">
        <v>346</v>
      </c>
      <c r="EI460">
        <v>0</v>
      </c>
      <c r="EJ460" t="s">
        <v>62</v>
      </c>
      <c r="EO460" t="s">
        <v>306</v>
      </c>
      <c r="ET460" t="s">
        <v>306</v>
      </c>
      <c r="EY460" t="s">
        <v>306</v>
      </c>
      <c r="FD460" t="s">
        <v>306</v>
      </c>
      <c r="FI460" t="s">
        <v>306</v>
      </c>
      <c r="FN460" t="s">
        <v>306</v>
      </c>
      <c r="FS460" t="s">
        <v>306</v>
      </c>
      <c r="FX460" t="s">
        <v>306</v>
      </c>
      <c r="FY460" t="s">
        <v>1535</v>
      </c>
      <c r="FZ460">
        <v>19911309</v>
      </c>
      <c r="GA460" t="s">
        <v>346</v>
      </c>
      <c r="GB460">
        <v>0</v>
      </c>
      <c r="GC460" t="s">
        <v>62</v>
      </c>
      <c r="GH460" t="s">
        <v>306</v>
      </c>
      <c r="GM460" t="s">
        <v>306</v>
      </c>
      <c r="GR460" t="s">
        <v>306</v>
      </c>
      <c r="GW460" t="s">
        <v>306</v>
      </c>
      <c r="GX460" t="s">
        <v>1876</v>
      </c>
      <c r="GY460">
        <v>10361723</v>
      </c>
      <c r="GZ460" t="s">
        <v>346</v>
      </c>
      <c r="HA460">
        <v>0</v>
      </c>
      <c r="HB460" t="s">
        <v>114</v>
      </c>
      <c r="HG460" t="s">
        <v>306</v>
      </c>
    </row>
    <row r="461" spans="5:215" x14ac:dyDescent="0.35">
      <c r="E461" t="s">
        <v>306</v>
      </c>
      <c r="J461" t="s">
        <v>306</v>
      </c>
      <c r="O461" t="s">
        <v>306</v>
      </c>
      <c r="T461" t="s">
        <v>306</v>
      </c>
      <c r="Y461" t="s">
        <v>306</v>
      </c>
      <c r="AD461" t="s">
        <v>306</v>
      </c>
      <c r="AI461" t="s">
        <v>306</v>
      </c>
      <c r="AN461" t="s">
        <v>306</v>
      </c>
      <c r="AS461" t="s">
        <v>306</v>
      </c>
      <c r="AX461" t="s">
        <v>306</v>
      </c>
      <c r="BC461" t="s">
        <v>306</v>
      </c>
      <c r="BD461" t="s">
        <v>1536</v>
      </c>
      <c r="BE461">
        <v>111820246</v>
      </c>
      <c r="BF461" t="s">
        <v>346</v>
      </c>
      <c r="BG461">
        <v>0</v>
      </c>
      <c r="BH461" t="s">
        <v>2185</v>
      </c>
      <c r="BM461" t="s">
        <v>306</v>
      </c>
      <c r="BR461" t="s">
        <v>306</v>
      </c>
      <c r="BS461" t="s">
        <v>1086</v>
      </c>
      <c r="BT461">
        <v>4140526</v>
      </c>
      <c r="BU461" t="s">
        <v>346</v>
      </c>
      <c r="BV461">
        <v>0</v>
      </c>
      <c r="BW461" t="s">
        <v>313</v>
      </c>
      <c r="CB461" t="s">
        <v>306</v>
      </c>
      <c r="CC461" t="s">
        <v>1877</v>
      </c>
      <c r="CD461">
        <v>20875359</v>
      </c>
      <c r="CE461" t="s">
        <v>346</v>
      </c>
      <c r="CF461">
        <v>0</v>
      </c>
      <c r="CG461" t="s">
        <v>53</v>
      </c>
      <c r="CL461" t="s">
        <v>306</v>
      </c>
      <c r="CM461" t="s">
        <v>2097</v>
      </c>
      <c r="CN461">
        <v>4272741</v>
      </c>
      <c r="CO461" t="s">
        <v>346</v>
      </c>
      <c r="CP461">
        <v>0</v>
      </c>
      <c r="CQ461" t="s">
        <v>53</v>
      </c>
      <c r="CV461" t="s">
        <v>306</v>
      </c>
      <c r="DA461" t="s">
        <v>306</v>
      </c>
      <c r="DB461" t="s">
        <v>1536</v>
      </c>
      <c r="DC461">
        <v>111820246</v>
      </c>
      <c r="DD461" t="s">
        <v>346</v>
      </c>
      <c r="DE461">
        <v>0</v>
      </c>
      <c r="DF461" t="s">
        <v>2185</v>
      </c>
      <c r="DK461" t="s">
        <v>306</v>
      </c>
      <c r="DL461" t="s">
        <v>1536</v>
      </c>
      <c r="DM461">
        <v>111820246</v>
      </c>
      <c r="DN461" t="s">
        <v>346</v>
      </c>
      <c r="DO461">
        <v>0</v>
      </c>
      <c r="DP461" t="s">
        <v>2185</v>
      </c>
      <c r="DU461" t="s">
        <v>306</v>
      </c>
      <c r="DZ461" t="s">
        <v>306</v>
      </c>
      <c r="EA461" t="s">
        <v>1877</v>
      </c>
      <c r="EB461">
        <v>20875359</v>
      </c>
      <c r="EC461" t="s">
        <v>346</v>
      </c>
      <c r="ED461">
        <v>0</v>
      </c>
      <c r="EE461" t="s">
        <v>53</v>
      </c>
      <c r="EF461" t="s">
        <v>1536</v>
      </c>
      <c r="EG461">
        <v>111820246</v>
      </c>
      <c r="EH461" t="s">
        <v>346</v>
      </c>
      <c r="EI461">
        <v>0</v>
      </c>
      <c r="EJ461" t="s">
        <v>2185</v>
      </c>
      <c r="EO461" t="s">
        <v>306</v>
      </c>
      <c r="ET461" t="s">
        <v>306</v>
      </c>
      <c r="EY461" t="s">
        <v>306</v>
      </c>
      <c r="FD461" t="s">
        <v>306</v>
      </c>
      <c r="FI461" t="s">
        <v>306</v>
      </c>
      <c r="FN461" t="s">
        <v>306</v>
      </c>
      <c r="FS461" t="s">
        <v>306</v>
      </c>
      <c r="FX461" t="s">
        <v>306</v>
      </c>
      <c r="FY461" t="s">
        <v>1536</v>
      </c>
      <c r="FZ461">
        <v>111820246</v>
      </c>
      <c r="GA461" t="s">
        <v>346</v>
      </c>
      <c r="GB461">
        <v>0</v>
      </c>
      <c r="GC461" t="s">
        <v>2185</v>
      </c>
      <c r="GH461" t="s">
        <v>306</v>
      </c>
      <c r="GM461" t="s">
        <v>306</v>
      </c>
      <c r="GR461" t="s">
        <v>306</v>
      </c>
      <c r="GW461" t="s">
        <v>306</v>
      </c>
      <c r="GX461" t="s">
        <v>1877</v>
      </c>
      <c r="GY461">
        <v>20875359</v>
      </c>
      <c r="GZ461" t="s">
        <v>346</v>
      </c>
      <c r="HA461">
        <v>0</v>
      </c>
      <c r="HB461" t="s">
        <v>53</v>
      </c>
      <c r="HG461" t="s">
        <v>306</v>
      </c>
    </row>
    <row r="462" spans="5:215" x14ac:dyDescent="0.35">
      <c r="E462" t="s">
        <v>306</v>
      </c>
      <c r="J462" t="s">
        <v>306</v>
      </c>
      <c r="O462" t="s">
        <v>306</v>
      </c>
      <c r="T462" t="s">
        <v>306</v>
      </c>
      <c r="Y462" t="s">
        <v>306</v>
      </c>
      <c r="AD462" t="s">
        <v>306</v>
      </c>
      <c r="AI462" t="s">
        <v>306</v>
      </c>
      <c r="AN462" t="s">
        <v>306</v>
      </c>
      <c r="AS462" t="s">
        <v>306</v>
      </c>
      <c r="AX462" t="s">
        <v>306</v>
      </c>
      <c r="BC462" t="s">
        <v>306</v>
      </c>
      <c r="BD462" t="s">
        <v>1537</v>
      </c>
      <c r="BE462">
        <v>4261553</v>
      </c>
      <c r="BF462" t="s">
        <v>346</v>
      </c>
      <c r="BG462">
        <v>0</v>
      </c>
      <c r="BH462" t="s">
        <v>2205</v>
      </c>
      <c r="BM462" t="s">
        <v>306</v>
      </c>
      <c r="BR462" t="s">
        <v>306</v>
      </c>
      <c r="BS462" t="s">
        <v>1087</v>
      </c>
      <c r="BT462">
        <v>5762368</v>
      </c>
      <c r="BU462" t="s">
        <v>346</v>
      </c>
      <c r="BV462">
        <v>0</v>
      </c>
      <c r="BW462" t="s">
        <v>2191</v>
      </c>
      <c r="CB462" t="s">
        <v>306</v>
      </c>
      <c r="CC462" t="s">
        <v>1878</v>
      </c>
      <c r="CD462">
        <v>4632532</v>
      </c>
      <c r="CE462" t="s">
        <v>346</v>
      </c>
      <c r="CF462">
        <v>0</v>
      </c>
      <c r="CG462" t="s">
        <v>114</v>
      </c>
      <c r="CL462" t="s">
        <v>306</v>
      </c>
      <c r="CM462" t="s">
        <v>1801</v>
      </c>
      <c r="CN462">
        <v>4376761</v>
      </c>
      <c r="CO462" t="s">
        <v>366</v>
      </c>
      <c r="CP462">
        <v>0</v>
      </c>
      <c r="CQ462" t="s">
        <v>53</v>
      </c>
      <c r="CV462" t="s">
        <v>306</v>
      </c>
      <c r="DA462" t="s">
        <v>306</v>
      </c>
      <c r="DB462" t="s">
        <v>1537</v>
      </c>
      <c r="DC462">
        <v>4261553</v>
      </c>
      <c r="DD462" t="s">
        <v>346</v>
      </c>
      <c r="DE462">
        <v>0</v>
      </c>
      <c r="DF462" t="s">
        <v>2205</v>
      </c>
      <c r="DK462" t="s">
        <v>306</v>
      </c>
      <c r="DL462" t="s">
        <v>1537</v>
      </c>
      <c r="DM462">
        <v>4261553</v>
      </c>
      <c r="DN462" t="s">
        <v>346</v>
      </c>
      <c r="DO462">
        <v>0</v>
      </c>
      <c r="DP462" t="s">
        <v>2205</v>
      </c>
      <c r="DU462" t="s">
        <v>306</v>
      </c>
      <c r="DZ462" t="s">
        <v>306</v>
      </c>
      <c r="EA462" t="s">
        <v>1878</v>
      </c>
      <c r="EB462">
        <v>4632532</v>
      </c>
      <c r="EC462" t="s">
        <v>346</v>
      </c>
      <c r="ED462">
        <v>0</v>
      </c>
      <c r="EE462" t="s">
        <v>114</v>
      </c>
      <c r="EF462" t="s">
        <v>1537</v>
      </c>
      <c r="EG462">
        <v>4261553</v>
      </c>
      <c r="EH462" t="s">
        <v>346</v>
      </c>
      <c r="EI462">
        <v>0</v>
      </c>
      <c r="EJ462" t="s">
        <v>2205</v>
      </c>
      <c r="EO462" t="s">
        <v>306</v>
      </c>
      <c r="ET462" t="s">
        <v>306</v>
      </c>
      <c r="EY462" t="s">
        <v>306</v>
      </c>
      <c r="FD462" t="s">
        <v>306</v>
      </c>
      <c r="FI462" t="s">
        <v>306</v>
      </c>
      <c r="FN462" t="s">
        <v>306</v>
      </c>
      <c r="FS462" t="s">
        <v>306</v>
      </c>
      <c r="FX462" t="s">
        <v>306</v>
      </c>
      <c r="FY462" t="s">
        <v>1537</v>
      </c>
      <c r="FZ462">
        <v>4261553</v>
      </c>
      <c r="GA462" t="s">
        <v>346</v>
      </c>
      <c r="GB462">
        <v>0</v>
      </c>
      <c r="GC462" t="s">
        <v>2205</v>
      </c>
      <c r="GH462" t="s">
        <v>306</v>
      </c>
      <c r="GM462" t="s">
        <v>306</v>
      </c>
      <c r="GR462" t="s">
        <v>306</v>
      </c>
      <c r="GW462" t="s">
        <v>306</v>
      </c>
      <c r="GX462" t="s">
        <v>1878</v>
      </c>
      <c r="GY462">
        <v>4632532</v>
      </c>
      <c r="GZ462" t="s">
        <v>346</v>
      </c>
      <c r="HA462">
        <v>0</v>
      </c>
      <c r="HB462" t="s">
        <v>114</v>
      </c>
      <c r="HG462" t="s">
        <v>306</v>
      </c>
    </row>
    <row r="463" spans="5:215" x14ac:dyDescent="0.35">
      <c r="E463" t="s">
        <v>306</v>
      </c>
      <c r="J463" t="s">
        <v>306</v>
      </c>
      <c r="O463" t="s">
        <v>306</v>
      </c>
      <c r="T463" t="s">
        <v>306</v>
      </c>
      <c r="Y463" t="s">
        <v>306</v>
      </c>
      <c r="AD463" t="s">
        <v>306</v>
      </c>
      <c r="AI463" t="s">
        <v>306</v>
      </c>
      <c r="AN463" t="s">
        <v>306</v>
      </c>
      <c r="AS463" t="s">
        <v>306</v>
      </c>
      <c r="AX463" t="s">
        <v>306</v>
      </c>
      <c r="BC463" t="s">
        <v>306</v>
      </c>
      <c r="BD463" t="s">
        <v>1353</v>
      </c>
      <c r="BE463">
        <v>5867014</v>
      </c>
      <c r="BF463" t="s">
        <v>364</v>
      </c>
      <c r="BG463">
        <v>0</v>
      </c>
      <c r="BH463" t="s">
        <v>62</v>
      </c>
      <c r="BM463" t="s">
        <v>306</v>
      </c>
      <c r="BR463" t="s">
        <v>306</v>
      </c>
      <c r="BS463" t="s">
        <v>589</v>
      </c>
      <c r="BT463">
        <v>4140617</v>
      </c>
      <c r="BU463" t="s">
        <v>346</v>
      </c>
      <c r="BV463">
        <v>0</v>
      </c>
      <c r="BW463" t="s">
        <v>320</v>
      </c>
      <c r="CB463" t="s">
        <v>306</v>
      </c>
      <c r="CC463" t="s">
        <v>882</v>
      </c>
      <c r="CD463">
        <v>110793</v>
      </c>
      <c r="CE463" t="s">
        <v>346</v>
      </c>
      <c r="CF463">
        <v>0</v>
      </c>
      <c r="CG463" t="s">
        <v>53</v>
      </c>
      <c r="CL463" t="s">
        <v>306</v>
      </c>
      <c r="CM463" t="s">
        <v>1530</v>
      </c>
      <c r="CN463">
        <v>5755714</v>
      </c>
      <c r="CO463" t="s">
        <v>346</v>
      </c>
      <c r="CP463">
        <v>0</v>
      </c>
      <c r="CQ463" t="s">
        <v>2208</v>
      </c>
      <c r="CV463" t="s">
        <v>306</v>
      </c>
      <c r="DA463" t="s">
        <v>306</v>
      </c>
      <c r="DB463" t="s">
        <v>1353</v>
      </c>
      <c r="DC463">
        <v>5867014</v>
      </c>
      <c r="DD463" t="s">
        <v>364</v>
      </c>
      <c r="DE463">
        <v>0</v>
      </c>
      <c r="DF463" t="s">
        <v>62</v>
      </c>
      <c r="DK463" t="s">
        <v>306</v>
      </c>
      <c r="DL463" t="s">
        <v>1353</v>
      </c>
      <c r="DM463">
        <v>5867014</v>
      </c>
      <c r="DN463" t="s">
        <v>364</v>
      </c>
      <c r="DO463">
        <v>0</v>
      </c>
      <c r="DP463" t="s">
        <v>62</v>
      </c>
      <c r="DU463" t="s">
        <v>306</v>
      </c>
      <c r="DZ463" t="s">
        <v>306</v>
      </c>
      <c r="EA463" t="s">
        <v>882</v>
      </c>
      <c r="EB463">
        <v>110793</v>
      </c>
      <c r="EC463" t="s">
        <v>346</v>
      </c>
      <c r="ED463">
        <v>0</v>
      </c>
      <c r="EE463" t="s">
        <v>53</v>
      </c>
      <c r="EF463" t="s">
        <v>1353</v>
      </c>
      <c r="EG463">
        <v>5867014</v>
      </c>
      <c r="EH463" t="s">
        <v>364</v>
      </c>
      <c r="EI463">
        <v>0</v>
      </c>
      <c r="EJ463" t="s">
        <v>62</v>
      </c>
      <c r="EO463" t="s">
        <v>306</v>
      </c>
      <c r="ET463" t="s">
        <v>306</v>
      </c>
      <c r="EY463" t="s">
        <v>306</v>
      </c>
      <c r="FD463" t="s">
        <v>306</v>
      </c>
      <c r="FI463" t="s">
        <v>306</v>
      </c>
      <c r="FN463" t="s">
        <v>306</v>
      </c>
      <c r="FS463" t="s">
        <v>306</v>
      </c>
      <c r="FX463" t="s">
        <v>306</v>
      </c>
      <c r="FY463" t="s">
        <v>1353</v>
      </c>
      <c r="FZ463">
        <v>5867014</v>
      </c>
      <c r="GA463" t="s">
        <v>364</v>
      </c>
      <c r="GB463">
        <v>0</v>
      </c>
      <c r="GC463" t="s">
        <v>62</v>
      </c>
      <c r="GH463" t="s">
        <v>306</v>
      </c>
      <c r="GM463" t="s">
        <v>306</v>
      </c>
      <c r="GR463" t="s">
        <v>306</v>
      </c>
      <c r="GW463" t="s">
        <v>306</v>
      </c>
      <c r="GX463" t="s">
        <v>882</v>
      </c>
      <c r="GY463">
        <v>110793</v>
      </c>
      <c r="GZ463" t="s">
        <v>346</v>
      </c>
      <c r="HA463">
        <v>0</v>
      </c>
      <c r="HB463" t="s">
        <v>53</v>
      </c>
      <c r="HG463" t="s">
        <v>306</v>
      </c>
    </row>
    <row r="464" spans="5:215" x14ac:dyDescent="0.35">
      <c r="E464" t="s">
        <v>306</v>
      </c>
      <c r="J464" t="s">
        <v>306</v>
      </c>
      <c r="O464" t="s">
        <v>306</v>
      </c>
      <c r="T464" t="s">
        <v>306</v>
      </c>
      <c r="Y464" t="s">
        <v>306</v>
      </c>
      <c r="AD464" t="s">
        <v>306</v>
      </c>
      <c r="AI464" t="s">
        <v>306</v>
      </c>
      <c r="AN464" t="s">
        <v>306</v>
      </c>
      <c r="AS464" t="s">
        <v>306</v>
      </c>
      <c r="AX464" t="s">
        <v>306</v>
      </c>
      <c r="BC464" t="s">
        <v>306</v>
      </c>
      <c r="BD464" t="s">
        <v>597</v>
      </c>
      <c r="BE464">
        <v>4654230</v>
      </c>
      <c r="BF464" t="s">
        <v>346</v>
      </c>
      <c r="BG464">
        <v>0</v>
      </c>
      <c r="BH464" t="s">
        <v>125</v>
      </c>
      <c r="BM464" t="s">
        <v>306</v>
      </c>
      <c r="BR464" t="s">
        <v>306</v>
      </c>
      <c r="BS464" t="s">
        <v>793</v>
      </c>
      <c r="BT464">
        <v>7798890</v>
      </c>
      <c r="BU464" t="s">
        <v>346</v>
      </c>
      <c r="BV464">
        <v>0</v>
      </c>
      <c r="BW464" t="s">
        <v>50</v>
      </c>
      <c r="CB464" t="s">
        <v>306</v>
      </c>
      <c r="CC464" t="s">
        <v>1879</v>
      </c>
      <c r="CD464">
        <v>29491243</v>
      </c>
      <c r="CE464" t="s">
        <v>346</v>
      </c>
      <c r="CF464">
        <v>0</v>
      </c>
      <c r="CG464" t="s">
        <v>114</v>
      </c>
      <c r="CL464" t="s">
        <v>306</v>
      </c>
      <c r="CM464" t="s">
        <v>1721</v>
      </c>
      <c r="CN464">
        <v>4560824</v>
      </c>
      <c r="CO464" t="s">
        <v>346</v>
      </c>
      <c r="CP464">
        <v>0</v>
      </c>
      <c r="CQ464" t="s">
        <v>53</v>
      </c>
      <c r="CV464" t="s">
        <v>306</v>
      </c>
      <c r="DA464" t="s">
        <v>306</v>
      </c>
      <c r="DB464" t="s">
        <v>597</v>
      </c>
      <c r="DC464">
        <v>4654230</v>
      </c>
      <c r="DD464" t="s">
        <v>346</v>
      </c>
      <c r="DE464">
        <v>0</v>
      </c>
      <c r="DF464" t="s">
        <v>125</v>
      </c>
      <c r="DK464" t="s">
        <v>306</v>
      </c>
      <c r="DL464" t="s">
        <v>597</v>
      </c>
      <c r="DM464">
        <v>4654230</v>
      </c>
      <c r="DN464" t="s">
        <v>346</v>
      </c>
      <c r="DO464">
        <v>0</v>
      </c>
      <c r="DP464" t="s">
        <v>125</v>
      </c>
      <c r="DU464" t="s">
        <v>306</v>
      </c>
      <c r="DZ464" t="s">
        <v>306</v>
      </c>
      <c r="EA464" t="s">
        <v>1879</v>
      </c>
      <c r="EB464">
        <v>29491243</v>
      </c>
      <c r="EC464" t="s">
        <v>346</v>
      </c>
      <c r="ED464">
        <v>0</v>
      </c>
      <c r="EE464" t="s">
        <v>114</v>
      </c>
      <c r="EF464" t="s">
        <v>597</v>
      </c>
      <c r="EG464">
        <v>4654230</v>
      </c>
      <c r="EH464" t="s">
        <v>346</v>
      </c>
      <c r="EI464">
        <v>0</v>
      </c>
      <c r="EJ464" t="s">
        <v>125</v>
      </c>
      <c r="EO464" t="s">
        <v>306</v>
      </c>
      <c r="ET464" t="s">
        <v>306</v>
      </c>
      <c r="EY464" t="s">
        <v>306</v>
      </c>
      <c r="FD464" t="s">
        <v>306</v>
      </c>
      <c r="FI464" t="s">
        <v>306</v>
      </c>
      <c r="FN464" t="s">
        <v>306</v>
      </c>
      <c r="FS464" t="s">
        <v>306</v>
      </c>
      <c r="FX464" t="s">
        <v>306</v>
      </c>
      <c r="FY464" t="s">
        <v>597</v>
      </c>
      <c r="FZ464">
        <v>4654230</v>
      </c>
      <c r="GA464" t="s">
        <v>346</v>
      </c>
      <c r="GB464">
        <v>0</v>
      </c>
      <c r="GC464" t="s">
        <v>125</v>
      </c>
      <c r="GH464" t="s">
        <v>306</v>
      </c>
      <c r="GM464" t="s">
        <v>306</v>
      </c>
      <c r="GR464" t="s">
        <v>306</v>
      </c>
      <c r="GW464" t="s">
        <v>306</v>
      </c>
      <c r="GX464" t="s">
        <v>1879</v>
      </c>
      <c r="GY464">
        <v>29491243</v>
      </c>
      <c r="GZ464" t="s">
        <v>346</v>
      </c>
      <c r="HA464">
        <v>0</v>
      </c>
      <c r="HB464" t="s">
        <v>114</v>
      </c>
      <c r="HG464" t="s">
        <v>306</v>
      </c>
    </row>
    <row r="465" spans="5:215" x14ac:dyDescent="0.35">
      <c r="E465" t="s">
        <v>306</v>
      </c>
      <c r="J465" t="s">
        <v>306</v>
      </c>
      <c r="O465" t="s">
        <v>306</v>
      </c>
      <c r="T465" t="s">
        <v>306</v>
      </c>
      <c r="Y465" t="s">
        <v>306</v>
      </c>
      <c r="AD465" t="s">
        <v>306</v>
      </c>
      <c r="AI465" t="s">
        <v>306</v>
      </c>
      <c r="AN465" t="s">
        <v>306</v>
      </c>
      <c r="AS465" t="s">
        <v>306</v>
      </c>
      <c r="AX465" t="s">
        <v>306</v>
      </c>
      <c r="BC465" t="s">
        <v>306</v>
      </c>
      <c r="BD465" t="s">
        <v>1538</v>
      </c>
      <c r="BE465">
        <v>4416983</v>
      </c>
      <c r="BF465" t="s">
        <v>366</v>
      </c>
      <c r="BG465">
        <v>0</v>
      </c>
      <c r="BH465" t="s">
        <v>2184</v>
      </c>
      <c r="BM465" t="s">
        <v>306</v>
      </c>
      <c r="BR465" t="s">
        <v>306</v>
      </c>
      <c r="BS465" t="s">
        <v>1088</v>
      </c>
      <c r="BT465" t="s">
        <v>300</v>
      </c>
      <c r="BU465" t="s">
        <v>361</v>
      </c>
      <c r="BV465">
        <v>0</v>
      </c>
      <c r="BW465" t="s">
        <v>50</v>
      </c>
      <c r="CB465" t="s">
        <v>306</v>
      </c>
      <c r="CC465" t="s">
        <v>1880</v>
      </c>
      <c r="CD465">
        <v>4679925</v>
      </c>
      <c r="CE465" t="s">
        <v>346</v>
      </c>
      <c r="CF465">
        <v>0</v>
      </c>
      <c r="CG465" t="s">
        <v>53</v>
      </c>
      <c r="CL465" t="s">
        <v>306</v>
      </c>
      <c r="CM465" t="s">
        <v>2098</v>
      </c>
      <c r="CN465">
        <v>10855004</v>
      </c>
      <c r="CO465" t="s">
        <v>346</v>
      </c>
      <c r="CP465">
        <v>0</v>
      </c>
      <c r="CQ465" t="s">
        <v>53</v>
      </c>
      <c r="CV465" t="s">
        <v>306</v>
      </c>
      <c r="DA465" t="s">
        <v>306</v>
      </c>
      <c r="DB465" t="s">
        <v>1538</v>
      </c>
      <c r="DC465">
        <v>4416983</v>
      </c>
      <c r="DD465" t="s">
        <v>366</v>
      </c>
      <c r="DE465">
        <v>0</v>
      </c>
      <c r="DF465" t="s">
        <v>2184</v>
      </c>
      <c r="DK465" t="s">
        <v>306</v>
      </c>
      <c r="DL465" t="s">
        <v>1538</v>
      </c>
      <c r="DM465">
        <v>4416983</v>
      </c>
      <c r="DN465" t="s">
        <v>366</v>
      </c>
      <c r="DO465">
        <v>0</v>
      </c>
      <c r="DP465" t="s">
        <v>2184</v>
      </c>
      <c r="DU465" t="s">
        <v>306</v>
      </c>
      <c r="DZ465" t="s">
        <v>306</v>
      </c>
      <c r="EA465" t="s">
        <v>1880</v>
      </c>
      <c r="EB465">
        <v>4679925</v>
      </c>
      <c r="EC465" t="s">
        <v>346</v>
      </c>
      <c r="ED465">
        <v>0</v>
      </c>
      <c r="EE465" t="s">
        <v>53</v>
      </c>
      <c r="EF465" t="s">
        <v>1538</v>
      </c>
      <c r="EG465">
        <v>4416983</v>
      </c>
      <c r="EH465" t="s">
        <v>366</v>
      </c>
      <c r="EI465">
        <v>0</v>
      </c>
      <c r="EJ465" t="s">
        <v>2184</v>
      </c>
      <c r="EO465" t="s">
        <v>306</v>
      </c>
      <c r="ET465" t="s">
        <v>306</v>
      </c>
      <c r="EY465" t="s">
        <v>306</v>
      </c>
      <c r="FD465" t="s">
        <v>306</v>
      </c>
      <c r="FI465" t="s">
        <v>306</v>
      </c>
      <c r="FN465" t="s">
        <v>306</v>
      </c>
      <c r="FS465" t="s">
        <v>306</v>
      </c>
      <c r="FX465" t="s">
        <v>306</v>
      </c>
      <c r="FY465" t="s">
        <v>1538</v>
      </c>
      <c r="FZ465">
        <v>4416983</v>
      </c>
      <c r="GA465" t="s">
        <v>366</v>
      </c>
      <c r="GB465">
        <v>0</v>
      </c>
      <c r="GC465" t="s">
        <v>2184</v>
      </c>
      <c r="GH465" t="s">
        <v>306</v>
      </c>
      <c r="GM465" t="s">
        <v>306</v>
      </c>
      <c r="GR465" t="s">
        <v>306</v>
      </c>
      <c r="GW465" t="s">
        <v>306</v>
      </c>
      <c r="GX465" t="s">
        <v>1880</v>
      </c>
      <c r="GY465">
        <v>4679925</v>
      </c>
      <c r="GZ465" t="s">
        <v>346</v>
      </c>
      <c r="HA465">
        <v>0</v>
      </c>
      <c r="HB465" t="s">
        <v>53</v>
      </c>
      <c r="HG465" t="s">
        <v>306</v>
      </c>
    </row>
    <row r="466" spans="5:215" x14ac:dyDescent="0.35">
      <c r="E466" t="s">
        <v>306</v>
      </c>
      <c r="J466" t="s">
        <v>306</v>
      </c>
      <c r="O466" t="s">
        <v>306</v>
      </c>
      <c r="T466" t="s">
        <v>306</v>
      </c>
      <c r="Y466" t="s">
        <v>306</v>
      </c>
      <c r="AD466" t="s">
        <v>306</v>
      </c>
      <c r="AI466" t="s">
        <v>306</v>
      </c>
      <c r="AN466" t="s">
        <v>306</v>
      </c>
      <c r="AS466" t="s">
        <v>306</v>
      </c>
      <c r="AX466" t="s">
        <v>306</v>
      </c>
      <c r="BC466" t="s">
        <v>306</v>
      </c>
      <c r="BD466" t="s">
        <v>1539</v>
      </c>
      <c r="BE466">
        <v>117631848</v>
      </c>
      <c r="BF466" t="s">
        <v>346</v>
      </c>
      <c r="BG466">
        <v>0</v>
      </c>
      <c r="BH466" t="s">
        <v>62</v>
      </c>
      <c r="BM466" t="s">
        <v>306</v>
      </c>
      <c r="BR466" t="s">
        <v>306</v>
      </c>
      <c r="BS466" t="s">
        <v>1089</v>
      </c>
      <c r="BT466">
        <v>4552264</v>
      </c>
      <c r="BU466" t="s">
        <v>346</v>
      </c>
      <c r="BV466">
        <v>0</v>
      </c>
      <c r="BW466" t="s">
        <v>2188</v>
      </c>
      <c r="CB466" t="s">
        <v>306</v>
      </c>
      <c r="CC466" t="s">
        <v>1086</v>
      </c>
      <c r="CD466">
        <v>4140526</v>
      </c>
      <c r="CE466" t="s">
        <v>346</v>
      </c>
      <c r="CF466">
        <v>0</v>
      </c>
      <c r="CG466" t="s">
        <v>313</v>
      </c>
      <c r="CL466" t="s">
        <v>306</v>
      </c>
      <c r="CM466" t="s">
        <v>2099</v>
      </c>
      <c r="CN466">
        <v>4218717</v>
      </c>
      <c r="CO466" t="s">
        <v>346</v>
      </c>
      <c r="CP466">
        <v>0</v>
      </c>
      <c r="CQ466" t="s">
        <v>53</v>
      </c>
      <c r="CV466" t="s">
        <v>306</v>
      </c>
      <c r="DA466" t="s">
        <v>306</v>
      </c>
      <c r="DB466" t="s">
        <v>1539</v>
      </c>
      <c r="DC466">
        <v>117631848</v>
      </c>
      <c r="DD466" t="s">
        <v>346</v>
      </c>
      <c r="DE466">
        <v>0</v>
      </c>
      <c r="DF466" t="s">
        <v>62</v>
      </c>
      <c r="DK466" t="s">
        <v>306</v>
      </c>
      <c r="DL466" t="s">
        <v>1539</v>
      </c>
      <c r="DM466">
        <v>117631848</v>
      </c>
      <c r="DN466" t="s">
        <v>346</v>
      </c>
      <c r="DO466">
        <v>0</v>
      </c>
      <c r="DP466" t="s">
        <v>62</v>
      </c>
      <c r="DU466" t="s">
        <v>306</v>
      </c>
      <c r="DZ466" t="s">
        <v>306</v>
      </c>
      <c r="EA466" t="s">
        <v>1086</v>
      </c>
      <c r="EB466">
        <v>4140526</v>
      </c>
      <c r="EC466" t="s">
        <v>346</v>
      </c>
      <c r="ED466">
        <v>0</v>
      </c>
      <c r="EE466" t="s">
        <v>313</v>
      </c>
      <c r="EF466" t="s">
        <v>1539</v>
      </c>
      <c r="EG466">
        <v>117631848</v>
      </c>
      <c r="EH466" t="s">
        <v>346</v>
      </c>
      <c r="EI466">
        <v>0</v>
      </c>
      <c r="EJ466" t="s">
        <v>62</v>
      </c>
      <c r="EO466" t="s">
        <v>306</v>
      </c>
      <c r="ET466" t="s">
        <v>306</v>
      </c>
      <c r="EY466" t="s">
        <v>306</v>
      </c>
      <c r="FD466" t="s">
        <v>306</v>
      </c>
      <c r="FI466" t="s">
        <v>306</v>
      </c>
      <c r="FN466" t="s">
        <v>306</v>
      </c>
      <c r="FS466" t="s">
        <v>306</v>
      </c>
      <c r="FX466" t="s">
        <v>306</v>
      </c>
      <c r="FY466" t="s">
        <v>1539</v>
      </c>
      <c r="FZ466">
        <v>117631848</v>
      </c>
      <c r="GA466" t="s">
        <v>346</v>
      </c>
      <c r="GB466">
        <v>0</v>
      </c>
      <c r="GC466" t="s">
        <v>62</v>
      </c>
      <c r="GH466" t="s">
        <v>306</v>
      </c>
      <c r="GM466" t="s">
        <v>306</v>
      </c>
      <c r="GR466" t="s">
        <v>306</v>
      </c>
      <c r="GW466" t="s">
        <v>306</v>
      </c>
      <c r="GX466" t="s">
        <v>1086</v>
      </c>
      <c r="GY466">
        <v>4140526</v>
      </c>
      <c r="GZ466" t="s">
        <v>346</v>
      </c>
      <c r="HA466">
        <v>0</v>
      </c>
      <c r="HB466" t="s">
        <v>313</v>
      </c>
      <c r="HG466" t="s">
        <v>306</v>
      </c>
    </row>
    <row r="467" spans="5:215" x14ac:dyDescent="0.35">
      <c r="E467" t="s">
        <v>306</v>
      </c>
      <c r="J467" t="s">
        <v>306</v>
      </c>
      <c r="O467" t="s">
        <v>306</v>
      </c>
      <c r="T467" t="s">
        <v>306</v>
      </c>
      <c r="Y467" t="s">
        <v>306</v>
      </c>
      <c r="AD467" t="s">
        <v>306</v>
      </c>
      <c r="AI467" t="s">
        <v>306</v>
      </c>
      <c r="AN467" t="s">
        <v>306</v>
      </c>
      <c r="AS467" t="s">
        <v>306</v>
      </c>
      <c r="AX467" t="s">
        <v>306</v>
      </c>
      <c r="BC467" t="s">
        <v>306</v>
      </c>
      <c r="BD467" t="s">
        <v>1245</v>
      </c>
      <c r="BE467">
        <v>6729481</v>
      </c>
      <c r="BF467" t="s">
        <v>346</v>
      </c>
      <c r="BG467">
        <v>0</v>
      </c>
      <c r="BH467" t="s">
        <v>2185</v>
      </c>
      <c r="BM467" t="s">
        <v>306</v>
      </c>
      <c r="BR467" t="s">
        <v>306</v>
      </c>
      <c r="BS467" t="s">
        <v>1090</v>
      </c>
      <c r="BT467">
        <v>4547746</v>
      </c>
      <c r="BU467" t="s">
        <v>346</v>
      </c>
      <c r="BV467">
        <v>0</v>
      </c>
      <c r="BW467" t="s">
        <v>2185</v>
      </c>
      <c r="CB467" t="s">
        <v>306</v>
      </c>
      <c r="CC467" t="s">
        <v>1881</v>
      </c>
      <c r="CD467">
        <v>4093415</v>
      </c>
      <c r="CE467" t="s">
        <v>346</v>
      </c>
      <c r="CF467">
        <v>0</v>
      </c>
      <c r="CG467" t="s">
        <v>53</v>
      </c>
      <c r="CL467" t="s">
        <v>306</v>
      </c>
      <c r="CM467" t="s">
        <v>2100</v>
      </c>
      <c r="CN467">
        <v>4243939</v>
      </c>
      <c r="CO467" t="s">
        <v>346</v>
      </c>
      <c r="CP467">
        <v>0</v>
      </c>
      <c r="CQ467" t="s">
        <v>53</v>
      </c>
      <c r="CV467" t="s">
        <v>306</v>
      </c>
      <c r="DA467" t="s">
        <v>306</v>
      </c>
      <c r="DB467" t="s">
        <v>1245</v>
      </c>
      <c r="DC467">
        <v>6729481</v>
      </c>
      <c r="DD467" t="s">
        <v>346</v>
      </c>
      <c r="DE467">
        <v>0</v>
      </c>
      <c r="DF467" t="s">
        <v>2185</v>
      </c>
      <c r="DK467" t="s">
        <v>306</v>
      </c>
      <c r="DL467" t="s">
        <v>1245</v>
      </c>
      <c r="DM467">
        <v>6729481</v>
      </c>
      <c r="DN467" t="s">
        <v>346</v>
      </c>
      <c r="DO467">
        <v>0</v>
      </c>
      <c r="DP467" t="s">
        <v>2185</v>
      </c>
      <c r="DU467" t="s">
        <v>306</v>
      </c>
      <c r="DZ467" t="s">
        <v>306</v>
      </c>
      <c r="EA467" t="s">
        <v>1881</v>
      </c>
      <c r="EB467">
        <v>4093415</v>
      </c>
      <c r="EC467" t="s">
        <v>346</v>
      </c>
      <c r="ED467">
        <v>0</v>
      </c>
      <c r="EE467" t="s">
        <v>53</v>
      </c>
      <c r="EF467" t="s">
        <v>1245</v>
      </c>
      <c r="EG467">
        <v>6729481</v>
      </c>
      <c r="EH467" t="s">
        <v>346</v>
      </c>
      <c r="EI467">
        <v>0</v>
      </c>
      <c r="EJ467" t="s">
        <v>2185</v>
      </c>
      <c r="EO467" t="s">
        <v>306</v>
      </c>
      <c r="ET467" t="s">
        <v>306</v>
      </c>
      <c r="EY467" t="s">
        <v>306</v>
      </c>
      <c r="FD467" t="s">
        <v>306</v>
      </c>
      <c r="FI467" t="s">
        <v>306</v>
      </c>
      <c r="FN467" t="s">
        <v>306</v>
      </c>
      <c r="FS467" t="s">
        <v>306</v>
      </c>
      <c r="FX467" t="s">
        <v>306</v>
      </c>
      <c r="FY467" t="s">
        <v>1245</v>
      </c>
      <c r="FZ467">
        <v>6729481</v>
      </c>
      <c r="GA467" t="s">
        <v>346</v>
      </c>
      <c r="GB467">
        <v>0</v>
      </c>
      <c r="GC467" t="s">
        <v>2185</v>
      </c>
      <c r="GH467" t="s">
        <v>306</v>
      </c>
      <c r="GM467" t="s">
        <v>306</v>
      </c>
      <c r="GR467" t="s">
        <v>306</v>
      </c>
      <c r="GW467" t="s">
        <v>306</v>
      </c>
      <c r="GX467" t="s">
        <v>1881</v>
      </c>
      <c r="GY467">
        <v>4093415</v>
      </c>
      <c r="GZ467" t="s">
        <v>346</v>
      </c>
      <c r="HA467">
        <v>0</v>
      </c>
      <c r="HB467" t="s">
        <v>53</v>
      </c>
      <c r="HG467" t="s">
        <v>306</v>
      </c>
    </row>
    <row r="468" spans="5:215" x14ac:dyDescent="0.35">
      <c r="E468" t="s">
        <v>306</v>
      </c>
      <c r="J468" t="s">
        <v>306</v>
      </c>
      <c r="O468" t="s">
        <v>306</v>
      </c>
      <c r="T468" t="s">
        <v>306</v>
      </c>
      <c r="Y468" t="s">
        <v>306</v>
      </c>
      <c r="AD468" t="s">
        <v>306</v>
      </c>
      <c r="AI468" t="s">
        <v>306</v>
      </c>
      <c r="AN468" t="s">
        <v>306</v>
      </c>
      <c r="AS468" t="s">
        <v>306</v>
      </c>
      <c r="AX468" t="s">
        <v>306</v>
      </c>
      <c r="BC468" t="s">
        <v>306</v>
      </c>
      <c r="BD468" t="s">
        <v>1540</v>
      </c>
      <c r="BE468">
        <v>10555876</v>
      </c>
      <c r="BF468" t="s">
        <v>346</v>
      </c>
      <c r="BG468">
        <v>0</v>
      </c>
      <c r="BH468" t="s">
        <v>2184</v>
      </c>
      <c r="BM468" t="s">
        <v>306</v>
      </c>
      <c r="BR468" t="s">
        <v>306</v>
      </c>
      <c r="BS468" t="s">
        <v>448</v>
      </c>
      <c r="BT468">
        <v>4586390</v>
      </c>
      <c r="BU468" t="s">
        <v>346</v>
      </c>
      <c r="BV468">
        <v>0</v>
      </c>
      <c r="BW468" t="s">
        <v>304</v>
      </c>
      <c r="CB468" t="s">
        <v>306</v>
      </c>
      <c r="CC468" t="s">
        <v>1882</v>
      </c>
      <c r="CD468">
        <v>29154437</v>
      </c>
      <c r="CE468" t="s">
        <v>346</v>
      </c>
      <c r="CF468">
        <v>0</v>
      </c>
      <c r="CG468" t="s">
        <v>53</v>
      </c>
      <c r="CL468" t="s">
        <v>306</v>
      </c>
      <c r="CM468" t="s">
        <v>1851</v>
      </c>
      <c r="CN468">
        <v>4115833</v>
      </c>
      <c r="CO468" t="s">
        <v>346</v>
      </c>
      <c r="CP468">
        <v>0</v>
      </c>
      <c r="CQ468" t="s">
        <v>53</v>
      </c>
      <c r="CV468" t="s">
        <v>306</v>
      </c>
      <c r="DA468" t="s">
        <v>306</v>
      </c>
      <c r="DB468" t="s">
        <v>1540</v>
      </c>
      <c r="DC468">
        <v>10555876</v>
      </c>
      <c r="DD468" t="s">
        <v>346</v>
      </c>
      <c r="DE468">
        <v>0</v>
      </c>
      <c r="DF468" t="s">
        <v>2184</v>
      </c>
      <c r="DK468" t="s">
        <v>306</v>
      </c>
      <c r="DL468" t="s">
        <v>1540</v>
      </c>
      <c r="DM468">
        <v>10555876</v>
      </c>
      <c r="DN468" t="s">
        <v>346</v>
      </c>
      <c r="DO468">
        <v>0</v>
      </c>
      <c r="DP468" t="s">
        <v>2184</v>
      </c>
      <c r="DU468" t="s">
        <v>306</v>
      </c>
      <c r="DZ468" t="s">
        <v>306</v>
      </c>
      <c r="EA468" t="s">
        <v>1882</v>
      </c>
      <c r="EB468">
        <v>29154437</v>
      </c>
      <c r="EC468" t="s">
        <v>346</v>
      </c>
      <c r="ED468">
        <v>0</v>
      </c>
      <c r="EE468" t="s">
        <v>53</v>
      </c>
      <c r="EF468" t="s">
        <v>1540</v>
      </c>
      <c r="EG468">
        <v>10555876</v>
      </c>
      <c r="EH468" t="s">
        <v>346</v>
      </c>
      <c r="EI468">
        <v>0</v>
      </c>
      <c r="EJ468" t="s">
        <v>2184</v>
      </c>
      <c r="EO468" t="s">
        <v>306</v>
      </c>
      <c r="ET468" t="s">
        <v>306</v>
      </c>
      <c r="EY468" t="s">
        <v>306</v>
      </c>
      <c r="FD468" t="s">
        <v>306</v>
      </c>
      <c r="FI468" t="s">
        <v>306</v>
      </c>
      <c r="FN468" t="s">
        <v>306</v>
      </c>
      <c r="FS468" t="s">
        <v>306</v>
      </c>
      <c r="FX468" t="s">
        <v>306</v>
      </c>
      <c r="FY468" t="s">
        <v>1540</v>
      </c>
      <c r="FZ468">
        <v>10555876</v>
      </c>
      <c r="GA468" t="s">
        <v>346</v>
      </c>
      <c r="GB468">
        <v>0</v>
      </c>
      <c r="GC468" t="s">
        <v>2184</v>
      </c>
      <c r="GH468" t="s">
        <v>306</v>
      </c>
      <c r="GM468" t="s">
        <v>306</v>
      </c>
      <c r="GR468" t="s">
        <v>306</v>
      </c>
      <c r="GW468" t="s">
        <v>306</v>
      </c>
      <c r="GX468" t="s">
        <v>1882</v>
      </c>
      <c r="GY468">
        <v>29154437</v>
      </c>
      <c r="GZ468" t="s">
        <v>346</v>
      </c>
      <c r="HA468">
        <v>0</v>
      </c>
      <c r="HB468" t="s">
        <v>53</v>
      </c>
      <c r="HG468" t="s">
        <v>306</v>
      </c>
    </row>
    <row r="469" spans="5:215" x14ac:dyDescent="0.35">
      <c r="E469" t="s">
        <v>306</v>
      </c>
      <c r="J469" t="s">
        <v>306</v>
      </c>
      <c r="O469" t="s">
        <v>306</v>
      </c>
      <c r="T469" t="s">
        <v>306</v>
      </c>
      <c r="Y469" t="s">
        <v>306</v>
      </c>
      <c r="AD469" t="s">
        <v>306</v>
      </c>
      <c r="AI469" t="s">
        <v>306</v>
      </c>
      <c r="AN469" t="s">
        <v>306</v>
      </c>
      <c r="AS469" t="s">
        <v>306</v>
      </c>
      <c r="AX469" t="s">
        <v>306</v>
      </c>
      <c r="BC469" t="s">
        <v>306</v>
      </c>
      <c r="BD469" t="s">
        <v>925</v>
      </c>
      <c r="BE469">
        <v>4055966</v>
      </c>
      <c r="BF469" t="s">
        <v>346</v>
      </c>
      <c r="BG469">
        <v>0</v>
      </c>
      <c r="BH469" t="s">
        <v>53</v>
      </c>
      <c r="BM469" t="s">
        <v>306</v>
      </c>
      <c r="BR469" t="s">
        <v>306</v>
      </c>
      <c r="BS469" t="s">
        <v>1091</v>
      </c>
      <c r="BT469">
        <v>9761756</v>
      </c>
      <c r="BU469" t="s">
        <v>346</v>
      </c>
      <c r="BV469">
        <v>0</v>
      </c>
      <c r="BW469" t="s">
        <v>320</v>
      </c>
      <c r="CB469" t="s">
        <v>306</v>
      </c>
      <c r="CC469" t="s">
        <v>1883</v>
      </c>
      <c r="CD469">
        <v>27723127</v>
      </c>
      <c r="CE469" t="s">
        <v>364</v>
      </c>
      <c r="CF469">
        <v>0</v>
      </c>
      <c r="CG469" t="s">
        <v>53</v>
      </c>
      <c r="CL469" t="s">
        <v>306</v>
      </c>
      <c r="CM469" t="s">
        <v>2101</v>
      </c>
      <c r="CN469">
        <v>5615686</v>
      </c>
      <c r="CO469" t="s">
        <v>346</v>
      </c>
      <c r="CP469">
        <v>0</v>
      </c>
      <c r="CQ469" t="s">
        <v>53</v>
      </c>
      <c r="CV469" t="s">
        <v>306</v>
      </c>
      <c r="DA469" t="s">
        <v>306</v>
      </c>
      <c r="DB469" t="s">
        <v>925</v>
      </c>
      <c r="DC469">
        <v>4055966</v>
      </c>
      <c r="DD469" t="s">
        <v>346</v>
      </c>
      <c r="DE469">
        <v>0</v>
      </c>
      <c r="DF469" t="s">
        <v>53</v>
      </c>
      <c r="DK469" t="s">
        <v>306</v>
      </c>
      <c r="DL469" t="s">
        <v>925</v>
      </c>
      <c r="DM469">
        <v>4055966</v>
      </c>
      <c r="DN469" t="s">
        <v>346</v>
      </c>
      <c r="DO469">
        <v>0</v>
      </c>
      <c r="DP469" t="s">
        <v>53</v>
      </c>
      <c r="DU469" t="s">
        <v>306</v>
      </c>
      <c r="DZ469" t="s">
        <v>306</v>
      </c>
      <c r="EA469" t="s">
        <v>1883</v>
      </c>
      <c r="EB469">
        <v>27723127</v>
      </c>
      <c r="EC469" t="s">
        <v>364</v>
      </c>
      <c r="ED469">
        <v>0</v>
      </c>
      <c r="EE469" t="s">
        <v>53</v>
      </c>
      <c r="EF469" t="s">
        <v>925</v>
      </c>
      <c r="EG469">
        <v>4055966</v>
      </c>
      <c r="EH469" t="s">
        <v>346</v>
      </c>
      <c r="EI469">
        <v>0</v>
      </c>
      <c r="EJ469" t="s">
        <v>53</v>
      </c>
      <c r="EO469" t="s">
        <v>306</v>
      </c>
      <c r="ET469" t="s">
        <v>306</v>
      </c>
      <c r="EY469" t="s">
        <v>306</v>
      </c>
      <c r="FD469" t="s">
        <v>306</v>
      </c>
      <c r="FI469" t="s">
        <v>306</v>
      </c>
      <c r="FN469" t="s">
        <v>306</v>
      </c>
      <c r="FS469" t="s">
        <v>306</v>
      </c>
      <c r="FX469" t="s">
        <v>306</v>
      </c>
      <c r="FY469" t="s">
        <v>925</v>
      </c>
      <c r="FZ469">
        <v>4055966</v>
      </c>
      <c r="GA469" t="s">
        <v>346</v>
      </c>
      <c r="GB469">
        <v>0</v>
      </c>
      <c r="GC469" t="s">
        <v>53</v>
      </c>
      <c r="GH469" t="s">
        <v>306</v>
      </c>
      <c r="GM469" t="s">
        <v>306</v>
      </c>
      <c r="GR469" t="s">
        <v>306</v>
      </c>
      <c r="GW469" t="s">
        <v>306</v>
      </c>
      <c r="GX469" t="s">
        <v>1883</v>
      </c>
      <c r="GY469">
        <v>27723127</v>
      </c>
      <c r="GZ469" t="s">
        <v>364</v>
      </c>
      <c r="HA469">
        <v>0</v>
      </c>
      <c r="HB469" t="s">
        <v>53</v>
      </c>
      <c r="HG469" t="s">
        <v>306</v>
      </c>
    </row>
    <row r="470" spans="5:215" x14ac:dyDescent="0.35">
      <c r="E470" t="s">
        <v>306</v>
      </c>
      <c r="J470" t="s">
        <v>306</v>
      </c>
      <c r="O470" t="s">
        <v>306</v>
      </c>
      <c r="T470" t="s">
        <v>306</v>
      </c>
      <c r="Y470" t="s">
        <v>306</v>
      </c>
      <c r="AD470" t="s">
        <v>306</v>
      </c>
      <c r="AI470" t="s">
        <v>306</v>
      </c>
      <c r="AN470" t="s">
        <v>306</v>
      </c>
      <c r="AS470" t="s">
        <v>306</v>
      </c>
      <c r="AX470" t="s">
        <v>306</v>
      </c>
      <c r="BC470" t="s">
        <v>306</v>
      </c>
      <c r="BD470" t="s">
        <v>395</v>
      </c>
      <c r="BE470">
        <v>4153606</v>
      </c>
      <c r="BF470" t="s">
        <v>346</v>
      </c>
      <c r="BG470">
        <v>0</v>
      </c>
      <c r="BH470" t="s">
        <v>53</v>
      </c>
      <c r="BM470" t="s">
        <v>306</v>
      </c>
      <c r="BR470" t="s">
        <v>306</v>
      </c>
      <c r="BS470" t="s">
        <v>842</v>
      </c>
      <c r="BT470">
        <v>19437756</v>
      </c>
      <c r="BU470" t="s">
        <v>346</v>
      </c>
      <c r="BV470">
        <v>0</v>
      </c>
      <c r="BW470" t="s">
        <v>50</v>
      </c>
      <c r="CB470" t="s">
        <v>306</v>
      </c>
      <c r="CC470" t="s">
        <v>453</v>
      </c>
      <c r="CD470">
        <v>4318598</v>
      </c>
      <c r="CE470" t="s">
        <v>346</v>
      </c>
      <c r="CF470">
        <v>0</v>
      </c>
      <c r="CG470" t="s">
        <v>53</v>
      </c>
      <c r="CL470" t="s">
        <v>306</v>
      </c>
      <c r="CM470" t="s">
        <v>2102</v>
      </c>
      <c r="CN470">
        <v>28890730</v>
      </c>
      <c r="CO470" t="s">
        <v>346</v>
      </c>
      <c r="CP470">
        <v>0</v>
      </c>
      <c r="CQ470" t="s">
        <v>53</v>
      </c>
      <c r="CV470" t="s">
        <v>306</v>
      </c>
      <c r="DA470" t="s">
        <v>306</v>
      </c>
      <c r="DB470" t="s">
        <v>395</v>
      </c>
      <c r="DC470">
        <v>4153606</v>
      </c>
      <c r="DD470" t="s">
        <v>346</v>
      </c>
      <c r="DE470">
        <v>0</v>
      </c>
      <c r="DF470" t="s">
        <v>53</v>
      </c>
      <c r="DK470" t="s">
        <v>306</v>
      </c>
      <c r="DL470" t="s">
        <v>395</v>
      </c>
      <c r="DM470">
        <v>4153606</v>
      </c>
      <c r="DN470" t="s">
        <v>346</v>
      </c>
      <c r="DO470">
        <v>0</v>
      </c>
      <c r="DP470" t="s">
        <v>53</v>
      </c>
      <c r="DU470" t="s">
        <v>306</v>
      </c>
      <c r="DZ470" t="s">
        <v>306</v>
      </c>
      <c r="EA470" t="s">
        <v>453</v>
      </c>
      <c r="EB470">
        <v>4318598</v>
      </c>
      <c r="EC470" t="s">
        <v>346</v>
      </c>
      <c r="ED470">
        <v>0</v>
      </c>
      <c r="EE470" t="s">
        <v>53</v>
      </c>
      <c r="EF470" t="s">
        <v>395</v>
      </c>
      <c r="EG470">
        <v>4153606</v>
      </c>
      <c r="EH470" t="s">
        <v>346</v>
      </c>
      <c r="EI470">
        <v>0</v>
      </c>
      <c r="EJ470" t="s">
        <v>53</v>
      </c>
      <c r="EO470" t="s">
        <v>306</v>
      </c>
      <c r="ET470" t="s">
        <v>306</v>
      </c>
      <c r="EY470" t="s">
        <v>306</v>
      </c>
      <c r="FD470" t="s">
        <v>306</v>
      </c>
      <c r="FI470" t="s">
        <v>306</v>
      </c>
      <c r="FN470" t="s">
        <v>306</v>
      </c>
      <c r="FS470" t="s">
        <v>306</v>
      </c>
      <c r="FX470" t="s">
        <v>306</v>
      </c>
      <c r="FY470" t="s">
        <v>395</v>
      </c>
      <c r="FZ470">
        <v>4153606</v>
      </c>
      <c r="GA470" t="s">
        <v>346</v>
      </c>
      <c r="GB470">
        <v>0</v>
      </c>
      <c r="GC470" t="s">
        <v>53</v>
      </c>
      <c r="GH470" t="s">
        <v>306</v>
      </c>
      <c r="GM470" t="s">
        <v>306</v>
      </c>
      <c r="GR470" t="s">
        <v>306</v>
      </c>
      <c r="GW470" t="s">
        <v>306</v>
      </c>
      <c r="GX470" t="s">
        <v>453</v>
      </c>
      <c r="GY470">
        <v>4318598</v>
      </c>
      <c r="GZ470" t="s">
        <v>346</v>
      </c>
      <c r="HA470">
        <v>0</v>
      </c>
      <c r="HB470" t="s">
        <v>53</v>
      </c>
      <c r="HG470" t="s">
        <v>306</v>
      </c>
    </row>
    <row r="471" spans="5:215" x14ac:dyDescent="0.35">
      <c r="E471" t="s">
        <v>306</v>
      </c>
      <c r="J471" t="s">
        <v>306</v>
      </c>
      <c r="O471" t="s">
        <v>306</v>
      </c>
      <c r="T471" t="s">
        <v>306</v>
      </c>
      <c r="Y471" t="s">
        <v>306</v>
      </c>
      <c r="AD471" t="s">
        <v>306</v>
      </c>
      <c r="AI471" t="s">
        <v>306</v>
      </c>
      <c r="AN471" t="s">
        <v>306</v>
      </c>
      <c r="AS471" t="s">
        <v>306</v>
      </c>
      <c r="AX471" t="s">
        <v>306</v>
      </c>
      <c r="BC471" t="s">
        <v>306</v>
      </c>
      <c r="BD471" t="s">
        <v>1541</v>
      </c>
      <c r="BE471">
        <v>133709120</v>
      </c>
      <c r="BF471" t="s">
        <v>346</v>
      </c>
      <c r="BG471">
        <v>0</v>
      </c>
      <c r="BH471" t="s">
        <v>306</v>
      </c>
      <c r="BM471" t="s">
        <v>306</v>
      </c>
      <c r="BR471" t="s">
        <v>306</v>
      </c>
      <c r="BS471" t="s">
        <v>1092</v>
      </c>
      <c r="BT471">
        <v>27584974</v>
      </c>
      <c r="BU471" t="s">
        <v>346</v>
      </c>
      <c r="BV471">
        <v>0</v>
      </c>
      <c r="BW471" t="s">
        <v>80</v>
      </c>
      <c r="CB471" t="s">
        <v>306</v>
      </c>
      <c r="CC471" t="s">
        <v>428</v>
      </c>
      <c r="CD471">
        <v>4116134</v>
      </c>
      <c r="CE471" t="s">
        <v>346</v>
      </c>
      <c r="CF471">
        <v>0</v>
      </c>
      <c r="CG471" t="s">
        <v>304</v>
      </c>
      <c r="CL471" t="s">
        <v>306</v>
      </c>
      <c r="CM471" t="s">
        <v>2103</v>
      </c>
      <c r="CN471">
        <v>4560551</v>
      </c>
      <c r="CO471" t="s">
        <v>346</v>
      </c>
      <c r="CP471">
        <v>0</v>
      </c>
      <c r="CQ471" t="s">
        <v>53</v>
      </c>
      <c r="CV471" t="s">
        <v>306</v>
      </c>
      <c r="DA471" t="s">
        <v>306</v>
      </c>
      <c r="DB471" t="s">
        <v>1541</v>
      </c>
      <c r="DC471">
        <v>133709120</v>
      </c>
      <c r="DD471" t="s">
        <v>346</v>
      </c>
      <c r="DE471">
        <v>0</v>
      </c>
      <c r="DF471" t="s">
        <v>306</v>
      </c>
      <c r="DK471" t="s">
        <v>306</v>
      </c>
      <c r="DL471" t="s">
        <v>1541</v>
      </c>
      <c r="DM471">
        <v>133709120</v>
      </c>
      <c r="DN471" t="s">
        <v>346</v>
      </c>
      <c r="DO471">
        <v>0</v>
      </c>
      <c r="DP471" t="s">
        <v>306</v>
      </c>
      <c r="DU471" t="s">
        <v>306</v>
      </c>
      <c r="DZ471" t="s">
        <v>306</v>
      </c>
      <c r="EA471" t="s">
        <v>428</v>
      </c>
      <c r="EB471">
        <v>4116134</v>
      </c>
      <c r="EC471" t="s">
        <v>346</v>
      </c>
      <c r="ED471">
        <v>0</v>
      </c>
      <c r="EE471" t="s">
        <v>304</v>
      </c>
      <c r="EF471" t="s">
        <v>1541</v>
      </c>
      <c r="EG471">
        <v>133709120</v>
      </c>
      <c r="EH471" t="s">
        <v>346</v>
      </c>
      <c r="EI471">
        <v>0</v>
      </c>
      <c r="EJ471" t="s">
        <v>306</v>
      </c>
      <c r="EO471" t="s">
        <v>306</v>
      </c>
      <c r="ET471" t="s">
        <v>306</v>
      </c>
      <c r="EY471" t="s">
        <v>306</v>
      </c>
      <c r="FD471" t="s">
        <v>306</v>
      </c>
      <c r="FI471" t="s">
        <v>306</v>
      </c>
      <c r="FN471" t="s">
        <v>306</v>
      </c>
      <c r="FS471" t="s">
        <v>306</v>
      </c>
      <c r="FX471" t="s">
        <v>306</v>
      </c>
      <c r="FY471" t="s">
        <v>1541</v>
      </c>
      <c r="FZ471">
        <v>133709120</v>
      </c>
      <c r="GA471" t="s">
        <v>346</v>
      </c>
      <c r="GB471">
        <v>0</v>
      </c>
      <c r="GC471" t="s">
        <v>306</v>
      </c>
      <c r="GH471" t="s">
        <v>306</v>
      </c>
      <c r="GM471" t="s">
        <v>306</v>
      </c>
      <c r="GR471" t="s">
        <v>306</v>
      </c>
      <c r="GW471" t="s">
        <v>306</v>
      </c>
      <c r="GX471" t="s">
        <v>428</v>
      </c>
      <c r="GY471">
        <v>4116134</v>
      </c>
      <c r="GZ471" t="s">
        <v>346</v>
      </c>
      <c r="HA471">
        <v>0</v>
      </c>
      <c r="HB471" t="s">
        <v>304</v>
      </c>
      <c r="HG471" t="s">
        <v>306</v>
      </c>
    </row>
    <row r="472" spans="5:215" x14ac:dyDescent="0.35">
      <c r="E472" t="s">
        <v>306</v>
      </c>
      <c r="J472" t="s">
        <v>306</v>
      </c>
      <c r="O472" t="s">
        <v>306</v>
      </c>
      <c r="T472" t="s">
        <v>306</v>
      </c>
      <c r="Y472" t="s">
        <v>306</v>
      </c>
      <c r="AD472" t="s">
        <v>306</v>
      </c>
      <c r="AI472" t="s">
        <v>306</v>
      </c>
      <c r="AN472" t="s">
        <v>306</v>
      </c>
      <c r="AS472" t="s">
        <v>306</v>
      </c>
      <c r="AX472" t="s">
        <v>306</v>
      </c>
      <c r="BC472" t="s">
        <v>306</v>
      </c>
      <c r="BD472" t="s">
        <v>1339</v>
      </c>
      <c r="BE472">
        <v>29536489</v>
      </c>
      <c r="BF472" t="s">
        <v>346</v>
      </c>
      <c r="BG472">
        <v>0</v>
      </c>
      <c r="BH472" t="s">
        <v>306</v>
      </c>
      <c r="BM472" t="s">
        <v>306</v>
      </c>
      <c r="BR472" t="s">
        <v>306</v>
      </c>
      <c r="BS472" t="s">
        <v>1093</v>
      </c>
      <c r="BT472">
        <v>4048731</v>
      </c>
      <c r="BU472" t="s">
        <v>346</v>
      </c>
      <c r="BV472">
        <v>0</v>
      </c>
      <c r="BW472" t="s">
        <v>313</v>
      </c>
      <c r="CB472" t="s">
        <v>306</v>
      </c>
      <c r="CC472" t="s">
        <v>1884</v>
      </c>
      <c r="CD472">
        <v>4204108</v>
      </c>
      <c r="CE472" t="s">
        <v>346</v>
      </c>
      <c r="CF472">
        <v>0</v>
      </c>
      <c r="CG472" t="s">
        <v>53</v>
      </c>
      <c r="CL472" t="s">
        <v>306</v>
      </c>
      <c r="CM472" t="s">
        <v>2104</v>
      </c>
      <c r="CN472">
        <v>4115828</v>
      </c>
      <c r="CO472" t="s">
        <v>346</v>
      </c>
      <c r="CP472">
        <v>0</v>
      </c>
      <c r="CQ472" t="s">
        <v>53</v>
      </c>
      <c r="CV472" t="s">
        <v>306</v>
      </c>
      <c r="DA472" t="s">
        <v>306</v>
      </c>
      <c r="DB472" t="s">
        <v>1339</v>
      </c>
      <c r="DC472">
        <v>29536489</v>
      </c>
      <c r="DD472" t="s">
        <v>346</v>
      </c>
      <c r="DE472">
        <v>0</v>
      </c>
      <c r="DF472" t="s">
        <v>306</v>
      </c>
      <c r="DK472" t="s">
        <v>306</v>
      </c>
      <c r="DL472" t="s">
        <v>1339</v>
      </c>
      <c r="DM472">
        <v>29536489</v>
      </c>
      <c r="DN472" t="s">
        <v>346</v>
      </c>
      <c r="DO472">
        <v>0</v>
      </c>
      <c r="DP472" t="s">
        <v>306</v>
      </c>
      <c r="DU472" t="s">
        <v>306</v>
      </c>
      <c r="DZ472" t="s">
        <v>306</v>
      </c>
      <c r="EA472" t="s">
        <v>1884</v>
      </c>
      <c r="EB472">
        <v>4204108</v>
      </c>
      <c r="EC472" t="s">
        <v>346</v>
      </c>
      <c r="ED472">
        <v>0</v>
      </c>
      <c r="EE472" t="s">
        <v>53</v>
      </c>
      <c r="EF472" t="s">
        <v>1339</v>
      </c>
      <c r="EG472">
        <v>29536489</v>
      </c>
      <c r="EH472" t="s">
        <v>346</v>
      </c>
      <c r="EI472">
        <v>0</v>
      </c>
      <c r="EJ472" t="s">
        <v>306</v>
      </c>
      <c r="EO472" t="s">
        <v>306</v>
      </c>
      <c r="ET472" t="s">
        <v>306</v>
      </c>
      <c r="EY472" t="s">
        <v>306</v>
      </c>
      <c r="FD472" t="s">
        <v>306</v>
      </c>
      <c r="FI472" t="s">
        <v>306</v>
      </c>
      <c r="FN472" t="s">
        <v>306</v>
      </c>
      <c r="FS472" t="s">
        <v>306</v>
      </c>
      <c r="FX472" t="s">
        <v>306</v>
      </c>
      <c r="FY472" t="s">
        <v>1339</v>
      </c>
      <c r="FZ472">
        <v>29536489</v>
      </c>
      <c r="GA472" t="s">
        <v>346</v>
      </c>
      <c r="GB472">
        <v>0</v>
      </c>
      <c r="GC472" t="s">
        <v>306</v>
      </c>
      <c r="GH472" t="s">
        <v>306</v>
      </c>
      <c r="GM472" t="s">
        <v>306</v>
      </c>
      <c r="GR472" t="s">
        <v>306</v>
      </c>
      <c r="GW472" t="s">
        <v>306</v>
      </c>
      <c r="GX472" t="s">
        <v>1884</v>
      </c>
      <c r="GY472">
        <v>4204108</v>
      </c>
      <c r="GZ472" t="s">
        <v>346</v>
      </c>
      <c r="HA472">
        <v>0</v>
      </c>
      <c r="HB472" t="s">
        <v>53</v>
      </c>
      <c r="HG472" t="s">
        <v>306</v>
      </c>
    </row>
    <row r="473" spans="5:215" x14ac:dyDescent="0.35">
      <c r="E473" t="s">
        <v>306</v>
      </c>
      <c r="J473" t="s">
        <v>306</v>
      </c>
      <c r="O473" t="s">
        <v>306</v>
      </c>
      <c r="T473" t="s">
        <v>306</v>
      </c>
      <c r="Y473" t="s">
        <v>306</v>
      </c>
      <c r="AD473" t="s">
        <v>306</v>
      </c>
      <c r="AI473" t="s">
        <v>306</v>
      </c>
      <c r="AN473" t="s">
        <v>306</v>
      </c>
      <c r="AS473" t="s">
        <v>306</v>
      </c>
      <c r="AX473" t="s">
        <v>306</v>
      </c>
      <c r="BC473" t="s">
        <v>306</v>
      </c>
      <c r="BD473" t="s">
        <v>1542</v>
      </c>
      <c r="BE473">
        <v>14976855</v>
      </c>
      <c r="BF473" t="s">
        <v>346</v>
      </c>
      <c r="BG473">
        <v>0</v>
      </c>
      <c r="BH473" t="s">
        <v>320</v>
      </c>
      <c r="BM473" t="s">
        <v>306</v>
      </c>
      <c r="BR473" t="s">
        <v>306</v>
      </c>
      <c r="BS473" t="s">
        <v>872</v>
      </c>
      <c r="BT473">
        <v>4025426</v>
      </c>
      <c r="BU473" t="s">
        <v>300</v>
      </c>
      <c r="BV473">
        <v>0</v>
      </c>
      <c r="BW473" t="s">
        <v>53</v>
      </c>
      <c r="CB473" t="s">
        <v>306</v>
      </c>
      <c r="CC473" t="s">
        <v>1885</v>
      </c>
      <c r="CD473">
        <v>15149159</v>
      </c>
      <c r="CE473" t="s">
        <v>346</v>
      </c>
      <c r="CF473">
        <v>0</v>
      </c>
      <c r="CG473" t="s">
        <v>114</v>
      </c>
      <c r="CL473" t="s">
        <v>306</v>
      </c>
      <c r="CM473" t="s">
        <v>2105</v>
      </c>
      <c r="CN473">
        <v>4027193</v>
      </c>
      <c r="CO473" t="s">
        <v>276</v>
      </c>
      <c r="CP473">
        <v>0</v>
      </c>
      <c r="CQ473" t="s">
        <v>53</v>
      </c>
      <c r="CV473" t="s">
        <v>306</v>
      </c>
      <c r="DA473" t="s">
        <v>306</v>
      </c>
      <c r="DB473" t="s">
        <v>1542</v>
      </c>
      <c r="DC473">
        <v>14976855</v>
      </c>
      <c r="DD473" t="s">
        <v>346</v>
      </c>
      <c r="DE473">
        <v>0</v>
      </c>
      <c r="DF473" t="s">
        <v>320</v>
      </c>
      <c r="DK473" t="s">
        <v>306</v>
      </c>
      <c r="DL473" t="s">
        <v>1542</v>
      </c>
      <c r="DM473">
        <v>14976855</v>
      </c>
      <c r="DN473" t="s">
        <v>346</v>
      </c>
      <c r="DO473">
        <v>0</v>
      </c>
      <c r="DP473" t="s">
        <v>320</v>
      </c>
      <c r="DU473" t="s">
        <v>306</v>
      </c>
      <c r="DZ473" t="s">
        <v>306</v>
      </c>
      <c r="EA473" t="s">
        <v>1885</v>
      </c>
      <c r="EB473">
        <v>15149159</v>
      </c>
      <c r="EC473" t="s">
        <v>346</v>
      </c>
      <c r="ED473">
        <v>0</v>
      </c>
      <c r="EE473" t="s">
        <v>114</v>
      </c>
      <c r="EF473" t="s">
        <v>1542</v>
      </c>
      <c r="EG473">
        <v>14976855</v>
      </c>
      <c r="EH473" t="s">
        <v>346</v>
      </c>
      <c r="EI473">
        <v>0</v>
      </c>
      <c r="EJ473" t="s">
        <v>320</v>
      </c>
      <c r="EO473" t="s">
        <v>306</v>
      </c>
      <c r="ET473" t="s">
        <v>306</v>
      </c>
      <c r="EY473" t="s">
        <v>306</v>
      </c>
      <c r="FD473" t="s">
        <v>306</v>
      </c>
      <c r="FI473" t="s">
        <v>306</v>
      </c>
      <c r="FN473" t="s">
        <v>306</v>
      </c>
      <c r="FS473" t="s">
        <v>306</v>
      </c>
      <c r="FX473" t="s">
        <v>306</v>
      </c>
      <c r="FY473" t="s">
        <v>1542</v>
      </c>
      <c r="FZ473">
        <v>14976855</v>
      </c>
      <c r="GA473" t="s">
        <v>346</v>
      </c>
      <c r="GB473">
        <v>0</v>
      </c>
      <c r="GC473" t="s">
        <v>320</v>
      </c>
      <c r="GH473" t="s">
        <v>306</v>
      </c>
      <c r="GM473" t="s">
        <v>306</v>
      </c>
      <c r="GR473" t="s">
        <v>306</v>
      </c>
      <c r="GW473" t="s">
        <v>306</v>
      </c>
      <c r="GX473" t="s">
        <v>1885</v>
      </c>
      <c r="GY473">
        <v>15149159</v>
      </c>
      <c r="GZ473" t="s">
        <v>346</v>
      </c>
      <c r="HA473">
        <v>0</v>
      </c>
      <c r="HB473" t="s">
        <v>114</v>
      </c>
      <c r="HG473" t="s">
        <v>306</v>
      </c>
    </row>
    <row r="474" spans="5:215" x14ac:dyDescent="0.35">
      <c r="E474" t="s">
        <v>306</v>
      </c>
      <c r="J474" t="s">
        <v>306</v>
      </c>
      <c r="O474" t="s">
        <v>306</v>
      </c>
      <c r="T474" t="s">
        <v>306</v>
      </c>
      <c r="Y474" t="s">
        <v>306</v>
      </c>
      <c r="AD474" t="s">
        <v>306</v>
      </c>
      <c r="AI474" t="s">
        <v>306</v>
      </c>
      <c r="AN474" t="s">
        <v>306</v>
      </c>
      <c r="AS474" t="s">
        <v>306</v>
      </c>
      <c r="AX474" t="s">
        <v>306</v>
      </c>
      <c r="BC474" t="s">
        <v>306</v>
      </c>
      <c r="BD474" t="s">
        <v>1358</v>
      </c>
      <c r="BE474">
        <v>8264448</v>
      </c>
      <c r="BF474" t="s">
        <v>346</v>
      </c>
      <c r="BG474">
        <v>0</v>
      </c>
      <c r="BH474" t="s">
        <v>62</v>
      </c>
      <c r="BM474" t="s">
        <v>306</v>
      </c>
      <c r="BR474" t="s">
        <v>306</v>
      </c>
      <c r="BS474" t="s">
        <v>877</v>
      </c>
      <c r="BT474">
        <v>4167462</v>
      </c>
      <c r="BU474" t="s">
        <v>366</v>
      </c>
      <c r="BV474">
        <v>0</v>
      </c>
      <c r="BW474" t="s">
        <v>53</v>
      </c>
      <c r="CB474" t="s">
        <v>306</v>
      </c>
      <c r="CC474" t="s">
        <v>1886</v>
      </c>
      <c r="CD474">
        <v>109739</v>
      </c>
      <c r="CE474" t="s">
        <v>346</v>
      </c>
      <c r="CF474">
        <v>0</v>
      </c>
      <c r="CG474" t="s">
        <v>53</v>
      </c>
      <c r="CL474" t="s">
        <v>306</v>
      </c>
      <c r="CM474" t="s">
        <v>2106</v>
      </c>
      <c r="CN474">
        <v>4283691</v>
      </c>
      <c r="CO474" t="s">
        <v>346</v>
      </c>
      <c r="CP474">
        <v>0</v>
      </c>
      <c r="CQ474" t="s">
        <v>53</v>
      </c>
      <c r="CV474" t="s">
        <v>306</v>
      </c>
      <c r="DA474" t="s">
        <v>306</v>
      </c>
      <c r="DB474" t="s">
        <v>1358</v>
      </c>
      <c r="DC474">
        <v>8264448</v>
      </c>
      <c r="DD474" t="s">
        <v>346</v>
      </c>
      <c r="DE474">
        <v>0</v>
      </c>
      <c r="DF474" t="s">
        <v>62</v>
      </c>
      <c r="DK474" t="s">
        <v>306</v>
      </c>
      <c r="DL474" t="s">
        <v>1358</v>
      </c>
      <c r="DM474">
        <v>8264448</v>
      </c>
      <c r="DN474" t="s">
        <v>346</v>
      </c>
      <c r="DO474">
        <v>0</v>
      </c>
      <c r="DP474" t="s">
        <v>62</v>
      </c>
      <c r="DU474" t="s">
        <v>306</v>
      </c>
      <c r="DZ474" t="s">
        <v>306</v>
      </c>
      <c r="EA474" t="s">
        <v>1886</v>
      </c>
      <c r="EB474">
        <v>109739</v>
      </c>
      <c r="EC474" t="s">
        <v>346</v>
      </c>
      <c r="ED474">
        <v>0</v>
      </c>
      <c r="EE474" t="s">
        <v>53</v>
      </c>
      <c r="EF474" t="s">
        <v>1358</v>
      </c>
      <c r="EG474">
        <v>8264448</v>
      </c>
      <c r="EH474" t="s">
        <v>346</v>
      </c>
      <c r="EI474">
        <v>0</v>
      </c>
      <c r="EJ474" t="s">
        <v>62</v>
      </c>
      <c r="EO474" t="s">
        <v>306</v>
      </c>
      <c r="ET474" t="s">
        <v>306</v>
      </c>
      <c r="EY474" t="s">
        <v>306</v>
      </c>
      <c r="FD474" t="s">
        <v>306</v>
      </c>
      <c r="FI474" t="s">
        <v>306</v>
      </c>
      <c r="FN474" t="s">
        <v>306</v>
      </c>
      <c r="FS474" t="s">
        <v>306</v>
      </c>
      <c r="FX474" t="s">
        <v>306</v>
      </c>
      <c r="FY474" t="s">
        <v>1358</v>
      </c>
      <c r="FZ474">
        <v>8264448</v>
      </c>
      <c r="GA474" t="s">
        <v>346</v>
      </c>
      <c r="GB474">
        <v>0</v>
      </c>
      <c r="GC474" t="s">
        <v>62</v>
      </c>
      <c r="GH474" t="s">
        <v>306</v>
      </c>
      <c r="GM474" t="s">
        <v>306</v>
      </c>
      <c r="GR474" t="s">
        <v>306</v>
      </c>
      <c r="GW474" t="s">
        <v>306</v>
      </c>
      <c r="GX474" t="s">
        <v>1886</v>
      </c>
      <c r="GY474">
        <v>109739</v>
      </c>
      <c r="GZ474" t="s">
        <v>346</v>
      </c>
      <c r="HA474">
        <v>0</v>
      </c>
      <c r="HB474" t="s">
        <v>53</v>
      </c>
      <c r="HG474" t="s">
        <v>306</v>
      </c>
    </row>
    <row r="475" spans="5:215" x14ac:dyDescent="0.35">
      <c r="E475" t="s">
        <v>306</v>
      </c>
      <c r="J475" t="s">
        <v>306</v>
      </c>
      <c r="O475" t="s">
        <v>306</v>
      </c>
      <c r="T475" t="s">
        <v>306</v>
      </c>
      <c r="Y475" t="s">
        <v>306</v>
      </c>
      <c r="AD475" t="s">
        <v>306</v>
      </c>
      <c r="AI475" t="s">
        <v>306</v>
      </c>
      <c r="AN475" t="s">
        <v>306</v>
      </c>
      <c r="AS475" t="s">
        <v>306</v>
      </c>
      <c r="AX475" t="s">
        <v>306</v>
      </c>
      <c r="BC475" t="s">
        <v>306</v>
      </c>
      <c r="BD475" t="s">
        <v>1543</v>
      </c>
      <c r="BE475">
        <v>5763215</v>
      </c>
      <c r="BF475" t="s">
        <v>346</v>
      </c>
      <c r="BG475">
        <v>0</v>
      </c>
      <c r="BH475" t="s">
        <v>320</v>
      </c>
      <c r="BM475" t="s">
        <v>306</v>
      </c>
      <c r="BR475" t="s">
        <v>306</v>
      </c>
      <c r="BS475" t="s">
        <v>881</v>
      </c>
      <c r="BT475">
        <v>4608579</v>
      </c>
      <c r="BU475" t="s">
        <v>346</v>
      </c>
      <c r="BV475">
        <v>0</v>
      </c>
      <c r="BW475" t="s">
        <v>50</v>
      </c>
      <c r="CB475" t="s">
        <v>306</v>
      </c>
      <c r="CC475" t="s">
        <v>1887</v>
      </c>
      <c r="CD475">
        <v>27501108</v>
      </c>
      <c r="CE475" t="s">
        <v>346</v>
      </c>
      <c r="CF475">
        <v>0</v>
      </c>
      <c r="CG475" t="s">
        <v>53</v>
      </c>
      <c r="CL475" t="s">
        <v>306</v>
      </c>
      <c r="CM475" t="s">
        <v>2107</v>
      </c>
      <c r="CN475">
        <v>27858219</v>
      </c>
      <c r="CO475" t="s">
        <v>346</v>
      </c>
      <c r="CP475">
        <v>0</v>
      </c>
      <c r="CQ475" t="s">
        <v>53</v>
      </c>
      <c r="CV475" t="s">
        <v>306</v>
      </c>
      <c r="DA475" t="s">
        <v>306</v>
      </c>
      <c r="DB475" t="s">
        <v>1543</v>
      </c>
      <c r="DC475">
        <v>5763215</v>
      </c>
      <c r="DD475" t="s">
        <v>346</v>
      </c>
      <c r="DE475">
        <v>0</v>
      </c>
      <c r="DF475" t="s">
        <v>320</v>
      </c>
      <c r="DK475" t="s">
        <v>306</v>
      </c>
      <c r="DL475" t="s">
        <v>1543</v>
      </c>
      <c r="DM475">
        <v>5763215</v>
      </c>
      <c r="DN475" t="s">
        <v>346</v>
      </c>
      <c r="DO475">
        <v>0</v>
      </c>
      <c r="DP475" t="s">
        <v>320</v>
      </c>
      <c r="DU475" t="s">
        <v>306</v>
      </c>
      <c r="DZ475" t="s">
        <v>306</v>
      </c>
      <c r="EA475" t="s">
        <v>1887</v>
      </c>
      <c r="EB475">
        <v>27501108</v>
      </c>
      <c r="EC475" t="s">
        <v>346</v>
      </c>
      <c r="ED475">
        <v>0</v>
      </c>
      <c r="EE475" t="s">
        <v>53</v>
      </c>
      <c r="EF475" t="s">
        <v>1543</v>
      </c>
      <c r="EG475">
        <v>5763215</v>
      </c>
      <c r="EH475" t="s">
        <v>346</v>
      </c>
      <c r="EI475">
        <v>0</v>
      </c>
      <c r="EJ475" t="s">
        <v>320</v>
      </c>
      <c r="EO475" t="s">
        <v>306</v>
      </c>
      <c r="ET475" t="s">
        <v>306</v>
      </c>
      <c r="EY475" t="s">
        <v>306</v>
      </c>
      <c r="FD475" t="s">
        <v>306</v>
      </c>
      <c r="FI475" t="s">
        <v>306</v>
      </c>
      <c r="FN475" t="s">
        <v>306</v>
      </c>
      <c r="FS475" t="s">
        <v>306</v>
      </c>
      <c r="FX475" t="s">
        <v>306</v>
      </c>
      <c r="FY475" t="s">
        <v>1543</v>
      </c>
      <c r="FZ475">
        <v>5763215</v>
      </c>
      <c r="GA475" t="s">
        <v>346</v>
      </c>
      <c r="GB475">
        <v>0</v>
      </c>
      <c r="GC475" t="s">
        <v>320</v>
      </c>
      <c r="GH475" t="s">
        <v>306</v>
      </c>
      <c r="GM475" t="s">
        <v>306</v>
      </c>
      <c r="GR475" t="s">
        <v>306</v>
      </c>
      <c r="GW475" t="s">
        <v>306</v>
      </c>
      <c r="GX475" t="s">
        <v>1887</v>
      </c>
      <c r="GY475">
        <v>27501108</v>
      </c>
      <c r="GZ475" t="s">
        <v>346</v>
      </c>
      <c r="HA475">
        <v>0</v>
      </c>
      <c r="HB475" t="s">
        <v>53</v>
      </c>
      <c r="HG475" t="s">
        <v>306</v>
      </c>
    </row>
    <row r="476" spans="5:215" x14ac:dyDescent="0.35">
      <c r="E476" t="s">
        <v>306</v>
      </c>
      <c r="J476" t="s">
        <v>306</v>
      </c>
      <c r="O476" t="s">
        <v>306</v>
      </c>
      <c r="T476" t="s">
        <v>306</v>
      </c>
      <c r="Y476" t="s">
        <v>306</v>
      </c>
      <c r="AD476" t="s">
        <v>306</v>
      </c>
      <c r="AI476" t="s">
        <v>306</v>
      </c>
      <c r="AN476" t="s">
        <v>306</v>
      </c>
      <c r="AS476" t="s">
        <v>306</v>
      </c>
      <c r="AX476" t="s">
        <v>306</v>
      </c>
      <c r="BC476" t="s">
        <v>306</v>
      </c>
      <c r="BD476" t="s">
        <v>1544</v>
      </c>
      <c r="BE476">
        <v>4211943</v>
      </c>
      <c r="BF476" t="s">
        <v>346</v>
      </c>
      <c r="BG476">
        <v>0</v>
      </c>
      <c r="BH476" t="s">
        <v>313</v>
      </c>
      <c r="BM476" t="s">
        <v>306</v>
      </c>
      <c r="BR476" t="s">
        <v>306</v>
      </c>
      <c r="BS476" t="s">
        <v>1094</v>
      </c>
      <c r="BT476">
        <v>5758410</v>
      </c>
      <c r="BU476" t="s">
        <v>346</v>
      </c>
      <c r="BV476">
        <v>0</v>
      </c>
      <c r="BW476" t="s">
        <v>2184</v>
      </c>
      <c r="CB476" t="s">
        <v>306</v>
      </c>
      <c r="CC476" t="s">
        <v>1888</v>
      </c>
      <c r="CD476">
        <v>6573093</v>
      </c>
      <c r="CE476" t="s">
        <v>300</v>
      </c>
      <c r="CF476">
        <v>0</v>
      </c>
      <c r="CG476" t="s">
        <v>114</v>
      </c>
      <c r="CL476" t="s">
        <v>306</v>
      </c>
      <c r="CM476" t="s">
        <v>1383</v>
      </c>
      <c r="CN476">
        <v>9146959</v>
      </c>
      <c r="CO476" t="s">
        <v>346</v>
      </c>
      <c r="CP476">
        <v>0</v>
      </c>
      <c r="CQ476" t="s">
        <v>62</v>
      </c>
      <c r="CV476" t="s">
        <v>306</v>
      </c>
      <c r="DA476" t="s">
        <v>306</v>
      </c>
      <c r="DB476" t="s">
        <v>1544</v>
      </c>
      <c r="DC476">
        <v>4211943</v>
      </c>
      <c r="DD476" t="s">
        <v>346</v>
      </c>
      <c r="DE476">
        <v>0</v>
      </c>
      <c r="DF476" t="s">
        <v>313</v>
      </c>
      <c r="DK476" t="s">
        <v>306</v>
      </c>
      <c r="DL476" t="s">
        <v>1544</v>
      </c>
      <c r="DM476">
        <v>4211943</v>
      </c>
      <c r="DN476" t="s">
        <v>346</v>
      </c>
      <c r="DO476">
        <v>0</v>
      </c>
      <c r="DP476" t="s">
        <v>313</v>
      </c>
      <c r="DU476" t="s">
        <v>306</v>
      </c>
      <c r="DZ476" t="s">
        <v>306</v>
      </c>
      <c r="EA476" t="s">
        <v>1888</v>
      </c>
      <c r="EB476">
        <v>6573093</v>
      </c>
      <c r="EC476" t="s">
        <v>300</v>
      </c>
      <c r="ED476">
        <v>0</v>
      </c>
      <c r="EE476" t="s">
        <v>114</v>
      </c>
      <c r="EF476" t="s">
        <v>1544</v>
      </c>
      <c r="EG476">
        <v>4211943</v>
      </c>
      <c r="EH476" t="s">
        <v>346</v>
      </c>
      <c r="EI476">
        <v>0</v>
      </c>
      <c r="EJ476" t="s">
        <v>313</v>
      </c>
      <c r="EO476" t="s">
        <v>306</v>
      </c>
      <c r="ET476" t="s">
        <v>306</v>
      </c>
      <c r="EY476" t="s">
        <v>306</v>
      </c>
      <c r="FD476" t="s">
        <v>306</v>
      </c>
      <c r="FI476" t="s">
        <v>306</v>
      </c>
      <c r="FN476" t="s">
        <v>306</v>
      </c>
      <c r="FS476" t="s">
        <v>306</v>
      </c>
      <c r="FX476" t="s">
        <v>306</v>
      </c>
      <c r="FY476" t="s">
        <v>1544</v>
      </c>
      <c r="FZ476">
        <v>4211943</v>
      </c>
      <c r="GA476" t="s">
        <v>346</v>
      </c>
      <c r="GB476">
        <v>0</v>
      </c>
      <c r="GC476" t="s">
        <v>313</v>
      </c>
      <c r="GH476" t="s">
        <v>306</v>
      </c>
      <c r="GM476" t="s">
        <v>306</v>
      </c>
      <c r="GR476" t="s">
        <v>306</v>
      </c>
      <c r="GW476" t="s">
        <v>306</v>
      </c>
      <c r="GX476" t="s">
        <v>1888</v>
      </c>
      <c r="GY476">
        <v>6573093</v>
      </c>
      <c r="GZ476" t="s">
        <v>300</v>
      </c>
      <c r="HA476">
        <v>0</v>
      </c>
      <c r="HB476" t="s">
        <v>114</v>
      </c>
      <c r="HG476" t="s">
        <v>306</v>
      </c>
    </row>
    <row r="477" spans="5:215" x14ac:dyDescent="0.35">
      <c r="E477" t="s">
        <v>306</v>
      </c>
      <c r="J477" t="s">
        <v>306</v>
      </c>
      <c r="O477" t="s">
        <v>306</v>
      </c>
      <c r="T477" t="s">
        <v>306</v>
      </c>
      <c r="Y477" t="s">
        <v>306</v>
      </c>
      <c r="AD477" t="s">
        <v>306</v>
      </c>
      <c r="AI477" t="s">
        <v>306</v>
      </c>
      <c r="AN477" t="s">
        <v>306</v>
      </c>
      <c r="AS477" t="s">
        <v>306</v>
      </c>
      <c r="AX477" t="s">
        <v>306</v>
      </c>
      <c r="BC477" t="s">
        <v>306</v>
      </c>
      <c r="BD477" t="s">
        <v>1545</v>
      </c>
      <c r="BE477">
        <v>4189276</v>
      </c>
      <c r="BF477" t="s">
        <v>364</v>
      </c>
      <c r="BG477">
        <v>0</v>
      </c>
      <c r="BH477" t="s">
        <v>53</v>
      </c>
      <c r="BM477" t="s">
        <v>306</v>
      </c>
      <c r="BR477" t="s">
        <v>306</v>
      </c>
      <c r="BS477" t="s">
        <v>1095</v>
      </c>
      <c r="BT477">
        <v>4674757</v>
      </c>
      <c r="BU477" t="s">
        <v>346</v>
      </c>
      <c r="BV477">
        <v>0</v>
      </c>
      <c r="BW477" t="s">
        <v>2184</v>
      </c>
      <c r="CB477" t="s">
        <v>306</v>
      </c>
      <c r="CC477" t="s">
        <v>1889</v>
      </c>
      <c r="CD477">
        <v>5818434</v>
      </c>
      <c r="CE477" t="s">
        <v>366</v>
      </c>
      <c r="CF477">
        <v>0</v>
      </c>
      <c r="CG477" t="s">
        <v>313</v>
      </c>
      <c r="CL477" t="s">
        <v>306</v>
      </c>
      <c r="CM477" t="s">
        <v>2108</v>
      </c>
      <c r="CN477">
        <v>4034293</v>
      </c>
      <c r="CO477" t="s">
        <v>346</v>
      </c>
      <c r="CP477">
        <v>0</v>
      </c>
      <c r="CQ477" t="s">
        <v>53</v>
      </c>
      <c r="CV477" t="s">
        <v>306</v>
      </c>
      <c r="DA477" t="s">
        <v>306</v>
      </c>
      <c r="DB477" t="s">
        <v>1545</v>
      </c>
      <c r="DC477">
        <v>4189276</v>
      </c>
      <c r="DD477" t="s">
        <v>364</v>
      </c>
      <c r="DE477">
        <v>0</v>
      </c>
      <c r="DF477" t="s">
        <v>53</v>
      </c>
      <c r="DK477" t="s">
        <v>306</v>
      </c>
      <c r="DL477" t="s">
        <v>1545</v>
      </c>
      <c r="DM477">
        <v>4189276</v>
      </c>
      <c r="DN477" t="s">
        <v>364</v>
      </c>
      <c r="DO477">
        <v>0</v>
      </c>
      <c r="DP477" t="s">
        <v>53</v>
      </c>
      <c r="DU477" t="s">
        <v>306</v>
      </c>
      <c r="DZ477" t="s">
        <v>306</v>
      </c>
      <c r="EA477" t="s">
        <v>1889</v>
      </c>
      <c r="EB477">
        <v>5818434</v>
      </c>
      <c r="EC477" t="s">
        <v>366</v>
      </c>
      <c r="ED477">
        <v>0</v>
      </c>
      <c r="EE477" t="s">
        <v>313</v>
      </c>
      <c r="EF477" t="s">
        <v>1545</v>
      </c>
      <c r="EG477">
        <v>4189276</v>
      </c>
      <c r="EH477" t="s">
        <v>364</v>
      </c>
      <c r="EI477">
        <v>0</v>
      </c>
      <c r="EJ477" t="s">
        <v>53</v>
      </c>
      <c r="EO477" t="s">
        <v>306</v>
      </c>
      <c r="ET477" t="s">
        <v>306</v>
      </c>
      <c r="EY477" t="s">
        <v>306</v>
      </c>
      <c r="FD477" t="s">
        <v>306</v>
      </c>
      <c r="FI477" t="s">
        <v>306</v>
      </c>
      <c r="FN477" t="s">
        <v>306</v>
      </c>
      <c r="FS477" t="s">
        <v>306</v>
      </c>
      <c r="FX477" t="s">
        <v>306</v>
      </c>
      <c r="FY477" t="s">
        <v>1545</v>
      </c>
      <c r="FZ477">
        <v>4189276</v>
      </c>
      <c r="GA477" t="s">
        <v>364</v>
      </c>
      <c r="GB477">
        <v>0</v>
      </c>
      <c r="GC477" t="s">
        <v>53</v>
      </c>
      <c r="GH477" t="s">
        <v>306</v>
      </c>
      <c r="GM477" t="s">
        <v>306</v>
      </c>
      <c r="GR477" t="s">
        <v>306</v>
      </c>
      <c r="GW477" t="s">
        <v>306</v>
      </c>
      <c r="GX477" t="s">
        <v>1889</v>
      </c>
      <c r="GY477">
        <v>5818434</v>
      </c>
      <c r="GZ477" t="s">
        <v>366</v>
      </c>
      <c r="HA477">
        <v>0</v>
      </c>
      <c r="HB477" t="s">
        <v>313</v>
      </c>
      <c r="HG477" t="s">
        <v>306</v>
      </c>
    </row>
    <row r="478" spans="5:215" x14ac:dyDescent="0.35">
      <c r="E478" t="s">
        <v>306</v>
      </c>
      <c r="J478" t="s">
        <v>306</v>
      </c>
      <c r="O478" t="s">
        <v>306</v>
      </c>
      <c r="T478" t="s">
        <v>306</v>
      </c>
      <c r="Y478" t="s">
        <v>306</v>
      </c>
      <c r="AD478" t="s">
        <v>306</v>
      </c>
      <c r="AI478" t="s">
        <v>306</v>
      </c>
      <c r="AN478" t="s">
        <v>306</v>
      </c>
      <c r="AS478" t="s">
        <v>306</v>
      </c>
      <c r="AX478" t="s">
        <v>306</v>
      </c>
      <c r="BC478" t="s">
        <v>306</v>
      </c>
      <c r="BD478" t="s">
        <v>1282</v>
      </c>
      <c r="BE478">
        <v>102734</v>
      </c>
      <c r="BF478" t="s">
        <v>346</v>
      </c>
      <c r="BG478">
        <v>0</v>
      </c>
      <c r="BH478" t="s">
        <v>53</v>
      </c>
      <c r="BM478" t="s">
        <v>306</v>
      </c>
      <c r="BR478" t="s">
        <v>306</v>
      </c>
      <c r="BS478" t="s">
        <v>765</v>
      </c>
      <c r="BT478">
        <v>10181318</v>
      </c>
      <c r="BU478" t="s">
        <v>346</v>
      </c>
      <c r="BV478">
        <v>0</v>
      </c>
      <c r="BW478" t="s">
        <v>50</v>
      </c>
      <c r="CB478" t="s">
        <v>306</v>
      </c>
      <c r="CC478" t="s">
        <v>1890</v>
      </c>
      <c r="CD478">
        <v>109269</v>
      </c>
      <c r="CE478" t="s">
        <v>346</v>
      </c>
      <c r="CF478">
        <v>0</v>
      </c>
      <c r="CG478" t="s">
        <v>53</v>
      </c>
      <c r="CL478" t="s">
        <v>306</v>
      </c>
      <c r="CM478" t="s">
        <v>2109</v>
      </c>
      <c r="CN478">
        <v>4086018</v>
      </c>
      <c r="CO478" t="s">
        <v>346</v>
      </c>
      <c r="CP478">
        <v>0</v>
      </c>
      <c r="CQ478" t="s">
        <v>53</v>
      </c>
      <c r="CV478" t="s">
        <v>306</v>
      </c>
      <c r="DA478" t="s">
        <v>306</v>
      </c>
      <c r="DB478" t="s">
        <v>1282</v>
      </c>
      <c r="DC478">
        <v>102734</v>
      </c>
      <c r="DD478" t="s">
        <v>346</v>
      </c>
      <c r="DE478">
        <v>0</v>
      </c>
      <c r="DF478" t="s">
        <v>53</v>
      </c>
      <c r="DK478" t="s">
        <v>306</v>
      </c>
      <c r="DL478" t="s">
        <v>1282</v>
      </c>
      <c r="DM478">
        <v>102734</v>
      </c>
      <c r="DN478" t="s">
        <v>346</v>
      </c>
      <c r="DO478">
        <v>0</v>
      </c>
      <c r="DP478" t="s">
        <v>53</v>
      </c>
      <c r="DU478" t="s">
        <v>306</v>
      </c>
      <c r="DZ478" t="s">
        <v>306</v>
      </c>
      <c r="EA478" t="s">
        <v>1890</v>
      </c>
      <c r="EB478">
        <v>109269</v>
      </c>
      <c r="EC478" t="s">
        <v>346</v>
      </c>
      <c r="ED478">
        <v>0</v>
      </c>
      <c r="EE478" t="s">
        <v>53</v>
      </c>
      <c r="EF478" t="s">
        <v>1282</v>
      </c>
      <c r="EG478">
        <v>102734</v>
      </c>
      <c r="EH478" t="s">
        <v>346</v>
      </c>
      <c r="EI478">
        <v>0</v>
      </c>
      <c r="EJ478" t="s">
        <v>53</v>
      </c>
      <c r="EO478" t="s">
        <v>306</v>
      </c>
      <c r="ET478" t="s">
        <v>306</v>
      </c>
      <c r="EY478" t="s">
        <v>306</v>
      </c>
      <c r="FD478" t="s">
        <v>306</v>
      </c>
      <c r="FI478" t="s">
        <v>306</v>
      </c>
      <c r="FN478" t="s">
        <v>306</v>
      </c>
      <c r="FS478" t="s">
        <v>306</v>
      </c>
      <c r="FX478" t="s">
        <v>306</v>
      </c>
      <c r="FY478" t="s">
        <v>1282</v>
      </c>
      <c r="FZ478">
        <v>102734</v>
      </c>
      <c r="GA478" t="s">
        <v>346</v>
      </c>
      <c r="GB478">
        <v>0</v>
      </c>
      <c r="GC478" t="s">
        <v>53</v>
      </c>
      <c r="GH478" t="s">
        <v>306</v>
      </c>
      <c r="GM478" t="s">
        <v>306</v>
      </c>
      <c r="GR478" t="s">
        <v>306</v>
      </c>
      <c r="GW478" t="s">
        <v>306</v>
      </c>
      <c r="GX478" t="s">
        <v>1890</v>
      </c>
      <c r="GY478">
        <v>109269</v>
      </c>
      <c r="GZ478" t="s">
        <v>346</v>
      </c>
      <c r="HA478">
        <v>0</v>
      </c>
      <c r="HB478" t="s">
        <v>53</v>
      </c>
      <c r="HG478" t="s">
        <v>306</v>
      </c>
    </row>
    <row r="479" spans="5:215" x14ac:dyDescent="0.35">
      <c r="E479" t="s">
        <v>306</v>
      </c>
      <c r="J479" t="s">
        <v>306</v>
      </c>
      <c r="O479" t="s">
        <v>306</v>
      </c>
      <c r="T479" t="s">
        <v>306</v>
      </c>
      <c r="Y479" t="s">
        <v>306</v>
      </c>
      <c r="AD479" t="s">
        <v>306</v>
      </c>
      <c r="AI479" t="s">
        <v>306</v>
      </c>
      <c r="AN479" t="s">
        <v>306</v>
      </c>
      <c r="AS479" t="s">
        <v>306</v>
      </c>
      <c r="AX479" t="s">
        <v>306</v>
      </c>
      <c r="BC479" t="s">
        <v>306</v>
      </c>
      <c r="BD479" t="s">
        <v>1546</v>
      </c>
      <c r="BE479" t="s">
        <v>300</v>
      </c>
      <c r="BF479" t="s">
        <v>361</v>
      </c>
      <c r="BG479">
        <v>0</v>
      </c>
      <c r="BH479" t="s">
        <v>50</v>
      </c>
      <c r="BM479" t="s">
        <v>306</v>
      </c>
      <c r="BR479" t="s">
        <v>306</v>
      </c>
      <c r="BS479" t="s">
        <v>464</v>
      </c>
      <c r="BT479">
        <v>4629378</v>
      </c>
      <c r="BU479" t="s">
        <v>346</v>
      </c>
      <c r="BV479">
        <v>0</v>
      </c>
      <c r="BW479" t="s">
        <v>304</v>
      </c>
      <c r="CB479" t="s">
        <v>306</v>
      </c>
      <c r="CC479" t="s">
        <v>1891</v>
      </c>
      <c r="CD479">
        <v>20093207</v>
      </c>
      <c r="CE479" t="s">
        <v>346</v>
      </c>
      <c r="CF479">
        <v>0</v>
      </c>
      <c r="CG479" t="s">
        <v>53</v>
      </c>
      <c r="CL479" t="s">
        <v>306</v>
      </c>
      <c r="CM479" t="s">
        <v>2110</v>
      </c>
      <c r="CN479">
        <v>4072532</v>
      </c>
      <c r="CO479" t="s">
        <v>346</v>
      </c>
      <c r="CP479">
        <v>0</v>
      </c>
      <c r="CQ479" t="s">
        <v>53</v>
      </c>
      <c r="CV479" t="s">
        <v>306</v>
      </c>
      <c r="DA479" t="s">
        <v>306</v>
      </c>
      <c r="DB479" t="s">
        <v>1546</v>
      </c>
      <c r="DC479" t="s">
        <v>300</v>
      </c>
      <c r="DD479" t="s">
        <v>361</v>
      </c>
      <c r="DE479">
        <v>0</v>
      </c>
      <c r="DF479" t="s">
        <v>50</v>
      </c>
      <c r="DK479" t="s">
        <v>306</v>
      </c>
      <c r="DL479" t="s">
        <v>1546</v>
      </c>
      <c r="DM479" t="s">
        <v>300</v>
      </c>
      <c r="DN479" t="s">
        <v>361</v>
      </c>
      <c r="DO479">
        <v>0</v>
      </c>
      <c r="DP479" t="s">
        <v>50</v>
      </c>
      <c r="DU479" t="s">
        <v>306</v>
      </c>
      <c r="DZ479" t="s">
        <v>306</v>
      </c>
      <c r="EA479" t="s">
        <v>1891</v>
      </c>
      <c r="EB479">
        <v>20093207</v>
      </c>
      <c r="EC479" t="s">
        <v>346</v>
      </c>
      <c r="ED479">
        <v>0</v>
      </c>
      <c r="EE479" t="s">
        <v>53</v>
      </c>
      <c r="EF479" t="s">
        <v>1546</v>
      </c>
      <c r="EG479" t="s">
        <v>300</v>
      </c>
      <c r="EH479" t="s">
        <v>361</v>
      </c>
      <c r="EI479">
        <v>0</v>
      </c>
      <c r="EJ479" t="s">
        <v>50</v>
      </c>
      <c r="EO479" t="s">
        <v>306</v>
      </c>
      <c r="ET479" t="s">
        <v>306</v>
      </c>
      <c r="EY479" t="s">
        <v>306</v>
      </c>
      <c r="FD479" t="s">
        <v>306</v>
      </c>
      <c r="FI479" t="s">
        <v>306</v>
      </c>
      <c r="FN479" t="s">
        <v>306</v>
      </c>
      <c r="FS479" t="s">
        <v>306</v>
      </c>
      <c r="FX479" t="s">
        <v>306</v>
      </c>
      <c r="FY479" t="s">
        <v>1546</v>
      </c>
      <c r="FZ479" t="s">
        <v>300</v>
      </c>
      <c r="GA479" t="s">
        <v>361</v>
      </c>
      <c r="GB479">
        <v>0</v>
      </c>
      <c r="GC479" t="s">
        <v>50</v>
      </c>
      <c r="GH479" t="s">
        <v>306</v>
      </c>
      <c r="GM479" t="s">
        <v>306</v>
      </c>
      <c r="GR479" t="s">
        <v>306</v>
      </c>
      <c r="GW479" t="s">
        <v>306</v>
      </c>
      <c r="GX479" t="s">
        <v>1891</v>
      </c>
      <c r="GY479">
        <v>20093207</v>
      </c>
      <c r="GZ479" t="s">
        <v>346</v>
      </c>
      <c r="HA479">
        <v>0</v>
      </c>
      <c r="HB479" t="s">
        <v>53</v>
      </c>
      <c r="HG479" t="s">
        <v>306</v>
      </c>
    </row>
    <row r="480" spans="5:215" x14ac:dyDescent="0.35">
      <c r="E480" t="s">
        <v>306</v>
      </c>
      <c r="J480" t="s">
        <v>306</v>
      </c>
      <c r="O480" t="s">
        <v>306</v>
      </c>
      <c r="T480" t="s">
        <v>306</v>
      </c>
      <c r="Y480" t="s">
        <v>306</v>
      </c>
      <c r="AD480" t="s">
        <v>306</v>
      </c>
      <c r="AI480" t="s">
        <v>306</v>
      </c>
      <c r="AN480" t="s">
        <v>306</v>
      </c>
      <c r="AS480" t="s">
        <v>306</v>
      </c>
      <c r="AX480" t="s">
        <v>306</v>
      </c>
      <c r="BC480" t="s">
        <v>306</v>
      </c>
      <c r="BD480" t="s">
        <v>572</v>
      </c>
      <c r="BE480">
        <v>4294917</v>
      </c>
      <c r="BF480" t="s">
        <v>346</v>
      </c>
      <c r="BG480">
        <v>0</v>
      </c>
      <c r="BH480" t="s">
        <v>320</v>
      </c>
      <c r="BM480" t="s">
        <v>306</v>
      </c>
      <c r="BR480" t="s">
        <v>306</v>
      </c>
      <c r="BS480" t="s">
        <v>833</v>
      </c>
      <c r="BT480">
        <v>110527</v>
      </c>
      <c r="BU480" t="s">
        <v>346</v>
      </c>
      <c r="BV480">
        <v>0</v>
      </c>
      <c r="BW480" t="s">
        <v>53</v>
      </c>
      <c r="CB480" t="s">
        <v>306</v>
      </c>
      <c r="CC480" t="s">
        <v>623</v>
      </c>
      <c r="CD480">
        <v>4138267</v>
      </c>
      <c r="CE480" t="s">
        <v>346</v>
      </c>
      <c r="CF480">
        <v>0</v>
      </c>
      <c r="CG480" t="s">
        <v>320</v>
      </c>
      <c r="CL480" t="s">
        <v>306</v>
      </c>
      <c r="CM480" t="s">
        <v>2111</v>
      </c>
      <c r="CN480">
        <v>20315004</v>
      </c>
      <c r="CO480" t="s">
        <v>346</v>
      </c>
      <c r="CP480">
        <v>0</v>
      </c>
      <c r="CQ480" t="s">
        <v>53</v>
      </c>
      <c r="CV480" t="s">
        <v>306</v>
      </c>
      <c r="DA480" t="s">
        <v>306</v>
      </c>
      <c r="DB480" t="s">
        <v>572</v>
      </c>
      <c r="DC480">
        <v>4294917</v>
      </c>
      <c r="DD480" t="s">
        <v>346</v>
      </c>
      <c r="DE480">
        <v>0</v>
      </c>
      <c r="DF480" t="s">
        <v>320</v>
      </c>
      <c r="DK480" t="s">
        <v>306</v>
      </c>
      <c r="DL480" t="s">
        <v>572</v>
      </c>
      <c r="DM480">
        <v>4294917</v>
      </c>
      <c r="DN480" t="s">
        <v>346</v>
      </c>
      <c r="DO480">
        <v>0</v>
      </c>
      <c r="DP480" t="s">
        <v>320</v>
      </c>
      <c r="DU480" t="s">
        <v>306</v>
      </c>
      <c r="DZ480" t="s">
        <v>306</v>
      </c>
      <c r="EA480" t="s">
        <v>623</v>
      </c>
      <c r="EB480">
        <v>4138267</v>
      </c>
      <c r="EC480" t="s">
        <v>346</v>
      </c>
      <c r="ED480">
        <v>0</v>
      </c>
      <c r="EE480" t="s">
        <v>320</v>
      </c>
      <c r="EF480" t="s">
        <v>572</v>
      </c>
      <c r="EG480">
        <v>4294917</v>
      </c>
      <c r="EH480" t="s">
        <v>346</v>
      </c>
      <c r="EI480">
        <v>0</v>
      </c>
      <c r="EJ480" t="s">
        <v>320</v>
      </c>
      <c r="EO480" t="s">
        <v>306</v>
      </c>
      <c r="ET480" t="s">
        <v>306</v>
      </c>
      <c r="EY480" t="s">
        <v>306</v>
      </c>
      <c r="FD480" t="s">
        <v>306</v>
      </c>
      <c r="FI480" t="s">
        <v>306</v>
      </c>
      <c r="FN480" t="s">
        <v>306</v>
      </c>
      <c r="FS480" t="s">
        <v>306</v>
      </c>
      <c r="FX480" t="s">
        <v>306</v>
      </c>
      <c r="FY480" t="s">
        <v>572</v>
      </c>
      <c r="FZ480">
        <v>4294917</v>
      </c>
      <c r="GA480" t="s">
        <v>346</v>
      </c>
      <c r="GB480">
        <v>0</v>
      </c>
      <c r="GC480" t="s">
        <v>320</v>
      </c>
      <c r="GH480" t="s">
        <v>306</v>
      </c>
      <c r="GM480" t="s">
        <v>306</v>
      </c>
      <c r="GR480" t="s">
        <v>306</v>
      </c>
      <c r="GW480" t="s">
        <v>306</v>
      </c>
      <c r="GX480" t="s">
        <v>623</v>
      </c>
      <c r="GY480">
        <v>4138267</v>
      </c>
      <c r="GZ480" t="s">
        <v>346</v>
      </c>
      <c r="HA480">
        <v>0</v>
      </c>
      <c r="HB480" t="s">
        <v>320</v>
      </c>
      <c r="HG480" t="s">
        <v>306</v>
      </c>
    </row>
    <row r="481" spans="5:215" x14ac:dyDescent="0.35">
      <c r="E481" t="s">
        <v>306</v>
      </c>
      <c r="J481" t="s">
        <v>306</v>
      </c>
      <c r="O481" t="s">
        <v>306</v>
      </c>
      <c r="T481" t="s">
        <v>306</v>
      </c>
      <c r="Y481" t="s">
        <v>306</v>
      </c>
      <c r="AD481" t="s">
        <v>306</v>
      </c>
      <c r="AI481" t="s">
        <v>306</v>
      </c>
      <c r="AN481" t="s">
        <v>306</v>
      </c>
      <c r="AS481" t="s">
        <v>306</v>
      </c>
      <c r="AX481" t="s">
        <v>306</v>
      </c>
      <c r="BC481" t="s">
        <v>306</v>
      </c>
      <c r="BD481" t="s">
        <v>1547</v>
      </c>
      <c r="BE481">
        <v>5844120</v>
      </c>
      <c r="BF481" t="s">
        <v>346</v>
      </c>
      <c r="BG481">
        <v>0</v>
      </c>
      <c r="BH481" t="s">
        <v>62</v>
      </c>
      <c r="BM481" t="s">
        <v>306</v>
      </c>
      <c r="BR481" t="s">
        <v>306</v>
      </c>
      <c r="BS481" t="s">
        <v>1096</v>
      </c>
      <c r="BT481">
        <v>4239453</v>
      </c>
      <c r="BU481" t="s">
        <v>346</v>
      </c>
      <c r="BV481">
        <v>0</v>
      </c>
      <c r="BW481" t="s">
        <v>2191</v>
      </c>
      <c r="CB481" t="s">
        <v>306</v>
      </c>
      <c r="CC481" t="s">
        <v>1892</v>
      </c>
      <c r="CD481">
        <v>6282572</v>
      </c>
      <c r="CE481" t="s">
        <v>346</v>
      </c>
      <c r="CF481">
        <v>0</v>
      </c>
      <c r="CG481" t="s">
        <v>114</v>
      </c>
      <c r="CL481" t="s">
        <v>306</v>
      </c>
      <c r="CM481" t="s">
        <v>2112</v>
      </c>
      <c r="CN481">
        <v>4387988</v>
      </c>
      <c r="CO481" t="s">
        <v>366</v>
      </c>
      <c r="CP481">
        <v>0</v>
      </c>
      <c r="CQ481" t="s">
        <v>53</v>
      </c>
      <c r="CV481" t="s">
        <v>306</v>
      </c>
      <c r="DA481" t="s">
        <v>306</v>
      </c>
      <c r="DB481" t="s">
        <v>1547</v>
      </c>
      <c r="DC481">
        <v>5844120</v>
      </c>
      <c r="DD481" t="s">
        <v>346</v>
      </c>
      <c r="DE481">
        <v>0</v>
      </c>
      <c r="DF481" t="s">
        <v>62</v>
      </c>
      <c r="DK481" t="s">
        <v>306</v>
      </c>
      <c r="DL481" t="s">
        <v>1547</v>
      </c>
      <c r="DM481">
        <v>5844120</v>
      </c>
      <c r="DN481" t="s">
        <v>346</v>
      </c>
      <c r="DO481">
        <v>0</v>
      </c>
      <c r="DP481" t="s">
        <v>62</v>
      </c>
      <c r="DU481" t="s">
        <v>306</v>
      </c>
      <c r="DZ481" t="s">
        <v>306</v>
      </c>
      <c r="EA481" t="s">
        <v>1892</v>
      </c>
      <c r="EB481">
        <v>6282572</v>
      </c>
      <c r="EC481" t="s">
        <v>346</v>
      </c>
      <c r="ED481">
        <v>0</v>
      </c>
      <c r="EE481" t="s">
        <v>114</v>
      </c>
      <c r="EF481" t="s">
        <v>1547</v>
      </c>
      <c r="EG481">
        <v>5844120</v>
      </c>
      <c r="EH481" t="s">
        <v>346</v>
      </c>
      <c r="EI481">
        <v>0</v>
      </c>
      <c r="EJ481" t="s">
        <v>62</v>
      </c>
      <c r="EO481" t="s">
        <v>306</v>
      </c>
      <c r="ET481" t="s">
        <v>306</v>
      </c>
      <c r="EY481" t="s">
        <v>306</v>
      </c>
      <c r="FD481" t="s">
        <v>306</v>
      </c>
      <c r="FI481" t="s">
        <v>306</v>
      </c>
      <c r="FN481" t="s">
        <v>306</v>
      </c>
      <c r="FS481" t="s">
        <v>306</v>
      </c>
      <c r="FX481" t="s">
        <v>306</v>
      </c>
      <c r="FY481" t="s">
        <v>1547</v>
      </c>
      <c r="FZ481">
        <v>5844120</v>
      </c>
      <c r="GA481" t="s">
        <v>346</v>
      </c>
      <c r="GB481">
        <v>0</v>
      </c>
      <c r="GC481" t="s">
        <v>62</v>
      </c>
      <c r="GH481" t="s">
        <v>306</v>
      </c>
      <c r="GM481" t="s">
        <v>306</v>
      </c>
      <c r="GR481" t="s">
        <v>306</v>
      </c>
      <c r="GW481" t="s">
        <v>306</v>
      </c>
      <c r="GX481" t="s">
        <v>1892</v>
      </c>
      <c r="GY481">
        <v>6282572</v>
      </c>
      <c r="GZ481" t="s">
        <v>346</v>
      </c>
      <c r="HA481">
        <v>0</v>
      </c>
      <c r="HB481" t="s">
        <v>114</v>
      </c>
      <c r="HG481" t="s">
        <v>306</v>
      </c>
    </row>
    <row r="482" spans="5:215" x14ac:dyDescent="0.35">
      <c r="E482" t="s">
        <v>306</v>
      </c>
      <c r="J482" t="s">
        <v>306</v>
      </c>
      <c r="O482" t="s">
        <v>306</v>
      </c>
      <c r="T482" t="s">
        <v>306</v>
      </c>
      <c r="Y482" t="s">
        <v>306</v>
      </c>
      <c r="AD482" t="s">
        <v>306</v>
      </c>
      <c r="AI482" t="s">
        <v>306</v>
      </c>
      <c r="AN482" t="s">
        <v>306</v>
      </c>
      <c r="AS482" t="s">
        <v>306</v>
      </c>
      <c r="AX482" t="s">
        <v>306</v>
      </c>
      <c r="BC482" t="s">
        <v>306</v>
      </c>
      <c r="BD482" t="s">
        <v>1548</v>
      </c>
      <c r="BE482">
        <v>4138538</v>
      </c>
      <c r="BF482" t="s">
        <v>346</v>
      </c>
      <c r="BG482">
        <v>0</v>
      </c>
      <c r="BH482" t="s">
        <v>2185</v>
      </c>
      <c r="BM482" t="s">
        <v>306</v>
      </c>
      <c r="BR482" t="s">
        <v>306</v>
      </c>
      <c r="BS482" t="s">
        <v>517</v>
      </c>
      <c r="BT482">
        <v>111097</v>
      </c>
      <c r="BU482" t="s">
        <v>346</v>
      </c>
      <c r="BV482">
        <v>0</v>
      </c>
      <c r="BW482" t="s">
        <v>53</v>
      </c>
      <c r="CB482" t="s">
        <v>306</v>
      </c>
      <c r="CC482" t="s">
        <v>1893</v>
      </c>
      <c r="CD482">
        <v>6321592</v>
      </c>
      <c r="CE482" t="s">
        <v>369</v>
      </c>
      <c r="CF482">
        <v>0</v>
      </c>
      <c r="CG482" t="s">
        <v>53</v>
      </c>
      <c r="CL482" t="s">
        <v>306</v>
      </c>
      <c r="CM482" t="s">
        <v>2113</v>
      </c>
      <c r="CN482">
        <v>4115897</v>
      </c>
      <c r="CO482" t="s">
        <v>346</v>
      </c>
      <c r="CP482">
        <v>0</v>
      </c>
      <c r="CQ482" t="s">
        <v>53</v>
      </c>
      <c r="CV482" t="s">
        <v>306</v>
      </c>
      <c r="DA482" t="s">
        <v>306</v>
      </c>
      <c r="DB482" t="s">
        <v>1548</v>
      </c>
      <c r="DC482">
        <v>4138538</v>
      </c>
      <c r="DD482" t="s">
        <v>346</v>
      </c>
      <c r="DE482">
        <v>0</v>
      </c>
      <c r="DF482" t="s">
        <v>2185</v>
      </c>
      <c r="DK482" t="s">
        <v>306</v>
      </c>
      <c r="DL482" t="s">
        <v>1548</v>
      </c>
      <c r="DM482">
        <v>4138538</v>
      </c>
      <c r="DN482" t="s">
        <v>346</v>
      </c>
      <c r="DO482">
        <v>0</v>
      </c>
      <c r="DP482" t="s">
        <v>2185</v>
      </c>
      <c r="DU482" t="s">
        <v>306</v>
      </c>
      <c r="DZ482" t="s">
        <v>306</v>
      </c>
      <c r="EA482" t="s">
        <v>1893</v>
      </c>
      <c r="EB482">
        <v>6321592</v>
      </c>
      <c r="EC482" t="s">
        <v>369</v>
      </c>
      <c r="ED482">
        <v>0</v>
      </c>
      <c r="EE482" t="s">
        <v>53</v>
      </c>
      <c r="EF482" t="s">
        <v>1548</v>
      </c>
      <c r="EG482">
        <v>4138538</v>
      </c>
      <c r="EH482" t="s">
        <v>346</v>
      </c>
      <c r="EI482">
        <v>0</v>
      </c>
      <c r="EJ482" t="s">
        <v>2185</v>
      </c>
      <c r="EO482" t="s">
        <v>306</v>
      </c>
      <c r="ET482" t="s">
        <v>306</v>
      </c>
      <c r="EY482" t="s">
        <v>306</v>
      </c>
      <c r="FD482" t="s">
        <v>306</v>
      </c>
      <c r="FI482" t="s">
        <v>306</v>
      </c>
      <c r="FN482" t="s">
        <v>306</v>
      </c>
      <c r="FS482" t="s">
        <v>306</v>
      </c>
      <c r="FX482" t="s">
        <v>306</v>
      </c>
      <c r="FY482" t="s">
        <v>1548</v>
      </c>
      <c r="FZ482">
        <v>4138538</v>
      </c>
      <c r="GA482" t="s">
        <v>346</v>
      </c>
      <c r="GB482">
        <v>0</v>
      </c>
      <c r="GC482" t="s">
        <v>2185</v>
      </c>
      <c r="GH482" t="s">
        <v>306</v>
      </c>
      <c r="GM482" t="s">
        <v>306</v>
      </c>
      <c r="GR482" t="s">
        <v>306</v>
      </c>
      <c r="GW482" t="s">
        <v>306</v>
      </c>
      <c r="GX482" t="s">
        <v>1893</v>
      </c>
      <c r="GY482">
        <v>6321592</v>
      </c>
      <c r="GZ482" t="s">
        <v>369</v>
      </c>
      <c r="HA482">
        <v>0</v>
      </c>
      <c r="HB482" t="s">
        <v>53</v>
      </c>
      <c r="HG482" t="s">
        <v>306</v>
      </c>
    </row>
    <row r="483" spans="5:215" x14ac:dyDescent="0.35">
      <c r="E483" t="s">
        <v>306</v>
      </c>
      <c r="J483" t="s">
        <v>306</v>
      </c>
      <c r="O483" t="s">
        <v>306</v>
      </c>
      <c r="T483" t="s">
        <v>306</v>
      </c>
      <c r="Y483" t="s">
        <v>306</v>
      </c>
      <c r="AD483" t="s">
        <v>306</v>
      </c>
      <c r="AI483" t="s">
        <v>306</v>
      </c>
      <c r="AN483" t="s">
        <v>306</v>
      </c>
      <c r="AS483" t="s">
        <v>306</v>
      </c>
      <c r="AX483" t="s">
        <v>306</v>
      </c>
      <c r="BC483" t="s">
        <v>306</v>
      </c>
      <c r="BD483" t="s">
        <v>1345</v>
      </c>
      <c r="BE483">
        <v>10761756</v>
      </c>
      <c r="BF483" t="s">
        <v>346</v>
      </c>
      <c r="BG483">
        <v>0</v>
      </c>
      <c r="BH483" t="s">
        <v>62</v>
      </c>
      <c r="BM483" t="s">
        <v>306</v>
      </c>
      <c r="BR483" t="s">
        <v>306</v>
      </c>
      <c r="BS483" t="s">
        <v>1097</v>
      </c>
      <c r="BT483">
        <v>4137579</v>
      </c>
      <c r="BU483" t="s">
        <v>346</v>
      </c>
      <c r="BV483">
        <v>0</v>
      </c>
      <c r="BW483" t="s">
        <v>317</v>
      </c>
      <c r="CB483" t="s">
        <v>306</v>
      </c>
      <c r="CC483" t="s">
        <v>1894</v>
      </c>
      <c r="CD483">
        <v>5753526</v>
      </c>
      <c r="CE483" t="s">
        <v>346</v>
      </c>
      <c r="CF483">
        <v>0</v>
      </c>
      <c r="CG483" t="s">
        <v>2185</v>
      </c>
      <c r="CL483" t="s">
        <v>306</v>
      </c>
      <c r="CM483" t="s">
        <v>2114</v>
      </c>
      <c r="CN483">
        <v>10573962</v>
      </c>
      <c r="CO483" t="s">
        <v>346</v>
      </c>
      <c r="CP483">
        <v>0</v>
      </c>
      <c r="CQ483" t="s">
        <v>53</v>
      </c>
      <c r="CV483" t="s">
        <v>306</v>
      </c>
      <c r="DA483" t="s">
        <v>306</v>
      </c>
      <c r="DB483" t="s">
        <v>1345</v>
      </c>
      <c r="DC483">
        <v>10761756</v>
      </c>
      <c r="DD483" t="s">
        <v>346</v>
      </c>
      <c r="DE483">
        <v>0</v>
      </c>
      <c r="DF483" t="s">
        <v>62</v>
      </c>
      <c r="DK483" t="s">
        <v>306</v>
      </c>
      <c r="DL483" t="s">
        <v>1345</v>
      </c>
      <c r="DM483">
        <v>10761756</v>
      </c>
      <c r="DN483" t="s">
        <v>346</v>
      </c>
      <c r="DO483">
        <v>0</v>
      </c>
      <c r="DP483" t="s">
        <v>62</v>
      </c>
      <c r="DU483" t="s">
        <v>306</v>
      </c>
      <c r="DZ483" t="s">
        <v>306</v>
      </c>
      <c r="EA483" t="s">
        <v>1894</v>
      </c>
      <c r="EB483">
        <v>5753526</v>
      </c>
      <c r="EC483" t="s">
        <v>346</v>
      </c>
      <c r="ED483">
        <v>0</v>
      </c>
      <c r="EE483" t="s">
        <v>2185</v>
      </c>
      <c r="EF483" t="s">
        <v>1345</v>
      </c>
      <c r="EG483">
        <v>10761756</v>
      </c>
      <c r="EH483" t="s">
        <v>346</v>
      </c>
      <c r="EI483">
        <v>0</v>
      </c>
      <c r="EJ483" t="s">
        <v>62</v>
      </c>
      <c r="EO483" t="s">
        <v>306</v>
      </c>
      <c r="ET483" t="s">
        <v>306</v>
      </c>
      <c r="EY483" t="s">
        <v>306</v>
      </c>
      <c r="FD483" t="s">
        <v>306</v>
      </c>
      <c r="FI483" t="s">
        <v>306</v>
      </c>
      <c r="FN483" t="s">
        <v>306</v>
      </c>
      <c r="FS483" t="s">
        <v>306</v>
      </c>
      <c r="FX483" t="s">
        <v>306</v>
      </c>
      <c r="FY483" t="s">
        <v>1345</v>
      </c>
      <c r="FZ483">
        <v>10761756</v>
      </c>
      <c r="GA483" t="s">
        <v>346</v>
      </c>
      <c r="GB483">
        <v>0</v>
      </c>
      <c r="GC483" t="s">
        <v>62</v>
      </c>
      <c r="GH483" t="s">
        <v>306</v>
      </c>
      <c r="GM483" t="s">
        <v>306</v>
      </c>
      <c r="GR483" t="s">
        <v>306</v>
      </c>
      <c r="GW483" t="s">
        <v>306</v>
      </c>
      <c r="GX483" t="s">
        <v>1894</v>
      </c>
      <c r="GY483">
        <v>5753526</v>
      </c>
      <c r="GZ483" t="s">
        <v>346</v>
      </c>
      <c r="HA483">
        <v>0</v>
      </c>
      <c r="HB483" t="s">
        <v>2185</v>
      </c>
      <c r="HG483" t="s">
        <v>306</v>
      </c>
    </row>
    <row r="484" spans="5:215" x14ac:dyDescent="0.35">
      <c r="E484" t="s">
        <v>306</v>
      </c>
      <c r="J484" t="s">
        <v>306</v>
      </c>
      <c r="O484" t="s">
        <v>306</v>
      </c>
      <c r="T484" t="s">
        <v>306</v>
      </c>
      <c r="Y484" t="s">
        <v>306</v>
      </c>
      <c r="AD484" t="s">
        <v>306</v>
      </c>
      <c r="AI484" t="s">
        <v>306</v>
      </c>
      <c r="AN484" t="s">
        <v>306</v>
      </c>
      <c r="AS484" t="s">
        <v>306</v>
      </c>
      <c r="AX484" t="s">
        <v>306</v>
      </c>
      <c r="BC484" t="s">
        <v>306</v>
      </c>
      <c r="BD484" t="s">
        <v>1009</v>
      </c>
      <c r="BE484">
        <v>4056821</v>
      </c>
      <c r="BF484" t="s">
        <v>346</v>
      </c>
      <c r="BG484">
        <v>0</v>
      </c>
      <c r="BH484" t="s">
        <v>320</v>
      </c>
      <c r="BM484" t="s">
        <v>306</v>
      </c>
      <c r="BR484" t="s">
        <v>306</v>
      </c>
      <c r="BS484" t="s">
        <v>911</v>
      </c>
      <c r="BT484">
        <v>109399086</v>
      </c>
      <c r="BU484" t="s">
        <v>346</v>
      </c>
      <c r="BV484">
        <v>0</v>
      </c>
      <c r="BW484" t="s">
        <v>50</v>
      </c>
      <c r="CB484" t="s">
        <v>306</v>
      </c>
      <c r="CC484" t="s">
        <v>1895</v>
      </c>
      <c r="CD484">
        <v>4134197</v>
      </c>
      <c r="CE484" t="s">
        <v>364</v>
      </c>
      <c r="CF484">
        <v>0</v>
      </c>
      <c r="CG484" t="s">
        <v>53</v>
      </c>
      <c r="CL484" t="s">
        <v>306</v>
      </c>
      <c r="CM484" t="s">
        <v>1781</v>
      </c>
      <c r="CN484">
        <v>4420079</v>
      </c>
      <c r="CO484" t="s">
        <v>364</v>
      </c>
      <c r="CP484">
        <v>0</v>
      </c>
      <c r="CQ484" t="s">
        <v>114</v>
      </c>
      <c r="CV484" t="s">
        <v>306</v>
      </c>
      <c r="DA484" t="s">
        <v>306</v>
      </c>
      <c r="DB484" t="s">
        <v>1009</v>
      </c>
      <c r="DC484">
        <v>4056821</v>
      </c>
      <c r="DD484" t="s">
        <v>346</v>
      </c>
      <c r="DE484">
        <v>0</v>
      </c>
      <c r="DF484" t="s">
        <v>320</v>
      </c>
      <c r="DK484" t="s">
        <v>306</v>
      </c>
      <c r="DL484" t="s">
        <v>1009</v>
      </c>
      <c r="DM484">
        <v>4056821</v>
      </c>
      <c r="DN484" t="s">
        <v>346</v>
      </c>
      <c r="DO484">
        <v>0</v>
      </c>
      <c r="DP484" t="s">
        <v>320</v>
      </c>
      <c r="DU484" t="s">
        <v>306</v>
      </c>
      <c r="DZ484" t="s">
        <v>306</v>
      </c>
      <c r="EA484" t="s">
        <v>1895</v>
      </c>
      <c r="EB484">
        <v>4134197</v>
      </c>
      <c r="EC484" t="s">
        <v>364</v>
      </c>
      <c r="ED484">
        <v>0</v>
      </c>
      <c r="EE484" t="s">
        <v>53</v>
      </c>
      <c r="EF484" t="s">
        <v>1009</v>
      </c>
      <c r="EG484">
        <v>4056821</v>
      </c>
      <c r="EH484" t="s">
        <v>346</v>
      </c>
      <c r="EI484">
        <v>0</v>
      </c>
      <c r="EJ484" t="s">
        <v>320</v>
      </c>
      <c r="EO484" t="s">
        <v>306</v>
      </c>
      <c r="ET484" t="s">
        <v>306</v>
      </c>
      <c r="EY484" t="s">
        <v>306</v>
      </c>
      <c r="FD484" t="s">
        <v>306</v>
      </c>
      <c r="FI484" t="s">
        <v>306</v>
      </c>
      <c r="FN484" t="s">
        <v>306</v>
      </c>
      <c r="FS484" t="s">
        <v>306</v>
      </c>
      <c r="FX484" t="s">
        <v>306</v>
      </c>
      <c r="FY484" t="s">
        <v>1009</v>
      </c>
      <c r="FZ484">
        <v>4056821</v>
      </c>
      <c r="GA484" t="s">
        <v>346</v>
      </c>
      <c r="GB484">
        <v>0</v>
      </c>
      <c r="GC484" t="s">
        <v>320</v>
      </c>
      <c r="GH484" t="s">
        <v>306</v>
      </c>
      <c r="GM484" t="s">
        <v>306</v>
      </c>
      <c r="GR484" t="s">
        <v>306</v>
      </c>
      <c r="GW484" t="s">
        <v>306</v>
      </c>
      <c r="GX484" t="s">
        <v>1895</v>
      </c>
      <c r="GY484">
        <v>4134197</v>
      </c>
      <c r="GZ484" t="s">
        <v>364</v>
      </c>
      <c r="HA484">
        <v>0</v>
      </c>
      <c r="HB484" t="s">
        <v>53</v>
      </c>
      <c r="HG484" t="s">
        <v>306</v>
      </c>
    </row>
    <row r="485" spans="5:215" x14ac:dyDescent="0.35">
      <c r="E485" t="s">
        <v>306</v>
      </c>
      <c r="J485" t="s">
        <v>306</v>
      </c>
      <c r="O485" t="s">
        <v>306</v>
      </c>
      <c r="T485" t="s">
        <v>306</v>
      </c>
      <c r="Y485" t="s">
        <v>306</v>
      </c>
      <c r="AD485" t="s">
        <v>306</v>
      </c>
      <c r="AI485" t="s">
        <v>306</v>
      </c>
      <c r="AN485" t="s">
        <v>306</v>
      </c>
      <c r="AS485" t="s">
        <v>306</v>
      </c>
      <c r="AX485" t="s">
        <v>306</v>
      </c>
      <c r="BC485" t="s">
        <v>306</v>
      </c>
      <c r="BD485" t="s">
        <v>549</v>
      </c>
      <c r="BE485">
        <v>4556203</v>
      </c>
      <c r="BF485" t="s">
        <v>346</v>
      </c>
      <c r="BG485">
        <v>0</v>
      </c>
      <c r="BH485" t="s">
        <v>53</v>
      </c>
      <c r="BM485" t="s">
        <v>306</v>
      </c>
      <c r="BR485" t="s">
        <v>306</v>
      </c>
      <c r="BS485" t="s">
        <v>854</v>
      </c>
      <c r="BT485">
        <v>5777425</v>
      </c>
      <c r="BU485" t="s">
        <v>346</v>
      </c>
      <c r="BV485">
        <v>0</v>
      </c>
      <c r="BW485" t="s">
        <v>50</v>
      </c>
      <c r="CB485" t="s">
        <v>306</v>
      </c>
      <c r="CC485" t="s">
        <v>1896</v>
      </c>
      <c r="CD485">
        <v>13980941</v>
      </c>
      <c r="CE485" t="s">
        <v>346</v>
      </c>
      <c r="CF485">
        <v>0</v>
      </c>
      <c r="CG485" t="s">
        <v>53</v>
      </c>
      <c r="CL485" t="s">
        <v>306</v>
      </c>
      <c r="CM485" t="s">
        <v>2115</v>
      </c>
      <c r="CN485">
        <v>4272795</v>
      </c>
      <c r="CO485" t="s">
        <v>346</v>
      </c>
      <c r="CP485">
        <v>0</v>
      </c>
      <c r="CQ485" t="s">
        <v>53</v>
      </c>
      <c r="CV485" t="s">
        <v>306</v>
      </c>
      <c r="DA485" t="s">
        <v>306</v>
      </c>
      <c r="DB485" t="s">
        <v>549</v>
      </c>
      <c r="DC485">
        <v>4556203</v>
      </c>
      <c r="DD485" t="s">
        <v>346</v>
      </c>
      <c r="DE485">
        <v>0</v>
      </c>
      <c r="DF485" t="s">
        <v>53</v>
      </c>
      <c r="DK485" t="s">
        <v>306</v>
      </c>
      <c r="DL485" t="s">
        <v>549</v>
      </c>
      <c r="DM485">
        <v>4556203</v>
      </c>
      <c r="DN485" t="s">
        <v>346</v>
      </c>
      <c r="DO485">
        <v>0</v>
      </c>
      <c r="DP485" t="s">
        <v>53</v>
      </c>
      <c r="DU485" t="s">
        <v>306</v>
      </c>
      <c r="DZ485" t="s">
        <v>306</v>
      </c>
      <c r="EA485" t="s">
        <v>1896</v>
      </c>
      <c r="EB485">
        <v>13980941</v>
      </c>
      <c r="EC485" t="s">
        <v>346</v>
      </c>
      <c r="ED485">
        <v>0</v>
      </c>
      <c r="EE485" t="s">
        <v>53</v>
      </c>
      <c r="EF485" t="s">
        <v>549</v>
      </c>
      <c r="EG485">
        <v>4556203</v>
      </c>
      <c r="EH485" t="s">
        <v>346</v>
      </c>
      <c r="EI485">
        <v>0</v>
      </c>
      <c r="EJ485" t="s">
        <v>53</v>
      </c>
      <c r="EO485" t="s">
        <v>306</v>
      </c>
      <c r="ET485" t="s">
        <v>306</v>
      </c>
      <c r="EY485" t="s">
        <v>306</v>
      </c>
      <c r="FD485" t="s">
        <v>306</v>
      </c>
      <c r="FI485" t="s">
        <v>306</v>
      </c>
      <c r="FN485" t="s">
        <v>306</v>
      </c>
      <c r="FS485" t="s">
        <v>306</v>
      </c>
      <c r="FX485" t="s">
        <v>306</v>
      </c>
      <c r="FY485" t="s">
        <v>549</v>
      </c>
      <c r="FZ485">
        <v>4556203</v>
      </c>
      <c r="GA485" t="s">
        <v>346</v>
      </c>
      <c r="GB485">
        <v>0</v>
      </c>
      <c r="GC485" t="s">
        <v>53</v>
      </c>
      <c r="GH485" t="s">
        <v>306</v>
      </c>
      <c r="GM485" t="s">
        <v>306</v>
      </c>
      <c r="GR485" t="s">
        <v>306</v>
      </c>
      <c r="GW485" t="s">
        <v>306</v>
      </c>
      <c r="GX485" t="s">
        <v>1896</v>
      </c>
      <c r="GY485">
        <v>13980941</v>
      </c>
      <c r="GZ485" t="s">
        <v>346</v>
      </c>
      <c r="HA485">
        <v>0</v>
      </c>
      <c r="HB485" t="s">
        <v>53</v>
      </c>
      <c r="HG485" t="s">
        <v>306</v>
      </c>
    </row>
    <row r="486" spans="5:215" x14ac:dyDescent="0.35">
      <c r="E486" t="s">
        <v>306</v>
      </c>
      <c r="J486" t="s">
        <v>306</v>
      </c>
      <c r="O486" t="s">
        <v>306</v>
      </c>
      <c r="T486" t="s">
        <v>306</v>
      </c>
      <c r="Y486" t="s">
        <v>306</v>
      </c>
      <c r="AD486" t="s">
        <v>306</v>
      </c>
      <c r="AI486" t="s">
        <v>306</v>
      </c>
      <c r="AN486" t="s">
        <v>306</v>
      </c>
      <c r="AS486" t="s">
        <v>306</v>
      </c>
      <c r="AX486" t="s">
        <v>306</v>
      </c>
      <c r="BC486" t="s">
        <v>306</v>
      </c>
      <c r="BD486" t="s">
        <v>1356</v>
      </c>
      <c r="BE486">
        <v>5830723</v>
      </c>
      <c r="BF486" t="s">
        <v>346</v>
      </c>
      <c r="BG486">
        <v>0</v>
      </c>
      <c r="BH486" t="s">
        <v>62</v>
      </c>
      <c r="BM486" t="s">
        <v>306</v>
      </c>
      <c r="BR486" t="s">
        <v>306</v>
      </c>
      <c r="BS486" t="s">
        <v>492</v>
      </c>
      <c r="BT486">
        <v>110674</v>
      </c>
      <c r="BU486" t="s">
        <v>346</v>
      </c>
      <c r="BV486">
        <v>0</v>
      </c>
      <c r="BW486" t="s">
        <v>53</v>
      </c>
      <c r="CB486" t="s">
        <v>306</v>
      </c>
      <c r="CC486" t="s">
        <v>1897</v>
      </c>
      <c r="CD486">
        <v>11226628</v>
      </c>
      <c r="CE486" t="s">
        <v>346</v>
      </c>
      <c r="CF486">
        <v>0</v>
      </c>
      <c r="CG486" t="s">
        <v>53</v>
      </c>
      <c r="CL486" t="s">
        <v>306</v>
      </c>
      <c r="CM486" t="s">
        <v>2116</v>
      </c>
      <c r="CN486">
        <v>4145387</v>
      </c>
      <c r="CO486" t="s">
        <v>346</v>
      </c>
      <c r="CP486">
        <v>0</v>
      </c>
      <c r="CQ486" t="s">
        <v>53</v>
      </c>
      <c r="CV486" t="s">
        <v>306</v>
      </c>
      <c r="DA486" t="s">
        <v>306</v>
      </c>
      <c r="DB486" t="s">
        <v>1356</v>
      </c>
      <c r="DC486">
        <v>5830723</v>
      </c>
      <c r="DD486" t="s">
        <v>346</v>
      </c>
      <c r="DE486">
        <v>0</v>
      </c>
      <c r="DF486" t="s">
        <v>62</v>
      </c>
      <c r="DK486" t="s">
        <v>306</v>
      </c>
      <c r="DL486" t="s">
        <v>1356</v>
      </c>
      <c r="DM486">
        <v>5830723</v>
      </c>
      <c r="DN486" t="s">
        <v>346</v>
      </c>
      <c r="DO486">
        <v>0</v>
      </c>
      <c r="DP486" t="s">
        <v>62</v>
      </c>
      <c r="DU486" t="s">
        <v>306</v>
      </c>
      <c r="DZ486" t="s">
        <v>306</v>
      </c>
      <c r="EA486" t="s">
        <v>1897</v>
      </c>
      <c r="EB486">
        <v>11226628</v>
      </c>
      <c r="EC486" t="s">
        <v>346</v>
      </c>
      <c r="ED486">
        <v>0</v>
      </c>
      <c r="EE486" t="s">
        <v>53</v>
      </c>
      <c r="EF486" t="s">
        <v>1356</v>
      </c>
      <c r="EG486">
        <v>5830723</v>
      </c>
      <c r="EH486" t="s">
        <v>346</v>
      </c>
      <c r="EI486">
        <v>0</v>
      </c>
      <c r="EJ486" t="s">
        <v>62</v>
      </c>
      <c r="EO486" t="s">
        <v>306</v>
      </c>
      <c r="ET486" t="s">
        <v>306</v>
      </c>
      <c r="EY486" t="s">
        <v>306</v>
      </c>
      <c r="FD486" t="s">
        <v>306</v>
      </c>
      <c r="FI486" t="s">
        <v>306</v>
      </c>
      <c r="FN486" t="s">
        <v>306</v>
      </c>
      <c r="FS486" t="s">
        <v>306</v>
      </c>
      <c r="FX486" t="s">
        <v>306</v>
      </c>
      <c r="FY486" t="s">
        <v>1356</v>
      </c>
      <c r="FZ486">
        <v>5830723</v>
      </c>
      <c r="GA486" t="s">
        <v>346</v>
      </c>
      <c r="GB486">
        <v>0</v>
      </c>
      <c r="GC486" t="s">
        <v>62</v>
      </c>
      <c r="GH486" t="s">
        <v>306</v>
      </c>
      <c r="GM486" t="s">
        <v>306</v>
      </c>
      <c r="GR486" t="s">
        <v>306</v>
      </c>
      <c r="GW486" t="s">
        <v>306</v>
      </c>
      <c r="GX486" t="s">
        <v>1897</v>
      </c>
      <c r="GY486">
        <v>11226628</v>
      </c>
      <c r="GZ486" t="s">
        <v>346</v>
      </c>
      <c r="HA486">
        <v>0</v>
      </c>
      <c r="HB486" t="s">
        <v>53</v>
      </c>
      <c r="HG486" t="s">
        <v>306</v>
      </c>
    </row>
    <row r="487" spans="5:215" x14ac:dyDescent="0.35">
      <c r="E487" t="s">
        <v>306</v>
      </c>
      <c r="J487" t="s">
        <v>306</v>
      </c>
      <c r="O487" t="s">
        <v>306</v>
      </c>
      <c r="T487" t="s">
        <v>306</v>
      </c>
      <c r="Y487" t="s">
        <v>306</v>
      </c>
      <c r="AD487" t="s">
        <v>306</v>
      </c>
      <c r="AI487" t="s">
        <v>306</v>
      </c>
      <c r="AN487" t="s">
        <v>306</v>
      </c>
      <c r="AS487" t="s">
        <v>306</v>
      </c>
      <c r="AX487" t="s">
        <v>306</v>
      </c>
      <c r="BC487" t="s">
        <v>306</v>
      </c>
      <c r="BD487" t="s">
        <v>1371</v>
      </c>
      <c r="BE487">
        <v>7789175</v>
      </c>
      <c r="BF487" t="s">
        <v>346</v>
      </c>
      <c r="BG487">
        <v>0</v>
      </c>
      <c r="BH487" t="s">
        <v>62</v>
      </c>
      <c r="BM487" t="s">
        <v>306</v>
      </c>
      <c r="BR487" t="s">
        <v>306</v>
      </c>
      <c r="BS487" t="s">
        <v>864</v>
      </c>
      <c r="BT487">
        <v>4345969</v>
      </c>
      <c r="BU487" t="s">
        <v>346</v>
      </c>
      <c r="BV487">
        <v>0</v>
      </c>
      <c r="BW487" t="s">
        <v>50</v>
      </c>
      <c r="CB487" t="s">
        <v>306</v>
      </c>
      <c r="CC487" t="s">
        <v>1898</v>
      </c>
      <c r="CD487">
        <v>11023324</v>
      </c>
      <c r="CE487" t="s">
        <v>276</v>
      </c>
      <c r="CF487">
        <v>0</v>
      </c>
      <c r="CG487" t="s">
        <v>313</v>
      </c>
      <c r="CL487" t="s">
        <v>306</v>
      </c>
      <c r="CM487" t="s">
        <v>2117</v>
      </c>
      <c r="CN487">
        <v>4055176</v>
      </c>
      <c r="CO487" t="s">
        <v>346</v>
      </c>
      <c r="CP487">
        <v>0</v>
      </c>
      <c r="CQ487" t="s">
        <v>53</v>
      </c>
      <c r="CV487" t="s">
        <v>306</v>
      </c>
      <c r="DA487" t="s">
        <v>306</v>
      </c>
      <c r="DB487" t="s">
        <v>1371</v>
      </c>
      <c r="DC487">
        <v>7789175</v>
      </c>
      <c r="DD487" t="s">
        <v>346</v>
      </c>
      <c r="DE487">
        <v>0</v>
      </c>
      <c r="DF487" t="s">
        <v>62</v>
      </c>
      <c r="DK487" t="s">
        <v>306</v>
      </c>
      <c r="DL487" t="s">
        <v>1371</v>
      </c>
      <c r="DM487">
        <v>7789175</v>
      </c>
      <c r="DN487" t="s">
        <v>346</v>
      </c>
      <c r="DO487">
        <v>0</v>
      </c>
      <c r="DP487" t="s">
        <v>62</v>
      </c>
      <c r="DU487" t="s">
        <v>306</v>
      </c>
      <c r="DZ487" t="s">
        <v>306</v>
      </c>
      <c r="EA487" t="s">
        <v>1898</v>
      </c>
      <c r="EB487">
        <v>11023324</v>
      </c>
      <c r="EC487" t="s">
        <v>276</v>
      </c>
      <c r="ED487">
        <v>0</v>
      </c>
      <c r="EE487" t="s">
        <v>313</v>
      </c>
      <c r="EF487" t="s">
        <v>1371</v>
      </c>
      <c r="EG487">
        <v>7789175</v>
      </c>
      <c r="EH487" t="s">
        <v>346</v>
      </c>
      <c r="EI487">
        <v>0</v>
      </c>
      <c r="EJ487" t="s">
        <v>62</v>
      </c>
      <c r="EO487" t="s">
        <v>306</v>
      </c>
      <c r="ET487" t="s">
        <v>306</v>
      </c>
      <c r="EY487" t="s">
        <v>306</v>
      </c>
      <c r="FD487" t="s">
        <v>306</v>
      </c>
      <c r="FI487" t="s">
        <v>306</v>
      </c>
      <c r="FN487" t="s">
        <v>306</v>
      </c>
      <c r="FS487" t="s">
        <v>306</v>
      </c>
      <c r="FX487" t="s">
        <v>306</v>
      </c>
      <c r="FY487" t="s">
        <v>1371</v>
      </c>
      <c r="FZ487">
        <v>7789175</v>
      </c>
      <c r="GA487" t="s">
        <v>346</v>
      </c>
      <c r="GB487">
        <v>0</v>
      </c>
      <c r="GC487" t="s">
        <v>62</v>
      </c>
      <c r="GH487" t="s">
        <v>306</v>
      </c>
      <c r="GM487" t="s">
        <v>306</v>
      </c>
      <c r="GR487" t="s">
        <v>306</v>
      </c>
      <c r="GW487" t="s">
        <v>306</v>
      </c>
      <c r="GX487" t="s">
        <v>1898</v>
      </c>
      <c r="GY487">
        <v>11023324</v>
      </c>
      <c r="GZ487" t="s">
        <v>276</v>
      </c>
      <c r="HA487">
        <v>0</v>
      </c>
      <c r="HB487" t="s">
        <v>313</v>
      </c>
      <c r="HG487" t="s">
        <v>306</v>
      </c>
    </row>
    <row r="488" spans="5:215" x14ac:dyDescent="0.35">
      <c r="E488" t="s">
        <v>306</v>
      </c>
      <c r="J488" t="s">
        <v>306</v>
      </c>
      <c r="O488" t="s">
        <v>306</v>
      </c>
      <c r="T488" t="s">
        <v>306</v>
      </c>
      <c r="Y488" t="s">
        <v>306</v>
      </c>
      <c r="AD488" t="s">
        <v>306</v>
      </c>
      <c r="AI488" t="s">
        <v>306</v>
      </c>
      <c r="AN488" t="s">
        <v>306</v>
      </c>
      <c r="AS488" t="s">
        <v>306</v>
      </c>
      <c r="AX488" t="s">
        <v>306</v>
      </c>
      <c r="BC488" t="s">
        <v>306</v>
      </c>
      <c r="BD488" t="s">
        <v>601</v>
      </c>
      <c r="BE488">
        <v>5816131</v>
      </c>
      <c r="BF488" t="s">
        <v>346</v>
      </c>
      <c r="BG488">
        <v>0</v>
      </c>
      <c r="BH488" t="s">
        <v>53</v>
      </c>
      <c r="BM488" t="s">
        <v>306</v>
      </c>
      <c r="BR488" t="s">
        <v>306</v>
      </c>
      <c r="BS488" t="s">
        <v>671</v>
      </c>
      <c r="BT488">
        <v>5862433</v>
      </c>
      <c r="BU488" t="s">
        <v>346</v>
      </c>
      <c r="BV488">
        <v>0</v>
      </c>
      <c r="BW488" t="s">
        <v>326</v>
      </c>
      <c r="CB488" t="s">
        <v>306</v>
      </c>
      <c r="CC488" t="s">
        <v>1899</v>
      </c>
      <c r="CD488">
        <v>19067849</v>
      </c>
      <c r="CE488" t="s">
        <v>276</v>
      </c>
      <c r="CF488">
        <v>0</v>
      </c>
      <c r="CG488" t="s">
        <v>53</v>
      </c>
      <c r="CL488" t="s">
        <v>306</v>
      </c>
      <c r="CM488" t="s">
        <v>2118</v>
      </c>
      <c r="CN488">
        <v>4185730</v>
      </c>
      <c r="CO488" t="s">
        <v>346</v>
      </c>
      <c r="CP488">
        <v>0</v>
      </c>
      <c r="CQ488" t="s">
        <v>53</v>
      </c>
      <c r="CV488" t="s">
        <v>306</v>
      </c>
      <c r="DA488" t="s">
        <v>306</v>
      </c>
      <c r="DB488" t="s">
        <v>601</v>
      </c>
      <c r="DC488">
        <v>5816131</v>
      </c>
      <c r="DD488" t="s">
        <v>346</v>
      </c>
      <c r="DE488">
        <v>0</v>
      </c>
      <c r="DF488" t="s">
        <v>53</v>
      </c>
      <c r="DK488" t="s">
        <v>306</v>
      </c>
      <c r="DL488" t="s">
        <v>601</v>
      </c>
      <c r="DM488">
        <v>5816131</v>
      </c>
      <c r="DN488" t="s">
        <v>346</v>
      </c>
      <c r="DO488">
        <v>0</v>
      </c>
      <c r="DP488" t="s">
        <v>53</v>
      </c>
      <c r="DU488" t="s">
        <v>306</v>
      </c>
      <c r="DZ488" t="s">
        <v>306</v>
      </c>
      <c r="EA488" t="s">
        <v>1899</v>
      </c>
      <c r="EB488">
        <v>19067849</v>
      </c>
      <c r="EC488" t="s">
        <v>276</v>
      </c>
      <c r="ED488">
        <v>0</v>
      </c>
      <c r="EE488" t="s">
        <v>53</v>
      </c>
      <c r="EF488" t="s">
        <v>601</v>
      </c>
      <c r="EG488">
        <v>5816131</v>
      </c>
      <c r="EH488" t="s">
        <v>346</v>
      </c>
      <c r="EI488">
        <v>0</v>
      </c>
      <c r="EJ488" t="s">
        <v>53</v>
      </c>
      <c r="EO488" t="s">
        <v>306</v>
      </c>
      <c r="ET488" t="s">
        <v>306</v>
      </c>
      <c r="EY488" t="s">
        <v>306</v>
      </c>
      <c r="FD488" t="s">
        <v>306</v>
      </c>
      <c r="FI488" t="s">
        <v>306</v>
      </c>
      <c r="FN488" t="s">
        <v>306</v>
      </c>
      <c r="FS488" t="s">
        <v>306</v>
      </c>
      <c r="FX488" t="s">
        <v>306</v>
      </c>
      <c r="FY488" t="s">
        <v>601</v>
      </c>
      <c r="FZ488">
        <v>5816131</v>
      </c>
      <c r="GA488" t="s">
        <v>346</v>
      </c>
      <c r="GB488">
        <v>0</v>
      </c>
      <c r="GC488" t="s">
        <v>53</v>
      </c>
      <c r="GH488" t="s">
        <v>306</v>
      </c>
      <c r="GM488" t="s">
        <v>306</v>
      </c>
      <c r="GR488" t="s">
        <v>306</v>
      </c>
      <c r="GW488" t="s">
        <v>306</v>
      </c>
      <c r="GX488" t="s">
        <v>1899</v>
      </c>
      <c r="GY488">
        <v>19067849</v>
      </c>
      <c r="GZ488" t="s">
        <v>276</v>
      </c>
      <c r="HA488">
        <v>0</v>
      </c>
      <c r="HB488" t="s">
        <v>53</v>
      </c>
      <c r="HG488" t="s">
        <v>306</v>
      </c>
    </row>
    <row r="489" spans="5:215" x14ac:dyDescent="0.35">
      <c r="E489" t="s">
        <v>306</v>
      </c>
      <c r="J489" t="s">
        <v>306</v>
      </c>
      <c r="O489" t="s">
        <v>306</v>
      </c>
      <c r="T489" t="s">
        <v>306</v>
      </c>
      <c r="Y489" t="s">
        <v>306</v>
      </c>
      <c r="AD489" t="s">
        <v>306</v>
      </c>
      <c r="AI489" t="s">
        <v>306</v>
      </c>
      <c r="AN489" t="s">
        <v>306</v>
      </c>
      <c r="AS489" t="s">
        <v>306</v>
      </c>
      <c r="AX489" t="s">
        <v>306</v>
      </c>
      <c r="BC489" t="s">
        <v>306</v>
      </c>
      <c r="BD489" t="s">
        <v>1372</v>
      </c>
      <c r="BE489">
        <v>5869594</v>
      </c>
      <c r="BF489" t="s">
        <v>346</v>
      </c>
      <c r="BG489">
        <v>0</v>
      </c>
      <c r="BH489" t="s">
        <v>62</v>
      </c>
      <c r="BM489" t="s">
        <v>306</v>
      </c>
      <c r="BR489" t="s">
        <v>306</v>
      </c>
      <c r="BS489" t="s">
        <v>438</v>
      </c>
      <c r="BT489">
        <v>4040817</v>
      </c>
      <c r="BU489" t="s">
        <v>364</v>
      </c>
      <c r="BV489">
        <v>0</v>
      </c>
      <c r="BW489" t="s">
        <v>313</v>
      </c>
      <c r="CB489" t="s">
        <v>306</v>
      </c>
      <c r="CC489" t="s">
        <v>1900</v>
      </c>
      <c r="CD489">
        <v>6723443</v>
      </c>
      <c r="CE489" t="s">
        <v>346</v>
      </c>
      <c r="CF489">
        <v>0</v>
      </c>
      <c r="CG489" t="s">
        <v>80</v>
      </c>
      <c r="CL489" t="s">
        <v>306</v>
      </c>
      <c r="CM489" t="s">
        <v>2119</v>
      </c>
      <c r="CN489">
        <v>116253511</v>
      </c>
      <c r="CO489" t="s">
        <v>346</v>
      </c>
      <c r="CP489">
        <v>0</v>
      </c>
      <c r="CQ489" t="s">
        <v>53</v>
      </c>
      <c r="CV489" t="s">
        <v>306</v>
      </c>
      <c r="DA489" t="s">
        <v>306</v>
      </c>
      <c r="DB489" t="s">
        <v>1372</v>
      </c>
      <c r="DC489">
        <v>5869594</v>
      </c>
      <c r="DD489" t="s">
        <v>346</v>
      </c>
      <c r="DE489">
        <v>0</v>
      </c>
      <c r="DF489" t="s">
        <v>62</v>
      </c>
      <c r="DK489" t="s">
        <v>306</v>
      </c>
      <c r="DL489" t="s">
        <v>1372</v>
      </c>
      <c r="DM489">
        <v>5869594</v>
      </c>
      <c r="DN489" t="s">
        <v>346</v>
      </c>
      <c r="DO489">
        <v>0</v>
      </c>
      <c r="DP489" t="s">
        <v>62</v>
      </c>
      <c r="DU489" t="s">
        <v>306</v>
      </c>
      <c r="DZ489" t="s">
        <v>306</v>
      </c>
      <c r="EA489" t="s">
        <v>1900</v>
      </c>
      <c r="EB489">
        <v>6723443</v>
      </c>
      <c r="EC489" t="s">
        <v>346</v>
      </c>
      <c r="ED489">
        <v>0</v>
      </c>
      <c r="EE489" t="s">
        <v>80</v>
      </c>
      <c r="EF489" t="s">
        <v>1372</v>
      </c>
      <c r="EG489">
        <v>5869594</v>
      </c>
      <c r="EH489" t="s">
        <v>346</v>
      </c>
      <c r="EI489">
        <v>0</v>
      </c>
      <c r="EJ489" t="s">
        <v>62</v>
      </c>
      <c r="EO489" t="s">
        <v>306</v>
      </c>
      <c r="ET489" t="s">
        <v>306</v>
      </c>
      <c r="EY489" t="s">
        <v>306</v>
      </c>
      <c r="FD489" t="s">
        <v>306</v>
      </c>
      <c r="FI489" t="s">
        <v>306</v>
      </c>
      <c r="FN489" t="s">
        <v>306</v>
      </c>
      <c r="FS489" t="s">
        <v>306</v>
      </c>
      <c r="FX489" t="s">
        <v>306</v>
      </c>
      <c r="FY489" t="s">
        <v>1372</v>
      </c>
      <c r="FZ489">
        <v>5869594</v>
      </c>
      <c r="GA489" t="s">
        <v>346</v>
      </c>
      <c r="GB489">
        <v>0</v>
      </c>
      <c r="GC489" t="s">
        <v>62</v>
      </c>
      <c r="GH489" t="s">
        <v>306</v>
      </c>
      <c r="GM489" t="s">
        <v>306</v>
      </c>
      <c r="GR489" t="s">
        <v>306</v>
      </c>
      <c r="GW489" t="s">
        <v>306</v>
      </c>
      <c r="GX489" t="s">
        <v>1900</v>
      </c>
      <c r="GY489">
        <v>6723443</v>
      </c>
      <c r="GZ489" t="s">
        <v>346</v>
      </c>
      <c r="HA489">
        <v>0</v>
      </c>
      <c r="HB489" t="s">
        <v>80</v>
      </c>
      <c r="HG489" t="s">
        <v>306</v>
      </c>
    </row>
    <row r="490" spans="5:215" x14ac:dyDescent="0.35">
      <c r="E490" t="s">
        <v>306</v>
      </c>
      <c r="J490" t="s">
        <v>306</v>
      </c>
      <c r="O490" t="s">
        <v>306</v>
      </c>
      <c r="T490" t="s">
        <v>306</v>
      </c>
      <c r="Y490" t="s">
        <v>306</v>
      </c>
      <c r="AD490" t="s">
        <v>306</v>
      </c>
      <c r="AI490" t="s">
        <v>306</v>
      </c>
      <c r="AN490" t="s">
        <v>306</v>
      </c>
      <c r="AS490" t="s">
        <v>306</v>
      </c>
      <c r="AX490" t="s">
        <v>306</v>
      </c>
      <c r="BC490" t="s">
        <v>306</v>
      </c>
      <c r="BD490" t="s">
        <v>606</v>
      </c>
      <c r="BE490">
        <v>10346719</v>
      </c>
      <c r="BF490" t="s">
        <v>346</v>
      </c>
      <c r="BG490">
        <v>0</v>
      </c>
      <c r="BH490" t="s">
        <v>313</v>
      </c>
      <c r="BM490" t="s">
        <v>306</v>
      </c>
      <c r="BR490" t="s">
        <v>306</v>
      </c>
      <c r="BS490" t="s">
        <v>1098</v>
      </c>
      <c r="BT490">
        <v>4119219</v>
      </c>
      <c r="BU490" t="s">
        <v>346</v>
      </c>
      <c r="BV490">
        <v>0</v>
      </c>
      <c r="BW490" t="s">
        <v>53</v>
      </c>
      <c r="CB490" t="s">
        <v>306</v>
      </c>
      <c r="CC490" t="s">
        <v>1901</v>
      </c>
      <c r="CD490">
        <v>4283610</v>
      </c>
      <c r="CE490" t="s">
        <v>346</v>
      </c>
      <c r="CF490">
        <v>0</v>
      </c>
      <c r="CG490" t="s">
        <v>53</v>
      </c>
      <c r="CL490" t="s">
        <v>306</v>
      </c>
      <c r="CM490" t="s">
        <v>2120</v>
      </c>
      <c r="CN490">
        <v>4118027</v>
      </c>
      <c r="CO490" t="s">
        <v>346</v>
      </c>
      <c r="CP490">
        <v>0</v>
      </c>
      <c r="CQ490" t="s">
        <v>53</v>
      </c>
      <c r="CV490" t="s">
        <v>306</v>
      </c>
      <c r="DA490" t="s">
        <v>306</v>
      </c>
      <c r="DB490" t="s">
        <v>606</v>
      </c>
      <c r="DC490">
        <v>10346719</v>
      </c>
      <c r="DD490" t="s">
        <v>346</v>
      </c>
      <c r="DE490">
        <v>0</v>
      </c>
      <c r="DF490" t="s">
        <v>313</v>
      </c>
      <c r="DK490" t="s">
        <v>306</v>
      </c>
      <c r="DL490" t="s">
        <v>606</v>
      </c>
      <c r="DM490">
        <v>10346719</v>
      </c>
      <c r="DN490" t="s">
        <v>346</v>
      </c>
      <c r="DO490">
        <v>0</v>
      </c>
      <c r="DP490" t="s">
        <v>313</v>
      </c>
      <c r="DU490" t="s">
        <v>306</v>
      </c>
      <c r="DZ490" t="s">
        <v>306</v>
      </c>
      <c r="EA490" t="s">
        <v>1901</v>
      </c>
      <c r="EB490">
        <v>4283610</v>
      </c>
      <c r="EC490" t="s">
        <v>346</v>
      </c>
      <c r="ED490">
        <v>0</v>
      </c>
      <c r="EE490" t="s">
        <v>53</v>
      </c>
      <c r="EF490" t="s">
        <v>606</v>
      </c>
      <c r="EG490">
        <v>10346719</v>
      </c>
      <c r="EH490" t="s">
        <v>346</v>
      </c>
      <c r="EI490">
        <v>0</v>
      </c>
      <c r="EJ490" t="s">
        <v>313</v>
      </c>
      <c r="EO490" t="s">
        <v>306</v>
      </c>
      <c r="ET490" t="s">
        <v>306</v>
      </c>
      <c r="EY490" t="s">
        <v>306</v>
      </c>
      <c r="FD490" t="s">
        <v>306</v>
      </c>
      <c r="FI490" t="s">
        <v>306</v>
      </c>
      <c r="FN490" t="s">
        <v>306</v>
      </c>
      <c r="FS490" t="s">
        <v>306</v>
      </c>
      <c r="FX490" t="s">
        <v>306</v>
      </c>
      <c r="FY490" t="s">
        <v>606</v>
      </c>
      <c r="FZ490">
        <v>10346719</v>
      </c>
      <c r="GA490" t="s">
        <v>346</v>
      </c>
      <c r="GB490">
        <v>0</v>
      </c>
      <c r="GC490" t="s">
        <v>313</v>
      </c>
      <c r="GH490" t="s">
        <v>306</v>
      </c>
      <c r="GM490" t="s">
        <v>306</v>
      </c>
      <c r="GR490" t="s">
        <v>306</v>
      </c>
      <c r="GW490" t="s">
        <v>306</v>
      </c>
      <c r="GX490" t="s">
        <v>1901</v>
      </c>
      <c r="GY490">
        <v>4283610</v>
      </c>
      <c r="GZ490" t="s">
        <v>346</v>
      </c>
      <c r="HA490">
        <v>0</v>
      </c>
      <c r="HB490" t="s">
        <v>53</v>
      </c>
      <c r="HG490" t="s">
        <v>306</v>
      </c>
    </row>
    <row r="491" spans="5:215" x14ac:dyDescent="0.35">
      <c r="E491" t="s">
        <v>306</v>
      </c>
      <c r="J491" t="s">
        <v>306</v>
      </c>
      <c r="O491" t="s">
        <v>306</v>
      </c>
      <c r="T491" t="s">
        <v>306</v>
      </c>
      <c r="Y491" t="s">
        <v>306</v>
      </c>
      <c r="AD491" t="s">
        <v>306</v>
      </c>
      <c r="AI491" t="s">
        <v>306</v>
      </c>
      <c r="AN491" t="s">
        <v>306</v>
      </c>
      <c r="AS491" t="s">
        <v>306</v>
      </c>
      <c r="AX491" t="s">
        <v>306</v>
      </c>
      <c r="BC491" t="s">
        <v>306</v>
      </c>
      <c r="BD491" t="s">
        <v>581</v>
      </c>
      <c r="BE491">
        <v>115732953</v>
      </c>
      <c r="BF491" t="s">
        <v>346</v>
      </c>
      <c r="BG491">
        <v>0</v>
      </c>
      <c r="BH491" t="s">
        <v>2185</v>
      </c>
      <c r="BM491" t="s">
        <v>306</v>
      </c>
      <c r="BR491" t="s">
        <v>306</v>
      </c>
      <c r="BS491" t="s">
        <v>1099</v>
      </c>
      <c r="BT491">
        <v>14467004</v>
      </c>
      <c r="BU491" t="s">
        <v>346</v>
      </c>
      <c r="BV491">
        <v>0</v>
      </c>
      <c r="BW491" t="s">
        <v>326</v>
      </c>
      <c r="CB491" t="s">
        <v>306</v>
      </c>
      <c r="CC491" t="s">
        <v>860</v>
      </c>
      <c r="CD491">
        <v>110879</v>
      </c>
      <c r="CE491" t="s">
        <v>346</v>
      </c>
      <c r="CF491">
        <v>0</v>
      </c>
      <c r="CG491" t="s">
        <v>53</v>
      </c>
      <c r="CL491" t="s">
        <v>306</v>
      </c>
      <c r="CM491" t="s">
        <v>2121</v>
      </c>
      <c r="CN491">
        <v>106567132</v>
      </c>
      <c r="CO491" t="s">
        <v>346</v>
      </c>
      <c r="CP491">
        <v>0</v>
      </c>
      <c r="CQ491" t="s">
        <v>53</v>
      </c>
      <c r="CV491" t="s">
        <v>306</v>
      </c>
      <c r="DA491" t="s">
        <v>306</v>
      </c>
      <c r="DB491" t="s">
        <v>581</v>
      </c>
      <c r="DC491">
        <v>115732953</v>
      </c>
      <c r="DD491" t="s">
        <v>346</v>
      </c>
      <c r="DE491">
        <v>0</v>
      </c>
      <c r="DF491" t="s">
        <v>2185</v>
      </c>
      <c r="DK491" t="s">
        <v>306</v>
      </c>
      <c r="DL491" t="s">
        <v>581</v>
      </c>
      <c r="DM491">
        <v>115732953</v>
      </c>
      <c r="DN491" t="s">
        <v>346</v>
      </c>
      <c r="DO491">
        <v>0</v>
      </c>
      <c r="DP491" t="s">
        <v>2185</v>
      </c>
      <c r="DU491" t="s">
        <v>306</v>
      </c>
      <c r="DZ491" t="s">
        <v>306</v>
      </c>
      <c r="EA491" t="s">
        <v>860</v>
      </c>
      <c r="EB491">
        <v>110879</v>
      </c>
      <c r="EC491" t="s">
        <v>346</v>
      </c>
      <c r="ED491">
        <v>0</v>
      </c>
      <c r="EE491" t="s">
        <v>53</v>
      </c>
      <c r="EF491" t="s">
        <v>581</v>
      </c>
      <c r="EG491">
        <v>115732953</v>
      </c>
      <c r="EH491" t="s">
        <v>346</v>
      </c>
      <c r="EI491">
        <v>0</v>
      </c>
      <c r="EJ491" t="s">
        <v>2185</v>
      </c>
      <c r="EO491" t="s">
        <v>306</v>
      </c>
      <c r="ET491" t="s">
        <v>306</v>
      </c>
      <c r="EY491" t="s">
        <v>306</v>
      </c>
      <c r="FD491" t="s">
        <v>306</v>
      </c>
      <c r="FI491" t="s">
        <v>306</v>
      </c>
      <c r="FN491" t="s">
        <v>306</v>
      </c>
      <c r="FS491" t="s">
        <v>306</v>
      </c>
      <c r="FX491" t="s">
        <v>306</v>
      </c>
      <c r="FY491" t="s">
        <v>581</v>
      </c>
      <c r="FZ491">
        <v>115732953</v>
      </c>
      <c r="GA491" t="s">
        <v>346</v>
      </c>
      <c r="GB491">
        <v>0</v>
      </c>
      <c r="GC491" t="s">
        <v>2185</v>
      </c>
      <c r="GH491" t="s">
        <v>306</v>
      </c>
      <c r="GM491" t="s">
        <v>306</v>
      </c>
      <c r="GR491" t="s">
        <v>306</v>
      </c>
      <c r="GW491" t="s">
        <v>306</v>
      </c>
      <c r="GX491" t="s">
        <v>860</v>
      </c>
      <c r="GY491">
        <v>110879</v>
      </c>
      <c r="GZ491" t="s">
        <v>346</v>
      </c>
      <c r="HA491">
        <v>0</v>
      </c>
      <c r="HB491" t="s">
        <v>53</v>
      </c>
      <c r="HG491" t="s">
        <v>306</v>
      </c>
    </row>
    <row r="492" spans="5:215" x14ac:dyDescent="0.35">
      <c r="E492" t="s">
        <v>306</v>
      </c>
      <c r="J492" t="s">
        <v>306</v>
      </c>
      <c r="O492" t="s">
        <v>306</v>
      </c>
      <c r="T492" t="s">
        <v>306</v>
      </c>
      <c r="Y492" t="s">
        <v>306</v>
      </c>
      <c r="AD492" t="s">
        <v>306</v>
      </c>
      <c r="AI492" t="s">
        <v>306</v>
      </c>
      <c r="AN492" t="s">
        <v>306</v>
      </c>
      <c r="AS492" t="s">
        <v>306</v>
      </c>
      <c r="AX492" t="s">
        <v>306</v>
      </c>
      <c r="BC492" t="s">
        <v>306</v>
      </c>
      <c r="BD492" t="s">
        <v>1362</v>
      </c>
      <c r="BE492">
        <v>5879182</v>
      </c>
      <c r="BF492" t="s">
        <v>346</v>
      </c>
      <c r="BG492">
        <v>0</v>
      </c>
      <c r="BH492" t="s">
        <v>62</v>
      </c>
      <c r="BM492" t="s">
        <v>306</v>
      </c>
      <c r="BR492" t="s">
        <v>306</v>
      </c>
      <c r="BS492" t="s">
        <v>1100</v>
      </c>
      <c r="BT492">
        <v>4139199</v>
      </c>
      <c r="BU492" t="s">
        <v>346</v>
      </c>
      <c r="BV492">
        <v>0</v>
      </c>
      <c r="BW492" t="s">
        <v>2205</v>
      </c>
      <c r="CB492" t="s">
        <v>306</v>
      </c>
      <c r="CC492" t="s">
        <v>910</v>
      </c>
      <c r="CD492">
        <v>4419277</v>
      </c>
      <c r="CE492" t="s">
        <v>300</v>
      </c>
      <c r="CF492">
        <v>0</v>
      </c>
      <c r="CG492" t="s">
        <v>53</v>
      </c>
      <c r="CL492" t="s">
        <v>306</v>
      </c>
      <c r="CM492" t="s">
        <v>2122</v>
      </c>
      <c r="CN492">
        <v>4057385</v>
      </c>
      <c r="CO492" t="s">
        <v>346</v>
      </c>
      <c r="CP492">
        <v>0</v>
      </c>
      <c r="CQ492" t="s">
        <v>53</v>
      </c>
      <c r="CV492" t="s">
        <v>306</v>
      </c>
      <c r="DA492" t="s">
        <v>306</v>
      </c>
      <c r="DB492" t="s">
        <v>1362</v>
      </c>
      <c r="DC492">
        <v>5879182</v>
      </c>
      <c r="DD492" t="s">
        <v>346</v>
      </c>
      <c r="DE492">
        <v>0</v>
      </c>
      <c r="DF492" t="s">
        <v>62</v>
      </c>
      <c r="DK492" t="s">
        <v>306</v>
      </c>
      <c r="DL492" t="s">
        <v>1362</v>
      </c>
      <c r="DM492">
        <v>5879182</v>
      </c>
      <c r="DN492" t="s">
        <v>346</v>
      </c>
      <c r="DO492">
        <v>0</v>
      </c>
      <c r="DP492" t="s">
        <v>62</v>
      </c>
      <c r="DU492" t="s">
        <v>306</v>
      </c>
      <c r="DZ492" t="s">
        <v>306</v>
      </c>
      <c r="EA492" t="s">
        <v>910</v>
      </c>
      <c r="EB492">
        <v>4419277</v>
      </c>
      <c r="EC492" t="s">
        <v>300</v>
      </c>
      <c r="ED492">
        <v>0</v>
      </c>
      <c r="EE492" t="s">
        <v>53</v>
      </c>
      <c r="EF492" t="s">
        <v>1362</v>
      </c>
      <c r="EG492">
        <v>5879182</v>
      </c>
      <c r="EH492" t="s">
        <v>346</v>
      </c>
      <c r="EI492">
        <v>0</v>
      </c>
      <c r="EJ492" t="s">
        <v>62</v>
      </c>
      <c r="EO492" t="s">
        <v>306</v>
      </c>
      <c r="ET492" t="s">
        <v>306</v>
      </c>
      <c r="EY492" t="s">
        <v>306</v>
      </c>
      <c r="FD492" t="s">
        <v>306</v>
      </c>
      <c r="FI492" t="s">
        <v>306</v>
      </c>
      <c r="FN492" t="s">
        <v>306</v>
      </c>
      <c r="FS492" t="s">
        <v>306</v>
      </c>
      <c r="FX492" t="s">
        <v>306</v>
      </c>
      <c r="FY492" t="s">
        <v>1362</v>
      </c>
      <c r="FZ492">
        <v>5879182</v>
      </c>
      <c r="GA492" t="s">
        <v>346</v>
      </c>
      <c r="GB492">
        <v>0</v>
      </c>
      <c r="GC492" t="s">
        <v>62</v>
      </c>
      <c r="GH492" t="s">
        <v>306</v>
      </c>
      <c r="GM492" t="s">
        <v>306</v>
      </c>
      <c r="GR492" t="s">
        <v>306</v>
      </c>
      <c r="GW492" t="s">
        <v>306</v>
      </c>
      <c r="GX492" t="s">
        <v>910</v>
      </c>
      <c r="GY492">
        <v>4419277</v>
      </c>
      <c r="GZ492" t="s">
        <v>300</v>
      </c>
      <c r="HA492">
        <v>0</v>
      </c>
      <c r="HB492" t="s">
        <v>53</v>
      </c>
      <c r="HG492" t="s">
        <v>306</v>
      </c>
    </row>
    <row r="493" spans="5:215" x14ac:dyDescent="0.35">
      <c r="E493" t="s">
        <v>306</v>
      </c>
      <c r="J493" t="s">
        <v>306</v>
      </c>
      <c r="O493" t="s">
        <v>306</v>
      </c>
      <c r="T493" t="s">
        <v>306</v>
      </c>
      <c r="Y493" t="s">
        <v>306</v>
      </c>
      <c r="AD493" t="s">
        <v>306</v>
      </c>
      <c r="AI493" t="s">
        <v>306</v>
      </c>
      <c r="AN493" t="s">
        <v>306</v>
      </c>
      <c r="AS493" t="s">
        <v>306</v>
      </c>
      <c r="AX493" t="s">
        <v>306</v>
      </c>
      <c r="BC493" t="s">
        <v>306</v>
      </c>
      <c r="BD493" t="s">
        <v>1366</v>
      </c>
      <c r="BE493">
        <v>115685602</v>
      </c>
      <c r="BF493" t="s">
        <v>364</v>
      </c>
      <c r="BG493">
        <v>0</v>
      </c>
      <c r="BH493" t="s">
        <v>62</v>
      </c>
      <c r="BM493" t="s">
        <v>306</v>
      </c>
      <c r="BR493" t="s">
        <v>306</v>
      </c>
      <c r="BS493" t="s">
        <v>576</v>
      </c>
      <c r="BT493">
        <v>4672091</v>
      </c>
      <c r="BU493" t="s">
        <v>300</v>
      </c>
      <c r="BV493">
        <v>0</v>
      </c>
      <c r="BW493" t="s">
        <v>62</v>
      </c>
      <c r="CB493" t="s">
        <v>306</v>
      </c>
      <c r="CC493" t="s">
        <v>1902</v>
      </c>
      <c r="CD493">
        <v>4546465</v>
      </c>
      <c r="CE493" t="s">
        <v>346</v>
      </c>
      <c r="CF493">
        <v>0</v>
      </c>
      <c r="CG493" t="s">
        <v>2185</v>
      </c>
      <c r="CL493" t="s">
        <v>306</v>
      </c>
      <c r="CM493" t="s">
        <v>2123</v>
      </c>
      <c r="CN493">
        <v>4205024</v>
      </c>
      <c r="CO493" t="s">
        <v>346</v>
      </c>
      <c r="CP493">
        <v>0</v>
      </c>
      <c r="CQ493" t="s">
        <v>53</v>
      </c>
      <c r="CV493" t="s">
        <v>306</v>
      </c>
      <c r="DA493" t="s">
        <v>306</v>
      </c>
      <c r="DB493" t="s">
        <v>1366</v>
      </c>
      <c r="DC493">
        <v>115685602</v>
      </c>
      <c r="DD493" t="s">
        <v>364</v>
      </c>
      <c r="DE493">
        <v>0</v>
      </c>
      <c r="DF493" t="s">
        <v>62</v>
      </c>
      <c r="DK493" t="s">
        <v>306</v>
      </c>
      <c r="DL493" t="s">
        <v>1366</v>
      </c>
      <c r="DM493">
        <v>115685602</v>
      </c>
      <c r="DN493" t="s">
        <v>364</v>
      </c>
      <c r="DO493">
        <v>0</v>
      </c>
      <c r="DP493" t="s">
        <v>62</v>
      </c>
      <c r="DU493" t="s">
        <v>306</v>
      </c>
      <c r="DZ493" t="s">
        <v>306</v>
      </c>
      <c r="EA493" t="s">
        <v>1902</v>
      </c>
      <c r="EB493">
        <v>4546465</v>
      </c>
      <c r="EC493" t="s">
        <v>346</v>
      </c>
      <c r="ED493">
        <v>0</v>
      </c>
      <c r="EE493" t="s">
        <v>2185</v>
      </c>
      <c r="EF493" t="s">
        <v>1366</v>
      </c>
      <c r="EG493">
        <v>115685602</v>
      </c>
      <c r="EH493" t="s">
        <v>364</v>
      </c>
      <c r="EI493">
        <v>0</v>
      </c>
      <c r="EJ493" t="s">
        <v>62</v>
      </c>
      <c r="EO493" t="s">
        <v>306</v>
      </c>
      <c r="ET493" t="s">
        <v>306</v>
      </c>
      <c r="EY493" t="s">
        <v>306</v>
      </c>
      <c r="FD493" t="s">
        <v>306</v>
      </c>
      <c r="FI493" t="s">
        <v>306</v>
      </c>
      <c r="FN493" t="s">
        <v>306</v>
      </c>
      <c r="FS493" t="s">
        <v>306</v>
      </c>
      <c r="FX493" t="s">
        <v>306</v>
      </c>
      <c r="FY493" t="s">
        <v>1366</v>
      </c>
      <c r="FZ493">
        <v>115685602</v>
      </c>
      <c r="GA493" t="s">
        <v>364</v>
      </c>
      <c r="GB493">
        <v>0</v>
      </c>
      <c r="GC493" t="s">
        <v>62</v>
      </c>
      <c r="GH493" t="s">
        <v>306</v>
      </c>
      <c r="GM493" t="s">
        <v>306</v>
      </c>
      <c r="GR493" t="s">
        <v>306</v>
      </c>
      <c r="GW493" t="s">
        <v>306</v>
      </c>
      <c r="GX493" t="s">
        <v>1902</v>
      </c>
      <c r="GY493">
        <v>4546465</v>
      </c>
      <c r="GZ493" t="s">
        <v>346</v>
      </c>
      <c r="HA493">
        <v>0</v>
      </c>
      <c r="HB493" t="s">
        <v>2185</v>
      </c>
      <c r="HG493" t="s">
        <v>306</v>
      </c>
    </row>
    <row r="494" spans="5:215" x14ac:dyDescent="0.35">
      <c r="E494" t="s">
        <v>306</v>
      </c>
      <c r="J494" t="s">
        <v>306</v>
      </c>
      <c r="O494" t="s">
        <v>306</v>
      </c>
      <c r="T494" t="s">
        <v>306</v>
      </c>
      <c r="Y494" t="s">
        <v>306</v>
      </c>
      <c r="AD494" t="s">
        <v>306</v>
      </c>
      <c r="AI494" t="s">
        <v>306</v>
      </c>
      <c r="AN494" t="s">
        <v>306</v>
      </c>
      <c r="AS494" t="s">
        <v>306</v>
      </c>
      <c r="AX494" t="s">
        <v>306</v>
      </c>
      <c r="BC494" t="s">
        <v>306</v>
      </c>
      <c r="BD494" t="s">
        <v>599</v>
      </c>
      <c r="BE494">
        <v>19350037</v>
      </c>
      <c r="BF494" t="s">
        <v>346</v>
      </c>
      <c r="BG494">
        <v>0</v>
      </c>
      <c r="BH494" t="s">
        <v>313</v>
      </c>
      <c r="BM494" t="s">
        <v>306</v>
      </c>
      <c r="BR494" t="s">
        <v>306</v>
      </c>
      <c r="BS494" t="s">
        <v>592</v>
      </c>
      <c r="BT494">
        <v>1015222</v>
      </c>
      <c r="BU494" t="s">
        <v>346</v>
      </c>
      <c r="BV494">
        <v>0</v>
      </c>
      <c r="BW494" t="s">
        <v>53</v>
      </c>
      <c r="CB494" t="s">
        <v>306</v>
      </c>
      <c r="CC494" t="s">
        <v>1460</v>
      </c>
      <c r="CD494">
        <v>4073155</v>
      </c>
      <c r="CE494" t="s">
        <v>346</v>
      </c>
      <c r="CF494">
        <v>0</v>
      </c>
      <c r="CG494" t="s">
        <v>53</v>
      </c>
      <c r="CL494" t="s">
        <v>306</v>
      </c>
      <c r="CM494" t="s">
        <v>522</v>
      </c>
      <c r="CN494">
        <v>4118373</v>
      </c>
      <c r="CO494" t="s">
        <v>346</v>
      </c>
      <c r="CP494">
        <v>0</v>
      </c>
      <c r="CQ494" t="s">
        <v>53</v>
      </c>
      <c r="CV494" t="s">
        <v>306</v>
      </c>
      <c r="DA494" t="s">
        <v>306</v>
      </c>
      <c r="DB494" t="s">
        <v>599</v>
      </c>
      <c r="DC494">
        <v>19350037</v>
      </c>
      <c r="DD494" t="s">
        <v>346</v>
      </c>
      <c r="DE494">
        <v>0</v>
      </c>
      <c r="DF494" t="s">
        <v>313</v>
      </c>
      <c r="DK494" t="s">
        <v>306</v>
      </c>
      <c r="DL494" t="s">
        <v>599</v>
      </c>
      <c r="DM494">
        <v>19350037</v>
      </c>
      <c r="DN494" t="s">
        <v>346</v>
      </c>
      <c r="DO494">
        <v>0</v>
      </c>
      <c r="DP494" t="s">
        <v>313</v>
      </c>
      <c r="DU494" t="s">
        <v>306</v>
      </c>
      <c r="DZ494" t="s">
        <v>306</v>
      </c>
      <c r="EA494" t="s">
        <v>1460</v>
      </c>
      <c r="EB494">
        <v>4073155</v>
      </c>
      <c r="EC494" t="s">
        <v>346</v>
      </c>
      <c r="ED494">
        <v>0</v>
      </c>
      <c r="EE494" t="s">
        <v>53</v>
      </c>
      <c r="EF494" t="s">
        <v>599</v>
      </c>
      <c r="EG494">
        <v>19350037</v>
      </c>
      <c r="EH494" t="s">
        <v>346</v>
      </c>
      <c r="EI494">
        <v>0</v>
      </c>
      <c r="EJ494" t="s">
        <v>313</v>
      </c>
      <c r="EO494" t="s">
        <v>306</v>
      </c>
      <c r="ET494" t="s">
        <v>306</v>
      </c>
      <c r="EY494" t="s">
        <v>306</v>
      </c>
      <c r="FD494" t="s">
        <v>306</v>
      </c>
      <c r="FI494" t="s">
        <v>306</v>
      </c>
      <c r="FN494" t="s">
        <v>306</v>
      </c>
      <c r="FS494" t="s">
        <v>306</v>
      </c>
      <c r="FX494" t="s">
        <v>306</v>
      </c>
      <c r="FY494" t="s">
        <v>599</v>
      </c>
      <c r="FZ494">
        <v>19350037</v>
      </c>
      <c r="GA494" t="s">
        <v>346</v>
      </c>
      <c r="GB494">
        <v>0</v>
      </c>
      <c r="GC494" t="s">
        <v>313</v>
      </c>
      <c r="GH494" t="s">
        <v>306</v>
      </c>
      <c r="GM494" t="s">
        <v>306</v>
      </c>
      <c r="GR494" t="s">
        <v>306</v>
      </c>
      <c r="GW494" t="s">
        <v>306</v>
      </c>
      <c r="GX494" t="s">
        <v>1460</v>
      </c>
      <c r="GY494">
        <v>4073155</v>
      </c>
      <c r="GZ494" t="s">
        <v>346</v>
      </c>
      <c r="HA494">
        <v>0</v>
      </c>
      <c r="HB494" t="s">
        <v>53</v>
      </c>
      <c r="HG494" t="s">
        <v>306</v>
      </c>
    </row>
    <row r="495" spans="5:215" x14ac:dyDescent="0.35">
      <c r="E495" t="s">
        <v>306</v>
      </c>
      <c r="J495" t="s">
        <v>306</v>
      </c>
      <c r="O495" t="s">
        <v>306</v>
      </c>
      <c r="T495" t="s">
        <v>306</v>
      </c>
      <c r="Y495" t="s">
        <v>306</v>
      </c>
      <c r="AD495" t="s">
        <v>306</v>
      </c>
      <c r="AI495" t="s">
        <v>306</v>
      </c>
      <c r="AN495" t="s">
        <v>306</v>
      </c>
      <c r="AS495" t="s">
        <v>306</v>
      </c>
      <c r="AX495" t="s">
        <v>306</v>
      </c>
      <c r="BC495" t="s">
        <v>306</v>
      </c>
      <c r="BD495" t="s">
        <v>1549</v>
      </c>
      <c r="BE495">
        <v>4332725</v>
      </c>
      <c r="BF495" t="s">
        <v>346</v>
      </c>
      <c r="BG495">
        <v>0</v>
      </c>
      <c r="BH495" t="s">
        <v>80</v>
      </c>
      <c r="BM495" t="s">
        <v>306</v>
      </c>
      <c r="BR495" t="s">
        <v>306</v>
      </c>
      <c r="BS495" t="s">
        <v>874</v>
      </c>
      <c r="BT495">
        <v>4111802</v>
      </c>
      <c r="BU495" t="s">
        <v>346</v>
      </c>
      <c r="BV495">
        <v>0</v>
      </c>
      <c r="BW495" t="s">
        <v>304</v>
      </c>
      <c r="CB495" t="s">
        <v>306</v>
      </c>
      <c r="CC495" t="s">
        <v>1903</v>
      </c>
      <c r="CD495">
        <v>29210376</v>
      </c>
      <c r="CE495" t="s">
        <v>346</v>
      </c>
      <c r="CF495">
        <v>0</v>
      </c>
      <c r="CG495" t="s">
        <v>114</v>
      </c>
      <c r="CL495" t="s">
        <v>306</v>
      </c>
      <c r="CM495" t="s">
        <v>1881</v>
      </c>
      <c r="CN495">
        <v>4093415</v>
      </c>
      <c r="CO495" t="s">
        <v>346</v>
      </c>
      <c r="CP495">
        <v>0</v>
      </c>
      <c r="CQ495" t="s">
        <v>53</v>
      </c>
      <c r="CV495" t="s">
        <v>306</v>
      </c>
      <c r="DA495" t="s">
        <v>306</v>
      </c>
      <c r="DB495" t="s">
        <v>1549</v>
      </c>
      <c r="DC495">
        <v>4332725</v>
      </c>
      <c r="DD495" t="s">
        <v>346</v>
      </c>
      <c r="DE495">
        <v>0</v>
      </c>
      <c r="DF495" t="s">
        <v>80</v>
      </c>
      <c r="DK495" t="s">
        <v>306</v>
      </c>
      <c r="DL495" t="s">
        <v>1549</v>
      </c>
      <c r="DM495">
        <v>4332725</v>
      </c>
      <c r="DN495" t="s">
        <v>346</v>
      </c>
      <c r="DO495">
        <v>0</v>
      </c>
      <c r="DP495" t="s">
        <v>80</v>
      </c>
      <c r="DU495" t="s">
        <v>306</v>
      </c>
      <c r="DZ495" t="s">
        <v>306</v>
      </c>
      <c r="EA495" t="s">
        <v>1903</v>
      </c>
      <c r="EB495">
        <v>29210376</v>
      </c>
      <c r="EC495" t="s">
        <v>346</v>
      </c>
      <c r="ED495">
        <v>0</v>
      </c>
      <c r="EE495" t="s">
        <v>114</v>
      </c>
      <c r="EF495" t="s">
        <v>1549</v>
      </c>
      <c r="EG495">
        <v>4332725</v>
      </c>
      <c r="EH495" t="s">
        <v>346</v>
      </c>
      <c r="EI495">
        <v>0</v>
      </c>
      <c r="EJ495" t="s">
        <v>80</v>
      </c>
      <c r="EO495" t="s">
        <v>306</v>
      </c>
      <c r="ET495" t="s">
        <v>306</v>
      </c>
      <c r="EY495" t="s">
        <v>306</v>
      </c>
      <c r="FD495" t="s">
        <v>306</v>
      </c>
      <c r="FI495" t="s">
        <v>306</v>
      </c>
      <c r="FN495" t="s">
        <v>306</v>
      </c>
      <c r="FS495" t="s">
        <v>306</v>
      </c>
      <c r="FX495" t="s">
        <v>306</v>
      </c>
      <c r="FY495" t="s">
        <v>1549</v>
      </c>
      <c r="FZ495">
        <v>4332725</v>
      </c>
      <c r="GA495" t="s">
        <v>346</v>
      </c>
      <c r="GB495">
        <v>0</v>
      </c>
      <c r="GC495" t="s">
        <v>80</v>
      </c>
      <c r="GH495" t="s">
        <v>306</v>
      </c>
      <c r="GM495" t="s">
        <v>306</v>
      </c>
      <c r="GR495" t="s">
        <v>306</v>
      </c>
      <c r="GW495" t="s">
        <v>306</v>
      </c>
      <c r="GX495" t="s">
        <v>1903</v>
      </c>
      <c r="GY495">
        <v>29210376</v>
      </c>
      <c r="GZ495" t="s">
        <v>346</v>
      </c>
      <c r="HA495">
        <v>0</v>
      </c>
      <c r="HB495" t="s">
        <v>114</v>
      </c>
      <c r="HG495" t="s">
        <v>306</v>
      </c>
    </row>
    <row r="496" spans="5:215" x14ac:dyDescent="0.35">
      <c r="E496" t="s">
        <v>306</v>
      </c>
      <c r="J496" t="s">
        <v>306</v>
      </c>
      <c r="O496" t="s">
        <v>306</v>
      </c>
      <c r="T496" t="s">
        <v>306</v>
      </c>
      <c r="Y496" t="s">
        <v>306</v>
      </c>
      <c r="AD496" t="s">
        <v>306</v>
      </c>
      <c r="AI496" t="s">
        <v>306</v>
      </c>
      <c r="AN496" t="s">
        <v>306</v>
      </c>
      <c r="AS496" t="s">
        <v>306</v>
      </c>
      <c r="AX496" t="s">
        <v>306</v>
      </c>
      <c r="BC496" t="s">
        <v>306</v>
      </c>
      <c r="BD496" t="s">
        <v>1363</v>
      </c>
      <c r="BE496">
        <v>13069459</v>
      </c>
      <c r="BF496" t="s">
        <v>346</v>
      </c>
      <c r="BG496">
        <v>0</v>
      </c>
      <c r="BH496" t="s">
        <v>62</v>
      </c>
      <c r="BM496" t="s">
        <v>306</v>
      </c>
      <c r="BR496" t="s">
        <v>306</v>
      </c>
      <c r="BS496" t="s">
        <v>1101</v>
      </c>
      <c r="BT496">
        <v>109805</v>
      </c>
      <c r="BU496" t="s">
        <v>346</v>
      </c>
      <c r="BV496">
        <v>0</v>
      </c>
      <c r="BW496" t="s">
        <v>53</v>
      </c>
      <c r="CB496" t="s">
        <v>306</v>
      </c>
      <c r="CC496" t="s">
        <v>1904</v>
      </c>
      <c r="CD496">
        <v>4283291</v>
      </c>
      <c r="CE496" t="s">
        <v>276</v>
      </c>
      <c r="CF496">
        <v>0</v>
      </c>
      <c r="CG496" t="s">
        <v>53</v>
      </c>
      <c r="CL496" t="s">
        <v>306</v>
      </c>
      <c r="CM496" t="s">
        <v>2124</v>
      </c>
      <c r="CN496">
        <v>4117553</v>
      </c>
      <c r="CO496" t="s">
        <v>346</v>
      </c>
      <c r="CP496">
        <v>0</v>
      </c>
      <c r="CQ496" t="s">
        <v>53</v>
      </c>
      <c r="CV496" t="s">
        <v>306</v>
      </c>
      <c r="DA496" t="s">
        <v>306</v>
      </c>
      <c r="DB496" t="s">
        <v>1363</v>
      </c>
      <c r="DC496">
        <v>13069459</v>
      </c>
      <c r="DD496" t="s">
        <v>346</v>
      </c>
      <c r="DE496">
        <v>0</v>
      </c>
      <c r="DF496" t="s">
        <v>62</v>
      </c>
      <c r="DK496" t="s">
        <v>306</v>
      </c>
      <c r="DL496" t="s">
        <v>1363</v>
      </c>
      <c r="DM496">
        <v>13069459</v>
      </c>
      <c r="DN496" t="s">
        <v>346</v>
      </c>
      <c r="DO496">
        <v>0</v>
      </c>
      <c r="DP496" t="s">
        <v>62</v>
      </c>
      <c r="DU496" t="s">
        <v>306</v>
      </c>
      <c r="DZ496" t="s">
        <v>306</v>
      </c>
      <c r="EA496" t="s">
        <v>1904</v>
      </c>
      <c r="EB496">
        <v>4283291</v>
      </c>
      <c r="EC496" t="s">
        <v>276</v>
      </c>
      <c r="ED496">
        <v>0</v>
      </c>
      <c r="EE496" t="s">
        <v>53</v>
      </c>
      <c r="EF496" t="s">
        <v>1363</v>
      </c>
      <c r="EG496">
        <v>13069459</v>
      </c>
      <c r="EH496" t="s">
        <v>346</v>
      </c>
      <c r="EI496">
        <v>0</v>
      </c>
      <c r="EJ496" t="s">
        <v>62</v>
      </c>
      <c r="EO496" t="s">
        <v>306</v>
      </c>
      <c r="ET496" t="s">
        <v>306</v>
      </c>
      <c r="EY496" t="s">
        <v>306</v>
      </c>
      <c r="FD496" t="s">
        <v>306</v>
      </c>
      <c r="FI496" t="s">
        <v>306</v>
      </c>
      <c r="FN496" t="s">
        <v>306</v>
      </c>
      <c r="FS496" t="s">
        <v>306</v>
      </c>
      <c r="FX496" t="s">
        <v>306</v>
      </c>
      <c r="FY496" t="s">
        <v>1363</v>
      </c>
      <c r="FZ496">
        <v>13069459</v>
      </c>
      <c r="GA496" t="s">
        <v>346</v>
      </c>
      <c r="GB496">
        <v>0</v>
      </c>
      <c r="GC496" t="s">
        <v>62</v>
      </c>
      <c r="GH496" t="s">
        <v>306</v>
      </c>
      <c r="GM496" t="s">
        <v>306</v>
      </c>
      <c r="GR496" t="s">
        <v>306</v>
      </c>
      <c r="GW496" t="s">
        <v>306</v>
      </c>
      <c r="GX496" t="s">
        <v>1904</v>
      </c>
      <c r="GY496">
        <v>4283291</v>
      </c>
      <c r="GZ496" t="s">
        <v>276</v>
      </c>
      <c r="HA496">
        <v>0</v>
      </c>
      <c r="HB496" t="s">
        <v>53</v>
      </c>
      <c r="HG496" t="s">
        <v>306</v>
      </c>
    </row>
    <row r="497" spans="5:215" x14ac:dyDescent="0.35">
      <c r="E497" t="s">
        <v>306</v>
      </c>
      <c r="J497" t="s">
        <v>306</v>
      </c>
      <c r="O497" t="s">
        <v>306</v>
      </c>
      <c r="T497" t="s">
        <v>306</v>
      </c>
      <c r="Y497" t="s">
        <v>306</v>
      </c>
      <c r="AD497" t="s">
        <v>306</v>
      </c>
      <c r="AI497" t="s">
        <v>306</v>
      </c>
      <c r="AN497" t="s">
        <v>306</v>
      </c>
      <c r="AS497" t="s">
        <v>306</v>
      </c>
      <c r="AX497" t="s">
        <v>306</v>
      </c>
      <c r="BC497" t="s">
        <v>306</v>
      </c>
      <c r="BD497" t="s">
        <v>1550</v>
      </c>
      <c r="BE497">
        <v>6442762</v>
      </c>
      <c r="BF497" t="s">
        <v>346</v>
      </c>
      <c r="BG497">
        <v>0</v>
      </c>
      <c r="BH497" t="s">
        <v>62</v>
      </c>
      <c r="BM497" t="s">
        <v>306</v>
      </c>
      <c r="BR497" t="s">
        <v>306</v>
      </c>
      <c r="BS497" t="s">
        <v>1102</v>
      </c>
      <c r="BT497">
        <v>6399878</v>
      </c>
      <c r="BU497" t="s">
        <v>346</v>
      </c>
      <c r="BV497">
        <v>0</v>
      </c>
      <c r="BW497" t="s">
        <v>323</v>
      </c>
      <c r="CB497" t="s">
        <v>306</v>
      </c>
      <c r="CC497" t="s">
        <v>1905</v>
      </c>
      <c r="CD497">
        <v>4338506</v>
      </c>
      <c r="CE497" t="s">
        <v>346</v>
      </c>
      <c r="CF497">
        <v>0</v>
      </c>
      <c r="CG497" t="s">
        <v>53</v>
      </c>
      <c r="CL497" t="s">
        <v>306</v>
      </c>
      <c r="CM497" t="s">
        <v>2125</v>
      </c>
      <c r="CN497">
        <v>109983282</v>
      </c>
      <c r="CO497" t="s">
        <v>346</v>
      </c>
      <c r="CP497">
        <v>0</v>
      </c>
      <c r="CQ497" t="s">
        <v>53</v>
      </c>
      <c r="CV497" t="s">
        <v>306</v>
      </c>
      <c r="DA497" t="s">
        <v>306</v>
      </c>
      <c r="DB497" t="s">
        <v>1550</v>
      </c>
      <c r="DC497">
        <v>6442762</v>
      </c>
      <c r="DD497" t="s">
        <v>346</v>
      </c>
      <c r="DE497">
        <v>0</v>
      </c>
      <c r="DF497" t="s">
        <v>62</v>
      </c>
      <c r="DK497" t="s">
        <v>306</v>
      </c>
      <c r="DL497" t="s">
        <v>1550</v>
      </c>
      <c r="DM497">
        <v>6442762</v>
      </c>
      <c r="DN497" t="s">
        <v>346</v>
      </c>
      <c r="DO497">
        <v>0</v>
      </c>
      <c r="DP497" t="s">
        <v>62</v>
      </c>
      <c r="DU497" t="s">
        <v>306</v>
      </c>
      <c r="DZ497" t="s">
        <v>306</v>
      </c>
      <c r="EA497" t="s">
        <v>1905</v>
      </c>
      <c r="EB497">
        <v>4338506</v>
      </c>
      <c r="EC497" t="s">
        <v>346</v>
      </c>
      <c r="ED497">
        <v>0</v>
      </c>
      <c r="EE497" t="s">
        <v>53</v>
      </c>
      <c r="EF497" t="s">
        <v>1550</v>
      </c>
      <c r="EG497">
        <v>6442762</v>
      </c>
      <c r="EH497" t="s">
        <v>346</v>
      </c>
      <c r="EI497">
        <v>0</v>
      </c>
      <c r="EJ497" t="s">
        <v>62</v>
      </c>
      <c r="EO497" t="s">
        <v>306</v>
      </c>
      <c r="ET497" t="s">
        <v>306</v>
      </c>
      <c r="EY497" t="s">
        <v>306</v>
      </c>
      <c r="FD497" t="s">
        <v>306</v>
      </c>
      <c r="FI497" t="s">
        <v>306</v>
      </c>
      <c r="FN497" t="s">
        <v>306</v>
      </c>
      <c r="FS497" t="s">
        <v>306</v>
      </c>
      <c r="FX497" t="s">
        <v>306</v>
      </c>
      <c r="FY497" t="s">
        <v>1550</v>
      </c>
      <c r="FZ497">
        <v>6442762</v>
      </c>
      <c r="GA497" t="s">
        <v>346</v>
      </c>
      <c r="GB497">
        <v>0</v>
      </c>
      <c r="GC497" t="s">
        <v>62</v>
      </c>
      <c r="GH497" t="s">
        <v>306</v>
      </c>
      <c r="GM497" t="s">
        <v>306</v>
      </c>
      <c r="GR497" t="s">
        <v>306</v>
      </c>
      <c r="GW497" t="s">
        <v>306</v>
      </c>
      <c r="GX497" t="s">
        <v>1905</v>
      </c>
      <c r="GY497">
        <v>4338506</v>
      </c>
      <c r="GZ497" t="s">
        <v>346</v>
      </c>
      <c r="HA497">
        <v>0</v>
      </c>
      <c r="HB497" t="s">
        <v>53</v>
      </c>
      <c r="HG497" t="s">
        <v>306</v>
      </c>
    </row>
    <row r="498" spans="5:215" x14ac:dyDescent="0.35">
      <c r="E498" t="s">
        <v>306</v>
      </c>
      <c r="J498" t="s">
        <v>306</v>
      </c>
      <c r="O498" t="s">
        <v>306</v>
      </c>
      <c r="T498" t="s">
        <v>306</v>
      </c>
      <c r="Y498" t="s">
        <v>306</v>
      </c>
      <c r="AD498" t="s">
        <v>306</v>
      </c>
      <c r="AI498" t="s">
        <v>306</v>
      </c>
      <c r="AN498" t="s">
        <v>306</v>
      </c>
      <c r="AS498" t="s">
        <v>306</v>
      </c>
      <c r="AX498" t="s">
        <v>306</v>
      </c>
      <c r="BC498" t="s">
        <v>306</v>
      </c>
      <c r="BD498" t="s">
        <v>1551</v>
      </c>
      <c r="BE498">
        <v>111254</v>
      </c>
      <c r="BF498" t="s">
        <v>346</v>
      </c>
      <c r="BG498">
        <v>0</v>
      </c>
      <c r="BH498" t="s">
        <v>53</v>
      </c>
      <c r="BM498" t="s">
        <v>306</v>
      </c>
      <c r="BR498" t="s">
        <v>306</v>
      </c>
      <c r="BS498" t="s">
        <v>1103</v>
      </c>
      <c r="BT498">
        <v>4082660</v>
      </c>
      <c r="BU498" t="s">
        <v>346</v>
      </c>
      <c r="BV498">
        <v>0</v>
      </c>
      <c r="BW498" t="s">
        <v>53</v>
      </c>
      <c r="CB498" t="s">
        <v>306</v>
      </c>
      <c r="CC498" t="s">
        <v>1906</v>
      </c>
      <c r="CD498">
        <v>125096045</v>
      </c>
      <c r="CE498" t="s">
        <v>346</v>
      </c>
      <c r="CF498">
        <v>0</v>
      </c>
      <c r="CG498" t="s">
        <v>53</v>
      </c>
      <c r="CL498" t="s">
        <v>306</v>
      </c>
      <c r="CM498" t="s">
        <v>2126</v>
      </c>
      <c r="CN498">
        <v>20023863</v>
      </c>
      <c r="CO498" t="s">
        <v>346</v>
      </c>
      <c r="CP498">
        <v>0</v>
      </c>
      <c r="CQ498" t="s">
        <v>53</v>
      </c>
      <c r="CV498" t="s">
        <v>306</v>
      </c>
      <c r="DA498" t="s">
        <v>306</v>
      </c>
      <c r="DB498" t="s">
        <v>1551</v>
      </c>
      <c r="DC498">
        <v>111254</v>
      </c>
      <c r="DD498" t="s">
        <v>346</v>
      </c>
      <c r="DE498">
        <v>0</v>
      </c>
      <c r="DF498" t="s">
        <v>53</v>
      </c>
      <c r="DK498" t="s">
        <v>306</v>
      </c>
      <c r="DL498" t="s">
        <v>1551</v>
      </c>
      <c r="DM498">
        <v>111254</v>
      </c>
      <c r="DN498" t="s">
        <v>346</v>
      </c>
      <c r="DO498">
        <v>0</v>
      </c>
      <c r="DP498" t="s">
        <v>53</v>
      </c>
      <c r="DU498" t="s">
        <v>306</v>
      </c>
      <c r="DZ498" t="s">
        <v>306</v>
      </c>
      <c r="EA498" t="s">
        <v>1906</v>
      </c>
      <c r="EB498">
        <v>125096045</v>
      </c>
      <c r="EC498" t="s">
        <v>346</v>
      </c>
      <c r="ED498">
        <v>0</v>
      </c>
      <c r="EE498" t="s">
        <v>53</v>
      </c>
      <c r="EF498" t="s">
        <v>1551</v>
      </c>
      <c r="EG498">
        <v>111254</v>
      </c>
      <c r="EH498" t="s">
        <v>346</v>
      </c>
      <c r="EI498">
        <v>0</v>
      </c>
      <c r="EJ498" t="s">
        <v>53</v>
      </c>
      <c r="EO498" t="s">
        <v>306</v>
      </c>
      <c r="ET498" t="s">
        <v>306</v>
      </c>
      <c r="EY498" t="s">
        <v>306</v>
      </c>
      <c r="FD498" t="s">
        <v>306</v>
      </c>
      <c r="FI498" t="s">
        <v>306</v>
      </c>
      <c r="FN498" t="s">
        <v>306</v>
      </c>
      <c r="FS498" t="s">
        <v>306</v>
      </c>
      <c r="FX498" t="s">
        <v>306</v>
      </c>
      <c r="FY498" t="s">
        <v>1551</v>
      </c>
      <c r="FZ498">
        <v>111254</v>
      </c>
      <c r="GA498" t="s">
        <v>346</v>
      </c>
      <c r="GB498">
        <v>0</v>
      </c>
      <c r="GC498" t="s">
        <v>53</v>
      </c>
      <c r="GH498" t="s">
        <v>306</v>
      </c>
      <c r="GM498" t="s">
        <v>306</v>
      </c>
      <c r="GR498" t="s">
        <v>306</v>
      </c>
      <c r="GW498" t="s">
        <v>306</v>
      </c>
      <c r="GX498" t="s">
        <v>1906</v>
      </c>
      <c r="GY498">
        <v>125096045</v>
      </c>
      <c r="GZ498" t="s">
        <v>346</v>
      </c>
      <c r="HA498">
        <v>0</v>
      </c>
      <c r="HB498" t="s">
        <v>53</v>
      </c>
      <c r="HG498" t="s">
        <v>306</v>
      </c>
    </row>
    <row r="499" spans="5:215" x14ac:dyDescent="0.35">
      <c r="E499" t="s">
        <v>306</v>
      </c>
      <c r="J499" t="s">
        <v>306</v>
      </c>
      <c r="O499" t="s">
        <v>306</v>
      </c>
      <c r="T499" t="s">
        <v>306</v>
      </c>
      <c r="Y499" t="s">
        <v>306</v>
      </c>
      <c r="AD499" t="s">
        <v>306</v>
      </c>
      <c r="AI499" t="s">
        <v>306</v>
      </c>
      <c r="AN499" t="s">
        <v>306</v>
      </c>
      <c r="AS499" t="s">
        <v>306</v>
      </c>
      <c r="AX499" t="s">
        <v>306</v>
      </c>
      <c r="BC499" t="s">
        <v>306</v>
      </c>
      <c r="BD499" t="s">
        <v>1368</v>
      </c>
      <c r="BE499">
        <v>11023422</v>
      </c>
      <c r="BF499" t="s">
        <v>346</v>
      </c>
      <c r="BG499">
        <v>0</v>
      </c>
      <c r="BH499" t="s">
        <v>62</v>
      </c>
      <c r="BM499" t="s">
        <v>306</v>
      </c>
      <c r="BR499" t="s">
        <v>306</v>
      </c>
      <c r="BS499" t="s">
        <v>888</v>
      </c>
      <c r="BT499">
        <v>4248806</v>
      </c>
      <c r="BU499" t="s">
        <v>346</v>
      </c>
      <c r="BV499">
        <v>0</v>
      </c>
      <c r="BW499" t="s">
        <v>2191</v>
      </c>
      <c r="CB499" t="s">
        <v>306</v>
      </c>
      <c r="CC499" t="s">
        <v>1322</v>
      </c>
      <c r="CD499">
        <v>4147585</v>
      </c>
      <c r="CE499" t="s">
        <v>346</v>
      </c>
      <c r="CF499">
        <v>0</v>
      </c>
      <c r="CG499" t="s">
        <v>2185</v>
      </c>
      <c r="CL499" t="s">
        <v>306</v>
      </c>
      <c r="CM499" t="s">
        <v>2127</v>
      </c>
      <c r="CN499">
        <v>4867928</v>
      </c>
      <c r="CO499" t="s">
        <v>346</v>
      </c>
      <c r="CP499">
        <v>0</v>
      </c>
      <c r="CQ499" t="s">
        <v>53</v>
      </c>
      <c r="CV499" t="s">
        <v>306</v>
      </c>
      <c r="DA499" t="s">
        <v>306</v>
      </c>
      <c r="DB499" t="s">
        <v>1368</v>
      </c>
      <c r="DC499">
        <v>11023422</v>
      </c>
      <c r="DD499" t="s">
        <v>346</v>
      </c>
      <c r="DE499">
        <v>0</v>
      </c>
      <c r="DF499" t="s">
        <v>62</v>
      </c>
      <c r="DK499" t="s">
        <v>306</v>
      </c>
      <c r="DL499" t="s">
        <v>1368</v>
      </c>
      <c r="DM499">
        <v>11023422</v>
      </c>
      <c r="DN499" t="s">
        <v>346</v>
      </c>
      <c r="DO499">
        <v>0</v>
      </c>
      <c r="DP499" t="s">
        <v>62</v>
      </c>
      <c r="DU499" t="s">
        <v>306</v>
      </c>
      <c r="DZ499" t="s">
        <v>306</v>
      </c>
      <c r="EA499" t="s">
        <v>1322</v>
      </c>
      <c r="EB499">
        <v>4147585</v>
      </c>
      <c r="EC499" t="s">
        <v>346</v>
      </c>
      <c r="ED499">
        <v>0</v>
      </c>
      <c r="EE499" t="s">
        <v>2185</v>
      </c>
      <c r="EF499" t="s">
        <v>1368</v>
      </c>
      <c r="EG499">
        <v>11023422</v>
      </c>
      <c r="EH499" t="s">
        <v>346</v>
      </c>
      <c r="EI499">
        <v>0</v>
      </c>
      <c r="EJ499" t="s">
        <v>62</v>
      </c>
      <c r="EO499" t="s">
        <v>306</v>
      </c>
      <c r="ET499" t="s">
        <v>306</v>
      </c>
      <c r="EY499" t="s">
        <v>306</v>
      </c>
      <c r="FD499" t="s">
        <v>306</v>
      </c>
      <c r="FI499" t="s">
        <v>306</v>
      </c>
      <c r="FN499" t="s">
        <v>306</v>
      </c>
      <c r="FS499" t="s">
        <v>306</v>
      </c>
      <c r="FX499" t="s">
        <v>306</v>
      </c>
      <c r="FY499" t="s">
        <v>1368</v>
      </c>
      <c r="FZ499">
        <v>11023422</v>
      </c>
      <c r="GA499" t="s">
        <v>346</v>
      </c>
      <c r="GB499">
        <v>0</v>
      </c>
      <c r="GC499" t="s">
        <v>62</v>
      </c>
      <c r="GH499" t="s">
        <v>306</v>
      </c>
      <c r="GM499" t="s">
        <v>306</v>
      </c>
      <c r="GR499" t="s">
        <v>306</v>
      </c>
      <c r="GW499" t="s">
        <v>306</v>
      </c>
      <c r="GX499" t="s">
        <v>1322</v>
      </c>
      <c r="GY499">
        <v>4147585</v>
      </c>
      <c r="GZ499" t="s">
        <v>346</v>
      </c>
      <c r="HA499">
        <v>0</v>
      </c>
      <c r="HB499" t="s">
        <v>2185</v>
      </c>
      <c r="HG499" t="s">
        <v>306</v>
      </c>
    </row>
    <row r="500" spans="5:215" x14ac:dyDescent="0.35">
      <c r="E500" t="s">
        <v>306</v>
      </c>
      <c r="J500" t="s">
        <v>306</v>
      </c>
      <c r="O500" t="s">
        <v>306</v>
      </c>
      <c r="T500" t="s">
        <v>306</v>
      </c>
      <c r="Y500" t="s">
        <v>306</v>
      </c>
      <c r="AD500" t="s">
        <v>306</v>
      </c>
      <c r="AI500" t="s">
        <v>306</v>
      </c>
      <c r="AN500" t="s">
        <v>306</v>
      </c>
      <c r="AS500" t="s">
        <v>306</v>
      </c>
      <c r="AX500" t="s">
        <v>306</v>
      </c>
      <c r="BC500" t="s">
        <v>306</v>
      </c>
      <c r="BD500" t="s">
        <v>1357</v>
      </c>
      <c r="BE500">
        <v>26357812</v>
      </c>
      <c r="BF500" t="s">
        <v>366</v>
      </c>
      <c r="BG500">
        <v>0</v>
      </c>
      <c r="BH500" t="s">
        <v>62</v>
      </c>
      <c r="BM500" t="s">
        <v>306</v>
      </c>
      <c r="BR500" t="s">
        <v>306</v>
      </c>
      <c r="BS500" t="s">
        <v>1104</v>
      </c>
      <c r="BT500">
        <v>4145324</v>
      </c>
      <c r="BU500" t="s">
        <v>346</v>
      </c>
      <c r="BV500">
        <v>0</v>
      </c>
      <c r="BW500" t="s">
        <v>2185</v>
      </c>
      <c r="CB500" t="s">
        <v>306</v>
      </c>
      <c r="CC500" t="s">
        <v>1907</v>
      </c>
      <c r="CD500">
        <v>4641725</v>
      </c>
      <c r="CE500" t="s">
        <v>364</v>
      </c>
      <c r="CF500">
        <v>0</v>
      </c>
      <c r="CG500" t="s">
        <v>53</v>
      </c>
      <c r="CL500" t="s">
        <v>306</v>
      </c>
      <c r="CM500" t="s">
        <v>1621</v>
      </c>
      <c r="CN500">
        <v>5743773</v>
      </c>
      <c r="CO500" t="s">
        <v>346</v>
      </c>
      <c r="CP500">
        <v>0</v>
      </c>
      <c r="CQ500" t="s">
        <v>53</v>
      </c>
      <c r="CV500" t="s">
        <v>306</v>
      </c>
      <c r="DA500" t="s">
        <v>306</v>
      </c>
      <c r="DB500" t="s">
        <v>1357</v>
      </c>
      <c r="DC500">
        <v>26357812</v>
      </c>
      <c r="DD500" t="s">
        <v>366</v>
      </c>
      <c r="DE500">
        <v>0</v>
      </c>
      <c r="DF500" t="s">
        <v>62</v>
      </c>
      <c r="DK500" t="s">
        <v>306</v>
      </c>
      <c r="DL500" t="s">
        <v>1357</v>
      </c>
      <c r="DM500">
        <v>26357812</v>
      </c>
      <c r="DN500" t="s">
        <v>366</v>
      </c>
      <c r="DO500">
        <v>0</v>
      </c>
      <c r="DP500" t="s">
        <v>62</v>
      </c>
      <c r="DU500" t="s">
        <v>306</v>
      </c>
      <c r="DZ500" t="s">
        <v>306</v>
      </c>
      <c r="EA500" t="s">
        <v>1907</v>
      </c>
      <c r="EB500">
        <v>4641725</v>
      </c>
      <c r="EC500" t="s">
        <v>364</v>
      </c>
      <c r="ED500">
        <v>0</v>
      </c>
      <c r="EE500" t="s">
        <v>53</v>
      </c>
      <c r="EF500" t="s">
        <v>1357</v>
      </c>
      <c r="EG500">
        <v>26357812</v>
      </c>
      <c r="EH500" t="s">
        <v>366</v>
      </c>
      <c r="EI500">
        <v>0</v>
      </c>
      <c r="EJ500" t="s">
        <v>62</v>
      </c>
      <c r="EO500" t="s">
        <v>306</v>
      </c>
      <c r="ET500" t="s">
        <v>306</v>
      </c>
      <c r="EY500" t="s">
        <v>306</v>
      </c>
      <c r="FD500" t="s">
        <v>306</v>
      </c>
      <c r="FI500" t="s">
        <v>306</v>
      </c>
      <c r="FN500" t="s">
        <v>306</v>
      </c>
      <c r="FS500" t="s">
        <v>306</v>
      </c>
      <c r="FX500" t="s">
        <v>306</v>
      </c>
      <c r="FY500" t="s">
        <v>1357</v>
      </c>
      <c r="FZ500">
        <v>26357812</v>
      </c>
      <c r="GA500" t="s">
        <v>366</v>
      </c>
      <c r="GB500">
        <v>0</v>
      </c>
      <c r="GC500" t="s">
        <v>62</v>
      </c>
      <c r="GH500" t="s">
        <v>306</v>
      </c>
      <c r="GM500" t="s">
        <v>306</v>
      </c>
      <c r="GR500" t="s">
        <v>306</v>
      </c>
      <c r="GW500" t="s">
        <v>306</v>
      </c>
      <c r="GX500" t="s">
        <v>1907</v>
      </c>
      <c r="GY500">
        <v>4641725</v>
      </c>
      <c r="GZ500" t="s">
        <v>364</v>
      </c>
      <c r="HA500">
        <v>0</v>
      </c>
      <c r="HB500" t="s">
        <v>53</v>
      </c>
      <c r="HG500" t="s">
        <v>306</v>
      </c>
    </row>
    <row r="501" spans="5:215" x14ac:dyDescent="0.35">
      <c r="E501" t="s">
        <v>306</v>
      </c>
      <c r="J501" t="s">
        <v>306</v>
      </c>
      <c r="O501" t="s">
        <v>306</v>
      </c>
      <c r="T501" t="s">
        <v>306</v>
      </c>
      <c r="Y501" t="s">
        <v>306</v>
      </c>
      <c r="AD501" t="s">
        <v>306</v>
      </c>
      <c r="AI501" t="s">
        <v>306</v>
      </c>
      <c r="AN501" t="s">
        <v>306</v>
      </c>
      <c r="AS501" t="s">
        <v>306</v>
      </c>
      <c r="AX501" t="s">
        <v>306</v>
      </c>
      <c r="BC501" t="s">
        <v>306</v>
      </c>
      <c r="BD501" t="s">
        <v>1552</v>
      </c>
      <c r="BE501">
        <v>8247050</v>
      </c>
      <c r="BF501" t="s">
        <v>346</v>
      </c>
      <c r="BG501">
        <v>0</v>
      </c>
      <c r="BH501" t="s">
        <v>62</v>
      </c>
      <c r="BM501" t="s">
        <v>306</v>
      </c>
      <c r="BR501" t="s">
        <v>306</v>
      </c>
      <c r="BS501" t="s">
        <v>1105</v>
      </c>
      <c r="BT501">
        <v>4217566</v>
      </c>
      <c r="BU501" t="s">
        <v>346</v>
      </c>
      <c r="BV501">
        <v>0</v>
      </c>
      <c r="BW501" t="s">
        <v>313</v>
      </c>
      <c r="CB501" t="s">
        <v>306</v>
      </c>
      <c r="CC501" t="s">
        <v>1908</v>
      </c>
      <c r="CD501">
        <v>4255907</v>
      </c>
      <c r="CE501" t="s">
        <v>346</v>
      </c>
      <c r="CF501">
        <v>0</v>
      </c>
      <c r="CG501" t="s">
        <v>53</v>
      </c>
      <c r="CL501" t="s">
        <v>306</v>
      </c>
      <c r="CM501" t="s">
        <v>1832</v>
      </c>
      <c r="CN501">
        <v>4937556</v>
      </c>
      <c r="CO501" t="s">
        <v>364</v>
      </c>
      <c r="CP501">
        <v>0</v>
      </c>
      <c r="CQ501" t="s">
        <v>53</v>
      </c>
      <c r="CV501" t="s">
        <v>306</v>
      </c>
      <c r="DA501" t="s">
        <v>306</v>
      </c>
      <c r="DB501" t="s">
        <v>1552</v>
      </c>
      <c r="DC501">
        <v>8247050</v>
      </c>
      <c r="DD501" t="s">
        <v>346</v>
      </c>
      <c r="DE501">
        <v>0</v>
      </c>
      <c r="DF501" t="s">
        <v>62</v>
      </c>
      <c r="DK501" t="s">
        <v>306</v>
      </c>
      <c r="DL501" t="s">
        <v>1552</v>
      </c>
      <c r="DM501">
        <v>8247050</v>
      </c>
      <c r="DN501" t="s">
        <v>346</v>
      </c>
      <c r="DO501">
        <v>0</v>
      </c>
      <c r="DP501" t="s">
        <v>62</v>
      </c>
      <c r="DU501" t="s">
        <v>306</v>
      </c>
      <c r="DZ501" t="s">
        <v>306</v>
      </c>
      <c r="EA501" t="s">
        <v>1908</v>
      </c>
      <c r="EB501">
        <v>4255907</v>
      </c>
      <c r="EC501" t="s">
        <v>346</v>
      </c>
      <c r="ED501">
        <v>0</v>
      </c>
      <c r="EE501" t="s">
        <v>53</v>
      </c>
      <c r="EF501" t="s">
        <v>1552</v>
      </c>
      <c r="EG501">
        <v>8247050</v>
      </c>
      <c r="EH501" t="s">
        <v>346</v>
      </c>
      <c r="EI501">
        <v>0</v>
      </c>
      <c r="EJ501" t="s">
        <v>62</v>
      </c>
      <c r="EO501" t="s">
        <v>306</v>
      </c>
      <c r="ET501" t="s">
        <v>306</v>
      </c>
      <c r="EY501" t="s">
        <v>306</v>
      </c>
      <c r="FD501" t="s">
        <v>306</v>
      </c>
      <c r="FI501" t="s">
        <v>306</v>
      </c>
      <c r="FN501" t="s">
        <v>306</v>
      </c>
      <c r="FS501" t="s">
        <v>306</v>
      </c>
      <c r="FX501" t="s">
        <v>306</v>
      </c>
      <c r="FY501" t="s">
        <v>1552</v>
      </c>
      <c r="FZ501">
        <v>8247050</v>
      </c>
      <c r="GA501" t="s">
        <v>346</v>
      </c>
      <c r="GB501">
        <v>0</v>
      </c>
      <c r="GC501" t="s">
        <v>62</v>
      </c>
      <c r="GH501" t="s">
        <v>306</v>
      </c>
      <c r="GM501" t="s">
        <v>306</v>
      </c>
      <c r="GR501" t="s">
        <v>306</v>
      </c>
      <c r="GW501" t="s">
        <v>306</v>
      </c>
      <c r="GX501" t="s">
        <v>1908</v>
      </c>
      <c r="GY501">
        <v>4255907</v>
      </c>
      <c r="GZ501" t="s">
        <v>346</v>
      </c>
      <c r="HA501">
        <v>0</v>
      </c>
      <c r="HB501" t="s">
        <v>53</v>
      </c>
      <c r="HG501" t="s">
        <v>306</v>
      </c>
    </row>
    <row r="502" spans="5:215" x14ac:dyDescent="0.35">
      <c r="E502" t="s">
        <v>306</v>
      </c>
      <c r="J502" t="s">
        <v>306</v>
      </c>
      <c r="O502" t="s">
        <v>306</v>
      </c>
      <c r="T502" t="s">
        <v>306</v>
      </c>
      <c r="Y502" t="s">
        <v>306</v>
      </c>
      <c r="AD502" t="s">
        <v>306</v>
      </c>
      <c r="AI502" t="s">
        <v>306</v>
      </c>
      <c r="AN502" t="s">
        <v>306</v>
      </c>
      <c r="AS502" t="s">
        <v>306</v>
      </c>
      <c r="AX502" t="s">
        <v>306</v>
      </c>
      <c r="BC502" t="s">
        <v>306</v>
      </c>
      <c r="BD502" t="s">
        <v>1364</v>
      </c>
      <c r="BE502">
        <v>10890287</v>
      </c>
      <c r="BF502" t="s">
        <v>346</v>
      </c>
      <c r="BG502">
        <v>0</v>
      </c>
      <c r="BH502" t="s">
        <v>62</v>
      </c>
      <c r="BM502" t="s">
        <v>306</v>
      </c>
      <c r="BR502" t="s">
        <v>306</v>
      </c>
      <c r="BS502" t="s">
        <v>1106</v>
      </c>
      <c r="BT502">
        <v>4026922</v>
      </c>
      <c r="BU502" t="s">
        <v>346</v>
      </c>
      <c r="BV502">
        <v>0</v>
      </c>
      <c r="BW502" t="s">
        <v>53</v>
      </c>
      <c r="CB502" t="s">
        <v>306</v>
      </c>
      <c r="CC502" t="s">
        <v>1909</v>
      </c>
      <c r="CD502">
        <v>5851790</v>
      </c>
      <c r="CE502" t="s">
        <v>346</v>
      </c>
      <c r="CF502">
        <v>0</v>
      </c>
      <c r="CG502" t="s">
        <v>114</v>
      </c>
      <c r="CL502" t="s">
        <v>306</v>
      </c>
      <c r="CM502" t="s">
        <v>1803</v>
      </c>
      <c r="CN502">
        <v>4663442</v>
      </c>
      <c r="CO502" t="s">
        <v>364</v>
      </c>
      <c r="CP502">
        <v>0</v>
      </c>
      <c r="CQ502" t="s">
        <v>53</v>
      </c>
      <c r="CV502" t="s">
        <v>306</v>
      </c>
      <c r="DA502" t="s">
        <v>306</v>
      </c>
      <c r="DB502" t="s">
        <v>1364</v>
      </c>
      <c r="DC502">
        <v>10890287</v>
      </c>
      <c r="DD502" t="s">
        <v>346</v>
      </c>
      <c r="DE502">
        <v>0</v>
      </c>
      <c r="DF502" t="s">
        <v>62</v>
      </c>
      <c r="DK502" t="s">
        <v>306</v>
      </c>
      <c r="DL502" t="s">
        <v>1364</v>
      </c>
      <c r="DM502">
        <v>10890287</v>
      </c>
      <c r="DN502" t="s">
        <v>346</v>
      </c>
      <c r="DO502">
        <v>0</v>
      </c>
      <c r="DP502" t="s">
        <v>62</v>
      </c>
      <c r="DU502" t="s">
        <v>306</v>
      </c>
      <c r="DZ502" t="s">
        <v>306</v>
      </c>
      <c r="EA502" t="s">
        <v>1909</v>
      </c>
      <c r="EB502">
        <v>5851790</v>
      </c>
      <c r="EC502" t="s">
        <v>346</v>
      </c>
      <c r="ED502">
        <v>0</v>
      </c>
      <c r="EE502" t="s">
        <v>114</v>
      </c>
      <c r="EF502" t="s">
        <v>1364</v>
      </c>
      <c r="EG502">
        <v>10890287</v>
      </c>
      <c r="EH502" t="s">
        <v>346</v>
      </c>
      <c r="EI502">
        <v>0</v>
      </c>
      <c r="EJ502" t="s">
        <v>62</v>
      </c>
      <c r="EO502" t="s">
        <v>306</v>
      </c>
      <c r="ET502" t="s">
        <v>306</v>
      </c>
      <c r="EY502" t="s">
        <v>306</v>
      </c>
      <c r="FD502" t="s">
        <v>306</v>
      </c>
      <c r="FI502" t="s">
        <v>306</v>
      </c>
      <c r="FN502" t="s">
        <v>306</v>
      </c>
      <c r="FS502" t="s">
        <v>306</v>
      </c>
      <c r="FX502" t="s">
        <v>306</v>
      </c>
      <c r="FY502" t="s">
        <v>1364</v>
      </c>
      <c r="FZ502">
        <v>10890287</v>
      </c>
      <c r="GA502" t="s">
        <v>346</v>
      </c>
      <c r="GB502">
        <v>0</v>
      </c>
      <c r="GC502" t="s">
        <v>62</v>
      </c>
      <c r="GH502" t="s">
        <v>306</v>
      </c>
      <c r="GM502" t="s">
        <v>306</v>
      </c>
      <c r="GR502" t="s">
        <v>306</v>
      </c>
      <c r="GW502" t="s">
        <v>306</v>
      </c>
      <c r="GX502" t="s">
        <v>1909</v>
      </c>
      <c r="GY502">
        <v>5851790</v>
      </c>
      <c r="GZ502" t="s">
        <v>346</v>
      </c>
      <c r="HA502">
        <v>0</v>
      </c>
      <c r="HB502" t="s">
        <v>114</v>
      </c>
      <c r="HG502" t="s">
        <v>306</v>
      </c>
    </row>
    <row r="503" spans="5:215" x14ac:dyDescent="0.35">
      <c r="E503" t="s">
        <v>306</v>
      </c>
      <c r="J503" t="s">
        <v>306</v>
      </c>
      <c r="O503" t="s">
        <v>306</v>
      </c>
      <c r="T503" t="s">
        <v>306</v>
      </c>
      <c r="Y503" t="s">
        <v>306</v>
      </c>
      <c r="AD503" t="s">
        <v>306</v>
      </c>
      <c r="AI503" t="s">
        <v>306</v>
      </c>
      <c r="AN503" t="s">
        <v>306</v>
      </c>
      <c r="AS503" t="s">
        <v>306</v>
      </c>
      <c r="AX503" t="s">
        <v>306</v>
      </c>
      <c r="BC503" t="s">
        <v>306</v>
      </c>
      <c r="BD503" t="s">
        <v>1553</v>
      </c>
      <c r="BE503">
        <v>10552313</v>
      </c>
      <c r="BF503" t="s">
        <v>346</v>
      </c>
      <c r="BG503">
        <v>0</v>
      </c>
      <c r="BH503" t="s">
        <v>2184</v>
      </c>
      <c r="BM503" t="s">
        <v>306</v>
      </c>
      <c r="BR503" t="s">
        <v>306</v>
      </c>
      <c r="BS503" t="s">
        <v>376</v>
      </c>
      <c r="BT503">
        <v>4030986</v>
      </c>
      <c r="BU503" t="s">
        <v>346</v>
      </c>
      <c r="BV503">
        <v>0</v>
      </c>
      <c r="BW503" t="s">
        <v>53</v>
      </c>
      <c r="CB503" t="s">
        <v>306</v>
      </c>
      <c r="CC503" t="s">
        <v>1910</v>
      </c>
      <c r="CD503">
        <v>109772064</v>
      </c>
      <c r="CE503" t="s">
        <v>346</v>
      </c>
      <c r="CF503">
        <v>0</v>
      </c>
      <c r="CG503" t="s">
        <v>53</v>
      </c>
      <c r="CL503" t="s">
        <v>306</v>
      </c>
      <c r="CM503" t="s">
        <v>2128</v>
      </c>
      <c r="CN503">
        <v>4669066</v>
      </c>
      <c r="CO503" t="s">
        <v>346</v>
      </c>
      <c r="CP503">
        <v>0</v>
      </c>
      <c r="CQ503" t="s">
        <v>53</v>
      </c>
      <c r="CV503" t="s">
        <v>306</v>
      </c>
      <c r="DA503" t="s">
        <v>306</v>
      </c>
      <c r="DB503" t="s">
        <v>1553</v>
      </c>
      <c r="DC503">
        <v>10552313</v>
      </c>
      <c r="DD503" t="s">
        <v>346</v>
      </c>
      <c r="DE503">
        <v>0</v>
      </c>
      <c r="DF503" t="s">
        <v>2184</v>
      </c>
      <c r="DK503" t="s">
        <v>306</v>
      </c>
      <c r="DL503" t="s">
        <v>1553</v>
      </c>
      <c r="DM503">
        <v>10552313</v>
      </c>
      <c r="DN503" t="s">
        <v>346</v>
      </c>
      <c r="DO503">
        <v>0</v>
      </c>
      <c r="DP503" t="s">
        <v>2184</v>
      </c>
      <c r="DU503" t="s">
        <v>306</v>
      </c>
      <c r="DZ503" t="s">
        <v>306</v>
      </c>
      <c r="EA503" t="s">
        <v>1910</v>
      </c>
      <c r="EB503">
        <v>109772064</v>
      </c>
      <c r="EC503" t="s">
        <v>346</v>
      </c>
      <c r="ED503">
        <v>0</v>
      </c>
      <c r="EE503" t="s">
        <v>53</v>
      </c>
      <c r="EF503" t="s">
        <v>1553</v>
      </c>
      <c r="EG503">
        <v>10552313</v>
      </c>
      <c r="EH503" t="s">
        <v>346</v>
      </c>
      <c r="EI503">
        <v>0</v>
      </c>
      <c r="EJ503" t="s">
        <v>2184</v>
      </c>
      <c r="EO503" t="s">
        <v>306</v>
      </c>
      <c r="ET503" t="s">
        <v>306</v>
      </c>
      <c r="EY503" t="s">
        <v>306</v>
      </c>
      <c r="FD503" t="s">
        <v>306</v>
      </c>
      <c r="FI503" t="s">
        <v>306</v>
      </c>
      <c r="FN503" t="s">
        <v>306</v>
      </c>
      <c r="FS503" t="s">
        <v>306</v>
      </c>
      <c r="FX503" t="s">
        <v>306</v>
      </c>
      <c r="FY503" t="s">
        <v>1553</v>
      </c>
      <c r="FZ503">
        <v>10552313</v>
      </c>
      <c r="GA503" t="s">
        <v>346</v>
      </c>
      <c r="GB503">
        <v>0</v>
      </c>
      <c r="GC503" t="s">
        <v>2184</v>
      </c>
      <c r="GH503" t="s">
        <v>306</v>
      </c>
      <c r="GM503" t="s">
        <v>306</v>
      </c>
      <c r="GR503" t="s">
        <v>306</v>
      </c>
      <c r="GW503" t="s">
        <v>306</v>
      </c>
      <c r="GX503" t="s">
        <v>1910</v>
      </c>
      <c r="GY503">
        <v>109772064</v>
      </c>
      <c r="GZ503" t="s">
        <v>346</v>
      </c>
      <c r="HA503">
        <v>0</v>
      </c>
      <c r="HB503" t="s">
        <v>53</v>
      </c>
      <c r="HG503" t="s">
        <v>306</v>
      </c>
    </row>
  </sheetData>
  <autoFilter ref="A3:HG3" xr:uid="{0DB86A69-2949-4E94-8811-A7159D51BFA4}"/>
  <conditionalFormatting sqref="A1:HG503">
    <cfRule type="expression" dxfId="1" priority="1">
      <formula>MOD(COLUMN(),5)=0</formula>
    </cfRule>
  </conditionalFormatting>
  <conditionalFormatting sqref="BM3">
    <cfRule type="expression" dxfId="0" priority="2">
      <formula>MOD(COLUMN(),5)=0</formula>
    </cfRule>
  </conditionalFormatting>
  <pageMargins left="0.7" right="0.7" top="0.75" bottom="0.75" header="0.3" footer="0.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Ore</vt:lpstr>
      <vt:lpstr>Production Costs Co Product</vt:lpstr>
      <vt:lpstr>Production Costs By Product</vt:lpstr>
      <vt:lpstr>Cash Flow</vt:lpstr>
      <vt:lpstr>Ownership</vt:lpstr>
      <vt:lpstr>Ownership_txt</vt:lpstr>
      <vt:lpstr>Sheet2</vt:lpstr>
      <vt:lpstr>Public Companies Owners</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HOUHAMDI Wafa, DAF/RBC</cp:lastModifiedBy>
  <dcterms:created xsi:type="dcterms:W3CDTF">2026-07-24T14:50:13Z</dcterms:created>
  <dcterms:modified xsi:type="dcterms:W3CDTF">2026-09-30T08:31:07Z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y fmtid="{D5CDD505-2E9C-101B-9397-08002B2CF9AE}" pid="3" name="MSIP_Label_0e5510b0-e729-4ef0-a3dd-4ba0dfe56c99_Enabled">
    <vt:lpwstr>true</vt:lpwstr>
  </property>
  <property fmtid="{D5CDD505-2E9C-101B-9397-08002B2CF9AE}" pid="4" name="MSIP_Label_0e5510b0-e729-4ef0-a3dd-4ba0dfe56c99_SetDate">
    <vt:lpwstr>2026-07-28T14:45:40Z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fbdde399-0639-40a5-b44f-cc7d981f3b22</vt:lpwstr>
  </property>
  <property fmtid="{D5CDD505-2E9C-101B-9397-08002B2CF9AE}" pid="9" name="MSIP_Label_0e5510b0-e729-4ef0-a3dd-4ba0dfe56c99_ContentBits">
    <vt:lpwstr>2</vt:lpwstr>
  </property>
  <property fmtid="{D5CDD505-2E9C-101B-9397-08002B2CF9AE}" pid="10" name="MSIP_Label_0e5510b0-e729-4ef0-a3dd-4ba0dfe56c99_Tag">
    <vt:lpwstr>10, 3, 0, 1</vt:lpwstr>
  </property>
</Properties>
</file>